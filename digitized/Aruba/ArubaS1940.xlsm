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Invoer!$A$2:$B$383</definedName>
    <definedName name="Catalogus">Info!$M$3:$AO$5</definedName>
    <definedName name="Data">Invoer!$A$3:$AC$383</definedName>
    <definedName name="Est">Info!$H$9</definedName>
    <definedName name="Lacking">Info!$H$10</definedName>
    <definedName name="ME">Info!$H$7</definedName>
    <definedName name="MS">Info!$H$8</definedName>
    <definedName name="Ok">Info!$H$6</definedName>
    <definedName name="Parameters">Info!$D$5:$E$16</definedName>
    <definedName name="Stations">Info!$A$5:$B$12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462" i="3" l="1"/>
  <c r="C1462" i="3"/>
  <c r="A1463" i="3"/>
  <c r="C1463" i="3"/>
  <c r="A1464" i="3"/>
  <c r="C1464" i="3"/>
  <c r="A1465" i="3"/>
  <c r="C1465" i="3"/>
  <c r="A1" i="6" l="1"/>
  <c r="A367" i="3" l="1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 l="1"/>
  <c r="AB383" i="1" l="1"/>
  <c r="AA383" i="1"/>
  <c r="Z383" i="1"/>
  <c r="AB351" i="1"/>
  <c r="AA351" i="1"/>
  <c r="Z351" i="1"/>
  <c r="AB320" i="1"/>
  <c r="AA320" i="1"/>
  <c r="Z320" i="1"/>
  <c r="AB288" i="1"/>
  <c r="AA288" i="1"/>
  <c r="Z288" i="1"/>
  <c r="AB257" i="1"/>
  <c r="AA257" i="1"/>
  <c r="Z257" i="1"/>
  <c r="AB225" i="1"/>
  <c r="AA225" i="1"/>
  <c r="Z225" i="1"/>
  <c r="AB193" i="1"/>
  <c r="AA193" i="1"/>
  <c r="Z193" i="1"/>
  <c r="AB162" i="1"/>
  <c r="AA162" i="1"/>
  <c r="Z162" i="1"/>
  <c r="AB130" i="1"/>
  <c r="AA130" i="1"/>
  <c r="Z130" i="1"/>
  <c r="AB99" i="1"/>
  <c r="AA99" i="1"/>
  <c r="Z99" i="1"/>
  <c r="AB67" i="1"/>
  <c r="AA67" i="1"/>
  <c r="Z67" i="1"/>
  <c r="AB37" i="1"/>
  <c r="AA37" i="1"/>
  <c r="Z37" i="1"/>
  <c r="D383" i="1"/>
  <c r="C383" i="1"/>
  <c r="B383" i="1"/>
  <c r="D351" i="1"/>
  <c r="C351" i="1"/>
  <c r="B351" i="1"/>
  <c r="D320" i="1"/>
  <c r="C320" i="1"/>
  <c r="B320" i="1"/>
  <c r="D288" i="1"/>
  <c r="C288" i="1"/>
  <c r="B288" i="1"/>
  <c r="D257" i="1"/>
  <c r="C257" i="1"/>
  <c r="B257" i="1"/>
  <c r="D225" i="1"/>
  <c r="C225" i="1"/>
  <c r="B225" i="1"/>
  <c r="D193" i="1"/>
  <c r="C193" i="1"/>
  <c r="B193" i="1"/>
  <c r="D162" i="1"/>
  <c r="C162" i="1"/>
  <c r="B162" i="1"/>
  <c r="D130" i="1"/>
  <c r="C130" i="1"/>
  <c r="B130" i="1"/>
  <c r="D99" i="1"/>
  <c r="C99" i="1"/>
  <c r="B99" i="1"/>
  <c r="D67" i="1"/>
  <c r="C67" i="1"/>
  <c r="B67" i="1"/>
  <c r="D37" i="1"/>
  <c r="C37" i="1"/>
  <c r="B37" i="1"/>
  <c r="AC351" i="1" l="1"/>
  <c r="Y351" i="1"/>
  <c r="W351" i="1"/>
  <c r="U351" i="1"/>
  <c r="S351" i="1"/>
  <c r="R351" i="1"/>
  <c r="Q351" i="1"/>
  <c r="P351" i="1"/>
  <c r="O351" i="1"/>
  <c r="N351" i="1"/>
  <c r="M351" i="1"/>
  <c r="L351" i="1"/>
  <c r="J351" i="1"/>
  <c r="I351" i="1"/>
  <c r="H351" i="1"/>
  <c r="G351" i="1"/>
  <c r="F351" i="1"/>
  <c r="E351" i="1"/>
  <c r="AC288" i="1"/>
  <c r="Y288" i="1"/>
  <c r="W288" i="1"/>
  <c r="U288" i="1"/>
  <c r="S288" i="1"/>
  <c r="R288" i="1"/>
  <c r="Q288" i="1"/>
  <c r="P288" i="1"/>
  <c r="O288" i="1"/>
  <c r="N288" i="1"/>
  <c r="M288" i="1"/>
  <c r="L288" i="1"/>
  <c r="J288" i="1"/>
  <c r="I288" i="1"/>
  <c r="H288" i="1"/>
  <c r="G288" i="1"/>
  <c r="F288" i="1"/>
  <c r="E288" i="1"/>
  <c r="AC193" i="1"/>
  <c r="Y193" i="1"/>
  <c r="W193" i="1"/>
  <c r="U193" i="1"/>
  <c r="S193" i="1"/>
  <c r="R193" i="1"/>
  <c r="Q193" i="1"/>
  <c r="P193" i="1"/>
  <c r="O193" i="1"/>
  <c r="N193" i="1"/>
  <c r="M193" i="1"/>
  <c r="L193" i="1"/>
  <c r="J193" i="1"/>
  <c r="I193" i="1"/>
  <c r="H193" i="1"/>
  <c r="G193" i="1"/>
  <c r="F193" i="1"/>
  <c r="E193" i="1"/>
  <c r="Y130" i="1"/>
  <c r="AC130" i="1"/>
  <c r="P130" i="1"/>
  <c r="W130" i="1"/>
  <c r="U130" i="1"/>
  <c r="S130" i="1"/>
  <c r="R130" i="1"/>
  <c r="Q130" i="1"/>
  <c r="O130" i="1"/>
  <c r="N130" i="1"/>
  <c r="M130" i="1"/>
  <c r="L130" i="1"/>
  <c r="J130" i="1"/>
  <c r="I130" i="1"/>
  <c r="H130" i="1"/>
  <c r="G130" i="1"/>
  <c r="F130" i="1"/>
  <c r="E130" i="1"/>
  <c r="Y67" i="1"/>
  <c r="AC67" i="1"/>
  <c r="W67" i="1"/>
  <c r="U67" i="1"/>
  <c r="S67" i="1"/>
  <c r="R67" i="1"/>
  <c r="Q67" i="1"/>
  <c r="P67" i="1"/>
  <c r="O67" i="1"/>
  <c r="N67" i="1"/>
  <c r="M67" i="1"/>
  <c r="L67" i="1"/>
  <c r="J67" i="1"/>
  <c r="I67" i="1"/>
  <c r="H67" i="1"/>
  <c r="G67" i="1"/>
  <c r="F67" i="1"/>
  <c r="E67" i="1"/>
  <c r="AC383" i="1"/>
  <c r="Y383" i="1"/>
  <c r="W383" i="1"/>
  <c r="U383" i="1"/>
  <c r="S383" i="1"/>
  <c r="R383" i="1"/>
  <c r="Q383" i="1"/>
  <c r="P383" i="1"/>
  <c r="O383" i="1"/>
  <c r="N383" i="1"/>
  <c r="M383" i="1"/>
  <c r="L383" i="1"/>
  <c r="J383" i="1"/>
  <c r="I383" i="1"/>
  <c r="H383" i="1"/>
  <c r="G383" i="1"/>
  <c r="F383" i="1"/>
  <c r="E383" i="1"/>
  <c r="AC320" i="1"/>
  <c r="Y320" i="1"/>
  <c r="W320" i="1"/>
  <c r="U320" i="1"/>
  <c r="S320" i="1"/>
  <c r="R320" i="1"/>
  <c r="Q320" i="1"/>
  <c r="P320" i="1"/>
  <c r="O320" i="1"/>
  <c r="N320" i="1"/>
  <c r="M320" i="1"/>
  <c r="L320" i="1"/>
  <c r="J320" i="1"/>
  <c r="I320" i="1"/>
  <c r="H320" i="1"/>
  <c r="G320" i="1"/>
  <c r="F320" i="1"/>
  <c r="E320" i="1"/>
  <c r="AC257" i="1"/>
  <c r="Y257" i="1"/>
  <c r="W257" i="1"/>
  <c r="U257" i="1"/>
  <c r="S257" i="1"/>
  <c r="R257" i="1"/>
  <c r="Q257" i="1"/>
  <c r="P257" i="1"/>
  <c r="O257" i="1"/>
  <c r="N257" i="1"/>
  <c r="M257" i="1"/>
  <c r="L257" i="1"/>
  <c r="J257" i="1"/>
  <c r="I257" i="1"/>
  <c r="H257" i="1"/>
  <c r="G257" i="1"/>
  <c r="F257" i="1"/>
  <c r="E257" i="1"/>
  <c r="AC225" i="1"/>
  <c r="Y225" i="1"/>
  <c r="W225" i="1"/>
  <c r="U225" i="1"/>
  <c r="S225" i="1"/>
  <c r="R225" i="1"/>
  <c r="Q225" i="1"/>
  <c r="P225" i="1"/>
  <c r="O225" i="1"/>
  <c r="N225" i="1"/>
  <c r="M225" i="1"/>
  <c r="L225" i="1"/>
  <c r="J225" i="1"/>
  <c r="I225" i="1"/>
  <c r="H225" i="1"/>
  <c r="G225" i="1"/>
  <c r="F225" i="1"/>
  <c r="E225" i="1"/>
  <c r="AC162" i="1"/>
  <c r="Y162" i="1"/>
  <c r="W162" i="1"/>
  <c r="U162" i="1"/>
  <c r="S162" i="1"/>
  <c r="R162" i="1"/>
  <c r="Q162" i="1"/>
  <c r="P162" i="1"/>
  <c r="O162" i="1"/>
  <c r="N162" i="1"/>
  <c r="M162" i="1"/>
  <c r="L162" i="1"/>
  <c r="J162" i="1"/>
  <c r="I162" i="1"/>
  <c r="H162" i="1"/>
  <c r="G162" i="1"/>
  <c r="F162" i="1"/>
  <c r="E162" i="1"/>
  <c r="AC99" i="1"/>
  <c r="Y99" i="1"/>
  <c r="W99" i="1"/>
  <c r="U99" i="1"/>
  <c r="S99" i="1"/>
  <c r="R99" i="1"/>
  <c r="Q99" i="1"/>
  <c r="P99" i="1"/>
  <c r="O99" i="1"/>
  <c r="N99" i="1"/>
  <c r="M99" i="1"/>
  <c r="L99" i="1"/>
  <c r="J99" i="1"/>
  <c r="I99" i="1"/>
  <c r="H99" i="1"/>
  <c r="G99" i="1"/>
  <c r="F99" i="1"/>
  <c r="E99" i="1"/>
  <c r="Y37" i="1" l="1"/>
  <c r="W37" i="1"/>
  <c r="U37" i="1"/>
  <c r="S37" i="1"/>
  <c r="R37" i="1"/>
  <c r="Q37" i="1"/>
  <c r="O37" i="1"/>
  <c r="P37" i="1"/>
  <c r="N37" i="1"/>
  <c r="M37" i="1"/>
  <c r="L37" i="1"/>
  <c r="F37" i="1"/>
  <c r="G37" i="1"/>
  <c r="H37" i="1"/>
  <c r="I37" i="1"/>
  <c r="J37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6" i="1"/>
  <c r="K65" i="1"/>
  <c r="K64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8" i="1"/>
  <c r="K6" i="1"/>
  <c r="K162" i="1" l="1"/>
  <c r="K257" i="1"/>
  <c r="K351" i="1"/>
  <c r="K130" i="1"/>
  <c r="K383" i="1"/>
  <c r="K193" i="1"/>
  <c r="K288" i="1"/>
  <c r="K67" i="1"/>
  <c r="K99" i="1"/>
  <c r="K225" i="1"/>
  <c r="K320" i="1"/>
  <c r="K37" i="1"/>
  <c r="E37" i="1" l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AC37" i="1" l="1"/>
  <c r="A1" i="5" l="1"/>
  <c r="A6" i="1" l="1"/>
  <c r="B1465" i="3" l="1"/>
  <c r="B1462" i="3"/>
  <c r="B1464" i="3"/>
  <c r="B1463" i="3"/>
  <c r="A367" i="2"/>
  <c r="B367" i="2"/>
  <c r="B368" i="3"/>
  <c r="B372" i="3"/>
  <c r="B376" i="3"/>
  <c r="B380" i="3"/>
  <c r="B384" i="3"/>
  <c r="B388" i="3"/>
  <c r="B392" i="3"/>
  <c r="B396" i="3"/>
  <c r="B400" i="3"/>
  <c r="B404" i="3"/>
  <c r="B408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6" i="3"/>
  <c r="B520" i="3"/>
  <c r="B524" i="3"/>
  <c r="B528" i="3"/>
  <c r="B532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664" i="3"/>
  <c r="B668" i="3"/>
  <c r="B672" i="3"/>
  <c r="B676" i="3"/>
  <c r="B680" i="3"/>
  <c r="B684" i="3"/>
  <c r="B688" i="3"/>
  <c r="B692" i="3"/>
  <c r="B696" i="3"/>
  <c r="B700" i="3"/>
  <c r="B704" i="3"/>
  <c r="B367" i="3"/>
  <c r="B371" i="3"/>
  <c r="B375" i="3"/>
  <c r="B379" i="3"/>
  <c r="B383" i="3"/>
  <c r="B387" i="3"/>
  <c r="B391" i="3"/>
  <c r="B395" i="3"/>
  <c r="B399" i="3"/>
  <c r="B403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370" i="3"/>
  <c r="B374" i="3"/>
  <c r="B378" i="3"/>
  <c r="B382" i="3"/>
  <c r="B386" i="3"/>
  <c r="B390" i="3"/>
  <c r="B394" i="3"/>
  <c r="B398" i="3"/>
  <c r="B402" i="3"/>
  <c r="B406" i="3"/>
  <c r="B410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514" i="3"/>
  <c r="B518" i="3"/>
  <c r="B522" i="3"/>
  <c r="B526" i="3"/>
  <c r="B530" i="3"/>
  <c r="B534" i="3"/>
  <c r="B538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369" i="3"/>
  <c r="S369" i="3" s="1"/>
  <c r="B373" i="3"/>
  <c r="S373" i="3" s="1"/>
  <c r="B377" i="3"/>
  <c r="S377" i="3" s="1"/>
  <c r="B381" i="3"/>
  <c r="S381" i="3" s="1"/>
  <c r="B385" i="3"/>
  <c r="S385" i="3" s="1"/>
  <c r="B389" i="3"/>
  <c r="S389" i="3" s="1"/>
  <c r="B393" i="3"/>
  <c r="S393" i="3" s="1"/>
  <c r="B397" i="3"/>
  <c r="S397" i="3" s="1"/>
  <c r="B401" i="3"/>
  <c r="S401" i="3" s="1"/>
  <c r="B405" i="3"/>
  <c r="S405" i="3" s="1"/>
  <c r="B409" i="3"/>
  <c r="S409" i="3" s="1"/>
  <c r="B413" i="3"/>
  <c r="S413" i="3" s="1"/>
  <c r="B417" i="3"/>
  <c r="S417" i="3" s="1"/>
  <c r="B421" i="3"/>
  <c r="S421" i="3" s="1"/>
  <c r="B425" i="3"/>
  <c r="S425" i="3" s="1"/>
  <c r="B429" i="3"/>
  <c r="S429" i="3" s="1"/>
  <c r="B433" i="3"/>
  <c r="S433" i="3" s="1"/>
  <c r="B437" i="3"/>
  <c r="S437" i="3" s="1"/>
  <c r="B441" i="3"/>
  <c r="S441" i="3" s="1"/>
  <c r="B445" i="3"/>
  <c r="S445" i="3" s="1"/>
  <c r="B449" i="3"/>
  <c r="S449" i="3" s="1"/>
  <c r="B453" i="3"/>
  <c r="S453" i="3" s="1"/>
  <c r="B457" i="3"/>
  <c r="S457" i="3" s="1"/>
  <c r="B461" i="3"/>
  <c r="S461" i="3" s="1"/>
  <c r="B465" i="3"/>
  <c r="S465" i="3" s="1"/>
  <c r="B469" i="3"/>
  <c r="S469" i="3" s="1"/>
  <c r="B473" i="3"/>
  <c r="S473" i="3" s="1"/>
  <c r="B477" i="3"/>
  <c r="S477" i="3" s="1"/>
  <c r="B481" i="3"/>
  <c r="S481" i="3" s="1"/>
  <c r="B485" i="3"/>
  <c r="S485" i="3" s="1"/>
  <c r="B489" i="3"/>
  <c r="S489" i="3" s="1"/>
  <c r="B493" i="3"/>
  <c r="S493" i="3" s="1"/>
  <c r="B497" i="3"/>
  <c r="S497" i="3" s="1"/>
  <c r="B501" i="3"/>
  <c r="S501" i="3" s="1"/>
  <c r="B505" i="3"/>
  <c r="S505" i="3" s="1"/>
  <c r="B509" i="3"/>
  <c r="S509" i="3" s="1"/>
  <c r="B513" i="3"/>
  <c r="S513" i="3" s="1"/>
  <c r="B517" i="3"/>
  <c r="S517" i="3" s="1"/>
  <c r="B521" i="3"/>
  <c r="S521" i="3" s="1"/>
  <c r="B525" i="3"/>
  <c r="S525" i="3" s="1"/>
  <c r="B529" i="3"/>
  <c r="S529" i="3" s="1"/>
  <c r="B533" i="3"/>
  <c r="S533" i="3" s="1"/>
  <c r="B537" i="3"/>
  <c r="S537" i="3" s="1"/>
  <c r="B541" i="3"/>
  <c r="S541" i="3" s="1"/>
  <c r="B545" i="3"/>
  <c r="S545" i="3" s="1"/>
  <c r="B549" i="3"/>
  <c r="S549" i="3" s="1"/>
  <c r="B553" i="3"/>
  <c r="S553" i="3" s="1"/>
  <c r="B557" i="3"/>
  <c r="S557" i="3" s="1"/>
  <c r="B561" i="3"/>
  <c r="S561" i="3" s="1"/>
  <c r="B565" i="3"/>
  <c r="S565" i="3" s="1"/>
  <c r="B569" i="3"/>
  <c r="S569" i="3" s="1"/>
  <c r="B573" i="3"/>
  <c r="S573" i="3" s="1"/>
  <c r="B577" i="3"/>
  <c r="S577" i="3" s="1"/>
  <c r="B581" i="3"/>
  <c r="S581" i="3" s="1"/>
  <c r="B585" i="3"/>
  <c r="S585" i="3" s="1"/>
  <c r="B589" i="3"/>
  <c r="S589" i="3" s="1"/>
  <c r="B593" i="3"/>
  <c r="S593" i="3" s="1"/>
  <c r="B597" i="3"/>
  <c r="S597" i="3" s="1"/>
  <c r="B601" i="3"/>
  <c r="S601" i="3" s="1"/>
  <c r="B605" i="3"/>
  <c r="S605" i="3" s="1"/>
  <c r="B607" i="3"/>
  <c r="B610" i="3"/>
  <c r="B613" i="3"/>
  <c r="S613" i="3" s="1"/>
  <c r="B623" i="3"/>
  <c r="B626" i="3"/>
  <c r="B629" i="3"/>
  <c r="S629" i="3" s="1"/>
  <c r="B639" i="3"/>
  <c r="B642" i="3"/>
  <c r="B645" i="3"/>
  <c r="S645" i="3" s="1"/>
  <c r="B655" i="3"/>
  <c r="B658" i="3"/>
  <c r="B661" i="3"/>
  <c r="S661" i="3" s="1"/>
  <c r="B671" i="3"/>
  <c r="B674" i="3"/>
  <c r="B677" i="3"/>
  <c r="S677" i="3" s="1"/>
  <c r="B687" i="3"/>
  <c r="B690" i="3"/>
  <c r="B693" i="3"/>
  <c r="S693" i="3" s="1"/>
  <c r="B703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806" i="3"/>
  <c r="B810" i="3"/>
  <c r="B814" i="3"/>
  <c r="B818" i="3"/>
  <c r="B822" i="3"/>
  <c r="B826" i="3"/>
  <c r="B830" i="3"/>
  <c r="B834" i="3"/>
  <c r="B838" i="3"/>
  <c r="B842" i="3"/>
  <c r="B599" i="3"/>
  <c r="B606" i="3"/>
  <c r="B609" i="3"/>
  <c r="S609" i="3" s="1"/>
  <c r="B619" i="3"/>
  <c r="B622" i="3"/>
  <c r="B625" i="3"/>
  <c r="S625" i="3" s="1"/>
  <c r="B635" i="3"/>
  <c r="B638" i="3"/>
  <c r="B641" i="3"/>
  <c r="S641" i="3" s="1"/>
  <c r="B651" i="3"/>
  <c r="B654" i="3"/>
  <c r="B657" i="3"/>
  <c r="S657" i="3" s="1"/>
  <c r="B667" i="3"/>
  <c r="B670" i="3"/>
  <c r="B673" i="3"/>
  <c r="S673" i="3" s="1"/>
  <c r="B683" i="3"/>
  <c r="B686" i="3"/>
  <c r="B689" i="3"/>
  <c r="S689" i="3" s="1"/>
  <c r="B699" i="3"/>
  <c r="B702" i="3"/>
  <c r="B705" i="3"/>
  <c r="S705" i="3" s="1"/>
  <c r="B709" i="3"/>
  <c r="S709" i="3" s="1"/>
  <c r="B713" i="3"/>
  <c r="S713" i="3" s="1"/>
  <c r="B717" i="3"/>
  <c r="S717" i="3" s="1"/>
  <c r="B721" i="3"/>
  <c r="S721" i="3" s="1"/>
  <c r="B725" i="3"/>
  <c r="S725" i="3" s="1"/>
  <c r="B729" i="3"/>
  <c r="S729" i="3" s="1"/>
  <c r="B733" i="3"/>
  <c r="S733" i="3" s="1"/>
  <c r="B737" i="3"/>
  <c r="S737" i="3" s="1"/>
  <c r="B741" i="3"/>
  <c r="S741" i="3" s="1"/>
  <c r="B745" i="3"/>
  <c r="S745" i="3" s="1"/>
  <c r="B749" i="3"/>
  <c r="S749" i="3" s="1"/>
  <c r="B753" i="3"/>
  <c r="S753" i="3" s="1"/>
  <c r="B757" i="3"/>
  <c r="S757" i="3" s="1"/>
  <c r="B761" i="3"/>
  <c r="S761" i="3" s="1"/>
  <c r="B765" i="3"/>
  <c r="S765" i="3" s="1"/>
  <c r="B769" i="3"/>
  <c r="S769" i="3" s="1"/>
  <c r="B773" i="3"/>
  <c r="S773" i="3" s="1"/>
  <c r="B777" i="3"/>
  <c r="S777" i="3" s="1"/>
  <c r="B781" i="3"/>
  <c r="S781" i="3" s="1"/>
  <c r="B785" i="3"/>
  <c r="S785" i="3" s="1"/>
  <c r="B789" i="3"/>
  <c r="S789" i="3" s="1"/>
  <c r="B793" i="3"/>
  <c r="S793" i="3" s="1"/>
  <c r="B797" i="3"/>
  <c r="S797" i="3" s="1"/>
  <c r="B801" i="3"/>
  <c r="S801" i="3" s="1"/>
  <c r="B805" i="3"/>
  <c r="S805" i="3" s="1"/>
  <c r="B809" i="3"/>
  <c r="S809" i="3" s="1"/>
  <c r="B813" i="3"/>
  <c r="S813" i="3" s="1"/>
  <c r="B817" i="3"/>
  <c r="S817" i="3" s="1"/>
  <c r="B821" i="3"/>
  <c r="S821" i="3" s="1"/>
  <c r="B825" i="3"/>
  <c r="S825" i="3" s="1"/>
  <c r="B829" i="3"/>
  <c r="S829" i="3" s="1"/>
  <c r="B833" i="3"/>
  <c r="S833" i="3" s="1"/>
  <c r="B837" i="3"/>
  <c r="S837" i="3" s="1"/>
  <c r="B841" i="3"/>
  <c r="S841" i="3" s="1"/>
  <c r="B603" i="3"/>
  <c r="B615" i="3"/>
  <c r="B618" i="3"/>
  <c r="B621" i="3"/>
  <c r="S621" i="3" s="1"/>
  <c r="B631" i="3"/>
  <c r="B634" i="3"/>
  <c r="B637" i="3"/>
  <c r="S637" i="3" s="1"/>
  <c r="B647" i="3"/>
  <c r="B650" i="3"/>
  <c r="B653" i="3"/>
  <c r="S653" i="3" s="1"/>
  <c r="B663" i="3"/>
  <c r="B666" i="3"/>
  <c r="B669" i="3"/>
  <c r="S669" i="3" s="1"/>
  <c r="B679" i="3"/>
  <c r="B682" i="3"/>
  <c r="B685" i="3"/>
  <c r="S685" i="3" s="1"/>
  <c r="B695" i="3"/>
  <c r="B698" i="3"/>
  <c r="B701" i="3"/>
  <c r="S701" i="3" s="1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611" i="3"/>
  <c r="B614" i="3"/>
  <c r="B617" i="3"/>
  <c r="S617" i="3" s="1"/>
  <c r="B627" i="3"/>
  <c r="B630" i="3"/>
  <c r="B633" i="3"/>
  <c r="S633" i="3" s="1"/>
  <c r="B643" i="3"/>
  <c r="B646" i="3"/>
  <c r="B649" i="3"/>
  <c r="S649" i="3" s="1"/>
  <c r="B659" i="3"/>
  <c r="B662" i="3"/>
  <c r="B665" i="3"/>
  <c r="S665" i="3" s="1"/>
  <c r="B675" i="3"/>
  <c r="B678" i="3"/>
  <c r="B681" i="3"/>
  <c r="S681" i="3" s="1"/>
  <c r="B691" i="3"/>
  <c r="B694" i="3"/>
  <c r="B697" i="3"/>
  <c r="S697" i="3" s="1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779" i="3"/>
  <c r="B783" i="3"/>
  <c r="B787" i="3"/>
  <c r="B791" i="3"/>
  <c r="B795" i="3"/>
  <c r="B799" i="3"/>
  <c r="B803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46" i="3"/>
  <c r="B854" i="3"/>
  <c r="B862" i="3"/>
  <c r="B870" i="3"/>
  <c r="B878" i="3"/>
  <c r="B886" i="3"/>
  <c r="B889" i="3"/>
  <c r="S889" i="3" s="1"/>
  <c r="B899" i="3"/>
  <c r="B902" i="3"/>
  <c r="B905" i="3"/>
  <c r="S905" i="3" s="1"/>
  <c r="B915" i="3"/>
  <c r="B918" i="3"/>
  <c r="B921" i="3"/>
  <c r="S921" i="3" s="1"/>
  <c r="B931" i="3"/>
  <c r="B934" i="3"/>
  <c r="B937" i="3"/>
  <c r="S937" i="3" s="1"/>
  <c r="B947" i="3"/>
  <c r="B950" i="3"/>
  <c r="B953" i="3"/>
  <c r="S953" i="3" s="1"/>
  <c r="B963" i="3"/>
  <c r="B966" i="3"/>
  <c r="B969" i="3"/>
  <c r="S969" i="3" s="1"/>
  <c r="B973" i="3"/>
  <c r="S973" i="3" s="1"/>
  <c r="B977" i="3"/>
  <c r="S977" i="3" s="1"/>
  <c r="B981" i="3"/>
  <c r="S981" i="3" s="1"/>
  <c r="B985" i="3"/>
  <c r="S985" i="3" s="1"/>
  <c r="B989" i="3"/>
  <c r="S989" i="3" s="1"/>
  <c r="B993" i="3"/>
  <c r="S993" i="3" s="1"/>
  <c r="B997" i="3"/>
  <c r="S997" i="3" s="1"/>
  <c r="B1001" i="3"/>
  <c r="S1001" i="3" s="1"/>
  <c r="B1005" i="3"/>
  <c r="S1005" i="3" s="1"/>
  <c r="B1009" i="3"/>
  <c r="S1009" i="3" s="1"/>
  <c r="B1013" i="3"/>
  <c r="S1013" i="3" s="1"/>
  <c r="B1017" i="3"/>
  <c r="S1017" i="3" s="1"/>
  <c r="B1021" i="3"/>
  <c r="S1021" i="3" s="1"/>
  <c r="B1025" i="3"/>
  <c r="S1025" i="3" s="1"/>
  <c r="B1029" i="3"/>
  <c r="S1029" i="3" s="1"/>
  <c r="B1033" i="3"/>
  <c r="S1033" i="3" s="1"/>
  <c r="B1037" i="3"/>
  <c r="S1037" i="3" s="1"/>
  <c r="B1041" i="3"/>
  <c r="S1041" i="3" s="1"/>
  <c r="B1045" i="3"/>
  <c r="S1045" i="3" s="1"/>
  <c r="B1049" i="3"/>
  <c r="S1049" i="3" s="1"/>
  <c r="B1053" i="3"/>
  <c r="S1053" i="3" s="1"/>
  <c r="B1057" i="3"/>
  <c r="S1057" i="3" s="1"/>
  <c r="B1061" i="3"/>
  <c r="S1061" i="3" s="1"/>
  <c r="B1065" i="3"/>
  <c r="S1065" i="3" s="1"/>
  <c r="B1069" i="3"/>
  <c r="S1069" i="3" s="1"/>
  <c r="B1073" i="3"/>
  <c r="S1073" i="3" s="1"/>
  <c r="B1077" i="3"/>
  <c r="S1077" i="3" s="1"/>
  <c r="B1081" i="3"/>
  <c r="S1081" i="3" s="1"/>
  <c r="B1085" i="3"/>
  <c r="S1085" i="3" s="1"/>
  <c r="B1089" i="3"/>
  <c r="S1089" i="3" s="1"/>
  <c r="B1093" i="3"/>
  <c r="S1093" i="3" s="1"/>
  <c r="B1097" i="3"/>
  <c r="S1097" i="3" s="1"/>
  <c r="B1101" i="3"/>
  <c r="S1101" i="3" s="1"/>
  <c r="B1105" i="3"/>
  <c r="S1105" i="3" s="1"/>
  <c r="B1109" i="3"/>
  <c r="S1109" i="3" s="1"/>
  <c r="B1113" i="3"/>
  <c r="S1113" i="3" s="1"/>
  <c r="B1117" i="3"/>
  <c r="S1117" i="3" s="1"/>
  <c r="B1121" i="3"/>
  <c r="S1121" i="3" s="1"/>
  <c r="B1125" i="3"/>
  <c r="S1125" i="3" s="1"/>
  <c r="B1129" i="3"/>
  <c r="S1129" i="3" s="1"/>
  <c r="B1133" i="3"/>
  <c r="S1133" i="3" s="1"/>
  <c r="B1137" i="3"/>
  <c r="S1137" i="3" s="1"/>
  <c r="B1141" i="3"/>
  <c r="S1141" i="3" s="1"/>
  <c r="B1145" i="3"/>
  <c r="S1145" i="3" s="1"/>
  <c r="B1149" i="3"/>
  <c r="S1149" i="3" s="1"/>
  <c r="B1153" i="3"/>
  <c r="S1153" i="3" s="1"/>
  <c r="B1157" i="3"/>
  <c r="S1157" i="3" s="1"/>
  <c r="B1161" i="3"/>
  <c r="S1161" i="3" s="1"/>
  <c r="B1165" i="3"/>
  <c r="S1165" i="3" s="1"/>
  <c r="B1169" i="3"/>
  <c r="S1169" i="3" s="1"/>
  <c r="B1173" i="3"/>
  <c r="S1173" i="3" s="1"/>
  <c r="B845" i="3"/>
  <c r="S845" i="3" s="1"/>
  <c r="B853" i="3"/>
  <c r="S853" i="3" s="1"/>
  <c r="B861" i="3"/>
  <c r="S861" i="3" s="1"/>
  <c r="B869" i="3"/>
  <c r="S869" i="3" s="1"/>
  <c r="B877" i="3"/>
  <c r="S877" i="3" s="1"/>
  <c r="B885" i="3"/>
  <c r="S885" i="3" s="1"/>
  <c r="B895" i="3"/>
  <c r="B898" i="3"/>
  <c r="B901" i="3"/>
  <c r="S901" i="3" s="1"/>
  <c r="B911" i="3"/>
  <c r="B914" i="3"/>
  <c r="B917" i="3"/>
  <c r="S917" i="3" s="1"/>
  <c r="B927" i="3"/>
  <c r="B930" i="3"/>
  <c r="B933" i="3"/>
  <c r="S933" i="3" s="1"/>
  <c r="B943" i="3"/>
  <c r="B946" i="3"/>
  <c r="B949" i="3"/>
  <c r="S949" i="3" s="1"/>
  <c r="B959" i="3"/>
  <c r="B962" i="3"/>
  <c r="B965" i="3"/>
  <c r="S965" i="3" s="1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64" i="3"/>
  <c r="B1068" i="3"/>
  <c r="B1072" i="3"/>
  <c r="B1076" i="3"/>
  <c r="B1080" i="3"/>
  <c r="B1084" i="3"/>
  <c r="B1088" i="3"/>
  <c r="B1092" i="3"/>
  <c r="B1096" i="3"/>
  <c r="B1100" i="3"/>
  <c r="B1104" i="3"/>
  <c r="B1108" i="3"/>
  <c r="B1112" i="3"/>
  <c r="B1116" i="3"/>
  <c r="B1120" i="3"/>
  <c r="B1124" i="3"/>
  <c r="B1128" i="3"/>
  <c r="B1132" i="3"/>
  <c r="B1136" i="3"/>
  <c r="B1140" i="3"/>
  <c r="B1144" i="3"/>
  <c r="B1148" i="3"/>
  <c r="B1152" i="3"/>
  <c r="B1156" i="3"/>
  <c r="B1160" i="3"/>
  <c r="B1164" i="3"/>
  <c r="B1168" i="3"/>
  <c r="B1172" i="3"/>
  <c r="B1176" i="3"/>
  <c r="B1180" i="3"/>
  <c r="B1184" i="3"/>
  <c r="B1188" i="3"/>
  <c r="B1192" i="3"/>
  <c r="B1196" i="3"/>
  <c r="B1200" i="3"/>
  <c r="B1204" i="3"/>
  <c r="B1208" i="3"/>
  <c r="B1212" i="3"/>
  <c r="B1216" i="3"/>
  <c r="B1220" i="3"/>
  <c r="B1224" i="3"/>
  <c r="B850" i="3"/>
  <c r="B858" i="3"/>
  <c r="B866" i="3"/>
  <c r="B874" i="3"/>
  <c r="B882" i="3"/>
  <c r="B891" i="3"/>
  <c r="B894" i="3"/>
  <c r="B897" i="3"/>
  <c r="S897" i="3" s="1"/>
  <c r="B907" i="3"/>
  <c r="B910" i="3"/>
  <c r="B913" i="3"/>
  <c r="S913" i="3" s="1"/>
  <c r="B923" i="3"/>
  <c r="B926" i="3"/>
  <c r="B929" i="3"/>
  <c r="S929" i="3" s="1"/>
  <c r="B939" i="3"/>
  <c r="B942" i="3"/>
  <c r="B945" i="3"/>
  <c r="S945" i="3" s="1"/>
  <c r="B955" i="3"/>
  <c r="B958" i="3"/>
  <c r="B961" i="3"/>
  <c r="S961" i="3" s="1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1019" i="3"/>
  <c r="B1023" i="3"/>
  <c r="B1027" i="3"/>
  <c r="B1031" i="3"/>
  <c r="B1035" i="3"/>
  <c r="B1039" i="3"/>
  <c r="B1043" i="3"/>
  <c r="B1047" i="3"/>
  <c r="B1051" i="3"/>
  <c r="B1055" i="3"/>
  <c r="B1059" i="3"/>
  <c r="B1063" i="3"/>
  <c r="B1067" i="3"/>
  <c r="B1071" i="3"/>
  <c r="B1075" i="3"/>
  <c r="B1079" i="3"/>
  <c r="B1083" i="3"/>
  <c r="B1087" i="3"/>
  <c r="B1091" i="3"/>
  <c r="B1095" i="3"/>
  <c r="B1099" i="3"/>
  <c r="B1103" i="3"/>
  <c r="B1107" i="3"/>
  <c r="B1111" i="3"/>
  <c r="B1115" i="3"/>
  <c r="B1119" i="3"/>
  <c r="B1123" i="3"/>
  <c r="B1127" i="3"/>
  <c r="B1131" i="3"/>
  <c r="B1135" i="3"/>
  <c r="B1139" i="3"/>
  <c r="B1143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849" i="3"/>
  <c r="S849" i="3" s="1"/>
  <c r="B857" i="3"/>
  <c r="S857" i="3" s="1"/>
  <c r="B865" i="3"/>
  <c r="S865" i="3" s="1"/>
  <c r="B873" i="3"/>
  <c r="S873" i="3" s="1"/>
  <c r="B881" i="3"/>
  <c r="S881" i="3" s="1"/>
  <c r="B887" i="3"/>
  <c r="B890" i="3"/>
  <c r="B893" i="3"/>
  <c r="S893" i="3" s="1"/>
  <c r="B903" i="3"/>
  <c r="B906" i="3"/>
  <c r="B909" i="3"/>
  <c r="S909" i="3" s="1"/>
  <c r="B919" i="3"/>
  <c r="B922" i="3"/>
  <c r="B925" i="3"/>
  <c r="S925" i="3" s="1"/>
  <c r="B935" i="3"/>
  <c r="B938" i="3"/>
  <c r="B941" i="3"/>
  <c r="S941" i="3" s="1"/>
  <c r="B951" i="3"/>
  <c r="B954" i="3"/>
  <c r="B957" i="3"/>
  <c r="S957" i="3" s="1"/>
  <c r="B967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1066" i="3"/>
  <c r="B1070" i="3"/>
  <c r="B1074" i="3"/>
  <c r="B1078" i="3"/>
  <c r="B1082" i="3"/>
  <c r="B1086" i="3"/>
  <c r="B1090" i="3"/>
  <c r="B1094" i="3"/>
  <c r="B1098" i="3"/>
  <c r="B1102" i="3"/>
  <c r="B1106" i="3"/>
  <c r="B1110" i="3"/>
  <c r="B1114" i="3"/>
  <c r="B1118" i="3"/>
  <c r="B1122" i="3"/>
  <c r="B1126" i="3"/>
  <c r="B1130" i="3"/>
  <c r="B1134" i="3"/>
  <c r="B1138" i="3"/>
  <c r="B1142" i="3"/>
  <c r="B1146" i="3"/>
  <c r="B1150" i="3"/>
  <c r="B1154" i="3"/>
  <c r="B1158" i="3"/>
  <c r="B1162" i="3"/>
  <c r="B1166" i="3"/>
  <c r="B1170" i="3"/>
  <c r="B1174" i="3"/>
  <c r="B1178" i="3"/>
  <c r="B1182" i="3"/>
  <c r="B1190" i="3"/>
  <c r="B1198" i="3"/>
  <c r="B1201" i="3"/>
  <c r="S1201" i="3" s="1"/>
  <c r="B1211" i="3"/>
  <c r="B1214" i="3"/>
  <c r="B1217" i="3"/>
  <c r="S1217" i="3" s="1"/>
  <c r="B1227" i="3"/>
  <c r="B1231" i="3"/>
  <c r="B1235" i="3"/>
  <c r="B1239" i="3"/>
  <c r="B1243" i="3"/>
  <c r="B1247" i="3"/>
  <c r="B1251" i="3"/>
  <c r="B1255" i="3"/>
  <c r="B1259" i="3"/>
  <c r="B1263" i="3"/>
  <c r="B1267" i="3"/>
  <c r="B1271" i="3"/>
  <c r="B1275" i="3"/>
  <c r="B1279" i="3"/>
  <c r="B1283" i="3"/>
  <c r="B1287" i="3"/>
  <c r="B1291" i="3"/>
  <c r="B1295" i="3"/>
  <c r="B1299" i="3"/>
  <c r="B1303" i="3"/>
  <c r="B1307" i="3"/>
  <c r="B1311" i="3"/>
  <c r="B1315" i="3"/>
  <c r="B1319" i="3"/>
  <c r="B1323" i="3"/>
  <c r="B1327" i="3"/>
  <c r="B1331" i="3"/>
  <c r="B1335" i="3"/>
  <c r="B1339" i="3"/>
  <c r="B1343" i="3"/>
  <c r="B1347" i="3"/>
  <c r="B1351" i="3"/>
  <c r="B1355" i="3"/>
  <c r="B1359" i="3"/>
  <c r="B1363" i="3"/>
  <c r="B1371" i="3"/>
  <c r="B1379" i="3"/>
  <c r="B1387" i="3"/>
  <c r="B1395" i="3"/>
  <c r="B1403" i="3"/>
  <c r="B1411" i="3"/>
  <c r="B1419" i="3"/>
  <c r="B1427" i="3"/>
  <c r="B1435" i="3"/>
  <c r="B1443" i="3"/>
  <c r="B1458" i="3"/>
  <c r="B1177" i="3"/>
  <c r="S1177" i="3" s="1"/>
  <c r="B1189" i="3"/>
  <c r="S1189" i="3" s="1"/>
  <c r="B1197" i="3"/>
  <c r="S1197" i="3" s="1"/>
  <c r="B1207" i="3"/>
  <c r="B1210" i="3"/>
  <c r="B1213" i="3"/>
  <c r="S1213" i="3" s="1"/>
  <c r="B1223" i="3"/>
  <c r="B1226" i="3"/>
  <c r="B1230" i="3"/>
  <c r="B1234" i="3"/>
  <c r="B1238" i="3"/>
  <c r="B1242" i="3"/>
  <c r="B1246" i="3"/>
  <c r="B1250" i="3"/>
  <c r="B1254" i="3"/>
  <c r="B1258" i="3"/>
  <c r="B1262" i="3"/>
  <c r="B1266" i="3"/>
  <c r="B1270" i="3"/>
  <c r="B1274" i="3"/>
  <c r="B1278" i="3"/>
  <c r="B1282" i="3"/>
  <c r="B1286" i="3"/>
  <c r="B1290" i="3"/>
  <c r="B1294" i="3"/>
  <c r="B1298" i="3"/>
  <c r="B1302" i="3"/>
  <c r="B1306" i="3"/>
  <c r="B1310" i="3"/>
  <c r="B1314" i="3"/>
  <c r="B1318" i="3"/>
  <c r="B1322" i="3"/>
  <c r="B1326" i="3"/>
  <c r="B1330" i="3"/>
  <c r="B1334" i="3"/>
  <c r="B1338" i="3"/>
  <c r="B1342" i="3"/>
  <c r="B1346" i="3"/>
  <c r="B1350" i="3"/>
  <c r="B1354" i="3"/>
  <c r="B1358" i="3"/>
  <c r="B1362" i="3"/>
  <c r="B1366" i="3"/>
  <c r="B1370" i="3"/>
  <c r="B1374" i="3"/>
  <c r="B1378" i="3"/>
  <c r="B1382" i="3"/>
  <c r="B1386" i="3"/>
  <c r="B1390" i="3"/>
  <c r="B1394" i="3"/>
  <c r="B1398" i="3"/>
  <c r="B1402" i="3"/>
  <c r="B1406" i="3"/>
  <c r="B1414" i="3"/>
  <c r="B1418" i="3"/>
  <c r="B1426" i="3"/>
  <c r="B1438" i="3"/>
  <c r="B1450" i="3"/>
  <c r="B1181" i="3"/>
  <c r="S1181" i="3" s="1"/>
  <c r="B1186" i="3"/>
  <c r="B1194" i="3"/>
  <c r="B1203" i="3"/>
  <c r="B1206" i="3"/>
  <c r="B1209" i="3"/>
  <c r="S1209" i="3" s="1"/>
  <c r="B1219" i="3"/>
  <c r="B1222" i="3"/>
  <c r="B1225" i="3"/>
  <c r="S1225" i="3" s="1"/>
  <c r="B1229" i="3"/>
  <c r="S1229" i="3" s="1"/>
  <c r="B1233" i="3"/>
  <c r="S1233" i="3" s="1"/>
  <c r="B1237" i="3"/>
  <c r="S1237" i="3" s="1"/>
  <c r="B1241" i="3"/>
  <c r="S1241" i="3" s="1"/>
  <c r="B1245" i="3"/>
  <c r="S1245" i="3" s="1"/>
  <c r="B1249" i="3"/>
  <c r="S1249" i="3" s="1"/>
  <c r="B1253" i="3"/>
  <c r="S1253" i="3" s="1"/>
  <c r="B1257" i="3"/>
  <c r="S1257" i="3" s="1"/>
  <c r="B1261" i="3"/>
  <c r="S1261" i="3" s="1"/>
  <c r="B1265" i="3"/>
  <c r="S1265" i="3" s="1"/>
  <c r="B1269" i="3"/>
  <c r="S1269" i="3" s="1"/>
  <c r="B1273" i="3"/>
  <c r="S1273" i="3" s="1"/>
  <c r="B1277" i="3"/>
  <c r="S1277" i="3" s="1"/>
  <c r="B1281" i="3"/>
  <c r="S1281" i="3" s="1"/>
  <c r="B1285" i="3"/>
  <c r="S1285" i="3" s="1"/>
  <c r="B1289" i="3"/>
  <c r="S1289" i="3" s="1"/>
  <c r="B1293" i="3"/>
  <c r="S1293" i="3" s="1"/>
  <c r="B1297" i="3"/>
  <c r="S1297" i="3" s="1"/>
  <c r="B1301" i="3"/>
  <c r="S1301" i="3" s="1"/>
  <c r="B1305" i="3"/>
  <c r="S1305" i="3" s="1"/>
  <c r="B1309" i="3"/>
  <c r="S1309" i="3" s="1"/>
  <c r="B1313" i="3"/>
  <c r="S1313" i="3" s="1"/>
  <c r="B1317" i="3"/>
  <c r="S1317" i="3" s="1"/>
  <c r="B1321" i="3"/>
  <c r="S1321" i="3" s="1"/>
  <c r="B1325" i="3"/>
  <c r="S1325" i="3" s="1"/>
  <c r="B1329" i="3"/>
  <c r="S1329" i="3" s="1"/>
  <c r="B1333" i="3"/>
  <c r="S1333" i="3" s="1"/>
  <c r="B1337" i="3"/>
  <c r="S1337" i="3" s="1"/>
  <c r="B1341" i="3"/>
  <c r="S1341" i="3" s="1"/>
  <c r="B1345" i="3"/>
  <c r="S1345" i="3" s="1"/>
  <c r="B1349" i="3"/>
  <c r="S1349" i="3" s="1"/>
  <c r="B1353" i="3"/>
  <c r="S1353" i="3" s="1"/>
  <c r="B1357" i="3"/>
  <c r="S1357" i="3" s="1"/>
  <c r="B1361" i="3"/>
  <c r="S1361" i="3" s="1"/>
  <c r="B1365" i="3"/>
  <c r="S1365" i="3" s="1"/>
  <c r="B1369" i="3"/>
  <c r="S1369" i="3" s="1"/>
  <c r="B1373" i="3"/>
  <c r="S1373" i="3" s="1"/>
  <c r="B1377" i="3"/>
  <c r="S1377" i="3" s="1"/>
  <c r="B1381" i="3"/>
  <c r="S1381" i="3" s="1"/>
  <c r="B1385" i="3"/>
  <c r="S1385" i="3" s="1"/>
  <c r="B1389" i="3"/>
  <c r="S1389" i="3" s="1"/>
  <c r="B1393" i="3"/>
  <c r="S1393" i="3" s="1"/>
  <c r="B1397" i="3"/>
  <c r="S1397" i="3" s="1"/>
  <c r="B1401" i="3"/>
  <c r="S1401" i="3" s="1"/>
  <c r="B1405" i="3"/>
  <c r="S1405" i="3" s="1"/>
  <c r="B1409" i="3"/>
  <c r="S1409" i="3" s="1"/>
  <c r="B1413" i="3"/>
  <c r="S1413" i="3" s="1"/>
  <c r="B1417" i="3"/>
  <c r="S1417" i="3" s="1"/>
  <c r="B1421" i="3"/>
  <c r="S1421" i="3" s="1"/>
  <c r="B1425" i="3"/>
  <c r="S1425" i="3" s="1"/>
  <c r="B1429" i="3"/>
  <c r="S1429" i="3" s="1"/>
  <c r="B1433" i="3"/>
  <c r="S1433" i="3" s="1"/>
  <c r="B1437" i="3"/>
  <c r="S1437" i="3" s="1"/>
  <c r="B1441" i="3"/>
  <c r="S1441" i="3" s="1"/>
  <c r="B1445" i="3"/>
  <c r="S1445" i="3" s="1"/>
  <c r="B1449" i="3"/>
  <c r="S1449" i="3" s="1"/>
  <c r="B1453" i="3"/>
  <c r="S1453" i="3" s="1"/>
  <c r="B1457" i="3"/>
  <c r="S1457" i="3" s="1"/>
  <c r="B1461" i="3"/>
  <c r="S1461" i="3" s="1"/>
  <c r="B1451" i="3"/>
  <c r="B1455" i="3"/>
  <c r="B1442" i="3"/>
  <c r="B1454" i="3"/>
  <c r="B1185" i="3"/>
  <c r="S1185" i="3" s="1"/>
  <c r="B1193" i="3"/>
  <c r="S1193" i="3" s="1"/>
  <c r="B1199" i="3"/>
  <c r="B1202" i="3"/>
  <c r="B1205" i="3"/>
  <c r="S1205" i="3" s="1"/>
  <c r="B1215" i="3"/>
  <c r="B1218" i="3"/>
  <c r="B1221" i="3"/>
  <c r="S1221" i="3" s="1"/>
  <c r="B1228" i="3"/>
  <c r="B1232" i="3"/>
  <c r="B1236" i="3"/>
  <c r="B1240" i="3"/>
  <c r="B1244" i="3"/>
  <c r="B1248" i="3"/>
  <c r="B1252" i="3"/>
  <c r="B1256" i="3"/>
  <c r="B1260" i="3"/>
  <c r="B1264" i="3"/>
  <c r="B1268" i="3"/>
  <c r="B1272" i="3"/>
  <c r="B1276" i="3"/>
  <c r="B1280" i="3"/>
  <c r="B1284" i="3"/>
  <c r="B1288" i="3"/>
  <c r="B1292" i="3"/>
  <c r="B1296" i="3"/>
  <c r="B1300" i="3"/>
  <c r="B1304" i="3"/>
  <c r="B1308" i="3"/>
  <c r="B1312" i="3"/>
  <c r="B1316" i="3"/>
  <c r="B1320" i="3"/>
  <c r="B1324" i="3"/>
  <c r="B1328" i="3"/>
  <c r="B1332" i="3"/>
  <c r="B1336" i="3"/>
  <c r="B1340" i="3"/>
  <c r="B1344" i="3"/>
  <c r="B1348" i="3"/>
  <c r="B1352" i="3"/>
  <c r="B1356" i="3"/>
  <c r="B1360" i="3"/>
  <c r="B1364" i="3"/>
  <c r="B1368" i="3"/>
  <c r="B1372" i="3"/>
  <c r="B1376" i="3"/>
  <c r="B1380" i="3"/>
  <c r="B1384" i="3"/>
  <c r="B1388" i="3"/>
  <c r="B1392" i="3"/>
  <c r="B1396" i="3"/>
  <c r="B1400" i="3"/>
  <c r="B1404" i="3"/>
  <c r="B1408" i="3"/>
  <c r="B1412" i="3"/>
  <c r="B1416" i="3"/>
  <c r="B1420" i="3"/>
  <c r="B1424" i="3"/>
  <c r="B1428" i="3"/>
  <c r="B1432" i="3"/>
  <c r="B1436" i="3"/>
  <c r="B1440" i="3"/>
  <c r="B1444" i="3"/>
  <c r="B1448" i="3"/>
  <c r="B1452" i="3"/>
  <c r="B1456" i="3"/>
  <c r="B1460" i="3"/>
  <c r="B1367" i="3"/>
  <c r="B1375" i="3"/>
  <c r="B1383" i="3"/>
  <c r="B1391" i="3"/>
  <c r="B1399" i="3"/>
  <c r="B1407" i="3"/>
  <c r="B1415" i="3"/>
  <c r="B1423" i="3"/>
  <c r="B1431" i="3"/>
  <c r="B1439" i="3"/>
  <c r="B1447" i="3"/>
  <c r="B1459" i="3"/>
  <c r="B1410" i="3"/>
  <c r="B1422" i="3"/>
  <c r="B1430" i="3"/>
  <c r="B1434" i="3"/>
  <c r="B1446" i="3"/>
  <c r="B2" i="3"/>
  <c r="S2" i="3" s="1"/>
  <c r="B3" i="3"/>
  <c r="S3" i="3" s="1"/>
  <c r="B5" i="3"/>
  <c r="S5" i="3" s="1"/>
  <c r="B7" i="3"/>
  <c r="B9" i="3"/>
  <c r="S9" i="3" s="1"/>
  <c r="B11" i="3"/>
  <c r="B13" i="3"/>
  <c r="S13" i="3" s="1"/>
  <c r="B15" i="3"/>
  <c r="B17" i="3"/>
  <c r="S17" i="3" s="1"/>
  <c r="B19" i="3"/>
  <c r="B21" i="3"/>
  <c r="S21" i="3" s="1"/>
  <c r="B23" i="3"/>
  <c r="B25" i="3"/>
  <c r="S25" i="3" s="1"/>
  <c r="B27" i="3"/>
  <c r="B29" i="3"/>
  <c r="S29" i="3" s="1"/>
  <c r="B31" i="3"/>
  <c r="B33" i="3"/>
  <c r="S33" i="3" s="1"/>
  <c r="B35" i="3"/>
  <c r="B37" i="3"/>
  <c r="S37" i="3" s="1"/>
  <c r="B39" i="3"/>
  <c r="B41" i="3"/>
  <c r="S41" i="3" s="1"/>
  <c r="B43" i="3"/>
  <c r="B45" i="3"/>
  <c r="S45" i="3" s="1"/>
  <c r="B47" i="3"/>
  <c r="B49" i="3"/>
  <c r="S49" i="3" s="1"/>
  <c r="B51" i="3"/>
  <c r="B53" i="3"/>
  <c r="S53" i="3" s="1"/>
  <c r="B55" i="3"/>
  <c r="B57" i="3"/>
  <c r="S57" i="3" s="1"/>
  <c r="B59" i="3"/>
  <c r="B61" i="3"/>
  <c r="S61" i="3" s="1"/>
  <c r="B63" i="3"/>
  <c r="B65" i="3"/>
  <c r="S65" i="3" s="1"/>
  <c r="B67" i="3"/>
  <c r="B69" i="3"/>
  <c r="S69" i="3" s="1"/>
  <c r="B71" i="3"/>
  <c r="B73" i="3"/>
  <c r="S73" i="3" s="1"/>
  <c r="B75" i="3"/>
  <c r="B77" i="3"/>
  <c r="S77" i="3" s="1"/>
  <c r="B79" i="3"/>
  <c r="B81" i="3"/>
  <c r="S81" i="3" s="1"/>
  <c r="B83" i="3"/>
  <c r="B85" i="3"/>
  <c r="S85" i="3" s="1"/>
  <c r="B87" i="3"/>
  <c r="B89" i="3"/>
  <c r="S89" i="3" s="1"/>
  <c r="B91" i="3"/>
  <c r="B93" i="3"/>
  <c r="S93" i="3" s="1"/>
  <c r="B95" i="3"/>
  <c r="B97" i="3"/>
  <c r="S97" i="3" s="1"/>
  <c r="B99" i="3"/>
  <c r="B101" i="3"/>
  <c r="S101" i="3" s="1"/>
  <c r="B103" i="3"/>
  <c r="B105" i="3"/>
  <c r="S105" i="3" s="1"/>
  <c r="B107" i="3"/>
  <c r="B109" i="3"/>
  <c r="S109" i="3" s="1"/>
  <c r="B111" i="3"/>
  <c r="B113" i="3"/>
  <c r="S113" i="3" s="1"/>
  <c r="B115" i="3"/>
  <c r="B117" i="3"/>
  <c r="S117" i="3" s="1"/>
  <c r="B119" i="3"/>
  <c r="B121" i="3"/>
  <c r="S121" i="3" s="1"/>
  <c r="B123" i="3"/>
  <c r="B125" i="3"/>
  <c r="S125" i="3" s="1"/>
  <c r="B127" i="3"/>
  <c r="B129" i="3"/>
  <c r="S129" i="3" s="1"/>
  <c r="B131" i="3"/>
  <c r="B133" i="3"/>
  <c r="S133" i="3" s="1"/>
  <c r="B135" i="3"/>
  <c r="B137" i="3"/>
  <c r="S137" i="3" s="1"/>
  <c r="B139" i="3"/>
  <c r="B141" i="3"/>
  <c r="S141" i="3" s="1"/>
  <c r="B143" i="3"/>
  <c r="B145" i="3"/>
  <c r="S145" i="3" s="1"/>
  <c r="B147" i="3"/>
  <c r="B149" i="3"/>
  <c r="S149" i="3" s="1"/>
  <c r="B151" i="3"/>
  <c r="B153" i="3"/>
  <c r="S153" i="3" s="1"/>
  <c r="B155" i="3"/>
  <c r="B157" i="3"/>
  <c r="S157" i="3" s="1"/>
  <c r="B159" i="3"/>
  <c r="B161" i="3"/>
  <c r="S161" i="3" s="1"/>
  <c r="B163" i="3"/>
  <c r="B165" i="3"/>
  <c r="S165" i="3" s="1"/>
  <c r="B167" i="3"/>
  <c r="B169" i="3"/>
  <c r="S169" i="3" s="1"/>
  <c r="B171" i="3"/>
  <c r="B4" i="3"/>
  <c r="S4" i="3" s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3" i="3"/>
  <c r="S173" i="3" s="1"/>
  <c r="B175" i="3"/>
  <c r="B177" i="3"/>
  <c r="S177" i="3" s="1"/>
  <c r="B179" i="3"/>
  <c r="B181" i="3"/>
  <c r="S181" i="3" s="1"/>
  <c r="B183" i="3"/>
  <c r="B185" i="3"/>
  <c r="S185" i="3" s="1"/>
  <c r="B187" i="3"/>
  <c r="B189" i="3"/>
  <c r="S189" i="3" s="1"/>
  <c r="B191" i="3"/>
  <c r="B193" i="3"/>
  <c r="S193" i="3" s="1"/>
  <c r="B195" i="3"/>
  <c r="B197" i="3"/>
  <c r="S197" i="3" s="1"/>
  <c r="B199" i="3"/>
  <c r="B201" i="3"/>
  <c r="S201" i="3" s="1"/>
  <c r="B203" i="3"/>
  <c r="B205" i="3"/>
  <c r="S205" i="3" s="1"/>
  <c r="B207" i="3"/>
  <c r="B209" i="3"/>
  <c r="S209" i="3" s="1"/>
  <c r="B211" i="3"/>
  <c r="B213" i="3"/>
  <c r="S213" i="3" s="1"/>
  <c r="B215" i="3"/>
  <c r="B217" i="3"/>
  <c r="S217" i="3" s="1"/>
  <c r="B219" i="3"/>
  <c r="B221" i="3"/>
  <c r="S221" i="3" s="1"/>
  <c r="B223" i="3"/>
  <c r="B225" i="3"/>
  <c r="S225" i="3" s="1"/>
  <c r="B227" i="3"/>
  <c r="B229" i="3"/>
  <c r="S229" i="3" s="1"/>
  <c r="B231" i="3"/>
  <c r="B233" i="3"/>
  <c r="S233" i="3" s="1"/>
  <c r="B235" i="3"/>
  <c r="B237" i="3"/>
  <c r="S237" i="3" s="1"/>
  <c r="B239" i="3"/>
  <c r="B241" i="3"/>
  <c r="S241" i="3" s="1"/>
  <c r="B243" i="3"/>
  <c r="B245" i="3"/>
  <c r="S245" i="3" s="1"/>
  <c r="B247" i="3"/>
  <c r="B249" i="3"/>
  <c r="S249" i="3" s="1"/>
  <c r="B251" i="3"/>
  <c r="B253" i="3"/>
  <c r="S253" i="3" s="1"/>
  <c r="B255" i="3"/>
  <c r="B257" i="3"/>
  <c r="S257" i="3" s="1"/>
  <c r="B259" i="3"/>
  <c r="B261" i="3"/>
  <c r="S261" i="3" s="1"/>
  <c r="B263" i="3"/>
  <c r="B265" i="3"/>
  <c r="S265" i="3" s="1"/>
  <c r="B267" i="3"/>
  <c r="B269" i="3"/>
  <c r="S269" i="3" s="1"/>
  <c r="B271" i="3"/>
  <c r="B273" i="3"/>
  <c r="S273" i="3" s="1"/>
  <c r="B275" i="3"/>
  <c r="B277" i="3"/>
  <c r="S277" i="3" s="1"/>
  <c r="B279" i="3"/>
  <c r="B281" i="3"/>
  <c r="S281" i="3" s="1"/>
  <c r="B283" i="3"/>
  <c r="B285" i="3"/>
  <c r="S285" i="3" s="1"/>
  <c r="B287" i="3"/>
  <c r="B289" i="3"/>
  <c r="S289" i="3" s="1"/>
  <c r="B291" i="3"/>
  <c r="B293" i="3"/>
  <c r="S293" i="3" s="1"/>
  <c r="B295" i="3"/>
  <c r="B297" i="3"/>
  <c r="S297" i="3" s="1"/>
  <c r="B299" i="3"/>
  <c r="B301" i="3"/>
  <c r="S301" i="3" s="1"/>
  <c r="B303" i="3"/>
  <c r="B305" i="3"/>
  <c r="S305" i="3" s="1"/>
  <c r="B307" i="3"/>
  <c r="B309" i="3"/>
  <c r="S309" i="3" s="1"/>
  <c r="B311" i="3"/>
  <c r="B313" i="3"/>
  <c r="S313" i="3" s="1"/>
  <c r="B315" i="3"/>
  <c r="B317" i="3"/>
  <c r="S317" i="3" s="1"/>
  <c r="B319" i="3"/>
  <c r="B321" i="3"/>
  <c r="S321" i="3" s="1"/>
  <c r="B323" i="3"/>
  <c r="B325" i="3"/>
  <c r="S325" i="3" s="1"/>
  <c r="B327" i="3"/>
  <c r="B329" i="3"/>
  <c r="S329" i="3" s="1"/>
  <c r="B331" i="3"/>
  <c r="B333" i="3"/>
  <c r="S333" i="3" s="1"/>
  <c r="B335" i="3"/>
  <c r="B337" i="3"/>
  <c r="S337" i="3" s="1"/>
  <c r="B339" i="3"/>
  <c r="B341" i="3"/>
  <c r="S341" i="3" s="1"/>
  <c r="B180" i="3"/>
  <c r="B188" i="3"/>
  <c r="B196" i="3"/>
  <c r="B204" i="3"/>
  <c r="B212" i="3"/>
  <c r="B220" i="3"/>
  <c r="B228" i="3"/>
  <c r="B236" i="3"/>
  <c r="B244" i="3"/>
  <c r="B252" i="3"/>
  <c r="B260" i="3"/>
  <c r="B268" i="3"/>
  <c r="B276" i="3"/>
  <c r="B284" i="3"/>
  <c r="B292" i="3"/>
  <c r="B300" i="3"/>
  <c r="B308" i="3"/>
  <c r="B316" i="3"/>
  <c r="B324" i="3"/>
  <c r="B332" i="3"/>
  <c r="B34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3" i="3"/>
  <c r="B345" i="3"/>
  <c r="S345" i="3" s="1"/>
  <c r="B347" i="3"/>
  <c r="B349" i="3"/>
  <c r="S349" i="3" s="1"/>
  <c r="B351" i="3"/>
  <c r="B353" i="3"/>
  <c r="S353" i="3" s="1"/>
  <c r="B355" i="3"/>
  <c r="B357" i="3"/>
  <c r="S357" i="3" s="1"/>
  <c r="B359" i="3"/>
  <c r="B361" i="3"/>
  <c r="S361" i="3" s="1"/>
  <c r="B363" i="3"/>
  <c r="B365" i="3"/>
  <c r="S365" i="3" s="1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50" i="3"/>
  <c r="B356" i="3"/>
  <c r="B360" i="3"/>
  <c r="B364" i="3"/>
  <c r="B174" i="3"/>
  <c r="B182" i="3"/>
  <c r="B190" i="3"/>
  <c r="B198" i="3"/>
  <c r="B206" i="3"/>
  <c r="B214" i="3"/>
  <c r="B222" i="3"/>
  <c r="B230" i="3"/>
  <c r="B238" i="3"/>
  <c r="B246" i="3"/>
  <c r="B254" i="3"/>
  <c r="B262" i="3"/>
  <c r="B270" i="3"/>
  <c r="B278" i="3"/>
  <c r="B286" i="3"/>
  <c r="B294" i="3"/>
  <c r="B302" i="3"/>
  <c r="B310" i="3"/>
  <c r="B318" i="3"/>
  <c r="B326" i="3"/>
  <c r="B334" i="3"/>
  <c r="B342" i="3"/>
  <c r="B344" i="3"/>
  <c r="B346" i="3"/>
  <c r="B348" i="3"/>
  <c r="B352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R1463" i="3" l="1"/>
  <c r="G1463" i="3"/>
  <c r="K1463" i="3"/>
  <c r="O1463" i="3"/>
  <c r="S1463" i="3"/>
  <c r="W1463" i="3"/>
  <c r="L1463" i="3"/>
  <c r="T1463" i="3"/>
  <c r="D1463" i="3"/>
  <c r="H1463" i="3"/>
  <c r="P1463" i="3"/>
  <c r="E1463" i="3"/>
  <c r="I1463" i="3"/>
  <c r="M1463" i="3"/>
  <c r="Q1463" i="3"/>
  <c r="U1463" i="3"/>
  <c r="F1463" i="3"/>
  <c r="J1463" i="3"/>
  <c r="N1463" i="3"/>
  <c r="V1463" i="3"/>
  <c r="G1464" i="3"/>
  <c r="K1464" i="3"/>
  <c r="O1464" i="3"/>
  <c r="S1464" i="3"/>
  <c r="W1464" i="3"/>
  <c r="D1464" i="3"/>
  <c r="H1464" i="3"/>
  <c r="L1464" i="3"/>
  <c r="P1464" i="3"/>
  <c r="T1464" i="3"/>
  <c r="E1464" i="3"/>
  <c r="I1464" i="3"/>
  <c r="M1464" i="3"/>
  <c r="U1464" i="3"/>
  <c r="F1464" i="3"/>
  <c r="J1464" i="3"/>
  <c r="N1464" i="3"/>
  <c r="R1464" i="3"/>
  <c r="V1464" i="3"/>
  <c r="Q1464" i="3"/>
  <c r="F1462" i="3"/>
  <c r="J1462" i="3"/>
  <c r="N1462" i="3"/>
  <c r="R1462" i="3"/>
  <c r="V1462" i="3"/>
  <c r="W1462" i="3"/>
  <c r="G1462" i="3"/>
  <c r="K1462" i="3"/>
  <c r="O1462" i="3"/>
  <c r="S1462" i="3"/>
  <c r="D1462" i="3"/>
  <c r="H1462" i="3"/>
  <c r="L1462" i="3"/>
  <c r="P1462" i="3"/>
  <c r="T1462" i="3"/>
  <c r="E1462" i="3"/>
  <c r="I1462" i="3"/>
  <c r="M1462" i="3"/>
  <c r="Q1462" i="3"/>
  <c r="U1462" i="3"/>
  <c r="D1465" i="3"/>
  <c r="L1465" i="3"/>
  <c r="T1465" i="3"/>
  <c r="E1465" i="3"/>
  <c r="I1465" i="3"/>
  <c r="M1465" i="3"/>
  <c r="Q1465" i="3"/>
  <c r="U1465" i="3"/>
  <c r="J1465" i="3"/>
  <c r="R1465" i="3"/>
  <c r="G1465" i="3"/>
  <c r="K1465" i="3"/>
  <c r="O1465" i="3"/>
  <c r="S1465" i="3"/>
  <c r="W1465" i="3"/>
  <c r="H1465" i="3"/>
  <c r="P1465" i="3"/>
  <c r="F1465" i="3"/>
  <c r="N1465" i="3"/>
  <c r="V1465" i="3"/>
  <c r="E367" i="2"/>
  <c r="D367" i="2"/>
  <c r="S366" i="3"/>
  <c r="S352" i="3"/>
  <c r="S342" i="3"/>
  <c r="S310" i="3"/>
  <c r="S278" i="3"/>
  <c r="S246" i="3"/>
  <c r="S214" i="3"/>
  <c r="S182" i="3"/>
  <c r="S356" i="3"/>
  <c r="S320" i="3"/>
  <c r="S288" i="3"/>
  <c r="S256" i="3"/>
  <c r="S224" i="3"/>
  <c r="S192" i="3"/>
  <c r="S363" i="3"/>
  <c r="S355" i="3"/>
  <c r="S347" i="3"/>
  <c r="S330" i="3"/>
  <c r="S298" i="3"/>
  <c r="S266" i="3"/>
  <c r="S234" i="3"/>
  <c r="S202" i="3"/>
  <c r="S340" i="3"/>
  <c r="S308" i="3"/>
  <c r="S276" i="3"/>
  <c r="S244" i="3"/>
  <c r="S212" i="3"/>
  <c r="S180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8" i="3"/>
  <c r="S160" i="3"/>
  <c r="S152" i="3"/>
  <c r="S144" i="3"/>
  <c r="S136" i="3"/>
  <c r="S128" i="3"/>
  <c r="S120" i="3"/>
  <c r="S112" i="3"/>
  <c r="S104" i="3"/>
  <c r="S96" i="3"/>
  <c r="S88" i="3"/>
  <c r="S80" i="3"/>
  <c r="S72" i="3"/>
  <c r="S64" i="3"/>
  <c r="S56" i="3"/>
  <c r="S48" i="3"/>
  <c r="S40" i="3"/>
  <c r="S32" i="3"/>
  <c r="S24" i="3"/>
  <c r="S16" i="3"/>
  <c r="S8" i="3"/>
  <c r="S1422" i="3"/>
  <c r="S1439" i="3"/>
  <c r="S1407" i="3"/>
  <c r="S1375" i="3"/>
  <c r="S1452" i="3"/>
  <c r="S1436" i="3"/>
  <c r="S1420" i="3"/>
  <c r="S1404" i="3"/>
  <c r="S1388" i="3"/>
  <c r="S1372" i="3"/>
  <c r="S1356" i="3"/>
  <c r="S1340" i="3"/>
  <c r="S1324" i="3"/>
  <c r="S1308" i="3"/>
  <c r="S1292" i="3"/>
  <c r="S1276" i="3"/>
  <c r="S1260" i="3"/>
  <c r="S1244" i="3"/>
  <c r="S1228" i="3"/>
  <c r="S1451" i="3"/>
  <c r="S1206" i="3"/>
  <c r="S1418" i="3"/>
  <c r="S1398" i="3"/>
  <c r="S1382" i="3"/>
  <c r="S1366" i="3"/>
  <c r="S1350" i="3"/>
  <c r="S1334" i="3"/>
  <c r="S1318" i="3"/>
  <c r="S1302" i="3"/>
  <c r="S1286" i="3"/>
  <c r="S1270" i="3"/>
  <c r="S1254" i="3"/>
  <c r="S1238" i="3"/>
  <c r="S1223" i="3"/>
  <c r="S1443" i="3"/>
  <c r="S1411" i="3"/>
  <c r="S362" i="3"/>
  <c r="S348" i="3"/>
  <c r="S334" i="3"/>
  <c r="S302" i="3"/>
  <c r="S270" i="3"/>
  <c r="S238" i="3"/>
  <c r="S206" i="3"/>
  <c r="S174" i="3"/>
  <c r="S350" i="3"/>
  <c r="S312" i="3"/>
  <c r="S280" i="3"/>
  <c r="S248" i="3"/>
  <c r="S216" i="3"/>
  <c r="S184" i="3"/>
  <c r="S322" i="3"/>
  <c r="S290" i="3"/>
  <c r="S258" i="3"/>
  <c r="S226" i="3"/>
  <c r="S194" i="3"/>
  <c r="S332" i="3"/>
  <c r="S300" i="3"/>
  <c r="S268" i="3"/>
  <c r="S236" i="3"/>
  <c r="S204" i="3"/>
  <c r="S166" i="3"/>
  <c r="S158" i="3"/>
  <c r="S150" i="3"/>
  <c r="S142" i="3"/>
  <c r="S134" i="3"/>
  <c r="S126" i="3"/>
  <c r="S118" i="3"/>
  <c r="S110" i="3"/>
  <c r="S102" i="3"/>
  <c r="S94" i="3"/>
  <c r="S86" i="3"/>
  <c r="S78" i="3"/>
  <c r="S70" i="3"/>
  <c r="S62" i="3"/>
  <c r="S54" i="3"/>
  <c r="S46" i="3"/>
  <c r="S38" i="3"/>
  <c r="S30" i="3"/>
  <c r="S22" i="3"/>
  <c r="S14" i="3"/>
  <c r="S6" i="3"/>
  <c r="S167" i="3"/>
  <c r="S159" i="3"/>
  <c r="S151" i="3"/>
  <c r="S143" i="3"/>
  <c r="S135" i="3"/>
  <c r="S127" i="3"/>
  <c r="S119" i="3"/>
  <c r="S111" i="3"/>
  <c r="S103" i="3"/>
  <c r="S95" i="3"/>
  <c r="S87" i="3"/>
  <c r="S79" i="3"/>
  <c r="S71" i="3"/>
  <c r="S63" i="3"/>
  <c r="S55" i="3"/>
  <c r="S47" i="3"/>
  <c r="S39" i="3"/>
  <c r="S31" i="3"/>
  <c r="S23" i="3"/>
  <c r="S15" i="3"/>
  <c r="S7" i="3"/>
  <c r="S1446" i="3"/>
  <c r="S1410" i="3"/>
  <c r="S1431" i="3"/>
  <c r="S1399" i="3"/>
  <c r="S1367" i="3"/>
  <c r="S1448" i="3"/>
  <c r="S1432" i="3"/>
  <c r="S1416" i="3"/>
  <c r="S1400" i="3"/>
  <c r="S1384" i="3"/>
  <c r="S1368" i="3"/>
  <c r="S1352" i="3"/>
  <c r="S1336" i="3"/>
  <c r="S1320" i="3"/>
  <c r="S1304" i="3"/>
  <c r="S1288" i="3"/>
  <c r="S1272" i="3"/>
  <c r="S1256" i="3"/>
  <c r="S1240" i="3"/>
  <c r="S1202" i="3"/>
  <c r="S1454" i="3"/>
  <c r="S1222" i="3"/>
  <c r="S1203" i="3"/>
  <c r="S1450" i="3"/>
  <c r="S1414" i="3"/>
  <c r="S1394" i="3"/>
  <c r="S1378" i="3"/>
  <c r="S1362" i="3"/>
  <c r="S1346" i="3"/>
  <c r="S1330" i="3"/>
  <c r="S1314" i="3"/>
  <c r="S1298" i="3"/>
  <c r="S1282" i="3"/>
  <c r="S1266" i="3"/>
  <c r="S1250" i="3"/>
  <c r="S1234" i="3"/>
  <c r="S1435" i="3"/>
  <c r="S1403" i="3"/>
  <c r="S1371" i="3"/>
  <c r="S1351" i="3"/>
  <c r="S1335" i="3"/>
  <c r="S1319" i="3"/>
  <c r="S1303" i="3"/>
  <c r="S1287" i="3"/>
  <c r="S358" i="3"/>
  <c r="S346" i="3"/>
  <c r="S326" i="3"/>
  <c r="S294" i="3"/>
  <c r="S262" i="3"/>
  <c r="S230" i="3"/>
  <c r="S198" i="3"/>
  <c r="S364" i="3"/>
  <c r="S336" i="3"/>
  <c r="S304" i="3"/>
  <c r="S272" i="3"/>
  <c r="S240" i="3"/>
  <c r="S208" i="3"/>
  <c r="S176" i="3"/>
  <c r="S359" i="3"/>
  <c r="S351" i="3"/>
  <c r="S343" i="3"/>
  <c r="S314" i="3"/>
  <c r="S282" i="3"/>
  <c r="S250" i="3"/>
  <c r="S218" i="3"/>
  <c r="S186" i="3"/>
  <c r="S324" i="3"/>
  <c r="S292" i="3"/>
  <c r="S260" i="3"/>
  <c r="S228" i="3"/>
  <c r="S196" i="3"/>
  <c r="S339" i="3"/>
  <c r="S331" i="3"/>
  <c r="S323" i="3"/>
  <c r="S315" i="3"/>
  <c r="S307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2" i="3"/>
  <c r="S164" i="3"/>
  <c r="S156" i="3"/>
  <c r="S148" i="3"/>
  <c r="S140" i="3"/>
  <c r="S132" i="3"/>
  <c r="S124" i="3"/>
  <c r="S116" i="3"/>
  <c r="S108" i="3"/>
  <c r="S100" i="3"/>
  <c r="S92" i="3"/>
  <c r="S84" i="3"/>
  <c r="S76" i="3"/>
  <c r="S68" i="3"/>
  <c r="S60" i="3"/>
  <c r="S52" i="3"/>
  <c r="S44" i="3"/>
  <c r="S36" i="3"/>
  <c r="S28" i="3"/>
  <c r="S20" i="3"/>
  <c r="S12" i="3"/>
  <c r="S1434" i="3"/>
  <c r="S1459" i="3"/>
  <c r="S1423" i="3"/>
  <c r="S1391" i="3"/>
  <c r="S1460" i="3"/>
  <c r="S1444" i="3"/>
  <c r="S1428" i="3"/>
  <c r="S1412" i="3"/>
  <c r="S1396" i="3"/>
  <c r="S1380" i="3"/>
  <c r="S1364" i="3"/>
  <c r="S1348" i="3"/>
  <c r="S1332" i="3"/>
  <c r="S1316" i="3"/>
  <c r="S1300" i="3"/>
  <c r="S1284" i="3"/>
  <c r="S1268" i="3"/>
  <c r="S1252" i="3"/>
  <c r="S1236" i="3"/>
  <c r="S1218" i="3"/>
  <c r="S1199" i="3"/>
  <c r="S1442" i="3"/>
  <c r="S1219" i="3"/>
  <c r="S1194" i="3"/>
  <c r="S1438" i="3"/>
  <c r="S1406" i="3"/>
  <c r="S1390" i="3"/>
  <c r="S1374" i="3"/>
  <c r="S1358" i="3"/>
  <c r="S1342" i="3"/>
  <c r="S1326" i="3"/>
  <c r="S1310" i="3"/>
  <c r="S1294" i="3"/>
  <c r="S1278" i="3"/>
  <c r="S1262" i="3"/>
  <c r="S1246" i="3"/>
  <c r="S1230" i="3"/>
  <c r="S1210" i="3"/>
  <c r="S1427" i="3"/>
  <c r="S1395" i="3"/>
  <c r="S1363" i="3"/>
  <c r="S1347" i="3"/>
  <c r="S1331" i="3"/>
  <c r="S1315" i="3"/>
  <c r="S1299" i="3"/>
  <c r="S1283" i="3"/>
  <c r="S1267" i="3"/>
  <c r="S1251" i="3"/>
  <c r="S1235" i="3"/>
  <c r="S1214" i="3"/>
  <c r="S1190" i="3"/>
  <c r="S1170" i="3"/>
  <c r="S1154" i="3"/>
  <c r="S1138" i="3"/>
  <c r="S1122" i="3"/>
  <c r="S1106" i="3"/>
  <c r="S1090" i="3"/>
  <c r="S1074" i="3"/>
  <c r="S1058" i="3"/>
  <c r="S1042" i="3"/>
  <c r="S1026" i="3"/>
  <c r="S1010" i="3"/>
  <c r="S994" i="3"/>
  <c r="S978" i="3"/>
  <c r="S354" i="3"/>
  <c r="S344" i="3"/>
  <c r="S318" i="3"/>
  <c r="S286" i="3"/>
  <c r="S254" i="3"/>
  <c r="S222" i="3"/>
  <c r="S190" i="3"/>
  <c r="S360" i="3"/>
  <c r="S328" i="3"/>
  <c r="S296" i="3"/>
  <c r="S264" i="3"/>
  <c r="S232" i="3"/>
  <c r="S200" i="3"/>
  <c r="S338" i="3"/>
  <c r="S306" i="3"/>
  <c r="S274" i="3"/>
  <c r="S242" i="3"/>
  <c r="S210" i="3"/>
  <c r="S178" i="3"/>
  <c r="S316" i="3"/>
  <c r="S284" i="3"/>
  <c r="S252" i="3"/>
  <c r="S220" i="3"/>
  <c r="S18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1430" i="3"/>
  <c r="S1447" i="3"/>
  <c r="S1415" i="3"/>
  <c r="S1383" i="3"/>
  <c r="S1456" i="3"/>
  <c r="S1440" i="3"/>
  <c r="S1424" i="3"/>
  <c r="S1408" i="3"/>
  <c r="S1392" i="3"/>
  <c r="S1376" i="3"/>
  <c r="S1360" i="3"/>
  <c r="S1344" i="3"/>
  <c r="S1328" i="3"/>
  <c r="S1312" i="3"/>
  <c r="S1296" i="3"/>
  <c r="S1280" i="3"/>
  <c r="S1264" i="3"/>
  <c r="S1248" i="3"/>
  <c r="S1232" i="3"/>
  <c r="S1215" i="3"/>
  <c r="S1455" i="3"/>
  <c r="S1186" i="3"/>
  <c r="S1426" i="3"/>
  <c r="S1402" i="3"/>
  <c r="S1386" i="3"/>
  <c r="S1370" i="3"/>
  <c r="S1354" i="3"/>
  <c r="S1338" i="3"/>
  <c r="S1322" i="3"/>
  <c r="S1306" i="3"/>
  <c r="S1290" i="3"/>
  <c r="S1274" i="3"/>
  <c r="S1258" i="3"/>
  <c r="S1242" i="3"/>
  <c r="S1226" i="3"/>
  <c r="S1207" i="3"/>
  <c r="S1458" i="3"/>
  <c r="S1419" i="3"/>
  <c r="S1387" i="3"/>
  <c r="S1359" i="3"/>
  <c r="S1343" i="3"/>
  <c r="S1327" i="3"/>
  <c r="S1311" i="3"/>
  <c r="S1295" i="3"/>
  <c r="S1279" i="3"/>
  <c r="S1263" i="3"/>
  <c r="S1247" i="3"/>
  <c r="S1379" i="3"/>
  <c r="S1355" i="3"/>
  <c r="S1339" i="3"/>
  <c r="S1323" i="3"/>
  <c r="S1307" i="3"/>
  <c r="S1291" i="3"/>
  <c r="S1275" i="3"/>
  <c r="S1259" i="3"/>
  <c r="S1243" i="3"/>
  <c r="S1227" i="3"/>
  <c r="S1178" i="3"/>
  <c r="S1162" i="3"/>
  <c r="S1146" i="3"/>
  <c r="S1130" i="3"/>
  <c r="S1114" i="3"/>
  <c r="S1098" i="3"/>
  <c r="S1082" i="3"/>
  <c r="S1066" i="3"/>
  <c r="S1050" i="3"/>
  <c r="S1034" i="3"/>
  <c r="S1018" i="3"/>
  <c r="S1002" i="3"/>
  <c r="S986" i="3"/>
  <c r="S970" i="3"/>
  <c r="S951" i="3"/>
  <c r="S906" i="3"/>
  <c r="S887" i="3"/>
  <c r="S1187" i="3"/>
  <c r="S1171" i="3"/>
  <c r="S1155" i="3"/>
  <c r="S1139" i="3"/>
  <c r="S1123" i="3"/>
  <c r="S1107" i="3"/>
  <c r="S1091" i="3"/>
  <c r="S1075" i="3"/>
  <c r="S1059" i="3"/>
  <c r="S1043" i="3"/>
  <c r="S1027" i="3"/>
  <c r="S1011" i="3"/>
  <c r="S995" i="3"/>
  <c r="S979" i="3"/>
  <c r="S958" i="3"/>
  <c r="S939" i="3"/>
  <c r="S894" i="3"/>
  <c r="S866" i="3"/>
  <c r="S1220" i="3"/>
  <c r="S1204" i="3"/>
  <c r="S1188" i="3"/>
  <c r="S1172" i="3"/>
  <c r="S1156" i="3"/>
  <c r="S1140" i="3"/>
  <c r="S1124" i="3"/>
  <c r="S1108" i="3"/>
  <c r="S1092" i="3"/>
  <c r="S1076" i="3"/>
  <c r="S1060" i="3"/>
  <c r="S1044" i="3"/>
  <c r="S1028" i="3"/>
  <c r="S1012" i="3"/>
  <c r="S996" i="3"/>
  <c r="S980" i="3"/>
  <c r="S962" i="3"/>
  <c r="S943" i="3"/>
  <c r="S898" i="3"/>
  <c r="S966" i="3"/>
  <c r="S947" i="3"/>
  <c r="S902" i="3"/>
  <c r="S878" i="3"/>
  <c r="S846" i="3"/>
  <c r="S871" i="3"/>
  <c r="S855" i="3"/>
  <c r="S839" i="3"/>
  <c r="S823" i="3"/>
  <c r="S807" i="3"/>
  <c r="S791" i="3"/>
  <c r="S775" i="3"/>
  <c r="S759" i="3"/>
  <c r="S743" i="3"/>
  <c r="S727" i="3"/>
  <c r="S711" i="3"/>
  <c r="S691" i="3"/>
  <c r="S646" i="3"/>
  <c r="S627" i="3"/>
  <c r="S968" i="3"/>
  <c r="S952" i="3"/>
  <c r="S936" i="3"/>
  <c r="S920" i="3"/>
  <c r="S904" i="3"/>
  <c r="S888" i="3"/>
  <c r="S872" i="3"/>
  <c r="S856" i="3"/>
  <c r="S840" i="3"/>
  <c r="S824" i="3"/>
  <c r="S808" i="3"/>
  <c r="S792" i="3"/>
  <c r="S776" i="3"/>
  <c r="S760" i="3"/>
  <c r="S744" i="3"/>
  <c r="S728" i="3"/>
  <c r="S712" i="3"/>
  <c r="S695" i="3"/>
  <c r="S650" i="3"/>
  <c r="S631" i="3"/>
  <c r="S603" i="3"/>
  <c r="S702" i="3"/>
  <c r="S683" i="3"/>
  <c r="S638" i="3"/>
  <c r="S619" i="3"/>
  <c r="S842" i="3"/>
  <c r="S826" i="3"/>
  <c r="S810" i="3"/>
  <c r="S794" i="3"/>
  <c r="S778" i="3"/>
  <c r="S762" i="3"/>
  <c r="S746" i="3"/>
  <c r="S730" i="3"/>
  <c r="S714" i="3"/>
  <c r="S674" i="3"/>
  <c r="S655" i="3"/>
  <c r="S610" i="3"/>
  <c r="S594" i="3"/>
  <c r="S578" i="3"/>
  <c r="S562" i="3"/>
  <c r="S546" i="3"/>
  <c r="S530" i="3"/>
  <c r="S514" i="3"/>
  <c r="S498" i="3"/>
  <c r="S482" i="3"/>
  <c r="S466" i="3"/>
  <c r="S450" i="3"/>
  <c r="S434" i="3"/>
  <c r="S418" i="3"/>
  <c r="S402" i="3"/>
  <c r="S386" i="3"/>
  <c r="S370" i="3"/>
  <c r="S583" i="3"/>
  <c r="S567" i="3"/>
  <c r="S551" i="3"/>
  <c r="S535" i="3"/>
  <c r="S519" i="3"/>
  <c r="S503" i="3"/>
  <c r="S487" i="3"/>
  <c r="S471" i="3"/>
  <c r="S455" i="3"/>
  <c r="S439" i="3"/>
  <c r="S423" i="3"/>
  <c r="S407" i="3"/>
  <c r="S391" i="3"/>
  <c r="S375" i="3"/>
  <c r="S700" i="3"/>
  <c r="S684" i="3"/>
  <c r="S668" i="3"/>
  <c r="S652" i="3"/>
  <c r="S636" i="3"/>
  <c r="S620" i="3"/>
  <c r="S604" i="3"/>
  <c r="S588" i="3"/>
  <c r="S572" i="3"/>
  <c r="S556" i="3"/>
  <c r="S540" i="3"/>
  <c r="S524" i="3"/>
  <c r="S508" i="3"/>
  <c r="S492" i="3"/>
  <c r="S476" i="3"/>
  <c r="S460" i="3"/>
  <c r="S444" i="3"/>
  <c r="S428" i="3"/>
  <c r="S412" i="3"/>
  <c r="S396" i="3"/>
  <c r="S380" i="3"/>
  <c r="S1271" i="3"/>
  <c r="S1255" i="3"/>
  <c r="S1239" i="3"/>
  <c r="S1198" i="3"/>
  <c r="S1174" i="3"/>
  <c r="S1158" i="3"/>
  <c r="S1142" i="3"/>
  <c r="S1126" i="3"/>
  <c r="S1110" i="3"/>
  <c r="S1094" i="3"/>
  <c r="S1078" i="3"/>
  <c r="S1062" i="3"/>
  <c r="S1046" i="3"/>
  <c r="S1030" i="3"/>
  <c r="S1014" i="3"/>
  <c r="S998" i="3"/>
  <c r="S982" i="3"/>
  <c r="S967" i="3"/>
  <c r="S922" i="3"/>
  <c r="S903" i="3"/>
  <c r="S1183" i="3"/>
  <c r="S1167" i="3"/>
  <c r="S1151" i="3"/>
  <c r="S1135" i="3"/>
  <c r="S1119" i="3"/>
  <c r="S1103" i="3"/>
  <c r="S1087" i="3"/>
  <c r="S1071" i="3"/>
  <c r="S1055" i="3"/>
  <c r="S1039" i="3"/>
  <c r="S1023" i="3"/>
  <c r="S1007" i="3"/>
  <c r="S991" i="3"/>
  <c r="S975" i="3"/>
  <c r="S955" i="3"/>
  <c r="S910" i="3"/>
  <c r="S891" i="3"/>
  <c r="S858" i="3"/>
  <c r="S1216" i="3"/>
  <c r="S1200" i="3"/>
  <c r="S1184" i="3"/>
  <c r="S1168" i="3"/>
  <c r="S1152" i="3"/>
  <c r="S1136" i="3"/>
  <c r="S1120" i="3"/>
  <c r="S1104" i="3"/>
  <c r="S1088" i="3"/>
  <c r="S1072" i="3"/>
  <c r="S1056" i="3"/>
  <c r="S1040" i="3"/>
  <c r="S1024" i="3"/>
  <c r="S1008" i="3"/>
  <c r="S992" i="3"/>
  <c r="S976" i="3"/>
  <c r="S959" i="3"/>
  <c r="S914" i="3"/>
  <c r="S895" i="3"/>
  <c r="S963" i="3"/>
  <c r="S918" i="3"/>
  <c r="S899" i="3"/>
  <c r="S870" i="3"/>
  <c r="S883" i="3"/>
  <c r="S867" i="3"/>
  <c r="S851" i="3"/>
  <c r="S835" i="3"/>
  <c r="S819" i="3"/>
  <c r="S803" i="3"/>
  <c r="S787" i="3"/>
  <c r="S771" i="3"/>
  <c r="S755" i="3"/>
  <c r="S739" i="3"/>
  <c r="S723" i="3"/>
  <c r="S707" i="3"/>
  <c r="S662" i="3"/>
  <c r="S643" i="3"/>
  <c r="S964" i="3"/>
  <c r="S948" i="3"/>
  <c r="S932" i="3"/>
  <c r="S916" i="3"/>
  <c r="S900" i="3"/>
  <c r="S884" i="3"/>
  <c r="S868" i="3"/>
  <c r="S852" i="3"/>
  <c r="S836" i="3"/>
  <c r="S820" i="3"/>
  <c r="S804" i="3"/>
  <c r="S788" i="3"/>
  <c r="S772" i="3"/>
  <c r="S756" i="3"/>
  <c r="S740" i="3"/>
  <c r="S724" i="3"/>
  <c r="S708" i="3"/>
  <c r="S666" i="3"/>
  <c r="S647" i="3"/>
  <c r="S699" i="3"/>
  <c r="S654" i="3"/>
  <c r="S635" i="3"/>
  <c r="S838" i="3"/>
  <c r="S822" i="3"/>
  <c r="S806" i="3"/>
  <c r="S790" i="3"/>
  <c r="S774" i="3"/>
  <c r="S758" i="3"/>
  <c r="S742" i="3"/>
  <c r="S726" i="3"/>
  <c r="S710" i="3"/>
  <c r="S690" i="3"/>
  <c r="S671" i="3"/>
  <c r="S626" i="3"/>
  <c r="S607" i="3"/>
  <c r="S590" i="3"/>
  <c r="S574" i="3"/>
  <c r="S558" i="3"/>
  <c r="S542" i="3"/>
  <c r="S526" i="3"/>
  <c r="S510" i="3"/>
  <c r="S494" i="3"/>
  <c r="S478" i="3"/>
  <c r="S462" i="3"/>
  <c r="S446" i="3"/>
  <c r="S430" i="3"/>
  <c r="S414" i="3"/>
  <c r="S398" i="3"/>
  <c r="S382" i="3"/>
  <c r="S595" i="3"/>
  <c r="S579" i="3"/>
  <c r="S563" i="3"/>
  <c r="S547" i="3"/>
  <c r="S531" i="3"/>
  <c r="S515" i="3"/>
  <c r="S499" i="3"/>
  <c r="S483" i="3"/>
  <c r="S467" i="3"/>
  <c r="S451" i="3"/>
  <c r="S435" i="3"/>
  <c r="S419" i="3"/>
  <c r="S403" i="3"/>
  <c r="S387" i="3"/>
  <c r="S371" i="3"/>
  <c r="S696" i="3"/>
  <c r="S680" i="3"/>
  <c r="S664" i="3"/>
  <c r="S648" i="3"/>
  <c r="S632" i="3"/>
  <c r="S616" i="3"/>
  <c r="S600" i="3"/>
  <c r="S584" i="3"/>
  <c r="S568" i="3"/>
  <c r="S552" i="3"/>
  <c r="S536" i="3"/>
  <c r="S520" i="3"/>
  <c r="S504" i="3"/>
  <c r="S488" i="3"/>
  <c r="S472" i="3"/>
  <c r="S456" i="3"/>
  <c r="S440" i="3"/>
  <c r="S424" i="3"/>
  <c r="S408" i="3"/>
  <c r="S392" i="3"/>
  <c r="S376" i="3"/>
  <c r="S938" i="3"/>
  <c r="S919" i="3"/>
  <c r="S1195" i="3"/>
  <c r="S1179" i="3"/>
  <c r="S1163" i="3"/>
  <c r="S1147" i="3"/>
  <c r="S1131" i="3"/>
  <c r="S1115" i="3"/>
  <c r="S1099" i="3"/>
  <c r="S1083" i="3"/>
  <c r="S1067" i="3"/>
  <c r="S1051" i="3"/>
  <c r="S1035" i="3"/>
  <c r="S1019" i="3"/>
  <c r="S1003" i="3"/>
  <c r="S987" i="3"/>
  <c r="S971" i="3"/>
  <c r="S926" i="3"/>
  <c r="S907" i="3"/>
  <c r="S882" i="3"/>
  <c r="S850" i="3"/>
  <c r="S1212" i="3"/>
  <c r="S1196" i="3"/>
  <c r="S1180" i="3"/>
  <c r="S1164" i="3"/>
  <c r="S1148" i="3"/>
  <c r="S1132" i="3"/>
  <c r="S1116" i="3"/>
  <c r="S1100" i="3"/>
  <c r="S1084" i="3"/>
  <c r="S1068" i="3"/>
  <c r="S1052" i="3"/>
  <c r="S1036" i="3"/>
  <c r="S1020" i="3"/>
  <c r="S1004" i="3"/>
  <c r="S988" i="3"/>
  <c r="S972" i="3"/>
  <c r="S930" i="3"/>
  <c r="S911" i="3"/>
  <c r="S934" i="3"/>
  <c r="S915" i="3"/>
  <c r="S862" i="3"/>
  <c r="S879" i="3"/>
  <c r="S863" i="3"/>
  <c r="S847" i="3"/>
  <c r="S831" i="3"/>
  <c r="S815" i="3"/>
  <c r="S799" i="3"/>
  <c r="S783" i="3"/>
  <c r="S767" i="3"/>
  <c r="S751" i="3"/>
  <c r="S735" i="3"/>
  <c r="S719" i="3"/>
  <c r="S678" i="3"/>
  <c r="S659" i="3"/>
  <c r="S614" i="3"/>
  <c r="S960" i="3"/>
  <c r="S944" i="3"/>
  <c r="S928" i="3"/>
  <c r="S912" i="3"/>
  <c r="S896" i="3"/>
  <c r="S880" i="3"/>
  <c r="S864" i="3"/>
  <c r="S848" i="3"/>
  <c r="S832" i="3"/>
  <c r="S816" i="3"/>
  <c r="S800" i="3"/>
  <c r="S784" i="3"/>
  <c r="S768" i="3"/>
  <c r="S752" i="3"/>
  <c r="S736" i="3"/>
  <c r="S720" i="3"/>
  <c r="S682" i="3"/>
  <c r="S663" i="3"/>
  <c r="S618" i="3"/>
  <c r="S670" i="3"/>
  <c r="S651" i="3"/>
  <c r="S606" i="3"/>
  <c r="S834" i="3"/>
  <c r="S818" i="3"/>
  <c r="S802" i="3"/>
  <c r="S786" i="3"/>
  <c r="S770" i="3"/>
  <c r="S754" i="3"/>
  <c r="S738" i="3"/>
  <c r="S722" i="3"/>
  <c r="S706" i="3"/>
  <c r="S687" i="3"/>
  <c r="S642" i="3"/>
  <c r="S623" i="3"/>
  <c r="S602" i="3"/>
  <c r="S586" i="3"/>
  <c r="S570" i="3"/>
  <c r="S554" i="3"/>
  <c r="S538" i="3"/>
  <c r="S522" i="3"/>
  <c r="S506" i="3"/>
  <c r="S490" i="3"/>
  <c r="S474" i="3"/>
  <c r="S458" i="3"/>
  <c r="S442" i="3"/>
  <c r="S426" i="3"/>
  <c r="S410" i="3"/>
  <c r="S394" i="3"/>
  <c r="S378" i="3"/>
  <c r="S591" i="3"/>
  <c r="S575" i="3"/>
  <c r="S559" i="3"/>
  <c r="S543" i="3"/>
  <c r="S527" i="3"/>
  <c r="S511" i="3"/>
  <c r="S495" i="3"/>
  <c r="S479" i="3"/>
  <c r="S463" i="3"/>
  <c r="S447" i="3"/>
  <c r="S431" i="3"/>
  <c r="S415" i="3"/>
  <c r="S399" i="3"/>
  <c r="S383" i="3"/>
  <c r="S367" i="3"/>
  <c r="S692" i="3"/>
  <c r="S676" i="3"/>
  <c r="S660" i="3"/>
  <c r="S644" i="3"/>
  <c r="S628" i="3"/>
  <c r="S612" i="3"/>
  <c r="S596" i="3"/>
  <c r="S580" i="3"/>
  <c r="S564" i="3"/>
  <c r="S548" i="3"/>
  <c r="S532" i="3"/>
  <c r="S516" i="3"/>
  <c r="S500" i="3"/>
  <c r="S484" i="3"/>
  <c r="S468" i="3"/>
  <c r="S452" i="3"/>
  <c r="S436" i="3"/>
  <c r="S420" i="3"/>
  <c r="S404" i="3"/>
  <c r="S388" i="3"/>
  <c r="S372" i="3"/>
  <c r="S1231" i="3"/>
  <c r="S1211" i="3"/>
  <c r="S1182" i="3"/>
  <c r="S1166" i="3"/>
  <c r="S1150" i="3"/>
  <c r="S1134" i="3"/>
  <c r="S1118" i="3"/>
  <c r="S1102" i="3"/>
  <c r="S1086" i="3"/>
  <c r="S1070" i="3"/>
  <c r="S1054" i="3"/>
  <c r="S1038" i="3"/>
  <c r="S1022" i="3"/>
  <c r="S1006" i="3"/>
  <c r="S990" i="3"/>
  <c r="S974" i="3"/>
  <c r="S954" i="3"/>
  <c r="S935" i="3"/>
  <c r="S890" i="3"/>
  <c r="S1191" i="3"/>
  <c r="S1175" i="3"/>
  <c r="S1159" i="3"/>
  <c r="S1143" i="3"/>
  <c r="S1127" i="3"/>
  <c r="S1111" i="3"/>
  <c r="S1095" i="3"/>
  <c r="S1079" i="3"/>
  <c r="S1063" i="3"/>
  <c r="S1047" i="3"/>
  <c r="S1031" i="3"/>
  <c r="S1015" i="3"/>
  <c r="S999" i="3"/>
  <c r="S983" i="3"/>
  <c r="S942" i="3"/>
  <c r="S923" i="3"/>
  <c r="S874" i="3"/>
  <c r="S1224" i="3"/>
  <c r="S1208" i="3"/>
  <c r="S1192" i="3"/>
  <c r="S1176" i="3"/>
  <c r="S1160" i="3"/>
  <c r="S1144" i="3"/>
  <c r="S1128" i="3"/>
  <c r="S1112" i="3"/>
  <c r="S1096" i="3"/>
  <c r="S1080" i="3"/>
  <c r="S1064" i="3"/>
  <c r="S1048" i="3"/>
  <c r="S1032" i="3"/>
  <c r="S1016" i="3"/>
  <c r="S1000" i="3"/>
  <c r="S984" i="3"/>
  <c r="S946" i="3"/>
  <c r="S927" i="3"/>
  <c r="S950" i="3"/>
  <c r="S931" i="3"/>
  <c r="S886" i="3"/>
  <c r="S854" i="3"/>
  <c r="S875" i="3"/>
  <c r="S859" i="3"/>
  <c r="S843" i="3"/>
  <c r="S827" i="3"/>
  <c r="S811" i="3"/>
  <c r="S795" i="3"/>
  <c r="S779" i="3"/>
  <c r="S763" i="3"/>
  <c r="S747" i="3"/>
  <c r="S731" i="3"/>
  <c r="S715" i="3"/>
  <c r="S694" i="3"/>
  <c r="S675" i="3"/>
  <c r="S630" i="3"/>
  <c r="S611" i="3"/>
  <c r="S956" i="3"/>
  <c r="S940" i="3"/>
  <c r="S924" i="3"/>
  <c r="S908" i="3"/>
  <c r="S892" i="3"/>
  <c r="S876" i="3"/>
  <c r="S860" i="3"/>
  <c r="S844" i="3"/>
  <c r="S828" i="3"/>
  <c r="S812" i="3"/>
  <c r="S796" i="3"/>
  <c r="S780" i="3"/>
  <c r="S764" i="3"/>
  <c r="S748" i="3"/>
  <c r="S732" i="3"/>
  <c r="S716" i="3"/>
  <c r="S698" i="3"/>
  <c r="S679" i="3"/>
  <c r="S634" i="3"/>
  <c r="S615" i="3"/>
  <c r="S686" i="3"/>
  <c r="S667" i="3"/>
  <c r="S622" i="3"/>
  <c r="S599" i="3"/>
  <c r="S830" i="3"/>
  <c r="S814" i="3"/>
  <c r="S798" i="3"/>
  <c r="S782" i="3"/>
  <c r="S766" i="3"/>
  <c r="S750" i="3"/>
  <c r="S734" i="3"/>
  <c r="S718" i="3"/>
  <c r="S703" i="3"/>
  <c r="S658" i="3"/>
  <c r="S639" i="3"/>
  <c r="S598" i="3"/>
  <c r="S582" i="3"/>
  <c r="S566" i="3"/>
  <c r="S550" i="3"/>
  <c r="S534" i="3"/>
  <c r="S518" i="3"/>
  <c r="S502" i="3"/>
  <c r="S486" i="3"/>
  <c r="S470" i="3"/>
  <c r="S454" i="3"/>
  <c r="S438" i="3"/>
  <c r="S422" i="3"/>
  <c r="S406" i="3"/>
  <c r="S390" i="3"/>
  <c r="S374" i="3"/>
  <c r="S587" i="3"/>
  <c r="S571" i="3"/>
  <c r="S555" i="3"/>
  <c r="S539" i="3"/>
  <c r="S523" i="3"/>
  <c r="S507" i="3"/>
  <c r="S491" i="3"/>
  <c r="S475" i="3"/>
  <c r="S459" i="3"/>
  <c r="S443" i="3"/>
  <c r="S427" i="3"/>
  <c r="S411" i="3"/>
  <c r="S395" i="3"/>
  <c r="S379" i="3"/>
  <c r="S704" i="3"/>
  <c r="S688" i="3"/>
  <c r="S672" i="3"/>
  <c r="S656" i="3"/>
  <c r="S640" i="3"/>
  <c r="S624" i="3"/>
  <c r="S608" i="3"/>
  <c r="S592" i="3"/>
  <c r="S576" i="3"/>
  <c r="S560" i="3"/>
  <c r="S544" i="3"/>
  <c r="S528" i="3"/>
  <c r="S512" i="3"/>
  <c r="S496" i="3"/>
  <c r="S480" i="3"/>
  <c r="S464" i="3"/>
  <c r="S448" i="3"/>
  <c r="S432" i="3"/>
  <c r="S416" i="3"/>
  <c r="S400" i="3"/>
  <c r="S384" i="3"/>
  <c r="S368" i="3"/>
  <c r="G366" i="3"/>
  <c r="K366" i="3"/>
  <c r="O366" i="3"/>
  <c r="W366" i="3"/>
  <c r="D366" i="3"/>
  <c r="H366" i="3"/>
  <c r="L366" i="3"/>
  <c r="P366" i="3"/>
  <c r="T366" i="3"/>
  <c r="E366" i="3"/>
  <c r="I366" i="3"/>
  <c r="M366" i="3"/>
  <c r="Q366" i="3"/>
  <c r="U366" i="3"/>
  <c r="F366" i="3"/>
  <c r="J366" i="3"/>
  <c r="N366" i="3"/>
  <c r="R366" i="3"/>
  <c r="V366" i="3"/>
  <c r="G352" i="3"/>
  <c r="K352" i="3"/>
  <c r="O352" i="3"/>
  <c r="W352" i="3"/>
  <c r="D352" i="3"/>
  <c r="H352" i="3"/>
  <c r="L352" i="3"/>
  <c r="P352" i="3"/>
  <c r="T352" i="3"/>
  <c r="E352" i="3"/>
  <c r="I352" i="3"/>
  <c r="M352" i="3"/>
  <c r="Q352" i="3"/>
  <c r="U352" i="3"/>
  <c r="F352" i="3"/>
  <c r="J352" i="3"/>
  <c r="N352" i="3"/>
  <c r="R352" i="3"/>
  <c r="V352" i="3"/>
  <c r="G342" i="3"/>
  <c r="K342" i="3"/>
  <c r="O342" i="3"/>
  <c r="W342" i="3"/>
  <c r="D342" i="3"/>
  <c r="H342" i="3"/>
  <c r="L342" i="3"/>
  <c r="P342" i="3"/>
  <c r="T342" i="3"/>
  <c r="E342" i="3"/>
  <c r="I342" i="3"/>
  <c r="M342" i="3"/>
  <c r="Q342" i="3"/>
  <c r="U342" i="3"/>
  <c r="F342" i="3"/>
  <c r="J342" i="3"/>
  <c r="N342" i="3"/>
  <c r="R342" i="3"/>
  <c r="V342" i="3"/>
  <c r="G310" i="3"/>
  <c r="K310" i="3"/>
  <c r="O310" i="3"/>
  <c r="W310" i="3"/>
  <c r="D310" i="3"/>
  <c r="H310" i="3"/>
  <c r="L310" i="3"/>
  <c r="P310" i="3"/>
  <c r="T310" i="3"/>
  <c r="E310" i="3"/>
  <c r="I310" i="3"/>
  <c r="M310" i="3"/>
  <c r="Q310" i="3"/>
  <c r="U310" i="3"/>
  <c r="F310" i="3"/>
  <c r="J310" i="3"/>
  <c r="N310" i="3"/>
  <c r="R310" i="3"/>
  <c r="V310" i="3"/>
  <c r="E278" i="3"/>
  <c r="I278" i="3"/>
  <c r="M278" i="3"/>
  <c r="Q278" i="3"/>
  <c r="U278" i="3"/>
  <c r="F278" i="3"/>
  <c r="J278" i="3"/>
  <c r="N278" i="3"/>
  <c r="R278" i="3"/>
  <c r="V278" i="3"/>
  <c r="G278" i="3"/>
  <c r="K278" i="3"/>
  <c r="O278" i="3"/>
  <c r="W278" i="3"/>
  <c r="D278" i="3"/>
  <c r="H278" i="3"/>
  <c r="L278" i="3"/>
  <c r="P278" i="3"/>
  <c r="T278" i="3"/>
  <c r="E246" i="3"/>
  <c r="I246" i="3"/>
  <c r="M246" i="3"/>
  <c r="Q246" i="3"/>
  <c r="U246" i="3"/>
  <c r="F246" i="3"/>
  <c r="J246" i="3"/>
  <c r="N246" i="3"/>
  <c r="R246" i="3"/>
  <c r="V246" i="3"/>
  <c r="G246" i="3"/>
  <c r="K246" i="3"/>
  <c r="O246" i="3"/>
  <c r="W246" i="3"/>
  <c r="D246" i="3"/>
  <c r="H246" i="3"/>
  <c r="L246" i="3"/>
  <c r="P246" i="3"/>
  <c r="T246" i="3"/>
  <c r="F214" i="3"/>
  <c r="J214" i="3"/>
  <c r="N214" i="3"/>
  <c r="R214" i="3"/>
  <c r="V214" i="3"/>
  <c r="G214" i="3"/>
  <c r="K214" i="3"/>
  <c r="O214" i="3"/>
  <c r="W214" i="3"/>
  <c r="D214" i="3"/>
  <c r="H214" i="3"/>
  <c r="L214" i="3"/>
  <c r="P214" i="3"/>
  <c r="T214" i="3"/>
  <c r="E214" i="3"/>
  <c r="I214" i="3"/>
  <c r="M214" i="3"/>
  <c r="Q214" i="3"/>
  <c r="U214" i="3"/>
  <c r="F182" i="3"/>
  <c r="J182" i="3"/>
  <c r="N182" i="3"/>
  <c r="R182" i="3"/>
  <c r="V182" i="3"/>
  <c r="G182" i="3"/>
  <c r="K182" i="3"/>
  <c r="O182" i="3"/>
  <c r="W182" i="3"/>
  <c r="D182" i="3"/>
  <c r="H182" i="3"/>
  <c r="L182" i="3"/>
  <c r="P182" i="3"/>
  <c r="T182" i="3"/>
  <c r="E182" i="3"/>
  <c r="I182" i="3"/>
  <c r="M182" i="3"/>
  <c r="Q182" i="3"/>
  <c r="U182" i="3"/>
  <c r="G356" i="3"/>
  <c r="K356" i="3"/>
  <c r="O356" i="3"/>
  <c r="W356" i="3"/>
  <c r="D356" i="3"/>
  <c r="H356" i="3"/>
  <c r="L356" i="3"/>
  <c r="P356" i="3"/>
  <c r="T356" i="3"/>
  <c r="E356" i="3"/>
  <c r="I356" i="3"/>
  <c r="M356" i="3"/>
  <c r="Q356" i="3"/>
  <c r="U356" i="3"/>
  <c r="F356" i="3"/>
  <c r="J356" i="3"/>
  <c r="N356" i="3"/>
  <c r="R356" i="3"/>
  <c r="V356" i="3"/>
  <c r="G320" i="3"/>
  <c r="K320" i="3"/>
  <c r="O320" i="3"/>
  <c r="W320" i="3"/>
  <c r="D320" i="3"/>
  <c r="H320" i="3"/>
  <c r="L320" i="3"/>
  <c r="P320" i="3"/>
  <c r="T320" i="3"/>
  <c r="E320" i="3"/>
  <c r="I320" i="3"/>
  <c r="M320" i="3"/>
  <c r="Q320" i="3"/>
  <c r="U320" i="3"/>
  <c r="F320" i="3"/>
  <c r="J320" i="3"/>
  <c r="N320" i="3"/>
  <c r="R320" i="3"/>
  <c r="V320" i="3"/>
  <c r="E288" i="3"/>
  <c r="I288" i="3"/>
  <c r="M288" i="3"/>
  <c r="Q288" i="3"/>
  <c r="U288" i="3"/>
  <c r="F288" i="3"/>
  <c r="J288" i="3"/>
  <c r="N288" i="3"/>
  <c r="R288" i="3"/>
  <c r="V288" i="3"/>
  <c r="G288" i="3"/>
  <c r="K288" i="3"/>
  <c r="O288" i="3"/>
  <c r="W288" i="3"/>
  <c r="D288" i="3"/>
  <c r="H288" i="3"/>
  <c r="L288" i="3"/>
  <c r="P288" i="3"/>
  <c r="T288" i="3"/>
  <c r="E256" i="3"/>
  <c r="I256" i="3"/>
  <c r="M256" i="3"/>
  <c r="Q256" i="3"/>
  <c r="U256" i="3"/>
  <c r="F256" i="3"/>
  <c r="J256" i="3"/>
  <c r="N256" i="3"/>
  <c r="R256" i="3"/>
  <c r="V256" i="3"/>
  <c r="G256" i="3"/>
  <c r="K256" i="3"/>
  <c r="O256" i="3"/>
  <c r="W256" i="3"/>
  <c r="D256" i="3"/>
  <c r="H256" i="3"/>
  <c r="L256" i="3"/>
  <c r="P256" i="3"/>
  <c r="T256" i="3"/>
  <c r="D224" i="3"/>
  <c r="H224" i="3"/>
  <c r="L224" i="3"/>
  <c r="P224" i="3"/>
  <c r="T224" i="3"/>
  <c r="E224" i="3"/>
  <c r="I224" i="3"/>
  <c r="M224" i="3"/>
  <c r="Q224" i="3"/>
  <c r="U224" i="3"/>
  <c r="G224" i="3"/>
  <c r="O224" i="3"/>
  <c r="W224" i="3"/>
  <c r="J224" i="3"/>
  <c r="R224" i="3"/>
  <c r="K224" i="3"/>
  <c r="F224" i="3"/>
  <c r="N224" i="3"/>
  <c r="V224" i="3"/>
  <c r="F192" i="3"/>
  <c r="J192" i="3"/>
  <c r="N192" i="3"/>
  <c r="R192" i="3"/>
  <c r="V192" i="3"/>
  <c r="G192" i="3"/>
  <c r="K192" i="3"/>
  <c r="O192" i="3"/>
  <c r="W192" i="3"/>
  <c r="D192" i="3"/>
  <c r="H192" i="3"/>
  <c r="L192" i="3"/>
  <c r="P192" i="3"/>
  <c r="T192" i="3"/>
  <c r="E192" i="3"/>
  <c r="I192" i="3"/>
  <c r="M192" i="3"/>
  <c r="Q192" i="3"/>
  <c r="U192" i="3"/>
  <c r="G363" i="3"/>
  <c r="K363" i="3"/>
  <c r="O363" i="3"/>
  <c r="W363" i="3"/>
  <c r="D363" i="3"/>
  <c r="H363" i="3"/>
  <c r="L363" i="3"/>
  <c r="P363" i="3"/>
  <c r="T363" i="3"/>
  <c r="E363" i="3"/>
  <c r="I363" i="3"/>
  <c r="M363" i="3"/>
  <c r="Q363" i="3"/>
  <c r="U363" i="3"/>
  <c r="F363" i="3"/>
  <c r="J363" i="3"/>
  <c r="N363" i="3"/>
  <c r="R363" i="3"/>
  <c r="V363" i="3"/>
  <c r="G355" i="3"/>
  <c r="K355" i="3"/>
  <c r="O355" i="3"/>
  <c r="W355" i="3"/>
  <c r="D355" i="3"/>
  <c r="H355" i="3"/>
  <c r="L355" i="3"/>
  <c r="P355" i="3"/>
  <c r="T355" i="3"/>
  <c r="E355" i="3"/>
  <c r="I355" i="3"/>
  <c r="M355" i="3"/>
  <c r="Q355" i="3"/>
  <c r="U355" i="3"/>
  <c r="F355" i="3"/>
  <c r="J355" i="3"/>
  <c r="N355" i="3"/>
  <c r="R355" i="3"/>
  <c r="V355" i="3"/>
  <c r="G347" i="3"/>
  <c r="K347" i="3"/>
  <c r="O347" i="3"/>
  <c r="W347" i="3"/>
  <c r="D347" i="3"/>
  <c r="H347" i="3"/>
  <c r="L347" i="3"/>
  <c r="P347" i="3"/>
  <c r="T347" i="3"/>
  <c r="E347" i="3"/>
  <c r="I347" i="3"/>
  <c r="M347" i="3"/>
  <c r="Q347" i="3"/>
  <c r="U347" i="3"/>
  <c r="F347" i="3"/>
  <c r="J347" i="3"/>
  <c r="N347" i="3"/>
  <c r="R347" i="3"/>
  <c r="V347" i="3"/>
  <c r="G330" i="3"/>
  <c r="K330" i="3"/>
  <c r="O330" i="3"/>
  <c r="W330" i="3"/>
  <c r="D330" i="3"/>
  <c r="H330" i="3"/>
  <c r="L330" i="3"/>
  <c r="P330" i="3"/>
  <c r="T330" i="3"/>
  <c r="E330" i="3"/>
  <c r="I330" i="3"/>
  <c r="M330" i="3"/>
  <c r="Q330" i="3"/>
  <c r="U330" i="3"/>
  <c r="F330" i="3"/>
  <c r="J330" i="3"/>
  <c r="N330" i="3"/>
  <c r="R330" i="3"/>
  <c r="V330" i="3"/>
  <c r="G298" i="3"/>
  <c r="K298" i="3"/>
  <c r="O298" i="3"/>
  <c r="W298" i="3"/>
  <c r="D298" i="3"/>
  <c r="H298" i="3"/>
  <c r="L298" i="3"/>
  <c r="P298" i="3"/>
  <c r="T298" i="3"/>
  <c r="E298" i="3"/>
  <c r="M298" i="3"/>
  <c r="U298" i="3"/>
  <c r="F298" i="3"/>
  <c r="N298" i="3"/>
  <c r="V298" i="3"/>
  <c r="I298" i="3"/>
  <c r="Q298" i="3"/>
  <c r="J298" i="3"/>
  <c r="R298" i="3"/>
  <c r="E266" i="3"/>
  <c r="I266" i="3"/>
  <c r="M266" i="3"/>
  <c r="Q266" i="3"/>
  <c r="U266" i="3"/>
  <c r="F266" i="3"/>
  <c r="J266" i="3"/>
  <c r="N266" i="3"/>
  <c r="R266" i="3"/>
  <c r="V266" i="3"/>
  <c r="G266" i="3"/>
  <c r="K266" i="3"/>
  <c r="O266" i="3"/>
  <c r="W266" i="3"/>
  <c r="D266" i="3"/>
  <c r="H266" i="3"/>
  <c r="L266" i="3"/>
  <c r="P266" i="3"/>
  <c r="T266" i="3"/>
  <c r="E234" i="3"/>
  <c r="I234" i="3"/>
  <c r="M234" i="3"/>
  <c r="Q234" i="3"/>
  <c r="U234" i="3"/>
  <c r="F234" i="3"/>
  <c r="J234" i="3"/>
  <c r="N234" i="3"/>
  <c r="R234" i="3"/>
  <c r="V234" i="3"/>
  <c r="G234" i="3"/>
  <c r="K234" i="3"/>
  <c r="O234" i="3"/>
  <c r="W234" i="3"/>
  <c r="D234" i="3"/>
  <c r="H234" i="3"/>
  <c r="L234" i="3"/>
  <c r="P234" i="3"/>
  <c r="T234" i="3"/>
  <c r="F202" i="3"/>
  <c r="J202" i="3"/>
  <c r="N202" i="3"/>
  <c r="R202" i="3"/>
  <c r="V202" i="3"/>
  <c r="G202" i="3"/>
  <c r="K202" i="3"/>
  <c r="O202" i="3"/>
  <c r="W202" i="3"/>
  <c r="D202" i="3"/>
  <c r="H202" i="3"/>
  <c r="L202" i="3"/>
  <c r="P202" i="3"/>
  <c r="T202" i="3"/>
  <c r="E202" i="3"/>
  <c r="I202" i="3"/>
  <c r="M202" i="3"/>
  <c r="Q202" i="3"/>
  <c r="U202" i="3"/>
  <c r="G340" i="3"/>
  <c r="K340" i="3"/>
  <c r="O340" i="3"/>
  <c r="W340" i="3"/>
  <c r="D340" i="3"/>
  <c r="H340" i="3"/>
  <c r="L340" i="3"/>
  <c r="P340" i="3"/>
  <c r="T340" i="3"/>
  <c r="E340" i="3"/>
  <c r="I340" i="3"/>
  <c r="M340" i="3"/>
  <c r="Q340" i="3"/>
  <c r="U340" i="3"/>
  <c r="F340" i="3"/>
  <c r="J340" i="3"/>
  <c r="N340" i="3"/>
  <c r="R340" i="3"/>
  <c r="V340" i="3"/>
  <c r="G308" i="3"/>
  <c r="K308" i="3"/>
  <c r="O308" i="3"/>
  <c r="W308" i="3"/>
  <c r="D308" i="3"/>
  <c r="H308" i="3"/>
  <c r="L308" i="3"/>
  <c r="P308" i="3"/>
  <c r="T308" i="3"/>
  <c r="E308" i="3"/>
  <c r="I308" i="3"/>
  <c r="M308" i="3"/>
  <c r="Q308" i="3"/>
  <c r="U308" i="3"/>
  <c r="F308" i="3"/>
  <c r="J308" i="3"/>
  <c r="N308" i="3"/>
  <c r="R308" i="3"/>
  <c r="V308" i="3"/>
  <c r="E276" i="3"/>
  <c r="I276" i="3"/>
  <c r="M276" i="3"/>
  <c r="Q276" i="3"/>
  <c r="U276" i="3"/>
  <c r="F276" i="3"/>
  <c r="J276" i="3"/>
  <c r="N276" i="3"/>
  <c r="R276" i="3"/>
  <c r="V276" i="3"/>
  <c r="G276" i="3"/>
  <c r="K276" i="3"/>
  <c r="O276" i="3"/>
  <c r="W276" i="3"/>
  <c r="D276" i="3"/>
  <c r="H276" i="3"/>
  <c r="L276" i="3"/>
  <c r="P276" i="3"/>
  <c r="T276" i="3"/>
  <c r="E244" i="3"/>
  <c r="I244" i="3"/>
  <c r="M244" i="3"/>
  <c r="Q244" i="3"/>
  <c r="U244" i="3"/>
  <c r="F244" i="3"/>
  <c r="J244" i="3"/>
  <c r="N244" i="3"/>
  <c r="R244" i="3"/>
  <c r="V244" i="3"/>
  <c r="G244" i="3"/>
  <c r="K244" i="3"/>
  <c r="O244" i="3"/>
  <c r="W244" i="3"/>
  <c r="D244" i="3"/>
  <c r="H244" i="3"/>
  <c r="L244" i="3"/>
  <c r="P244" i="3"/>
  <c r="T244" i="3"/>
  <c r="F212" i="3"/>
  <c r="J212" i="3"/>
  <c r="N212" i="3"/>
  <c r="R212" i="3"/>
  <c r="V212" i="3"/>
  <c r="G212" i="3"/>
  <c r="K212" i="3"/>
  <c r="O212" i="3"/>
  <c r="W212" i="3"/>
  <c r="D212" i="3"/>
  <c r="H212" i="3"/>
  <c r="L212" i="3"/>
  <c r="P212" i="3"/>
  <c r="T212" i="3"/>
  <c r="E212" i="3"/>
  <c r="I212" i="3"/>
  <c r="M212" i="3"/>
  <c r="Q212" i="3"/>
  <c r="U212" i="3"/>
  <c r="F180" i="3"/>
  <c r="J180" i="3"/>
  <c r="N180" i="3"/>
  <c r="R180" i="3"/>
  <c r="V180" i="3"/>
  <c r="G180" i="3"/>
  <c r="K180" i="3"/>
  <c r="O180" i="3"/>
  <c r="W180" i="3"/>
  <c r="D180" i="3"/>
  <c r="H180" i="3"/>
  <c r="L180" i="3"/>
  <c r="P180" i="3"/>
  <c r="T180" i="3"/>
  <c r="E180" i="3"/>
  <c r="I180" i="3"/>
  <c r="M180" i="3"/>
  <c r="Q180" i="3"/>
  <c r="U180" i="3"/>
  <c r="G335" i="3"/>
  <c r="K335" i="3"/>
  <c r="O335" i="3"/>
  <c r="W335" i="3"/>
  <c r="D335" i="3"/>
  <c r="H335" i="3"/>
  <c r="L335" i="3"/>
  <c r="P335" i="3"/>
  <c r="T335" i="3"/>
  <c r="E335" i="3"/>
  <c r="I335" i="3"/>
  <c r="M335" i="3"/>
  <c r="Q335" i="3"/>
  <c r="U335" i="3"/>
  <c r="F335" i="3"/>
  <c r="J335" i="3"/>
  <c r="N335" i="3"/>
  <c r="R335" i="3"/>
  <c r="V335" i="3"/>
  <c r="G327" i="3"/>
  <c r="K327" i="3"/>
  <c r="O327" i="3"/>
  <c r="W327" i="3"/>
  <c r="D327" i="3"/>
  <c r="H327" i="3"/>
  <c r="L327" i="3"/>
  <c r="P327" i="3"/>
  <c r="T327" i="3"/>
  <c r="E327" i="3"/>
  <c r="I327" i="3"/>
  <c r="M327" i="3"/>
  <c r="Q327" i="3"/>
  <c r="U327" i="3"/>
  <c r="F327" i="3"/>
  <c r="J327" i="3"/>
  <c r="N327" i="3"/>
  <c r="R327" i="3"/>
  <c r="V327" i="3"/>
  <c r="G319" i="3"/>
  <c r="K319" i="3"/>
  <c r="O319" i="3"/>
  <c r="W319" i="3"/>
  <c r="D319" i="3"/>
  <c r="H319" i="3"/>
  <c r="L319" i="3"/>
  <c r="P319" i="3"/>
  <c r="T319" i="3"/>
  <c r="E319" i="3"/>
  <c r="I319" i="3"/>
  <c r="M319" i="3"/>
  <c r="Q319" i="3"/>
  <c r="U319" i="3"/>
  <c r="F319" i="3"/>
  <c r="J319" i="3"/>
  <c r="N319" i="3"/>
  <c r="R319" i="3"/>
  <c r="V319" i="3"/>
  <c r="G311" i="3"/>
  <c r="K311" i="3"/>
  <c r="O311" i="3"/>
  <c r="W311" i="3"/>
  <c r="D311" i="3"/>
  <c r="H311" i="3"/>
  <c r="L311" i="3"/>
  <c r="P311" i="3"/>
  <c r="T311" i="3"/>
  <c r="E311" i="3"/>
  <c r="I311" i="3"/>
  <c r="M311" i="3"/>
  <c r="Q311" i="3"/>
  <c r="U311" i="3"/>
  <c r="F311" i="3"/>
  <c r="J311" i="3"/>
  <c r="N311" i="3"/>
  <c r="R311" i="3"/>
  <c r="V311" i="3"/>
  <c r="G303" i="3"/>
  <c r="K303" i="3"/>
  <c r="O303" i="3"/>
  <c r="W303" i="3"/>
  <c r="D303" i="3"/>
  <c r="H303" i="3"/>
  <c r="L303" i="3"/>
  <c r="P303" i="3"/>
  <c r="T303" i="3"/>
  <c r="I303" i="3"/>
  <c r="Q303" i="3"/>
  <c r="J303" i="3"/>
  <c r="R303" i="3"/>
  <c r="E303" i="3"/>
  <c r="M303" i="3"/>
  <c r="U303" i="3"/>
  <c r="F303" i="3"/>
  <c r="N303" i="3"/>
  <c r="V303" i="3"/>
  <c r="E295" i="3"/>
  <c r="I295" i="3"/>
  <c r="M295" i="3"/>
  <c r="Q295" i="3"/>
  <c r="U295" i="3"/>
  <c r="F295" i="3"/>
  <c r="J295" i="3"/>
  <c r="N295" i="3"/>
  <c r="R295" i="3"/>
  <c r="V295" i="3"/>
  <c r="G295" i="3"/>
  <c r="K295" i="3"/>
  <c r="O295" i="3"/>
  <c r="W295" i="3"/>
  <c r="D295" i="3"/>
  <c r="H295" i="3"/>
  <c r="L295" i="3"/>
  <c r="P295" i="3"/>
  <c r="T295" i="3"/>
  <c r="E287" i="3"/>
  <c r="I287" i="3"/>
  <c r="M287" i="3"/>
  <c r="Q287" i="3"/>
  <c r="U287" i="3"/>
  <c r="F287" i="3"/>
  <c r="J287" i="3"/>
  <c r="N287" i="3"/>
  <c r="R287" i="3"/>
  <c r="V287" i="3"/>
  <c r="G287" i="3"/>
  <c r="K287" i="3"/>
  <c r="O287" i="3"/>
  <c r="W287" i="3"/>
  <c r="D287" i="3"/>
  <c r="H287" i="3"/>
  <c r="L287" i="3"/>
  <c r="P287" i="3"/>
  <c r="T287" i="3"/>
  <c r="E279" i="3"/>
  <c r="I279" i="3"/>
  <c r="M279" i="3"/>
  <c r="Q279" i="3"/>
  <c r="U279" i="3"/>
  <c r="F279" i="3"/>
  <c r="J279" i="3"/>
  <c r="N279" i="3"/>
  <c r="R279" i="3"/>
  <c r="V279" i="3"/>
  <c r="G279" i="3"/>
  <c r="K279" i="3"/>
  <c r="O279" i="3"/>
  <c r="W279" i="3"/>
  <c r="D279" i="3"/>
  <c r="H279" i="3"/>
  <c r="L279" i="3"/>
  <c r="P279" i="3"/>
  <c r="T279" i="3"/>
  <c r="E271" i="3"/>
  <c r="I271" i="3"/>
  <c r="M271" i="3"/>
  <c r="Q271" i="3"/>
  <c r="U271" i="3"/>
  <c r="F271" i="3"/>
  <c r="J271" i="3"/>
  <c r="N271" i="3"/>
  <c r="R271" i="3"/>
  <c r="V271" i="3"/>
  <c r="G271" i="3"/>
  <c r="K271" i="3"/>
  <c r="O271" i="3"/>
  <c r="W271" i="3"/>
  <c r="D271" i="3"/>
  <c r="H271" i="3"/>
  <c r="L271" i="3"/>
  <c r="P271" i="3"/>
  <c r="T271" i="3"/>
  <c r="E263" i="3"/>
  <c r="I263" i="3"/>
  <c r="M263" i="3"/>
  <c r="Q263" i="3"/>
  <c r="U263" i="3"/>
  <c r="F263" i="3"/>
  <c r="J263" i="3"/>
  <c r="N263" i="3"/>
  <c r="R263" i="3"/>
  <c r="V263" i="3"/>
  <c r="G263" i="3"/>
  <c r="K263" i="3"/>
  <c r="O263" i="3"/>
  <c r="W263" i="3"/>
  <c r="D263" i="3"/>
  <c r="H263" i="3"/>
  <c r="L263" i="3"/>
  <c r="P263" i="3"/>
  <c r="T263" i="3"/>
  <c r="E255" i="3"/>
  <c r="I255" i="3"/>
  <c r="M255" i="3"/>
  <c r="Q255" i="3"/>
  <c r="U255" i="3"/>
  <c r="F255" i="3"/>
  <c r="J255" i="3"/>
  <c r="N255" i="3"/>
  <c r="R255" i="3"/>
  <c r="V255" i="3"/>
  <c r="G255" i="3"/>
  <c r="K255" i="3"/>
  <c r="O255" i="3"/>
  <c r="W255" i="3"/>
  <c r="D255" i="3"/>
  <c r="H255" i="3"/>
  <c r="L255" i="3"/>
  <c r="P255" i="3"/>
  <c r="T255" i="3"/>
  <c r="E247" i="3"/>
  <c r="I247" i="3"/>
  <c r="M247" i="3"/>
  <c r="Q247" i="3"/>
  <c r="U247" i="3"/>
  <c r="F247" i="3"/>
  <c r="J247" i="3"/>
  <c r="N247" i="3"/>
  <c r="R247" i="3"/>
  <c r="V247" i="3"/>
  <c r="G247" i="3"/>
  <c r="K247" i="3"/>
  <c r="O247" i="3"/>
  <c r="W247" i="3"/>
  <c r="D247" i="3"/>
  <c r="H247" i="3"/>
  <c r="L247" i="3"/>
  <c r="P247" i="3"/>
  <c r="T247" i="3"/>
  <c r="E239" i="3"/>
  <c r="I239" i="3"/>
  <c r="M239" i="3"/>
  <c r="Q239" i="3"/>
  <c r="U239" i="3"/>
  <c r="F239" i="3"/>
  <c r="J239" i="3"/>
  <c r="N239" i="3"/>
  <c r="R239" i="3"/>
  <c r="V239" i="3"/>
  <c r="G239" i="3"/>
  <c r="K239" i="3"/>
  <c r="O239" i="3"/>
  <c r="W239" i="3"/>
  <c r="D239" i="3"/>
  <c r="H239" i="3"/>
  <c r="L239" i="3"/>
  <c r="P239" i="3"/>
  <c r="T239" i="3"/>
  <c r="D231" i="3"/>
  <c r="H231" i="3"/>
  <c r="L231" i="3"/>
  <c r="P231" i="3"/>
  <c r="T231" i="3"/>
  <c r="E231" i="3"/>
  <c r="I231" i="3"/>
  <c r="M231" i="3"/>
  <c r="Q231" i="3"/>
  <c r="U231" i="3"/>
  <c r="K231" i="3"/>
  <c r="F231" i="3"/>
  <c r="N231" i="3"/>
  <c r="V231" i="3"/>
  <c r="G231" i="3"/>
  <c r="O231" i="3"/>
  <c r="W231" i="3"/>
  <c r="J231" i="3"/>
  <c r="R231" i="3"/>
  <c r="F223" i="3"/>
  <c r="D223" i="3"/>
  <c r="H223" i="3"/>
  <c r="L223" i="3"/>
  <c r="P223" i="3"/>
  <c r="T223" i="3"/>
  <c r="E223" i="3"/>
  <c r="I223" i="3"/>
  <c r="M223" i="3"/>
  <c r="Q223" i="3"/>
  <c r="U223" i="3"/>
  <c r="K223" i="3"/>
  <c r="N223" i="3"/>
  <c r="V223" i="3"/>
  <c r="G223" i="3"/>
  <c r="O223" i="3"/>
  <c r="W223" i="3"/>
  <c r="J223" i="3"/>
  <c r="R223" i="3"/>
  <c r="F215" i="3"/>
  <c r="J215" i="3"/>
  <c r="N215" i="3"/>
  <c r="R215" i="3"/>
  <c r="V215" i="3"/>
  <c r="G215" i="3"/>
  <c r="K215" i="3"/>
  <c r="O215" i="3"/>
  <c r="W215" i="3"/>
  <c r="D215" i="3"/>
  <c r="H215" i="3"/>
  <c r="L215" i="3"/>
  <c r="P215" i="3"/>
  <c r="T215" i="3"/>
  <c r="E215" i="3"/>
  <c r="I215" i="3"/>
  <c r="M215" i="3"/>
  <c r="Q215" i="3"/>
  <c r="U215" i="3"/>
  <c r="F207" i="3"/>
  <c r="J207" i="3"/>
  <c r="N207" i="3"/>
  <c r="R207" i="3"/>
  <c r="V207" i="3"/>
  <c r="G207" i="3"/>
  <c r="K207" i="3"/>
  <c r="O207" i="3"/>
  <c r="W207" i="3"/>
  <c r="D207" i="3"/>
  <c r="H207" i="3"/>
  <c r="L207" i="3"/>
  <c r="P207" i="3"/>
  <c r="T207" i="3"/>
  <c r="E207" i="3"/>
  <c r="I207" i="3"/>
  <c r="M207" i="3"/>
  <c r="Q207" i="3"/>
  <c r="U207" i="3"/>
  <c r="F199" i="3"/>
  <c r="J199" i="3"/>
  <c r="N199" i="3"/>
  <c r="R199" i="3"/>
  <c r="V199" i="3"/>
  <c r="G199" i="3"/>
  <c r="K199" i="3"/>
  <c r="O199" i="3"/>
  <c r="W199" i="3"/>
  <c r="D199" i="3"/>
  <c r="H199" i="3"/>
  <c r="L199" i="3"/>
  <c r="P199" i="3"/>
  <c r="T199" i="3"/>
  <c r="E199" i="3"/>
  <c r="I199" i="3"/>
  <c r="M199" i="3"/>
  <c r="Q199" i="3"/>
  <c r="U199" i="3"/>
  <c r="F191" i="3"/>
  <c r="J191" i="3"/>
  <c r="N191" i="3"/>
  <c r="R191" i="3"/>
  <c r="V191" i="3"/>
  <c r="G191" i="3"/>
  <c r="K191" i="3"/>
  <c r="O191" i="3"/>
  <c r="W191" i="3"/>
  <c r="D191" i="3"/>
  <c r="H191" i="3"/>
  <c r="L191" i="3"/>
  <c r="P191" i="3"/>
  <c r="T191" i="3"/>
  <c r="E191" i="3"/>
  <c r="I191" i="3"/>
  <c r="M191" i="3"/>
  <c r="Q191" i="3"/>
  <c r="U191" i="3"/>
  <c r="F183" i="3"/>
  <c r="J183" i="3"/>
  <c r="N183" i="3"/>
  <c r="R183" i="3"/>
  <c r="V183" i="3"/>
  <c r="G183" i="3"/>
  <c r="K183" i="3"/>
  <c r="O183" i="3"/>
  <c r="W183" i="3"/>
  <c r="D183" i="3"/>
  <c r="H183" i="3"/>
  <c r="L183" i="3"/>
  <c r="P183" i="3"/>
  <c r="T183" i="3"/>
  <c r="E183" i="3"/>
  <c r="I183" i="3"/>
  <c r="M183" i="3"/>
  <c r="Q183" i="3"/>
  <c r="U183" i="3"/>
  <c r="F175" i="3"/>
  <c r="J175" i="3"/>
  <c r="N175" i="3"/>
  <c r="R175" i="3"/>
  <c r="V175" i="3"/>
  <c r="G175" i="3"/>
  <c r="K175" i="3"/>
  <c r="O175" i="3"/>
  <c r="W175" i="3"/>
  <c r="D175" i="3"/>
  <c r="H175" i="3"/>
  <c r="L175" i="3"/>
  <c r="P175" i="3"/>
  <c r="T175" i="3"/>
  <c r="E175" i="3"/>
  <c r="I175" i="3"/>
  <c r="M175" i="3"/>
  <c r="Q175" i="3"/>
  <c r="U175" i="3"/>
  <c r="G168" i="3"/>
  <c r="K168" i="3"/>
  <c r="O168" i="3"/>
  <c r="W168" i="3"/>
  <c r="D168" i="3"/>
  <c r="H168" i="3"/>
  <c r="L168" i="3"/>
  <c r="P168" i="3"/>
  <c r="T168" i="3"/>
  <c r="I168" i="3"/>
  <c r="Q168" i="3"/>
  <c r="J168" i="3"/>
  <c r="R168" i="3"/>
  <c r="E168" i="3"/>
  <c r="M168" i="3"/>
  <c r="U168" i="3"/>
  <c r="F168" i="3"/>
  <c r="N168" i="3"/>
  <c r="V168" i="3"/>
  <c r="G160" i="3"/>
  <c r="K160" i="3"/>
  <c r="O160" i="3"/>
  <c r="W160" i="3"/>
  <c r="D160" i="3"/>
  <c r="H160" i="3"/>
  <c r="L160" i="3"/>
  <c r="P160" i="3"/>
  <c r="T160" i="3"/>
  <c r="I160" i="3"/>
  <c r="Q160" i="3"/>
  <c r="J160" i="3"/>
  <c r="R160" i="3"/>
  <c r="E160" i="3"/>
  <c r="M160" i="3"/>
  <c r="U160" i="3"/>
  <c r="F160" i="3"/>
  <c r="N160" i="3"/>
  <c r="V160" i="3"/>
  <c r="E152" i="3"/>
  <c r="I152" i="3"/>
  <c r="M152" i="3"/>
  <c r="Q152" i="3"/>
  <c r="U152" i="3"/>
  <c r="F152" i="3"/>
  <c r="J152" i="3"/>
  <c r="N152" i="3"/>
  <c r="R152" i="3"/>
  <c r="V152" i="3"/>
  <c r="G152" i="3"/>
  <c r="K152" i="3"/>
  <c r="O152" i="3"/>
  <c r="W152" i="3"/>
  <c r="D152" i="3"/>
  <c r="H152" i="3"/>
  <c r="L152" i="3"/>
  <c r="P152" i="3"/>
  <c r="T152" i="3"/>
  <c r="E144" i="3"/>
  <c r="I144" i="3"/>
  <c r="M144" i="3"/>
  <c r="Q144" i="3"/>
  <c r="U144" i="3"/>
  <c r="F144" i="3"/>
  <c r="J144" i="3"/>
  <c r="N144" i="3"/>
  <c r="R144" i="3"/>
  <c r="V144" i="3"/>
  <c r="G144" i="3"/>
  <c r="K144" i="3"/>
  <c r="O144" i="3"/>
  <c r="W144" i="3"/>
  <c r="D144" i="3"/>
  <c r="H144" i="3"/>
  <c r="L144" i="3"/>
  <c r="P144" i="3"/>
  <c r="T144" i="3"/>
  <c r="E136" i="3"/>
  <c r="I136" i="3"/>
  <c r="M136" i="3"/>
  <c r="Q136" i="3"/>
  <c r="U136" i="3"/>
  <c r="F136" i="3"/>
  <c r="J136" i="3"/>
  <c r="N136" i="3"/>
  <c r="R136" i="3"/>
  <c r="V136" i="3"/>
  <c r="G136" i="3"/>
  <c r="K136" i="3"/>
  <c r="O136" i="3"/>
  <c r="W136" i="3"/>
  <c r="D136" i="3"/>
  <c r="H136" i="3"/>
  <c r="L136" i="3"/>
  <c r="P136" i="3"/>
  <c r="T136" i="3"/>
  <c r="F128" i="3"/>
  <c r="J128" i="3"/>
  <c r="N128" i="3"/>
  <c r="R128" i="3"/>
  <c r="V128" i="3"/>
  <c r="G128" i="3"/>
  <c r="K128" i="3"/>
  <c r="O128" i="3"/>
  <c r="W128" i="3"/>
  <c r="D128" i="3"/>
  <c r="L128" i="3"/>
  <c r="T128" i="3"/>
  <c r="E128" i="3"/>
  <c r="M128" i="3"/>
  <c r="U128" i="3"/>
  <c r="H128" i="3"/>
  <c r="P128" i="3"/>
  <c r="I128" i="3"/>
  <c r="Q128" i="3"/>
  <c r="F120" i="3"/>
  <c r="J120" i="3"/>
  <c r="N120" i="3"/>
  <c r="R120" i="3"/>
  <c r="V120" i="3"/>
  <c r="G120" i="3"/>
  <c r="K120" i="3"/>
  <c r="O120" i="3"/>
  <c r="W120" i="3"/>
  <c r="D120" i="3"/>
  <c r="L120" i="3"/>
  <c r="T120" i="3"/>
  <c r="E120" i="3"/>
  <c r="M120" i="3"/>
  <c r="U120" i="3"/>
  <c r="H120" i="3"/>
  <c r="P120" i="3"/>
  <c r="I120" i="3"/>
  <c r="Q120" i="3"/>
  <c r="D112" i="3"/>
  <c r="H112" i="3"/>
  <c r="L112" i="3"/>
  <c r="P112" i="3"/>
  <c r="T112" i="3"/>
  <c r="E112" i="3"/>
  <c r="I112" i="3"/>
  <c r="M112" i="3"/>
  <c r="Q112" i="3"/>
  <c r="U112" i="3"/>
  <c r="F112" i="3"/>
  <c r="J112" i="3"/>
  <c r="N112" i="3"/>
  <c r="R112" i="3"/>
  <c r="V112" i="3"/>
  <c r="G112" i="3"/>
  <c r="K112" i="3"/>
  <c r="O112" i="3"/>
  <c r="W112" i="3"/>
  <c r="D104" i="3"/>
  <c r="H104" i="3"/>
  <c r="L104" i="3"/>
  <c r="P104" i="3"/>
  <c r="T104" i="3"/>
  <c r="E104" i="3"/>
  <c r="I104" i="3"/>
  <c r="M104" i="3"/>
  <c r="Q104" i="3"/>
  <c r="U104" i="3"/>
  <c r="F104" i="3"/>
  <c r="J104" i="3"/>
  <c r="N104" i="3"/>
  <c r="R104" i="3"/>
  <c r="V104" i="3"/>
  <c r="G104" i="3"/>
  <c r="K104" i="3"/>
  <c r="O104" i="3"/>
  <c r="W104" i="3"/>
  <c r="E96" i="3"/>
  <c r="I96" i="3"/>
  <c r="M96" i="3"/>
  <c r="Q96" i="3"/>
  <c r="U96" i="3"/>
  <c r="F96" i="3"/>
  <c r="J96" i="3"/>
  <c r="N96" i="3"/>
  <c r="R96" i="3"/>
  <c r="V96" i="3"/>
  <c r="D96" i="3"/>
  <c r="L96" i="3"/>
  <c r="T96" i="3"/>
  <c r="G96" i="3"/>
  <c r="O96" i="3"/>
  <c r="W96" i="3"/>
  <c r="H96" i="3"/>
  <c r="P96" i="3"/>
  <c r="K96" i="3"/>
  <c r="G88" i="3"/>
  <c r="K88" i="3"/>
  <c r="O88" i="3"/>
  <c r="W88" i="3"/>
  <c r="D88" i="3"/>
  <c r="H88" i="3"/>
  <c r="L88" i="3"/>
  <c r="P88" i="3"/>
  <c r="T88" i="3"/>
  <c r="E88" i="3"/>
  <c r="I88" i="3"/>
  <c r="M88" i="3"/>
  <c r="Q88" i="3"/>
  <c r="U88" i="3"/>
  <c r="F88" i="3"/>
  <c r="J88" i="3"/>
  <c r="N88" i="3"/>
  <c r="R88" i="3"/>
  <c r="V88" i="3"/>
  <c r="G80" i="3"/>
  <c r="K80" i="3"/>
  <c r="O80" i="3"/>
  <c r="W80" i="3"/>
  <c r="D80" i="3"/>
  <c r="H80" i="3"/>
  <c r="L80" i="3"/>
  <c r="P80" i="3"/>
  <c r="T80" i="3"/>
  <c r="E80" i="3"/>
  <c r="I80" i="3"/>
  <c r="M80" i="3"/>
  <c r="Q80" i="3"/>
  <c r="U80" i="3"/>
  <c r="F80" i="3"/>
  <c r="J80" i="3"/>
  <c r="N80" i="3"/>
  <c r="R80" i="3"/>
  <c r="V80" i="3"/>
  <c r="F72" i="3"/>
  <c r="J72" i="3"/>
  <c r="N72" i="3"/>
  <c r="R72" i="3"/>
  <c r="V72" i="3"/>
  <c r="G72" i="3"/>
  <c r="K72" i="3"/>
  <c r="O72" i="3"/>
  <c r="W72" i="3"/>
  <c r="E72" i="3"/>
  <c r="M72" i="3"/>
  <c r="U72" i="3"/>
  <c r="H72" i="3"/>
  <c r="P72" i="3"/>
  <c r="I72" i="3"/>
  <c r="Q72" i="3"/>
  <c r="D72" i="3"/>
  <c r="L72" i="3"/>
  <c r="T72" i="3"/>
  <c r="F64" i="3"/>
  <c r="J64" i="3"/>
  <c r="N64" i="3"/>
  <c r="R64" i="3"/>
  <c r="V64" i="3"/>
  <c r="G64" i="3"/>
  <c r="K64" i="3"/>
  <c r="O64" i="3"/>
  <c r="W64" i="3"/>
  <c r="E64" i="3"/>
  <c r="M64" i="3"/>
  <c r="U64" i="3"/>
  <c r="H64" i="3"/>
  <c r="P64" i="3"/>
  <c r="I64" i="3"/>
  <c r="Q64" i="3"/>
  <c r="D64" i="3"/>
  <c r="L64" i="3"/>
  <c r="T64" i="3"/>
  <c r="D56" i="3"/>
  <c r="H56" i="3"/>
  <c r="L56" i="3"/>
  <c r="P56" i="3"/>
  <c r="T56" i="3"/>
  <c r="E56" i="3"/>
  <c r="I56" i="3"/>
  <c r="M56" i="3"/>
  <c r="Q56" i="3"/>
  <c r="U56" i="3"/>
  <c r="F56" i="3"/>
  <c r="J56" i="3"/>
  <c r="N56" i="3"/>
  <c r="R56" i="3"/>
  <c r="V56" i="3"/>
  <c r="G56" i="3"/>
  <c r="K56" i="3"/>
  <c r="O56" i="3"/>
  <c r="W56" i="3"/>
  <c r="D48" i="3"/>
  <c r="H48" i="3"/>
  <c r="L48" i="3"/>
  <c r="P48" i="3"/>
  <c r="T48" i="3"/>
  <c r="E48" i="3"/>
  <c r="I48" i="3"/>
  <c r="M48" i="3"/>
  <c r="Q48" i="3"/>
  <c r="U48" i="3"/>
  <c r="F48" i="3"/>
  <c r="N48" i="3"/>
  <c r="V48" i="3"/>
  <c r="G48" i="3"/>
  <c r="O48" i="3"/>
  <c r="W48" i="3"/>
  <c r="J48" i="3"/>
  <c r="R48" i="3"/>
  <c r="K48" i="3"/>
  <c r="D40" i="3"/>
  <c r="H40" i="3"/>
  <c r="L40" i="3"/>
  <c r="P40" i="3"/>
  <c r="T40" i="3"/>
  <c r="E40" i="3"/>
  <c r="I40" i="3"/>
  <c r="M40" i="3"/>
  <c r="Q40" i="3"/>
  <c r="U40" i="3"/>
  <c r="F40" i="3"/>
  <c r="N40" i="3"/>
  <c r="V40" i="3"/>
  <c r="G40" i="3"/>
  <c r="O40" i="3"/>
  <c r="W40" i="3"/>
  <c r="J40" i="3"/>
  <c r="R40" i="3"/>
  <c r="K40" i="3"/>
  <c r="F32" i="3"/>
  <c r="J32" i="3"/>
  <c r="N32" i="3"/>
  <c r="R32" i="3"/>
  <c r="V32" i="3"/>
  <c r="G32" i="3"/>
  <c r="K32" i="3"/>
  <c r="O32" i="3"/>
  <c r="W32" i="3"/>
  <c r="D32" i="3"/>
  <c r="H32" i="3"/>
  <c r="L32" i="3"/>
  <c r="P32" i="3"/>
  <c r="T32" i="3"/>
  <c r="E32" i="3"/>
  <c r="I32" i="3"/>
  <c r="M32" i="3"/>
  <c r="Q32" i="3"/>
  <c r="U32" i="3"/>
  <c r="E24" i="3"/>
  <c r="I24" i="3"/>
  <c r="M24" i="3"/>
  <c r="Q24" i="3"/>
  <c r="U24" i="3"/>
  <c r="F24" i="3"/>
  <c r="K24" i="3"/>
  <c r="P24" i="3"/>
  <c r="V24" i="3"/>
  <c r="G24" i="3"/>
  <c r="L24" i="3"/>
  <c r="R24" i="3"/>
  <c r="W24" i="3"/>
  <c r="H24" i="3"/>
  <c r="N24" i="3"/>
  <c r="D24" i="3"/>
  <c r="J24" i="3"/>
  <c r="O24" i="3"/>
  <c r="T24" i="3"/>
  <c r="G16" i="3"/>
  <c r="K16" i="3"/>
  <c r="O16" i="3"/>
  <c r="W16" i="3"/>
  <c r="E16" i="3"/>
  <c r="J16" i="3"/>
  <c r="P16" i="3"/>
  <c r="U16" i="3"/>
  <c r="F16" i="3"/>
  <c r="L16" i="3"/>
  <c r="Q16" i="3"/>
  <c r="V16" i="3"/>
  <c r="I16" i="3"/>
  <c r="T16" i="3"/>
  <c r="M16" i="3"/>
  <c r="D16" i="3"/>
  <c r="N16" i="3"/>
  <c r="H16" i="3"/>
  <c r="R16" i="3"/>
  <c r="D8" i="3"/>
  <c r="H8" i="3"/>
  <c r="L8" i="3"/>
  <c r="P8" i="3"/>
  <c r="T8" i="3"/>
  <c r="G8" i="3"/>
  <c r="K8" i="3"/>
  <c r="O8" i="3"/>
  <c r="W8" i="3"/>
  <c r="E8" i="3"/>
  <c r="M8" i="3"/>
  <c r="U8" i="3"/>
  <c r="F8" i="3"/>
  <c r="N8" i="3"/>
  <c r="V8" i="3"/>
  <c r="I8" i="3"/>
  <c r="Q8" i="3"/>
  <c r="J8" i="3"/>
  <c r="R8" i="3"/>
  <c r="G169" i="3"/>
  <c r="K169" i="3"/>
  <c r="O169" i="3"/>
  <c r="W169" i="3"/>
  <c r="D169" i="3"/>
  <c r="H169" i="3"/>
  <c r="L169" i="3"/>
  <c r="P169" i="3"/>
  <c r="T169" i="3"/>
  <c r="E169" i="3"/>
  <c r="M169" i="3"/>
  <c r="U169" i="3"/>
  <c r="F169" i="3"/>
  <c r="N169" i="3"/>
  <c r="V169" i="3"/>
  <c r="I169" i="3"/>
  <c r="Q169" i="3"/>
  <c r="J169" i="3"/>
  <c r="R169" i="3"/>
  <c r="G161" i="3"/>
  <c r="K161" i="3"/>
  <c r="O161" i="3"/>
  <c r="W161" i="3"/>
  <c r="D161" i="3"/>
  <c r="H161" i="3"/>
  <c r="L161" i="3"/>
  <c r="P161" i="3"/>
  <c r="T161" i="3"/>
  <c r="E161" i="3"/>
  <c r="M161" i="3"/>
  <c r="U161" i="3"/>
  <c r="F161" i="3"/>
  <c r="N161" i="3"/>
  <c r="V161" i="3"/>
  <c r="I161" i="3"/>
  <c r="Q161" i="3"/>
  <c r="J161" i="3"/>
  <c r="R161" i="3"/>
  <c r="E153" i="3"/>
  <c r="I153" i="3"/>
  <c r="M153" i="3"/>
  <c r="Q153" i="3"/>
  <c r="U153" i="3"/>
  <c r="F153" i="3"/>
  <c r="J153" i="3"/>
  <c r="N153" i="3"/>
  <c r="R153" i="3"/>
  <c r="V153" i="3"/>
  <c r="G153" i="3"/>
  <c r="K153" i="3"/>
  <c r="O153" i="3"/>
  <c r="W153" i="3"/>
  <c r="D153" i="3"/>
  <c r="H153" i="3"/>
  <c r="L153" i="3"/>
  <c r="P153" i="3"/>
  <c r="T153" i="3"/>
  <c r="E145" i="3"/>
  <c r="I145" i="3"/>
  <c r="M145" i="3"/>
  <c r="Q145" i="3"/>
  <c r="U145" i="3"/>
  <c r="F145" i="3"/>
  <c r="J145" i="3"/>
  <c r="N145" i="3"/>
  <c r="R145" i="3"/>
  <c r="V145" i="3"/>
  <c r="G145" i="3"/>
  <c r="K145" i="3"/>
  <c r="O145" i="3"/>
  <c r="W145" i="3"/>
  <c r="D145" i="3"/>
  <c r="H145" i="3"/>
  <c r="L145" i="3"/>
  <c r="P145" i="3"/>
  <c r="T145" i="3"/>
  <c r="E137" i="3"/>
  <c r="I137" i="3"/>
  <c r="M137" i="3"/>
  <c r="Q137" i="3"/>
  <c r="U137" i="3"/>
  <c r="F137" i="3"/>
  <c r="J137" i="3"/>
  <c r="N137" i="3"/>
  <c r="R137" i="3"/>
  <c r="V137" i="3"/>
  <c r="G137" i="3"/>
  <c r="K137" i="3"/>
  <c r="O137" i="3"/>
  <c r="W137" i="3"/>
  <c r="D137" i="3"/>
  <c r="H137" i="3"/>
  <c r="L137" i="3"/>
  <c r="P137" i="3"/>
  <c r="T137" i="3"/>
  <c r="F129" i="3"/>
  <c r="J129" i="3"/>
  <c r="N129" i="3"/>
  <c r="R129" i="3"/>
  <c r="V129" i="3"/>
  <c r="G129" i="3"/>
  <c r="K129" i="3"/>
  <c r="O129" i="3"/>
  <c r="W129" i="3"/>
  <c r="H129" i="3"/>
  <c r="P129" i="3"/>
  <c r="I129" i="3"/>
  <c r="Q129" i="3"/>
  <c r="D129" i="3"/>
  <c r="L129" i="3"/>
  <c r="T129" i="3"/>
  <c r="E129" i="3"/>
  <c r="M129" i="3"/>
  <c r="U129" i="3"/>
  <c r="F121" i="3"/>
  <c r="J121" i="3"/>
  <c r="N121" i="3"/>
  <c r="R121" i="3"/>
  <c r="V121" i="3"/>
  <c r="G121" i="3"/>
  <c r="K121" i="3"/>
  <c r="O121" i="3"/>
  <c r="W121" i="3"/>
  <c r="H121" i="3"/>
  <c r="P121" i="3"/>
  <c r="I121" i="3"/>
  <c r="Q121" i="3"/>
  <c r="D121" i="3"/>
  <c r="L121" i="3"/>
  <c r="T121" i="3"/>
  <c r="E121" i="3"/>
  <c r="M121" i="3"/>
  <c r="U121" i="3"/>
  <c r="D113" i="3"/>
  <c r="H113" i="3"/>
  <c r="L113" i="3"/>
  <c r="P113" i="3"/>
  <c r="T113" i="3"/>
  <c r="E113" i="3"/>
  <c r="I113" i="3"/>
  <c r="M113" i="3"/>
  <c r="Q113" i="3"/>
  <c r="U113" i="3"/>
  <c r="F113" i="3"/>
  <c r="J113" i="3"/>
  <c r="N113" i="3"/>
  <c r="R113" i="3"/>
  <c r="V113" i="3"/>
  <c r="G113" i="3"/>
  <c r="K113" i="3"/>
  <c r="O113" i="3"/>
  <c r="W113" i="3"/>
  <c r="D105" i="3"/>
  <c r="H105" i="3"/>
  <c r="L105" i="3"/>
  <c r="P105" i="3"/>
  <c r="T105" i="3"/>
  <c r="E105" i="3"/>
  <c r="I105" i="3"/>
  <c r="M105" i="3"/>
  <c r="Q105" i="3"/>
  <c r="U105" i="3"/>
  <c r="F105" i="3"/>
  <c r="J105" i="3"/>
  <c r="N105" i="3"/>
  <c r="R105" i="3"/>
  <c r="V105" i="3"/>
  <c r="G105" i="3"/>
  <c r="K105" i="3"/>
  <c r="O105" i="3"/>
  <c r="W105" i="3"/>
  <c r="E97" i="3"/>
  <c r="I97" i="3"/>
  <c r="M97" i="3"/>
  <c r="Q97" i="3"/>
  <c r="U97" i="3"/>
  <c r="F97" i="3"/>
  <c r="J97" i="3"/>
  <c r="N97" i="3"/>
  <c r="R97" i="3"/>
  <c r="V97" i="3"/>
  <c r="H97" i="3"/>
  <c r="P97" i="3"/>
  <c r="K97" i="3"/>
  <c r="D97" i="3"/>
  <c r="L97" i="3"/>
  <c r="T97" i="3"/>
  <c r="G97" i="3"/>
  <c r="O97" i="3"/>
  <c r="W97" i="3"/>
  <c r="G89" i="3"/>
  <c r="K89" i="3"/>
  <c r="O89" i="3"/>
  <c r="W89" i="3"/>
  <c r="D89" i="3"/>
  <c r="H89" i="3"/>
  <c r="L89" i="3"/>
  <c r="P89" i="3"/>
  <c r="T89" i="3"/>
  <c r="E89" i="3"/>
  <c r="I89" i="3"/>
  <c r="M89" i="3"/>
  <c r="Q89" i="3"/>
  <c r="U89" i="3"/>
  <c r="F89" i="3"/>
  <c r="J89" i="3"/>
  <c r="N89" i="3"/>
  <c r="R89" i="3"/>
  <c r="V89" i="3"/>
  <c r="G81" i="3"/>
  <c r="K81" i="3"/>
  <c r="O81" i="3"/>
  <c r="W81" i="3"/>
  <c r="D81" i="3"/>
  <c r="H81" i="3"/>
  <c r="L81" i="3"/>
  <c r="P81" i="3"/>
  <c r="T81" i="3"/>
  <c r="E81" i="3"/>
  <c r="I81" i="3"/>
  <c r="M81" i="3"/>
  <c r="Q81" i="3"/>
  <c r="U81" i="3"/>
  <c r="F81" i="3"/>
  <c r="J81" i="3"/>
  <c r="N81" i="3"/>
  <c r="R81" i="3"/>
  <c r="V81" i="3"/>
  <c r="F73" i="3"/>
  <c r="J73" i="3"/>
  <c r="N73" i="3"/>
  <c r="R73" i="3"/>
  <c r="V73" i="3"/>
  <c r="G73" i="3"/>
  <c r="K73" i="3"/>
  <c r="O73" i="3"/>
  <c r="W73" i="3"/>
  <c r="I73" i="3"/>
  <c r="Q73" i="3"/>
  <c r="D73" i="3"/>
  <c r="L73" i="3"/>
  <c r="T73" i="3"/>
  <c r="E73" i="3"/>
  <c r="M73" i="3"/>
  <c r="U73" i="3"/>
  <c r="H73" i="3"/>
  <c r="P73" i="3"/>
  <c r="F65" i="3"/>
  <c r="J65" i="3"/>
  <c r="N65" i="3"/>
  <c r="R65" i="3"/>
  <c r="V65" i="3"/>
  <c r="G65" i="3"/>
  <c r="K65" i="3"/>
  <c r="O65" i="3"/>
  <c r="W65" i="3"/>
  <c r="I65" i="3"/>
  <c r="Q65" i="3"/>
  <c r="D65" i="3"/>
  <c r="L65" i="3"/>
  <c r="T65" i="3"/>
  <c r="E65" i="3"/>
  <c r="M65" i="3"/>
  <c r="U65" i="3"/>
  <c r="H65" i="3"/>
  <c r="P65" i="3"/>
  <c r="D57" i="3"/>
  <c r="H57" i="3"/>
  <c r="L57" i="3"/>
  <c r="P57" i="3"/>
  <c r="T57" i="3"/>
  <c r="E57" i="3"/>
  <c r="I57" i="3"/>
  <c r="M57" i="3"/>
  <c r="Q57" i="3"/>
  <c r="U57" i="3"/>
  <c r="F57" i="3"/>
  <c r="J57" i="3"/>
  <c r="N57" i="3"/>
  <c r="R57" i="3"/>
  <c r="V57" i="3"/>
  <c r="G57" i="3"/>
  <c r="K57" i="3"/>
  <c r="O57" i="3"/>
  <c r="W57" i="3"/>
  <c r="D49" i="3"/>
  <c r="H49" i="3"/>
  <c r="L49" i="3"/>
  <c r="P49" i="3"/>
  <c r="T49" i="3"/>
  <c r="E49" i="3"/>
  <c r="I49" i="3"/>
  <c r="M49" i="3"/>
  <c r="Q49" i="3"/>
  <c r="U49" i="3"/>
  <c r="J49" i="3"/>
  <c r="R49" i="3"/>
  <c r="K49" i="3"/>
  <c r="F49" i="3"/>
  <c r="N49" i="3"/>
  <c r="V49" i="3"/>
  <c r="G49" i="3"/>
  <c r="O49" i="3"/>
  <c r="W49" i="3"/>
  <c r="D41" i="3"/>
  <c r="H41" i="3"/>
  <c r="L41" i="3"/>
  <c r="P41" i="3"/>
  <c r="T41" i="3"/>
  <c r="E41" i="3"/>
  <c r="I41" i="3"/>
  <c r="M41" i="3"/>
  <c r="Q41" i="3"/>
  <c r="U41" i="3"/>
  <c r="J41" i="3"/>
  <c r="R41" i="3"/>
  <c r="K41" i="3"/>
  <c r="F41" i="3"/>
  <c r="N41" i="3"/>
  <c r="V41" i="3"/>
  <c r="G41" i="3"/>
  <c r="O41" i="3"/>
  <c r="W41" i="3"/>
  <c r="F33" i="3"/>
  <c r="J33" i="3"/>
  <c r="N33" i="3"/>
  <c r="R33" i="3"/>
  <c r="V33" i="3"/>
  <c r="G33" i="3"/>
  <c r="K33" i="3"/>
  <c r="O33" i="3"/>
  <c r="W33" i="3"/>
  <c r="D33" i="3"/>
  <c r="H33" i="3"/>
  <c r="L33" i="3"/>
  <c r="P33" i="3"/>
  <c r="T33" i="3"/>
  <c r="E33" i="3"/>
  <c r="I33" i="3"/>
  <c r="M33" i="3"/>
  <c r="Q33" i="3"/>
  <c r="U33" i="3"/>
  <c r="E25" i="3"/>
  <c r="I25" i="3"/>
  <c r="M25" i="3"/>
  <c r="Q25" i="3"/>
  <c r="U25" i="3"/>
  <c r="G25" i="3"/>
  <c r="L25" i="3"/>
  <c r="R25" i="3"/>
  <c r="W25" i="3"/>
  <c r="H25" i="3"/>
  <c r="N25" i="3"/>
  <c r="D25" i="3"/>
  <c r="J25" i="3"/>
  <c r="O25" i="3"/>
  <c r="T25" i="3"/>
  <c r="F25" i="3"/>
  <c r="K25" i="3"/>
  <c r="P25" i="3"/>
  <c r="V25" i="3"/>
  <c r="G17" i="3"/>
  <c r="K17" i="3"/>
  <c r="O17" i="3"/>
  <c r="W17" i="3"/>
  <c r="F17" i="3"/>
  <c r="L17" i="3"/>
  <c r="Q17" i="3"/>
  <c r="V17" i="3"/>
  <c r="H17" i="3"/>
  <c r="M17" i="3"/>
  <c r="R17" i="3"/>
  <c r="J17" i="3"/>
  <c r="U17" i="3"/>
  <c r="D17" i="3"/>
  <c r="N17" i="3"/>
  <c r="E17" i="3"/>
  <c r="P17" i="3"/>
  <c r="I17" i="3"/>
  <c r="T17" i="3"/>
  <c r="D9" i="3"/>
  <c r="H9" i="3"/>
  <c r="L9" i="3"/>
  <c r="P9" i="3"/>
  <c r="T9" i="3"/>
  <c r="G9" i="3"/>
  <c r="K9" i="3"/>
  <c r="O9" i="3"/>
  <c r="W9" i="3"/>
  <c r="I9" i="3"/>
  <c r="Q9" i="3"/>
  <c r="J9" i="3"/>
  <c r="R9" i="3"/>
  <c r="E9" i="3"/>
  <c r="M9" i="3"/>
  <c r="U9" i="3"/>
  <c r="F9" i="3"/>
  <c r="N9" i="3"/>
  <c r="V9" i="3"/>
  <c r="G1422" i="3"/>
  <c r="K1422" i="3"/>
  <c r="O1422" i="3"/>
  <c r="W1422" i="3"/>
  <c r="D1422" i="3"/>
  <c r="H1422" i="3"/>
  <c r="L1422" i="3"/>
  <c r="P1422" i="3"/>
  <c r="T1422" i="3"/>
  <c r="E1422" i="3"/>
  <c r="I1422" i="3"/>
  <c r="M1422" i="3"/>
  <c r="Q1422" i="3"/>
  <c r="U1422" i="3"/>
  <c r="F1422" i="3"/>
  <c r="J1422" i="3"/>
  <c r="N1422" i="3"/>
  <c r="R1422" i="3"/>
  <c r="V1422" i="3"/>
  <c r="G1439" i="3"/>
  <c r="K1439" i="3"/>
  <c r="O1439" i="3"/>
  <c r="W1439" i="3"/>
  <c r="D1439" i="3"/>
  <c r="H1439" i="3"/>
  <c r="L1439" i="3"/>
  <c r="P1439" i="3"/>
  <c r="T1439" i="3"/>
  <c r="E1439" i="3"/>
  <c r="I1439" i="3"/>
  <c r="M1439" i="3"/>
  <c r="Q1439" i="3"/>
  <c r="U1439" i="3"/>
  <c r="F1439" i="3"/>
  <c r="J1439" i="3"/>
  <c r="N1439" i="3"/>
  <c r="R1439" i="3"/>
  <c r="V1439" i="3"/>
  <c r="G1407" i="3"/>
  <c r="K1407" i="3"/>
  <c r="O1407" i="3"/>
  <c r="W1407" i="3"/>
  <c r="D1407" i="3"/>
  <c r="H1407" i="3"/>
  <c r="L1407" i="3"/>
  <c r="P1407" i="3"/>
  <c r="T1407" i="3"/>
  <c r="E1407" i="3"/>
  <c r="I1407" i="3"/>
  <c r="M1407" i="3"/>
  <c r="Q1407" i="3"/>
  <c r="U1407" i="3"/>
  <c r="F1407" i="3"/>
  <c r="J1407" i="3"/>
  <c r="N1407" i="3"/>
  <c r="R1407" i="3"/>
  <c r="V1407" i="3"/>
  <c r="G1375" i="3"/>
  <c r="K1375" i="3"/>
  <c r="O1375" i="3"/>
  <c r="W1375" i="3"/>
  <c r="D1375" i="3"/>
  <c r="H1375" i="3"/>
  <c r="L1375" i="3"/>
  <c r="P1375" i="3"/>
  <c r="T1375" i="3"/>
  <c r="E1375" i="3"/>
  <c r="I1375" i="3"/>
  <c r="M1375" i="3"/>
  <c r="Q1375" i="3"/>
  <c r="U1375" i="3"/>
  <c r="F1375" i="3"/>
  <c r="J1375" i="3"/>
  <c r="N1375" i="3"/>
  <c r="R1375" i="3"/>
  <c r="V1375" i="3"/>
  <c r="D1452" i="3"/>
  <c r="H1452" i="3"/>
  <c r="L1452" i="3"/>
  <c r="P1452" i="3"/>
  <c r="T1452" i="3"/>
  <c r="F1452" i="3"/>
  <c r="J1452" i="3"/>
  <c r="N1452" i="3"/>
  <c r="R1452" i="3"/>
  <c r="V1452" i="3"/>
  <c r="K1452" i="3"/>
  <c r="Q1452" i="3"/>
  <c r="E1452" i="3"/>
  <c r="M1452" i="3"/>
  <c r="U1452" i="3"/>
  <c r="G1452" i="3"/>
  <c r="O1452" i="3"/>
  <c r="W1452" i="3"/>
  <c r="I1452" i="3"/>
  <c r="G1436" i="3"/>
  <c r="K1436" i="3"/>
  <c r="O1436" i="3"/>
  <c r="W1436" i="3"/>
  <c r="D1436" i="3"/>
  <c r="H1436" i="3"/>
  <c r="L1436" i="3"/>
  <c r="P1436" i="3"/>
  <c r="T1436" i="3"/>
  <c r="E1436" i="3"/>
  <c r="I1436" i="3"/>
  <c r="M1436" i="3"/>
  <c r="Q1436" i="3"/>
  <c r="U1436" i="3"/>
  <c r="F1436" i="3"/>
  <c r="J1436" i="3"/>
  <c r="N1436" i="3"/>
  <c r="R1436" i="3"/>
  <c r="V1436" i="3"/>
  <c r="G1420" i="3"/>
  <c r="K1420" i="3"/>
  <c r="O1420" i="3"/>
  <c r="W1420" i="3"/>
  <c r="D1420" i="3"/>
  <c r="H1420" i="3"/>
  <c r="L1420" i="3"/>
  <c r="P1420" i="3"/>
  <c r="T1420" i="3"/>
  <c r="E1420" i="3"/>
  <c r="I1420" i="3"/>
  <c r="M1420" i="3"/>
  <c r="Q1420" i="3"/>
  <c r="U1420" i="3"/>
  <c r="F1420" i="3"/>
  <c r="J1420" i="3"/>
  <c r="N1420" i="3"/>
  <c r="R1420" i="3"/>
  <c r="V1420" i="3"/>
  <c r="G1404" i="3"/>
  <c r="K1404" i="3"/>
  <c r="O1404" i="3"/>
  <c r="W1404" i="3"/>
  <c r="D1404" i="3"/>
  <c r="H1404" i="3"/>
  <c r="L1404" i="3"/>
  <c r="P1404" i="3"/>
  <c r="T1404" i="3"/>
  <c r="E1404" i="3"/>
  <c r="I1404" i="3"/>
  <c r="M1404" i="3"/>
  <c r="Q1404" i="3"/>
  <c r="U1404" i="3"/>
  <c r="F1404" i="3"/>
  <c r="J1404" i="3"/>
  <c r="N1404" i="3"/>
  <c r="R1404" i="3"/>
  <c r="V1404" i="3"/>
  <c r="G1388" i="3"/>
  <c r="K1388" i="3"/>
  <c r="O1388" i="3"/>
  <c r="W1388" i="3"/>
  <c r="D1388" i="3"/>
  <c r="H1388" i="3"/>
  <c r="L1388" i="3"/>
  <c r="P1388" i="3"/>
  <c r="T1388" i="3"/>
  <c r="E1388" i="3"/>
  <c r="I1388" i="3"/>
  <c r="M1388" i="3"/>
  <c r="Q1388" i="3"/>
  <c r="U1388" i="3"/>
  <c r="F1388" i="3"/>
  <c r="J1388" i="3"/>
  <c r="N1388" i="3"/>
  <c r="R1388" i="3"/>
  <c r="V1388" i="3"/>
  <c r="G1372" i="3"/>
  <c r="K1372" i="3"/>
  <c r="O1372" i="3"/>
  <c r="W1372" i="3"/>
  <c r="D1372" i="3"/>
  <c r="H1372" i="3"/>
  <c r="L1372" i="3"/>
  <c r="P1372" i="3"/>
  <c r="T1372" i="3"/>
  <c r="E1372" i="3"/>
  <c r="I1372" i="3"/>
  <c r="M1372" i="3"/>
  <c r="Q1372" i="3"/>
  <c r="U1372" i="3"/>
  <c r="F1372" i="3"/>
  <c r="J1372" i="3"/>
  <c r="N1372" i="3"/>
  <c r="R1372" i="3"/>
  <c r="V1372" i="3"/>
  <c r="G1356" i="3"/>
  <c r="K1356" i="3"/>
  <c r="O1356" i="3"/>
  <c r="W1356" i="3"/>
  <c r="D1356" i="3"/>
  <c r="H1356" i="3"/>
  <c r="L1356" i="3"/>
  <c r="P1356" i="3"/>
  <c r="T1356" i="3"/>
  <c r="E1356" i="3"/>
  <c r="I1356" i="3"/>
  <c r="M1356" i="3"/>
  <c r="Q1356" i="3"/>
  <c r="U1356" i="3"/>
  <c r="F1356" i="3"/>
  <c r="J1356" i="3"/>
  <c r="N1356" i="3"/>
  <c r="R1356" i="3"/>
  <c r="V1356" i="3"/>
  <c r="G1340" i="3"/>
  <c r="K1340" i="3"/>
  <c r="O1340" i="3"/>
  <c r="W1340" i="3"/>
  <c r="D1340" i="3"/>
  <c r="H1340" i="3"/>
  <c r="L1340" i="3"/>
  <c r="P1340" i="3"/>
  <c r="T1340" i="3"/>
  <c r="E1340" i="3"/>
  <c r="I1340" i="3"/>
  <c r="M1340" i="3"/>
  <c r="Q1340" i="3"/>
  <c r="U1340" i="3"/>
  <c r="F1340" i="3"/>
  <c r="J1340" i="3"/>
  <c r="N1340" i="3"/>
  <c r="R1340" i="3"/>
  <c r="V1340" i="3"/>
  <c r="G1324" i="3"/>
  <c r="K1324" i="3"/>
  <c r="O1324" i="3"/>
  <c r="W1324" i="3"/>
  <c r="D1324" i="3"/>
  <c r="H1324" i="3"/>
  <c r="L1324" i="3"/>
  <c r="P1324" i="3"/>
  <c r="T1324" i="3"/>
  <c r="E1324" i="3"/>
  <c r="I1324" i="3"/>
  <c r="M1324" i="3"/>
  <c r="Q1324" i="3"/>
  <c r="U1324" i="3"/>
  <c r="F1324" i="3"/>
  <c r="J1324" i="3"/>
  <c r="N1324" i="3"/>
  <c r="R1324" i="3"/>
  <c r="V1324" i="3"/>
  <c r="G1308" i="3"/>
  <c r="K1308" i="3"/>
  <c r="O1308" i="3"/>
  <c r="W1308" i="3"/>
  <c r="D1308" i="3"/>
  <c r="H1308" i="3"/>
  <c r="L1308" i="3"/>
  <c r="P1308" i="3"/>
  <c r="T1308" i="3"/>
  <c r="E1308" i="3"/>
  <c r="I1308" i="3"/>
  <c r="M1308" i="3"/>
  <c r="Q1308" i="3"/>
  <c r="U1308" i="3"/>
  <c r="F1308" i="3"/>
  <c r="J1308" i="3"/>
  <c r="N1308" i="3"/>
  <c r="R1308" i="3"/>
  <c r="V1308" i="3"/>
  <c r="G1292" i="3"/>
  <c r="K1292" i="3"/>
  <c r="O1292" i="3"/>
  <c r="W1292" i="3"/>
  <c r="D1292" i="3"/>
  <c r="H1292" i="3"/>
  <c r="L1292" i="3"/>
  <c r="P1292" i="3"/>
  <c r="T1292" i="3"/>
  <c r="E1292" i="3"/>
  <c r="I1292" i="3"/>
  <c r="M1292" i="3"/>
  <c r="Q1292" i="3"/>
  <c r="U1292" i="3"/>
  <c r="F1292" i="3"/>
  <c r="J1292" i="3"/>
  <c r="N1292" i="3"/>
  <c r="R1292" i="3"/>
  <c r="V1292" i="3"/>
  <c r="G1276" i="3"/>
  <c r="K1276" i="3"/>
  <c r="O1276" i="3"/>
  <c r="W1276" i="3"/>
  <c r="D1276" i="3"/>
  <c r="H1276" i="3"/>
  <c r="L1276" i="3"/>
  <c r="P1276" i="3"/>
  <c r="T1276" i="3"/>
  <c r="E1276" i="3"/>
  <c r="I1276" i="3"/>
  <c r="M1276" i="3"/>
  <c r="Q1276" i="3"/>
  <c r="U1276" i="3"/>
  <c r="F1276" i="3"/>
  <c r="J1276" i="3"/>
  <c r="N1276" i="3"/>
  <c r="R1276" i="3"/>
  <c r="V1276" i="3"/>
  <c r="G1260" i="3"/>
  <c r="K1260" i="3"/>
  <c r="O1260" i="3"/>
  <c r="W1260" i="3"/>
  <c r="D1260" i="3"/>
  <c r="H1260" i="3"/>
  <c r="L1260" i="3"/>
  <c r="P1260" i="3"/>
  <c r="T1260" i="3"/>
  <c r="E1260" i="3"/>
  <c r="I1260" i="3"/>
  <c r="M1260" i="3"/>
  <c r="Q1260" i="3"/>
  <c r="U1260" i="3"/>
  <c r="F1260" i="3"/>
  <c r="J1260" i="3"/>
  <c r="N1260" i="3"/>
  <c r="R1260" i="3"/>
  <c r="V1260" i="3"/>
  <c r="G1244" i="3"/>
  <c r="K1244" i="3"/>
  <c r="O1244" i="3"/>
  <c r="W1244" i="3"/>
  <c r="D1244" i="3"/>
  <c r="H1244" i="3"/>
  <c r="L1244" i="3"/>
  <c r="P1244" i="3"/>
  <c r="T1244" i="3"/>
  <c r="E1244" i="3"/>
  <c r="I1244" i="3"/>
  <c r="M1244" i="3"/>
  <c r="Q1244" i="3"/>
  <c r="U1244" i="3"/>
  <c r="F1244" i="3"/>
  <c r="J1244" i="3"/>
  <c r="N1244" i="3"/>
  <c r="R1244" i="3"/>
  <c r="V1244" i="3"/>
  <c r="G1228" i="3"/>
  <c r="K1228" i="3"/>
  <c r="O1228" i="3"/>
  <c r="W1228" i="3"/>
  <c r="D1228" i="3"/>
  <c r="H1228" i="3"/>
  <c r="L1228" i="3"/>
  <c r="P1228" i="3"/>
  <c r="T1228" i="3"/>
  <c r="E1228" i="3"/>
  <c r="I1228" i="3"/>
  <c r="M1228" i="3"/>
  <c r="Q1228" i="3"/>
  <c r="U1228" i="3"/>
  <c r="F1228" i="3"/>
  <c r="J1228" i="3"/>
  <c r="N1228" i="3"/>
  <c r="R1228" i="3"/>
  <c r="V1228" i="3"/>
  <c r="G1205" i="3"/>
  <c r="K1205" i="3"/>
  <c r="O1205" i="3"/>
  <c r="W1205" i="3"/>
  <c r="D1205" i="3"/>
  <c r="H1205" i="3"/>
  <c r="L1205" i="3"/>
  <c r="P1205" i="3"/>
  <c r="T1205" i="3"/>
  <c r="E1205" i="3"/>
  <c r="I1205" i="3"/>
  <c r="M1205" i="3"/>
  <c r="Q1205" i="3"/>
  <c r="U1205" i="3"/>
  <c r="F1205" i="3"/>
  <c r="J1205" i="3"/>
  <c r="N1205" i="3"/>
  <c r="R1205" i="3"/>
  <c r="V1205" i="3"/>
  <c r="F1185" i="3"/>
  <c r="J1185" i="3"/>
  <c r="N1185" i="3"/>
  <c r="R1185" i="3"/>
  <c r="V1185" i="3"/>
  <c r="D1185" i="3"/>
  <c r="H1185" i="3"/>
  <c r="L1185" i="3"/>
  <c r="P1185" i="3"/>
  <c r="T1185" i="3"/>
  <c r="I1185" i="3"/>
  <c r="Q1185" i="3"/>
  <c r="K1185" i="3"/>
  <c r="E1185" i="3"/>
  <c r="M1185" i="3"/>
  <c r="U1185" i="3"/>
  <c r="G1185" i="3"/>
  <c r="O1185" i="3"/>
  <c r="W1185" i="3"/>
  <c r="D1451" i="3"/>
  <c r="H1451" i="3"/>
  <c r="L1451" i="3"/>
  <c r="P1451" i="3"/>
  <c r="T1451" i="3"/>
  <c r="F1451" i="3"/>
  <c r="J1451" i="3"/>
  <c r="N1451" i="3"/>
  <c r="R1451" i="3"/>
  <c r="V1451" i="3"/>
  <c r="G1451" i="3"/>
  <c r="O1451" i="3"/>
  <c r="W1451" i="3"/>
  <c r="E1451" i="3"/>
  <c r="I1451" i="3"/>
  <c r="Q1451" i="3"/>
  <c r="U1451" i="3"/>
  <c r="K1451" i="3"/>
  <c r="M1451" i="3"/>
  <c r="G1449" i="3"/>
  <c r="K1449" i="3"/>
  <c r="D1449" i="3"/>
  <c r="H1449" i="3"/>
  <c r="L1449" i="3"/>
  <c r="P1449" i="3"/>
  <c r="T1449" i="3"/>
  <c r="E1449" i="3"/>
  <c r="I1449" i="3"/>
  <c r="F1449" i="3"/>
  <c r="J1449" i="3"/>
  <c r="N1449" i="3"/>
  <c r="R1449" i="3"/>
  <c r="V1449" i="3"/>
  <c r="O1449" i="3"/>
  <c r="W1449" i="3"/>
  <c r="Q1449" i="3"/>
  <c r="M1449" i="3"/>
  <c r="U1449" i="3"/>
  <c r="G1433" i="3"/>
  <c r="K1433" i="3"/>
  <c r="O1433" i="3"/>
  <c r="W1433" i="3"/>
  <c r="D1433" i="3"/>
  <c r="H1433" i="3"/>
  <c r="L1433" i="3"/>
  <c r="P1433" i="3"/>
  <c r="T1433" i="3"/>
  <c r="E1433" i="3"/>
  <c r="I1433" i="3"/>
  <c r="M1433" i="3"/>
  <c r="Q1433" i="3"/>
  <c r="U1433" i="3"/>
  <c r="F1433" i="3"/>
  <c r="J1433" i="3"/>
  <c r="N1433" i="3"/>
  <c r="R1433" i="3"/>
  <c r="V1433" i="3"/>
  <c r="G1417" i="3"/>
  <c r="K1417" i="3"/>
  <c r="O1417" i="3"/>
  <c r="W1417" i="3"/>
  <c r="D1417" i="3"/>
  <c r="H1417" i="3"/>
  <c r="L1417" i="3"/>
  <c r="P1417" i="3"/>
  <c r="T1417" i="3"/>
  <c r="E1417" i="3"/>
  <c r="I1417" i="3"/>
  <c r="M1417" i="3"/>
  <c r="Q1417" i="3"/>
  <c r="U1417" i="3"/>
  <c r="F1417" i="3"/>
  <c r="J1417" i="3"/>
  <c r="N1417" i="3"/>
  <c r="R1417" i="3"/>
  <c r="V1417" i="3"/>
  <c r="G1401" i="3"/>
  <c r="K1401" i="3"/>
  <c r="O1401" i="3"/>
  <c r="W1401" i="3"/>
  <c r="D1401" i="3"/>
  <c r="H1401" i="3"/>
  <c r="L1401" i="3"/>
  <c r="P1401" i="3"/>
  <c r="T1401" i="3"/>
  <c r="E1401" i="3"/>
  <c r="I1401" i="3"/>
  <c r="M1401" i="3"/>
  <c r="Q1401" i="3"/>
  <c r="U1401" i="3"/>
  <c r="F1401" i="3"/>
  <c r="J1401" i="3"/>
  <c r="N1401" i="3"/>
  <c r="R1401" i="3"/>
  <c r="V1401" i="3"/>
  <c r="G1385" i="3"/>
  <c r="K1385" i="3"/>
  <c r="O1385" i="3"/>
  <c r="W1385" i="3"/>
  <c r="D1385" i="3"/>
  <c r="H1385" i="3"/>
  <c r="L1385" i="3"/>
  <c r="P1385" i="3"/>
  <c r="T1385" i="3"/>
  <c r="E1385" i="3"/>
  <c r="I1385" i="3"/>
  <c r="M1385" i="3"/>
  <c r="Q1385" i="3"/>
  <c r="U1385" i="3"/>
  <c r="F1385" i="3"/>
  <c r="J1385" i="3"/>
  <c r="N1385" i="3"/>
  <c r="R1385" i="3"/>
  <c r="V1385" i="3"/>
  <c r="G1369" i="3"/>
  <c r="K1369" i="3"/>
  <c r="O1369" i="3"/>
  <c r="W1369" i="3"/>
  <c r="D1369" i="3"/>
  <c r="H1369" i="3"/>
  <c r="L1369" i="3"/>
  <c r="P1369" i="3"/>
  <c r="T1369" i="3"/>
  <c r="E1369" i="3"/>
  <c r="I1369" i="3"/>
  <c r="M1369" i="3"/>
  <c r="Q1369" i="3"/>
  <c r="U1369" i="3"/>
  <c r="F1369" i="3"/>
  <c r="J1369" i="3"/>
  <c r="N1369" i="3"/>
  <c r="R1369" i="3"/>
  <c r="V1369" i="3"/>
  <c r="G1353" i="3"/>
  <c r="K1353" i="3"/>
  <c r="O1353" i="3"/>
  <c r="W1353" i="3"/>
  <c r="D1353" i="3"/>
  <c r="H1353" i="3"/>
  <c r="L1353" i="3"/>
  <c r="P1353" i="3"/>
  <c r="T1353" i="3"/>
  <c r="E1353" i="3"/>
  <c r="I1353" i="3"/>
  <c r="M1353" i="3"/>
  <c r="Q1353" i="3"/>
  <c r="U1353" i="3"/>
  <c r="F1353" i="3"/>
  <c r="J1353" i="3"/>
  <c r="N1353" i="3"/>
  <c r="R1353" i="3"/>
  <c r="V1353" i="3"/>
  <c r="G1337" i="3"/>
  <c r="K1337" i="3"/>
  <c r="O1337" i="3"/>
  <c r="W1337" i="3"/>
  <c r="D1337" i="3"/>
  <c r="H1337" i="3"/>
  <c r="L1337" i="3"/>
  <c r="P1337" i="3"/>
  <c r="T1337" i="3"/>
  <c r="E1337" i="3"/>
  <c r="I1337" i="3"/>
  <c r="M1337" i="3"/>
  <c r="Q1337" i="3"/>
  <c r="U1337" i="3"/>
  <c r="F1337" i="3"/>
  <c r="J1337" i="3"/>
  <c r="N1337" i="3"/>
  <c r="R1337" i="3"/>
  <c r="V1337" i="3"/>
  <c r="G1321" i="3"/>
  <c r="K1321" i="3"/>
  <c r="O1321" i="3"/>
  <c r="W1321" i="3"/>
  <c r="D1321" i="3"/>
  <c r="H1321" i="3"/>
  <c r="L1321" i="3"/>
  <c r="P1321" i="3"/>
  <c r="T1321" i="3"/>
  <c r="E1321" i="3"/>
  <c r="I1321" i="3"/>
  <c r="M1321" i="3"/>
  <c r="Q1321" i="3"/>
  <c r="U1321" i="3"/>
  <c r="F1321" i="3"/>
  <c r="J1321" i="3"/>
  <c r="N1321" i="3"/>
  <c r="R1321" i="3"/>
  <c r="V1321" i="3"/>
  <c r="G1305" i="3"/>
  <c r="K1305" i="3"/>
  <c r="O1305" i="3"/>
  <c r="W1305" i="3"/>
  <c r="D1305" i="3"/>
  <c r="H1305" i="3"/>
  <c r="L1305" i="3"/>
  <c r="P1305" i="3"/>
  <c r="T1305" i="3"/>
  <c r="E1305" i="3"/>
  <c r="I1305" i="3"/>
  <c r="M1305" i="3"/>
  <c r="Q1305" i="3"/>
  <c r="U1305" i="3"/>
  <c r="F1305" i="3"/>
  <c r="J1305" i="3"/>
  <c r="N1305" i="3"/>
  <c r="R1305" i="3"/>
  <c r="V1305" i="3"/>
  <c r="G1289" i="3"/>
  <c r="K1289" i="3"/>
  <c r="O1289" i="3"/>
  <c r="W1289" i="3"/>
  <c r="D1289" i="3"/>
  <c r="H1289" i="3"/>
  <c r="L1289" i="3"/>
  <c r="P1289" i="3"/>
  <c r="T1289" i="3"/>
  <c r="E1289" i="3"/>
  <c r="I1289" i="3"/>
  <c r="M1289" i="3"/>
  <c r="Q1289" i="3"/>
  <c r="U1289" i="3"/>
  <c r="F1289" i="3"/>
  <c r="J1289" i="3"/>
  <c r="N1289" i="3"/>
  <c r="R1289" i="3"/>
  <c r="V1289" i="3"/>
  <c r="G1273" i="3"/>
  <c r="K1273" i="3"/>
  <c r="O1273" i="3"/>
  <c r="W1273" i="3"/>
  <c r="D1273" i="3"/>
  <c r="H1273" i="3"/>
  <c r="L1273" i="3"/>
  <c r="P1273" i="3"/>
  <c r="T1273" i="3"/>
  <c r="E1273" i="3"/>
  <c r="I1273" i="3"/>
  <c r="M1273" i="3"/>
  <c r="Q1273" i="3"/>
  <c r="U1273" i="3"/>
  <c r="F1273" i="3"/>
  <c r="J1273" i="3"/>
  <c r="N1273" i="3"/>
  <c r="R1273" i="3"/>
  <c r="V1273" i="3"/>
  <c r="G1257" i="3"/>
  <c r="K1257" i="3"/>
  <c r="O1257" i="3"/>
  <c r="W1257" i="3"/>
  <c r="D1257" i="3"/>
  <c r="H1257" i="3"/>
  <c r="L1257" i="3"/>
  <c r="P1257" i="3"/>
  <c r="T1257" i="3"/>
  <c r="E1257" i="3"/>
  <c r="I1257" i="3"/>
  <c r="M1257" i="3"/>
  <c r="Q1257" i="3"/>
  <c r="U1257" i="3"/>
  <c r="F1257" i="3"/>
  <c r="J1257" i="3"/>
  <c r="N1257" i="3"/>
  <c r="R1257" i="3"/>
  <c r="V1257" i="3"/>
  <c r="G1241" i="3"/>
  <c r="K1241" i="3"/>
  <c r="O1241" i="3"/>
  <c r="W1241" i="3"/>
  <c r="D1241" i="3"/>
  <c r="H1241" i="3"/>
  <c r="L1241" i="3"/>
  <c r="P1241" i="3"/>
  <c r="T1241" i="3"/>
  <c r="E1241" i="3"/>
  <c r="I1241" i="3"/>
  <c r="M1241" i="3"/>
  <c r="Q1241" i="3"/>
  <c r="U1241" i="3"/>
  <c r="F1241" i="3"/>
  <c r="J1241" i="3"/>
  <c r="N1241" i="3"/>
  <c r="R1241" i="3"/>
  <c r="V1241" i="3"/>
  <c r="G1225" i="3"/>
  <c r="K1225" i="3"/>
  <c r="O1225" i="3"/>
  <c r="W1225" i="3"/>
  <c r="D1225" i="3"/>
  <c r="H1225" i="3"/>
  <c r="L1225" i="3"/>
  <c r="P1225" i="3"/>
  <c r="T1225" i="3"/>
  <c r="E1225" i="3"/>
  <c r="I1225" i="3"/>
  <c r="M1225" i="3"/>
  <c r="Q1225" i="3"/>
  <c r="U1225" i="3"/>
  <c r="F1225" i="3"/>
  <c r="J1225" i="3"/>
  <c r="N1225" i="3"/>
  <c r="R1225" i="3"/>
  <c r="V1225" i="3"/>
  <c r="G1206" i="3"/>
  <c r="K1206" i="3"/>
  <c r="O1206" i="3"/>
  <c r="W1206" i="3"/>
  <c r="D1206" i="3"/>
  <c r="H1206" i="3"/>
  <c r="L1206" i="3"/>
  <c r="P1206" i="3"/>
  <c r="T1206" i="3"/>
  <c r="E1206" i="3"/>
  <c r="I1206" i="3"/>
  <c r="M1206" i="3"/>
  <c r="Q1206" i="3"/>
  <c r="U1206" i="3"/>
  <c r="F1206" i="3"/>
  <c r="J1206" i="3"/>
  <c r="N1206" i="3"/>
  <c r="R1206" i="3"/>
  <c r="V1206" i="3"/>
  <c r="F1181" i="3"/>
  <c r="J1181" i="3"/>
  <c r="N1181" i="3"/>
  <c r="R1181" i="3"/>
  <c r="V1181" i="3"/>
  <c r="D1181" i="3"/>
  <c r="H1181" i="3"/>
  <c r="L1181" i="3"/>
  <c r="P1181" i="3"/>
  <c r="T1181" i="3"/>
  <c r="I1181" i="3"/>
  <c r="Q1181" i="3"/>
  <c r="K1181" i="3"/>
  <c r="E1181" i="3"/>
  <c r="M1181" i="3"/>
  <c r="U1181" i="3"/>
  <c r="G1181" i="3"/>
  <c r="O1181" i="3"/>
  <c r="W1181" i="3"/>
  <c r="G1418" i="3"/>
  <c r="K1418" i="3"/>
  <c r="O1418" i="3"/>
  <c r="W1418" i="3"/>
  <c r="D1418" i="3"/>
  <c r="H1418" i="3"/>
  <c r="L1418" i="3"/>
  <c r="P1418" i="3"/>
  <c r="T1418" i="3"/>
  <c r="E1418" i="3"/>
  <c r="I1418" i="3"/>
  <c r="M1418" i="3"/>
  <c r="Q1418" i="3"/>
  <c r="U1418" i="3"/>
  <c r="F1418" i="3"/>
  <c r="J1418" i="3"/>
  <c r="N1418" i="3"/>
  <c r="R1418" i="3"/>
  <c r="V1418" i="3"/>
  <c r="G1398" i="3"/>
  <c r="K1398" i="3"/>
  <c r="O1398" i="3"/>
  <c r="W1398" i="3"/>
  <c r="D1398" i="3"/>
  <c r="H1398" i="3"/>
  <c r="L1398" i="3"/>
  <c r="P1398" i="3"/>
  <c r="T1398" i="3"/>
  <c r="E1398" i="3"/>
  <c r="I1398" i="3"/>
  <c r="M1398" i="3"/>
  <c r="Q1398" i="3"/>
  <c r="U1398" i="3"/>
  <c r="F1398" i="3"/>
  <c r="J1398" i="3"/>
  <c r="N1398" i="3"/>
  <c r="R1398" i="3"/>
  <c r="V1398" i="3"/>
  <c r="G1382" i="3"/>
  <c r="K1382" i="3"/>
  <c r="O1382" i="3"/>
  <c r="W1382" i="3"/>
  <c r="D1382" i="3"/>
  <c r="H1382" i="3"/>
  <c r="L1382" i="3"/>
  <c r="P1382" i="3"/>
  <c r="T1382" i="3"/>
  <c r="E1382" i="3"/>
  <c r="I1382" i="3"/>
  <c r="M1382" i="3"/>
  <c r="Q1382" i="3"/>
  <c r="U1382" i="3"/>
  <c r="F1382" i="3"/>
  <c r="J1382" i="3"/>
  <c r="N1382" i="3"/>
  <c r="R1382" i="3"/>
  <c r="V1382" i="3"/>
  <c r="G1366" i="3"/>
  <c r="K1366" i="3"/>
  <c r="O1366" i="3"/>
  <c r="W1366" i="3"/>
  <c r="D1366" i="3"/>
  <c r="H1366" i="3"/>
  <c r="L1366" i="3"/>
  <c r="P1366" i="3"/>
  <c r="T1366" i="3"/>
  <c r="E1366" i="3"/>
  <c r="I1366" i="3"/>
  <c r="M1366" i="3"/>
  <c r="Q1366" i="3"/>
  <c r="U1366" i="3"/>
  <c r="F1366" i="3"/>
  <c r="J1366" i="3"/>
  <c r="N1366" i="3"/>
  <c r="R1366" i="3"/>
  <c r="V1366" i="3"/>
  <c r="G1350" i="3"/>
  <c r="K1350" i="3"/>
  <c r="O1350" i="3"/>
  <c r="W1350" i="3"/>
  <c r="D1350" i="3"/>
  <c r="H1350" i="3"/>
  <c r="L1350" i="3"/>
  <c r="P1350" i="3"/>
  <c r="T1350" i="3"/>
  <c r="E1350" i="3"/>
  <c r="I1350" i="3"/>
  <c r="M1350" i="3"/>
  <c r="Q1350" i="3"/>
  <c r="U1350" i="3"/>
  <c r="F1350" i="3"/>
  <c r="J1350" i="3"/>
  <c r="N1350" i="3"/>
  <c r="R1350" i="3"/>
  <c r="V1350" i="3"/>
  <c r="G1334" i="3"/>
  <c r="K1334" i="3"/>
  <c r="O1334" i="3"/>
  <c r="W1334" i="3"/>
  <c r="D1334" i="3"/>
  <c r="H1334" i="3"/>
  <c r="L1334" i="3"/>
  <c r="P1334" i="3"/>
  <c r="T1334" i="3"/>
  <c r="E1334" i="3"/>
  <c r="I1334" i="3"/>
  <c r="M1334" i="3"/>
  <c r="Q1334" i="3"/>
  <c r="U1334" i="3"/>
  <c r="F1334" i="3"/>
  <c r="J1334" i="3"/>
  <c r="N1334" i="3"/>
  <c r="R1334" i="3"/>
  <c r="V1334" i="3"/>
  <c r="G1318" i="3"/>
  <c r="K1318" i="3"/>
  <c r="O1318" i="3"/>
  <c r="W1318" i="3"/>
  <c r="D1318" i="3"/>
  <c r="H1318" i="3"/>
  <c r="L1318" i="3"/>
  <c r="P1318" i="3"/>
  <c r="T1318" i="3"/>
  <c r="E1318" i="3"/>
  <c r="I1318" i="3"/>
  <c r="M1318" i="3"/>
  <c r="Q1318" i="3"/>
  <c r="U1318" i="3"/>
  <c r="F1318" i="3"/>
  <c r="J1318" i="3"/>
  <c r="N1318" i="3"/>
  <c r="R1318" i="3"/>
  <c r="V1318" i="3"/>
  <c r="G1302" i="3"/>
  <c r="K1302" i="3"/>
  <c r="O1302" i="3"/>
  <c r="W1302" i="3"/>
  <c r="D1302" i="3"/>
  <c r="H1302" i="3"/>
  <c r="L1302" i="3"/>
  <c r="P1302" i="3"/>
  <c r="T1302" i="3"/>
  <c r="E1302" i="3"/>
  <c r="I1302" i="3"/>
  <c r="M1302" i="3"/>
  <c r="Q1302" i="3"/>
  <c r="U1302" i="3"/>
  <c r="F1302" i="3"/>
  <c r="J1302" i="3"/>
  <c r="N1302" i="3"/>
  <c r="R1302" i="3"/>
  <c r="V1302" i="3"/>
  <c r="G1286" i="3"/>
  <c r="K1286" i="3"/>
  <c r="O1286" i="3"/>
  <c r="W1286" i="3"/>
  <c r="D1286" i="3"/>
  <c r="H1286" i="3"/>
  <c r="L1286" i="3"/>
  <c r="P1286" i="3"/>
  <c r="T1286" i="3"/>
  <c r="E1286" i="3"/>
  <c r="I1286" i="3"/>
  <c r="M1286" i="3"/>
  <c r="Q1286" i="3"/>
  <c r="U1286" i="3"/>
  <c r="F1286" i="3"/>
  <c r="J1286" i="3"/>
  <c r="N1286" i="3"/>
  <c r="R1286" i="3"/>
  <c r="V1286" i="3"/>
  <c r="G1270" i="3"/>
  <c r="K1270" i="3"/>
  <c r="O1270" i="3"/>
  <c r="W1270" i="3"/>
  <c r="D1270" i="3"/>
  <c r="H1270" i="3"/>
  <c r="L1270" i="3"/>
  <c r="P1270" i="3"/>
  <c r="T1270" i="3"/>
  <c r="E1270" i="3"/>
  <c r="I1270" i="3"/>
  <c r="M1270" i="3"/>
  <c r="Q1270" i="3"/>
  <c r="U1270" i="3"/>
  <c r="F1270" i="3"/>
  <c r="J1270" i="3"/>
  <c r="N1270" i="3"/>
  <c r="R1270" i="3"/>
  <c r="V1270" i="3"/>
  <c r="G1254" i="3"/>
  <c r="K1254" i="3"/>
  <c r="O1254" i="3"/>
  <c r="W1254" i="3"/>
  <c r="D1254" i="3"/>
  <c r="H1254" i="3"/>
  <c r="L1254" i="3"/>
  <c r="P1254" i="3"/>
  <c r="T1254" i="3"/>
  <c r="E1254" i="3"/>
  <c r="I1254" i="3"/>
  <c r="M1254" i="3"/>
  <c r="Q1254" i="3"/>
  <c r="U1254" i="3"/>
  <c r="F1254" i="3"/>
  <c r="J1254" i="3"/>
  <c r="N1254" i="3"/>
  <c r="R1254" i="3"/>
  <c r="V1254" i="3"/>
  <c r="G1238" i="3"/>
  <c r="K1238" i="3"/>
  <c r="O1238" i="3"/>
  <c r="W1238" i="3"/>
  <c r="D1238" i="3"/>
  <c r="H1238" i="3"/>
  <c r="L1238" i="3"/>
  <c r="P1238" i="3"/>
  <c r="T1238" i="3"/>
  <c r="E1238" i="3"/>
  <c r="I1238" i="3"/>
  <c r="M1238" i="3"/>
  <c r="Q1238" i="3"/>
  <c r="U1238" i="3"/>
  <c r="F1238" i="3"/>
  <c r="J1238" i="3"/>
  <c r="N1238" i="3"/>
  <c r="R1238" i="3"/>
  <c r="V1238" i="3"/>
  <c r="G1223" i="3"/>
  <c r="K1223" i="3"/>
  <c r="O1223" i="3"/>
  <c r="W1223" i="3"/>
  <c r="D1223" i="3"/>
  <c r="H1223" i="3"/>
  <c r="L1223" i="3"/>
  <c r="P1223" i="3"/>
  <c r="T1223" i="3"/>
  <c r="E1223" i="3"/>
  <c r="I1223" i="3"/>
  <c r="M1223" i="3"/>
  <c r="Q1223" i="3"/>
  <c r="U1223" i="3"/>
  <c r="F1223" i="3"/>
  <c r="J1223" i="3"/>
  <c r="N1223" i="3"/>
  <c r="R1223" i="3"/>
  <c r="V1223" i="3"/>
  <c r="G1197" i="3"/>
  <c r="K1197" i="3"/>
  <c r="O1197" i="3"/>
  <c r="W1197" i="3"/>
  <c r="D1197" i="3"/>
  <c r="H1197" i="3"/>
  <c r="L1197" i="3"/>
  <c r="P1197" i="3"/>
  <c r="T1197" i="3"/>
  <c r="E1197" i="3"/>
  <c r="I1197" i="3"/>
  <c r="M1197" i="3"/>
  <c r="Q1197" i="3"/>
  <c r="U1197" i="3"/>
  <c r="F1197" i="3"/>
  <c r="J1197" i="3"/>
  <c r="N1197" i="3"/>
  <c r="R1197" i="3"/>
  <c r="V1197" i="3"/>
  <c r="G1443" i="3"/>
  <c r="K1443" i="3"/>
  <c r="O1443" i="3"/>
  <c r="W1443" i="3"/>
  <c r="D1443" i="3"/>
  <c r="H1443" i="3"/>
  <c r="L1443" i="3"/>
  <c r="P1443" i="3"/>
  <c r="T1443" i="3"/>
  <c r="E1443" i="3"/>
  <c r="I1443" i="3"/>
  <c r="M1443" i="3"/>
  <c r="Q1443" i="3"/>
  <c r="U1443" i="3"/>
  <c r="F1443" i="3"/>
  <c r="J1443" i="3"/>
  <c r="N1443" i="3"/>
  <c r="R1443" i="3"/>
  <c r="V1443" i="3"/>
  <c r="G1411" i="3"/>
  <c r="K1411" i="3"/>
  <c r="O1411" i="3"/>
  <c r="W1411" i="3"/>
  <c r="D1411" i="3"/>
  <c r="H1411" i="3"/>
  <c r="L1411" i="3"/>
  <c r="P1411" i="3"/>
  <c r="T1411" i="3"/>
  <c r="E1411" i="3"/>
  <c r="I1411" i="3"/>
  <c r="M1411" i="3"/>
  <c r="Q1411" i="3"/>
  <c r="U1411" i="3"/>
  <c r="F1411" i="3"/>
  <c r="J1411" i="3"/>
  <c r="N1411" i="3"/>
  <c r="R1411" i="3"/>
  <c r="V1411" i="3"/>
  <c r="G1379" i="3"/>
  <c r="K1379" i="3"/>
  <c r="O1379" i="3"/>
  <c r="W1379" i="3"/>
  <c r="D1379" i="3"/>
  <c r="H1379" i="3"/>
  <c r="L1379" i="3"/>
  <c r="P1379" i="3"/>
  <c r="T1379" i="3"/>
  <c r="E1379" i="3"/>
  <c r="I1379" i="3"/>
  <c r="M1379" i="3"/>
  <c r="Q1379" i="3"/>
  <c r="U1379" i="3"/>
  <c r="F1379" i="3"/>
  <c r="J1379" i="3"/>
  <c r="N1379" i="3"/>
  <c r="R1379" i="3"/>
  <c r="V1379" i="3"/>
  <c r="G1355" i="3"/>
  <c r="K1355" i="3"/>
  <c r="O1355" i="3"/>
  <c r="W1355" i="3"/>
  <c r="D1355" i="3"/>
  <c r="H1355" i="3"/>
  <c r="L1355" i="3"/>
  <c r="P1355" i="3"/>
  <c r="T1355" i="3"/>
  <c r="E1355" i="3"/>
  <c r="I1355" i="3"/>
  <c r="M1355" i="3"/>
  <c r="Q1355" i="3"/>
  <c r="U1355" i="3"/>
  <c r="F1355" i="3"/>
  <c r="J1355" i="3"/>
  <c r="N1355" i="3"/>
  <c r="R1355" i="3"/>
  <c r="V1355" i="3"/>
  <c r="G1339" i="3"/>
  <c r="K1339" i="3"/>
  <c r="O1339" i="3"/>
  <c r="W1339" i="3"/>
  <c r="D1339" i="3"/>
  <c r="H1339" i="3"/>
  <c r="L1339" i="3"/>
  <c r="P1339" i="3"/>
  <c r="T1339" i="3"/>
  <c r="E1339" i="3"/>
  <c r="I1339" i="3"/>
  <c r="M1339" i="3"/>
  <c r="Q1339" i="3"/>
  <c r="U1339" i="3"/>
  <c r="F1339" i="3"/>
  <c r="J1339" i="3"/>
  <c r="N1339" i="3"/>
  <c r="R1339" i="3"/>
  <c r="V1339" i="3"/>
  <c r="G1323" i="3"/>
  <c r="K1323" i="3"/>
  <c r="O1323" i="3"/>
  <c r="W1323" i="3"/>
  <c r="D1323" i="3"/>
  <c r="H1323" i="3"/>
  <c r="L1323" i="3"/>
  <c r="P1323" i="3"/>
  <c r="T1323" i="3"/>
  <c r="E1323" i="3"/>
  <c r="I1323" i="3"/>
  <c r="M1323" i="3"/>
  <c r="Q1323" i="3"/>
  <c r="U1323" i="3"/>
  <c r="F1323" i="3"/>
  <c r="J1323" i="3"/>
  <c r="N1323" i="3"/>
  <c r="R1323" i="3"/>
  <c r="V1323" i="3"/>
  <c r="G1307" i="3"/>
  <c r="K1307" i="3"/>
  <c r="O1307" i="3"/>
  <c r="W1307" i="3"/>
  <c r="D1307" i="3"/>
  <c r="H1307" i="3"/>
  <c r="L1307" i="3"/>
  <c r="P1307" i="3"/>
  <c r="T1307" i="3"/>
  <c r="E1307" i="3"/>
  <c r="I1307" i="3"/>
  <c r="M1307" i="3"/>
  <c r="Q1307" i="3"/>
  <c r="U1307" i="3"/>
  <c r="F1307" i="3"/>
  <c r="J1307" i="3"/>
  <c r="N1307" i="3"/>
  <c r="R1307" i="3"/>
  <c r="V1307" i="3"/>
  <c r="G1291" i="3"/>
  <c r="K1291" i="3"/>
  <c r="O1291" i="3"/>
  <c r="W1291" i="3"/>
  <c r="D1291" i="3"/>
  <c r="H1291" i="3"/>
  <c r="L1291" i="3"/>
  <c r="P1291" i="3"/>
  <c r="T1291" i="3"/>
  <c r="E1291" i="3"/>
  <c r="I1291" i="3"/>
  <c r="M1291" i="3"/>
  <c r="Q1291" i="3"/>
  <c r="U1291" i="3"/>
  <c r="F1291" i="3"/>
  <c r="J1291" i="3"/>
  <c r="N1291" i="3"/>
  <c r="R1291" i="3"/>
  <c r="V1291" i="3"/>
  <c r="G1275" i="3"/>
  <c r="K1275" i="3"/>
  <c r="O1275" i="3"/>
  <c r="W1275" i="3"/>
  <c r="D1275" i="3"/>
  <c r="H1275" i="3"/>
  <c r="L1275" i="3"/>
  <c r="P1275" i="3"/>
  <c r="T1275" i="3"/>
  <c r="E1275" i="3"/>
  <c r="I1275" i="3"/>
  <c r="M1275" i="3"/>
  <c r="Q1275" i="3"/>
  <c r="U1275" i="3"/>
  <c r="F1275" i="3"/>
  <c r="J1275" i="3"/>
  <c r="N1275" i="3"/>
  <c r="R1275" i="3"/>
  <c r="V1275" i="3"/>
  <c r="G1259" i="3"/>
  <c r="K1259" i="3"/>
  <c r="O1259" i="3"/>
  <c r="W1259" i="3"/>
  <c r="D1259" i="3"/>
  <c r="H1259" i="3"/>
  <c r="L1259" i="3"/>
  <c r="P1259" i="3"/>
  <c r="T1259" i="3"/>
  <c r="E1259" i="3"/>
  <c r="I1259" i="3"/>
  <c r="M1259" i="3"/>
  <c r="Q1259" i="3"/>
  <c r="U1259" i="3"/>
  <c r="F1259" i="3"/>
  <c r="J1259" i="3"/>
  <c r="N1259" i="3"/>
  <c r="R1259" i="3"/>
  <c r="V1259" i="3"/>
  <c r="G1243" i="3"/>
  <c r="K1243" i="3"/>
  <c r="O1243" i="3"/>
  <c r="W1243" i="3"/>
  <c r="D1243" i="3"/>
  <c r="H1243" i="3"/>
  <c r="L1243" i="3"/>
  <c r="P1243" i="3"/>
  <c r="T1243" i="3"/>
  <c r="E1243" i="3"/>
  <c r="I1243" i="3"/>
  <c r="M1243" i="3"/>
  <c r="Q1243" i="3"/>
  <c r="U1243" i="3"/>
  <c r="F1243" i="3"/>
  <c r="J1243" i="3"/>
  <c r="N1243" i="3"/>
  <c r="R1243" i="3"/>
  <c r="V1243" i="3"/>
  <c r="G1227" i="3"/>
  <c r="K1227" i="3"/>
  <c r="O1227" i="3"/>
  <c r="W1227" i="3"/>
  <c r="D1227" i="3"/>
  <c r="H1227" i="3"/>
  <c r="L1227" i="3"/>
  <c r="P1227" i="3"/>
  <c r="T1227" i="3"/>
  <c r="E1227" i="3"/>
  <c r="I1227" i="3"/>
  <c r="M1227" i="3"/>
  <c r="Q1227" i="3"/>
  <c r="U1227" i="3"/>
  <c r="F1227" i="3"/>
  <c r="J1227" i="3"/>
  <c r="N1227" i="3"/>
  <c r="R1227" i="3"/>
  <c r="V1227" i="3"/>
  <c r="G1201" i="3"/>
  <c r="K1201" i="3"/>
  <c r="O1201" i="3"/>
  <c r="W1201" i="3"/>
  <c r="D1201" i="3"/>
  <c r="H1201" i="3"/>
  <c r="L1201" i="3"/>
  <c r="P1201" i="3"/>
  <c r="T1201" i="3"/>
  <c r="E1201" i="3"/>
  <c r="I1201" i="3"/>
  <c r="M1201" i="3"/>
  <c r="Q1201" i="3"/>
  <c r="U1201" i="3"/>
  <c r="F1201" i="3"/>
  <c r="J1201" i="3"/>
  <c r="N1201" i="3"/>
  <c r="R1201" i="3"/>
  <c r="V1201" i="3"/>
  <c r="F1178" i="3"/>
  <c r="J1178" i="3"/>
  <c r="N1178" i="3"/>
  <c r="R1178" i="3"/>
  <c r="V1178" i="3"/>
  <c r="D1178" i="3"/>
  <c r="H1178" i="3"/>
  <c r="L1178" i="3"/>
  <c r="P1178" i="3"/>
  <c r="T1178" i="3"/>
  <c r="E1178" i="3"/>
  <c r="M1178" i="3"/>
  <c r="U1178" i="3"/>
  <c r="G1178" i="3"/>
  <c r="O1178" i="3"/>
  <c r="W1178" i="3"/>
  <c r="I1178" i="3"/>
  <c r="Q1178" i="3"/>
  <c r="K1178" i="3"/>
  <c r="E1162" i="3"/>
  <c r="I1162" i="3"/>
  <c r="M1162" i="3"/>
  <c r="Q1162" i="3"/>
  <c r="U1162" i="3"/>
  <c r="F1162" i="3"/>
  <c r="J1162" i="3"/>
  <c r="N1162" i="3"/>
  <c r="R1162" i="3"/>
  <c r="V1162" i="3"/>
  <c r="G1162" i="3"/>
  <c r="K1162" i="3"/>
  <c r="O1162" i="3"/>
  <c r="W1162" i="3"/>
  <c r="D1162" i="3"/>
  <c r="H1162" i="3"/>
  <c r="L1162" i="3"/>
  <c r="P1162" i="3"/>
  <c r="T1162" i="3"/>
  <c r="E1146" i="3"/>
  <c r="I1146" i="3"/>
  <c r="M1146" i="3"/>
  <c r="Q1146" i="3"/>
  <c r="U1146" i="3"/>
  <c r="F1146" i="3"/>
  <c r="J1146" i="3"/>
  <c r="N1146" i="3"/>
  <c r="R1146" i="3"/>
  <c r="V1146" i="3"/>
  <c r="G1146" i="3"/>
  <c r="K1146" i="3"/>
  <c r="O1146" i="3"/>
  <c r="W1146" i="3"/>
  <c r="D1146" i="3"/>
  <c r="H1146" i="3"/>
  <c r="L1146" i="3"/>
  <c r="P1146" i="3"/>
  <c r="T1146" i="3"/>
  <c r="E1130" i="3"/>
  <c r="I1130" i="3"/>
  <c r="M1130" i="3"/>
  <c r="Q1130" i="3"/>
  <c r="U1130" i="3"/>
  <c r="F1130" i="3"/>
  <c r="J1130" i="3"/>
  <c r="N1130" i="3"/>
  <c r="R1130" i="3"/>
  <c r="V1130" i="3"/>
  <c r="G1130" i="3"/>
  <c r="K1130" i="3"/>
  <c r="O1130" i="3"/>
  <c r="W1130" i="3"/>
  <c r="D1130" i="3"/>
  <c r="H1130" i="3"/>
  <c r="L1130" i="3"/>
  <c r="P1130" i="3"/>
  <c r="T1130" i="3"/>
  <c r="E1114" i="3"/>
  <c r="I1114" i="3"/>
  <c r="M1114" i="3"/>
  <c r="Q1114" i="3"/>
  <c r="U1114" i="3"/>
  <c r="F1114" i="3"/>
  <c r="J1114" i="3"/>
  <c r="N1114" i="3"/>
  <c r="R1114" i="3"/>
  <c r="V1114" i="3"/>
  <c r="G1114" i="3"/>
  <c r="K1114" i="3"/>
  <c r="O1114" i="3"/>
  <c r="W1114" i="3"/>
  <c r="D1114" i="3"/>
  <c r="H1114" i="3"/>
  <c r="L1114" i="3"/>
  <c r="P1114" i="3"/>
  <c r="T1114" i="3"/>
  <c r="E1098" i="3"/>
  <c r="I1098" i="3"/>
  <c r="M1098" i="3"/>
  <c r="Q1098" i="3"/>
  <c r="U1098" i="3"/>
  <c r="F1098" i="3"/>
  <c r="J1098" i="3"/>
  <c r="N1098" i="3"/>
  <c r="R1098" i="3"/>
  <c r="V1098" i="3"/>
  <c r="G1098" i="3"/>
  <c r="K1098" i="3"/>
  <c r="O1098" i="3"/>
  <c r="W1098" i="3"/>
  <c r="D1098" i="3"/>
  <c r="H1098" i="3"/>
  <c r="L1098" i="3"/>
  <c r="P1098" i="3"/>
  <c r="T1098" i="3"/>
  <c r="E1082" i="3"/>
  <c r="I1082" i="3"/>
  <c r="M1082" i="3"/>
  <c r="Q1082" i="3"/>
  <c r="U1082" i="3"/>
  <c r="F1082" i="3"/>
  <c r="J1082" i="3"/>
  <c r="N1082" i="3"/>
  <c r="R1082" i="3"/>
  <c r="V1082" i="3"/>
  <c r="G1082" i="3"/>
  <c r="K1082" i="3"/>
  <c r="O1082" i="3"/>
  <c r="W1082" i="3"/>
  <c r="D1082" i="3"/>
  <c r="H1082" i="3"/>
  <c r="L1082" i="3"/>
  <c r="P1082" i="3"/>
  <c r="T1082" i="3"/>
  <c r="E1066" i="3"/>
  <c r="I1066" i="3"/>
  <c r="M1066" i="3"/>
  <c r="Q1066" i="3"/>
  <c r="U1066" i="3"/>
  <c r="F1066" i="3"/>
  <c r="J1066" i="3"/>
  <c r="N1066" i="3"/>
  <c r="R1066" i="3"/>
  <c r="V1066" i="3"/>
  <c r="G1066" i="3"/>
  <c r="K1066" i="3"/>
  <c r="O1066" i="3"/>
  <c r="W1066" i="3"/>
  <c r="D1066" i="3"/>
  <c r="H1066" i="3"/>
  <c r="L1066" i="3"/>
  <c r="P1066" i="3"/>
  <c r="T1066" i="3"/>
  <c r="E1050" i="3"/>
  <c r="I1050" i="3"/>
  <c r="M1050" i="3"/>
  <c r="Q1050" i="3"/>
  <c r="U1050" i="3"/>
  <c r="F1050" i="3"/>
  <c r="J1050" i="3"/>
  <c r="N1050" i="3"/>
  <c r="R1050" i="3"/>
  <c r="V1050" i="3"/>
  <c r="G1050" i="3"/>
  <c r="K1050" i="3"/>
  <c r="O1050" i="3"/>
  <c r="W1050" i="3"/>
  <c r="D1050" i="3"/>
  <c r="H1050" i="3"/>
  <c r="L1050" i="3"/>
  <c r="P1050" i="3"/>
  <c r="T1050" i="3"/>
  <c r="E1034" i="3"/>
  <c r="I1034" i="3"/>
  <c r="M1034" i="3"/>
  <c r="Q1034" i="3"/>
  <c r="U1034" i="3"/>
  <c r="F1034" i="3"/>
  <c r="J1034" i="3"/>
  <c r="N1034" i="3"/>
  <c r="R1034" i="3"/>
  <c r="V1034" i="3"/>
  <c r="G1034" i="3"/>
  <c r="K1034" i="3"/>
  <c r="O1034" i="3"/>
  <c r="W1034" i="3"/>
  <c r="D1034" i="3"/>
  <c r="H1034" i="3"/>
  <c r="L1034" i="3"/>
  <c r="P1034" i="3"/>
  <c r="T1034" i="3"/>
  <c r="E1018" i="3"/>
  <c r="I1018" i="3"/>
  <c r="M1018" i="3"/>
  <c r="Q1018" i="3"/>
  <c r="U1018" i="3"/>
  <c r="F1018" i="3"/>
  <c r="J1018" i="3"/>
  <c r="N1018" i="3"/>
  <c r="R1018" i="3"/>
  <c r="V1018" i="3"/>
  <c r="G1018" i="3"/>
  <c r="K1018" i="3"/>
  <c r="O1018" i="3"/>
  <c r="W1018" i="3"/>
  <c r="D1018" i="3"/>
  <c r="H1018" i="3"/>
  <c r="L1018" i="3"/>
  <c r="P1018" i="3"/>
  <c r="T1018" i="3"/>
  <c r="E1002" i="3"/>
  <c r="I1002" i="3"/>
  <c r="M1002" i="3"/>
  <c r="Q1002" i="3"/>
  <c r="U1002" i="3"/>
  <c r="F1002" i="3"/>
  <c r="J1002" i="3"/>
  <c r="N1002" i="3"/>
  <c r="R1002" i="3"/>
  <c r="V1002" i="3"/>
  <c r="G1002" i="3"/>
  <c r="K1002" i="3"/>
  <c r="O1002" i="3"/>
  <c r="W1002" i="3"/>
  <c r="D1002" i="3"/>
  <c r="H1002" i="3"/>
  <c r="L1002" i="3"/>
  <c r="P1002" i="3"/>
  <c r="T1002" i="3"/>
  <c r="E986" i="3"/>
  <c r="I986" i="3"/>
  <c r="M986" i="3"/>
  <c r="Q986" i="3"/>
  <c r="U986" i="3"/>
  <c r="F986" i="3"/>
  <c r="J986" i="3"/>
  <c r="N986" i="3"/>
  <c r="R986" i="3"/>
  <c r="V986" i="3"/>
  <c r="G986" i="3"/>
  <c r="K986" i="3"/>
  <c r="O986" i="3"/>
  <c r="W986" i="3"/>
  <c r="D986" i="3"/>
  <c r="H986" i="3"/>
  <c r="L986" i="3"/>
  <c r="P986" i="3"/>
  <c r="T986" i="3"/>
  <c r="E970" i="3"/>
  <c r="I970" i="3"/>
  <c r="M970" i="3"/>
  <c r="Q970" i="3"/>
  <c r="U970" i="3"/>
  <c r="F970" i="3"/>
  <c r="J970" i="3"/>
  <c r="N970" i="3"/>
  <c r="R970" i="3"/>
  <c r="V970" i="3"/>
  <c r="G970" i="3"/>
  <c r="K970" i="3"/>
  <c r="O970" i="3"/>
  <c r="W970" i="3"/>
  <c r="D970" i="3"/>
  <c r="H970" i="3"/>
  <c r="L970" i="3"/>
  <c r="P970" i="3"/>
  <c r="T970" i="3"/>
  <c r="E951" i="3"/>
  <c r="I951" i="3"/>
  <c r="M951" i="3"/>
  <c r="Q951" i="3"/>
  <c r="U951" i="3"/>
  <c r="F951" i="3"/>
  <c r="J951" i="3"/>
  <c r="N951" i="3"/>
  <c r="R951" i="3"/>
  <c r="V951" i="3"/>
  <c r="G951" i="3"/>
  <c r="K951" i="3"/>
  <c r="O951" i="3"/>
  <c r="W951" i="3"/>
  <c r="D951" i="3"/>
  <c r="H951" i="3"/>
  <c r="L951" i="3"/>
  <c r="P951" i="3"/>
  <c r="T951" i="3"/>
  <c r="E925" i="3"/>
  <c r="I925" i="3"/>
  <c r="M925" i="3"/>
  <c r="Q925" i="3"/>
  <c r="U925" i="3"/>
  <c r="F925" i="3"/>
  <c r="J925" i="3"/>
  <c r="N925" i="3"/>
  <c r="R925" i="3"/>
  <c r="V925" i="3"/>
  <c r="G925" i="3"/>
  <c r="K925" i="3"/>
  <c r="O925" i="3"/>
  <c r="W925" i="3"/>
  <c r="D925" i="3"/>
  <c r="H925" i="3"/>
  <c r="L925" i="3"/>
  <c r="P925" i="3"/>
  <c r="T925" i="3"/>
  <c r="E906" i="3"/>
  <c r="I906" i="3"/>
  <c r="M906" i="3"/>
  <c r="Q906" i="3"/>
  <c r="U906" i="3"/>
  <c r="F906" i="3"/>
  <c r="J906" i="3"/>
  <c r="N906" i="3"/>
  <c r="R906" i="3"/>
  <c r="V906" i="3"/>
  <c r="G906" i="3"/>
  <c r="K906" i="3"/>
  <c r="O906" i="3"/>
  <c r="W906" i="3"/>
  <c r="D906" i="3"/>
  <c r="H906" i="3"/>
  <c r="L906" i="3"/>
  <c r="P906" i="3"/>
  <c r="T906" i="3"/>
  <c r="E887" i="3"/>
  <c r="I887" i="3"/>
  <c r="M887" i="3"/>
  <c r="Q887" i="3"/>
  <c r="U887" i="3"/>
  <c r="F887" i="3"/>
  <c r="J887" i="3"/>
  <c r="N887" i="3"/>
  <c r="R887" i="3"/>
  <c r="V887" i="3"/>
  <c r="G887" i="3"/>
  <c r="K887" i="3"/>
  <c r="O887" i="3"/>
  <c r="W887" i="3"/>
  <c r="D887" i="3"/>
  <c r="H887" i="3"/>
  <c r="L887" i="3"/>
  <c r="P887" i="3"/>
  <c r="T887" i="3"/>
  <c r="E857" i="3"/>
  <c r="I857" i="3"/>
  <c r="M857" i="3"/>
  <c r="Q857" i="3"/>
  <c r="U857" i="3"/>
  <c r="F857" i="3"/>
  <c r="J857" i="3"/>
  <c r="N857" i="3"/>
  <c r="R857" i="3"/>
  <c r="V857" i="3"/>
  <c r="G857" i="3"/>
  <c r="K857" i="3"/>
  <c r="O857" i="3"/>
  <c r="W857" i="3"/>
  <c r="D857" i="3"/>
  <c r="H857" i="3"/>
  <c r="L857" i="3"/>
  <c r="P857" i="3"/>
  <c r="T857" i="3"/>
  <c r="G1187" i="3"/>
  <c r="K1187" i="3"/>
  <c r="O1187" i="3"/>
  <c r="W1187" i="3"/>
  <c r="D1187" i="3"/>
  <c r="H1187" i="3"/>
  <c r="L1187" i="3"/>
  <c r="P1187" i="3"/>
  <c r="T1187" i="3"/>
  <c r="E1187" i="3"/>
  <c r="I1187" i="3"/>
  <c r="M1187" i="3"/>
  <c r="Q1187" i="3"/>
  <c r="U1187" i="3"/>
  <c r="F1187" i="3"/>
  <c r="J1187" i="3"/>
  <c r="N1187" i="3"/>
  <c r="R1187" i="3"/>
  <c r="V1187" i="3"/>
  <c r="E1171" i="3"/>
  <c r="I1171" i="3"/>
  <c r="M1171" i="3"/>
  <c r="Q1171" i="3"/>
  <c r="U1171" i="3"/>
  <c r="F1171" i="3"/>
  <c r="J1171" i="3"/>
  <c r="N1171" i="3"/>
  <c r="R1171" i="3"/>
  <c r="V1171" i="3"/>
  <c r="G1171" i="3"/>
  <c r="K1171" i="3"/>
  <c r="O1171" i="3"/>
  <c r="W1171" i="3"/>
  <c r="D1171" i="3"/>
  <c r="H1171" i="3"/>
  <c r="L1171" i="3"/>
  <c r="P1171" i="3"/>
  <c r="T1171" i="3"/>
  <c r="E1155" i="3"/>
  <c r="I1155" i="3"/>
  <c r="M1155" i="3"/>
  <c r="Q1155" i="3"/>
  <c r="U1155" i="3"/>
  <c r="F1155" i="3"/>
  <c r="J1155" i="3"/>
  <c r="N1155" i="3"/>
  <c r="R1155" i="3"/>
  <c r="V1155" i="3"/>
  <c r="G1155" i="3"/>
  <c r="K1155" i="3"/>
  <c r="O1155" i="3"/>
  <c r="W1155" i="3"/>
  <c r="D1155" i="3"/>
  <c r="H1155" i="3"/>
  <c r="L1155" i="3"/>
  <c r="P1155" i="3"/>
  <c r="T1155" i="3"/>
  <c r="E1139" i="3"/>
  <c r="I1139" i="3"/>
  <c r="M1139" i="3"/>
  <c r="Q1139" i="3"/>
  <c r="U1139" i="3"/>
  <c r="F1139" i="3"/>
  <c r="J1139" i="3"/>
  <c r="N1139" i="3"/>
  <c r="R1139" i="3"/>
  <c r="V1139" i="3"/>
  <c r="G1139" i="3"/>
  <c r="K1139" i="3"/>
  <c r="O1139" i="3"/>
  <c r="W1139" i="3"/>
  <c r="D1139" i="3"/>
  <c r="H1139" i="3"/>
  <c r="L1139" i="3"/>
  <c r="P1139" i="3"/>
  <c r="T1139" i="3"/>
  <c r="E1123" i="3"/>
  <c r="I1123" i="3"/>
  <c r="M1123" i="3"/>
  <c r="Q1123" i="3"/>
  <c r="U1123" i="3"/>
  <c r="F1123" i="3"/>
  <c r="J1123" i="3"/>
  <c r="N1123" i="3"/>
  <c r="R1123" i="3"/>
  <c r="V1123" i="3"/>
  <c r="G1123" i="3"/>
  <c r="K1123" i="3"/>
  <c r="O1123" i="3"/>
  <c r="W1123" i="3"/>
  <c r="D1123" i="3"/>
  <c r="H1123" i="3"/>
  <c r="L1123" i="3"/>
  <c r="P1123" i="3"/>
  <c r="T1123" i="3"/>
  <c r="E1107" i="3"/>
  <c r="I1107" i="3"/>
  <c r="M1107" i="3"/>
  <c r="Q1107" i="3"/>
  <c r="U1107" i="3"/>
  <c r="F1107" i="3"/>
  <c r="J1107" i="3"/>
  <c r="N1107" i="3"/>
  <c r="R1107" i="3"/>
  <c r="V1107" i="3"/>
  <c r="G1107" i="3"/>
  <c r="K1107" i="3"/>
  <c r="O1107" i="3"/>
  <c r="W1107" i="3"/>
  <c r="D1107" i="3"/>
  <c r="H1107" i="3"/>
  <c r="L1107" i="3"/>
  <c r="P1107" i="3"/>
  <c r="T1107" i="3"/>
  <c r="E1091" i="3"/>
  <c r="I1091" i="3"/>
  <c r="M1091" i="3"/>
  <c r="Q1091" i="3"/>
  <c r="U1091" i="3"/>
  <c r="F1091" i="3"/>
  <c r="J1091" i="3"/>
  <c r="N1091" i="3"/>
  <c r="R1091" i="3"/>
  <c r="V1091" i="3"/>
  <c r="G1091" i="3"/>
  <c r="K1091" i="3"/>
  <c r="O1091" i="3"/>
  <c r="W1091" i="3"/>
  <c r="D1091" i="3"/>
  <c r="H1091" i="3"/>
  <c r="L1091" i="3"/>
  <c r="P1091" i="3"/>
  <c r="T1091" i="3"/>
  <c r="E1075" i="3"/>
  <c r="I1075" i="3"/>
  <c r="M1075" i="3"/>
  <c r="Q1075" i="3"/>
  <c r="U1075" i="3"/>
  <c r="F1075" i="3"/>
  <c r="J1075" i="3"/>
  <c r="N1075" i="3"/>
  <c r="R1075" i="3"/>
  <c r="V1075" i="3"/>
  <c r="G1075" i="3"/>
  <c r="K1075" i="3"/>
  <c r="O1075" i="3"/>
  <c r="W1075" i="3"/>
  <c r="D1075" i="3"/>
  <c r="H1075" i="3"/>
  <c r="L1075" i="3"/>
  <c r="P1075" i="3"/>
  <c r="T1075" i="3"/>
  <c r="E1059" i="3"/>
  <c r="I1059" i="3"/>
  <c r="M1059" i="3"/>
  <c r="Q1059" i="3"/>
  <c r="U1059" i="3"/>
  <c r="F1059" i="3"/>
  <c r="J1059" i="3"/>
  <c r="N1059" i="3"/>
  <c r="R1059" i="3"/>
  <c r="V1059" i="3"/>
  <c r="G1059" i="3"/>
  <c r="K1059" i="3"/>
  <c r="O1059" i="3"/>
  <c r="W1059" i="3"/>
  <c r="D1059" i="3"/>
  <c r="H1059" i="3"/>
  <c r="L1059" i="3"/>
  <c r="P1059" i="3"/>
  <c r="T1059" i="3"/>
  <c r="E1043" i="3"/>
  <c r="I1043" i="3"/>
  <c r="M1043" i="3"/>
  <c r="Q1043" i="3"/>
  <c r="U1043" i="3"/>
  <c r="F1043" i="3"/>
  <c r="J1043" i="3"/>
  <c r="N1043" i="3"/>
  <c r="R1043" i="3"/>
  <c r="V1043" i="3"/>
  <c r="G1043" i="3"/>
  <c r="K1043" i="3"/>
  <c r="O1043" i="3"/>
  <c r="W1043" i="3"/>
  <c r="D1043" i="3"/>
  <c r="H1043" i="3"/>
  <c r="L1043" i="3"/>
  <c r="P1043" i="3"/>
  <c r="T1043" i="3"/>
  <c r="E1027" i="3"/>
  <c r="I1027" i="3"/>
  <c r="M1027" i="3"/>
  <c r="Q1027" i="3"/>
  <c r="U1027" i="3"/>
  <c r="F1027" i="3"/>
  <c r="J1027" i="3"/>
  <c r="N1027" i="3"/>
  <c r="R1027" i="3"/>
  <c r="V1027" i="3"/>
  <c r="G1027" i="3"/>
  <c r="K1027" i="3"/>
  <c r="O1027" i="3"/>
  <c r="W1027" i="3"/>
  <c r="D1027" i="3"/>
  <c r="H1027" i="3"/>
  <c r="L1027" i="3"/>
  <c r="P1027" i="3"/>
  <c r="T1027" i="3"/>
  <c r="E1011" i="3"/>
  <c r="I1011" i="3"/>
  <c r="M1011" i="3"/>
  <c r="Q1011" i="3"/>
  <c r="U1011" i="3"/>
  <c r="F1011" i="3"/>
  <c r="J1011" i="3"/>
  <c r="N1011" i="3"/>
  <c r="R1011" i="3"/>
  <c r="V1011" i="3"/>
  <c r="G1011" i="3"/>
  <c r="K1011" i="3"/>
  <c r="O1011" i="3"/>
  <c r="W1011" i="3"/>
  <c r="D1011" i="3"/>
  <c r="H1011" i="3"/>
  <c r="L1011" i="3"/>
  <c r="P1011" i="3"/>
  <c r="T1011" i="3"/>
  <c r="E995" i="3"/>
  <c r="I995" i="3"/>
  <c r="M995" i="3"/>
  <c r="Q995" i="3"/>
  <c r="U995" i="3"/>
  <c r="F995" i="3"/>
  <c r="J995" i="3"/>
  <c r="N995" i="3"/>
  <c r="R995" i="3"/>
  <c r="V995" i="3"/>
  <c r="G995" i="3"/>
  <c r="K995" i="3"/>
  <c r="O995" i="3"/>
  <c r="W995" i="3"/>
  <c r="D995" i="3"/>
  <c r="H995" i="3"/>
  <c r="L995" i="3"/>
  <c r="P995" i="3"/>
  <c r="T995" i="3"/>
  <c r="E979" i="3"/>
  <c r="I979" i="3"/>
  <c r="M979" i="3"/>
  <c r="Q979" i="3"/>
  <c r="U979" i="3"/>
  <c r="F979" i="3"/>
  <c r="J979" i="3"/>
  <c r="N979" i="3"/>
  <c r="R979" i="3"/>
  <c r="V979" i="3"/>
  <c r="G979" i="3"/>
  <c r="K979" i="3"/>
  <c r="O979" i="3"/>
  <c r="W979" i="3"/>
  <c r="D979" i="3"/>
  <c r="H979" i="3"/>
  <c r="L979" i="3"/>
  <c r="P979" i="3"/>
  <c r="T979" i="3"/>
  <c r="E958" i="3"/>
  <c r="I958" i="3"/>
  <c r="M958" i="3"/>
  <c r="Q958" i="3"/>
  <c r="U958" i="3"/>
  <c r="F958" i="3"/>
  <c r="J958" i="3"/>
  <c r="N958" i="3"/>
  <c r="R958" i="3"/>
  <c r="V958" i="3"/>
  <c r="G958" i="3"/>
  <c r="K958" i="3"/>
  <c r="O958" i="3"/>
  <c r="W958" i="3"/>
  <c r="D958" i="3"/>
  <c r="H958" i="3"/>
  <c r="L958" i="3"/>
  <c r="P958" i="3"/>
  <c r="T958" i="3"/>
  <c r="E939" i="3"/>
  <c r="I939" i="3"/>
  <c r="M939" i="3"/>
  <c r="Q939" i="3"/>
  <c r="U939" i="3"/>
  <c r="F939" i="3"/>
  <c r="J939" i="3"/>
  <c r="N939" i="3"/>
  <c r="R939" i="3"/>
  <c r="V939" i="3"/>
  <c r="G939" i="3"/>
  <c r="K939" i="3"/>
  <c r="O939" i="3"/>
  <c r="W939" i="3"/>
  <c r="D939" i="3"/>
  <c r="H939" i="3"/>
  <c r="L939" i="3"/>
  <c r="P939" i="3"/>
  <c r="T939" i="3"/>
  <c r="F913" i="3"/>
  <c r="J913" i="3"/>
  <c r="N913" i="3"/>
  <c r="R913" i="3"/>
  <c r="V913" i="3"/>
  <c r="D913" i="3"/>
  <c r="H913" i="3"/>
  <c r="L913" i="3"/>
  <c r="P913" i="3"/>
  <c r="T913" i="3"/>
  <c r="G913" i="3"/>
  <c r="O913" i="3"/>
  <c r="W913" i="3"/>
  <c r="I913" i="3"/>
  <c r="Q913" i="3"/>
  <c r="K913" i="3"/>
  <c r="E913" i="3"/>
  <c r="M913" i="3"/>
  <c r="U913" i="3"/>
  <c r="E894" i="3"/>
  <c r="I894" i="3"/>
  <c r="M894" i="3"/>
  <c r="Q894" i="3"/>
  <c r="U894" i="3"/>
  <c r="F894" i="3"/>
  <c r="J894" i="3"/>
  <c r="N894" i="3"/>
  <c r="R894" i="3"/>
  <c r="V894" i="3"/>
  <c r="G894" i="3"/>
  <c r="K894" i="3"/>
  <c r="O894" i="3"/>
  <c r="W894" i="3"/>
  <c r="D894" i="3"/>
  <c r="H894" i="3"/>
  <c r="L894" i="3"/>
  <c r="P894" i="3"/>
  <c r="T894" i="3"/>
  <c r="E866" i="3"/>
  <c r="I866" i="3"/>
  <c r="M866" i="3"/>
  <c r="Q866" i="3"/>
  <c r="U866" i="3"/>
  <c r="F866" i="3"/>
  <c r="J866" i="3"/>
  <c r="N866" i="3"/>
  <c r="R866" i="3"/>
  <c r="V866" i="3"/>
  <c r="G866" i="3"/>
  <c r="K866" i="3"/>
  <c r="O866" i="3"/>
  <c r="W866" i="3"/>
  <c r="D866" i="3"/>
  <c r="H866" i="3"/>
  <c r="L866" i="3"/>
  <c r="P866" i="3"/>
  <c r="T866" i="3"/>
  <c r="G1220" i="3"/>
  <c r="K1220" i="3"/>
  <c r="O1220" i="3"/>
  <c r="W1220" i="3"/>
  <c r="D1220" i="3"/>
  <c r="H1220" i="3"/>
  <c r="L1220" i="3"/>
  <c r="P1220" i="3"/>
  <c r="T1220" i="3"/>
  <c r="E1220" i="3"/>
  <c r="I1220" i="3"/>
  <c r="M1220" i="3"/>
  <c r="Q1220" i="3"/>
  <c r="U1220" i="3"/>
  <c r="F1220" i="3"/>
  <c r="J1220" i="3"/>
  <c r="N1220" i="3"/>
  <c r="R1220" i="3"/>
  <c r="V1220" i="3"/>
  <c r="G1204" i="3"/>
  <c r="K1204" i="3"/>
  <c r="O1204" i="3"/>
  <c r="W1204" i="3"/>
  <c r="D1204" i="3"/>
  <c r="H1204" i="3"/>
  <c r="L1204" i="3"/>
  <c r="P1204" i="3"/>
  <c r="T1204" i="3"/>
  <c r="E1204" i="3"/>
  <c r="I1204" i="3"/>
  <c r="M1204" i="3"/>
  <c r="Q1204" i="3"/>
  <c r="U1204" i="3"/>
  <c r="F1204" i="3"/>
  <c r="J1204" i="3"/>
  <c r="N1204" i="3"/>
  <c r="R1204" i="3"/>
  <c r="V1204" i="3"/>
  <c r="G1188" i="3"/>
  <c r="K1188" i="3"/>
  <c r="O1188" i="3"/>
  <c r="W1188" i="3"/>
  <c r="D1188" i="3"/>
  <c r="H1188" i="3"/>
  <c r="L1188" i="3"/>
  <c r="P1188" i="3"/>
  <c r="T1188" i="3"/>
  <c r="E1188" i="3"/>
  <c r="I1188" i="3"/>
  <c r="M1188" i="3"/>
  <c r="Q1188" i="3"/>
  <c r="U1188" i="3"/>
  <c r="F1188" i="3"/>
  <c r="J1188" i="3"/>
  <c r="N1188" i="3"/>
  <c r="R1188" i="3"/>
  <c r="V1188" i="3"/>
  <c r="E1172" i="3"/>
  <c r="I1172" i="3"/>
  <c r="M1172" i="3"/>
  <c r="Q1172" i="3"/>
  <c r="U1172" i="3"/>
  <c r="F1172" i="3"/>
  <c r="J1172" i="3"/>
  <c r="N1172" i="3"/>
  <c r="R1172" i="3"/>
  <c r="V1172" i="3"/>
  <c r="G1172" i="3"/>
  <c r="K1172" i="3"/>
  <c r="O1172" i="3"/>
  <c r="W1172" i="3"/>
  <c r="D1172" i="3"/>
  <c r="H1172" i="3"/>
  <c r="L1172" i="3"/>
  <c r="P1172" i="3"/>
  <c r="T1172" i="3"/>
  <c r="E1156" i="3"/>
  <c r="I1156" i="3"/>
  <c r="M1156" i="3"/>
  <c r="Q1156" i="3"/>
  <c r="U1156" i="3"/>
  <c r="F1156" i="3"/>
  <c r="J1156" i="3"/>
  <c r="N1156" i="3"/>
  <c r="R1156" i="3"/>
  <c r="V1156" i="3"/>
  <c r="G1156" i="3"/>
  <c r="K1156" i="3"/>
  <c r="O1156" i="3"/>
  <c r="W1156" i="3"/>
  <c r="D1156" i="3"/>
  <c r="H1156" i="3"/>
  <c r="L1156" i="3"/>
  <c r="P1156" i="3"/>
  <c r="T1156" i="3"/>
  <c r="E1140" i="3"/>
  <c r="I1140" i="3"/>
  <c r="M1140" i="3"/>
  <c r="Q1140" i="3"/>
  <c r="U1140" i="3"/>
  <c r="F1140" i="3"/>
  <c r="J1140" i="3"/>
  <c r="N1140" i="3"/>
  <c r="R1140" i="3"/>
  <c r="V1140" i="3"/>
  <c r="G1140" i="3"/>
  <c r="K1140" i="3"/>
  <c r="O1140" i="3"/>
  <c r="W1140" i="3"/>
  <c r="D1140" i="3"/>
  <c r="H1140" i="3"/>
  <c r="L1140" i="3"/>
  <c r="P1140" i="3"/>
  <c r="T1140" i="3"/>
  <c r="E1124" i="3"/>
  <c r="I1124" i="3"/>
  <c r="M1124" i="3"/>
  <c r="Q1124" i="3"/>
  <c r="U1124" i="3"/>
  <c r="F1124" i="3"/>
  <c r="J1124" i="3"/>
  <c r="N1124" i="3"/>
  <c r="R1124" i="3"/>
  <c r="V1124" i="3"/>
  <c r="G1124" i="3"/>
  <c r="K1124" i="3"/>
  <c r="O1124" i="3"/>
  <c r="W1124" i="3"/>
  <c r="D1124" i="3"/>
  <c r="H1124" i="3"/>
  <c r="L1124" i="3"/>
  <c r="P1124" i="3"/>
  <c r="T1124" i="3"/>
  <c r="E1108" i="3"/>
  <c r="I1108" i="3"/>
  <c r="M1108" i="3"/>
  <c r="Q1108" i="3"/>
  <c r="U1108" i="3"/>
  <c r="F1108" i="3"/>
  <c r="J1108" i="3"/>
  <c r="N1108" i="3"/>
  <c r="R1108" i="3"/>
  <c r="V1108" i="3"/>
  <c r="G1108" i="3"/>
  <c r="K1108" i="3"/>
  <c r="O1108" i="3"/>
  <c r="W1108" i="3"/>
  <c r="D1108" i="3"/>
  <c r="H1108" i="3"/>
  <c r="L1108" i="3"/>
  <c r="P1108" i="3"/>
  <c r="T1108" i="3"/>
  <c r="E1092" i="3"/>
  <c r="I1092" i="3"/>
  <c r="M1092" i="3"/>
  <c r="Q1092" i="3"/>
  <c r="U1092" i="3"/>
  <c r="F1092" i="3"/>
  <c r="J1092" i="3"/>
  <c r="N1092" i="3"/>
  <c r="R1092" i="3"/>
  <c r="V1092" i="3"/>
  <c r="G1092" i="3"/>
  <c r="K1092" i="3"/>
  <c r="O1092" i="3"/>
  <c r="W1092" i="3"/>
  <c r="D1092" i="3"/>
  <c r="H1092" i="3"/>
  <c r="L1092" i="3"/>
  <c r="P1092" i="3"/>
  <c r="T1092" i="3"/>
  <c r="E1076" i="3"/>
  <c r="I1076" i="3"/>
  <c r="M1076" i="3"/>
  <c r="Q1076" i="3"/>
  <c r="U1076" i="3"/>
  <c r="F1076" i="3"/>
  <c r="J1076" i="3"/>
  <c r="N1076" i="3"/>
  <c r="R1076" i="3"/>
  <c r="V1076" i="3"/>
  <c r="G1076" i="3"/>
  <c r="K1076" i="3"/>
  <c r="O1076" i="3"/>
  <c r="W1076" i="3"/>
  <c r="D1076" i="3"/>
  <c r="H1076" i="3"/>
  <c r="L1076" i="3"/>
  <c r="P1076" i="3"/>
  <c r="T1076" i="3"/>
  <c r="E1060" i="3"/>
  <c r="I1060" i="3"/>
  <c r="M1060" i="3"/>
  <c r="Q1060" i="3"/>
  <c r="U1060" i="3"/>
  <c r="F1060" i="3"/>
  <c r="J1060" i="3"/>
  <c r="N1060" i="3"/>
  <c r="R1060" i="3"/>
  <c r="V1060" i="3"/>
  <c r="G1060" i="3"/>
  <c r="K1060" i="3"/>
  <c r="O1060" i="3"/>
  <c r="W1060" i="3"/>
  <c r="D1060" i="3"/>
  <c r="H1060" i="3"/>
  <c r="L1060" i="3"/>
  <c r="P1060" i="3"/>
  <c r="T1060" i="3"/>
  <c r="E1044" i="3"/>
  <c r="I1044" i="3"/>
  <c r="M1044" i="3"/>
  <c r="Q1044" i="3"/>
  <c r="U1044" i="3"/>
  <c r="F1044" i="3"/>
  <c r="J1044" i="3"/>
  <c r="N1044" i="3"/>
  <c r="R1044" i="3"/>
  <c r="V1044" i="3"/>
  <c r="G1044" i="3"/>
  <c r="K1044" i="3"/>
  <c r="O1044" i="3"/>
  <c r="W1044" i="3"/>
  <c r="D1044" i="3"/>
  <c r="H1044" i="3"/>
  <c r="L1044" i="3"/>
  <c r="P1044" i="3"/>
  <c r="T1044" i="3"/>
  <c r="E1028" i="3"/>
  <c r="I1028" i="3"/>
  <c r="M1028" i="3"/>
  <c r="Q1028" i="3"/>
  <c r="U1028" i="3"/>
  <c r="F1028" i="3"/>
  <c r="J1028" i="3"/>
  <c r="N1028" i="3"/>
  <c r="R1028" i="3"/>
  <c r="V1028" i="3"/>
  <c r="G1028" i="3"/>
  <c r="K1028" i="3"/>
  <c r="O1028" i="3"/>
  <c r="W1028" i="3"/>
  <c r="D1028" i="3"/>
  <c r="H1028" i="3"/>
  <c r="L1028" i="3"/>
  <c r="P1028" i="3"/>
  <c r="T1028" i="3"/>
  <c r="E1012" i="3"/>
  <c r="I1012" i="3"/>
  <c r="M1012" i="3"/>
  <c r="Q1012" i="3"/>
  <c r="U1012" i="3"/>
  <c r="F1012" i="3"/>
  <c r="J1012" i="3"/>
  <c r="N1012" i="3"/>
  <c r="R1012" i="3"/>
  <c r="V1012" i="3"/>
  <c r="G1012" i="3"/>
  <c r="K1012" i="3"/>
  <c r="O1012" i="3"/>
  <c r="W1012" i="3"/>
  <c r="D1012" i="3"/>
  <c r="H1012" i="3"/>
  <c r="L1012" i="3"/>
  <c r="P1012" i="3"/>
  <c r="T1012" i="3"/>
  <c r="E996" i="3"/>
  <c r="I996" i="3"/>
  <c r="M996" i="3"/>
  <c r="Q996" i="3"/>
  <c r="U996" i="3"/>
  <c r="F996" i="3"/>
  <c r="J996" i="3"/>
  <c r="N996" i="3"/>
  <c r="R996" i="3"/>
  <c r="V996" i="3"/>
  <c r="G996" i="3"/>
  <c r="K996" i="3"/>
  <c r="O996" i="3"/>
  <c r="W996" i="3"/>
  <c r="D996" i="3"/>
  <c r="H996" i="3"/>
  <c r="L996" i="3"/>
  <c r="P996" i="3"/>
  <c r="T996" i="3"/>
  <c r="E980" i="3"/>
  <c r="I980" i="3"/>
  <c r="M980" i="3"/>
  <c r="Q980" i="3"/>
  <c r="U980" i="3"/>
  <c r="F980" i="3"/>
  <c r="J980" i="3"/>
  <c r="N980" i="3"/>
  <c r="R980" i="3"/>
  <c r="V980" i="3"/>
  <c r="G980" i="3"/>
  <c r="K980" i="3"/>
  <c r="O980" i="3"/>
  <c r="W980" i="3"/>
  <c r="D980" i="3"/>
  <c r="H980" i="3"/>
  <c r="L980" i="3"/>
  <c r="P980" i="3"/>
  <c r="T980" i="3"/>
  <c r="E962" i="3"/>
  <c r="I962" i="3"/>
  <c r="M962" i="3"/>
  <c r="Q962" i="3"/>
  <c r="U962" i="3"/>
  <c r="F962" i="3"/>
  <c r="J962" i="3"/>
  <c r="N962" i="3"/>
  <c r="R962" i="3"/>
  <c r="V962" i="3"/>
  <c r="G962" i="3"/>
  <c r="K962" i="3"/>
  <c r="O962" i="3"/>
  <c r="W962" i="3"/>
  <c r="D962" i="3"/>
  <c r="H962" i="3"/>
  <c r="L962" i="3"/>
  <c r="P962" i="3"/>
  <c r="T962" i="3"/>
  <c r="E943" i="3"/>
  <c r="I943" i="3"/>
  <c r="M943" i="3"/>
  <c r="Q943" i="3"/>
  <c r="U943" i="3"/>
  <c r="F943" i="3"/>
  <c r="J943" i="3"/>
  <c r="N943" i="3"/>
  <c r="R943" i="3"/>
  <c r="V943" i="3"/>
  <c r="G943" i="3"/>
  <c r="K943" i="3"/>
  <c r="O943" i="3"/>
  <c r="W943" i="3"/>
  <c r="D943" i="3"/>
  <c r="H943" i="3"/>
  <c r="L943" i="3"/>
  <c r="P943" i="3"/>
  <c r="T943" i="3"/>
  <c r="F917" i="3"/>
  <c r="J917" i="3"/>
  <c r="N917" i="3"/>
  <c r="R917" i="3"/>
  <c r="V917" i="3"/>
  <c r="D917" i="3"/>
  <c r="H917" i="3"/>
  <c r="L917" i="3"/>
  <c r="P917" i="3"/>
  <c r="T917" i="3"/>
  <c r="G917" i="3"/>
  <c r="O917" i="3"/>
  <c r="W917" i="3"/>
  <c r="I917" i="3"/>
  <c r="Q917" i="3"/>
  <c r="K917" i="3"/>
  <c r="E917" i="3"/>
  <c r="M917" i="3"/>
  <c r="U917" i="3"/>
  <c r="E898" i="3"/>
  <c r="I898" i="3"/>
  <c r="M898" i="3"/>
  <c r="Q898" i="3"/>
  <c r="U898" i="3"/>
  <c r="F898" i="3"/>
  <c r="J898" i="3"/>
  <c r="N898" i="3"/>
  <c r="R898" i="3"/>
  <c r="V898" i="3"/>
  <c r="G898" i="3"/>
  <c r="K898" i="3"/>
  <c r="O898" i="3"/>
  <c r="W898" i="3"/>
  <c r="D898" i="3"/>
  <c r="H898" i="3"/>
  <c r="L898" i="3"/>
  <c r="P898" i="3"/>
  <c r="T898" i="3"/>
  <c r="E869" i="3"/>
  <c r="I869" i="3"/>
  <c r="M869" i="3"/>
  <c r="Q869" i="3"/>
  <c r="U869" i="3"/>
  <c r="F869" i="3"/>
  <c r="J869" i="3"/>
  <c r="N869" i="3"/>
  <c r="R869" i="3"/>
  <c r="V869" i="3"/>
  <c r="G869" i="3"/>
  <c r="K869" i="3"/>
  <c r="O869" i="3"/>
  <c r="W869" i="3"/>
  <c r="D869" i="3"/>
  <c r="H869" i="3"/>
  <c r="L869" i="3"/>
  <c r="P869" i="3"/>
  <c r="T869" i="3"/>
  <c r="E1173" i="3"/>
  <c r="I1173" i="3"/>
  <c r="M1173" i="3"/>
  <c r="Q1173" i="3"/>
  <c r="U1173" i="3"/>
  <c r="F1173" i="3"/>
  <c r="J1173" i="3"/>
  <c r="N1173" i="3"/>
  <c r="R1173" i="3"/>
  <c r="V1173" i="3"/>
  <c r="G1173" i="3"/>
  <c r="K1173" i="3"/>
  <c r="O1173" i="3"/>
  <c r="W1173" i="3"/>
  <c r="D1173" i="3"/>
  <c r="H1173" i="3"/>
  <c r="L1173" i="3"/>
  <c r="P1173" i="3"/>
  <c r="T1173" i="3"/>
  <c r="E1157" i="3"/>
  <c r="I1157" i="3"/>
  <c r="M1157" i="3"/>
  <c r="Q1157" i="3"/>
  <c r="U1157" i="3"/>
  <c r="F1157" i="3"/>
  <c r="J1157" i="3"/>
  <c r="N1157" i="3"/>
  <c r="R1157" i="3"/>
  <c r="V1157" i="3"/>
  <c r="G1157" i="3"/>
  <c r="K1157" i="3"/>
  <c r="O1157" i="3"/>
  <c r="W1157" i="3"/>
  <c r="D1157" i="3"/>
  <c r="H1157" i="3"/>
  <c r="L1157" i="3"/>
  <c r="P1157" i="3"/>
  <c r="T1157" i="3"/>
  <c r="E1141" i="3"/>
  <c r="I1141" i="3"/>
  <c r="M1141" i="3"/>
  <c r="Q1141" i="3"/>
  <c r="U1141" i="3"/>
  <c r="F1141" i="3"/>
  <c r="J1141" i="3"/>
  <c r="N1141" i="3"/>
  <c r="R1141" i="3"/>
  <c r="V1141" i="3"/>
  <c r="G1141" i="3"/>
  <c r="K1141" i="3"/>
  <c r="O1141" i="3"/>
  <c r="W1141" i="3"/>
  <c r="D1141" i="3"/>
  <c r="H1141" i="3"/>
  <c r="L1141" i="3"/>
  <c r="P1141" i="3"/>
  <c r="T1141" i="3"/>
  <c r="E1125" i="3"/>
  <c r="I1125" i="3"/>
  <c r="M1125" i="3"/>
  <c r="Q1125" i="3"/>
  <c r="U1125" i="3"/>
  <c r="F1125" i="3"/>
  <c r="J1125" i="3"/>
  <c r="N1125" i="3"/>
  <c r="R1125" i="3"/>
  <c r="V1125" i="3"/>
  <c r="G1125" i="3"/>
  <c r="K1125" i="3"/>
  <c r="O1125" i="3"/>
  <c r="W1125" i="3"/>
  <c r="D1125" i="3"/>
  <c r="H1125" i="3"/>
  <c r="L1125" i="3"/>
  <c r="P1125" i="3"/>
  <c r="T1125" i="3"/>
  <c r="E1109" i="3"/>
  <c r="I1109" i="3"/>
  <c r="M1109" i="3"/>
  <c r="Q1109" i="3"/>
  <c r="U1109" i="3"/>
  <c r="F1109" i="3"/>
  <c r="J1109" i="3"/>
  <c r="N1109" i="3"/>
  <c r="R1109" i="3"/>
  <c r="V1109" i="3"/>
  <c r="G1109" i="3"/>
  <c r="K1109" i="3"/>
  <c r="O1109" i="3"/>
  <c r="W1109" i="3"/>
  <c r="D1109" i="3"/>
  <c r="H1109" i="3"/>
  <c r="L1109" i="3"/>
  <c r="P1109" i="3"/>
  <c r="T1109" i="3"/>
  <c r="E1093" i="3"/>
  <c r="I1093" i="3"/>
  <c r="M1093" i="3"/>
  <c r="Q1093" i="3"/>
  <c r="U1093" i="3"/>
  <c r="F1093" i="3"/>
  <c r="J1093" i="3"/>
  <c r="N1093" i="3"/>
  <c r="R1093" i="3"/>
  <c r="V1093" i="3"/>
  <c r="G1093" i="3"/>
  <c r="K1093" i="3"/>
  <c r="O1093" i="3"/>
  <c r="W1093" i="3"/>
  <c r="D1093" i="3"/>
  <c r="H1093" i="3"/>
  <c r="L1093" i="3"/>
  <c r="P1093" i="3"/>
  <c r="T1093" i="3"/>
  <c r="E1077" i="3"/>
  <c r="I1077" i="3"/>
  <c r="M1077" i="3"/>
  <c r="Q1077" i="3"/>
  <c r="U1077" i="3"/>
  <c r="F1077" i="3"/>
  <c r="J1077" i="3"/>
  <c r="N1077" i="3"/>
  <c r="R1077" i="3"/>
  <c r="V1077" i="3"/>
  <c r="G1077" i="3"/>
  <c r="K1077" i="3"/>
  <c r="O1077" i="3"/>
  <c r="W1077" i="3"/>
  <c r="D1077" i="3"/>
  <c r="H1077" i="3"/>
  <c r="L1077" i="3"/>
  <c r="P1077" i="3"/>
  <c r="T1077" i="3"/>
  <c r="E1061" i="3"/>
  <c r="I1061" i="3"/>
  <c r="M1061" i="3"/>
  <c r="Q1061" i="3"/>
  <c r="U1061" i="3"/>
  <c r="F1061" i="3"/>
  <c r="J1061" i="3"/>
  <c r="N1061" i="3"/>
  <c r="R1061" i="3"/>
  <c r="V1061" i="3"/>
  <c r="G1061" i="3"/>
  <c r="K1061" i="3"/>
  <c r="O1061" i="3"/>
  <c r="W1061" i="3"/>
  <c r="D1061" i="3"/>
  <c r="H1061" i="3"/>
  <c r="L1061" i="3"/>
  <c r="P1061" i="3"/>
  <c r="T1061" i="3"/>
  <c r="E1045" i="3"/>
  <c r="I1045" i="3"/>
  <c r="M1045" i="3"/>
  <c r="Q1045" i="3"/>
  <c r="U1045" i="3"/>
  <c r="F1045" i="3"/>
  <c r="J1045" i="3"/>
  <c r="N1045" i="3"/>
  <c r="R1045" i="3"/>
  <c r="V1045" i="3"/>
  <c r="G1045" i="3"/>
  <c r="K1045" i="3"/>
  <c r="O1045" i="3"/>
  <c r="W1045" i="3"/>
  <c r="D1045" i="3"/>
  <c r="H1045" i="3"/>
  <c r="L1045" i="3"/>
  <c r="P1045" i="3"/>
  <c r="T1045" i="3"/>
  <c r="E1029" i="3"/>
  <c r="I1029" i="3"/>
  <c r="M1029" i="3"/>
  <c r="Q1029" i="3"/>
  <c r="U1029" i="3"/>
  <c r="F1029" i="3"/>
  <c r="J1029" i="3"/>
  <c r="N1029" i="3"/>
  <c r="R1029" i="3"/>
  <c r="V1029" i="3"/>
  <c r="G1029" i="3"/>
  <c r="K1029" i="3"/>
  <c r="O1029" i="3"/>
  <c r="W1029" i="3"/>
  <c r="D1029" i="3"/>
  <c r="H1029" i="3"/>
  <c r="L1029" i="3"/>
  <c r="P1029" i="3"/>
  <c r="T1029" i="3"/>
  <c r="E1013" i="3"/>
  <c r="I1013" i="3"/>
  <c r="M1013" i="3"/>
  <c r="Q1013" i="3"/>
  <c r="U1013" i="3"/>
  <c r="F1013" i="3"/>
  <c r="J1013" i="3"/>
  <c r="N1013" i="3"/>
  <c r="R1013" i="3"/>
  <c r="V1013" i="3"/>
  <c r="G1013" i="3"/>
  <c r="K1013" i="3"/>
  <c r="O1013" i="3"/>
  <c r="W1013" i="3"/>
  <c r="D1013" i="3"/>
  <c r="H1013" i="3"/>
  <c r="L1013" i="3"/>
  <c r="P1013" i="3"/>
  <c r="T1013" i="3"/>
  <c r="E997" i="3"/>
  <c r="I997" i="3"/>
  <c r="M997" i="3"/>
  <c r="Q997" i="3"/>
  <c r="U997" i="3"/>
  <c r="F997" i="3"/>
  <c r="J997" i="3"/>
  <c r="N997" i="3"/>
  <c r="R997" i="3"/>
  <c r="V997" i="3"/>
  <c r="G997" i="3"/>
  <c r="K997" i="3"/>
  <c r="O997" i="3"/>
  <c r="W997" i="3"/>
  <c r="D997" i="3"/>
  <c r="H997" i="3"/>
  <c r="L997" i="3"/>
  <c r="P997" i="3"/>
  <c r="T997" i="3"/>
  <c r="E981" i="3"/>
  <c r="I981" i="3"/>
  <c r="M981" i="3"/>
  <c r="Q981" i="3"/>
  <c r="U981" i="3"/>
  <c r="F981" i="3"/>
  <c r="J981" i="3"/>
  <c r="N981" i="3"/>
  <c r="R981" i="3"/>
  <c r="V981" i="3"/>
  <c r="G981" i="3"/>
  <c r="K981" i="3"/>
  <c r="O981" i="3"/>
  <c r="W981" i="3"/>
  <c r="D981" i="3"/>
  <c r="H981" i="3"/>
  <c r="L981" i="3"/>
  <c r="P981" i="3"/>
  <c r="T981" i="3"/>
  <c r="E966" i="3"/>
  <c r="I966" i="3"/>
  <c r="M966" i="3"/>
  <c r="Q966" i="3"/>
  <c r="U966" i="3"/>
  <c r="F966" i="3"/>
  <c r="J966" i="3"/>
  <c r="N966" i="3"/>
  <c r="R966" i="3"/>
  <c r="V966" i="3"/>
  <c r="G966" i="3"/>
  <c r="K966" i="3"/>
  <c r="O966" i="3"/>
  <c r="W966" i="3"/>
  <c r="D966" i="3"/>
  <c r="H966" i="3"/>
  <c r="L966" i="3"/>
  <c r="P966" i="3"/>
  <c r="T966" i="3"/>
  <c r="E947" i="3"/>
  <c r="I947" i="3"/>
  <c r="M947" i="3"/>
  <c r="Q947" i="3"/>
  <c r="U947" i="3"/>
  <c r="F947" i="3"/>
  <c r="J947" i="3"/>
  <c r="N947" i="3"/>
  <c r="R947" i="3"/>
  <c r="V947" i="3"/>
  <c r="G947" i="3"/>
  <c r="K947" i="3"/>
  <c r="O947" i="3"/>
  <c r="W947" i="3"/>
  <c r="D947" i="3"/>
  <c r="H947" i="3"/>
  <c r="L947" i="3"/>
  <c r="P947" i="3"/>
  <c r="T947" i="3"/>
  <c r="E921" i="3"/>
  <c r="I921" i="3"/>
  <c r="M921" i="3"/>
  <c r="Q921" i="3"/>
  <c r="U921" i="3"/>
  <c r="F921" i="3"/>
  <c r="J921" i="3"/>
  <c r="N921" i="3"/>
  <c r="R921" i="3"/>
  <c r="V921" i="3"/>
  <c r="G921" i="3"/>
  <c r="K921" i="3"/>
  <c r="O921" i="3"/>
  <c r="W921" i="3"/>
  <c r="D921" i="3"/>
  <c r="H921" i="3"/>
  <c r="L921" i="3"/>
  <c r="P921" i="3"/>
  <c r="T921" i="3"/>
  <c r="E902" i="3"/>
  <c r="I902" i="3"/>
  <c r="M902" i="3"/>
  <c r="Q902" i="3"/>
  <c r="U902" i="3"/>
  <c r="F902" i="3"/>
  <c r="J902" i="3"/>
  <c r="N902" i="3"/>
  <c r="R902" i="3"/>
  <c r="V902" i="3"/>
  <c r="G902" i="3"/>
  <c r="K902" i="3"/>
  <c r="O902" i="3"/>
  <c r="W902" i="3"/>
  <c r="D902" i="3"/>
  <c r="H902" i="3"/>
  <c r="L902" i="3"/>
  <c r="P902" i="3"/>
  <c r="T902" i="3"/>
  <c r="E878" i="3"/>
  <c r="I878" i="3"/>
  <c r="M878" i="3"/>
  <c r="Q878" i="3"/>
  <c r="U878" i="3"/>
  <c r="F878" i="3"/>
  <c r="J878" i="3"/>
  <c r="N878" i="3"/>
  <c r="R878" i="3"/>
  <c r="V878" i="3"/>
  <c r="G878" i="3"/>
  <c r="K878" i="3"/>
  <c r="O878" i="3"/>
  <c r="W878" i="3"/>
  <c r="D878" i="3"/>
  <c r="H878" i="3"/>
  <c r="L878" i="3"/>
  <c r="P878" i="3"/>
  <c r="T878" i="3"/>
  <c r="E846" i="3"/>
  <c r="I846" i="3"/>
  <c r="M846" i="3"/>
  <c r="Q846" i="3"/>
  <c r="U846" i="3"/>
  <c r="F846" i="3"/>
  <c r="J846" i="3"/>
  <c r="N846" i="3"/>
  <c r="R846" i="3"/>
  <c r="V846" i="3"/>
  <c r="G846" i="3"/>
  <c r="K846" i="3"/>
  <c r="O846" i="3"/>
  <c r="W846" i="3"/>
  <c r="D846" i="3"/>
  <c r="H846" i="3"/>
  <c r="L846" i="3"/>
  <c r="P846" i="3"/>
  <c r="T846" i="3"/>
  <c r="E871" i="3"/>
  <c r="I871" i="3"/>
  <c r="M871" i="3"/>
  <c r="Q871" i="3"/>
  <c r="U871" i="3"/>
  <c r="F871" i="3"/>
  <c r="J871" i="3"/>
  <c r="N871" i="3"/>
  <c r="R871" i="3"/>
  <c r="V871" i="3"/>
  <c r="G871" i="3"/>
  <c r="K871" i="3"/>
  <c r="O871" i="3"/>
  <c r="W871" i="3"/>
  <c r="D871" i="3"/>
  <c r="H871" i="3"/>
  <c r="L871" i="3"/>
  <c r="P871" i="3"/>
  <c r="T871" i="3"/>
  <c r="E855" i="3"/>
  <c r="I855" i="3"/>
  <c r="M855" i="3"/>
  <c r="Q855" i="3"/>
  <c r="U855" i="3"/>
  <c r="F855" i="3"/>
  <c r="J855" i="3"/>
  <c r="N855" i="3"/>
  <c r="R855" i="3"/>
  <c r="V855" i="3"/>
  <c r="G855" i="3"/>
  <c r="K855" i="3"/>
  <c r="O855" i="3"/>
  <c r="W855" i="3"/>
  <c r="D855" i="3"/>
  <c r="H855" i="3"/>
  <c r="L855" i="3"/>
  <c r="P855" i="3"/>
  <c r="T855" i="3"/>
  <c r="E839" i="3"/>
  <c r="I839" i="3"/>
  <c r="M839" i="3"/>
  <c r="Q839" i="3"/>
  <c r="U839" i="3"/>
  <c r="F839" i="3"/>
  <c r="J839" i="3"/>
  <c r="N839" i="3"/>
  <c r="R839" i="3"/>
  <c r="V839" i="3"/>
  <c r="G839" i="3"/>
  <c r="K839" i="3"/>
  <c r="O839" i="3"/>
  <c r="W839" i="3"/>
  <c r="D839" i="3"/>
  <c r="H839" i="3"/>
  <c r="L839" i="3"/>
  <c r="P839" i="3"/>
  <c r="T839" i="3"/>
  <c r="E823" i="3"/>
  <c r="I823" i="3"/>
  <c r="M823" i="3"/>
  <c r="Q823" i="3"/>
  <c r="U823" i="3"/>
  <c r="F823" i="3"/>
  <c r="J823" i="3"/>
  <c r="N823" i="3"/>
  <c r="R823" i="3"/>
  <c r="V823" i="3"/>
  <c r="G823" i="3"/>
  <c r="K823" i="3"/>
  <c r="O823" i="3"/>
  <c r="W823" i="3"/>
  <c r="D823" i="3"/>
  <c r="H823" i="3"/>
  <c r="L823" i="3"/>
  <c r="P823" i="3"/>
  <c r="T823" i="3"/>
  <c r="E807" i="3"/>
  <c r="I807" i="3"/>
  <c r="M807" i="3"/>
  <c r="Q807" i="3"/>
  <c r="U807" i="3"/>
  <c r="F807" i="3"/>
  <c r="J807" i="3"/>
  <c r="N807" i="3"/>
  <c r="R807" i="3"/>
  <c r="V807" i="3"/>
  <c r="G807" i="3"/>
  <c r="K807" i="3"/>
  <c r="O807" i="3"/>
  <c r="W807" i="3"/>
  <c r="D807" i="3"/>
  <c r="H807" i="3"/>
  <c r="L807" i="3"/>
  <c r="P807" i="3"/>
  <c r="T807" i="3"/>
  <c r="E791" i="3"/>
  <c r="I791" i="3"/>
  <c r="M791" i="3"/>
  <c r="Q791" i="3"/>
  <c r="U791" i="3"/>
  <c r="F791" i="3"/>
  <c r="J791" i="3"/>
  <c r="N791" i="3"/>
  <c r="R791" i="3"/>
  <c r="V791" i="3"/>
  <c r="G791" i="3"/>
  <c r="K791" i="3"/>
  <c r="O791" i="3"/>
  <c r="W791" i="3"/>
  <c r="D791" i="3"/>
  <c r="H791" i="3"/>
  <c r="L791" i="3"/>
  <c r="P791" i="3"/>
  <c r="T791" i="3"/>
  <c r="E775" i="3"/>
  <c r="I775" i="3"/>
  <c r="M775" i="3"/>
  <c r="Q775" i="3"/>
  <c r="U775" i="3"/>
  <c r="F775" i="3"/>
  <c r="J775" i="3"/>
  <c r="N775" i="3"/>
  <c r="R775" i="3"/>
  <c r="V775" i="3"/>
  <c r="G775" i="3"/>
  <c r="K775" i="3"/>
  <c r="O775" i="3"/>
  <c r="W775" i="3"/>
  <c r="D775" i="3"/>
  <c r="H775" i="3"/>
  <c r="L775" i="3"/>
  <c r="P775" i="3"/>
  <c r="T775" i="3"/>
  <c r="D759" i="3"/>
  <c r="H759" i="3"/>
  <c r="L759" i="3"/>
  <c r="P759" i="3"/>
  <c r="T759" i="3"/>
  <c r="E759" i="3"/>
  <c r="I759" i="3"/>
  <c r="M759" i="3"/>
  <c r="Q759" i="3"/>
  <c r="U759" i="3"/>
  <c r="F759" i="3"/>
  <c r="J759" i="3"/>
  <c r="N759" i="3"/>
  <c r="R759" i="3"/>
  <c r="V759" i="3"/>
  <c r="G759" i="3"/>
  <c r="K759" i="3"/>
  <c r="O759" i="3"/>
  <c r="W759" i="3"/>
  <c r="D743" i="3"/>
  <c r="H743" i="3"/>
  <c r="L743" i="3"/>
  <c r="P743" i="3"/>
  <c r="T743" i="3"/>
  <c r="E743" i="3"/>
  <c r="I743" i="3"/>
  <c r="M743" i="3"/>
  <c r="Q743" i="3"/>
  <c r="U743" i="3"/>
  <c r="F743" i="3"/>
  <c r="J743" i="3"/>
  <c r="N743" i="3"/>
  <c r="R743" i="3"/>
  <c r="V743" i="3"/>
  <c r="G743" i="3"/>
  <c r="K743" i="3"/>
  <c r="O743" i="3"/>
  <c r="W743" i="3"/>
  <c r="D727" i="3"/>
  <c r="H727" i="3"/>
  <c r="L727" i="3"/>
  <c r="P727" i="3"/>
  <c r="T727" i="3"/>
  <c r="E727" i="3"/>
  <c r="I727" i="3"/>
  <c r="M727" i="3"/>
  <c r="Q727" i="3"/>
  <c r="U727" i="3"/>
  <c r="F727" i="3"/>
  <c r="J727" i="3"/>
  <c r="N727" i="3"/>
  <c r="R727" i="3"/>
  <c r="V727" i="3"/>
  <c r="G727" i="3"/>
  <c r="K727" i="3"/>
  <c r="O727" i="3"/>
  <c r="W727" i="3"/>
  <c r="D711" i="3"/>
  <c r="H711" i="3"/>
  <c r="L711" i="3"/>
  <c r="P711" i="3"/>
  <c r="T711" i="3"/>
  <c r="E711" i="3"/>
  <c r="I711" i="3"/>
  <c r="M711" i="3"/>
  <c r="Q711" i="3"/>
  <c r="U711" i="3"/>
  <c r="F711" i="3"/>
  <c r="J711" i="3"/>
  <c r="N711" i="3"/>
  <c r="R711" i="3"/>
  <c r="V711" i="3"/>
  <c r="G711" i="3"/>
  <c r="K711" i="3"/>
  <c r="O711" i="3"/>
  <c r="W711" i="3"/>
  <c r="D691" i="3"/>
  <c r="H691" i="3"/>
  <c r="L691" i="3"/>
  <c r="P691" i="3"/>
  <c r="T691" i="3"/>
  <c r="E691" i="3"/>
  <c r="I691" i="3"/>
  <c r="M691" i="3"/>
  <c r="Q691" i="3"/>
  <c r="U691" i="3"/>
  <c r="F691" i="3"/>
  <c r="J691" i="3"/>
  <c r="N691" i="3"/>
  <c r="R691" i="3"/>
  <c r="V691" i="3"/>
  <c r="G691" i="3"/>
  <c r="K691" i="3"/>
  <c r="O691" i="3"/>
  <c r="W691" i="3"/>
  <c r="D665" i="3"/>
  <c r="H665" i="3"/>
  <c r="L665" i="3"/>
  <c r="P665" i="3"/>
  <c r="T665" i="3"/>
  <c r="E665" i="3"/>
  <c r="I665" i="3"/>
  <c r="M665" i="3"/>
  <c r="Q665" i="3"/>
  <c r="U665" i="3"/>
  <c r="F665" i="3"/>
  <c r="J665" i="3"/>
  <c r="N665" i="3"/>
  <c r="R665" i="3"/>
  <c r="V665" i="3"/>
  <c r="G665" i="3"/>
  <c r="K665" i="3"/>
  <c r="O665" i="3"/>
  <c r="W665" i="3"/>
  <c r="D646" i="3"/>
  <c r="H646" i="3"/>
  <c r="L646" i="3"/>
  <c r="P646" i="3"/>
  <c r="T646" i="3"/>
  <c r="E646" i="3"/>
  <c r="I646" i="3"/>
  <c r="M646" i="3"/>
  <c r="Q646" i="3"/>
  <c r="U646" i="3"/>
  <c r="F646" i="3"/>
  <c r="J646" i="3"/>
  <c r="N646" i="3"/>
  <c r="R646" i="3"/>
  <c r="V646" i="3"/>
  <c r="G646" i="3"/>
  <c r="K646" i="3"/>
  <c r="O646" i="3"/>
  <c r="W646" i="3"/>
  <c r="E627" i="3"/>
  <c r="I627" i="3"/>
  <c r="M627" i="3"/>
  <c r="Q627" i="3"/>
  <c r="U627" i="3"/>
  <c r="F627" i="3"/>
  <c r="J627" i="3"/>
  <c r="N627" i="3"/>
  <c r="R627" i="3"/>
  <c r="V627" i="3"/>
  <c r="G627" i="3"/>
  <c r="K627" i="3"/>
  <c r="O627" i="3"/>
  <c r="W627" i="3"/>
  <c r="D627" i="3"/>
  <c r="H627" i="3"/>
  <c r="L627" i="3"/>
  <c r="P627" i="3"/>
  <c r="T627" i="3"/>
  <c r="E968" i="3"/>
  <c r="I968" i="3"/>
  <c r="M968" i="3"/>
  <c r="Q968" i="3"/>
  <c r="U968" i="3"/>
  <c r="F968" i="3"/>
  <c r="J968" i="3"/>
  <c r="N968" i="3"/>
  <c r="R968" i="3"/>
  <c r="V968" i="3"/>
  <c r="G968" i="3"/>
  <c r="K968" i="3"/>
  <c r="O968" i="3"/>
  <c r="W968" i="3"/>
  <c r="D968" i="3"/>
  <c r="H968" i="3"/>
  <c r="L968" i="3"/>
  <c r="P968" i="3"/>
  <c r="T968" i="3"/>
  <c r="E952" i="3"/>
  <c r="I952" i="3"/>
  <c r="M952" i="3"/>
  <c r="Q952" i="3"/>
  <c r="U952" i="3"/>
  <c r="F952" i="3"/>
  <c r="J952" i="3"/>
  <c r="N952" i="3"/>
  <c r="R952" i="3"/>
  <c r="V952" i="3"/>
  <c r="G952" i="3"/>
  <c r="K952" i="3"/>
  <c r="O952" i="3"/>
  <c r="W952" i="3"/>
  <c r="D952" i="3"/>
  <c r="H952" i="3"/>
  <c r="L952" i="3"/>
  <c r="P952" i="3"/>
  <c r="T952" i="3"/>
  <c r="E936" i="3"/>
  <c r="I936" i="3"/>
  <c r="M936" i="3"/>
  <c r="Q936" i="3"/>
  <c r="U936" i="3"/>
  <c r="F936" i="3"/>
  <c r="J936" i="3"/>
  <c r="N936" i="3"/>
  <c r="R936" i="3"/>
  <c r="V936" i="3"/>
  <c r="G936" i="3"/>
  <c r="K936" i="3"/>
  <c r="O936" i="3"/>
  <c r="W936" i="3"/>
  <c r="D936" i="3"/>
  <c r="H936" i="3"/>
  <c r="L936" i="3"/>
  <c r="P936" i="3"/>
  <c r="T936" i="3"/>
  <c r="E920" i="3"/>
  <c r="I920" i="3"/>
  <c r="M920" i="3"/>
  <c r="Q920" i="3"/>
  <c r="U920" i="3"/>
  <c r="F920" i="3"/>
  <c r="J920" i="3"/>
  <c r="N920" i="3"/>
  <c r="R920" i="3"/>
  <c r="V920" i="3"/>
  <c r="G920" i="3"/>
  <c r="K920" i="3"/>
  <c r="O920" i="3"/>
  <c r="W920" i="3"/>
  <c r="D920" i="3"/>
  <c r="H920" i="3"/>
  <c r="L920" i="3"/>
  <c r="P920" i="3"/>
  <c r="T920" i="3"/>
  <c r="E904" i="3"/>
  <c r="I904" i="3"/>
  <c r="M904" i="3"/>
  <c r="Q904" i="3"/>
  <c r="U904" i="3"/>
  <c r="F904" i="3"/>
  <c r="J904" i="3"/>
  <c r="N904" i="3"/>
  <c r="R904" i="3"/>
  <c r="V904" i="3"/>
  <c r="G904" i="3"/>
  <c r="K904" i="3"/>
  <c r="O904" i="3"/>
  <c r="W904" i="3"/>
  <c r="D904" i="3"/>
  <c r="H904" i="3"/>
  <c r="L904" i="3"/>
  <c r="P904" i="3"/>
  <c r="T904" i="3"/>
  <c r="E888" i="3"/>
  <c r="I888" i="3"/>
  <c r="M888" i="3"/>
  <c r="Q888" i="3"/>
  <c r="U888" i="3"/>
  <c r="F888" i="3"/>
  <c r="J888" i="3"/>
  <c r="N888" i="3"/>
  <c r="R888" i="3"/>
  <c r="V888" i="3"/>
  <c r="G888" i="3"/>
  <c r="K888" i="3"/>
  <c r="O888" i="3"/>
  <c r="W888" i="3"/>
  <c r="D888" i="3"/>
  <c r="H888" i="3"/>
  <c r="L888" i="3"/>
  <c r="P888" i="3"/>
  <c r="T888" i="3"/>
  <c r="E872" i="3"/>
  <c r="I872" i="3"/>
  <c r="M872" i="3"/>
  <c r="Q872" i="3"/>
  <c r="U872" i="3"/>
  <c r="F872" i="3"/>
  <c r="J872" i="3"/>
  <c r="N872" i="3"/>
  <c r="R872" i="3"/>
  <c r="V872" i="3"/>
  <c r="G872" i="3"/>
  <c r="K872" i="3"/>
  <c r="O872" i="3"/>
  <c r="W872" i="3"/>
  <c r="D872" i="3"/>
  <c r="H872" i="3"/>
  <c r="L872" i="3"/>
  <c r="P872" i="3"/>
  <c r="T872" i="3"/>
  <c r="E856" i="3"/>
  <c r="I856" i="3"/>
  <c r="M856" i="3"/>
  <c r="Q856" i="3"/>
  <c r="U856" i="3"/>
  <c r="F856" i="3"/>
  <c r="J856" i="3"/>
  <c r="N856" i="3"/>
  <c r="R856" i="3"/>
  <c r="V856" i="3"/>
  <c r="G856" i="3"/>
  <c r="K856" i="3"/>
  <c r="O856" i="3"/>
  <c r="W856" i="3"/>
  <c r="D856" i="3"/>
  <c r="H856" i="3"/>
  <c r="L856" i="3"/>
  <c r="P856" i="3"/>
  <c r="T856" i="3"/>
  <c r="E840" i="3"/>
  <c r="I840" i="3"/>
  <c r="M840" i="3"/>
  <c r="Q840" i="3"/>
  <c r="U840" i="3"/>
  <c r="F840" i="3"/>
  <c r="J840" i="3"/>
  <c r="N840" i="3"/>
  <c r="R840" i="3"/>
  <c r="V840" i="3"/>
  <c r="G840" i="3"/>
  <c r="K840" i="3"/>
  <c r="O840" i="3"/>
  <c r="W840" i="3"/>
  <c r="D840" i="3"/>
  <c r="H840" i="3"/>
  <c r="L840" i="3"/>
  <c r="P840" i="3"/>
  <c r="T840" i="3"/>
  <c r="E824" i="3"/>
  <c r="I824" i="3"/>
  <c r="M824" i="3"/>
  <c r="Q824" i="3"/>
  <c r="U824" i="3"/>
  <c r="F824" i="3"/>
  <c r="J824" i="3"/>
  <c r="N824" i="3"/>
  <c r="R824" i="3"/>
  <c r="V824" i="3"/>
  <c r="G824" i="3"/>
  <c r="K824" i="3"/>
  <c r="O824" i="3"/>
  <c r="W824" i="3"/>
  <c r="D824" i="3"/>
  <c r="H824" i="3"/>
  <c r="L824" i="3"/>
  <c r="P824" i="3"/>
  <c r="T824" i="3"/>
  <c r="E808" i="3"/>
  <c r="I808" i="3"/>
  <c r="M808" i="3"/>
  <c r="Q808" i="3"/>
  <c r="U808" i="3"/>
  <c r="F808" i="3"/>
  <c r="J808" i="3"/>
  <c r="N808" i="3"/>
  <c r="R808" i="3"/>
  <c r="V808" i="3"/>
  <c r="G808" i="3"/>
  <c r="K808" i="3"/>
  <c r="O808" i="3"/>
  <c r="W808" i="3"/>
  <c r="D808" i="3"/>
  <c r="H808" i="3"/>
  <c r="L808" i="3"/>
  <c r="P808" i="3"/>
  <c r="T808" i="3"/>
  <c r="E792" i="3"/>
  <c r="I792" i="3"/>
  <c r="M792" i="3"/>
  <c r="Q792" i="3"/>
  <c r="U792" i="3"/>
  <c r="F792" i="3"/>
  <c r="J792" i="3"/>
  <c r="N792" i="3"/>
  <c r="R792" i="3"/>
  <c r="V792" i="3"/>
  <c r="G792" i="3"/>
  <c r="K792" i="3"/>
  <c r="O792" i="3"/>
  <c r="W792" i="3"/>
  <c r="D792" i="3"/>
  <c r="H792" i="3"/>
  <c r="L792" i="3"/>
  <c r="P792" i="3"/>
  <c r="T792" i="3"/>
  <c r="E776" i="3"/>
  <c r="I776" i="3"/>
  <c r="M776" i="3"/>
  <c r="Q776" i="3"/>
  <c r="U776" i="3"/>
  <c r="F776" i="3"/>
  <c r="J776" i="3"/>
  <c r="N776" i="3"/>
  <c r="R776" i="3"/>
  <c r="V776" i="3"/>
  <c r="G776" i="3"/>
  <c r="K776" i="3"/>
  <c r="O776" i="3"/>
  <c r="W776" i="3"/>
  <c r="D776" i="3"/>
  <c r="H776" i="3"/>
  <c r="L776" i="3"/>
  <c r="P776" i="3"/>
  <c r="T776" i="3"/>
  <c r="D760" i="3"/>
  <c r="H760" i="3"/>
  <c r="L760" i="3"/>
  <c r="P760" i="3"/>
  <c r="T760" i="3"/>
  <c r="E760" i="3"/>
  <c r="I760" i="3"/>
  <c r="M760" i="3"/>
  <c r="Q760" i="3"/>
  <c r="U760" i="3"/>
  <c r="F760" i="3"/>
  <c r="J760" i="3"/>
  <c r="N760" i="3"/>
  <c r="R760" i="3"/>
  <c r="V760" i="3"/>
  <c r="G760" i="3"/>
  <c r="K760" i="3"/>
  <c r="O760" i="3"/>
  <c r="W760" i="3"/>
  <c r="D744" i="3"/>
  <c r="H744" i="3"/>
  <c r="L744" i="3"/>
  <c r="P744" i="3"/>
  <c r="T744" i="3"/>
  <c r="E744" i="3"/>
  <c r="I744" i="3"/>
  <c r="M744" i="3"/>
  <c r="Q744" i="3"/>
  <c r="U744" i="3"/>
  <c r="F744" i="3"/>
  <c r="J744" i="3"/>
  <c r="N744" i="3"/>
  <c r="R744" i="3"/>
  <c r="V744" i="3"/>
  <c r="G744" i="3"/>
  <c r="K744" i="3"/>
  <c r="O744" i="3"/>
  <c r="W744" i="3"/>
  <c r="D728" i="3"/>
  <c r="H728" i="3"/>
  <c r="L728" i="3"/>
  <c r="P728" i="3"/>
  <c r="T728" i="3"/>
  <c r="E728" i="3"/>
  <c r="I728" i="3"/>
  <c r="M728" i="3"/>
  <c r="Q728" i="3"/>
  <c r="U728" i="3"/>
  <c r="F728" i="3"/>
  <c r="J728" i="3"/>
  <c r="N728" i="3"/>
  <c r="R728" i="3"/>
  <c r="V728" i="3"/>
  <c r="G728" i="3"/>
  <c r="K728" i="3"/>
  <c r="O728" i="3"/>
  <c r="W728" i="3"/>
  <c r="D712" i="3"/>
  <c r="H712" i="3"/>
  <c r="L712" i="3"/>
  <c r="P712" i="3"/>
  <c r="T712" i="3"/>
  <c r="E712" i="3"/>
  <c r="I712" i="3"/>
  <c r="M712" i="3"/>
  <c r="Q712" i="3"/>
  <c r="U712" i="3"/>
  <c r="F712" i="3"/>
  <c r="J712" i="3"/>
  <c r="N712" i="3"/>
  <c r="R712" i="3"/>
  <c r="V712" i="3"/>
  <c r="G712" i="3"/>
  <c r="K712" i="3"/>
  <c r="O712" i="3"/>
  <c r="W712" i="3"/>
  <c r="D695" i="3"/>
  <c r="H695" i="3"/>
  <c r="L695" i="3"/>
  <c r="P695" i="3"/>
  <c r="T695" i="3"/>
  <c r="E695" i="3"/>
  <c r="I695" i="3"/>
  <c r="M695" i="3"/>
  <c r="Q695" i="3"/>
  <c r="U695" i="3"/>
  <c r="F695" i="3"/>
  <c r="J695" i="3"/>
  <c r="N695" i="3"/>
  <c r="R695" i="3"/>
  <c r="V695" i="3"/>
  <c r="G695" i="3"/>
  <c r="K695" i="3"/>
  <c r="O695" i="3"/>
  <c r="W695" i="3"/>
  <c r="D669" i="3"/>
  <c r="H669" i="3"/>
  <c r="L669" i="3"/>
  <c r="P669" i="3"/>
  <c r="T669" i="3"/>
  <c r="E669" i="3"/>
  <c r="I669" i="3"/>
  <c r="M669" i="3"/>
  <c r="Q669" i="3"/>
  <c r="U669" i="3"/>
  <c r="F669" i="3"/>
  <c r="J669" i="3"/>
  <c r="N669" i="3"/>
  <c r="R669" i="3"/>
  <c r="V669" i="3"/>
  <c r="G669" i="3"/>
  <c r="K669" i="3"/>
  <c r="O669" i="3"/>
  <c r="W669" i="3"/>
  <c r="D650" i="3"/>
  <c r="H650" i="3"/>
  <c r="L650" i="3"/>
  <c r="P650" i="3"/>
  <c r="T650" i="3"/>
  <c r="E650" i="3"/>
  <c r="I650" i="3"/>
  <c r="M650" i="3"/>
  <c r="Q650" i="3"/>
  <c r="U650" i="3"/>
  <c r="F650" i="3"/>
  <c r="J650" i="3"/>
  <c r="N650" i="3"/>
  <c r="R650" i="3"/>
  <c r="V650" i="3"/>
  <c r="G650" i="3"/>
  <c r="K650" i="3"/>
  <c r="O650" i="3"/>
  <c r="W650" i="3"/>
  <c r="F631" i="3"/>
  <c r="J631" i="3"/>
  <c r="N631" i="3"/>
  <c r="R631" i="3"/>
  <c r="V631" i="3"/>
  <c r="D631" i="3"/>
  <c r="H631" i="3"/>
  <c r="L631" i="3"/>
  <c r="P631" i="3"/>
  <c r="T631" i="3"/>
  <c r="G631" i="3"/>
  <c r="O631" i="3"/>
  <c r="W631" i="3"/>
  <c r="I631" i="3"/>
  <c r="Q631" i="3"/>
  <c r="K631" i="3"/>
  <c r="E631" i="3"/>
  <c r="M631" i="3"/>
  <c r="U631" i="3"/>
  <c r="E603" i="3"/>
  <c r="I603" i="3"/>
  <c r="M603" i="3"/>
  <c r="Q603" i="3"/>
  <c r="U603" i="3"/>
  <c r="F603" i="3"/>
  <c r="J603" i="3"/>
  <c r="N603" i="3"/>
  <c r="R603" i="3"/>
  <c r="V603" i="3"/>
  <c r="G603" i="3"/>
  <c r="K603" i="3"/>
  <c r="O603" i="3"/>
  <c r="W603" i="3"/>
  <c r="D603" i="3"/>
  <c r="H603" i="3"/>
  <c r="L603" i="3"/>
  <c r="P603" i="3"/>
  <c r="T603" i="3"/>
  <c r="E829" i="3"/>
  <c r="I829" i="3"/>
  <c r="M829" i="3"/>
  <c r="Q829" i="3"/>
  <c r="U829" i="3"/>
  <c r="F829" i="3"/>
  <c r="J829" i="3"/>
  <c r="N829" i="3"/>
  <c r="R829" i="3"/>
  <c r="V829" i="3"/>
  <c r="G829" i="3"/>
  <c r="K829" i="3"/>
  <c r="O829" i="3"/>
  <c r="W829" i="3"/>
  <c r="D829" i="3"/>
  <c r="H829" i="3"/>
  <c r="L829" i="3"/>
  <c r="P829" i="3"/>
  <c r="T829" i="3"/>
  <c r="E813" i="3"/>
  <c r="I813" i="3"/>
  <c r="M813" i="3"/>
  <c r="Q813" i="3"/>
  <c r="U813" i="3"/>
  <c r="F813" i="3"/>
  <c r="J813" i="3"/>
  <c r="N813" i="3"/>
  <c r="R813" i="3"/>
  <c r="V813" i="3"/>
  <c r="G813" i="3"/>
  <c r="K813" i="3"/>
  <c r="O813" i="3"/>
  <c r="W813" i="3"/>
  <c r="D813" i="3"/>
  <c r="H813" i="3"/>
  <c r="L813" i="3"/>
  <c r="P813" i="3"/>
  <c r="T813" i="3"/>
  <c r="E797" i="3"/>
  <c r="I797" i="3"/>
  <c r="M797" i="3"/>
  <c r="Q797" i="3"/>
  <c r="U797" i="3"/>
  <c r="F797" i="3"/>
  <c r="J797" i="3"/>
  <c r="N797" i="3"/>
  <c r="R797" i="3"/>
  <c r="V797" i="3"/>
  <c r="G797" i="3"/>
  <c r="K797" i="3"/>
  <c r="O797" i="3"/>
  <c r="W797" i="3"/>
  <c r="D797" i="3"/>
  <c r="H797" i="3"/>
  <c r="L797" i="3"/>
  <c r="P797" i="3"/>
  <c r="T797" i="3"/>
  <c r="E781" i="3"/>
  <c r="I781" i="3"/>
  <c r="M781" i="3"/>
  <c r="Q781" i="3"/>
  <c r="U781" i="3"/>
  <c r="F781" i="3"/>
  <c r="J781" i="3"/>
  <c r="N781" i="3"/>
  <c r="R781" i="3"/>
  <c r="V781" i="3"/>
  <c r="G781" i="3"/>
  <c r="K781" i="3"/>
  <c r="O781" i="3"/>
  <c r="W781" i="3"/>
  <c r="D781" i="3"/>
  <c r="H781" i="3"/>
  <c r="L781" i="3"/>
  <c r="P781" i="3"/>
  <c r="T781" i="3"/>
  <c r="D765" i="3"/>
  <c r="H765" i="3"/>
  <c r="L765" i="3"/>
  <c r="P765" i="3"/>
  <c r="T765" i="3"/>
  <c r="E765" i="3"/>
  <c r="I765" i="3"/>
  <c r="M765" i="3"/>
  <c r="Q765" i="3"/>
  <c r="U765" i="3"/>
  <c r="F765" i="3"/>
  <c r="J765" i="3"/>
  <c r="N765" i="3"/>
  <c r="R765" i="3"/>
  <c r="V765" i="3"/>
  <c r="G765" i="3"/>
  <c r="K765" i="3"/>
  <c r="O765" i="3"/>
  <c r="W765" i="3"/>
  <c r="D749" i="3"/>
  <c r="H749" i="3"/>
  <c r="L749" i="3"/>
  <c r="P749" i="3"/>
  <c r="T749" i="3"/>
  <c r="E749" i="3"/>
  <c r="I749" i="3"/>
  <c r="M749" i="3"/>
  <c r="Q749" i="3"/>
  <c r="U749" i="3"/>
  <c r="F749" i="3"/>
  <c r="J749" i="3"/>
  <c r="N749" i="3"/>
  <c r="R749" i="3"/>
  <c r="V749" i="3"/>
  <c r="G749" i="3"/>
  <c r="K749" i="3"/>
  <c r="O749" i="3"/>
  <c r="W749" i="3"/>
  <c r="D733" i="3"/>
  <c r="H733" i="3"/>
  <c r="L733" i="3"/>
  <c r="P733" i="3"/>
  <c r="T733" i="3"/>
  <c r="E733" i="3"/>
  <c r="I733" i="3"/>
  <c r="M733" i="3"/>
  <c r="Q733" i="3"/>
  <c r="U733" i="3"/>
  <c r="F733" i="3"/>
  <c r="J733" i="3"/>
  <c r="N733" i="3"/>
  <c r="R733" i="3"/>
  <c r="V733" i="3"/>
  <c r="G733" i="3"/>
  <c r="K733" i="3"/>
  <c r="O733" i="3"/>
  <c r="W733" i="3"/>
  <c r="D717" i="3"/>
  <c r="H717" i="3"/>
  <c r="L717" i="3"/>
  <c r="P717" i="3"/>
  <c r="T717" i="3"/>
  <c r="E717" i="3"/>
  <c r="I717" i="3"/>
  <c r="M717" i="3"/>
  <c r="Q717" i="3"/>
  <c r="U717" i="3"/>
  <c r="F717" i="3"/>
  <c r="J717" i="3"/>
  <c r="N717" i="3"/>
  <c r="R717" i="3"/>
  <c r="V717" i="3"/>
  <c r="G717" i="3"/>
  <c r="K717" i="3"/>
  <c r="O717" i="3"/>
  <c r="W717" i="3"/>
  <c r="D702" i="3"/>
  <c r="H702" i="3"/>
  <c r="L702" i="3"/>
  <c r="P702" i="3"/>
  <c r="T702" i="3"/>
  <c r="E702" i="3"/>
  <c r="I702" i="3"/>
  <c r="M702" i="3"/>
  <c r="Q702" i="3"/>
  <c r="U702" i="3"/>
  <c r="F702" i="3"/>
  <c r="J702" i="3"/>
  <c r="N702" i="3"/>
  <c r="R702" i="3"/>
  <c r="V702" i="3"/>
  <c r="G702" i="3"/>
  <c r="K702" i="3"/>
  <c r="O702" i="3"/>
  <c r="W702" i="3"/>
  <c r="D683" i="3"/>
  <c r="H683" i="3"/>
  <c r="L683" i="3"/>
  <c r="P683" i="3"/>
  <c r="T683" i="3"/>
  <c r="E683" i="3"/>
  <c r="I683" i="3"/>
  <c r="M683" i="3"/>
  <c r="Q683" i="3"/>
  <c r="U683" i="3"/>
  <c r="F683" i="3"/>
  <c r="J683" i="3"/>
  <c r="N683" i="3"/>
  <c r="R683" i="3"/>
  <c r="V683" i="3"/>
  <c r="G683" i="3"/>
  <c r="K683" i="3"/>
  <c r="O683" i="3"/>
  <c r="W683" i="3"/>
  <c r="D657" i="3"/>
  <c r="H657" i="3"/>
  <c r="L657" i="3"/>
  <c r="P657" i="3"/>
  <c r="T657" i="3"/>
  <c r="E657" i="3"/>
  <c r="I657" i="3"/>
  <c r="M657" i="3"/>
  <c r="Q657" i="3"/>
  <c r="U657" i="3"/>
  <c r="F657" i="3"/>
  <c r="J657" i="3"/>
  <c r="N657" i="3"/>
  <c r="R657" i="3"/>
  <c r="V657" i="3"/>
  <c r="G657" i="3"/>
  <c r="K657" i="3"/>
  <c r="O657" i="3"/>
  <c r="W657" i="3"/>
  <c r="F638" i="3"/>
  <c r="J638" i="3"/>
  <c r="N638" i="3"/>
  <c r="R638" i="3"/>
  <c r="V638" i="3"/>
  <c r="D638" i="3"/>
  <c r="H638" i="3"/>
  <c r="L638" i="3"/>
  <c r="P638" i="3"/>
  <c r="T638" i="3"/>
  <c r="K638" i="3"/>
  <c r="E638" i="3"/>
  <c r="M638" i="3"/>
  <c r="U638" i="3"/>
  <c r="G638" i="3"/>
  <c r="O638" i="3"/>
  <c r="W638" i="3"/>
  <c r="I638" i="3"/>
  <c r="Q638" i="3"/>
  <c r="E619" i="3"/>
  <c r="I619" i="3"/>
  <c r="M619" i="3"/>
  <c r="Q619" i="3"/>
  <c r="U619" i="3"/>
  <c r="F619" i="3"/>
  <c r="J619" i="3"/>
  <c r="N619" i="3"/>
  <c r="R619" i="3"/>
  <c r="V619" i="3"/>
  <c r="G619" i="3"/>
  <c r="K619" i="3"/>
  <c r="O619" i="3"/>
  <c r="W619" i="3"/>
  <c r="D619" i="3"/>
  <c r="H619" i="3"/>
  <c r="L619" i="3"/>
  <c r="P619" i="3"/>
  <c r="T619" i="3"/>
  <c r="E842" i="3"/>
  <c r="I842" i="3"/>
  <c r="M842" i="3"/>
  <c r="Q842" i="3"/>
  <c r="U842" i="3"/>
  <c r="F842" i="3"/>
  <c r="J842" i="3"/>
  <c r="N842" i="3"/>
  <c r="R842" i="3"/>
  <c r="V842" i="3"/>
  <c r="G842" i="3"/>
  <c r="K842" i="3"/>
  <c r="O842" i="3"/>
  <c r="W842" i="3"/>
  <c r="D842" i="3"/>
  <c r="H842" i="3"/>
  <c r="L842" i="3"/>
  <c r="P842" i="3"/>
  <c r="T842" i="3"/>
  <c r="E826" i="3"/>
  <c r="I826" i="3"/>
  <c r="M826" i="3"/>
  <c r="Q826" i="3"/>
  <c r="U826" i="3"/>
  <c r="F826" i="3"/>
  <c r="J826" i="3"/>
  <c r="N826" i="3"/>
  <c r="R826" i="3"/>
  <c r="V826" i="3"/>
  <c r="G826" i="3"/>
  <c r="K826" i="3"/>
  <c r="O826" i="3"/>
  <c r="W826" i="3"/>
  <c r="D826" i="3"/>
  <c r="H826" i="3"/>
  <c r="L826" i="3"/>
  <c r="P826" i="3"/>
  <c r="T826" i="3"/>
  <c r="E810" i="3"/>
  <c r="I810" i="3"/>
  <c r="M810" i="3"/>
  <c r="Q810" i="3"/>
  <c r="U810" i="3"/>
  <c r="F810" i="3"/>
  <c r="J810" i="3"/>
  <c r="N810" i="3"/>
  <c r="R810" i="3"/>
  <c r="V810" i="3"/>
  <c r="G810" i="3"/>
  <c r="K810" i="3"/>
  <c r="O810" i="3"/>
  <c r="W810" i="3"/>
  <c r="D810" i="3"/>
  <c r="H810" i="3"/>
  <c r="L810" i="3"/>
  <c r="P810" i="3"/>
  <c r="T810" i="3"/>
  <c r="E794" i="3"/>
  <c r="I794" i="3"/>
  <c r="M794" i="3"/>
  <c r="Q794" i="3"/>
  <c r="U794" i="3"/>
  <c r="F794" i="3"/>
  <c r="J794" i="3"/>
  <c r="N794" i="3"/>
  <c r="R794" i="3"/>
  <c r="V794" i="3"/>
  <c r="G794" i="3"/>
  <c r="K794" i="3"/>
  <c r="O794" i="3"/>
  <c r="W794" i="3"/>
  <c r="D794" i="3"/>
  <c r="H794" i="3"/>
  <c r="L794" i="3"/>
  <c r="P794" i="3"/>
  <c r="T794" i="3"/>
  <c r="E778" i="3"/>
  <c r="I778" i="3"/>
  <c r="M778" i="3"/>
  <c r="Q778" i="3"/>
  <c r="U778" i="3"/>
  <c r="F778" i="3"/>
  <c r="J778" i="3"/>
  <c r="N778" i="3"/>
  <c r="R778" i="3"/>
  <c r="V778" i="3"/>
  <c r="G778" i="3"/>
  <c r="K778" i="3"/>
  <c r="O778" i="3"/>
  <c r="W778" i="3"/>
  <c r="D778" i="3"/>
  <c r="H778" i="3"/>
  <c r="L778" i="3"/>
  <c r="P778" i="3"/>
  <c r="T778" i="3"/>
  <c r="D762" i="3"/>
  <c r="H762" i="3"/>
  <c r="L762" i="3"/>
  <c r="P762" i="3"/>
  <c r="T762" i="3"/>
  <c r="E762" i="3"/>
  <c r="I762" i="3"/>
  <c r="M762" i="3"/>
  <c r="Q762" i="3"/>
  <c r="U762" i="3"/>
  <c r="F762" i="3"/>
  <c r="J762" i="3"/>
  <c r="N762" i="3"/>
  <c r="R762" i="3"/>
  <c r="V762" i="3"/>
  <c r="G762" i="3"/>
  <c r="K762" i="3"/>
  <c r="O762" i="3"/>
  <c r="W762" i="3"/>
  <c r="D746" i="3"/>
  <c r="H746" i="3"/>
  <c r="L746" i="3"/>
  <c r="P746" i="3"/>
  <c r="T746" i="3"/>
  <c r="E746" i="3"/>
  <c r="I746" i="3"/>
  <c r="M746" i="3"/>
  <c r="Q746" i="3"/>
  <c r="U746" i="3"/>
  <c r="F746" i="3"/>
  <c r="J746" i="3"/>
  <c r="N746" i="3"/>
  <c r="R746" i="3"/>
  <c r="V746" i="3"/>
  <c r="G746" i="3"/>
  <c r="K746" i="3"/>
  <c r="O746" i="3"/>
  <c r="W746" i="3"/>
  <c r="D730" i="3"/>
  <c r="H730" i="3"/>
  <c r="L730" i="3"/>
  <c r="P730" i="3"/>
  <c r="T730" i="3"/>
  <c r="E730" i="3"/>
  <c r="I730" i="3"/>
  <c r="M730" i="3"/>
  <c r="Q730" i="3"/>
  <c r="U730" i="3"/>
  <c r="F730" i="3"/>
  <c r="J730" i="3"/>
  <c r="N730" i="3"/>
  <c r="R730" i="3"/>
  <c r="V730" i="3"/>
  <c r="G730" i="3"/>
  <c r="K730" i="3"/>
  <c r="O730" i="3"/>
  <c r="W730" i="3"/>
  <c r="D714" i="3"/>
  <c r="H714" i="3"/>
  <c r="L714" i="3"/>
  <c r="P714" i="3"/>
  <c r="T714" i="3"/>
  <c r="E714" i="3"/>
  <c r="I714" i="3"/>
  <c r="M714" i="3"/>
  <c r="Q714" i="3"/>
  <c r="U714" i="3"/>
  <c r="F714" i="3"/>
  <c r="J714" i="3"/>
  <c r="N714" i="3"/>
  <c r="R714" i="3"/>
  <c r="V714" i="3"/>
  <c r="G714" i="3"/>
  <c r="K714" i="3"/>
  <c r="O714" i="3"/>
  <c r="W714" i="3"/>
  <c r="D693" i="3"/>
  <c r="H693" i="3"/>
  <c r="L693" i="3"/>
  <c r="P693" i="3"/>
  <c r="T693" i="3"/>
  <c r="E693" i="3"/>
  <c r="I693" i="3"/>
  <c r="M693" i="3"/>
  <c r="Q693" i="3"/>
  <c r="U693" i="3"/>
  <c r="F693" i="3"/>
  <c r="J693" i="3"/>
  <c r="N693" i="3"/>
  <c r="R693" i="3"/>
  <c r="V693" i="3"/>
  <c r="G693" i="3"/>
  <c r="K693" i="3"/>
  <c r="O693" i="3"/>
  <c r="W693" i="3"/>
  <c r="D674" i="3"/>
  <c r="H674" i="3"/>
  <c r="L674" i="3"/>
  <c r="P674" i="3"/>
  <c r="T674" i="3"/>
  <c r="E674" i="3"/>
  <c r="I674" i="3"/>
  <c r="M674" i="3"/>
  <c r="Q674" i="3"/>
  <c r="U674" i="3"/>
  <c r="F674" i="3"/>
  <c r="J674" i="3"/>
  <c r="N674" i="3"/>
  <c r="R674" i="3"/>
  <c r="V674" i="3"/>
  <c r="G674" i="3"/>
  <c r="K674" i="3"/>
  <c r="O674" i="3"/>
  <c r="W674" i="3"/>
  <c r="D655" i="3"/>
  <c r="H655" i="3"/>
  <c r="L655" i="3"/>
  <c r="P655" i="3"/>
  <c r="T655" i="3"/>
  <c r="E655" i="3"/>
  <c r="I655" i="3"/>
  <c r="M655" i="3"/>
  <c r="Q655" i="3"/>
  <c r="U655" i="3"/>
  <c r="F655" i="3"/>
  <c r="J655" i="3"/>
  <c r="N655" i="3"/>
  <c r="R655" i="3"/>
  <c r="V655" i="3"/>
  <c r="G655" i="3"/>
  <c r="K655" i="3"/>
  <c r="O655" i="3"/>
  <c r="W655" i="3"/>
  <c r="E629" i="3"/>
  <c r="I629" i="3"/>
  <c r="M629" i="3"/>
  <c r="Q629" i="3"/>
  <c r="U629" i="3"/>
  <c r="F629" i="3"/>
  <c r="J629" i="3"/>
  <c r="N629" i="3"/>
  <c r="R629" i="3"/>
  <c r="V629" i="3"/>
  <c r="G629" i="3"/>
  <c r="K629" i="3"/>
  <c r="O629" i="3"/>
  <c r="W629" i="3"/>
  <c r="D629" i="3"/>
  <c r="H629" i="3"/>
  <c r="L629" i="3"/>
  <c r="P629" i="3"/>
  <c r="T629" i="3"/>
  <c r="E610" i="3"/>
  <c r="I610" i="3"/>
  <c r="M610" i="3"/>
  <c r="Q610" i="3"/>
  <c r="U610" i="3"/>
  <c r="F610" i="3"/>
  <c r="J610" i="3"/>
  <c r="N610" i="3"/>
  <c r="R610" i="3"/>
  <c r="V610" i="3"/>
  <c r="G610" i="3"/>
  <c r="K610" i="3"/>
  <c r="O610" i="3"/>
  <c r="W610" i="3"/>
  <c r="D610" i="3"/>
  <c r="H610" i="3"/>
  <c r="L610" i="3"/>
  <c r="P610" i="3"/>
  <c r="T610" i="3"/>
  <c r="E597" i="3"/>
  <c r="I597" i="3"/>
  <c r="M597" i="3"/>
  <c r="Q597" i="3"/>
  <c r="U597" i="3"/>
  <c r="F597" i="3"/>
  <c r="J597" i="3"/>
  <c r="N597" i="3"/>
  <c r="R597" i="3"/>
  <c r="V597" i="3"/>
  <c r="G597" i="3"/>
  <c r="K597" i="3"/>
  <c r="O597" i="3"/>
  <c r="W597" i="3"/>
  <c r="D597" i="3"/>
  <c r="H597" i="3"/>
  <c r="L597" i="3"/>
  <c r="P597" i="3"/>
  <c r="T597" i="3"/>
  <c r="E581" i="3"/>
  <c r="I581" i="3"/>
  <c r="M581" i="3"/>
  <c r="Q581" i="3"/>
  <c r="U581" i="3"/>
  <c r="F581" i="3"/>
  <c r="J581" i="3"/>
  <c r="N581" i="3"/>
  <c r="R581" i="3"/>
  <c r="V581" i="3"/>
  <c r="G581" i="3"/>
  <c r="K581" i="3"/>
  <c r="O581" i="3"/>
  <c r="W581" i="3"/>
  <c r="D581" i="3"/>
  <c r="H581" i="3"/>
  <c r="L581" i="3"/>
  <c r="P581" i="3"/>
  <c r="T581" i="3"/>
  <c r="E565" i="3"/>
  <c r="I565" i="3"/>
  <c r="M565" i="3"/>
  <c r="Q565" i="3"/>
  <c r="U565" i="3"/>
  <c r="F565" i="3"/>
  <c r="J565" i="3"/>
  <c r="N565" i="3"/>
  <c r="R565" i="3"/>
  <c r="V565" i="3"/>
  <c r="G565" i="3"/>
  <c r="K565" i="3"/>
  <c r="O565" i="3"/>
  <c r="W565" i="3"/>
  <c r="D565" i="3"/>
  <c r="H565" i="3"/>
  <c r="L565" i="3"/>
  <c r="P565" i="3"/>
  <c r="T565" i="3"/>
  <c r="E549" i="3"/>
  <c r="I549" i="3"/>
  <c r="M549" i="3"/>
  <c r="Q549" i="3"/>
  <c r="U549" i="3"/>
  <c r="F549" i="3"/>
  <c r="J549" i="3"/>
  <c r="N549" i="3"/>
  <c r="R549" i="3"/>
  <c r="V549" i="3"/>
  <c r="G549" i="3"/>
  <c r="K549" i="3"/>
  <c r="O549" i="3"/>
  <c r="W549" i="3"/>
  <c r="D549" i="3"/>
  <c r="H549" i="3"/>
  <c r="L549" i="3"/>
  <c r="P549" i="3"/>
  <c r="T549" i="3"/>
  <c r="E533" i="3"/>
  <c r="I533" i="3"/>
  <c r="M533" i="3"/>
  <c r="Q533" i="3"/>
  <c r="U533" i="3"/>
  <c r="F533" i="3"/>
  <c r="J533" i="3"/>
  <c r="N533" i="3"/>
  <c r="R533" i="3"/>
  <c r="V533" i="3"/>
  <c r="G533" i="3"/>
  <c r="K533" i="3"/>
  <c r="O533" i="3"/>
  <c r="W533" i="3"/>
  <c r="D533" i="3"/>
  <c r="H533" i="3"/>
  <c r="L533" i="3"/>
  <c r="P533" i="3"/>
  <c r="T533" i="3"/>
  <c r="E517" i="3"/>
  <c r="I517" i="3"/>
  <c r="M517" i="3"/>
  <c r="Q517" i="3"/>
  <c r="U517" i="3"/>
  <c r="F517" i="3"/>
  <c r="J517" i="3"/>
  <c r="N517" i="3"/>
  <c r="R517" i="3"/>
  <c r="V517" i="3"/>
  <c r="G517" i="3"/>
  <c r="K517" i="3"/>
  <c r="O517" i="3"/>
  <c r="W517" i="3"/>
  <c r="D517" i="3"/>
  <c r="H517" i="3"/>
  <c r="L517" i="3"/>
  <c r="P517" i="3"/>
  <c r="T517" i="3"/>
  <c r="G501" i="3"/>
  <c r="K501" i="3"/>
  <c r="O501" i="3"/>
  <c r="W501" i="3"/>
  <c r="D501" i="3"/>
  <c r="H501" i="3"/>
  <c r="L501" i="3"/>
  <c r="P501" i="3"/>
  <c r="T501" i="3"/>
  <c r="E501" i="3"/>
  <c r="I501" i="3"/>
  <c r="M501" i="3"/>
  <c r="Q501" i="3"/>
  <c r="U501" i="3"/>
  <c r="F501" i="3"/>
  <c r="J501" i="3"/>
  <c r="N501" i="3"/>
  <c r="R501" i="3"/>
  <c r="V501" i="3"/>
  <c r="G485" i="3"/>
  <c r="K485" i="3"/>
  <c r="O485" i="3"/>
  <c r="W485" i="3"/>
  <c r="D485" i="3"/>
  <c r="H485" i="3"/>
  <c r="L485" i="3"/>
  <c r="P485" i="3"/>
  <c r="T485" i="3"/>
  <c r="E485" i="3"/>
  <c r="I485" i="3"/>
  <c r="M485" i="3"/>
  <c r="Q485" i="3"/>
  <c r="U485" i="3"/>
  <c r="F485" i="3"/>
  <c r="J485" i="3"/>
  <c r="N485" i="3"/>
  <c r="R485" i="3"/>
  <c r="V485" i="3"/>
  <c r="G469" i="3"/>
  <c r="K469" i="3"/>
  <c r="O469" i="3"/>
  <c r="W469" i="3"/>
  <c r="D469" i="3"/>
  <c r="H469" i="3"/>
  <c r="L469" i="3"/>
  <c r="P469" i="3"/>
  <c r="T469" i="3"/>
  <c r="E469" i="3"/>
  <c r="I469" i="3"/>
  <c r="M469" i="3"/>
  <c r="Q469" i="3"/>
  <c r="U469" i="3"/>
  <c r="F469" i="3"/>
  <c r="J469" i="3"/>
  <c r="N469" i="3"/>
  <c r="R469" i="3"/>
  <c r="V469" i="3"/>
  <c r="G453" i="3"/>
  <c r="K453" i="3"/>
  <c r="O453" i="3"/>
  <c r="W453" i="3"/>
  <c r="D453" i="3"/>
  <c r="H453" i="3"/>
  <c r="L453" i="3"/>
  <c r="P453" i="3"/>
  <c r="T453" i="3"/>
  <c r="E453" i="3"/>
  <c r="I453" i="3"/>
  <c r="M453" i="3"/>
  <c r="Q453" i="3"/>
  <c r="U453" i="3"/>
  <c r="F453" i="3"/>
  <c r="J453" i="3"/>
  <c r="N453" i="3"/>
  <c r="R453" i="3"/>
  <c r="V453" i="3"/>
  <c r="G437" i="3"/>
  <c r="K437" i="3"/>
  <c r="O437" i="3"/>
  <c r="W437" i="3"/>
  <c r="D437" i="3"/>
  <c r="H437" i="3"/>
  <c r="L437" i="3"/>
  <c r="P437" i="3"/>
  <c r="T437" i="3"/>
  <c r="E437" i="3"/>
  <c r="I437" i="3"/>
  <c r="M437" i="3"/>
  <c r="Q437" i="3"/>
  <c r="U437" i="3"/>
  <c r="F437" i="3"/>
  <c r="J437" i="3"/>
  <c r="N437" i="3"/>
  <c r="R437" i="3"/>
  <c r="V437" i="3"/>
  <c r="G421" i="3"/>
  <c r="K421" i="3"/>
  <c r="O421" i="3"/>
  <c r="W421" i="3"/>
  <c r="D421" i="3"/>
  <c r="H421" i="3"/>
  <c r="L421" i="3"/>
  <c r="P421" i="3"/>
  <c r="T421" i="3"/>
  <c r="E421" i="3"/>
  <c r="I421" i="3"/>
  <c r="M421" i="3"/>
  <c r="Q421" i="3"/>
  <c r="U421" i="3"/>
  <c r="F421" i="3"/>
  <c r="J421" i="3"/>
  <c r="N421" i="3"/>
  <c r="R421" i="3"/>
  <c r="V421" i="3"/>
  <c r="G405" i="3"/>
  <c r="K405" i="3"/>
  <c r="O405" i="3"/>
  <c r="W405" i="3"/>
  <c r="D405" i="3"/>
  <c r="H405" i="3"/>
  <c r="L405" i="3"/>
  <c r="P405" i="3"/>
  <c r="T405" i="3"/>
  <c r="E405" i="3"/>
  <c r="I405" i="3"/>
  <c r="M405" i="3"/>
  <c r="Q405" i="3"/>
  <c r="U405" i="3"/>
  <c r="F405" i="3"/>
  <c r="J405" i="3"/>
  <c r="N405" i="3"/>
  <c r="R405" i="3"/>
  <c r="V405" i="3"/>
  <c r="G389" i="3"/>
  <c r="K389" i="3"/>
  <c r="O389" i="3"/>
  <c r="W389" i="3"/>
  <c r="D389" i="3"/>
  <c r="H389" i="3"/>
  <c r="L389" i="3"/>
  <c r="P389" i="3"/>
  <c r="T389" i="3"/>
  <c r="E389" i="3"/>
  <c r="I389" i="3"/>
  <c r="M389" i="3"/>
  <c r="Q389" i="3"/>
  <c r="U389" i="3"/>
  <c r="F389" i="3"/>
  <c r="J389" i="3"/>
  <c r="N389" i="3"/>
  <c r="R389" i="3"/>
  <c r="V389" i="3"/>
  <c r="E373" i="3"/>
  <c r="F373" i="3"/>
  <c r="G373" i="3"/>
  <c r="K373" i="3"/>
  <c r="O373" i="3"/>
  <c r="W373" i="3"/>
  <c r="H373" i="3"/>
  <c r="L373" i="3"/>
  <c r="P373" i="3"/>
  <c r="T373" i="3"/>
  <c r="I373" i="3"/>
  <c r="M373" i="3"/>
  <c r="Q373" i="3"/>
  <c r="U373" i="3"/>
  <c r="D373" i="3"/>
  <c r="J373" i="3"/>
  <c r="N373" i="3"/>
  <c r="R373" i="3"/>
  <c r="V373" i="3"/>
  <c r="E594" i="3"/>
  <c r="I594" i="3"/>
  <c r="M594" i="3"/>
  <c r="Q594" i="3"/>
  <c r="U594" i="3"/>
  <c r="F594" i="3"/>
  <c r="J594" i="3"/>
  <c r="N594" i="3"/>
  <c r="R594" i="3"/>
  <c r="V594" i="3"/>
  <c r="G594" i="3"/>
  <c r="K594" i="3"/>
  <c r="O594" i="3"/>
  <c r="W594" i="3"/>
  <c r="D594" i="3"/>
  <c r="H594" i="3"/>
  <c r="L594" i="3"/>
  <c r="P594" i="3"/>
  <c r="T594" i="3"/>
  <c r="E578" i="3"/>
  <c r="I578" i="3"/>
  <c r="M578" i="3"/>
  <c r="Q578" i="3"/>
  <c r="U578" i="3"/>
  <c r="F578" i="3"/>
  <c r="J578" i="3"/>
  <c r="N578" i="3"/>
  <c r="R578" i="3"/>
  <c r="V578" i="3"/>
  <c r="G578" i="3"/>
  <c r="K578" i="3"/>
  <c r="O578" i="3"/>
  <c r="W578" i="3"/>
  <c r="D578" i="3"/>
  <c r="H578" i="3"/>
  <c r="L578" i="3"/>
  <c r="P578" i="3"/>
  <c r="T578" i="3"/>
  <c r="E562" i="3"/>
  <c r="I562" i="3"/>
  <c r="M562" i="3"/>
  <c r="Q562" i="3"/>
  <c r="U562" i="3"/>
  <c r="F562" i="3"/>
  <c r="J562" i="3"/>
  <c r="N562" i="3"/>
  <c r="R562" i="3"/>
  <c r="V562" i="3"/>
  <c r="G562" i="3"/>
  <c r="K562" i="3"/>
  <c r="O562" i="3"/>
  <c r="W562" i="3"/>
  <c r="D562" i="3"/>
  <c r="H562" i="3"/>
  <c r="L562" i="3"/>
  <c r="P562" i="3"/>
  <c r="T562" i="3"/>
  <c r="E546" i="3"/>
  <c r="I546" i="3"/>
  <c r="M546" i="3"/>
  <c r="Q546" i="3"/>
  <c r="U546" i="3"/>
  <c r="F546" i="3"/>
  <c r="J546" i="3"/>
  <c r="N546" i="3"/>
  <c r="R546" i="3"/>
  <c r="V546" i="3"/>
  <c r="G546" i="3"/>
  <c r="K546" i="3"/>
  <c r="O546" i="3"/>
  <c r="W546" i="3"/>
  <c r="D546" i="3"/>
  <c r="H546" i="3"/>
  <c r="L546" i="3"/>
  <c r="P546" i="3"/>
  <c r="T546" i="3"/>
  <c r="E530" i="3"/>
  <c r="I530" i="3"/>
  <c r="M530" i="3"/>
  <c r="Q530" i="3"/>
  <c r="U530" i="3"/>
  <c r="F530" i="3"/>
  <c r="J530" i="3"/>
  <c r="N530" i="3"/>
  <c r="R530" i="3"/>
  <c r="V530" i="3"/>
  <c r="G530" i="3"/>
  <c r="K530" i="3"/>
  <c r="O530" i="3"/>
  <c r="W530" i="3"/>
  <c r="D530" i="3"/>
  <c r="H530" i="3"/>
  <c r="L530" i="3"/>
  <c r="P530" i="3"/>
  <c r="T530" i="3"/>
  <c r="E514" i="3"/>
  <c r="I514" i="3"/>
  <c r="M514" i="3"/>
  <c r="Q514" i="3"/>
  <c r="U514" i="3"/>
  <c r="F514" i="3"/>
  <c r="J514" i="3"/>
  <c r="N514" i="3"/>
  <c r="R514" i="3"/>
  <c r="V514" i="3"/>
  <c r="G514" i="3"/>
  <c r="K514" i="3"/>
  <c r="O514" i="3"/>
  <c r="W514" i="3"/>
  <c r="D514" i="3"/>
  <c r="H514" i="3"/>
  <c r="L514" i="3"/>
  <c r="P514" i="3"/>
  <c r="T514" i="3"/>
  <c r="G498" i="3"/>
  <c r="K498" i="3"/>
  <c r="O498" i="3"/>
  <c r="W498" i="3"/>
  <c r="D498" i="3"/>
  <c r="H498" i="3"/>
  <c r="L498" i="3"/>
  <c r="P498" i="3"/>
  <c r="T498" i="3"/>
  <c r="E498" i="3"/>
  <c r="I498" i="3"/>
  <c r="M498" i="3"/>
  <c r="Q498" i="3"/>
  <c r="U498" i="3"/>
  <c r="F498" i="3"/>
  <c r="J498" i="3"/>
  <c r="N498" i="3"/>
  <c r="R498" i="3"/>
  <c r="V498" i="3"/>
  <c r="G482" i="3"/>
  <c r="K482" i="3"/>
  <c r="O482" i="3"/>
  <c r="W482" i="3"/>
  <c r="D482" i="3"/>
  <c r="H482" i="3"/>
  <c r="L482" i="3"/>
  <c r="P482" i="3"/>
  <c r="T482" i="3"/>
  <c r="E482" i="3"/>
  <c r="I482" i="3"/>
  <c r="M482" i="3"/>
  <c r="Q482" i="3"/>
  <c r="U482" i="3"/>
  <c r="F482" i="3"/>
  <c r="J482" i="3"/>
  <c r="N482" i="3"/>
  <c r="R482" i="3"/>
  <c r="V482" i="3"/>
  <c r="G466" i="3"/>
  <c r="K466" i="3"/>
  <c r="O466" i="3"/>
  <c r="W466" i="3"/>
  <c r="D466" i="3"/>
  <c r="H466" i="3"/>
  <c r="L466" i="3"/>
  <c r="P466" i="3"/>
  <c r="T466" i="3"/>
  <c r="E466" i="3"/>
  <c r="I466" i="3"/>
  <c r="M466" i="3"/>
  <c r="Q466" i="3"/>
  <c r="U466" i="3"/>
  <c r="F466" i="3"/>
  <c r="J466" i="3"/>
  <c r="N466" i="3"/>
  <c r="R466" i="3"/>
  <c r="V466" i="3"/>
  <c r="G450" i="3"/>
  <c r="K450" i="3"/>
  <c r="O450" i="3"/>
  <c r="W450" i="3"/>
  <c r="D450" i="3"/>
  <c r="H450" i="3"/>
  <c r="L450" i="3"/>
  <c r="P450" i="3"/>
  <c r="T450" i="3"/>
  <c r="E450" i="3"/>
  <c r="I450" i="3"/>
  <c r="M450" i="3"/>
  <c r="Q450" i="3"/>
  <c r="U450" i="3"/>
  <c r="F450" i="3"/>
  <c r="J450" i="3"/>
  <c r="N450" i="3"/>
  <c r="R450" i="3"/>
  <c r="V450" i="3"/>
  <c r="G434" i="3"/>
  <c r="K434" i="3"/>
  <c r="O434" i="3"/>
  <c r="W434" i="3"/>
  <c r="D434" i="3"/>
  <c r="H434" i="3"/>
  <c r="L434" i="3"/>
  <c r="P434" i="3"/>
  <c r="T434" i="3"/>
  <c r="E434" i="3"/>
  <c r="I434" i="3"/>
  <c r="M434" i="3"/>
  <c r="Q434" i="3"/>
  <c r="U434" i="3"/>
  <c r="F434" i="3"/>
  <c r="J434" i="3"/>
  <c r="N434" i="3"/>
  <c r="R434" i="3"/>
  <c r="V434" i="3"/>
  <c r="G418" i="3"/>
  <c r="K418" i="3"/>
  <c r="O418" i="3"/>
  <c r="W418" i="3"/>
  <c r="D418" i="3"/>
  <c r="H418" i="3"/>
  <c r="L418" i="3"/>
  <c r="P418" i="3"/>
  <c r="T418" i="3"/>
  <c r="E418" i="3"/>
  <c r="I418" i="3"/>
  <c r="M418" i="3"/>
  <c r="Q418" i="3"/>
  <c r="U418" i="3"/>
  <c r="F418" i="3"/>
  <c r="J418" i="3"/>
  <c r="N418" i="3"/>
  <c r="R418" i="3"/>
  <c r="V418" i="3"/>
  <c r="G402" i="3"/>
  <c r="K402" i="3"/>
  <c r="O402" i="3"/>
  <c r="W402" i="3"/>
  <c r="D402" i="3"/>
  <c r="H402" i="3"/>
  <c r="L402" i="3"/>
  <c r="P402" i="3"/>
  <c r="T402" i="3"/>
  <c r="E402" i="3"/>
  <c r="I402" i="3"/>
  <c r="M402" i="3"/>
  <c r="Q402" i="3"/>
  <c r="U402" i="3"/>
  <c r="F402" i="3"/>
  <c r="J402" i="3"/>
  <c r="N402" i="3"/>
  <c r="R402" i="3"/>
  <c r="V402" i="3"/>
  <c r="G386" i="3"/>
  <c r="K386" i="3"/>
  <c r="O386" i="3"/>
  <c r="W386" i="3"/>
  <c r="D386" i="3"/>
  <c r="H386" i="3"/>
  <c r="L386" i="3"/>
  <c r="P386" i="3"/>
  <c r="T386" i="3"/>
  <c r="E386" i="3"/>
  <c r="I386" i="3"/>
  <c r="M386" i="3"/>
  <c r="Q386" i="3"/>
  <c r="U386" i="3"/>
  <c r="F386" i="3"/>
  <c r="J386" i="3"/>
  <c r="N386" i="3"/>
  <c r="R386" i="3"/>
  <c r="V386" i="3"/>
  <c r="E370" i="3"/>
  <c r="I370" i="3"/>
  <c r="M370" i="3"/>
  <c r="Q370" i="3"/>
  <c r="U370" i="3"/>
  <c r="F370" i="3"/>
  <c r="J370" i="3"/>
  <c r="N370" i="3"/>
  <c r="R370" i="3"/>
  <c r="V370" i="3"/>
  <c r="K370" i="3"/>
  <c r="D370" i="3"/>
  <c r="L370" i="3"/>
  <c r="T370" i="3"/>
  <c r="G370" i="3"/>
  <c r="O370" i="3"/>
  <c r="W370" i="3"/>
  <c r="H370" i="3"/>
  <c r="P370" i="3"/>
  <c r="E583" i="3"/>
  <c r="I583" i="3"/>
  <c r="M583" i="3"/>
  <c r="Q583" i="3"/>
  <c r="U583" i="3"/>
  <c r="F583" i="3"/>
  <c r="J583" i="3"/>
  <c r="N583" i="3"/>
  <c r="R583" i="3"/>
  <c r="V583" i="3"/>
  <c r="G583" i="3"/>
  <c r="K583" i="3"/>
  <c r="O583" i="3"/>
  <c r="W583" i="3"/>
  <c r="D583" i="3"/>
  <c r="H583" i="3"/>
  <c r="L583" i="3"/>
  <c r="P583" i="3"/>
  <c r="T583" i="3"/>
  <c r="E567" i="3"/>
  <c r="I567" i="3"/>
  <c r="M567" i="3"/>
  <c r="Q567" i="3"/>
  <c r="U567" i="3"/>
  <c r="F567" i="3"/>
  <c r="J567" i="3"/>
  <c r="N567" i="3"/>
  <c r="R567" i="3"/>
  <c r="V567" i="3"/>
  <c r="G567" i="3"/>
  <c r="K567" i="3"/>
  <c r="O567" i="3"/>
  <c r="W567" i="3"/>
  <c r="D567" i="3"/>
  <c r="H567" i="3"/>
  <c r="L567" i="3"/>
  <c r="P567" i="3"/>
  <c r="T567" i="3"/>
  <c r="E551" i="3"/>
  <c r="I551" i="3"/>
  <c r="M551" i="3"/>
  <c r="Q551" i="3"/>
  <c r="U551" i="3"/>
  <c r="F551" i="3"/>
  <c r="J551" i="3"/>
  <c r="N551" i="3"/>
  <c r="R551" i="3"/>
  <c r="V551" i="3"/>
  <c r="G551" i="3"/>
  <c r="K551" i="3"/>
  <c r="O551" i="3"/>
  <c r="W551" i="3"/>
  <c r="D551" i="3"/>
  <c r="H551" i="3"/>
  <c r="L551" i="3"/>
  <c r="P551" i="3"/>
  <c r="T551" i="3"/>
  <c r="E535" i="3"/>
  <c r="I535" i="3"/>
  <c r="M535" i="3"/>
  <c r="Q535" i="3"/>
  <c r="U535" i="3"/>
  <c r="F535" i="3"/>
  <c r="J535" i="3"/>
  <c r="N535" i="3"/>
  <c r="R535" i="3"/>
  <c r="V535" i="3"/>
  <c r="G535" i="3"/>
  <c r="K535" i="3"/>
  <c r="O535" i="3"/>
  <c r="W535" i="3"/>
  <c r="D535" i="3"/>
  <c r="H535" i="3"/>
  <c r="L535" i="3"/>
  <c r="P535" i="3"/>
  <c r="T535" i="3"/>
  <c r="E519" i="3"/>
  <c r="I519" i="3"/>
  <c r="M519" i="3"/>
  <c r="Q519" i="3"/>
  <c r="U519" i="3"/>
  <c r="F519" i="3"/>
  <c r="J519" i="3"/>
  <c r="N519" i="3"/>
  <c r="R519" i="3"/>
  <c r="V519" i="3"/>
  <c r="G519" i="3"/>
  <c r="K519" i="3"/>
  <c r="O519" i="3"/>
  <c r="W519" i="3"/>
  <c r="D519" i="3"/>
  <c r="H519" i="3"/>
  <c r="L519" i="3"/>
  <c r="P519" i="3"/>
  <c r="T519" i="3"/>
  <c r="G503" i="3"/>
  <c r="K503" i="3"/>
  <c r="O503" i="3"/>
  <c r="W503" i="3"/>
  <c r="D503" i="3"/>
  <c r="H503" i="3"/>
  <c r="L503" i="3"/>
  <c r="P503" i="3"/>
  <c r="T503" i="3"/>
  <c r="E503" i="3"/>
  <c r="I503" i="3"/>
  <c r="M503" i="3"/>
  <c r="Q503" i="3"/>
  <c r="U503" i="3"/>
  <c r="F503" i="3"/>
  <c r="J503" i="3"/>
  <c r="N503" i="3"/>
  <c r="R503" i="3"/>
  <c r="V503" i="3"/>
  <c r="G487" i="3"/>
  <c r="K487" i="3"/>
  <c r="O487" i="3"/>
  <c r="W487" i="3"/>
  <c r="D487" i="3"/>
  <c r="H487" i="3"/>
  <c r="L487" i="3"/>
  <c r="P487" i="3"/>
  <c r="T487" i="3"/>
  <c r="E487" i="3"/>
  <c r="I487" i="3"/>
  <c r="M487" i="3"/>
  <c r="Q487" i="3"/>
  <c r="U487" i="3"/>
  <c r="F487" i="3"/>
  <c r="J487" i="3"/>
  <c r="N487" i="3"/>
  <c r="R487" i="3"/>
  <c r="V487" i="3"/>
  <c r="G471" i="3"/>
  <c r="K471" i="3"/>
  <c r="O471" i="3"/>
  <c r="W471" i="3"/>
  <c r="D471" i="3"/>
  <c r="H471" i="3"/>
  <c r="L471" i="3"/>
  <c r="P471" i="3"/>
  <c r="T471" i="3"/>
  <c r="E471" i="3"/>
  <c r="I471" i="3"/>
  <c r="M471" i="3"/>
  <c r="Q471" i="3"/>
  <c r="U471" i="3"/>
  <c r="F471" i="3"/>
  <c r="J471" i="3"/>
  <c r="N471" i="3"/>
  <c r="R471" i="3"/>
  <c r="V471" i="3"/>
  <c r="G455" i="3"/>
  <c r="K455" i="3"/>
  <c r="O455" i="3"/>
  <c r="W455" i="3"/>
  <c r="D455" i="3"/>
  <c r="H455" i="3"/>
  <c r="L455" i="3"/>
  <c r="P455" i="3"/>
  <c r="T455" i="3"/>
  <c r="E455" i="3"/>
  <c r="I455" i="3"/>
  <c r="M455" i="3"/>
  <c r="Q455" i="3"/>
  <c r="U455" i="3"/>
  <c r="F455" i="3"/>
  <c r="J455" i="3"/>
  <c r="N455" i="3"/>
  <c r="R455" i="3"/>
  <c r="V455" i="3"/>
  <c r="G439" i="3"/>
  <c r="K439" i="3"/>
  <c r="O439" i="3"/>
  <c r="W439" i="3"/>
  <c r="D439" i="3"/>
  <c r="H439" i="3"/>
  <c r="L439" i="3"/>
  <c r="P439" i="3"/>
  <c r="T439" i="3"/>
  <c r="E439" i="3"/>
  <c r="I439" i="3"/>
  <c r="M439" i="3"/>
  <c r="Q439" i="3"/>
  <c r="U439" i="3"/>
  <c r="F439" i="3"/>
  <c r="J439" i="3"/>
  <c r="N439" i="3"/>
  <c r="R439" i="3"/>
  <c r="V439" i="3"/>
  <c r="G423" i="3"/>
  <c r="K423" i="3"/>
  <c r="O423" i="3"/>
  <c r="W423" i="3"/>
  <c r="D423" i="3"/>
  <c r="H423" i="3"/>
  <c r="L423" i="3"/>
  <c r="P423" i="3"/>
  <c r="T423" i="3"/>
  <c r="E423" i="3"/>
  <c r="I423" i="3"/>
  <c r="M423" i="3"/>
  <c r="Q423" i="3"/>
  <c r="U423" i="3"/>
  <c r="F423" i="3"/>
  <c r="J423" i="3"/>
  <c r="N423" i="3"/>
  <c r="R423" i="3"/>
  <c r="V423" i="3"/>
  <c r="G407" i="3"/>
  <c r="K407" i="3"/>
  <c r="O407" i="3"/>
  <c r="W407" i="3"/>
  <c r="D407" i="3"/>
  <c r="H407" i="3"/>
  <c r="L407" i="3"/>
  <c r="P407" i="3"/>
  <c r="T407" i="3"/>
  <c r="E407" i="3"/>
  <c r="I407" i="3"/>
  <c r="M407" i="3"/>
  <c r="Q407" i="3"/>
  <c r="U407" i="3"/>
  <c r="F407" i="3"/>
  <c r="J407" i="3"/>
  <c r="N407" i="3"/>
  <c r="R407" i="3"/>
  <c r="V407" i="3"/>
  <c r="G391" i="3"/>
  <c r="K391" i="3"/>
  <c r="O391" i="3"/>
  <c r="W391" i="3"/>
  <c r="D391" i="3"/>
  <c r="H391" i="3"/>
  <c r="L391" i="3"/>
  <c r="P391" i="3"/>
  <c r="T391" i="3"/>
  <c r="E391" i="3"/>
  <c r="I391" i="3"/>
  <c r="M391" i="3"/>
  <c r="Q391" i="3"/>
  <c r="U391" i="3"/>
  <c r="F391" i="3"/>
  <c r="J391" i="3"/>
  <c r="N391" i="3"/>
  <c r="R391" i="3"/>
  <c r="V391" i="3"/>
  <c r="G375" i="3"/>
  <c r="K375" i="3"/>
  <c r="O375" i="3"/>
  <c r="W375" i="3"/>
  <c r="D375" i="3"/>
  <c r="H375" i="3"/>
  <c r="L375" i="3"/>
  <c r="P375" i="3"/>
  <c r="T375" i="3"/>
  <c r="E375" i="3"/>
  <c r="I375" i="3"/>
  <c r="M375" i="3"/>
  <c r="Q375" i="3"/>
  <c r="U375" i="3"/>
  <c r="F375" i="3"/>
  <c r="J375" i="3"/>
  <c r="N375" i="3"/>
  <c r="R375" i="3"/>
  <c r="V375" i="3"/>
  <c r="D700" i="3"/>
  <c r="H700" i="3"/>
  <c r="L700" i="3"/>
  <c r="P700" i="3"/>
  <c r="T700" i="3"/>
  <c r="E700" i="3"/>
  <c r="I700" i="3"/>
  <c r="M700" i="3"/>
  <c r="Q700" i="3"/>
  <c r="U700" i="3"/>
  <c r="F700" i="3"/>
  <c r="J700" i="3"/>
  <c r="N700" i="3"/>
  <c r="R700" i="3"/>
  <c r="V700" i="3"/>
  <c r="G700" i="3"/>
  <c r="K700" i="3"/>
  <c r="O700" i="3"/>
  <c r="W700" i="3"/>
  <c r="D684" i="3"/>
  <c r="H684" i="3"/>
  <c r="L684" i="3"/>
  <c r="P684" i="3"/>
  <c r="T684" i="3"/>
  <c r="E684" i="3"/>
  <c r="I684" i="3"/>
  <c r="M684" i="3"/>
  <c r="Q684" i="3"/>
  <c r="U684" i="3"/>
  <c r="F684" i="3"/>
  <c r="J684" i="3"/>
  <c r="N684" i="3"/>
  <c r="R684" i="3"/>
  <c r="V684" i="3"/>
  <c r="G684" i="3"/>
  <c r="K684" i="3"/>
  <c r="O684" i="3"/>
  <c r="W684" i="3"/>
  <c r="D668" i="3"/>
  <c r="H668" i="3"/>
  <c r="L668" i="3"/>
  <c r="P668" i="3"/>
  <c r="T668" i="3"/>
  <c r="E668" i="3"/>
  <c r="I668" i="3"/>
  <c r="M668" i="3"/>
  <c r="Q668" i="3"/>
  <c r="U668" i="3"/>
  <c r="F668" i="3"/>
  <c r="J668" i="3"/>
  <c r="N668" i="3"/>
  <c r="R668" i="3"/>
  <c r="V668" i="3"/>
  <c r="G668" i="3"/>
  <c r="K668" i="3"/>
  <c r="O668" i="3"/>
  <c r="W668" i="3"/>
  <c r="D652" i="3"/>
  <c r="H652" i="3"/>
  <c r="L652" i="3"/>
  <c r="P652" i="3"/>
  <c r="T652" i="3"/>
  <c r="E652" i="3"/>
  <c r="I652" i="3"/>
  <c r="M652" i="3"/>
  <c r="Q652" i="3"/>
  <c r="U652" i="3"/>
  <c r="F652" i="3"/>
  <c r="J652" i="3"/>
  <c r="N652" i="3"/>
  <c r="R652" i="3"/>
  <c r="V652" i="3"/>
  <c r="G652" i="3"/>
  <c r="K652" i="3"/>
  <c r="O652" i="3"/>
  <c r="W652" i="3"/>
  <c r="F636" i="3"/>
  <c r="J636" i="3"/>
  <c r="N636" i="3"/>
  <c r="R636" i="3"/>
  <c r="V636" i="3"/>
  <c r="D636" i="3"/>
  <c r="H636" i="3"/>
  <c r="L636" i="3"/>
  <c r="P636" i="3"/>
  <c r="T636" i="3"/>
  <c r="K636" i="3"/>
  <c r="E636" i="3"/>
  <c r="M636" i="3"/>
  <c r="U636" i="3"/>
  <c r="G636" i="3"/>
  <c r="O636" i="3"/>
  <c r="W636" i="3"/>
  <c r="I636" i="3"/>
  <c r="Q636" i="3"/>
  <c r="E620" i="3"/>
  <c r="I620" i="3"/>
  <c r="M620" i="3"/>
  <c r="Q620" i="3"/>
  <c r="U620" i="3"/>
  <c r="F620" i="3"/>
  <c r="J620" i="3"/>
  <c r="N620" i="3"/>
  <c r="R620" i="3"/>
  <c r="V620" i="3"/>
  <c r="G620" i="3"/>
  <c r="K620" i="3"/>
  <c r="O620" i="3"/>
  <c r="W620" i="3"/>
  <c r="D620" i="3"/>
  <c r="H620" i="3"/>
  <c r="L620" i="3"/>
  <c r="P620" i="3"/>
  <c r="T620" i="3"/>
  <c r="E604" i="3"/>
  <c r="I604" i="3"/>
  <c r="M604" i="3"/>
  <c r="Q604" i="3"/>
  <c r="U604" i="3"/>
  <c r="F604" i="3"/>
  <c r="J604" i="3"/>
  <c r="N604" i="3"/>
  <c r="R604" i="3"/>
  <c r="V604" i="3"/>
  <c r="G604" i="3"/>
  <c r="K604" i="3"/>
  <c r="O604" i="3"/>
  <c r="W604" i="3"/>
  <c r="D604" i="3"/>
  <c r="H604" i="3"/>
  <c r="L604" i="3"/>
  <c r="P604" i="3"/>
  <c r="T604" i="3"/>
  <c r="E588" i="3"/>
  <c r="I588" i="3"/>
  <c r="M588" i="3"/>
  <c r="Q588" i="3"/>
  <c r="U588" i="3"/>
  <c r="F588" i="3"/>
  <c r="J588" i="3"/>
  <c r="N588" i="3"/>
  <c r="R588" i="3"/>
  <c r="V588" i="3"/>
  <c r="G588" i="3"/>
  <c r="K588" i="3"/>
  <c r="O588" i="3"/>
  <c r="W588" i="3"/>
  <c r="D588" i="3"/>
  <c r="H588" i="3"/>
  <c r="L588" i="3"/>
  <c r="P588" i="3"/>
  <c r="T588" i="3"/>
  <c r="E572" i="3"/>
  <c r="I572" i="3"/>
  <c r="M572" i="3"/>
  <c r="Q572" i="3"/>
  <c r="U572" i="3"/>
  <c r="F572" i="3"/>
  <c r="J572" i="3"/>
  <c r="N572" i="3"/>
  <c r="R572" i="3"/>
  <c r="V572" i="3"/>
  <c r="G572" i="3"/>
  <c r="K572" i="3"/>
  <c r="O572" i="3"/>
  <c r="W572" i="3"/>
  <c r="D572" i="3"/>
  <c r="H572" i="3"/>
  <c r="L572" i="3"/>
  <c r="P572" i="3"/>
  <c r="T572" i="3"/>
  <c r="E556" i="3"/>
  <c r="I556" i="3"/>
  <c r="M556" i="3"/>
  <c r="Q556" i="3"/>
  <c r="U556" i="3"/>
  <c r="F556" i="3"/>
  <c r="J556" i="3"/>
  <c r="N556" i="3"/>
  <c r="R556" i="3"/>
  <c r="V556" i="3"/>
  <c r="G556" i="3"/>
  <c r="K556" i="3"/>
  <c r="O556" i="3"/>
  <c r="W556" i="3"/>
  <c r="D556" i="3"/>
  <c r="H556" i="3"/>
  <c r="L556" i="3"/>
  <c r="P556" i="3"/>
  <c r="T556" i="3"/>
  <c r="E540" i="3"/>
  <c r="I540" i="3"/>
  <c r="M540" i="3"/>
  <c r="Q540" i="3"/>
  <c r="U540" i="3"/>
  <c r="F540" i="3"/>
  <c r="J540" i="3"/>
  <c r="N540" i="3"/>
  <c r="R540" i="3"/>
  <c r="V540" i="3"/>
  <c r="G540" i="3"/>
  <c r="K540" i="3"/>
  <c r="O540" i="3"/>
  <c r="W540" i="3"/>
  <c r="D540" i="3"/>
  <c r="H540" i="3"/>
  <c r="L540" i="3"/>
  <c r="P540" i="3"/>
  <c r="T540" i="3"/>
  <c r="E524" i="3"/>
  <c r="I524" i="3"/>
  <c r="M524" i="3"/>
  <c r="Q524" i="3"/>
  <c r="U524" i="3"/>
  <c r="F524" i="3"/>
  <c r="J524" i="3"/>
  <c r="N524" i="3"/>
  <c r="R524" i="3"/>
  <c r="V524" i="3"/>
  <c r="G524" i="3"/>
  <c r="K524" i="3"/>
  <c r="O524" i="3"/>
  <c r="W524" i="3"/>
  <c r="D524" i="3"/>
  <c r="H524" i="3"/>
  <c r="L524" i="3"/>
  <c r="P524" i="3"/>
  <c r="T524" i="3"/>
  <c r="E508" i="3"/>
  <c r="I508" i="3"/>
  <c r="M508" i="3"/>
  <c r="Q508" i="3"/>
  <c r="U508" i="3"/>
  <c r="F508" i="3"/>
  <c r="J508" i="3"/>
  <c r="N508" i="3"/>
  <c r="R508" i="3"/>
  <c r="V508" i="3"/>
  <c r="G508" i="3"/>
  <c r="K508" i="3"/>
  <c r="O508" i="3"/>
  <c r="W508" i="3"/>
  <c r="D508" i="3"/>
  <c r="H508" i="3"/>
  <c r="L508" i="3"/>
  <c r="P508" i="3"/>
  <c r="T508" i="3"/>
  <c r="G492" i="3"/>
  <c r="K492" i="3"/>
  <c r="O492" i="3"/>
  <c r="W492" i="3"/>
  <c r="D492" i="3"/>
  <c r="H492" i="3"/>
  <c r="L492" i="3"/>
  <c r="P492" i="3"/>
  <c r="T492" i="3"/>
  <c r="E492" i="3"/>
  <c r="I492" i="3"/>
  <c r="M492" i="3"/>
  <c r="Q492" i="3"/>
  <c r="U492" i="3"/>
  <c r="F492" i="3"/>
  <c r="J492" i="3"/>
  <c r="N492" i="3"/>
  <c r="R492" i="3"/>
  <c r="V492" i="3"/>
  <c r="G476" i="3"/>
  <c r="K476" i="3"/>
  <c r="O476" i="3"/>
  <c r="W476" i="3"/>
  <c r="D476" i="3"/>
  <c r="H476" i="3"/>
  <c r="L476" i="3"/>
  <c r="P476" i="3"/>
  <c r="T476" i="3"/>
  <c r="E476" i="3"/>
  <c r="I476" i="3"/>
  <c r="M476" i="3"/>
  <c r="Q476" i="3"/>
  <c r="U476" i="3"/>
  <c r="F476" i="3"/>
  <c r="J476" i="3"/>
  <c r="N476" i="3"/>
  <c r="R476" i="3"/>
  <c r="V476" i="3"/>
  <c r="G460" i="3"/>
  <c r="K460" i="3"/>
  <c r="O460" i="3"/>
  <c r="W460" i="3"/>
  <c r="D460" i="3"/>
  <c r="H460" i="3"/>
  <c r="L460" i="3"/>
  <c r="P460" i="3"/>
  <c r="T460" i="3"/>
  <c r="E460" i="3"/>
  <c r="I460" i="3"/>
  <c r="M460" i="3"/>
  <c r="Q460" i="3"/>
  <c r="U460" i="3"/>
  <c r="F460" i="3"/>
  <c r="J460" i="3"/>
  <c r="N460" i="3"/>
  <c r="R460" i="3"/>
  <c r="V460" i="3"/>
  <c r="G444" i="3"/>
  <c r="K444" i="3"/>
  <c r="O444" i="3"/>
  <c r="W444" i="3"/>
  <c r="D444" i="3"/>
  <c r="H444" i="3"/>
  <c r="L444" i="3"/>
  <c r="P444" i="3"/>
  <c r="T444" i="3"/>
  <c r="E444" i="3"/>
  <c r="I444" i="3"/>
  <c r="M444" i="3"/>
  <c r="Q444" i="3"/>
  <c r="U444" i="3"/>
  <c r="F444" i="3"/>
  <c r="J444" i="3"/>
  <c r="N444" i="3"/>
  <c r="R444" i="3"/>
  <c r="V444" i="3"/>
  <c r="G428" i="3"/>
  <c r="K428" i="3"/>
  <c r="O428" i="3"/>
  <c r="W428" i="3"/>
  <c r="D428" i="3"/>
  <c r="H428" i="3"/>
  <c r="L428" i="3"/>
  <c r="P428" i="3"/>
  <c r="T428" i="3"/>
  <c r="E428" i="3"/>
  <c r="I428" i="3"/>
  <c r="M428" i="3"/>
  <c r="Q428" i="3"/>
  <c r="U428" i="3"/>
  <c r="F428" i="3"/>
  <c r="J428" i="3"/>
  <c r="N428" i="3"/>
  <c r="R428" i="3"/>
  <c r="V428" i="3"/>
  <c r="G412" i="3"/>
  <c r="K412" i="3"/>
  <c r="O412" i="3"/>
  <c r="W412" i="3"/>
  <c r="D412" i="3"/>
  <c r="H412" i="3"/>
  <c r="L412" i="3"/>
  <c r="P412" i="3"/>
  <c r="T412" i="3"/>
  <c r="E412" i="3"/>
  <c r="I412" i="3"/>
  <c r="M412" i="3"/>
  <c r="Q412" i="3"/>
  <c r="U412" i="3"/>
  <c r="F412" i="3"/>
  <c r="J412" i="3"/>
  <c r="N412" i="3"/>
  <c r="R412" i="3"/>
  <c r="V412" i="3"/>
  <c r="G396" i="3"/>
  <c r="K396" i="3"/>
  <c r="O396" i="3"/>
  <c r="W396" i="3"/>
  <c r="D396" i="3"/>
  <c r="H396" i="3"/>
  <c r="L396" i="3"/>
  <c r="P396" i="3"/>
  <c r="T396" i="3"/>
  <c r="E396" i="3"/>
  <c r="I396" i="3"/>
  <c r="M396" i="3"/>
  <c r="Q396" i="3"/>
  <c r="U396" i="3"/>
  <c r="F396" i="3"/>
  <c r="J396" i="3"/>
  <c r="N396" i="3"/>
  <c r="R396" i="3"/>
  <c r="V396" i="3"/>
  <c r="G380" i="3"/>
  <c r="K380" i="3"/>
  <c r="O380" i="3"/>
  <c r="W380" i="3"/>
  <c r="D380" i="3"/>
  <c r="H380" i="3"/>
  <c r="L380" i="3"/>
  <c r="P380" i="3"/>
  <c r="T380" i="3"/>
  <c r="E380" i="3"/>
  <c r="I380" i="3"/>
  <c r="M380" i="3"/>
  <c r="Q380" i="3"/>
  <c r="U380" i="3"/>
  <c r="F380" i="3"/>
  <c r="J380" i="3"/>
  <c r="N380" i="3"/>
  <c r="R380" i="3"/>
  <c r="V380" i="3"/>
  <c r="G362" i="3"/>
  <c r="K362" i="3"/>
  <c r="O362" i="3"/>
  <c r="W362" i="3"/>
  <c r="D362" i="3"/>
  <c r="H362" i="3"/>
  <c r="L362" i="3"/>
  <c r="P362" i="3"/>
  <c r="T362" i="3"/>
  <c r="E362" i="3"/>
  <c r="I362" i="3"/>
  <c r="M362" i="3"/>
  <c r="Q362" i="3"/>
  <c r="U362" i="3"/>
  <c r="F362" i="3"/>
  <c r="J362" i="3"/>
  <c r="N362" i="3"/>
  <c r="R362" i="3"/>
  <c r="V362" i="3"/>
  <c r="G348" i="3"/>
  <c r="K348" i="3"/>
  <c r="O348" i="3"/>
  <c r="W348" i="3"/>
  <c r="D348" i="3"/>
  <c r="H348" i="3"/>
  <c r="L348" i="3"/>
  <c r="P348" i="3"/>
  <c r="T348" i="3"/>
  <c r="E348" i="3"/>
  <c r="I348" i="3"/>
  <c r="M348" i="3"/>
  <c r="Q348" i="3"/>
  <c r="U348" i="3"/>
  <c r="F348" i="3"/>
  <c r="J348" i="3"/>
  <c r="N348" i="3"/>
  <c r="R348" i="3"/>
  <c r="V348" i="3"/>
  <c r="G334" i="3"/>
  <c r="K334" i="3"/>
  <c r="O334" i="3"/>
  <c r="W334" i="3"/>
  <c r="D334" i="3"/>
  <c r="H334" i="3"/>
  <c r="L334" i="3"/>
  <c r="P334" i="3"/>
  <c r="T334" i="3"/>
  <c r="E334" i="3"/>
  <c r="I334" i="3"/>
  <c r="M334" i="3"/>
  <c r="Q334" i="3"/>
  <c r="U334" i="3"/>
  <c r="F334" i="3"/>
  <c r="J334" i="3"/>
  <c r="N334" i="3"/>
  <c r="R334" i="3"/>
  <c r="V334" i="3"/>
  <c r="G302" i="3"/>
  <c r="K302" i="3"/>
  <c r="O302" i="3"/>
  <c r="W302" i="3"/>
  <c r="D302" i="3"/>
  <c r="H302" i="3"/>
  <c r="L302" i="3"/>
  <c r="P302" i="3"/>
  <c r="T302" i="3"/>
  <c r="E302" i="3"/>
  <c r="M302" i="3"/>
  <c r="U302" i="3"/>
  <c r="F302" i="3"/>
  <c r="N302" i="3"/>
  <c r="V302" i="3"/>
  <c r="I302" i="3"/>
  <c r="Q302" i="3"/>
  <c r="J302" i="3"/>
  <c r="R302" i="3"/>
  <c r="E270" i="3"/>
  <c r="I270" i="3"/>
  <c r="M270" i="3"/>
  <c r="Q270" i="3"/>
  <c r="U270" i="3"/>
  <c r="F270" i="3"/>
  <c r="J270" i="3"/>
  <c r="N270" i="3"/>
  <c r="R270" i="3"/>
  <c r="V270" i="3"/>
  <c r="G270" i="3"/>
  <c r="K270" i="3"/>
  <c r="O270" i="3"/>
  <c r="W270" i="3"/>
  <c r="D270" i="3"/>
  <c r="H270" i="3"/>
  <c r="L270" i="3"/>
  <c r="P270" i="3"/>
  <c r="T270" i="3"/>
  <c r="E238" i="3"/>
  <c r="I238" i="3"/>
  <c r="M238" i="3"/>
  <c r="Q238" i="3"/>
  <c r="U238" i="3"/>
  <c r="F238" i="3"/>
  <c r="J238" i="3"/>
  <c r="N238" i="3"/>
  <c r="R238" i="3"/>
  <c r="V238" i="3"/>
  <c r="G238" i="3"/>
  <c r="K238" i="3"/>
  <c r="O238" i="3"/>
  <c r="W238" i="3"/>
  <c r="D238" i="3"/>
  <c r="H238" i="3"/>
  <c r="L238" i="3"/>
  <c r="P238" i="3"/>
  <c r="T238" i="3"/>
  <c r="F206" i="3"/>
  <c r="J206" i="3"/>
  <c r="N206" i="3"/>
  <c r="R206" i="3"/>
  <c r="V206" i="3"/>
  <c r="G206" i="3"/>
  <c r="K206" i="3"/>
  <c r="O206" i="3"/>
  <c r="W206" i="3"/>
  <c r="D206" i="3"/>
  <c r="H206" i="3"/>
  <c r="L206" i="3"/>
  <c r="P206" i="3"/>
  <c r="T206" i="3"/>
  <c r="E206" i="3"/>
  <c r="I206" i="3"/>
  <c r="M206" i="3"/>
  <c r="Q206" i="3"/>
  <c r="U206" i="3"/>
  <c r="F174" i="3"/>
  <c r="J174" i="3"/>
  <c r="N174" i="3"/>
  <c r="R174" i="3"/>
  <c r="V174" i="3"/>
  <c r="G174" i="3"/>
  <c r="K174" i="3"/>
  <c r="O174" i="3"/>
  <c r="W174" i="3"/>
  <c r="D174" i="3"/>
  <c r="H174" i="3"/>
  <c r="L174" i="3"/>
  <c r="P174" i="3"/>
  <c r="T174" i="3"/>
  <c r="E174" i="3"/>
  <c r="I174" i="3"/>
  <c r="M174" i="3"/>
  <c r="Q174" i="3"/>
  <c r="U174" i="3"/>
  <c r="G350" i="3"/>
  <c r="K350" i="3"/>
  <c r="O350" i="3"/>
  <c r="W350" i="3"/>
  <c r="D350" i="3"/>
  <c r="H350" i="3"/>
  <c r="L350" i="3"/>
  <c r="P350" i="3"/>
  <c r="T350" i="3"/>
  <c r="E350" i="3"/>
  <c r="I350" i="3"/>
  <c r="M350" i="3"/>
  <c r="Q350" i="3"/>
  <c r="U350" i="3"/>
  <c r="F350" i="3"/>
  <c r="J350" i="3"/>
  <c r="N350" i="3"/>
  <c r="R350" i="3"/>
  <c r="V350" i="3"/>
  <c r="G312" i="3"/>
  <c r="K312" i="3"/>
  <c r="O312" i="3"/>
  <c r="W312" i="3"/>
  <c r="D312" i="3"/>
  <c r="H312" i="3"/>
  <c r="L312" i="3"/>
  <c r="P312" i="3"/>
  <c r="T312" i="3"/>
  <c r="E312" i="3"/>
  <c r="I312" i="3"/>
  <c r="M312" i="3"/>
  <c r="Q312" i="3"/>
  <c r="U312" i="3"/>
  <c r="F312" i="3"/>
  <c r="J312" i="3"/>
  <c r="N312" i="3"/>
  <c r="R312" i="3"/>
  <c r="V312" i="3"/>
  <c r="E280" i="3"/>
  <c r="I280" i="3"/>
  <c r="M280" i="3"/>
  <c r="Q280" i="3"/>
  <c r="U280" i="3"/>
  <c r="F280" i="3"/>
  <c r="J280" i="3"/>
  <c r="N280" i="3"/>
  <c r="R280" i="3"/>
  <c r="V280" i="3"/>
  <c r="G280" i="3"/>
  <c r="K280" i="3"/>
  <c r="O280" i="3"/>
  <c r="W280" i="3"/>
  <c r="D280" i="3"/>
  <c r="H280" i="3"/>
  <c r="L280" i="3"/>
  <c r="P280" i="3"/>
  <c r="T280" i="3"/>
  <c r="E248" i="3"/>
  <c r="I248" i="3"/>
  <c r="M248" i="3"/>
  <c r="Q248" i="3"/>
  <c r="U248" i="3"/>
  <c r="F248" i="3"/>
  <c r="J248" i="3"/>
  <c r="N248" i="3"/>
  <c r="R248" i="3"/>
  <c r="V248" i="3"/>
  <c r="G248" i="3"/>
  <c r="K248" i="3"/>
  <c r="O248" i="3"/>
  <c r="W248" i="3"/>
  <c r="D248" i="3"/>
  <c r="H248" i="3"/>
  <c r="L248" i="3"/>
  <c r="P248" i="3"/>
  <c r="T248" i="3"/>
  <c r="F216" i="3"/>
  <c r="J216" i="3"/>
  <c r="N216" i="3"/>
  <c r="R216" i="3"/>
  <c r="V216" i="3"/>
  <c r="G216" i="3"/>
  <c r="K216" i="3"/>
  <c r="O216" i="3"/>
  <c r="W216" i="3"/>
  <c r="D216" i="3"/>
  <c r="H216" i="3"/>
  <c r="L216" i="3"/>
  <c r="P216" i="3"/>
  <c r="T216" i="3"/>
  <c r="E216" i="3"/>
  <c r="I216" i="3"/>
  <c r="M216" i="3"/>
  <c r="Q216" i="3"/>
  <c r="U216" i="3"/>
  <c r="F184" i="3"/>
  <c r="J184" i="3"/>
  <c r="N184" i="3"/>
  <c r="R184" i="3"/>
  <c r="V184" i="3"/>
  <c r="G184" i="3"/>
  <c r="K184" i="3"/>
  <c r="O184" i="3"/>
  <c r="W184" i="3"/>
  <c r="D184" i="3"/>
  <c r="H184" i="3"/>
  <c r="L184" i="3"/>
  <c r="P184" i="3"/>
  <c r="T184" i="3"/>
  <c r="E184" i="3"/>
  <c r="I184" i="3"/>
  <c r="M184" i="3"/>
  <c r="Q184" i="3"/>
  <c r="U184" i="3"/>
  <c r="G361" i="3"/>
  <c r="K361" i="3"/>
  <c r="O361" i="3"/>
  <c r="W361" i="3"/>
  <c r="D361" i="3"/>
  <c r="H361" i="3"/>
  <c r="L361" i="3"/>
  <c r="P361" i="3"/>
  <c r="T361" i="3"/>
  <c r="E361" i="3"/>
  <c r="I361" i="3"/>
  <c r="M361" i="3"/>
  <c r="Q361" i="3"/>
  <c r="U361" i="3"/>
  <c r="F361" i="3"/>
  <c r="J361" i="3"/>
  <c r="N361" i="3"/>
  <c r="R361" i="3"/>
  <c r="V361" i="3"/>
  <c r="G353" i="3"/>
  <c r="K353" i="3"/>
  <c r="O353" i="3"/>
  <c r="W353" i="3"/>
  <c r="D353" i="3"/>
  <c r="H353" i="3"/>
  <c r="L353" i="3"/>
  <c r="P353" i="3"/>
  <c r="T353" i="3"/>
  <c r="E353" i="3"/>
  <c r="I353" i="3"/>
  <c r="M353" i="3"/>
  <c r="Q353" i="3"/>
  <c r="U353" i="3"/>
  <c r="F353" i="3"/>
  <c r="J353" i="3"/>
  <c r="N353" i="3"/>
  <c r="R353" i="3"/>
  <c r="V353" i="3"/>
  <c r="G345" i="3"/>
  <c r="K345" i="3"/>
  <c r="O345" i="3"/>
  <c r="W345" i="3"/>
  <c r="D345" i="3"/>
  <c r="H345" i="3"/>
  <c r="L345" i="3"/>
  <c r="P345" i="3"/>
  <c r="T345" i="3"/>
  <c r="E345" i="3"/>
  <c r="I345" i="3"/>
  <c r="M345" i="3"/>
  <c r="Q345" i="3"/>
  <c r="U345" i="3"/>
  <c r="F345" i="3"/>
  <c r="J345" i="3"/>
  <c r="N345" i="3"/>
  <c r="R345" i="3"/>
  <c r="V345" i="3"/>
  <c r="G322" i="3"/>
  <c r="K322" i="3"/>
  <c r="O322" i="3"/>
  <c r="W322" i="3"/>
  <c r="D322" i="3"/>
  <c r="H322" i="3"/>
  <c r="L322" i="3"/>
  <c r="P322" i="3"/>
  <c r="T322" i="3"/>
  <c r="E322" i="3"/>
  <c r="I322" i="3"/>
  <c r="M322" i="3"/>
  <c r="Q322" i="3"/>
  <c r="U322" i="3"/>
  <c r="F322" i="3"/>
  <c r="J322" i="3"/>
  <c r="N322" i="3"/>
  <c r="R322" i="3"/>
  <c r="V322" i="3"/>
  <c r="E290" i="3"/>
  <c r="I290" i="3"/>
  <c r="M290" i="3"/>
  <c r="Q290" i="3"/>
  <c r="U290" i="3"/>
  <c r="F290" i="3"/>
  <c r="J290" i="3"/>
  <c r="N290" i="3"/>
  <c r="R290" i="3"/>
  <c r="V290" i="3"/>
  <c r="G290" i="3"/>
  <c r="K290" i="3"/>
  <c r="O290" i="3"/>
  <c r="W290" i="3"/>
  <c r="D290" i="3"/>
  <c r="H290" i="3"/>
  <c r="L290" i="3"/>
  <c r="P290" i="3"/>
  <c r="T290" i="3"/>
  <c r="E258" i="3"/>
  <c r="I258" i="3"/>
  <c r="M258" i="3"/>
  <c r="Q258" i="3"/>
  <c r="U258" i="3"/>
  <c r="F258" i="3"/>
  <c r="J258" i="3"/>
  <c r="N258" i="3"/>
  <c r="R258" i="3"/>
  <c r="V258" i="3"/>
  <c r="G258" i="3"/>
  <c r="K258" i="3"/>
  <c r="O258" i="3"/>
  <c r="W258" i="3"/>
  <c r="D258" i="3"/>
  <c r="H258" i="3"/>
  <c r="L258" i="3"/>
  <c r="P258" i="3"/>
  <c r="T258" i="3"/>
  <c r="D226" i="3"/>
  <c r="H226" i="3"/>
  <c r="L226" i="3"/>
  <c r="P226" i="3"/>
  <c r="T226" i="3"/>
  <c r="E226" i="3"/>
  <c r="I226" i="3"/>
  <c r="M226" i="3"/>
  <c r="Q226" i="3"/>
  <c r="U226" i="3"/>
  <c r="G226" i="3"/>
  <c r="O226" i="3"/>
  <c r="W226" i="3"/>
  <c r="J226" i="3"/>
  <c r="R226" i="3"/>
  <c r="K226" i="3"/>
  <c r="F226" i="3"/>
  <c r="N226" i="3"/>
  <c r="V226" i="3"/>
  <c r="F194" i="3"/>
  <c r="J194" i="3"/>
  <c r="N194" i="3"/>
  <c r="R194" i="3"/>
  <c r="V194" i="3"/>
  <c r="G194" i="3"/>
  <c r="K194" i="3"/>
  <c r="O194" i="3"/>
  <c r="W194" i="3"/>
  <c r="D194" i="3"/>
  <c r="H194" i="3"/>
  <c r="L194" i="3"/>
  <c r="P194" i="3"/>
  <c r="T194" i="3"/>
  <c r="E194" i="3"/>
  <c r="I194" i="3"/>
  <c r="M194" i="3"/>
  <c r="Q194" i="3"/>
  <c r="U194" i="3"/>
  <c r="G332" i="3"/>
  <c r="K332" i="3"/>
  <c r="O332" i="3"/>
  <c r="W332" i="3"/>
  <c r="D332" i="3"/>
  <c r="H332" i="3"/>
  <c r="L332" i="3"/>
  <c r="P332" i="3"/>
  <c r="T332" i="3"/>
  <c r="E332" i="3"/>
  <c r="I332" i="3"/>
  <c r="M332" i="3"/>
  <c r="Q332" i="3"/>
  <c r="U332" i="3"/>
  <c r="F332" i="3"/>
  <c r="J332" i="3"/>
  <c r="N332" i="3"/>
  <c r="R332" i="3"/>
  <c r="V332" i="3"/>
  <c r="G300" i="3"/>
  <c r="K300" i="3"/>
  <c r="O300" i="3"/>
  <c r="W300" i="3"/>
  <c r="D300" i="3"/>
  <c r="H300" i="3"/>
  <c r="L300" i="3"/>
  <c r="P300" i="3"/>
  <c r="T300" i="3"/>
  <c r="E300" i="3"/>
  <c r="M300" i="3"/>
  <c r="U300" i="3"/>
  <c r="F300" i="3"/>
  <c r="N300" i="3"/>
  <c r="V300" i="3"/>
  <c r="I300" i="3"/>
  <c r="Q300" i="3"/>
  <c r="J300" i="3"/>
  <c r="R300" i="3"/>
  <c r="E268" i="3"/>
  <c r="I268" i="3"/>
  <c r="M268" i="3"/>
  <c r="Q268" i="3"/>
  <c r="U268" i="3"/>
  <c r="F268" i="3"/>
  <c r="J268" i="3"/>
  <c r="N268" i="3"/>
  <c r="R268" i="3"/>
  <c r="V268" i="3"/>
  <c r="G268" i="3"/>
  <c r="K268" i="3"/>
  <c r="O268" i="3"/>
  <c r="W268" i="3"/>
  <c r="D268" i="3"/>
  <c r="H268" i="3"/>
  <c r="L268" i="3"/>
  <c r="P268" i="3"/>
  <c r="T268" i="3"/>
  <c r="E236" i="3"/>
  <c r="I236" i="3"/>
  <c r="M236" i="3"/>
  <c r="Q236" i="3"/>
  <c r="U236" i="3"/>
  <c r="F236" i="3"/>
  <c r="J236" i="3"/>
  <c r="N236" i="3"/>
  <c r="R236" i="3"/>
  <c r="V236" i="3"/>
  <c r="G236" i="3"/>
  <c r="K236" i="3"/>
  <c r="O236" i="3"/>
  <c r="W236" i="3"/>
  <c r="D236" i="3"/>
  <c r="H236" i="3"/>
  <c r="L236" i="3"/>
  <c r="P236" i="3"/>
  <c r="T236" i="3"/>
  <c r="F204" i="3"/>
  <c r="J204" i="3"/>
  <c r="N204" i="3"/>
  <c r="R204" i="3"/>
  <c r="V204" i="3"/>
  <c r="G204" i="3"/>
  <c r="K204" i="3"/>
  <c r="O204" i="3"/>
  <c r="W204" i="3"/>
  <c r="D204" i="3"/>
  <c r="H204" i="3"/>
  <c r="L204" i="3"/>
  <c r="P204" i="3"/>
  <c r="T204" i="3"/>
  <c r="E204" i="3"/>
  <c r="I204" i="3"/>
  <c r="M204" i="3"/>
  <c r="Q204" i="3"/>
  <c r="U204" i="3"/>
  <c r="G341" i="3"/>
  <c r="K341" i="3"/>
  <c r="O341" i="3"/>
  <c r="W341" i="3"/>
  <c r="D341" i="3"/>
  <c r="H341" i="3"/>
  <c r="L341" i="3"/>
  <c r="P341" i="3"/>
  <c r="T341" i="3"/>
  <c r="E341" i="3"/>
  <c r="I341" i="3"/>
  <c r="M341" i="3"/>
  <c r="Q341" i="3"/>
  <c r="U341" i="3"/>
  <c r="F341" i="3"/>
  <c r="J341" i="3"/>
  <c r="N341" i="3"/>
  <c r="R341" i="3"/>
  <c r="V341" i="3"/>
  <c r="G333" i="3"/>
  <c r="K333" i="3"/>
  <c r="O333" i="3"/>
  <c r="W333" i="3"/>
  <c r="D333" i="3"/>
  <c r="H333" i="3"/>
  <c r="L333" i="3"/>
  <c r="P333" i="3"/>
  <c r="T333" i="3"/>
  <c r="E333" i="3"/>
  <c r="I333" i="3"/>
  <c r="M333" i="3"/>
  <c r="Q333" i="3"/>
  <c r="U333" i="3"/>
  <c r="F333" i="3"/>
  <c r="J333" i="3"/>
  <c r="N333" i="3"/>
  <c r="R333" i="3"/>
  <c r="V333" i="3"/>
  <c r="G325" i="3"/>
  <c r="K325" i="3"/>
  <c r="O325" i="3"/>
  <c r="W325" i="3"/>
  <c r="D325" i="3"/>
  <c r="H325" i="3"/>
  <c r="L325" i="3"/>
  <c r="P325" i="3"/>
  <c r="T325" i="3"/>
  <c r="E325" i="3"/>
  <c r="I325" i="3"/>
  <c r="M325" i="3"/>
  <c r="Q325" i="3"/>
  <c r="U325" i="3"/>
  <c r="F325" i="3"/>
  <c r="J325" i="3"/>
  <c r="N325" i="3"/>
  <c r="R325" i="3"/>
  <c r="V325" i="3"/>
  <c r="G317" i="3"/>
  <c r="K317" i="3"/>
  <c r="O317" i="3"/>
  <c r="W317" i="3"/>
  <c r="D317" i="3"/>
  <c r="H317" i="3"/>
  <c r="L317" i="3"/>
  <c r="P317" i="3"/>
  <c r="T317" i="3"/>
  <c r="E317" i="3"/>
  <c r="I317" i="3"/>
  <c r="M317" i="3"/>
  <c r="Q317" i="3"/>
  <c r="U317" i="3"/>
  <c r="F317" i="3"/>
  <c r="J317" i="3"/>
  <c r="N317" i="3"/>
  <c r="R317" i="3"/>
  <c r="V317" i="3"/>
  <c r="G309" i="3"/>
  <c r="K309" i="3"/>
  <c r="O309" i="3"/>
  <c r="W309" i="3"/>
  <c r="D309" i="3"/>
  <c r="H309" i="3"/>
  <c r="L309" i="3"/>
  <c r="P309" i="3"/>
  <c r="T309" i="3"/>
  <c r="E309" i="3"/>
  <c r="I309" i="3"/>
  <c r="M309" i="3"/>
  <c r="Q309" i="3"/>
  <c r="U309" i="3"/>
  <c r="F309" i="3"/>
  <c r="J309" i="3"/>
  <c r="N309" i="3"/>
  <c r="R309" i="3"/>
  <c r="V309" i="3"/>
  <c r="G301" i="3"/>
  <c r="K301" i="3"/>
  <c r="O301" i="3"/>
  <c r="W301" i="3"/>
  <c r="D301" i="3"/>
  <c r="H301" i="3"/>
  <c r="L301" i="3"/>
  <c r="P301" i="3"/>
  <c r="T301" i="3"/>
  <c r="I301" i="3"/>
  <c r="Q301" i="3"/>
  <c r="J301" i="3"/>
  <c r="R301" i="3"/>
  <c r="E301" i="3"/>
  <c r="M301" i="3"/>
  <c r="U301" i="3"/>
  <c r="F301" i="3"/>
  <c r="N301" i="3"/>
  <c r="V301" i="3"/>
  <c r="E293" i="3"/>
  <c r="I293" i="3"/>
  <c r="M293" i="3"/>
  <c r="Q293" i="3"/>
  <c r="U293" i="3"/>
  <c r="F293" i="3"/>
  <c r="J293" i="3"/>
  <c r="N293" i="3"/>
  <c r="R293" i="3"/>
  <c r="V293" i="3"/>
  <c r="G293" i="3"/>
  <c r="K293" i="3"/>
  <c r="O293" i="3"/>
  <c r="W293" i="3"/>
  <c r="D293" i="3"/>
  <c r="H293" i="3"/>
  <c r="L293" i="3"/>
  <c r="P293" i="3"/>
  <c r="T293" i="3"/>
  <c r="E285" i="3"/>
  <c r="I285" i="3"/>
  <c r="M285" i="3"/>
  <c r="Q285" i="3"/>
  <c r="U285" i="3"/>
  <c r="F285" i="3"/>
  <c r="J285" i="3"/>
  <c r="N285" i="3"/>
  <c r="R285" i="3"/>
  <c r="V285" i="3"/>
  <c r="G285" i="3"/>
  <c r="K285" i="3"/>
  <c r="O285" i="3"/>
  <c r="W285" i="3"/>
  <c r="D285" i="3"/>
  <c r="H285" i="3"/>
  <c r="L285" i="3"/>
  <c r="P285" i="3"/>
  <c r="T285" i="3"/>
  <c r="E277" i="3"/>
  <c r="I277" i="3"/>
  <c r="M277" i="3"/>
  <c r="Q277" i="3"/>
  <c r="U277" i="3"/>
  <c r="F277" i="3"/>
  <c r="J277" i="3"/>
  <c r="N277" i="3"/>
  <c r="R277" i="3"/>
  <c r="V277" i="3"/>
  <c r="G277" i="3"/>
  <c r="K277" i="3"/>
  <c r="O277" i="3"/>
  <c r="W277" i="3"/>
  <c r="D277" i="3"/>
  <c r="H277" i="3"/>
  <c r="L277" i="3"/>
  <c r="P277" i="3"/>
  <c r="T277" i="3"/>
  <c r="E269" i="3"/>
  <c r="I269" i="3"/>
  <c r="M269" i="3"/>
  <c r="Q269" i="3"/>
  <c r="U269" i="3"/>
  <c r="F269" i="3"/>
  <c r="J269" i="3"/>
  <c r="N269" i="3"/>
  <c r="R269" i="3"/>
  <c r="V269" i="3"/>
  <c r="G269" i="3"/>
  <c r="K269" i="3"/>
  <c r="O269" i="3"/>
  <c r="W269" i="3"/>
  <c r="D269" i="3"/>
  <c r="H269" i="3"/>
  <c r="L269" i="3"/>
  <c r="P269" i="3"/>
  <c r="T269" i="3"/>
  <c r="E261" i="3"/>
  <c r="I261" i="3"/>
  <c r="M261" i="3"/>
  <c r="Q261" i="3"/>
  <c r="U261" i="3"/>
  <c r="F261" i="3"/>
  <c r="J261" i="3"/>
  <c r="N261" i="3"/>
  <c r="R261" i="3"/>
  <c r="V261" i="3"/>
  <c r="G261" i="3"/>
  <c r="K261" i="3"/>
  <c r="O261" i="3"/>
  <c r="W261" i="3"/>
  <c r="D261" i="3"/>
  <c r="H261" i="3"/>
  <c r="L261" i="3"/>
  <c r="P261" i="3"/>
  <c r="T261" i="3"/>
  <c r="E253" i="3"/>
  <c r="I253" i="3"/>
  <c r="M253" i="3"/>
  <c r="Q253" i="3"/>
  <c r="U253" i="3"/>
  <c r="F253" i="3"/>
  <c r="J253" i="3"/>
  <c r="N253" i="3"/>
  <c r="R253" i="3"/>
  <c r="V253" i="3"/>
  <c r="G253" i="3"/>
  <c r="K253" i="3"/>
  <c r="O253" i="3"/>
  <c r="W253" i="3"/>
  <c r="D253" i="3"/>
  <c r="H253" i="3"/>
  <c r="L253" i="3"/>
  <c r="P253" i="3"/>
  <c r="T253" i="3"/>
  <c r="E245" i="3"/>
  <c r="I245" i="3"/>
  <c r="M245" i="3"/>
  <c r="Q245" i="3"/>
  <c r="U245" i="3"/>
  <c r="F245" i="3"/>
  <c r="J245" i="3"/>
  <c r="N245" i="3"/>
  <c r="R245" i="3"/>
  <c r="V245" i="3"/>
  <c r="G245" i="3"/>
  <c r="K245" i="3"/>
  <c r="O245" i="3"/>
  <c r="W245" i="3"/>
  <c r="D245" i="3"/>
  <c r="H245" i="3"/>
  <c r="L245" i="3"/>
  <c r="P245" i="3"/>
  <c r="T245" i="3"/>
  <c r="E237" i="3"/>
  <c r="I237" i="3"/>
  <c r="M237" i="3"/>
  <c r="Q237" i="3"/>
  <c r="U237" i="3"/>
  <c r="F237" i="3"/>
  <c r="J237" i="3"/>
  <c r="N237" i="3"/>
  <c r="R237" i="3"/>
  <c r="V237" i="3"/>
  <c r="G237" i="3"/>
  <c r="K237" i="3"/>
  <c r="O237" i="3"/>
  <c r="W237" i="3"/>
  <c r="D237" i="3"/>
  <c r="H237" i="3"/>
  <c r="L237" i="3"/>
  <c r="P237" i="3"/>
  <c r="T237" i="3"/>
  <c r="D229" i="3"/>
  <c r="H229" i="3"/>
  <c r="L229" i="3"/>
  <c r="P229" i="3"/>
  <c r="T229" i="3"/>
  <c r="E229" i="3"/>
  <c r="I229" i="3"/>
  <c r="M229" i="3"/>
  <c r="Q229" i="3"/>
  <c r="U229" i="3"/>
  <c r="K229" i="3"/>
  <c r="F229" i="3"/>
  <c r="N229" i="3"/>
  <c r="V229" i="3"/>
  <c r="G229" i="3"/>
  <c r="O229" i="3"/>
  <c r="W229" i="3"/>
  <c r="J229" i="3"/>
  <c r="R229" i="3"/>
  <c r="F221" i="3"/>
  <c r="J221" i="3"/>
  <c r="N221" i="3"/>
  <c r="R221" i="3"/>
  <c r="V221" i="3"/>
  <c r="G221" i="3"/>
  <c r="K221" i="3"/>
  <c r="O221" i="3"/>
  <c r="D221" i="3"/>
  <c r="H221" i="3"/>
  <c r="L221" i="3"/>
  <c r="P221" i="3"/>
  <c r="T221" i="3"/>
  <c r="E221" i="3"/>
  <c r="I221" i="3"/>
  <c r="M221" i="3"/>
  <c r="Q221" i="3"/>
  <c r="U221" i="3"/>
  <c r="W221" i="3"/>
  <c r="F213" i="3"/>
  <c r="J213" i="3"/>
  <c r="N213" i="3"/>
  <c r="R213" i="3"/>
  <c r="V213" i="3"/>
  <c r="G213" i="3"/>
  <c r="K213" i="3"/>
  <c r="O213" i="3"/>
  <c r="W213" i="3"/>
  <c r="D213" i="3"/>
  <c r="H213" i="3"/>
  <c r="L213" i="3"/>
  <c r="P213" i="3"/>
  <c r="T213" i="3"/>
  <c r="E213" i="3"/>
  <c r="I213" i="3"/>
  <c r="M213" i="3"/>
  <c r="Q213" i="3"/>
  <c r="U213" i="3"/>
  <c r="F205" i="3"/>
  <c r="J205" i="3"/>
  <c r="N205" i="3"/>
  <c r="R205" i="3"/>
  <c r="V205" i="3"/>
  <c r="G205" i="3"/>
  <c r="K205" i="3"/>
  <c r="O205" i="3"/>
  <c r="W205" i="3"/>
  <c r="D205" i="3"/>
  <c r="H205" i="3"/>
  <c r="L205" i="3"/>
  <c r="P205" i="3"/>
  <c r="T205" i="3"/>
  <c r="E205" i="3"/>
  <c r="I205" i="3"/>
  <c r="M205" i="3"/>
  <c r="Q205" i="3"/>
  <c r="U205" i="3"/>
  <c r="F197" i="3"/>
  <c r="J197" i="3"/>
  <c r="N197" i="3"/>
  <c r="R197" i="3"/>
  <c r="V197" i="3"/>
  <c r="G197" i="3"/>
  <c r="K197" i="3"/>
  <c r="O197" i="3"/>
  <c r="W197" i="3"/>
  <c r="D197" i="3"/>
  <c r="H197" i="3"/>
  <c r="L197" i="3"/>
  <c r="P197" i="3"/>
  <c r="T197" i="3"/>
  <c r="E197" i="3"/>
  <c r="I197" i="3"/>
  <c r="M197" i="3"/>
  <c r="Q197" i="3"/>
  <c r="U197" i="3"/>
  <c r="F189" i="3"/>
  <c r="J189" i="3"/>
  <c r="N189" i="3"/>
  <c r="R189" i="3"/>
  <c r="V189" i="3"/>
  <c r="G189" i="3"/>
  <c r="K189" i="3"/>
  <c r="O189" i="3"/>
  <c r="W189" i="3"/>
  <c r="D189" i="3"/>
  <c r="H189" i="3"/>
  <c r="L189" i="3"/>
  <c r="P189" i="3"/>
  <c r="T189" i="3"/>
  <c r="E189" i="3"/>
  <c r="I189" i="3"/>
  <c r="M189" i="3"/>
  <c r="Q189" i="3"/>
  <c r="U189" i="3"/>
  <c r="F181" i="3"/>
  <c r="J181" i="3"/>
  <c r="N181" i="3"/>
  <c r="R181" i="3"/>
  <c r="V181" i="3"/>
  <c r="G181" i="3"/>
  <c r="K181" i="3"/>
  <c r="O181" i="3"/>
  <c r="W181" i="3"/>
  <c r="D181" i="3"/>
  <c r="H181" i="3"/>
  <c r="L181" i="3"/>
  <c r="P181" i="3"/>
  <c r="T181" i="3"/>
  <c r="E181" i="3"/>
  <c r="I181" i="3"/>
  <c r="M181" i="3"/>
  <c r="Q181" i="3"/>
  <c r="U181" i="3"/>
  <c r="F173" i="3"/>
  <c r="J173" i="3"/>
  <c r="N173" i="3"/>
  <c r="R173" i="3"/>
  <c r="V173" i="3"/>
  <c r="G173" i="3"/>
  <c r="K173" i="3"/>
  <c r="O173" i="3"/>
  <c r="W173" i="3"/>
  <c r="D173" i="3"/>
  <c r="H173" i="3"/>
  <c r="L173" i="3"/>
  <c r="P173" i="3"/>
  <c r="T173" i="3"/>
  <c r="E173" i="3"/>
  <c r="I173" i="3"/>
  <c r="M173" i="3"/>
  <c r="Q173" i="3"/>
  <c r="U173" i="3"/>
  <c r="G166" i="3"/>
  <c r="K166" i="3"/>
  <c r="O166" i="3"/>
  <c r="W166" i="3"/>
  <c r="D166" i="3"/>
  <c r="H166" i="3"/>
  <c r="L166" i="3"/>
  <c r="P166" i="3"/>
  <c r="T166" i="3"/>
  <c r="I166" i="3"/>
  <c r="Q166" i="3"/>
  <c r="J166" i="3"/>
  <c r="R166" i="3"/>
  <c r="E166" i="3"/>
  <c r="M166" i="3"/>
  <c r="U166" i="3"/>
  <c r="F166" i="3"/>
  <c r="N166" i="3"/>
  <c r="V166" i="3"/>
  <c r="E158" i="3"/>
  <c r="I158" i="3"/>
  <c r="M158" i="3"/>
  <c r="Q158" i="3"/>
  <c r="U158" i="3"/>
  <c r="F158" i="3"/>
  <c r="J158" i="3"/>
  <c r="N158" i="3"/>
  <c r="R158" i="3"/>
  <c r="V158" i="3"/>
  <c r="G158" i="3"/>
  <c r="K158" i="3"/>
  <c r="O158" i="3"/>
  <c r="W158" i="3"/>
  <c r="D158" i="3"/>
  <c r="H158" i="3"/>
  <c r="L158" i="3"/>
  <c r="P158" i="3"/>
  <c r="T158" i="3"/>
  <c r="E150" i="3"/>
  <c r="I150" i="3"/>
  <c r="M150" i="3"/>
  <c r="Q150" i="3"/>
  <c r="U150" i="3"/>
  <c r="F150" i="3"/>
  <c r="J150" i="3"/>
  <c r="N150" i="3"/>
  <c r="R150" i="3"/>
  <c r="V150" i="3"/>
  <c r="G150" i="3"/>
  <c r="K150" i="3"/>
  <c r="O150" i="3"/>
  <c r="W150" i="3"/>
  <c r="D150" i="3"/>
  <c r="H150" i="3"/>
  <c r="L150" i="3"/>
  <c r="P150" i="3"/>
  <c r="T150" i="3"/>
  <c r="E142" i="3"/>
  <c r="I142" i="3"/>
  <c r="M142" i="3"/>
  <c r="Q142" i="3"/>
  <c r="U142" i="3"/>
  <c r="F142" i="3"/>
  <c r="J142" i="3"/>
  <c r="N142" i="3"/>
  <c r="R142" i="3"/>
  <c r="V142" i="3"/>
  <c r="G142" i="3"/>
  <c r="K142" i="3"/>
  <c r="O142" i="3"/>
  <c r="W142" i="3"/>
  <c r="D142" i="3"/>
  <c r="H142" i="3"/>
  <c r="L142" i="3"/>
  <c r="P142" i="3"/>
  <c r="T142" i="3"/>
  <c r="E134" i="3"/>
  <c r="I134" i="3"/>
  <c r="M134" i="3"/>
  <c r="Q134" i="3"/>
  <c r="U134" i="3"/>
  <c r="F134" i="3"/>
  <c r="J134" i="3"/>
  <c r="N134" i="3"/>
  <c r="R134" i="3"/>
  <c r="V134" i="3"/>
  <c r="G134" i="3"/>
  <c r="K134" i="3"/>
  <c r="O134" i="3"/>
  <c r="W134" i="3"/>
  <c r="D134" i="3"/>
  <c r="H134" i="3"/>
  <c r="L134" i="3"/>
  <c r="P134" i="3"/>
  <c r="T134" i="3"/>
  <c r="F126" i="3"/>
  <c r="J126" i="3"/>
  <c r="N126" i="3"/>
  <c r="R126" i="3"/>
  <c r="V126" i="3"/>
  <c r="G126" i="3"/>
  <c r="K126" i="3"/>
  <c r="O126" i="3"/>
  <c r="W126" i="3"/>
  <c r="D126" i="3"/>
  <c r="L126" i="3"/>
  <c r="T126" i="3"/>
  <c r="E126" i="3"/>
  <c r="M126" i="3"/>
  <c r="U126" i="3"/>
  <c r="H126" i="3"/>
  <c r="P126" i="3"/>
  <c r="I126" i="3"/>
  <c r="Q126" i="3"/>
  <c r="D118" i="3"/>
  <c r="H118" i="3"/>
  <c r="L118" i="3"/>
  <c r="P118" i="3"/>
  <c r="T118" i="3"/>
  <c r="E118" i="3"/>
  <c r="I118" i="3"/>
  <c r="M118" i="3"/>
  <c r="Q118" i="3"/>
  <c r="U118" i="3"/>
  <c r="F118" i="3"/>
  <c r="J118" i="3"/>
  <c r="N118" i="3"/>
  <c r="R118" i="3"/>
  <c r="V118" i="3"/>
  <c r="G118" i="3"/>
  <c r="K118" i="3"/>
  <c r="O118" i="3"/>
  <c r="W118" i="3"/>
  <c r="D110" i="3"/>
  <c r="H110" i="3"/>
  <c r="L110" i="3"/>
  <c r="P110" i="3"/>
  <c r="T110" i="3"/>
  <c r="E110" i="3"/>
  <c r="I110" i="3"/>
  <c r="M110" i="3"/>
  <c r="Q110" i="3"/>
  <c r="U110" i="3"/>
  <c r="F110" i="3"/>
  <c r="J110" i="3"/>
  <c r="N110" i="3"/>
  <c r="R110" i="3"/>
  <c r="V110" i="3"/>
  <c r="G110" i="3"/>
  <c r="K110" i="3"/>
  <c r="O110" i="3"/>
  <c r="W110" i="3"/>
  <c r="E102" i="3"/>
  <c r="I102" i="3"/>
  <c r="M102" i="3"/>
  <c r="Q102" i="3"/>
  <c r="F102" i="3"/>
  <c r="J102" i="3"/>
  <c r="N102" i="3"/>
  <c r="R102" i="3"/>
  <c r="D102" i="3"/>
  <c r="L102" i="3"/>
  <c r="T102" i="3"/>
  <c r="G102" i="3"/>
  <c r="O102" i="3"/>
  <c r="U102" i="3"/>
  <c r="H102" i="3"/>
  <c r="P102" i="3"/>
  <c r="V102" i="3"/>
  <c r="K102" i="3"/>
  <c r="W102" i="3"/>
  <c r="E94" i="3"/>
  <c r="I94" i="3"/>
  <c r="M94" i="3"/>
  <c r="Q94" i="3"/>
  <c r="U94" i="3"/>
  <c r="F94" i="3"/>
  <c r="J94" i="3"/>
  <c r="N94" i="3"/>
  <c r="R94" i="3"/>
  <c r="V94" i="3"/>
  <c r="D94" i="3"/>
  <c r="L94" i="3"/>
  <c r="T94" i="3"/>
  <c r="G94" i="3"/>
  <c r="O94" i="3"/>
  <c r="W94" i="3"/>
  <c r="H94" i="3"/>
  <c r="P94" i="3"/>
  <c r="K94" i="3"/>
  <c r="G86" i="3"/>
  <c r="K86" i="3"/>
  <c r="O86" i="3"/>
  <c r="W86" i="3"/>
  <c r="D86" i="3"/>
  <c r="H86" i="3"/>
  <c r="L86" i="3"/>
  <c r="P86" i="3"/>
  <c r="T86" i="3"/>
  <c r="E86" i="3"/>
  <c r="I86" i="3"/>
  <c r="M86" i="3"/>
  <c r="Q86" i="3"/>
  <c r="U86" i="3"/>
  <c r="F86" i="3"/>
  <c r="J86" i="3"/>
  <c r="N86" i="3"/>
  <c r="R86" i="3"/>
  <c r="V86" i="3"/>
  <c r="G78" i="3"/>
  <c r="K78" i="3"/>
  <c r="O78" i="3"/>
  <c r="W78" i="3"/>
  <c r="D78" i="3"/>
  <c r="H78" i="3"/>
  <c r="L78" i="3"/>
  <c r="P78" i="3"/>
  <c r="T78" i="3"/>
  <c r="E78" i="3"/>
  <c r="I78" i="3"/>
  <c r="M78" i="3"/>
  <c r="Q78" i="3"/>
  <c r="U78" i="3"/>
  <c r="F78" i="3"/>
  <c r="J78" i="3"/>
  <c r="N78" i="3"/>
  <c r="R78" i="3"/>
  <c r="V78" i="3"/>
  <c r="F70" i="3"/>
  <c r="J70" i="3"/>
  <c r="N70" i="3"/>
  <c r="R70" i="3"/>
  <c r="V70" i="3"/>
  <c r="G70" i="3"/>
  <c r="K70" i="3"/>
  <c r="O70" i="3"/>
  <c r="W70" i="3"/>
  <c r="E70" i="3"/>
  <c r="M70" i="3"/>
  <c r="U70" i="3"/>
  <c r="H70" i="3"/>
  <c r="P70" i="3"/>
  <c r="I70" i="3"/>
  <c r="Q70" i="3"/>
  <c r="D70" i="3"/>
  <c r="L70" i="3"/>
  <c r="T70" i="3"/>
  <c r="F62" i="3"/>
  <c r="J62" i="3"/>
  <c r="N62" i="3"/>
  <c r="R62" i="3"/>
  <c r="V62" i="3"/>
  <c r="G62" i="3"/>
  <c r="K62" i="3"/>
  <c r="O62" i="3"/>
  <c r="W62" i="3"/>
  <c r="E62" i="3"/>
  <c r="M62" i="3"/>
  <c r="U62" i="3"/>
  <c r="H62" i="3"/>
  <c r="P62" i="3"/>
  <c r="I62" i="3"/>
  <c r="Q62" i="3"/>
  <c r="D62" i="3"/>
  <c r="L62" i="3"/>
  <c r="T62" i="3"/>
  <c r="D54" i="3"/>
  <c r="H54" i="3"/>
  <c r="L54" i="3"/>
  <c r="P54" i="3"/>
  <c r="T54" i="3"/>
  <c r="E54" i="3"/>
  <c r="I54" i="3"/>
  <c r="M54" i="3"/>
  <c r="Q54" i="3"/>
  <c r="U54" i="3"/>
  <c r="F54" i="3"/>
  <c r="J54" i="3"/>
  <c r="N54" i="3"/>
  <c r="R54" i="3"/>
  <c r="V54" i="3"/>
  <c r="G54" i="3"/>
  <c r="K54" i="3"/>
  <c r="O54" i="3"/>
  <c r="W54" i="3"/>
  <c r="D46" i="3"/>
  <c r="H46" i="3"/>
  <c r="L46" i="3"/>
  <c r="P46" i="3"/>
  <c r="T46" i="3"/>
  <c r="E46" i="3"/>
  <c r="I46" i="3"/>
  <c r="M46" i="3"/>
  <c r="Q46" i="3"/>
  <c r="U46" i="3"/>
  <c r="F46" i="3"/>
  <c r="N46" i="3"/>
  <c r="V46" i="3"/>
  <c r="G46" i="3"/>
  <c r="O46" i="3"/>
  <c r="W46" i="3"/>
  <c r="J46" i="3"/>
  <c r="R46" i="3"/>
  <c r="K46" i="3"/>
  <c r="D38" i="3"/>
  <c r="H38" i="3"/>
  <c r="L38" i="3"/>
  <c r="P38" i="3"/>
  <c r="T38" i="3"/>
  <c r="E38" i="3"/>
  <c r="I38" i="3"/>
  <c r="M38" i="3"/>
  <c r="Q38" i="3"/>
  <c r="U38" i="3"/>
  <c r="F38" i="3"/>
  <c r="N38" i="3"/>
  <c r="V38" i="3"/>
  <c r="G38" i="3"/>
  <c r="O38" i="3"/>
  <c r="W38" i="3"/>
  <c r="J38" i="3"/>
  <c r="R38" i="3"/>
  <c r="K38" i="3"/>
  <c r="F30" i="3"/>
  <c r="J30" i="3"/>
  <c r="N30" i="3"/>
  <c r="R30" i="3"/>
  <c r="V30" i="3"/>
  <c r="G30" i="3"/>
  <c r="K30" i="3"/>
  <c r="O30" i="3"/>
  <c r="W30" i="3"/>
  <c r="D30" i="3"/>
  <c r="H30" i="3"/>
  <c r="L30" i="3"/>
  <c r="P30" i="3"/>
  <c r="T30" i="3"/>
  <c r="E30" i="3"/>
  <c r="I30" i="3"/>
  <c r="M30" i="3"/>
  <c r="Q30" i="3"/>
  <c r="U30" i="3"/>
  <c r="E22" i="3"/>
  <c r="I22" i="3"/>
  <c r="M22" i="3"/>
  <c r="Q22" i="3"/>
  <c r="U22" i="3"/>
  <c r="F22" i="3"/>
  <c r="J22" i="3"/>
  <c r="N22" i="3"/>
  <c r="R22" i="3"/>
  <c r="V22" i="3"/>
  <c r="D22" i="3"/>
  <c r="L22" i="3"/>
  <c r="T22" i="3"/>
  <c r="G22" i="3"/>
  <c r="O22" i="3"/>
  <c r="W22" i="3"/>
  <c r="H22" i="3"/>
  <c r="P22" i="3"/>
  <c r="K22" i="3"/>
  <c r="G14" i="3"/>
  <c r="K14" i="3"/>
  <c r="O14" i="3"/>
  <c r="W14" i="3"/>
  <c r="E14" i="3"/>
  <c r="J14" i="3"/>
  <c r="P14" i="3"/>
  <c r="U14" i="3"/>
  <c r="F14" i="3"/>
  <c r="L14" i="3"/>
  <c r="Q14" i="3"/>
  <c r="V14" i="3"/>
  <c r="H14" i="3"/>
  <c r="M14" i="3"/>
  <c r="R14" i="3"/>
  <c r="D14" i="3"/>
  <c r="I14" i="3"/>
  <c r="N14" i="3"/>
  <c r="T14" i="3"/>
  <c r="D6" i="3"/>
  <c r="H6" i="3"/>
  <c r="L6" i="3"/>
  <c r="P6" i="3"/>
  <c r="T6" i="3"/>
  <c r="G6" i="3"/>
  <c r="K6" i="3"/>
  <c r="O6" i="3"/>
  <c r="W6" i="3"/>
  <c r="E6" i="3"/>
  <c r="M6" i="3"/>
  <c r="U6" i="3"/>
  <c r="F6" i="3"/>
  <c r="N6" i="3"/>
  <c r="V6" i="3"/>
  <c r="I6" i="3"/>
  <c r="Q6" i="3"/>
  <c r="J6" i="3"/>
  <c r="R6" i="3"/>
  <c r="G167" i="3"/>
  <c r="K167" i="3"/>
  <c r="O167" i="3"/>
  <c r="W167" i="3"/>
  <c r="D167" i="3"/>
  <c r="H167" i="3"/>
  <c r="L167" i="3"/>
  <c r="P167" i="3"/>
  <c r="T167" i="3"/>
  <c r="E167" i="3"/>
  <c r="M167" i="3"/>
  <c r="U167" i="3"/>
  <c r="F167" i="3"/>
  <c r="N167" i="3"/>
  <c r="V167" i="3"/>
  <c r="I167" i="3"/>
  <c r="Q167" i="3"/>
  <c r="J167" i="3"/>
  <c r="R167" i="3"/>
  <c r="G159" i="3"/>
  <c r="K159" i="3"/>
  <c r="O159" i="3"/>
  <c r="W159" i="3"/>
  <c r="D159" i="3"/>
  <c r="H159" i="3"/>
  <c r="L159" i="3"/>
  <c r="P159" i="3"/>
  <c r="T159" i="3"/>
  <c r="E159" i="3"/>
  <c r="M159" i="3"/>
  <c r="U159" i="3"/>
  <c r="F159" i="3"/>
  <c r="N159" i="3"/>
  <c r="V159" i="3"/>
  <c r="I159" i="3"/>
  <c r="Q159" i="3"/>
  <c r="J159" i="3"/>
  <c r="R159" i="3"/>
  <c r="E151" i="3"/>
  <c r="I151" i="3"/>
  <c r="M151" i="3"/>
  <c r="Q151" i="3"/>
  <c r="U151" i="3"/>
  <c r="F151" i="3"/>
  <c r="J151" i="3"/>
  <c r="N151" i="3"/>
  <c r="R151" i="3"/>
  <c r="V151" i="3"/>
  <c r="G151" i="3"/>
  <c r="K151" i="3"/>
  <c r="O151" i="3"/>
  <c r="W151" i="3"/>
  <c r="D151" i="3"/>
  <c r="H151" i="3"/>
  <c r="L151" i="3"/>
  <c r="P151" i="3"/>
  <c r="T151" i="3"/>
  <c r="E143" i="3"/>
  <c r="I143" i="3"/>
  <c r="M143" i="3"/>
  <c r="Q143" i="3"/>
  <c r="U143" i="3"/>
  <c r="F143" i="3"/>
  <c r="J143" i="3"/>
  <c r="N143" i="3"/>
  <c r="R143" i="3"/>
  <c r="V143" i="3"/>
  <c r="G143" i="3"/>
  <c r="K143" i="3"/>
  <c r="O143" i="3"/>
  <c r="W143" i="3"/>
  <c r="D143" i="3"/>
  <c r="H143" i="3"/>
  <c r="L143" i="3"/>
  <c r="P143" i="3"/>
  <c r="T143" i="3"/>
  <c r="E135" i="3"/>
  <c r="I135" i="3"/>
  <c r="M135" i="3"/>
  <c r="Q135" i="3"/>
  <c r="U135" i="3"/>
  <c r="F135" i="3"/>
  <c r="J135" i="3"/>
  <c r="N135" i="3"/>
  <c r="R135" i="3"/>
  <c r="V135" i="3"/>
  <c r="G135" i="3"/>
  <c r="K135" i="3"/>
  <c r="O135" i="3"/>
  <c r="W135" i="3"/>
  <c r="D135" i="3"/>
  <c r="H135" i="3"/>
  <c r="L135" i="3"/>
  <c r="P135" i="3"/>
  <c r="T135" i="3"/>
  <c r="F127" i="3"/>
  <c r="J127" i="3"/>
  <c r="N127" i="3"/>
  <c r="R127" i="3"/>
  <c r="V127" i="3"/>
  <c r="G127" i="3"/>
  <c r="K127" i="3"/>
  <c r="O127" i="3"/>
  <c r="W127" i="3"/>
  <c r="H127" i="3"/>
  <c r="P127" i="3"/>
  <c r="I127" i="3"/>
  <c r="Q127" i="3"/>
  <c r="D127" i="3"/>
  <c r="L127" i="3"/>
  <c r="T127" i="3"/>
  <c r="E127" i="3"/>
  <c r="M127" i="3"/>
  <c r="U127" i="3"/>
  <c r="D119" i="3"/>
  <c r="E119" i="3"/>
  <c r="F119" i="3"/>
  <c r="J119" i="3"/>
  <c r="N119" i="3"/>
  <c r="R119" i="3"/>
  <c r="V119" i="3"/>
  <c r="G119" i="3"/>
  <c r="K119" i="3"/>
  <c r="O119" i="3"/>
  <c r="W119" i="3"/>
  <c r="H119" i="3"/>
  <c r="P119" i="3"/>
  <c r="I119" i="3"/>
  <c r="Q119" i="3"/>
  <c r="L119" i="3"/>
  <c r="T119" i="3"/>
  <c r="M119" i="3"/>
  <c r="U119" i="3"/>
  <c r="D111" i="3"/>
  <c r="H111" i="3"/>
  <c r="L111" i="3"/>
  <c r="P111" i="3"/>
  <c r="T111" i="3"/>
  <c r="E111" i="3"/>
  <c r="I111" i="3"/>
  <c r="M111" i="3"/>
  <c r="Q111" i="3"/>
  <c r="U111" i="3"/>
  <c r="F111" i="3"/>
  <c r="J111" i="3"/>
  <c r="N111" i="3"/>
  <c r="R111" i="3"/>
  <c r="V111" i="3"/>
  <c r="G111" i="3"/>
  <c r="K111" i="3"/>
  <c r="O111" i="3"/>
  <c r="W111" i="3"/>
  <c r="D103" i="3"/>
  <c r="H103" i="3"/>
  <c r="L103" i="3"/>
  <c r="P103" i="3"/>
  <c r="T103" i="3"/>
  <c r="E103" i="3"/>
  <c r="I103" i="3"/>
  <c r="M103" i="3"/>
  <c r="Q103" i="3"/>
  <c r="U103" i="3"/>
  <c r="F103" i="3"/>
  <c r="J103" i="3"/>
  <c r="N103" i="3"/>
  <c r="R103" i="3"/>
  <c r="V103" i="3"/>
  <c r="G103" i="3"/>
  <c r="K103" i="3"/>
  <c r="O103" i="3"/>
  <c r="W103" i="3"/>
  <c r="E95" i="3"/>
  <c r="I95" i="3"/>
  <c r="M95" i="3"/>
  <c r="Q95" i="3"/>
  <c r="U95" i="3"/>
  <c r="F95" i="3"/>
  <c r="J95" i="3"/>
  <c r="N95" i="3"/>
  <c r="R95" i="3"/>
  <c r="V95" i="3"/>
  <c r="H95" i="3"/>
  <c r="P95" i="3"/>
  <c r="K95" i="3"/>
  <c r="D95" i="3"/>
  <c r="L95" i="3"/>
  <c r="T95" i="3"/>
  <c r="G95" i="3"/>
  <c r="O95" i="3"/>
  <c r="W95" i="3"/>
  <c r="G87" i="3"/>
  <c r="K87" i="3"/>
  <c r="O87" i="3"/>
  <c r="W87" i="3"/>
  <c r="D87" i="3"/>
  <c r="H87" i="3"/>
  <c r="L87" i="3"/>
  <c r="P87" i="3"/>
  <c r="T87" i="3"/>
  <c r="E87" i="3"/>
  <c r="I87" i="3"/>
  <c r="M87" i="3"/>
  <c r="Q87" i="3"/>
  <c r="U87" i="3"/>
  <c r="F87" i="3"/>
  <c r="J87" i="3"/>
  <c r="N87" i="3"/>
  <c r="R87" i="3"/>
  <c r="V87" i="3"/>
  <c r="G79" i="3"/>
  <c r="K79" i="3"/>
  <c r="O79" i="3"/>
  <c r="W79" i="3"/>
  <c r="D79" i="3"/>
  <c r="H79" i="3"/>
  <c r="L79" i="3"/>
  <c r="P79" i="3"/>
  <c r="T79" i="3"/>
  <c r="E79" i="3"/>
  <c r="I79" i="3"/>
  <c r="M79" i="3"/>
  <c r="Q79" i="3"/>
  <c r="U79" i="3"/>
  <c r="F79" i="3"/>
  <c r="J79" i="3"/>
  <c r="N79" i="3"/>
  <c r="R79" i="3"/>
  <c r="V79" i="3"/>
  <c r="F71" i="3"/>
  <c r="J71" i="3"/>
  <c r="N71" i="3"/>
  <c r="R71" i="3"/>
  <c r="V71" i="3"/>
  <c r="G71" i="3"/>
  <c r="K71" i="3"/>
  <c r="O71" i="3"/>
  <c r="W71" i="3"/>
  <c r="I71" i="3"/>
  <c r="Q71" i="3"/>
  <c r="D71" i="3"/>
  <c r="L71" i="3"/>
  <c r="T71" i="3"/>
  <c r="E71" i="3"/>
  <c r="M71" i="3"/>
  <c r="U71" i="3"/>
  <c r="H71" i="3"/>
  <c r="P71" i="3"/>
  <c r="F63" i="3"/>
  <c r="J63" i="3"/>
  <c r="N63" i="3"/>
  <c r="R63" i="3"/>
  <c r="V63" i="3"/>
  <c r="G63" i="3"/>
  <c r="K63" i="3"/>
  <c r="O63" i="3"/>
  <c r="W63" i="3"/>
  <c r="I63" i="3"/>
  <c r="Q63" i="3"/>
  <c r="D63" i="3"/>
  <c r="L63" i="3"/>
  <c r="T63" i="3"/>
  <c r="E63" i="3"/>
  <c r="M63" i="3"/>
  <c r="U63" i="3"/>
  <c r="H63" i="3"/>
  <c r="P63" i="3"/>
  <c r="D55" i="3"/>
  <c r="H55" i="3"/>
  <c r="L55" i="3"/>
  <c r="P55" i="3"/>
  <c r="T55" i="3"/>
  <c r="E55" i="3"/>
  <c r="I55" i="3"/>
  <c r="M55" i="3"/>
  <c r="Q55" i="3"/>
  <c r="U55" i="3"/>
  <c r="F55" i="3"/>
  <c r="J55" i="3"/>
  <c r="N55" i="3"/>
  <c r="R55" i="3"/>
  <c r="V55" i="3"/>
  <c r="G55" i="3"/>
  <c r="K55" i="3"/>
  <c r="O55" i="3"/>
  <c r="W55" i="3"/>
  <c r="D47" i="3"/>
  <c r="H47" i="3"/>
  <c r="L47" i="3"/>
  <c r="P47" i="3"/>
  <c r="T47" i="3"/>
  <c r="E47" i="3"/>
  <c r="I47" i="3"/>
  <c r="M47" i="3"/>
  <c r="Q47" i="3"/>
  <c r="U47" i="3"/>
  <c r="J47" i="3"/>
  <c r="R47" i="3"/>
  <c r="K47" i="3"/>
  <c r="F47" i="3"/>
  <c r="N47" i="3"/>
  <c r="V47" i="3"/>
  <c r="G47" i="3"/>
  <c r="O47" i="3"/>
  <c r="W47" i="3"/>
  <c r="D39" i="3"/>
  <c r="H39" i="3"/>
  <c r="L39" i="3"/>
  <c r="P39" i="3"/>
  <c r="T39" i="3"/>
  <c r="E39" i="3"/>
  <c r="I39" i="3"/>
  <c r="M39" i="3"/>
  <c r="Q39" i="3"/>
  <c r="U39" i="3"/>
  <c r="J39" i="3"/>
  <c r="R39" i="3"/>
  <c r="K39" i="3"/>
  <c r="F39" i="3"/>
  <c r="N39" i="3"/>
  <c r="V39" i="3"/>
  <c r="G39" i="3"/>
  <c r="O39" i="3"/>
  <c r="W39" i="3"/>
  <c r="F31" i="3"/>
  <c r="J31" i="3"/>
  <c r="N31" i="3"/>
  <c r="R31" i="3"/>
  <c r="V31" i="3"/>
  <c r="G31" i="3"/>
  <c r="K31" i="3"/>
  <c r="O31" i="3"/>
  <c r="W31" i="3"/>
  <c r="D31" i="3"/>
  <c r="H31" i="3"/>
  <c r="L31" i="3"/>
  <c r="P31" i="3"/>
  <c r="T31" i="3"/>
  <c r="E31" i="3"/>
  <c r="I31" i="3"/>
  <c r="M31" i="3"/>
  <c r="Q31" i="3"/>
  <c r="U31" i="3"/>
  <c r="E23" i="3"/>
  <c r="I23" i="3"/>
  <c r="M23" i="3"/>
  <c r="Q23" i="3"/>
  <c r="U23" i="3"/>
  <c r="F23" i="3"/>
  <c r="J23" i="3"/>
  <c r="H23" i="3"/>
  <c r="O23" i="3"/>
  <c r="T23" i="3"/>
  <c r="K23" i="3"/>
  <c r="P23" i="3"/>
  <c r="V23" i="3"/>
  <c r="D23" i="3"/>
  <c r="L23" i="3"/>
  <c r="R23" i="3"/>
  <c r="W23" i="3"/>
  <c r="G23" i="3"/>
  <c r="N23" i="3"/>
  <c r="G15" i="3"/>
  <c r="K15" i="3"/>
  <c r="O15" i="3"/>
  <c r="W15" i="3"/>
  <c r="F15" i="3"/>
  <c r="D15" i="3"/>
  <c r="I15" i="3"/>
  <c r="N15" i="3"/>
  <c r="T15" i="3"/>
  <c r="E15" i="3"/>
  <c r="J15" i="3"/>
  <c r="P15" i="3"/>
  <c r="U15" i="3"/>
  <c r="H15" i="3"/>
  <c r="R15" i="3"/>
  <c r="L15" i="3"/>
  <c r="V15" i="3"/>
  <c r="M15" i="3"/>
  <c r="Q15" i="3"/>
  <c r="D7" i="3"/>
  <c r="H7" i="3"/>
  <c r="L7" i="3"/>
  <c r="P7" i="3"/>
  <c r="T7" i="3"/>
  <c r="G7" i="3"/>
  <c r="K7" i="3"/>
  <c r="O7" i="3"/>
  <c r="W7" i="3"/>
  <c r="I7" i="3"/>
  <c r="Q7" i="3"/>
  <c r="J7" i="3"/>
  <c r="R7" i="3"/>
  <c r="E7" i="3"/>
  <c r="M7" i="3"/>
  <c r="U7" i="3"/>
  <c r="F7" i="3"/>
  <c r="N7" i="3"/>
  <c r="V7" i="3"/>
  <c r="G1446" i="3"/>
  <c r="K1446" i="3"/>
  <c r="O1446" i="3"/>
  <c r="W1446" i="3"/>
  <c r="D1446" i="3"/>
  <c r="H1446" i="3"/>
  <c r="L1446" i="3"/>
  <c r="P1446" i="3"/>
  <c r="T1446" i="3"/>
  <c r="E1446" i="3"/>
  <c r="I1446" i="3"/>
  <c r="M1446" i="3"/>
  <c r="Q1446" i="3"/>
  <c r="U1446" i="3"/>
  <c r="F1446" i="3"/>
  <c r="J1446" i="3"/>
  <c r="N1446" i="3"/>
  <c r="R1446" i="3"/>
  <c r="V1446" i="3"/>
  <c r="G1410" i="3"/>
  <c r="K1410" i="3"/>
  <c r="O1410" i="3"/>
  <c r="W1410" i="3"/>
  <c r="D1410" i="3"/>
  <c r="H1410" i="3"/>
  <c r="L1410" i="3"/>
  <c r="P1410" i="3"/>
  <c r="T1410" i="3"/>
  <c r="E1410" i="3"/>
  <c r="I1410" i="3"/>
  <c r="M1410" i="3"/>
  <c r="Q1410" i="3"/>
  <c r="U1410" i="3"/>
  <c r="F1410" i="3"/>
  <c r="J1410" i="3"/>
  <c r="N1410" i="3"/>
  <c r="R1410" i="3"/>
  <c r="V1410" i="3"/>
  <c r="G1431" i="3"/>
  <c r="K1431" i="3"/>
  <c r="O1431" i="3"/>
  <c r="W1431" i="3"/>
  <c r="D1431" i="3"/>
  <c r="H1431" i="3"/>
  <c r="L1431" i="3"/>
  <c r="P1431" i="3"/>
  <c r="T1431" i="3"/>
  <c r="E1431" i="3"/>
  <c r="I1431" i="3"/>
  <c r="M1431" i="3"/>
  <c r="Q1431" i="3"/>
  <c r="U1431" i="3"/>
  <c r="F1431" i="3"/>
  <c r="J1431" i="3"/>
  <c r="N1431" i="3"/>
  <c r="R1431" i="3"/>
  <c r="V1431" i="3"/>
  <c r="G1399" i="3"/>
  <c r="K1399" i="3"/>
  <c r="O1399" i="3"/>
  <c r="W1399" i="3"/>
  <c r="D1399" i="3"/>
  <c r="H1399" i="3"/>
  <c r="L1399" i="3"/>
  <c r="P1399" i="3"/>
  <c r="T1399" i="3"/>
  <c r="E1399" i="3"/>
  <c r="I1399" i="3"/>
  <c r="M1399" i="3"/>
  <c r="Q1399" i="3"/>
  <c r="U1399" i="3"/>
  <c r="F1399" i="3"/>
  <c r="J1399" i="3"/>
  <c r="N1399" i="3"/>
  <c r="R1399" i="3"/>
  <c r="V1399" i="3"/>
  <c r="G1367" i="3"/>
  <c r="K1367" i="3"/>
  <c r="O1367" i="3"/>
  <c r="W1367" i="3"/>
  <c r="D1367" i="3"/>
  <c r="H1367" i="3"/>
  <c r="L1367" i="3"/>
  <c r="P1367" i="3"/>
  <c r="T1367" i="3"/>
  <c r="E1367" i="3"/>
  <c r="I1367" i="3"/>
  <c r="M1367" i="3"/>
  <c r="Q1367" i="3"/>
  <c r="U1367" i="3"/>
  <c r="F1367" i="3"/>
  <c r="J1367" i="3"/>
  <c r="N1367" i="3"/>
  <c r="R1367" i="3"/>
  <c r="V1367" i="3"/>
  <c r="G1448" i="3"/>
  <c r="K1448" i="3"/>
  <c r="O1448" i="3"/>
  <c r="W1448" i="3"/>
  <c r="D1448" i="3"/>
  <c r="H1448" i="3"/>
  <c r="L1448" i="3"/>
  <c r="P1448" i="3"/>
  <c r="T1448" i="3"/>
  <c r="E1448" i="3"/>
  <c r="I1448" i="3"/>
  <c r="M1448" i="3"/>
  <c r="Q1448" i="3"/>
  <c r="U1448" i="3"/>
  <c r="F1448" i="3"/>
  <c r="J1448" i="3"/>
  <c r="N1448" i="3"/>
  <c r="R1448" i="3"/>
  <c r="V1448" i="3"/>
  <c r="G1432" i="3"/>
  <c r="K1432" i="3"/>
  <c r="O1432" i="3"/>
  <c r="W1432" i="3"/>
  <c r="D1432" i="3"/>
  <c r="H1432" i="3"/>
  <c r="L1432" i="3"/>
  <c r="P1432" i="3"/>
  <c r="T1432" i="3"/>
  <c r="E1432" i="3"/>
  <c r="I1432" i="3"/>
  <c r="M1432" i="3"/>
  <c r="Q1432" i="3"/>
  <c r="U1432" i="3"/>
  <c r="F1432" i="3"/>
  <c r="J1432" i="3"/>
  <c r="N1432" i="3"/>
  <c r="R1432" i="3"/>
  <c r="V1432" i="3"/>
  <c r="G1416" i="3"/>
  <c r="K1416" i="3"/>
  <c r="O1416" i="3"/>
  <c r="W1416" i="3"/>
  <c r="D1416" i="3"/>
  <c r="H1416" i="3"/>
  <c r="L1416" i="3"/>
  <c r="P1416" i="3"/>
  <c r="T1416" i="3"/>
  <c r="E1416" i="3"/>
  <c r="I1416" i="3"/>
  <c r="M1416" i="3"/>
  <c r="Q1416" i="3"/>
  <c r="U1416" i="3"/>
  <c r="F1416" i="3"/>
  <c r="J1416" i="3"/>
  <c r="N1416" i="3"/>
  <c r="R1416" i="3"/>
  <c r="V1416" i="3"/>
  <c r="G1400" i="3"/>
  <c r="K1400" i="3"/>
  <c r="O1400" i="3"/>
  <c r="W1400" i="3"/>
  <c r="D1400" i="3"/>
  <c r="H1400" i="3"/>
  <c r="L1400" i="3"/>
  <c r="P1400" i="3"/>
  <c r="T1400" i="3"/>
  <c r="E1400" i="3"/>
  <c r="I1400" i="3"/>
  <c r="M1400" i="3"/>
  <c r="Q1400" i="3"/>
  <c r="U1400" i="3"/>
  <c r="F1400" i="3"/>
  <c r="J1400" i="3"/>
  <c r="N1400" i="3"/>
  <c r="R1400" i="3"/>
  <c r="V1400" i="3"/>
  <c r="G1384" i="3"/>
  <c r="K1384" i="3"/>
  <c r="O1384" i="3"/>
  <c r="W1384" i="3"/>
  <c r="D1384" i="3"/>
  <c r="H1384" i="3"/>
  <c r="L1384" i="3"/>
  <c r="P1384" i="3"/>
  <c r="T1384" i="3"/>
  <c r="E1384" i="3"/>
  <c r="I1384" i="3"/>
  <c r="M1384" i="3"/>
  <c r="Q1384" i="3"/>
  <c r="U1384" i="3"/>
  <c r="F1384" i="3"/>
  <c r="J1384" i="3"/>
  <c r="N1384" i="3"/>
  <c r="R1384" i="3"/>
  <c r="V1384" i="3"/>
  <c r="G1368" i="3"/>
  <c r="K1368" i="3"/>
  <c r="O1368" i="3"/>
  <c r="W1368" i="3"/>
  <c r="D1368" i="3"/>
  <c r="H1368" i="3"/>
  <c r="L1368" i="3"/>
  <c r="P1368" i="3"/>
  <c r="T1368" i="3"/>
  <c r="E1368" i="3"/>
  <c r="I1368" i="3"/>
  <c r="M1368" i="3"/>
  <c r="Q1368" i="3"/>
  <c r="U1368" i="3"/>
  <c r="F1368" i="3"/>
  <c r="J1368" i="3"/>
  <c r="N1368" i="3"/>
  <c r="R1368" i="3"/>
  <c r="V1368" i="3"/>
  <c r="G1352" i="3"/>
  <c r="K1352" i="3"/>
  <c r="O1352" i="3"/>
  <c r="W1352" i="3"/>
  <c r="D1352" i="3"/>
  <c r="H1352" i="3"/>
  <c r="L1352" i="3"/>
  <c r="P1352" i="3"/>
  <c r="T1352" i="3"/>
  <c r="E1352" i="3"/>
  <c r="I1352" i="3"/>
  <c r="M1352" i="3"/>
  <c r="Q1352" i="3"/>
  <c r="U1352" i="3"/>
  <c r="F1352" i="3"/>
  <c r="J1352" i="3"/>
  <c r="N1352" i="3"/>
  <c r="R1352" i="3"/>
  <c r="V1352" i="3"/>
  <c r="G1336" i="3"/>
  <c r="K1336" i="3"/>
  <c r="O1336" i="3"/>
  <c r="W1336" i="3"/>
  <c r="D1336" i="3"/>
  <c r="H1336" i="3"/>
  <c r="L1336" i="3"/>
  <c r="P1336" i="3"/>
  <c r="T1336" i="3"/>
  <c r="E1336" i="3"/>
  <c r="I1336" i="3"/>
  <c r="M1336" i="3"/>
  <c r="Q1336" i="3"/>
  <c r="U1336" i="3"/>
  <c r="F1336" i="3"/>
  <c r="J1336" i="3"/>
  <c r="N1336" i="3"/>
  <c r="R1336" i="3"/>
  <c r="V1336" i="3"/>
  <c r="G1320" i="3"/>
  <c r="K1320" i="3"/>
  <c r="O1320" i="3"/>
  <c r="W1320" i="3"/>
  <c r="D1320" i="3"/>
  <c r="H1320" i="3"/>
  <c r="L1320" i="3"/>
  <c r="P1320" i="3"/>
  <c r="T1320" i="3"/>
  <c r="E1320" i="3"/>
  <c r="I1320" i="3"/>
  <c r="M1320" i="3"/>
  <c r="Q1320" i="3"/>
  <c r="U1320" i="3"/>
  <c r="F1320" i="3"/>
  <c r="J1320" i="3"/>
  <c r="N1320" i="3"/>
  <c r="R1320" i="3"/>
  <c r="V1320" i="3"/>
  <c r="G1304" i="3"/>
  <c r="K1304" i="3"/>
  <c r="O1304" i="3"/>
  <c r="W1304" i="3"/>
  <c r="D1304" i="3"/>
  <c r="H1304" i="3"/>
  <c r="L1304" i="3"/>
  <c r="P1304" i="3"/>
  <c r="T1304" i="3"/>
  <c r="E1304" i="3"/>
  <c r="I1304" i="3"/>
  <c r="M1304" i="3"/>
  <c r="Q1304" i="3"/>
  <c r="U1304" i="3"/>
  <c r="F1304" i="3"/>
  <c r="J1304" i="3"/>
  <c r="N1304" i="3"/>
  <c r="R1304" i="3"/>
  <c r="V1304" i="3"/>
  <c r="G1288" i="3"/>
  <c r="K1288" i="3"/>
  <c r="O1288" i="3"/>
  <c r="W1288" i="3"/>
  <c r="D1288" i="3"/>
  <c r="H1288" i="3"/>
  <c r="L1288" i="3"/>
  <c r="P1288" i="3"/>
  <c r="T1288" i="3"/>
  <c r="E1288" i="3"/>
  <c r="I1288" i="3"/>
  <c r="M1288" i="3"/>
  <c r="Q1288" i="3"/>
  <c r="U1288" i="3"/>
  <c r="F1288" i="3"/>
  <c r="J1288" i="3"/>
  <c r="N1288" i="3"/>
  <c r="R1288" i="3"/>
  <c r="V1288" i="3"/>
  <c r="G1272" i="3"/>
  <c r="K1272" i="3"/>
  <c r="O1272" i="3"/>
  <c r="W1272" i="3"/>
  <c r="D1272" i="3"/>
  <c r="H1272" i="3"/>
  <c r="L1272" i="3"/>
  <c r="P1272" i="3"/>
  <c r="T1272" i="3"/>
  <c r="E1272" i="3"/>
  <c r="I1272" i="3"/>
  <c r="M1272" i="3"/>
  <c r="Q1272" i="3"/>
  <c r="U1272" i="3"/>
  <c r="F1272" i="3"/>
  <c r="J1272" i="3"/>
  <c r="N1272" i="3"/>
  <c r="R1272" i="3"/>
  <c r="V1272" i="3"/>
  <c r="G1256" i="3"/>
  <c r="K1256" i="3"/>
  <c r="O1256" i="3"/>
  <c r="W1256" i="3"/>
  <c r="D1256" i="3"/>
  <c r="H1256" i="3"/>
  <c r="L1256" i="3"/>
  <c r="P1256" i="3"/>
  <c r="T1256" i="3"/>
  <c r="E1256" i="3"/>
  <c r="I1256" i="3"/>
  <c r="M1256" i="3"/>
  <c r="Q1256" i="3"/>
  <c r="U1256" i="3"/>
  <c r="F1256" i="3"/>
  <c r="J1256" i="3"/>
  <c r="N1256" i="3"/>
  <c r="R1256" i="3"/>
  <c r="V1256" i="3"/>
  <c r="G1240" i="3"/>
  <c r="K1240" i="3"/>
  <c r="O1240" i="3"/>
  <c r="W1240" i="3"/>
  <c r="D1240" i="3"/>
  <c r="H1240" i="3"/>
  <c r="L1240" i="3"/>
  <c r="P1240" i="3"/>
  <c r="T1240" i="3"/>
  <c r="E1240" i="3"/>
  <c r="I1240" i="3"/>
  <c r="M1240" i="3"/>
  <c r="Q1240" i="3"/>
  <c r="U1240" i="3"/>
  <c r="F1240" i="3"/>
  <c r="J1240" i="3"/>
  <c r="N1240" i="3"/>
  <c r="R1240" i="3"/>
  <c r="V1240" i="3"/>
  <c r="G1221" i="3"/>
  <c r="K1221" i="3"/>
  <c r="O1221" i="3"/>
  <c r="W1221" i="3"/>
  <c r="D1221" i="3"/>
  <c r="H1221" i="3"/>
  <c r="L1221" i="3"/>
  <c r="P1221" i="3"/>
  <c r="T1221" i="3"/>
  <c r="E1221" i="3"/>
  <c r="I1221" i="3"/>
  <c r="M1221" i="3"/>
  <c r="Q1221" i="3"/>
  <c r="U1221" i="3"/>
  <c r="F1221" i="3"/>
  <c r="J1221" i="3"/>
  <c r="N1221" i="3"/>
  <c r="R1221" i="3"/>
  <c r="V1221" i="3"/>
  <c r="G1202" i="3"/>
  <c r="K1202" i="3"/>
  <c r="O1202" i="3"/>
  <c r="W1202" i="3"/>
  <c r="D1202" i="3"/>
  <c r="H1202" i="3"/>
  <c r="L1202" i="3"/>
  <c r="P1202" i="3"/>
  <c r="T1202" i="3"/>
  <c r="E1202" i="3"/>
  <c r="I1202" i="3"/>
  <c r="M1202" i="3"/>
  <c r="Q1202" i="3"/>
  <c r="U1202" i="3"/>
  <c r="F1202" i="3"/>
  <c r="J1202" i="3"/>
  <c r="N1202" i="3"/>
  <c r="R1202" i="3"/>
  <c r="V1202" i="3"/>
  <c r="D1454" i="3"/>
  <c r="H1454" i="3"/>
  <c r="L1454" i="3"/>
  <c r="P1454" i="3"/>
  <c r="T1454" i="3"/>
  <c r="F1454" i="3"/>
  <c r="J1454" i="3"/>
  <c r="N1454" i="3"/>
  <c r="R1454" i="3"/>
  <c r="K1454" i="3"/>
  <c r="I1454" i="3"/>
  <c r="W1454" i="3"/>
  <c r="E1454" i="3"/>
  <c r="M1454" i="3"/>
  <c r="U1454" i="3"/>
  <c r="G1454" i="3"/>
  <c r="O1454" i="3"/>
  <c r="V1454" i="3"/>
  <c r="Q1454" i="3"/>
  <c r="D1461" i="3"/>
  <c r="H1461" i="3"/>
  <c r="L1461" i="3"/>
  <c r="P1461" i="3"/>
  <c r="T1461" i="3"/>
  <c r="E1461" i="3"/>
  <c r="M1461" i="3"/>
  <c r="U1461" i="3"/>
  <c r="G1461" i="3"/>
  <c r="I1461" i="3"/>
  <c r="Q1461" i="3"/>
  <c r="O1461" i="3"/>
  <c r="F1461" i="3"/>
  <c r="J1461" i="3"/>
  <c r="N1461" i="3"/>
  <c r="R1461" i="3"/>
  <c r="V1461" i="3"/>
  <c r="K1461" i="3"/>
  <c r="W1461" i="3"/>
  <c r="G1445" i="3"/>
  <c r="K1445" i="3"/>
  <c r="O1445" i="3"/>
  <c r="W1445" i="3"/>
  <c r="D1445" i="3"/>
  <c r="H1445" i="3"/>
  <c r="L1445" i="3"/>
  <c r="P1445" i="3"/>
  <c r="T1445" i="3"/>
  <c r="E1445" i="3"/>
  <c r="I1445" i="3"/>
  <c r="M1445" i="3"/>
  <c r="Q1445" i="3"/>
  <c r="U1445" i="3"/>
  <c r="F1445" i="3"/>
  <c r="J1445" i="3"/>
  <c r="N1445" i="3"/>
  <c r="R1445" i="3"/>
  <c r="V1445" i="3"/>
  <c r="G1429" i="3"/>
  <c r="K1429" i="3"/>
  <c r="O1429" i="3"/>
  <c r="W1429" i="3"/>
  <c r="D1429" i="3"/>
  <c r="H1429" i="3"/>
  <c r="L1429" i="3"/>
  <c r="P1429" i="3"/>
  <c r="T1429" i="3"/>
  <c r="E1429" i="3"/>
  <c r="I1429" i="3"/>
  <c r="M1429" i="3"/>
  <c r="Q1429" i="3"/>
  <c r="U1429" i="3"/>
  <c r="F1429" i="3"/>
  <c r="J1429" i="3"/>
  <c r="N1429" i="3"/>
  <c r="R1429" i="3"/>
  <c r="V1429" i="3"/>
  <c r="G1413" i="3"/>
  <c r="K1413" i="3"/>
  <c r="O1413" i="3"/>
  <c r="W1413" i="3"/>
  <c r="D1413" i="3"/>
  <c r="H1413" i="3"/>
  <c r="L1413" i="3"/>
  <c r="P1413" i="3"/>
  <c r="T1413" i="3"/>
  <c r="E1413" i="3"/>
  <c r="I1413" i="3"/>
  <c r="M1413" i="3"/>
  <c r="Q1413" i="3"/>
  <c r="U1413" i="3"/>
  <c r="F1413" i="3"/>
  <c r="J1413" i="3"/>
  <c r="N1413" i="3"/>
  <c r="R1413" i="3"/>
  <c r="V1413" i="3"/>
  <c r="G1397" i="3"/>
  <c r="K1397" i="3"/>
  <c r="O1397" i="3"/>
  <c r="W1397" i="3"/>
  <c r="D1397" i="3"/>
  <c r="H1397" i="3"/>
  <c r="L1397" i="3"/>
  <c r="P1397" i="3"/>
  <c r="T1397" i="3"/>
  <c r="E1397" i="3"/>
  <c r="I1397" i="3"/>
  <c r="M1397" i="3"/>
  <c r="Q1397" i="3"/>
  <c r="U1397" i="3"/>
  <c r="F1397" i="3"/>
  <c r="J1397" i="3"/>
  <c r="N1397" i="3"/>
  <c r="R1397" i="3"/>
  <c r="V1397" i="3"/>
  <c r="G1381" i="3"/>
  <c r="K1381" i="3"/>
  <c r="O1381" i="3"/>
  <c r="W1381" i="3"/>
  <c r="D1381" i="3"/>
  <c r="H1381" i="3"/>
  <c r="L1381" i="3"/>
  <c r="P1381" i="3"/>
  <c r="T1381" i="3"/>
  <c r="E1381" i="3"/>
  <c r="I1381" i="3"/>
  <c r="M1381" i="3"/>
  <c r="Q1381" i="3"/>
  <c r="U1381" i="3"/>
  <c r="F1381" i="3"/>
  <c r="J1381" i="3"/>
  <c r="N1381" i="3"/>
  <c r="R1381" i="3"/>
  <c r="V1381" i="3"/>
  <c r="G1365" i="3"/>
  <c r="K1365" i="3"/>
  <c r="O1365" i="3"/>
  <c r="W1365" i="3"/>
  <c r="D1365" i="3"/>
  <c r="H1365" i="3"/>
  <c r="L1365" i="3"/>
  <c r="P1365" i="3"/>
  <c r="T1365" i="3"/>
  <c r="E1365" i="3"/>
  <c r="I1365" i="3"/>
  <c r="M1365" i="3"/>
  <c r="Q1365" i="3"/>
  <c r="U1365" i="3"/>
  <c r="F1365" i="3"/>
  <c r="J1365" i="3"/>
  <c r="N1365" i="3"/>
  <c r="R1365" i="3"/>
  <c r="V1365" i="3"/>
  <c r="G1349" i="3"/>
  <c r="K1349" i="3"/>
  <c r="O1349" i="3"/>
  <c r="W1349" i="3"/>
  <c r="D1349" i="3"/>
  <c r="H1349" i="3"/>
  <c r="L1349" i="3"/>
  <c r="P1349" i="3"/>
  <c r="T1349" i="3"/>
  <c r="E1349" i="3"/>
  <c r="I1349" i="3"/>
  <c r="M1349" i="3"/>
  <c r="Q1349" i="3"/>
  <c r="U1349" i="3"/>
  <c r="F1349" i="3"/>
  <c r="J1349" i="3"/>
  <c r="N1349" i="3"/>
  <c r="R1349" i="3"/>
  <c r="V1349" i="3"/>
  <c r="G1333" i="3"/>
  <c r="K1333" i="3"/>
  <c r="O1333" i="3"/>
  <c r="W1333" i="3"/>
  <c r="D1333" i="3"/>
  <c r="H1333" i="3"/>
  <c r="L1333" i="3"/>
  <c r="P1333" i="3"/>
  <c r="T1333" i="3"/>
  <c r="E1333" i="3"/>
  <c r="I1333" i="3"/>
  <c r="M1333" i="3"/>
  <c r="Q1333" i="3"/>
  <c r="U1333" i="3"/>
  <c r="F1333" i="3"/>
  <c r="J1333" i="3"/>
  <c r="N1333" i="3"/>
  <c r="R1333" i="3"/>
  <c r="V1333" i="3"/>
  <c r="G1317" i="3"/>
  <c r="K1317" i="3"/>
  <c r="O1317" i="3"/>
  <c r="W1317" i="3"/>
  <c r="D1317" i="3"/>
  <c r="H1317" i="3"/>
  <c r="L1317" i="3"/>
  <c r="P1317" i="3"/>
  <c r="T1317" i="3"/>
  <c r="E1317" i="3"/>
  <c r="I1317" i="3"/>
  <c r="M1317" i="3"/>
  <c r="Q1317" i="3"/>
  <c r="U1317" i="3"/>
  <c r="F1317" i="3"/>
  <c r="J1317" i="3"/>
  <c r="N1317" i="3"/>
  <c r="R1317" i="3"/>
  <c r="V1317" i="3"/>
  <c r="G1301" i="3"/>
  <c r="K1301" i="3"/>
  <c r="O1301" i="3"/>
  <c r="W1301" i="3"/>
  <c r="D1301" i="3"/>
  <c r="H1301" i="3"/>
  <c r="L1301" i="3"/>
  <c r="P1301" i="3"/>
  <c r="T1301" i="3"/>
  <c r="E1301" i="3"/>
  <c r="I1301" i="3"/>
  <c r="M1301" i="3"/>
  <c r="Q1301" i="3"/>
  <c r="U1301" i="3"/>
  <c r="F1301" i="3"/>
  <c r="J1301" i="3"/>
  <c r="N1301" i="3"/>
  <c r="R1301" i="3"/>
  <c r="V1301" i="3"/>
  <c r="G1285" i="3"/>
  <c r="K1285" i="3"/>
  <c r="O1285" i="3"/>
  <c r="W1285" i="3"/>
  <c r="D1285" i="3"/>
  <c r="H1285" i="3"/>
  <c r="L1285" i="3"/>
  <c r="P1285" i="3"/>
  <c r="T1285" i="3"/>
  <c r="E1285" i="3"/>
  <c r="I1285" i="3"/>
  <c r="M1285" i="3"/>
  <c r="Q1285" i="3"/>
  <c r="U1285" i="3"/>
  <c r="F1285" i="3"/>
  <c r="J1285" i="3"/>
  <c r="N1285" i="3"/>
  <c r="R1285" i="3"/>
  <c r="V1285" i="3"/>
  <c r="G1269" i="3"/>
  <c r="K1269" i="3"/>
  <c r="O1269" i="3"/>
  <c r="W1269" i="3"/>
  <c r="D1269" i="3"/>
  <c r="H1269" i="3"/>
  <c r="L1269" i="3"/>
  <c r="P1269" i="3"/>
  <c r="T1269" i="3"/>
  <c r="E1269" i="3"/>
  <c r="I1269" i="3"/>
  <c r="M1269" i="3"/>
  <c r="Q1269" i="3"/>
  <c r="U1269" i="3"/>
  <c r="F1269" i="3"/>
  <c r="J1269" i="3"/>
  <c r="N1269" i="3"/>
  <c r="R1269" i="3"/>
  <c r="V1269" i="3"/>
  <c r="G1253" i="3"/>
  <c r="K1253" i="3"/>
  <c r="O1253" i="3"/>
  <c r="W1253" i="3"/>
  <c r="D1253" i="3"/>
  <c r="H1253" i="3"/>
  <c r="L1253" i="3"/>
  <c r="P1253" i="3"/>
  <c r="T1253" i="3"/>
  <c r="E1253" i="3"/>
  <c r="I1253" i="3"/>
  <c r="M1253" i="3"/>
  <c r="Q1253" i="3"/>
  <c r="U1253" i="3"/>
  <c r="F1253" i="3"/>
  <c r="J1253" i="3"/>
  <c r="N1253" i="3"/>
  <c r="R1253" i="3"/>
  <c r="V1253" i="3"/>
  <c r="G1237" i="3"/>
  <c r="K1237" i="3"/>
  <c r="O1237" i="3"/>
  <c r="W1237" i="3"/>
  <c r="D1237" i="3"/>
  <c r="H1237" i="3"/>
  <c r="L1237" i="3"/>
  <c r="P1237" i="3"/>
  <c r="T1237" i="3"/>
  <c r="E1237" i="3"/>
  <c r="I1237" i="3"/>
  <c r="M1237" i="3"/>
  <c r="Q1237" i="3"/>
  <c r="U1237" i="3"/>
  <c r="F1237" i="3"/>
  <c r="J1237" i="3"/>
  <c r="N1237" i="3"/>
  <c r="R1237" i="3"/>
  <c r="V1237" i="3"/>
  <c r="G1222" i="3"/>
  <c r="K1222" i="3"/>
  <c r="O1222" i="3"/>
  <c r="W1222" i="3"/>
  <c r="D1222" i="3"/>
  <c r="H1222" i="3"/>
  <c r="L1222" i="3"/>
  <c r="P1222" i="3"/>
  <c r="T1222" i="3"/>
  <c r="E1222" i="3"/>
  <c r="I1222" i="3"/>
  <c r="M1222" i="3"/>
  <c r="Q1222" i="3"/>
  <c r="U1222" i="3"/>
  <c r="F1222" i="3"/>
  <c r="J1222" i="3"/>
  <c r="N1222" i="3"/>
  <c r="R1222" i="3"/>
  <c r="V1222" i="3"/>
  <c r="G1203" i="3"/>
  <c r="K1203" i="3"/>
  <c r="O1203" i="3"/>
  <c r="W1203" i="3"/>
  <c r="D1203" i="3"/>
  <c r="H1203" i="3"/>
  <c r="L1203" i="3"/>
  <c r="P1203" i="3"/>
  <c r="T1203" i="3"/>
  <c r="E1203" i="3"/>
  <c r="I1203" i="3"/>
  <c r="M1203" i="3"/>
  <c r="Q1203" i="3"/>
  <c r="U1203" i="3"/>
  <c r="F1203" i="3"/>
  <c r="J1203" i="3"/>
  <c r="N1203" i="3"/>
  <c r="R1203" i="3"/>
  <c r="V1203" i="3"/>
  <c r="D1450" i="3"/>
  <c r="H1450" i="3"/>
  <c r="L1450" i="3"/>
  <c r="P1450" i="3"/>
  <c r="T1450" i="3"/>
  <c r="F1450" i="3"/>
  <c r="J1450" i="3"/>
  <c r="N1450" i="3"/>
  <c r="R1450" i="3"/>
  <c r="V1450" i="3"/>
  <c r="K1450" i="3"/>
  <c r="E1450" i="3"/>
  <c r="M1450" i="3"/>
  <c r="U1450" i="3"/>
  <c r="G1450" i="3"/>
  <c r="O1450" i="3"/>
  <c r="W1450" i="3"/>
  <c r="I1450" i="3"/>
  <c r="Q1450" i="3"/>
  <c r="G1414" i="3"/>
  <c r="K1414" i="3"/>
  <c r="O1414" i="3"/>
  <c r="W1414" i="3"/>
  <c r="D1414" i="3"/>
  <c r="H1414" i="3"/>
  <c r="L1414" i="3"/>
  <c r="P1414" i="3"/>
  <c r="T1414" i="3"/>
  <c r="E1414" i="3"/>
  <c r="I1414" i="3"/>
  <c r="M1414" i="3"/>
  <c r="Q1414" i="3"/>
  <c r="U1414" i="3"/>
  <c r="F1414" i="3"/>
  <c r="J1414" i="3"/>
  <c r="N1414" i="3"/>
  <c r="R1414" i="3"/>
  <c r="V1414" i="3"/>
  <c r="G1394" i="3"/>
  <c r="K1394" i="3"/>
  <c r="O1394" i="3"/>
  <c r="W1394" i="3"/>
  <c r="D1394" i="3"/>
  <c r="H1394" i="3"/>
  <c r="L1394" i="3"/>
  <c r="P1394" i="3"/>
  <c r="T1394" i="3"/>
  <c r="E1394" i="3"/>
  <c r="I1394" i="3"/>
  <c r="M1394" i="3"/>
  <c r="Q1394" i="3"/>
  <c r="U1394" i="3"/>
  <c r="F1394" i="3"/>
  <c r="J1394" i="3"/>
  <c r="N1394" i="3"/>
  <c r="R1394" i="3"/>
  <c r="V1394" i="3"/>
  <c r="G1378" i="3"/>
  <c r="K1378" i="3"/>
  <c r="O1378" i="3"/>
  <c r="W1378" i="3"/>
  <c r="D1378" i="3"/>
  <c r="H1378" i="3"/>
  <c r="L1378" i="3"/>
  <c r="P1378" i="3"/>
  <c r="T1378" i="3"/>
  <c r="E1378" i="3"/>
  <c r="I1378" i="3"/>
  <c r="M1378" i="3"/>
  <c r="Q1378" i="3"/>
  <c r="U1378" i="3"/>
  <c r="F1378" i="3"/>
  <c r="J1378" i="3"/>
  <c r="N1378" i="3"/>
  <c r="R1378" i="3"/>
  <c r="V1378" i="3"/>
  <c r="G1362" i="3"/>
  <c r="K1362" i="3"/>
  <c r="O1362" i="3"/>
  <c r="W1362" i="3"/>
  <c r="D1362" i="3"/>
  <c r="H1362" i="3"/>
  <c r="L1362" i="3"/>
  <c r="P1362" i="3"/>
  <c r="T1362" i="3"/>
  <c r="E1362" i="3"/>
  <c r="I1362" i="3"/>
  <c r="M1362" i="3"/>
  <c r="Q1362" i="3"/>
  <c r="U1362" i="3"/>
  <c r="F1362" i="3"/>
  <c r="J1362" i="3"/>
  <c r="N1362" i="3"/>
  <c r="R1362" i="3"/>
  <c r="V1362" i="3"/>
  <c r="G1346" i="3"/>
  <c r="K1346" i="3"/>
  <c r="O1346" i="3"/>
  <c r="W1346" i="3"/>
  <c r="D1346" i="3"/>
  <c r="H1346" i="3"/>
  <c r="L1346" i="3"/>
  <c r="P1346" i="3"/>
  <c r="T1346" i="3"/>
  <c r="E1346" i="3"/>
  <c r="I1346" i="3"/>
  <c r="M1346" i="3"/>
  <c r="Q1346" i="3"/>
  <c r="U1346" i="3"/>
  <c r="F1346" i="3"/>
  <c r="J1346" i="3"/>
  <c r="N1346" i="3"/>
  <c r="R1346" i="3"/>
  <c r="V1346" i="3"/>
  <c r="G1330" i="3"/>
  <c r="K1330" i="3"/>
  <c r="O1330" i="3"/>
  <c r="W1330" i="3"/>
  <c r="D1330" i="3"/>
  <c r="H1330" i="3"/>
  <c r="L1330" i="3"/>
  <c r="P1330" i="3"/>
  <c r="T1330" i="3"/>
  <c r="E1330" i="3"/>
  <c r="I1330" i="3"/>
  <c r="M1330" i="3"/>
  <c r="Q1330" i="3"/>
  <c r="U1330" i="3"/>
  <c r="F1330" i="3"/>
  <c r="J1330" i="3"/>
  <c r="N1330" i="3"/>
  <c r="R1330" i="3"/>
  <c r="V1330" i="3"/>
  <c r="G1314" i="3"/>
  <c r="K1314" i="3"/>
  <c r="O1314" i="3"/>
  <c r="W1314" i="3"/>
  <c r="D1314" i="3"/>
  <c r="H1314" i="3"/>
  <c r="L1314" i="3"/>
  <c r="P1314" i="3"/>
  <c r="T1314" i="3"/>
  <c r="E1314" i="3"/>
  <c r="I1314" i="3"/>
  <c r="M1314" i="3"/>
  <c r="Q1314" i="3"/>
  <c r="U1314" i="3"/>
  <c r="F1314" i="3"/>
  <c r="J1314" i="3"/>
  <c r="N1314" i="3"/>
  <c r="R1314" i="3"/>
  <c r="V1314" i="3"/>
  <c r="G1298" i="3"/>
  <c r="K1298" i="3"/>
  <c r="O1298" i="3"/>
  <c r="W1298" i="3"/>
  <c r="D1298" i="3"/>
  <c r="H1298" i="3"/>
  <c r="L1298" i="3"/>
  <c r="P1298" i="3"/>
  <c r="T1298" i="3"/>
  <c r="E1298" i="3"/>
  <c r="I1298" i="3"/>
  <c r="M1298" i="3"/>
  <c r="Q1298" i="3"/>
  <c r="U1298" i="3"/>
  <c r="F1298" i="3"/>
  <c r="J1298" i="3"/>
  <c r="N1298" i="3"/>
  <c r="R1298" i="3"/>
  <c r="V1298" i="3"/>
  <c r="G1282" i="3"/>
  <c r="K1282" i="3"/>
  <c r="O1282" i="3"/>
  <c r="W1282" i="3"/>
  <c r="D1282" i="3"/>
  <c r="H1282" i="3"/>
  <c r="L1282" i="3"/>
  <c r="P1282" i="3"/>
  <c r="T1282" i="3"/>
  <c r="E1282" i="3"/>
  <c r="I1282" i="3"/>
  <c r="M1282" i="3"/>
  <c r="Q1282" i="3"/>
  <c r="U1282" i="3"/>
  <c r="F1282" i="3"/>
  <c r="J1282" i="3"/>
  <c r="N1282" i="3"/>
  <c r="R1282" i="3"/>
  <c r="V1282" i="3"/>
  <c r="G1266" i="3"/>
  <c r="K1266" i="3"/>
  <c r="O1266" i="3"/>
  <c r="W1266" i="3"/>
  <c r="D1266" i="3"/>
  <c r="H1266" i="3"/>
  <c r="L1266" i="3"/>
  <c r="P1266" i="3"/>
  <c r="T1266" i="3"/>
  <c r="E1266" i="3"/>
  <c r="I1266" i="3"/>
  <c r="M1266" i="3"/>
  <c r="Q1266" i="3"/>
  <c r="U1266" i="3"/>
  <c r="F1266" i="3"/>
  <c r="J1266" i="3"/>
  <c r="N1266" i="3"/>
  <c r="R1266" i="3"/>
  <c r="V1266" i="3"/>
  <c r="G1250" i="3"/>
  <c r="K1250" i="3"/>
  <c r="O1250" i="3"/>
  <c r="W1250" i="3"/>
  <c r="D1250" i="3"/>
  <c r="H1250" i="3"/>
  <c r="L1250" i="3"/>
  <c r="P1250" i="3"/>
  <c r="T1250" i="3"/>
  <c r="E1250" i="3"/>
  <c r="I1250" i="3"/>
  <c r="M1250" i="3"/>
  <c r="Q1250" i="3"/>
  <c r="U1250" i="3"/>
  <c r="F1250" i="3"/>
  <c r="J1250" i="3"/>
  <c r="N1250" i="3"/>
  <c r="R1250" i="3"/>
  <c r="V1250" i="3"/>
  <c r="G1234" i="3"/>
  <c r="K1234" i="3"/>
  <c r="O1234" i="3"/>
  <c r="W1234" i="3"/>
  <c r="D1234" i="3"/>
  <c r="H1234" i="3"/>
  <c r="L1234" i="3"/>
  <c r="P1234" i="3"/>
  <c r="T1234" i="3"/>
  <c r="E1234" i="3"/>
  <c r="I1234" i="3"/>
  <c r="M1234" i="3"/>
  <c r="Q1234" i="3"/>
  <c r="U1234" i="3"/>
  <c r="F1234" i="3"/>
  <c r="J1234" i="3"/>
  <c r="N1234" i="3"/>
  <c r="R1234" i="3"/>
  <c r="V1234" i="3"/>
  <c r="G1213" i="3"/>
  <c r="K1213" i="3"/>
  <c r="O1213" i="3"/>
  <c r="W1213" i="3"/>
  <c r="D1213" i="3"/>
  <c r="H1213" i="3"/>
  <c r="L1213" i="3"/>
  <c r="P1213" i="3"/>
  <c r="T1213" i="3"/>
  <c r="E1213" i="3"/>
  <c r="I1213" i="3"/>
  <c r="M1213" i="3"/>
  <c r="Q1213" i="3"/>
  <c r="U1213" i="3"/>
  <c r="F1213" i="3"/>
  <c r="J1213" i="3"/>
  <c r="N1213" i="3"/>
  <c r="R1213" i="3"/>
  <c r="V1213" i="3"/>
  <c r="G1189" i="3"/>
  <c r="K1189" i="3"/>
  <c r="O1189" i="3"/>
  <c r="W1189" i="3"/>
  <c r="D1189" i="3"/>
  <c r="H1189" i="3"/>
  <c r="L1189" i="3"/>
  <c r="P1189" i="3"/>
  <c r="T1189" i="3"/>
  <c r="E1189" i="3"/>
  <c r="I1189" i="3"/>
  <c r="M1189" i="3"/>
  <c r="Q1189" i="3"/>
  <c r="U1189" i="3"/>
  <c r="F1189" i="3"/>
  <c r="J1189" i="3"/>
  <c r="N1189" i="3"/>
  <c r="R1189" i="3"/>
  <c r="V1189" i="3"/>
  <c r="G1435" i="3"/>
  <c r="K1435" i="3"/>
  <c r="O1435" i="3"/>
  <c r="W1435" i="3"/>
  <c r="D1435" i="3"/>
  <c r="H1435" i="3"/>
  <c r="L1435" i="3"/>
  <c r="P1435" i="3"/>
  <c r="T1435" i="3"/>
  <c r="E1435" i="3"/>
  <c r="I1435" i="3"/>
  <c r="M1435" i="3"/>
  <c r="Q1435" i="3"/>
  <c r="U1435" i="3"/>
  <c r="F1435" i="3"/>
  <c r="J1435" i="3"/>
  <c r="N1435" i="3"/>
  <c r="R1435" i="3"/>
  <c r="V1435" i="3"/>
  <c r="G1403" i="3"/>
  <c r="K1403" i="3"/>
  <c r="O1403" i="3"/>
  <c r="W1403" i="3"/>
  <c r="D1403" i="3"/>
  <c r="H1403" i="3"/>
  <c r="L1403" i="3"/>
  <c r="P1403" i="3"/>
  <c r="T1403" i="3"/>
  <c r="E1403" i="3"/>
  <c r="I1403" i="3"/>
  <c r="M1403" i="3"/>
  <c r="Q1403" i="3"/>
  <c r="U1403" i="3"/>
  <c r="F1403" i="3"/>
  <c r="J1403" i="3"/>
  <c r="N1403" i="3"/>
  <c r="R1403" i="3"/>
  <c r="V1403" i="3"/>
  <c r="G1371" i="3"/>
  <c r="K1371" i="3"/>
  <c r="O1371" i="3"/>
  <c r="W1371" i="3"/>
  <c r="D1371" i="3"/>
  <c r="H1371" i="3"/>
  <c r="L1371" i="3"/>
  <c r="P1371" i="3"/>
  <c r="T1371" i="3"/>
  <c r="E1371" i="3"/>
  <c r="I1371" i="3"/>
  <c r="M1371" i="3"/>
  <c r="Q1371" i="3"/>
  <c r="U1371" i="3"/>
  <c r="F1371" i="3"/>
  <c r="J1371" i="3"/>
  <c r="N1371" i="3"/>
  <c r="R1371" i="3"/>
  <c r="V1371" i="3"/>
  <c r="G1351" i="3"/>
  <c r="K1351" i="3"/>
  <c r="O1351" i="3"/>
  <c r="W1351" i="3"/>
  <c r="D1351" i="3"/>
  <c r="H1351" i="3"/>
  <c r="L1351" i="3"/>
  <c r="P1351" i="3"/>
  <c r="T1351" i="3"/>
  <c r="E1351" i="3"/>
  <c r="I1351" i="3"/>
  <c r="M1351" i="3"/>
  <c r="Q1351" i="3"/>
  <c r="U1351" i="3"/>
  <c r="F1351" i="3"/>
  <c r="J1351" i="3"/>
  <c r="N1351" i="3"/>
  <c r="R1351" i="3"/>
  <c r="V1351" i="3"/>
  <c r="G1335" i="3"/>
  <c r="K1335" i="3"/>
  <c r="O1335" i="3"/>
  <c r="W1335" i="3"/>
  <c r="D1335" i="3"/>
  <c r="H1335" i="3"/>
  <c r="L1335" i="3"/>
  <c r="P1335" i="3"/>
  <c r="T1335" i="3"/>
  <c r="E1335" i="3"/>
  <c r="I1335" i="3"/>
  <c r="M1335" i="3"/>
  <c r="Q1335" i="3"/>
  <c r="U1335" i="3"/>
  <c r="F1335" i="3"/>
  <c r="J1335" i="3"/>
  <c r="N1335" i="3"/>
  <c r="R1335" i="3"/>
  <c r="V1335" i="3"/>
  <c r="G1319" i="3"/>
  <c r="K1319" i="3"/>
  <c r="O1319" i="3"/>
  <c r="W1319" i="3"/>
  <c r="D1319" i="3"/>
  <c r="H1319" i="3"/>
  <c r="L1319" i="3"/>
  <c r="P1319" i="3"/>
  <c r="T1319" i="3"/>
  <c r="E1319" i="3"/>
  <c r="I1319" i="3"/>
  <c r="M1319" i="3"/>
  <c r="Q1319" i="3"/>
  <c r="U1319" i="3"/>
  <c r="F1319" i="3"/>
  <c r="J1319" i="3"/>
  <c r="N1319" i="3"/>
  <c r="R1319" i="3"/>
  <c r="V1319" i="3"/>
  <c r="G1303" i="3"/>
  <c r="K1303" i="3"/>
  <c r="O1303" i="3"/>
  <c r="W1303" i="3"/>
  <c r="D1303" i="3"/>
  <c r="H1303" i="3"/>
  <c r="L1303" i="3"/>
  <c r="P1303" i="3"/>
  <c r="T1303" i="3"/>
  <c r="E1303" i="3"/>
  <c r="I1303" i="3"/>
  <c r="M1303" i="3"/>
  <c r="Q1303" i="3"/>
  <c r="U1303" i="3"/>
  <c r="F1303" i="3"/>
  <c r="J1303" i="3"/>
  <c r="N1303" i="3"/>
  <c r="R1303" i="3"/>
  <c r="V1303" i="3"/>
  <c r="G1287" i="3"/>
  <c r="K1287" i="3"/>
  <c r="O1287" i="3"/>
  <c r="W1287" i="3"/>
  <c r="D1287" i="3"/>
  <c r="H1287" i="3"/>
  <c r="L1287" i="3"/>
  <c r="P1287" i="3"/>
  <c r="T1287" i="3"/>
  <c r="E1287" i="3"/>
  <c r="I1287" i="3"/>
  <c r="M1287" i="3"/>
  <c r="Q1287" i="3"/>
  <c r="U1287" i="3"/>
  <c r="F1287" i="3"/>
  <c r="J1287" i="3"/>
  <c r="N1287" i="3"/>
  <c r="R1287" i="3"/>
  <c r="V1287" i="3"/>
  <c r="G1271" i="3"/>
  <c r="K1271" i="3"/>
  <c r="O1271" i="3"/>
  <c r="W1271" i="3"/>
  <c r="D1271" i="3"/>
  <c r="H1271" i="3"/>
  <c r="L1271" i="3"/>
  <c r="P1271" i="3"/>
  <c r="T1271" i="3"/>
  <c r="E1271" i="3"/>
  <c r="I1271" i="3"/>
  <c r="M1271" i="3"/>
  <c r="Q1271" i="3"/>
  <c r="U1271" i="3"/>
  <c r="F1271" i="3"/>
  <c r="J1271" i="3"/>
  <c r="N1271" i="3"/>
  <c r="R1271" i="3"/>
  <c r="V1271" i="3"/>
  <c r="G1255" i="3"/>
  <c r="K1255" i="3"/>
  <c r="O1255" i="3"/>
  <c r="W1255" i="3"/>
  <c r="D1255" i="3"/>
  <c r="H1255" i="3"/>
  <c r="L1255" i="3"/>
  <c r="P1255" i="3"/>
  <c r="T1255" i="3"/>
  <c r="E1255" i="3"/>
  <c r="I1255" i="3"/>
  <c r="M1255" i="3"/>
  <c r="Q1255" i="3"/>
  <c r="U1255" i="3"/>
  <c r="F1255" i="3"/>
  <c r="J1255" i="3"/>
  <c r="N1255" i="3"/>
  <c r="R1255" i="3"/>
  <c r="V1255" i="3"/>
  <c r="G1239" i="3"/>
  <c r="K1239" i="3"/>
  <c r="O1239" i="3"/>
  <c r="W1239" i="3"/>
  <c r="D1239" i="3"/>
  <c r="H1239" i="3"/>
  <c r="L1239" i="3"/>
  <c r="P1239" i="3"/>
  <c r="T1239" i="3"/>
  <c r="E1239" i="3"/>
  <c r="I1239" i="3"/>
  <c r="M1239" i="3"/>
  <c r="Q1239" i="3"/>
  <c r="U1239" i="3"/>
  <c r="F1239" i="3"/>
  <c r="J1239" i="3"/>
  <c r="N1239" i="3"/>
  <c r="R1239" i="3"/>
  <c r="V1239" i="3"/>
  <c r="G1217" i="3"/>
  <c r="K1217" i="3"/>
  <c r="O1217" i="3"/>
  <c r="W1217" i="3"/>
  <c r="D1217" i="3"/>
  <c r="H1217" i="3"/>
  <c r="L1217" i="3"/>
  <c r="P1217" i="3"/>
  <c r="T1217" i="3"/>
  <c r="E1217" i="3"/>
  <c r="I1217" i="3"/>
  <c r="M1217" i="3"/>
  <c r="Q1217" i="3"/>
  <c r="U1217" i="3"/>
  <c r="F1217" i="3"/>
  <c r="J1217" i="3"/>
  <c r="N1217" i="3"/>
  <c r="R1217" i="3"/>
  <c r="V1217" i="3"/>
  <c r="G1198" i="3"/>
  <c r="K1198" i="3"/>
  <c r="O1198" i="3"/>
  <c r="W1198" i="3"/>
  <c r="D1198" i="3"/>
  <c r="H1198" i="3"/>
  <c r="L1198" i="3"/>
  <c r="P1198" i="3"/>
  <c r="T1198" i="3"/>
  <c r="E1198" i="3"/>
  <c r="I1198" i="3"/>
  <c r="M1198" i="3"/>
  <c r="Q1198" i="3"/>
  <c r="U1198" i="3"/>
  <c r="F1198" i="3"/>
  <c r="J1198" i="3"/>
  <c r="N1198" i="3"/>
  <c r="R1198" i="3"/>
  <c r="V1198" i="3"/>
  <c r="E1174" i="3"/>
  <c r="I1174" i="3"/>
  <c r="M1174" i="3"/>
  <c r="Q1174" i="3"/>
  <c r="U1174" i="3"/>
  <c r="F1174" i="3"/>
  <c r="J1174" i="3"/>
  <c r="N1174" i="3"/>
  <c r="R1174" i="3"/>
  <c r="V1174" i="3"/>
  <c r="G1174" i="3"/>
  <c r="K1174" i="3"/>
  <c r="O1174" i="3"/>
  <c r="W1174" i="3"/>
  <c r="D1174" i="3"/>
  <c r="H1174" i="3"/>
  <c r="L1174" i="3"/>
  <c r="P1174" i="3"/>
  <c r="T1174" i="3"/>
  <c r="E1158" i="3"/>
  <c r="I1158" i="3"/>
  <c r="M1158" i="3"/>
  <c r="Q1158" i="3"/>
  <c r="U1158" i="3"/>
  <c r="F1158" i="3"/>
  <c r="J1158" i="3"/>
  <c r="N1158" i="3"/>
  <c r="R1158" i="3"/>
  <c r="V1158" i="3"/>
  <c r="G1158" i="3"/>
  <c r="K1158" i="3"/>
  <c r="O1158" i="3"/>
  <c r="W1158" i="3"/>
  <c r="D1158" i="3"/>
  <c r="H1158" i="3"/>
  <c r="L1158" i="3"/>
  <c r="P1158" i="3"/>
  <c r="T1158" i="3"/>
  <c r="E1142" i="3"/>
  <c r="I1142" i="3"/>
  <c r="M1142" i="3"/>
  <c r="Q1142" i="3"/>
  <c r="U1142" i="3"/>
  <c r="F1142" i="3"/>
  <c r="J1142" i="3"/>
  <c r="N1142" i="3"/>
  <c r="R1142" i="3"/>
  <c r="V1142" i="3"/>
  <c r="G1142" i="3"/>
  <c r="K1142" i="3"/>
  <c r="O1142" i="3"/>
  <c r="W1142" i="3"/>
  <c r="D1142" i="3"/>
  <c r="H1142" i="3"/>
  <c r="L1142" i="3"/>
  <c r="P1142" i="3"/>
  <c r="T1142" i="3"/>
  <c r="E1126" i="3"/>
  <c r="I1126" i="3"/>
  <c r="M1126" i="3"/>
  <c r="Q1126" i="3"/>
  <c r="U1126" i="3"/>
  <c r="F1126" i="3"/>
  <c r="J1126" i="3"/>
  <c r="N1126" i="3"/>
  <c r="R1126" i="3"/>
  <c r="V1126" i="3"/>
  <c r="G1126" i="3"/>
  <c r="K1126" i="3"/>
  <c r="O1126" i="3"/>
  <c r="W1126" i="3"/>
  <c r="D1126" i="3"/>
  <c r="H1126" i="3"/>
  <c r="L1126" i="3"/>
  <c r="P1126" i="3"/>
  <c r="T1126" i="3"/>
  <c r="E1110" i="3"/>
  <c r="I1110" i="3"/>
  <c r="M1110" i="3"/>
  <c r="Q1110" i="3"/>
  <c r="U1110" i="3"/>
  <c r="F1110" i="3"/>
  <c r="J1110" i="3"/>
  <c r="N1110" i="3"/>
  <c r="R1110" i="3"/>
  <c r="V1110" i="3"/>
  <c r="G1110" i="3"/>
  <c r="K1110" i="3"/>
  <c r="O1110" i="3"/>
  <c r="W1110" i="3"/>
  <c r="D1110" i="3"/>
  <c r="H1110" i="3"/>
  <c r="L1110" i="3"/>
  <c r="P1110" i="3"/>
  <c r="T1110" i="3"/>
  <c r="E1094" i="3"/>
  <c r="I1094" i="3"/>
  <c r="M1094" i="3"/>
  <c r="Q1094" i="3"/>
  <c r="U1094" i="3"/>
  <c r="F1094" i="3"/>
  <c r="J1094" i="3"/>
  <c r="N1094" i="3"/>
  <c r="R1094" i="3"/>
  <c r="V1094" i="3"/>
  <c r="G1094" i="3"/>
  <c r="K1094" i="3"/>
  <c r="O1094" i="3"/>
  <c r="W1094" i="3"/>
  <c r="D1094" i="3"/>
  <c r="H1094" i="3"/>
  <c r="L1094" i="3"/>
  <c r="P1094" i="3"/>
  <c r="T1094" i="3"/>
  <c r="E1078" i="3"/>
  <c r="I1078" i="3"/>
  <c r="M1078" i="3"/>
  <c r="Q1078" i="3"/>
  <c r="U1078" i="3"/>
  <c r="F1078" i="3"/>
  <c r="J1078" i="3"/>
  <c r="N1078" i="3"/>
  <c r="R1078" i="3"/>
  <c r="V1078" i="3"/>
  <c r="G1078" i="3"/>
  <c r="K1078" i="3"/>
  <c r="O1078" i="3"/>
  <c r="W1078" i="3"/>
  <c r="D1078" i="3"/>
  <c r="H1078" i="3"/>
  <c r="L1078" i="3"/>
  <c r="P1078" i="3"/>
  <c r="T1078" i="3"/>
  <c r="E1062" i="3"/>
  <c r="I1062" i="3"/>
  <c r="M1062" i="3"/>
  <c r="Q1062" i="3"/>
  <c r="U1062" i="3"/>
  <c r="F1062" i="3"/>
  <c r="J1062" i="3"/>
  <c r="N1062" i="3"/>
  <c r="R1062" i="3"/>
  <c r="V1062" i="3"/>
  <c r="G1062" i="3"/>
  <c r="K1062" i="3"/>
  <c r="O1062" i="3"/>
  <c r="W1062" i="3"/>
  <c r="D1062" i="3"/>
  <c r="H1062" i="3"/>
  <c r="L1062" i="3"/>
  <c r="P1062" i="3"/>
  <c r="T1062" i="3"/>
  <c r="E1046" i="3"/>
  <c r="I1046" i="3"/>
  <c r="M1046" i="3"/>
  <c r="Q1046" i="3"/>
  <c r="U1046" i="3"/>
  <c r="F1046" i="3"/>
  <c r="J1046" i="3"/>
  <c r="N1046" i="3"/>
  <c r="R1046" i="3"/>
  <c r="V1046" i="3"/>
  <c r="G1046" i="3"/>
  <c r="K1046" i="3"/>
  <c r="O1046" i="3"/>
  <c r="W1046" i="3"/>
  <c r="D1046" i="3"/>
  <c r="H1046" i="3"/>
  <c r="L1046" i="3"/>
  <c r="P1046" i="3"/>
  <c r="T1046" i="3"/>
  <c r="E1030" i="3"/>
  <c r="I1030" i="3"/>
  <c r="M1030" i="3"/>
  <c r="Q1030" i="3"/>
  <c r="U1030" i="3"/>
  <c r="F1030" i="3"/>
  <c r="J1030" i="3"/>
  <c r="N1030" i="3"/>
  <c r="R1030" i="3"/>
  <c r="V1030" i="3"/>
  <c r="G1030" i="3"/>
  <c r="K1030" i="3"/>
  <c r="O1030" i="3"/>
  <c r="W1030" i="3"/>
  <c r="D1030" i="3"/>
  <c r="H1030" i="3"/>
  <c r="L1030" i="3"/>
  <c r="P1030" i="3"/>
  <c r="T1030" i="3"/>
  <c r="E1014" i="3"/>
  <c r="I1014" i="3"/>
  <c r="M1014" i="3"/>
  <c r="Q1014" i="3"/>
  <c r="U1014" i="3"/>
  <c r="F1014" i="3"/>
  <c r="J1014" i="3"/>
  <c r="N1014" i="3"/>
  <c r="R1014" i="3"/>
  <c r="V1014" i="3"/>
  <c r="G1014" i="3"/>
  <c r="K1014" i="3"/>
  <c r="O1014" i="3"/>
  <c r="W1014" i="3"/>
  <c r="D1014" i="3"/>
  <c r="H1014" i="3"/>
  <c r="L1014" i="3"/>
  <c r="P1014" i="3"/>
  <c r="T1014" i="3"/>
  <c r="E998" i="3"/>
  <c r="I998" i="3"/>
  <c r="M998" i="3"/>
  <c r="Q998" i="3"/>
  <c r="U998" i="3"/>
  <c r="F998" i="3"/>
  <c r="J998" i="3"/>
  <c r="N998" i="3"/>
  <c r="R998" i="3"/>
  <c r="V998" i="3"/>
  <c r="G998" i="3"/>
  <c r="K998" i="3"/>
  <c r="O998" i="3"/>
  <c r="W998" i="3"/>
  <c r="D998" i="3"/>
  <c r="H998" i="3"/>
  <c r="L998" i="3"/>
  <c r="P998" i="3"/>
  <c r="T998" i="3"/>
  <c r="E982" i="3"/>
  <c r="I982" i="3"/>
  <c r="M982" i="3"/>
  <c r="Q982" i="3"/>
  <c r="U982" i="3"/>
  <c r="F982" i="3"/>
  <c r="J982" i="3"/>
  <c r="N982" i="3"/>
  <c r="R982" i="3"/>
  <c r="V982" i="3"/>
  <c r="G982" i="3"/>
  <c r="K982" i="3"/>
  <c r="O982" i="3"/>
  <c r="W982" i="3"/>
  <c r="D982" i="3"/>
  <c r="H982" i="3"/>
  <c r="L982" i="3"/>
  <c r="P982" i="3"/>
  <c r="T982" i="3"/>
  <c r="E967" i="3"/>
  <c r="I967" i="3"/>
  <c r="M967" i="3"/>
  <c r="Q967" i="3"/>
  <c r="U967" i="3"/>
  <c r="F967" i="3"/>
  <c r="J967" i="3"/>
  <c r="N967" i="3"/>
  <c r="R967" i="3"/>
  <c r="V967" i="3"/>
  <c r="G967" i="3"/>
  <c r="K967" i="3"/>
  <c r="O967" i="3"/>
  <c r="W967" i="3"/>
  <c r="D967" i="3"/>
  <c r="H967" i="3"/>
  <c r="L967" i="3"/>
  <c r="P967" i="3"/>
  <c r="T967" i="3"/>
  <c r="E941" i="3"/>
  <c r="I941" i="3"/>
  <c r="M941" i="3"/>
  <c r="Q941" i="3"/>
  <c r="U941" i="3"/>
  <c r="F941" i="3"/>
  <c r="J941" i="3"/>
  <c r="N941" i="3"/>
  <c r="R941" i="3"/>
  <c r="V941" i="3"/>
  <c r="G941" i="3"/>
  <c r="K941" i="3"/>
  <c r="O941" i="3"/>
  <c r="W941" i="3"/>
  <c r="D941" i="3"/>
  <c r="H941" i="3"/>
  <c r="L941" i="3"/>
  <c r="P941" i="3"/>
  <c r="T941" i="3"/>
  <c r="E922" i="3"/>
  <c r="I922" i="3"/>
  <c r="M922" i="3"/>
  <c r="Q922" i="3"/>
  <c r="U922" i="3"/>
  <c r="F922" i="3"/>
  <c r="J922" i="3"/>
  <c r="N922" i="3"/>
  <c r="R922" i="3"/>
  <c r="V922" i="3"/>
  <c r="G922" i="3"/>
  <c r="K922" i="3"/>
  <c r="O922" i="3"/>
  <c r="W922" i="3"/>
  <c r="D922" i="3"/>
  <c r="H922" i="3"/>
  <c r="L922" i="3"/>
  <c r="P922" i="3"/>
  <c r="T922" i="3"/>
  <c r="E903" i="3"/>
  <c r="I903" i="3"/>
  <c r="M903" i="3"/>
  <c r="Q903" i="3"/>
  <c r="U903" i="3"/>
  <c r="F903" i="3"/>
  <c r="J903" i="3"/>
  <c r="N903" i="3"/>
  <c r="R903" i="3"/>
  <c r="V903" i="3"/>
  <c r="G903" i="3"/>
  <c r="K903" i="3"/>
  <c r="O903" i="3"/>
  <c r="W903" i="3"/>
  <c r="D903" i="3"/>
  <c r="H903" i="3"/>
  <c r="L903" i="3"/>
  <c r="P903" i="3"/>
  <c r="T903" i="3"/>
  <c r="E881" i="3"/>
  <c r="I881" i="3"/>
  <c r="M881" i="3"/>
  <c r="Q881" i="3"/>
  <c r="U881" i="3"/>
  <c r="F881" i="3"/>
  <c r="J881" i="3"/>
  <c r="N881" i="3"/>
  <c r="R881" i="3"/>
  <c r="V881" i="3"/>
  <c r="G881" i="3"/>
  <c r="K881" i="3"/>
  <c r="O881" i="3"/>
  <c r="W881" i="3"/>
  <c r="D881" i="3"/>
  <c r="H881" i="3"/>
  <c r="L881" i="3"/>
  <c r="P881" i="3"/>
  <c r="T881" i="3"/>
  <c r="E849" i="3"/>
  <c r="I849" i="3"/>
  <c r="M849" i="3"/>
  <c r="Q849" i="3"/>
  <c r="U849" i="3"/>
  <c r="F849" i="3"/>
  <c r="J849" i="3"/>
  <c r="N849" i="3"/>
  <c r="R849" i="3"/>
  <c r="V849" i="3"/>
  <c r="G849" i="3"/>
  <c r="K849" i="3"/>
  <c r="O849" i="3"/>
  <c r="W849" i="3"/>
  <c r="D849" i="3"/>
  <c r="H849" i="3"/>
  <c r="L849" i="3"/>
  <c r="P849" i="3"/>
  <c r="T849" i="3"/>
  <c r="F1183" i="3"/>
  <c r="J1183" i="3"/>
  <c r="N1183" i="3"/>
  <c r="R1183" i="3"/>
  <c r="V1183" i="3"/>
  <c r="D1183" i="3"/>
  <c r="H1183" i="3"/>
  <c r="L1183" i="3"/>
  <c r="P1183" i="3"/>
  <c r="T1183" i="3"/>
  <c r="I1183" i="3"/>
  <c r="Q1183" i="3"/>
  <c r="K1183" i="3"/>
  <c r="E1183" i="3"/>
  <c r="M1183" i="3"/>
  <c r="U1183" i="3"/>
  <c r="G1183" i="3"/>
  <c r="O1183" i="3"/>
  <c r="W1183" i="3"/>
  <c r="E1167" i="3"/>
  <c r="I1167" i="3"/>
  <c r="M1167" i="3"/>
  <c r="Q1167" i="3"/>
  <c r="U1167" i="3"/>
  <c r="F1167" i="3"/>
  <c r="J1167" i="3"/>
  <c r="N1167" i="3"/>
  <c r="R1167" i="3"/>
  <c r="V1167" i="3"/>
  <c r="G1167" i="3"/>
  <c r="K1167" i="3"/>
  <c r="O1167" i="3"/>
  <c r="W1167" i="3"/>
  <c r="D1167" i="3"/>
  <c r="H1167" i="3"/>
  <c r="L1167" i="3"/>
  <c r="P1167" i="3"/>
  <c r="T1167" i="3"/>
  <c r="E1151" i="3"/>
  <c r="I1151" i="3"/>
  <c r="M1151" i="3"/>
  <c r="Q1151" i="3"/>
  <c r="U1151" i="3"/>
  <c r="F1151" i="3"/>
  <c r="J1151" i="3"/>
  <c r="N1151" i="3"/>
  <c r="R1151" i="3"/>
  <c r="V1151" i="3"/>
  <c r="G1151" i="3"/>
  <c r="K1151" i="3"/>
  <c r="O1151" i="3"/>
  <c r="W1151" i="3"/>
  <c r="D1151" i="3"/>
  <c r="H1151" i="3"/>
  <c r="L1151" i="3"/>
  <c r="P1151" i="3"/>
  <c r="T1151" i="3"/>
  <c r="E1135" i="3"/>
  <c r="I1135" i="3"/>
  <c r="M1135" i="3"/>
  <c r="Q1135" i="3"/>
  <c r="U1135" i="3"/>
  <c r="F1135" i="3"/>
  <c r="J1135" i="3"/>
  <c r="N1135" i="3"/>
  <c r="R1135" i="3"/>
  <c r="V1135" i="3"/>
  <c r="G1135" i="3"/>
  <c r="K1135" i="3"/>
  <c r="O1135" i="3"/>
  <c r="W1135" i="3"/>
  <c r="D1135" i="3"/>
  <c r="H1135" i="3"/>
  <c r="L1135" i="3"/>
  <c r="P1135" i="3"/>
  <c r="T1135" i="3"/>
  <c r="E1119" i="3"/>
  <c r="I1119" i="3"/>
  <c r="M1119" i="3"/>
  <c r="Q1119" i="3"/>
  <c r="U1119" i="3"/>
  <c r="F1119" i="3"/>
  <c r="J1119" i="3"/>
  <c r="N1119" i="3"/>
  <c r="R1119" i="3"/>
  <c r="V1119" i="3"/>
  <c r="G1119" i="3"/>
  <c r="K1119" i="3"/>
  <c r="O1119" i="3"/>
  <c r="W1119" i="3"/>
  <c r="D1119" i="3"/>
  <c r="H1119" i="3"/>
  <c r="L1119" i="3"/>
  <c r="P1119" i="3"/>
  <c r="T1119" i="3"/>
  <c r="E1103" i="3"/>
  <c r="I1103" i="3"/>
  <c r="M1103" i="3"/>
  <c r="Q1103" i="3"/>
  <c r="U1103" i="3"/>
  <c r="F1103" i="3"/>
  <c r="J1103" i="3"/>
  <c r="N1103" i="3"/>
  <c r="R1103" i="3"/>
  <c r="V1103" i="3"/>
  <c r="G1103" i="3"/>
  <c r="K1103" i="3"/>
  <c r="O1103" i="3"/>
  <c r="W1103" i="3"/>
  <c r="D1103" i="3"/>
  <c r="H1103" i="3"/>
  <c r="L1103" i="3"/>
  <c r="P1103" i="3"/>
  <c r="T1103" i="3"/>
  <c r="E1087" i="3"/>
  <c r="I1087" i="3"/>
  <c r="M1087" i="3"/>
  <c r="Q1087" i="3"/>
  <c r="U1087" i="3"/>
  <c r="F1087" i="3"/>
  <c r="J1087" i="3"/>
  <c r="N1087" i="3"/>
  <c r="R1087" i="3"/>
  <c r="V1087" i="3"/>
  <c r="G1087" i="3"/>
  <c r="K1087" i="3"/>
  <c r="O1087" i="3"/>
  <c r="W1087" i="3"/>
  <c r="D1087" i="3"/>
  <c r="H1087" i="3"/>
  <c r="L1087" i="3"/>
  <c r="P1087" i="3"/>
  <c r="T1087" i="3"/>
  <c r="E1071" i="3"/>
  <c r="I1071" i="3"/>
  <c r="M1071" i="3"/>
  <c r="Q1071" i="3"/>
  <c r="U1071" i="3"/>
  <c r="F1071" i="3"/>
  <c r="J1071" i="3"/>
  <c r="N1071" i="3"/>
  <c r="R1071" i="3"/>
  <c r="V1071" i="3"/>
  <c r="G1071" i="3"/>
  <c r="K1071" i="3"/>
  <c r="O1071" i="3"/>
  <c r="W1071" i="3"/>
  <c r="D1071" i="3"/>
  <c r="H1071" i="3"/>
  <c r="L1071" i="3"/>
  <c r="P1071" i="3"/>
  <c r="T1071" i="3"/>
  <c r="E1055" i="3"/>
  <c r="I1055" i="3"/>
  <c r="M1055" i="3"/>
  <c r="Q1055" i="3"/>
  <c r="U1055" i="3"/>
  <c r="F1055" i="3"/>
  <c r="J1055" i="3"/>
  <c r="N1055" i="3"/>
  <c r="R1055" i="3"/>
  <c r="V1055" i="3"/>
  <c r="G1055" i="3"/>
  <c r="K1055" i="3"/>
  <c r="O1055" i="3"/>
  <c r="W1055" i="3"/>
  <c r="D1055" i="3"/>
  <c r="H1055" i="3"/>
  <c r="L1055" i="3"/>
  <c r="P1055" i="3"/>
  <c r="T1055" i="3"/>
  <c r="E1039" i="3"/>
  <c r="I1039" i="3"/>
  <c r="M1039" i="3"/>
  <c r="Q1039" i="3"/>
  <c r="U1039" i="3"/>
  <c r="F1039" i="3"/>
  <c r="J1039" i="3"/>
  <c r="N1039" i="3"/>
  <c r="R1039" i="3"/>
  <c r="V1039" i="3"/>
  <c r="G1039" i="3"/>
  <c r="K1039" i="3"/>
  <c r="O1039" i="3"/>
  <c r="W1039" i="3"/>
  <c r="D1039" i="3"/>
  <c r="H1039" i="3"/>
  <c r="L1039" i="3"/>
  <c r="P1039" i="3"/>
  <c r="T1039" i="3"/>
  <c r="E1023" i="3"/>
  <c r="I1023" i="3"/>
  <c r="M1023" i="3"/>
  <c r="Q1023" i="3"/>
  <c r="U1023" i="3"/>
  <c r="F1023" i="3"/>
  <c r="J1023" i="3"/>
  <c r="N1023" i="3"/>
  <c r="R1023" i="3"/>
  <c r="V1023" i="3"/>
  <c r="G1023" i="3"/>
  <c r="K1023" i="3"/>
  <c r="O1023" i="3"/>
  <c r="W1023" i="3"/>
  <c r="D1023" i="3"/>
  <c r="H1023" i="3"/>
  <c r="L1023" i="3"/>
  <c r="P1023" i="3"/>
  <c r="T1023" i="3"/>
  <c r="E1007" i="3"/>
  <c r="I1007" i="3"/>
  <c r="M1007" i="3"/>
  <c r="Q1007" i="3"/>
  <c r="U1007" i="3"/>
  <c r="F1007" i="3"/>
  <c r="J1007" i="3"/>
  <c r="N1007" i="3"/>
  <c r="R1007" i="3"/>
  <c r="V1007" i="3"/>
  <c r="G1007" i="3"/>
  <c r="K1007" i="3"/>
  <c r="O1007" i="3"/>
  <c r="W1007" i="3"/>
  <c r="D1007" i="3"/>
  <c r="H1007" i="3"/>
  <c r="L1007" i="3"/>
  <c r="P1007" i="3"/>
  <c r="T1007" i="3"/>
  <c r="E991" i="3"/>
  <c r="I991" i="3"/>
  <c r="M991" i="3"/>
  <c r="Q991" i="3"/>
  <c r="U991" i="3"/>
  <c r="F991" i="3"/>
  <c r="J991" i="3"/>
  <c r="N991" i="3"/>
  <c r="R991" i="3"/>
  <c r="V991" i="3"/>
  <c r="G991" i="3"/>
  <c r="K991" i="3"/>
  <c r="O991" i="3"/>
  <c r="W991" i="3"/>
  <c r="D991" i="3"/>
  <c r="H991" i="3"/>
  <c r="L991" i="3"/>
  <c r="P991" i="3"/>
  <c r="T991" i="3"/>
  <c r="E975" i="3"/>
  <c r="I975" i="3"/>
  <c r="M975" i="3"/>
  <c r="Q975" i="3"/>
  <c r="U975" i="3"/>
  <c r="F975" i="3"/>
  <c r="J975" i="3"/>
  <c r="N975" i="3"/>
  <c r="R975" i="3"/>
  <c r="V975" i="3"/>
  <c r="G975" i="3"/>
  <c r="K975" i="3"/>
  <c r="O975" i="3"/>
  <c r="W975" i="3"/>
  <c r="D975" i="3"/>
  <c r="H975" i="3"/>
  <c r="L975" i="3"/>
  <c r="P975" i="3"/>
  <c r="T975" i="3"/>
  <c r="E955" i="3"/>
  <c r="I955" i="3"/>
  <c r="M955" i="3"/>
  <c r="Q955" i="3"/>
  <c r="U955" i="3"/>
  <c r="F955" i="3"/>
  <c r="J955" i="3"/>
  <c r="N955" i="3"/>
  <c r="R955" i="3"/>
  <c r="V955" i="3"/>
  <c r="G955" i="3"/>
  <c r="K955" i="3"/>
  <c r="O955" i="3"/>
  <c r="W955" i="3"/>
  <c r="D955" i="3"/>
  <c r="H955" i="3"/>
  <c r="L955" i="3"/>
  <c r="P955" i="3"/>
  <c r="T955" i="3"/>
  <c r="E929" i="3"/>
  <c r="I929" i="3"/>
  <c r="M929" i="3"/>
  <c r="Q929" i="3"/>
  <c r="U929" i="3"/>
  <c r="F929" i="3"/>
  <c r="J929" i="3"/>
  <c r="N929" i="3"/>
  <c r="R929" i="3"/>
  <c r="V929" i="3"/>
  <c r="G929" i="3"/>
  <c r="K929" i="3"/>
  <c r="O929" i="3"/>
  <c r="W929" i="3"/>
  <c r="D929" i="3"/>
  <c r="H929" i="3"/>
  <c r="L929" i="3"/>
  <c r="P929" i="3"/>
  <c r="T929" i="3"/>
  <c r="F910" i="3"/>
  <c r="J910" i="3"/>
  <c r="N910" i="3"/>
  <c r="R910" i="3"/>
  <c r="V910" i="3"/>
  <c r="D910" i="3"/>
  <c r="H910" i="3"/>
  <c r="L910" i="3"/>
  <c r="P910" i="3"/>
  <c r="T910" i="3"/>
  <c r="K910" i="3"/>
  <c r="E910" i="3"/>
  <c r="M910" i="3"/>
  <c r="U910" i="3"/>
  <c r="G910" i="3"/>
  <c r="O910" i="3"/>
  <c r="W910" i="3"/>
  <c r="I910" i="3"/>
  <c r="Q910" i="3"/>
  <c r="E891" i="3"/>
  <c r="I891" i="3"/>
  <c r="M891" i="3"/>
  <c r="Q891" i="3"/>
  <c r="U891" i="3"/>
  <c r="F891" i="3"/>
  <c r="J891" i="3"/>
  <c r="N891" i="3"/>
  <c r="R891" i="3"/>
  <c r="V891" i="3"/>
  <c r="G891" i="3"/>
  <c r="K891" i="3"/>
  <c r="O891" i="3"/>
  <c r="W891" i="3"/>
  <c r="D891" i="3"/>
  <c r="H891" i="3"/>
  <c r="L891" i="3"/>
  <c r="P891" i="3"/>
  <c r="T891" i="3"/>
  <c r="E858" i="3"/>
  <c r="I858" i="3"/>
  <c r="M858" i="3"/>
  <c r="Q858" i="3"/>
  <c r="U858" i="3"/>
  <c r="F858" i="3"/>
  <c r="J858" i="3"/>
  <c r="N858" i="3"/>
  <c r="R858" i="3"/>
  <c r="V858" i="3"/>
  <c r="G858" i="3"/>
  <c r="K858" i="3"/>
  <c r="O858" i="3"/>
  <c r="W858" i="3"/>
  <c r="D858" i="3"/>
  <c r="H858" i="3"/>
  <c r="L858" i="3"/>
  <c r="P858" i="3"/>
  <c r="T858" i="3"/>
  <c r="G1216" i="3"/>
  <c r="K1216" i="3"/>
  <c r="O1216" i="3"/>
  <c r="W1216" i="3"/>
  <c r="D1216" i="3"/>
  <c r="H1216" i="3"/>
  <c r="L1216" i="3"/>
  <c r="P1216" i="3"/>
  <c r="T1216" i="3"/>
  <c r="E1216" i="3"/>
  <c r="I1216" i="3"/>
  <c r="M1216" i="3"/>
  <c r="Q1216" i="3"/>
  <c r="U1216" i="3"/>
  <c r="F1216" i="3"/>
  <c r="J1216" i="3"/>
  <c r="N1216" i="3"/>
  <c r="R1216" i="3"/>
  <c r="V1216" i="3"/>
  <c r="G1200" i="3"/>
  <c r="K1200" i="3"/>
  <c r="O1200" i="3"/>
  <c r="W1200" i="3"/>
  <c r="D1200" i="3"/>
  <c r="H1200" i="3"/>
  <c r="L1200" i="3"/>
  <c r="P1200" i="3"/>
  <c r="T1200" i="3"/>
  <c r="E1200" i="3"/>
  <c r="I1200" i="3"/>
  <c r="M1200" i="3"/>
  <c r="Q1200" i="3"/>
  <c r="U1200" i="3"/>
  <c r="F1200" i="3"/>
  <c r="J1200" i="3"/>
  <c r="N1200" i="3"/>
  <c r="R1200" i="3"/>
  <c r="V1200" i="3"/>
  <c r="F1184" i="3"/>
  <c r="J1184" i="3"/>
  <c r="N1184" i="3"/>
  <c r="R1184" i="3"/>
  <c r="V1184" i="3"/>
  <c r="D1184" i="3"/>
  <c r="H1184" i="3"/>
  <c r="L1184" i="3"/>
  <c r="P1184" i="3"/>
  <c r="T1184" i="3"/>
  <c r="E1184" i="3"/>
  <c r="M1184" i="3"/>
  <c r="U1184" i="3"/>
  <c r="G1184" i="3"/>
  <c r="O1184" i="3"/>
  <c r="W1184" i="3"/>
  <c r="I1184" i="3"/>
  <c r="Q1184" i="3"/>
  <c r="K1184" i="3"/>
  <c r="E1168" i="3"/>
  <c r="I1168" i="3"/>
  <c r="M1168" i="3"/>
  <c r="Q1168" i="3"/>
  <c r="U1168" i="3"/>
  <c r="F1168" i="3"/>
  <c r="J1168" i="3"/>
  <c r="N1168" i="3"/>
  <c r="R1168" i="3"/>
  <c r="V1168" i="3"/>
  <c r="G1168" i="3"/>
  <c r="K1168" i="3"/>
  <c r="O1168" i="3"/>
  <c r="W1168" i="3"/>
  <c r="D1168" i="3"/>
  <c r="H1168" i="3"/>
  <c r="L1168" i="3"/>
  <c r="P1168" i="3"/>
  <c r="T1168" i="3"/>
  <c r="E1152" i="3"/>
  <c r="I1152" i="3"/>
  <c r="M1152" i="3"/>
  <c r="Q1152" i="3"/>
  <c r="U1152" i="3"/>
  <c r="F1152" i="3"/>
  <c r="J1152" i="3"/>
  <c r="N1152" i="3"/>
  <c r="R1152" i="3"/>
  <c r="V1152" i="3"/>
  <c r="G1152" i="3"/>
  <c r="K1152" i="3"/>
  <c r="O1152" i="3"/>
  <c r="W1152" i="3"/>
  <c r="D1152" i="3"/>
  <c r="H1152" i="3"/>
  <c r="L1152" i="3"/>
  <c r="P1152" i="3"/>
  <c r="T1152" i="3"/>
  <c r="E1136" i="3"/>
  <c r="I1136" i="3"/>
  <c r="M1136" i="3"/>
  <c r="Q1136" i="3"/>
  <c r="U1136" i="3"/>
  <c r="F1136" i="3"/>
  <c r="J1136" i="3"/>
  <c r="N1136" i="3"/>
  <c r="R1136" i="3"/>
  <c r="V1136" i="3"/>
  <c r="G1136" i="3"/>
  <c r="K1136" i="3"/>
  <c r="O1136" i="3"/>
  <c r="W1136" i="3"/>
  <c r="D1136" i="3"/>
  <c r="H1136" i="3"/>
  <c r="L1136" i="3"/>
  <c r="P1136" i="3"/>
  <c r="T1136" i="3"/>
  <c r="E1120" i="3"/>
  <c r="I1120" i="3"/>
  <c r="M1120" i="3"/>
  <c r="Q1120" i="3"/>
  <c r="U1120" i="3"/>
  <c r="F1120" i="3"/>
  <c r="J1120" i="3"/>
  <c r="N1120" i="3"/>
  <c r="R1120" i="3"/>
  <c r="V1120" i="3"/>
  <c r="G1120" i="3"/>
  <c r="K1120" i="3"/>
  <c r="O1120" i="3"/>
  <c r="W1120" i="3"/>
  <c r="D1120" i="3"/>
  <c r="H1120" i="3"/>
  <c r="L1120" i="3"/>
  <c r="P1120" i="3"/>
  <c r="T1120" i="3"/>
  <c r="E1104" i="3"/>
  <c r="I1104" i="3"/>
  <c r="M1104" i="3"/>
  <c r="Q1104" i="3"/>
  <c r="U1104" i="3"/>
  <c r="F1104" i="3"/>
  <c r="J1104" i="3"/>
  <c r="N1104" i="3"/>
  <c r="R1104" i="3"/>
  <c r="V1104" i="3"/>
  <c r="G1104" i="3"/>
  <c r="K1104" i="3"/>
  <c r="O1104" i="3"/>
  <c r="W1104" i="3"/>
  <c r="D1104" i="3"/>
  <c r="H1104" i="3"/>
  <c r="L1104" i="3"/>
  <c r="P1104" i="3"/>
  <c r="T1104" i="3"/>
  <c r="E1088" i="3"/>
  <c r="I1088" i="3"/>
  <c r="M1088" i="3"/>
  <c r="Q1088" i="3"/>
  <c r="U1088" i="3"/>
  <c r="F1088" i="3"/>
  <c r="J1088" i="3"/>
  <c r="N1088" i="3"/>
  <c r="R1088" i="3"/>
  <c r="V1088" i="3"/>
  <c r="G1088" i="3"/>
  <c r="K1088" i="3"/>
  <c r="O1088" i="3"/>
  <c r="W1088" i="3"/>
  <c r="D1088" i="3"/>
  <c r="H1088" i="3"/>
  <c r="L1088" i="3"/>
  <c r="P1088" i="3"/>
  <c r="T1088" i="3"/>
  <c r="E1072" i="3"/>
  <c r="I1072" i="3"/>
  <c r="M1072" i="3"/>
  <c r="Q1072" i="3"/>
  <c r="U1072" i="3"/>
  <c r="F1072" i="3"/>
  <c r="J1072" i="3"/>
  <c r="N1072" i="3"/>
  <c r="R1072" i="3"/>
  <c r="V1072" i="3"/>
  <c r="G1072" i="3"/>
  <c r="K1072" i="3"/>
  <c r="O1072" i="3"/>
  <c r="W1072" i="3"/>
  <c r="D1072" i="3"/>
  <c r="H1072" i="3"/>
  <c r="L1072" i="3"/>
  <c r="P1072" i="3"/>
  <c r="T1072" i="3"/>
  <c r="E1056" i="3"/>
  <c r="I1056" i="3"/>
  <c r="M1056" i="3"/>
  <c r="Q1056" i="3"/>
  <c r="U1056" i="3"/>
  <c r="F1056" i="3"/>
  <c r="J1056" i="3"/>
  <c r="N1056" i="3"/>
  <c r="R1056" i="3"/>
  <c r="V1056" i="3"/>
  <c r="G1056" i="3"/>
  <c r="K1056" i="3"/>
  <c r="O1056" i="3"/>
  <c r="W1056" i="3"/>
  <c r="D1056" i="3"/>
  <c r="H1056" i="3"/>
  <c r="L1056" i="3"/>
  <c r="P1056" i="3"/>
  <c r="T1056" i="3"/>
  <c r="E1040" i="3"/>
  <c r="I1040" i="3"/>
  <c r="M1040" i="3"/>
  <c r="Q1040" i="3"/>
  <c r="U1040" i="3"/>
  <c r="F1040" i="3"/>
  <c r="J1040" i="3"/>
  <c r="N1040" i="3"/>
  <c r="R1040" i="3"/>
  <c r="V1040" i="3"/>
  <c r="G1040" i="3"/>
  <c r="K1040" i="3"/>
  <c r="O1040" i="3"/>
  <c r="W1040" i="3"/>
  <c r="D1040" i="3"/>
  <c r="H1040" i="3"/>
  <c r="L1040" i="3"/>
  <c r="P1040" i="3"/>
  <c r="T1040" i="3"/>
  <c r="E1024" i="3"/>
  <c r="I1024" i="3"/>
  <c r="M1024" i="3"/>
  <c r="Q1024" i="3"/>
  <c r="U1024" i="3"/>
  <c r="F1024" i="3"/>
  <c r="J1024" i="3"/>
  <c r="N1024" i="3"/>
  <c r="R1024" i="3"/>
  <c r="V1024" i="3"/>
  <c r="G1024" i="3"/>
  <c r="K1024" i="3"/>
  <c r="O1024" i="3"/>
  <c r="W1024" i="3"/>
  <c r="D1024" i="3"/>
  <c r="H1024" i="3"/>
  <c r="L1024" i="3"/>
  <c r="P1024" i="3"/>
  <c r="T1024" i="3"/>
  <c r="E1008" i="3"/>
  <c r="I1008" i="3"/>
  <c r="M1008" i="3"/>
  <c r="Q1008" i="3"/>
  <c r="U1008" i="3"/>
  <c r="F1008" i="3"/>
  <c r="J1008" i="3"/>
  <c r="N1008" i="3"/>
  <c r="R1008" i="3"/>
  <c r="V1008" i="3"/>
  <c r="G1008" i="3"/>
  <c r="K1008" i="3"/>
  <c r="O1008" i="3"/>
  <c r="W1008" i="3"/>
  <c r="D1008" i="3"/>
  <c r="H1008" i="3"/>
  <c r="L1008" i="3"/>
  <c r="P1008" i="3"/>
  <c r="T1008" i="3"/>
  <c r="E992" i="3"/>
  <c r="I992" i="3"/>
  <c r="M992" i="3"/>
  <c r="Q992" i="3"/>
  <c r="U992" i="3"/>
  <c r="F992" i="3"/>
  <c r="J992" i="3"/>
  <c r="N992" i="3"/>
  <c r="R992" i="3"/>
  <c r="V992" i="3"/>
  <c r="G992" i="3"/>
  <c r="K992" i="3"/>
  <c r="O992" i="3"/>
  <c r="W992" i="3"/>
  <c r="D992" i="3"/>
  <c r="H992" i="3"/>
  <c r="L992" i="3"/>
  <c r="P992" i="3"/>
  <c r="T992" i="3"/>
  <c r="E976" i="3"/>
  <c r="I976" i="3"/>
  <c r="M976" i="3"/>
  <c r="Q976" i="3"/>
  <c r="U976" i="3"/>
  <c r="F976" i="3"/>
  <c r="J976" i="3"/>
  <c r="N976" i="3"/>
  <c r="R976" i="3"/>
  <c r="V976" i="3"/>
  <c r="G976" i="3"/>
  <c r="K976" i="3"/>
  <c r="O976" i="3"/>
  <c r="W976" i="3"/>
  <c r="D976" i="3"/>
  <c r="H976" i="3"/>
  <c r="L976" i="3"/>
  <c r="P976" i="3"/>
  <c r="T976" i="3"/>
  <c r="E959" i="3"/>
  <c r="I959" i="3"/>
  <c r="M959" i="3"/>
  <c r="Q959" i="3"/>
  <c r="U959" i="3"/>
  <c r="F959" i="3"/>
  <c r="J959" i="3"/>
  <c r="N959" i="3"/>
  <c r="R959" i="3"/>
  <c r="V959" i="3"/>
  <c r="G959" i="3"/>
  <c r="K959" i="3"/>
  <c r="O959" i="3"/>
  <c r="W959" i="3"/>
  <c r="D959" i="3"/>
  <c r="H959" i="3"/>
  <c r="L959" i="3"/>
  <c r="P959" i="3"/>
  <c r="T959" i="3"/>
  <c r="E933" i="3"/>
  <c r="I933" i="3"/>
  <c r="M933" i="3"/>
  <c r="Q933" i="3"/>
  <c r="U933" i="3"/>
  <c r="F933" i="3"/>
  <c r="J933" i="3"/>
  <c r="N933" i="3"/>
  <c r="R933" i="3"/>
  <c r="V933" i="3"/>
  <c r="G933" i="3"/>
  <c r="K933" i="3"/>
  <c r="O933" i="3"/>
  <c r="W933" i="3"/>
  <c r="D933" i="3"/>
  <c r="H933" i="3"/>
  <c r="L933" i="3"/>
  <c r="P933" i="3"/>
  <c r="T933" i="3"/>
  <c r="F914" i="3"/>
  <c r="J914" i="3"/>
  <c r="N914" i="3"/>
  <c r="R914" i="3"/>
  <c r="V914" i="3"/>
  <c r="D914" i="3"/>
  <c r="H914" i="3"/>
  <c r="L914" i="3"/>
  <c r="P914" i="3"/>
  <c r="T914" i="3"/>
  <c r="K914" i="3"/>
  <c r="E914" i="3"/>
  <c r="M914" i="3"/>
  <c r="U914" i="3"/>
  <c r="G914" i="3"/>
  <c r="O914" i="3"/>
  <c r="W914" i="3"/>
  <c r="I914" i="3"/>
  <c r="Q914" i="3"/>
  <c r="E895" i="3"/>
  <c r="I895" i="3"/>
  <c r="M895" i="3"/>
  <c r="Q895" i="3"/>
  <c r="U895" i="3"/>
  <c r="F895" i="3"/>
  <c r="J895" i="3"/>
  <c r="N895" i="3"/>
  <c r="R895" i="3"/>
  <c r="V895" i="3"/>
  <c r="G895" i="3"/>
  <c r="K895" i="3"/>
  <c r="O895" i="3"/>
  <c r="W895" i="3"/>
  <c r="D895" i="3"/>
  <c r="H895" i="3"/>
  <c r="L895" i="3"/>
  <c r="P895" i="3"/>
  <c r="T895" i="3"/>
  <c r="E861" i="3"/>
  <c r="I861" i="3"/>
  <c r="M861" i="3"/>
  <c r="Q861" i="3"/>
  <c r="U861" i="3"/>
  <c r="F861" i="3"/>
  <c r="J861" i="3"/>
  <c r="N861" i="3"/>
  <c r="R861" i="3"/>
  <c r="V861" i="3"/>
  <c r="G861" i="3"/>
  <c r="K861" i="3"/>
  <c r="O861" i="3"/>
  <c r="W861" i="3"/>
  <c r="D861" i="3"/>
  <c r="H861" i="3"/>
  <c r="L861" i="3"/>
  <c r="P861" i="3"/>
  <c r="T861" i="3"/>
  <c r="E1169" i="3"/>
  <c r="I1169" i="3"/>
  <c r="M1169" i="3"/>
  <c r="Q1169" i="3"/>
  <c r="U1169" i="3"/>
  <c r="F1169" i="3"/>
  <c r="J1169" i="3"/>
  <c r="N1169" i="3"/>
  <c r="R1169" i="3"/>
  <c r="V1169" i="3"/>
  <c r="G1169" i="3"/>
  <c r="K1169" i="3"/>
  <c r="O1169" i="3"/>
  <c r="W1169" i="3"/>
  <c r="D1169" i="3"/>
  <c r="H1169" i="3"/>
  <c r="L1169" i="3"/>
  <c r="P1169" i="3"/>
  <c r="T1169" i="3"/>
  <c r="E1153" i="3"/>
  <c r="I1153" i="3"/>
  <c r="M1153" i="3"/>
  <c r="Q1153" i="3"/>
  <c r="U1153" i="3"/>
  <c r="F1153" i="3"/>
  <c r="J1153" i="3"/>
  <c r="N1153" i="3"/>
  <c r="R1153" i="3"/>
  <c r="V1153" i="3"/>
  <c r="G1153" i="3"/>
  <c r="K1153" i="3"/>
  <c r="O1153" i="3"/>
  <c r="W1153" i="3"/>
  <c r="D1153" i="3"/>
  <c r="H1153" i="3"/>
  <c r="L1153" i="3"/>
  <c r="P1153" i="3"/>
  <c r="T1153" i="3"/>
  <c r="E1137" i="3"/>
  <c r="I1137" i="3"/>
  <c r="M1137" i="3"/>
  <c r="Q1137" i="3"/>
  <c r="U1137" i="3"/>
  <c r="F1137" i="3"/>
  <c r="J1137" i="3"/>
  <c r="N1137" i="3"/>
  <c r="R1137" i="3"/>
  <c r="V1137" i="3"/>
  <c r="G1137" i="3"/>
  <c r="K1137" i="3"/>
  <c r="O1137" i="3"/>
  <c r="W1137" i="3"/>
  <c r="D1137" i="3"/>
  <c r="H1137" i="3"/>
  <c r="L1137" i="3"/>
  <c r="P1137" i="3"/>
  <c r="T1137" i="3"/>
  <c r="E1121" i="3"/>
  <c r="I1121" i="3"/>
  <c r="M1121" i="3"/>
  <c r="Q1121" i="3"/>
  <c r="U1121" i="3"/>
  <c r="F1121" i="3"/>
  <c r="J1121" i="3"/>
  <c r="N1121" i="3"/>
  <c r="R1121" i="3"/>
  <c r="V1121" i="3"/>
  <c r="G1121" i="3"/>
  <c r="K1121" i="3"/>
  <c r="O1121" i="3"/>
  <c r="W1121" i="3"/>
  <c r="D1121" i="3"/>
  <c r="H1121" i="3"/>
  <c r="L1121" i="3"/>
  <c r="P1121" i="3"/>
  <c r="T1121" i="3"/>
  <c r="E1105" i="3"/>
  <c r="I1105" i="3"/>
  <c r="M1105" i="3"/>
  <c r="Q1105" i="3"/>
  <c r="U1105" i="3"/>
  <c r="F1105" i="3"/>
  <c r="J1105" i="3"/>
  <c r="N1105" i="3"/>
  <c r="R1105" i="3"/>
  <c r="V1105" i="3"/>
  <c r="G1105" i="3"/>
  <c r="K1105" i="3"/>
  <c r="O1105" i="3"/>
  <c r="W1105" i="3"/>
  <c r="D1105" i="3"/>
  <c r="H1105" i="3"/>
  <c r="L1105" i="3"/>
  <c r="P1105" i="3"/>
  <c r="T1105" i="3"/>
  <c r="E1089" i="3"/>
  <c r="I1089" i="3"/>
  <c r="M1089" i="3"/>
  <c r="Q1089" i="3"/>
  <c r="U1089" i="3"/>
  <c r="F1089" i="3"/>
  <c r="J1089" i="3"/>
  <c r="N1089" i="3"/>
  <c r="R1089" i="3"/>
  <c r="V1089" i="3"/>
  <c r="G1089" i="3"/>
  <c r="K1089" i="3"/>
  <c r="O1089" i="3"/>
  <c r="W1089" i="3"/>
  <c r="D1089" i="3"/>
  <c r="H1089" i="3"/>
  <c r="L1089" i="3"/>
  <c r="P1089" i="3"/>
  <c r="T1089" i="3"/>
  <c r="E1073" i="3"/>
  <c r="I1073" i="3"/>
  <c r="M1073" i="3"/>
  <c r="Q1073" i="3"/>
  <c r="U1073" i="3"/>
  <c r="F1073" i="3"/>
  <c r="J1073" i="3"/>
  <c r="N1073" i="3"/>
  <c r="R1073" i="3"/>
  <c r="V1073" i="3"/>
  <c r="G1073" i="3"/>
  <c r="K1073" i="3"/>
  <c r="O1073" i="3"/>
  <c r="W1073" i="3"/>
  <c r="D1073" i="3"/>
  <c r="H1073" i="3"/>
  <c r="L1073" i="3"/>
  <c r="P1073" i="3"/>
  <c r="T1073" i="3"/>
  <c r="E1057" i="3"/>
  <c r="I1057" i="3"/>
  <c r="M1057" i="3"/>
  <c r="Q1057" i="3"/>
  <c r="U1057" i="3"/>
  <c r="F1057" i="3"/>
  <c r="J1057" i="3"/>
  <c r="N1057" i="3"/>
  <c r="R1057" i="3"/>
  <c r="V1057" i="3"/>
  <c r="G1057" i="3"/>
  <c r="K1057" i="3"/>
  <c r="O1057" i="3"/>
  <c r="W1057" i="3"/>
  <c r="D1057" i="3"/>
  <c r="H1057" i="3"/>
  <c r="L1057" i="3"/>
  <c r="P1057" i="3"/>
  <c r="T1057" i="3"/>
  <c r="E1041" i="3"/>
  <c r="I1041" i="3"/>
  <c r="M1041" i="3"/>
  <c r="Q1041" i="3"/>
  <c r="U1041" i="3"/>
  <c r="F1041" i="3"/>
  <c r="J1041" i="3"/>
  <c r="N1041" i="3"/>
  <c r="R1041" i="3"/>
  <c r="V1041" i="3"/>
  <c r="G1041" i="3"/>
  <c r="K1041" i="3"/>
  <c r="O1041" i="3"/>
  <c r="W1041" i="3"/>
  <c r="D1041" i="3"/>
  <c r="H1041" i="3"/>
  <c r="L1041" i="3"/>
  <c r="P1041" i="3"/>
  <c r="T1041" i="3"/>
  <c r="E1025" i="3"/>
  <c r="I1025" i="3"/>
  <c r="M1025" i="3"/>
  <c r="Q1025" i="3"/>
  <c r="U1025" i="3"/>
  <c r="F1025" i="3"/>
  <c r="J1025" i="3"/>
  <c r="N1025" i="3"/>
  <c r="R1025" i="3"/>
  <c r="V1025" i="3"/>
  <c r="G1025" i="3"/>
  <c r="K1025" i="3"/>
  <c r="O1025" i="3"/>
  <c r="W1025" i="3"/>
  <c r="D1025" i="3"/>
  <c r="H1025" i="3"/>
  <c r="L1025" i="3"/>
  <c r="P1025" i="3"/>
  <c r="T1025" i="3"/>
  <c r="E1009" i="3"/>
  <c r="I1009" i="3"/>
  <c r="M1009" i="3"/>
  <c r="Q1009" i="3"/>
  <c r="U1009" i="3"/>
  <c r="F1009" i="3"/>
  <c r="J1009" i="3"/>
  <c r="N1009" i="3"/>
  <c r="R1009" i="3"/>
  <c r="V1009" i="3"/>
  <c r="G1009" i="3"/>
  <c r="K1009" i="3"/>
  <c r="O1009" i="3"/>
  <c r="W1009" i="3"/>
  <c r="D1009" i="3"/>
  <c r="H1009" i="3"/>
  <c r="L1009" i="3"/>
  <c r="P1009" i="3"/>
  <c r="T1009" i="3"/>
  <c r="E993" i="3"/>
  <c r="I993" i="3"/>
  <c r="M993" i="3"/>
  <c r="Q993" i="3"/>
  <c r="U993" i="3"/>
  <c r="F993" i="3"/>
  <c r="J993" i="3"/>
  <c r="N993" i="3"/>
  <c r="R993" i="3"/>
  <c r="V993" i="3"/>
  <c r="G993" i="3"/>
  <c r="K993" i="3"/>
  <c r="O993" i="3"/>
  <c r="W993" i="3"/>
  <c r="D993" i="3"/>
  <c r="H993" i="3"/>
  <c r="L993" i="3"/>
  <c r="P993" i="3"/>
  <c r="T993" i="3"/>
  <c r="E977" i="3"/>
  <c r="I977" i="3"/>
  <c r="M977" i="3"/>
  <c r="Q977" i="3"/>
  <c r="U977" i="3"/>
  <c r="F977" i="3"/>
  <c r="J977" i="3"/>
  <c r="N977" i="3"/>
  <c r="R977" i="3"/>
  <c r="V977" i="3"/>
  <c r="G977" i="3"/>
  <c r="K977" i="3"/>
  <c r="O977" i="3"/>
  <c r="W977" i="3"/>
  <c r="D977" i="3"/>
  <c r="H977" i="3"/>
  <c r="L977" i="3"/>
  <c r="P977" i="3"/>
  <c r="T977" i="3"/>
  <c r="E963" i="3"/>
  <c r="I963" i="3"/>
  <c r="M963" i="3"/>
  <c r="Q963" i="3"/>
  <c r="U963" i="3"/>
  <c r="F963" i="3"/>
  <c r="J963" i="3"/>
  <c r="N963" i="3"/>
  <c r="R963" i="3"/>
  <c r="V963" i="3"/>
  <c r="G963" i="3"/>
  <c r="K963" i="3"/>
  <c r="O963" i="3"/>
  <c r="W963" i="3"/>
  <c r="D963" i="3"/>
  <c r="H963" i="3"/>
  <c r="L963" i="3"/>
  <c r="P963" i="3"/>
  <c r="T963" i="3"/>
  <c r="E937" i="3"/>
  <c r="I937" i="3"/>
  <c r="M937" i="3"/>
  <c r="Q937" i="3"/>
  <c r="U937" i="3"/>
  <c r="F937" i="3"/>
  <c r="J937" i="3"/>
  <c r="N937" i="3"/>
  <c r="R937" i="3"/>
  <c r="V937" i="3"/>
  <c r="G937" i="3"/>
  <c r="K937" i="3"/>
  <c r="O937" i="3"/>
  <c r="W937" i="3"/>
  <c r="D937" i="3"/>
  <c r="H937" i="3"/>
  <c r="L937" i="3"/>
  <c r="P937" i="3"/>
  <c r="T937" i="3"/>
  <c r="F918" i="3"/>
  <c r="D918" i="3"/>
  <c r="I918" i="3"/>
  <c r="M918" i="3"/>
  <c r="Q918" i="3"/>
  <c r="U918" i="3"/>
  <c r="E918" i="3"/>
  <c r="J918" i="3"/>
  <c r="N918" i="3"/>
  <c r="R918" i="3"/>
  <c r="V918" i="3"/>
  <c r="G918" i="3"/>
  <c r="K918" i="3"/>
  <c r="O918" i="3"/>
  <c r="W918" i="3"/>
  <c r="H918" i="3"/>
  <c r="L918" i="3"/>
  <c r="P918" i="3"/>
  <c r="T918" i="3"/>
  <c r="E899" i="3"/>
  <c r="I899" i="3"/>
  <c r="M899" i="3"/>
  <c r="Q899" i="3"/>
  <c r="U899" i="3"/>
  <c r="F899" i="3"/>
  <c r="J899" i="3"/>
  <c r="N899" i="3"/>
  <c r="R899" i="3"/>
  <c r="V899" i="3"/>
  <c r="G899" i="3"/>
  <c r="K899" i="3"/>
  <c r="O899" i="3"/>
  <c r="W899" i="3"/>
  <c r="D899" i="3"/>
  <c r="H899" i="3"/>
  <c r="L899" i="3"/>
  <c r="P899" i="3"/>
  <c r="T899" i="3"/>
  <c r="E870" i="3"/>
  <c r="I870" i="3"/>
  <c r="M870" i="3"/>
  <c r="Q870" i="3"/>
  <c r="U870" i="3"/>
  <c r="F870" i="3"/>
  <c r="J870" i="3"/>
  <c r="N870" i="3"/>
  <c r="R870" i="3"/>
  <c r="V870" i="3"/>
  <c r="G870" i="3"/>
  <c r="K870" i="3"/>
  <c r="O870" i="3"/>
  <c r="W870" i="3"/>
  <c r="D870" i="3"/>
  <c r="H870" i="3"/>
  <c r="L870" i="3"/>
  <c r="P870" i="3"/>
  <c r="T870" i="3"/>
  <c r="E883" i="3"/>
  <c r="I883" i="3"/>
  <c r="M883" i="3"/>
  <c r="Q883" i="3"/>
  <c r="U883" i="3"/>
  <c r="F883" i="3"/>
  <c r="J883" i="3"/>
  <c r="N883" i="3"/>
  <c r="R883" i="3"/>
  <c r="V883" i="3"/>
  <c r="G883" i="3"/>
  <c r="K883" i="3"/>
  <c r="O883" i="3"/>
  <c r="W883" i="3"/>
  <c r="D883" i="3"/>
  <c r="H883" i="3"/>
  <c r="L883" i="3"/>
  <c r="P883" i="3"/>
  <c r="T883" i="3"/>
  <c r="E867" i="3"/>
  <c r="I867" i="3"/>
  <c r="M867" i="3"/>
  <c r="Q867" i="3"/>
  <c r="U867" i="3"/>
  <c r="F867" i="3"/>
  <c r="J867" i="3"/>
  <c r="N867" i="3"/>
  <c r="R867" i="3"/>
  <c r="V867" i="3"/>
  <c r="G867" i="3"/>
  <c r="K867" i="3"/>
  <c r="O867" i="3"/>
  <c r="W867" i="3"/>
  <c r="D867" i="3"/>
  <c r="H867" i="3"/>
  <c r="L867" i="3"/>
  <c r="P867" i="3"/>
  <c r="T867" i="3"/>
  <c r="E851" i="3"/>
  <c r="I851" i="3"/>
  <c r="M851" i="3"/>
  <c r="Q851" i="3"/>
  <c r="U851" i="3"/>
  <c r="F851" i="3"/>
  <c r="J851" i="3"/>
  <c r="N851" i="3"/>
  <c r="R851" i="3"/>
  <c r="V851" i="3"/>
  <c r="G851" i="3"/>
  <c r="K851" i="3"/>
  <c r="O851" i="3"/>
  <c r="W851" i="3"/>
  <c r="D851" i="3"/>
  <c r="H851" i="3"/>
  <c r="L851" i="3"/>
  <c r="P851" i="3"/>
  <c r="T851" i="3"/>
  <c r="E835" i="3"/>
  <c r="I835" i="3"/>
  <c r="M835" i="3"/>
  <c r="Q835" i="3"/>
  <c r="U835" i="3"/>
  <c r="F835" i="3"/>
  <c r="J835" i="3"/>
  <c r="N835" i="3"/>
  <c r="R835" i="3"/>
  <c r="V835" i="3"/>
  <c r="G835" i="3"/>
  <c r="K835" i="3"/>
  <c r="O835" i="3"/>
  <c r="W835" i="3"/>
  <c r="D835" i="3"/>
  <c r="H835" i="3"/>
  <c r="L835" i="3"/>
  <c r="P835" i="3"/>
  <c r="T835" i="3"/>
  <c r="E819" i="3"/>
  <c r="I819" i="3"/>
  <c r="M819" i="3"/>
  <c r="Q819" i="3"/>
  <c r="U819" i="3"/>
  <c r="F819" i="3"/>
  <c r="J819" i="3"/>
  <c r="N819" i="3"/>
  <c r="R819" i="3"/>
  <c r="V819" i="3"/>
  <c r="G819" i="3"/>
  <c r="K819" i="3"/>
  <c r="O819" i="3"/>
  <c r="W819" i="3"/>
  <c r="D819" i="3"/>
  <c r="H819" i="3"/>
  <c r="L819" i="3"/>
  <c r="P819" i="3"/>
  <c r="T819" i="3"/>
  <c r="E803" i="3"/>
  <c r="I803" i="3"/>
  <c r="M803" i="3"/>
  <c r="Q803" i="3"/>
  <c r="U803" i="3"/>
  <c r="F803" i="3"/>
  <c r="J803" i="3"/>
  <c r="N803" i="3"/>
  <c r="R803" i="3"/>
  <c r="V803" i="3"/>
  <c r="G803" i="3"/>
  <c r="K803" i="3"/>
  <c r="O803" i="3"/>
  <c r="W803" i="3"/>
  <c r="D803" i="3"/>
  <c r="H803" i="3"/>
  <c r="L803" i="3"/>
  <c r="P803" i="3"/>
  <c r="T803" i="3"/>
  <c r="E787" i="3"/>
  <c r="I787" i="3"/>
  <c r="M787" i="3"/>
  <c r="Q787" i="3"/>
  <c r="U787" i="3"/>
  <c r="F787" i="3"/>
  <c r="J787" i="3"/>
  <c r="N787" i="3"/>
  <c r="R787" i="3"/>
  <c r="V787" i="3"/>
  <c r="G787" i="3"/>
  <c r="K787" i="3"/>
  <c r="O787" i="3"/>
  <c r="W787" i="3"/>
  <c r="D787" i="3"/>
  <c r="H787" i="3"/>
  <c r="L787" i="3"/>
  <c r="P787" i="3"/>
  <c r="T787" i="3"/>
  <c r="E771" i="3"/>
  <c r="I771" i="3"/>
  <c r="M771" i="3"/>
  <c r="Q771" i="3"/>
  <c r="U771" i="3"/>
  <c r="G771" i="3"/>
  <c r="K771" i="3"/>
  <c r="O771" i="3"/>
  <c r="W771" i="3"/>
  <c r="H771" i="3"/>
  <c r="P771" i="3"/>
  <c r="J771" i="3"/>
  <c r="R771" i="3"/>
  <c r="D771" i="3"/>
  <c r="L771" i="3"/>
  <c r="T771" i="3"/>
  <c r="F771" i="3"/>
  <c r="N771" i="3"/>
  <c r="V771" i="3"/>
  <c r="D755" i="3"/>
  <c r="H755" i="3"/>
  <c r="L755" i="3"/>
  <c r="P755" i="3"/>
  <c r="T755" i="3"/>
  <c r="E755" i="3"/>
  <c r="I755" i="3"/>
  <c r="M755" i="3"/>
  <c r="Q755" i="3"/>
  <c r="U755" i="3"/>
  <c r="F755" i="3"/>
  <c r="J755" i="3"/>
  <c r="N755" i="3"/>
  <c r="R755" i="3"/>
  <c r="V755" i="3"/>
  <c r="G755" i="3"/>
  <c r="K755" i="3"/>
  <c r="O755" i="3"/>
  <c r="W755" i="3"/>
  <c r="D739" i="3"/>
  <c r="H739" i="3"/>
  <c r="L739" i="3"/>
  <c r="P739" i="3"/>
  <c r="T739" i="3"/>
  <c r="E739" i="3"/>
  <c r="I739" i="3"/>
  <c r="M739" i="3"/>
  <c r="Q739" i="3"/>
  <c r="U739" i="3"/>
  <c r="F739" i="3"/>
  <c r="J739" i="3"/>
  <c r="N739" i="3"/>
  <c r="R739" i="3"/>
  <c r="V739" i="3"/>
  <c r="G739" i="3"/>
  <c r="K739" i="3"/>
  <c r="O739" i="3"/>
  <c r="W739" i="3"/>
  <c r="D723" i="3"/>
  <c r="H723" i="3"/>
  <c r="L723" i="3"/>
  <c r="P723" i="3"/>
  <c r="T723" i="3"/>
  <c r="E723" i="3"/>
  <c r="I723" i="3"/>
  <c r="M723" i="3"/>
  <c r="Q723" i="3"/>
  <c r="U723" i="3"/>
  <c r="F723" i="3"/>
  <c r="J723" i="3"/>
  <c r="N723" i="3"/>
  <c r="R723" i="3"/>
  <c r="V723" i="3"/>
  <c r="G723" i="3"/>
  <c r="K723" i="3"/>
  <c r="O723" i="3"/>
  <c r="W723" i="3"/>
  <c r="D707" i="3"/>
  <c r="H707" i="3"/>
  <c r="L707" i="3"/>
  <c r="P707" i="3"/>
  <c r="T707" i="3"/>
  <c r="E707" i="3"/>
  <c r="I707" i="3"/>
  <c r="M707" i="3"/>
  <c r="Q707" i="3"/>
  <c r="U707" i="3"/>
  <c r="F707" i="3"/>
  <c r="J707" i="3"/>
  <c r="N707" i="3"/>
  <c r="R707" i="3"/>
  <c r="V707" i="3"/>
  <c r="G707" i="3"/>
  <c r="K707" i="3"/>
  <c r="O707" i="3"/>
  <c r="W707" i="3"/>
  <c r="D681" i="3"/>
  <c r="H681" i="3"/>
  <c r="L681" i="3"/>
  <c r="P681" i="3"/>
  <c r="T681" i="3"/>
  <c r="E681" i="3"/>
  <c r="I681" i="3"/>
  <c r="M681" i="3"/>
  <c r="Q681" i="3"/>
  <c r="U681" i="3"/>
  <c r="F681" i="3"/>
  <c r="J681" i="3"/>
  <c r="N681" i="3"/>
  <c r="R681" i="3"/>
  <c r="V681" i="3"/>
  <c r="G681" i="3"/>
  <c r="K681" i="3"/>
  <c r="O681" i="3"/>
  <c r="W681" i="3"/>
  <c r="D662" i="3"/>
  <c r="H662" i="3"/>
  <c r="L662" i="3"/>
  <c r="P662" i="3"/>
  <c r="T662" i="3"/>
  <c r="E662" i="3"/>
  <c r="I662" i="3"/>
  <c r="M662" i="3"/>
  <c r="Q662" i="3"/>
  <c r="U662" i="3"/>
  <c r="F662" i="3"/>
  <c r="J662" i="3"/>
  <c r="N662" i="3"/>
  <c r="R662" i="3"/>
  <c r="V662" i="3"/>
  <c r="G662" i="3"/>
  <c r="K662" i="3"/>
  <c r="O662" i="3"/>
  <c r="W662" i="3"/>
  <c r="F643" i="3"/>
  <c r="J643" i="3"/>
  <c r="N643" i="3"/>
  <c r="D643" i="3"/>
  <c r="H643" i="3"/>
  <c r="L643" i="3"/>
  <c r="P643" i="3"/>
  <c r="G643" i="3"/>
  <c r="O643" i="3"/>
  <c r="T643" i="3"/>
  <c r="I643" i="3"/>
  <c r="Q643" i="3"/>
  <c r="U643" i="3"/>
  <c r="K643" i="3"/>
  <c r="R643" i="3"/>
  <c r="V643" i="3"/>
  <c r="E643" i="3"/>
  <c r="M643" i="3"/>
  <c r="W643" i="3"/>
  <c r="E617" i="3"/>
  <c r="I617" i="3"/>
  <c r="M617" i="3"/>
  <c r="Q617" i="3"/>
  <c r="U617" i="3"/>
  <c r="F617" i="3"/>
  <c r="J617" i="3"/>
  <c r="N617" i="3"/>
  <c r="R617" i="3"/>
  <c r="V617" i="3"/>
  <c r="G617" i="3"/>
  <c r="K617" i="3"/>
  <c r="O617" i="3"/>
  <c r="W617" i="3"/>
  <c r="D617" i="3"/>
  <c r="H617" i="3"/>
  <c r="L617" i="3"/>
  <c r="P617" i="3"/>
  <c r="T617" i="3"/>
  <c r="E964" i="3"/>
  <c r="I964" i="3"/>
  <c r="M964" i="3"/>
  <c r="Q964" i="3"/>
  <c r="U964" i="3"/>
  <c r="F964" i="3"/>
  <c r="J964" i="3"/>
  <c r="N964" i="3"/>
  <c r="R964" i="3"/>
  <c r="V964" i="3"/>
  <c r="G964" i="3"/>
  <c r="K964" i="3"/>
  <c r="O964" i="3"/>
  <c r="W964" i="3"/>
  <c r="D964" i="3"/>
  <c r="H964" i="3"/>
  <c r="L964" i="3"/>
  <c r="P964" i="3"/>
  <c r="T964" i="3"/>
  <c r="E948" i="3"/>
  <c r="I948" i="3"/>
  <c r="M948" i="3"/>
  <c r="Q948" i="3"/>
  <c r="U948" i="3"/>
  <c r="F948" i="3"/>
  <c r="J948" i="3"/>
  <c r="N948" i="3"/>
  <c r="R948" i="3"/>
  <c r="V948" i="3"/>
  <c r="G948" i="3"/>
  <c r="K948" i="3"/>
  <c r="O948" i="3"/>
  <c r="W948" i="3"/>
  <c r="D948" i="3"/>
  <c r="H948" i="3"/>
  <c r="L948" i="3"/>
  <c r="P948" i="3"/>
  <c r="T948" i="3"/>
  <c r="E932" i="3"/>
  <c r="I932" i="3"/>
  <c r="M932" i="3"/>
  <c r="Q932" i="3"/>
  <c r="U932" i="3"/>
  <c r="F932" i="3"/>
  <c r="J932" i="3"/>
  <c r="N932" i="3"/>
  <c r="R932" i="3"/>
  <c r="V932" i="3"/>
  <c r="G932" i="3"/>
  <c r="K932" i="3"/>
  <c r="O932" i="3"/>
  <c r="W932" i="3"/>
  <c r="D932" i="3"/>
  <c r="H932" i="3"/>
  <c r="L932" i="3"/>
  <c r="P932" i="3"/>
  <c r="T932" i="3"/>
  <c r="F916" i="3"/>
  <c r="J916" i="3"/>
  <c r="N916" i="3"/>
  <c r="R916" i="3"/>
  <c r="V916" i="3"/>
  <c r="D916" i="3"/>
  <c r="H916" i="3"/>
  <c r="L916" i="3"/>
  <c r="P916" i="3"/>
  <c r="T916" i="3"/>
  <c r="K916" i="3"/>
  <c r="E916" i="3"/>
  <c r="M916" i="3"/>
  <c r="U916" i="3"/>
  <c r="G916" i="3"/>
  <c r="O916" i="3"/>
  <c r="W916" i="3"/>
  <c r="I916" i="3"/>
  <c r="Q916" i="3"/>
  <c r="E900" i="3"/>
  <c r="I900" i="3"/>
  <c r="M900" i="3"/>
  <c r="Q900" i="3"/>
  <c r="U900" i="3"/>
  <c r="F900" i="3"/>
  <c r="J900" i="3"/>
  <c r="N900" i="3"/>
  <c r="R900" i="3"/>
  <c r="V900" i="3"/>
  <c r="G900" i="3"/>
  <c r="K900" i="3"/>
  <c r="O900" i="3"/>
  <c r="W900" i="3"/>
  <c r="D900" i="3"/>
  <c r="H900" i="3"/>
  <c r="L900" i="3"/>
  <c r="P900" i="3"/>
  <c r="T900" i="3"/>
  <c r="E884" i="3"/>
  <c r="I884" i="3"/>
  <c r="M884" i="3"/>
  <c r="Q884" i="3"/>
  <c r="U884" i="3"/>
  <c r="F884" i="3"/>
  <c r="J884" i="3"/>
  <c r="N884" i="3"/>
  <c r="R884" i="3"/>
  <c r="V884" i="3"/>
  <c r="G884" i="3"/>
  <c r="K884" i="3"/>
  <c r="O884" i="3"/>
  <c r="W884" i="3"/>
  <c r="D884" i="3"/>
  <c r="H884" i="3"/>
  <c r="L884" i="3"/>
  <c r="P884" i="3"/>
  <c r="T884" i="3"/>
  <c r="E868" i="3"/>
  <c r="I868" i="3"/>
  <c r="M868" i="3"/>
  <c r="Q868" i="3"/>
  <c r="U868" i="3"/>
  <c r="F868" i="3"/>
  <c r="J868" i="3"/>
  <c r="N868" i="3"/>
  <c r="R868" i="3"/>
  <c r="V868" i="3"/>
  <c r="G868" i="3"/>
  <c r="K868" i="3"/>
  <c r="O868" i="3"/>
  <c r="W868" i="3"/>
  <c r="D868" i="3"/>
  <c r="H868" i="3"/>
  <c r="L868" i="3"/>
  <c r="P868" i="3"/>
  <c r="T868" i="3"/>
  <c r="E852" i="3"/>
  <c r="I852" i="3"/>
  <c r="M852" i="3"/>
  <c r="Q852" i="3"/>
  <c r="U852" i="3"/>
  <c r="F852" i="3"/>
  <c r="J852" i="3"/>
  <c r="N852" i="3"/>
  <c r="R852" i="3"/>
  <c r="V852" i="3"/>
  <c r="G852" i="3"/>
  <c r="K852" i="3"/>
  <c r="O852" i="3"/>
  <c r="W852" i="3"/>
  <c r="D852" i="3"/>
  <c r="H852" i="3"/>
  <c r="L852" i="3"/>
  <c r="P852" i="3"/>
  <c r="T852" i="3"/>
  <c r="E836" i="3"/>
  <c r="I836" i="3"/>
  <c r="M836" i="3"/>
  <c r="Q836" i="3"/>
  <c r="U836" i="3"/>
  <c r="F836" i="3"/>
  <c r="J836" i="3"/>
  <c r="N836" i="3"/>
  <c r="R836" i="3"/>
  <c r="V836" i="3"/>
  <c r="G836" i="3"/>
  <c r="K836" i="3"/>
  <c r="O836" i="3"/>
  <c r="W836" i="3"/>
  <c r="D836" i="3"/>
  <c r="H836" i="3"/>
  <c r="L836" i="3"/>
  <c r="P836" i="3"/>
  <c r="T836" i="3"/>
  <c r="E820" i="3"/>
  <c r="I820" i="3"/>
  <c r="M820" i="3"/>
  <c r="Q820" i="3"/>
  <c r="U820" i="3"/>
  <c r="F820" i="3"/>
  <c r="J820" i="3"/>
  <c r="N820" i="3"/>
  <c r="R820" i="3"/>
  <c r="V820" i="3"/>
  <c r="G820" i="3"/>
  <c r="K820" i="3"/>
  <c r="O820" i="3"/>
  <c r="W820" i="3"/>
  <c r="D820" i="3"/>
  <c r="H820" i="3"/>
  <c r="L820" i="3"/>
  <c r="P820" i="3"/>
  <c r="T820" i="3"/>
  <c r="E804" i="3"/>
  <c r="I804" i="3"/>
  <c r="M804" i="3"/>
  <c r="Q804" i="3"/>
  <c r="U804" i="3"/>
  <c r="F804" i="3"/>
  <c r="J804" i="3"/>
  <c r="N804" i="3"/>
  <c r="R804" i="3"/>
  <c r="V804" i="3"/>
  <c r="G804" i="3"/>
  <c r="K804" i="3"/>
  <c r="O804" i="3"/>
  <c r="W804" i="3"/>
  <c r="D804" i="3"/>
  <c r="H804" i="3"/>
  <c r="L804" i="3"/>
  <c r="P804" i="3"/>
  <c r="T804" i="3"/>
  <c r="E788" i="3"/>
  <c r="I788" i="3"/>
  <c r="M788" i="3"/>
  <c r="Q788" i="3"/>
  <c r="U788" i="3"/>
  <c r="F788" i="3"/>
  <c r="J788" i="3"/>
  <c r="N788" i="3"/>
  <c r="R788" i="3"/>
  <c r="V788" i="3"/>
  <c r="G788" i="3"/>
  <c r="K788" i="3"/>
  <c r="O788" i="3"/>
  <c r="W788" i="3"/>
  <c r="D788" i="3"/>
  <c r="H788" i="3"/>
  <c r="L788" i="3"/>
  <c r="P788" i="3"/>
  <c r="T788" i="3"/>
  <c r="E772" i="3"/>
  <c r="I772" i="3"/>
  <c r="M772" i="3"/>
  <c r="Q772" i="3"/>
  <c r="U772" i="3"/>
  <c r="G772" i="3"/>
  <c r="K772" i="3"/>
  <c r="O772" i="3"/>
  <c r="W772" i="3"/>
  <c r="D772" i="3"/>
  <c r="L772" i="3"/>
  <c r="T772" i="3"/>
  <c r="F772" i="3"/>
  <c r="N772" i="3"/>
  <c r="V772" i="3"/>
  <c r="H772" i="3"/>
  <c r="P772" i="3"/>
  <c r="J772" i="3"/>
  <c r="R772" i="3"/>
  <c r="D756" i="3"/>
  <c r="H756" i="3"/>
  <c r="L756" i="3"/>
  <c r="P756" i="3"/>
  <c r="T756" i="3"/>
  <c r="E756" i="3"/>
  <c r="I756" i="3"/>
  <c r="M756" i="3"/>
  <c r="Q756" i="3"/>
  <c r="U756" i="3"/>
  <c r="F756" i="3"/>
  <c r="J756" i="3"/>
  <c r="N756" i="3"/>
  <c r="R756" i="3"/>
  <c r="V756" i="3"/>
  <c r="G756" i="3"/>
  <c r="K756" i="3"/>
  <c r="O756" i="3"/>
  <c r="W756" i="3"/>
  <c r="D740" i="3"/>
  <c r="H740" i="3"/>
  <c r="L740" i="3"/>
  <c r="P740" i="3"/>
  <c r="T740" i="3"/>
  <c r="E740" i="3"/>
  <c r="I740" i="3"/>
  <c r="M740" i="3"/>
  <c r="Q740" i="3"/>
  <c r="U740" i="3"/>
  <c r="F740" i="3"/>
  <c r="J740" i="3"/>
  <c r="N740" i="3"/>
  <c r="R740" i="3"/>
  <c r="V740" i="3"/>
  <c r="G740" i="3"/>
  <c r="K740" i="3"/>
  <c r="O740" i="3"/>
  <c r="W740" i="3"/>
  <c r="D724" i="3"/>
  <c r="H724" i="3"/>
  <c r="L724" i="3"/>
  <c r="P724" i="3"/>
  <c r="T724" i="3"/>
  <c r="E724" i="3"/>
  <c r="I724" i="3"/>
  <c r="M724" i="3"/>
  <c r="Q724" i="3"/>
  <c r="U724" i="3"/>
  <c r="F724" i="3"/>
  <c r="J724" i="3"/>
  <c r="N724" i="3"/>
  <c r="R724" i="3"/>
  <c r="V724" i="3"/>
  <c r="G724" i="3"/>
  <c r="K724" i="3"/>
  <c r="O724" i="3"/>
  <c r="W724" i="3"/>
  <c r="D708" i="3"/>
  <c r="H708" i="3"/>
  <c r="L708" i="3"/>
  <c r="P708" i="3"/>
  <c r="T708" i="3"/>
  <c r="E708" i="3"/>
  <c r="I708" i="3"/>
  <c r="M708" i="3"/>
  <c r="Q708" i="3"/>
  <c r="U708" i="3"/>
  <c r="F708" i="3"/>
  <c r="J708" i="3"/>
  <c r="N708" i="3"/>
  <c r="R708" i="3"/>
  <c r="V708" i="3"/>
  <c r="G708" i="3"/>
  <c r="K708" i="3"/>
  <c r="O708" i="3"/>
  <c r="W708" i="3"/>
  <c r="D685" i="3"/>
  <c r="H685" i="3"/>
  <c r="L685" i="3"/>
  <c r="P685" i="3"/>
  <c r="T685" i="3"/>
  <c r="E685" i="3"/>
  <c r="I685" i="3"/>
  <c r="M685" i="3"/>
  <c r="Q685" i="3"/>
  <c r="U685" i="3"/>
  <c r="F685" i="3"/>
  <c r="J685" i="3"/>
  <c r="N685" i="3"/>
  <c r="R685" i="3"/>
  <c r="V685" i="3"/>
  <c r="G685" i="3"/>
  <c r="K685" i="3"/>
  <c r="O685" i="3"/>
  <c r="W685" i="3"/>
  <c r="D666" i="3"/>
  <c r="H666" i="3"/>
  <c r="L666" i="3"/>
  <c r="P666" i="3"/>
  <c r="T666" i="3"/>
  <c r="E666" i="3"/>
  <c r="I666" i="3"/>
  <c r="M666" i="3"/>
  <c r="Q666" i="3"/>
  <c r="U666" i="3"/>
  <c r="F666" i="3"/>
  <c r="J666" i="3"/>
  <c r="N666" i="3"/>
  <c r="R666" i="3"/>
  <c r="V666" i="3"/>
  <c r="G666" i="3"/>
  <c r="K666" i="3"/>
  <c r="O666" i="3"/>
  <c r="W666" i="3"/>
  <c r="D647" i="3"/>
  <c r="H647" i="3"/>
  <c r="L647" i="3"/>
  <c r="P647" i="3"/>
  <c r="T647" i="3"/>
  <c r="E647" i="3"/>
  <c r="I647" i="3"/>
  <c r="M647" i="3"/>
  <c r="Q647" i="3"/>
  <c r="U647" i="3"/>
  <c r="F647" i="3"/>
  <c r="J647" i="3"/>
  <c r="N647" i="3"/>
  <c r="R647" i="3"/>
  <c r="V647" i="3"/>
  <c r="G647" i="3"/>
  <c r="K647" i="3"/>
  <c r="O647" i="3"/>
  <c r="W647" i="3"/>
  <c r="E621" i="3"/>
  <c r="I621" i="3"/>
  <c r="M621" i="3"/>
  <c r="Q621" i="3"/>
  <c r="U621" i="3"/>
  <c r="F621" i="3"/>
  <c r="J621" i="3"/>
  <c r="N621" i="3"/>
  <c r="R621" i="3"/>
  <c r="V621" i="3"/>
  <c r="G621" i="3"/>
  <c r="K621" i="3"/>
  <c r="O621" i="3"/>
  <c r="W621" i="3"/>
  <c r="D621" i="3"/>
  <c r="H621" i="3"/>
  <c r="L621" i="3"/>
  <c r="P621" i="3"/>
  <c r="T621" i="3"/>
  <c r="E841" i="3"/>
  <c r="I841" i="3"/>
  <c r="M841" i="3"/>
  <c r="Q841" i="3"/>
  <c r="U841" i="3"/>
  <c r="F841" i="3"/>
  <c r="J841" i="3"/>
  <c r="N841" i="3"/>
  <c r="R841" i="3"/>
  <c r="V841" i="3"/>
  <c r="G841" i="3"/>
  <c r="K841" i="3"/>
  <c r="O841" i="3"/>
  <c r="W841" i="3"/>
  <c r="D841" i="3"/>
  <c r="H841" i="3"/>
  <c r="L841" i="3"/>
  <c r="P841" i="3"/>
  <c r="T841" i="3"/>
  <c r="E825" i="3"/>
  <c r="I825" i="3"/>
  <c r="M825" i="3"/>
  <c r="Q825" i="3"/>
  <c r="U825" i="3"/>
  <c r="F825" i="3"/>
  <c r="J825" i="3"/>
  <c r="N825" i="3"/>
  <c r="R825" i="3"/>
  <c r="V825" i="3"/>
  <c r="G825" i="3"/>
  <c r="K825" i="3"/>
  <c r="O825" i="3"/>
  <c r="W825" i="3"/>
  <c r="D825" i="3"/>
  <c r="H825" i="3"/>
  <c r="L825" i="3"/>
  <c r="P825" i="3"/>
  <c r="T825" i="3"/>
  <c r="E809" i="3"/>
  <c r="I809" i="3"/>
  <c r="M809" i="3"/>
  <c r="Q809" i="3"/>
  <c r="U809" i="3"/>
  <c r="F809" i="3"/>
  <c r="J809" i="3"/>
  <c r="N809" i="3"/>
  <c r="R809" i="3"/>
  <c r="V809" i="3"/>
  <c r="G809" i="3"/>
  <c r="K809" i="3"/>
  <c r="O809" i="3"/>
  <c r="W809" i="3"/>
  <c r="D809" i="3"/>
  <c r="H809" i="3"/>
  <c r="L809" i="3"/>
  <c r="P809" i="3"/>
  <c r="T809" i="3"/>
  <c r="E793" i="3"/>
  <c r="I793" i="3"/>
  <c r="M793" i="3"/>
  <c r="Q793" i="3"/>
  <c r="U793" i="3"/>
  <c r="F793" i="3"/>
  <c r="J793" i="3"/>
  <c r="N793" i="3"/>
  <c r="R793" i="3"/>
  <c r="V793" i="3"/>
  <c r="G793" i="3"/>
  <c r="K793" i="3"/>
  <c r="O793" i="3"/>
  <c r="W793" i="3"/>
  <c r="D793" i="3"/>
  <c r="H793" i="3"/>
  <c r="L793" i="3"/>
  <c r="P793" i="3"/>
  <c r="T793" i="3"/>
  <c r="E777" i="3"/>
  <c r="I777" i="3"/>
  <c r="M777" i="3"/>
  <c r="Q777" i="3"/>
  <c r="U777" i="3"/>
  <c r="F777" i="3"/>
  <c r="J777" i="3"/>
  <c r="N777" i="3"/>
  <c r="R777" i="3"/>
  <c r="V777" i="3"/>
  <c r="G777" i="3"/>
  <c r="K777" i="3"/>
  <c r="O777" i="3"/>
  <c r="W777" i="3"/>
  <c r="D777" i="3"/>
  <c r="H777" i="3"/>
  <c r="L777" i="3"/>
  <c r="P777" i="3"/>
  <c r="T777" i="3"/>
  <c r="D761" i="3"/>
  <c r="H761" i="3"/>
  <c r="L761" i="3"/>
  <c r="P761" i="3"/>
  <c r="T761" i="3"/>
  <c r="E761" i="3"/>
  <c r="I761" i="3"/>
  <c r="M761" i="3"/>
  <c r="Q761" i="3"/>
  <c r="U761" i="3"/>
  <c r="F761" i="3"/>
  <c r="J761" i="3"/>
  <c r="N761" i="3"/>
  <c r="R761" i="3"/>
  <c r="V761" i="3"/>
  <c r="G761" i="3"/>
  <c r="K761" i="3"/>
  <c r="O761" i="3"/>
  <c r="W761" i="3"/>
  <c r="D745" i="3"/>
  <c r="H745" i="3"/>
  <c r="L745" i="3"/>
  <c r="P745" i="3"/>
  <c r="T745" i="3"/>
  <c r="E745" i="3"/>
  <c r="I745" i="3"/>
  <c r="M745" i="3"/>
  <c r="Q745" i="3"/>
  <c r="U745" i="3"/>
  <c r="F745" i="3"/>
  <c r="J745" i="3"/>
  <c r="N745" i="3"/>
  <c r="R745" i="3"/>
  <c r="V745" i="3"/>
  <c r="G745" i="3"/>
  <c r="K745" i="3"/>
  <c r="O745" i="3"/>
  <c r="W745" i="3"/>
  <c r="D729" i="3"/>
  <c r="H729" i="3"/>
  <c r="L729" i="3"/>
  <c r="P729" i="3"/>
  <c r="T729" i="3"/>
  <c r="E729" i="3"/>
  <c r="I729" i="3"/>
  <c r="M729" i="3"/>
  <c r="Q729" i="3"/>
  <c r="U729" i="3"/>
  <c r="F729" i="3"/>
  <c r="J729" i="3"/>
  <c r="N729" i="3"/>
  <c r="R729" i="3"/>
  <c r="V729" i="3"/>
  <c r="G729" i="3"/>
  <c r="K729" i="3"/>
  <c r="O729" i="3"/>
  <c r="W729" i="3"/>
  <c r="D713" i="3"/>
  <c r="H713" i="3"/>
  <c r="L713" i="3"/>
  <c r="P713" i="3"/>
  <c r="T713" i="3"/>
  <c r="E713" i="3"/>
  <c r="I713" i="3"/>
  <c r="M713" i="3"/>
  <c r="Q713" i="3"/>
  <c r="U713" i="3"/>
  <c r="F713" i="3"/>
  <c r="J713" i="3"/>
  <c r="N713" i="3"/>
  <c r="R713" i="3"/>
  <c r="V713" i="3"/>
  <c r="G713" i="3"/>
  <c r="K713" i="3"/>
  <c r="O713" i="3"/>
  <c r="W713" i="3"/>
  <c r="D699" i="3"/>
  <c r="H699" i="3"/>
  <c r="L699" i="3"/>
  <c r="P699" i="3"/>
  <c r="T699" i="3"/>
  <c r="E699" i="3"/>
  <c r="I699" i="3"/>
  <c r="M699" i="3"/>
  <c r="Q699" i="3"/>
  <c r="U699" i="3"/>
  <c r="F699" i="3"/>
  <c r="J699" i="3"/>
  <c r="N699" i="3"/>
  <c r="R699" i="3"/>
  <c r="V699" i="3"/>
  <c r="G699" i="3"/>
  <c r="K699" i="3"/>
  <c r="O699" i="3"/>
  <c r="W699" i="3"/>
  <c r="D673" i="3"/>
  <c r="H673" i="3"/>
  <c r="L673" i="3"/>
  <c r="P673" i="3"/>
  <c r="T673" i="3"/>
  <c r="E673" i="3"/>
  <c r="I673" i="3"/>
  <c r="M673" i="3"/>
  <c r="Q673" i="3"/>
  <c r="U673" i="3"/>
  <c r="F673" i="3"/>
  <c r="J673" i="3"/>
  <c r="N673" i="3"/>
  <c r="R673" i="3"/>
  <c r="V673" i="3"/>
  <c r="G673" i="3"/>
  <c r="K673" i="3"/>
  <c r="O673" i="3"/>
  <c r="W673" i="3"/>
  <c r="D654" i="3"/>
  <c r="H654" i="3"/>
  <c r="L654" i="3"/>
  <c r="P654" i="3"/>
  <c r="T654" i="3"/>
  <c r="E654" i="3"/>
  <c r="I654" i="3"/>
  <c r="M654" i="3"/>
  <c r="Q654" i="3"/>
  <c r="U654" i="3"/>
  <c r="F654" i="3"/>
  <c r="J654" i="3"/>
  <c r="N654" i="3"/>
  <c r="R654" i="3"/>
  <c r="V654" i="3"/>
  <c r="G654" i="3"/>
  <c r="K654" i="3"/>
  <c r="O654" i="3"/>
  <c r="W654" i="3"/>
  <c r="F635" i="3"/>
  <c r="J635" i="3"/>
  <c r="N635" i="3"/>
  <c r="R635" i="3"/>
  <c r="V635" i="3"/>
  <c r="D635" i="3"/>
  <c r="H635" i="3"/>
  <c r="L635" i="3"/>
  <c r="P635" i="3"/>
  <c r="T635" i="3"/>
  <c r="G635" i="3"/>
  <c r="O635" i="3"/>
  <c r="W635" i="3"/>
  <c r="I635" i="3"/>
  <c r="Q635" i="3"/>
  <c r="K635" i="3"/>
  <c r="E635" i="3"/>
  <c r="M635" i="3"/>
  <c r="U635" i="3"/>
  <c r="E609" i="3"/>
  <c r="I609" i="3"/>
  <c r="M609" i="3"/>
  <c r="Q609" i="3"/>
  <c r="U609" i="3"/>
  <c r="F609" i="3"/>
  <c r="J609" i="3"/>
  <c r="N609" i="3"/>
  <c r="R609" i="3"/>
  <c r="V609" i="3"/>
  <c r="G609" i="3"/>
  <c r="K609" i="3"/>
  <c r="O609" i="3"/>
  <c r="W609" i="3"/>
  <c r="D609" i="3"/>
  <c r="H609" i="3"/>
  <c r="L609" i="3"/>
  <c r="P609" i="3"/>
  <c r="T609" i="3"/>
  <c r="E838" i="3"/>
  <c r="I838" i="3"/>
  <c r="M838" i="3"/>
  <c r="Q838" i="3"/>
  <c r="U838" i="3"/>
  <c r="F838" i="3"/>
  <c r="J838" i="3"/>
  <c r="N838" i="3"/>
  <c r="R838" i="3"/>
  <c r="V838" i="3"/>
  <c r="G838" i="3"/>
  <c r="K838" i="3"/>
  <c r="O838" i="3"/>
  <c r="W838" i="3"/>
  <c r="D838" i="3"/>
  <c r="H838" i="3"/>
  <c r="L838" i="3"/>
  <c r="P838" i="3"/>
  <c r="T838" i="3"/>
  <c r="E822" i="3"/>
  <c r="I822" i="3"/>
  <c r="M822" i="3"/>
  <c r="Q822" i="3"/>
  <c r="U822" i="3"/>
  <c r="F822" i="3"/>
  <c r="J822" i="3"/>
  <c r="N822" i="3"/>
  <c r="R822" i="3"/>
  <c r="V822" i="3"/>
  <c r="G822" i="3"/>
  <c r="K822" i="3"/>
  <c r="O822" i="3"/>
  <c r="W822" i="3"/>
  <c r="D822" i="3"/>
  <c r="H822" i="3"/>
  <c r="L822" i="3"/>
  <c r="P822" i="3"/>
  <c r="T822" i="3"/>
  <c r="E806" i="3"/>
  <c r="I806" i="3"/>
  <c r="M806" i="3"/>
  <c r="Q806" i="3"/>
  <c r="U806" i="3"/>
  <c r="F806" i="3"/>
  <c r="J806" i="3"/>
  <c r="N806" i="3"/>
  <c r="R806" i="3"/>
  <c r="V806" i="3"/>
  <c r="G806" i="3"/>
  <c r="K806" i="3"/>
  <c r="O806" i="3"/>
  <c r="W806" i="3"/>
  <c r="D806" i="3"/>
  <c r="H806" i="3"/>
  <c r="L806" i="3"/>
  <c r="P806" i="3"/>
  <c r="T806" i="3"/>
  <c r="E790" i="3"/>
  <c r="I790" i="3"/>
  <c r="M790" i="3"/>
  <c r="Q790" i="3"/>
  <c r="U790" i="3"/>
  <c r="F790" i="3"/>
  <c r="J790" i="3"/>
  <c r="N790" i="3"/>
  <c r="R790" i="3"/>
  <c r="V790" i="3"/>
  <c r="G790" i="3"/>
  <c r="K790" i="3"/>
  <c r="O790" i="3"/>
  <c r="W790" i="3"/>
  <c r="D790" i="3"/>
  <c r="H790" i="3"/>
  <c r="L790" i="3"/>
  <c r="P790" i="3"/>
  <c r="T790" i="3"/>
  <c r="E774" i="3"/>
  <c r="I774" i="3"/>
  <c r="M774" i="3"/>
  <c r="Q774" i="3"/>
  <c r="U774" i="3"/>
  <c r="F774" i="3"/>
  <c r="J774" i="3"/>
  <c r="N774" i="3"/>
  <c r="R774" i="3"/>
  <c r="V774" i="3"/>
  <c r="G774" i="3"/>
  <c r="K774" i="3"/>
  <c r="O774" i="3"/>
  <c r="W774" i="3"/>
  <c r="D774" i="3"/>
  <c r="H774" i="3"/>
  <c r="L774" i="3"/>
  <c r="P774" i="3"/>
  <c r="T774" i="3"/>
  <c r="D758" i="3"/>
  <c r="H758" i="3"/>
  <c r="L758" i="3"/>
  <c r="P758" i="3"/>
  <c r="T758" i="3"/>
  <c r="E758" i="3"/>
  <c r="I758" i="3"/>
  <c r="M758" i="3"/>
  <c r="Q758" i="3"/>
  <c r="U758" i="3"/>
  <c r="F758" i="3"/>
  <c r="J758" i="3"/>
  <c r="N758" i="3"/>
  <c r="R758" i="3"/>
  <c r="V758" i="3"/>
  <c r="G758" i="3"/>
  <c r="K758" i="3"/>
  <c r="O758" i="3"/>
  <c r="W758" i="3"/>
  <c r="D742" i="3"/>
  <c r="H742" i="3"/>
  <c r="L742" i="3"/>
  <c r="P742" i="3"/>
  <c r="T742" i="3"/>
  <c r="E742" i="3"/>
  <c r="I742" i="3"/>
  <c r="M742" i="3"/>
  <c r="Q742" i="3"/>
  <c r="U742" i="3"/>
  <c r="F742" i="3"/>
  <c r="J742" i="3"/>
  <c r="N742" i="3"/>
  <c r="R742" i="3"/>
  <c r="V742" i="3"/>
  <c r="G742" i="3"/>
  <c r="K742" i="3"/>
  <c r="O742" i="3"/>
  <c r="W742" i="3"/>
  <c r="D726" i="3"/>
  <c r="H726" i="3"/>
  <c r="L726" i="3"/>
  <c r="P726" i="3"/>
  <c r="T726" i="3"/>
  <c r="E726" i="3"/>
  <c r="I726" i="3"/>
  <c r="M726" i="3"/>
  <c r="Q726" i="3"/>
  <c r="U726" i="3"/>
  <c r="F726" i="3"/>
  <c r="J726" i="3"/>
  <c r="N726" i="3"/>
  <c r="R726" i="3"/>
  <c r="V726" i="3"/>
  <c r="G726" i="3"/>
  <c r="K726" i="3"/>
  <c r="O726" i="3"/>
  <c r="W726" i="3"/>
  <c r="D710" i="3"/>
  <c r="H710" i="3"/>
  <c r="L710" i="3"/>
  <c r="P710" i="3"/>
  <c r="T710" i="3"/>
  <c r="E710" i="3"/>
  <c r="I710" i="3"/>
  <c r="M710" i="3"/>
  <c r="Q710" i="3"/>
  <c r="U710" i="3"/>
  <c r="F710" i="3"/>
  <c r="J710" i="3"/>
  <c r="N710" i="3"/>
  <c r="R710" i="3"/>
  <c r="V710" i="3"/>
  <c r="G710" i="3"/>
  <c r="K710" i="3"/>
  <c r="O710" i="3"/>
  <c r="W710" i="3"/>
  <c r="D690" i="3"/>
  <c r="H690" i="3"/>
  <c r="L690" i="3"/>
  <c r="P690" i="3"/>
  <c r="T690" i="3"/>
  <c r="E690" i="3"/>
  <c r="I690" i="3"/>
  <c r="M690" i="3"/>
  <c r="Q690" i="3"/>
  <c r="U690" i="3"/>
  <c r="F690" i="3"/>
  <c r="J690" i="3"/>
  <c r="N690" i="3"/>
  <c r="R690" i="3"/>
  <c r="V690" i="3"/>
  <c r="G690" i="3"/>
  <c r="K690" i="3"/>
  <c r="O690" i="3"/>
  <c r="W690" i="3"/>
  <c r="D671" i="3"/>
  <c r="H671" i="3"/>
  <c r="L671" i="3"/>
  <c r="P671" i="3"/>
  <c r="T671" i="3"/>
  <c r="E671" i="3"/>
  <c r="I671" i="3"/>
  <c r="M671" i="3"/>
  <c r="Q671" i="3"/>
  <c r="U671" i="3"/>
  <c r="F671" i="3"/>
  <c r="J671" i="3"/>
  <c r="N671" i="3"/>
  <c r="R671" i="3"/>
  <c r="V671" i="3"/>
  <c r="G671" i="3"/>
  <c r="K671" i="3"/>
  <c r="O671" i="3"/>
  <c r="W671" i="3"/>
  <c r="D645" i="3"/>
  <c r="H645" i="3"/>
  <c r="L645" i="3"/>
  <c r="P645" i="3"/>
  <c r="T645" i="3"/>
  <c r="E645" i="3"/>
  <c r="I645" i="3"/>
  <c r="M645" i="3"/>
  <c r="Q645" i="3"/>
  <c r="U645" i="3"/>
  <c r="F645" i="3"/>
  <c r="J645" i="3"/>
  <c r="N645" i="3"/>
  <c r="R645" i="3"/>
  <c r="V645" i="3"/>
  <c r="G645" i="3"/>
  <c r="K645" i="3"/>
  <c r="O645" i="3"/>
  <c r="W645" i="3"/>
  <c r="E626" i="3"/>
  <c r="I626" i="3"/>
  <c r="M626" i="3"/>
  <c r="Q626" i="3"/>
  <c r="U626" i="3"/>
  <c r="F626" i="3"/>
  <c r="J626" i="3"/>
  <c r="N626" i="3"/>
  <c r="R626" i="3"/>
  <c r="V626" i="3"/>
  <c r="G626" i="3"/>
  <c r="K626" i="3"/>
  <c r="O626" i="3"/>
  <c r="W626" i="3"/>
  <c r="D626" i="3"/>
  <c r="H626" i="3"/>
  <c r="L626" i="3"/>
  <c r="P626" i="3"/>
  <c r="T626" i="3"/>
  <c r="E607" i="3"/>
  <c r="I607" i="3"/>
  <c r="M607" i="3"/>
  <c r="Q607" i="3"/>
  <c r="U607" i="3"/>
  <c r="F607" i="3"/>
  <c r="J607" i="3"/>
  <c r="N607" i="3"/>
  <c r="R607" i="3"/>
  <c r="V607" i="3"/>
  <c r="G607" i="3"/>
  <c r="K607" i="3"/>
  <c r="O607" i="3"/>
  <c r="W607" i="3"/>
  <c r="D607" i="3"/>
  <c r="H607" i="3"/>
  <c r="L607" i="3"/>
  <c r="P607" i="3"/>
  <c r="T607" i="3"/>
  <c r="E593" i="3"/>
  <c r="I593" i="3"/>
  <c r="M593" i="3"/>
  <c r="Q593" i="3"/>
  <c r="U593" i="3"/>
  <c r="F593" i="3"/>
  <c r="J593" i="3"/>
  <c r="N593" i="3"/>
  <c r="R593" i="3"/>
  <c r="V593" i="3"/>
  <c r="G593" i="3"/>
  <c r="K593" i="3"/>
  <c r="O593" i="3"/>
  <c r="W593" i="3"/>
  <c r="D593" i="3"/>
  <c r="H593" i="3"/>
  <c r="L593" i="3"/>
  <c r="P593" i="3"/>
  <c r="T593" i="3"/>
  <c r="E577" i="3"/>
  <c r="I577" i="3"/>
  <c r="M577" i="3"/>
  <c r="Q577" i="3"/>
  <c r="U577" i="3"/>
  <c r="F577" i="3"/>
  <c r="J577" i="3"/>
  <c r="N577" i="3"/>
  <c r="R577" i="3"/>
  <c r="V577" i="3"/>
  <c r="G577" i="3"/>
  <c r="K577" i="3"/>
  <c r="O577" i="3"/>
  <c r="W577" i="3"/>
  <c r="D577" i="3"/>
  <c r="H577" i="3"/>
  <c r="L577" i="3"/>
  <c r="P577" i="3"/>
  <c r="T577" i="3"/>
  <c r="E561" i="3"/>
  <c r="I561" i="3"/>
  <c r="M561" i="3"/>
  <c r="Q561" i="3"/>
  <c r="U561" i="3"/>
  <c r="F561" i="3"/>
  <c r="J561" i="3"/>
  <c r="N561" i="3"/>
  <c r="R561" i="3"/>
  <c r="V561" i="3"/>
  <c r="G561" i="3"/>
  <c r="K561" i="3"/>
  <c r="O561" i="3"/>
  <c r="W561" i="3"/>
  <c r="D561" i="3"/>
  <c r="H561" i="3"/>
  <c r="L561" i="3"/>
  <c r="P561" i="3"/>
  <c r="T561" i="3"/>
  <c r="E545" i="3"/>
  <c r="I545" i="3"/>
  <c r="M545" i="3"/>
  <c r="Q545" i="3"/>
  <c r="U545" i="3"/>
  <c r="F545" i="3"/>
  <c r="J545" i="3"/>
  <c r="N545" i="3"/>
  <c r="R545" i="3"/>
  <c r="V545" i="3"/>
  <c r="G545" i="3"/>
  <c r="K545" i="3"/>
  <c r="O545" i="3"/>
  <c r="W545" i="3"/>
  <c r="D545" i="3"/>
  <c r="H545" i="3"/>
  <c r="L545" i="3"/>
  <c r="P545" i="3"/>
  <c r="T545" i="3"/>
  <c r="E529" i="3"/>
  <c r="I529" i="3"/>
  <c r="M529" i="3"/>
  <c r="Q529" i="3"/>
  <c r="U529" i="3"/>
  <c r="F529" i="3"/>
  <c r="J529" i="3"/>
  <c r="N529" i="3"/>
  <c r="R529" i="3"/>
  <c r="V529" i="3"/>
  <c r="G529" i="3"/>
  <c r="K529" i="3"/>
  <c r="O529" i="3"/>
  <c r="W529" i="3"/>
  <c r="D529" i="3"/>
  <c r="H529" i="3"/>
  <c r="L529" i="3"/>
  <c r="P529" i="3"/>
  <c r="T529" i="3"/>
  <c r="E513" i="3"/>
  <c r="I513" i="3"/>
  <c r="M513" i="3"/>
  <c r="Q513" i="3"/>
  <c r="U513" i="3"/>
  <c r="F513" i="3"/>
  <c r="J513" i="3"/>
  <c r="N513" i="3"/>
  <c r="R513" i="3"/>
  <c r="V513" i="3"/>
  <c r="G513" i="3"/>
  <c r="K513" i="3"/>
  <c r="O513" i="3"/>
  <c r="W513" i="3"/>
  <c r="D513" i="3"/>
  <c r="H513" i="3"/>
  <c r="L513" i="3"/>
  <c r="P513" i="3"/>
  <c r="T513" i="3"/>
  <c r="G497" i="3"/>
  <c r="K497" i="3"/>
  <c r="O497" i="3"/>
  <c r="W497" i="3"/>
  <c r="D497" i="3"/>
  <c r="H497" i="3"/>
  <c r="L497" i="3"/>
  <c r="P497" i="3"/>
  <c r="T497" i="3"/>
  <c r="E497" i="3"/>
  <c r="I497" i="3"/>
  <c r="M497" i="3"/>
  <c r="Q497" i="3"/>
  <c r="U497" i="3"/>
  <c r="F497" i="3"/>
  <c r="J497" i="3"/>
  <c r="N497" i="3"/>
  <c r="R497" i="3"/>
  <c r="V497" i="3"/>
  <c r="G481" i="3"/>
  <c r="K481" i="3"/>
  <c r="O481" i="3"/>
  <c r="W481" i="3"/>
  <c r="D481" i="3"/>
  <c r="H481" i="3"/>
  <c r="L481" i="3"/>
  <c r="P481" i="3"/>
  <c r="T481" i="3"/>
  <c r="E481" i="3"/>
  <c r="I481" i="3"/>
  <c r="M481" i="3"/>
  <c r="Q481" i="3"/>
  <c r="U481" i="3"/>
  <c r="F481" i="3"/>
  <c r="J481" i="3"/>
  <c r="N481" i="3"/>
  <c r="R481" i="3"/>
  <c r="V481" i="3"/>
  <c r="G465" i="3"/>
  <c r="K465" i="3"/>
  <c r="O465" i="3"/>
  <c r="W465" i="3"/>
  <c r="D465" i="3"/>
  <c r="H465" i="3"/>
  <c r="L465" i="3"/>
  <c r="P465" i="3"/>
  <c r="T465" i="3"/>
  <c r="E465" i="3"/>
  <c r="I465" i="3"/>
  <c r="M465" i="3"/>
  <c r="Q465" i="3"/>
  <c r="U465" i="3"/>
  <c r="F465" i="3"/>
  <c r="J465" i="3"/>
  <c r="N465" i="3"/>
  <c r="R465" i="3"/>
  <c r="V465" i="3"/>
  <c r="G449" i="3"/>
  <c r="K449" i="3"/>
  <c r="O449" i="3"/>
  <c r="W449" i="3"/>
  <c r="D449" i="3"/>
  <c r="H449" i="3"/>
  <c r="L449" i="3"/>
  <c r="P449" i="3"/>
  <c r="T449" i="3"/>
  <c r="E449" i="3"/>
  <c r="I449" i="3"/>
  <c r="M449" i="3"/>
  <c r="Q449" i="3"/>
  <c r="U449" i="3"/>
  <c r="F449" i="3"/>
  <c r="J449" i="3"/>
  <c r="N449" i="3"/>
  <c r="R449" i="3"/>
  <c r="V449" i="3"/>
  <c r="G433" i="3"/>
  <c r="K433" i="3"/>
  <c r="O433" i="3"/>
  <c r="W433" i="3"/>
  <c r="D433" i="3"/>
  <c r="H433" i="3"/>
  <c r="L433" i="3"/>
  <c r="P433" i="3"/>
  <c r="T433" i="3"/>
  <c r="E433" i="3"/>
  <c r="I433" i="3"/>
  <c r="M433" i="3"/>
  <c r="Q433" i="3"/>
  <c r="U433" i="3"/>
  <c r="F433" i="3"/>
  <c r="J433" i="3"/>
  <c r="N433" i="3"/>
  <c r="R433" i="3"/>
  <c r="V433" i="3"/>
  <c r="G417" i="3"/>
  <c r="K417" i="3"/>
  <c r="O417" i="3"/>
  <c r="W417" i="3"/>
  <c r="D417" i="3"/>
  <c r="H417" i="3"/>
  <c r="L417" i="3"/>
  <c r="P417" i="3"/>
  <c r="T417" i="3"/>
  <c r="E417" i="3"/>
  <c r="I417" i="3"/>
  <c r="M417" i="3"/>
  <c r="Q417" i="3"/>
  <c r="U417" i="3"/>
  <c r="F417" i="3"/>
  <c r="J417" i="3"/>
  <c r="N417" i="3"/>
  <c r="R417" i="3"/>
  <c r="V417" i="3"/>
  <c r="G401" i="3"/>
  <c r="K401" i="3"/>
  <c r="O401" i="3"/>
  <c r="W401" i="3"/>
  <c r="D401" i="3"/>
  <c r="H401" i="3"/>
  <c r="L401" i="3"/>
  <c r="P401" i="3"/>
  <c r="T401" i="3"/>
  <c r="E401" i="3"/>
  <c r="I401" i="3"/>
  <c r="M401" i="3"/>
  <c r="Q401" i="3"/>
  <c r="U401" i="3"/>
  <c r="F401" i="3"/>
  <c r="J401" i="3"/>
  <c r="N401" i="3"/>
  <c r="R401" i="3"/>
  <c r="V401" i="3"/>
  <c r="G385" i="3"/>
  <c r="K385" i="3"/>
  <c r="O385" i="3"/>
  <c r="W385" i="3"/>
  <c r="D385" i="3"/>
  <c r="H385" i="3"/>
  <c r="L385" i="3"/>
  <c r="P385" i="3"/>
  <c r="T385" i="3"/>
  <c r="E385" i="3"/>
  <c r="I385" i="3"/>
  <c r="M385" i="3"/>
  <c r="Q385" i="3"/>
  <c r="U385" i="3"/>
  <c r="F385" i="3"/>
  <c r="J385" i="3"/>
  <c r="N385" i="3"/>
  <c r="R385" i="3"/>
  <c r="V385" i="3"/>
  <c r="E369" i="3"/>
  <c r="I369" i="3"/>
  <c r="M369" i="3"/>
  <c r="Q369" i="3"/>
  <c r="U369" i="3"/>
  <c r="F369" i="3"/>
  <c r="J369" i="3"/>
  <c r="N369" i="3"/>
  <c r="R369" i="3"/>
  <c r="V369" i="3"/>
  <c r="G369" i="3"/>
  <c r="O369" i="3"/>
  <c r="W369" i="3"/>
  <c r="H369" i="3"/>
  <c r="P369" i="3"/>
  <c r="K369" i="3"/>
  <c r="D369" i="3"/>
  <c r="L369" i="3"/>
  <c r="T369" i="3"/>
  <c r="E590" i="3"/>
  <c r="I590" i="3"/>
  <c r="M590" i="3"/>
  <c r="Q590" i="3"/>
  <c r="U590" i="3"/>
  <c r="F590" i="3"/>
  <c r="J590" i="3"/>
  <c r="N590" i="3"/>
  <c r="R590" i="3"/>
  <c r="V590" i="3"/>
  <c r="G590" i="3"/>
  <c r="K590" i="3"/>
  <c r="O590" i="3"/>
  <c r="W590" i="3"/>
  <c r="D590" i="3"/>
  <c r="H590" i="3"/>
  <c r="L590" i="3"/>
  <c r="P590" i="3"/>
  <c r="T590" i="3"/>
  <c r="E574" i="3"/>
  <c r="I574" i="3"/>
  <c r="M574" i="3"/>
  <c r="Q574" i="3"/>
  <c r="U574" i="3"/>
  <c r="F574" i="3"/>
  <c r="J574" i="3"/>
  <c r="N574" i="3"/>
  <c r="R574" i="3"/>
  <c r="V574" i="3"/>
  <c r="G574" i="3"/>
  <c r="K574" i="3"/>
  <c r="O574" i="3"/>
  <c r="W574" i="3"/>
  <c r="D574" i="3"/>
  <c r="H574" i="3"/>
  <c r="L574" i="3"/>
  <c r="P574" i="3"/>
  <c r="T574" i="3"/>
  <c r="E558" i="3"/>
  <c r="I558" i="3"/>
  <c r="M558" i="3"/>
  <c r="Q558" i="3"/>
  <c r="U558" i="3"/>
  <c r="F558" i="3"/>
  <c r="J558" i="3"/>
  <c r="N558" i="3"/>
  <c r="R558" i="3"/>
  <c r="V558" i="3"/>
  <c r="G558" i="3"/>
  <c r="K558" i="3"/>
  <c r="O558" i="3"/>
  <c r="W558" i="3"/>
  <c r="D558" i="3"/>
  <c r="H558" i="3"/>
  <c r="L558" i="3"/>
  <c r="P558" i="3"/>
  <c r="T558" i="3"/>
  <c r="E542" i="3"/>
  <c r="I542" i="3"/>
  <c r="M542" i="3"/>
  <c r="Q542" i="3"/>
  <c r="U542" i="3"/>
  <c r="F542" i="3"/>
  <c r="J542" i="3"/>
  <c r="N542" i="3"/>
  <c r="R542" i="3"/>
  <c r="V542" i="3"/>
  <c r="G542" i="3"/>
  <c r="K542" i="3"/>
  <c r="O542" i="3"/>
  <c r="W542" i="3"/>
  <c r="D542" i="3"/>
  <c r="H542" i="3"/>
  <c r="L542" i="3"/>
  <c r="P542" i="3"/>
  <c r="T542" i="3"/>
  <c r="E526" i="3"/>
  <c r="I526" i="3"/>
  <c r="M526" i="3"/>
  <c r="Q526" i="3"/>
  <c r="U526" i="3"/>
  <c r="F526" i="3"/>
  <c r="J526" i="3"/>
  <c r="N526" i="3"/>
  <c r="R526" i="3"/>
  <c r="V526" i="3"/>
  <c r="G526" i="3"/>
  <c r="K526" i="3"/>
  <c r="O526" i="3"/>
  <c r="W526" i="3"/>
  <c r="D526" i="3"/>
  <c r="H526" i="3"/>
  <c r="L526" i="3"/>
  <c r="P526" i="3"/>
  <c r="T526" i="3"/>
  <c r="E510" i="3"/>
  <c r="I510" i="3"/>
  <c r="M510" i="3"/>
  <c r="Q510" i="3"/>
  <c r="U510" i="3"/>
  <c r="F510" i="3"/>
  <c r="J510" i="3"/>
  <c r="N510" i="3"/>
  <c r="R510" i="3"/>
  <c r="V510" i="3"/>
  <c r="G510" i="3"/>
  <c r="K510" i="3"/>
  <c r="O510" i="3"/>
  <c r="W510" i="3"/>
  <c r="D510" i="3"/>
  <c r="H510" i="3"/>
  <c r="L510" i="3"/>
  <c r="P510" i="3"/>
  <c r="T510" i="3"/>
  <c r="G494" i="3"/>
  <c r="K494" i="3"/>
  <c r="O494" i="3"/>
  <c r="W494" i="3"/>
  <c r="D494" i="3"/>
  <c r="H494" i="3"/>
  <c r="L494" i="3"/>
  <c r="P494" i="3"/>
  <c r="T494" i="3"/>
  <c r="E494" i="3"/>
  <c r="I494" i="3"/>
  <c r="M494" i="3"/>
  <c r="Q494" i="3"/>
  <c r="U494" i="3"/>
  <c r="F494" i="3"/>
  <c r="J494" i="3"/>
  <c r="N494" i="3"/>
  <c r="R494" i="3"/>
  <c r="V494" i="3"/>
  <c r="G478" i="3"/>
  <c r="K478" i="3"/>
  <c r="O478" i="3"/>
  <c r="W478" i="3"/>
  <c r="D478" i="3"/>
  <c r="H478" i="3"/>
  <c r="L478" i="3"/>
  <c r="P478" i="3"/>
  <c r="T478" i="3"/>
  <c r="E478" i="3"/>
  <c r="I478" i="3"/>
  <c r="M478" i="3"/>
  <c r="Q478" i="3"/>
  <c r="U478" i="3"/>
  <c r="F478" i="3"/>
  <c r="J478" i="3"/>
  <c r="N478" i="3"/>
  <c r="R478" i="3"/>
  <c r="V478" i="3"/>
  <c r="G462" i="3"/>
  <c r="K462" i="3"/>
  <c r="O462" i="3"/>
  <c r="W462" i="3"/>
  <c r="D462" i="3"/>
  <c r="H462" i="3"/>
  <c r="L462" i="3"/>
  <c r="P462" i="3"/>
  <c r="T462" i="3"/>
  <c r="E462" i="3"/>
  <c r="I462" i="3"/>
  <c r="M462" i="3"/>
  <c r="Q462" i="3"/>
  <c r="U462" i="3"/>
  <c r="F462" i="3"/>
  <c r="J462" i="3"/>
  <c r="N462" i="3"/>
  <c r="R462" i="3"/>
  <c r="V462" i="3"/>
  <c r="G446" i="3"/>
  <c r="K446" i="3"/>
  <c r="O446" i="3"/>
  <c r="W446" i="3"/>
  <c r="D446" i="3"/>
  <c r="H446" i="3"/>
  <c r="L446" i="3"/>
  <c r="P446" i="3"/>
  <c r="T446" i="3"/>
  <c r="E446" i="3"/>
  <c r="I446" i="3"/>
  <c r="M446" i="3"/>
  <c r="Q446" i="3"/>
  <c r="U446" i="3"/>
  <c r="F446" i="3"/>
  <c r="J446" i="3"/>
  <c r="N446" i="3"/>
  <c r="R446" i="3"/>
  <c r="V446" i="3"/>
  <c r="G430" i="3"/>
  <c r="K430" i="3"/>
  <c r="O430" i="3"/>
  <c r="W430" i="3"/>
  <c r="D430" i="3"/>
  <c r="H430" i="3"/>
  <c r="L430" i="3"/>
  <c r="P430" i="3"/>
  <c r="T430" i="3"/>
  <c r="E430" i="3"/>
  <c r="I430" i="3"/>
  <c r="M430" i="3"/>
  <c r="Q430" i="3"/>
  <c r="U430" i="3"/>
  <c r="F430" i="3"/>
  <c r="J430" i="3"/>
  <c r="N430" i="3"/>
  <c r="R430" i="3"/>
  <c r="V430" i="3"/>
  <c r="G414" i="3"/>
  <c r="K414" i="3"/>
  <c r="O414" i="3"/>
  <c r="W414" i="3"/>
  <c r="D414" i="3"/>
  <c r="H414" i="3"/>
  <c r="L414" i="3"/>
  <c r="P414" i="3"/>
  <c r="T414" i="3"/>
  <c r="E414" i="3"/>
  <c r="I414" i="3"/>
  <c r="M414" i="3"/>
  <c r="Q414" i="3"/>
  <c r="U414" i="3"/>
  <c r="F414" i="3"/>
  <c r="J414" i="3"/>
  <c r="N414" i="3"/>
  <c r="R414" i="3"/>
  <c r="V414" i="3"/>
  <c r="G398" i="3"/>
  <c r="K398" i="3"/>
  <c r="O398" i="3"/>
  <c r="W398" i="3"/>
  <c r="D398" i="3"/>
  <c r="H398" i="3"/>
  <c r="L398" i="3"/>
  <c r="P398" i="3"/>
  <c r="T398" i="3"/>
  <c r="E398" i="3"/>
  <c r="I398" i="3"/>
  <c r="M398" i="3"/>
  <c r="Q398" i="3"/>
  <c r="U398" i="3"/>
  <c r="F398" i="3"/>
  <c r="J398" i="3"/>
  <c r="N398" i="3"/>
  <c r="R398" i="3"/>
  <c r="V398" i="3"/>
  <c r="G382" i="3"/>
  <c r="K382" i="3"/>
  <c r="O382" i="3"/>
  <c r="W382" i="3"/>
  <c r="D382" i="3"/>
  <c r="H382" i="3"/>
  <c r="L382" i="3"/>
  <c r="P382" i="3"/>
  <c r="T382" i="3"/>
  <c r="E382" i="3"/>
  <c r="I382" i="3"/>
  <c r="M382" i="3"/>
  <c r="Q382" i="3"/>
  <c r="U382" i="3"/>
  <c r="F382" i="3"/>
  <c r="J382" i="3"/>
  <c r="N382" i="3"/>
  <c r="R382" i="3"/>
  <c r="V382" i="3"/>
  <c r="E595" i="3"/>
  <c r="I595" i="3"/>
  <c r="M595" i="3"/>
  <c r="Q595" i="3"/>
  <c r="U595" i="3"/>
  <c r="F595" i="3"/>
  <c r="J595" i="3"/>
  <c r="N595" i="3"/>
  <c r="R595" i="3"/>
  <c r="V595" i="3"/>
  <c r="G595" i="3"/>
  <c r="K595" i="3"/>
  <c r="O595" i="3"/>
  <c r="W595" i="3"/>
  <c r="D595" i="3"/>
  <c r="H595" i="3"/>
  <c r="L595" i="3"/>
  <c r="P595" i="3"/>
  <c r="T595" i="3"/>
  <c r="E579" i="3"/>
  <c r="I579" i="3"/>
  <c r="M579" i="3"/>
  <c r="Q579" i="3"/>
  <c r="U579" i="3"/>
  <c r="F579" i="3"/>
  <c r="J579" i="3"/>
  <c r="N579" i="3"/>
  <c r="R579" i="3"/>
  <c r="V579" i="3"/>
  <c r="G579" i="3"/>
  <c r="K579" i="3"/>
  <c r="O579" i="3"/>
  <c r="W579" i="3"/>
  <c r="D579" i="3"/>
  <c r="H579" i="3"/>
  <c r="L579" i="3"/>
  <c r="P579" i="3"/>
  <c r="T579" i="3"/>
  <c r="E563" i="3"/>
  <c r="I563" i="3"/>
  <c r="M563" i="3"/>
  <c r="Q563" i="3"/>
  <c r="U563" i="3"/>
  <c r="F563" i="3"/>
  <c r="J563" i="3"/>
  <c r="N563" i="3"/>
  <c r="R563" i="3"/>
  <c r="V563" i="3"/>
  <c r="G563" i="3"/>
  <c r="K563" i="3"/>
  <c r="O563" i="3"/>
  <c r="W563" i="3"/>
  <c r="D563" i="3"/>
  <c r="H563" i="3"/>
  <c r="L563" i="3"/>
  <c r="P563" i="3"/>
  <c r="T563" i="3"/>
  <c r="E547" i="3"/>
  <c r="I547" i="3"/>
  <c r="M547" i="3"/>
  <c r="Q547" i="3"/>
  <c r="U547" i="3"/>
  <c r="F547" i="3"/>
  <c r="J547" i="3"/>
  <c r="N547" i="3"/>
  <c r="R547" i="3"/>
  <c r="V547" i="3"/>
  <c r="G547" i="3"/>
  <c r="K547" i="3"/>
  <c r="O547" i="3"/>
  <c r="W547" i="3"/>
  <c r="D547" i="3"/>
  <c r="H547" i="3"/>
  <c r="L547" i="3"/>
  <c r="P547" i="3"/>
  <c r="T547" i="3"/>
  <c r="E531" i="3"/>
  <c r="I531" i="3"/>
  <c r="M531" i="3"/>
  <c r="Q531" i="3"/>
  <c r="U531" i="3"/>
  <c r="F531" i="3"/>
  <c r="J531" i="3"/>
  <c r="N531" i="3"/>
  <c r="R531" i="3"/>
  <c r="V531" i="3"/>
  <c r="G531" i="3"/>
  <c r="K531" i="3"/>
  <c r="O531" i="3"/>
  <c r="W531" i="3"/>
  <c r="D531" i="3"/>
  <c r="H531" i="3"/>
  <c r="L531" i="3"/>
  <c r="P531" i="3"/>
  <c r="T531" i="3"/>
  <c r="E515" i="3"/>
  <c r="I515" i="3"/>
  <c r="M515" i="3"/>
  <c r="Q515" i="3"/>
  <c r="U515" i="3"/>
  <c r="F515" i="3"/>
  <c r="J515" i="3"/>
  <c r="N515" i="3"/>
  <c r="R515" i="3"/>
  <c r="V515" i="3"/>
  <c r="G515" i="3"/>
  <c r="K515" i="3"/>
  <c r="O515" i="3"/>
  <c r="W515" i="3"/>
  <c r="D515" i="3"/>
  <c r="H515" i="3"/>
  <c r="L515" i="3"/>
  <c r="P515" i="3"/>
  <c r="T515" i="3"/>
  <c r="G499" i="3"/>
  <c r="K499" i="3"/>
  <c r="O499" i="3"/>
  <c r="W499" i="3"/>
  <c r="D499" i="3"/>
  <c r="H499" i="3"/>
  <c r="L499" i="3"/>
  <c r="P499" i="3"/>
  <c r="T499" i="3"/>
  <c r="E499" i="3"/>
  <c r="I499" i="3"/>
  <c r="M499" i="3"/>
  <c r="Q499" i="3"/>
  <c r="U499" i="3"/>
  <c r="F499" i="3"/>
  <c r="J499" i="3"/>
  <c r="N499" i="3"/>
  <c r="R499" i="3"/>
  <c r="V499" i="3"/>
  <c r="G483" i="3"/>
  <c r="K483" i="3"/>
  <c r="O483" i="3"/>
  <c r="W483" i="3"/>
  <c r="D483" i="3"/>
  <c r="H483" i="3"/>
  <c r="L483" i="3"/>
  <c r="P483" i="3"/>
  <c r="T483" i="3"/>
  <c r="E483" i="3"/>
  <c r="I483" i="3"/>
  <c r="M483" i="3"/>
  <c r="Q483" i="3"/>
  <c r="U483" i="3"/>
  <c r="F483" i="3"/>
  <c r="J483" i="3"/>
  <c r="N483" i="3"/>
  <c r="R483" i="3"/>
  <c r="V483" i="3"/>
  <c r="G467" i="3"/>
  <c r="K467" i="3"/>
  <c r="O467" i="3"/>
  <c r="W467" i="3"/>
  <c r="D467" i="3"/>
  <c r="H467" i="3"/>
  <c r="L467" i="3"/>
  <c r="P467" i="3"/>
  <c r="T467" i="3"/>
  <c r="E467" i="3"/>
  <c r="I467" i="3"/>
  <c r="M467" i="3"/>
  <c r="Q467" i="3"/>
  <c r="U467" i="3"/>
  <c r="F467" i="3"/>
  <c r="J467" i="3"/>
  <c r="N467" i="3"/>
  <c r="R467" i="3"/>
  <c r="V467" i="3"/>
  <c r="G451" i="3"/>
  <c r="K451" i="3"/>
  <c r="O451" i="3"/>
  <c r="W451" i="3"/>
  <c r="D451" i="3"/>
  <c r="H451" i="3"/>
  <c r="L451" i="3"/>
  <c r="P451" i="3"/>
  <c r="T451" i="3"/>
  <c r="E451" i="3"/>
  <c r="I451" i="3"/>
  <c r="M451" i="3"/>
  <c r="Q451" i="3"/>
  <c r="U451" i="3"/>
  <c r="F451" i="3"/>
  <c r="J451" i="3"/>
  <c r="N451" i="3"/>
  <c r="R451" i="3"/>
  <c r="V451" i="3"/>
  <c r="G435" i="3"/>
  <c r="K435" i="3"/>
  <c r="O435" i="3"/>
  <c r="W435" i="3"/>
  <c r="D435" i="3"/>
  <c r="H435" i="3"/>
  <c r="L435" i="3"/>
  <c r="P435" i="3"/>
  <c r="T435" i="3"/>
  <c r="E435" i="3"/>
  <c r="I435" i="3"/>
  <c r="M435" i="3"/>
  <c r="Q435" i="3"/>
  <c r="U435" i="3"/>
  <c r="F435" i="3"/>
  <c r="J435" i="3"/>
  <c r="N435" i="3"/>
  <c r="R435" i="3"/>
  <c r="V435" i="3"/>
  <c r="G419" i="3"/>
  <c r="K419" i="3"/>
  <c r="O419" i="3"/>
  <c r="W419" i="3"/>
  <c r="D419" i="3"/>
  <c r="H419" i="3"/>
  <c r="L419" i="3"/>
  <c r="P419" i="3"/>
  <c r="T419" i="3"/>
  <c r="E419" i="3"/>
  <c r="I419" i="3"/>
  <c r="M419" i="3"/>
  <c r="Q419" i="3"/>
  <c r="U419" i="3"/>
  <c r="F419" i="3"/>
  <c r="J419" i="3"/>
  <c r="N419" i="3"/>
  <c r="R419" i="3"/>
  <c r="V419" i="3"/>
  <c r="G403" i="3"/>
  <c r="K403" i="3"/>
  <c r="O403" i="3"/>
  <c r="W403" i="3"/>
  <c r="D403" i="3"/>
  <c r="H403" i="3"/>
  <c r="L403" i="3"/>
  <c r="P403" i="3"/>
  <c r="T403" i="3"/>
  <c r="E403" i="3"/>
  <c r="I403" i="3"/>
  <c r="M403" i="3"/>
  <c r="Q403" i="3"/>
  <c r="U403" i="3"/>
  <c r="F403" i="3"/>
  <c r="J403" i="3"/>
  <c r="N403" i="3"/>
  <c r="R403" i="3"/>
  <c r="V403" i="3"/>
  <c r="G387" i="3"/>
  <c r="K387" i="3"/>
  <c r="O387" i="3"/>
  <c r="W387" i="3"/>
  <c r="D387" i="3"/>
  <c r="H387" i="3"/>
  <c r="L387" i="3"/>
  <c r="P387" i="3"/>
  <c r="T387" i="3"/>
  <c r="E387" i="3"/>
  <c r="I387" i="3"/>
  <c r="M387" i="3"/>
  <c r="Q387" i="3"/>
  <c r="U387" i="3"/>
  <c r="F387" i="3"/>
  <c r="J387" i="3"/>
  <c r="N387" i="3"/>
  <c r="R387" i="3"/>
  <c r="V387" i="3"/>
  <c r="E371" i="3"/>
  <c r="I371" i="3"/>
  <c r="M371" i="3"/>
  <c r="Q371" i="3"/>
  <c r="U371" i="3"/>
  <c r="F371" i="3"/>
  <c r="J371" i="3"/>
  <c r="N371" i="3"/>
  <c r="R371" i="3"/>
  <c r="V371" i="3"/>
  <c r="G371" i="3"/>
  <c r="O371" i="3"/>
  <c r="W371" i="3"/>
  <c r="H371" i="3"/>
  <c r="P371" i="3"/>
  <c r="K371" i="3"/>
  <c r="D371" i="3"/>
  <c r="L371" i="3"/>
  <c r="T371" i="3"/>
  <c r="D696" i="3"/>
  <c r="H696" i="3"/>
  <c r="L696" i="3"/>
  <c r="P696" i="3"/>
  <c r="T696" i="3"/>
  <c r="E696" i="3"/>
  <c r="I696" i="3"/>
  <c r="M696" i="3"/>
  <c r="Q696" i="3"/>
  <c r="U696" i="3"/>
  <c r="F696" i="3"/>
  <c r="J696" i="3"/>
  <c r="N696" i="3"/>
  <c r="R696" i="3"/>
  <c r="V696" i="3"/>
  <c r="G696" i="3"/>
  <c r="K696" i="3"/>
  <c r="O696" i="3"/>
  <c r="W696" i="3"/>
  <c r="D680" i="3"/>
  <c r="H680" i="3"/>
  <c r="L680" i="3"/>
  <c r="P680" i="3"/>
  <c r="T680" i="3"/>
  <c r="E680" i="3"/>
  <c r="I680" i="3"/>
  <c r="M680" i="3"/>
  <c r="Q680" i="3"/>
  <c r="U680" i="3"/>
  <c r="F680" i="3"/>
  <c r="J680" i="3"/>
  <c r="N680" i="3"/>
  <c r="R680" i="3"/>
  <c r="V680" i="3"/>
  <c r="G680" i="3"/>
  <c r="K680" i="3"/>
  <c r="O680" i="3"/>
  <c r="W680" i="3"/>
  <c r="D664" i="3"/>
  <c r="H664" i="3"/>
  <c r="L664" i="3"/>
  <c r="P664" i="3"/>
  <c r="T664" i="3"/>
  <c r="E664" i="3"/>
  <c r="I664" i="3"/>
  <c r="M664" i="3"/>
  <c r="Q664" i="3"/>
  <c r="U664" i="3"/>
  <c r="F664" i="3"/>
  <c r="J664" i="3"/>
  <c r="N664" i="3"/>
  <c r="R664" i="3"/>
  <c r="V664" i="3"/>
  <c r="G664" i="3"/>
  <c r="K664" i="3"/>
  <c r="O664" i="3"/>
  <c r="W664" i="3"/>
  <c r="D648" i="3"/>
  <c r="H648" i="3"/>
  <c r="L648" i="3"/>
  <c r="P648" i="3"/>
  <c r="T648" i="3"/>
  <c r="E648" i="3"/>
  <c r="I648" i="3"/>
  <c r="M648" i="3"/>
  <c r="Q648" i="3"/>
  <c r="U648" i="3"/>
  <c r="F648" i="3"/>
  <c r="J648" i="3"/>
  <c r="N648" i="3"/>
  <c r="R648" i="3"/>
  <c r="V648" i="3"/>
  <c r="G648" i="3"/>
  <c r="K648" i="3"/>
  <c r="O648" i="3"/>
  <c r="W648" i="3"/>
  <c r="F632" i="3"/>
  <c r="J632" i="3"/>
  <c r="N632" i="3"/>
  <c r="R632" i="3"/>
  <c r="V632" i="3"/>
  <c r="D632" i="3"/>
  <c r="H632" i="3"/>
  <c r="L632" i="3"/>
  <c r="P632" i="3"/>
  <c r="T632" i="3"/>
  <c r="K632" i="3"/>
  <c r="E632" i="3"/>
  <c r="M632" i="3"/>
  <c r="U632" i="3"/>
  <c r="G632" i="3"/>
  <c r="O632" i="3"/>
  <c r="W632" i="3"/>
  <c r="I632" i="3"/>
  <c r="Q632" i="3"/>
  <c r="E616" i="3"/>
  <c r="I616" i="3"/>
  <c r="M616" i="3"/>
  <c r="Q616" i="3"/>
  <c r="U616" i="3"/>
  <c r="F616" i="3"/>
  <c r="J616" i="3"/>
  <c r="N616" i="3"/>
  <c r="R616" i="3"/>
  <c r="V616" i="3"/>
  <c r="G616" i="3"/>
  <c r="K616" i="3"/>
  <c r="O616" i="3"/>
  <c r="W616" i="3"/>
  <c r="D616" i="3"/>
  <c r="H616" i="3"/>
  <c r="L616" i="3"/>
  <c r="P616" i="3"/>
  <c r="T616" i="3"/>
  <c r="E600" i="3"/>
  <c r="I600" i="3"/>
  <c r="M600" i="3"/>
  <c r="Q600" i="3"/>
  <c r="U600" i="3"/>
  <c r="F600" i="3"/>
  <c r="J600" i="3"/>
  <c r="N600" i="3"/>
  <c r="R600" i="3"/>
  <c r="V600" i="3"/>
  <c r="G600" i="3"/>
  <c r="K600" i="3"/>
  <c r="O600" i="3"/>
  <c r="W600" i="3"/>
  <c r="D600" i="3"/>
  <c r="H600" i="3"/>
  <c r="L600" i="3"/>
  <c r="P600" i="3"/>
  <c r="T600" i="3"/>
  <c r="E584" i="3"/>
  <c r="I584" i="3"/>
  <c r="M584" i="3"/>
  <c r="Q584" i="3"/>
  <c r="U584" i="3"/>
  <c r="F584" i="3"/>
  <c r="J584" i="3"/>
  <c r="N584" i="3"/>
  <c r="R584" i="3"/>
  <c r="V584" i="3"/>
  <c r="G584" i="3"/>
  <c r="K584" i="3"/>
  <c r="O584" i="3"/>
  <c r="W584" i="3"/>
  <c r="D584" i="3"/>
  <c r="H584" i="3"/>
  <c r="L584" i="3"/>
  <c r="P584" i="3"/>
  <c r="T584" i="3"/>
  <c r="E568" i="3"/>
  <c r="I568" i="3"/>
  <c r="M568" i="3"/>
  <c r="Q568" i="3"/>
  <c r="U568" i="3"/>
  <c r="F568" i="3"/>
  <c r="J568" i="3"/>
  <c r="N568" i="3"/>
  <c r="R568" i="3"/>
  <c r="V568" i="3"/>
  <c r="G568" i="3"/>
  <c r="K568" i="3"/>
  <c r="O568" i="3"/>
  <c r="W568" i="3"/>
  <c r="D568" i="3"/>
  <c r="H568" i="3"/>
  <c r="L568" i="3"/>
  <c r="P568" i="3"/>
  <c r="T568" i="3"/>
  <c r="E552" i="3"/>
  <c r="I552" i="3"/>
  <c r="M552" i="3"/>
  <c r="Q552" i="3"/>
  <c r="U552" i="3"/>
  <c r="F552" i="3"/>
  <c r="J552" i="3"/>
  <c r="N552" i="3"/>
  <c r="R552" i="3"/>
  <c r="V552" i="3"/>
  <c r="G552" i="3"/>
  <c r="K552" i="3"/>
  <c r="O552" i="3"/>
  <c r="W552" i="3"/>
  <c r="D552" i="3"/>
  <c r="H552" i="3"/>
  <c r="L552" i="3"/>
  <c r="P552" i="3"/>
  <c r="T552" i="3"/>
  <c r="E536" i="3"/>
  <c r="I536" i="3"/>
  <c r="M536" i="3"/>
  <c r="Q536" i="3"/>
  <c r="U536" i="3"/>
  <c r="F536" i="3"/>
  <c r="J536" i="3"/>
  <c r="N536" i="3"/>
  <c r="R536" i="3"/>
  <c r="V536" i="3"/>
  <c r="G536" i="3"/>
  <c r="K536" i="3"/>
  <c r="O536" i="3"/>
  <c r="W536" i="3"/>
  <c r="D536" i="3"/>
  <c r="H536" i="3"/>
  <c r="L536" i="3"/>
  <c r="P536" i="3"/>
  <c r="T536" i="3"/>
  <c r="E520" i="3"/>
  <c r="I520" i="3"/>
  <c r="M520" i="3"/>
  <c r="Q520" i="3"/>
  <c r="U520" i="3"/>
  <c r="F520" i="3"/>
  <c r="J520" i="3"/>
  <c r="N520" i="3"/>
  <c r="R520" i="3"/>
  <c r="V520" i="3"/>
  <c r="G520" i="3"/>
  <c r="K520" i="3"/>
  <c r="O520" i="3"/>
  <c r="W520" i="3"/>
  <c r="D520" i="3"/>
  <c r="H520" i="3"/>
  <c r="L520" i="3"/>
  <c r="P520" i="3"/>
  <c r="T520" i="3"/>
  <c r="G504" i="3"/>
  <c r="K504" i="3"/>
  <c r="O504" i="3"/>
  <c r="W504" i="3"/>
  <c r="D504" i="3"/>
  <c r="H504" i="3"/>
  <c r="L504" i="3"/>
  <c r="P504" i="3"/>
  <c r="T504" i="3"/>
  <c r="E504" i="3"/>
  <c r="I504" i="3"/>
  <c r="M504" i="3"/>
  <c r="Q504" i="3"/>
  <c r="U504" i="3"/>
  <c r="F504" i="3"/>
  <c r="J504" i="3"/>
  <c r="N504" i="3"/>
  <c r="R504" i="3"/>
  <c r="V504" i="3"/>
  <c r="G488" i="3"/>
  <c r="K488" i="3"/>
  <c r="O488" i="3"/>
  <c r="W488" i="3"/>
  <c r="D488" i="3"/>
  <c r="H488" i="3"/>
  <c r="L488" i="3"/>
  <c r="P488" i="3"/>
  <c r="T488" i="3"/>
  <c r="E488" i="3"/>
  <c r="I488" i="3"/>
  <c r="M488" i="3"/>
  <c r="Q488" i="3"/>
  <c r="U488" i="3"/>
  <c r="F488" i="3"/>
  <c r="J488" i="3"/>
  <c r="N488" i="3"/>
  <c r="R488" i="3"/>
  <c r="V488" i="3"/>
  <c r="G472" i="3"/>
  <c r="K472" i="3"/>
  <c r="O472" i="3"/>
  <c r="W472" i="3"/>
  <c r="D472" i="3"/>
  <c r="H472" i="3"/>
  <c r="L472" i="3"/>
  <c r="P472" i="3"/>
  <c r="T472" i="3"/>
  <c r="E472" i="3"/>
  <c r="I472" i="3"/>
  <c r="M472" i="3"/>
  <c r="Q472" i="3"/>
  <c r="U472" i="3"/>
  <c r="F472" i="3"/>
  <c r="J472" i="3"/>
  <c r="N472" i="3"/>
  <c r="R472" i="3"/>
  <c r="V472" i="3"/>
  <c r="G456" i="3"/>
  <c r="K456" i="3"/>
  <c r="O456" i="3"/>
  <c r="W456" i="3"/>
  <c r="D456" i="3"/>
  <c r="H456" i="3"/>
  <c r="L456" i="3"/>
  <c r="P456" i="3"/>
  <c r="T456" i="3"/>
  <c r="E456" i="3"/>
  <c r="I456" i="3"/>
  <c r="M456" i="3"/>
  <c r="Q456" i="3"/>
  <c r="U456" i="3"/>
  <c r="F456" i="3"/>
  <c r="J456" i="3"/>
  <c r="N456" i="3"/>
  <c r="R456" i="3"/>
  <c r="V456" i="3"/>
  <c r="G440" i="3"/>
  <c r="K440" i="3"/>
  <c r="O440" i="3"/>
  <c r="W440" i="3"/>
  <c r="D440" i="3"/>
  <c r="H440" i="3"/>
  <c r="L440" i="3"/>
  <c r="P440" i="3"/>
  <c r="T440" i="3"/>
  <c r="E440" i="3"/>
  <c r="I440" i="3"/>
  <c r="M440" i="3"/>
  <c r="Q440" i="3"/>
  <c r="U440" i="3"/>
  <c r="F440" i="3"/>
  <c r="J440" i="3"/>
  <c r="N440" i="3"/>
  <c r="R440" i="3"/>
  <c r="V440" i="3"/>
  <c r="G424" i="3"/>
  <c r="K424" i="3"/>
  <c r="O424" i="3"/>
  <c r="W424" i="3"/>
  <c r="D424" i="3"/>
  <c r="H424" i="3"/>
  <c r="L424" i="3"/>
  <c r="P424" i="3"/>
  <c r="T424" i="3"/>
  <c r="E424" i="3"/>
  <c r="I424" i="3"/>
  <c r="M424" i="3"/>
  <c r="Q424" i="3"/>
  <c r="U424" i="3"/>
  <c r="F424" i="3"/>
  <c r="J424" i="3"/>
  <c r="N424" i="3"/>
  <c r="R424" i="3"/>
  <c r="V424" i="3"/>
  <c r="G408" i="3"/>
  <c r="K408" i="3"/>
  <c r="O408" i="3"/>
  <c r="W408" i="3"/>
  <c r="D408" i="3"/>
  <c r="H408" i="3"/>
  <c r="L408" i="3"/>
  <c r="P408" i="3"/>
  <c r="T408" i="3"/>
  <c r="E408" i="3"/>
  <c r="I408" i="3"/>
  <c r="M408" i="3"/>
  <c r="Q408" i="3"/>
  <c r="U408" i="3"/>
  <c r="F408" i="3"/>
  <c r="J408" i="3"/>
  <c r="N408" i="3"/>
  <c r="R408" i="3"/>
  <c r="V408" i="3"/>
  <c r="G392" i="3"/>
  <c r="K392" i="3"/>
  <c r="O392" i="3"/>
  <c r="W392" i="3"/>
  <c r="D392" i="3"/>
  <c r="H392" i="3"/>
  <c r="L392" i="3"/>
  <c r="P392" i="3"/>
  <c r="T392" i="3"/>
  <c r="E392" i="3"/>
  <c r="I392" i="3"/>
  <c r="M392" i="3"/>
  <c r="Q392" i="3"/>
  <c r="U392" i="3"/>
  <c r="F392" i="3"/>
  <c r="J392" i="3"/>
  <c r="N392" i="3"/>
  <c r="R392" i="3"/>
  <c r="V392" i="3"/>
  <c r="G376" i="3"/>
  <c r="K376" i="3"/>
  <c r="O376" i="3"/>
  <c r="W376" i="3"/>
  <c r="D376" i="3"/>
  <c r="H376" i="3"/>
  <c r="L376" i="3"/>
  <c r="P376" i="3"/>
  <c r="T376" i="3"/>
  <c r="E376" i="3"/>
  <c r="I376" i="3"/>
  <c r="M376" i="3"/>
  <c r="Q376" i="3"/>
  <c r="U376" i="3"/>
  <c r="F376" i="3"/>
  <c r="J376" i="3"/>
  <c r="N376" i="3"/>
  <c r="R376" i="3"/>
  <c r="V376" i="3"/>
  <c r="G358" i="3"/>
  <c r="K358" i="3"/>
  <c r="O358" i="3"/>
  <c r="W358" i="3"/>
  <c r="D358" i="3"/>
  <c r="H358" i="3"/>
  <c r="L358" i="3"/>
  <c r="P358" i="3"/>
  <c r="T358" i="3"/>
  <c r="E358" i="3"/>
  <c r="I358" i="3"/>
  <c r="M358" i="3"/>
  <c r="Q358" i="3"/>
  <c r="U358" i="3"/>
  <c r="F358" i="3"/>
  <c r="J358" i="3"/>
  <c r="N358" i="3"/>
  <c r="R358" i="3"/>
  <c r="V358" i="3"/>
  <c r="G346" i="3"/>
  <c r="K346" i="3"/>
  <c r="O346" i="3"/>
  <c r="W346" i="3"/>
  <c r="D346" i="3"/>
  <c r="H346" i="3"/>
  <c r="L346" i="3"/>
  <c r="P346" i="3"/>
  <c r="T346" i="3"/>
  <c r="E346" i="3"/>
  <c r="I346" i="3"/>
  <c r="M346" i="3"/>
  <c r="Q346" i="3"/>
  <c r="U346" i="3"/>
  <c r="F346" i="3"/>
  <c r="J346" i="3"/>
  <c r="N346" i="3"/>
  <c r="R346" i="3"/>
  <c r="V346" i="3"/>
  <c r="G326" i="3"/>
  <c r="K326" i="3"/>
  <c r="O326" i="3"/>
  <c r="W326" i="3"/>
  <c r="D326" i="3"/>
  <c r="H326" i="3"/>
  <c r="L326" i="3"/>
  <c r="P326" i="3"/>
  <c r="T326" i="3"/>
  <c r="E326" i="3"/>
  <c r="I326" i="3"/>
  <c r="M326" i="3"/>
  <c r="Q326" i="3"/>
  <c r="U326" i="3"/>
  <c r="F326" i="3"/>
  <c r="J326" i="3"/>
  <c r="N326" i="3"/>
  <c r="R326" i="3"/>
  <c r="V326" i="3"/>
  <c r="E294" i="3"/>
  <c r="I294" i="3"/>
  <c r="M294" i="3"/>
  <c r="Q294" i="3"/>
  <c r="U294" i="3"/>
  <c r="F294" i="3"/>
  <c r="J294" i="3"/>
  <c r="N294" i="3"/>
  <c r="R294" i="3"/>
  <c r="V294" i="3"/>
  <c r="G294" i="3"/>
  <c r="K294" i="3"/>
  <c r="O294" i="3"/>
  <c r="W294" i="3"/>
  <c r="D294" i="3"/>
  <c r="H294" i="3"/>
  <c r="L294" i="3"/>
  <c r="P294" i="3"/>
  <c r="T294" i="3"/>
  <c r="E262" i="3"/>
  <c r="I262" i="3"/>
  <c r="M262" i="3"/>
  <c r="Q262" i="3"/>
  <c r="U262" i="3"/>
  <c r="F262" i="3"/>
  <c r="J262" i="3"/>
  <c r="N262" i="3"/>
  <c r="R262" i="3"/>
  <c r="V262" i="3"/>
  <c r="G262" i="3"/>
  <c r="K262" i="3"/>
  <c r="O262" i="3"/>
  <c r="W262" i="3"/>
  <c r="D262" i="3"/>
  <c r="H262" i="3"/>
  <c r="L262" i="3"/>
  <c r="P262" i="3"/>
  <c r="T262" i="3"/>
  <c r="D230" i="3"/>
  <c r="H230" i="3"/>
  <c r="L230" i="3"/>
  <c r="P230" i="3"/>
  <c r="T230" i="3"/>
  <c r="E230" i="3"/>
  <c r="I230" i="3"/>
  <c r="M230" i="3"/>
  <c r="Q230" i="3"/>
  <c r="U230" i="3"/>
  <c r="G230" i="3"/>
  <c r="O230" i="3"/>
  <c r="W230" i="3"/>
  <c r="J230" i="3"/>
  <c r="R230" i="3"/>
  <c r="K230" i="3"/>
  <c r="F230" i="3"/>
  <c r="N230" i="3"/>
  <c r="V230" i="3"/>
  <c r="F198" i="3"/>
  <c r="J198" i="3"/>
  <c r="N198" i="3"/>
  <c r="R198" i="3"/>
  <c r="V198" i="3"/>
  <c r="G198" i="3"/>
  <c r="K198" i="3"/>
  <c r="O198" i="3"/>
  <c r="W198" i="3"/>
  <c r="D198" i="3"/>
  <c r="H198" i="3"/>
  <c r="L198" i="3"/>
  <c r="P198" i="3"/>
  <c r="T198" i="3"/>
  <c r="E198" i="3"/>
  <c r="I198" i="3"/>
  <c r="M198" i="3"/>
  <c r="Q198" i="3"/>
  <c r="U198" i="3"/>
  <c r="G364" i="3"/>
  <c r="K364" i="3"/>
  <c r="O364" i="3"/>
  <c r="W364" i="3"/>
  <c r="D364" i="3"/>
  <c r="H364" i="3"/>
  <c r="L364" i="3"/>
  <c r="P364" i="3"/>
  <c r="T364" i="3"/>
  <c r="E364" i="3"/>
  <c r="I364" i="3"/>
  <c r="M364" i="3"/>
  <c r="Q364" i="3"/>
  <c r="U364" i="3"/>
  <c r="F364" i="3"/>
  <c r="J364" i="3"/>
  <c r="N364" i="3"/>
  <c r="R364" i="3"/>
  <c r="V364" i="3"/>
  <c r="G336" i="3"/>
  <c r="K336" i="3"/>
  <c r="O336" i="3"/>
  <c r="W336" i="3"/>
  <c r="D336" i="3"/>
  <c r="H336" i="3"/>
  <c r="L336" i="3"/>
  <c r="P336" i="3"/>
  <c r="T336" i="3"/>
  <c r="E336" i="3"/>
  <c r="I336" i="3"/>
  <c r="M336" i="3"/>
  <c r="Q336" i="3"/>
  <c r="U336" i="3"/>
  <c r="F336" i="3"/>
  <c r="J336" i="3"/>
  <c r="N336" i="3"/>
  <c r="R336" i="3"/>
  <c r="V336" i="3"/>
  <c r="G304" i="3"/>
  <c r="K304" i="3"/>
  <c r="O304" i="3"/>
  <c r="W304" i="3"/>
  <c r="D304" i="3"/>
  <c r="H304" i="3"/>
  <c r="L304" i="3"/>
  <c r="P304" i="3"/>
  <c r="T304" i="3"/>
  <c r="E304" i="3"/>
  <c r="M304" i="3"/>
  <c r="U304" i="3"/>
  <c r="F304" i="3"/>
  <c r="N304" i="3"/>
  <c r="V304" i="3"/>
  <c r="I304" i="3"/>
  <c r="Q304" i="3"/>
  <c r="J304" i="3"/>
  <c r="R304" i="3"/>
  <c r="E272" i="3"/>
  <c r="I272" i="3"/>
  <c r="M272" i="3"/>
  <c r="Q272" i="3"/>
  <c r="U272" i="3"/>
  <c r="F272" i="3"/>
  <c r="J272" i="3"/>
  <c r="N272" i="3"/>
  <c r="R272" i="3"/>
  <c r="V272" i="3"/>
  <c r="G272" i="3"/>
  <c r="K272" i="3"/>
  <c r="O272" i="3"/>
  <c r="W272" i="3"/>
  <c r="D272" i="3"/>
  <c r="H272" i="3"/>
  <c r="L272" i="3"/>
  <c r="P272" i="3"/>
  <c r="T272" i="3"/>
  <c r="E240" i="3"/>
  <c r="I240" i="3"/>
  <c r="M240" i="3"/>
  <c r="Q240" i="3"/>
  <c r="U240" i="3"/>
  <c r="F240" i="3"/>
  <c r="J240" i="3"/>
  <c r="N240" i="3"/>
  <c r="R240" i="3"/>
  <c r="V240" i="3"/>
  <c r="G240" i="3"/>
  <c r="K240" i="3"/>
  <c r="O240" i="3"/>
  <c r="W240" i="3"/>
  <c r="D240" i="3"/>
  <c r="H240" i="3"/>
  <c r="L240" i="3"/>
  <c r="P240" i="3"/>
  <c r="T240" i="3"/>
  <c r="F208" i="3"/>
  <c r="J208" i="3"/>
  <c r="N208" i="3"/>
  <c r="R208" i="3"/>
  <c r="V208" i="3"/>
  <c r="G208" i="3"/>
  <c r="K208" i="3"/>
  <c r="O208" i="3"/>
  <c r="W208" i="3"/>
  <c r="D208" i="3"/>
  <c r="H208" i="3"/>
  <c r="L208" i="3"/>
  <c r="P208" i="3"/>
  <c r="T208" i="3"/>
  <c r="E208" i="3"/>
  <c r="I208" i="3"/>
  <c r="M208" i="3"/>
  <c r="Q208" i="3"/>
  <c r="U208" i="3"/>
  <c r="F176" i="3"/>
  <c r="J176" i="3"/>
  <c r="N176" i="3"/>
  <c r="R176" i="3"/>
  <c r="V176" i="3"/>
  <c r="G176" i="3"/>
  <c r="K176" i="3"/>
  <c r="O176" i="3"/>
  <c r="W176" i="3"/>
  <c r="D176" i="3"/>
  <c r="H176" i="3"/>
  <c r="L176" i="3"/>
  <c r="P176" i="3"/>
  <c r="T176" i="3"/>
  <c r="E176" i="3"/>
  <c r="I176" i="3"/>
  <c r="M176" i="3"/>
  <c r="Q176" i="3"/>
  <c r="U176" i="3"/>
  <c r="G359" i="3"/>
  <c r="K359" i="3"/>
  <c r="O359" i="3"/>
  <c r="W359" i="3"/>
  <c r="D359" i="3"/>
  <c r="H359" i="3"/>
  <c r="L359" i="3"/>
  <c r="P359" i="3"/>
  <c r="T359" i="3"/>
  <c r="E359" i="3"/>
  <c r="I359" i="3"/>
  <c r="M359" i="3"/>
  <c r="Q359" i="3"/>
  <c r="U359" i="3"/>
  <c r="F359" i="3"/>
  <c r="J359" i="3"/>
  <c r="N359" i="3"/>
  <c r="R359" i="3"/>
  <c r="V359" i="3"/>
  <c r="G351" i="3"/>
  <c r="K351" i="3"/>
  <c r="O351" i="3"/>
  <c r="W351" i="3"/>
  <c r="D351" i="3"/>
  <c r="H351" i="3"/>
  <c r="L351" i="3"/>
  <c r="P351" i="3"/>
  <c r="T351" i="3"/>
  <c r="E351" i="3"/>
  <c r="I351" i="3"/>
  <c r="M351" i="3"/>
  <c r="Q351" i="3"/>
  <c r="U351" i="3"/>
  <c r="F351" i="3"/>
  <c r="J351" i="3"/>
  <c r="N351" i="3"/>
  <c r="R351" i="3"/>
  <c r="V351" i="3"/>
  <c r="G343" i="3"/>
  <c r="K343" i="3"/>
  <c r="O343" i="3"/>
  <c r="W343" i="3"/>
  <c r="D343" i="3"/>
  <c r="H343" i="3"/>
  <c r="L343" i="3"/>
  <c r="P343" i="3"/>
  <c r="T343" i="3"/>
  <c r="E343" i="3"/>
  <c r="I343" i="3"/>
  <c r="M343" i="3"/>
  <c r="Q343" i="3"/>
  <c r="U343" i="3"/>
  <c r="F343" i="3"/>
  <c r="J343" i="3"/>
  <c r="N343" i="3"/>
  <c r="R343" i="3"/>
  <c r="V343" i="3"/>
  <c r="G314" i="3"/>
  <c r="K314" i="3"/>
  <c r="O314" i="3"/>
  <c r="W314" i="3"/>
  <c r="D314" i="3"/>
  <c r="H314" i="3"/>
  <c r="L314" i="3"/>
  <c r="P314" i="3"/>
  <c r="T314" i="3"/>
  <c r="E314" i="3"/>
  <c r="I314" i="3"/>
  <c r="M314" i="3"/>
  <c r="Q314" i="3"/>
  <c r="U314" i="3"/>
  <c r="F314" i="3"/>
  <c r="J314" i="3"/>
  <c r="N314" i="3"/>
  <c r="R314" i="3"/>
  <c r="V314" i="3"/>
  <c r="E282" i="3"/>
  <c r="I282" i="3"/>
  <c r="M282" i="3"/>
  <c r="Q282" i="3"/>
  <c r="U282" i="3"/>
  <c r="F282" i="3"/>
  <c r="J282" i="3"/>
  <c r="N282" i="3"/>
  <c r="R282" i="3"/>
  <c r="V282" i="3"/>
  <c r="G282" i="3"/>
  <c r="K282" i="3"/>
  <c r="O282" i="3"/>
  <c r="W282" i="3"/>
  <c r="D282" i="3"/>
  <c r="H282" i="3"/>
  <c r="L282" i="3"/>
  <c r="P282" i="3"/>
  <c r="T282" i="3"/>
  <c r="E250" i="3"/>
  <c r="I250" i="3"/>
  <c r="M250" i="3"/>
  <c r="Q250" i="3"/>
  <c r="U250" i="3"/>
  <c r="F250" i="3"/>
  <c r="J250" i="3"/>
  <c r="N250" i="3"/>
  <c r="R250" i="3"/>
  <c r="V250" i="3"/>
  <c r="G250" i="3"/>
  <c r="K250" i="3"/>
  <c r="O250" i="3"/>
  <c r="W250" i="3"/>
  <c r="D250" i="3"/>
  <c r="H250" i="3"/>
  <c r="L250" i="3"/>
  <c r="P250" i="3"/>
  <c r="T250" i="3"/>
  <c r="F218" i="3"/>
  <c r="J218" i="3"/>
  <c r="N218" i="3"/>
  <c r="R218" i="3"/>
  <c r="V218" i="3"/>
  <c r="G218" i="3"/>
  <c r="K218" i="3"/>
  <c r="O218" i="3"/>
  <c r="W218" i="3"/>
  <c r="D218" i="3"/>
  <c r="H218" i="3"/>
  <c r="L218" i="3"/>
  <c r="P218" i="3"/>
  <c r="T218" i="3"/>
  <c r="E218" i="3"/>
  <c r="I218" i="3"/>
  <c r="M218" i="3"/>
  <c r="Q218" i="3"/>
  <c r="U218" i="3"/>
  <c r="F186" i="3"/>
  <c r="J186" i="3"/>
  <c r="N186" i="3"/>
  <c r="R186" i="3"/>
  <c r="V186" i="3"/>
  <c r="G186" i="3"/>
  <c r="K186" i="3"/>
  <c r="O186" i="3"/>
  <c r="W186" i="3"/>
  <c r="D186" i="3"/>
  <c r="H186" i="3"/>
  <c r="L186" i="3"/>
  <c r="P186" i="3"/>
  <c r="T186" i="3"/>
  <c r="E186" i="3"/>
  <c r="I186" i="3"/>
  <c r="M186" i="3"/>
  <c r="Q186" i="3"/>
  <c r="U186" i="3"/>
  <c r="G324" i="3"/>
  <c r="K324" i="3"/>
  <c r="O324" i="3"/>
  <c r="W324" i="3"/>
  <c r="D324" i="3"/>
  <c r="H324" i="3"/>
  <c r="L324" i="3"/>
  <c r="P324" i="3"/>
  <c r="T324" i="3"/>
  <c r="E324" i="3"/>
  <c r="I324" i="3"/>
  <c r="M324" i="3"/>
  <c r="Q324" i="3"/>
  <c r="U324" i="3"/>
  <c r="F324" i="3"/>
  <c r="J324" i="3"/>
  <c r="N324" i="3"/>
  <c r="R324" i="3"/>
  <c r="V324" i="3"/>
  <c r="E292" i="3"/>
  <c r="I292" i="3"/>
  <c r="M292" i="3"/>
  <c r="Q292" i="3"/>
  <c r="U292" i="3"/>
  <c r="F292" i="3"/>
  <c r="J292" i="3"/>
  <c r="N292" i="3"/>
  <c r="R292" i="3"/>
  <c r="V292" i="3"/>
  <c r="G292" i="3"/>
  <c r="K292" i="3"/>
  <c r="O292" i="3"/>
  <c r="W292" i="3"/>
  <c r="D292" i="3"/>
  <c r="H292" i="3"/>
  <c r="L292" i="3"/>
  <c r="P292" i="3"/>
  <c r="T292" i="3"/>
  <c r="E260" i="3"/>
  <c r="I260" i="3"/>
  <c r="M260" i="3"/>
  <c r="Q260" i="3"/>
  <c r="U260" i="3"/>
  <c r="F260" i="3"/>
  <c r="J260" i="3"/>
  <c r="N260" i="3"/>
  <c r="R260" i="3"/>
  <c r="V260" i="3"/>
  <c r="G260" i="3"/>
  <c r="K260" i="3"/>
  <c r="O260" i="3"/>
  <c r="W260" i="3"/>
  <c r="D260" i="3"/>
  <c r="H260" i="3"/>
  <c r="L260" i="3"/>
  <c r="P260" i="3"/>
  <c r="T260" i="3"/>
  <c r="D228" i="3"/>
  <c r="H228" i="3"/>
  <c r="L228" i="3"/>
  <c r="P228" i="3"/>
  <c r="T228" i="3"/>
  <c r="E228" i="3"/>
  <c r="I228" i="3"/>
  <c r="M228" i="3"/>
  <c r="Q228" i="3"/>
  <c r="U228" i="3"/>
  <c r="G228" i="3"/>
  <c r="O228" i="3"/>
  <c r="W228" i="3"/>
  <c r="J228" i="3"/>
  <c r="R228" i="3"/>
  <c r="K228" i="3"/>
  <c r="F228" i="3"/>
  <c r="N228" i="3"/>
  <c r="V228" i="3"/>
  <c r="F196" i="3"/>
  <c r="J196" i="3"/>
  <c r="N196" i="3"/>
  <c r="R196" i="3"/>
  <c r="V196" i="3"/>
  <c r="G196" i="3"/>
  <c r="K196" i="3"/>
  <c r="O196" i="3"/>
  <c r="W196" i="3"/>
  <c r="D196" i="3"/>
  <c r="H196" i="3"/>
  <c r="L196" i="3"/>
  <c r="P196" i="3"/>
  <c r="T196" i="3"/>
  <c r="E196" i="3"/>
  <c r="I196" i="3"/>
  <c r="M196" i="3"/>
  <c r="Q196" i="3"/>
  <c r="U196" i="3"/>
  <c r="G339" i="3"/>
  <c r="K339" i="3"/>
  <c r="O339" i="3"/>
  <c r="W339" i="3"/>
  <c r="D339" i="3"/>
  <c r="H339" i="3"/>
  <c r="L339" i="3"/>
  <c r="P339" i="3"/>
  <c r="T339" i="3"/>
  <c r="E339" i="3"/>
  <c r="I339" i="3"/>
  <c r="M339" i="3"/>
  <c r="Q339" i="3"/>
  <c r="U339" i="3"/>
  <c r="F339" i="3"/>
  <c r="J339" i="3"/>
  <c r="N339" i="3"/>
  <c r="R339" i="3"/>
  <c r="V339" i="3"/>
  <c r="G331" i="3"/>
  <c r="K331" i="3"/>
  <c r="O331" i="3"/>
  <c r="W331" i="3"/>
  <c r="D331" i="3"/>
  <c r="H331" i="3"/>
  <c r="L331" i="3"/>
  <c r="P331" i="3"/>
  <c r="T331" i="3"/>
  <c r="E331" i="3"/>
  <c r="I331" i="3"/>
  <c r="M331" i="3"/>
  <c r="Q331" i="3"/>
  <c r="U331" i="3"/>
  <c r="F331" i="3"/>
  <c r="J331" i="3"/>
  <c r="N331" i="3"/>
  <c r="R331" i="3"/>
  <c r="V331" i="3"/>
  <c r="G323" i="3"/>
  <c r="K323" i="3"/>
  <c r="O323" i="3"/>
  <c r="W323" i="3"/>
  <c r="D323" i="3"/>
  <c r="H323" i="3"/>
  <c r="L323" i="3"/>
  <c r="P323" i="3"/>
  <c r="T323" i="3"/>
  <c r="E323" i="3"/>
  <c r="I323" i="3"/>
  <c r="M323" i="3"/>
  <c r="Q323" i="3"/>
  <c r="U323" i="3"/>
  <c r="F323" i="3"/>
  <c r="J323" i="3"/>
  <c r="N323" i="3"/>
  <c r="R323" i="3"/>
  <c r="V323" i="3"/>
  <c r="G315" i="3"/>
  <c r="K315" i="3"/>
  <c r="O315" i="3"/>
  <c r="W315" i="3"/>
  <c r="D315" i="3"/>
  <c r="H315" i="3"/>
  <c r="L315" i="3"/>
  <c r="P315" i="3"/>
  <c r="T315" i="3"/>
  <c r="E315" i="3"/>
  <c r="I315" i="3"/>
  <c r="M315" i="3"/>
  <c r="Q315" i="3"/>
  <c r="U315" i="3"/>
  <c r="F315" i="3"/>
  <c r="J315" i="3"/>
  <c r="N315" i="3"/>
  <c r="R315" i="3"/>
  <c r="V315" i="3"/>
  <c r="G307" i="3"/>
  <c r="K307" i="3"/>
  <c r="O307" i="3"/>
  <c r="W307" i="3"/>
  <c r="D307" i="3"/>
  <c r="H307" i="3"/>
  <c r="L307" i="3"/>
  <c r="P307" i="3"/>
  <c r="T307" i="3"/>
  <c r="E307" i="3"/>
  <c r="I307" i="3"/>
  <c r="M307" i="3"/>
  <c r="Q307" i="3"/>
  <c r="U307" i="3"/>
  <c r="F307" i="3"/>
  <c r="J307" i="3"/>
  <c r="N307" i="3"/>
  <c r="R307" i="3"/>
  <c r="V307" i="3"/>
  <c r="G299" i="3"/>
  <c r="K299" i="3"/>
  <c r="O299" i="3"/>
  <c r="W299" i="3"/>
  <c r="D299" i="3"/>
  <c r="H299" i="3"/>
  <c r="L299" i="3"/>
  <c r="P299" i="3"/>
  <c r="T299" i="3"/>
  <c r="I299" i="3"/>
  <c r="Q299" i="3"/>
  <c r="J299" i="3"/>
  <c r="R299" i="3"/>
  <c r="E299" i="3"/>
  <c r="M299" i="3"/>
  <c r="U299" i="3"/>
  <c r="F299" i="3"/>
  <c r="N299" i="3"/>
  <c r="V299" i="3"/>
  <c r="E291" i="3"/>
  <c r="I291" i="3"/>
  <c r="M291" i="3"/>
  <c r="Q291" i="3"/>
  <c r="U291" i="3"/>
  <c r="F291" i="3"/>
  <c r="J291" i="3"/>
  <c r="N291" i="3"/>
  <c r="R291" i="3"/>
  <c r="V291" i="3"/>
  <c r="G291" i="3"/>
  <c r="K291" i="3"/>
  <c r="O291" i="3"/>
  <c r="W291" i="3"/>
  <c r="D291" i="3"/>
  <c r="H291" i="3"/>
  <c r="L291" i="3"/>
  <c r="P291" i="3"/>
  <c r="T291" i="3"/>
  <c r="E283" i="3"/>
  <c r="I283" i="3"/>
  <c r="M283" i="3"/>
  <c r="Q283" i="3"/>
  <c r="U283" i="3"/>
  <c r="F283" i="3"/>
  <c r="J283" i="3"/>
  <c r="N283" i="3"/>
  <c r="R283" i="3"/>
  <c r="V283" i="3"/>
  <c r="G283" i="3"/>
  <c r="K283" i="3"/>
  <c r="O283" i="3"/>
  <c r="W283" i="3"/>
  <c r="D283" i="3"/>
  <c r="H283" i="3"/>
  <c r="L283" i="3"/>
  <c r="P283" i="3"/>
  <c r="T283" i="3"/>
  <c r="E275" i="3"/>
  <c r="I275" i="3"/>
  <c r="M275" i="3"/>
  <c r="Q275" i="3"/>
  <c r="U275" i="3"/>
  <c r="F275" i="3"/>
  <c r="J275" i="3"/>
  <c r="N275" i="3"/>
  <c r="R275" i="3"/>
  <c r="V275" i="3"/>
  <c r="G275" i="3"/>
  <c r="K275" i="3"/>
  <c r="O275" i="3"/>
  <c r="W275" i="3"/>
  <c r="D275" i="3"/>
  <c r="H275" i="3"/>
  <c r="L275" i="3"/>
  <c r="P275" i="3"/>
  <c r="T275" i="3"/>
  <c r="E267" i="3"/>
  <c r="I267" i="3"/>
  <c r="M267" i="3"/>
  <c r="Q267" i="3"/>
  <c r="U267" i="3"/>
  <c r="F267" i="3"/>
  <c r="J267" i="3"/>
  <c r="N267" i="3"/>
  <c r="R267" i="3"/>
  <c r="V267" i="3"/>
  <c r="G267" i="3"/>
  <c r="K267" i="3"/>
  <c r="O267" i="3"/>
  <c r="W267" i="3"/>
  <c r="D267" i="3"/>
  <c r="H267" i="3"/>
  <c r="L267" i="3"/>
  <c r="P267" i="3"/>
  <c r="T267" i="3"/>
  <c r="E259" i="3"/>
  <c r="I259" i="3"/>
  <c r="M259" i="3"/>
  <c r="Q259" i="3"/>
  <c r="U259" i="3"/>
  <c r="F259" i="3"/>
  <c r="J259" i="3"/>
  <c r="N259" i="3"/>
  <c r="R259" i="3"/>
  <c r="V259" i="3"/>
  <c r="G259" i="3"/>
  <c r="K259" i="3"/>
  <c r="O259" i="3"/>
  <c r="W259" i="3"/>
  <c r="D259" i="3"/>
  <c r="H259" i="3"/>
  <c r="L259" i="3"/>
  <c r="P259" i="3"/>
  <c r="T259" i="3"/>
  <c r="E251" i="3"/>
  <c r="I251" i="3"/>
  <c r="M251" i="3"/>
  <c r="Q251" i="3"/>
  <c r="U251" i="3"/>
  <c r="F251" i="3"/>
  <c r="J251" i="3"/>
  <c r="N251" i="3"/>
  <c r="R251" i="3"/>
  <c r="V251" i="3"/>
  <c r="G251" i="3"/>
  <c r="K251" i="3"/>
  <c r="O251" i="3"/>
  <c r="W251" i="3"/>
  <c r="D251" i="3"/>
  <c r="H251" i="3"/>
  <c r="L251" i="3"/>
  <c r="P251" i="3"/>
  <c r="T251" i="3"/>
  <c r="E243" i="3"/>
  <c r="I243" i="3"/>
  <c r="M243" i="3"/>
  <c r="Q243" i="3"/>
  <c r="U243" i="3"/>
  <c r="F243" i="3"/>
  <c r="J243" i="3"/>
  <c r="N243" i="3"/>
  <c r="R243" i="3"/>
  <c r="V243" i="3"/>
  <c r="G243" i="3"/>
  <c r="K243" i="3"/>
  <c r="O243" i="3"/>
  <c r="W243" i="3"/>
  <c r="D243" i="3"/>
  <c r="H243" i="3"/>
  <c r="L243" i="3"/>
  <c r="P243" i="3"/>
  <c r="T243" i="3"/>
  <c r="E235" i="3"/>
  <c r="I235" i="3"/>
  <c r="M235" i="3"/>
  <c r="Q235" i="3"/>
  <c r="U235" i="3"/>
  <c r="F235" i="3"/>
  <c r="J235" i="3"/>
  <c r="N235" i="3"/>
  <c r="R235" i="3"/>
  <c r="V235" i="3"/>
  <c r="G235" i="3"/>
  <c r="K235" i="3"/>
  <c r="O235" i="3"/>
  <c r="W235" i="3"/>
  <c r="D235" i="3"/>
  <c r="H235" i="3"/>
  <c r="L235" i="3"/>
  <c r="P235" i="3"/>
  <c r="T235" i="3"/>
  <c r="D227" i="3"/>
  <c r="H227" i="3"/>
  <c r="L227" i="3"/>
  <c r="P227" i="3"/>
  <c r="T227" i="3"/>
  <c r="E227" i="3"/>
  <c r="I227" i="3"/>
  <c r="M227" i="3"/>
  <c r="Q227" i="3"/>
  <c r="U227" i="3"/>
  <c r="K227" i="3"/>
  <c r="F227" i="3"/>
  <c r="N227" i="3"/>
  <c r="V227" i="3"/>
  <c r="G227" i="3"/>
  <c r="O227" i="3"/>
  <c r="W227" i="3"/>
  <c r="J227" i="3"/>
  <c r="R227" i="3"/>
  <c r="F219" i="3"/>
  <c r="J219" i="3"/>
  <c r="N219" i="3"/>
  <c r="R219" i="3"/>
  <c r="V219" i="3"/>
  <c r="G219" i="3"/>
  <c r="K219" i="3"/>
  <c r="O219" i="3"/>
  <c r="W219" i="3"/>
  <c r="D219" i="3"/>
  <c r="H219" i="3"/>
  <c r="L219" i="3"/>
  <c r="P219" i="3"/>
  <c r="T219" i="3"/>
  <c r="E219" i="3"/>
  <c r="I219" i="3"/>
  <c r="M219" i="3"/>
  <c r="Q219" i="3"/>
  <c r="U219" i="3"/>
  <c r="F211" i="3"/>
  <c r="J211" i="3"/>
  <c r="N211" i="3"/>
  <c r="R211" i="3"/>
  <c r="V211" i="3"/>
  <c r="G211" i="3"/>
  <c r="K211" i="3"/>
  <c r="O211" i="3"/>
  <c r="W211" i="3"/>
  <c r="D211" i="3"/>
  <c r="H211" i="3"/>
  <c r="L211" i="3"/>
  <c r="P211" i="3"/>
  <c r="T211" i="3"/>
  <c r="E211" i="3"/>
  <c r="I211" i="3"/>
  <c r="M211" i="3"/>
  <c r="Q211" i="3"/>
  <c r="U211" i="3"/>
  <c r="F203" i="3"/>
  <c r="J203" i="3"/>
  <c r="N203" i="3"/>
  <c r="R203" i="3"/>
  <c r="V203" i="3"/>
  <c r="G203" i="3"/>
  <c r="K203" i="3"/>
  <c r="O203" i="3"/>
  <c r="W203" i="3"/>
  <c r="D203" i="3"/>
  <c r="H203" i="3"/>
  <c r="L203" i="3"/>
  <c r="P203" i="3"/>
  <c r="T203" i="3"/>
  <c r="E203" i="3"/>
  <c r="I203" i="3"/>
  <c r="M203" i="3"/>
  <c r="Q203" i="3"/>
  <c r="U203" i="3"/>
  <c r="F195" i="3"/>
  <c r="J195" i="3"/>
  <c r="N195" i="3"/>
  <c r="R195" i="3"/>
  <c r="V195" i="3"/>
  <c r="G195" i="3"/>
  <c r="K195" i="3"/>
  <c r="O195" i="3"/>
  <c r="W195" i="3"/>
  <c r="D195" i="3"/>
  <c r="H195" i="3"/>
  <c r="L195" i="3"/>
  <c r="P195" i="3"/>
  <c r="T195" i="3"/>
  <c r="E195" i="3"/>
  <c r="I195" i="3"/>
  <c r="M195" i="3"/>
  <c r="Q195" i="3"/>
  <c r="U195" i="3"/>
  <c r="F187" i="3"/>
  <c r="J187" i="3"/>
  <c r="N187" i="3"/>
  <c r="R187" i="3"/>
  <c r="V187" i="3"/>
  <c r="G187" i="3"/>
  <c r="K187" i="3"/>
  <c r="O187" i="3"/>
  <c r="W187" i="3"/>
  <c r="D187" i="3"/>
  <c r="H187" i="3"/>
  <c r="L187" i="3"/>
  <c r="P187" i="3"/>
  <c r="T187" i="3"/>
  <c r="E187" i="3"/>
  <c r="I187" i="3"/>
  <c r="M187" i="3"/>
  <c r="Q187" i="3"/>
  <c r="U187" i="3"/>
  <c r="F179" i="3"/>
  <c r="J179" i="3"/>
  <c r="N179" i="3"/>
  <c r="R179" i="3"/>
  <c r="V179" i="3"/>
  <c r="G179" i="3"/>
  <c r="K179" i="3"/>
  <c r="O179" i="3"/>
  <c r="W179" i="3"/>
  <c r="D179" i="3"/>
  <c r="H179" i="3"/>
  <c r="L179" i="3"/>
  <c r="P179" i="3"/>
  <c r="T179" i="3"/>
  <c r="E179" i="3"/>
  <c r="I179" i="3"/>
  <c r="M179" i="3"/>
  <c r="Q179" i="3"/>
  <c r="U179" i="3"/>
  <c r="G172" i="3"/>
  <c r="K172" i="3"/>
  <c r="D172" i="3"/>
  <c r="H172" i="3"/>
  <c r="I172" i="3"/>
  <c r="N172" i="3"/>
  <c r="R172" i="3"/>
  <c r="V172" i="3"/>
  <c r="J172" i="3"/>
  <c r="O172" i="3"/>
  <c r="W172" i="3"/>
  <c r="E172" i="3"/>
  <c r="L172" i="3"/>
  <c r="P172" i="3"/>
  <c r="T172" i="3"/>
  <c r="F172" i="3"/>
  <c r="M172" i="3"/>
  <c r="Q172" i="3"/>
  <c r="U172" i="3"/>
  <c r="G164" i="3"/>
  <c r="K164" i="3"/>
  <c r="O164" i="3"/>
  <c r="W164" i="3"/>
  <c r="D164" i="3"/>
  <c r="H164" i="3"/>
  <c r="L164" i="3"/>
  <c r="P164" i="3"/>
  <c r="T164" i="3"/>
  <c r="I164" i="3"/>
  <c r="Q164" i="3"/>
  <c r="J164" i="3"/>
  <c r="R164" i="3"/>
  <c r="E164" i="3"/>
  <c r="M164" i="3"/>
  <c r="U164" i="3"/>
  <c r="F164" i="3"/>
  <c r="N164" i="3"/>
  <c r="V164" i="3"/>
  <c r="E156" i="3"/>
  <c r="I156" i="3"/>
  <c r="M156" i="3"/>
  <c r="Q156" i="3"/>
  <c r="U156" i="3"/>
  <c r="F156" i="3"/>
  <c r="J156" i="3"/>
  <c r="N156" i="3"/>
  <c r="R156" i="3"/>
  <c r="V156" i="3"/>
  <c r="G156" i="3"/>
  <c r="K156" i="3"/>
  <c r="O156" i="3"/>
  <c r="W156" i="3"/>
  <c r="D156" i="3"/>
  <c r="H156" i="3"/>
  <c r="L156" i="3"/>
  <c r="P156" i="3"/>
  <c r="T156" i="3"/>
  <c r="E148" i="3"/>
  <c r="I148" i="3"/>
  <c r="M148" i="3"/>
  <c r="Q148" i="3"/>
  <c r="U148" i="3"/>
  <c r="F148" i="3"/>
  <c r="J148" i="3"/>
  <c r="N148" i="3"/>
  <c r="R148" i="3"/>
  <c r="V148" i="3"/>
  <c r="G148" i="3"/>
  <c r="K148" i="3"/>
  <c r="O148" i="3"/>
  <c r="W148" i="3"/>
  <c r="D148" i="3"/>
  <c r="H148" i="3"/>
  <c r="L148" i="3"/>
  <c r="P148" i="3"/>
  <c r="T148" i="3"/>
  <c r="E140" i="3"/>
  <c r="I140" i="3"/>
  <c r="M140" i="3"/>
  <c r="Q140" i="3"/>
  <c r="U140" i="3"/>
  <c r="F140" i="3"/>
  <c r="J140" i="3"/>
  <c r="N140" i="3"/>
  <c r="R140" i="3"/>
  <c r="V140" i="3"/>
  <c r="G140" i="3"/>
  <c r="K140" i="3"/>
  <c r="O140" i="3"/>
  <c r="W140" i="3"/>
  <c r="D140" i="3"/>
  <c r="H140" i="3"/>
  <c r="L140" i="3"/>
  <c r="P140" i="3"/>
  <c r="T140" i="3"/>
  <c r="E132" i="3"/>
  <c r="I132" i="3"/>
  <c r="M132" i="3"/>
  <c r="Q132" i="3"/>
  <c r="U132" i="3"/>
  <c r="F132" i="3"/>
  <c r="J132" i="3"/>
  <c r="N132" i="3"/>
  <c r="R132" i="3"/>
  <c r="V132" i="3"/>
  <c r="G132" i="3"/>
  <c r="K132" i="3"/>
  <c r="O132" i="3"/>
  <c r="W132" i="3"/>
  <c r="D132" i="3"/>
  <c r="H132" i="3"/>
  <c r="L132" i="3"/>
  <c r="P132" i="3"/>
  <c r="T132" i="3"/>
  <c r="F124" i="3"/>
  <c r="J124" i="3"/>
  <c r="N124" i="3"/>
  <c r="R124" i="3"/>
  <c r="V124" i="3"/>
  <c r="G124" i="3"/>
  <c r="K124" i="3"/>
  <c r="O124" i="3"/>
  <c r="W124" i="3"/>
  <c r="D124" i="3"/>
  <c r="L124" i="3"/>
  <c r="T124" i="3"/>
  <c r="E124" i="3"/>
  <c r="M124" i="3"/>
  <c r="U124" i="3"/>
  <c r="H124" i="3"/>
  <c r="P124" i="3"/>
  <c r="I124" i="3"/>
  <c r="Q124" i="3"/>
  <c r="D116" i="3"/>
  <c r="H116" i="3"/>
  <c r="L116" i="3"/>
  <c r="P116" i="3"/>
  <c r="T116" i="3"/>
  <c r="E116" i="3"/>
  <c r="I116" i="3"/>
  <c r="M116" i="3"/>
  <c r="Q116" i="3"/>
  <c r="U116" i="3"/>
  <c r="F116" i="3"/>
  <c r="J116" i="3"/>
  <c r="N116" i="3"/>
  <c r="R116" i="3"/>
  <c r="V116" i="3"/>
  <c r="G116" i="3"/>
  <c r="K116" i="3"/>
  <c r="O116" i="3"/>
  <c r="W116" i="3"/>
  <c r="D108" i="3"/>
  <c r="H108" i="3"/>
  <c r="L108" i="3"/>
  <c r="P108" i="3"/>
  <c r="T108" i="3"/>
  <c r="E108" i="3"/>
  <c r="I108" i="3"/>
  <c r="M108" i="3"/>
  <c r="Q108" i="3"/>
  <c r="U108" i="3"/>
  <c r="F108" i="3"/>
  <c r="J108" i="3"/>
  <c r="N108" i="3"/>
  <c r="R108" i="3"/>
  <c r="V108" i="3"/>
  <c r="G108" i="3"/>
  <c r="K108" i="3"/>
  <c r="O108" i="3"/>
  <c r="W108" i="3"/>
  <c r="E100" i="3"/>
  <c r="I100" i="3"/>
  <c r="M100" i="3"/>
  <c r="Q100" i="3"/>
  <c r="U100" i="3"/>
  <c r="F100" i="3"/>
  <c r="J100" i="3"/>
  <c r="N100" i="3"/>
  <c r="R100" i="3"/>
  <c r="V100" i="3"/>
  <c r="D100" i="3"/>
  <c r="L100" i="3"/>
  <c r="T100" i="3"/>
  <c r="G100" i="3"/>
  <c r="O100" i="3"/>
  <c r="W100" i="3"/>
  <c r="H100" i="3"/>
  <c r="P100" i="3"/>
  <c r="K100" i="3"/>
  <c r="E92" i="3"/>
  <c r="I92" i="3"/>
  <c r="M92" i="3"/>
  <c r="Q92" i="3"/>
  <c r="U92" i="3"/>
  <c r="F92" i="3"/>
  <c r="J92" i="3"/>
  <c r="N92" i="3"/>
  <c r="R92" i="3"/>
  <c r="V92" i="3"/>
  <c r="D92" i="3"/>
  <c r="L92" i="3"/>
  <c r="T92" i="3"/>
  <c r="G92" i="3"/>
  <c r="O92" i="3"/>
  <c r="W92" i="3"/>
  <c r="H92" i="3"/>
  <c r="P92" i="3"/>
  <c r="K92" i="3"/>
  <c r="G84" i="3"/>
  <c r="K84" i="3"/>
  <c r="O84" i="3"/>
  <c r="W84" i="3"/>
  <c r="D84" i="3"/>
  <c r="H84" i="3"/>
  <c r="L84" i="3"/>
  <c r="P84" i="3"/>
  <c r="T84" i="3"/>
  <c r="E84" i="3"/>
  <c r="I84" i="3"/>
  <c r="M84" i="3"/>
  <c r="Q84" i="3"/>
  <c r="U84" i="3"/>
  <c r="F84" i="3"/>
  <c r="J84" i="3"/>
  <c r="N84" i="3"/>
  <c r="R84" i="3"/>
  <c r="V84" i="3"/>
  <c r="G76" i="3"/>
  <c r="K76" i="3"/>
  <c r="O76" i="3"/>
  <c r="W76" i="3"/>
  <c r="D76" i="3"/>
  <c r="H76" i="3"/>
  <c r="L76" i="3"/>
  <c r="P76" i="3"/>
  <c r="T76" i="3"/>
  <c r="E76" i="3"/>
  <c r="I76" i="3"/>
  <c r="M76" i="3"/>
  <c r="Q76" i="3"/>
  <c r="U76" i="3"/>
  <c r="F76" i="3"/>
  <c r="J76" i="3"/>
  <c r="N76" i="3"/>
  <c r="R76" i="3"/>
  <c r="V76" i="3"/>
  <c r="F68" i="3"/>
  <c r="J68" i="3"/>
  <c r="N68" i="3"/>
  <c r="R68" i="3"/>
  <c r="V68" i="3"/>
  <c r="G68" i="3"/>
  <c r="K68" i="3"/>
  <c r="O68" i="3"/>
  <c r="W68" i="3"/>
  <c r="E68" i="3"/>
  <c r="M68" i="3"/>
  <c r="U68" i="3"/>
  <c r="H68" i="3"/>
  <c r="P68" i="3"/>
  <c r="I68" i="3"/>
  <c r="Q68" i="3"/>
  <c r="D68" i="3"/>
  <c r="L68" i="3"/>
  <c r="T68" i="3"/>
  <c r="D60" i="3"/>
  <c r="H60" i="3"/>
  <c r="L60" i="3"/>
  <c r="P60" i="3"/>
  <c r="T60" i="3"/>
  <c r="E60" i="3"/>
  <c r="I60" i="3"/>
  <c r="M60" i="3"/>
  <c r="Q60" i="3"/>
  <c r="U60" i="3"/>
  <c r="F60" i="3"/>
  <c r="J60" i="3"/>
  <c r="N60" i="3"/>
  <c r="R60" i="3"/>
  <c r="V60" i="3"/>
  <c r="G60" i="3"/>
  <c r="K60" i="3"/>
  <c r="O60" i="3"/>
  <c r="W60" i="3"/>
  <c r="D52" i="3"/>
  <c r="H52" i="3"/>
  <c r="L52" i="3"/>
  <c r="P52" i="3"/>
  <c r="T52" i="3"/>
  <c r="E52" i="3"/>
  <c r="I52" i="3"/>
  <c r="M52" i="3"/>
  <c r="Q52" i="3"/>
  <c r="U52" i="3"/>
  <c r="F52" i="3"/>
  <c r="J52" i="3"/>
  <c r="N52" i="3"/>
  <c r="R52" i="3"/>
  <c r="V52" i="3"/>
  <c r="G52" i="3"/>
  <c r="K52" i="3"/>
  <c r="O52" i="3"/>
  <c r="W52" i="3"/>
  <c r="D44" i="3"/>
  <c r="H44" i="3"/>
  <c r="L44" i="3"/>
  <c r="P44" i="3"/>
  <c r="T44" i="3"/>
  <c r="E44" i="3"/>
  <c r="I44" i="3"/>
  <c r="M44" i="3"/>
  <c r="Q44" i="3"/>
  <c r="U44" i="3"/>
  <c r="F44" i="3"/>
  <c r="N44" i="3"/>
  <c r="V44" i="3"/>
  <c r="G44" i="3"/>
  <c r="O44" i="3"/>
  <c r="W44" i="3"/>
  <c r="J44" i="3"/>
  <c r="R44" i="3"/>
  <c r="K44" i="3"/>
  <c r="F36" i="3"/>
  <c r="J36" i="3"/>
  <c r="N36" i="3"/>
  <c r="R36" i="3"/>
  <c r="V36" i="3"/>
  <c r="G36" i="3"/>
  <c r="K36" i="3"/>
  <c r="O36" i="3"/>
  <c r="W36" i="3"/>
  <c r="D36" i="3"/>
  <c r="H36" i="3"/>
  <c r="L36" i="3"/>
  <c r="P36" i="3"/>
  <c r="T36" i="3"/>
  <c r="E36" i="3"/>
  <c r="I36" i="3"/>
  <c r="M36" i="3"/>
  <c r="Q36" i="3"/>
  <c r="U36" i="3"/>
  <c r="F28" i="3"/>
  <c r="J28" i="3"/>
  <c r="N28" i="3"/>
  <c r="R28" i="3"/>
  <c r="V28" i="3"/>
  <c r="G28" i="3"/>
  <c r="K28" i="3"/>
  <c r="O28" i="3"/>
  <c r="W28" i="3"/>
  <c r="D28" i="3"/>
  <c r="H28" i="3"/>
  <c r="L28" i="3"/>
  <c r="P28" i="3"/>
  <c r="T28" i="3"/>
  <c r="E28" i="3"/>
  <c r="I28" i="3"/>
  <c r="M28" i="3"/>
  <c r="Q28" i="3"/>
  <c r="U28" i="3"/>
  <c r="E20" i="3"/>
  <c r="I20" i="3"/>
  <c r="M20" i="3"/>
  <c r="Q20" i="3"/>
  <c r="U20" i="3"/>
  <c r="F20" i="3"/>
  <c r="J20" i="3"/>
  <c r="N20" i="3"/>
  <c r="R20" i="3"/>
  <c r="V20" i="3"/>
  <c r="D20" i="3"/>
  <c r="L20" i="3"/>
  <c r="T20" i="3"/>
  <c r="G20" i="3"/>
  <c r="O20" i="3"/>
  <c r="W20" i="3"/>
  <c r="H20" i="3"/>
  <c r="P20" i="3"/>
  <c r="K20" i="3"/>
  <c r="G12" i="3"/>
  <c r="K12" i="3"/>
  <c r="O12" i="3"/>
  <c r="W12" i="3"/>
  <c r="H12" i="3"/>
  <c r="M12" i="3"/>
  <c r="R12" i="3"/>
  <c r="D12" i="3"/>
  <c r="I12" i="3"/>
  <c r="N12" i="3"/>
  <c r="T12" i="3"/>
  <c r="E12" i="3"/>
  <c r="J12" i="3"/>
  <c r="P12" i="3"/>
  <c r="U12" i="3"/>
  <c r="F12" i="3"/>
  <c r="L12" i="3"/>
  <c r="Q12" i="3"/>
  <c r="V12" i="3"/>
  <c r="D4" i="3"/>
  <c r="H4" i="3"/>
  <c r="L4" i="3"/>
  <c r="P4" i="3"/>
  <c r="T4" i="3"/>
  <c r="G4" i="3"/>
  <c r="K4" i="3"/>
  <c r="O4" i="3"/>
  <c r="W4" i="3"/>
  <c r="E4" i="3"/>
  <c r="M4" i="3"/>
  <c r="U4" i="3"/>
  <c r="F4" i="3"/>
  <c r="N4" i="3"/>
  <c r="V4" i="3"/>
  <c r="I4" i="3"/>
  <c r="Q4" i="3"/>
  <c r="J4" i="3"/>
  <c r="R4" i="3"/>
  <c r="G165" i="3"/>
  <c r="K165" i="3"/>
  <c r="O165" i="3"/>
  <c r="W165" i="3"/>
  <c r="D165" i="3"/>
  <c r="H165" i="3"/>
  <c r="L165" i="3"/>
  <c r="P165" i="3"/>
  <c r="T165" i="3"/>
  <c r="E165" i="3"/>
  <c r="M165" i="3"/>
  <c r="U165" i="3"/>
  <c r="F165" i="3"/>
  <c r="N165" i="3"/>
  <c r="V165" i="3"/>
  <c r="I165" i="3"/>
  <c r="Q165" i="3"/>
  <c r="J165" i="3"/>
  <c r="R165" i="3"/>
  <c r="E157" i="3"/>
  <c r="I157" i="3"/>
  <c r="M157" i="3"/>
  <c r="Q157" i="3"/>
  <c r="U157" i="3"/>
  <c r="F157" i="3"/>
  <c r="J157" i="3"/>
  <c r="N157" i="3"/>
  <c r="R157" i="3"/>
  <c r="V157" i="3"/>
  <c r="G157" i="3"/>
  <c r="K157" i="3"/>
  <c r="O157" i="3"/>
  <c r="W157" i="3"/>
  <c r="D157" i="3"/>
  <c r="H157" i="3"/>
  <c r="L157" i="3"/>
  <c r="P157" i="3"/>
  <c r="T157" i="3"/>
  <c r="E149" i="3"/>
  <c r="I149" i="3"/>
  <c r="M149" i="3"/>
  <c r="Q149" i="3"/>
  <c r="U149" i="3"/>
  <c r="F149" i="3"/>
  <c r="J149" i="3"/>
  <c r="N149" i="3"/>
  <c r="R149" i="3"/>
  <c r="V149" i="3"/>
  <c r="G149" i="3"/>
  <c r="K149" i="3"/>
  <c r="O149" i="3"/>
  <c r="W149" i="3"/>
  <c r="D149" i="3"/>
  <c r="H149" i="3"/>
  <c r="L149" i="3"/>
  <c r="P149" i="3"/>
  <c r="T149" i="3"/>
  <c r="E141" i="3"/>
  <c r="I141" i="3"/>
  <c r="M141" i="3"/>
  <c r="Q141" i="3"/>
  <c r="U141" i="3"/>
  <c r="F141" i="3"/>
  <c r="J141" i="3"/>
  <c r="N141" i="3"/>
  <c r="R141" i="3"/>
  <c r="V141" i="3"/>
  <c r="G141" i="3"/>
  <c r="K141" i="3"/>
  <c r="O141" i="3"/>
  <c r="W141" i="3"/>
  <c r="D141" i="3"/>
  <c r="H141" i="3"/>
  <c r="L141" i="3"/>
  <c r="P141" i="3"/>
  <c r="T141" i="3"/>
  <c r="E133" i="3"/>
  <c r="I133" i="3"/>
  <c r="M133" i="3"/>
  <c r="Q133" i="3"/>
  <c r="U133" i="3"/>
  <c r="F133" i="3"/>
  <c r="J133" i="3"/>
  <c r="N133" i="3"/>
  <c r="R133" i="3"/>
  <c r="V133" i="3"/>
  <c r="G133" i="3"/>
  <c r="K133" i="3"/>
  <c r="O133" i="3"/>
  <c r="W133" i="3"/>
  <c r="D133" i="3"/>
  <c r="H133" i="3"/>
  <c r="L133" i="3"/>
  <c r="P133" i="3"/>
  <c r="T133" i="3"/>
  <c r="F125" i="3"/>
  <c r="J125" i="3"/>
  <c r="N125" i="3"/>
  <c r="R125" i="3"/>
  <c r="V125" i="3"/>
  <c r="G125" i="3"/>
  <c r="K125" i="3"/>
  <c r="O125" i="3"/>
  <c r="W125" i="3"/>
  <c r="H125" i="3"/>
  <c r="P125" i="3"/>
  <c r="I125" i="3"/>
  <c r="Q125" i="3"/>
  <c r="D125" i="3"/>
  <c r="L125" i="3"/>
  <c r="T125" i="3"/>
  <c r="E125" i="3"/>
  <c r="M125" i="3"/>
  <c r="U125" i="3"/>
  <c r="D117" i="3"/>
  <c r="H117" i="3"/>
  <c r="L117" i="3"/>
  <c r="P117" i="3"/>
  <c r="T117" i="3"/>
  <c r="E117" i="3"/>
  <c r="I117" i="3"/>
  <c r="M117" i="3"/>
  <c r="Q117" i="3"/>
  <c r="U117" i="3"/>
  <c r="F117" i="3"/>
  <c r="J117" i="3"/>
  <c r="N117" i="3"/>
  <c r="R117" i="3"/>
  <c r="V117" i="3"/>
  <c r="G117" i="3"/>
  <c r="K117" i="3"/>
  <c r="O117" i="3"/>
  <c r="W117" i="3"/>
  <c r="D109" i="3"/>
  <c r="H109" i="3"/>
  <c r="L109" i="3"/>
  <c r="P109" i="3"/>
  <c r="T109" i="3"/>
  <c r="E109" i="3"/>
  <c r="I109" i="3"/>
  <c r="M109" i="3"/>
  <c r="Q109" i="3"/>
  <c r="U109" i="3"/>
  <c r="F109" i="3"/>
  <c r="J109" i="3"/>
  <c r="N109" i="3"/>
  <c r="R109" i="3"/>
  <c r="V109" i="3"/>
  <c r="G109" i="3"/>
  <c r="K109" i="3"/>
  <c r="O109" i="3"/>
  <c r="W109" i="3"/>
  <c r="E101" i="3"/>
  <c r="I101" i="3"/>
  <c r="M101" i="3"/>
  <c r="Q101" i="3"/>
  <c r="U101" i="3"/>
  <c r="F101" i="3"/>
  <c r="J101" i="3"/>
  <c r="N101" i="3"/>
  <c r="R101" i="3"/>
  <c r="V101" i="3"/>
  <c r="H101" i="3"/>
  <c r="P101" i="3"/>
  <c r="K101" i="3"/>
  <c r="D101" i="3"/>
  <c r="L101" i="3"/>
  <c r="T101" i="3"/>
  <c r="G101" i="3"/>
  <c r="O101" i="3"/>
  <c r="W101" i="3"/>
  <c r="E93" i="3"/>
  <c r="I93" i="3"/>
  <c r="M93" i="3"/>
  <c r="Q93" i="3"/>
  <c r="U93" i="3"/>
  <c r="F93" i="3"/>
  <c r="J93" i="3"/>
  <c r="N93" i="3"/>
  <c r="R93" i="3"/>
  <c r="V93" i="3"/>
  <c r="H93" i="3"/>
  <c r="P93" i="3"/>
  <c r="K93" i="3"/>
  <c r="D93" i="3"/>
  <c r="L93" i="3"/>
  <c r="T93" i="3"/>
  <c r="G93" i="3"/>
  <c r="O93" i="3"/>
  <c r="W93" i="3"/>
  <c r="G85" i="3"/>
  <c r="K85" i="3"/>
  <c r="O85" i="3"/>
  <c r="W85" i="3"/>
  <c r="D85" i="3"/>
  <c r="H85" i="3"/>
  <c r="L85" i="3"/>
  <c r="P85" i="3"/>
  <c r="T85" i="3"/>
  <c r="E85" i="3"/>
  <c r="I85" i="3"/>
  <c r="M85" i="3"/>
  <c r="Q85" i="3"/>
  <c r="U85" i="3"/>
  <c r="F85" i="3"/>
  <c r="J85" i="3"/>
  <c r="N85" i="3"/>
  <c r="R85" i="3"/>
  <c r="V85" i="3"/>
  <c r="G77" i="3"/>
  <c r="K77" i="3"/>
  <c r="O77" i="3"/>
  <c r="W77" i="3"/>
  <c r="D77" i="3"/>
  <c r="H77" i="3"/>
  <c r="L77" i="3"/>
  <c r="P77" i="3"/>
  <c r="T77" i="3"/>
  <c r="E77" i="3"/>
  <c r="I77" i="3"/>
  <c r="M77" i="3"/>
  <c r="Q77" i="3"/>
  <c r="U77" i="3"/>
  <c r="F77" i="3"/>
  <c r="J77" i="3"/>
  <c r="N77" i="3"/>
  <c r="R77" i="3"/>
  <c r="V77" i="3"/>
  <c r="F69" i="3"/>
  <c r="J69" i="3"/>
  <c r="N69" i="3"/>
  <c r="R69" i="3"/>
  <c r="V69" i="3"/>
  <c r="G69" i="3"/>
  <c r="K69" i="3"/>
  <c r="O69" i="3"/>
  <c r="W69" i="3"/>
  <c r="I69" i="3"/>
  <c r="Q69" i="3"/>
  <c r="D69" i="3"/>
  <c r="L69" i="3"/>
  <c r="T69" i="3"/>
  <c r="E69" i="3"/>
  <c r="M69" i="3"/>
  <c r="U69" i="3"/>
  <c r="H69" i="3"/>
  <c r="P69" i="3"/>
  <c r="D61" i="3"/>
  <c r="H61" i="3"/>
  <c r="L61" i="3"/>
  <c r="P61" i="3"/>
  <c r="E61" i="3"/>
  <c r="I61" i="3"/>
  <c r="M61" i="3"/>
  <c r="F61" i="3"/>
  <c r="J61" i="3"/>
  <c r="N61" i="3"/>
  <c r="R61" i="3"/>
  <c r="V61" i="3"/>
  <c r="G61" i="3"/>
  <c r="K61" i="3"/>
  <c r="O61" i="3"/>
  <c r="W61" i="3"/>
  <c r="Q61" i="3"/>
  <c r="T61" i="3"/>
  <c r="U61" i="3"/>
  <c r="D53" i="3"/>
  <c r="H53" i="3"/>
  <c r="L53" i="3"/>
  <c r="P53" i="3"/>
  <c r="T53" i="3"/>
  <c r="E53" i="3"/>
  <c r="I53" i="3"/>
  <c r="M53" i="3"/>
  <c r="Q53" i="3"/>
  <c r="U53" i="3"/>
  <c r="F53" i="3"/>
  <c r="J53" i="3"/>
  <c r="N53" i="3"/>
  <c r="R53" i="3"/>
  <c r="V53" i="3"/>
  <c r="G53" i="3"/>
  <c r="K53" i="3"/>
  <c r="O53" i="3"/>
  <c r="W53" i="3"/>
  <c r="D45" i="3"/>
  <c r="H45" i="3"/>
  <c r="L45" i="3"/>
  <c r="P45" i="3"/>
  <c r="T45" i="3"/>
  <c r="E45" i="3"/>
  <c r="I45" i="3"/>
  <c r="M45" i="3"/>
  <c r="Q45" i="3"/>
  <c r="U45" i="3"/>
  <c r="J45" i="3"/>
  <c r="R45" i="3"/>
  <c r="K45" i="3"/>
  <c r="F45" i="3"/>
  <c r="N45" i="3"/>
  <c r="V45" i="3"/>
  <c r="G45" i="3"/>
  <c r="O45" i="3"/>
  <c r="W45" i="3"/>
  <c r="F37" i="3"/>
  <c r="J37" i="3"/>
  <c r="N37" i="3"/>
  <c r="G37" i="3"/>
  <c r="K37" i="3"/>
  <c r="O37" i="3"/>
  <c r="D37" i="3"/>
  <c r="H37" i="3"/>
  <c r="L37" i="3"/>
  <c r="P37" i="3"/>
  <c r="T37" i="3"/>
  <c r="E37" i="3"/>
  <c r="I37" i="3"/>
  <c r="M37" i="3"/>
  <c r="Q37" i="3"/>
  <c r="U37" i="3"/>
  <c r="R37" i="3"/>
  <c r="V37" i="3"/>
  <c r="W37" i="3"/>
  <c r="F29" i="3"/>
  <c r="J29" i="3"/>
  <c r="N29" i="3"/>
  <c r="R29" i="3"/>
  <c r="V29" i="3"/>
  <c r="G29" i="3"/>
  <c r="K29" i="3"/>
  <c r="O29" i="3"/>
  <c r="W29" i="3"/>
  <c r="D29" i="3"/>
  <c r="H29" i="3"/>
  <c r="L29" i="3"/>
  <c r="P29" i="3"/>
  <c r="T29" i="3"/>
  <c r="E29" i="3"/>
  <c r="I29" i="3"/>
  <c r="M29" i="3"/>
  <c r="Q29" i="3"/>
  <c r="U29" i="3"/>
  <c r="E21" i="3"/>
  <c r="I21" i="3"/>
  <c r="M21" i="3"/>
  <c r="Q21" i="3"/>
  <c r="U21" i="3"/>
  <c r="F21" i="3"/>
  <c r="J21" i="3"/>
  <c r="N21" i="3"/>
  <c r="R21" i="3"/>
  <c r="V21" i="3"/>
  <c r="H21" i="3"/>
  <c r="P21" i="3"/>
  <c r="K21" i="3"/>
  <c r="D21" i="3"/>
  <c r="L21" i="3"/>
  <c r="T21" i="3"/>
  <c r="G21" i="3"/>
  <c r="O21" i="3"/>
  <c r="W21" i="3"/>
  <c r="G13" i="3"/>
  <c r="K13" i="3"/>
  <c r="O13" i="3"/>
  <c r="W13" i="3"/>
  <c r="D13" i="3"/>
  <c r="I13" i="3"/>
  <c r="N13" i="3"/>
  <c r="T13" i="3"/>
  <c r="E13" i="3"/>
  <c r="J13" i="3"/>
  <c r="P13" i="3"/>
  <c r="U13" i="3"/>
  <c r="F13" i="3"/>
  <c r="L13" i="3"/>
  <c r="Q13" i="3"/>
  <c r="V13" i="3"/>
  <c r="H13" i="3"/>
  <c r="M13" i="3"/>
  <c r="R13" i="3"/>
  <c r="D5" i="3"/>
  <c r="H5" i="3"/>
  <c r="L5" i="3"/>
  <c r="P5" i="3"/>
  <c r="T5" i="3"/>
  <c r="G5" i="3"/>
  <c r="K5" i="3"/>
  <c r="O5" i="3"/>
  <c r="W5" i="3"/>
  <c r="I5" i="3"/>
  <c r="Q5" i="3"/>
  <c r="J5" i="3"/>
  <c r="R5" i="3"/>
  <c r="E5" i="3"/>
  <c r="M5" i="3"/>
  <c r="U5" i="3"/>
  <c r="F5" i="3"/>
  <c r="N5" i="3"/>
  <c r="V5" i="3"/>
  <c r="G1434" i="3"/>
  <c r="K1434" i="3"/>
  <c r="O1434" i="3"/>
  <c r="W1434" i="3"/>
  <c r="D1434" i="3"/>
  <c r="H1434" i="3"/>
  <c r="L1434" i="3"/>
  <c r="P1434" i="3"/>
  <c r="T1434" i="3"/>
  <c r="E1434" i="3"/>
  <c r="I1434" i="3"/>
  <c r="M1434" i="3"/>
  <c r="Q1434" i="3"/>
  <c r="U1434" i="3"/>
  <c r="F1434" i="3"/>
  <c r="J1434" i="3"/>
  <c r="N1434" i="3"/>
  <c r="R1434" i="3"/>
  <c r="V1434" i="3"/>
  <c r="D1459" i="3"/>
  <c r="H1459" i="3"/>
  <c r="L1459" i="3"/>
  <c r="P1459" i="3"/>
  <c r="T1459" i="3"/>
  <c r="K1459" i="3"/>
  <c r="W1459" i="3"/>
  <c r="E1459" i="3"/>
  <c r="I1459" i="3"/>
  <c r="M1459" i="3"/>
  <c r="Q1459" i="3"/>
  <c r="U1459" i="3"/>
  <c r="G1459" i="3"/>
  <c r="F1459" i="3"/>
  <c r="J1459" i="3"/>
  <c r="N1459" i="3"/>
  <c r="R1459" i="3"/>
  <c r="V1459" i="3"/>
  <c r="O1459" i="3"/>
  <c r="G1423" i="3"/>
  <c r="K1423" i="3"/>
  <c r="O1423" i="3"/>
  <c r="W1423" i="3"/>
  <c r="D1423" i="3"/>
  <c r="H1423" i="3"/>
  <c r="L1423" i="3"/>
  <c r="P1423" i="3"/>
  <c r="T1423" i="3"/>
  <c r="E1423" i="3"/>
  <c r="I1423" i="3"/>
  <c r="M1423" i="3"/>
  <c r="Q1423" i="3"/>
  <c r="U1423" i="3"/>
  <c r="F1423" i="3"/>
  <c r="J1423" i="3"/>
  <c r="N1423" i="3"/>
  <c r="R1423" i="3"/>
  <c r="V1423" i="3"/>
  <c r="G1391" i="3"/>
  <c r="K1391" i="3"/>
  <c r="O1391" i="3"/>
  <c r="W1391" i="3"/>
  <c r="D1391" i="3"/>
  <c r="H1391" i="3"/>
  <c r="L1391" i="3"/>
  <c r="P1391" i="3"/>
  <c r="T1391" i="3"/>
  <c r="E1391" i="3"/>
  <c r="I1391" i="3"/>
  <c r="M1391" i="3"/>
  <c r="Q1391" i="3"/>
  <c r="U1391" i="3"/>
  <c r="F1391" i="3"/>
  <c r="J1391" i="3"/>
  <c r="N1391" i="3"/>
  <c r="R1391" i="3"/>
  <c r="V1391" i="3"/>
  <c r="D1460" i="3"/>
  <c r="H1460" i="3"/>
  <c r="L1460" i="3"/>
  <c r="P1460" i="3"/>
  <c r="T1460" i="3"/>
  <c r="I1460" i="3"/>
  <c r="Q1460" i="3"/>
  <c r="O1460" i="3"/>
  <c r="E1460" i="3"/>
  <c r="M1460" i="3"/>
  <c r="U1460" i="3"/>
  <c r="K1460" i="3"/>
  <c r="W1460" i="3"/>
  <c r="F1460" i="3"/>
  <c r="J1460" i="3"/>
  <c r="N1460" i="3"/>
  <c r="R1460" i="3"/>
  <c r="V1460" i="3"/>
  <c r="G1460" i="3"/>
  <c r="G1444" i="3"/>
  <c r="K1444" i="3"/>
  <c r="O1444" i="3"/>
  <c r="W1444" i="3"/>
  <c r="D1444" i="3"/>
  <c r="H1444" i="3"/>
  <c r="L1444" i="3"/>
  <c r="P1444" i="3"/>
  <c r="T1444" i="3"/>
  <c r="E1444" i="3"/>
  <c r="I1444" i="3"/>
  <c r="M1444" i="3"/>
  <c r="Q1444" i="3"/>
  <c r="U1444" i="3"/>
  <c r="F1444" i="3"/>
  <c r="J1444" i="3"/>
  <c r="N1444" i="3"/>
  <c r="R1444" i="3"/>
  <c r="V1444" i="3"/>
  <c r="G1428" i="3"/>
  <c r="K1428" i="3"/>
  <c r="O1428" i="3"/>
  <c r="W1428" i="3"/>
  <c r="D1428" i="3"/>
  <c r="H1428" i="3"/>
  <c r="L1428" i="3"/>
  <c r="P1428" i="3"/>
  <c r="T1428" i="3"/>
  <c r="E1428" i="3"/>
  <c r="I1428" i="3"/>
  <c r="M1428" i="3"/>
  <c r="Q1428" i="3"/>
  <c r="U1428" i="3"/>
  <c r="F1428" i="3"/>
  <c r="J1428" i="3"/>
  <c r="N1428" i="3"/>
  <c r="R1428" i="3"/>
  <c r="V1428" i="3"/>
  <c r="G1412" i="3"/>
  <c r="K1412" i="3"/>
  <c r="O1412" i="3"/>
  <c r="W1412" i="3"/>
  <c r="D1412" i="3"/>
  <c r="H1412" i="3"/>
  <c r="L1412" i="3"/>
  <c r="P1412" i="3"/>
  <c r="T1412" i="3"/>
  <c r="E1412" i="3"/>
  <c r="I1412" i="3"/>
  <c r="M1412" i="3"/>
  <c r="Q1412" i="3"/>
  <c r="U1412" i="3"/>
  <c r="F1412" i="3"/>
  <c r="J1412" i="3"/>
  <c r="N1412" i="3"/>
  <c r="R1412" i="3"/>
  <c r="V1412" i="3"/>
  <c r="G1396" i="3"/>
  <c r="K1396" i="3"/>
  <c r="O1396" i="3"/>
  <c r="W1396" i="3"/>
  <c r="D1396" i="3"/>
  <c r="H1396" i="3"/>
  <c r="L1396" i="3"/>
  <c r="P1396" i="3"/>
  <c r="T1396" i="3"/>
  <c r="E1396" i="3"/>
  <c r="I1396" i="3"/>
  <c r="M1396" i="3"/>
  <c r="Q1396" i="3"/>
  <c r="U1396" i="3"/>
  <c r="F1396" i="3"/>
  <c r="J1396" i="3"/>
  <c r="N1396" i="3"/>
  <c r="R1396" i="3"/>
  <c r="V1396" i="3"/>
  <c r="G1380" i="3"/>
  <c r="K1380" i="3"/>
  <c r="O1380" i="3"/>
  <c r="W1380" i="3"/>
  <c r="D1380" i="3"/>
  <c r="H1380" i="3"/>
  <c r="L1380" i="3"/>
  <c r="P1380" i="3"/>
  <c r="T1380" i="3"/>
  <c r="E1380" i="3"/>
  <c r="I1380" i="3"/>
  <c r="M1380" i="3"/>
  <c r="Q1380" i="3"/>
  <c r="U1380" i="3"/>
  <c r="F1380" i="3"/>
  <c r="J1380" i="3"/>
  <c r="N1380" i="3"/>
  <c r="R1380" i="3"/>
  <c r="V1380" i="3"/>
  <c r="G1364" i="3"/>
  <c r="K1364" i="3"/>
  <c r="O1364" i="3"/>
  <c r="W1364" i="3"/>
  <c r="D1364" i="3"/>
  <c r="H1364" i="3"/>
  <c r="L1364" i="3"/>
  <c r="P1364" i="3"/>
  <c r="T1364" i="3"/>
  <c r="E1364" i="3"/>
  <c r="I1364" i="3"/>
  <c r="M1364" i="3"/>
  <c r="Q1364" i="3"/>
  <c r="U1364" i="3"/>
  <c r="F1364" i="3"/>
  <c r="J1364" i="3"/>
  <c r="N1364" i="3"/>
  <c r="R1364" i="3"/>
  <c r="V1364" i="3"/>
  <c r="G1348" i="3"/>
  <c r="K1348" i="3"/>
  <c r="O1348" i="3"/>
  <c r="W1348" i="3"/>
  <c r="D1348" i="3"/>
  <c r="H1348" i="3"/>
  <c r="L1348" i="3"/>
  <c r="P1348" i="3"/>
  <c r="T1348" i="3"/>
  <c r="E1348" i="3"/>
  <c r="I1348" i="3"/>
  <c r="M1348" i="3"/>
  <c r="Q1348" i="3"/>
  <c r="U1348" i="3"/>
  <c r="F1348" i="3"/>
  <c r="J1348" i="3"/>
  <c r="N1348" i="3"/>
  <c r="R1348" i="3"/>
  <c r="V1348" i="3"/>
  <c r="G1332" i="3"/>
  <c r="K1332" i="3"/>
  <c r="O1332" i="3"/>
  <c r="W1332" i="3"/>
  <c r="D1332" i="3"/>
  <c r="H1332" i="3"/>
  <c r="L1332" i="3"/>
  <c r="P1332" i="3"/>
  <c r="T1332" i="3"/>
  <c r="E1332" i="3"/>
  <c r="I1332" i="3"/>
  <c r="M1332" i="3"/>
  <c r="Q1332" i="3"/>
  <c r="U1332" i="3"/>
  <c r="F1332" i="3"/>
  <c r="J1332" i="3"/>
  <c r="N1332" i="3"/>
  <c r="R1332" i="3"/>
  <c r="V1332" i="3"/>
  <c r="G1316" i="3"/>
  <c r="K1316" i="3"/>
  <c r="O1316" i="3"/>
  <c r="W1316" i="3"/>
  <c r="D1316" i="3"/>
  <c r="H1316" i="3"/>
  <c r="L1316" i="3"/>
  <c r="P1316" i="3"/>
  <c r="T1316" i="3"/>
  <c r="E1316" i="3"/>
  <c r="I1316" i="3"/>
  <c r="M1316" i="3"/>
  <c r="Q1316" i="3"/>
  <c r="U1316" i="3"/>
  <c r="F1316" i="3"/>
  <c r="J1316" i="3"/>
  <c r="N1316" i="3"/>
  <c r="R1316" i="3"/>
  <c r="V1316" i="3"/>
  <c r="G1300" i="3"/>
  <c r="K1300" i="3"/>
  <c r="O1300" i="3"/>
  <c r="W1300" i="3"/>
  <c r="D1300" i="3"/>
  <c r="H1300" i="3"/>
  <c r="L1300" i="3"/>
  <c r="P1300" i="3"/>
  <c r="T1300" i="3"/>
  <c r="E1300" i="3"/>
  <c r="I1300" i="3"/>
  <c r="M1300" i="3"/>
  <c r="Q1300" i="3"/>
  <c r="U1300" i="3"/>
  <c r="F1300" i="3"/>
  <c r="J1300" i="3"/>
  <c r="N1300" i="3"/>
  <c r="R1300" i="3"/>
  <c r="V1300" i="3"/>
  <c r="G1284" i="3"/>
  <c r="K1284" i="3"/>
  <c r="O1284" i="3"/>
  <c r="W1284" i="3"/>
  <c r="D1284" i="3"/>
  <c r="H1284" i="3"/>
  <c r="L1284" i="3"/>
  <c r="P1284" i="3"/>
  <c r="T1284" i="3"/>
  <c r="E1284" i="3"/>
  <c r="I1284" i="3"/>
  <c r="M1284" i="3"/>
  <c r="Q1284" i="3"/>
  <c r="U1284" i="3"/>
  <c r="F1284" i="3"/>
  <c r="J1284" i="3"/>
  <c r="N1284" i="3"/>
  <c r="R1284" i="3"/>
  <c r="V1284" i="3"/>
  <c r="G1268" i="3"/>
  <c r="K1268" i="3"/>
  <c r="O1268" i="3"/>
  <c r="W1268" i="3"/>
  <c r="D1268" i="3"/>
  <c r="H1268" i="3"/>
  <c r="L1268" i="3"/>
  <c r="P1268" i="3"/>
  <c r="T1268" i="3"/>
  <c r="E1268" i="3"/>
  <c r="I1268" i="3"/>
  <c r="M1268" i="3"/>
  <c r="Q1268" i="3"/>
  <c r="U1268" i="3"/>
  <c r="F1268" i="3"/>
  <c r="J1268" i="3"/>
  <c r="N1268" i="3"/>
  <c r="R1268" i="3"/>
  <c r="V1268" i="3"/>
  <c r="G1252" i="3"/>
  <c r="K1252" i="3"/>
  <c r="O1252" i="3"/>
  <c r="W1252" i="3"/>
  <c r="D1252" i="3"/>
  <c r="H1252" i="3"/>
  <c r="L1252" i="3"/>
  <c r="P1252" i="3"/>
  <c r="T1252" i="3"/>
  <c r="E1252" i="3"/>
  <c r="I1252" i="3"/>
  <c r="M1252" i="3"/>
  <c r="Q1252" i="3"/>
  <c r="U1252" i="3"/>
  <c r="F1252" i="3"/>
  <c r="J1252" i="3"/>
  <c r="N1252" i="3"/>
  <c r="R1252" i="3"/>
  <c r="V1252" i="3"/>
  <c r="G1236" i="3"/>
  <c r="K1236" i="3"/>
  <c r="O1236" i="3"/>
  <c r="W1236" i="3"/>
  <c r="D1236" i="3"/>
  <c r="H1236" i="3"/>
  <c r="L1236" i="3"/>
  <c r="P1236" i="3"/>
  <c r="T1236" i="3"/>
  <c r="E1236" i="3"/>
  <c r="I1236" i="3"/>
  <c r="M1236" i="3"/>
  <c r="Q1236" i="3"/>
  <c r="U1236" i="3"/>
  <c r="F1236" i="3"/>
  <c r="J1236" i="3"/>
  <c r="N1236" i="3"/>
  <c r="R1236" i="3"/>
  <c r="V1236" i="3"/>
  <c r="G1218" i="3"/>
  <c r="K1218" i="3"/>
  <c r="O1218" i="3"/>
  <c r="W1218" i="3"/>
  <c r="D1218" i="3"/>
  <c r="H1218" i="3"/>
  <c r="L1218" i="3"/>
  <c r="P1218" i="3"/>
  <c r="T1218" i="3"/>
  <c r="E1218" i="3"/>
  <c r="I1218" i="3"/>
  <c r="M1218" i="3"/>
  <c r="Q1218" i="3"/>
  <c r="U1218" i="3"/>
  <c r="F1218" i="3"/>
  <c r="J1218" i="3"/>
  <c r="N1218" i="3"/>
  <c r="R1218" i="3"/>
  <c r="V1218" i="3"/>
  <c r="G1199" i="3"/>
  <c r="K1199" i="3"/>
  <c r="O1199" i="3"/>
  <c r="W1199" i="3"/>
  <c r="D1199" i="3"/>
  <c r="H1199" i="3"/>
  <c r="L1199" i="3"/>
  <c r="P1199" i="3"/>
  <c r="T1199" i="3"/>
  <c r="E1199" i="3"/>
  <c r="I1199" i="3"/>
  <c r="M1199" i="3"/>
  <c r="Q1199" i="3"/>
  <c r="U1199" i="3"/>
  <c r="F1199" i="3"/>
  <c r="J1199" i="3"/>
  <c r="N1199" i="3"/>
  <c r="R1199" i="3"/>
  <c r="V1199" i="3"/>
  <c r="G1442" i="3"/>
  <c r="K1442" i="3"/>
  <c r="O1442" i="3"/>
  <c r="W1442" i="3"/>
  <c r="D1442" i="3"/>
  <c r="H1442" i="3"/>
  <c r="L1442" i="3"/>
  <c r="P1442" i="3"/>
  <c r="T1442" i="3"/>
  <c r="E1442" i="3"/>
  <c r="I1442" i="3"/>
  <c r="M1442" i="3"/>
  <c r="Q1442" i="3"/>
  <c r="U1442" i="3"/>
  <c r="F1442" i="3"/>
  <c r="J1442" i="3"/>
  <c r="N1442" i="3"/>
  <c r="R1442" i="3"/>
  <c r="V1442" i="3"/>
  <c r="D1457" i="3"/>
  <c r="H1457" i="3"/>
  <c r="L1457" i="3"/>
  <c r="P1457" i="3"/>
  <c r="T1457" i="3"/>
  <c r="G1457" i="3"/>
  <c r="O1457" i="3"/>
  <c r="E1457" i="3"/>
  <c r="I1457" i="3"/>
  <c r="M1457" i="3"/>
  <c r="Q1457" i="3"/>
  <c r="U1457" i="3"/>
  <c r="K1457" i="3"/>
  <c r="W1457" i="3"/>
  <c r="F1457" i="3"/>
  <c r="J1457" i="3"/>
  <c r="N1457" i="3"/>
  <c r="R1457" i="3"/>
  <c r="V1457" i="3"/>
  <c r="G1441" i="3"/>
  <c r="K1441" i="3"/>
  <c r="O1441" i="3"/>
  <c r="W1441" i="3"/>
  <c r="D1441" i="3"/>
  <c r="H1441" i="3"/>
  <c r="L1441" i="3"/>
  <c r="P1441" i="3"/>
  <c r="T1441" i="3"/>
  <c r="E1441" i="3"/>
  <c r="I1441" i="3"/>
  <c r="M1441" i="3"/>
  <c r="Q1441" i="3"/>
  <c r="U1441" i="3"/>
  <c r="F1441" i="3"/>
  <c r="J1441" i="3"/>
  <c r="N1441" i="3"/>
  <c r="R1441" i="3"/>
  <c r="V1441" i="3"/>
  <c r="G1425" i="3"/>
  <c r="K1425" i="3"/>
  <c r="O1425" i="3"/>
  <c r="W1425" i="3"/>
  <c r="D1425" i="3"/>
  <c r="H1425" i="3"/>
  <c r="L1425" i="3"/>
  <c r="P1425" i="3"/>
  <c r="T1425" i="3"/>
  <c r="E1425" i="3"/>
  <c r="I1425" i="3"/>
  <c r="M1425" i="3"/>
  <c r="Q1425" i="3"/>
  <c r="U1425" i="3"/>
  <c r="F1425" i="3"/>
  <c r="J1425" i="3"/>
  <c r="N1425" i="3"/>
  <c r="R1425" i="3"/>
  <c r="V1425" i="3"/>
  <c r="G1409" i="3"/>
  <c r="K1409" i="3"/>
  <c r="O1409" i="3"/>
  <c r="W1409" i="3"/>
  <c r="D1409" i="3"/>
  <c r="H1409" i="3"/>
  <c r="L1409" i="3"/>
  <c r="P1409" i="3"/>
  <c r="T1409" i="3"/>
  <c r="E1409" i="3"/>
  <c r="I1409" i="3"/>
  <c r="M1409" i="3"/>
  <c r="Q1409" i="3"/>
  <c r="U1409" i="3"/>
  <c r="F1409" i="3"/>
  <c r="J1409" i="3"/>
  <c r="N1409" i="3"/>
  <c r="R1409" i="3"/>
  <c r="V1409" i="3"/>
  <c r="G1393" i="3"/>
  <c r="K1393" i="3"/>
  <c r="O1393" i="3"/>
  <c r="W1393" i="3"/>
  <c r="D1393" i="3"/>
  <c r="H1393" i="3"/>
  <c r="L1393" i="3"/>
  <c r="P1393" i="3"/>
  <c r="T1393" i="3"/>
  <c r="E1393" i="3"/>
  <c r="I1393" i="3"/>
  <c r="M1393" i="3"/>
  <c r="Q1393" i="3"/>
  <c r="U1393" i="3"/>
  <c r="F1393" i="3"/>
  <c r="J1393" i="3"/>
  <c r="N1393" i="3"/>
  <c r="R1393" i="3"/>
  <c r="V1393" i="3"/>
  <c r="G1377" i="3"/>
  <c r="K1377" i="3"/>
  <c r="O1377" i="3"/>
  <c r="W1377" i="3"/>
  <c r="D1377" i="3"/>
  <c r="H1377" i="3"/>
  <c r="L1377" i="3"/>
  <c r="P1377" i="3"/>
  <c r="T1377" i="3"/>
  <c r="E1377" i="3"/>
  <c r="I1377" i="3"/>
  <c r="M1377" i="3"/>
  <c r="Q1377" i="3"/>
  <c r="U1377" i="3"/>
  <c r="F1377" i="3"/>
  <c r="J1377" i="3"/>
  <c r="N1377" i="3"/>
  <c r="R1377" i="3"/>
  <c r="V1377" i="3"/>
  <c r="G1361" i="3"/>
  <c r="K1361" i="3"/>
  <c r="O1361" i="3"/>
  <c r="W1361" i="3"/>
  <c r="D1361" i="3"/>
  <c r="H1361" i="3"/>
  <c r="L1361" i="3"/>
  <c r="P1361" i="3"/>
  <c r="T1361" i="3"/>
  <c r="E1361" i="3"/>
  <c r="I1361" i="3"/>
  <c r="M1361" i="3"/>
  <c r="Q1361" i="3"/>
  <c r="U1361" i="3"/>
  <c r="F1361" i="3"/>
  <c r="J1361" i="3"/>
  <c r="N1361" i="3"/>
  <c r="R1361" i="3"/>
  <c r="V1361" i="3"/>
  <c r="G1345" i="3"/>
  <c r="K1345" i="3"/>
  <c r="O1345" i="3"/>
  <c r="W1345" i="3"/>
  <c r="D1345" i="3"/>
  <c r="H1345" i="3"/>
  <c r="L1345" i="3"/>
  <c r="P1345" i="3"/>
  <c r="T1345" i="3"/>
  <c r="E1345" i="3"/>
  <c r="I1345" i="3"/>
  <c r="M1345" i="3"/>
  <c r="Q1345" i="3"/>
  <c r="U1345" i="3"/>
  <c r="F1345" i="3"/>
  <c r="J1345" i="3"/>
  <c r="N1345" i="3"/>
  <c r="R1345" i="3"/>
  <c r="V1345" i="3"/>
  <c r="G1329" i="3"/>
  <c r="K1329" i="3"/>
  <c r="O1329" i="3"/>
  <c r="W1329" i="3"/>
  <c r="D1329" i="3"/>
  <c r="H1329" i="3"/>
  <c r="L1329" i="3"/>
  <c r="P1329" i="3"/>
  <c r="T1329" i="3"/>
  <c r="E1329" i="3"/>
  <c r="I1329" i="3"/>
  <c r="M1329" i="3"/>
  <c r="Q1329" i="3"/>
  <c r="U1329" i="3"/>
  <c r="F1329" i="3"/>
  <c r="J1329" i="3"/>
  <c r="N1329" i="3"/>
  <c r="R1329" i="3"/>
  <c r="V1329" i="3"/>
  <c r="G1313" i="3"/>
  <c r="K1313" i="3"/>
  <c r="O1313" i="3"/>
  <c r="W1313" i="3"/>
  <c r="D1313" i="3"/>
  <c r="H1313" i="3"/>
  <c r="L1313" i="3"/>
  <c r="P1313" i="3"/>
  <c r="T1313" i="3"/>
  <c r="E1313" i="3"/>
  <c r="I1313" i="3"/>
  <c r="M1313" i="3"/>
  <c r="Q1313" i="3"/>
  <c r="U1313" i="3"/>
  <c r="F1313" i="3"/>
  <c r="J1313" i="3"/>
  <c r="N1313" i="3"/>
  <c r="R1313" i="3"/>
  <c r="V1313" i="3"/>
  <c r="G1297" i="3"/>
  <c r="K1297" i="3"/>
  <c r="O1297" i="3"/>
  <c r="W1297" i="3"/>
  <c r="D1297" i="3"/>
  <c r="H1297" i="3"/>
  <c r="L1297" i="3"/>
  <c r="P1297" i="3"/>
  <c r="T1297" i="3"/>
  <c r="E1297" i="3"/>
  <c r="I1297" i="3"/>
  <c r="M1297" i="3"/>
  <c r="Q1297" i="3"/>
  <c r="U1297" i="3"/>
  <c r="F1297" i="3"/>
  <c r="J1297" i="3"/>
  <c r="N1297" i="3"/>
  <c r="R1297" i="3"/>
  <c r="V1297" i="3"/>
  <c r="G1281" i="3"/>
  <c r="K1281" i="3"/>
  <c r="O1281" i="3"/>
  <c r="W1281" i="3"/>
  <c r="D1281" i="3"/>
  <c r="H1281" i="3"/>
  <c r="L1281" i="3"/>
  <c r="P1281" i="3"/>
  <c r="T1281" i="3"/>
  <c r="E1281" i="3"/>
  <c r="I1281" i="3"/>
  <c r="M1281" i="3"/>
  <c r="Q1281" i="3"/>
  <c r="U1281" i="3"/>
  <c r="F1281" i="3"/>
  <c r="J1281" i="3"/>
  <c r="N1281" i="3"/>
  <c r="R1281" i="3"/>
  <c r="V1281" i="3"/>
  <c r="G1265" i="3"/>
  <c r="K1265" i="3"/>
  <c r="O1265" i="3"/>
  <c r="W1265" i="3"/>
  <c r="D1265" i="3"/>
  <c r="H1265" i="3"/>
  <c r="L1265" i="3"/>
  <c r="P1265" i="3"/>
  <c r="T1265" i="3"/>
  <c r="E1265" i="3"/>
  <c r="I1265" i="3"/>
  <c r="M1265" i="3"/>
  <c r="Q1265" i="3"/>
  <c r="U1265" i="3"/>
  <c r="F1265" i="3"/>
  <c r="J1265" i="3"/>
  <c r="N1265" i="3"/>
  <c r="R1265" i="3"/>
  <c r="V1265" i="3"/>
  <c r="G1249" i="3"/>
  <c r="K1249" i="3"/>
  <c r="O1249" i="3"/>
  <c r="W1249" i="3"/>
  <c r="D1249" i="3"/>
  <c r="H1249" i="3"/>
  <c r="L1249" i="3"/>
  <c r="P1249" i="3"/>
  <c r="T1249" i="3"/>
  <c r="E1249" i="3"/>
  <c r="I1249" i="3"/>
  <c r="M1249" i="3"/>
  <c r="Q1249" i="3"/>
  <c r="U1249" i="3"/>
  <c r="F1249" i="3"/>
  <c r="J1249" i="3"/>
  <c r="N1249" i="3"/>
  <c r="R1249" i="3"/>
  <c r="V1249" i="3"/>
  <c r="G1233" i="3"/>
  <c r="K1233" i="3"/>
  <c r="O1233" i="3"/>
  <c r="W1233" i="3"/>
  <c r="D1233" i="3"/>
  <c r="H1233" i="3"/>
  <c r="L1233" i="3"/>
  <c r="P1233" i="3"/>
  <c r="T1233" i="3"/>
  <c r="E1233" i="3"/>
  <c r="I1233" i="3"/>
  <c r="M1233" i="3"/>
  <c r="Q1233" i="3"/>
  <c r="U1233" i="3"/>
  <c r="F1233" i="3"/>
  <c r="J1233" i="3"/>
  <c r="N1233" i="3"/>
  <c r="R1233" i="3"/>
  <c r="V1233" i="3"/>
  <c r="G1219" i="3"/>
  <c r="K1219" i="3"/>
  <c r="O1219" i="3"/>
  <c r="W1219" i="3"/>
  <c r="D1219" i="3"/>
  <c r="H1219" i="3"/>
  <c r="L1219" i="3"/>
  <c r="P1219" i="3"/>
  <c r="T1219" i="3"/>
  <c r="E1219" i="3"/>
  <c r="I1219" i="3"/>
  <c r="M1219" i="3"/>
  <c r="Q1219" i="3"/>
  <c r="U1219" i="3"/>
  <c r="F1219" i="3"/>
  <c r="J1219" i="3"/>
  <c r="N1219" i="3"/>
  <c r="R1219" i="3"/>
  <c r="V1219" i="3"/>
  <c r="G1194" i="3"/>
  <c r="K1194" i="3"/>
  <c r="O1194" i="3"/>
  <c r="W1194" i="3"/>
  <c r="D1194" i="3"/>
  <c r="H1194" i="3"/>
  <c r="L1194" i="3"/>
  <c r="P1194" i="3"/>
  <c r="T1194" i="3"/>
  <c r="E1194" i="3"/>
  <c r="I1194" i="3"/>
  <c r="M1194" i="3"/>
  <c r="Q1194" i="3"/>
  <c r="U1194" i="3"/>
  <c r="F1194" i="3"/>
  <c r="J1194" i="3"/>
  <c r="N1194" i="3"/>
  <c r="R1194" i="3"/>
  <c r="V1194" i="3"/>
  <c r="G1438" i="3"/>
  <c r="K1438" i="3"/>
  <c r="O1438" i="3"/>
  <c r="W1438" i="3"/>
  <c r="D1438" i="3"/>
  <c r="H1438" i="3"/>
  <c r="L1438" i="3"/>
  <c r="P1438" i="3"/>
  <c r="T1438" i="3"/>
  <c r="E1438" i="3"/>
  <c r="I1438" i="3"/>
  <c r="M1438" i="3"/>
  <c r="Q1438" i="3"/>
  <c r="U1438" i="3"/>
  <c r="F1438" i="3"/>
  <c r="J1438" i="3"/>
  <c r="N1438" i="3"/>
  <c r="R1438" i="3"/>
  <c r="V1438" i="3"/>
  <c r="G1406" i="3"/>
  <c r="K1406" i="3"/>
  <c r="O1406" i="3"/>
  <c r="W1406" i="3"/>
  <c r="D1406" i="3"/>
  <c r="H1406" i="3"/>
  <c r="L1406" i="3"/>
  <c r="P1406" i="3"/>
  <c r="T1406" i="3"/>
  <c r="E1406" i="3"/>
  <c r="I1406" i="3"/>
  <c r="M1406" i="3"/>
  <c r="Q1406" i="3"/>
  <c r="U1406" i="3"/>
  <c r="F1406" i="3"/>
  <c r="J1406" i="3"/>
  <c r="N1406" i="3"/>
  <c r="R1406" i="3"/>
  <c r="V1406" i="3"/>
  <c r="G1390" i="3"/>
  <c r="K1390" i="3"/>
  <c r="O1390" i="3"/>
  <c r="W1390" i="3"/>
  <c r="D1390" i="3"/>
  <c r="H1390" i="3"/>
  <c r="L1390" i="3"/>
  <c r="P1390" i="3"/>
  <c r="T1390" i="3"/>
  <c r="E1390" i="3"/>
  <c r="I1390" i="3"/>
  <c r="M1390" i="3"/>
  <c r="Q1390" i="3"/>
  <c r="U1390" i="3"/>
  <c r="F1390" i="3"/>
  <c r="J1390" i="3"/>
  <c r="N1390" i="3"/>
  <c r="R1390" i="3"/>
  <c r="V1390" i="3"/>
  <c r="G1374" i="3"/>
  <c r="K1374" i="3"/>
  <c r="O1374" i="3"/>
  <c r="W1374" i="3"/>
  <c r="D1374" i="3"/>
  <c r="H1374" i="3"/>
  <c r="L1374" i="3"/>
  <c r="P1374" i="3"/>
  <c r="T1374" i="3"/>
  <c r="E1374" i="3"/>
  <c r="I1374" i="3"/>
  <c r="M1374" i="3"/>
  <c r="Q1374" i="3"/>
  <c r="U1374" i="3"/>
  <c r="F1374" i="3"/>
  <c r="J1374" i="3"/>
  <c r="N1374" i="3"/>
  <c r="R1374" i="3"/>
  <c r="V1374" i="3"/>
  <c r="G1358" i="3"/>
  <c r="K1358" i="3"/>
  <c r="O1358" i="3"/>
  <c r="W1358" i="3"/>
  <c r="D1358" i="3"/>
  <c r="H1358" i="3"/>
  <c r="L1358" i="3"/>
  <c r="P1358" i="3"/>
  <c r="T1358" i="3"/>
  <c r="E1358" i="3"/>
  <c r="I1358" i="3"/>
  <c r="M1358" i="3"/>
  <c r="Q1358" i="3"/>
  <c r="U1358" i="3"/>
  <c r="F1358" i="3"/>
  <c r="J1358" i="3"/>
  <c r="N1358" i="3"/>
  <c r="R1358" i="3"/>
  <c r="V1358" i="3"/>
  <c r="G1342" i="3"/>
  <c r="K1342" i="3"/>
  <c r="O1342" i="3"/>
  <c r="W1342" i="3"/>
  <c r="D1342" i="3"/>
  <c r="H1342" i="3"/>
  <c r="L1342" i="3"/>
  <c r="P1342" i="3"/>
  <c r="T1342" i="3"/>
  <c r="E1342" i="3"/>
  <c r="I1342" i="3"/>
  <c r="M1342" i="3"/>
  <c r="Q1342" i="3"/>
  <c r="U1342" i="3"/>
  <c r="F1342" i="3"/>
  <c r="J1342" i="3"/>
  <c r="N1342" i="3"/>
  <c r="R1342" i="3"/>
  <c r="V1342" i="3"/>
  <c r="G1326" i="3"/>
  <c r="K1326" i="3"/>
  <c r="O1326" i="3"/>
  <c r="W1326" i="3"/>
  <c r="D1326" i="3"/>
  <c r="H1326" i="3"/>
  <c r="L1326" i="3"/>
  <c r="P1326" i="3"/>
  <c r="T1326" i="3"/>
  <c r="E1326" i="3"/>
  <c r="I1326" i="3"/>
  <c r="M1326" i="3"/>
  <c r="Q1326" i="3"/>
  <c r="U1326" i="3"/>
  <c r="F1326" i="3"/>
  <c r="J1326" i="3"/>
  <c r="N1326" i="3"/>
  <c r="R1326" i="3"/>
  <c r="V1326" i="3"/>
  <c r="G1310" i="3"/>
  <c r="K1310" i="3"/>
  <c r="O1310" i="3"/>
  <c r="W1310" i="3"/>
  <c r="D1310" i="3"/>
  <c r="H1310" i="3"/>
  <c r="L1310" i="3"/>
  <c r="P1310" i="3"/>
  <c r="T1310" i="3"/>
  <c r="E1310" i="3"/>
  <c r="I1310" i="3"/>
  <c r="M1310" i="3"/>
  <c r="Q1310" i="3"/>
  <c r="U1310" i="3"/>
  <c r="F1310" i="3"/>
  <c r="J1310" i="3"/>
  <c r="N1310" i="3"/>
  <c r="R1310" i="3"/>
  <c r="V1310" i="3"/>
  <c r="G1294" i="3"/>
  <c r="K1294" i="3"/>
  <c r="O1294" i="3"/>
  <c r="W1294" i="3"/>
  <c r="D1294" i="3"/>
  <c r="H1294" i="3"/>
  <c r="L1294" i="3"/>
  <c r="P1294" i="3"/>
  <c r="T1294" i="3"/>
  <c r="E1294" i="3"/>
  <c r="I1294" i="3"/>
  <c r="M1294" i="3"/>
  <c r="Q1294" i="3"/>
  <c r="U1294" i="3"/>
  <c r="F1294" i="3"/>
  <c r="J1294" i="3"/>
  <c r="N1294" i="3"/>
  <c r="R1294" i="3"/>
  <c r="V1294" i="3"/>
  <c r="G1278" i="3"/>
  <c r="K1278" i="3"/>
  <c r="O1278" i="3"/>
  <c r="W1278" i="3"/>
  <c r="D1278" i="3"/>
  <c r="H1278" i="3"/>
  <c r="L1278" i="3"/>
  <c r="P1278" i="3"/>
  <c r="T1278" i="3"/>
  <c r="E1278" i="3"/>
  <c r="I1278" i="3"/>
  <c r="M1278" i="3"/>
  <c r="Q1278" i="3"/>
  <c r="U1278" i="3"/>
  <c r="F1278" i="3"/>
  <c r="J1278" i="3"/>
  <c r="N1278" i="3"/>
  <c r="R1278" i="3"/>
  <c r="V1278" i="3"/>
  <c r="G1262" i="3"/>
  <c r="K1262" i="3"/>
  <c r="O1262" i="3"/>
  <c r="W1262" i="3"/>
  <c r="D1262" i="3"/>
  <c r="H1262" i="3"/>
  <c r="L1262" i="3"/>
  <c r="P1262" i="3"/>
  <c r="T1262" i="3"/>
  <c r="E1262" i="3"/>
  <c r="I1262" i="3"/>
  <c r="M1262" i="3"/>
  <c r="Q1262" i="3"/>
  <c r="U1262" i="3"/>
  <c r="F1262" i="3"/>
  <c r="J1262" i="3"/>
  <c r="N1262" i="3"/>
  <c r="R1262" i="3"/>
  <c r="V1262" i="3"/>
  <c r="G1246" i="3"/>
  <c r="K1246" i="3"/>
  <c r="O1246" i="3"/>
  <c r="W1246" i="3"/>
  <c r="D1246" i="3"/>
  <c r="H1246" i="3"/>
  <c r="L1246" i="3"/>
  <c r="P1246" i="3"/>
  <c r="T1246" i="3"/>
  <c r="E1246" i="3"/>
  <c r="I1246" i="3"/>
  <c r="M1246" i="3"/>
  <c r="Q1246" i="3"/>
  <c r="U1246" i="3"/>
  <c r="F1246" i="3"/>
  <c r="J1246" i="3"/>
  <c r="N1246" i="3"/>
  <c r="R1246" i="3"/>
  <c r="V1246" i="3"/>
  <c r="G1230" i="3"/>
  <c r="K1230" i="3"/>
  <c r="O1230" i="3"/>
  <c r="W1230" i="3"/>
  <c r="D1230" i="3"/>
  <c r="H1230" i="3"/>
  <c r="L1230" i="3"/>
  <c r="P1230" i="3"/>
  <c r="T1230" i="3"/>
  <c r="E1230" i="3"/>
  <c r="I1230" i="3"/>
  <c r="M1230" i="3"/>
  <c r="Q1230" i="3"/>
  <c r="U1230" i="3"/>
  <c r="F1230" i="3"/>
  <c r="J1230" i="3"/>
  <c r="N1230" i="3"/>
  <c r="R1230" i="3"/>
  <c r="V1230" i="3"/>
  <c r="G1210" i="3"/>
  <c r="K1210" i="3"/>
  <c r="O1210" i="3"/>
  <c r="W1210" i="3"/>
  <c r="D1210" i="3"/>
  <c r="H1210" i="3"/>
  <c r="L1210" i="3"/>
  <c r="P1210" i="3"/>
  <c r="T1210" i="3"/>
  <c r="E1210" i="3"/>
  <c r="I1210" i="3"/>
  <c r="M1210" i="3"/>
  <c r="Q1210" i="3"/>
  <c r="U1210" i="3"/>
  <c r="F1210" i="3"/>
  <c r="J1210" i="3"/>
  <c r="N1210" i="3"/>
  <c r="R1210" i="3"/>
  <c r="V1210" i="3"/>
  <c r="E1177" i="3"/>
  <c r="F1177" i="3"/>
  <c r="J1177" i="3"/>
  <c r="N1177" i="3"/>
  <c r="R1177" i="3"/>
  <c r="V1177" i="3"/>
  <c r="G1177" i="3"/>
  <c r="D1177" i="3"/>
  <c r="H1177" i="3"/>
  <c r="L1177" i="3"/>
  <c r="P1177" i="3"/>
  <c r="T1177" i="3"/>
  <c r="I1177" i="3"/>
  <c r="Q1177" i="3"/>
  <c r="K1177" i="3"/>
  <c r="M1177" i="3"/>
  <c r="U1177" i="3"/>
  <c r="O1177" i="3"/>
  <c r="W1177" i="3"/>
  <c r="G1427" i="3"/>
  <c r="K1427" i="3"/>
  <c r="O1427" i="3"/>
  <c r="W1427" i="3"/>
  <c r="D1427" i="3"/>
  <c r="H1427" i="3"/>
  <c r="L1427" i="3"/>
  <c r="P1427" i="3"/>
  <c r="T1427" i="3"/>
  <c r="E1427" i="3"/>
  <c r="I1427" i="3"/>
  <c r="M1427" i="3"/>
  <c r="Q1427" i="3"/>
  <c r="U1427" i="3"/>
  <c r="F1427" i="3"/>
  <c r="J1427" i="3"/>
  <c r="N1427" i="3"/>
  <c r="R1427" i="3"/>
  <c r="V1427" i="3"/>
  <c r="G1395" i="3"/>
  <c r="K1395" i="3"/>
  <c r="O1395" i="3"/>
  <c r="W1395" i="3"/>
  <c r="D1395" i="3"/>
  <c r="H1395" i="3"/>
  <c r="L1395" i="3"/>
  <c r="P1395" i="3"/>
  <c r="T1395" i="3"/>
  <c r="E1395" i="3"/>
  <c r="I1395" i="3"/>
  <c r="M1395" i="3"/>
  <c r="Q1395" i="3"/>
  <c r="U1395" i="3"/>
  <c r="F1395" i="3"/>
  <c r="J1395" i="3"/>
  <c r="N1395" i="3"/>
  <c r="R1395" i="3"/>
  <c r="V1395" i="3"/>
  <c r="G1363" i="3"/>
  <c r="K1363" i="3"/>
  <c r="O1363" i="3"/>
  <c r="W1363" i="3"/>
  <c r="D1363" i="3"/>
  <c r="H1363" i="3"/>
  <c r="L1363" i="3"/>
  <c r="P1363" i="3"/>
  <c r="T1363" i="3"/>
  <c r="E1363" i="3"/>
  <c r="I1363" i="3"/>
  <c r="M1363" i="3"/>
  <c r="Q1363" i="3"/>
  <c r="U1363" i="3"/>
  <c r="F1363" i="3"/>
  <c r="J1363" i="3"/>
  <c r="N1363" i="3"/>
  <c r="R1363" i="3"/>
  <c r="V1363" i="3"/>
  <c r="G1347" i="3"/>
  <c r="K1347" i="3"/>
  <c r="O1347" i="3"/>
  <c r="W1347" i="3"/>
  <c r="D1347" i="3"/>
  <c r="H1347" i="3"/>
  <c r="L1347" i="3"/>
  <c r="P1347" i="3"/>
  <c r="T1347" i="3"/>
  <c r="E1347" i="3"/>
  <c r="I1347" i="3"/>
  <c r="M1347" i="3"/>
  <c r="Q1347" i="3"/>
  <c r="U1347" i="3"/>
  <c r="F1347" i="3"/>
  <c r="J1347" i="3"/>
  <c r="N1347" i="3"/>
  <c r="R1347" i="3"/>
  <c r="V1347" i="3"/>
  <c r="G1331" i="3"/>
  <c r="K1331" i="3"/>
  <c r="O1331" i="3"/>
  <c r="W1331" i="3"/>
  <c r="D1331" i="3"/>
  <c r="H1331" i="3"/>
  <c r="L1331" i="3"/>
  <c r="P1331" i="3"/>
  <c r="T1331" i="3"/>
  <c r="E1331" i="3"/>
  <c r="I1331" i="3"/>
  <c r="M1331" i="3"/>
  <c r="Q1331" i="3"/>
  <c r="U1331" i="3"/>
  <c r="F1331" i="3"/>
  <c r="J1331" i="3"/>
  <c r="N1331" i="3"/>
  <c r="R1331" i="3"/>
  <c r="V1331" i="3"/>
  <c r="G1315" i="3"/>
  <c r="K1315" i="3"/>
  <c r="O1315" i="3"/>
  <c r="W1315" i="3"/>
  <c r="D1315" i="3"/>
  <c r="H1315" i="3"/>
  <c r="L1315" i="3"/>
  <c r="P1315" i="3"/>
  <c r="T1315" i="3"/>
  <c r="E1315" i="3"/>
  <c r="I1315" i="3"/>
  <c r="M1315" i="3"/>
  <c r="Q1315" i="3"/>
  <c r="U1315" i="3"/>
  <c r="F1315" i="3"/>
  <c r="J1315" i="3"/>
  <c r="N1315" i="3"/>
  <c r="R1315" i="3"/>
  <c r="V1315" i="3"/>
  <c r="G1299" i="3"/>
  <c r="K1299" i="3"/>
  <c r="O1299" i="3"/>
  <c r="W1299" i="3"/>
  <c r="D1299" i="3"/>
  <c r="H1299" i="3"/>
  <c r="L1299" i="3"/>
  <c r="P1299" i="3"/>
  <c r="T1299" i="3"/>
  <c r="E1299" i="3"/>
  <c r="I1299" i="3"/>
  <c r="M1299" i="3"/>
  <c r="Q1299" i="3"/>
  <c r="U1299" i="3"/>
  <c r="F1299" i="3"/>
  <c r="J1299" i="3"/>
  <c r="N1299" i="3"/>
  <c r="R1299" i="3"/>
  <c r="V1299" i="3"/>
  <c r="G1283" i="3"/>
  <c r="K1283" i="3"/>
  <c r="O1283" i="3"/>
  <c r="W1283" i="3"/>
  <c r="D1283" i="3"/>
  <c r="H1283" i="3"/>
  <c r="L1283" i="3"/>
  <c r="P1283" i="3"/>
  <c r="T1283" i="3"/>
  <c r="E1283" i="3"/>
  <c r="I1283" i="3"/>
  <c r="M1283" i="3"/>
  <c r="Q1283" i="3"/>
  <c r="U1283" i="3"/>
  <c r="F1283" i="3"/>
  <c r="J1283" i="3"/>
  <c r="N1283" i="3"/>
  <c r="R1283" i="3"/>
  <c r="V1283" i="3"/>
  <c r="G1267" i="3"/>
  <c r="K1267" i="3"/>
  <c r="O1267" i="3"/>
  <c r="W1267" i="3"/>
  <c r="D1267" i="3"/>
  <c r="H1267" i="3"/>
  <c r="L1267" i="3"/>
  <c r="P1267" i="3"/>
  <c r="T1267" i="3"/>
  <c r="E1267" i="3"/>
  <c r="I1267" i="3"/>
  <c r="M1267" i="3"/>
  <c r="Q1267" i="3"/>
  <c r="U1267" i="3"/>
  <c r="F1267" i="3"/>
  <c r="J1267" i="3"/>
  <c r="N1267" i="3"/>
  <c r="R1267" i="3"/>
  <c r="V1267" i="3"/>
  <c r="G1251" i="3"/>
  <c r="K1251" i="3"/>
  <c r="O1251" i="3"/>
  <c r="W1251" i="3"/>
  <c r="D1251" i="3"/>
  <c r="H1251" i="3"/>
  <c r="L1251" i="3"/>
  <c r="P1251" i="3"/>
  <c r="T1251" i="3"/>
  <c r="E1251" i="3"/>
  <c r="I1251" i="3"/>
  <c r="M1251" i="3"/>
  <c r="Q1251" i="3"/>
  <c r="U1251" i="3"/>
  <c r="F1251" i="3"/>
  <c r="J1251" i="3"/>
  <c r="N1251" i="3"/>
  <c r="R1251" i="3"/>
  <c r="V1251" i="3"/>
  <c r="G1235" i="3"/>
  <c r="K1235" i="3"/>
  <c r="O1235" i="3"/>
  <c r="W1235" i="3"/>
  <c r="D1235" i="3"/>
  <c r="H1235" i="3"/>
  <c r="L1235" i="3"/>
  <c r="P1235" i="3"/>
  <c r="T1235" i="3"/>
  <c r="E1235" i="3"/>
  <c r="I1235" i="3"/>
  <c r="M1235" i="3"/>
  <c r="Q1235" i="3"/>
  <c r="U1235" i="3"/>
  <c r="F1235" i="3"/>
  <c r="J1235" i="3"/>
  <c r="N1235" i="3"/>
  <c r="R1235" i="3"/>
  <c r="V1235" i="3"/>
  <c r="G1214" i="3"/>
  <c r="K1214" i="3"/>
  <c r="O1214" i="3"/>
  <c r="W1214" i="3"/>
  <c r="D1214" i="3"/>
  <c r="H1214" i="3"/>
  <c r="L1214" i="3"/>
  <c r="P1214" i="3"/>
  <c r="T1214" i="3"/>
  <c r="E1214" i="3"/>
  <c r="I1214" i="3"/>
  <c r="M1214" i="3"/>
  <c r="Q1214" i="3"/>
  <c r="U1214" i="3"/>
  <c r="F1214" i="3"/>
  <c r="J1214" i="3"/>
  <c r="N1214" i="3"/>
  <c r="R1214" i="3"/>
  <c r="V1214" i="3"/>
  <c r="G1190" i="3"/>
  <c r="K1190" i="3"/>
  <c r="O1190" i="3"/>
  <c r="W1190" i="3"/>
  <c r="D1190" i="3"/>
  <c r="H1190" i="3"/>
  <c r="L1190" i="3"/>
  <c r="P1190" i="3"/>
  <c r="T1190" i="3"/>
  <c r="E1190" i="3"/>
  <c r="I1190" i="3"/>
  <c r="M1190" i="3"/>
  <c r="Q1190" i="3"/>
  <c r="U1190" i="3"/>
  <c r="F1190" i="3"/>
  <c r="J1190" i="3"/>
  <c r="N1190" i="3"/>
  <c r="R1190" i="3"/>
  <c r="V1190" i="3"/>
  <c r="E1170" i="3"/>
  <c r="I1170" i="3"/>
  <c r="M1170" i="3"/>
  <c r="Q1170" i="3"/>
  <c r="U1170" i="3"/>
  <c r="F1170" i="3"/>
  <c r="J1170" i="3"/>
  <c r="N1170" i="3"/>
  <c r="R1170" i="3"/>
  <c r="V1170" i="3"/>
  <c r="G1170" i="3"/>
  <c r="K1170" i="3"/>
  <c r="O1170" i="3"/>
  <c r="W1170" i="3"/>
  <c r="D1170" i="3"/>
  <c r="H1170" i="3"/>
  <c r="L1170" i="3"/>
  <c r="P1170" i="3"/>
  <c r="T1170" i="3"/>
  <c r="E1154" i="3"/>
  <c r="I1154" i="3"/>
  <c r="M1154" i="3"/>
  <c r="Q1154" i="3"/>
  <c r="U1154" i="3"/>
  <c r="F1154" i="3"/>
  <c r="J1154" i="3"/>
  <c r="N1154" i="3"/>
  <c r="R1154" i="3"/>
  <c r="V1154" i="3"/>
  <c r="G1154" i="3"/>
  <c r="K1154" i="3"/>
  <c r="O1154" i="3"/>
  <c r="W1154" i="3"/>
  <c r="D1154" i="3"/>
  <c r="H1154" i="3"/>
  <c r="L1154" i="3"/>
  <c r="P1154" i="3"/>
  <c r="T1154" i="3"/>
  <c r="E1138" i="3"/>
  <c r="I1138" i="3"/>
  <c r="M1138" i="3"/>
  <c r="Q1138" i="3"/>
  <c r="U1138" i="3"/>
  <c r="F1138" i="3"/>
  <c r="J1138" i="3"/>
  <c r="N1138" i="3"/>
  <c r="R1138" i="3"/>
  <c r="V1138" i="3"/>
  <c r="G1138" i="3"/>
  <c r="K1138" i="3"/>
  <c r="O1138" i="3"/>
  <c r="W1138" i="3"/>
  <c r="D1138" i="3"/>
  <c r="H1138" i="3"/>
  <c r="L1138" i="3"/>
  <c r="P1138" i="3"/>
  <c r="T1138" i="3"/>
  <c r="E1122" i="3"/>
  <c r="I1122" i="3"/>
  <c r="M1122" i="3"/>
  <c r="Q1122" i="3"/>
  <c r="U1122" i="3"/>
  <c r="F1122" i="3"/>
  <c r="J1122" i="3"/>
  <c r="N1122" i="3"/>
  <c r="R1122" i="3"/>
  <c r="V1122" i="3"/>
  <c r="G1122" i="3"/>
  <c r="K1122" i="3"/>
  <c r="O1122" i="3"/>
  <c r="W1122" i="3"/>
  <c r="D1122" i="3"/>
  <c r="H1122" i="3"/>
  <c r="L1122" i="3"/>
  <c r="P1122" i="3"/>
  <c r="T1122" i="3"/>
  <c r="E1106" i="3"/>
  <c r="I1106" i="3"/>
  <c r="M1106" i="3"/>
  <c r="Q1106" i="3"/>
  <c r="U1106" i="3"/>
  <c r="F1106" i="3"/>
  <c r="J1106" i="3"/>
  <c r="N1106" i="3"/>
  <c r="R1106" i="3"/>
  <c r="V1106" i="3"/>
  <c r="G1106" i="3"/>
  <c r="K1106" i="3"/>
  <c r="O1106" i="3"/>
  <c r="W1106" i="3"/>
  <c r="D1106" i="3"/>
  <c r="H1106" i="3"/>
  <c r="L1106" i="3"/>
  <c r="P1106" i="3"/>
  <c r="T1106" i="3"/>
  <c r="E1090" i="3"/>
  <c r="I1090" i="3"/>
  <c r="M1090" i="3"/>
  <c r="Q1090" i="3"/>
  <c r="U1090" i="3"/>
  <c r="F1090" i="3"/>
  <c r="J1090" i="3"/>
  <c r="N1090" i="3"/>
  <c r="R1090" i="3"/>
  <c r="V1090" i="3"/>
  <c r="G1090" i="3"/>
  <c r="K1090" i="3"/>
  <c r="O1090" i="3"/>
  <c r="W1090" i="3"/>
  <c r="D1090" i="3"/>
  <c r="H1090" i="3"/>
  <c r="L1090" i="3"/>
  <c r="P1090" i="3"/>
  <c r="T1090" i="3"/>
  <c r="E1074" i="3"/>
  <c r="I1074" i="3"/>
  <c r="M1074" i="3"/>
  <c r="Q1074" i="3"/>
  <c r="U1074" i="3"/>
  <c r="F1074" i="3"/>
  <c r="J1074" i="3"/>
  <c r="N1074" i="3"/>
  <c r="R1074" i="3"/>
  <c r="V1074" i="3"/>
  <c r="G1074" i="3"/>
  <c r="K1074" i="3"/>
  <c r="O1074" i="3"/>
  <c r="W1074" i="3"/>
  <c r="D1074" i="3"/>
  <c r="H1074" i="3"/>
  <c r="L1074" i="3"/>
  <c r="P1074" i="3"/>
  <c r="T1074" i="3"/>
  <c r="E1058" i="3"/>
  <c r="I1058" i="3"/>
  <c r="M1058" i="3"/>
  <c r="Q1058" i="3"/>
  <c r="U1058" i="3"/>
  <c r="F1058" i="3"/>
  <c r="J1058" i="3"/>
  <c r="N1058" i="3"/>
  <c r="R1058" i="3"/>
  <c r="V1058" i="3"/>
  <c r="G1058" i="3"/>
  <c r="K1058" i="3"/>
  <c r="O1058" i="3"/>
  <c r="W1058" i="3"/>
  <c r="D1058" i="3"/>
  <c r="H1058" i="3"/>
  <c r="L1058" i="3"/>
  <c r="P1058" i="3"/>
  <c r="T1058" i="3"/>
  <c r="E1042" i="3"/>
  <c r="I1042" i="3"/>
  <c r="M1042" i="3"/>
  <c r="Q1042" i="3"/>
  <c r="U1042" i="3"/>
  <c r="F1042" i="3"/>
  <c r="J1042" i="3"/>
  <c r="N1042" i="3"/>
  <c r="R1042" i="3"/>
  <c r="V1042" i="3"/>
  <c r="G1042" i="3"/>
  <c r="K1042" i="3"/>
  <c r="O1042" i="3"/>
  <c r="W1042" i="3"/>
  <c r="D1042" i="3"/>
  <c r="H1042" i="3"/>
  <c r="L1042" i="3"/>
  <c r="P1042" i="3"/>
  <c r="T1042" i="3"/>
  <c r="E1026" i="3"/>
  <c r="I1026" i="3"/>
  <c r="M1026" i="3"/>
  <c r="Q1026" i="3"/>
  <c r="U1026" i="3"/>
  <c r="F1026" i="3"/>
  <c r="J1026" i="3"/>
  <c r="N1026" i="3"/>
  <c r="R1026" i="3"/>
  <c r="V1026" i="3"/>
  <c r="G1026" i="3"/>
  <c r="K1026" i="3"/>
  <c r="O1026" i="3"/>
  <c r="W1026" i="3"/>
  <c r="D1026" i="3"/>
  <c r="H1026" i="3"/>
  <c r="L1026" i="3"/>
  <c r="P1026" i="3"/>
  <c r="T1026" i="3"/>
  <c r="E1010" i="3"/>
  <c r="I1010" i="3"/>
  <c r="M1010" i="3"/>
  <c r="Q1010" i="3"/>
  <c r="U1010" i="3"/>
  <c r="F1010" i="3"/>
  <c r="J1010" i="3"/>
  <c r="N1010" i="3"/>
  <c r="R1010" i="3"/>
  <c r="V1010" i="3"/>
  <c r="G1010" i="3"/>
  <c r="K1010" i="3"/>
  <c r="O1010" i="3"/>
  <c r="W1010" i="3"/>
  <c r="D1010" i="3"/>
  <c r="H1010" i="3"/>
  <c r="L1010" i="3"/>
  <c r="P1010" i="3"/>
  <c r="T1010" i="3"/>
  <c r="E994" i="3"/>
  <c r="I994" i="3"/>
  <c r="M994" i="3"/>
  <c r="Q994" i="3"/>
  <c r="U994" i="3"/>
  <c r="F994" i="3"/>
  <c r="J994" i="3"/>
  <c r="N994" i="3"/>
  <c r="R994" i="3"/>
  <c r="V994" i="3"/>
  <c r="G994" i="3"/>
  <c r="K994" i="3"/>
  <c r="O994" i="3"/>
  <c r="W994" i="3"/>
  <c r="D994" i="3"/>
  <c r="H994" i="3"/>
  <c r="L994" i="3"/>
  <c r="P994" i="3"/>
  <c r="T994" i="3"/>
  <c r="E978" i="3"/>
  <c r="I978" i="3"/>
  <c r="M978" i="3"/>
  <c r="Q978" i="3"/>
  <c r="U978" i="3"/>
  <c r="F978" i="3"/>
  <c r="J978" i="3"/>
  <c r="N978" i="3"/>
  <c r="R978" i="3"/>
  <c r="V978" i="3"/>
  <c r="G978" i="3"/>
  <c r="K978" i="3"/>
  <c r="O978" i="3"/>
  <c r="W978" i="3"/>
  <c r="D978" i="3"/>
  <c r="H978" i="3"/>
  <c r="L978" i="3"/>
  <c r="P978" i="3"/>
  <c r="T978" i="3"/>
  <c r="E957" i="3"/>
  <c r="I957" i="3"/>
  <c r="M957" i="3"/>
  <c r="Q957" i="3"/>
  <c r="U957" i="3"/>
  <c r="F957" i="3"/>
  <c r="J957" i="3"/>
  <c r="N957" i="3"/>
  <c r="R957" i="3"/>
  <c r="V957" i="3"/>
  <c r="G957" i="3"/>
  <c r="K957" i="3"/>
  <c r="O957" i="3"/>
  <c r="W957" i="3"/>
  <c r="D957" i="3"/>
  <c r="H957" i="3"/>
  <c r="L957" i="3"/>
  <c r="P957" i="3"/>
  <c r="T957" i="3"/>
  <c r="E938" i="3"/>
  <c r="I938" i="3"/>
  <c r="M938" i="3"/>
  <c r="Q938" i="3"/>
  <c r="U938" i="3"/>
  <c r="F938" i="3"/>
  <c r="J938" i="3"/>
  <c r="N938" i="3"/>
  <c r="R938" i="3"/>
  <c r="V938" i="3"/>
  <c r="G938" i="3"/>
  <c r="K938" i="3"/>
  <c r="O938" i="3"/>
  <c r="W938" i="3"/>
  <c r="D938" i="3"/>
  <c r="H938" i="3"/>
  <c r="L938" i="3"/>
  <c r="P938" i="3"/>
  <c r="T938" i="3"/>
  <c r="E919" i="3"/>
  <c r="I919" i="3"/>
  <c r="M919" i="3"/>
  <c r="Q919" i="3"/>
  <c r="U919" i="3"/>
  <c r="F919" i="3"/>
  <c r="J919" i="3"/>
  <c r="N919" i="3"/>
  <c r="R919" i="3"/>
  <c r="V919" i="3"/>
  <c r="G919" i="3"/>
  <c r="K919" i="3"/>
  <c r="O919" i="3"/>
  <c r="W919" i="3"/>
  <c r="D919" i="3"/>
  <c r="H919" i="3"/>
  <c r="L919" i="3"/>
  <c r="P919" i="3"/>
  <c r="T919" i="3"/>
  <c r="E893" i="3"/>
  <c r="I893" i="3"/>
  <c r="M893" i="3"/>
  <c r="Q893" i="3"/>
  <c r="U893" i="3"/>
  <c r="F893" i="3"/>
  <c r="J893" i="3"/>
  <c r="N893" i="3"/>
  <c r="R893" i="3"/>
  <c r="V893" i="3"/>
  <c r="G893" i="3"/>
  <c r="K893" i="3"/>
  <c r="O893" i="3"/>
  <c r="W893" i="3"/>
  <c r="D893" i="3"/>
  <c r="H893" i="3"/>
  <c r="L893" i="3"/>
  <c r="P893" i="3"/>
  <c r="T893" i="3"/>
  <c r="E873" i="3"/>
  <c r="I873" i="3"/>
  <c r="M873" i="3"/>
  <c r="Q873" i="3"/>
  <c r="U873" i="3"/>
  <c r="F873" i="3"/>
  <c r="J873" i="3"/>
  <c r="N873" i="3"/>
  <c r="R873" i="3"/>
  <c r="V873" i="3"/>
  <c r="G873" i="3"/>
  <c r="K873" i="3"/>
  <c r="O873" i="3"/>
  <c r="W873" i="3"/>
  <c r="D873" i="3"/>
  <c r="H873" i="3"/>
  <c r="L873" i="3"/>
  <c r="P873" i="3"/>
  <c r="T873" i="3"/>
  <c r="G1195" i="3"/>
  <c r="K1195" i="3"/>
  <c r="O1195" i="3"/>
  <c r="W1195" i="3"/>
  <c r="D1195" i="3"/>
  <c r="H1195" i="3"/>
  <c r="L1195" i="3"/>
  <c r="P1195" i="3"/>
  <c r="T1195" i="3"/>
  <c r="E1195" i="3"/>
  <c r="I1195" i="3"/>
  <c r="M1195" i="3"/>
  <c r="Q1195" i="3"/>
  <c r="U1195" i="3"/>
  <c r="F1195" i="3"/>
  <c r="J1195" i="3"/>
  <c r="N1195" i="3"/>
  <c r="R1195" i="3"/>
  <c r="V1195" i="3"/>
  <c r="F1179" i="3"/>
  <c r="J1179" i="3"/>
  <c r="N1179" i="3"/>
  <c r="R1179" i="3"/>
  <c r="V1179" i="3"/>
  <c r="D1179" i="3"/>
  <c r="H1179" i="3"/>
  <c r="L1179" i="3"/>
  <c r="P1179" i="3"/>
  <c r="T1179" i="3"/>
  <c r="I1179" i="3"/>
  <c r="Q1179" i="3"/>
  <c r="K1179" i="3"/>
  <c r="E1179" i="3"/>
  <c r="M1179" i="3"/>
  <c r="U1179" i="3"/>
  <c r="G1179" i="3"/>
  <c r="O1179" i="3"/>
  <c r="W1179" i="3"/>
  <c r="E1163" i="3"/>
  <c r="I1163" i="3"/>
  <c r="M1163" i="3"/>
  <c r="Q1163" i="3"/>
  <c r="U1163" i="3"/>
  <c r="F1163" i="3"/>
  <c r="J1163" i="3"/>
  <c r="N1163" i="3"/>
  <c r="R1163" i="3"/>
  <c r="V1163" i="3"/>
  <c r="G1163" i="3"/>
  <c r="K1163" i="3"/>
  <c r="O1163" i="3"/>
  <c r="W1163" i="3"/>
  <c r="D1163" i="3"/>
  <c r="H1163" i="3"/>
  <c r="L1163" i="3"/>
  <c r="P1163" i="3"/>
  <c r="T1163" i="3"/>
  <c r="E1147" i="3"/>
  <c r="I1147" i="3"/>
  <c r="M1147" i="3"/>
  <c r="Q1147" i="3"/>
  <c r="U1147" i="3"/>
  <c r="F1147" i="3"/>
  <c r="J1147" i="3"/>
  <c r="N1147" i="3"/>
  <c r="R1147" i="3"/>
  <c r="V1147" i="3"/>
  <c r="G1147" i="3"/>
  <c r="K1147" i="3"/>
  <c r="O1147" i="3"/>
  <c r="W1147" i="3"/>
  <c r="D1147" i="3"/>
  <c r="H1147" i="3"/>
  <c r="L1147" i="3"/>
  <c r="P1147" i="3"/>
  <c r="T1147" i="3"/>
  <c r="E1131" i="3"/>
  <c r="I1131" i="3"/>
  <c r="M1131" i="3"/>
  <c r="Q1131" i="3"/>
  <c r="U1131" i="3"/>
  <c r="F1131" i="3"/>
  <c r="J1131" i="3"/>
  <c r="N1131" i="3"/>
  <c r="R1131" i="3"/>
  <c r="V1131" i="3"/>
  <c r="G1131" i="3"/>
  <c r="K1131" i="3"/>
  <c r="O1131" i="3"/>
  <c r="W1131" i="3"/>
  <c r="D1131" i="3"/>
  <c r="H1131" i="3"/>
  <c r="L1131" i="3"/>
  <c r="P1131" i="3"/>
  <c r="T1131" i="3"/>
  <c r="E1115" i="3"/>
  <c r="I1115" i="3"/>
  <c r="M1115" i="3"/>
  <c r="Q1115" i="3"/>
  <c r="U1115" i="3"/>
  <c r="F1115" i="3"/>
  <c r="J1115" i="3"/>
  <c r="N1115" i="3"/>
  <c r="R1115" i="3"/>
  <c r="V1115" i="3"/>
  <c r="G1115" i="3"/>
  <c r="K1115" i="3"/>
  <c r="O1115" i="3"/>
  <c r="W1115" i="3"/>
  <c r="D1115" i="3"/>
  <c r="H1115" i="3"/>
  <c r="L1115" i="3"/>
  <c r="P1115" i="3"/>
  <c r="T1115" i="3"/>
  <c r="E1099" i="3"/>
  <c r="I1099" i="3"/>
  <c r="M1099" i="3"/>
  <c r="Q1099" i="3"/>
  <c r="U1099" i="3"/>
  <c r="F1099" i="3"/>
  <c r="J1099" i="3"/>
  <c r="N1099" i="3"/>
  <c r="R1099" i="3"/>
  <c r="V1099" i="3"/>
  <c r="G1099" i="3"/>
  <c r="K1099" i="3"/>
  <c r="O1099" i="3"/>
  <c r="W1099" i="3"/>
  <c r="D1099" i="3"/>
  <c r="H1099" i="3"/>
  <c r="L1099" i="3"/>
  <c r="P1099" i="3"/>
  <c r="T1099" i="3"/>
  <c r="E1083" i="3"/>
  <c r="I1083" i="3"/>
  <c r="M1083" i="3"/>
  <c r="Q1083" i="3"/>
  <c r="U1083" i="3"/>
  <c r="F1083" i="3"/>
  <c r="J1083" i="3"/>
  <c r="N1083" i="3"/>
  <c r="R1083" i="3"/>
  <c r="V1083" i="3"/>
  <c r="G1083" i="3"/>
  <c r="K1083" i="3"/>
  <c r="O1083" i="3"/>
  <c r="W1083" i="3"/>
  <c r="D1083" i="3"/>
  <c r="H1083" i="3"/>
  <c r="L1083" i="3"/>
  <c r="P1083" i="3"/>
  <c r="T1083" i="3"/>
  <c r="E1067" i="3"/>
  <c r="I1067" i="3"/>
  <c r="M1067" i="3"/>
  <c r="Q1067" i="3"/>
  <c r="U1067" i="3"/>
  <c r="F1067" i="3"/>
  <c r="J1067" i="3"/>
  <c r="N1067" i="3"/>
  <c r="R1067" i="3"/>
  <c r="V1067" i="3"/>
  <c r="G1067" i="3"/>
  <c r="K1067" i="3"/>
  <c r="O1067" i="3"/>
  <c r="W1067" i="3"/>
  <c r="D1067" i="3"/>
  <c r="H1067" i="3"/>
  <c r="L1067" i="3"/>
  <c r="P1067" i="3"/>
  <c r="T1067" i="3"/>
  <c r="E1051" i="3"/>
  <c r="I1051" i="3"/>
  <c r="M1051" i="3"/>
  <c r="Q1051" i="3"/>
  <c r="U1051" i="3"/>
  <c r="F1051" i="3"/>
  <c r="J1051" i="3"/>
  <c r="N1051" i="3"/>
  <c r="R1051" i="3"/>
  <c r="V1051" i="3"/>
  <c r="G1051" i="3"/>
  <c r="K1051" i="3"/>
  <c r="O1051" i="3"/>
  <c r="W1051" i="3"/>
  <c r="D1051" i="3"/>
  <c r="H1051" i="3"/>
  <c r="L1051" i="3"/>
  <c r="P1051" i="3"/>
  <c r="T1051" i="3"/>
  <c r="E1035" i="3"/>
  <c r="I1035" i="3"/>
  <c r="M1035" i="3"/>
  <c r="Q1035" i="3"/>
  <c r="U1035" i="3"/>
  <c r="F1035" i="3"/>
  <c r="J1035" i="3"/>
  <c r="N1035" i="3"/>
  <c r="R1035" i="3"/>
  <c r="V1035" i="3"/>
  <c r="G1035" i="3"/>
  <c r="K1035" i="3"/>
  <c r="O1035" i="3"/>
  <c r="W1035" i="3"/>
  <c r="D1035" i="3"/>
  <c r="H1035" i="3"/>
  <c r="L1035" i="3"/>
  <c r="P1035" i="3"/>
  <c r="T1035" i="3"/>
  <c r="E1019" i="3"/>
  <c r="I1019" i="3"/>
  <c r="M1019" i="3"/>
  <c r="Q1019" i="3"/>
  <c r="U1019" i="3"/>
  <c r="F1019" i="3"/>
  <c r="J1019" i="3"/>
  <c r="N1019" i="3"/>
  <c r="R1019" i="3"/>
  <c r="V1019" i="3"/>
  <c r="G1019" i="3"/>
  <c r="K1019" i="3"/>
  <c r="O1019" i="3"/>
  <c r="W1019" i="3"/>
  <c r="D1019" i="3"/>
  <c r="H1019" i="3"/>
  <c r="L1019" i="3"/>
  <c r="P1019" i="3"/>
  <c r="T1019" i="3"/>
  <c r="E1003" i="3"/>
  <c r="I1003" i="3"/>
  <c r="M1003" i="3"/>
  <c r="Q1003" i="3"/>
  <c r="U1003" i="3"/>
  <c r="F1003" i="3"/>
  <c r="J1003" i="3"/>
  <c r="N1003" i="3"/>
  <c r="R1003" i="3"/>
  <c r="V1003" i="3"/>
  <c r="G1003" i="3"/>
  <c r="K1003" i="3"/>
  <c r="O1003" i="3"/>
  <c r="W1003" i="3"/>
  <c r="D1003" i="3"/>
  <c r="H1003" i="3"/>
  <c r="L1003" i="3"/>
  <c r="P1003" i="3"/>
  <c r="T1003" i="3"/>
  <c r="E987" i="3"/>
  <c r="I987" i="3"/>
  <c r="M987" i="3"/>
  <c r="Q987" i="3"/>
  <c r="U987" i="3"/>
  <c r="F987" i="3"/>
  <c r="J987" i="3"/>
  <c r="N987" i="3"/>
  <c r="R987" i="3"/>
  <c r="V987" i="3"/>
  <c r="G987" i="3"/>
  <c r="K987" i="3"/>
  <c r="O987" i="3"/>
  <c r="W987" i="3"/>
  <c r="D987" i="3"/>
  <c r="H987" i="3"/>
  <c r="L987" i="3"/>
  <c r="P987" i="3"/>
  <c r="T987" i="3"/>
  <c r="E971" i="3"/>
  <c r="I971" i="3"/>
  <c r="M971" i="3"/>
  <c r="Q971" i="3"/>
  <c r="U971" i="3"/>
  <c r="F971" i="3"/>
  <c r="J971" i="3"/>
  <c r="N971" i="3"/>
  <c r="R971" i="3"/>
  <c r="V971" i="3"/>
  <c r="G971" i="3"/>
  <c r="K971" i="3"/>
  <c r="O971" i="3"/>
  <c r="W971" i="3"/>
  <c r="D971" i="3"/>
  <c r="H971" i="3"/>
  <c r="L971" i="3"/>
  <c r="P971" i="3"/>
  <c r="T971" i="3"/>
  <c r="E945" i="3"/>
  <c r="I945" i="3"/>
  <c r="M945" i="3"/>
  <c r="Q945" i="3"/>
  <c r="U945" i="3"/>
  <c r="F945" i="3"/>
  <c r="J945" i="3"/>
  <c r="N945" i="3"/>
  <c r="R945" i="3"/>
  <c r="V945" i="3"/>
  <c r="G945" i="3"/>
  <c r="K945" i="3"/>
  <c r="O945" i="3"/>
  <c r="W945" i="3"/>
  <c r="D945" i="3"/>
  <c r="H945" i="3"/>
  <c r="L945" i="3"/>
  <c r="P945" i="3"/>
  <c r="T945" i="3"/>
  <c r="E926" i="3"/>
  <c r="I926" i="3"/>
  <c r="M926" i="3"/>
  <c r="Q926" i="3"/>
  <c r="U926" i="3"/>
  <c r="F926" i="3"/>
  <c r="J926" i="3"/>
  <c r="N926" i="3"/>
  <c r="R926" i="3"/>
  <c r="V926" i="3"/>
  <c r="G926" i="3"/>
  <c r="K926" i="3"/>
  <c r="O926" i="3"/>
  <c r="W926" i="3"/>
  <c r="D926" i="3"/>
  <c r="H926" i="3"/>
  <c r="L926" i="3"/>
  <c r="P926" i="3"/>
  <c r="T926" i="3"/>
  <c r="E907" i="3"/>
  <c r="I907" i="3"/>
  <c r="M907" i="3"/>
  <c r="Q907" i="3"/>
  <c r="U907" i="3"/>
  <c r="F907" i="3"/>
  <c r="J907" i="3"/>
  <c r="N907" i="3"/>
  <c r="R907" i="3"/>
  <c r="V907" i="3"/>
  <c r="G907" i="3"/>
  <c r="K907" i="3"/>
  <c r="O907" i="3"/>
  <c r="W907" i="3"/>
  <c r="D907" i="3"/>
  <c r="H907" i="3"/>
  <c r="L907" i="3"/>
  <c r="P907" i="3"/>
  <c r="T907" i="3"/>
  <c r="E882" i="3"/>
  <c r="I882" i="3"/>
  <c r="M882" i="3"/>
  <c r="Q882" i="3"/>
  <c r="U882" i="3"/>
  <c r="F882" i="3"/>
  <c r="J882" i="3"/>
  <c r="N882" i="3"/>
  <c r="R882" i="3"/>
  <c r="V882" i="3"/>
  <c r="G882" i="3"/>
  <c r="K882" i="3"/>
  <c r="O882" i="3"/>
  <c r="W882" i="3"/>
  <c r="D882" i="3"/>
  <c r="H882" i="3"/>
  <c r="L882" i="3"/>
  <c r="P882" i="3"/>
  <c r="T882" i="3"/>
  <c r="E850" i="3"/>
  <c r="I850" i="3"/>
  <c r="M850" i="3"/>
  <c r="Q850" i="3"/>
  <c r="U850" i="3"/>
  <c r="F850" i="3"/>
  <c r="J850" i="3"/>
  <c r="N850" i="3"/>
  <c r="R850" i="3"/>
  <c r="V850" i="3"/>
  <c r="G850" i="3"/>
  <c r="K850" i="3"/>
  <c r="O850" i="3"/>
  <c r="W850" i="3"/>
  <c r="D850" i="3"/>
  <c r="H850" i="3"/>
  <c r="L850" i="3"/>
  <c r="P850" i="3"/>
  <c r="T850" i="3"/>
  <c r="G1212" i="3"/>
  <c r="K1212" i="3"/>
  <c r="O1212" i="3"/>
  <c r="W1212" i="3"/>
  <c r="D1212" i="3"/>
  <c r="H1212" i="3"/>
  <c r="L1212" i="3"/>
  <c r="P1212" i="3"/>
  <c r="T1212" i="3"/>
  <c r="E1212" i="3"/>
  <c r="I1212" i="3"/>
  <c r="M1212" i="3"/>
  <c r="Q1212" i="3"/>
  <c r="U1212" i="3"/>
  <c r="F1212" i="3"/>
  <c r="J1212" i="3"/>
  <c r="N1212" i="3"/>
  <c r="R1212" i="3"/>
  <c r="V1212" i="3"/>
  <c r="G1196" i="3"/>
  <c r="K1196" i="3"/>
  <c r="O1196" i="3"/>
  <c r="W1196" i="3"/>
  <c r="D1196" i="3"/>
  <c r="H1196" i="3"/>
  <c r="L1196" i="3"/>
  <c r="P1196" i="3"/>
  <c r="T1196" i="3"/>
  <c r="E1196" i="3"/>
  <c r="I1196" i="3"/>
  <c r="M1196" i="3"/>
  <c r="Q1196" i="3"/>
  <c r="U1196" i="3"/>
  <c r="F1196" i="3"/>
  <c r="J1196" i="3"/>
  <c r="N1196" i="3"/>
  <c r="R1196" i="3"/>
  <c r="V1196" i="3"/>
  <c r="F1180" i="3"/>
  <c r="J1180" i="3"/>
  <c r="N1180" i="3"/>
  <c r="R1180" i="3"/>
  <c r="V1180" i="3"/>
  <c r="D1180" i="3"/>
  <c r="H1180" i="3"/>
  <c r="L1180" i="3"/>
  <c r="P1180" i="3"/>
  <c r="T1180" i="3"/>
  <c r="E1180" i="3"/>
  <c r="M1180" i="3"/>
  <c r="U1180" i="3"/>
  <c r="G1180" i="3"/>
  <c r="O1180" i="3"/>
  <c r="W1180" i="3"/>
  <c r="I1180" i="3"/>
  <c r="Q1180" i="3"/>
  <c r="K1180" i="3"/>
  <c r="E1164" i="3"/>
  <c r="I1164" i="3"/>
  <c r="M1164" i="3"/>
  <c r="Q1164" i="3"/>
  <c r="U1164" i="3"/>
  <c r="F1164" i="3"/>
  <c r="J1164" i="3"/>
  <c r="N1164" i="3"/>
  <c r="R1164" i="3"/>
  <c r="V1164" i="3"/>
  <c r="G1164" i="3"/>
  <c r="K1164" i="3"/>
  <c r="O1164" i="3"/>
  <c r="W1164" i="3"/>
  <c r="D1164" i="3"/>
  <c r="H1164" i="3"/>
  <c r="L1164" i="3"/>
  <c r="P1164" i="3"/>
  <c r="T1164" i="3"/>
  <c r="E1148" i="3"/>
  <c r="I1148" i="3"/>
  <c r="M1148" i="3"/>
  <c r="Q1148" i="3"/>
  <c r="U1148" i="3"/>
  <c r="F1148" i="3"/>
  <c r="J1148" i="3"/>
  <c r="N1148" i="3"/>
  <c r="R1148" i="3"/>
  <c r="V1148" i="3"/>
  <c r="G1148" i="3"/>
  <c r="K1148" i="3"/>
  <c r="O1148" i="3"/>
  <c r="W1148" i="3"/>
  <c r="D1148" i="3"/>
  <c r="H1148" i="3"/>
  <c r="L1148" i="3"/>
  <c r="P1148" i="3"/>
  <c r="T1148" i="3"/>
  <c r="E1132" i="3"/>
  <c r="I1132" i="3"/>
  <c r="M1132" i="3"/>
  <c r="Q1132" i="3"/>
  <c r="U1132" i="3"/>
  <c r="F1132" i="3"/>
  <c r="J1132" i="3"/>
  <c r="N1132" i="3"/>
  <c r="R1132" i="3"/>
  <c r="V1132" i="3"/>
  <c r="G1132" i="3"/>
  <c r="K1132" i="3"/>
  <c r="O1132" i="3"/>
  <c r="W1132" i="3"/>
  <c r="D1132" i="3"/>
  <c r="H1132" i="3"/>
  <c r="L1132" i="3"/>
  <c r="P1132" i="3"/>
  <c r="T1132" i="3"/>
  <c r="E1116" i="3"/>
  <c r="I1116" i="3"/>
  <c r="M1116" i="3"/>
  <c r="Q1116" i="3"/>
  <c r="U1116" i="3"/>
  <c r="F1116" i="3"/>
  <c r="J1116" i="3"/>
  <c r="N1116" i="3"/>
  <c r="R1116" i="3"/>
  <c r="V1116" i="3"/>
  <c r="G1116" i="3"/>
  <c r="K1116" i="3"/>
  <c r="O1116" i="3"/>
  <c r="W1116" i="3"/>
  <c r="D1116" i="3"/>
  <c r="H1116" i="3"/>
  <c r="L1116" i="3"/>
  <c r="P1116" i="3"/>
  <c r="T1116" i="3"/>
  <c r="E1100" i="3"/>
  <c r="I1100" i="3"/>
  <c r="M1100" i="3"/>
  <c r="Q1100" i="3"/>
  <c r="U1100" i="3"/>
  <c r="F1100" i="3"/>
  <c r="J1100" i="3"/>
  <c r="N1100" i="3"/>
  <c r="R1100" i="3"/>
  <c r="V1100" i="3"/>
  <c r="G1100" i="3"/>
  <c r="K1100" i="3"/>
  <c r="O1100" i="3"/>
  <c r="W1100" i="3"/>
  <c r="D1100" i="3"/>
  <c r="H1100" i="3"/>
  <c r="L1100" i="3"/>
  <c r="P1100" i="3"/>
  <c r="T1100" i="3"/>
  <c r="E1084" i="3"/>
  <c r="I1084" i="3"/>
  <c r="M1084" i="3"/>
  <c r="Q1084" i="3"/>
  <c r="U1084" i="3"/>
  <c r="F1084" i="3"/>
  <c r="J1084" i="3"/>
  <c r="N1084" i="3"/>
  <c r="R1084" i="3"/>
  <c r="V1084" i="3"/>
  <c r="G1084" i="3"/>
  <c r="K1084" i="3"/>
  <c r="O1084" i="3"/>
  <c r="W1084" i="3"/>
  <c r="D1084" i="3"/>
  <c r="H1084" i="3"/>
  <c r="L1084" i="3"/>
  <c r="P1084" i="3"/>
  <c r="T1084" i="3"/>
  <c r="E1068" i="3"/>
  <c r="I1068" i="3"/>
  <c r="M1068" i="3"/>
  <c r="Q1068" i="3"/>
  <c r="U1068" i="3"/>
  <c r="F1068" i="3"/>
  <c r="J1068" i="3"/>
  <c r="N1068" i="3"/>
  <c r="R1068" i="3"/>
  <c r="V1068" i="3"/>
  <c r="G1068" i="3"/>
  <c r="K1068" i="3"/>
  <c r="O1068" i="3"/>
  <c r="W1068" i="3"/>
  <c r="D1068" i="3"/>
  <c r="H1068" i="3"/>
  <c r="L1068" i="3"/>
  <c r="P1068" i="3"/>
  <c r="T1068" i="3"/>
  <c r="E1052" i="3"/>
  <c r="I1052" i="3"/>
  <c r="M1052" i="3"/>
  <c r="Q1052" i="3"/>
  <c r="U1052" i="3"/>
  <c r="F1052" i="3"/>
  <c r="J1052" i="3"/>
  <c r="N1052" i="3"/>
  <c r="R1052" i="3"/>
  <c r="V1052" i="3"/>
  <c r="G1052" i="3"/>
  <c r="K1052" i="3"/>
  <c r="O1052" i="3"/>
  <c r="W1052" i="3"/>
  <c r="D1052" i="3"/>
  <c r="H1052" i="3"/>
  <c r="L1052" i="3"/>
  <c r="P1052" i="3"/>
  <c r="T1052" i="3"/>
  <c r="E1036" i="3"/>
  <c r="I1036" i="3"/>
  <c r="M1036" i="3"/>
  <c r="Q1036" i="3"/>
  <c r="U1036" i="3"/>
  <c r="F1036" i="3"/>
  <c r="J1036" i="3"/>
  <c r="N1036" i="3"/>
  <c r="R1036" i="3"/>
  <c r="V1036" i="3"/>
  <c r="G1036" i="3"/>
  <c r="K1036" i="3"/>
  <c r="O1036" i="3"/>
  <c r="W1036" i="3"/>
  <c r="D1036" i="3"/>
  <c r="H1036" i="3"/>
  <c r="L1036" i="3"/>
  <c r="P1036" i="3"/>
  <c r="T1036" i="3"/>
  <c r="E1020" i="3"/>
  <c r="I1020" i="3"/>
  <c r="M1020" i="3"/>
  <c r="Q1020" i="3"/>
  <c r="U1020" i="3"/>
  <c r="F1020" i="3"/>
  <c r="J1020" i="3"/>
  <c r="N1020" i="3"/>
  <c r="R1020" i="3"/>
  <c r="V1020" i="3"/>
  <c r="G1020" i="3"/>
  <c r="K1020" i="3"/>
  <c r="O1020" i="3"/>
  <c r="W1020" i="3"/>
  <c r="D1020" i="3"/>
  <c r="H1020" i="3"/>
  <c r="L1020" i="3"/>
  <c r="P1020" i="3"/>
  <c r="T1020" i="3"/>
  <c r="E1004" i="3"/>
  <c r="I1004" i="3"/>
  <c r="M1004" i="3"/>
  <c r="Q1004" i="3"/>
  <c r="U1004" i="3"/>
  <c r="F1004" i="3"/>
  <c r="J1004" i="3"/>
  <c r="N1004" i="3"/>
  <c r="R1004" i="3"/>
  <c r="V1004" i="3"/>
  <c r="G1004" i="3"/>
  <c r="K1004" i="3"/>
  <c r="O1004" i="3"/>
  <c r="W1004" i="3"/>
  <c r="D1004" i="3"/>
  <c r="H1004" i="3"/>
  <c r="L1004" i="3"/>
  <c r="P1004" i="3"/>
  <c r="T1004" i="3"/>
  <c r="E988" i="3"/>
  <c r="I988" i="3"/>
  <c r="M988" i="3"/>
  <c r="Q988" i="3"/>
  <c r="U988" i="3"/>
  <c r="F988" i="3"/>
  <c r="J988" i="3"/>
  <c r="N988" i="3"/>
  <c r="R988" i="3"/>
  <c r="V988" i="3"/>
  <c r="G988" i="3"/>
  <c r="K988" i="3"/>
  <c r="O988" i="3"/>
  <c r="W988" i="3"/>
  <c r="D988" i="3"/>
  <c r="H988" i="3"/>
  <c r="L988" i="3"/>
  <c r="P988" i="3"/>
  <c r="T988" i="3"/>
  <c r="E972" i="3"/>
  <c r="I972" i="3"/>
  <c r="M972" i="3"/>
  <c r="Q972" i="3"/>
  <c r="U972" i="3"/>
  <c r="F972" i="3"/>
  <c r="J972" i="3"/>
  <c r="N972" i="3"/>
  <c r="R972" i="3"/>
  <c r="V972" i="3"/>
  <c r="G972" i="3"/>
  <c r="K972" i="3"/>
  <c r="O972" i="3"/>
  <c r="W972" i="3"/>
  <c r="D972" i="3"/>
  <c r="H972" i="3"/>
  <c r="L972" i="3"/>
  <c r="P972" i="3"/>
  <c r="T972" i="3"/>
  <c r="E949" i="3"/>
  <c r="I949" i="3"/>
  <c r="M949" i="3"/>
  <c r="Q949" i="3"/>
  <c r="U949" i="3"/>
  <c r="F949" i="3"/>
  <c r="J949" i="3"/>
  <c r="N949" i="3"/>
  <c r="R949" i="3"/>
  <c r="V949" i="3"/>
  <c r="G949" i="3"/>
  <c r="K949" i="3"/>
  <c r="O949" i="3"/>
  <c r="W949" i="3"/>
  <c r="D949" i="3"/>
  <c r="H949" i="3"/>
  <c r="L949" i="3"/>
  <c r="P949" i="3"/>
  <c r="T949" i="3"/>
  <c r="E930" i="3"/>
  <c r="I930" i="3"/>
  <c r="M930" i="3"/>
  <c r="Q930" i="3"/>
  <c r="U930" i="3"/>
  <c r="F930" i="3"/>
  <c r="J930" i="3"/>
  <c r="N930" i="3"/>
  <c r="R930" i="3"/>
  <c r="V930" i="3"/>
  <c r="G930" i="3"/>
  <c r="K930" i="3"/>
  <c r="O930" i="3"/>
  <c r="W930" i="3"/>
  <c r="D930" i="3"/>
  <c r="H930" i="3"/>
  <c r="L930" i="3"/>
  <c r="P930" i="3"/>
  <c r="T930" i="3"/>
  <c r="F911" i="3"/>
  <c r="J911" i="3"/>
  <c r="N911" i="3"/>
  <c r="R911" i="3"/>
  <c r="V911" i="3"/>
  <c r="D911" i="3"/>
  <c r="H911" i="3"/>
  <c r="L911" i="3"/>
  <c r="P911" i="3"/>
  <c r="T911" i="3"/>
  <c r="G911" i="3"/>
  <c r="O911" i="3"/>
  <c r="W911" i="3"/>
  <c r="I911" i="3"/>
  <c r="Q911" i="3"/>
  <c r="K911" i="3"/>
  <c r="E911" i="3"/>
  <c r="M911" i="3"/>
  <c r="U911" i="3"/>
  <c r="E885" i="3"/>
  <c r="I885" i="3"/>
  <c r="M885" i="3"/>
  <c r="Q885" i="3"/>
  <c r="U885" i="3"/>
  <c r="F885" i="3"/>
  <c r="J885" i="3"/>
  <c r="N885" i="3"/>
  <c r="R885" i="3"/>
  <c r="V885" i="3"/>
  <c r="G885" i="3"/>
  <c r="K885" i="3"/>
  <c r="O885" i="3"/>
  <c r="W885" i="3"/>
  <c r="D885" i="3"/>
  <c r="H885" i="3"/>
  <c r="L885" i="3"/>
  <c r="P885" i="3"/>
  <c r="T885" i="3"/>
  <c r="E853" i="3"/>
  <c r="I853" i="3"/>
  <c r="M853" i="3"/>
  <c r="Q853" i="3"/>
  <c r="U853" i="3"/>
  <c r="F853" i="3"/>
  <c r="J853" i="3"/>
  <c r="N853" i="3"/>
  <c r="R853" i="3"/>
  <c r="V853" i="3"/>
  <c r="G853" i="3"/>
  <c r="K853" i="3"/>
  <c r="O853" i="3"/>
  <c r="W853" i="3"/>
  <c r="D853" i="3"/>
  <c r="H853" i="3"/>
  <c r="L853" i="3"/>
  <c r="P853" i="3"/>
  <c r="T853" i="3"/>
  <c r="E1165" i="3"/>
  <c r="I1165" i="3"/>
  <c r="M1165" i="3"/>
  <c r="Q1165" i="3"/>
  <c r="U1165" i="3"/>
  <c r="F1165" i="3"/>
  <c r="J1165" i="3"/>
  <c r="N1165" i="3"/>
  <c r="R1165" i="3"/>
  <c r="V1165" i="3"/>
  <c r="G1165" i="3"/>
  <c r="K1165" i="3"/>
  <c r="O1165" i="3"/>
  <c r="W1165" i="3"/>
  <c r="D1165" i="3"/>
  <c r="H1165" i="3"/>
  <c r="L1165" i="3"/>
  <c r="P1165" i="3"/>
  <c r="T1165" i="3"/>
  <c r="E1149" i="3"/>
  <c r="I1149" i="3"/>
  <c r="M1149" i="3"/>
  <c r="Q1149" i="3"/>
  <c r="U1149" i="3"/>
  <c r="F1149" i="3"/>
  <c r="J1149" i="3"/>
  <c r="N1149" i="3"/>
  <c r="R1149" i="3"/>
  <c r="V1149" i="3"/>
  <c r="G1149" i="3"/>
  <c r="K1149" i="3"/>
  <c r="O1149" i="3"/>
  <c r="W1149" i="3"/>
  <c r="D1149" i="3"/>
  <c r="H1149" i="3"/>
  <c r="L1149" i="3"/>
  <c r="P1149" i="3"/>
  <c r="T1149" i="3"/>
  <c r="E1133" i="3"/>
  <c r="I1133" i="3"/>
  <c r="M1133" i="3"/>
  <c r="Q1133" i="3"/>
  <c r="U1133" i="3"/>
  <c r="F1133" i="3"/>
  <c r="J1133" i="3"/>
  <c r="N1133" i="3"/>
  <c r="R1133" i="3"/>
  <c r="V1133" i="3"/>
  <c r="G1133" i="3"/>
  <c r="K1133" i="3"/>
  <c r="O1133" i="3"/>
  <c r="W1133" i="3"/>
  <c r="D1133" i="3"/>
  <c r="H1133" i="3"/>
  <c r="L1133" i="3"/>
  <c r="P1133" i="3"/>
  <c r="T1133" i="3"/>
  <c r="E1117" i="3"/>
  <c r="I1117" i="3"/>
  <c r="M1117" i="3"/>
  <c r="Q1117" i="3"/>
  <c r="U1117" i="3"/>
  <c r="F1117" i="3"/>
  <c r="J1117" i="3"/>
  <c r="N1117" i="3"/>
  <c r="R1117" i="3"/>
  <c r="V1117" i="3"/>
  <c r="G1117" i="3"/>
  <c r="K1117" i="3"/>
  <c r="O1117" i="3"/>
  <c r="W1117" i="3"/>
  <c r="D1117" i="3"/>
  <c r="H1117" i="3"/>
  <c r="L1117" i="3"/>
  <c r="P1117" i="3"/>
  <c r="T1117" i="3"/>
  <c r="E1101" i="3"/>
  <c r="I1101" i="3"/>
  <c r="M1101" i="3"/>
  <c r="Q1101" i="3"/>
  <c r="U1101" i="3"/>
  <c r="F1101" i="3"/>
  <c r="J1101" i="3"/>
  <c r="N1101" i="3"/>
  <c r="R1101" i="3"/>
  <c r="V1101" i="3"/>
  <c r="G1101" i="3"/>
  <c r="K1101" i="3"/>
  <c r="O1101" i="3"/>
  <c r="W1101" i="3"/>
  <c r="D1101" i="3"/>
  <c r="H1101" i="3"/>
  <c r="L1101" i="3"/>
  <c r="P1101" i="3"/>
  <c r="T1101" i="3"/>
  <c r="E1085" i="3"/>
  <c r="I1085" i="3"/>
  <c r="M1085" i="3"/>
  <c r="Q1085" i="3"/>
  <c r="U1085" i="3"/>
  <c r="F1085" i="3"/>
  <c r="J1085" i="3"/>
  <c r="N1085" i="3"/>
  <c r="R1085" i="3"/>
  <c r="V1085" i="3"/>
  <c r="G1085" i="3"/>
  <c r="K1085" i="3"/>
  <c r="O1085" i="3"/>
  <c r="W1085" i="3"/>
  <c r="D1085" i="3"/>
  <c r="H1085" i="3"/>
  <c r="L1085" i="3"/>
  <c r="P1085" i="3"/>
  <c r="T1085" i="3"/>
  <c r="E1069" i="3"/>
  <c r="I1069" i="3"/>
  <c r="M1069" i="3"/>
  <c r="Q1069" i="3"/>
  <c r="U1069" i="3"/>
  <c r="F1069" i="3"/>
  <c r="J1069" i="3"/>
  <c r="N1069" i="3"/>
  <c r="R1069" i="3"/>
  <c r="V1069" i="3"/>
  <c r="G1069" i="3"/>
  <c r="K1069" i="3"/>
  <c r="O1069" i="3"/>
  <c r="W1069" i="3"/>
  <c r="D1069" i="3"/>
  <c r="H1069" i="3"/>
  <c r="L1069" i="3"/>
  <c r="P1069" i="3"/>
  <c r="T1069" i="3"/>
  <c r="E1053" i="3"/>
  <c r="I1053" i="3"/>
  <c r="M1053" i="3"/>
  <c r="Q1053" i="3"/>
  <c r="U1053" i="3"/>
  <c r="F1053" i="3"/>
  <c r="J1053" i="3"/>
  <c r="N1053" i="3"/>
  <c r="R1053" i="3"/>
  <c r="V1053" i="3"/>
  <c r="G1053" i="3"/>
  <c r="K1053" i="3"/>
  <c r="O1053" i="3"/>
  <c r="W1053" i="3"/>
  <c r="D1053" i="3"/>
  <c r="H1053" i="3"/>
  <c r="L1053" i="3"/>
  <c r="P1053" i="3"/>
  <c r="T1053" i="3"/>
  <c r="E1037" i="3"/>
  <c r="I1037" i="3"/>
  <c r="M1037" i="3"/>
  <c r="Q1037" i="3"/>
  <c r="U1037" i="3"/>
  <c r="F1037" i="3"/>
  <c r="J1037" i="3"/>
  <c r="N1037" i="3"/>
  <c r="R1037" i="3"/>
  <c r="V1037" i="3"/>
  <c r="G1037" i="3"/>
  <c r="K1037" i="3"/>
  <c r="O1037" i="3"/>
  <c r="W1037" i="3"/>
  <c r="D1037" i="3"/>
  <c r="H1037" i="3"/>
  <c r="L1037" i="3"/>
  <c r="P1037" i="3"/>
  <c r="T1037" i="3"/>
  <c r="E1021" i="3"/>
  <c r="I1021" i="3"/>
  <c r="M1021" i="3"/>
  <c r="Q1021" i="3"/>
  <c r="U1021" i="3"/>
  <c r="F1021" i="3"/>
  <c r="J1021" i="3"/>
  <c r="N1021" i="3"/>
  <c r="R1021" i="3"/>
  <c r="V1021" i="3"/>
  <c r="G1021" i="3"/>
  <c r="K1021" i="3"/>
  <c r="O1021" i="3"/>
  <c r="W1021" i="3"/>
  <c r="D1021" i="3"/>
  <c r="H1021" i="3"/>
  <c r="L1021" i="3"/>
  <c r="P1021" i="3"/>
  <c r="T1021" i="3"/>
  <c r="E1005" i="3"/>
  <c r="I1005" i="3"/>
  <c r="M1005" i="3"/>
  <c r="Q1005" i="3"/>
  <c r="U1005" i="3"/>
  <c r="F1005" i="3"/>
  <c r="J1005" i="3"/>
  <c r="N1005" i="3"/>
  <c r="R1005" i="3"/>
  <c r="V1005" i="3"/>
  <c r="G1005" i="3"/>
  <c r="K1005" i="3"/>
  <c r="O1005" i="3"/>
  <c r="W1005" i="3"/>
  <c r="D1005" i="3"/>
  <c r="H1005" i="3"/>
  <c r="L1005" i="3"/>
  <c r="P1005" i="3"/>
  <c r="T1005" i="3"/>
  <c r="E989" i="3"/>
  <c r="I989" i="3"/>
  <c r="M989" i="3"/>
  <c r="Q989" i="3"/>
  <c r="U989" i="3"/>
  <c r="F989" i="3"/>
  <c r="J989" i="3"/>
  <c r="N989" i="3"/>
  <c r="R989" i="3"/>
  <c r="V989" i="3"/>
  <c r="G989" i="3"/>
  <c r="K989" i="3"/>
  <c r="O989" i="3"/>
  <c r="W989" i="3"/>
  <c r="D989" i="3"/>
  <c r="H989" i="3"/>
  <c r="L989" i="3"/>
  <c r="P989" i="3"/>
  <c r="T989" i="3"/>
  <c r="E973" i="3"/>
  <c r="I973" i="3"/>
  <c r="M973" i="3"/>
  <c r="Q973" i="3"/>
  <c r="U973" i="3"/>
  <c r="F973" i="3"/>
  <c r="J973" i="3"/>
  <c r="N973" i="3"/>
  <c r="R973" i="3"/>
  <c r="V973" i="3"/>
  <c r="G973" i="3"/>
  <c r="K973" i="3"/>
  <c r="O973" i="3"/>
  <c r="W973" i="3"/>
  <c r="D973" i="3"/>
  <c r="H973" i="3"/>
  <c r="L973" i="3"/>
  <c r="P973" i="3"/>
  <c r="T973" i="3"/>
  <c r="E953" i="3"/>
  <c r="I953" i="3"/>
  <c r="M953" i="3"/>
  <c r="Q953" i="3"/>
  <c r="U953" i="3"/>
  <c r="F953" i="3"/>
  <c r="J953" i="3"/>
  <c r="N953" i="3"/>
  <c r="R953" i="3"/>
  <c r="V953" i="3"/>
  <c r="G953" i="3"/>
  <c r="K953" i="3"/>
  <c r="O953" i="3"/>
  <c r="W953" i="3"/>
  <c r="D953" i="3"/>
  <c r="H953" i="3"/>
  <c r="L953" i="3"/>
  <c r="P953" i="3"/>
  <c r="T953" i="3"/>
  <c r="E934" i="3"/>
  <c r="I934" i="3"/>
  <c r="M934" i="3"/>
  <c r="Q934" i="3"/>
  <c r="U934" i="3"/>
  <c r="F934" i="3"/>
  <c r="J934" i="3"/>
  <c r="N934" i="3"/>
  <c r="R934" i="3"/>
  <c r="V934" i="3"/>
  <c r="G934" i="3"/>
  <c r="K934" i="3"/>
  <c r="O934" i="3"/>
  <c r="W934" i="3"/>
  <c r="D934" i="3"/>
  <c r="H934" i="3"/>
  <c r="L934" i="3"/>
  <c r="P934" i="3"/>
  <c r="T934" i="3"/>
  <c r="F915" i="3"/>
  <c r="J915" i="3"/>
  <c r="N915" i="3"/>
  <c r="R915" i="3"/>
  <c r="V915" i="3"/>
  <c r="D915" i="3"/>
  <c r="H915" i="3"/>
  <c r="L915" i="3"/>
  <c r="P915" i="3"/>
  <c r="T915" i="3"/>
  <c r="G915" i="3"/>
  <c r="O915" i="3"/>
  <c r="W915" i="3"/>
  <c r="I915" i="3"/>
  <c r="Q915" i="3"/>
  <c r="K915" i="3"/>
  <c r="E915" i="3"/>
  <c r="M915" i="3"/>
  <c r="U915" i="3"/>
  <c r="E889" i="3"/>
  <c r="I889" i="3"/>
  <c r="M889" i="3"/>
  <c r="Q889" i="3"/>
  <c r="U889" i="3"/>
  <c r="F889" i="3"/>
  <c r="J889" i="3"/>
  <c r="N889" i="3"/>
  <c r="R889" i="3"/>
  <c r="V889" i="3"/>
  <c r="G889" i="3"/>
  <c r="K889" i="3"/>
  <c r="O889" i="3"/>
  <c r="W889" i="3"/>
  <c r="D889" i="3"/>
  <c r="H889" i="3"/>
  <c r="L889" i="3"/>
  <c r="P889" i="3"/>
  <c r="T889" i="3"/>
  <c r="E862" i="3"/>
  <c r="I862" i="3"/>
  <c r="M862" i="3"/>
  <c r="Q862" i="3"/>
  <c r="U862" i="3"/>
  <c r="F862" i="3"/>
  <c r="J862" i="3"/>
  <c r="N862" i="3"/>
  <c r="R862" i="3"/>
  <c r="V862" i="3"/>
  <c r="G862" i="3"/>
  <c r="K862" i="3"/>
  <c r="O862" i="3"/>
  <c r="W862" i="3"/>
  <c r="D862" i="3"/>
  <c r="H862" i="3"/>
  <c r="L862" i="3"/>
  <c r="P862" i="3"/>
  <c r="T862" i="3"/>
  <c r="E879" i="3"/>
  <c r="I879" i="3"/>
  <c r="M879" i="3"/>
  <c r="Q879" i="3"/>
  <c r="U879" i="3"/>
  <c r="F879" i="3"/>
  <c r="J879" i="3"/>
  <c r="N879" i="3"/>
  <c r="R879" i="3"/>
  <c r="V879" i="3"/>
  <c r="G879" i="3"/>
  <c r="K879" i="3"/>
  <c r="O879" i="3"/>
  <c r="W879" i="3"/>
  <c r="D879" i="3"/>
  <c r="H879" i="3"/>
  <c r="L879" i="3"/>
  <c r="P879" i="3"/>
  <c r="T879" i="3"/>
  <c r="E863" i="3"/>
  <c r="I863" i="3"/>
  <c r="M863" i="3"/>
  <c r="Q863" i="3"/>
  <c r="U863" i="3"/>
  <c r="F863" i="3"/>
  <c r="J863" i="3"/>
  <c r="N863" i="3"/>
  <c r="R863" i="3"/>
  <c r="V863" i="3"/>
  <c r="G863" i="3"/>
  <c r="K863" i="3"/>
  <c r="O863" i="3"/>
  <c r="W863" i="3"/>
  <c r="D863" i="3"/>
  <c r="H863" i="3"/>
  <c r="L863" i="3"/>
  <c r="P863" i="3"/>
  <c r="T863" i="3"/>
  <c r="E847" i="3"/>
  <c r="I847" i="3"/>
  <c r="M847" i="3"/>
  <c r="Q847" i="3"/>
  <c r="U847" i="3"/>
  <c r="F847" i="3"/>
  <c r="J847" i="3"/>
  <c r="N847" i="3"/>
  <c r="R847" i="3"/>
  <c r="V847" i="3"/>
  <c r="G847" i="3"/>
  <c r="K847" i="3"/>
  <c r="O847" i="3"/>
  <c r="W847" i="3"/>
  <c r="D847" i="3"/>
  <c r="H847" i="3"/>
  <c r="L847" i="3"/>
  <c r="P847" i="3"/>
  <c r="T847" i="3"/>
  <c r="E831" i="3"/>
  <c r="I831" i="3"/>
  <c r="M831" i="3"/>
  <c r="Q831" i="3"/>
  <c r="U831" i="3"/>
  <c r="F831" i="3"/>
  <c r="J831" i="3"/>
  <c r="N831" i="3"/>
  <c r="R831" i="3"/>
  <c r="V831" i="3"/>
  <c r="G831" i="3"/>
  <c r="K831" i="3"/>
  <c r="O831" i="3"/>
  <c r="W831" i="3"/>
  <c r="D831" i="3"/>
  <c r="H831" i="3"/>
  <c r="L831" i="3"/>
  <c r="P831" i="3"/>
  <c r="T831" i="3"/>
  <c r="E815" i="3"/>
  <c r="I815" i="3"/>
  <c r="M815" i="3"/>
  <c r="Q815" i="3"/>
  <c r="U815" i="3"/>
  <c r="F815" i="3"/>
  <c r="J815" i="3"/>
  <c r="N815" i="3"/>
  <c r="R815" i="3"/>
  <c r="V815" i="3"/>
  <c r="G815" i="3"/>
  <c r="K815" i="3"/>
  <c r="O815" i="3"/>
  <c r="W815" i="3"/>
  <c r="D815" i="3"/>
  <c r="H815" i="3"/>
  <c r="L815" i="3"/>
  <c r="P815" i="3"/>
  <c r="T815" i="3"/>
  <c r="E799" i="3"/>
  <c r="I799" i="3"/>
  <c r="M799" i="3"/>
  <c r="Q799" i="3"/>
  <c r="U799" i="3"/>
  <c r="F799" i="3"/>
  <c r="J799" i="3"/>
  <c r="N799" i="3"/>
  <c r="R799" i="3"/>
  <c r="V799" i="3"/>
  <c r="G799" i="3"/>
  <c r="K799" i="3"/>
  <c r="O799" i="3"/>
  <c r="W799" i="3"/>
  <c r="D799" i="3"/>
  <c r="H799" i="3"/>
  <c r="L799" i="3"/>
  <c r="P799" i="3"/>
  <c r="T799" i="3"/>
  <c r="E783" i="3"/>
  <c r="I783" i="3"/>
  <c r="M783" i="3"/>
  <c r="Q783" i="3"/>
  <c r="U783" i="3"/>
  <c r="F783" i="3"/>
  <c r="J783" i="3"/>
  <c r="N783" i="3"/>
  <c r="R783" i="3"/>
  <c r="V783" i="3"/>
  <c r="G783" i="3"/>
  <c r="K783" i="3"/>
  <c r="O783" i="3"/>
  <c r="W783" i="3"/>
  <c r="D783" i="3"/>
  <c r="H783" i="3"/>
  <c r="L783" i="3"/>
  <c r="P783" i="3"/>
  <c r="T783" i="3"/>
  <c r="D767" i="3"/>
  <c r="H767" i="3"/>
  <c r="L767" i="3"/>
  <c r="P767" i="3"/>
  <c r="T767" i="3"/>
  <c r="E767" i="3"/>
  <c r="I767" i="3"/>
  <c r="M767" i="3"/>
  <c r="Q767" i="3"/>
  <c r="U767" i="3"/>
  <c r="F767" i="3"/>
  <c r="J767" i="3"/>
  <c r="N767" i="3"/>
  <c r="R767" i="3"/>
  <c r="V767" i="3"/>
  <c r="G767" i="3"/>
  <c r="K767" i="3"/>
  <c r="O767" i="3"/>
  <c r="W767" i="3"/>
  <c r="D751" i="3"/>
  <c r="H751" i="3"/>
  <c r="L751" i="3"/>
  <c r="P751" i="3"/>
  <c r="T751" i="3"/>
  <c r="E751" i="3"/>
  <c r="I751" i="3"/>
  <c r="M751" i="3"/>
  <c r="Q751" i="3"/>
  <c r="U751" i="3"/>
  <c r="F751" i="3"/>
  <c r="J751" i="3"/>
  <c r="N751" i="3"/>
  <c r="R751" i="3"/>
  <c r="V751" i="3"/>
  <c r="G751" i="3"/>
  <c r="K751" i="3"/>
  <c r="O751" i="3"/>
  <c r="W751" i="3"/>
  <c r="D735" i="3"/>
  <c r="H735" i="3"/>
  <c r="L735" i="3"/>
  <c r="P735" i="3"/>
  <c r="T735" i="3"/>
  <c r="E735" i="3"/>
  <c r="I735" i="3"/>
  <c r="M735" i="3"/>
  <c r="Q735" i="3"/>
  <c r="U735" i="3"/>
  <c r="F735" i="3"/>
  <c r="J735" i="3"/>
  <c r="N735" i="3"/>
  <c r="R735" i="3"/>
  <c r="V735" i="3"/>
  <c r="G735" i="3"/>
  <c r="K735" i="3"/>
  <c r="O735" i="3"/>
  <c r="W735" i="3"/>
  <c r="D719" i="3"/>
  <c r="H719" i="3"/>
  <c r="L719" i="3"/>
  <c r="P719" i="3"/>
  <c r="T719" i="3"/>
  <c r="E719" i="3"/>
  <c r="I719" i="3"/>
  <c r="M719" i="3"/>
  <c r="Q719" i="3"/>
  <c r="U719" i="3"/>
  <c r="F719" i="3"/>
  <c r="J719" i="3"/>
  <c r="N719" i="3"/>
  <c r="R719" i="3"/>
  <c r="V719" i="3"/>
  <c r="G719" i="3"/>
  <c r="K719" i="3"/>
  <c r="O719" i="3"/>
  <c r="W719" i="3"/>
  <c r="D697" i="3"/>
  <c r="H697" i="3"/>
  <c r="L697" i="3"/>
  <c r="P697" i="3"/>
  <c r="T697" i="3"/>
  <c r="E697" i="3"/>
  <c r="I697" i="3"/>
  <c r="M697" i="3"/>
  <c r="Q697" i="3"/>
  <c r="U697" i="3"/>
  <c r="F697" i="3"/>
  <c r="J697" i="3"/>
  <c r="N697" i="3"/>
  <c r="R697" i="3"/>
  <c r="V697" i="3"/>
  <c r="G697" i="3"/>
  <c r="K697" i="3"/>
  <c r="O697" i="3"/>
  <c r="W697" i="3"/>
  <c r="D678" i="3"/>
  <c r="H678" i="3"/>
  <c r="L678" i="3"/>
  <c r="P678" i="3"/>
  <c r="T678" i="3"/>
  <c r="E678" i="3"/>
  <c r="I678" i="3"/>
  <c r="M678" i="3"/>
  <c r="Q678" i="3"/>
  <c r="U678" i="3"/>
  <c r="F678" i="3"/>
  <c r="J678" i="3"/>
  <c r="N678" i="3"/>
  <c r="R678" i="3"/>
  <c r="V678" i="3"/>
  <c r="G678" i="3"/>
  <c r="K678" i="3"/>
  <c r="O678" i="3"/>
  <c r="W678" i="3"/>
  <c r="D659" i="3"/>
  <c r="H659" i="3"/>
  <c r="L659" i="3"/>
  <c r="P659" i="3"/>
  <c r="T659" i="3"/>
  <c r="E659" i="3"/>
  <c r="I659" i="3"/>
  <c r="M659" i="3"/>
  <c r="Q659" i="3"/>
  <c r="U659" i="3"/>
  <c r="F659" i="3"/>
  <c r="J659" i="3"/>
  <c r="N659" i="3"/>
  <c r="R659" i="3"/>
  <c r="V659" i="3"/>
  <c r="G659" i="3"/>
  <c r="K659" i="3"/>
  <c r="O659" i="3"/>
  <c r="W659" i="3"/>
  <c r="F633" i="3"/>
  <c r="J633" i="3"/>
  <c r="N633" i="3"/>
  <c r="R633" i="3"/>
  <c r="V633" i="3"/>
  <c r="D633" i="3"/>
  <c r="H633" i="3"/>
  <c r="L633" i="3"/>
  <c r="P633" i="3"/>
  <c r="T633" i="3"/>
  <c r="G633" i="3"/>
  <c r="O633" i="3"/>
  <c r="W633" i="3"/>
  <c r="I633" i="3"/>
  <c r="Q633" i="3"/>
  <c r="K633" i="3"/>
  <c r="E633" i="3"/>
  <c r="M633" i="3"/>
  <c r="U633" i="3"/>
  <c r="E614" i="3"/>
  <c r="I614" i="3"/>
  <c r="M614" i="3"/>
  <c r="Q614" i="3"/>
  <c r="U614" i="3"/>
  <c r="F614" i="3"/>
  <c r="J614" i="3"/>
  <c r="N614" i="3"/>
  <c r="R614" i="3"/>
  <c r="V614" i="3"/>
  <c r="G614" i="3"/>
  <c r="K614" i="3"/>
  <c r="O614" i="3"/>
  <c r="W614" i="3"/>
  <c r="D614" i="3"/>
  <c r="H614" i="3"/>
  <c r="L614" i="3"/>
  <c r="P614" i="3"/>
  <c r="T614" i="3"/>
  <c r="E960" i="3"/>
  <c r="I960" i="3"/>
  <c r="M960" i="3"/>
  <c r="Q960" i="3"/>
  <c r="U960" i="3"/>
  <c r="F960" i="3"/>
  <c r="J960" i="3"/>
  <c r="N960" i="3"/>
  <c r="R960" i="3"/>
  <c r="V960" i="3"/>
  <c r="G960" i="3"/>
  <c r="K960" i="3"/>
  <c r="O960" i="3"/>
  <c r="W960" i="3"/>
  <c r="D960" i="3"/>
  <c r="H960" i="3"/>
  <c r="L960" i="3"/>
  <c r="P960" i="3"/>
  <c r="T960" i="3"/>
  <c r="E944" i="3"/>
  <c r="I944" i="3"/>
  <c r="M944" i="3"/>
  <c r="Q944" i="3"/>
  <c r="U944" i="3"/>
  <c r="F944" i="3"/>
  <c r="J944" i="3"/>
  <c r="N944" i="3"/>
  <c r="R944" i="3"/>
  <c r="V944" i="3"/>
  <c r="G944" i="3"/>
  <c r="K944" i="3"/>
  <c r="O944" i="3"/>
  <c r="W944" i="3"/>
  <c r="D944" i="3"/>
  <c r="H944" i="3"/>
  <c r="L944" i="3"/>
  <c r="P944" i="3"/>
  <c r="T944" i="3"/>
  <c r="E928" i="3"/>
  <c r="I928" i="3"/>
  <c r="M928" i="3"/>
  <c r="Q928" i="3"/>
  <c r="U928" i="3"/>
  <c r="F928" i="3"/>
  <c r="J928" i="3"/>
  <c r="N928" i="3"/>
  <c r="R928" i="3"/>
  <c r="V928" i="3"/>
  <c r="G928" i="3"/>
  <c r="K928" i="3"/>
  <c r="O928" i="3"/>
  <c r="W928" i="3"/>
  <c r="D928" i="3"/>
  <c r="H928" i="3"/>
  <c r="L928" i="3"/>
  <c r="P928" i="3"/>
  <c r="T928" i="3"/>
  <c r="F912" i="3"/>
  <c r="J912" i="3"/>
  <c r="N912" i="3"/>
  <c r="R912" i="3"/>
  <c r="V912" i="3"/>
  <c r="D912" i="3"/>
  <c r="H912" i="3"/>
  <c r="L912" i="3"/>
  <c r="P912" i="3"/>
  <c r="T912" i="3"/>
  <c r="K912" i="3"/>
  <c r="E912" i="3"/>
  <c r="M912" i="3"/>
  <c r="U912" i="3"/>
  <c r="G912" i="3"/>
  <c r="O912" i="3"/>
  <c r="W912" i="3"/>
  <c r="I912" i="3"/>
  <c r="Q912" i="3"/>
  <c r="E896" i="3"/>
  <c r="I896" i="3"/>
  <c r="M896" i="3"/>
  <c r="Q896" i="3"/>
  <c r="U896" i="3"/>
  <c r="F896" i="3"/>
  <c r="J896" i="3"/>
  <c r="N896" i="3"/>
  <c r="R896" i="3"/>
  <c r="V896" i="3"/>
  <c r="G896" i="3"/>
  <c r="K896" i="3"/>
  <c r="O896" i="3"/>
  <c r="W896" i="3"/>
  <c r="D896" i="3"/>
  <c r="H896" i="3"/>
  <c r="L896" i="3"/>
  <c r="P896" i="3"/>
  <c r="T896" i="3"/>
  <c r="E880" i="3"/>
  <c r="I880" i="3"/>
  <c r="M880" i="3"/>
  <c r="Q880" i="3"/>
  <c r="U880" i="3"/>
  <c r="F880" i="3"/>
  <c r="J880" i="3"/>
  <c r="N880" i="3"/>
  <c r="R880" i="3"/>
  <c r="V880" i="3"/>
  <c r="G880" i="3"/>
  <c r="K880" i="3"/>
  <c r="O880" i="3"/>
  <c r="W880" i="3"/>
  <c r="D880" i="3"/>
  <c r="H880" i="3"/>
  <c r="L880" i="3"/>
  <c r="P880" i="3"/>
  <c r="T880" i="3"/>
  <c r="E864" i="3"/>
  <c r="I864" i="3"/>
  <c r="M864" i="3"/>
  <c r="Q864" i="3"/>
  <c r="U864" i="3"/>
  <c r="F864" i="3"/>
  <c r="J864" i="3"/>
  <c r="N864" i="3"/>
  <c r="R864" i="3"/>
  <c r="V864" i="3"/>
  <c r="G864" i="3"/>
  <c r="K864" i="3"/>
  <c r="O864" i="3"/>
  <c r="W864" i="3"/>
  <c r="D864" i="3"/>
  <c r="H864" i="3"/>
  <c r="L864" i="3"/>
  <c r="P864" i="3"/>
  <c r="T864" i="3"/>
  <c r="E848" i="3"/>
  <c r="I848" i="3"/>
  <c r="M848" i="3"/>
  <c r="Q848" i="3"/>
  <c r="U848" i="3"/>
  <c r="F848" i="3"/>
  <c r="J848" i="3"/>
  <c r="N848" i="3"/>
  <c r="R848" i="3"/>
  <c r="V848" i="3"/>
  <c r="G848" i="3"/>
  <c r="K848" i="3"/>
  <c r="O848" i="3"/>
  <c r="W848" i="3"/>
  <c r="D848" i="3"/>
  <c r="H848" i="3"/>
  <c r="L848" i="3"/>
  <c r="P848" i="3"/>
  <c r="T848" i="3"/>
  <c r="E832" i="3"/>
  <c r="I832" i="3"/>
  <c r="M832" i="3"/>
  <c r="Q832" i="3"/>
  <c r="U832" i="3"/>
  <c r="F832" i="3"/>
  <c r="J832" i="3"/>
  <c r="N832" i="3"/>
  <c r="R832" i="3"/>
  <c r="V832" i="3"/>
  <c r="G832" i="3"/>
  <c r="K832" i="3"/>
  <c r="O832" i="3"/>
  <c r="W832" i="3"/>
  <c r="D832" i="3"/>
  <c r="H832" i="3"/>
  <c r="L832" i="3"/>
  <c r="P832" i="3"/>
  <c r="T832" i="3"/>
  <c r="E816" i="3"/>
  <c r="I816" i="3"/>
  <c r="M816" i="3"/>
  <c r="Q816" i="3"/>
  <c r="U816" i="3"/>
  <c r="F816" i="3"/>
  <c r="J816" i="3"/>
  <c r="N816" i="3"/>
  <c r="R816" i="3"/>
  <c r="V816" i="3"/>
  <c r="G816" i="3"/>
  <c r="K816" i="3"/>
  <c r="O816" i="3"/>
  <c r="W816" i="3"/>
  <c r="D816" i="3"/>
  <c r="H816" i="3"/>
  <c r="L816" i="3"/>
  <c r="P816" i="3"/>
  <c r="T816" i="3"/>
  <c r="E800" i="3"/>
  <c r="I800" i="3"/>
  <c r="M800" i="3"/>
  <c r="Q800" i="3"/>
  <c r="U800" i="3"/>
  <c r="F800" i="3"/>
  <c r="J800" i="3"/>
  <c r="N800" i="3"/>
  <c r="R800" i="3"/>
  <c r="V800" i="3"/>
  <c r="G800" i="3"/>
  <c r="K800" i="3"/>
  <c r="O800" i="3"/>
  <c r="W800" i="3"/>
  <c r="D800" i="3"/>
  <c r="H800" i="3"/>
  <c r="L800" i="3"/>
  <c r="P800" i="3"/>
  <c r="T800" i="3"/>
  <c r="E784" i="3"/>
  <c r="I784" i="3"/>
  <c r="M784" i="3"/>
  <c r="Q784" i="3"/>
  <c r="U784" i="3"/>
  <c r="F784" i="3"/>
  <c r="J784" i="3"/>
  <c r="N784" i="3"/>
  <c r="R784" i="3"/>
  <c r="V784" i="3"/>
  <c r="G784" i="3"/>
  <c r="K784" i="3"/>
  <c r="O784" i="3"/>
  <c r="W784" i="3"/>
  <c r="D784" i="3"/>
  <c r="H784" i="3"/>
  <c r="L784" i="3"/>
  <c r="P784" i="3"/>
  <c r="T784" i="3"/>
  <c r="D768" i="3"/>
  <c r="H768" i="3"/>
  <c r="L768" i="3"/>
  <c r="P768" i="3"/>
  <c r="T768" i="3"/>
  <c r="E768" i="3"/>
  <c r="I768" i="3"/>
  <c r="M768" i="3"/>
  <c r="Q768" i="3"/>
  <c r="U768" i="3"/>
  <c r="F768" i="3"/>
  <c r="J768" i="3"/>
  <c r="N768" i="3"/>
  <c r="R768" i="3"/>
  <c r="V768" i="3"/>
  <c r="G768" i="3"/>
  <c r="K768" i="3"/>
  <c r="O768" i="3"/>
  <c r="W768" i="3"/>
  <c r="D752" i="3"/>
  <c r="H752" i="3"/>
  <c r="L752" i="3"/>
  <c r="P752" i="3"/>
  <c r="T752" i="3"/>
  <c r="E752" i="3"/>
  <c r="I752" i="3"/>
  <c r="M752" i="3"/>
  <c r="Q752" i="3"/>
  <c r="U752" i="3"/>
  <c r="F752" i="3"/>
  <c r="J752" i="3"/>
  <c r="N752" i="3"/>
  <c r="R752" i="3"/>
  <c r="V752" i="3"/>
  <c r="G752" i="3"/>
  <c r="K752" i="3"/>
  <c r="O752" i="3"/>
  <c r="W752" i="3"/>
  <c r="D736" i="3"/>
  <c r="H736" i="3"/>
  <c r="L736" i="3"/>
  <c r="P736" i="3"/>
  <c r="T736" i="3"/>
  <c r="E736" i="3"/>
  <c r="I736" i="3"/>
  <c r="M736" i="3"/>
  <c r="Q736" i="3"/>
  <c r="U736" i="3"/>
  <c r="F736" i="3"/>
  <c r="J736" i="3"/>
  <c r="N736" i="3"/>
  <c r="R736" i="3"/>
  <c r="V736" i="3"/>
  <c r="G736" i="3"/>
  <c r="K736" i="3"/>
  <c r="O736" i="3"/>
  <c r="W736" i="3"/>
  <c r="D720" i="3"/>
  <c r="H720" i="3"/>
  <c r="L720" i="3"/>
  <c r="P720" i="3"/>
  <c r="T720" i="3"/>
  <c r="E720" i="3"/>
  <c r="I720" i="3"/>
  <c r="M720" i="3"/>
  <c r="Q720" i="3"/>
  <c r="U720" i="3"/>
  <c r="F720" i="3"/>
  <c r="J720" i="3"/>
  <c r="N720" i="3"/>
  <c r="R720" i="3"/>
  <c r="V720" i="3"/>
  <c r="G720" i="3"/>
  <c r="K720" i="3"/>
  <c r="O720" i="3"/>
  <c r="W720" i="3"/>
  <c r="D701" i="3"/>
  <c r="H701" i="3"/>
  <c r="L701" i="3"/>
  <c r="P701" i="3"/>
  <c r="T701" i="3"/>
  <c r="E701" i="3"/>
  <c r="I701" i="3"/>
  <c r="M701" i="3"/>
  <c r="Q701" i="3"/>
  <c r="U701" i="3"/>
  <c r="F701" i="3"/>
  <c r="J701" i="3"/>
  <c r="N701" i="3"/>
  <c r="R701" i="3"/>
  <c r="V701" i="3"/>
  <c r="G701" i="3"/>
  <c r="K701" i="3"/>
  <c r="O701" i="3"/>
  <c r="W701" i="3"/>
  <c r="D682" i="3"/>
  <c r="H682" i="3"/>
  <c r="L682" i="3"/>
  <c r="P682" i="3"/>
  <c r="T682" i="3"/>
  <c r="E682" i="3"/>
  <c r="I682" i="3"/>
  <c r="M682" i="3"/>
  <c r="Q682" i="3"/>
  <c r="U682" i="3"/>
  <c r="F682" i="3"/>
  <c r="J682" i="3"/>
  <c r="N682" i="3"/>
  <c r="R682" i="3"/>
  <c r="V682" i="3"/>
  <c r="G682" i="3"/>
  <c r="K682" i="3"/>
  <c r="O682" i="3"/>
  <c r="W682" i="3"/>
  <c r="D663" i="3"/>
  <c r="H663" i="3"/>
  <c r="L663" i="3"/>
  <c r="P663" i="3"/>
  <c r="T663" i="3"/>
  <c r="E663" i="3"/>
  <c r="I663" i="3"/>
  <c r="M663" i="3"/>
  <c r="Q663" i="3"/>
  <c r="U663" i="3"/>
  <c r="F663" i="3"/>
  <c r="J663" i="3"/>
  <c r="N663" i="3"/>
  <c r="R663" i="3"/>
  <c r="V663" i="3"/>
  <c r="G663" i="3"/>
  <c r="K663" i="3"/>
  <c r="O663" i="3"/>
  <c r="W663" i="3"/>
  <c r="F637" i="3"/>
  <c r="J637" i="3"/>
  <c r="N637" i="3"/>
  <c r="R637" i="3"/>
  <c r="V637" i="3"/>
  <c r="D637" i="3"/>
  <c r="H637" i="3"/>
  <c r="L637" i="3"/>
  <c r="P637" i="3"/>
  <c r="T637" i="3"/>
  <c r="G637" i="3"/>
  <c r="O637" i="3"/>
  <c r="W637" i="3"/>
  <c r="I637" i="3"/>
  <c r="Q637" i="3"/>
  <c r="K637" i="3"/>
  <c r="E637" i="3"/>
  <c r="M637" i="3"/>
  <c r="U637" i="3"/>
  <c r="E618" i="3"/>
  <c r="I618" i="3"/>
  <c r="M618" i="3"/>
  <c r="Q618" i="3"/>
  <c r="U618" i="3"/>
  <c r="F618" i="3"/>
  <c r="J618" i="3"/>
  <c r="N618" i="3"/>
  <c r="R618" i="3"/>
  <c r="V618" i="3"/>
  <c r="G618" i="3"/>
  <c r="K618" i="3"/>
  <c r="O618" i="3"/>
  <c r="W618" i="3"/>
  <c r="D618" i="3"/>
  <c r="H618" i="3"/>
  <c r="L618" i="3"/>
  <c r="P618" i="3"/>
  <c r="T618" i="3"/>
  <c r="E837" i="3"/>
  <c r="I837" i="3"/>
  <c r="M837" i="3"/>
  <c r="Q837" i="3"/>
  <c r="U837" i="3"/>
  <c r="F837" i="3"/>
  <c r="J837" i="3"/>
  <c r="N837" i="3"/>
  <c r="R837" i="3"/>
  <c r="V837" i="3"/>
  <c r="G837" i="3"/>
  <c r="K837" i="3"/>
  <c r="O837" i="3"/>
  <c r="W837" i="3"/>
  <c r="D837" i="3"/>
  <c r="H837" i="3"/>
  <c r="L837" i="3"/>
  <c r="P837" i="3"/>
  <c r="T837" i="3"/>
  <c r="E821" i="3"/>
  <c r="I821" i="3"/>
  <c r="M821" i="3"/>
  <c r="Q821" i="3"/>
  <c r="U821" i="3"/>
  <c r="F821" i="3"/>
  <c r="J821" i="3"/>
  <c r="N821" i="3"/>
  <c r="R821" i="3"/>
  <c r="V821" i="3"/>
  <c r="G821" i="3"/>
  <c r="K821" i="3"/>
  <c r="O821" i="3"/>
  <c r="W821" i="3"/>
  <c r="D821" i="3"/>
  <c r="H821" i="3"/>
  <c r="L821" i="3"/>
  <c r="P821" i="3"/>
  <c r="T821" i="3"/>
  <c r="E805" i="3"/>
  <c r="I805" i="3"/>
  <c r="M805" i="3"/>
  <c r="Q805" i="3"/>
  <c r="U805" i="3"/>
  <c r="F805" i="3"/>
  <c r="J805" i="3"/>
  <c r="N805" i="3"/>
  <c r="R805" i="3"/>
  <c r="V805" i="3"/>
  <c r="G805" i="3"/>
  <c r="K805" i="3"/>
  <c r="O805" i="3"/>
  <c r="W805" i="3"/>
  <c r="D805" i="3"/>
  <c r="H805" i="3"/>
  <c r="L805" i="3"/>
  <c r="P805" i="3"/>
  <c r="T805" i="3"/>
  <c r="E789" i="3"/>
  <c r="I789" i="3"/>
  <c r="M789" i="3"/>
  <c r="Q789" i="3"/>
  <c r="U789" i="3"/>
  <c r="F789" i="3"/>
  <c r="J789" i="3"/>
  <c r="N789" i="3"/>
  <c r="R789" i="3"/>
  <c r="V789" i="3"/>
  <c r="G789" i="3"/>
  <c r="K789" i="3"/>
  <c r="O789" i="3"/>
  <c r="W789" i="3"/>
  <c r="D789" i="3"/>
  <c r="H789" i="3"/>
  <c r="L789" i="3"/>
  <c r="P789" i="3"/>
  <c r="T789" i="3"/>
  <c r="E773" i="3"/>
  <c r="I773" i="3"/>
  <c r="M773" i="3"/>
  <c r="Q773" i="3"/>
  <c r="G773" i="3"/>
  <c r="K773" i="3"/>
  <c r="O773" i="3"/>
  <c r="H773" i="3"/>
  <c r="P773" i="3"/>
  <c r="U773" i="3"/>
  <c r="J773" i="3"/>
  <c r="R773" i="3"/>
  <c r="V773" i="3"/>
  <c r="D773" i="3"/>
  <c r="L773" i="3"/>
  <c r="W773" i="3"/>
  <c r="F773" i="3"/>
  <c r="N773" i="3"/>
  <c r="T773" i="3"/>
  <c r="D757" i="3"/>
  <c r="H757" i="3"/>
  <c r="L757" i="3"/>
  <c r="P757" i="3"/>
  <c r="T757" i="3"/>
  <c r="E757" i="3"/>
  <c r="I757" i="3"/>
  <c r="M757" i="3"/>
  <c r="Q757" i="3"/>
  <c r="U757" i="3"/>
  <c r="F757" i="3"/>
  <c r="J757" i="3"/>
  <c r="N757" i="3"/>
  <c r="R757" i="3"/>
  <c r="V757" i="3"/>
  <c r="G757" i="3"/>
  <c r="K757" i="3"/>
  <c r="O757" i="3"/>
  <c r="W757" i="3"/>
  <c r="D741" i="3"/>
  <c r="H741" i="3"/>
  <c r="L741" i="3"/>
  <c r="P741" i="3"/>
  <c r="T741" i="3"/>
  <c r="E741" i="3"/>
  <c r="I741" i="3"/>
  <c r="M741" i="3"/>
  <c r="Q741" i="3"/>
  <c r="U741" i="3"/>
  <c r="F741" i="3"/>
  <c r="J741" i="3"/>
  <c r="N741" i="3"/>
  <c r="R741" i="3"/>
  <c r="V741" i="3"/>
  <c r="G741" i="3"/>
  <c r="K741" i="3"/>
  <c r="O741" i="3"/>
  <c r="W741" i="3"/>
  <c r="D725" i="3"/>
  <c r="H725" i="3"/>
  <c r="L725" i="3"/>
  <c r="P725" i="3"/>
  <c r="T725" i="3"/>
  <c r="E725" i="3"/>
  <c r="I725" i="3"/>
  <c r="M725" i="3"/>
  <c r="Q725" i="3"/>
  <c r="U725" i="3"/>
  <c r="F725" i="3"/>
  <c r="J725" i="3"/>
  <c r="N725" i="3"/>
  <c r="R725" i="3"/>
  <c r="V725" i="3"/>
  <c r="G725" i="3"/>
  <c r="K725" i="3"/>
  <c r="O725" i="3"/>
  <c r="W725" i="3"/>
  <c r="D709" i="3"/>
  <c r="H709" i="3"/>
  <c r="L709" i="3"/>
  <c r="P709" i="3"/>
  <c r="T709" i="3"/>
  <c r="E709" i="3"/>
  <c r="I709" i="3"/>
  <c r="M709" i="3"/>
  <c r="Q709" i="3"/>
  <c r="U709" i="3"/>
  <c r="F709" i="3"/>
  <c r="J709" i="3"/>
  <c r="N709" i="3"/>
  <c r="R709" i="3"/>
  <c r="V709" i="3"/>
  <c r="G709" i="3"/>
  <c r="K709" i="3"/>
  <c r="O709" i="3"/>
  <c r="W709" i="3"/>
  <c r="D689" i="3"/>
  <c r="H689" i="3"/>
  <c r="L689" i="3"/>
  <c r="P689" i="3"/>
  <c r="T689" i="3"/>
  <c r="E689" i="3"/>
  <c r="I689" i="3"/>
  <c r="M689" i="3"/>
  <c r="Q689" i="3"/>
  <c r="U689" i="3"/>
  <c r="F689" i="3"/>
  <c r="J689" i="3"/>
  <c r="N689" i="3"/>
  <c r="R689" i="3"/>
  <c r="V689" i="3"/>
  <c r="G689" i="3"/>
  <c r="K689" i="3"/>
  <c r="O689" i="3"/>
  <c r="W689" i="3"/>
  <c r="D670" i="3"/>
  <c r="H670" i="3"/>
  <c r="L670" i="3"/>
  <c r="P670" i="3"/>
  <c r="T670" i="3"/>
  <c r="E670" i="3"/>
  <c r="I670" i="3"/>
  <c r="M670" i="3"/>
  <c r="Q670" i="3"/>
  <c r="U670" i="3"/>
  <c r="F670" i="3"/>
  <c r="J670" i="3"/>
  <c r="N670" i="3"/>
  <c r="R670" i="3"/>
  <c r="V670" i="3"/>
  <c r="G670" i="3"/>
  <c r="K670" i="3"/>
  <c r="O670" i="3"/>
  <c r="W670" i="3"/>
  <c r="D651" i="3"/>
  <c r="H651" i="3"/>
  <c r="L651" i="3"/>
  <c r="P651" i="3"/>
  <c r="T651" i="3"/>
  <c r="E651" i="3"/>
  <c r="I651" i="3"/>
  <c r="M651" i="3"/>
  <c r="Q651" i="3"/>
  <c r="U651" i="3"/>
  <c r="F651" i="3"/>
  <c r="J651" i="3"/>
  <c r="N651" i="3"/>
  <c r="R651" i="3"/>
  <c r="V651" i="3"/>
  <c r="G651" i="3"/>
  <c r="K651" i="3"/>
  <c r="O651" i="3"/>
  <c r="W651" i="3"/>
  <c r="E625" i="3"/>
  <c r="I625" i="3"/>
  <c r="M625" i="3"/>
  <c r="Q625" i="3"/>
  <c r="U625" i="3"/>
  <c r="F625" i="3"/>
  <c r="J625" i="3"/>
  <c r="N625" i="3"/>
  <c r="R625" i="3"/>
  <c r="V625" i="3"/>
  <c r="G625" i="3"/>
  <c r="K625" i="3"/>
  <c r="O625" i="3"/>
  <c r="W625" i="3"/>
  <c r="D625" i="3"/>
  <c r="H625" i="3"/>
  <c r="L625" i="3"/>
  <c r="P625" i="3"/>
  <c r="T625" i="3"/>
  <c r="E606" i="3"/>
  <c r="I606" i="3"/>
  <c r="M606" i="3"/>
  <c r="Q606" i="3"/>
  <c r="U606" i="3"/>
  <c r="F606" i="3"/>
  <c r="J606" i="3"/>
  <c r="N606" i="3"/>
  <c r="R606" i="3"/>
  <c r="V606" i="3"/>
  <c r="G606" i="3"/>
  <c r="K606" i="3"/>
  <c r="O606" i="3"/>
  <c r="W606" i="3"/>
  <c r="D606" i="3"/>
  <c r="H606" i="3"/>
  <c r="L606" i="3"/>
  <c r="P606" i="3"/>
  <c r="T606" i="3"/>
  <c r="E834" i="3"/>
  <c r="I834" i="3"/>
  <c r="M834" i="3"/>
  <c r="Q834" i="3"/>
  <c r="U834" i="3"/>
  <c r="F834" i="3"/>
  <c r="J834" i="3"/>
  <c r="N834" i="3"/>
  <c r="R834" i="3"/>
  <c r="V834" i="3"/>
  <c r="G834" i="3"/>
  <c r="K834" i="3"/>
  <c r="O834" i="3"/>
  <c r="W834" i="3"/>
  <c r="D834" i="3"/>
  <c r="H834" i="3"/>
  <c r="L834" i="3"/>
  <c r="P834" i="3"/>
  <c r="T834" i="3"/>
  <c r="E818" i="3"/>
  <c r="I818" i="3"/>
  <c r="M818" i="3"/>
  <c r="Q818" i="3"/>
  <c r="U818" i="3"/>
  <c r="F818" i="3"/>
  <c r="J818" i="3"/>
  <c r="N818" i="3"/>
  <c r="R818" i="3"/>
  <c r="V818" i="3"/>
  <c r="G818" i="3"/>
  <c r="K818" i="3"/>
  <c r="O818" i="3"/>
  <c r="W818" i="3"/>
  <c r="D818" i="3"/>
  <c r="H818" i="3"/>
  <c r="L818" i="3"/>
  <c r="P818" i="3"/>
  <c r="T818" i="3"/>
  <c r="E802" i="3"/>
  <c r="I802" i="3"/>
  <c r="M802" i="3"/>
  <c r="Q802" i="3"/>
  <c r="U802" i="3"/>
  <c r="F802" i="3"/>
  <c r="J802" i="3"/>
  <c r="N802" i="3"/>
  <c r="R802" i="3"/>
  <c r="V802" i="3"/>
  <c r="G802" i="3"/>
  <c r="K802" i="3"/>
  <c r="O802" i="3"/>
  <c r="W802" i="3"/>
  <c r="D802" i="3"/>
  <c r="H802" i="3"/>
  <c r="L802" i="3"/>
  <c r="P802" i="3"/>
  <c r="T802" i="3"/>
  <c r="E786" i="3"/>
  <c r="I786" i="3"/>
  <c r="M786" i="3"/>
  <c r="Q786" i="3"/>
  <c r="U786" i="3"/>
  <c r="F786" i="3"/>
  <c r="J786" i="3"/>
  <c r="N786" i="3"/>
  <c r="R786" i="3"/>
  <c r="V786" i="3"/>
  <c r="G786" i="3"/>
  <c r="K786" i="3"/>
  <c r="O786" i="3"/>
  <c r="W786" i="3"/>
  <c r="D786" i="3"/>
  <c r="H786" i="3"/>
  <c r="L786" i="3"/>
  <c r="P786" i="3"/>
  <c r="T786" i="3"/>
  <c r="E770" i="3"/>
  <c r="I770" i="3"/>
  <c r="M770" i="3"/>
  <c r="Q770" i="3"/>
  <c r="U770" i="3"/>
  <c r="G770" i="3"/>
  <c r="K770" i="3"/>
  <c r="O770" i="3"/>
  <c r="W770" i="3"/>
  <c r="D770" i="3"/>
  <c r="L770" i="3"/>
  <c r="T770" i="3"/>
  <c r="F770" i="3"/>
  <c r="N770" i="3"/>
  <c r="V770" i="3"/>
  <c r="H770" i="3"/>
  <c r="P770" i="3"/>
  <c r="J770" i="3"/>
  <c r="R770" i="3"/>
  <c r="D754" i="3"/>
  <c r="H754" i="3"/>
  <c r="L754" i="3"/>
  <c r="P754" i="3"/>
  <c r="T754" i="3"/>
  <c r="E754" i="3"/>
  <c r="I754" i="3"/>
  <c r="M754" i="3"/>
  <c r="Q754" i="3"/>
  <c r="U754" i="3"/>
  <c r="F754" i="3"/>
  <c r="J754" i="3"/>
  <c r="N754" i="3"/>
  <c r="R754" i="3"/>
  <c r="V754" i="3"/>
  <c r="G754" i="3"/>
  <c r="K754" i="3"/>
  <c r="O754" i="3"/>
  <c r="W754" i="3"/>
  <c r="D738" i="3"/>
  <c r="H738" i="3"/>
  <c r="L738" i="3"/>
  <c r="P738" i="3"/>
  <c r="T738" i="3"/>
  <c r="E738" i="3"/>
  <c r="I738" i="3"/>
  <c r="M738" i="3"/>
  <c r="Q738" i="3"/>
  <c r="U738" i="3"/>
  <c r="F738" i="3"/>
  <c r="J738" i="3"/>
  <c r="N738" i="3"/>
  <c r="R738" i="3"/>
  <c r="V738" i="3"/>
  <c r="G738" i="3"/>
  <c r="K738" i="3"/>
  <c r="O738" i="3"/>
  <c r="W738" i="3"/>
  <c r="D722" i="3"/>
  <c r="H722" i="3"/>
  <c r="L722" i="3"/>
  <c r="P722" i="3"/>
  <c r="T722" i="3"/>
  <c r="E722" i="3"/>
  <c r="I722" i="3"/>
  <c r="M722" i="3"/>
  <c r="Q722" i="3"/>
  <c r="U722" i="3"/>
  <c r="F722" i="3"/>
  <c r="J722" i="3"/>
  <c r="N722" i="3"/>
  <c r="R722" i="3"/>
  <c r="V722" i="3"/>
  <c r="G722" i="3"/>
  <c r="K722" i="3"/>
  <c r="O722" i="3"/>
  <c r="W722" i="3"/>
  <c r="D706" i="3"/>
  <c r="H706" i="3"/>
  <c r="L706" i="3"/>
  <c r="P706" i="3"/>
  <c r="T706" i="3"/>
  <c r="E706" i="3"/>
  <c r="I706" i="3"/>
  <c r="M706" i="3"/>
  <c r="Q706" i="3"/>
  <c r="U706" i="3"/>
  <c r="F706" i="3"/>
  <c r="J706" i="3"/>
  <c r="N706" i="3"/>
  <c r="R706" i="3"/>
  <c r="V706" i="3"/>
  <c r="G706" i="3"/>
  <c r="K706" i="3"/>
  <c r="O706" i="3"/>
  <c r="W706" i="3"/>
  <c r="D687" i="3"/>
  <c r="H687" i="3"/>
  <c r="L687" i="3"/>
  <c r="P687" i="3"/>
  <c r="T687" i="3"/>
  <c r="E687" i="3"/>
  <c r="I687" i="3"/>
  <c r="M687" i="3"/>
  <c r="Q687" i="3"/>
  <c r="U687" i="3"/>
  <c r="F687" i="3"/>
  <c r="J687" i="3"/>
  <c r="N687" i="3"/>
  <c r="R687" i="3"/>
  <c r="V687" i="3"/>
  <c r="G687" i="3"/>
  <c r="K687" i="3"/>
  <c r="O687" i="3"/>
  <c r="W687" i="3"/>
  <c r="D661" i="3"/>
  <c r="H661" i="3"/>
  <c r="L661" i="3"/>
  <c r="P661" i="3"/>
  <c r="T661" i="3"/>
  <c r="E661" i="3"/>
  <c r="I661" i="3"/>
  <c r="M661" i="3"/>
  <c r="Q661" i="3"/>
  <c r="U661" i="3"/>
  <c r="F661" i="3"/>
  <c r="J661" i="3"/>
  <c r="N661" i="3"/>
  <c r="R661" i="3"/>
  <c r="V661" i="3"/>
  <c r="G661" i="3"/>
  <c r="K661" i="3"/>
  <c r="O661" i="3"/>
  <c r="W661" i="3"/>
  <c r="F642" i="3"/>
  <c r="J642" i="3"/>
  <c r="N642" i="3"/>
  <c r="R642" i="3"/>
  <c r="V642" i="3"/>
  <c r="D642" i="3"/>
  <c r="H642" i="3"/>
  <c r="L642" i="3"/>
  <c r="P642" i="3"/>
  <c r="T642" i="3"/>
  <c r="K642" i="3"/>
  <c r="E642" i="3"/>
  <c r="M642" i="3"/>
  <c r="U642" i="3"/>
  <c r="G642" i="3"/>
  <c r="O642" i="3"/>
  <c r="W642" i="3"/>
  <c r="I642" i="3"/>
  <c r="Q642" i="3"/>
  <c r="E623" i="3"/>
  <c r="I623" i="3"/>
  <c r="M623" i="3"/>
  <c r="Q623" i="3"/>
  <c r="U623" i="3"/>
  <c r="F623" i="3"/>
  <c r="J623" i="3"/>
  <c r="N623" i="3"/>
  <c r="R623" i="3"/>
  <c r="V623" i="3"/>
  <c r="G623" i="3"/>
  <c r="K623" i="3"/>
  <c r="O623" i="3"/>
  <c r="W623" i="3"/>
  <c r="D623" i="3"/>
  <c r="H623" i="3"/>
  <c r="L623" i="3"/>
  <c r="P623" i="3"/>
  <c r="T623" i="3"/>
  <c r="E605" i="3"/>
  <c r="I605" i="3"/>
  <c r="M605" i="3"/>
  <c r="Q605" i="3"/>
  <c r="U605" i="3"/>
  <c r="F605" i="3"/>
  <c r="J605" i="3"/>
  <c r="N605" i="3"/>
  <c r="R605" i="3"/>
  <c r="V605" i="3"/>
  <c r="G605" i="3"/>
  <c r="K605" i="3"/>
  <c r="O605" i="3"/>
  <c r="W605" i="3"/>
  <c r="D605" i="3"/>
  <c r="H605" i="3"/>
  <c r="L605" i="3"/>
  <c r="P605" i="3"/>
  <c r="T605" i="3"/>
  <c r="E589" i="3"/>
  <c r="I589" i="3"/>
  <c r="M589" i="3"/>
  <c r="Q589" i="3"/>
  <c r="U589" i="3"/>
  <c r="F589" i="3"/>
  <c r="J589" i="3"/>
  <c r="N589" i="3"/>
  <c r="R589" i="3"/>
  <c r="V589" i="3"/>
  <c r="G589" i="3"/>
  <c r="K589" i="3"/>
  <c r="O589" i="3"/>
  <c r="W589" i="3"/>
  <c r="D589" i="3"/>
  <c r="H589" i="3"/>
  <c r="L589" i="3"/>
  <c r="P589" i="3"/>
  <c r="T589" i="3"/>
  <c r="E573" i="3"/>
  <c r="I573" i="3"/>
  <c r="M573" i="3"/>
  <c r="Q573" i="3"/>
  <c r="U573" i="3"/>
  <c r="F573" i="3"/>
  <c r="J573" i="3"/>
  <c r="N573" i="3"/>
  <c r="R573" i="3"/>
  <c r="V573" i="3"/>
  <c r="G573" i="3"/>
  <c r="K573" i="3"/>
  <c r="O573" i="3"/>
  <c r="W573" i="3"/>
  <c r="D573" i="3"/>
  <c r="H573" i="3"/>
  <c r="L573" i="3"/>
  <c r="P573" i="3"/>
  <c r="T573" i="3"/>
  <c r="E557" i="3"/>
  <c r="I557" i="3"/>
  <c r="M557" i="3"/>
  <c r="Q557" i="3"/>
  <c r="U557" i="3"/>
  <c r="F557" i="3"/>
  <c r="J557" i="3"/>
  <c r="N557" i="3"/>
  <c r="R557" i="3"/>
  <c r="V557" i="3"/>
  <c r="G557" i="3"/>
  <c r="K557" i="3"/>
  <c r="O557" i="3"/>
  <c r="W557" i="3"/>
  <c r="D557" i="3"/>
  <c r="H557" i="3"/>
  <c r="L557" i="3"/>
  <c r="P557" i="3"/>
  <c r="T557" i="3"/>
  <c r="E541" i="3"/>
  <c r="I541" i="3"/>
  <c r="M541" i="3"/>
  <c r="Q541" i="3"/>
  <c r="U541" i="3"/>
  <c r="F541" i="3"/>
  <c r="J541" i="3"/>
  <c r="N541" i="3"/>
  <c r="R541" i="3"/>
  <c r="V541" i="3"/>
  <c r="G541" i="3"/>
  <c r="K541" i="3"/>
  <c r="O541" i="3"/>
  <c r="W541" i="3"/>
  <c r="D541" i="3"/>
  <c r="H541" i="3"/>
  <c r="L541" i="3"/>
  <c r="P541" i="3"/>
  <c r="T541" i="3"/>
  <c r="E525" i="3"/>
  <c r="I525" i="3"/>
  <c r="M525" i="3"/>
  <c r="Q525" i="3"/>
  <c r="U525" i="3"/>
  <c r="F525" i="3"/>
  <c r="J525" i="3"/>
  <c r="N525" i="3"/>
  <c r="R525" i="3"/>
  <c r="V525" i="3"/>
  <c r="G525" i="3"/>
  <c r="K525" i="3"/>
  <c r="O525" i="3"/>
  <c r="W525" i="3"/>
  <c r="D525" i="3"/>
  <c r="H525" i="3"/>
  <c r="L525" i="3"/>
  <c r="P525" i="3"/>
  <c r="T525" i="3"/>
  <c r="E509" i="3"/>
  <c r="I509" i="3"/>
  <c r="M509" i="3"/>
  <c r="Q509" i="3"/>
  <c r="U509" i="3"/>
  <c r="F509" i="3"/>
  <c r="J509" i="3"/>
  <c r="N509" i="3"/>
  <c r="R509" i="3"/>
  <c r="V509" i="3"/>
  <c r="G509" i="3"/>
  <c r="K509" i="3"/>
  <c r="O509" i="3"/>
  <c r="W509" i="3"/>
  <c r="D509" i="3"/>
  <c r="H509" i="3"/>
  <c r="L509" i="3"/>
  <c r="P509" i="3"/>
  <c r="T509" i="3"/>
  <c r="G493" i="3"/>
  <c r="K493" i="3"/>
  <c r="O493" i="3"/>
  <c r="W493" i="3"/>
  <c r="D493" i="3"/>
  <c r="H493" i="3"/>
  <c r="L493" i="3"/>
  <c r="P493" i="3"/>
  <c r="T493" i="3"/>
  <c r="E493" i="3"/>
  <c r="I493" i="3"/>
  <c r="M493" i="3"/>
  <c r="Q493" i="3"/>
  <c r="U493" i="3"/>
  <c r="F493" i="3"/>
  <c r="J493" i="3"/>
  <c r="N493" i="3"/>
  <c r="R493" i="3"/>
  <c r="V493" i="3"/>
  <c r="G477" i="3"/>
  <c r="K477" i="3"/>
  <c r="O477" i="3"/>
  <c r="W477" i="3"/>
  <c r="D477" i="3"/>
  <c r="H477" i="3"/>
  <c r="L477" i="3"/>
  <c r="P477" i="3"/>
  <c r="T477" i="3"/>
  <c r="E477" i="3"/>
  <c r="I477" i="3"/>
  <c r="M477" i="3"/>
  <c r="Q477" i="3"/>
  <c r="U477" i="3"/>
  <c r="F477" i="3"/>
  <c r="J477" i="3"/>
  <c r="N477" i="3"/>
  <c r="R477" i="3"/>
  <c r="V477" i="3"/>
  <c r="G461" i="3"/>
  <c r="K461" i="3"/>
  <c r="O461" i="3"/>
  <c r="W461" i="3"/>
  <c r="D461" i="3"/>
  <c r="H461" i="3"/>
  <c r="L461" i="3"/>
  <c r="P461" i="3"/>
  <c r="T461" i="3"/>
  <c r="E461" i="3"/>
  <c r="I461" i="3"/>
  <c r="M461" i="3"/>
  <c r="Q461" i="3"/>
  <c r="U461" i="3"/>
  <c r="F461" i="3"/>
  <c r="J461" i="3"/>
  <c r="N461" i="3"/>
  <c r="R461" i="3"/>
  <c r="V461" i="3"/>
  <c r="G445" i="3"/>
  <c r="K445" i="3"/>
  <c r="O445" i="3"/>
  <c r="W445" i="3"/>
  <c r="D445" i="3"/>
  <c r="H445" i="3"/>
  <c r="L445" i="3"/>
  <c r="P445" i="3"/>
  <c r="T445" i="3"/>
  <c r="E445" i="3"/>
  <c r="I445" i="3"/>
  <c r="M445" i="3"/>
  <c r="Q445" i="3"/>
  <c r="U445" i="3"/>
  <c r="F445" i="3"/>
  <c r="J445" i="3"/>
  <c r="N445" i="3"/>
  <c r="R445" i="3"/>
  <c r="V445" i="3"/>
  <c r="G429" i="3"/>
  <c r="K429" i="3"/>
  <c r="O429" i="3"/>
  <c r="W429" i="3"/>
  <c r="D429" i="3"/>
  <c r="H429" i="3"/>
  <c r="L429" i="3"/>
  <c r="P429" i="3"/>
  <c r="T429" i="3"/>
  <c r="E429" i="3"/>
  <c r="I429" i="3"/>
  <c r="M429" i="3"/>
  <c r="Q429" i="3"/>
  <c r="U429" i="3"/>
  <c r="F429" i="3"/>
  <c r="J429" i="3"/>
  <c r="N429" i="3"/>
  <c r="R429" i="3"/>
  <c r="V429" i="3"/>
  <c r="G413" i="3"/>
  <c r="K413" i="3"/>
  <c r="O413" i="3"/>
  <c r="W413" i="3"/>
  <c r="D413" i="3"/>
  <c r="H413" i="3"/>
  <c r="L413" i="3"/>
  <c r="P413" i="3"/>
  <c r="T413" i="3"/>
  <c r="E413" i="3"/>
  <c r="I413" i="3"/>
  <c r="M413" i="3"/>
  <c r="Q413" i="3"/>
  <c r="U413" i="3"/>
  <c r="F413" i="3"/>
  <c r="J413" i="3"/>
  <c r="N413" i="3"/>
  <c r="R413" i="3"/>
  <c r="V413" i="3"/>
  <c r="G397" i="3"/>
  <c r="K397" i="3"/>
  <c r="O397" i="3"/>
  <c r="W397" i="3"/>
  <c r="D397" i="3"/>
  <c r="H397" i="3"/>
  <c r="L397" i="3"/>
  <c r="P397" i="3"/>
  <c r="T397" i="3"/>
  <c r="E397" i="3"/>
  <c r="I397" i="3"/>
  <c r="M397" i="3"/>
  <c r="Q397" i="3"/>
  <c r="U397" i="3"/>
  <c r="F397" i="3"/>
  <c r="J397" i="3"/>
  <c r="N397" i="3"/>
  <c r="R397" i="3"/>
  <c r="V397" i="3"/>
  <c r="G381" i="3"/>
  <c r="K381" i="3"/>
  <c r="O381" i="3"/>
  <c r="W381" i="3"/>
  <c r="D381" i="3"/>
  <c r="H381" i="3"/>
  <c r="L381" i="3"/>
  <c r="P381" i="3"/>
  <c r="T381" i="3"/>
  <c r="E381" i="3"/>
  <c r="I381" i="3"/>
  <c r="M381" i="3"/>
  <c r="Q381" i="3"/>
  <c r="U381" i="3"/>
  <c r="F381" i="3"/>
  <c r="J381" i="3"/>
  <c r="N381" i="3"/>
  <c r="R381" i="3"/>
  <c r="V381" i="3"/>
  <c r="E602" i="3"/>
  <c r="I602" i="3"/>
  <c r="M602" i="3"/>
  <c r="Q602" i="3"/>
  <c r="U602" i="3"/>
  <c r="F602" i="3"/>
  <c r="J602" i="3"/>
  <c r="N602" i="3"/>
  <c r="R602" i="3"/>
  <c r="V602" i="3"/>
  <c r="G602" i="3"/>
  <c r="K602" i="3"/>
  <c r="O602" i="3"/>
  <c r="W602" i="3"/>
  <c r="D602" i="3"/>
  <c r="H602" i="3"/>
  <c r="L602" i="3"/>
  <c r="P602" i="3"/>
  <c r="T602" i="3"/>
  <c r="E586" i="3"/>
  <c r="I586" i="3"/>
  <c r="M586" i="3"/>
  <c r="Q586" i="3"/>
  <c r="U586" i="3"/>
  <c r="F586" i="3"/>
  <c r="J586" i="3"/>
  <c r="N586" i="3"/>
  <c r="R586" i="3"/>
  <c r="V586" i="3"/>
  <c r="G586" i="3"/>
  <c r="K586" i="3"/>
  <c r="O586" i="3"/>
  <c r="W586" i="3"/>
  <c r="D586" i="3"/>
  <c r="H586" i="3"/>
  <c r="L586" i="3"/>
  <c r="P586" i="3"/>
  <c r="T586" i="3"/>
  <c r="E570" i="3"/>
  <c r="I570" i="3"/>
  <c r="M570" i="3"/>
  <c r="Q570" i="3"/>
  <c r="U570" i="3"/>
  <c r="F570" i="3"/>
  <c r="J570" i="3"/>
  <c r="N570" i="3"/>
  <c r="R570" i="3"/>
  <c r="V570" i="3"/>
  <c r="G570" i="3"/>
  <c r="K570" i="3"/>
  <c r="O570" i="3"/>
  <c r="W570" i="3"/>
  <c r="D570" i="3"/>
  <c r="H570" i="3"/>
  <c r="L570" i="3"/>
  <c r="P570" i="3"/>
  <c r="T570" i="3"/>
  <c r="E554" i="3"/>
  <c r="I554" i="3"/>
  <c r="M554" i="3"/>
  <c r="Q554" i="3"/>
  <c r="U554" i="3"/>
  <c r="F554" i="3"/>
  <c r="J554" i="3"/>
  <c r="N554" i="3"/>
  <c r="R554" i="3"/>
  <c r="V554" i="3"/>
  <c r="G554" i="3"/>
  <c r="K554" i="3"/>
  <c r="O554" i="3"/>
  <c r="W554" i="3"/>
  <c r="D554" i="3"/>
  <c r="H554" i="3"/>
  <c r="L554" i="3"/>
  <c r="P554" i="3"/>
  <c r="T554" i="3"/>
  <c r="E538" i="3"/>
  <c r="I538" i="3"/>
  <c r="M538" i="3"/>
  <c r="Q538" i="3"/>
  <c r="U538" i="3"/>
  <c r="F538" i="3"/>
  <c r="J538" i="3"/>
  <c r="N538" i="3"/>
  <c r="R538" i="3"/>
  <c r="V538" i="3"/>
  <c r="G538" i="3"/>
  <c r="K538" i="3"/>
  <c r="O538" i="3"/>
  <c r="W538" i="3"/>
  <c r="D538" i="3"/>
  <c r="H538" i="3"/>
  <c r="L538" i="3"/>
  <c r="P538" i="3"/>
  <c r="T538" i="3"/>
  <c r="E522" i="3"/>
  <c r="I522" i="3"/>
  <c r="M522" i="3"/>
  <c r="Q522" i="3"/>
  <c r="U522" i="3"/>
  <c r="F522" i="3"/>
  <c r="J522" i="3"/>
  <c r="N522" i="3"/>
  <c r="R522" i="3"/>
  <c r="V522" i="3"/>
  <c r="G522" i="3"/>
  <c r="K522" i="3"/>
  <c r="O522" i="3"/>
  <c r="W522" i="3"/>
  <c r="D522" i="3"/>
  <c r="H522" i="3"/>
  <c r="L522" i="3"/>
  <c r="P522" i="3"/>
  <c r="T522" i="3"/>
  <c r="G506" i="3"/>
  <c r="K506" i="3"/>
  <c r="O506" i="3"/>
  <c r="W506" i="3"/>
  <c r="D506" i="3"/>
  <c r="H506" i="3"/>
  <c r="L506" i="3"/>
  <c r="P506" i="3"/>
  <c r="T506" i="3"/>
  <c r="E506" i="3"/>
  <c r="I506" i="3"/>
  <c r="M506" i="3"/>
  <c r="Q506" i="3"/>
  <c r="U506" i="3"/>
  <c r="F506" i="3"/>
  <c r="J506" i="3"/>
  <c r="N506" i="3"/>
  <c r="R506" i="3"/>
  <c r="V506" i="3"/>
  <c r="G490" i="3"/>
  <c r="K490" i="3"/>
  <c r="O490" i="3"/>
  <c r="W490" i="3"/>
  <c r="D490" i="3"/>
  <c r="H490" i="3"/>
  <c r="L490" i="3"/>
  <c r="P490" i="3"/>
  <c r="T490" i="3"/>
  <c r="E490" i="3"/>
  <c r="I490" i="3"/>
  <c r="M490" i="3"/>
  <c r="Q490" i="3"/>
  <c r="U490" i="3"/>
  <c r="F490" i="3"/>
  <c r="J490" i="3"/>
  <c r="N490" i="3"/>
  <c r="R490" i="3"/>
  <c r="V490" i="3"/>
  <c r="G474" i="3"/>
  <c r="K474" i="3"/>
  <c r="O474" i="3"/>
  <c r="W474" i="3"/>
  <c r="D474" i="3"/>
  <c r="H474" i="3"/>
  <c r="L474" i="3"/>
  <c r="P474" i="3"/>
  <c r="T474" i="3"/>
  <c r="E474" i="3"/>
  <c r="I474" i="3"/>
  <c r="M474" i="3"/>
  <c r="Q474" i="3"/>
  <c r="U474" i="3"/>
  <c r="F474" i="3"/>
  <c r="J474" i="3"/>
  <c r="N474" i="3"/>
  <c r="R474" i="3"/>
  <c r="V474" i="3"/>
  <c r="G458" i="3"/>
  <c r="K458" i="3"/>
  <c r="O458" i="3"/>
  <c r="W458" i="3"/>
  <c r="D458" i="3"/>
  <c r="H458" i="3"/>
  <c r="L458" i="3"/>
  <c r="P458" i="3"/>
  <c r="T458" i="3"/>
  <c r="E458" i="3"/>
  <c r="I458" i="3"/>
  <c r="M458" i="3"/>
  <c r="Q458" i="3"/>
  <c r="U458" i="3"/>
  <c r="F458" i="3"/>
  <c r="J458" i="3"/>
  <c r="N458" i="3"/>
  <c r="R458" i="3"/>
  <c r="V458" i="3"/>
  <c r="G442" i="3"/>
  <c r="K442" i="3"/>
  <c r="O442" i="3"/>
  <c r="W442" i="3"/>
  <c r="D442" i="3"/>
  <c r="H442" i="3"/>
  <c r="L442" i="3"/>
  <c r="P442" i="3"/>
  <c r="T442" i="3"/>
  <c r="E442" i="3"/>
  <c r="I442" i="3"/>
  <c r="M442" i="3"/>
  <c r="Q442" i="3"/>
  <c r="U442" i="3"/>
  <c r="F442" i="3"/>
  <c r="J442" i="3"/>
  <c r="N442" i="3"/>
  <c r="R442" i="3"/>
  <c r="V442" i="3"/>
  <c r="G426" i="3"/>
  <c r="K426" i="3"/>
  <c r="O426" i="3"/>
  <c r="W426" i="3"/>
  <c r="D426" i="3"/>
  <c r="H426" i="3"/>
  <c r="L426" i="3"/>
  <c r="P426" i="3"/>
  <c r="T426" i="3"/>
  <c r="E426" i="3"/>
  <c r="I426" i="3"/>
  <c r="M426" i="3"/>
  <c r="Q426" i="3"/>
  <c r="U426" i="3"/>
  <c r="F426" i="3"/>
  <c r="J426" i="3"/>
  <c r="N426" i="3"/>
  <c r="R426" i="3"/>
  <c r="V426" i="3"/>
  <c r="G410" i="3"/>
  <c r="K410" i="3"/>
  <c r="O410" i="3"/>
  <c r="W410" i="3"/>
  <c r="D410" i="3"/>
  <c r="H410" i="3"/>
  <c r="L410" i="3"/>
  <c r="P410" i="3"/>
  <c r="T410" i="3"/>
  <c r="E410" i="3"/>
  <c r="I410" i="3"/>
  <c r="M410" i="3"/>
  <c r="Q410" i="3"/>
  <c r="U410" i="3"/>
  <c r="F410" i="3"/>
  <c r="J410" i="3"/>
  <c r="N410" i="3"/>
  <c r="R410" i="3"/>
  <c r="V410" i="3"/>
  <c r="G394" i="3"/>
  <c r="K394" i="3"/>
  <c r="O394" i="3"/>
  <c r="W394" i="3"/>
  <c r="D394" i="3"/>
  <c r="H394" i="3"/>
  <c r="L394" i="3"/>
  <c r="P394" i="3"/>
  <c r="T394" i="3"/>
  <c r="E394" i="3"/>
  <c r="I394" i="3"/>
  <c r="M394" i="3"/>
  <c r="Q394" i="3"/>
  <c r="U394" i="3"/>
  <c r="F394" i="3"/>
  <c r="J394" i="3"/>
  <c r="N394" i="3"/>
  <c r="R394" i="3"/>
  <c r="V394" i="3"/>
  <c r="G378" i="3"/>
  <c r="K378" i="3"/>
  <c r="O378" i="3"/>
  <c r="W378" i="3"/>
  <c r="D378" i="3"/>
  <c r="H378" i="3"/>
  <c r="L378" i="3"/>
  <c r="P378" i="3"/>
  <c r="T378" i="3"/>
  <c r="E378" i="3"/>
  <c r="I378" i="3"/>
  <c r="M378" i="3"/>
  <c r="Q378" i="3"/>
  <c r="U378" i="3"/>
  <c r="F378" i="3"/>
  <c r="J378" i="3"/>
  <c r="N378" i="3"/>
  <c r="R378" i="3"/>
  <c r="V378" i="3"/>
  <c r="E591" i="3"/>
  <c r="I591" i="3"/>
  <c r="M591" i="3"/>
  <c r="Q591" i="3"/>
  <c r="U591" i="3"/>
  <c r="F591" i="3"/>
  <c r="J591" i="3"/>
  <c r="N591" i="3"/>
  <c r="R591" i="3"/>
  <c r="V591" i="3"/>
  <c r="G591" i="3"/>
  <c r="K591" i="3"/>
  <c r="O591" i="3"/>
  <c r="W591" i="3"/>
  <c r="D591" i="3"/>
  <c r="H591" i="3"/>
  <c r="L591" i="3"/>
  <c r="P591" i="3"/>
  <c r="T591" i="3"/>
  <c r="E575" i="3"/>
  <c r="I575" i="3"/>
  <c r="M575" i="3"/>
  <c r="Q575" i="3"/>
  <c r="U575" i="3"/>
  <c r="F575" i="3"/>
  <c r="J575" i="3"/>
  <c r="N575" i="3"/>
  <c r="R575" i="3"/>
  <c r="V575" i="3"/>
  <c r="G575" i="3"/>
  <c r="K575" i="3"/>
  <c r="O575" i="3"/>
  <c r="W575" i="3"/>
  <c r="D575" i="3"/>
  <c r="H575" i="3"/>
  <c r="L575" i="3"/>
  <c r="P575" i="3"/>
  <c r="T575" i="3"/>
  <c r="E559" i="3"/>
  <c r="I559" i="3"/>
  <c r="M559" i="3"/>
  <c r="Q559" i="3"/>
  <c r="U559" i="3"/>
  <c r="F559" i="3"/>
  <c r="J559" i="3"/>
  <c r="N559" i="3"/>
  <c r="R559" i="3"/>
  <c r="V559" i="3"/>
  <c r="G559" i="3"/>
  <c r="K559" i="3"/>
  <c r="O559" i="3"/>
  <c r="W559" i="3"/>
  <c r="D559" i="3"/>
  <c r="H559" i="3"/>
  <c r="L559" i="3"/>
  <c r="P559" i="3"/>
  <c r="T559" i="3"/>
  <c r="E543" i="3"/>
  <c r="I543" i="3"/>
  <c r="M543" i="3"/>
  <c r="Q543" i="3"/>
  <c r="U543" i="3"/>
  <c r="F543" i="3"/>
  <c r="J543" i="3"/>
  <c r="N543" i="3"/>
  <c r="R543" i="3"/>
  <c r="V543" i="3"/>
  <c r="G543" i="3"/>
  <c r="K543" i="3"/>
  <c r="O543" i="3"/>
  <c r="W543" i="3"/>
  <c r="D543" i="3"/>
  <c r="H543" i="3"/>
  <c r="L543" i="3"/>
  <c r="P543" i="3"/>
  <c r="T543" i="3"/>
  <c r="E527" i="3"/>
  <c r="I527" i="3"/>
  <c r="M527" i="3"/>
  <c r="Q527" i="3"/>
  <c r="U527" i="3"/>
  <c r="F527" i="3"/>
  <c r="J527" i="3"/>
  <c r="N527" i="3"/>
  <c r="R527" i="3"/>
  <c r="V527" i="3"/>
  <c r="G527" i="3"/>
  <c r="K527" i="3"/>
  <c r="O527" i="3"/>
  <c r="W527" i="3"/>
  <c r="D527" i="3"/>
  <c r="H527" i="3"/>
  <c r="L527" i="3"/>
  <c r="P527" i="3"/>
  <c r="T527" i="3"/>
  <c r="E511" i="3"/>
  <c r="I511" i="3"/>
  <c r="M511" i="3"/>
  <c r="Q511" i="3"/>
  <c r="U511" i="3"/>
  <c r="F511" i="3"/>
  <c r="J511" i="3"/>
  <c r="N511" i="3"/>
  <c r="R511" i="3"/>
  <c r="V511" i="3"/>
  <c r="G511" i="3"/>
  <c r="K511" i="3"/>
  <c r="O511" i="3"/>
  <c r="W511" i="3"/>
  <c r="D511" i="3"/>
  <c r="H511" i="3"/>
  <c r="L511" i="3"/>
  <c r="P511" i="3"/>
  <c r="T511" i="3"/>
  <c r="G495" i="3"/>
  <c r="K495" i="3"/>
  <c r="O495" i="3"/>
  <c r="W495" i="3"/>
  <c r="D495" i="3"/>
  <c r="H495" i="3"/>
  <c r="L495" i="3"/>
  <c r="P495" i="3"/>
  <c r="T495" i="3"/>
  <c r="E495" i="3"/>
  <c r="I495" i="3"/>
  <c r="M495" i="3"/>
  <c r="Q495" i="3"/>
  <c r="U495" i="3"/>
  <c r="F495" i="3"/>
  <c r="J495" i="3"/>
  <c r="N495" i="3"/>
  <c r="R495" i="3"/>
  <c r="V495" i="3"/>
  <c r="G479" i="3"/>
  <c r="K479" i="3"/>
  <c r="O479" i="3"/>
  <c r="W479" i="3"/>
  <c r="D479" i="3"/>
  <c r="H479" i="3"/>
  <c r="L479" i="3"/>
  <c r="P479" i="3"/>
  <c r="T479" i="3"/>
  <c r="E479" i="3"/>
  <c r="I479" i="3"/>
  <c r="M479" i="3"/>
  <c r="Q479" i="3"/>
  <c r="U479" i="3"/>
  <c r="F479" i="3"/>
  <c r="J479" i="3"/>
  <c r="N479" i="3"/>
  <c r="R479" i="3"/>
  <c r="V479" i="3"/>
  <c r="G463" i="3"/>
  <c r="K463" i="3"/>
  <c r="O463" i="3"/>
  <c r="W463" i="3"/>
  <c r="D463" i="3"/>
  <c r="H463" i="3"/>
  <c r="L463" i="3"/>
  <c r="P463" i="3"/>
  <c r="T463" i="3"/>
  <c r="E463" i="3"/>
  <c r="I463" i="3"/>
  <c r="M463" i="3"/>
  <c r="Q463" i="3"/>
  <c r="U463" i="3"/>
  <c r="F463" i="3"/>
  <c r="J463" i="3"/>
  <c r="N463" i="3"/>
  <c r="R463" i="3"/>
  <c r="V463" i="3"/>
  <c r="G447" i="3"/>
  <c r="K447" i="3"/>
  <c r="O447" i="3"/>
  <c r="W447" i="3"/>
  <c r="D447" i="3"/>
  <c r="H447" i="3"/>
  <c r="L447" i="3"/>
  <c r="P447" i="3"/>
  <c r="T447" i="3"/>
  <c r="E447" i="3"/>
  <c r="I447" i="3"/>
  <c r="M447" i="3"/>
  <c r="Q447" i="3"/>
  <c r="U447" i="3"/>
  <c r="F447" i="3"/>
  <c r="J447" i="3"/>
  <c r="N447" i="3"/>
  <c r="R447" i="3"/>
  <c r="V447" i="3"/>
  <c r="G431" i="3"/>
  <c r="K431" i="3"/>
  <c r="O431" i="3"/>
  <c r="W431" i="3"/>
  <c r="D431" i="3"/>
  <c r="H431" i="3"/>
  <c r="L431" i="3"/>
  <c r="P431" i="3"/>
  <c r="T431" i="3"/>
  <c r="E431" i="3"/>
  <c r="I431" i="3"/>
  <c r="M431" i="3"/>
  <c r="Q431" i="3"/>
  <c r="U431" i="3"/>
  <c r="F431" i="3"/>
  <c r="J431" i="3"/>
  <c r="N431" i="3"/>
  <c r="R431" i="3"/>
  <c r="V431" i="3"/>
  <c r="G415" i="3"/>
  <c r="K415" i="3"/>
  <c r="O415" i="3"/>
  <c r="W415" i="3"/>
  <c r="D415" i="3"/>
  <c r="H415" i="3"/>
  <c r="L415" i="3"/>
  <c r="P415" i="3"/>
  <c r="T415" i="3"/>
  <c r="E415" i="3"/>
  <c r="I415" i="3"/>
  <c r="M415" i="3"/>
  <c r="Q415" i="3"/>
  <c r="U415" i="3"/>
  <c r="F415" i="3"/>
  <c r="J415" i="3"/>
  <c r="N415" i="3"/>
  <c r="R415" i="3"/>
  <c r="V415" i="3"/>
  <c r="G399" i="3"/>
  <c r="K399" i="3"/>
  <c r="O399" i="3"/>
  <c r="W399" i="3"/>
  <c r="D399" i="3"/>
  <c r="H399" i="3"/>
  <c r="L399" i="3"/>
  <c r="P399" i="3"/>
  <c r="T399" i="3"/>
  <c r="E399" i="3"/>
  <c r="I399" i="3"/>
  <c r="M399" i="3"/>
  <c r="Q399" i="3"/>
  <c r="U399" i="3"/>
  <c r="F399" i="3"/>
  <c r="J399" i="3"/>
  <c r="N399" i="3"/>
  <c r="R399" i="3"/>
  <c r="V399" i="3"/>
  <c r="G383" i="3"/>
  <c r="K383" i="3"/>
  <c r="O383" i="3"/>
  <c r="W383" i="3"/>
  <c r="D383" i="3"/>
  <c r="H383" i="3"/>
  <c r="L383" i="3"/>
  <c r="P383" i="3"/>
  <c r="T383" i="3"/>
  <c r="E383" i="3"/>
  <c r="I383" i="3"/>
  <c r="M383" i="3"/>
  <c r="Q383" i="3"/>
  <c r="U383" i="3"/>
  <c r="F383" i="3"/>
  <c r="J383" i="3"/>
  <c r="N383" i="3"/>
  <c r="R383" i="3"/>
  <c r="V383" i="3"/>
  <c r="G367" i="3"/>
  <c r="K367" i="3"/>
  <c r="O367" i="3"/>
  <c r="W367" i="3"/>
  <c r="D367" i="3"/>
  <c r="H367" i="3"/>
  <c r="L367" i="3"/>
  <c r="P367" i="3"/>
  <c r="T367" i="3"/>
  <c r="E367" i="3"/>
  <c r="I367" i="3"/>
  <c r="M367" i="3"/>
  <c r="Q367" i="3"/>
  <c r="U367" i="3"/>
  <c r="F367" i="3"/>
  <c r="J367" i="3"/>
  <c r="N367" i="3"/>
  <c r="R367" i="3"/>
  <c r="V367" i="3"/>
  <c r="D692" i="3"/>
  <c r="H692" i="3"/>
  <c r="L692" i="3"/>
  <c r="P692" i="3"/>
  <c r="T692" i="3"/>
  <c r="E692" i="3"/>
  <c r="I692" i="3"/>
  <c r="M692" i="3"/>
  <c r="Q692" i="3"/>
  <c r="U692" i="3"/>
  <c r="F692" i="3"/>
  <c r="J692" i="3"/>
  <c r="N692" i="3"/>
  <c r="R692" i="3"/>
  <c r="V692" i="3"/>
  <c r="G692" i="3"/>
  <c r="K692" i="3"/>
  <c r="O692" i="3"/>
  <c r="W692" i="3"/>
  <c r="D676" i="3"/>
  <c r="H676" i="3"/>
  <c r="L676" i="3"/>
  <c r="P676" i="3"/>
  <c r="T676" i="3"/>
  <c r="E676" i="3"/>
  <c r="I676" i="3"/>
  <c r="M676" i="3"/>
  <c r="Q676" i="3"/>
  <c r="U676" i="3"/>
  <c r="F676" i="3"/>
  <c r="J676" i="3"/>
  <c r="N676" i="3"/>
  <c r="R676" i="3"/>
  <c r="V676" i="3"/>
  <c r="G676" i="3"/>
  <c r="K676" i="3"/>
  <c r="O676" i="3"/>
  <c r="W676" i="3"/>
  <c r="D660" i="3"/>
  <c r="H660" i="3"/>
  <c r="L660" i="3"/>
  <c r="P660" i="3"/>
  <c r="T660" i="3"/>
  <c r="E660" i="3"/>
  <c r="I660" i="3"/>
  <c r="M660" i="3"/>
  <c r="Q660" i="3"/>
  <c r="U660" i="3"/>
  <c r="F660" i="3"/>
  <c r="J660" i="3"/>
  <c r="N660" i="3"/>
  <c r="R660" i="3"/>
  <c r="V660" i="3"/>
  <c r="G660" i="3"/>
  <c r="K660" i="3"/>
  <c r="O660" i="3"/>
  <c r="W660" i="3"/>
  <c r="D644" i="3"/>
  <c r="H644" i="3"/>
  <c r="L644" i="3"/>
  <c r="P644" i="3"/>
  <c r="T644" i="3"/>
  <c r="E644" i="3"/>
  <c r="I644" i="3"/>
  <c r="M644" i="3"/>
  <c r="Q644" i="3"/>
  <c r="U644" i="3"/>
  <c r="F644" i="3"/>
  <c r="J644" i="3"/>
  <c r="N644" i="3"/>
  <c r="R644" i="3"/>
  <c r="V644" i="3"/>
  <c r="G644" i="3"/>
  <c r="K644" i="3"/>
  <c r="O644" i="3"/>
  <c r="W644" i="3"/>
  <c r="E628" i="3"/>
  <c r="I628" i="3"/>
  <c r="M628" i="3"/>
  <c r="Q628" i="3"/>
  <c r="U628" i="3"/>
  <c r="F628" i="3"/>
  <c r="J628" i="3"/>
  <c r="N628" i="3"/>
  <c r="R628" i="3"/>
  <c r="V628" i="3"/>
  <c r="G628" i="3"/>
  <c r="K628" i="3"/>
  <c r="O628" i="3"/>
  <c r="W628" i="3"/>
  <c r="D628" i="3"/>
  <c r="H628" i="3"/>
  <c r="L628" i="3"/>
  <c r="P628" i="3"/>
  <c r="T628" i="3"/>
  <c r="E612" i="3"/>
  <c r="I612" i="3"/>
  <c r="M612" i="3"/>
  <c r="Q612" i="3"/>
  <c r="U612" i="3"/>
  <c r="F612" i="3"/>
  <c r="J612" i="3"/>
  <c r="N612" i="3"/>
  <c r="R612" i="3"/>
  <c r="V612" i="3"/>
  <c r="G612" i="3"/>
  <c r="K612" i="3"/>
  <c r="O612" i="3"/>
  <c r="W612" i="3"/>
  <c r="D612" i="3"/>
  <c r="H612" i="3"/>
  <c r="L612" i="3"/>
  <c r="P612" i="3"/>
  <c r="T612" i="3"/>
  <c r="E596" i="3"/>
  <c r="I596" i="3"/>
  <c r="M596" i="3"/>
  <c r="Q596" i="3"/>
  <c r="U596" i="3"/>
  <c r="F596" i="3"/>
  <c r="J596" i="3"/>
  <c r="N596" i="3"/>
  <c r="R596" i="3"/>
  <c r="V596" i="3"/>
  <c r="G596" i="3"/>
  <c r="K596" i="3"/>
  <c r="O596" i="3"/>
  <c r="W596" i="3"/>
  <c r="D596" i="3"/>
  <c r="H596" i="3"/>
  <c r="L596" i="3"/>
  <c r="P596" i="3"/>
  <c r="T596" i="3"/>
  <c r="E580" i="3"/>
  <c r="I580" i="3"/>
  <c r="M580" i="3"/>
  <c r="Q580" i="3"/>
  <c r="U580" i="3"/>
  <c r="F580" i="3"/>
  <c r="J580" i="3"/>
  <c r="N580" i="3"/>
  <c r="R580" i="3"/>
  <c r="V580" i="3"/>
  <c r="G580" i="3"/>
  <c r="K580" i="3"/>
  <c r="O580" i="3"/>
  <c r="W580" i="3"/>
  <c r="D580" i="3"/>
  <c r="H580" i="3"/>
  <c r="L580" i="3"/>
  <c r="P580" i="3"/>
  <c r="T580" i="3"/>
  <c r="E564" i="3"/>
  <c r="I564" i="3"/>
  <c r="M564" i="3"/>
  <c r="Q564" i="3"/>
  <c r="U564" i="3"/>
  <c r="F564" i="3"/>
  <c r="J564" i="3"/>
  <c r="N564" i="3"/>
  <c r="R564" i="3"/>
  <c r="V564" i="3"/>
  <c r="G564" i="3"/>
  <c r="K564" i="3"/>
  <c r="O564" i="3"/>
  <c r="W564" i="3"/>
  <c r="D564" i="3"/>
  <c r="H564" i="3"/>
  <c r="L564" i="3"/>
  <c r="P564" i="3"/>
  <c r="T564" i="3"/>
  <c r="E548" i="3"/>
  <c r="I548" i="3"/>
  <c r="M548" i="3"/>
  <c r="Q548" i="3"/>
  <c r="U548" i="3"/>
  <c r="F548" i="3"/>
  <c r="J548" i="3"/>
  <c r="N548" i="3"/>
  <c r="R548" i="3"/>
  <c r="V548" i="3"/>
  <c r="G548" i="3"/>
  <c r="K548" i="3"/>
  <c r="O548" i="3"/>
  <c r="W548" i="3"/>
  <c r="D548" i="3"/>
  <c r="H548" i="3"/>
  <c r="L548" i="3"/>
  <c r="P548" i="3"/>
  <c r="T548" i="3"/>
  <c r="E532" i="3"/>
  <c r="I532" i="3"/>
  <c r="M532" i="3"/>
  <c r="Q532" i="3"/>
  <c r="U532" i="3"/>
  <c r="F532" i="3"/>
  <c r="J532" i="3"/>
  <c r="N532" i="3"/>
  <c r="R532" i="3"/>
  <c r="V532" i="3"/>
  <c r="G532" i="3"/>
  <c r="K532" i="3"/>
  <c r="O532" i="3"/>
  <c r="W532" i="3"/>
  <c r="D532" i="3"/>
  <c r="H532" i="3"/>
  <c r="L532" i="3"/>
  <c r="P532" i="3"/>
  <c r="T532" i="3"/>
  <c r="E516" i="3"/>
  <c r="I516" i="3"/>
  <c r="M516" i="3"/>
  <c r="Q516" i="3"/>
  <c r="U516" i="3"/>
  <c r="F516" i="3"/>
  <c r="J516" i="3"/>
  <c r="N516" i="3"/>
  <c r="R516" i="3"/>
  <c r="V516" i="3"/>
  <c r="G516" i="3"/>
  <c r="K516" i="3"/>
  <c r="O516" i="3"/>
  <c r="W516" i="3"/>
  <c r="D516" i="3"/>
  <c r="H516" i="3"/>
  <c r="L516" i="3"/>
  <c r="P516" i="3"/>
  <c r="T516" i="3"/>
  <c r="G500" i="3"/>
  <c r="K500" i="3"/>
  <c r="O500" i="3"/>
  <c r="W500" i="3"/>
  <c r="D500" i="3"/>
  <c r="H500" i="3"/>
  <c r="L500" i="3"/>
  <c r="P500" i="3"/>
  <c r="T500" i="3"/>
  <c r="E500" i="3"/>
  <c r="I500" i="3"/>
  <c r="M500" i="3"/>
  <c r="Q500" i="3"/>
  <c r="U500" i="3"/>
  <c r="F500" i="3"/>
  <c r="J500" i="3"/>
  <c r="N500" i="3"/>
  <c r="R500" i="3"/>
  <c r="V500" i="3"/>
  <c r="G484" i="3"/>
  <c r="K484" i="3"/>
  <c r="O484" i="3"/>
  <c r="W484" i="3"/>
  <c r="D484" i="3"/>
  <c r="H484" i="3"/>
  <c r="L484" i="3"/>
  <c r="P484" i="3"/>
  <c r="T484" i="3"/>
  <c r="E484" i="3"/>
  <c r="I484" i="3"/>
  <c r="M484" i="3"/>
  <c r="Q484" i="3"/>
  <c r="U484" i="3"/>
  <c r="F484" i="3"/>
  <c r="J484" i="3"/>
  <c r="N484" i="3"/>
  <c r="R484" i="3"/>
  <c r="V484" i="3"/>
  <c r="G468" i="3"/>
  <c r="K468" i="3"/>
  <c r="O468" i="3"/>
  <c r="W468" i="3"/>
  <c r="D468" i="3"/>
  <c r="H468" i="3"/>
  <c r="L468" i="3"/>
  <c r="P468" i="3"/>
  <c r="T468" i="3"/>
  <c r="E468" i="3"/>
  <c r="I468" i="3"/>
  <c r="M468" i="3"/>
  <c r="Q468" i="3"/>
  <c r="U468" i="3"/>
  <c r="F468" i="3"/>
  <c r="J468" i="3"/>
  <c r="N468" i="3"/>
  <c r="R468" i="3"/>
  <c r="V468" i="3"/>
  <c r="G452" i="3"/>
  <c r="K452" i="3"/>
  <c r="O452" i="3"/>
  <c r="W452" i="3"/>
  <c r="D452" i="3"/>
  <c r="H452" i="3"/>
  <c r="L452" i="3"/>
  <c r="P452" i="3"/>
  <c r="T452" i="3"/>
  <c r="E452" i="3"/>
  <c r="I452" i="3"/>
  <c r="M452" i="3"/>
  <c r="Q452" i="3"/>
  <c r="U452" i="3"/>
  <c r="F452" i="3"/>
  <c r="J452" i="3"/>
  <c r="N452" i="3"/>
  <c r="R452" i="3"/>
  <c r="V452" i="3"/>
  <c r="G436" i="3"/>
  <c r="K436" i="3"/>
  <c r="O436" i="3"/>
  <c r="W436" i="3"/>
  <c r="D436" i="3"/>
  <c r="H436" i="3"/>
  <c r="L436" i="3"/>
  <c r="P436" i="3"/>
  <c r="T436" i="3"/>
  <c r="E436" i="3"/>
  <c r="I436" i="3"/>
  <c r="M436" i="3"/>
  <c r="Q436" i="3"/>
  <c r="U436" i="3"/>
  <c r="F436" i="3"/>
  <c r="J436" i="3"/>
  <c r="N436" i="3"/>
  <c r="R436" i="3"/>
  <c r="V436" i="3"/>
  <c r="G420" i="3"/>
  <c r="K420" i="3"/>
  <c r="O420" i="3"/>
  <c r="W420" i="3"/>
  <c r="D420" i="3"/>
  <c r="H420" i="3"/>
  <c r="L420" i="3"/>
  <c r="P420" i="3"/>
  <c r="T420" i="3"/>
  <c r="E420" i="3"/>
  <c r="I420" i="3"/>
  <c r="M420" i="3"/>
  <c r="Q420" i="3"/>
  <c r="U420" i="3"/>
  <c r="F420" i="3"/>
  <c r="J420" i="3"/>
  <c r="N420" i="3"/>
  <c r="R420" i="3"/>
  <c r="V420" i="3"/>
  <c r="G404" i="3"/>
  <c r="K404" i="3"/>
  <c r="O404" i="3"/>
  <c r="W404" i="3"/>
  <c r="D404" i="3"/>
  <c r="H404" i="3"/>
  <c r="L404" i="3"/>
  <c r="P404" i="3"/>
  <c r="T404" i="3"/>
  <c r="E404" i="3"/>
  <c r="I404" i="3"/>
  <c r="M404" i="3"/>
  <c r="Q404" i="3"/>
  <c r="U404" i="3"/>
  <c r="F404" i="3"/>
  <c r="J404" i="3"/>
  <c r="N404" i="3"/>
  <c r="R404" i="3"/>
  <c r="V404" i="3"/>
  <c r="G388" i="3"/>
  <c r="K388" i="3"/>
  <c r="O388" i="3"/>
  <c r="W388" i="3"/>
  <c r="D388" i="3"/>
  <c r="H388" i="3"/>
  <c r="L388" i="3"/>
  <c r="P388" i="3"/>
  <c r="T388" i="3"/>
  <c r="E388" i="3"/>
  <c r="I388" i="3"/>
  <c r="M388" i="3"/>
  <c r="Q388" i="3"/>
  <c r="U388" i="3"/>
  <c r="F388" i="3"/>
  <c r="J388" i="3"/>
  <c r="N388" i="3"/>
  <c r="R388" i="3"/>
  <c r="V388" i="3"/>
  <c r="E372" i="3"/>
  <c r="I372" i="3"/>
  <c r="M372" i="3"/>
  <c r="Q372" i="3"/>
  <c r="U372" i="3"/>
  <c r="F372" i="3"/>
  <c r="J372" i="3"/>
  <c r="N372" i="3"/>
  <c r="R372" i="3"/>
  <c r="V372" i="3"/>
  <c r="K372" i="3"/>
  <c r="D372" i="3"/>
  <c r="L372" i="3"/>
  <c r="T372" i="3"/>
  <c r="G372" i="3"/>
  <c r="O372" i="3"/>
  <c r="W372" i="3"/>
  <c r="H372" i="3"/>
  <c r="P372" i="3"/>
  <c r="G354" i="3"/>
  <c r="K354" i="3"/>
  <c r="O354" i="3"/>
  <c r="W354" i="3"/>
  <c r="D354" i="3"/>
  <c r="H354" i="3"/>
  <c r="L354" i="3"/>
  <c r="P354" i="3"/>
  <c r="T354" i="3"/>
  <c r="E354" i="3"/>
  <c r="I354" i="3"/>
  <c r="M354" i="3"/>
  <c r="Q354" i="3"/>
  <c r="U354" i="3"/>
  <c r="F354" i="3"/>
  <c r="J354" i="3"/>
  <c r="N354" i="3"/>
  <c r="R354" i="3"/>
  <c r="V354" i="3"/>
  <c r="G344" i="3"/>
  <c r="K344" i="3"/>
  <c r="O344" i="3"/>
  <c r="W344" i="3"/>
  <c r="D344" i="3"/>
  <c r="H344" i="3"/>
  <c r="L344" i="3"/>
  <c r="P344" i="3"/>
  <c r="T344" i="3"/>
  <c r="E344" i="3"/>
  <c r="I344" i="3"/>
  <c r="M344" i="3"/>
  <c r="Q344" i="3"/>
  <c r="U344" i="3"/>
  <c r="F344" i="3"/>
  <c r="J344" i="3"/>
  <c r="N344" i="3"/>
  <c r="R344" i="3"/>
  <c r="V344" i="3"/>
  <c r="G318" i="3"/>
  <c r="K318" i="3"/>
  <c r="O318" i="3"/>
  <c r="W318" i="3"/>
  <c r="D318" i="3"/>
  <c r="H318" i="3"/>
  <c r="L318" i="3"/>
  <c r="P318" i="3"/>
  <c r="T318" i="3"/>
  <c r="E318" i="3"/>
  <c r="I318" i="3"/>
  <c r="M318" i="3"/>
  <c r="Q318" i="3"/>
  <c r="U318" i="3"/>
  <c r="F318" i="3"/>
  <c r="J318" i="3"/>
  <c r="N318" i="3"/>
  <c r="R318" i="3"/>
  <c r="V318" i="3"/>
  <c r="E286" i="3"/>
  <c r="I286" i="3"/>
  <c r="M286" i="3"/>
  <c r="Q286" i="3"/>
  <c r="U286" i="3"/>
  <c r="F286" i="3"/>
  <c r="J286" i="3"/>
  <c r="N286" i="3"/>
  <c r="R286" i="3"/>
  <c r="V286" i="3"/>
  <c r="G286" i="3"/>
  <c r="K286" i="3"/>
  <c r="O286" i="3"/>
  <c r="W286" i="3"/>
  <c r="D286" i="3"/>
  <c r="H286" i="3"/>
  <c r="L286" i="3"/>
  <c r="P286" i="3"/>
  <c r="T286" i="3"/>
  <c r="E254" i="3"/>
  <c r="I254" i="3"/>
  <c r="M254" i="3"/>
  <c r="Q254" i="3"/>
  <c r="U254" i="3"/>
  <c r="F254" i="3"/>
  <c r="J254" i="3"/>
  <c r="N254" i="3"/>
  <c r="R254" i="3"/>
  <c r="V254" i="3"/>
  <c r="G254" i="3"/>
  <c r="K254" i="3"/>
  <c r="O254" i="3"/>
  <c r="W254" i="3"/>
  <c r="D254" i="3"/>
  <c r="H254" i="3"/>
  <c r="L254" i="3"/>
  <c r="P254" i="3"/>
  <c r="T254" i="3"/>
  <c r="F222" i="3"/>
  <c r="J222" i="3"/>
  <c r="N222" i="3"/>
  <c r="R222" i="3"/>
  <c r="V222" i="3"/>
  <c r="D222" i="3"/>
  <c r="H222" i="3"/>
  <c r="L222" i="3"/>
  <c r="P222" i="3"/>
  <c r="T222" i="3"/>
  <c r="E222" i="3"/>
  <c r="I222" i="3"/>
  <c r="M222" i="3"/>
  <c r="Q222" i="3"/>
  <c r="U222" i="3"/>
  <c r="G222" i="3"/>
  <c r="W222" i="3"/>
  <c r="K222" i="3"/>
  <c r="O222" i="3"/>
  <c r="F190" i="3"/>
  <c r="J190" i="3"/>
  <c r="N190" i="3"/>
  <c r="R190" i="3"/>
  <c r="V190" i="3"/>
  <c r="G190" i="3"/>
  <c r="K190" i="3"/>
  <c r="O190" i="3"/>
  <c r="W190" i="3"/>
  <c r="D190" i="3"/>
  <c r="H190" i="3"/>
  <c r="L190" i="3"/>
  <c r="P190" i="3"/>
  <c r="T190" i="3"/>
  <c r="E190" i="3"/>
  <c r="I190" i="3"/>
  <c r="M190" i="3"/>
  <c r="Q190" i="3"/>
  <c r="U190" i="3"/>
  <c r="G360" i="3"/>
  <c r="K360" i="3"/>
  <c r="O360" i="3"/>
  <c r="W360" i="3"/>
  <c r="D360" i="3"/>
  <c r="H360" i="3"/>
  <c r="L360" i="3"/>
  <c r="P360" i="3"/>
  <c r="T360" i="3"/>
  <c r="E360" i="3"/>
  <c r="I360" i="3"/>
  <c r="M360" i="3"/>
  <c r="Q360" i="3"/>
  <c r="U360" i="3"/>
  <c r="F360" i="3"/>
  <c r="J360" i="3"/>
  <c r="N360" i="3"/>
  <c r="R360" i="3"/>
  <c r="V360" i="3"/>
  <c r="G328" i="3"/>
  <c r="K328" i="3"/>
  <c r="O328" i="3"/>
  <c r="W328" i="3"/>
  <c r="D328" i="3"/>
  <c r="H328" i="3"/>
  <c r="L328" i="3"/>
  <c r="P328" i="3"/>
  <c r="T328" i="3"/>
  <c r="E328" i="3"/>
  <c r="I328" i="3"/>
  <c r="M328" i="3"/>
  <c r="Q328" i="3"/>
  <c r="U328" i="3"/>
  <c r="F328" i="3"/>
  <c r="J328" i="3"/>
  <c r="N328" i="3"/>
  <c r="R328" i="3"/>
  <c r="V328" i="3"/>
  <c r="E296" i="3"/>
  <c r="I296" i="3"/>
  <c r="F296" i="3"/>
  <c r="J296" i="3"/>
  <c r="G296" i="3"/>
  <c r="K296" i="3"/>
  <c r="O296" i="3"/>
  <c r="W296" i="3"/>
  <c r="D296" i="3"/>
  <c r="H296" i="3"/>
  <c r="L296" i="3"/>
  <c r="P296" i="3"/>
  <c r="T296" i="3"/>
  <c r="M296" i="3"/>
  <c r="U296" i="3"/>
  <c r="N296" i="3"/>
  <c r="V296" i="3"/>
  <c r="Q296" i="3"/>
  <c r="R296" i="3"/>
  <c r="E264" i="3"/>
  <c r="I264" i="3"/>
  <c r="M264" i="3"/>
  <c r="Q264" i="3"/>
  <c r="U264" i="3"/>
  <c r="F264" i="3"/>
  <c r="J264" i="3"/>
  <c r="N264" i="3"/>
  <c r="R264" i="3"/>
  <c r="V264" i="3"/>
  <c r="G264" i="3"/>
  <c r="K264" i="3"/>
  <c r="O264" i="3"/>
  <c r="W264" i="3"/>
  <c r="D264" i="3"/>
  <c r="H264" i="3"/>
  <c r="L264" i="3"/>
  <c r="P264" i="3"/>
  <c r="T264" i="3"/>
  <c r="D232" i="3"/>
  <c r="H232" i="3"/>
  <c r="L232" i="3"/>
  <c r="P232" i="3"/>
  <c r="T232" i="3"/>
  <c r="E232" i="3"/>
  <c r="I232" i="3"/>
  <c r="M232" i="3"/>
  <c r="Q232" i="3"/>
  <c r="U232" i="3"/>
  <c r="G232" i="3"/>
  <c r="O232" i="3"/>
  <c r="W232" i="3"/>
  <c r="J232" i="3"/>
  <c r="R232" i="3"/>
  <c r="K232" i="3"/>
  <c r="F232" i="3"/>
  <c r="N232" i="3"/>
  <c r="V232" i="3"/>
  <c r="F200" i="3"/>
  <c r="J200" i="3"/>
  <c r="N200" i="3"/>
  <c r="R200" i="3"/>
  <c r="V200" i="3"/>
  <c r="G200" i="3"/>
  <c r="K200" i="3"/>
  <c r="O200" i="3"/>
  <c r="W200" i="3"/>
  <c r="D200" i="3"/>
  <c r="H200" i="3"/>
  <c r="L200" i="3"/>
  <c r="P200" i="3"/>
  <c r="T200" i="3"/>
  <c r="E200" i="3"/>
  <c r="I200" i="3"/>
  <c r="M200" i="3"/>
  <c r="Q200" i="3"/>
  <c r="U200" i="3"/>
  <c r="G365" i="3"/>
  <c r="K365" i="3"/>
  <c r="O365" i="3"/>
  <c r="W365" i="3"/>
  <c r="D365" i="3"/>
  <c r="H365" i="3"/>
  <c r="L365" i="3"/>
  <c r="P365" i="3"/>
  <c r="T365" i="3"/>
  <c r="E365" i="3"/>
  <c r="I365" i="3"/>
  <c r="M365" i="3"/>
  <c r="Q365" i="3"/>
  <c r="U365" i="3"/>
  <c r="F365" i="3"/>
  <c r="J365" i="3"/>
  <c r="N365" i="3"/>
  <c r="R365" i="3"/>
  <c r="V365" i="3"/>
  <c r="G357" i="3"/>
  <c r="K357" i="3"/>
  <c r="O357" i="3"/>
  <c r="W357" i="3"/>
  <c r="D357" i="3"/>
  <c r="H357" i="3"/>
  <c r="L357" i="3"/>
  <c r="P357" i="3"/>
  <c r="T357" i="3"/>
  <c r="E357" i="3"/>
  <c r="I357" i="3"/>
  <c r="M357" i="3"/>
  <c r="Q357" i="3"/>
  <c r="U357" i="3"/>
  <c r="F357" i="3"/>
  <c r="J357" i="3"/>
  <c r="N357" i="3"/>
  <c r="R357" i="3"/>
  <c r="V357" i="3"/>
  <c r="G349" i="3"/>
  <c r="K349" i="3"/>
  <c r="O349" i="3"/>
  <c r="W349" i="3"/>
  <c r="D349" i="3"/>
  <c r="H349" i="3"/>
  <c r="L349" i="3"/>
  <c r="P349" i="3"/>
  <c r="T349" i="3"/>
  <c r="E349" i="3"/>
  <c r="I349" i="3"/>
  <c r="M349" i="3"/>
  <c r="Q349" i="3"/>
  <c r="U349" i="3"/>
  <c r="F349" i="3"/>
  <c r="J349" i="3"/>
  <c r="N349" i="3"/>
  <c r="R349" i="3"/>
  <c r="V349" i="3"/>
  <c r="G338" i="3"/>
  <c r="K338" i="3"/>
  <c r="O338" i="3"/>
  <c r="W338" i="3"/>
  <c r="D338" i="3"/>
  <c r="H338" i="3"/>
  <c r="L338" i="3"/>
  <c r="P338" i="3"/>
  <c r="T338" i="3"/>
  <c r="E338" i="3"/>
  <c r="I338" i="3"/>
  <c r="M338" i="3"/>
  <c r="Q338" i="3"/>
  <c r="U338" i="3"/>
  <c r="F338" i="3"/>
  <c r="J338" i="3"/>
  <c r="N338" i="3"/>
  <c r="R338" i="3"/>
  <c r="V338" i="3"/>
  <c r="G306" i="3"/>
  <c r="K306" i="3"/>
  <c r="O306" i="3"/>
  <c r="W306" i="3"/>
  <c r="D306" i="3"/>
  <c r="H306" i="3"/>
  <c r="L306" i="3"/>
  <c r="P306" i="3"/>
  <c r="T306" i="3"/>
  <c r="E306" i="3"/>
  <c r="I306" i="3"/>
  <c r="M306" i="3"/>
  <c r="Q306" i="3"/>
  <c r="U306" i="3"/>
  <c r="F306" i="3"/>
  <c r="J306" i="3"/>
  <c r="N306" i="3"/>
  <c r="R306" i="3"/>
  <c r="V306" i="3"/>
  <c r="E274" i="3"/>
  <c r="I274" i="3"/>
  <c r="M274" i="3"/>
  <c r="Q274" i="3"/>
  <c r="U274" i="3"/>
  <c r="F274" i="3"/>
  <c r="J274" i="3"/>
  <c r="N274" i="3"/>
  <c r="R274" i="3"/>
  <c r="V274" i="3"/>
  <c r="G274" i="3"/>
  <c r="K274" i="3"/>
  <c r="O274" i="3"/>
  <c r="W274" i="3"/>
  <c r="D274" i="3"/>
  <c r="H274" i="3"/>
  <c r="L274" i="3"/>
  <c r="P274" i="3"/>
  <c r="T274" i="3"/>
  <c r="E242" i="3"/>
  <c r="I242" i="3"/>
  <c r="M242" i="3"/>
  <c r="Q242" i="3"/>
  <c r="U242" i="3"/>
  <c r="F242" i="3"/>
  <c r="J242" i="3"/>
  <c r="N242" i="3"/>
  <c r="R242" i="3"/>
  <c r="V242" i="3"/>
  <c r="G242" i="3"/>
  <c r="K242" i="3"/>
  <c r="O242" i="3"/>
  <c r="W242" i="3"/>
  <c r="D242" i="3"/>
  <c r="H242" i="3"/>
  <c r="L242" i="3"/>
  <c r="P242" i="3"/>
  <c r="T242" i="3"/>
  <c r="F210" i="3"/>
  <c r="J210" i="3"/>
  <c r="N210" i="3"/>
  <c r="R210" i="3"/>
  <c r="V210" i="3"/>
  <c r="G210" i="3"/>
  <c r="K210" i="3"/>
  <c r="O210" i="3"/>
  <c r="W210" i="3"/>
  <c r="D210" i="3"/>
  <c r="H210" i="3"/>
  <c r="L210" i="3"/>
  <c r="P210" i="3"/>
  <c r="T210" i="3"/>
  <c r="E210" i="3"/>
  <c r="I210" i="3"/>
  <c r="M210" i="3"/>
  <c r="Q210" i="3"/>
  <c r="U210" i="3"/>
  <c r="F178" i="3"/>
  <c r="J178" i="3"/>
  <c r="N178" i="3"/>
  <c r="R178" i="3"/>
  <c r="V178" i="3"/>
  <c r="G178" i="3"/>
  <c r="K178" i="3"/>
  <c r="O178" i="3"/>
  <c r="W178" i="3"/>
  <c r="D178" i="3"/>
  <c r="H178" i="3"/>
  <c r="L178" i="3"/>
  <c r="P178" i="3"/>
  <c r="T178" i="3"/>
  <c r="E178" i="3"/>
  <c r="I178" i="3"/>
  <c r="M178" i="3"/>
  <c r="Q178" i="3"/>
  <c r="U178" i="3"/>
  <c r="G316" i="3"/>
  <c r="K316" i="3"/>
  <c r="O316" i="3"/>
  <c r="W316" i="3"/>
  <c r="D316" i="3"/>
  <c r="H316" i="3"/>
  <c r="L316" i="3"/>
  <c r="P316" i="3"/>
  <c r="T316" i="3"/>
  <c r="E316" i="3"/>
  <c r="I316" i="3"/>
  <c r="M316" i="3"/>
  <c r="Q316" i="3"/>
  <c r="U316" i="3"/>
  <c r="F316" i="3"/>
  <c r="J316" i="3"/>
  <c r="N316" i="3"/>
  <c r="R316" i="3"/>
  <c r="V316" i="3"/>
  <c r="E284" i="3"/>
  <c r="I284" i="3"/>
  <c r="M284" i="3"/>
  <c r="Q284" i="3"/>
  <c r="U284" i="3"/>
  <c r="F284" i="3"/>
  <c r="J284" i="3"/>
  <c r="N284" i="3"/>
  <c r="R284" i="3"/>
  <c r="V284" i="3"/>
  <c r="G284" i="3"/>
  <c r="K284" i="3"/>
  <c r="O284" i="3"/>
  <c r="W284" i="3"/>
  <c r="D284" i="3"/>
  <c r="H284" i="3"/>
  <c r="L284" i="3"/>
  <c r="P284" i="3"/>
  <c r="T284" i="3"/>
  <c r="E252" i="3"/>
  <c r="I252" i="3"/>
  <c r="M252" i="3"/>
  <c r="Q252" i="3"/>
  <c r="U252" i="3"/>
  <c r="F252" i="3"/>
  <c r="J252" i="3"/>
  <c r="N252" i="3"/>
  <c r="R252" i="3"/>
  <c r="V252" i="3"/>
  <c r="G252" i="3"/>
  <c r="K252" i="3"/>
  <c r="O252" i="3"/>
  <c r="W252" i="3"/>
  <c r="D252" i="3"/>
  <c r="H252" i="3"/>
  <c r="L252" i="3"/>
  <c r="P252" i="3"/>
  <c r="T252" i="3"/>
  <c r="F220" i="3"/>
  <c r="J220" i="3"/>
  <c r="N220" i="3"/>
  <c r="R220" i="3"/>
  <c r="V220" i="3"/>
  <c r="G220" i="3"/>
  <c r="K220" i="3"/>
  <c r="O220" i="3"/>
  <c r="W220" i="3"/>
  <c r="D220" i="3"/>
  <c r="H220" i="3"/>
  <c r="L220" i="3"/>
  <c r="P220" i="3"/>
  <c r="T220" i="3"/>
  <c r="E220" i="3"/>
  <c r="I220" i="3"/>
  <c r="M220" i="3"/>
  <c r="Q220" i="3"/>
  <c r="U220" i="3"/>
  <c r="F188" i="3"/>
  <c r="J188" i="3"/>
  <c r="N188" i="3"/>
  <c r="R188" i="3"/>
  <c r="V188" i="3"/>
  <c r="G188" i="3"/>
  <c r="K188" i="3"/>
  <c r="O188" i="3"/>
  <c r="W188" i="3"/>
  <c r="D188" i="3"/>
  <c r="H188" i="3"/>
  <c r="L188" i="3"/>
  <c r="P188" i="3"/>
  <c r="T188" i="3"/>
  <c r="E188" i="3"/>
  <c r="I188" i="3"/>
  <c r="M188" i="3"/>
  <c r="Q188" i="3"/>
  <c r="U188" i="3"/>
  <c r="G337" i="3"/>
  <c r="K337" i="3"/>
  <c r="O337" i="3"/>
  <c r="W337" i="3"/>
  <c r="D337" i="3"/>
  <c r="H337" i="3"/>
  <c r="L337" i="3"/>
  <c r="P337" i="3"/>
  <c r="T337" i="3"/>
  <c r="E337" i="3"/>
  <c r="I337" i="3"/>
  <c r="M337" i="3"/>
  <c r="Q337" i="3"/>
  <c r="U337" i="3"/>
  <c r="F337" i="3"/>
  <c r="J337" i="3"/>
  <c r="N337" i="3"/>
  <c r="R337" i="3"/>
  <c r="V337" i="3"/>
  <c r="G329" i="3"/>
  <c r="K329" i="3"/>
  <c r="O329" i="3"/>
  <c r="W329" i="3"/>
  <c r="D329" i="3"/>
  <c r="H329" i="3"/>
  <c r="L329" i="3"/>
  <c r="P329" i="3"/>
  <c r="T329" i="3"/>
  <c r="E329" i="3"/>
  <c r="I329" i="3"/>
  <c r="M329" i="3"/>
  <c r="Q329" i="3"/>
  <c r="U329" i="3"/>
  <c r="F329" i="3"/>
  <c r="J329" i="3"/>
  <c r="N329" i="3"/>
  <c r="R329" i="3"/>
  <c r="V329" i="3"/>
  <c r="G321" i="3"/>
  <c r="K321" i="3"/>
  <c r="O321" i="3"/>
  <c r="W321" i="3"/>
  <c r="D321" i="3"/>
  <c r="H321" i="3"/>
  <c r="L321" i="3"/>
  <c r="P321" i="3"/>
  <c r="T321" i="3"/>
  <c r="E321" i="3"/>
  <c r="I321" i="3"/>
  <c r="M321" i="3"/>
  <c r="Q321" i="3"/>
  <c r="U321" i="3"/>
  <c r="F321" i="3"/>
  <c r="J321" i="3"/>
  <c r="N321" i="3"/>
  <c r="R321" i="3"/>
  <c r="V321" i="3"/>
  <c r="G313" i="3"/>
  <c r="K313" i="3"/>
  <c r="O313" i="3"/>
  <c r="W313" i="3"/>
  <c r="D313" i="3"/>
  <c r="H313" i="3"/>
  <c r="L313" i="3"/>
  <c r="P313" i="3"/>
  <c r="T313" i="3"/>
  <c r="E313" i="3"/>
  <c r="I313" i="3"/>
  <c r="M313" i="3"/>
  <c r="Q313" i="3"/>
  <c r="U313" i="3"/>
  <c r="F313" i="3"/>
  <c r="J313" i="3"/>
  <c r="N313" i="3"/>
  <c r="R313" i="3"/>
  <c r="V313" i="3"/>
  <c r="D305" i="3"/>
  <c r="G305" i="3"/>
  <c r="K305" i="3"/>
  <c r="O305" i="3"/>
  <c r="W305" i="3"/>
  <c r="H305" i="3"/>
  <c r="L305" i="3"/>
  <c r="P305" i="3"/>
  <c r="T305" i="3"/>
  <c r="E305" i="3"/>
  <c r="I305" i="3"/>
  <c r="M305" i="3"/>
  <c r="Q305" i="3"/>
  <c r="U305" i="3"/>
  <c r="F305" i="3"/>
  <c r="J305" i="3"/>
  <c r="N305" i="3"/>
  <c r="R305" i="3"/>
  <c r="V305" i="3"/>
  <c r="G297" i="3"/>
  <c r="K297" i="3"/>
  <c r="O297" i="3"/>
  <c r="W297" i="3"/>
  <c r="D297" i="3"/>
  <c r="H297" i="3"/>
  <c r="L297" i="3"/>
  <c r="P297" i="3"/>
  <c r="T297" i="3"/>
  <c r="I297" i="3"/>
  <c r="Q297" i="3"/>
  <c r="J297" i="3"/>
  <c r="R297" i="3"/>
  <c r="E297" i="3"/>
  <c r="M297" i="3"/>
  <c r="U297" i="3"/>
  <c r="F297" i="3"/>
  <c r="N297" i="3"/>
  <c r="V297" i="3"/>
  <c r="E289" i="3"/>
  <c r="I289" i="3"/>
  <c r="M289" i="3"/>
  <c r="Q289" i="3"/>
  <c r="U289" i="3"/>
  <c r="F289" i="3"/>
  <c r="J289" i="3"/>
  <c r="N289" i="3"/>
  <c r="R289" i="3"/>
  <c r="V289" i="3"/>
  <c r="G289" i="3"/>
  <c r="K289" i="3"/>
  <c r="O289" i="3"/>
  <c r="W289" i="3"/>
  <c r="D289" i="3"/>
  <c r="H289" i="3"/>
  <c r="L289" i="3"/>
  <c r="P289" i="3"/>
  <c r="T289" i="3"/>
  <c r="E281" i="3"/>
  <c r="I281" i="3"/>
  <c r="M281" i="3"/>
  <c r="Q281" i="3"/>
  <c r="U281" i="3"/>
  <c r="F281" i="3"/>
  <c r="J281" i="3"/>
  <c r="N281" i="3"/>
  <c r="R281" i="3"/>
  <c r="V281" i="3"/>
  <c r="G281" i="3"/>
  <c r="K281" i="3"/>
  <c r="O281" i="3"/>
  <c r="W281" i="3"/>
  <c r="D281" i="3"/>
  <c r="H281" i="3"/>
  <c r="L281" i="3"/>
  <c r="P281" i="3"/>
  <c r="T281" i="3"/>
  <c r="E273" i="3"/>
  <c r="I273" i="3"/>
  <c r="M273" i="3"/>
  <c r="Q273" i="3"/>
  <c r="U273" i="3"/>
  <c r="F273" i="3"/>
  <c r="J273" i="3"/>
  <c r="N273" i="3"/>
  <c r="R273" i="3"/>
  <c r="V273" i="3"/>
  <c r="G273" i="3"/>
  <c r="K273" i="3"/>
  <c r="O273" i="3"/>
  <c r="W273" i="3"/>
  <c r="D273" i="3"/>
  <c r="H273" i="3"/>
  <c r="L273" i="3"/>
  <c r="P273" i="3"/>
  <c r="T273" i="3"/>
  <c r="E265" i="3"/>
  <c r="I265" i="3"/>
  <c r="M265" i="3"/>
  <c r="Q265" i="3"/>
  <c r="U265" i="3"/>
  <c r="F265" i="3"/>
  <c r="J265" i="3"/>
  <c r="N265" i="3"/>
  <c r="R265" i="3"/>
  <c r="V265" i="3"/>
  <c r="G265" i="3"/>
  <c r="K265" i="3"/>
  <c r="O265" i="3"/>
  <c r="W265" i="3"/>
  <c r="D265" i="3"/>
  <c r="H265" i="3"/>
  <c r="L265" i="3"/>
  <c r="P265" i="3"/>
  <c r="T265" i="3"/>
  <c r="E257" i="3"/>
  <c r="I257" i="3"/>
  <c r="M257" i="3"/>
  <c r="Q257" i="3"/>
  <c r="U257" i="3"/>
  <c r="F257" i="3"/>
  <c r="J257" i="3"/>
  <c r="N257" i="3"/>
  <c r="R257" i="3"/>
  <c r="V257" i="3"/>
  <c r="G257" i="3"/>
  <c r="K257" i="3"/>
  <c r="O257" i="3"/>
  <c r="W257" i="3"/>
  <c r="D257" i="3"/>
  <c r="H257" i="3"/>
  <c r="L257" i="3"/>
  <c r="P257" i="3"/>
  <c r="T257" i="3"/>
  <c r="E249" i="3"/>
  <c r="I249" i="3"/>
  <c r="M249" i="3"/>
  <c r="Q249" i="3"/>
  <c r="U249" i="3"/>
  <c r="F249" i="3"/>
  <c r="J249" i="3"/>
  <c r="N249" i="3"/>
  <c r="R249" i="3"/>
  <c r="V249" i="3"/>
  <c r="G249" i="3"/>
  <c r="K249" i="3"/>
  <c r="O249" i="3"/>
  <c r="W249" i="3"/>
  <c r="D249" i="3"/>
  <c r="H249" i="3"/>
  <c r="L249" i="3"/>
  <c r="P249" i="3"/>
  <c r="T249" i="3"/>
  <c r="E241" i="3"/>
  <c r="I241" i="3"/>
  <c r="M241" i="3"/>
  <c r="Q241" i="3"/>
  <c r="U241" i="3"/>
  <c r="F241" i="3"/>
  <c r="J241" i="3"/>
  <c r="N241" i="3"/>
  <c r="R241" i="3"/>
  <c r="V241" i="3"/>
  <c r="G241" i="3"/>
  <c r="K241" i="3"/>
  <c r="O241" i="3"/>
  <c r="W241" i="3"/>
  <c r="D241" i="3"/>
  <c r="H241" i="3"/>
  <c r="L241" i="3"/>
  <c r="P241" i="3"/>
  <c r="T241" i="3"/>
  <c r="D233" i="3"/>
  <c r="H233" i="3"/>
  <c r="L233" i="3"/>
  <c r="P233" i="3"/>
  <c r="T233" i="3"/>
  <c r="E233" i="3"/>
  <c r="I233" i="3"/>
  <c r="M233" i="3"/>
  <c r="Q233" i="3"/>
  <c r="U233" i="3"/>
  <c r="K233" i="3"/>
  <c r="F233" i="3"/>
  <c r="N233" i="3"/>
  <c r="V233" i="3"/>
  <c r="G233" i="3"/>
  <c r="O233" i="3"/>
  <c r="W233" i="3"/>
  <c r="J233" i="3"/>
  <c r="R233" i="3"/>
  <c r="D225" i="3"/>
  <c r="H225" i="3"/>
  <c r="L225" i="3"/>
  <c r="P225" i="3"/>
  <c r="T225" i="3"/>
  <c r="E225" i="3"/>
  <c r="I225" i="3"/>
  <c r="M225" i="3"/>
  <c r="Q225" i="3"/>
  <c r="U225" i="3"/>
  <c r="K225" i="3"/>
  <c r="F225" i="3"/>
  <c r="N225" i="3"/>
  <c r="V225" i="3"/>
  <c r="G225" i="3"/>
  <c r="O225" i="3"/>
  <c r="W225" i="3"/>
  <c r="J225" i="3"/>
  <c r="R225" i="3"/>
  <c r="F217" i="3"/>
  <c r="J217" i="3"/>
  <c r="N217" i="3"/>
  <c r="R217" i="3"/>
  <c r="V217" i="3"/>
  <c r="G217" i="3"/>
  <c r="K217" i="3"/>
  <c r="O217" i="3"/>
  <c r="W217" i="3"/>
  <c r="D217" i="3"/>
  <c r="H217" i="3"/>
  <c r="L217" i="3"/>
  <c r="P217" i="3"/>
  <c r="T217" i="3"/>
  <c r="E217" i="3"/>
  <c r="I217" i="3"/>
  <c r="M217" i="3"/>
  <c r="Q217" i="3"/>
  <c r="U217" i="3"/>
  <c r="F209" i="3"/>
  <c r="J209" i="3"/>
  <c r="N209" i="3"/>
  <c r="R209" i="3"/>
  <c r="V209" i="3"/>
  <c r="G209" i="3"/>
  <c r="K209" i="3"/>
  <c r="O209" i="3"/>
  <c r="W209" i="3"/>
  <c r="D209" i="3"/>
  <c r="H209" i="3"/>
  <c r="L209" i="3"/>
  <c r="P209" i="3"/>
  <c r="T209" i="3"/>
  <c r="E209" i="3"/>
  <c r="I209" i="3"/>
  <c r="M209" i="3"/>
  <c r="Q209" i="3"/>
  <c r="U209" i="3"/>
  <c r="F201" i="3"/>
  <c r="J201" i="3"/>
  <c r="N201" i="3"/>
  <c r="R201" i="3"/>
  <c r="V201" i="3"/>
  <c r="G201" i="3"/>
  <c r="K201" i="3"/>
  <c r="O201" i="3"/>
  <c r="W201" i="3"/>
  <c r="D201" i="3"/>
  <c r="H201" i="3"/>
  <c r="L201" i="3"/>
  <c r="P201" i="3"/>
  <c r="T201" i="3"/>
  <c r="E201" i="3"/>
  <c r="I201" i="3"/>
  <c r="M201" i="3"/>
  <c r="Q201" i="3"/>
  <c r="U201" i="3"/>
  <c r="F193" i="3"/>
  <c r="J193" i="3"/>
  <c r="N193" i="3"/>
  <c r="R193" i="3"/>
  <c r="V193" i="3"/>
  <c r="G193" i="3"/>
  <c r="K193" i="3"/>
  <c r="O193" i="3"/>
  <c r="W193" i="3"/>
  <c r="D193" i="3"/>
  <c r="H193" i="3"/>
  <c r="L193" i="3"/>
  <c r="P193" i="3"/>
  <c r="T193" i="3"/>
  <c r="E193" i="3"/>
  <c r="I193" i="3"/>
  <c r="M193" i="3"/>
  <c r="Q193" i="3"/>
  <c r="U193" i="3"/>
  <c r="F185" i="3"/>
  <c r="J185" i="3"/>
  <c r="N185" i="3"/>
  <c r="R185" i="3"/>
  <c r="V185" i="3"/>
  <c r="G185" i="3"/>
  <c r="K185" i="3"/>
  <c r="O185" i="3"/>
  <c r="W185" i="3"/>
  <c r="D185" i="3"/>
  <c r="H185" i="3"/>
  <c r="L185" i="3"/>
  <c r="P185" i="3"/>
  <c r="T185" i="3"/>
  <c r="E185" i="3"/>
  <c r="I185" i="3"/>
  <c r="M185" i="3"/>
  <c r="Q185" i="3"/>
  <c r="U185" i="3"/>
  <c r="F177" i="3"/>
  <c r="J177" i="3"/>
  <c r="N177" i="3"/>
  <c r="R177" i="3"/>
  <c r="V177" i="3"/>
  <c r="G177" i="3"/>
  <c r="K177" i="3"/>
  <c r="O177" i="3"/>
  <c r="W177" i="3"/>
  <c r="D177" i="3"/>
  <c r="H177" i="3"/>
  <c r="L177" i="3"/>
  <c r="P177" i="3"/>
  <c r="T177" i="3"/>
  <c r="E177" i="3"/>
  <c r="I177" i="3"/>
  <c r="M177" i="3"/>
  <c r="Q177" i="3"/>
  <c r="U177" i="3"/>
  <c r="G170" i="3"/>
  <c r="K170" i="3"/>
  <c r="O170" i="3"/>
  <c r="W170" i="3"/>
  <c r="D170" i="3"/>
  <c r="H170" i="3"/>
  <c r="L170" i="3"/>
  <c r="P170" i="3"/>
  <c r="T170" i="3"/>
  <c r="I170" i="3"/>
  <c r="Q170" i="3"/>
  <c r="J170" i="3"/>
  <c r="R170" i="3"/>
  <c r="E170" i="3"/>
  <c r="M170" i="3"/>
  <c r="U170" i="3"/>
  <c r="F170" i="3"/>
  <c r="N170" i="3"/>
  <c r="V170" i="3"/>
  <c r="G162" i="3"/>
  <c r="K162" i="3"/>
  <c r="O162" i="3"/>
  <c r="W162" i="3"/>
  <c r="D162" i="3"/>
  <c r="H162" i="3"/>
  <c r="L162" i="3"/>
  <c r="P162" i="3"/>
  <c r="T162" i="3"/>
  <c r="I162" i="3"/>
  <c r="Q162" i="3"/>
  <c r="J162" i="3"/>
  <c r="R162" i="3"/>
  <c r="E162" i="3"/>
  <c r="M162" i="3"/>
  <c r="U162" i="3"/>
  <c r="F162" i="3"/>
  <c r="N162" i="3"/>
  <c r="V162" i="3"/>
  <c r="E154" i="3"/>
  <c r="I154" i="3"/>
  <c r="M154" i="3"/>
  <c r="Q154" i="3"/>
  <c r="U154" i="3"/>
  <c r="F154" i="3"/>
  <c r="J154" i="3"/>
  <c r="N154" i="3"/>
  <c r="R154" i="3"/>
  <c r="V154" i="3"/>
  <c r="G154" i="3"/>
  <c r="K154" i="3"/>
  <c r="O154" i="3"/>
  <c r="W154" i="3"/>
  <c r="D154" i="3"/>
  <c r="H154" i="3"/>
  <c r="L154" i="3"/>
  <c r="P154" i="3"/>
  <c r="T154" i="3"/>
  <c r="E146" i="3"/>
  <c r="I146" i="3"/>
  <c r="M146" i="3"/>
  <c r="Q146" i="3"/>
  <c r="U146" i="3"/>
  <c r="F146" i="3"/>
  <c r="J146" i="3"/>
  <c r="N146" i="3"/>
  <c r="R146" i="3"/>
  <c r="V146" i="3"/>
  <c r="G146" i="3"/>
  <c r="K146" i="3"/>
  <c r="O146" i="3"/>
  <c r="W146" i="3"/>
  <c r="D146" i="3"/>
  <c r="H146" i="3"/>
  <c r="L146" i="3"/>
  <c r="P146" i="3"/>
  <c r="T146" i="3"/>
  <c r="E138" i="3"/>
  <c r="I138" i="3"/>
  <c r="M138" i="3"/>
  <c r="Q138" i="3"/>
  <c r="U138" i="3"/>
  <c r="F138" i="3"/>
  <c r="J138" i="3"/>
  <c r="N138" i="3"/>
  <c r="R138" i="3"/>
  <c r="V138" i="3"/>
  <c r="G138" i="3"/>
  <c r="K138" i="3"/>
  <c r="O138" i="3"/>
  <c r="W138" i="3"/>
  <c r="D138" i="3"/>
  <c r="H138" i="3"/>
  <c r="L138" i="3"/>
  <c r="P138" i="3"/>
  <c r="T138" i="3"/>
  <c r="F130" i="3"/>
  <c r="J130" i="3"/>
  <c r="N130" i="3"/>
  <c r="R130" i="3"/>
  <c r="G130" i="3"/>
  <c r="K130" i="3"/>
  <c r="O130" i="3"/>
  <c r="W130" i="3"/>
  <c r="D130" i="3"/>
  <c r="L130" i="3"/>
  <c r="T130" i="3"/>
  <c r="E130" i="3"/>
  <c r="M130" i="3"/>
  <c r="U130" i="3"/>
  <c r="H130" i="3"/>
  <c r="P130" i="3"/>
  <c r="V130" i="3"/>
  <c r="I130" i="3"/>
  <c r="Q130" i="3"/>
  <c r="F122" i="3"/>
  <c r="J122" i="3"/>
  <c r="N122" i="3"/>
  <c r="R122" i="3"/>
  <c r="V122" i="3"/>
  <c r="G122" i="3"/>
  <c r="K122" i="3"/>
  <c r="O122" i="3"/>
  <c r="W122" i="3"/>
  <c r="D122" i="3"/>
  <c r="L122" i="3"/>
  <c r="T122" i="3"/>
  <c r="E122" i="3"/>
  <c r="M122" i="3"/>
  <c r="U122" i="3"/>
  <c r="H122" i="3"/>
  <c r="P122" i="3"/>
  <c r="I122" i="3"/>
  <c r="Q122" i="3"/>
  <c r="D114" i="3"/>
  <c r="H114" i="3"/>
  <c r="L114" i="3"/>
  <c r="P114" i="3"/>
  <c r="T114" i="3"/>
  <c r="E114" i="3"/>
  <c r="I114" i="3"/>
  <c r="M114" i="3"/>
  <c r="Q114" i="3"/>
  <c r="U114" i="3"/>
  <c r="F114" i="3"/>
  <c r="J114" i="3"/>
  <c r="N114" i="3"/>
  <c r="R114" i="3"/>
  <c r="V114" i="3"/>
  <c r="G114" i="3"/>
  <c r="K114" i="3"/>
  <c r="O114" i="3"/>
  <c r="W114" i="3"/>
  <c r="D106" i="3"/>
  <c r="H106" i="3"/>
  <c r="L106" i="3"/>
  <c r="P106" i="3"/>
  <c r="T106" i="3"/>
  <c r="E106" i="3"/>
  <c r="I106" i="3"/>
  <c r="M106" i="3"/>
  <c r="Q106" i="3"/>
  <c r="U106" i="3"/>
  <c r="F106" i="3"/>
  <c r="J106" i="3"/>
  <c r="N106" i="3"/>
  <c r="R106" i="3"/>
  <c r="V106" i="3"/>
  <c r="G106" i="3"/>
  <c r="K106" i="3"/>
  <c r="O106" i="3"/>
  <c r="W106" i="3"/>
  <c r="E98" i="3"/>
  <c r="I98" i="3"/>
  <c r="M98" i="3"/>
  <c r="Q98" i="3"/>
  <c r="U98" i="3"/>
  <c r="F98" i="3"/>
  <c r="J98" i="3"/>
  <c r="N98" i="3"/>
  <c r="R98" i="3"/>
  <c r="V98" i="3"/>
  <c r="D98" i="3"/>
  <c r="L98" i="3"/>
  <c r="T98" i="3"/>
  <c r="G98" i="3"/>
  <c r="O98" i="3"/>
  <c r="W98" i="3"/>
  <c r="H98" i="3"/>
  <c r="P98" i="3"/>
  <c r="K98" i="3"/>
  <c r="G90" i="3"/>
  <c r="K90" i="3"/>
  <c r="O90" i="3"/>
  <c r="D90" i="3"/>
  <c r="H90" i="3"/>
  <c r="L90" i="3"/>
  <c r="P90" i="3"/>
  <c r="E90" i="3"/>
  <c r="I90" i="3"/>
  <c r="M90" i="3"/>
  <c r="Q90" i="3"/>
  <c r="U90" i="3"/>
  <c r="F90" i="3"/>
  <c r="J90" i="3"/>
  <c r="N90" i="3"/>
  <c r="R90" i="3"/>
  <c r="V90" i="3"/>
  <c r="T90" i="3"/>
  <c r="W90" i="3"/>
  <c r="G82" i="3"/>
  <c r="K82" i="3"/>
  <c r="O82" i="3"/>
  <c r="W82" i="3"/>
  <c r="D82" i="3"/>
  <c r="H82" i="3"/>
  <c r="L82" i="3"/>
  <c r="P82" i="3"/>
  <c r="T82" i="3"/>
  <c r="E82" i="3"/>
  <c r="I82" i="3"/>
  <c r="M82" i="3"/>
  <c r="Q82" i="3"/>
  <c r="U82" i="3"/>
  <c r="F82" i="3"/>
  <c r="J82" i="3"/>
  <c r="N82" i="3"/>
  <c r="R82" i="3"/>
  <c r="V82" i="3"/>
  <c r="F74" i="3"/>
  <c r="J74" i="3"/>
  <c r="N74" i="3"/>
  <c r="R74" i="3"/>
  <c r="V74" i="3"/>
  <c r="G74" i="3"/>
  <c r="K74" i="3"/>
  <c r="O74" i="3"/>
  <c r="W74" i="3"/>
  <c r="E74" i="3"/>
  <c r="M74" i="3"/>
  <c r="U74" i="3"/>
  <c r="H74" i="3"/>
  <c r="P74" i="3"/>
  <c r="I74" i="3"/>
  <c r="Q74" i="3"/>
  <c r="D74" i="3"/>
  <c r="L74" i="3"/>
  <c r="T74" i="3"/>
  <c r="F66" i="3"/>
  <c r="J66" i="3"/>
  <c r="N66" i="3"/>
  <c r="R66" i="3"/>
  <c r="V66" i="3"/>
  <c r="G66" i="3"/>
  <c r="K66" i="3"/>
  <c r="O66" i="3"/>
  <c r="W66" i="3"/>
  <c r="E66" i="3"/>
  <c r="M66" i="3"/>
  <c r="U66" i="3"/>
  <c r="H66" i="3"/>
  <c r="P66" i="3"/>
  <c r="I66" i="3"/>
  <c r="Q66" i="3"/>
  <c r="D66" i="3"/>
  <c r="L66" i="3"/>
  <c r="T66" i="3"/>
  <c r="D58" i="3"/>
  <c r="H58" i="3"/>
  <c r="L58" i="3"/>
  <c r="P58" i="3"/>
  <c r="T58" i="3"/>
  <c r="E58" i="3"/>
  <c r="I58" i="3"/>
  <c r="M58" i="3"/>
  <c r="Q58" i="3"/>
  <c r="U58" i="3"/>
  <c r="F58" i="3"/>
  <c r="J58" i="3"/>
  <c r="N58" i="3"/>
  <c r="R58" i="3"/>
  <c r="V58" i="3"/>
  <c r="G58" i="3"/>
  <c r="K58" i="3"/>
  <c r="O58" i="3"/>
  <c r="W58" i="3"/>
  <c r="D50" i="3"/>
  <c r="H50" i="3"/>
  <c r="L50" i="3"/>
  <c r="P50" i="3"/>
  <c r="T50" i="3"/>
  <c r="E50" i="3"/>
  <c r="I50" i="3"/>
  <c r="M50" i="3"/>
  <c r="Q50" i="3"/>
  <c r="U50" i="3"/>
  <c r="F50" i="3"/>
  <c r="N50" i="3"/>
  <c r="V50" i="3"/>
  <c r="G50" i="3"/>
  <c r="O50" i="3"/>
  <c r="W50" i="3"/>
  <c r="J50" i="3"/>
  <c r="R50" i="3"/>
  <c r="K50" i="3"/>
  <c r="D42" i="3"/>
  <c r="H42" i="3"/>
  <c r="L42" i="3"/>
  <c r="P42" i="3"/>
  <c r="T42" i="3"/>
  <c r="E42" i="3"/>
  <c r="I42" i="3"/>
  <c r="M42" i="3"/>
  <c r="Q42" i="3"/>
  <c r="U42" i="3"/>
  <c r="F42" i="3"/>
  <c r="N42" i="3"/>
  <c r="V42" i="3"/>
  <c r="G42" i="3"/>
  <c r="O42" i="3"/>
  <c r="W42" i="3"/>
  <c r="J42" i="3"/>
  <c r="R42" i="3"/>
  <c r="K42" i="3"/>
  <c r="F34" i="3"/>
  <c r="J34" i="3"/>
  <c r="N34" i="3"/>
  <c r="R34" i="3"/>
  <c r="V34" i="3"/>
  <c r="G34" i="3"/>
  <c r="K34" i="3"/>
  <c r="O34" i="3"/>
  <c r="W34" i="3"/>
  <c r="D34" i="3"/>
  <c r="H34" i="3"/>
  <c r="L34" i="3"/>
  <c r="P34" i="3"/>
  <c r="T34" i="3"/>
  <c r="E34" i="3"/>
  <c r="I34" i="3"/>
  <c r="M34" i="3"/>
  <c r="Q34" i="3"/>
  <c r="U34" i="3"/>
  <c r="E26" i="3"/>
  <c r="I26" i="3"/>
  <c r="M26" i="3"/>
  <c r="H26" i="3"/>
  <c r="N26" i="3"/>
  <c r="R26" i="3"/>
  <c r="V26" i="3"/>
  <c r="D26" i="3"/>
  <c r="J26" i="3"/>
  <c r="O26" i="3"/>
  <c r="W26" i="3"/>
  <c r="F26" i="3"/>
  <c r="K26" i="3"/>
  <c r="P26" i="3"/>
  <c r="T26" i="3"/>
  <c r="G26" i="3"/>
  <c r="L26" i="3"/>
  <c r="Q26" i="3"/>
  <c r="U26" i="3"/>
  <c r="G18" i="3"/>
  <c r="K18" i="3"/>
  <c r="O18" i="3"/>
  <c r="W18" i="3"/>
  <c r="H18" i="3"/>
  <c r="M18" i="3"/>
  <c r="R18" i="3"/>
  <c r="D18" i="3"/>
  <c r="I18" i="3"/>
  <c r="N18" i="3"/>
  <c r="T18" i="3"/>
  <c r="L18" i="3"/>
  <c r="V18" i="3"/>
  <c r="E18" i="3"/>
  <c r="P18" i="3"/>
  <c r="F18" i="3"/>
  <c r="Q18" i="3"/>
  <c r="J18" i="3"/>
  <c r="U18" i="3"/>
  <c r="D10" i="3"/>
  <c r="H10" i="3"/>
  <c r="L10" i="3"/>
  <c r="P10" i="3"/>
  <c r="T10" i="3"/>
  <c r="G10" i="3"/>
  <c r="K10" i="3"/>
  <c r="O10" i="3"/>
  <c r="W10" i="3"/>
  <c r="E10" i="3"/>
  <c r="M10" i="3"/>
  <c r="U10" i="3"/>
  <c r="F10" i="3"/>
  <c r="N10" i="3"/>
  <c r="V10" i="3"/>
  <c r="I10" i="3"/>
  <c r="Q10" i="3"/>
  <c r="J10" i="3"/>
  <c r="R10" i="3"/>
  <c r="G171" i="3"/>
  <c r="K171" i="3"/>
  <c r="O171" i="3"/>
  <c r="W171" i="3"/>
  <c r="D171" i="3"/>
  <c r="H171" i="3"/>
  <c r="L171" i="3"/>
  <c r="P171" i="3"/>
  <c r="T171" i="3"/>
  <c r="E171" i="3"/>
  <c r="M171" i="3"/>
  <c r="U171" i="3"/>
  <c r="F171" i="3"/>
  <c r="N171" i="3"/>
  <c r="V171" i="3"/>
  <c r="I171" i="3"/>
  <c r="Q171" i="3"/>
  <c r="J171" i="3"/>
  <c r="R171" i="3"/>
  <c r="G163" i="3"/>
  <c r="K163" i="3"/>
  <c r="O163" i="3"/>
  <c r="W163" i="3"/>
  <c r="D163" i="3"/>
  <c r="H163" i="3"/>
  <c r="L163" i="3"/>
  <c r="P163" i="3"/>
  <c r="T163" i="3"/>
  <c r="E163" i="3"/>
  <c r="M163" i="3"/>
  <c r="U163" i="3"/>
  <c r="F163" i="3"/>
  <c r="N163" i="3"/>
  <c r="V163" i="3"/>
  <c r="I163" i="3"/>
  <c r="Q163" i="3"/>
  <c r="J163" i="3"/>
  <c r="R163" i="3"/>
  <c r="E155" i="3"/>
  <c r="I155" i="3"/>
  <c r="M155" i="3"/>
  <c r="Q155" i="3"/>
  <c r="U155" i="3"/>
  <c r="F155" i="3"/>
  <c r="J155" i="3"/>
  <c r="N155" i="3"/>
  <c r="R155" i="3"/>
  <c r="V155" i="3"/>
  <c r="G155" i="3"/>
  <c r="K155" i="3"/>
  <c r="O155" i="3"/>
  <c r="W155" i="3"/>
  <c r="D155" i="3"/>
  <c r="H155" i="3"/>
  <c r="L155" i="3"/>
  <c r="P155" i="3"/>
  <c r="T155" i="3"/>
  <c r="E147" i="3"/>
  <c r="I147" i="3"/>
  <c r="M147" i="3"/>
  <c r="Q147" i="3"/>
  <c r="U147" i="3"/>
  <c r="F147" i="3"/>
  <c r="J147" i="3"/>
  <c r="N147" i="3"/>
  <c r="R147" i="3"/>
  <c r="V147" i="3"/>
  <c r="G147" i="3"/>
  <c r="K147" i="3"/>
  <c r="O147" i="3"/>
  <c r="W147" i="3"/>
  <c r="D147" i="3"/>
  <c r="H147" i="3"/>
  <c r="L147" i="3"/>
  <c r="P147" i="3"/>
  <c r="T147" i="3"/>
  <c r="E139" i="3"/>
  <c r="I139" i="3"/>
  <c r="M139" i="3"/>
  <c r="Q139" i="3"/>
  <c r="U139" i="3"/>
  <c r="F139" i="3"/>
  <c r="J139" i="3"/>
  <c r="N139" i="3"/>
  <c r="R139" i="3"/>
  <c r="V139" i="3"/>
  <c r="G139" i="3"/>
  <c r="K139" i="3"/>
  <c r="O139" i="3"/>
  <c r="W139" i="3"/>
  <c r="D139" i="3"/>
  <c r="H139" i="3"/>
  <c r="L139" i="3"/>
  <c r="P139" i="3"/>
  <c r="T139" i="3"/>
  <c r="E131" i="3"/>
  <c r="I131" i="3"/>
  <c r="M131" i="3"/>
  <c r="Q131" i="3"/>
  <c r="U131" i="3"/>
  <c r="F131" i="3"/>
  <c r="J131" i="3"/>
  <c r="N131" i="3"/>
  <c r="R131" i="3"/>
  <c r="V131" i="3"/>
  <c r="G131" i="3"/>
  <c r="K131" i="3"/>
  <c r="O131" i="3"/>
  <c r="W131" i="3"/>
  <c r="D131" i="3"/>
  <c r="H131" i="3"/>
  <c r="L131" i="3"/>
  <c r="P131" i="3"/>
  <c r="T131" i="3"/>
  <c r="F123" i="3"/>
  <c r="J123" i="3"/>
  <c r="N123" i="3"/>
  <c r="R123" i="3"/>
  <c r="V123" i="3"/>
  <c r="G123" i="3"/>
  <c r="K123" i="3"/>
  <c r="O123" i="3"/>
  <c r="W123" i="3"/>
  <c r="H123" i="3"/>
  <c r="P123" i="3"/>
  <c r="I123" i="3"/>
  <c r="Q123" i="3"/>
  <c r="D123" i="3"/>
  <c r="L123" i="3"/>
  <c r="T123" i="3"/>
  <c r="E123" i="3"/>
  <c r="M123" i="3"/>
  <c r="U123" i="3"/>
  <c r="D115" i="3"/>
  <c r="H115" i="3"/>
  <c r="L115" i="3"/>
  <c r="P115" i="3"/>
  <c r="T115" i="3"/>
  <c r="E115" i="3"/>
  <c r="I115" i="3"/>
  <c r="M115" i="3"/>
  <c r="Q115" i="3"/>
  <c r="U115" i="3"/>
  <c r="F115" i="3"/>
  <c r="J115" i="3"/>
  <c r="N115" i="3"/>
  <c r="R115" i="3"/>
  <c r="V115" i="3"/>
  <c r="G115" i="3"/>
  <c r="K115" i="3"/>
  <c r="O115" i="3"/>
  <c r="W115" i="3"/>
  <c r="D107" i="3"/>
  <c r="H107" i="3"/>
  <c r="L107" i="3"/>
  <c r="P107" i="3"/>
  <c r="T107" i="3"/>
  <c r="E107" i="3"/>
  <c r="I107" i="3"/>
  <c r="M107" i="3"/>
  <c r="Q107" i="3"/>
  <c r="U107" i="3"/>
  <c r="F107" i="3"/>
  <c r="J107" i="3"/>
  <c r="N107" i="3"/>
  <c r="R107" i="3"/>
  <c r="V107" i="3"/>
  <c r="G107" i="3"/>
  <c r="K107" i="3"/>
  <c r="O107" i="3"/>
  <c r="W107" i="3"/>
  <c r="E99" i="3"/>
  <c r="I99" i="3"/>
  <c r="M99" i="3"/>
  <c r="Q99" i="3"/>
  <c r="U99" i="3"/>
  <c r="F99" i="3"/>
  <c r="J99" i="3"/>
  <c r="N99" i="3"/>
  <c r="R99" i="3"/>
  <c r="V99" i="3"/>
  <c r="H99" i="3"/>
  <c r="P99" i="3"/>
  <c r="K99" i="3"/>
  <c r="D99" i="3"/>
  <c r="L99" i="3"/>
  <c r="T99" i="3"/>
  <c r="G99" i="3"/>
  <c r="O99" i="3"/>
  <c r="W99" i="3"/>
  <c r="E91" i="3"/>
  <c r="I91" i="3"/>
  <c r="M91" i="3"/>
  <c r="Q91" i="3"/>
  <c r="U91" i="3"/>
  <c r="F91" i="3"/>
  <c r="J91" i="3"/>
  <c r="N91" i="3"/>
  <c r="R91" i="3"/>
  <c r="V91" i="3"/>
  <c r="H91" i="3"/>
  <c r="P91" i="3"/>
  <c r="K91" i="3"/>
  <c r="D91" i="3"/>
  <c r="L91" i="3"/>
  <c r="T91" i="3"/>
  <c r="G91" i="3"/>
  <c r="O91" i="3"/>
  <c r="W91" i="3"/>
  <c r="G83" i="3"/>
  <c r="K83" i="3"/>
  <c r="O83" i="3"/>
  <c r="W83" i="3"/>
  <c r="D83" i="3"/>
  <c r="H83" i="3"/>
  <c r="L83" i="3"/>
  <c r="P83" i="3"/>
  <c r="T83" i="3"/>
  <c r="E83" i="3"/>
  <c r="I83" i="3"/>
  <c r="M83" i="3"/>
  <c r="Q83" i="3"/>
  <c r="U83" i="3"/>
  <c r="F83" i="3"/>
  <c r="J83" i="3"/>
  <c r="N83" i="3"/>
  <c r="R83" i="3"/>
  <c r="V83" i="3"/>
  <c r="F75" i="3"/>
  <c r="J75" i="3"/>
  <c r="N75" i="3"/>
  <c r="R75" i="3"/>
  <c r="G75" i="3"/>
  <c r="K75" i="3"/>
  <c r="O75" i="3"/>
  <c r="I75" i="3"/>
  <c r="Q75" i="3"/>
  <c r="W75" i="3"/>
  <c r="D75" i="3"/>
  <c r="L75" i="3"/>
  <c r="T75" i="3"/>
  <c r="E75" i="3"/>
  <c r="M75" i="3"/>
  <c r="U75" i="3"/>
  <c r="H75" i="3"/>
  <c r="P75" i="3"/>
  <c r="V75" i="3"/>
  <c r="F67" i="3"/>
  <c r="J67" i="3"/>
  <c r="N67" i="3"/>
  <c r="R67" i="3"/>
  <c r="V67" i="3"/>
  <c r="G67" i="3"/>
  <c r="K67" i="3"/>
  <c r="O67" i="3"/>
  <c r="W67" i="3"/>
  <c r="I67" i="3"/>
  <c r="Q67" i="3"/>
  <c r="D67" i="3"/>
  <c r="L67" i="3"/>
  <c r="T67" i="3"/>
  <c r="E67" i="3"/>
  <c r="M67" i="3"/>
  <c r="U67" i="3"/>
  <c r="H67" i="3"/>
  <c r="P67" i="3"/>
  <c r="D59" i="3"/>
  <c r="H59" i="3"/>
  <c r="L59" i="3"/>
  <c r="P59" i="3"/>
  <c r="T59" i="3"/>
  <c r="E59" i="3"/>
  <c r="I59" i="3"/>
  <c r="M59" i="3"/>
  <c r="Q59" i="3"/>
  <c r="U59" i="3"/>
  <c r="F59" i="3"/>
  <c r="J59" i="3"/>
  <c r="N59" i="3"/>
  <c r="R59" i="3"/>
  <c r="V59" i="3"/>
  <c r="G59" i="3"/>
  <c r="K59" i="3"/>
  <c r="O59" i="3"/>
  <c r="W59" i="3"/>
  <c r="D51" i="3"/>
  <c r="H51" i="3"/>
  <c r="L51" i="3"/>
  <c r="E51" i="3"/>
  <c r="I51" i="3"/>
  <c r="M51" i="3"/>
  <c r="J51" i="3"/>
  <c r="P51" i="3"/>
  <c r="T51" i="3"/>
  <c r="K51" i="3"/>
  <c r="Q51" i="3"/>
  <c r="U51" i="3"/>
  <c r="F51" i="3"/>
  <c r="N51" i="3"/>
  <c r="R51" i="3"/>
  <c r="V51" i="3"/>
  <c r="G51" i="3"/>
  <c r="O51" i="3"/>
  <c r="W51" i="3"/>
  <c r="D43" i="3"/>
  <c r="H43" i="3"/>
  <c r="L43" i="3"/>
  <c r="P43" i="3"/>
  <c r="T43" i="3"/>
  <c r="E43" i="3"/>
  <c r="I43" i="3"/>
  <c r="M43" i="3"/>
  <c r="Q43" i="3"/>
  <c r="U43" i="3"/>
  <c r="J43" i="3"/>
  <c r="R43" i="3"/>
  <c r="K43" i="3"/>
  <c r="F43" i="3"/>
  <c r="N43" i="3"/>
  <c r="V43" i="3"/>
  <c r="G43" i="3"/>
  <c r="O43" i="3"/>
  <c r="W43" i="3"/>
  <c r="F35" i="3"/>
  <c r="J35" i="3"/>
  <c r="N35" i="3"/>
  <c r="R35" i="3"/>
  <c r="V35" i="3"/>
  <c r="G35" i="3"/>
  <c r="K35" i="3"/>
  <c r="O35" i="3"/>
  <c r="W35" i="3"/>
  <c r="D35" i="3"/>
  <c r="H35" i="3"/>
  <c r="L35" i="3"/>
  <c r="P35" i="3"/>
  <c r="T35" i="3"/>
  <c r="E35" i="3"/>
  <c r="I35" i="3"/>
  <c r="M35" i="3"/>
  <c r="Q35" i="3"/>
  <c r="U35" i="3"/>
  <c r="F27" i="3"/>
  <c r="J27" i="3"/>
  <c r="N27" i="3"/>
  <c r="R27" i="3"/>
  <c r="V27" i="3"/>
  <c r="G27" i="3"/>
  <c r="K27" i="3"/>
  <c r="O27" i="3"/>
  <c r="W27" i="3"/>
  <c r="D27" i="3"/>
  <c r="H27" i="3"/>
  <c r="L27" i="3"/>
  <c r="P27" i="3"/>
  <c r="T27" i="3"/>
  <c r="E27" i="3"/>
  <c r="I27" i="3"/>
  <c r="M27" i="3"/>
  <c r="Q27" i="3"/>
  <c r="U27" i="3"/>
  <c r="G19" i="3"/>
  <c r="K19" i="3"/>
  <c r="O19" i="3"/>
  <c r="W19" i="3"/>
  <c r="D19" i="3"/>
  <c r="I19" i="3"/>
  <c r="N19" i="3"/>
  <c r="T19" i="3"/>
  <c r="E19" i="3"/>
  <c r="J19" i="3"/>
  <c r="P19" i="3"/>
  <c r="U19" i="3"/>
  <c r="M19" i="3"/>
  <c r="F19" i="3"/>
  <c r="Q19" i="3"/>
  <c r="H19" i="3"/>
  <c r="R19" i="3"/>
  <c r="L19" i="3"/>
  <c r="V19" i="3"/>
  <c r="D11" i="3"/>
  <c r="H11" i="3"/>
  <c r="L11" i="3"/>
  <c r="P11" i="3"/>
  <c r="G11" i="3"/>
  <c r="K11" i="3"/>
  <c r="O11" i="3"/>
  <c r="W11" i="3"/>
  <c r="I11" i="3"/>
  <c r="Q11" i="3"/>
  <c r="V11" i="3"/>
  <c r="J11" i="3"/>
  <c r="R11" i="3"/>
  <c r="E11" i="3"/>
  <c r="M11" i="3"/>
  <c r="T11" i="3"/>
  <c r="F11" i="3"/>
  <c r="N11" i="3"/>
  <c r="U11" i="3"/>
  <c r="D3" i="3"/>
  <c r="H3" i="3"/>
  <c r="L3" i="3"/>
  <c r="P3" i="3"/>
  <c r="T3" i="3"/>
  <c r="E3" i="3"/>
  <c r="F3" i="3"/>
  <c r="G3" i="3"/>
  <c r="K3" i="3"/>
  <c r="O3" i="3"/>
  <c r="W3" i="3"/>
  <c r="I3" i="3"/>
  <c r="Q3" i="3"/>
  <c r="J3" i="3"/>
  <c r="R3" i="3"/>
  <c r="M3" i="3"/>
  <c r="U3" i="3"/>
  <c r="N3" i="3"/>
  <c r="V3" i="3"/>
  <c r="G1430" i="3"/>
  <c r="K1430" i="3"/>
  <c r="O1430" i="3"/>
  <c r="W1430" i="3"/>
  <c r="D1430" i="3"/>
  <c r="H1430" i="3"/>
  <c r="L1430" i="3"/>
  <c r="P1430" i="3"/>
  <c r="T1430" i="3"/>
  <c r="E1430" i="3"/>
  <c r="I1430" i="3"/>
  <c r="M1430" i="3"/>
  <c r="Q1430" i="3"/>
  <c r="U1430" i="3"/>
  <c r="F1430" i="3"/>
  <c r="J1430" i="3"/>
  <c r="N1430" i="3"/>
  <c r="R1430" i="3"/>
  <c r="V1430" i="3"/>
  <c r="G1447" i="3"/>
  <c r="K1447" i="3"/>
  <c r="O1447" i="3"/>
  <c r="W1447" i="3"/>
  <c r="D1447" i="3"/>
  <c r="H1447" i="3"/>
  <c r="L1447" i="3"/>
  <c r="P1447" i="3"/>
  <c r="T1447" i="3"/>
  <c r="E1447" i="3"/>
  <c r="I1447" i="3"/>
  <c r="M1447" i="3"/>
  <c r="Q1447" i="3"/>
  <c r="U1447" i="3"/>
  <c r="F1447" i="3"/>
  <c r="J1447" i="3"/>
  <c r="N1447" i="3"/>
  <c r="R1447" i="3"/>
  <c r="V1447" i="3"/>
  <c r="G1415" i="3"/>
  <c r="K1415" i="3"/>
  <c r="O1415" i="3"/>
  <c r="W1415" i="3"/>
  <c r="D1415" i="3"/>
  <c r="H1415" i="3"/>
  <c r="L1415" i="3"/>
  <c r="P1415" i="3"/>
  <c r="T1415" i="3"/>
  <c r="E1415" i="3"/>
  <c r="I1415" i="3"/>
  <c r="M1415" i="3"/>
  <c r="Q1415" i="3"/>
  <c r="U1415" i="3"/>
  <c r="F1415" i="3"/>
  <c r="J1415" i="3"/>
  <c r="N1415" i="3"/>
  <c r="R1415" i="3"/>
  <c r="V1415" i="3"/>
  <c r="G1383" i="3"/>
  <c r="K1383" i="3"/>
  <c r="O1383" i="3"/>
  <c r="W1383" i="3"/>
  <c r="D1383" i="3"/>
  <c r="H1383" i="3"/>
  <c r="L1383" i="3"/>
  <c r="P1383" i="3"/>
  <c r="T1383" i="3"/>
  <c r="E1383" i="3"/>
  <c r="I1383" i="3"/>
  <c r="M1383" i="3"/>
  <c r="Q1383" i="3"/>
  <c r="U1383" i="3"/>
  <c r="F1383" i="3"/>
  <c r="J1383" i="3"/>
  <c r="N1383" i="3"/>
  <c r="R1383" i="3"/>
  <c r="V1383" i="3"/>
  <c r="D1456" i="3"/>
  <c r="H1456" i="3"/>
  <c r="L1456" i="3"/>
  <c r="P1456" i="3"/>
  <c r="T1456" i="3"/>
  <c r="K1456" i="3"/>
  <c r="E1456" i="3"/>
  <c r="I1456" i="3"/>
  <c r="M1456" i="3"/>
  <c r="Q1456" i="3"/>
  <c r="U1456" i="3"/>
  <c r="G1456" i="3"/>
  <c r="F1456" i="3"/>
  <c r="J1456" i="3"/>
  <c r="N1456" i="3"/>
  <c r="R1456" i="3"/>
  <c r="V1456" i="3"/>
  <c r="O1456" i="3"/>
  <c r="W1456" i="3"/>
  <c r="G1440" i="3"/>
  <c r="K1440" i="3"/>
  <c r="O1440" i="3"/>
  <c r="W1440" i="3"/>
  <c r="D1440" i="3"/>
  <c r="H1440" i="3"/>
  <c r="L1440" i="3"/>
  <c r="P1440" i="3"/>
  <c r="T1440" i="3"/>
  <c r="E1440" i="3"/>
  <c r="I1440" i="3"/>
  <c r="M1440" i="3"/>
  <c r="Q1440" i="3"/>
  <c r="U1440" i="3"/>
  <c r="F1440" i="3"/>
  <c r="J1440" i="3"/>
  <c r="N1440" i="3"/>
  <c r="R1440" i="3"/>
  <c r="V1440" i="3"/>
  <c r="G1424" i="3"/>
  <c r="K1424" i="3"/>
  <c r="O1424" i="3"/>
  <c r="W1424" i="3"/>
  <c r="D1424" i="3"/>
  <c r="H1424" i="3"/>
  <c r="L1424" i="3"/>
  <c r="P1424" i="3"/>
  <c r="T1424" i="3"/>
  <c r="E1424" i="3"/>
  <c r="I1424" i="3"/>
  <c r="M1424" i="3"/>
  <c r="Q1424" i="3"/>
  <c r="U1424" i="3"/>
  <c r="F1424" i="3"/>
  <c r="J1424" i="3"/>
  <c r="N1424" i="3"/>
  <c r="R1424" i="3"/>
  <c r="V1424" i="3"/>
  <c r="G1408" i="3"/>
  <c r="K1408" i="3"/>
  <c r="O1408" i="3"/>
  <c r="W1408" i="3"/>
  <c r="D1408" i="3"/>
  <c r="H1408" i="3"/>
  <c r="L1408" i="3"/>
  <c r="P1408" i="3"/>
  <c r="T1408" i="3"/>
  <c r="E1408" i="3"/>
  <c r="I1408" i="3"/>
  <c r="M1408" i="3"/>
  <c r="Q1408" i="3"/>
  <c r="U1408" i="3"/>
  <c r="F1408" i="3"/>
  <c r="J1408" i="3"/>
  <c r="N1408" i="3"/>
  <c r="R1408" i="3"/>
  <c r="V1408" i="3"/>
  <c r="G1392" i="3"/>
  <c r="K1392" i="3"/>
  <c r="O1392" i="3"/>
  <c r="W1392" i="3"/>
  <c r="D1392" i="3"/>
  <c r="H1392" i="3"/>
  <c r="L1392" i="3"/>
  <c r="P1392" i="3"/>
  <c r="T1392" i="3"/>
  <c r="E1392" i="3"/>
  <c r="I1392" i="3"/>
  <c r="M1392" i="3"/>
  <c r="Q1392" i="3"/>
  <c r="U1392" i="3"/>
  <c r="F1392" i="3"/>
  <c r="J1392" i="3"/>
  <c r="N1392" i="3"/>
  <c r="R1392" i="3"/>
  <c r="V1392" i="3"/>
  <c r="G1376" i="3"/>
  <c r="K1376" i="3"/>
  <c r="O1376" i="3"/>
  <c r="W1376" i="3"/>
  <c r="D1376" i="3"/>
  <c r="H1376" i="3"/>
  <c r="L1376" i="3"/>
  <c r="P1376" i="3"/>
  <c r="T1376" i="3"/>
  <c r="E1376" i="3"/>
  <c r="I1376" i="3"/>
  <c r="M1376" i="3"/>
  <c r="Q1376" i="3"/>
  <c r="U1376" i="3"/>
  <c r="F1376" i="3"/>
  <c r="J1376" i="3"/>
  <c r="N1376" i="3"/>
  <c r="R1376" i="3"/>
  <c r="V1376" i="3"/>
  <c r="G1360" i="3"/>
  <c r="K1360" i="3"/>
  <c r="O1360" i="3"/>
  <c r="W1360" i="3"/>
  <c r="D1360" i="3"/>
  <c r="H1360" i="3"/>
  <c r="L1360" i="3"/>
  <c r="P1360" i="3"/>
  <c r="T1360" i="3"/>
  <c r="E1360" i="3"/>
  <c r="I1360" i="3"/>
  <c r="M1360" i="3"/>
  <c r="Q1360" i="3"/>
  <c r="U1360" i="3"/>
  <c r="F1360" i="3"/>
  <c r="J1360" i="3"/>
  <c r="N1360" i="3"/>
  <c r="R1360" i="3"/>
  <c r="V1360" i="3"/>
  <c r="G1344" i="3"/>
  <c r="K1344" i="3"/>
  <c r="O1344" i="3"/>
  <c r="W1344" i="3"/>
  <c r="D1344" i="3"/>
  <c r="H1344" i="3"/>
  <c r="L1344" i="3"/>
  <c r="P1344" i="3"/>
  <c r="T1344" i="3"/>
  <c r="E1344" i="3"/>
  <c r="I1344" i="3"/>
  <c r="M1344" i="3"/>
  <c r="Q1344" i="3"/>
  <c r="U1344" i="3"/>
  <c r="F1344" i="3"/>
  <c r="J1344" i="3"/>
  <c r="N1344" i="3"/>
  <c r="R1344" i="3"/>
  <c r="V1344" i="3"/>
  <c r="G1328" i="3"/>
  <c r="K1328" i="3"/>
  <c r="O1328" i="3"/>
  <c r="W1328" i="3"/>
  <c r="D1328" i="3"/>
  <c r="H1328" i="3"/>
  <c r="L1328" i="3"/>
  <c r="P1328" i="3"/>
  <c r="T1328" i="3"/>
  <c r="E1328" i="3"/>
  <c r="I1328" i="3"/>
  <c r="M1328" i="3"/>
  <c r="Q1328" i="3"/>
  <c r="U1328" i="3"/>
  <c r="F1328" i="3"/>
  <c r="J1328" i="3"/>
  <c r="N1328" i="3"/>
  <c r="R1328" i="3"/>
  <c r="V1328" i="3"/>
  <c r="G1312" i="3"/>
  <c r="K1312" i="3"/>
  <c r="O1312" i="3"/>
  <c r="W1312" i="3"/>
  <c r="D1312" i="3"/>
  <c r="H1312" i="3"/>
  <c r="L1312" i="3"/>
  <c r="P1312" i="3"/>
  <c r="T1312" i="3"/>
  <c r="E1312" i="3"/>
  <c r="I1312" i="3"/>
  <c r="M1312" i="3"/>
  <c r="Q1312" i="3"/>
  <c r="U1312" i="3"/>
  <c r="F1312" i="3"/>
  <c r="J1312" i="3"/>
  <c r="N1312" i="3"/>
  <c r="R1312" i="3"/>
  <c r="V1312" i="3"/>
  <c r="G1296" i="3"/>
  <c r="K1296" i="3"/>
  <c r="O1296" i="3"/>
  <c r="W1296" i="3"/>
  <c r="D1296" i="3"/>
  <c r="H1296" i="3"/>
  <c r="L1296" i="3"/>
  <c r="P1296" i="3"/>
  <c r="T1296" i="3"/>
  <c r="E1296" i="3"/>
  <c r="I1296" i="3"/>
  <c r="M1296" i="3"/>
  <c r="Q1296" i="3"/>
  <c r="U1296" i="3"/>
  <c r="F1296" i="3"/>
  <c r="J1296" i="3"/>
  <c r="N1296" i="3"/>
  <c r="R1296" i="3"/>
  <c r="V1296" i="3"/>
  <c r="G1280" i="3"/>
  <c r="K1280" i="3"/>
  <c r="O1280" i="3"/>
  <c r="W1280" i="3"/>
  <c r="D1280" i="3"/>
  <c r="H1280" i="3"/>
  <c r="L1280" i="3"/>
  <c r="P1280" i="3"/>
  <c r="T1280" i="3"/>
  <c r="E1280" i="3"/>
  <c r="I1280" i="3"/>
  <c r="M1280" i="3"/>
  <c r="Q1280" i="3"/>
  <c r="U1280" i="3"/>
  <c r="F1280" i="3"/>
  <c r="J1280" i="3"/>
  <c r="N1280" i="3"/>
  <c r="R1280" i="3"/>
  <c r="V1280" i="3"/>
  <c r="G1264" i="3"/>
  <c r="K1264" i="3"/>
  <c r="O1264" i="3"/>
  <c r="W1264" i="3"/>
  <c r="D1264" i="3"/>
  <c r="H1264" i="3"/>
  <c r="L1264" i="3"/>
  <c r="P1264" i="3"/>
  <c r="T1264" i="3"/>
  <c r="E1264" i="3"/>
  <c r="I1264" i="3"/>
  <c r="M1264" i="3"/>
  <c r="Q1264" i="3"/>
  <c r="U1264" i="3"/>
  <c r="F1264" i="3"/>
  <c r="J1264" i="3"/>
  <c r="N1264" i="3"/>
  <c r="R1264" i="3"/>
  <c r="V1264" i="3"/>
  <c r="G1248" i="3"/>
  <c r="K1248" i="3"/>
  <c r="O1248" i="3"/>
  <c r="W1248" i="3"/>
  <c r="D1248" i="3"/>
  <c r="H1248" i="3"/>
  <c r="L1248" i="3"/>
  <c r="P1248" i="3"/>
  <c r="T1248" i="3"/>
  <c r="E1248" i="3"/>
  <c r="I1248" i="3"/>
  <c r="M1248" i="3"/>
  <c r="Q1248" i="3"/>
  <c r="U1248" i="3"/>
  <c r="F1248" i="3"/>
  <c r="J1248" i="3"/>
  <c r="N1248" i="3"/>
  <c r="R1248" i="3"/>
  <c r="V1248" i="3"/>
  <c r="G1232" i="3"/>
  <c r="K1232" i="3"/>
  <c r="O1232" i="3"/>
  <c r="W1232" i="3"/>
  <c r="D1232" i="3"/>
  <c r="H1232" i="3"/>
  <c r="L1232" i="3"/>
  <c r="P1232" i="3"/>
  <c r="T1232" i="3"/>
  <c r="E1232" i="3"/>
  <c r="I1232" i="3"/>
  <c r="M1232" i="3"/>
  <c r="Q1232" i="3"/>
  <c r="U1232" i="3"/>
  <c r="F1232" i="3"/>
  <c r="J1232" i="3"/>
  <c r="N1232" i="3"/>
  <c r="R1232" i="3"/>
  <c r="V1232" i="3"/>
  <c r="G1215" i="3"/>
  <c r="K1215" i="3"/>
  <c r="O1215" i="3"/>
  <c r="W1215" i="3"/>
  <c r="D1215" i="3"/>
  <c r="H1215" i="3"/>
  <c r="L1215" i="3"/>
  <c r="P1215" i="3"/>
  <c r="T1215" i="3"/>
  <c r="E1215" i="3"/>
  <c r="I1215" i="3"/>
  <c r="M1215" i="3"/>
  <c r="Q1215" i="3"/>
  <c r="U1215" i="3"/>
  <c r="F1215" i="3"/>
  <c r="J1215" i="3"/>
  <c r="N1215" i="3"/>
  <c r="R1215" i="3"/>
  <c r="V1215" i="3"/>
  <c r="G1193" i="3"/>
  <c r="K1193" i="3"/>
  <c r="O1193" i="3"/>
  <c r="W1193" i="3"/>
  <c r="D1193" i="3"/>
  <c r="H1193" i="3"/>
  <c r="L1193" i="3"/>
  <c r="P1193" i="3"/>
  <c r="T1193" i="3"/>
  <c r="E1193" i="3"/>
  <c r="I1193" i="3"/>
  <c r="M1193" i="3"/>
  <c r="Q1193" i="3"/>
  <c r="U1193" i="3"/>
  <c r="F1193" i="3"/>
  <c r="J1193" i="3"/>
  <c r="N1193" i="3"/>
  <c r="R1193" i="3"/>
  <c r="V1193" i="3"/>
  <c r="D1455" i="3"/>
  <c r="H1455" i="3"/>
  <c r="L1455" i="3"/>
  <c r="P1455" i="3"/>
  <c r="T1455" i="3"/>
  <c r="O1455" i="3"/>
  <c r="E1455" i="3"/>
  <c r="I1455" i="3"/>
  <c r="M1455" i="3"/>
  <c r="Q1455" i="3"/>
  <c r="U1455" i="3"/>
  <c r="G1455" i="3"/>
  <c r="F1455" i="3"/>
  <c r="J1455" i="3"/>
  <c r="N1455" i="3"/>
  <c r="R1455" i="3"/>
  <c r="V1455" i="3"/>
  <c r="K1455" i="3"/>
  <c r="W1455" i="3"/>
  <c r="D1453" i="3"/>
  <c r="H1453" i="3"/>
  <c r="L1453" i="3"/>
  <c r="P1453" i="3"/>
  <c r="T1453" i="3"/>
  <c r="F1453" i="3"/>
  <c r="J1453" i="3"/>
  <c r="N1453" i="3"/>
  <c r="R1453" i="3"/>
  <c r="V1453" i="3"/>
  <c r="G1453" i="3"/>
  <c r="O1453" i="3"/>
  <c r="W1453" i="3"/>
  <c r="I1453" i="3"/>
  <c r="Q1453" i="3"/>
  <c r="U1453" i="3"/>
  <c r="K1453" i="3"/>
  <c r="E1453" i="3"/>
  <c r="M1453" i="3"/>
  <c r="G1437" i="3"/>
  <c r="K1437" i="3"/>
  <c r="O1437" i="3"/>
  <c r="W1437" i="3"/>
  <c r="D1437" i="3"/>
  <c r="H1437" i="3"/>
  <c r="L1437" i="3"/>
  <c r="P1437" i="3"/>
  <c r="T1437" i="3"/>
  <c r="E1437" i="3"/>
  <c r="I1437" i="3"/>
  <c r="M1437" i="3"/>
  <c r="Q1437" i="3"/>
  <c r="U1437" i="3"/>
  <c r="F1437" i="3"/>
  <c r="J1437" i="3"/>
  <c r="N1437" i="3"/>
  <c r="R1437" i="3"/>
  <c r="V1437" i="3"/>
  <c r="G1421" i="3"/>
  <c r="K1421" i="3"/>
  <c r="O1421" i="3"/>
  <c r="W1421" i="3"/>
  <c r="D1421" i="3"/>
  <c r="H1421" i="3"/>
  <c r="L1421" i="3"/>
  <c r="P1421" i="3"/>
  <c r="T1421" i="3"/>
  <c r="E1421" i="3"/>
  <c r="I1421" i="3"/>
  <c r="M1421" i="3"/>
  <c r="Q1421" i="3"/>
  <c r="U1421" i="3"/>
  <c r="F1421" i="3"/>
  <c r="J1421" i="3"/>
  <c r="N1421" i="3"/>
  <c r="R1421" i="3"/>
  <c r="V1421" i="3"/>
  <c r="G1405" i="3"/>
  <c r="K1405" i="3"/>
  <c r="O1405" i="3"/>
  <c r="W1405" i="3"/>
  <c r="D1405" i="3"/>
  <c r="H1405" i="3"/>
  <c r="L1405" i="3"/>
  <c r="P1405" i="3"/>
  <c r="T1405" i="3"/>
  <c r="E1405" i="3"/>
  <c r="I1405" i="3"/>
  <c r="M1405" i="3"/>
  <c r="Q1405" i="3"/>
  <c r="U1405" i="3"/>
  <c r="F1405" i="3"/>
  <c r="J1405" i="3"/>
  <c r="N1405" i="3"/>
  <c r="R1405" i="3"/>
  <c r="V1405" i="3"/>
  <c r="G1389" i="3"/>
  <c r="K1389" i="3"/>
  <c r="O1389" i="3"/>
  <c r="W1389" i="3"/>
  <c r="D1389" i="3"/>
  <c r="H1389" i="3"/>
  <c r="L1389" i="3"/>
  <c r="P1389" i="3"/>
  <c r="T1389" i="3"/>
  <c r="E1389" i="3"/>
  <c r="I1389" i="3"/>
  <c r="M1389" i="3"/>
  <c r="Q1389" i="3"/>
  <c r="U1389" i="3"/>
  <c r="F1389" i="3"/>
  <c r="J1389" i="3"/>
  <c r="N1389" i="3"/>
  <c r="R1389" i="3"/>
  <c r="V1389" i="3"/>
  <c r="G1373" i="3"/>
  <c r="K1373" i="3"/>
  <c r="O1373" i="3"/>
  <c r="W1373" i="3"/>
  <c r="D1373" i="3"/>
  <c r="H1373" i="3"/>
  <c r="L1373" i="3"/>
  <c r="P1373" i="3"/>
  <c r="T1373" i="3"/>
  <c r="E1373" i="3"/>
  <c r="I1373" i="3"/>
  <c r="M1373" i="3"/>
  <c r="Q1373" i="3"/>
  <c r="U1373" i="3"/>
  <c r="F1373" i="3"/>
  <c r="J1373" i="3"/>
  <c r="N1373" i="3"/>
  <c r="R1373" i="3"/>
  <c r="V1373" i="3"/>
  <c r="G1357" i="3"/>
  <c r="K1357" i="3"/>
  <c r="O1357" i="3"/>
  <c r="W1357" i="3"/>
  <c r="D1357" i="3"/>
  <c r="H1357" i="3"/>
  <c r="L1357" i="3"/>
  <c r="P1357" i="3"/>
  <c r="T1357" i="3"/>
  <c r="E1357" i="3"/>
  <c r="I1357" i="3"/>
  <c r="M1357" i="3"/>
  <c r="Q1357" i="3"/>
  <c r="U1357" i="3"/>
  <c r="F1357" i="3"/>
  <c r="J1357" i="3"/>
  <c r="N1357" i="3"/>
  <c r="R1357" i="3"/>
  <c r="V1357" i="3"/>
  <c r="G1341" i="3"/>
  <c r="K1341" i="3"/>
  <c r="O1341" i="3"/>
  <c r="W1341" i="3"/>
  <c r="D1341" i="3"/>
  <c r="H1341" i="3"/>
  <c r="L1341" i="3"/>
  <c r="P1341" i="3"/>
  <c r="T1341" i="3"/>
  <c r="E1341" i="3"/>
  <c r="I1341" i="3"/>
  <c r="M1341" i="3"/>
  <c r="Q1341" i="3"/>
  <c r="U1341" i="3"/>
  <c r="F1341" i="3"/>
  <c r="J1341" i="3"/>
  <c r="N1341" i="3"/>
  <c r="R1341" i="3"/>
  <c r="V1341" i="3"/>
  <c r="G1325" i="3"/>
  <c r="K1325" i="3"/>
  <c r="O1325" i="3"/>
  <c r="W1325" i="3"/>
  <c r="D1325" i="3"/>
  <c r="H1325" i="3"/>
  <c r="L1325" i="3"/>
  <c r="P1325" i="3"/>
  <c r="T1325" i="3"/>
  <c r="E1325" i="3"/>
  <c r="I1325" i="3"/>
  <c r="M1325" i="3"/>
  <c r="Q1325" i="3"/>
  <c r="U1325" i="3"/>
  <c r="F1325" i="3"/>
  <c r="J1325" i="3"/>
  <c r="N1325" i="3"/>
  <c r="R1325" i="3"/>
  <c r="V1325" i="3"/>
  <c r="G1309" i="3"/>
  <c r="K1309" i="3"/>
  <c r="O1309" i="3"/>
  <c r="W1309" i="3"/>
  <c r="D1309" i="3"/>
  <c r="H1309" i="3"/>
  <c r="L1309" i="3"/>
  <c r="P1309" i="3"/>
  <c r="T1309" i="3"/>
  <c r="E1309" i="3"/>
  <c r="I1309" i="3"/>
  <c r="M1309" i="3"/>
  <c r="Q1309" i="3"/>
  <c r="U1309" i="3"/>
  <c r="F1309" i="3"/>
  <c r="J1309" i="3"/>
  <c r="N1309" i="3"/>
  <c r="R1309" i="3"/>
  <c r="V1309" i="3"/>
  <c r="G1293" i="3"/>
  <c r="K1293" i="3"/>
  <c r="O1293" i="3"/>
  <c r="W1293" i="3"/>
  <c r="D1293" i="3"/>
  <c r="H1293" i="3"/>
  <c r="L1293" i="3"/>
  <c r="P1293" i="3"/>
  <c r="T1293" i="3"/>
  <c r="E1293" i="3"/>
  <c r="I1293" i="3"/>
  <c r="M1293" i="3"/>
  <c r="Q1293" i="3"/>
  <c r="U1293" i="3"/>
  <c r="F1293" i="3"/>
  <c r="J1293" i="3"/>
  <c r="N1293" i="3"/>
  <c r="R1293" i="3"/>
  <c r="V1293" i="3"/>
  <c r="G1277" i="3"/>
  <c r="K1277" i="3"/>
  <c r="O1277" i="3"/>
  <c r="W1277" i="3"/>
  <c r="D1277" i="3"/>
  <c r="H1277" i="3"/>
  <c r="L1277" i="3"/>
  <c r="P1277" i="3"/>
  <c r="T1277" i="3"/>
  <c r="E1277" i="3"/>
  <c r="I1277" i="3"/>
  <c r="M1277" i="3"/>
  <c r="Q1277" i="3"/>
  <c r="U1277" i="3"/>
  <c r="F1277" i="3"/>
  <c r="J1277" i="3"/>
  <c r="N1277" i="3"/>
  <c r="R1277" i="3"/>
  <c r="V1277" i="3"/>
  <c r="G1261" i="3"/>
  <c r="K1261" i="3"/>
  <c r="O1261" i="3"/>
  <c r="W1261" i="3"/>
  <c r="D1261" i="3"/>
  <c r="H1261" i="3"/>
  <c r="L1261" i="3"/>
  <c r="P1261" i="3"/>
  <c r="T1261" i="3"/>
  <c r="E1261" i="3"/>
  <c r="I1261" i="3"/>
  <c r="M1261" i="3"/>
  <c r="Q1261" i="3"/>
  <c r="U1261" i="3"/>
  <c r="F1261" i="3"/>
  <c r="J1261" i="3"/>
  <c r="N1261" i="3"/>
  <c r="R1261" i="3"/>
  <c r="V1261" i="3"/>
  <c r="G1245" i="3"/>
  <c r="K1245" i="3"/>
  <c r="O1245" i="3"/>
  <c r="W1245" i="3"/>
  <c r="D1245" i="3"/>
  <c r="H1245" i="3"/>
  <c r="L1245" i="3"/>
  <c r="P1245" i="3"/>
  <c r="T1245" i="3"/>
  <c r="E1245" i="3"/>
  <c r="I1245" i="3"/>
  <c r="M1245" i="3"/>
  <c r="Q1245" i="3"/>
  <c r="U1245" i="3"/>
  <c r="F1245" i="3"/>
  <c r="J1245" i="3"/>
  <c r="N1245" i="3"/>
  <c r="R1245" i="3"/>
  <c r="V1245" i="3"/>
  <c r="G1229" i="3"/>
  <c r="K1229" i="3"/>
  <c r="O1229" i="3"/>
  <c r="W1229" i="3"/>
  <c r="D1229" i="3"/>
  <c r="H1229" i="3"/>
  <c r="L1229" i="3"/>
  <c r="P1229" i="3"/>
  <c r="T1229" i="3"/>
  <c r="E1229" i="3"/>
  <c r="I1229" i="3"/>
  <c r="M1229" i="3"/>
  <c r="Q1229" i="3"/>
  <c r="U1229" i="3"/>
  <c r="F1229" i="3"/>
  <c r="J1229" i="3"/>
  <c r="N1229" i="3"/>
  <c r="R1229" i="3"/>
  <c r="V1229" i="3"/>
  <c r="G1209" i="3"/>
  <c r="K1209" i="3"/>
  <c r="O1209" i="3"/>
  <c r="W1209" i="3"/>
  <c r="D1209" i="3"/>
  <c r="H1209" i="3"/>
  <c r="L1209" i="3"/>
  <c r="P1209" i="3"/>
  <c r="T1209" i="3"/>
  <c r="E1209" i="3"/>
  <c r="I1209" i="3"/>
  <c r="M1209" i="3"/>
  <c r="Q1209" i="3"/>
  <c r="U1209" i="3"/>
  <c r="F1209" i="3"/>
  <c r="J1209" i="3"/>
  <c r="N1209" i="3"/>
  <c r="R1209" i="3"/>
  <c r="V1209" i="3"/>
  <c r="F1186" i="3"/>
  <c r="D1186" i="3"/>
  <c r="H1186" i="3"/>
  <c r="E1186" i="3"/>
  <c r="K1186" i="3"/>
  <c r="O1186" i="3"/>
  <c r="W1186" i="3"/>
  <c r="G1186" i="3"/>
  <c r="L1186" i="3"/>
  <c r="P1186" i="3"/>
  <c r="T1186" i="3"/>
  <c r="I1186" i="3"/>
  <c r="M1186" i="3"/>
  <c r="Q1186" i="3"/>
  <c r="U1186" i="3"/>
  <c r="J1186" i="3"/>
  <c r="N1186" i="3"/>
  <c r="R1186" i="3"/>
  <c r="V1186" i="3"/>
  <c r="G1426" i="3"/>
  <c r="K1426" i="3"/>
  <c r="O1426" i="3"/>
  <c r="W1426" i="3"/>
  <c r="D1426" i="3"/>
  <c r="H1426" i="3"/>
  <c r="L1426" i="3"/>
  <c r="P1426" i="3"/>
  <c r="T1426" i="3"/>
  <c r="E1426" i="3"/>
  <c r="I1426" i="3"/>
  <c r="M1426" i="3"/>
  <c r="Q1426" i="3"/>
  <c r="U1426" i="3"/>
  <c r="F1426" i="3"/>
  <c r="J1426" i="3"/>
  <c r="N1426" i="3"/>
  <c r="R1426" i="3"/>
  <c r="V1426" i="3"/>
  <c r="G1402" i="3"/>
  <c r="K1402" i="3"/>
  <c r="O1402" i="3"/>
  <c r="W1402" i="3"/>
  <c r="D1402" i="3"/>
  <c r="H1402" i="3"/>
  <c r="L1402" i="3"/>
  <c r="P1402" i="3"/>
  <c r="T1402" i="3"/>
  <c r="E1402" i="3"/>
  <c r="I1402" i="3"/>
  <c r="M1402" i="3"/>
  <c r="Q1402" i="3"/>
  <c r="U1402" i="3"/>
  <c r="F1402" i="3"/>
  <c r="J1402" i="3"/>
  <c r="N1402" i="3"/>
  <c r="R1402" i="3"/>
  <c r="V1402" i="3"/>
  <c r="G1386" i="3"/>
  <c r="K1386" i="3"/>
  <c r="O1386" i="3"/>
  <c r="W1386" i="3"/>
  <c r="D1386" i="3"/>
  <c r="H1386" i="3"/>
  <c r="L1386" i="3"/>
  <c r="P1386" i="3"/>
  <c r="T1386" i="3"/>
  <c r="E1386" i="3"/>
  <c r="I1386" i="3"/>
  <c r="M1386" i="3"/>
  <c r="Q1386" i="3"/>
  <c r="U1386" i="3"/>
  <c r="F1386" i="3"/>
  <c r="J1386" i="3"/>
  <c r="N1386" i="3"/>
  <c r="R1386" i="3"/>
  <c r="V1386" i="3"/>
  <c r="G1370" i="3"/>
  <c r="K1370" i="3"/>
  <c r="O1370" i="3"/>
  <c r="W1370" i="3"/>
  <c r="D1370" i="3"/>
  <c r="H1370" i="3"/>
  <c r="L1370" i="3"/>
  <c r="P1370" i="3"/>
  <c r="T1370" i="3"/>
  <c r="E1370" i="3"/>
  <c r="I1370" i="3"/>
  <c r="M1370" i="3"/>
  <c r="Q1370" i="3"/>
  <c r="U1370" i="3"/>
  <c r="F1370" i="3"/>
  <c r="J1370" i="3"/>
  <c r="N1370" i="3"/>
  <c r="R1370" i="3"/>
  <c r="V1370" i="3"/>
  <c r="G1354" i="3"/>
  <c r="K1354" i="3"/>
  <c r="O1354" i="3"/>
  <c r="W1354" i="3"/>
  <c r="D1354" i="3"/>
  <c r="H1354" i="3"/>
  <c r="L1354" i="3"/>
  <c r="P1354" i="3"/>
  <c r="T1354" i="3"/>
  <c r="E1354" i="3"/>
  <c r="I1354" i="3"/>
  <c r="M1354" i="3"/>
  <c r="Q1354" i="3"/>
  <c r="U1354" i="3"/>
  <c r="F1354" i="3"/>
  <c r="J1354" i="3"/>
  <c r="N1354" i="3"/>
  <c r="R1354" i="3"/>
  <c r="V1354" i="3"/>
  <c r="G1338" i="3"/>
  <c r="K1338" i="3"/>
  <c r="O1338" i="3"/>
  <c r="W1338" i="3"/>
  <c r="D1338" i="3"/>
  <c r="H1338" i="3"/>
  <c r="L1338" i="3"/>
  <c r="P1338" i="3"/>
  <c r="T1338" i="3"/>
  <c r="E1338" i="3"/>
  <c r="I1338" i="3"/>
  <c r="M1338" i="3"/>
  <c r="Q1338" i="3"/>
  <c r="U1338" i="3"/>
  <c r="F1338" i="3"/>
  <c r="J1338" i="3"/>
  <c r="N1338" i="3"/>
  <c r="R1338" i="3"/>
  <c r="V1338" i="3"/>
  <c r="G1322" i="3"/>
  <c r="K1322" i="3"/>
  <c r="O1322" i="3"/>
  <c r="W1322" i="3"/>
  <c r="D1322" i="3"/>
  <c r="H1322" i="3"/>
  <c r="L1322" i="3"/>
  <c r="P1322" i="3"/>
  <c r="T1322" i="3"/>
  <c r="E1322" i="3"/>
  <c r="I1322" i="3"/>
  <c r="M1322" i="3"/>
  <c r="Q1322" i="3"/>
  <c r="U1322" i="3"/>
  <c r="F1322" i="3"/>
  <c r="J1322" i="3"/>
  <c r="N1322" i="3"/>
  <c r="R1322" i="3"/>
  <c r="V1322" i="3"/>
  <c r="G1306" i="3"/>
  <c r="K1306" i="3"/>
  <c r="O1306" i="3"/>
  <c r="W1306" i="3"/>
  <c r="D1306" i="3"/>
  <c r="H1306" i="3"/>
  <c r="L1306" i="3"/>
  <c r="P1306" i="3"/>
  <c r="T1306" i="3"/>
  <c r="E1306" i="3"/>
  <c r="I1306" i="3"/>
  <c r="M1306" i="3"/>
  <c r="Q1306" i="3"/>
  <c r="U1306" i="3"/>
  <c r="F1306" i="3"/>
  <c r="J1306" i="3"/>
  <c r="N1306" i="3"/>
  <c r="R1306" i="3"/>
  <c r="V1306" i="3"/>
  <c r="G1290" i="3"/>
  <c r="K1290" i="3"/>
  <c r="O1290" i="3"/>
  <c r="W1290" i="3"/>
  <c r="D1290" i="3"/>
  <c r="H1290" i="3"/>
  <c r="L1290" i="3"/>
  <c r="P1290" i="3"/>
  <c r="T1290" i="3"/>
  <c r="E1290" i="3"/>
  <c r="I1290" i="3"/>
  <c r="M1290" i="3"/>
  <c r="Q1290" i="3"/>
  <c r="U1290" i="3"/>
  <c r="F1290" i="3"/>
  <c r="J1290" i="3"/>
  <c r="N1290" i="3"/>
  <c r="R1290" i="3"/>
  <c r="V1290" i="3"/>
  <c r="G1274" i="3"/>
  <c r="K1274" i="3"/>
  <c r="O1274" i="3"/>
  <c r="W1274" i="3"/>
  <c r="D1274" i="3"/>
  <c r="H1274" i="3"/>
  <c r="L1274" i="3"/>
  <c r="P1274" i="3"/>
  <c r="T1274" i="3"/>
  <c r="E1274" i="3"/>
  <c r="I1274" i="3"/>
  <c r="M1274" i="3"/>
  <c r="Q1274" i="3"/>
  <c r="U1274" i="3"/>
  <c r="F1274" i="3"/>
  <c r="J1274" i="3"/>
  <c r="N1274" i="3"/>
  <c r="R1274" i="3"/>
  <c r="V1274" i="3"/>
  <c r="G1258" i="3"/>
  <c r="K1258" i="3"/>
  <c r="O1258" i="3"/>
  <c r="W1258" i="3"/>
  <c r="D1258" i="3"/>
  <c r="H1258" i="3"/>
  <c r="L1258" i="3"/>
  <c r="P1258" i="3"/>
  <c r="T1258" i="3"/>
  <c r="E1258" i="3"/>
  <c r="I1258" i="3"/>
  <c r="M1258" i="3"/>
  <c r="Q1258" i="3"/>
  <c r="U1258" i="3"/>
  <c r="F1258" i="3"/>
  <c r="J1258" i="3"/>
  <c r="N1258" i="3"/>
  <c r="R1258" i="3"/>
  <c r="V1258" i="3"/>
  <c r="G1242" i="3"/>
  <c r="K1242" i="3"/>
  <c r="O1242" i="3"/>
  <c r="W1242" i="3"/>
  <c r="D1242" i="3"/>
  <c r="H1242" i="3"/>
  <c r="L1242" i="3"/>
  <c r="P1242" i="3"/>
  <c r="T1242" i="3"/>
  <c r="E1242" i="3"/>
  <c r="I1242" i="3"/>
  <c r="M1242" i="3"/>
  <c r="Q1242" i="3"/>
  <c r="U1242" i="3"/>
  <c r="F1242" i="3"/>
  <c r="J1242" i="3"/>
  <c r="N1242" i="3"/>
  <c r="R1242" i="3"/>
  <c r="V1242" i="3"/>
  <c r="G1226" i="3"/>
  <c r="K1226" i="3"/>
  <c r="O1226" i="3"/>
  <c r="W1226" i="3"/>
  <c r="D1226" i="3"/>
  <c r="H1226" i="3"/>
  <c r="L1226" i="3"/>
  <c r="P1226" i="3"/>
  <c r="T1226" i="3"/>
  <c r="E1226" i="3"/>
  <c r="I1226" i="3"/>
  <c r="M1226" i="3"/>
  <c r="Q1226" i="3"/>
  <c r="U1226" i="3"/>
  <c r="F1226" i="3"/>
  <c r="J1226" i="3"/>
  <c r="N1226" i="3"/>
  <c r="R1226" i="3"/>
  <c r="V1226" i="3"/>
  <c r="G1207" i="3"/>
  <c r="K1207" i="3"/>
  <c r="O1207" i="3"/>
  <c r="W1207" i="3"/>
  <c r="D1207" i="3"/>
  <c r="H1207" i="3"/>
  <c r="L1207" i="3"/>
  <c r="P1207" i="3"/>
  <c r="T1207" i="3"/>
  <c r="E1207" i="3"/>
  <c r="I1207" i="3"/>
  <c r="M1207" i="3"/>
  <c r="Q1207" i="3"/>
  <c r="U1207" i="3"/>
  <c r="F1207" i="3"/>
  <c r="J1207" i="3"/>
  <c r="N1207" i="3"/>
  <c r="R1207" i="3"/>
  <c r="V1207" i="3"/>
  <c r="D1458" i="3"/>
  <c r="H1458" i="3"/>
  <c r="L1458" i="3"/>
  <c r="P1458" i="3"/>
  <c r="T1458" i="3"/>
  <c r="G1458" i="3"/>
  <c r="E1458" i="3"/>
  <c r="I1458" i="3"/>
  <c r="M1458" i="3"/>
  <c r="Q1458" i="3"/>
  <c r="U1458" i="3"/>
  <c r="O1458" i="3"/>
  <c r="F1458" i="3"/>
  <c r="J1458" i="3"/>
  <c r="N1458" i="3"/>
  <c r="R1458" i="3"/>
  <c r="V1458" i="3"/>
  <c r="K1458" i="3"/>
  <c r="W1458" i="3"/>
  <c r="G1419" i="3"/>
  <c r="K1419" i="3"/>
  <c r="O1419" i="3"/>
  <c r="W1419" i="3"/>
  <c r="D1419" i="3"/>
  <c r="H1419" i="3"/>
  <c r="L1419" i="3"/>
  <c r="P1419" i="3"/>
  <c r="T1419" i="3"/>
  <c r="E1419" i="3"/>
  <c r="I1419" i="3"/>
  <c r="M1419" i="3"/>
  <c r="Q1419" i="3"/>
  <c r="U1419" i="3"/>
  <c r="F1419" i="3"/>
  <c r="J1419" i="3"/>
  <c r="N1419" i="3"/>
  <c r="R1419" i="3"/>
  <c r="V1419" i="3"/>
  <c r="G1387" i="3"/>
  <c r="K1387" i="3"/>
  <c r="O1387" i="3"/>
  <c r="W1387" i="3"/>
  <c r="D1387" i="3"/>
  <c r="H1387" i="3"/>
  <c r="L1387" i="3"/>
  <c r="P1387" i="3"/>
  <c r="T1387" i="3"/>
  <c r="E1387" i="3"/>
  <c r="I1387" i="3"/>
  <c r="M1387" i="3"/>
  <c r="Q1387" i="3"/>
  <c r="U1387" i="3"/>
  <c r="F1387" i="3"/>
  <c r="J1387" i="3"/>
  <c r="N1387" i="3"/>
  <c r="R1387" i="3"/>
  <c r="V1387" i="3"/>
  <c r="G1359" i="3"/>
  <c r="K1359" i="3"/>
  <c r="O1359" i="3"/>
  <c r="W1359" i="3"/>
  <c r="D1359" i="3"/>
  <c r="H1359" i="3"/>
  <c r="L1359" i="3"/>
  <c r="P1359" i="3"/>
  <c r="T1359" i="3"/>
  <c r="E1359" i="3"/>
  <c r="I1359" i="3"/>
  <c r="M1359" i="3"/>
  <c r="Q1359" i="3"/>
  <c r="U1359" i="3"/>
  <c r="F1359" i="3"/>
  <c r="J1359" i="3"/>
  <c r="N1359" i="3"/>
  <c r="R1359" i="3"/>
  <c r="V1359" i="3"/>
  <c r="G1343" i="3"/>
  <c r="K1343" i="3"/>
  <c r="O1343" i="3"/>
  <c r="W1343" i="3"/>
  <c r="D1343" i="3"/>
  <c r="H1343" i="3"/>
  <c r="L1343" i="3"/>
  <c r="P1343" i="3"/>
  <c r="T1343" i="3"/>
  <c r="E1343" i="3"/>
  <c r="I1343" i="3"/>
  <c r="M1343" i="3"/>
  <c r="Q1343" i="3"/>
  <c r="U1343" i="3"/>
  <c r="F1343" i="3"/>
  <c r="J1343" i="3"/>
  <c r="N1343" i="3"/>
  <c r="R1343" i="3"/>
  <c r="V1343" i="3"/>
  <c r="G1327" i="3"/>
  <c r="K1327" i="3"/>
  <c r="O1327" i="3"/>
  <c r="W1327" i="3"/>
  <c r="D1327" i="3"/>
  <c r="H1327" i="3"/>
  <c r="L1327" i="3"/>
  <c r="P1327" i="3"/>
  <c r="T1327" i="3"/>
  <c r="E1327" i="3"/>
  <c r="I1327" i="3"/>
  <c r="M1327" i="3"/>
  <c r="Q1327" i="3"/>
  <c r="U1327" i="3"/>
  <c r="F1327" i="3"/>
  <c r="J1327" i="3"/>
  <c r="N1327" i="3"/>
  <c r="R1327" i="3"/>
  <c r="V1327" i="3"/>
  <c r="G1311" i="3"/>
  <c r="K1311" i="3"/>
  <c r="O1311" i="3"/>
  <c r="W1311" i="3"/>
  <c r="D1311" i="3"/>
  <c r="H1311" i="3"/>
  <c r="L1311" i="3"/>
  <c r="P1311" i="3"/>
  <c r="T1311" i="3"/>
  <c r="E1311" i="3"/>
  <c r="I1311" i="3"/>
  <c r="M1311" i="3"/>
  <c r="Q1311" i="3"/>
  <c r="U1311" i="3"/>
  <c r="F1311" i="3"/>
  <c r="J1311" i="3"/>
  <c r="N1311" i="3"/>
  <c r="R1311" i="3"/>
  <c r="V1311" i="3"/>
  <c r="G1295" i="3"/>
  <c r="K1295" i="3"/>
  <c r="O1295" i="3"/>
  <c r="W1295" i="3"/>
  <c r="D1295" i="3"/>
  <c r="H1295" i="3"/>
  <c r="L1295" i="3"/>
  <c r="P1295" i="3"/>
  <c r="T1295" i="3"/>
  <c r="E1295" i="3"/>
  <c r="I1295" i="3"/>
  <c r="M1295" i="3"/>
  <c r="Q1295" i="3"/>
  <c r="U1295" i="3"/>
  <c r="F1295" i="3"/>
  <c r="J1295" i="3"/>
  <c r="N1295" i="3"/>
  <c r="R1295" i="3"/>
  <c r="V1295" i="3"/>
  <c r="G1279" i="3"/>
  <c r="K1279" i="3"/>
  <c r="O1279" i="3"/>
  <c r="W1279" i="3"/>
  <c r="D1279" i="3"/>
  <c r="H1279" i="3"/>
  <c r="L1279" i="3"/>
  <c r="P1279" i="3"/>
  <c r="T1279" i="3"/>
  <c r="E1279" i="3"/>
  <c r="I1279" i="3"/>
  <c r="M1279" i="3"/>
  <c r="Q1279" i="3"/>
  <c r="U1279" i="3"/>
  <c r="F1279" i="3"/>
  <c r="J1279" i="3"/>
  <c r="N1279" i="3"/>
  <c r="R1279" i="3"/>
  <c r="V1279" i="3"/>
  <c r="G1263" i="3"/>
  <c r="K1263" i="3"/>
  <c r="O1263" i="3"/>
  <c r="W1263" i="3"/>
  <c r="D1263" i="3"/>
  <c r="H1263" i="3"/>
  <c r="L1263" i="3"/>
  <c r="P1263" i="3"/>
  <c r="T1263" i="3"/>
  <c r="E1263" i="3"/>
  <c r="I1263" i="3"/>
  <c r="M1263" i="3"/>
  <c r="Q1263" i="3"/>
  <c r="U1263" i="3"/>
  <c r="F1263" i="3"/>
  <c r="J1263" i="3"/>
  <c r="N1263" i="3"/>
  <c r="R1263" i="3"/>
  <c r="V1263" i="3"/>
  <c r="G1247" i="3"/>
  <c r="K1247" i="3"/>
  <c r="O1247" i="3"/>
  <c r="W1247" i="3"/>
  <c r="D1247" i="3"/>
  <c r="H1247" i="3"/>
  <c r="L1247" i="3"/>
  <c r="P1247" i="3"/>
  <c r="T1247" i="3"/>
  <c r="E1247" i="3"/>
  <c r="I1247" i="3"/>
  <c r="M1247" i="3"/>
  <c r="Q1247" i="3"/>
  <c r="U1247" i="3"/>
  <c r="F1247" i="3"/>
  <c r="J1247" i="3"/>
  <c r="N1247" i="3"/>
  <c r="R1247" i="3"/>
  <c r="V1247" i="3"/>
  <c r="G1231" i="3"/>
  <c r="K1231" i="3"/>
  <c r="O1231" i="3"/>
  <c r="W1231" i="3"/>
  <c r="D1231" i="3"/>
  <c r="H1231" i="3"/>
  <c r="L1231" i="3"/>
  <c r="P1231" i="3"/>
  <c r="T1231" i="3"/>
  <c r="E1231" i="3"/>
  <c r="I1231" i="3"/>
  <c r="M1231" i="3"/>
  <c r="Q1231" i="3"/>
  <c r="U1231" i="3"/>
  <c r="F1231" i="3"/>
  <c r="J1231" i="3"/>
  <c r="N1231" i="3"/>
  <c r="R1231" i="3"/>
  <c r="V1231" i="3"/>
  <c r="G1211" i="3"/>
  <c r="K1211" i="3"/>
  <c r="O1211" i="3"/>
  <c r="W1211" i="3"/>
  <c r="D1211" i="3"/>
  <c r="H1211" i="3"/>
  <c r="L1211" i="3"/>
  <c r="P1211" i="3"/>
  <c r="T1211" i="3"/>
  <c r="E1211" i="3"/>
  <c r="I1211" i="3"/>
  <c r="M1211" i="3"/>
  <c r="Q1211" i="3"/>
  <c r="U1211" i="3"/>
  <c r="F1211" i="3"/>
  <c r="J1211" i="3"/>
  <c r="N1211" i="3"/>
  <c r="R1211" i="3"/>
  <c r="V1211" i="3"/>
  <c r="F1182" i="3"/>
  <c r="J1182" i="3"/>
  <c r="N1182" i="3"/>
  <c r="R1182" i="3"/>
  <c r="V1182" i="3"/>
  <c r="D1182" i="3"/>
  <c r="H1182" i="3"/>
  <c r="L1182" i="3"/>
  <c r="P1182" i="3"/>
  <c r="T1182" i="3"/>
  <c r="E1182" i="3"/>
  <c r="M1182" i="3"/>
  <c r="U1182" i="3"/>
  <c r="G1182" i="3"/>
  <c r="O1182" i="3"/>
  <c r="W1182" i="3"/>
  <c r="I1182" i="3"/>
  <c r="Q1182" i="3"/>
  <c r="K1182" i="3"/>
  <c r="E1166" i="3"/>
  <c r="I1166" i="3"/>
  <c r="M1166" i="3"/>
  <c r="Q1166" i="3"/>
  <c r="U1166" i="3"/>
  <c r="F1166" i="3"/>
  <c r="J1166" i="3"/>
  <c r="N1166" i="3"/>
  <c r="R1166" i="3"/>
  <c r="V1166" i="3"/>
  <c r="G1166" i="3"/>
  <c r="K1166" i="3"/>
  <c r="O1166" i="3"/>
  <c r="W1166" i="3"/>
  <c r="D1166" i="3"/>
  <c r="H1166" i="3"/>
  <c r="L1166" i="3"/>
  <c r="P1166" i="3"/>
  <c r="T1166" i="3"/>
  <c r="E1150" i="3"/>
  <c r="I1150" i="3"/>
  <c r="M1150" i="3"/>
  <c r="Q1150" i="3"/>
  <c r="U1150" i="3"/>
  <c r="F1150" i="3"/>
  <c r="J1150" i="3"/>
  <c r="N1150" i="3"/>
  <c r="R1150" i="3"/>
  <c r="V1150" i="3"/>
  <c r="G1150" i="3"/>
  <c r="K1150" i="3"/>
  <c r="O1150" i="3"/>
  <c r="W1150" i="3"/>
  <c r="D1150" i="3"/>
  <c r="H1150" i="3"/>
  <c r="L1150" i="3"/>
  <c r="P1150" i="3"/>
  <c r="T1150" i="3"/>
  <c r="E1134" i="3"/>
  <c r="I1134" i="3"/>
  <c r="M1134" i="3"/>
  <c r="Q1134" i="3"/>
  <c r="U1134" i="3"/>
  <c r="F1134" i="3"/>
  <c r="J1134" i="3"/>
  <c r="N1134" i="3"/>
  <c r="R1134" i="3"/>
  <c r="V1134" i="3"/>
  <c r="G1134" i="3"/>
  <c r="K1134" i="3"/>
  <c r="O1134" i="3"/>
  <c r="W1134" i="3"/>
  <c r="D1134" i="3"/>
  <c r="H1134" i="3"/>
  <c r="L1134" i="3"/>
  <c r="P1134" i="3"/>
  <c r="T1134" i="3"/>
  <c r="E1118" i="3"/>
  <c r="I1118" i="3"/>
  <c r="M1118" i="3"/>
  <c r="Q1118" i="3"/>
  <c r="U1118" i="3"/>
  <c r="F1118" i="3"/>
  <c r="J1118" i="3"/>
  <c r="N1118" i="3"/>
  <c r="R1118" i="3"/>
  <c r="V1118" i="3"/>
  <c r="G1118" i="3"/>
  <c r="K1118" i="3"/>
  <c r="O1118" i="3"/>
  <c r="W1118" i="3"/>
  <c r="D1118" i="3"/>
  <c r="H1118" i="3"/>
  <c r="L1118" i="3"/>
  <c r="P1118" i="3"/>
  <c r="T1118" i="3"/>
  <c r="E1102" i="3"/>
  <c r="I1102" i="3"/>
  <c r="M1102" i="3"/>
  <c r="Q1102" i="3"/>
  <c r="U1102" i="3"/>
  <c r="F1102" i="3"/>
  <c r="J1102" i="3"/>
  <c r="N1102" i="3"/>
  <c r="R1102" i="3"/>
  <c r="V1102" i="3"/>
  <c r="G1102" i="3"/>
  <c r="K1102" i="3"/>
  <c r="O1102" i="3"/>
  <c r="W1102" i="3"/>
  <c r="D1102" i="3"/>
  <c r="H1102" i="3"/>
  <c r="L1102" i="3"/>
  <c r="P1102" i="3"/>
  <c r="T1102" i="3"/>
  <c r="E1086" i="3"/>
  <c r="I1086" i="3"/>
  <c r="M1086" i="3"/>
  <c r="Q1086" i="3"/>
  <c r="U1086" i="3"/>
  <c r="F1086" i="3"/>
  <c r="J1086" i="3"/>
  <c r="N1086" i="3"/>
  <c r="R1086" i="3"/>
  <c r="V1086" i="3"/>
  <c r="G1086" i="3"/>
  <c r="K1086" i="3"/>
  <c r="O1086" i="3"/>
  <c r="W1086" i="3"/>
  <c r="D1086" i="3"/>
  <c r="H1086" i="3"/>
  <c r="L1086" i="3"/>
  <c r="P1086" i="3"/>
  <c r="T1086" i="3"/>
  <c r="E1070" i="3"/>
  <c r="I1070" i="3"/>
  <c r="M1070" i="3"/>
  <c r="Q1070" i="3"/>
  <c r="U1070" i="3"/>
  <c r="F1070" i="3"/>
  <c r="J1070" i="3"/>
  <c r="N1070" i="3"/>
  <c r="R1070" i="3"/>
  <c r="V1070" i="3"/>
  <c r="G1070" i="3"/>
  <c r="K1070" i="3"/>
  <c r="O1070" i="3"/>
  <c r="W1070" i="3"/>
  <c r="D1070" i="3"/>
  <c r="H1070" i="3"/>
  <c r="L1070" i="3"/>
  <c r="P1070" i="3"/>
  <c r="T1070" i="3"/>
  <c r="E1054" i="3"/>
  <c r="I1054" i="3"/>
  <c r="M1054" i="3"/>
  <c r="Q1054" i="3"/>
  <c r="U1054" i="3"/>
  <c r="F1054" i="3"/>
  <c r="J1054" i="3"/>
  <c r="N1054" i="3"/>
  <c r="R1054" i="3"/>
  <c r="V1054" i="3"/>
  <c r="G1054" i="3"/>
  <c r="K1054" i="3"/>
  <c r="O1054" i="3"/>
  <c r="W1054" i="3"/>
  <c r="D1054" i="3"/>
  <c r="H1054" i="3"/>
  <c r="L1054" i="3"/>
  <c r="P1054" i="3"/>
  <c r="T1054" i="3"/>
  <c r="E1038" i="3"/>
  <c r="I1038" i="3"/>
  <c r="M1038" i="3"/>
  <c r="Q1038" i="3"/>
  <c r="U1038" i="3"/>
  <c r="F1038" i="3"/>
  <c r="J1038" i="3"/>
  <c r="N1038" i="3"/>
  <c r="R1038" i="3"/>
  <c r="V1038" i="3"/>
  <c r="G1038" i="3"/>
  <c r="K1038" i="3"/>
  <c r="O1038" i="3"/>
  <c r="W1038" i="3"/>
  <c r="D1038" i="3"/>
  <c r="H1038" i="3"/>
  <c r="L1038" i="3"/>
  <c r="P1038" i="3"/>
  <c r="T1038" i="3"/>
  <c r="E1022" i="3"/>
  <c r="I1022" i="3"/>
  <c r="M1022" i="3"/>
  <c r="Q1022" i="3"/>
  <c r="U1022" i="3"/>
  <c r="F1022" i="3"/>
  <c r="J1022" i="3"/>
  <c r="N1022" i="3"/>
  <c r="R1022" i="3"/>
  <c r="V1022" i="3"/>
  <c r="G1022" i="3"/>
  <c r="K1022" i="3"/>
  <c r="O1022" i="3"/>
  <c r="W1022" i="3"/>
  <c r="D1022" i="3"/>
  <c r="H1022" i="3"/>
  <c r="L1022" i="3"/>
  <c r="P1022" i="3"/>
  <c r="T1022" i="3"/>
  <c r="E1006" i="3"/>
  <c r="I1006" i="3"/>
  <c r="M1006" i="3"/>
  <c r="Q1006" i="3"/>
  <c r="U1006" i="3"/>
  <c r="F1006" i="3"/>
  <c r="J1006" i="3"/>
  <c r="N1006" i="3"/>
  <c r="R1006" i="3"/>
  <c r="V1006" i="3"/>
  <c r="G1006" i="3"/>
  <c r="K1006" i="3"/>
  <c r="O1006" i="3"/>
  <c r="W1006" i="3"/>
  <c r="D1006" i="3"/>
  <c r="H1006" i="3"/>
  <c r="L1006" i="3"/>
  <c r="P1006" i="3"/>
  <c r="T1006" i="3"/>
  <c r="E990" i="3"/>
  <c r="I990" i="3"/>
  <c r="M990" i="3"/>
  <c r="Q990" i="3"/>
  <c r="U990" i="3"/>
  <c r="F990" i="3"/>
  <c r="J990" i="3"/>
  <c r="N990" i="3"/>
  <c r="R990" i="3"/>
  <c r="V990" i="3"/>
  <c r="G990" i="3"/>
  <c r="K990" i="3"/>
  <c r="O990" i="3"/>
  <c r="W990" i="3"/>
  <c r="D990" i="3"/>
  <c r="H990" i="3"/>
  <c r="L990" i="3"/>
  <c r="P990" i="3"/>
  <c r="T990" i="3"/>
  <c r="E974" i="3"/>
  <c r="I974" i="3"/>
  <c r="M974" i="3"/>
  <c r="Q974" i="3"/>
  <c r="U974" i="3"/>
  <c r="F974" i="3"/>
  <c r="J974" i="3"/>
  <c r="N974" i="3"/>
  <c r="R974" i="3"/>
  <c r="V974" i="3"/>
  <c r="G974" i="3"/>
  <c r="K974" i="3"/>
  <c r="O974" i="3"/>
  <c r="W974" i="3"/>
  <c r="D974" i="3"/>
  <c r="H974" i="3"/>
  <c r="L974" i="3"/>
  <c r="P974" i="3"/>
  <c r="T974" i="3"/>
  <c r="E954" i="3"/>
  <c r="I954" i="3"/>
  <c r="M954" i="3"/>
  <c r="Q954" i="3"/>
  <c r="U954" i="3"/>
  <c r="F954" i="3"/>
  <c r="J954" i="3"/>
  <c r="N954" i="3"/>
  <c r="R954" i="3"/>
  <c r="V954" i="3"/>
  <c r="G954" i="3"/>
  <c r="K954" i="3"/>
  <c r="O954" i="3"/>
  <c r="W954" i="3"/>
  <c r="D954" i="3"/>
  <c r="H954" i="3"/>
  <c r="L954" i="3"/>
  <c r="P954" i="3"/>
  <c r="T954" i="3"/>
  <c r="E935" i="3"/>
  <c r="I935" i="3"/>
  <c r="M935" i="3"/>
  <c r="Q935" i="3"/>
  <c r="U935" i="3"/>
  <c r="F935" i="3"/>
  <c r="J935" i="3"/>
  <c r="N935" i="3"/>
  <c r="R935" i="3"/>
  <c r="V935" i="3"/>
  <c r="G935" i="3"/>
  <c r="K935" i="3"/>
  <c r="O935" i="3"/>
  <c r="W935" i="3"/>
  <c r="D935" i="3"/>
  <c r="H935" i="3"/>
  <c r="L935" i="3"/>
  <c r="P935" i="3"/>
  <c r="T935" i="3"/>
  <c r="F909" i="3"/>
  <c r="J909" i="3"/>
  <c r="N909" i="3"/>
  <c r="R909" i="3"/>
  <c r="V909" i="3"/>
  <c r="D909" i="3"/>
  <c r="H909" i="3"/>
  <c r="L909" i="3"/>
  <c r="P909" i="3"/>
  <c r="T909" i="3"/>
  <c r="G909" i="3"/>
  <c r="O909" i="3"/>
  <c r="W909" i="3"/>
  <c r="I909" i="3"/>
  <c r="Q909" i="3"/>
  <c r="K909" i="3"/>
  <c r="E909" i="3"/>
  <c r="M909" i="3"/>
  <c r="U909" i="3"/>
  <c r="E890" i="3"/>
  <c r="I890" i="3"/>
  <c r="M890" i="3"/>
  <c r="Q890" i="3"/>
  <c r="U890" i="3"/>
  <c r="F890" i="3"/>
  <c r="J890" i="3"/>
  <c r="N890" i="3"/>
  <c r="R890" i="3"/>
  <c r="V890" i="3"/>
  <c r="G890" i="3"/>
  <c r="K890" i="3"/>
  <c r="O890" i="3"/>
  <c r="W890" i="3"/>
  <c r="D890" i="3"/>
  <c r="H890" i="3"/>
  <c r="L890" i="3"/>
  <c r="P890" i="3"/>
  <c r="T890" i="3"/>
  <c r="E865" i="3"/>
  <c r="I865" i="3"/>
  <c r="M865" i="3"/>
  <c r="Q865" i="3"/>
  <c r="U865" i="3"/>
  <c r="F865" i="3"/>
  <c r="J865" i="3"/>
  <c r="N865" i="3"/>
  <c r="R865" i="3"/>
  <c r="V865" i="3"/>
  <c r="G865" i="3"/>
  <c r="K865" i="3"/>
  <c r="O865" i="3"/>
  <c r="W865" i="3"/>
  <c r="D865" i="3"/>
  <c r="H865" i="3"/>
  <c r="L865" i="3"/>
  <c r="P865" i="3"/>
  <c r="T865" i="3"/>
  <c r="G1191" i="3"/>
  <c r="K1191" i="3"/>
  <c r="O1191" i="3"/>
  <c r="W1191" i="3"/>
  <c r="D1191" i="3"/>
  <c r="H1191" i="3"/>
  <c r="L1191" i="3"/>
  <c r="P1191" i="3"/>
  <c r="T1191" i="3"/>
  <c r="E1191" i="3"/>
  <c r="I1191" i="3"/>
  <c r="M1191" i="3"/>
  <c r="Q1191" i="3"/>
  <c r="U1191" i="3"/>
  <c r="F1191" i="3"/>
  <c r="J1191" i="3"/>
  <c r="N1191" i="3"/>
  <c r="R1191" i="3"/>
  <c r="V1191" i="3"/>
  <c r="E1175" i="3"/>
  <c r="I1175" i="3"/>
  <c r="M1175" i="3"/>
  <c r="Q1175" i="3"/>
  <c r="U1175" i="3"/>
  <c r="F1175" i="3"/>
  <c r="J1175" i="3"/>
  <c r="N1175" i="3"/>
  <c r="R1175" i="3"/>
  <c r="V1175" i="3"/>
  <c r="G1175" i="3"/>
  <c r="K1175" i="3"/>
  <c r="O1175" i="3"/>
  <c r="W1175" i="3"/>
  <c r="D1175" i="3"/>
  <c r="H1175" i="3"/>
  <c r="L1175" i="3"/>
  <c r="P1175" i="3"/>
  <c r="T1175" i="3"/>
  <c r="E1159" i="3"/>
  <c r="I1159" i="3"/>
  <c r="M1159" i="3"/>
  <c r="Q1159" i="3"/>
  <c r="U1159" i="3"/>
  <c r="F1159" i="3"/>
  <c r="J1159" i="3"/>
  <c r="N1159" i="3"/>
  <c r="R1159" i="3"/>
  <c r="V1159" i="3"/>
  <c r="G1159" i="3"/>
  <c r="K1159" i="3"/>
  <c r="O1159" i="3"/>
  <c r="W1159" i="3"/>
  <c r="D1159" i="3"/>
  <c r="H1159" i="3"/>
  <c r="L1159" i="3"/>
  <c r="P1159" i="3"/>
  <c r="T1159" i="3"/>
  <c r="E1143" i="3"/>
  <c r="I1143" i="3"/>
  <c r="M1143" i="3"/>
  <c r="Q1143" i="3"/>
  <c r="U1143" i="3"/>
  <c r="F1143" i="3"/>
  <c r="J1143" i="3"/>
  <c r="N1143" i="3"/>
  <c r="R1143" i="3"/>
  <c r="V1143" i="3"/>
  <c r="G1143" i="3"/>
  <c r="K1143" i="3"/>
  <c r="O1143" i="3"/>
  <c r="W1143" i="3"/>
  <c r="D1143" i="3"/>
  <c r="H1143" i="3"/>
  <c r="L1143" i="3"/>
  <c r="P1143" i="3"/>
  <c r="T1143" i="3"/>
  <c r="E1127" i="3"/>
  <c r="I1127" i="3"/>
  <c r="M1127" i="3"/>
  <c r="Q1127" i="3"/>
  <c r="U1127" i="3"/>
  <c r="F1127" i="3"/>
  <c r="J1127" i="3"/>
  <c r="N1127" i="3"/>
  <c r="R1127" i="3"/>
  <c r="V1127" i="3"/>
  <c r="G1127" i="3"/>
  <c r="K1127" i="3"/>
  <c r="O1127" i="3"/>
  <c r="W1127" i="3"/>
  <c r="D1127" i="3"/>
  <c r="H1127" i="3"/>
  <c r="L1127" i="3"/>
  <c r="P1127" i="3"/>
  <c r="T1127" i="3"/>
  <c r="E1111" i="3"/>
  <c r="I1111" i="3"/>
  <c r="M1111" i="3"/>
  <c r="Q1111" i="3"/>
  <c r="U1111" i="3"/>
  <c r="F1111" i="3"/>
  <c r="J1111" i="3"/>
  <c r="N1111" i="3"/>
  <c r="R1111" i="3"/>
  <c r="V1111" i="3"/>
  <c r="G1111" i="3"/>
  <c r="K1111" i="3"/>
  <c r="O1111" i="3"/>
  <c r="W1111" i="3"/>
  <c r="D1111" i="3"/>
  <c r="H1111" i="3"/>
  <c r="L1111" i="3"/>
  <c r="P1111" i="3"/>
  <c r="T1111" i="3"/>
  <c r="E1095" i="3"/>
  <c r="I1095" i="3"/>
  <c r="M1095" i="3"/>
  <c r="Q1095" i="3"/>
  <c r="U1095" i="3"/>
  <c r="F1095" i="3"/>
  <c r="J1095" i="3"/>
  <c r="N1095" i="3"/>
  <c r="R1095" i="3"/>
  <c r="V1095" i="3"/>
  <c r="G1095" i="3"/>
  <c r="K1095" i="3"/>
  <c r="O1095" i="3"/>
  <c r="W1095" i="3"/>
  <c r="D1095" i="3"/>
  <c r="H1095" i="3"/>
  <c r="L1095" i="3"/>
  <c r="P1095" i="3"/>
  <c r="T1095" i="3"/>
  <c r="E1079" i="3"/>
  <c r="I1079" i="3"/>
  <c r="M1079" i="3"/>
  <c r="Q1079" i="3"/>
  <c r="U1079" i="3"/>
  <c r="F1079" i="3"/>
  <c r="J1079" i="3"/>
  <c r="N1079" i="3"/>
  <c r="R1079" i="3"/>
  <c r="V1079" i="3"/>
  <c r="G1079" i="3"/>
  <c r="K1079" i="3"/>
  <c r="O1079" i="3"/>
  <c r="W1079" i="3"/>
  <c r="D1079" i="3"/>
  <c r="H1079" i="3"/>
  <c r="L1079" i="3"/>
  <c r="P1079" i="3"/>
  <c r="T1079" i="3"/>
  <c r="E1063" i="3"/>
  <c r="I1063" i="3"/>
  <c r="M1063" i="3"/>
  <c r="Q1063" i="3"/>
  <c r="U1063" i="3"/>
  <c r="F1063" i="3"/>
  <c r="J1063" i="3"/>
  <c r="N1063" i="3"/>
  <c r="R1063" i="3"/>
  <c r="V1063" i="3"/>
  <c r="G1063" i="3"/>
  <c r="K1063" i="3"/>
  <c r="O1063" i="3"/>
  <c r="W1063" i="3"/>
  <c r="D1063" i="3"/>
  <c r="H1063" i="3"/>
  <c r="L1063" i="3"/>
  <c r="P1063" i="3"/>
  <c r="T1063" i="3"/>
  <c r="E1047" i="3"/>
  <c r="I1047" i="3"/>
  <c r="M1047" i="3"/>
  <c r="Q1047" i="3"/>
  <c r="U1047" i="3"/>
  <c r="F1047" i="3"/>
  <c r="J1047" i="3"/>
  <c r="N1047" i="3"/>
  <c r="R1047" i="3"/>
  <c r="V1047" i="3"/>
  <c r="G1047" i="3"/>
  <c r="K1047" i="3"/>
  <c r="O1047" i="3"/>
  <c r="W1047" i="3"/>
  <c r="D1047" i="3"/>
  <c r="H1047" i="3"/>
  <c r="L1047" i="3"/>
  <c r="P1047" i="3"/>
  <c r="T1047" i="3"/>
  <c r="E1031" i="3"/>
  <c r="I1031" i="3"/>
  <c r="M1031" i="3"/>
  <c r="Q1031" i="3"/>
  <c r="U1031" i="3"/>
  <c r="F1031" i="3"/>
  <c r="J1031" i="3"/>
  <c r="N1031" i="3"/>
  <c r="R1031" i="3"/>
  <c r="V1031" i="3"/>
  <c r="G1031" i="3"/>
  <c r="K1031" i="3"/>
  <c r="O1031" i="3"/>
  <c r="W1031" i="3"/>
  <c r="D1031" i="3"/>
  <c r="H1031" i="3"/>
  <c r="L1031" i="3"/>
  <c r="P1031" i="3"/>
  <c r="T1031" i="3"/>
  <c r="E1015" i="3"/>
  <c r="I1015" i="3"/>
  <c r="M1015" i="3"/>
  <c r="Q1015" i="3"/>
  <c r="U1015" i="3"/>
  <c r="F1015" i="3"/>
  <c r="J1015" i="3"/>
  <c r="N1015" i="3"/>
  <c r="R1015" i="3"/>
  <c r="V1015" i="3"/>
  <c r="G1015" i="3"/>
  <c r="K1015" i="3"/>
  <c r="O1015" i="3"/>
  <c r="W1015" i="3"/>
  <c r="D1015" i="3"/>
  <c r="H1015" i="3"/>
  <c r="L1015" i="3"/>
  <c r="P1015" i="3"/>
  <c r="T1015" i="3"/>
  <c r="E999" i="3"/>
  <c r="I999" i="3"/>
  <c r="M999" i="3"/>
  <c r="Q999" i="3"/>
  <c r="U999" i="3"/>
  <c r="F999" i="3"/>
  <c r="J999" i="3"/>
  <c r="N999" i="3"/>
  <c r="R999" i="3"/>
  <c r="V999" i="3"/>
  <c r="G999" i="3"/>
  <c r="K999" i="3"/>
  <c r="O999" i="3"/>
  <c r="W999" i="3"/>
  <c r="D999" i="3"/>
  <c r="H999" i="3"/>
  <c r="L999" i="3"/>
  <c r="P999" i="3"/>
  <c r="T999" i="3"/>
  <c r="E983" i="3"/>
  <c r="I983" i="3"/>
  <c r="M983" i="3"/>
  <c r="Q983" i="3"/>
  <c r="U983" i="3"/>
  <c r="F983" i="3"/>
  <c r="J983" i="3"/>
  <c r="N983" i="3"/>
  <c r="R983" i="3"/>
  <c r="V983" i="3"/>
  <c r="G983" i="3"/>
  <c r="K983" i="3"/>
  <c r="O983" i="3"/>
  <c r="W983" i="3"/>
  <c r="D983" i="3"/>
  <c r="H983" i="3"/>
  <c r="L983" i="3"/>
  <c r="P983" i="3"/>
  <c r="T983" i="3"/>
  <c r="E961" i="3"/>
  <c r="I961" i="3"/>
  <c r="M961" i="3"/>
  <c r="Q961" i="3"/>
  <c r="U961" i="3"/>
  <c r="F961" i="3"/>
  <c r="J961" i="3"/>
  <c r="N961" i="3"/>
  <c r="R961" i="3"/>
  <c r="V961" i="3"/>
  <c r="G961" i="3"/>
  <c r="K961" i="3"/>
  <c r="O961" i="3"/>
  <c r="W961" i="3"/>
  <c r="D961" i="3"/>
  <c r="H961" i="3"/>
  <c r="L961" i="3"/>
  <c r="P961" i="3"/>
  <c r="T961" i="3"/>
  <c r="E942" i="3"/>
  <c r="I942" i="3"/>
  <c r="M942" i="3"/>
  <c r="Q942" i="3"/>
  <c r="U942" i="3"/>
  <c r="F942" i="3"/>
  <c r="J942" i="3"/>
  <c r="N942" i="3"/>
  <c r="R942" i="3"/>
  <c r="V942" i="3"/>
  <c r="G942" i="3"/>
  <c r="K942" i="3"/>
  <c r="O942" i="3"/>
  <c r="W942" i="3"/>
  <c r="D942" i="3"/>
  <c r="H942" i="3"/>
  <c r="L942" i="3"/>
  <c r="P942" i="3"/>
  <c r="T942" i="3"/>
  <c r="E923" i="3"/>
  <c r="I923" i="3"/>
  <c r="M923" i="3"/>
  <c r="Q923" i="3"/>
  <c r="U923" i="3"/>
  <c r="F923" i="3"/>
  <c r="J923" i="3"/>
  <c r="N923" i="3"/>
  <c r="R923" i="3"/>
  <c r="V923" i="3"/>
  <c r="G923" i="3"/>
  <c r="K923" i="3"/>
  <c r="O923" i="3"/>
  <c r="W923" i="3"/>
  <c r="D923" i="3"/>
  <c r="H923" i="3"/>
  <c r="L923" i="3"/>
  <c r="P923" i="3"/>
  <c r="T923" i="3"/>
  <c r="E897" i="3"/>
  <c r="I897" i="3"/>
  <c r="M897" i="3"/>
  <c r="Q897" i="3"/>
  <c r="U897" i="3"/>
  <c r="F897" i="3"/>
  <c r="J897" i="3"/>
  <c r="N897" i="3"/>
  <c r="R897" i="3"/>
  <c r="V897" i="3"/>
  <c r="G897" i="3"/>
  <c r="K897" i="3"/>
  <c r="O897" i="3"/>
  <c r="W897" i="3"/>
  <c r="D897" i="3"/>
  <c r="H897" i="3"/>
  <c r="L897" i="3"/>
  <c r="P897" i="3"/>
  <c r="T897" i="3"/>
  <c r="E874" i="3"/>
  <c r="I874" i="3"/>
  <c r="M874" i="3"/>
  <c r="Q874" i="3"/>
  <c r="U874" i="3"/>
  <c r="F874" i="3"/>
  <c r="J874" i="3"/>
  <c r="N874" i="3"/>
  <c r="R874" i="3"/>
  <c r="V874" i="3"/>
  <c r="G874" i="3"/>
  <c r="K874" i="3"/>
  <c r="O874" i="3"/>
  <c r="W874" i="3"/>
  <c r="D874" i="3"/>
  <c r="H874" i="3"/>
  <c r="L874" i="3"/>
  <c r="P874" i="3"/>
  <c r="T874" i="3"/>
  <c r="G1224" i="3"/>
  <c r="K1224" i="3"/>
  <c r="O1224" i="3"/>
  <c r="W1224" i="3"/>
  <c r="D1224" i="3"/>
  <c r="H1224" i="3"/>
  <c r="L1224" i="3"/>
  <c r="P1224" i="3"/>
  <c r="T1224" i="3"/>
  <c r="E1224" i="3"/>
  <c r="I1224" i="3"/>
  <c r="M1224" i="3"/>
  <c r="Q1224" i="3"/>
  <c r="U1224" i="3"/>
  <c r="F1224" i="3"/>
  <c r="J1224" i="3"/>
  <c r="N1224" i="3"/>
  <c r="R1224" i="3"/>
  <c r="V1224" i="3"/>
  <c r="G1208" i="3"/>
  <c r="K1208" i="3"/>
  <c r="O1208" i="3"/>
  <c r="W1208" i="3"/>
  <c r="D1208" i="3"/>
  <c r="H1208" i="3"/>
  <c r="L1208" i="3"/>
  <c r="P1208" i="3"/>
  <c r="T1208" i="3"/>
  <c r="E1208" i="3"/>
  <c r="I1208" i="3"/>
  <c r="M1208" i="3"/>
  <c r="Q1208" i="3"/>
  <c r="U1208" i="3"/>
  <c r="F1208" i="3"/>
  <c r="J1208" i="3"/>
  <c r="N1208" i="3"/>
  <c r="R1208" i="3"/>
  <c r="V1208" i="3"/>
  <c r="G1192" i="3"/>
  <c r="K1192" i="3"/>
  <c r="O1192" i="3"/>
  <c r="W1192" i="3"/>
  <c r="D1192" i="3"/>
  <c r="H1192" i="3"/>
  <c r="L1192" i="3"/>
  <c r="P1192" i="3"/>
  <c r="T1192" i="3"/>
  <c r="E1192" i="3"/>
  <c r="I1192" i="3"/>
  <c r="M1192" i="3"/>
  <c r="Q1192" i="3"/>
  <c r="U1192" i="3"/>
  <c r="F1192" i="3"/>
  <c r="J1192" i="3"/>
  <c r="N1192" i="3"/>
  <c r="R1192" i="3"/>
  <c r="V1192" i="3"/>
  <c r="E1176" i="3"/>
  <c r="I1176" i="3"/>
  <c r="M1176" i="3"/>
  <c r="Q1176" i="3"/>
  <c r="U1176" i="3"/>
  <c r="F1176" i="3"/>
  <c r="J1176" i="3"/>
  <c r="N1176" i="3"/>
  <c r="R1176" i="3"/>
  <c r="V1176" i="3"/>
  <c r="G1176" i="3"/>
  <c r="K1176" i="3"/>
  <c r="O1176" i="3"/>
  <c r="W1176" i="3"/>
  <c r="D1176" i="3"/>
  <c r="H1176" i="3"/>
  <c r="L1176" i="3"/>
  <c r="P1176" i="3"/>
  <c r="T1176" i="3"/>
  <c r="E1160" i="3"/>
  <c r="I1160" i="3"/>
  <c r="M1160" i="3"/>
  <c r="Q1160" i="3"/>
  <c r="U1160" i="3"/>
  <c r="F1160" i="3"/>
  <c r="J1160" i="3"/>
  <c r="N1160" i="3"/>
  <c r="R1160" i="3"/>
  <c r="V1160" i="3"/>
  <c r="G1160" i="3"/>
  <c r="K1160" i="3"/>
  <c r="O1160" i="3"/>
  <c r="W1160" i="3"/>
  <c r="D1160" i="3"/>
  <c r="H1160" i="3"/>
  <c r="L1160" i="3"/>
  <c r="P1160" i="3"/>
  <c r="T1160" i="3"/>
  <c r="E1144" i="3"/>
  <c r="I1144" i="3"/>
  <c r="M1144" i="3"/>
  <c r="Q1144" i="3"/>
  <c r="U1144" i="3"/>
  <c r="F1144" i="3"/>
  <c r="J1144" i="3"/>
  <c r="N1144" i="3"/>
  <c r="R1144" i="3"/>
  <c r="V1144" i="3"/>
  <c r="G1144" i="3"/>
  <c r="K1144" i="3"/>
  <c r="O1144" i="3"/>
  <c r="W1144" i="3"/>
  <c r="D1144" i="3"/>
  <c r="H1144" i="3"/>
  <c r="L1144" i="3"/>
  <c r="P1144" i="3"/>
  <c r="T1144" i="3"/>
  <c r="E1128" i="3"/>
  <c r="I1128" i="3"/>
  <c r="M1128" i="3"/>
  <c r="Q1128" i="3"/>
  <c r="U1128" i="3"/>
  <c r="F1128" i="3"/>
  <c r="J1128" i="3"/>
  <c r="N1128" i="3"/>
  <c r="R1128" i="3"/>
  <c r="V1128" i="3"/>
  <c r="G1128" i="3"/>
  <c r="K1128" i="3"/>
  <c r="O1128" i="3"/>
  <c r="W1128" i="3"/>
  <c r="D1128" i="3"/>
  <c r="H1128" i="3"/>
  <c r="L1128" i="3"/>
  <c r="P1128" i="3"/>
  <c r="T1128" i="3"/>
  <c r="E1112" i="3"/>
  <c r="I1112" i="3"/>
  <c r="M1112" i="3"/>
  <c r="Q1112" i="3"/>
  <c r="U1112" i="3"/>
  <c r="F1112" i="3"/>
  <c r="J1112" i="3"/>
  <c r="N1112" i="3"/>
  <c r="R1112" i="3"/>
  <c r="V1112" i="3"/>
  <c r="G1112" i="3"/>
  <c r="K1112" i="3"/>
  <c r="O1112" i="3"/>
  <c r="W1112" i="3"/>
  <c r="D1112" i="3"/>
  <c r="H1112" i="3"/>
  <c r="L1112" i="3"/>
  <c r="P1112" i="3"/>
  <c r="T1112" i="3"/>
  <c r="E1096" i="3"/>
  <c r="I1096" i="3"/>
  <c r="M1096" i="3"/>
  <c r="Q1096" i="3"/>
  <c r="U1096" i="3"/>
  <c r="F1096" i="3"/>
  <c r="J1096" i="3"/>
  <c r="N1096" i="3"/>
  <c r="R1096" i="3"/>
  <c r="V1096" i="3"/>
  <c r="G1096" i="3"/>
  <c r="K1096" i="3"/>
  <c r="O1096" i="3"/>
  <c r="W1096" i="3"/>
  <c r="D1096" i="3"/>
  <c r="H1096" i="3"/>
  <c r="L1096" i="3"/>
  <c r="P1096" i="3"/>
  <c r="T1096" i="3"/>
  <c r="E1080" i="3"/>
  <c r="I1080" i="3"/>
  <c r="M1080" i="3"/>
  <c r="Q1080" i="3"/>
  <c r="U1080" i="3"/>
  <c r="F1080" i="3"/>
  <c r="J1080" i="3"/>
  <c r="N1080" i="3"/>
  <c r="R1080" i="3"/>
  <c r="V1080" i="3"/>
  <c r="G1080" i="3"/>
  <c r="K1080" i="3"/>
  <c r="O1080" i="3"/>
  <c r="W1080" i="3"/>
  <c r="D1080" i="3"/>
  <c r="H1080" i="3"/>
  <c r="L1080" i="3"/>
  <c r="P1080" i="3"/>
  <c r="T1080" i="3"/>
  <c r="E1064" i="3"/>
  <c r="I1064" i="3"/>
  <c r="M1064" i="3"/>
  <c r="Q1064" i="3"/>
  <c r="U1064" i="3"/>
  <c r="F1064" i="3"/>
  <c r="J1064" i="3"/>
  <c r="N1064" i="3"/>
  <c r="R1064" i="3"/>
  <c r="V1064" i="3"/>
  <c r="G1064" i="3"/>
  <c r="K1064" i="3"/>
  <c r="O1064" i="3"/>
  <c r="W1064" i="3"/>
  <c r="D1064" i="3"/>
  <c r="H1064" i="3"/>
  <c r="L1064" i="3"/>
  <c r="P1064" i="3"/>
  <c r="T1064" i="3"/>
  <c r="E1048" i="3"/>
  <c r="I1048" i="3"/>
  <c r="M1048" i="3"/>
  <c r="Q1048" i="3"/>
  <c r="U1048" i="3"/>
  <c r="F1048" i="3"/>
  <c r="J1048" i="3"/>
  <c r="N1048" i="3"/>
  <c r="R1048" i="3"/>
  <c r="V1048" i="3"/>
  <c r="G1048" i="3"/>
  <c r="K1048" i="3"/>
  <c r="O1048" i="3"/>
  <c r="W1048" i="3"/>
  <c r="D1048" i="3"/>
  <c r="H1048" i="3"/>
  <c r="L1048" i="3"/>
  <c r="P1048" i="3"/>
  <c r="T1048" i="3"/>
  <c r="E1032" i="3"/>
  <c r="I1032" i="3"/>
  <c r="M1032" i="3"/>
  <c r="Q1032" i="3"/>
  <c r="U1032" i="3"/>
  <c r="F1032" i="3"/>
  <c r="J1032" i="3"/>
  <c r="N1032" i="3"/>
  <c r="R1032" i="3"/>
  <c r="V1032" i="3"/>
  <c r="G1032" i="3"/>
  <c r="K1032" i="3"/>
  <c r="O1032" i="3"/>
  <c r="W1032" i="3"/>
  <c r="D1032" i="3"/>
  <c r="H1032" i="3"/>
  <c r="L1032" i="3"/>
  <c r="P1032" i="3"/>
  <c r="T1032" i="3"/>
  <c r="E1016" i="3"/>
  <c r="I1016" i="3"/>
  <c r="M1016" i="3"/>
  <c r="Q1016" i="3"/>
  <c r="U1016" i="3"/>
  <c r="F1016" i="3"/>
  <c r="J1016" i="3"/>
  <c r="N1016" i="3"/>
  <c r="R1016" i="3"/>
  <c r="V1016" i="3"/>
  <c r="G1016" i="3"/>
  <c r="K1016" i="3"/>
  <c r="O1016" i="3"/>
  <c r="W1016" i="3"/>
  <c r="D1016" i="3"/>
  <c r="H1016" i="3"/>
  <c r="L1016" i="3"/>
  <c r="P1016" i="3"/>
  <c r="T1016" i="3"/>
  <c r="E1000" i="3"/>
  <c r="I1000" i="3"/>
  <c r="M1000" i="3"/>
  <c r="Q1000" i="3"/>
  <c r="U1000" i="3"/>
  <c r="F1000" i="3"/>
  <c r="J1000" i="3"/>
  <c r="N1000" i="3"/>
  <c r="R1000" i="3"/>
  <c r="V1000" i="3"/>
  <c r="G1000" i="3"/>
  <c r="K1000" i="3"/>
  <c r="O1000" i="3"/>
  <c r="W1000" i="3"/>
  <c r="D1000" i="3"/>
  <c r="H1000" i="3"/>
  <c r="L1000" i="3"/>
  <c r="P1000" i="3"/>
  <c r="T1000" i="3"/>
  <c r="E984" i="3"/>
  <c r="I984" i="3"/>
  <c r="M984" i="3"/>
  <c r="Q984" i="3"/>
  <c r="U984" i="3"/>
  <c r="F984" i="3"/>
  <c r="J984" i="3"/>
  <c r="N984" i="3"/>
  <c r="R984" i="3"/>
  <c r="V984" i="3"/>
  <c r="G984" i="3"/>
  <c r="K984" i="3"/>
  <c r="O984" i="3"/>
  <c r="W984" i="3"/>
  <c r="D984" i="3"/>
  <c r="H984" i="3"/>
  <c r="L984" i="3"/>
  <c r="P984" i="3"/>
  <c r="T984" i="3"/>
  <c r="E965" i="3"/>
  <c r="I965" i="3"/>
  <c r="M965" i="3"/>
  <c r="Q965" i="3"/>
  <c r="U965" i="3"/>
  <c r="F965" i="3"/>
  <c r="J965" i="3"/>
  <c r="N965" i="3"/>
  <c r="R965" i="3"/>
  <c r="V965" i="3"/>
  <c r="G965" i="3"/>
  <c r="K965" i="3"/>
  <c r="O965" i="3"/>
  <c r="W965" i="3"/>
  <c r="D965" i="3"/>
  <c r="H965" i="3"/>
  <c r="L965" i="3"/>
  <c r="P965" i="3"/>
  <c r="T965" i="3"/>
  <c r="E946" i="3"/>
  <c r="I946" i="3"/>
  <c r="M946" i="3"/>
  <c r="Q946" i="3"/>
  <c r="U946" i="3"/>
  <c r="F946" i="3"/>
  <c r="J946" i="3"/>
  <c r="N946" i="3"/>
  <c r="R946" i="3"/>
  <c r="V946" i="3"/>
  <c r="G946" i="3"/>
  <c r="K946" i="3"/>
  <c r="O946" i="3"/>
  <c r="W946" i="3"/>
  <c r="D946" i="3"/>
  <c r="H946" i="3"/>
  <c r="L946" i="3"/>
  <c r="P946" i="3"/>
  <c r="T946" i="3"/>
  <c r="E927" i="3"/>
  <c r="I927" i="3"/>
  <c r="M927" i="3"/>
  <c r="Q927" i="3"/>
  <c r="U927" i="3"/>
  <c r="F927" i="3"/>
  <c r="J927" i="3"/>
  <c r="N927" i="3"/>
  <c r="R927" i="3"/>
  <c r="V927" i="3"/>
  <c r="G927" i="3"/>
  <c r="K927" i="3"/>
  <c r="O927" i="3"/>
  <c r="W927" i="3"/>
  <c r="D927" i="3"/>
  <c r="H927" i="3"/>
  <c r="L927" i="3"/>
  <c r="P927" i="3"/>
  <c r="T927" i="3"/>
  <c r="E901" i="3"/>
  <c r="I901" i="3"/>
  <c r="M901" i="3"/>
  <c r="Q901" i="3"/>
  <c r="U901" i="3"/>
  <c r="F901" i="3"/>
  <c r="J901" i="3"/>
  <c r="N901" i="3"/>
  <c r="R901" i="3"/>
  <c r="V901" i="3"/>
  <c r="G901" i="3"/>
  <c r="K901" i="3"/>
  <c r="O901" i="3"/>
  <c r="W901" i="3"/>
  <c r="D901" i="3"/>
  <c r="H901" i="3"/>
  <c r="L901" i="3"/>
  <c r="P901" i="3"/>
  <c r="T901" i="3"/>
  <c r="E877" i="3"/>
  <c r="I877" i="3"/>
  <c r="M877" i="3"/>
  <c r="Q877" i="3"/>
  <c r="U877" i="3"/>
  <c r="F877" i="3"/>
  <c r="J877" i="3"/>
  <c r="N877" i="3"/>
  <c r="R877" i="3"/>
  <c r="V877" i="3"/>
  <c r="G877" i="3"/>
  <c r="K877" i="3"/>
  <c r="O877" i="3"/>
  <c r="W877" i="3"/>
  <c r="D877" i="3"/>
  <c r="H877" i="3"/>
  <c r="L877" i="3"/>
  <c r="P877" i="3"/>
  <c r="T877" i="3"/>
  <c r="E845" i="3"/>
  <c r="I845" i="3"/>
  <c r="M845" i="3"/>
  <c r="Q845" i="3"/>
  <c r="U845" i="3"/>
  <c r="F845" i="3"/>
  <c r="J845" i="3"/>
  <c r="N845" i="3"/>
  <c r="R845" i="3"/>
  <c r="V845" i="3"/>
  <c r="G845" i="3"/>
  <c r="K845" i="3"/>
  <c r="O845" i="3"/>
  <c r="W845" i="3"/>
  <c r="D845" i="3"/>
  <c r="H845" i="3"/>
  <c r="L845" i="3"/>
  <c r="P845" i="3"/>
  <c r="T845" i="3"/>
  <c r="E1161" i="3"/>
  <c r="I1161" i="3"/>
  <c r="M1161" i="3"/>
  <c r="Q1161" i="3"/>
  <c r="U1161" i="3"/>
  <c r="F1161" i="3"/>
  <c r="J1161" i="3"/>
  <c r="N1161" i="3"/>
  <c r="R1161" i="3"/>
  <c r="V1161" i="3"/>
  <c r="G1161" i="3"/>
  <c r="K1161" i="3"/>
  <c r="O1161" i="3"/>
  <c r="W1161" i="3"/>
  <c r="D1161" i="3"/>
  <c r="H1161" i="3"/>
  <c r="L1161" i="3"/>
  <c r="P1161" i="3"/>
  <c r="T1161" i="3"/>
  <c r="E1145" i="3"/>
  <c r="I1145" i="3"/>
  <c r="M1145" i="3"/>
  <c r="Q1145" i="3"/>
  <c r="U1145" i="3"/>
  <c r="F1145" i="3"/>
  <c r="J1145" i="3"/>
  <c r="N1145" i="3"/>
  <c r="R1145" i="3"/>
  <c r="V1145" i="3"/>
  <c r="G1145" i="3"/>
  <c r="K1145" i="3"/>
  <c r="O1145" i="3"/>
  <c r="W1145" i="3"/>
  <c r="D1145" i="3"/>
  <c r="H1145" i="3"/>
  <c r="L1145" i="3"/>
  <c r="P1145" i="3"/>
  <c r="T1145" i="3"/>
  <c r="E1129" i="3"/>
  <c r="I1129" i="3"/>
  <c r="M1129" i="3"/>
  <c r="Q1129" i="3"/>
  <c r="U1129" i="3"/>
  <c r="F1129" i="3"/>
  <c r="J1129" i="3"/>
  <c r="N1129" i="3"/>
  <c r="R1129" i="3"/>
  <c r="V1129" i="3"/>
  <c r="G1129" i="3"/>
  <c r="K1129" i="3"/>
  <c r="O1129" i="3"/>
  <c r="W1129" i="3"/>
  <c r="D1129" i="3"/>
  <c r="H1129" i="3"/>
  <c r="L1129" i="3"/>
  <c r="P1129" i="3"/>
  <c r="T1129" i="3"/>
  <c r="E1113" i="3"/>
  <c r="I1113" i="3"/>
  <c r="M1113" i="3"/>
  <c r="Q1113" i="3"/>
  <c r="U1113" i="3"/>
  <c r="F1113" i="3"/>
  <c r="J1113" i="3"/>
  <c r="N1113" i="3"/>
  <c r="R1113" i="3"/>
  <c r="V1113" i="3"/>
  <c r="G1113" i="3"/>
  <c r="K1113" i="3"/>
  <c r="O1113" i="3"/>
  <c r="W1113" i="3"/>
  <c r="D1113" i="3"/>
  <c r="H1113" i="3"/>
  <c r="L1113" i="3"/>
  <c r="P1113" i="3"/>
  <c r="T1113" i="3"/>
  <c r="E1097" i="3"/>
  <c r="I1097" i="3"/>
  <c r="M1097" i="3"/>
  <c r="Q1097" i="3"/>
  <c r="U1097" i="3"/>
  <c r="F1097" i="3"/>
  <c r="J1097" i="3"/>
  <c r="N1097" i="3"/>
  <c r="R1097" i="3"/>
  <c r="V1097" i="3"/>
  <c r="G1097" i="3"/>
  <c r="K1097" i="3"/>
  <c r="O1097" i="3"/>
  <c r="W1097" i="3"/>
  <c r="D1097" i="3"/>
  <c r="H1097" i="3"/>
  <c r="L1097" i="3"/>
  <c r="P1097" i="3"/>
  <c r="T1097" i="3"/>
  <c r="E1081" i="3"/>
  <c r="I1081" i="3"/>
  <c r="M1081" i="3"/>
  <c r="Q1081" i="3"/>
  <c r="U1081" i="3"/>
  <c r="F1081" i="3"/>
  <c r="J1081" i="3"/>
  <c r="N1081" i="3"/>
  <c r="R1081" i="3"/>
  <c r="V1081" i="3"/>
  <c r="G1081" i="3"/>
  <c r="K1081" i="3"/>
  <c r="O1081" i="3"/>
  <c r="W1081" i="3"/>
  <c r="D1081" i="3"/>
  <c r="H1081" i="3"/>
  <c r="L1081" i="3"/>
  <c r="P1081" i="3"/>
  <c r="T1081" i="3"/>
  <c r="E1065" i="3"/>
  <c r="I1065" i="3"/>
  <c r="M1065" i="3"/>
  <c r="Q1065" i="3"/>
  <c r="U1065" i="3"/>
  <c r="F1065" i="3"/>
  <c r="J1065" i="3"/>
  <c r="N1065" i="3"/>
  <c r="R1065" i="3"/>
  <c r="V1065" i="3"/>
  <c r="G1065" i="3"/>
  <c r="K1065" i="3"/>
  <c r="O1065" i="3"/>
  <c r="W1065" i="3"/>
  <c r="D1065" i="3"/>
  <c r="H1065" i="3"/>
  <c r="L1065" i="3"/>
  <c r="P1065" i="3"/>
  <c r="T1065" i="3"/>
  <c r="E1049" i="3"/>
  <c r="I1049" i="3"/>
  <c r="M1049" i="3"/>
  <c r="Q1049" i="3"/>
  <c r="U1049" i="3"/>
  <c r="F1049" i="3"/>
  <c r="J1049" i="3"/>
  <c r="N1049" i="3"/>
  <c r="R1049" i="3"/>
  <c r="V1049" i="3"/>
  <c r="G1049" i="3"/>
  <c r="K1049" i="3"/>
  <c r="O1049" i="3"/>
  <c r="W1049" i="3"/>
  <c r="D1049" i="3"/>
  <c r="H1049" i="3"/>
  <c r="L1049" i="3"/>
  <c r="P1049" i="3"/>
  <c r="T1049" i="3"/>
  <c r="E1033" i="3"/>
  <c r="I1033" i="3"/>
  <c r="M1033" i="3"/>
  <c r="Q1033" i="3"/>
  <c r="U1033" i="3"/>
  <c r="F1033" i="3"/>
  <c r="J1033" i="3"/>
  <c r="N1033" i="3"/>
  <c r="R1033" i="3"/>
  <c r="V1033" i="3"/>
  <c r="G1033" i="3"/>
  <c r="K1033" i="3"/>
  <c r="O1033" i="3"/>
  <c r="W1033" i="3"/>
  <c r="D1033" i="3"/>
  <c r="H1033" i="3"/>
  <c r="L1033" i="3"/>
  <c r="P1033" i="3"/>
  <c r="T1033" i="3"/>
  <c r="E1017" i="3"/>
  <c r="I1017" i="3"/>
  <c r="M1017" i="3"/>
  <c r="Q1017" i="3"/>
  <c r="U1017" i="3"/>
  <c r="F1017" i="3"/>
  <c r="J1017" i="3"/>
  <c r="N1017" i="3"/>
  <c r="R1017" i="3"/>
  <c r="V1017" i="3"/>
  <c r="G1017" i="3"/>
  <c r="K1017" i="3"/>
  <c r="O1017" i="3"/>
  <c r="W1017" i="3"/>
  <c r="D1017" i="3"/>
  <c r="H1017" i="3"/>
  <c r="L1017" i="3"/>
  <c r="P1017" i="3"/>
  <c r="T1017" i="3"/>
  <c r="E1001" i="3"/>
  <c r="I1001" i="3"/>
  <c r="M1001" i="3"/>
  <c r="Q1001" i="3"/>
  <c r="U1001" i="3"/>
  <c r="F1001" i="3"/>
  <c r="J1001" i="3"/>
  <c r="N1001" i="3"/>
  <c r="R1001" i="3"/>
  <c r="V1001" i="3"/>
  <c r="G1001" i="3"/>
  <c r="K1001" i="3"/>
  <c r="O1001" i="3"/>
  <c r="W1001" i="3"/>
  <c r="D1001" i="3"/>
  <c r="H1001" i="3"/>
  <c r="L1001" i="3"/>
  <c r="P1001" i="3"/>
  <c r="T1001" i="3"/>
  <c r="E985" i="3"/>
  <c r="I985" i="3"/>
  <c r="M985" i="3"/>
  <c r="Q985" i="3"/>
  <c r="U985" i="3"/>
  <c r="F985" i="3"/>
  <c r="J985" i="3"/>
  <c r="N985" i="3"/>
  <c r="R985" i="3"/>
  <c r="V985" i="3"/>
  <c r="G985" i="3"/>
  <c r="K985" i="3"/>
  <c r="O985" i="3"/>
  <c r="W985" i="3"/>
  <c r="D985" i="3"/>
  <c r="H985" i="3"/>
  <c r="L985" i="3"/>
  <c r="P985" i="3"/>
  <c r="T985" i="3"/>
  <c r="E969" i="3"/>
  <c r="I969" i="3"/>
  <c r="M969" i="3"/>
  <c r="Q969" i="3"/>
  <c r="U969" i="3"/>
  <c r="F969" i="3"/>
  <c r="J969" i="3"/>
  <c r="N969" i="3"/>
  <c r="R969" i="3"/>
  <c r="V969" i="3"/>
  <c r="G969" i="3"/>
  <c r="K969" i="3"/>
  <c r="O969" i="3"/>
  <c r="W969" i="3"/>
  <c r="D969" i="3"/>
  <c r="H969" i="3"/>
  <c r="L969" i="3"/>
  <c r="P969" i="3"/>
  <c r="T969" i="3"/>
  <c r="E950" i="3"/>
  <c r="I950" i="3"/>
  <c r="M950" i="3"/>
  <c r="Q950" i="3"/>
  <c r="U950" i="3"/>
  <c r="F950" i="3"/>
  <c r="J950" i="3"/>
  <c r="N950" i="3"/>
  <c r="R950" i="3"/>
  <c r="V950" i="3"/>
  <c r="G950" i="3"/>
  <c r="K950" i="3"/>
  <c r="O950" i="3"/>
  <c r="W950" i="3"/>
  <c r="D950" i="3"/>
  <c r="H950" i="3"/>
  <c r="L950" i="3"/>
  <c r="P950" i="3"/>
  <c r="T950" i="3"/>
  <c r="E931" i="3"/>
  <c r="I931" i="3"/>
  <c r="M931" i="3"/>
  <c r="Q931" i="3"/>
  <c r="U931" i="3"/>
  <c r="F931" i="3"/>
  <c r="J931" i="3"/>
  <c r="N931" i="3"/>
  <c r="R931" i="3"/>
  <c r="V931" i="3"/>
  <c r="G931" i="3"/>
  <c r="K931" i="3"/>
  <c r="O931" i="3"/>
  <c r="W931" i="3"/>
  <c r="D931" i="3"/>
  <c r="H931" i="3"/>
  <c r="L931" i="3"/>
  <c r="P931" i="3"/>
  <c r="T931" i="3"/>
  <c r="E905" i="3"/>
  <c r="I905" i="3"/>
  <c r="M905" i="3"/>
  <c r="Q905" i="3"/>
  <c r="U905" i="3"/>
  <c r="F905" i="3"/>
  <c r="J905" i="3"/>
  <c r="N905" i="3"/>
  <c r="R905" i="3"/>
  <c r="V905" i="3"/>
  <c r="G905" i="3"/>
  <c r="K905" i="3"/>
  <c r="O905" i="3"/>
  <c r="W905" i="3"/>
  <c r="D905" i="3"/>
  <c r="H905" i="3"/>
  <c r="L905" i="3"/>
  <c r="P905" i="3"/>
  <c r="T905" i="3"/>
  <c r="E886" i="3"/>
  <c r="I886" i="3"/>
  <c r="M886" i="3"/>
  <c r="Q886" i="3"/>
  <c r="U886" i="3"/>
  <c r="F886" i="3"/>
  <c r="J886" i="3"/>
  <c r="N886" i="3"/>
  <c r="R886" i="3"/>
  <c r="V886" i="3"/>
  <c r="G886" i="3"/>
  <c r="K886" i="3"/>
  <c r="O886" i="3"/>
  <c r="W886" i="3"/>
  <c r="D886" i="3"/>
  <c r="H886" i="3"/>
  <c r="L886" i="3"/>
  <c r="P886" i="3"/>
  <c r="T886" i="3"/>
  <c r="E854" i="3"/>
  <c r="I854" i="3"/>
  <c r="M854" i="3"/>
  <c r="Q854" i="3"/>
  <c r="U854" i="3"/>
  <c r="F854" i="3"/>
  <c r="J854" i="3"/>
  <c r="N854" i="3"/>
  <c r="R854" i="3"/>
  <c r="V854" i="3"/>
  <c r="G854" i="3"/>
  <c r="K854" i="3"/>
  <c r="O854" i="3"/>
  <c r="W854" i="3"/>
  <c r="D854" i="3"/>
  <c r="H854" i="3"/>
  <c r="L854" i="3"/>
  <c r="P854" i="3"/>
  <c r="T854" i="3"/>
  <c r="E875" i="3"/>
  <c r="I875" i="3"/>
  <c r="M875" i="3"/>
  <c r="Q875" i="3"/>
  <c r="U875" i="3"/>
  <c r="F875" i="3"/>
  <c r="J875" i="3"/>
  <c r="N875" i="3"/>
  <c r="R875" i="3"/>
  <c r="V875" i="3"/>
  <c r="G875" i="3"/>
  <c r="K875" i="3"/>
  <c r="O875" i="3"/>
  <c r="W875" i="3"/>
  <c r="D875" i="3"/>
  <c r="H875" i="3"/>
  <c r="L875" i="3"/>
  <c r="P875" i="3"/>
  <c r="T875" i="3"/>
  <c r="E859" i="3"/>
  <c r="I859" i="3"/>
  <c r="M859" i="3"/>
  <c r="Q859" i="3"/>
  <c r="U859" i="3"/>
  <c r="F859" i="3"/>
  <c r="J859" i="3"/>
  <c r="N859" i="3"/>
  <c r="R859" i="3"/>
  <c r="V859" i="3"/>
  <c r="G859" i="3"/>
  <c r="K859" i="3"/>
  <c r="O859" i="3"/>
  <c r="W859" i="3"/>
  <c r="D859" i="3"/>
  <c r="H859" i="3"/>
  <c r="L859" i="3"/>
  <c r="P859" i="3"/>
  <c r="T859" i="3"/>
  <c r="E843" i="3"/>
  <c r="I843" i="3"/>
  <c r="M843" i="3"/>
  <c r="Q843" i="3"/>
  <c r="U843" i="3"/>
  <c r="F843" i="3"/>
  <c r="J843" i="3"/>
  <c r="N843" i="3"/>
  <c r="R843" i="3"/>
  <c r="V843" i="3"/>
  <c r="G843" i="3"/>
  <c r="K843" i="3"/>
  <c r="O843" i="3"/>
  <c r="W843" i="3"/>
  <c r="D843" i="3"/>
  <c r="H843" i="3"/>
  <c r="L843" i="3"/>
  <c r="P843" i="3"/>
  <c r="T843" i="3"/>
  <c r="E827" i="3"/>
  <c r="I827" i="3"/>
  <c r="M827" i="3"/>
  <c r="Q827" i="3"/>
  <c r="U827" i="3"/>
  <c r="F827" i="3"/>
  <c r="J827" i="3"/>
  <c r="N827" i="3"/>
  <c r="R827" i="3"/>
  <c r="V827" i="3"/>
  <c r="G827" i="3"/>
  <c r="K827" i="3"/>
  <c r="O827" i="3"/>
  <c r="W827" i="3"/>
  <c r="D827" i="3"/>
  <c r="H827" i="3"/>
  <c r="L827" i="3"/>
  <c r="P827" i="3"/>
  <c r="T827" i="3"/>
  <c r="E811" i="3"/>
  <c r="I811" i="3"/>
  <c r="M811" i="3"/>
  <c r="Q811" i="3"/>
  <c r="U811" i="3"/>
  <c r="F811" i="3"/>
  <c r="J811" i="3"/>
  <c r="N811" i="3"/>
  <c r="R811" i="3"/>
  <c r="V811" i="3"/>
  <c r="G811" i="3"/>
  <c r="K811" i="3"/>
  <c r="O811" i="3"/>
  <c r="W811" i="3"/>
  <c r="D811" i="3"/>
  <c r="H811" i="3"/>
  <c r="L811" i="3"/>
  <c r="P811" i="3"/>
  <c r="T811" i="3"/>
  <c r="E795" i="3"/>
  <c r="I795" i="3"/>
  <c r="M795" i="3"/>
  <c r="Q795" i="3"/>
  <c r="U795" i="3"/>
  <c r="F795" i="3"/>
  <c r="J795" i="3"/>
  <c r="N795" i="3"/>
  <c r="R795" i="3"/>
  <c r="V795" i="3"/>
  <c r="G795" i="3"/>
  <c r="K795" i="3"/>
  <c r="O795" i="3"/>
  <c r="W795" i="3"/>
  <c r="D795" i="3"/>
  <c r="H795" i="3"/>
  <c r="L795" i="3"/>
  <c r="P795" i="3"/>
  <c r="T795" i="3"/>
  <c r="E779" i="3"/>
  <c r="I779" i="3"/>
  <c r="M779" i="3"/>
  <c r="Q779" i="3"/>
  <c r="U779" i="3"/>
  <c r="F779" i="3"/>
  <c r="J779" i="3"/>
  <c r="N779" i="3"/>
  <c r="R779" i="3"/>
  <c r="V779" i="3"/>
  <c r="G779" i="3"/>
  <c r="K779" i="3"/>
  <c r="O779" i="3"/>
  <c r="W779" i="3"/>
  <c r="D779" i="3"/>
  <c r="H779" i="3"/>
  <c r="L779" i="3"/>
  <c r="P779" i="3"/>
  <c r="T779" i="3"/>
  <c r="D763" i="3"/>
  <c r="H763" i="3"/>
  <c r="L763" i="3"/>
  <c r="P763" i="3"/>
  <c r="T763" i="3"/>
  <c r="E763" i="3"/>
  <c r="I763" i="3"/>
  <c r="M763" i="3"/>
  <c r="Q763" i="3"/>
  <c r="U763" i="3"/>
  <c r="F763" i="3"/>
  <c r="J763" i="3"/>
  <c r="N763" i="3"/>
  <c r="R763" i="3"/>
  <c r="V763" i="3"/>
  <c r="G763" i="3"/>
  <c r="K763" i="3"/>
  <c r="O763" i="3"/>
  <c r="W763" i="3"/>
  <c r="D747" i="3"/>
  <c r="H747" i="3"/>
  <c r="L747" i="3"/>
  <c r="P747" i="3"/>
  <c r="T747" i="3"/>
  <c r="E747" i="3"/>
  <c r="I747" i="3"/>
  <c r="M747" i="3"/>
  <c r="Q747" i="3"/>
  <c r="U747" i="3"/>
  <c r="F747" i="3"/>
  <c r="J747" i="3"/>
  <c r="N747" i="3"/>
  <c r="R747" i="3"/>
  <c r="V747" i="3"/>
  <c r="G747" i="3"/>
  <c r="K747" i="3"/>
  <c r="O747" i="3"/>
  <c r="W747" i="3"/>
  <c r="D731" i="3"/>
  <c r="H731" i="3"/>
  <c r="L731" i="3"/>
  <c r="P731" i="3"/>
  <c r="T731" i="3"/>
  <c r="E731" i="3"/>
  <c r="I731" i="3"/>
  <c r="M731" i="3"/>
  <c r="Q731" i="3"/>
  <c r="U731" i="3"/>
  <c r="F731" i="3"/>
  <c r="J731" i="3"/>
  <c r="N731" i="3"/>
  <c r="R731" i="3"/>
  <c r="V731" i="3"/>
  <c r="G731" i="3"/>
  <c r="K731" i="3"/>
  <c r="O731" i="3"/>
  <c r="W731" i="3"/>
  <c r="D715" i="3"/>
  <c r="H715" i="3"/>
  <c r="L715" i="3"/>
  <c r="P715" i="3"/>
  <c r="T715" i="3"/>
  <c r="E715" i="3"/>
  <c r="I715" i="3"/>
  <c r="M715" i="3"/>
  <c r="Q715" i="3"/>
  <c r="U715" i="3"/>
  <c r="F715" i="3"/>
  <c r="J715" i="3"/>
  <c r="N715" i="3"/>
  <c r="R715" i="3"/>
  <c r="V715" i="3"/>
  <c r="G715" i="3"/>
  <c r="K715" i="3"/>
  <c r="O715" i="3"/>
  <c r="W715" i="3"/>
  <c r="D694" i="3"/>
  <c r="H694" i="3"/>
  <c r="L694" i="3"/>
  <c r="P694" i="3"/>
  <c r="T694" i="3"/>
  <c r="E694" i="3"/>
  <c r="I694" i="3"/>
  <c r="M694" i="3"/>
  <c r="Q694" i="3"/>
  <c r="U694" i="3"/>
  <c r="F694" i="3"/>
  <c r="J694" i="3"/>
  <c r="N694" i="3"/>
  <c r="R694" i="3"/>
  <c r="V694" i="3"/>
  <c r="G694" i="3"/>
  <c r="K694" i="3"/>
  <c r="O694" i="3"/>
  <c r="W694" i="3"/>
  <c r="D675" i="3"/>
  <c r="H675" i="3"/>
  <c r="L675" i="3"/>
  <c r="P675" i="3"/>
  <c r="T675" i="3"/>
  <c r="E675" i="3"/>
  <c r="I675" i="3"/>
  <c r="M675" i="3"/>
  <c r="Q675" i="3"/>
  <c r="U675" i="3"/>
  <c r="F675" i="3"/>
  <c r="J675" i="3"/>
  <c r="N675" i="3"/>
  <c r="R675" i="3"/>
  <c r="V675" i="3"/>
  <c r="G675" i="3"/>
  <c r="K675" i="3"/>
  <c r="O675" i="3"/>
  <c r="W675" i="3"/>
  <c r="D649" i="3"/>
  <c r="H649" i="3"/>
  <c r="L649" i="3"/>
  <c r="P649" i="3"/>
  <c r="T649" i="3"/>
  <c r="E649" i="3"/>
  <c r="I649" i="3"/>
  <c r="M649" i="3"/>
  <c r="Q649" i="3"/>
  <c r="U649" i="3"/>
  <c r="F649" i="3"/>
  <c r="J649" i="3"/>
  <c r="N649" i="3"/>
  <c r="R649" i="3"/>
  <c r="V649" i="3"/>
  <c r="G649" i="3"/>
  <c r="K649" i="3"/>
  <c r="O649" i="3"/>
  <c r="W649" i="3"/>
  <c r="E630" i="3"/>
  <c r="I630" i="3"/>
  <c r="M630" i="3"/>
  <c r="F630" i="3"/>
  <c r="J630" i="3"/>
  <c r="N630" i="3"/>
  <c r="R630" i="3"/>
  <c r="V630" i="3"/>
  <c r="G630" i="3"/>
  <c r="K630" i="3"/>
  <c r="O630" i="3"/>
  <c r="D630" i="3"/>
  <c r="H630" i="3"/>
  <c r="L630" i="3"/>
  <c r="P630" i="3"/>
  <c r="T630" i="3"/>
  <c r="Q630" i="3"/>
  <c r="U630" i="3"/>
  <c r="W630" i="3"/>
  <c r="E611" i="3"/>
  <c r="I611" i="3"/>
  <c r="M611" i="3"/>
  <c r="Q611" i="3"/>
  <c r="U611" i="3"/>
  <c r="F611" i="3"/>
  <c r="J611" i="3"/>
  <c r="N611" i="3"/>
  <c r="R611" i="3"/>
  <c r="V611" i="3"/>
  <c r="G611" i="3"/>
  <c r="K611" i="3"/>
  <c r="O611" i="3"/>
  <c r="W611" i="3"/>
  <c r="D611" i="3"/>
  <c r="H611" i="3"/>
  <c r="L611" i="3"/>
  <c r="P611" i="3"/>
  <c r="T611" i="3"/>
  <c r="E956" i="3"/>
  <c r="I956" i="3"/>
  <c r="M956" i="3"/>
  <c r="Q956" i="3"/>
  <c r="U956" i="3"/>
  <c r="F956" i="3"/>
  <c r="J956" i="3"/>
  <c r="N956" i="3"/>
  <c r="R956" i="3"/>
  <c r="V956" i="3"/>
  <c r="G956" i="3"/>
  <c r="K956" i="3"/>
  <c r="O956" i="3"/>
  <c r="W956" i="3"/>
  <c r="D956" i="3"/>
  <c r="H956" i="3"/>
  <c r="L956" i="3"/>
  <c r="P956" i="3"/>
  <c r="T956" i="3"/>
  <c r="E940" i="3"/>
  <c r="I940" i="3"/>
  <c r="M940" i="3"/>
  <c r="Q940" i="3"/>
  <c r="U940" i="3"/>
  <c r="F940" i="3"/>
  <c r="J940" i="3"/>
  <c r="N940" i="3"/>
  <c r="R940" i="3"/>
  <c r="V940" i="3"/>
  <c r="G940" i="3"/>
  <c r="K940" i="3"/>
  <c r="O940" i="3"/>
  <c r="W940" i="3"/>
  <c r="D940" i="3"/>
  <c r="H940" i="3"/>
  <c r="L940" i="3"/>
  <c r="P940" i="3"/>
  <c r="T940" i="3"/>
  <c r="E924" i="3"/>
  <c r="I924" i="3"/>
  <c r="M924" i="3"/>
  <c r="Q924" i="3"/>
  <c r="U924" i="3"/>
  <c r="F924" i="3"/>
  <c r="J924" i="3"/>
  <c r="N924" i="3"/>
  <c r="R924" i="3"/>
  <c r="V924" i="3"/>
  <c r="G924" i="3"/>
  <c r="K924" i="3"/>
  <c r="O924" i="3"/>
  <c r="W924" i="3"/>
  <c r="D924" i="3"/>
  <c r="H924" i="3"/>
  <c r="L924" i="3"/>
  <c r="P924" i="3"/>
  <c r="T924" i="3"/>
  <c r="E908" i="3"/>
  <c r="I908" i="3"/>
  <c r="F908" i="3"/>
  <c r="J908" i="3"/>
  <c r="N908" i="3"/>
  <c r="R908" i="3"/>
  <c r="V908" i="3"/>
  <c r="G908" i="3"/>
  <c r="D908" i="3"/>
  <c r="H908" i="3"/>
  <c r="L908" i="3"/>
  <c r="P908" i="3"/>
  <c r="T908" i="3"/>
  <c r="K908" i="3"/>
  <c r="M908" i="3"/>
  <c r="U908" i="3"/>
  <c r="O908" i="3"/>
  <c r="W908" i="3"/>
  <c r="Q908" i="3"/>
  <c r="E892" i="3"/>
  <c r="I892" i="3"/>
  <c r="M892" i="3"/>
  <c r="Q892" i="3"/>
  <c r="U892" i="3"/>
  <c r="F892" i="3"/>
  <c r="J892" i="3"/>
  <c r="N892" i="3"/>
  <c r="R892" i="3"/>
  <c r="V892" i="3"/>
  <c r="G892" i="3"/>
  <c r="K892" i="3"/>
  <c r="O892" i="3"/>
  <c r="W892" i="3"/>
  <c r="D892" i="3"/>
  <c r="H892" i="3"/>
  <c r="L892" i="3"/>
  <c r="P892" i="3"/>
  <c r="T892" i="3"/>
  <c r="E876" i="3"/>
  <c r="I876" i="3"/>
  <c r="M876" i="3"/>
  <c r="Q876" i="3"/>
  <c r="U876" i="3"/>
  <c r="F876" i="3"/>
  <c r="J876" i="3"/>
  <c r="N876" i="3"/>
  <c r="R876" i="3"/>
  <c r="V876" i="3"/>
  <c r="G876" i="3"/>
  <c r="K876" i="3"/>
  <c r="O876" i="3"/>
  <c r="W876" i="3"/>
  <c r="D876" i="3"/>
  <c r="H876" i="3"/>
  <c r="L876" i="3"/>
  <c r="P876" i="3"/>
  <c r="T876" i="3"/>
  <c r="E860" i="3"/>
  <c r="I860" i="3"/>
  <c r="M860" i="3"/>
  <c r="Q860" i="3"/>
  <c r="U860" i="3"/>
  <c r="F860" i="3"/>
  <c r="J860" i="3"/>
  <c r="N860" i="3"/>
  <c r="R860" i="3"/>
  <c r="V860" i="3"/>
  <c r="G860" i="3"/>
  <c r="K860" i="3"/>
  <c r="O860" i="3"/>
  <c r="W860" i="3"/>
  <c r="D860" i="3"/>
  <c r="H860" i="3"/>
  <c r="L860" i="3"/>
  <c r="P860" i="3"/>
  <c r="T860" i="3"/>
  <c r="E844" i="3"/>
  <c r="I844" i="3"/>
  <c r="M844" i="3"/>
  <c r="Q844" i="3"/>
  <c r="U844" i="3"/>
  <c r="F844" i="3"/>
  <c r="J844" i="3"/>
  <c r="N844" i="3"/>
  <c r="R844" i="3"/>
  <c r="V844" i="3"/>
  <c r="G844" i="3"/>
  <c r="K844" i="3"/>
  <c r="O844" i="3"/>
  <c r="W844" i="3"/>
  <c r="D844" i="3"/>
  <c r="H844" i="3"/>
  <c r="L844" i="3"/>
  <c r="P844" i="3"/>
  <c r="T844" i="3"/>
  <c r="E828" i="3"/>
  <c r="I828" i="3"/>
  <c r="M828" i="3"/>
  <c r="Q828" i="3"/>
  <c r="U828" i="3"/>
  <c r="F828" i="3"/>
  <c r="J828" i="3"/>
  <c r="N828" i="3"/>
  <c r="R828" i="3"/>
  <c r="V828" i="3"/>
  <c r="G828" i="3"/>
  <c r="K828" i="3"/>
  <c r="O828" i="3"/>
  <c r="W828" i="3"/>
  <c r="D828" i="3"/>
  <c r="H828" i="3"/>
  <c r="L828" i="3"/>
  <c r="P828" i="3"/>
  <c r="T828" i="3"/>
  <c r="E812" i="3"/>
  <c r="I812" i="3"/>
  <c r="M812" i="3"/>
  <c r="Q812" i="3"/>
  <c r="U812" i="3"/>
  <c r="F812" i="3"/>
  <c r="J812" i="3"/>
  <c r="N812" i="3"/>
  <c r="R812" i="3"/>
  <c r="V812" i="3"/>
  <c r="G812" i="3"/>
  <c r="K812" i="3"/>
  <c r="O812" i="3"/>
  <c r="W812" i="3"/>
  <c r="D812" i="3"/>
  <c r="H812" i="3"/>
  <c r="L812" i="3"/>
  <c r="P812" i="3"/>
  <c r="T812" i="3"/>
  <c r="E796" i="3"/>
  <c r="I796" i="3"/>
  <c r="M796" i="3"/>
  <c r="Q796" i="3"/>
  <c r="U796" i="3"/>
  <c r="F796" i="3"/>
  <c r="J796" i="3"/>
  <c r="N796" i="3"/>
  <c r="R796" i="3"/>
  <c r="V796" i="3"/>
  <c r="G796" i="3"/>
  <c r="K796" i="3"/>
  <c r="O796" i="3"/>
  <c r="W796" i="3"/>
  <c r="D796" i="3"/>
  <c r="H796" i="3"/>
  <c r="L796" i="3"/>
  <c r="P796" i="3"/>
  <c r="T796" i="3"/>
  <c r="E780" i="3"/>
  <c r="I780" i="3"/>
  <c r="M780" i="3"/>
  <c r="Q780" i="3"/>
  <c r="U780" i="3"/>
  <c r="F780" i="3"/>
  <c r="J780" i="3"/>
  <c r="N780" i="3"/>
  <c r="R780" i="3"/>
  <c r="V780" i="3"/>
  <c r="G780" i="3"/>
  <c r="K780" i="3"/>
  <c r="O780" i="3"/>
  <c r="W780" i="3"/>
  <c r="D780" i="3"/>
  <c r="H780" i="3"/>
  <c r="L780" i="3"/>
  <c r="P780" i="3"/>
  <c r="T780" i="3"/>
  <c r="D764" i="3"/>
  <c r="H764" i="3"/>
  <c r="L764" i="3"/>
  <c r="P764" i="3"/>
  <c r="T764" i="3"/>
  <c r="E764" i="3"/>
  <c r="I764" i="3"/>
  <c r="M764" i="3"/>
  <c r="Q764" i="3"/>
  <c r="U764" i="3"/>
  <c r="F764" i="3"/>
  <c r="J764" i="3"/>
  <c r="N764" i="3"/>
  <c r="R764" i="3"/>
  <c r="V764" i="3"/>
  <c r="G764" i="3"/>
  <c r="K764" i="3"/>
  <c r="O764" i="3"/>
  <c r="W764" i="3"/>
  <c r="D748" i="3"/>
  <c r="H748" i="3"/>
  <c r="L748" i="3"/>
  <c r="P748" i="3"/>
  <c r="T748" i="3"/>
  <c r="E748" i="3"/>
  <c r="I748" i="3"/>
  <c r="M748" i="3"/>
  <c r="Q748" i="3"/>
  <c r="U748" i="3"/>
  <c r="F748" i="3"/>
  <c r="J748" i="3"/>
  <c r="N748" i="3"/>
  <c r="R748" i="3"/>
  <c r="V748" i="3"/>
  <c r="G748" i="3"/>
  <c r="K748" i="3"/>
  <c r="O748" i="3"/>
  <c r="W748" i="3"/>
  <c r="D732" i="3"/>
  <c r="H732" i="3"/>
  <c r="L732" i="3"/>
  <c r="P732" i="3"/>
  <c r="T732" i="3"/>
  <c r="E732" i="3"/>
  <c r="I732" i="3"/>
  <c r="M732" i="3"/>
  <c r="Q732" i="3"/>
  <c r="U732" i="3"/>
  <c r="F732" i="3"/>
  <c r="J732" i="3"/>
  <c r="N732" i="3"/>
  <c r="R732" i="3"/>
  <c r="V732" i="3"/>
  <c r="G732" i="3"/>
  <c r="K732" i="3"/>
  <c r="O732" i="3"/>
  <c r="W732" i="3"/>
  <c r="D716" i="3"/>
  <c r="H716" i="3"/>
  <c r="L716" i="3"/>
  <c r="P716" i="3"/>
  <c r="T716" i="3"/>
  <c r="E716" i="3"/>
  <c r="I716" i="3"/>
  <c r="M716" i="3"/>
  <c r="Q716" i="3"/>
  <c r="U716" i="3"/>
  <c r="F716" i="3"/>
  <c r="J716" i="3"/>
  <c r="N716" i="3"/>
  <c r="R716" i="3"/>
  <c r="V716" i="3"/>
  <c r="G716" i="3"/>
  <c r="K716" i="3"/>
  <c r="O716" i="3"/>
  <c r="W716" i="3"/>
  <c r="D698" i="3"/>
  <c r="H698" i="3"/>
  <c r="L698" i="3"/>
  <c r="P698" i="3"/>
  <c r="T698" i="3"/>
  <c r="E698" i="3"/>
  <c r="I698" i="3"/>
  <c r="M698" i="3"/>
  <c r="Q698" i="3"/>
  <c r="U698" i="3"/>
  <c r="F698" i="3"/>
  <c r="J698" i="3"/>
  <c r="N698" i="3"/>
  <c r="R698" i="3"/>
  <c r="V698" i="3"/>
  <c r="G698" i="3"/>
  <c r="K698" i="3"/>
  <c r="O698" i="3"/>
  <c r="W698" i="3"/>
  <c r="D679" i="3"/>
  <c r="H679" i="3"/>
  <c r="L679" i="3"/>
  <c r="P679" i="3"/>
  <c r="T679" i="3"/>
  <c r="E679" i="3"/>
  <c r="I679" i="3"/>
  <c r="M679" i="3"/>
  <c r="Q679" i="3"/>
  <c r="U679" i="3"/>
  <c r="F679" i="3"/>
  <c r="J679" i="3"/>
  <c r="N679" i="3"/>
  <c r="R679" i="3"/>
  <c r="V679" i="3"/>
  <c r="G679" i="3"/>
  <c r="K679" i="3"/>
  <c r="O679" i="3"/>
  <c r="W679" i="3"/>
  <c r="D653" i="3"/>
  <c r="H653" i="3"/>
  <c r="L653" i="3"/>
  <c r="P653" i="3"/>
  <c r="T653" i="3"/>
  <c r="E653" i="3"/>
  <c r="I653" i="3"/>
  <c r="M653" i="3"/>
  <c r="Q653" i="3"/>
  <c r="U653" i="3"/>
  <c r="F653" i="3"/>
  <c r="J653" i="3"/>
  <c r="N653" i="3"/>
  <c r="R653" i="3"/>
  <c r="V653" i="3"/>
  <c r="G653" i="3"/>
  <c r="K653" i="3"/>
  <c r="O653" i="3"/>
  <c r="W653" i="3"/>
  <c r="F634" i="3"/>
  <c r="J634" i="3"/>
  <c r="N634" i="3"/>
  <c r="R634" i="3"/>
  <c r="V634" i="3"/>
  <c r="D634" i="3"/>
  <c r="H634" i="3"/>
  <c r="L634" i="3"/>
  <c r="P634" i="3"/>
  <c r="T634" i="3"/>
  <c r="K634" i="3"/>
  <c r="E634" i="3"/>
  <c r="M634" i="3"/>
  <c r="U634" i="3"/>
  <c r="G634" i="3"/>
  <c r="O634" i="3"/>
  <c r="W634" i="3"/>
  <c r="I634" i="3"/>
  <c r="Q634" i="3"/>
  <c r="E615" i="3"/>
  <c r="I615" i="3"/>
  <c r="M615" i="3"/>
  <c r="Q615" i="3"/>
  <c r="U615" i="3"/>
  <c r="F615" i="3"/>
  <c r="J615" i="3"/>
  <c r="N615" i="3"/>
  <c r="R615" i="3"/>
  <c r="V615" i="3"/>
  <c r="G615" i="3"/>
  <c r="K615" i="3"/>
  <c r="O615" i="3"/>
  <c r="W615" i="3"/>
  <c r="D615" i="3"/>
  <c r="H615" i="3"/>
  <c r="L615" i="3"/>
  <c r="P615" i="3"/>
  <c r="T615" i="3"/>
  <c r="E833" i="3"/>
  <c r="I833" i="3"/>
  <c r="M833" i="3"/>
  <c r="Q833" i="3"/>
  <c r="U833" i="3"/>
  <c r="F833" i="3"/>
  <c r="J833" i="3"/>
  <c r="N833" i="3"/>
  <c r="R833" i="3"/>
  <c r="V833" i="3"/>
  <c r="G833" i="3"/>
  <c r="K833" i="3"/>
  <c r="O833" i="3"/>
  <c r="W833" i="3"/>
  <c r="D833" i="3"/>
  <c r="H833" i="3"/>
  <c r="L833" i="3"/>
  <c r="P833" i="3"/>
  <c r="T833" i="3"/>
  <c r="E817" i="3"/>
  <c r="I817" i="3"/>
  <c r="M817" i="3"/>
  <c r="Q817" i="3"/>
  <c r="U817" i="3"/>
  <c r="F817" i="3"/>
  <c r="J817" i="3"/>
  <c r="N817" i="3"/>
  <c r="R817" i="3"/>
  <c r="V817" i="3"/>
  <c r="G817" i="3"/>
  <c r="K817" i="3"/>
  <c r="O817" i="3"/>
  <c r="W817" i="3"/>
  <c r="D817" i="3"/>
  <c r="H817" i="3"/>
  <c r="L817" i="3"/>
  <c r="P817" i="3"/>
  <c r="T817" i="3"/>
  <c r="E801" i="3"/>
  <c r="I801" i="3"/>
  <c r="M801" i="3"/>
  <c r="Q801" i="3"/>
  <c r="U801" i="3"/>
  <c r="F801" i="3"/>
  <c r="J801" i="3"/>
  <c r="N801" i="3"/>
  <c r="R801" i="3"/>
  <c r="V801" i="3"/>
  <c r="G801" i="3"/>
  <c r="K801" i="3"/>
  <c r="O801" i="3"/>
  <c r="W801" i="3"/>
  <c r="D801" i="3"/>
  <c r="H801" i="3"/>
  <c r="L801" i="3"/>
  <c r="P801" i="3"/>
  <c r="T801" i="3"/>
  <c r="E785" i="3"/>
  <c r="I785" i="3"/>
  <c r="M785" i="3"/>
  <c r="Q785" i="3"/>
  <c r="U785" i="3"/>
  <c r="F785" i="3"/>
  <c r="J785" i="3"/>
  <c r="N785" i="3"/>
  <c r="R785" i="3"/>
  <c r="V785" i="3"/>
  <c r="G785" i="3"/>
  <c r="K785" i="3"/>
  <c r="O785" i="3"/>
  <c r="W785" i="3"/>
  <c r="D785" i="3"/>
  <c r="H785" i="3"/>
  <c r="L785" i="3"/>
  <c r="P785" i="3"/>
  <c r="T785" i="3"/>
  <c r="D769" i="3"/>
  <c r="H769" i="3"/>
  <c r="L769" i="3"/>
  <c r="P769" i="3"/>
  <c r="T769" i="3"/>
  <c r="E769" i="3"/>
  <c r="I769" i="3"/>
  <c r="M769" i="3"/>
  <c r="Q769" i="3"/>
  <c r="U769" i="3"/>
  <c r="F769" i="3"/>
  <c r="J769" i="3"/>
  <c r="N769" i="3"/>
  <c r="R769" i="3"/>
  <c r="V769" i="3"/>
  <c r="G769" i="3"/>
  <c r="K769" i="3"/>
  <c r="O769" i="3"/>
  <c r="W769" i="3"/>
  <c r="D753" i="3"/>
  <c r="H753" i="3"/>
  <c r="L753" i="3"/>
  <c r="P753" i="3"/>
  <c r="T753" i="3"/>
  <c r="E753" i="3"/>
  <c r="I753" i="3"/>
  <c r="M753" i="3"/>
  <c r="Q753" i="3"/>
  <c r="U753" i="3"/>
  <c r="F753" i="3"/>
  <c r="J753" i="3"/>
  <c r="N753" i="3"/>
  <c r="R753" i="3"/>
  <c r="V753" i="3"/>
  <c r="G753" i="3"/>
  <c r="K753" i="3"/>
  <c r="O753" i="3"/>
  <c r="W753" i="3"/>
  <c r="D737" i="3"/>
  <c r="H737" i="3"/>
  <c r="L737" i="3"/>
  <c r="P737" i="3"/>
  <c r="T737" i="3"/>
  <c r="E737" i="3"/>
  <c r="I737" i="3"/>
  <c r="M737" i="3"/>
  <c r="Q737" i="3"/>
  <c r="U737" i="3"/>
  <c r="F737" i="3"/>
  <c r="J737" i="3"/>
  <c r="N737" i="3"/>
  <c r="R737" i="3"/>
  <c r="V737" i="3"/>
  <c r="G737" i="3"/>
  <c r="K737" i="3"/>
  <c r="O737" i="3"/>
  <c r="W737" i="3"/>
  <c r="D721" i="3"/>
  <c r="H721" i="3"/>
  <c r="L721" i="3"/>
  <c r="P721" i="3"/>
  <c r="T721" i="3"/>
  <c r="E721" i="3"/>
  <c r="I721" i="3"/>
  <c r="M721" i="3"/>
  <c r="Q721" i="3"/>
  <c r="U721" i="3"/>
  <c r="F721" i="3"/>
  <c r="J721" i="3"/>
  <c r="N721" i="3"/>
  <c r="R721" i="3"/>
  <c r="V721" i="3"/>
  <c r="G721" i="3"/>
  <c r="K721" i="3"/>
  <c r="O721" i="3"/>
  <c r="W721" i="3"/>
  <c r="D705" i="3"/>
  <c r="H705" i="3"/>
  <c r="L705" i="3"/>
  <c r="P705" i="3"/>
  <c r="T705" i="3"/>
  <c r="E705" i="3"/>
  <c r="I705" i="3"/>
  <c r="M705" i="3"/>
  <c r="Q705" i="3"/>
  <c r="U705" i="3"/>
  <c r="F705" i="3"/>
  <c r="J705" i="3"/>
  <c r="N705" i="3"/>
  <c r="R705" i="3"/>
  <c r="V705" i="3"/>
  <c r="G705" i="3"/>
  <c r="K705" i="3"/>
  <c r="O705" i="3"/>
  <c r="W705" i="3"/>
  <c r="D686" i="3"/>
  <c r="H686" i="3"/>
  <c r="L686" i="3"/>
  <c r="P686" i="3"/>
  <c r="T686" i="3"/>
  <c r="E686" i="3"/>
  <c r="I686" i="3"/>
  <c r="M686" i="3"/>
  <c r="Q686" i="3"/>
  <c r="U686" i="3"/>
  <c r="F686" i="3"/>
  <c r="J686" i="3"/>
  <c r="N686" i="3"/>
  <c r="R686" i="3"/>
  <c r="V686" i="3"/>
  <c r="G686" i="3"/>
  <c r="K686" i="3"/>
  <c r="O686" i="3"/>
  <c r="W686" i="3"/>
  <c r="D667" i="3"/>
  <c r="H667" i="3"/>
  <c r="L667" i="3"/>
  <c r="P667" i="3"/>
  <c r="T667" i="3"/>
  <c r="E667" i="3"/>
  <c r="I667" i="3"/>
  <c r="M667" i="3"/>
  <c r="Q667" i="3"/>
  <c r="U667" i="3"/>
  <c r="F667" i="3"/>
  <c r="J667" i="3"/>
  <c r="N667" i="3"/>
  <c r="R667" i="3"/>
  <c r="V667" i="3"/>
  <c r="G667" i="3"/>
  <c r="K667" i="3"/>
  <c r="O667" i="3"/>
  <c r="W667" i="3"/>
  <c r="F641" i="3"/>
  <c r="J641" i="3"/>
  <c r="N641" i="3"/>
  <c r="R641" i="3"/>
  <c r="V641" i="3"/>
  <c r="D641" i="3"/>
  <c r="H641" i="3"/>
  <c r="L641" i="3"/>
  <c r="P641" i="3"/>
  <c r="T641" i="3"/>
  <c r="G641" i="3"/>
  <c r="O641" i="3"/>
  <c r="W641" i="3"/>
  <c r="I641" i="3"/>
  <c r="Q641" i="3"/>
  <c r="K641" i="3"/>
  <c r="E641" i="3"/>
  <c r="M641" i="3"/>
  <c r="U641" i="3"/>
  <c r="E622" i="3"/>
  <c r="I622" i="3"/>
  <c r="M622" i="3"/>
  <c r="Q622" i="3"/>
  <c r="U622" i="3"/>
  <c r="F622" i="3"/>
  <c r="J622" i="3"/>
  <c r="N622" i="3"/>
  <c r="R622" i="3"/>
  <c r="V622" i="3"/>
  <c r="G622" i="3"/>
  <c r="K622" i="3"/>
  <c r="O622" i="3"/>
  <c r="W622" i="3"/>
  <c r="D622" i="3"/>
  <c r="H622" i="3"/>
  <c r="L622" i="3"/>
  <c r="P622" i="3"/>
  <c r="T622" i="3"/>
  <c r="E599" i="3"/>
  <c r="I599" i="3"/>
  <c r="M599" i="3"/>
  <c r="Q599" i="3"/>
  <c r="U599" i="3"/>
  <c r="F599" i="3"/>
  <c r="J599" i="3"/>
  <c r="N599" i="3"/>
  <c r="R599" i="3"/>
  <c r="V599" i="3"/>
  <c r="G599" i="3"/>
  <c r="K599" i="3"/>
  <c r="O599" i="3"/>
  <c r="W599" i="3"/>
  <c r="D599" i="3"/>
  <c r="H599" i="3"/>
  <c r="L599" i="3"/>
  <c r="P599" i="3"/>
  <c r="T599" i="3"/>
  <c r="E830" i="3"/>
  <c r="I830" i="3"/>
  <c r="M830" i="3"/>
  <c r="Q830" i="3"/>
  <c r="U830" i="3"/>
  <c r="F830" i="3"/>
  <c r="J830" i="3"/>
  <c r="N830" i="3"/>
  <c r="R830" i="3"/>
  <c r="V830" i="3"/>
  <c r="G830" i="3"/>
  <c r="K830" i="3"/>
  <c r="O830" i="3"/>
  <c r="W830" i="3"/>
  <c r="D830" i="3"/>
  <c r="H830" i="3"/>
  <c r="L830" i="3"/>
  <c r="P830" i="3"/>
  <c r="T830" i="3"/>
  <c r="E814" i="3"/>
  <c r="I814" i="3"/>
  <c r="M814" i="3"/>
  <c r="Q814" i="3"/>
  <c r="U814" i="3"/>
  <c r="F814" i="3"/>
  <c r="J814" i="3"/>
  <c r="N814" i="3"/>
  <c r="R814" i="3"/>
  <c r="V814" i="3"/>
  <c r="G814" i="3"/>
  <c r="K814" i="3"/>
  <c r="O814" i="3"/>
  <c r="W814" i="3"/>
  <c r="D814" i="3"/>
  <c r="H814" i="3"/>
  <c r="L814" i="3"/>
  <c r="P814" i="3"/>
  <c r="T814" i="3"/>
  <c r="E798" i="3"/>
  <c r="I798" i="3"/>
  <c r="M798" i="3"/>
  <c r="Q798" i="3"/>
  <c r="U798" i="3"/>
  <c r="F798" i="3"/>
  <c r="J798" i="3"/>
  <c r="N798" i="3"/>
  <c r="R798" i="3"/>
  <c r="V798" i="3"/>
  <c r="G798" i="3"/>
  <c r="K798" i="3"/>
  <c r="O798" i="3"/>
  <c r="W798" i="3"/>
  <c r="D798" i="3"/>
  <c r="H798" i="3"/>
  <c r="L798" i="3"/>
  <c r="P798" i="3"/>
  <c r="T798" i="3"/>
  <c r="E782" i="3"/>
  <c r="I782" i="3"/>
  <c r="M782" i="3"/>
  <c r="Q782" i="3"/>
  <c r="U782" i="3"/>
  <c r="F782" i="3"/>
  <c r="J782" i="3"/>
  <c r="N782" i="3"/>
  <c r="R782" i="3"/>
  <c r="V782" i="3"/>
  <c r="G782" i="3"/>
  <c r="K782" i="3"/>
  <c r="O782" i="3"/>
  <c r="W782" i="3"/>
  <c r="D782" i="3"/>
  <c r="H782" i="3"/>
  <c r="L782" i="3"/>
  <c r="P782" i="3"/>
  <c r="T782" i="3"/>
  <c r="D766" i="3"/>
  <c r="H766" i="3"/>
  <c r="L766" i="3"/>
  <c r="P766" i="3"/>
  <c r="T766" i="3"/>
  <c r="E766" i="3"/>
  <c r="I766" i="3"/>
  <c r="M766" i="3"/>
  <c r="Q766" i="3"/>
  <c r="U766" i="3"/>
  <c r="F766" i="3"/>
  <c r="J766" i="3"/>
  <c r="N766" i="3"/>
  <c r="R766" i="3"/>
  <c r="V766" i="3"/>
  <c r="G766" i="3"/>
  <c r="K766" i="3"/>
  <c r="O766" i="3"/>
  <c r="W766" i="3"/>
  <c r="D750" i="3"/>
  <c r="H750" i="3"/>
  <c r="L750" i="3"/>
  <c r="P750" i="3"/>
  <c r="T750" i="3"/>
  <c r="E750" i="3"/>
  <c r="I750" i="3"/>
  <c r="M750" i="3"/>
  <c r="Q750" i="3"/>
  <c r="U750" i="3"/>
  <c r="F750" i="3"/>
  <c r="J750" i="3"/>
  <c r="N750" i="3"/>
  <c r="R750" i="3"/>
  <c r="V750" i="3"/>
  <c r="G750" i="3"/>
  <c r="K750" i="3"/>
  <c r="O750" i="3"/>
  <c r="W750" i="3"/>
  <c r="D734" i="3"/>
  <c r="H734" i="3"/>
  <c r="L734" i="3"/>
  <c r="P734" i="3"/>
  <c r="T734" i="3"/>
  <c r="E734" i="3"/>
  <c r="I734" i="3"/>
  <c r="M734" i="3"/>
  <c r="Q734" i="3"/>
  <c r="U734" i="3"/>
  <c r="F734" i="3"/>
  <c r="J734" i="3"/>
  <c r="N734" i="3"/>
  <c r="R734" i="3"/>
  <c r="V734" i="3"/>
  <c r="G734" i="3"/>
  <c r="K734" i="3"/>
  <c r="O734" i="3"/>
  <c r="W734" i="3"/>
  <c r="D718" i="3"/>
  <c r="H718" i="3"/>
  <c r="L718" i="3"/>
  <c r="P718" i="3"/>
  <c r="T718" i="3"/>
  <c r="E718" i="3"/>
  <c r="I718" i="3"/>
  <c r="M718" i="3"/>
  <c r="Q718" i="3"/>
  <c r="U718" i="3"/>
  <c r="F718" i="3"/>
  <c r="J718" i="3"/>
  <c r="N718" i="3"/>
  <c r="R718" i="3"/>
  <c r="V718" i="3"/>
  <c r="G718" i="3"/>
  <c r="K718" i="3"/>
  <c r="O718" i="3"/>
  <c r="W718" i="3"/>
  <c r="D703" i="3"/>
  <c r="H703" i="3"/>
  <c r="L703" i="3"/>
  <c r="P703" i="3"/>
  <c r="T703" i="3"/>
  <c r="E703" i="3"/>
  <c r="I703" i="3"/>
  <c r="M703" i="3"/>
  <c r="Q703" i="3"/>
  <c r="U703" i="3"/>
  <c r="F703" i="3"/>
  <c r="J703" i="3"/>
  <c r="N703" i="3"/>
  <c r="R703" i="3"/>
  <c r="V703" i="3"/>
  <c r="G703" i="3"/>
  <c r="K703" i="3"/>
  <c r="O703" i="3"/>
  <c r="W703" i="3"/>
  <c r="D677" i="3"/>
  <c r="H677" i="3"/>
  <c r="L677" i="3"/>
  <c r="P677" i="3"/>
  <c r="T677" i="3"/>
  <c r="E677" i="3"/>
  <c r="I677" i="3"/>
  <c r="M677" i="3"/>
  <c r="Q677" i="3"/>
  <c r="U677" i="3"/>
  <c r="F677" i="3"/>
  <c r="J677" i="3"/>
  <c r="N677" i="3"/>
  <c r="R677" i="3"/>
  <c r="V677" i="3"/>
  <c r="G677" i="3"/>
  <c r="K677" i="3"/>
  <c r="O677" i="3"/>
  <c r="W677" i="3"/>
  <c r="D658" i="3"/>
  <c r="H658" i="3"/>
  <c r="L658" i="3"/>
  <c r="P658" i="3"/>
  <c r="T658" i="3"/>
  <c r="E658" i="3"/>
  <c r="I658" i="3"/>
  <c r="M658" i="3"/>
  <c r="Q658" i="3"/>
  <c r="U658" i="3"/>
  <c r="F658" i="3"/>
  <c r="J658" i="3"/>
  <c r="N658" i="3"/>
  <c r="R658" i="3"/>
  <c r="V658" i="3"/>
  <c r="G658" i="3"/>
  <c r="K658" i="3"/>
  <c r="O658" i="3"/>
  <c r="W658" i="3"/>
  <c r="F639" i="3"/>
  <c r="J639" i="3"/>
  <c r="N639" i="3"/>
  <c r="R639" i="3"/>
  <c r="V639" i="3"/>
  <c r="D639" i="3"/>
  <c r="H639" i="3"/>
  <c r="L639" i="3"/>
  <c r="P639" i="3"/>
  <c r="T639" i="3"/>
  <c r="G639" i="3"/>
  <c r="O639" i="3"/>
  <c r="W639" i="3"/>
  <c r="I639" i="3"/>
  <c r="Q639" i="3"/>
  <c r="K639" i="3"/>
  <c r="E639" i="3"/>
  <c r="M639" i="3"/>
  <c r="U639" i="3"/>
  <c r="E613" i="3"/>
  <c r="I613" i="3"/>
  <c r="M613" i="3"/>
  <c r="Q613" i="3"/>
  <c r="U613" i="3"/>
  <c r="F613" i="3"/>
  <c r="J613" i="3"/>
  <c r="N613" i="3"/>
  <c r="R613" i="3"/>
  <c r="V613" i="3"/>
  <c r="G613" i="3"/>
  <c r="K613" i="3"/>
  <c r="O613" i="3"/>
  <c r="W613" i="3"/>
  <c r="D613" i="3"/>
  <c r="H613" i="3"/>
  <c r="L613" i="3"/>
  <c r="P613" i="3"/>
  <c r="T613" i="3"/>
  <c r="E601" i="3"/>
  <c r="I601" i="3"/>
  <c r="M601" i="3"/>
  <c r="Q601" i="3"/>
  <c r="U601" i="3"/>
  <c r="F601" i="3"/>
  <c r="J601" i="3"/>
  <c r="N601" i="3"/>
  <c r="R601" i="3"/>
  <c r="V601" i="3"/>
  <c r="G601" i="3"/>
  <c r="K601" i="3"/>
  <c r="O601" i="3"/>
  <c r="W601" i="3"/>
  <c r="D601" i="3"/>
  <c r="H601" i="3"/>
  <c r="L601" i="3"/>
  <c r="P601" i="3"/>
  <c r="T601" i="3"/>
  <c r="E585" i="3"/>
  <c r="I585" i="3"/>
  <c r="M585" i="3"/>
  <c r="Q585" i="3"/>
  <c r="U585" i="3"/>
  <c r="F585" i="3"/>
  <c r="J585" i="3"/>
  <c r="N585" i="3"/>
  <c r="R585" i="3"/>
  <c r="V585" i="3"/>
  <c r="G585" i="3"/>
  <c r="K585" i="3"/>
  <c r="O585" i="3"/>
  <c r="W585" i="3"/>
  <c r="D585" i="3"/>
  <c r="H585" i="3"/>
  <c r="L585" i="3"/>
  <c r="P585" i="3"/>
  <c r="T585" i="3"/>
  <c r="E569" i="3"/>
  <c r="I569" i="3"/>
  <c r="M569" i="3"/>
  <c r="Q569" i="3"/>
  <c r="U569" i="3"/>
  <c r="F569" i="3"/>
  <c r="J569" i="3"/>
  <c r="N569" i="3"/>
  <c r="R569" i="3"/>
  <c r="V569" i="3"/>
  <c r="G569" i="3"/>
  <c r="K569" i="3"/>
  <c r="O569" i="3"/>
  <c r="W569" i="3"/>
  <c r="D569" i="3"/>
  <c r="H569" i="3"/>
  <c r="L569" i="3"/>
  <c r="P569" i="3"/>
  <c r="T569" i="3"/>
  <c r="E553" i="3"/>
  <c r="I553" i="3"/>
  <c r="M553" i="3"/>
  <c r="Q553" i="3"/>
  <c r="U553" i="3"/>
  <c r="F553" i="3"/>
  <c r="J553" i="3"/>
  <c r="N553" i="3"/>
  <c r="R553" i="3"/>
  <c r="V553" i="3"/>
  <c r="G553" i="3"/>
  <c r="K553" i="3"/>
  <c r="O553" i="3"/>
  <c r="W553" i="3"/>
  <c r="D553" i="3"/>
  <c r="H553" i="3"/>
  <c r="L553" i="3"/>
  <c r="P553" i="3"/>
  <c r="T553" i="3"/>
  <c r="E537" i="3"/>
  <c r="I537" i="3"/>
  <c r="M537" i="3"/>
  <c r="Q537" i="3"/>
  <c r="U537" i="3"/>
  <c r="F537" i="3"/>
  <c r="J537" i="3"/>
  <c r="N537" i="3"/>
  <c r="R537" i="3"/>
  <c r="V537" i="3"/>
  <c r="G537" i="3"/>
  <c r="K537" i="3"/>
  <c r="O537" i="3"/>
  <c r="W537" i="3"/>
  <c r="D537" i="3"/>
  <c r="H537" i="3"/>
  <c r="L537" i="3"/>
  <c r="P537" i="3"/>
  <c r="T537" i="3"/>
  <c r="E521" i="3"/>
  <c r="I521" i="3"/>
  <c r="M521" i="3"/>
  <c r="Q521" i="3"/>
  <c r="U521" i="3"/>
  <c r="F521" i="3"/>
  <c r="J521" i="3"/>
  <c r="N521" i="3"/>
  <c r="R521" i="3"/>
  <c r="V521" i="3"/>
  <c r="G521" i="3"/>
  <c r="K521" i="3"/>
  <c r="O521" i="3"/>
  <c r="W521" i="3"/>
  <c r="D521" i="3"/>
  <c r="H521" i="3"/>
  <c r="L521" i="3"/>
  <c r="P521" i="3"/>
  <c r="T521" i="3"/>
  <c r="G505" i="3"/>
  <c r="K505" i="3"/>
  <c r="O505" i="3"/>
  <c r="W505" i="3"/>
  <c r="D505" i="3"/>
  <c r="H505" i="3"/>
  <c r="L505" i="3"/>
  <c r="P505" i="3"/>
  <c r="T505" i="3"/>
  <c r="E505" i="3"/>
  <c r="I505" i="3"/>
  <c r="M505" i="3"/>
  <c r="Q505" i="3"/>
  <c r="U505" i="3"/>
  <c r="F505" i="3"/>
  <c r="J505" i="3"/>
  <c r="N505" i="3"/>
  <c r="R505" i="3"/>
  <c r="V505" i="3"/>
  <c r="G489" i="3"/>
  <c r="K489" i="3"/>
  <c r="O489" i="3"/>
  <c r="W489" i="3"/>
  <c r="D489" i="3"/>
  <c r="H489" i="3"/>
  <c r="L489" i="3"/>
  <c r="P489" i="3"/>
  <c r="T489" i="3"/>
  <c r="E489" i="3"/>
  <c r="I489" i="3"/>
  <c r="M489" i="3"/>
  <c r="Q489" i="3"/>
  <c r="U489" i="3"/>
  <c r="F489" i="3"/>
  <c r="J489" i="3"/>
  <c r="N489" i="3"/>
  <c r="R489" i="3"/>
  <c r="V489" i="3"/>
  <c r="G473" i="3"/>
  <c r="K473" i="3"/>
  <c r="O473" i="3"/>
  <c r="W473" i="3"/>
  <c r="D473" i="3"/>
  <c r="H473" i="3"/>
  <c r="L473" i="3"/>
  <c r="P473" i="3"/>
  <c r="T473" i="3"/>
  <c r="E473" i="3"/>
  <c r="I473" i="3"/>
  <c r="M473" i="3"/>
  <c r="Q473" i="3"/>
  <c r="U473" i="3"/>
  <c r="F473" i="3"/>
  <c r="J473" i="3"/>
  <c r="N473" i="3"/>
  <c r="R473" i="3"/>
  <c r="V473" i="3"/>
  <c r="G457" i="3"/>
  <c r="K457" i="3"/>
  <c r="O457" i="3"/>
  <c r="W457" i="3"/>
  <c r="D457" i="3"/>
  <c r="H457" i="3"/>
  <c r="L457" i="3"/>
  <c r="P457" i="3"/>
  <c r="T457" i="3"/>
  <c r="E457" i="3"/>
  <c r="I457" i="3"/>
  <c r="M457" i="3"/>
  <c r="Q457" i="3"/>
  <c r="U457" i="3"/>
  <c r="F457" i="3"/>
  <c r="J457" i="3"/>
  <c r="N457" i="3"/>
  <c r="R457" i="3"/>
  <c r="V457" i="3"/>
  <c r="G441" i="3"/>
  <c r="K441" i="3"/>
  <c r="O441" i="3"/>
  <c r="W441" i="3"/>
  <c r="D441" i="3"/>
  <c r="H441" i="3"/>
  <c r="L441" i="3"/>
  <c r="P441" i="3"/>
  <c r="T441" i="3"/>
  <c r="E441" i="3"/>
  <c r="I441" i="3"/>
  <c r="M441" i="3"/>
  <c r="Q441" i="3"/>
  <c r="U441" i="3"/>
  <c r="F441" i="3"/>
  <c r="J441" i="3"/>
  <c r="N441" i="3"/>
  <c r="R441" i="3"/>
  <c r="V441" i="3"/>
  <c r="G425" i="3"/>
  <c r="K425" i="3"/>
  <c r="O425" i="3"/>
  <c r="W425" i="3"/>
  <c r="D425" i="3"/>
  <c r="H425" i="3"/>
  <c r="L425" i="3"/>
  <c r="P425" i="3"/>
  <c r="T425" i="3"/>
  <c r="E425" i="3"/>
  <c r="I425" i="3"/>
  <c r="M425" i="3"/>
  <c r="Q425" i="3"/>
  <c r="U425" i="3"/>
  <c r="F425" i="3"/>
  <c r="J425" i="3"/>
  <c r="N425" i="3"/>
  <c r="R425" i="3"/>
  <c r="V425" i="3"/>
  <c r="G409" i="3"/>
  <c r="K409" i="3"/>
  <c r="O409" i="3"/>
  <c r="W409" i="3"/>
  <c r="D409" i="3"/>
  <c r="H409" i="3"/>
  <c r="L409" i="3"/>
  <c r="P409" i="3"/>
  <c r="T409" i="3"/>
  <c r="E409" i="3"/>
  <c r="I409" i="3"/>
  <c r="M409" i="3"/>
  <c r="Q409" i="3"/>
  <c r="U409" i="3"/>
  <c r="F409" i="3"/>
  <c r="J409" i="3"/>
  <c r="N409" i="3"/>
  <c r="R409" i="3"/>
  <c r="V409" i="3"/>
  <c r="G393" i="3"/>
  <c r="K393" i="3"/>
  <c r="O393" i="3"/>
  <c r="W393" i="3"/>
  <c r="D393" i="3"/>
  <c r="H393" i="3"/>
  <c r="L393" i="3"/>
  <c r="P393" i="3"/>
  <c r="T393" i="3"/>
  <c r="E393" i="3"/>
  <c r="I393" i="3"/>
  <c r="M393" i="3"/>
  <c r="Q393" i="3"/>
  <c r="U393" i="3"/>
  <c r="F393" i="3"/>
  <c r="J393" i="3"/>
  <c r="N393" i="3"/>
  <c r="R393" i="3"/>
  <c r="V393" i="3"/>
  <c r="G377" i="3"/>
  <c r="K377" i="3"/>
  <c r="O377" i="3"/>
  <c r="W377" i="3"/>
  <c r="D377" i="3"/>
  <c r="H377" i="3"/>
  <c r="L377" i="3"/>
  <c r="P377" i="3"/>
  <c r="T377" i="3"/>
  <c r="E377" i="3"/>
  <c r="I377" i="3"/>
  <c r="M377" i="3"/>
  <c r="Q377" i="3"/>
  <c r="U377" i="3"/>
  <c r="F377" i="3"/>
  <c r="J377" i="3"/>
  <c r="N377" i="3"/>
  <c r="R377" i="3"/>
  <c r="V377" i="3"/>
  <c r="E598" i="3"/>
  <c r="I598" i="3"/>
  <c r="M598" i="3"/>
  <c r="Q598" i="3"/>
  <c r="U598" i="3"/>
  <c r="F598" i="3"/>
  <c r="J598" i="3"/>
  <c r="N598" i="3"/>
  <c r="R598" i="3"/>
  <c r="V598" i="3"/>
  <c r="G598" i="3"/>
  <c r="K598" i="3"/>
  <c r="O598" i="3"/>
  <c r="W598" i="3"/>
  <c r="D598" i="3"/>
  <c r="H598" i="3"/>
  <c r="L598" i="3"/>
  <c r="P598" i="3"/>
  <c r="T598" i="3"/>
  <c r="E582" i="3"/>
  <c r="I582" i="3"/>
  <c r="M582" i="3"/>
  <c r="Q582" i="3"/>
  <c r="U582" i="3"/>
  <c r="F582" i="3"/>
  <c r="J582" i="3"/>
  <c r="N582" i="3"/>
  <c r="R582" i="3"/>
  <c r="V582" i="3"/>
  <c r="G582" i="3"/>
  <c r="K582" i="3"/>
  <c r="O582" i="3"/>
  <c r="W582" i="3"/>
  <c r="D582" i="3"/>
  <c r="H582" i="3"/>
  <c r="L582" i="3"/>
  <c r="P582" i="3"/>
  <c r="T582" i="3"/>
  <c r="E566" i="3"/>
  <c r="I566" i="3"/>
  <c r="M566" i="3"/>
  <c r="Q566" i="3"/>
  <c r="U566" i="3"/>
  <c r="F566" i="3"/>
  <c r="J566" i="3"/>
  <c r="N566" i="3"/>
  <c r="R566" i="3"/>
  <c r="V566" i="3"/>
  <c r="G566" i="3"/>
  <c r="K566" i="3"/>
  <c r="O566" i="3"/>
  <c r="W566" i="3"/>
  <c r="D566" i="3"/>
  <c r="H566" i="3"/>
  <c r="L566" i="3"/>
  <c r="P566" i="3"/>
  <c r="T566" i="3"/>
  <c r="E550" i="3"/>
  <c r="I550" i="3"/>
  <c r="M550" i="3"/>
  <c r="Q550" i="3"/>
  <c r="U550" i="3"/>
  <c r="F550" i="3"/>
  <c r="J550" i="3"/>
  <c r="N550" i="3"/>
  <c r="R550" i="3"/>
  <c r="V550" i="3"/>
  <c r="G550" i="3"/>
  <c r="K550" i="3"/>
  <c r="O550" i="3"/>
  <c r="W550" i="3"/>
  <c r="D550" i="3"/>
  <c r="H550" i="3"/>
  <c r="L550" i="3"/>
  <c r="P550" i="3"/>
  <c r="T550" i="3"/>
  <c r="E534" i="3"/>
  <c r="I534" i="3"/>
  <c r="M534" i="3"/>
  <c r="Q534" i="3"/>
  <c r="U534" i="3"/>
  <c r="F534" i="3"/>
  <c r="J534" i="3"/>
  <c r="N534" i="3"/>
  <c r="R534" i="3"/>
  <c r="V534" i="3"/>
  <c r="G534" i="3"/>
  <c r="K534" i="3"/>
  <c r="O534" i="3"/>
  <c r="W534" i="3"/>
  <c r="D534" i="3"/>
  <c r="H534" i="3"/>
  <c r="L534" i="3"/>
  <c r="P534" i="3"/>
  <c r="T534" i="3"/>
  <c r="E518" i="3"/>
  <c r="I518" i="3"/>
  <c r="M518" i="3"/>
  <c r="Q518" i="3"/>
  <c r="U518" i="3"/>
  <c r="F518" i="3"/>
  <c r="J518" i="3"/>
  <c r="N518" i="3"/>
  <c r="R518" i="3"/>
  <c r="V518" i="3"/>
  <c r="G518" i="3"/>
  <c r="K518" i="3"/>
  <c r="O518" i="3"/>
  <c r="W518" i="3"/>
  <c r="D518" i="3"/>
  <c r="H518" i="3"/>
  <c r="L518" i="3"/>
  <c r="P518" i="3"/>
  <c r="T518" i="3"/>
  <c r="G502" i="3"/>
  <c r="K502" i="3"/>
  <c r="O502" i="3"/>
  <c r="W502" i="3"/>
  <c r="D502" i="3"/>
  <c r="H502" i="3"/>
  <c r="L502" i="3"/>
  <c r="P502" i="3"/>
  <c r="T502" i="3"/>
  <c r="E502" i="3"/>
  <c r="I502" i="3"/>
  <c r="M502" i="3"/>
  <c r="Q502" i="3"/>
  <c r="U502" i="3"/>
  <c r="F502" i="3"/>
  <c r="J502" i="3"/>
  <c r="N502" i="3"/>
  <c r="R502" i="3"/>
  <c r="V502" i="3"/>
  <c r="G486" i="3"/>
  <c r="K486" i="3"/>
  <c r="O486" i="3"/>
  <c r="W486" i="3"/>
  <c r="D486" i="3"/>
  <c r="H486" i="3"/>
  <c r="L486" i="3"/>
  <c r="P486" i="3"/>
  <c r="T486" i="3"/>
  <c r="E486" i="3"/>
  <c r="I486" i="3"/>
  <c r="M486" i="3"/>
  <c r="Q486" i="3"/>
  <c r="U486" i="3"/>
  <c r="F486" i="3"/>
  <c r="J486" i="3"/>
  <c r="N486" i="3"/>
  <c r="R486" i="3"/>
  <c r="V486" i="3"/>
  <c r="G470" i="3"/>
  <c r="K470" i="3"/>
  <c r="O470" i="3"/>
  <c r="W470" i="3"/>
  <c r="D470" i="3"/>
  <c r="H470" i="3"/>
  <c r="L470" i="3"/>
  <c r="P470" i="3"/>
  <c r="T470" i="3"/>
  <c r="E470" i="3"/>
  <c r="I470" i="3"/>
  <c r="M470" i="3"/>
  <c r="Q470" i="3"/>
  <c r="U470" i="3"/>
  <c r="F470" i="3"/>
  <c r="J470" i="3"/>
  <c r="N470" i="3"/>
  <c r="R470" i="3"/>
  <c r="V470" i="3"/>
  <c r="G454" i="3"/>
  <c r="K454" i="3"/>
  <c r="O454" i="3"/>
  <c r="W454" i="3"/>
  <c r="D454" i="3"/>
  <c r="H454" i="3"/>
  <c r="L454" i="3"/>
  <c r="P454" i="3"/>
  <c r="T454" i="3"/>
  <c r="E454" i="3"/>
  <c r="I454" i="3"/>
  <c r="M454" i="3"/>
  <c r="Q454" i="3"/>
  <c r="U454" i="3"/>
  <c r="F454" i="3"/>
  <c r="J454" i="3"/>
  <c r="N454" i="3"/>
  <c r="R454" i="3"/>
  <c r="V454" i="3"/>
  <c r="G438" i="3"/>
  <c r="K438" i="3"/>
  <c r="O438" i="3"/>
  <c r="W438" i="3"/>
  <c r="D438" i="3"/>
  <c r="H438" i="3"/>
  <c r="L438" i="3"/>
  <c r="P438" i="3"/>
  <c r="T438" i="3"/>
  <c r="E438" i="3"/>
  <c r="I438" i="3"/>
  <c r="M438" i="3"/>
  <c r="Q438" i="3"/>
  <c r="U438" i="3"/>
  <c r="F438" i="3"/>
  <c r="J438" i="3"/>
  <c r="N438" i="3"/>
  <c r="R438" i="3"/>
  <c r="V438" i="3"/>
  <c r="G422" i="3"/>
  <c r="K422" i="3"/>
  <c r="O422" i="3"/>
  <c r="W422" i="3"/>
  <c r="D422" i="3"/>
  <c r="H422" i="3"/>
  <c r="L422" i="3"/>
  <c r="P422" i="3"/>
  <c r="T422" i="3"/>
  <c r="E422" i="3"/>
  <c r="I422" i="3"/>
  <c r="M422" i="3"/>
  <c r="Q422" i="3"/>
  <c r="U422" i="3"/>
  <c r="F422" i="3"/>
  <c r="J422" i="3"/>
  <c r="N422" i="3"/>
  <c r="R422" i="3"/>
  <c r="V422" i="3"/>
  <c r="G406" i="3"/>
  <c r="K406" i="3"/>
  <c r="O406" i="3"/>
  <c r="W406" i="3"/>
  <c r="D406" i="3"/>
  <c r="H406" i="3"/>
  <c r="L406" i="3"/>
  <c r="P406" i="3"/>
  <c r="T406" i="3"/>
  <c r="E406" i="3"/>
  <c r="I406" i="3"/>
  <c r="M406" i="3"/>
  <c r="Q406" i="3"/>
  <c r="U406" i="3"/>
  <c r="F406" i="3"/>
  <c r="J406" i="3"/>
  <c r="N406" i="3"/>
  <c r="R406" i="3"/>
  <c r="V406" i="3"/>
  <c r="G390" i="3"/>
  <c r="K390" i="3"/>
  <c r="O390" i="3"/>
  <c r="W390" i="3"/>
  <c r="D390" i="3"/>
  <c r="H390" i="3"/>
  <c r="L390" i="3"/>
  <c r="P390" i="3"/>
  <c r="T390" i="3"/>
  <c r="E390" i="3"/>
  <c r="I390" i="3"/>
  <c r="M390" i="3"/>
  <c r="Q390" i="3"/>
  <c r="U390" i="3"/>
  <c r="F390" i="3"/>
  <c r="J390" i="3"/>
  <c r="N390" i="3"/>
  <c r="R390" i="3"/>
  <c r="V390" i="3"/>
  <c r="G374" i="3"/>
  <c r="K374" i="3"/>
  <c r="O374" i="3"/>
  <c r="W374" i="3"/>
  <c r="D374" i="3"/>
  <c r="H374" i="3"/>
  <c r="L374" i="3"/>
  <c r="P374" i="3"/>
  <c r="T374" i="3"/>
  <c r="E374" i="3"/>
  <c r="I374" i="3"/>
  <c r="M374" i="3"/>
  <c r="Q374" i="3"/>
  <c r="U374" i="3"/>
  <c r="F374" i="3"/>
  <c r="J374" i="3"/>
  <c r="N374" i="3"/>
  <c r="R374" i="3"/>
  <c r="V374" i="3"/>
  <c r="E587" i="3"/>
  <c r="I587" i="3"/>
  <c r="M587" i="3"/>
  <c r="Q587" i="3"/>
  <c r="U587" i="3"/>
  <c r="F587" i="3"/>
  <c r="J587" i="3"/>
  <c r="N587" i="3"/>
  <c r="R587" i="3"/>
  <c r="V587" i="3"/>
  <c r="G587" i="3"/>
  <c r="K587" i="3"/>
  <c r="O587" i="3"/>
  <c r="W587" i="3"/>
  <c r="D587" i="3"/>
  <c r="H587" i="3"/>
  <c r="L587" i="3"/>
  <c r="P587" i="3"/>
  <c r="T587" i="3"/>
  <c r="E571" i="3"/>
  <c r="I571" i="3"/>
  <c r="M571" i="3"/>
  <c r="Q571" i="3"/>
  <c r="U571" i="3"/>
  <c r="F571" i="3"/>
  <c r="J571" i="3"/>
  <c r="N571" i="3"/>
  <c r="R571" i="3"/>
  <c r="V571" i="3"/>
  <c r="G571" i="3"/>
  <c r="K571" i="3"/>
  <c r="O571" i="3"/>
  <c r="W571" i="3"/>
  <c r="D571" i="3"/>
  <c r="H571" i="3"/>
  <c r="L571" i="3"/>
  <c r="P571" i="3"/>
  <c r="T571" i="3"/>
  <c r="E555" i="3"/>
  <c r="I555" i="3"/>
  <c r="M555" i="3"/>
  <c r="Q555" i="3"/>
  <c r="U555" i="3"/>
  <c r="F555" i="3"/>
  <c r="J555" i="3"/>
  <c r="N555" i="3"/>
  <c r="R555" i="3"/>
  <c r="V555" i="3"/>
  <c r="G555" i="3"/>
  <c r="K555" i="3"/>
  <c r="O555" i="3"/>
  <c r="W555" i="3"/>
  <c r="D555" i="3"/>
  <c r="H555" i="3"/>
  <c r="L555" i="3"/>
  <c r="P555" i="3"/>
  <c r="T555" i="3"/>
  <c r="E539" i="3"/>
  <c r="I539" i="3"/>
  <c r="M539" i="3"/>
  <c r="Q539" i="3"/>
  <c r="U539" i="3"/>
  <c r="F539" i="3"/>
  <c r="J539" i="3"/>
  <c r="N539" i="3"/>
  <c r="R539" i="3"/>
  <c r="V539" i="3"/>
  <c r="G539" i="3"/>
  <c r="K539" i="3"/>
  <c r="O539" i="3"/>
  <c r="W539" i="3"/>
  <c r="D539" i="3"/>
  <c r="H539" i="3"/>
  <c r="L539" i="3"/>
  <c r="P539" i="3"/>
  <c r="T539" i="3"/>
  <c r="E523" i="3"/>
  <c r="I523" i="3"/>
  <c r="M523" i="3"/>
  <c r="Q523" i="3"/>
  <c r="U523" i="3"/>
  <c r="F523" i="3"/>
  <c r="J523" i="3"/>
  <c r="N523" i="3"/>
  <c r="R523" i="3"/>
  <c r="V523" i="3"/>
  <c r="G523" i="3"/>
  <c r="K523" i="3"/>
  <c r="O523" i="3"/>
  <c r="W523" i="3"/>
  <c r="D523" i="3"/>
  <c r="H523" i="3"/>
  <c r="L523" i="3"/>
  <c r="P523" i="3"/>
  <c r="T523" i="3"/>
  <c r="G507" i="3"/>
  <c r="D507" i="3"/>
  <c r="H507" i="3"/>
  <c r="E507" i="3"/>
  <c r="F507" i="3"/>
  <c r="I507" i="3"/>
  <c r="M507" i="3"/>
  <c r="Q507" i="3"/>
  <c r="U507" i="3"/>
  <c r="J507" i="3"/>
  <c r="N507" i="3"/>
  <c r="R507" i="3"/>
  <c r="V507" i="3"/>
  <c r="K507" i="3"/>
  <c r="O507" i="3"/>
  <c r="W507" i="3"/>
  <c r="L507" i="3"/>
  <c r="P507" i="3"/>
  <c r="T507" i="3"/>
  <c r="G491" i="3"/>
  <c r="K491" i="3"/>
  <c r="O491" i="3"/>
  <c r="W491" i="3"/>
  <c r="D491" i="3"/>
  <c r="H491" i="3"/>
  <c r="L491" i="3"/>
  <c r="P491" i="3"/>
  <c r="T491" i="3"/>
  <c r="E491" i="3"/>
  <c r="I491" i="3"/>
  <c r="M491" i="3"/>
  <c r="Q491" i="3"/>
  <c r="U491" i="3"/>
  <c r="F491" i="3"/>
  <c r="J491" i="3"/>
  <c r="N491" i="3"/>
  <c r="R491" i="3"/>
  <c r="V491" i="3"/>
  <c r="G475" i="3"/>
  <c r="K475" i="3"/>
  <c r="O475" i="3"/>
  <c r="W475" i="3"/>
  <c r="D475" i="3"/>
  <c r="H475" i="3"/>
  <c r="L475" i="3"/>
  <c r="P475" i="3"/>
  <c r="T475" i="3"/>
  <c r="E475" i="3"/>
  <c r="I475" i="3"/>
  <c r="M475" i="3"/>
  <c r="Q475" i="3"/>
  <c r="U475" i="3"/>
  <c r="F475" i="3"/>
  <c r="J475" i="3"/>
  <c r="N475" i="3"/>
  <c r="R475" i="3"/>
  <c r="V475" i="3"/>
  <c r="G459" i="3"/>
  <c r="K459" i="3"/>
  <c r="O459" i="3"/>
  <c r="W459" i="3"/>
  <c r="D459" i="3"/>
  <c r="H459" i="3"/>
  <c r="L459" i="3"/>
  <c r="P459" i="3"/>
  <c r="T459" i="3"/>
  <c r="E459" i="3"/>
  <c r="I459" i="3"/>
  <c r="M459" i="3"/>
  <c r="Q459" i="3"/>
  <c r="U459" i="3"/>
  <c r="F459" i="3"/>
  <c r="J459" i="3"/>
  <c r="N459" i="3"/>
  <c r="R459" i="3"/>
  <c r="V459" i="3"/>
  <c r="G443" i="3"/>
  <c r="K443" i="3"/>
  <c r="O443" i="3"/>
  <c r="W443" i="3"/>
  <c r="D443" i="3"/>
  <c r="H443" i="3"/>
  <c r="L443" i="3"/>
  <c r="P443" i="3"/>
  <c r="T443" i="3"/>
  <c r="E443" i="3"/>
  <c r="I443" i="3"/>
  <c r="M443" i="3"/>
  <c r="Q443" i="3"/>
  <c r="U443" i="3"/>
  <c r="F443" i="3"/>
  <c r="J443" i="3"/>
  <c r="N443" i="3"/>
  <c r="R443" i="3"/>
  <c r="V443" i="3"/>
  <c r="G427" i="3"/>
  <c r="K427" i="3"/>
  <c r="O427" i="3"/>
  <c r="W427" i="3"/>
  <c r="D427" i="3"/>
  <c r="H427" i="3"/>
  <c r="L427" i="3"/>
  <c r="P427" i="3"/>
  <c r="T427" i="3"/>
  <c r="E427" i="3"/>
  <c r="I427" i="3"/>
  <c r="M427" i="3"/>
  <c r="Q427" i="3"/>
  <c r="U427" i="3"/>
  <c r="F427" i="3"/>
  <c r="J427" i="3"/>
  <c r="N427" i="3"/>
  <c r="R427" i="3"/>
  <c r="V427" i="3"/>
  <c r="G411" i="3"/>
  <c r="K411" i="3"/>
  <c r="O411" i="3"/>
  <c r="W411" i="3"/>
  <c r="D411" i="3"/>
  <c r="H411" i="3"/>
  <c r="L411" i="3"/>
  <c r="P411" i="3"/>
  <c r="T411" i="3"/>
  <c r="E411" i="3"/>
  <c r="I411" i="3"/>
  <c r="M411" i="3"/>
  <c r="Q411" i="3"/>
  <c r="U411" i="3"/>
  <c r="F411" i="3"/>
  <c r="J411" i="3"/>
  <c r="N411" i="3"/>
  <c r="R411" i="3"/>
  <c r="V411" i="3"/>
  <c r="G395" i="3"/>
  <c r="K395" i="3"/>
  <c r="O395" i="3"/>
  <c r="W395" i="3"/>
  <c r="D395" i="3"/>
  <c r="H395" i="3"/>
  <c r="L395" i="3"/>
  <c r="P395" i="3"/>
  <c r="T395" i="3"/>
  <c r="E395" i="3"/>
  <c r="I395" i="3"/>
  <c r="M395" i="3"/>
  <c r="Q395" i="3"/>
  <c r="U395" i="3"/>
  <c r="F395" i="3"/>
  <c r="J395" i="3"/>
  <c r="N395" i="3"/>
  <c r="R395" i="3"/>
  <c r="V395" i="3"/>
  <c r="G379" i="3"/>
  <c r="K379" i="3"/>
  <c r="O379" i="3"/>
  <c r="W379" i="3"/>
  <c r="D379" i="3"/>
  <c r="H379" i="3"/>
  <c r="L379" i="3"/>
  <c r="P379" i="3"/>
  <c r="T379" i="3"/>
  <c r="E379" i="3"/>
  <c r="I379" i="3"/>
  <c r="M379" i="3"/>
  <c r="Q379" i="3"/>
  <c r="U379" i="3"/>
  <c r="F379" i="3"/>
  <c r="J379" i="3"/>
  <c r="N379" i="3"/>
  <c r="R379" i="3"/>
  <c r="V379" i="3"/>
  <c r="D704" i="3"/>
  <c r="H704" i="3"/>
  <c r="L704" i="3"/>
  <c r="P704" i="3"/>
  <c r="T704" i="3"/>
  <c r="E704" i="3"/>
  <c r="I704" i="3"/>
  <c r="M704" i="3"/>
  <c r="Q704" i="3"/>
  <c r="U704" i="3"/>
  <c r="F704" i="3"/>
  <c r="J704" i="3"/>
  <c r="N704" i="3"/>
  <c r="R704" i="3"/>
  <c r="V704" i="3"/>
  <c r="G704" i="3"/>
  <c r="K704" i="3"/>
  <c r="O704" i="3"/>
  <c r="W704" i="3"/>
  <c r="D688" i="3"/>
  <c r="H688" i="3"/>
  <c r="L688" i="3"/>
  <c r="P688" i="3"/>
  <c r="T688" i="3"/>
  <c r="E688" i="3"/>
  <c r="I688" i="3"/>
  <c r="M688" i="3"/>
  <c r="Q688" i="3"/>
  <c r="U688" i="3"/>
  <c r="F688" i="3"/>
  <c r="J688" i="3"/>
  <c r="N688" i="3"/>
  <c r="R688" i="3"/>
  <c r="V688" i="3"/>
  <c r="G688" i="3"/>
  <c r="K688" i="3"/>
  <c r="O688" i="3"/>
  <c r="W688" i="3"/>
  <c r="D672" i="3"/>
  <c r="H672" i="3"/>
  <c r="L672" i="3"/>
  <c r="P672" i="3"/>
  <c r="T672" i="3"/>
  <c r="E672" i="3"/>
  <c r="I672" i="3"/>
  <c r="M672" i="3"/>
  <c r="Q672" i="3"/>
  <c r="U672" i="3"/>
  <c r="F672" i="3"/>
  <c r="J672" i="3"/>
  <c r="N672" i="3"/>
  <c r="R672" i="3"/>
  <c r="V672" i="3"/>
  <c r="G672" i="3"/>
  <c r="K672" i="3"/>
  <c r="O672" i="3"/>
  <c r="W672" i="3"/>
  <c r="D656" i="3"/>
  <c r="H656" i="3"/>
  <c r="L656" i="3"/>
  <c r="P656" i="3"/>
  <c r="T656" i="3"/>
  <c r="E656" i="3"/>
  <c r="I656" i="3"/>
  <c r="M656" i="3"/>
  <c r="Q656" i="3"/>
  <c r="U656" i="3"/>
  <c r="F656" i="3"/>
  <c r="J656" i="3"/>
  <c r="N656" i="3"/>
  <c r="R656" i="3"/>
  <c r="V656" i="3"/>
  <c r="G656" i="3"/>
  <c r="K656" i="3"/>
  <c r="O656" i="3"/>
  <c r="W656" i="3"/>
  <c r="F640" i="3"/>
  <c r="J640" i="3"/>
  <c r="N640" i="3"/>
  <c r="R640" i="3"/>
  <c r="V640" i="3"/>
  <c r="D640" i="3"/>
  <c r="H640" i="3"/>
  <c r="L640" i="3"/>
  <c r="P640" i="3"/>
  <c r="T640" i="3"/>
  <c r="K640" i="3"/>
  <c r="E640" i="3"/>
  <c r="M640" i="3"/>
  <c r="U640" i="3"/>
  <c r="G640" i="3"/>
  <c r="O640" i="3"/>
  <c r="W640" i="3"/>
  <c r="I640" i="3"/>
  <c r="Q640" i="3"/>
  <c r="E624" i="3"/>
  <c r="I624" i="3"/>
  <c r="M624" i="3"/>
  <c r="Q624" i="3"/>
  <c r="U624" i="3"/>
  <c r="F624" i="3"/>
  <c r="J624" i="3"/>
  <c r="N624" i="3"/>
  <c r="R624" i="3"/>
  <c r="V624" i="3"/>
  <c r="G624" i="3"/>
  <c r="K624" i="3"/>
  <c r="O624" i="3"/>
  <c r="W624" i="3"/>
  <c r="D624" i="3"/>
  <c r="H624" i="3"/>
  <c r="L624" i="3"/>
  <c r="P624" i="3"/>
  <c r="T624" i="3"/>
  <c r="E608" i="3"/>
  <c r="I608" i="3"/>
  <c r="M608" i="3"/>
  <c r="Q608" i="3"/>
  <c r="U608" i="3"/>
  <c r="F608" i="3"/>
  <c r="J608" i="3"/>
  <c r="N608" i="3"/>
  <c r="R608" i="3"/>
  <c r="V608" i="3"/>
  <c r="G608" i="3"/>
  <c r="K608" i="3"/>
  <c r="O608" i="3"/>
  <c r="W608" i="3"/>
  <c r="D608" i="3"/>
  <c r="H608" i="3"/>
  <c r="L608" i="3"/>
  <c r="P608" i="3"/>
  <c r="T608" i="3"/>
  <c r="E592" i="3"/>
  <c r="I592" i="3"/>
  <c r="M592" i="3"/>
  <c r="Q592" i="3"/>
  <c r="U592" i="3"/>
  <c r="F592" i="3"/>
  <c r="J592" i="3"/>
  <c r="N592" i="3"/>
  <c r="R592" i="3"/>
  <c r="V592" i="3"/>
  <c r="G592" i="3"/>
  <c r="K592" i="3"/>
  <c r="O592" i="3"/>
  <c r="W592" i="3"/>
  <c r="D592" i="3"/>
  <c r="H592" i="3"/>
  <c r="L592" i="3"/>
  <c r="P592" i="3"/>
  <c r="T592" i="3"/>
  <c r="E576" i="3"/>
  <c r="I576" i="3"/>
  <c r="M576" i="3"/>
  <c r="Q576" i="3"/>
  <c r="U576" i="3"/>
  <c r="F576" i="3"/>
  <c r="J576" i="3"/>
  <c r="N576" i="3"/>
  <c r="R576" i="3"/>
  <c r="V576" i="3"/>
  <c r="G576" i="3"/>
  <c r="K576" i="3"/>
  <c r="O576" i="3"/>
  <c r="W576" i="3"/>
  <c r="D576" i="3"/>
  <c r="H576" i="3"/>
  <c r="L576" i="3"/>
  <c r="P576" i="3"/>
  <c r="T576" i="3"/>
  <c r="E560" i="3"/>
  <c r="I560" i="3"/>
  <c r="M560" i="3"/>
  <c r="Q560" i="3"/>
  <c r="U560" i="3"/>
  <c r="F560" i="3"/>
  <c r="J560" i="3"/>
  <c r="N560" i="3"/>
  <c r="R560" i="3"/>
  <c r="V560" i="3"/>
  <c r="G560" i="3"/>
  <c r="K560" i="3"/>
  <c r="O560" i="3"/>
  <c r="W560" i="3"/>
  <c r="D560" i="3"/>
  <c r="H560" i="3"/>
  <c r="L560" i="3"/>
  <c r="P560" i="3"/>
  <c r="T560" i="3"/>
  <c r="E544" i="3"/>
  <c r="I544" i="3"/>
  <c r="M544" i="3"/>
  <c r="Q544" i="3"/>
  <c r="U544" i="3"/>
  <c r="F544" i="3"/>
  <c r="J544" i="3"/>
  <c r="N544" i="3"/>
  <c r="R544" i="3"/>
  <c r="V544" i="3"/>
  <c r="G544" i="3"/>
  <c r="K544" i="3"/>
  <c r="O544" i="3"/>
  <c r="W544" i="3"/>
  <c r="D544" i="3"/>
  <c r="H544" i="3"/>
  <c r="L544" i="3"/>
  <c r="P544" i="3"/>
  <c r="T544" i="3"/>
  <c r="E528" i="3"/>
  <c r="I528" i="3"/>
  <c r="M528" i="3"/>
  <c r="Q528" i="3"/>
  <c r="U528" i="3"/>
  <c r="F528" i="3"/>
  <c r="J528" i="3"/>
  <c r="N528" i="3"/>
  <c r="R528" i="3"/>
  <c r="V528" i="3"/>
  <c r="G528" i="3"/>
  <c r="K528" i="3"/>
  <c r="O528" i="3"/>
  <c r="W528" i="3"/>
  <c r="D528" i="3"/>
  <c r="H528" i="3"/>
  <c r="L528" i="3"/>
  <c r="P528" i="3"/>
  <c r="T528" i="3"/>
  <c r="E512" i="3"/>
  <c r="I512" i="3"/>
  <c r="M512" i="3"/>
  <c r="Q512" i="3"/>
  <c r="U512" i="3"/>
  <c r="F512" i="3"/>
  <c r="J512" i="3"/>
  <c r="N512" i="3"/>
  <c r="R512" i="3"/>
  <c r="V512" i="3"/>
  <c r="G512" i="3"/>
  <c r="K512" i="3"/>
  <c r="O512" i="3"/>
  <c r="W512" i="3"/>
  <c r="D512" i="3"/>
  <c r="H512" i="3"/>
  <c r="L512" i="3"/>
  <c r="P512" i="3"/>
  <c r="T512" i="3"/>
  <c r="G496" i="3"/>
  <c r="K496" i="3"/>
  <c r="O496" i="3"/>
  <c r="W496" i="3"/>
  <c r="D496" i="3"/>
  <c r="H496" i="3"/>
  <c r="L496" i="3"/>
  <c r="P496" i="3"/>
  <c r="T496" i="3"/>
  <c r="E496" i="3"/>
  <c r="I496" i="3"/>
  <c r="M496" i="3"/>
  <c r="Q496" i="3"/>
  <c r="U496" i="3"/>
  <c r="F496" i="3"/>
  <c r="J496" i="3"/>
  <c r="N496" i="3"/>
  <c r="R496" i="3"/>
  <c r="V496" i="3"/>
  <c r="G480" i="3"/>
  <c r="K480" i="3"/>
  <c r="O480" i="3"/>
  <c r="W480" i="3"/>
  <c r="D480" i="3"/>
  <c r="H480" i="3"/>
  <c r="L480" i="3"/>
  <c r="P480" i="3"/>
  <c r="T480" i="3"/>
  <c r="E480" i="3"/>
  <c r="I480" i="3"/>
  <c r="M480" i="3"/>
  <c r="Q480" i="3"/>
  <c r="U480" i="3"/>
  <c r="F480" i="3"/>
  <c r="J480" i="3"/>
  <c r="N480" i="3"/>
  <c r="R480" i="3"/>
  <c r="V480" i="3"/>
  <c r="G464" i="3"/>
  <c r="K464" i="3"/>
  <c r="O464" i="3"/>
  <c r="W464" i="3"/>
  <c r="D464" i="3"/>
  <c r="H464" i="3"/>
  <c r="L464" i="3"/>
  <c r="P464" i="3"/>
  <c r="T464" i="3"/>
  <c r="E464" i="3"/>
  <c r="I464" i="3"/>
  <c r="M464" i="3"/>
  <c r="Q464" i="3"/>
  <c r="U464" i="3"/>
  <c r="F464" i="3"/>
  <c r="J464" i="3"/>
  <c r="N464" i="3"/>
  <c r="R464" i="3"/>
  <c r="V464" i="3"/>
  <c r="G448" i="3"/>
  <c r="K448" i="3"/>
  <c r="O448" i="3"/>
  <c r="W448" i="3"/>
  <c r="D448" i="3"/>
  <c r="H448" i="3"/>
  <c r="L448" i="3"/>
  <c r="P448" i="3"/>
  <c r="T448" i="3"/>
  <c r="E448" i="3"/>
  <c r="I448" i="3"/>
  <c r="M448" i="3"/>
  <c r="Q448" i="3"/>
  <c r="U448" i="3"/>
  <c r="F448" i="3"/>
  <c r="J448" i="3"/>
  <c r="N448" i="3"/>
  <c r="R448" i="3"/>
  <c r="V448" i="3"/>
  <c r="G432" i="3"/>
  <c r="K432" i="3"/>
  <c r="O432" i="3"/>
  <c r="W432" i="3"/>
  <c r="D432" i="3"/>
  <c r="H432" i="3"/>
  <c r="L432" i="3"/>
  <c r="P432" i="3"/>
  <c r="T432" i="3"/>
  <c r="E432" i="3"/>
  <c r="I432" i="3"/>
  <c r="M432" i="3"/>
  <c r="Q432" i="3"/>
  <c r="U432" i="3"/>
  <c r="F432" i="3"/>
  <c r="J432" i="3"/>
  <c r="N432" i="3"/>
  <c r="R432" i="3"/>
  <c r="V432" i="3"/>
  <c r="G416" i="3"/>
  <c r="K416" i="3"/>
  <c r="O416" i="3"/>
  <c r="W416" i="3"/>
  <c r="D416" i="3"/>
  <c r="H416" i="3"/>
  <c r="L416" i="3"/>
  <c r="P416" i="3"/>
  <c r="T416" i="3"/>
  <c r="E416" i="3"/>
  <c r="I416" i="3"/>
  <c r="M416" i="3"/>
  <c r="Q416" i="3"/>
  <c r="U416" i="3"/>
  <c r="F416" i="3"/>
  <c r="J416" i="3"/>
  <c r="N416" i="3"/>
  <c r="R416" i="3"/>
  <c r="V416" i="3"/>
  <c r="G400" i="3"/>
  <c r="K400" i="3"/>
  <c r="O400" i="3"/>
  <c r="W400" i="3"/>
  <c r="D400" i="3"/>
  <c r="H400" i="3"/>
  <c r="L400" i="3"/>
  <c r="P400" i="3"/>
  <c r="T400" i="3"/>
  <c r="E400" i="3"/>
  <c r="I400" i="3"/>
  <c r="M400" i="3"/>
  <c r="Q400" i="3"/>
  <c r="U400" i="3"/>
  <c r="F400" i="3"/>
  <c r="J400" i="3"/>
  <c r="N400" i="3"/>
  <c r="R400" i="3"/>
  <c r="V400" i="3"/>
  <c r="G384" i="3"/>
  <c r="K384" i="3"/>
  <c r="O384" i="3"/>
  <c r="W384" i="3"/>
  <c r="D384" i="3"/>
  <c r="H384" i="3"/>
  <c r="L384" i="3"/>
  <c r="P384" i="3"/>
  <c r="T384" i="3"/>
  <c r="E384" i="3"/>
  <c r="I384" i="3"/>
  <c r="M384" i="3"/>
  <c r="Q384" i="3"/>
  <c r="U384" i="3"/>
  <c r="F384" i="3"/>
  <c r="J384" i="3"/>
  <c r="N384" i="3"/>
  <c r="R384" i="3"/>
  <c r="V384" i="3"/>
  <c r="G368" i="3"/>
  <c r="K368" i="3"/>
  <c r="O368" i="3"/>
  <c r="D368" i="3"/>
  <c r="H368" i="3"/>
  <c r="L368" i="3"/>
  <c r="E368" i="3"/>
  <c r="I368" i="3"/>
  <c r="M368" i="3"/>
  <c r="Q368" i="3"/>
  <c r="U368" i="3"/>
  <c r="F368" i="3"/>
  <c r="J368" i="3"/>
  <c r="N368" i="3"/>
  <c r="R368" i="3"/>
  <c r="V368" i="3"/>
  <c r="P368" i="3"/>
  <c r="T368" i="3"/>
  <c r="W368" i="3"/>
  <c r="U2" i="3"/>
  <c r="T2" i="3"/>
  <c r="R2" i="3"/>
  <c r="G2" i="3"/>
  <c r="Q2" i="3"/>
  <c r="P2" i="3"/>
  <c r="F2" i="3"/>
  <c r="I2" i="3"/>
  <c r="J2" i="3"/>
  <c r="K2" i="3"/>
  <c r="H2" i="3"/>
  <c r="V2" i="3"/>
  <c r="L2" i="3"/>
  <c r="W2" i="3"/>
  <c r="N2" i="3"/>
  <c r="M2" i="3"/>
  <c r="O2" i="3"/>
  <c r="D2" i="3"/>
  <c r="E2" i="3"/>
  <c r="E360" i="2"/>
  <c r="E363" i="2"/>
  <c r="E355" i="2"/>
  <c r="E366" i="2"/>
  <c r="E362" i="2"/>
  <c r="E358" i="2"/>
  <c r="E354" i="2"/>
  <c r="E350" i="2"/>
  <c r="E346" i="2"/>
  <c r="E342" i="2"/>
  <c r="E338" i="2"/>
  <c r="E334" i="2"/>
  <c r="E330" i="2"/>
  <c r="E326" i="2"/>
  <c r="E322" i="2"/>
  <c r="E365" i="2"/>
  <c r="E361" i="2"/>
  <c r="E357" i="2"/>
  <c r="E353" i="2"/>
  <c r="E349" i="2"/>
  <c r="E345" i="2"/>
  <c r="E364" i="2"/>
  <c r="E352" i="2"/>
  <c r="E348" i="2"/>
  <c r="E344" i="2"/>
  <c r="E340" i="2"/>
  <c r="E336" i="2"/>
  <c r="E332" i="2"/>
  <c r="E328" i="2"/>
  <c r="E324" i="2"/>
  <c r="E320" i="2"/>
  <c r="E316" i="2"/>
  <c r="E312" i="2"/>
  <c r="E308" i="2"/>
  <c r="E304" i="2"/>
  <c r="E300" i="2"/>
  <c r="E296" i="2"/>
  <c r="E292" i="2"/>
  <c r="E288" i="2"/>
  <c r="E356" i="2"/>
  <c r="E359" i="2"/>
  <c r="E351" i="2"/>
  <c r="E347" i="2"/>
  <c r="E343" i="2"/>
  <c r="E339" i="2"/>
  <c r="E335" i="2"/>
  <c r="E331" i="2"/>
  <c r="E327" i="2"/>
  <c r="E323" i="2"/>
  <c r="E319" i="2"/>
  <c r="E315" i="2"/>
  <c r="E311" i="2"/>
  <c r="E307" i="2"/>
  <c r="E303" i="2"/>
  <c r="E299" i="2"/>
  <c r="E295" i="2"/>
  <c r="E318" i="2"/>
  <c r="E314" i="2"/>
  <c r="E310" i="2"/>
  <c r="E306" i="2"/>
  <c r="E302" i="2"/>
  <c r="E298" i="2"/>
  <c r="E294" i="2"/>
  <c r="E290" i="2"/>
  <c r="E286" i="2"/>
  <c r="E282" i="2"/>
  <c r="E278" i="2"/>
  <c r="E274" i="2"/>
  <c r="E270" i="2"/>
  <c r="E266" i="2"/>
  <c r="E262" i="2"/>
  <c r="E258" i="2"/>
  <c r="E254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4" i="2"/>
  <c r="E170" i="2"/>
  <c r="E166" i="2"/>
  <c r="E162" i="2"/>
  <c r="E158" i="2"/>
  <c r="E154" i="2"/>
  <c r="E150" i="2"/>
  <c r="E146" i="2"/>
  <c r="E142" i="2"/>
  <c r="E138" i="2"/>
  <c r="E134" i="2"/>
  <c r="E130" i="2"/>
  <c r="E126" i="2"/>
  <c r="E122" i="2"/>
  <c r="E118" i="2"/>
  <c r="E114" i="2"/>
  <c r="E110" i="2"/>
  <c r="E106" i="2"/>
  <c r="E102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E5" i="2"/>
  <c r="E284" i="2"/>
  <c r="E280" i="2"/>
  <c r="E276" i="2"/>
  <c r="E272" i="2"/>
  <c r="E268" i="2"/>
  <c r="E264" i="2"/>
  <c r="E260" i="2"/>
  <c r="E256" i="2"/>
  <c r="E252" i="2"/>
  <c r="E248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3" i="2"/>
  <c r="E169" i="2"/>
  <c r="E165" i="2"/>
  <c r="E161" i="2"/>
  <c r="E157" i="2"/>
  <c r="E153" i="2"/>
  <c r="E149" i="2"/>
  <c r="E145" i="2"/>
  <c r="E141" i="2"/>
  <c r="E137" i="2"/>
  <c r="E133" i="2"/>
  <c r="E129" i="2"/>
  <c r="E125" i="2"/>
  <c r="E121" i="2"/>
  <c r="E117" i="2"/>
  <c r="E113" i="2"/>
  <c r="E109" i="2"/>
  <c r="E105" i="2"/>
  <c r="E101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E291" i="2"/>
  <c r="E287" i="2"/>
  <c r="E283" i="2"/>
  <c r="E279" i="2"/>
  <c r="E275" i="2"/>
  <c r="E271" i="2"/>
  <c r="E267" i="2"/>
  <c r="E263" i="2"/>
  <c r="E259" i="2"/>
  <c r="E255" i="2"/>
  <c r="E251" i="2"/>
  <c r="E247" i="2"/>
  <c r="E243" i="2"/>
  <c r="E239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E2" i="2"/>
  <c r="D358" i="2"/>
  <c r="D350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342" i="2"/>
  <c r="D365" i="2"/>
  <c r="D361" i="2"/>
  <c r="D357" i="2"/>
  <c r="D353" i="2"/>
  <c r="D349" i="2"/>
  <c r="D345" i="2"/>
  <c r="D341" i="2"/>
  <c r="D337" i="2"/>
  <c r="D366" i="2"/>
  <c r="D354" i="2"/>
  <c r="D338" i="2"/>
  <c r="D364" i="2"/>
  <c r="D360" i="2"/>
  <c r="D356" i="2"/>
  <c r="D352" i="2"/>
  <c r="D348" i="2"/>
  <c r="D362" i="2"/>
  <c r="D346" i="2"/>
  <c r="D363" i="2"/>
  <c r="D359" i="2"/>
  <c r="D355" i="2"/>
  <c r="D351" i="2"/>
  <c r="D347" i="2"/>
  <c r="D343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2" i="2"/>
  <c r="A367" i="5" l="1"/>
  <c r="A1462" i="6"/>
  <c r="A1464" i="6"/>
  <c r="A1465" i="6"/>
  <c r="A1463" i="6"/>
  <c r="A16" i="6"/>
  <c r="A24" i="6"/>
  <c r="A14" i="6"/>
  <c r="A520" i="6"/>
  <c r="A536" i="6"/>
  <c r="A552" i="6"/>
  <c r="A568" i="6"/>
  <c r="A584" i="6"/>
  <c r="A616" i="6"/>
  <c r="A531" i="6"/>
  <c r="A563" i="6"/>
  <c r="A595" i="6"/>
  <c r="A526" i="6"/>
  <c r="A558" i="6"/>
  <c r="A590" i="6"/>
  <c r="A513" i="6"/>
  <c r="A545" i="6"/>
  <c r="A577" i="6"/>
  <c r="A607" i="6"/>
  <c r="A790" i="6"/>
  <c r="A822" i="6"/>
  <c r="A609" i="6"/>
  <c r="A508" i="6"/>
  <c r="A540" i="6"/>
  <c r="A572" i="6"/>
  <c r="A604" i="6"/>
  <c r="A519" i="6"/>
  <c r="A551" i="6"/>
  <c r="A583" i="6"/>
  <c r="A514" i="6"/>
  <c r="A546" i="6"/>
  <c r="A578" i="6"/>
  <c r="A373" i="6"/>
  <c r="A533" i="6"/>
  <c r="A565" i="6"/>
  <c r="A597" i="6"/>
  <c r="A629" i="6"/>
  <c r="A778" i="6"/>
  <c r="A810" i="6"/>
  <c r="A842" i="6"/>
  <c r="A376" i="6"/>
  <c r="A392" i="6"/>
  <c r="A408" i="6"/>
  <c r="A424" i="6"/>
  <c r="A440" i="6"/>
  <c r="A456" i="6"/>
  <c r="A472" i="6"/>
  <c r="A488" i="6"/>
  <c r="A504" i="6"/>
  <c r="A371" i="6"/>
  <c r="A403" i="6"/>
  <c r="A435" i="6"/>
  <c r="A467" i="6"/>
  <c r="A499" i="6"/>
  <c r="A398" i="6"/>
  <c r="A430" i="6"/>
  <c r="A462" i="6"/>
  <c r="A494" i="6"/>
  <c r="A385" i="6"/>
  <c r="A417" i="6"/>
  <c r="A449" i="6"/>
  <c r="A481" i="6"/>
  <c r="A380" i="6"/>
  <c r="A412" i="6"/>
  <c r="A444" i="6"/>
  <c r="A476" i="6"/>
  <c r="A636" i="6"/>
  <c r="A391" i="6"/>
  <c r="A423" i="6"/>
  <c r="A455" i="6"/>
  <c r="A487" i="6"/>
  <c r="A386" i="6"/>
  <c r="A418" i="6"/>
  <c r="A450" i="6"/>
  <c r="A482" i="6"/>
  <c r="A405" i="6"/>
  <c r="A437" i="6"/>
  <c r="A469" i="6"/>
  <c r="A501" i="6"/>
  <c r="A638" i="6"/>
  <c r="A648" i="6"/>
  <c r="A680" i="6"/>
  <c r="A645" i="6"/>
  <c r="A690" i="6"/>
  <c r="A726" i="6"/>
  <c r="A758" i="6"/>
  <c r="A654" i="6"/>
  <c r="A699" i="6"/>
  <c r="A668" i="6"/>
  <c r="A700" i="6"/>
  <c r="A674" i="6"/>
  <c r="A714" i="6"/>
  <c r="A746" i="6"/>
  <c r="A683" i="6"/>
  <c r="A717" i="6"/>
  <c r="A384" i="6"/>
  <c r="A448" i="6"/>
  <c r="A480" i="6"/>
  <c r="A411" i="6"/>
  <c r="A443" i="6"/>
  <c r="A528" i="6"/>
  <c r="A544" i="6"/>
  <c r="A576" i="6"/>
  <c r="A608" i="6"/>
  <c r="A523" i="6"/>
  <c r="A555" i="6"/>
  <c r="A518" i="6"/>
  <c r="A534" i="6"/>
  <c r="A550" i="6"/>
  <c r="A566" i="6"/>
  <c r="A582" i="6"/>
  <c r="A598" i="6"/>
  <c r="A521" i="6"/>
  <c r="A537" i="6"/>
  <c r="A553" i="6"/>
  <c r="A569" i="6"/>
  <c r="A585" i="6"/>
  <c r="A601" i="6"/>
  <c r="A613" i="6"/>
  <c r="A782" i="6"/>
  <c r="A798" i="6"/>
  <c r="A814" i="6"/>
  <c r="A830" i="6"/>
  <c r="A599" i="6"/>
  <c r="A622" i="6"/>
  <c r="A801" i="6"/>
  <c r="A833" i="6"/>
  <c r="A780" i="6"/>
  <c r="A812" i="6"/>
  <c r="A844" i="6"/>
  <c r="A876" i="6"/>
  <c r="A892" i="6"/>
  <c r="A940" i="6"/>
  <c r="A611" i="6"/>
  <c r="A779" i="6"/>
  <c r="A811" i="6"/>
  <c r="A843" i="6"/>
  <c r="A875" i="6"/>
  <c r="A886" i="6"/>
  <c r="A905" i="6"/>
  <c r="A969" i="6"/>
  <c r="A1001" i="6"/>
  <c r="A1017" i="6"/>
  <c r="A1049" i="6"/>
  <c r="A1097" i="6"/>
  <c r="A1113" i="6"/>
  <c r="A1129" i="6"/>
  <c r="A1145" i="6"/>
  <c r="A1161" i="6"/>
  <c r="A845" i="6"/>
  <c r="A877" i="6"/>
  <c r="A901" i="6"/>
  <c r="A927" i="6"/>
  <c r="A946" i="6"/>
  <c r="A965" i="6"/>
  <c r="A984" i="6"/>
  <c r="A1000" i="6"/>
  <c r="A1016" i="6"/>
  <c r="A1032" i="6"/>
  <c r="A1048" i="6"/>
  <c r="A1064" i="6"/>
  <c r="A1080" i="6"/>
  <c r="A1096" i="6"/>
  <c r="A1112" i="6"/>
  <c r="A1128" i="6"/>
  <c r="A1144" i="6"/>
  <c r="A1160" i="6"/>
  <c r="A1176" i="6"/>
  <c r="A874" i="6"/>
  <c r="A897" i="6"/>
  <c r="A923" i="6"/>
  <c r="A942" i="6"/>
  <c r="A961" i="6"/>
  <c r="A983" i="6"/>
  <c r="A999" i="6"/>
  <c r="A1015" i="6"/>
  <c r="A1031" i="6"/>
  <c r="A1047" i="6"/>
  <c r="A1063" i="6"/>
  <c r="A1079" i="6"/>
  <c r="A1095" i="6"/>
  <c r="A1111" i="6"/>
  <c r="A1127" i="6"/>
  <c r="A1143" i="6"/>
  <c r="A1159" i="6"/>
  <c r="A1175" i="6"/>
  <c r="A865" i="6"/>
  <c r="A890" i="6"/>
  <c r="A935" i="6"/>
  <c r="A954" i="6"/>
  <c r="A974" i="6"/>
  <c r="A990" i="6"/>
  <c r="A1006" i="6"/>
  <c r="A1022" i="6"/>
  <c r="A1038" i="6"/>
  <c r="A1054" i="6"/>
  <c r="A1070" i="6"/>
  <c r="A1086" i="6"/>
  <c r="A1102" i="6"/>
  <c r="A1118" i="6"/>
  <c r="A1134" i="6"/>
  <c r="A1150" i="6"/>
  <c r="A1166" i="6"/>
  <c r="A75" i="6"/>
  <c r="A131" i="6"/>
  <c r="A139" i="6"/>
  <c r="A147" i="6"/>
  <c r="A155" i="6"/>
  <c r="A26" i="6"/>
  <c r="A138" i="6"/>
  <c r="A146" i="6"/>
  <c r="A154" i="6"/>
  <c r="A241" i="6"/>
  <c r="A249" i="6"/>
  <c r="A257" i="6"/>
  <c r="A265" i="6"/>
  <c r="A273" i="6"/>
  <c r="A281" i="6"/>
  <c r="A289" i="6"/>
  <c r="A252" i="6"/>
  <c r="A284" i="6"/>
  <c r="A242" i="6"/>
  <c r="A274" i="6"/>
  <c r="A264" i="6"/>
  <c r="A254" i="6"/>
  <c r="A286" i="6"/>
  <c r="A516" i="6"/>
  <c r="A532" i="6"/>
  <c r="A548" i="6"/>
  <c r="A564" i="6"/>
  <c r="A580" i="6"/>
  <c r="A596" i="6"/>
  <c r="A612" i="6"/>
  <c r="A628" i="6"/>
  <c r="A511" i="6"/>
  <c r="A527" i="6"/>
  <c r="A543" i="6"/>
  <c r="A559" i="6"/>
  <c r="A575" i="6"/>
  <c r="A591" i="6"/>
  <c r="A522" i="6"/>
  <c r="A538" i="6"/>
  <c r="A554" i="6"/>
  <c r="A570" i="6"/>
  <c r="A586" i="6"/>
  <c r="A602" i="6"/>
  <c r="A509" i="6"/>
  <c r="A525" i="6"/>
  <c r="A541" i="6"/>
  <c r="A557" i="6"/>
  <c r="A573" i="6"/>
  <c r="A589" i="6"/>
  <c r="A605" i="6"/>
  <c r="A623" i="6"/>
  <c r="A786" i="6"/>
  <c r="A802" i="6"/>
  <c r="A818" i="6"/>
  <c r="A834" i="6"/>
  <c r="A606" i="6"/>
  <c r="A625" i="6"/>
  <c r="A789" i="6"/>
  <c r="A805" i="6"/>
  <c r="A821" i="6"/>
  <c r="A837" i="6"/>
  <c r="A618" i="6"/>
  <c r="A784" i="6"/>
  <c r="A800" i="6"/>
  <c r="A816" i="6"/>
  <c r="A832" i="6"/>
  <c r="A848" i="6"/>
  <c r="A864" i="6"/>
  <c r="A880" i="6"/>
  <c r="A896" i="6"/>
  <c r="A928" i="6"/>
  <c r="A944" i="6"/>
  <c r="A960" i="6"/>
  <c r="A614" i="6"/>
  <c r="A783" i="6"/>
  <c r="A799" i="6"/>
  <c r="A815" i="6"/>
  <c r="A831" i="6"/>
  <c r="A847" i="6"/>
  <c r="A863" i="6"/>
  <c r="A879" i="6"/>
  <c r="A862" i="6"/>
  <c r="A889" i="6"/>
  <c r="A934" i="6"/>
  <c r="A953" i="6"/>
  <c r="A973" i="6"/>
  <c r="A989" i="6"/>
  <c r="A1005" i="6"/>
  <c r="A1021" i="6"/>
  <c r="A1037" i="6"/>
  <c r="A1053" i="6"/>
  <c r="A1069" i="6"/>
  <c r="A1085" i="6"/>
  <c r="A1101" i="6"/>
  <c r="A1117" i="6"/>
  <c r="A1133" i="6"/>
  <c r="A1149" i="6"/>
  <c r="A1165" i="6"/>
  <c r="A853" i="6"/>
  <c r="A885" i="6"/>
  <c r="A930" i="6"/>
  <c r="A949" i="6"/>
  <c r="A972" i="6"/>
  <c r="A988" i="6"/>
  <c r="A1004" i="6"/>
  <c r="A1020" i="6"/>
  <c r="A1036" i="6"/>
  <c r="A1052" i="6"/>
  <c r="A1068" i="6"/>
  <c r="A1084" i="6"/>
  <c r="A1100" i="6"/>
  <c r="A1116" i="6"/>
  <c r="A1132" i="6"/>
  <c r="A1148" i="6"/>
  <c r="A1164" i="6"/>
  <c r="A850" i="6"/>
  <c r="A882" i="6"/>
  <c r="A907" i="6"/>
  <c r="A926" i="6"/>
  <c r="A945" i="6"/>
  <c r="A971" i="6"/>
  <c r="A987" i="6"/>
  <c r="A1003" i="6"/>
  <c r="A1019" i="6"/>
  <c r="A1035" i="6"/>
  <c r="A1051" i="6"/>
  <c r="A1067" i="6"/>
  <c r="A1083" i="6"/>
  <c r="A1099" i="6"/>
  <c r="A1115" i="6"/>
  <c r="A1131" i="6"/>
  <c r="A1147" i="6"/>
  <c r="A1163" i="6"/>
  <c r="A873" i="6"/>
  <c r="A893" i="6"/>
  <c r="A919" i="6"/>
  <c r="A938" i="6"/>
  <c r="A957" i="6"/>
  <c r="A978" i="6"/>
  <c r="A994" i="6"/>
  <c r="A1010" i="6"/>
  <c r="A1026" i="6"/>
  <c r="A1042" i="6"/>
  <c r="A1058" i="6"/>
  <c r="A1074" i="6"/>
  <c r="A1090" i="6"/>
  <c r="A1106" i="6"/>
  <c r="A1122" i="6"/>
  <c r="A1138" i="6"/>
  <c r="A1154" i="6"/>
  <c r="A1170" i="6"/>
  <c r="A1177" i="6"/>
  <c r="A133" i="6"/>
  <c r="A141" i="6"/>
  <c r="A149" i="6"/>
  <c r="A157" i="6"/>
  <c r="A132" i="6"/>
  <c r="A140" i="6"/>
  <c r="A148" i="6"/>
  <c r="A156" i="6"/>
  <c r="A235" i="6"/>
  <c r="A243" i="6"/>
  <c r="A251" i="6"/>
  <c r="A259" i="6"/>
  <c r="A267" i="6"/>
  <c r="A275" i="6"/>
  <c r="A283" i="6"/>
  <c r="A291" i="6"/>
  <c r="A260" i="6"/>
  <c r="A292" i="6"/>
  <c r="A400" i="6"/>
  <c r="A496" i="6"/>
  <c r="A640" i="6"/>
  <c r="A512" i="6"/>
  <c r="A560" i="6"/>
  <c r="A592" i="6"/>
  <c r="A624" i="6"/>
  <c r="A539" i="6"/>
  <c r="A571" i="6"/>
  <c r="A587" i="6"/>
  <c r="A785" i="6"/>
  <c r="A817" i="6"/>
  <c r="A615" i="6"/>
  <c r="A796" i="6"/>
  <c r="A828" i="6"/>
  <c r="A860" i="6"/>
  <c r="A924" i="6"/>
  <c r="A956" i="6"/>
  <c r="A795" i="6"/>
  <c r="A827" i="6"/>
  <c r="A859" i="6"/>
  <c r="A854" i="6"/>
  <c r="A931" i="6"/>
  <c r="A950" i="6"/>
  <c r="A985" i="6"/>
  <c r="A1033" i="6"/>
  <c r="A1065" i="6"/>
  <c r="A1081" i="6"/>
  <c r="A27" i="6"/>
  <c r="A35" i="6"/>
  <c r="A91" i="6"/>
  <c r="A99" i="6"/>
  <c r="A123" i="6"/>
  <c r="A34" i="6"/>
  <c r="A98" i="6"/>
  <c r="A122" i="6"/>
  <c r="A177" i="6"/>
  <c r="A185" i="6"/>
  <c r="A193" i="6"/>
  <c r="A201" i="6"/>
  <c r="A209" i="6"/>
  <c r="A217" i="6"/>
  <c r="A188" i="6"/>
  <c r="A220" i="6"/>
  <c r="A178" i="6"/>
  <c r="A210" i="6"/>
  <c r="A200" i="6"/>
  <c r="A190" i="6"/>
  <c r="A770" i="6"/>
  <c r="A21" i="6"/>
  <c r="A29" i="6"/>
  <c r="A37" i="6"/>
  <c r="A93" i="6"/>
  <c r="A101" i="6"/>
  <c r="A125" i="6"/>
  <c r="A20" i="6"/>
  <c r="A28" i="6"/>
  <c r="A36" i="6"/>
  <c r="A92" i="6"/>
  <c r="A100" i="6"/>
  <c r="A124" i="6"/>
  <c r="A172" i="6"/>
  <c r="A179" i="6"/>
  <c r="A187" i="6"/>
  <c r="A195" i="6"/>
  <c r="A203" i="6"/>
  <c r="A211" i="6"/>
  <c r="A416" i="6"/>
  <c r="A464" i="6"/>
  <c r="A379" i="6"/>
  <c r="A427" i="6"/>
  <c r="A475" i="6"/>
  <c r="A491" i="6"/>
  <c r="A507" i="6"/>
  <c r="A374" i="6"/>
  <c r="A390" i="6"/>
  <c r="A406" i="6"/>
  <c r="A422" i="6"/>
  <c r="A438" i="6"/>
  <c r="A454" i="6"/>
  <c r="A470" i="6"/>
  <c r="A486" i="6"/>
  <c r="A502" i="6"/>
  <c r="A377" i="6"/>
  <c r="A393" i="6"/>
  <c r="A409" i="6"/>
  <c r="A425" i="6"/>
  <c r="A441" i="6"/>
  <c r="A457" i="6"/>
  <c r="A473" i="6"/>
  <c r="A489" i="6"/>
  <c r="A505" i="6"/>
  <c r="A639" i="6"/>
  <c r="A641" i="6"/>
  <c r="A634" i="6"/>
  <c r="A1192" i="6"/>
  <c r="A1208" i="6"/>
  <c r="A1224" i="6"/>
  <c r="A1191" i="6"/>
  <c r="A909" i="6"/>
  <c r="A1182" i="6"/>
  <c r="A1211" i="6"/>
  <c r="A1231" i="6"/>
  <c r="A1247" i="6"/>
  <c r="A1263" i="6"/>
  <c r="A1279" i="6"/>
  <c r="A1295" i="6"/>
  <c r="A1311" i="6"/>
  <c r="A1327" i="6"/>
  <c r="A1343" i="6"/>
  <c r="A1359" i="6"/>
  <c r="A1387" i="6"/>
  <c r="A1419" i="6"/>
  <c r="A1207" i="6"/>
  <c r="A1226" i="6"/>
  <c r="A1242" i="6"/>
  <c r="A1258" i="6"/>
  <c r="A1274" i="6"/>
  <c r="A1290" i="6"/>
  <c r="A1306" i="6"/>
  <c r="A1322" i="6"/>
  <c r="A1338" i="6"/>
  <c r="A1354" i="6"/>
  <c r="A1370" i="6"/>
  <c r="A1386" i="6"/>
  <c r="A1402" i="6"/>
  <c r="A1426" i="6"/>
  <c r="A1186" i="6"/>
  <c r="A1209" i="6"/>
  <c r="A1229" i="6"/>
  <c r="A1245" i="6"/>
  <c r="A1261" i="6"/>
  <c r="A1277" i="6"/>
  <c r="A1293" i="6"/>
  <c r="A1309" i="6"/>
  <c r="A1325" i="6"/>
  <c r="A1341" i="6"/>
  <c r="A1357" i="6"/>
  <c r="A1373" i="6"/>
  <c r="A1389" i="6"/>
  <c r="A1405" i="6"/>
  <c r="A1421" i="6"/>
  <c r="A1437" i="6"/>
  <c r="A1193" i="6"/>
  <c r="A1215" i="6"/>
  <c r="A1232" i="6"/>
  <c r="A1248" i="6"/>
  <c r="A1264" i="6"/>
  <c r="A1280" i="6"/>
  <c r="A1296" i="6"/>
  <c r="A1312" i="6"/>
  <c r="A1328" i="6"/>
  <c r="A1344" i="6"/>
  <c r="A1360" i="6"/>
  <c r="A1376" i="6"/>
  <c r="A1392" i="6"/>
  <c r="A1408" i="6"/>
  <c r="A1424" i="6"/>
  <c r="A1440" i="6"/>
  <c r="A1383" i="6"/>
  <c r="A1415" i="6"/>
  <c r="A1447" i="6"/>
  <c r="A1430" i="6"/>
  <c r="A19" i="6"/>
  <c r="A83" i="6"/>
  <c r="A163" i="6"/>
  <c r="A171" i="6"/>
  <c r="A66" i="6"/>
  <c r="A74" i="6"/>
  <c r="A82" i="6"/>
  <c r="A130" i="6"/>
  <c r="A162" i="6"/>
  <c r="A170" i="6"/>
  <c r="A297" i="6"/>
  <c r="A313" i="6"/>
  <c r="A321" i="6"/>
  <c r="A329" i="6"/>
  <c r="A337" i="6"/>
  <c r="A316" i="6"/>
  <c r="A306" i="6"/>
  <c r="A338" i="6"/>
  <c r="A349" i="6"/>
  <c r="A357" i="6"/>
  <c r="A365" i="6"/>
  <c r="A296" i="6"/>
  <c r="A328" i="6"/>
  <c r="A360" i="6"/>
  <c r="A222" i="6"/>
  <c r="A318" i="6"/>
  <c r="A344" i="6"/>
  <c r="A354" i="6"/>
  <c r="A388" i="6"/>
  <c r="A404" i="6"/>
  <c r="A420" i="6"/>
  <c r="A436" i="6"/>
  <c r="A452" i="6"/>
  <c r="A468" i="6"/>
  <c r="A484" i="6"/>
  <c r="A500" i="6"/>
  <c r="A367" i="6"/>
  <c r="A383" i="6"/>
  <c r="A399" i="6"/>
  <c r="A415" i="6"/>
  <c r="A431" i="6"/>
  <c r="A447" i="6"/>
  <c r="A463" i="6"/>
  <c r="A479" i="6"/>
  <c r="A495" i="6"/>
  <c r="A378" i="6"/>
  <c r="A394" i="6"/>
  <c r="A410" i="6"/>
  <c r="A426" i="6"/>
  <c r="A442" i="6"/>
  <c r="A458" i="6"/>
  <c r="A474" i="6"/>
  <c r="A490" i="6"/>
  <c r="A506" i="6"/>
  <c r="A381" i="6"/>
  <c r="A397" i="6"/>
  <c r="A413" i="6"/>
  <c r="A429" i="6"/>
  <c r="A445" i="6"/>
  <c r="A461" i="6"/>
  <c r="A477" i="6"/>
  <c r="A493" i="6"/>
  <c r="A642" i="6"/>
  <c r="A773" i="6"/>
  <c r="A637" i="6"/>
  <c r="A912" i="6"/>
  <c r="A633" i="6"/>
  <c r="A915" i="6"/>
  <c r="A911" i="6"/>
  <c r="A1180" i="6"/>
  <c r="A1196" i="6"/>
  <c r="A1212" i="6"/>
  <c r="A1179" i="6"/>
  <c r="A1195" i="6"/>
  <c r="A1190" i="6"/>
  <c r="A1214" i="6"/>
  <c r="A1235" i="6"/>
  <c r="A1251" i="6"/>
  <c r="A1267" i="6"/>
  <c r="A1283" i="6"/>
  <c r="A1299" i="6"/>
  <c r="A1315" i="6"/>
  <c r="A1331" i="6"/>
  <c r="A1347" i="6"/>
  <c r="A1363" i="6"/>
  <c r="A1395" i="6"/>
  <c r="A1427" i="6"/>
  <c r="A1210" i="6"/>
  <c r="A1230" i="6"/>
  <c r="A1246" i="6"/>
  <c r="A1262" i="6"/>
  <c r="A1278" i="6"/>
  <c r="A1294" i="6"/>
  <c r="A1310" i="6"/>
  <c r="A1326" i="6"/>
  <c r="A1342" i="6"/>
  <c r="A1358" i="6"/>
  <c r="A1374" i="6"/>
  <c r="A1390" i="6"/>
  <c r="A1406" i="6"/>
  <c r="A1438" i="6"/>
  <c r="A1194" i="6"/>
  <c r="A1219" i="6"/>
  <c r="A1233" i="6"/>
  <c r="A1249" i="6"/>
  <c r="A1265" i="6"/>
  <c r="A1281" i="6"/>
  <c r="A1297" i="6"/>
  <c r="A1313" i="6"/>
  <c r="A1329" i="6"/>
  <c r="A1345" i="6"/>
  <c r="A1361" i="6"/>
  <c r="A1377" i="6"/>
  <c r="A1393" i="6"/>
  <c r="A1409" i="6"/>
  <c r="A1425" i="6"/>
  <c r="A1441" i="6"/>
  <c r="A1442" i="6"/>
  <c r="A1199" i="6"/>
  <c r="A1218" i="6"/>
  <c r="A1236" i="6"/>
  <c r="A1252" i="6"/>
  <c r="A1268" i="6"/>
  <c r="A1284" i="6"/>
  <c r="A1300" i="6"/>
  <c r="A1316" i="6"/>
  <c r="A1332" i="6"/>
  <c r="A1348" i="6"/>
  <c r="A1364" i="6"/>
  <c r="A1380" i="6"/>
  <c r="A1396" i="6"/>
  <c r="A1412" i="6"/>
  <c r="A1428" i="6"/>
  <c r="A1444" i="6"/>
  <c r="A1391" i="6"/>
  <c r="A1423" i="6"/>
  <c r="A1434" i="6"/>
  <c r="A13" i="6"/>
  <c r="A77" i="6"/>
  <c r="A85" i="6"/>
  <c r="A165" i="6"/>
  <c r="A68" i="6"/>
  <c r="A76" i="6"/>
  <c r="A84" i="6"/>
  <c r="A164" i="6"/>
  <c r="A299" i="6"/>
  <c r="A307" i="6"/>
  <c r="A315" i="6"/>
  <c r="A323" i="6"/>
  <c r="A331" i="6"/>
  <c r="A339" i="6"/>
  <c r="A432" i="6"/>
  <c r="A395" i="6"/>
  <c r="A459" i="6"/>
  <c r="A368" i="6"/>
  <c r="A656" i="6"/>
  <c r="A672" i="6"/>
  <c r="A688" i="6"/>
  <c r="A704" i="6"/>
  <c r="A658" i="6"/>
  <c r="A677" i="6"/>
  <c r="A703" i="6"/>
  <c r="A718" i="6"/>
  <c r="A734" i="6"/>
  <c r="A750" i="6"/>
  <c r="A766" i="6"/>
  <c r="A667" i="6"/>
  <c r="A686" i="6"/>
  <c r="A705" i="6"/>
  <c r="A721" i="6"/>
  <c r="A737" i="6"/>
  <c r="A753" i="6"/>
  <c r="A769" i="6"/>
  <c r="A653" i="6"/>
  <c r="A679" i="6"/>
  <c r="A698" i="6"/>
  <c r="A716" i="6"/>
  <c r="A732" i="6"/>
  <c r="A748" i="6"/>
  <c r="A764" i="6"/>
  <c r="A908" i="6"/>
  <c r="A630" i="6"/>
  <c r="A649" i="6"/>
  <c r="A675" i="6"/>
  <c r="A694" i="6"/>
  <c r="A715" i="6"/>
  <c r="A731" i="6"/>
  <c r="A747" i="6"/>
  <c r="A763" i="6"/>
  <c r="A1458" i="6"/>
  <c r="A1453" i="6"/>
  <c r="A1455" i="6"/>
  <c r="A1456" i="6"/>
  <c r="A3" i="6"/>
  <c r="A11" i="6"/>
  <c r="A43" i="6"/>
  <c r="A51" i="6"/>
  <c r="A59" i="6"/>
  <c r="A67" i="6"/>
  <c r="A107" i="6"/>
  <c r="A115" i="6"/>
  <c r="A10" i="6"/>
  <c r="A18" i="6"/>
  <c r="A42" i="6"/>
  <c r="A50" i="6"/>
  <c r="A58" i="6"/>
  <c r="A90" i="6"/>
  <c r="A106" i="6"/>
  <c r="A114" i="6"/>
  <c r="A225" i="6"/>
  <c r="A233" i="6"/>
  <c r="A305" i="6"/>
  <c r="A232" i="6"/>
  <c r="A372" i="6"/>
  <c r="A644" i="6"/>
  <c r="A660" i="6"/>
  <c r="A676" i="6"/>
  <c r="A692" i="6"/>
  <c r="A661" i="6"/>
  <c r="A687" i="6"/>
  <c r="A706" i="6"/>
  <c r="A722" i="6"/>
  <c r="A738" i="6"/>
  <c r="A754" i="6"/>
  <c r="A651" i="6"/>
  <c r="A670" i="6"/>
  <c r="A689" i="6"/>
  <c r="A709" i="6"/>
  <c r="A725" i="6"/>
  <c r="A741" i="6"/>
  <c r="A757" i="6"/>
  <c r="A663" i="6"/>
  <c r="A682" i="6"/>
  <c r="A701" i="6"/>
  <c r="A720" i="6"/>
  <c r="A736" i="6"/>
  <c r="A752" i="6"/>
  <c r="A768" i="6"/>
  <c r="A659" i="6"/>
  <c r="A678" i="6"/>
  <c r="A697" i="6"/>
  <c r="A719" i="6"/>
  <c r="A735" i="6"/>
  <c r="A751" i="6"/>
  <c r="A767" i="6"/>
  <c r="A1457" i="6"/>
  <c r="A1460" i="6"/>
  <c r="A1459" i="6"/>
  <c r="A5" i="6"/>
  <c r="A45" i="6"/>
  <c r="A53" i="6"/>
  <c r="A61" i="6"/>
  <c r="A69" i="6"/>
  <c r="A109" i="6"/>
  <c r="A117" i="6"/>
  <c r="A4" i="6"/>
  <c r="A12" i="6"/>
  <c r="A44" i="6"/>
  <c r="A52" i="6"/>
  <c r="A60" i="6"/>
  <c r="A108" i="6"/>
  <c r="A116" i="6"/>
  <c r="A227" i="6"/>
  <c r="A228" i="6"/>
  <c r="A230" i="6"/>
  <c r="A219" i="6"/>
  <c r="A196" i="6"/>
  <c r="A186" i="6"/>
  <c r="A218" i="6"/>
  <c r="A176" i="6"/>
  <c r="A208" i="6"/>
  <c r="A198" i="6"/>
  <c r="A772" i="6"/>
  <c r="A771" i="6"/>
  <c r="A15" i="6"/>
  <c r="A31" i="6"/>
  <c r="A95" i="6"/>
  <c r="A127" i="6"/>
  <c r="A22" i="6"/>
  <c r="A30" i="6"/>
  <c r="A94" i="6"/>
  <c r="A126" i="6"/>
  <c r="A173" i="6"/>
  <c r="A181" i="6"/>
  <c r="A189" i="6"/>
  <c r="A197" i="6"/>
  <c r="A205" i="6"/>
  <c r="A213" i="6"/>
  <c r="A204" i="6"/>
  <c r="A194" i="6"/>
  <c r="A184" i="6"/>
  <c r="A216" i="6"/>
  <c r="A174" i="6"/>
  <c r="A206" i="6"/>
  <c r="A1449" i="6"/>
  <c r="A17" i="6"/>
  <c r="A33" i="6"/>
  <c r="A97" i="6"/>
  <c r="A121" i="6"/>
  <c r="A129" i="6"/>
  <c r="A32" i="6"/>
  <c r="A96" i="6"/>
  <c r="A120" i="6"/>
  <c r="A128" i="6"/>
  <c r="A175" i="6"/>
  <c r="A183" i="6"/>
  <c r="A191" i="6"/>
  <c r="A199" i="6"/>
  <c r="A207" i="6"/>
  <c r="A215" i="6"/>
  <c r="A180" i="6"/>
  <c r="A212" i="6"/>
  <c r="A202" i="6"/>
  <c r="A192" i="6"/>
  <c r="A182" i="6"/>
  <c r="A214" i="6"/>
  <c r="A324" i="6"/>
  <c r="A314" i="6"/>
  <c r="A343" i="6"/>
  <c r="A351" i="6"/>
  <c r="A359" i="6"/>
  <c r="A304" i="6"/>
  <c r="A336" i="6"/>
  <c r="A364" i="6"/>
  <c r="A326" i="6"/>
  <c r="A346" i="6"/>
  <c r="A358" i="6"/>
  <c r="A632" i="6"/>
  <c r="A387" i="6"/>
  <c r="A419" i="6"/>
  <c r="A451" i="6"/>
  <c r="A483" i="6"/>
  <c r="A382" i="6"/>
  <c r="A414" i="6"/>
  <c r="A446" i="6"/>
  <c r="A478" i="6"/>
  <c r="A369" i="6"/>
  <c r="A401" i="6"/>
  <c r="A433" i="6"/>
  <c r="A465" i="6"/>
  <c r="A497" i="6"/>
  <c r="A635" i="6"/>
  <c r="A916" i="6"/>
  <c r="A918" i="6"/>
  <c r="A914" i="6"/>
  <c r="A1184" i="6"/>
  <c r="A1200" i="6"/>
  <c r="A1216" i="6"/>
  <c r="A910" i="6"/>
  <c r="A1183" i="6"/>
  <c r="A1198" i="6"/>
  <c r="A1217" i="6"/>
  <c r="A1239" i="6"/>
  <c r="A1255" i="6"/>
  <c r="A1271" i="6"/>
  <c r="A1287" i="6"/>
  <c r="A1303" i="6"/>
  <c r="A1319" i="6"/>
  <c r="A1335" i="6"/>
  <c r="A1351" i="6"/>
  <c r="A1371" i="6"/>
  <c r="A1403" i="6"/>
  <c r="A1435" i="6"/>
  <c r="A1189" i="6"/>
  <c r="A1213" i="6"/>
  <c r="A1234" i="6"/>
  <c r="A1250" i="6"/>
  <c r="A1266" i="6"/>
  <c r="A1282" i="6"/>
  <c r="A1298" i="6"/>
  <c r="A1314" i="6"/>
  <c r="A1330" i="6"/>
  <c r="A1346" i="6"/>
  <c r="A1362" i="6"/>
  <c r="A1378" i="6"/>
  <c r="A1394" i="6"/>
  <c r="A1414" i="6"/>
  <c r="A1203" i="6"/>
  <c r="A1222" i="6"/>
  <c r="A1237" i="6"/>
  <c r="A1253" i="6"/>
  <c r="A1269" i="6"/>
  <c r="A1285" i="6"/>
  <c r="A1301" i="6"/>
  <c r="A1317" i="6"/>
  <c r="A1333" i="6"/>
  <c r="A1349" i="6"/>
  <c r="A1365" i="6"/>
  <c r="A1381" i="6"/>
  <c r="A1397" i="6"/>
  <c r="A1413" i="6"/>
  <c r="A1429" i="6"/>
  <c r="A1445" i="6"/>
  <c r="A1202" i="6"/>
  <c r="A1221" i="6"/>
  <c r="A1240" i="6"/>
  <c r="A1256" i="6"/>
  <c r="A1272" i="6"/>
  <c r="A1288" i="6"/>
  <c r="A1304" i="6"/>
  <c r="A1320" i="6"/>
  <c r="A1336" i="6"/>
  <c r="A1352" i="6"/>
  <c r="A1368" i="6"/>
  <c r="A1384" i="6"/>
  <c r="A1400" i="6"/>
  <c r="A1416" i="6"/>
  <c r="A1432" i="6"/>
  <c r="A1448" i="6"/>
  <c r="A1367" i="6"/>
  <c r="A1399" i="6"/>
  <c r="A1431" i="6"/>
  <c r="A1410" i="6"/>
  <c r="A1446" i="6"/>
  <c r="A23" i="6"/>
  <c r="A79" i="6"/>
  <c r="A87" i="6"/>
  <c r="A159" i="6"/>
  <c r="A167" i="6"/>
  <c r="A62" i="6"/>
  <c r="A70" i="6"/>
  <c r="A78" i="6"/>
  <c r="A86" i="6"/>
  <c r="A166" i="6"/>
  <c r="A221" i="6"/>
  <c r="A301" i="6"/>
  <c r="A309" i="6"/>
  <c r="A317" i="6"/>
  <c r="A325" i="6"/>
  <c r="A333" i="6"/>
  <c r="A341" i="6"/>
  <c r="A300" i="6"/>
  <c r="A332" i="6"/>
  <c r="A322" i="6"/>
  <c r="A345" i="6"/>
  <c r="A353" i="6"/>
  <c r="A361" i="6"/>
  <c r="A312" i="6"/>
  <c r="A350" i="6"/>
  <c r="A302" i="6"/>
  <c r="A334" i="6"/>
  <c r="A348" i="6"/>
  <c r="A362" i="6"/>
  <c r="A396" i="6"/>
  <c r="A428" i="6"/>
  <c r="A460" i="6"/>
  <c r="A492" i="6"/>
  <c r="A375" i="6"/>
  <c r="A407" i="6"/>
  <c r="A439" i="6"/>
  <c r="A471" i="6"/>
  <c r="A503" i="6"/>
  <c r="A402" i="6"/>
  <c r="A434" i="6"/>
  <c r="A466" i="6"/>
  <c r="A498" i="6"/>
  <c r="A389" i="6"/>
  <c r="A421" i="6"/>
  <c r="A453" i="6"/>
  <c r="A485" i="6"/>
  <c r="A631" i="6"/>
  <c r="A917" i="6"/>
  <c r="A1188" i="6"/>
  <c r="A1204" i="6"/>
  <c r="A1220" i="6"/>
  <c r="A913" i="6"/>
  <c r="A1187" i="6"/>
  <c r="A1178" i="6"/>
  <c r="A1201" i="6"/>
  <c r="A1227" i="6"/>
  <c r="A1243" i="6"/>
  <c r="A1259" i="6"/>
  <c r="A1275" i="6"/>
  <c r="A1291" i="6"/>
  <c r="A1307" i="6"/>
  <c r="A1323" i="6"/>
  <c r="A1339" i="6"/>
  <c r="A1355" i="6"/>
  <c r="A1379" i="6"/>
  <c r="A1411" i="6"/>
  <c r="A1443" i="6"/>
  <c r="A1197" i="6"/>
  <c r="A1223" i="6"/>
  <c r="A1238" i="6"/>
  <c r="A1254" i="6"/>
  <c r="A1270" i="6"/>
  <c r="A1286" i="6"/>
  <c r="A1302" i="6"/>
  <c r="A1318" i="6"/>
  <c r="A1334" i="6"/>
  <c r="A1350" i="6"/>
  <c r="A1366" i="6"/>
  <c r="A1382" i="6"/>
  <c r="A1398" i="6"/>
  <c r="A1418" i="6"/>
  <c r="A1181" i="6"/>
  <c r="A1206" i="6"/>
  <c r="A1225" i="6"/>
  <c r="A1241" i="6"/>
  <c r="A1257" i="6"/>
  <c r="A1273" i="6"/>
  <c r="A1289" i="6"/>
  <c r="A1305" i="6"/>
  <c r="A1321" i="6"/>
  <c r="A1337" i="6"/>
  <c r="A1353" i="6"/>
  <c r="A1369" i="6"/>
  <c r="A1385" i="6"/>
  <c r="A1401" i="6"/>
  <c r="A1417" i="6"/>
  <c r="A1433" i="6"/>
  <c r="A1185" i="6"/>
  <c r="A1205" i="6"/>
  <c r="A1228" i="6"/>
  <c r="A1244" i="6"/>
  <c r="A1260" i="6"/>
  <c r="A1276" i="6"/>
  <c r="A1292" i="6"/>
  <c r="A1308" i="6"/>
  <c r="A1324" i="6"/>
  <c r="A1340" i="6"/>
  <c r="A1356" i="6"/>
  <c r="A1372" i="6"/>
  <c r="A1388" i="6"/>
  <c r="A1404" i="6"/>
  <c r="A1420" i="6"/>
  <c r="A1436" i="6"/>
  <c r="A1375" i="6"/>
  <c r="A1407" i="6"/>
  <c r="A1439" i="6"/>
  <c r="A1422" i="6"/>
  <c r="A81" i="6"/>
  <c r="A89" i="6"/>
  <c r="A161" i="6"/>
  <c r="A169" i="6"/>
  <c r="A64" i="6"/>
  <c r="A72" i="6"/>
  <c r="A80" i="6"/>
  <c r="A88" i="6"/>
  <c r="A160" i="6"/>
  <c r="A168" i="6"/>
  <c r="A223" i="6"/>
  <c r="A303" i="6"/>
  <c r="A311" i="6"/>
  <c r="A319" i="6"/>
  <c r="A327" i="6"/>
  <c r="A335" i="6"/>
  <c r="A308" i="6"/>
  <c r="A340" i="6"/>
  <c r="A298" i="6"/>
  <c r="A330" i="6"/>
  <c r="A347" i="6"/>
  <c r="A355" i="6"/>
  <c r="A363" i="6"/>
  <c r="A320" i="6"/>
  <c r="A356" i="6"/>
  <c r="A310" i="6"/>
  <c r="A342" i="6"/>
  <c r="A352" i="6"/>
  <c r="A366" i="6"/>
  <c r="A664" i="6"/>
  <c r="A696" i="6"/>
  <c r="A671" i="6"/>
  <c r="A710" i="6"/>
  <c r="A742" i="6"/>
  <c r="A673" i="6"/>
  <c r="A713" i="6"/>
  <c r="A729" i="6"/>
  <c r="A745" i="6"/>
  <c r="A761" i="6"/>
  <c r="A647" i="6"/>
  <c r="A666" i="6"/>
  <c r="A685" i="6"/>
  <c r="A708" i="6"/>
  <c r="A724" i="6"/>
  <c r="A740" i="6"/>
  <c r="A756" i="6"/>
  <c r="A662" i="6"/>
  <c r="A681" i="6"/>
  <c r="A707" i="6"/>
  <c r="A723" i="6"/>
  <c r="A739" i="6"/>
  <c r="A755" i="6"/>
  <c r="A1450" i="6"/>
  <c r="A1461" i="6"/>
  <c r="A1454" i="6"/>
  <c r="A7" i="6"/>
  <c r="A39" i="6"/>
  <c r="A47" i="6"/>
  <c r="A55" i="6"/>
  <c r="A63" i="6"/>
  <c r="A71" i="6"/>
  <c r="A103" i="6"/>
  <c r="A111" i="6"/>
  <c r="A119" i="6"/>
  <c r="A6" i="6"/>
  <c r="A38" i="6"/>
  <c r="A46" i="6"/>
  <c r="A54" i="6"/>
  <c r="A102" i="6"/>
  <c r="A110" i="6"/>
  <c r="A118" i="6"/>
  <c r="A229" i="6"/>
  <c r="A226" i="6"/>
  <c r="A652" i="6"/>
  <c r="A684" i="6"/>
  <c r="A370" i="6"/>
  <c r="A655" i="6"/>
  <c r="A693" i="6"/>
  <c r="A730" i="6"/>
  <c r="A762" i="6"/>
  <c r="A657" i="6"/>
  <c r="A702" i="6"/>
  <c r="A733" i="6"/>
  <c r="A749" i="6"/>
  <c r="A765" i="6"/>
  <c r="A650" i="6"/>
  <c r="A669" i="6"/>
  <c r="A695" i="6"/>
  <c r="A712" i="6"/>
  <c r="A728" i="6"/>
  <c r="A744" i="6"/>
  <c r="A760" i="6"/>
  <c r="A646" i="6"/>
  <c r="A665" i="6"/>
  <c r="A691" i="6"/>
  <c r="A711" i="6"/>
  <c r="A727" i="6"/>
  <c r="A743" i="6"/>
  <c r="A759" i="6"/>
  <c r="A1451" i="6"/>
  <c r="A1452" i="6"/>
  <c r="A9" i="6"/>
  <c r="A25" i="6"/>
  <c r="A41" i="6"/>
  <c r="A49" i="6"/>
  <c r="A57" i="6"/>
  <c r="A65" i="6"/>
  <c r="A73" i="6"/>
  <c r="A105" i="6"/>
  <c r="A113" i="6"/>
  <c r="A8" i="6"/>
  <c r="A40" i="6"/>
  <c r="A48" i="6"/>
  <c r="A56" i="6"/>
  <c r="A104" i="6"/>
  <c r="A112" i="6"/>
  <c r="A231" i="6"/>
  <c r="A224" i="6"/>
  <c r="A250" i="6"/>
  <c r="A282" i="6"/>
  <c r="A240" i="6"/>
  <c r="A272" i="6"/>
  <c r="A262" i="6"/>
  <c r="A294" i="6"/>
  <c r="A600" i="6"/>
  <c r="A515" i="6"/>
  <c r="A547" i="6"/>
  <c r="A579" i="6"/>
  <c r="A510" i="6"/>
  <c r="A542" i="6"/>
  <c r="A574" i="6"/>
  <c r="A529" i="6"/>
  <c r="A561" i="6"/>
  <c r="A593" i="6"/>
  <c r="A626" i="6"/>
  <c r="A774" i="6"/>
  <c r="A806" i="6"/>
  <c r="A838" i="6"/>
  <c r="A777" i="6"/>
  <c r="A793" i="6"/>
  <c r="A809" i="6"/>
  <c r="A825" i="6"/>
  <c r="A841" i="6"/>
  <c r="A621" i="6"/>
  <c r="A788" i="6"/>
  <c r="A804" i="6"/>
  <c r="A820" i="6"/>
  <c r="A836" i="6"/>
  <c r="A852" i="6"/>
  <c r="A868" i="6"/>
  <c r="A884" i="6"/>
  <c r="A900" i="6"/>
  <c r="A932" i="6"/>
  <c r="A948" i="6"/>
  <c r="A964" i="6"/>
  <c r="A617" i="6"/>
  <c r="A643" i="6"/>
  <c r="A787" i="6"/>
  <c r="A803" i="6"/>
  <c r="A819" i="6"/>
  <c r="A835" i="6"/>
  <c r="A851" i="6"/>
  <c r="A867" i="6"/>
  <c r="A883" i="6"/>
  <c r="A870" i="6"/>
  <c r="A899" i="6"/>
  <c r="A937" i="6"/>
  <c r="A963" i="6"/>
  <c r="A977" i="6"/>
  <c r="A993" i="6"/>
  <c r="A1009" i="6"/>
  <c r="A1025" i="6"/>
  <c r="A1041" i="6"/>
  <c r="A1057" i="6"/>
  <c r="A1073" i="6"/>
  <c r="A1089" i="6"/>
  <c r="A1105" i="6"/>
  <c r="A1121" i="6"/>
  <c r="A1137" i="6"/>
  <c r="A1153" i="6"/>
  <c r="A1169" i="6"/>
  <c r="A861" i="6"/>
  <c r="A895" i="6"/>
  <c r="A933" i="6"/>
  <c r="A959" i="6"/>
  <c r="A976" i="6"/>
  <c r="A992" i="6"/>
  <c r="A1008" i="6"/>
  <c r="A1024" i="6"/>
  <c r="A1040" i="6"/>
  <c r="A1056" i="6"/>
  <c r="A1072" i="6"/>
  <c r="A1088" i="6"/>
  <c r="A1104" i="6"/>
  <c r="A1120" i="6"/>
  <c r="A1136" i="6"/>
  <c r="A1152" i="6"/>
  <c r="A1168" i="6"/>
  <c r="A858" i="6"/>
  <c r="A891" i="6"/>
  <c r="A929" i="6"/>
  <c r="A955" i="6"/>
  <c r="A975" i="6"/>
  <c r="A991" i="6"/>
  <c r="A1007" i="6"/>
  <c r="A1023" i="6"/>
  <c r="A1039" i="6"/>
  <c r="A1055" i="6"/>
  <c r="A1071" i="6"/>
  <c r="A1087" i="6"/>
  <c r="A1103" i="6"/>
  <c r="A1119" i="6"/>
  <c r="A1135" i="6"/>
  <c r="A1151" i="6"/>
  <c r="A1167" i="6"/>
  <c r="A849" i="6"/>
  <c r="A881" i="6"/>
  <c r="A903" i="6"/>
  <c r="A922" i="6"/>
  <c r="A941" i="6"/>
  <c r="A967" i="6"/>
  <c r="A982" i="6"/>
  <c r="A998" i="6"/>
  <c r="A1014" i="6"/>
  <c r="A1030" i="6"/>
  <c r="A1046" i="6"/>
  <c r="A1062" i="6"/>
  <c r="A1078" i="6"/>
  <c r="A1094" i="6"/>
  <c r="A1110" i="6"/>
  <c r="A1126" i="6"/>
  <c r="A1142" i="6"/>
  <c r="A1158" i="6"/>
  <c r="A1174" i="6"/>
  <c r="A135" i="6"/>
  <c r="A143" i="6"/>
  <c r="A151" i="6"/>
  <c r="A134" i="6"/>
  <c r="A142" i="6"/>
  <c r="A150" i="6"/>
  <c r="A158" i="6"/>
  <c r="A237" i="6"/>
  <c r="A245" i="6"/>
  <c r="A253" i="6"/>
  <c r="A261" i="6"/>
  <c r="A269" i="6"/>
  <c r="A277" i="6"/>
  <c r="A285" i="6"/>
  <c r="A293" i="6"/>
  <c r="A236" i="6"/>
  <c r="A268" i="6"/>
  <c r="A258" i="6"/>
  <c r="A290" i="6"/>
  <c r="A248" i="6"/>
  <c r="A280" i="6"/>
  <c r="A238" i="6"/>
  <c r="A270" i="6"/>
  <c r="A524" i="6"/>
  <c r="A556" i="6"/>
  <c r="A588" i="6"/>
  <c r="A620" i="6"/>
  <c r="A535" i="6"/>
  <c r="A567" i="6"/>
  <c r="A530" i="6"/>
  <c r="A562" i="6"/>
  <c r="A594" i="6"/>
  <c r="A517" i="6"/>
  <c r="A549" i="6"/>
  <c r="A581" i="6"/>
  <c r="A610" i="6"/>
  <c r="A794" i="6"/>
  <c r="A826" i="6"/>
  <c r="A619" i="6"/>
  <c r="A781" i="6"/>
  <c r="A797" i="6"/>
  <c r="A813" i="6"/>
  <c r="A829" i="6"/>
  <c r="A603" i="6"/>
  <c r="A776" i="6"/>
  <c r="A792" i="6"/>
  <c r="A808" i="6"/>
  <c r="A824" i="6"/>
  <c r="A840" i="6"/>
  <c r="A856" i="6"/>
  <c r="A872" i="6"/>
  <c r="A888" i="6"/>
  <c r="A904" i="6"/>
  <c r="A920" i="6"/>
  <c r="A936" i="6"/>
  <c r="A952" i="6"/>
  <c r="A968" i="6"/>
  <c r="A627" i="6"/>
  <c r="A775" i="6"/>
  <c r="A791" i="6"/>
  <c r="A807" i="6"/>
  <c r="A823" i="6"/>
  <c r="A839" i="6"/>
  <c r="A855" i="6"/>
  <c r="A871" i="6"/>
  <c r="A846" i="6"/>
  <c r="A878" i="6"/>
  <c r="A902" i="6"/>
  <c r="A921" i="6"/>
  <c r="A947" i="6"/>
  <c r="A966" i="6"/>
  <c r="A981" i="6"/>
  <c r="A997" i="6"/>
  <c r="A1013" i="6"/>
  <c r="A1029" i="6"/>
  <c r="A1045" i="6"/>
  <c r="A1061" i="6"/>
  <c r="A1077" i="6"/>
  <c r="A1093" i="6"/>
  <c r="A1109" i="6"/>
  <c r="A1125" i="6"/>
  <c r="A1141" i="6"/>
  <c r="A1157" i="6"/>
  <c r="A1173" i="6"/>
  <c r="A869" i="6"/>
  <c r="A898" i="6"/>
  <c r="A943" i="6"/>
  <c r="A962" i="6"/>
  <c r="A980" i="6"/>
  <c r="A996" i="6"/>
  <c r="A1012" i="6"/>
  <c r="A1028" i="6"/>
  <c r="A1044" i="6"/>
  <c r="A1060" i="6"/>
  <c r="A1076" i="6"/>
  <c r="A1092" i="6"/>
  <c r="A1108" i="6"/>
  <c r="A1124" i="6"/>
  <c r="A1140" i="6"/>
  <c r="A1156" i="6"/>
  <c r="A1172" i="6"/>
  <c r="A866" i="6"/>
  <c r="A894" i="6"/>
  <c r="A939" i="6"/>
  <c r="A958" i="6"/>
  <c r="A979" i="6"/>
  <c r="A995" i="6"/>
  <c r="A1011" i="6"/>
  <c r="A1027" i="6"/>
  <c r="A1043" i="6"/>
  <c r="A1059" i="6"/>
  <c r="A1075" i="6"/>
  <c r="A1091" i="6"/>
  <c r="A1107" i="6"/>
  <c r="A1123" i="6"/>
  <c r="A1139" i="6"/>
  <c r="A1155" i="6"/>
  <c r="A1171" i="6"/>
  <c r="A857" i="6"/>
  <c r="A887" i="6"/>
  <c r="A906" i="6"/>
  <c r="A925" i="6"/>
  <c r="A951" i="6"/>
  <c r="A970" i="6"/>
  <c r="A986" i="6"/>
  <c r="A1002" i="6"/>
  <c r="A1018" i="6"/>
  <c r="A1034" i="6"/>
  <c r="A1050" i="6"/>
  <c r="A1066" i="6"/>
  <c r="A1082" i="6"/>
  <c r="A1098" i="6"/>
  <c r="A1114" i="6"/>
  <c r="A1130" i="6"/>
  <c r="A1146" i="6"/>
  <c r="A1162" i="6"/>
  <c r="A137" i="6"/>
  <c r="A145" i="6"/>
  <c r="A153" i="6"/>
  <c r="A136" i="6"/>
  <c r="A144" i="6"/>
  <c r="A152" i="6"/>
  <c r="A239" i="6"/>
  <c r="A247" i="6"/>
  <c r="A255" i="6"/>
  <c r="A263" i="6"/>
  <c r="A271" i="6"/>
  <c r="A279" i="6"/>
  <c r="A287" i="6"/>
  <c r="A295" i="6"/>
  <c r="A244" i="6"/>
  <c r="A276" i="6"/>
  <c r="A234" i="6"/>
  <c r="A266" i="6"/>
  <c r="A256" i="6"/>
  <c r="A288" i="6"/>
  <c r="A246" i="6"/>
  <c r="A278" i="6"/>
  <c r="A2" i="6"/>
  <c r="A3" i="5"/>
  <c r="A2" i="5"/>
  <c r="A4" i="5" l="1"/>
  <c r="A5" i="5" l="1"/>
  <c r="A6" i="5" l="1"/>
  <c r="A7" i="5" l="1"/>
  <c r="A290" i="5" l="1"/>
  <c r="A341" i="5"/>
  <c r="A39" i="5"/>
  <c r="A166" i="5"/>
  <c r="A295" i="5"/>
  <c r="A327" i="5"/>
  <c r="A359" i="5"/>
  <c r="A354" i="5"/>
  <c r="A322" i="5"/>
  <c r="A258" i="5"/>
  <c r="A163" i="5"/>
  <c r="A98" i="5"/>
  <c r="A12" i="5"/>
  <c r="A85" i="5"/>
  <c r="A52" i="5"/>
  <c r="A244" i="5"/>
  <c r="A212" i="5"/>
  <c r="A180" i="5"/>
  <c r="A149" i="5"/>
  <c r="A117" i="5"/>
  <c r="A364" i="5"/>
  <c r="A332" i="5"/>
  <c r="A300" i="5"/>
  <c r="A268" i="5"/>
  <c r="A173" i="5"/>
  <c r="A217" i="5"/>
  <c r="A306" i="5"/>
  <c r="A352" i="5"/>
  <c r="A320" i="5"/>
  <c r="A288" i="5"/>
  <c r="A256" i="5"/>
  <c r="A161" i="5"/>
  <c r="A96" i="5"/>
  <c r="A45" i="5"/>
  <c r="A175" i="5"/>
  <c r="A318" i="5"/>
  <c r="A350" i="5"/>
  <c r="A254" i="5"/>
  <c r="A310" i="5"/>
  <c r="A302" i="5"/>
  <c r="A263" i="5" l="1"/>
  <c r="A326" i="5"/>
  <c r="A278" i="5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<sst xmlns="http://schemas.openxmlformats.org/spreadsheetml/2006/main" count="999" uniqueCount="96">
  <si>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</si>
  <si>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</si>
  <si>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</si>
  <si>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</si>
  <si>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</si>
  <si>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</si>
  <si>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</si>
  <si>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</si>
  <si>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</si>
  <si>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</si>
  <si>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</si>
  <si>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</si>
  <si>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</si>
  <si>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</si>
  <si>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</si>
  <si>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</si>
  <si>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</si>
  <si>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</si>
  <si>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</si>
  <si>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</si>
  <si>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</si>
  <si>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</si>
  <si>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</si>
  <si>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Regenmeter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</si>
  <si>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</si>
  <si>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</si>
  <si>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</si>
  <si>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</si>
  <si>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</si>
  <si>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</si>
  <si>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</si>
  <si>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</si>
  <si>
    <t>Temperatuur [°C]</t>
  </si>
  <si>
    <t>droog</t>
  </si>
  <si>
    <t>nat</t>
  </si>
  <si>
    <t>07.00</t>
  </si>
  <si>
    <t>Som droge bol</t>
  </si>
  <si>
    <t>12.00</t>
  </si>
  <si>
    <t>17.00</t>
  </si>
  <si>
    <t>Dampdrukking [mm Hg]</t>
  </si>
  <si>
    <t>Betrekkelijke vochtigheid [mm Hg]</t>
  </si>
  <si>
    <t>maxi-mum</t>
  </si>
  <si>
    <t>mini-mum</t>
  </si>
  <si>
    <t>richting</t>
  </si>
  <si>
    <t>snelheid</t>
  </si>
  <si>
    <t>Windricht en -snelheid</t>
  </si>
  <si>
    <t>O</t>
  </si>
  <si>
    <t>ONO</t>
  </si>
  <si>
    <t>Bewolking [0 – 10]</t>
  </si>
  <si>
    <t>Luchtdrukking
[mm Hg, herleid op 0 °C]</t>
  </si>
  <si>
    <t>Tw</t>
  </si>
  <si>
    <t>Tn</t>
  </si>
  <si>
    <t>Tx</t>
  </si>
  <si>
    <t>Ed</t>
  </si>
  <si>
    <t>U</t>
  </si>
  <si>
    <t>D</t>
  </si>
  <si>
    <t>F</t>
  </si>
  <si>
    <t>N</t>
  </si>
  <si>
    <t>Minimumtemperatuur</t>
  </si>
  <si>
    <t>Maximumtemperatuur</t>
  </si>
  <si>
    <t>Betrekkelijke vochtigheid</t>
  </si>
  <si>
    <t>Dampdrukking</t>
  </si>
  <si>
    <t>Parameter</t>
  </si>
  <si>
    <t>Windrichting</t>
  </si>
  <si>
    <t>Windsnelheid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</si>
  <si>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</si>
  <si>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</si>
  <si>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</si>
  <si>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</si>
  <si>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</si>
  <si>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</si>
  <si>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</si>
  <si>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</si>
  <si>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</si>
  <si>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</si>
  <si>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</si>
  <si>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Luchtdrukking</t>
  </si>
  <si>
    <t>Droge bol temperatuur</t>
  </si>
  <si>
    <t>Natte bol temperatuur</t>
  </si>
  <si>
    <t>Windrichting en -snelheid</t>
  </si>
  <si>
    <t>Azimuth</t>
  </si>
  <si>
    <t>Richting</t>
  </si>
  <si>
    <t>Stil</t>
  </si>
  <si>
    <t>Z</t>
  </si>
  <si>
    <t>W</t>
  </si>
  <si>
    <t>NO</t>
  </si>
  <si>
    <t>ZO</t>
  </si>
  <si>
    <t>ZW</t>
  </si>
  <si>
    <t>NW</t>
  </si>
  <si>
    <t>NNO</t>
  </si>
  <si>
    <t>OZO</t>
  </si>
  <si>
    <t>ZZO</t>
  </si>
  <si>
    <t>ZZW</t>
  </si>
  <si>
    <t>WZW</t>
  </si>
  <si>
    <t>WNW</t>
  </si>
  <si>
    <t>NNW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</si>
</sst>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0_0_0_0_0;\-0_0_0_0_0;&quot;∙&quot;_,_0_0_0_0;@_0_0_0_0"/>
    <numFmt numFmtId="174" formatCode="0.0_,_0_0_0;\-0.0_,_0_0_0;&quot;∙&quot;_,_0_0_0_0;@_0_0_0_0"/>
    <numFmt numFmtId="175" formatCode="0.0_0"/>
    <numFmt numFmtId="176" formatCode="General_,_0_0"/>
    <numFmt numFmtId="177" formatCode="General_,_0_0_0"/>
    <numFmt numFmtId="178" formatCode="0.0_0_0"/>
    <numFmt numFmtId="179" formatCode="0_0_0"/>
    <numFmt numFmtId="180" formatCode="0.0_0_0_0;\-0.0_0_0_0;0.0_0_0_0;@_0_0_0"/>
    <numFmt numFmtId="181" formatCode="0_,_0_0_0;\-0_,_0_0_0;0_,_0_0_0;@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D500"/>
        <bgColor indexed="64"/>
      </patternFill>
    </fill>
    <fill>
      <patternFill patternType="solid">
        <fgColor rgb="FFCCFF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70" fontId="0" fillId="9" borderId="0" xfId="0" applyNumberFormat="1" applyFill="1" applyBorder="1"/>
    <xf numFmtId="170" fontId="0" fillId="9" borderId="3" xfId="0" applyNumberFormat="1" applyFill="1" applyBorder="1"/>
    <xf numFmtId="171" fontId="0" fillId="5" borderId="3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71" fontId="0" fillId="5" borderId="12" xfId="0" applyNumberFormat="1" applyFill="1" applyBorder="1" applyProtection="1">
      <protection locked="0"/>
    </xf>
    <xf numFmtId="172" fontId="0" fillId="5" borderId="3" xfId="0" applyNumberFormat="1" applyFill="1" applyBorder="1"/>
    <xf numFmtId="172" fontId="0" fillId="5" borderId="0" xfId="0" applyNumberFormat="1" applyFill="1" applyBorder="1"/>
    <xf numFmtId="172" fontId="0" fillId="5" borderId="12" xfId="0" applyNumberFormat="1" applyFill="1" applyBorder="1"/>
    <xf numFmtId="172" fontId="0" fillId="6" borderId="9" xfId="0" applyNumberFormat="1" applyFill="1" applyBorder="1" applyProtection="1"/>
    <xf numFmtId="171" fontId="0" fillId="7" borderId="3" xfId="0" applyNumberFormat="1" applyFill="1" applyBorder="1" applyProtection="1">
      <protection locked="0"/>
    </xf>
    <xf numFmtId="171" fontId="0" fillId="7" borderId="0" xfId="0" applyNumberFormat="1" applyFill="1" applyBorder="1" applyProtection="1">
      <protection locked="0"/>
    </xf>
    <xf numFmtId="171" fontId="0" fillId="7" borderId="12" xfId="0" applyNumberFormat="1" applyFill="1" applyBorder="1" applyProtection="1">
      <protection locked="0"/>
    </xf>
    <xf numFmtId="171" fontId="0" fillId="9" borderId="0" xfId="0" applyNumberFormat="1" applyFill="1" applyBorder="1" applyProtection="1">
      <protection locked="0"/>
    </xf>
    <xf numFmtId="171" fontId="0" fillId="9" borderId="12" xfId="0" applyNumberFormat="1" applyFill="1" applyBorder="1" applyProtection="1">
      <protection locked="0"/>
    </xf>
    <xf numFmtId="0" fontId="0" fillId="9" borderId="0" xfId="0" applyNumberFormat="1" applyFill="1" applyBorder="1" applyAlignment="1" applyProtection="1">
      <alignment horizontal="center"/>
      <protection locked="0"/>
    </xf>
    <xf numFmtId="0" fontId="0" fillId="9" borderId="3" xfId="0" applyNumberFormat="1" applyFill="1" applyBorder="1" applyAlignment="1" applyProtection="1">
      <alignment horizontal="center"/>
      <protection locked="0"/>
    </xf>
    <xf numFmtId="173" fontId="0" fillId="3" borderId="9" xfId="0" applyNumberFormat="1" applyFill="1" applyBorder="1" applyProtection="1">
      <protection locked="0"/>
    </xf>
    <xf numFmtId="173" fontId="0" fillId="3" borderId="9" xfId="0" applyNumberFormat="1" applyFill="1" applyBorder="1" applyAlignment="1" applyProtection="1">
      <protection locked="0"/>
    </xf>
    <xf numFmtId="173" fontId="0" fillId="3" borderId="9" xfId="0" applyNumberFormat="1" applyFill="1" applyBorder="1" applyAlignment="1" applyProtection="1">
      <alignment horizontal="right"/>
      <protection locked="0"/>
    </xf>
    <xf numFmtId="174" fontId="0" fillId="3" borderId="9" xfId="0" applyNumberFormat="1" applyFill="1" applyBorder="1"/>
    <xf numFmtId="172" fontId="0" fillId="6" borderId="9" xfId="0" applyNumberFormat="1" applyFill="1" applyBorder="1"/>
    <xf numFmtId="172" fontId="0" fillId="7" borderId="3" xfId="0" applyNumberFormat="1" applyFill="1" applyBorder="1"/>
    <xf numFmtId="172" fontId="0" fillId="7" borderId="0" xfId="0" applyNumberFormat="1" applyFill="1" applyBorder="1"/>
    <xf numFmtId="172" fontId="0" fillId="7" borderId="12" xfId="0" applyNumberFormat="1" applyFill="1" applyBorder="1"/>
    <xf numFmtId="172" fontId="0" fillId="9" borderId="12" xfId="0" applyNumberFormat="1" applyFill="1" applyBorder="1"/>
    <xf numFmtId="175" fontId="0" fillId="8" borderId="3" xfId="0" applyNumberFormat="1" applyFill="1" applyBorder="1"/>
    <xf numFmtId="176" fontId="0" fillId="8" borderId="3" xfId="0" applyNumberFormat="1" applyFill="1" applyBorder="1" applyProtection="1">
      <protection locked="0"/>
    </xf>
    <xf numFmtId="175" fontId="0" fillId="8" borderId="0" xfId="0" applyNumberFormat="1" applyFill="1" applyBorder="1"/>
    <xf numFmtId="175" fontId="0" fillId="8" borderId="12" xfId="0" applyNumberFormat="1" applyFill="1" applyBorder="1"/>
    <xf numFmtId="176" fontId="0" fillId="8" borderId="0" xfId="0" applyNumberFormat="1" applyFill="1" applyBorder="1" applyProtection="1">
      <protection locked="0"/>
    </xf>
    <xf numFmtId="176" fontId="0" fillId="8" borderId="12" xfId="0" applyNumberFormat="1" applyFill="1" applyBorder="1" applyProtection="1">
      <protection locked="0"/>
    </xf>
    <xf numFmtId="177" fontId="0" fillId="6" borderId="3" xfId="0" applyNumberFormat="1" applyFill="1" applyBorder="1" applyProtection="1">
      <protection locked="0"/>
    </xf>
    <xf numFmtId="177" fontId="0" fillId="6" borderId="0" xfId="0" applyNumberFormat="1" applyFill="1" applyBorder="1" applyProtection="1">
      <protection locked="0"/>
    </xf>
    <xf numFmtId="177" fontId="0" fillId="6" borderId="12" xfId="0" applyNumberFormat="1" applyFill="1" applyBorder="1" applyProtection="1">
      <protection locked="0"/>
    </xf>
    <xf numFmtId="178" fontId="0" fillId="8" borderId="3" xfId="0" applyNumberFormat="1" applyFill="1" applyBorder="1"/>
    <xf numFmtId="178" fontId="0" fillId="8" borderId="0" xfId="0" applyNumberFormat="1" applyFill="1" applyBorder="1"/>
    <xf numFmtId="178" fontId="0" fillId="8" borderId="12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9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80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4" xfId="0" applyNumberFormat="1" applyBorder="1"/>
    <xf numFmtId="0" fontId="0" fillId="0" borderId="4" xfId="0" applyBorder="1" applyAlignment="1">
      <alignment horizontal="left" indent="1"/>
    </xf>
    <xf numFmtId="176" fontId="0" fillId="10" borderId="0" xfId="0" applyNumberFormat="1" applyFill="1" applyAlignment="1" applyProtection="1">
      <protection locked="0"/>
    </xf>
    <xf numFmtId="178" fontId="0" fillId="7" borderId="3" xfId="0" applyNumberFormat="1" applyFill="1" applyBorder="1"/>
    <xf numFmtId="178" fontId="0" fillId="7" borderId="0" xfId="0" applyNumberFormat="1" applyFill="1" applyBorder="1"/>
    <xf numFmtId="178" fontId="0" fillId="7" borderId="12" xfId="0" applyNumberForma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4" borderId="14" xfId="0" applyFont="1" applyFill="1" applyBorder="1" applyAlignment="1">
      <alignment horizontal="left" vertical="center" wrapText="1" indent="2"/>
    </xf>
    <xf numFmtId="0" fontId="1" fillId="4" borderId="16" xfId="0" applyFont="1" applyFill="1" applyBorder="1" applyAlignment="1">
      <alignment horizontal="left" vertical="center" wrapText="1" indent="2"/>
    </xf>
    <xf numFmtId="0" fontId="1" fillId="4" borderId="15" xfId="0" applyFont="1" applyFill="1" applyBorder="1" applyAlignment="1">
      <alignment horizontal="left" vertical="center" wrapText="1" indent="2"/>
    </xf>
    <xf numFmtId="0" fontId="1" fillId="4" borderId="17" xfId="0" applyFont="1" applyFill="1" applyBorder="1" applyAlignment="1">
      <alignment horizontal="left" vertical="center" wrapText="1" indent="2"/>
    </xf>
    <xf numFmtId="0" fontId="1" fillId="4" borderId="1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9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1">
    <cellStyle name="Standaard" xfId="0" builtinId="0"/>
  </cellStyles>
  <dxfs count="3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99"/>
      <color rgb="FFFFFF99"/>
      <color rgb="FFFCD500"/>
      <color rgb="FFFFD500"/>
      <color rgb="FFCCECFF"/>
      <color rgb="FF99FFCC"/>
      <color rgb="FFFFCCCC"/>
      <color rgb="FFFFCC66"/>
      <color rgb="FF66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C383"/>
  <sheetViews>
    <sheetView tabSelected="1" workbookViewId="0">
      <pane xSplit="1" ySplit="5" topLeftCell="M258" activePane="bottomRight" state="frozen"/>
      <selection pane="topRight" activeCell="B1" sqref="B1"/>
      <selection pane="bottomLeft" activeCell="A5" sqref="A5"/>
      <selection pane="bottomRight" activeCell="X287" sqref="X287"/>
    </sheetView>
  </sheetViews>
  <sheetFormatPr defaultRowHeight="15" x14ac:dyDescent="0.25"/>
  <cols>
    <col min="1" max="1" width="10.140625" customWidth="1"/>
    <col min="2" max="13" width="10" customWidth="1"/>
    <col min="29" max="29" width="10.7109375" bestFit="1" customWidth="1"/>
  </cols>
  <sheetData>
    <row r="1" spans="1:29" ht="20.25" x14ac:dyDescent="0.3">
      <c r="A1" s="96" t="s">
        <v>24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</row>
    <row r="3" spans="1:29" x14ac:dyDescent="0.25">
      <c r="A3" s="105" t="s">
        <v>0</v>
      </c>
      <c r="B3" s="90" t="s">
        <v>49</v>
      </c>
      <c r="C3" s="91"/>
      <c r="D3" s="92"/>
      <c r="E3" s="112" t="s">
        <v>32</v>
      </c>
      <c r="F3" s="113"/>
      <c r="G3" s="113"/>
      <c r="H3" s="113"/>
      <c r="I3" s="113"/>
      <c r="J3" s="113"/>
      <c r="K3" s="113"/>
      <c r="L3" s="113"/>
      <c r="M3" s="114"/>
      <c r="N3" s="84" t="s">
        <v>39</v>
      </c>
      <c r="O3" s="85"/>
      <c r="P3" s="86"/>
      <c r="Q3" s="90" t="s">
        <v>40</v>
      </c>
      <c r="R3" s="91"/>
      <c r="S3" s="92"/>
      <c r="T3" s="100" t="s">
        <v>79</v>
      </c>
      <c r="U3" s="101"/>
      <c r="V3" s="101"/>
      <c r="W3" s="101"/>
      <c r="X3" s="101"/>
      <c r="Y3" s="102"/>
      <c r="Z3" s="84" t="s">
        <v>48</v>
      </c>
      <c r="AA3" s="85"/>
      <c r="AB3" s="86"/>
      <c r="AC3" s="103" t="s">
        <v>1</v>
      </c>
    </row>
    <row r="4" spans="1:29" x14ac:dyDescent="0.25">
      <c r="A4" s="106"/>
      <c r="B4" s="93"/>
      <c r="C4" s="94"/>
      <c r="D4" s="95"/>
      <c r="E4" s="110" t="s">
        <v>35</v>
      </c>
      <c r="F4" s="111"/>
      <c r="G4" s="97" t="s">
        <v>37</v>
      </c>
      <c r="H4" s="99"/>
      <c r="I4" s="111" t="s">
        <v>38</v>
      </c>
      <c r="J4" s="111"/>
      <c r="K4" s="108" t="s">
        <v>36</v>
      </c>
      <c r="L4" s="80" t="s">
        <v>41</v>
      </c>
      <c r="M4" s="82" t="s">
        <v>42</v>
      </c>
      <c r="N4" s="87"/>
      <c r="O4" s="88"/>
      <c r="P4" s="89"/>
      <c r="Q4" s="93"/>
      <c r="R4" s="94"/>
      <c r="S4" s="95"/>
      <c r="T4" s="97" t="s">
        <v>35</v>
      </c>
      <c r="U4" s="98"/>
      <c r="V4" s="97" t="s">
        <v>37</v>
      </c>
      <c r="W4" s="99"/>
      <c r="X4" s="98" t="s">
        <v>38</v>
      </c>
      <c r="Y4" s="99"/>
      <c r="Z4" s="87"/>
      <c r="AA4" s="88"/>
      <c r="AB4" s="89"/>
      <c r="AC4" s="104"/>
    </row>
    <row r="5" spans="1:29" x14ac:dyDescent="0.25">
      <c r="A5" s="107"/>
      <c r="B5" s="22" t="s">
        <v>35</v>
      </c>
      <c r="C5" s="20" t="s">
        <v>37</v>
      </c>
      <c r="D5" s="21" t="s">
        <v>38</v>
      </c>
      <c r="E5" s="23" t="s">
        <v>33</v>
      </c>
      <c r="F5" s="24" t="s">
        <v>34</v>
      </c>
      <c r="G5" s="23" t="s">
        <v>33</v>
      </c>
      <c r="H5" s="25" t="s">
        <v>34</v>
      </c>
      <c r="I5" s="24" t="s">
        <v>33</v>
      </c>
      <c r="J5" s="24" t="s">
        <v>34</v>
      </c>
      <c r="K5" s="109"/>
      <c r="L5" s="81"/>
      <c r="M5" s="83"/>
      <c r="N5" s="22" t="s">
        <v>35</v>
      </c>
      <c r="O5" s="20" t="s">
        <v>37</v>
      </c>
      <c r="P5" s="21" t="s">
        <v>38</v>
      </c>
      <c r="Q5" s="22" t="s">
        <v>35</v>
      </c>
      <c r="R5" s="20" t="s">
        <v>37</v>
      </c>
      <c r="S5" s="21" t="s">
        <v>38</v>
      </c>
      <c r="T5" s="22" t="s">
        <v>43</v>
      </c>
      <c r="U5" s="20" t="s">
        <v>44</v>
      </c>
      <c r="V5" s="22" t="s">
        <v>43</v>
      </c>
      <c r="W5" s="21" t="s">
        <v>44</v>
      </c>
      <c r="X5" s="20" t="s">
        <v>43</v>
      </c>
      <c r="Y5" s="21" t="s">
        <v>44</v>
      </c>
      <c r="Z5" s="22" t="s">
        <v>35</v>
      </c>
      <c r="AA5" s="20" t="s">
        <v>37</v>
      </c>
      <c r="AB5" s="21" t="s">
        <v>38</v>
      </c>
      <c r="AC5" s="19" t="s">
        <v>25</v>
      </c>
    </row>
    <row r="6" spans="1:29" x14ac:dyDescent="0.25">
      <c r="A6" s="1">
        <f ca="1">DATE(VALUE(MID(CELL("bestandsnaam"),FIND(".",CELL("bestandsnaam"))-4,4)),1,1)</f>
        <v>14611</v>
      </c>
      <c r="B6" s="74">
        <v>7597</v>
      </c>
      <c r="C6" s="74">
        <v>7592</v>
      </c>
      <c r="D6" s="74">
        <v>7582</v>
      </c>
      <c r="E6" s="28">
        <v>271</v>
      </c>
      <c r="F6" s="29">
        <v>238</v>
      </c>
      <c r="G6" s="28">
        <v>273</v>
      </c>
      <c r="H6" s="30">
        <v>236</v>
      </c>
      <c r="I6" s="29">
        <v>269</v>
      </c>
      <c r="J6" s="29">
        <v>236</v>
      </c>
      <c r="K6" s="34">
        <f>IF(COUNT(E6,G6,I6)&gt;0,SUM(E6,G6,I6)/10,"")</f>
        <v>81.3</v>
      </c>
      <c r="L6" s="29">
        <v>295</v>
      </c>
      <c r="M6" s="30">
        <v>280</v>
      </c>
      <c r="N6" s="35">
        <v>205</v>
      </c>
      <c r="O6" s="36">
        <v>200</v>
      </c>
      <c r="P6" s="37">
        <v>202</v>
      </c>
      <c r="Q6" s="52">
        <v>76</v>
      </c>
      <c r="R6" s="55">
        <v>73</v>
      </c>
      <c r="S6" s="56">
        <v>76</v>
      </c>
      <c r="T6" s="40" t="s">
        <v>46</v>
      </c>
      <c r="U6" s="38">
        <v>3</v>
      </c>
      <c r="V6" s="41" t="s">
        <v>46</v>
      </c>
      <c r="W6" s="39">
        <v>4</v>
      </c>
      <c r="X6" s="40" t="s">
        <v>46</v>
      </c>
      <c r="Y6" s="39">
        <v>4</v>
      </c>
      <c r="Z6" s="57">
        <v>4</v>
      </c>
      <c r="AA6" s="58">
        <v>3</v>
      </c>
      <c r="AB6" s="59">
        <v>3</v>
      </c>
      <c r="AC6" s="42">
        <v>0</v>
      </c>
    </row>
    <row r="7" spans="1:29" x14ac:dyDescent="0.25">
      <c r="A7" s="1">
        <f ca="1">IF(ISTEXT(A6),A5+1,IF(MONTH(A6+1)=MONTH(A6),A6+1,"Totaal"))</f>
        <v>14612</v>
      </c>
      <c r="B7" s="74">
        <v>7592</v>
      </c>
      <c r="C7" s="74">
        <v>7597</v>
      </c>
      <c r="D7" s="74">
        <v>7587</v>
      </c>
      <c r="E7" s="28">
        <v>261</v>
      </c>
      <c r="F7" s="29">
        <v>234</v>
      </c>
      <c r="G7" s="28">
        <v>271</v>
      </c>
      <c r="H7" s="30">
        <v>240</v>
      </c>
      <c r="I7" s="29">
        <v>267</v>
      </c>
      <c r="J7" s="29">
        <v>237</v>
      </c>
      <c r="K7" s="34">
        <f t="shared" ref="K7:K71" si="0">IF(COUNT(E7,G7,I7)&gt;0,SUM(E7,G7,I7)/10,"")</f>
        <v>79.900000000000006</v>
      </c>
      <c r="L7" s="29">
        <v>288</v>
      </c>
      <c r="M7" s="30">
        <v>269</v>
      </c>
      <c r="N7" s="35">
        <v>202</v>
      </c>
      <c r="O7" s="36">
        <v>208</v>
      </c>
      <c r="P7" s="37">
        <v>205</v>
      </c>
      <c r="Q7" s="52">
        <v>80</v>
      </c>
      <c r="R7" s="55">
        <v>77</v>
      </c>
      <c r="S7" s="56">
        <v>78</v>
      </c>
      <c r="T7" s="40" t="s">
        <v>47</v>
      </c>
      <c r="U7" s="38">
        <v>3</v>
      </c>
      <c r="V7" s="41" t="s">
        <v>47</v>
      </c>
      <c r="W7" s="39">
        <v>4</v>
      </c>
      <c r="X7" s="40" t="s">
        <v>85</v>
      </c>
      <c r="Y7" s="39">
        <v>5</v>
      </c>
      <c r="Z7" s="57">
        <v>3</v>
      </c>
      <c r="AA7" s="58">
        <v>2</v>
      </c>
      <c r="AB7" s="59">
        <v>4</v>
      </c>
      <c r="AC7" s="43">
        <v>0</v>
      </c>
    </row>
    <row r="8" spans="1:29" x14ac:dyDescent="0.25">
      <c r="A8" s="1">
        <f t="shared" ref="A8:A71" ca="1" si="1">IF(ISTEXT(A7),A6+1,IF(MONTH(A7+1)=MONTH(A7),A7+1,"Totaal"))</f>
        <v>14613</v>
      </c>
      <c r="B8" s="74">
        <v>7607</v>
      </c>
      <c r="C8" s="74">
        <v>7605</v>
      </c>
      <c r="D8" s="74">
        <v>7595</v>
      </c>
      <c r="E8" s="28">
        <v>261</v>
      </c>
      <c r="F8" s="29">
        <v>236</v>
      </c>
      <c r="G8" s="28">
        <v>295</v>
      </c>
      <c r="H8" s="30">
        <v>246</v>
      </c>
      <c r="I8" s="29">
        <v>285</v>
      </c>
      <c r="J8" s="29">
        <v>238</v>
      </c>
      <c r="K8" s="34">
        <f t="shared" si="0"/>
        <v>84.1</v>
      </c>
      <c r="L8" s="29">
        <v>308</v>
      </c>
      <c r="M8" s="30">
        <v>270</v>
      </c>
      <c r="N8" s="35">
        <v>206</v>
      </c>
      <c r="O8" s="36">
        <v>208</v>
      </c>
      <c r="P8" s="37">
        <v>198</v>
      </c>
      <c r="Q8" s="52">
        <v>81</v>
      </c>
      <c r="R8" s="55">
        <v>67</v>
      </c>
      <c r="S8" s="56">
        <v>68</v>
      </c>
      <c r="T8" s="40" t="s">
        <v>47</v>
      </c>
      <c r="U8" s="38">
        <v>3</v>
      </c>
      <c r="V8" s="41" t="s">
        <v>47</v>
      </c>
      <c r="W8" s="39">
        <v>4</v>
      </c>
      <c r="X8" s="40" t="s">
        <v>47</v>
      </c>
      <c r="Y8" s="39">
        <v>5</v>
      </c>
      <c r="Z8" s="57">
        <v>3</v>
      </c>
      <c r="AA8" s="58">
        <v>2</v>
      </c>
      <c r="AB8" s="59">
        <v>4</v>
      </c>
      <c r="AC8" s="44">
        <v>0</v>
      </c>
    </row>
    <row r="9" spans="1:29" x14ac:dyDescent="0.25">
      <c r="A9" s="1">
        <f t="shared" ca="1" si="1"/>
        <v>14614</v>
      </c>
      <c r="B9" s="74">
        <v>7605</v>
      </c>
      <c r="C9" s="74">
        <v>7582</v>
      </c>
      <c r="D9" s="74">
        <v>7582</v>
      </c>
      <c r="E9" s="28">
        <v>263</v>
      </c>
      <c r="F9" s="29">
        <v>239</v>
      </c>
      <c r="G9" s="28">
        <v>281</v>
      </c>
      <c r="H9" s="30">
        <v>242</v>
      </c>
      <c r="I9" s="29">
        <v>273</v>
      </c>
      <c r="J9" s="29">
        <v>238</v>
      </c>
      <c r="K9" s="34">
        <f t="shared" si="0"/>
        <v>81.7</v>
      </c>
      <c r="L9" s="29">
        <v>294</v>
      </c>
      <c r="M9" s="30">
        <v>274</v>
      </c>
      <c r="N9" s="35">
        <v>210</v>
      </c>
      <c r="O9" s="36">
        <v>207</v>
      </c>
      <c r="P9" s="37">
        <v>204</v>
      </c>
      <c r="Q9" s="52">
        <v>82</v>
      </c>
      <c r="R9" s="55">
        <v>72</v>
      </c>
      <c r="S9" s="56">
        <v>75</v>
      </c>
      <c r="T9" s="40" t="s">
        <v>47</v>
      </c>
      <c r="U9" s="38">
        <v>3</v>
      </c>
      <c r="V9" s="41" t="s">
        <v>47</v>
      </c>
      <c r="W9" s="39">
        <v>5</v>
      </c>
      <c r="X9" s="40" t="s">
        <v>47</v>
      </c>
      <c r="Y9" s="39">
        <v>5</v>
      </c>
      <c r="Z9" s="57">
        <v>2</v>
      </c>
      <c r="AA9" s="58">
        <v>4</v>
      </c>
      <c r="AB9" s="59">
        <v>4</v>
      </c>
      <c r="AC9" s="42">
        <v>0</v>
      </c>
    </row>
    <row r="10" spans="1:29" x14ac:dyDescent="0.25">
      <c r="A10" s="1">
        <f t="shared" ca="1" si="1"/>
        <v>14615</v>
      </c>
      <c r="B10" s="74">
        <v>7610</v>
      </c>
      <c r="C10" s="74">
        <v>7612</v>
      </c>
      <c r="D10" s="74">
        <v>7597</v>
      </c>
      <c r="E10" s="28">
        <v>267</v>
      </c>
      <c r="F10" s="29">
        <v>236</v>
      </c>
      <c r="G10" s="28">
        <v>295</v>
      </c>
      <c r="H10" s="30">
        <v>248</v>
      </c>
      <c r="I10" s="29">
        <v>279</v>
      </c>
      <c r="J10" s="29">
        <v>239</v>
      </c>
      <c r="K10" s="34">
        <f t="shared" si="0"/>
        <v>84.1</v>
      </c>
      <c r="L10" s="29">
        <v>314</v>
      </c>
      <c r="M10" s="30">
        <v>272</v>
      </c>
      <c r="N10" s="35">
        <v>203</v>
      </c>
      <c r="O10" s="36">
        <v>211</v>
      </c>
      <c r="P10" s="37">
        <v>202</v>
      </c>
      <c r="Q10" s="52">
        <v>77</v>
      </c>
      <c r="R10" s="55">
        <v>68</v>
      </c>
      <c r="S10" s="56">
        <v>72</v>
      </c>
      <c r="T10" s="40" t="s">
        <v>47</v>
      </c>
      <c r="U10" s="38">
        <v>4</v>
      </c>
      <c r="V10" s="41" t="s">
        <v>47</v>
      </c>
      <c r="W10" s="39">
        <v>4</v>
      </c>
      <c r="X10" s="40" t="s">
        <v>47</v>
      </c>
      <c r="Y10" s="39">
        <v>5</v>
      </c>
      <c r="Z10" s="57">
        <v>3</v>
      </c>
      <c r="AA10" s="58">
        <v>5</v>
      </c>
      <c r="AB10" s="59">
        <v>4</v>
      </c>
      <c r="AC10" s="42">
        <v>0</v>
      </c>
    </row>
    <row r="11" spans="1:29" x14ac:dyDescent="0.25">
      <c r="A11" s="1">
        <f t="shared" ca="1" si="1"/>
        <v>14616</v>
      </c>
      <c r="B11" s="74">
        <v>7605</v>
      </c>
      <c r="C11" s="74">
        <v>7600</v>
      </c>
      <c r="D11" s="74">
        <v>7592</v>
      </c>
      <c r="E11" s="28">
        <v>269</v>
      </c>
      <c r="F11" s="29">
        <v>238</v>
      </c>
      <c r="G11" s="28">
        <v>293</v>
      </c>
      <c r="H11" s="30">
        <v>246</v>
      </c>
      <c r="I11" s="29">
        <v>284</v>
      </c>
      <c r="J11" s="29">
        <v>243</v>
      </c>
      <c r="K11" s="34">
        <f t="shared" si="0"/>
        <v>84.6</v>
      </c>
      <c r="L11" s="29">
        <v>314</v>
      </c>
      <c r="M11" s="30">
        <v>274</v>
      </c>
      <c r="N11" s="35">
        <v>206</v>
      </c>
      <c r="O11" s="36">
        <v>209</v>
      </c>
      <c r="P11" s="37">
        <v>207</v>
      </c>
      <c r="Q11" s="52">
        <v>77</v>
      </c>
      <c r="R11" s="55">
        <v>68</v>
      </c>
      <c r="S11" s="56">
        <v>71</v>
      </c>
      <c r="T11" s="40" t="s">
        <v>47</v>
      </c>
      <c r="U11" s="38">
        <v>4</v>
      </c>
      <c r="V11" s="41" t="s">
        <v>47</v>
      </c>
      <c r="W11" s="39">
        <v>5</v>
      </c>
      <c r="X11" s="40" t="s">
        <v>47</v>
      </c>
      <c r="Y11" s="39">
        <v>5</v>
      </c>
      <c r="Z11" s="57">
        <v>4</v>
      </c>
      <c r="AA11" s="58">
        <v>5</v>
      </c>
      <c r="AB11" s="59">
        <v>4</v>
      </c>
      <c r="AC11" s="42">
        <v>0</v>
      </c>
    </row>
    <row r="12" spans="1:29" x14ac:dyDescent="0.25">
      <c r="A12" s="1">
        <f t="shared" ca="1" si="1"/>
        <v>14617</v>
      </c>
      <c r="B12" s="74">
        <v>7610</v>
      </c>
      <c r="C12" s="74">
        <v>7612</v>
      </c>
      <c r="D12" s="74">
        <v>7612</v>
      </c>
      <c r="E12" s="28">
        <v>267</v>
      </c>
      <c r="F12" s="29">
        <v>224</v>
      </c>
      <c r="G12" s="28">
        <v>293</v>
      </c>
      <c r="H12" s="30">
        <v>240</v>
      </c>
      <c r="I12" s="29">
        <v>289</v>
      </c>
      <c r="J12" s="29">
        <v>238</v>
      </c>
      <c r="K12" s="34">
        <f t="shared" si="0"/>
        <v>84.9</v>
      </c>
      <c r="L12" s="29">
        <v>310</v>
      </c>
      <c r="M12" s="30">
        <v>279</v>
      </c>
      <c r="N12" s="35">
        <v>182</v>
      </c>
      <c r="O12" s="36">
        <v>197</v>
      </c>
      <c r="P12" s="37">
        <v>196</v>
      </c>
      <c r="Q12" s="52">
        <v>69</v>
      </c>
      <c r="R12" s="55">
        <v>64</v>
      </c>
      <c r="S12" s="56">
        <v>65</v>
      </c>
      <c r="T12" s="40" t="s">
        <v>47</v>
      </c>
      <c r="U12" s="38">
        <v>3</v>
      </c>
      <c r="V12" s="41" t="s">
        <v>47</v>
      </c>
      <c r="W12" s="39">
        <v>4</v>
      </c>
      <c r="X12" s="40" t="s">
        <v>47</v>
      </c>
      <c r="Y12" s="39">
        <v>5</v>
      </c>
      <c r="Z12" s="57">
        <v>2</v>
      </c>
      <c r="AA12" s="58">
        <v>3</v>
      </c>
      <c r="AB12" s="59">
        <v>3</v>
      </c>
      <c r="AC12" s="42">
        <v>0</v>
      </c>
    </row>
    <row r="13" spans="1:29" x14ac:dyDescent="0.25">
      <c r="A13" s="1">
        <f t="shared" ca="1" si="1"/>
        <v>14618</v>
      </c>
      <c r="B13" s="74">
        <v>7612</v>
      </c>
      <c r="C13" s="74">
        <v>7612</v>
      </c>
      <c r="D13" s="74">
        <v>7612</v>
      </c>
      <c r="E13" s="28">
        <v>269</v>
      </c>
      <c r="F13" s="29">
        <v>230</v>
      </c>
      <c r="G13" s="28">
        <v>287</v>
      </c>
      <c r="H13" s="30">
        <v>238</v>
      </c>
      <c r="I13" s="29">
        <v>285</v>
      </c>
      <c r="J13" s="29">
        <v>238</v>
      </c>
      <c r="K13" s="34">
        <f t="shared" si="0"/>
        <v>84.1</v>
      </c>
      <c r="L13" s="29">
        <v>304</v>
      </c>
      <c r="M13" s="30">
        <v>290</v>
      </c>
      <c r="N13" s="35">
        <v>191</v>
      </c>
      <c r="O13" s="36">
        <v>197</v>
      </c>
      <c r="P13" s="37">
        <v>198</v>
      </c>
      <c r="Q13" s="52">
        <v>72</v>
      </c>
      <c r="R13" s="55">
        <v>66</v>
      </c>
      <c r="S13" s="56">
        <v>68</v>
      </c>
      <c r="T13" s="40" t="s">
        <v>47</v>
      </c>
      <c r="U13" s="38">
        <v>3</v>
      </c>
      <c r="V13" s="41" t="s">
        <v>47</v>
      </c>
      <c r="W13" s="39">
        <v>4</v>
      </c>
      <c r="X13" s="40" t="s">
        <v>47</v>
      </c>
      <c r="Y13" s="39">
        <v>4</v>
      </c>
      <c r="Z13" s="57">
        <v>2</v>
      </c>
      <c r="AA13" s="58">
        <v>4</v>
      </c>
      <c r="AB13" s="59">
        <v>3</v>
      </c>
      <c r="AC13" s="42">
        <v>0</v>
      </c>
    </row>
    <row r="14" spans="1:29" x14ac:dyDescent="0.25">
      <c r="A14" s="1">
        <f t="shared" ca="1" si="1"/>
        <v>14619</v>
      </c>
      <c r="B14" s="74">
        <v>7620</v>
      </c>
      <c r="C14" s="74">
        <v>7617</v>
      </c>
      <c r="D14" s="74">
        <v>7602</v>
      </c>
      <c r="E14" s="28">
        <v>271</v>
      </c>
      <c r="F14" s="29">
        <v>240</v>
      </c>
      <c r="G14" s="28">
        <v>279</v>
      </c>
      <c r="H14" s="30">
        <v>243</v>
      </c>
      <c r="I14" s="29">
        <v>275</v>
      </c>
      <c r="J14" s="29">
        <v>239</v>
      </c>
      <c r="K14" s="34">
        <f t="shared" si="0"/>
        <v>82.5</v>
      </c>
      <c r="L14" s="29">
        <v>295</v>
      </c>
      <c r="M14" s="30">
        <v>279</v>
      </c>
      <c r="N14" s="35">
        <v>208</v>
      </c>
      <c r="O14" s="36">
        <v>219</v>
      </c>
      <c r="P14" s="37">
        <v>204</v>
      </c>
      <c r="Q14" s="52">
        <v>77</v>
      </c>
      <c r="R14" s="55">
        <v>74</v>
      </c>
      <c r="S14" s="56">
        <v>74</v>
      </c>
      <c r="T14" s="40" t="s">
        <v>47</v>
      </c>
      <c r="U14" s="38">
        <v>3</v>
      </c>
      <c r="V14" s="41" t="s">
        <v>47</v>
      </c>
      <c r="W14" s="39">
        <v>4</v>
      </c>
      <c r="X14" s="40" t="s">
        <v>47</v>
      </c>
      <c r="Y14" s="39">
        <v>4</v>
      </c>
      <c r="Z14" s="57">
        <v>2</v>
      </c>
      <c r="AA14" s="58">
        <v>3</v>
      </c>
      <c r="AB14" s="59">
        <v>4</v>
      </c>
      <c r="AC14" s="42">
        <v>17</v>
      </c>
    </row>
    <row r="15" spans="1:29" x14ac:dyDescent="0.25">
      <c r="A15" s="1">
        <f t="shared" ca="1" si="1"/>
        <v>14620</v>
      </c>
      <c r="B15" s="74">
        <v>7623</v>
      </c>
      <c r="C15" s="74">
        <v>7607</v>
      </c>
      <c r="D15" s="74">
        <v>7607</v>
      </c>
      <c r="E15" s="28">
        <v>269</v>
      </c>
      <c r="F15" s="29">
        <v>240</v>
      </c>
      <c r="G15" s="28">
        <v>285</v>
      </c>
      <c r="H15" s="30">
        <v>242</v>
      </c>
      <c r="I15" s="29">
        <v>279</v>
      </c>
      <c r="J15" s="29">
        <v>239</v>
      </c>
      <c r="K15" s="34">
        <f t="shared" si="0"/>
        <v>83.3</v>
      </c>
      <c r="L15" s="29">
        <v>305</v>
      </c>
      <c r="M15" s="30">
        <v>285</v>
      </c>
      <c r="N15" s="35">
        <v>209</v>
      </c>
      <c r="O15" s="36">
        <v>205</v>
      </c>
      <c r="P15" s="37">
        <v>202</v>
      </c>
      <c r="Q15" s="52">
        <v>79</v>
      </c>
      <c r="R15" s="55">
        <v>70</v>
      </c>
      <c r="S15" s="56">
        <v>72</v>
      </c>
      <c r="T15" s="40" t="s">
        <v>47</v>
      </c>
      <c r="U15" s="38">
        <v>3</v>
      </c>
      <c r="V15" s="41" t="s">
        <v>47</v>
      </c>
      <c r="W15" s="39">
        <v>4</v>
      </c>
      <c r="X15" s="40" t="s">
        <v>47</v>
      </c>
      <c r="Y15" s="39">
        <v>5</v>
      </c>
      <c r="Z15" s="57">
        <v>1</v>
      </c>
      <c r="AA15" s="58">
        <v>3</v>
      </c>
      <c r="AB15" s="59">
        <v>4</v>
      </c>
      <c r="AC15" s="42">
        <v>0</v>
      </c>
    </row>
    <row r="16" spans="1:29" x14ac:dyDescent="0.25">
      <c r="A16" s="1">
        <f t="shared" ca="1" si="1"/>
        <v>14621</v>
      </c>
      <c r="B16" s="74">
        <v>7602</v>
      </c>
      <c r="C16" s="74">
        <v>7595</v>
      </c>
      <c r="D16" s="74">
        <v>7607</v>
      </c>
      <c r="E16" s="28">
        <v>251</v>
      </c>
      <c r="F16" s="29">
        <v>228</v>
      </c>
      <c r="G16" s="28">
        <v>265</v>
      </c>
      <c r="H16" s="30">
        <v>234</v>
      </c>
      <c r="I16" s="29">
        <v>265</v>
      </c>
      <c r="J16" s="29">
        <v>233</v>
      </c>
      <c r="K16" s="34">
        <f t="shared" si="0"/>
        <v>78.099999999999994</v>
      </c>
      <c r="L16" s="29">
        <v>295</v>
      </c>
      <c r="M16" s="30">
        <v>260</v>
      </c>
      <c r="N16" s="35">
        <v>197</v>
      </c>
      <c r="O16" s="36">
        <v>200</v>
      </c>
      <c r="P16" s="37">
        <v>199</v>
      </c>
      <c r="Q16" s="52">
        <v>82</v>
      </c>
      <c r="R16" s="55">
        <v>77</v>
      </c>
      <c r="S16" s="56">
        <v>76</v>
      </c>
      <c r="T16" s="40" t="s">
        <v>85</v>
      </c>
      <c r="U16" s="38">
        <v>3</v>
      </c>
      <c r="V16" s="41" t="s">
        <v>85</v>
      </c>
      <c r="W16" s="39">
        <v>4</v>
      </c>
      <c r="X16" s="40" t="s">
        <v>85</v>
      </c>
      <c r="Y16" s="39">
        <v>5</v>
      </c>
      <c r="Z16" s="57">
        <v>2</v>
      </c>
      <c r="AA16" s="58">
        <v>4</v>
      </c>
      <c r="AB16" s="59">
        <v>4</v>
      </c>
      <c r="AC16" s="42">
        <v>5</v>
      </c>
    </row>
    <row r="17" spans="1:29" x14ac:dyDescent="0.25">
      <c r="A17" s="1">
        <f t="shared" ca="1" si="1"/>
        <v>14622</v>
      </c>
      <c r="B17" s="74">
        <v>7623</v>
      </c>
      <c r="C17" s="74">
        <v>7620</v>
      </c>
      <c r="D17" s="74">
        <v>7620</v>
      </c>
      <c r="E17" s="28">
        <v>275</v>
      </c>
      <c r="F17" s="29">
        <v>230</v>
      </c>
      <c r="G17" s="28">
        <v>287</v>
      </c>
      <c r="H17" s="30">
        <v>236</v>
      </c>
      <c r="I17" s="29">
        <v>281</v>
      </c>
      <c r="J17" s="29">
        <v>234</v>
      </c>
      <c r="K17" s="34">
        <f t="shared" si="0"/>
        <v>84.3</v>
      </c>
      <c r="L17" s="29">
        <v>299</v>
      </c>
      <c r="M17" s="30">
        <v>254</v>
      </c>
      <c r="N17" s="35">
        <v>188</v>
      </c>
      <c r="O17" s="36">
        <v>193</v>
      </c>
      <c r="P17" s="37">
        <v>192</v>
      </c>
      <c r="Q17" s="52">
        <v>68</v>
      </c>
      <c r="R17" s="55">
        <v>65</v>
      </c>
      <c r="S17" s="56">
        <v>67</v>
      </c>
      <c r="T17" s="40" t="s">
        <v>47</v>
      </c>
      <c r="U17" s="38">
        <v>3</v>
      </c>
      <c r="V17" s="41" t="s">
        <v>47</v>
      </c>
      <c r="W17" s="39">
        <v>4</v>
      </c>
      <c r="X17" s="40" t="s">
        <v>85</v>
      </c>
      <c r="Y17" s="39">
        <v>4</v>
      </c>
      <c r="Z17" s="57">
        <v>2</v>
      </c>
      <c r="AA17" s="58">
        <v>3</v>
      </c>
      <c r="AB17" s="59">
        <v>3</v>
      </c>
      <c r="AC17" s="42">
        <v>0</v>
      </c>
    </row>
    <row r="18" spans="1:29" x14ac:dyDescent="0.25">
      <c r="A18" s="1">
        <f t="shared" ca="1" si="1"/>
        <v>14623</v>
      </c>
      <c r="B18" s="74">
        <v>7612</v>
      </c>
      <c r="C18" s="74">
        <v>7595</v>
      </c>
      <c r="D18" s="74">
        <v>7595</v>
      </c>
      <c r="E18" s="28">
        <v>255</v>
      </c>
      <c r="F18" s="29">
        <v>218</v>
      </c>
      <c r="G18" s="28">
        <v>287</v>
      </c>
      <c r="H18" s="30">
        <v>232</v>
      </c>
      <c r="I18" s="29">
        <v>287</v>
      </c>
      <c r="J18" s="29">
        <v>230</v>
      </c>
      <c r="K18" s="34">
        <f t="shared" si="0"/>
        <v>82.9</v>
      </c>
      <c r="L18" s="29">
        <v>305</v>
      </c>
      <c r="M18" s="30">
        <v>265</v>
      </c>
      <c r="N18" s="35">
        <v>177</v>
      </c>
      <c r="O18" s="36">
        <v>186</v>
      </c>
      <c r="P18" s="37">
        <v>182</v>
      </c>
      <c r="Q18" s="52">
        <v>72</v>
      </c>
      <c r="R18" s="55">
        <v>63</v>
      </c>
      <c r="S18" s="56">
        <v>62</v>
      </c>
      <c r="T18" s="40" t="s">
        <v>46</v>
      </c>
      <c r="U18" s="38">
        <v>3</v>
      </c>
      <c r="V18" s="41" t="s">
        <v>46</v>
      </c>
      <c r="W18" s="39">
        <v>3</v>
      </c>
      <c r="X18" s="40" t="s">
        <v>90</v>
      </c>
      <c r="Y18" s="39">
        <v>3</v>
      </c>
      <c r="Z18" s="57">
        <v>2</v>
      </c>
      <c r="AA18" s="58">
        <v>3</v>
      </c>
      <c r="AB18" s="59">
        <v>3</v>
      </c>
      <c r="AC18" s="42">
        <v>0</v>
      </c>
    </row>
    <row r="19" spans="1:29" x14ac:dyDescent="0.25">
      <c r="A19" s="1">
        <f t="shared" ca="1" si="1"/>
        <v>14624</v>
      </c>
      <c r="B19" s="74">
        <v>7612</v>
      </c>
      <c r="C19" s="74">
        <v>7607</v>
      </c>
      <c r="D19" s="74">
        <v>7592</v>
      </c>
      <c r="E19" s="28">
        <v>253</v>
      </c>
      <c r="F19" s="29">
        <v>228</v>
      </c>
      <c r="G19" s="28">
        <v>285</v>
      </c>
      <c r="H19" s="30">
        <v>236</v>
      </c>
      <c r="I19" s="29">
        <v>283</v>
      </c>
      <c r="J19" s="29">
        <v>234</v>
      </c>
      <c r="K19" s="34">
        <f t="shared" si="0"/>
        <v>82.1</v>
      </c>
      <c r="L19" s="29">
        <v>293</v>
      </c>
      <c r="M19" s="30">
        <v>265</v>
      </c>
      <c r="N19" s="35">
        <v>196</v>
      </c>
      <c r="O19" s="36">
        <v>194</v>
      </c>
      <c r="P19" s="37">
        <v>191</v>
      </c>
      <c r="Q19" s="52">
        <v>81</v>
      </c>
      <c r="R19" s="55">
        <v>66</v>
      </c>
      <c r="S19" s="56">
        <v>66</v>
      </c>
      <c r="T19" s="40" t="s">
        <v>47</v>
      </c>
      <c r="U19" s="38">
        <v>3</v>
      </c>
      <c r="V19" s="41" t="s">
        <v>47</v>
      </c>
      <c r="W19" s="39">
        <v>4</v>
      </c>
      <c r="X19" s="40" t="s">
        <v>47</v>
      </c>
      <c r="Y19" s="39">
        <v>4</v>
      </c>
      <c r="Z19" s="57">
        <v>2</v>
      </c>
      <c r="AA19" s="58">
        <v>4</v>
      </c>
      <c r="AB19" s="59">
        <v>4</v>
      </c>
      <c r="AC19" s="42">
        <v>0</v>
      </c>
    </row>
    <row r="20" spans="1:29" x14ac:dyDescent="0.25">
      <c r="A20" s="1">
        <f t="shared" ca="1" si="1"/>
        <v>14625</v>
      </c>
      <c r="B20" s="74">
        <v>7597</v>
      </c>
      <c r="C20" s="74">
        <v>7595</v>
      </c>
      <c r="D20" s="74">
        <v>7592</v>
      </c>
      <c r="E20" s="28">
        <v>259</v>
      </c>
      <c r="F20" s="29">
        <v>230</v>
      </c>
      <c r="G20" s="28">
        <v>281</v>
      </c>
      <c r="H20" s="30">
        <v>232</v>
      </c>
      <c r="I20" s="29">
        <v>281</v>
      </c>
      <c r="J20" s="29">
        <v>232</v>
      </c>
      <c r="K20" s="34">
        <f t="shared" si="0"/>
        <v>82.1</v>
      </c>
      <c r="L20" s="29">
        <v>292</v>
      </c>
      <c r="M20" s="30">
        <v>265</v>
      </c>
      <c r="N20" s="35">
        <v>196</v>
      </c>
      <c r="O20" s="36">
        <v>189</v>
      </c>
      <c r="P20" s="37">
        <v>189</v>
      </c>
      <c r="Q20" s="52">
        <v>78</v>
      </c>
      <c r="R20" s="55">
        <v>66</v>
      </c>
      <c r="S20" s="56">
        <v>66</v>
      </c>
      <c r="T20" s="40" t="s">
        <v>47</v>
      </c>
      <c r="U20" s="38">
        <v>2</v>
      </c>
      <c r="V20" s="41" t="s">
        <v>47</v>
      </c>
      <c r="W20" s="39">
        <v>3</v>
      </c>
      <c r="X20" s="40" t="s">
        <v>47</v>
      </c>
      <c r="Y20" s="39">
        <v>3</v>
      </c>
      <c r="Z20" s="57">
        <v>3</v>
      </c>
      <c r="AA20" s="58">
        <v>4</v>
      </c>
      <c r="AB20" s="59">
        <v>4</v>
      </c>
      <c r="AC20" s="42">
        <v>0</v>
      </c>
    </row>
    <row r="21" spans="1:29" x14ac:dyDescent="0.25">
      <c r="A21" s="1">
        <f t="shared" ca="1" si="1"/>
        <v>14626</v>
      </c>
      <c r="B21" s="74">
        <v>7585</v>
      </c>
      <c r="C21" s="74">
        <v>7569</v>
      </c>
      <c r="D21" s="74">
        <v>7567</v>
      </c>
      <c r="E21" s="28">
        <v>261</v>
      </c>
      <c r="F21" s="29">
        <v>230</v>
      </c>
      <c r="G21" s="28">
        <v>263</v>
      </c>
      <c r="H21" s="30">
        <v>232</v>
      </c>
      <c r="I21" s="29">
        <v>259</v>
      </c>
      <c r="J21" s="29">
        <v>228</v>
      </c>
      <c r="K21" s="34">
        <f t="shared" si="0"/>
        <v>78.3</v>
      </c>
      <c r="L21" s="29">
        <v>285</v>
      </c>
      <c r="M21" s="30">
        <v>274</v>
      </c>
      <c r="N21" s="35">
        <v>195</v>
      </c>
      <c r="O21" s="36">
        <v>198</v>
      </c>
      <c r="P21" s="37">
        <v>193</v>
      </c>
      <c r="Q21" s="52">
        <v>77</v>
      </c>
      <c r="R21" s="55">
        <v>77</v>
      </c>
      <c r="S21" s="56">
        <v>77</v>
      </c>
      <c r="T21" s="40" t="s">
        <v>47</v>
      </c>
      <c r="U21" s="38">
        <v>2</v>
      </c>
      <c r="V21" s="41" t="s">
        <v>47</v>
      </c>
      <c r="W21" s="39">
        <v>3</v>
      </c>
      <c r="X21" s="40" t="s">
        <v>47</v>
      </c>
      <c r="Y21" s="39">
        <v>3</v>
      </c>
      <c r="Z21" s="57">
        <v>2</v>
      </c>
      <c r="AA21" s="58">
        <v>3</v>
      </c>
      <c r="AB21" s="59">
        <v>2</v>
      </c>
      <c r="AC21" s="42">
        <v>0</v>
      </c>
    </row>
    <row r="22" spans="1:29" x14ac:dyDescent="0.25">
      <c r="A22" s="1">
        <f t="shared" ca="1" si="1"/>
        <v>14627</v>
      </c>
      <c r="B22" s="74">
        <v>7610</v>
      </c>
      <c r="C22" s="74">
        <v>7607</v>
      </c>
      <c r="D22" s="74">
        <v>7582</v>
      </c>
      <c r="E22" s="28">
        <v>253</v>
      </c>
      <c r="F22" s="29">
        <v>224</v>
      </c>
      <c r="G22" s="28">
        <v>261</v>
      </c>
      <c r="H22" s="30">
        <v>230</v>
      </c>
      <c r="I22" s="29">
        <v>259</v>
      </c>
      <c r="J22" s="29">
        <v>228</v>
      </c>
      <c r="K22" s="34">
        <f t="shared" si="0"/>
        <v>77.3</v>
      </c>
      <c r="L22" s="29">
        <v>284</v>
      </c>
      <c r="M22" s="30">
        <v>265</v>
      </c>
      <c r="N22" s="35">
        <v>189</v>
      </c>
      <c r="O22" s="36">
        <v>195</v>
      </c>
      <c r="P22" s="37">
        <v>193</v>
      </c>
      <c r="Q22" s="52">
        <v>78</v>
      </c>
      <c r="R22" s="55">
        <v>77</v>
      </c>
      <c r="S22" s="56">
        <v>77</v>
      </c>
      <c r="T22" s="40" t="s">
        <v>47</v>
      </c>
      <c r="U22" s="38">
        <v>3</v>
      </c>
      <c r="V22" s="41" t="s">
        <v>47</v>
      </c>
      <c r="W22" s="39">
        <v>4</v>
      </c>
      <c r="X22" s="40" t="s">
        <v>47</v>
      </c>
      <c r="Y22" s="39">
        <v>4</v>
      </c>
      <c r="Z22" s="57">
        <v>2</v>
      </c>
      <c r="AA22" s="58">
        <v>3</v>
      </c>
      <c r="AB22" s="59">
        <v>3</v>
      </c>
      <c r="AC22" s="42">
        <v>0</v>
      </c>
    </row>
    <row r="23" spans="1:29" x14ac:dyDescent="0.25">
      <c r="A23" s="1">
        <f t="shared" ca="1" si="1"/>
        <v>14628</v>
      </c>
      <c r="B23" s="74">
        <v>7585</v>
      </c>
      <c r="C23" s="74">
        <v>7589</v>
      </c>
      <c r="D23" s="74">
        <v>7582</v>
      </c>
      <c r="E23" s="28">
        <v>261</v>
      </c>
      <c r="F23" s="29">
        <v>232</v>
      </c>
      <c r="G23" s="28">
        <v>283</v>
      </c>
      <c r="H23" s="30">
        <v>232</v>
      </c>
      <c r="I23" s="29">
        <v>277</v>
      </c>
      <c r="J23" s="29">
        <v>240</v>
      </c>
      <c r="K23" s="34">
        <f t="shared" si="0"/>
        <v>82.1</v>
      </c>
      <c r="L23" s="29">
        <v>287</v>
      </c>
      <c r="M23" s="30">
        <v>273</v>
      </c>
      <c r="N23" s="35">
        <v>199</v>
      </c>
      <c r="O23" s="36">
        <v>188</v>
      </c>
      <c r="P23" s="37">
        <v>205</v>
      </c>
      <c r="Q23" s="52">
        <v>78</v>
      </c>
      <c r="R23" s="55">
        <v>65</v>
      </c>
      <c r="S23" s="56">
        <v>74</v>
      </c>
      <c r="T23" s="40" t="s">
        <v>47</v>
      </c>
      <c r="U23" s="38">
        <v>3</v>
      </c>
      <c r="V23" s="41" t="s">
        <v>47</v>
      </c>
      <c r="W23" s="39">
        <v>3</v>
      </c>
      <c r="X23" s="40" t="s">
        <v>47</v>
      </c>
      <c r="Y23" s="39">
        <v>5</v>
      </c>
      <c r="Z23" s="57">
        <v>3</v>
      </c>
      <c r="AA23" s="58">
        <v>3</v>
      </c>
      <c r="AB23" s="59">
        <v>4</v>
      </c>
      <c r="AC23" s="42">
        <v>0</v>
      </c>
    </row>
    <row r="24" spans="1:29" x14ac:dyDescent="0.25">
      <c r="A24" s="1">
        <f t="shared" ca="1" si="1"/>
        <v>14629</v>
      </c>
      <c r="B24" s="74">
        <v>7597</v>
      </c>
      <c r="C24" s="74">
        <v>7592</v>
      </c>
      <c r="D24" s="74">
        <v>7589</v>
      </c>
      <c r="E24" s="28">
        <v>251</v>
      </c>
      <c r="F24" s="29">
        <v>232</v>
      </c>
      <c r="G24" s="28">
        <v>263</v>
      </c>
      <c r="H24" s="30">
        <v>234</v>
      </c>
      <c r="I24" s="29">
        <v>261</v>
      </c>
      <c r="J24" s="29">
        <v>244</v>
      </c>
      <c r="K24" s="34">
        <f t="shared" si="0"/>
        <v>77.5</v>
      </c>
      <c r="L24" s="29">
        <v>295</v>
      </c>
      <c r="M24" s="30">
        <v>270</v>
      </c>
      <c r="N24" s="35">
        <v>204</v>
      </c>
      <c r="O24" s="36">
        <v>201</v>
      </c>
      <c r="P24" s="37">
        <v>221</v>
      </c>
      <c r="Q24" s="52">
        <v>85</v>
      </c>
      <c r="R24" s="55">
        <v>78</v>
      </c>
      <c r="S24" s="56">
        <v>87</v>
      </c>
      <c r="T24" s="40" t="s">
        <v>47</v>
      </c>
      <c r="U24" s="38">
        <v>4</v>
      </c>
      <c r="V24" s="41" t="s">
        <v>47</v>
      </c>
      <c r="W24" s="39">
        <v>5</v>
      </c>
      <c r="X24" s="40" t="s">
        <v>47</v>
      </c>
      <c r="Y24" s="39">
        <v>5</v>
      </c>
      <c r="Z24" s="57">
        <v>2</v>
      </c>
      <c r="AA24" s="58">
        <v>4</v>
      </c>
      <c r="AB24" s="59">
        <v>4</v>
      </c>
      <c r="AC24" s="42">
        <v>0</v>
      </c>
    </row>
    <row r="25" spans="1:29" x14ac:dyDescent="0.25">
      <c r="A25" s="1">
        <f t="shared" ca="1" si="1"/>
        <v>14630</v>
      </c>
      <c r="B25" s="74">
        <v>7595</v>
      </c>
      <c r="C25" s="74">
        <v>7600</v>
      </c>
      <c r="D25" s="74">
        <v>7597</v>
      </c>
      <c r="E25" s="28">
        <v>273</v>
      </c>
      <c r="F25" s="29">
        <v>242</v>
      </c>
      <c r="G25" s="28">
        <v>299</v>
      </c>
      <c r="H25" s="30">
        <v>248</v>
      </c>
      <c r="I25" s="29">
        <v>289</v>
      </c>
      <c r="J25" s="29">
        <v>248</v>
      </c>
      <c r="K25" s="34">
        <f t="shared" si="0"/>
        <v>86.1</v>
      </c>
      <c r="L25" s="29">
        <v>314</v>
      </c>
      <c r="M25" s="30">
        <v>285</v>
      </c>
      <c r="N25" s="35">
        <v>211</v>
      </c>
      <c r="O25" s="36">
        <v>209</v>
      </c>
      <c r="P25" s="37">
        <v>214</v>
      </c>
      <c r="Q25" s="52">
        <v>77</v>
      </c>
      <c r="R25" s="55">
        <v>66</v>
      </c>
      <c r="S25" s="56">
        <v>72</v>
      </c>
      <c r="T25" s="40" t="s">
        <v>47</v>
      </c>
      <c r="U25" s="38">
        <v>3</v>
      </c>
      <c r="V25" s="41" t="s">
        <v>85</v>
      </c>
      <c r="W25" s="39">
        <v>4</v>
      </c>
      <c r="X25" s="40" t="s">
        <v>85</v>
      </c>
      <c r="Y25" s="39">
        <v>5</v>
      </c>
      <c r="Z25" s="57">
        <v>3</v>
      </c>
      <c r="AA25" s="58">
        <v>4</v>
      </c>
      <c r="AB25" s="59">
        <v>3</v>
      </c>
      <c r="AC25" s="42">
        <v>0</v>
      </c>
    </row>
    <row r="26" spans="1:29" x14ac:dyDescent="0.25">
      <c r="A26" s="1">
        <f t="shared" ca="1" si="1"/>
        <v>14631</v>
      </c>
      <c r="B26" s="74">
        <v>7597</v>
      </c>
      <c r="C26" s="74">
        <v>7602</v>
      </c>
      <c r="D26" s="74">
        <v>7600</v>
      </c>
      <c r="E26" s="28">
        <v>257</v>
      </c>
      <c r="F26" s="29">
        <v>230</v>
      </c>
      <c r="G26" s="28">
        <v>274</v>
      </c>
      <c r="H26" s="30">
        <v>246</v>
      </c>
      <c r="I26" s="29">
        <v>257</v>
      </c>
      <c r="J26" s="29">
        <v>232</v>
      </c>
      <c r="K26" s="34">
        <f t="shared" si="0"/>
        <v>78.8</v>
      </c>
      <c r="L26" s="29">
        <v>301</v>
      </c>
      <c r="M26" s="30">
        <v>270</v>
      </c>
      <c r="N26" s="35">
        <v>197</v>
      </c>
      <c r="O26" s="36">
        <v>218</v>
      </c>
      <c r="P26" s="37">
        <v>201</v>
      </c>
      <c r="Q26" s="52">
        <v>80</v>
      </c>
      <c r="R26" s="55">
        <v>80</v>
      </c>
      <c r="S26" s="56">
        <v>81</v>
      </c>
      <c r="T26" s="40" t="s">
        <v>85</v>
      </c>
      <c r="U26" s="38">
        <v>4</v>
      </c>
      <c r="V26" s="41" t="s">
        <v>85</v>
      </c>
      <c r="W26" s="39">
        <v>5</v>
      </c>
      <c r="X26" s="40" t="s">
        <v>47</v>
      </c>
      <c r="Y26" s="39">
        <v>6</v>
      </c>
      <c r="Z26" s="57">
        <v>2</v>
      </c>
      <c r="AA26" s="58">
        <v>3</v>
      </c>
      <c r="AB26" s="59">
        <v>3</v>
      </c>
      <c r="AC26" s="42">
        <v>0</v>
      </c>
    </row>
    <row r="27" spans="1:29" x14ac:dyDescent="0.25">
      <c r="A27" s="1">
        <f t="shared" ca="1" si="1"/>
        <v>14632</v>
      </c>
      <c r="B27" s="74">
        <v>7600</v>
      </c>
      <c r="C27" s="74">
        <v>7597</v>
      </c>
      <c r="D27" s="74">
        <v>7597</v>
      </c>
      <c r="E27" s="28">
        <v>273</v>
      </c>
      <c r="F27" s="29">
        <v>242</v>
      </c>
      <c r="G27" s="28">
        <v>299</v>
      </c>
      <c r="H27" s="30">
        <v>244</v>
      </c>
      <c r="I27" s="29">
        <v>299</v>
      </c>
      <c r="J27" s="29">
        <v>242</v>
      </c>
      <c r="K27" s="34">
        <f t="shared" si="0"/>
        <v>87.1</v>
      </c>
      <c r="L27" s="29">
        <v>314</v>
      </c>
      <c r="M27" s="30">
        <v>284</v>
      </c>
      <c r="N27" s="35">
        <v>211</v>
      </c>
      <c r="O27" s="36">
        <v>202</v>
      </c>
      <c r="P27" s="37">
        <v>198</v>
      </c>
      <c r="Q27" s="52">
        <v>77</v>
      </c>
      <c r="R27" s="55">
        <v>64</v>
      </c>
      <c r="S27" s="56">
        <v>62</v>
      </c>
      <c r="T27" s="40" t="s">
        <v>85</v>
      </c>
      <c r="U27" s="38">
        <v>3</v>
      </c>
      <c r="V27" s="41" t="s">
        <v>85</v>
      </c>
      <c r="W27" s="39">
        <v>5</v>
      </c>
      <c r="X27" s="40" t="s">
        <v>85</v>
      </c>
      <c r="Y27" s="39">
        <v>6</v>
      </c>
      <c r="Z27" s="57">
        <v>2</v>
      </c>
      <c r="AA27" s="58">
        <v>4</v>
      </c>
      <c r="AB27" s="59">
        <v>4</v>
      </c>
      <c r="AC27" s="42">
        <v>0</v>
      </c>
    </row>
    <row r="28" spans="1:29" x14ac:dyDescent="0.25">
      <c r="A28" s="1">
        <f t="shared" ca="1" si="1"/>
        <v>14633</v>
      </c>
      <c r="B28" s="74">
        <v>7597</v>
      </c>
      <c r="C28" s="74">
        <v>7600</v>
      </c>
      <c r="D28" s="74">
        <v>7587</v>
      </c>
      <c r="E28" s="28">
        <v>261</v>
      </c>
      <c r="F28" s="29">
        <v>230</v>
      </c>
      <c r="G28" s="28">
        <v>299</v>
      </c>
      <c r="H28" s="30">
        <v>242</v>
      </c>
      <c r="I28" s="29">
        <v>294</v>
      </c>
      <c r="J28" s="29">
        <v>238</v>
      </c>
      <c r="K28" s="34">
        <f t="shared" si="0"/>
        <v>85.4</v>
      </c>
      <c r="L28" s="29">
        <v>314</v>
      </c>
      <c r="M28" s="30">
        <v>271</v>
      </c>
      <c r="N28" s="35">
        <v>195</v>
      </c>
      <c r="O28" s="36">
        <v>198</v>
      </c>
      <c r="P28" s="37">
        <v>193</v>
      </c>
      <c r="Q28" s="52">
        <v>77</v>
      </c>
      <c r="R28" s="55">
        <v>62</v>
      </c>
      <c r="S28" s="56">
        <v>63</v>
      </c>
      <c r="T28" s="40" t="s">
        <v>47</v>
      </c>
      <c r="U28" s="38">
        <v>2</v>
      </c>
      <c r="V28" s="41" t="s">
        <v>46</v>
      </c>
      <c r="W28" s="39">
        <v>4</v>
      </c>
      <c r="X28" s="40" t="s">
        <v>46</v>
      </c>
      <c r="Y28" s="39">
        <v>5</v>
      </c>
      <c r="Z28" s="57">
        <v>1</v>
      </c>
      <c r="AA28" s="58">
        <v>3</v>
      </c>
      <c r="AB28" s="59">
        <v>3</v>
      </c>
      <c r="AC28" s="42">
        <v>0</v>
      </c>
    </row>
    <row r="29" spans="1:29" x14ac:dyDescent="0.25">
      <c r="A29" s="1">
        <f t="shared" ca="1" si="1"/>
        <v>14634</v>
      </c>
      <c r="B29" s="74">
        <v>7605</v>
      </c>
      <c r="C29" s="74">
        <v>7607</v>
      </c>
      <c r="D29" s="74">
        <v>7597</v>
      </c>
      <c r="E29" s="28">
        <v>259</v>
      </c>
      <c r="F29" s="29">
        <v>226</v>
      </c>
      <c r="G29" s="28">
        <v>273</v>
      </c>
      <c r="H29" s="30">
        <v>240</v>
      </c>
      <c r="I29" s="29">
        <v>267</v>
      </c>
      <c r="J29" s="29">
        <v>234</v>
      </c>
      <c r="K29" s="34">
        <f t="shared" si="0"/>
        <v>79.900000000000006</v>
      </c>
      <c r="L29" s="29">
        <v>311</v>
      </c>
      <c r="M29" s="30">
        <v>274</v>
      </c>
      <c r="N29" s="35">
        <v>189</v>
      </c>
      <c r="O29" s="36">
        <v>207</v>
      </c>
      <c r="P29" s="37">
        <v>199</v>
      </c>
      <c r="Q29" s="52">
        <v>75</v>
      </c>
      <c r="R29" s="55">
        <v>76</v>
      </c>
      <c r="S29" s="56">
        <v>76</v>
      </c>
      <c r="T29" s="40" t="s">
        <v>47</v>
      </c>
      <c r="U29" s="38">
        <v>3</v>
      </c>
      <c r="V29" s="41" t="s">
        <v>85</v>
      </c>
      <c r="W29" s="39">
        <v>4</v>
      </c>
      <c r="X29" s="40" t="s">
        <v>85</v>
      </c>
      <c r="Y29" s="39">
        <v>5</v>
      </c>
      <c r="Z29" s="57">
        <v>2</v>
      </c>
      <c r="AA29" s="58">
        <v>4</v>
      </c>
      <c r="AB29" s="59">
        <v>4</v>
      </c>
      <c r="AC29" s="42">
        <v>0</v>
      </c>
    </row>
    <row r="30" spans="1:29" x14ac:dyDescent="0.25">
      <c r="A30" s="1">
        <f t="shared" ca="1" si="1"/>
        <v>14635</v>
      </c>
      <c r="B30" s="74">
        <v>7602</v>
      </c>
      <c r="C30" s="74">
        <v>7600</v>
      </c>
      <c r="D30" s="74">
        <v>7589</v>
      </c>
      <c r="E30" s="28">
        <v>257</v>
      </c>
      <c r="F30" s="29">
        <v>226</v>
      </c>
      <c r="G30" s="28">
        <v>267</v>
      </c>
      <c r="H30" s="30">
        <v>232</v>
      </c>
      <c r="I30" s="29">
        <v>261</v>
      </c>
      <c r="J30" s="29">
        <v>228</v>
      </c>
      <c r="K30" s="34">
        <f t="shared" si="0"/>
        <v>78.5</v>
      </c>
      <c r="L30" s="29">
        <v>295</v>
      </c>
      <c r="M30" s="30">
        <v>264</v>
      </c>
      <c r="N30" s="35">
        <v>190</v>
      </c>
      <c r="O30" s="36">
        <v>196</v>
      </c>
      <c r="P30" s="37">
        <v>192</v>
      </c>
      <c r="Q30" s="52">
        <v>77</v>
      </c>
      <c r="R30" s="55">
        <v>74</v>
      </c>
      <c r="S30" s="56">
        <v>76</v>
      </c>
      <c r="T30" s="40" t="s">
        <v>85</v>
      </c>
      <c r="U30" s="38">
        <v>2</v>
      </c>
      <c r="V30" s="41" t="s">
        <v>85</v>
      </c>
      <c r="W30" s="39">
        <v>3</v>
      </c>
      <c r="X30" s="40" t="s">
        <v>85</v>
      </c>
      <c r="Y30" s="39">
        <v>3</v>
      </c>
      <c r="Z30" s="57">
        <v>1</v>
      </c>
      <c r="AA30" s="58">
        <v>1</v>
      </c>
      <c r="AB30" s="59">
        <v>2</v>
      </c>
      <c r="AC30" s="42">
        <v>0</v>
      </c>
    </row>
    <row r="31" spans="1:29" x14ac:dyDescent="0.25">
      <c r="A31" s="1">
        <f t="shared" ca="1" si="1"/>
        <v>14636</v>
      </c>
      <c r="B31" s="74">
        <v>7612</v>
      </c>
      <c r="C31" s="74">
        <v>7612</v>
      </c>
      <c r="D31" s="74">
        <v>7597</v>
      </c>
      <c r="E31" s="28">
        <v>255</v>
      </c>
      <c r="F31" s="29">
        <v>222</v>
      </c>
      <c r="G31" s="28">
        <v>257</v>
      </c>
      <c r="H31" s="30">
        <v>224</v>
      </c>
      <c r="I31" s="29">
        <v>253</v>
      </c>
      <c r="J31" s="29">
        <v>222</v>
      </c>
      <c r="K31" s="34">
        <f t="shared" si="0"/>
        <v>76.5</v>
      </c>
      <c r="L31" s="29">
        <v>285</v>
      </c>
      <c r="M31" s="30">
        <v>265</v>
      </c>
      <c r="N31" s="35">
        <v>184</v>
      </c>
      <c r="O31" s="36">
        <v>187</v>
      </c>
      <c r="P31" s="37">
        <v>185</v>
      </c>
      <c r="Q31" s="52">
        <v>75</v>
      </c>
      <c r="R31" s="55">
        <v>75</v>
      </c>
      <c r="S31" s="56">
        <v>77</v>
      </c>
      <c r="T31" s="40" t="s">
        <v>85</v>
      </c>
      <c r="U31" s="38">
        <v>2</v>
      </c>
      <c r="V31" s="41" t="s">
        <v>85</v>
      </c>
      <c r="W31" s="39">
        <v>2</v>
      </c>
      <c r="X31" s="40" t="s">
        <v>85</v>
      </c>
      <c r="Y31" s="39">
        <v>3</v>
      </c>
      <c r="Z31" s="57">
        <v>2</v>
      </c>
      <c r="AA31" s="58">
        <v>4</v>
      </c>
      <c r="AB31" s="59">
        <v>3</v>
      </c>
      <c r="AC31" s="42">
        <v>0</v>
      </c>
    </row>
    <row r="32" spans="1:29" x14ac:dyDescent="0.25">
      <c r="A32" s="1">
        <f t="shared" ca="1" si="1"/>
        <v>14637</v>
      </c>
      <c r="B32" s="74">
        <v>7607</v>
      </c>
      <c r="C32" s="74">
        <v>7607</v>
      </c>
      <c r="D32" s="74">
        <v>7607</v>
      </c>
      <c r="E32" s="28">
        <v>273</v>
      </c>
      <c r="F32" s="29">
        <v>224</v>
      </c>
      <c r="G32" s="28">
        <v>279</v>
      </c>
      <c r="H32" s="30">
        <v>226</v>
      </c>
      <c r="I32" s="29">
        <v>275</v>
      </c>
      <c r="J32" s="29">
        <v>224</v>
      </c>
      <c r="K32" s="34">
        <f t="shared" si="0"/>
        <v>82.7</v>
      </c>
      <c r="L32" s="29">
        <v>295</v>
      </c>
      <c r="M32" s="30">
        <v>283</v>
      </c>
      <c r="N32" s="35">
        <v>179</v>
      </c>
      <c r="O32" s="36">
        <v>179</v>
      </c>
      <c r="P32" s="37">
        <v>178</v>
      </c>
      <c r="Q32" s="52">
        <v>66</v>
      </c>
      <c r="R32" s="55">
        <v>63</v>
      </c>
      <c r="S32" s="56">
        <v>64</v>
      </c>
      <c r="T32" s="40" t="s">
        <v>47</v>
      </c>
      <c r="U32" s="38">
        <v>3</v>
      </c>
      <c r="V32" s="41" t="s">
        <v>85</v>
      </c>
      <c r="W32" s="39">
        <v>4</v>
      </c>
      <c r="X32" s="40" t="s">
        <v>85</v>
      </c>
      <c r="Y32" s="39">
        <v>4</v>
      </c>
      <c r="Z32" s="57">
        <v>2</v>
      </c>
      <c r="AA32" s="58">
        <v>4</v>
      </c>
      <c r="AB32" s="59">
        <v>3</v>
      </c>
      <c r="AC32" s="42">
        <v>0</v>
      </c>
    </row>
    <row r="33" spans="1:29" x14ac:dyDescent="0.25">
      <c r="A33" s="1">
        <f t="shared" ca="1" si="1"/>
        <v>14638</v>
      </c>
      <c r="B33" s="74">
        <v>7602</v>
      </c>
      <c r="C33" s="74">
        <v>7600</v>
      </c>
      <c r="D33" s="74">
        <v>7595</v>
      </c>
      <c r="E33" s="28">
        <v>257</v>
      </c>
      <c r="F33" s="29">
        <v>224</v>
      </c>
      <c r="G33" s="28">
        <v>283</v>
      </c>
      <c r="H33" s="30">
        <v>226</v>
      </c>
      <c r="I33" s="29">
        <v>281</v>
      </c>
      <c r="J33" s="29">
        <v>224</v>
      </c>
      <c r="K33" s="34">
        <f t="shared" si="0"/>
        <v>82.1</v>
      </c>
      <c r="L33" s="29">
        <v>294</v>
      </c>
      <c r="M33" s="30">
        <v>263</v>
      </c>
      <c r="N33" s="35">
        <v>187</v>
      </c>
      <c r="O33" s="36">
        <v>177</v>
      </c>
      <c r="P33" s="37">
        <v>175</v>
      </c>
      <c r="Q33" s="52">
        <v>75</v>
      </c>
      <c r="R33" s="55">
        <v>61</v>
      </c>
      <c r="S33" s="56">
        <v>61</v>
      </c>
      <c r="T33" s="40" t="s">
        <v>85</v>
      </c>
      <c r="U33" s="38">
        <v>3</v>
      </c>
      <c r="V33" s="41" t="s">
        <v>85</v>
      </c>
      <c r="W33" s="39">
        <v>4</v>
      </c>
      <c r="X33" s="40" t="s">
        <v>85</v>
      </c>
      <c r="Y33" s="39">
        <v>4</v>
      </c>
      <c r="Z33" s="57">
        <v>2</v>
      </c>
      <c r="AA33" s="58">
        <v>3</v>
      </c>
      <c r="AB33" s="59">
        <v>3</v>
      </c>
      <c r="AC33" s="42">
        <v>0</v>
      </c>
    </row>
    <row r="34" spans="1:29" x14ac:dyDescent="0.25">
      <c r="A34" s="1">
        <f t="shared" ca="1" si="1"/>
        <v>14639</v>
      </c>
      <c r="B34" s="74">
        <v>7602</v>
      </c>
      <c r="C34" s="74">
        <v>7602</v>
      </c>
      <c r="D34" s="74">
        <v>7585</v>
      </c>
      <c r="E34" s="28">
        <v>255</v>
      </c>
      <c r="F34" s="29">
        <v>226</v>
      </c>
      <c r="G34" s="28">
        <v>280</v>
      </c>
      <c r="H34" s="30">
        <v>232</v>
      </c>
      <c r="I34" s="29">
        <v>273</v>
      </c>
      <c r="J34" s="29">
        <v>227</v>
      </c>
      <c r="K34" s="34">
        <f t="shared" si="0"/>
        <v>80.8</v>
      </c>
      <c r="L34" s="29">
        <v>294</v>
      </c>
      <c r="M34" s="30">
        <v>265</v>
      </c>
      <c r="N34" s="35">
        <v>191</v>
      </c>
      <c r="O34" s="36">
        <v>189</v>
      </c>
      <c r="P34" s="37">
        <v>184</v>
      </c>
      <c r="Q34" s="52">
        <v>78</v>
      </c>
      <c r="R34" s="55">
        <v>67</v>
      </c>
      <c r="S34" s="56">
        <v>68</v>
      </c>
      <c r="T34" s="40" t="s">
        <v>47</v>
      </c>
      <c r="U34" s="38">
        <v>3</v>
      </c>
      <c r="V34" s="41" t="s">
        <v>47</v>
      </c>
      <c r="W34" s="39">
        <v>4</v>
      </c>
      <c r="X34" s="40" t="s">
        <v>85</v>
      </c>
      <c r="Y34" s="39">
        <v>4</v>
      </c>
      <c r="Z34" s="57">
        <v>2</v>
      </c>
      <c r="AA34" s="58">
        <v>3</v>
      </c>
      <c r="AB34" s="59">
        <v>3</v>
      </c>
      <c r="AC34" s="42">
        <v>0</v>
      </c>
    </row>
    <row r="35" spans="1:29" x14ac:dyDescent="0.25">
      <c r="A35" s="1">
        <f t="shared" ca="1" si="1"/>
        <v>14640</v>
      </c>
      <c r="B35" s="74">
        <v>7610</v>
      </c>
      <c r="C35" s="74">
        <v>7610</v>
      </c>
      <c r="D35" s="74">
        <v>7600</v>
      </c>
      <c r="E35" s="28">
        <v>271</v>
      </c>
      <c r="F35" s="29">
        <v>228</v>
      </c>
      <c r="G35" s="28">
        <v>289</v>
      </c>
      <c r="H35" s="30">
        <v>234</v>
      </c>
      <c r="I35" s="29">
        <v>269</v>
      </c>
      <c r="J35" s="29">
        <v>226</v>
      </c>
      <c r="K35" s="34">
        <f t="shared" si="0"/>
        <v>82.9</v>
      </c>
      <c r="L35" s="29">
        <v>306</v>
      </c>
      <c r="M35" s="30">
        <v>278</v>
      </c>
      <c r="N35" s="35">
        <v>187</v>
      </c>
      <c r="O35" s="36">
        <v>188</v>
      </c>
      <c r="P35" s="37">
        <v>184</v>
      </c>
      <c r="Q35" s="52">
        <v>69</v>
      </c>
      <c r="R35" s="55">
        <v>63</v>
      </c>
      <c r="S35" s="56">
        <v>69</v>
      </c>
      <c r="T35" s="40" t="s">
        <v>47</v>
      </c>
      <c r="U35" s="38">
        <v>2</v>
      </c>
      <c r="V35" s="41" t="s">
        <v>47</v>
      </c>
      <c r="W35" s="39">
        <v>3</v>
      </c>
      <c r="X35" s="40" t="s">
        <v>47</v>
      </c>
      <c r="Y35" s="39">
        <v>4</v>
      </c>
      <c r="Z35" s="57">
        <v>2</v>
      </c>
      <c r="AA35" s="58">
        <v>3</v>
      </c>
      <c r="AB35" s="59">
        <v>2</v>
      </c>
      <c r="AC35" s="42">
        <v>0</v>
      </c>
    </row>
    <row r="36" spans="1:29" x14ac:dyDescent="0.25">
      <c r="A36" s="1">
        <f t="shared" ca="1" si="1"/>
        <v>14641</v>
      </c>
      <c r="B36" s="74">
        <v>7602</v>
      </c>
      <c r="C36" s="74">
        <v>7597</v>
      </c>
      <c r="D36" s="74">
        <v>7595</v>
      </c>
      <c r="E36" s="28">
        <v>274</v>
      </c>
      <c r="F36" s="29">
        <v>240</v>
      </c>
      <c r="G36" s="28">
        <v>289</v>
      </c>
      <c r="H36" s="30">
        <v>246</v>
      </c>
      <c r="I36" s="29">
        <v>281</v>
      </c>
      <c r="J36" s="29">
        <v>240</v>
      </c>
      <c r="K36" s="34">
        <f t="shared" si="0"/>
        <v>84.4</v>
      </c>
      <c r="L36" s="29">
        <v>306</v>
      </c>
      <c r="M36" s="30">
        <v>283</v>
      </c>
      <c r="N36" s="35">
        <v>207</v>
      </c>
      <c r="O36" s="36">
        <v>211</v>
      </c>
      <c r="P36" s="37">
        <v>203</v>
      </c>
      <c r="Q36" s="52">
        <v>75</v>
      </c>
      <c r="R36" s="55">
        <v>70</v>
      </c>
      <c r="S36" s="56">
        <v>71</v>
      </c>
      <c r="T36" s="40" t="s">
        <v>47</v>
      </c>
      <c r="U36" s="38">
        <v>3</v>
      </c>
      <c r="V36" s="41" t="s">
        <v>47</v>
      </c>
      <c r="W36" s="39">
        <v>3</v>
      </c>
      <c r="X36" s="40" t="s">
        <v>47</v>
      </c>
      <c r="Y36" s="39">
        <v>4</v>
      </c>
      <c r="Z36" s="57">
        <v>1</v>
      </c>
      <c r="AA36" s="58">
        <v>2</v>
      </c>
      <c r="AB36" s="59">
        <v>2</v>
      </c>
      <c r="AC36" s="42">
        <v>0</v>
      </c>
    </row>
    <row r="37" spans="1:29" x14ac:dyDescent="0.25">
      <c r="A37" s="1" t="str">
        <f t="shared" ca="1" si="1"/>
        <v>Totaal</v>
      </c>
      <c r="B37" s="75">
        <f>IF(COUNT(B6:B36)&gt;0,AVERAGE(B6:B36)/10,"")</f>
        <v>760.43548387096769</v>
      </c>
      <c r="C37" s="76">
        <f>IF(COUNT(C6:C36)&gt;0,AVERAGE(C6:C36)/10,"")</f>
        <v>760.1258064516129</v>
      </c>
      <c r="D37" s="77">
        <f>IF(COUNT(D6:D36)&gt;0,AVERAGE(D6:D36)/10,"")</f>
        <v>759.48387096774195</v>
      </c>
      <c r="E37" s="31">
        <f>IF(COUNT(E6:E36)&gt;0,AVERAGE(E6:E36)/10,"")</f>
        <v>26.296774193548384</v>
      </c>
      <c r="F37" s="32">
        <f t="shared" ref="F37:J37" si="2">IF(COUNT(F6:F36)&gt;0,AVERAGE(F6:F36)/10,"")</f>
        <v>23.119354838709675</v>
      </c>
      <c r="G37" s="31">
        <f t="shared" si="2"/>
        <v>28.112903225806452</v>
      </c>
      <c r="H37" s="33">
        <f t="shared" si="2"/>
        <v>23.738709677419354</v>
      </c>
      <c r="I37" s="32">
        <f t="shared" si="2"/>
        <v>27.538709677419355</v>
      </c>
      <c r="J37" s="32">
        <f t="shared" si="2"/>
        <v>23.461290322580645</v>
      </c>
      <c r="K37" s="46">
        <f>IF(COUNT(K6:K36)&gt;0,SUM(K6:K36),"")</f>
        <v>2540.3999999999996</v>
      </c>
      <c r="L37" s="32">
        <f>IF(COUNT(L6:L36)&gt;0,AVERAGE(L6:L36)/10,"")</f>
        <v>29.970967741935482</v>
      </c>
      <c r="M37" s="32">
        <f>IF(COUNT(M6:M36)&gt;0,AVERAGE(M6:M36)/10,"")</f>
        <v>27.251612903225805</v>
      </c>
      <c r="N37" s="47">
        <f>IF(COUNT(N6:N36)&gt;0,AVERAGE(N6:N36)/10,"")</f>
        <v>19.648387096774194</v>
      </c>
      <c r="O37" s="48">
        <f>IF(COUNT(O6:O36)&gt;0,AVERAGE(O6:O36)/10,"")</f>
        <v>19.890322580645162</v>
      </c>
      <c r="P37" s="49">
        <f>IF(COUNT(P6:P36)&gt;0,AVERAGE(P6:P36)/10,"")</f>
        <v>19.641935483870967</v>
      </c>
      <c r="Q37" s="51">
        <f>IF(COUNT(Q6:Q36)&gt;0,AVERAGE(Q6:Q36),"")</f>
        <v>76.451612903225808</v>
      </c>
      <c r="R37" s="53">
        <f>IF(COUNT(R6:R36)&gt;0,AVERAGE(R6:R36),"")</f>
        <v>69.483870967741936</v>
      </c>
      <c r="S37" s="54">
        <f>IF(COUNT(S6:S36)&gt;0,AVERAGE(S6:S36),"")</f>
        <v>71.322580645161295</v>
      </c>
      <c r="T37" s="26"/>
      <c r="U37" s="50">
        <f>IF(COUNT(U6:U36)&gt;0,AVERAGE(U6:U36)/10,"")</f>
        <v>0.29354838709677422</v>
      </c>
      <c r="V37" s="27"/>
      <c r="W37" s="50">
        <f>IF(COUNT(W6:W36)&gt;0,AVERAGE(W6:W36)/10,"")</f>
        <v>0.38709677419354838</v>
      </c>
      <c r="X37" s="26"/>
      <c r="Y37" s="50">
        <f>IF(COUNT(Y6:Y36)&gt;0,AVERAGE(Y6:Y36)/10,"")</f>
        <v>0.43870967741935479</v>
      </c>
      <c r="Z37" s="60">
        <f>IF(COUNT(Z6:Z36)&gt;0,AVERAGE(Z6:Z36),"")</f>
        <v>2.193548387096774</v>
      </c>
      <c r="AA37" s="61">
        <f>IF(COUNT(AA6:AA36)&gt;0,AVERAGE(AA6:AA36),"")</f>
        <v>3.3225806451612905</v>
      </c>
      <c r="AB37" s="62">
        <f>IF(COUNT(AB6:AB36)&gt;0,AVERAGE(AB6:AB36),"")</f>
        <v>3.3225806451612905</v>
      </c>
      <c r="AC37" s="45">
        <f>SUM(AC6:AC36)/10</f>
        <v>2.2000000000000002</v>
      </c>
    </row>
    <row r="38" spans="1:29" x14ac:dyDescent="0.25">
      <c r="A38" s="1">
        <f t="shared" ca="1" si="1"/>
        <v>14642</v>
      </c>
      <c r="B38" s="74">
        <v>7592</v>
      </c>
      <c r="C38" s="74">
        <v>7595</v>
      </c>
      <c r="D38" s="74">
        <v>7595</v>
      </c>
      <c r="E38" s="28">
        <v>267</v>
      </c>
      <c r="F38" s="29">
        <v>239</v>
      </c>
      <c r="G38" s="28">
        <v>269</v>
      </c>
      <c r="H38" s="30">
        <v>240</v>
      </c>
      <c r="I38" s="29">
        <v>274</v>
      </c>
      <c r="J38" s="29">
        <v>238</v>
      </c>
      <c r="K38" s="34">
        <f t="shared" si="0"/>
        <v>81</v>
      </c>
      <c r="L38" s="29">
        <v>300</v>
      </c>
      <c r="M38" s="30">
        <v>285</v>
      </c>
      <c r="N38" s="35">
        <v>208</v>
      </c>
      <c r="O38" s="36">
        <v>209</v>
      </c>
      <c r="P38" s="37">
        <v>203</v>
      </c>
      <c r="Q38" s="52">
        <v>79</v>
      </c>
      <c r="R38" s="55">
        <v>79</v>
      </c>
      <c r="S38" s="56">
        <v>74</v>
      </c>
      <c r="T38" s="40" t="s">
        <v>85</v>
      </c>
      <c r="U38" s="38">
        <v>2</v>
      </c>
      <c r="V38" s="41" t="s">
        <v>85</v>
      </c>
      <c r="W38" s="39">
        <v>3</v>
      </c>
      <c r="X38" s="40" t="s">
        <v>85</v>
      </c>
      <c r="Y38" s="39">
        <v>4</v>
      </c>
      <c r="Z38" s="57">
        <v>2</v>
      </c>
      <c r="AA38" s="58">
        <v>3</v>
      </c>
      <c r="AB38" s="59">
        <v>3</v>
      </c>
      <c r="AC38" s="42">
        <v>0</v>
      </c>
    </row>
    <row r="39" spans="1:29" x14ac:dyDescent="0.25">
      <c r="A39" s="1">
        <f t="shared" ca="1" si="1"/>
        <v>14643</v>
      </c>
      <c r="B39" s="74">
        <v>7595</v>
      </c>
      <c r="C39" s="74">
        <v>7597</v>
      </c>
      <c r="D39" s="74">
        <v>7600</v>
      </c>
      <c r="E39" s="28">
        <v>259</v>
      </c>
      <c r="F39" s="29">
        <v>240</v>
      </c>
      <c r="G39" s="28">
        <v>280</v>
      </c>
      <c r="H39" s="30">
        <v>242</v>
      </c>
      <c r="I39" s="29">
        <v>277</v>
      </c>
      <c r="J39" s="29">
        <v>240</v>
      </c>
      <c r="K39" s="34">
        <f t="shared" si="0"/>
        <v>81.599999999999994</v>
      </c>
      <c r="L39" s="29">
        <v>288</v>
      </c>
      <c r="M39" s="30">
        <v>270</v>
      </c>
      <c r="N39" s="35">
        <v>214</v>
      </c>
      <c r="O39" s="36">
        <v>207</v>
      </c>
      <c r="P39" s="37">
        <v>205</v>
      </c>
      <c r="Q39" s="52">
        <v>85</v>
      </c>
      <c r="R39" s="55">
        <v>73</v>
      </c>
      <c r="S39" s="56">
        <v>74</v>
      </c>
      <c r="T39" s="40" t="s">
        <v>85</v>
      </c>
      <c r="U39" s="38">
        <v>3</v>
      </c>
      <c r="V39" s="41" t="s">
        <v>85</v>
      </c>
      <c r="W39" s="39">
        <v>4</v>
      </c>
      <c r="X39" s="40" t="s">
        <v>85</v>
      </c>
      <c r="Y39" s="39">
        <v>4</v>
      </c>
      <c r="Z39" s="57">
        <v>3</v>
      </c>
      <c r="AA39" s="58">
        <v>2</v>
      </c>
      <c r="AB39" s="59">
        <v>2</v>
      </c>
      <c r="AC39" s="42">
        <v>0</v>
      </c>
    </row>
    <row r="40" spans="1:29" x14ac:dyDescent="0.25">
      <c r="A40" s="1">
        <f t="shared" ca="1" si="1"/>
        <v>14644</v>
      </c>
      <c r="B40" s="74">
        <v>7589</v>
      </c>
      <c r="C40" s="74">
        <v>7597</v>
      </c>
      <c r="D40" s="74">
        <v>7600</v>
      </c>
      <c r="E40" s="28">
        <v>259</v>
      </c>
      <c r="F40" s="29">
        <v>240</v>
      </c>
      <c r="G40" s="28">
        <v>274</v>
      </c>
      <c r="H40" s="30">
        <v>242</v>
      </c>
      <c r="I40" s="29">
        <v>269</v>
      </c>
      <c r="J40" s="29">
        <v>241</v>
      </c>
      <c r="K40" s="34">
        <f t="shared" si="0"/>
        <v>80.2</v>
      </c>
      <c r="L40" s="29">
        <v>290</v>
      </c>
      <c r="M40" s="30">
        <v>278</v>
      </c>
      <c r="N40" s="35">
        <v>214</v>
      </c>
      <c r="O40" s="36">
        <v>210</v>
      </c>
      <c r="P40" s="37">
        <v>211</v>
      </c>
      <c r="Q40" s="52">
        <v>85</v>
      </c>
      <c r="R40" s="55">
        <v>77</v>
      </c>
      <c r="S40" s="56">
        <v>79</v>
      </c>
      <c r="T40" s="40" t="s">
        <v>85</v>
      </c>
      <c r="U40" s="38">
        <v>3</v>
      </c>
      <c r="V40" s="41" t="s">
        <v>85</v>
      </c>
      <c r="W40" s="39">
        <v>4</v>
      </c>
      <c r="X40" s="40" t="s">
        <v>85</v>
      </c>
      <c r="Y40" s="39">
        <v>4</v>
      </c>
      <c r="Z40" s="57">
        <v>3</v>
      </c>
      <c r="AA40" s="58">
        <v>3</v>
      </c>
      <c r="AB40" s="59">
        <v>3</v>
      </c>
      <c r="AC40" s="42">
        <v>0</v>
      </c>
    </row>
    <row r="41" spans="1:29" x14ac:dyDescent="0.25">
      <c r="A41" s="1">
        <f t="shared" ca="1" si="1"/>
        <v>14645</v>
      </c>
      <c r="B41" s="74">
        <v>7587</v>
      </c>
      <c r="C41" s="74">
        <v>7595</v>
      </c>
      <c r="D41" s="74">
        <v>7590</v>
      </c>
      <c r="E41" s="28">
        <v>273</v>
      </c>
      <c r="F41" s="29">
        <v>230</v>
      </c>
      <c r="G41" s="28">
        <v>279</v>
      </c>
      <c r="H41" s="30">
        <v>236</v>
      </c>
      <c r="I41" s="29">
        <v>273</v>
      </c>
      <c r="J41" s="29">
        <v>232</v>
      </c>
      <c r="K41" s="34">
        <f t="shared" si="0"/>
        <v>82.5</v>
      </c>
      <c r="L41" s="29">
        <v>290</v>
      </c>
      <c r="M41" s="30">
        <v>280</v>
      </c>
      <c r="N41" s="35">
        <v>189</v>
      </c>
      <c r="O41" s="36">
        <v>197</v>
      </c>
      <c r="P41" s="37">
        <v>193</v>
      </c>
      <c r="Q41" s="52">
        <v>69</v>
      </c>
      <c r="R41" s="55">
        <v>70</v>
      </c>
      <c r="S41" s="56">
        <v>71</v>
      </c>
      <c r="T41" s="40" t="s">
        <v>85</v>
      </c>
      <c r="U41" s="38">
        <v>3</v>
      </c>
      <c r="V41" s="41" t="s">
        <v>85</v>
      </c>
      <c r="W41" s="39">
        <v>4</v>
      </c>
      <c r="X41" s="40" t="s">
        <v>85</v>
      </c>
      <c r="Y41" s="39">
        <v>5</v>
      </c>
      <c r="Z41" s="57">
        <v>2</v>
      </c>
      <c r="AA41" s="58">
        <v>3</v>
      </c>
      <c r="AB41" s="59">
        <v>4</v>
      </c>
      <c r="AC41" s="42">
        <v>0</v>
      </c>
    </row>
    <row r="42" spans="1:29" x14ac:dyDescent="0.25">
      <c r="A42" s="1">
        <f t="shared" ca="1" si="1"/>
        <v>14646</v>
      </c>
      <c r="B42" s="74">
        <v>7597</v>
      </c>
      <c r="C42" s="74">
        <v>7592</v>
      </c>
      <c r="D42" s="74">
        <v>7589</v>
      </c>
      <c r="E42" s="28">
        <v>259</v>
      </c>
      <c r="F42" s="29">
        <v>230</v>
      </c>
      <c r="G42" s="28">
        <v>281</v>
      </c>
      <c r="H42" s="30">
        <v>234</v>
      </c>
      <c r="I42" s="29">
        <v>272</v>
      </c>
      <c r="J42" s="29">
        <v>230</v>
      </c>
      <c r="K42" s="34">
        <f t="shared" si="0"/>
        <v>81.2</v>
      </c>
      <c r="L42" s="29">
        <v>294</v>
      </c>
      <c r="M42" s="30">
        <v>278</v>
      </c>
      <c r="N42" s="35">
        <v>196</v>
      </c>
      <c r="O42" s="36">
        <v>192</v>
      </c>
      <c r="P42" s="37">
        <v>190</v>
      </c>
      <c r="Q42" s="52">
        <v>78</v>
      </c>
      <c r="R42" s="55">
        <v>67</v>
      </c>
      <c r="S42" s="56">
        <v>70</v>
      </c>
      <c r="T42" s="40" t="s">
        <v>47</v>
      </c>
      <c r="U42" s="38">
        <v>3</v>
      </c>
      <c r="V42" s="41" t="s">
        <v>47</v>
      </c>
      <c r="W42" s="39">
        <v>4</v>
      </c>
      <c r="X42" s="40" t="s">
        <v>47</v>
      </c>
      <c r="Y42" s="39">
        <v>4</v>
      </c>
      <c r="Z42" s="57">
        <v>3</v>
      </c>
      <c r="AA42" s="58">
        <v>3</v>
      </c>
      <c r="AB42" s="59">
        <v>3</v>
      </c>
      <c r="AC42" s="42">
        <v>0</v>
      </c>
    </row>
    <row r="43" spans="1:29" x14ac:dyDescent="0.25">
      <c r="A43" s="1">
        <f t="shared" ca="1" si="1"/>
        <v>14647</v>
      </c>
      <c r="B43" s="74">
        <v>7589</v>
      </c>
      <c r="C43" s="74">
        <v>7597</v>
      </c>
      <c r="D43" s="74">
        <v>7595</v>
      </c>
      <c r="E43" s="28">
        <v>257</v>
      </c>
      <c r="F43" s="29">
        <v>230</v>
      </c>
      <c r="G43" s="28">
        <v>280</v>
      </c>
      <c r="H43" s="30">
        <v>232</v>
      </c>
      <c r="I43" s="29">
        <v>271</v>
      </c>
      <c r="J43" s="29">
        <v>230</v>
      </c>
      <c r="K43" s="34">
        <f t="shared" si="0"/>
        <v>80.8</v>
      </c>
      <c r="L43" s="29">
        <v>296</v>
      </c>
      <c r="M43" s="30">
        <v>270</v>
      </c>
      <c r="N43" s="35">
        <v>197</v>
      </c>
      <c r="O43" s="36">
        <v>189</v>
      </c>
      <c r="P43" s="37">
        <v>190</v>
      </c>
      <c r="Q43" s="52">
        <v>80</v>
      </c>
      <c r="R43" s="55">
        <v>67</v>
      </c>
      <c r="S43" s="56">
        <v>71</v>
      </c>
      <c r="T43" s="40" t="s">
        <v>47</v>
      </c>
      <c r="U43" s="38">
        <v>4</v>
      </c>
      <c r="V43" s="41" t="s">
        <v>47</v>
      </c>
      <c r="W43" s="39">
        <v>5</v>
      </c>
      <c r="X43" s="40" t="s">
        <v>47</v>
      </c>
      <c r="Y43" s="39">
        <v>5</v>
      </c>
      <c r="Z43" s="57">
        <v>2</v>
      </c>
      <c r="AA43" s="58">
        <v>3</v>
      </c>
      <c r="AB43" s="59">
        <v>3</v>
      </c>
      <c r="AC43" s="42">
        <v>0</v>
      </c>
    </row>
    <row r="44" spans="1:29" x14ac:dyDescent="0.25">
      <c r="A44" s="1">
        <f t="shared" ca="1" si="1"/>
        <v>14648</v>
      </c>
      <c r="B44" s="74">
        <v>7597</v>
      </c>
      <c r="C44" s="74">
        <v>7597</v>
      </c>
      <c r="D44" s="74">
        <v>7595</v>
      </c>
      <c r="E44" s="28">
        <v>280</v>
      </c>
      <c r="F44" s="29">
        <v>234</v>
      </c>
      <c r="G44" s="28">
        <v>285</v>
      </c>
      <c r="H44" s="30">
        <v>237</v>
      </c>
      <c r="I44" s="29">
        <v>279</v>
      </c>
      <c r="J44" s="29">
        <v>233</v>
      </c>
      <c r="K44" s="34">
        <f t="shared" si="0"/>
        <v>84.4</v>
      </c>
      <c r="L44" s="29">
        <v>298</v>
      </c>
      <c r="M44" s="30">
        <v>288</v>
      </c>
      <c r="N44" s="35">
        <v>193</v>
      </c>
      <c r="O44" s="36">
        <v>196</v>
      </c>
      <c r="P44" s="37">
        <v>192</v>
      </c>
      <c r="Q44" s="52">
        <v>68</v>
      </c>
      <c r="R44" s="55">
        <v>67</v>
      </c>
      <c r="S44" s="56">
        <v>68</v>
      </c>
      <c r="T44" s="40" t="s">
        <v>47</v>
      </c>
      <c r="U44" s="38">
        <v>4</v>
      </c>
      <c r="V44" s="41" t="s">
        <v>47</v>
      </c>
      <c r="W44" s="39">
        <v>6</v>
      </c>
      <c r="X44" s="40" t="s">
        <v>47</v>
      </c>
      <c r="Y44" s="39">
        <v>6</v>
      </c>
      <c r="Z44" s="57">
        <v>3</v>
      </c>
      <c r="AA44" s="58">
        <v>4</v>
      </c>
      <c r="AB44" s="59">
        <v>3</v>
      </c>
      <c r="AC44" s="42">
        <v>15</v>
      </c>
    </row>
    <row r="45" spans="1:29" x14ac:dyDescent="0.25">
      <c r="A45" s="1">
        <f t="shared" ca="1" si="1"/>
        <v>14649</v>
      </c>
      <c r="B45" s="74">
        <v>7610</v>
      </c>
      <c r="C45" s="74">
        <v>7595</v>
      </c>
      <c r="D45" s="74">
        <v>7595</v>
      </c>
      <c r="E45" s="28">
        <v>267</v>
      </c>
      <c r="F45" s="29">
        <v>228</v>
      </c>
      <c r="G45" s="28">
        <v>269</v>
      </c>
      <c r="H45" s="30">
        <v>232</v>
      </c>
      <c r="I45" s="29">
        <v>269</v>
      </c>
      <c r="J45" s="29">
        <v>229</v>
      </c>
      <c r="K45" s="34">
        <f t="shared" si="0"/>
        <v>80.5</v>
      </c>
      <c r="L45" s="29">
        <v>296</v>
      </c>
      <c r="M45" s="30">
        <v>283</v>
      </c>
      <c r="N45" s="35">
        <v>189</v>
      </c>
      <c r="O45" s="36">
        <v>195</v>
      </c>
      <c r="P45" s="37">
        <v>190</v>
      </c>
      <c r="Q45" s="52">
        <v>72</v>
      </c>
      <c r="R45" s="55">
        <v>73</v>
      </c>
      <c r="S45" s="56">
        <v>71</v>
      </c>
      <c r="T45" s="40" t="s">
        <v>47</v>
      </c>
      <c r="U45" s="38">
        <v>4</v>
      </c>
      <c r="V45" s="41" t="s">
        <v>47</v>
      </c>
      <c r="W45" s="39">
        <v>5</v>
      </c>
      <c r="X45" s="40" t="s">
        <v>47</v>
      </c>
      <c r="Y45" s="39">
        <v>6</v>
      </c>
      <c r="Z45" s="57">
        <v>2</v>
      </c>
      <c r="AA45" s="58">
        <v>3</v>
      </c>
      <c r="AB45" s="59">
        <v>2</v>
      </c>
      <c r="AC45" s="42">
        <v>0</v>
      </c>
    </row>
    <row r="46" spans="1:29" x14ac:dyDescent="0.25">
      <c r="A46" s="1">
        <f t="shared" ca="1" si="1"/>
        <v>14650</v>
      </c>
      <c r="B46" s="74">
        <v>7597</v>
      </c>
      <c r="C46" s="74">
        <v>7600</v>
      </c>
      <c r="D46" s="74">
        <v>7602</v>
      </c>
      <c r="E46" s="28">
        <v>277</v>
      </c>
      <c r="F46" s="29">
        <v>238</v>
      </c>
      <c r="G46" s="28">
        <v>297</v>
      </c>
      <c r="H46" s="30">
        <v>246</v>
      </c>
      <c r="I46" s="29">
        <v>281</v>
      </c>
      <c r="J46" s="29">
        <v>240</v>
      </c>
      <c r="K46" s="34">
        <f t="shared" si="0"/>
        <v>85.5</v>
      </c>
      <c r="L46" s="29">
        <v>311</v>
      </c>
      <c r="M46" s="30">
        <v>290</v>
      </c>
      <c r="N46" s="35">
        <v>202</v>
      </c>
      <c r="O46" s="36">
        <v>207</v>
      </c>
      <c r="P46" s="37">
        <v>203</v>
      </c>
      <c r="Q46" s="52">
        <v>72</v>
      </c>
      <c r="R46" s="55">
        <v>66</v>
      </c>
      <c r="S46" s="56">
        <v>71</v>
      </c>
      <c r="T46" s="40" t="s">
        <v>47</v>
      </c>
      <c r="U46" s="38">
        <v>4</v>
      </c>
      <c r="V46" s="41" t="s">
        <v>47</v>
      </c>
      <c r="W46" s="39">
        <v>6</v>
      </c>
      <c r="X46" s="40" t="s">
        <v>47</v>
      </c>
      <c r="Y46" s="39">
        <v>6</v>
      </c>
      <c r="Z46" s="57">
        <v>3</v>
      </c>
      <c r="AA46" s="58">
        <v>2</v>
      </c>
      <c r="AB46" s="59">
        <v>3</v>
      </c>
      <c r="AC46" s="42">
        <v>0</v>
      </c>
    </row>
    <row r="47" spans="1:29" x14ac:dyDescent="0.25">
      <c r="A47" s="1">
        <f t="shared" ca="1" si="1"/>
        <v>14651</v>
      </c>
      <c r="B47" s="74">
        <v>7595</v>
      </c>
      <c r="C47" s="74">
        <v>7597</v>
      </c>
      <c r="D47" s="74">
        <v>7597</v>
      </c>
      <c r="E47" s="28">
        <v>275</v>
      </c>
      <c r="F47" s="29">
        <v>240</v>
      </c>
      <c r="G47" s="28">
        <v>291</v>
      </c>
      <c r="H47" s="30">
        <v>246</v>
      </c>
      <c r="I47" s="29">
        <v>279</v>
      </c>
      <c r="J47" s="29">
        <v>242</v>
      </c>
      <c r="K47" s="34">
        <f t="shared" si="0"/>
        <v>84.5</v>
      </c>
      <c r="L47" s="29">
        <v>314</v>
      </c>
      <c r="M47" s="30">
        <v>291</v>
      </c>
      <c r="N47" s="35">
        <v>206</v>
      </c>
      <c r="O47" s="36">
        <v>210</v>
      </c>
      <c r="P47" s="37">
        <v>208</v>
      </c>
      <c r="Q47" s="52">
        <v>75</v>
      </c>
      <c r="R47" s="55">
        <v>69</v>
      </c>
      <c r="S47" s="56">
        <v>74</v>
      </c>
      <c r="T47" s="40" t="s">
        <v>46</v>
      </c>
      <c r="U47" s="38">
        <v>4</v>
      </c>
      <c r="V47" s="41" t="s">
        <v>46</v>
      </c>
      <c r="W47" s="39">
        <v>5</v>
      </c>
      <c r="X47" s="40" t="s">
        <v>47</v>
      </c>
      <c r="Y47" s="39">
        <v>6</v>
      </c>
      <c r="Z47" s="57">
        <v>3</v>
      </c>
      <c r="AA47" s="58">
        <v>3</v>
      </c>
      <c r="AB47" s="59">
        <v>3</v>
      </c>
      <c r="AC47" s="42">
        <v>0</v>
      </c>
    </row>
    <row r="48" spans="1:29" x14ac:dyDescent="0.25">
      <c r="A48" s="1">
        <f t="shared" ca="1" si="1"/>
        <v>14652</v>
      </c>
      <c r="B48" s="74">
        <v>7585</v>
      </c>
      <c r="C48" s="74">
        <v>7597</v>
      </c>
      <c r="D48" s="74">
        <v>7592</v>
      </c>
      <c r="E48" s="28">
        <v>270</v>
      </c>
      <c r="F48" s="29">
        <v>238</v>
      </c>
      <c r="G48" s="28">
        <v>287</v>
      </c>
      <c r="H48" s="30">
        <v>240</v>
      </c>
      <c r="I48" s="29">
        <v>271</v>
      </c>
      <c r="J48" s="29">
        <v>238</v>
      </c>
      <c r="K48" s="34">
        <f t="shared" si="0"/>
        <v>82.8</v>
      </c>
      <c r="L48" s="29">
        <v>308</v>
      </c>
      <c r="M48" s="30">
        <v>294</v>
      </c>
      <c r="N48" s="35">
        <v>205</v>
      </c>
      <c r="O48" s="36">
        <v>200</v>
      </c>
      <c r="P48" s="37">
        <v>205</v>
      </c>
      <c r="Q48" s="52">
        <v>77</v>
      </c>
      <c r="R48" s="55">
        <v>68</v>
      </c>
      <c r="S48" s="56">
        <v>76</v>
      </c>
      <c r="T48" s="40" t="s">
        <v>47</v>
      </c>
      <c r="U48" s="38">
        <v>5</v>
      </c>
      <c r="V48" s="41" t="s">
        <v>47</v>
      </c>
      <c r="W48" s="39">
        <v>6</v>
      </c>
      <c r="X48" s="40" t="s">
        <v>46</v>
      </c>
      <c r="Y48" s="39">
        <v>5</v>
      </c>
      <c r="Z48" s="57">
        <v>2</v>
      </c>
      <c r="AA48" s="58">
        <v>2</v>
      </c>
      <c r="AB48" s="59">
        <v>2</v>
      </c>
      <c r="AC48" s="42">
        <v>0</v>
      </c>
    </row>
    <row r="49" spans="1:29" x14ac:dyDescent="0.25">
      <c r="A49" s="1">
        <f t="shared" ca="1" si="1"/>
        <v>14653</v>
      </c>
      <c r="B49" s="74">
        <v>7595</v>
      </c>
      <c r="C49" s="74">
        <v>7597</v>
      </c>
      <c r="D49" s="74">
        <v>7592</v>
      </c>
      <c r="E49" s="28">
        <v>263</v>
      </c>
      <c r="F49" s="29">
        <v>234</v>
      </c>
      <c r="G49" s="28">
        <v>284</v>
      </c>
      <c r="H49" s="30">
        <v>238</v>
      </c>
      <c r="I49" s="29">
        <v>279</v>
      </c>
      <c r="J49" s="29">
        <v>236</v>
      </c>
      <c r="K49" s="34">
        <f t="shared" si="0"/>
        <v>82.6</v>
      </c>
      <c r="L49" s="29">
        <v>304</v>
      </c>
      <c r="M49" s="30">
        <v>280</v>
      </c>
      <c r="N49" s="35">
        <v>201</v>
      </c>
      <c r="O49" s="36">
        <v>198</v>
      </c>
      <c r="P49" s="37">
        <v>197</v>
      </c>
      <c r="Q49" s="52">
        <v>78</v>
      </c>
      <c r="R49" s="55">
        <v>68</v>
      </c>
      <c r="S49" s="56">
        <v>70</v>
      </c>
      <c r="T49" s="40" t="s">
        <v>47</v>
      </c>
      <c r="U49" s="38">
        <v>5</v>
      </c>
      <c r="V49" s="41" t="s">
        <v>47</v>
      </c>
      <c r="W49" s="39">
        <v>6</v>
      </c>
      <c r="X49" s="40" t="s">
        <v>47</v>
      </c>
      <c r="Y49" s="39">
        <v>6</v>
      </c>
      <c r="Z49" s="57">
        <v>2</v>
      </c>
      <c r="AA49" s="58">
        <v>3</v>
      </c>
      <c r="AB49" s="59">
        <v>3</v>
      </c>
      <c r="AC49" s="42">
        <v>0</v>
      </c>
    </row>
    <row r="50" spans="1:29" x14ac:dyDescent="0.25">
      <c r="A50" s="1">
        <f t="shared" ca="1" si="1"/>
        <v>14654</v>
      </c>
      <c r="B50" s="74">
        <v>7592</v>
      </c>
      <c r="C50" s="74">
        <v>7600</v>
      </c>
      <c r="D50" s="74">
        <v>7595</v>
      </c>
      <c r="E50" s="28">
        <v>259</v>
      </c>
      <c r="F50" s="29">
        <v>230</v>
      </c>
      <c r="G50" s="28">
        <v>284</v>
      </c>
      <c r="H50" s="30">
        <v>232</v>
      </c>
      <c r="I50" s="29">
        <v>261</v>
      </c>
      <c r="J50" s="29">
        <v>230</v>
      </c>
      <c r="K50" s="34">
        <f t="shared" si="0"/>
        <v>80.400000000000006</v>
      </c>
      <c r="L50" s="29">
        <v>305</v>
      </c>
      <c r="M50" s="30">
        <v>270</v>
      </c>
      <c r="N50" s="35">
        <v>196</v>
      </c>
      <c r="O50" s="36">
        <v>187</v>
      </c>
      <c r="P50" s="37">
        <v>195</v>
      </c>
      <c r="Q50" s="52">
        <v>78</v>
      </c>
      <c r="R50" s="55">
        <v>64</v>
      </c>
      <c r="S50" s="56">
        <v>77</v>
      </c>
      <c r="T50" s="40" t="s">
        <v>47</v>
      </c>
      <c r="U50" s="38">
        <v>5</v>
      </c>
      <c r="V50" s="41" t="s">
        <v>47</v>
      </c>
      <c r="W50" s="39">
        <v>7</v>
      </c>
      <c r="X50" s="40" t="s">
        <v>47</v>
      </c>
      <c r="Y50" s="39">
        <v>7</v>
      </c>
      <c r="Z50" s="57">
        <v>2</v>
      </c>
      <c r="AA50" s="58">
        <v>3</v>
      </c>
      <c r="AB50" s="59">
        <v>3</v>
      </c>
      <c r="AC50" s="42">
        <v>0</v>
      </c>
    </row>
    <row r="51" spans="1:29" x14ac:dyDescent="0.25">
      <c r="A51" s="1">
        <f t="shared" ca="1" si="1"/>
        <v>14655</v>
      </c>
      <c r="B51" s="74">
        <v>7585</v>
      </c>
      <c r="C51" s="74">
        <v>7595</v>
      </c>
      <c r="D51" s="74">
        <v>7595</v>
      </c>
      <c r="E51" s="28">
        <v>261</v>
      </c>
      <c r="F51" s="29">
        <v>228</v>
      </c>
      <c r="G51" s="28">
        <v>265</v>
      </c>
      <c r="H51" s="30">
        <v>230</v>
      </c>
      <c r="I51" s="29">
        <v>263</v>
      </c>
      <c r="J51" s="29">
        <v>229</v>
      </c>
      <c r="K51" s="34">
        <f t="shared" si="0"/>
        <v>78.900000000000006</v>
      </c>
      <c r="L51" s="29">
        <v>285</v>
      </c>
      <c r="M51" s="30">
        <v>274</v>
      </c>
      <c r="N51" s="35">
        <v>192</v>
      </c>
      <c r="O51" s="36">
        <v>193</v>
      </c>
      <c r="P51" s="37">
        <v>193</v>
      </c>
      <c r="Q51" s="52">
        <v>76</v>
      </c>
      <c r="R51" s="55">
        <v>74</v>
      </c>
      <c r="S51" s="56">
        <v>75</v>
      </c>
      <c r="T51" s="40" t="s">
        <v>47</v>
      </c>
      <c r="U51" s="38">
        <v>5</v>
      </c>
      <c r="V51" s="41" t="s">
        <v>47</v>
      </c>
      <c r="W51" s="39">
        <v>7</v>
      </c>
      <c r="X51" s="40" t="s">
        <v>85</v>
      </c>
      <c r="Y51" s="39">
        <v>6</v>
      </c>
      <c r="Z51" s="57">
        <v>3</v>
      </c>
      <c r="AA51" s="58">
        <v>2</v>
      </c>
      <c r="AB51" s="59">
        <v>2</v>
      </c>
      <c r="AC51" s="42">
        <v>0</v>
      </c>
    </row>
    <row r="52" spans="1:29" x14ac:dyDescent="0.25">
      <c r="A52" s="1">
        <f t="shared" ca="1" si="1"/>
        <v>14656</v>
      </c>
      <c r="B52" s="74">
        <v>7587</v>
      </c>
      <c r="C52" s="74">
        <v>7600</v>
      </c>
      <c r="D52" s="74">
        <v>7597</v>
      </c>
      <c r="E52" s="28">
        <v>259</v>
      </c>
      <c r="F52" s="29">
        <v>228</v>
      </c>
      <c r="G52" s="28">
        <v>274</v>
      </c>
      <c r="H52" s="30">
        <v>232</v>
      </c>
      <c r="I52" s="29">
        <v>269</v>
      </c>
      <c r="J52" s="29">
        <v>230</v>
      </c>
      <c r="K52" s="34">
        <f t="shared" si="0"/>
        <v>80.2</v>
      </c>
      <c r="L52" s="29">
        <v>298</v>
      </c>
      <c r="M52" s="30">
        <v>270</v>
      </c>
      <c r="N52" s="35">
        <v>193</v>
      </c>
      <c r="O52" s="36">
        <v>192</v>
      </c>
      <c r="P52" s="37">
        <v>191</v>
      </c>
      <c r="Q52" s="52">
        <v>77</v>
      </c>
      <c r="R52" s="55">
        <v>70</v>
      </c>
      <c r="S52" s="56">
        <v>72</v>
      </c>
      <c r="T52" s="40" t="s">
        <v>47</v>
      </c>
      <c r="U52" s="38">
        <v>5</v>
      </c>
      <c r="V52" s="41" t="s">
        <v>47</v>
      </c>
      <c r="W52" s="39">
        <v>6</v>
      </c>
      <c r="X52" s="40" t="s">
        <v>47</v>
      </c>
      <c r="Y52" s="39">
        <v>6</v>
      </c>
      <c r="Z52" s="57">
        <v>3</v>
      </c>
      <c r="AA52" s="58">
        <v>2</v>
      </c>
      <c r="AB52" s="59">
        <v>3</v>
      </c>
      <c r="AC52" s="42">
        <v>0</v>
      </c>
    </row>
    <row r="53" spans="1:29" x14ac:dyDescent="0.25">
      <c r="A53" s="1">
        <f t="shared" ca="1" si="1"/>
        <v>14657</v>
      </c>
      <c r="B53" s="74">
        <v>7597</v>
      </c>
      <c r="C53" s="74">
        <v>7597</v>
      </c>
      <c r="D53" s="74">
        <v>7589</v>
      </c>
      <c r="E53" s="28">
        <v>274</v>
      </c>
      <c r="F53" s="29">
        <v>230</v>
      </c>
      <c r="G53" s="28">
        <v>280</v>
      </c>
      <c r="H53" s="30">
        <v>232</v>
      </c>
      <c r="I53" s="29">
        <v>275</v>
      </c>
      <c r="J53" s="29">
        <v>228</v>
      </c>
      <c r="K53" s="34">
        <f t="shared" si="0"/>
        <v>82.9</v>
      </c>
      <c r="L53" s="29">
        <v>300</v>
      </c>
      <c r="M53" s="30">
        <v>287</v>
      </c>
      <c r="N53" s="35">
        <v>189</v>
      </c>
      <c r="O53" s="36">
        <v>189</v>
      </c>
      <c r="P53" s="37">
        <v>185</v>
      </c>
      <c r="Q53" s="52">
        <v>69</v>
      </c>
      <c r="R53" s="55">
        <v>67</v>
      </c>
      <c r="S53" s="56">
        <v>67</v>
      </c>
      <c r="T53" s="40" t="s">
        <v>47</v>
      </c>
      <c r="U53" s="38">
        <v>5</v>
      </c>
      <c r="V53" s="41" t="s">
        <v>47</v>
      </c>
      <c r="W53" s="39">
        <v>7</v>
      </c>
      <c r="X53" s="40" t="s">
        <v>85</v>
      </c>
      <c r="Y53" s="39">
        <v>7</v>
      </c>
      <c r="Z53" s="57">
        <v>2</v>
      </c>
      <c r="AA53" s="58">
        <v>1</v>
      </c>
      <c r="AB53" s="59">
        <v>1</v>
      </c>
      <c r="AC53" s="42">
        <v>0</v>
      </c>
    </row>
    <row r="54" spans="1:29" x14ac:dyDescent="0.25">
      <c r="A54" s="1">
        <f t="shared" ca="1" si="1"/>
        <v>14658</v>
      </c>
      <c r="B54" s="74">
        <v>7585</v>
      </c>
      <c r="C54" s="74">
        <v>7592</v>
      </c>
      <c r="D54" s="74">
        <v>7589</v>
      </c>
      <c r="E54" s="28">
        <v>274</v>
      </c>
      <c r="F54" s="29">
        <v>228</v>
      </c>
      <c r="G54" s="28">
        <v>279</v>
      </c>
      <c r="H54" s="30">
        <v>232</v>
      </c>
      <c r="I54" s="29">
        <v>279</v>
      </c>
      <c r="J54" s="29">
        <v>228</v>
      </c>
      <c r="K54" s="34">
        <f t="shared" si="0"/>
        <v>83.2</v>
      </c>
      <c r="L54" s="29">
        <v>300</v>
      </c>
      <c r="M54" s="30">
        <v>290</v>
      </c>
      <c r="N54" s="35">
        <v>185</v>
      </c>
      <c r="O54" s="36">
        <v>190</v>
      </c>
      <c r="P54" s="37">
        <v>183</v>
      </c>
      <c r="Q54" s="52">
        <v>68</v>
      </c>
      <c r="R54" s="55">
        <v>67</v>
      </c>
      <c r="S54" s="56">
        <v>65</v>
      </c>
      <c r="T54" s="40" t="s">
        <v>47</v>
      </c>
      <c r="U54" s="38">
        <v>6</v>
      </c>
      <c r="V54" s="41" t="s">
        <v>47</v>
      </c>
      <c r="W54" s="39">
        <v>7</v>
      </c>
      <c r="X54" s="40" t="s">
        <v>85</v>
      </c>
      <c r="Y54" s="39">
        <v>6</v>
      </c>
      <c r="Z54" s="57">
        <v>1</v>
      </c>
      <c r="AA54" s="58">
        <v>0</v>
      </c>
      <c r="AB54" s="59">
        <v>0</v>
      </c>
      <c r="AC54" s="42">
        <v>0</v>
      </c>
    </row>
    <row r="55" spans="1:29" x14ac:dyDescent="0.25">
      <c r="A55" s="1">
        <f t="shared" ca="1" si="1"/>
        <v>14659</v>
      </c>
      <c r="B55" s="74">
        <v>7584</v>
      </c>
      <c r="C55" s="74">
        <v>7592</v>
      </c>
      <c r="D55" s="74">
        <v>7589</v>
      </c>
      <c r="E55" s="28">
        <v>253</v>
      </c>
      <c r="F55" s="29">
        <v>228</v>
      </c>
      <c r="G55" s="28">
        <v>279</v>
      </c>
      <c r="H55" s="30">
        <v>230</v>
      </c>
      <c r="I55" s="29">
        <v>277</v>
      </c>
      <c r="J55" s="29">
        <v>229</v>
      </c>
      <c r="K55" s="34">
        <f t="shared" si="0"/>
        <v>80.900000000000006</v>
      </c>
      <c r="L55" s="29">
        <v>300</v>
      </c>
      <c r="M55" s="30">
        <v>264</v>
      </c>
      <c r="N55" s="35">
        <v>196</v>
      </c>
      <c r="O55" s="36">
        <v>186</v>
      </c>
      <c r="P55" s="37">
        <v>186</v>
      </c>
      <c r="Q55" s="52">
        <v>81</v>
      </c>
      <c r="R55" s="55">
        <v>66</v>
      </c>
      <c r="S55" s="56">
        <v>66</v>
      </c>
      <c r="T55" s="40" t="s">
        <v>47</v>
      </c>
      <c r="U55" s="38">
        <v>5</v>
      </c>
      <c r="V55" s="41" t="s">
        <v>47</v>
      </c>
      <c r="W55" s="39">
        <v>7</v>
      </c>
      <c r="X55" s="40" t="s">
        <v>47</v>
      </c>
      <c r="Y55" s="39">
        <v>6</v>
      </c>
      <c r="Z55" s="57">
        <v>1</v>
      </c>
      <c r="AA55" s="58">
        <v>0</v>
      </c>
      <c r="AB55" s="59">
        <v>1</v>
      </c>
      <c r="AC55" s="42">
        <v>0</v>
      </c>
    </row>
    <row r="56" spans="1:29" x14ac:dyDescent="0.25">
      <c r="A56" s="1">
        <f t="shared" ca="1" si="1"/>
        <v>14660</v>
      </c>
      <c r="B56" s="74">
        <v>7587</v>
      </c>
      <c r="C56" s="74">
        <v>7592</v>
      </c>
      <c r="D56" s="74">
        <v>7589</v>
      </c>
      <c r="E56" s="28">
        <v>259</v>
      </c>
      <c r="F56" s="29">
        <v>228</v>
      </c>
      <c r="G56" s="28">
        <v>287</v>
      </c>
      <c r="H56" s="30">
        <v>239</v>
      </c>
      <c r="I56" s="29">
        <v>279</v>
      </c>
      <c r="J56" s="29">
        <v>231</v>
      </c>
      <c r="K56" s="34">
        <f t="shared" si="0"/>
        <v>82.5</v>
      </c>
      <c r="L56" s="29">
        <v>314</v>
      </c>
      <c r="M56" s="30">
        <v>270</v>
      </c>
      <c r="N56" s="35">
        <v>193</v>
      </c>
      <c r="O56" s="36">
        <v>198</v>
      </c>
      <c r="P56" s="37">
        <v>188</v>
      </c>
      <c r="Q56" s="52">
        <v>77</v>
      </c>
      <c r="R56" s="55">
        <v>67</v>
      </c>
      <c r="S56" s="56">
        <v>67</v>
      </c>
      <c r="T56" s="40" t="s">
        <v>46</v>
      </c>
      <c r="U56" s="38">
        <v>5</v>
      </c>
      <c r="V56" s="41" t="s">
        <v>46</v>
      </c>
      <c r="W56" s="39">
        <v>7</v>
      </c>
      <c r="X56" s="40" t="s">
        <v>46</v>
      </c>
      <c r="Y56" s="39">
        <v>7</v>
      </c>
      <c r="Z56" s="57">
        <v>1</v>
      </c>
      <c r="AA56" s="58">
        <v>0</v>
      </c>
      <c r="AB56" s="59">
        <v>1</v>
      </c>
      <c r="AC56" s="42">
        <v>0</v>
      </c>
    </row>
    <row r="57" spans="1:29" x14ac:dyDescent="0.25">
      <c r="A57" s="1">
        <f t="shared" ca="1" si="1"/>
        <v>14661</v>
      </c>
      <c r="B57" s="74">
        <v>7585</v>
      </c>
      <c r="C57" s="74">
        <v>7592</v>
      </c>
      <c r="D57" s="74">
        <v>7585</v>
      </c>
      <c r="E57" s="28">
        <v>273</v>
      </c>
      <c r="F57" s="29">
        <v>230</v>
      </c>
      <c r="G57" s="28">
        <v>281</v>
      </c>
      <c r="H57" s="30">
        <v>232</v>
      </c>
      <c r="I57" s="29">
        <v>279</v>
      </c>
      <c r="J57" s="29">
        <v>230</v>
      </c>
      <c r="K57" s="34">
        <f t="shared" si="0"/>
        <v>83.3</v>
      </c>
      <c r="L57" s="29">
        <v>306</v>
      </c>
      <c r="M57" s="30">
        <v>290</v>
      </c>
      <c r="N57" s="35">
        <v>189</v>
      </c>
      <c r="O57" s="36">
        <v>189</v>
      </c>
      <c r="P57" s="37">
        <v>186</v>
      </c>
      <c r="Q57" s="52">
        <v>69</v>
      </c>
      <c r="R57" s="55">
        <v>66</v>
      </c>
      <c r="S57" s="56">
        <v>66</v>
      </c>
      <c r="T57" s="40" t="s">
        <v>47</v>
      </c>
      <c r="U57" s="38">
        <v>5</v>
      </c>
      <c r="V57" s="41" t="s">
        <v>47</v>
      </c>
      <c r="W57" s="39">
        <v>5</v>
      </c>
      <c r="X57" s="40" t="s">
        <v>85</v>
      </c>
      <c r="Y57" s="39">
        <v>6</v>
      </c>
      <c r="Z57" s="57">
        <v>6</v>
      </c>
      <c r="AA57" s="58">
        <v>7</v>
      </c>
      <c r="AB57" s="59">
        <v>7</v>
      </c>
      <c r="AC57" s="42">
        <v>0</v>
      </c>
    </row>
    <row r="58" spans="1:29" x14ac:dyDescent="0.25">
      <c r="A58" s="1">
        <f t="shared" ca="1" si="1"/>
        <v>14662</v>
      </c>
      <c r="B58" s="74">
        <v>7585</v>
      </c>
      <c r="C58" s="74">
        <v>7587</v>
      </c>
      <c r="D58" s="74">
        <v>7582</v>
      </c>
      <c r="E58" s="28">
        <v>275</v>
      </c>
      <c r="F58" s="29">
        <v>230</v>
      </c>
      <c r="G58" s="28">
        <v>277</v>
      </c>
      <c r="H58" s="30">
        <v>232</v>
      </c>
      <c r="I58" s="29">
        <v>268</v>
      </c>
      <c r="J58" s="29">
        <v>228</v>
      </c>
      <c r="K58" s="34">
        <f t="shared" si="0"/>
        <v>82</v>
      </c>
      <c r="L58" s="29">
        <v>294</v>
      </c>
      <c r="M58" s="30">
        <v>285</v>
      </c>
      <c r="N58" s="35">
        <v>188</v>
      </c>
      <c r="O58" s="36">
        <v>191</v>
      </c>
      <c r="P58" s="37">
        <v>188</v>
      </c>
      <c r="Q58" s="52">
        <v>68</v>
      </c>
      <c r="R58" s="55">
        <v>68</v>
      </c>
      <c r="S58" s="56">
        <v>71</v>
      </c>
      <c r="T58" s="40" t="s">
        <v>47</v>
      </c>
      <c r="U58" s="38">
        <v>5</v>
      </c>
      <c r="V58" s="41" t="s">
        <v>47</v>
      </c>
      <c r="W58" s="39">
        <v>6</v>
      </c>
      <c r="X58" s="40" t="s">
        <v>47</v>
      </c>
      <c r="Y58" s="39">
        <v>5</v>
      </c>
      <c r="Z58" s="57">
        <v>5</v>
      </c>
      <c r="AA58" s="58">
        <v>6</v>
      </c>
      <c r="AB58" s="59">
        <v>5</v>
      </c>
      <c r="AC58" s="42">
        <v>0</v>
      </c>
    </row>
    <row r="59" spans="1:29" x14ac:dyDescent="0.25">
      <c r="A59" s="1">
        <f t="shared" ca="1" si="1"/>
        <v>14663</v>
      </c>
      <c r="B59" s="74">
        <v>7585</v>
      </c>
      <c r="C59" s="74">
        <v>7582</v>
      </c>
      <c r="D59" s="74">
        <v>7600</v>
      </c>
      <c r="E59" s="28">
        <v>265</v>
      </c>
      <c r="F59" s="29">
        <v>226</v>
      </c>
      <c r="G59" s="28">
        <v>277</v>
      </c>
      <c r="H59" s="30">
        <v>232</v>
      </c>
      <c r="I59" s="29">
        <v>269</v>
      </c>
      <c r="J59" s="29">
        <v>228</v>
      </c>
      <c r="K59" s="34">
        <f t="shared" si="0"/>
        <v>81.099999999999994</v>
      </c>
      <c r="L59" s="29">
        <v>295</v>
      </c>
      <c r="M59" s="30">
        <v>280</v>
      </c>
      <c r="N59" s="35">
        <v>186</v>
      </c>
      <c r="O59" s="36">
        <v>191</v>
      </c>
      <c r="P59" s="37">
        <v>188</v>
      </c>
      <c r="Q59" s="52">
        <v>72</v>
      </c>
      <c r="R59" s="55">
        <v>68</v>
      </c>
      <c r="S59" s="56">
        <v>71</v>
      </c>
      <c r="T59" s="40" t="s">
        <v>47</v>
      </c>
      <c r="U59" s="38">
        <v>4</v>
      </c>
      <c r="V59" s="41" t="s">
        <v>47</v>
      </c>
      <c r="W59" s="39">
        <v>5</v>
      </c>
      <c r="X59" s="40" t="s">
        <v>85</v>
      </c>
      <c r="Y59" s="39">
        <v>5</v>
      </c>
      <c r="Z59" s="57">
        <v>4</v>
      </c>
      <c r="AA59" s="58">
        <v>5</v>
      </c>
      <c r="AB59" s="59">
        <v>5</v>
      </c>
      <c r="AC59" s="42">
        <v>0</v>
      </c>
    </row>
    <row r="60" spans="1:29" x14ac:dyDescent="0.25">
      <c r="A60" s="1">
        <f t="shared" ca="1" si="1"/>
        <v>14664</v>
      </c>
      <c r="B60" s="74">
        <v>7610</v>
      </c>
      <c r="C60" s="74">
        <v>7605</v>
      </c>
      <c r="D60" s="74">
        <v>7607</v>
      </c>
      <c r="E60" s="28">
        <v>251</v>
      </c>
      <c r="F60" s="29">
        <v>226</v>
      </c>
      <c r="G60" s="28">
        <v>275</v>
      </c>
      <c r="H60" s="30">
        <v>228</v>
      </c>
      <c r="I60" s="29">
        <v>273</v>
      </c>
      <c r="J60" s="29">
        <v>228</v>
      </c>
      <c r="K60" s="34">
        <f t="shared" si="0"/>
        <v>79.900000000000006</v>
      </c>
      <c r="L60" s="29">
        <v>295</v>
      </c>
      <c r="M60" s="30">
        <v>280</v>
      </c>
      <c r="N60" s="35">
        <v>192</v>
      </c>
      <c r="O60" s="36">
        <v>185</v>
      </c>
      <c r="P60" s="37">
        <v>186</v>
      </c>
      <c r="Q60" s="52">
        <v>79</v>
      </c>
      <c r="R60" s="55">
        <v>67</v>
      </c>
      <c r="S60" s="56">
        <v>68</v>
      </c>
      <c r="T60" s="40" t="s">
        <v>47</v>
      </c>
      <c r="U60" s="38">
        <v>4</v>
      </c>
      <c r="V60" s="41" t="s">
        <v>47</v>
      </c>
      <c r="W60" s="39">
        <v>5</v>
      </c>
      <c r="X60" s="40" t="s">
        <v>85</v>
      </c>
      <c r="Y60" s="39">
        <v>5</v>
      </c>
      <c r="Z60" s="57">
        <v>3</v>
      </c>
      <c r="AA60" s="58">
        <v>3</v>
      </c>
      <c r="AB60" s="59">
        <v>3</v>
      </c>
      <c r="AC60" s="42">
        <v>0</v>
      </c>
    </row>
    <row r="61" spans="1:29" x14ac:dyDescent="0.25">
      <c r="A61" s="1">
        <f t="shared" ca="1" si="1"/>
        <v>14665</v>
      </c>
      <c r="B61" s="74">
        <v>7602</v>
      </c>
      <c r="C61" s="74">
        <v>7607</v>
      </c>
      <c r="D61" s="74">
        <v>7595</v>
      </c>
      <c r="E61" s="28">
        <v>255</v>
      </c>
      <c r="F61" s="29">
        <v>228</v>
      </c>
      <c r="G61" s="28">
        <v>275</v>
      </c>
      <c r="H61" s="30">
        <v>230</v>
      </c>
      <c r="I61" s="29">
        <v>273</v>
      </c>
      <c r="J61" s="29">
        <v>228</v>
      </c>
      <c r="K61" s="34">
        <f t="shared" si="0"/>
        <v>80.3</v>
      </c>
      <c r="L61" s="29">
        <v>290</v>
      </c>
      <c r="M61" s="30">
        <v>270</v>
      </c>
      <c r="N61" s="35">
        <v>195</v>
      </c>
      <c r="O61" s="36">
        <v>188</v>
      </c>
      <c r="P61" s="37">
        <v>186</v>
      </c>
      <c r="Q61" s="52">
        <v>79</v>
      </c>
      <c r="R61" s="55">
        <v>68</v>
      </c>
      <c r="S61" s="56">
        <v>68</v>
      </c>
      <c r="T61" s="40" t="s">
        <v>47</v>
      </c>
      <c r="U61" s="38">
        <v>4</v>
      </c>
      <c r="V61" s="41" t="s">
        <v>47</v>
      </c>
      <c r="W61" s="39">
        <v>5</v>
      </c>
      <c r="X61" s="40" t="s">
        <v>47</v>
      </c>
      <c r="Y61" s="39">
        <v>5</v>
      </c>
      <c r="Z61" s="57">
        <v>5</v>
      </c>
      <c r="AA61" s="58">
        <v>3</v>
      </c>
      <c r="AB61" s="59">
        <v>3</v>
      </c>
      <c r="AC61" s="42">
        <v>0</v>
      </c>
    </row>
    <row r="62" spans="1:29" x14ac:dyDescent="0.25">
      <c r="A62" s="1">
        <f t="shared" ca="1" si="1"/>
        <v>14666</v>
      </c>
      <c r="B62" s="74">
        <v>7612</v>
      </c>
      <c r="C62" s="74">
        <v>7607</v>
      </c>
      <c r="D62" s="74">
        <v>7607</v>
      </c>
      <c r="E62" s="28">
        <v>251</v>
      </c>
      <c r="F62" s="29">
        <v>228</v>
      </c>
      <c r="G62" s="28">
        <v>273</v>
      </c>
      <c r="H62" s="30">
        <v>230</v>
      </c>
      <c r="I62" s="29">
        <v>269</v>
      </c>
      <c r="J62" s="29">
        <v>228</v>
      </c>
      <c r="K62" s="34">
        <f t="shared" si="0"/>
        <v>79.3</v>
      </c>
      <c r="L62" s="29">
        <v>284</v>
      </c>
      <c r="M62" s="30">
        <v>260</v>
      </c>
      <c r="N62" s="35">
        <v>197</v>
      </c>
      <c r="O62" s="36">
        <v>189</v>
      </c>
      <c r="P62" s="37">
        <v>188</v>
      </c>
      <c r="Q62" s="52">
        <v>82</v>
      </c>
      <c r="R62" s="55">
        <v>69</v>
      </c>
      <c r="S62" s="56">
        <v>71</v>
      </c>
      <c r="T62" s="40" t="s">
        <v>47</v>
      </c>
      <c r="U62" s="38">
        <v>2</v>
      </c>
      <c r="V62" s="41" t="s">
        <v>47</v>
      </c>
      <c r="W62" s="39">
        <v>4</v>
      </c>
      <c r="X62" s="40" t="s">
        <v>47</v>
      </c>
      <c r="Y62" s="39">
        <v>5</v>
      </c>
      <c r="Z62" s="57">
        <v>4</v>
      </c>
      <c r="AA62" s="58">
        <v>3</v>
      </c>
      <c r="AB62" s="59">
        <v>3</v>
      </c>
      <c r="AC62" s="42">
        <v>0</v>
      </c>
    </row>
    <row r="63" spans="1:29" x14ac:dyDescent="0.25">
      <c r="A63" s="1">
        <f t="shared" ca="1" si="1"/>
        <v>14667</v>
      </c>
      <c r="B63" s="74">
        <v>7602</v>
      </c>
      <c r="C63" s="74">
        <v>7610</v>
      </c>
      <c r="D63" s="74">
        <v>7612</v>
      </c>
      <c r="E63" s="28">
        <v>250</v>
      </c>
      <c r="F63" s="29">
        <v>224</v>
      </c>
      <c r="G63" s="28">
        <v>295</v>
      </c>
      <c r="H63" s="30">
        <v>240</v>
      </c>
      <c r="I63" s="29">
        <v>291</v>
      </c>
      <c r="J63" s="29">
        <v>240</v>
      </c>
      <c r="K63" s="34"/>
      <c r="L63" s="29">
        <v>308</v>
      </c>
      <c r="M63" s="30">
        <v>258</v>
      </c>
      <c r="N63" s="35">
        <v>190</v>
      </c>
      <c r="O63" s="36">
        <v>196</v>
      </c>
      <c r="P63" s="37">
        <v>198</v>
      </c>
      <c r="Q63" s="52">
        <v>80</v>
      </c>
      <c r="R63" s="55">
        <v>63</v>
      </c>
      <c r="S63" s="56">
        <v>66</v>
      </c>
      <c r="T63" s="40" t="s">
        <v>46</v>
      </c>
      <c r="U63" s="38">
        <v>2</v>
      </c>
      <c r="V63" s="41" t="s">
        <v>47</v>
      </c>
      <c r="W63" s="39">
        <v>3</v>
      </c>
      <c r="X63" s="40" t="s">
        <v>89</v>
      </c>
      <c r="Y63" s="39">
        <v>1</v>
      </c>
      <c r="Z63" s="57">
        <v>8</v>
      </c>
      <c r="AA63" s="58">
        <v>5</v>
      </c>
      <c r="AB63" s="59">
        <v>8</v>
      </c>
      <c r="AC63" s="42">
        <v>0</v>
      </c>
    </row>
    <row r="64" spans="1:29" x14ac:dyDescent="0.25">
      <c r="A64" s="1">
        <f t="shared" ca="1" si="1"/>
        <v>14668</v>
      </c>
      <c r="B64" s="74">
        <v>7587</v>
      </c>
      <c r="C64" s="74">
        <v>7585</v>
      </c>
      <c r="D64" s="74">
        <v>7585</v>
      </c>
      <c r="E64" s="28">
        <v>259</v>
      </c>
      <c r="F64" s="29">
        <v>236</v>
      </c>
      <c r="G64" s="28">
        <v>275</v>
      </c>
      <c r="H64" s="30">
        <v>236</v>
      </c>
      <c r="I64" s="29">
        <v>273</v>
      </c>
      <c r="J64" s="29">
        <v>234</v>
      </c>
      <c r="K64" s="34">
        <f t="shared" si="0"/>
        <v>80.7</v>
      </c>
      <c r="L64" s="29">
        <v>298</v>
      </c>
      <c r="M64" s="30">
        <v>268</v>
      </c>
      <c r="N64" s="35">
        <v>207</v>
      </c>
      <c r="O64" s="36">
        <v>199</v>
      </c>
      <c r="P64" s="37">
        <v>196</v>
      </c>
      <c r="Q64" s="52">
        <v>82</v>
      </c>
      <c r="R64" s="55">
        <v>72</v>
      </c>
      <c r="S64" s="56">
        <v>72</v>
      </c>
      <c r="T64" s="40" t="s">
        <v>85</v>
      </c>
      <c r="U64" s="38">
        <v>3</v>
      </c>
      <c r="V64" s="41" t="s">
        <v>85</v>
      </c>
      <c r="W64" s="39">
        <v>4</v>
      </c>
      <c r="X64" s="40" t="s">
        <v>85</v>
      </c>
      <c r="Y64" s="39">
        <v>3</v>
      </c>
      <c r="Z64" s="57">
        <v>3</v>
      </c>
      <c r="AA64" s="58">
        <v>5</v>
      </c>
      <c r="AB64" s="59">
        <v>3</v>
      </c>
      <c r="AC64" s="42">
        <v>0</v>
      </c>
    </row>
    <row r="65" spans="1:29" x14ac:dyDescent="0.25">
      <c r="A65" s="1">
        <f t="shared" ca="1" si="1"/>
        <v>14669</v>
      </c>
      <c r="B65" s="74">
        <v>7597</v>
      </c>
      <c r="C65" s="74">
        <v>7589</v>
      </c>
      <c r="D65" s="74">
        <v>7582</v>
      </c>
      <c r="E65" s="28">
        <v>270</v>
      </c>
      <c r="F65" s="29">
        <v>230</v>
      </c>
      <c r="G65" s="28">
        <v>279</v>
      </c>
      <c r="H65" s="30">
        <v>231</v>
      </c>
      <c r="I65" s="29">
        <v>274</v>
      </c>
      <c r="J65" s="29">
        <v>228</v>
      </c>
      <c r="K65" s="34">
        <f t="shared" si="0"/>
        <v>82.3</v>
      </c>
      <c r="L65" s="29">
        <v>294</v>
      </c>
      <c r="M65" s="30">
        <v>284</v>
      </c>
      <c r="N65" s="35">
        <v>191</v>
      </c>
      <c r="O65" s="36">
        <v>188</v>
      </c>
      <c r="P65" s="37">
        <v>185</v>
      </c>
      <c r="Q65" s="52">
        <v>71</v>
      </c>
      <c r="R65" s="55">
        <v>67</v>
      </c>
      <c r="S65" s="56">
        <v>68</v>
      </c>
      <c r="T65" s="40" t="s">
        <v>85</v>
      </c>
      <c r="U65" s="38">
        <v>3</v>
      </c>
      <c r="V65" s="41" t="s">
        <v>85</v>
      </c>
      <c r="W65" s="39">
        <v>5</v>
      </c>
      <c r="X65" s="40" t="s">
        <v>85</v>
      </c>
      <c r="Y65" s="39">
        <v>4</v>
      </c>
      <c r="Z65" s="57">
        <v>5</v>
      </c>
      <c r="AA65" s="58">
        <v>5</v>
      </c>
      <c r="AB65" s="59">
        <v>2</v>
      </c>
      <c r="AC65" s="42">
        <v>0</v>
      </c>
    </row>
    <row r="66" spans="1:29" x14ac:dyDescent="0.25">
      <c r="A66" s="1">
        <f t="shared" ca="1" si="1"/>
        <v>14670</v>
      </c>
      <c r="B66" s="74">
        <v>7597</v>
      </c>
      <c r="C66" s="74">
        <v>7607</v>
      </c>
      <c r="D66" s="74">
        <v>7610</v>
      </c>
      <c r="E66" s="28">
        <v>265</v>
      </c>
      <c r="F66" s="29">
        <v>228</v>
      </c>
      <c r="G66" s="28">
        <v>269</v>
      </c>
      <c r="H66" s="30">
        <v>232</v>
      </c>
      <c r="I66" s="29">
        <v>261</v>
      </c>
      <c r="J66" s="29">
        <v>230</v>
      </c>
      <c r="K66" s="34">
        <f t="shared" si="0"/>
        <v>79.5</v>
      </c>
      <c r="L66" s="29">
        <v>290</v>
      </c>
      <c r="M66" s="30">
        <v>280</v>
      </c>
      <c r="N66" s="35">
        <v>190</v>
      </c>
      <c r="O66" s="36">
        <v>195</v>
      </c>
      <c r="P66" s="37">
        <v>195</v>
      </c>
      <c r="Q66" s="52">
        <v>73</v>
      </c>
      <c r="R66" s="55">
        <v>73</v>
      </c>
      <c r="S66" s="56">
        <v>77</v>
      </c>
      <c r="T66" s="40" t="s">
        <v>47</v>
      </c>
      <c r="U66" s="38">
        <v>4</v>
      </c>
      <c r="V66" s="41" t="s">
        <v>47</v>
      </c>
      <c r="W66" s="39">
        <v>5</v>
      </c>
      <c r="X66" s="40" t="s">
        <v>85</v>
      </c>
      <c r="Y66" s="39">
        <v>5</v>
      </c>
      <c r="Z66" s="57">
        <v>2</v>
      </c>
      <c r="AA66" s="58">
        <v>3</v>
      </c>
      <c r="AB66" s="59">
        <v>3</v>
      </c>
      <c r="AC66" s="42">
        <v>0</v>
      </c>
    </row>
    <row r="67" spans="1:29" x14ac:dyDescent="0.25">
      <c r="A67" s="1" t="str">
        <f t="shared" ca="1" si="1"/>
        <v>Totaal</v>
      </c>
      <c r="B67" s="75">
        <f>IF(COUNT(B38:B66)&gt;0,AVERAGE(B38:B66)/10,"")</f>
        <v>759.33448275862065</v>
      </c>
      <c r="C67" s="76">
        <f>IF(COUNT(C38:C66)&gt;0,AVERAGE(C38:C66)/10,"")</f>
        <v>759.63793103448279</v>
      </c>
      <c r="D67" s="77">
        <f>IF(COUNT(D38:D66)&gt;0,AVERAGE(D38:D66)/10,"")</f>
        <v>759.48275862068965</v>
      </c>
      <c r="E67" s="31">
        <f t="shared" ref="E67:J67" si="3">IF(COUNT(E38:E66)&gt;0,AVERAGE(E38:E66)/10,"")</f>
        <v>26.410344827586208</v>
      </c>
      <c r="F67" s="32">
        <f t="shared" si="3"/>
        <v>23.127586206896552</v>
      </c>
      <c r="G67" s="31">
        <f t="shared" si="3"/>
        <v>27.931034482758623</v>
      </c>
      <c r="H67" s="33">
        <f t="shared" si="3"/>
        <v>23.5</v>
      </c>
      <c r="I67" s="32">
        <f t="shared" si="3"/>
        <v>27.334482758620691</v>
      </c>
      <c r="J67" s="32">
        <f t="shared" si="3"/>
        <v>23.227586206896554</v>
      </c>
      <c r="K67" s="46">
        <f>IF(COUNT(K38:K66)&gt;0,SUM(K38:K66),"")</f>
        <v>2285.0000000000005</v>
      </c>
      <c r="L67" s="32">
        <f>IF(COUNT(L38:L66)&gt;0,AVERAGE(L38:L66)/10,"")</f>
        <v>29.81034482758621</v>
      </c>
      <c r="M67" s="32">
        <f>IF(COUNT(M38:M66)&gt;0,AVERAGE(M38:M66)/10,"")</f>
        <v>27.817241379310342</v>
      </c>
      <c r="N67" s="47">
        <f>IF(COUNT(N38:N66)&gt;0,AVERAGE(N38:N66)/10,"")</f>
        <v>19.596551724137932</v>
      </c>
      <c r="O67" s="48">
        <f>IF(COUNT(O38:O66)&gt;0,AVERAGE(O38:O66)/10,"")</f>
        <v>19.50344827586207</v>
      </c>
      <c r="P67" s="49">
        <f>IF(COUNT(P38:P66)&gt;0,AVERAGE(P38:P66)/10,"")</f>
        <v>19.324137931034482</v>
      </c>
      <c r="Q67" s="51">
        <f>IF(COUNT(Q38:Q66)&gt;0,AVERAGE(Q38:Q66),"")</f>
        <v>75.827586206896555</v>
      </c>
      <c r="R67" s="53">
        <f>IF(COUNT(R38:R66)&gt;0,AVERAGE(R38:R66),"")</f>
        <v>68.965517241379317</v>
      </c>
      <c r="S67" s="54">
        <f>IF(COUNT(S38:S66)&gt;0,AVERAGE(S38:S66),"")</f>
        <v>70.896551724137936</v>
      </c>
      <c r="T67" s="26"/>
      <c r="U67" s="50">
        <f>IF(COUNT(U38:U66)&gt;0,AVERAGE(U38:U66)/10,"")</f>
        <v>0.4</v>
      </c>
      <c r="V67" s="27"/>
      <c r="W67" s="50">
        <f>IF(COUNT(W38:W66)&gt;0,AVERAGE(W38:W66)/10,"")</f>
        <v>0.52758620689655167</v>
      </c>
      <c r="X67" s="26"/>
      <c r="Y67" s="50">
        <f>IF(COUNT(Y38:Y66)&gt;0,AVERAGE(Y38:Y66)/10,"")</f>
        <v>0.51724137931034486</v>
      </c>
      <c r="Z67" s="60">
        <f>IF(COUNT(Z38:Z66)&gt;0,AVERAGE(Z38:Z66),"")</f>
        <v>3.0344827586206895</v>
      </c>
      <c r="AA67" s="61">
        <f>IF(COUNT(AA38:AA66)&gt;0,AVERAGE(AA38:AA66),"")</f>
        <v>3</v>
      </c>
      <c r="AB67" s="62">
        <f>IF(COUNT(AB38:AB66)&gt;0,AVERAGE(AB38:AB66),"")</f>
        <v>3</v>
      </c>
      <c r="AC67" s="45">
        <f>SUM(AC38:AC66)/10</f>
        <v>1.5</v>
      </c>
    </row>
    <row r="68" spans="1:29" x14ac:dyDescent="0.25">
      <c r="A68" s="1">
        <f t="shared" ca="1" si="1"/>
        <v>14671</v>
      </c>
      <c r="B68" s="74">
        <v>7610</v>
      </c>
      <c r="C68" s="74">
        <v>7612</v>
      </c>
      <c r="D68" s="74">
        <v>7602</v>
      </c>
      <c r="E68" s="28">
        <v>260</v>
      </c>
      <c r="F68" s="29">
        <v>226</v>
      </c>
      <c r="G68" s="28">
        <v>269</v>
      </c>
      <c r="H68" s="30">
        <v>231</v>
      </c>
      <c r="I68" s="29">
        <v>265</v>
      </c>
      <c r="J68" s="29">
        <v>228</v>
      </c>
      <c r="K68" s="34">
        <f t="shared" si="0"/>
        <v>79.400000000000006</v>
      </c>
      <c r="L68" s="29">
        <v>286</v>
      </c>
      <c r="M68" s="30">
        <v>274</v>
      </c>
      <c r="N68" s="35">
        <v>189</v>
      </c>
      <c r="O68" s="36">
        <v>193</v>
      </c>
      <c r="P68" s="37">
        <v>190</v>
      </c>
      <c r="Q68" s="52">
        <v>75</v>
      </c>
      <c r="R68" s="55">
        <v>72</v>
      </c>
      <c r="S68" s="56">
        <v>73</v>
      </c>
      <c r="T68" s="40" t="s">
        <v>47</v>
      </c>
      <c r="U68" s="38">
        <v>3</v>
      </c>
      <c r="V68" s="41" t="s">
        <v>47</v>
      </c>
      <c r="W68" s="39">
        <v>4</v>
      </c>
      <c r="X68" s="40" t="s">
        <v>85</v>
      </c>
      <c r="Y68" s="39">
        <v>4</v>
      </c>
      <c r="Z68" s="57">
        <v>3</v>
      </c>
      <c r="AA68" s="58">
        <v>3</v>
      </c>
      <c r="AB68" s="59">
        <v>3</v>
      </c>
      <c r="AC68" s="42">
        <v>0</v>
      </c>
    </row>
    <row r="69" spans="1:29" x14ac:dyDescent="0.25">
      <c r="A69" s="1">
        <f t="shared" ca="1" si="1"/>
        <v>14672</v>
      </c>
      <c r="B69" s="74">
        <v>7610</v>
      </c>
      <c r="C69" s="74">
        <v>7595</v>
      </c>
      <c r="D69" s="74">
        <v>7595</v>
      </c>
      <c r="E69" s="28">
        <v>263</v>
      </c>
      <c r="F69" s="29">
        <v>226</v>
      </c>
      <c r="G69" s="28">
        <v>269</v>
      </c>
      <c r="H69" s="30">
        <v>230</v>
      </c>
      <c r="I69" s="29">
        <v>261</v>
      </c>
      <c r="J69" s="29">
        <v>228</v>
      </c>
      <c r="K69" s="34">
        <f t="shared" si="0"/>
        <v>79.3</v>
      </c>
      <c r="L69" s="29">
        <v>295</v>
      </c>
      <c r="M69" s="30">
        <v>278</v>
      </c>
      <c r="N69" s="35">
        <v>187</v>
      </c>
      <c r="O69" s="36">
        <v>191</v>
      </c>
      <c r="P69" s="37">
        <v>192</v>
      </c>
      <c r="Q69" s="52">
        <v>73</v>
      </c>
      <c r="R69" s="55">
        <v>72</v>
      </c>
      <c r="S69" s="56">
        <v>76</v>
      </c>
      <c r="T69" s="40" t="s">
        <v>89</v>
      </c>
      <c r="U69" s="38">
        <v>3</v>
      </c>
      <c r="V69" s="41" t="s">
        <v>89</v>
      </c>
      <c r="W69" s="39">
        <v>5</v>
      </c>
      <c r="X69" s="40" t="s">
        <v>89</v>
      </c>
      <c r="Y69" s="39">
        <v>5</v>
      </c>
      <c r="Z69" s="57">
        <v>2</v>
      </c>
      <c r="AA69" s="58">
        <v>2</v>
      </c>
      <c r="AB69" s="59">
        <v>1</v>
      </c>
      <c r="AC69" s="42">
        <v>0</v>
      </c>
    </row>
    <row r="70" spans="1:29" x14ac:dyDescent="0.25">
      <c r="A70" s="1">
        <f t="shared" ca="1" si="1"/>
        <v>14673</v>
      </c>
      <c r="B70" s="74">
        <v>7597</v>
      </c>
      <c r="C70" s="74">
        <v>7595</v>
      </c>
      <c r="D70" s="74">
        <v>7589</v>
      </c>
      <c r="E70" s="28">
        <v>263</v>
      </c>
      <c r="F70" s="29">
        <v>226</v>
      </c>
      <c r="G70" s="28">
        <v>269</v>
      </c>
      <c r="H70" s="30">
        <v>230</v>
      </c>
      <c r="I70" s="29">
        <v>259</v>
      </c>
      <c r="J70" s="29">
        <v>228</v>
      </c>
      <c r="K70" s="34">
        <f t="shared" si="0"/>
        <v>79.099999999999994</v>
      </c>
      <c r="L70" s="29">
        <v>286</v>
      </c>
      <c r="M70" s="30">
        <v>274</v>
      </c>
      <c r="N70" s="35">
        <v>187</v>
      </c>
      <c r="O70" s="36">
        <v>191</v>
      </c>
      <c r="P70" s="37">
        <v>193</v>
      </c>
      <c r="Q70" s="52">
        <v>73</v>
      </c>
      <c r="R70" s="55">
        <v>72</v>
      </c>
      <c r="S70" s="56">
        <v>77</v>
      </c>
      <c r="T70" s="40" t="s">
        <v>85</v>
      </c>
      <c r="U70" s="38">
        <v>3</v>
      </c>
      <c r="V70" s="41" t="s">
        <v>85</v>
      </c>
      <c r="W70" s="39">
        <v>4</v>
      </c>
      <c r="X70" s="40" t="s">
        <v>85</v>
      </c>
      <c r="Y70" s="39">
        <v>4</v>
      </c>
      <c r="Z70" s="57">
        <v>2</v>
      </c>
      <c r="AA70" s="58">
        <v>3</v>
      </c>
      <c r="AB70" s="59">
        <v>3</v>
      </c>
      <c r="AC70" s="42">
        <v>30</v>
      </c>
    </row>
    <row r="71" spans="1:29" x14ac:dyDescent="0.25">
      <c r="A71" s="1">
        <f t="shared" ca="1" si="1"/>
        <v>14674</v>
      </c>
      <c r="B71" s="74">
        <v>7585</v>
      </c>
      <c r="C71" s="74">
        <v>7595</v>
      </c>
      <c r="D71" s="74">
        <v>7595</v>
      </c>
      <c r="E71" s="28">
        <v>269</v>
      </c>
      <c r="F71" s="29">
        <v>228</v>
      </c>
      <c r="G71" s="28">
        <v>274</v>
      </c>
      <c r="H71" s="30">
        <v>230</v>
      </c>
      <c r="I71" s="29">
        <v>269</v>
      </c>
      <c r="J71" s="29">
        <v>228</v>
      </c>
      <c r="K71" s="34">
        <f t="shared" si="0"/>
        <v>81.2</v>
      </c>
      <c r="L71" s="29">
        <v>304</v>
      </c>
      <c r="M71" s="30">
        <v>291</v>
      </c>
      <c r="N71" s="35">
        <v>188</v>
      </c>
      <c r="O71" s="36">
        <v>189</v>
      </c>
      <c r="P71" s="37">
        <v>188</v>
      </c>
      <c r="Q71" s="52">
        <v>71</v>
      </c>
      <c r="R71" s="55">
        <v>69</v>
      </c>
      <c r="S71" s="56">
        <v>71</v>
      </c>
      <c r="T71" s="40" t="s">
        <v>85</v>
      </c>
      <c r="U71" s="38">
        <v>3</v>
      </c>
      <c r="V71" s="41" t="s">
        <v>85</v>
      </c>
      <c r="W71" s="39">
        <v>5</v>
      </c>
      <c r="X71" s="40" t="s">
        <v>85</v>
      </c>
      <c r="Y71" s="39">
        <v>4</v>
      </c>
      <c r="Z71" s="57">
        <v>2</v>
      </c>
      <c r="AA71" s="58">
        <v>1</v>
      </c>
      <c r="AB71" s="59">
        <v>1</v>
      </c>
      <c r="AC71" s="42">
        <v>15</v>
      </c>
    </row>
    <row r="72" spans="1:29" x14ac:dyDescent="0.25">
      <c r="A72" s="1">
        <f t="shared" ref="A72:A135" ca="1" si="4">IF(ISTEXT(A71),A70+1,IF(MONTH(A71+1)=MONTH(A71),A71+1,"Totaal"))</f>
        <v>14675</v>
      </c>
      <c r="B72" s="74">
        <v>7585</v>
      </c>
      <c r="C72" s="74">
        <v>7589</v>
      </c>
      <c r="D72" s="74">
        <v>7582</v>
      </c>
      <c r="E72" s="28">
        <v>263</v>
      </c>
      <c r="F72" s="29">
        <v>228</v>
      </c>
      <c r="G72" s="28">
        <v>269</v>
      </c>
      <c r="H72" s="30">
        <v>230</v>
      </c>
      <c r="I72" s="29">
        <v>269</v>
      </c>
      <c r="J72" s="29">
        <v>228</v>
      </c>
      <c r="K72" s="34">
        <f t="shared" ref="K72:K98" si="5">IF(COUNT(E72,G72,I72)&gt;0,SUM(E72,G72,I72)/10,"")</f>
        <v>80.099999999999994</v>
      </c>
      <c r="L72" s="29">
        <v>284</v>
      </c>
      <c r="M72" s="30">
        <v>274</v>
      </c>
      <c r="N72" s="35">
        <v>191</v>
      </c>
      <c r="O72" s="36">
        <v>191</v>
      </c>
      <c r="P72" s="37">
        <v>188</v>
      </c>
      <c r="Q72" s="52">
        <v>74</v>
      </c>
      <c r="R72" s="55">
        <v>72</v>
      </c>
      <c r="S72" s="56">
        <v>71</v>
      </c>
      <c r="T72" s="40" t="s">
        <v>47</v>
      </c>
      <c r="U72" s="38">
        <v>3</v>
      </c>
      <c r="V72" s="41" t="s">
        <v>47</v>
      </c>
      <c r="W72" s="39">
        <v>4</v>
      </c>
      <c r="X72" s="40" t="s">
        <v>85</v>
      </c>
      <c r="Y72" s="39">
        <v>4</v>
      </c>
      <c r="Z72" s="57">
        <v>4</v>
      </c>
      <c r="AA72" s="58">
        <v>4</v>
      </c>
      <c r="AB72" s="59">
        <v>4</v>
      </c>
      <c r="AC72" s="42">
        <v>0</v>
      </c>
    </row>
    <row r="73" spans="1:29" x14ac:dyDescent="0.25">
      <c r="A73" s="1">
        <f t="shared" ca="1" si="4"/>
        <v>14676</v>
      </c>
      <c r="B73" s="74">
        <v>7585</v>
      </c>
      <c r="C73" s="74">
        <v>7569</v>
      </c>
      <c r="D73" s="74">
        <v>7572</v>
      </c>
      <c r="E73" s="28">
        <v>282</v>
      </c>
      <c r="F73" s="29">
        <v>228</v>
      </c>
      <c r="G73" s="28">
        <v>293</v>
      </c>
      <c r="H73" s="30">
        <v>238</v>
      </c>
      <c r="I73" s="29">
        <v>289</v>
      </c>
      <c r="J73" s="29">
        <v>234</v>
      </c>
      <c r="K73" s="34">
        <f t="shared" si="5"/>
        <v>86.4</v>
      </c>
      <c r="L73" s="29">
        <v>308</v>
      </c>
      <c r="M73" s="30">
        <v>293</v>
      </c>
      <c r="N73" s="35">
        <v>181</v>
      </c>
      <c r="O73" s="36">
        <v>194</v>
      </c>
      <c r="P73" s="37">
        <v>188</v>
      </c>
      <c r="Q73" s="52">
        <v>63</v>
      </c>
      <c r="R73" s="55">
        <v>63</v>
      </c>
      <c r="S73" s="56">
        <v>63</v>
      </c>
      <c r="T73" s="40" t="s">
        <v>47</v>
      </c>
      <c r="U73" s="38">
        <v>3</v>
      </c>
      <c r="V73" s="41" t="s">
        <v>85</v>
      </c>
      <c r="W73" s="39">
        <v>2</v>
      </c>
      <c r="X73" s="40" t="s">
        <v>89</v>
      </c>
      <c r="Y73" s="39">
        <v>5</v>
      </c>
      <c r="Z73" s="57">
        <v>3</v>
      </c>
      <c r="AA73" s="58">
        <v>2</v>
      </c>
      <c r="AB73" s="59">
        <v>2</v>
      </c>
      <c r="AC73" s="42">
        <v>0</v>
      </c>
    </row>
    <row r="74" spans="1:29" x14ac:dyDescent="0.25">
      <c r="A74" s="1">
        <f t="shared" ca="1" si="4"/>
        <v>14677</v>
      </c>
      <c r="B74" s="74">
        <v>7569</v>
      </c>
      <c r="C74" s="74">
        <v>7579</v>
      </c>
      <c r="D74" s="74">
        <v>7577</v>
      </c>
      <c r="E74" s="28">
        <v>260</v>
      </c>
      <c r="F74" s="29">
        <v>236</v>
      </c>
      <c r="G74" s="28">
        <v>267</v>
      </c>
      <c r="H74" s="30">
        <v>246</v>
      </c>
      <c r="I74" s="29">
        <v>266</v>
      </c>
      <c r="J74" s="29">
        <v>238</v>
      </c>
      <c r="K74" s="34">
        <f t="shared" si="5"/>
        <v>79.3</v>
      </c>
      <c r="L74" s="29">
        <v>293</v>
      </c>
      <c r="M74" s="30">
        <v>278</v>
      </c>
      <c r="N74" s="35">
        <v>206</v>
      </c>
      <c r="O74" s="36">
        <v>222</v>
      </c>
      <c r="P74" s="37">
        <v>207</v>
      </c>
      <c r="Q74" s="52">
        <v>82</v>
      </c>
      <c r="R74" s="55">
        <v>84</v>
      </c>
      <c r="S74" s="56">
        <v>79</v>
      </c>
      <c r="T74" s="40" t="s">
        <v>47</v>
      </c>
      <c r="U74" s="38">
        <v>3</v>
      </c>
      <c r="V74" s="41" t="s">
        <v>85</v>
      </c>
      <c r="W74" s="39">
        <v>3</v>
      </c>
      <c r="X74" s="40" t="s">
        <v>89</v>
      </c>
      <c r="Y74" s="39">
        <v>5</v>
      </c>
      <c r="Z74" s="57">
        <v>4</v>
      </c>
      <c r="AA74" s="58">
        <v>3</v>
      </c>
      <c r="AB74" s="59">
        <v>4</v>
      </c>
      <c r="AC74" s="42">
        <v>0</v>
      </c>
    </row>
    <row r="75" spans="1:29" x14ac:dyDescent="0.25">
      <c r="A75" s="1">
        <f t="shared" ca="1" si="4"/>
        <v>14678</v>
      </c>
      <c r="B75" s="74">
        <v>7557</v>
      </c>
      <c r="C75" s="74">
        <v>7557</v>
      </c>
      <c r="D75" s="74">
        <v>7557</v>
      </c>
      <c r="E75" s="28">
        <v>260</v>
      </c>
      <c r="F75" s="29">
        <v>225</v>
      </c>
      <c r="G75" s="28">
        <v>267</v>
      </c>
      <c r="H75" s="30">
        <v>238</v>
      </c>
      <c r="I75" s="29">
        <v>265</v>
      </c>
      <c r="J75" s="29">
        <v>236</v>
      </c>
      <c r="K75" s="34">
        <f t="shared" si="5"/>
        <v>79.2</v>
      </c>
      <c r="L75" s="29">
        <v>285</v>
      </c>
      <c r="M75" s="30">
        <v>274</v>
      </c>
      <c r="N75" s="35">
        <v>187</v>
      </c>
      <c r="O75" s="36">
        <v>207</v>
      </c>
      <c r="P75" s="37">
        <v>204</v>
      </c>
      <c r="Q75" s="52">
        <v>74</v>
      </c>
      <c r="R75" s="55">
        <v>79</v>
      </c>
      <c r="S75" s="56">
        <v>78</v>
      </c>
      <c r="T75" s="40" t="s">
        <v>85</v>
      </c>
      <c r="U75" s="38">
        <v>1</v>
      </c>
      <c r="V75" s="41" t="s">
        <v>83</v>
      </c>
      <c r="W75" s="39">
        <v>1</v>
      </c>
      <c r="X75" s="40" t="s">
        <v>57</v>
      </c>
      <c r="Y75" s="39">
        <v>1</v>
      </c>
      <c r="Z75" s="57">
        <v>7</v>
      </c>
      <c r="AA75" s="58">
        <v>8</v>
      </c>
      <c r="AB75" s="59">
        <v>7</v>
      </c>
      <c r="AC75" s="42">
        <v>0</v>
      </c>
    </row>
    <row r="76" spans="1:29" x14ac:dyDescent="0.25">
      <c r="A76" s="1">
        <f t="shared" ca="1" si="4"/>
        <v>14679</v>
      </c>
      <c r="B76" s="74">
        <v>7577</v>
      </c>
      <c r="C76" s="74">
        <v>7572</v>
      </c>
      <c r="D76" s="74">
        <v>7572</v>
      </c>
      <c r="E76" s="28">
        <v>253</v>
      </c>
      <c r="F76" s="29">
        <v>228</v>
      </c>
      <c r="G76" s="28">
        <v>263</v>
      </c>
      <c r="H76" s="30">
        <v>234</v>
      </c>
      <c r="I76" s="29">
        <v>261</v>
      </c>
      <c r="J76" s="29">
        <v>232</v>
      </c>
      <c r="K76" s="34">
        <f t="shared" si="5"/>
        <v>77.7</v>
      </c>
      <c r="L76" s="29">
        <v>285</v>
      </c>
      <c r="M76" s="30">
        <v>270</v>
      </c>
      <c r="N76" s="35">
        <v>196</v>
      </c>
      <c r="O76" s="36">
        <v>201</v>
      </c>
      <c r="P76" s="37">
        <v>199</v>
      </c>
      <c r="Q76" s="52">
        <v>81</v>
      </c>
      <c r="R76" s="55">
        <v>78</v>
      </c>
      <c r="S76" s="56">
        <v>78</v>
      </c>
      <c r="T76" s="40" t="s">
        <v>57</v>
      </c>
      <c r="U76" s="38">
        <v>1</v>
      </c>
      <c r="V76" s="41" t="s">
        <v>57</v>
      </c>
      <c r="W76" s="39">
        <v>1</v>
      </c>
      <c r="X76" s="40" t="s">
        <v>57</v>
      </c>
      <c r="Y76" s="39">
        <v>1</v>
      </c>
      <c r="Z76" s="57">
        <v>10</v>
      </c>
      <c r="AA76" s="58">
        <v>9</v>
      </c>
      <c r="AB76" s="59">
        <v>9</v>
      </c>
      <c r="AC76" s="42">
        <v>0</v>
      </c>
    </row>
    <row r="77" spans="1:29" x14ac:dyDescent="0.25">
      <c r="A77" s="1">
        <f t="shared" ca="1" si="4"/>
        <v>14680</v>
      </c>
      <c r="B77" s="74">
        <v>7585</v>
      </c>
      <c r="C77" s="74">
        <v>7582</v>
      </c>
      <c r="D77" s="74">
        <v>7579</v>
      </c>
      <c r="E77" s="28">
        <v>265</v>
      </c>
      <c r="F77" s="29">
        <v>240</v>
      </c>
      <c r="G77" s="28">
        <v>265</v>
      </c>
      <c r="H77" s="30">
        <v>244</v>
      </c>
      <c r="I77" s="29">
        <v>261</v>
      </c>
      <c r="J77" s="29">
        <v>238</v>
      </c>
      <c r="K77" s="34">
        <f t="shared" si="5"/>
        <v>79.099999999999994</v>
      </c>
      <c r="L77" s="29">
        <v>287</v>
      </c>
      <c r="M77" s="30">
        <v>274</v>
      </c>
      <c r="N77" s="35">
        <v>211</v>
      </c>
      <c r="O77" s="36">
        <v>219</v>
      </c>
      <c r="P77" s="37">
        <v>210</v>
      </c>
      <c r="Q77" s="52">
        <v>81</v>
      </c>
      <c r="R77" s="55">
        <v>84</v>
      </c>
      <c r="S77" s="56">
        <v>83</v>
      </c>
      <c r="T77" s="40" t="s">
        <v>89</v>
      </c>
      <c r="U77" s="38">
        <v>1</v>
      </c>
      <c r="V77" s="41" t="s">
        <v>89</v>
      </c>
      <c r="W77" s="39">
        <v>1</v>
      </c>
      <c r="X77" s="40" t="s">
        <v>89</v>
      </c>
      <c r="Y77" s="39">
        <v>1</v>
      </c>
      <c r="Z77" s="57">
        <v>6</v>
      </c>
      <c r="AA77" s="58">
        <v>5</v>
      </c>
      <c r="AB77" s="59">
        <v>5</v>
      </c>
      <c r="AC77" s="42">
        <v>0</v>
      </c>
    </row>
    <row r="78" spans="1:29" x14ac:dyDescent="0.25">
      <c r="A78" s="1">
        <f t="shared" ca="1" si="4"/>
        <v>14681</v>
      </c>
      <c r="B78" s="74">
        <v>7587</v>
      </c>
      <c r="C78" s="74">
        <v>7582</v>
      </c>
      <c r="D78" s="74">
        <v>7582</v>
      </c>
      <c r="E78" s="28">
        <v>269</v>
      </c>
      <c r="F78" s="29">
        <v>238</v>
      </c>
      <c r="G78" s="28">
        <v>273</v>
      </c>
      <c r="H78" s="30">
        <v>234</v>
      </c>
      <c r="I78" s="29">
        <v>270</v>
      </c>
      <c r="J78" s="29">
        <v>232</v>
      </c>
      <c r="K78" s="34">
        <f t="shared" si="5"/>
        <v>81.2</v>
      </c>
      <c r="L78" s="29">
        <v>294</v>
      </c>
      <c r="M78" s="30">
        <v>278</v>
      </c>
      <c r="N78" s="35">
        <v>206</v>
      </c>
      <c r="O78" s="36">
        <v>196</v>
      </c>
      <c r="P78" s="37">
        <v>194</v>
      </c>
      <c r="Q78" s="52">
        <v>77</v>
      </c>
      <c r="R78" s="55">
        <v>72</v>
      </c>
      <c r="S78" s="56">
        <v>73</v>
      </c>
      <c r="T78" s="40" t="s">
        <v>47</v>
      </c>
      <c r="U78" s="38">
        <v>3</v>
      </c>
      <c r="V78" s="41" t="s">
        <v>47</v>
      </c>
      <c r="W78" s="39">
        <v>4</v>
      </c>
      <c r="X78" s="40" t="s">
        <v>85</v>
      </c>
      <c r="Y78" s="39">
        <v>4</v>
      </c>
      <c r="Z78" s="57">
        <v>3</v>
      </c>
      <c r="AA78" s="58">
        <v>4</v>
      </c>
      <c r="AB78" s="59">
        <v>3</v>
      </c>
      <c r="AC78" s="42">
        <v>0</v>
      </c>
    </row>
    <row r="79" spans="1:29" x14ac:dyDescent="0.25">
      <c r="A79" s="1">
        <f t="shared" ca="1" si="4"/>
        <v>14682</v>
      </c>
      <c r="B79" s="74">
        <v>7587</v>
      </c>
      <c r="C79" s="74">
        <v>7592</v>
      </c>
      <c r="D79" s="74">
        <v>7585</v>
      </c>
      <c r="E79" s="28">
        <v>280</v>
      </c>
      <c r="F79" s="29">
        <v>231</v>
      </c>
      <c r="G79" s="28">
        <v>285</v>
      </c>
      <c r="H79" s="30">
        <v>234</v>
      </c>
      <c r="I79" s="29">
        <v>279</v>
      </c>
      <c r="J79" s="29">
        <v>232</v>
      </c>
      <c r="K79" s="34">
        <f t="shared" si="5"/>
        <v>84.4</v>
      </c>
      <c r="L79" s="29">
        <v>308</v>
      </c>
      <c r="M79" s="30">
        <v>296</v>
      </c>
      <c r="N79" s="35">
        <v>188</v>
      </c>
      <c r="O79" s="36">
        <v>190</v>
      </c>
      <c r="P79" s="37">
        <v>190</v>
      </c>
      <c r="Q79" s="52">
        <v>66</v>
      </c>
      <c r="R79" s="55">
        <v>65</v>
      </c>
      <c r="S79" s="56">
        <v>67</v>
      </c>
      <c r="T79" s="40" t="s">
        <v>47</v>
      </c>
      <c r="U79" s="38">
        <v>3</v>
      </c>
      <c r="V79" s="41" t="s">
        <v>85</v>
      </c>
      <c r="W79" s="39">
        <v>4</v>
      </c>
      <c r="X79" s="40" t="s">
        <v>85</v>
      </c>
      <c r="Y79" s="39">
        <v>5</v>
      </c>
      <c r="Z79" s="57">
        <v>2</v>
      </c>
      <c r="AA79" s="58">
        <v>3</v>
      </c>
      <c r="AB79" s="59">
        <v>3</v>
      </c>
      <c r="AC79" s="42">
        <v>0</v>
      </c>
    </row>
    <row r="80" spans="1:29" x14ac:dyDescent="0.25">
      <c r="A80" s="1">
        <f t="shared" ca="1" si="4"/>
        <v>14683</v>
      </c>
      <c r="B80" s="74">
        <v>7597</v>
      </c>
      <c r="C80" s="74">
        <v>7592</v>
      </c>
      <c r="D80" s="74">
        <v>7582</v>
      </c>
      <c r="E80" s="28">
        <v>261</v>
      </c>
      <c r="F80" s="29">
        <v>236</v>
      </c>
      <c r="G80" s="28">
        <v>274</v>
      </c>
      <c r="H80" s="30">
        <v>238</v>
      </c>
      <c r="I80" s="29">
        <v>274</v>
      </c>
      <c r="J80" s="29">
        <v>236</v>
      </c>
      <c r="K80" s="34">
        <f t="shared" si="5"/>
        <v>80.900000000000006</v>
      </c>
      <c r="L80" s="29">
        <v>310</v>
      </c>
      <c r="M80" s="30">
        <v>274</v>
      </c>
      <c r="N80" s="35">
        <v>206</v>
      </c>
      <c r="O80" s="36">
        <v>203</v>
      </c>
      <c r="P80" s="37">
        <v>199</v>
      </c>
      <c r="Q80" s="52">
        <v>81</v>
      </c>
      <c r="R80" s="55">
        <v>74</v>
      </c>
      <c r="S80" s="56">
        <v>73</v>
      </c>
      <c r="T80" s="40" t="s">
        <v>85</v>
      </c>
      <c r="U80" s="38">
        <v>4</v>
      </c>
      <c r="V80" s="41" t="s">
        <v>85</v>
      </c>
      <c r="W80" s="39">
        <v>5</v>
      </c>
      <c r="X80" s="40" t="s">
        <v>85</v>
      </c>
      <c r="Y80" s="39">
        <v>5</v>
      </c>
      <c r="Z80" s="57">
        <v>2</v>
      </c>
      <c r="AA80" s="58">
        <v>3</v>
      </c>
      <c r="AB80" s="59">
        <v>4</v>
      </c>
      <c r="AC80" s="42">
        <v>0</v>
      </c>
    </row>
    <row r="81" spans="1:29" x14ac:dyDescent="0.25">
      <c r="A81" s="1">
        <f t="shared" ca="1" si="4"/>
        <v>14684</v>
      </c>
      <c r="B81" s="74">
        <v>7600</v>
      </c>
      <c r="C81" s="74">
        <v>7597</v>
      </c>
      <c r="D81" s="74">
        <v>7595</v>
      </c>
      <c r="E81" s="28">
        <v>261</v>
      </c>
      <c r="F81" s="29">
        <v>230</v>
      </c>
      <c r="G81" s="28">
        <v>274</v>
      </c>
      <c r="H81" s="30">
        <v>236</v>
      </c>
      <c r="I81" s="29">
        <v>269</v>
      </c>
      <c r="J81" s="29">
        <v>230</v>
      </c>
      <c r="K81" s="34">
        <f t="shared" si="5"/>
        <v>80.400000000000006</v>
      </c>
      <c r="L81" s="29">
        <v>306</v>
      </c>
      <c r="M81" s="30">
        <v>280</v>
      </c>
      <c r="N81" s="35">
        <v>195</v>
      </c>
      <c r="O81" s="36">
        <v>199</v>
      </c>
      <c r="P81" s="37">
        <v>191</v>
      </c>
      <c r="Q81" s="52">
        <v>77</v>
      </c>
      <c r="R81" s="55">
        <v>73</v>
      </c>
      <c r="S81" s="56">
        <v>72</v>
      </c>
      <c r="T81" s="40" t="s">
        <v>47</v>
      </c>
      <c r="U81" s="38">
        <v>3</v>
      </c>
      <c r="V81" s="41" t="s">
        <v>85</v>
      </c>
      <c r="W81" s="39">
        <v>5</v>
      </c>
      <c r="X81" s="40" t="s">
        <v>85</v>
      </c>
      <c r="Y81" s="39">
        <v>5</v>
      </c>
      <c r="Z81" s="57">
        <v>3</v>
      </c>
      <c r="AA81" s="58">
        <v>3</v>
      </c>
      <c r="AB81" s="59">
        <v>2</v>
      </c>
      <c r="AC81" s="42">
        <v>0</v>
      </c>
    </row>
    <row r="82" spans="1:29" x14ac:dyDescent="0.25">
      <c r="A82" s="1">
        <f t="shared" ca="1" si="4"/>
        <v>14685</v>
      </c>
      <c r="B82" s="74">
        <v>7595</v>
      </c>
      <c r="C82" s="74">
        <v>7595</v>
      </c>
      <c r="D82" s="74">
        <v>7592</v>
      </c>
      <c r="E82" s="28">
        <v>259</v>
      </c>
      <c r="F82" s="29">
        <v>228</v>
      </c>
      <c r="G82" s="28">
        <v>280</v>
      </c>
      <c r="H82" s="30">
        <v>236</v>
      </c>
      <c r="I82" s="29">
        <v>273</v>
      </c>
      <c r="J82" s="29">
        <v>235</v>
      </c>
      <c r="K82" s="34">
        <f t="shared" si="5"/>
        <v>81.2</v>
      </c>
      <c r="L82" s="29">
        <v>306</v>
      </c>
      <c r="M82" s="30">
        <v>291</v>
      </c>
      <c r="N82" s="35">
        <v>193</v>
      </c>
      <c r="O82" s="36">
        <v>196</v>
      </c>
      <c r="P82" s="37">
        <v>198</v>
      </c>
      <c r="Q82" s="52">
        <v>77</v>
      </c>
      <c r="R82" s="55">
        <v>69</v>
      </c>
      <c r="S82" s="56">
        <v>73</v>
      </c>
      <c r="T82" s="40" t="s">
        <v>85</v>
      </c>
      <c r="U82" s="38">
        <v>4</v>
      </c>
      <c r="V82" s="41" t="s">
        <v>85</v>
      </c>
      <c r="W82" s="39">
        <v>6</v>
      </c>
      <c r="X82" s="40" t="s">
        <v>85</v>
      </c>
      <c r="Y82" s="39">
        <v>6</v>
      </c>
      <c r="Z82" s="57">
        <v>3</v>
      </c>
      <c r="AA82" s="58">
        <v>3</v>
      </c>
      <c r="AB82" s="59">
        <v>4</v>
      </c>
      <c r="AC82" s="42">
        <v>0</v>
      </c>
    </row>
    <row r="83" spans="1:29" x14ac:dyDescent="0.25">
      <c r="A83" s="1">
        <f t="shared" ca="1" si="4"/>
        <v>14686</v>
      </c>
      <c r="B83" s="74">
        <v>7589</v>
      </c>
      <c r="C83" s="74">
        <v>7597</v>
      </c>
      <c r="D83" s="74">
        <v>7597</v>
      </c>
      <c r="E83" s="28">
        <v>261</v>
      </c>
      <c r="F83" s="29">
        <v>229</v>
      </c>
      <c r="G83" s="28">
        <v>289</v>
      </c>
      <c r="H83" s="30">
        <v>234</v>
      </c>
      <c r="I83" s="29">
        <v>283</v>
      </c>
      <c r="J83" s="29">
        <v>230</v>
      </c>
      <c r="K83" s="34">
        <f t="shared" si="5"/>
        <v>83.3</v>
      </c>
      <c r="L83" s="29">
        <v>316</v>
      </c>
      <c r="M83" s="30">
        <v>268</v>
      </c>
      <c r="N83" s="35">
        <v>194</v>
      </c>
      <c r="O83" s="36">
        <v>188</v>
      </c>
      <c r="P83" s="37">
        <v>184</v>
      </c>
      <c r="Q83" s="52">
        <v>76</v>
      </c>
      <c r="R83" s="55">
        <v>63</v>
      </c>
      <c r="S83" s="56">
        <v>64</v>
      </c>
      <c r="T83" s="40" t="s">
        <v>85</v>
      </c>
      <c r="U83" s="38">
        <v>4</v>
      </c>
      <c r="V83" s="41" t="s">
        <v>85</v>
      </c>
      <c r="W83" s="39">
        <v>6</v>
      </c>
      <c r="X83" s="40" t="s">
        <v>85</v>
      </c>
      <c r="Y83" s="39">
        <v>5</v>
      </c>
      <c r="Z83" s="57">
        <v>2</v>
      </c>
      <c r="AA83" s="58">
        <v>3</v>
      </c>
      <c r="AB83" s="59">
        <v>3</v>
      </c>
      <c r="AC83" s="42">
        <v>0</v>
      </c>
    </row>
    <row r="84" spans="1:29" x14ac:dyDescent="0.25">
      <c r="A84" s="1">
        <f t="shared" ca="1" si="4"/>
        <v>14687</v>
      </c>
      <c r="B84" s="74">
        <v>7595</v>
      </c>
      <c r="C84" s="74">
        <v>7595</v>
      </c>
      <c r="D84" s="74">
        <v>7592</v>
      </c>
      <c r="E84" s="28">
        <v>269</v>
      </c>
      <c r="F84" s="29">
        <v>232</v>
      </c>
      <c r="G84" s="28">
        <v>289</v>
      </c>
      <c r="H84" s="30">
        <v>236</v>
      </c>
      <c r="I84" s="29">
        <v>285</v>
      </c>
      <c r="J84" s="29">
        <v>235</v>
      </c>
      <c r="K84" s="34">
        <f t="shared" si="5"/>
        <v>84.3</v>
      </c>
      <c r="L84" s="29">
        <v>315</v>
      </c>
      <c r="M84" s="30">
        <v>275</v>
      </c>
      <c r="N84" s="35">
        <v>195</v>
      </c>
      <c r="O84" s="36">
        <v>192</v>
      </c>
      <c r="P84" s="37">
        <v>192</v>
      </c>
      <c r="Q84" s="52">
        <v>73</v>
      </c>
      <c r="R84" s="55">
        <v>64</v>
      </c>
      <c r="S84" s="56">
        <v>66</v>
      </c>
      <c r="T84" s="40" t="s">
        <v>47</v>
      </c>
      <c r="U84" s="38">
        <v>4</v>
      </c>
      <c r="V84" s="41" t="s">
        <v>47</v>
      </c>
      <c r="W84" s="39">
        <v>6</v>
      </c>
      <c r="X84" s="40" t="s">
        <v>85</v>
      </c>
      <c r="Y84" s="39">
        <v>6</v>
      </c>
      <c r="Z84" s="57">
        <v>3</v>
      </c>
      <c r="AA84" s="58">
        <v>4</v>
      </c>
      <c r="AB84" s="59">
        <v>4</v>
      </c>
      <c r="AC84" s="42">
        <v>0</v>
      </c>
    </row>
    <row r="85" spans="1:29" x14ac:dyDescent="0.25">
      <c r="A85" s="1">
        <f t="shared" ca="1" si="4"/>
        <v>14688</v>
      </c>
      <c r="B85" s="74">
        <v>7589</v>
      </c>
      <c r="C85" s="74">
        <v>7595</v>
      </c>
      <c r="D85" s="74">
        <v>7587</v>
      </c>
      <c r="E85" s="28">
        <v>261</v>
      </c>
      <c r="F85" s="29">
        <v>229</v>
      </c>
      <c r="G85" s="28">
        <v>290</v>
      </c>
      <c r="H85" s="30">
        <v>234</v>
      </c>
      <c r="I85" s="29">
        <v>284</v>
      </c>
      <c r="J85" s="29">
        <v>231</v>
      </c>
      <c r="K85" s="34">
        <f t="shared" si="5"/>
        <v>83.5</v>
      </c>
      <c r="L85" s="29">
        <v>298</v>
      </c>
      <c r="M85" s="30">
        <v>278</v>
      </c>
      <c r="N85" s="35">
        <v>194</v>
      </c>
      <c r="O85" s="36">
        <v>188</v>
      </c>
      <c r="P85" s="37">
        <v>186</v>
      </c>
      <c r="Q85" s="52">
        <v>76</v>
      </c>
      <c r="R85" s="55">
        <v>62</v>
      </c>
      <c r="S85" s="56">
        <v>64</v>
      </c>
      <c r="T85" s="40" t="s">
        <v>47</v>
      </c>
      <c r="U85" s="38">
        <v>5</v>
      </c>
      <c r="V85" s="41" t="s">
        <v>47</v>
      </c>
      <c r="W85" s="39">
        <v>6</v>
      </c>
      <c r="X85" s="40" t="s">
        <v>47</v>
      </c>
      <c r="Y85" s="39">
        <v>6</v>
      </c>
      <c r="Z85" s="57">
        <v>2</v>
      </c>
      <c r="AA85" s="58">
        <v>2</v>
      </c>
      <c r="AB85" s="59">
        <v>2</v>
      </c>
      <c r="AC85" s="42">
        <v>0</v>
      </c>
    </row>
    <row r="86" spans="1:29" x14ac:dyDescent="0.25">
      <c r="A86" s="1">
        <f t="shared" ca="1" si="4"/>
        <v>14689</v>
      </c>
      <c r="B86" s="74">
        <v>7597</v>
      </c>
      <c r="C86" s="74">
        <v>7579</v>
      </c>
      <c r="D86" s="74">
        <v>7562</v>
      </c>
      <c r="E86" s="28">
        <v>269</v>
      </c>
      <c r="F86" s="29">
        <v>230</v>
      </c>
      <c r="G86" s="28">
        <v>285</v>
      </c>
      <c r="H86" s="30">
        <v>232</v>
      </c>
      <c r="I86" s="29">
        <v>280</v>
      </c>
      <c r="J86" s="29">
        <v>229</v>
      </c>
      <c r="K86" s="34">
        <f t="shared" si="5"/>
        <v>83.4</v>
      </c>
      <c r="L86" s="29">
        <v>310</v>
      </c>
      <c r="M86" s="30">
        <v>280</v>
      </c>
      <c r="N86" s="35">
        <v>191</v>
      </c>
      <c r="O86" s="36">
        <v>187</v>
      </c>
      <c r="P86" s="37">
        <v>184</v>
      </c>
      <c r="Q86" s="52">
        <v>72</v>
      </c>
      <c r="R86" s="55">
        <v>64</v>
      </c>
      <c r="S86" s="56">
        <v>65</v>
      </c>
      <c r="T86" s="40" t="s">
        <v>85</v>
      </c>
      <c r="U86" s="38">
        <v>5</v>
      </c>
      <c r="V86" s="41" t="s">
        <v>85</v>
      </c>
      <c r="W86" s="39">
        <v>6</v>
      </c>
      <c r="X86" s="40" t="s">
        <v>85</v>
      </c>
      <c r="Y86" s="39">
        <v>6</v>
      </c>
      <c r="Z86" s="57">
        <v>1</v>
      </c>
      <c r="AA86" s="58">
        <v>1</v>
      </c>
      <c r="AB86" s="59">
        <v>1</v>
      </c>
      <c r="AC86" s="42">
        <v>0</v>
      </c>
    </row>
    <row r="87" spans="1:29" x14ac:dyDescent="0.25">
      <c r="A87" s="1">
        <f t="shared" ca="1" si="4"/>
        <v>14690</v>
      </c>
      <c r="B87" s="74">
        <v>7597</v>
      </c>
      <c r="C87" s="74">
        <v>7600</v>
      </c>
      <c r="D87" s="74">
        <v>7592</v>
      </c>
      <c r="E87" s="28">
        <v>273</v>
      </c>
      <c r="F87" s="29">
        <v>205</v>
      </c>
      <c r="G87" s="28">
        <v>287</v>
      </c>
      <c r="H87" s="30">
        <v>238</v>
      </c>
      <c r="I87" s="29">
        <v>283</v>
      </c>
      <c r="J87" s="29">
        <v>233</v>
      </c>
      <c r="K87" s="34">
        <f t="shared" si="5"/>
        <v>84.3</v>
      </c>
      <c r="L87" s="29">
        <v>316</v>
      </c>
      <c r="M87" s="30">
        <v>280</v>
      </c>
      <c r="N87" s="35">
        <v>198</v>
      </c>
      <c r="O87" s="36">
        <v>197</v>
      </c>
      <c r="P87" s="37">
        <v>190</v>
      </c>
      <c r="Q87" s="52">
        <v>73</v>
      </c>
      <c r="R87" s="55">
        <v>66</v>
      </c>
      <c r="S87" s="56">
        <v>66</v>
      </c>
      <c r="T87" s="40" t="s">
        <v>47</v>
      </c>
      <c r="U87" s="38">
        <v>6</v>
      </c>
      <c r="V87" s="41" t="s">
        <v>47</v>
      </c>
      <c r="W87" s="39">
        <v>7</v>
      </c>
      <c r="X87" s="40" t="s">
        <v>85</v>
      </c>
      <c r="Y87" s="39">
        <v>7</v>
      </c>
      <c r="Z87" s="57">
        <v>2</v>
      </c>
      <c r="AA87" s="58">
        <v>1</v>
      </c>
      <c r="AB87" s="59">
        <v>1</v>
      </c>
      <c r="AC87" s="42">
        <v>0</v>
      </c>
    </row>
    <row r="88" spans="1:29" x14ac:dyDescent="0.25">
      <c r="A88" s="1">
        <f t="shared" ca="1" si="4"/>
        <v>14691</v>
      </c>
      <c r="B88" s="74">
        <v>7585</v>
      </c>
      <c r="C88" s="74">
        <v>7597</v>
      </c>
      <c r="D88" s="74">
        <v>7592</v>
      </c>
      <c r="E88" s="28">
        <v>269</v>
      </c>
      <c r="F88" s="29">
        <v>230</v>
      </c>
      <c r="G88" s="28">
        <v>291</v>
      </c>
      <c r="H88" s="30">
        <v>238</v>
      </c>
      <c r="I88" s="29">
        <v>287</v>
      </c>
      <c r="J88" s="29">
        <v>236</v>
      </c>
      <c r="K88" s="34">
        <f t="shared" si="5"/>
        <v>84.7</v>
      </c>
      <c r="L88" s="29">
        <v>315</v>
      </c>
      <c r="M88" s="30">
        <v>284</v>
      </c>
      <c r="N88" s="35">
        <v>191</v>
      </c>
      <c r="O88" s="36">
        <v>195</v>
      </c>
      <c r="P88" s="37">
        <v>193</v>
      </c>
      <c r="Q88" s="52">
        <v>72</v>
      </c>
      <c r="R88" s="55">
        <v>64</v>
      </c>
      <c r="S88" s="56">
        <v>65</v>
      </c>
      <c r="T88" s="40" t="s">
        <v>47</v>
      </c>
      <c r="U88" s="38">
        <v>6</v>
      </c>
      <c r="V88" s="41" t="s">
        <v>47</v>
      </c>
      <c r="W88" s="39">
        <v>7</v>
      </c>
      <c r="X88" s="40" t="s">
        <v>85</v>
      </c>
      <c r="Y88" s="39">
        <v>7</v>
      </c>
      <c r="Z88" s="57">
        <v>2</v>
      </c>
      <c r="AA88" s="58">
        <v>2</v>
      </c>
      <c r="AB88" s="59">
        <v>1</v>
      </c>
      <c r="AC88" s="42">
        <v>0</v>
      </c>
    </row>
    <row r="89" spans="1:29" x14ac:dyDescent="0.25">
      <c r="A89" s="1">
        <f t="shared" ca="1" si="4"/>
        <v>14692</v>
      </c>
      <c r="B89" s="74">
        <v>7572</v>
      </c>
      <c r="C89" s="74">
        <v>7600</v>
      </c>
      <c r="D89" s="74">
        <v>7600</v>
      </c>
      <c r="E89" s="28">
        <v>275</v>
      </c>
      <c r="F89" s="29">
        <v>227</v>
      </c>
      <c r="G89" s="28">
        <v>289</v>
      </c>
      <c r="H89" s="30">
        <v>236</v>
      </c>
      <c r="I89" s="29">
        <v>289</v>
      </c>
      <c r="J89" s="29">
        <v>238</v>
      </c>
      <c r="K89" s="34">
        <f t="shared" si="5"/>
        <v>85.3</v>
      </c>
      <c r="L89" s="29">
        <v>318</v>
      </c>
      <c r="M89" s="30">
        <v>292</v>
      </c>
      <c r="N89" s="35">
        <v>183</v>
      </c>
      <c r="O89" s="36">
        <v>192</v>
      </c>
      <c r="P89" s="37">
        <v>196</v>
      </c>
      <c r="Q89" s="52">
        <v>66</v>
      </c>
      <c r="R89" s="55">
        <v>64</v>
      </c>
      <c r="S89" s="56">
        <v>65</v>
      </c>
      <c r="T89" s="40" t="s">
        <v>47</v>
      </c>
      <c r="U89" s="38">
        <v>6</v>
      </c>
      <c r="V89" s="41" t="s">
        <v>47</v>
      </c>
      <c r="W89" s="39">
        <v>6</v>
      </c>
      <c r="X89" s="40" t="s">
        <v>85</v>
      </c>
      <c r="Y89" s="39">
        <v>6</v>
      </c>
      <c r="Z89" s="57">
        <v>2</v>
      </c>
      <c r="AA89" s="58">
        <v>3</v>
      </c>
      <c r="AB89" s="59">
        <v>3</v>
      </c>
      <c r="AC89" s="42">
        <v>0</v>
      </c>
    </row>
    <row r="90" spans="1:29" x14ac:dyDescent="0.25">
      <c r="A90" s="1">
        <f t="shared" ca="1" si="4"/>
        <v>14693</v>
      </c>
      <c r="B90" s="74">
        <v>7572</v>
      </c>
      <c r="C90" s="74">
        <v>7592</v>
      </c>
      <c r="D90" s="74">
        <v>7579</v>
      </c>
      <c r="E90" s="28">
        <v>261</v>
      </c>
      <c r="F90" s="29">
        <v>228</v>
      </c>
      <c r="G90" s="28">
        <v>271</v>
      </c>
      <c r="H90" s="30">
        <v>234</v>
      </c>
      <c r="I90" s="29">
        <v>269</v>
      </c>
      <c r="J90" s="29">
        <v>230</v>
      </c>
      <c r="K90" s="34">
        <f t="shared" si="5"/>
        <v>80.099999999999994</v>
      </c>
      <c r="L90" s="29">
        <v>295</v>
      </c>
      <c r="M90" s="30">
        <v>274</v>
      </c>
      <c r="N90" s="35">
        <v>192</v>
      </c>
      <c r="O90" s="36">
        <v>197</v>
      </c>
      <c r="P90" s="37">
        <v>191</v>
      </c>
      <c r="Q90" s="52">
        <v>76</v>
      </c>
      <c r="R90" s="55">
        <v>73</v>
      </c>
      <c r="S90" s="56">
        <v>72</v>
      </c>
      <c r="T90" s="40" t="s">
        <v>47</v>
      </c>
      <c r="U90" s="38">
        <v>5</v>
      </c>
      <c r="V90" s="41" t="s">
        <v>47</v>
      </c>
      <c r="W90" s="39">
        <v>6</v>
      </c>
      <c r="X90" s="40" t="s">
        <v>47</v>
      </c>
      <c r="Y90" s="39">
        <v>6</v>
      </c>
      <c r="Z90" s="57">
        <v>1</v>
      </c>
      <c r="AA90" s="58">
        <v>2</v>
      </c>
      <c r="AB90" s="59">
        <v>2</v>
      </c>
      <c r="AC90" s="42">
        <v>0</v>
      </c>
    </row>
    <row r="91" spans="1:29" x14ac:dyDescent="0.25">
      <c r="A91" s="1">
        <f t="shared" ca="1" si="4"/>
        <v>14694</v>
      </c>
      <c r="B91" s="74">
        <v>7585</v>
      </c>
      <c r="C91" s="74">
        <v>7597</v>
      </c>
      <c r="D91" s="74">
        <v>7597</v>
      </c>
      <c r="E91" s="28">
        <v>265</v>
      </c>
      <c r="F91" s="29">
        <v>226</v>
      </c>
      <c r="G91" s="28">
        <v>285</v>
      </c>
      <c r="H91" s="30">
        <v>228</v>
      </c>
      <c r="I91" s="29">
        <v>279</v>
      </c>
      <c r="J91" s="29">
        <v>230</v>
      </c>
      <c r="K91" s="34">
        <f t="shared" si="5"/>
        <v>82.9</v>
      </c>
      <c r="L91" s="29">
        <v>310</v>
      </c>
      <c r="M91" s="30">
        <v>270</v>
      </c>
      <c r="N91" s="35">
        <v>186</v>
      </c>
      <c r="O91" s="36">
        <v>180</v>
      </c>
      <c r="P91" s="37">
        <v>186</v>
      </c>
      <c r="Q91" s="52">
        <v>72</v>
      </c>
      <c r="R91" s="55">
        <v>61</v>
      </c>
      <c r="S91" s="56">
        <v>66</v>
      </c>
      <c r="T91" s="40" t="s">
        <v>47</v>
      </c>
      <c r="U91" s="38">
        <v>5</v>
      </c>
      <c r="V91" s="41" t="s">
        <v>47</v>
      </c>
      <c r="W91" s="39">
        <v>6</v>
      </c>
      <c r="X91" s="40" t="s">
        <v>85</v>
      </c>
      <c r="Y91" s="39">
        <v>5</v>
      </c>
      <c r="Z91" s="57">
        <v>2</v>
      </c>
      <c r="AA91" s="58">
        <v>3</v>
      </c>
      <c r="AB91" s="59">
        <v>2</v>
      </c>
      <c r="AC91" s="42">
        <v>0</v>
      </c>
    </row>
    <row r="92" spans="1:29" x14ac:dyDescent="0.25">
      <c r="A92" s="1">
        <f t="shared" ca="1" si="4"/>
        <v>14695</v>
      </c>
      <c r="B92" s="74">
        <v>7585</v>
      </c>
      <c r="C92" s="74">
        <v>7587</v>
      </c>
      <c r="D92" s="74">
        <v>7582</v>
      </c>
      <c r="E92" s="28">
        <v>261</v>
      </c>
      <c r="F92" s="29">
        <v>228</v>
      </c>
      <c r="G92" s="28">
        <v>269</v>
      </c>
      <c r="H92" s="30">
        <v>230</v>
      </c>
      <c r="I92" s="29">
        <v>263</v>
      </c>
      <c r="J92" s="29">
        <v>228</v>
      </c>
      <c r="K92" s="34">
        <f t="shared" si="5"/>
        <v>79.3</v>
      </c>
      <c r="L92" s="29">
        <v>295</v>
      </c>
      <c r="M92" s="30">
        <v>274</v>
      </c>
      <c r="N92" s="35">
        <v>192</v>
      </c>
      <c r="O92" s="36">
        <v>191</v>
      </c>
      <c r="P92" s="37">
        <v>191</v>
      </c>
      <c r="Q92" s="52">
        <v>76</v>
      </c>
      <c r="R92" s="55">
        <v>72</v>
      </c>
      <c r="S92" s="56">
        <v>74</v>
      </c>
      <c r="T92" s="40" t="s">
        <v>47</v>
      </c>
      <c r="U92" s="38">
        <v>4</v>
      </c>
      <c r="V92" s="41" t="s">
        <v>47</v>
      </c>
      <c r="W92" s="39">
        <v>6</v>
      </c>
      <c r="X92" s="40" t="s">
        <v>85</v>
      </c>
      <c r="Y92" s="39">
        <v>5</v>
      </c>
      <c r="Z92" s="57">
        <v>2</v>
      </c>
      <c r="AA92" s="58">
        <v>2</v>
      </c>
      <c r="AB92" s="59">
        <v>1</v>
      </c>
      <c r="AC92" s="42">
        <v>0</v>
      </c>
    </row>
    <row r="93" spans="1:29" x14ac:dyDescent="0.25">
      <c r="A93" s="1">
        <f t="shared" ca="1" si="4"/>
        <v>14696</v>
      </c>
      <c r="B93" s="74">
        <v>7585</v>
      </c>
      <c r="C93" s="74">
        <v>7587</v>
      </c>
      <c r="D93" s="74">
        <v>7585</v>
      </c>
      <c r="E93" s="28">
        <v>261</v>
      </c>
      <c r="F93" s="29">
        <v>230</v>
      </c>
      <c r="G93" s="28">
        <v>269</v>
      </c>
      <c r="H93" s="30">
        <v>235</v>
      </c>
      <c r="I93" s="29">
        <v>261</v>
      </c>
      <c r="J93" s="29">
        <v>230</v>
      </c>
      <c r="K93" s="34">
        <f t="shared" si="5"/>
        <v>79.099999999999994</v>
      </c>
      <c r="L93" s="29">
        <v>290</v>
      </c>
      <c r="M93" s="30">
        <v>270</v>
      </c>
      <c r="N93" s="35">
        <v>195</v>
      </c>
      <c r="O93" s="36">
        <v>200</v>
      </c>
      <c r="P93" s="37">
        <v>195</v>
      </c>
      <c r="Q93" s="52">
        <v>77</v>
      </c>
      <c r="R93" s="55">
        <v>75</v>
      </c>
      <c r="S93" s="56">
        <v>77</v>
      </c>
      <c r="T93" s="40" t="s">
        <v>47</v>
      </c>
      <c r="U93" s="38">
        <v>5</v>
      </c>
      <c r="V93" s="41" t="s">
        <v>47</v>
      </c>
      <c r="W93" s="39">
        <v>6</v>
      </c>
      <c r="X93" s="40" t="s">
        <v>47</v>
      </c>
      <c r="Y93" s="39">
        <v>6</v>
      </c>
      <c r="Z93" s="57">
        <v>1</v>
      </c>
      <c r="AA93" s="58">
        <v>2</v>
      </c>
      <c r="AB93" s="59">
        <v>2</v>
      </c>
      <c r="AC93" s="42">
        <v>0</v>
      </c>
    </row>
    <row r="94" spans="1:29" x14ac:dyDescent="0.25">
      <c r="A94" s="1">
        <f t="shared" ca="1" si="4"/>
        <v>14697</v>
      </c>
      <c r="B94" s="74">
        <v>7585</v>
      </c>
      <c r="C94" s="74">
        <v>7589</v>
      </c>
      <c r="D94" s="74">
        <v>7582</v>
      </c>
      <c r="E94" s="28">
        <v>259</v>
      </c>
      <c r="F94" s="29">
        <v>226</v>
      </c>
      <c r="G94" s="28">
        <v>271</v>
      </c>
      <c r="H94" s="30">
        <v>230</v>
      </c>
      <c r="I94" s="29">
        <v>259</v>
      </c>
      <c r="J94" s="29">
        <v>228</v>
      </c>
      <c r="K94" s="34">
        <f t="shared" si="5"/>
        <v>78.900000000000006</v>
      </c>
      <c r="L94" s="29">
        <v>296</v>
      </c>
      <c r="M94" s="30">
        <v>275</v>
      </c>
      <c r="N94" s="35">
        <v>189</v>
      </c>
      <c r="O94" s="36">
        <v>190</v>
      </c>
      <c r="P94" s="37">
        <v>193</v>
      </c>
      <c r="Q94" s="52">
        <v>75</v>
      </c>
      <c r="R94" s="55">
        <v>71</v>
      </c>
      <c r="S94" s="56">
        <v>77</v>
      </c>
      <c r="T94" s="40" t="s">
        <v>47</v>
      </c>
      <c r="U94" s="38">
        <v>5</v>
      </c>
      <c r="V94" s="41" t="s">
        <v>47</v>
      </c>
      <c r="W94" s="39">
        <v>6</v>
      </c>
      <c r="X94" s="40" t="s">
        <v>85</v>
      </c>
      <c r="Y94" s="39">
        <v>5</v>
      </c>
      <c r="Z94" s="57">
        <v>2</v>
      </c>
      <c r="AA94" s="58">
        <v>1</v>
      </c>
      <c r="AB94" s="59">
        <v>2</v>
      </c>
      <c r="AC94" s="42">
        <v>0</v>
      </c>
    </row>
    <row r="95" spans="1:29" x14ac:dyDescent="0.25">
      <c r="A95" s="1">
        <f t="shared" ca="1" si="4"/>
        <v>14698</v>
      </c>
      <c r="B95" s="74">
        <v>7572</v>
      </c>
      <c r="C95" s="74">
        <v>7592</v>
      </c>
      <c r="D95" s="74">
        <v>7582</v>
      </c>
      <c r="E95" s="28">
        <v>261</v>
      </c>
      <c r="F95" s="29">
        <v>228</v>
      </c>
      <c r="G95" s="28">
        <v>271</v>
      </c>
      <c r="H95" s="30">
        <v>234</v>
      </c>
      <c r="I95" s="29">
        <v>269</v>
      </c>
      <c r="J95" s="29">
        <v>230</v>
      </c>
      <c r="K95" s="34">
        <f t="shared" si="5"/>
        <v>80.099999999999994</v>
      </c>
      <c r="L95" s="29">
        <v>295</v>
      </c>
      <c r="M95" s="30">
        <v>274</v>
      </c>
      <c r="N95" s="35">
        <v>192</v>
      </c>
      <c r="O95" s="36">
        <v>197</v>
      </c>
      <c r="P95" s="37">
        <v>191</v>
      </c>
      <c r="Q95" s="52">
        <v>76</v>
      </c>
      <c r="R95" s="55">
        <v>73</v>
      </c>
      <c r="S95" s="56">
        <v>72</v>
      </c>
      <c r="T95" s="40" t="s">
        <v>47</v>
      </c>
      <c r="U95" s="38">
        <v>5</v>
      </c>
      <c r="V95" s="41" t="s">
        <v>47</v>
      </c>
      <c r="W95" s="39">
        <v>6</v>
      </c>
      <c r="X95" s="40" t="s">
        <v>47</v>
      </c>
      <c r="Y95" s="39">
        <v>6</v>
      </c>
      <c r="Z95" s="57">
        <v>2</v>
      </c>
      <c r="AA95" s="58">
        <v>1</v>
      </c>
      <c r="AB95" s="59">
        <v>1</v>
      </c>
      <c r="AC95" s="42">
        <v>0</v>
      </c>
    </row>
    <row r="96" spans="1:29" x14ac:dyDescent="0.25">
      <c r="A96" s="1">
        <f t="shared" ca="1" si="4"/>
        <v>14699</v>
      </c>
      <c r="B96" s="74">
        <v>7572</v>
      </c>
      <c r="C96" s="74">
        <v>7587</v>
      </c>
      <c r="D96" s="74">
        <v>7582</v>
      </c>
      <c r="E96" s="28">
        <v>261</v>
      </c>
      <c r="F96" s="29">
        <v>228</v>
      </c>
      <c r="G96" s="28">
        <v>269</v>
      </c>
      <c r="H96" s="30">
        <v>232</v>
      </c>
      <c r="I96" s="29">
        <v>261</v>
      </c>
      <c r="J96" s="29">
        <v>228</v>
      </c>
      <c r="K96" s="34">
        <f t="shared" si="5"/>
        <v>79.099999999999994</v>
      </c>
      <c r="L96" s="29">
        <v>285</v>
      </c>
      <c r="M96" s="30">
        <v>270</v>
      </c>
      <c r="N96" s="35">
        <v>192</v>
      </c>
      <c r="O96" s="36">
        <v>195</v>
      </c>
      <c r="P96" s="37">
        <v>192</v>
      </c>
      <c r="Q96" s="52">
        <v>76</v>
      </c>
      <c r="R96" s="55">
        <v>73</v>
      </c>
      <c r="S96" s="56">
        <v>76</v>
      </c>
      <c r="T96" s="40" t="s">
        <v>47</v>
      </c>
      <c r="U96" s="38">
        <v>4</v>
      </c>
      <c r="V96" s="41" t="s">
        <v>47</v>
      </c>
      <c r="W96" s="39">
        <v>6</v>
      </c>
      <c r="X96" s="40" t="s">
        <v>47</v>
      </c>
      <c r="Y96" s="39">
        <v>5</v>
      </c>
      <c r="Z96" s="57">
        <v>2</v>
      </c>
      <c r="AA96" s="58">
        <v>2</v>
      </c>
      <c r="AB96" s="59">
        <v>1</v>
      </c>
      <c r="AC96" s="42">
        <v>0</v>
      </c>
    </row>
    <row r="97" spans="1:29" x14ac:dyDescent="0.25">
      <c r="A97" s="1">
        <f t="shared" ca="1" si="4"/>
        <v>14700</v>
      </c>
      <c r="B97" s="74">
        <v>7597</v>
      </c>
      <c r="C97" s="74">
        <v>7587</v>
      </c>
      <c r="D97" s="74">
        <v>7582</v>
      </c>
      <c r="E97" s="28">
        <v>259</v>
      </c>
      <c r="F97" s="29">
        <v>230</v>
      </c>
      <c r="G97" s="28">
        <v>269</v>
      </c>
      <c r="H97" s="30">
        <v>235</v>
      </c>
      <c r="I97" s="29">
        <v>263</v>
      </c>
      <c r="J97" s="29">
        <v>228</v>
      </c>
      <c r="K97" s="34">
        <f t="shared" si="5"/>
        <v>79.099999999999994</v>
      </c>
      <c r="L97" s="29">
        <v>290</v>
      </c>
      <c r="M97" s="30">
        <v>270</v>
      </c>
      <c r="N97" s="35">
        <v>196</v>
      </c>
      <c r="O97" s="36">
        <v>200</v>
      </c>
      <c r="P97" s="37">
        <v>191</v>
      </c>
      <c r="Q97" s="52">
        <v>78</v>
      </c>
      <c r="R97" s="55">
        <v>75</v>
      </c>
      <c r="S97" s="56">
        <v>74</v>
      </c>
      <c r="T97" s="40" t="s">
        <v>85</v>
      </c>
      <c r="U97" s="38">
        <v>5</v>
      </c>
      <c r="V97" s="41" t="s">
        <v>85</v>
      </c>
      <c r="W97" s="39">
        <v>6</v>
      </c>
      <c r="X97" s="40" t="s">
        <v>85</v>
      </c>
      <c r="Y97" s="39">
        <v>6</v>
      </c>
      <c r="Z97" s="57">
        <v>3</v>
      </c>
      <c r="AA97" s="58">
        <v>2</v>
      </c>
      <c r="AB97" s="59">
        <v>3</v>
      </c>
      <c r="AC97" s="42">
        <v>0</v>
      </c>
    </row>
    <row r="98" spans="1:29" x14ac:dyDescent="0.25">
      <c r="A98" s="1">
        <f t="shared" ca="1" si="4"/>
        <v>14701</v>
      </c>
      <c r="B98" s="74">
        <v>7592</v>
      </c>
      <c r="C98" s="74">
        <v>7592</v>
      </c>
      <c r="D98" s="74">
        <v>7589</v>
      </c>
      <c r="E98" s="28">
        <v>261</v>
      </c>
      <c r="F98" s="29">
        <v>228</v>
      </c>
      <c r="G98" s="28">
        <v>269</v>
      </c>
      <c r="H98" s="30">
        <v>230</v>
      </c>
      <c r="I98" s="29">
        <v>261</v>
      </c>
      <c r="J98" s="29">
        <v>228</v>
      </c>
      <c r="K98" s="34">
        <f t="shared" si="5"/>
        <v>79.099999999999994</v>
      </c>
      <c r="L98" s="29">
        <v>305</v>
      </c>
      <c r="M98" s="30">
        <v>215</v>
      </c>
      <c r="N98" s="35">
        <v>192</v>
      </c>
      <c r="O98" s="36">
        <v>191</v>
      </c>
      <c r="P98" s="37">
        <v>192</v>
      </c>
      <c r="Q98" s="52">
        <v>76</v>
      </c>
      <c r="R98" s="55">
        <v>72</v>
      </c>
      <c r="S98" s="56">
        <v>76</v>
      </c>
      <c r="T98" s="40" t="s">
        <v>47</v>
      </c>
      <c r="U98" s="38">
        <v>4</v>
      </c>
      <c r="V98" s="41" t="s">
        <v>47</v>
      </c>
      <c r="W98" s="39">
        <v>6</v>
      </c>
      <c r="X98" s="40" t="s">
        <v>47</v>
      </c>
      <c r="Y98" s="39">
        <v>6</v>
      </c>
      <c r="Z98" s="57">
        <v>3</v>
      </c>
      <c r="AA98" s="58">
        <v>2</v>
      </c>
      <c r="AB98" s="59">
        <v>2</v>
      </c>
      <c r="AC98" s="42">
        <v>0</v>
      </c>
    </row>
    <row r="99" spans="1:29" x14ac:dyDescent="0.25">
      <c r="A99" s="1" t="str">
        <f t="shared" ca="1" si="4"/>
        <v>Totaal</v>
      </c>
      <c r="B99" s="75">
        <f>IF(COUNT(B68:B98)&gt;0,AVERAGE(B68:B98)/10,"")</f>
        <v>758.69354838709683</v>
      </c>
      <c r="C99" s="76">
        <f>IF(COUNT(C68:C98)&gt;0,AVERAGE(C68:C98)/10,"")</f>
        <v>758.95483870967746</v>
      </c>
      <c r="D99" s="77">
        <f>IF(COUNT(D68:D98)&gt;0,AVERAGE(D68:D98)/10,"")</f>
        <v>758.50967741935483</v>
      </c>
      <c r="E99" s="31">
        <f>IF(COUNT(E68:E98)&gt;0,AVERAGE(E68:E98)/10,"")</f>
        <v>26.432258064516127</v>
      </c>
      <c r="F99" s="32">
        <f t="shared" ref="F99:J99" si="6">IF(COUNT(F68:F98)&gt;0,AVERAGE(F68:F98)/10,"")</f>
        <v>22.86451612903226</v>
      </c>
      <c r="G99" s="31">
        <f t="shared" si="6"/>
        <v>27.593548387096774</v>
      </c>
      <c r="H99" s="33">
        <f t="shared" si="6"/>
        <v>23.43548387096774</v>
      </c>
      <c r="I99" s="32">
        <f t="shared" si="6"/>
        <v>27.116129032258065</v>
      </c>
      <c r="J99" s="32">
        <f t="shared" si="6"/>
        <v>23.14516129032258</v>
      </c>
      <c r="K99" s="46">
        <f>IF(COUNT(K68:K98)&gt;0,SUM(K68:K98),"")</f>
        <v>2515.4</v>
      </c>
      <c r="L99" s="32">
        <f>IF(COUNT(L68:L98)&gt;0,AVERAGE(L68:L98)/10,"")</f>
        <v>29.954838709677421</v>
      </c>
      <c r="M99" s="32">
        <f>IF(COUNT(M68:M98)&gt;0,AVERAGE(M68:M98)/10,"")</f>
        <v>27.574193548387097</v>
      </c>
      <c r="N99" s="47">
        <f>IF(COUNT(N68:N98)&gt;0,AVERAGE(N68:N98)/10,"")</f>
        <v>19.3</v>
      </c>
      <c r="O99" s="48">
        <f>IF(COUNT(O68:O98)&gt;0,AVERAGE(O68:O98)/10,"")</f>
        <v>19.554838709677419</v>
      </c>
      <c r="P99" s="49">
        <f>IF(COUNT(P68:P98)&gt;0,AVERAGE(P68:P98)/10,"")</f>
        <v>19.283870967741937</v>
      </c>
      <c r="Q99" s="51">
        <f>IF(COUNT(Q68:Q98)&gt;0,AVERAGE(Q68:Q98),"")</f>
        <v>74.677419354838705</v>
      </c>
      <c r="R99" s="53">
        <f>IF(COUNT(R68:R98)&gt;0,AVERAGE(R68:R98),"")</f>
        <v>70.645161290322577</v>
      </c>
      <c r="S99" s="54">
        <f>IF(COUNT(S68:S98)&gt;0,AVERAGE(S68:S98),"")</f>
        <v>71.806451612903231</v>
      </c>
      <c r="T99" s="26"/>
      <c r="U99" s="50">
        <f>IF(COUNT(U68:U98)&gt;0,AVERAGE(U68:U98)/10,"")</f>
        <v>0.38387096774193552</v>
      </c>
      <c r="V99" s="27"/>
      <c r="W99" s="50">
        <f>IF(COUNT(W68:W98)&gt;0,AVERAGE(W68:W98)/10,"")</f>
        <v>0.49032258064516132</v>
      </c>
      <c r="X99" s="26"/>
      <c r="Y99" s="50">
        <f>IF(COUNT(Y68:Y98)&gt;0,AVERAGE(Y68:Y98)/10,"")</f>
        <v>0.49032258064516132</v>
      </c>
      <c r="Z99" s="60">
        <f>IF(COUNT(Z68:Z98)&gt;0,AVERAGE(Z68:Z98),"")</f>
        <v>2.838709677419355</v>
      </c>
      <c r="AA99" s="61">
        <f>IF(COUNT(AA68:AA98)&gt;0,AVERAGE(AA68:AA98),"")</f>
        <v>2.870967741935484</v>
      </c>
      <c r="AB99" s="62">
        <f>IF(COUNT(AB68:AB98)&gt;0,AVERAGE(AB68:AB98),"")</f>
        <v>2.774193548387097</v>
      </c>
      <c r="AC99" s="45">
        <f>SUM(AC68:AC98)/10</f>
        <v>4.5</v>
      </c>
    </row>
    <row r="100" spans="1:29" x14ac:dyDescent="0.25">
      <c r="A100" s="1">
        <f t="shared" ca="1" si="4"/>
        <v>14702</v>
      </c>
      <c r="B100" s="74">
        <v>7585</v>
      </c>
      <c r="C100" s="74">
        <v>7585</v>
      </c>
      <c r="D100" s="74">
        <v>7585</v>
      </c>
      <c r="E100" s="28">
        <v>257</v>
      </c>
      <c r="F100" s="29">
        <v>232</v>
      </c>
      <c r="G100" s="28">
        <v>259</v>
      </c>
      <c r="H100" s="30">
        <v>236</v>
      </c>
      <c r="I100" s="29">
        <v>257</v>
      </c>
      <c r="J100" s="29">
        <v>234</v>
      </c>
      <c r="K100" s="34">
        <f t="shared" ref="K100:K129" si="7">IF(COUNT(E100,G100,I100)&gt;0,SUM(E100,G100,I100)/10,"")</f>
        <v>77.3</v>
      </c>
      <c r="L100" s="29">
        <v>285</v>
      </c>
      <c r="M100" s="30">
        <v>270</v>
      </c>
      <c r="N100" s="35">
        <v>201</v>
      </c>
      <c r="O100" s="36">
        <v>207</v>
      </c>
      <c r="P100" s="37">
        <v>204</v>
      </c>
      <c r="Q100" s="52">
        <v>81</v>
      </c>
      <c r="R100" s="55">
        <v>82</v>
      </c>
      <c r="S100" s="56">
        <v>82</v>
      </c>
      <c r="T100" s="40" t="s">
        <v>47</v>
      </c>
      <c r="U100" s="38">
        <v>5</v>
      </c>
      <c r="V100" s="41" t="s">
        <v>47</v>
      </c>
      <c r="W100" s="39">
        <v>6</v>
      </c>
      <c r="X100" s="40" t="s">
        <v>47</v>
      </c>
      <c r="Y100" s="39">
        <v>6</v>
      </c>
      <c r="Z100" s="57">
        <v>2</v>
      </c>
      <c r="AA100" s="58">
        <v>3</v>
      </c>
      <c r="AB100" s="59">
        <v>2</v>
      </c>
      <c r="AC100" s="42">
        <v>0</v>
      </c>
    </row>
    <row r="101" spans="1:29" x14ac:dyDescent="0.25">
      <c r="A101" s="1">
        <f t="shared" ca="1" si="4"/>
        <v>14703</v>
      </c>
      <c r="B101" s="74">
        <v>7585</v>
      </c>
      <c r="C101" s="74">
        <v>7600</v>
      </c>
      <c r="D101" s="74">
        <v>7595</v>
      </c>
      <c r="E101" s="28">
        <v>247</v>
      </c>
      <c r="F101" s="29">
        <v>246</v>
      </c>
      <c r="G101" s="28">
        <v>257</v>
      </c>
      <c r="H101" s="30">
        <v>248</v>
      </c>
      <c r="I101" s="29">
        <v>255</v>
      </c>
      <c r="J101" s="29">
        <v>239</v>
      </c>
      <c r="K101" s="34">
        <f t="shared" si="7"/>
        <v>75.900000000000006</v>
      </c>
      <c r="L101" s="29">
        <v>295</v>
      </c>
      <c r="M101" s="30">
        <v>260</v>
      </c>
      <c r="N101" s="35">
        <v>232</v>
      </c>
      <c r="O101" s="36">
        <v>230</v>
      </c>
      <c r="P101" s="37">
        <v>214</v>
      </c>
      <c r="Q101" s="52">
        <v>99</v>
      </c>
      <c r="R101" s="55">
        <v>93</v>
      </c>
      <c r="S101" s="56">
        <v>88</v>
      </c>
      <c r="T101" s="40" t="s">
        <v>47</v>
      </c>
      <c r="U101" s="38">
        <v>6</v>
      </c>
      <c r="V101" s="41" t="s">
        <v>47</v>
      </c>
      <c r="W101" s="39">
        <v>7</v>
      </c>
      <c r="X101" s="40" t="s">
        <v>47</v>
      </c>
      <c r="Y101" s="39">
        <v>6</v>
      </c>
      <c r="Z101" s="57">
        <v>1</v>
      </c>
      <c r="AA101" s="58">
        <v>2</v>
      </c>
      <c r="AB101" s="59">
        <v>2</v>
      </c>
      <c r="AC101" s="42">
        <v>0</v>
      </c>
    </row>
    <row r="102" spans="1:29" x14ac:dyDescent="0.25">
      <c r="A102" s="1">
        <f t="shared" ca="1" si="4"/>
        <v>14704</v>
      </c>
      <c r="B102" s="74">
        <v>7585</v>
      </c>
      <c r="C102" s="74">
        <v>7582</v>
      </c>
      <c r="D102" s="74">
        <v>7587</v>
      </c>
      <c r="E102" s="28">
        <v>281</v>
      </c>
      <c r="F102" s="29">
        <v>248</v>
      </c>
      <c r="G102" s="28">
        <v>285</v>
      </c>
      <c r="H102" s="30">
        <v>251</v>
      </c>
      <c r="I102" s="29">
        <v>281</v>
      </c>
      <c r="J102" s="29">
        <v>248</v>
      </c>
      <c r="K102" s="34">
        <f t="shared" si="7"/>
        <v>84.7</v>
      </c>
      <c r="L102" s="29">
        <v>304</v>
      </c>
      <c r="M102" s="30">
        <v>282</v>
      </c>
      <c r="N102" s="35">
        <v>218</v>
      </c>
      <c r="O102" s="36">
        <v>222</v>
      </c>
      <c r="P102" s="37">
        <v>218</v>
      </c>
      <c r="Q102" s="52">
        <v>76</v>
      </c>
      <c r="R102" s="55">
        <v>76</v>
      </c>
      <c r="S102" s="56">
        <v>76</v>
      </c>
      <c r="T102" s="40" t="s">
        <v>85</v>
      </c>
      <c r="U102" s="38">
        <v>5</v>
      </c>
      <c r="V102" s="41" t="s">
        <v>85</v>
      </c>
      <c r="W102" s="39">
        <v>7</v>
      </c>
      <c r="X102" s="40" t="s">
        <v>85</v>
      </c>
      <c r="Y102" s="39">
        <v>6</v>
      </c>
      <c r="Z102" s="57">
        <v>3</v>
      </c>
      <c r="AA102" s="58">
        <v>2</v>
      </c>
      <c r="AB102" s="59">
        <v>2</v>
      </c>
      <c r="AC102" s="42">
        <v>0</v>
      </c>
    </row>
    <row r="103" spans="1:29" x14ac:dyDescent="0.25">
      <c r="A103" s="1">
        <f t="shared" ca="1" si="4"/>
        <v>14705</v>
      </c>
      <c r="B103" s="74">
        <v>7595</v>
      </c>
      <c r="C103" s="74">
        <v>7605</v>
      </c>
      <c r="D103" s="74">
        <v>7607</v>
      </c>
      <c r="E103" s="28">
        <v>275</v>
      </c>
      <c r="F103" s="29">
        <v>240</v>
      </c>
      <c r="G103" s="28">
        <v>295</v>
      </c>
      <c r="H103" s="30">
        <v>248</v>
      </c>
      <c r="I103" s="29">
        <v>279</v>
      </c>
      <c r="J103" s="29">
        <v>242</v>
      </c>
      <c r="K103" s="34">
        <f t="shared" si="7"/>
        <v>84.9</v>
      </c>
      <c r="L103" s="29">
        <v>307</v>
      </c>
      <c r="M103" s="30">
        <v>283</v>
      </c>
      <c r="N103" s="35">
        <v>206</v>
      </c>
      <c r="O103" s="36">
        <v>211</v>
      </c>
      <c r="P103" s="37">
        <v>208</v>
      </c>
      <c r="Q103" s="52">
        <v>75</v>
      </c>
      <c r="R103" s="55">
        <v>68</v>
      </c>
      <c r="S103" s="56">
        <v>74</v>
      </c>
      <c r="T103" s="40" t="s">
        <v>85</v>
      </c>
      <c r="U103" s="38">
        <v>5</v>
      </c>
      <c r="V103" s="41" t="s">
        <v>85</v>
      </c>
      <c r="W103" s="39">
        <v>7</v>
      </c>
      <c r="X103" s="40" t="s">
        <v>85</v>
      </c>
      <c r="Y103" s="39">
        <v>7</v>
      </c>
      <c r="Z103" s="57">
        <v>2</v>
      </c>
      <c r="AA103" s="58">
        <v>3</v>
      </c>
      <c r="AB103" s="59">
        <v>2</v>
      </c>
      <c r="AC103" s="42">
        <v>0</v>
      </c>
    </row>
    <row r="104" spans="1:29" x14ac:dyDescent="0.25">
      <c r="A104" s="1">
        <f t="shared" ca="1" si="4"/>
        <v>14706</v>
      </c>
      <c r="B104" s="74">
        <v>7597</v>
      </c>
      <c r="C104" s="74">
        <v>7618</v>
      </c>
      <c r="D104" s="74">
        <v>7618</v>
      </c>
      <c r="E104" s="28">
        <v>265</v>
      </c>
      <c r="F104" s="29">
        <v>234</v>
      </c>
      <c r="G104" s="28">
        <v>289</v>
      </c>
      <c r="H104" s="30">
        <v>240</v>
      </c>
      <c r="I104" s="29">
        <v>274</v>
      </c>
      <c r="J104" s="29">
        <v>238</v>
      </c>
      <c r="K104" s="34">
        <f t="shared" si="7"/>
        <v>82.8</v>
      </c>
      <c r="L104" s="29">
        <v>310</v>
      </c>
      <c r="M104" s="30">
        <v>265</v>
      </c>
      <c r="N104" s="35">
        <v>200</v>
      </c>
      <c r="O104" s="36">
        <v>199</v>
      </c>
      <c r="P104" s="37">
        <v>203</v>
      </c>
      <c r="Q104" s="52">
        <v>77</v>
      </c>
      <c r="R104" s="55">
        <v>67</v>
      </c>
      <c r="S104" s="56">
        <v>74</v>
      </c>
      <c r="T104" s="40" t="s">
        <v>47</v>
      </c>
      <c r="U104" s="38">
        <v>6</v>
      </c>
      <c r="V104" s="41" t="s">
        <v>47</v>
      </c>
      <c r="W104" s="39">
        <v>7</v>
      </c>
      <c r="X104" s="40" t="s">
        <v>85</v>
      </c>
      <c r="Y104" s="39">
        <v>7</v>
      </c>
      <c r="Z104" s="57">
        <v>3</v>
      </c>
      <c r="AA104" s="58">
        <v>2</v>
      </c>
      <c r="AB104" s="59">
        <v>2</v>
      </c>
      <c r="AC104" s="42">
        <v>0</v>
      </c>
    </row>
    <row r="105" spans="1:29" x14ac:dyDescent="0.25">
      <c r="A105" s="1">
        <f t="shared" ca="1" si="4"/>
        <v>14707</v>
      </c>
      <c r="B105" s="74">
        <v>7585</v>
      </c>
      <c r="C105" s="74">
        <v>7605</v>
      </c>
      <c r="D105" s="74">
        <v>7607</v>
      </c>
      <c r="E105" s="28">
        <v>263</v>
      </c>
      <c r="F105" s="29">
        <v>232</v>
      </c>
      <c r="G105" s="28">
        <v>289</v>
      </c>
      <c r="H105" s="30">
        <v>238</v>
      </c>
      <c r="I105" s="29">
        <v>274</v>
      </c>
      <c r="J105" s="29">
        <v>234</v>
      </c>
      <c r="K105" s="34">
        <f t="shared" si="7"/>
        <v>82.6</v>
      </c>
      <c r="L105" s="29">
        <v>304</v>
      </c>
      <c r="M105" s="30">
        <v>272</v>
      </c>
      <c r="N105" s="35">
        <v>198</v>
      </c>
      <c r="O105" s="36">
        <v>196</v>
      </c>
      <c r="P105" s="37">
        <v>196</v>
      </c>
      <c r="Q105" s="52">
        <v>77</v>
      </c>
      <c r="R105" s="55">
        <v>65</v>
      </c>
      <c r="S105" s="56">
        <v>71</v>
      </c>
      <c r="T105" s="40" t="s">
        <v>47</v>
      </c>
      <c r="U105" s="38">
        <v>6</v>
      </c>
      <c r="V105" s="41" t="s">
        <v>47</v>
      </c>
      <c r="W105" s="39">
        <v>7</v>
      </c>
      <c r="X105" s="40" t="s">
        <v>47</v>
      </c>
      <c r="Y105" s="39">
        <v>7</v>
      </c>
      <c r="Z105" s="57">
        <v>2</v>
      </c>
      <c r="AA105" s="58">
        <v>1</v>
      </c>
      <c r="AB105" s="59">
        <v>3</v>
      </c>
      <c r="AC105" s="42">
        <v>0</v>
      </c>
    </row>
    <row r="106" spans="1:29" x14ac:dyDescent="0.25">
      <c r="A106" s="1">
        <f t="shared" ca="1" si="4"/>
        <v>14708</v>
      </c>
      <c r="B106" s="74">
        <v>7585</v>
      </c>
      <c r="C106" s="74">
        <v>7610</v>
      </c>
      <c r="D106" s="74">
        <v>7607</v>
      </c>
      <c r="E106" s="28">
        <v>263</v>
      </c>
      <c r="F106" s="29">
        <v>232</v>
      </c>
      <c r="G106" s="28">
        <v>287</v>
      </c>
      <c r="H106" s="30">
        <v>240</v>
      </c>
      <c r="I106" s="29">
        <v>274</v>
      </c>
      <c r="J106" s="29">
        <v>238</v>
      </c>
      <c r="K106" s="34">
        <f t="shared" si="7"/>
        <v>82.4</v>
      </c>
      <c r="L106" s="29">
        <v>304</v>
      </c>
      <c r="M106" s="30">
        <v>270</v>
      </c>
      <c r="N106" s="35">
        <v>198</v>
      </c>
      <c r="O106" s="36">
        <v>200</v>
      </c>
      <c r="P106" s="37">
        <v>203</v>
      </c>
      <c r="Q106" s="52">
        <v>77</v>
      </c>
      <c r="R106" s="55">
        <v>68</v>
      </c>
      <c r="S106" s="56">
        <v>74</v>
      </c>
      <c r="T106" s="40" t="s">
        <v>47</v>
      </c>
      <c r="U106" s="38">
        <v>5</v>
      </c>
      <c r="V106" s="41" t="s">
        <v>47</v>
      </c>
      <c r="W106" s="39">
        <v>7</v>
      </c>
      <c r="X106" s="40" t="s">
        <v>85</v>
      </c>
      <c r="Y106" s="39">
        <v>6</v>
      </c>
      <c r="Z106" s="57">
        <v>3</v>
      </c>
      <c r="AA106" s="58">
        <v>3</v>
      </c>
      <c r="AB106" s="59">
        <v>4</v>
      </c>
      <c r="AC106" s="42">
        <v>0</v>
      </c>
    </row>
    <row r="107" spans="1:29" x14ac:dyDescent="0.25">
      <c r="A107" s="1">
        <f t="shared" ca="1" si="4"/>
        <v>14709</v>
      </c>
      <c r="B107" s="74">
        <v>7600</v>
      </c>
      <c r="C107" s="74">
        <v>7595</v>
      </c>
      <c r="D107" s="74">
        <v>7592</v>
      </c>
      <c r="E107" s="28">
        <v>262</v>
      </c>
      <c r="F107" s="29">
        <v>236</v>
      </c>
      <c r="G107" s="28">
        <v>281</v>
      </c>
      <c r="H107" s="30">
        <v>238</v>
      </c>
      <c r="I107" s="29">
        <v>269</v>
      </c>
      <c r="J107" s="29">
        <v>234</v>
      </c>
      <c r="K107" s="34">
        <f t="shared" si="7"/>
        <v>81.2</v>
      </c>
      <c r="L107" s="29">
        <v>305</v>
      </c>
      <c r="M107" s="30">
        <v>281</v>
      </c>
      <c r="N107" s="35">
        <v>205</v>
      </c>
      <c r="O107" s="36">
        <v>200</v>
      </c>
      <c r="P107" s="37">
        <v>198</v>
      </c>
      <c r="Q107" s="52">
        <v>80</v>
      </c>
      <c r="R107" s="55">
        <v>70</v>
      </c>
      <c r="S107" s="56">
        <v>74</v>
      </c>
      <c r="T107" s="40" t="s">
        <v>47</v>
      </c>
      <c r="U107" s="38">
        <v>5</v>
      </c>
      <c r="V107" s="41" t="s">
        <v>47</v>
      </c>
      <c r="W107" s="39">
        <v>6</v>
      </c>
      <c r="X107" s="40" t="s">
        <v>47</v>
      </c>
      <c r="Y107" s="39">
        <v>6</v>
      </c>
      <c r="Z107" s="57">
        <v>3</v>
      </c>
      <c r="AA107" s="58">
        <v>2</v>
      </c>
      <c r="AB107" s="59">
        <v>2</v>
      </c>
      <c r="AC107" s="42">
        <v>0</v>
      </c>
    </row>
    <row r="108" spans="1:29" x14ac:dyDescent="0.25">
      <c r="A108" s="1">
        <f t="shared" ca="1" si="4"/>
        <v>14710</v>
      </c>
      <c r="B108" s="74">
        <v>7585</v>
      </c>
      <c r="C108" s="74">
        <v>7605</v>
      </c>
      <c r="D108" s="74">
        <v>7582</v>
      </c>
      <c r="E108" s="28">
        <v>265</v>
      </c>
      <c r="F108" s="29">
        <v>232</v>
      </c>
      <c r="G108" s="28">
        <v>279</v>
      </c>
      <c r="H108" s="30">
        <v>238</v>
      </c>
      <c r="I108" s="29">
        <v>269</v>
      </c>
      <c r="J108" s="29">
        <v>232</v>
      </c>
      <c r="K108" s="34">
        <f t="shared" si="7"/>
        <v>81.3</v>
      </c>
      <c r="L108" s="29">
        <v>308</v>
      </c>
      <c r="M108" s="30">
        <v>274</v>
      </c>
      <c r="N108" s="35">
        <v>197</v>
      </c>
      <c r="O108" s="36">
        <v>201</v>
      </c>
      <c r="P108" s="37">
        <v>195</v>
      </c>
      <c r="Q108" s="52">
        <v>76</v>
      </c>
      <c r="R108" s="55">
        <v>71</v>
      </c>
      <c r="S108" s="56">
        <v>73</v>
      </c>
      <c r="T108" s="40" t="s">
        <v>47</v>
      </c>
      <c r="U108" s="38">
        <v>5</v>
      </c>
      <c r="V108" s="41" t="s">
        <v>47</v>
      </c>
      <c r="W108" s="39">
        <v>6</v>
      </c>
      <c r="X108" s="40" t="s">
        <v>47</v>
      </c>
      <c r="Y108" s="39">
        <v>6</v>
      </c>
      <c r="Z108" s="57">
        <v>2</v>
      </c>
      <c r="AA108" s="58">
        <v>1</v>
      </c>
      <c r="AB108" s="59">
        <v>1</v>
      </c>
      <c r="AC108" s="42">
        <v>0</v>
      </c>
    </row>
    <row r="109" spans="1:29" x14ac:dyDescent="0.25">
      <c r="A109" s="1">
        <f t="shared" ca="1" si="4"/>
        <v>14711</v>
      </c>
      <c r="B109" s="74">
        <v>7602</v>
      </c>
      <c r="C109" s="74">
        <v>7589</v>
      </c>
      <c r="D109" s="74">
        <v>7589</v>
      </c>
      <c r="E109" s="28">
        <v>277</v>
      </c>
      <c r="F109" s="29">
        <v>230</v>
      </c>
      <c r="G109" s="28">
        <v>279</v>
      </c>
      <c r="H109" s="30">
        <v>234</v>
      </c>
      <c r="I109" s="29">
        <v>275</v>
      </c>
      <c r="J109" s="29">
        <v>234</v>
      </c>
      <c r="K109" s="34">
        <f t="shared" si="7"/>
        <v>83.1</v>
      </c>
      <c r="L109" s="29">
        <v>302</v>
      </c>
      <c r="M109" s="30">
        <v>277</v>
      </c>
      <c r="N109" s="35">
        <v>187</v>
      </c>
      <c r="O109" s="36">
        <v>193</v>
      </c>
      <c r="P109" s="37">
        <v>195</v>
      </c>
      <c r="Q109" s="52">
        <v>67</v>
      </c>
      <c r="R109" s="55">
        <v>68</v>
      </c>
      <c r="S109" s="56">
        <v>71</v>
      </c>
      <c r="T109" s="40" t="s">
        <v>47</v>
      </c>
      <c r="U109" s="38">
        <v>5</v>
      </c>
      <c r="V109" s="41" t="s">
        <v>85</v>
      </c>
      <c r="W109" s="39">
        <v>6</v>
      </c>
      <c r="X109" s="40" t="s">
        <v>85</v>
      </c>
      <c r="Y109" s="39">
        <v>6</v>
      </c>
      <c r="Z109" s="57">
        <v>3</v>
      </c>
      <c r="AA109" s="58">
        <v>2</v>
      </c>
      <c r="AB109" s="59">
        <v>2</v>
      </c>
      <c r="AC109" s="42">
        <v>0</v>
      </c>
    </row>
    <row r="110" spans="1:29" x14ac:dyDescent="0.25">
      <c r="A110" s="1">
        <f t="shared" ca="1" si="4"/>
        <v>14712</v>
      </c>
      <c r="B110" s="74">
        <v>7595</v>
      </c>
      <c r="C110" s="74">
        <v>7592</v>
      </c>
      <c r="D110" s="74">
        <v>7587</v>
      </c>
      <c r="E110" s="28">
        <v>275</v>
      </c>
      <c r="F110" s="29">
        <v>232</v>
      </c>
      <c r="G110" s="28">
        <v>301</v>
      </c>
      <c r="H110" s="30">
        <v>236</v>
      </c>
      <c r="I110" s="29">
        <v>279</v>
      </c>
      <c r="J110" s="29">
        <v>232</v>
      </c>
      <c r="K110" s="34">
        <f t="shared" si="7"/>
        <v>85.5</v>
      </c>
      <c r="L110" s="29">
        <v>318</v>
      </c>
      <c r="M110" s="30">
        <v>294</v>
      </c>
      <c r="N110" s="35">
        <v>192</v>
      </c>
      <c r="O110" s="36">
        <v>186</v>
      </c>
      <c r="P110" s="37">
        <v>190</v>
      </c>
      <c r="Q110" s="52">
        <v>70</v>
      </c>
      <c r="R110" s="55">
        <v>58</v>
      </c>
      <c r="S110" s="56">
        <v>67</v>
      </c>
      <c r="T110" s="40" t="s">
        <v>85</v>
      </c>
      <c r="U110" s="38">
        <v>4</v>
      </c>
      <c r="V110" s="41" t="s">
        <v>85</v>
      </c>
      <c r="W110" s="39">
        <v>5</v>
      </c>
      <c r="X110" s="40" t="s">
        <v>85</v>
      </c>
      <c r="Y110" s="39">
        <v>5</v>
      </c>
      <c r="Z110" s="57">
        <v>2</v>
      </c>
      <c r="AA110" s="58">
        <v>2</v>
      </c>
      <c r="AB110" s="59">
        <v>3</v>
      </c>
      <c r="AC110" s="42">
        <v>0</v>
      </c>
    </row>
    <row r="111" spans="1:29" x14ac:dyDescent="0.25">
      <c r="A111" s="1">
        <f t="shared" ca="1" si="4"/>
        <v>14713</v>
      </c>
      <c r="B111" s="74">
        <v>7597</v>
      </c>
      <c r="C111" s="74">
        <v>7579</v>
      </c>
      <c r="D111" s="74">
        <v>7582</v>
      </c>
      <c r="E111" s="28">
        <v>269</v>
      </c>
      <c r="F111" s="29">
        <v>238</v>
      </c>
      <c r="G111" s="28">
        <v>284</v>
      </c>
      <c r="H111" s="30">
        <v>234</v>
      </c>
      <c r="I111" s="29">
        <v>269</v>
      </c>
      <c r="J111" s="29">
        <v>228</v>
      </c>
      <c r="K111" s="34">
        <f t="shared" si="7"/>
        <v>82.2</v>
      </c>
      <c r="L111" s="29">
        <v>310</v>
      </c>
      <c r="M111" s="30">
        <v>270</v>
      </c>
      <c r="N111" s="35">
        <v>206</v>
      </c>
      <c r="O111" s="36">
        <v>191</v>
      </c>
      <c r="P111" s="37">
        <v>181</v>
      </c>
      <c r="Q111" s="52">
        <v>77</v>
      </c>
      <c r="R111" s="55">
        <v>66</v>
      </c>
      <c r="S111" s="56">
        <v>71</v>
      </c>
      <c r="T111" s="40" t="s">
        <v>47</v>
      </c>
      <c r="U111" s="38">
        <v>4</v>
      </c>
      <c r="V111" s="41" t="s">
        <v>85</v>
      </c>
      <c r="W111" s="39">
        <v>6</v>
      </c>
      <c r="X111" s="40" t="s">
        <v>85</v>
      </c>
      <c r="Y111" s="39">
        <v>5</v>
      </c>
      <c r="Z111" s="57">
        <v>3</v>
      </c>
      <c r="AA111" s="58">
        <v>2</v>
      </c>
      <c r="AB111" s="59">
        <v>3</v>
      </c>
      <c r="AC111" s="42">
        <v>0</v>
      </c>
    </row>
    <row r="112" spans="1:29" x14ac:dyDescent="0.25">
      <c r="A112" s="1">
        <f t="shared" ca="1" si="4"/>
        <v>14714</v>
      </c>
      <c r="B112" s="74">
        <v>7585</v>
      </c>
      <c r="C112" s="74">
        <v>7589</v>
      </c>
      <c r="D112" s="74">
        <v>7582</v>
      </c>
      <c r="E112" s="28">
        <v>259</v>
      </c>
      <c r="F112" s="29">
        <v>228</v>
      </c>
      <c r="G112" s="28">
        <v>281</v>
      </c>
      <c r="H112" s="30">
        <v>234</v>
      </c>
      <c r="I112" s="29">
        <v>269</v>
      </c>
      <c r="J112" s="29">
        <v>238</v>
      </c>
      <c r="K112" s="34">
        <f t="shared" si="7"/>
        <v>80.900000000000006</v>
      </c>
      <c r="L112" s="29">
        <v>292</v>
      </c>
      <c r="M112" s="30">
        <v>275</v>
      </c>
      <c r="N112" s="35">
        <v>193</v>
      </c>
      <c r="O112" s="36">
        <v>192</v>
      </c>
      <c r="P112" s="37">
        <v>206</v>
      </c>
      <c r="Q112" s="52">
        <v>77</v>
      </c>
      <c r="R112" s="55">
        <v>67</v>
      </c>
      <c r="S112" s="56">
        <v>77</v>
      </c>
      <c r="T112" s="40" t="s">
        <v>47</v>
      </c>
      <c r="U112" s="38">
        <v>4</v>
      </c>
      <c r="V112" s="41" t="s">
        <v>47</v>
      </c>
      <c r="W112" s="39">
        <v>5</v>
      </c>
      <c r="X112" s="40" t="s">
        <v>85</v>
      </c>
      <c r="Y112" s="39">
        <v>5</v>
      </c>
      <c r="Z112" s="57">
        <v>3</v>
      </c>
      <c r="AA112" s="58">
        <v>3</v>
      </c>
      <c r="AB112" s="59">
        <v>3</v>
      </c>
      <c r="AC112" s="42">
        <v>0</v>
      </c>
    </row>
    <row r="113" spans="1:29" x14ac:dyDescent="0.25">
      <c r="A113" s="1">
        <f t="shared" ca="1" si="4"/>
        <v>14715</v>
      </c>
      <c r="B113" s="74">
        <v>7585</v>
      </c>
      <c r="C113" s="74">
        <v>7592</v>
      </c>
      <c r="D113" s="74">
        <v>7585</v>
      </c>
      <c r="E113" s="28">
        <v>259</v>
      </c>
      <c r="F113" s="29">
        <v>228</v>
      </c>
      <c r="G113" s="28">
        <v>271</v>
      </c>
      <c r="H113" s="30">
        <v>232</v>
      </c>
      <c r="I113" s="29">
        <v>259</v>
      </c>
      <c r="J113" s="29">
        <v>232</v>
      </c>
      <c r="K113" s="34">
        <f t="shared" si="7"/>
        <v>78.900000000000006</v>
      </c>
      <c r="L113" s="29">
        <v>295</v>
      </c>
      <c r="M113" s="30">
        <v>274</v>
      </c>
      <c r="N113" s="35">
        <v>193</v>
      </c>
      <c r="O113" s="36">
        <v>194</v>
      </c>
      <c r="P113" s="37">
        <v>200</v>
      </c>
      <c r="Q113" s="52">
        <v>71</v>
      </c>
      <c r="R113" s="55">
        <v>72</v>
      </c>
      <c r="S113" s="56">
        <v>80</v>
      </c>
      <c r="T113" s="40" t="s">
        <v>85</v>
      </c>
      <c r="U113" s="38">
        <v>4</v>
      </c>
      <c r="V113" s="41" t="s">
        <v>85</v>
      </c>
      <c r="W113" s="39">
        <v>5</v>
      </c>
      <c r="X113" s="40" t="s">
        <v>85</v>
      </c>
      <c r="Y113" s="39">
        <v>5</v>
      </c>
      <c r="Z113" s="57">
        <v>4</v>
      </c>
      <c r="AA113" s="58">
        <v>3</v>
      </c>
      <c r="AB113" s="59">
        <v>2</v>
      </c>
      <c r="AC113" s="42">
        <v>0</v>
      </c>
    </row>
    <row r="114" spans="1:29" x14ac:dyDescent="0.25">
      <c r="A114" s="1">
        <f t="shared" ca="1" si="4"/>
        <v>14716</v>
      </c>
      <c r="B114" s="74">
        <v>7600</v>
      </c>
      <c r="C114" s="74">
        <v>7592</v>
      </c>
      <c r="D114" s="74">
        <v>7587</v>
      </c>
      <c r="E114" s="28">
        <v>269</v>
      </c>
      <c r="F114" s="29">
        <v>234</v>
      </c>
      <c r="G114" s="28">
        <v>271</v>
      </c>
      <c r="H114" s="30">
        <v>234</v>
      </c>
      <c r="I114" s="29">
        <v>261</v>
      </c>
      <c r="J114" s="29">
        <v>230</v>
      </c>
      <c r="K114" s="34">
        <f t="shared" si="7"/>
        <v>80.099999999999994</v>
      </c>
      <c r="L114" s="29">
        <v>290</v>
      </c>
      <c r="M114" s="30">
        <v>278</v>
      </c>
      <c r="N114" s="35">
        <v>198</v>
      </c>
      <c r="O114" s="36">
        <v>197</v>
      </c>
      <c r="P114" s="37">
        <v>195</v>
      </c>
      <c r="Q114" s="52">
        <v>74</v>
      </c>
      <c r="R114" s="55">
        <v>73</v>
      </c>
      <c r="S114" s="56">
        <v>77</v>
      </c>
      <c r="T114" s="40" t="s">
        <v>47</v>
      </c>
      <c r="U114" s="38">
        <v>3</v>
      </c>
      <c r="V114" s="41" t="s">
        <v>85</v>
      </c>
      <c r="W114" s="39">
        <v>4</v>
      </c>
      <c r="X114" s="40" t="s">
        <v>85</v>
      </c>
      <c r="Y114" s="39">
        <v>4</v>
      </c>
      <c r="Z114" s="57">
        <v>3</v>
      </c>
      <c r="AA114" s="58">
        <v>3</v>
      </c>
      <c r="AB114" s="59">
        <v>4</v>
      </c>
      <c r="AC114" s="42">
        <v>0</v>
      </c>
    </row>
    <row r="115" spans="1:29" x14ac:dyDescent="0.25">
      <c r="A115" s="1">
        <f t="shared" ca="1" si="4"/>
        <v>14717</v>
      </c>
      <c r="B115" s="74">
        <v>7597</v>
      </c>
      <c r="C115" s="74">
        <v>7587</v>
      </c>
      <c r="D115" s="74">
        <v>7582</v>
      </c>
      <c r="E115" s="28">
        <v>265</v>
      </c>
      <c r="F115" s="29">
        <v>224</v>
      </c>
      <c r="G115" s="28">
        <v>269</v>
      </c>
      <c r="H115" s="30">
        <v>228</v>
      </c>
      <c r="I115" s="29">
        <v>269</v>
      </c>
      <c r="J115" s="29">
        <v>228</v>
      </c>
      <c r="K115" s="34">
        <f t="shared" si="7"/>
        <v>80.3</v>
      </c>
      <c r="L115" s="29">
        <v>296</v>
      </c>
      <c r="M115" s="30">
        <v>274</v>
      </c>
      <c r="N115" s="35">
        <v>183</v>
      </c>
      <c r="O115" s="36">
        <v>188</v>
      </c>
      <c r="P115" s="37">
        <v>188</v>
      </c>
      <c r="Q115" s="52">
        <v>70</v>
      </c>
      <c r="R115" s="55">
        <v>71</v>
      </c>
      <c r="S115" s="56">
        <v>71</v>
      </c>
      <c r="T115" s="40" t="s">
        <v>85</v>
      </c>
      <c r="U115" s="38">
        <v>3</v>
      </c>
      <c r="V115" s="41" t="s">
        <v>85</v>
      </c>
      <c r="W115" s="39">
        <v>4</v>
      </c>
      <c r="X115" s="40" t="s">
        <v>85</v>
      </c>
      <c r="Y115" s="39">
        <v>4</v>
      </c>
      <c r="Z115" s="57">
        <v>4</v>
      </c>
      <c r="AA115" s="58">
        <v>3</v>
      </c>
      <c r="AB115" s="59">
        <v>2</v>
      </c>
      <c r="AC115" s="42">
        <v>0</v>
      </c>
    </row>
    <row r="116" spans="1:29" x14ac:dyDescent="0.25">
      <c r="A116" s="1">
        <f t="shared" ca="1" si="4"/>
        <v>14718</v>
      </c>
      <c r="B116" s="74">
        <v>7587</v>
      </c>
      <c r="C116" s="74">
        <v>7582</v>
      </c>
      <c r="D116" s="74">
        <v>7582</v>
      </c>
      <c r="E116" s="28">
        <v>261</v>
      </c>
      <c r="F116" s="29">
        <v>222</v>
      </c>
      <c r="G116" s="28">
        <v>267</v>
      </c>
      <c r="H116" s="30">
        <v>228</v>
      </c>
      <c r="I116" s="29">
        <v>263</v>
      </c>
      <c r="J116" s="29">
        <v>228</v>
      </c>
      <c r="K116" s="34">
        <f t="shared" si="7"/>
        <v>79.099999999999994</v>
      </c>
      <c r="L116" s="29">
        <v>286</v>
      </c>
      <c r="M116" s="30">
        <v>263</v>
      </c>
      <c r="N116" s="35">
        <v>181</v>
      </c>
      <c r="O116" s="36">
        <v>189</v>
      </c>
      <c r="P116" s="37">
        <v>191</v>
      </c>
      <c r="Q116" s="52">
        <v>71</v>
      </c>
      <c r="R116" s="55">
        <v>72</v>
      </c>
      <c r="S116" s="56">
        <v>74</v>
      </c>
      <c r="T116" s="40" t="s">
        <v>85</v>
      </c>
      <c r="U116" s="38">
        <v>4</v>
      </c>
      <c r="V116" s="41" t="s">
        <v>85</v>
      </c>
      <c r="W116" s="39">
        <v>5</v>
      </c>
      <c r="X116" s="40" t="s">
        <v>85</v>
      </c>
      <c r="Y116" s="39">
        <v>4</v>
      </c>
      <c r="Z116" s="57">
        <v>4</v>
      </c>
      <c r="AA116" s="58">
        <v>5</v>
      </c>
      <c r="AB116" s="59">
        <v>4</v>
      </c>
      <c r="AC116" s="42">
        <v>0</v>
      </c>
    </row>
    <row r="117" spans="1:29" x14ac:dyDescent="0.25">
      <c r="A117" s="1">
        <f t="shared" ca="1" si="4"/>
        <v>14719</v>
      </c>
      <c r="B117" s="74">
        <v>7574</v>
      </c>
      <c r="C117" s="74">
        <v>7556</v>
      </c>
      <c r="D117" s="74">
        <v>7556</v>
      </c>
      <c r="E117" s="28">
        <v>267</v>
      </c>
      <c r="F117" s="29">
        <v>230</v>
      </c>
      <c r="G117" s="28">
        <v>271</v>
      </c>
      <c r="H117" s="30">
        <v>234</v>
      </c>
      <c r="I117" s="29">
        <v>275</v>
      </c>
      <c r="J117" s="29">
        <v>230</v>
      </c>
      <c r="K117" s="34">
        <f t="shared" si="7"/>
        <v>81.3</v>
      </c>
      <c r="L117" s="29">
        <v>294</v>
      </c>
      <c r="M117" s="30">
        <v>274</v>
      </c>
      <c r="N117" s="35">
        <v>192</v>
      </c>
      <c r="O117" s="36">
        <v>197</v>
      </c>
      <c r="P117" s="37">
        <v>188</v>
      </c>
      <c r="Q117" s="52">
        <v>73</v>
      </c>
      <c r="R117" s="55">
        <v>73</v>
      </c>
      <c r="S117" s="56">
        <v>68</v>
      </c>
      <c r="T117" s="40" t="s">
        <v>47</v>
      </c>
      <c r="U117" s="38">
        <v>3</v>
      </c>
      <c r="V117" s="41" t="s">
        <v>47</v>
      </c>
      <c r="W117" s="39">
        <v>4</v>
      </c>
      <c r="X117" s="40" t="s">
        <v>85</v>
      </c>
      <c r="Y117" s="39">
        <v>4</v>
      </c>
      <c r="Z117" s="57">
        <v>3</v>
      </c>
      <c r="AA117" s="58">
        <v>2</v>
      </c>
      <c r="AB117" s="59">
        <v>2</v>
      </c>
      <c r="AC117" s="42">
        <v>0</v>
      </c>
    </row>
    <row r="118" spans="1:29" x14ac:dyDescent="0.25">
      <c r="A118" s="1">
        <f t="shared" ca="1" si="4"/>
        <v>14720</v>
      </c>
      <c r="B118" s="74">
        <v>7585</v>
      </c>
      <c r="C118" s="74">
        <v>7582</v>
      </c>
      <c r="D118" s="74">
        <v>7585</v>
      </c>
      <c r="E118" s="28">
        <v>273</v>
      </c>
      <c r="F118" s="29">
        <v>238</v>
      </c>
      <c r="G118" s="28">
        <v>275</v>
      </c>
      <c r="H118" s="30">
        <v>232</v>
      </c>
      <c r="I118" s="29">
        <v>275</v>
      </c>
      <c r="J118" s="29">
        <v>228</v>
      </c>
      <c r="K118" s="34">
        <f t="shared" si="7"/>
        <v>82.3</v>
      </c>
      <c r="L118" s="29">
        <v>296</v>
      </c>
      <c r="M118" s="30">
        <v>280</v>
      </c>
      <c r="N118" s="35">
        <v>204</v>
      </c>
      <c r="O118" s="36">
        <v>192</v>
      </c>
      <c r="P118" s="37">
        <v>185</v>
      </c>
      <c r="Q118" s="52">
        <v>75</v>
      </c>
      <c r="R118" s="55">
        <v>70</v>
      </c>
      <c r="S118" s="56">
        <v>67</v>
      </c>
      <c r="T118" s="40" t="s">
        <v>85</v>
      </c>
      <c r="U118" s="38">
        <v>2</v>
      </c>
      <c r="V118" s="41" t="s">
        <v>89</v>
      </c>
      <c r="W118" s="39">
        <v>3</v>
      </c>
      <c r="X118" s="40" t="s">
        <v>89</v>
      </c>
      <c r="Y118" s="39">
        <v>2</v>
      </c>
      <c r="Z118" s="57">
        <v>5</v>
      </c>
      <c r="AA118" s="58">
        <v>6</v>
      </c>
      <c r="AB118" s="59">
        <v>6</v>
      </c>
      <c r="AC118" s="42">
        <v>0</v>
      </c>
    </row>
    <row r="119" spans="1:29" x14ac:dyDescent="0.25">
      <c r="A119" s="1">
        <f t="shared" ca="1" si="4"/>
        <v>14721</v>
      </c>
      <c r="B119" s="74">
        <v>7595</v>
      </c>
      <c r="C119" s="74">
        <v>7592</v>
      </c>
      <c r="D119" s="74">
        <v>7587</v>
      </c>
      <c r="E119" s="28">
        <v>277</v>
      </c>
      <c r="F119" s="29">
        <v>252</v>
      </c>
      <c r="G119" s="28">
        <v>275</v>
      </c>
      <c r="H119" s="30">
        <v>244</v>
      </c>
      <c r="I119" s="29">
        <v>271</v>
      </c>
      <c r="J119" s="29">
        <v>244</v>
      </c>
      <c r="K119" s="34">
        <f t="shared" si="7"/>
        <v>82.3</v>
      </c>
      <c r="L119" s="29">
        <v>298</v>
      </c>
      <c r="M119" s="30">
        <v>282</v>
      </c>
      <c r="N119" s="35">
        <v>228</v>
      </c>
      <c r="O119" s="36">
        <v>214</v>
      </c>
      <c r="P119" s="37">
        <v>216</v>
      </c>
      <c r="Q119" s="52">
        <v>82</v>
      </c>
      <c r="R119" s="55">
        <v>78</v>
      </c>
      <c r="S119" s="56">
        <v>80</v>
      </c>
      <c r="T119" s="40" t="s">
        <v>85</v>
      </c>
      <c r="U119" s="38">
        <v>1</v>
      </c>
      <c r="V119" s="41" t="s">
        <v>85</v>
      </c>
      <c r="W119" s="39">
        <v>1</v>
      </c>
      <c r="X119" s="40" t="s">
        <v>89</v>
      </c>
      <c r="Y119" s="39">
        <v>2</v>
      </c>
      <c r="Z119" s="57">
        <v>5</v>
      </c>
      <c r="AA119" s="58">
        <v>6</v>
      </c>
      <c r="AB119" s="59">
        <v>5</v>
      </c>
      <c r="AC119" s="42">
        <v>0</v>
      </c>
    </row>
    <row r="120" spans="1:29" x14ac:dyDescent="0.25">
      <c r="A120" s="1">
        <f t="shared" ca="1" si="4"/>
        <v>14722</v>
      </c>
      <c r="B120" s="74">
        <v>7585</v>
      </c>
      <c r="C120" s="74">
        <v>7589</v>
      </c>
      <c r="D120" s="74">
        <v>7587</v>
      </c>
      <c r="E120" s="28">
        <v>271</v>
      </c>
      <c r="F120" s="29">
        <v>248</v>
      </c>
      <c r="G120" s="28">
        <v>295</v>
      </c>
      <c r="H120" s="30">
        <v>246</v>
      </c>
      <c r="I120" s="29">
        <v>287</v>
      </c>
      <c r="J120" s="29">
        <v>245</v>
      </c>
      <c r="K120" s="34">
        <f t="shared" si="7"/>
        <v>85.3</v>
      </c>
      <c r="L120" s="29">
        <v>300</v>
      </c>
      <c r="M120" s="30">
        <v>290</v>
      </c>
      <c r="N120" s="35">
        <v>223</v>
      </c>
      <c r="O120" s="36">
        <v>208</v>
      </c>
      <c r="P120" s="37">
        <v>210</v>
      </c>
      <c r="Q120" s="52">
        <v>83</v>
      </c>
      <c r="R120" s="55">
        <v>67</v>
      </c>
      <c r="S120" s="56">
        <v>71</v>
      </c>
      <c r="T120" s="40" t="s">
        <v>85</v>
      </c>
      <c r="U120" s="38">
        <v>1</v>
      </c>
      <c r="V120" s="41" t="s">
        <v>86</v>
      </c>
      <c r="W120" s="39">
        <v>1</v>
      </c>
      <c r="X120" s="40" t="s">
        <v>89</v>
      </c>
      <c r="Y120" s="39">
        <v>2</v>
      </c>
      <c r="Z120" s="57">
        <v>4</v>
      </c>
      <c r="AA120" s="58">
        <v>6</v>
      </c>
      <c r="AB120" s="59">
        <v>5</v>
      </c>
      <c r="AC120" s="42">
        <v>0</v>
      </c>
    </row>
    <row r="121" spans="1:29" x14ac:dyDescent="0.25">
      <c r="A121" s="1">
        <f t="shared" ca="1" si="4"/>
        <v>14723</v>
      </c>
      <c r="B121" s="74">
        <v>7585</v>
      </c>
      <c r="C121" s="74">
        <v>7589</v>
      </c>
      <c r="D121" s="74">
        <v>7587</v>
      </c>
      <c r="E121" s="28">
        <v>271</v>
      </c>
      <c r="F121" s="29">
        <v>248</v>
      </c>
      <c r="G121" s="28">
        <v>295</v>
      </c>
      <c r="H121" s="30">
        <v>246</v>
      </c>
      <c r="I121" s="29">
        <v>287</v>
      </c>
      <c r="J121" s="29">
        <v>245</v>
      </c>
      <c r="K121" s="34">
        <f t="shared" si="7"/>
        <v>85.3</v>
      </c>
      <c r="L121" s="29">
        <v>315</v>
      </c>
      <c r="M121" s="30">
        <v>290</v>
      </c>
      <c r="N121" s="35">
        <v>223</v>
      </c>
      <c r="O121" s="36">
        <v>208</v>
      </c>
      <c r="P121" s="37">
        <v>210</v>
      </c>
      <c r="Q121" s="52">
        <v>83</v>
      </c>
      <c r="R121" s="55">
        <v>67</v>
      </c>
      <c r="S121" s="56">
        <v>71</v>
      </c>
      <c r="T121" s="40" t="s">
        <v>85</v>
      </c>
      <c r="U121" s="38">
        <v>2</v>
      </c>
      <c r="V121" s="41" t="s">
        <v>85</v>
      </c>
      <c r="W121" s="39">
        <v>3</v>
      </c>
      <c r="X121" s="40" t="s">
        <v>85</v>
      </c>
      <c r="Y121" s="39">
        <v>3</v>
      </c>
      <c r="Z121" s="57">
        <v>4</v>
      </c>
      <c r="AA121" s="58">
        <v>5</v>
      </c>
      <c r="AB121" s="59">
        <v>4</v>
      </c>
      <c r="AC121" s="42">
        <v>0</v>
      </c>
    </row>
    <row r="122" spans="1:29" x14ac:dyDescent="0.25">
      <c r="A122" s="1">
        <f t="shared" ca="1" si="4"/>
        <v>14724</v>
      </c>
      <c r="B122" s="74">
        <v>7577</v>
      </c>
      <c r="C122" s="74">
        <v>7564</v>
      </c>
      <c r="D122" s="74">
        <v>7554</v>
      </c>
      <c r="E122" s="28">
        <v>261</v>
      </c>
      <c r="F122" s="29">
        <v>240</v>
      </c>
      <c r="G122" s="28">
        <v>271</v>
      </c>
      <c r="H122" s="30">
        <v>238</v>
      </c>
      <c r="I122" s="29">
        <v>269</v>
      </c>
      <c r="J122" s="29">
        <v>238</v>
      </c>
      <c r="K122" s="34">
        <f t="shared" si="7"/>
        <v>80.099999999999994</v>
      </c>
      <c r="L122" s="29">
        <v>290</v>
      </c>
      <c r="M122" s="30">
        <v>280</v>
      </c>
      <c r="N122" s="35">
        <v>213</v>
      </c>
      <c r="O122" s="36">
        <v>205</v>
      </c>
      <c r="P122" s="37">
        <v>206</v>
      </c>
      <c r="Q122" s="52">
        <v>84</v>
      </c>
      <c r="R122" s="55">
        <v>76</v>
      </c>
      <c r="S122" s="56">
        <v>77</v>
      </c>
      <c r="T122" s="40" t="s">
        <v>85</v>
      </c>
      <c r="U122" s="38">
        <v>2</v>
      </c>
      <c r="V122" s="41" t="s">
        <v>85</v>
      </c>
      <c r="W122" s="39">
        <v>3</v>
      </c>
      <c r="X122" s="40" t="s">
        <v>85</v>
      </c>
      <c r="Y122" s="39">
        <v>4</v>
      </c>
      <c r="Z122" s="57">
        <v>4</v>
      </c>
      <c r="AA122" s="58">
        <v>5</v>
      </c>
      <c r="AB122" s="59">
        <v>5</v>
      </c>
      <c r="AC122" s="42">
        <v>0</v>
      </c>
    </row>
    <row r="123" spans="1:29" x14ac:dyDescent="0.25">
      <c r="A123" s="1">
        <f t="shared" ca="1" si="4"/>
        <v>14725</v>
      </c>
      <c r="B123" s="74">
        <v>7582</v>
      </c>
      <c r="C123" s="74">
        <v>7572</v>
      </c>
      <c r="D123" s="74">
        <v>7572</v>
      </c>
      <c r="E123" s="28">
        <v>259</v>
      </c>
      <c r="F123" s="29">
        <v>236</v>
      </c>
      <c r="G123" s="28">
        <v>272</v>
      </c>
      <c r="H123" s="30">
        <v>238</v>
      </c>
      <c r="I123" s="29">
        <v>269</v>
      </c>
      <c r="J123" s="29">
        <v>236</v>
      </c>
      <c r="K123" s="34">
        <f t="shared" si="7"/>
        <v>80</v>
      </c>
      <c r="L123" s="29">
        <v>316</v>
      </c>
      <c r="M123" s="30">
        <v>282</v>
      </c>
      <c r="N123" s="35">
        <v>207</v>
      </c>
      <c r="O123" s="36">
        <v>204</v>
      </c>
      <c r="P123" s="37">
        <v>202</v>
      </c>
      <c r="Q123" s="52">
        <v>82</v>
      </c>
      <c r="R123" s="55">
        <v>75</v>
      </c>
      <c r="S123" s="56">
        <v>76</v>
      </c>
      <c r="T123" s="40" t="s">
        <v>47</v>
      </c>
      <c r="U123" s="38">
        <v>4</v>
      </c>
      <c r="V123" s="41" t="s">
        <v>47</v>
      </c>
      <c r="W123" s="39">
        <v>5</v>
      </c>
      <c r="X123" s="40" t="s">
        <v>85</v>
      </c>
      <c r="Y123" s="39">
        <v>5</v>
      </c>
      <c r="Z123" s="57">
        <v>2</v>
      </c>
      <c r="AA123" s="58">
        <v>2</v>
      </c>
      <c r="AB123" s="59">
        <v>2</v>
      </c>
      <c r="AC123" s="42">
        <v>0</v>
      </c>
    </row>
    <row r="124" spans="1:29" x14ac:dyDescent="0.25">
      <c r="A124" s="1">
        <f t="shared" ca="1" si="4"/>
        <v>14726</v>
      </c>
      <c r="B124" s="74">
        <v>7587</v>
      </c>
      <c r="C124" s="74">
        <v>7592</v>
      </c>
      <c r="D124" s="74">
        <v>7585</v>
      </c>
      <c r="E124" s="28">
        <v>267</v>
      </c>
      <c r="F124" s="29">
        <v>236</v>
      </c>
      <c r="G124" s="28">
        <v>279</v>
      </c>
      <c r="H124" s="30">
        <v>246</v>
      </c>
      <c r="I124" s="29">
        <v>269</v>
      </c>
      <c r="J124" s="29">
        <v>238</v>
      </c>
      <c r="K124" s="34">
        <f t="shared" si="7"/>
        <v>81.5</v>
      </c>
      <c r="L124" s="29">
        <v>314</v>
      </c>
      <c r="M124" s="30">
        <v>281</v>
      </c>
      <c r="N124" s="35">
        <v>203</v>
      </c>
      <c r="O124" s="36">
        <v>216</v>
      </c>
      <c r="P124" s="37">
        <v>206</v>
      </c>
      <c r="Q124" s="52">
        <v>77</v>
      </c>
      <c r="R124" s="55">
        <v>76</v>
      </c>
      <c r="S124" s="56">
        <v>77</v>
      </c>
      <c r="T124" s="40" t="s">
        <v>47</v>
      </c>
      <c r="U124" s="38">
        <v>6</v>
      </c>
      <c r="V124" s="41" t="s">
        <v>47</v>
      </c>
      <c r="W124" s="39">
        <v>7</v>
      </c>
      <c r="X124" s="40" t="s">
        <v>47</v>
      </c>
      <c r="Y124" s="39">
        <v>7</v>
      </c>
      <c r="Z124" s="57">
        <v>3</v>
      </c>
      <c r="AA124" s="58">
        <v>4</v>
      </c>
      <c r="AB124" s="59">
        <v>3</v>
      </c>
      <c r="AC124" s="42">
        <v>0</v>
      </c>
    </row>
    <row r="125" spans="1:29" x14ac:dyDescent="0.25">
      <c r="A125" s="1">
        <f t="shared" ca="1" si="4"/>
        <v>14727</v>
      </c>
      <c r="B125" s="74">
        <v>7595</v>
      </c>
      <c r="C125" s="74">
        <v>7597</v>
      </c>
      <c r="D125" s="74">
        <v>7589</v>
      </c>
      <c r="E125" s="28">
        <v>263</v>
      </c>
      <c r="F125" s="29">
        <v>234</v>
      </c>
      <c r="G125" s="28">
        <v>269</v>
      </c>
      <c r="H125" s="30">
        <v>240</v>
      </c>
      <c r="I125" s="29">
        <v>269</v>
      </c>
      <c r="J125" s="29">
        <v>238</v>
      </c>
      <c r="K125" s="34">
        <f t="shared" si="7"/>
        <v>80.099999999999994</v>
      </c>
      <c r="L125" s="29">
        <v>306</v>
      </c>
      <c r="M125" s="30">
        <v>290</v>
      </c>
      <c r="N125" s="35">
        <v>201</v>
      </c>
      <c r="O125" s="36">
        <v>209</v>
      </c>
      <c r="P125" s="37">
        <v>206</v>
      </c>
      <c r="Q125" s="52">
        <v>78</v>
      </c>
      <c r="R125" s="55">
        <v>79</v>
      </c>
      <c r="S125" s="56">
        <v>77</v>
      </c>
      <c r="T125" s="40" t="s">
        <v>47</v>
      </c>
      <c r="U125" s="38">
        <v>6</v>
      </c>
      <c r="V125" s="41" t="s">
        <v>47</v>
      </c>
      <c r="W125" s="39">
        <v>7</v>
      </c>
      <c r="X125" s="40" t="s">
        <v>47</v>
      </c>
      <c r="Y125" s="39">
        <v>6</v>
      </c>
      <c r="Z125" s="57">
        <v>3</v>
      </c>
      <c r="AA125" s="58">
        <v>4</v>
      </c>
      <c r="AB125" s="59">
        <v>4</v>
      </c>
      <c r="AC125" s="42">
        <v>0</v>
      </c>
    </row>
    <row r="126" spans="1:29" x14ac:dyDescent="0.25">
      <c r="A126" s="1">
        <f t="shared" ca="1" si="4"/>
        <v>14728</v>
      </c>
      <c r="B126" s="74">
        <v>7585</v>
      </c>
      <c r="C126" s="74">
        <v>7595</v>
      </c>
      <c r="D126" s="74">
        <v>7589</v>
      </c>
      <c r="E126" s="28">
        <v>265</v>
      </c>
      <c r="F126" s="29">
        <v>234</v>
      </c>
      <c r="G126" s="28">
        <v>267</v>
      </c>
      <c r="H126" s="30">
        <v>236</v>
      </c>
      <c r="I126" s="29">
        <v>265</v>
      </c>
      <c r="J126" s="29">
        <v>232</v>
      </c>
      <c r="K126" s="34">
        <f t="shared" si="7"/>
        <v>79.7</v>
      </c>
      <c r="L126" s="29">
        <v>300</v>
      </c>
      <c r="M126" s="30">
        <v>274</v>
      </c>
      <c r="N126" s="35">
        <v>200</v>
      </c>
      <c r="O126" s="36">
        <v>203</v>
      </c>
      <c r="P126" s="37">
        <v>197</v>
      </c>
      <c r="Q126" s="52">
        <v>77</v>
      </c>
      <c r="R126" s="55">
        <v>77</v>
      </c>
      <c r="S126" s="56">
        <v>76</v>
      </c>
      <c r="T126" s="40" t="s">
        <v>47</v>
      </c>
      <c r="U126" s="38">
        <v>6</v>
      </c>
      <c r="V126" s="41" t="s">
        <v>47</v>
      </c>
      <c r="W126" s="39">
        <v>7</v>
      </c>
      <c r="X126" s="40" t="s">
        <v>47</v>
      </c>
      <c r="Y126" s="39">
        <v>7</v>
      </c>
      <c r="Z126" s="57">
        <v>2</v>
      </c>
      <c r="AA126" s="58">
        <v>3</v>
      </c>
      <c r="AB126" s="59">
        <v>3</v>
      </c>
      <c r="AC126" s="42">
        <v>0</v>
      </c>
    </row>
    <row r="127" spans="1:29" x14ac:dyDescent="0.25">
      <c r="A127" s="1">
        <f t="shared" ca="1" si="4"/>
        <v>14729</v>
      </c>
      <c r="B127" s="74">
        <v>7582</v>
      </c>
      <c r="C127" s="74">
        <v>7557</v>
      </c>
      <c r="D127" s="74">
        <v>7557</v>
      </c>
      <c r="E127" s="28">
        <v>259</v>
      </c>
      <c r="F127" s="29">
        <v>238</v>
      </c>
      <c r="G127" s="28">
        <v>267</v>
      </c>
      <c r="H127" s="30">
        <v>236</v>
      </c>
      <c r="I127" s="29">
        <v>261</v>
      </c>
      <c r="J127" s="29">
        <v>232</v>
      </c>
      <c r="K127" s="34">
        <f t="shared" si="7"/>
        <v>78.7</v>
      </c>
      <c r="L127" s="29">
        <v>310</v>
      </c>
      <c r="M127" s="30">
        <v>282</v>
      </c>
      <c r="N127" s="35">
        <v>211</v>
      </c>
      <c r="O127" s="36">
        <v>203</v>
      </c>
      <c r="P127" s="37">
        <v>201</v>
      </c>
      <c r="Q127" s="52">
        <v>84</v>
      </c>
      <c r="R127" s="55">
        <v>77</v>
      </c>
      <c r="S127" s="56">
        <v>79</v>
      </c>
      <c r="T127" s="40" t="s">
        <v>47</v>
      </c>
      <c r="U127" s="38">
        <v>5</v>
      </c>
      <c r="V127" s="41" t="s">
        <v>85</v>
      </c>
      <c r="W127" s="39">
        <v>6</v>
      </c>
      <c r="X127" s="40" t="s">
        <v>85</v>
      </c>
      <c r="Y127" s="39">
        <v>6</v>
      </c>
      <c r="Z127" s="57">
        <v>2</v>
      </c>
      <c r="AA127" s="58">
        <v>2</v>
      </c>
      <c r="AB127" s="59">
        <v>2</v>
      </c>
      <c r="AC127" s="42">
        <v>0</v>
      </c>
    </row>
    <row r="128" spans="1:29" x14ac:dyDescent="0.25">
      <c r="A128" s="1">
        <f t="shared" ca="1" si="4"/>
        <v>14730</v>
      </c>
      <c r="B128" s="74">
        <v>7585</v>
      </c>
      <c r="C128" s="74">
        <v>7579</v>
      </c>
      <c r="D128" s="74">
        <v>7567</v>
      </c>
      <c r="E128" s="28">
        <v>259</v>
      </c>
      <c r="F128" s="29">
        <v>233</v>
      </c>
      <c r="G128" s="28">
        <v>267</v>
      </c>
      <c r="H128" s="30">
        <v>236</v>
      </c>
      <c r="I128" s="29">
        <v>263</v>
      </c>
      <c r="J128" s="29">
        <v>234</v>
      </c>
      <c r="K128" s="34">
        <f t="shared" si="7"/>
        <v>78.900000000000006</v>
      </c>
      <c r="L128" s="29">
        <v>308</v>
      </c>
      <c r="M128" s="30">
        <v>284</v>
      </c>
      <c r="N128" s="35">
        <v>202</v>
      </c>
      <c r="O128" s="36">
        <v>203</v>
      </c>
      <c r="P128" s="37">
        <v>201</v>
      </c>
      <c r="Q128" s="52">
        <v>80</v>
      </c>
      <c r="R128" s="55">
        <v>77</v>
      </c>
      <c r="S128" s="56">
        <v>78</v>
      </c>
      <c r="T128" s="40" t="s">
        <v>47</v>
      </c>
      <c r="U128" s="38">
        <v>4</v>
      </c>
      <c r="V128" s="41" t="s">
        <v>85</v>
      </c>
      <c r="W128" s="39">
        <v>5</v>
      </c>
      <c r="X128" s="40" t="s">
        <v>85</v>
      </c>
      <c r="Y128" s="39">
        <v>5</v>
      </c>
      <c r="Z128" s="57">
        <v>3</v>
      </c>
      <c r="AA128" s="58">
        <v>4</v>
      </c>
      <c r="AB128" s="59">
        <v>2</v>
      </c>
      <c r="AC128" s="42">
        <v>0</v>
      </c>
    </row>
    <row r="129" spans="1:29" x14ac:dyDescent="0.25">
      <c r="A129" s="1">
        <f t="shared" ca="1" si="4"/>
        <v>14731</v>
      </c>
      <c r="B129" s="74">
        <v>7582</v>
      </c>
      <c r="C129" s="74">
        <v>7592</v>
      </c>
      <c r="D129" s="74">
        <v>7587</v>
      </c>
      <c r="E129" s="28">
        <v>263</v>
      </c>
      <c r="F129" s="29">
        <v>230</v>
      </c>
      <c r="G129" s="28">
        <v>269</v>
      </c>
      <c r="H129" s="30">
        <v>234</v>
      </c>
      <c r="I129" s="29">
        <v>261</v>
      </c>
      <c r="J129" s="29">
        <v>232</v>
      </c>
      <c r="K129" s="34">
        <f t="shared" si="7"/>
        <v>79.3</v>
      </c>
      <c r="L129" s="29">
        <v>317</v>
      </c>
      <c r="M129" s="30">
        <v>284</v>
      </c>
      <c r="N129" s="35">
        <v>194</v>
      </c>
      <c r="O129" s="36">
        <v>198</v>
      </c>
      <c r="P129" s="37">
        <v>199</v>
      </c>
      <c r="Q129" s="52">
        <v>76</v>
      </c>
      <c r="R129" s="55">
        <v>74</v>
      </c>
      <c r="S129" s="56">
        <v>78</v>
      </c>
      <c r="T129" s="40" t="s">
        <v>47</v>
      </c>
      <c r="U129" s="38">
        <v>4</v>
      </c>
      <c r="V129" s="41" t="s">
        <v>85</v>
      </c>
      <c r="W129" s="39">
        <v>6</v>
      </c>
      <c r="X129" s="40" t="s">
        <v>85</v>
      </c>
      <c r="Y129" s="39">
        <v>5</v>
      </c>
      <c r="Z129" s="57">
        <v>3</v>
      </c>
      <c r="AA129" s="58">
        <v>2</v>
      </c>
      <c r="AB129" s="59">
        <v>2</v>
      </c>
      <c r="AC129" s="42">
        <v>0</v>
      </c>
    </row>
    <row r="130" spans="1:29" x14ac:dyDescent="0.25">
      <c r="A130" s="1" t="str">
        <f t="shared" ca="1" si="4"/>
        <v>Totaal</v>
      </c>
      <c r="B130" s="75">
        <f>IF(COUNT(B100:B129)&gt;0,AVERAGE(B100:B129)/10,"")</f>
        <v>758.83</v>
      </c>
      <c r="C130" s="76">
        <f>IF(COUNT(C100:C129)&gt;0,AVERAGE(C100:C129)/10,"")</f>
        <v>758.87666666666667</v>
      </c>
      <c r="D130" s="77">
        <f>IF(COUNT(D100:D129)&gt;0,AVERAGE(D100:D129)/10,"")</f>
        <v>758.52666666666664</v>
      </c>
      <c r="E130" s="31">
        <f t="shared" ref="E130:J130" si="8">IF(COUNT(E100:E129)&gt;0,AVERAGE(E100:E129)/10,"")</f>
        <v>26.556666666666665</v>
      </c>
      <c r="F130" s="32">
        <f t="shared" si="8"/>
        <v>23.55</v>
      </c>
      <c r="G130" s="31">
        <f t="shared" si="8"/>
        <v>27.72</v>
      </c>
      <c r="H130" s="33">
        <f t="shared" si="8"/>
        <v>23.81</v>
      </c>
      <c r="I130" s="32">
        <f t="shared" si="8"/>
        <v>26.99</v>
      </c>
      <c r="J130" s="32">
        <f t="shared" si="8"/>
        <v>23.536666666666669</v>
      </c>
      <c r="K130" s="46">
        <f>IF(COUNT(K100:K129)&gt;0,SUM(K100:K129),"")</f>
        <v>2437.9999999999995</v>
      </c>
      <c r="L130" s="32">
        <f>IF(COUNT(L100:L129)&gt;0,AVERAGE(L100:L129)/10,"")</f>
        <v>30.25</v>
      </c>
      <c r="M130" s="32">
        <f>IF(COUNT(M100:M129)&gt;0,AVERAGE(M100:M129)/10,"")</f>
        <v>27.783333333333331</v>
      </c>
      <c r="N130" s="47">
        <f>IF(COUNT(N100:N129)&gt;0,AVERAGE(N100:N129)/10,"")</f>
        <v>20.296666666666667</v>
      </c>
      <c r="O130" s="48">
        <f>IF(COUNT(O100:O129)&gt;0,AVERAGE(O100:O129)/10,"")</f>
        <v>20.186666666666667</v>
      </c>
      <c r="P130" s="49">
        <f>IF(COUNT(P100:P129)&gt;0,AVERAGE(P100:P129)/10,"")</f>
        <v>20.04</v>
      </c>
      <c r="Q130" s="51">
        <f>IF(COUNT(Q100:Q129)&gt;0,AVERAGE(Q100:Q129),"")</f>
        <v>77.63333333333334</v>
      </c>
      <c r="R130" s="53">
        <f>IF(COUNT(R100:R129)&gt;0,AVERAGE(R100:R129),"")</f>
        <v>72.433333333333337</v>
      </c>
      <c r="S130" s="54">
        <f>IF(COUNT(S100:S129)&gt;0,AVERAGE(S100:S129),"")</f>
        <v>74.966666666666669</v>
      </c>
      <c r="T130" s="26"/>
      <c r="U130" s="50">
        <f>IF(COUNT(U100:U129)&gt;0,AVERAGE(U100:U129)/10,"")</f>
        <v>0.41666666666666669</v>
      </c>
      <c r="V130" s="27"/>
      <c r="W130" s="50">
        <f>IF(COUNT(W100:W129)&gt;0,AVERAGE(W100:W129)/10,"")</f>
        <v>0.52666666666666662</v>
      </c>
      <c r="X130" s="26"/>
      <c r="Y130" s="50">
        <f>IF(COUNT(Y100:Y129)&gt;0,AVERAGE(Y100:Y129)/10,"")</f>
        <v>0.51</v>
      </c>
      <c r="Z130" s="60">
        <f>IF(COUNT(Z100:Z129)&gt;0,AVERAGE(Z100:Z129),"")</f>
        <v>3</v>
      </c>
      <c r="AA130" s="61">
        <f>IF(COUNT(AA100:AA129)&gt;0,AVERAGE(AA100:AA129),"")</f>
        <v>3.1</v>
      </c>
      <c r="AB130" s="62">
        <f>IF(COUNT(AB100:AB129)&gt;0,AVERAGE(AB100:AB129),"")</f>
        <v>2.9333333333333331</v>
      </c>
      <c r="AC130" s="45">
        <f>SUM(AC100:AC129)/10</f>
        <v>0</v>
      </c>
    </row>
    <row r="131" spans="1:29" x14ac:dyDescent="0.25">
      <c r="A131" s="1">
        <f t="shared" ca="1" si="4"/>
        <v>14732</v>
      </c>
      <c r="B131" s="74">
        <v>7595</v>
      </c>
      <c r="C131" s="74">
        <v>7600</v>
      </c>
      <c r="D131" s="74">
        <v>7589</v>
      </c>
      <c r="E131" s="28">
        <v>271</v>
      </c>
      <c r="F131" s="29">
        <v>236</v>
      </c>
      <c r="G131" s="28">
        <v>297</v>
      </c>
      <c r="H131" s="30">
        <v>248</v>
      </c>
      <c r="I131" s="29">
        <v>265</v>
      </c>
      <c r="J131" s="29">
        <v>238</v>
      </c>
      <c r="K131" s="34">
        <f t="shared" ref="K131:K161" si="9">IF(COUNT(E131,G131,I131)&gt;0,SUM(E131,G131,I131)/10,"")</f>
        <v>83.3</v>
      </c>
      <c r="L131" s="29">
        <v>324</v>
      </c>
      <c r="M131" s="30">
        <v>290</v>
      </c>
      <c r="N131" s="35">
        <v>201</v>
      </c>
      <c r="O131" s="36">
        <v>210</v>
      </c>
      <c r="P131" s="37">
        <v>208</v>
      </c>
      <c r="Q131" s="52">
        <v>75</v>
      </c>
      <c r="R131" s="55">
        <v>67</v>
      </c>
      <c r="S131" s="56">
        <v>80</v>
      </c>
      <c r="T131" s="40" t="s">
        <v>47</v>
      </c>
      <c r="U131" s="38">
        <v>5</v>
      </c>
      <c r="V131" s="41" t="s">
        <v>47</v>
      </c>
      <c r="W131" s="39">
        <v>6</v>
      </c>
      <c r="X131" s="40" t="s">
        <v>85</v>
      </c>
      <c r="Y131" s="39">
        <v>6</v>
      </c>
      <c r="Z131" s="57">
        <v>3</v>
      </c>
      <c r="AA131" s="58">
        <v>2</v>
      </c>
      <c r="AB131" s="59">
        <v>3</v>
      </c>
      <c r="AC131" s="42">
        <v>0</v>
      </c>
    </row>
    <row r="132" spans="1:29" x14ac:dyDescent="0.25">
      <c r="A132" s="1">
        <f t="shared" ca="1" si="4"/>
        <v>14733</v>
      </c>
      <c r="B132" s="74">
        <v>7605</v>
      </c>
      <c r="C132" s="74">
        <v>7605</v>
      </c>
      <c r="D132" s="74">
        <v>7602</v>
      </c>
      <c r="E132" s="28">
        <v>259</v>
      </c>
      <c r="F132" s="29">
        <v>236</v>
      </c>
      <c r="G132" s="28">
        <v>261</v>
      </c>
      <c r="H132" s="30">
        <v>236</v>
      </c>
      <c r="I132" s="29">
        <v>259</v>
      </c>
      <c r="J132" s="29">
        <v>234</v>
      </c>
      <c r="K132" s="34">
        <f t="shared" si="9"/>
        <v>77.900000000000006</v>
      </c>
      <c r="L132" s="29">
        <v>296</v>
      </c>
      <c r="M132" s="30">
        <v>276</v>
      </c>
      <c r="N132" s="35">
        <v>207</v>
      </c>
      <c r="O132" s="36">
        <v>206</v>
      </c>
      <c r="P132" s="37">
        <v>203</v>
      </c>
      <c r="Q132" s="52">
        <v>82</v>
      </c>
      <c r="R132" s="55">
        <v>81</v>
      </c>
      <c r="S132" s="56">
        <v>81</v>
      </c>
      <c r="T132" s="40" t="s">
        <v>47</v>
      </c>
      <c r="U132" s="38">
        <v>5</v>
      </c>
      <c r="V132" s="41" t="s">
        <v>47</v>
      </c>
      <c r="W132" s="39">
        <v>6</v>
      </c>
      <c r="X132" s="40" t="s">
        <v>85</v>
      </c>
      <c r="Y132" s="39">
        <v>6</v>
      </c>
      <c r="Z132" s="57">
        <v>2</v>
      </c>
      <c r="AA132" s="58">
        <v>2</v>
      </c>
      <c r="AB132" s="59">
        <v>2</v>
      </c>
      <c r="AC132" s="42">
        <v>0</v>
      </c>
    </row>
    <row r="133" spans="1:29" x14ac:dyDescent="0.25">
      <c r="A133" s="1">
        <f t="shared" ca="1" si="4"/>
        <v>14734</v>
      </c>
      <c r="B133" s="74">
        <v>7585</v>
      </c>
      <c r="C133" s="74">
        <v>7567</v>
      </c>
      <c r="D133" s="74">
        <v>7562</v>
      </c>
      <c r="E133" s="28">
        <v>263</v>
      </c>
      <c r="F133" s="29">
        <v>234</v>
      </c>
      <c r="G133" s="28">
        <v>267</v>
      </c>
      <c r="H133" s="30">
        <v>238</v>
      </c>
      <c r="I133" s="29">
        <v>259</v>
      </c>
      <c r="J133" s="29">
        <v>252</v>
      </c>
      <c r="K133" s="34">
        <f t="shared" si="9"/>
        <v>78.900000000000006</v>
      </c>
      <c r="L133" s="29">
        <v>300</v>
      </c>
      <c r="M133" s="30">
        <v>282</v>
      </c>
      <c r="N133" s="35">
        <v>201</v>
      </c>
      <c r="O133" s="36">
        <v>207</v>
      </c>
      <c r="P133" s="37">
        <v>207</v>
      </c>
      <c r="Q133" s="52">
        <v>78</v>
      </c>
      <c r="R133" s="55">
        <v>79</v>
      </c>
      <c r="S133" s="56">
        <v>95</v>
      </c>
      <c r="T133" s="40" t="s">
        <v>47</v>
      </c>
      <c r="U133" s="38">
        <v>4</v>
      </c>
      <c r="V133" s="41" t="s">
        <v>47</v>
      </c>
      <c r="W133" s="39">
        <v>6</v>
      </c>
      <c r="X133" s="40" t="s">
        <v>47</v>
      </c>
      <c r="Y133" s="39">
        <v>5</v>
      </c>
      <c r="Z133" s="57">
        <v>2</v>
      </c>
      <c r="AA133" s="58">
        <v>3</v>
      </c>
      <c r="AB133" s="59">
        <v>3</v>
      </c>
      <c r="AC133" s="42">
        <v>0</v>
      </c>
    </row>
    <row r="134" spans="1:29" x14ac:dyDescent="0.25">
      <c r="A134" s="1">
        <f t="shared" ca="1" si="4"/>
        <v>14735</v>
      </c>
      <c r="B134" s="74">
        <v>7585</v>
      </c>
      <c r="C134" s="74">
        <v>7592</v>
      </c>
      <c r="D134" s="74">
        <v>7582</v>
      </c>
      <c r="E134" s="28">
        <v>273</v>
      </c>
      <c r="F134" s="29">
        <v>236</v>
      </c>
      <c r="G134" s="28">
        <v>277</v>
      </c>
      <c r="H134" s="30">
        <v>238</v>
      </c>
      <c r="I134" s="29">
        <v>261</v>
      </c>
      <c r="J134" s="29">
        <v>232</v>
      </c>
      <c r="K134" s="34">
        <f t="shared" si="9"/>
        <v>81.099999999999994</v>
      </c>
      <c r="L134" s="29">
        <v>305</v>
      </c>
      <c r="M134" s="30">
        <v>290</v>
      </c>
      <c r="N134" s="35">
        <v>195</v>
      </c>
      <c r="O134" s="36">
        <v>202</v>
      </c>
      <c r="P134" s="37">
        <v>199</v>
      </c>
      <c r="Q134" s="52">
        <v>71</v>
      </c>
      <c r="R134" s="55">
        <v>72</v>
      </c>
      <c r="S134" s="56">
        <v>78</v>
      </c>
      <c r="T134" s="40" t="s">
        <v>47</v>
      </c>
      <c r="U134" s="38">
        <v>4</v>
      </c>
      <c r="V134" s="41" t="s">
        <v>47</v>
      </c>
      <c r="W134" s="39">
        <v>5</v>
      </c>
      <c r="X134" s="40" t="s">
        <v>85</v>
      </c>
      <c r="Y134" s="39">
        <v>4</v>
      </c>
      <c r="Z134" s="57">
        <v>3</v>
      </c>
      <c r="AA134" s="58">
        <v>3</v>
      </c>
      <c r="AB134" s="59">
        <v>2</v>
      </c>
      <c r="AC134" s="42">
        <v>0</v>
      </c>
    </row>
    <row r="135" spans="1:29" x14ac:dyDescent="0.25">
      <c r="A135" s="1">
        <f t="shared" ca="1" si="4"/>
        <v>14736</v>
      </c>
      <c r="B135" s="74">
        <v>7590</v>
      </c>
      <c r="C135" s="74">
        <v>7585</v>
      </c>
      <c r="D135" s="74">
        <v>7582</v>
      </c>
      <c r="E135" s="28">
        <v>270</v>
      </c>
      <c r="F135" s="29">
        <v>234</v>
      </c>
      <c r="G135" s="28">
        <v>275</v>
      </c>
      <c r="H135" s="30">
        <v>238</v>
      </c>
      <c r="I135" s="29">
        <v>267</v>
      </c>
      <c r="J135" s="29">
        <v>236</v>
      </c>
      <c r="K135" s="34">
        <f t="shared" si="9"/>
        <v>81.2</v>
      </c>
      <c r="L135" s="29">
        <v>300</v>
      </c>
      <c r="M135" s="30">
        <v>284</v>
      </c>
      <c r="N135" s="35">
        <v>198</v>
      </c>
      <c r="O135" s="36">
        <v>203</v>
      </c>
      <c r="P135" s="37">
        <v>203</v>
      </c>
      <c r="Q135" s="52">
        <v>74</v>
      </c>
      <c r="R135" s="55">
        <v>73</v>
      </c>
      <c r="S135" s="56">
        <v>77</v>
      </c>
      <c r="T135" s="40" t="s">
        <v>47</v>
      </c>
      <c r="U135" s="38">
        <v>5</v>
      </c>
      <c r="V135" s="41" t="s">
        <v>47</v>
      </c>
      <c r="W135" s="39">
        <v>6</v>
      </c>
      <c r="X135" s="40" t="s">
        <v>47</v>
      </c>
      <c r="Y135" s="39">
        <v>5</v>
      </c>
      <c r="Z135" s="57">
        <v>3</v>
      </c>
      <c r="AA135" s="58">
        <v>2</v>
      </c>
      <c r="AB135" s="59">
        <v>3</v>
      </c>
      <c r="AC135" s="42">
        <v>0</v>
      </c>
    </row>
    <row r="136" spans="1:29" x14ac:dyDescent="0.25">
      <c r="A136" s="1">
        <f t="shared" ref="A136:A199" ca="1" si="10">IF(ISTEXT(A135),A134+1,IF(MONTH(A135+1)=MONTH(A135),A135+1,"Totaal"))</f>
        <v>14737</v>
      </c>
      <c r="B136" s="74">
        <v>7585</v>
      </c>
      <c r="C136" s="74">
        <v>7595</v>
      </c>
      <c r="D136" s="74">
        <v>7589</v>
      </c>
      <c r="E136" s="28">
        <v>267</v>
      </c>
      <c r="F136" s="29">
        <v>228</v>
      </c>
      <c r="G136" s="28">
        <v>271</v>
      </c>
      <c r="H136" s="30">
        <v>234</v>
      </c>
      <c r="I136" s="29">
        <v>263</v>
      </c>
      <c r="J136" s="29">
        <v>230</v>
      </c>
      <c r="K136" s="34">
        <f t="shared" si="9"/>
        <v>80.099999999999994</v>
      </c>
      <c r="L136" s="29">
        <v>294</v>
      </c>
      <c r="M136" s="30">
        <v>282</v>
      </c>
      <c r="N136" s="35">
        <v>189</v>
      </c>
      <c r="O136" s="36">
        <v>197</v>
      </c>
      <c r="P136" s="37">
        <v>194</v>
      </c>
      <c r="Q136" s="52">
        <v>72</v>
      </c>
      <c r="R136" s="55">
        <v>73</v>
      </c>
      <c r="S136" s="56">
        <v>76</v>
      </c>
      <c r="T136" s="40" t="s">
        <v>47</v>
      </c>
      <c r="U136" s="38">
        <v>4</v>
      </c>
      <c r="V136" s="41" t="s">
        <v>47</v>
      </c>
      <c r="W136" s="39">
        <v>5</v>
      </c>
      <c r="X136" s="40" t="s">
        <v>85</v>
      </c>
      <c r="Y136" s="39">
        <v>4</v>
      </c>
      <c r="Z136" s="57">
        <v>3</v>
      </c>
      <c r="AA136" s="58">
        <v>2</v>
      </c>
      <c r="AB136" s="59">
        <v>2</v>
      </c>
      <c r="AC136" s="42">
        <v>0</v>
      </c>
    </row>
    <row r="137" spans="1:29" x14ac:dyDescent="0.25">
      <c r="A137" s="1">
        <f t="shared" ca="1" si="10"/>
        <v>14738</v>
      </c>
      <c r="B137" s="74">
        <v>7595</v>
      </c>
      <c r="C137" s="74">
        <v>7590</v>
      </c>
      <c r="D137" s="74">
        <v>7590</v>
      </c>
      <c r="E137" s="28">
        <v>263</v>
      </c>
      <c r="F137" s="29">
        <v>232</v>
      </c>
      <c r="G137" s="28">
        <v>269</v>
      </c>
      <c r="H137" s="30">
        <v>232</v>
      </c>
      <c r="I137" s="29">
        <v>261</v>
      </c>
      <c r="J137" s="29">
        <v>230</v>
      </c>
      <c r="K137" s="34">
        <f t="shared" si="9"/>
        <v>79.3</v>
      </c>
      <c r="L137" s="29">
        <v>298</v>
      </c>
      <c r="M137" s="30">
        <v>280</v>
      </c>
      <c r="N137" s="35">
        <v>198</v>
      </c>
      <c r="O137" s="36">
        <v>195</v>
      </c>
      <c r="P137" s="37">
        <v>195</v>
      </c>
      <c r="Q137" s="52">
        <v>77</v>
      </c>
      <c r="R137" s="55">
        <v>73</v>
      </c>
      <c r="S137" s="56">
        <v>77</v>
      </c>
      <c r="T137" s="40" t="s">
        <v>47</v>
      </c>
      <c r="U137" s="38">
        <v>4</v>
      </c>
      <c r="V137" s="41" t="s">
        <v>47</v>
      </c>
      <c r="W137" s="39">
        <v>5</v>
      </c>
      <c r="X137" s="40" t="s">
        <v>85</v>
      </c>
      <c r="Y137" s="39">
        <v>5</v>
      </c>
      <c r="Z137" s="57">
        <v>4</v>
      </c>
      <c r="AA137" s="58">
        <v>2</v>
      </c>
      <c r="AB137" s="59">
        <v>2</v>
      </c>
      <c r="AC137" s="42">
        <v>0</v>
      </c>
    </row>
    <row r="138" spans="1:29" x14ac:dyDescent="0.25">
      <c r="A138" s="1">
        <f t="shared" ca="1" si="10"/>
        <v>14739</v>
      </c>
      <c r="B138" s="74">
        <v>7592</v>
      </c>
      <c r="C138" s="74">
        <v>7577</v>
      </c>
      <c r="D138" s="74">
        <v>7567</v>
      </c>
      <c r="E138" s="28">
        <v>257</v>
      </c>
      <c r="F138" s="29">
        <v>234</v>
      </c>
      <c r="G138" s="28">
        <v>267</v>
      </c>
      <c r="H138" s="30">
        <v>238</v>
      </c>
      <c r="I138" s="29">
        <v>261</v>
      </c>
      <c r="J138" s="29">
        <v>232</v>
      </c>
      <c r="K138" s="34">
        <f t="shared" si="9"/>
        <v>78.5</v>
      </c>
      <c r="L138" s="29">
        <v>305</v>
      </c>
      <c r="M138" s="30">
        <v>275</v>
      </c>
      <c r="N138" s="35">
        <v>204</v>
      </c>
      <c r="O138" s="36">
        <v>207</v>
      </c>
      <c r="P138" s="37">
        <v>199</v>
      </c>
      <c r="Q138" s="52">
        <v>82</v>
      </c>
      <c r="R138" s="55">
        <v>79</v>
      </c>
      <c r="S138" s="56">
        <v>78</v>
      </c>
      <c r="T138" s="40" t="s">
        <v>47</v>
      </c>
      <c r="U138" s="38">
        <v>5</v>
      </c>
      <c r="V138" s="41" t="s">
        <v>47</v>
      </c>
      <c r="W138" s="39">
        <v>6</v>
      </c>
      <c r="X138" s="40" t="s">
        <v>85</v>
      </c>
      <c r="Y138" s="39">
        <v>6</v>
      </c>
      <c r="Z138" s="57">
        <v>3</v>
      </c>
      <c r="AA138" s="58">
        <v>4</v>
      </c>
      <c r="AB138" s="59">
        <v>3</v>
      </c>
      <c r="AC138" s="42">
        <v>0</v>
      </c>
    </row>
    <row r="139" spans="1:29" x14ac:dyDescent="0.25">
      <c r="A139" s="1">
        <f t="shared" ca="1" si="10"/>
        <v>14740</v>
      </c>
      <c r="B139" s="74">
        <v>7585</v>
      </c>
      <c r="C139" s="74">
        <v>7590</v>
      </c>
      <c r="D139" s="74">
        <v>7590</v>
      </c>
      <c r="E139" s="28">
        <v>273</v>
      </c>
      <c r="F139" s="29">
        <v>236</v>
      </c>
      <c r="G139" s="28">
        <v>265</v>
      </c>
      <c r="H139" s="30">
        <v>238</v>
      </c>
      <c r="I139" s="29">
        <v>259</v>
      </c>
      <c r="J139" s="29">
        <v>232</v>
      </c>
      <c r="K139" s="34">
        <f t="shared" si="9"/>
        <v>79.7</v>
      </c>
      <c r="L139" s="29">
        <v>295</v>
      </c>
      <c r="M139" s="30">
        <v>280</v>
      </c>
      <c r="N139" s="35">
        <v>200</v>
      </c>
      <c r="O139" s="36">
        <v>208</v>
      </c>
      <c r="P139" s="37">
        <v>200</v>
      </c>
      <c r="Q139" s="52">
        <v>73</v>
      </c>
      <c r="R139" s="55">
        <v>80</v>
      </c>
      <c r="S139" s="56">
        <v>80</v>
      </c>
      <c r="T139" s="40" t="s">
        <v>47</v>
      </c>
      <c r="U139" s="38">
        <v>5</v>
      </c>
      <c r="V139" s="41" t="s">
        <v>47</v>
      </c>
      <c r="W139" s="39">
        <v>6</v>
      </c>
      <c r="X139" s="40" t="s">
        <v>85</v>
      </c>
      <c r="Y139" s="39">
        <v>6</v>
      </c>
      <c r="Z139" s="57">
        <v>3</v>
      </c>
      <c r="AA139" s="58">
        <v>3</v>
      </c>
      <c r="AB139" s="59">
        <v>3</v>
      </c>
      <c r="AC139" s="42">
        <v>0</v>
      </c>
    </row>
    <row r="140" spans="1:29" x14ac:dyDescent="0.25">
      <c r="A140" s="1">
        <f t="shared" ca="1" si="10"/>
        <v>14741</v>
      </c>
      <c r="B140" s="74">
        <v>7572</v>
      </c>
      <c r="C140" s="74">
        <v>7577</v>
      </c>
      <c r="D140" s="74">
        <v>7567</v>
      </c>
      <c r="E140" s="28">
        <v>257</v>
      </c>
      <c r="F140" s="29">
        <v>234</v>
      </c>
      <c r="G140" s="28">
        <v>265</v>
      </c>
      <c r="H140" s="30">
        <v>238</v>
      </c>
      <c r="I140" s="29">
        <v>261</v>
      </c>
      <c r="J140" s="29">
        <v>232</v>
      </c>
      <c r="K140" s="34">
        <f t="shared" si="9"/>
        <v>78.3</v>
      </c>
      <c r="L140" s="29">
        <v>300</v>
      </c>
      <c r="M140" s="30">
        <v>275</v>
      </c>
      <c r="N140" s="35">
        <v>204</v>
      </c>
      <c r="O140" s="36">
        <v>208</v>
      </c>
      <c r="P140" s="37">
        <v>199</v>
      </c>
      <c r="Q140" s="52">
        <v>82</v>
      </c>
      <c r="R140" s="55">
        <v>80</v>
      </c>
      <c r="S140" s="56">
        <v>78</v>
      </c>
      <c r="T140" s="40" t="s">
        <v>47</v>
      </c>
      <c r="U140" s="38">
        <v>5</v>
      </c>
      <c r="V140" s="41" t="s">
        <v>47</v>
      </c>
      <c r="W140" s="39">
        <v>6</v>
      </c>
      <c r="X140" s="40" t="s">
        <v>85</v>
      </c>
      <c r="Y140" s="39">
        <v>5</v>
      </c>
      <c r="Z140" s="57">
        <v>3</v>
      </c>
      <c r="AA140" s="58">
        <v>2</v>
      </c>
      <c r="AB140" s="59">
        <v>3</v>
      </c>
      <c r="AC140" s="42">
        <v>0</v>
      </c>
    </row>
    <row r="141" spans="1:29" x14ac:dyDescent="0.25">
      <c r="A141" s="1">
        <f t="shared" ca="1" si="10"/>
        <v>14742</v>
      </c>
      <c r="B141" s="74">
        <v>7574</v>
      </c>
      <c r="C141" s="74">
        <v>7567</v>
      </c>
      <c r="D141" s="74">
        <v>7564</v>
      </c>
      <c r="E141" s="28">
        <v>267</v>
      </c>
      <c r="F141" s="29">
        <v>242</v>
      </c>
      <c r="G141" s="28">
        <v>269</v>
      </c>
      <c r="H141" s="30">
        <v>245</v>
      </c>
      <c r="I141" s="29">
        <v>261</v>
      </c>
      <c r="J141" s="29">
        <v>234</v>
      </c>
      <c r="K141" s="34">
        <f t="shared" si="9"/>
        <v>79.7</v>
      </c>
      <c r="L141" s="29">
        <v>300</v>
      </c>
      <c r="M141" s="30">
        <v>280</v>
      </c>
      <c r="N141" s="35">
        <v>214</v>
      </c>
      <c r="O141" s="36">
        <v>219</v>
      </c>
      <c r="P141" s="37">
        <v>202</v>
      </c>
      <c r="Q141" s="52">
        <v>81</v>
      </c>
      <c r="R141" s="55">
        <v>82</v>
      </c>
      <c r="S141" s="56">
        <v>80</v>
      </c>
      <c r="T141" s="40" t="s">
        <v>47</v>
      </c>
      <c r="U141" s="38">
        <v>4</v>
      </c>
      <c r="V141" s="41" t="s">
        <v>47</v>
      </c>
      <c r="W141" s="39">
        <v>6</v>
      </c>
      <c r="X141" s="40" t="s">
        <v>85</v>
      </c>
      <c r="Y141" s="39">
        <v>5</v>
      </c>
      <c r="Z141" s="57">
        <v>2</v>
      </c>
      <c r="AA141" s="58">
        <v>3</v>
      </c>
      <c r="AB141" s="59">
        <v>2</v>
      </c>
      <c r="AC141" s="42">
        <v>0</v>
      </c>
    </row>
    <row r="142" spans="1:29" x14ac:dyDescent="0.25">
      <c r="A142" s="1">
        <f t="shared" ca="1" si="10"/>
        <v>14743</v>
      </c>
      <c r="B142" s="74">
        <v>7582</v>
      </c>
      <c r="C142" s="74">
        <v>7582</v>
      </c>
      <c r="D142" s="74">
        <v>7582</v>
      </c>
      <c r="E142" s="28">
        <v>261</v>
      </c>
      <c r="F142" s="29">
        <v>234</v>
      </c>
      <c r="G142" s="28">
        <v>271</v>
      </c>
      <c r="H142" s="30">
        <v>238</v>
      </c>
      <c r="I142" s="29">
        <v>261</v>
      </c>
      <c r="J142" s="29">
        <v>232</v>
      </c>
      <c r="K142" s="34">
        <f t="shared" si="9"/>
        <v>79.3</v>
      </c>
      <c r="L142" s="29">
        <v>300</v>
      </c>
      <c r="M142" s="30">
        <v>284</v>
      </c>
      <c r="N142" s="35">
        <v>202</v>
      </c>
      <c r="O142" s="36">
        <v>205</v>
      </c>
      <c r="P142" s="37">
        <v>199</v>
      </c>
      <c r="Q142" s="52">
        <v>80</v>
      </c>
      <c r="R142" s="55">
        <v>76</v>
      </c>
      <c r="S142" s="56">
        <v>78</v>
      </c>
      <c r="T142" s="40" t="s">
        <v>46</v>
      </c>
      <c r="U142" s="38">
        <v>4</v>
      </c>
      <c r="V142" s="41" t="s">
        <v>47</v>
      </c>
      <c r="W142" s="39">
        <v>6</v>
      </c>
      <c r="X142" s="40" t="s">
        <v>85</v>
      </c>
      <c r="Y142" s="39">
        <v>5</v>
      </c>
      <c r="Z142" s="57">
        <v>3</v>
      </c>
      <c r="AA142" s="58">
        <v>2</v>
      </c>
      <c r="AB142" s="59">
        <v>3</v>
      </c>
      <c r="AC142" s="42">
        <v>0</v>
      </c>
    </row>
    <row r="143" spans="1:29" x14ac:dyDescent="0.25">
      <c r="A143" s="1">
        <f t="shared" ca="1" si="10"/>
        <v>14744</v>
      </c>
      <c r="B143" s="74">
        <v>7582</v>
      </c>
      <c r="C143" s="74">
        <v>7577</v>
      </c>
      <c r="D143" s="74">
        <v>7579</v>
      </c>
      <c r="E143" s="28">
        <v>263</v>
      </c>
      <c r="F143" s="29">
        <v>236</v>
      </c>
      <c r="G143" s="28">
        <v>277</v>
      </c>
      <c r="H143" s="30">
        <v>241</v>
      </c>
      <c r="I143" s="29">
        <v>268</v>
      </c>
      <c r="J143" s="29">
        <v>234</v>
      </c>
      <c r="K143" s="34">
        <f t="shared" si="9"/>
        <v>80.8</v>
      </c>
      <c r="L143" s="29">
        <v>314</v>
      </c>
      <c r="M143" s="30">
        <v>294</v>
      </c>
      <c r="N143" s="35">
        <v>205</v>
      </c>
      <c r="O143" s="36">
        <v>207</v>
      </c>
      <c r="P143" s="37">
        <v>199</v>
      </c>
      <c r="Q143" s="52">
        <v>80</v>
      </c>
      <c r="R143" s="55">
        <v>74</v>
      </c>
      <c r="S143" s="56">
        <v>75</v>
      </c>
      <c r="T143" s="40" t="s">
        <v>47</v>
      </c>
      <c r="U143" s="38">
        <v>4</v>
      </c>
      <c r="V143" s="41" t="s">
        <v>47</v>
      </c>
      <c r="W143" s="39">
        <v>5</v>
      </c>
      <c r="X143" s="40" t="s">
        <v>85</v>
      </c>
      <c r="Y143" s="39">
        <v>6</v>
      </c>
      <c r="Z143" s="57">
        <v>2</v>
      </c>
      <c r="AA143" s="58">
        <v>3</v>
      </c>
      <c r="AB143" s="59">
        <v>2</v>
      </c>
      <c r="AC143" s="42">
        <v>0</v>
      </c>
    </row>
    <row r="144" spans="1:29" x14ac:dyDescent="0.25">
      <c r="A144" s="1">
        <f t="shared" ca="1" si="10"/>
        <v>14745</v>
      </c>
      <c r="B144" s="74">
        <v>7574</v>
      </c>
      <c r="C144" s="74">
        <v>7567</v>
      </c>
      <c r="D144" s="74">
        <v>7564</v>
      </c>
      <c r="E144" s="28">
        <v>259</v>
      </c>
      <c r="F144" s="29">
        <v>232</v>
      </c>
      <c r="G144" s="28">
        <v>269</v>
      </c>
      <c r="H144" s="30">
        <v>238</v>
      </c>
      <c r="I144" s="29">
        <v>261</v>
      </c>
      <c r="J144" s="29">
        <v>230</v>
      </c>
      <c r="K144" s="34">
        <f t="shared" si="9"/>
        <v>78.900000000000006</v>
      </c>
      <c r="L144" s="29">
        <v>304</v>
      </c>
      <c r="M144" s="30">
        <v>284</v>
      </c>
      <c r="N144" s="35">
        <v>200</v>
      </c>
      <c r="O144" s="36">
        <v>206</v>
      </c>
      <c r="P144" s="37">
        <v>195</v>
      </c>
      <c r="Q144" s="52">
        <v>80</v>
      </c>
      <c r="R144" s="55">
        <v>77</v>
      </c>
      <c r="S144" s="56">
        <v>77</v>
      </c>
      <c r="T144" s="40" t="s">
        <v>47</v>
      </c>
      <c r="U144" s="38">
        <v>5</v>
      </c>
      <c r="V144" s="41" t="s">
        <v>47</v>
      </c>
      <c r="W144" s="39">
        <v>6</v>
      </c>
      <c r="X144" s="40" t="s">
        <v>85</v>
      </c>
      <c r="Y144" s="39">
        <v>6</v>
      </c>
      <c r="Z144" s="57">
        <v>4</v>
      </c>
      <c r="AA144" s="58">
        <v>5</v>
      </c>
      <c r="AB144" s="59">
        <v>4</v>
      </c>
      <c r="AC144" s="42">
        <v>0</v>
      </c>
    </row>
    <row r="145" spans="1:29" x14ac:dyDescent="0.25">
      <c r="A145" s="1">
        <f t="shared" ca="1" si="10"/>
        <v>14746</v>
      </c>
      <c r="B145" s="74">
        <v>7582</v>
      </c>
      <c r="C145" s="74">
        <v>7579</v>
      </c>
      <c r="D145" s="74">
        <v>7577</v>
      </c>
      <c r="E145" s="28">
        <v>273</v>
      </c>
      <c r="F145" s="29">
        <v>232</v>
      </c>
      <c r="G145" s="28">
        <v>276</v>
      </c>
      <c r="H145" s="30">
        <v>236</v>
      </c>
      <c r="I145" s="29">
        <v>269</v>
      </c>
      <c r="J145" s="29">
        <v>230</v>
      </c>
      <c r="K145" s="34">
        <f t="shared" si="9"/>
        <v>81.8</v>
      </c>
      <c r="L145" s="29">
        <v>295</v>
      </c>
      <c r="M145" s="30">
        <v>284</v>
      </c>
      <c r="N145" s="35">
        <v>193</v>
      </c>
      <c r="O145" s="36">
        <v>198</v>
      </c>
      <c r="P145" s="37">
        <v>191</v>
      </c>
      <c r="Q145" s="52">
        <v>71</v>
      </c>
      <c r="R145" s="55">
        <v>72</v>
      </c>
      <c r="S145" s="56">
        <v>72</v>
      </c>
      <c r="T145" s="40" t="s">
        <v>47</v>
      </c>
      <c r="U145" s="38">
        <v>5</v>
      </c>
      <c r="V145" s="41" t="s">
        <v>47</v>
      </c>
      <c r="W145" s="39">
        <v>6</v>
      </c>
      <c r="X145" s="40" t="s">
        <v>85</v>
      </c>
      <c r="Y145" s="39">
        <v>6</v>
      </c>
      <c r="Z145" s="57">
        <v>3</v>
      </c>
      <c r="AA145" s="58">
        <v>4</v>
      </c>
      <c r="AB145" s="59">
        <v>3</v>
      </c>
      <c r="AC145" s="42">
        <v>0</v>
      </c>
    </row>
    <row r="146" spans="1:29" x14ac:dyDescent="0.25">
      <c r="A146" s="1">
        <f t="shared" ca="1" si="10"/>
        <v>14747</v>
      </c>
      <c r="B146" s="74">
        <v>7585</v>
      </c>
      <c r="C146" s="74">
        <v>7579</v>
      </c>
      <c r="D146" s="74">
        <v>7577</v>
      </c>
      <c r="E146" s="28">
        <v>271</v>
      </c>
      <c r="F146" s="29">
        <v>238</v>
      </c>
      <c r="G146" s="28">
        <v>305</v>
      </c>
      <c r="H146" s="30">
        <v>250</v>
      </c>
      <c r="I146" s="29">
        <v>275</v>
      </c>
      <c r="J146" s="29">
        <v>240</v>
      </c>
      <c r="K146" s="34">
        <f t="shared" si="9"/>
        <v>85.1</v>
      </c>
      <c r="L146" s="29">
        <v>321</v>
      </c>
      <c r="M146" s="30">
        <v>315</v>
      </c>
      <c r="N146" s="35">
        <v>205</v>
      </c>
      <c r="O146" s="36">
        <v>210</v>
      </c>
      <c r="P146" s="37">
        <v>206</v>
      </c>
      <c r="Q146" s="52">
        <v>76</v>
      </c>
      <c r="R146" s="55">
        <v>64</v>
      </c>
      <c r="S146" s="56">
        <v>75</v>
      </c>
      <c r="T146" s="40" t="s">
        <v>47</v>
      </c>
      <c r="U146" s="38">
        <v>5</v>
      </c>
      <c r="V146" s="41" t="s">
        <v>47</v>
      </c>
      <c r="W146" s="39">
        <v>6</v>
      </c>
      <c r="X146" s="40" t="s">
        <v>47</v>
      </c>
      <c r="Y146" s="39">
        <v>6</v>
      </c>
      <c r="Z146" s="57">
        <v>4</v>
      </c>
      <c r="AA146" s="58">
        <v>3</v>
      </c>
      <c r="AB146" s="59">
        <v>4</v>
      </c>
      <c r="AC146" s="42">
        <v>0</v>
      </c>
    </row>
    <row r="147" spans="1:29" x14ac:dyDescent="0.25">
      <c r="A147" s="1">
        <f t="shared" ca="1" si="10"/>
        <v>14748</v>
      </c>
      <c r="B147" s="74">
        <v>7577</v>
      </c>
      <c r="C147" s="74">
        <v>7554</v>
      </c>
      <c r="D147" s="74">
        <v>7557</v>
      </c>
      <c r="E147" s="28">
        <v>285</v>
      </c>
      <c r="F147" s="29">
        <v>234</v>
      </c>
      <c r="G147" s="28">
        <v>289</v>
      </c>
      <c r="H147" s="30">
        <v>236</v>
      </c>
      <c r="I147" s="29">
        <v>273</v>
      </c>
      <c r="J147" s="29">
        <v>230</v>
      </c>
      <c r="K147" s="34">
        <f t="shared" si="9"/>
        <v>84.7</v>
      </c>
      <c r="L147" s="29">
        <v>314</v>
      </c>
      <c r="M147" s="30">
        <v>298</v>
      </c>
      <c r="N147" s="35">
        <v>190</v>
      </c>
      <c r="O147" s="36">
        <v>192</v>
      </c>
      <c r="P147" s="37">
        <v>189</v>
      </c>
      <c r="Q147" s="52">
        <v>65</v>
      </c>
      <c r="R147" s="55">
        <v>64</v>
      </c>
      <c r="S147" s="56">
        <v>69</v>
      </c>
      <c r="T147" s="40" t="s">
        <v>47</v>
      </c>
      <c r="U147" s="38">
        <v>4</v>
      </c>
      <c r="V147" s="41" t="s">
        <v>47</v>
      </c>
      <c r="W147" s="39">
        <v>5</v>
      </c>
      <c r="X147" s="40" t="s">
        <v>47</v>
      </c>
      <c r="Y147" s="39">
        <v>5</v>
      </c>
      <c r="Z147" s="57">
        <v>3</v>
      </c>
      <c r="AA147" s="58">
        <v>3</v>
      </c>
      <c r="AB147" s="59">
        <v>4</v>
      </c>
      <c r="AC147" s="42">
        <v>0</v>
      </c>
    </row>
    <row r="148" spans="1:29" x14ac:dyDescent="0.25">
      <c r="A148" s="1">
        <f t="shared" ca="1" si="10"/>
        <v>14749</v>
      </c>
      <c r="B148" s="74">
        <v>7572</v>
      </c>
      <c r="C148" s="74">
        <v>7579</v>
      </c>
      <c r="D148" s="74">
        <v>7574</v>
      </c>
      <c r="E148" s="28">
        <v>291</v>
      </c>
      <c r="F148" s="29">
        <v>250</v>
      </c>
      <c r="G148" s="28">
        <v>293</v>
      </c>
      <c r="H148" s="30">
        <v>236</v>
      </c>
      <c r="I148" s="29">
        <v>289</v>
      </c>
      <c r="J148" s="29">
        <v>230</v>
      </c>
      <c r="K148" s="34">
        <f t="shared" si="9"/>
        <v>87.3</v>
      </c>
      <c r="L148" s="29">
        <v>305</v>
      </c>
      <c r="M148" s="30">
        <v>293</v>
      </c>
      <c r="N148" s="35">
        <v>217</v>
      </c>
      <c r="O148" s="36">
        <v>190</v>
      </c>
      <c r="P148" s="37">
        <v>181</v>
      </c>
      <c r="Q148" s="52">
        <v>72</v>
      </c>
      <c r="R148" s="55">
        <v>62</v>
      </c>
      <c r="S148" s="56">
        <v>60</v>
      </c>
      <c r="T148" s="40" t="s">
        <v>47</v>
      </c>
      <c r="U148" s="38">
        <v>3</v>
      </c>
      <c r="V148" s="41" t="s">
        <v>47</v>
      </c>
      <c r="W148" s="39">
        <v>4</v>
      </c>
      <c r="X148" s="40" t="s">
        <v>47</v>
      </c>
      <c r="Y148" s="39">
        <v>4</v>
      </c>
      <c r="Z148" s="57">
        <v>3</v>
      </c>
      <c r="AA148" s="58">
        <v>4</v>
      </c>
      <c r="AB148" s="59">
        <v>3</v>
      </c>
      <c r="AC148" s="42">
        <v>0</v>
      </c>
    </row>
    <row r="149" spans="1:29" x14ac:dyDescent="0.25">
      <c r="A149" s="1">
        <f t="shared" ca="1" si="10"/>
        <v>14750</v>
      </c>
      <c r="B149" s="74">
        <v>7569</v>
      </c>
      <c r="C149" s="74">
        <v>7567</v>
      </c>
      <c r="D149" s="74">
        <v>7544</v>
      </c>
      <c r="E149" s="28">
        <v>267</v>
      </c>
      <c r="F149" s="29">
        <v>238</v>
      </c>
      <c r="G149" s="28">
        <v>273</v>
      </c>
      <c r="H149" s="30">
        <v>244</v>
      </c>
      <c r="I149" s="29">
        <v>270</v>
      </c>
      <c r="J149" s="29">
        <v>236</v>
      </c>
      <c r="K149" s="34">
        <f t="shared" si="9"/>
        <v>81</v>
      </c>
      <c r="L149" s="29">
        <v>270</v>
      </c>
      <c r="M149" s="30">
        <v>258</v>
      </c>
      <c r="N149" s="35">
        <v>207</v>
      </c>
      <c r="O149" s="36">
        <v>215</v>
      </c>
      <c r="P149" s="37">
        <v>201</v>
      </c>
      <c r="Q149" s="52">
        <v>79</v>
      </c>
      <c r="R149" s="55">
        <v>79</v>
      </c>
      <c r="S149" s="56">
        <v>75</v>
      </c>
      <c r="T149" s="40" t="s">
        <v>47</v>
      </c>
      <c r="U149" s="38">
        <v>2</v>
      </c>
      <c r="V149" s="41" t="s">
        <v>47</v>
      </c>
      <c r="W149" s="39">
        <v>3</v>
      </c>
      <c r="X149" s="40" t="s">
        <v>47</v>
      </c>
      <c r="Y149" s="39">
        <v>3</v>
      </c>
      <c r="Z149" s="57">
        <v>3</v>
      </c>
      <c r="AA149" s="58">
        <v>2</v>
      </c>
      <c r="AB149" s="59">
        <v>4</v>
      </c>
      <c r="AC149" s="42">
        <v>0</v>
      </c>
    </row>
    <row r="150" spans="1:29" x14ac:dyDescent="0.25">
      <c r="A150" s="1">
        <f t="shared" ca="1" si="10"/>
        <v>14751</v>
      </c>
      <c r="B150" s="74">
        <v>7569</v>
      </c>
      <c r="C150" s="74">
        <v>7574</v>
      </c>
      <c r="D150" s="74">
        <v>7569</v>
      </c>
      <c r="E150" s="28">
        <v>270</v>
      </c>
      <c r="F150" s="29">
        <v>252</v>
      </c>
      <c r="G150" s="28">
        <v>276</v>
      </c>
      <c r="H150" s="30">
        <v>258</v>
      </c>
      <c r="I150" s="29">
        <v>268</v>
      </c>
      <c r="J150" s="29">
        <v>244</v>
      </c>
      <c r="K150" s="34">
        <f t="shared" si="9"/>
        <v>81.400000000000006</v>
      </c>
      <c r="L150" s="29">
        <v>294</v>
      </c>
      <c r="M150" s="30">
        <v>284</v>
      </c>
      <c r="N150" s="35">
        <v>231</v>
      </c>
      <c r="O150" s="36">
        <v>240</v>
      </c>
      <c r="P150" s="37">
        <v>217</v>
      </c>
      <c r="Q150" s="52">
        <v>87</v>
      </c>
      <c r="R150" s="55">
        <v>87</v>
      </c>
      <c r="S150" s="56">
        <v>82</v>
      </c>
      <c r="T150" s="40" t="s">
        <v>82</v>
      </c>
      <c r="U150" s="38">
        <v>1</v>
      </c>
      <c r="V150" s="41" t="s">
        <v>82</v>
      </c>
      <c r="W150" s="39">
        <v>1</v>
      </c>
      <c r="X150" s="40" t="s">
        <v>82</v>
      </c>
      <c r="Y150" s="39">
        <v>1</v>
      </c>
      <c r="Z150" s="57">
        <v>8</v>
      </c>
      <c r="AA150" s="58">
        <v>9</v>
      </c>
      <c r="AB150" s="59">
        <v>9</v>
      </c>
      <c r="AC150" s="42">
        <v>45</v>
      </c>
    </row>
    <row r="151" spans="1:29" x14ac:dyDescent="0.25">
      <c r="A151" s="1">
        <f t="shared" ca="1" si="10"/>
        <v>14752</v>
      </c>
      <c r="B151" s="74">
        <v>7582</v>
      </c>
      <c r="C151" s="74">
        <v>7582</v>
      </c>
      <c r="D151" s="74">
        <v>7582</v>
      </c>
      <c r="E151" s="28">
        <v>271</v>
      </c>
      <c r="F151" s="29">
        <v>248</v>
      </c>
      <c r="G151" s="28">
        <v>271</v>
      </c>
      <c r="H151" s="30">
        <v>250</v>
      </c>
      <c r="I151" s="29">
        <v>267</v>
      </c>
      <c r="J151" s="29">
        <v>248</v>
      </c>
      <c r="K151" s="34">
        <f t="shared" si="9"/>
        <v>80.900000000000006</v>
      </c>
      <c r="L151" s="29">
        <v>294</v>
      </c>
      <c r="M151" s="30">
        <v>280</v>
      </c>
      <c r="N151" s="35">
        <v>223</v>
      </c>
      <c r="O151" s="36">
        <v>227</v>
      </c>
      <c r="P151" s="37">
        <v>225</v>
      </c>
      <c r="Q151" s="52">
        <v>83</v>
      </c>
      <c r="R151" s="55">
        <v>84</v>
      </c>
      <c r="S151" s="56">
        <v>86</v>
      </c>
      <c r="T151" s="40" t="s">
        <v>85</v>
      </c>
      <c r="U151" s="38">
        <v>1</v>
      </c>
      <c r="V151" s="41" t="s">
        <v>86</v>
      </c>
      <c r="W151" s="39">
        <v>1</v>
      </c>
      <c r="X151" s="40" t="s">
        <v>86</v>
      </c>
      <c r="Y151" s="39">
        <v>1</v>
      </c>
      <c r="Z151" s="57">
        <v>7</v>
      </c>
      <c r="AA151" s="58">
        <v>8</v>
      </c>
      <c r="AB151" s="59">
        <v>7</v>
      </c>
      <c r="AC151" s="42">
        <v>15</v>
      </c>
    </row>
    <row r="152" spans="1:29" x14ac:dyDescent="0.25">
      <c r="A152" s="1">
        <f t="shared" ca="1" si="10"/>
        <v>14753</v>
      </c>
      <c r="B152" s="74">
        <v>7595</v>
      </c>
      <c r="C152" s="74">
        <v>7592</v>
      </c>
      <c r="D152" s="74">
        <v>7579</v>
      </c>
      <c r="E152" s="28">
        <v>271</v>
      </c>
      <c r="F152" s="29">
        <v>246</v>
      </c>
      <c r="G152" s="28">
        <v>301</v>
      </c>
      <c r="H152" s="30">
        <v>252</v>
      </c>
      <c r="I152" s="29">
        <v>266</v>
      </c>
      <c r="J152" s="29">
        <v>246</v>
      </c>
      <c r="K152" s="34">
        <f t="shared" si="9"/>
        <v>83.8</v>
      </c>
      <c r="L152" s="29">
        <v>315</v>
      </c>
      <c r="M152" s="30">
        <v>280</v>
      </c>
      <c r="N152" s="35">
        <v>220</v>
      </c>
      <c r="O152" s="36">
        <v>216</v>
      </c>
      <c r="P152" s="37">
        <v>222</v>
      </c>
      <c r="Q152" s="52">
        <v>82</v>
      </c>
      <c r="R152" s="55">
        <v>67</v>
      </c>
      <c r="S152" s="56">
        <v>85</v>
      </c>
      <c r="T152" s="40" t="s">
        <v>47</v>
      </c>
      <c r="U152" s="38">
        <v>3</v>
      </c>
      <c r="V152" s="41" t="s">
        <v>47</v>
      </c>
      <c r="W152" s="39">
        <v>4</v>
      </c>
      <c r="X152" s="40" t="s">
        <v>47</v>
      </c>
      <c r="Y152" s="39">
        <v>4</v>
      </c>
      <c r="Z152" s="57">
        <v>3</v>
      </c>
      <c r="AA152" s="58">
        <v>3</v>
      </c>
      <c r="AB152" s="59">
        <v>3</v>
      </c>
      <c r="AC152" s="42">
        <v>0</v>
      </c>
    </row>
    <row r="153" spans="1:29" x14ac:dyDescent="0.25">
      <c r="A153" s="1">
        <f t="shared" ca="1" si="10"/>
        <v>14754</v>
      </c>
      <c r="B153" s="74">
        <v>7582</v>
      </c>
      <c r="C153" s="74">
        <v>7592</v>
      </c>
      <c r="D153" s="74">
        <v>7582</v>
      </c>
      <c r="E153" s="28">
        <v>261</v>
      </c>
      <c r="F153" s="29">
        <v>236</v>
      </c>
      <c r="G153" s="28">
        <v>263</v>
      </c>
      <c r="H153" s="30">
        <v>236</v>
      </c>
      <c r="I153" s="29">
        <v>259</v>
      </c>
      <c r="J153" s="29">
        <v>230</v>
      </c>
      <c r="K153" s="34">
        <f t="shared" si="9"/>
        <v>78.3</v>
      </c>
      <c r="L153" s="29">
        <v>315</v>
      </c>
      <c r="M153" s="30">
        <v>284</v>
      </c>
      <c r="N153" s="35">
        <v>206</v>
      </c>
      <c r="O153" s="36">
        <v>205</v>
      </c>
      <c r="P153" s="37">
        <v>196</v>
      </c>
      <c r="Q153" s="52">
        <v>81</v>
      </c>
      <c r="R153" s="55">
        <v>80</v>
      </c>
      <c r="S153" s="56">
        <v>78</v>
      </c>
      <c r="T153" s="40" t="s">
        <v>47</v>
      </c>
      <c r="U153" s="38">
        <v>3</v>
      </c>
      <c r="V153" s="41" t="s">
        <v>47</v>
      </c>
      <c r="W153" s="39">
        <v>5</v>
      </c>
      <c r="X153" s="40" t="s">
        <v>47</v>
      </c>
      <c r="Y153" s="39">
        <v>5</v>
      </c>
      <c r="Z153" s="57">
        <v>3</v>
      </c>
      <c r="AA153" s="58">
        <v>2</v>
      </c>
      <c r="AB153" s="59">
        <v>2</v>
      </c>
      <c r="AC153" s="42">
        <v>0</v>
      </c>
    </row>
    <row r="154" spans="1:29" x14ac:dyDescent="0.25">
      <c r="A154" s="1">
        <f t="shared" ca="1" si="10"/>
        <v>14755</v>
      </c>
      <c r="B154" s="74">
        <v>7569</v>
      </c>
      <c r="C154" s="74">
        <v>7569</v>
      </c>
      <c r="D154" s="74">
        <v>7569</v>
      </c>
      <c r="E154" s="28">
        <v>255</v>
      </c>
      <c r="F154" s="29">
        <v>234</v>
      </c>
      <c r="G154" s="28">
        <v>259</v>
      </c>
      <c r="H154" s="30">
        <v>234</v>
      </c>
      <c r="I154" s="29">
        <v>255</v>
      </c>
      <c r="J154" s="29">
        <v>230</v>
      </c>
      <c r="K154" s="34">
        <f t="shared" si="9"/>
        <v>76.900000000000006</v>
      </c>
      <c r="L154" s="29">
        <v>300</v>
      </c>
      <c r="M154" s="30">
        <v>287</v>
      </c>
      <c r="N154" s="35">
        <v>205</v>
      </c>
      <c r="O154" s="36">
        <v>203</v>
      </c>
      <c r="P154" s="37">
        <v>198</v>
      </c>
      <c r="Q154" s="52">
        <v>84</v>
      </c>
      <c r="R154" s="55">
        <v>81</v>
      </c>
      <c r="S154" s="56">
        <v>81</v>
      </c>
      <c r="T154" s="40" t="s">
        <v>46</v>
      </c>
      <c r="U154" s="38">
        <v>3</v>
      </c>
      <c r="V154" s="41" t="s">
        <v>47</v>
      </c>
      <c r="W154" s="39">
        <v>4</v>
      </c>
      <c r="X154" s="40" t="s">
        <v>47</v>
      </c>
      <c r="Y154" s="39">
        <v>4</v>
      </c>
      <c r="Z154" s="57">
        <v>4</v>
      </c>
      <c r="AA154" s="58">
        <v>3</v>
      </c>
      <c r="AB154" s="59">
        <v>3</v>
      </c>
      <c r="AC154" s="42">
        <v>0</v>
      </c>
    </row>
    <row r="155" spans="1:29" x14ac:dyDescent="0.25">
      <c r="A155" s="1">
        <f t="shared" ca="1" si="10"/>
        <v>14756</v>
      </c>
      <c r="B155" s="74">
        <v>7574</v>
      </c>
      <c r="C155" s="74">
        <v>7579</v>
      </c>
      <c r="D155" s="74">
        <v>7579</v>
      </c>
      <c r="E155" s="28">
        <v>266</v>
      </c>
      <c r="F155" s="29">
        <v>233</v>
      </c>
      <c r="G155" s="28">
        <v>273</v>
      </c>
      <c r="H155" s="30">
        <v>238</v>
      </c>
      <c r="I155" s="29">
        <v>251</v>
      </c>
      <c r="J155" s="29">
        <v>228</v>
      </c>
      <c r="K155" s="34">
        <f t="shared" si="9"/>
        <v>79</v>
      </c>
      <c r="L155" s="29">
        <v>308</v>
      </c>
      <c r="M155" s="30">
        <v>287</v>
      </c>
      <c r="N155" s="35">
        <v>198</v>
      </c>
      <c r="O155" s="36">
        <v>204</v>
      </c>
      <c r="P155" s="37">
        <v>197</v>
      </c>
      <c r="Q155" s="52">
        <v>76</v>
      </c>
      <c r="R155" s="55">
        <v>75</v>
      </c>
      <c r="S155" s="56">
        <v>82</v>
      </c>
      <c r="T155" s="40" t="s">
        <v>46</v>
      </c>
      <c r="U155" s="38">
        <v>4</v>
      </c>
      <c r="V155" s="41" t="s">
        <v>46</v>
      </c>
      <c r="W155" s="39">
        <v>5</v>
      </c>
      <c r="X155" s="40" t="s">
        <v>46</v>
      </c>
      <c r="Y155" s="39">
        <v>5</v>
      </c>
      <c r="Z155" s="57">
        <v>3</v>
      </c>
      <c r="AA155" s="58">
        <v>2</v>
      </c>
      <c r="AB155" s="59">
        <v>3</v>
      </c>
      <c r="AC155" s="42">
        <v>0</v>
      </c>
    </row>
    <row r="156" spans="1:29" x14ac:dyDescent="0.25">
      <c r="A156" s="1">
        <f t="shared" ca="1" si="10"/>
        <v>14757</v>
      </c>
      <c r="B156" s="74">
        <v>7582</v>
      </c>
      <c r="C156" s="74">
        <v>7587</v>
      </c>
      <c r="D156" s="74">
        <v>7582</v>
      </c>
      <c r="E156" s="28">
        <v>257</v>
      </c>
      <c r="F156" s="29">
        <v>234</v>
      </c>
      <c r="G156" s="28">
        <v>259</v>
      </c>
      <c r="H156" s="30">
        <v>236</v>
      </c>
      <c r="I156" s="29">
        <v>258</v>
      </c>
      <c r="J156" s="29">
        <v>229</v>
      </c>
      <c r="K156" s="34">
        <f t="shared" si="9"/>
        <v>77.400000000000006</v>
      </c>
      <c r="L156" s="29">
        <v>300</v>
      </c>
      <c r="M156" s="30">
        <v>284</v>
      </c>
      <c r="N156" s="35">
        <v>204</v>
      </c>
      <c r="O156" s="36">
        <v>207</v>
      </c>
      <c r="P156" s="37">
        <v>195</v>
      </c>
      <c r="Q156" s="52">
        <v>82</v>
      </c>
      <c r="R156" s="55">
        <v>82</v>
      </c>
      <c r="S156" s="56">
        <v>78</v>
      </c>
      <c r="T156" s="40" t="s">
        <v>46</v>
      </c>
      <c r="U156" s="38">
        <v>4</v>
      </c>
      <c r="V156" s="41" t="s">
        <v>47</v>
      </c>
      <c r="W156" s="39">
        <v>5</v>
      </c>
      <c r="X156" s="40" t="s">
        <v>47</v>
      </c>
      <c r="Y156" s="39">
        <v>5</v>
      </c>
      <c r="Z156" s="57">
        <v>3</v>
      </c>
      <c r="AA156" s="58">
        <v>3</v>
      </c>
      <c r="AB156" s="59">
        <v>3</v>
      </c>
      <c r="AC156" s="42">
        <v>0</v>
      </c>
    </row>
    <row r="157" spans="1:29" x14ac:dyDescent="0.25">
      <c r="A157" s="1">
        <f t="shared" ca="1" si="10"/>
        <v>14758</v>
      </c>
      <c r="B157" s="74">
        <v>7587</v>
      </c>
      <c r="C157" s="74">
        <v>7592</v>
      </c>
      <c r="D157" s="74">
        <v>7589</v>
      </c>
      <c r="E157" s="28">
        <v>273</v>
      </c>
      <c r="F157" s="29">
        <v>234</v>
      </c>
      <c r="G157" s="28">
        <v>285</v>
      </c>
      <c r="H157" s="30">
        <v>238</v>
      </c>
      <c r="I157" s="29">
        <v>275</v>
      </c>
      <c r="J157" s="29">
        <v>236</v>
      </c>
      <c r="K157" s="34">
        <f t="shared" si="9"/>
        <v>83.3</v>
      </c>
      <c r="L157" s="29">
        <v>315</v>
      </c>
      <c r="M157" s="30">
        <v>295</v>
      </c>
      <c r="N157" s="35">
        <v>196</v>
      </c>
      <c r="O157" s="36">
        <v>198</v>
      </c>
      <c r="P157" s="37">
        <v>199</v>
      </c>
      <c r="Q157" s="52">
        <v>72</v>
      </c>
      <c r="R157" s="55">
        <v>68</v>
      </c>
      <c r="S157" s="56">
        <v>72</v>
      </c>
      <c r="T157" s="40" t="s">
        <v>46</v>
      </c>
      <c r="U157" s="38">
        <v>4</v>
      </c>
      <c r="V157" s="41" t="s">
        <v>47</v>
      </c>
      <c r="W157" s="39">
        <v>6</v>
      </c>
      <c r="X157" s="40" t="s">
        <v>47</v>
      </c>
      <c r="Y157" s="39">
        <v>5</v>
      </c>
      <c r="Z157" s="57">
        <v>3</v>
      </c>
      <c r="AA157" s="58">
        <v>3</v>
      </c>
      <c r="AB157" s="59">
        <v>2</v>
      </c>
      <c r="AC157" s="42">
        <v>0</v>
      </c>
    </row>
    <row r="158" spans="1:29" x14ac:dyDescent="0.25">
      <c r="A158" s="1">
        <f t="shared" ca="1" si="10"/>
        <v>14759</v>
      </c>
      <c r="B158" s="74">
        <v>7582</v>
      </c>
      <c r="C158" s="74">
        <v>7579</v>
      </c>
      <c r="D158" s="74">
        <v>7567</v>
      </c>
      <c r="E158" s="28">
        <v>265</v>
      </c>
      <c r="F158" s="29">
        <v>236</v>
      </c>
      <c r="G158" s="28">
        <v>275</v>
      </c>
      <c r="H158" s="30">
        <v>238</v>
      </c>
      <c r="I158" s="29">
        <v>267</v>
      </c>
      <c r="J158" s="29">
        <v>234</v>
      </c>
      <c r="K158" s="34">
        <f t="shared" si="9"/>
        <v>80.7</v>
      </c>
      <c r="L158" s="29">
        <v>300</v>
      </c>
      <c r="M158" s="30">
        <v>290</v>
      </c>
      <c r="N158" s="35">
        <v>204</v>
      </c>
      <c r="O158" s="36">
        <v>203</v>
      </c>
      <c r="P158" s="37">
        <v>199</v>
      </c>
      <c r="Q158" s="52">
        <v>78</v>
      </c>
      <c r="R158" s="55">
        <v>73</v>
      </c>
      <c r="S158" s="56">
        <v>76</v>
      </c>
      <c r="T158" s="40" t="s">
        <v>46</v>
      </c>
      <c r="U158" s="38">
        <v>4</v>
      </c>
      <c r="V158" s="41" t="s">
        <v>46</v>
      </c>
      <c r="W158" s="39">
        <v>6</v>
      </c>
      <c r="X158" s="40" t="s">
        <v>47</v>
      </c>
      <c r="Y158" s="39">
        <v>6</v>
      </c>
      <c r="Z158" s="57">
        <v>3</v>
      </c>
      <c r="AA158" s="58">
        <v>4</v>
      </c>
      <c r="AB158" s="59">
        <v>4</v>
      </c>
      <c r="AC158" s="42">
        <v>0</v>
      </c>
    </row>
    <row r="159" spans="1:29" x14ac:dyDescent="0.25">
      <c r="A159" s="1">
        <f t="shared" ca="1" si="10"/>
        <v>14760</v>
      </c>
      <c r="B159" s="74">
        <v>7582</v>
      </c>
      <c r="C159" s="74">
        <v>7587</v>
      </c>
      <c r="D159" s="74">
        <v>7582</v>
      </c>
      <c r="E159" s="28">
        <v>281</v>
      </c>
      <c r="F159" s="29">
        <v>238</v>
      </c>
      <c r="G159" s="28">
        <v>285</v>
      </c>
      <c r="H159" s="30">
        <v>240</v>
      </c>
      <c r="I159" s="29">
        <v>271</v>
      </c>
      <c r="J159" s="29">
        <v>236</v>
      </c>
      <c r="K159" s="34">
        <f t="shared" si="9"/>
        <v>83.7</v>
      </c>
      <c r="L159" s="29">
        <v>315</v>
      </c>
      <c r="M159" s="30">
        <v>288</v>
      </c>
      <c r="N159" s="35">
        <v>200</v>
      </c>
      <c r="O159" s="36">
        <v>201</v>
      </c>
      <c r="P159" s="37">
        <v>201</v>
      </c>
      <c r="Q159" s="52">
        <v>70</v>
      </c>
      <c r="R159" s="55">
        <v>69</v>
      </c>
      <c r="S159" s="56">
        <v>75</v>
      </c>
      <c r="T159" s="40" t="s">
        <v>46</v>
      </c>
      <c r="U159" s="38">
        <v>5</v>
      </c>
      <c r="V159" s="41" t="s">
        <v>46</v>
      </c>
      <c r="W159" s="39">
        <v>6</v>
      </c>
      <c r="X159" s="40" t="s">
        <v>47</v>
      </c>
      <c r="Y159" s="39">
        <v>6</v>
      </c>
      <c r="Z159" s="57">
        <v>5</v>
      </c>
      <c r="AA159" s="58">
        <v>4</v>
      </c>
      <c r="AB159" s="59">
        <v>4</v>
      </c>
      <c r="AC159" s="42">
        <v>0</v>
      </c>
    </row>
    <row r="160" spans="1:29" x14ac:dyDescent="0.25">
      <c r="A160" s="1">
        <f t="shared" ca="1" si="10"/>
        <v>14761</v>
      </c>
      <c r="B160" s="74">
        <v>7595</v>
      </c>
      <c r="C160" s="74">
        <v>7579</v>
      </c>
      <c r="D160" s="74">
        <v>7579</v>
      </c>
      <c r="E160" s="28">
        <v>285</v>
      </c>
      <c r="F160" s="29">
        <v>238</v>
      </c>
      <c r="G160" s="28">
        <v>287</v>
      </c>
      <c r="H160" s="30">
        <v>240</v>
      </c>
      <c r="I160" s="29">
        <v>287</v>
      </c>
      <c r="J160" s="29">
        <v>240</v>
      </c>
      <c r="K160" s="34">
        <f t="shared" si="9"/>
        <v>85.9</v>
      </c>
      <c r="L160" s="29">
        <v>316</v>
      </c>
      <c r="M160" s="30">
        <v>303</v>
      </c>
      <c r="N160" s="35">
        <v>198</v>
      </c>
      <c r="O160" s="36">
        <v>200</v>
      </c>
      <c r="P160" s="37">
        <v>200</v>
      </c>
      <c r="Q160" s="52">
        <v>68</v>
      </c>
      <c r="R160" s="55">
        <v>68</v>
      </c>
      <c r="S160" s="56">
        <v>68</v>
      </c>
      <c r="T160" s="40" t="s">
        <v>46</v>
      </c>
      <c r="U160" s="38">
        <v>6</v>
      </c>
      <c r="V160" s="41" t="s">
        <v>46</v>
      </c>
      <c r="W160" s="39">
        <v>6</v>
      </c>
      <c r="X160" s="40" t="s">
        <v>47</v>
      </c>
      <c r="Y160" s="39">
        <v>6</v>
      </c>
      <c r="Z160" s="57">
        <v>5</v>
      </c>
      <c r="AA160" s="58">
        <v>5</v>
      </c>
      <c r="AB160" s="59">
        <v>4</v>
      </c>
      <c r="AC160" s="42">
        <v>0</v>
      </c>
    </row>
    <row r="161" spans="1:29" x14ac:dyDescent="0.25">
      <c r="A161" s="1">
        <f t="shared" ca="1" si="10"/>
        <v>14762</v>
      </c>
      <c r="B161" s="74">
        <v>7587</v>
      </c>
      <c r="C161" s="74">
        <v>7595</v>
      </c>
      <c r="D161" s="74">
        <v>7582</v>
      </c>
      <c r="E161" s="28">
        <v>263</v>
      </c>
      <c r="F161" s="29">
        <v>228</v>
      </c>
      <c r="G161" s="28">
        <v>285</v>
      </c>
      <c r="H161" s="30">
        <v>236</v>
      </c>
      <c r="I161" s="29">
        <v>275</v>
      </c>
      <c r="J161" s="29">
        <v>232</v>
      </c>
      <c r="K161" s="34">
        <f t="shared" si="9"/>
        <v>82.3</v>
      </c>
      <c r="L161" s="29">
        <v>300</v>
      </c>
      <c r="M161" s="30">
        <v>285</v>
      </c>
      <c r="N161" s="35">
        <v>191</v>
      </c>
      <c r="O161" s="36">
        <v>194</v>
      </c>
      <c r="P161" s="37">
        <v>194</v>
      </c>
      <c r="Q161" s="52">
        <v>74</v>
      </c>
      <c r="R161" s="55">
        <v>66</v>
      </c>
      <c r="S161" s="56">
        <v>70</v>
      </c>
      <c r="T161" s="40" t="s">
        <v>46</v>
      </c>
      <c r="U161" s="38">
        <v>5</v>
      </c>
      <c r="V161" s="41" t="s">
        <v>46</v>
      </c>
      <c r="W161" s="39">
        <v>6</v>
      </c>
      <c r="X161" s="40" t="s">
        <v>47</v>
      </c>
      <c r="Y161" s="39">
        <v>6</v>
      </c>
      <c r="Z161" s="57">
        <v>3</v>
      </c>
      <c r="AA161" s="58">
        <v>2</v>
      </c>
      <c r="AB161" s="59">
        <v>3</v>
      </c>
      <c r="AC161" s="42">
        <v>0</v>
      </c>
    </row>
    <row r="162" spans="1:29" x14ac:dyDescent="0.25">
      <c r="A162" s="1" t="str">
        <f t="shared" ca="1" si="10"/>
        <v>Totaal</v>
      </c>
      <c r="B162" s="75">
        <f>IF(COUNT(B131:B161)&gt;0,AVERAGE(B131:B161)/10,"")</f>
        <v>758.29677419354834</v>
      </c>
      <c r="C162" s="76">
        <f>IF(COUNT(C131:C161)&gt;0,AVERAGE(C131:C161)/10,"")</f>
        <v>758.18064516129039</v>
      </c>
      <c r="D162" s="77">
        <f>IF(COUNT(D131:D161)&gt;0,AVERAGE(D131:D161)/10,"")</f>
        <v>757.67419354838717</v>
      </c>
      <c r="E162" s="31">
        <f>IF(COUNT(E131:E161)&gt;0,AVERAGE(E131:E161)/10,"")</f>
        <v>26.8</v>
      </c>
      <c r="F162" s="32">
        <f t="shared" ref="F162:J162" si="11">IF(COUNT(F131:F161)&gt;0,AVERAGE(F131:F161)/10,"")</f>
        <v>23.654838709677421</v>
      </c>
      <c r="G162" s="31">
        <f t="shared" si="11"/>
        <v>27.596774193548384</v>
      </c>
      <c r="H162" s="33">
        <f t="shared" si="11"/>
        <v>23.993548387096773</v>
      </c>
      <c r="I162" s="32">
        <f t="shared" si="11"/>
        <v>26.587096774193547</v>
      </c>
      <c r="J162" s="32">
        <f t="shared" si="11"/>
        <v>23.474193548387099</v>
      </c>
      <c r="K162" s="46">
        <f>IF(COUNT(K131:K161)&gt;0,SUM(K131:K161),"")</f>
        <v>2510.5</v>
      </c>
      <c r="L162" s="32">
        <f>IF(COUNT(L131:L161)&gt;0,AVERAGE(L131:L161)/10,"")</f>
        <v>30.361290322580647</v>
      </c>
      <c r="M162" s="32">
        <f>IF(COUNT(M131:M161)&gt;0,AVERAGE(M131:M161)/10,"")</f>
        <v>28.551612903225806</v>
      </c>
      <c r="N162" s="47">
        <f>IF(COUNT(N131:N161)&gt;0,AVERAGE(N131:N161)/10,"")</f>
        <v>20.341935483870966</v>
      </c>
      <c r="O162" s="48">
        <f>IF(COUNT(O131:O161)&gt;0,AVERAGE(O131:O161)/10,"")</f>
        <v>20.590322580645161</v>
      </c>
      <c r="P162" s="49">
        <f>IF(COUNT(P131:P161)&gt;0,AVERAGE(P131:P161)/10,"")</f>
        <v>20.041935483870965</v>
      </c>
      <c r="Q162" s="51">
        <f>IF(COUNT(Q131:Q161)&gt;0,AVERAGE(Q131:Q161),"")</f>
        <v>77</v>
      </c>
      <c r="R162" s="53">
        <f>IF(COUNT(R131:R161)&gt;0,AVERAGE(R131:R161),"")</f>
        <v>74.41935483870968</v>
      </c>
      <c r="S162" s="54">
        <f>IF(COUNT(S131:S161)&gt;0,AVERAGE(S131:S161),"")</f>
        <v>77.225806451612897</v>
      </c>
      <c r="T162" s="26"/>
      <c r="U162" s="50">
        <f>IF(COUNT(U131:U161)&gt;0,AVERAGE(U131:U161)/10,"")</f>
        <v>0.40322580645161288</v>
      </c>
      <c r="V162" s="27"/>
      <c r="W162" s="50">
        <f>IF(COUNT(W131:W161)&gt;0,AVERAGE(W131:W161)/10,"")</f>
        <v>0.51290322580645165</v>
      </c>
      <c r="X162" s="26"/>
      <c r="Y162" s="50">
        <f>IF(COUNT(Y131:Y161)&gt;0,AVERAGE(Y131:Y161)/10,"")</f>
        <v>0.49032258064516132</v>
      </c>
      <c r="Z162" s="60">
        <f>IF(COUNT(Z131:Z161)&gt;0,AVERAGE(Z131:Z161),"")</f>
        <v>3.4193548387096775</v>
      </c>
      <c r="AA162" s="61">
        <f>IF(COUNT(AA131:AA161)&gt;0,AVERAGE(AA131:AA161),"")</f>
        <v>3.2903225806451615</v>
      </c>
      <c r="AB162" s="62">
        <f>IF(COUNT(AB131:AB161)&gt;0,AVERAGE(AB131:AB161),"")</f>
        <v>3.2903225806451615</v>
      </c>
      <c r="AC162" s="45">
        <f>SUM(AC131:AC161)/10</f>
        <v>6</v>
      </c>
    </row>
    <row r="163" spans="1:29" x14ac:dyDescent="0.25">
      <c r="A163" s="1">
        <f t="shared" ca="1" si="10"/>
        <v>14763</v>
      </c>
      <c r="B163" s="74">
        <v>7592</v>
      </c>
      <c r="C163" s="74">
        <v>7600</v>
      </c>
      <c r="D163" s="74">
        <v>7582</v>
      </c>
      <c r="E163" s="28">
        <v>261</v>
      </c>
      <c r="F163" s="29">
        <v>230</v>
      </c>
      <c r="G163" s="28">
        <v>279</v>
      </c>
      <c r="H163" s="30">
        <v>234</v>
      </c>
      <c r="I163" s="29">
        <v>275</v>
      </c>
      <c r="J163" s="29">
        <v>230</v>
      </c>
      <c r="K163" s="34">
        <f t="shared" ref="K163:K192" si="12">IF(COUNT(E163,G163,I163)&gt;0,SUM(E163,G163,I163)/10,"")</f>
        <v>81.5</v>
      </c>
      <c r="L163" s="29">
        <v>315</v>
      </c>
      <c r="M163" s="30">
        <v>283</v>
      </c>
      <c r="N163" s="35">
        <v>195</v>
      </c>
      <c r="O163" s="36">
        <v>193</v>
      </c>
      <c r="P163" s="37">
        <v>188</v>
      </c>
      <c r="Q163" s="52">
        <v>77</v>
      </c>
      <c r="R163" s="55">
        <v>68</v>
      </c>
      <c r="S163" s="56">
        <v>68</v>
      </c>
      <c r="T163" s="40" t="s">
        <v>47</v>
      </c>
      <c r="U163" s="38">
        <v>5</v>
      </c>
      <c r="V163" s="41" t="s">
        <v>47</v>
      </c>
      <c r="W163" s="39">
        <v>7</v>
      </c>
      <c r="X163" s="40" t="s">
        <v>85</v>
      </c>
      <c r="Y163" s="39">
        <v>6</v>
      </c>
      <c r="Z163" s="57">
        <v>4</v>
      </c>
      <c r="AA163" s="58">
        <v>3</v>
      </c>
      <c r="AB163" s="59">
        <v>3</v>
      </c>
      <c r="AC163" s="42">
        <v>0</v>
      </c>
    </row>
    <row r="164" spans="1:29" x14ac:dyDescent="0.25">
      <c r="A164" s="1">
        <f t="shared" ca="1" si="10"/>
        <v>14764</v>
      </c>
      <c r="B164" s="74">
        <v>7597</v>
      </c>
      <c r="C164" s="74">
        <v>7595</v>
      </c>
      <c r="D164" s="74">
        <v>7592</v>
      </c>
      <c r="E164" s="28">
        <v>259</v>
      </c>
      <c r="F164" s="29">
        <v>228</v>
      </c>
      <c r="G164" s="28">
        <v>279</v>
      </c>
      <c r="H164" s="30">
        <v>234</v>
      </c>
      <c r="I164" s="29">
        <v>275</v>
      </c>
      <c r="J164" s="29">
        <v>230</v>
      </c>
      <c r="K164" s="34">
        <f t="shared" si="12"/>
        <v>81.3</v>
      </c>
      <c r="L164" s="29">
        <v>310</v>
      </c>
      <c r="M164" s="30">
        <v>284</v>
      </c>
      <c r="N164" s="35">
        <v>193</v>
      </c>
      <c r="O164" s="36">
        <v>193</v>
      </c>
      <c r="P164" s="37">
        <v>188</v>
      </c>
      <c r="Q164" s="52">
        <v>77</v>
      </c>
      <c r="R164" s="55">
        <v>68</v>
      </c>
      <c r="S164" s="56">
        <v>68</v>
      </c>
      <c r="T164" s="40" t="s">
        <v>47</v>
      </c>
      <c r="U164" s="38">
        <v>5</v>
      </c>
      <c r="V164" s="41" t="s">
        <v>47</v>
      </c>
      <c r="W164" s="39">
        <v>7</v>
      </c>
      <c r="X164" s="40" t="s">
        <v>47</v>
      </c>
      <c r="Y164" s="39">
        <v>7</v>
      </c>
      <c r="Z164" s="57">
        <v>4</v>
      </c>
      <c r="AA164" s="58">
        <v>4</v>
      </c>
      <c r="AB164" s="59">
        <v>4</v>
      </c>
      <c r="AC164" s="42">
        <v>0</v>
      </c>
    </row>
    <row r="165" spans="1:29" x14ac:dyDescent="0.25">
      <c r="A165" s="1">
        <f t="shared" ca="1" si="10"/>
        <v>14765</v>
      </c>
      <c r="B165" s="74">
        <v>7602</v>
      </c>
      <c r="C165" s="74">
        <v>7602</v>
      </c>
      <c r="D165" s="74">
        <v>7597</v>
      </c>
      <c r="E165" s="28">
        <v>257</v>
      </c>
      <c r="F165" s="29">
        <v>228</v>
      </c>
      <c r="G165" s="28">
        <v>265</v>
      </c>
      <c r="H165" s="30">
        <v>238</v>
      </c>
      <c r="I165" s="29">
        <v>261</v>
      </c>
      <c r="J165" s="29">
        <v>232</v>
      </c>
      <c r="K165" s="34">
        <f t="shared" si="12"/>
        <v>78.3</v>
      </c>
      <c r="L165" s="29">
        <v>305</v>
      </c>
      <c r="M165" s="30">
        <v>290</v>
      </c>
      <c r="N165" s="35">
        <v>194</v>
      </c>
      <c r="O165" s="36">
        <v>208</v>
      </c>
      <c r="P165" s="37">
        <v>199</v>
      </c>
      <c r="Q165" s="52">
        <v>78</v>
      </c>
      <c r="R165" s="55">
        <v>80</v>
      </c>
      <c r="S165" s="56">
        <v>78</v>
      </c>
      <c r="T165" s="40" t="s">
        <v>47</v>
      </c>
      <c r="U165" s="38">
        <v>5</v>
      </c>
      <c r="V165" s="41" t="s">
        <v>47</v>
      </c>
      <c r="W165" s="39">
        <v>7</v>
      </c>
      <c r="X165" s="40" t="s">
        <v>85</v>
      </c>
      <c r="Y165" s="39">
        <v>6</v>
      </c>
      <c r="Z165" s="57">
        <v>3</v>
      </c>
      <c r="AA165" s="58">
        <v>3</v>
      </c>
      <c r="AB165" s="59">
        <v>3</v>
      </c>
      <c r="AC165" s="42">
        <v>0</v>
      </c>
    </row>
    <row r="166" spans="1:29" x14ac:dyDescent="0.25">
      <c r="A166" s="1">
        <f t="shared" ca="1" si="10"/>
        <v>14766</v>
      </c>
      <c r="B166" s="74">
        <v>7582</v>
      </c>
      <c r="C166" s="74">
        <v>7597</v>
      </c>
      <c r="D166" s="74">
        <v>7592</v>
      </c>
      <c r="E166" s="28">
        <v>277</v>
      </c>
      <c r="F166" s="29">
        <v>238</v>
      </c>
      <c r="G166" s="28">
        <v>278</v>
      </c>
      <c r="H166" s="30">
        <v>240</v>
      </c>
      <c r="I166" s="29">
        <v>271</v>
      </c>
      <c r="J166" s="29">
        <v>234</v>
      </c>
      <c r="K166" s="34">
        <f t="shared" si="12"/>
        <v>82.6</v>
      </c>
      <c r="L166" s="29">
        <v>296</v>
      </c>
      <c r="M166" s="30">
        <v>284</v>
      </c>
      <c r="N166" s="35">
        <v>202</v>
      </c>
      <c r="O166" s="36">
        <v>205</v>
      </c>
      <c r="P166" s="37">
        <v>197</v>
      </c>
      <c r="Q166" s="52">
        <v>72</v>
      </c>
      <c r="R166" s="55">
        <v>73</v>
      </c>
      <c r="S166" s="56">
        <v>73</v>
      </c>
      <c r="T166" s="40" t="s">
        <v>47</v>
      </c>
      <c r="U166" s="38">
        <v>5</v>
      </c>
      <c r="V166" s="41" t="s">
        <v>47</v>
      </c>
      <c r="W166" s="39">
        <v>6</v>
      </c>
      <c r="X166" s="40" t="s">
        <v>47</v>
      </c>
      <c r="Y166" s="39">
        <v>5</v>
      </c>
      <c r="Z166" s="57">
        <v>4</v>
      </c>
      <c r="AA166" s="58">
        <v>4</v>
      </c>
      <c r="AB166" s="59">
        <v>3</v>
      </c>
      <c r="AC166" s="42">
        <v>0</v>
      </c>
    </row>
    <row r="167" spans="1:29" x14ac:dyDescent="0.25">
      <c r="A167" s="1">
        <f t="shared" ca="1" si="10"/>
        <v>14767</v>
      </c>
      <c r="B167" s="74">
        <v>7607</v>
      </c>
      <c r="C167" s="74">
        <v>7605</v>
      </c>
      <c r="D167" s="74">
        <v>7589</v>
      </c>
      <c r="E167" s="28">
        <v>252</v>
      </c>
      <c r="F167" s="29">
        <v>228</v>
      </c>
      <c r="G167" s="28">
        <v>275</v>
      </c>
      <c r="H167" s="30">
        <v>236</v>
      </c>
      <c r="I167" s="29">
        <v>270</v>
      </c>
      <c r="J167" s="29">
        <v>234</v>
      </c>
      <c r="K167" s="34">
        <f t="shared" si="12"/>
        <v>79.7</v>
      </c>
      <c r="L167" s="29">
        <v>300</v>
      </c>
      <c r="M167" s="30">
        <v>290</v>
      </c>
      <c r="N167" s="35">
        <v>196</v>
      </c>
      <c r="O167" s="36">
        <v>199</v>
      </c>
      <c r="P167" s="37">
        <v>198</v>
      </c>
      <c r="Q167" s="52">
        <v>82</v>
      </c>
      <c r="R167" s="55">
        <v>72</v>
      </c>
      <c r="S167" s="56">
        <v>74</v>
      </c>
      <c r="T167" s="40" t="s">
        <v>47</v>
      </c>
      <c r="U167" s="38">
        <v>3</v>
      </c>
      <c r="V167" s="41" t="s">
        <v>47</v>
      </c>
      <c r="W167" s="39">
        <v>4</v>
      </c>
      <c r="X167" s="40" t="s">
        <v>85</v>
      </c>
      <c r="Y167" s="39">
        <v>4</v>
      </c>
      <c r="Z167" s="57">
        <v>6</v>
      </c>
      <c r="AA167" s="58">
        <v>7</v>
      </c>
      <c r="AB167" s="59">
        <v>7</v>
      </c>
      <c r="AC167" s="42">
        <v>0</v>
      </c>
    </row>
    <row r="168" spans="1:29" x14ac:dyDescent="0.25">
      <c r="A168" s="1">
        <f t="shared" ca="1" si="10"/>
        <v>14768</v>
      </c>
      <c r="B168" s="74">
        <v>7585</v>
      </c>
      <c r="C168" s="74">
        <v>7597</v>
      </c>
      <c r="D168" s="74">
        <v>7592</v>
      </c>
      <c r="E168" s="28">
        <v>277</v>
      </c>
      <c r="F168" s="29">
        <v>234</v>
      </c>
      <c r="G168" s="28">
        <v>279</v>
      </c>
      <c r="H168" s="30">
        <v>236</v>
      </c>
      <c r="I168" s="29">
        <v>277</v>
      </c>
      <c r="J168" s="29">
        <v>233</v>
      </c>
      <c r="K168" s="34">
        <f t="shared" si="12"/>
        <v>83.3</v>
      </c>
      <c r="L168" s="29">
        <v>300</v>
      </c>
      <c r="M168" s="30">
        <v>288</v>
      </c>
      <c r="N168" s="35">
        <v>194</v>
      </c>
      <c r="O168" s="36">
        <v>197</v>
      </c>
      <c r="P168" s="37">
        <v>193</v>
      </c>
      <c r="Q168" s="52">
        <v>70</v>
      </c>
      <c r="R168" s="55">
        <v>70</v>
      </c>
      <c r="S168" s="56">
        <v>69</v>
      </c>
      <c r="T168" s="40" t="s">
        <v>47</v>
      </c>
      <c r="U168" s="38">
        <v>2</v>
      </c>
      <c r="V168" s="41" t="s">
        <v>47</v>
      </c>
      <c r="W168" s="39">
        <v>4</v>
      </c>
      <c r="X168" s="40" t="s">
        <v>47</v>
      </c>
      <c r="Y168" s="39">
        <v>3</v>
      </c>
      <c r="Z168" s="57">
        <v>5</v>
      </c>
      <c r="AA168" s="58">
        <v>7</v>
      </c>
      <c r="AB168" s="59">
        <v>7</v>
      </c>
      <c r="AC168" s="42">
        <v>0</v>
      </c>
    </row>
    <row r="169" spans="1:29" x14ac:dyDescent="0.25">
      <c r="A169" s="1">
        <f t="shared" ca="1" si="10"/>
        <v>14769</v>
      </c>
      <c r="B169" s="74">
        <v>7592</v>
      </c>
      <c r="C169" s="74">
        <v>7579</v>
      </c>
      <c r="D169" s="74">
        <v>7569</v>
      </c>
      <c r="E169" s="28">
        <v>265</v>
      </c>
      <c r="F169" s="29">
        <v>230</v>
      </c>
      <c r="G169" s="28">
        <v>267</v>
      </c>
      <c r="H169" s="30">
        <v>234</v>
      </c>
      <c r="I169" s="29">
        <v>263</v>
      </c>
      <c r="J169" s="29">
        <v>230</v>
      </c>
      <c r="K169" s="34">
        <f t="shared" si="12"/>
        <v>79.5</v>
      </c>
      <c r="L169" s="29">
        <v>295</v>
      </c>
      <c r="M169" s="30">
        <v>280</v>
      </c>
      <c r="N169" s="35">
        <v>193</v>
      </c>
      <c r="O169" s="36">
        <v>199</v>
      </c>
      <c r="P169" s="37">
        <v>194</v>
      </c>
      <c r="Q169" s="52">
        <v>74</v>
      </c>
      <c r="R169" s="55">
        <v>76</v>
      </c>
      <c r="S169" s="56">
        <v>76</v>
      </c>
      <c r="T169" s="40" t="s">
        <v>47</v>
      </c>
      <c r="U169" s="38">
        <v>4</v>
      </c>
      <c r="V169" s="41" t="s">
        <v>47</v>
      </c>
      <c r="W169" s="39">
        <v>6</v>
      </c>
      <c r="X169" s="40" t="s">
        <v>47</v>
      </c>
      <c r="Y169" s="39">
        <v>6</v>
      </c>
      <c r="Z169" s="57">
        <v>4</v>
      </c>
      <c r="AA169" s="58">
        <v>3</v>
      </c>
      <c r="AB169" s="59">
        <v>3</v>
      </c>
      <c r="AC169" s="42">
        <v>0</v>
      </c>
    </row>
    <row r="170" spans="1:29" x14ac:dyDescent="0.25">
      <c r="A170" s="1">
        <f t="shared" ca="1" si="10"/>
        <v>14770</v>
      </c>
      <c r="B170" s="74">
        <v>7574</v>
      </c>
      <c r="C170" s="74">
        <v>7579</v>
      </c>
      <c r="D170" s="74">
        <v>7574</v>
      </c>
      <c r="E170" s="28">
        <v>277</v>
      </c>
      <c r="F170" s="29">
        <v>238</v>
      </c>
      <c r="G170" s="28">
        <v>289</v>
      </c>
      <c r="H170" s="30">
        <v>242</v>
      </c>
      <c r="I170" s="29">
        <v>279</v>
      </c>
      <c r="J170" s="29">
        <v>238</v>
      </c>
      <c r="K170" s="34">
        <f t="shared" si="12"/>
        <v>84.5</v>
      </c>
      <c r="L170" s="29">
        <v>300</v>
      </c>
      <c r="M170" s="30">
        <v>290</v>
      </c>
      <c r="N170" s="35">
        <v>202</v>
      </c>
      <c r="O170" s="36">
        <v>203</v>
      </c>
      <c r="P170" s="37">
        <v>201</v>
      </c>
      <c r="Q170" s="52">
        <v>72</v>
      </c>
      <c r="R170" s="55">
        <v>68</v>
      </c>
      <c r="S170" s="56">
        <v>71</v>
      </c>
      <c r="T170" s="40" t="s">
        <v>47</v>
      </c>
      <c r="U170" s="38">
        <v>5</v>
      </c>
      <c r="V170" s="41" t="s">
        <v>47</v>
      </c>
      <c r="W170" s="39">
        <v>6</v>
      </c>
      <c r="X170" s="40" t="s">
        <v>85</v>
      </c>
      <c r="Y170" s="39">
        <v>6</v>
      </c>
      <c r="Z170" s="57">
        <v>3</v>
      </c>
      <c r="AA170" s="58">
        <v>4</v>
      </c>
      <c r="AB170" s="59">
        <v>3</v>
      </c>
      <c r="AC170" s="42">
        <v>0</v>
      </c>
    </row>
    <row r="171" spans="1:29" x14ac:dyDescent="0.25">
      <c r="A171" s="1">
        <f t="shared" ca="1" si="10"/>
        <v>14771</v>
      </c>
      <c r="B171" s="74">
        <v>7567</v>
      </c>
      <c r="C171" s="74">
        <v>7556</v>
      </c>
      <c r="D171" s="74">
        <v>7572</v>
      </c>
      <c r="E171" s="28">
        <v>275</v>
      </c>
      <c r="F171" s="29">
        <v>232</v>
      </c>
      <c r="G171" s="28">
        <v>279</v>
      </c>
      <c r="H171" s="30">
        <v>236</v>
      </c>
      <c r="I171" s="29">
        <v>281</v>
      </c>
      <c r="J171" s="29">
        <v>234</v>
      </c>
      <c r="K171" s="34">
        <f t="shared" si="12"/>
        <v>83.5</v>
      </c>
      <c r="L171" s="29">
        <v>300</v>
      </c>
      <c r="M171" s="30">
        <v>285</v>
      </c>
      <c r="N171" s="35">
        <v>192</v>
      </c>
      <c r="O171" s="36">
        <v>197</v>
      </c>
      <c r="P171" s="37">
        <v>192</v>
      </c>
      <c r="Q171" s="52">
        <v>70</v>
      </c>
      <c r="R171" s="55">
        <v>70</v>
      </c>
      <c r="S171" s="56">
        <v>67</v>
      </c>
      <c r="T171" s="40" t="s">
        <v>47</v>
      </c>
      <c r="U171" s="38">
        <v>5</v>
      </c>
      <c r="V171" s="41" t="s">
        <v>47</v>
      </c>
      <c r="W171" s="39">
        <v>6</v>
      </c>
      <c r="X171" s="40" t="s">
        <v>85</v>
      </c>
      <c r="Y171" s="39">
        <v>6</v>
      </c>
      <c r="Z171" s="57">
        <v>3</v>
      </c>
      <c r="AA171" s="58">
        <v>4</v>
      </c>
      <c r="AB171" s="59">
        <v>3</v>
      </c>
      <c r="AC171" s="42">
        <v>0</v>
      </c>
    </row>
    <row r="172" spans="1:29" x14ac:dyDescent="0.25">
      <c r="A172" s="1">
        <f t="shared" ca="1" si="10"/>
        <v>14772</v>
      </c>
      <c r="B172" s="74">
        <v>7562</v>
      </c>
      <c r="C172" s="74">
        <v>7579</v>
      </c>
      <c r="D172" s="74">
        <v>7574</v>
      </c>
      <c r="E172" s="28">
        <v>277</v>
      </c>
      <c r="F172" s="29">
        <v>238</v>
      </c>
      <c r="G172" s="28">
        <v>279</v>
      </c>
      <c r="H172" s="30">
        <v>242</v>
      </c>
      <c r="I172" s="29">
        <v>279</v>
      </c>
      <c r="J172" s="29">
        <v>238</v>
      </c>
      <c r="K172" s="34">
        <f t="shared" si="12"/>
        <v>83.5</v>
      </c>
      <c r="L172" s="29">
        <v>300</v>
      </c>
      <c r="M172" s="30">
        <v>290</v>
      </c>
      <c r="N172" s="35">
        <v>202</v>
      </c>
      <c r="O172" s="36">
        <v>208</v>
      </c>
      <c r="P172" s="37">
        <v>201</v>
      </c>
      <c r="Q172" s="52">
        <v>72</v>
      </c>
      <c r="R172" s="55">
        <v>74</v>
      </c>
      <c r="S172" s="56">
        <v>71</v>
      </c>
      <c r="T172" s="40" t="s">
        <v>47</v>
      </c>
      <c r="U172" s="38">
        <v>5</v>
      </c>
      <c r="V172" s="41" t="s">
        <v>47</v>
      </c>
      <c r="W172" s="39">
        <v>7</v>
      </c>
      <c r="X172" s="40" t="s">
        <v>85</v>
      </c>
      <c r="Y172" s="39">
        <v>6</v>
      </c>
      <c r="Z172" s="57">
        <v>4</v>
      </c>
      <c r="AA172" s="58">
        <v>5</v>
      </c>
      <c r="AB172" s="59">
        <v>3</v>
      </c>
      <c r="AC172" s="42">
        <v>0</v>
      </c>
    </row>
    <row r="173" spans="1:29" x14ac:dyDescent="0.25">
      <c r="A173" s="1">
        <f t="shared" ca="1" si="10"/>
        <v>14773</v>
      </c>
      <c r="B173" s="74">
        <v>7582</v>
      </c>
      <c r="C173" s="74">
        <v>7587</v>
      </c>
      <c r="D173" s="74">
        <v>7582</v>
      </c>
      <c r="E173" s="28">
        <v>271</v>
      </c>
      <c r="F173" s="29">
        <v>246</v>
      </c>
      <c r="G173" s="28">
        <v>279</v>
      </c>
      <c r="H173" s="30">
        <v>247</v>
      </c>
      <c r="I173" s="29">
        <v>277</v>
      </c>
      <c r="J173" s="29">
        <v>240</v>
      </c>
      <c r="K173" s="34">
        <f t="shared" si="12"/>
        <v>82.7</v>
      </c>
      <c r="L173" s="29">
        <v>304</v>
      </c>
      <c r="M173" s="30">
        <v>284</v>
      </c>
      <c r="N173" s="35">
        <v>220</v>
      </c>
      <c r="O173" s="36">
        <v>217</v>
      </c>
      <c r="P173" s="37">
        <v>205</v>
      </c>
      <c r="Q173" s="52">
        <v>82</v>
      </c>
      <c r="R173" s="55">
        <v>77</v>
      </c>
      <c r="S173" s="56">
        <v>74</v>
      </c>
      <c r="T173" s="40" t="s">
        <v>85</v>
      </c>
      <c r="U173" s="38">
        <v>5</v>
      </c>
      <c r="V173" s="41" t="s">
        <v>85</v>
      </c>
      <c r="W173" s="39">
        <v>6</v>
      </c>
      <c r="X173" s="40" t="s">
        <v>85</v>
      </c>
      <c r="Y173" s="39">
        <v>6</v>
      </c>
      <c r="Z173" s="57">
        <v>3</v>
      </c>
      <c r="AA173" s="58">
        <v>3</v>
      </c>
      <c r="AB173" s="59">
        <v>3</v>
      </c>
      <c r="AC173" s="42">
        <v>0</v>
      </c>
    </row>
    <row r="174" spans="1:29" x14ac:dyDescent="0.25">
      <c r="A174" s="1">
        <f t="shared" ca="1" si="10"/>
        <v>14774</v>
      </c>
      <c r="B174" s="74">
        <v>7589</v>
      </c>
      <c r="C174" s="74">
        <v>7605</v>
      </c>
      <c r="D174" s="74">
        <v>7600</v>
      </c>
      <c r="E174" s="28">
        <v>269</v>
      </c>
      <c r="F174" s="29">
        <v>240</v>
      </c>
      <c r="G174" s="28">
        <v>281</v>
      </c>
      <c r="H174" s="30">
        <v>244</v>
      </c>
      <c r="I174" s="29">
        <v>271</v>
      </c>
      <c r="J174" s="29">
        <v>238</v>
      </c>
      <c r="K174" s="34">
        <f t="shared" si="12"/>
        <v>82.1</v>
      </c>
      <c r="L174" s="29">
        <v>305</v>
      </c>
      <c r="M174" s="30">
        <v>284</v>
      </c>
      <c r="N174" s="35">
        <v>209</v>
      </c>
      <c r="O174" s="36">
        <v>211</v>
      </c>
      <c r="P174" s="37">
        <v>205</v>
      </c>
      <c r="Q174" s="52">
        <v>79</v>
      </c>
      <c r="R174" s="55">
        <v>74</v>
      </c>
      <c r="S174" s="56">
        <v>76</v>
      </c>
      <c r="T174" s="40" t="s">
        <v>47</v>
      </c>
      <c r="U174" s="38">
        <v>3</v>
      </c>
      <c r="V174" s="41" t="s">
        <v>85</v>
      </c>
      <c r="W174" s="39">
        <v>4</v>
      </c>
      <c r="X174" s="40" t="s">
        <v>85</v>
      </c>
      <c r="Y174" s="39">
        <v>4</v>
      </c>
      <c r="Z174" s="57">
        <v>6</v>
      </c>
      <c r="AA174" s="58">
        <v>8</v>
      </c>
      <c r="AB174" s="59">
        <v>7</v>
      </c>
      <c r="AC174" s="42">
        <v>20</v>
      </c>
    </row>
    <row r="175" spans="1:29" x14ac:dyDescent="0.25">
      <c r="A175" s="1">
        <f t="shared" ca="1" si="10"/>
        <v>14775</v>
      </c>
      <c r="B175" s="74">
        <v>7607</v>
      </c>
      <c r="C175" s="74">
        <v>7597</v>
      </c>
      <c r="D175" s="74">
        <v>7595</v>
      </c>
      <c r="E175" s="28">
        <v>283</v>
      </c>
      <c r="F175" s="29">
        <v>240</v>
      </c>
      <c r="G175" s="28">
        <v>287</v>
      </c>
      <c r="H175" s="30">
        <v>242</v>
      </c>
      <c r="I175" s="29">
        <v>279</v>
      </c>
      <c r="J175" s="29">
        <v>240</v>
      </c>
      <c r="K175" s="34">
        <f t="shared" si="12"/>
        <v>84.9</v>
      </c>
      <c r="L175" s="29">
        <v>310</v>
      </c>
      <c r="M175" s="30">
        <v>296</v>
      </c>
      <c r="N175" s="35">
        <v>202</v>
      </c>
      <c r="O175" s="36">
        <v>204</v>
      </c>
      <c r="P175" s="37">
        <v>204</v>
      </c>
      <c r="Q175" s="52">
        <v>70</v>
      </c>
      <c r="R175" s="55">
        <v>69</v>
      </c>
      <c r="S175" s="56">
        <v>72</v>
      </c>
      <c r="T175" s="40" t="s">
        <v>46</v>
      </c>
      <c r="U175" s="38">
        <v>3</v>
      </c>
      <c r="V175" s="41" t="s">
        <v>46</v>
      </c>
      <c r="W175" s="39">
        <v>4</v>
      </c>
      <c r="X175" s="40" t="s">
        <v>47</v>
      </c>
      <c r="Y175" s="39">
        <v>3</v>
      </c>
      <c r="Z175" s="57">
        <v>6</v>
      </c>
      <c r="AA175" s="58">
        <v>7</v>
      </c>
      <c r="AB175" s="59">
        <v>6</v>
      </c>
      <c r="AC175" s="42">
        <v>10</v>
      </c>
    </row>
    <row r="176" spans="1:29" x14ac:dyDescent="0.25">
      <c r="A176" s="1">
        <f t="shared" ca="1" si="10"/>
        <v>14776</v>
      </c>
      <c r="B176" s="74">
        <v>7607</v>
      </c>
      <c r="C176" s="74">
        <v>7605</v>
      </c>
      <c r="D176" s="74">
        <v>7582</v>
      </c>
      <c r="E176" s="28">
        <v>273</v>
      </c>
      <c r="F176" s="29">
        <v>244</v>
      </c>
      <c r="G176" s="28">
        <v>275</v>
      </c>
      <c r="H176" s="30">
        <v>246</v>
      </c>
      <c r="I176" s="29">
        <v>271</v>
      </c>
      <c r="J176" s="29">
        <v>242</v>
      </c>
      <c r="K176" s="34">
        <f t="shared" si="12"/>
        <v>81.900000000000006</v>
      </c>
      <c r="L176" s="29">
        <v>296</v>
      </c>
      <c r="M176" s="30">
        <v>283</v>
      </c>
      <c r="N176" s="35">
        <v>215</v>
      </c>
      <c r="O176" s="36">
        <v>218</v>
      </c>
      <c r="P176" s="37">
        <v>212</v>
      </c>
      <c r="Q176" s="52">
        <v>79</v>
      </c>
      <c r="R176" s="55">
        <v>79</v>
      </c>
      <c r="S176" s="56">
        <v>79</v>
      </c>
      <c r="T176" s="40" t="s">
        <v>46</v>
      </c>
      <c r="U176" s="38">
        <v>3</v>
      </c>
      <c r="V176" s="41" t="s">
        <v>46</v>
      </c>
      <c r="W176" s="39">
        <v>4</v>
      </c>
      <c r="X176" s="40" t="s">
        <v>47</v>
      </c>
      <c r="Y176" s="39">
        <v>3</v>
      </c>
      <c r="Z176" s="57">
        <v>5</v>
      </c>
      <c r="AA176" s="58">
        <v>7</v>
      </c>
      <c r="AB176" s="59">
        <v>6</v>
      </c>
      <c r="AC176" s="42">
        <v>0</v>
      </c>
    </row>
    <row r="177" spans="1:29" x14ac:dyDescent="0.25">
      <c r="A177" s="1">
        <f t="shared" ca="1" si="10"/>
        <v>14777</v>
      </c>
      <c r="B177" s="74">
        <v>7597</v>
      </c>
      <c r="C177" s="74">
        <v>7605</v>
      </c>
      <c r="D177" s="74">
        <v>7582</v>
      </c>
      <c r="E177" s="28">
        <v>261</v>
      </c>
      <c r="F177" s="29">
        <v>234</v>
      </c>
      <c r="G177" s="28">
        <v>276</v>
      </c>
      <c r="H177" s="30">
        <v>236</v>
      </c>
      <c r="I177" s="29">
        <v>269</v>
      </c>
      <c r="J177" s="29">
        <v>232</v>
      </c>
      <c r="K177" s="34">
        <f t="shared" si="12"/>
        <v>80.599999999999994</v>
      </c>
      <c r="L177" s="29">
        <v>290</v>
      </c>
      <c r="M177" s="30">
        <v>275</v>
      </c>
      <c r="N177" s="35">
        <v>202</v>
      </c>
      <c r="O177" s="36">
        <v>198</v>
      </c>
      <c r="P177" s="37">
        <v>195</v>
      </c>
      <c r="Q177" s="52">
        <v>80</v>
      </c>
      <c r="R177" s="55">
        <v>72</v>
      </c>
      <c r="S177" s="56">
        <v>73</v>
      </c>
      <c r="T177" s="40" t="s">
        <v>46</v>
      </c>
      <c r="U177" s="38">
        <v>3</v>
      </c>
      <c r="V177" s="41" t="s">
        <v>47</v>
      </c>
      <c r="W177" s="39">
        <v>4</v>
      </c>
      <c r="X177" s="40" t="s">
        <v>47</v>
      </c>
      <c r="Y177" s="39">
        <v>3</v>
      </c>
      <c r="Z177" s="57">
        <v>6</v>
      </c>
      <c r="AA177" s="58">
        <v>6</v>
      </c>
      <c r="AB177" s="59">
        <v>5</v>
      </c>
      <c r="AC177" s="42">
        <v>0</v>
      </c>
    </row>
    <row r="178" spans="1:29" x14ac:dyDescent="0.25">
      <c r="A178" s="1">
        <f t="shared" ca="1" si="10"/>
        <v>14778</v>
      </c>
      <c r="B178" s="74">
        <v>7592</v>
      </c>
      <c r="C178" s="74">
        <v>7597</v>
      </c>
      <c r="D178" s="74">
        <v>7589</v>
      </c>
      <c r="E178" s="28">
        <v>271</v>
      </c>
      <c r="F178" s="29">
        <v>232</v>
      </c>
      <c r="G178" s="28">
        <v>273</v>
      </c>
      <c r="H178" s="30">
        <v>234</v>
      </c>
      <c r="I178" s="29">
        <v>269</v>
      </c>
      <c r="J178" s="29">
        <v>230</v>
      </c>
      <c r="K178" s="34">
        <f t="shared" si="12"/>
        <v>81.3</v>
      </c>
      <c r="L178" s="29">
        <v>295</v>
      </c>
      <c r="M178" s="30">
        <v>280</v>
      </c>
      <c r="N178" s="35">
        <v>196</v>
      </c>
      <c r="O178" s="36">
        <v>196</v>
      </c>
      <c r="P178" s="37">
        <v>191</v>
      </c>
      <c r="Q178" s="52">
        <v>73</v>
      </c>
      <c r="R178" s="55">
        <v>72</v>
      </c>
      <c r="S178" s="56">
        <v>72</v>
      </c>
      <c r="T178" s="40" t="s">
        <v>46</v>
      </c>
      <c r="U178" s="38">
        <v>3</v>
      </c>
      <c r="V178" s="41" t="s">
        <v>46</v>
      </c>
      <c r="W178" s="39">
        <v>2</v>
      </c>
      <c r="X178" s="40" t="s">
        <v>47</v>
      </c>
      <c r="Y178" s="39">
        <v>3</v>
      </c>
      <c r="Z178" s="57">
        <v>5</v>
      </c>
      <c r="AA178" s="58">
        <v>6</v>
      </c>
      <c r="AB178" s="59">
        <v>6</v>
      </c>
      <c r="AC178" s="42">
        <v>0</v>
      </c>
    </row>
    <row r="179" spans="1:29" x14ac:dyDescent="0.25">
      <c r="A179" s="1">
        <f t="shared" ca="1" si="10"/>
        <v>14779</v>
      </c>
      <c r="B179" s="74">
        <v>7595</v>
      </c>
      <c r="C179" s="74">
        <v>7597</v>
      </c>
      <c r="D179" s="74">
        <v>7587</v>
      </c>
      <c r="E179" s="28">
        <v>269</v>
      </c>
      <c r="F179" s="29">
        <v>232</v>
      </c>
      <c r="G179" s="28">
        <v>271</v>
      </c>
      <c r="H179" s="30">
        <v>234</v>
      </c>
      <c r="I179" s="29">
        <v>267</v>
      </c>
      <c r="J179" s="29">
        <v>230</v>
      </c>
      <c r="K179" s="34">
        <f t="shared" si="12"/>
        <v>80.7</v>
      </c>
      <c r="L179" s="29">
        <v>290</v>
      </c>
      <c r="M179" s="30">
        <v>278</v>
      </c>
      <c r="N179" s="35">
        <v>195</v>
      </c>
      <c r="O179" s="36">
        <v>197</v>
      </c>
      <c r="P179" s="37">
        <v>192</v>
      </c>
      <c r="Q179" s="52">
        <v>73</v>
      </c>
      <c r="R179" s="55">
        <v>73</v>
      </c>
      <c r="S179" s="56">
        <v>73</v>
      </c>
      <c r="T179" s="40" t="s">
        <v>47</v>
      </c>
      <c r="U179" s="38">
        <v>3</v>
      </c>
      <c r="V179" s="41" t="s">
        <v>47</v>
      </c>
      <c r="W179" s="39">
        <v>4</v>
      </c>
      <c r="X179" s="40" t="s">
        <v>47</v>
      </c>
      <c r="Y179" s="39">
        <v>3</v>
      </c>
      <c r="Z179" s="57">
        <v>6</v>
      </c>
      <c r="AA179" s="58">
        <v>6</v>
      </c>
      <c r="AB179" s="59">
        <v>6</v>
      </c>
      <c r="AC179" s="42">
        <v>17</v>
      </c>
    </row>
    <row r="180" spans="1:29" x14ac:dyDescent="0.25">
      <c r="A180" s="1">
        <f t="shared" ca="1" si="10"/>
        <v>14780</v>
      </c>
      <c r="B180" s="74">
        <v>7589</v>
      </c>
      <c r="C180" s="74">
        <v>7595</v>
      </c>
      <c r="D180" s="74">
        <v>7582</v>
      </c>
      <c r="E180" s="28">
        <v>265</v>
      </c>
      <c r="F180" s="29">
        <v>230</v>
      </c>
      <c r="G180" s="28">
        <v>267</v>
      </c>
      <c r="H180" s="30">
        <v>232</v>
      </c>
      <c r="I180" s="29">
        <v>265</v>
      </c>
      <c r="J180" s="29">
        <v>230</v>
      </c>
      <c r="K180" s="34">
        <f t="shared" si="12"/>
        <v>79.7</v>
      </c>
      <c r="L180" s="29">
        <v>290</v>
      </c>
      <c r="M180" s="30">
        <v>280</v>
      </c>
      <c r="N180" s="35">
        <v>193</v>
      </c>
      <c r="O180" s="36">
        <v>196</v>
      </c>
      <c r="P180" s="37">
        <v>193</v>
      </c>
      <c r="Q180" s="52">
        <v>74</v>
      </c>
      <c r="R180" s="55">
        <v>74</v>
      </c>
      <c r="S180" s="56">
        <v>74</v>
      </c>
      <c r="T180" s="40" t="s">
        <v>47</v>
      </c>
      <c r="U180" s="38">
        <v>4</v>
      </c>
      <c r="V180" s="41" t="s">
        <v>47</v>
      </c>
      <c r="W180" s="39">
        <v>4</v>
      </c>
      <c r="X180" s="40" t="s">
        <v>47</v>
      </c>
      <c r="Y180" s="39">
        <v>5</v>
      </c>
      <c r="Z180" s="57">
        <v>5</v>
      </c>
      <c r="AA180" s="58">
        <v>4</v>
      </c>
      <c r="AB180" s="59">
        <v>4</v>
      </c>
      <c r="AC180" s="42">
        <v>0</v>
      </c>
    </row>
    <row r="181" spans="1:29" x14ac:dyDescent="0.25">
      <c r="A181" s="1">
        <f t="shared" ca="1" si="10"/>
        <v>14781</v>
      </c>
      <c r="B181" s="74">
        <v>7582</v>
      </c>
      <c r="C181" s="74">
        <v>7582</v>
      </c>
      <c r="D181" s="74">
        <v>7564</v>
      </c>
      <c r="E181" s="28">
        <v>241</v>
      </c>
      <c r="F181" s="29">
        <v>234</v>
      </c>
      <c r="G181" s="28">
        <v>243</v>
      </c>
      <c r="H181" s="30">
        <v>234</v>
      </c>
      <c r="I181" s="29">
        <v>249</v>
      </c>
      <c r="J181" s="29">
        <v>230</v>
      </c>
      <c r="K181" s="34">
        <f t="shared" si="12"/>
        <v>73.3</v>
      </c>
      <c r="L181" s="29">
        <v>296</v>
      </c>
      <c r="M181" s="30">
        <v>282</v>
      </c>
      <c r="N181" s="35">
        <v>212</v>
      </c>
      <c r="O181" s="36">
        <v>211</v>
      </c>
      <c r="P181" s="37">
        <v>201</v>
      </c>
      <c r="Q181" s="52">
        <v>94</v>
      </c>
      <c r="R181" s="55">
        <v>93</v>
      </c>
      <c r="S181" s="56">
        <v>85</v>
      </c>
      <c r="T181" s="40" t="s">
        <v>47</v>
      </c>
      <c r="U181" s="38">
        <v>4</v>
      </c>
      <c r="V181" s="41" t="s">
        <v>47</v>
      </c>
      <c r="W181" s="39">
        <v>5</v>
      </c>
      <c r="X181" s="40" t="s">
        <v>47</v>
      </c>
      <c r="Y181" s="39">
        <v>4</v>
      </c>
      <c r="Z181" s="57">
        <v>4</v>
      </c>
      <c r="AA181" s="58">
        <v>4</v>
      </c>
      <c r="AB181" s="59">
        <v>4</v>
      </c>
      <c r="AC181" s="42">
        <v>0</v>
      </c>
    </row>
    <row r="182" spans="1:29" x14ac:dyDescent="0.25">
      <c r="A182" s="1">
        <f t="shared" ca="1" si="10"/>
        <v>14782</v>
      </c>
      <c r="B182" s="74">
        <v>7572</v>
      </c>
      <c r="C182" s="74">
        <v>7600</v>
      </c>
      <c r="D182" s="74">
        <v>7582</v>
      </c>
      <c r="E182" s="28">
        <v>241</v>
      </c>
      <c r="F182" s="29">
        <v>232</v>
      </c>
      <c r="G182" s="28">
        <v>243</v>
      </c>
      <c r="H182" s="30">
        <v>236</v>
      </c>
      <c r="I182" s="29">
        <v>239</v>
      </c>
      <c r="J182" s="29">
        <v>232</v>
      </c>
      <c r="K182" s="34">
        <f t="shared" si="12"/>
        <v>72.3</v>
      </c>
      <c r="L182" s="29">
        <v>296</v>
      </c>
      <c r="M182" s="30">
        <v>280</v>
      </c>
      <c r="N182" s="35">
        <v>209</v>
      </c>
      <c r="O182" s="36">
        <v>215</v>
      </c>
      <c r="P182" s="37">
        <v>210</v>
      </c>
      <c r="Q182" s="52">
        <v>93</v>
      </c>
      <c r="R182" s="55">
        <v>94</v>
      </c>
      <c r="S182" s="56">
        <v>94</v>
      </c>
      <c r="T182" s="40" t="s">
        <v>46</v>
      </c>
      <c r="U182" s="38">
        <v>3</v>
      </c>
      <c r="V182" s="41" t="s">
        <v>46</v>
      </c>
      <c r="W182" s="39">
        <v>4</v>
      </c>
      <c r="X182" s="40" t="s">
        <v>46</v>
      </c>
      <c r="Y182" s="39">
        <v>3</v>
      </c>
      <c r="Z182" s="57">
        <v>3</v>
      </c>
      <c r="AA182" s="58">
        <v>4</v>
      </c>
      <c r="AB182" s="59">
        <v>3</v>
      </c>
      <c r="AC182" s="42">
        <v>0</v>
      </c>
    </row>
    <row r="183" spans="1:29" x14ac:dyDescent="0.25">
      <c r="A183" s="1">
        <f t="shared" ca="1" si="10"/>
        <v>14783</v>
      </c>
      <c r="B183" s="74">
        <v>7582</v>
      </c>
      <c r="C183" s="74">
        <v>7600</v>
      </c>
      <c r="D183" s="74">
        <v>7587</v>
      </c>
      <c r="E183" s="28">
        <v>285</v>
      </c>
      <c r="F183" s="29">
        <v>254</v>
      </c>
      <c r="G183" s="28">
        <v>285</v>
      </c>
      <c r="H183" s="30">
        <v>256</v>
      </c>
      <c r="I183" s="29">
        <v>271</v>
      </c>
      <c r="J183" s="29">
        <v>242</v>
      </c>
      <c r="K183" s="34">
        <f t="shared" si="12"/>
        <v>84.1</v>
      </c>
      <c r="L183" s="29">
        <v>310</v>
      </c>
      <c r="M183" s="30">
        <v>294</v>
      </c>
      <c r="N183" s="35">
        <v>228</v>
      </c>
      <c r="O183" s="36">
        <v>232</v>
      </c>
      <c r="P183" s="37">
        <v>212</v>
      </c>
      <c r="Q183" s="52">
        <v>78</v>
      </c>
      <c r="R183" s="55">
        <v>79</v>
      </c>
      <c r="S183" s="56">
        <v>79</v>
      </c>
      <c r="T183" s="40" t="s">
        <v>47</v>
      </c>
      <c r="U183" s="38">
        <v>3</v>
      </c>
      <c r="V183" s="41" t="s">
        <v>47</v>
      </c>
      <c r="W183" s="39">
        <v>4</v>
      </c>
      <c r="X183" s="40" t="s">
        <v>47</v>
      </c>
      <c r="Y183" s="39">
        <v>3</v>
      </c>
      <c r="Z183" s="57">
        <v>3</v>
      </c>
      <c r="AA183" s="58">
        <v>3</v>
      </c>
      <c r="AB183" s="59">
        <v>3</v>
      </c>
      <c r="AC183" s="42">
        <v>0</v>
      </c>
    </row>
    <row r="184" spans="1:29" x14ac:dyDescent="0.25">
      <c r="A184" s="1">
        <f t="shared" ca="1" si="10"/>
        <v>14784</v>
      </c>
      <c r="B184" s="74">
        <v>7592</v>
      </c>
      <c r="C184" s="74">
        <v>7597</v>
      </c>
      <c r="D184" s="74">
        <v>7592</v>
      </c>
      <c r="E184" s="28">
        <v>261</v>
      </c>
      <c r="F184" s="29">
        <v>244</v>
      </c>
      <c r="G184" s="28">
        <v>283</v>
      </c>
      <c r="H184" s="30">
        <v>246</v>
      </c>
      <c r="I184" s="29">
        <v>269</v>
      </c>
      <c r="J184" s="29">
        <v>240</v>
      </c>
      <c r="K184" s="34">
        <f t="shared" si="12"/>
        <v>81.3</v>
      </c>
      <c r="L184" s="29">
        <v>304</v>
      </c>
      <c r="M184" s="30">
        <v>295</v>
      </c>
      <c r="N184" s="35">
        <v>221</v>
      </c>
      <c r="O184" s="36">
        <v>214</v>
      </c>
      <c r="P184" s="37">
        <v>209</v>
      </c>
      <c r="Q184" s="52">
        <v>87</v>
      </c>
      <c r="R184" s="55">
        <v>74</v>
      </c>
      <c r="S184" s="56">
        <v>79</v>
      </c>
      <c r="T184" s="40" t="s">
        <v>47</v>
      </c>
      <c r="U184" s="38">
        <v>3</v>
      </c>
      <c r="V184" s="41" t="s">
        <v>47</v>
      </c>
      <c r="W184" s="39">
        <v>4</v>
      </c>
      <c r="X184" s="40" t="s">
        <v>47</v>
      </c>
      <c r="Y184" s="39">
        <v>4</v>
      </c>
      <c r="Z184" s="57">
        <v>3</v>
      </c>
      <c r="AA184" s="58">
        <v>4</v>
      </c>
      <c r="AB184" s="59">
        <v>4</v>
      </c>
      <c r="AC184" s="42">
        <v>0</v>
      </c>
    </row>
    <row r="185" spans="1:29" x14ac:dyDescent="0.25">
      <c r="A185" s="1">
        <f t="shared" ca="1" si="10"/>
        <v>14785</v>
      </c>
      <c r="B185" s="74">
        <v>7597</v>
      </c>
      <c r="C185" s="74">
        <v>7597</v>
      </c>
      <c r="D185" s="74">
        <v>7582</v>
      </c>
      <c r="E185" s="28">
        <v>257</v>
      </c>
      <c r="F185" s="29">
        <v>234</v>
      </c>
      <c r="G185" s="28">
        <v>283</v>
      </c>
      <c r="H185" s="30">
        <v>244</v>
      </c>
      <c r="I185" s="29">
        <v>269</v>
      </c>
      <c r="J185" s="29">
        <v>240</v>
      </c>
      <c r="K185" s="34">
        <f t="shared" si="12"/>
        <v>80.900000000000006</v>
      </c>
      <c r="L185" s="29">
        <v>304</v>
      </c>
      <c r="M185" s="30">
        <v>285</v>
      </c>
      <c r="N185" s="35">
        <v>204</v>
      </c>
      <c r="O185" s="36">
        <v>210</v>
      </c>
      <c r="P185" s="37">
        <v>209</v>
      </c>
      <c r="Q185" s="52">
        <v>82</v>
      </c>
      <c r="R185" s="55">
        <v>73</v>
      </c>
      <c r="S185" s="56">
        <v>79</v>
      </c>
      <c r="T185" s="40" t="s">
        <v>47</v>
      </c>
      <c r="U185" s="38">
        <v>4</v>
      </c>
      <c r="V185" s="41" t="s">
        <v>85</v>
      </c>
      <c r="W185" s="39">
        <v>5</v>
      </c>
      <c r="X185" s="40" t="s">
        <v>85</v>
      </c>
      <c r="Y185" s="39">
        <v>5</v>
      </c>
      <c r="Z185" s="57">
        <v>4</v>
      </c>
      <c r="AA185" s="58">
        <v>5</v>
      </c>
      <c r="AB185" s="59">
        <v>4</v>
      </c>
      <c r="AC185" s="42">
        <v>0</v>
      </c>
    </row>
    <row r="186" spans="1:29" x14ac:dyDescent="0.25">
      <c r="A186" s="1">
        <f t="shared" ca="1" si="10"/>
        <v>14786</v>
      </c>
      <c r="B186" s="74">
        <v>7607</v>
      </c>
      <c r="C186" s="74">
        <v>7595</v>
      </c>
      <c r="D186" s="74">
        <v>7585</v>
      </c>
      <c r="E186" s="28">
        <v>271</v>
      </c>
      <c r="F186" s="29">
        <v>238</v>
      </c>
      <c r="G186" s="28">
        <v>277</v>
      </c>
      <c r="H186" s="30">
        <v>244</v>
      </c>
      <c r="I186" s="29">
        <v>271</v>
      </c>
      <c r="J186" s="29">
        <v>240</v>
      </c>
      <c r="K186" s="34">
        <f t="shared" si="12"/>
        <v>81.900000000000006</v>
      </c>
      <c r="L186" s="29">
        <v>310</v>
      </c>
      <c r="M186" s="30">
        <v>292</v>
      </c>
      <c r="N186" s="35">
        <v>205</v>
      </c>
      <c r="O186" s="36">
        <v>213</v>
      </c>
      <c r="P186" s="37">
        <v>208</v>
      </c>
      <c r="Q186" s="52">
        <v>76</v>
      </c>
      <c r="R186" s="55">
        <v>76</v>
      </c>
      <c r="S186" s="56">
        <v>77</v>
      </c>
      <c r="T186" s="40" t="s">
        <v>47</v>
      </c>
      <c r="U186" s="38">
        <v>4</v>
      </c>
      <c r="V186" s="41" t="s">
        <v>47</v>
      </c>
      <c r="W186" s="39">
        <v>5</v>
      </c>
      <c r="X186" s="40" t="s">
        <v>85</v>
      </c>
      <c r="Y186" s="39">
        <v>5</v>
      </c>
      <c r="Z186" s="57">
        <v>3</v>
      </c>
      <c r="AA186" s="58">
        <v>4</v>
      </c>
      <c r="AB186" s="59">
        <v>3</v>
      </c>
      <c r="AC186" s="42">
        <v>0</v>
      </c>
    </row>
    <row r="187" spans="1:29" x14ac:dyDescent="0.25">
      <c r="A187" s="1">
        <f t="shared" ca="1" si="10"/>
        <v>14787</v>
      </c>
      <c r="B187" s="74">
        <v>7607</v>
      </c>
      <c r="C187" s="74">
        <v>7595</v>
      </c>
      <c r="D187" s="74">
        <v>7589</v>
      </c>
      <c r="E187" s="28">
        <v>265</v>
      </c>
      <c r="F187" s="29">
        <v>234</v>
      </c>
      <c r="G187" s="28">
        <v>279</v>
      </c>
      <c r="H187" s="30">
        <v>238</v>
      </c>
      <c r="I187" s="29">
        <v>277</v>
      </c>
      <c r="J187" s="29">
        <v>234</v>
      </c>
      <c r="K187" s="34">
        <f t="shared" si="12"/>
        <v>82.1</v>
      </c>
      <c r="L187" s="29">
        <v>305</v>
      </c>
      <c r="M187" s="30">
        <v>284</v>
      </c>
      <c r="N187" s="35">
        <v>200</v>
      </c>
      <c r="O187" s="36">
        <v>201</v>
      </c>
      <c r="P187" s="37">
        <v>194</v>
      </c>
      <c r="Q187" s="52">
        <v>77</v>
      </c>
      <c r="R187" s="55">
        <v>71</v>
      </c>
      <c r="S187" s="56">
        <v>70</v>
      </c>
      <c r="T187" s="40" t="s">
        <v>47</v>
      </c>
      <c r="U187" s="38">
        <v>5</v>
      </c>
      <c r="V187" s="41" t="s">
        <v>47</v>
      </c>
      <c r="W187" s="39">
        <v>6</v>
      </c>
      <c r="X187" s="40" t="s">
        <v>85</v>
      </c>
      <c r="Y187" s="39">
        <v>6</v>
      </c>
      <c r="Z187" s="57">
        <v>3</v>
      </c>
      <c r="AA187" s="58">
        <v>3</v>
      </c>
      <c r="AB187" s="59">
        <v>3</v>
      </c>
      <c r="AC187" s="42">
        <v>0</v>
      </c>
    </row>
    <row r="188" spans="1:29" x14ac:dyDescent="0.25">
      <c r="A188" s="1">
        <f t="shared" ca="1" si="10"/>
        <v>14788</v>
      </c>
      <c r="B188" s="74">
        <v>7595</v>
      </c>
      <c r="C188" s="74">
        <v>7597</v>
      </c>
      <c r="D188" s="74">
        <v>7590</v>
      </c>
      <c r="E188" s="28">
        <v>261</v>
      </c>
      <c r="F188" s="29">
        <v>236</v>
      </c>
      <c r="G188" s="28">
        <v>273</v>
      </c>
      <c r="H188" s="30">
        <v>240</v>
      </c>
      <c r="I188" s="29">
        <v>263</v>
      </c>
      <c r="J188" s="29">
        <v>236</v>
      </c>
      <c r="K188" s="34">
        <f t="shared" si="12"/>
        <v>79.7</v>
      </c>
      <c r="L188" s="29">
        <v>305</v>
      </c>
      <c r="M188" s="30">
        <v>290</v>
      </c>
      <c r="N188" s="35">
        <v>206</v>
      </c>
      <c r="O188" s="36">
        <v>207</v>
      </c>
      <c r="P188" s="37">
        <v>205</v>
      </c>
      <c r="Q188" s="52">
        <v>81</v>
      </c>
      <c r="R188" s="55">
        <v>76</v>
      </c>
      <c r="S188" s="56">
        <v>80</v>
      </c>
      <c r="T188" s="40" t="s">
        <v>46</v>
      </c>
      <c r="U188" s="38">
        <v>5</v>
      </c>
      <c r="V188" s="41" t="s">
        <v>46</v>
      </c>
      <c r="W188" s="39">
        <v>6</v>
      </c>
      <c r="X188" s="40" t="s">
        <v>47</v>
      </c>
      <c r="Y188" s="39">
        <v>6</v>
      </c>
      <c r="Z188" s="57">
        <v>2</v>
      </c>
      <c r="AA188" s="58">
        <v>3</v>
      </c>
      <c r="AB188" s="59">
        <v>4</v>
      </c>
      <c r="AC188" s="42">
        <v>0</v>
      </c>
    </row>
    <row r="189" spans="1:29" x14ac:dyDescent="0.25">
      <c r="A189" s="1">
        <f t="shared" ca="1" si="10"/>
        <v>14789</v>
      </c>
      <c r="B189" s="74">
        <v>7607</v>
      </c>
      <c r="C189" s="74">
        <v>7602</v>
      </c>
      <c r="D189" s="74">
        <v>7579</v>
      </c>
      <c r="E189" s="28">
        <v>271</v>
      </c>
      <c r="F189" s="29">
        <v>238</v>
      </c>
      <c r="G189" s="28">
        <v>277</v>
      </c>
      <c r="H189" s="30">
        <v>248</v>
      </c>
      <c r="I189" s="29">
        <v>285</v>
      </c>
      <c r="J189" s="29">
        <v>242</v>
      </c>
      <c r="K189" s="34">
        <f t="shared" si="12"/>
        <v>83.3</v>
      </c>
      <c r="L189" s="29">
        <v>295</v>
      </c>
      <c r="M189" s="30">
        <v>290</v>
      </c>
      <c r="N189" s="35">
        <v>205</v>
      </c>
      <c r="O189" s="36">
        <v>220</v>
      </c>
      <c r="P189" s="37">
        <v>205</v>
      </c>
      <c r="Q189" s="52">
        <v>76</v>
      </c>
      <c r="R189" s="55">
        <v>79</v>
      </c>
      <c r="S189" s="56">
        <v>70</v>
      </c>
      <c r="T189" s="40" t="s">
        <v>85</v>
      </c>
      <c r="U189" s="38">
        <v>5</v>
      </c>
      <c r="V189" s="41" t="s">
        <v>85</v>
      </c>
      <c r="W189" s="39">
        <v>6</v>
      </c>
      <c r="X189" s="40" t="s">
        <v>47</v>
      </c>
      <c r="Y189" s="39">
        <v>6</v>
      </c>
      <c r="Z189" s="57">
        <v>3</v>
      </c>
      <c r="AA189" s="58">
        <v>2</v>
      </c>
      <c r="AB189" s="59">
        <v>2</v>
      </c>
      <c r="AC189" s="42">
        <v>0</v>
      </c>
    </row>
    <row r="190" spans="1:29" x14ac:dyDescent="0.25">
      <c r="A190" s="1">
        <f t="shared" ca="1" si="10"/>
        <v>14790</v>
      </c>
      <c r="B190" s="74">
        <v>7607</v>
      </c>
      <c r="C190" s="74">
        <v>7600</v>
      </c>
      <c r="D190" s="74">
        <v>7590</v>
      </c>
      <c r="E190" s="28">
        <v>261</v>
      </c>
      <c r="F190" s="29">
        <v>234</v>
      </c>
      <c r="G190" s="28">
        <v>273</v>
      </c>
      <c r="H190" s="30">
        <v>238</v>
      </c>
      <c r="I190" s="29">
        <v>263</v>
      </c>
      <c r="J190" s="29">
        <v>234</v>
      </c>
      <c r="K190" s="34">
        <f t="shared" si="12"/>
        <v>79.7</v>
      </c>
      <c r="L190" s="29">
        <v>305</v>
      </c>
      <c r="M190" s="30">
        <v>288</v>
      </c>
      <c r="N190" s="35">
        <v>202</v>
      </c>
      <c r="O190" s="36">
        <v>204</v>
      </c>
      <c r="P190" s="37">
        <v>201</v>
      </c>
      <c r="Q190" s="52">
        <v>80</v>
      </c>
      <c r="R190" s="55">
        <v>75</v>
      </c>
      <c r="S190" s="56">
        <v>78</v>
      </c>
      <c r="T190" s="40" t="s">
        <v>46</v>
      </c>
      <c r="U190" s="38">
        <v>5</v>
      </c>
      <c r="V190" s="41" t="s">
        <v>46</v>
      </c>
      <c r="W190" s="39">
        <v>6</v>
      </c>
      <c r="X190" s="40" t="s">
        <v>47</v>
      </c>
      <c r="Y190" s="39">
        <v>6</v>
      </c>
      <c r="Z190" s="57">
        <v>3</v>
      </c>
      <c r="AA190" s="58">
        <v>2</v>
      </c>
      <c r="AB190" s="59">
        <v>2</v>
      </c>
      <c r="AC190" s="42">
        <v>0</v>
      </c>
    </row>
    <row r="191" spans="1:29" x14ac:dyDescent="0.25">
      <c r="A191" s="1">
        <f t="shared" ca="1" si="10"/>
        <v>14791</v>
      </c>
      <c r="B191" s="74">
        <v>7610</v>
      </c>
      <c r="C191" s="74">
        <v>7612</v>
      </c>
      <c r="D191" s="74">
        <v>7589</v>
      </c>
      <c r="E191" s="28">
        <v>279</v>
      </c>
      <c r="F191" s="29">
        <v>240</v>
      </c>
      <c r="G191" s="28">
        <v>285</v>
      </c>
      <c r="H191" s="30">
        <v>244</v>
      </c>
      <c r="I191" s="29">
        <v>281</v>
      </c>
      <c r="J191" s="29">
        <v>242</v>
      </c>
      <c r="K191" s="34">
        <f t="shared" si="12"/>
        <v>84.5</v>
      </c>
      <c r="L191" s="29">
        <v>310</v>
      </c>
      <c r="M191" s="30">
        <v>300</v>
      </c>
      <c r="N191" s="35">
        <v>204</v>
      </c>
      <c r="O191" s="36">
        <v>209</v>
      </c>
      <c r="P191" s="37">
        <v>207</v>
      </c>
      <c r="Q191" s="52">
        <v>72</v>
      </c>
      <c r="R191" s="55">
        <v>71</v>
      </c>
      <c r="S191" s="56">
        <v>72</v>
      </c>
      <c r="T191" s="40" t="s">
        <v>47</v>
      </c>
      <c r="U191" s="38">
        <v>5</v>
      </c>
      <c r="V191" s="41" t="s">
        <v>47</v>
      </c>
      <c r="W191" s="39">
        <v>6</v>
      </c>
      <c r="X191" s="40" t="s">
        <v>47</v>
      </c>
      <c r="Y191" s="39">
        <v>6</v>
      </c>
      <c r="Z191" s="57">
        <v>3</v>
      </c>
      <c r="AA191" s="58">
        <v>3</v>
      </c>
      <c r="AB191" s="59">
        <v>3</v>
      </c>
      <c r="AC191" s="42">
        <v>0</v>
      </c>
    </row>
    <row r="192" spans="1:29" x14ac:dyDescent="0.25">
      <c r="A192" s="1">
        <f t="shared" ca="1" si="10"/>
        <v>14792</v>
      </c>
      <c r="B192" s="74">
        <v>7600</v>
      </c>
      <c r="C192" s="74">
        <v>7607</v>
      </c>
      <c r="D192" s="74">
        <v>7595</v>
      </c>
      <c r="E192" s="28">
        <v>279</v>
      </c>
      <c r="F192" s="29">
        <v>241</v>
      </c>
      <c r="G192" s="28">
        <v>281</v>
      </c>
      <c r="H192" s="30">
        <v>245</v>
      </c>
      <c r="I192" s="29">
        <v>282</v>
      </c>
      <c r="J192" s="29">
        <v>242</v>
      </c>
      <c r="K192" s="34">
        <f t="shared" si="12"/>
        <v>84.2</v>
      </c>
      <c r="L192" s="29">
        <v>310</v>
      </c>
      <c r="M192" s="30">
        <v>300</v>
      </c>
      <c r="N192" s="35">
        <v>206</v>
      </c>
      <c r="O192" s="36">
        <v>213</v>
      </c>
      <c r="P192" s="37">
        <v>206</v>
      </c>
      <c r="Q192" s="52">
        <v>73</v>
      </c>
      <c r="R192" s="55">
        <v>74</v>
      </c>
      <c r="S192" s="56">
        <v>72</v>
      </c>
      <c r="T192" s="40" t="s">
        <v>46</v>
      </c>
      <c r="U192" s="38">
        <v>4</v>
      </c>
      <c r="V192" s="41" t="s">
        <v>46</v>
      </c>
      <c r="W192" s="39">
        <v>5</v>
      </c>
      <c r="X192" s="40" t="s">
        <v>47</v>
      </c>
      <c r="Y192" s="39">
        <v>4</v>
      </c>
      <c r="Z192" s="57">
        <v>2</v>
      </c>
      <c r="AA192" s="58">
        <v>3</v>
      </c>
      <c r="AB192" s="59">
        <v>3</v>
      </c>
      <c r="AC192" s="42">
        <v>0</v>
      </c>
    </row>
    <row r="193" spans="1:29" x14ac:dyDescent="0.25">
      <c r="A193" s="1" t="str">
        <f t="shared" ca="1" si="10"/>
        <v>Totaal</v>
      </c>
      <c r="B193" s="75">
        <f>IF(COUNT(B163:B192)&gt;0,AVERAGE(B163:B192)/10,"")</f>
        <v>759.25333333333333</v>
      </c>
      <c r="C193" s="76">
        <f>IF(COUNT(C163:C192)&gt;0,AVERAGE(C163:C192)/10,"")</f>
        <v>759.53666666666663</v>
      </c>
      <c r="D193" s="77">
        <f>IF(COUNT(D163:D192)&gt;0,AVERAGE(D163:D192)/10,"")</f>
        <v>758.52</v>
      </c>
      <c r="E193" s="31">
        <f t="shared" ref="E193:J193" si="13">IF(COUNT(E163:E192)&gt;0,AVERAGE(E163:E192)/10,"")</f>
        <v>26.703333333333337</v>
      </c>
      <c r="F193" s="32">
        <f t="shared" si="13"/>
        <v>23.603333333333332</v>
      </c>
      <c r="G193" s="31">
        <f t="shared" si="13"/>
        <v>27.533333333333331</v>
      </c>
      <c r="H193" s="33">
        <f t="shared" si="13"/>
        <v>24</v>
      </c>
      <c r="I193" s="32">
        <f t="shared" si="13"/>
        <v>27.060000000000002</v>
      </c>
      <c r="J193" s="32">
        <f t="shared" si="13"/>
        <v>23.563333333333333</v>
      </c>
      <c r="K193" s="46">
        <f>IF(COUNT(K163:K192)&gt;0,SUM(K163:K192),"")</f>
        <v>2438.8999999999996</v>
      </c>
      <c r="L193" s="32">
        <f>IF(COUNT(L163:L192)&gt;0,AVERAGE(L163:L192)/10,"")</f>
        <v>30.169999999999998</v>
      </c>
      <c r="M193" s="32">
        <f>IF(COUNT(M163:M192)&gt;0,AVERAGE(M163:M192)/10,"")</f>
        <v>28.68</v>
      </c>
      <c r="N193" s="47">
        <f>IF(COUNT(N163:N192)&gt;0,AVERAGE(N163:N192)/10,"")</f>
        <v>20.323333333333331</v>
      </c>
      <c r="O193" s="48">
        <f>IF(COUNT(O163:O192)&gt;0,AVERAGE(O163:O192)/10,"")</f>
        <v>20.626666666666669</v>
      </c>
      <c r="P193" s="49">
        <f>IF(COUNT(P163:P192)&gt;0,AVERAGE(P163:P192)/10,"")</f>
        <v>20.05</v>
      </c>
      <c r="Q193" s="51">
        <f>IF(COUNT(Q163:Q192)&gt;0,AVERAGE(Q163:Q192),"")</f>
        <v>77.433333333333337</v>
      </c>
      <c r="R193" s="53">
        <f>IF(COUNT(R163:R192)&gt;0,AVERAGE(R163:R192),"")</f>
        <v>74.8</v>
      </c>
      <c r="S193" s="54">
        <f>IF(COUNT(S163:S192)&gt;0,AVERAGE(S163:S192),"")</f>
        <v>74.766666666666666</v>
      </c>
      <c r="T193" s="26"/>
      <c r="U193" s="50">
        <f>IF(COUNT(U163:U192)&gt;0,AVERAGE(U163:U192)/10,"")</f>
        <v>0.40333333333333332</v>
      </c>
      <c r="V193" s="27"/>
      <c r="W193" s="50">
        <f>IF(COUNT(W163:W192)&gt;0,AVERAGE(W163:W192)/10,"")</f>
        <v>0.51333333333333342</v>
      </c>
      <c r="X193" s="26"/>
      <c r="Y193" s="50">
        <f>IF(COUNT(Y163:Y192)&gt;0,AVERAGE(Y163:Y192)/10,"")</f>
        <v>0.47666666666666668</v>
      </c>
      <c r="Z193" s="60">
        <f>IF(COUNT(Z163:Z192)&gt;0,AVERAGE(Z163:Z192),"")</f>
        <v>3.9333333333333331</v>
      </c>
      <c r="AA193" s="61">
        <f>IF(COUNT(AA163:AA192)&gt;0,AVERAGE(AA163:AA192),"")</f>
        <v>4.3666666666666663</v>
      </c>
      <c r="AB193" s="62">
        <f>IF(COUNT(AB163:AB192)&gt;0,AVERAGE(AB163:AB192),"")</f>
        <v>4</v>
      </c>
      <c r="AC193" s="45">
        <f>SUM(AC163:AC192)/10</f>
        <v>4.7</v>
      </c>
    </row>
    <row r="194" spans="1:29" x14ac:dyDescent="0.25">
      <c r="A194" s="1">
        <f t="shared" ca="1" si="10"/>
        <v>14793</v>
      </c>
      <c r="B194" s="74">
        <v>7592</v>
      </c>
      <c r="C194" s="74">
        <v>7597</v>
      </c>
      <c r="D194" s="74">
        <v>7585</v>
      </c>
      <c r="E194" s="28">
        <v>274</v>
      </c>
      <c r="F194" s="29">
        <v>238</v>
      </c>
      <c r="G194" s="28">
        <v>277</v>
      </c>
      <c r="H194" s="30">
        <v>240</v>
      </c>
      <c r="I194" s="29">
        <v>275</v>
      </c>
      <c r="J194" s="29">
        <v>236</v>
      </c>
      <c r="K194" s="34">
        <f t="shared" ref="K194:K224" si="14">IF(COUNT(E194,G194,I194)&gt;0,SUM(E194,G194,I194)/10,"")</f>
        <v>82.6</v>
      </c>
      <c r="L194" s="29">
        <v>305</v>
      </c>
      <c r="M194" s="30">
        <v>290</v>
      </c>
      <c r="N194" s="35">
        <v>205</v>
      </c>
      <c r="O194" s="36">
        <v>199</v>
      </c>
      <c r="P194" s="37">
        <v>199</v>
      </c>
      <c r="Q194" s="52">
        <v>74</v>
      </c>
      <c r="R194" s="55">
        <v>72</v>
      </c>
      <c r="S194" s="56">
        <v>72</v>
      </c>
      <c r="T194" s="40" t="s">
        <v>47</v>
      </c>
      <c r="U194" s="38">
        <v>5</v>
      </c>
      <c r="V194" s="41" t="s">
        <v>46</v>
      </c>
      <c r="W194" s="39">
        <v>6</v>
      </c>
      <c r="X194" s="40" t="s">
        <v>46</v>
      </c>
      <c r="Y194" s="39">
        <v>6</v>
      </c>
      <c r="Z194" s="57">
        <v>4</v>
      </c>
      <c r="AA194" s="58">
        <v>5</v>
      </c>
      <c r="AB194" s="59">
        <v>4</v>
      </c>
      <c r="AC194" s="42">
        <v>0</v>
      </c>
    </row>
    <row r="195" spans="1:29" x14ac:dyDescent="0.25">
      <c r="A195" s="1">
        <f t="shared" ca="1" si="10"/>
        <v>14794</v>
      </c>
      <c r="B195" s="74">
        <v>7587</v>
      </c>
      <c r="C195" s="74">
        <v>7592</v>
      </c>
      <c r="D195" s="74">
        <v>7587</v>
      </c>
      <c r="E195" s="28">
        <v>271</v>
      </c>
      <c r="F195" s="29">
        <v>234</v>
      </c>
      <c r="G195" s="28">
        <v>275</v>
      </c>
      <c r="H195" s="30">
        <v>238</v>
      </c>
      <c r="I195" s="29">
        <v>269</v>
      </c>
      <c r="J195" s="29">
        <v>232</v>
      </c>
      <c r="K195" s="34">
        <f t="shared" si="14"/>
        <v>81.5</v>
      </c>
      <c r="L195" s="29">
        <v>298</v>
      </c>
      <c r="M195" s="30">
        <v>280</v>
      </c>
      <c r="N195" s="35">
        <v>197</v>
      </c>
      <c r="O195" s="36">
        <v>203</v>
      </c>
      <c r="P195" s="37">
        <v>195</v>
      </c>
      <c r="Q195" s="52">
        <v>73</v>
      </c>
      <c r="R195" s="55">
        <v>73</v>
      </c>
      <c r="S195" s="56">
        <v>73</v>
      </c>
      <c r="T195" s="40" t="s">
        <v>47</v>
      </c>
      <c r="U195" s="38">
        <v>5</v>
      </c>
      <c r="V195" s="41" t="s">
        <v>47</v>
      </c>
      <c r="W195" s="39">
        <v>6</v>
      </c>
      <c r="X195" s="40" t="s">
        <v>46</v>
      </c>
      <c r="Y195" s="39">
        <v>6</v>
      </c>
      <c r="Z195" s="57">
        <v>4</v>
      </c>
      <c r="AA195" s="58">
        <v>5</v>
      </c>
      <c r="AB195" s="59">
        <v>3</v>
      </c>
      <c r="AC195" s="42">
        <v>15</v>
      </c>
    </row>
    <row r="196" spans="1:29" x14ac:dyDescent="0.25">
      <c r="A196" s="1">
        <f t="shared" ca="1" si="10"/>
        <v>14795</v>
      </c>
      <c r="B196" s="74">
        <v>7585</v>
      </c>
      <c r="C196" s="74">
        <v>7589</v>
      </c>
      <c r="D196" s="74">
        <v>7587</v>
      </c>
      <c r="E196" s="28">
        <v>275</v>
      </c>
      <c r="F196" s="29">
        <v>250</v>
      </c>
      <c r="G196" s="28">
        <v>281</v>
      </c>
      <c r="H196" s="30">
        <v>258</v>
      </c>
      <c r="I196" s="29">
        <v>278</v>
      </c>
      <c r="J196" s="29">
        <v>243</v>
      </c>
      <c r="K196" s="34">
        <f t="shared" si="14"/>
        <v>83.4</v>
      </c>
      <c r="L196" s="29">
        <v>308</v>
      </c>
      <c r="M196" s="30">
        <v>292</v>
      </c>
      <c r="N196" s="35">
        <v>225</v>
      </c>
      <c r="O196" s="36">
        <v>238</v>
      </c>
      <c r="P196" s="37">
        <v>210</v>
      </c>
      <c r="Q196" s="52">
        <v>82</v>
      </c>
      <c r="R196" s="55">
        <v>83</v>
      </c>
      <c r="S196" s="56">
        <v>75</v>
      </c>
      <c r="T196" s="40" t="s">
        <v>47</v>
      </c>
      <c r="U196" s="38">
        <v>6</v>
      </c>
      <c r="V196" s="41" t="s">
        <v>46</v>
      </c>
      <c r="W196" s="39">
        <v>6</v>
      </c>
      <c r="X196" s="40" t="s">
        <v>46</v>
      </c>
      <c r="Y196" s="39">
        <v>6</v>
      </c>
      <c r="Z196" s="57">
        <v>5</v>
      </c>
      <c r="AA196" s="58">
        <v>5</v>
      </c>
      <c r="AB196" s="59">
        <v>6</v>
      </c>
      <c r="AC196" s="42">
        <v>40</v>
      </c>
    </row>
    <row r="197" spans="1:29" x14ac:dyDescent="0.25">
      <c r="A197" s="1">
        <f t="shared" ca="1" si="10"/>
        <v>14796</v>
      </c>
      <c r="B197" s="74">
        <v>7597</v>
      </c>
      <c r="C197" s="74">
        <v>7592</v>
      </c>
      <c r="D197" s="74">
        <v>7589</v>
      </c>
      <c r="E197" s="28">
        <v>273</v>
      </c>
      <c r="F197" s="29">
        <v>242</v>
      </c>
      <c r="G197" s="28">
        <v>279</v>
      </c>
      <c r="H197" s="30">
        <v>246</v>
      </c>
      <c r="I197" s="29">
        <v>275</v>
      </c>
      <c r="J197" s="29">
        <v>242</v>
      </c>
      <c r="K197" s="34">
        <f t="shared" si="14"/>
        <v>82.7</v>
      </c>
      <c r="L197" s="29">
        <v>305</v>
      </c>
      <c r="M197" s="30">
        <v>285</v>
      </c>
      <c r="N197" s="35">
        <v>211</v>
      </c>
      <c r="O197" s="36">
        <v>216</v>
      </c>
      <c r="P197" s="37">
        <v>210</v>
      </c>
      <c r="Q197" s="52">
        <v>77</v>
      </c>
      <c r="R197" s="55">
        <v>76</v>
      </c>
      <c r="S197" s="56">
        <v>76</v>
      </c>
      <c r="T197" s="40" t="s">
        <v>46</v>
      </c>
      <c r="U197" s="38">
        <v>6</v>
      </c>
      <c r="V197" s="41" t="s">
        <v>46</v>
      </c>
      <c r="W197" s="39">
        <v>7</v>
      </c>
      <c r="X197" s="40" t="s">
        <v>46</v>
      </c>
      <c r="Y197" s="39">
        <v>7</v>
      </c>
      <c r="Z197" s="57">
        <v>5</v>
      </c>
      <c r="AA197" s="58">
        <v>6</v>
      </c>
      <c r="AB197" s="59">
        <v>5</v>
      </c>
      <c r="AC197" s="42">
        <v>25</v>
      </c>
    </row>
    <row r="198" spans="1:29" x14ac:dyDescent="0.25">
      <c r="A198" s="1">
        <f t="shared" ca="1" si="10"/>
        <v>14797</v>
      </c>
      <c r="B198" s="74">
        <v>7597</v>
      </c>
      <c r="C198" s="74">
        <v>7602</v>
      </c>
      <c r="D198" s="74">
        <v>7587</v>
      </c>
      <c r="E198" s="28">
        <v>271</v>
      </c>
      <c r="F198" s="29">
        <v>236</v>
      </c>
      <c r="G198" s="28">
        <v>283</v>
      </c>
      <c r="H198" s="30">
        <v>240</v>
      </c>
      <c r="I198" s="29">
        <v>271</v>
      </c>
      <c r="J198" s="29">
        <v>236</v>
      </c>
      <c r="K198" s="34">
        <f t="shared" si="14"/>
        <v>82.5</v>
      </c>
      <c r="L198" s="29">
        <v>300</v>
      </c>
      <c r="M198" s="30">
        <v>282</v>
      </c>
      <c r="N198" s="35">
        <v>201</v>
      </c>
      <c r="O198" s="36">
        <v>202</v>
      </c>
      <c r="P198" s="37">
        <v>201</v>
      </c>
      <c r="Q198" s="52">
        <v>75</v>
      </c>
      <c r="R198" s="55">
        <v>70</v>
      </c>
      <c r="S198" s="56">
        <v>75</v>
      </c>
      <c r="T198" s="40" t="s">
        <v>47</v>
      </c>
      <c r="U198" s="38">
        <v>6</v>
      </c>
      <c r="V198" s="41" t="s">
        <v>47</v>
      </c>
      <c r="W198" s="39">
        <v>6</v>
      </c>
      <c r="X198" s="40" t="s">
        <v>46</v>
      </c>
      <c r="Y198" s="39">
        <v>7</v>
      </c>
      <c r="Z198" s="57">
        <v>3</v>
      </c>
      <c r="AA198" s="58">
        <v>4</v>
      </c>
      <c r="AB198" s="59">
        <v>4</v>
      </c>
      <c r="AC198" s="42">
        <v>0</v>
      </c>
    </row>
    <row r="199" spans="1:29" x14ac:dyDescent="0.25">
      <c r="A199" s="1">
        <f t="shared" ca="1" si="10"/>
        <v>14798</v>
      </c>
      <c r="B199" s="74">
        <v>7595</v>
      </c>
      <c r="C199" s="74">
        <v>7597</v>
      </c>
      <c r="D199" s="74">
        <v>7587</v>
      </c>
      <c r="E199" s="28">
        <v>273</v>
      </c>
      <c r="F199" s="29">
        <v>236</v>
      </c>
      <c r="G199" s="28">
        <v>285</v>
      </c>
      <c r="H199" s="30">
        <v>240</v>
      </c>
      <c r="I199" s="29">
        <v>271</v>
      </c>
      <c r="J199" s="29">
        <v>238</v>
      </c>
      <c r="K199" s="34">
        <f t="shared" si="14"/>
        <v>82.9</v>
      </c>
      <c r="L199" s="29">
        <v>305</v>
      </c>
      <c r="M199" s="30">
        <v>284</v>
      </c>
      <c r="N199" s="35">
        <v>200</v>
      </c>
      <c r="O199" s="36">
        <v>201</v>
      </c>
      <c r="P199" s="37">
        <v>205</v>
      </c>
      <c r="Q199" s="52">
        <v>73</v>
      </c>
      <c r="R199" s="55">
        <v>69</v>
      </c>
      <c r="S199" s="56">
        <v>76</v>
      </c>
      <c r="T199" s="40" t="s">
        <v>47</v>
      </c>
      <c r="U199" s="38">
        <v>6</v>
      </c>
      <c r="V199" s="41" t="s">
        <v>47</v>
      </c>
      <c r="W199" s="39">
        <v>7</v>
      </c>
      <c r="X199" s="40" t="s">
        <v>47</v>
      </c>
      <c r="Y199" s="39">
        <v>7</v>
      </c>
      <c r="Z199" s="57">
        <v>3</v>
      </c>
      <c r="AA199" s="58">
        <v>3</v>
      </c>
      <c r="AB199" s="59">
        <v>2</v>
      </c>
      <c r="AC199" s="42">
        <v>0</v>
      </c>
    </row>
    <row r="200" spans="1:29" x14ac:dyDescent="0.25">
      <c r="A200" s="1">
        <f t="shared" ref="A200:A263" ca="1" si="15">IF(ISTEXT(A199),A198+1,IF(MONTH(A199+1)=MONTH(A199),A199+1,"Totaal"))</f>
        <v>14799</v>
      </c>
      <c r="B200" s="74">
        <v>7589</v>
      </c>
      <c r="C200" s="74">
        <v>7605</v>
      </c>
      <c r="D200" s="74">
        <v>7600</v>
      </c>
      <c r="E200" s="28">
        <v>269</v>
      </c>
      <c r="F200" s="29">
        <v>234</v>
      </c>
      <c r="G200" s="28">
        <v>285</v>
      </c>
      <c r="H200" s="30">
        <v>242</v>
      </c>
      <c r="I200" s="29">
        <v>279</v>
      </c>
      <c r="J200" s="29">
        <v>238</v>
      </c>
      <c r="K200" s="34">
        <f t="shared" si="14"/>
        <v>83.3</v>
      </c>
      <c r="L200" s="29">
        <v>315</v>
      </c>
      <c r="M200" s="30">
        <v>290</v>
      </c>
      <c r="N200" s="35">
        <v>198</v>
      </c>
      <c r="O200" s="36">
        <v>205</v>
      </c>
      <c r="P200" s="37">
        <v>201</v>
      </c>
      <c r="Q200" s="52">
        <v>74</v>
      </c>
      <c r="R200" s="55">
        <v>70</v>
      </c>
      <c r="S200" s="56">
        <v>71</v>
      </c>
      <c r="T200" s="40" t="s">
        <v>47</v>
      </c>
      <c r="U200" s="38">
        <v>6</v>
      </c>
      <c r="V200" s="41" t="s">
        <v>47</v>
      </c>
      <c r="W200" s="39">
        <v>7</v>
      </c>
      <c r="X200" s="40" t="s">
        <v>46</v>
      </c>
      <c r="Y200" s="39">
        <v>7</v>
      </c>
      <c r="Z200" s="57">
        <v>3</v>
      </c>
      <c r="AA200" s="58">
        <v>2</v>
      </c>
      <c r="AB200" s="59">
        <v>2</v>
      </c>
      <c r="AC200" s="42">
        <v>0</v>
      </c>
    </row>
    <row r="201" spans="1:29" x14ac:dyDescent="0.25">
      <c r="A201" s="1">
        <f t="shared" ca="1" si="15"/>
        <v>14800</v>
      </c>
      <c r="B201" s="74">
        <v>7595</v>
      </c>
      <c r="C201" s="74">
        <v>7600</v>
      </c>
      <c r="D201" s="74">
        <v>7592</v>
      </c>
      <c r="E201" s="28">
        <v>281</v>
      </c>
      <c r="F201" s="29">
        <v>240</v>
      </c>
      <c r="G201" s="28">
        <v>283</v>
      </c>
      <c r="H201" s="30">
        <v>244</v>
      </c>
      <c r="I201" s="29">
        <v>281</v>
      </c>
      <c r="J201" s="29">
        <v>238</v>
      </c>
      <c r="K201" s="34">
        <f t="shared" si="14"/>
        <v>84.5</v>
      </c>
      <c r="L201" s="29">
        <v>320</v>
      </c>
      <c r="M201" s="30">
        <v>296</v>
      </c>
      <c r="N201" s="35">
        <v>203</v>
      </c>
      <c r="O201" s="36">
        <v>210</v>
      </c>
      <c r="P201" s="37">
        <v>200</v>
      </c>
      <c r="Q201" s="52">
        <v>71</v>
      </c>
      <c r="R201" s="55">
        <v>73</v>
      </c>
      <c r="S201" s="56">
        <v>70</v>
      </c>
      <c r="T201" s="40" t="s">
        <v>47</v>
      </c>
      <c r="U201" s="38">
        <v>7</v>
      </c>
      <c r="V201" s="41" t="s">
        <v>47</v>
      </c>
      <c r="W201" s="39">
        <v>7</v>
      </c>
      <c r="X201" s="40" t="s">
        <v>46</v>
      </c>
      <c r="Y201" s="39">
        <v>7</v>
      </c>
      <c r="Z201" s="57">
        <v>3</v>
      </c>
      <c r="AA201" s="58">
        <v>2</v>
      </c>
      <c r="AB201" s="59">
        <v>2</v>
      </c>
      <c r="AC201" s="42">
        <v>0</v>
      </c>
    </row>
    <row r="202" spans="1:29" x14ac:dyDescent="0.25">
      <c r="A202" s="1">
        <f t="shared" ca="1" si="15"/>
        <v>14801</v>
      </c>
      <c r="B202" s="74">
        <v>7620</v>
      </c>
      <c r="C202" s="74">
        <v>7605</v>
      </c>
      <c r="D202" s="74">
        <v>7600</v>
      </c>
      <c r="E202" s="28">
        <v>283</v>
      </c>
      <c r="F202" s="29">
        <v>242</v>
      </c>
      <c r="G202" s="28">
        <v>287</v>
      </c>
      <c r="H202" s="30">
        <v>246</v>
      </c>
      <c r="I202" s="29">
        <v>281</v>
      </c>
      <c r="J202" s="29">
        <v>240</v>
      </c>
      <c r="K202" s="34">
        <f t="shared" si="14"/>
        <v>85.1</v>
      </c>
      <c r="L202" s="29">
        <v>325</v>
      </c>
      <c r="M202" s="30">
        <v>304</v>
      </c>
      <c r="N202" s="35">
        <v>206</v>
      </c>
      <c r="O202" s="36">
        <v>212</v>
      </c>
      <c r="P202" s="37">
        <v>203</v>
      </c>
      <c r="Q202" s="52">
        <v>71</v>
      </c>
      <c r="R202" s="55">
        <v>71</v>
      </c>
      <c r="S202" s="56">
        <v>71</v>
      </c>
      <c r="T202" s="40" t="s">
        <v>85</v>
      </c>
      <c r="U202" s="38">
        <v>7</v>
      </c>
      <c r="V202" s="41" t="s">
        <v>85</v>
      </c>
      <c r="W202" s="39">
        <v>7</v>
      </c>
      <c r="X202" s="40" t="s">
        <v>85</v>
      </c>
      <c r="Y202" s="39">
        <v>7</v>
      </c>
      <c r="Z202" s="57">
        <v>2</v>
      </c>
      <c r="AA202" s="58">
        <v>2</v>
      </c>
      <c r="AB202" s="59">
        <v>2</v>
      </c>
      <c r="AC202" s="42">
        <v>0</v>
      </c>
    </row>
    <row r="203" spans="1:29" x14ac:dyDescent="0.25">
      <c r="A203" s="1">
        <f t="shared" ca="1" si="15"/>
        <v>14802</v>
      </c>
      <c r="B203" s="74">
        <v>7625</v>
      </c>
      <c r="C203" s="74">
        <v>7625</v>
      </c>
      <c r="D203" s="74">
        <v>7607</v>
      </c>
      <c r="E203" s="28">
        <v>265</v>
      </c>
      <c r="F203" s="29">
        <v>236</v>
      </c>
      <c r="G203" s="28">
        <v>276</v>
      </c>
      <c r="H203" s="30">
        <v>246</v>
      </c>
      <c r="I203" s="29">
        <v>265</v>
      </c>
      <c r="J203" s="29">
        <v>242</v>
      </c>
      <c r="K203" s="34">
        <f t="shared" si="14"/>
        <v>80.599999999999994</v>
      </c>
      <c r="L203" s="29">
        <v>304</v>
      </c>
      <c r="M203" s="30">
        <v>288</v>
      </c>
      <c r="N203" s="35">
        <v>204</v>
      </c>
      <c r="O203" s="36">
        <v>217</v>
      </c>
      <c r="P203" s="37">
        <v>215</v>
      </c>
      <c r="Q203" s="52">
        <v>78</v>
      </c>
      <c r="R203" s="55">
        <v>78</v>
      </c>
      <c r="S203" s="56">
        <v>83</v>
      </c>
      <c r="T203" s="40" t="s">
        <v>47</v>
      </c>
      <c r="U203" s="38">
        <v>6</v>
      </c>
      <c r="V203" s="41" t="s">
        <v>85</v>
      </c>
      <c r="W203" s="39">
        <v>7</v>
      </c>
      <c r="X203" s="40" t="s">
        <v>85</v>
      </c>
      <c r="Y203" s="39">
        <v>7</v>
      </c>
      <c r="Z203" s="57">
        <v>1</v>
      </c>
      <c r="AA203" s="58">
        <v>2</v>
      </c>
      <c r="AB203" s="59">
        <v>1</v>
      </c>
      <c r="AC203" s="42">
        <v>0</v>
      </c>
    </row>
    <row r="204" spans="1:29" x14ac:dyDescent="0.25">
      <c r="A204" s="1">
        <f t="shared" ca="1" si="15"/>
        <v>14803</v>
      </c>
      <c r="B204" s="74">
        <v>7607</v>
      </c>
      <c r="C204" s="74">
        <v>7607</v>
      </c>
      <c r="D204" s="74">
        <v>7600</v>
      </c>
      <c r="E204" s="28">
        <v>269</v>
      </c>
      <c r="F204" s="29">
        <v>228</v>
      </c>
      <c r="G204" s="28">
        <v>279</v>
      </c>
      <c r="H204" s="30">
        <v>238</v>
      </c>
      <c r="I204" s="29">
        <v>269</v>
      </c>
      <c r="J204" s="29">
        <v>230</v>
      </c>
      <c r="K204" s="34">
        <f t="shared" si="14"/>
        <v>81.7</v>
      </c>
      <c r="L204" s="29">
        <v>297</v>
      </c>
      <c r="M204" s="30">
        <v>272</v>
      </c>
      <c r="N204" s="35">
        <v>188</v>
      </c>
      <c r="O204" s="36">
        <v>201</v>
      </c>
      <c r="P204" s="37">
        <v>191</v>
      </c>
      <c r="Q204" s="52">
        <v>71</v>
      </c>
      <c r="R204" s="55">
        <v>71</v>
      </c>
      <c r="S204" s="56">
        <v>72</v>
      </c>
      <c r="T204" s="40" t="s">
        <v>47</v>
      </c>
      <c r="U204" s="38">
        <v>5</v>
      </c>
      <c r="V204" s="41" t="s">
        <v>85</v>
      </c>
      <c r="W204" s="39">
        <v>6</v>
      </c>
      <c r="X204" s="40" t="s">
        <v>85</v>
      </c>
      <c r="Y204" s="39">
        <v>6</v>
      </c>
      <c r="Z204" s="57">
        <v>3</v>
      </c>
      <c r="AA204" s="58">
        <v>4</v>
      </c>
      <c r="AB204" s="59">
        <v>3</v>
      </c>
      <c r="AC204" s="42">
        <v>0</v>
      </c>
    </row>
    <row r="205" spans="1:29" x14ac:dyDescent="0.25">
      <c r="A205" s="1">
        <f t="shared" ca="1" si="15"/>
        <v>14804</v>
      </c>
      <c r="B205" s="74">
        <v>7607</v>
      </c>
      <c r="C205" s="74">
        <v>7610</v>
      </c>
      <c r="D205" s="74">
        <v>7600</v>
      </c>
      <c r="E205" s="28">
        <v>269</v>
      </c>
      <c r="F205" s="29">
        <v>242</v>
      </c>
      <c r="G205" s="28">
        <v>283</v>
      </c>
      <c r="H205" s="30">
        <v>246</v>
      </c>
      <c r="I205" s="29">
        <v>279</v>
      </c>
      <c r="J205" s="29">
        <v>240</v>
      </c>
      <c r="K205" s="34">
        <f t="shared" si="14"/>
        <v>83.1</v>
      </c>
      <c r="L205" s="29">
        <v>295</v>
      </c>
      <c r="M205" s="30">
        <v>280</v>
      </c>
      <c r="N205" s="35">
        <v>213</v>
      </c>
      <c r="O205" s="36">
        <v>214</v>
      </c>
      <c r="P205" s="37">
        <v>204</v>
      </c>
      <c r="Q205" s="52">
        <v>80</v>
      </c>
      <c r="R205" s="55">
        <v>74</v>
      </c>
      <c r="S205" s="56">
        <v>72</v>
      </c>
      <c r="T205" s="40" t="s">
        <v>47</v>
      </c>
      <c r="U205" s="38">
        <v>4</v>
      </c>
      <c r="V205" s="41" t="s">
        <v>47</v>
      </c>
      <c r="W205" s="39">
        <v>5</v>
      </c>
      <c r="X205" s="40" t="s">
        <v>85</v>
      </c>
      <c r="Y205" s="39">
        <v>5</v>
      </c>
      <c r="Z205" s="57">
        <v>3</v>
      </c>
      <c r="AA205" s="58">
        <v>3</v>
      </c>
      <c r="AB205" s="59">
        <v>3</v>
      </c>
      <c r="AC205" s="42">
        <v>20</v>
      </c>
    </row>
    <row r="206" spans="1:29" x14ac:dyDescent="0.25">
      <c r="A206" s="1">
        <f t="shared" ca="1" si="15"/>
        <v>14805</v>
      </c>
      <c r="B206" s="74">
        <v>7610</v>
      </c>
      <c r="C206" s="74">
        <v>7612</v>
      </c>
      <c r="D206" s="74">
        <v>7605</v>
      </c>
      <c r="E206" s="28">
        <v>271</v>
      </c>
      <c r="F206" s="29">
        <v>240</v>
      </c>
      <c r="G206" s="28">
        <v>287</v>
      </c>
      <c r="H206" s="30">
        <v>244</v>
      </c>
      <c r="I206" s="29">
        <v>280</v>
      </c>
      <c r="J206" s="29">
        <v>240</v>
      </c>
      <c r="K206" s="34">
        <f t="shared" si="14"/>
        <v>83.8</v>
      </c>
      <c r="L206" s="29">
        <v>305</v>
      </c>
      <c r="M206" s="30">
        <v>287</v>
      </c>
      <c r="N206" s="35">
        <v>213</v>
      </c>
      <c r="O206" s="36">
        <v>208</v>
      </c>
      <c r="P206" s="37">
        <v>204</v>
      </c>
      <c r="Q206" s="52">
        <v>80</v>
      </c>
      <c r="R206" s="55">
        <v>70</v>
      </c>
      <c r="S206" s="56">
        <v>72</v>
      </c>
      <c r="T206" s="40" t="s">
        <v>47</v>
      </c>
      <c r="U206" s="38">
        <v>6</v>
      </c>
      <c r="V206" s="41" t="s">
        <v>47</v>
      </c>
      <c r="W206" s="39">
        <v>7</v>
      </c>
      <c r="X206" s="40" t="s">
        <v>46</v>
      </c>
      <c r="Y206" s="39">
        <v>7</v>
      </c>
      <c r="Z206" s="57">
        <v>1</v>
      </c>
      <c r="AA206" s="58">
        <v>2</v>
      </c>
      <c r="AB206" s="59">
        <v>2</v>
      </c>
      <c r="AC206" s="42">
        <v>17</v>
      </c>
    </row>
    <row r="207" spans="1:29" x14ac:dyDescent="0.25">
      <c r="A207" s="1">
        <f t="shared" ca="1" si="15"/>
        <v>14806</v>
      </c>
      <c r="B207" s="74">
        <v>7602</v>
      </c>
      <c r="C207" s="74">
        <v>7579</v>
      </c>
      <c r="D207" s="74">
        <v>7595</v>
      </c>
      <c r="E207" s="28">
        <v>281</v>
      </c>
      <c r="F207" s="29">
        <v>242</v>
      </c>
      <c r="G207" s="28">
        <v>285</v>
      </c>
      <c r="H207" s="30">
        <v>240</v>
      </c>
      <c r="I207" s="29">
        <v>279</v>
      </c>
      <c r="J207" s="29">
        <v>238</v>
      </c>
      <c r="K207" s="34">
        <f t="shared" si="14"/>
        <v>84.5</v>
      </c>
      <c r="L207" s="29">
        <v>310</v>
      </c>
      <c r="M207" s="30">
        <v>292</v>
      </c>
      <c r="N207" s="35">
        <v>207</v>
      </c>
      <c r="O207" s="36">
        <v>201</v>
      </c>
      <c r="P207" s="37">
        <v>201</v>
      </c>
      <c r="Q207" s="52">
        <v>72</v>
      </c>
      <c r="R207" s="55">
        <v>69</v>
      </c>
      <c r="S207" s="56">
        <v>71</v>
      </c>
      <c r="T207" s="40" t="s">
        <v>47</v>
      </c>
      <c r="U207" s="38">
        <v>7</v>
      </c>
      <c r="V207" s="41" t="s">
        <v>47</v>
      </c>
      <c r="W207" s="39">
        <v>7</v>
      </c>
      <c r="X207" s="40" t="s">
        <v>85</v>
      </c>
      <c r="Y207" s="39">
        <v>7</v>
      </c>
      <c r="Z207" s="57">
        <v>1</v>
      </c>
      <c r="AA207" s="58">
        <v>1</v>
      </c>
      <c r="AB207" s="59">
        <v>1</v>
      </c>
      <c r="AC207" s="42">
        <v>0</v>
      </c>
    </row>
    <row r="208" spans="1:29" x14ac:dyDescent="0.25">
      <c r="A208" s="1">
        <f t="shared" ca="1" si="15"/>
        <v>14807</v>
      </c>
      <c r="B208" s="74">
        <v>7610</v>
      </c>
      <c r="C208" s="74">
        <v>7579</v>
      </c>
      <c r="D208" s="74">
        <v>7579</v>
      </c>
      <c r="E208" s="28">
        <v>267</v>
      </c>
      <c r="F208" s="29">
        <v>232</v>
      </c>
      <c r="G208" s="28">
        <v>269</v>
      </c>
      <c r="H208" s="30">
        <v>238</v>
      </c>
      <c r="I208" s="29">
        <v>265</v>
      </c>
      <c r="J208" s="29">
        <v>230</v>
      </c>
      <c r="K208" s="34">
        <f t="shared" si="14"/>
        <v>80.099999999999994</v>
      </c>
      <c r="L208" s="29">
        <v>290</v>
      </c>
      <c r="M208" s="30">
        <v>275</v>
      </c>
      <c r="N208" s="35">
        <v>196</v>
      </c>
      <c r="O208" s="36">
        <v>206</v>
      </c>
      <c r="P208" s="37">
        <v>193</v>
      </c>
      <c r="Q208" s="52">
        <v>74</v>
      </c>
      <c r="R208" s="55">
        <v>77</v>
      </c>
      <c r="S208" s="56">
        <v>74</v>
      </c>
      <c r="T208" s="40" t="s">
        <v>47</v>
      </c>
      <c r="U208" s="38">
        <v>6</v>
      </c>
      <c r="V208" s="41" t="s">
        <v>47</v>
      </c>
      <c r="W208" s="39">
        <v>6</v>
      </c>
      <c r="X208" s="40" t="s">
        <v>85</v>
      </c>
      <c r="Y208" s="39">
        <v>6</v>
      </c>
      <c r="Z208" s="57">
        <v>4</v>
      </c>
      <c r="AA208" s="58">
        <v>3</v>
      </c>
      <c r="AB208" s="59">
        <v>3</v>
      </c>
      <c r="AC208" s="42">
        <v>0</v>
      </c>
    </row>
    <row r="209" spans="1:29" x14ac:dyDescent="0.25">
      <c r="A209" s="1">
        <f t="shared" ca="1" si="15"/>
        <v>14808</v>
      </c>
      <c r="B209" s="74">
        <v>7602</v>
      </c>
      <c r="C209" s="74">
        <v>7607</v>
      </c>
      <c r="D209" s="74">
        <v>7595</v>
      </c>
      <c r="E209" s="28">
        <v>265</v>
      </c>
      <c r="F209" s="29">
        <v>238</v>
      </c>
      <c r="G209" s="28">
        <v>269</v>
      </c>
      <c r="H209" s="30">
        <v>240</v>
      </c>
      <c r="I209" s="29">
        <v>263</v>
      </c>
      <c r="J209" s="29">
        <v>238</v>
      </c>
      <c r="K209" s="34">
        <f t="shared" si="14"/>
        <v>79.7</v>
      </c>
      <c r="L209" s="29">
        <v>298</v>
      </c>
      <c r="M209" s="30">
        <v>280</v>
      </c>
      <c r="N209" s="35">
        <v>208</v>
      </c>
      <c r="O209" s="36">
        <v>209</v>
      </c>
      <c r="P209" s="37">
        <v>209</v>
      </c>
      <c r="Q209" s="52">
        <v>80</v>
      </c>
      <c r="R209" s="55">
        <v>79</v>
      </c>
      <c r="S209" s="56">
        <v>81</v>
      </c>
      <c r="T209" s="40" t="s">
        <v>47</v>
      </c>
      <c r="U209" s="38">
        <v>5</v>
      </c>
      <c r="V209" s="41" t="s">
        <v>47</v>
      </c>
      <c r="W209" s="39">
        <v>6</v>
      </c>
      <c r="X209" s="40" t="s">
        <v>47</v>
      </c>
      <c r="Y209" s="39">
        <v>6</v>
      </c>
      <c r="Z209" s="57">
        <v>3</v>
      </c>
      <c r="AA209" s="58">
        <v>3</v>
      </c>
      <c r="AB209" s="59">
        <v>3</v>
      </c>
      <c r="AC209" s="42">
        <v>0</v>
      </c>
    </row>
    <row r="210" spans="1:29" x14ac:dyDescent="0.25">
      <c r="A210" s="1">
        <f t="shared" ca="1" si="15"/>
        <v>14809</v>
      </c>
      <c r="B210" s="74">
        <v>7610</v>
      </c>
      <c r="C210" s="74">
        <v>7597</v>
      </c>
      <c r="D210" s="74">
        <v>7589</v>
      </c>
      <c r="E210" s="28">
        <v>281</v>
      </c>
      <c r="F210" s="29">
        <v>244</v>
      </c>
      <c r="G210" s="28">
        <v>285</v>
      </c>
      <c r="H210" s="30">
        <v>246</v>
      </c>
      <c r="I210" s="29">
        <v>279</v>
      </c>
      <c r="J210" s="29">
        <v>238</v>
      </c>
      <c r="K210" s="34">
        <f t="shared" si="14"/>
        <v>84.5</v>
      </c>
      <c r="L210" s="29">
        <v>305</v>
      </c>
      <c r="M210" s="30">
        <v>283</v>
      </c>
      <c r="N210" s="35">
        <v>211</v>
      </c>
      <c r="O210" s="36">
        <v>213</v>
      </c>
      <c r="P210" s="37">
        <v>201</v>
      </c>
      <c r="Q210" s="52">
        <v>74</v>
      </c>
      <c r="R210" s="55">
        <v>73</v>
      </c>
      <c r="S210" s="56">
        <v>71</v>
      </c>
      <c r="T210" s="40" t="s">
        <v>47</v>
      </c>
      <c r="U210" s="38">
        <v>4</v>
      </c>
      <c r="V210" s="41" t="s">
        <v>47</v>
      </c>
      <c r="W210" s="39">
        <v>5</v>
      </c>
      <c r="X210" s="40" t="s">
        <v>47</v>
      </c>
      <c r="Y210" s="39">
        <v>5</v>
      </c>
      <c r="Z210" s="57">
        <v>4</v>
      </c>
      <c r="AA210" s="58">
        <v>4</v>
      </c>
      <c r="AB210" s="59">
        <v>3</v>
      </c>
      <c r="AC210" s="42">
        <v>10</v>
      </c>
    </row>
    <row r="211" spans="1:29" x14ac:dyDescent="0.25">
      <c r="A211" s="1">
        <f t="shared" ca="1" si="15"/>
        <v>14810</v>
      </c>
      <c r="B211" s="74">
        <v>7607</v>
      </c>
      <c r="C211" s="74">
        <v>7607</v>
      </c>
      <c r="D211" s="74">
        <v>7589</v>
      </c>
      <c r="E211" s="28">
        <v>265</v>
      </c>
      <c r="F211" s="29">
        <v>234</v>
      </c>
      <c r="G211" s="28">
        <v>283</v>
      </c>
      <c r="H211" s="30">
        <v>240</v>
      </c>
      <c r="I211" s="29">
        <v>279</v>
      </c>
      <c r="J211" s="29">
        <v>238</v>
      </c>
      <c r="K211" s="34">
        <f t="shared" si="14"/>
        <v>82.7</v>
      </c>
      <c r="L211" s="29">
        <v>300</v>
      </c>
      <c r="M211" s="30">
        <v>284</v>
      </c>
      <c r="N211" s="35">
        <v>200</v>
      </c>
      <c r="O211" s="36">
        <v>202</v>
      </c>
      <c r="P211" s="37">
        <v>201</v>
      </c>
      <c r="Q211" s="52">
        <v>77</v>
      </c>
      <c r="R211" s="55">
        <v>70</v>
      </c>
      <c r="S211" s="56">
        <v>71</v>
      </c>
      <c r="T211" s="40" t="s">
        <v>47</v>
      </c>
      <c r="U211" s="38">
        <v>4</v>
      </c>
      <c r="V211" s="41" t="s">
        <v>47</v>
      </c>
      <c r="W211" s="39">
        <v>5</v>
      </c>
      <c r="X211" s="40" t="s">
        <v>85</v>
      </c>
      <c r="Y211" s="39">
        <v>5</v>
      </c>
      <c r="Z211" s="57">
        <v>3</v>
      </c>
      <c r="AA211" s="58">
        <v>2</v>
      </c>
      <c r="AB211" s="59">
        <v>4</v>
      </c>
      <c r="AC211" s="42">
        <v>0</v>
      </c>
    </row>
    <row r="212" spans="1:29" x14ac:dyDescent="0.25">
      <c r="A212" s="1">
        <f t="shared" ca="1" si="15"/>
        <v>14811</v>
      </c>
      <c r="B212" s="74">
        <v>7597</v>
      </c>
      <c r="C212" s="74">
        <v>7602</v>
      </c>
      <c r="D212" s="74">
        <v>7592</v>
      </c>
      <c r="E212" s="28">
        <v>271</v>
      </c>
      <c r="F212" s="29">
        <v>232</v>
      </c>
      <c r="G212" s="28">
        <v>281</v>
      </c>
      <c r="H212" s="30">
        <v>238</v>
      </c>
      <c r="I212" s="29">
        <v>271</v>
      </c>
      <c r="J212" s="29">
        <v>236</v>
      </c>
      <c r="K212" s="34">
        <f t="shared" si="14"/>
        <v>82.3</v>
      </c>
      <c r="L212" s="29">
        <v>294</v>
      </c>
      <c r="M212" s="30">
        <v>280</v>
      </c>
      <c r="N212" s="35">
        <v>194</v>
      </c>
      <c r="O212" s="36">
        <v>200</v>
      </c>
      <c r="P212" s="37">
        <v>201</v>
      </c>
      <c r="Q212" s="52">
        <v>72</v>
      </c>
      <c r="R212" s="55">
        <v>70</v>
      </c>
      <c r="S212" s="56">
        <v>75</v>
      </c>
      <c r="T212" s="40" t="s">
        <v>47</v>
      </c>
      <c r="U212" s="38">
        <v>4</v>
      </c>
      <c r="V212" s="41" t="s">
        <v>47</v>
      </c>
      <c r="W212" s="39">
        <v>4</v>
      </c>
      <c r="X212" s="40" t="s">
        <v>46</v>
      </c>
      <c r="Y212" s="39">
        <v>4</v>
      </c>
      <c r="Z212" s="57">
        <v>5</v>
      </c>
      <c r="AA212" s="58">
        <v>6</v>
      </c>
      <c r="AB212" s="59">
        <v>5</v>
      </c>
      <c r="AC212" s="42">
        <v>0</v>
      </c>
    </row>
    <row r="213" spans="1:29" x14ac:dyDescent="0.25">
      <c r="A213" s="1">
        <f t="shared" ca="1" si="15"/>
        <v>14812</v>
      </c>
      <c r="B213" s="74">
        <v>7592</v>
      </c>
      <c r="C213" s="74">
        <v>7600</v>
      </c>
      <c r="D213" s="74">
        <v>7587</v>
      </c>
      <c r="E213" s="28">
        <v>279</v>
      </c>
      <c r="F213" s="29">
        <v>236</v>
      </c>
      <c r="G213" s="28">
        <v>281</v>
      </c>
      <c r="H213" s="30">
        <v>240</v>
      </c>
      <c r="I213" s="29">
        <v>279</v>
      </c>
      <c r="J213" s="29">
        <v>236</v>
      </c>
      <c r="K213" s="34">
        <f t="shared" si="14"/>
        <v>83.9</v>
      </c>
      <c r="L213" s="29">
        <v>304</v>
      </c>
      <c r="M213" s="30">
        <v>294</v>
      </c>
      <c r="N213" s="35">
        <v>197</v>
      </c>
      <c r="O213" s="36">
        <v>203</v>
      </c>
      <c r="P213" s="37">
        <v>197</v>
      </c>
      <c r="Q213" s="52">
        <v>70</v>
      </c>
      <c r="R213" s="55">
        <v>71</v>
      </c>
      <c r="S213" s="56">
        <v>70</v>
      </c>
      <c r="T213" s="40" t="s">
        <v>47</v>
      </c>
      <c r="U213" s="38">
        <v>2</v>
      </c>
      <c r="V213" s="41" t="s">
        <v>47</v>
      </c>
      <c r="W213" s="39">
        <v>4</v>
      </c>
      <c r="X213" s="40" t="s">
        <v>85</v>
      </c>
      <c r="Y213" s="39">
        <v>3</v>
      </c>
      <c r="Z213" s="57">
        <v>5</v>
      </c>
      <c r="AA213" s="58">
        <v>6</v>
      </c>
      <c r="AB213" s="59">
        <v>6</v>
      </c>
      <c r="AC213" s="42">
        <v>0</v>
      </c>
    </row>
    <row r="214" spans="1:29" x14ac:dyDescent="0.25">
      <c r="A214" s="1">
        <f t="shared" ca="1" si="15"/>
        <v>14813</v>
      </c>
      <c r="B214" s="74">
        <v>7592</v>
      </c>
      <c r="C214" s="74">
        <v>7589</v>
      </c>
      <c r="D214" s="74">
        <v>7592</v>
      </c>
      <c r="E214" s="28">
        <v>281</v>
      </c>
      <c r="F214" s="29">
        <v>236</v>
      </c>
      <c r="G214" s="28">
        <v>285</v>
      </c>
      <c r="H214" s="30">
        <v>240</v>
      </c>
      <c r="I214" s="29">
        <v>281</v>
      </c>
      <c r="J214" s="29">
        <v>236</v>
      </c>
      <c r="K214" s="34">
        <f t="shared" si="14"/>
        <v>84.7</v>
      </c>
      <c r="L214" s="29">
        <v>304</v>
      </c>
      <c r="M214" s="30">
        <v>308</v>
      </c>
      <c r="N214" s="35">
        <v>196</v>
      </c>
      <c r="O214" s="36">
        <v>201</v>
      </c>
      <c r="P214" s="37">
        <v>196</v>
      </c>
      <c r="Q214" s="52">
        <v>69</v>
      </c>
      <c r="R214" s="55">
        <v>69</v>
      </c>
      <c r="S214" s="56">
        <v>69</v>
      </c>
      <c r="T214" s="40" t="s">
        <v>47</v>
      </c>
      <c r="U214" s="38">
        <v>3</v>
      </c>
      <c r="V214" s="41" t="s">
        <v>47</v>
      </c>
      <c r="W214" s="39">
        <v>3</v>
      </c>
      <c r="X214" s="40" t="s">
        <v>47</v>
      </c>
      <c r="Y214" s="39">
        <v>3</v>
      </c>
      <c r="Z214" s="57">
        <v>2</v>
      </c>
      <c r="AA214" s="58">
        <v>2</v>
      </c>
      <c r="AB214" s="59">
        <v>2</v>
      </c>
      <c r="AC214" s="42">
        <v>0</v>
      </c>
    </row>
    <row r="215" spans="1:29" x14ac:dyDescent="0.25">
      <c r="A215" s="1">
        <f t="shared" ca="1" si="15"/>
        <v>14814</v>
      </c>
      <c r="B215" s="74">
        <v>7597</v>
      </c>
      <c r="C215" s="74">
        <v>7602</v>
      </c>
      <c r="D215" s="74">
        <v>7587</v>
      </c>
      <c r="E215" s="28">
        <v>271</v>
      </c>
      <c r="F215" s="29">
        <v>234</v>
      </c>
      <c r="G215" s="28">
        <v>283</v>
      </c>
      <c r="H215" s="30">
        <v>240</v>
      </c>
      <c r="I215" s="29">
        <v>275</v>
      </c>
      <c r="J215" s="29">
        <v>238</v>
      </c>
      <c r="K215" s="34">
        <f t="shared" si="14"/>
        <v>82.9</v>
      </c>
      <c r="L215" s="29">
        <v>294</v>
      </c>
      <c r="M215" s="30">
        <v>280</v>
      </c>
      <c r="N215" s="35">
        <v>197</v>
      </c>
      <c r="O215" s="36">
        <v>202</v>
      </c>
      <c r="P215" s="37">
        <v>203</v>
      </c>
      <c r="Q215" s="52">
        <v>73</v>
      </c>
      <c r="R215" s="55">
        <v>70</v>
      </c>
      <c r="S215" s="56">
        <v>73</v>
      </c>
      <c r="T215" s="40" t="s">
        <v>47</v>
      </c>
      <c r="U215" s="38">
        <v>3</v>
      </c>
      <c r="V215" s="41" t="s">
        <v>47</v>
      </c>
      <c r="W215" s="39">
        <v>3</v>
      </c>
      <c r="X215" s="40" t="s">
        <v>85</v>
      </c>
      <c r="Y215" s="39">
        <v>3</v>
      </c>
      <c r="Z215" s="57">
        <v>3</v>
      </c>
      <c r="AA215" s="58">
        <v>2</v>
      </c>
      <c r="AB215" s="59">
        <v>2</v>
      </c>
      <c r="AC215" s="42">
        <v>0</v>
      </c>
    </row>
    <row r="216" spans="1:29" x14ac:dyDescent="0.25">
      <c r="A216" s="1">
        <f t="shared" ca="1" si="15"/>
        <v>14815</v>
      </c>
      <c r="B216" s="74">
        <v>7590</v>
      </c>
      <c r="C216" s="74">
        <v>7597</v>
      </c>
      <c r="D216" s="74">
        <v>7587</v>
      </c>
      <c r="E216" s="28">
        <v>269</v>
      </c>
      <c r="F216" s="29">
        <v>232</v>
      </c>
      <c r="G216" s="28">
        <v>279</v>
      </c>
      <c r="H216" s="30">
        <v>238</v>
      </c>
      <c r="I216" s="29">
        <v>271</v>
      </c>
      <c r="J216" s="29">
        <v>234</v>
      </c>
      <c r="K216" s="34">
        <f t="shared" si="14"/>
        <v>81.900000000000006</v>
      </c>
      <c r="L216" s="29">
        <v>300</v>
      </c>
      <c r="M216" s="30">
        <v>290</v>
      </c>
      <c r="N216" s="35">
        <v>195</v>
      </c>
      <c r="O216" s="36">
        <v>201</v>
      </c>
      <c r="P216" s="37">
        <v>197</v>
      </c>
      <c r="Q216" s="52">
        <v>73</v>
      </c>
      <c r="R216" s="55">
        <v>71</v>
      </c>
      <c r="S216" s="56">
        <v>73</v>
      </c>
      <c r="T216" s="40" t="s">
        <v>47</v>
      </c>
      <c r="U216" s="38">
        <v>3</v>
      </c>
      <c r="V216" s="41" t="s">
        <v>47</v>
      </c>
      <c r="W216" s="39">
        <v>3</v>
      </c>
      <c r="X216" s="40" t="s">
        <v>47</v>
      </c>
      <c r="Y216" s="39">
        <v>3</v>
      </c>
      <c r="Z216" s="57">
        <v>3</v>
      </c>
      <c r="AA216" s="58">
        <v>2</v>
      </c>
      <c r="AB216" s="59">
        <v>2</v>
      </c>
      <c r="AC216" s="42">
        <v>0</v>
      </c>
    </row>
    <row r="217" spans="1:29" x14ac:dyDescent="0.25">
      <c r="A217" s="1">
        <f t="shared" ca="1" si="15"/>
        <v>14816</v>
      </c>
      <c r="B217" s="74">
        <v>7597</v>
      </c>
      <c r="C217" s="74">
        <v>7582</v>
      </c>
      <c r="D217" s="74">
        <v>7595</v>
      </c>
      <c r="E217" s="28">
        <v>271</v>
      </c>
      <c r="F217" s="29">
        <v>234</v>
      </c>
      <c r="G217" s="28">
        <v>281</v>
      </c>
      <c r="H217" s="30">
        <v>240</v>
      </c>
      <c r="I217" s="29">
        <v>275</v>
      </c>
      <c r="J217" s="29">
        <v>236</v>
      </c>
      <c r="K217" s="34">
        <f t="shared" si="14"/>
        <v>82.7</v>
      </c>
      <c r="L217" s="29">
        <v>296</v>
      </c>
      <c r="M217" s="30">
        <v>280</v>
      </c>
      <c r="N217" s="35">
        <v>197</v>
      </c>
      <c r="O217" s="36">
        <v>203</v>
      </c>
      <c r="P217" s="37">
        <v>199</v>
      </c>
      <c r="Q217" s="52">
        <v>73</v>
      </c>
      <c r="R217" s="55">
        <v>71</v>
      </c>
      <c r="S217" s="56">
        <v>73</v>
      </c>
      <c r="T217" s="40" t="s">
        <v>46</v>
      </c>
      <c r="U217" s="38">
        <v>3</v>
      </c>
      <c r="V217" s="41" t="s">
        <v>46</v>
      </c>
      <c r="W217" s="39">
        <v>4</v>
      </c>
      <c r="X217" s="40" t="s">
        <v>47</v>
      </c>
      <c r="Y217" s="39">
        <v>3</v>
      </c>
      <c r="Z217" s="57">
        <v>2</v>
      </c>
      <c r="AA217" s="58">
        <v>2</v>
      </c>
      <c r="AB217" s="59">
        <v>2</v>
      </c>
      <c r="AC217" s="42">
        <v>0</v>
      </c>
    </row>
    <row r="218" spans="1:29" x14ac:dyDescent="0.25">
      <c r="A218" s="1">
        <f t="shared" ca="1" si="15"/>
        <v>14817</v>
      </c>
      <c r="B218" s="74">
        <v>7607</v>
      </c>
      <c r="C218" s="74">
        <v>7597</v>
      </c>
      <c r="D218" s="74">
        <v>7602</v>
      </c>
      <c r="E218" s="28">
        <v>275</v>
      </c>
      <c r="F218" s="29">
        <v>238</v>
      </c>
      <c r="G218" s="28">
        <v>281</v>
      </c>
      <c r="H218" s="30">
        <v>240</v>
      </c>
      <c r="I218" s="29">
        <v>277</v>
      </c>
      <c r="J218" s="29">
        <v>235</v>
      </c>
      <c r="K218" s="34">
        <f t="shared" si="14"/>
        <v>83.3</v>
      </c>
      <c r="L218" s="29">
        <v>305</v>
      </c>
      <c r="M218" s="30">
        <v>290</v>
      </c>
      <c r="N218" s="35">
        <v>203</v>
      </c>
      <c r="O218" s="36">
        <v>203</v>
      </c>
      <c r="P218" s="37">
        <v>196</v>
      </c>
      <c r="Q218" s="52">
        <v>73</v>
      </c>
      <c r="R218" s="55">
        <v>71</v>
      </c>
      <c r="S218" s="56">
        <v>70</v>
      </c>
      <c r="T218" s="40" t="s">
        <v>47</v>
      </c>
      <c r="U218" s="38">
        <v>3</v>
      </c>
      <c r="V218" s="41" t="s">
        <v>47</v>
      </c>
      <c r="W218" s="39">
        <v>4</v>
      </c>
      <c r="X218" s="40" t="s">
        <v>47</v>
      </c>
      <c r="Y218" s="39">
        <v>4</v>
      </c>
      <c r="Z218" s="57">
        <v>2</v>
      </c>
      <c r="AA218" s="58">
        <v>2</v>
      </c>
      <c r="AB218" s="59">
        <v>2</v>
      </c>
      <c r="AC218" s="42">
        <v>20</v>
      </c>
    </row>
    <row r="219" spans="1:29" x14ac:dyDescent="0.25">
      <c r="A219" s="1">
        <f t="shared" ca="1" si="15"/>
        <v>14818</v>
      </c>
      <c r="B219" s="74">
        <v>7607</v>
      </c>
      <c r="C219" s="74">
        <v>7597</v>
      </c>
      <c r="D219" s="74">
        <v>7595</v>
      </c>
      <c r="E219" s="28">
        <v>269</v>
      </c>
      <c r="F219" s="29">
        <v>236</v>
      </c>
      <c r="G219" s="28">
        <v>281</v>
      </c>
      <c r="H219" s="30">
        <v>238</v>
      </c>
      <c r="I219" s="29">
        <v>275</v>
      </c>
      <c r="J219" s="29">
        <v>234</v>
      </c>
      <c r="K219" s="34">
        <f t="shared" si="14"/>
        <v>82.5</v>
      </c>
      <c r="L219" s="29">
        <v>305</v>
      </c>
      <c r="M219" s="30">
        <v>283</v>
      </c>
      <c r="N219" s="35">
        <v>202</v>
      </c>
      <c r="O219" s="36">
        <v>200</v>
      </c>
      <c r="P219" s="37">
        <v>195</v>
      </c>
      <c r="Q219" s="52">
        <v>76</v>
      </c>
      <c r="R219" s="55">
        <v>70</v>
      </c>
      <c r="S219" s="56">
        <v>71</v>
      </c>
      <c r="T219" s="40" t="s">
        <v>46</v>
      </c>
      <c r="U219" s="38">
        <v>4</v>
      </c>
      <c r="V219" s="41" t="s">
        <v>46</v>
      </c>
      <c r="W219" s="39">
        <v>4</v>
      </c>
      <c r="X219" s="40" t="s">
        <v>46</v>
      </c>
      <c r="Y219" s="39">
        <v>4</v>
      </c>
      <c r="Z219" s="57">
        <v>2</v>
      </c>
      <c r="AA219" s="58">
        <v>2</v>
      </c>
      <c r="AB219" s="59">
        <v>2</v>
      </c>
      <c r="AC219" s="42">
        <v>0</v>
      </c>
    </row>
    <row r="220" spans="1:29" x14ac:dyDescent="0.25">
      <c r="A220" s="1">
        <f t="shared" ca="1" si="15"/>
        <v>14819</v>
      </c>
      <c r="B220" s="74">
        <v>7607</v>
      </c>
      <c r="C220" s="74">
        <v>7607</v>
      </c>
      <c r="D220" s="74">
        <v>7600</v>
      </c>
      <c r="E220" s="28">
        <v>279</v>
      </c>
      <c r="F220" s="29">
        <v>238</v>
      </c>
      <c r="G220" s="28">
        <v>285</v>
      </c>
      <c r="H220" s="30">
        <v>246</v>
      </c>
      <c r="I220" s="29">
        <v>281</v>
      </c>
      <c r="J220" s="29">
        <v>240</v>
      </c>
      <c r="K220" s="34">
        <f t="shared" si="14"/>
        <v>84.5</v>
      </c>
      <c r="L220" s="29">
        <v>305</v>
      </c>
      <c r="M220" s="30">
        <v>290</v>
      </c>
      <c r="N220" s="35">
        <v>201</v>
      </c>
      <c r="O220" s="36">
        <v>213</v>
      </c>
      <c r="P220" s="37">
        <v>203</v>
      </c>
      <c r="Q220" s="52">
        <v>71</v>
      </c>
      <c r="R220" s="55">
        <v>73</v>
      </c>
      <c r="S220" s="56">
        <v>71</v>
      </c>
      <c r="T220" s="40" t="s">
        <v>47</v>
      </c>
      <c r="U220" s="38">
        <v>4</v>
      </c>
      <c r="V220" s="41" t="s">
        <v>46</v>
      </c>
      <c r="W220" s="39">
        <v>5</v>
      </c>
      <c r="X220" s="40" t="s">
        <v>46</v>
      </c>
      <c r="Y220" s="39">
        <v>5</v>
      </c>
      <c r="Z220" s="57">
        <v>3</v>
      </c>
      <c r="AA220" s="58">
        <v>2</v>
      </c>
      <c r="AB220" s="59">
        <v>2</v>
      </c>
      <c r="AC220" s="42">
        <v>0</v>
      </c>
    </row>
    <row r="221" spans="1:29" x14ac:dyDescent="0.25">
      <c r="A221" s="1">
        <f t="shared" ca="1" si="15"/>
        <v>14820</v>
      </c>
      <c r="B221" s="74">
        <v>7595</v>
      </c>
      <c r="C221" s="74">
        <v>7602</v>
      </c>
      <c r="D221" s="74">
        <v>7589</v>
      </c>
      <c r="E221" s="28">
        <v>281</v>
      </c>
      <c r="F221" s="29">
        <v>238</v>
      </c>
      <c r="G221" s="28">
        <v>284</v>
      </c>
      <c r="H221" s="30">
        <v>244</v>
      </c>
      <c r="I221" s="29">
        <v>279</v>
      </c>
      <c r="J221" s="29">
        <v>238</v>
      </c>
      <c r="K221" s="34">
        <f t="shared" si="14"/>
        <v>84.4</v>
      </c>
      <c r="L221" s="29">
        <v>304</v>
      </c>
      <c r="M221" s="30">
        <v>284</v>
      </c>
      <c r="N221" s="35">
        <v>200</v>
      </c>
      <c r="O221" s="36">
        <v>209</v>
      </c>
      <c r="P221" s="37">
        <v>201</v>
      </c>
      <c r="Q221" s="52">
        <v>70</v>
      </c>
      <c r="R221" s="55">
        <v>72</v>
      </c>
      <c r="S221" s="56">
        <v>71</v>
      </c>
      <c r="T221" s="40" t="s">
        <v>47</v>
      </c>
      <c r="U221" s="38">
        <v>4</v>
      </c>
      <c r="V221" s="41" t="s">
        <v>47</v>
      </c>
      <c r="W221" s="39">
        <v>5</v>
      </c>
      <c r="X221" s="40" t="s">
        <v>46</v>
      </c>
      <c r="Y221" s="39">
        <v>4</v>
      </c>
      <c r="Z221" s="57">
        <v>3</v>
      </c>
      <c r="AA221" s="58">
        <v>2</v>
      </c>
      <c r="AB221" s="59">
        <v>2</v>
      </c>
      <c r="AC221" s="42">
        <v>0</v>
      </c>
    </row>
    <row r="222" spans="1:29" x14ac:dyDescent="0.25">
      <c r="A222" s="1">
        <f t="shared" ca="1" si="15"/>
        <v>14821</v>
      </c>
      <c r="B222" s="74">
        <v>7610</v>
      </c>
      <c r="C222" s="74">
        <v>7612</v>
      </c>
      <c r="D222" s="74">
        <v>7600</v>
      </c>
      <c r="E222" s="28">
        <v>275</v>
      </c>
      <c r="F222" s="29">
        <v>236</v>
      </c>
      <c r="G222" s="28">
        <v>285</v>
      </c>
      <c r="H222" s="30">
        <v>242</v>
      </c>
      <c r="I222" s="29">
        <v>281</v>
      </c>
      <c r="J222" s="29">
        <v>240</v>
      </c>
      <c r="K222" s="34">
        <f t="shared" si="14"/>
        <v>84.1</v>
      </c>
      <c r="L222" s="29">
        <v>305</v>
      </c>
      <c r="M222" s="30">
        <v>290</v>
      </c>
      <c r="N222" s="35">
        <v>199</v>
      </c>
      <c r="O222" s="36">
        <v>205</v>
      </c>
      <c r="P222" s="37">
        <v>203</v>
      </c>
      <c r="Q222" s="52">
        <v>72</v>
      </c>
      <c r="R222" s="55">
        <v>70</v>
      </c>
      <c r="S222" s="56">
        <v>71</v>
      </c>
      <c r="T222" s="40" t="s">
        <v>47</v>
      </c>
      <c r="U222" s="38">
        <v>4</v>
      </c>
      <c r="V222" s="41" t="s">
        <v>47</v>
      </c>
      <c r="W222" s="39">
        <v>5</v>
      </c>
      <c r="X222" s="40" t="s">
        <v>46</v>
      </c>
      <c r="Y222" s="39">
        <v>6</v>
      </c>
      <c r="Z222" s="57">
        <v>3</v>
      </c>
      <c r="AA222" s="58">
        <v>2</v>
      </c>
      <c r="AB222" s="59">
        <v>2</v>
      </c>
      <c r="AC222" s="42">
        <v>0</v>
      </c>
    </row>
    <row r="223" spans="1:29" x14ac:dyDescent="0.25">
      <c r="A223" s="1">
        <f t="shared" ca="1" si="15"/>
        <v>14822</v>
      </c>
      <c r="B223" s="74">
        <v>7617</v>
      </c>
      <c r="C223" s="74">
        <v>7615</v>
      </c>
      <c r="D223" s="74">
        <v>7600</v>
      </c>
      <c r="E223" s="28">
        <v>269</v>
      </c>
      <c r="F223" s="29">
        <v>234</v>
      </c>
      <c r="G223" s="28">
        <v>281</v>
      </c>
      <c r="H223" s="30">
        <v>240</v>
      </c>
      <c r="I223" s="29">
        <v>294</v>
      </c>
      <c r="J223" s="29">
        <v>238</v>
      </c>
      <c r="K223" s="34">
        <f t="shared" si="14"/>
        <v>84.4</v>
      </c>
      <c r="L223" s="29">
        <v>300</v>
      </c>
      <c r="M223" s="30">
        <v>290</v>
      </c>
      <c r="N223" s="35">
        <v>198</v>
      </c>
      <c r="O223" s="36">
        <v>203</v>
      </c>
      <c r="P223" s="37">
        <v>195</v>
      </c>
      <c r="Q223" s="52">
        <v>74</v>
      </c>
      <c r="R223" s="55">
        <v>71</v>
      </c>
      <c r="S223" s="56">
        <v>63</v>
      </c>
      <c r="T223" s="40" t="s">
        <v>47</v>
      </c>
      <c r="U223" s="38">
        <v>5</v>
      </c>
      <c r="V223" s="41" t="s">
        <v>47</v>
      </c>
      <c r="W223" s="39">
        <v>6</v>
      </c>
      <c r="X223" s="40" t="s">
        <v>47</v>
      </c>
      <c r="Y223" s="39">
        <v>5</v>
      </c>
      <c r="Z223" s="57">
        <v>2</v>
      </c>
      <c r="AA223" s="58">
        <v>2</v>
      </c>
      <c r="AB223" s="59">
        <v>2</v>
      </c>
      <c r="AC223" s="42">
        <v>0</v>
      </c>
    </row>
    <row r="224" spans="1:29" x14ac:dyDescent="0.25">
      <c r="A224" s="1">
        <f t="shared" ca="1" si="15"/>
        <v>14823</v>
      </c>
      <c r="B224" s="74">
        <v>7605</v>
      </c>
      <c r="C224" s="74">
        <v>7582</v>
      </c>
      <c r="D224" s="74">
        <v>7585</v>
      </c>
      <c r="E224" s="28">
        <v>265</v>
      </c>
      <c r="F224" s="29">
        <v>228</v>
      </c>
      <c r="G224" s="28">
        <v>279</v>
      </c>
      <c r="H224" s="30">
        <v>240</v>
      </c>
      <c r="I224" s="29">
        <v>275</v>
      </c>
      <c r="J224" s="29">
        <v>234</v>
      </c>
      <c r="K224" s="34">
        <f t="shared" si="14"/>
        <v>81.900000000000006</v>
      </c>
      <c r="L224" s="29">
        <v>300</v>
      </c>
      <c r="M224" s="30">
        <v>280</v>
      </c>
      <c r="N224" s="35">
        <v>190</v>
      </c>
      <c r="O224" s="36">
        <v>204</v>
      </c>
      <c r="P224" s="37">
        <v>195</v>
      </c>
      <c r="Q224" s="52">
        <v>73</v>
      </c>
      <c r="R224" s="55">
        <v>72</v>
      </c>
      <c r="S224" s="56">
        <v>71</v>
      </c>
      <c r="T224" s="40" t="s">
        <v>47</v>
      </c>
      <c r="U224" s="38">
        <v>4</v>
      </c>
      <c r="V224" s="41" t="s">
        <v>47</v>
      </c>
      <c r="W224" s="39">
        <v>4</v>
      </c>
      <c r="X224" s="40" t="s">
        <v>47</v>
      </c>
      <c r="Y224" s="39">
        <v>4</v>
      </c>
      <c r="Z224" s="57">
        <v>2</v>
      </c>
      <c r="AA224" s="58">
        <v>2</v>
      </c>
      <c r="AB224" s="59">
        <v>2</v>
      </c>
      <c r="AC224" s="42">
        <v>0</v>
      </c>
    </row>
    <row r="225" spans="1:29" x14ac:dyDescent="0.25">
      <c r="A225" s="1" t="str">
        <f t="shared" ca="1" si="15"/>
        <v>Totaal</v>
      </c>
      <c r="B225" s="75">
        <f>IF(COUNT(B194:B224)&gt;0,AVERAGE(B194:B224)/10,"")</f>
        <v>760.16129032258073</v>
      </c>
      <c r="C225" s="76">
        <f>IF(COUNT(C194:C224)&gt;0,AVERAGE(C194:C224)/10,"")</f>
        <v>759.95483870967746</v>
      </c>
      <c r="D225" s="77">
        <f>IF(COUNT(D194:D224)&gt;0,AVERAGE(D194:D224)/10,"")</f>
        <v>759.30322580645156</v>
      </c>
      <c r="E225" s="31">
        <f>IF(COUNT(E194:E224)&gt;0,AVERAGE(E194:E224)/10,"")</f>
        <v>27.283870967741933</v>
      </c>
      <c r="F225" s="32">
        <f t="shared" ref="F225:J225" si="16">IF(COUNT(F194:F224)&gt;0,AVERAGE(F194:F224)/10,"")</f>
        <v>23.677419354838712</v>
      </c>
      <c r="G225" s="31">
        <f t="shared" si="16"/>
        <v>28.119354838709675</v>
      </c>
      <c r="H225" s="33">
        <f t="shared" si="16"/>
        <v>24.187096774193549</v>
      </c>
      <c r="I225" s="32">
        <f t="shared" si="16"/>
        <v>27.587096774193547</v>
      </c>
      <c r="J225" s="32">
        <f t="shared" si="16"/>
        <v>23.716129032258063</v>
      </c>
      <c r="K225" s="46">
        <f>IF(COUNT(K194:K224)&gt;0,SUM(K194:K224),"")</f>
        <v>2572.7000000000007</v>
      </c>
      <c r="L225" s="32">
        <f>IF(COUNT(L194:L224)&gt;0,AVERAGE(L194:L224)/10,"")</f>
        <v>30.325806451612902</v>
      </c>
      <c r="M225" s="32">
        <f>IF(COUNT(M194:M224)&gt;0,AVERAGE(M194:M224)/10,"")</f>
        <v>28.654838709677421</v>
      </c>
      <c r="N225" s="47">
        <f>IF(COUNT(N194:N224)&gt;0,AVERAGE(N194:N224)/10,"")</f>
        <v>20.177419354838712</v>
      </c>
      <c r="O225" s="48">
        <f>IF(COUNT(O194:O224)&gt;0,AVERAGE(O194:O224)/10,"")</f>
        <v>20.658064516129034</v>
      </c>
      <c r="P225" s="49">
        <f>IF(COUNT(P194:P224)&gt;0,AVERAGE(P194:P224)/10,"")</f>
        <v>20.07741935483871</v>
      </c>
      <c r="Q225" s="51">
        <f>IF(COUNT(Q194:Q224)&gt;0,AVERAGE(Q194:Q224),"")</f>
        <v>74.032258064516128</v>
      </c>
      <c r="R225" s="53">
        <f>IF(COUNT(R194:R224)&gt;0,AVERAGE(R194:R224),"")</f>
        <v>72.225806451612897</v>
      </c>
      <c r="S225" s="54">
        <f>IF(COUNT(S194:S224)&gt;0,AVERAGE(S194:S224),"")</f>
        <v>72.483870967741936</v>
      </c>
      <c r="T225" s="26"/>
      <c r="U225" s="50">
        <f>IF(COUNT(U194:U224)&gt;0,AVERAGE(U194:U224)/10,"")</f>
        <v>0.47419354838709682</v>
      </c>
      <c r="V225" s="27"/>
      <c r="W225" s="50">
        <f>IF(COUNT(W194:W224)&gt;0,AVERAGE(W194:W224)/10,"")</f>
        <v>0.53870967741935483</v>
      </c>
      <c r="X225" s="26"/>
      <c r="Y225" s="50">
        <f>IF(COUNT(Y194:Y224)&gt;0,AVERAGE(Y194:Y224)/10,"")</f>
        <v>0.532258064516129</v>
      </c>
      <c r="Z225" s="60">
        <f>IF(COUNT(Z194:Z224)&gt;0,AVERAGE(Z194:Z224),"")</f>
        <v>2.967741935483871</v>
      </c>
      <c r="AA225" s="61">
        <f>IF(COUNT(AA194:AA224)&gt;0,AVERAGE(AA194:AA224),"")</f>
        <v>2.967741935483871</v>
      </c>
      <c r="AB225" s="62">
        <f>IF(COUNT(AB194:AB224)&gt;0,AVERAGE(AB194:AB224),"")</f>
        <v>2.774193548387097</v>
      </c>
      <c r="AC225" s="45">
        <f>SUM(AC194:AC224)/10</f>
        <v>14.7</v>
      </c>
    </row>
    <row r="226" spans="1:29" x14ac:dyDescent="0.25">
      <c r="A226" s="1">
        <f t="shared" ca="1" si="15"/>
        <v>14824</v>
      </c>
      <c r="B226" s="74">
        <v>7607</v>
      </c>
      <c r="C226" s="74">
        <v>7610</v>
      </c>
      <c r="D226" s="74">
        <v>7600</v>
      </c>
      <c r="E226" s="28">
        <v>291</v>
      </c>
      <c r="F226" s="29">
        <v>278</v>
      </c>
      <c r="G226" s="28">
        <v>293</v>
      </c>
      <c r="H226" s="30">
        <v>282</v>
      </c>
      <c r="I226" s="29">
        <v>281</v>
      </c>
      <c r="J226" s="29">
        <v>274</v>
      </c>
      <c r="K226" s="34">
        <f t="shared" ref="K226:K256" si="17">IF(COUNT(E226,G226,I226)&gt;0,SUM(E226,G226,I226)/10,"")</f>
        <v>86.5</v>
      </c>
      <c r="L226" s="29">
        <v>314</v>
      </c>
      <c r="M226" s="30">
        <v>296</v>
      </c>
      <c r="N226" s="35">
        <v>274</v>
      </c>
      <c r="O226" s="36">
        <v>281</v>
      </c>
      <c r="P226" s="37">
        <v>270</v>
      </c>
      <c r="Q226" s="52">
        <v>91</v>
      </c>
      <c r="R226" s="55">
        <v>92</v>
      </c>
      <c r="S226" s="56">
        <v>95</v>
      </c>
      <c r="T226" s="40" t="s">
        <v>85</v>
      </c>
      <c r="U226" s="38">
        <v>4</v>
      </c>
      <c r="V226" s="41" t="s">
        <v>85</v>
      </c>
      <c r="W226" s="39">
        <v>5</v>
      </c>
      <c r="X226" s="40" t="s">
        <v>85</v>
      </c>
      <c r="Y226" s="39">
        <v>4</v>
      </c>
      <c r="Z226" s="57">
        <v>3</v>
      </c>
      <c r="AA226" s="58">
        <v>2</v>
      </c>
      <c r="AB226" s="59">
        <v>2</v>
      </c>
      <c r="AC226" s="42">
        <v>0</v>
      </c>
    </row>
    <row r="227" spans="1:29" x14ac:dyDescent="0.25">
      <c r="A227" s="1">
        <f t="shared" ca="1" si="15"/>
        <v>14825</v>
      </c>
      <c r="B227" s="74">
        <v>7607</v>
      </c>
      <c r="C227" s="74">
        <v>7607</v>
      </c>
      <c r="D227" s="74">
        <v>7582</v>
      </c>
      <c r="E227" s="28">
        <v>285</v>
      </c>
      <c r="F227" s="29">
        <v>282</v>
      </c>
      <c r="G227" s="28">
        <v>287</v>
      </c>
      <c r="H227" s="30">
        <v>282</v>
      </c>
      <c r="I227" s="29">
        <v>285</v>
      </c>
      <c r="J227" s="29">
        <v>280</v>
      </c>
      <c r="K227" s="34">
        <f t="shared" si="17"/>
        <v>85.7</v>
      </c>
      <c r="L227" s="29">
        <v>315</v>
      </c>
      <c r="M227" s="30">
        <v>295</v>
      </c>
      <c r="N227" s="35">
        <v>285</v>
      </c>
      <c r="O227" s="36">
        <v>284</v>
      </c>
      <c r="P227" s="37">
        <v>281</v>
      </c>
      <c r="Q227" s="52">
        <v>98</v>
      </c>
      <c r="R227" s="55">
        <v>96</v>
      </c>
      <c r="S227" s="56">
        <v>96</v>
      </c>
      <c r="T227" s="40" t="s">
        <v>85</v>
      </c>
      <c r="U227" s="38">
        <v>4</v>
      </c>
      <c r="V227" s="41" t="s">
        <v>85</v>
      </c>
      <c r="W227" s="39">
        <v>5</v>
      </c>
      <c r="X227" s="40" t="s">
        <v>85</v>
      </c>
      <c r="Y227" s="39">
        <v>5</v>
      </c>
      <c r="Z227" s="57">
        <v>3</v>
      </c>
      <c r="AA227" s="58">
        <v>2</v>
      </c>
      <c r="AB227" s="59">
        <v>2</v>
      </c>
      <c r="AC227" s="42">
        <v>0</v>
      </c>
    </row>
    <row r="228" spans="1:29" x14ac:dyDescent="0.25">
      <c r="A228" s="1">
        <f t="shared" ca="1" si="15"/>
        <v>14826</v>
      </c>
      <c r="B228" s="74">
        <v>7607</v>
      </c>
      <c r="C228" s="74">
        <v>7612</v>
      </c>
      <c r="D228" s="74">
        <v>7582</v>
      </c>
      <c r="E228" s="28">
        <v>289</v>
      </c>
      <c r="F228" s="29">
        <v>280</v>
      </c>
      <c r="G228" s="28">
        <v>291</v>
      </c>
      <c r="H228" s="30">
        <v>284</v>
      </c>
      <c r="I228" s="29">
        <v>289</v>
      </c>
      <c r="J228" s="29">
        <v>280</v>
      </c>
      <c r="K228" s="34">
        <f t="shared" si="17"/>
        <v>86.9</v>
      </c>
      <c r="L228" s="29">
        <v>310</v>
      </c>
      <c r="M228" s="30">
        <v>300</v>
      </c>
      <c r="N228" s="35">
        <v>279</v>
      </c>
      <c r="O228" s="36">
        <v>287</v>
      </c>
      <c r="P228" s="37">
        <v>279</v>
      </c>
      <c r="Q228" s="52">
        <v>93</v>
      </c>
      <c r="R228" s="55">
        <v>95</v>
      </c>
      <c r="S228" s="56">
        <v>93</v>
      </c>
      <c r="T228" s="40" t="s">
        <v>47</v>
      </c>
      <c r="U228" s="38">
        <v>4</v>
      </c>
      <c r="V228" s="41" t="s">
        <v>47</v>
      </c>
      <c r="W228" s="39">
        <v>5</v>
      </c>
      <c r="X228" s="40" t="s">
        <v>47</v>
      </c>
      <c r="Y228" s="39">
        <v>5</v>
      </c>
      <c r="Z228" s="57">
        <v>3</v>
      </c>
      <c r="AA228" s="58">
        <v>2</v>
      </c>
      <c r="AB228" s="59">
        <v>2</v>
      </c>
      <c r="AC228" s="42">
        <v>0</v>
      </c>
    </row>
    <row r="229" spans="1:29" x14ac:dyDescent="0.25">
      <c r="A229" s="1">
        <f t="shared" ca="1" si="15"/>
        <v>14827</v>
      </c>
      <c r="B229" s="74">
        <v>7607</v>
      </c>
      <c r="C229" s="74">
        <v>7612</v>
      </c>
      <c r="D229" s="74">
        <v>7607</v>
      </c>
      <c r="E229" s="28">
        <v>285</v>
      </c>
      <c r="F229" s="29">
        <v>282</v>
      </c>
      <c r="G229" s="28">
        <v>287</v>
      </c>
      <c r="H229" s="30">
        <v>282</v>
      </c>
      <c r="I229" s="29">
        <v>283</v>
      </c>
      <c r="J229" s="29">
        <v>280</v>
      </c>
      <c r="K229" s="34">
        <f t="shared" si="17"/>
        <v>85.5</v>
      </c>
      <c r="L229" s="29">
        <v>310</v>
      </c>
      <c r="M229" s="30">
        <v>296</v>
      </c>
      <c r="N229" s="35">
        <v>285</v>
      </c>
      <c r="O229" s="36">
        <v>284</v>
      </c>
      <c r="P229" s="37">
        <v>282</v>
      </c>
      <c r="Q229" s="52">
        <v>98</v>
      </c>
      <c r="R229" s="55">
        <v>96</v>
      </c>
      <c r="S229" s="56">
        <v>98</v>
      </c>
      <c r="T229" s="40" t="s">
        <v>47</v>
      </c>
      <c r="U229" s="38">
        <v>5</v>
      </c>
      <c r="V229" s="41" t="s">
        <v>85</v>
      </c>
      <c r="W229" s="39">
        <v>5</v>
      </c>
      <c r="X229" s="40" t="s">
        <v>85</v>
      </c>
      <c r="Y229" s="39">
        <v>5</v>
      </c>
      <c r="Z229" s="57">
        <v>3</v>
      </c>
      <c r="AA229" s="58">
        <v>2</v>
      </c>
      <c r="AB229" s="59">
        <v>2</v>
      </c>
      <c r="AC229" s="42">
        <v>0</v>
      </c>
    </row>
    <row r="230" spans="1:29" x14ac:dyDescent="0.25">
      <c r="A230" s="1">
        <f t="shared" ca="1" si="15"/>
        <v>14828</v>
      </c>
      <c r="B230" s="74">
        <v>7610</v>
      </c>
      <c r="C230" s="74">
        <v>7612</v>
      </c>
      <c r="D230" s="74">
        <v>7607</v>
      </c>
      <c r="E230" s="28">
        <v>281</v>
      </c>
      <c r="F230" s="29">
        <v>273</v>
      </c>
      <c r="G230" s="28">
        <v>287</v>
      </c>
      <c r="H230" s="30">
        <v>284</v>
      </c>
      <c r="I230" s="29">
        <v>285</v>
      </c>
      <c r="J230" s="29">
        <v>278</v>
      </c>
      <c r="K230" s="34">
        <f t="shared" si="17"/>
        <v>85.3</v>
      </c>
      <c r="L230" s="29">
        <v>305</v>
      </c>
      <c r="M230" s="30">
        <v>290</v>
      </c>
      <c r="N230" s="35">
        <v>268</v>
      </c>
      <c r="O230" s="36">
        <v>289</v>
      </c>
      <c r="P230" s="37">
        <v>277</v>
      </c>
      <c r="Q230" s="52">
        <v>94</v>
      </c>
      <c r="R230" s="55">
        <v>98</v>
      </c>
      <c r="S230" s="56">
        <v>95</v>
      </c>
      <c r="T230" s="40" t="s">
        <v>85</v>
      </c>
      <c r="U230" s="38">
        <v>5</v>
      </c>
      <c r="V230" s="41" t="s">
        <v>89</v>
      </c>
      <c r="W230" s="39">
        <v>6</v>
      </c>
      <c r="X230" s="40" t="s">
        <v>89</v>
      </c>
      <c r="Y230" s="39">
        <v>6</v>
      </c>
      <c r="Z230" s="57">
        <v>2</v>
      </c>
      <c r="AA230" s="58">
        <v>2</v>
      </c>
      <c r="AB230" s="59">
        <v>2</v>
      </c>
      <c r="AC230" s="42">
        <v>0</v>
      </c>
    </row>
    <row r="231" spans="1:29" x14ac:dyDescent="0.25">
      <c r="A231" s="1">
        <f t="shared" ca="1" si="15"/>
        <v>14829</v>
      </c>
      <c r="B231" s="74">
        <v>7582</v>
      </c>
      <c r="C231" s="74">
        <v>7602</v>
      </c>
      <c r="D231" s="74">
        <v>7574</v>
      </c>
      <c r="E231" s="28">
        <v>279</v>
      </c>
      <c r="F231" s="29">
        <v>274</v>
      </c>
      <c r="G231" s="28">
        <v>289</v>
      </c>
      <c r="H231" s="30">
        <v>284</v>
      </c>
      <c r="I231" s="29">
        <v>281</v>
      </c>
      <c r="J231" s="29">
        <v>278</v>
      </c>
      <c r="K231" s="34">
        <f t="shared" si="17"/>
        <v>84.9</v>
      </c>
      <c r="L231" s="29">
        <v>314</v>
      </c>
      <c r="M231" s="30">
        <v>284</v>
      </c>
      <c r="N231" s="35">
        <v>271</v>
      </c>
      <c r="O231" s="36">
        <v>288</v>
      </c>
      <c r="P231" s="37">
        <v>279</v>
      </c>
      <c r="Q231" s="52">
        <v>96</v>
      </c>
      <c r="R231" s="55">
        <v>96</v>
      </c>
      <c r="S231" s="56">
        <v>98</v>
      </c>
      <c r="T231" s="40" t="s">
        <v>47</v>
      </c>
      <c r="U231" s="38">
        <v>6</v>
      </c>
      <c r="V231" s="41" t="s">
        <v>85</v>
      </c>
      <c r="W231" s="39">
        <v>7</v>
      </c>
      <c r="X231" s="40" t="s">
        <v>85</v>
      </c>
      <c r="Y231" s="39">
        <v>7</v>
      </c>
      <c r="Z231" s="57">
        <v>2</v>
      </c>
      <c r="AA231" s="58">
        <v>2</v>
      </c>
      <c r="AB231" s="59">
        <v>2</v>
      </c>
      <c r="AC231" s="42">
        <v>0</v>
      </c>
    </row>
    <row r="232" spans="1:29" x14ac:dyDescent="0.25">
      <c r="A232" s="1">
        <f t="shared" ca="1" si="15"/>
        <v>14830</v>
      </c>
      <c r="B232" s="74">
        <v>7600</v>
      </c>
      <c r="C232" s="74">
        <v>7605</v>
      </c>
      <c r="D232" s="74">
        <v>7579</v>
      </c>
      <c r="E232" s="28">
        <v>279</v>
      </c>
      <c r="F232" s="29">
        <v>244</v>
      </c>
      <c r="G232" s="28">
        <v>285</v>
      </c>
      <c r="H232" s="30">
        <v>284</v>
      </c>
      <c r="I232" s="29">
        <v>285</v>
      </c>
      <c r="J232" s="29">
        <v>278</v>
      </c>
      <c r="K232" s="34">
        <f t="shared" si="17"/>
        <v>84.9</v>
      </c>
      <c r="L232" s="29">
        <v>310</v>
      </c>
      <c r="M232" s="30">
        <v>290</v>
      </c>
      <c r="N232" s="35">
        <v>263</v>
      </c>
      <c r="O232" s="36">
        <v>290</v>
      </c>
      <c r="P232" s="37">
        <v>277</v>
      </c>
      <c r="Q232" s="52">
        <v>93</v>
      </c>
      <c r="R232" s="55">
        <v>99</v>
      </c>
      <c r="S232" s="56">
        <v>95</v>
      </c>
      <c r="T232" s="40" t="s">
        <v>47</v>
      </c>
      <c r="U232" s="38">
        <v>6</v>
      </c>
      <c r="V232" s="41" t="s">
        <v>85</v>
      </c>
      <c r="W232" s="39">
        <v>7</v>
      </c>
      <c r="X232" s="40" t="s">
        <v>85</v>
      </c>
      <c r="Y232" s="39">
        <v>7</v>
      </c>
      <c r="Z232" s="57">
        <v>3</v>
      </c>
      <c r="AA232" s="58">
        <v>2</v>
      </c>
      <c r="AB232" s="59">
        <v>3</v>
      </c>
      <c r="AC232" s="42">
        <v>0</v>
      </c>
    </row>
    <row r="233" spans="1:29" x14ac:dyDescent="0.25">
      <c r="A233" s="1">
        <f t="shared" ca="1" si="15"/>
        <v>14831</v>
      </c>
      <c r="B233" s="74">
        <v>7607</v>
      </c>
      <c r="C233" s="74">
        <v>7607</v>
      </c>
      <c r="D233" s="74">
        <v>7590</v>
      </c>
      <c r="E233" s="28">
        <v>279</v>
      </c>
      <c r="F233" s="29">
        <v>244</v>
      </c>
      <c r="G233" s="28">
        <v>285</v>
      </c>
      <c r="H233" s="30">
        <v>274</v>
      </c>
      <c r="I233" s="29">
        <v>277</v>
      </c>
      <c r="J233" s="29">
        <v>268</v>
      </c>
      <c r="K233" s="34">
        <f t="shared" si="17"/>
        <v>84.1</v>
      </c>
      <c r="L233" s="29">
        <v>300</v>
      </c>
      <c r="M233" s="30">
        <v>284</v>
      </c>
      <c r="N233" s="35">
        <v>212</v>
      </c>
      <c r="O233" s="36">
        <v>268</v>
      </c>
      <c r="P233" s="37">
        <v>260</v>
      </c>
      <c r="Q233" s="52">
        <v>75</v>
      </c>
      <c r="R233" s="55">
        <v>92</v>
      </c>
      <c r="S233" s="56">
        <v>93</v>
      </c>
      <c r="T233" s="40" t="s">
        <v>85</v>
      </c>
      <c r="U233" s="38">
        <v>5</v>
      </c>
      <c r="V233" s="41" t="s">
        <v>85</v>
      </c>
      <c r="W233" s="39">
        <v>6</v>
      </c>
      <c r="X233" s="40" t="s">
        <v>89</v>
      </c>
      <c r="Y233" s="39">
        <v>6</v>
      </c>
      <c r="Z233" s="57">
        <v>2</v>
      </c>
      <c r="AA233" s="58">
        <v>2</v>
      </c>
      <c r="AB233" s="59">
        <v>2</v>
      </c>
      <c r="AC233" s="42">
        <v>0</v>
      </c>
    </row>
    <row r="234" spans="1:29" x14ac:dyDescent="0.25">
      <c r="A234" s="1">
        <f t="shared" ca="1" si="15"/>
        <v>14832</v>
      </c>
      <c r="B234" s="74">
        <v>7597</v>
      </c>
      <c r="C234" s="74">
        <v>7610</v>
      </c>
      <c r="D234" s="74">
        <v>7585</v>
      </c>
      <c r="E234" s="28">
        <v>279</v>
      </c>
      <c r="F234" s="29">
        <v>242</v>
      </c>
      <c r="G234" s="28">
        <v>281</v>
      </c>
      <c r="H234" s="30">
        <v>268</v>
      </c>
      <c r="I234" s="29">
        <v>279</v>
      </c>
      <c r="J234" s="29">
        <v>264</v>
      </c>
      <c r="K234" s="34">
        <f t="shared" si="17"/>
        <v>83.9</v>
      </c>
      <c r="L234" s="29">
        <v>305</v>
      </c>
      <c r="M234" s="30">
        <v>285</v>
      </c>
      <c r="N234" s="35">
        <v>208</v>
      </c>
      <c r="O234" s="36">
        <v>258</v>
      </c>
      <c r="P234" s="37">
        <v>251</v>
      </c>
      <c r="Q234" s="52">
        <v>74</v>
      </c>
      <c r="R234" s="55">
        <v>80</v>
      </c>
      <c r="S234" s="56">
        <v>89</v>
      </c>
      <c r="T234" s="40" t="s">
        <v>47</v>
      </c>
      <c r="U234" s="38">
        <v>6</v>
      </c>
      <c r="V234" s="41" t="s">
        <v>47</v>
      </c>
      <c r="W234" s="39">
        <v>7</v>
      </c>
      <c r="X234" s="40" t="s">
        <v>47</v>
      </c>
      <c r="Y234" s="39">
        <v>7</v>
      </c>
      <c r="Z234" s="57">
        <v>2</v>
      </c>
      <c r="AA234" s="58">
        <v>2</v>
      </c>
      <c r="AB234" s="59">
        <v>2</v>
      </c>
      <c r="AC234" s="42">
        <v>0</v>
      </c>
    </row>
    <row r="235" spans="1:29" x14ac:dyDescent="0.25">
      <c r="A235" s="1">
        <f t="shared" ca="1" si="15"/>
        <v>14833</v>
      </c>
      <c r="B235" s="74">
        <v>7600</v>
      </c>
      <c r="C235" s="74">
        <v>7605</v>
      </c>
      <c r="D235" s="74">
        <v>7572</v>
      </c>
      <c r="E235" s="28">
        <v>277</v>
      </c>
      <c r="F235" s="29">
        <v>266</v>
      </c>
      <c r="G235" s="28">
        <v>287</v>
      </c>
      <c r="H235" s="30">
        <v>274</v>
      </c>
      <c r="I235" s="29">
        <v>281</v>
      </c>
      <c r="J235" s="29">
        <v>264</v>
      </c>
      <c r="K235" s="34">
        <f t="shared" si="17"/>
        <v>84.5</v>
      </c>
      <c r="L235" s="29">
        <v>314</v>
      </c>
      <c r="M235" s="30">
        <v>294</v>
      </c>
      <c r="N235" s="35">
        <v>256</v>
      </c>
      <c r="O235" s="36">
        <v>267</v>
      </c>
      <c r="P235" s="37">
        <v>250</v>
      </c>
      <c r="Q235" s="52">
        <v>92</v>
      </c>
      <c r="R235" s="55">
        <v>90</v>
      </c>
      <c r="S235" s="56">
        <v>88</v>
      </c>
      <c r="T235" s="40" t="s">
        <v>85</v>
      </c>
      <c r="U235" s="38">
        <v>6</v>
      </c>
      <c r="V235" s="41" t="s">
        <v>85</v>
      </c>
      <c r="W235" s="39">
        <v>7</v>
      </c>
      <c r="X235" s="40" t="s">
        <v>85</v>
      </c>
      <c r="Y235" s="39">
        <v>7</v>
      </c>
      <c r="Z235" s="57">
        <v>3</v>
      </c>
      <c r="AA235" s="58">
        <v>2</v>
      </c>
      <c r="AB235" s="59">
        <v>2</v>
      </c>
      <c r="AC235" s="42">
        <v>0</v>
      </c>
    </row>
    <row r="236" spans="1:29" x14ac:dyDescent="0.25">
      <c r="A236" s="1">
        <f t="shared" ca="1" si="15"/>
        <v>14834</v>
      </c>
      <c r="B236" s="74">
        <v>7582</v>
      </c>
      <c r="C236" s="74">
        <v>7582</v>
      </c>
      <c r="D236" s="74">
        <v>7582</v>
      </c>
      <c r="E236" s="28">
        <v>279</v>
      </c>
      <c r="F236" s="29">
        <v>250</v>
      </c>
      <c r="G236" s="28">
        <v>285</v>
      </c>
      <c r="H236" s="30">
        <v>265</v>
      </c>
      <c r="I236" s="29">
        <v>281</v>
      </c>
      <c r="J236" s="29">
        <v>258</v>
      </c>
      <c r="K236" s="34">
        <f t="shared" si="17"/>
        <v>84.5</v>
      </c>
      <c r="L236" s="29">
        <v>300</v>
      </c>
      <c r="M236" s="30">
        <v>284</v>
      </c>
      <c r="N236" s="35">
        <v>223</v>
      </c>
      <c r="O236" s="36">
        <v>250</v>
      </c>
      <c r="P236" s="37">
        <v>238</v>
      </c>
      <c r="Q236" s="52">
        <v>79</v>
      </c>
      <c r="R236" s="55">
        <v>86</v>
      </c>
      <c r="S236" s="56">
        <v>83</v>
      </c>
      <c r="T236" s="40" t="s">
        <v>47</v>
      </c>
      <c r="U236" s="38">
        <v>6</v>
      </c>
      <c r="V236" s="41" t="s">
        <v>85</v>
      </c>
      <c r="W236" s="39">
        <v>7</v>
      </c>
      <c r="X236" s="40" t="s">
        <v>85</v>
      </c>
      <c r="Y236" s="39">
        <v>7</v>
      </c>
      <c r="Z236" s="57">
        <v>2</v>
      </c>
      <c r="AA236" s="58">
        <v>2</v>
      </c>
      <c r="AB236" s="59">
        <v>2</v>
      </c>
      <c r="AC236" s="42">
        <v>0</v>
      </c>
    </row>
    <row r="237" spans="1:29" x14ac:dyDescent="0.25">
      <c r="A237" s="1">
        <f t="shared" ca="1" si="15"/>
        <v>14835</v>
      </c>
      <c r="B237" s="74">
        <v>7582</v>
      </c>
      <c r="C237" s="74">
        <v>7582</v>
      </c>
      <c r="D237" s="74">
        <v>7582</v>
      </c>
      <c r="E237" s="28">
        <v>269</v>
      </c>
      <c r="F237" s="29">
        <v>250</v>
      </c>
      <c r="G237" s="28">
        <v>275</v>
      </c>
      <c r="H237" s="30">
        <v>252</v>
      </c>
      <c r="I237" s="29">
        <v>273</v>
      </c>
      <c r="J237" s="29">
        <v>248</v>
      </c>
      <c r="K237" s="34">
        <f t="shared" si="17"/>
        <v>81.7</v>
      </c>
      <c r="L237" s="29">
        <v>294</v>
      </c>
      <c r="M237" s="30">
        <v>280</v>
      </c>
      <c r="N237" s="35">
        <v>228</v>
      </c>
      <c r="O237" s="36">
        <v>229</v>
      </c>
      <c r="P237" s="37">
        <v>222</v>
      </c>
      <c r="Q237" s="52">
        <v>86</v>
      </c>
      <c r="R237" s="55">
        <v>83</v>
      </c>
      <c r="S237" s="56">
        <v>82</v>
      </c>
      <c r="T237" s="40" t="s">
        <v>47</v>
      </c>
      <c r="U237" s="38">
        <v>5</v>
      </c>
      <c r="V237" s="41" t="s">
        <v>85</v>
      </c>
      <c r="W237" s="39">
        <v>6</v>
      </c>
      <c r="X237" s="40" t="s">
        <v>85</v>
      </c>
      <c r="Y237" s="39">
        <v>6</v>
      </c>
      <c r="Z237" s="57">
        <v>5</v>
      </c>
      <c r="AA237" s="58">
        <v>4</v>
      </c>
      <c r="AB237" s="59">
        <v>4</v>
      </c>
      <c r="AC237" s="42">
        <v>0</v>
      </c>
    </row>
    <row r="238" spans="1:29" x14ac:dyDescent="0.25">
      <c r="A238" s="1">
        <f t="shared" ca="1" si="15"/>
        <v>14836</v>
      </c>
      <c r="B238" s="74">
        <v>7592</v>
      </c>
      <c r="C238" s="74">
        <v>7605</v>
      </c>
      <c r="D238" s="74">
        <v>7592</v>
      </c>
      <c r="E238" s="28">
        <v>259</v>
      </c>
      <c r="F238" s="29">
        <v>236</v>
      </c>
      <c r="G238" s="28">
        <v>275</v>
      </c>
      <c r="H238" s="30">
        <v>250</v>
      </c>
      <c r="I238" s="29">
        <v>271</v>
      </c>
      <c r="J238" s="29">
        <v>246</v>
      </c>
      <c r="K238" s="34">
        <f t="shared" si="17"/>
        <v>80.5</v>
      </c>
      <c r="L238" s="29">
        <v>300</v>
      </c>
      <c r="M238" s="30">
        <v>280</v>
      </c>
      <c r="N238" s="35">
        <v>207</v>
      </c>
      <c r="O238" s="36">
        <v>225</v>
      </c>
      <c r="P238" s="37">
        <v>220</v>
      </c>
      <c r="Q238" s="52">
        <v>82</v>
      </c>
      <c r="R238" s="55">
        <v>82</v>
      </c>
      <c r="S238" s="56">
        <v>82</v>
      </c>
      <c r="T238" s="40" t="s">
        <v>47</v>
      </c>
      <c r="U238" s="38">
        <v>4</v>
      </c>
      <c r="V238" s="41" t="s">
        <v>85</v>
      </c>
      <c r="W238" s="39">
        <v>5</v>
      </c>
      <c r="X238" s="40" t="s">
        <v>85</v>
      </c>
      <c r="Y238" s="39">
        <v>5</v>
      </c>
      <c r="Z238" s="57">
        <v>4</v>
      </c>
      <c r="AA238" s="58">
        <v>3</v>
      </c>
      <c r="AB238" s="59">
        <v>4</v>
      </c>
      <c r="AC238" s="42">
        <v>0</v>
      </c>
    </row>
    <row r="239" spans="1:29" x14ac:dyDescent="0.25">
      <c r="A239" s="1">
        <f t="shared" ca="1" si="15"/>
        <v>14837</v>
      </c>
      <c r="B239" s="74">
        <v>7582</v>
      </c>
      <c r="C239" s="74">
        <v>7605</v>
      </c>
      <c r="D239" s="74">
        <v>7595</v>
      </c>
      <c r="E239" s="28">
        <v>259</v>
      </c>
      <c r="F239" s="29">
        <v>234</v>
      </c>
      <c r="G239" s="28">
        <v>273</v>
      </c>
      <c r="H239" s="30">
        <v>248</v>
      </c>
      <c r="I239" s="29">
        <v>269</v>
      </c>
      <c r="J239" s="29">
        <v>244</v>
      </c>
      <c r="K239" s="34">
        <f t="shared" si="17"/>
        <v>80.099999999999994</v>
      </c>
      <c r="L239" s="29">
        <v>300</v>
      </c>
      <c r="M239" s="30">
        <v>286</v>
      </c>
      <c r="N239" s="35">
        <v>203</v>
      </c>
      <c r="O239" s="36">
        <v>222</v>
      </c>
      <c r="P239" s="37">
        <v>217</v>
      </c>
      <c r="Q239" s="52">
        <v>81</v>
      </c>
      <c r="R239" s="55">
        <v>82</v>
      </c>
      <c r="S239" s="56">
        <v>81</v>
      </c>
      <c r="T239" s="40" t="s">
        <v>47</v>
      </c>
      <c r="U239" s="38">
        <v>5</v>
      </c>
      <c r="V239" s="41" t="s">
        <v>85</v>
      </c>
      <c r="W239" s="39">
        <v>6</v>
      </c>
      <c r="X239" s="40" t="s">
        <v>85</v>
      </c>
      <c r="Y239" s="39">
        <v>5</v>
      </c>
      <c r="Z239" s="57">
        <v>3</v>
      </c>
      <c r="AA239" s="58">
        <v>4</v>
      </c>
      <c r="AB239" s="59">
        <v>3</v>
      </c>
      <c r="AC239" s="42">
        <v>0</v>
      </c>
    </row>
    <row r="240" spans="1:29" x14ac:dyDescent="0.25">
      <c r="A240" s="1">
        <f t="shared" ca="1" si="15"/>
        <v>14838</v>
      </c>
      <c r="B240" s="74">
        <v>7589</v>
      </c>
      <c r="C240" s="74">
        <v>7605</v>
      </c>
      <c r="D240" s="74">
        <v>7592</v>
      </c>
      <c r="E240" s="28">
        <v>263</v>
      </c>
      <c r="F240" s="29">
        <v>236</v>
      </c>
      <c r="G240" s="28">
        <v>275</v>
      </c>
      <c r="H240" s="30">
        <v>252</v>
      </c>
      <c r="I240" s="29">
        <v>269</v>
      </c>
      <c r="J240" s="29">
        <v>248</v>
      </c>
      <c r="K240" s="34">
        <f t="shared" si="17"/>
        <v>80.7</v>
      </c>
      <c r="L240" s="29">
        <v>300</v>
      </c>
      <c r="M240" s="30">
        <v>290</v>
      </c>
      <c r="N240" s="35">
        <v>205</v>
      </c>
      <c r="O240" s="36">
        <v>229</v>
      </c>
      <c r="P240" s="37">
        <v>224</v>
      </c>
      <c r="Q240" s="52">
        <v>80</v>
      </c>
      <c r="R240" s="55">
        <v>83</v>
      </c>
      <c r="S240" s="56">
        <v>84</v>
      </c>
      <c r="T240" s="40" t="s">
        <v>85</v>
      </c>
      <c r="U240" s="38">
        <v>5</v>
      </c>
      <c r="V240" s="41" t="s">
        <v>85</v>
      </c>
      <c r="W240" s="39">
        <v>6</v>
      </c>
      <c r="X240" s="40" t="s">
        <v>85</v>
      </c>
      <c r="Y240" s="39">
        <v>5</v>
      </c>
      <c r="Z240" s="57">
        <v>3</v>
      </c>
      <c r="AA240" s="58">
        <v>3</v>
      </c>
      <c r="AB240" s="59">
        <v>3</v>
      </c>
      <c r="AC240" s="42">
        <v>0</v>
      </c>
    </row>
    <row r="241" spans="1:29" x14ac:dyDescent="0.25">
      <c r="A241" s="1">
        <f t="shared" ca="1" si="15"/>
        <v>14839</v>
      </c>
      <c r="B241" s="74">
        <v>7595</v>
      </c>
      <c r="C241" s="74">
        <v>7612</v>
      </c>
      <c r="D241" s="74">
        <v>7589</v>
      </c>
      <c r="E241" s="28">
        <v>269</v>
      </c>
      <c r="F241" s="29">
        <v>232</v>
      </c>
      <c r="G241" s="28">
        <v>275</v>
      </c>
      <c r="H241" s="30">
        <v>248</v>
      </c>
      <c r="I241" s="29">
        <v>269</v>
      </c>
      <c r="J241" s="29">
        <v>240</v>
      </c>
      <c r="K241" s="34">
        <f t="shared" si="17"/>
        <v>81.3</v>
      </c>
      <c r="L241" s="29">
        <v>300</v>
      </c>
      <c r="M241" s="30">
        <v>286</v>
      </c>
      <c r="N241" s="35">
        <v>195</v>
      </c>
      <c r="O241" s="36">
        <v>221</v>
      </c>
      <c r="P241" s="37">
        <v>209</v>
      </c>
      <c r="Q241" s="52">
        <v>73</v>
      </c>
      <c r="R241" s="55">
        <v>80</v>
      </c>
      <c r="S241" s="56">
        <v>79</v>
      </c>
      <c r="T241" s="40" t="s">
        <v>85</v>
      </c>
      <c r="U241" s="38">
        <v>5</v>
      </c>
      <c r="V241" s="41" t="s">
        <v>85</v>
      </c>
      <c r="W241" s="39">
        <v>6</v>
      </c>
      <c r="X241" s="40" t="s">
        <v>85</v>
      </c>
      <c r="Y241" s="39">
        <v>6</v>
      </c>
      <c r="Z241" s="57">
        <v>3</v>
      </c>
      <c r="AA241" s="58">
        <v>4</v>
      </c>
      <c r="AB241" s="59">
        <v>4</v>
      </c>
      <c r="AC241" s="42">
        <v>0</v>
      </c>
    </row>
    <row r="242" spans="1:29" x14ac:dyDescent="0.25">
      <c r="A242" s="1">
        <f t="shared" ca="1" si="15"/>
        <v>14840</v>
      </c>
      <c r="B242" s="74">
        <v>7585</v>
      </c>
      <c r="C242" s="74">
        <v>7612</v>
      </c>
      <c r="D242" s="74">
        <v>7595</v>
      </c>
      <c r="E242" s="28">
        <v>270</v>
      </c>
      <c r="F242" s="29">
        <v>242</v>
      </c>
      <c r="G242" s="28">
        <v>287</v>
      </c>
      <c r="H242" s="30">
        <v>274</v>
      </c>
      <c r="I242" s="29">
        <v>279</v>
      </c>
      <c r="J242" s="29">
        <v>270</v>
      </c>
      <c r="K242" s="34">
        <f t="shared" si="17"/>
        <v>83.6</v>
      </c>
      <c r="L242" s="29">
        <v>310</v>
      </c>
      <c r="M242" s="30">
        <v>296</v>
      </c>
      <c r="N242" s="35">
        <v>212</v>
      </c>
      <c r="O242" s="36">
        <v>267</v>
      </c>
      <c r="P242" s="37">
        <v>263</v>
      </c>
      <c r="Q242" s="52">
        <v>79</v>
      </c>
      <c r="R242" s="55">
        <v>90</v>
      </c>
      <c r="S242" s="56">
        <v>93</v>
      </c>
      <c r="T242" s="40" t="s">
        <v>85</v>
      </c>
      <c r="U242" s="38">
        <v>6</v>
      </c>
      <c r="V242" s="41" t="s">
        <v>47</v>
      </c>
      <c r="W242" s="39">
        <v>7</v>
      </c>
      <c r="X242" s="40" t="s">
        <v>47</v>
      </c>
      <c r="Y242" s="39">
        <v>7</v>
      </c>
      <c r="Z242" s="57">
        <v>3</v>
      </c>
      <c r="AA242" s="58">
        <v>4</v>
      </c>
      <c r="AB242" s="59">
        <v>3</v>
      </c>
      <c r="AC242" s="42">
        <v>0</v>
      </c>
    </row>
    <row r="243" spans="1:29" x14ac:dyDescent="0.25">
      <c r="A243" s="1">
        <f t="shared" ca="1" si="15"/>
        <v>14841</v>
      </c>
      <c r="B243" s="74">
        <v>7595</v>
      </c>
      <c r="C243" s="74">
        <v>7610</v>
      </c>
      <c r="D243" s="74">
        <v>7589</v>
      </c>
      <c r="E243" s="28">
        <v>271</v>
      </c>
      <c r="F243" s="29">
        <v>240</v>
      </c>
      <c r="G243" s="28">
        <v>285</v>
      </c>
      <c r="H243" s="30">
        <v>270</v>
      </c>
      <c r="I243" s="29">
        <v>281</v>
      </c>
      <c r="J243" s="29">
        <v>268</v>
      </c>
      <c r="K243" s="34">
        <f t="shared" si="17"/>
        <v>83.7</v>
      </c>
      <c r="L243" s="29">
        <v>310</v>
      </c>
      <c r="M243" s="30">
        <v>294</v>
      </c>
      <c r="N243" s="35">
        <v>208</v>
      </c>
      <c r="O243" s="36">
        <v>260</v>
      </c>
      <c r="P243" s="37">
        <v>258</v>
      </c>
      <c r="Q243" s="52">
        <v>77</v>
      </c>
      <c r="R243" s="55">
        <v>89</v>
      </c>
      <c r="S243" s="56">
        <v>90</v>
      </c>
      <c r="T243" s="40" t="s">
        <v>85</v>
      </c>
      <c r="U243" s="38">
        <v>6</v>
      </c>
      <c r="V243" s="41" t="s">
        <v>47</v>
      </c>
      <c r="W243" s="39">
        <v>7</v>
      </c>
      <c r="X243" s="40" t="s">
        <v>47</v>
      </c>
      <c r="Y243" s="39">
        <v>7</v>
      </c>
      <c r="Z243" s="57">
        <v>4</v>
      </c>
      <c r="AA243" s="58">
        <v>5</v>
      </c>
      <c r="AB243" s="59">
        <v>5</v>
      </c>
      <c r="AC243" s="42">
        <v>0</v>
      </c>
    </row>
    <row r="244" spans="1:29" x14ac:dyDescent="0.25">
      <c r="A244" s="1">
        <f t="shared" ca="1" si="15"/>
        <v>14842</v>
      </c>
      <c r="B244" s="74">
        <v>7589</v>
      </c>
      <c r="C244" s="74">
        <v>7602</v>
      </c>
      <c r="D244" s="74">
        <v>7600</v>
      </c>
      <c r="E244" s="28">
        <v>275</v>
      </c>
      <c r="F244" s="29">
        <v>242</v>
      </c>
      <c r="G244" s="28">
        <v>283</v>
      </c>
      <c r="H244" s="30">
        <v>277</v>
      </c>
      <c r="I244" s="29">
        <v>281</v>
      </c>
      <c r="J244" s="29">
        <v>270</v>
      </c>
      <c r="K244" s="34">
        <f t="shared" si="17"/>
        <v>83.9</v>
      </c>
      <c r="L244" s="29">
        <v>315</v>
      </c>
      <c r="M244" s="30">
        <v>292</v>
      </c>
      <c r="N244" s="35">
        <v>210</v>
      </c>
      <c r="O244" s="36">
        <v>276</v>
      </c>
      <c r="P244" s="37">
        <v>262</v>
      </c>
      <c r="Q244" s="52">
        <v>76</v>
      </c>
      <c r="R244" s="55">
        <v>96</v>
      </c>
      <c r="S244" s="56">
        <v>92</v>
      </c>
      <c r="T244" s="40" t="s">
        <v>85</v>
      </c>
      <c r="U244" s="38">
        <v>6</v>
      </c>
      <c r="V244" s="41" t="s">
        <v>47</v>
      </c>
      <c r="W244" s="39">
        <v>7</v>
      </c>
      <c r="X244" s="40" t="s">
        <v>47</v>
      </c>
      <c r="Y244" s="39">
        <v>7</v>
      </c>
      <c r="Z244" s="57">
        <v>4</v>
      </c>
      <c r="AA244" s="58">
        <v>5</v>
      </c>
      <c r="AB244" s="59">
        <v>4</v>
      </c>
      <c r="AC244" s="42">
        <v>0</v>
      </c>
    </row>
    <row r="245" spans="1:29" x14ac:dyDescent="0.25">
      <c r="A245" s="1">
        <f t="shared" ca="1" si="15"/>
        <v>14843</v>
      </c>
      <c r="B245" s="74">
        <v>7572</v>
      </c>
      <c r="C245" s="74">
        <v>7605</v>
      </c>
      <c r="D245" s="74">
        <v>7597</v>
      </c>
      <c r="E245" s="28">
        <v>273</v>
      </c>
      <c r="F245" s="29">
        <v>240</v>
      </c>
      <c r="G245" s="28">
        <v>281</v>
      </c>
      <c r="H245" s="30">
        <v>273</v>
      </c>
      <c r="I245" s="29">
        <v>279</v>
      </c>
      <c r="J245" s="29">
        <v>268</v>
      </c>
      <c r="K245" s="34">
        <f t="shared" si="17"/>
        <v>83.3</v>
      </c>
      <c r="L245" s="29">
        <v>316</v>
      </c>
      <c r="M245" s="30">
        <v>302</v>
      </c>
      <c r="N245" s="35">
        <v>207</v>
      </c>
      <c r="O245" s="36">
        <v>268</v>
      </c>
      <c r="P245" s="37">
        <v>259</v>
      </c>
      <c r="Q245" s="52">
        <v>76</v>
      </c>
      <c r="R245" s="55">
        <v>94</v>
      </c>
      <c r="S245" s="56">
        <v>92</v>
      </c>
      <c r="T245" s="40" t="s">
        <v>85</v>
      </c>
      <c r="U245" s="38">
        <v>6</v>
      </c>
      <c r="V245" s="41" t="s">
        <v>47</v>
      </c>
      <c r="W245" s="39">
        <v>7</v>
      </c>
      <c r="X245" s="40" t="s">
        <v>47</v>
      </c>
      <c r="Y245" s="39">
        <v>7</v>
      </c>
      <c r="Z245" s="57">
        <v>4</v>
      </c>
      <c r="AA245" s="58">
        <v>4</v>
      </c>
      <c r="AB245" s="59">
        <v>4</v>
      </c>
      <c r="AC245" s="42">
        <v>0</v>
      </c>
    </row>
    <row r="246" spans="1:29" x14ac:dyDescent="0.25">
      <c r="A246" s="1">
        <f t="shared" ca="1" si="15"/>
        <v>14844</v>
      </c>
      <c r="B246" s="74">
        <v>7582</v>
      </c>
      <c r="C246" s="74">
        <v>7602</v>
      </c>
      <c r="D246" s="74">
        <v>7572</v>
      </c>
      <c r="E246" s="28">
        <v>285</v>
      </c>
      <c r="F246" s="29">
        <v>274</v>
      </c>
      <c r="G246" s="28">
        <v>289</v>
      </c>
      <c r="H246" s="30">
        <v>276</v>
      </c>
      <c r="I246" s="29">
        <v>285</v>
      </c>
      <c r="J246" s="29">
        <v>270</v>
      </c>
      <c r="K246" s="34">
        <f t="shared" si="17"/>
        <v>85.9</v>
      </c>
      <c r="L246" s="29">
        <v>318</v>
      </c>
      <c r="M246" s="30">
        <v>304</v>
      </c>
      <c r="N246" s="35">
        <v>268</v>
      </c>
      <c r="O246" s="36">
        <v>270</v>
      </c>
      <c r="P246" s="37">
        <v>260</v>
      </c>
      <c r="Q246" s="52">
        <v>92</v>
      </c>
      <c r="R246" s="55">
        <v>91</v>
      </c>
      <c r="S246" s="56">
        <v>89</v>
      </c>
      <c r="T246" s="40" t="s">
        <v>85</v>
      </c>
      <c r="U246" s="38">
        <v>6</v>
      </c>
      <c r="V246" s="41" t="s">
        <v>85</v>
      </c>
      <c r="W246" s="39">
        <v>7</v>
      </c>
      <c r="X246" s="40" t="s">
        <v>85</v>
      </c>
      <c r="Y246" s="39">
        <v>7</v>
      </c>
      <c r="Z246" s="57">
        <v>3</v>
      </c>
      <c r="AA246" s="58">
        <v>3</v>
      </c>
      <c r="AB246" s="59">
        <v>3</v>
      </c>
      <c r="AC246" s="42">
        <v>0</v>
      </c>
    </row>
    <row r="247" spans="1:29" x14ac:dyDescent="0.25">
      <c r="A247" s="1">
        <f t="shared" ca="1" si="15"/>
        <v>14845</v>
      </c>
      <c r="B247" s="74">
        <v>7582</v>
      </c>
      <c r="C247" s="74">
        <v>7582</v>
      </c>
      <c r="D247" s="74">
        <v>7585</v>
      </c>
      <c r="E247" s="28">
        <v>285</v>
      </c>
      <c r="F247" s="29">
        <v>272</v>
      </c>
      <c r="G247" s="28">
        <v>291</v>
      </c>
      <c r="H247" s="30">
        <v>276</v>
      </c>
      <c r="I247" s="29">
        <v>289</v>
      </c>
      <c r="J247" s="29">
        <v>268</v>
      </c>
      <c r="K247" s="34">
        <f t="shared" si="17"/>
        <v>86.5</v>
      </c>
      <c r="L247" s="29">
        <v>314</v>
      </c>
      <c r="M247" s="30">
        <v>300</v>
      </c>
      <c r="N247" s="35">
        <v>264</v>
      </c>
      <c r="O247" s="36">
        <v>269</v>
      </c>
      <c r="P247" s="37">
        <v>254</v>
      </c>
      <c r="Q247" s="52">
        <v>90</v>
      </c>
      <c r="R247" s="55">
        <v>89</v>
      </c>
      <c r="S247" s="56">
        <v>85</v>
      </c>
      <c r="T247" s="40" t="s">
        <v>85</v>
      </c>
      <c r="U247" s="38">
        <v>6</v>
      </c>
      <c r="V247" s="41" t="s">
        <v>85</v>
      </c>
      <c r="W247" s="39">
        <v>6</v>
      </c>
      <c r="X247" s="40" t="s">
        <v>85</v>
      </c>
      <c r="Y247" s="39">
        <v>6</v>
      </c>
      <c r="Z247" s="57">
        <v>3</v>
      </c>
      <c r="AA247" s="58">
        <v>2</v>
      </c>
      <c r="AB247" s="59">
        <v>3</v>
      </c>
      <c r="AC247" s="42">
        <v>0</v>
      </c>
    </row>
    <row r="248" spans="1:29" x14ac:dyDescent="0.25">
      <c r="A248" s="1">
        <f t="shared" ca="1" si="15"/>
        <v>14846</v>
      </c>
      <c r="B248" s="74">
        <v>7592</v>
      </c>
      <c r="C248" s="74">
        <v>7610</v>
      </c>
      <c r="D248" s="74">
        <v>7597</v>
      </c>
      <c r="E248" s="28">
        <v>271</v>
      </c>
      <c r="F248" s="29">
        <v>264</v>
      </c>
      <c r="G248" s="28">
        <v>281</v>
      </c>
      <c r="H248" s="30">
        <v>268</v>
      </c>
      <c r="I248" s="29">
        <v>269</v>
      </c>
      <c r="J248" s="29">
        <v>262</v>
      </c>
      <c r="K248" s="34">
        <f t="shared" si="17"/>
        <v>82.1</v>
      </c>
      <c r="L248" s="29">
        <v>300</v>
      </c>
      <c r="M248" s="30">
        <v>289</v>
      </c>
      <c r="N248" s="35">
        <v>255</v>
      </c>
      <c r="O248" s="36">
        <v>258</v>
      </c>
      <c r="P248" s="37">
        <v>252</v>
      </c>
      <c r="Q248" s="52">
        <v>95</v>
      </c>
      <c r="R248" s="55">
        <v>90</v>
      </c>
      <c r="S248" s="56">
        <v>95</v>
      </c>
      <c r="T248" s="40" t="s">
        <v>85</v>
      </c>
      <c r="U248" s="38">
        <v>5</v>
      </c>
      <c r="V248" s="41" t="s">
        <v>47</v>
      </c>
      <c r="W248" s="39">
        <v>6</v>
      </c>
      <c r="X248" s="40" t="s">
        <v>47</v>
      </c>
      <c r="Y248" s="39">
        <v>5</v>
      </c>
      <c r="Z248" s="57">
        <v>3</v>
      </c>
      <c r="AA248" s="58">
        <v>3</v>
      </c>
      <c r="AB248" s="59">
        <v>3</v>
      </c>
      <c r="AC248" s="42">
        <v>0</v>
      </c>
    </row>
    <row r="249" spans="1:29" x14ac:dyDescent="0.25">
      <c r="A249" s="1">
        <f t="shared" ca="1" si="15"/>
        <v>14847</v>
      </c>
      <c r="B249" s="74">
        <v>7607</v>
      </c>
      <c r="C249" s="74">
        <v>7605</v>
      </c>
      <c r="D249" s="74">
        <v>7602</v>
      </c>
      <c r="E249" s="28">
        <v>271</v>
      </c>
      <c r="F249" s="29">
        <v>262</v>
      </c>
      <c r="G249" s="28">
        <v>279</v>
      </c>
      <c r="H249" s="30">
        <v>268</v>
      </c>
      <c r="I249" s="29">
        <v>269</v>
      </c>
      <c r="J249" s="29">
        <v>262</v>
      </c>
      <c r="K249" s="34">
        <f t="shared" si="17"/>
        <v>81.900000000000006</v>
      </c>
      <c r="L249" s="29">
        <v>305</v>
      </c>
      <c r="M249" s="30">
        <v>290</v>
      </c>
      <c r="N249" s="35">
        <v>251</v>
      </c>
      <c r="O249" s="36">
        <v>259</v>
      </c>
      <c r="P249" s="37">
        <v>252</v>
      </c>
      <c r="Q249" s="52">
        <v>93</v>
      </c>
      <c r="R249" s="55">
        <v>92</v>
      </c>
      <c r="S249" s="56">
        <v>95</v>
      </c>
      <c r="T249" s="40" t="s">
        <v>85</v>
      </c>
      <c r="U249" s="38">
        <v>5</v>
      </c>
      <c r="V249" s="41" t="s">
        <v>85</v>
      </c>
      <c r="W249" s="39">
        <v>6</v>
      </c>
      <c r="X249" s="40" t="s">
        <v>85</v>
      </c>
      <c r="Y249" s="39">
        <v>6</v>
      </c>
      <c r="Z249" s="57">
        <v>3</v>
      </c>
      <c r="AA249" s="58">
        <v>2</v>
      </c>
      <c r="AB249" s="59">
        <v>2</v>
      </c>
      <c r="AC249" s="42">
        <v>0</v>
      </c>
    </row>
    <row r="250" spans="1:29" x14ac:dyDescent="0.25">
      <c r="A250" s="1">
        <f t="shared" ca="1" si="15"/>
        <v>14848</v>
      </c>
      <c r="B250" s="74">
        <v>7572</v>
      </c>
      <c r="C250" s="74">
        <v>7605</v>
      </c>
      <c r="D250" s="74">
        <v>7597</v>
      </c>
      <c r="E250" s="28">
        <v>271</v>
      </c>
      <c r="F250" s="29">
        <v>262</v>
      </c>
      <c r="G250" s="28">
        <v>281</v>
      </c>
      <c r="H250" s="30">
        <v>276</v>
      </c>
      <c r="I250" s="29">
        <v>279</v>
      </c>
      <c r="J250" s="29">
        <v>260</v>
      </c>
      <c r="K250" s="34">
        <f t="shared" si="17"/>
        <v>83.1</v>
      </c>
      <c r="L250" s="29">
        <v>306</v>
      </c>
      <c r="M250" s="30">
        <v>285</v>
      </c>
      <c r="N250" s="35">
        <v>251</v>
      </c>
      <c r="O250" s="36">
        <v>274</v>
      </c>
      <c r="P250" s="37">
        <v>243</v>
      </c>
      <c r="Q250" s="52">
        <v>93</v>
      </c>
      <c r="R250" s="55">
        <v>96</v>
      </c>
      <c r="S250" s="56">
        <v>86</v>
      </c>
      <c r="T250" s="40" t="s">
        <v>85</v>
      </c>
      <c r="U250" s="38">
        <v>6</v>
      </c>
      <c r="V250" s="41" t="s">
        <v>85</v>
      </c>
      <c r="W250" s="39">
        <v>7</v>
      </c>
      <c r="X250" s="40" t="s">
        <v>85</v>
      </c>
      <c r="Y250" s="39">
        <v>7</v>
      </c>
      <c r="Z250" s="57">
        <v>3</v>
      </c>
      <c r="AA250" s="58">
        <v>4</v>
      </c>
      <c r="AB250" s="59">
        <v>2</v>
      </c>
      <c r="AC250" s="42">
        <v>0</v>
      </c>
    </row>
    <row r="251" spans="1:29" x14ac:dyDescent="0.25">
      <c r="A251" s="1">
        <f t="shared" ca="1" si="15"/>
        <v>14849</v>
      </c>
      <c r="B251" s="74">
        <v>7607</v>
      </c>
      <c r="C251" s="74">
        <v>7607</v>
      </c>
      <c r="D251" s="74">
        <v>7597</v>
      </c>
      <c r="E251" s="28">
        <v>272</v>
      </c>
      <c r="F251" s="29">
        <v>264</v>
      </c>
      <c r="G251" s="28">
        <v>279</v>
      </c>
      <c r="H251" s="30">
        <v>273</v>
      </c>
      <c r="I251" s="29">
        <v>277</v>
      </c>
      <c r="J251" s="29">
        <v>260</v>
      </c>
      <c r="K251" s="34">
        <f t="shared" si="17"/>
        <v>82.8</v>
      </c>
      <c r="L251" s="29">
        <v>304</v>
      </c>
      <c r="M251" s="30">
        <v>292</v>
      </c>
      <c r="N251" s="35">
        <v>254</v>
      </c>
      <c r="O251" s="36">
        <v>269</v>
      </c>
      <c r="P251" s="37">
        <v>244</v>
      </c>
      <c r="Q251" s="52">
        <v>94</v>
      </c>
      <c r="R251" s="55">
        <v>95</v>
      </c>
      <c r="S251" s="56">
        <v>87</v>
      </c>
      <c r="T251" s="40" t="s">
        <v>85</v>
      </c>
      <c r="U251" s="38">
        <v>6</v>
      </c>
      <c r="V251" s="41" t="s">
        <v>85</v>
      </c>
      <c r="W251" s="39">
        <v>7</v>
      </c>
      <c r="X251" s="40" t="s">
        <v>85</v>
      </c>
      <c r="Y251" s="39">
        <v>7</v>
      </c>
      <c r="Z251" s="57">
        <v>4</v>
      </c>
      <c r="AA251" s="58">
        <v>5</v>
      </c>
      <c r="AB251" s="59">
        <v>5</v>
      </c>
      <c r="AC251" s="42">
        <v>0</v>
      </c>
    </row>
    <row r="252" spans="1:29" x14ac:dyDescent="0.25">
      <c r="A252" s="1">
        <f t="shared" ca="1" si="15"/>
        <v>14850</v>
      </c>
      <c r="B252" s="74">
        <v>7607</v>
      </c>
      <c r="C252" s="74">
        <v>7612</v>
      </c>
      <c r="D252" s="74">
        <v>7602</v>
      </c>
      <c r="E252" s="28">
        <v>273</v>
      </c>
      <c r="F252" s="29">
        <v>266</v>
      </c>
      <c r="G252" s="28">
        <v>277</v>
      </c>
      <c r="H252" s="30">
        <v>268</v>
      </c>
      <c r="I252" s="29">
        <v>275</v>
      </c>
      <c r="J252" s="29">
        <v>267</v>
      </c>
      <c r="K252" s="34">
        <f t="shared" si="17"/>
        <v>82.5</v>
      </c>
      <c r="L252" s="29">
        <v>304</v>
      </c>
      <c r="M252" s="30">
        <v>291</v>
      </c>
      <c r="N252" s="35">
        <v>258</v>
      </c>
      <c r="O252" s="36">
        <v>260</v>
      </c>
      <c r="P252" s="37">
        <v>259</v>
      </c>
      <c r="Q252" s="52">
        <v>95</v>
      </c>
      <c r="R252" s="55">
        <v>93</v>
      </c>
      <c r="S252" s="56">
        <v>94</v>
      </c>
      <c r="T252" s="40" t="s">
        <v>47</v>
      </c>
      <c r="U252" s="38">
        <v>4</v>
      </c>
      <c r="V252" s="41" t="s">
        <v>47</v>
      </c>
      <c r="W252" s="39">
        <v>6</v>
      </c>
      <c r="X252" s="40" t="s">
        <v>47</v>
      </c>
      <c r="Y252" s="39">
        <v>6</v>
      </c>
      <c r="Z252" s="57">
        <v>6</v>
      </c>
      <c r="AA252" s="58">
        <v>8</v>
      </c>
      <c r="AB252" s="59">
        <v>8</v>
      </c>
      <c r="AC252" s="42">
        <v>95</v>
      </c>
    </row>
    <row r="253" spans="1:29" x14ac:dyDescent="0.25">
      <c r="A253" s="1">
        <f t="shared" ca="1" si="15"/>
        <v>14851</v>
      </c>
      <c r="B253" s="74">
        <v>7600</v>
      </c>
      <c r="C253" s="74">
        <v>7612</v>
      </c>
      <c r="D253" s="74">
        <v>7592</v>
      </c>
      <c r="E253" s="28">
        <v>271</v>
      </c>
      <c r="F253" s="29">
        <v>264</v>
      </c>
      <c r="G253" s="28">
        <v>277</v>
      </c>
      <c r="H253" s="30">
        <v>268</v>
      </c>
      <c r="I253" s="29">
        <v>269</v>
      </c>
      <c r="J253" s="29">
        <v>264</v>
      </c>
      <c r="K253" s="34">
        <f t="shared" si="17"/>
        <v>81.7</v>
      </c>
      <c r="L253" s="29">
        <v>310</v>
      </c>
      <c r="M253" s="30">
        <v>294</v>
      </c>
      <c r="N253" s="35">
        <v>255</v>
      </c>
      <c r="O253" s="36">
        <v>260</v>
      </c>
      <c r="P253" s="37">
        <v>256</v>
      </c>
      <c r="Q253" s="52">
        <v>95</v>
      </c>
      <c r="R253" s="55">
        <v>93</v>
      </c>
      <c r="S253" s="56">
        <v>96</v>
      </c>
      <c r="T253" s="40" t="s">
        <v>85</v>
      </c>
      <c r="U253" s="38">
        <v>4</v>
      </c>
      <c r="V253" s="41" t="s">
        <v>85</v>
      </c>
      <c r="W253" s="39">
        <v>6</v>
      </c>
      <c r="X253" s="40" t="s">
        <v>85</v>
      </c>
      <c r="Y253" s="39">
        <v>6</v>
      </c>
      <c r="Z253" s="57">
        <v>3</v>
      </c>
      <c r="AA253" s="58">
        <v>4</v>
      </c>
      <c r="AB253" s="59">
        <v>3</v>
      </c>
      <c r="AC253" s="42">
        <v>0</v>
      </c>
    </row>
    <row r="254" spans="1:29" x14ac:dyDescent="0.25">
      <c r="A254" s="1">
        <f t="shared" ca="1" si="15"/>
        <v>14852</v>
      </c>
      <c r="B254" s="74">
        <v>7582</v>
      </c>
      <c r="C254" s="74">
        <v>7587</v>
      </c>
      <c r="D254" s="74">
        <v>7582</v>
      </c>
      <c r="E254" s="28">
        <v>289</v>
      </c>
      <c r="F254" s="29">
        <v>266</v>
      </c>
      <c r="G254" s="28">
        <v>281</v>
      </c>
      <c r="H254" s="30">
        <v>268</v>
      </c>
      <c r="I254" s="29">
        <v>271</v>
      </c>
      <c r="J254" s="29">
        <v>266</v>
      </c>
      <c r="K254" s="34">
        <f t="shared" si="17"/>
        <v>84.1</v>
      </c>
      <c r="L254" s="29">
        <v>310</v>
      </c>
      <c r="M254" s="30">
        <v>294</v>
      </c>
      <c r="N254" s="35">
        <v>250</v>
      </c>
      <c r="O254" s="36">
        <v>258</v>
      </c>
      <c r="P254" s="37">
        <v>259</v>
      </c>
      <c r="Q254" s="52">
        <v>84</v>
      </c>
      <c r="R254" s="55">
        <v>90</v>
      </c>
      <c r="S254" s="56">
        <v>96</v>
      </c>
      <c r="T254" s="40" t="s">
        <v>85</v>
      </c>
      <c r="U254" s="38">
        <v>4</v>
      </c>
      <c r="V254" s="41" t="s">
        <v>46</v>
      </c>
      <c r="W254" s="39">
        <v>5</v>
      </c>
      <c r="X254" s="40" t="s">
        <v>46</v>
      </c>
      <c r="Y254" s="39">
        <v>5</v>
      </c>
      <c r="Z254" s="57">
        <v>3</v>
      </c>
      <c r="AA254" s="58">
        <v>4</v>
      </c>
      <c r="AB254" s="59">
        <v>3</v>
      </c>
      <c r="AC254" s="42">
        <v>0</v>
      </c>
    </row>
    <row r="255" spans="1:29" x14ac:dyDescent="0.25">
      <c r="A255" s="1">
        <f t="shared" ca="1" si="15"/>
        <v>14853</v>
      </c>
      <c r="B255" s="74">
        <v>7579</v>
      </c>
      <c r="C255" s="74">
        <v>7612</v>
      </c>
      <c r="D255" s="74">
        <v>7582</v>
      </c>
      <c r="E255" s="28">
        <v>277</v>
      </c>
      <c r="F255" s="29">
        <v>266</v>
      </c>
      <c r="G255" s="28">
        <v>279</v>
      </c>
      <c r="H255" s="30">
        <v>268</v>
      </c>
      <c r="I255" s="29">
        <v>271</v>
      </c>
      <c r="J255" s="29">
        <v>266</v>
      </c>
      <c r="K255" s="34">
        <f t="shared" si="17"/>
        <v>82.7</v>
      </c>
      <c r="L255" s="29">
        <v>306</v>
      </c>
      <c r="M255" s="30">
        <v>288</v>
      </c>
      <c r="N255" s="35">
        <v>256</v>
      </c>
      <c r="O255" s="36">
        <v>259</v>
      </c>
      <c r="P255" s="37">
        <v>259</v>
      </c>
      <c r="Q255" s="52">
        <v>92</v>
      </c>
      <c r="R255" s="55">
        <v>92</v>
      </c>
      <c r="S255" s="56">
        <v>96</v>
      </c>
      <c r="T255" s="40" t="s">
        <v>47</v>
      </c>
      <c r="U255" s="38">
        <v>4</v>
      </c>
      <c r="V255" s="41" t="s">
        <v>47</v>
      </c>
      <c r="W255" s="39">
        <v>5</v>
      </c>
      <c r="X255" s="40" t="s">
        <v>47</v>
      </c>
      <c r="Y255" s="39">
        <v>5</v>
      </c>
      <c r="Z255" s="57">
        <v>3</v>
      </c>
      <c r="AA255" s="58">
        <v>3</v>
      </c>
      <c r="AB255" s="59">
        <v>3</v>
      </c>
      <c r="AC255" s="42">
        <v>0</v>
      </c>
    </row>
    <row r="256" spans="1:29" x14ac:dyDescent="0.25">
      <c r="A256" s="1">
        <f t="shared" ca="1" si="15"/>
        <v>14854</v>
      </c>
      <c r="B256" s="74">
        <v>7585</v>
      </c>
      <c r="C256" s="74">
        <v>7605</v>
      </c>
      <c r="D256" s="74">
        <v>7582</v>
      </c>
      <c r="E256" s="28">
        <v>275</v>
      </c>
      <c r="F256" s="29">
        <v>264</v>
      </c>
      <c r="G256" s="28">
        <v>279</v>
      </c>
      <c r="H256" s="30">
        <v>268</v>
      </c>
      <c r="I256" s="29">
        <v>273</v>
      </c>
      <c r="J256" s="29">
        <v>264</v>
      </c>
      <c r="K256" s="34">
        <f t="shared" si="17"/>
        <v>82.7</v>
      </c>
      <c r="L256" s="29">
        <v>306</v>
      </c>
      <c r="M256" s="30">
        <v>290</v>
      </c>
      <c r="N256" s="35">
        <v>253</v>
      </c>
      <c r="O256" s="36">
        <v>259</v>
      </c>
      <c r="P256" s="37">
        <v>254</v>
      </c>
      <c r="Q256" s="52">
        <v>92</v>
      </c>
      <c r="R256" s="55">
        <v>92</v>
      </c>
      <c r="S256" s="56">
        <v>93</v>
      </c>
      <c r="T256" s="40" t="s">
        <v>47</v>
      </c>
      <c r="U256" s="38">
        <v>4</v>
      </c>
      <c r="V256" s="41" t="s">
        <v>47</v>
      </c>
      <c r="W256" s="39">
        <v>5</v>
      </c>
      <c r="X256" s="40" t="s">
        <v>46</v>
      </c>
      <c r="Y256" s="39">
        <v>5</v>
      </c>
      <c r="Z256" s="57">
        <v>3</v>
      </c>
      <c r="AA256" s="58">
        <v>4</v>
      </c>
      <c r="AB256" s="59">
        <v>4</v>
      </c>
      <c r="AC256" s="42">
        <v>0</v>
      </c>
    </row>
    <row r="257" spans="1:29" x14ac:dyDescent="0.25">
      <c r="A257" s="1" t="str">
        <f t="shared" ca="1" si="15"/>
        <v>Totaal</v>
      </c>
      <c r="B257" s="75">
        <f>IF(COUNT(B226:B256)&gt;0,AVERAGE(B226:B256)/10,"")</f>
        <v>759.29677419354834</v>
      </c>
      <c r="C257" s="76">
        <f>IF(COUNT(C226:C256)&gt;0,AVERAGE(C226:C256)/10,"")</f>
        <v>760.45483870967746</v>
      </c>
      <c r="D257" s="77">
        <f>IF(COUNT(D226:D256)&gt;0,AVERAGE(D226:D256)/10,"")</f>
        <v>758.97096774193551</v>
      </c>
      <c r="E257" s="31">
        <f>IF(COUNT(E226:E256)&gt;0,AVERAGE(E226:E256)/10,"")</f>
        <v>27.583870967741934</v>
      </c>
      <c r="F257" s="32">
        <f t="shared" ref="F257:J257" si="18">IF(COUNT(F226:F256)&gt;0,AVERAGE(F226:F256)/10,"")</f>
        <v>25.777419354838706</v>
      </c>
      <c r="G257" s="31">
        <f t="shared" si="18"/>
        <v>28.254838709677422</v>
      </c>
      <c r="H257" s="33">
        <f t="shared" si="18"/>
        <v>27.045161290322579</v>
      </c>
      <c r="I257" s="32">
        <f t="shared" si="18"/>
        <v>27.758064516129032</v>
      </c>
      <c r="J257" s="32">
        <f t="shared" si="18"/>
        <v>26.493548387096773</v>
      </c>
      <c r="K257" s="46">
        <f>IF(COUNT(K226:K256)&gt;0,SUM(K226:K256),"")</f>
        <v>2591.4999999999995</v>
      </c>
      <c r="L257" s="32">
        <f>IF(COUNT(L226:L256)&gt;0,AVERAGE(L226:L256)/10,"")</f>
        <v>30.725806451612904</v>
      </c>
      <c r="M257" s="32">
        <f>IF(COUNT(M226:M256)&gt;0,AVERAGE(M226:M256)/10,"")</f>
        <v>29.1</v>
      </c>
      <c r="N257" s="47">
        <f>IF(COUNT(N226:N256)&gt;0,AVERAGE(N226:N256)/10,"")</f>
        <v>24.238709677419354</v>
      </c>
      <c r="O257" s="48">
        <f>IF(COUNT(O226:O256)&gt;0,AVERAGE(O226:O256)/10,"")</f>
        <v>26.251612903225805</v>
      </c>
      <c r="P257" s="49">
        <f>IF(COUNT(P226:P256)&gt;0,AVERAGE(P226:P256)/10,"")</f>
        <v>25.387096774193548</v>
      </c>
      <c r="Q257" s="51">
        <f>IF(COUNT(Q226:Q256)&gt;0,AVERAGE(Q226:Q256),"")</f>
        <v>87.354838709677423</v>
      </c>
      <c r="R257" s="53">
        <f>IF(COUNT(R226:R256)&gt;0,AVERAGE(R226:R256),"")</f>
        <v>90.709677419354833</v>
      </c>
      <c r="S257" s="54">
        <f>IF(COUNT(S226:S256)&gt;0,AVERAGE(S226:S256),"")</f>
        <v>90.645161290322577</v>
      </c>
      <c r="T257" s="26"/>
      <c r="U257" s="50">
        <f>IF(COUNT(U226:U256)&gt;0,AVERAGE(U226:U256)/10,"")</f>
        <v>0.51290322580645165</v>
      </c>
      <c r="V257" s="27"/>
      <c r="W257" s="50">
        <f>IF(COUNT(W226:W256)&gt;0,AVERAGE(W226:W256)/10,"")</f>
        <v>0.61290322580645162</v>
      </c>
      <c r="X257" s="26"/>
      <c r="Y257" s="50">
        <f>IF(COUNT(Y226:Y256)&gt;0,AVERAGE(Y226:Y256)/10,"")</f>
        <v>0.6</v>
      </c>
      <c r="Z257" s="60">
        <f>IF(COUNT(Z226:Z256)&gt;0,AVERAGE(Z226:Z256),"")</f>
        <v>3.161290322580645</v>
      </c>
      <c r="AA257" s="61">
        <f>IF(COUNT(AA226:AA256)&gt;0,AVERAGE(AA226:AA256),"")</f>
        <v>3.225806451612903</v>
      </c>
      <c r="AB257" s="62">
        <f>IF(COUNT(AB226:AB256)&gt;0,AVERAGE(AB226:AB256),"")</f>
        <v>3.096774193548387</v>
      </c>
      <c r="AC257" s="45">
        <f>SUM(AC226:AC256)/10</f>
        <v>9.5</v>
      </c>
    </row>
    <row r="258" spans="1:29" x14ac:dyDescent="0.25">
      <c r="A258" s="1">
        <f t="shared" ca="1" si="15"/>
        <v>14855</v>
      </c>
      <c r="B258" s="74">
        <v>7582</v>
      </c>
      <c r="C258" s="74">
        <v>7597</v>
      </c>
      <c r="D258" s="74">
        <v>7590</v>
      </c>
      <c r="E258" s="28">
        <v>271</v>
      </c>
      <c r="F258" s="29">
        <v>260</v>
      </c>
      <c r="G258" s="28">
        <v>279</v>
      </c>
      <c r="H258" s="30">
        <v>268</v>
      </c>
      <c r="I258" s="29">
        <v>276</v>
      </c>
      <c r="J258" s="29">
        <v>258</v>
      </c>
      <c r="K258" s="34">
        <f t="shared" ref="K258:K287" si="19">IF(COUNT(E258,G258,I258)&gt;0,SUM(E258,G258,I258)/10,"")</f>
        <v>82.6</v>
      </c>
      <c r="L258" s="29">
        <v>300</v>
      </c>
      <c r="M258" s="30">
        <v>290</v>
      </c>
      <c r="N258" s="35">
        <v>247</v>
      </c>
      <c r="O258" s="36">
        <v>259</v>
      </c>
      <c r="P258" s="37">
        <v>240</v>
      </c>
      <c r="Q258" s="52">
        <v>92</v>
      </c>
      <c r="R258" s="55">
        <v>92</v>
      </c>
      <c r="S258" s="56">
        <v>87</v>
      </c>
      <c r="T258" s="40" t="s">
        <v>86</v>
      </c>
      <c r="U258" s="38">
        <v>3</v>
      </c>
      <c r="V258" s="41" t="s">
        <v>46</v>
      </c>
      <c r="W258" s="39">
        <v>4</v>
      </c>
      <c r="X258" s="40" t="s">
        <v>47</v>
      </c>
      <c r="Y258" s="39">
        <v>4</v>
      </c>
      <c r="Z258" s="57">
        <v>5</v>
      </c>
      <c r="AA258" s="58">
        <v>6</v>
      </c>
      <c r="AB258" s="59">
        <v>6</v>
      </c>
      <c r="AC258" s="42">
        <v>0</v>
      </c>
    </row>
    <row r="259" spans="1:29" x14ac:dyDescent="0.25">
      <c r="A259" s="1">
        <f t="shared" ca="1" si="15"/>
        <v>14856</v>
      </c>
      <c r="B259" s="74">
        <v>7585</v>
      </c>
      <c r="C259" s="74">
        <v>7595</v>
      </c>
      <c r="D259" s="74">
        <v>7590</v>
      </c>
      <c r="E259" s="28">
        <v>271</v>
      </c>
      <c r="F259" s="29">
        <v>262</v>
      </c>
      <c r="G259" s="28">
        <v>279</v>
      </c>
      <c r="H259" s="30">
        <v>266</v>
      </c>
      <c r="I259" s="29">
        <v>277</v>
      </c>
      <c r="J259" s="29">
        <v>260</v>
      </c>
      <c r="K259" s="34">
        <f t="shared" si="19"/>
        <v>82.7</v>
      </c>
      <c r="L259" s="29">
        <v>300</v>
      </c>
      <c r="M259" s="30">
        <v>288</v>
      </c>
      <c r="N259" s="35">
        <v>251</v>
      </c>
      <c r="O259" s="36">
        <v>255</v>
      </c>
      <c r="P259" s="37">
        <v>244</v>
      </c>
      <c r="Q259" s="52">
        <v>94</v>
      </c>
      <c r="R259" s="55">
        <v>90</v>
      </c>
      <c r="S259" s="56">
        <v>87</v>
      </c>
      <c r="T259" s="40" t="s">
        <v>90</v>
      </c>
      <c r="U259" s="38">
        <v>3</v>
      </c>
      <c r="V259" s="41" t="s">
        <v>46</v>
      </c>
      <c r="W259" s="39">
        <v>4</v>
      </c>
      <c r="X259" s="40" t="s">
        <v>46</v>
      </c>
      <c r="Y259" s="39">
        <v>4</v>
      </c>
      <c r="Z259" s="57">
        <v>6</v>
      </c>
      <c r="AA259" s="58">
        <v>6</v>
      </c>
      <c r="AB259" s="59">
        <v>5</v>
      </c>
      <c r="AC259" s="42">
        <v>0</v>
      </c>
    </row>
    <row r="260" spans="1:29" x14ac:dyDescent="0.25">
      <c r="A260" s="1">
        <f t="shared" ca="1" si="15"/>
        <v>14857</v>
      </c>
      <c r="B260" s="74">
        <v>7582</v>
      </c>
      <c r="C260" s="74">
        <v>7587</v>
      </c>
      <c r="D260" s="74">
        <v>7582</v>
      </c>
      <c r="E260" s="28">
        <v>289</v>
      </c>
      <c r="F260" s="29">
        <v>260</v>
      </c>
      <c r="G260" s="28">
        <v>281</v>
      </c>
      <c r="H260" s="30">
        <v>266</v>
      </c>
      <c r="I260" s="29">
        <v>271</v>
      </c>
      <c r="J260" s="29">
        <v>260</v>
      </c>
      <c r="K260" s="34">
        <f t="shared" si="19"/>
        <v>84.1</v>
      </c>
      <c r="L260" s="29">
        <v>310</v>
      </c>
      <c r="M260" s="30">
        <v>294</v>
      </c>
      <c r="N260" s="35">
        <v>238</v>
      </c>
      <c r="O260" s="36">
        <v>254</v>
      </c>
      <c r="P260" s="37">
        <v>247</v>
      </c>
      <c r="Q260" s="52">
        <v>80</v>
      </c>
      <c r="R260" s="55">
        <v>89</v>
      </c>
      <c r="S260" s="56">
        <v>92</v>
      </c>
      <c r="T260" s="40" t="s">
        <v>90</v>
      </c>
      <c r="U260" s="38">
        <v>4</v>
      </c>
      <c r="V260" s="41" t="s">
        <v>46</v>
      </c>
      <c r="W260" s="39">
        <v>5</v>
      </c>
      <c r="X260" s="40" t="s">
        <v>47</v>
      </c>
      <c r="Y260" s="39">
        <v>6</v>
      </c>
      <c r="Z260" s="57">
        <v>5</v>
      </c>
      <c r="AA260" s="58">
        <v>6</v>
      </c>
      <c r="AB260" s="59">
        <v>5</v>
      </c>
      <c r="AC260" s="42">
        <v>0</v>
      </c>
    </row>
    <row r="261" spans="1:29" x14ac:dyDescent="0.25">
      <c r="A261" s="1">
        <f t="shared" ca="1" si="15"/>
        <v>14858</v>
      </c>
      <c r="B261" s="74">
        <v>7577</v>
      </c>
      <c r="C261" s="74">
        <v>7597</v>
      </c>
      <c r="D261" s="74">
        <v>7590</v>
      </c>
      <c r="E261" s="28">
        <v>269</v>
      </c>
      <c r="F261" s="29">
        <v>250</v>
      </c>
      <c r="G261" s="28">
        <v>283</v>
      </c>
      <c r="H261" s="30">
        <v>260</v>
      </c>
      <c r="I261" s="29">
        <v>271</v>
      </c>
      <c r="J261" s="29">
        <v>256</v>
      </c>
      <c r="K261" s="34">
        <f t="shared" si="19"/>
        <v>82.3</v>
      </c>
      <c r="L261" s="29">
        <v>310</v>
      </c>
      <c r="M261" s="30">
        <v>284</v>
      </c>
      <c r="N261" s="35">
        <v>228</v>
      </c>
      <c r="O261" s="36">
        <v>241</v>
      </c>
      <c r="P261" s="37">
        <v>239</v>
      </c>
      <c r="Q261" s="52">
        <v>86</v>
      </c>
      <c r="R261" s="55">
        <v>83</v>
      </c>
      <c r="S261" s="56">
        <v>89</v>
      </c>
      <c r="T261" s="40" t="s">
        <v>46</v>
      </c>
      <c r="U261" s="38">
        <v>4</v>
      </c>
      <c r="V261" s="41" t="s">
        <v>47</v>
      </c>
      <c r="W261" s="39">
        <v>5</v>
      </c>
      <c r="X261" s="40" t="s">
        <v>47</v>
      </c>
      <c r="Y261" s="39">
        <v>5</v>
      </c>
      <c r="Z261" s="57">
        <v>4</v>
      </c>
      <c r="AA261" s="58">
        <v>4</v>
      </c>
      <c r="AB261" s="59">
        <v>6</v>
      </c>
      <c r="AC261" s="42">
        <v>0</v>
      </c>
    </row>
    <row r="262" spans="1:29" x14ac:dyDescent="0.25">
      <c r="A262" s="1">
        <f t="shared" ca="1" si="15"/>
        <v>14859</v>
      </c>
      <c r="B262" s="74">
        <v>7574</v>
      </c>
      <c r="C262" s="74">
        <v>7579</v>
      </c>
      <c r="D262" s="74">
        <v>7574</v>
      </c>
      <c r="E262" s="28">
        <v>287</v>
      </c>
      <c r="F262" s="29">
        <v>254</v>
      </c>
      <c r="G262" s="28">
        <v>287</v>
      </c>
      <c r="H262" s="30">
        <v>238</v>
      </c>
      <c r="I262" s="29">
        <v>279</v>
      </c>
      <c r="J262" s="29">
        <v>258</v>
      </c>
      <c r="K262" s="34">
        <f t="shared" si="19"/>
        <v>85.3</v>
      </c>
      <c r="L262" s="29">
        <v>304</v>
      </c>
      <c r="M262" s="30">
        <v>290</v>
      </c>
      <c r="N262" s="35">
        <v>227</v>
      </c>
      <c r="O262" s="36">
        <v>197</v>
      </c>
      <c r="P262" s="37">
        <v>239</v>
      </c>
      <c r="Q262" s="52">
        <v>77</v>
      </c>
      <c r="R262" s="55">
        <v>66</v>
      </c>
      <c r="S262" s="56">
        <v>85</v>
      </c>
      <c r="T262" s="40" t="s">
        <v>47</v>
      </c>
      <c r="U262" s="38">
        <v>4</v>
      </c>
      <c r="V262" s="41" t="s">
        <v>85</v>
      </c>
      <c r="W262" s="39">
        <v>5</v>
      </c>
      <c r="X262" s="40" t="s">
        <v>89</v>
      </c>
      <c r="Y262" s="39">
        <v>5</v>
      </c>
      <c r="Z262" s="57">
        <v>4</v>
      </c>
      <c r="AA262" s="58">
        <v>3</v>
      </c>
      <c r="AB262" s="59">
        <v>3</v>
      </c>
      <c r="AC262" s="42">
        <v>0</v>
      </c>
    </row>
    <row r="263" spans="1:29" x14ac:dyDescent="0.25">
      <c r="A263" s="1">
        <f t="shared" ca="1" si="15"/>
        <v>14860</v>
      </c>
      <c r="B263" s="74">
        <v>7582</v>
      </c>
      <c r="C263" s="74">
        <v>7582</v>
      </c>
      <c r="D263" s="74">
        <v>7582</v>
      </c>
      <c r="E263" s="28">
        <v>269</v>
      </c>
      <c r="F263" s="29">
        <v>260</v>
      </c>
      <c r="G263" s="28">
        <v>287</v>
      </c>
      <c r="H263" s="30">
        <v>264</v>
      </c>
      <c r="I263" s="29">
        <v>279</v>
      </c>
      <c r="J263" s="29">
        <v>260</v>
      </c>
      <c r="K263" s="34">
        <f t="shared" si="19"/>
        <v>83.5</v>
      </c>
      <c r="L263" s="29">
        <v>300</v>
      </c>
      <c r="M263" s="30">
        <v>290</v>
      </c>
      <c r="N263" s="35">
        <v>248</v>
      </c>
      <c r="O263" s="36">
        <v>247</v>
      </c>
      <c r="P263" s="37">
        <v>243</v>
      </c>
      <c r="Q263" s="52">
        <v>93</v>
      </c>
      <c r="R263" s="55">
        <v>84</v>
      </c>
      <c r="S263" s="56">
        <v>86</v>
      </c>
      <c r="T263" s="40" t="s">
        <v>85</v>
      </c>
      <c r="U263" s="38">
        <v>4</v>
      </c>
      <c r="V263" s="41" t="s">
        <v>89</v>
      </c>
      <c r="W263" s="39">
        <v>6</v>
      </c>
      <c r="X263" s="40" t="s">
        <v>89</v>
      </c>
      <c r="Y263" s="39">
        <v>6</v>
      </c>
      <c r="Z263" s="57">
        <v>3</v>
      </c>
      <c r="AA263" s="58">
        <v>2</v>
      </c>
      <c r="AB263" s="59">
        <v>2</v>
      </c>
      <c r="AC263" s="42">
        <v>0</v>
      </c>
    </row>
    <row r="264" spans="1:29" x14ac:dyDescent="0.25">
      <c r="A264" s="1">
        <f t="shared" ref="A264:A327" ca="1" si="20">IF(ISTEXT(A263),A262+1,IF(MONTH(A263+1)=MONTH(A263),A263+1,"Totaal"))</f>
        <v>14861</v>
      </c>
      <c r="B264" s="74">
        <v>7582</v>
      </c>
      <c r="C264" s="74">
        <v>7582</v>
      </c>
      <c r="D264" s="74">
        <v>7577</v>
      </c>
      <c r="E264" s="28">
        <v>274</v>
      </c>
      <c r="F264" s="29">
        <v>258</v>
      </c>
      <c r="G264" s="28">
        <v>281</v>
      </c>
      <c r="H264" s="30">
        <v>262</v>
      </c>
      <c r="I264" s="29">
        <v>275</v>
      </c>
      <c r="J264" s="29">
        <v>258</v>
      </c>
      <c r="K264" s="34">
        <f t="shared" si="19"/>
        <v>83</v>
      </c>
      <c r="L264" s="29">
        <v>304</v>
      </c>
      <c r="M264" s="30">
        <v>290</v>
      </c>
      <c r="N264" s="35">
        <v>241</v>
      </c>
      <c r="O264" s="36">
        <v>246</v>
      </c>
      <c r="P264" s="37">
        <v>241</v>
      </c>
      <c r="Q264" s="52">
        <v>88</v>
      </c>
      <c r="R264" s="55">
        <v>86</v>
      </c>
      <c r="S264" s="56">
        <v>87</v>
      </c>
      <c r="T264" s="40" t="s">
        <v>85</v>
      </c>
      <c r="U264" s="38">
        <v>5</v>
      </c>
      <c r="V264" s="41" t="s">
        <v>85</v>
      </c>
      <c r="W264" s="39">
        <v>6</v>
      </c>
      <c r="X264" s="40" t="s">
        <v>85</v>
      </c>
      <c r="Y264" s="39">
        <v>6</v>
      </c>
      <c r="Z264" s="57">
        <v>4</v>
      </c>
      <c r="AA264" s="58">
        <v>5</v>
      </c>
      <c r="AB264" s="59">
        <v>5</v>
      </c>
      <c r="AC264" s="42">
        <v>0</v>
      </c>
    </row>
    <row r="265" spans="1:29" x14ac:dyDescent="0.25">
      <c r="A265" s="1">
        <f t="shared" ca="1" si="20"/>
        <v>14862</v>
      </c>
      <c r="B265" s="74">
        <v>7569</v>
      </c>
      <c r="C265" s="74">
        <v>7579</v>
      </c>
      <c r="D265" s="74">
        <v>7569</v>
      </c>
      <c r="E265" s="28">
        <v>263</v>
      </c>
      <c r="F265" s="29">
        <v>256</v>
      </c>
      <c r="G265" s="28">
        <v>269</v>
      </c>
      <c r="H265" s="30">
        <v>258</v>
      </c>
      <c r="I265" s="29">
        <v>261</v>
      </c>
      <c r="J265" s="29">
        <v>254</v>
      </c>
      <c r="K265" s="34">
        <f t="shared" si="19"/>
        <v>79.3</v>
      </c>
      <c r="L265" s="29">
        <v>300</v>
      </c>
      <c r="M265" s="30">
        <v>285</v>
      </c>
      <c r="N265" s="35">
        <v>243</v>
      </c>
      <c r="O265" s="36">
        <v>244</v>
      </c>
      <c r="P265" s="37">
        <v>240</v>
      </c>
      <c r="Q265" s="52">
        <v>95</v>
      </c>
      <c r="R265" s="55">
        <v>92</v>
      </c>
      <c r="S265" s="56">
        <v>95</v>
      </c>
      <c r="T265" s="40" t="s">
        <v>85</v>
      </c>
      <c r="U265" s="38">
        <v>5</v>
      </c>
      <c r="V265" s="41" t="s">
        <v>85</v>
      </c>
      <c r="W265" s="39">
        <v>6</v>
      </c>
      <c r="X265" s="40" t="s">
        <v>85</v>
      </c>
      <c r="Y265" s="39">
        <v>6</v>
      </c>
      <c r="Z265" s="57">
        <v>3</v>
      </c>
      <c r="AA265" s="58">
        <v>4</v>
      </c>
      <c r="AB265" s="59">
        <v>3</v>
      </c>
      <c r="AC265" s="42">
        <v>0</v>
      </c>
    </row>
    <row r="266" spans="1:29" x14ac:dyDescent="0.25">
      <c r="A266" s="1">
        <f t="shared" ca="1" si="20"/>
        <v>14863</v>
      </c>
      <c r="B266" s="74">
        <v>7569</v>
      </c>
      <c r="C266" s="74">
        <v>7579</v>
      </c>
      <c r="D266" s="74">
        <v>7569</v>
      </c>
      <c r="E266" s="28">
        <v>269</v>
      </c>
      <c r="F266" s="29">
        <v>252</v>
      </c>
      <c r="G266" s="28">
        <v>271</v>
      </c>
      <c r="H266" s="30">
        <v>254</v>
      </c>
      <c r="I266" s="29">
        <v>267</v>
      </c>
      <c r="J266" s="29">
        <v>250</v>
      </c>
      <c r="K266" s="34">
        <f t="shared" si="19"/>
        <v>80.7</v>
      </c>
      <c r="L266" s="29">
        <v>300</v>
      </c>
      <c r="M266" s="30">
        <v>288</v>
      </c>
      <c r="N266" s="35">
        <v>232</v>
      </c>
      <c r="O266" s="36">
        <v>235</v>
      </c>
      <c r="P266" s="37">
        <v>229</v>
      </c>
      <c r="Q266" s="52">
        <v>87</v>
      </c>
      <c r="R266" s="55">
        <v>87</v>
      </c>
      <c r="S266" s="56">
        <v>87</v>
      </c>
      <c r="T266" s="40" t="s">
        <v>85</v>
      </c>
      <c r="U266" s="38">
        <v>5</v>
      </c>
      <c r="V266" s="41" t="s">
        <v>85</v>
      </c>
      <c r="W266" s="39">
        <v>6</v>
      </c>
      <c r="X266" s="40" t="s">
        <v>85</v>
      </c>
      <c r="Y266" s="39">
        <v>6</v>
      </c>
      <c r="Z266" s="57">
        <v>3</v>
      </c>
      <c r="AA266" s="58">
        <v>4</v>
      </c>
      <c r="AB266" s="59">
        <v>3</v>
      </c>
      <c r="AC266" s="42">
        <v>0</v>
      </c>
    </row>
    <row r="267" spans="1:29" x14ac:dyDescent="0.25">
      <c r="A267" s="1">
        <f t="shared" ca="1" si="20"/>
        <v>14864</v>
      </c>
      <c r="B267" s="74">
        <v>7577</v>
      </c>
      <c r="C267" s="74">
        <v>7579</v>
      </c>
      <c r="D267" s="74">
        <v>7577</v>
      </c>
      <c r="E267" s="28">
        <v>283</v>
      </c>
      <c r="F267" s="29">
        <v>252</v>
      </c>
      <c r="G267" s="28">
        <v>283</v>
      </c>
      <c r="H267" s="30">
        <v>252</v>
      </c>
      <c r="I267" s="29">
        <v>269</v>
      </c>
      <c r="J267" s="29">
        <v>248</v>
      </c>
      <c r="K267" s="34">
        <f t="shared" si="19"/>
        <v>83.5</v>
      </c>
      <c r="L267" s="29">
        <v>303</v>
      </c>
      <c r="M267" s="30">
        <v>290</v>
      </c>
      <c r="N267" s="35">
        <v>225</v>
      </c>
      <c r="O267" s="36">
        <v>225</v>
      </c>
      <c r="P267" s="37">
        <v>224</v>
      </c>
      <c r="Q267" s="52">
        <v>78</v>
      </c>
      <c r="R267" s="55">
        <v>78</v>
      </c>
      <c r="S267" s="56">
        <v>84</v>
      </c>
      <c r="T267" s="40" t="s">
        <v>85</v>
      </c>
      <c r="U267" s="38">
        <v>4</v>
      </c>
      <c r="V267" s="41" t="s">
        <v>85</v>
      </c>
      <c r="W267" s="39">
        <v>5</v>
      </c>
      <c r="X267" s="40" t="s">
        <v>85</v>
      </c>
      <c r="Y267" s="39">
        <v>5</v>
      </c>
      <c r="Z267" s="57">
        <v>4</v>
      </c>
      <c r="AA267" s="58">
        <v>5</v>
      </c>
      <c r="AB267" s="59">
        <v>5</v>
      </c>
      <c r="AC267" s="42">
        <v>0</v>
      </c>
    </row>
    <row r="268" spans="1:29" x14ac:dyDescent="0.25">
      <c r="A268" s="1">
        <f t="shared" ca="1" si="20"/>
        <v>14865</v>
      </c>
      <c r="B268" s="74">
        <v>7585</v>
      </c>
      <c r="C268" s="74">
        <v>7600</v>
      </c>
      <c r="D268" s="74">
        <v>7584</v>
      </c>
      <c r="E268" s="28">
        <v>267</v>
      </c>
      <c r="F268" s="29">
        <v>244</v>
      </c>
      <c r="G268" s="28">
        <v>279</v>
      </c>
      <c r="H268" s="30">
        <v>246</v>
      </c>
      <c r="I268" s="29">
        <v>269</v>
      </c>
      <c r="J268" s="29">
        <v>248</v>
      </c>
      <c r="K268" s="34">
        <f t="shared" si="19"/>
        <v>81.5</v>
      </c>
      <c r="L268" s="29">
        <v>300</v>
      </c>
      <c r="M268" s="30">
        <v>284</v>
      </c>
      <c r="N268" s="35">
        <v>218</v>
      </c>
      <c r="O268" s="36">
        <v>216</v>
      </c>
      <c r="P268" s="37">
        <v>224</v>
      </c>
      <c r="Q268" s="52">
        <v>83</v>
      </c>
      <c r="R268" s="55">
        <v>76</v>
      </c>
      <c r="S268" s="56">
        <v>84</v>
      </c>
      <c r="T268" s="40" t="s">
        <v>47</v>
      </c>
      <c r="U268" s="38">
        <v>4</v>
      </c>
      <c r="V268" s="41" t="s">
        <v>47</v>
      </c>
      <c r="W268" s="39">
        <v>4</v>
      </c>
      <c r="X268" s="40" t="s">
        <v>46</v>
      </c>
      <c r="Y268" s="39">
        <v>4</v>
      </c>
      <c r="Z268" s="57">
        <v>5</v>
      </c>
      <c r="AA268" s="58">
        <v>4</v>
      </c>
      <c r="AB268" s="59">
        <v>4</v>
      </c>
      <c r="AC268" s="42">
        <v>0</v>
      </c>
    </row>
    <row r="269" spans="1:29" x14ac:dyDescent="0.25">
      <c r="A269" s="1">
        <f t="shared" ca="1" si="20"/>
        <v>14866</v>
      </c>
      <c r="B269" s="74">
        <v>7582</v>
      </c>
      <c r="C269" s="74">
        <v>7585</v>
      </c>
      <c r="D269" s="74">
        <v>7579</v>
      </c>
      <c r="E269" s="28">
        <v>269</v>
      </c>
      <c r="F269" s="29">
        <v>250</v>
      </c>
      <c r="G269" s="28">
        <v>275</v>
      </c>
      <c r="H269" s="30">
        <v>254</v>
      </c>
      <c r="I269" s="29">
        <v>269</v>
      </c>
      <c r="J269" s="29">
        <v>250</v>
      </c>
      <c r="K269" s="34">
        <f t="shared" si="19"/>
        <v>81.3</v>
      </c>
      <c r="L269" s="29">
        <v>300</v>
      </c>
      <c r="M269" s="30">
        <v>284</v>
      </c>
      <c r="N269" s="35">
        <v>228</v>
      </c>
      <c r="O269" s="36">
        <v>233</v>
      </c>
      <c r="P269" s="37">
        <v>228</v>
      </c>
      <c r="Q269" s="52">
        <v>86</v>
      </c>
      <c r="R269" s="55">
        <v>85</v>
      </c>
      <c r="S269" s="56">
        <v>86</v>
      </c>
      <c r="T269" s="40" t="s">
        <v>47</v>
      </c>
      <c r="U269" s="38">
        <v>3</v>
      </c>
      <c r="V269" s="41" t="s">
        <v>46</v>
      </c>
      <c r="W269" s="39">
        <v>3</v>
      </c>
      <c r="X269" s="40" t="s">
        <v>46</v>
      </c>
      <c r="Y269" s="39">
        <v>3</v>
      </c>
      <c r="Z269" s="57">
        <v>5</v>
      </c>
      <c r="AA269" s="58">
        <v>5</v>
      </c>
      <c r="AB269" s="59">
        <v>4</v>
      </c>
      <c r="AC269" s="42">
        <v>0</v>
      </c>
    </row>
    <row r="270" spans="1:29" x14ac:dyDescent="0.25">
      <c r="A270" s="1">
        <f t="shared" ca="1" si="20"/>
        <v>14867</v>
      </c>
      <c r="B270" s="74">
        <v>7569</v>
      </c>
      <c r="C270" s="74">
        <v>7592</v>
      </c>
      <c r="D270" s="74">
        <v>7585</v>
      </c>
      <c r="E270" s="28">
        <v>257</v>
      </c>
      <c r="F270" s="29">
        <v>244</v>
      </c>
      <c r="G270" s="28">
        <v>267</v>
      </c>
      <c r="H270" s="30">
        <v>250</v>
      </c>
      <c r="I270" s="29">
        <v>259</v>
      </c>
      <c r="J270" s="29">
        <v>248</v>
      </c>
      <c r="K270" s="34">
        <f t="shared" si="19"/>
        <v>78.3</v>
      </c>
      <c r="L270" s="29">
        <v>295</v>
      </c>
      <c r="M270" s="30">
        <v>282</v>
      </c>
      <c r="N270" s="35">
        <v>223</v>
      </c>
      <c r="O270" s="36">
        <v>229</v>
      </c>
      <c r="P270" s="37">
        <v>229</v>
      </c>
      <c r="Q270" s="52">
        <v>90</v>
      </c>
      <c r="R270" s="55">
        <v>87</v>
      </c>
      <c r="S270" s="56">
        <v>91</v>
      </c>
      <c r="T270" s="40" t="s">
        <v>47</v>
      </c>
      <c r="U270" s="38">
        <v>3</v>
      </c>
      <c r="V270" s="41" t="s">
        <v>47</v>
      </c>
      <c r="W270" s="39">
        <v>3</v>
      </c>
      <c r="X270" s="40" t="s">
        <v>47</v>
      </c>
      <c r="Y270" s="39">
        <v>3</v>
      </c>
      <c r="Z270" s="57">
        <v>4</v>
      </c>
      <c r="AA270" s="58">
        <v>3</v>
      </c>
      <c r="AB270" s="59">
        <v>3</v>
      </c>
      <c r="AC270" s="42">
        <v>0</v>
      </c>
    </row>
    <row r="271" spans="1:29" x14ac:dyDescent="0.25">
      <c r="A271" s="1">
        <f t="shared" ca="1" si="20"/>
        <v>14868</v>
      </c>
      <c r="B271" s="74">
        <v>7564</v>
      </c>
      <c r="C271" s="74">
        <v>7577</v>
      </c>
      <c r="D271" s="74">
        <v>7569</v>
      </c>
      <c r="E271" s="28">
        <v>255</v>
      </c>
      <c r="F271" s="29">
        <v>242</v>
      </c>
      <c r="G271" s="28">
        <v>265</v>
      </c>
      <c r="H271" s="30">
        <v>248</v>
      </c>
      <c r="I271" s="29">
        <v>259</v>
      </c>
      <c r="J271" s="29">
        <v>242</v>
      </c>
      <c r="K271" s="34">
        <f t="shared" si="19"/>
        <v>77.900000000000006</v>
      </c>
      <c r="L271" s="29">
        <v>294</v>
      </c>
      <c r="M271" s="30">
        <v>276</v>
      </c>
      <c r="N271" s="35">
        <v>220</v>
      </c>
      <c r="O271" s="36">
        <v>226</v>
      </c>
      <c r="P271" s="37">
        <v>218</v>
      </c>
      <c r="Q271" s="52">
        <v>90</v>
      </c>
      <c r="R271" s="55">
        <v>87</v>
      </c>
      <c r="S271" s="56">
        <v>87</v>
      </c>
      <c r="T271" s="40" t="s">
        <v>47</v>
      </c>
      <c r="U271" s="38">
        <v>3</v>
      </c>
      <c r="V271" s="41" t="s">
        <v>47</v>
      </c>
      <c r="W271" s="39">
        <v>3</v>
      </c>
      <c r="X271" s="40" t="s">
        <v>47</v>
      </c>
      <c r="Y271" s="39">
        <v>3</v>
      </c>
      <c r="Z271" s="57">
        <v>4</v>
      </c>
      <c r="AA271" s="58">
        <v>4</v>
      </c>
      <c r="AB271" s="59">
        <v>4</v>
      </c>
      <c r="AC271" s="42">
        <v>0</v>
      </c>
    </row>
    <row r="272" spans="1:29" x14ac:dyDescent="0.25">
      <c r="A272" s="1">
        <f t="shared" ca="1" si="20"/>
        <v>14869</v>
      </c>
      <c r="B272" s="74">
        <v>7574</v>
      </c>
      <c r="C272" s="74">
        <v>7572</v>
      </c>
      <c r="D272" s="74">
        <v>7572</v>
      </c>
      <c r="E272" s="28">
        <v>257</v>
      </c>
      <c r="F272" s="29">
        <v>244</v>
      </c>
      <c r="G272" s="28">
        <v>267</v>
      </c>
      <c r="H272" s="30">
        <v>250</v>
      </c>
      <c r="I272" s="29">
        <v>253</v>
      </c>
      <c r="J272" s="29">
        <v>244</v>
      </c>
      <c r="K272" s="34">
        <f t="shared" si="19"/>
        <v>77.7</v>
      </c>
      <c r="L272" s="29">
        <v>294</v>
      </c>
      <c r="M272" s="30">
        <v>280</v>
      </c>
      <c r="N272" s="35">
        <v>223</v>
      </c>
      <c r="O272" s="36">
        <v>229</v>
      </c>
      <c r="P272" s="37">
        <v>225</v>
      </c>
      <c r="Q272" s="52">
        <v>90</v>
      </c>
      <c r="R272" s="55">
        <v>87</v>
      </c>
      <c r="S272" s="56">
        <v>93</v>
      </c>
      <c r="T272" s="40" t="s">
        <v>47</v>
      </c>
      <c r="U272" s="38">
        <v>3</v>
      </c>
      <c r="V272" s="41" t="s">
        <v>46</v>
      </c>
      <c r="W272" s="39">
        <v>3</v>
      </c>
      <c r="X272" s="40" t="s">
        <v>46</v>
      </c>
      <c r="Y272" s="39">
        <v>3</v>
      </c>
      <c r="Z272" s="57">
        <v>5</v>
      </c>
      <c r="AA272" s="58">
        <v>6</v>
      </c>
      <c r="AB272" s="59">
        <v>6</v>
      </c>
      <c r="AC272" s="42">
        <v>0</v>
      </c>
    </row>
    <row r="273" spans="1:29" x14ac:dyDescent="0.25">
      <c r="A273" s="1">
        <f t="shared" ca="1" si="20"/>
        <v>14870</v>
      </c>
      <c r="B273" s="74">
        <v>7577</v>
      </c>
      <c r="C273" s="74">
        <v>7579</v>
      </c>
      <c r="D273" s="74">
        <v>7572</v>
      </c>
      <c r="E273" s="28">
        <v>277</v>
      </c>
      <c r="F273" s="29">
        <v>248</v>
      </c>
      <c r="G273" s="28">
        <v>281</v>
      </c>
      <c r="H273" s="30">
        <v>252</v>
      </c>
      <c r="I273" s="29">
        <v>277</v>
      </c>
      <c r="J273" s="29">
        <v>248</v>
      </c>
      <c r="K273" s="34">
        <f t="shared" si="19"/>
        <v>83.5</v>
      </c>
      <c r="L273" s="29">
        <v>294</v>
      </c>
      <c r="M273" s="30">
        <v>280</v>
      </c>
      <c r="N273" s="35">
        <v>220</v>
      </c>
      <c r="O273" s="36">
        <v>226</v>
      </c>
      <c r="P273" s="37">
        <v>220</v>
      </c>
      <c r="Q273" s="52">
        <v>79</v>
      </c>
      <c r="R273" s="55">
        <v>79</v>
      </c>
      <c r="S273" s="56">
        <v>79</v>
      </c>
      <c r="T273" s="40" t="s">
        <v>46</v>
      </c>
      <c r="U273" s="38">
        <v>3</v>
      </c>
      <c r="V273" s="41" t="s">
        <v>46</v>
      </c>
      <c r="W273" s="39">
        <v>3</v>
      </c>
      <c r="X273" s="40" t="s">
        <v>46</v>
      </c>
      <c r="Y273" s="39">
        <v>3</v>
      </c>
      <c r="Z273" s="57">
        <v>3</v>
      </c>
      <c r="AA273" s="58">
        <v>2</v>
      </c>
      <c r="AB273" s="59">
        <v>3</v>
      </c>
      <c r="AC273" s="42">
        <v>0</v>
      </c>
    </row>
    <row r="274" spans="1:29" x14ac:dyDescent="0.25">
      <c r="A274" s="1">
        <f t="shared" ca="1" si="20"/>
        <v>14871</v>
      </c>
      <c r="B274" s="74">
        <v>7574</v>
      </c>
      <c r="C274" s="74">
        <v>7574</v>
      </c>
      <c r="D274" s="74">
        <v>7564</v>
      </c>
      <c r="E274" s="28">
        <v>277</v>
      </c>
      <c r="F274" s="29">
        <v>250</v>
      </c>
      <c r="G274" s="28">
        <v>279</v>
      </c>
      <c r="H274" s="30">
        <v>254</v>
      </c>
      <c r="I274" s="29">
        <v>275</v>
      </c>
      <c r="J274" s="29">
        <v>250</v>
      </c>
      <c r="K274" s="34">
        <f t="shared" si="19"/>
        <v>83.1</v>
      </c>
      <c r="L274" s="29">
        <v>294</v>
      </c>
      <c r="M274" s="30">
        <v>280</v>
      </c>
      <c r="N274" s="35">
        <v>224</v>
      </c>
      <c r="O274" s="36">
        <v>231</v>
      </c>
      <c r="P274" s="37">
        <v>225</v>
      </c>
      <c r="Q274" s="52">
        <v>80</v>
      </c>
      <c r="R274" s="55">
        <v>82</v>
      </c>
      <c r="S274" s="56">
        <v>82</v>
      </c>
      <c r="T274" s="40" t="s">
        <v>46</v>
      </c>
      <c r="U274" s="38">
        <v>3</v>
      </c>
      <c r="V274" s="41" t="s">
        <v>46</v>
      </c>
      <c r="W274" s="39">
        <v>3</v>
      </c>
      <c r="X274" s="40" t="s">
        <v>46</v>
      </c>
      <c r="Y274" s="39">
        <v>3</v>
      </c>
      <c r="Z274" s="57">
        <v>4</v>
      </c>
      <c r="AA274" s="58">
        <v>3</v>
      </c>
      <c r="AB274" s="59">
        <v>3</v>
      </c>
      <c r="AC274" s="42">
        <v>0</v>
      </c>
    </row>
    <row r="275" spans="1:29" x14ac:dyDescent="0.25">
      <c r="A275" s="1">
        <f t="shared" ca="1" si="20"/>
        <v>14872</v>
      </c>
      <c r="B275" s="74">
        <v>7574</v>
      </c>
      <c r="C275" s="74">
        <v>7572</v>
      </c>
      <c r="D275" s="74">
        <v>7564</v>
      </c>
      <c r="E275" s="28">
        <v>261</v>
      </c>
      <c r="F275" s="29">
        <v>246</v>
      </c>
      <c r="G275" s="28">
        <v>271</v>
      </c>
      <c r="H275" s="30">
        <v>250</v>
      </c>
      <c r="I275" s="29">
        <v>269</v>
      </c>
      <c r="J275" s="29">
        <v>250</v>
      </c>
      <c r="K275" s="34">
        <f t="shared" si="19"/>
        <v>80.099999999999994</v>
      </c>
      <c r="L275" s="29">
        <v>294</v>
      </c>
      <c r="M275" s="30">
        <v>280</v>
      </c>
      <c r="N275" s="35">
        <v>225</v>
      </c>
      <c r="O275" s="36">
        <v>227</v>
      </c>
      <c r="P275" s="37">
        <v>228</v>
      </c>
      <c r="Q275" s="52">
        <v>88</v>
      </c>
      <c r="R275" s="55">
        <v>84</v>
      </c>
      <c r="S275" s="56">
        <v>86</v>
      </c>
      <c r="T275" s="40" t="s">
        <v>46</v>
      </c>
      <c r="U275" s="38">
        <v>3</v>
      </c>
      <c r="V275" s="41" t="s">
        <v>46</v>
      </c>
      <c r="W275" s="39">
        <v>4</v>
      </c>
      <c r="X275" s="40" t="s">
        <v>46</v>
      </c>
      <c r="Y275" s="39">
        <v>4</v>
      </c>
      <c r="Z275" s="57">
        <v>5</v>
      </c>
      <c r="AA275" s="58">
        <v>4</v>
      </c>
      <c r="AB275" s="59">
        <v>4</v>
      </c>
      <c r="AC275" s="42">
        <v>0</v>
      </c>
    </row>
    <row r="276" spans="1:29" x14ac:dyDescent="0.25">
      <c r="A276" s="1">
        <f t="shared" ca="1" si="20"/>
        <v>14873</v>
      </c>
      <c r="B276" s="74">
        <v>7579</v>
      </c>
      <c r="C276" s="74">
        <v>7579</v>
      </c>
      <c r="D276" s="74">
        <v>7582</v>
      </c>
      <c r="E276" s="28">
        <v>269</v>
      </c>
      <c r="F276" s="29">
        <v>250</v>
      </c>
      <c r="G276" s="28">
        <v>277</v>
      </c>
      <c r="H276" s="30">
        <v>254</v>
      </c>
      <c r="I276" s="29">
        <v>271</v>
      </c>
      <c r="J276" s="29">
        <v>255</v>
      </c>
      <c r="K276" s="34">
        <f t="shared" si="19"/>
        <v>81.7</v>
      </c>
      <c r="L276" s="29">
        <v>305</v>
      </c>
      <c r="M276" s="30">
        <v>290</v>
      </c>
      <c r="N276" s="35">
        <v>228</v>
      </c>
      <c r="O276" s="36">
        <v>232</v>
      </c>
      <c r="P276" s="37">
        <v>237</v>
      </c>
      <c r="Q276" s="52">
        <v>86</v>
      </c>
      <c r="R276" s="55">
        <v>83</v>
      </c>
      <c r="S276" s="56">
        <v>88</v>
      </c>
      <c r="T276" s="40" t="s">
        <v>46</v>
      </c>
      <c r="U276" s="38">
        <v>4</v>
      </c>
      <c r="V276" s="41" t="s">
        <v>47</v>
      </c>
      <c r="W276" s="39">
        <v>5</v>
      </c>
      <c r="X276" s="40" t="s">
        <v>46</v>
      </c>
      <c r="Y276" s="39">
        <v>4</v>
      </c>
      <c r="Z276" s="57">
        <v>4</v>
      </c>
      <c r="AA276" s="58">
        <v>5</v>
      </c>
      <c r="AB276" s="59">
        <v>4</v>
      </c>
      <c r="AC276" s="42">
        <v>0</v>
      </c>
    </row>
    <row r="277" spans="1:29" x14ac:dyDescent="0.25">
      <c r="A277" s="1">
        <f t="shared" ca="1" si="20"/>
        <v>14874</v>
      </c>
      <c r="B277" s="74">
        <v>7587</v>
      </c>
      <c r="C277" s="74">
        <v>7579</v>
      </c>
      <c r="D277" s="74">
        <v>7582</v>
      </c>
      <c r="E277" s="28">
        <v>265</v>
      </c>
      <c r="F277" s="29">
        <v>246</v>
      </c>
      <c r="G277" s="28">
        <v>271</v>
      </c>
      <c r="H277" s="30">
        <v>248</v>
      </c>
      <c r="I277" s="29">
        <v>269</v>
      </c>
      <c r="J277" s="29">
        <v>246</v>
      </c>
      <c r="K277" s="34">
        <f t="shared" si="19"/>
        <v>80.5</v>
      </c>
      <c r="L277" s="29">
        <v>296</v>
      </c>
      <c r="M277" s="30">
        <v>282</v>
      </c>
      <c r="N277" s="35">
        <v>223</v>
      </c>
      <c r="O277" s="36">
        <v>223</v>
      </c>
      <c r="P277" s="37">
        <v>221</v>
      </c>
      <c r="Q277" s="52">
        <v>86</v>
      </c>
      <c r="R277" s="55">
        <v>83</v>
      </c>
      <c r="S277" s="56">
        <v>83</v>
      </c>
      <c r="T277" s="40" t="s">
        <v>46</v>
      </c>
      <c r="U277" s="38">
        <v>4</v>
      </c>
      <c r="V277" s="41" t="s">
        <v>46</v>
      </c>
      <c r="W277" s="39">
        <v>4</v>
      </c>
      <c r="X277" s="40" t="s">
        <v>46</v>
      </c>
      <c r="Y277" s="39">
        <v>4</v>
      </c>
      <c r="Z277" s="57">
        <v>3</v>
      </c>
      <c r="AA277" s="58">
        <v>3</v>
      </c>
      <c r="AB277" s="59">
        <v>3</v>
      </c>
      <c r="AC277" s="42">
        <v>0</v>
      </c>
    </row>
    <row r="278" spans="1:29" x14ac:dyDescent="0.25">
      <c r="A278" s="1">
        <f t="shared" ca="1" si="20"/>
        <v>14875</v>
      </c>
      <c r="B278" s="74">
        <v>7595</v>
      </c>
      <c r="C278" s="74">
        <v>7595</v>
      </c>
      <c r="D278" s="74">
        <v>7587</v>
      </c>
      <c r="E278" s="28">
        <v>271</v>
      </c>
      <c r="F278" s="29">
        <v>248</v>
      </c>
      <c r="G278" s="28">
        <v>281</v>
      </c>
      <c r="H278" s="30">
        <v>252</v>
      </c>
      <c r="I278" s="29">
        <v>273</v>
      </c>
      <c r="J278" s="29">
        <v>248</v>
      </c>
      <c r="K278" s="34">
        <f t="shared" si="19"/>
        <v>82.5</v>
      </c>
      <c r="L278" s="29">
        <v>304</v>
      </c>
      <c r="M278" s="30">
        <v>290</v>
      </c>
      <c r="N278" s="35">
        <v>223</v>
      </c>
      <c r="O278" s="36">
        <v>226</v>
      </c>
      <c r="P278" s="37">
        <v>222</v>
      </c>
      <c r="Q278" s="52">
        <v>83</v>
      </c>
      <c r="R278" s="55">
        <v>79</v>
      </c>
      <c r="S278" s="56">
        <v>82</v>
      </c>
      <c r="T278" s="40" t="s">
        <v>46</v>
      </c>
      <c r="U278" s="38">
        <v>3</v>
      </c>
      <c r="V278" s="41" t="s">
        <v>90</v>
      </c>
      <c r="W278" s="39">
        <v>3</v>
      </c>
      <c r="X278" s="40" t="s">
        <v>90</v>
      </c>
      <c r="Y278" s="39">
        <v>3</v>
      </c>
      <c r="Z278" s="57">
        <v>4</v>
      </c>
      <c r="AA278" s="58">
        <v>5</v>
      </c>
      <c r="AB278" s="59">
        <v>5</v>
      </c>
      <c r="AC278" s="42">
        <v>0</v>
      </c>
    </row>
    <row r="279" spans="1:29" x14ac:dyDescent="0.25">
      <c r="A279" s="1">
        <f t="shared" ca="1" si="20"/>
        <v>14876</v>
      </c>
      <c r="B279" s="74">
        <v>7595</v>
      </c>
      <c r="C279" s="74">
        <v>7600</v>
      </c>
      <c r="D279" s="74">
        <v>7564</v>
      </c>
      <c r="E279" s="28">
        <v>275</v>
      </c>
      <c r="F279" s="29">
        <v>252</v>
      </c>
      <c r="G279" s="28">
        <v>281</v>
      </c>
      <c r="H279" s="30">
        <v>258</v>
      </c>
      <c r="I279" s="29">
        <v>271</v>
      </c>
      <c r="J279" s="29">
        <v>252</v>
      </c>
      <c r="K279" s="34">
        <f t="shared" si="19"/>
        <v>82.7</v>
      </c>
      <c r="L279" s="29">
        <v>300</v>
      </c>
      <c r="M279" s="30">
        <v>287</v>
      </c>
      <c r="N279" s="35">
        <v>229</v>
      </c>
      <c r="O279" s="36">
        <v>238</v>
      </c>
      <c r="P279" s="37">
        <v>231</v>
      </c>
      <c r="Q279" s="52">
        <v>83</v>
      </c>
      <c r="R279" s="55">
        <v>83</v>
      </c>
      <c r="S279" s="56">
        <v>86</v>
      </c>
      <c r="T279" s="40" t="s">
        <v>46</v>
      </c>
      <c r="U279" s="38">
        <v>3</v>
      </c>
      <c r="V279" s="41" t="s">
        <v>46</v>
      </c>
      <c r="W279" s="39">
        <v>3</v>
      </c>
      <c r="X279" s="40" t="s">
        <v>46</v>
      </c>
      <c r="Y279" s="39">
        <v>3</v>
      </c>
      <c r="Z279" s="57">
        <v>5</v>
      </c>
      <c r="AA279" s="58">
        <v>6</v>
      </c>
      <c r="AB279" s="59">
        <v>6</v>
      </c>
      <c r="AC279" s="42">
        <v>0</v>
      </c>
    </row>
    <row r="280" spans="1:29" x14ac:dyDescent="0.25">
      <c r="A280" s="1">
        <f t="shared" ca="1" si="20"/>
        <v>14877</v>
      </c>
      <c r="B280" s="74">
        <v>7592</v>
      </c>
      <c r="C280" s="74">
        <v>7600</v>
      </c>
      <c r="D280" s="74">
        <v>7587</v>
      </c>
      <c r="E280" s="28">
        <v>277</v>
      </c>
      <c r="F280" s="29">
        <v>258</v>
      </c>
      <c r="G280" s="28">
        <v>281</v>
      </c>
      <c r="H280" s="30">
        <v>264</v>
      </c>
      <c r="I280" s="29">
        <v>279</v>
      </c>
      <c r="J280" s="29">
        <v>260</v>
      </c>
      <c r="K280" s="34">
        <f t="shared" si="19"/>
        <v>83.7</v>
      </c>
      <c r="L280" s="29">
        <v>306</v>
      </c>
      <c r="M280" s="30">
        <v>284</v>
      </c>
      <c r="N280" s="35">
        <v>240</v>
      </c>
      <c r="O280" s="36">
        <v>250</v>
      </c>
      <c r="P280" s="37">
        <v>243</v>
      </c>
      <c r="Q280" s="52">
        <v>86</v>
      </c>
      <c r="R280" s="55">
        <v>88</v>
      </c>
      <c r="S280" s="56">
        <v>86</v>
      </c>
      <c r="T280" s="40" t="s">
        <v>46</v>
      </c>
      <c r="U280" s="38">
        <v>3</v>
      </c>
      <c r="V280" s="41" t="s">
        <v>46</v>
      </c>
      <c r="W280" s="39">
        <v>4</v>
      </c>
      <c r="X280" s="40" t="s">
        <v>46</v>
      </c>
      <c r="Y280" s="39">
        <v>4</v>
      </c>
      <c r="Z280" s="57">
        <v>4</v>
      </c>
      <c r="AA280" s="58">
        <v>5</v>
      </c>
      <c r="AB280" s="59">
        <v>4</v>
      </c>
      <c r="AC280" s="42">
        <v>0</v>
      </c>
    </row>
    <row r="281" spans="1:29" x14ac:dyDescent="0.25">
      <c r="A281" s="1">
        <f t="shared" ca="1" si="20"/>
        <v>14878</v>
      </c>
      <c r="B281" s="74">
        <v>7595</v>
      </c>
      <c r="C281" s="74">
        <v>7577</v>
      </c>
      <c r="D281" s="74">
        <v>7597</v>
      </c>
      <c r="E281" s="28">
        <v>277</v>
      </c>
      <c r="F281" s="29">
        <v>260</v>
      </c>
      <c r="G281" s="28">
        <v>279</v>
      </c>
      <c r="H281" s="30">
        <v>262</v>
      </c>
      <c r="I281" s="29">
        <v>279</v>
      </c>
      <c r="J281" s="29">
        <v>262</v>
      </c>
      <c r="K281" s="34">
        <f t="shared" si="19"/>
        <v>83.5</v>
      </c>
      <c r="L281" s="29">
        <v>304</v>
      </c>
      <c r="M281" s="30">
        <v>290</v>
      </c>
      <c r="N281" s="35">
        <v>244</v>
      </c>
      <c r="O281" s="36">
        <v>247</v>
      </c>
      <c r="P281" s="37">
        <v>247</v>
      </c>
      <c r="Q281" s="52">
        <v>87</v>
      </c>
      <c r="R281" s="55">
        <v>88</v>
      </c>
      <c r="S281" s="56">
        <v>88</v>
      </c>
      <c r="T281" s="40" t="s">
        <v>47</v>
      </c>
      <c r="U281" s="38">
        <v>3</v>
      </c>
      <c r="V281" s="41" t="s">
        <v>46</v>
      </c>
      <c r="W281" s="39">
        <v>4</v>
      </c>
      <c r="X281" s="40" t="s">
        <v>90</v>
      </c>
      <c r="Y281" s="39">
        <v>4</v>
      </c>
      <c r="Z281" s="57">
        <v>4</v>
      </c>
      <c r="AA281" s="58">
        <v>5</v>
      </c>
      <c r="AB281" s="59">
        <v>5</v>
      </c>
      <c r="AC281" s="42">
        <v>0</v>
      </c>
    </row>
    <row r="282" spans="1:29" x14ac:dyDescent="0.25">
      <c r="A282" s="1">
        <f t="shared" ca="1" si="20"/>
        <v>14879</v>
      </c>
      <c r="B282" s="74">
        <v>7587</v>
      </c>
      <c r="C282" s="74">
        <v>7592</v>
      </c>
      <c r="D282" s="74">
        <v>7582</v>
      </c>
      <c r="E282" s="28">
        <v>293</v>
      </c>
      <c r="F282" s="29">
        <v>258</v>
      </c>
      <c r="G282" s="28">
        <v>295</v>
      </c>
      <c r="H282" s="30">
        <v>270</v>
      </c>
      <c r="I282" s="29">
        <v>289</v>
      </c>
      <c r="J282" s="29">
        <v>262</v>
      </c>
      <c r="K282" s="34">
        <f t="shared" si="19"/>
        <v>87.7</v>
      </c>
      <c r="L282" s="29">
        <v>314</v>
      </c>
      <c r="M282" s="30">
        <v>300</v>
      </c>
      <c r="N282" s="35">
        <v>232</v>
      </c>
      <c r="O282" s="36">
        <v>255</v>
      </c>
      <c r="P282" s="37">
        <v>246</v>
      </c>
      <c r="Q282" s="52">
        <v>76</v>
      </c>
      <c r="R282" s="55">
        <v>82</v>
      </c>
      <c r="S282" s="56">
        <v>82</v>
      </c>
      <c r="T282" s="40" t="s">
        <v>47</v>
      </c>
      <c r="U282" s="38">
        <v>4</v>
      </c>
      <c r="V282" s="41" t="s">
        <v>46</v>
      </c>
      <c r="W282" s="39">
        <v>5</v>
      </c>
      <c r="X282" s="40" t="s">
        <v>46</v>
      </c>
      <c r="Y282" s="39">
        <v>4</v>
      </c>
      <c r="Z282" s="57">
        <v>3</v>
      </c>
      <c r="AA282" s="58">
        <v>3</v>
      </c>
      <c r="AB282" s="59">
        <v>3</v>
      </c>
      <c r="AC282" s="42">
        <v>0</v>
      </c>
    </row>
    <row r="283" spans="1:29" x14ac:dyDescent="0.25">
      <c r="A283" s="1">
        <f t="shared" ca="1" si="20"/>
        <v>14880</v>
      </c>
      <c r="B283" s="74">
        <v>7585</v>
      </c>
      <c r="C283" s="74">
        <v>7587</v>
      </c>
      <c r="D283" s="74">
        <v>7582</v>
      </c>
      <c r="E283" s="28">
        <v>290</v>
      </c>
      <c r="F283" s="29">
        <v>258</v>
      </c>
      <c r="G283" s="28">
        <v>293</v>
      </c>
      <c r="H283" s="30">
        <v>269</v>
      </c>
      <c r="I283" s="29">
        <v>289</v>
      </c>
      <c r="J283" s="29">
        <v>258</v>
      </c>
      <c r="K283" s="34">
        <f t="shared" si="19"/>
        <v>87.2</v>
      </c>
      <c r="L283" s="29">
        <v>308</v>
      </c>
      <c r="M283" s="30">
        <v>293</v>
      </c>
      <c r="N283" s="35">
        <v>233</v>
      </c>
      <c r="O283" s="36">
        <v>254</v>
      </c>
      <c r="P283" s="37">
        <v>234</v>
      </c>
      <c r="Q283" s="52">
        <v>78</v>
      </c>
      <c r="R283" s="55">
        <v>83</v>
      </c>
      <c r="S283" s="56">
        <v>78</v>
      </c>
      <c r="T283" s="40" t="s">
        <v>47</v>
      </c>
      <c r="U283" s="38">
        <v>3</v>
      </c>
      <c r="V283" s="41" t="s">
        <v>46</v>
      </c>
      <c r="W283" s="39">
        <v>4</v>
      </c>
      <c r="X283" s="40" t="s">
        <v>46</v>
      </c>
      <c r="Y283" s="39">
        <v>4</v>
      </c>
      <c r="Z283" s="57">
        <v>2</v>
      </c>
      <c r="AA283" s="58">
        <v>3</v>
      </c>
      <c r="AB283" s="59">
        <v>3</v>
      </c>
      <c r="AC283" s="42">
        <v>0</v>
      </c>
    </row>
    <row r="284" spans="1:29" x14ac:dyDescent="0.25">
      <c r="A284" s="1">
        <f t="shared" ca="1" si="20"/>
        <v>14881</v>
      </c>
      <c r="B284" s="74">
        <v>7582</v>
      </c>
      <c r="C284" s="74">
        <v>7587</v>
      </c>
      <c r="D284" s="74">
        <v>7582</v>
      </c>
      <c r="E284" s="28">
        <v>291</v>
      </c>
      <c r="F284" s="29">
        <v>258</v>
      </c>
      <c r="G284" s="28">
        <v>295</v>
      </c>
      <c r="H284" s="30">
        <v>268</v>
      </c>
      <c r="I284" s="29">
        <v>289</v>
      </c>
      <c r="J284" s="29">
        <v>256</v>
      </c>
      <c r="K284" s="34">
        <f t="shared" si="19"/>
        <v>87.5</v>
      </c>
      <c r="L284" s="29">
        <v>310</v>
      </c>
      <c r="M284" s="30">
        <v>293</v>
      </c>
      <c r="N284" s="35">
        <v>233</v>
      </c>
      <c r="O284" s="36">
        <v>251</v>
      </c>
      <c r="P284" s="37">
        <v>230</v>
      </c>
      <c r="Q284" s="52">
        <v>77</v>
      </c>
      <c r="R284" s="55">
        <v>89</v>
      </c>
      <c r="S284" s="56">
        <v>77</v>
      </c>
      <c r="T284" s="40" t="s">
        <v>46</v>
      </c>
      <c r="U284" s="38">
        <v>3</v>
      </c>
      <c r="V284" s="41" t="s">
        <v>90</v>
      </c>
      <c r="W284" s="39">
        <v>4</v>
      </c>
      <c r="X284" s="40" t="s">
        <v>90</v>
      </c>
      <c r="Y284" s="39">
        <v>4</v>
      </c>
      <c r="Z284" s="57">
        <v>3</v>
      </c>
      <c r="AA284" s="58">
        <v>3</v>
      </c>
      <c r="AB284" s="59">
        <v>3</v>
      </c>
      <c r="AC284" s="42">
        <v>0</v>
      </c>
    </row>
    <row r="285" spans="1:29" x14ac:dyDescent="0.25">
      <c r="A285" s="1">
        <f t="shared" ca="1" si="20"/>
        <v>14882</v>
      </c>
      <c r="B285" s="74">
        <v>7582</v>
      </c>
      <c r="C285" s="74">
        <v>7582</v>
      </c>
      <c r="D285" s="74">
        <v>7582</v>
      </c>
      <c r="E285" s="28">
        <v>277</v>
      </c>
      <c r="F285" s="29">
        <v>254</v>
      </c>
      <c r="G285" s="28">
        <v>291</v>
      </c>
      <c r="H285" s="30">
        <v>264</v>
      </c>
      <c r="I285" s="29">
        <v>289</v>
      </c>
      <c r="J285" s="29">
        <v>252</v>
      </c>
      <c r="K285" s="34">
        <f t="shared" si="19"/>
        <v>85.7</v>
      </c>
      <c r="L285" s="29">
        <v>304</v>
      </c>
      <c r="M285" s="30">
        <v>290</v>
      </c>
      <c r="N285" s="35">
        <v>232</v>
      </c>
      <c r="O285" s="36">
        <v>245</v>
      </c>
      <c r="P285" s="37">
        <v>222</v>
      </c>
      <c r="Q285" s="52">
        <v>83</v>
      </c>
      <c r="R285" s="55">
        <v>81</v>
      </c>
      <c r="S285" s="56">
        <v>74</v>
      </c>
      <c r="T285" s="40" t="s">
        <v>46</v>
      </c>
      <c r="U285" s="38">
        <v>3</v>
      </c>
      <c r="V285" s="41" t="s">
        <v>46</v>
      </c>
      <c r="W285" s="39">
        <v>4</v>
      </c>
      <c r="X285" s="40" t="s">
        <v>46</v>
      </c>
      <c r="Y285" s="39">
        <v>5</v>
      </c>
      <c r="Z285" s="57">
        <v>2</v>
      </c>
      <c r="AA285" s="58">
        <v>3</v>
      </c>
      <c r="AB285" s="59">
        <v>2</v>
      </c>
      <c r="AC285" s="42">
        <v>0</v>
      </c>
    </row>
    <row r="286" spans="1:29" x14ac:dyDescent="0.25">
      <c r="A286" s="1">
        <f t="shared" ca="1" si="20"/>
        <v>14883</v>
      </c>
      <c r="B286" s="74">
        <v>7579</v>
      </c>
      <c r="C286" s="74">
        <v>7579</v>
      </c>
      <c r="D286" s="74">
        <v>7579</v>
      </c>
      <c r="E286" s="28">
        <v>289</v>
      </c>
      <c r="F286" s="29">
        <v>252</v>
      </c>
      <c r="G286" s="28">
        <v>293</v>
      </c>
      <c r="H286" s="30">
        <v>258</v>
      </c>
      <c r="I286" s="29">
        <v>289</v>
      </c>
      <c r="J286" s="29">
        <v>256</v>
      </c>
      <c r="K286" s="34">
        <f t="shared" si="19"/>
        <v>87.1</v>
      </c>
      <c r="L286" s="29">
        <v>310</v>
      </c>
      <c r="M286" s="30">
        <v>300</v>
      </c>
      <c r="N286" s="35">
        <v>222</v>
      </c>
      <c r="O286" s="36">
        <v>232</v>
      </c>
      <c r="P286" s="37">
        <v>230</v>
      </c>
      <c r="Q286" s="52">
        <v>74</v>
      </c>
      <c r="R286" s="55">
        <v>76</v>
      </c>
      <c r="S286" s="56">
        <v>77</v>
      </c>
      <c r="T286" s="40" t="s">
        <v>90</v>
      </c>
      <c r="U286" s="38">
        <v>4</v>
      </c>
      <c r="V286" s="41" t="s">
        <v>46</v>
      </c>
      <c r="W286" s="39">
        <v>5</v>
      </c>
      <c r="X286" s="40" t="s">
        <v>46</v>
      </c>
      <c r="Y286" s="39">
        <v>6</v>
      </c>
      <c r="Z286" s="57">
        <v>2</v>
      </c>
      <c r="AA286" s="58">
        <v>3</v>
      </c>
      <c r="AB286" s="59">
        <v>2</v>
      </c>
      <c r="AC286" s="42">
        <v>0</v>
      </c>
    </row>
    <row r="287" spans="1:29" x14ac:dyDescent="0.25">
      <c r="A287" s="1">
        <f t="shared" ca="1" si="20"/>
        <v>14884</v>
      </c>
      <c r="B287" s="74">
        <v>7577</v>
      </c>
      <c r="C287" s="74">
        <v>7585</v>
      </c>
      <c r="D287" s="74">
        <v>7579</v>
      </c>
      <c r="E287" s="28">
        <v>269</v>
      </c>
      <c r="F287" s="29">
        <v>260</v>
      </c>
      <c r="G287" s="28">
        <v>275</v>
      </c>
      <c r="H287" s="30">
        <v>264</v>
      </c>
      <c r="I287" s="29">
        <v>271</v>
      </c>
      <c r="J287" s="29">
        <v>258</v>
      </c>
      <c r="K287" s="34">
        <f t="shared" si="19"/>
        <v>81.5</v>
      </c>
      <c r="L287" s="29">
        <v>300</v>
      </c>
      <c r="M287" s="30">
        <v>288</v>
      </c>
      <c r="N287" s="35">
        <v>248</v>
      </c>
      <c r="O287" s="36">
        <v>253</v>
      </c>
      <c r="P287" s="37">
        <v>243</v>
      </c>
      <c r="Q287" s="52">
        <v>93</v>
      </c>
      <c r="R287" s="55">
        <v>92</v>
      </c>
      <c r="S287" s="56">
        <v>90</v>
      </c>
      <c r="T287" s="40" t="s">
        <v>47</v>
      </c>
      <c r="U287" s="38">
        <v>5</v>
      </c>
      <c r="V287" s="41" t="s">
        <v>47</v>
      </c>
      <c r="W287" s="39">
        <v>6</v>
      </c>
      <c r="X287" s="40" t="s">
        <v>85</v>
      </c>
      <c r="Y287" s="39">
        <v>6</v>
      </c>
      <c r="Z287" s="57">
        <v>4</v>
      </c>
      <c r="AA287" s="58">
        <v>5</v>
      </c>
      <c r="AB287" s="59">
        <v>6</v>
      </c>
      <c r="AC287" s="42">
        <v>0</v>
      </c>
    </row>
    <row r="288" spans="1:29" x14ac:dyDescent="0.25">
      <c r="A288" s="1" t="str">
        <f t="shared" ca="1" si="20"/>
        <v>Totaal</v>
      </c>
      <c r="B288" s="75">
        <f>IF(COUNT(B258:B287)&gt;0,AVERAGE(B258:B287)/10,"")</f>
        <v>758.04333333333329</v>
      </c>
      <c r="C288" s="76">
        <f>IF(COUNT(C258:C287)&gt;0,AVERAGE(C258:C287)/10,"")</f>
        <v>758.49666666666667</v>
      </c>
      <c r="D288" s="77">
        <f>IF(COUNT(D258:D287)&gt;0,AVERAGE(D258:D287)/10,"")</f>
        <v>757.9133333333333</v>
      </c>
      <c r="E288" s="31">
        <f t="shared" ref="E288:J288" si="21">IF(COUNT(E258:E287)&gt;0,AVERAGE(E258:E287)/10,"")</f>
        <v>27.360000000000003</v>
      </c>
      <c r="F288" s="32">
        <f t="shared" si="21"/>
        <v>25.286666666666669</v>
      </c>
      <c r="G288" s="31">
        <f t="shared" si="21"/>
        <v>27.986666666666668</v>
      </c>
      <c r="H288" s="33">
        <f t="shared" si="21"/>
        <v>25.743333333333332</v>
      </c>
      <c r="I288" s="32">
        <f t="shared" si="21"/>
        <v>27.376666666666665</v>
      </c>
      <c r="J288" s="32">
        <f t="shared" si="21"/>
        <v>25.356666666666666</v>
      </c>
      <c r="K288" s="46">
        <f>IF(COUNT(K258:K287)&gt;0,SUM(K258:K287),"")</f>
        <v>2481.6999999999994</v>
      </c>
      <c r="L288" s="32">
        <f>IF(COUNT(L258:L287)&gt;0,AVERAGE(L258:L287)/10,"")</f>
        <v>30.189999999999998</v>
      </c>
      <c r="M288" s="32">
        <f>IF(COUNT(M258:M287)&gt;0,AVERAGE(M258:M287)/10,"")</f>
        <v>28.74</v>
      </c>
      <c r="N288" s="47">
        <f>IF(COUNT(N258:N287)&gt;0,AVERAGE(N258:N287)/10,"")</f>
        <v>23.16</v>
      </c>
      <c r="O288" s="48">
        <f>IF(COUNT(O258:O287)&gt;0,AVERAGE(O258:O287)/10,"")</f>
        <v>23.753333333333334</v>
      </c>
      <c r="P288" s="49">
        <f>IF(COUNT(P258:P287)&gt;0,AVERAGE(P258:P287)/10,"")</f>
        <v>23.296666666666667</v>
      </c>
      <c r="Q288" s="51">
        <f>IF(COUNT(Q258:Q287)&gt;0,AVERAGE(Q258:Q287),"")</f>
        <v>84.933333333333337</v>
      </c>
      <c r="R288" s="53">
        <f>IF(COUNT(R258:R287)&gt;0,AVERAGE(R258:R287),"")</f>
        <v>84.033333333333331</v>
      </c>
      <c r="S288" s="54">
        <f>IF(COUNT(S258:S287)&gt;0,AVERAGE(S258:S287),"")</f>
        <v>85.266666666666666</v>
      </c>
      <c r="T288" s="26"/>
      <c r="U288" s="50">
        <f>IF(COUNT(U258:U287)&gt;0,AVERAGE(U258:U287)/10,"")</f>
        <v>0.36</v>
      </c>
      <c r="V288" s="27"/>
      <c r="W288" s="50">
        <f>IF(COUNT(W258:W287)&gt;0,AVERAGE(W258:W287)/10,"")</f>
        <v>0.43</v>
      </c>
      <c r="X288" s="26"/>
      <c r="Y288" s="50">
        <f>IF(COUNT(Y258:Y287)&gt;0,AVERAGE(Y258:Y287)/10,"")</f>
        <v>0.43333333333333329</v>
      </c>
      <c r="Z288" s="60">
        <f>IF(COUNT(Z258:Z287)&gt;0,AVERAGE(Z258:Z287),"")</f>
        <v>3.8666666666666667</v>
      </c>
      <c r="AA288" s="61">
        <f>IF(COUNT(AA258:AA287)&gt;0,AVERAGE(AA258:AA287),"")</f>
        <v>4.166666666666667</v>
      </c>
      <c r="AB288" s="62">
        <f>IF(COUNT(AB258:AB287)&gt;0,AVERAGE(AB258:AB287),"")</f>
        <v>4</v>
      </c>
      <c r="AC288" s="45">
        <f>SUM(AC258:AC287)/10</f>
        <v>0</v>
      </c>
    </row>
    <row r="289" spans="1:29" x14ac:dyDescent="0.25">
      <c r="A289" s="1">
        <f t="shared" ca="1" si="20"/>
        <v>14885</v>
      </c>
      <c r="B289" s="74"/>
      <c r="C289" s="74"/>
      <c r="D289" s="74"/>
      <c r="E289" s="28"/>
      <c r="F289" s="29"/>
      <c r="G289" s="28"/>
      <c r="H289" s="30"/>
      <c r="I289" s="29"/>
      <c r="J289" s="29"/>
      <c r="K289" s="34" t="str">
        <f t="shared" ref="K289:K319" si="22">IF(COUNT(E289,G289,I289)&gt;0,SUM(E289,G289,I289)/10,"")</f>
        <v/>
      </c>
      <c r="L289" s="29"/>
      <c r="M289" s="30"/>
      <c r="N289" s="35"/>
      <c r="O289" s="36"/>
      <c r="P289" s="37"/>
      <c r="Q289" s="52"/>
      <c r="R289" s="55"/>
      <c r="S289" s="56"/>
      <c r="T289" s="40"/>
      <c r="U289" s="38"/>
      <c r="V289" s="41"/>
      <c r="W289" s="39"/>
      <c r="X289" s="40"/>
      <c r="Y289" s="39"/>
      <c r="Z289" s="57"/>
      <c r="AA289" s="58"/>
      <c r="AB289" s="59"/>
      <c r="AC289" s="42"/>
    </row>
    <row r="290" spans="1:29" x14ac:dyDescent="0.25">
      <c r="A290" s="1">
        <f t="shared" ca="1" si="20"/>
        <v>14886</v>
      </c>
      <c r="B290" s="74"/>
      <c r="C290" s="74"/>
      <c r="D290" s="74"/>
      <c r="E290" s="28"/>
      <c r="F290" s="29"/>
      <c r="G290" s="28"/>
      <c r="H290" s="30"/>
      <c r="I290" s="29"/>
      <c r="J290" s="29"/>
      <c r="K290" s="34" t="str">
        <f t="shared" si="22"/>
        <v/>
      </c>
      <c r="L290" s="29"/>
      <c r="M290" s="30"/>
      <c r="N290" s="35"/>
      <c r="O290" s="36"/>
      <c r="P290" s="37"/>
      <c r="Q290" s="52"/>
      <c r="R290" s="55"/>
      <c r="S290" s="56"/>
      <c r="T290" s="40"/>
      <c r="U290" s="38"/>
      <c r="V290" s="41"/>
      <c r="W290" s="39"/>
      <c r="X290" s="40"/>
      <c r="Y290" s="39"/>
      <c r="Z290" s="57"/>
      <c r="AA290" s="58"/>
      <c r="AB290" s="59"/>
      <c r="AC290" s="42"/>
    </row>
    <row r="291" spans="1:29" x14ac:dyDescent="0.25">
      <c r="A291" s="1">
        <f t="shared" ca="1" si="20"/>
        <v>14887</v>
      </c>
      <c r="B291" s="74"/>
      <c r="C291" s="74"/>
      <c r="D291" s="74"/>
      <c r="E291" s="28"/>
      <c r="F291" s="29"/>
      <c r="G291" s="28"/>
      <c r="H291" s="30"/>
      <c r="I291" s="29"/>
      <c r="J291" s="29"/>
      <c r="K291" s="34" t="str">
        <f t="shared" si="22"/>
        <v/>
      </c>
      <c r="L291" s="29"/>
      <c r="M291" s="30"/>
      <c r="N291" s="35"/>
      <c r="O291" s="36"/>
      <c r="P291" s="37"/>
      <c r="Q291" s="52"/>
      <c r="R291" s="55"/>
      <c r="S291" s="56"/>
      <c r="T291" s="40"/>
      <c r="U291" s="38"/>
      <c r="V291" s="41"/>
      <c r="W291" s="39"/>
      <c r="X291" s="40"/>
      <c r="Y291" s="39"/>
      <c r="Z291" s="57"/>
      <c r="AA291" s="58"/>
      <c r="AB291" s="59"/>
      <c r="AC291" s="42"/>
    </row>
    <row r="292" spans="1:29" x14ac:dyDescent="0.25">
      <c r="A292" s="1">
        <f t="shared" ca="1" si="20"/>
        <v>14888</v>
      </c>
      <c r="B292" s="74"/>
      <c r="C292" s="74"/>
      <c r="D292" s="74"/>
      <c r="E292" s="28"/>
      <c r="F292" s="29"/>
      <c r="G292" s="28"/>
      <c r="H292" s="30"/>
      <c r="I292" s="29"/>
      <c r="J292" s="29"/>
      <c r="K292" s="34" t="str">
        <f t="shared" si="22"/>
        <v/>
      </c>
      <c r="L292" s="29"/>
      <c r="M292" s="30"/>
      <c r="N292" s="35"/>
      <c r="O292" s="36"/>
      <c r="P292" s="37"/>
      <c r="Q292" s="52"/>
      <c r="R292" s="55"/>
      <c r="S292" s="56"/>
      <c r="T292" s="40"/>
      <c r="U292" s="38"/>
      <c r="V292" s="41"/>
      <c r="W292" s="39"/>
      <c r="X292" s="40"/>
      <c r="Y292" s="39"/>
      <c r="Z292" s="57"/>
      <c r="AA292" s="58"/>
      <c r="AB292" s="59"/>
      <c r="AC292" s="42"/>
    </row>
    <row r="293" spans="1:29" x14ac:dyDescent="0.25">
      <c r="A293" s="1">
        <f t="shared" ca="1" si="20"/>
        <v>14889</v>
      </c>
      <c r="B293" s="74"/>
      <c r="C293" s="74"/>
      <c r="D293" s="74"/>
      <c r="E293" s="28"/>
      <c r="F293" s="29"/>
      <c r="G293" s="28"/>
      <c r="H293" s="30"/>
      <c r="I293" s="29"/>
      <c r="J293" s="29"/>
      <c r="K293" s="34" t="str">
        <f t="shared" si="22"/>
        <v/>
      </c>
      <c r="L293" s="29"/>
      <c r="M293" s="30"/>
      <c r="N293" s="35"/>
      <c r="O293" s="36"/>
      <c r="P293" s="37"/>
      <c r="Q293" s="52"/>
      <c r="R293" s="55"/>
      <c r="S293" s="56"/>
      <c r="T293" s="40"/>
      <c r="U293" s="38"/>
      <c r="V293" s="41"/>
      <c r="W293" s="39"/>
      <c r="X293" s="40"/>
      <c r="Y293" s="39"/>
      <c r="Z293" s="57"/>
      <c r="AA293" s="58"/>
      <c r="AB293" s="59"/>
      <c r="AC293" s="42"/>
    </row>
    <row r="294" spans="1:29" x14ac:dyDescent="0.25">
      <c r="A294" s="1">
        <f t="shared" ca="1" si="20"/>
        <v>14890</v>
      </c>
      <c r="B294" s="74"/>
      <c r="C294" s="74"/>
      <c r="D294" s="74"/>
      <c r="E294" s="28"/>
      <c r="F294" s="29"/>
      <c r="G294" s="28"/>
      <c r="H294" s="30"/>
      <c r="I294" s="29"/>
      <c r="J294" s="29"/>
      <c r="K294" s="34" t="str">
        <f t="shared" si="22"/>
        <v/>
      </c>
      <c r="L294" s="29"/>
      <c r="M294" s="30"/>
      <c r="N294" s="35"/>
      <c r="O294" s="36"/>
      <c r="P294" s="37"/>
      <c r="Q294" s="52"/>
      <c r="R294" s="55"/>
      <c r="S294" s="56"/>
      <c r="T294" s="40"/>
      <c r="U294" s="38"/>
      <c r="V294" s="41"/>
      <c r="W294" s="39"/>
      <c r="X294" s="40"/>
      <c r="Y294" s="39"/>
      <c r="Z294" s="57"/>
      <c r="AA294" s="58"/>
      <c r="AB294" s="59"/>
      <c r="AC294" s="42"/>
    </row>
    <row r="295" spans="1:29" x14ac:dyDescent="0.25">
      <c r="A295" s="1">
        <f t="shared" ca="1" si="20"/>
        <v>14891</v>
      </c>
      <c r="B295" s="74"/>
      <c r="C295" s="74"/>
      <c r="D295" s="74"/>
      <c r="E295" s="28"/>
      <c r="F295" s="29"/>
      <c r="G295" s="28"/>
      <c r="H295" s="30"/>
      <c r="I295" s="29"/>
      <c r="J295" s="29"/>
      <c r="K295" s="34" t="str">
        <f t="shared" si="22"/>
        <v/>
      </c>
      <c r="L295" s="29"/>
      <c r="M295" s="30"/>
      <c r="N295" s="35"/>
      <c r="O295" s="36"/>
      <c r="P295" s="37"/>
      <c r="Q295" s="52"/>
      <c r="R295" s="55"/>
      <c r="S295" s="56"/>
      <c r="T295" s="40"/>
      <c r="U295" s="38"/>
      <c r="V295" s="41"/>
      <c r="W295" s="39"/>
      <c r="X295" s="40"/>
      <c r="Y295" s="39"/>
      <c r="Z295" s="57"/>
      <c r="AA295" s="58"/>
      <c r="AB295" s="59"/>
      <c r="AC295" s="42"/>
    </row>
    <row r="296" spans="1:29" x14ac:dyDescent="0.25">
      <c r="A296" s="1">
        <f t="shared" ca="1" si="20"/>
        <v>14892</v>
      </c>
      <c r="B296" s="74"/>
      <c r="C296" s="74"/>
      <c r="D296" s="74"/>
      <c r="E296" s="28"/>
      <c r="F296" s="29"/>
      <c r="G296" s="28"/>
      <c r="H296" s="30"/>
      <c r="I296" s="29"/>
      <c r="J296" s="29"/>
      <c r="K296" s="34" t="str">
        <f t="shared" si="22"/>
        <v/>
      </c>
      <c r="L296" s="29"/>
      <c r="M296" s="30"/>
      <c r="N296" s="35"/>
      <c r="O296" s="36"/>
      <c r="P296" s="37"/>
      <c r="Q296" s="52"/>
      <c r="R296" s="55"/>
      <c r="S296" s="56"/>
      <c r="T296" s="40"/>
      <c r="U296" s="38"/>
      <c r="V296" s="41"/>
      <c r="W296" s="39"/>
      <c r="X296" s="40"/>
      <c r="Y296" s="39"/>
      <c r="Z296" s="57"/>
      <c r="AA296" s="58"/>
      <c r="AB296" s="59"/>
      <c r="AC296" s="42"/>
    </row>
    <row r="297" spans="1:29" x14ac:dyDescent="0.25">
      <c r="A297" s="1">
        <f t="shared" ca="1" si="20"/>
        <v>14893</v>
      </c>
      <c r="B297" s="74"/>
      <c r="C297" s="74"/>
      <c r="D297" s="74"/>
      <c r="E297" s="28"/>
      <c r="F297" s="29"/>
      <c r="G297" s="28"/>
      <c r="H297" s="30"/>
      <c r="I297" s="29"/>
      <c r="J297" s="29"/>
      <c r="K297" s="34" t="str">
        <f t="shared" si="22"/>
        <v/>
      </c>
      <c r="L297" s="29"/>
      <c r="M297" s="30"/>
      <c r="N297" s="35"/>
      <c r="O297" s="36"/>
      <c r="P297" s="37"/>
      <c r="Q297" s="52"/>
      <c r="R297" s="55"/>
      <c r="S297" s="56"/>
      <c r="T297" s="40"/>
      <c r="U297" s="38"/>
      <c r="V297" s="41"/>
      <c r="W297" s="39"/>
      <c r="X297" s="40"/>
      <c r="Y297" s="39"/>
      <c r="Z297" s="57"/>
      <c r="AA297" s="58"/>
      <c r="AB297" s="59"/>
      <c r="AC297" s="42"/>
    </row>
    <row r="298" spans="1:29" x14ac:dyDescent="0.25">
      <c r="A298" s="1">
        <f t="shared" ca="1" si="20"/>
        <v>14894</v>
      </c>
      <c r="B298" s="74"/>
      <c r="C298" s="74"/>
      <c r="D298" s="74"/>
      <c r="E298" s="28"/>
      <c r="F298" s="29"/>
      <c r="G298" s="28"/>
      <c r="H298" s="30"/>
      <c r="I298" s="29"/>
      <c r="J298" s="29"/>
      <c r="K298" s="34" t="str">
        <f t="shared" si="22"/>
        <v/>
      </c>
      <c r="L298" s="29"/>
      <c r="M298" s="30"/>
      <c r="N298" s="35"/>
      <c r="O298" s="36"/>
      <c r="P298" s="37"/>
      <c r="Q298" s="52"/>
      <c r="R298" s="55"/>
      <c r="S298" s="56"/>
      <c r="T298" s="40"/>
      <c r="U298" s="38"/>
      <c r="V298" s="41"/>
      <c r="W298" s="39"/>
      <c r="X298" s="40"/>
      <c r="Y298" s="39"/>
      <c r="Z298" s="57"/>
      <c r="AA298" s="58"/>
      <c r="AB298" s="59"/>
      <c r="AC298" s="42"/>
    </row>
    <row r="299" spans="1:29" x14ac:dyDescent="0.25">
      <c r="A299" s="1">
        <f t="shared" ca="1" si="20"/>
        <v>14895</v>
      </c>
      <c r="B299" s="74"/>
      <c r="C299" s="74"/>
      <c r="D299" s="74"/>
      <c r="E299" s="28"/>
      <c r="F299" s="29"/>
      <c r="G299" s="28"/>
      <c r="H299" s="30"/>
      <c r="I299" s="29"/>
      <c r="J299" s="29"/>
      <c r="K299" s="34" t="str">
        <f t="shared" si="22"/>
        <v/>
      </c>
      <c r="L299" s="29"/>
      <c r="M299" s="30"/>
      <c r="N299" s="35"/>
      <c r="O299" s="36"/>
      <c r="P299" s="37"/>
      <c r="Q299" s="52"/>
      <c r="R299" s="55"/>
      <c r="S299" s="56"/>
      <c r="T299" s="40"/>
      <c r="U299" s="38"/>
      <c r="V299" s="41"/>
      <c r="W299" s="39"/>
      <c r="X299" s="40"/>
      <c r="Y299" s="39"/>
      <c r="Z299" s="57"/>
      <c r="AA299" s="58"/>
      <c r="AB299" s="59"/>
      <c r="AC299" s="42"/>
    </row>
    <row r="300" spans="1:29" x14ac:dyDescent="0.25">
      <c r="A300" s="1">
        <f t="shared" ca="1" si="20"/>
        <v>14896</v>
      </c>
      <c r="B300" s="74"/>
      <c r="C300" s="74"/>
      <c r="D300" s="74"/>
      <c r="E300" s="28"/>
      <c r="F300" s="29"/>
      <c r="G300" s="28"/>
      <c r="H300" s="30"/>
      <c r="I300" s="29"/>
      <c r="J300" s="29"/>
      <c r="K300" s="34" t="str">
        <f t="shared" si="22"/>
        <v/>
      </c>
      <c r="L300" s="29"/>
      <c r="M300" s="30"/>
      <c r="N300" s="35"/>
      <c r="O300" s="36"/>
      <c r="P300" s="37"/>
      <c r="Q300" s="52"/>
      <c r="R300" s="55"/>
      <c r="S300" s="56"/>
      <c r="T300" s="40"/>
      <c r="U300" s="38"/>
      <c r="V300" s="41"/>
      <c r="W300" s="39"/>
      <c r="X300" s="40"/>
      <c r="Y300" s="39"/>
      <c r="Z300" s="57"/>
      <c r="AA300" s="58"/>
      <c r="AB300" s="59"/>
      <c r="AC300" s="42"/>
    </row>
    <row r="301" spans="1:29" x14ac:dyDescent="0.25">
      <c r="A301" s="1">
        <f t="shared" ca="1" si="20"/>
        <v>14897</v>
      </c>
      <c r="B301" s="74"/>
      <c r="C301" s="74"/>
      <c r="D301" s="74"/>
      <c r="E301" s="28"/>
      <c r="F301" s="29"/>
      <c r="G301" s="28"/>
      <c r="H301" s="30"/>
      <c r="I301" s="29"/>
      <c r="J301" s="29"/>
      <c r="K301" s="34" t="str">
        <f t="shared" si="22"/>
        <v/>
      </c>
      <c r="L301" s="29"/>
      <c r="M301" s="30"/>
      <c r="N301" s="35"/>
      <c r="O301" s="36"/>
      <c r="P301" s="37"/>
      <c r="Q301" s="52"/>
      <c r="R301" s="55"/>
      <c r="S301" s="56"/>
      <c r="T301" s="40"/>
      <c r="U301" s="38"/>
      <c r="V301" s="41"/>
      <c r="W301" s="39"/>
      <c r="X301" s="40"/>
      <c r="Y301" s="39"/>
      <c r="Z301" s="57"/>
      <c r="AA301" s="58"/>
      <c r="AB301" s="59"/>
      <c r="AC301" s="42"/>
    </row>
    <row r="302" spans="1:29" x14ac:dyDescent="0.25">
      <c r="A302" s="1">
        <f t="shared" ca="1" si="20"/>
        <v>14898</v>
      </c>
      <c r="B302" s="74"/>
      <c r="C302" s="74"/>
      <c r="D302" s="74"/>
      <c r="E302" s="28"/>
      <c r="F302" s="29"/>
      <c r="G302" s="28"/>
      <c r="H302" s="30"/>
      <c r="I302" s="29"/>
      <c r="J302" s="29"/>
      <c r="K302" s="34" t="str">
        <f t="shared" si="22"/>
        <v/>
      </c>
      <c r="L302" s="29"/>
      <c r="M302" s="30"/>
      <c r="N302" s="35"/>
      <c r="O302" s="36"/>
      <c r="P302" s="37"/>
      <c r="Q302" s="52"/>
      <c r="R302" s="55"/>
      <c r="S302" s="56"/>
      <c r="T302" s="40"/>
      <c r="U302" s="38"/>
      <c r="V302" s="41"/>
      <c r="W302" s="39"/>
      <c r="X302" s="40"/>
      <c r="Y302" s="39"/>
      <c r="Z302" s="57"/>
      <c r="AA302" s="58"/>
      <c r="AB302" s="59"/>
      <c r="AC302" s="42"/>
    </row>
    <row r="303" spans="1:29" x14ac:dyDescent="0.25">
      <c r="A303" s="1">
        <f t="shared" ca="1" si="20"/>
        <v>14899</v>
      </c>
      <c r="B303" s="74"/>
      <c r="C303" s="74"/>
      <c r="D303" s="74"/>
      <c r="E303" s="28"/>
      <c r="F303" s="29"/>
      <c r="G303" s="28"/>
      <c r="H303" s="30"/>
      <c r="I303" s="29"/>
      <c r="J303" s="29"/>
      <c r="K303" s="34" t="str">
        <f t="shared" si="22"/>
        <v/>
      </c>
      <c r="L303" s="29"/>
      <c r="M303" s="30"/>
      <c r="N303" s="35"/>
      <c r="O303" s="36"/>
      <c r="P303" s="37"/>
      <c r="Q303" s="52"/>
      <c r="R303" s="55"/>
      <c r="S303" s="56"/>
      <c r="T303" s="40"/>
      <c r="U303" s="38"/>
      <c r="V303" s="41"/>
      <c r="W303" s="39"/>
      <c r="X303" s="40"/>
      <c r="Y303" s="39"/>
      <c r="Z303" s="57"/>
      <c r="AA303" s="58"/>
      <c r="AB303" s="59"/>
      <c r="AC303" s="42"/>
    </row>
    <row r="304" spans="1:29" x14ac:dyDescent="0.25">
      <c r="A304" s="1">
        <f t="shared" ca="1" si="20"/>
        <v>14900</v>
      </c>
      <c r="B304" s="74"/>
      <c r="C304" s="74"/>
      <c r="D304" s="74"/>
      <c r="E304" s="28"/>
      <c r="F304" s="29"/>
      <c r="G304" s="28"/>
      <c r="H304" s="30"/>
      <c r="I304" s="29"/>
      <c r="J304" s="29"/>
      <c r="K304" s="34" t="str">
        <f t="shared" si="22"/>
        <v/>
      </c>
      <c r="L304" s="29"/>
      <c r="M304" s="30"/>
      <c r="N304" s="35"/>
      <c r="O304" s="36"/>
      <c r="P304" s="37"/>
      <c r="Q304" s="52"/>
      <c r="R304" s="55"/>
      <c r="S304" s="56"/>
      <c r="T304" s="40"/>
      <c r="U304" s="38"/>
      <c r="V304" s="41"/>
      <c r="W304" s="39"/>
      <c r="X304" s="40"/>
      <c r="Y304" s="39"/>
      <c r="Z304" s="57"/>
      <c r="AA304" s="58"/>
      <c r="AB304" s="59"/>
      <c r="AC304" s="42"/>
    </row>
    <row r="305" spans="1:29" x14ac:dyDescent="0.25">
      <c r="A305" s="1">
        <f t="shared" ca="1" si="20"/>
        <v>14901</v>
      </c>
      <c r="B305" s="74"/>
      <c r="C305" s="74"/>
      <c r="D305" s="74"/>
      <c r="E305" s="28"/>
      <c r="F305" s="29"/>
      <c r="G305" s="28"/>
      <c r="H305" s="30"/>
      <c r="I305" s="29"/>
      <c r="J305" s="29"/>
      <c r="K305" s="34" t="str">
        <f t="shared" si="22"/>
        <v/>
      </c>
      <c r="L305" s="29"/>
      <c r="M305" s="30"/>
      <c r="N305" s="35"/>
      <c r="O305" s="36"/>
      <c r="P305" s="37"/>
      <c r="Q305" s="52"/>
      <c r="R305" s="55"/>
      <c r="S305" s="56"/>
      <c r="T305" s="40"/>
      <c r="U305" s="38"/>
      <c r="V305" s="41"/>
      <c r="W305" s="39"/>
      <c r="X305" s="40"/>
      <c r="Y305" s="39"/>
      <c r="Z305" s="57"/>
      <c r="AA305" s="58"/>
      <c r="AB305" s="59"/>
      <c r="AC305" s="42"/>
    </row>
    <row r="306" spans="1:29" x14ac:dyDescent="0.25">
      <c r="A306" s="1">
        <f t="shared" ca="1" si="20"/>
        <v>14902</v>
      </c>
      <c r="B306" s="74"/>
      <c r="C306" s="74"/>
      <c r="D306" s="74"/>
      <c r="E306" s="28"/>
      <c r="F306" s="29"/>
      <c r="G306" s="28"/>
      <c r="H306" s="30"/>
      <c r="I306" s="29"/>
      <c r="J306" s="29"/>
      <c r="K306" s="34" t="str">
        <f t="shared" si="22"/>
        <v/>
      </c>
      <c r="L306" s="29"/>
      <c r="M306" s="30"/>
      <c r="N306" s="35"/>
      <c r="O306" s="36"/>
      <c r="P306" s="37"/>
      <c r="Q306" s="52"/>
      <c r="R306" s="55"/>
      <c r="S306" s="56"/>
      <c r="T306" s="40"/>
      <c r="U306" s="38"/>
      <c r="V306" s="41"/>
      <c r="W306" s="39"/>
      <c r="X306" s="40"/>
      <c r="Y306" s="39"/>
      <c r="Z306" s="57"/>
      <c r="AA306" s="58"/>
      <c r="AB306" s="59"/>
      <c r="AC306" s="42"/>
    </row>
    <row r="307" spans="1:29" x14ac:dyDescent="0.25">
      <c r="A307" s="1">
        <f t="shared" ca="1" si="20"/>
        <v>14903</v>
      </c>
      <c r="B307" s="74"/>
      <c r="C307" s="74"/>
      <c r="D307" s="74"/>
      <c r="E307" s="28"/>
      <c r="F307" s="29"/>
      <c r="G307" s="28"/>
      <c r="H307" s="30"/>
      <c r="I307" s="29"/>
      <c r="J307" s="29"/>
      <c r="K307" s="34" t="str">
        <f t="shared" si="22"/>
        <v/>
      </c>
      <c r="L307" s="29"/>
      <c r="M307" s="30"/>
      <c r="N307" s="35"/>
      <c r="O307" s="36"/>
      <c r="P307" s="37"/>
      <c r="Q307" s="52"/>
      <c r="R307" s="55"/>
      <c r="S307" s="56"/>
      <c r="T307" s="40"/>
      <c r="U307" s="38"/>
      <c r="V307" s="41"/>
      <c r="W307" s="39"/>
      <c r="X307" s="40"/>
      <c r="Y307" s="39"/>
      <c r="Z307" s="57"/>
      <c r="AA307" s="58"/>
      <c r="AB307" s="59"/>
      <c r="AC307" s="42"/>
    </row>
    <row r="308" spans="1:29" x14ac:dyDescent="0.25">
      <c r="A308" s="1">
        <f t="shared" ca="1" si="20"/>
        <v>14904</v>
      </c>
      <c r="B308" s="74"/>
      <c r="C308" s="74"/>
      <c r="D308" s="74"/>
      <c r="E308" s="28"/>
      <c r="F308" s="29"/>
      <c r="G308" s="28"/>
      <c r="H308" s="30"/>
      <c r="I308" s="29"/>
      <c r="J308" s="29"/>
      <c r="K308" s="34" t="str">
        <f t="shared" si="22"/>
        <v/>
      </c>
      <c r="L308" s="29"/>
      <c r="M308" s="30"/>
      <c r="N308" s="35"/>
      <c r="O308" s="36"/>
      <c r="P308" s="37"/>
      <c r="Q308" s="52"/>
      <c r="R308" s="55"/>
      <c r="S308" s="56"/>
      <c r="T308" s="40"/>
      <c r="U308" s="38"/>
      <c r="V308" s="41"/>
      <c r="W308" s="39"/>
      <c r="X308" s="40"/>
      <c r="Y308" s="39"/>
      <c r="Z308" s="57"/>
      <c r="AA308" s="58"/>
      <c r="AB308" s="59"/>
      <c r="AC308" s="42"/>
    </row>
    <row r="309" spans="1:29" x14ac:dyDescent="0.25">
      <c r="A309" s="1">
        <f t="shared" ca="1" si="20"/>
        <v>14905</v>
      </c>
      <c r="B309" s="74"/>
      <c r="C309" s="74"/>
      <c r="D309" s="74"/>
      <c r="E309" s="28"/>
      <c r="F309" s="29"/>
      <c r="G309" s="28"/>
      <c r="H309" s="30"/>
      <c r="I309" s="29"/>
      <c r="J309" s="29"/>
      <c r="K309" s="34" t="str">
        <f t="shared" si="22"/>
        <v/>
      </c>
      <c r="L309" s="29"/>
      <c r="M309" s="30"/>
      <c r="N309" s="35"/>
      <c r="O309" s="36"/>
      <c r="P309" s="37"/>
      <c r="Q309" s="52"/>
      <c r="R309" s="55"/>
      <c r="S309" s="56"/>
      <c r="T309" s="40"/>
      <c r="U309" s="38"/>
      <c r="V309" s="41"/>
      <c r="W309" s="39"/>
      <c r="X309" s="40"/>
      <c r="Y309" s="39"/>
      <c r="Z309" s="57"/>
      <c r="AA309" s="58"/>
      <c r="AB309" s="59"/>
      <c r="AC309" s="42"/>
    </row>
    <row r="310" spans="1:29" x14ac:dyDescent="0.25">
      <c r="A310" s="1">
        <f t="shared" ca="1" si="20"/>
        <v>14906</v>
      </c>
      <c r="B310" s="74"/>
      <c r="C310" s="74"/>
      <c r="D310" s="74"/>
      <c r="E310" s="28"/>
      <c r="F310" s="29"/>
      <c r="G310" s="28"/>
      <c r="H310" s="30"/>
      <c r="I310" s="29"/>
      <c r="J310" s="29"/>
      <c r="K310" s="34" t="str">
        <f t="shared" si="22"/>
        <v/>
      </c>
      <c r="L310" s="29"/>
      <c r="M310" s="30"/>
      <c r="N310" s="35"/>
      <c r="O310" s="36"/>
      <c r="P310" s="37"/>
      <c r="Q310" s="52"/>
      <c r="R310" s="55"/>
      <c r="S310" s="56"/>
      <c r="T310" s="40"/>
      <c r="U310" s="38"/>
      <c r="V310" s="41"/>
      <c r="W310" s="39"/>
      <c r="X310" s="40"/>
      <c r="Y310" s="39"/>
      <c r="Z310" s="57"/>
      <c r="AA310" s="58"/>
      <c r="AB310" s="59"/>
      <c r="AC310" s="42"/>
    </row>
    <row r="311" spans="1:29" x14ac:dyDescent="0.25">
      <c r="A311" s="1">
        <f t="shared" ca="1" si="20"/>
        <v>14907</v>
      </c>
      <c r="B311" s="74"/>
      <c r="C311" s="74"/>
      <c r="D311" s="74"/>
      <c r="E311" s="28"/>
      <c r="F311" s="29"/>
      <c r="G311" s="28"/>
      <c r="H311" s="30"/>
      <c r="I311" s="29"/>
      <c r="J311" s="29"/>
      <c r="K311" s="34" t="str">
        <f t="shared" si="22"/>
        <v/>
      </c>
      <c r="L311" s="29"/>
      <c r="M311" s="30"/>
      <c r="N311" s="35"/>
      <c r="O311" s="36"/>
      <c r="P311" s="37"/>
      <c r="Q311" s="52"/>
      <c r="R311" s="55"/>
      <c r="S311" s="56"/>
      <c r="T311" s="40"/>
      <c r="U311" s="38"/>
      <c r="V311" s="41"/>
      <c r="W311" s="39"/>
      <c r="X311" s="40"/>
      <c r="Y311" s="39"/>
      <c r="Z311" s="57"/>
      <c r="AA311" s="58"/>
      <c r="AB311" s="59"/>
      <c r="AC311" s="42"/>
    </row>
    <row r="312" spans="1:29" x14ac:dyDescent="0.25">
      <c r="A312" s="1">
        <f t="shared" ca="1" si="20"/>
        <v>14908</v>
      </c>
      <c r="B312" s="74"/>
      <c r="C312" s="74"/>
      <c r="D312" s="74"/>
      <c r="E312" s="28"/>
      <c r="F312" s="29"/>
      <c r="G312" s="28"/>
      <c r="H312" s="30"/>
      <c r="I312" s="29"/>
      <c r="J312" s="29"/>
      <c r="K312" s="34" t="str">
        <f t="shared" si="22"/>
        <v/>
      </c>
      <c r="L312" s="29"/>
      <c r="M312" s="30"/>
      <c r="N312" s="35"/>
      <c r="O312" s="36"/>
      <c r="P312" s="37"/>
      <c r="Q312" s="52"/>
      <c r="R312" s="55"/>
      <c r="S312" s="56"/>
      <c r="T312" s="40"/>
      <c r="U312" s="38"/>
      <c r="V312" s="41"/>
      <c r="W312" s="39"/>
      <c r="X312" s="40"/>
      <c r="Y312" s="39"/>
      <c r="Z312" s="57"/>
      <c r="AA312" s="58"/>
      <c r="AB312" s="59"/>
      <c r="AC312" s="42"/>
    </row>
    <row r="313" spans="1:29" x14ac:dyDescent="0.25">
      <c r="A313" s="1">
        <f t="shared" ca="1" si="20"/>
        <v>14909</v>
      </c>
      <c r="B313" s="74"/>
      <c r="C313" s="74"/>
      <c r="D313" s="74"/>
      <c r="E313" s="28"/>
      <c r="F313" s="29"/>
      <c r="G313" s="28"/>
      <c r="H313" s="30"/>
      <c r="I313" s="29"/>
      <c r="J313" s="29"/>
      <c r="K313" s="34" t="str">
        <f t="shared" si="22"/>
        <v/>
      </c>
      <c r="L313" s="29"/>
      <c r="M313" s="30"/>
      <c r="N313" s="35"/>
      <c r="O313" s="36"/>
      <c r="P313" s="37"/>
      <c r="Q313" s="52"/>
      <c r="R313" s="55"/>
      <c r="S313" s="56"/>
      <c r="T313" s="40"/>
      <c r="U313" s="38"/>
      <c r="V313" s="41"/>
      <c r="W313" s="39"/>
      <c r="X313" s="40"/>
      <c r="Y313" s="39"/>
      <c r="Z313" s="57"/>
      <c r="AA313" s="58"/>
      <c r="AB313" s="59"/>
      <c r="AC313" s="42"/>
    </row>
    <row r="314" spans="1:29" x14ac:dyDescent="0.25">
      <c r="A314" s="1">
        <f t="shared" ca="1" si="20"/>
        <v>14910</v>
      </c>
      <c r="B314" s="74"/>
      <c r="C314" s="74"/>
      <c r="D314" s="74"/>
      <c r="E314" s="28"/>
      <c r="F314" s="29"/>
      <c r="G314" s="28"/>
      <c r="H314" s="30"/>
      <c r="I314" s="29"/>
      <c r="J314" s="29"/>
      <c r="K314" s="34" t="str">
        <f t="shared" si="22"/>
        <v/>
      </c>
      <c r="L314" s="29"/>
      <c r="M314" s="30"/>
      <c r="N314" s="35"/>
      <c r="O314" s="36"/>
      <c r="P314" s="37"/>
      <c r="Q314" s="52"/>
      <c r="R314" s="55"/>
      <c r="S314" s="56"/>
      <c r="T314" s="40"/>
      <c r="U314" s="38"/>
      <c r="V314" s="41"/>
      <c r="W314" s="39"/>
      <c r="X314" s="40"/>
      <c r="Y314" s="39"/>
      <c r="Z314" s="57"/>
      <c r="AA314" s="58"/>
      <c r="AB314" s="59"/>
      <c r="AC314" s="42"/>
    </row>
    <row r="315" spans="1:29" x14ac:dyDescent="0.25">
      <c r="A315" s="1">
        <f t="shared" ca="1" si="20"/>
        <v>14911</v>
      </c>
      <c r="B315" s="74"/>
      <c r="C315" s="74"/>
      <c r="D315" s="74"/>
      <c r="E315" s="28"/>
      <c r="F315" s="29"/>
      <c r="G315" s="28"/>
      <c r="H315" s="30"/>
      <c r="I315" s="29"/>
      <c r="J315" s="29"/>
      <c r="K315" s="34" t="str">
        <f t="shared" si="22"/>
        <v/>
      </c>
      <c r="L315" s="29"/>
      <c r="M315" s="30"/>
      <c r="N315" s="35"/>
      <c r="O315" s="36"/>
      <c r="P315" s="37"/>
      <c r="Q315" s="52"/>
      <c r="R315" s="55"/>
      <c r="S315" s="56"/>
      <c r="T315" s="40"/>
      <c r="U315" s="38"/>
      <c r="V315" s="41"/>
      <c r="W315" s="39"/>
      <c r="X315" s="40"/>
      <c r="Y315" s="39"/>
      <c r="Z315" s="57"/>
      <c r="AA315" s="58"/>
      <c r="AB315" s="59"/>
      <c r="AC315" s="42"/>
    </row>
    <row r="316" spans="1:29" x14ac:dyDescent="0.25">
      <c r="A316" s="1">
        <f t="shared" ca="1" si="20"/>
        <v>14912</v>
      </c>
      <c r="B316" s="74"/>
      <c r="C316" s="74"/>
      <c r="D316" s="74"/>
      <c r="E316" s="28"/>
      <c r="F316" s="29"/>
      <c r="G316" s="28"/>
      <c r="H316" s="30"/>
      <c r="I316" s="29"/>
      <c r="J316" s="29"/>
      <c r="K316" s="34" t="str">
        <f t="shared" si="22"/>
        <v/>
      </c>
      <c r="L316" s="29"/>
      <c r="M316" s="30"/>
      <c r="N316" s="35"/>
      <c r="O316" s="36"/>
      <c r="P316" s="37"/>
      <c r="Q316" s="52"/>
      <c r="R316" s="55"/>
      <c r="S316" s="56"/>
      <c r="T316" s="40"/>
      <c r="U316" s="38"/>
      <c r="V316" s="41"/>
      <c r="W316" s="39"/>
      <c r="X316" s="40"/>
      <c r="Y316" s="39"/>
      <c r="Z316" s="57"/>
      <c r="AA316" s="58"/>
      <c r="AB316" s="59"/>
      <c r="AC316" s="42"/>
    </row>
    <row r="317" spans="1:29" x14ac:dyDescent="0.25">
      <c r="A317" s="1">
        <f t="shared" ca="1" si="20"/>
        <v>14913</v>
      </c>
      <c r="B317" s="74"/>
      <c r="C317" s="74"/>
      <c r="D317" s="74"/>
      <c r="E317" s="28"/>
      <c r="F317" s="29"/>
      <c r="G317" s="28"/>
      <c r="H317" s="30"/>
      <c r="I317" s="29"/>
      <c r="J317" s="29"/>
      <c r="K317" s="34" t="str">
        <f t="shared" si="22"/>
        <v/>
      </c>
      <c r="L317" s="29"/>
      <c r="M317" s="30"/>
      <c r="N317" s="35"/>
      <c r="O317" s="36"/>
      <c r="P317" s="37"/>
      <c r="Q317" s="52"/>
      <c r="R317" s="55"/>
      <c r="S317" s="56"/>
      <c r="T317" s="40"/>
      <c r="U317" s="38"/>
      <c r="V317" s="41"/>
      <c r="W317" s="39"/>
      <c r="X317" s="40"/>
      <c r="Y317" s="39"/>
      <c r="Z317" s="57"/>
      <c r="AA317" s="58"/>
      <c r="AB317" s="59"/>
      <c r="AC317" s="42"/>
    </row>
    <row r="318" spans="1:29" x14ac:dyDescent="0.25">
      <c r="A318" s="1">
        <f t="shared" ca="1" si="20"/>
        <v>14914</v>
      </c>
      <c r="B318" s="74"/>
      <c r="C318" s="74"/>
      <c r="D318" s="74"/>
      <c r="E318" s="28"/>
      <c r="F318" s="29"/>
      <c r="G318" s="28"/>
      <c r="H318" s="30"/>
      <c r="I318" s="29"/>
      <c r="J318" s="29"/>
      <c r="K318" s="34" t="str">
        <f t="shared" si="22"/>
        <v/>
      </c>
      <c r="L318" s="29"/>
      <c r="M318" s="30"/>
      <c r="N318" s="35"/>
      <c r="O318" s="36"/>
      <c r="P318" s="37"/>
      <c r="Q318" s="52"/>
      <c r="R318" s="55"/>
      <c r="S318" s="56"/>
      <c r="T318" s="40"/>
      <c r="U318" s="38"/>
      <c r="V318" s="41"/>
      <c r="W318" s="39"/>
      <c r="X318" s="40"/>
      <c r="Y318" s="39"/>
      <c r="Z318" s="57"/>
      <c r="AA318" s="58"/>
      <c r="AB318" s="59"/>
      <c r="AC318" s="42"/>
    </row>
    <row r="319" spans="1:29" x14ac:dyDescent="0.25">
      <c r="A319" s="1">
        <f t="shared" ca="1" si="20"/>
        <v>14915</v>
      </c>
      <c r="B319" s="74"/>
      <c r="C319" s="74"/>
      <c r="D319" s="74"/>
      <c r="E319" s="28"/>
      <c r="F319" s="29"/>
      <c r="G319" s="28"/>
      <c r="H319" s="30"/>
      <c r="I319" s="29"/>
      <c r="J319" s="29"/>
      <c r="K319" s="34" t="str">
        <f t="shared" si="22"/>
        <v/>
      </c>
      <c r="L319" s="29"/>
      <c r="M319" s="30"/>
      <c r="N319" s="35"/>
      <c r="O319" s="36"/>
      <c r="P319" s="37"/>
      <c r="Q319" s="52"/>
      <c r="R319" s="55"/>
      <c r="S319" s="56"/>
      <c r="T319" s="40"/>
      <c r="U319" s="38"/>
      <c r="V319" s="41"/>
      <c r="W319" s="39"/>
      <c r="X319" s="40"/>
      <c r="Y319" s="39"/>
      <c r="Z319" s="57"/>
      <c r="AA319" s="58"/>
      <c r="AB319" s="59"/>
      <c r="AC319" s="42"/>
    </row>
    <row r="320" spans="1:29" x14ac:dyDescent="0.25">
      <c r="A320" s="1" t="str">
        <f t="shared" ca="1" si="20"/>
        <v>Totaal</v>
      </c>
      <c r="B320" s="75" t="str">
        <f>IF(COUNT(B289:B319)&gt;0,AVERAGE(B289:B319)/10,"")</f>
        <v/>
      </c>
      <c r="C320" s="76" t="str">
        <f>IF(COUNT(C289:C319)&gt;0,AVERAGE(C289:C319)/10,"")</f>
        <v/>
      </c>
      <c r="D320" s="77" t="str">
        <f>IF(COUNT(D289:D319)&gt;0,AVERAGE(D289:D319)/10,"")</f>
        <v/>
      </c>
      <c r="E320" s="31" t="str">
        <f>IF(COUNT(E289:E319)&gt;0,AVERAGE(E289:E319)/10,"")</f>
        <v/>
      </c>
      <c r="F320" s="32" t="str">
        <f t="shared" ref="F320:J320" si="23">IF(COUNT(F289:F319)&gt;0,AVERAGE(F289:F319)/10,"")</f>
        <v/>
      </c>
      <c r="G320" s="31" t="str">
        <f t="shared" si="23"/>
        <v/>
      </c>
      <c r="H320" s="33" t="str">
        <f t="shared" si="23"/>
        <v/>
      </c>
      <c r="I320" s="32" t="str">
        <f t="shared" si="23"/>
        <v/>
      </c>
      <c r="J320" s="32" t="str">
        <f t="shared" si="23"/>
        <v/>
      </c>
      <c r="K320" s="46" t="str">
        <f>IF(COUNT(K289:K319)&gt;0,SUM(K289:K319),"")</f>
        <v/>
      </c>
      <c r="L320" s="32" t="str">
        <f>IF(COUNT(L289:L319)&gt;0,AVERAGE(L289:L319)/10,"")</f>
        <v/>
      </c>
      <c r="M320" s="32" t="str">
        <f>IF(COUNT(M289:M319)&gt;0,AVERAGE(M289:M319)/10,"")</f>
        <v/>
      </c>
      <c r="N320" s="47" t="str">
        <f>IF(COUNT(N289:N319)&gt;0,AVERAGE(N289:N319)/10,"")</f>
        <v/>
      </c>
      <c r="O320" s="48" t="str">
        <f>IF(COUNT(O289:O319)&gt;0,AVERAGE(O289:O319)/10,"")</f>
        <v/>
      </c>
      <c r="P320" s="49" t="str">
        <f>IF(COUNT(P289:P319)&gt;0,AVERAGE(P289:P319)/10,"")</f>
        <v/>
      </c>
      <c r="Q320" s="51" t="str">
        <f>IF(COUNT(Q289:Q319)&gt;0,AVERAGE(Q289:Q319),"")</f>
        <v/>
      </c>
      <c r="R320" s="53" t="str">
        <f>IF(COUNT(R289:R319)&gt;0,AVERAGE(R289:R319),"")</f>
        <v/>
      </c>
      <c r="S320" s="54" t="str">
        <f>IF(COUNT(S289:S319)&gt;0,AVERAGE(S289:S319),"")</f>
        <v/>
      </c>
      <c r="T320" s="26"/>
      <c r="U320" s="50" t="str">
        <f>IF(COUNT(U289:U319)&gt;0,AVERAGE(U289:U319)/10,"")</f>
        <v/>
      </c>
      <c r="V320" s="27"/>
      <c r="W320" s="50" t="str">
        <f>IF(COUNT(W289:W319)&gt;0,AVERAGE(W289:W319)/10,"")</f>
        <v/>
      </c>
      <c r="X320" s="26"/>
      <c r="Y320" s="50" t="str">
        <f>IF(COUNT(Y289:Y319)&gt;0,AVERAGE(Y289:Y319)/10,"")</f>
        <v/>
      </c>
      <c r="Z320" s="60" t="str">
        <f>IF(COUNT(Z289:Z319)&gt;0,AVERAGE(Z289:Z319),"")</f>
        <v/>
      </c>
      <c r="AA320" s="61" t="str">
        <f>IF(COUNT(AA289:AA319)&gt;0,AVERAGE(AA289:AA319),"")</f>
        <v/>
      </c>
      <c r="AB320" s="62" t="str">
        <f>IF(COUNT(AB289:AB319)&gt;0,AVERAGE(AB289:AB319),"")</f>
        <v/>
      </c>
      <c r="AC320" s="45">
        <f>SUM(AC289:AC319)/10</f>
        <v>0</v>
      </c>
    </row>
    <row r="321" spans="1:29" x14ac:dyDescent="0.25">
      <c r="A321" s="1">
        <f t="shared" ca="1" si="20"/>
        <v>14916</v>
      </c>
      <c r="B321" s="74"/>
      <c r="C321" s="74"/>
      <c r="D321" s="74"/>
      <c r="E321" s="28"/>
      <c r="F321" s="29"/>
      <c r="G321" s="28"/>
      <c r="H321" s="30"/>
      <c r="I321" s="29"/>
      <c r="J321" s="29"/>
      <c r="K321" s="34" t="str">
        <f t="shared" ref="K321:K350" si="24">IF(COUNT(E321,G321,I321)&gt;0,SUM(E321,G321,I321)/10,"")</f>
        <v/>
      </c>
      <c r="L321" s="29"/>
      <c r="M321" s="30"/>
      <c r="N321" s="35"/>
      <c r="O321" s="36"/>
      <c r="P321" s="37"/>
      <c r="Q321" s="52"/>
      <c r="R321" s="55"/>
      <c r="S321" s="56"/>
      <c r="T321" s="40"/>
      <c r="U321" s="38"/>
      <c r="V321" s="41"/>
      <c r="W321" s="39"/>
      <c r="X321" s="40"/>
      <c r="Y321" s="39"/>
      <c r="Z321" s="57"/>
      <c r="AA321" s="58"/>
      <c r="AB321" s="59"/>
      <c r="AC321" s="42"/>
    </row>
    <row r="322" spans="1:29" x14ac:dyDescent="0.25">
      <c r="A322" s="1">
        <f t="shared" ca="1" si="20"/>
        <v>14917</v>
      </c>
      <c r="B322" s="74"/>
      <c r="C322" s="74"/>
      <c r="D322" s="74"/>
      <c r="E322" s="28"/>
      <c r="F322" s="29"/>
      <c r="G322" s="28"/>
      <c r="H322" s="30"/>
      <c r="I322" s="29"/>
      <c r="J322" s="29"/>
      <c r="K322" s="34" t="str">
        <f t="shared" si="24"/>
        <v/>
      </c>
      <c r="L322" s="29"/>
      <c r="M322" s="30"/>
      <c r="N322" s="35"/>
      <c r="O322" s="36"/>
      <c r="P322" s="37"/>
      <c r="Q322" s="52"/>
      <c r="R322" s="55"/>
      <c r="S322" s="56"/>
      <c r="T322" s="40"/>
      <c r="U322" s="38"/>
      <c r="V322" s="41"/>
      <c r="W322" s="39"/>
      <c r="X322" s="40"/>
      <c r="Y322" s="39"/>
      <c r="Z322" s="57"/>
      <c r="AA322" s="58"/>
      <c r="AB322" s="59"/>
      <c r="AC322" s="42"/>
    </row>
    <row r="323" spans="1:29" x14ac:dyDescent="0.25">
      <c r="A323" s="1">
        <f t="shared" ca="1" si="20"/>
        <v>14918</v>
      </c>
      <c r="B323" s="74"/>
      <c r="C323" s="74"/>
      <c r="D323" s="74"/>
      <c r="E323" s="28"/>
      <c r="F323" s="29"/>
      <c r="G323" s="28"/>
      <c r="H323" s="30"/>
      <c r="I323" s="29"/>
      <c r="J323" s="29"/>
      <c r="K323" s="34" t="str">
        <f t="shared" si="24"/>
        <v/>
      </c>
      <c r="L323" s="29"/>
      <c r="M323" s="30"/>
      <c r="N323" s="35"/>
      <c r="O323" s="36"/>
      <c r="P323" s="37"/>
      <c r="Q323" s="52"/>
      <c r="R323" s="55"/>
      <c r="S323" s="56"/>
      <c r="T323" s="40"/>
      <c r="U323" s="38"/>
      <c r="V323" s="41"/>
      <c r="W323" s="39"/>
      <c r="X323" s="40"/>
      <c r="Y323" s="39"/>
      <c r="Z323" s="57"/>
      <c r="AA323" s="58"/>
      <c r="AB323" s="59"/>
      <c r="AC323" s="42"/>
    </row>
    <row r="324" spans="1:29" x14ac:dyDescent="0.25">
      <c r="A324" s="1">
        <f t="shared" ca="1" si="20"/>
        <v>14919</v>
      </c>
      <c r="B324" s="74"/>
      <c r="C324" s="74"/>
      <c r="D324" s="74"/>
      <c r="E324" s="28"/>
      <c r="F324" s="29"/>
      <c r="G324" s="28"/>
      <c r="H324" s="30"/>
      <c r="I324" s="29"/>
      <c r="J324" s="29"/>
      <c r="K324" s="34" t="str">
        <f t="shared" si="24"/>
        <v/>
      </c>
      <c r="L324" s="29"/>
      <c r="M324" s="30"/>
      <c r="N324" s="35"/>
      <c r="O324" s="36"/>
      <c r="P324" s="37"/>
      <c r="Q324" s="52"/>
      <c r="R324" s="55"/>
      <c r="S324" s="56"/>
      <c r="T324" s="40"/>
      <c r="U324" s="38"/>
      <c r="V324" s="41"/>
      <c r="W324" s="39"/>
      <c r="X324" s="40"/>
      <c r="Y324" s="39"/>
      <c r="Z324" s="57"/>
      <c r="AA324" s="58"/>
      <c r="AB324" s="59"/>
      <c r="AC324" s="42"/>
    </row>
    <row r="325" spans="1:29" x14ac:dyDescent="0.25">
      <c r="A325" s="1">
        <f t="shared" ca="1" si="20"/>
        <v>14920</v>
      </c>
      <c r="B325" s="74"/>
      <c r="C325" s="74"/>
      <c r="D325" s="74"/>
      <c r="E325" s="28"/>
      <c r="F325" s="29"/>
      <c r="G325" s="28"/>
      <c r="H325" s="30"/>
      <c r="I325" s="29"/>
      <c r="J325" s="29"/>
      <c r="K325" s="34" t="str">
        <f t="shared" si="24"/>
        <v/>
      </c>
      <c r="L325" s="29"/>
      <c r="M325" s="30"/>
      <c r="N325" s="35"/>
      <c r="O325" s="36"/>
      <c r="P325" s="37"/>
      <c r="Q325" s="52"/>
      <c r="R325" s="55"/>
      <c r="S325" s="56"/>
      <c r="T325" s="40"/>
      <c r="U325" s="38"/>
      <c r="V325" s="41"/>
      <c r="W325" s="39"/>
      <c r="X325" s="40"/>
      <c r="Y325" s="39"/>
      <c r="Z325" s="57"/>
      <c r="AA325" s="58"/>
      <c r="AB325" s="59"/>
      <c r="AC325" s="42"/>
    </row>
    <row r="326" spans="1:29" x14ac:dyDescent="0.25">
      <c r="A326" s="1">
        <f t="shared" ca="1" si="20"/>
        <v>14921</v>
      </c>
      <c r="B326" s="74"/>
      <c r="C326" s="74"/>
      <c r="D326" s="74"/>
      <c r="E326" s="28"/>
      <c r="F326" s="29"/>
      <c r="G326" s="28"/>
      <c r="H326" s="30"/>
      <c r="I326" s="29"/>
      <c r="J326" s="29"/>
      <c r="K326" s="34" t="str">
        <f t="shared" si="24"/>
        <v/>
      </c>
      <c r="L326" s="29"/>
      <c r="M326" s="30"/>
      <c r="N326" s="35"/>
      <c r="O326" s="36"/>
      <c r="P326" s="37"/>
      <c r="Q326" s="52"/>
      <c r="R326" s="55"/>
      <c r="S326" s="56"/>
      <c r="T326" s="40"/>
      <c r="U326" s="38"/>
      <c r="V326" s="41"/>
      <c r="W326" s="39"/>
      <c r="X326" s="40"/>
      <c r="Y326" s="39"/>
      <c r="Z326" s="57"/>
      <c r="AA326" s="58"/>
      <c r="AB326" s="59"/>
      <c r="AC326" s="42"/>
    </row>
    <row r="327" spans="1:29" x14ac:dyDescent="0.25">
      <c r="A327" s="1">
        <f t="shared" ca="1" si="20"/>
        <v>14922</v>
      </c>
      <c r="B327" s="74"/>
      <c r="C327" s="74"/>
      <c r="D327" s="74"/>
      <c r="E327" s="28"/>
      <c r="F327" s="29"/>
      <c r="G327" s="28"/>
      <c r="H327" s="30"/>
      <c r="I327" s="29"/>
      <c r="J327" s="29"/>
      <c r="K327" s="34" t="str">
        <f t="shared" si="24"/>
        <v/>
      </c>
      <c r="L327" s="29"/>
      <c r="M327" s="30"/>
      <c r="N327" s="35"/>
      <c r="O327" s="36"/>
      <c r="P327" s="37"/>
      <c r="Q327" s="52"/>
      <c r="R327" s="55"/>
      <c r="S327" s="56"/>
      <c r="T327" s="40"/>
      <c r="U327" s="38"/>
      <c r="V327" s="41"/>
      <c r="W327" s="39"/>
      <c r="X327" s="40"/>
      <c r="Y327" s="39"/>
      <c r="Z327" s="57"/>
      <c r="AA327" s="58"/>
      <c r="AB327" s="59"/>
      <c r="AC327" s="42"/>
    </row>
    <row r="328" spans="1:29" x14ac:dyDescent="0.25">
      <c r="A328" s="1">
        <f t="shared" ref="A328:A383" ca="1" si="25">IF(ISTEXT(A327),A326+1,IF(MONTH(A327+1)=MONTH(A327),A327+1,"Totaal"))</f>
        <v>14923</v>
      </c>
      <c r="B328" s="74"/>
      <c r="C328" s="74"/>
      <c r="D328" s="74"/>
      <c r="E328" s="28"/>
      <c r="F328" s="29"/>
      <c r="G328" s="28"/>
      <c r="H328" s="30"/>
      <c r="I328" s="29"/>
      <c r="J328" s="29"/>
      <c r="K328" s="34" t="str">
        <f t="shared" si="24"/>
        <v/>
      </c>
      <c r="L328" s="29"/>
      <c r="M328" s="30"/>
      <c r="N328" s="35"/>
      <c r="O328" s="36"/>
      <c r="P328" s="37"/>
      <c r="Q328" s="52"/>
      <c r="R328" s="55"/>
      <c r="S328" s="56"/>
      <c r="T328" s="40"/>
      <c r="U328" s="38"/>
      <c r="V328" s="41"/>
      <c r="W328" s="39"/>
      <c r="X328" s="40"/>
      <c r="Y328" s="39"/>
      <c r="Z328" s="57"/>
      <c r="AA328" s="58"/>
      <c r="AB328" s="59"/>
      <c r="AC328" s="42"/>
    </row>
    <row r="329" spans="1:29" x14ac:dyDescent="0.25">
      <c r="A329" s="1">
        <f t="shared" ca="1" si="25"/>
        <v>14924</v>
      </c>
      <c r="B329" s="74"/>
      <c r="C329" s="74"/>
      <c r="D329" s="74"/>
      <c r="E329" s="28"/>
      <c r="F329" s="29"/>
      <c r="G329" s="28"/>
      <c r="H329" s="30"/>
      <c r="I329" s="29"/>
      <c r="J329" s="29"/>
      <c r="K329" s="34" t="str">
        <f t="shared" si="24"/>
        <v/>
      </c>
      <c r="L329" s="29"/>
      <c r="M329" s="30"/>
      <c r="N329" s="35"/>
      <c r="O329" s="36"/>
      <c r="P329" s="37"/>
      <c r="Q329" s="52"/>
      <c r="R329" s="55"/>
      <c r="S329" s="56"/>
      <c r="T329" s="40"/>
      <c r="U329" s="38"/>
      <c r="V329" s="41"/>
      <c r="W329" s="39"/>
      <c r="X329" s="40"/>
      <c r="Y329" s="39"/>
      <c r="Z329" s="57"/>
      <c r="AA329" s="58"/>
      <c r="AB329" s="59"/>
      <c r="AC329" s="42"/>
    </row>
    <row r="330" spans="1:29" x14ac:dyDescent="0.25">
      <c r="A330" s="1">
        <f t="shared" ca="1" si="25"/>
        <v>14925</v>
      </c>
      <c r="B330" s="74"/>
      <c r="C330" s="74"/>
      <c r="D330" s="74"/>
      <c r="E330" s="28"/>
      <c r="F330" s="29"/>
      <c r="G330" s="28"/>
      <c r="H330" s="30"/>
      <c r="I330" s="29"/>
      <c r="J330" s="29"/>
      <c r="K330" s="34" t="str">
        <f t="shared" si="24"/>
        <v/>
      </c>
      <c r="L330" s="29"/>
      <c r="M330" s="30"/>
      <c r="N330" s="35"/>
      <c r="O330" s="36"/>
      <c r="P330" s="37"/>
      <c r="Q330" s="52"/>
      <c r="R330" s="55"/>
      <c r="S330" s="56"/>
      <c r="T330" s="40"/>
      <c r="U330" s="38"/>
      <c r="V330" s="41"/>
      <c r="W330" s="39"/>
      <c r="X330" s="40"/>
      <c r="Y330" s="39"/>
      <c r="Z330" s="57"/>
      <c r="AA330" s="58"/>
      <c r="AB330" s="59"/>
      <c r="AC330" s="42"/>
    </row>
    <row r="331" spans="1:29" x14ac:dyDescent="0.25">
      <c r="A331" s="1">
        <f t="shared" ca="1" si="25"/>
        <v>14926</v>
      </c>
      <c r="B331" s="74"/>
      <c r="C331" s="74"/>
      <c r="D331" s="74"/>
      <c r="E331" s="28"/>
      <c r="F331" s="29"/>
      <c r="G331" s="28"/>
      <c r="H331" s="30"/>
      <c r="I331" s="29"/>
      <c r="J331" s="29"/>
      <c r="K331" s="34" t="str">
        <f t="shared" si="24"/>
        <v/>
      </c>
      <c r="L331" s="29"/>
      <c r="M331" s="30"/>
      <c r="N331" s="35"/>
      <c r="O331" s="36"/>
      <c r="P331" s="37"/>
      <c r="Q331" s="52"/>
      <c r="R331" s="55"/>
      <c r="S331" s="56"/>
      <c r="T331" s="40"/>
      <c r="U331" s="38"/>
      <c r="V331" s="41"/>
      <c r="W331" s="39"/>
      <c r="X331" s="40"/>
      <c r="Y331" s="39"/>
      <c r="Z331" s="57"/>
      <c r="AA331" s="58"/>
      <c r="AB331" s="59"/>
      <c r="AC331" s="42"/>
    </row>
    <row r="332" spans="1:29" x14ac:dyDescent="0.25">
      <c r="A332" s="1">
        <f t="shared" ca="1" si="25"/>
        <v>14927</v>
      </c>
      <c r="B332" s="74"/>
      <c r="C332" s="74"/>
      <c r="D332" s="74"/>
      <c r="E332" s="28"/>
      <c r="F332" s="29"/>
      <c r="G332" s="28"/>
      <c r="H332" s="30"/>
      <c r="I332" s="29"/>
      <c r="J332" s="29"/>
      <c r="K332" s="34" t="str">
        <f t="shared" si="24"/>
        <v/>
      </c>
      <c r="L332" s="29"/>
      <c r="M332" s="30"/>
      <c r="N332" s="35"/>
      <c r="O332" s="36"/>
      <c r="P332" s="37"/>
      <c r="Q332" s="52"/>
      <c r="R332" s="55"/>
      <c r="S332" s="56"/>
      <c r="T332" s="40"/>
      <c r="U332" s="38"/>
      <c r="V332" s="41"/>
      <c r="W332" s="39"/>
      <c r="X332" s="40"/>
      <c r="Y332" s="39"/>
      <c r="Z332" s="57"/>
      <c r="AA332" s="58"/>
      <c r="AB332" s="59"/>
      <c r="AC332" s="42"/>
    </row>
    <row r="333" spans="1:29" x14ac:dyDescent="0.25">
      <c r="A333" s="1">
        <f t="shared" ca="1" si="25"/>
        <v>14928</v>
      </c>
      <c r="B333" s="74"/>
      <c r="C333" s="74"/>
      <c r="D333" s="74"/>
      <c r="E333" s="28"/>
      <c r="F333" s="29"/>
      <c r="G333" s="28"/>
      <c r="H333" s="30"/>
      <c r="I333" s="29"/>
      <c r="J333" s="29"/>
      <c r="K333" s="34" t="str">
        <f t="shared" si="24"/>
        <v/>
      </c>
      <c r="L333" s="29"/>
      <c r="M333" s="30"/>
      <c r="N333" s="35"/>
      <c r="O333" s="36"/>
      <c r="P333" s="37"/>
      <c r="Q333" s="52"/>
      <c r="R333" s="55"/>
      <c r="S333" s="56"/>
      <c r="T333" s="40"/>
      <c r="U333" s="38"/>
      <c r="V333" s="41"/>
      <c r="W333" s="39"/>
      <c r="X333" s="40"/>
      <c r="Y333" s="39"/>
      <c r="Z333" s="57"/>
      <c r="AA333" s="58"/>
      <c r="AB333" s="59"/>
      <c r="AC333" s="42"/>
    </row>
    <row r="334" spans="1:29" x14ac:dyDescent="0.25">
      <c r="A334" s="1">
        <f t="shared" ca="1" si="25"/>
        <v>14929</v>
      </c>
      <c r="B334" s="74"/>
      <c r="C334" s="74"/>
      <c r="D334" s="74"/>
      <c r="E334" s="28"/>
      <c r="F334" s="29"/>
      <c r="G334" s="28"/>
      <c r="H334" s="30"/>
      <c r="I334" s="29"/>
      <c r="J334" s="29"/>
      <c r="K334" s="34" t="str">
        <f t="shared" si="24"/>
        <v/>
      </c>
      <c r="L334" s="29"/>
      <c r="M334" s="30"/>
      <c r="N334" s="35"/>
      <c r="O334" s="36"/>
      <c r="P334" s="37"/>
      <c r="Q334" s="52"/>
      <c r="R334" s="55"/>
      <c r="S334" s="56"/>
      <c r="T334" s="40"/>
      <c r="U334" s="38"/>
      <c r="V334" s="41"/>
      <c r="W334" s="39"/>
      <c r="X334" s="40"/>
      <c r="Y334" s="39"/>
      <c r="Z334" s="57"/>
      <c r="AA334" s="58"/>
      <c r="AB334" s="59"/>
      <c r="AC334" s="42"/>
    </row>
    <row r="335" spans="1:29" x14ac:dyDescent="0.25">
      <c r="A335" s="1">
        <f t="shared" ca="1" si="25"/>
        <v>14930</v>
      </c>
      <c r="B335" s="74"/>
      <c r="C335" s="74"/>
      <c r="D335" s="74"/>
      <c r="E335" s="28"/>
      <c r="F335" s="29"/>
      <c r="G335" s="28"/>
      <c r="H335" s="30"/>
      <c r="I335" s="29"/>
      <c r="J335" s="29"/>
      <c r="K335" s="34" t="str">
        <f t="shared" si="24"/>
        <v/>
      </c>
      <c r="L335" s="29"/>
      <c r="M335" s="30"/>
      <c r="N335" s="35"/>
      <c r="O335" s="36"/>
      <c r="P335" s="37"/>
      <c r="Q335" s="52"/>
      <c r="R335" s="55"/>
      <c r="S335" s="56"/>
      <c r="T335" s="40"/>
      <c r="U335" s="38"/>
      <c r="V335" s="41"/>
      <c r="W335" s="39"/>
      <c r="X335" s="40"/>
      <c r="Y335" s="39"/>
      <c r="Z335" s="57"/>
      <c r="AA335" s="58"/>
      <c r="AB335" s="59"/>
      <c r="AC335" s="42"/>
    </row>
    <row r="336" spans="1:29" x14ac:dyDescent="0.25">
      <c r="A336" s="1">
        <f t="shared" ca="1" si="25"/>
        <v>14931</v>
      </c>
      <c r="B336" s="74"/>
      <c r="C336" s="74"/>
      <c r="D336" s="74"/>
      <c r="E336" s="28"/>
      <c r="F336" s="29"/>
      <c r="G336" s="28"/>
      <c r="H336" s="30"/>
      <c r="I336" s="29"/>
      <c r="J336" s="29"/>
      <c r="K336" s="34" t="str">
        <f t="shared" si="24"/>
        <v/>
      </c>
      <c r="L336" s="29"/>
      <c r="M336" s="30"/>
      <c r="N336" s="35"/>
      <c r="O336" s="36"/>
      <c r="P336" s="37"/>
      <c r="Q336" s="52"/>
      <c r="R336" s="55"/>
      <c r="S336" s="56"/>
      <c r="T336" s="40"/>
      <c r="U336" s="38"/>
      <c r="V336" s="41"/>
      <c r="W336" s="39"/>
      <c r="X336" s="40"/>
      <c r="Y336" s="39"/>
      <c r="Z336" s="57"/>
      <c r="AA336" s="58"/>
      <c r="AB336" s="59"/>
      <c r="AC336" s="42"/>
    </row>
    <row r="337" spans="1:29" x14ac:dyDescent="0.25">
      <c r="A337" s="1">
        <f t="shared" ca="1" si="25"/>
        <v>14932</v>
      </c>
      <c r="B337" s="74"/>
      <c r="C337" s="74"/>
      <c r="D337" s="74"/>
      <c r="E337" s="28"/>
      <c r="F337" s="29"/>
      <c r="G337" s="28"/>
      <c r="H337" s="30"/>
      <c r="I337" s="29"/>
      <c r="J337" s="29"/>
      <c r="K337" s="34" t="str">
        <f t="shared" si="24"/>
        <v/>
      </c>
      <c r="L337" s="29"/>
      <c r="M337" s="30"/>
      <c r="N337" s="35"/>
      <c r="O337" s="36"/>
      <c r="P337" s="37"/>
      <c r="Q337" s="52"/>
      <c r="R337" s="55"/>
      <c r="S337" s="56"/>
      <c r="T337" s="40"/>
      <c r="U337" s="38"/>
      <c r="V337" s="41"/>
      <c r="W337" s="39"/>
      <c r="X337" s="40"/>
      <c r="Y337" s="39"/>
      <c r="Z337" s="57"/>
      <c r="AA337" s="58"/>
      <c r="AB337" s="59"/>
      <c r="AC337" s="42"/>
    </row>
    <row r="338" spans="1:29" x14ac:dyDescent="0.25">
      <c r="A338" s="1">
        <f t="shared" ca="1" si="25"/>
        <v>14933</v>
      </c>
      <c r="B338" s="74"/>
      <c r="C338" s="74"/>
      <c r="D338" s="74"/>
      <c r="E338" s="28"/>
      <c r="F338" s="29"/>
      <c r="G338" s="28"/>
      <c r="H338" s="30"/>
      <c r="I338" s="29"/>
      <c r="J338" s="29"/>
      <c r="K338" s="34" t="str">
        <f t="shared" si="24"/>
        <v/>
      </c>
      <c r="L338" s="29"/>
      <c r="M338" s="30"/>
      <c r="N338" s="35"/>
      <c r="O338" s="36"/>
      <c r="P338" s="37"/>
      <c r="Q338" s="52"/>
      <c r="R338" s="55"/>
      <c r="S338" s="56"/>
      <c r="T338" s="40"/>
      <c r="U338" s="38"/>
      <c r="V338" s="41"/>
      <c r="W338" s="39"/>
      <c r="X338" s="40"/>
      <c r="Y338" s="39"/>
      <c r="Z338" s="57"/>
      <c r="AA338" s="58"/>
      <c r="AB338" s="59"/>
      <c r="AC338" s="42"/>
    </row>
    <row r="339" spans="1:29" x14ac:dyDescent="0.25">
      <c r="A339" s="1">
        <f t="shared" ca="1" si="25"/>
        <v>14934</v>
      </c>
      <c r="B339" s="74"/>
      <c r="C339" s="74"/>
      <c r="D339" s="74"/>
      <c r="E339" s="28"/>
      <c r="F339" s="29"/>
      <c r="G339" s="28"/>
      <c r="H339" s="30"/>
      <c r="I339" s="29"/>
      <c r="J339" s="29"/>
      <c r="K339" s="34" t="str">
        <f t="shared" si="24"/>
        <v/>
      </c>
      <c r="L339" s="29"/>
      <c r="M339" s="30"/>
      <c r="N339" s="35"/>
      <c r="O339" s="36"/>
      <c r="P339" s="37"/>
      <c r="Q339" s="52"/>
      <c r="R339" s="55"/>
      <c r="S339" s="56"/>
      <c r="T339" s="40"/>
      <c r="U339" s="38"/>
      <c r="V339" s="41"/>
      <c r="W339" s="39"/>
      <c r="X339" s="40"/>
      <c r="Y339" s="39"/>
      <c r="Z339" s="57"/>
      <c r="AA339" s="58"/>
      <c r="AB339" s="59"/>
      <c r="AC339" s="42"/>
    </row>
    <row r="340" spans="1:29" x14ac:dyDescent="0.25">
      <c r="A340" s="1">
        <f t="shared" ca="1" si="25"/>
        <v>14935</v>
      </c>
      <c r="B340" s="74"/>
      <c r="C340" s="74"/>
      <c r="D340" s="74"/>
      <c r="E340" s="28"/>
      <c r="F340" s="29"/>
      <c r="G340" s="28"/>
      <c r="H340" s="30"/>
      <c r="I340" s="29"/>
      <c r="J340" s="29"/>
      <c r="K340" s="34" t="str">
        <f t="shared" si="24"/>
        <v/>
      </c>
      <c r="L340" s="29"/>
      <c r="M340" s="30"/>
      <c r="N340" s="35"/>
      <c r="O340" s="36"/>
      <c r="P340" s="37"/>
      <c r="Q340" s="52"/>
      <c r="R340" s="55"/>
      <c r="S340" s="56"/>
      <c r="T340" s="40"/>
      <c r="U340" s="38"/>
      <c r="V340" s="41"/>
      <c r="W340" s="39"/>
      <c r="X340" s="40"/>
      <c r="Y340" s="39"/>
      <c r="Z340" s="57"/>
      <c r="AA340" s="58"/>
      <c r="AB340" s="59"/>
      <c r="AC340" s="42"/>
    </row>
    <row r="341" spans="1:29" x14ac:dyDescent="0.25">
      <c r="A341" s="1">
        <f t="shared" ca="1" si="25"/>
        <v>14936</v>
      </c>
      <c r="B341" s="74"/>
      <c r="C341" s="74"/>
      <c r="D341" s="74"/>
      <c r="E341" s="28"/>
      <c r="F341" s="29"/>
      <c r="G341" s="28"/>
      <c r="H341" s="30"/>
      <c r="I341" s="29"/>
      <c r="J341" s="29"/>
      <c r="K341" s="34" t="str">
        <f t="shared" si="24"/>
        <v/>
      </c>
      <c r="L341" s="29"/>
      <c r="M341" s="30"/>
      <c r="N341" s="35"/>
      <c r="O341" s="36"/>
      <c r="P341" s="37"/>
      <c r="Q341" s="52"/>
      <c r="R341" s="55"/>
      <c r="S341" s="56"/>
      <c r="T341" s="40"/>
      <c r="U341" s="38"/>
      <c r="V341" s="41"/>
      <c r="W341" s="39"/>
      <c r="X341" s="40"/>
      <c r="Y341" s="39"/>
      <c r="Z341" s="57"/>
      <c r="AA341" s="58"/>
      <c r="AB341" s="59"/>
      <c r="AC341" s="42"/>
    </row>
    <row r="342" spans="1:29" x14ac:dyDescent="0.25">
      <c r="A342" s="1">
        <f t="shared" ca="1" si="25"/>
        <v>14937</v>
      </c>
      <c r="B342" s="74"/>
      <c r="C342" s="74"/>
      <c r="D342" s="74"/>
      <c r="E342" s="28"/>
      <c r="F342" s="29"/>
      <c r="G342" s="28"/>
      <c r="H342" s="30"/>
      <c r="I342" s="29"/>
      <c r="J342" s="29"/>
      <c r="K342" s="34" t="str">
        <f t="shared" si="24"/>
        <v/>
      </c>
      <c r="L342" s="29"/>
      <c r="M342" s="30"/>
      <c r="N342" s="35"/>
      <c r="O342" s="36"/>
      <c r="P342" s="37"/>
      <c r="Q342" s="52"/>
      <c r="R342" s="55"/>
      <c r="S342" s="56"/>
      <c r="T342" s="40"/>
      <c r="U342" s="38"/>
      <c r="V342" s="41"/>
      <c r="W342" s="39"/>
      <c r="X342" s="40"/>
      <c r="Y342" s="39"/>
      <c r="Z342" s="57"/>
      <c r="AA342" s="58"/>
      <c r="AB342" s="59"/>
      <c r="AC342" s="42"/>
    </row>
    <row r="343" spans="1:29" x14ac:dyDescent="0.25">
      <c r="A343" s="1">
        <f t="shared" ca="1" si="25"/>
        <v>14938</v>
      </c>
      <c r="B343" s="74"/>
      <c r="C343" s="74"/>
      <c r="D343" s="74"/>
      <c r="E343" s="28"/>
      <c r="F343" s="29"/>
      <c r="G343" s="28"/>
      <c r="H343" s="30"/>
      <c r="I343" s="29"/>
      <c r="J343" s="29"/>
      <c r="K343" s="34" t="str">
        <f t="shared" si="24"/>
        <v/>
      </c>
      <c r="L343" s="29"/>
      <c r="M343" s="30"/>
      <c r="N343" s="35"/>
      <c r="O343" s="36"/>
      <c r="P343" s="37"/>
      <c r="Q343" s="52"/>
      <c r="R343" s="55"/>
      <c r="S343" s="56"/>
      <c r="T343" s="40"/>
      <c r="U343" s="38"/>
      <c r="V343" s="41"/>
      <c r="W343" s="39"/>
      <c r="X343" s="40"/>
      <c r="Y343" s="39"/>
      <c r="Z343" s="57"/>
      <c r="AA343" s="58"/>
      <c r="AB343" s="59"/>
      <c r="AC343" s="42"/>
    </row>
    <row r="344" spans="1:29" x14ac:dyDescent="0.25">
      <c r="A344" s="1">
        <f t="shared" ca="1" si="25"/>
        <v>14939</v>
      </c>
      <c r="B344" s="74"/>
      <c r="C344" s="74"/>
      <c r="D344" s="74"/>
      <c r="E344" s="28"/>
      <c r="F344" s="29"/>
      <c r="G344" s="28"/>
      <c r="H344" s="30"/>
      <c r="I344" s="29"/>
      <c r="J344" s="29"/>
      <c r="K344" s="34" t="str">
        <f t="shared" si="24"/>
        <v/>
      </c>
      <c r="L344" s="29"/>
      <c r="M344" s="30"/>
      <c r="N344" s="35"/>
      <c r="O344" s="36"/>
      <c r="P344" s="37"/>
      <c r="Q344" s="52"/>
      <c r="R344" s="55"/>
      <c r="S344" s="56"/>
      <c r="T344" s="40"/>
      <c r="U344" s="38"/>
      <c r="V344" s="41"/>
      <c r="W344" s="39"/>
      <c r="X344" s="40"/>
      <c r="Y344" s="39"/>
      <c r="Z344" s="57"/>
      <c r="AA344" s="58"/>
      <c r="AB344" s="59"/>
      <c r="AC344" s="42"/>
    </row>
    <row r="345" spans="1:29" x14ac:dyDescent="0.25">
      <c r="A345" s="1">
        <f t="shared" ca="1" si="25"/>
        <v>14940</v>
      </c>
      <c r="B345" s="74"/>
      <c r="C345" s="74"/>
      <c r="D345" s="74"/>
      <c r="E345" s="28"/>
      <c r="F345" s="29"/>
      <c r="G345" s="28"/>
      <c r="H345" s="30"/>
      <c r="I345" s="29"/>
      <c r="J345" s="29"/>
      <c r="K345" s="34" t="str">
        <f t="shared" si="24"/>
        <v/>
      </c>
      <c r="L345" s="29"/>
      <c r="M345" s="30"/>
      <c r="N345" s="35"/>
      <c r="O345" s="36"/>
      <c r="P345" s="37"/>
      <c r="Q345" s="52"/>
      <c r="R345" s="55"/>
      <c r="S345" s="56"/>
      <c r="T345" s="40"/>
      <c r="U345" s="38"/>
      <c r="V345" s="41"/>
      <c r="W345" s="39"/>
      <c r="X345" s="40"/>
      <c r="Y345" s="39"/>
      <c r="Z345" s="57"/>
      <c r="AA345" s="58"/>
      <c r="AB345" s="59"/>
      <c r="AC345" s="42"/>
    </row>
    <row r="346" spans="1:29" x14ac:dyDescent="0.25">
      <c r="A346" s="1">
        <f t="shared" ca="1" si="25"/>
        <v>14941</v>
      </c>
      <c r="B346" s="74"/>
      <c r="C346" s="74"/>
      <c r="D346" s="74"/>
      <c r="E346" s="28"/>
      <c r="F346" s="29"/>
      <c r="G346" s="28"/>
      <c r="H346" s="30"/>
      <c r="I346" s="29"/>
      <c r="J346" s="29"/>
      <c r="K346" s="34" t="str">
        <f t="shared" si="24"/>
        <v/>
      </c>
      <c r="L346" s="29"/>
      <c r="M346" s="30"/>
      <c r="N346" s="35"/>
      <c r="O346" s="36"/>
      <c r="P346" s="37"/>
      <c r="Q346" s="52"/>
      <c r="R346" s="55"/>
      <c r="S346" s="56"/>
      <c r="T346" s="40"/>
      <c r="U346" s="38"/>
      <c r="V346" s="41"/>
      <c r="W346" s="39"/>
      <c r="X346" s="40"/>
      <c r="Y346" s="39"/>
      <c r="Z346" s="57"/>
      <c r="AA346" s="58"/>
      <c r="AB346" s="59"/>
      <c r="AC346" s="42"/>
    </row>
    <row r="347" spans="1:29" x14ac:dyDescent="0.25">
      <c r="A347" s="1">
        <f t="shared" ca="1" si="25"/>
        <v>14942</v>
      </c>
      <c r="B347" s="74"/>
      <c r="C347" s="74"/>
      <c r="D347" s="74"/>
      <c r="E347" s="28"/>
      <c r="F347" s="29"/>
      <c r="G347" s="28"/>
      <c r="H347" s="30"/>
      <c r="I347" s="29"/>
      <c r="J347" s="29"/>
      <c r="K347" s="34" t="str">
        <f t="shared" si="24"/>
        <v/>
      </c>
      <c r="L347" s="29"/>
      <c r="M347" s="30"/>
      <c r="N347" s="35"/>
      <c r="O347" s="36"/>
      <c r="P347" s="37"/>
      <c r="Q347" s="52"/>
      <c r="R347" s="55"/>
      <c r="S347" s="56"/>
      <c r="T347" s="40"/>
      <c r="U347" s="38"/>
      <c r="V347" s="41"/>
      <c r="W347" s="39"/>
      <c r="X347" s="40"/>
      <c r="Y347" s="39"/>
      <c r="Z347" s="57"/>
      <c r="AA347" s="58"/>
      <c r="AB347" s="59"/>
      <c r="AC347" s="42"/>
    </row>
    <row r="348" spans="1:29" x14ac:dyDescent="0.25">
      <c r="A348" s="1">
        <f t="shared" ca="1" si="25"/>
        <v>14943</v>
      </c>
      <c r="B348" s="74"/>
      <c r="C348" s="74"/>
      <c r="D348" s="74"/>
      <c r="E348" s="28"/>
      <c r="F348" s="29"/>
      <c r="G348" s="28"/>
      <c r="H348" s="30"/>
      <c r="I348" s="29"/>
      <c r="J348" s="29"/>
      <c r="K348" s="34" t="str">
        <f t="shared" si="24"/>
        <v/>
      </c>
      <c r="L348" s="29"/>
      <c r="M348" s="30"/>
      <c r="N348" s="35"/>
      <c r="O348" s="36"/>
      <c r="P348" s="37"/>
      <c r="Q348" s="52"/>
      <c r="R348" s="55"/>
      <c r="S348" s="56"/>
      <c r="T348" s="40"/>
      <c r="U348" s="38"/>
      <c r="V348" s="41"/>
      <c r="W348" s="39"/>
      <c r="X348" s="40"/>
      <c r="Y348" s="39"/>
      <c r="Z348" s="57"/>
      <c r="AA348" s="58"/>
      <c r="AB348" s="59"/>
      <c r="AC348" s="42"/>
    </row>
    <row r="349" spans="1:29" x14ac:dyDescent="0.25">
      <c r="A349" s="1">
        <f t="shared" ca="1" si="25"/>
        <v>14944</v>
      </c>
      <c r="B349" s="74"/>
      <c r="C349" s="74"/>
      <c r="D349" s="74"/>
      <c r="E349" s="28"/>
      <c r="F349" s="29"/>
      <c r="G349" s="28"/>
      <c r="H349" s="30"/>
      <c r="I349" s="29"/>
      <c r="J349" s="29"/>
      <c r="K349" s="34" t="str">
        <f t="shared" si="24"/>
        <v/>
      </c>
      <c r="L349" s="29"/>
      <c r="M349" s="30"/>
      <c r="N349" s="35"/>
      <c r="O349" s="36"/>
      <c r="P349" s="37"/>
      <c r="Q349" s="52"/>
      <c r="R349" s="55"/>
      <c r="S349" s="56"/>
      <c r="T349" s="40"/>
      <c r="U349" s="38"/>
      <c r="V349" s="41"/>
      <c r="W349" s="39"/>
      <c r="X349" s="40"/>
      <c r="Y349" s="39"/>
      <c r="Z349" s="57"/>
      <c r="AA349" s="58"/>
      <c r="AB349" s="59"/>
      <c r="AC349" s="42"/>
    </row>
    <row r="350" spans="1:29" x14ac:dyDescent="0.25">
      <c r="A350" s="1">
        <f t="shared" ca="1" si="25"/>
        <v>14945</v>
      </c>
      <c r="B350" s="74"/>
      <c r="C350" s="74"/>
      <c r="D350" s="74"/>
      <c r="E350" s="28"/>
      <c r="F350" s="29"/>
      <c r="G350" s="28"/>
      <c r="H350" s="30"/>
      <c r="I350" s="29"/>
      <c r="J350" s="29"/>
      <c r="K350" s="34" t="str">
        <f t="shared" si="24"/>
        <v/>
      </c>
      <c r="L350" s="29"/>
      <c r="M350" s="30"/>
      <c r="N350" s="35"/>
      <c r="O350" s="36"/>
      <c r="P350" s="37"/>
      <c r="Q350" s="52"/>
      <c r="R350" s="55"/>
      <c r="S350" s="56"/>
      <c r="T350" s="40"/>
      <c r="U350" s="38"/>
      <c r="V350" s="41"/>
      <c r="W350" s="39"/>
      <c r="X350" s="40"/>
      <c r="Y350" s="39"/>
      <c r="Z350" s="57"/>
      <c r="AA350" s="58"/>
      <c r="AB350" s="59"/>
      <c r="AC350" s="42"/>
    </row>
    <row r="351" spans="1:29" x14ac:dyDescent="0.25">
      <c r="A351" s="1" t="str">
        <f t="shared" ca="1" si="25"/>
        <v>Totaal</v>
      </c>
      <c r="B351" s="75" t="str">
        <f>IF(COUNT(B321:B350)&gt;0,AVERAGE(B321:B350)/10,"")</f>
        <v/>
      </c>
      <c r="C351" s="76" t="str">
        <f>IF(COUNT(C321:C350)&gt;0,AVERAGE(C321:C350)/10,"")</f>
        <v/>
      </c>
      <c r="D351" s="77" t="str">
        <f>IF(COUNT(D321:D350)&gt;0,AVERAGE(D321:D350)/10,"")</f>
        <v/>
      </c>
      <c r="E351" s="31" t="str">
        <f t="shared" ref="E351:J351" si="26">IF(COUNT(E321:E350)&gt;0,AVERAGE(E321:E350)/10,"")</f>
        <v/>
      </c>
      <c r="F351" s="32" t="str">
        <f t="shared" si="26"/>
        <v/>
      </c>
      <c r="G351" s="31" t="str">
        <f t="shared" si="26"/>
        <v/>
      </c>
      <c r="H351" s="33" t="str">
        <f t="shared" si="26"/>
        <v/>
      </c>
      <c r="I351" s="32" t="str">
        <f t="shared" si="26"/>
        <v/>
      </c>
      <c r="J351" s="32" t="str">
        <f t="shared" si="26"/>
        <v/>
      </c>
      <c r="K351" s="46" t="str">
        <f>IF(COUNT(K321:K350)&gt;0,SUM(K321:K350),"")</f>
        <v/>
      </c>
      <c r="L351" s="32" t="str">
        <f>IF(COUNT(L321:L350)&gt;0,AVERAGE(L321:L350)/10,"")</f>
        <v/>
      </c>
      <c r="M351" s="32" t="str">
        <f>IF(COUNT(M321:M350)&gt;0,AVERAGE(M321:M350)/10,"")</f>
        <v/>
      </c>
      <c r="N351" s="47" t="str">
        <f>IF(COUNT(N321:N350)&gt;0,AVERAGE(N321:N350)/10,"")</f>
        <v/>
      </c>
      <c r="O351" s="48" t="str">
        <f>IF(COUNT(O321:O350)&gt;0,AVERAGE(O321:O350)/10,"")</f>
        <v/>
      </c>
      <c r="P351" s="49" t="str">
        <f>IF(COUNT(P321:P350)&gt;0,AVERAGE(P321:P350)/10,"")</f>
        <v/>
      </c>
      <c r="Q351" s="51" t="str">
        <f>IF(COUNT(Q321:Q350)&gt;0,AVERAGE(Q321:Q350),"")</f>
        <v/>
      </c>
      <c r="R351" s="53" t="str">
        <f>IF(COUNT(R321:R350)&gt;0,AVERAGE(R321:R350),"")</f>
        <v/>
      </c>
      <c r="S351" s="54" t="str">
        <f>IF(COUNT(S321:S350)&gt;0,AVERAGE(S321:S350),"")</f>
        <v/>
      </c>
      <c r="T351" s="26"/>
      <c r="U351" s="50" t="str">
        <f>IF(COUNT(U321:U350)&gt;0,AVERAGE(U321:U350)/10,"")</f>
        <v/>
      </c>
      <c r="V351" s="27"/>
      <c r="W351" s="50" t="str">
        <f>IF(COUNT(W321:W350)&gt;0,AVERAGE(W321:W350)/10,"")</f>
        <v/>
      </c>
      <c r="X351" s="26"/>
      <c r="Y351" s="50" t="str">
        <f>IF(COUNT(Y321:Y350)&gt;0,AVERAGE(Y321:Y350)/10,"")</f>
        <v/>
      </c>
      <c r="Z351" s="60" t="str">
        <f>IF(COUNT(Z321:Z350)&gt;0,AVERAGE(Z321:Z350),"")</f>
        <v/>
      </c>
      <c r="AA351" s="61" t="str">
        <f>IF(COUNT(AA321:AA350)&gt;0,AVERAGE(AA321:AA350),"")</f>
        <v/>
      </c>
      <c r="AB351" s="62" t="str">
        <f>IF(COUNT(AB321:AB350)&gt;0,AVERAGE(AB321:AB350),"")</f>
        <v/>
      </c>
      <c r="AC351" s="45">
        <f>SUM(AC321:AC350)/10</f>
        <v>0</v>
      </c>
    </row>
    <row r="352" spans="1:29" x14ac:dyDescent="0.25">
      <c r="A352" s="1">
        <f t="shared" ca="1" si="25"/>
        <v>14946</v>
      </c>
      <c r="B352" s="74"/>
      <c r="C352" s="74"/>
      <c r="D352" s="74"/>
      <c r="E352" s="28"/>
      <c r="F352" s="29"/>
      <c r="G352" s="28"/>
      <c r="H352" s="30"/>
      <c r="I352" s="29"/>
      <c r="J352" s="29"/>
      <c r="K352" s="34" t="str">
        <f t="shared" ref="K352:K382" si="27">IF(COUNT(E352,G352,I352)&gt;0,SUM(E352,G352,I352)/10,"")</f>
        <v/>
      </c>
      <c r="L352" s="29"/>
      <c r="M352" s="30"/>
      <c r="N352" s="35"/>
      <c r="O352" s="36"/>
      <c r="P352" s="37"/>
      <c r="Q352" s="52"/>
      <c r="R352" s="55"/>
      <c r="S352" s="56"/>
      <c r="T352" s="40"/>
      <c r="U352" s="38"/>
      <c r="V352" s="41"/>
      <c r="W352" s="39"/>
      <c r="X352" s="40"/>
      <c r="Y352" s="39"/>
      <c r="Z352" s="57"/>
      <c r="AA352" s="58"/>
      <c r="AB352" s="59"/>
      <c r="AC352" s="42"/>
    </row>
    <row r="353" spans="1:29" x14ac:dyDescent="0.25">
      <c r="A353" s="1">
        <f t="shared" ca="1" si="25"/>
        <v>14947</v>
      </c>
      <c r="B353" s="74"/>
      <c r="C353" s="74"/>
      <c r="D353" s="74"/>
      <c r="E353" s="28"/>
      <c r="F353" s="29"/>
      <c r="G353" s="28"/>
      <c r="H353" s="30"/>
      <c r="I353" s="29"/>
      <c r="J353" s="29"/>
      <c r="K353" s="34" t="str">
        <f t="shared" si="27"/>
        <v/>
      </c>
      <c r="L353" s="29"/>
      <c r="M353" s="30"/>
      <c r="N353" s="35"/>
      <c r="O353" s="36"/>
      <c r="P353" s="37"/>
      <c r="Q353" s="52"/>
      <c r="R353" s="55"/>
      <c r="S353" s="56"/>
      <c r="T353" s="40"/>
      <c r="U353" s="38"/>
      <c r="V353" s="41"/>
      <c r="W353" s="39"/>
      <c r="X353" s="40"/>
      <c r="Y353" s="39"/>
      <c r="Z353" s="57"/>
      <c r="AA353" s="58"/>
      <c r="AB353" s="59"/>
      <c r="AC353" s="42"/>
    </row>
    <row r="354" spans="1:29" x14ac:dyDescent="0.25">
      <c r="A354" s="1">
        <f t="shared" ca="1" si="25"/>
        <v>14948</v>
      </c>
      <c r="B354" s="74"/>
      <c r="C354" s="74"/>
      <c r="D354" s="74"/>
      <c r="E354" s="28"/>
      <c r="F354" s="29"/>
      <c r="G354" s="28"/>
      <c r="H354" s="30"/>
      <c r="I354" s="29"/>
      <c r="J354" s="29"/>
      <c r="K354" s="34" t="str">
        <f t="shared" si="27"/>
        <v/>
      </c>
      <c r="L354" s="29"/>
      <c r="M354" s="30"/>
      <c r="N354" s="35"/>
      <c r="O354" s="36"/>
      <c r="P354" s="37"/>
      <c r="Q354" s="52"/>
      <c r="R354" s="55"/>
      <c r="S354" s="56"/>
      <c r="T354" s="40"/>
      <c r="U354" s="38"/>
      <c r="V354" s="41"/>
      <c r="W354" s="39"/>
      <c r="X354" s="40"/>
      <c r="Y354" s="39"/>
      <c r="Z354" s="57"/>
      <c r="AA354" s="58"/>
      <c r="AB354" s="59"/>
      <c r="AC354" s="42"/>
    </row>
    <row r="355" spans="1:29" x14ac:dyDescent="0.25">
      <c r="A355" s="1">
        <f t="shared" ca="1" si="25"/>
        <v>14949</v>
      </c>
      <c r="B355" s="74"/>
      <c r="C355" s="74"/>
      <c r="D355" s="74"/>
      <c r="E355" s="28"/>
      <c r="F355" s="29"/>
      <c r="G355" s="28"/>
      <c r="H355" s="30"/>
      <c r="I355" s="29"/>
      <c r="J355" s="29"/>
      <c r="K355" s="34" t="str">
        <f t="shared" si="27"/>
        <v/>
      </c>
      <c r="L355" s="29"/>
      <c r="M355" s="30"/>
      <c r="N355" s="35"/>
      <c r="O355" s="36"/>
      <c r="P355" s="37"/>
      <c r="Q355" s="52"/>
      <c r="R355" s="55"/>
      <c r="S355" s="56"/>
      <c r="T355" s="40"/>
      <c r="U355" s="38"/>
      <c r="V355" s="41"/>
      <c r="W355" s="39"/>
      <c r="X355" s="40"/>
      <c r="Y355" s="39"/>
      <c r="Z355" s="57"/>
      <c r="AA355" s="58"/>
      <c r="AB355" s="59"/>
      <c r="AC355" s="42"/>
    </row>
    <row r="356" spans="1:29" x14ac:dyDescent="0.25">
      <c r="A356" s="1">
        <f t="shared" ca="1" si="25"/>
        <v>14950</v>
      </c>
      <c r="B356" s="74"/>
      <c r="C356" s="74"/>
      <c r="D356" s="74"/>
      <c r="E356" s="28"/>
      <c r="F356" s="29"/>
      <c r="G356" s="28"/>
      <c r="H356" s="30"/>
      <c r="I356" s="29"/>
      <c r="J356" s="29"/>
      <c r="K356" s="34" t="str">
        <f t="shared" si="27"/>
        <v/>
      </c>
      <c r="L356" s="29"/>
      <c r="M356" s="30"/>
      <c r="N356" s="35"/>
      <c r="O356" s="36"/>
      <c r="P356" s="37"/>
      <c r="Q356" s="52"/>
      <c r="R356" s="55"/>
      <c r="S356" s="56"/>
      <c r="T356" s="40"/>
      <c r="U356" s="38"/>
      <c r="V356" s="41"/>
      <c r="W356" s="39"/>
      <c r="X356" s="40"/>
      <c r="Y356" s="39"/>
      <c r="Z356" s="57"/>
      <c r="AA356" s="58"/>
      <c r="AB356" s="59"/>
      <c r="AC356" s="42"/>
    </row>
    <row r="357" spans="1:29" x14ac:dyDescent="0.25">
      <c r="A357" s="1">
        <f t="shared" ca="1" si="25"/>
        <v>14951</v>
      </c>
      <c r="B357" s="74"/>
      <c r="C357" s="74"/>
      <c r="D357" s="74"/>
      <c r="E357" s="28"/>
      <c r="F357" s="29"/>
      <c r="G357" s="28"/>
      <c r="H357" s="30"/>
      <c r="I357" s="29"/>
      <c r="J357" s="29"/>
      <c r="K357" s="34" t="str">
        <f t="shared" si="27"/>
        <v/>
      </c>
      <c r="L357" s="29"/>
      <c r="M357" s="30"/>
      <c r="N357" s="35"/>
      <c r="O357" s="36"/>
      <c r="P357" s="37"/>
      <c r="Q357" s="52"/>
      <c r="R357" s="55"/>
      <c r="S357" s="56"/>
      <c r="T357" s="40"/>
      <c r="U357" s="38"/>
      <c r="V357" s="41"/>
      <c r="W357" s="39"/>
      <c r="X357" s="40"/>
      <c r="Y357" s="39"/>
      <c r="Z357" s="57"/>
      <c r="AA357" s="58"/>
      <c r="AB357" s="59"/>
      <c r="AC357" s="42"/>
    </row>
    <row r="358" spans="1:29" x14ac:dyDescent="0.25">
      <c r="A358" s="1">
        <f t="shared" ca="1" si="25"/>
        <v>14952</v>
      </c>
      <c r="B358" s="74"/>
      <c r="C358" s="74"/>
      <c r="D358" s="74"/>
      <c r="E358" s="28"/>
      <c r="F358" s="29"/>
      <c r="G358" s="28"/>
      <c r="H358" s="30"/>
      <c r="I358" s="29"/>
      <c r="J358" s="29"/>
      <c r="K358" s="34" t="str">
        <f t="shared" si="27"/>
        <v/>
      </c>
      <c r="L358" s="29"/>
      <c r="M358" s="30"/>
      <c r="N358" s="35"/>
      <c r="O358" s="36"/>
      <c r="P358" s="37"/>
      <c r="Q358" s="52"/>
      <c r="R358" s="55"/>
      <c r="S358" s="56"/>
      <c r="T358" s="40"/>
      <c r="U358" s="38"/>
      <c r="V358" s="41"/>
      <c r="W358" s="39"/>
      <c r="X358" s="40"/>
      <c r="Y358" s="39"/>
      <c r="Z358" s="57"/>
      <c r="AA358" s="58"/>
      <c r="AB358" s="59"/>
      <c r="AC358" s="42"/>
    </row>
    <row r="359" spans="1:29" x14ac:dyDescent="0.25">
      <c r="A359" s="1">
        <f t="shared" ca="1" si="25"/>
        <v>14953</v>
      </c>
      <c r="B359" s="74"/>
      <c r="C359" s="74"/>
      <c r="D359" s="74"/>
      <c r="E359" s="28"/>
      <c r="F359" s="29"/>
      <c r="G359" s="28"/>
      <c r="H359" s="30"/>
      <c r="I359" s="29"/>
      <c r="J359" s="29"/>
      <c r="K359" s="34" t="str">
        <f t="shared" si="27"/>
        <v/>
      </c>
      <c r="L359" s="29"/>
      <c r="M359" s="30"/>
      <c r="N359" s="35"/>
      <c r="O359" s="36"/>
      <c r="P359" s="37"/>
      <c r="Q359" s="52"/>
      <c r="R359" s="55"/>
      <c r="S359" s="56"/>
      <c r="T359" s="40"/>
      <c r="U359" s="38"/>
      <c r="V359" s="41"/>
      <c r="W359" s="39"/>
      <c r="X359" s="40"/>
      <c r="Y359" s="39"/>
      <c r="Z359" s="57"/>
      <c r="AA359" s="58"/>
      <c r="AB359" s="59"/>
      <c r="AC359" s="42"/>
    </row>
    <row r="360" spans="1:29" x14ac:dyDescent="0.25">
      <c r="A360" s="1">
        <f t="shared" ca="1" si="25"/>
        <v>14954</v>
      </c>
      <c r="B360" s="74"/>
      <c r="C360" s="74"/>
      <c r="D360" s="74"/>
      <c r="E360" s="28"/>
      <c r="F360" s="29"/>
      <c r="G360" s="28"/>
      <c r="H360" s="30"/>
      <c r="I360" s="29"/>
      <c r="J360" s="29"/>
      <c r="K360" s="34" t="str">
        <f t="shared" si="27"/>
        <v/>
      </c>
      <c r="L360" s="29"/>
      <c r="M360" s="30"/>
      <c r="N360" s="35"/>
      <c r="O360" s="36"/>
      <c r="P360" s="37"/>
      <c r="Q360" s="52"/>
      <c r="R360" s="55"/>
      <c r="S360" s="56"/>
      <c r="T360" s="40"/>
      <c r="U360" s="38"/>
      <c r="V360" s="41"/>
      <c r="W360" s="39"/>
      <c r="X360" s="40"/>
      <c r="Y360" s="39"/>
      <c r="Z360" s="57"/>
      <c r="AA360" s="58"/>
      <c r="AB360" s="59"/>
      <c r="AC360" s="42"/>
    </row>
    <row r="361" spans="1:29" x14ac:dyDescent="0.25">
      <c r="A361" s="1">
        <f t="shared" ca="1" si="25"/>
        <v>14955</v>
      </c>
      <c r="B361" s="74"/>
      <c r="C361" s="74"/>
      <c r="D361" s="74"/>
      <c r="E361" s="28"/>
      <c r="F361" s="29"/>
      <c r="G361" s="28"/>
      <c r="H361" s="30"/>
      <c r="I361" s="29"/>
      <c r="J361" s="29"/>
      <c r="K361" s="34" t="str">
        <f t="shared" si="27"/>
        <v/>
      </c>
      <c r="L361" s="29"/>
      <c r="M361" s="30"/>
      <c r="N361" s="35"/>
      <c r="O361" s="36"/>
      <c r="P361" s="37"/>
      <c r="Q361" s="52"/>
      <c r="R361" s="55"/>
      <c r="S361" s="56"/>
      <c r="T361" s="40"/>
      <c r="U361" s="38"/>
      <c r="V361" s="41"/>
      <c r="W361" s="39"/>
      <c r="X361" s="40"/>
      <c r="Y361" s="39"/>
      <c r="Z361" s="57"/>
      <c r="AA361" s="58"/>
      <c r="AB361" s="59"/>
      <c r="AC361" s="42"/>
    </row>
    <row r="362" spans="1:29" x14ac:dyDescent="0.25">
      <c r="A362" s="1">
        <f t="shared" ca="1" si="25"/>
        <v>14956</v>
      </c>
      <c r="B362" s="74"/>
      <c r="C362" s="74"/>
      <c r="D362" s="74"/>
      <c r="E362" s="28"/>
      <c r="F362" s="29"/>
      <c r="G362" s="28"/>
      <c r="H362" s="30"/>
      <c r="I362" s="29"/>
      <c r="J362" s="29"/>
      <c r="K362" s="34" t="str">
        <f t="shared" si="27"/>
        <v/>
      </c>
      <c r="L362" s="29"/>
      <c r="M362" s="30"/>
      <c r="N362" s="35"/>
      <c r="O362" s="36"/>
      <c r="P362" s="37"/>
      <c r="Q362" s="52"/>
      <c r="R362" s="55"/>
      <c r="S362" s="56"/>
      <c r="T362" s="40"/>
      <c r="U362" s="38"/>
      <c r="V362" s="41"/>
      <c r="W362" s="39"/>
      <c r="X362" s="40"/>
      <c r="Y362" s="39"/>
      <c r="Z362" s="57"/>
      <c r="AA362" s="58"/>
      <c r="AB362" s="59"/>
      <c r="AC362" s="42"/>
    </row>
    <row r="363" spans="1:29" x14ac:dyDescent="0.25">
      <c r="A363" s="1">
        <f t="shared" ca="1" si="25"/>
        <v>14957</v>
      </c>
      <c r="B363" s="74"/>
      <c r="C363" s="74"/>
      <c r="D363" s="74"/>
      <c r="E363" s="28"/>
      <c r="F363" s="29"/>
      <c r="G363" s="28"/>
      <c r="H363" s="30"/>
      <c r="I363" s="29"/>
      <c r="J363" s="29"/>
      <c r="K363" s="34" t="str">
        <f t="shared" si="27"/>
        <v/>
      </c>
      <c r="L363" s="29"/>
      <c r="M363" s="30"/>
      <c r="N363" s="35"/>
      <c r="O363" s="36"/>
      <c r="P363" s="37"/>
      <c r="Q363" s="52"/>
      <c r="R363" s="55"/>
      <c r="S363" s="56"/>
      <c r="T363" s="40"/>
      <c r="U363" s="38"/>
      <c r="V363" s="41"/>
      <c r="W363" s="39"/>
      <c r="X363" s="40"/>
      <c r="Y363" s="39"/>
      <c r="Z363" s="57"/>
      <c r="AA363" s="58"/>
      <c r="AB363" s="59"/>
      <c r="AC363" s="42"/>
    </row>
    <row r="364" spans="1:29" x14ac:dyDescent="0.25">
      <c r="A364" s="1">
        <f t="shared" ca="1" si="25"/>
        <v>14958</v>
      </c>
      <c r="B364" s="74"/>
      <c r="C364" s="74"/>
      <c r="D364" s="74"/>
      <c r="E364" s="28"/>
      <c r="F364" s="29"/>
      <c r="G364" s="28"/>
      <c r="H364" s="30"/>
      <c r="I364" s="29"/>
      <c r="J364" s="29"/>
      <c r="K364" s="34" t="str">
        <f t="shared" si="27"/>
        <v/>
      </c>
      <c r="L364" s="29"/>
      <c r="M364" s="30"/>
      <c r="N364" s="35"/>
      <c r="O364" s="36"/>
      <c r="P364" s="37"/>
      <c r="Q364" s="52"/>
      <c r="R364" s="55"/>
      <c r="S364" s="56"/>
      <c r="T364" s="40"/>
      <c r="U364" s="38"/>
      <c r="V364" s="41"/>
      <c r="W364" s="39"/>
      <c r="X364" s="40"/>
      <c r="Y364" s="39"/>
      <c r="Z364" s="57"/>
      <c r="AA364" s="58"/>
      <c r="AB364" s="59"/>
      <c r="AC364" s="42"/>
    </row>
    <row r="365" spans="1:29" x14ac:dyDescent="0.25">
      <c r="A365" s="1">
        <f t="shared" ca="1" si="25"/>
        <v>14959</v>
      </c>
      <c r="B365" s="74"/>
      <c r="C365" s="74"/>
      <c r="D365" s="74"/>
      <c r="E365" s="28"/>
      <c r="F365" s="29"/>
      <c r="G365" s="28"/>
      <c r="H365" s="30"/>
      <c r="I365" s="29"/>
      <c r="J365" s="29"/>
      <c r="K365" s="34" t="str">
        <f t="shared" si="27"/>
        <v/>
      </c>
      <c r="L365" s="29"/>
      <c r="M365" s="30"/>
      <c r="N365" s="35"/>
      <c r="O365" s="36"/>
      <c r="P365" s="37"/>
      <c r="Q365" s="52"/>
      <c r="R365" s="55"/>
      <c r="S365" s="56"/>
      <c r="T365" s="40"/>
      <c r="U365" s="38"/>
      <c r="V365" s="41"/>
      <c r="W365" s="39"/>
      <c r="X365" s="40"/>
      <c r="Y365" s="39"/>
      <c r="Z365" s="57"/>
      <c r="AA365" s="58"/>
      <c r="AB365" s="59"/>
      <c r="AC365" s="42"/>
    </row>
    <row r="366" spans="1:29" x14ac:dyDescent="0.25">
      <c r="A366" s="1">
        <f t="shared" ca="1" si="25"/>
        <v>14960</v>
      </c>
      <c r="B366" s="74"/>
      <c r="C366" s="74"/>
      <c r="D366" s="74"/>
      <c r="E366" s="28"/>
      <c r="F366" s="29"/>
      <c r="G366" s="28"/>
      <c r="H366" s="30"/>
      <c r="I366" s="29"/>
      <c r="J366" s="29"/>
      <c r="K366" s="34" t="str">
        <f t="shared" si="27"/>
        <v/>
      </c>
      <c r="L366" s="29"/>
      <c r="M366" s="30"/>
      <c r="N366" s="35"/>
      <c r="O366" s="36"/>
      <c r="P366" s="37"/>
      <c r="Q366" s="52"/>
      <c r="R366" s="55"/>
      <c r="S366" s="56"/>
      <c r="T366" s="40"/>
      <c r="U366" s="38"/>
      <c r="V366" s="41"/>
      <c r="W366" s="39"/>
      <c r="X366" s="40"/>
      <c r="Y366" s="39"/>
      <c r="Z366" s="57"/>
      <c r="AA366" s="58"/>
      <c r="AB366" s="59"/>
      <c r="AC366" s="42"/>
    </row>
    <row r="367" spans="1:29" x14ac:dyDescent="0.25">
      <c r="A367" s="1">
        <f t="shared" ca="1" si="25"/>
        <v>14961</v>
      </c>
      <c r="B367" s="74"/>
      <c r="C367" s="74"/>
      <c r="D367" s="74"/>
      <c r="E367" s="28"/>
      <c r="F367" s="29"/>
      <c r="G367" s="28"/>
      <c r="H367" s="30"/>
      <c r="I367" s="29"/>
      <c r="J367" s="29"/>
      <c r="K367" s="34" t="str">
        <f t="shared" si="27"/>
        <v/>
      </c>
      <c r="L367" s="29"/>
      <c r="M367" s="30"/>
      <c r="N367" s="35"/>
      <c r="O367" s="36"/>
      <c r="P367" s="37"/>
      <c r="Q367" s="52"/>
      <c r="R367" s="55"/>
      <c r="S367" s="56"/>
      <c r="T367" s="40"/>
      <c r="U367" s="38"/>
      <c r="V367" s="41"/>
      <c r="W367" s="39"/>
      <c r="X367" s="40"/>
      <c r="Y367" s="39"/>
      <c r="Z367" s="57"/>
      <c r="AA367" s="58"/>
      <c r="AB367" s="59"/>
      <c r="AC367" s="42"/>
    </row>
    <row r="368" spans="1:29" x14ac:dyDescent="0.25">
      <c r="A368" s="1">
        <f t="shared" ca="1" si="25"/>
        <v>14962</v>
      </c>
      <c r="B368" s="74"/>
      <c r="C368" s="74"/>
      <c r="D368" s="74"/>
      <c r="E368" s="28"/>
      <c r="F368" s="29"/>
      <c r="G368" s="28"/>
      <c r="H368" s="30"/>
      <c r="I368" s="29"/>
      <c r="J368" s="29"/>
      <c r="K368" s="34" t="str">
        <f t="shared" si="27"/>
        <v/>
      </c>
      <c r="L368" s="29"/>
      <c r="M368" s="30"/>
      <c r="N368" s="35"/>
      <c r="O368" s="36"/>
      <c r="P368" s="37"/>
      <c r="Q368" s="52"/>
      <c r="R368" s="55"/>
      <c r="S368" s="56"/>
      <c r="T368" s="40"/>
      <c r="U368" s="38"/>
      <c r="V368" s="41"/>
      <c r="W368" s="39"/>
      <c r="X368" s="40"/>
      <c r="Y368" s="39"/>
      <c r="Z368" s="57"/>
      <c r="AA368" s="58"/>
      <c r="AB368" s="59"/>
      <c r="AC368" s="42"/>
    </row>
    <row r="369" spans="1:29" x14ac:dyDescent="0.25">
      <c r="A369" s="1">
        <f t="shared" ca="1" si="25"/>
        <v>14963</v>
      </c>
      <c r="B369" s="74"/>
      <c r="C369" s="74"/>
      <c r="D369" s="74"/>
      <c r="E369" s="28"/>
      <c r="F369" s="29"/>
      <c r="G369" s="28"/>
      <c r="H369" s="30"/>
      <c r="I369" s="29"/>
      <c r="J369" s="29"/>
      <c r="K369" s="34" t="str">
        <f t="shared" si="27"/>
        <v/>
      </c>
      <c r="L369" s="29"/>
      <c r="M369" s="30"/>
      <c r="N369" s="35"/>
      <c r="O369" s="36"/>
      <c r="P369" s="37"/>
      <c r="Q369" s="52"/>
      <c r="R369" s="55"/>
      <c r="S369" s="56"/>
      <c r="T369" s="40"/>
      <c r="U369" s="38"/>
      <c r="V369" s="41"/>
      <c r="W369" s="39"/>
      <c r="X369" s="40"/>
      <c r="Y369" s="39"/>
      <c r="Z369" s="57"/>
      <c r="AA369" s="58"/>
      <c r="AB369" s="59"/>
      <c r="AC369" s="42"/>
    </row>
    <row r="370" spans="1:29" x14ac:dyDescent="0.25">
      <c r="A370" s="1">
        <f t="shared" ca="1" si="25"/>
        <v>14964</v>
      </c>
      <c r="B370" s="74"/>
      <c r="C370" s="74"/>
      <c r="D370" s="74"/>
      <c r="E370" s="28"/>
      <c r="F370" s="29"/>
      <c r="G370" s="28"/>
      <c r="H370" s="30"/>
      <c r="I370" s="29"/>
      <c r="J370" s="29"/>
      <c r="K370" s="34" t="str">
        <f t="shared" si="27"/>
        <v/>
      </c>
      <c r="L370" s="29"/>
      <c r="M370" s="30"/>
      <c r="N370" s="35"/>
      <c r="O370" s="36"/>
      <c r="P370" s="37"/>
      <c r="Q370" s="52"/>
      <c r="R370" s="55"/>
      <c r="S370" s="56"/>
      <c r="T370" s="40"/>
      <c r="U370" s="38"/>
      <c r="V370" s="41"/>
      <c r="W370" s="39"/>
      <c r="X370" s="40"/>
      <c r="Y370" s="39"/>
      <c r="Z370" s="57"/>
      <c r="AA370" s="58"/>
      <c r="AB370" s="59"/>
      <c r="AC370" s="42"/>
    </row>
    <row r="371" spans="1:29" x14ac:dyDescent="0.25">
      <c r="A371" s="1">
        <f t="shared" ca="1" si="25"/>
        <v>14965</v>
      </c>
      <c r="B371" s="74"/>
      <c r="C371" s="74"/>
      <c r="D371" s="74"/>
      <c r="E371" s="28"/>
      <c r="F371" s="29"/>
      <c r="G371" s="28"/>
      <c r="H371" s="30"/>
      <c r="I371" s="29"/>
      <c r="J371" s="29"/>
      <c r="K371" s="34" t="str">
        <f t="shared" si="27"/>
        <v/>
      </c>
      <c r="L371" s="29"/>
      <c r="M371" s="30"/>
      <c r="N371" s="35"/>
      <c r="O371" s="36"/>
      <c r="P371" s="37"/>
      <c r="Q371" s="52"/>
      <c r="R371" s="55"/>
      <c r="S371" s="56"/>
      <c r="T371" s="40"/>
      <c r="U371" s="38"/>
      <c r="V371" s="41"/>
      <c r="W371" s="39"/>
      <c r="X371" s="40"/>
      <c r="Y371" s="39"/>
      <c r="Z371" s="57"/>
      <c r="AA371" s="58"/>
      <c r="AB371" s="59"/>
      <c r="AC371" s="42"/>
    </row>
    <row r="372" spans="1:29" x14ac:dyDescent="0.25">
      <c r="A372" s="1">
        <f t="shared" ca="1" si="25"/>
        <v>14966</v>
      </c>
      <c r="B372" s="74"/>
      <c r="C372" s="74"/>
      <c r="D372" s="74"/>
      <c r="E372" s="28"/>
      <c r="F372" s="29"/>
      <c r="G372" s="28"/>
      <c r="H372" s="30"/>
      <c r="I372" s="29"/>
      <c r="J372" s="29"/>
      <c r="K372" s="34" t="str">
        <f t="shared" si="27"/>
        <v/>
      </c>
      <c r="L372" s="29"/>
      <c r="M372" s="30"/>
      <c r="N372" s="35"/>
      <c r="O372" s="36"/>
      <c r="P372" s="37"/>
      <c r="Q372" s="52"/>
      <c r="R372" s="55"/>
      <c r="S372" s="56"/>
      <c r="T372" s="40"/>
      <c r="U372" s="38"/>
      <c r="V372" s="41"/>
      <c r="W372" s="39"/>
      <c r="X372" s="40"/>
      <c r="Y372" s="39"/>
      <c r="Z372" s="57"/>
      <c r="AA372" s="58"/>
      <c r="AB372" s="59"/>
      <c r="AC372" s="42"/>
    </row>
    <row r="373" spans="1:29" x14ac:dyDescent="0.25">
      <c r="A373" s="1">
        <f t="shared" ca="1" si="25"/>
        <v>14967</v>
      </c>
      <c r="B373" s="74"/>
      <c r="C373" s="74"/>
      <c r="D373" s="74"/>
      <c r="E373" s="28"/>
      <c r="F373" s="29"/>
      <c r="G373" s="28"/>
      <c r="H373" s="30"/>
      <c r="I373" s="29"/>
      <c r="J373" s="29"/>
      <c r="K373" s="34" t="str">
        <f t="shared" si="27"/>
        <v/>
      </c>
      <c r="L373" s="29"/>
      <c r="M373" s="30"/>
      <c r="N373" s="35"/>
      <c r="O373" s="36"/>
      <c r="P373" s="37"/>
      <c r="Q373" s="52"/>
      <c r="R373" s="55"/>
      <c r="S373" s="56"/>
      <c r="T373" s="40"/>
      <c r="U373" s="38"/>
      <c r="V373" s="41"/>
      <c r="W373" s="39"/>
      <c r="X373" s="40"/>
      <c r="Y373" s="39"/>
      <c r="Z373" s="57"/>
      <c r="AA373" s="58"/>
      <c r="AB373" s="59"/>
      <c r="AC373" s="42"/>
    </row>
    <row r="374" spans="1:29" x14ac:dyDescent="0.25">
      <c r="A374" s="1">
        <f t="shared" ca="1" si="25"/>
        <v>14968</v>
      </c>
      <c r="B374" s="74"/>
      <c r="C374" s="74"/>
      <c r="D374" s="74"/>
      <c r="E374" s="28"/>
      <c r="F374" s="29"/>
      <c r="G374" s="28"/>
      <c r="H374" s="30"/>
      <c r="I374" s="29"/>
      <c r="J374" s="29"/>
      <c r="K374" s="34" t="str">
        <f t="shared" si="27"/>
        <v/>
      </c>
      <c r="L374" s="29"/>
      <c r="M374" s="30"/>
      <c r="N374" s="35"/>
      <c r="O374" s="36"/>
      <c r="P374" s="37"/>
      <c r="Q374" s="52"/>
      <c r="R374" s="55"/>
      <c r="S374" s="56"/>
      <c r="T374" s="40"/>
      <c r="U374" s="38"/>
      <c r="V374" s="41"/>
      <c r="W374" s="39"/>
      <c r="X374" s="40"/>
      <c r="Y374" s="39"/>
      <c r="Z374" s="57"/>
      <c r="AA374" s="58"/>
      <c r="AB374" s="59"/>
      <c r="AC374" s="42"/>
    </row>
    <row r="375" spans="1:29" x14ac:dyDescent="0.25">
      <c r="A375" s="1">
        <f t="shared" ca="1" si="25"/>
        <v>14969</v>
      </c>
      <c r="B375" s="74"/>
      <c r="C375" s="74"/>
      <c r="D375" s="74"/>
      <c r="E375" s="28"/>
      <c r="F375" s="29"/>
      <c r="G375" s="28"/>
      <c r="H375" s="30"/>
      <c r="I375" s="29"/>
      <c r="J375" s="29"/>
      <c r="K375" s="34" t="str">
        <f t="shared" si="27"/>
        <v/>
      </c>
      <c r="L375" s="29"/>
      <c r="M375" s="30"/>
      <c r="N375" s="35"/>
      <c r="O375" s="36"/>
      <c r="P375" s="37"/>
      <c r="Q375" s="52"/>
      <c r="R375" s="55"/>
      <c r="S375" s="56"/>
      <c r="T375" s="40"/>
      <c r="U375" s="38"/>
      <c r="V375" s="41"/>
      <c r="W375" s="39"/>
      <c r="X375" s="40"/>
      <c r="Y375" s="39"/>
      <c r="Z375" s="57"/>
      <c r="AA375" s="58"/>
      <c r="AB375" s="59"/>
      <c r="AC375" s="42"/>
    </row>
    <row r="376" spans="1:29" x14ac:dyDescent="0.25">
      <c r="A376" s="1">
        <f t="shared" ca="1" si="25"/>
        <v>14970</v>
      </c>
      <c r="B376" s="74"/>
      <c r="C376" s="74"/>
      <c r="D376" s="74"/>
      <c r="E376" s="28"/>
      <c r="F376" s="29"/>
      <c r="G376" s="28"/>
      <c r="H376" s="30"/>
      <c r="I376" s="29"/>
      <c r="J376" s="29"/>
      <c r="K376" s="34" t="str">
        <f t="shared" si="27"/>
        <v/>
      </c>
      <c r="L376" s="29"/>
      <c r="M376" s="30"/>
      <c r="N376" s="35"/>
      <c r="O376" s="36"/>
      <c r="P376" s="37"/>
      <c r="Q376" s="52"/>
      <c r="R376" s="55"/>
      <c r="S376" s="56"/>
      <c r="T376" s="40"/>
      <c r="U376" s="38"/>
      <c r="V376" s="41"/>
      <c r="W376" s="39"/>
      <c r="X376" s="40"/>
      <c r="Y376" s="39"/>
      <c r="Z376" s="57"/>
      <c r="AA376" s="58"/>
      <c r="AB376" s="59"/>
      <c r="AC376" s="42"/>
    </row>
    <row r="377" spans="1:29" x14ac:dyDescent="0.25">
      <c r="A377" s="1">
        <f t="shared" ca="1" si="25"/>
        <v>14971</v>
      </c>
      <c r="B377" s="74"/>
      <c r="C377" s="74"/>
      <c r="D377" s="74"/>
      <c r="E377" s="28"/>
      <c r="F377" s="29"/>
      <c r="G377" s="28"/>
      <c r="H377" s="30"/>
      <c r="I377" s="29"/>
      <c r="J377" s="29"/>
      <c r="K377" s="34" t="str">
        <f t="shared" si="27"/>
        <v/>
      </c>
      <c r="L377" s="29"/>
      <c r="M377" s="30"/>
      <c r="N377" s="35"/>
      <c r="O377" s="36"/>
      <c r="P377" s="37"/>
      <c r="Q377" s="52"/>
      <c r="R377" s="55"/>
      <c r="S377" s="56"/>
      <c r="T377" s="40"/>
      <c r="U377" s="38"/>
      <c r="V377" s="41"/>
      <c r="W377" s="39"/>
      <c r="X377" s="40"/>
      <c r="Y377" s="39"/>
      <c r="Z377" s="57"/>
      <c r="AA377" s="58"/>
      <c r="AB377" s="59"/>
      <c r="AC377" s="42"/>
    </row>
    <row r="378" spans="1:29" x14ac:dyDescent="0.25">
      <c r="A378" s="1">
        <f t="shared" ca="1" si="25"/>
        <v>14972</v>
      </c>
      <c r="B378" s="74"/>
      <c r="C378" s="74"/>
      <c r="D378" s="74"/>
      <c r="E378" s="28"/>
      <c r="F378" s="29"/>
      <c r="G378" s="28"/>
      <c r="H378" s="30"/>
      <c r="I378" s="29"/>
      <c r="J378" s="29"/>
      <c r="K378" s="34" t="str">
        <f t="shared" si="27"/>
        <v/>
      </c>
      <c r="L378" s="29"/>
      <c r="M378" s="30"/>
      <c r="N378" s="35"/>
      <c r="O378" s="36"/>
      <c r="P378" s="37"/>
      <c r="Q378" s="52"/>
      <c r="R378" s="55"/>
      <c r="S378" s="56"/>
      <c r="T378" s="40"/>
      <c r="U378" s="38"/>
      <c r="V378" s="41"/>
      <c r="W378" s="39"/>
      <c r="X378" s="40"/>
      <c r="Y378" s="39"/>
      <c r="Z378" s="57"/>
      <c r="AA378" s="58"/>
      <c r="AB378" s="59"/>
      <c r="AC378" s="42"/>
    </row>
    <row r="379" spans="1:29" x14ac:dyDescent="0.25">
      <c r="A379" s="1">
        <f t="shared" ca="1" si="25"/>
        <v>14973</v>
      </c>
      <c r="B379" s="74"/>
      <c r="C379" s="74"/>
      <c r="D379" s="74"/>
      <c r="E379" s="28"/>
      <c r="F379" s="29"/>
      <c r="G379" s="28"/>
      <c r="H379" s="30"/>
      <c r="I379" s="29"/>
      <c r="J379" s="29"/>
      <c r="K379" s="34" t="str">
        <f t="shared" si="27"/>
        <v/>
      </c>
      <c r="L379" s="29"/>
      <c r="M379" s="30"/>
      <c r="N379" s="35"/>
      <c r="O379" s="36"/>
      <c r="P379" s="37"/>
      <c r="Q379" s="52"/>
      <c r="R379" s="55"/>
      <c r="S379" s="56"/>
      <c r="T379" s="40"/>
      <c r="U379" s="38"/>
      <c r="V379" s="41"/>
      <c r="W379" s="39"/>
      <c r="X379" s="40"/>
      <c r="Y379" s="39"/>
      <c r="Z379" s="57"/>
      <c r="AA379" s="58"/>
      <c r="AB379" s="59"/>
      <c r="AC379" s="42"/>
    </row>
    <row r="380" spans="1:29" x14ac:dyDescent="0.25">
      <c r="A380" s="1">
        <f t="shared" ca="1" si="25"/>
        <v>14974</v>
      </c>
      <c r="B380" s="74"/>
      <c r="C380" s="74"/>
      <c r="D380" s="74"/>
      <c r="E380" s="28"/>
      <c r="F380" s="29"/>
      <c r="G380" s="28"/>
      <c r="H380" s="30"/>
      <c r="I380" s="29"/>
      <c r="J380" s="29"/>
      <c r="K380" s="34" t="str">
        <f t="shared" si="27"/>
        <v/>
      </c>
      <c r="L380" s="29"/>
      <c r="M380" s="30"/>
      <c r="N380" s="35"/>
      <c r="O380" s="36"/>
      <c r="P380" s="37"/>
      <c r="Q380" s="52"/>
      <c r="R380" s="55"/>
      <c r="S380" s="56"/>
      <c r="T380" s="40"/>
      <c r="U380" s="38"/>
      <c r="V380" s="41"/>
      <c r="W380" s="39"/>
      <c r="X380" s="40"/>
      <c r="Y380" s="39"/>
      <c r="Z380" s="57"/>
      <c r="AA380" s="58"/>
      <c r="AB380" s="59"/>
      <c r="AC380" s="42"/>
    </row>
    <row r="381" spans="1:29" x14ac:dyDescent="0.25">
      <c r="A381" s="1">
        <f t="shared" ca="1" si="25"/>
        <v>14975</v>
      </c>
      <c r="B381" s="74"/>
      <c r="C381" s="74"/>
      <c r="D381" s="74"/>
      <c r="E381" s="28"/>
      <c r="F381" s="29"/>
      <c r="G381" s="28"/>
      <c r="H381" s="30"/>
      <c r="I381" s="29"/>
      <c r="J381" s="29"/>
      <c r="K381" s="34" t="str">
        <f t="shared" si="27"/>
        <v/>
      </c>
      <c r="L381" s="29"/>
      <c r="M381" s="30"/>
      <c r="N381" s="35"/>
      <c r="O381" s="36"/>
      <c r="P381" s="37"/>
      <c r="Q381" s="52"/>
      <c r="R381" s="55"/>
      <c r="S381" s="56"/>
      <c r="T381" s="40"/>
      <c r="U381" s="38"/>
      <c r="V381" s="41"/>
      <c r="W381" s="39"/>
      <c r="X381" s="40"/>
      <c r="Y381" s="39"/>
      <c r="Z381" s="57"/>
      <c r="AA381" s="58"/>
      <c r="AB381" s="59"/>
      <c r="AC381" s="42"/>
    </row>
    <row r="382" spans="1:29" x14ac:dyDescent="0.25">
      <c r="A382" s="1">
        <f t="shared" ca="1" si="25"/>
        <v>14976</v>
      </c>
      <c r="B382" s="74"/>
      <c r="C382" s="74"/>
      <c r="D382" s="74"/>
      <c r="E382" s="28"/>
      <c r="F382" s="29"/>
      <c r="G382" s="28"/>
      <c r="H382" s="30"/>
      <c r="I382" s="29"/>
      <c r="J382" s="29"/>
      <c r="K382" s="34" t="str">
        <f t="shared" si="27"/>
        <v/>
      </c>
      <c r="L382" s="29"/>
      <c r="M382" s="30"/>
      <c r="N382" s="35"/>
      <c r="O382" s="36"/>
      <c r="P382" s="37"/>
      <c r="Q382" s="52"/>
      <c r="R382" s="55"/>
      <c r="S382" s="56"/>
      <c r="T382" s="40"/>
      <c r="U382" s="38"/>
      <c r="V382" s="41"/>
      <c r="W382" s="39"/>
      <c r="X382" s="40"/>
      <c r="Y382" s="39"/>
      <c r="Z382" s="57"/>
      <c r="AA382" s="58"/>
      <c r="AB382" s="59"/>
      <c r="AC382" s="42"/>
    </row>
    <row r="383" spans="1:29" x14ac:dyDescent="0.25">
      <c r="A383" s="1" t="str">
        <f t="shared" ca="1" si="25"/>
        <v>Totaal</v>
      </c>
      <c r="B383" s="75" t="str">
        <f>IF(COUNT(B352:B382)&gt;0,AVERAGE(B352:B382)/10,"")</f>
        <v/>
      </c>
      <c r="C383" s="76" t="str">
        <f>IF(COUNT(C352:C382)&gt;0,AVERAGE(C352:C382)/10,"")</f>
        <v/>
      </c>
      <c r="D383" s="77" t="str">
        <f>IF(COUNT(D352:D382)&gt;0,AVERAGE(D352:D382)/10,"")</f>
        <v/>
      </c>
      <c r="E383" s="31" t="str">
        <f>IF(COUNT(E352:E382)&gt;0,AVERAGE(E352:E382)/10,"")</f>
        <v/>
      </c>
      <c r="F383" s="32" t="str">
        <f t="shared" ref="F383:J383" si="28">IF(COUNT(F352:F382)&gt;0,AVERAGE(F352:F382)/10,"")</f>
        <v/>
      </c>
      <c r="G383" s="31" t="str">
        <f t="shared" si="28"/>
        <v/>
      </c>
      <c r="H383" s="33" t="str">
        <f t="shared" si="28"/>
        <v/>
      </c>
      <c r="I383" s="32" t="str">
        <f t="shared" si="28"/>
        <v/>
      </c>
      <c r="J383" s="32" t="str">
        <f t="shared" si="28"/>
        <v/>
      </c>
      <c r="K383" s="46" t="str">
        <f>IF(COUNT(K352:K382)&gt;0,SUM(K352:K382),"")</f>
        <v/>
      </c>
      <c r="L383" s="32" t="str">
        <f>IF(COUNT(L352:L382)&gt;0,AVERAGE(L352:L382)/10,"")</f>
        <v/>
      </c>
      <c r="M383" s="32" t="str">
        <f>IF(COUNT(M352:M382)&gt;0,AVERAGE(M352:M382)/10,"")</f>
        <v/>
      </c>
      <c r="N383" s="47" t="str">
        <f>IF(COUNT(N352:N382)&gt;0,AVERAGE(N352:N382)/10,"")</f>
        <v/>
      </c>
      <c r="O383" s="48" t="str">
        <f>IF(COUNT(O352:O382)&gt;0,AVERAGE(O352:O382)/10,"")</f>
        <v/>
      </c>
      <c r="P383" s="49" t="str">
        <f>IF(COUNT(P352:P382)&gt;0,AVERAGE(P352:P382)/10,"")</f>
        <v/>
      </c>
      <c r="Q383" s="51" t="str">
        <f>IF(COUNT(Q352:Q382)&gt;0,AVERAGE(Q352:Q382),"")</f>
        <v/>
      </c>
      <c r="R383" s="53" t="str">
        <f>IF(COUNT(R352:R382)&gt;0,AVERAGE(R352:R382),"")</f>
        <v/>
      </c>
      <c r="S383" s="54" t="str">
        <f>IF(COUNT(S352:S382)&gt;0,AVERAGE(S352:S382),"")</f>
        <v/>
      </c>
      <c r="T383" s="26"/>
      <c r="U383" s="50" t="str">
        <f>IF(COUNT(U352:U382)&gt;0,AVERAGE(U352:U382)/10,"")</f>
        <v/>
      </c>
      <c r="V383" s="27"/>
      <c r="W383" s="50" t="str">
        <f>IF(COUNT(W352:W382)&gt;0,AVERAGE(W352:W382)/10,"")</f>
        <v/>
      </c>
      <c r="X383" s="26"/>
      <c r="Y383" s="50" t="str">
        <f>IF(COUNT(Y352:Y382)&gt;0,AVERAGE(Y352:Y382)/10,"")</f>
        <v/>
      </c>
      <c r="Z383" s="60" t="str">
        <f>IF(COUNT(Z352:Z382)&gt;0,AVERAGE(Z352:Z382),"")</f>
        <v/>
      </c>
      <c r="AA383" s="61" t="str">
        <f>IF(COUNT(AA352:AA382)&gt;0,AVERAGE(AA352:AA382),"")</f>
        <v/>
      </c>
      <c r="AB383" s="62" t="str">
        <f>IF(COUNT(AB352:AB382)&gt;0,AVERAGE(AB352:AB382),"")</f>
        <v/>
      </c>
      <c r="AC383" s="45">
        <f>SUM(AC352:AC382)/10</f>
        <v>0</v>
      </c>
    </row>
  </sheetData>
  <sheetProtection sheet="1" objects="1" scenarios="1" selectLockedCells="1"/>
  <mergeCells count="18">
    <mergeCell ref="I4:J4"/>
    <mergeCell ref="E3:M3"/>
    <mergeCell ref="L4:L5"/>
    <mergeCell ref="M4:M5"/>
    <mergeCell ref="Z3:AB4"/>
    <mergeCell ref="B3:D4"/>
    <mergeCell ref="A1:AC1"/>
    <mergeCell ref="T4:U4"/>
    <mergeCell ref="V4:W4"/>
    <mergeCell ref="X4:Y4"/>
    <mergeCell ref="T3:Y3"/>
    <mergeCell ref="AC3:AC4"/>
    <mergeCell ref="N3:P4"/>
    <mergeCell ref="Q3:S4"/>
    <mergeCell ref="A3:A5"/>
    <mergeCell ref="K4:K5"/>
    <mergeCell ref="E4:F4"/>
    <mergeCell ref="G4:H4"/>
  </mergeCells>
  <conditionalFormatting sqref="A6:AC7 E37:Y383 AC37:AC383 B8:AC36 A8:A383">
    <cfRule type="expression" dxfId="2" priority="3">
      <formula>ISTEXT($A6)</formula>
    </cfRule>
  </conditionalFormatting>
  <conditionalFormatting sqref="B37:D383">
    <cfRule type="expression" dxfId="1" priority="2">
      <formula>ISTEXT($A37)</formula>
    </cfRule>
  </conditionalFormatting>
  <conditionalFormatting sqref="Z37:AB383">
    <cfRule type="expression" dxfId="0" priority="1">
      <formula>ISTEXT($A37)</formula>
    </cfRule>
  </conditionalFormatting>
  <dataValidations count="1">
    <dataValidation type="list" allowBlank="1" showInputMessage="1" showErrorMessage="1" sqref="T6:T36 T38:T66 T68:T98 T100:T129 T131:T161 T163:T192 T194:T224 T226:T256 T258:T287 T289:T319 T321:T350 T352:T382 V6:V36 V38:V66 V68:V98 V100:V129 V131:V161 V163:V192 V194:V224 V226:V256 V258:V287 V289:V319 V321:V350 V352:V382 X6:X36 X38:X66 X68:X98 X100:X129 X131:X161 X163:X192 X194:X224 X226:X256 X258:X287 X289:X319 X321:X350 X352:X382">
      <formula1>OFFSET(Windrichting,1,1,,1)</formula1>
    </dataValidation>
  </dataValidations>
  <pageMargins left="0.7" right="0.7" top="0.75" bottom="0.75" header="0.3" footer="0.3"/>
  <pageSetup paperSize="9" orientation="portrait" r:id="rId1"/>
  <ignoredErrors>
    <ignoredError sqref="K64:K383 K37:K6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O2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41" x14ac:dyDescent="0.25">
      <c r="A1" t="s">
        <v>9</v>
      </c>
      <c r="D1" t="s">
        <v>21</v>
      </c>
      <c r="G1" t="s">
        <v>19</v>
      </c>
      <c r="J1" t="s">
        <v>63</v>
      </c>
      <c r="M1" t="s">
        <v>20</v>
      </c>
    </row>
    <row r="2" spans="1:41" ht="15.75" thickBot="1" x14ac:dyDescent="0.3"/>
    <row r="3" spans="1:41" x14ac:dyDescent="0.25">
      <c r="M3" s="115" t="s">
        <v>0</v>
      </c>
      <c r="N3" s="118" t="s">
        <v>49</v>
      </c>
      <c r="O3" s="119"/>
      <c r="P3" s="120"/>
      <c r="Q3" s="124" t="s">
        <v>32</v>
      </c>
      <c r="R3" s="125"/>
      <c r="S3" s="125"/>
      <c r="T3" s="125"/>
      <c r="U3" s="125"/>
      <c r="V3" s="125"/>
      <c r="W3" s="125"/>
      <c r="X3" s="125"/>
      <c r="Y3" s="125"/>
      <c r="Z3" s="132" t="s">
        <v>39</v>
      </c>
      <c r="AA3" s="133"/>
      <c r="AB3" s="134"/>
      <c r="AC3" s="138" t="s">
        <v>40</v>
      </c>
      <c r="AD3" s="139"/>
      <c r="AE3" s="140"/>
      <c r="AF3" s="124" t="s">
        <v>45</v>
      </c>
      <c r="AG3" s="125"/>
      <c r="AH3" s="125"/>
      <c r="AI3" s="125"/>
      <c r="AJ3" s="125"/>
      <c r="AK3" s="125"/>
      <c r="AL3" s="132" t="s">
        <v>48</v>
      </c>
      <c r="AM3" s="133"/>
      <c r="AN3" s="134"/>
      <c r="AO3" s="118" t="s">
        <v>1</v>
      </c>
    </row>
    <row r="4" spans="1:41" ht="15.75" thickBot="1" x14ac:dyDescent="0.3">
      <c r="M4" s="116"/>
      <c r="N4" s="121"/>
      <c r="O4" s="122"/>
      <c r="P4" s="123"/>
      <c r="Q4" s="126" t="s">
        <v>35</v>
      </c>
      <c r="R4" s="127"/>
      <c r="S4" s="126" t="s">
        <v>37</v>
      </c>
      <c r="T4" s="128"/>
      <c r="U4" s="127" t="s">
        <v>38</v>
      </c>
      <c r="V4" s="128"/>
      <c r="W4" s="129" t="s">
        <v>36</v>
      </c>
      <c r="X4" s="131" t="s">
        <v>41</v>
      </c>
      <c r="Y4" s="131" t="s">
        <v>42</v>
      </c>
      <c r="Z4" s="135"/>
      <c r="AA4" s="136"/>
      <c r="AB4" s="137"/>
      <c r="AC4" s="141"/>
      <c r="AD4" s="142"/>
      <c r="AE4" s="143"/>
      <c r="AF4" s="126" t="s">
        <v>35</v>
      </c>
      <c r="AG4" s="127"/>
      <c r="AH4" s="126" t="s">
        <v>37</v>
      </c>
      <c r="AI4" s="128"/>
      <c r="AJ4" s="127" t="s">
        <v>38</v>
      </c>
      <c r="AK4" s="127"/>
      <c r="AL4" s="135"/>
      <c r="AM4" s="136"/>
      <c r="AN4" s="137"/>
      <c r="AO4" s="121"/>
    </row>
    <row r="5" spans="1:41" x14ac:dyDescent="0.25">
      <c r="A5" s="14" t="s">
        <v>10</v>
      </c>
      <c r="B5" s="13" t="s">
        <v>11</v>
      </c>
      <c r="D5" s="13" t="s">
        <v>22</v>
      </c>
      <c r="E5" s="13" t="s">
        <v>62</v>
      </c>
      <c r="G5" s="9" t="s">
        <v>12</v>
      </c>
      <c r="H5" s="9" t="s">
        <v>13</v>
      </c>
      <c r="I5" s="65"/>
      <c r="J5" s="9" t="s">
        <v>80</v>
      </c>
      <c r="K5" s="9" t="s">
        <v>81</v>
      </c>
      <c r="M5" s="117"/>
      <c r="N5" s="78" t="s">
        <v>35</v>
      </c>
      <c r="O5" s="3" t="s">
        <v>37</v>
      </c>
      <c r="P5" s="79" t="s">
        <v>38</v>
      </c>
      <c r="Q5" s="3" t="s">
        <v>33</v>
      </c>
      <c r="R5" s="3" t="s">
        <v>34</v>
      </c>
      <c r="S5" s="78" t="s">
        <v>33</v>
      </c>
      <c r="T5" s="79" t="s">
        <v>34</v>
      </c>
      <c r="U5" s="3" t="s">
        <v>33</v>
      </c>
      <c r="V5" s="3" t="s">
        <v>34</v>
      </c>
      <c r="W5" s="130"/>
      <c r="X5" s="122"/>
      <c r="Y5" s="122"/>
      <c r="Z5" s="78" t="s">
        <v>35</v>
      </c>
      <c r="AA5" s="3" t="s">
        <v>37</v>
      </c>
      <c r="AB5" s="79" t="s">
        <v>38</v>
      </c>
      <c r="AC5" s="78" t="s">
        <v>35</v>
      </c>
      <c r="AD5" s="3" t="s">
        <v>37</v>
      </c>
      <c r="AE5" s="79" t="s">
        <v>38</v>
      </c>
      <c r="AF5" s="3" t="s">
        <v>43</v>
      </c>
      <c r="AG5" s="3" t="s">
        <v>44</v>
      </c>
      <c r="AH5" s="78" t="s">
        <v>43</v>
      </c>
      <c r="AI5" s="79" t="s">
        <v>44</v>
      </c>
      <c r="AJ5" s="3" t="s">
        <v>43</v>
      </c>
      <c r="AK5" s="3" t="s">
        <v>44</v>
      </c>
      <c r="AL5" s="78" t="s">
        <v>35</v>
      </c>
      <c r="AM5" s="3" t="s">
        <v>37</v>
      </c>
      <c r="AN5" s="79" t="s">
        <v>38</v>
      </c>
      <c r="AO5" s="3" t="s">
        <v>25</v>
      </c>
    </row>
    <row r="6" spans="1:41" x14ac:dyDescent="0.25">
      <c r="A6" s="4">
        <v>32</v>
      </c>
      <c r="B6" t="s">
        <v>25</v>
      </c>
      <c r="D6" t="s">
        <v>6</v>
      </c>
      <c r="E6" t="s">
        <v>76</v>
      </c>
      <c r="G6" t="s">
        <v>14</v>
      </c>
      <c r="H6" s="5">
        <v>0</v>
      </c>
      <c r="I6" s="5"/>
      <c r="J6" s="67">
        <v>0</v>
      </c>
      <c r="K6" s="68" t="s">
        <v>82</v>
      </c>
    </row>
    <row r="7" spans="1:41" x14ac:dyDescent="0.25">
      <c r="A7" s="4">
        <v>31</v>
      </c>
      <c r="B7" t="s">
        <v>26</v>
      </c>
      <c r="D7" s="15" t="s">
        <v>8</v>
      </c>
      <c r="E7" s="15" t="s">
        <v>77</v>
      </c>
      <c r="G7" t="s">
        <v>15</v>
      </c>
      <c r="H7" s="5">
        <v>1</v>
      </c>
      <c r="I7" s="5"/>
      <c r="J7" s="67">
        <v>25</v>
      </c>
      <c r="K7" s="69" t="s">
        <v>89</v>
      </c>
    </row>
    <row r="8" spans="1:41" x14ac:dyDescent="0.25">
      <c r="A8" s="4">
        <v>33</v>
      </c>
      <c r="B8" t="s">
        <v>27</v>
      </c>
      <c r="D8" s="63" t="s">
        <v>50</v>
      </c>
      <c r="E8" s="63" t="s">
        <v>78</v>
      </c>
      <c r="G8" t="s">
        <v>16</v>
      </c>
      <c r="H8" s="5">
        <v>4</v>
      </c>
      <c r="I8" s="5"/>
      <c r="J8" s="67">
        <v>45</v>
      </c>
      <c r="K8" s="69" t="s">
        <v>85</v>
      </c>
    </row>
    <row r="9" spans="1:41" x14ac:dyDescent="0.25">
      <c r="A9" s="4">
        <v>34</v>
      </c>
      <c r="B9" t="s">
        <v>28</v>
      </c>
      <c r="D9" s="63" t="s">
        <v>51</v>
      </c>
      <c r="E9" s="63" t="s">
        <v>58</v>
      </c>
      <c r="G9" t="s">
        <v>17</v>
      </c>
      <c r="H9" s="5">
        <v>6</v>
      </c>
      <c r="I9" s="5"/>
      <c r="J9" s="67">
        <v>65</v>
      </c>
      <c r="K9" s="69" t="s">
        <v>47</v>
      </c>
    </row>
    <row r="10" spans="1:41" ht="15.75" thickBot="1" x14ac:dyDescent="0.3">
      <c r="A10" s="4">
        <v>35</v>
      </c>
      <c r="B10" t="s">
        <v>29</v>
      </c>
      <c r="D10" s="63" t="s">
        <v>52</v>
      </c>
      <c r="E10" s="63" t="s">
        <v>59</v>
      </c>
      <c r="G10" s="6" t="s">
        <v>18</v>
      </c>
      <c r="H10" s="7">
        <v>7</v>
      </c>
      <c r="I10" s="66"/>
      <c r="J10" s="67">
        <v>90</v>
      </c>
      <c r="K10" s="69" t="s">
        <v>46</v>
      </c>
    </row>
    <row r="11" spans="1:41" x14ac:dyDescent="0.25">
      <c r="A11" s="4">
        <v>36</v>
      </c>
      <c r="B11" t="s">
        <v>30</v>
      </c>
      <c r="D11" s="63" t="s">
        <v>53</v>
      </c>
      <c r="E11" s="63" t="s">
        <v>61</v>
      </c>
      <c r="J11" s="67">
        <v>115</v>
      </c>
      <c r="K11" s="69" t="s">
        <v>90</v>
      </c>
    </row>
    <row r="12" spans="1:41" ht="15.75" thickBot="1" x14ac:dyDescent="0.3">
      <c r="A12" s="8">
        <v>37</v>
      </c>
      <c r="B12" s="6" t="s">
        <v>31</v>
      </c>
      <c r="D12" s="63" t="s">
        <v>54</v>
      </c>
      <c r="E12" s="63" t="s">
        <v>60</v>
      </c>
      <c r="J12" s="67">
        <v>135</v>
      </c>
      <c r="K12" s="69" t="s">
        <v>86</v>
      </c>
    </row>
    <row r="13" spans="1:41" x14ac:dyDescent="0.25">
      <c r="D13" s="63" t="s">
        <v>55</v>
      </c>
      <c r="E13" s="63" t="s">
        <v>63</v>
      </c>
      <c r="J13" s="67">
        <v>155</v>
      </c>
      <c r="K13" s="69" t="s">
        <v>91</v>
      </c>
    </row>
    <row r="14" spans="1:41" x14ac:dyDescent="0.25">
      <c r="D14" s="63" t="s">
        <v>56</v>
      </c>
      <c r="E14" s="63" t="s">
        <v>64</v>
      </c>
      <c r="J14" s="67">
        <v>180</v>
      </c>
      <c r="K14" s="69" t="s">
        <v>83</v>
      </c>
    </row>
    <row r="15" spans="1:41" x14ac:dyDescent="0.25">
      <c r="D15" s="63" t="s">
        <v>57</v>
      </c>
      <c r="E15" s="63" t="s">
        <v>65</v>
      </c>
      <c r="J15" s="67">
        <v>215</v>
      </c>
      <c r="K15" s="69" t="s">
        <v>92</v>
      </c>
    </row>
    <row r="16" spans="1:41" ht="15.75" thickBot="1" x14ac:dyDescent="0.3">
      <c r="D16" s="16" t="s">
        <v>4</v>
      </c>
      <c r="E16" s="16" t="s">
        <v>23</v>
      </c>
      <c r="J16" s="67">
        <v>235</v>
      </c>
      <c r="K16" s="69" t="s">
        <v>87</v>
      </c>
    </row>
    <row r="17" spans="10:11" x14ac:dyDescent="0.25">
      <c r="J17" s="67">
        <v>255</v>
      </c>
      <c r="K17" s="69" t="s">
        <v>93</v>
      </c>
    </row>
    <row r="18" spans="10:11" x14ac:dyDescent="0.25">
      <c r="J18" s="67">
        <v>270</v>
      </c>
      <c r="K18" s="69" t="s">
        <v>84</v>
      </c>
    </row>
    <row r="19" spans="10:11" x14ac:dyDescent="0.25">
      <c r="J19" s="67">
        <v>295</v>
      </c>
      <c r="K19" s="69" t="s">
        <v>94</v>
      </c>
    </row>
    <row r="20" spans="10:11" x14ac:dyDescent="0.25">
      <c r="J20" s="67">
        <v>315</v>
      </c>
      <c r="K20" s="69" t="s">
        <v>88</v>
      </c>
    </row>
    <row r="21" spans="10:11" x14ac:dyDescent="0.25">
      <c r="J21" s="67">
        <v>335</v>
      </c>
      <c r="K21" s="69" t="s">
        <v>95</v>
      </c>
    </row>
    <row r="22" spans="10:11" ht="15.75" thickBot="1" x14ac:dyDescent="0.3">
      <c r="J22" s="72">
        <v>360</v>
      </c>
      <c r="K22" s="73" t="s">
        <v>57</v>
      </c>
    </row>
  </sheetData>
  <sortState ref="J12:K27">
    <sortCondition ref="J12:J27"/>
  </sortState>
  <mergeCells count="17">
    <mergeCell ref="AL3:AN4"/>
    <mergeCell ref="AO3:AO4"/>
    <mergeCell ref="Z3:AB4"/>
    <mergeCell ref="AC3:AE4"/>
    <mergeCell ref="AF4:AG4"/>
    <mergeCell ref="AH4:AI4"/>
    <mergeCell ref="AJ4:AK4"/>
    <mergeCell ref="AF3:AK3"/>
    <mergeCell ref="M3:M5"/>
    <mergeCell ref="N3:P4"/>
    <mergeCell ref="Q3:Y3"/>
    <mergeCell ref="Q4:R4"/>
    <mergeCell ref="S4:T4"/>
    <mergeCell ref="U4:V4"/>
    <mergeCell ref="W4:W5"/>
    <mergeCell ref="X4:X5"/>
    <mergeCell ref="Y4:Y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INDEX(Stations,INT((ROWS(A$2:A2)-1)/(DATE(YEAR(Invoer!$A$6),12,31)-DATE(YEAR(Invoer!$A$6),1,1)+1))+2,1)</f>
        <v>32</v>
      </c>
      <c r="B2" t="str">
        <f ca="1">TEXT(DATE(YEAR(Invoer!$A$6),1,1)+MOD(ROWS(B$2:B2)-1,DATE(YEAR(Invoer!$A$6),12,31)-DATE(YEAR(Invoer!$A$6),1,1)+1),"jjjjmmdd")</f>
        <v>19400101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"—",VLOOKUP(DATEVALUE(LEFT(B2,4)&amp;"-"&amp;MID(B2,5,2)&amp;"-"&amp;RIGHT(B2,2)),Data,MATCH(VLOOKUP(A2,Stations,2,FALSE()),OFFSET(Data,2,0,1),0),FALSE()))</f>
        <v>0</v>
      </c>
      <c r="E2" s="11">
        <f t="shared" ref="E2:E65" ca="1" si="1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2,0,1),0),FALSE())))</f>
        <v>0</v>
      </c>
    </row>
    <row r="3" spans="1:5" x14ac:dyDescent="0.25">
      <c r="A3" s="4">
        <f ca="1">INDEX(Stations,INT((ROWS(A$2:A3)-1)/(DATE(YEAR(Invoer!$A$6),12,31)-DATE(YEAR(Invoer!$A$6),1,1)+1))+2,1)</f>
        <v>32</v>
      </c>
      <c r="B3" t="str">
        <f ca="1">TEXT(DATE(YEAR(Invoer!$A$6),1,1)+MOD(ROWS(B$2:B3)-1,DATE(YEAR(Invoer!$A$6),12,31)-DATE(YEAR(Invoer!$A$6),1,1)+1),"jjjjmmdd")</f>
        <v>19400102</v>
      </c>
      <c r="C3" s="5">
        <v>1</v>
      </c>
      <c r="D3" s="10">
        <f t="shared" ca="1" si="0"/>
        <v>0</v>
      </c>
      <c r="E3" s="11">
        <f t="shared" ca="1" si="1"/>
        <v>0</v>
      </c>
    </row>
    <row r="4" spans="1:5" x14ac:dyDescent="0.25">
      <c r="A4" s="4">
        <f ca="1">INDEX(Stations,INT((ROWS(A$2:A4)-1)/(DATE(YEAR(Invoer!$A$6),12,31)-DATE(YEAR(Invoer!$A$6),1,1)+1))+2,1)</f>
        <v>32</v>
      </c>
      <c r="B4" t="str">
        <f ca="1">TEXT(DATE(YEAR(Invoer!$A$6),1,1)+MOD(ROWS(B$2:B4)-1,DATE(YEAR(Invoer!$A$6),12,31)-DATE(YEAR(Invoer!$A$6),1,1)+1),"jjjjmmdd")</f>
        <v>19400103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INDEX(Stations,INT((ROWS(A$2:A5)-1)/(DATE(YEAR(Invoer!$A$6),12,31)-DATE(YEAR(Invoer!$A$6),1,1)+1))+2,1)</f>
        <v>32</v>
      </c>
      <c r="B5" t="str">
        <f ca="1">TEXT(DATE(YEAR(Invoer!$A$6),1,1)+MOD(ROWS(B$2:B5)-1,DATE(YEAR(Invoer!$A$6),12,31)-DATE(YEAR(Invoer!$A$6),1,1)+1),"jjjjmmdd")</f>
        <v>19400104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INDEX(Stations,INT((ROWS(A$2:A6)-1)/(DATE(YEAR(Invoer!$A$6),12,31)-DATE(YEAR(Invoer!$A$6),1,1)+1))+2,1)</f>
        <v>32</v>
      </c>
      <c r="B6" t="str">
        <f ca="1">TEXT(DATE(YEAR(Invoer!$A$6),1,1)+MOD(ROWS(B$2:B6)-1,DATE(YEAR(Invoer!$A$6),12,31)-DATE(YEAR(Invoer!$A$6),1,1)+1),"jjjjmmdd")</f>
        <v>19400105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INDEX(Stations,INT((ROWS(A$2:A7)-1)/(DATE(YEAR(Invoer!$A$6),12,31)-DATE(YEAR(Invoer!$A$6),1,1)+1))+2,1)</f>
        <v>32</v>
      </c>
      <c r="B7" t="str">
        <f ca="1">TEXT(DATE(YEAR(Invoer!$A$6),1,1)+MOD(ROWS(B$2:B7)-1,DATE(YEAR(Invoer!$A$6),12,31)-DATE(YEAR(Invoer!$A$6),1,1)+1),"jjjjmmdd")</f>
        <v>19400106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INDEX(Stations,INT((ROWS(A$2:A8)-1)/(DATE(YEAR(Invoer!$A$6),12,31)-DATE(YEAR(Invoer!$A$6),1,1)+1))+2,1)</f>
        <v>32</v>
      </c>
      <c r="B8" t="str">
        <f ca="1">TEXT(DATE(YEAR(Invoer!$A$6),1,1)+MOD(ROWS(B$2:B8)-1,DATE(YEAR(Invoer!$A$6),12,31)-DATE(YEAR(Invoer!$A$6),1,1)+1),"jjjjmmdd")</f>
        <v>19400107</v>
      </c>
      <c r="C8" s="5">
        <v>1</v>
      </c>
      <c r="D8" s="10">
        <f t="shared" ca="1" si="0"/>
        <v>0</v>
      </c>
      <c r="E8" s="11">
        <f t="shared" ca="1" si="1"/>
        <v>0</v>
      </c>
    </row>
    <row r="9" spans="1:5" x14ac:dyDescent="0.25">
      <c r="A9" s="4">
        <f ca="1">INDEX(Stations,INT((ROWS(A$2:A9)-1)/(DATE(YEAR(Invoer!$A$6),12,31)-DATE(YEAR(Invoer!$A$6),1,1)+1))+2,1)</f>
        <v>32</v>
      </c>
      <c r="B9" t="str">
        <f ca="1">TEXT(DATE(YEAR(Invoer!$A$6),1,1)+MOD(ROWS(B$2:B9)-1,DATE(YEAR(Invoer!$A$6),12,31)-DATE(YEAR(Invoer!$A$6),1,1)+1),"jjjjmmdd")</f>
        <v>19400108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INDEX(Stations,INT((ROWS(A$2:A10)-1)/(DATE(YEAR(Invoer!$A$6),12,31)-DATE(YEAR(Invoer!$A$6),1,1)+1))+2,1)</f>
        <v>32</v>
      </c>
      <c r="B10" t="str">
        <f ca="1">TEXT(DATE(YEAR(Invoer!$A$6),1,1)+MOD(ROWS(B$2:B10)-1,DATE(YEAR(Invoer!$A$6),12,31)-DATE(YEAR(Invoer!$A$6),1,1)+1),"jjjjmmdd")</f>
        <v>19400109</v>
      </c>
      <c r="C10" s="5">
        <v>1</v>
      </c>
      <c r="D10" s="10">
        <f t="shared" ca="1" si="0"/>
        <v>17</v>
      </c>
      <c r="E10" s="11">
        <f t="shared" ca="1" si="1"/>
        <v>0</v>
      </c>
    </row>
    <row r="11" spans="1:5" x14ac:dyDescent="0.25">
      <c r="A11" s="4">
        <f ca="1">INDEX(Stations,INT((ROWS(A$2:A11)-1)/(DATE(YEAR(Invoer!$A$6),12,31)-DATE(YEAR(Invoer!$A$6),1,1)+1))+2,1)</f>
        <v>32</v>
      </c>
      <c r="B11" t="str">
        <f ca="1">TEXT(DATE(YEAR(Invoer!$A$6),1,1)+MOD(ROWS(B$2:B11)-1,DATE(YEAR(Invoer!$A$6),12,31)-DATE(YEAR(Invoer!$A$6),1,1)+1),"jjjjmmdd")</f>
        <v>19400110</v>
      </c>
      <c r="C11" s="5">
        <v>1</v>
      </c>
      <c r="D11" s="10">
        <f t="shared" ca="1" si="0"/>
        <v>0</v>
      </c>
      <c r="E11" s="11">
        <f t="shared" ca="1" si="1"/>
        <v>0</v>
      </c>
    </row>
    <row r="12" spans="1:5" x14ac:dyDescent="0.25">
      <c r="A12" s="4">
        <f ca="1">INDEX(Stations,INT((ROWS(A$2:A12)-1)/(DATE(YEAR(Invoer!$A$6),12,31)-DATE(YEAR(Invoer!$A$6),1,1)+1))+2,1)</f>
        <v>32</v>
      </c>
      <c r="B12" t="str">
        <f ca="1">TEXT(DATE(YEAR(Invoer!$A$6),1,1)+MOD(ROWS(B$2:B12)-1,DATE(YEAR(Invoer!$A$6),12,31)-DATE(YEAR(Invoer!$A$6),1,1)+1),"jjjjmmdd")</f>
        <v>19400111</v>
      </c>
      <c r="C12" s="5">
        <v>1</v>
      </c>
      <c r="D12" s="10">
        <f t="shared" ca="1" si="0"/>
        <v>5</v>
      </c>
      <c r="E12" s="11">
        <f t="shared" ca="1" si="1"/>
        <v>0</v>
      </c>
    </row>
    <row r="13" spans="1:5" x14ac:dyDescent="0.25">
      <c r="A13" s="4">
        <f ca="1">INDEX(Stations,INT((ROWS(A$2:A13)-1)/(DATE(YEAR(Invoer!$A$6),12,31)-DATE(YEAR(Invoer!$A$6),1,1)+1))+2,1)</f>
        <v>32</v>
      </c>
      <c r="B13" t="str">
        <f ca="1">TEXT(DATE(YEAR(Invoer!$A$6),1,1)+MOD(ROWS(B$2:B13)-1,DATE(YEAR(Invoer!$A$6),12,31)-DATE(YEAR(Invoer!$A$6),1,1)+1),"jjjjmmdd")</f>
        <v>19400112</v>
      </c>
      <c r="C13" s="5">
        <v>1</v>
      </c>
      <c r="D13" s="10">
        <f t="shared" ca="1" si="0"/>
        <v>0</v>
      </c>
      <c r="E13" s="11">
        <f t="shared" ca="1" si="1"/>
        <v>0</v>
      </c>
    </row>
    <row r="14" spans="1:5" x14ac:dyDescent="0.25">
      <c r="A14" s="4">
        <f ca="1">INDEX(Stations,INT((ROWS(A$2:A14)-1)/(DATE(YEAR(Invoer!$A$6),12,31)-DATE(YEAR(Invoer!$A$6),1,1)+1))+2,1)</f>
        <v>32</v>
      </c>
      <c r="B14" t="str">
        <f ca="1">TEXT(DATE(YEAR(Invoer!$A$6),1,1)+MOD(ROWS(B$2:B14)-1,DATE(YEAR(Invoer!$A$6),12,31)-DATE(YEAR(Invoer!$A$6),1,1)+1),"jjjjmmdd")</f>
        <v>19400113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INDEX(Stations,INT((ROWS(A$2:A15)-1)/(DATE(YEAR(Invoer!$A$6),12,31)-DATE(YEAR(Invoer!$A$6),1,1)+1))+2,1)</f>
        <v>32</v>
      </c>
      <c r="B15" t="str">
        <f ca="1">TEXT(DATE(YEAR(Invoer!$A$6),1,1)+MOD(ROWS(B$2:B15)-1,DATE(YEAR(Invoer!$A$6),12,31)-DATE(YEAR(Invoer!$A$6),1,1)+1),"jjjjmmdd")</f>
        <v>19400114</v>
      </c>
      <c r="C15" s="5">
        <v>1</v>
      </c>
      <c r="D15" s="10">
        <f t="shared" ca="1" si="0"/>
        <v>0</v>
      </c>
      <c r="E15" s="11">
        <f t="shared" ca="1" si="1"/>
        <v>0</v>
      </c>
    </row>
    <row r="16" spans="1:5" x14ac:dyDescent="0.25">
      <c r="A16" s="4">
        <f ca="1">INDEX(Stations,INT((ROWS(A$2:A16)-1)/(DATE(YEAR(Invoer!$A$6),12,31)-DATE(YEAR(Invoer!$A$6),1,1)+1))+2,1)</f>
        <v>32</v>
      </c>
      <c r="B16" t="str">
        <f ca="1">TEXT(DATE(YEAR(Invoer!$A$6),1,1)+MOD(ROWS(B$2:B16)-1,DATE(YEAR(Invoer!$A$6),12,31)-DATE(YEAR(Invoer!$A$6),1,1)+1),"jjjjmmdd")</f>
        <v>19400115</v>
      </c>
      <c r="C16" s="5">
        <v>1</v>
      </c>
      <c r="D16" s="10">
        <f t="shared" ca="1" si="0"/>
        <v>0</v>
      </c>
      <c r="E16" s="11">
        <f t="shared" ca="1" si="1"/>
        <v>0</v>
      </c>
    </row>
    <row r="17" spans="1:5" x14ac:dyDescent="0.25">
      <c r="A17" s="4">
        <f ca="1">INDEX(Stations,INT((ROWS(A$2:A17)-1)/(DATE(YEAR(Invoer!$A$6),12,31)-DATE(YEAR(Invoer!$A$6),1,1)+1))+2,1)</f>
        <v>32</v>
      </c>
      <c r="B17" t="str">
        <f ca="1">TEXT(DATE(YEAR(Invoer!$A$6),1,1)+MOD(ROWS(B$2:B17)-1,DATE(YEAR(Invoer!$A$6),12,31)-DATE(YEAR(Invoer!$A$6),1,1)+1),"jjjjmmdd")</f>
        <v>19400116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INDEX(Stations,INT((ROWS(A$2:A18)-1)/(DATE(YEAR(Invoer!$A$6),12,31)-DATE(YEAR(Invoer!$A$6),1,1)+1))+2,1)</f>
        <v>32</v>
      </c>
      <c r="B18" t="str">
        <f ca="1">TEXT(DATE(YEAR(Invoer!$A$6),1,1)+MOD(ROWS(B$2:B18)-1,DATE(YEAR(Invoer!$A$6),12,31)-DATE(YEAR(Invoer!$A$6),1,1)+1),"jjjjmmdd")</f>
        <v>19400117</v>
      </c>
      <c r="C18" s="5">
        <v>1</v>
      </c>
      <c r="D18" s="10">
        <f t="shared" ca="1" si="0"/>
        <v>0</v>
      </c>
      <c r="E18" s="11">
        <f t="shared" ca="1" si="1"/>
        <v>0</v>
      </c>
    </row>
    <row r="19" spans="1:5" x14ac:dyDescent="0.25">
      <c r="A19" s="4">
        <f ca="1">INDEX(Stations,INT((ROWS(A$2:A19)-1)/(DATE(YEAR(Invoer!$A$6),12,31)-DATE(YEAR(Invoer!$A$6),1,1)+1))+2,1)</f>
        <v>32</v>
      </c>
      <c r="B19" t="str">
        <f ca="1">TEXT(DATE(YEAR(Invoer!$A$6),1,1)+MOD(ROWS(B$2:B19)-1,DATE(YEAR(Invoer!$A$6),12,31)-DATE(YEAR(Invoer!$A$6),1,1)+1),"jjjjmmdd")</f>
        <v>19400118</v>
      </c>
      <c r="C19" s="5">
        <v>1</v>
      </c>
      <c r="D19" s="10">
        <f t="shared" ca="1" si="0"/>
        <v>0</v>
      </c>
      <c r="E19" s="11">
        <f t="shared" ca="1" si="1"/>
        <v>0</v>
      </c>
    </row>
    <row r="20" spans="1:5" x14ac:dyDescent="0.25">
      <c r="A20" s="4">
        <f ca="1">INDEX(Stations,INT((ROWS(A$2:A20)-1)/(DATE(YEAR(Invoer!$A$6),12,31)-DATE(YEAR(Invoer!$A$6),1,1)+1))+2,1)</f>
        <v>32</v>
      </c>
      <c r="B20" t="str">
        <f ca="1">TEXT(DATE(YEAR(Invoer!$A$6),1,1)+MOD(ROWS(B$2:B20)-1,DATE(YEAR(Invoer!$A$6),12,31)-DATE(YEAR(Invoer!$A$6),1,1)+1),"jjjjmmdd")</f>
        <v>19400119</v>
      </c>
      <c r="C20" s="5">
        <v>1</v>
      </c>
      <c r="D20" s="10">
        <f t="shared" ca="1" si="0"/>
        <v>0</v>
      </c>
      <c r="E20" s="11">
        <f t="shared" ca="1" si="1"/>
        <v>0</v>
      </c>
    </row>
    <row r="21" spans="1:5" x14ac:dyDescent="0.25">
      <c r="A21" s="4">
        <f ca="1">INDEX(Stations,INT((ROWS(A$2:A21)-1)/(DATE(YEAR(Invoer!$A$6),12,31)-DATE(YEAR(Invoer!$A$6),1,1)+1))+2,1)</f>
        <v>32</v>
      </c>
      <c r="B21" t="str">
        <f ca="1">TEXT(DATE(YEAR(Invoer!$A$6),1,1)+MOD(ROWS(B$2:B21)-1,DATE(YEAR(Invoer!$A$6),12,31)-DATE(YEAR(Invoer!$A$6),1,1)+1),"jjjjmmdd")</f>
        <v>19400120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INDEX(Stations,INT((ROWS(A$2:A22)-1)/(DATE(YEAR(Invoer!$A$6),12,31)-DATE(YEAR(Invoer!$A$6),1,1)+1))+2,1)</f>
        <v>32</v>
      </c>
      <c r="B22" t="str">
        <f ca="1">TEXT(DATE(YEAR(Invoer!$A$6),1,1)+MOD(ROWS(B$2:B22)-1,DATE(YEAR(Invoer!$A$6),12,31)-DATE(YEAR(Invoer!$A$6),1,1)+1),"jjjjmmdd")</f>
        <v>19400121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INDEX(Stations,INT((ROWS(A$2:A23)-1)/(DATE(YEAR(Invoer!$A$6),12,31)-DATE(YEAR(Invoer!$A$6),1,1)+1))+2,1)</f>
        <v>32</v>
      </c>
      <c r="B23" t="str">
        <f ca="1">TEXT(DATE(YEAR(Invoer!$A$6),1,1)+MOD(ROWS(B$2:B23)-1,DATE(YEAR(Invoer!$A$6),12,31)-DATE(YEAR(Invoer!$A$6),1,1)+1),"jjjjmmdd")</f>
        <v>19400122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INDEX(Stations,INT((ROWS(A$2:A24)-1)/(DATE(YEAR(Invoer!$A$6),12,31)-DATE(YEAR(Invoer!$A$6),1,1)+1))+2,1)</f>
        <v>32</v>
      </c>
      <c r="B24" t="str">
        <f ca="1">TEXT(DATE(YEAR(Invoer!$A$6),1,1)+MOD(ROWS(B$2:B24)-1,DATE(YEAR(Invoer!$A$6),12,31)-DATE(YEAR(Invoer!$A$6),1,1)+1),"jjjjmmdd")</f>
        <v>19400123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INDEX(Stations,INT((ROWS(A$2:A25)-1)/(DATE(YEAR(Invoer!$A$6),12,31)-DATE(YEAR(Invoer!$A$6),1,1)+1))+2,1)</f>
        <v>32</v>
      </c>
      <c r="B25" t="str">
        <f ca="1">TEXT(DATE(YEAR(Invoer!$A$6),1,1)+MOD(ROWS(B$2:B25)-1,DATE(YEAR(Invoer!$A$6),12,31)-DATE(YEAR(Invoer!$A$6),1,1)+1),"jjjjmmdd")</f>
        <v>19400124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INDEX(Stations,INT((ROWS(A$2:A26)-1)/(DATE(YEAR(Invoer!$A$6),12,31)-DATE(YEAR(Invoer!$A$6),1,1)+1))+2,1)</f>
        <v>32</v>
      </c>
      <c r="B26" t="str">
        <f ca="1">TEXT(DATE(YEAR(Invoer!$A$6),1,1)+MOD(ROWS(B$2:B26)-1,DATE(YEAR(Invoer!$A$6),12,31)-DATE(YEAR(Invoer!$A$6),1,1)+1),"jjjjmmdd")</f>
        <v>19400125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INDEX(Stations,INT((ROWS(A$2:A27)-1)/(DATE(YEAR(Invoer!$A$6),12,31)-DATE(YEAR(Invoer!$A$6),1,1)+1))+2,1)</f>
        <v>32</v>
      </c>
      <c r="B27" t="str">
        <f ca="1">TEXT(DATE(YEAR(Invoer!$A$6),1,1)+MOD(ROWS(B$2:B27)-1,DATE(YEAR(Invoer!$A$6),12,31)-DATE(YEAR(Invoer!$A$6),1,1)+1),"jjjjmmdd")</f>
        <v>19400126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INDEX(Stations,INT((ROWS(A$2:A28)-1)/(DATE(YEAR(Invoer!$A$6),12,31)-DATE(YEAR(Invoer!$A$6),1,1)+1))+2,1)</f>
        <v>32</v>
      </c>
      <c r="B28" t="str">
        <f ca="1">TEXT(DATE(YEAR(Invoer!$A$6),1,1)+MOD(ROWS(B$2:B28)-1,DATE(YEAR(Invoer!$A$6),12,31)-DATE(YEAR(Invoer!$A$6),1,1)+1),"jjjjmmdd")</f>
        <v>19400127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INDEX(Stations,INT((ROWS(A$2:A29)-1)/(DATE(YEAR(Invoer!$A$6),12,31)-DATE(YEAR(Invoer!$A$6),1,1)+1))+2,1)</f>
        <v>32</v>
      </c>
      <c r="B29" t="str">
        <f ca="1">TEXT(DATE(YEAR(Invoer!$A$6),1,1)+MOD(ROWS(B$2:B29)-1,DATE(YEAR(Invoer!$A$6),12,31)-DATE(YEAR(Invoer!$A$6),1,1)+1),"jjjjmmdd")</f>
        <v>19400128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INDEX(Stations,INT((ROWS(A$2:A30)-1)/(DATE(YEAR(Invoer!$A$6),12,31)-DATE(YEAR(Invoer!$A$6),1,1)+1))+2,1)</f>
        <v>32</v>
      </c>
      <c r="B30" t="str">
        <f ca="1">TEXT(DATE(YEAR(Invoer!$A$6),1,1)+MOD(ROWS(B$2:B30)-1,DATE(YEAR(Invoer!$A$6),12,31)-DATE(YEAR(Invoer!$A$6),1,1)+1),"jjjjmmdd")</f>
        <v>19400129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INDEX(Stations,INT((ROWS(A$2:A31)-1)/(DATE(YEAR(Invoer!$A$6),12,31)-DATE(YEAR(Invoer!$A$6),1,1)+1))+2,1)</f>
        <v>32</v>
      </c>
      <c r="B31" t="str">
        <f ca="1">TEXT(DATE(YEAR(Invoer!$A$6),1,1)+MOD(ROWS(B$2:B31)-1,DATE(YEAR(Invoer!$A$6),12,31)-DATE(YEAR(Invoer!$A$6),1,1)+1),"jjjjmmdd")</f>
        <v>19400130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INDEX(Stations,INT((ROWS(A$2:A32)-1)/(DATE(YEAR(Invoer!$A$6),12,31)-DATE(YEAR(Invoer!$A$6),1,1)+1))+2,1)</f>
        <v>32</v>
      </c>
      <c r="B32" t="str">
        <f ca="1">TEXT(DATE(YEAR(Invoer!$A$6),1,1)+MOD(ROWS(B$2:B32)-1,DATE(YEAR(Invoer!$A$6),12,31)-DATE(YEAR(Invoer!$A$6),1,1)+1),"jjjjmmdd")</f>
        <v>19400131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INDEX(Stations,INT((ROWS(A$2:A33)-1)/(DATE(YEAR(Invoer!$A$6),12,31)-DATE(YEAR(Invoer!$A$6),1,1)+1))+2,1)</f>
        <v>32</v>
      </c>
      <c r="B33" t="str">
        <f ca="1">TEXT(DATE(YEAR(Invoer!$A$6),1,1)+MOD(ROWS(B$2:B33)-1,DATE(YEAR(Invoer!$A$6),12,31)-DATE(YEAR(Invoer!$A$6),1,1)+1),"jjjjmmdd")</f>
        <v>19400201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INDEX(Stations,INT((ROWS(A$2:A34)-1)/(DATE(YEAR(Invoer!$A$6),12,31)-DATE(YEAR(Invoer!$A$6),1,1)+1))+2,1)</f>
        <v>32</v>
      </c>
      <c r="B34" t="str">
        <f ca="1">TEXT(DATE(YEAR(Invoer!$A$6),1,1)+MOD(ROWS(B$2:B34)-1,DATE(YEAR(Invoer!$A$6),12,31)-DATE(YEAR(Invoer!$A$6),1,1)+1),"jjjjmmdd")</f>
        <v>19400202</v>
      </c>
      <c r="C34" s="5">
        <v>1</v>
      </c>
      <c r="D34" s="10">
        <f t="shared" ca="1" si="0"/>
        <v>0</v>
      </c>
      <c r="E34" s="11">
        <f t="shared" ca="1" si="1"/>
        <v>0</v>
      </c>
    </row>
    <row r="35" spans="1:5" x14ac:dyDescent="0.25">
      <c r="A35" s="4">
        <f ca="1">INDEX(Stations,INT((ROWS(A$2:A35)-1)/(DATE(YEAR(Invoer!$A$6),12,31)-DATE(YEAR(Invoer!$A$6),1,1)+1))+2,1)</f>
        <v>32</v>
      </c>
      <c r="B35" t="str">
        <f ca="1">TEXT(DATE(YEAR(Invoer!$A$6),1,1)+MOD(ROWS(B$2:B35)-1,DATE(YEAR(Invoer!$A$6),12,31)-DATE(YEAR(Invoer!$A$6),1,1)+1),"jjjjmmdd")</f>
        <v>19400203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INDEX(Stations,INT((ROWS(A$2:A36)-1)/(DATE(YEAR(Invoer!$A$6),12,31)-DATE(YEAR(Invoer!$A$6),1,1)+1))+2,1)</f>
        <v>32</v>
      </c>
      <c r="B36" t="str">
        <f ca="1">TEXT(DATE(YEAR(Invoer!$A$6),1,1)+MOD(ROWS(B$2:B36)-1,DATE(YEAR(Invoer!$A$6),12,31)-DATE(YEAR(Invoer!$A$6),1,1)+1),"jjjjmmdd")</f>
        <v>19400204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INDEX(Stations,INT((ROWS(A$2:A37)-1)/(DATE(YEAR(Invoer!$A$6),12,31)-DATE(YEAR(Invoer!$A$6),1,1)+1))+2,1)</f>
        <v>32</v>
      </c>
      <c r="B37" t="str">
        <f ca="1">TEXT(DATE(YEAR(Invoer!$A$6),1,1)+MOD(ROWS(B$2:B37)-1,DATE(YEAR(Invoer!$A$6),12,31)-DATE(YEAR(Invoer!$A$6),1,1)+1),"jjjjmmdd")</f>
        <v>19400205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INDEX(Stations,INT((ROWS(A$2:A38)-1)/(DATE(YEAR(Invoer!$A$6),12,31)-DATE(YEAR(Invoer!$A$6),1,1)+1))+2,1)</f>
        <v>32</v>
      </c>
      <c r="B38" t="str">
        <f ca="1">TEXT(DATE(YEAR(Invoer!$A$6),1,1)+MOD(ROWS(B$2:B38)-1,DATE(YEAR(Invoer!$A$6),12,31)-DATE(YEAR(Invoer!$A$6),1,1)+1),"jjjjmmdd")</f>
        <v>19400206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INDEX(Stations,INT((ROWS(A$2:A39)-1)/(DATE(YEAR(Invoer!$A$6),12,31)-DATE(YEAR(Invoer!$A$6),1,1)+1))+2,1)</f>
        <v>32</v>
      </c>
      <c r="B39" t="str">
        <f ca="1">TEXT(DATE(YEAR(Invoer!$A$6),1,1)+MOD(ROWS(B$2:B39)-1,DATE(YEAR(Invoer!$A$6),12,31)-DATE(YEAR(Invoer!$A$6),1,1)+1),"jjjjmmdd")</f>
        <v>19400207</v>
      </c>
      <c r="C39" s="5">
        <v>1</v>
      </c>
      <c r="D39" s="10">
        <f t="shared" ca="1" si="0"/>
        <v>15</v>
      </c>
      <c r="E39" s="11">
        <f t="shared" ca="1" si="1"/>
        <v>0</v>
      </c>
    </row>
    <row r="40" spans="1:5" x14ac:dyDescent="0.25">
      <c r="A40" s="4">
        <f ca="1">INDEX(Stations,INT((ROWS(A$2:A40)-1)/(DATE(YEAR(Invoer!$A$6),12,31)-DATE(YEAR(Invoer!$A$6),1,1)+1))+2,1)</f>
        <v>32</v>
      </c>
      <c r="B40" t="str">
        <f ca="1">TEXT(DATE(YEAR(Invoer!$A$6),1,1)+MOD(ROWS(B$2:B40)-1,DATE(YEAR(Invoer!$A$6),12,31)-DATE(YEAR(Invoer!$A$6),1,1)+1),"jjjjmmdd")</f>
        <v>19400208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INDEX(Stations,INT((ROWS(A$2:A41)-1)/(DATE(YEAR(Invoer!$A$6),12,31)-DATE(YEAR(Invoer!$A$6),1,1)+1))+2,1)</f>
        <v>32</v>
      </c>
      <c r="B41" t="str">
        <f ca="1">TEXT(DATE(YEAR(Invoer!$A$6),1,1)+MOD(ROWS(B$2:B41)-1,DATE(YEAR(Invoer!$A$6),12,31)-DATE(YEAR(Invoer!$A$6),1,1)+1),"jjjjmmdd")</f>
        <v>19400209</v>
      </c>
      <c r="C41" s="5">
        <v>1</v>
      </c>
      <c r="D41" s="10">
        <f t="shared" ca="1" si="0"/>
        <v>0</v>
      </c>
      <c r="E41" s="11">
        <f t="shared" ca="1" si="1"/>
        <v>0</v>
      </c>
    </row>
    <row r="42" spans="1:5" x14ac:dyDescent="0.25">
      <c r="A42" s="4">
        <f ca="1">INDEX(Stations,INT((ROWS(A$2:A42)-1)/(DATE(YEAR(Invoer!$A$6),12,31)-DATE(YEAR(Invoer!$A$6),1,1)+1))+2,1)</f>
        <v>32</v>
      </c>
      <c r="B42" t="str">
        <f ca="1">TEXT(DATE(YEAR(Invoer!$A$6),1,1)+MOD(ROWS(B$2:B42)-1,DATE(YEAR(Invoer!$A$6),12,31)-DATE(YEAR(Invoer!$A$6),1,1)+1),"jjjjmmdd")</f>
        <v>19400210</v>
      </c>
      <c r="C42" s="5">
        <v>1</v>
      </c>
      <c r="D42" s="10">
        <f t="shared" ca="1" si="0"/>
        <v>0</v>
      </c>
      <c r="E42" s="11">
        <f t="shared" ca="1" si="1"/>
        <v>0</v>
      </c>
    </row>
    <row r="43" spans="1:5" x14ac:dyDescent="0.25">
      <c r="A43" s="4">
        <f ca="1">INDEX(Stations,INT((ROWS(A$2:A43)-1)/(DATE(YEAR(Invoer!$A$6),12,31)-DATE(YEAR(Invoer!$A$6),1,1)+1))+2,1)</f>
        <v>32</v>
      </c>
      <c r="B43" t="str">
        <f ca="1">TEXT(DATE(YEAR(Invoer!$A$6),1,1)+MOD(ROWS(B$2:B43)-1,DATE(YEAR(Invoer!$A$6),12,31)-DATE(YEAR(Invoer!$A$6),1,1)+1),"jjjjmmdd")</f>
        <v>19400211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INDEX(Stations,INT((ROWS(A$2:A44)-1)/(DATE(YEAR(Invoer!$A$6),12,31)-DATE(YEAR(Invoer!$A$6),1,1)+1))+2,1)</f>
        <v>32</v>
      </c>
      <c r="B44" t="str">
        <f ca="1">TEXT(DATE(YEAR(Invoer!$A$6),1,1)+MOD(ROWS(B$2:B44)-1,DATE(YEAR(Invoer!$A$6),12,31)-DATE(YEAR(Invoer!$A$6),1,1)+1),"jjjjmmdd")</f>
        <v>19400212</v>
      </c>
      <c r="C44" s="5">
        <v>1</v>
      </c>
      <c r="D44" s="10">
        <f t="shared" ca="1" si="0"/>
        <v>0</v>
      </c>
      <c r="E44" s="11">
        <f t="shared" ca="1" si="1"/>
        <v>0</v>
      </c>
    </row>
    <row r="45" spans="1:5" x14ac:dyDescent="0.25">
      <c r="A45" s="4">
        <f ca="1">INDEX(Stations,INT((ROWS(A$2:A45)-1)/(DATE(YEAR(Invoer!$A$6),12,31)-DATE(YEAR(Invoer!$A$6),1,1)+1))+2,1)</f>
        <v>32</v>
      </c>
      <c r="B45" t="str">
        <f ca="1">TEXT(DATE(YEAR(Invoer!$A$6),1,1)+MOD(ROWS(B$2:B45)-1,DATE(YEAR(Invoer!$A$6),12,31)-DATE(YEAR(Invoer!$A$6),1,1)+1),"jjjjmmdd")</f>
        <v>19400213</v>
      </c>
      <c r="C45" s="5">
        <v>1</v>
      </c>
      <c r="D45" s="10">
        <f t="shared" ca="1" si="0"/>
        <v>0</v>
      </c>
      <c r="E45" s="11">
        <f t="shared" ca="1" si="1"/>
        <v>0</v>
      </c>
    </row>
    <row r="46" spans="1:5" x14ac:dyDescent="0.25">
      <c r="A46" s="4">
        <f ca="1">INDEX(Stations,INT((ROWS(A$2:A46)-1)/(DATE(YEAR(Invoer!$A$6),12,31)-DATE(YEAR(Invoer!$A$6),1,1)+1))+2,1)</f>
        <v>32</v>
      </c>
      <c r="B46" t="str">
        <f ca="1">TEXT(DATE(YEAR(Invoer!$A$6),1,1)+MOD(ROWS(B$2:B46)-1,DATE(YEAR(Invoer!$A$6),12,31)-DATE(YEAR(Invoer!$A$6),1,1)+1),"jjjjmmdd")</f>
        <v>19400214</v>
      </c>
      <c r="C46" s="5">
        <v>1</v>
      </c>
      <c r="D46" s="10">
        <f t="shared" ca="1" si="0"/>
        <v>0</v>
      </c>
      <c r="E46" s="11">
        <f t="shared" ca="1" si="1"/>
        <v>0</v>
      </c>
    </row>
    <row r="47" spans="1:5" x14ac:dyDescent="0.25">
      <c r="A47" s="4">
        <f ca="1">INDEX(Stations,INT((ROWS(A$2:A47)-1)/(DATE(YEAR(Invoer!$A$6),12,31)-DATE(YEAR(Invoer!$A$6),1,1)+1))+2,1)</f>
        <v>32</v>
      </c>
      <c r="B47" t="str">
        <f ca="1">TEXT(DATE(YEAR(Invoer!$A$6),1,1)+MOD(ROWS(B$2:B47)-1,DATE(YEAR(Invoer!$A$6),12,31)-DATE(YEAR(Invoer!$A$6),1,1)+1),"jjjjmmdd")</f>
        <v>19400215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INDEX(Stations,INT((ROWS(A$2:A48)-1)/(DATE(YEAR(Invoer!$A$6),12,31)-DATE(YEAR(Invoer!$A$6),1,1)+1))+2,1)</f>
        <v>32</v>
      </c>
      <c r="B48" t="str">
        <f ca="1">TEXT(DATE(YEAR(Invoer!$A$6),1,1)+MOD(ROWS(B$2:B48)-1,DATE(YEAR(Invoer!$A$6),12,31)-DATE(YEAR(Invoer!$A$6),1,1)+1),"jjjjmmdd")</f>
        <v>19400216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INDEX(Stations,INT((ROWS(A$2:A49)-1)/(DATE(YEAR(Invoer!$A$6),12,31)-DATE(YEAR(Invoer!$A$6),1,1)+1))+2,1)</f>
        <v>32</v>
      </c>
      <c r="B49" t="str">
        <f ca="1">TEXT(DATE(YEAR(Invoer!$A$6),1,1)+MOD(ROWS(B$2:B49)-1,DATE(YEAR(Invoer!$A$6),12,31)-DATE(YEAR(Invoer!$A$6),1,1)+1),"jjjjmmdd")</f>
        <v>19400217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INDEX(Stations,INT((ROWS(A$2:A50)-1)/(DATE(YEAR(Invoer!$A$6),12,31)-DATE(YEAR(Invoer!$A$6),1,1)+1))+2,1)</f>
        <v>32</v>
      </c>
      <c r="B50" t="str">
        <f ca="1">TEXT(DATE(YEAR(Invoer!$A$6),1,1)+MOD(ROWS(B$2:B50)-1,DATE(YEAR(Invoer!$A$6),12,31)-DATE(YEAR(Invoer!$A$6),1,1)+1),"jjjjmmdd")</f>
        <v>19400218</v>
      </c>
      <c r="C50" s="5">
        <v>1</v>
      </c>
      <c r="D50" s="10">
        <f t="shared" ca="1" si="0"/>
        <v>0</v>
      </c>
      <c r="E50" s="11">
        <f t="shared" ca="1" si="1"/>
        <v>0</v>
      </c>
    </row>
    <row r="51" spans="1:5" x14ac:dyDescent="0.25">
      <c r="A51" s="4">
        <f ca="1">INDEX(Stations,INT((ROWS(A$2:A51)-1)/(DATE(YEAR(Invoer!$A$6),12,31)-DATE(YEAR(Invoer!$A$6),1,1)+1))+2,1)</f>
        <v>32</v>
      </c>
      <c r="B51" t="str">
        <f ca="1">TEXT(DATE(YEAR(Invoer!$A$6),1,1)+MOD(ROWS(B$2:B51)-1,DATE(YEAR(Invoer!$A$6),12,31)-DATE(YEAR(Invoer!$A$6),1,1)+1),"jjjjmmdd")</f>
        <v>19400219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INDEX(Stations,INT((ROWS(A$2:A52)-1)/(DATE(YEAR(Invoer!$A$6),12,31)-DATE(YEAR(Invoer!$A$6),1,1)+1))+2,1)</f>
        <v>32</v>
      </c>
      <c r="B52" t="str">
        <f ca="1">TEXT(DATE(YEAR(Invoer!$A$6),1,1)+MOD(ROWS(B$2:B52)-1,DATE(YEAR(Invoer!$A$6),12,31)-DATE(YEAR(Invoer!$A$6),1,1)+1),"jjjjmmdd")</f>
        <v>19400220</v>
      </c>
      <c r="C52" s="5">
        <v>1</v>
      </c>
      <c r="D52" s="10">
        <f t="shared" ca="1" si="0"/>
        <v>0</v>
      </c>
      <c r="E52" s="11">
        <f t="shared" ca="1" si="1"/>
        <v>0</v>
      </c>
    </row>
    <row r="53" spans="1:5" x14ac:dyDescent="0.25">
      <c r="A53" s="4">
        <f ca="1">INDEX(Stations,INT((ROWS(A$2:A53)-1)/(DATE(YEAR(Invoer!$A$6),12,31)-DATE(YEAR(Invoer!$A$6),1,1)+1))+2,1)</f>
        <v>32</v>
      </c>
      <c r="B53" t="str">
        <f ca="1">TEXT(DATE(YEAR(Invoer!$A$6),1,1)+MOD(ROWS(B$2:B53)-1,DATE(YEAR(Invoer!$A$6),12,31)-DATE(YEAR(Invoer!$A$6),1,1)+1),"jjjjmmdd")</f>
        <v>19400221</v>
      </c>
      <c r="C53" s="5">
        <v>1</v>
      </c>
      <c r="D53" s="10">
        <f t="shared" ca="1" si="0"/>
        <v>0</v>
      </c>
      <c r="E53" s="11">
        <f t="shared" ca="1" si="1"/>
        <v>0</v>
      </c>
    </row>
    <row r="54" spans="1:5" x14ac:dyDescent="0.25">
      <c r="A54" s="4">
        <f ca="1">INDEX(Stations,INT((ROWS(A$2:A54)-1)/(DATE(YEAR(Invoer!$A$6),12,31)-DATE(YEAR(Invoer!$A$6),1,1)+1))+2,1)</f>
        <v>32</v>
      </c>
      <c r="B54" t="str">
        <f ca="1">TEXT(DATE(YEAR(Invoer!$A$6),1,1)+MOD(ROWS(B$2:B54)-1,DATE(YEAR(Invoer!$A$6),12,31)-DATE(YEAR(Invoer!$A$6),1,1)+1),"jjjjmmdd")</f>
        <v>19400222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INDEX(Stations,INT((ROWS(A$2:A55)-1)/(DATE(YEAR(Invoer!$A$6),12,31)-DATE(YEAR(Invoer!$A$6),1,1)+1))+2,1)</f>
        <v>32</v>
      </c>
      <c r="B55" t="str">
        <f ca="1">TEXT(DATE(YEAR(Invoer!$A$6),1,1)+MOD(ROWS(B$2:B55)-1,DATE(YEAR(Invoer!$A$6),12,31)-DATE(YEAR(Invoer!$A$6),1,1)+1),"jjjjmmdd")</f>
        <v>19400223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INDEX(Stations,INT((ROWS(A$2:A56)-1)/(DATE(YEAR(Invoer!$A$6),12,31)-DATE(YEAR(Invoer!$A$6),1,1)+1))+2,1)</f>
        <v>32</v>
      </c>
      <c r="B56" t="str">
        <f ca="1">TEXT(DATE(YEAR(Invoer!$A$6),1,1)+MOD(ROWS(B$2:B56)-1,DATE(YEAR(Invoer!$A$6),12,31)-DATE(YEAR(Invoer!$A$6),1,1)+1),"jjjjmmdd")</f>
        <v>19400224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INDEX(Stations,INT((ROWS(A$2:A57)-1)/(DATE(YEAR(Invoer!$A$6),12,31)-DATE(YEAR(Invoer!$A$6),1,1)+1))+2,1)</f>
        <v>32</v>
      </c>
      <c r="B57" t="str">
        <f ca="1">TEXT(DATE(YEAR(Invoer!$A$6),1,1)+MOD(ROWS(B$2:B57)-1,DATE(YEAR(Invoer!$A$6),12,31)-DATE(YEAR(Invoer!$A$6),1,1)+1),"jjjjmmdd")</f>
        <v>19400225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INDEX(Stations,INT((ROWS(A$2:A58)-1)/(DATE(YEAR(Invoer!$A$6),12,31)-DATE(YEAR(Invoer!$A$6),1,1)+1))+2,1)</f>
        <v>32</v>
      </c>
      <c r="B58" t="str">
        <f ca="1">TEXT(DATE(YEAR(Invoer!$A$6),1,1)+MOD(ROWS(B$2:B58)-1,DATE(YEAR(Invoer!$A$6),12,31)-DATE(YEAR(Invoer!$A$6),1,1)+1),"jjjjmmdd")</f>
        <v>19400226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INDEX(Stations,INT((ROWS(A$2:A59)-1)/(DATE(YEAR(Invoer!$A$6),12,31)-DATE(YEAR(Invoer!$A$6),1,1)+1))+2,1)</f>
        <v>32</v>
      </c>
      <c r="B59" t="str">
        <f ca="1">TEXT(DATE(YEAR(Invoer!$A$6),1,1)+MOD(ROWS(B$2:B59)-1,DATE(YEAR(Invoer!$A$6),12,31)-DATE(YEAR(Invoer!$A$6),1,1)+1),"jjjjmmdd")</f>
        <v>19400227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INDEX(Stations,INT((ROWS(A$2:A60)-1)/(DATE(YEAR(Invoer!$A$6),12,31)-DATE(YEAR(Invoer!$A$6),1,1)+1))+2,1)</f>
        <v>32</v>
      </c>
      <c r="B60" t="str">
        <f ca="1">TEXT(DATE(YEAR(Invoer!$A$6),1,1)+MOD(ROWS(B$2:B60)-1,DATE(YEAR(Invoer!$A$6),12,31)-DATE(YEAR(Invoer!$A$6),1,1)+1),"jjjjmmdd")</f>
        <v>19400228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INDEX(Stations,INT((ROWS(A$2:A61)-1)/(DATE(YEAR(Invoer!$A$6),12,31)-DATE(YEAR(Invoer!$A$6),1,1)+1))+2,1)</f>
        <v>32</v>
      </c>
      <c r="B61" t="str">
        <f ca="1">TEXT(DATE(YEAR(Invoer!$A$6),1,1)+MOD(ROWS(B$2:B61)-1,DATE(YEAR(Invoer!$A$6),12,31)-DATE(YEAR(Invoer!$A$6),1,1)+1),"jjjjmmdd")</f>
        <v>19400229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INDEX(Stations,INT((ROWS(A$2:A62)-1)/(DATE(YEAR(Invoer!$A$6),12,31)-DATE(YEAR(Invoer!$A$6),1,1)+1))+2,1)</f>
        <v>32</v>
      </c>
      <c r="B62" t="str">
        <f ca="1">TEXT(DATE(YEAR(Invoer!$A$6),1,1)+MOD(ROWS(B$2:B62)-1,DATE(YEAR(Invoer!$A$6),12,31)-DATE(YEAR(Invoer!$A$6),1,1)+1),"jjjjmmdd")</f>
        <v>19400301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INDEX(Stations,INT((ROWS(A$2:A63)-1)/(DATE(YEAR(Invoer!$A$6),12,31)-DATE(YEAR(Invoer!$A$6),1,1)+1))+2,1)</f>
        <v>32</v>
      </c>
      <c r="B63" t="str">
        <f ca="1">TEXT(DATE(YEAR(Invoer!$A$6),1,1)+MOD(ROWS(B$2:B63)-1,DATE(YEAR(Invoer!$A$6),12,31)-DATE(YEAR(Invoer!$A$6),1,1)+1),"jjjjmmdd")</f>
        <v>19400302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INDEX(Stations,INT((ROWS(A$2:A64)-1)/(DATE(YEAR(Invoer!$A$6),12,31)-DATE(YEAR(Invoer!$A$6),1,1)+1))+2,1)</f>
        <v>32</v>
      </c>
      <c r="B64" t="str">
        <f ca="1">TEXT(DATE(YEAR(Invoer!$A$6),1,1)+MOD(ROWS(B$2:B64)-1,DATE(YEAR(Invoer!$A$6),12,31)-DATE(YEAR(Invoer!$A$6),1,1)+1),"jjjjmmdd")</f>
        <v>19400303</v>
      </c>
      <c r="C64" s="5">
        <v>1</v>
      </c>
      <c r="D64" s="10">
        <f t="shared" ca="1" si="0"/>
        <v>30</v>
      </c>
      <c r="E64" s="11">
        <f t="shared" ca="1" si="1"/>
        <v>0</v>
      </c>
    </row>
    <row r="65" spans="1:5" x14ac:dyDescent="0.25">
      <c r="A65" s="4">
        <f ca="1">INDEX(Stations,INT((ROWS(A$2:A65)-1)/(DATE(YEAR(Invoer!$A$6),12,31)-DATE(YEAR(Invoer!$A$6),1,1)+1))+2,1)</f>
        <v>32</v>
      </c>
      <c r="B65" t="str">
        <f ca="1">TEXT(DATE(YEAR(Invoer!$A$6),1,1)+MOD(ROWS(B$2:B65)-1,DATE(YEAR(Invoer!$A$6),12,31)-DATE(YEAR(Invoer!$A$6),1,1)+1),"jjjjmmdd")</f>
        <v>19400304</v>
      </c>
      <c r="C65" s="5">
        <v>1</v>
      </c>
      <c r="D65" s="10">
        <f t="shared" ca="1" si="0"/>
        <v>15</v>
      </c>
      <c r="E65" s="11">
        <f t="shared" ca="1" si="1"/>
        <v>0</v>
      </c>
    </row>
    <row r="66" spans="1:5" x14ac:dyDescent="0.25">
      <c r="A66" s="4">
        <f ca="1">INDEX(Stations,INT((ROWS(A$2:A66)-1)/(DATE(YEAR(Invoer!$A$6),12,31)-DATE(YEAR(Invoer!$A$6),1,1)+1))+2,1)</f>
        <v>32</v>
      </c>
      <c r="B66" t="str">
        <f ca="1">TEXT(DATE(YEAR(Invoer!$A$6),1,1)+MOD(ROWS(B$2:B66)-1,DATE(YEAR(Invoer!$A$6),12,31)-DATE(YEAR(Invoer!$A$6),1,1)+1),"jjjjmmdd")</f>
        <v>19400305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"—",VLOOKUP(DATEVALUE(LEFT(B66,4)&amp;"-"&amp;MID(B66,5,2)&amp;"-"&amp;RIGHT(B66,2)),Data,MATCH(VLOOKUP(A66,Stations,2,FALSE()),OFFSET(Data,2,0,1),0),FALSE()))</f>
        <v>0</v>
      </c>
      <c r="E66" s="11">
        <f t="shared" ref="E66:E129" ca="1" si="3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2,0,1),0),FALSE())))</f>
        <v>0</v>
      </c>
    </row>
    <row r="67" spans="1:5" x14ac:dyDescent="0.25">
      <c r="A67" s="4">
        <f ca="1">INDEX(Stations,INT((ROWS(A$2:A67)-1)/(DATE(YEAR(Invoer!$A$6),12,31)-DATE(YEAR(Invoer!$A$6),1,1)+1))+2,1)</f>
        <v>32</v>
      </c>
      <c r="B67" t="str">
        <f ca="1">TEXT(DATE(YEAR(Invoer!$A$6),1,1)+MOD(ROWS(B$2:B67)-1,DATE(YEAR(Invoer!$A$6),12,31)-DATE(YEAR(Invoer!$A$6),1,1)+1),"jjjjmmdd")</f>
        <v>19400306</v>
      </c>
      <c r="C67" s="5">
        <v>1</v>
      </c>
      <c r="D67" s="10">
        <f t="shared" ca="1" si="2"/>
        <v>0</v>
      </c>
      <c r="E67" s="11">
        <f t="shared" ca="1" si="3"/>
        <v>0</v>
      </c>
    </row>
    <row r="68" spans="1:5" x14ac:dyDescent="0.25">
      <c r="A68" s="4">
        <f ca="1">INDEX(Stations,INT((ROWS(A$2:A68)-1)/(DATE(YEAR(Invoer!$A$6),12,31)-DATE(YEAR(Invoer!$A$6),1,1)+1))+2,1)</f>
        <v>32</v>
      </c>
      <c r="B68" t="str">
        <f ca="1">TEXT(DATE(YEAR(Invoer!$A$6),1,1)+MOD(ROWS(B$2:B68)-1,DATE(YEAR(Invoer!$A$6),12,31)-DATE(YEAR(Invoer!$A$6),1,1)+1),"jjjjmmdd")</f>
        <v>19400307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INDEX(Stations,INT((ROWS(A$2:A69)-1)/(DATE(YEAR(Invoer!$A$6),12,31)-DATE(YEAR(Invoer!$A$6),1,1)+1))+2,1)</f>
        <v>32</v>
      </c>
      <c r="B69" t="str">
        <f ca="1">TEXT(DATE(YEAR(Invoer!$A$6),1,1)+MOD(ROWS(B$2:B69)-1,DATE(YEAR(Invoer!$A$6),12,31)-DATE(YEAR(Invoer!$A$6),1,1)+1),"jjjjmmdd")</f>
        <v>19400308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INDEX(Stations,INT((ROWS(A$2:A70)-1)/(DATE(YEAR(Invoer!$A$6),12,31)-DATE(YEAR(Invoer!$A$6),1,1)+1))+2,1)</f>
        <v>32</v>
      </c>
      <c r="B70" t="str">
        <f ca="1">TEXT(DATE(YEAR(Invoer!$A$6),1,1)+MOD(ROWS(B$2:B70)-1,DATE(YEAR(Invoer!$A$6),12,31)-DATE(YEAR(Invoer!$A$6),1,1)+1),"jjjjmmdd")</f>
        <v>19400309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INDEX(Stations,INT((ROWS(A$2:A71)-1)/(DATE(YEAR(Invoer!$A$6),12,31)-DATE(YEAR(Invoer!$A$6),1,1)+1))+2,1)</f>
        <v>32</v>
      </c>
      <c r="B71" t="str">
        <f ca="1">TEXT(DATE(YEAR(Invoer!$A$6),1,1)+MOD(ROWS(B$2:B71)-1,DATE(YEAR(Invoer!$A$6),12,31)-DATE(YEAR(Invoer!$A$6),1,1)+1),"jjjjmmdd")</f>
        <v>19400310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INDEX(Stations,INT((ROWS(A$2:A72)-1)/(DATE(YEAR(Invoer!$A$6),12,31)-DATE(YEAR(Invoer!$A$6),1,1)+1))+2,1)</f>
        <v>32</v>
      </c>
      <c r="B72" t="str">
        <f ca="1">TEXT(DATE(YEAR(Invoer!$A$6),1,1)+MOD(ROWS(B$2:B72)-1,DATE(YEAR(Invoer!$A$6),12,31)-DATE(YEAR(Invoer!$A$6),1,1)+1),"jjjjmmdd")</f>
        <v>19400311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INDEX(Stations,INT((ROWS(A$2:A73)-1)/(DATE(YEAR(Invoer!$A$6),12,31)-DATE(YEAR(Invoer!$A$6),1,1)+1))+2,1)</f>
        <v>32</v>
      </c>
      <c r="B73" t="str">
        <f ca="1">TEXT(DATE(YEAR(Invoer!$A$6),1,1)+MOD(ROWS(B$2:B73)-1,DATE(YEAR(Invoer!$A$6),12,31)-DATE(YEAR(Invoer!$A$6),1,1)+1),"jjjjmmdd")</f>
        <v>19400312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INDEX(Stations,INT((ROWS(A$2:A74)-1)/(DATE(YEAR(Invoer!$A$6),12,31)-DATE(YEAR(Invoer!$A$6),1,1)+1))+2,1)</f>
        <v>32</v>
      </c>
      <c r="B74" t="str">
        <f ca="1">TEXT(DATE(YEAR(Invoer!$A$6),1,1)+MOD(ROWS(B$2:B74)-1,DATE(YEAR(Invoer!$A$6),12,31)-DATE(YEAR(Invoer!$A$6),1,1)+1),"jjjjmmdd")</f>
        <v>19400313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INDEX(Stations,INT((ROWS(A$2:A75)-1)/(DATE(YEAR(Invoer!$A$6),12,31)-DATE(YEAR(Invoer!$A$6),1,1)+1))+2,1)</f>
        <v>32</v>
      </c>
      <c r="B75" t="str">
        <f ca="1">TEXT(DATE(YEAR(Invoer!$A$6),1,1)+MOD(ROWS(B$2:B75)-1,DATE(YEAR(Invoer!$A$6),12,31)-DATE(YEAR(Invoer!$A$6),1,1)+1),"jjjjmmdd")</f>
        <v>19400314</v>
      </c>
      <c r="C75" s="5">
        <v>1</v>
      </c>
      <c r="D75" s="10">
        <f t="shared" ca="1" si="2"/>
        <v>0</v>
      </c>
      <c r="E75" s="11">
        <f t="shared" ca="1" si="3"/>
        <v>0</v>
      </c>
    </row>
    <row r="76" spans="1:5" x14ac:dyDescent="0.25">
      <c r="A76" s="4">
        <f ca="1">INDEX(Stations,INT((ROWS(A$2:A76)-1)/(DATE(YEAR(Invoer!$A$6),12,31)-DATE(YEAR(Invoer!$A$6),1,1)+1))+2,1)</f>
        <v>32</v>
      </c>
      <c r="B76" t="str">
        <f ca="1">TEXT(DATE(YEAR(Invoer!$A$6),1,1)+MOD(ROWS(B$2:B76)-1,DATE(YEAR(Invoer!$A$6),12,31)-DATE(YEAR(Invoer!$A$6),1,1)+1),"jjjjmmdd")</f>
        <v>19400315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INDEX(Stations,INT((ROWS(A$2:A77)-1)/(DATE(YEAR(Invoer!$A$6),12,31)-DATE(YEAR(Invoer!$A$6),1,1)+1))+2,1)</f>
        <v>32</v>
      </c>
      <c r="B77" t="str">
        <f ca="1">TEXT(DATE(YEAR(Invoer!$A$6),1,1)+MOD(ROWS(B$2:B77)-1,DATE(YEAR(Invoer!$A$6),12,31)-DATE(YEAR(Invoer!$A$6),1,1)+1),"jjjjmmdd")</f>
        <v>19400316</v>
      </c>
      <c r="C77" s="5">
        <v>1</v>
      </c>
      <c r="D77" s="10">
        <f t="shared" ca="1" si="2"/>
        <v>0</v>
      </c>
      <c r="E77" s="11">
        <f t="shared" ca="1" si="3"/>
        <v>0</v>
      </c>
    </row>
    <row r="78" spans="1:5" x14ac:dyDescent="0.25">
      <c r="A78" s="4">
        <f ca="1">INDEX(Stations,INT((ROWS(A$2:A78)-1)/(DATE(YEAR(Invoer!$A$6),12,31)-DATE(YEAR(Invoer!$A$6),1,1)+1))+2,1)</f>
        <v>32</v>
      </c>
      <c r="B78" t="str">
        <f ca="1">TEXT(DATE(YEAR(Invoer!$A$6),1,1)+MOD(ROWS(B$2:B78)-1,DATE(YEAR(Invoer!$A$6),12,31)-DATE(YEAR(Invoer!$A$6),1,1)+1),"jjjjmmdd")</f>
        <v>19400317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INDEX(Stations,INT((ROWS(A$2:A79)-1)/(DATE(YEAR(Invoer!$A$6),12,31)-DATE(YEAR(Invoer!$A$6),1,1)+1))+2,1)</f>
        <v>32</v>
      </c>
      <c r="B79" t="str">
        <f ca="1">TEXT(DATE(YEAR(Invoer!$A$6),1,1)+MOD(ROWS(B$2:B79)-1,DATE(YEAR(Invoer!$A$6),12,31)-DATE(YEAR(Invoer!$A$6),1,1)+1),"jjjjmmdd")</f>
        <v>19400318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INDEX(Stations,INT((ROWS(A$2:A80)-1)/(DATE(YEAR(Invoer!$A$6),12,31)-DATE(YEAR(Invoer!$A$6),1,1)+1))+2,1)</f>
        <v>32</v>
      </c>
      <c r="B80" t="str">
        <f ca="1">TEXT(DATE(YEAR(Invoer!$A$6),1,1)+MOD(ROWS(B$2:B80)-1,DATE(YEAR(Invoer!$A$6),12,31)-DATE(YEAR(Invoer!$A$6),1,1)+1),"jjjjmmdd")</f>
        <v>19400319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INDEX(Stations,INT((ROWS(A$2:A81)-1)/(DATE(YEAR(Invoer!$A$6),12,31)-DATE(YEAR(Invoer!$A$6),1,1)+1))+2,1)</f>
        <v>32</v>
      </c>
      <c r="B81" t="str">
        <f ca="1">TEXT(DATE(YEAR(Invoer!$A$6),1,1)+MOD(ROWS(B$2:B81)-1,DATE(YEAR(Invoer!$A$6),12,31)-DATE(YEAR(Invoer!$A$6),1,1)+1),"jjjjmmdd")</f>
        <v>19400320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INDEX(Stations,INT((ROWS(A$2:A82)-1)/(DATE(YEAR(Invoer!$A$6),12,31)-DATE(YEAR(Invoer!$A$6),1,1)+1))+2,1)</f>
        <v>32</v>
      </c>
      <c r="B82" t="str">
        <f ca="1">TEXT(DATE(YEAR(Invoer!$A$6),1,1)+MOD(ROWS(B$2:B82)-1,DATE(YEAR(Invoer!$A$6),12,31)-DATE(YEAR(Invoer!$A$6),1,1)+1),"jjjjmmdd")</f>
        <v>19400321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INDEX(Stations,INT((ROWS(A$2:A83)-1)/(DATE(YEAR(Invoer!$A$6),12,31)-DATE(YEAR(Invoer!$A$6),1,1)+1))+2,1)</f>
        <v>32</v>
      </c>
      <c r="B83" t="str">
        <f ca="1">TEXT(DATE(YEAR(Invoer!$A$6),1,1)+MOD(ROWS(B$2:B83)-1,DATE(YEAR(Invoer!$A$6),12,31)-DATE(YEAR(Invoer!$A$6),1,1)+1),"jjjjmmdd")</f>
        <v>19400322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INDEX(Stations,INT((ROWS(A$2:A84)-1)/(DATE(YEAR(Invoer!$A$6),12,31)-DATE(YEAR(Invoer!$A$6),1,1)+1))+2,1)</f>
        <v>32</v>
      </c>
      <c r="B84" t="str">
        <f ca="1">TEXT(DATE(YEAR(Invoer!$A$6),1,1)+MOD(ROWS(B$2:B84)-1,DATE(YEAR(Invoer!$A$6),12,31)-DATE(YEAR(Invoer!$A$6),1,1)+1),"jjjjmmdd")</f>
        <v>19400323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INDEX(Stations,INT((ROWS(A$2:A85)-1)/(DATE(YEAR(Invoer!$A$6),12,31)-DATE(YEAR(Invoer!$A$6),1,1)+1))+2,1)</f>
        <v>32</v>
      </c>
      <c r="B85" t="str">
        <f ca="1">TEXT(DATE(YEAR(Invoer!$A$6),1,1)+MOD(ROWS(B$2:B85)-1,DATE(YEAR(Invoer!$A$6),12,31)-DATE(YEAR(Invoer!$A$6),1,1)+1),"jjjjmmdd")</f>
        <v>19400324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INDEX(Stations,INT((ROWS(A$2:A86)-1)/(DATE(YEAR(Invoer!$A$6),12,31)-DATE(YEAR(Invoer!$A$6),1,1)+1))+2,1)</f>
        <v>32</v>
      </c>
      <c r="B86" t="str">
        <f ca="1">TEXT(DATE(YEAR(Invoer!$A$6),1,1)+MOD(ROWS(B$2:B86)-1,DATE(YEAR(Invoer!$A$6),12,31)-DATE(YEAR(Invoer!$A$6),1,1)+1),"jjjjmmdd")</f>
        <v>19400325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INDEX(Stations,INT((ROWS(A$2:A87)-1)/(DATE(YEAR(Invoer!$A$6),12,31)-DATE(YEAR(Invoer!$A$6),1,1)+1))+2,1)</f>
        <v>32</v>
      </c>
      <c r="B87" t="str">
        <f ca="1">TEXT(DATE(YEAR(Invoer!$A$6),1,1)+MOD(ROWS(B$2:B87)-1,DATE(YEAR(Invoer!$A$6),12,31)-DATE(YEAR(Invoer!$A$6),1,1)+1),"jjjjmmdd")</f>
        <v>19400326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INDEX(Stations,INT((ROWS(A$2:A88)-1)/(DATE(YEAR(Invoer!$A$6),12,31)-DATE(YEAR(Invoer!$A$6),1,1)+1))+2,1)</f>
        <v>32</v>
      </c>
      <c r="B88" t="str">
        <f ca="1">TEXT(DATE(YEAR(Invoer!$A$6),1,1)+MOD(ROWS(B$2:B88)-1,DATE(YEAR(Invoer!$A$6),12,31)-DATE(YEAR(Invoer!$A$6),1,1)+1),"jjjjmmdd")</f>
        <v>19400327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INDEX(Stations,INT((ROWS(A$2:A89)-1)/(DATE(YEAR(Invoer!$A$6),12,31)-DATE(YEAR(Invoer!$A$6),1,1)+1))+2,1)</f>
        <v>32</v>
      </c>
      <c r="B89" t="str">
        <f ca="1">TEXT(DATE(YEAR(Invoer!$A$6),1,1)+MOD(ROWS(B$2:B89)-1,DATE(YEAR(Invoer!$A$6),12,31)-DATE(YEAR(Invoer!$A$6),1,1)+1),"jjjjmmdd")</f>
        <v>19400328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INDEX(Stations,INT((ROWS(A$2:A90)-1)/(DATE(YEAR(Invoer!$A$6),12,31)-DATE(YEAR(Invoer!$A$6),1,1)+1))+2,1)</f>
        <v>32</v>
      </c>
      <c r="B90" t="str">
        <f ca="1">TEXT(DATE(YEAR(Invoer!$A$6),1,1)+MOD(ROWS(B$2:B90)-1,DATE(YEAR(Invoer!$A$6),12,31)-DATE(YEAR(Invoer!$A$6),1,1)+1),"jjjjmmdd")</f>
        <v>19400329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INDEX(Stations,INT((ROWS(A$2:A91)-1)/(DATE(YEAR(Invoer!$A$6),12,31)-DATE(YEAR(Invoer!$A$6),1,1)+1))+2,1)</f>
        <v>32</v>
      </c>
      <c r="B91" t="str">
        <f ca="1">TEXT(DATE(YEAR(Invoer!$A$6),1,1)+MOD(ROWS(B$2:B91)-1,DATE(YEAR(Invoer!$A$6),12,31)-DATE(YEAR(Invoer!$A$6),1,1)+1),"jjjjmmdd")</f>
        <v>19400330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INDEX(Stations,INT((ROWS(A$2:A92)-1)/(DATE(YEAR(Invoer!$A$6),12,31)-DATE(YEAR(Invoer!$A$6),1,1)+1))+2,1)</f>
        <v>32</v>
      </c>
      <c r="B92" t="str">
        <f ca="1">TEXT(DATE(YEAR(Invoer!$A$6),1,1)+MOD(ROWS(B$2:B92)-1,DATE(YEAR(Invoer!$A$6),12,31)-DATE(YEAR(Invoer!$A$6),1,1)+1),"jjjjmmdd")</f>
        <v>19400331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INDEX(Stations,INT((ROWS(A$2:A93)-1)/(DATE(YEAR(Invoer!$A$6),12,31)-DATE(YEAR(Invoer!$A$6),1,1)+1))+2,1)</f>
        <v>32</v>
      </c>
      <c r="B93" t="str">
        <f ca="1">TEXT(DATE(YEAR(Invoer!$A$6),1,1)+MOD(ROWS(B$2:B93)-1,DATE(YEAR(Invoer!$A$6),12,31)-DATE(YEAR(Invoer!$A$6),1,1)+1),"jjjjmmdd")</f>
        <v>19400401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INDEX(Stations,INT((ROWS(A$2:A94)-1)/(DATE(YEAR(Invoer!$A$6),12,31)-DATE(YEAR(Invoer!$A$6),1,1)+1))+2,1)</f>
        <v>32</v>
      </c>
      <c r="B94" t="str">
        <f ca="1">TEXT(DATE(YEAR(Invoer!$A$6),1,1)+MOD(ROWS(B$2:B94)-1,DATE(YEAR(Invoer!$A$6),12,31)-DATE(YEAR(Invoer!$A$6),1,1)+1),"jjjjmmdd")</f>
        <v>19400402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INDEX(Stations,INT((ROWS(A$2:A95)-1)/(DATE(YEAR(Invoer!$A$6),12,31)-DATE(YEAR(Invoer!$A$6),1,1)+1))+2,1)</f>
        <v>32</v>
      </c>
      <c r="B95" t="str">
        <f ca="1">TEXT(DATE(YEAR(Invoer!$A$6),1,1)+MOD(ROWS(B$2:B95)-1,DATE(YEAR(Invoer!$A$6),12,31)-DATE(YEAR(Invoer!$A$6),1,1)+1),"jjjjmmdd")</f>
        <v>19400403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INDEX(Stations,INT((ROWS(A$2:A96)-1)/(DATE(YEAR(Invoer!$A$6),12,31)-DATE(YEAR(Invoer!$A$6),1,1)+1))+2,1)</f>
        <v>32</v>
      </c>
      <c r="B96" t="str">
        <f ca="1">TEXT(DATE(YEAR(Invoer!$A$6),1,1)+MOD(ROWS(B$2:B96)-1,DATE(YEAR(Invoer!$A$6),12,31)-DATE(YEAR(Invoer!$A$6),1,1)+1),"jjjjmmdd")</f>
        <v>19400404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INDEX(Stations,INT((ROWS(A$2:A97)-1)/(DATE(YEAR(Invoer!$A$6),12,31)-DATE(YEAR(Invoer!$A$6),1,1)+1))+2,1)</f>
        <v>32</v>
      </c>
      <c r="B97" t="str">
        <f ca="1">TEXT(DATE(YEAR(Invoer!$A$6),1,1)+MOD(ROWS(B$2:B97)-1,DATE(YEAR(Invoer!$A$6),12,31)-DATE(YEAR(Invoer!$A$6),1,1)+1),"jjjjmmdd")</f>
        <v>19400405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INDEX(Stations,INT((ROWS(A$2:A98)-1)/(DATE(YEAR(Invoer!$A$6),12,31)-DATE(YEAR(Invoer!$A$6),1,1)+1))+2,1)</f>
        <v>32</v>
      </c>
      <c r="B98" t="str">
        <f ca="1">TEXT(DATE(YEAR(Invoer!$A$6),1,1)+MOD(ROWS(B$2:B98)-1,DATE(YEAR(Invoer!$A$6),12,31)-DATE(YEAR(Invoer!$A$6),1,1)+1),"jjjjmmdd")</f>
        <v>19400406</v>
      </c>
      <c r="C98" s="5">
        <v>1</v>
      </c>
      <c r="D98" s="10">
        <f t="shared" ca="1" si="2"/>
        <v>0</v>
      </c>
      <c r="E98" s="11">
        <f t="shared" ca="1" si="3"/>
        <v>0</v>
      </c>
    </row>
    <row r="99" spans="1:5" x14ac:dyDescent="0.25">
      <c r="A99" s="4">
        <f ca="1">INDEX(Stations,INT((ROWS(A$2:A99)-1)/(DATE(YEAR(Invoer!$A$6),12,31)-DATE(YEAR(Invoer!$A$6),1,1)+1))+2,1)</f>
        <v>32</v>
      </c>
      <c r="B99" t="str">
        <f ca="1">TEXT(DATE(YEAR(Invoer!$A$6),1,1)+MOD(ROWS(B$2:B99)-1,DATE(YEAR(Invoer!$A$6),12,31)-DATE(YEAR(Invoer!$A$6),1,1)+1),"jjjjmmdd")</f>
        <v>19400407</v>
      </c>
      <c r="C99" s="5">
        <v>1</v>
      </c>
      <c r="D99" s="10">
        <f t="shared" ca="1" si="2"/>
        <v>0</v>
      </c>
      <c r="E99" s="11">
        <f t="shared" ca="1" si="3"/>
        <v>0</v>
      </c>
    </row>
    <row r="100" spans="1:5" x14ac:dyDescent="0.25">
      <c r="A100" s="4">
        <f ca="1">INDEX(Stations,INT((ROWS(A$2:A100)-1)/(DATE(YEAR(Invoer!$A$6),12,31)-DATE(YEAR(Invoer!$A$6),1,1)+1))+2,1)</f>
        <v>32</v>
      </c>
      <c r="B100" t="str">
        <f ca="1">TEXT(DATE(YEAR(Invoer!$A$6),1,1)+MOD(ROWS(B$2:B100)-1,DATE(YEAR(Invoer!$A$6),12,31)-DATE(YEAR(Invoer!$A$6),1,1)+1),"jjjjmmdd")</f>
        <v>19400408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INDEX(Stations,INT((ROWS(A$2:A101)-1)/(DATE(YEAR(Invoer!$A$6),12,31)-DATE(YEAR(Invoer!$A$6),1,1)+1))+2,1)</f>
        <v>32</v>
      </c>
      <c r="B101" t="str">
        <f ca="1">TEXT(DATE(YEAR(Invoer!$A$6),1,1)+MOD(ROWS(B$2:B101)-1,DATE(YEAR(Invoer!$A$6),12,31)-DATE(YEAR(Invoer!$A$6),1,1)+1),"jjjjmmdd")</f>
        <v>19400409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INDEX(Stations,INT((ROWS(A$2:A102)-1)/(DATE(YEAR(Invoer!$A$6),12,31)-DATE(YEAR(Invoer!$A$6),1,1)+1))+2,1)</f>
        <v>32</v>
      </c>
      <c r="B102" t="str">
        <f ca="1">TEXT(DATE(YEAR(Invoer!$A$6),1,1)+MOD(ROWS(B$2:B102)-1,DATE(YEAR(Invoer!$A$6),12,31)-DATE(YEAR(Invoer!$A$6),1,1)+1),"jjjjmmdd")</f>
        <v>19400410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INDEX(Stations,INT((ROWS(A$2:A103)-1)/(DATE(YEAR(Invoer!$A$6),12,31)-DATE(YEAR(Invoer!$A$6),1,1)+1))+2,1)</f>
        <v>32</v>
      </c>
      <c r="B103" t="str">
        <f ca="1">TEXT(DATE(YEAR(Invoer!$A$6),1,1)+MOD(ROWS(B$2:B103)-1,DATE(YEAR(Invoer!$A$6),12,31)-DATE(YEAR(Invoer!$A$6),1,1)+1),"jjjjmmdd")</f>
        <v>19400411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INDEX(Stations,INT((ROWS(A$2:A104)-1)/(DATE(YEAR(Invoer!$A$6),12,31)-DATE(YEAR(Invoer!$A$6),1,1)+1))+2,1)</f>
        <v>32</v>
      </c>
      <c r="B104" t="str">
        <f ca="1">TEXT(DATE(YEAR(Invoer!$A$6),1,1)+MOD(ROWS(B$2:B104)-1,DATE(YEAR(Invoer!$A$6),12,31)-DATE(YEAR(Invoer!$A$6),1,1)+1),"jjjjmmdd")</f>
        <v>19400412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INDEX(Stations,INT((ROWS(A$2:A105)-1)/(DATE(YEAR(Invoer!$A$6),12,31)-DATE(YEAR(Invoer!$A$6),1,1)+1))+2,1)</f>
        <v>32</v>
      </c>
      <c r="B105" t="str">
        <f ca="1">TEXT(DATE(YEAR(Invoer!$A$6),1,1)+MOD(ROWS(B$2:B105)-1,DATE(YEAR(Invoer!$A$6),12,31)-DATE(YEAR(Invoer!$A$6),1,1)+1),"jjjjmmdd")</f>
        <v>19400413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INDEX(Stations,INT((ROWS(A$2:A106)-1)/(DATE(YEAR(Invoer!$A$6),12,31)-DATE(YEAR(Invoer!$A$6),1,1)+1))+2,1)</f>
        <v>32</v>
      </c>
      <c r="B106" t="str">
        <f ca="1">TEXT(DATE(YEAR(Invoer!$A$6),1,1)+MOD(ROWS(B$2:B106)-1,DATE(YEAR(Invoer!$A$6),12,31)-DATE(YEAR(Invoer!$A$6),1,1)+1),"jjjjmmdd")</f>
        <v>19400414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INDEX(Stations,INT((ROWS(A$2:A107)-1)/(DATE(YEAR(Invoer!$A$6),12,31)-DATE(YEAR(Invoer!$A$6),1,1)+1))+2,1)</f>
        <v>32</v>
      </c>
      <c r="B107" t="str">
        <f ca="1">TEXT(DATE(YEAR(Invoer!$A$6),1,1)+MOD(ROWS(B$2:B107)-1,DATE(YEAR(Invoer!$A$6),12,31)-DATE(YEAR(Invoer!$A$6),1,1)+1),"jjjjmmdd")</f>
        <v>19400415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INDEX(Stations,INT((ROWS(A$2:A108)-1)/(DATE(YEAR(Invoer!$A$6),12,31)-DATE(YEAR(Invoer!$A$6),1,1)+1))+2,1)</f>
        <v>32</v>
      </c>
      <c r="B108" t="str">
        <f ca="1">TEXT(DATE(YEAR(Invoer!$A$6),1,1)+MOD(ROWS(B$2:B108)-1,DATE(YEAR(Invoer!$A$6),12,31)-DATE(YEAR(Invoer!$A$6),1,1)+1),"jjjjmmdd")</f>
        <v>19400416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INDEX(Stations,INT((ROWS(A$2:A109)-1)/(DATE(YEAR(Invoer!$A$6),12,31)-DATE(YEAR(Invoer!$A$6),1,1)+1))+2,1)</f>
        <v>32</v>
      </c>
      <c r="B109" t="str">
        <f ca="1">TEXT(DATE(YEAR(Invoer!$A$6),1,1)+MOD(ROWS(B$2:B109)-1,DATE(YEAR(Invoer!$A$6),12,31)-DATE(YEAR(Invoer!$A$6),1,1)+1),"jjjjmmdd")</f>
        <v>19400417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INDEX(Stations,INT((ROWS(A$2:A110)-1)/(DATE(YEAR(Invoer!$A$6),12,31)-DATE(YEAR(Invoer!$A$6),1,1)+1))+2,1)</f>
        <v>32</v>
      </c>
      <c r="B110" t="str">
        <f ca="1">TEXT(DATE(YEAR(Invoer!$A$6),1,1)+MOD(ROWS(B$2:B110)-1,DATE(YEAR(Invoer!$A$6),12,31)-DATE(YEAR(Invoer!$A$6),1,1)+1),"jjjjmmdd")</f>
        <v>19400418</v>
      </c>
      <c r="C110" s="5">
        <v>1</v>
      </c>
      <c r="D110" s="10">
        <f t="shared" ca="1" si="2"/>
        <v>0</v>
      </c>
      <c r="E110" s="11">
        <f t="shared" ca="1" si="3"/>
        <v>0</v>
      </c>
    </row>
    <row r="111" spans="1:5" x14ac:dyDescent="0.25">
      <c r="A111" s="4">
        <f ca="1">INDEX(Stations,INT((ROWS(A$2:A111)-1)/(DATE(YEAR(Invoer!$A$6),12,31)-DATE(YEAR(Invoer!$A$6),1,1)+1))+2,1)</f>
        <v>32</v>
      </c>
      <c r="B111" t="str">
        <f ca="1">TEXT(DATE(YEAR(Invoer!$A$6),1,1)+MOD(ROWS(B$2:B111)-1,DATE(YEAR(Invoer!$A$6),12,31)-DATE(YEAR(Invoer!$A$6),1,1)+1),"jjjjmmdd")</f>
        <v>19400419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INDEX(Stations,INT((ROWS(A$2:A112)-1)/(DATE(YEAR(Invoer!$A$6),12,31)-DATE(YEAR(Invoer!$A$6),1,1)+1))+2,1)</f>
        <v>32</v>
      </c>
      <c r="B112" t="str">
        <f ca="1">TEXT(DATE(YEAR(Invoer!$A$6),1,1)+MOD(ROWS(B$2:B112)-1,DATE(YEAR(Invoer!$A$6),12,31)-DATE(YEAR(Invoer!$A$6),1,1)+1),"jjjjmmdd")</f>
        <v>19400420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INDEX(Stations,INT((ROWS(A$2:A113)-1)/(DATE(YEAR(Invoer!$A$6),12,31)-DATE(YEAR(Invoer!$A$6),1,1)+1))+2,1)</f>
        <v>32</v>
      </c>
      <c r="B113" t="str">
        <f ca="1">TEXT(DATE(YEAR(Invoer!$A$6),1,1)+MOD(ROWS(B$2:B113)-1,DATE(YEAR(Invoer!$A$6),12,31)-DATE(YEAR(Invoer!$A$6),1,1)+1),"jjjjmmdd")</f>
        <v>19400421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INDEX(Stations,INT((ROWS(A$2:A114)-1)/(DATE(YEAR(Invoer!$A$6),12,31)-DATE(YEAR(Invoer!$A$6),1,1)+1))+2,1)</f>
        <v>32</v>
      </c>
      <c r="B114" t="str">
        <f ca="1">TEXT(DATE(YEAR(Invoer!$A$6),1,1)+MOD(ROWS(B$2:B114)-1,DATE(YEAR(Invoer!$A$6),12,31)-DATE(YEAR(Invoer!$A$6),1,1)+1),"jjjjmmdd")</f>
        <v>19400422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INDEX(Stations,INT((ROWS(A$2:A115)-1)/(DATE(YEAR(Invoer!$A$6),12,31)-DATE(YEAR(Invoer!$A$6),1,1)+1))+2,1)</f>
        <v>32</v>
      </c>
      <c r="B115" t="str">
        <f ca="1">TEXT(DATE(YEAR(Invoer!$A$6),1,1)+MOD(ROWS(B$2:B115)-1,DATE(YEAR(Invoer!$A$6),12,31)-DATE(YEAR(Invoer!$A$6),1,1)+1),"jjjjmmdd")</f>
        <v>19400423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INDEX(Stations,INT((ROWS(A$2:A116)-1)/(DATE(YEAR(Invoer!$A$6),12,31)-DATE(YEAR(Invoer!$A$6),1,1)+1))+2,1)</f>
        <v>32</v>
      </c>
      <c r="B116" t="str">
        <f ca="1">TEXT(DATE(YEAR(Invoer!$A$6),1,1)+MOD(ROWS(B$2:B116)-1,DATE(YEAR(Invoer!$A$6),12,31)-DATE(YEAR(Invoer!$A$6),1,1)+1),"jjjjmmdd")</f>
        <v>19400424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INDEX(Stations,INT((ROWS(A$2:A117)-1)/(DATE(YEAR(Invoer!$A$6),12,31)-DATE(YEAR(Invoer!$A$6),1,1)+1))+2,1)</f>
        <v>32</v>
      </c>
      <c r="B117" t="str">
        <f ca="1">TEXT(DATE(YEAR(Invoer!$A$6),1,1)+MOD(ROWS(B$2:B117)-1,DATE(YEAR(Invoer!$A$6),12,31)-DATE(YEAR(Invoer!$A$6),1,1)+1),"jjjjmmdd")</f>
        <v>19400425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INDEX(Stations,INT((ROWS(A$2:A118)-1)/(DATE(YEAR(Invoer!$A$6),12,31)-DATE(YEAR(Invoer!$A$6),1,1)+1))+2,1)</f>
        <v>32</v>
      </c>
      <c r="B118" t="str">
        <f ca="1">TEXT(DATE(YEAR(Invoer!$A$6),1,1)+MOD(ROWS(B$2:B118)-1,DATE(YEAR(Invoer!$A$6),12,31)-DATE(YEAR(Invoer!$A$6),1,1)+1),"jjjjmmdd")</f>
        <v>19400426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INDEX(Stations,INT((ROWS(A$2:A119)-1)/(DATE(YEAR(Invoer!$A$6),12,31)-DATE(YEAR(Invoer!$A$6),1,1)+1))+2,1)</f>
        <v>32</v>
      </c>
      <c r="B119" t="str">
        <f ca="1">TEXT(DATE(YEAR(Invoer!$A$6),1,1)+MOD(ROWS(B$2:B119)-1,DATE(YEAR(Invoer!$A$6),12,31)-DATE(YEAR(Invoer!$A$6),1,1)+1),"jjjjmmdd")</f>
        <v>19400427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INDEX(Stations,INT((ROWS(A$2:A120)-1)/(DATE(YEAR(Invoer!$A$6),12,31)-DATE(YEAR(Invoer!$A$6),1,1)+1))+2,1)</f>
        <v>32</v>
      </c>
      <c r="B120" t="str">
        <f ca="1">TEXT(DATE(YEAR(Invoer!$A$6),1,1)+MOD(ROWS(B$2:B120)-1,DATE(YEAR(Invoer!$A$6),12,31)-DATE(YEAR(Invoer!$A$6),1,1)+1),"jjjjmmdd")</f>
        <v>19400428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INDEX(Stations,INT((ROWS(A$2:A121)-1)/(DATE(YEAR(Invoer!$A$6),12,31)-DATE(YEAR(Invoer!$A$6),1,1)+1))+2,1)</f>
        <v>32</v>
      </c>
      <c r="B121" t="str">
        <f ca="1">TEXT(DATE(YEAR(Invoer!$A$6),1,1)+MOD(ROWS(B$2:B121)-1,DATE(YEAR(Invoer!$A$6),12,31)-DATE(YEAR(Invoer!$A$6),1,1)+1),"jjjjmmdd")</f>
        <v>19400429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INDEX(Stations,INT((ROWS(A$2:A122)-1)/(DATE(YEAR(Invoer!$A$6),12,31)-DATE(YEAR(Invoer!$A$6),1,1)+1))+2,1)</f>
        <v>32</v>
      </c>
      <c r="B122" t="str">
        <f ca="1">TEXT(DATE(YEAR(Invoer!$A$6),1,1)+MOD(ROWS(B$2:B122)-1,DATE(YEAR(Invoer!$A$6),12,31)-DATE(YEAR(Invoer!$A$6),1,1)+1),"jjjjmmdd")</f>
        <v>19400430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INDEX(Stations,INT((ROWS(A$2:A123)-1)/(DATE(YEAR(Invoer!$A$6),12,31)-DATE(YEAR(Invoer!$A$6),1,1)+1))+2,1)</f>
        <v>32</v>
      </c>
      <c r="B123" t="str">
        <f ca="1">TEXT(DATE(YEAR(Invoer!$A$6),1,1)+MOD(ROWS(B$2:B123)-1,DATE(YEAR(Invoer!$A$6),12,31)-DATE(YEAR(Invoer!$A$6),1,1)+1),"jjjjmmdd")</f>
        <v>19400501</v>
      </c>
      <c r="C123" s="5">
        <v>1</v>
      </c>
      <c r="D123" s="10">
        <f t="shared" ca="1" si="2"/>
        <v>0</v>
      </c>
      <c r="E123" s="11">
        <f t="shared" ca="1" si="3"/>
        <v>0</v>
      </c>
    </row>
    <row r="124" spans="1:5" x14ac:dyDescent="0.25">
      <c r="A124" s="4">
        <f ca="1">INDEX(Stations,INT((ROWS(A$2:A124)-1)/(DATE(YEAR(Invoer!$A$6),12,31)-DATE(YEAR(Invoer!$A$6),1,1)+1))+2,1)</f>
        <v>32</v>
      </c>
      <c r="B124" t="str">
        <f ca="1">TEXT(DATE(YEAR(Invoer!$A$6),1,1)+MOD(ROWS(B$2:B124)-1,DATE(YEAR(Invoer!$A$6),12,31)-DATE(YEAR(Invoer!$A$6),1,1)+1),"jjjjmmdd")</f>
        <v>19400502</v>
      </c>
      <c r="C124" s="5">
        <v>1</v>
      </c>
      <c r="D124" s="10">
        <f t="shared" ca="1" si="2"/>
        <v>0</v>
      </c>
      <c r="E124" s="11">
        <f t="shared" ca="1" si="3"/>
        <v>0</v>
      </c>
    </row>
    <row r="125" spans="1:5" x14ac:dyDescent="0.25">
      <c r="A125" s="4">
        <f ca="1">INDEX(Stations,INT((ROWS(A$2:A125)-1)/(DATE(YEAR(Invoer!$A$6),12,31)-DATE(YEAR(Invoer!$A$6),1,1)+1))+2,1)</f>
        <v>32</v>
      </c>
      <c r="B125" t="str">
        <f ca="1">TEXT(DATE(YEAR(Invoer!$A$6),1,1)+MOD(ROWS(B$2:B125)-1,DATE(YEAR(Invoer!$A$6),12,31)-DATE(YEAR(Invoer!$A$6),1,1)+1),"jjjjmmdd")</f>
        <v>19400503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INDEX(Stations,INT((ROWS(A$2:A126)-1)/(DATE(YEAR(Invoer!$A$6),12,31)-DATE(YEAR(Invoer!$A$6),1,1)+1))+2,1)</f>
        <v>32</v>
      </c>
      <c r="B126" t="str">
        <f ca="1">TEXT(DATE(YEAR(Invoer!$A$6),1,1)+MOD(ROWS(B$2:B126)-1,DATE(YEAR(Invoer!$A$6),12,31)-DATE(YEAR(Invoer!$A$6),1,1)+1),"jjjjmmdd")</f>
        <v>19400504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INDEX(Stations,INT((ROWS(A$2:A127)-1)/(DATE(YEAR(Invoer!$A$6),12,31)-DATE(YEAR(Invoer!$A$6),1,1)+1))+2,1)</f>
        <v>32</v>
      </c>
      <c r="B127" t="str">
        <f ca="1">TEXT(DATE(YEAR(Invoer!$A$6),1,1)+MOD(ROWS(B$2:B127)-1,DATE(YEAR(Invoer!$A$6),12,31)-DATE(YEAR(Invoer!$A$6),1,1)+1),"jjjjmmdd")</f>
        <v>19400505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INDEX(Stations,INT((ROWS(A$2:A128)-1)/(DATE(YEAR(Invoer!$A$6),12,31)-DATE(YEAR(Invoer!$A$6),1,1)+1))+2,1)</f>
        <v>32</v>
      </c>
      <c r="B128" t="str">
        <f ca="1">TEXT(DATE(YEAR(Invoer!$A$6),1,1)+MOD(ROWS(B$2:B128)-1,DATE(YEAR(Invoer!$A$6),12,31)-DATE(YEAR(Invoer!$A$6),1,1)+1),"jjjjmmdd")</f>
        <v>19400506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INDEX(Stations,INT((ROWS(A$2:A129)-1)/(DATE(YEAR(Invoer!$A$6),12,31)-DATE(YEAR(Invoer!$A$6),1,1)+1))+2,1)</f>
        <v>32</v>
      </c>
      <c r="B129" t="str">
        <f ca="1">TEXT(DATE(YEAR(Invoer!$A$6),1,1)+MOD(ROWS(B$2:B129)-1,DATE(YEAR(Invoer!$A$6),12,31)-DATE(YEAR(Invoer!$A$6),1,1)+1),"jjjjmmdd")</f>
        <v>19400507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INDEX(Stations,INT((ROWS(A$2:A130)-1)/(DATE(YEAR(Invoer!$A$6),12,31)-DATE(YEAR(Invoer!$A$6),1,1)+1))+2,1)</f>
        <v>32</v>
      </c>
      <c r="B130" t="str">
        <f ca="1">TEXT(DATE(YEAR(Invoer!$A$6),1,1)+MOD(ROWS(B$2:B130)-1,DATE(YEAR(Invoer!$A$6),12,31)-DATE(YEAR(Invoer!$A$6),1,1)+1),"jjjjmmdd")</f>
        <v>19400508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"—",VLOOKUP(DATEVALUE(LEFT(B130,4)&amp;"-"&amp;MID(B130,5,2)&amp;"-"&amp;RIGHT(B130,2)),Data,MATCH(VLOOKUP(A130,Stations,2,FALSE()),OFFSET(Data,2,0,1)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2,0,1),0),FALSE())))</f>
        <v>0</v>
      </c>
    </row>
    <row r="131" spans="1:5" x14ac:dyDescent="0.25">
      <c r="A131" s="4">
        <f ca="1">INDEX(Stations,INT((ROWS(A$2:A131)-1)/(DATE(YEAR(Invoer!$A$6),12,31)-DATE(YEAR(Invoer!$A$6),1,1)+1))+2,1)</f>
        <v>32</v>
      </c>
      <c r="B131" t="str">
        <f ca="1">TEXT(DATE(YEAR(Invoer!$A$6),1,1)+MOD(ROWS(B$2:B131)-1,DATE(YEAR(Invoer!$A$6),12,31)-DATE(YEAR(Invoer!$A$6),1,1)+1),"jjjjmmdd")</f>
        <v>19400509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INDEX(Stations,INT((ROWS(A$2:A132)-1)/(DATE(YEAR(Invoer!$A$6),12,31)-DATE(YEAR(Invoer!$A$6),1,1)+1))+2,1)</f>
        <v>32</v>
      </c>
      <c r="B132" t="str">
        <f ca="1">TEXT(DATE(YEAR(Invoer!$A$6),1,1)+MOD(ROWS(B$2:B132)-1,DATE(YEAR(Invoer!$A$6),12,31)-DATE(YEAR(Invoer!$A$6),1,1)+1),"jjjjmmdd")</f>
        <v>19400510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INDEX(Stations,INT((ROWS(A$2:A133)-1)/(DATE(YEAR(Invoer!$A$6),12,31)-DATE(YEAR(Invoer!$A$6),1,1)+1))+2,1)</f>
        <v>32</v>
      </c>
      <c r="B133" t="str">
        <f ca="1">TEXT(DATE(YEAR(Invoer!$A$6),1,1)+MOD(ROWS(B$2:B133)-1,DATE(YEAR(Invoer!$A$6),12,31)-DATE(YEAR(Invoer!$A$6),1,1)+1),"jjjjmmdd")</f>
        <v>19400511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INDEX(Stations,INT((ROWS(A$2:A134)-1)/(DATE(YEAR(Invoer!$A$6),12,31)-DATE(YEAR(Invoer!$A$6),1,1)+1))+2,1)</f>
        <v>32</v>
      </c>
      <c r="B134" t="str">
        <f ca="1">TEXT(DATE(YEAR(Invoer!$A$6),1,1)+MOD(ROWS(B$2:B134)-1,DATE(YEAR(Invoer!$A$6),12,31)-DATE(YEAR(Invoer!$A$6),1,1)+1),"jjjjmmdd")</f>
        <v>19400512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INDEX(Stations,INT((ROWS(A$2:A135)-1)/(DATE(YEAR(Invoer!$A$6),12,31)-DATE(YEAR(Invoer!$A$6),1,1)+1))+2,1)</f>
        <v>32</v>
      </c>
      <c r="B135" t="str">
        <f ca="1">TEXT(DATE(YEAR(Invoer!$A$6),1,1)+MOD(ROWS(B$2:B135)-1,DATE(YEAR(Invoer!$A$6),12,31)-DATE(YEAR(Invoer!$A$6),1,1)+1),"jjjjmmdd")</f>
        <v>19400513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INDEX(Stations,INT((ROWS(A$2:A136)-1)/(DATE(YEAR(Invoer!$A$6),12,31)-DATE(YEAR(Invoer!$A$6),1,1)+1))+2,1)</f>
        <v>32</v>
      </c>
      <c r="B136" t="str">
        <f ca="1">TEXT(DATE(YEAR(Invoer!$A$6),1,1)+MOD(ROWS(B$2:B136)-1,DATE(YEAR(Invoer!$A$6),12,31)-DATE(YEAR(Invoer!$A$6),1,1)+1),"jjjjmmdd")</f>
        <v>19400514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INDEX(Stations,INT((ROWS(A$2:A137)-1)/(DATE(YEAR(Invoer!$A$6),12,31)-DATE(YEAR(Invoer!$A$6),1,1)+1))+2,1)</f>
        <v>32</v>
      </c>
      <c r="B137" t="str">
        <f ca="1">TEXT(DATE(YEAR(Invoer!$A$6),1,1)+MOD(ROWS(B$2:B137)-1,DATE(YEAR(Invoer!$A$6),12,31)-DATE(YEAR(Invoer!$A$6),1,1)+1),"jjjjmmdd")</f>
        <v>19400515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INDEX(Stations,INT((ROWS(A$2:A138)-1)/(DATE(YEAR(Invoer!$A$6),12,31)-DATE(YEAR(Invoer!$A$6),1,1)+1))+2,1)</f>
        <v>32</v>
      </c>
      <c r="B138" t="str">
        <f ca="1">TEXT(DATE(YEAR(Invoer!$A$6),1,1)+MOD(ROWS(B$2:B138)-1,DATE(YEAR(Invoer!$A$6),12,31)-DATE(YEAR(Invoer!$A$6),1,1)+1),"jjjjmmdd")</f>
        <v>19400516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INDEX(Stations,INT((ROWS(A$2:A139)-1)/(DATE(YEAR(Invoer!$A$6),12,31)-DATE(YEAR(Invoer!$A$6),1,1)+1))+2,1)</f>
        <v>32</v>
      </c>
      <c r="B139" t="str">
        <f ca="1">TEXT(DATE(YEAR(Invoer!$A$6),1,1)+MOD(ROWS(B$2:B139)-1,DATE(YEAR(Invoer!$A$6),12,31)-DATE(YEAR(Invoer!$A$6),1,1)+1),"jjjjmmdd")</f>
        <v>19400517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INDEX(Stations,INT((ROWS(A$2:A140)-1)/(DATE(YEAR(Invoer!$A$6),12,31)-DATE(YEAR(Invoer!$A$6),1,1)+1))+2,1)</f>
        <v>32</v>
      </c>
      <c r="B140" t="str">
        <f ca="1">TEXT(DATE(YEAR(Invoer!$A$6),1,1)+MOD(ROWS(B$2:B140)-1,DATE(YEAR(Invoer!$A$6),12,31)-DATE(YEAR(Invoer!$A$6),1,1)+1),"jjjjmmdd")</f>
        <v>19400518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INDEX(Stations,INT((ROWS(A$2:A141)-1)/(DATE(YEAR(Invoer!$A$6),12,31)-DATE(YEAR(Invoer!$A$6),1,1)+1))+2,1)</f>
        <v>32</v>
      </c>
      <c r="B141" t="str">
        <f ca="1">TEXT(DATE(YEAR(Invoer!$A$6),1,1)+MOD(ROWS(B$2:B141)-1,DATE(YEAR(Invoer!$A$6),12,31)-DATE(YEAR(Invoer!$A$6),1,1)+1),"jjjjmmdd")</f>
        <v>19400519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INDEX(Stations,INT((ROWS(A$2:A142)-1)/(DATE(YEAR(Invoer!$A$6),12,31)-DATE(YEAR(Invoer!$A$6),1,1)+1))+2,1)</f>
        <v>32</v>
      </c>
      <c r="B142" t="str">
        <f ca="1">TEXT(DATE(YEAR(Invoer!$A$6),1,1)+MOD(ROWS(B$2:B142)-1,DATE(YEAR(Invoer!$A$6),12,31)-DATE(YEAR(Invoer!$A$6),1,1)+1),"jjjjmmdd")</f>
        <v>19400520</v>
      </c>
      <c r="C142" s="5">
        <v>1</v>
      </c>
      <c r="D142" s="10">
        <f t="shared" ca="1" si="4"/>
        <v>45</v>
      </c>
      <c r="E142" s="11">
        <f t="shared" ca="1" si="5"/>
        <v>0</v>
      </c>
    </row>
    <row r="143" spans="1:5" x14ac:dyDescent="0.25">
      <c r="A143" s="4">
        <f ca="1">INDEX(Stations,INT((ROWS(A$2:A143)-1)/(DATE(YEAR(Invoer!$A$6),12,31)-DATE(YEAR(Invoer!$A$6),1,1)+1))+2,1)</f>
        <v>32</v>
      </c>
      <c r="B143" t="str">
        <f ca="1">TEXT(DATE(YEAR(Invoer!$A$6),1,1)+MOD(ROWS(B$2:B143)-1,DATE(YEAR(Invoer!$A$6),12,31)-DATE(YEAR(Invoer!$A$6),1,1)+1),"jjjjmmdd")</f>
        <v>19400521</v>
      </c>
      <c r="C143" s="5">
        <v>1</v>
      </c>
      <c r="D143" s="10">
        <f t="shared" ca="1" si="4"/>
        <v>15</v>
      </c>
      <c r="E143" s="11">
        <f t="shared" ca="1" si="5"/>
        <v>0</v>
      </c>
    </row>
    <row r="144" spans="1:5" x14ac:dyDescent="0.25">
      <c r="A144" s="4">
        <f ca="1">INDEX(Stations,INT((ROWS(A$2:A144)-1)/(DATE(YEAR(Invoer!$A$6),12,31)-DATE(YEAR(Invoer!$A$6),1,1)+1))+2,1)</f>
        <v>32</v>
      </c>
      <c r="B144" t="str">
        <f ca="1">TEXT(DATE(YEAR(Invoer!$A$6),1,1)+MOD(ROWS(B$2:B144)-1,DATE(YEAR(Invoer!$A$6),12,31)-DATE(YEAR(Invoer!$A$6),1,1)+1),"jjjjmmdd")</f>
        <v>19400522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INDEX(Stations,INT((ROWS(A$2:A145)-1)/(DATE(YEAR(Invoer!$A$6),12,31)-DATE(YEAR(Invoer!$A$6),1,1)+1))+2,1)</f>
        <v>32</v>
      </c>
      <c r="B145" t="str">
        <f ca="1">TEXT(DATE(YEAR(Invoer!$A$6),1,1)+MOD(ROWS(B$2:B145)-1,DATE(YEAR(Invoer!$A$6),12,31)-DATE(YEAR(Invoer!$A$6),1,1)+1),"jjjjmmdd")</f>
        <v>19400523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INDEX(Stations,INT((ROWS(A$2:A146)-1)/(DATE(YEAR(Invoer!$A$6),12,31)-DATE(YEAR(Invoer!$A$6),1,1)+1))+2,1)</f>
        <v>32</v>
      </c>
      <c r="B146" t="str">
        <f ca="1">TEXT(DATE(YEAR(Invoer!$A$6),1,1)+MOD(ROWS(B$2:B146)-1,DATE(YEAR(Invoer!$A$6),12,31)-DATE(YEAR(Invoer!$A$6),1,1)+1),"jjjjmmdd")</f>
        <v>19400524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INDEX(Stations,INT((ROWS(A$2:A147)-1)/(DATE(YEAR(Invoer!$A$6),12,31)-DATE(YEAR(Invoer!$A$6),1,1)+1))+2,1)</f>
        <v>32</v>
      </c>
      <c r="B147" t="str">
        <f ca="1">TEXT(DATE(YEAR(Invoer!$A$6),1,1)+MOD(ROWS(B$2:B147)-1,DATE(YEAR(Invoer!$A$6),12,31)-DATE(YEAR(Invoer!$A$6),1,1)+1),"jjjjmmdd")</f>
        <v>19400525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INDEX(Stations,INT((ROWS(A$2:A148)-1)/(DATE(YEAR(Invoer!$A$6),12,31)-DATE(YEAR(Invoer!$A$6),1,1)+1))+2,1)</f>
        <v>32</v>
      </c>
      <c r="B148" t="str">
        <f ca="1">TEXT(DATE(YEAR(Invoer!$A$6),1,1)+MOD(ROWS(B$2:B148)-1,DATE(YEAR(Invoer!$A$6),12,31)-DATE(YEAR(Invoer!$A$6),1,1)+1),"jjjjmmdd")</f>
        <v>19400526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INDEX(Stations,INT((ROWS(A$2:A149)-1)/(DATE(YEAR(Invoer!$A$6),12,31)-DATE(YEAR(Invoer!$A$6),1,1)+1))+2,1)</f>
        <v>32</v>
      </c>
      <c r="B149" t="str">
        <f ca="1">TEXT(DATE(YEAR(Invoer!$A$6),1,1)+MOD(ROWS(B$2:B149)-1,DATE(YEAR(Invoer!$A$6),12,31)-DATE(YEAR(Invoer!$A$6),1,1)+1),"jjjjmmdd")</f>
        <v>19400527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INDEX(Stations,INT((ROWS(A$2:A150)-1)/(DATE(YEAR(Invoer!$A$6),12,31)-DATE(YEAR(Invoer!$A$6),1,1)+1))+2,1)</f>
        <v>32</v>
      </c>
      <c r="B150" t="str">
        <f ca="1">TEXT(DATE(YEAR(Invoer!$A$6),1,1)+MOD(ROWS(B$2:B150)-1,DATE(YEAR(Invoer!$A$6),12,31)-DATE(YEAR(Invoer!$A$6),1,1)+1),"jjjjmmdd")</f>
        <v>19400528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INDEX(Stations,INT((ROWS(A$2:A151)-1)/(DATE(YEAR(Invoer!$A$6),12,31)-DATE(YEAR(Invoer!$A$6),1,1)+1))+2,1)</f>
        <v>32</v>
      </c>
      <c r="B151" t="str">
        <f ca="1">TEXT(DATE(YEAR(Invoer!$A$6),1,1)+MOD(ROWS(B$2:B151)-1,DATE(YEAR(Invoer!$A$6),12,31)-DATE(YEAR(Invoer!$A$6),1,1)+1),"jjjjmmdd")</f>
        <v>19400529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INDEX(Stations,INT((ROWS(A$2:A152)-1)/(DATE(YEAR(Invoer!$A$6),12,31)-DATE(YEAR(Invoer!$A$6),1,1)+1))+2,1)</f>
        <v>32</v>
      </c>
      <c r="B152" t="str">
        <f ca="1">TEXT(DATE(YEAR(Invoer!$A$6),1,1)+MOD(ROWS(B$2:B152)-1,DATE(YEAR(Invoer!$A$6),12,31)-DATE(YEAR(Invoer!$A$6),1,1)+1),"jjjjmmdd")</f>
        <v>19400530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INDEX(Stations,INT((ROWS(A$2:A153)-1)/(DATE(YEAR(Invoer!$A$6),12,31)-DATE(YEAR(Invoer!$A$6),1,1)+1))+2,1)</f>
        <v>32</v>
      </c>
      <c r="B153" t="str">
        <f ca="1">TEXT(DATE(YEAR(Invoer!$A$6),1,1)+MOD(ROWS(B$2:B153)-1,DATE(YEAR(Invoer!$A$6),12,31)-DATE(YEAR(Invoer!$A$6),1,1)+1),"jjjjmmdd")</f>
        <v>19400531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INDEX(Stations,INT((ROWS(A$2:A154)-1)/(DATE(YEAR(Invoer!$A$6),12,31)-DATE(YEAR(Invoer!$A$6),1,1)+1))+2,1)</f>
        <v>32</v>
      </c>
      <c r="B154" t="str">
        <f ca="1">TEXT(DATE(YEAR(Invoer!$A$6),1,1)+MOD(ROWS(B$2:B154)-1,DATE(YEAR(Invoer!$A$6),12,31)-DATE(YEAR(Invoer!$A$6),1,1)+1),"jjjjmmdd")</f>
        <v>19400601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INDEX(Stations,INT((ROWS(A$2:A155)-1)/(DATE(YEAR(Invoer!$A$6),12,31)-DATE(YEAR(Invoer!$A$6),1,1)+1))+2,1)</f>
        <v>32</v>
      </c>
      <c r="B155" t="str">
        <f ca="1">TEXT(DATE(YEAR(Invoer!$A$6),1,1)+MOD(ROWS(B$2:B155)-1,DATE(YEAR(Invoer!$A$6),12,31)-DATE(YEAR(Invoer!$A$6),1,1)+1),"jjjjmmdd")</f>
        <v>19400602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INDEX(Stations,INT((ROWS(A$2:A156)-1)/(DATE(YEAR(Invoer!$A$6),12,31)-DATE(YEAR(Invoer!$A$6),1,1)+1))+2,1)</f>
        <v>32</v>
      </c>
      <c r="B156" t="str">
        <f ca="1">TEXT(DATE(YEAR(Invoer!$A$6),1,1)+MOD(ROWS(B$2:B156)-1,DATE(YEAR(Invoer!$A$6),12,31)-DATE(YEAR(Invoer!$A$6),1,1)+1),"jjjjmmdd")</f>
        <v>19400603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INDEX(Stations,INT((ROWS(A$2:A157)-1)/(DATE(YEAR(Invoer!$A$6),12,31)-DATE(YEAR(Invoer!$A$6),1,1)+1))+2,1)</f>
        <v>32</v>
      </c>
      <c r="B157" t="str">
        <f ca="1">TEXT(DATE(YEAR(Invoer!$A$6),1,1)+MOD(ROWS(B$2:B157)-1,DATE(YEAR(Invoer!$A$6),12,31)-DATE(YEAR(Invoer!$A$6),1,1)+1),"jjjjmmdd")</f>
        <v>19400604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INDEX(Stations,INT((ROWS(A$2:A158)-1)/(DATE(YEAR(Invoer!$A$6),12,31)-DATE(YEAR(Invoer!$A$6),1,1)+1))+2,1)</f>
        <v>32</v>
      </c>
      <c r="B158" t="str">
        <f ca="1">TEXT(DATE(YEAR(Invoer!$A$6),1,1)+MOD(ROWS(B$2:B158)-1,DATE(YEAR(Invoer!$A$6),12,31)-DATE(YEAR(Invoer!$A$6),1,1)+1),"jjjjmmdd")</f>
        <v>19400605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INDEX(Stations,INT((ROWS(A$2:A159)-1)/(DATE(YEAR(Invoer!$A$6),12,31)-DATE(YEAR(Invoer!$A$6),1,1)+1))+2,1)</f>
        <v>32</v>
      </c>
      <c r="B159" t="str">
        <f ca="1">TEXT(DATE(YEAR(Invoer!$A$6),1,1)+MOD(ROWS(B$2:B159)-1,DATE(YEAR(Invoer!$A$6),12,31)-DATE(YEAR(Invoer!$A$6),1,1)+1),"jjjjmmdd")</f>
        <v>19400606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INDEX(Stations,INT((ROWS(A$2:A160)-1)/(DATE(YEAR(Invoer!$A$6),12,31)-DATE(YEAR(Invoer!$A$6),1,1)+1))+2,1)</f>
        <v>32</v>
      </c>
      <c r="B160" t="str">
        <f ca="1">TEXT(DATE(YEAR(Invoer!$A$6),1,1)+MOD(ROWS(B$2:B160)-1,DATE(YEAR(Invoer!$A$6),12,31)-DATE(YEAR(Invoer!$A$6),1,1)+1),"jjjjmmdd")</f>
        <v>19400607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INDEX(Stations,INT((ROWS(A$2:A161)-1)/(DATE(YEAR(Invoer!$A$6),12,31)-DATE(YEAR(Invoer!$A$6),1,1)+1))+2,1)</f>
        <v>32</v>
      </c>
      <c r="B161" t="str">
        <f ca="1">TEXT(DATE(YEAR(Invoer!$A$6),1,1)+MOD(ROWS(B$2:B161)-1,DATE(YEAR(Invoer!$A$6),12,31)-DATE(YEAR(Invoer!$A$6),1,1)+1),"jjjjmmdd")</f>
        <v>19400608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INDEX(Stations,INT((ROWS(A$2:A162)-1)/(DATE(YEAR(Invoer!$A$6),12,31)-DATE(YEAR(Invoer!$A$6),1,1)+1))+2,1)</f>
        <v>32</v>
      </c>
      <c r="B162" t="str">
        <f ca="1">TEXT(DATE(YEAR(Invoer!$A$6),1,1)+MOD(ROWS(B$2:B162)-1,DATE(YEAR(Invoer!$A$6),12,31)-DATE(YEAR(Invoer!$A$6),1,1)+1),"jjjjmmdd")</f>
        <v>19400609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INDEX(Stations,INT((ROWS(A$2:A163)-1)/(DATE(YEAR(Invoer!$A$6),12,31)-DATE(YEAR(Invoer!$A$6),1,1)+1))+2,1)</f>
        <v>32</v>
      </c>
      <c r="B163" t="str">
        <f ca="1">TEXT(DATE(YEAR(Invoer!$A$6),1,1)+MOD(ROWS(B$2:B163)-1,DATE(YEAR(Invoer!$A$6),12,31)-DATE(YEAR(Invoer!$A$6),1,1)+1),"jjjjmmdd")</f>
        <v>19400610</v>
      </c>
      <c r="C163" s="5">
        <v>1</v>
      </c>
      <c r="D163" s="10">
        <f t="shared" ca="1" si="4"/>
        <v>0</v>
      </c>
      <c r="E163" s="11">
        <f t="shared" ca="1" si="5"/>
        <v>0</v>
      </c>
    </row>
    <row r="164" spans="1:5" x14ac:dyDescent="0.25">
      <c r="A164" s="4">
        <f ca="1">INDEX(Stations,INT((ROWS(A$2:A164)-1)/(DATE(YEAR(Invoer!$A$6),12,31)-DATE(YEAR(Invoer!$A$6),1,1)+1))+2,1)</f>
        <v>32</v>
      </c>
      <c r="B164" t="str">
        <f ca="1">TEXT(DATE(YEAR(Invoer!$A$6),1,1)+MOD(ROWS(B$2:B164)-1,DATE(YEAR(Invoer!$A$6),12,31)-DATE(YEAR(Invoer!$A$6),1,1)+1),"jjjjmmdd")</f>
        <v>19400611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INDEX(Stations,INT((ROWS(A$2:A165)-1)/(DATE(YEAR(Invoer!$A$6),12,31)-DATE(YEAR(Invoer!$A$6),1,1)+1))+2,1)</f>
        <v>32</v>
      </c>
      <c r="B165" t="str">
        <f ca="1">TEXT(DATE(YEAR(Invoer!$A$6),1,1)+MOD(ROWS(B$2:B165)-1,DATE(YEAR(Invoer!$A$6),12,31)-DATE(YEAR(Invoer!$A$6),1,1)+1),"jjjjmmdd")</f>
        <v>19400612</v>
      </c>
      <c r="C165" s="5">
        <v>1</v>
      </c>
      <c r="D165" s="10">
        <f t="shared" ca="1" si="4"/>
        <v>20</v>
      </c>
      <c r="E165" s="11">
        <f t="shared" ca="1" si="5"/>
        <v>0</v>
      </c>
    </row>
    <row r="166" spans="1:5" x14ac:dyDescent="0.25">
      <c r="A166" s="4">
        <f ca="1">INDEX(Stations,INT((ROWS(A$2:A166)-1)/(DATE(YEAR(Invoer!$A$6),12,31)-DATE(YEAR(Invoer!$A$6),1,1)+1))+2,1)</f>
        <v>32</v>
      </c>
      <c r="B166" t="str">
        <f ca="1">TEXT(DATE(YEAR(Invoer!$A$6),1,1)+MOD(ROWS(B$2:B166)-1,DATE(YEAR(Invoer!$A$6),12,31)-DATE(YEAR(Invoer!$A$6),1,1)+1),"jjjjmmdd")</f>
        <v>19400613</v>
      </c>
      <c r="C166" s="5">
        <v>1</v>
      </c>
      <c r="D166" s="10">
        <f t="shared" ca="1" si="4"/>
        <v>10</v>
      </c>
      <c r="E166" s="11">
        <f t="shared" ca="1" si="5"/>
        <v>0</v>
      </c>
    </row>
    <row r="167" spans="1:5" x14ac:dyDescent="0.25">
      <c r="A167" s="4">
        <f ca="1">INDEX(Stations,INT((ROWS(A$2:A167)-1)/(DATE(YEAR(Invoer!$A$6),12,31)-DATE(YEAR(Invoer!$A$6),1,1)+1))+2,1)</f>
        <v>32</v>
      </c>
      <c r="B167" t="str">
        <f ca="1">TEXT(DATE(YEAR(Invoer!$A$6),1,1)+MOD(ROWS(B$2:B167)-1,DATE(YEAR(Invoer!$A$6),12,31)-DATE(YEAR(Invoer!$A$6),1,1)+1),"jjjjmmdd")</f>
        <v>19400614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INDEX(Stations,INT((ROWS(A$2:A168)-1)/(DATE(YEAR(Invoer!$A$6),12,31)-DATE(YEAR(Invoer!$A$6),1,1)+1))+2,1)</f>
        <v>32</v>
      </c>
      <c r="B168" t="str">
        <f ca="1">TEXT(DATE(YEAR(Invoer!$A$6),1,1)+MOD(ROWS(B$2:B168)-1,DATE(YEAR(Invoer!$A$6),12,31)-DATE(YEAR(Invoer!$A$6),1,1)+1),"jjjjmmdd")</f>
        <v>19400615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INDEX(Stations,INT((ROWS(A$2:A169)-1)/(DATE(YEAR(Invoer!$A$6),12,31)-DATE(YEAR(Invoer!$A$6),1,1)+1))+2,1)</f>
        <v>32</v>
      </c>
      <c r="B169" t="str">
        <f ca="1">TEXT(DATE(YEAR(Invoer!$A$6),1,1)+MOD(ROWS(B$2:B169)-1,DATE(YEAR(Invoer!$A$6),12,31)-DATE(YEAR(Invoer!$A$6),1,1)+1),"jjjjmmdd")</f>
        <v>19400616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INDEX(Stations,INT((ROWS(A$2:A170)-1)/(DATE(YEAR(Invoer!$A$6),12,31)-DATE(YEAR(Invoer!$A$6),1,1)+1))+2,1)</f>
        <v>32</v>
      </c>
      <c r="B170" t="str">
        <f ca="1">TEXT(DATE(YEAR(Invoer!$A$6),1,1)+MOD(ROWS(B$2:B170)-1,DATE(YEAR(Invoer!$A$6),12,31)-DATE(YEAR(Invoer!$A$6),1,1)+1),"jjjjmmdd")</f>
        <v>19400617</v>
      </c>
      <c r="C170" s="5">
        <v>1</v>
      </c>
      <c r="D170" s="10">
        <f t="shared" ca="1" si="4"/>
        <v>17</v>
      </c>
      <c r="E170" s="11">
        <f t="shared" ca="1" si="5"/>
        <v>0</v>
      </c>
    </row>
    <row r="171" spans="1:5" x14ac:dyDescent="0.25">
      <c r="A171" s="4">
        <f ca="1">INDEX(Stations,INT((ROWS(A$2:A171)-1)/(DATE(YEAR(Invoer!$A$6),12,31)-DATE(YEAR(Invoer!$A$6),1,1)+1))+2,1)</f>
        <v>32</v>
      </c>
      <c r="B171" t="str">
        <f ca="1">TEXT(DATE(YEAR(Invoer!$A$6),1,1)+MOD(ROWS(B$2:B171)-1,DATE(YEAR(Invoer!$A$6),12,31)-DATE(YEAR(Invoer!$A$6),1,1)+1),"jjjjmmdd")</f>
        <v>19400618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INDEX(Stations,INT((ROWS(A$2:A172)-1)/(DATE(YEAR(Invoer!$A$6),12,31)-DATE(YEAR(Invoer!$A$6),1,1)+1))+2,1)</f>
        <v>32</v>
      </c>
      <c r="B172" t="str">
        <f ca="1">TEXT(DATE(YEAR(Invoer!$A$6),1,1)+MOD(ROWS(B$2:B172)-1,DATE(YEAR(Invoer!$A$6),12,31)-DATE(YEAR(Invoer!$A$6),1,1)+1),"jjjjmmdd")</f>
        <v>19400619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INDEX(Stations,INT((ROWS(A$2:A173)-1)/(DATE(YEAR(Invoer!$A$6),12,31)-DATE(YEAR(Invoer!$A$6),1,1)+1))+2,1)</f>
        <v>32</v>
      </c>
      <c r="B173" t="str">
        <f ca="1">TEXT(DATE(YEAR(Invoer!$A$6),1,1)+MOD(ROWS(B$2:B173)-1,DATE(YEAR(Invoer!$A$6),12,31)-DATE(YEAR(Invoer!$A$6),1,1)+1),"jjjjmmdd")</f>
        <v>19400620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INDEX(Stations,INT((ROWS(A$2:A174)-1)/(DATE(YEAR(Invoer!$A$6),12,31)-DATE(YEAR(Invoer!$A$6),1,1)+1))+2,1)</f>
        <v>32</v>
      </c>
      <c r="B174" t="str">
        <f ca="1">TEXT(DATE(YEAR(Invoer!$A$6),1,1)+MOD(ROWS(B$2:B174)-1,DATE(YEAR(Invoer!$A$6),12,31)-DATE(YEAR(Invoer!$A$6),1,1)+1),"jjjjmmdd")</f>
        <v>19400621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INDEX(Stations,INT((ROWS(A$2:A175)-1)/(DATE(YEAR(Invoer!$A$6),12,31)-DATE(YEAR(Invoer!$A$6),1,1)+1))+2,1)</f>
        <v>32</v>
      </c>
      <c r="B175" t="str">
        <f ca="1">TEXT(DATE(YEAR(Invoer!$A$6),1,1)+MOD(ROWS(B$2:B175)-1,DATE(YEAR(Invoer!$A$6),12,31)-DATE(YEAR(Invoer!$A$6),1,1)+1),"jjjjmmdd")</f>
        <v>19400622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INDEX(Stations,INT((ROWS(A$2:A176)-1)/(DATE(YEAR(Invoer!$A$6),12,31)-DATE(YEAR(Invoer!$A$6),1,1)+1))+2,1)</f>
        <v>32</v>
      </c>
      <c r="B176" t="str">
        <f ca="1">TEXT(DATE(YEAR(Invoer!$A$6),1,1)+MOD(ROWS(B$2:B176)-1,DATE(YEAR(Invoer!$A$6),12,31)-DATE(YEAR(Invoer!$A$6),1,1)+1),"jjjjmmdd")</f>
        <v>19400623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INDEX(Stations,INT((ROWS(A$2:A177)-1)/(DATE(YEAR(Invoer!$A$6),12,31)-DATE(YEAR(Invoer!$A$6),1,1)+1))+2,1)</f>
        <v>32</v>
      </c>
      <c r="B177" t="str">
        <f ca="1">TEXT(DATE(YEAR(Invoer!$A$6),1,1)+MOD(ROWS(B$2:B177)-1,DATE(YEAR(Invoer!$A$6),12,31)-DATE(YEAR(Invoer!$A$6),1,1)+1),"jjjjmmdd")</f>
        <v>19400624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INDEX(Stations,INT((ROWS(A$2:A178)-1)/(DATE(YEAR(Invoer!$A$6),12,31)-DATE(YEAR(Invoer!$A$6),1,1)+1))+2,1)</f>
        <v>32</v>
      </c>
      <c r="B178" t="str">
        <f ca="1">TEXT(DATE(YEAR(Invoer!$A$6),1,1)+MOD(ROWS(B$2:B178)-1,DATE(YEAR(Invoer!$A$6),12,31)-DATE(YEAR(Invoer!$A$6),1,1)+1),"jjjjmmdd")</f>
        <v>19400625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INDEX(Stations,INT((ROWS(A$2:A179)-1)/(DATE(YEAR(Invoer!$A$6),12,31)-DATE(YEAR(Invoer!$A$6),1,1)+1))+2,1)</f>
        <v>32</v>
      </c>
      <c r="B179" t="str">
        <f ca="1">TEXT(DATE(YEAR(Invoer!$A$6),1,1)+MOD(ROWS(B$2:B179)-1,DATE(YEAR(Invoer!$A$6),12,31)-DATE(YEAR(Invoer!$A$6),1,1)+1),"jjjjmmdd")</f>
        <v>19400626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INDEX(Stations,INT((ROWS(A$2:A180)-1)/(DATE(YEAR(Invoer!$A$6),12,31)-DATE(YEAR(Invoer!$A$6),1,1)+1))+2,1)</f>
        <v>32</v>
      </c>
      <c r="B180" t="str">
        <f ca="1">TEXT(DATE(YEAR(Invoer!$A$6),1,1)+MOD(ROWS(B$2:B180)-1,DATE(YEAR(Invoer!$A$6),12,31)-DATE(YEAR(Invoer!$A$6),1,1)+1),"jjjjmmdd")</f>
        <v>19400627</v>
      </c>
      <c r="C180" s="5">
        <v>1</v>
      </c>
      <c r="D180" s="10">
        <f t="shared" ca="1" si="4"/>
        <v>0</v>
      </c>
      <c r="E180" s="11">
        <f t="shared" ca="1" si="5"/>
        <v>0</v>
      </c>
    </row>
    <row r="181" spans="1:5" x14ac:dyDescent="0.25">
      <c r="A181" s="4">
        <f ca="1">INDEX(Stations,INT((ROWS(A$2:A181)-1)/(DATE(YEAR(Invoer!$A$6),12,31)-DATE(YEAR(Invoer!$A$6),1,1)+1))+2,1)</f>
        <v>32</v>
      </c>
      <c r="B181" t="str">
        <f ca="1">TEXT(DATE(YEAR(Invoer!$A$6),1,1)+MOD(ROWS(B$2:B181)-1,DATE(YEAR(Invoer!$A$6),12,31)-DATE(YEAR(Invoer!$A$6),1,1)+1),"jjjjmmdd")</f>
        <v>19400628</v>
      </c>
      <c r="C181" s="5">
        <v>1</v>
      </c>
      <c r="D181" s="10">
        <f t="shared" ca="1" si="4"/>
        <v>0</v>
      </c>
      <c r="E181" s="11">
        <f t="shared" ca="1" si="5"/>
        <v>0</v>
      </c>
    </row>
    <row r="182" spans="1:5" x14ac:dyDescent="0.25">
      <c r="A182" s="4">
        <f ca="1">INDEX(Stations,INT((ROWS(A$2:A182)-1)/(DATE(YEAR(Invoer!$A$6),12,31)-DATE(YEAR(Invoer!$A$6),1,1)+1))+2,1)</f>
        <v>32</v>
      </c>
      <c r="B182" t="str">
        <f ca="1">TEXT(DATE(YEAR(Invoer!$A$6),1,1)+MOD(ROWS(B$2:B182)-1,DATE(YEAR(Invoer!$A$6),12,31)-DATE(YEAR(Invoer!$A$6),1,1)+1),"jjjjmmdd")</f>
        <v>19400629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INDEX(Stations,INT((ROWS(A$2:A183)-1)/(DATE(YEAR(Invoer!$A$6),12,31)-DATE(YEAR(Invoer!$A$6),1,1)+1))+2,1)</f>
        <v>32</v>
      </c>
      <c r="B183" t="str">
        <f ca="1">TEXT(DATE(YEAR(Invoer!$A$6),1,1)+MOD(ROWS(B$2:B183)-1,DATE(YEAR(Invoer!$A$6),12,31)-DATE(YEAR(Invoer!$A$6),1,1)+1),"jjjjmmdd")</f>
        <v>19400630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INDEX(Stations,INT((ROWS(A$2:A184)-1)/(DATE(YEAR(Invoer!$A$6),12,31)-DATE(YEAR(Invoer!$A$6),1,1)+1))+2,1)</f>
        <v>32</v>
      </c>
      <c r="B184" t="str">
        <f ca="1">TEXT(DATE(YEAR(Invoer!$A$6),1,1)+MOD(ROWS(B$2:B184)-1,DATE(YEAR(Invoer!$A$6),12,31)-DATE(YEAR(Invoer!$A$6),1,1)+1),"jjjjmmdd")</f>
        <v>19400701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INDEX(Stations,INT((ROWS(A$2:A185)-1)/(DATE(YEAR(Invoer!$A$6),12,31)-DATE(YEAR(Invoer!$A$6),1,1)+1))+2,1)</f>
        <v>32</v>
      </c>
      <c r="B185" t="str">
        <f ca="1">TEXT(DATE(YEAR(Invoer!$A$6),1,1)+MOD(ROWS(B$2:B185)-1,DATE(YEAR(Invoer!$A$6),12,31)-DATE(YEAR(Invoer!$A$6),1,1)+1),"jjjjmmdd")</f>
        <v>19400702</v>
      </c>
      <c r="C185" s="5">
        <v>1</v>
      </c>
      <c r="D185" s="10">
        <f t="shared" ca="1" si="4"/>
        <v>15</v>
      </c>
      <c r="E185" s="11">
        <f t="shared" ca="1" si="5"/>
        <v>0</v>
      </c>
    </row>
    <row r="186" spans="1:5" x14ac:dyDescent="0.25">
      <c r="A186" s="4">
        <f ca="1">INDEX(Stations,INT((ROWS(A$2:A186)-1)/(DATE(YEAR(Invoer!$A$6),12,31)-DATE(YEAR(Invoer!$A$6),1,1)+1))+2,1)</f>
        <v>32</v>
      </c>
      <c r="B186" t="str">
        <f ca="1">TEXT(DATE(YEAR(Invoer!$A$6),1,1)+MOD(ROWS(B$2:B186)-1,DATE(YEAR(Invoer!$A$6),12,31)-DATE(YEAR(Invoer!$A$6),1,1)+1),"jjjjmmdd")</f>
        <v>19400703</v>
      </c>
      <c r="C186" s="5">
        <v>1</v>
      </c>
      <c r="D186" s="10">
        <f t="shared" ca="1" si="4"/>
        <v>40</v>
      </c>
      <c r="E186" s="11">
        <f t="shared" ca="1" si="5"/>
        <v>0</v>
      </c>
    </row>
    <row r="187" spans="1:5" x14ac:dyDescent="0.25">
      <c r="A187" s="4">
        <f ca="1">INDEX(Stations,INT((ROWS(A$2:A187)-1)/(DATE(YEAR(Invoer!$A$6),12,31)-DATE(YEAR(Invoer!$A$6),1,1)+1))+2,1)</f>
        <v>32</v>
      </c>
      <c r="B187" t="str">
        <f ca="1">TEXT(DATE(YEAR(Invoer!$A$6),1,1)+MOD(ROWS(B$2:B187)-1,DATE(YEAR(Invoer!$A$6),12,31)-DATE(YEAR(Invoer!$A$6),1,1)+1),"jjjjmmdd")</f>
        <v>19400704</v>
      </c>
      <c r="C187" s="5">
        <v>1</v>
      </c>
      <c r="D187" s="10">
        <f t="shared" ca="1" si="4"/>
        <v>25</v>
      </c>
      <c r="E187" s="11">
        <f t="shared" ca="1" si="5"/>
        <v>0</v>
      </c>
    </row>
    <row r="188" spans="1:5" x14ac:dyDescent="0.25">
      <c r="A188" s="4">
        <f ca="1">INDEX(Stations,INT((ROWS(A$2:A188)-1)/(DATE(YEAR(Invoer!$A$6),12,31)-DATE(YEAR(Invoer!$A$6),1,1)+1))+2,1)</f>
        <v>32</v>
      </c>
      <c r="B188" t="str">
        <f ca="1">TEXT(DATE(YEAR(Invoer!$A$6),1,1)+MOD(ROWS(B$2:B188)-1,DATE(YEAR(Invoer!$A$6),12,31)-DATE(YEAR(Invoer!$A$6),1,1)+1),"jjjjmmdd")</f>
        <v>19400705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INDEX(Stations,INT((ROWS(A$2:A189)-1)/(DATE(YEAR(Invoer!$A$6),12,31)-DATE(YEAR(Invoer!$A$6),1,1)+1))+2,1)</f>
        <v>32</v>
      </c>
      <c r="B189" t="str">
        <f ca="1">TEXT(DATE(YEAR(Invoer!$A$6),1,1)+MOD(ROWS(B$2:B189)-1,DATE(YEAR(Invoer!$A$6),12,31)-DATE(YEAR(Invoer!$A$6),1,1)+1),"jjjjmmdd")</f>
        <v>19400706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INDEX(Stations,INT((ROWS(A$2:A190)-1)/(DATE(YEAR(Invoer!$A$6),12,31)-DATE(YEAR(Invoer!$A$6),1,1)+1))+2,1)</f>
        <v>32</v>
      </c>
      <c r="B190" t="str">
        <f ca="1">TEXT(DATE(YEAR(Invoer!$A$6),1,1)+MOD(ROWS(B$2:B190)-1,DATE(YEAR(Invoer!$A$6),12,31)-DATE(YEAR(Invoer!$A$6),1,1)+1),"jjjjmmdd")</f>
        <v>19400707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INDEX(Stations,INT((ROWS(A$2:A191)-1)/(DATE(YEAR(Invoer!$A$6),12,31)-DATE(YEAR(Invoer!$A$6),1,1)+1))+2,1)</f>
        <v>32</v>
      </c>
      <c r="B191" t="str">
        <f ca="1">TEXT(DATE(YEAR(Invoer!$A$6),1,1)+MOD(ROWS(B$2:B191)-1,DATE(YEAR(Invoer!$A$6),12,31)-DATE(YEAR(Invoer!$A$6),1,1)+1),"jjjjmmdd")</f>
        <v>19400708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INDEX(Stations,INT((ROWS(A$2:A192)-1)/(DATE(YEAR(Invoer!$A$6),12,31)-DATE(YEAR(Invoer!$A$6),1,1)+1))+2,1)</f>
        <v>32</v>
      </c>
      <c r="B192" t="str">
        <f ca="1">TEXT(DATE(YEAR(Invoer!$A$6),1,1)+MOD(ROWS(B$2:B192)-1,DATE(YEAR(Invoer!$A$6),12,31)-DATE(YEAR(Invoer!$A$6),1,1)+1),"jjjjmmdd")</f>
        <v>19400709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INDEX(Stations,INT((ROWS(A$2:A193)-1)/(DATE(YEAR(Invoer!$A$6),12,31)-DATE(YEAR(Invoer!$A$6),1,1)+1))+2,1)</f>
        <v>32</v>
      </c>
      <c r="B193" t="str">
        <f ca="1">TEXT(DATE(YEAR(Invoer!$A$6),1,1)+MOD(ROWS(B$2:B193)-1,DATE(YEAR(Invoer!$A$6),12,31)-DATE(YEAR(Invoer!$A$6),1,1)+1),"jjjjmmdd")</f>
        <v>19400710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INDEX(Stations,INT((ROWS(A$2:A194)-1)/(DATE(YEAR(Invoer!$A$6),12,31)-DATE(YEAR(Invoer!$A$6),1,1)+1))+2,1)</f>
        <v>32</v>
      </c>
      <c r="B194" t="str">
        <f ca="1">TEXT(DATE(YEAR(Invoer!$A$6),1,1)+MOD(ROWS(B$2:B194)-1,DATE(YEAR(Invoer!$A$6),12,31)-DATE(YEAR(Invoer!$A$6),1,1)+1),"jjjjmmdd")</f>
        <v>19400711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"—",VLOOKUP(DATEVALUE(LEFT(B194,4)&amp;"-"&amp;MID(B194,5,2)&amp;"-"&amp;RIGHT(B194,2)),Data,MATCH(VLOOKUP(A194,Stations,2,FALSE()),OFFSET(Data,2,0,1)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2,0,1),0),FALSE())))</f>
        <v>0</v>
      </c>
    </row>
    <row r="195" spans="1:5" x14ac:dyDescent="0.25">
      <c r="A195" s="4">
        <f ca="1">INDEX(Stations,INT((ROWS(A$2:A195)-1)/(DATE(YEAR(Invoer!$A$6),12,31)-DATE(YEAR(Invoer!$A$6),1,1)+1))+2,1)</f>
        <v>32</v>
      </c>
      <c r="B195" t="str">
        <f ca="1">TEXT(DATE(YEAR(Invoer!$A$6),1,1)+MOD(ROWS(B$2:B195)-1,DATE(YEAR(Invoer!$A$6),12,31)-DATE(YEAR(Invoer!$A$6),1,1)+1),"jjjjmmdd")</f>
        <v>19400712</v>
      </c>
      <c r="C195" s="5">
        <v>1</v>
      </c>
      <c r="D195" s="10">
        <f t="shared" ca="1" si="6"/>
        <v>20</v>
      </c>
      <c r="E195" s="11">
        <f t="shared" ca="1" si="7"/>
        <v>0</v>
      </c>
    </row>
    <row r="196" spans="1:5" x14ac:dyDescent="0.25">
      <c r="A196" s="4">
        <f ca="1">INDEX(Stations,INT((ROWS(A$2:A196)-1)/(DATE(YEAR(Invoer!$A$6),12,31)-DATE(YEAR(Invoer!$A$6),1,1)+1))+2,1)</f>
        <v>32</v>
      </c>
      <c r="B196" t="str">
        <f ca="1">TEXT(DATE(YEAR(Invoer!$A$6),1,1)+MOD(ROWS(B$2:B196)-1,DATE(YEAR(Invoer!$A$6),12,31)-DATE(YEAR(Invoer!$A$6),1,1)+1),"jjjjmmdd")</f>
        <v>19400713</v>
      </c>
      <c r="C196" s="5">
        <v>1</v>
      </c>
      <c r="D196" s="10">
        <f t="shared" ca="1" si="6"/>
        <v>17</v>
      </c>
      <c r="E196" s="11">
        <f t="shared" ca="1" si="7"/>
        <v>0</v>
      </c>
    </row>
    <row r="197" spans="1:5" x14ac:dyDescent="0.25">
      <c r="A197" s="4">
        <f ca="1">INDEX(Stations,INT((ROWS(A$2:A197)-1)/(DATE(YEAR(Invoer!$A$6),12,31)-DATE(YEAR(Invoer!$A$6),1,1)+1))+2,1)</f>
        <v>32</v>
      </c>
      <c r="B197" t="str">
        <f ca="1">TEXT(DATE(YEAR(Invoer!$A$6),1,1)+MOD(ROWS(B$2:B197)-1,DATE(YEAR(Invoer!$A$6),12,31)-DATE(YEAR(Invoer!$A$6),1,1)+1),"jjjjmmdd")</f>
        <v>19400714</v>
      </c>
      <c r="C197" s="5">
        <v>1</v>
      </c>
      <c r="D197" s="10">
        <f t="shared" ca="1" si="6"/>
        <v>0</v>
      </c>
      <c r="E197" s="11">
        <f t="shared" ca="1" si="7"/>
        <v>0</v>
      </c>
    </row>
    <row r="198" spans="1:5" x14ac:dyDescent="0.25">
      <c r="A198" s="4">
        <f ca="1">INDEX(Stations,INT((ROWS(A$2:A198)-1)/(DATE(YEAR(Invoer!$A$6),12,31)-DATE(YEAR(Invoer!$A$6),1,1)+1))+2,1)</f>
        <v>32</v>
      </c>
      <c r="B198" t="str">
        <f ca="1">TEXT(DATE(YEAR(Invoer!$A$6),1,1)+MOD(ROWS(B$2:B198)-1,DATE(YEAR(Invoer!$A$6),12,31)-DATE(YEAR(Invoer!$A$6),1,1)+1),"jjjjmmdd")</f>
        <v>19400715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INDEX(Stations,INT((ROWS(A$2:A199)-1)/(DATE(YEAR(Invoer!$A$6),12,31)-DATE(YEAR(Invoer!$A$6),1,1)+1))+2,1)</f>
        <v>32</v>
      </c>
      <c r="B199" t="str">
        <f ca="1">TEXT(DATE(YEAR(Invoer!$A$6),1,1)+MOD(ROWS(B$2:B199)-1,DATE(YEAR(Invoer!$A$6),12,31)-DATE(YEAR(Invoer!$A$6),1,1)+1),"jjjjmmdd")</f>
        <v>19400716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INDEX(Stations,INT((ROWS(A$2:A200)-1)/(DATE(YEAR(Invoer!$A$6),12,31)-DATE(YEAR(Invoer!$A$6),1,1)+1))+2,1)</f>
        <v>32</v>
      </c>
      <c r="B200" t="str">
        <f ca="1">TEXT(DATE(YEAR(Invoer!$A$6),1,1)+MOD(ROWS(B$2:B200)-1,DATE(YEAR(Invoer!$A$6),12,31)-DATE(YEAR(Invoer!$A$6),1,1)+1),"jjjjmmdd")</f>
        <v>19400717</v>
      </c>
      <c r="C200" s="5">
        <v>1</v>
      </c>
      <c r="D200" s="10">
        <f t="shared" ca="1" si="6"/>
        <v>10</v>
      </c>
      <c r="E200" s="11">
        <f t="shared" ca="1" si="7"/>
        <v>0</v>
      </c>
    </row>
    <row r="201" spans="1:5" x14ac:dyDescent="0.25">
      <c r="A201" s="4">
        <f ca="1">INDEX(Stations,INT((ROWS(A$2:A201)-1)/(DATE(YEAR(Invoer!$A$6),12,31)-DATE(YEAR(Invoer!$A$6),1,1)+1))+2,1)</f>
        <v>32</v>
      </c>
      <c r="B201" t="str">
        <f ca="1">TEXT(DATE(YEAR(Invoer!$A$6),1,1)+MOD(ROWS(B$2:B201)-1,DATE(YEAR(Invoer!$A$6),12,31)-DATE(YEAR(Invoer!$A$6),1,1)+1),"jjjjmmdd")</f>
        <v>19400718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INDEX(Stations,INT((ROWS(A$2:A202)-1)/(DATE(YEAR(Invoer!$A$6),12,31)-DATE(YEAR(Invoer!$A$6),1,1)+1))+2,1)</f>
        <v>32</v>
      </c>
      <c r="B202" t="str">
        <f ca="1">TEXT(DATE(YEAR(Invoer!$A$6),1,1)+MOD(ROWS(B$2:B202)-1,DATE(YEAR(Invoer!$A$6),12,31)-DATE(YEAR(Invoer!$A$6),1,1)+1),"jjjjmmdd")</f>
        <v>19400719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INDEX(Stations,INT((ROWS(A$2:A203)-1)/(DATE(YEAR(Invoer!$A$6),12,31)-DATE(YEAR(Invoer!$A$6),1,1)+1))+2,1)</f>
        <v>32</v>
      </c>
      <c r="B203" t="str">
        <f ca="1">TEXT(DATE(YEAR(Invoer!$A$6),1,1)+MOD(ROWS(B$2:B203)-1,DATE(YEAR(Invoer!$A$6),12,31)-DATE(YEAR(Invoer!$A$6),1,1)+1),"jjjjmmdd")</f>
        <v>19400720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INDEX(Stations,INT((ROWS(A$2:A204)-1)/(DATE(YEAR(Invoer!$A$6),12,31)-DATE(YEAR(Invoer!$A$6),1,1)+1))+2,1)</f>
        <v>32</v>
      </c>
      <c r="B204" t="str">
        <f ca="1">TEXT(DATE(YEAR(Invoer!$A$6),1,1)+MOD(ROWS(B$2:B204)-1,DATE(YEAR(Invoer!$A$6),12,31)-DATE(YEAR(Invoer!$A$6),1,1)+1),"jjjjmmdd")</f>
        <v>19400721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INDEX(Stations,INT((ROWS(A$2:A205)-1)/(DATE(YEAR(Invoer!$A$6),12,31)-DATE(YEAR(Invoer!$A$6),1,1)+1))+2,1)</f>
        <v>32</v>
      </c>
      <c r="B205" t="str">
        <f ca="1">TEXT(DATE(YEAR(Invoer!$A$6),1,1)+MOD(ROWS(B$2:B205)-1,DATE(YEAR(Invoer!$A$6),12,31)-DATE(YEAR(Invoer!$A$6),1,1)+1),"jjjjmmdd")</f>
        <v>19400722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INDEX(Stations,INT((ROWS(A$2:A206)-1)/(DATE(YEAR(Invoer!$A$6),12,31)-DATE(YEAR(Invoer!$A$6),1,1)+1))+2,1)</f>
        <v>32</v>
      </c>
      <c r="B206" t="str">
        <f ca="1">TEXT(DATE(YEAR(Invoer!$A$6),1,1)+MOD(ROWS(B$2:B206)-1,DATE(YEAR(Invoer!$A$6),12,31)-DATE(YEAR(Invoer!$A$6),1,1)+1),"jjjjmmdd")</f>
        <v>19400723</v>
      </c>
      <c r="C206" s="5">
        <v>1</v>
      </c>
      <c r="D206" s="10">
        <f t="shared" ca="1" si="6"/>
        <v>0</v>
      </c>
      <c r="E206" s="11">
        <f t="shared" ca="1" si="7"/>
        <v>0</v>
      </c>
    </row>
    <row r="207" spans="1:5" x14ac:dyDescent="0.25">
      <c r="A207" s="4">
        <f ca="1">INDEX(Stations,INT((ROWS(A$2:A207)-1)/(DATE(YEAR(Invoer!$A$6),12,31)-DATE(YEAR(Invoer!$A$6),1,1)+1))+2,1)</f>
        <v>32</v>
      </c>
      <c r="B207" t="str">
        <f ca="1">TEXT(DATE(YEAR(Invoer!$A$6),1,1)+MOD(ROWS(B$2:B207)-1,DATE(YEAR(Invoer!$A$6),12,31)-DATE(YEAR(Invoer!$A$6),1,1)+1),"jjjjmmdd")</f>
        <v>19400724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INDEX(Stations,INT((ROWS(A$2:A208)-1)/(DATE(YEAR(Invoer!$A$6),12,31)-DATE(YEAR(Invoer!$A$6),1,1)+1))+2,1)</f>
        <v>32</v>
      </c>
      <c r="B208" t="str">
        <f ca="1">TEXT(DATE(YEAR(Invoer!$A$6),1,1)+MOD(ROWS(B$2:B208)-1,DATE(YEAR(Invoer!$A$6),12,31)-DATE(YEAR(Invoer!$A$6),1,1)+1),"jjjjmmdd")</f>
        <v>19400725</v>
      </c>
      <c r="C208" s="5">
        <v>1</v>
      </c>
      <c r="D208" s="10">
        <f t="shared" ca="1" si="6"/>
        <v>20</v>
      </c>
      <c r="E208" s="11">
        <f t="shared" ca="1" si="7"/>
        <v>0</v>
      </c>
    </row>
    <row r="209" spans="1:5" x14ac:dyDescent="0.25">
      <c r="A209" s="4">
        <f ca="1">INDEX(Stations,INT((ROWS(A$2:A209)-1)/(DATE(YEAR(Invoer!$A$6),12,31)-DATE(YEAR(Invoer!$A$6),1,1)+1))+2,1)</f>
        <v>32</v>
      </c>
      <c r="B209" t="str">
        <f ca="1">TEXT(DATE(YEAR(Invoer!$A$6),1,1)+MOD(ROWS(B$2:B209)-1,DATE(YEAR(Invoer!$A$6),12,31)-DATE(YEAR(Invoer!$A$6),1,1)+1),"jjjjmmdd")</f>
        <v>19400726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INDEX(Stations,INT((ROWS(A$2:A210)-1)/(DATE(YEAR(Invoer!$A$6),12,31)-DATE(YEAR(Invoer!$A$6),1,1)+1))+2,1)</f>
        <v>32</v>
      </c>
      <c r="B210" t="str">
        <f ca="1">TEXT(DATE(YEAR(Invoer!$A$6),1,1)+MOD(ROWS(B$2:B210)-1,DATE(YEAR(Invoer!$A$6),12,31)-DATE(YEAR(Invoer!$A$6),1,1)+1),"jjjjmmdd")</f>
        <v>19400727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INDEX(Stations,INT((ROWS(A$2:A211)-1)/(DATE(YEAR(Invoer!$A$6),12,31)-DATE(YEAR(Invoer!$A$6),1,1)+1))+2,1)</f>
        <v>32</v>
      </c>
      <c r="B211" t="str">
        <f ca="1">TEXT(DATE(YEAR(Invoer!$A$6),1,1)+MOD(ROWS(B$2:B211)-1,DATE(YEAR(Invoer!$A$6),12,31)-DATE(YEAR(Invoer!$A$6),1,1)+1),"jjjjmmdd")</f>
        <v>19400728</v>
      </c>
      <c r="C211" s="5">
        <v>1</v>
      </c>
      <c r="D211" s="10">
        <f t="shared" ca="1" si="6"/>
        <v>0</v>
      </c>
      <c r="E211" s="11">
        <f t="shared" ca="1" si="7"/>
        <v>0</v>
      </c>
    </row>
    <row r="212" spans="1:5" x14ac:dyDescent="0.25">
      <c r="A212" s="4">
        <f ca="1">INDEX(Stations,INT((ROWS(A$2:A212)-1)/(DATE(YEAR(Invoer!$A$6),12,31)-DATE(YEAR(Invoer!$A$6),1,1)+1))+2,1)</f>
        <v>32</v>
      </c>
      <c r="B212" t="str">
        <f ca="1">TEXT(DATE(YEAR(Invoer!$A$6),1,1)+MOD(ROWS(B$2:B212)-1,DATE(YEAR(Invoer!$A$6),12,31)-DATE(YEAR(Invoer!$A$6),1,1)+1),"jjjjmmdd")</f>
        <v>19400729</v>
      </c>
      <c r="C212" s="5">
        <v>1</v>
      </c>
      <c r="D212" s="10">
        <f t="shared" ca="1" si="6"/>
        <v>0</v>
      </c>
      <c r="E212" s="11">
        <f t="shared" ca="1" si="7"/>
        <v>0</v>
      </c>
    </row>
    <row r="213" spans="1:5" x14ac:dyDescent="0.25">
      <c r="A213" s="4">
        <f ca="1">INDEX(Stations,INT((ROWS(A$2:A213)-1)/(DATE(YEAR(Invoer!$A$6),12,31)-DATE(YEAR(Invoer!$A$6),1,1)+1))+2,1)</f>
        <v>32</v>
      </c>
      <c r="B213" t="str">
        <f ca="1">TEXT(DATE(YEAR(Invoer!$A$6),1,1)+MOD(ROWS(B$2:B213)-1,DATE(YEAR(Invoer!$A$6),12,31)-DATE(YEAR(Invoer!$A$6),1,1)+1),"jjjjmmdd")</f>
        <v>19400730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INDEX(Stations,INT((ROWS(A$2:A214)-1)/(DATE(YEAR(Invoer!$A$6),12,31)-DATE(YEAR(Invoer!$A$6),1,1)+1))+2,1)</f>
        <v>32</v>
      </c>
      <c r="B214" t="str">
        <f ca="1">TEXT(DATE(YEAR(Invoer!$A$6),1,1)+MOD(ROWS(B$2:B214)-1,DATE(YEAR(Invoer!$A$6),12,31)-DATE(YEAR(Invoer!$A$6),1,1)+1),"jjjjmmdd")</f>
        <v>19400731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INDEX(Stations,INT((ROWS(A$2:A215)-1)/(DATE(YEAR(Invoer!$A$6),12,31)-DATE(YEAR(Invoer!$A$6),1,1)+1))+2,1)</f>
        <v>32</v>
      </c>
      <c r="B215" t="str">
        <f ca="1">TEXT(DATE(YEAR(Invoer!$A$6),1,1)+MOD(ROWS(B$2:B215)-1,DATE(YEAR(Invoer!$A$6),12,31)-DATE(YEAR(Invoer!$A$6),1,1)+1),"jjjjmmdd")</f>
        <v>19400801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INDEX(Stations,INT((ROWS(A$2:A216)-1)/(DATE(YEAR(Invoer!$A$6),12,31)-DATE(YEAR(Invoer!$A$6),1,1)+1))+2,1)</f>
        <v>32</v>
      </c>
      <c r="B216" t="str">
        <f ca="1">TEXT(DATE(YEAR(Invoer!$A$6),1,1)+MOD(ROWS(B$2:B216)-1,DATE(YEAR(Invoer!$A$6),12,31)-DATE(YEAR(Invoer!$A$6),1,1)+1),"jjjjmmdd")</f>
        <v>19400802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INDEX(Stations,INT((ROWS(A$2:A217)-1)/(DATE(YEAR(Invoer!$A$6),12,31)-DATE(YEAR(Invoer!$A$6),1,1)+1))+2,1)</f>
        <v>32</v>
      </c>
      <c r="B217" t="str">
        <f ca="1">TEXT(DATE(YEAR(Invoer!$A$6),1,1)+MOD(ROWS(B$2:B217)-1,DATE(YEAR(Invoer!$A$6),12,31)-DATE(YEAR(Invoer!$A$6),1,1)+1),"jjjjmmdd")</f>
        <v>19400803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INDEX(Stations,INT((ROWS(A$2:A218)-1)/(DATE(YEAR(Invoer!$A$6),12,31)-DATE(YEAR(Invoer!$A$6),1,1)+1))+2,1)</f>
        <v>32</v>
      </c>
      <c r="B218" t="str">
        <f ca="1">TEXT(DATE(YEAR(Invoer!$A$6),1,1)+MOD(ROWS(B$2:B218)-1,DATE(YEAR(Invoer!$A$6),12,31)-DATE(YEAR(Invoer!$A$6),1,1)+1),"jjjjmmdd")</f>
        <v>19400804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INDEX(Stations,INT((ROWS(A$2:A219)-1)/(DATE(YEAR(Invoer!$A$6),12,31)-DATE(YEAR(Invoer!$A$6),1,1)+1))+2,1)</f>
        <v>32</v>
      </c>
      <c r="B219" t="str">
        <f ca="1">TEXT(DATE(YEAR(Invoer!$A$6),1,1)+MOD(ROWS(B$2:B219)-1,DATE(YEAR(Invoer!$A$6),12,31)-DATE(YEAR(Invoer!$A$6),1,1)+1),"jjjjmmdd")</f>
        <v>19400805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INDEX(Stations,INT((ROWS(A$2:A220)-1)/(DATE(YEAR(Invoer!$A$6),12,31)-DATE(YEAR(Invoer!$A$6),1,1)+1))+2,1)</f>
        <v>32</v>
      </c>
      <c r="B220" t="str">
        <f ca="1">TEXT(DATE(YEAR(Invoer!$A$6),1,1)+MOD(ROWS(B$2:B220)-1,DATE(YEAR(Invoer!$A$6),12,31)-DATE(YEAR(Invoer!$A$6),1,1)+1),"jjjjmmdd")</f>
        <v>19400806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INDEX(Stations,INT((ROWS(A$2:A221)-1)/(DATE(YEAR(Invoer!$A$6),12,31)-DATE(YEAR(Invoer!$A$6),1,1)+1))+2,1)</f>
        <v>32</v>
      </c>
      <c r="B221" t="str">
        <f ca="1">TEXT(DATE(YEAR(Invoer!$A$6),1,1)+MOD(ROWS(B$2:B221)-1,DATE(YEAR(Invoer!$A$6),12,31)-DATE(YEAR(Invoer!$A$6),1,1)+1),"jjjjmmdd")</f>
        <v>19400807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INDEX(Stations,INT((ROWS(A$2:A222)-1)/(DATE(YEAR(Invoer!$A$6),12,31)-DATE(YEAR(Invoer!$A$6),1,1)+1))+2,1)</f>
        <v>32</v>
      </c>
      <c r="B222" t="str">
        <f ca="1">TEXT(DATE(YEAR(Invoer!$A$6),1,1)+MOD(ROWS(B$2:B222)-1,DATE(YEAR(Invoer!$A$6),12,31)-DATE(YEAR(Invoer!$A$6),1,1)+1),"jjjjmmdd")</f>
        <v>19400808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INDEX(Stations,INT((ROWS(A$2:A223)-1)/(DATE(YEAR(Invoer!$A$6),12,31)-DATE(YEAR(Invoer!$A$6),1,1)+1))+2,1)</f>
        <v>32</v>
      </c>
      <c r="B223" t="str">
        <f ca="1">TEXT(DATE(YEAR(Invoer!$A$6),1,1)+MOD(ROWS(B$2:B223)-1,DATE(YEAR(Invoer!$A$6),12,31)-DATE(YEAR(Invoer!$A$6),1,1)+1),"jjjjmmdd")</f>
        <v>19400809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INDEX(Stations,INT((ROWS(A$2:A224)-1)/(DATE(YEAR(Invoer!$A$6),12,31)-DATE(YEAR(Invoer!$A$6),1,1)+1))+2,1)</f>
        <v>32</v>
      </c>
      <c r="B224" t="str">
        <f ca="1">TEXT(DATE(YEAR(Invoer!$A$6),1,1)+MOD(ROWS(B$2:B224)-1,DATE(YEAR(Invoer!$A$6),12,31)-DATE(YEAR(Invoer!$A$6),1,1)+1),"jjjjmmdd")</f>
        <v>19400810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INDEX(Stations,INT((ROWS(A$2:A225)-1)/(DATE(YEAR(Invoer!$A$6),12,31)-DATE(YEAR(Invoer!$A$6),1,1)+1))+2,1)</f>
        <v>32</v>
      </c>
      <c r="B225" t="str">
        <f ca="1">TEXT(DATE(YEAR(Invoer!$A$6),1,1)+MOD(ROWS(B$2:B225)-1,DATE(YEAR(Invoer!$A$6),12,31)-DATE(YEAR(Invoer!$A$6),1,1)+1),"jjjjmmdd")</f>
        <v>19400811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INDEX(Stations,INT((ROWS(A$2:A226)-1)/(DATE(YEAR(Invoer!$A$6),12,31)-DATE(YEAR(Invoer!$A$6),1,1)+1))+2,1)</f>
        <v>32</v>
      </c>
      <c r="B226" t="str">
        <f ca="1">TEXT(DATE(YEAR(Invoer!$A$6),1,1)+MOD(ROWS(B$2:B226)-1,DATE(YEAR(Invoer!$A$6),12,31)-DATE(YEAR(Invoer!$A$6),1,1)+1),"jjjjmmdd")</f>
        <v>19400812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INDEX(Stations,INT((ROWS(A$2:A227)-1)/(DATE(YEAR(Invoer!$A$6),12,31)-DATE(YEAR(Invoer!$A$6),1,1)+1))+2,1)</f>
        <v>32</v>
      </c>
      <c r="B227" t="str">
        <f ca="1">TEXT(DATE(YEAR(Invoer!$A$6),1,1)+MOD(ROWS(B$2:B227)-1,DATE(YEAR(Invoer!$A$6),12,31)-DATE(YEAR(Invoer!$A$6),1,1)+1),"jjjjmmdd")</f>
        <v>19400813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INDEX(Stations,INT((ROWS(A$2:A228)-1)/(DATE(YEAR(Invoer!$A$6),12,31)-DATE(YEAR(Invoer!$A$6),1,1)+1))+2,1)</f>
        <v>32</v>
      </c>
      <c r="B228" t="str">
        <f ca="1">TEXT(DATE(YEAR(Invoer!$A$6),1,1)+MOD(ROWS(B$2:B228)-1,DATE(YEAR(Invoer!$A$6),12,31)-DATE(YEAR(Invoer!$A$6),1,1)+1),"jjjjmmdd")</f>
        <v>19400814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INDEX(Stations,INT((ROWS(A$2:A229)-1)/(DATE(YEAR(Invoer!$A$6),12,31)-DATE(YEAR(Invoer!$A$6),1,1)+1))+2,1)</f>
        <v>32</v>
      </c>
      <c r="B229" t="str">
        <f ca="1">TEXT(DATE(YEAR(Invoer!$A$6),1,1)+MOD(ROWS(B$2:B229)-1,DATE(YEAR(Invoer!$A$6),12,31)-DATE(YEAR(Invoer!$A$6),1,1)+1),"jjjjmmdd")</f>
        <v>19400815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INDEX(Stations,INT((ROWS(A$2:A230)-1)/(DATE(YEAR(Invoer!$A$6),12,31)-DATE(YEAR(Invoer!$A$6),1,1)+1))+2,1)</f>
        <v>32</v>
      </c>
      <c r="B230" t="str">
        <f ca="1">TEXT(DATE(YEAR(Invoer!$A$6),1,1)+MOD(ROWS(B$2:B230)-1,DATE(YEAR(Invoer!$A$6),12,31)-DATE(YEAR(Invoer!$A$6),1,1)+1),"jjjjmmdd")</f>
        <v>19400816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INDEX(Stations,INT((ROWS(A$2:A231)-1)/(DATE(YEAR(Invoer!$A$6),12,31)-DATE(YEAR(Invoer!$A$6),1,1)+1))+2,1)</f>
        <v>32</v>
      </c>
      <c r="B231" t="str">
        <f ca="1">TEXT(DATE(YEAR(Invoer!$A$6),1,1)+MOD(ROWS(B$2:B231)-1,DATE(YEAR(Invoer!$A$6),12,31)-DATE(YEAR(Invoer!$A$6),1,1)+1),"jjjjmmdd")</f>
        <v>19400817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INDEX(Stations,INT((ROWS(A$2:A232)-1)/(DATE(YEAR(Invoer!$A$6),12,31)-DATE(YEAR(Invoer!$A$6),1,1)+1))+2,1)</f>
        <v>32</v>
      </c>
      <c r="B232" t="str">
        <f ca="1">TEXT(DATE(YEAR(Invoer!$A$6),1,1)+MOD(ROWS(B$2:B232)-1,DATE(YEAR(Invoer!$A$6),12,31)-DATE(YEAR(Invoer!$A$6),1,1)+1),"jjjjmmdd")</f>
        <v>19400818</v>
      </c>
      <c r="C232" s="5">
        <v>1</v>
      </c>
      <c r="D232" s="10">
        <f t="shared" ca="1" si="6"/>
        <v>0</v>
      </c>
      <c r="E232" s="11">
        <f t="shared" ca="1" si="7"/>
        <v>0</v>
      </c>
    </row>
    <row r="233" spans="1:5" x14ac:dyDescent="0.25">
      <c r="A233" s="4">
        <f ca="1">INDEX(Stations,INT((ROWS(A$2:A233)-1)/(DATE(YEAR(Invoer!$A$6),12,31)-DATE(YEAR(Invoer!$A$6),1,1)+1))+2,1)</f>
        <v>32</v>
      </c>
      <c r="B233" t="str">
        <f ca="1">TEXT(DATE(YEAR(Invoer!$A$6),1,1)+MOD(ROWS(B$2:B233)-1,DATE(YEAR(Invoer!$A$6),12,31)-DATE(YEAR(Invoer!$A$6),1,1)+1),"jjjjmmdd")</f>
        <v>19400819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INDEX(Stations,INT((ROWS(A$2:A234)-1)/(DATE(YEAR(Invoer!$A$6),12,31)-DATE(YEAR(Invoer!$A$6),1,1)+1))+2,1)</f>
        <v>32</v>
      </c>
      <c r="B234" t="str">
        <f ca="1">TEXT(DATE(YEAR(Invoer!$A$6),1,1)+MOD(ROWS(B$2:B234)-1,DATE(YEAR(Invoer!$A$6),12,31)-DATE(YEAR(Invoer!$A$6),1,1)+1),"jjjjmmdd")</f>
        <v>19400820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INDEX(Stations,INT((ROWS(A$2:A235)-1)/(DATE(YEAR(Invoer!$A$6),12,31)-DATE(YEAR(Invoer!$A$6),1,1)+1))+2,1)</f>
        <v>32</v>
      </c>
      <c r="B235" t="str">
        <f ca="1">TEXT(DATE(YEAR(Invoer!$A$6),1,1)+MOD(ROWS(B$2:B235)-1,DATE(YEAR(Invoer!$A$6),12,31)-DATE(YEAR(Invoer!$A$6),1,1)+1),"jjjjmmdd")</f>
        <v>19400821</v>
      </c>
      <c r="C235" s="5">
        <v>1</v>
      </c>
      <c r="D235" s="10">
        <f t="shared" ca="1" si="6"/>
        <v>0</v>
      </c>
      <c r="E235" s="11">
        <f t="shared" ca="1" si="7"/>
        <v>0</v>
      </c>
    </row>
    <row r="236" spans="1:5" x14ac:dyDescent="0.25">
      <c r="A236" s="4">
        <f ca="1">INDEX(Stations,INT((ROWS(A$2:A236)-1)/(DATE(YEAR(Invoer!$A$6),12,31)-DATE(YEAR(Invoer!$A$6),1,1)+1))+2,1)</f>
        <v>32</v>
      </c>
      <c r="B236" t="str">
        <f ca="1">TEXT(DATE(YEAR(Invoer!$A$6),1,1)+MOD(ROWS(B$2:B236)-1,DATE(YEAR(Invoer!$A$6),12,31)-DATE(YEAR(Invoer!$A$6),1,1)+1),"jjjjmmdd")</f>
        <v>19400822</v>
      </c>
      <c r="C236" s="5">
        <v>1</v>
      </c>
      <c r="D236" s="10">
        <f t="shared" ca="1" si="6"/>
        <v>0</v>
      </c>
      <c r="E236" s="11">
        <f t="shared" ca="1" si="7"/>
        <v>0</v>
      </c>
    </row>
    <row r="237" spans="1:5" x14ac:dyDescent="0.25">
      <c r="A237" s="4">
        <f ca="1">INDEX(Stations,INT((ROWS(A$2:A237)-1)/(DATE(YEAR(Invoer!$A$6),12,31)-DATE(YEAR(Invoer!$A$6),1,1)+1))+2,1)</f>
        <v>32</v>
      </c>
      <c r="B237" t="str">
        <f ca="1">TEXT(DATE(YEAR(Invoer!$A$6),1,1)+MOD(ROWS(B$2:B237)-1,DATE(YEAR(Invoer!$A$6),12,31)-DATE(YEAR(Invoer!$A$6),1,1)+1),"jjjjmmdd")</f>
        <v>19400823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INDEX(Stations,INT((ROWS(A$2:A238)-1)/(DATE(YEAR(Invoer!$A$6),12,31)-DATE(YEAR(Invoer!$A$6),1,1)+1))+2,1)</f>
        <v>32</v>
      </c>
      <c r="B238" t="str">
        <f ca="1">TEXT(DATE(YEAR(Invoer!$A$6),1,1)+MOD(ROWS(B$2:B238)-1,DATE(YEAR(Invoer!$A$6),12,31)-DATE(YEAR(Invoer!$A$6),1,1)+1),"jjjjmmdd")</f>
        <v>19400824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INDEX(Stations,INT((ROWS(A$2:A239)-1)/(DATE(YEAR(Invoer!$A$6),12,31)-DATE(YEAR(Invoer!$A$6),1,1)+1))+2,1)</f>
        <v>32</v>
      </c>
      <c r="B239" t="str">
        <f ca="1">TEXT(DATE(YEAR(Invoer!$A$6),1,1)+MOD(ROWS(B$2:B239)-1,DATE(YEAR(Invoer!$A$6),12,31)-DATE(YEAR(Invoer!$A$6),1,1)+1),"jjjjmmdd")</f>
        <v>19400825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INDEX(Stations,INT((ROWS(A$2:A240)-1)/(DATE(YEAR(Invoer!$A$6),12,31)-DATE(YEAR(Invoer!$A$6),1,1)+1))+2,1)</f>
        <v>32</v>
      </c>
      <c r="B240" t="str">
        <f ca="1">TEXT(DATE(YEAR(Invoer!$A$6),1,1)+MOD(ROWS(B$2:B240)-1,DATE(YEAR(Invoer!$A$6),12,31)-DATE(YEAR(Invoer!$A$6),1,1)+1),"jjjjmmdd")</f>
        <v>19400826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INDEX(Stations,INT((ROWS(A$2:A241)-1)/(DATE(YEAR(Invoer!$A$6),12,31)-DATE(YEAR(Invoer!$A$6),1,1)+1))+2,1)</f>
        <v>32</v>
      </c>
      <c r="B241" t="str">
        <f ca="1">TEXT(DATE(YEAR(Invoer!$A$6),1,1)+MOD(ROWS(B$2:B241)-1,DATE(YEAR(Invoer!$A$6),12,31)-DATE(YEAR(Invoer!$A$6),1,1)+1),"jjjjmmdd")</f>
        <v>19400827</v>
      </c>
      <c r="C241" s="5">
        <v>1</v>
      </c>
      <c r="D241" s="10">
        <f t="shared" ca="1" si="6"/>
        <v>95</v>
      </c>
      <c r="E241" s="11">
        <f t="shared" ca="1" si="7"/>
        <v>0</v>
      </c>
    </row>
    <row r="242" spans="1:5" x14ac:dyDescent="0.25">
      <c r="A242" s="4">
        <f ca="1">INDEX(Stations,INT((ROWS(A$2:A242)-1)/(DATE(YEAR(Invoer!$A$6),12,31)-DATE(YEAR(Invoer!$A$6),1,1)+1))+2,1)</f>
        <v>32</v>
      </c>
      <c r="B242" t="str">
        <f ca="1">TEXT(DATE(YEAR(Invoer!$A$6),1,1)+MOD(ROWS(B$2:B242)-1,DATE(YEAR(Invoer!$A$6),12,31)-DATE(YEAR(Invoer!$A$6),1,1)+1),"jjjjmmdd")</f>
        <v>19400828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INDEX(Stations,INT((ROWS(A$2:A243)-1)/(DATE(YEAR(Invoer!$A$6),12,31)-DATE(YEAR(Invoer!$A$6),1,1)+1))+2,1)</f>
        <v>32</v>
      </c>
      <c r="B243" t="str">
        <f ca="1">TEXT(DATE(YEAR(Invoer!$A$6),1,1)+MOD(ROWS(B$2:B243)-1,DATE(YEAR(Invoer!$A$6),12,31)-DATE(YEAR(Invoer!$A$6),1,1)+1),"jjjjmmdd")</f>
        <v>19400829</v>
      </c>
      <c r="C243" s="5">
        <v>1</v>
      </c>
      <c r="D243" s="10">
        <f t="shared" ca="1" si="6"/>
        <v>0</v>
      </c>
      <c r="E243" s="11">
        <f t="shared" ca="1" si="7"/>
        <v>0</v>
      </c>
    </row>
    <row r="244" spans="1:5" x14ac:dyDescent="0.25">
      <c r="A244" s="4">
        <f ca="1">INDEX(Stations,INT((ROWS(A$2:A244)-1)/(DATE(YEAR(Invoer!$A$6),12,31)-DATE(YEAR(Invoer!$A$6),1,1)+1))+2,1)</f>
        <v>32</v>
      </c>
      <c r="B244" t="str">
        <f ca="1">TEXT(DATE(YEAR(Invoer!$A$6),1,1)+MOD(ROWS(B$2:B244)-1,DATE(YEAR(Invoer!$A$6),12,31)-DATE(YEAR(Invoer!$A$6),1,1)+1),"jjjjmmdd")</f>
        <v>19400830</v>
      </c>
      <c r="C244" s="5">
        <v>1</v>
      </c>
      <c r="D244" s="10">
        <f t="shared" ca="1" si="6"/>
        <v>0</v>
      </c>
      <c r="E244" s="11">
        <f t="shared" ca="1" si="7"/>
        <v>0</v>
      </c>
    </row>
    <row r="245" spans="1:5" x14ac:dyDescent="0.25">
      <c r="A245" s="4">
        <f ca="1">INDEX(Stations,INT((ROWS(A$2:A245)-1)/(DATE(YEAR(Invoer!$A$6),12,31)-DATE(YEAR(Invoer!$A$6),1,1)+1))+2,1)</f>
        <v>32</v>
      </c>
      <c r="B245" t="str">
        <f ca="1">TEXT(DATE(YEAR(Invoer!$A$6),1,1)+MOD(ROWS(B$2:B245)-1,DATE(YEAR(Invoer!$A$6),12,31)-DATE(YEAR(Invoer!$A$6),1,1)+1),"jjjjmmdd")</f>
        <v>19400831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INDEX(Stations,INT((ROWS(A$2:A246)-1)/(DATE(YEAR(Invoer!$A$6),12,31)-DATE(YEAR(Invoer!$A$6),1,1)+1))+2,1)</f>
        <v>32</v>
      </c>
      <c r="B246" t="str">
        <f ca="1">TEXT(DATE(YEAR(Invoer!$A$6),1,1)+MOD(ROWS(B$2:B246)-1,DATE(YEAR(Invoer!$A$6),12,31)-DATE(YEAR(Invoer!$A$6),1,1)+1),"jjjjmmdd")</f>
        <v>19400901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INDEX(Stations,INT((ROWS(A$2:A247)-1)/(DATE(YEAR(Invoer!$A$6),12,31)-DATE(YEAR(Invoer!$A$6),1,1)+1))+2,1)</f>
        <v>32</v>
      </c>
      <c r="B247" t="str">
        <f ca="1">TEXT(DATE(YEAR(Invoer!$A$6),1,1)+MOD(ROWS(B$2:B247)-1,DATE(YEAR(Invoer!$A$6),12,31)-DATE(YEAR(Invoer!$A$6),1,1)+1),"jjjjmmdd")</f>
        <v>19400902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INDEX(Stations,INT((ROWS(A$2:A248)-1)/(DATE(YEAR(Invoer!$A$6),12,31)-DATE(YEAR(Invoer!$A$6),1,1)+1))+2,1)</f>
        <v>32</v>
      </c>
      <c r="B248" t="str">
        <f ca="1">TEXT(DATE(YEAR(Invoer!$A$6),1,1)+MOD(ROWS(B$2:B248)-1,DATE(YEAR(Invoer!$A$6),12,31)-DATE(YEAR(Invoer!$A$6),1,1)+1),"jjjjmmdd")</f>
        <v>19400903</v>
      </c>
      <c r="C248" s="5">
        <v>1</v>
      </c>
      <c r="D248" s="10">
        <f t="shared" ca="1" si="6"/>
        <v>0</v>
      </c>
      <c r="E248" s="11">
        <f t="shared" ca="1" si="7"/>
        <v>0</v>
      </c>
    </row>
    <row r="249" spans="1:5" x14ac:dyDescent="0.25">
      <c r="A249" s="4">
        <f ca="1">INDEX(Stations,INT((ROWS(A$2:A249)-1)/(DATE(YEAR(Invoer!$A$6),12,31)-DATE(YEAR(Invoer!$A$6),1,1)+1))+2,1)</f>
        <v>32</v>
      </c>
      <c r="B249" t="str">
        <f ca="1">TEXT(DATE(YEAR(Invoer!$A$6),1,1)+MOD(ROWS(B$2:B249)-1,DATE(YEAR(Invoer!$A$6),12,31)-DATE(YEAR(Invoer!$A$6),1,1)+1),"jjjjmmdd")</f>
        <v>19400904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INDEX(Stations,INT((ROWS(A$2:A250)-1)/(DATE(YEAR(Invoer!$A$6),12,31)-DATE(YEAR(Invoer!$A$6),1,1)+1))+2,1)</f>
        <v>32</v>
      </c>
      <c r="B250" t="str">
        <f ca="1">TEXT(DATE(YEAR(Invoer!$A$6),1,1)+MOD(ROWS(B$2:B250)-1,DATE(YEAR(Invoer!$A$6),12,31)-DATE(YEAR(Invoer!$A$6),1,1)+1),"jjjjmmdd")</f>
        <v>19400905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INDEX(Stations,INT((ROWS(A$2:A251)-1)/(DATE(YEAR(Invoer!$A$6),12,31)-DATE(YEAR(Invoer!$A$6),1,1)+1))+2,1)</f>
        <v>32</v>
      </c>
      <c r="B251" t="str">
        <f ca="1">TEXT(DATE(YEAR(Invoer!$A$6),1,1)+MOD(ROWS(B$2:B251)-1,DATE(YEAR(Invoer!$A$6),12,31)-DATE(YEAR(Invoer!$A$6),1,1)+1),"jjjjmmdd")</f>
        <v>19400906</v>
      </c>
      <c r="C251" s="5">
        <v>1</v>
      </c>
      <c r="D251" s="10">
        <f t="shared" ca="1" si="6"/>
        <v>0</v>
      </c>
      <c r="E251" s="11">
        <f t="shared" ca="1" si="7"/>
        <v>0</v>
      </c>
    </row>
    <row r="252" spans="1:5" x14ac:dyDescent="0.25">
      <c r="A252" s="4">
        <f ca="1">INDEX(Stations,INT((ROWS(A$2:A252)-1)/(DATE(YEAR(Invoer!$A$6),12,31)-DATE(YEAR(Invoer!$A$6),1,1)+1))+2,1)</f>
        <v>32</v>
      </c>
      <c r="B252" t="str">
        <f ca="1">TEXT(DATE(YEAR(Invoer!$A$6),1,1)+MOD(ROWS(B$2:B252)-1,DATE(YEAR(Invoer!$A$6),12,31)-DATE(YEAR(Invoer!$A$6),1,1)+1),"jjjjmmdd")</f>
        <v>19400907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INDEX(Stations,INT((ROWS(A$2:A253)-1)/(DATE(YEAR(Invoer!$A$6),12,31)-DATE(YEAR(Invoer!$A$6),1,1)+1))+2,1)</f>
        <v>32</v>
      </c>
      <c r="B253" t="str">
        <f ca="1">TEXT(DATE(YEAR(Invoer!$A$6),1,1)+MOD(ROWS(B$2:B253)-1,DATE(YEAR(Invoer!$A$6),12,31)-DATE(YEAR(Invoer!$A$6),1,1)+1),"jjjjmmdd")</f>
        <v>19400908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INDEX(Stations,INT((ROWS(A$2:A254)-1)/(DATE(YEAR(Invoer!$A$6),12,31)-DATE(YEAR(Invoer!$A$6),1,1)+1))+2,1)</f>
        <v>32</v>
      </c>
      <c r="B254" t="str">
        <f ca="1">TEXT(DATE(YEAR(Invoer!$A$6),1,1)+MOD(ROWS(B$2:B254)-1,DATE(YEAR(Invoer!$A$6),12,31)-DATE(YEAR(Invoer!$A$6),1,1)+1),"jjjjmmdd")</f>
        <v>19400909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INDEX(Stations,INT((ROWS(A$2:A255)-1)/(DATE(YEAR(Invoer!$A$6),12,31)-DATE(YEAR(Invoer!$A$6),1,1)+1))+2,1)</f>
        <v>32</v>
      </c>
      <c r="B255" t="str">
        <f ca="1">TEXT(DATE(YEAR(Invoer!$A$6),1,1)+MOD(ROWS(B$2:B255)-1,DATE(YEAR(Invoer!$A$6),12,31)-DATE(YEAR(Invoer!$A$6),1,1)+1),"jjjjmmdd")</f>
        <v>19400910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INDEX(Stations,INT((ROWS(A$2:A256)-1)/(DATE(YEAR(Invoer!$A$6),12,31)-DATE(YEAR(Invoer!$A$6),1,1)+1))+2,1)</f>
        <v>32</v>
      </c>
      <c r="B256" t="str">
        <f ca="1">TEXT(DATE(YEAR(Invoer!$A$6),1,1)+MOD(ROWS(B$2:B256)-1,DATE(YEAR(Invoer!$A$6),12,31)-DATE(YEAR(Invoer!$A$6),1,1)+1),"jjjjmmdd")</f>
        <v>19400911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INDEX(Stations,INT((ROWS(A$2:A257)-1)/(DATE(YEAR(Invoer!$A$6),12,31)-DATE(YEAR(Invoer!$A$6),1,1)+1))+2,1)</f>
        <v>32</v>
      </c>
      <c r="B257" t="str">
        <f ca="1">TEXT(DATE(YEAR(Invoer!$A$6),1,1)+MOD(ROWS(B$2:B257)-1,DATE(YEAR(Invoer!$A$6),12,31)-DATE(YEAR(Invoer!$A$6),1,1)+1),"jjjjmmdd")</f>
        <v>19400912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INDEX(Stations,INT((ROWS(A$2:A258)-1)/(DATE(YEAR(Invoer!$A$6),12,31)-DATE(YEAR(Invoer!$A$6),1,1)+1))+2,1)</f>
        <v>32</v>
      </c>
      <c r="B258" t="str">
        <f ca="1">TEXT(DATE(YEAR(Invoer!$A$6),1,1)+MOD(ROWS(B$2:B258)-1,DATE(YEAR(Invoer!$A$6),12,31)-DATE(YEAR(Invoer!$A$6),1,1)+1),"jjjjmmdd")</f>
        <v>19400913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"—",VLOOKUP(DATEVALUE(LEFT(B258,4)&amp;"-"&amp;MID(B258,5,2)&amp;"-"&amp;RIGHT(B258,2)),Data,MATCH(VLOOKUP(A258,Stations,2,FALSE()),OFFSET(Data,2,0,1)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2,0,1),0),FALSE())))</f>
        <v>0</v>
      </c>
    </row>
    <row r="259" spans="1:5" x14ac:dyDescent="0.25">
      <c r="A259" s="4">
        <f ca="1">INDEX(Stations,INT((ROWS(A$2:A259)-1)/(DATE(YEAR(Invoer!$A$6),12,31)-DATE(YEAR(Invoer!$A$6),1,1)+1))+2,1)</f>
        <v>32</v>
      </c>
      <c r="B259" t="str">
        <f ca="1">TEXT(DATE(YEAR(Invoer!$A$6),1,1)+MOD(ROWS(B$2:B259)-1,DATE(YEAR(Invoer!$A$6),12,31)-DATE(YEAR(Invoer!$A$6),1,1)+1),"jjjjmmdd")</f>
        <v>19400914</v>
      </c>
      <c r="C259" s="5">
        <v>1</v>
      </c>
      <c r="D259" s="10">
        <f t="shared" ca="1" si="8"/>
        <v>0</v>
      </c>
      <c r="E259" s="11">
        <f t="shared" ca="1" si="9"/>
        <v>0</v>
      </c>
    </row>
    <row r="260" spans="1:5" x14ac:dyDescent="0.25">
      <c r="A260" s="4">
        <f ca="1">INDEX(Stations,INT((ROWS(A$2:A260)-1)/(DATE(YEAR(Invoer!$A$6),12,31)-DATE(YEAR(Invoer!$A$6),1,1)+1))+2,1)</f>
        <v>32</v>
      </c>
      <c r="B260" t="str">
        <f ca="1">TEXT(DATE(YEAR(Invoer!$A$6),1,1)+MOD(ROWS(B$2:B260)-1,DATE(YEAR(Invoer!$A$6),12,31)-DATE(YEAR(Invoer!$A$6),1,1)+1),"jjjjmmdd")</f>
        <v>19400915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INDEX(Stations,INT((ROWS(A$2:A261)-1)/(DATE(YEAR(Invoer!$A$6),12,31)-DATE(YEAR(Invoer!$A$6),1,1)+1))+2,1)</f>
        <v>32</v>
      </c>
      <c r="B261" t="str">
        <f ca="1">TEXT(DATE(YEAR(Invoer!$A$6),1,1)+MOD(ROWS(B$2:B261)-1,DATE(YEAR(Invoer!$A$6),12,31)-DATE(YEAR(Invoer!$A$6),1,1)+1),"jjjjmmdd")</f>
        <v>19400916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INDEX(Stations,INT((ROWS(A$2:A262)-1)/(DATE(YEAR(Invoer!$A$6),12,31)-DATE(YEAR(Invoer!$A$6),1,1)+1))+2,1)</f>
        <v>32</v>
      </c>
      <c r="B262" t="str">
        <f ca="1">TEXT(DATE(YEAR(Invoer!$A$6),1,1)+MOD(ROWS(B$2:B262)-1,DATE(YEAR(Invoer!$A$6),12,31)-DATE(YEAR(Invoer!$A$6),1,1)+1),"jjjjmmdd")</f>
        <v>19400917</v>
      </c>
      <c r="C262" s="5">
        <v>1</v>
      </c>
      <c r="D262" s="10">
        <f t="shared" ca="1" si="8"/>
        <v>0</v>
      </c>
      <c r="E262" s="11">
        <f t="shared" ca="1" si="9"/>
        <v>0</v>
      </c>
    </row>
    <row r="263" spans="1:5" x14ac:dyDescent="0.25">
      <c r="A263" s="4">
        <f ca="1">INDEX(Stations,INT((ROWS(A$2:A263)-1)/(DATE(YEAR(Invoer!$A$6),12,31)-DATE(YEAR(Invoer!$A$6),1,1)+1))+2,1)</f>
        <v>32</v>
      </c>
      <c r="B263" t="str">
        <f ca="1">TEXT(DATE(YEAR(Invoer!$A$6),1,1)+MOD(ROWS(B$2:B263)-1,DATE(YEAR(Invoer!$A$6),12,31)-DATE(YEAR(Invoer!$A$6),1,1)+1),"jjjjmmdd")</f>
        <v>19400918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INDEX(Stations,INT((ROWS(A$2:A264)-1)/(DATE(YEAR(Invoer!$A$6),12,31)-DATE(YEAR(Invoer!$A$6),1,1)+1))+2,1)</f>
        <v>32</v>
      </c>
      <c r="B264" t="str">
        <f ca="1">TEXT(DATE(YEAR(Invoer!$A$6),1,1)+MOD(ROWS(B$2:B264)-1,DATE(YEAR(Invoer!$A$6),12,31)-DATE(YEAR(Invoer!$A$6),1,1)+1),"jjjjmmdd")</f>
        <v>19400919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INDEX(Stations,INT((ROWS(A$2:A265)-1)/(DATE(YEAR(Invoer!$A$6),12,31)-DATE(YEAR(Invoer!$A$6),1,1)+1))+2,1)</f>
        <v>32</v>
      </c>
      <c r="B265" t="str">
        <f ca="1">TEXT(DATE(YEAR(Invoer!$A$6),1,1)+MOD(ROWS(B$2:B265)-1,DATE(YEAR(Invoer!$A$6),12,31)-DATE(YEAR(Invoer!$A$6),1,1)+1),"jjjjmmdd")</f>
        <v>19400920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INDEX(Stations,INT((ROWS(A$2:A266)-1)/(DATE(YEAR(Invoer!$A$6),12,31)-DATE(YEAR(Invoer!$A$6),1,1)+1))+2,1)</f>
        <v>32</v>
      </c>
      <c r="B266" t="str">
        <f ca="1">TEXT(DATE(YEAR(Invoer!$A$6),1,1)+MOD(ROWS(B$2:B266)-1,DATE(YEAR(Invoer!$A$6),12,31)-DATE(YEAR(Invoer!$A$6),1,1)+1),"jjjjmmdd")</f>
        <v>19400921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INDEX(Stations,INT((ROWS(A$2:A267)-1)/(DATE(YEAR(Invoer!$A$6),12,31)-DATE(YEAR(Invoer!$A$6),1,1)+1))+2,1)</f>
        <v>32</v>
      </c>
      <c r="B267" t="str">
        <f ca="1">TEXT(DATE(YEAR(Invoer!$A$6),1,1)+MOD(ROWS(B$2:B267)-1,DATE(YEAR(Invoer!$A$6),12,31)-DATE(YEAR(Invoer!$A$6),1,1)+1),"jjjjmmdd")</f>
        <v>19400922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INDEX(Stations,INT((ROWS(A$2:A268)-1)/(DATE(YEAR(Invoer!$A$6),12,31)-DATE(YEAR(Invoer!$A$6),1,1)+1))+2,1)</f>
        <v>32</v>
      </c>
      <c r="B268" t="str">
        <f ca="1">TEXT(DATE(YEAR(Invoer!$A$6),1,1)+MOD(ROWS(B$2:B268)-1,DATE(YEAR(Invoer!$A$6),12,31)-DATE(YEAR(Invoer!$A$6),1,1)+1),"jjjjmmdd")</f>
        <v>19400923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INDEX(Stations,INT((ROWS(A$2:A269)-1)/(DATE(YEAR(Invoer!$A$6),12,31)-DATE(YEAR(Invoer!$A$6),1,1)+1))+2,1)</f>
        <v>32</v>
      </c>
      <c r="B269" t="str">
        <f ca="1">TEXT(DATE(YEAR(Invoer!$A$6),1,1)+MOD(ROWS(B$2:B269)-1,DATE(YEAR(Invoer!$A$6),12,31)-DATE(YEAR(Invoer!$A$6),1,1)+1),"jjjjmmdd")</f>
        <v>19400924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INDEX(Stations,INT((ROWS(A$2:A270)-1)/(DATE(YEAR(Invoer!$A$6),12,31)-DATE(YEAR(Invoer!$A$6),1,1)+1))+2,1)</f>
        <v>32</v>
      </c>
      <c r="B270" t="str">
        <f ca="1">TEXT(DATE(YEAR(Invoer!$A$6),1,1)+MOD(ROWS(B$2:B270)-1,DATE(YEAR(Invoer!$A$6),12,31)-DATE(YEAR(Invoer!$A$6),1,1)+1),"jjjjmmdd")</f>
        <v>19400925</v>
      </c>
      <c r="C270" s="5">
        <v>1</v>
      </c>
      <c r="D270" s="10">
        <f t="shared" ca="1" si="8"/>
        <v>0</v>
      </c>
      <c r="E270" s="11">
        <f t="shared" ca="1" si="9"/>
        <v>0</v>
      </c>
    </row>
    <row r="271" spans="1:5" x14ac:dyDescent="0.25">
      <c r="A271" s="4">
        <f ca="1">INDEX(Stations,INT((ROWS(A$2:A271)-1)/(DATE(YEAR(Invoer!$A$6),12,31)-DATE(YEAR(Invoer!$A$6),1,1)+1))+2,1)</f>
        <v>32</v>
      </c>
      <c r="B271" t="str">
        <f ca="1">TEXT(DATE(YEAR(Invoer!$A$6),1,1)+MOD(ROWS(B$2:B271)-1,DATE(YEAR(Invoer!$A$6),12,31)-DATE(YEAR(Invoer!$A$6),1,1)+1),"jjjjmmdd")</f>
        <v>19400926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INDEX(Stations,INT((ROWS(A$2:A272)-1)/(DATE(YEAR(Invoer!$A$6),12,31)-DATE(YEAR(Invoer!$A$6),1,1)+1))+2,1)</f>
        <v>32</v>
      </c>
      <c r="B272" t="str">
        <f ca="1">TEXT(DATE(YEAR(Invoer!$A$6),1,1)+MOD(ROWS(B$2:B272)-1,DATE(YEAR(Invoer!$A$6),12,31)-DATE(YEAR(Invoer!$A$6),1,1)+1),"jjjjmmdd")</f>
        <v>19400927</v>
      </c>
      <c r="C272" s="5">
        <v>1</v>
      </c>
      <c r="D272" s="10">
        <f t="shared" ca="1" si="8"/>
        <v>0</v>
      </c>
      <c r="E272" s="11">
        <f t="shared" ca="1" si="9"/>
        <v>0</v>
      </c>
    </row>
    <row r="273" spans="1:5" x14ac:dyDescent="0.25">
      <c r="A273" s="4">
        <f ca="1">INDEX(Stations,INT((ROWS(A$2:A273)-1)/(DATE(YEAR(Invoer!$A$6),12,31)-DATE(YEAR(Invoer!$A$6),1,1)+1))+2,1)</f>
        <v>32</v>
      </c>
      <c r="B273" t="str">
        <f ca="1">TEXT(DATE(YEAR(Invoer!$A$6),1,1)+MOD(ROWS(B$2:B273)-1,DATE(YEAR(Invoer!$A$6),12,31)-DATE(YEAR(Invoer!$A$6),1,1)+1),"jjjjmmdd")</f>
        <v>19400928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INDEX(Stations,INT((ROWS(A$2:A274)-1)/(DATE(YEAR(Invoer!$A$6),12,31)-DATE(YEAR(Invoer!$A$6),1,1)+1))+2,1)</f>
        <v>32</v>
      </c>
      <c r="B274" t="str">
        <f ca="1">TEXT(DATE(YEAR(Invoer!$A$6),1,1)+MOD(ROWS(B$2:B274)-1,DATE(YEAR(Invoer!$A$6),12,31)-DATE(YEAR(Invoer!$A$6),1,1)+1),"jjjjmmdd")</f>
        <v>19400929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INDEX(Stations,INT((ROWS(A$2:A275)-1)/(DATE(YEAR(Invoer!$A$6),12,31)-DATE(YEAR(Invoer!$A$6),1,1)+1))+2,1)</f>
        <v>32</v>
      </c>
      <c r="B275" t="str">
        <f ca="1">TEXT(DATE(YEAR(Invoer!$A$6),1,1)+MOD(ROWS(B$2:B275)-1,DATE(YEAR(Invoer!$A$6),12,31)-DATE(YEAR(Invoer!$A$6),1,1)+1),"jjjjmmdd")</f>
        <v>19400930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INDEX(Stations,INT((ROWS(A$2:A276)-1)/(DATE(YEAR(Invoer!$A$6),12,31)-DATE(YEAR(Invoer!$A$6),1,1)+1))+2,1)</f>
        <v>32</v>
      </c>
      <c r="B276" t="str">
        <f ca="1">TEXT(DATE(YEAR(Invoer!$A$6),1,1)+MOD(ROWS(B$2:B276)-1,DATE(YEAR(Invoer!$A$6),12,31)-DATE(YEAR(Invoer!$A$6),1,1)+1),"jjjjmmdd")</f>
        <v>19401001</v>
      </c>
      <c r="C276" s="5">
        <v>1</v>
      </c>
      <c r="D276" s="10" t="str">
        <f t="shared" ca="1" si="8"/>
        <v>—</v>
      </c>
      <c r="E276" s="11">
        <f t="shared" ca="1" si="9"/>
        <v>7</v>
      </c>
    </row>
    <row r="277" spans="1:5" x14ac:dyDescent="0.25">
      <c r="A277" s="4">
        <f ca="1">INDEX(Stations,INT((ROWS(A$2:A277)-1)/(DATE(YEAR(Invoer!$A$6),12,31)-DATE(YEAR(Invoer!$A$6),1,1)+1))+2,1)</f>
        <v>32</v>
      </c>
      <c r="B277" t="str">
        <f ca="1">TEXT(DATE(YEAR(Invoer!$A$6),1,1)+MOD(ROWS(B$2:B277)-1,DATE(YEAR(Invoer!$A$6),12,31)-DATE(YEAR(Invoer!$A$6),1,1)+1),"jjjjmmdd")</f>
        <v>19401002</v>
      </c>
      <c r="C277" s="5">
        <v>1</v>
      </c>
      <c r="D277" s="10" t="str">
        <f t="shared" ca="1" si="8"/>
        <v>—</v>
      </c>
      <c r="E277" s="11">
        <f t="shared" ca="1" si="9"/>
        <v>7</v>
      </c>
    </row>
    <row r="278" spans="1:5" x14ac:dyDescent="0.25">
      <c r="A278" s="4">
        <f ca="1">INDEX(Stations,INT((ROWS(A$2:A278)-1)/(DATE(YEAR(Invoer!$A$6),12,31)-DATE(YEAR(Invoer!$A$6),1,1)+1))+2,1)</f>
        <v>32</v>
      </c>
      <c r="B278" t="str">
        <f ca="1">TEXT(DATE(YEAR(Invoer!$A$6),1,1)+MOD(ROWS(B$2:B278)-1,DATE(YEAR(Invoer!$A$6),12,31)-DATE(YEAR(Invoer!$A$6),1,1)+1),"jjjjmmdd")</f>
        <v>19401003</v>
      </c>
      <c r="C278" s="5">
        <v>1</v>
      </c>
      <c r="D278" s="10" t="str">
        <f t="shared" ca="1" si="8"/>
        <v>—</v>
      </c>
      <c r="E278" s="11">
        <f t="shared" ca="1" si="9"/>
        <v>7</v>
      </c>
    </row>
    <row r="279" spans="1:5" x14ac:dyDescent="0.25">
      <c r="A279" s="4">
        <f ca="1">INDEX(Stations,INT((ROWS(A$2:A279)-1)/(DATE(YEAR(Invoer!$A$6),12,31)-DATE(YEAR(Invoer!$A$6),1,1)+1))+2,1)</f>
        <v>32</v>
      </c>
      <c r="B279" t="str">
        <f ca="1">TEXT(DATE(YEAR(Invoer!$A$6),1,1)+MOD(ROWS(B$2:B279)-1,DATE(YEAR(Invoer!$A$6),12,31)-DATE(YEAR(Invoer!$A$6),1,1)+1),"jjjjmmdd")</f>
        <v>19401004</v>
      </c>
      <c r="C279" s="5">
        <v>1</v>
      </c>
      <c r="D279" s="10" t="str">
        <f t="shared" ca="1" si="8"/>
        <v>—</v>
      </c>
      <c r="E279" s="11">
        <f t="shared" ca="1" si="9"/>
        <v>7</v>
      </c>
    </row>
    <row r="280" spans="1:5" x14ac:dyDescent="0.25">
      <c r="A280" s="4">
        <f ca="1">INDEX(Stations,INT((ROWS(A$2:A280)-1)/(DATE(YEAR(Invoer!$A$6),12,31)-DATE(YEAR(Invoer!$A$6),1,1)+1))+2,1)</f>
        <v>32</v>
      </c>
      <c r="B280" t="str">
        <f ca="1">TEXT(DATE(YEAR(Invoer!$A$6),1,1)+MOD(ROWS(B$2:B280)-1,DATE(YEAR(Invoer!$A$6),12,31)-DATE(YEAR(Invoer!$A$6),1,1)+1),"jjjjmmdd")</f>
        <v>19401005</v>
      </c>
      <c r="C280" s="5">
        <v>1</v>
      </c>
      <c r="D280" s="10" t="str">
        <f t="shared" ca="1" si="8"/>
        <v>—</v>
      </c>
      <c r="E280" s="11">
        <f t="shared" ca="1" si="9"/>
        <v>7</v>
      </c>
    </row>
    <row r="281" spans="1:5" x14ac:dyDescent="0.25">
      <c r="A281" s="4">
        <f ca="1">INDEX(Stations,INT((ROWS(A$2:A281)-1)/(DATE(YEAR(Invoer!$A$6),12,31)-DATE(YEAR(Invoer!$A$6),1,1)+1))+2,1)</f>
        <v>32</v>
      </c>
      <c r="B281" t="str">
        <f ca="1">TEXT(DATE(YEAR(Invoer!$A$6),1,1)+MOD(ROWS(B$2:B281)-1,DATE(YEAR(Invoer!$A$6),12,31)-DATE(YEAR(Invoer!$A$6),1,1)+1),"jjjjmmdd")</f>
        <v>19401006</v>
      </c>
      <c r="C281" s="5">
        <v>1</v>
      </c>
      <c r="D281" s="10" t="str">
        <f t="shared" ca="1" si="8"/>
        <v>—</v>
      </c>
      <c r="E281" s="11">
        <f t="shared" ca="1" si="9"/>
        <v>7</v>
      </c>
    </row>
    <row r="282" spans="1:5" x14ac:dyDescent="0.25">
      <c r="A282" s="4">
        <f ca="1">INDEX(Stations,INT((ROWS(A$2:A282)-1)/(DATE(YEAR(Invoer!$A$6),12,31)-DATE(YEAR(Invoer!$A$6),1,1)+1))+2,1)</f>
        <v>32</v>
      </c>
      <c r="B282" t="str">
        <f ca="1">TEXT(DATE(YEAR(Invoer!$A$6),1,1)+MOD(ROWS(B$2:B282)-1,DATE(YEAR(Invoer!$A$6),12,31)-DATE(YEAR(Invoer!$A$6),1,1)+1),"jjjjmmdd")</f>
        <v>19401007</v>
      </c>
      <c r="C282" s="5">
        <v>1</v>
      </c>
      <c r="D282" s="10" t="str">
        <f t="shared" ca="1" si="8"/>
        <v>—</v>
      </c>
      <c r="E282" s="11">
        <f t="shared" ca="1" si="9"/>
        <v>7</v>
      </c>
    </row>
    <row r="283" spans="1:5" x14ac:dyDescent="0.25">
      <c r="A283" s="4">
        <f ca="1">INDEX(Stations,INT((ROWS(A$2:A283)-1)/(DATE(YEAR(Invoer!$A$6),12,31)-DATE(YEAR(Invoer!$A$6),1,1)+1))+2,1)</f>
        <v>32</v>
      </c>
      <c r="B283" t="str">
        <f ca="1">TEXT(DATE(YEAR(Invoer!$A$6),1,1)+MOD(ROWS(B$2:B283)-1,DATE(YEAR(Invoer!$A$6),12,31)-DATE(YEAR(Invoer!$A$6),1,1)+1),"jjjjmmdd")</f>
        <v>19401008</v>
      </c>
      <c r="C283" s="5">
        <v>1</v>
      </c>
      <c r="D283" s="10" t="str">
        <f t="shared" ca="1" si="8"/>
        <v>—</v>
      </c>
      <c r="E283" s="11">
        <f t="shared" ca="1" si="9"/>
        <v>7</v>
      </c>
    </row>
    <row r="284" spans="1:5" x14ac:dyDescent="0.25">
      <c r="A284" s="4">
        <f ca="1">INDEX(Stations,INT((ROWS(A$2:A284)-1)/(DATE(YEAR(Invoer!$A$6),12,31)-DATE(YEAR(Invoer!$A$6),1,1)+1))+2,1)</f>
        <v>32</v>
      </c>
      <c r="B284" t="str">
        <f ca="1">TEXT(DATE(YEAR(Invoer!$A$6),1,1)+MOD(ROWS(B$2:B284)-1,DATE(YEAR(Invoer!$A$6),12,31)-DATE(YEAR(Invoer!$A$6),1,1)+1),"jjjjmmdd")</f>
        <v>19401009</v>
      </c>
      <c r="C284" s="5">
        <v>1</v>
      </c>
      <c r="D284" s="10" t="str">
        <f t="shared" ca="1" si="8"/>
        <v>—</v>
      </c>
      <c r="E284" s="11">
        <f t="shared" ca="1" si="9"/>
        <v>7</v>
      </c>
    </row>
    <row r="285" spans="1:5" x14ac:dyDescent="0.25">
      <c r="A285" s="4">
        <f ca="1">INDEX(Stations,INT((ROWS(A$2:A285)-1)/(DATE(YEAR(Invoer!$A$6),12,31)-DATE(YEAR(Invoer!$A$6),1,1)+1))+2,1)</f>
        <v>32</v>
      </c>
      <c r="B285" t="str">
        <f ca="1">TEXT(DATE(YEAR(Invoer!$A$6),1,1)+MOD(ROWS(B$2:B285)-1,DATE(YEAR(Invoer!$A$6),12,31)-DATE(YEAR(Invoer!$A$6),1,1)+1),"jjjjmmdd")</f>
        <v>19401010</v>
      </c>
      <c r="C285" s="5">
        <v>1</v>
      </c>
      <c r="D285" s="10" t="str">
        <f t="shared" ca="1" si="8"/>
        <v>—</v>
      </c>
      <c r="E285" s="11">
        <f t="shared" ca="1" si="9"/>
        <v>7</v>
      </c>
    </row>
    <row r="286" spans="1:5" x14ac:dyDescent="0.25">
      <c r="A286" s="4">
        <f ca="1">INDEX(Stations,INT((ROWS(A$2:A286)-1)/(DATE(YEAR(Invoer!$A$6),12,31)-DATE(YEAR(Invoer!$A$6),1,1)+1))+2,1)</f>
        <v>32</v>
      </c>
      <c r="B286" t="str">
        <f ca="1">TEXT(DATE(YEAR(Invoer!$A$6),1,1)+MOD(ROWS(B$2:B286)-1,DATE(YEAR(Invoer!$A$6),12,31)-DATE(YEAR(Invoer!$A$6),1,1)+1),"jjjjmmdd")</f>
        <v>19401011</v>
      </c>
      <c r="C286" s="5">
        <v>1</v>
      </c>
      <c r="D286" s="10" t="str">
        <f t="shared" ca="1" si="8"/>
        <v>—</v>
      </c>
      <c r="E286" s="11">
        <f t="shared" ca="1" si="9"/>
        <v>7</v>
      </c>
    </row>
    <row r="287" spans="1:5" x14ac:dyDescent="0.25">
      <c r="A287" s="4">
        <f ca="1">INDEX(Stations,INT((ROWS(A$2:A287)-1)/(DATE(YEAR(Invoer!$A$6),12,31)-DATE(YEAR(Invoer!$A$6),1,1)+1))+2,1)</f>
        <v>32</v>
      </c>
      <c r="B287" t="str">
        <f ca="1">TEXT(DATE(YEAR(Invoer!$A$6),1,1)+MOD(ROWS(B$2:B287)-1,DATE(YEAR(Invoer!$A$6),12,31)-DATE(YEAR(Invoer!$A$6),1,1)+1),"jjjjmmdd")</f>
        <v>19401012</v>
      </c>
      <c r="C287" s="5">
        <v>1</v>
      </c>
      <c r="D287" s="10" t="str">
        <f t="shared" ca="1" si="8"/>
        <v>—</v>
      </c>
      <c r="E287" s="11">
        <f t="shared" ca="1" si="9"/>
        <v>7</v>
      </c>
    </row>
    <row r="288" spans="1:5" x14ac:dyDescent="0.25">
      <c r="A288" s="4">
        <f ca="1">INDEX(Stations,INT((ROWS(A$2:A288)-1)/(DATE(YEAR(Invoer!$A$6),12,31)-DATE(YEAR(Invoer!$A$6),1,1)+1))+2,1)</f>
        <v>32</v>
      </c>
      <c r="B288" t="str">
        <f ca="1">TEXT(DATE(YEAR(Invoer!$A$6),1,1)+MOD(ROWS(B$2:B288)-1,DATE(YEAR(Invoer!$A$6),12,31)-DATE(YEAR(Invoer!$A$6),1,1)+1),"jjjjmmdd")</f>
        <v>19401013</v>
      </c>
      <c r="C288" s="5">
        <v>1</v>
      </c>
      <c r="D288" s="10" t="str">
        <f t="shared" ca="1" si="8"/>
        <v>—</v>
      </c>
      <c r="E288" s="11">
        <f t="shared" ca="1" si="9"/>
        <v>7</v>
      </c>
    </row>
    <row r="289" spans="1:5" x14ac:dyDescent="0.25">
      <c r="A289" s="4">
        <f ca="1">INDEX(Stations,INT((ROWS(A$2:A289)-1)/(DATE(YEAR(Invoer!$A$6),12,31)-DATE(YEAR(Invoer!$A$6),1,1)+1))+2,1)</f>
        <v>32</v>
      </c>
      <c r="B289" t="str">
        <f ca="1">TEXT(DATE(YEAR(Invoer!$A$6),1,1)+MOD(ROWS(B$2:B289)-1,DATE(YEAR(Invoer!$A$6),12,31)-DATE(YEAR(Invoer!$A$6),1,1)+1),"jjjjmmdd")</f>
        <v>19401014</v>
      </c>
      <c r="C289" s="5">
        <v>1</v>
      </c>
      <c r="D289" s="10" t="str">
        <f t="shared" ca="1" si="8"/>
        <v>—</v>
      </c>
      <c r="E289" s="11">
        <f t="shared" ca="1" si="9"/>
        <v>7</v>
      </c>
    </row>
    <row r="290" spans="1:5" x14ac:dyDescent="0.25">
      <c r="A290" s="4">
        <f ca="1">INDEX(Stations,INT((ROWS(A$2:A290)-1)/(DATE(YEAR(Invoer!$A$6),12,31)-DATE(YEAR(Invoer!$A$6),1,1)+1))+2,1)</f>
        <v>32</v>
      </c>
      <c r="B290" t="str">
        <f ca="1">TEXT(DATE(YEAR(Invoer!$A$6),1,1)+MOD(ROWS(B$2:B290)-1,DATE(YEAR(Invoer!$A$6),12,31)-DATE(YEAR(Invoer!$A$6),1,1)+1),"jjjjmmdd")</f>
        <v>19401015</v>
      </c>
      <c r="C290" s="5">
        <v>1</v>
      </c>
      <c r="D290" s="10" t="str">
        <f t="shared" ca="1" si="8"/>
        <v>—</v>
      </c>
      <c r="E290" s="11">
        <f t="shared" ca="1" si="9"/>
        <v>7</v>
      </c>
    </row>
    <row r="291" spans="1:5" x14ac:dyDescent="0.25">
      <c r="A291" s="4">
        <f ca="1">INDEX(Stations,INT((ROWS(A$2:A291)-1)/(DATE(YEAR(Invoer!$A$6),12,31)-DATE(YEAR(Invoer!$A$6),1,1)+1))+2,1)</f>
        <v>32</v>
      </c>
      <c r="B291" t="str">
        <f ca="1">TEXT(DATE(YEAR(Invoer!$A$6),1,1)+MOD(ROWS(B$2:B291)-1,DATE(YEAR(Invoer!$A$6),12,31)-DATE(YEAR(Invoer!$A$6),1,1)+1),"jjjjmmdd")</f>
        <v>19401016</v>
      </c>
      <c r="C291" s="5">
        <v>1</v>
      </c>
      <c r="D291" s="10" t="str">
        <f t="shared" ca="1" si="8"/>
        <v>—</v>
      </c>
      <c r="E291" s="11">
        <f t="shared" ca="1" si="9"/>
        <v>7</v>
      </c>
    </row>
    <row r="292" spans="1:5" x14ac:dyDescent="0.25">
      <c r="A292" s="4">
        <f ca="1">INDEX(Stations,INT((ROWS(A$2:A292)-1)/(DATE(YEAR(Invoer!$A$6),12,31)-DATE(YEAR(Invoer!$A$6),1,1)+1))+2,1)</f>
        <v>32</v>
      </c>
      <c r="B292" t="str">
        <f ca="1">TEXT(DATE(YEAR(Invoer!$A$6),1,1)+MOD(ROWS(B$2:B292)-1,DATE(YEAR(Invoer!$A$6),12,31)-DATE(YEAR(Invoer!$A$6),1,1)+1),"jjjjmmdd")</f>
        <v>19401017</v>
      </c>
      <c r="C292" s="5">
        <v>1</v>
      </c>
      <c r="D292" s="10" t="str">
        <f t="shared" ca="1" si="8"/>
        <v>—</v>
      </c>
      <c r="E292" s="11">
        <f t="shared" ca="1" si="9"/>
        <v>7</v>
      </c>
    </row>
    <row r="293" spans="1:5" x14ac:dyDescent="0.25">
      <c r="A293" s="4">
        <f ca="1">INDEX(Stations,INT((ROWS(A$2:A293)-1)/(DATE(YEAR(Invoer!$A$6),12,31)-DATE(YEAR(Invoer!$A$6),1,1)+1))+2,1)</f>
        <v>32</v>
      </c>
      <c r="B293" t="str">
        <f ca="1">TEXT(DATE(YEAR(Invoer!$A$6),1,1)+MOD(ROWS(B$2:B293)-1,DATE(YEAR(Invoer!$A$6),12,31)-DATE(YEAR(Invoer!$A$6),1,1)+1),"jjjjmmdd")</f>
        <v>19401018</v>
      </c>
      <c r="C293" s="5">
        <v>1</v>
      </c>
      <c r="D293" s="10" t="str">
        <f t="shared" ca="1" si="8"/>
        <v>—</v>
      </c>
      <c r="E293" s="11">
        <f t="shared" ca="1" si="9"/>
        <v>7</v>
      </c>
    </row>
    <row r="294" spans="1:5" x14ac:dyDescent="0.25">
      <c r="A294" s="4">
        <f ca="1">INDEX(Stations,INT((ROWS(A$2:A294)-1)/(DATE(YEAR(Invoer!$A$6),12,31)-DATE(YEAR(Invoer!$A$6),1,1)+1))+2,1)</f>
        <v>32</v>
      </c>
      <c r="B294" t="str">
        <f ca="1">TEXT(DATE(YEAR(Invoer!$A$6),1,1)+MOD(ROWS(B$2:B294)-1,DATE(YEAR(Invoer!$A$6),12,31)-DATE(YEAR(Invoer!$A$6),1,1)+1),"jjjjmmdd")</f>
        <v>19401019</v>
      </c>
      <c r="C294" s="5">
        <v>1</v>
      </c>
      <c r="D294" s="10" t="str">
        <f t="shared" ca="1" si="8"/>
        <v>—</v>
      </c>
      <c r="E294" s="11">
        <f t="shared" ca="1" si="9"/>
        <v>7</v>
      </c>
    </row>
    <row r="295" spans="1:5" x14ac:dyDescent="0.25">
      <c r="A295" s="4">
        <f ca="1">INDEX(Stations,INT((ROWS(A$2:A295)-1)/(DATE(YEAR(Invoer!$A$6),12,31)-DATE(YEAR(Invoer!$A$6),1,1)+1))+2,1)</f>
        <v>32</v>
      </c>
      <c r="B295" t="str">
        <f ca="1">TEXT(DATE(YEAR(Invoer!$A$6),1,1)+MOD(ROWS(B$2:B295)-1,DATE(YEAR(Invoer!$A$6),12,31)-DATE(YEAR(Invoer!$A$6),1,1)+1),"jjjjmmdd")</f>
        <v>19401020</v>
      </c>
      <c r="C295" s="5">
        <v>1</v>
      </c>
      <c r="D295" s="10" t="str">
        <f t="shared" ca="1" si="8"/>
        <v>—</v>
      </c>
      <c r="E295" s="11">
        <f t="shared" ca="1" si="9"/>
        <v>7</v>
      </c>
    </row>
    <row r="296" spans="1:5" x14ac:dyDescent="0.25">
      <c r="A296" s="4">
        <f ca="1">INDEX(Stations,INT((ROWS(A$2:A296)-1)/(DATE(YEAR(Invoer!$A$6),12,31)-DATE(YEAR(Invoer!$A$6),1,1)+1))+2,1)</f>
        <v>32</v>
      </c>
      <c r="B296" t="str">
        <f ca="1">TEXT(DATE(YEAR(Invoer!$A$6),1,1)+MOD(ROWS(B$2:B296)-1,DATE(YEAR(Invoer!$A$6),12,31)-DATE(YEAR(Invoer!$A$6),1,1)+1),"jjjjmmdd")</f>
        <v>19401021</v>
      </c>
      <c r="C296" s="5">
        <v>1</v>
      </c>
      <c r="D296" s="10" t="str">
        <f t="shared" ca="1" si="8"/>
        <v>—</v>
      </c>
      <c r="E296" s="11">
        <f t="shared" ca="1" si="9"/>
        <v>7</v>
      </c>
    </row>
    <row r="297" spans="1:5" x14ac:dyDescent="0.25">
      <c r="A297" s="4">
        <f ca="1">INDEX(Stations,INT((ROWS(A$2:A297)-1)/(DATE(YEAR(Invoer!$A$6),12,31)-DATE(YEAR(Invoer!$A$6),1,1)+1))+2,1)</f>
        <v>32</v>
      </c>
      <c r="B297" t="str">
        <f ca="1">TEXT(DATE(YEAR(Invoer!$A$6),1,1)+MOD(ROWS(B$2:B297)-1,DATE(YEAR(Invoer!$A$6),12,31)-DATE(YEAR(Invoer!$A$6),1,1)+1),"jjjjmmdd")</f>
        <v>19401022</v>
      </c>
      <c r="C297" s="5">
        <v>1</v>
      </c>
      <c r="D297" s="10" t="str">
        <f t="shared" ca="1" si="8"/>
        <v>—</v>
      </c>
      <c r="E297" s="11">
        <f t="shared" ca="1" si="9"/>
        <v>7</v>
      </c>
    </row>
    <row r="298" spans="1:5" x14ac:dyDescent="0.25">
      <c r="A298" s="4">
        <f ca="1">INDEX(Stations,INT((ROWS(A$2:A298)-1)/(DATE(YEAR(Invoer!$A$6),12,31)-DATE(YEAR(Invoer!$A$6),1,1)+1))+2,1)</f>
        <v>32</v>
      </c>
      <c r="B298" t="str">
        <f ca="1">TEXT(DATE(YEAR(Invoer!$A$6),1,1)+MOD(ROWS(B$2:B298)-1,DATE(YEAR(Invoer!$A$6),12,31)-DATE(YEAR(Invoer!$A$6),1,1)+1),"jjjjmmdd")</f>
        <v>19401023</v>
      </c>
      <c r="C298" s="5">
        <v>1</v>
      </c>
      <c r="D298" s="10" t="str">
        <f t="shared" ca="1" si="8"/>
        <v>—</v>
      </c>
      <c r="E298" s="11">
        <f t="shared" ca="1" si="9"/>
        <v>7</v>
      </c>
    </row>
    <row r="299" spans="1:5" x14ac:dyDescent="0.25">
      <c r="A299" s="4">
        <f ca="1">INDEX(Stations,INT((ROWS(A$2:A299)-1)/(DATE(YEAR(Invoer!$A$6),12,31)-DATE(YEAR(Invoer!$A$6),1,1)+1))+2,1)</f>
        <v>32</v>
      </c>
      <c r="B299" t="str">
        <f ca="1">TEXT(DATE(YEAR(Invoer!$A$6),1,1)+MOD(ROWS(B$2:B299)-1,DATE(YEAR(Invoer!$A$6),12,31)-DATE(YEAR(Invoer!$A$6),1,1)+1),"jjjjmmdd")</f>
        <v>19401024</v>
      </c>
      <c r="C299" s="5">
        <v>1</v>
      </c>
      <c r="D299" s="10" t="str">
        <f t="shared" ca="1" si="8"/>
        <v>—</v>
      </c>
      <c r="E299" s="11">
        <f t="shared" ca="1" si="9"/>
        <v>7</v>
      </c>
    </row>
    <row r="300" spans="1:5" x14ac:dyDescent="0.25">
      <c r="A300" s="4">
        <f ca="1">INDEX(Stations,INT((ROWS(A$2:A300)-1)/(DATE(YEAR(Invoer!$A$6),12,31)-DATE(YEAR(Invoer!$A$6),1,1)+1))+2,1)</f>
        <v>32</v>
      </c>
      <c r="B300" t="str">
        <f ca="1">TEXT(DATE(YEAR(Invoer!$A$6),1,1)+MOD(ROWS(B$2:B300)-1,DATE(YEAR(Invoer!$A$6),12,31)-DATE(YEAR(Invoer!$A$6),1,1)+1),"jjjjmmdd")</f>
        <v>19401025</v>
      </c>
      <c r="C300" s="5">
        <v>1</v>
      </c>
      <c r="D300" s="10" t="str">
        <f t="shared" ca="1" si="8"/>
        <v>—</v>
      </c>
      <c r="E300" s="11">
        <f t="shared" ca="1" si="9"/>
        <v>7</v>
      </c>
    </row>
    <row r="301" spans="1:5" x14ac:dyDescent="0.25">
      <c r="A301" s="4">
        <f ca="1">INDEX(Stations,INT((ROWS(A$2:A301)-1)/(DATE(YEAR(Invoer!$A$6),12,31)-DATE(YEAR(Invoer!$A$6),1,1)+1))+2,1)</f>
        <v>32</v>
      </c>
      <c r="B301" t="str">
        <f ca="1">TEXT(DATE(YEAR(Invoer!$A$6),1,1)+MOD(ROWS(B$2:B301)-1,DATE(YEAR(Invoer!$A$6),12,31)-DATE(YEAR(Invoer!$A$6),1,1)+1),"jjjjmmdd")</f>
        <v>19401026</v>
      </c>
      <c r="C301" s="5">
        <v>1</v>
      </c>
      <c r="D301" s="10" t="str">
        <f t="shared" ca="1" si="8"/>
        <v>—</v>
      </c>
      <c r="E301" s="11">
        <f t="shared" ca="1" si="9"/>
        <v>7</v>
      </c>
    </row>
    <row r="302" spans="1:5" x14ac:dyDescent="0.25">
      <c r="A302" s="4">
        <f ca="1">INDEX(Stations,INT((ROWS(A$2:A302)-1)/(DATE(YEAR(Invoer!$A$6),12,31)-DATE(YEAR(Invoer!$A$6),1,1)+1))+2,1)</f>
        <v>32</v>
      </c>
      <c r="B302" t="str">
        <f ca="1">TEXT(DATE(YEAR(Invoer!$A$6),1,1)+MOD(ROWS(B$2:B302)-1,DATE(YEAR(Invoer!$A$6),12,31)-DATE(YEAR(Invoer!$A$6),1,1)+1),"jjjjmmdd")</f>
        <v>19401027</v>
      </c>
      <c r="C302" s="5">
        <v>1</v>
      </c>
      <c r="D302" s="10" t="str">
        <f t="shared" ca="1" si="8"/>
        <v>—</v>
      </c>
      <c r="E302" s="11">
        <f t="shared" ca="1" si="9"/>
        <v>7</v>
      </c>
    </row>
    <row r="303" spans="1:5" x14ac:dyDescent="0.25">
      <c r="A303" s="4">
        <f ca="1">INDEX(Stations,INT((ROWS(A$2:A303)-1)/(DATE(YEAR(Invoer!$A$6),12,31)-DATE(YEAR(Invoer!$A$6),1,1)+1))+2,1)</f>
        <v>32</v>
      </c>
      <c r="B303" t="str">
        <f ca="1">TEXT(DATE(YEAR(Invoer!$A$6),1,1)+MOD(ROWS(B$2:B303)-1,DATE(YEAR(Invoer!$A$6),12,31)-DATE(YEAR(Invoer!$A$6),1,1)+1),"jjjjmmdd")</f>
        <v>19401028</v>
      </c>
      <c r="C303" s="5">
        <v>1</v>
      </c>
      <c r="D303" s="10" t="str">
        <f t="shared" ca="1" si="8"/>
        <v>—</v>
      </c>
      <c r="E303" s="11">
        <f t="shared" ca="1" si="9"/>
        <v>7</v>
      </c>
    </row>
    <row r="304" spans="1:5" x14ac:dyDescent="0.25">
      <c r="A304" s="4">
        <f ca="1">INDEX(Stations,INT((ROWS(A$2:A304)-1)/(DATE(YEAR(Invoer!$A$6),12,31)-DATE(YEAR(Invoer!$A$6),1,1)+1))+2,1)</f>
        <v>32</v>
      </c>
      <c r="B304" t="str">
        <f ca="1">TEXT(DATE(YEAR(Invoer!$A$6),1,1)+MOD(ROWS(B$2:B304)-1,DATE(YEAR(Invoer!$A$6),12,31)-DATE(YEAR(Invoer!$A$6),1,1)+1),"jjjjmmdd")</f>
        <v>19401029</v>
      </c>
      <c r="C304" s="5">
        <v>1</v>
      </c>
      <c r="D304" s="10" t="str">
        <f t="shared" ca="1" si="8"/>
        <v>—</v>
      </c>
      <c r="E304" s="11">
        <f t="shared" ca="1" si="9"/>
        <v>7</v>
      </c>
    </row>
    <row r="305" spans="1:5" x14ac:dyDescent="0.25">
      <c r="A305" s="4">
        <f ca="1">INDEX(Stations,INT((ROWS(A$2:A305)-1)/(DATE(YEAR(Invoer!$A$6),12,31)-DATE(YEAR(Invoer!$A$6),1,1)+1))+2,1)</f>
        <v>32</v>
      </c>
      <c r="B305" t="str">
        <f ca="1">TEXT(DATE(YEAR(Invoer!$A$6),1,1)+MOD(ROWS(B$2:B305)-1,DATE(YEAR(Invoer!$A$6),12,31)-DATE(YEAR(Invoer!$A$6),1,1)+1),"jjjjmmdd")</f>
        <v>19401030</v>
      </c>
      <c r="C305" s="5">
        <v>1</v>
      </c>
      <c r="D305" s="10" t="str">
        <f t="shared" ca="1" si="8"/>
        <v>—</v>
      </c>
      <c r="E305" s="11">
        <f t="shared" ca="1" si="9"/>
        <v>7</v>
      </c>
    </row>
    <row r="306" spans="1:5" x14ac:dyDescent="0.25">
      <c r="A306" s="4">
        <f ca="1">INDEX(Stations,INT((ROWS(A$2:A306)-1)/(DATE(YEAR(Invoer!$A$6),12,31)-DATE(YEAR(Invoer!$A$6),1,1)+1))+2,1)</f>
        <v>32</v>
      </c>
      <c r="B306" t="str">
        <f ca="1">TEXT(DATE(YEAR(Invoer!$A$6),1,1)+MOD(ROWS(B$2:B306)-1,DATE(YEAR(Invoer!$A$6),12,31)-DATE(YEAR(Invoer!$A$6),1,1)+1),"jjjjmmdd")</f>
        <v>19401031</v>
      </c>
      <c r="C306" s="5">
        <v>1</v>
      </c>
      <c r="D306" s="10" t="str">
        <f t="shared" ca="1" si="8"/>
        <v>—</v>
      </c>
      <c r="E306" s="11">
        <f t="shared" ca="1" si="9"/>
        <v>7</v>
      </c>
    </row>
    <row r="307" spans="1:5" x14ac:dyDescent="0.25">
      <c r="A307" s="4">
        <f ca="1">INDEX(Stations,INT((ROWS(A$2:A307)-1)/(DATE(YEAR(Invoer!$A$6),12,31)-DATE(YEAR(Invoer!$A$6),1,1)+1))+2,1)</f>
        <v>32</v>
      </c>
      <c r="B307" t="str">
        <f ca="1">TEXT(DATE(YEAR(Invoer!$A$6),1,1)+MOD(ROWS(B$2:B307)-1,DATE(YEAR(Invoer!$A$6),12,31)-DATE(YEAR(Invoer!$A$6),1,1)+1),"jjjjmmdd")</f>
        <v>19401101</v>
      </c>
      <c r="C307" s="5">
        <v>1</v>
      </c>
      <c r="D307" s="10" t="str">
        <f t="shared" ca="1" si="8"/>
        <v>—</v>
      </c>
      <c r="E307" s="11">
        <f t="shared" ca="1" si="9"/>
        <v>7</v>
      </c>
    </row>
    <row r="308" spans="1:5" x14ac:dyDescent="0.25">
      <c r="A308" s="4">
        <f ca="1">INDEX(Stations,INT((ROWS(A$2:A308)-1)/(DATE(YEAR(Invoer!$A$6),12,31)-DATE(YEAR(Invoer!$A$6),1,1)+1))+2,1)</f>
        <v>32</v>
      </c>
      <c r="B308" t="str">
        <f ca="1">TEXT(DATE(YEAR(Invoer!$A$6),1,1)+MOD(ROWS(B$2:B308)-1,DATE(YEAR(Invoer!$A$6),12,31)-DATE(YEAR(Invoer!$A$6),1,1)+1),"jjjjmmdd")</f>
        <v>19401102</v>
      </c>
      <c r="C308" s="5">
        <v>1</v>
      </c>
      <c r="D308" s="10" t="str">
        <f t="shared" ca="1" si="8"/>
        <v>—</v>
      </c>
      <c r="E308" s="11">
        <f t="shared" ca="1" si="9"/>
        <v>7</v>
      </c>
    </row>
    <row r="309" spans="1:5" x14ac:dyDescent="0.25">
      <c r="A309" s="4">
        <f ca="1">INDEX(Stations,INT((ROWS(A$2:A309)-1)/(DATE(YEAR(Invoer!$A$6),12,31)-DATE(YEAR(Invoer!$A$6),1,1)+1))+2,1)</f>
        <v>32</v>
      </c>
      <c r="B309" t="str">
        <f ca="1">TEXT(DATE(YEAR(Invoer!$A$6),1,1)+MOD(ROWS(B$2:B309)-1,DATE(YEAR(Invoer!$A$6),12,31)-DATE(YEAR(Invoer!$A$6),1,1)+1),"jjjjmmdd")</f>
        <v>19401103</v>
      </c>
      <c r="C309" s="5">
        <v>1</v>
      </c>
      <c r="D309" s="10" t="str">
        <f t="shared" ca="1" si="8"/>
        <v>—</v>
      </c>
      <c r="E309" s="11">
        <f t="shared" ca="1" si="9"/>
        <v>7</v>
      </c>
    </row>
    <row r="310" spans="1:5" x14ac:dyDescent="0.25">
      <c r="A310" s="4">
        <f ca="1">INDEX(Stations,INT((ROWS(A$2:A310)-1)/(DATE(YEAR(Invoer!$A$6),12,31)-DATE(YEAR(Invoer!$A$6),1,1)+1))+2,1)</f>
        <v>32</v>
      </c>
      <c r="B310" t="str">
        <f ca="1">TEXT(DATE(YEAR(Invoer!$A$6),1,1)+MOD(ROWS(B$2:B310)-1,DATE(YEAR(Invoer!$A$6),12,31)-DATE(YEAR(Invoer!$A$6),1,1)+1),"jjjjmmdd")</f>
        <v>19401104</v>
      </c>
      <c r="C310" s="5">
        <v>1</v>
      </c>
      <c r="D310" s="10" t="str">
        <f t="shared" ca="1" si="8"/>
        <v>—</v>
      </c>
      <c r="E310" s="11">
        <f t="shared" ca="1" si="9"/>
        <v>7</v>
      </c>
    </row>
    <row r="311" spans="1:5" x14ac:dyDescent="0.25">
      <c r="A311" s="4">
        <f ca="1">INDEX(Stations,INT((ROWS(A$2:A311)-1)/(DATE(YEAR(Invoer!$A$6),12,31)-DATE(YEAR(Invoer!$A$6),1,1)+1))+2,1)</f>
        <v>32</v>
      </c>
      <c r="B311" t="str">
        <f ca="1">TEXT(DATE(YEAR(Invoer!$A$6),1,1)+MOD(ROWS(B$2:B311)-1,DATE(YEAR(Invoer!$A$6),12,31)-DATE(YEAR(Invoer!$A$6),1,1)+1),"jjjjmmdd")</f>
        <v>19401105</v>
      </c>
      <c r="C311" s="5">
        <v>1</v>
      </c>
      <c r="D311" s="10" t="str">
        <f t="shared" ca="1" si="8"/>
        <v>—</v>
      </c>
      <c r="E311" s="11">
        <f t="shared" ca="1" si="9"/>
        <v>7</v>
      </c>
    </row>
    <row r="312" spans="1:5" x14ac:dyDescent="0.25">
      <c r="A312" s="4">
        <f ca="1">INDEX(Stations,INT((ROWS(A$2:A312)-1)/(DATE(YEAR(Invoer!$A$6),12,31)-DATE(YEAR(Invoer!$A$6),1,1)+1))+2,1)</f>
        <v>32</v>
      </c>
      <c r="B312" t="str">
        <f ca="1">TEXT(DATE(YEAR(Invoer!$A$6),1,1)+MOD(ROWS(B$2:B312)-1,DATE(YEAR(Invoer!$A$6),12,31)-DATE(YEAR(Invoer!$A$6),1,1)+1),"jjjjmmdd")</f>
        <v>19401106</v>
      </c>
      <c r="C312" s="5">
        <v>1</v>
      </c>
      <c r="D312" s="10" t="str">
        <f t="shared" ca="1" si="8"/>
        <v>—</v>
      </c>
      <c r="E312" s="11">
        <f t="shared" ca="1" si="9"/>
        <v>7</v>
      </c>
    </row>
    <row r="313" spans="1:5" x14ac:dyDescent="0.25">
      <c r="A313" s="4">
        <f ca="1">INDEX(Stations,INT((ROWS(A$2:A313)-1)/(DATE(YEAR(Invoer!$A$6),12,31)-DATE(YEAR(Invoer!$A$6),1,1)+1))+2,1)</f>
        <v>32</v>
      </c>
      <c r="B313" t="str">
        <f ca="1">TEXT(DATE(YEAR(Invoer!$A$6),1,1)+MOD(ROWS(B$2:B313)-1,DATE(YEAR(Invoer!$A$6),12,31)-DATE(YEAR(Invoer!$A$6),1,1)+1),"jjjjmmdd")</f>
        <v>19401107</v>
      </c>
      <c r="C313" s="5">
        <v>1</v>
      </c>
      <c r="D313" s="10" t="str">
        <f t="shared" ca="1" si="8"/>
        <v>—</v>
      </c>
      <c r="E313" s="11">
        <f t="shared" ca="1" si="9"/>
        <v>7</v>
      </c>
    </row>
    <row r="314" spans="1:5" x14ac:dyDescent="0.25">
      <c r="A314" s="4">
        <f ca="1">INDEX(Stations,INT((ROWS(A$2:A314)-1)/(DATE(YEAR(Invoer!$A$6),12,31)-DATE(YEAR(Invoer!$A$6),1,1)+1))+2,1)</f>
        <v>32</v>
      </c>
      <c r="B314" t="str">
        <f ca="1">TEXT(DATE(YEAR(Invoer!$A$6),1,1)+MOD(ROWS(B$2:B314)-1,DATE(YEAR(Invoer!$A$6),12,31)-DATE(YEAR(Invoer!$A$6),1,1)+1),"jjjjmmdd")</f>
        <v>19401108</v>
      </c>
      <c r="C314" s="5">
        <v>1</v>
      </c>
      <c r="D314" s="10" t="str">
        <f t="shared" ca="1" si="8"/>
        <v>—</v>
      </c>
      <c r="E314" s="11">
        <f t="shared" ca="1" si="9"/>
        <v>7</v>
      </c>
    </row>
    <row r="315" spans="1:5" x14ac:dyDescent="0.25">
      <c r="A315" s="4">
        <f ca="1">INDEX(Stations,INT((ROWS(A$2:A315)-1)/(DATE(YEAR(Invoer!$A$6),12,31)-DATE(YEAR(Invoer!$A$6),1,1)+1))+2,1)</f>
        <v>32</v>
      </c>
      <c r="B315" t="str">
        <f ca="1">TEXT(DATE(YEAR(Invoer!$A$6),1,1)+MOD(ROWS(B$2:B315)-1,DATE(YEAR(Invoer!$A$6),12,31)-DATE(YEAR(Invoer!$A$6),1,1)+1),"jjjjmmdd")</f>
        <v>19401109</v>
      </c>
      <c r="C315" s="5">
        <v>1</v>
      </c>
      <c r="D315" s="10" t="str">
        <f t="shared" ca="1" si="8"/>
        <v>—</v>
      </c>
      <c r="E315" s="11">
        <f t="shared" ca="1" si="9"/>
        <v>7</v>
      </c>
    </row>
    <row r="316" spans="1:5" x14ac:dyDescent="0.25">
      <c r="A316" s="4">
        <f ca="1">INDEX(Stations,INT((ROWS(A$2:A316)-1)/(DATE(YEAR(Invoer!$A$6),12,31)-DATE(YEAR(Invoer!$A$6),1,1)+1))+2,1)</f>
        <v>32</v>
      </c>
      <c r="B316" t="str">
        <f ca="1">TEXT(DATE(YEAR(Invoer!$A$6),1,1)+MOD(ROWS(B$2:B316)-1,DATE(YEAR(Invoer!$A$6),12,31)-DATE(YEAR(Invoer!$A$6),1,1)+1),"jjjjmmdd")</f>
        <v>19401110</v>
      </c>
      <c r="C316" s="5">
        <v>1</v>
      </c>
      <c r="D316" s="10" t="str">
        <f t="shared" ca="1" si="8"/>
        <v>—</v>
      </c>
      <c r="E316" s="11">
        <f t="shared" ca="1" si="9"/>
        <v>7</v>
      </c>
    </row>
    <row r="317" spans="1:5" x14ac:dyDescent="0.25">
      <c r="A317" s="4">
        <f ca="1">INDEX(Stations,INT((ROWS(A$2:A317)-1)/(DATE(YEAR(Invoer!$A$6),12,31)-DATE(YEAR(Invoer!$A$6),1,1)+1))+2,1)</f>
        <v>32</v>
      </c>
      <c r="B317" t="str">
        <f ca="1">TEXT(DATE(YEAR(Invoer!$A$6),1,1)+MOD(ROWS(B$2:B317)-1,DATE(YEAR(Invoer!$A$6),12,31)-DATE(YEAR(Invoer!$A$6),1,1)+1),"jjjjmmdd")</f>
        <v>19401111</v>
      </c>
      <c r="C317" s="5">
        <v>1</v>
      </c>
      <c r="D317" s="10" t="str">
        <f t="shared" ca="1" si="8"/>
        <v>—</v>
      </c>
      <c r="E317" s="11">
        <f t="shared" ca="1" si="9"/>
        <v>7</v>
      </c>
    </row>
    <row r="318" spans="1:5" x14ac:dyDescent="0.25">
      <c r="A318" s="4">
        <f ca="1">INDEX(Stations,INT((ROWS(A$2:A318)-1)/(DATE(YEAR(Invoer!$A$6),12,31)-DATE(YEAR(Invoer!$A$6),1,1)+1))+2,1)</f>
        <v>32</v>
      </c>
      <c r="B318" t="str">
        <f ca="1">TEXT(DATE(YEAR(Invoer!$A$6),1,1)+MOD(ROWS(B$2:B318)-1,DATE(YEAR(Invoer!$A$6),12,31)-DATE(YEAR(Invoer!$A$6),1,1)+1),"jjjjmmdd")</f>
        <v>19401112</v>
      </c>
      <c r="C318" s="5">
        <v>1</v>
      </c>
      <c r="D318" s="10" t="str">
        <f t="shared" ca="1" si="8"/>
        <v>—</v>
      </c>
      <c r="E318" s="11">
        <f t="shared" ca="1" si="9"/>
        <v>7</v>
      </c>
    </row>
    <row r="319" spans="1:5" x14ac:dyDescent="0.25">
      <c r="A319" s="4">
        <f ca="1">INDEX(Stations,INT((ROWS(A$2:A319)-1)/(DATE(YEAR(Invoer!$A$6),12,31)-DATE(YEAR(Invoer!$A$6),1,1)+1))+2,1)</f>
        <v>32</v>
      </c>
      <c r="B319" t="str">
        <f ca="1">TEXT(DATE(YEAR(Invoer!$A$6),1,1)+MOD(ROWS(B$2:B319)-1,DATE(YEAR(Invoer!$A$6),12,31)-DATE(YEAR(Invoer!$A$6),1,1)+1),"jjjjmmdd")</f>
        <v>19401113</v>
      </c>
      <c r="C319" s="5">
        <v>1</v>
      </c>
      <c r="D319" s="10" t="str">
        <f t="shared" ca="1" si="8"/>
        <v>—</v>
      </c>
      <c r="E319" s="11">
        <f t="shared" ca="1" si="9"/>
        <v>7</v>
      </c>
    </row>
    <row r="320" spans="1:5" x14ac:dyDescent="0.25">
      <c r="A320" s="4">
        <f ca="1">INDEX(Stations,INT((ROWS(A$2:A320)-1)/(DATE(YEAR(Invoer!$A$6),12,31)-DATE(YEAR(Invoer!$A$6),1,1)+1))+2,1)</f>
        <v>32</v>
      </c>
      <c r="B320" t="str">
        <f ca="1">TEXT(DATE(YEAR(Invoer!$A$6),1,1)+MOD(ROWS(B$2:B320)-1,DATE(YEAR(Invoer!$A$6),12,31)-DATE(YEAR(Invoer!$A$6),1,1)+1),"jjjjmmdd")</f>
        <v>19401114</v>
      </c>
      <c r="C320" s="5">
        <v>1</v>
      </c>
      <c r="D320" s="10" t="str">
        <f t="shared" ca="1" si="8"/>
        <v>—</v>
      </c>
      <c r="E320" s="11">
        <f t="shared" ca="1" si="9"/>
        <v>7</v>
      </c>
    </row>
    <row r="321" spans="1:5" x14ac:dyDescent="0.25">
      <c r="A321" s="4">
        <f ca="1">INDEX(Stations,INT((ROWS(A$2:A321)-1)/(DATE(YEAR(Invoer!$A$6),12,31)-DATE(YEAR(Invoer!$A$6),1,1)+1))+2,1)</f>
        <v>32</v>
      </c>
      <c r="B321" t="str">
        <f ca="1">TEXT(DATE(YEAR(Invoer!$A$6),1,1)+MOD(ROWS(B$2:B321)-1,DATE(YEAR(Invoer!$A$6),12,31)-DATE(YEAR(Invoer!$A$6),1,1)+1),"jjjjmmdd")</f>
        <v>19401115</v>
      </c>
      <c r="C321" s="5">
        <v>1</v>
      </c>
      <c r="D321" s="10" t="str">
        <f t="shared" ca="1" si="8"/>
        <v>—</v>
      </c>
      <c r="E321" s="11">
        <f t="shared" ca="1" si="9"/>
        <v>7</v>
      </c>
    </row>
    <row r="322" spans="1:5" x14ac:dyDescent="0.25">
      <c r="A322" s="4">
        <f ca="1">INDEX(Stations,INT((ROWS(A$2:A322)-1)/(DATE(YEAR(Invoer!$A$6),12,31)-DATE(YEAR(Invoer!$A$6),1,1)+1))+2,1)</f>
        <v>32</v>
      </c>
      <c r="B322" t="str">
        <f ca="1">TEXT(DATE(YEAR(Invoer!$A$6),1,1)+MOD(ROWS(B$2:B322)-1,DATE(YEAR(Invoer!$A$6),12,31)-DATE(YEAR(Invoer!$A$6),1,1)+1),"jjjjmmdd")</f>
        <v>19401116</v>
      </c>
      <c r="C322" s="5">
        <v>1</v>
      </c>
      <c r="D322" s="10" t="str">
        <f t="shared" ref="D322:D366" ca="1" si="10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"—",VLOOKUP(DATEVALUE(LEFT(B322,4)&amp;"-"&amp;MID(B322,5,2)&amp;"-"&amp;RIGHT(B322,2)),Data,MATCH(VLOOKUP(A322,Stations,2,FALSE()),OFFSET(Data,2,0,1),0),FALSE()))</f>
        <v>—</v>
      </c>
      <c r="E322" s="11">
        <f t="shared" ref="E322:E366" ca="1" si="11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2,0,1),0),FALSE())))</f>
        <v>7</v>
      </c>
    </row>
    <row r="323" spans="1:5" x14ac:dyDescent="0.25">
      <c r="A323" s="4">
        <f ca="1">INDEX(Stations,INT((ROWS(A$2:A323)-1)/(DATE(YEAR(Invoer!$A$6),12,31)-DATE(YEAR(Invoer!$A$6),1,1)+1))+2,1)</f>
        <v>32</v>
      </c>
      <c r="B323" t="str">
        <f ca="1">TEXT(DATE(YEAR(Invoer!$A$6),1,1)+MOD(ROWS(B$2:B323)-1,DATE(YEAR(Invoer!$A$6),12,31)-DATE(YEAR(Invoer!$A$6),1,1)+1),"jjjjmmdd")</f>
        <v>19401117</v>
      </c>
      <c r="C323" s="5">
        <v>1</v>
      </c>
      <c r="D323" s="10" t="str">
        <f t="shared" ca="1" si="10"/>
        <v>—</v>
      </c>
      <c r="E323" s="11">
        <f t="shared" ca="1" si="11"/>
        <v>7</v>
      </c>
    </row>
    <row r="324" spans="1:5" x14ac:dyDescent="0.25">
      <c r="A324" s="4">
        <f ca="1">INDEX(Stations,INT((ROWS(A$2:A324)-1)/(DATE(YEAR(Invoer!$A$6),12,31)-DATE(YEAR(Invoer!$A$6),1,1)+1))+2,1)</f>
        <v>32</v>
      </c>
      <c r="B324" t="str">
        <f ca="1">TEXT(DATE(YEAR(Invoer!$A$6),1,1)+MOD(ROWS(B$2:B324)-1,DATE(YEAR(Invoer!$A$6),12,31)-DATE(YEAR(Invoer!$A$6),1,1)+1),"jjjjmmdd")</f>
        <v>19401118</v>
      </c>
      <c r="C324" s="5">
        <v>1</v>
      </c>
      <c r="D324" s="10" t="str">
        <f t="shared" ca="1" si="10"/>
        <v>—</v>
      </c>
      <c r="E324" s="11">
        <f t="shared" ca="1" si="11"/>
        <v>7</v>
      </c>
    </row>
    <row r="325" spans="1:5" x14ac:dyDescent="0.25">
      <c r="A325" s="4">
        <f ca="1">INDEX(Stations,INT((ROWS(A$2:A325)-1)/(DATE(YEAR(Invoer!$A$6),12,31)-DATE(YEAR(Invoer!$A$6),1,1)+1))+2,1)</f>
        <v>32</v>
      </c>
      <c r="B325" t="str">
        <f ca="1">TEXT(DATE(YEAR(Invoer!$A$6),1,1)+MOD(ROWS(B$2:B325)-1,DATE(YEAR(Invoer!$A$6),12,31)-DATE(YEAR(Invoer!$A$6),1,1)+1),"jjjjmmdd")</f>
        <v>19401119</v>
      </c>
      <c r="C325" s="5">
        <v>1</v>
      </c>
      <c r="D325" s="10" t="str">
        <f t="shared" ca="1" si="10"/>
        <v>—</v>
      </c>
      <c r="E325" s="11">
        <f t="shared" ca="1" si="11"/>
        <v>7</v>
      </c>
    </row>
    <row r="326" spans="1:5" x14ac:dyDescent="0.25">
      <c r="A326" s="4">
        <f ca="1">INDEX(Stations,INT((ROWS(A$2:A326)-1)/(DATE(YEAR(Invoer!$A$6),12,31)-DATE(YEAR(Invoer!$A$6),1,1)+1))+2,1)</f>
        <v>32</v>
      </c>
      <c r="B326" t="str">
        <f ca="1">TEXT(DATE(YEAR(Invoer!$A$6),1,1)+MOD(ROWS(B$2:B326)-1,DATE(YEAR(Invoer!$A$6),12,31)-DATE(YEAR(Invoer!$A$6),1,1)+1),"jjjjmmdd")</f>
        <v>19401120</v>
      </c>
      <c r="C326" s="5">
        <v>1</v>
      </c>
      <c r="D326" s="10" t="str">
        <f t="shared" ca="1" si="10"/>
        <v>—</v>
      </c>
      <c r="E326" s="11">
        <f t="shared" ca="1" si="11"/>
        <v>7</v>
      </c>
    </row>
    <row r="327" spans="1:5" x14ac:dyDescent="0.25">
      <c r="A327" s="4">
        <f ca="1">INDEX(Stations,INT((ROWS(A$2:A327)-1)/(DATE(YEAR(Invoer!$A$6),12,31)-DATE(YEAR(Invoer!$A$6),1,1)+1))+2,1)</f>
        <v>32</v>
      </c>
      <c r="B327" t="str">
        <f ca="1">TEXT(DATE(YEAR(Invoer!$A$6),1,1)+MOD(ROWS(B$2:B327)-1,DATE(YEAR(Invoer!$A$6),12,31)-DATE(YEAR(Invoer!$A$6),1,1)+1),"jjjjmmdd")</f>
        <v>19401121</v>
      </c>
      <c r="C327" s="5">
        <v>1</v>
      </c>
      <c r="D327" s="10" t="str">
        <f t="shared" ca="1" si="10"/>
        <v>—</v>
      </c>
      <c r="E327" s="11">
        <f t="shared" ca="1" si="11"/>
        <v>7</v>
      </c>
    </row>
    <row r="328" spans="1:5" x14ac:dyDescent="0.25">
      <c r="A328" s="4">
        <f ca="1">INDEX(Stations,INT((ROWS(A$2:A328)-1)/(DATE(YEAR(Invoer!$A$6),12,31)-DATE(YEAR(Invoer!$A$6),1,1)+1))+2,1)</f>
        <v>32</v>
      </c>
      <c r="B328" t="str">
        <f ca="1">TEXT(DATE(YEAR(Invoer!$A$6),1,1)+MOD(ROWS(B$2:B328)-1,DATE(YEAR(Invoer!$A$6),12,31)-DATE(YEAR(Invoer!$A$6),1,1)+1),"jjjjmmdd")</f>
        <v>19401122</v>
      </c>
      <c r="C328" s="5">
        <v>1</v>
      </c>
      <c r="D328" s="10" t="str">
        <f t="shared" ca="1" si="10"/>
        <v>—</v>
      </c>
      <c r="E328" s="11">
        <f t="shared" ca="1" si="11"/>
        <v>7</v>
      </c>
    </row>
    <row r="329" spans="1:5" x14ac:dyDescent="0.25">
      <c r="A329" s="4">
        <f ca="1">INDEX(Stations,INT((ROWS(A$2:A329)-1)/(DATE(YEAR(Invoer!$A$6),12,31)-DATE(YEAR(Invoer!$A$6),1,1)+1))+2,1)</f>
        <v>32</v>
      </c>
      <c r="B329" t="str">
        <f ca="1">TEXT(DATE(YEAR(Invoer!$A$6),1,1)+MOD(ROWS(B$2:B329)-1,DATE(YEAR(Invoer!$A$6),12,31)-DATE(YEAR(Invoer!$A$6),1,1)+1),"jjjjmmdd")</f>
        <v>19401123</v>
      </c>
      <c r="C329" s="5">
        <v>1</v>
      </c>
      <c r="D329" s="10" t="str">
        <f t="shared" ca="1" si="10"/>
        <v>—</v>
      </c>
      <c r="E329" s="11">
        <f t="shared" ca="1" si="11"/>
        <v>7</v>
      </c>
    </row>
    <row r="330" spans="1:5" x14ac:dyDescent="0.25">
      <c r="A330" s="4">
        <f ca="1">INDEX(Stations,INT((ROWS(A$2:A330)-1)/(DATE(YEAR(Invoer!$A$6),12,31)-DATE(YEAR(Invoer!$A$6),1,1)+1))+2,1)</f>
        <v>32</v>
      </c>
      <c r="B330" t="str">
        <f ca="1">TEXT(DATE(YEAR(Invoer!$A$6),1,1)+MOD(ROWS(B$2:B330)-1,DATE(YEAR(Invoer!$A$6),12,31)-DATE(YEAR(Invoer!$A$6),1,1)+1),"jjjjmmdd")</f>
        <v>19401124</v>
      </c>
      <c r="C330" s="5">
        <v>1</v>
      </c>
      <c r="D330" s="10" t="str">
        <f t="shared" ca="1" si="10"/>
        <v>—</v>
      </c>
      <c r="E330" s="11">
        <f t="shared" ca="1" si="11"/>
        <v>7</v>
      </c>
    </row>
    <row r="331" spans="1:5" x14ac:dyDescent="0.25">
      <c r="A331" s="4">
        <f ca="1">INDEX(Stations,INT((ROWS(A$2:A331)-1)/(DATE(YEAR(Invoer!$A$6),12,31)-DATE(YEAR(Invoer!$A$6),1,1)+1))+2,1)</f>
        <v>32</v>
      </c>
      <c r="B331" t="str">
        <f ca="1">TEXT(DATE(YEAR(Invoer!$A$6),1,1)+MOD(ROWS(B$2:B331)-1,DATE(YEAR(Invoer!$A$6),12,31)-DATE(YEAR(Invoer!$A$6),1,1)+1),"jjjjmmdd")</f>
        <v>19401125</v>
      </c>
      <c r="C331" s="5">
        <v>1</v>
      </c>
      <c r="D331" s="10" t="str">
        <f t="shared" ca="1" si="10"/>
        <v>—</v>
      </c>
      <c r="E331" s="11">
        <f t="shared" ca="1" si="11"/>
        <v>7</v>
      </c>
    </row>
    <row r="332" spans="1:5" x14ac:dyDescent="0.25">
      <c r="A332" s="4">
        <f ca="1">INDEX(Stations,INT((ROWS(A$2:A332)-1)/(DATE(YEAR(Invoer!$A$6),12,31)-DATE(YEAR(Invoer!$A$6),1,1)+1))+2,1)</f>
        <v>32</v>
      </c>
      <c r="B332" t="str">
        <f ca="1">TEXT(DATE(YEAR(Invoer!$A$6),1,1)+MOD(ROWS(B$2:B332)-1,DATE(YEAR(Invoer!$A$6),12,31)-DATE(YEAR(Invoer!$A$6),1,1)+1),"jjjjmmdd")</f>
        <v>19401126</v>
      </c>
      <c r="C332" s="5">
        <v>1</v>
      </c>
      <c r="D332" s="10" t="str">
        <f t="shared" ca="1" si="10"/>
        <v>—</v>
      </c>
      <c r="E332" s="11">
        <f t="shared" ca="1" si="11"/>
        <v>7</v>
      </c>
    </row>
    <row r="333" spans="1:5" x14ac:dyDescent="0.25">
      <c r="A333" s="4">
        <f ca="1">INDEX(Stations,INT((ROWS(A$2:A333)-1)/(DATE(YEAR(Invoer!$A$6),12,31)-DATE(YEAR(Invoer!$A$6),1,1)+1))+2,1)</f>
        <v>32</v>
      </c>
      <c r="B333" t="str">
        <f ca="1">TEXT(DATE(YEAR(Invoer!$A$6),1,1)+MOD(ROWS(B$2:B333)-1,DATE(YEAR(Invoer!$A$6),12,31)-DATE(YEAR(Invoer!$A$6),1,1)+1),"jjjjmmdd")</f>
        <v>19401127</v>
      </c>
      <c r="C333" s="5">
        <v>1</v>
      </c>
      <c r="D333" s="10" t="str">
        <f t="shared" ca="1" si="10"/>
        <v>—</v>
      </c>
      <c r="E333" s="11">
        <f t="shared" ca="1" si="11"/>
        <v>7</v>
      </c>
    </row>
    <row r="334" spans="1:5" x14ac:dyDescent="0.25">
      <c r="A334" s="4">
        <f ca="1">INDEX(Stations,INT((ROWS(A$2:A334)-1)/(DATE(YEAR(Invoer!$A$6),12,31)-DATE(YEAR(Invoer!$A$6),1,1)+1))+2,1)</f>
        <v>32</v>
      </c>
      <c r="B334" t="str">
        <f ca="1">TEXT(DATE(YEAR(Invoer!$A$6),1,1)+MOD(ROWS(B$2:B334)-1,DATE(YEAR(Invoer!$A$6),12,31)-DATE(YEAR(Invoer!$A$6),1,1)+1),"jjjjmmdd")</f>
        <v>19401128</v>
      </c>
      <c r="C334" s="5">
        <v>1</v>
      </c>
      <c r="D334" s="10" t="str">
        <f t="shared" ca="1" si="10"/>
        <v>—</v>
      </c>
      <c r="E334" s="11">
        <f t="shared" ca="1" si="11"/>
        <v>7</v>
      </c>
    </row>
    <row r="335" spans="1:5" x14ac:dyDescent="0.25">
      <c r="A335" s="4">
        <f ca="1">INDEX(Stations,INT((ROWS(A$2:A335)-1)/(DATE(YEAR(Invoer!$A$6),12,31)-DATE(YEAR(Invoer!$A$6),1,1)+1))+2,1)</f>
        <v>32</v>
      </c>
      <c r="B335" t="str">
        <f ca="1">TEXT(DATE(YEAR(Invoer!$A$6),1,1)+MOD(ROWS(B$2:B335)-1,DATE(YEAR(Invoer!$A$6),12,31)-DATE(YEAR(Invoer!$A$6),1,1)+1),"jjjjmmdd")</f>
        <v>19401129</v>
      </c>
      <c r="C335" s="5">
        <v>1</v>
      </c>
      <c r="D335" s="10" t="str">
        <f t="shared" ca="1" si="10"/>
        <v>—</v>
      </c>
      <c r="E335" s="11">
        <f t="shared" ca="1" si="11"/>
        <v>7</v>
      </c>
    </row>
    <row r="336" spans="1:5" x14ac:dyDescent="0.25">
      <c r="A336" s="4">
        <f ca="1">INDEX(Stations,INT((ROWS(A$2:A336)-1)/(DATE(YEAR(Invoer!$A$6),12,31)-DATE(YEAR(Invoer!$A$6),1,1)+1))+2,1)</f>
        <v>32</v>
      </c>
      <c r="B336" t="str">
        <f ca="1">TEXT(DATE(YEAR(Invoer!$A$6),1,1)+MOD(ROWS(B$2:B336)-1,DATE(YEAR(Invoer!$A$6),12,31)-DATE(YEAR(Invoer!$A$6),1,1)+1),"jjjjmmdd")</f>
        <v>19401130</v>
      </c>
      <c r="C336" s="5">
        <v>1</v>
      </c>
      <c r="D336" s="10" t="str">
        <f t="shared" ca="1" si="10"/>
        <v>—</v>
      </c>
      <c r="E336" s="11">
        <f t="shared" ca="1" si="11"/>
        <v>7</v>
      </c>
    </row>
    <row r="337" spans="1:5" x14ac:dyDescent="0.25">
      <c r="A337" s="4">
        <f ca="1">INDEX(Stations,INT((ROWS(A$2:A337)-1)/(DATE(YEAR(Invoer!$A$6),12,31)-DATE(YEAR(Invoer!$A$6),1,1)+1))+2,1)</f>
        <v>32</v>
      </c>
      <c r="B337" t="str">
        <f ca="1">TEXT(DATE(YEAR(Invoer!$A$6),1,1)+MOD(ROWS(B$2:B337)-1,DATE(YEAR(Invoer!$A$6),12,31)-DATE(YEAR(Invoer!$A$6),1,1)+1),"jjjjmmdd")</f>
        <v>19401201</v>
      </c>
      <c r="C337" s="5">
        <v>1</v>
      </c>
      <c r="D337" s="10" t="str">
        <f t="shared" ca="1" si="10"/>
        <v>—</v>
      </c>
      <c r="E337" s="11">
        <f t="shared" ca="1" si="11"/>
        <v>7</v>
      </c>
    </row>
    <row r="338" spans="1:5" x14ac:dyDescent="0.25">
      <c r="A338" s="4">
        <f ca="1">INDEX(Stations,INT((ROWS(A$2:A338)-1)/(DATE(YEAR(Invoer!$A$6),12,31)-DATE(YEAR(Invoer!$A$6),1,1)+1))+2,1)</f>
        <v>32</v>
      </c>
      <c r="B338" t="str">
        <f ca="1">TEXT(DATE(YEAR(Invoer!$A$6),1,1)+MOD(ROWS(B$2:B338)-1,DATE(YEAR(Invoer!$A$6),12,31)-DATE(YEAR(Invoer!$A$6),1,1)+1),"jjjjmmdd")</f>
        <v>19401202</v>
      </c>
      <c r="C338" s="5">
        <v>1</v>
      </c>
      <c r="D338" s="10" t="str">
        <f t="shared" ca="1" si="10"/>
        <v>—</v>
      </c>
      <c r="E338" s="11">
        <f t="shared" ca="1" si="11"/>
        <v>7</v>
      </c>
    </row>
    <row r="339" spans="1:5" x14ac:dyDescent="0.25">
      <c r="A339" s="4">
        <f ca="1">INDEX(Stations,INT((ROWS(A$2:A339)-1)/(DATE(YEAR(Invoer!$A$6),12,31)-DATE(YEAR(Invoer!$A$6),1,1)+1))+2,1)</f>
        <v>32</v>
      </c>
      <c r="B339" t="str">
        <f ca="1">TEXT(DATE(YEAR(Invoer!$A$6),1,1)+MOD(ROWS(B$2:B339)-1,DATE(YEAR(Invoer!$A$6),12,31)-DATE(YEAR(Invoer!$A$6),1,1)+1),"jjjjmmdd")</f>
        <v>19401203</v>
      </c>
      <c r="C339" s="5">
        <v>1</v>
      </c>
      <c r="D339" s="10" t="str">
        <f t="shared" ca="1" si="10"/>
        <v>—</v>
      </c>
      <c r="E339" s="11">
        <f t="shared" ca="1" si="11"/>
        <v>7</v>
      </c>
    </row>
    <row r="340" spans="1:5" x14ac:dyDescent="0.25">
      <c r="A340" s="4">
        <f ca="1">INDEX(Stations,INT((ROWS(A$2:A340)-1)/(DATE(YEAR(Invoer!$A$6),12,31)-DATE(YEAR(Invoer!$A$6),1,1)+1))+2,1)</f>
        <v>32</v>
      </c>
      <c r="B340" t="str">
        <f ca="1">TEXT(DATE(YEAR(Invoer!$A$6),1,1)+MOD(ROWS(B$2:B340)-1,DATE(YEAR(Invoer!$A$6),12,31)-DATE(YEAR(Invoer!$A$6),1,1)+1),"jjjjmmdd")</f>
        <v>19401204</v>
      </c>
      <c r="C340" s="5">
        <v>1</v>
      </c>
      <c r="D340" s="10" t="str">
        <f t="shared" ca="1" si="10"/>
        <v>—</v>
      </c>
      <c r="E340" s="11">
        <f t="shared" ca="1" si="11"/>
        <v>7</v>
      </c>
    </row>
    <row r="341" spans="1:5" x14ac:dyDescent="0.25">
      <c r="A341" s="4">
        <f ca="1">INDEX(Stations,INT((ROWS(A$2:A341)-1)/(DATE(YEAR(Invoer!$A$6),12,31)-DATE(YEAR(Invoer!$A$6),1,1)+1))+2,1)</f>
        <v>32</v>
      </c>
      <c r="B341" t="str">
        <f ca="1">TEXT(DATE(YEAR(Invoer!$A$6),1,1)+MOD(ROWS(B$2:B341)-1,DATE(YEAR(Invoer!$A$6),12,31)-DATE(YEAR(Invoer!$A$6),1,1)+1),"jjjjmmdd")</f>
        <v>19401205</v>
      </c>
      <c r="C341" s="5">
        <v>1</v>
      </c>
      <c r="D341" s="10" t="str">
        <f t="shared" ca="1" si="10"/>
        <v>—</v>
      </c>
      <c r="E341" s="11">
        <f t="shared" ca="1" si="11"/>
        <v>7</v>
      </c>
    </row>
    <row r="342" spans="1:5" x14ac:dyDescent="0.25">
      <c r="A342" s="4">
        <f ca="1">INDEX(Stations,INT((ROWS(A$2:A342)-1)/(DATE(YEAR(Invoer!$A$6),12,31)-DATE(YEAR(Invoer!$A$6),1,1)+1))+2,1)</f>
        <v>32</v>
      </c>
      <c r="B342" t="str">
        <f ca="1">TEXT(DATE(YEAR(Invoer!$A$6),1,1)+MOD(ROWS(B$2:B342)-1,DATE(YEAR(Invoer!$A$6),12,31)-DATE(YEAR(Invoer!$A$6),1,1)+1),"jjjjmmdd")</f>
        <v>19401206</v>
      </c>
      <c r="C342" s="5">
        <v>1</v>
      </c>
      <c r="D342" s="10" t="str">
        <f t="shared" ca="1" si="10"/>
        <v>—</v>
      </c>
      <c r="E342" s="11">
        <f t="shared" ca="1" si="11"/>
        <v>7</v>
      </c>
    </row>
    <row r="343" spans="1:5" x14ac:dyDescent="0.25">
      <c r="A343" s="4">
        <f ca="1">INDEX(Stations,INT((ROWS(A$2:A343)-1)/(DATE(YEAR(Invoer!$A$6),12,31)-DATE(YEAR(Invoer!$A$6),1,1)+1))+2,1)</f>
        <v>32</v>
      </c>
      <c r="B343" t="str">
        <f ca="1">TEXT(DATE(YEAR(Invoer!$A$6),1,1)+MOD(ROWS(B$2:B343)-1,DATE(YEAR(Invoer!$A$6),12,31)-DATE(YEAR(Invoer!$A$6),1,1)+1),"jjjjmmdd")</f>
        <v>19401207</v>
      </c>
      <c r="C343" s="5">
        <v>1</v>
      </c>
      <c r="D343" s="10" t="str">
        <f t="shared" ca="1" si="10"/>
        <v>—</v>
      </c>
      <c r="E343" s="11">
        <f t="shared" ca="1" si="11"/>
        <v>7</v>
      </c>
    </row>
    <row r="344" spans="1:5" x14ac:dyDescent="0.25">
      <c r="A344" s="4">
        <f ca="1">INDEX(Stations,INT((ROWS(A$2:A344)-1)/(DATE(YEAR(Invoer!$A$6),12,31)-DATE(YEAR(Invoer!$A$6),1,1)+1))+2,1)</f>
        <v>32</v>
      </c>
      <c r="B344" t="str">
        <f ca="1">TEXT(DATE(YEAR(Invoer!$A$6),1,1)+MOD(ROWS(B$2:B344)-1,DATE(YEAR(Invoer!$A$6),12,31)-DATE(YEAR(Invoer!$A$6),1,1)+1),"jjjjmmdd")</f>
        <v>19401208</v>
      </c>
      <c r="C344" s="5">
        <v>1</v>
      </c>
      <c r="D344" s="10" t="str">
        <f t="shared" ca="1" si="10"/>
        <v>—</v>
      </c>
      <c r="E344" s="11">
        <f t="shared" ca="1" si="11"/>
        <v>7</v>
      </c>
    </row>
    <row r="345" spans="1:5" x14ac:dyDescent="0.25">
      <c r="A345" s="4">
        <f ca="1">INDEX(Stations,INT((ROWS(A$2:A345)-1)/(DATE(YEAR(Invoer!$A$6),12,31)-DATE(YEAR(Invoer!$A$6),1,1)+1))+2,1)</f>
        <v>32</v>
      </c>
      <c r="B345" t="str">
        <f ca="1">TEXT(DATE(YEAR(Invoer!$A$6),1,1)+MOD(ROWS(B$2:B345)-1,DATE(YEAR(Invoer!$A$6),12,31)-DATE(YEAR(Invoer!$A$6),1,1)+1),"jjjjmmdd")</f>
        <v>19401209</v>
      </c>
      <c r="C345" s="5">
        <v>1</v>
      </c>
      <c r="D345" s="10" t="str">
        <f t="shared" ca="1" si="10"/>
        <v>—</v>
      </c>
      <c r="E345" s="11">
        <f t="shared" ca="1" si="11"/>
        <v>7</v>
      </c>
    </row>
    <row r="346" spans="1:5" x14ac:dyDescent="0.25">
      <c r="A346" s="4">
        <f ca="1">INDEX(Stations,INT((ROWS(A$2:A346)-1)/(DATE(YEAR(Invoer!$A$6),12,31)-DATE(YEAR(Invoer!$A$6),1,1)+1))+2,1)</f>
        <v>32</v>
      </c>
      <c r="B346" t="str">
        <f ca="1">TEXT(DATE(YEAR(Invoer!$A$6),1,1)+MOD(ROWS(B$2:B346)-1,DATE(YEAR(Invoer!$A$6),12,31)-DATE(YEAR(Invoer!$A$6),1,1)+1),"jjjjmmdd")</f>
        <v>19401210</v>
      </c>
      <c r="C346" s="5">
        <v>1</v>
      </c>
      <c r="D346" s="10" t="str">
        <f t="shared" ca="1" si="10"/>
        <v>—</v>
      </c>
      <c r="E346" s="11">
        <f t="shared" ca="1" si="11"/>
        <v>7</v>
      </c>
    </row>
    <row r="347" spans="1:5" x14ac:dyDescent="0.25">
      <c r="A347" s="4">
        <f ca="1">INDEX(Stations,INT((ROWS(A$2:A347)-1)/(DATE(YEAR(Invoer!$A$6),12,31)-DATE(YEAR(Invoer!$A$6),1,1)+1))+2,1)</f>
        <v>32</v>
      </c>
      <c r="B347" t="str">
        <f ca="1">TEXT(DATE(YEAR(Invoer!$A$6),1,1)+MOD(ROWS(B$2:B347)-1,DATE(YEAR(Invoer!$A$6),12,31)-DATE(YEAR(Invoer!$A$6),1,1)+1),"jjjjmmdd")</f>
        <v>19401211</v>
      </c>
      <c r="C347" s="5">
        <v>1</v>
      </c>
      <c r="D347" s="10" t="str">
        <f t="shared" ca="1" si="10"/>
        <v>—</v>
      </c>
      <c r="E347" s="11">
        <f t="shared" ca="1" si="11"/>
        <v>7</v>
      </c>
    </row>
    <row r="348" spans="1:5" x14ac:dyDescent="0.25">
      <c r="A348" s="4">
        <f ca="1">INDEX(Stations,INT((ROWS(A$2:A348)-1)/(DATE(YEAR(Invoer!$A$6),12,31)-DATE(YEAR(Invoer!$A$6),1,1)+1))+2,1)</f>
        <v>32</v>
      </c>
      <c r="B348" t="str">
        <f ca="1">TEXT(DATE(YEAR(Invoer!$A$6),1,1)+MOD(ROWS(B$2:B348)-1,DATE(YEAR(Invoer!$A$6),12,31)-DATE(YEAR(Invoer!$A$6),1,1)+1),"jjjjmmdd")</f>
        <v>19401212</v>
      </c>
      <c r="C348" s="5">
        <v>1</v>
      </c>
      <c r="D348" s="10" t="str">
        <f t="shared" ca="1" si="10"/>
        <v>—</v>
      </c>
      <c r="E348" s="11">
        <f t="shared" ca="1" si="11"/>
        <v>7</v>
      </c>
    </row>
    <row r="349" spans="1:5" x14ac:dyDescent="0.25">
      <c r="A349" s="4">
        <f ca="1">INDEX(Stations,INT((ROWS(A$2:A349)-1)/(DATE(YEAR(Invoer!$A$6),12,31)-DATE(YEAR(Invoer!$A$6),1,1)+1))+2,1)</f>
        <v>32</v>
      </c>
      <c r="B349" t="str">
        <f ca="1">TEXT(DATE(YEAR(Invoer!$A$6),1,1)+MOD(ROWS(B$2:B349)-1,DATE(YEAR(Invoer!$A$6),12,31)-DATE(YEAR(Invoer!$A$6),1,1)+1),"jjjjmmdd")</f>
        <v>19401213</v>
      </c>
      <c r="C349" s="5">
        <v>1</v>
      </c>
      <c r="D349" s="10" t="str">
        <f t="shared" ca="1" si="10"/>
        <v>—</v>
      </c>
      <c r="E349" s="11">
        <f t="shared" ca="1" si="11"/>
        <v>7</v>
      </c>
    </row>
    <row r="350" spans="1:5" x14ac:dyDescent="0.25">
      <c r="A350" s="4">
        <f ca="1">INDEX(Stations,INT((ROWS(A$2:A350)-1)/(DATE(YEAR(Invoer!$A$6),12,31)-DATE(YEAR(Invoer!$A$6),1,1)+1))+2,1)</f>
        <v>32</v>
      </c>
      <c r="B350" t="str">
        <f ca="1">TEXT(DATE(YEAR(Invoer!$A$6),1,1)+MOD(ROWS(B$2:B350)-1,DATE(YEAR(Invoer!$A$6),12,31)-DATE(YEAR(Invoer!$A$6),1,1)+1),"jjjjmmdd")</f>
        <v>19401214</v>
      </c>
      <c r="C350" s="5">
        <v>1</v>
      </c>
      <c r="D350" s="10" t="str">
        <f t="shared" ca="1" si="10"/>
        <v>—</v>
      </c>
      <c r="E350" s="11">
        <f t="shared" ca="1" si="11"/>
        <v>7</v>
      </c>
    </row>
    <row r="351" spans="1:5" x14ac:dyDescent="0.25">
      <c r="A351" s="4">
        <f ca="1">INDEX(Stations,INT((ROWS(A$2:A351)-1)/(DATE(YEAR(Invoer!$A$6),12,31)-DATE(YEAR(Invoer!$A$6),1,1)+1))+2,1)</f>
        <v>32</v>
      </c>
      <c r="B351" t="str">
        <f ca="1">TEXT(DATE(YEAR(Invoer!$A$6),1,1)+MOD(ROWS(B$2:B351)-1,DATE(YEAR(Invoer!$A$6),12,31)-DATE(YEAR(Invoer!$A$6),1,1)+1),"jjjjmmdd")</f>
        <v>19401215</v>
      </c>
      <c r="C351" s="5">
        <v>1</v>
      </c>
      <c r="D351" s="10" t="str">
        <f t="shared" ca="1" si="10"/>
        <v>—</v>
      </c>
      <c r="E351" s="11">
        <f t="shared" ca="1" si="11"/>
        <v>7</v>
      </c>
    </row>
    <row r="352" spans="1:5" x14ac:dyDescent="0.25">
      <c r="A352" s="4">
        <f ca="1">INDEX(Stations,INT((ROWS(A$2:A352)-1)/(DATE(YEAR(Invoer!$A$6),12,31)-DATE(YEAR(Invoer!$A$6),1,1)+1))+2,1)</f>
        <v>32</v>
      </c>
      <c r="B352" t="str">
        <f ca="1">TEXT(DATE(YEAR(Invoer!$A$6),1,1)+MOD(ROWS(B$2:B352)-1,DATE(YEAR(Invoer!$A$6),12,31)-DATE(YEAR(Invoer!$A$6),1,1)+1),"jjjjmmdd")</f>
        <v>19401216</v>
      </c>
      <c r="C352" s="5">
        <v>1</v>
      </c>
      <c r="D352" s="10" t="str">
        <f t="shared" ca="1" si="10"/>
        <v>—</v>
      </c>
      <c r="E352" s="11">
        <f t="shared" ca="1" si="11"/>
        <v>7</v>
      </c>
    </row>
    <row r="353" spans="1:5" x14ac:dyDescent="0.25">
      <c r="A353" s="4">
        <f ca="1">INDEX(Stations,INT((ROWS(A$2:A353)-1)/(DATE(YEAR(Invoer!$A$6),12,31)-DATE(YEAR(Invoer!$A$6),1,1)+1))+2,1)</f>
        <v>32</v>
      </c>
      <c r="B353" t="str">
        <f ca="1">TEXT(DATE(YEAR(Invoer!$A$6),1,1)+MOD(ROWS(B$2:B353)-1,DATE(YEAR(Invoer!$A$6),12,31)-DATE(YEAR(Invoer!$A$6),1,1)+1),"jjjjmmdd")</f>
        <v>19401217</v>
      </c>
      <c r="C353" s="5">
        <v>1</v>
      </c>
      <c r="D353" s="10" t="str">
        <f t="shared" ca="1" si="10"/>
        <v>—</v>
      </c>
      <c r="E353" s="11">
        <f t="shared" ca="1" si="11"/>
        <v>7</v>
      </c>
    </row>
    <row r="354" spans="1:5" x14ac:dyDescent="0.25">
      <c r="A354" s="4">
        <f ca="1">INDEX(Stations,INT((ROWS(A$2:A354)-1)/(DATE(YEAR(Invoer!$A$6),12,31)-DATE(YEAR(Invoer!$A$6),1,1)+1))+2,1)</f>
        <v>32</v>
      </c>
      <c r="B354" t="str">
        <f ca="1">TEXT(DATE(YEAR(Invoer!$A$6),1,1)+MOD(ROWS(B$2:B354)-1,DATE(YEAR(Invoer!$A$6),12,31)-DATE(YEAR(Invoer!$A$6),1,1)+1),"jjjjmmdd")</f>
        <v>19401218</v>
      </c>
      <c r="C354" s="5">
        <v>1</v>
      </c>
      <c r="D354" s="10" t="str">
        <f t="shared" ca="1" si="10"/>
        <v>—</v>
      </c>
      <c r="E354" s="11">
        <f t="shared" ca="1" si="11"/>
        <v>7</v>
      </c>
    </row>
    <row r="355" spans="1:5" x14ac:dyDescent="0.25">
      <c r="A355" s="4">
        <f ca="1">INDEX(Stations,INT((ROWS(A$2:A355)-1)/(DATE(YEAR(Invoer!$A$6),12,31)-DATE(YEAR(Invoer!$A$6),1,1)+1))+2,1)</f>
        <v>32</v>
      </c>
      <c r="B355" t="str">
        <f ca="1">TEXT(DATE(YEAR(Invoer!$A$6),1,1)+MOD(ROWS(B$2:B355)-1,DATE(YEAR(Invoer!$A$6),12,31)-DATE(YEAR(Invoer!$A$6),1,1)+1),"jjjjmmdd")</f>
        <v>19401219</v>
      </c>
      <c r="C355" s="5">
        <v>1</v>
      </c>
      <c r="D355" s="10" t="str">
        <f t="shared" ca="1" si="10"/>
        <v>—</v>
      </c>
      <c r="E355" s="11">
        <f t="shared" ca="1" si="11"/>
        <v>7</v>
      </c>
    </row>
    <row r="356" spans="1:5" x14ac:dyDescent="0.25">
      <c r="A356" s="4">
        <f ca="1">INDEX(Stations,INT((ROWS(A$2:A356)-1)/(DATE(YEAR(Invoer!$A$6),12,31)-DATE(YEAR(Invoer!$A$6),1,1)+1))+2,1)</f>
        <v>32</v>
      </c>
      <c r="B356" t="str">
        <f ca="1">TEXT(DATE(YEAR(Invoer!$A$6),1,1)+MOD(ROWS(B$2:B356)-1,DATE(YEAR(Invoer!$A$6),12,31)-DATE(YEAR(Invoer!$A$6),1,1)+1),"jjjjmmdd")</f>
        <v>19401220</v>
      </c>
      <c r="C356" s="5">
        <v>1</v>
      </c>
      <c r="D356" s="10" t="str">
        <f t="shared" ca="1" si="10"/>
        <v>—</v>
      </c>
      <c r="E356" s="11">
        <f t="shared" ca="1" si="11"/>
        <v>7</v>
      </c>
    </row>
    <row r="357" spans="1:5" x14ac:dyDescent="0.25">
      <c r="A357" s="4">
        <f ca="1">INDEX(Stations,INT((ROWS(A$2:A357)-1)/(DATE(YEAR(Invoer!$A$6),12,31)-DATE(YEAR(Invoer!$A$6),1,1)+1))+2,1)</f>
        <v>32</v>
      </c>
      <c r="B357" t="str">
        <f ca="1">TEXT(DATE(YEAR(Invoer!$A$6),1,1)+MOD(ROWS(B$2:B357)-1,DATE(YEAR(Invoer!$A$6),12,31)-DATE(YEAR(Invoer!$A$6),1,1)+1),"jjjjmmdd")</f>
        <v>19401221</v>
      </c>
      <c r="C357" s="5">
        <v>1</v>
      </c>
      <c r="D357" s="10" t="str">
        <f t="shared" ca="1" si="10"/>
        <v>—</v>
      </c>
      <c r="E357" s="11">
        <f t="shared" ca="1" si="11"/>
        <v>7</v>
      </c>
    </row>
    <row r="358" spans="1:5" x14ac:dyDescent="0.25">
      <c r="A358" s="4">
        <f ca="1">INDEX(Stations,INT((ROWS(A$2:A358)-1)/(DATE(YEAR(Invoer!$A$6),12,31)-DATE(YEAR(Invoer!$A$6),1,1)+1))+2,1)</f>
        <v>32</v>
      </c>
      <c r="B358" t="str">
        <f ca="1">TEXT(DATE(YEAR(Invoer!$A$6),1,1)+MOD(ROWS(B$2:B358)-1,DATE(YEAR(Invoer!$A$6),12,31)-DATE(YEAR(Invoer!$A$6),1,1)+1),"jjjjmmdd")</f>
        <v>19401222</v>
      </c>
      <c r="C358" s="5">
        <v>1</v>
      </c>
      <c r="D358" s="10" t="str">
        <f t="shared" ca="1" si="10"/>
        <v>—</v>
      </c>
      <c r="E358" s="11">
        <f t="shared" ca="1" si="11"/>
        <v>7</v>
      </c>
    </row>
    <row r="359" spans="1:5" x14ac:dyDescent="0.25">
      <c r="A359" s="4">
        <f ca="1">INDEX(Stations,INT((ROWS(A$2:A359)-1)/(DATE(YEAR(Invoer!$A$6),12,31)-DATE(YEAR(Invoer!$A$6),1,1)+1))+2,1)</f>
        <v>32</v>
      </c>
      <c r="B359" t="str">
        <f ca="1">TEXT(DATE(YEAR(Invoer!$A$6),1,1)+MOD(ROWS(B$2:B359)-1,DATE(YEAR(Invoer!$A$6),12,31)-DATE(YEAR(Invoer!$A$6),1,1)+1),"jjjjmmdd")</f>
        <v>19401223</v>
      </c>
      <c r="C359" s="5">
        <v>1</v>
      </c>
      <c r="D359" s="10" t="str">
        <f t="shared" ca="1" si="10"/>
        <v>—</v>
      </c>
      <c r="E359" s="11">
        <f t="shared" ca="1" si="11"/>
        <v>7</v>
      </c>
    </row>
    <row r="360" spans="1:5" x14ac:dyDescent="0.25">
      <c r="A360" s="4">
        <f ca="1">INDEX(Stations,INT((ROWS(A$2:A360)-1)/(DATE(YEAR(Invoer!$A$6),12,31)-DATE(YEAR(Invoer!$A$6),1,1)+1))+2,1)</f>
        <v>32</v>
      </c>
      <c r="B360" t="str">
        <f ca="1">TEXT(DATE(YEAR(Invoer!$A$6),1,1)+MOD(ROWS(B$2:B360)-1,DATE(YEAR(Invoer!$A$6),12,31)-DATE(YEAR(Invoer!$A$6),1,1)+1),"jjjjmmdd")</f>
        <v>19401224</v>
      </c>
      <c r="C360" s="5">
        <v>1</v>
      </c>
      <c r="D360" s="10" t="str">
        <f t="shared" ca="1" si="10"/>
        <v>—</v>
      </c>
      <c r="E360" s="11">
        <f t="shared" ca="1" si="11"/>
        <v>7</v>
      </c>
    </row>
    <row r="361" spans="1:5" x14ac:dyDescent="0.25">
      <c r="A361" s="4">
        <f ca="1">INDEX(Stations,INT((ROWS(A$2:A361)-1)/(DATE(YEAR(Invoer!$A$6),12,31)-DATE(YEAR(Invoer!$A$6),1,1)+1))+2,1)</f>
        <v>32</v>
      </c>
      <c r="B361" t="str">
        <f ca="1">TEXT(DATE(YEAR(Invoer!$A$6),1,1)+MOD(ROWS(B$2:B361)-1,DATE(YEAR(Invoer!$A$6),12,31)-DATE(YEAR(Invoer!$A$6),1,1)+1),"jjjjmmdd")</f>
        <v>19401225</v>
      </c>
      <c r="C361" s="5">
        <v>1</v>
      </c>
      <c r="D361" s="10" t="str">
        <f t="shared" ca="1" si="10"/>
        <v>—</v>
      </c>
      <c r="E361" s="11">
        <f t="shared" ca="1" si="11"/>
        <v>7</v>
      </c>
    </row>
    <row r="362" spans="1:5" x14ac:dyDescent="0.25">
      <c r="A362" s="4">
        <f ca="1">INDEX(Stations,INT((ROWS(A$2:A362)-1)/(DATE(YEAR(Invoer!$A$6),12,31)-DATE(YEAR(Invoer!$A$6),1,1)+1))+2,1)</f>
        <v>32</v>
      </c>
      <c r="B362" t="str">
        <f ca="1">TEXT(DATE(YEAR(Invoer!$A$6),1,1)+MOD(ROWS(B$2:B362)-1,DATE(YEAR(Invoer!$A$6),12,31)-DATE(YEAR(Invoer!$A$6),1,1)+1),"jjjjmmdd")</f>
        <v>19401226</v>
      </c>
      <c r="C362" s="5">
        <v>1</v>
      </c>
      <c r="D362" s="10" t="str">
        <f t="shared" ca="1" si="10"/>
        <v>—</v>
      </c>
      <c r="E362" s="11">
        <f t="shared" ca="1" si="11"/>
        <v>7</v>
      </c>
    </row>
    <row r="363" spans="1:5" x14ac:dyDescent="0.25">
      <c r="A363" s="4">
        <f ca="1">INDEX(Stations,INT((ROWS(A$2:A363)-1)/(DATE(YEAR(Invoer!$A$6),12,31)-DATE(YEAR(Invoer!$A$6),1,1)+1))+2,1)</f>
        <v>32</v>
      </c>
      <c r="B363" t="str">
        <f ca="1">TEXT(DATE(YEAR(Invoer!$A$6),1,1)+MOD(ROWS(B$2:B363)-1,DATE(YEAR(Invoer!$A$6),12,31)-DATE(YEAR(Invoer!$A$6),1,1)+1),"jjjjmmdd")</f>
        <v>19401227</v>
      </c>
      <c r="C363" s="5">
        <v>1</v>
      </c>
      <c r="D363" s="10" t="str">
        <f t="shared" ca="1" si="10"/>
        <v>—</v>
      </c>
      <c r="E363" s="11">
        <f t="shared" ca="1" si="11"/>
        <v>7</v>
      </c>
    </row>
    <row r="364" spans="1:5" x14ac:dyDescent="0.25">
      <c r="A364" s="4">
        <f ca="1">INDEX(Stations,INT((ROWS(A$2:A364)-1)/(DATE(YEAR(Invoer!$A$6),12,31)-DATE(YEAR(Invoer!$A$6),1,1)+1))+2,1)</f>
        <v>32</v>
      </c>
      <c r="B364" t="str">
        <f ca="1">TEXT(DATE(YEAR(Invoer!$A$6),1,1)+MOD(ROWS(B$2:B364)-1,DATE(YEAR(Invoer!$A$6),12,31)-DATE(YEAR(Invoer!$A$6),1,1)+1),"jjjjmmdd")</f>
        <v>19401228</v>
      </c>
      <c r="C364" s="5">
        <v>1</v>
      </c>
      <c r="D364" s="10" t="str">
        <f t="shared" ca="1" si="10"/>
        <v>—</v>
      </c>
      <c r="E364" s="11">
        <f t="shared" ca="1" si="11"/>
        <v>7</v>
      </c>
    </row>
    <row r="365" spans="1:5" x14ac:dyDescent="0.25">
      <c r="A365" s="4">
        <f ca="1">INDEX(Stations,INT((ROWS(A$2:A365)-1)/(DATE(YEAR(Invoer!$A$6),12,31)-DATE(YEAR(Invoer!$A$6),1,1)+1))+2,1)</f>
        <v>32</v>
      </c>
      <c r="B365" t="str">
        <f ca="1">TEXT(DATE(YEAR(Invoer!$A$6),1,1)+MOD(ROWS(B$2:B365)-1,DATE(YEAR(Invoer!$A$6),12,31)-DATE(YEAR(Invoer!$A$6),1,1)+1),"jjjjmmdd")</f>
        <v>19401229</v>
      </c>
      <c r="C365" s="5">
        <v>1</v>
      </c>
      <c r="D365" s="10" t="str">
        <f t="shared" ca="1" si="10"/>
        <v>—</v>
      </c>
      <c r="E365" s="11">
        <f t="shared" ca="1" si="11"/>
        <v>7</v>
      </c>
    </row>
    <row r="366" spans="1:5" x14ac:dyDescent="0.25">
      <c r="A366" s="4">
        <f ca="1">INDEX(Stations,INT((ROWS(A$2:A366)-1)/(DATE(YEAR(Invoer!$A$6),12,31)-DATE(YEAR(Invoer!$A$6),1,1)+1))+2,1)</f>
        <v>32</v>
      </c>
      <c r="B366" t="str">
        <f ca="1">TEXT(DATE(YEAR(Invoer!$A$6),1,1)+MOD(ROWS(B$2:B366)-1,DATE(YEAR(Invoer!$A$6),12,31)-DATE(YEAR(Invoer!$A$6),1,1)+1),"jjjjmmdd")</f>
        <v>19401230</v>
      </c>
      <c r="C366" s="5">
        <v>1</v>
      </c>
      <c r="D366" s="10" t="str">
        <f t="shared" ca="1" si="10"/>
        <v>—</v>
      </c>
      <c r="E366" s="11">
        <f t="shared" ca="1" si="11"/>
        <v>7</v>
      </c>
    </row>
    <row r="367" spans="1:5" x14ac:dyDescent="0.25">
      <c r="A367" s="4">
        <f ca="1">INDEX(Stations,INT((ROWS(A$2:A367)-1)/(DATE(YEAR(Invoer!$A$6),12,31)-DATE(YEAR(Invoer!$A$6),1,1)+1))+2,1)</f>
        <v>32</v>
      </c>
      <c r="B367" t="str">
        <f ca="1">TEXT(DATE(YEAR(Invoer!$A$6),1,1)+MOD(ROWS(B$2:B367)-1,DATE(YEAR(Invoer!$A$6),12,31)-DATE(YEAR(Invoer!$A$6),1,1)+1),"jjjjmmdd")</f>
        <v>19401231</v>
      </c>
      <c r="C367" s="5">
        <v>1</v>
      </c>
      <c r="D367" s="10" t="str">
        <f t="shared" ref="D367" ca="1" si="12">IF(OR(ISBLANK(VLOOKUP(DATEVALUE(LEFT(B367,4)&amp;"-"&amp;MID(B367,5,2)&amp;"-"&amp;RIGHT(B367,2)),Data,MATCH(VLOOKUP(A367,Stations,2,FALSE()),OFFSET(Data,2,0,1),0),FALSE())),ISTEXT(VLOOKUP(DATEVALUE(LEFT(B367,4)&amp;"-"&amp;MID(B367,5,2)&amp;"-"&amp;RIGHT(B367,2)),Data,MATCH(VLOOKUP(A367,Stations,2,FALSE()),OFFSET(Data,2,0,1),0),FALSE()))),"—",VLOOKUP(DATEVALUE(LEFT(B367,4)&amp;"-"&amp;MID(B367,5,2)&amp;"-"&amp;RIGHT(B367,2)),Data,MATCH(VLOOKUP(A367,Stations,2,FALSE()),OFFSET(Data,2,0,1),0),FALSE()))</f>
        <v>—</v>
      </c>
      <c r="E367" s="11">
        <f t="shared" ref="E367" ca="1" si="13">IF(OR(ISBLANK(VLOOKUP(DATEVALUE(LEFT(B367,4)&amp;"-"&amp;MID(B367,5,2)&amp;"-"&amp;RIGHT(B367,2)),Data,MATCH(VLOOKUP(A367,Stations,2,FALSE()),OFFSET(Data,2,0,1),0),FALSE())),ISTEXT(VLOOKUP(DATEVALUE(LEFT(B367,4)&amp;"-"&amp;MID(B367,5,2)&amp;"-"&amp;RIGHT(B367,2)),Data,MATCH(VLOOKUP(A367,Stations,2,FALSE()),OFFSET(Data,2,0,1),0),FALSE()))),Lacking,IF(ISNA(MATCH(DATEVALUE(LEFT(B367,4)&amp;"-"&amp;MID(B367,5,2)&amp;"-"&amp;RIGHT(B367,2)),OFFSET(Catalogus,0,0,,1),0)),Ok,VLOOKUP(DATEVALUE(LEFT(B367,4)&amp;"-"&amp;MID(B367,5,2)&amp;"-"&amp;RIGHT(B367,2)),Catalogus,MATCH(VLOOKUP(A367,Stations,2,FALSE()),OFFSET(Catalogus,2,0,1)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W1465"/>
  <sheetViews>
    <sheetView workbookViewId="0"/>
  </sheetViews>
  <sheetFormatPr defaultRowHeight="15" x14ac:dyDescent="0.25"/>
  <sheetData>
    <row r="1" spans="1:23" x14ac:dyDescent="0.25">
      <c r="A1" s="3" t="s">
        <v>2</v>
      </c>
      <c r="B1" s="2" t="s">
        <v>0</v>
      </c>
      <c r="C1" s="3" t="s">
        <v>67</v>
      </c>
      <c r="D1" s="3" t="s">
        <v>6</v>
      </c>
      <c r="E1" s="3" t="s">
        <v>7</v>
      </c>
      <c r="F1" s="3" t="s">
        <v>8</v>
      </c>
      <c r="G1" s="3" t="s">
        <v>66</v>
      </c>
      <c r="H1" s="3" t="s">
        <v>51</v>
      </c>
      <c r="I1" s="3" t="s">
        <v>70</v>
      </c>
      <c r="J1" s="3" t="s">
        <v>52</v>
      </c>
      <c r="K1" s="3" t="s">
        <v>71</v>
      </c>
      <c r="L1" s="3" t="s">
        <v>54</v>
      </c>
      <c r="M1" s="3" t="s">
        <v>68</v>
      </c>
      <c r="N1" s="3" t="s">
        <v>53</v>
      </c>
      <c r="O1" s="3" t="s">
        <v>69</v>
      </c>
      <c r="P1" s="3" t="s">
        <v>50</v>
      </c>
      <c r="Q1" s="3" t="s">
        <v>72</v>
      </c>
      <c r="R1" s="3" t="s">
        <v>55</v>
      </c>
      <c r="S1" s="3" t="s">
        <v>73</v>
      </c>
      <c r="T1" s="3" t="s">
        <v>56</v>
      </c>
      <c r="U1" s="3" t="s">
        <v>74</v>
      </c>
      <c r="V1" s="3" t="s">
        <v>57</v>
      </c>
      <c r="W1" s="3" t="s">
        <v>75</v>
      </c>
    </row>
    <row r="2" spans="1:23" x14ac:dyDescent="0.25">
      <c r="A2" s="4">
        <f t="shared" ref="A2:A65" si="0">INDEX(Stations,2,1)</f>
        <v>32</v>
      </c>
      <c r="B2" t="str">
        <f ca="1">TEXT(DATE(YEAR(Invoer!$A$6),1,1)+INT((ROWS(B$2:B2)-1)/4),"jjjjmmdd")</f>
        <v>19400101</v>
      </c>
      <c r="C2" s="64" t="str">
        <f>IF(MOD(ROWS(C$2:C2)-1,4)=3,"24.00",INDEX(Data,3,2+MOD(ROWS(C$2:C2)-1,4)))</f>
        <v>07.00</v>
      </c>
      <c r="D2" s="18">
        <f t="shared" ref="D2:D65" ca="1" si="1">IF(OR(ISBLANK(VLOOKUP(DATEVALUE(LEFT($B2,4)&amp;"-"&amp;MID($B2,5,2)&amp;"-"&amp;RIGHT($B2,2)),Data,MATCH(LEFT(VLOOKUP(D$1,Parameters,2,FALSE()),4)&amp;"*",OFFSET(Data,0,0,1),0)+MATCH($C2,OFFSET(Data,2,0,1),0)-2,FALSE())),ISTEXT(VLOOKUP(DATEVALUE(LEFT($B2,4)&amp;"-"&amp;MID($B2,5,2)&amp;"-"&amp;RIGHT($B2,2)),Data,MATCH(LEFT(VLOOKUP(D$1,Parameters,2,FALSE()),4)&amp;"*",OFFSET(Data,0,0,1),0)+MATCH($C2,OFFSET(Data,2,0,1),0)-2,FALSE())),EXACT($C2,"24.00")),"—",VLOOKUP(DATEVALUE(LEFT($B2,4)&amp;"-"&amp;MID($B2,5,2)&amp;"-"&amp;RIGHT($B2,2)),Data,MATCH(LEFT(VLOOKUP(D$1,Parameters,2,FALSE()),4)&amp;"*",OFFSET(Data,0,0,1),0)+MATCH($C2,OFFSET(Data,2,0,1),0)-2,FALSE())/10)</f>
        <v>759.7</v>
      </c>
      <c r="E2" s="17">
        <f t="shared" ref="E2:E65" ca="1" si="2">IF(OR(ISBLANK(VLOOKUP(DATEVALUE(LEFT($B2,4)&amp;"-"&amp;MID($B2,5,2)&amp;"-"&amp;RIGHT($B2,2)),Data,MATCH(LEFT(VLOOKUP(MID(E$1,2,LEN(E$1)-1),Parameters,2,FALSE()),4)&amp;"*",OFFSET(Data,0,0,1),0)+MATCH($C2,OFFSET(Data,2,0,1),0)-2,FALSE())),ISTEXT(VLOOKUP(DATEVALUE(LEFT($B2,4)&amp;"-"&amp;MID($B2,5,2)&amp;"-"&amp;RIGHT($B2,2)),Data,MATCH(LEFT(VLOOKUP(MID(E$1,2,LEN(E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Data,2,0,1),0)-2,FALSE())))</f>
        <v>0</v>
      </c>
      <c r="F2" s="18">
        <f t="shared" ref="F2:F65" ca="1" si="3">IF(OR(ISBLANK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ISTEXT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EXACT($C2,"24.00")),"—",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/10)</f>
        <v>27.1</v>
      </c>
      <c r="G2" s="17">
        <f t="shared" ref="G2:G65" ca="1" si="4">IF(OR(ISBLANK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ISTEXT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G$1,2,LEN(G$1)-1),Parameters,2,FALSE()),FIND(LOWER(MID(G$1,2,1)),VLOOKUP(MID(G$1,2,LEN(G$1)-1),Parameters,2,FALSE()),5),4)&amp;"*",OFFSET(Catalogus,0,0,1),0)+2*MATCH($C2,OFFSET(Catalogus,2,0,1),0)+MATCH(LEFT(VLOOKUP(MID(G$1,2,LEN(G$1)-1),Parameters,2,FALSE()),3)&amp;"*",OFFSET(Catalogus,2,4,1),0)-5,FALSE())))</f>
        <v>0</v>
      </c>
      <c r="H2" s="18" t="str">
        <f t="shared" ref="H2:H65" ca="1" si="5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/10)</f>
        <v>—</v>
      </c>
      <c r="I2" s="17">
        <f t="shared" ref="I2:I65" ca="1" si="6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  <c r="J2" s="18" t="str">
        <f t="shared" ref="J2:J65" ca="1" si="7">IF(OR(ISBLANK(VLOOKUP(DATEVALUE(LEFT($B2,4)&amp;"-"&amp;MID($B2,5,2)&amp;"-"&amp;RIGHT($B2,2)),Data,MATCH(LEFT(VLOOKUP(J$1,Parameters,2,FALSE()),4)&amp;"*",OFFSET(Data,1,0,1),0),FALSE())),ISTEXT(VLOOKUP(DATEVALUE(LEFT($B2,4)&amp;"-"&amp;MID($B2,5,2)&amp;"-"&amp;RIGHT($B2,2)),Data,MATCH(LEFT(VLOOKUP(J$1,Parameters,2,FALSE()),4)&amp;"*",OFFSET(Data,1,0,1),0),FALSE())),NOT(EXACT($C2,"24.00"))),"—",VLOOKUP(DATEVALUE(LEFT($B2,4)&amp;"-"&amp;MID($B2,5,2)&amp;"-"&amp;RIGHT($B2,2)),Data,MATCH(LEFT(VLOOKUP(J$1,Parameters,2,FALSE()),4)&amp;"*",OFFSET(Data,1,0,1),0),FALSE())/10)</f>
        <v>—</v>
      </c>
      <c r="K2" s="17">
        <f t="shared" ref="K2:K65" ca="1" si="8">IF(OR(ISBLANK(VLOOKUP(DATEVALUE(LEFT($B2,4)&amp;"-"&amp;MID($B2,5,2)&amp;"-"&amp;RIGHT($B2,2)),Data,MATCH(LEFT(VLOOKUP(MID(K$1,2,LEN(K$1)-1),Parameters,2,FALSE()),4)&amp;"*",OFFSET(Data,1,0,1),0),FALSE())),ISTEXT(VLOOKUP(DATEVALUE(LEFT($B2,4)&amp;"-"&amp;MID($B2,5,2)&amp;"-"&amp;RIGHT($B2,2)),Data,MATCH(LEFT(VLOOKUP(MID(K$1,2,LEN(K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4)&amp;"*",OFFSET(Catalogus,1,0,1),0),FALSE())))</f>
        <v>7</v>
      </c>
      <c r="L2" s="10">
        <f t="shared" ref="L2:L65" ca="1" si="9">IF(OR(ISBLANK(VLOOKUP(DATEVALUE(LEFT($B2,4)&amp;"-"&amp;MID($B2,5,2)&amp;"-"&amp;RIGHT($B2,2)),Data,MATCH(LEFT(VLOOKUP(L$1,Parameters,2,FALSE()),4)&amp;"*",OFFSET(Data,0,0,1),0)+MATCH($C2,OFFSET(Data,2,0,1),0)-2,FALSE())),ISTEXT(VLOOKUP(DATEVALUE(LEFT($B2,4)&amp;"-"&amp;MID($B2,5,2)&amp;"-"&amp;RIGHT($B2,2)),Data,MATCH(LEFT(VLOOKUP(L$1,Parameters,2,FALSE()),4)&amp;"*",OFFSET(Data,0,0,1),0)+MATCH($C2,OFFSET(Data,2,0,1),0)-2,FALSE())),EXACT($C2,"24.00")),"—",VLOOKUP(DATEVALUE(LEFT($B2,4)&amp;"-"&amp;MID($B2,5,2)&amp;"-"&amp;RIGHT($B2,2)),Data,MATCH(LEFT(VLOOKUP(L$1,Parameters,2,FALSE()),4)&amp;"*",OFFSET(Data,0,0,1),0)+MATCH($C2,OFFSET(Data,2,0,1),0)-2,FALSE()))</f>
        <v>76</v>
      </c>
      <c r="M2" s="17">
        <f t="shared" ref="M2:M65" ca="1" si="10">IF(OR(ISBLANK(VLOOKUP(DATEVALUE(LEFT($B2,4)&amp;"-"&amp;MID($B2,5,2)&amp;"-"&amp;RIGHT($B2,2)),Data,MATCH(LEFT(VLOOKUP(MID(M$1,2,LEN(M$1)-1),Parameters,2,FALSE()),4)&amp;"*",OFFSET(Data,0,0,1),0)+MATCH($C2,OFFSET(Data,2,0,1),0)-2,FALSE())),ISTEXT(VLOOKUP(DATEVALUE(LEFT($B2,4)&amp;"-"&amp;MID($B2,5,2)&amp;"-"&amp;RIGHT($B2,2)),Data,MATCH(LEFT(VLOOKUP(MID(M$1,2,LEN(M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4)&amp;"*",OFFSET(Catalogus,0,0,1),0)+MATCH($C2,OFFSET(Data,2,0,1),0)-2,FALSE())))</f>
        <v>0</v>
      </c>
      <c r="N2" s="18">
        <f t="shared" ref="N2:N65" ca="1" si="11">IF(OR(ISBLANK(VLOOKUP(DATEVALUE(LEFT($B2,4)&amp;"-"&amp;MID($B2,5,2)&amp;"-"&amp;RIGHT($B2,2)),Data,MATCH(LEFT(VLOOKUP(N$1,Parameters,2,FALSE()),4)&amp;"*",OFFSET(Data,0,0,1),0)+MATCH($C2,OFFSET(Data,2,0,1),0)-2,FALSE())),ISTEXT(VLOOKUP(DATEVALUE(LEFT($B2,4)&amp;"-"&amp;MID($B2,5,2)&amp;"-"&amp;RIGHT($B2,2)),Data,MATCH(LEFT(VLOOKUP(N$1,Parameters,2,FALSE()),4)&amp;"*",OFFSET(Data,0,0,1),0)+MATCH($C2,OFFSET(Data,2,0,1),0)-2,FALSE())),EXACT($C2,"24.00")),"—",VLOOKUP(DATEVALUE(LEFT($B2,4)&amp;"-"&amp;MID($B2,5,2)&amp;"-"&amp;RIGHT($B2,2)),Data,MATCH(LEFT(VLOOKUP(N$1,Parameters,2,FALSE()),4)&amp;"*",OFFSET(Data,0,0,1),0)+MATCH($C2,OFFSET(Data,2,0,1),0)-2,FALSE())/10)</f>
        <v>20.5</v>
      </c>
      <c r="O2" s="17">
        <f t="shared" ref="O2:O65" ca="1" si="12">IF(OR(ISBLANK(VLOOKUP(DATEVALUE(LEFT($B2,4)&amp;"-"&amp;MID($B2,5,2)&amp;"-"&amp;RIGHT($B2,2)),Data,MATCH(LEFT(VLOOKUP(MID(O$1,2,LEN(O$1)-1),Parameters,2,FALSE()),4)&amp;"*",OFFSET(Data,0,0,1),0)+MATCH($C2,OFFSET(Data,2,0,1),0)-2,FALSE())),ISTEXT(VLOOKUP(DATEVALUE(LEFT($B2,4)&amp;"-"&amp;MID($B2,5,2)&amp;"-"&amp;RIGHT($B2,2)),Data,MATCH(LEFT(VLOOKUP(MID(O$1,2,LEN(O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4)&amp;"*",OFFSET(Catalogus,0,0,1),0)+MATCH($C2,OFFSET(Data,2,0,1),0)-2,FALSE())))</f>
        <v>0</v>
      </c>
      <c r="P2" s="18">
        <f t="shared" ref="P2:P65" ca="1" si="13">IF(OR(ISBLANK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ISTEXT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EXACT($C2,"24.00")),"—",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/10)</f>
        <v>23.8</v>
      </c>
      <c r="Q2" s="17">
        <f t="shared" ref="Q2:Q65" ca="1" si="14">IF(OR(ISBLANK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ISTEXT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Q$1,2,LEN(Q$1)-1),Parameters,2,FALSE()),FIND(LOWER(MID(Q$1,2,1)),VLOOKUP(MID(Q$1,2,LEN(Q$1)-1),Parameters,2,FALSE()),5),4)&amp;"*",OFFSET(Catalogus,0,0,1),0)+2*MATCH($C2,OFFSET(Catalogus,2,0,1),0)+MATCH(LEFT(VLOOKUP(MID(Q$1,2,LEN(Q$1)-1),Parameters,2,FALSE()),3)&amp;"*",OFFSET(Catalogus,2,4,1),0)-5,FALSE())))</f>
        <v>0</v>
      </c>
      <c r="R2" s="10">
        <f t="shared" ref="R2:R65" ca="1" si="15">IF(OR(ISBLANK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),ISNA(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1,1,,1),0)),EXACT($C2,"24.00")),"—",INDEX(Windrichting,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0,1,,1),0),1))</f>
        <v>90</v>
      </c>
      <c r="S2" s="17">
        <f t="shared" ref="S2:S65" ca="1" si="16">IF(OR(ISBLANK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),ISNA(MATCH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,OFFSET(Windrichting,1,1,,1),0)),EXACT($C2,"24.00"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4)&amp;"*",OFFSET(Catalogus,0,0,1),0)+2*MATCH($C2,OFFSET(Catalogus,2,0,1),0)+MATCH(MID(VLOOKUP(MID(S$1,2,LEN(S$1)-1),Parameters,2,FALSE()),5,LEN(VLOOKUP(MID(S$1,2,LEN(S$1)-1),Parameters,2,FALSE()))-4)&amp;"*",OFFSET(Catalogus,2,19,1),0)-5,FALSE())))</f>
        <v>0</v>
      </c>
      <c r="T2" s="70">
        <f t="shared" ref="T2:T65" ca="1" si="17">IF(OR(ISBLANK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ISTEXT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EXACT($C2,"24.00")),"—",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/10)</f>
        <v>0.3</v>
      </c>
      <c r="U2" s="17">
        <f t="shared" ref="U2:U65" ca="1" si="18">IF(OR(ISBLANK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ISTEXT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EXACT($C2,"24.00"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4)&amp;"*",OFFSET(Catalogus,0,0,1),0)+2*MATCH($C2,OFFSET(Catalogus,2,0,1),0)+MATCH(MID(VLOOKUP(MID(U$1,2,LEN(U$1)-1),Parameters,2,FALSE()),5,LEN(VLOOKUP(MID(U$1,2,LEN(U$1)-1),Parameters,2,FALSE()))-4)&amp;"*",OFFSET(Catalogus,2,19,1),0)-5,FALSE())))</f>
        <v>0</v>
      </c>
      <c r="V2" s="71">
        <f t="shared" ref="V2:V65" ca="1" si="19">IF(OR(ISBLANK(VLOOKUP(DATEVALUE(LEFT($B2,4)&amp;"-"&amp;MID($B2,5,2)&amp;"-"&amp;RIGHT($B2,2)),Data,MATCH(LEFT(VLOOKUP(V$1,Parameters,2,FALSE()),4)&amp;"*",OFFSET(Data,0,0,1),0)+MATCH($C2,OFFSET(Data,2,0,1),0)-2,FALSE())),ISTEXT(VLOOKUP(DATEVALUE(LEFT($B2,4)&amp;"-"&amp;MID($B2,5,2)&amp;"-"&amp;RIGHT($B2,2)),Data,MATCH(LEFT(VLOOKUP(V$1,Parameters,2,FALSE()),4)&amp;"*",OFFSET(Data,0,0,1),0)+MATCH($C2,OFFSET(Data,2,0,1),0)-2,FALSE())),EXACT($C2,"24.00")),"—",VLOOKUP(DATEVALUE(LEFT($B2,4)&amp;"-"&amp;MID($B2,5,2)&amp;"-"&amp;RIGHT($B2,2)),Data,MATCH(LEFT(VLOOKUP(V$1,Parameters,2,FALSE()),4)&amp;"*",OFFSET(Data,0,0,1),0)+MATCH($C2,OFFSET(Data,2,0,1),0)-2,FALSE()))</f>
        <v>4</v>
      </c>
      <c r="W2" s="17">
        <f t="shared" ref="W2:W65" ca="1" si="20">IF(OR(ISBLANK(VLOOKUP(DATEVALUE(LEFT($B2,4)&amp;"-"&amp;MID($B2,5,2)&amp;"-"&amp;RIGHT($B2,2)),Data,MATCH(LEFT(VLOOKUP(MID(W$1,2,LEN(W$1)-1),Parameters,2,FALSE()),4)&amp;"*",OFFSET(Data,0,0,1),0)+MATCH($C2,OFFSET(Data,2,0,1),0)-2,FALSE())),ISTEXT(VLOOKUP(DATEVALUE(LEFT($B2,4)&amp;"-"&amp;MID($B2,5,2)&amp;"-"&amp;RIGHT($B2,2)),Data,MATCH(LEFT(VLOOKUP(MID(W$1,2,LEN(W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4)&amp;"*",OFFSET(Catalogus,0,0,1),0)+MATCH($C2,OFFSET(Data,2,0,1),0)-2,FALSE())))</f>
        <v>0</v>
      </c>
    </row>
    <row r="3" spans="1:23" x14ac:dyDescent="0.25">
      <c r="A3" s="4">
        <f t="shared" si="0"/>
        <v>32</v>
      </c>
      <c r="B3" t="str">
        <f ca="1">TEXT(DATE(YEAR(Invoer!$A$6),1,1)+INT((ROWS(B$2:B3)-1)/4),"jjjjmmdd")</f>
        <v>19400101</v>
      </c>
      <c r="C3" s="64" t="str">
        <f>IF(MOD(ROWS(C$2:C3)-1,4)=3,"24.00",INDEX(Data,3,2+MOD(ROWS(C$2:C3)-1,4)))</f>
        <v>12.00</v>
      </c>
      <c r="D3" s="18">
        <f t="shared" ca="1" si="1"/>
        <v>759.2</v>
      </c>
      <c r="E3" s="17">
        <f t="shared" ca="1" si="2"/>
        <v>0</v>
      </c>
      <c r="F3" s="18">
        <f t="shared" ca="1" si="3"/>
        <v>27.3</v>
      </c>
      <c r="G3" s="17">
        <f t="shared" ca="1" si="4"/>
        <v>0</v>
      </c>
      <c r="H3" s="18" t="str">
        <f t="shared" ca="1" si="5"/>
        <v>—</v>
      </c>
      <c r="I3" s="17">
        <f t="shared" ca="1" si="6"/>
        <v>7</v>
      </c>
      <c r="J3" s="18" t="str">
        <f t="shared" ca="1" si="7"/>
        <v>—</v>
      </c>
      <c r="K3" s="17">
        <f t="shared" ca="1" si="8"/>
        <v>7</v>
      </c>
      <c r="L3" s="10">
        <f t="shared" ca="1" si="9"/>
        <v>73</v>
      </c>
      <c r="M3" s="17">
        <f t="shared" ca="1" si="10"/>
        <v>0</v>
      </c>
      <c r="N3" s="18">
        <f t="shared" ca="1" si="11"/>
        <v>20</v>
      </c>
      <c r="O3" s="17">
        <f t="shared" ca="1" si="12"/>
        <v>0</v>
      </c>
      <c r="P3" s="18">
        <f t="shared" ca="1" si="13"/>
        <v>23.6</v>
      </c>
      <c r="Q3" s="17">
        <f t="shared" ca="1" si="14"/>
        <v>0</v>
      </c>
      <c r="R3" s="10">
        <f t="shared" ca="1" si="15"/>
        <v>90</v>
      </c>
      <c r="S3" s="17">
        <f t="shared" ca="1" si="16"/>
        <v>0</v>
      </c>
      <c r="T3" s="70">
        <f t="shared" ca="1" si="17"/>
        <v>0.4</v>
      </c>
      <c r="U3" s="17">
        <f t="shared" ca="1" si="18"/>
        <v>0</v>
      </c>
      <c r="V3" s="71">
        <f t="shared" ca="1" si="19"/>
        <v>3</v>
      </c>
      <c r="W3" s="17">
        <f t="shared" ca="1" si="20"/>
        <v>0</v>
      </c>
    </row>
    <row r="4" spans="1:23" x14ac:dyDescent="0.25">
      <c r="A4" s="4">
        <f t="shared" si="0"/>
        <v>32</v>
      </c>
      <c r="B4" t="str">
        <f ca="1">TEXT(DATE(YEAR(Invoer!$A$6),1,1)+INT((ROWS(B$2:B4)-1)/4),"jjjjmmdd")</f>
        <v>19400101</v>
      </c>
      <c r="C4" s="64" t="str">
        <f>IF(MOD(ROWS(C$2:C4)-1,4)=3,"24.00",INDEX(Data,3,2+MOD(ROWS(C$2:C4)-1,4)))</f>
        <v>17.00</v>
      </c>
      <c r="D4" s="18">
        <f t="shared" ca="1" si="1"/>
        <v>758.2</v>
      </c>
      <c r="E4" s="17">
        <f t="shared" ca="1" si="2"/>
        <v>0</v>
      </c>
      <c r="F4" s="18">
        <f t="shared" ca="1" si="3"/>
        <v>26.9</v>
      </c>
      <c r="G4" s="17">
        <f t="shared" ca="1" si="4"/>
        <v>0</v>
      </c>
      <c r="H4" s="18" t="str">
        <f t="shared" ca="1" si="5"/>
        <v>—</v>
      </c>
      <c r="I4" s="17">
        <f t="shared" ca="1" si="6"/>
        <v>7</v>
      </c>
      <c r="J4" s="18" t="str">
        <f t="shared" ca="1" si="7"/>
        <v>—</v>
      </c>
      <c r="K4" s="17">
        <f t="shared" ca="1" si="8"/>
        <v>7</v>
      </c>
      <c r="L4" s="10">
        <f t="shared" ca="1" si="9"/>
        <v>76</v>
      </c>
      <c r="M4" s="17">
        <f t="shared" ca="1" si="10"/>
        <v>0</v>
      </c>
      <c r="N4" s="18">
        <f t="shared" ca="1" si="11"/>
        <v>20.2</v>
      </c>
      <c r="O4" s="17">
        <f t="shared" ca="1" si="12"/>
        <v>0</v>
      </c>
      <c r="P4" s="18">
        <f t="shared" ca="1" si="13"/>
        <v>23.6</v>
      </c>
      <c r="Q4" s="17">
        <f t="shared" ca="1" si="14"/>
        <v>0</v>
      </c>
      <c r="R4" s="10">
        <f t="shared" ca="1" si="15"/>
        <v>90</v>
      </c>
      <c r="S4" s="17">
        <f t="shared" ca="1" si="16"/>
        <v>0</v>
      </c>
      <c r="T4" s="70">
        <f t="shared" ca="1" si="17"/>
        <v>0.4</v>
      </c>
      <c r="U4" s="17">
        <f t="shared" ca="1" si="18"/>
        <v>0</v>
      </c>
      <c r="V4" s="71">
        <f t="shared" ca="1" si="19"/>
        <v>3</v>
      </c>
      <c r="W4" s="17">
        <f t="shared" ca="1" si="20"/>
        <v>0</v>
      </c>
    </row>
    <row r="5" spans="1:23" x14ac:dyDescent="0.25">
      <c r="A5" s="4">
        <f t="shared" si="0"/>
        <v>32</v>
      </c>
      <c r="B5" t="str">
        <f ca="1">TEXT(DATE(YEAR(Invoer!$A$6),1,1)+INT((ROWS(B$2:B5)-1)/4),"jjjjmmdd")</f>
        <v>19400101</v>
      </c>
      <c r="C5" s="64" t="str">
        <f>IF(MOD(ROWS(C$2:C5)-1,4)=3,"24.00",INDEX(Data,3,2+MOD(ROWS(C$2:C5)-1,4)))</f>
        <v>24.00</v>
      </c>
      <c r="D5" s="18" t="str">
        <f t="shared" ca="1" si="1"/>
        <v>—</v>
      </c>
      <c r="E5" s="17">
        <f t="shared" ca="1" si="2"/>
        <v>7</v>
      </c>
      <c r="F5" s="18" t="str">
        <f t="shared" ca="1" si="3"/>
        <v>—</v>
      </c>
      <c r="G5" s="17">
        <f t="shared" ca="1" si="4"/>
        <v>7</v>
      </c>
      <c r="H5" s="18">
        <f t="shared" ca="1" si="5"/>
        <v>28</v>
      </c>
      <c r="I5" s="17">
        <f t="shared" ca="1" si="6"/>
        <v>0</v>
      </c>
      <c r="J5" s="18">
        <f t="shared" ca="1" si="7"/>
        <v>29.5</v>
      </c>
      <c r="K5" s="17">
        <f t="shared" ca="1" si="8"/>
        <v>0</v>
      </c>
      <c r="L5" s="10" t="str">
        <f t="shared" ca="1" si="9"/>
        <v>—</v>
      </c>
      <c r="M5" s="17">
        <f t="shared" ca="1" si="10"/>
        <v>7</v>
      </c>
      <c r="N5" s="18" t="str">
        <f t="shared" ca="1" si="11"/>
        <v>—</v>
      </c>
      <c r="O5" s="17">
        <f t="shared" ca="1" si="12"/>
        <v>7</v>
      </c>
      <c r="P5" s="18" t="str">
        <f t="shared" ca="1" si="13"/>
        <v>—</v>
      </c>
      <c r="Q5" s="17">
        <f t="shared" ca="1" si="14"/>
        <v>7</v>
      </c>
      <c r="R5" s="10" t="str">
        <f t="shared" ca="1" si="15"/>
        <v>—</v>
      </c>
      <c r="S5" s="17">
        <f t="shared" ca="1" si="16"/>
        <v>7</v>
      </c>
      <c r="T5" s="70" t="str">
        <f t="shared" ca="1" si="17"/>
        <v>—</v>
      </c>
      <c r="U5" s="17">
        <f t="shared" ca="1" si="18"/>
        <v>7</v>
      </c>
      <c r="V5" s="71" t="str">
        <f t="shared" ca="1" si="19"/>
        <v>—</v>
      </c>
      <c r="W5" s="17">
        <f t="shared" ca="1" si="20"/>
        <v>7</v>
      </c>
    </row>
    <row r="6" spans="1:23" x14ac:dyDescent="0.25">
      <c r="A6" s="4">
        <f t="shared" si="0"/>
        <v>32</v>
      </c>
      <c r="B6" t="str">
        <f ca="1">TEXT(DATE(YEAR(Invoer!$A$6),1,1)+INT((ROWS(B$2:B6)-1)/4),"jjjjmmdd")</f>
        <v>19400102</v>
      </c>
      <c r="C6" s="64" t="str">
        <f>IF(MOD(ROWS(C$2:C6)-1,4)=3,"24.00",INDEX(Data,3,2+MOD(ROWS(C$2:C6)-1,4)))</f>
        <v>07.00</v>
      </c>
      <c r="D6" s="18">
        <f t="shared" ca="1" si="1"/>
        <v>759.2</v>
      </c>
      <c r="E6" s="17">
        <f t="shared" ca="1" si="2"/>
        <v>0</v>
      </c>
      <c r="F6" s="18">
        <f t="shared" ca="1" si="3"/>
        <v>26.1</v>
      </c>
      <c r="G6" s="17">
        <f t="shared" ca="1" si="4"/>
        <v>0</v>
      </c>
      <c r="H6" s="18" t="str">
        <f t="shared" ca="1" si="5"/>
        <v>—</v>
      </c>
      <c r="I6" s="17">
        <f t="shared" ca="1" si="6"/>
        <v>7</v>
      </c>
      <c r="J6" s="18" t="str">
        <f t="shared" ca="1" si="7"/>
        <v>—</v>
      </c>
      <c r="K6" s="17">
        <f t="shared" ca="1" si="8"/>
        <v>7</v>
      </c>
      <c r="L6" s="10">
        <f t="shared" ca="1" si="9"/>
        <v>80</v>
      </c>
      <c r="M6" s="17">
        <f t="shared" ca="1" si="10"/>
        <v>0</v>
      </c>
      <c r="N6" s="18">
        <f t="shared" ca="1" si="11"/>
        <v>20.2</v>
      </c>
      <c r="O6" s="17">
        <f t="shared" ca="1" si="12"/>
        <v>0</v>
      </c>
      <c r="P6" s="18">
        <f t="shared" ca="1" si="13"/>
        <v>23.4</v>
      </c>
      <c r="Q6" s="17">
        <f t="shared" ca="1" si="14"/>
        <v>0</v>
      </c>
      <c r="R6" s="10">
        <f t="shared" ca="1" si="15"/>
        <v>65</v>
      </c>
      <c r="S6" s="17">
        <f t="shared" ca="1" si="16"/>
        <v>0</v>
      </c>
      <c r="T6" s="70">
        <f t="shared" ca="1" si="17"/>
        <v>0.3</v>
      </c>
      <c r="U6" s="17">
        <f t="shared" ca="1" si="18"/>
        <v>0</v>
      </c>
      <c r="V6" s="71">
        <f t="shared" ca="1" si="19"/>
        <v>3</v>
      </c>
      <c r="W6" s="17">
        <f t="shared" ca="1" si="20"/>
        <v>0</v>
      </c>
    </row>
    <row r="7" spans="1:23" x14ac:dyDescent="0.25">
      <c r="A7" s="4">
        <f t="shared" si="0"/>
        <v>32</v>
      </c>
      <c r="B7" t="str">
        <f ca="1">TEXT(DATE(YEAR(Invoer!$A$6),1,1)+INT((ROWS(B$2:B7)-1)/4),"jjjjmmdd")</f>
        <v>19400102</v>
      </c>
      <c r="C7" s="64" t="str">
        <f>IF(MOD(ROWS(C$2:C7)-1,4)=3,"24.00",INDEX(Data,3,2+MOD(ROWS(C$2:C7)-1,4)))</f>
        <v>12.00</v>
      </c>
      <c r="D7" s="18">
        <f t="shared" ca="1" si="1"/>
        <v>759.7</v>
      </c>
      <c r="E7" s="17">
        <f t="shared" ca="1" si="2"/>
        <v>0</v>
      </c>
      <c r="F7" s="18">
        <f t="shared" ca="1" si="3"/>
        <v>27.1</v>
      </c>
      <c r="G7" s="17">
        <f t="shared" ca="1" si="4"/>
        <v>0</v>
      </c>
      <c r="H7" s="18" t="str">
        <f t="shared" ca="1" si="5"/>
        <v>—</v>
      </c>
      <c r="I7" s="17">
        <f t="shared" ca="1" si="6"/>
        <v>7</v>
      </c>
      <c r="J7" s="18" t="str">
        <f t="shared" ca="1" si="7"/>
        <v>—</v>
      </c>
      <c r="K7" s="17">
        <f t="shared" ca="1" si="8"/>
        <v>7</v>
      </c>
      <c r="L7" s="10">
        <f t="shared" ca="1" si="9"/>
        <v>77</v>
      </c>
      <c r="M7" s="17">
        <f t="shared" ca="1" si="10"/>
        <v>0</v>
      </c>
      <c r="N7" s="18">
        <f t="shared" ca="1" si="11"/>
        <v>20.8</v>
      </c>
      <c r="O7" s="17">
        <f t="shared" ca="1" si="12"/>
        <v>0</v>
      </c>
      <c r="P7" s="18">
        <f t="shared" ca="1" si="13"/>
        <v>24</v>
      </c>
      <c r="Q7" s="17">
        <f t="shared" ca="1" si="14"/>
        <v>0</v>
      </c>
      <c r="R7" s="10">
        <f t="shared" ca="1" si="15"/>
        <v>65</v>
      </c>
      <c r="S7" s="17">
        <f t="shared" ca="1" si="16"/>
        <v>0</v>
      </c>
      <c r="T7" s="70">
        <f t="shared" ca="1" si="17"/>
        <v>0.4</v>
      </c>
      <c r="U7" s="17">
        <f t="shared" ca="1" si="18"/>
        <v>0</v>
      </c>
      <c r="V7" s="71">
        <f t="shared" ca="1" si="19"/>
        <v>2</v>
      </c>
      <c r="W7" s="17">
        <f t="shared" ca="1" si="20"/>
        <v>0</v>
      </c>
    </row>
    <row r="8" spans="1:23" x14ac:dyDescent="0.25">
      <c r="A8" s="4">
        <f t="shared" si="0"/>
        <v>32</v>
      </c>
      <c r="B8" t="str">
        <f ca="1">TEXT(DATE(YEAR(Invoer!$A$6),1,1)+INT((ROWS(B$2:B8)-1)/4),"jjjjmmdd")</f>
        <v>19400102</v>
      </c>
      <c r="C8" s="64" t="str">
        <f>IF(MOD(ROWS(C$2:C8)-1,4)=3,"24.00",INDEX(Data,3,2+MOD(ROWS(C$2:C8)-1,4)))</f>
        <v>17.00</v>
      </c>
      <c r="D8" s="18">
        <f t="shared" ca="1" si="1"/>
        <v>758.7</v>
      </c>
      <c r="E8" s="17">
        <f t="shared" ca="1" si="2"/>
        <v>0</v>
      </c>
      <c r="F8" s="18">
        <f t="shared" ca="1" si="3"/>
        <v>26.7</v>
      </c>
      <c r="G8" s="17">
        <f t="shared" ca="1" si="4"/>
        <v>0</v>
      </c>
      <c r="H8" s="18" t="str">
        <f t="shared" ca="1" si="5"/>
        <v>—</v>
      </c>
      <c r="I8" s="17">
        <f t="shared" ca="1" si="6"/>
        <v>7</v>
      </c>
      <c r="J8" s="18" t="str">
        <f t="shared" ca="1" si="7"/>
        <v>—</v>
      </c>
      <c r="K8" s="17">
        <f t="shared" ca="1" si="8"/>
        <v>7</v>
      </c>
      <c r="L8" s="10">
        <f t="shared" ca="1" si="9"/>
        <v>78</v>
      </c>
      <c r="M8" s="17">
        <f t="shared" ca="1" si="10"/>
        <v>0</v>
      </c>
      <c r="N8" s="18">
        <f t="shared" ca="1" si="11"/>
        <v>20.5</v>
      </c>
      <c r="O8" s="17">
        <f t="shared" ca="1" si="12"/>
        <v>0</v>
      </c>
      <c r="P8" s="18">
        <f t="shared" ca="1" si="13"/>
        <v>23.7</v>
      </c>
      <c r="Q8" s="17">
        <f t="shared" ca="1" si="14"/>
        <v>0</v>
      </c>
      <c r="R8" s="10">
        <f t="shared" ca="1" si="15"/>
        <v>45</v>
      </c>
      <c r="S8" s="17">
        <f t="shared" ca="1" si="16"/>
        <v>0</v>
      </c>
      <c r="T8" s="70">
        <f t="shared" ca="1" si="17"/>
        <v>0.5</v>
      </c>
      <c r="U8" s="17">
        <f t="shared" ca="1" si="18"/>
        <v>0</v>
      </c>
      <c r="V8" s="71">
        <f t="shared" ca="1" si="19"/>
        <v>4</v>
      </c>
      <c r="W8" s="17">
        <f t="shared" ca="1" si="20"/>
        <v>0</v>
      </c>
    </row>
    <row r="9" spans="1:23" x14ac:dyDescent="0.25">
      <c r="A9" s="4">
        <f t="shared" si="0"/>
        <v>32</v>
      </c>
      <c r="B9" t="str">
        <f ca="1">TEXT(DATE(YEAR(Invoer!$A$6),1,1)+INT((ROWS(B$2:B9)-1)/4),"jjjjmmdd")</f>
        <v>19400102</v>
      </c>
      <c r="C9" s="64" t="str">
        <f>IF(MOD(ROWS(C$2:C9)-1,4)=3,"24.00",INDEX(Data,3,2+MOD(ROWS(C$2:C9)-1,4)))</f>
        <v>24.00</v>
      </c>
      <c r="D9" s="18" t="str">
        <f t="shared" ca="1" si="1"/>
        <v>—</v>
      </c>
      <c r="E9" s="17">
        <f t="shared" ca="1" si="2"/>
        <v>7</v>
      </c>
      <c r="F9" s="18" t="str">
        <f t="shared" ca="1" si="3"/>
        <v>—</v>
      </c>
      <c r="G9" s="17">
        <f t="shared" ca="1" si="4"/>
        <v>7</v>
      </c>
      <c r="H9" s="18">
        <f t="shared" ca="1" si="5"/>
        <v>26.9</v>
      </c>
      <c r="I9" s="17">
        <f t="shared" ca="1" si="6"/>
        <v>0</v>
      </c>
      <c r="J9" s="18">
        <f t="shared" ca="1" si="7"/>
        <v>28.8</v>
      </c>
      <c r="K9" s="17">
        <f t="shared" ca="1" si="8"/>
        <v>0</v>
      </c>
      <c r="L9" s="10" t="str">
        <f t="shared" ca="1" si="9"/>
        <v>—</v>
      </c>
      <c r="M9" s="17">
        <f t="shared" ca="1" si="10"/>
        <v>7</v>
      </c>
      <c r="N9" s="18" t="str">
        <f t="shared" ca="1" si="11"/>
        <v>—</v>
      </c>
      <c r="O9" s="17">
        <f t="shared" ca="1" si="12"/>
        <v>7</v>
      </c>
      <c r="P9" s="18" t="str">
        <f t="shared" ca="1" si="13"/>
        <v>—</v>
      </c>
      <c r="Q9" s="17">
        <f t="shared" ca="1" si="14"/>
        <v>7</v>
      </c>
      <c r="R9" s="10" t="str">
        <f t="shared" ca="1" si="15"/>
        <v>—</v>
      </c>
      <c r="S9" s="17">
        <f t="shared" ca="1" si="16"/>
        <v>7</v>
      </c>
      <c r="T9" s="70" t="str">
        <f t="shared" ca="1" si="17"/>
        <v>—</v>
      </c>
      <c r="U9" s="17">
        <f t="shared" ca="1" si="18"/>
        <v>7</v>
      </c>
      <c r="V9" s="71" t="str">
        <f t="shared" ca="1" si="19"/>
        <v>—</v>
      </c>
      <c r="W9" s="17">
        <f t="shared" ca="1" si="20"/>
        <v>7</v>
      </c>
    </row>
    <row r="10" spans="1:23" x14ac:dyDescent="0.25">
      <c r="A10" s="4">
        <f t="shared" si="0"/>
        <v>32</v>
      </c>
      <c r="B10" t="str">
        <f ca="1">TEXT(DATE(YEAR(Invoer!$A$6),1,1)+INT((ROWS(B$2:B10)-1)/4),"jjjjmmdd")</f>
        <v>19400103</v>
      </c>
      <c r="C10" s="64" t="str">
        <f>IF(MOD(ROWS(C$2:C10)-1,4)=3,"24.00",INDEX(Data,3,2+MOD(ROWS(C$2:C10)-1,4)))</f>
        <v>07.00</v>
      </c>
      <c r="D10" s="18">
        <f t="shared" ca="1" si="1"/>
        <v>760.7</v>
      </c>
      <c r="E10" s="17">
        <f t="shared" ca="1" si="2"/>
        <v>0</v>
      </c>
      <c r="F10" s="18">
        <f t="shared" ca="1" si="3"/>
        <v>26.1</v>
      </c>
      <c r="G10" s="17">
        <f t="shared" ca="1" si="4"/>
        <v>0</v>
      </c>
      <c r="H10" s="18" t="str">
        <f t="shared" ca="1" si="5"/>
        <v>—</v>
      </c>
      <c r="I10" s="17">
        <f t="shared" ca="1" si="6"/>
        <v>7</v>
      </c>
      <c r="J10" s="18" t="str">
        <f t="shared" ca="1" si="7"/>
        <v>—</v>
      </c>
      <c r="K10" s="17">
        <f t="shared" ca="1" si="8"/>
        <v>7</v>
      </c>
      <c r="L10" s="10">
        <f t="shared" ca="1" si="9"/>
        <v>81</v>
      </c>
      <c r="M10" s="17">
        <f t="shared" ca="1" si="10"/>
        <v>0</v>
      </c>
      <c r="N10" s="18">
        <f t="shared" ca="1" si="11"/>
        <v>20.6</v>
      </c>
      <c r="O10" s="17">
        <f t="shared" ca="1" si="12"/>
        <v>0</v>
      </c>
      <c r="P10" s="18">
        <f t="shared" ca="1" si="13"/>
        <v>23.6</v>
      </c>
      <c r="Q10" s="17">
        <f t="shared" ca="1" si="14"/>
        <v>0</v>
      </c>
      <c r="R10" s="10">
        <f t="shared" ca="1" si="15"/>
        <v>65</v>
      </c>
      <c r="S10" s="17">
        <f t="shared" ca="1" si="16"/>
        <v>0</v>
      </c>
      <c r="T10" s="70">
        <f t="shared" ca="1" si="17"/>
        <v>0.3</v>
      </c>
      <c r="U10" s="17">
        <f t="shared" ca="1" si="18"/>
        <v>0</v>
      </c>
      <c r="V10" s="71">
        <f t="shared" ca="1" si="19"/>
        <v>3</v>
      </c>
      <c r="W10" s="17">
        <f t="shared" ca="1" si="20"/>
        <v>0</v>
      </c>
    </row>
    <row r="11" spans="1:23" x14ac:dyDescent="0.25">
      <c r="A11" s="4">
        <f t="shared" si="0"/>
        <v>32</v>
      </c>
      <c r="B11" t="str">
        <f ca="1">TEXT(DATE(YEAR(Invoer!$A$6),1,1)+INT((ROWS(B$2:B11)-1)/4),"jjjjmmdd")</f>
        <v>19400103</v>
      </c>
      <c r="C11" s="64" t="str">
        <f>IF(MOD(ROWS(C$2:C11)-1,4)=3,"24.00",INDEX(Data,3,2+MOD(ROWS(C$2:C11)-1,4)))</f>
        <v>12.00</v>
      </c>
      <c r="D11" s="18">
        <f t="shared" ca="1" si="1"/>
        <v>760.5</v>
      </c>
      <c r="E11" s="17">
        <f t="shared" ca="1" si="2"/>
        <v>0</v>
      </c>
      <c r="F11" s="18">
        <f t="shared" ca="1" si="3"/>
        <v>29.5</v>
      </c>
      <c r="G11" s="17">
        <f t="shared" ca="1" si="4"/>
        <v>0</v>
      </c>
      <c r="H11" s="18" t="str">
        <f t="shared" ca="1" si="5"/>
        <v>—</v>
      </c>
      <c r="I11" s="17">
        <f t="shared" ca="1" si="6"/>
        <v>7</v>
      </c>
      <c r="J11" s="18" t="str">
        <f t="shared" ca="1" si="7"/>
        <v>—</v>
      </c>
      <c r="K11" s="17">
        <f t="shared" ca="1" si="8"/>
        <v>7</v>
      </c>
      <c r="L11" s="10">
        <f t="shared" ca="1" si="9"/>
        <v>67</v>
      </c>
      <c r="M11" s="17">
        <f t="shared" ca="1" si="10"/>
        <v>0</v>
      </c>
      <c r="N11" s="18">
        <f t="shared" ca="1" si="11"/>
        <v>20.8</v>
      </c>
      <c r="O11" s="17">
        <f t="shared" ca="1" si="12"/>
        <v>0</v>
      </c>
      <c r="P11" s="18">
        <f t="shared" ca="1" si="13"/>
        <v>24.6</v>
      </c>
      <c r="Q11" s="17">
        <f t="shared" ca="1" si="14"/>
        <v>0</v>
      </c>
      <c r="R11" s="10">
        <f t="shared" ca="1" si="15"/>
        <v>65</v>
      </c>
      <c r="S11" s="17">
        <f t="shared" ca="1" si="16"/>
        <v>0</v>
      </c>
      <c r="T11" s="70">
        <f t="shared" ca="1" si="17"/>
        <v>0.4</v>
      </c>
      <c r="U11" s="17">
        <f t="shared" ca="1" si="18"/>
        <v>0</v>
      </c>
      <c r="V11" s="71">
        <f t="shared" ca="1" si="19"/>
        <v>2</v>
      </c>
      <c r="W11" s="17">
        <f t="shared" ca="1" si="20"/>
        <v>0</v>
      </c>
    </row>
    <row r="12" spans="1:23" x14ac:dyDescent="0.25">
      <c r="A12" s="4">
        <f t="shared" si="0"/>
        <v>32</v>
      </c>
      <c r="B12" t="str">
        <f ca="1">TEXT(DATE(YEAR(Invoer!$A$6),1,1)+INT((ROWS(B$2:B12)-1)/4),"jjjjmmdd")</f>
        <v>19400103</v>
      </c>
      <c r="C12" s="64" t="str">
        <f>IF(MOD(ROWS(C$2:C12)-1,4)=3,"24.00",INDEX(Data,3,2+MOD(ROWS(C$2:C12)-1,4)))</f>
        <v>17.00</v>
      </c>
      <c r="D12" s="18">
        <f t="shared" ca="1" si="1"/>
        <v>759.5</v>
      </c>
      <c r="E12" s="17">
        <f t="shared" ca="1" si="2"/>
        <v>0</v>
      </c>
      <c r="F12" s="18">
        <f t="shared" ca="1" si="3"/>
        <v>28.5</v>
      </c>
      <c r="G12" s="17">
        <f t="shared" ca="1" si="4"/>
        <v>0</v>
      </c>
      <c r="H12" s="18" t="str">
        <f t="shared" ca="1" si="5"/>
        <v>—</v>
      </c>
      <c r="I12" s="17">
        <f t="shared" ca="1" si="6"/>
        <v>7</v>
      </c>
      <c r="J12" s="18" t="str">
        <f t="shared" ca="1" si="7"/>
        <v>—</v>
      </c>
      <c r="K12" s="17">
        <f t="shared" ca="1" si="8"/>
        <v>7</v>
      </c>
      <c r="L12" s="10">
        <f t="shared" ca="1" si="9"/>
        <v>68</v>
      </c>
      <c r="M12" s="17">
        <f t="shared" ca="1" si="10"/>
        <v>0</v>
      </c>
      <c r="N12" s="18">
        <f t="shared" ca="1" si="11"/>
        <v>19.8</v>
      </c>
      <c r="O12" s="17">
        <f t="shared" ca="1" si="12"/>
        <v>0</v>
      </c>
      <c r="P12" s="18">
        <f t="shared" ca="1" si="13"/>
        <v>23.8</v>
      </c>
      <c r="Q12" s="17">
        <f t="shared" ca="1" si="14"/>
        <v>0</v>
      </c>
      <c r="R12" s="10">
        <f t="shared" ca="1" si="15"/>
        <v>65</v>
      </c>
      <c r="S12" s="17">
        <f t="shared" ca="1" si="16"/>
        <v>0</v>
      </c>
      <c r="T12" s="70">
        <f t="shared" ca="1" si="17"/>
        <v>0.5</v>
      </c>
      <c r="U12" s="17">
        <f t="shared" ca="1" si="18"/>
        <v>0</v>
      </c>
      <c r="V12" s="71">
        <f t="shared" ca="1" si="19"/>
        <v>4</v>
      </c>
      <c r="W12" s="17">
        <f t="shared" ca="1" si="20"/>
        <v>0</v>
      </c>
    </row>
    <row r="13" spans="1:23" x14ac:dyDescent="0.25">
      <c r="A13" s="4">
        <f t="shared" si="0"/>
        <v>32</v>
      </c>
      <c r="B13" t="str">
        <f ca="1">TEXT(DATE(YEAR(Invoer!$A$6),1,1)+INT((ROWS(B$2:B13)-1)/4),"jjjjmmdd")</f>
        <v>19400103</v>
      </c>
      <c r="C13" s="64" t="str">
        <f>IF(MOD(ROWS(C$2:C13)-1,4)=3,"24.00",INDEX(Data,3,2+MOD(ROWS(C$2:C13)-1,4)))</f>
        <v>24.00</v>
      </c>
      <c r="D13" s="18" t="str">
        <f t="shared" ca="1" si="1"/>
        <v>—</v>
      </c>
      <c r="E13" s="17">
        <f t="shared" ca="1" si="2"/>
        <v>7</v>
      </c>
      <c r="F13" s="18" t="str">
        <f t="shared" ca="1" si="3"/>
        <v>—</v>
      </c>
      <c r="G13" s="17">
        <f t="shared" ca="1" si="4"/>
        <v>7</v>
      </c>
      <c r="H13" s="18">
        <f t="shared" ca="1" si="5"/>
        <v>27</v>
      </c>
      <c r="I13" s="17">
        <f t="shared" ca="1" si="6"/>
        <v>0</v>
      </c>
      <c r="J13" s="18">
        <f t="shared" ca="1" si="7"/>
        <v>30.8</v>
      </c>
      <c r="K13" s="17">
        <f t="shared" ca="1" si="8"/>
        <v>0</v>
      </c>
      <c r="L13" s="10" t="str">
        <f t="shared" ca="1" si="9"/>
        <v>—</v>
      </c>
      <c r="M13" s="17">
        <f t="shared" ca="1" si="10"/>
        <v>7</v>
      </c>
      <c r="N13" s="18" t="str">
        <f t="shared" ca="1" si="11"/>
        <v>—</v>
      </c>
      <c r="O13" s="17">
        <f t="shared" ca="1" si="12"/>
        <v>7</v>
      </c>
      <c r="P13" s="18" t="str">
        <f t="shared" ca="1" si="13"/>
        <v>—</v>
      </c>
      <c r="Q13" s="17">
        <f t="shared" ca="1" si="14"/>
        <v>7</v>
      </c>
      <c r="R13" s="10" t="str">
        <f t="shared" ca="1" si="15"/>
        <v>—</v>
      </c>
      <c r="S13" s="17">
        <f t="shared" ca="1" si="16"/>
        <v>7</v>
      </c>
      <c r="T13" s="70" t="str">
        <f t="shared" ca="1" si="17"/>
        <v>—</v>
      </c>
      <c r="U13" s="17">
        <f t="shared" ca="1" si="18"/>
        <v>7</v>
      </c>
      <c r="V13" s="71" t="str">
        <f t="shared" ca="1" si="19"/>
        <v>—</v>
      </c>
      <c r="W13" s="17">
        <f t="shared" ca="1" si="20"/>
        <v>7</v>
      </c>
    </row>
    <row r="14" spans="1:23" x14ac:dyDescent="0.25">
      <c r="A14" s="4">
        <f t="shared" si="0"/>
        <v>32</v>
      </c>
      <c r="B14" t="str">
        <f ca="1">TEXT(DATE(YEAR(Invoer!$A$6),1,1)+INT((ROWS(B$2:B14)-1)/4),"jjjjmmdd")</f>
        <v>19400104</v>
      </c>
      <c r="C14" s="64" t="str">
        <f>IF(MOD(ROWS(C$2:C14)-1,4)=3,"24.00",INDEX(Data,3,2+MOD(ROWS(C$2:C14)-1,4)))</f>
        <v>07.00</v>
      </c>
      <c r="D14" s="18">
        <f t="shared" ca="1" si="1"/>
        <v>760.5</v>
      </c>
      <c r="E14" s="17">
        <f t="shared" ca="1" si="2"/>
        <v>0</v>
      </c>
      <c r="F14" s="18">
        <f t="shared" ca="1" si="3"/>
        <v>26.3</v>
      </c>
      <c r="G14" s="17">
        <f t="shared" ca="1" si="4"/>
        <v>0</v>
      </c>
      <c r="H14" s="18" t="str">
        <f t="shared" ca="1" si="5"/>
        <v>—</v>
      </c>
      <c r="I14" s="17">
        <f t="shared" ca="1" si="6"/>
        <v>7</v>
      </c>
      <c r="J14" s="18" t="str">
        <f t="shared" ca="1" si="7"/>
        <v>—</v>
      </c>
      <c r="K14" s="17">
        <f t="shared" ca="1" si="8"/>
        <v>7</v>
      </c>
      <c r="L14" s="10">
        <f t="shared" ca="1" si="9"/>
        <v>82</v>
      </c>
      <c r="M14" s="17">
        <f t="shared" ca="1" si="10"/>
        <v>0</v>
      </c>
      <c r="N14" s="18">
        <f t="shared" ca="1" si="11"/>
        <v>21</v>
      </c>
      <c r="O14" s="17">
        <f t="shared" ca="1" si="12"/>
        <v>0</v>
      </c>
      <c r="P14" s="18">
        <f t="shared" ca="1" si="13"/>
        <v>23.9</v>
      </c>
      <c r="Q14" s="17">
        <f t="shared" ca="1" si="14"/>
        <v>0</v>
      </c>
      <c r="R14" s="10">
        <f t="shared" ca="1" si="15"/>
        <v>65</v>
      </c>
      <c r="S14" s="17">
        <f t="shared" ca="1" si="16"/>
        <v>0</v>
      </c>
      <c r="T14" s="70">
        <f t="shared" ca="1" si="17"/>
        <v>0.3</v>
      </c>
      <c r="U14" s="17">
        <f t="shared" ca="1" si="18"/>
        <v>0</v>
      </c>
      <c r="V14" s="71">
        <f t="shared" ca="1" si="19"/>
        <v>2</v>
      </c>
      <c r="W14" s="17">
        <f t="shared" ca="1" si="20"/>
        <v>0</v>
      </c>
    </row>
    <row r="15" spans="1:23" x14ac:dyDescent="0.25">
      <c r="A15" s="4">
        <f t="shared" si="0"/>
        <v>32</v>
      </c>
      <c r="B15" t="str">
        <f ca="1">TEXT(DATE(YEAR(Invoer!$A$6),1,1)+INT((ROWS(B$2:B15)-1)/4),"jjjjmmdd")</f>
        <v>19400104</v>
      </c>
      <c r="C15" s="64" t="str">
        <f>IF(MOD(ROWS(C$2:C15)-1,4)=3,"24.00",INDEX(Data,3,2+MOD(ROWS(C$2:C15)-1,4)))</f>
        <v>12.00</v>
      </c>
      <c r="D15" s="18">
        <f t="shared" ca="1" si="1"/>
        <v>758.2</v>
      </c>
      <c r="E15" s="17">
        <f t="shared" ca="1" si="2"/>
        <v>0</v>
      </c>
      <c r="F15" s="18">
        <f t="shared" ca="1" si="3"/>
        <v>28.1</v>
      </c>
      <c r="G15" s="17">
        <f t="shared" ca="1" si="4"/>
        <v>0</v>
      </c>
      <c r="H15" s="18" t="str">
        <f t="shared" ca="1" si="5"/>
        <v>—</v>
      </c>
      <c r="I15" s="17">
        <f t="shared" ca="1" si="6"/>
        <v>7</v>
      </c>
      <c r="J15" s="18" t="str">
        <f t="shared" ca="1" si="7"/>
        <v>—</v>
      </c>
      <c r="K15" s="17">
        <f t="shared" ca="1" si="8"/>
        <v>7</v>
      </c>
      <c r="L15" s="10">
        <f t="shared" ca="1" si="9"/>
        <v>72</v>
      </c>
      <c r="M15" s="17">
        <f t="shared" ca="1" si="10"/>
        <v>0</v>
      </c>
      <c r="N15" s="18">
        <f t="shared" ca="1" si="11"/>
        <v>20.7</v>
      </c>
      <c r="O15" s="17">
        <f t="shared" ca="1" si="12"/>
        <v>0</v>
      </c>
      <c r="P15" s="18">
        <f t="shared" ca="1" si="13"/>
        <v>24.2</v>
      </c>
      <c r="Q15" s="17">
        <f t="shared" ca="1" si="14"/>
        <v>0</v>
      </c>
      <c r="R15" s="10">
        <f t="shared" ca="1" si="15"/>
        <v>65</v>
      </c>
      <c r="S15" s="17">
        <f t="shared" ca="1" si="16"/>
        <v>0</v>
      </c>
      <c r="T15" s="70">
        <f t="shared" ca="1" si="17"/>
        <v>0.5</v>
      </c>
      <c r="U15" s="17">
        <f t="shared" ca="1" si="18"/>
        <v>0</v>
      </c>
      <c r="V15" s="71">
        <f t="shared" ca="1" si="19"/>
        <v>4</v>
      </c>
      <c r="W15" s="17">
        <f t="shared" ca="1" si="20"/>
        <v>0</v>
      </c>
    </row>
    <row r="16" spans="1:23" x14ac:dyDescent="0.25">
      <c r="A16" s="4">
        <f t="shared" si="0"/>
        <v>32</v>
      </c>
      <c r="B16" t="str">
        <f ca="1">TEXT(DATE(YEAR(Invoer!$A$6),1,1)+INT((ROWS(B$2:B16)-1)/4),"jjjjmmdd")</f>
        <v>19400104</v>
      </c>
      <c r="C16" s="64" t="str">
        <f>IF(MOD(ROWS(C$2:C16)-1,4)=3,"24.00",INDEX(Data,3,2+MOD(ROWS(C$2:C16)-1,4)))</f>
        <v>17.00</v>
      </c>
      <c r="D16" s="18">
        <f t="shared" ca="1" si="1"/>
        <v>758.2</v>
      </c>
      <c r="E16" s="17">
        <f t="shared" ca="1" si="2"/>
        <v>0</v>
      </c>
      <c r="F16" s="18">
        <f t="shared" ca="1" si="3"/>
        <v>27.3</v>
      </c>
      <c r="G16" s="17">
        <f t="shared" ca="1" si="4"/>
        <v>0</v>
      </c>
      <c r="H16" s="18" t="str">
        <f t="shared" ca="1" si="5"/>
        <v>—</v>
      </c>
      <c r="I16" s="17">
        <f t="shared" ca="1" si="6"/>
        <v>7</v>
      </c>
      <c r="J16" s="18" t="str">
        <f t="shared" ca="1" si="7"/>
        <v>—</v>
      </c>
      <c r="K16" s="17">
        <f t="shared" ca="1" si="8"/>
        <v>7</v>
      </c>
      <c r="L16" s="10">
        <f t="shared" ca="1" si="9"/>
        <v>75</v>
      </c>
      <c r="M16" s="17">
        <f t="shared" ca="1" si="10"/>
        <v>0</v>
      </c>
      <c r="N16" s="18">
        <f t="shared" ca="1" si="11"/>
        <v>20.399999999999999</v>
      </c>
      <c r="O16" s="17">
        <f t="shared" ca="1" si="12"/>
        <v>0</v>
      </c>
      <c r="P16" s="18">
        <f t="shared" ca="1" si="13"/>
        <v>23.8</v>
      </c>
      <c r="Q16" s="17">
        <f t="shared" ca="1" si="14"/>
        <v>0</v>
      </c>
      <c r="R16" s="10">
        <f t="shared" ca="1" si="15"/>
        <v>65</v>
      </c>
      <c r="S16" s="17">
        <f t="shared" ca="1" si="16"/>
        <v>0</v>
      </c>
      <c r="T16" s="70">
        <f t="shared" ca="1" si="17"/>
        <v>0.5</v>
      </c>
      <c r="U16" s="17">
        <f t="shared" ca="1" si="18"/>
        <v>0</v>
      </c>
      <c r="V16" s="71">
        <f t="shared" ca="1" si="19"/>
        <v>4</v>
      </c>
      <c r="W16" s="17">
        <f t="shared" ca="1" si="20"/>
        <v>0</v>
      </c>
    </row>
    <row r="17" spans="1:23" x14ac:dyDescent="0.25">
      <c r="A17" s="4">
        <f t="shared" si="0"/>
        <v>32</v>
      </c>
      <c r="B17" t="str">
        <f ca="1">TEXT(DATE(YEAR(Invoer!$A$6),1,1)+INT((ROWS(B$2:B17)-1)/4),"jjjjmmdd")</f>
        <v>19400104</v>
      </c>
      <c r="C17" s="64" t="str">
        <f>IF(MOD(ROWS(C$2:C17)-1,4)=3,"24.00",INDEX(Data,3,2+MOD(ROWS(C$2:C17)-1,4)))</f>
        <v>24.00</v>
      </c>
      <c r="D17" s="18" t="str">
        <f t="shared" ca="1" si="1"/>
        <v>—</v>
      </c>
      <c r="E17" s="17">
        <f t="shared" ca="1" si="2"/>
        <v>7</v>
      </c>
      <c r="F17" s="18" t="str">
        <f t="shared" ca="1" si="3"/>
        <v>—</v>
      </c>
      <c r="G17" s="17">
        <f t="shared" ca="1" si="4"/>
        <v>7</v>
      </c>
      <c r="H17" s="18">
        <f t="shared" ca="1" si="5"/>
        <v>27.4</v>
      </c>
      <c r="I17" s="17">
        <f t="shared" ca="1" si="6"/>
        <v>0</v>
      </c>
      <c r="J17" s="18">
        <f t="shared" ca="1" si="7"/>
        <v>29.4</v>
      </c>
      <c r="K17" s="17">
        <f t="shared" ca="1" si="8"/>
        <v>0</v>
      </c>
      <c r="L17" s="10" t="str">
        <f t="shared" ca="1" si="9"/>
        <v>—</v>
      </c>
      <c r="M17" s="17">
        <f t="shared" ca="1" si="10"/>
        <v>7</v>
      </c>
      <c r="N17" s="18" t="str">
        <f t="shared" ca="1" si="11"/>
        <v>—</v>
      </c>
      <c r="O17" s="17">
        <f t="shared" ca="1" si="12"/>
        <v>7</v>
      </c>
      <c r="P17" s="18" t="str">
        <f t="shared" ca="1" si="13"/>
        <v>—</v>
      </c>
      <c r="Q17" s="17">
        <f t="shared" ca="1" si="14"/>
        <v>7</v>
      </c>
      <c r="R17" s="10" t="str">
        <f t="shared" ca="1" si="15"/>
        <v>—</v>
      </c>
      <c r="S17" s="17">
        <f t="shared" ca="1" si="16"/>
        <v>7</v>
      </c>
      <c r="T17" s="70" t="str">
        <f t="shared" ca="1" si="17"/>
        <v>—</v>
      </c>
      <c r="U17" s="17">
        <f t="shared" ca="1" si="18"/>
        <v>7</v>
      </c>
      <c r="V17" s="71" t="str">
        <f t="shared" ca="1" si="19"/>
        <v>—</v>
      </c>
      <c r="W17" s="17">
        <f t="shared" ca="1" si="20"/>
        <v>7</v>
      </c>
    </row>
    <row r="18" spans="1:23" x14ac:dyDescent="0.25">
      <c r="A18" s="4">
        <f t="shared" si="0"/>
        <v>32</v>
      </c>
      <c r="B18" t="str">
        <f ca="1">TEXT(DATE(YEAR(Invoer!$A$6),1,1)+INT((ROWS(B$2:B18)-1)/4),"jjjjmmdd")</f>
        <v>19400105</v>
      </c>
      <c r="C18" s="64" t="str">
        <f>IF(MOD(ROWS(C$2:C18)-1,4)=3,"24.00",INDEX(Data,3,2+MOD(ROWS(C$2:C18)-1,4)))</f>
        <v>07.00</v>
      </c>
      <c r="D18" s="18">
        <f t="shared" ca="1" si="1"/>
        <v>761</v>
      </c>
      <c r="E18" s="17">
        <f t="shared" ca="1" si="2"/>
        <v>0</v>
      </c>
      <c r="F18" s="18">
        <f t="shared" ca="1" si="3"/>
        <v>26.7</v>
      </c>
      <c r="G18" s="17">
        <f t="shared" ca="1" si="4"/>
        <v>0</v>
      </c>
      <c r="H18" s="18" t="str">
        <f t="shared" ca="1" si="5"/>
        <v>—</v>
      </c>
      <c r="I18" s="17">
        <f t="shared" ca="1" si="6"/>
        <v>7</v>
      </c>
      <c r="J18" s="18" t="str">
        <f t="shared" ca="1" si="7"/>
        <v>—</v>
      </c>
      <c r="K18" s="17">
        <f t="shared" ca="1" si="8"/>
        <v>7</v>
      </c>
      <c r="L18" s="10">
        <f t="shared" ca="1" si="9"/>
        <v>77</v>
      </c>
      <c r="M18" s="17">
        <f t="shared" ca="1" si="10"/>
        <v>0</v>
      </c>
      <c r="N18" s="18">
        <f t="shared" ca="1" si="11"/>
        <v>20.3</v>
      </c>
      <c r="O18" s="17">
        <f t="shared" ca="1" si="12"/>
        <v>0</v>
      </c>
      <c r="P18" s="18">
        <f t="shared" ca="1" si="13"/>
        <v>23.6</v>
      </c>
      <c r="Q18" s="17">
        <f t="shared" ca="1" si="14"/>
        <v>0</v>
      </c>
      <c r="R18" s="10">
        <f t="shared" ca="1" si="15"/>
        <v>65</v>
      </c>
      <c r="S18" s="17">
        <f t="shared" ca="1" si="16"/>
        <v>0</v>
      </c>
      <c r="T18" s="70">
        <f t="shared" ca="1" si="17"/>
        <v>0.4</v>
      </c>
      <c r="U18" s="17">
        <f t="shared" ca="1" si="18"/>
        <v>0</v>
      </c>
      <c r="V18" s="71">
        <f t="shared" ca="1" si="19"/>
        <v>3</v>
      </c>
      <c r="W18" s="17">
        <f t="shared" ca="1" si="20"/>
        <v>0</v>
      </c>
    </row>
    <row r="19" spans="1:23" x14ac:dyDescent="0.25">
      <c r="A19" s="4">
        <f t="shared" si="0"/>
        <v>32</v>
      </c>
      <c r="B19" t="str">
        <f ca="1">TEXT(DATE(YEAR(Invoer!$A$6),1,1)+INT((ROWS(B$2:B19)-1)/4),"jjjjmmdd")</f>
        <v>19400105</v>
      </c>
      <c r="C19" s="64" t="str">
        <f>IF(MOD(ROWS(C$2:C19)-1,4)=3,"24.00",INDEX(Data,3,2+MOD(ROWS(C$2:C19)-1,4)))</f>
        <v>12.00</v>
      </c>
      <c r="D19" s="18">
        <f t="shared" ca="1" si="1"/>
        <v>761.2</v>
      </c>
      <c r="E19" s="17">
        <f t="shared" ca="1" si="2"/>
        <v>0</v>
      </c>
      <c r="F19" s="18">
        <f t="shared" ca="1" si="3"/>
        <v>29.5</v>
      </c>
      <c r="G19" s="17">
        <f t="shared" ca="1" si="4"/>
        <v>0</v>
      </c>
      <c r="H19" s="18" t="str">
        <f t="shared" ca="1" si="5"/>
        <v>—</v>
      </c>
      <c r="I19" s="17">
        <f t="shared" ca="1" si="6"/>
        <v>7</v>
      </c>
      <c r="J19" s="18" t="str">
        <f t="shared" ca="1" si="7"/>
        <v>—</v>
      </c>
      <c r="K19" s="17">
        <f t="shared" ca="1" si="8"/>
        <v>7</v>
      </c>
      <c r="L19" s="10">
        <f t="shared" ca="1" si="9"/>
        <v>68</v>
      </c>
      <c r="M19" s="17">
        <f t="shared" ca="1" si="10"/>
        <v>0</v>
      </c>
      <c r="N19" s="18">
        <f t="shared" ca="1" si="11"/>
        <v>21.1</v>
      </c>
      <c r="O19" s="17">
        <f t="shared" ca="1" si="12"/>
        <v>0</v>
      </c>
      <c r="P19" s="18">
        <f t="shared" ca="1" si="13"/>
        <v>24.8</v>
      </c>
      <c r="Q19" s="17">
        <f t="shared" ca="1" si="14"/>
        <v>0</v>
      </c>
      <c r="R19" s="10">
        <f t="shared" ca="1" si="15"/>
        <v>65</v>
      </c>
      <c r="S19" s="17">
        <f t="shared" ca="1" si="16"/>
        <v>0</v>
      </c>
      <c r="T19" s="70">
        <f t="shared" ca="1" si="17"/>
        <v>0.4</v>
      </c>
      <c r="U19" s="17">
        <f t="shared" ca="1" si="18"/>
        <v>0</v>
      </c>
      <c r="V19" s="71">
        <f t="shared" ca="1" si="19"/>
        <v>5</v>
      </c>
      <c r="W19" s="17">
        <f t="shared" ca="1" si="20"/>
        <v>0</v>
      </c>
    </row>
    <row r="20" spans="1:23" x14ac:dyDescent="0.25">
      <c r="A20" s="4">
        <f t="shared" si="0"/>
        <v>32</v>
      </c>
      <c r="B20" t="str">
        <f ca="1">TEXT(DATE(YEAR(Invoer!$A$6),1,1)+INT((ROWS(B$2:B20)-1)/4),"jjjjmmdd")</f>
        <v>19400105</v>
      </c>
      <c r="C20" s="64" t="str">
        <f>IF(MOD(ROWS(C$2:C20)-1,4)=3,"24.00",INDEX(Data,3,2+MOD(ROWS(C$2:C20)-1,4)))</f>
        <v>17.00</v>
      </c>
      <c r="D20" s="18">
        <f t="shared" ca="1" si="1"/>
        <v>759.7</v>
      </c>
      <c r="E20" s="17">
        <f t="shared" ca="1" si="2"/>
        <v>0</v>
      </c>
      <c r="F20" s="18">
        <f t="shared" ca="1" si="3"/>
        <v>27.9</v>
      </c>
      <c r="G20" s="17">
        <f t="shared" ca="1" si="4"/>
        <v>0</v>
      </c>
      <c r="H20" s="18" t="str">
        <f t="shared" ca="1" si="5"/>
        <v>—</v>
      </c>
      <c r="I20" s="17">
        <f t="shared" ca="1" si="6"/>
        <v>7</v>
      </c>
      <c r="J20" s="18" t="str">
        <f t="shared" ca="1" si="7"/>
        <v>—</v>
      </c>
      <c r="K20" s="17">
        <f t="shared" ca="1" si="8"/>
        <v>7</v>
      </c>
      <c r="L20" s="10">
        <f t="shared" ca="1" si="9"/>
        <v>72</v>
      </c>
      <c r="M20" s="17">
        <f t="shared" ca="1" si="10"/>
        <v>0</v>
      </c>
      <c r="N20" s="18">
        <f t="shared" ca="1" si="11"/>
        <v>20.2</v>
      </c>
      <c r="O20" s="17">
        <f t="shared" ca="1" si="12"/>
        <v>0</v>
      </c>
      <c r="P20" s="18">
        <f t="shared" ca="1" si="13"/>
        <v>23.9</v>
      </c>
      <c r="Q20" s="17">
        <f t="shared" ca="1" si="14"/>
        <v>0</v>
      </c>
      <c r="R20" s="10">
        <f t="shared" ca="1" si="15"/>
        <v>65</v>
      </c>
      <c r="S20" s="17">
        <f t="shared" ca="1" si="16"/>
        <v>0</v>
      </c>
      <c r="T20" s="70">
        <f t="shared" ca="1" si="17"/>
        <v>0.5</v>
      </c>
      <c r="U20" s="17">
        <f t="shared" ca="1" si="18"/>
        <v>0</v>
      </c>
      <c r="V20" s="71">
        <f t="shared" ca="1" si="19"/>
        <v>4</v>
      </c>
      <c r="W20" s="17">
        <f t="shared" ca="1" si="20"/>
        <v>0</v>
      </c>
    </row>
    <row r="21" spans="1:23" x14ac:dyDescent="0.25">
      <c r="A21" s="4">
        <f t="shared" si="0"/>
        <v>32</v>
      </c>
      <c r="B21" t="str">
        <f ca="1">TEXT(DATE(YEAR(Invoer!$A$6),1,1)+INT((ROWS(B$2:B21)-1)/4),"jjjjmmdd")</f>
        <v>19400105</v>
      </c>
      <c r="C21" s="64" t="str">
        <f>IF(MOD(ROWS(C$2:C21)-1,4)=3,"24.00",INDEX(Data,3,2+MOD(ROWS(C$2:C21)-1,4)))</f>
        <v>24.00</v>
      </c>
      <c r="D21" s="18" t="str">
        <f t="shared" ca="1" si="1"/>
        <v>—</v>
      </c>
      <c r="E21" s="17">
        <f t="shared" ca="1" si="2"/>
        <v>7</v>
      </c>
      <c r="F21" s="18" t="str">
        <f t="shared" ca="1" si="3"/>
        <v>—</v>
      </c>
      <c r="G21" s="17">
        <f t="shared" ca="1" si="4"/>
        <v>7</v>
      </c>
      <c r="H21" s="18">
        <f t="shared" ca="1" si="5"/>
        <v>27.2</v>
      </c>
      <c r="I21" s="17">
        <f t="shared" ca="1" si="6"/>
        <v>0</v>
      </c>
      <c r="J21" s="18">
        <f t="shared" ca="1" si="7"/>
        <v>31.4</v>
      </c>
      <c r="K21" s="17">
        <f t="shared" ca="1" si="8"/>
        <v>0</v>
      </c>
      <c r="L21" s="10" t="str">
        <f t="shared" ca="1" si="9"/>
        <v>—</v>
      </c>
      <c r="M21" s="17">
        <f t="shared" ca="1" si="10"/>
        <v>7</v>
      </c>
      <c r="N21" s="18" t="str">
        <f t="shared" ca="1" si="11"/>
        <v>—</v>
      </c>
      <c r="O21" s="17">
        <f t="shared" ca="1" si="12"/>
        <v>7</v>
      </c>
      <c r="P21" s="18" t="str">
        <f t="shared" ca="1" si="13"/>
        <v>—</v>
      </c>
      <c r="Q21" s="17">
        <f t="shared" ca="1" si="14"/>
        <v>7</v>
      </c>
      <c r="R21" s="10" t="str">
        <f t="shared" ca="1" si="15"/>
        <v>—</v>
      </c>
      <c r="S21" s="17">
        <f t="shared" ca="1" si="16"/>
        <v>7</v>
      </c>
      <c r="T21" s="70" t="str">
        <f t="shared" ca="1" si="17"/>
        <v>—</v>
      </c>
      <c r="U21" s="17">
        <f t="shared" ca="1" si="18"/>
        <v>7</v>
      </c>
      <c r="V21" s="71" t="str">
        <f t="shared" ca="1" si="19"/>
        <v>—</v>
      </c>
      <c r="W21" s="17">
        <f t="shared" ca="1" si="20"/>
        <v>7</v>
      </c>
    </row>
    <row r="22" spans="1:23" x14ac:dyDescent="0.25">
      <c r="A22" s="4">
        <f t="shared" si="0"/>
        <v>32</v>
      </c>
      <c r="B22" t="str">
        <f ca="1">TEXT(DATE(YEAR(Invoer!$A$6),1,1)+INT((ROWS(B$2:B22)-1)/4),"jjjjmmdd")</f>
        <v>19400106</v>
      </c>
      <c r="C22" s="64" t="str">
        <f>IF(MOD(ROWS(C$2:C22)-1,4)=3,"24.00",INDEX(Data,3,2+MOD(ROWS(C$2:C22)-1,4)))</f>
        <v>07.00</v>
      </c>
      <c r="D22" s="18">
        <f t="shared" ca="1" si="1"/>
        <v>760.5</v>
      </c>
      <c r="E22" s="17">
        <f t="shared" ca="1" si="2"/>
        <v>0</v>
      </c>
      <c r="F22" s="18">
        <f t="shared" ca="1" si="3"/>
        <v>26.9</v>
      </c>
      <c r="G22" s="17">
        <f t="shared" ca="1" si="4"/>
        <v>0</v>
      </c>
      <c r="H22" s="18" t="str">
        <f t="shared" ca="1" si="5"/>
        <v>—</v>
      </c>
      <c r="I22" s="17">
        <f t="shared" ca="1" si="6"/>
        <v>7</v>
      </c>
      <c r="J22" s="18" t="str">
        <f t="shared" ca="1" si="7"/>
        <v>—</v>
      </c>
      <c r="K22" s="17">
        <f t="shared" ca="1" si="8"/>
        <v>7</v>
      </c>
      <c r="L22" s="10">
        <f t="shared" ca="1" si="9"/>
        <v>77</v>
      </c>
      <c r="M22" s="17">
        <f t="shared" ca="1" si="10"/>
        <v>0</v>
      </c>
      <c r="N22" s="18">
        <f t="shared" ca="1" si="11"/>
        <v>20.6</v>
      </c>
      <c r="O22" s="17">
        <f t="shared" ca="1" si="12"/>
        <v>0</v>
      </c>
      <c r="P22" s="18">
        <f t="shared" ca="1" si="13"/>
        <v>23.8</v>
      </c>
      <c r="Q22" s="17">
        <f t="shared" ca="1" si="14"/>
        <v>0</v>
      </c>
      <c r="R22" s="10">
        <f t="shared" ca="1" si="15"/>
        <v>65</v>
      </c>
      <c r="S22" s="17">
        <f t="shared" ca="1" si="16"/>
        <v>0</v>
      </c>
      <c r="T22" s="70">
        <f t="shared" ca="1" si="17"/>
        <v>0.4</v>
      </c>
      <c r="U22" s="17">
        <f t="shared" ca="1" si="18"/>
        <v>0</v>
      </c>
      <c r="V22" s="71">
        <f t="shared" ca="1" si="19"/>
        <v>4</v>
      </c>
      <c r="W22" s="17">
        <f t="shared" ca="1" si="20"/>
        <v>0</v>
      </c>
    </row>
    <row r="23" spans="1:23" x14ac:dyDescent="0.25">
      <c r="A23" s="4">
        <f t="shared" si="0"/>
        <v>32</v>
      </c>
      <c r="B23" t="str">
        <f ca="1">TEXT(DATE(YEAR(Invoer!$A$6),1,1)+INT((ROWS(B$2:B23)-1)/4),"jjjjmmdd")</f>
        <v>19400106</v>
      </c>
      <c r="C23" s="64" t="str">
        <f>IF(MOD(ROWS(C$2:C23)-1,4)=3,"24.00",INDEX(Data,3,2+MOD(ROWS(C$2:C23)-1,4)))</f>
        <v>12.00</v>
      </c>
      <c r="D23" s="18">
        <f t="shared" ca="1" si="1"/>
        <v>760</v>
      </c>
      <c r="E23" s="17">
        <f t="shared" ca="1" si="2"/>
        <v>0</v>
      </c>
      <c r="F23" s="18">
        <f t="shared" ca="1" si="3"/>
        <v>29.3</v>
      </c>
      <c r="G23" s="17">
        <f t="shared" ca="1" si="4"/>
        <v>0</v>
      </c>
      <c r="H23" s="18" t="str">
        <f t="shared" ca="1" si="5"/>
        <v>—</v>
      </c>
      <c r="I23" s="17">
        <f t="shared" ca="1" si="6"/>
        <v>7</v>
      </c>
      <c r="J23" s="18" t="str">
        <f t="shared" ca="1" si="7"/>
        <v>—</v>
      </c>
      <c r="K23" s="17">
        <f t="shared" ca="1" si="8"/>
        <v>7</v>
      </c>
      <c r="L23" s="10">
        <f t="shared" ca="1" si="9"/>
        <v>68</v>
      </c>
      <c r="M23" s="17">
        <f t="shared" ca="1" si="10"/>
        <v>0</v>
      </c>
      <c r="N23" s="18">
        <f t="shared" ca="1" si="11"/>
        <v>20.9</v>
      </c>
      <c r="O23" s="17">
        <f t="shared" ca="1" si="12"/>
        <v>0</v>
      </c>
      <c r="P23" s="18">
        <f t="shared" ca="1" si="13"/>
        <v>24.6</v>
      </c>
      <c r="Q23" s="17">
        <f t="shared" ca="1" si="14"/>
        <v>0</v>
      </c>
      <c r="R23" s="10">
        <f t="shared" ca="1" si="15"/>
        <v>65</v>
      </c>
      <c r="S23" s="17">
        <f t="shared" ca="1" si="16"/>
        <v>0</v>
      </c>
      <c r="T23" s="70">
        <f t="shared" ca="1" si="17"/>
        <v>0.5</v>
      </c>
      <c r="U23" s="17">
        <f t="shared" ca="1" si="18"/>
        <v>0</v>
      </c>
      <c r="V23" s="71">
        <f t="shared" ca="1" si="19"/>
        <v>5</v>
      </c>
      <c r="W23" s="17">
        <f t="shared" ca="1" si="20"/>
        <v>0</v>
      </c>
    </row>
    <row r="24" spans="1:23" x14ac:dyDescent="0.25">
      <c r="A24" s="4">
        <f t="shared" si="0"/>
        <v>32</v>
      </c>
      <c r="B24" t="str">
        <f ca="1">TEXT(DATE(YEAR(Invoer!$A$6),1,1)+INT((ROWS(B$2:B24)-1)/4),"jjjjmmdd")</f>
        <v>19400106</v>
      </c>
      <c r="C24" s="64" t="str">
        <f>IF(MOD(ROWS(C$2:C24)-1,4)=3,"24.00",INDEX(Data,3,2+MOD(ROWS(C$2:C24)-1,4)))</f>
        <v>17.00</v>
      </c>
      <c r="D24" s="18">
        <f t="shared" ca="1" si="1"/>
        <v>759.2</v>
      </c>
      <c r="E24" s="17">
        <f t="shared" ca="1" si="2"/>
        <v>0</v>
      </c>
      <c r="F24" s="18">
        <f t="shared" ca="1" si="3"/>
        <v>28.4</v>
      </c>
      <c r="G24" s="17">
        <f t="shared" ca="1" si="4"/>
        <v>0</v>
      </c>
      <c r="H24" s="18" t="str">
        <f t="shared" ca="1" si="5"/>
        <v>—</v>
      </c>
      <c r="I24" s="17">
        <f t="shared" ca="1" si="6"/>
        <v>7</v>
      </c>
      <c r="J24" s="18" t="str">
        <f t="shared" ca="1" si="7"/>
        <v>—</v>
      </c>
      <c r="K24" s="17">
        <f t="shared" ca="1" si="8"/>
        <v>7</v>
      </c>
      <c r="L24" s="10">
        <f t="shared" ca="1" si="9"/>
        <v>71</v>
      </c>
      <c r="M24" s="17">
        <f t="shared" ca="1" si="10"/>
        <v>0</v>
      </c>
      <c r="N24" s="18">
        <f t="shared" ca="1" si="11"/>
        <v>20.7</v>
      </c>
      <c r="O24" s="17">
        <f t="shared" ca="1" si="12"/>
        <v>0</v>
      </c>
      <c r="P24" s="18">
        <f t="shared" ca="1" si="13"/>
        <v>24.3</v>
      </c>
      <c r="Q24" s="17">
        <f t="shared" ca="1" si="14"/>
        <v>0</v>
      </c>
      <c r="R24" s="10">
        <f t="shared" ca="1" si="15"/>
        <v>65</v>
      </c>
      <c r="S24" s="17">
        <f t="shared" ca="1" si="16"/>
        <v>0</v>
      </c>
      <c r="T24" s="70">
        <f t="shared" ca="1" si="17"/>
        <v>0.5</v>
      </c>
      <c r="U24" s="17">
        <f t="shared" ca="1" si="18"/>
        <v>0</v>
      </c>
      <c r="V24" s="71">
        <f t="shared" ca="1" si="19"/>
        <v>4</v>
      </c>
      <c r="W24" s="17">
        <f t="shared" ca="1" si="20"/>
        <v>0</v>
      </c>
    </row>
    <row r="25" spans="1:23" x14ac:dyDescent="0.25">
      <c r="A25" s="4">
        <f t="shared" si="0"/>
        <v>32</v>
      </c>
      <c r="B25" t="str">
        <f ca="1">TEXT(DATE(YEAR(Invoer!$A$6),1,1)+INT((ROWS(B$2:B25)-1)/4),"jjjjmmdd")</f>
        <v>19400106</v>
      </c>
      <c r="C25" s="64" t="str">
        <f>IF(MOD(ROWS(C$2:C25)-1,4)=3,"24.00",INDEX(Data,3,2+MOD(ROWS(C$2:C25)-1,4)))</f>
        <v>24.00</v>
      </c>
      <c r="D25" s="18" t="str">
        <f t="shared" ca="1" si="1"/>
        <v>—</v>
      </c>
      <c r="E25" s="17">
        <f t="shared" ca="1" si="2"/>
        <v>7</v>
      </c>
      <c r="F25" s="18" t="str">
        <f t="shared" ca="1" si="3"/>
        <v>—</v>
      </c>
      <c r="G25" s="17">
        <f t="shared" ca="1" si="4"/>
        <v>7</v>
      </c>
      <c r="H25" s="18">
        <f t="shared" ca="1" si="5"/>
        <v>27.4</v>
      </c>
      <c r="I25" s="17">
        <f t="shared" ca="1" si="6"/>
        <v>0</v>
      </c>
      <c r="J25" s="18">
        <f t="shared" ca="1" si="7"/>
        <v>31.4</v>
      </c>
      <c r="K25" s="17">
        <f t="shared" ca="1" si="8"/>
        <v>0</v>
      </c>
      <c r="L25" s="10" t="str">
        <f t="shared" ca="1" si="9"/>
        <v>—</v>
      </c>
      <c r="M25" s="17">
        <f t="shared" ca="1" si="10"/>
        <v>7</v>
      </c>
      <c r="N25" s="18" t="str">
        <f t="shared" ca="1" si="11"/>
        <v>—</v>
      </c>
      <c r="O25" s="17">
        <f t="shared" ca="1" si="12"/>
        <v>7</v>
      </c>
      <c r="P25" s="18" t="str">
        <f t="shared" ca="1" si="13"/>
        <v>—</v>
      </c>
      <c r="Q25" s="17">
        <f t="shared" ca="1" si="14"/>
        <v>7</v>
      </c>
      <c r="R25" s="10" t="str">
        <f t="shared" ca="1" si="15"/>
        <v>—</v>
      </c>
      <c r="S25" s="17">
        <f t="shared" ca="1" si="16"/>
        <v>7</v>
      </c>
      <c r="T25" s="70" t="str">
        <f t="shared" ca="1" si="17"/>
        <v>—</v>
      </c>
      <c r="U25" s="17">
        <f t="shared" ca="1" si="18"/>
        <v>7</v>
      </c>
      <c r="V25" s="71" t="str">
        <f t="shared" ca="1" si="19"/>
        <v>—</v>
      </c>
      <c r="W25" s="17">
        <f t="shared" ca="1" si="20"/>
        <v>7</v>
      </c>
    </row>
    <row r="26" spans="1:23" x14ac:dyDescent="0.25">
      <c r="A26" s="4">
        <f t="shared" si="0"/>
        <v>32</v>
      </c>
      <c r="B26" t="str">
        <f ca="1">TEXT(DATE(YEAR(Invoer!$A$6),1,1)+INT((ROWS(B$2:B26)-1)/4),"jjjjmmdd")</f>
        <v>19400107</v>
      </c>
      <c r="C26" s="64" t="str">
        <f>IF(MOD(ROWS(C$2:C26)-1,4)=3,"24.00",INDEX(Data,3,2+MOD(ROWS(C$2:C26)-1,4)))</f>
        <v>07.00</v>
      </c>
      <c r="D26" s="18">
        <f t="shared" ca="1" si="1"/>
        <v>761</v>
      </c>
      <c r="E26" s="17">
        <f t="shared" ca="1" si="2"/>
        <v>0</v>
      </c>
      <c r="F26" s="18">
        <f t="shared" ca="1" si="3"/>
        <v>26.7</v>
      </c>
      <c r="G26" s="17">
        <f t="shared" ca="1" si="4"/>
        <v>0</v>
      </c>
      <c r="H26" s="18" t="str">
        <f t="shared" ca="1" si="5"/>
        <v>—</v>
      </c>
      <c r="I26" s="17">
        <f t="shared" ca="1" si="6"/>
        <v>7</v>
      </c>
      <c r="J26" s="18" t="str">
        <f t="shared" ca="1" si="7"/>
        <v>—</v>
      </c>
      <c r="K26" s="17">
        <f t="shared" ca="1" si="8"/>
        <v>7</v>
      </c>
      <c r="L26" s="10">
        <f t="shared" ca="1" si="9"/>
        <v>69</v>
      </c>
      <c r="M26" s="17">
        <f t="shared" ca="1" si="10"/>
        <v>0</v>
      </c>
      <c r="N26" s="18">
        <f t="shared" ca="1" si="11"/>
        <v>18.2</v>
      </c>
      <c r="O26" s="17">
        <f t="shared" ca="1" si="12"/>
        <v>0</v>
      </c>
      <c r="P26" s="18">
        <f t="shared" ca="1" si="13"/>
        <v>22.4</v>
      </c>
      <c r="Q26" s="17">
        <f t="shared" ca="1" si="14"/>
        <v>0</v>
      </c>
      <c r="R26" s="10">
        <f t="shared" ca="1" si="15"/>
        <v>65</v>
      </c>
      <c r="S26" s="17">
        <f t="shared" ca="1" si="16"/>
        <v>0</v>
      </c>
      <c r="T26" s="70">
        <f t="shared" ca="1" si="17"/>
        <v>0.3</v>
      </c>
      <c r="U26" s="17">
        <f t="shared" ca="1" si="18"/>
        <v>0</v>
      </c>
      <c r="V26" s="71">
        <f t="shared" ca="1" si="19"/>
        <v>2</v>
      </c>
      <c r="W26" s="17">
        <f t="shared" ca="1" si="20"/>
        <v>0</v>
      </c>
    </row>
    <row r="27" spans="1:23" x14ac:dyDescent="0.25">
      <c r="A27" s="4">
        <f t="shared" si="0"/>
        <v>32</v>
      </c>
      <c r="B27" t="str">
        <f ca="1">TEXT(DATE(YEAR(Invoer!$A$6),1,1)+INT((ROWS(B$2:B27)-1)/4),"jjjjmmdd")</f>
        <v>19400107</v>
      </c>
      <c r="C27" s="64" t="str">
        <f>IF(MOD(ROWS(C$2:C27)-1,4)=3,"24.00",INDEX(Data,3,2+MOD(ROWS(C$2:C27)-1,4)))</f>
        <v>12.00</v>
      </c>
      <c r="D27" s="18">
        <f t="shared" ca="1" si="1"/>
        <v>761.2</v>
      </c>
      <c r="E27" s="17">
        <f t="shared" ca="1" si="2"/>
        <v>0</v>
      </c>
      <c r="F27" s="18">
        <f t="shared" ca="1" si="3"/>
        <v>29.3</v>
      </c>
      <c r="G27" s="17">
        <f t="shared" ca="1" si="4"/>
        <v>0</v>
      </c>
      <c r="H27" s="18" t="str">
        <f t="shared" ca="1" si="5"/>
        <v>—</v>
      </c>
      <c r="I27" s="17">
        <f t="shared" ca="1" si="6"/>
        <v>7</v>
      </c>
      <c r="J27" s="18" t="str">
        <f t="shared" ca="1" si="7"/>
        <v>—</v>
      </c>
      <c r="K27" s="17">
        <f t="shared" ca="1" si="8"/>
        <v>7</v>
      </c>
      <c r="L27" s="10">
        <f t="shared" ca="1" si="9"/>
        <v>64</v>
      </c>
      <c r="M27" s="17">
        <f t="shared" ca="1" si="10"/>
        <v>0</v>
      </c>
      <c r="N27" s="18">
        <f t="shared" ca="1" si="11"/>
        <v>19.7</v>
      </c>
      <c r="O27" s="17">
        <f t="shared" ca="1" si="12"/>
        <v>0</v>
      </c>
      <c r="P27" s="18">
        <f t="shared" ca="1" si="13"/>
        <v>24</v>
      </c>
      <c r="Q27" s="17">
        <f t="shared" ca="1" si="14"/>
        <v>0</v>
      </c>
      <c r="R27" s="10">
        <f t="shared" ca="1" si="15"/>
        <v>65</v>
      </c>
      <c r="S27" s="17">
        <f t="shared" ca="1" si="16"/>
        <v>0</v>
      </c>
      <c r="T27" s="70">
        <f t="shared" ca="1" si="17"/>
        <v>0.4</v>
      </c>
      <c r="U27" s="17">
        <f t="shared" ca="1" si="18"/>
        <v>0</v>
      </c>
      <c r="V27" s="71">
        <f t="shared" ca="1" si="19"/>
        <v>3</v>
      </c>
      <c r="W27" s="17">
        <f t="shared" ca="1" si="20"/>
        <v>0</v>
      </c>
    </row>
    <row r="28" spans="1:23" x14ac:dyDescent="0.25">
      <c r="A28" s="4">
        <f t="shared" si="0"/>
        <v>32</v>
      </c>
      <c r="B28" t="str">
        <f ca="1">TEXT(DATE(YEAR(Invoer!$A$6),1,1)+INT((ROWS(B$2:B28)-1)/4),"jjjjmmdd")</f>
        <v>19400107</v>
      </c>
      <c r="C28" s="64" t="str">
        <f>IF(MOD(ROWS(C$2:C28)-1,4)=3,"24.00",INDEX(Data,3,2+MOD(ROWS(C$2:C28)-1,4)))</f>
        <v>17.00</v>
      </c>
      <c r="D28" s="18">
        <f t="shared" ca="1" si="1"/>
        <v>761.2</v>
      </c>
      <c r="E28" s="17">
        <f t="shared" ca="1" si="2"/>
        <v>0</v>
      </c>
      <c r="F28" s="18">
        <f t="shared" ca="1" si="3"/>
        <v>28.9</v>
      </c>
      <c r="G28" s="17">
        <f t="shared" ca="1" si="4"/>
        <v>0</v>
      </c>
      <c r="H28" s="18" t="str">
        <f t="shared" ca="1" si="5"/>
        <v>—</v>
      </c>
      <c r="I28" s="17">
        <f t="shared" ca="1" si="6"/>
        <v>7</v>
      </c>
      <c r="J28" s="18" t="str">
        <f t="shared" ca="1" si="7"/>
        <v>—</v>
      </c>
      <c r="K28" s="17">
        <f t="shared" ca="1" si="8"/>
        <v>7</v>
      </c>
      <c r="L28" s="10">
        <f t="shared" ca="1" si="9"/>
        <v>65</v>
      </c>
      <c r="M28" s="17">
        <f t="shared" ca="1" si="10"/>
        <v>0</v>
      </c>
      <c r="N28" s="18">
        <f t="shared" ca="1" si="11"/>
        <v>19.600000000000001</v>
      </c>
      <c r="O28" s="17">
        <f t="shared" ca="1" si="12"/>
        <v>0</v>
      </c>
      <c r="P28" s="18">
        <f t="shared" ca="1" si="13"/>
        <v>23.8</v>
      </c>
      <c r="Q28" s="17">
        <f t="shared" ca="1" si="14"/>
        <v>0</v>
      </c>
      <c r="R28" s="10">
        <f t="shared" ca="1" si="15"/>
        <v>65</v>
      </c>
      <c r="S28" s="17">
        <f t="shared" ca="1" si="16"/>
        <v>0</v>
      </c>
      <c r="T28" s="70">
        <f t="shared" ca="1" si="17"/>
        <v>0.5</v>
      </c>
      <c r="U28" s="17">
        <f t="shared" ca="1" si="18"/>
        <v>0</v>
      </c>
      <c r="V28" s="71">
        <f t="shared" ca="1" si="19"/>
        <v>3</v>
      </c>
      <c r="W28" s="17">
        <f t="shared" ca="1" si="20"/>
        <v>0</v>
      </c>
    </row>
    <row r="29" spans="1:23" x14ac:dyDescent="0.25">
      <c r="A29" s="4">
        <f t="shared" si="0"/>
        <v>32</v>
      </c>
      <c r="B29" t="str">
        <f ca="1">TEXT(DATE(YEAR(Invoer!$A$6),1,1)+INT((ROWS(B$2:B29)-1)/4),"jjjjmmdd")</f>
        <v>19400107</v>
      </c>
      <c r="C29" s="64" t="str">
        <f>IF(MOD(ROWS(C$2:C29)-1,4)=3,"24.00",INDEX(Data,3,2+MOD(ROWS(C$2:C29)-1,4)))</f>
        <v>24.00</v>
      </c>
      <c r="D29" s="18" t="str">
        <f t="shared" ca="1" si="1"/>
        <v>—</v>
      </c>
      <c r="E29" s="17">
        <f t="shared" ca="1" si="2"/>
        <v>7</v>
      </c>
      <c r="F29" s="18" t="str">
        <f t="shared" ca="1" si="3"/>
        <v>—</v>
      </c>
      <c r="G29" s="17">
        <f t="shared" ca="1" si="4"/>
        <v>7</v>
      </c>
      <c r="H29" s="18">
        <f t="shared" ca="1" si="5"/>
        <v>27.9</v>
      </c>
      <c r="I29" s="17">
        <f t="shared" ca="1" si="6"/>
        <v>0</v>
      </c>
      <c r="J29" s="18">
        <f t="shared" ca="1" si="7"/>
        <v>31</v>
      </c>
      <c r="K29" s="17">
        <f t="shared" ca="1" si="8"/>
        <v>0</v>
      </c>
      <c r="L29" s="10" t="str">
        <f t="shared" ca="1" si="9"/>
        <v>—</v>
      </c>
      <c r="M29" s="17">
        <f t="shared" ca="1" si="10"/>
        <v>7</v>
      </c>
      <c r="N29" s="18" t="str">
        <f t="shared" ca="1" si="11"/>
        <v>—</v>
      </c>
      <c r="O29" s="17">
        <f t="shared" ca="1" si="12"/>
        <v>7</v>
      </c>
      <c r="P29" s="18" t="str">
        <f t="shared" ca="1" si="13"/>
        <v>—</v>
      </c>
      <c r="Q29" s="17">
        <f t="shared" ca="1" si="14"/>
        <v>7</v>
      </c>
      <c r="R29" s="10" t="str">
        <f t="shared" ca="1" si="15"/>
        <v>—</v>
      </c>
      <c r="S29" s="17">
        <f t="shared" ca="1" si="16"/>
        <v>7</v>
      </c>
      <c r="T29" s="70" t="str">
        <f t="shared" ca="1" si="17"/>
        <v>—</v>
      </c>
      <c r="U29" s="17">
        <f t="shared" ca="1" si="18"/>
        <v>7</v>
      </c>
      <c r="V29" s="71" t="str">
        <f t="shared" ca="1" si="19"/>
        <v>—</v>
      </c>
      <c r="W29" s="17">
        <f t="shared" ca="1" si="20"/>
        <v>7</v>
      </c>
    </row>
    <row r="30" spans="1:23" x14ac:dyDescent="0.25">
      <c r="A30" s="4">
        <f t="shared" si="0"/>
        <v>32</v>
      </c>
      <c r="B30" t="str">
        <f ca="1">TEXT(DATE(YEAR(Invoer!$A$6),1,1)+INT((ROWS(B$2:B30)-1)/4),"jjjjmmdd")</f>
        <v>19400108</v>
      </c>
      <c r="C30" s="64" t="str">
        <f>IF(MOD(ROWS(C$2:C30)-1,4)=3,"24.00",INDEX(Data,3,2+MOD(ROWS(C$2:C30)-1,4)))</f>
        <v>07.00</v>
      </c>
      <c r="D30" s="18">
        <f t="shared" ca="1" si="1"/>
        <v>761.2</v>
      </c>
      <c r="E30" s="17">
        <f t="shared" ca="1" si="2"/>
        <v>0</v>
      </c>
      <c r="F30" s="18">
        <f t="shared" ca="1" si="3"/>
        <v>26.9</v>
      </c>
      <c r="G30" s="17">
        <f t="shared" ca="1" si="4"/>
        <v>0</v>
      </c>
      <c r="H30" s="18" t="str">
        <f t="shared" ca="1" si="5"/>
        <v>—</v>
      </c>
      <c r="I30" s="17">
        <f t="shared" ca="1" si="6"/>
        <v>7</v>
      </c>
      <c r="J30" s="18" t="str">
        <f t="shared" ca="1" si="7"/>
        <v>—</v>
      </c>
      <c r="K30" s="17">
        <f t="shared" ca="1" si="8"/>
        <v>7</v>
      </c>
      <c r="L30" s="10">
        <f t="shared" ca="1" si="9"/>
        <v>72</v>
      </c>
      <c r="M30" s="17">
        <f t="shared" ca="1" si="10"/>
        <v>0</v>
      </c>
      <c r="N30" s="18">
        <f t="shared" ca="1" si="11"/>
        <v>19.100000000000001</v>
      </c>
      <c r="O30" s="17">
        <f t="shared" ca="1" si="12"/>
        <v>0</v>
      </c>
      <c r="P30" s="18">
        <f t="shared" ca="1" si="13"/>
        <v>23</v>
      </c>
      <c r="Q30" s="17">
        <f t="shared" ca="1" si="14"/>
        <v>0</v>
      </c>
      <c r="R30" s="10">
        <f t="shared" ca="1" si="15"/>
        <v>65</v>
      </c>
      <c r="S30" s="17">
        <f t="shared" ca="1" si="16"/>
        <v>0</v>
      </c>
      <c r="T30" s="70">
        <f t="shared" ca="1" si="17"/>
        <v>0.3</v>
      </c>
      <c r="U30" s="17">
        <f t="shared" ca="1" si="18"/>
        <v>0</v>
      </c>
      <c r="V30" s="71">
        <f t="shared" ca="1" si="19"/>
        <v>2</v>
      </c>
      <c r="W30" s="17">
        <f t="shared" ca="1" si="20"/>
        <v>0</v>
      </c>
    </row>
    <row r="31" spans="1:23" x14ac:dyDescent="0.25">
      <c r="A31" s="4">
        <f t="shared" si="0"/>
        <v>32</v>
      </c>
      <c r="B31" t="str">
        <f ca="1">TEXT(DATE(YEAR(Invoer!$A$6),1,1)+INT((ROWS(B$2:B31)-1)/4),"jjjjmmdd")</f>
        <v>19400108</v>
      </c>
      <c r="C31" s="64" t="str">
        <f>IF(MOD(ROWS(C$2:C31)-1,4)=3,"24.00",INDEX(Data,3,2+MOD(ROWS(C$2:C31)-1,4)))</f>
        <v>12.00</v>
      </c>
      <c r="D31" s="18">
        <f t="shared" ca="1" si="1"/>
        <v>761.2</v>
      </c>
      <c r="E31" s="17">
        <f t="shared" ca="1" si="2"/>
        <v>0</v>
      </c>
      <c r="F31" s="18">
        <f t="shared" ca="1" si="3"/>
        <v>28.7</v>
      </c>
      <c r="G31" s="17">
        <f t="shared" ca="1" si="4"/>
        <v>0</v>
      </c>
      <c r="H31" s="18" t="str">
        <f t="shared" ca="1" si="5"/>
        <v>—</v>
      </c>
      <c r="I31" s="17">
        <f t="shared" ca="1" si="6"/>
        <v>7</v>
      </c>
      <c r="J31" s="18" t="str">
        <f t="shared" ca="1" si="7"/>
        <v>—</v>
      </c>
      <c r="K31" s="17">
        <f t="shared" ca="1" si="8"/>
        <v>7</v>
      </c>
      <c r="L31" s="10">
        <f t="shared" ca="1" si="9"/>
        <v>66</v>
      </c>
      <c r="M31" s="17">
        <f t="shared" ca="1" si="10"/>
        <v>0</v>
      </c>
      <c r="N31" s="18">
        <f t="shared" ca="1" si="11"/>
        <v>19.7</v>
      </c>
      <c r="O31" s="17">
        <f t="shared" ca="1" si="12"/>
        <v>0</v>
      </c>
      <c r="P31" s="18">
        <f t="shared" ca="1" si="13"/>
        <v>23.8</v>
      </c>
      <c r="Q31" s="17">
        <f t="shared" ca="1" si="14"/>
        <v>0</v>
      </c>
      <c r="R31" s="10">
        <f t="shared" ca="1" si="15"/>
        <v>65</v>
      </c>
      <c r="S31" s="17">
        <f t="shared" ca="1" si="16"/>
        <v>0</v>
      </c>
      <c r="T31" s="70">
        <f t="shared" ca="1" si="17"/>
        <v>0.4</v>
      </c>
      <c r="U31" s="17">
        <f t="shared" ca="1" si="18"/>
        <v>0</v>
      </c>
      <c r="V31" s="71">
        <f t="shared" ca="1" si="19"/>
        <v>4</v>
      </c>
      <c r="W31" s="17">
        <f t="shared" ca="1" si="20"/>
        <v>0</v>
      </c>
    </row>
    <row r="32" spans="1:23" x14ac:dyDescent="0.25">
      <c r="A32" s="4">
        <f t="shared" si="0"/>
        <v>32</v>
      </c>
      <c r="B32" t="str">
        <f ca="1">TEXT(DATE(YEAR(Invoer!$A$6),1,1)+INT((ROWS(B$2:B32)-1)/4),"jjjjmmdd")</f>
        <v>19400108</v>
      </c>
      <c r="C32" s="64" t="str">
        <f>IF(MOD(ROWS(C$2:C32)-1,4)=3,"24.00",INDEX(Data,3,2+MOD(ROWS(C$2:C32)-1,4)))</f>
        <v>17.00</v>
      </c>
      <c r="D32" s="18">
        <f t="shared" ca="1" si="1"/>
        <v>761.2</v>
      </c>
      <c r="E32" s="17">
        <f t="shared" ca="1" si="2"/>
        <v>0</v>
      </c>
      <c r="F32" s="18">
        <f t="shared" ca="1" si="3"/>
        <v>28.5</v>
      </c>
      <c r="G32" s="17">
        <f t="shared" ca="1" si="4"/>
        <v>0</v>
      </c>
      <c r="H32" s="18" t="str">
        <f t="shared" ca="1" si="5"/>
        <v>—</v>
      </c>
      <c r="I32" s="17">
        <f t="shared" ca="1" si="6"/>
        <v>7</v>
      </c>
      <c r="J32" s="18" t="str">
        <f t="shared" ca="1" si="7"/>
        <v>—</v>
      </c>
      <c r="K32" s="17">
        <f t="shared" ca="1" si="8"/>
        <v>7</v>
      </c>
      <c r="L32" s="10">
        <f t="shared" ca="1" si="9"/>
        <v>68</v>
      </c>
      <c r="M32" s="17">
        <f t="shared" ca="1" si="10"/>
        <v>0</v>
      </c>
      <c r="N32" s="18">
        <f t="shared" ca="1" si="11"/>
        <v>19.8</v>
      </c>
      <c r="O32" s="17">
        <f t="shared" ca="1" si="12"/>
        <v>0</v>
      </c>
      <c r="P32" s="18">
        <f t="shared" ca="1" si="13"/>
        <v>23.8</v>
      </c>
      <c r="Q32" s="17">
        <f t="shared" ca="1" si="14"/>
        <v>0</v>
      </c>
      <c r="R32" s="10">
        <f t="shared" ca="1" si="15"/>
        <v>65</v>
      </c>
      <c r="S32" s="17">
        <f t="shared" ca="1" si="16"/>
        <v>0</v>
      </c>
      <c r="T32" s="70">
        <f t="shared" ca="1" si="17"/>
        <v>0.4</v>
      </c>
      <c r="U32" s="17">
        <f t="shared" ca="1" si="18"/>
        <v>0</v>
      </c>
      <c r="V32" s="71">
        <f t="shared" ca="1" si="19"/>
        <v>3</v>
      </c>
      <c r="W32" s="17">
        <f t="shared" ca="1" si="20"/>
        <v>0</v>
      </c>
    </row>
    <row r="33" spans="1:23" x14ac:dyDescent="0.25">
      <c r="A33" s="4">
        <f t="shared" si="0"/>
        <v>32</v>
      </c>
      <c r="B33" t="str">
        <f ca="1">TEXT(DATE(YEAR(Invoer!$A$6),1,1)+INT((ROWS(B$2:B33)-1)/4),"jjjjmmdd")</f>
        <v>19400108</v>
      </c>
      <c r="C33" s="64" t="str">
        <f>IF(MOD(ROWS(C$2:C33)-1,4)=3,"24.00",INDEX(Data,3,2+MOD(ROWS(C$2:C33)-1,4)))</f>
        <v>24.00</v>
      </c>
      <c r="D33" s="18" t="str">
        <f t="shared" ca="1" si="1"/>
        <v>—</v>
      </c>
      <c r="E33" s="17">
        <f t="shared" ca="1" si="2"/>
        <v>7</v>
      </c>
      <c r="F33" s="18" t="str">
        <f t="shared" ca="1" si="3"/>
        <v>—</v>
      </c>
      <c r="G33" s="17">
        <f t="shared" ca="1" si="4"/>
        <v>7</v>
      </c>
      <c r="H33" s="18">
        <f t="shared" ca="1" si="5"/>
        <v>29</v>
      </c>
      <c r="I33" s="17">
        <f t="shared" ca="1" si="6"/>
        <v>0</v>
      </c>
      <c r="J33" s="18">
        <f t="shared" ca="1" si="7"/>
        <v>30.4</v>
      </c>
      <c r="K33" s="17">
        <f t="shared" ca="1" si="8"/>
        <v>0</v>
      </c>
      <c r="L33" s="10" t="str">
        <f t="shared" ca="1" si="9"/>
        <v>—</v>
      </c>
      <c r="M33" s="17">
        <f t="shared" ca="1" si="10"/>
        <v>7</v>
      </c>
      <c r="N33" s="18" t="str">
        <f t="shared" ca="1" si="11"/>
        <v>—</v>
      </c>
      <c r="O33" s="17">
        <f t="shared" ca="1" si="12"/>
        <v>7</v>
      </c>
      <c r="P33" s="18" t="str">
        <f t="shared" ca="1" si="13"/>
        <v>—</v>
      </c>
      <c r="Q33" s="17">
        <f t="shared" ca="1" si="14"/>
        <v>7</v>
      </c>
      <c r="R33" s="10" t="str">
        <f t="shared" ca="1" si="15"/>
        <v>—</v>
      </c>
      <c r="S33" s="17">
        <f t="shared" ca="1" si="16"/>
        <v>7</v>
      </c>
      <c r="T33" s="70" t="str">
        <f t="shared" ca="1" si="17"/>
        <v>—</v>
      </c>
      <c r="U33" s="17">
        <f t="shared" ca="1" si="18"/>
        <v>7</v>
      </c>
      <c r="V33" s="71" t="str">
        <f t="shared" ca="1" si="19"/>
        <v>—</v>
      </c>
      <c r="W33" s="17">
        <f t="shared" ca="1" si="20"/>
        <v>7</v>
      </c>
    </row>
    <row r="34" spans="1:23" x14ac:dyDescent="0.25">
      <c r="A34" s="4">
        <f t="shared" si="0"/>
        <v>32</v>
      </c>
      <c r="B34" t="str">
        <f ca="1">TEXT(DATE(YEAR(Invoer!$A$6),1,1)+INT((ROWS(B$2:B34)-1)/4),"jjjjmmdd")</f>
        <v>19400109</v>
      </c>
      <c r="C34" s="64" t="str">
        <f>IF(MOD(ROWS(C$2:C34)-1,4)=3,"24.00",INDEX(Data,3,2+MOD(ROWS(C$2:C34)-1,4)))</f>
        <v>07.00</v>
      </c>
      <c r="D34" s="18">
        <f t="shared" ca="1" si="1"/>
        <v>762</v>
      </c>
      <c r="E34" s="17">
        <f t="shared" ca="1" si="2"/>
        <v>0</v>
      </c>
      <c r="F34" s="18">
        <f t="shared" ca="1" si="3"/>
        <v>27.1</v>
      </c>
      <c r="G34" s="17">
        <f t="shared" ca="1" si="4"/>
        <v>0</v>
      </c>
      <c r="H34" s="18" t="str">
        <f t="shared" ca="1" si="5"/>
        <v>—</v>
      </c>
      <c r="I34" s="17">
        <f t="shared" ca="1" si="6"/>
        <v>7</v>
      </c>
      <c r="J34" s="18" t="str">
        <f t="shared" ca="1" si="7"/>
        <v>—</v>
      </c>
      <c r="K34" s="17">
        <f t="shared" ca="1" si="8"/>
        <v>7</v>
      </c>
      <c r="L34" s="10">
        <f t="shared" ca="1" si="9"/>
        <v>77</v>
      </c>
      <c r="M34" s="17">
        <f t="shared" ca="1" si="10"/>
        <v>0</v>
      </c>
      <c r="N34" s="18">
        <f t="shared" ca="1" si="11"/>
        <v>20.8</v>
      </c>
      <c r="O34" s="17">
        <f t="shared" ca="1" si="12"/>
        <v>0</v>
      </c>
      <c r="P34" s="18">
        <f t="shared" ca="1" si="13"/>
        <v>24</v>
      </c>
      <c r="Q34" s="17">
        <f t="shared" ca="1" si="14"/>
        <v>0</v>
      </c>
      <c r="R34" s="10">
        <f t="shared" ca="1" si="15"/>
        <v>65</v>
      </c>
      <c r="S34" s="17">
        <f t="shared" ca="1" si="16"/>
        <v>0</v>
      </c>
      <c r="T34" s="70">
        <f t="shared" ca="1" si="17"/>
        <v>0.3</v>
      </c>
      <c r="U34" s="17">
        <f t="shared" ca="1" si="18"/>
        <v>0</v>
      </c>
      <c r="V34" s="71">
        <f t="shared" ca="1" si="19"/>
        <v>2</v>
      </c>
      <c r="W34" s="17">
        <f t="shared" ca="1" si="20"/>
        <v>0</v>
      </c>
    </row>
    <row r="35" spans="1:23" x14ac:dyDescent="0.25">
      <c r="A35" s="4">
        <f t="shared" si="0"/>
        <v>32</v>
      </c>
      <c r="B35" t="str">
        <f ca="1">TEXT(DATE(YEAR(Invoer!$A$6),1,1)+INT((ROWS(B$2:B35)-1)/4),"jjjjmmdd")</f>
        <v>19400109</v>
      </c>
      <c r="C35" s="64" t="str">
        <f>IF(MOD(ROWS(C$2:C35)-1,4)=3,"24.00",INDEX(Data,3,2+MOD(ROWS(C$2:C35)-1,4)))</f>
        <v>12.00</v>
      </c>
      <c r="D35" s="18">
        <f t="shared" ca="1" si="1"/>
        <v>761.7</v>
      </c>
      <c r="E35" s="17">
        <f t="shared" ca="1" si="2"/>
        <v>0</v>
      </c>
      <c r="F35" s="18">
        <f t="shared" ca="1" si="3"/>
        <v>27.9</v>
      </c>
      <c r="G35" s="17">
        <f t="shared" ca="1" si="4"/>
        <v>0</v>
      </c>
      <c r="H35" s="18" t="str">
        <f t="shared" ca="1" si="5"/>
        <v>—</v>
      </c>
      <c r="I35" s="17">
        <f t="shared" ca="1" si="6"/>
        <v>7</v>
      </c>
      <c r="J35" s="18" t="str">
        <f t="shared" ca="1" si="7"/>
        <v>—</v>
      </c>
      <c r="K35" s="17">
        <f t="shared" ca="1" si="8"/>
        <v>7</v>
      </c>
      <c r="L35" s="10">
        <f t="shared" ca="1" si="9"/>
        <v>74</v>
      </c>
      <c r="M35" s="17">
        <f t="shared" ca="1" si="10"/>
        <v>0</v>
      </c>
      <c r="N35" s="18">
        <f t="shared" ca="1" si="11"/>
        <v>21.9</v>
      </c>
      <c r="O35" s="17">
        <f t="shared" ca="1" si="12"/>
        <v>0</v>
      </c>
      <c r="P35" s="18">
        <f t="shared" ca="1" si="13"/>
        <v>24.3</v>
      </c>
      <c r="Q35" s="17">
        <f t="shared" ca="1" si="14"/>
        <v>0</v>
      </c>
      <c r="R35" s="10">
        <f t="shared" ca="1" si="15"/>
        <v>65</v>
      </c>
      <c r="S35" s="17">
        <f t="shared" ca="1" si="16"/>
        <v>0</v>
      </c>
      <c r="T35" s="70">
        <f t="shared" ca="1" si="17"/>
        <v>0.4</v>
      </c>
      <c r="U35" s="17">
        <f t="shared" ca="1" si="18"/>
        <v>0</v>
      </c>
      <c r="V35" s="71">
        <f t="shared" ca="1" si="19"/>
        <v>3</v>
      </c>
      <c r="W35" s="17">
        <f t="shared" ca="1" si="20"/>
        <v>0</v>
      </c>
    </row>
    <row r="36" spans="1:23" x14ac:dyDescent="0.25">
      <c r="A36" s="4">
        <f t="shared" si="0"/>
        <v>32</v>
      </c>
      <c r="B36" t="str">
        <f ca="1">TEXT(DATE(YEAR(Invoer!$A$6),1,1)+INT((ROWS(B$2:B36)-1)/4),"jjjjmmdd")</f>
        <v>19400109</v>
      </c>
      <c r="C36" s="64" t="str">
        <f>IF(MOD(ROWS(C$2:C36)-1,4)=3,"24.00",INDEX(Data,3,2+MOD(ROWS(C$2:C36)-1,4)))</f>
        <v>17.00</v>
      </c>
      <c r="D36" s="18">
        <f t="shared" ca="1" si="1"/>
        <v>760.2</v>
      </c>
      <c r="E36" s="17">
        <f t="shared" ca="1" si="2"/>
        <v>0</v>
      </c>
      <c r="F36" s="18">
        <f t="shared" ca="1" si="3"/>
        <v>27.5</v>
      </c>
      <c r="G36" s="17">
        <f t="shared" ca="1" si="4"/>
        <v>0</v>
      </c>
      <c r="H36" s="18" t="str">
        <f t="shared" ca="1" si="5"/>
        <v>—</v>
      </c>
      <c r="I36" s="17">
        <f t="shared" ca="1" si="6"/>
        <v>7</v>
      </c>
      <c r="J36" s="18" t="str">
        <f t="shared" ca="1" si="7"/>
        <v>—</v>
      </c>
      <c r="K36" s="17">
        <f t="shared" ca="1" si="8"/>
        <v>7</v>
      </c>
      <c r="L36" s="10">
        <f t="shared" ca="1" si="9"/>
        <v>74</v>
      </c>
      <c r="M36" s="17">
        <f t="shared" ca="1" si="10"/>
        <v>0</v>
      </c>
      <c r="N36" s="18">
        <f t="shared" ca="1" si="11"/>
        <v>20.399999999999999</v>
      </c>
      <c r="O36" s="17">
        <f t="shared" ca="1" si="12"/>
        <v>0</v>
      </c>
      <c r="P36" s="18">
        <f t="shared" ca="1" si="13"/>
        <v>23.9</v>
      </c>
      <c r="Q36" s="17">
        <f t="shared" ca="1" si="14"/>
        <v>0</v>
      </c>
      <c r="R36" s="10">
        <f t="shared" ca="1" si="15"/>
        <v>65</v>
      </c>
      <c r="S36" s="17">
        <f t="shared" ca="1" si="16"/>
        <v>0</v>
      </c>
      <c r="T36" s="70">
        <f t="shared" ca="1" si="17"/>
        <v>0.4</v>
      </c>
      <c r="U36" s="17">
        <f t="shared" ca="1" si="18"/>
        <v>0</v>
      </c>
      <c r="V36" s="71">
        <f t="shared" ca="1" si="19"/>
        <v>4</v>
      </c>
      <c r="W36" s="17">
        <f t="shared" ca="1" si="20"/>
        <v>0</v>
      </c>
    </row>
    <row r="37" spans="1:23" x14ac:dyDescent="0.25">
      <c r="A37" s="4">
        <f t="shared" si="0"/>
        <v>32</v>
      </c>
      <c r="B37" t="str">
        <f ca="1">TEXT(DATE(YEAR(Invoer!$A$6),1,1)+INT((ROWS(B$2:B37)-1)/4),"jjjjmmdd")</f>
        <v>19400109</v>
      </c>
      <c r="C37" s="64" t="str">
        <f>IF(MOD(ROWS(C$2:C37)-1,4)=3,"24.00",INDEX(Data,3,2+MOD(ROWS(C$2:C37)-1,4)))</f>
        <v>24.00</v>
      </c>
      <c r="D37" s="18" t="str">
        <f t="shared" ca="1" si="1"/>
        <v>—</v>
      </c>
      <c r="E37" s="17">
        <f t="shared" ca="1" si="2"/>
        <v>7</v>
      </c>
      <c r="F37" s="18" t="str">
        <f t="shared" ca="1" si="3"/>
        <v>—</v>
      </c>
      <c r="G37" s="17">
        <f t="shared" ca="1" si="4"/>
        <v>7</v>
      </c>
      <c r="H37" s="18">
        <f t="shared" ca="1" si="5"/>
        <v>27.9</v>
      </c>
      <c r="I37" s="17">
        <f t="shared" ca="1" si="6"/>
        <v>0</v>
      </c>
      <c r="J37" s="18">
        <f t="shared" ca="1" si="7"/>
        <v>29.5</v>
      </c>
      <c r="K37" s="17">
        <f t="shared" ca="1" si="8"/>
        <v>0</v>
      </c>
      <c r="L37" s="10" t="str">
        <f t="shared" ca="1" si="9"/>
        <v>—</v>
      </c>
      <c r="M37" s="17">
        <f t="shared" ca="1" si="10"/>
        <v>7</v>
      </c>
      <c r="N37" s="18" t="str">
        <f t="shared" ca="1" si="11"/>
        <v>—</v>
      </c>
      <c r="O37" s="17">
        <f t="shared" ca="1" si="12"/>
        <v>7</v>
      </c>
      <c r="P37" s="18" t="str">
        <f t="shared" ca="1" si="13"/>
        <v>—</v>
      </c>
      <c r="Q37" s="17">
        <f t="shared" ca="1" si="14"/>
        <v>7</v>
      </c>
      <c r="R37" s="10" t="str">
        <f t="shared" ca="1" si="15"/>
        <v>—</v>
      </c>
      <c r="S37" s="17">
        <f t="shared" ca="1" si="16"/>
        <v>7</v>
      </c>
      <c r="T37" s="70" t="str">
        <f t="shared" ca="1" si="17"/>
        <v>—</v>
      </c>
      <c r="U37" s="17">
        <f t="shared" ca="1" si="18"/>
        <v>7</v>
      </c>
      <c r="V37" s="71" t="str">
        <f t="shared" ca="1" si="19"/>
        <v>—</v>
      </c>
      <c r="W37" s="17">
        <f t="shared" ca="1" si="20"/>
        <v>7</v>
      </c>
    </row>
    <row r="38" spans="1:23" x14ac:dyDescent="0.25">
      <c r="A38" s="4">
        <f t="shared" si="0"/>
        <v>32</v>
      </c>
      <c r="B38" t="str">
        <f ca="1">TEXT(DATE(YEAR(Invoer!$A$6),1,1)+INT((ROWS(B$2:B38)-1)/4),"jjjjmmdd")</f>
        <v>19400110</v>
      </c>
      <c r="C38" s="64" t="str">
        <f>IF(MOD(ROWS(C$2:C38)-1,4)=3,"24.00",INDEX(Data,3,2+MOD(ROWS(C$2:C38)-1,4)))</f>
        <v>07.00</v>
      </c>
      <c r="D38" s="18">
        <f t="shared" ca="1" si="1"/>
        <v>762.3</v>
      </c>
      <c r="E38" s="17">
        <f t="shared" ca="1" si="2"/>
        <v>0</v>
      </c>
      <c r="F38" s="18">
        <f t="shared" ca="1" si="3"/>
        <v>26.9</v>
      </c>
      <c r="G38" s="17">
        <f t="shared" ca="1" si="4"/>
        <v>0</v>
      </c>
      <c r="H38" s="18" t="str">
        <f t="shared" ca="1" si="5"/>
        <v>—</v>
      </c>
      <c r="I38" s="17">
        <f t="shared" ca="1" si="6"/>
        <v>7</v>
      </c>
      <c r="J38" s="18" t="str">
        <f t="shared" ca="1" si="7"/>
        <v>—</v>
      </c>
      <c r="K38" s="17">
        <f t="shared" ca="1" si="8"/>
        <v>7</v>
      </c>
      <c r="L38" s="10">
        <f t="shared" ca="1" si="9"/>
        <v>79</v>
      </c>
      <c r="M38" s="17">
        <f t="shared" ca="1" si="10"/>
        <v>0</v>
      </c>
      <c r="N38" s="18">
        <f t="shared" ca="1" si="11"/>
        <v>20.9</v>
      </c>
      <c r="O38" s="17">
        <f t="shared" ca="1" si="12"/>
        <v>0</v>
      </c>
      <c r="P38" s="18">
        <f t="shared" ca="1" si="13"/>
        <v>24</v>
      </c>
      <c r="Q38" s="17">
        <f t="shared" ca="1" si="14"/>
        <v>0</v>
      </c>
      <c r="R38" s="10">
        <f t="shared" ca="1" si="15"/>
        <v>65</v>
      </c>
      <c r="S38" s="17">
        <f t="shared" ca="1" si="16"/>
        <v>0</v>
      </c>
      <c r="T38" s="70">
        <f t="shared" ca="1" si="17"/>
        <v>0.3</v>
      </c>
      <c r="U38" s="17">
        <f t="shared" ca="1" si="18"/>
        <v>0</v>
      </c>
      <c r="V38" s="71">
        <f t="shared" ca="1" si="19"/>
        <v>1</v>
      </c>
      <c r="W38" s="17">
        <f t="shared" ca="1" si="20"/>
        <v>0</v>
      </c>
    </row>
    <row r="39" spans="1:23" x14ac:dyDescent="0.25">
      <c r="A39" s="4">
        <f t="shared" si="0"/>
        <v>32</v>
      </c>
      <c r="B39" t="str">
        <f ca="1">TEXT(DATE(YEAR(Invoer!$A$6),1,1)+INT((ROWS(B$2:B39)-1)/4),"jjjjmmdd")</f>
        <v>19400110</v>
      </c>
      <c r="C39" s="64" t="str">
        <f>IF(MOD(ROWS(C$2:C39)-1,4)=3,"24.00",INDEX(Data,3,2+MOD(ROWS(C$2:C39)-1,4)))</f>
        <v>12.00</v>
      </c>
      <c r="D39" s="18">
        <f t="shared" ca="1" si="1"/>
        <v>760.7</v>
      </c>
      <c r="E39" s="17">
        <f t="shared" ca="1" si="2"/>
        <v>0</v>
      </c>
      <c r="F39" s="18">
        <f t="shared" ca="1" si="3"/>
        <v>28.5</v>
      </c>
      <c r="G39" s="17">
        <f t="shared" ca="1" si="4"/>
        <v>0</v>
      </c>
      <c r="H39" s="18" t="str">
        <f t="shared" ca="1" si="5"/>
        <v>—</v>
      </c>
      <c r="I39" s="17">
        <f t="shared" ca="1" si="6"/>
        <v>7</v>
      </c>
      <c r="J39" s="18" t="str">
        <f t="shared" ca="1" si="7"/>
        <v>—</v>
      </c>
      <c r="K39" s="17">
        <f t="shared" ca="1" si="8"/>
        <v>7</v>
      </c>
      <c r="L39" s="10">
        <f t="shared" ca="1" si="9"/>
        <v>70</v>
      </c>
      <c r="M39" s="17">
        <f t="shared" ca="1" si="10"/>
        <v>0</v>
      </c>
      <c r="N39" s="18">
        <f t="shared" ca="1" si="11"/>
        <v>20.5</v>
      </c>
      <c r="O39" s="17">
        <f t="shared" ca="1" si="12"/>
        <v>0</v>
      </c>
      <c r="P39" s="18">
        <f t="shared" ca="1" si="13"/>
        <v>24.2</v>
      </c>
      <c r="Q39" s="17">
        <f t="shared" ca="1" si="14"/>
        <v>0</v>
      </c>
      <c r="R39" s="10">
        <f t="shared" ca="1" si="15"/>
        <v>65</v>
      </c>
      <c r="S39" s="17">
        <f t="shared" ca="1" si="16"/>
        <v>0</v>
      </c>
      <c r="T39" s="70">
        <f t="shared" ca="1" si="17"/>
        <v>0.4</v>
      </c>
      <c r="U39" s="17">
        <f t="shared" ca="1" si="18"/>
        <v>0</v>
      </c>
      <c r="V39" s="71">
        <f t="shared" ca="1" si="19"/>
        <v>3</v>
      </c>
      <c r="W39" s="17">
        <f t="shared" ca="1" si="20"/>
        <v>0</v>
      </c>
    </row>
    <row r="40" spans="1:23" x14ac:dyDescent="0.25">
      <c r="A40" s="4">
        <f t="shared" si="0"/>
        <v>32</v>
      </c>
      <c r="B40" t="str">
        <f ca="1">TEXT(DATE(YEAR(Invoer!$A$6),1,1)+INT((ROWS(B$2:B40)-1)/4),"jjjjmmdd")</f>
        <v>19400110</v>
      </c>
      <c r="C40" s="64" t="str">
        <f>IF(MOD(ROWS(C$2:C40)-1,4)=3,"24.00",INDEX(Data,3,2+MOD(ROWS(C$2:C40)-1,4)))</f>
        <v>17.00</v>
      </c>
      <c r="D40" s="18">
        <f t="shared" ca="1" si="1"/>
        <v>760.7</v>
      </c>
      <c r="E40" s="17">
        <f t="shared" ca="1" si="2"/>
        <v>0</v>
      </c>
      <c r="F40" s="18">
        <f t="shared" ca="1" si="3"/>
        <v>27.9</v>
      </c>
      <c r="G40" s="17">
        <f t="shared" ca="1" si="4"/>
        <v>0</v>
      </c>
      <c r="H40" s="18" t="str">
        <f t="shared" ca="1" si="5"/>
        <v>—</v>
      </c>
      <c r="I40" s="17">
        <f t="shared" ca="1" si="6"/>
        <v>7</v>
      </c>
      <c r="J40" s="18" t="str">
        <f t="shared" ca="1" si="7"/>
        <v>—</v>
      </c>
      <c r="K40" s="17">
        <f t="shared" ca="1" si="8"/>
        <v>7</v>
      </c>
      <c r="L40" s="10">
        <f t="shared" ca="1" si="9"/>
        <v>72</v>
      </c>
      <c r="M40" s="17">
        <f t="shared" ca="1" si="10"/>
        <v>0</v>
      </c>
      <c r="N40" s="18">
        <f t="shared" ca="1" si="11"/>
        <v>20.2</v>
      </c>
      <c r="O40" s="17">
        <f t="shared" ca="1" si="12"/>
        <v>0</v>
      </c>
      <c r="P40" s="18">
        <f t="shared" ca="1" si="13"/>
        <v>23.9</v>
      </c>
      <c r="Q40" s="17">
        <f t="shared" ca="1" si="14"/>
        <v>0</v>
      </c>
      <c r="R40" s="10">
        <f t="shared" ca="1" si="15"/>
        <v>65</v>
      </c>
      <c r="S40" s="17">
        <f t="shared" ca="1" si="16"/>
        <v>0</v>
      </c>
      <c r="T40" s="70">
        <f t="shared" ca="1" si="17"/>
        <v>0.5</v>
      </c>
      <c r="U40" s="17">
        <f t="shared" ca="1" si="18"/>
        <v>0</v>
      </c>
      <c r="V40" s="71">
        <f t="shared" ca="1" si="19"/>
        <v>4</v>
      </c>
      <c r="W40" s="17">
        <f t="shared" ca="1" si="20"/>
        <v>0</v>
      </c>
    </row>
    <row r="41" spans="1:23" x14ac:dyDescent="0.25">
      <c r="A41" s="4">
        <f t="shared" si="0"/>
        <v>32</v>
      </c>
      <c r="B41" t="str">
        <f ca="1">TEXT(DATE(YEAR(Invoer!$A$6),1,1)+INT((ROWS(B$2:B41)-1)/4),"jjjjmmdd")</f>
        <v>19400110</v>
      </c>
      <c r="C41" s="64" t="str">
        <f>IF(MOD(ROWS(C$2:C41)-1,4)=3,"24.00",INDEX(Data,3,2+MOD(ROWS(C$2:C41)-1,4)))</f>
        <v>24.00</v>
      </c>
      <c r="D41" s="18" t="str">
        <f t="shared" ca="1" si="1"/>
        <v>—</v>
      </c>
      <c r="E41" s="17">
        <f t="shared" ca="1" si="2"/>
        <v>7</v>
      </c>
      <c r="F41" s="18" t="str">
        <f t="shared" ca="1" si="3"/>
        <v>—</v>
      </c>
      <c r="G41" s="17">
        <f t="shared" ca="1" si="4"/>
        <v>7</v>
      </c>
      <c r="H41" s="18">
        <f t="shared" ca="1" si="5"/>
        <v>28.5</v>
      </c>
      <c r="I41" s="17">
        <f t="shared" ca="1" si="6"/>
        <v>0</v>
      </c>
      <c r="J41" s="18">
        <f t="shared" ca="1" si="7"/>
        <v>30.5</v>
      </c>
      <c r="K41" s="17">
        <f t="shared" ca="1" si="8"/>
        <v>0</v>
      </c>
      <c r="L41" s="10" t="str">
        <f t="shared" ca="1" si="9"/>
        <v>—</v>
      </c>
      <c r="M41" s="17">
        <f t="shared" ca="1" si="10"/>
        <v>7</v>
      </c>
      <c r="N41" s="18" t="str">
        <f t="shared" ca="1" si="11"/>
        <v>—</v>
      </c>
      <c r="O41" s="17">
        <f t="shared" ca="1" si="12"/>
        <v>7</v>
      </c>
      <c r="P41" s="18" t="str">
        <f t="shared" ca="1" si="13"/>
        <v>—</v>
      </c>
      <c r="Q41" s="17">
        <f t="shared" ca="1" si="14"/>
        <v>7</v>
      </c>
      <c r="R41" s="10" t="str">
        <f t="shared" ca="1" si="15"/>
        <v>—</v>
      </c>
      <c r="S41" s="17">
        <f t="shared" ca="1" si="16"/>
        <v>7</v>
      </c>
      <c r="T41" s="70" t="str">
        <f t="shared" ca="1" si="17"/>
        <v>—</v>
      </c>
      <c r="U41" s="17">
        <f t="shared" ca="1" si="18"/>
        <v>7</v>
      </c>
      <c r="V41" s="71" t="str">
        <f t="shared" ca="1" si="19"/>
        <v>—</v>
      </c>
      <c r="W41" s="17">
        <f t="shared" ca="1" si="20"/>
        <v>7</v>
      </c>
    </row>
    <row r="42" spans="1:23" x14ac:dyDescent="0.25">
      <c r="A42" s="4">
        <f t="shared" si="0"/>
        <v>32</v>
      </c>
      <c r="B42" t="str">
        <f ca="1">TEXT(DATE(YEAR(Invoer!$A$6),1,1)+INT((ROWS(B$2:B42)-1)/4),"jjjjmmdd")</f>
        <v>19400111</v>
      </c>
      <c r="C42" s="64" t="str">
        <f>IF(MOD(ROWS(C$2:C42)-1,4)=3,"24.00",INDEX(Data,3,2+MOD(ROWS(C$2:C42)-1,4)))</f>
        <v>07.00</v>
      </c>
      <c r="D42" s="18">
        <f t="shared" ca="1" si="1"/>
        <v>760.2</v>
      </c>
      <c r="E42" s="17">
        <f t="shared" ca="1" si="2"/>
        <v>0</v>
      </c>
      <c r="F42" s="18">
        <f t="shared" ca="1" si="3"/>
        <v>25.1</v>
      </c>
      <c r="G42" s="17">
        <f t="shared" ca="1" si="4"/>
        <v>0</v>
      </c>
      <c r="H42" s="18" t="str">
        <f t="shared" ca="1" si="5"/>
        <v>—</v>
      </c>
      <c r="I42" s="17">
        <f t="shared" ca="1" si="6"/>
        <v>7</v>
      </c>
      <c r="J42" s="18" t="str">
        <f t="shared" ca="1" si="7"/>
        <v>—</v>
      </c>
      <c r="K42" s="17">
        <f t="shared" ca="1" si="8"/>
        <v>7</v>
      </c>
      <c r="L42" s="10">
        <f t="shared" ca="1" si="9"/>
        <v>82</v>
      </c>
      <c r="M42" s="17">
        <f t="shared" ca="1" si="10"/>
        <v>0</v>
      </c>
      <c r="N42" s="18">
        <f t="shared" ca="1" si="11"/>
        <v>19.7</v>
      </c>
      <c r="O42" s="17">
        <f t="shared" ca="1" si="12"/>
        <v>0</v>
      </c>
      <c r="P42" s="18">
        <f t="shared" ca="1" si="13"/>
        <v>22.8</v>
      </c>
      <c r="Q42" s="17">
        <f t="shared" ca="1" si="14"/>
        <v>0</v>
      </c>
      <c r="R42" s="10">
        <f t="shared" ca="1" si="15"/>
        <v>45</v>
      </c>
      <c r="S42" s="17">
        <f t="shared" ca="1" si="16"/>
        <v>0</v>
      </c>
      <c r="T42" s="70">
        <f t="shared" ca="1" si="17"/>
        <v>0.3</v>
      </c>
      <c r="U42" s="17">
        <f t="shared" ca="1" si="18"/>
        <v>0</v>
      </c>
      <c r="V42" s="71">
        <f t="shared" ca="1" si="19"/>
        <v>2</v>
      </c>
      <c r="W42" s="17">
        <f t="shared" ca="1" si="20"/>
        <v>0</v>
      </c>
    </row>
    <row r="43" spans="1:23" x14ac:dyDescent="0.25">
      <c r="A43" s="4">
        <f t="shared" si="0"/>
        <v>32</v>
      </c>
      <c r="B43" t="str">
        <f ca="1">TEXT(DATE(YEAR(Invoer!$A$6),1,1)+INT((ROWS(B$2:B43)-1)/4),"jjjjmmdd")</f>
        <v>19400111</v>
      </c>
      <c r="C43" s="64" t="str">
        <f>IF(MOD(ROWS(C$2:C43)-1,4)=3,"24.00",INDEX(Data,3,2+MOD(ROWS(C$2:C43)-1,4)))</f>
        <v>12.00</v>
      </c>
      <c r="D43" s="18">
        <f t="shared" ca="1" si="1"/>
        <v>759.5</v>
      </c>
      <c r="E43" s="17">
        <f t="shared" ca="1" si="2"/>
        <v>0</v>
      </c>
      <c r="F43" s="18">
        <f t="shared" ca="1" si="3"/>
        <v>26.5</v>
      </c>
      <c r="G43" s="17">
        <f t="shared" ca="1" si="4"/>
        <v>0</v>
      </c>
      <c r="H43" s="18" t="str">
        <f t="shared" ca="1" si="5"/>
        <v>—</v>
      </c>
      <c r="I43" s="17">
        <f t="shared" ca="1" si="6"/>
        <v>7</v>
      </c>
      <c r="J43" s="18" t="str">
        <f t="shared" ca="1" si="7"/>
        <v>—</v>
      </c>
      <c r="K43" s="17">
        <f t="shared" ca="1" si="8"/>
        <v>7</v>
      </c>
      <c r="L43" s="10">
        <f t="shared" ca="1" si="9"/>
        <v>77</v>
      </c>
      <c r="M43" s="17">
        <f t="shared" ca="1" si="10"/>
        <v>0</v>
      </c>
      <c r="N43" s="18">
        <f t="shared" ca="1" si="11"/>
        <v>20</v>
      </c>
      <c r="O43" s="17">
        <f t="shared" ca="1" si="12"/>
        <v>0</v>
      </c>
      <c r="P43" s="18">
        <f t="shared" ca="1" si="13"/>
        <v>23.4</v>
      </c>
      <c r="Q43" s="17">
        <f t="shared" ca="1" si="14"/>
        <v>0</v>
      </c>
      <c r="R43" s="10">
        <f t="shared" ca="1" si="15"/>
        <v>45</v>
      </c>
      <c r="S43" s="17">
        <f t="shared" ca="1" si="16"/>
        <v>0</v>
      </c>
      <c r="T43" s="70">
        <f t="shared" ca="1" si="17"/>
        <v>0.4</v>
      </c>
      <c r="U43" s="17">
        <f t="shared" ca="1" si="18"/>
        <v>0</v>
      </c>
      <c r="V43" s="71">
        <f t="shared" ca="1" si="19"/>
        <v>4</v>
      </c>
      <c r="W43" s="17">
        <f t="shared" ca="1" si="20"/>
        <v>0</v>
      </c>
    </row>
    <row r="44" spans="1:23" x14ac:dyDescent="0.25">
      <c r="A44" s="4">
        <f t="shared" si="0"/>
        <v>32</v>
      </c>
      <c r="B44" t="str">
        <f ca="1">TEXT(DATE(YEAR(Invoer!$A$6),1,1)+INT((ROWS(B$2:B44)-1)/4),"jjjjmmdd")</f>
        <v>19400111</v>
      </c>
      <c r="C44" s="64" t="str">
        <f>IF(MOD(ROWS(C$2:C44)-1,4)=3,"24.00",INDEX(Data,3,2+MOD(ROWS(C$2:C44)-1,4)))</f>
        <v>17.00</v>
      </c>
      <c r="D44" s="18">
        <f t="shared" ca="1" si="1"/>
        <v>760.7</v>
      </c>
      <c r="E44" s="17">
        <f t="shared" ca="1" si="2"/>
        <v>0</v>
      </c>
      <c r="F44" s="18">
        <f t="shared" ca="1" si="3"/>
        <v>26.5</v>
      </c>
      <c r="G44" s="17">
        <f t="shared" ca="1" si="4"/>
        <v>0</v>
      </c>
      <c r="H44" s="18" t="str">
        <f t="shared" ca="1" si="5"/>
        <v>—</v>
      </c>
      <c r="I44" s="17">
        <f t="shared" ca="1" si="6"/>
        <v>7</v>
      </c>
      <c r="J44" s="18" t="str">
        <f t="shared" ca="1" si="7"/>
        <v>—</v>
      </c>
      <c r="K44" s="17">
        <f t="shared" ca="1" si="8"/>
        <v>7</v>
      </c>
      <c r="L44" s="10">
        <f t="shared" ca="1" si="9"/>
        <v>76</v>
      </c>
      <c r="M44" s="17">
        <f t="shared" ca="1" si="10"/>
        <v>0</v>
      </c>
      <c r="N44" s="18">
        <f t="shared" ca="1" si="11"/>
        <v>19.899999999999999</v>
      </c>
      <c r="O44" s="17">
        <f t="shared" ca="1" si="12"/>
        <v>0</v>
      </c>
      <c r="P44" s="18">
        <f t="shared" ca="1" si="13"/>
        <v>23.3</v>
      </c>
      <c r="Q44" s="17">
        <f t="shared" ca="1" si="14"/>
        <v>0</v>
      </c>
      <c r="R44" s="10">
        <f t="shared" ca="1" si="15"/>
        <v>45</v>
      </c>
      <c r="S44" s="17">
        <f t="shared" ca="1" si="16"/>
        <v>0</v>
      </c>
      <c r="T44" s="70">
        <f t="shared" ca="1" si="17"/>
        <v>0.5</v>
      </c>
      <c r="U44" s="17">
        <f t="shared" ca="1" si="18"/>
        <v>0</v>
      </c>
      <c r="V44" s="71">
        <f t="shared" ca="1" si="19"/>
        <v>4</v>
      </c>
      <c r="W44" s="17">
        <f t="shared" ca="1" si="20"/>
        <v>0</v>
      </c>
    </row>
    <row r="45" spans="1:23" x14ac:dyDescent="0.25">
      <c r="A45" s="4">
        <f t="shared" si="0"/>
        <v>32</v>
      </c>
      <c r="B45" t="str">
        <f ca="1">TEXT(DATE(YEAR(Invoer!$A$6),1,1)+INT((ROWS(B$2:B45)-1)/4),"jjjjmmdd")</f>
        <v>19400111</v>
      </c>
      <c r="C45" s="64" t="str">
        <f>IF(MOD(ROWS(C$2:C45)-1,4)=3,"24.00",INDEX(Data,3,2+MOD(ROWS(C$2:C45)-1,4)))</f>
        <v>24.00</v>
      </c>
      <c r="D45" s="18" t="str">
        <f t="shared" ca="1" si="1"/>
        <v>—</v>
      </c>
      <c r="E45" s="17">
        <f t="shared" ca="1" si="2"/>
        <v>7</v>
      </c>
      <c r="F45" s="18" t="str">
        <f t="shared" ca="1" si="3"/>
        <v>—</v>
      </c>
      <c r="G45" s="17">
        <f t="shared" ca="1" si="4"/>
        <v>7</v>
      </c>
      <c r="H45" s="18">
        <f t="shared" ca="1" si="5"/>
        <v>26</v>
      </c>
      <c r="I45" s="17">
        <f t="shared" ca="1" si="6"/>
        <v>0</v>
      </c>
      <c r="J45" s="18">
        <f t="shared" ca="1" si="7"/>
        <v>29.5</v>
      </c>
      <c r="K45" s="17">
        <f t="shared" ca="1" si="8"/>
        <v>0</v>
      </c>
      <c r="L45" s="10" t="str">
        <f t="shared" ca="1" si="9"/>
        <v>—</v>
      </c>
      <c r="M45" s="17">
        <f t="shared" ca="1" si="10"/>
        <v>7</v>
      </c>
      <c r="N45" s="18" t="str">
        <f t="shared" ca="1" si="11"/>
        <v>—</v>
      </c>
      <c r="O45" s="17">
        <f t="shared" ca="1" si="12"/>
        <v>7</v>
      </c>
      <c r="P45" s="18" t="str">
        <f t="shared" ca="1" si="13"/>
        <v>—</v>
      </c>
      <c r="Q45" s="17">
        <f t="shared" ca="1" si="14"/>
        <v>7</v>
      </c>
      <c r="R45" s="10" t="str">
        <f t="shared" ca="1" si="15"/>
        <v>—</v>
      </c>
      <c r="S45" s="17">
        <f t="shared" ca="1" si="16"/>
        <v>7</v>
      </c>
      <c r="T45" s="70" t="str">
        <f t="shared" ca="1" si="17"/>
        <v>—</v>
      </c>
      <c r="U45" s="17">
        <f t="shared" ca="1" si="18"/>
        <v>7</v>
      </c>
      <c r="V45" s="71" t="str">
        <f t="shared" ca="1" si="19"/>
        <v>—</v>
      </c>
      <c r="W45" s="17">
        <f t="shared" ca="1" si="20"/>
        <v>7</v>
      </c>
    </row>
    <row r="46" spans="1:23" x14ac:dyDescent="0.25">
      <c r="A46" s="4">
        <f t="shared" si="0"/>
        <v>32</v>
      </c>
      <c r="B46" t="str">
        <f ca="1">TEXT(DATE(YEAR(Invoer!$A$6),1,1)+INT((ROWS(B$2:B46)-1)/4),"jjjjmmdd")</f>
        <v>19400112</v>
      </c>
      <c r="C46" s="64" t="str">
        <f>IF(MOD(ROWS(C$2:C46)-1,4)=3,"24.00",INDEX(Data,3,2+MOD(ROWS(C$2:C46)-1,4)))</f>
        <v>07.00</v>
      </c>
      <c r="D46" s="18">
        <f t="shared" ca="1" si="1"/>
        <v>762.3</v>
      </c>
      <c r="E46" s="17">
        <f t="shared" ca="1" si="2"/>
        <v>0</v>
      </c>
      <c r="F46" s="18">
        <f t="shared" ca="1" si="3"/>
        <v>27.5</v>
      </c>
      <c r="G46" s="17">
        <f t="shared" ca="1" si="4"/>
        <v>0</v>
      </c>
      <c r="H46" s="18" t="str">
        <f t="shared" ca="1" si="5"/>
        <v>—</v>
      </c>
      <c r="I46" s="17">
        <f t="shared" ca="1" si="6"/>
        <v>7</v>
      </c>
      <c r="J46" s="18" t="str">
        <f t="shared" ca="1" si="7"/>
        <v>—</v>
      </c>
      <c r="K46" s="17">
        <f t="shared" ca="1" si="8"/>
        <v>7</v>
      </c>
      <c r="L46" s="10">
        <f t="shared" ca="1" si="9"/>
        <v>68</v>
      </c>
      <c r="M46" s="17">
        <f t="shared" ca="1" si="10"/>
        <v>0</v>
      </c>
      <c r="N46" s="18">
        <f t="shared" ca="1" si="11"/>
        <v>18.8</v>
      </c>
      <c r="O46" s="17">
        <f t="shared" ca="1" si="12"/>
        <v>0</v>
      </c>
      <c r="P46" s="18">
        <f t="shared" ca="1" si="13"/>
        <v>23</v>
      </c>
      <c r="Q46" s="17">
        <f t="shared" ca="1" si="14"/>
        <v>0</v>
      </c>
      <c r="R46" s="10">
        <f t="shared" ca="1" si="15"/>
        <v>65</v>
      </c>
      <c r="S46" s="17">
        <f t="shared" ca="1" si="16"/>
        <v>0</v>
      </c>
      <c r="T46" s="70">
        <f t="shared" ca="1" si="17"/>
        <v>0.3</v>
      </c>
      <c r="U46" s="17">
        <f t="shared" ca="1" si="18"/>
        <v>0</v>
      </c>
      <c r="V46" s="71">
        <f t="shared" ca="1" si="19"/>
        <v>2</v>
      </c>
      <c r="W46" s="17">
        <f t="shared" ca="1" si="20"/>
        <v>0</v>
      </c>
    </row>
    <row r="47" spans="1:23" x14ac:dyDescent="0.25">
      <c r="A47" s="4">
        <f t="shared" si="0"/>
        <v>32</v>
      </c>
      <c r="B47" t="str">
        <f ca="1">TEXT(DATE(YEAR(Invoer!$A$6),1,1)+INT((ROWS(B$2:B47)-1)/4),"jjjjmmdd")</f>
        <v>19400112</v>
      </c>
      <c r="C47" s="64" t="str">
        <f>IF(MOD(ROWS(C$2:C47)-1,4)=3,"24.00",INDEX(Data,3,2+MOD(ROWS(C$2:C47)-1,4)))</f>
        <v>12.00</v>
      </c>
      <c r="D47" s="18">
        <f t="shared" ca="1" si="1"/>
        <v>762</v>
      </c>
      <c r="E47" s="17">
        <f t="shared" ca="1" si="2"/>
        <v>0</v>
      </c>
      <c r="F47" s="18">
        <f t="shared" ca="1" si="3"/>
        <v>28.7</v>
      </c>
      <c r="G47" s="17">
        <f t="shared" ca="1" si="4"/>
        <v>0</v>
      </c>
      <c r="H47" s="18" t="str">
        <f t="shared" ca="1" si="5"/>
        <v>—</v>
      </c>
      <c r="I47" s="17">
        <f t="shared" ca="1" si="6"/>
        <v>7</v>
      </c>
      <c r="J47" s="18" t="str">
        <f t="shared" ca="1" si="7"/>
        <v>—</v>
      </c>
      <c r="K47" s="17">
        <f t="shared" ca="1" si="8"/>
        <v>7</v>
      </c>
      <c r="L47" s="10">
        <f t="shared" ca="1" si="9"/>
        <v>65</v>
      </c>
      <c r="M47" s="17">
        <f t="shared" ca="1" si="10"/>
        <v>0</v>
      </c>
      <c r="N47" s="18">
        <f t="shared" ca="1" si="11"/>
        <v>19.3</v>
      </c>
      <c r="O47" s="17">
        <f t="shared" ca="1" si="12"/>
        <v>0</v>
      </c>
      <c r="P47" s="18">
        <f t="shared" ca="1" si="13"/>
        <v>23.6</v>
      </c>
      <c r="Q47" s="17">
        <f t="shared" ca="1" si="14"/>
        <v>0</v>
      </c>
      <c r="R47" s="10">
        <f t="shared" ca="1" si="15"/>
        <v>65</v>
      </c>
      <c r="S47" s="17">
        <f t="shared" ca="1" si="16"/>
        <v>0</v>
      </c>
      <c r="T47" s="70">
        <f t="shared" ca="1" si="17"/>
        <v>0.4</v>
      </c>
      <c r="U47" s="17">
        <f t="shared" ca="1" si="18"/>
        <v>0</v>
      </c>
      <c r="V47" s="71">
        <f t="shared" ca="1" si="19"/>
        <v>3</v>
      </c>
      <c r="W47" s="17">
        <f t="shared" ca="1" si="20"/>
        <v>0</v>
      </c>
    </row>
    <row r="48" spans="1:23" x14ac:dyDescent="0.25">
      <c r="A48" s="4">
        <f t="shared" si="0"/>
        <v>32</v>
      </c>
      <c r="B48" t="str">
        <f ca="1">TEXT(DATE(YEAR(Invoer!$A$6),1,1)+INT((ROWS(B$2:B48)-1)/4),"jjjjmmdd")</f>
        <v>19400112</v>
      </c>
      <c r="C48" s="64" t="str">
        <f>IF(MOD(ROWS(C$2:C48)-1,4)=3,"24.00",INDEX(Data,3,2+MOD(ROWS(C$2:C48)-1,4)))</f>
        <v>17.00</v>
      </c>
      <c r="D48" s="18">
        <f t="shared" ca="1" si="1"/>
        <v>762</v>
      </c>
      <c r="E48" s="17">
        <f t="shared" ca="1" si="2"/>
        <v>0</v>
      </c>
      <c r="F48" s="18">
        <f t="shared" ca="1" si="3"/>
        <v>28.1</v>
      </c>
      <c r="G48" s="17">
        <f t="shared" ca="1" si="4"/>
        <v>0</v>
      </c>
      <c r="H48" s="18" t="str">
        <f t="shared" ca="1" si="5"/>
        <v>—</v>
      </c>
      <c r="I48" s="17">
        <f t="shared" ca="1" si="6"/>
        <v>7</v>
      </c>
      <c r="J48" s="18" t="str">
        <f t="shared" ca="1" si="7"/>
        <v>—</v>
      </c>
      <c r="K48" s="17">
        <f t="shared" ca="1" si="8"/>
        <v>7</v>
      </c>
      <c r="L48" s="10">
        <f t="shared" ca="1" si="9"/>
        <v>67</v>
      </c>
      <c r="M48" s="17">
        <f t="shared" ca="1" si="10"/>
        <v>0</v>
      </c>
      <c r="N48" s="18">
        <f t="shared" ca="1" si="11"/>
        <v>19.2</v>
      </c>
      <c r="O48" s="17">
        <f t="shared" ca="1" si="12"/>
        <v>0</v>
      </c>
      <c r="P48" s="18">
        <f t="shared" ca="1" si="13"/>
        <v>23.4</v>
      </c>
      <c r="Q48" s="17">
        <f t="shared" ca="1" si="14"/>
        <v>0</v>
      </c>
      <c r="R48" s="10">
        <f t="shared" ca="1" si="15"/>
        <v>45</v>
      </c>
      <c r="S48" s="17">
        <f t="shared" ca="1" si="16"/>
        <v>0</v>
      </c>
      <c r="T48" s="70">
        <f t="shared" ca="1" si="17"/>
        <v>0.4</v>
      </c>
      <c r="U48" s="17">
        <f t="shared" ca="1" si="18"/>
        <v>0</v>
      </c>
      <c r="V48" s="71">
        <f t="shared" ca="1" si="19"/>
        <v>3</v>
      </c>
      <c r="W48" s="17">
        <f t="shared" ca="1" si="20"/>
        <v>0</v>
      </c>
    </row>
    <row r="49" spans="1:23" x14ac:dyDescent="0.25">
      <c r="A49" s="4">
        <f t="shared" si="0"/>
        <v>32</v>
      </c>
      <c r="B49" t="str">
        <f ca="1">TEXT(DATE(YEAR(Invoer!$A$6),1,1)+INT((ROWS(B$2:B49)-1)/4),"jjjjmmdd")</f>
        <v>19400112</v>
      </c>
      <c r="C49" s="64" t="str">
        <f>IF(MOD(ROWS(C$2:C49)-1,4)=3,"24.00",INDEX(Data,3,2+MOD(ROWS(C$2:C49)-1,4)))</f>
        <v>24.00</v>
      </c>
      <c r="D49" s="18" t="str">
        <f t="shared" ca="1" si="1"/>
        <v>—</v>
      </c>
      <c r="E49" s="17">
        <f t="shared" ca="1" si="2"/>
        <v>7</v>
      </c>
      <c r="F49" s="18" t="str">
        <f t="shared" ca="1" si="3"/>
        <v>—</v>
      </c>
      <c r="G49" s="17">
        <f t="shared" ca="1" si="4"/>
        <v>7</v>
      </c>
      <c r="H49" s="18">
        <f t="shared" ca="1" si="5"/>
        <v>25.4</v>
      </c>
      <c r="I49" s="17">
        <f t="shared" ca="1" si="6"/>
        <v>0</v>
      </c>
      <c r="J49" s="18">
        <f t="shared" ca="1" si="7"/>
        <v>29.9</v>
      </c>
      <c r="K49" s="17">
        <f t="shared" ca="1" si="8"/>
        <v>0</v>
      </c>
      <c r="L49" s="10" t="str">
        <f t="shared" ca="1" si="9"/>
        <v>—</v>
      </c>
      <c r="M49" s="17">
        <f t="shared" ca="1" si="10"/>
        <v>7</v>
      </c>
      <c r="N49" s="18" t="str">
        <f t="shared" ca="1" si="11"/>
        <v>—</v>
      </c>
      <c r="O49" s="17">
        <f t="shared" ca="1" si="12"/>
        <v>7</v>
      </c>
      <c r="P49" s="18" t="str">
        <f t="shared" ca="1" si="13"/>
        <v>—</v>
      </c>
      <c r="Q49" s="17">
        <f t="shared" ca="1" si="14"/>
        <v>7</v>
      </c>
      <c r="R49" s="10" t="str">
        <f t="shared" ca="1" si="15"/>
        <v>—</v>
      </c>
      <c r="S49" s="17">
        <f t="shared" ca="1" si="16"/>
        <v>7</v>
      </c>
      <c r="T49" s="70" t="str">
        <f t="shared" ca="1" si="17"/>
        <v>—</v>
      </c>
      <c r="U49" s="17">
        <f t="shared" ca="1" si="18"/>
        <v>7</v>
      </c>
      <c r="V49" s="71" t="str">
        <f t="shared" ca="1" si="19"/>
        <v>—</v>
      </c>
      <c r="W49" s="17">
        <f t="shared" ca="1" si="20"/>
        <v>7</v>
      </c>
    </row>
    <row r="50" spans="1:23" x14ac:dyDescent="0.25">
      <c r="A50" s="4">
        <f t="shared" si="0"/>
        <v>32</v>
      </c>
      <c r="B50" t="str">
        <f ca="1">TEXT(DATE(YEAR(Invoer!$A$6),1,1)+INT((ROWS(B$2:B50)-1)/4),"jjjjmmdd")</f>
        <v>19400113</v>
      </c>
      <c r="C50" s="64" t="str">
        <f>IF(MOD(ROWS(C$2:C50)-1,4)=3,"24.00",INDEX(Data,3,2+MOD(ROWS(C$2:C50)-1,4)))</f>
        <v>07.00</v>
      </c>
      <c r="D50" s="18">
        <f t="shared" ca="1" si="1"/>
        <v>761.2</v>
      </c>
      <c r="E50" s="17">
        <f t="shared" ca="1" si="2"/>
        <v>0</v>
      </c>
      <c r="F50" s="18">
        <f t="shared" ca="1" si="3"/>
        <v>25.5</v>
      </c>
      <c r="G50" s="17">
        <f t="shared" ca="1" si="4"/>
        <v>0</v>
      </c>
      <c r="H50" s="18" t="str">
        <f t="shared" ca="1" si="5"/>
        <v>—</v>
      </c>
      <c r="I50" s="17">
        <f t="shared" ca="1" si="6"/>
        <v>7</v>
      </c>
      <c r="J50" s="18" t="str">
        <f t="shared" ca="1" si="7"/>
        <v>—</v>
      </c>
      <c r="K50" s="17">
        <f t="shared" ca="1" si="8"/>
        <v>7</v>
      </c>
      <c r="L50" s="10">
        <f t="shared" ca="1" si="9"/>
        <v>72</v>
      </c>
      <c r="M50" s="17">
        <f t="shared" ca="1" si="10"/>
        <v>0</v>
      </c>
      <c r="N50" s="18">
        <f t="shared" ca="1" si="11"/>
        <v>17.7</v>
      </c>
      <c r="O50" s="17">
        <f t="shared" ca="1" si="12"/>
        <v>0</v>
      </c>
      <c r="P50" s="18">
        <f t="shared" ca="1" si="13"/>
        <v>21.8</v>
      </c>
      <c r="Q50" s="17">
        <f t="shared" ca="1" si="14"/>
        <v>0</v>
      </c>
      <c r="R50" s="10">
        <f t="shared" ca="1" si="15"/>
        <v>90</v>
      </c>
      <c r="S50" s="17">
        <f t="shared" ca="1" si="16"/>
        <v>0</v>
      </c>
      <c r="T50" s="70">
        <f t="shared" ca="1" si="17"/>
        <v>0.3</v>
      </c>
      <c r="U50" s="17">
        <f t="shared" ca="1" si="18"/>
        <v>0</v>
      </c>
      <c r="V50" s="71">
        <f t="shared" ca="1" si="19"/>
        <v>2</v>
      </c>
      <c r="W50" s="17">
        <f t="shared" ca="1" si="20"/>
        <v>0</v>
      </c>
    </row>
    <row r="51" spans="1:23" x14ac:dyDescent="0.25">
      <c r="A51" s="4">
        <f t="shared" si="0"/>
        <v>32</v>
      </c>
      <c r="B51" t="str">
        <f ca="1">TEXT(DATE(YEAR(Invoer!$A$6),1,1)+INT((ROWS(B$2:B51)-1)/4),"jjjjmmdd")</f>
        <v>19400113</v>
      </c>
      <c r="C51" s="64" t="str">
        <f>IF(MOD(ROWS(C$2:C51)-1,4)=3,"24.00",INDEX(Data,3,2+MOD(ROWS(C$2:C51)-1,4)))</f>
        <v>12.00</v>
      </c>
      <c r="D51" s="18">
        <f t="shared" ca="1" si="1"/>
        <v>759.5</v>
      </c>
      <c r="E51" s="17">
        <f t="shared" ca="1" si="2"/>
        <v>0</v>
      </c>
      <c r="F51" s="18">
        <f t="shared" ca="1" si="3"/>
        <v>28.7</v>
      </c>
      <c r="G51" s="17">
        <f t="shared" ca="1" si="4"/>
        <v>0</v>
      </c>
      <c r="H51" s="18" t="str">
        <f t="shared" ca="1" si="5"/>
        <v>—</v>
      </c>
      <c r="I51" s="17">
        <f t="shared" ca="1" si="6"/>
        <v>7</v>
      </c>
      <c r="J51" s="18" t="str">
        <f t="shared" ca="1" si="7"/>
        <v>—</v>
      </c>
      <c r="K51" s="17">
        <f t="shared" ca="1" si="8"/>
        <v>7</v>
      </c>
      <c r="L51" s="10">
        <f t="shared" ca="1" si="9"/>
        <v>63</v>
      </c>
      <c r="M51" s="17">
        <f t="shared" ca="1" si="10"/>
        <v>0</v>
      </c>
      <c r="N51" s="18">
        <f t="shared" ca="1" si="11"/>
        <v>18.600000000000001</v>
      </c>
      <c r="O51" s="17">
        <f t="shared" ca="1" si="12"/>
        <v>0</v>
      </c>
      <c r="P51" s="18">
        <f t="shared" ca="1" si="13"/>
        <v>23.2</v>
      </c>
      <c r="Q51" s="17">
        <f t="shared" ca="1" si="14"/>
        <v>0</v>
      </c>
      <c r="R51" s="10">
        <f t="shared" ca="1" si="15"/>
        <v>90</v>
      </c>
      <c r="S51" s="17">
        <f t="shared" ca="1" si="16"/>
        <v>0</v>
      </c>
      <c r="T51" s="70">
        <f t="shared" ca="1" si="17"/>
        <v>0.3</v>
      </c>
      <c r="U51" s="17">
        <f t="shared" ca="1" si="18"/>
        <v>0</v>
      </c>
      <c r="V51" s="71">
        <f t="shared" ca="1" si="19"/>
        <v>3</v>
      </c>
      <c r="W51" s="17">
        <f t="shared" ca="1" si="20"/>
        <v>0</v>
      </c>
    </row>
    <row r="52" spans="1:23" x14ac:dyDescent="0.25">
      <c r="A52" s="4">
        <f t="shared" si="0"/>
        <v>32</v>
      </c>
      <c r="B52" t="str">
        <f ca="1">TEXT(DATE(YEAR(Invoer!$A$6),1,1)+INT((ROWS(B$2:B52)-1)/4),"jjjjmmdd")</f>
        <v>19400113</v>
      </c>
      <c r="C52" s="64" t="str">
        <f>IF(MOD(ROWS(C$2:C52)-1,4)=3,"24.00",INDEX(Data,3,2+MOD(ROWS(C$2:C52)-1,4)))</f>
        <v>17.00</v>
      </c>
      <c r="D52" s="18">
        <f t="shared" ca="1" si="1"/>
        <v>759.5</v>
      </c>
      <c r="E52" s="17">
        <f t="shared" ca="1" si="2"/>
        <v>0</v>
      </c>
      <c r="F52" s="18">
        <f t="shared" ca="1" si="3"/>
        <v>28.7</v>
      </c>
      <c r="G52" s="17">
        <f t="shared" ca="1" si="4"/>
        <v>0</v>
      </c>
      <c r="H52" s="18" t="str">
        <f t="shared" ca="1" si="5"/>
        <v>—</v>
      </c>
      <c r="I52" s="17">
        <f t="shared" ca="1" si="6"/>
        <v>7</v>
      </c>
      <c r="J52" s="18" t="str">
        <f t="shared" ca="1" si="7"/>
        <v>—</v>
      </c>
      <c r="K52" s="17">
        <f t="shared" ca="1" si="8"/>
        <v>7</v>
      </c>
      <c r="L52" s="10">
        <f t="shared" ca="1" si="9"/>
        <v>62</v>
      </c>
      <c r="M52" s="17">
        <f t="shared" ca="1" si="10"/>
        <v>0</v>
      </c>
      <c r="N52" s="18">
        <f t="shared" ca="1" si="11"/>
        <v>18.2</v>
      </c>
      <c r="O52" s="17">
        <f t="shared" ca="1" si="12"/>
        <v>0</v>
      </c>
      <c r="P52" s="18">
        <f t="shared" ca="1" si="13"/>
        <v>23</v>
      </c>
      <c r="Q52" s="17">
        <f t="shared" ca="1" si="14"/>
        <v>0</v>
      </c>
      <c r="R52" s="10">
        <f t="shared" ca="1" si="15"/>
        <v>115</v>
      </c>
      <c r="S52" s="17">
        <f t="shared" ca="1" si="16"/>
        <v>0</v>
      </c>
      <c r="T52" s="70">
        <f t="shared" ca="1" si="17"/>
        <v>0.3</v>
      </c>
      <c r="U52" s="17">
        <f t="shared" ca="1" si="18"/>
        <v>0</v>
      </c>
      <c r="V52" s="71">
        <f t="shared" ca="1" si="19"/>
        <v>3</v>
      </c>
      <c r="W52" s="17">
        <f t="shared" ca="1" si="20"/>
        <v>0</v>
      </c>
    </row>
    <row r="53" spans="1:23" x14ac:dyDescent="0.25">
      <c r="A53" s="4">
        <f t="shared" si="0"/>
        <v>32</v>
      </c>
      <c r="B53" t="str">
        <f ca="1">TEXT(DATE(YEAR(Invoer!$A$6),1,1)+INT((ROWS(B$2:B53)-1)/4),"jjjjmmdd")</f>
        <v>19400113</v>
      </c>
      <c r="C53" s="64" t="str">
        <f>IF(MOD(ROWS(C$2:C53)-1,4)=3,"24.00",INDEX(Data,3,2+MOD(ROWS(C$2:C53)-1,4)))</f>
        <v>24.00</v>
      </c>
      <c r="D53" s="18" t="str">
        <f t="shared" ca="1" si="1"/>
        <v>—</v>
      </c>
      <c r="E53" s="17">
        <f t="shared" ca="1" si="2"/>
        <v>7</v>
      </c>
      <c r="F53" s="18" t="str">
        <f t="shared" ca="1" si="3"/>
        <v>—</v>
      </c>
      <c r="G53" s="17">
        <f t="shared" ca="1" si="4"/>
        <v>7</v>
      </c>
      <c r="H53" s="18">
        <f t="shared" ca="1" si="5"/>
        <v>26.5</v>
      </c>
      <c r="I53" s="17">
        <f t="shared" ca="1" si="6"/>
        <v>0</v>
      </c>
      <c r="J53" s="18">
        <f t="shared" ca="1" si="7"/>
        <v>30.5</v>
      </c>
      <c r="K53" s="17">
        <f t="shared" ca="1" si="8"/>
        <v>0</v>
      </c>
      <c r="L53" s="10" t="str">
        <f t="shared" ca="1" si="9"/>
        <v>—</v>
      </c>
      <c r="M53" s="17">
        <f t="shared" ca="1" si="10"/>
        <v>7</v>
      </c>
      <c r="N53" s="18" t="str">
        <f t="shared" ca="1" si="11"/>
        <v>—</v>
      </c>
      <c r="O53" s="17">
        <f t="shared" ca="1" si="12"/>
        <v>7</v>
      </c>
      <c r="P53" s="18" t="str">
        <f t="shared" ca="1" si="13"/>
        <v>—</v>
      </c>
      <c r="Q53" s="17">
        <f t="shared" ca="1" si="14"/>
        <v>7</v>
      </c>
      <c r="R53" s="10" t="str">
        <f t="shared" ca="1" si="15"/>
        <v>—</v>
      </c>
      <c r="S53" s="17">
        <f t="shared" ca="1" si="16"/>
        <v>7</v>
      </c>
      <c r="T53" s="70" t="str">
        <f t="shared" ca="1" si="17"/>
        <v>—</v>
      </c>
      <c r="U53" s="17">
        <f t="shared" ca="1" si="18"/>
        <v>7</v>
      </c>
      <c r="V53" s="71" t="str">
        <f t="shared" ca="1" si="19"/>
        <v>—</v>
      </c>
      <c r="W53" s="17">
        <f t="shared" ca="1" si="20"/>
        <v>7</v>
      </c>
    </row>
    <row r="54" spans="1:23" x14ac:dyDescent="0.25">
      <c r="A54" s="4">
        <f t="shared" si="0"/>
        <v>32</v>
      </c>
      <c r="B54" t="str">
        <f ca="1">TEXT(DATE(YEAR(Invoer!$A$6),1,1)+INT((ROWS(B$2:B54)-1)/4),"jjjjmmdd")</f>
        <v>19400114</v>
      </c>
      <c r="C54" s="64" t="str">
        <f>IF(MOD(ROWS(C$2:C54)-1,4)=3,"24.00",INDEX(Data,3,2+MOD(ROWS(C$2:C54)-1,4)))</f>
        <v>07.00</v>
      </c>
      <c r="D54" s="18">
        <f t="shared" ca="1" si="1"/>
        <v>761.2</v>
      </c>
      <c r="E54" s="17">
        <f t="shared" ca="1" si="2"/>
        <v>0</v>
      </c>
      <c r="F54" s="18">
        <f t="shared" ca="1" si="3"/>
        <v>25.3</v>
      </c>
      <c r="G54" s="17">
        <f t="shared" ca="1" si="4"/>
        <v>0</v>
      </c>
      <c r="H54" s="18" t="str">
        <f t="shared" ca="1" si="5"/>
        <v>—</v>
      </c>
      <c r="I54" s="17">
        <f t="shared" ca="1" si="6"/>
        <v>7</v>
      </c>
      <c r="J54" s="18" t="str">
        <f t="shared" ca="1" si="7"/>
        <v>—</v>
      </c>
      <c r="K54" s="17">
        <f t="shared" ca="1" si="8"/>
        <v>7</v>
      </c>
      <c r="L54" s="10">
        <f t="shared" ca="1" si="9"/>
        <v>81</v>
      </c>
      <c r="M54" s="17">
        <f t="shared" ca="1" si="10"/>
        <v>0</v>
      </c>
      <c r="N54" s="18">
        <f t="shared" ca="1" si="11"/>
        <v>19.600000000000001</v>
      </c>
      <c r="O54" s="17">
        <f t="shared" ca="1" si="12"/>
        <v>0</v>
      </c>
      <c r="P54" s="18">
        <f t="shared" ca="1" si="13"/>
        <v>22.8</v>
      </c>
      <c r="Q54" s="17">
        <f t="shared" ca="1" si="14"/>
        <v>0</v>
      </c>
      <c r="R54" s="10">
        <f t="shared" ca="1" si="15"/>
        <v>65</v>
      </c>
      <c r="S54" s="17">
        <f t="shared" ca="1" si="16"/>
        <v>0</v>
      </c>
      <c r="T54" s="70">
        <f t="shared" ca="1" si="17"/>
        <v>0.3</v>
      </c>
      <c r="U54" s="17">
        <f t="shared" ca="1" si="18"/>
        <v>0</v>
      </c>
      <c r="V54" s="71">
        <f t="shared" ca="1" si="19"/>
        <v>2</v>
      </c>
      <c r="W54" s="17">
        <f t="shared" ca="1" si="20"/>
        <v>0</v>
      </c>
    </row>
    <row r="55" spans="1:23" x14ac:dyDescent="0.25">
      <c r="A55" s="4">
        <f t="shared" si="0"/>
        <v>32</v>
      </c>
      <c r="B55" t="str">
        <f ca="1">TEXT(DATE(YEAR(Invoer!$A$6),1,1)+INT((ROWS(B$2:B55)-1)/4),"jjjjmmdd")</f>
        <v>19400114</v>
      </c>
      <c r="C55" s="64" t="str">
        <f>IF(MOD(ROWS(C$2:C55)-1,4)=3,"24.00",INDEX(Data,3,2+MOD(ROWS(C$2:C55)-1,4)))</f>
        <v>12.00</v>
      </c>
      <c r="D55" s="18">
        <f t="shared" ca="1" si="1"/>
        <v>760.7</v>
      </c>
      <c r="E55" s="17">
        <f t="shared" ca="1" si="2"/>
        <v>0</v>
      </c>
      <c r="F55" s="18">
        <f t="shared" ca="1" si="3"/>
        <v>28.5</v>
      </c>
      <c r="G55" s="17">
        <f t="shared" ca="1" si="4"/>
        <v>0</v>
      </c>
      <c r="H55" s="18" t="str">
        <f t="shared" ca="1" si="5"/>
        <v>—</v>
      </c>
      <c r="I55" s="17">
        <f t="shared" ca="1" si="6"/>
        <v>7</v>
      </c>
      <c r="J55" s="18" t="str">
        <f t="shared" ca="1" si="7"/>
        <v>—</v>
      </c>
      <c r="K55" s="17">
        <f t="shared" ca="1" si="8"/>
        <v>7</v>
      </c>
      <c r="L55" s="10">
        <f t="shared" ca="1" si="9"/>
        <v>66</v>
      </c>
      <c r="M55" s="17">
        <f t="shared" ca="1" si="10"/>
        <v>0</v>
      </c>
      <c r="N55" s="18">
        <f t="shared" ca="1" si="11"/>
        <v>19.399999999999999</v>
      </c>
      <c r="O55" s="17">
        <f t="shared" ca="1" si="12"/>
        <v>0</v>
      </c>
      <c r="P55" s="18">
        <f t="shared" ca="1" si="13"/>
        <v>23.6</v>
      </c>
      <c r="Q55" s="17">
        <f t="shared" ca="1" si="14"/>
        <v>0</v>
      </c>
      <c r="R55" s="10">
        <f t="shared" ca="1" si="15"/>
        <v>65</v>
      </c>
      <c r="S55" s="17">
        <f t="shared" ca="1" si="16"/>
        <v>0</v>
      </c>
      <c r="T55" s="70">
        <f t="shared" ca="1" si="17"/>
        <v>0.4</v>
      </c>
      <c r="U55" s="17">
        <f t="shared" ca="1" si="18"/>
        <v>0</v>
      </c>
      <c r="V55" s="71">
        <f t="shared" ca="1" si="19"/>
        <v>4</v>
      </c>
      <c r="W55" s="17">
        <f t="shared" ca="1" si="20"/>
        <v>0</v>
      </c>
    </row>
    <row r="56" spans="1:23" x14ac:dyDescent="0.25">
      <c r="A56" s="4">
        <f t="shared" si="0"/>
        <v>32</v>
      </c>
      <c r="B56" t="str">
        <f ca="1">TEXT(DATE(YEAR(Invoer!$A$6),1,1)+INT((ROWS(B$2:B56)-1)/4),"jjjjmmdd")</f>
        <v>19400114</v>
      </c>
      <c r="C56" s="64" t="str">
        <f>IF(MOD(ROWS(C$2:C56)-1,4)=3,"24.00",INDEX(Data,3,2+MOD(ROWS(C$2:C56)-1,4)))</f>
        <v>17.00</v>
      </c>
      <c r="D56" s="18">
        <f t="shared" ca="1" si="1"/>
        <v>759.2</v>
      </c>
      <c r="E56" s="17">
        <f t="shared" ca="1" si="2"/>
        <v>0</v>
      </c>
      <c r="F56" s="18">
        <f t="shared" ca="1" si="3"/>
        <v>28.3</v>
      </c>
      <c r="G56" s="17">
        <f t="shared" ca="1" si="4"/>
        <v>0</v>
      </c>
      <c r="H56" s="18" t="str">
        <f t="shared" ca="1" si="5"/>
        <v>—</v>
      </c>
      <c r="I56" s="17">
        <f t="shared" ca="1" si="6"/>
        <v>7</v>
      </c>
      <c r="J56" s="18" t="str">
        <f t="shared" ca="1" si="7"/>
        <v>—</v>
      </c>
      <c r="K56" s="17">
        <f t="shared" ca="1" si="8"/>
        <v>7</v>
      </c>
      <c r="L56" s="10">
        <f t="shared" ca="1" si="9"/>
        <v>66</v>
      </c>
      <c r="M56" s="17">
        <f t="shared" ca="1" si="10"/>
        <v>0</v>
      </c>
      <c r="N56" s="18">
        <f t="shared" ca="1" si="11"/>
        <v>19.100000000000001</v>
      </c>
      <c r="O56" s="17">
        <f t="shared" ca="1" si="12"/>
        <v>0</v>
      </c>
      <c r="P56" s="18">
        <f t="shared" ca="1" si="13"/>
        <v>23.4</v>
      </c>
      <c r="Q56" s="17">
        <f t="shared" ca="1" si="14"/>
        <v>0</v>
      </c>
      <c r="R56" s="10">
        <f t="shared" ca="1" si="15"/>
        <v>65</v>
      </c>
      <c r="S56" s="17">
        <f t="shared" ca="1" si="16"/>
        <v>0</v>
      </c>
      <c r="T56" s="70">
        <f t="shared" ca="1" si="17"/>
        <v>0.4</v>
      </c>
      <c r="U56" s="17">
        <f t="shared" ca="1" si="18"/>
        <v>0</v>
      </c>
      <c r="V56" s="71">
        <f t="shared" ca="1" si="19"/>
        <v>4</v>
      </c>
      <c r="W56" s="17">
        <f t="shared" ca="1" si="20"/>
        <v>0</v>
      </c>
    </row>
    <row r="57" spans="1:23" x14ac:dyDescent="0.25">
      <c r="A57" s="4">
        <f t="shared" si="0"/>
        <v>32</v>
      </c>
      <c r="B57" t="str">
        <f ca="1">TEXT(DATE(YEAR(Invoer!$A$6),1,1)+INT((ROWS(B$2:B57)-1)/4),"jjjjmmdd")</f>
        <v>19400114</v>
      </c>
      <c r="C57" s="64" t="str">
        <f>IF(MOD(ROWS(C$2:C57)-1,4)=3,"24.00",INDEX(Data,3,2+MOD(ROWS(C$2:C57)-1,4)))</f>
        <v>24.00</v>
      </c>
      <c r="D57" s="18" t="str">
        <f t="shared" ca="1" si="1"/>
        <v>—</v>
      </c>
      <c r="E57" s="17">
        <f t="shared" ca="1" si="2"/>
        <v>7</v>
      </c>
      <c r="F57" s="18" t="str">
        <f t="shared" ca="1" si="3"/>
        <v>—</v>
      </c>
      <c r="G57" s="17">
        <f t="shared" ca="1" si="4"/>
        <v>7</v>
      </c>
      <c r="H57" s="18">
        <f t="shared" ca="1" si="5"/>
        <v>26.5</v>
      </c>
      <c r="I57" s="17">
        <f t="shared" ca="1" si="6"/>
        <v>0</v>
      </c>
      <c r="J57" s="18">
        <f t="shared" ca="1" si="7"/>
        <v>29.3</v>
      </c>
      <c r="K57" s="17">
        <f t="shared" ca="1" si="8"/>
        <v>0</v>
      </c>
      <c r="L57" s="10" t="str">
        <f t="shared" ca="1" si="9"/>
        <v>—</v>
      </c>
      <c r="M57" s="17">
        <f t="shared" ca="1" si="10"/>
        <v>7</v>
      </c>
      <c r="N57" s="18" t="str">
        <f t="shared" ca="1" si="11"/>
        <v>—</v>
      </c>
      <c r="O57" s="17">
        <f t="shared" ca="1" si="12"/>
        <v>7</v>
      </c>
      <c r="P57" s="18" t="str">
        <f t="shared" ca="1" si="13"/>
        <v>—</v>
      </c>
      <c r="Q57" s="17">
        <f t="shared" ca="1" si="14"/>
        <v>7</v>
      </c>
      <c r="R57" s="10" t="str">
        <f t="shared" ca="1" si="15"/>
        <v>—</v>
      </c>
      <c r="S57" s="17">
        <f t="shared" ca="1" si="16"/>
        <v>7</v>
      </c>
      <c r="T57" s="70" t="str">
        <f t="shared" ca="1" si="17"/>
        <v>—</v>
      </c>
      <c r="U57" s="17">
        <f t="shared" ca="1" si="18"/>
        <v>7</v>
      </c>
      <c r="V57" s="71" t="str">
        <f t="shared" ca="1" si="19"/>
        <v>—</v>
      </c>
      <c r="W57" s="17">
        <f t="shared" ca="1" si="20"/>
        <v>7</v>
      </c>
    </row>
    <row r="58" spans="1:23" x14ac:dyDescent="0.25">
      <c r="A58" s="4">
        <f t="shared" si="0"/>
        <v>32</v>
      </c>
      <c r="B58" t="str">
        <f ca="1">TEXT(DATE(YEAR(Invoer!$A$6),1,1)+INT((ROWS(B$2:B58)-1)/4),"jjjjmmdd")</f>
        <v>19400115</v>
      </c>
      <c r="C58" s="64" t="str">
        <f>IF(MOD(ROWS(C$2:C58)-1,4)=3,"24.00",INDEX(Data,3,2+MOD(ROWS(C$2:C58)-1,4)))</f>
        <v>07.00</v>
      </c>
      <c r="D58" s="18">
        <f t="shared" ca="1" si="1"/>
        <v>759.7</v>
      </c>
      <c r="E58" s="17">
        <f t="shared" ca="1" si="2"/>
        <v>0</v>
      </c>
      <c r="F58" s="18">
        <f t="shared" ca="1" si="3"/>
        <v>25.9</v>
      </c>
      <c r="G58" s="17">
        <f t="shared" ca="1" si="4"/>
        <v>0</v>
      </c>
      <c r="H58" s="18" t="str">
        <f t="shared" ca="1" si="5"/>
        <v>—</v>
      </c>
      <c r="I58" s="17">
        <f t="shared" ca="1" si="6"/>
        <v>7</v>
      </c>
      <c r="J58" s="18" t="str">
        <f t="shared" ca="1" si="7"/>
        <v>—</v>
      </c>
      <c r="K58" s="17">
        <f t="shared" ca="1" si="8"/>
        <v>7</v>
      </c>
      <c r="L58" s="10">
        <f t="shared" ca="1" si="9"/>
        <v>78</v>
      </c>
      <c r="M58" s="17">
        <f t="shared" ca="1" si="10"/>
        <v>0</v>
      </c>
      <c r="N58" s="18">
        <f t="shared" ca="1" si="11"/>
        <v>19.600000000000001</v>
      </c>
      <c r="O58" s="17">
        <f t="shared" ca="1" si="12"/>
        <v>0</v>
      </c>
      <c r="P58" s="18">
        <f t="shared" ca="1" si="13"/>
        <v>23</v>
      </c>
      <c r="Q58" s="17">
        <f t="shared" ca="1" si="14"/>
        <v>0</v>
      </c>
      <c r="R58" s="10">
        <f t="shared" ca="1" si="15"/>
        <v>65</v>
      </c>
      <c r="S58" s="17">
        <f t="shared" ca="1" si="16"/>
        <v>0</v>
      </c>
      <c r="T58" s="70">
        <f t="shared" ca="1" si="17"/>
        <v>0.2</v>
      </c>
      <c r="U58" s="17">
        <f t="shared" ca="1" si="18"/>
        <v>0</v>
      </c>
      <c r="V58" s="71">
        <f t="shared" ca="1" si="19"/>
        <v>3</v>
      </c>
      <c r="W58" s="17">
        <f t="shared" ca="1" si="20"/>
        <v>0</v>
      </c>
    </row>
    <row r="59" spans="1:23" x14ac:dyDescent="0.25">
      <c r="A59" s="4">
        <f t="shared" si="0"/>
        <v>32</v>
      </c>
      <c r="B59" t="str">
        <f ca="1">TEXT(DATE(YEAR(Invoer!$A$6),1,1)+INT((ROWS(B$2:B59)-1)/4),"jjjjmmdd")</f>
        <v>19400115</v>
      </c>
      <c r="C59" s="64" t="str">
        <f>IF(MOD(ROWS(C$2:C59)-1,4)=3,"24.00",INDEX(Data,3,2+MOD(ROWS(C$2:C59)-1,4)))</f>
        <v>12.00</v>
      </c>
      <c r="D59" s="18">
        <f t="shared" ca="1" si="1"/>
        <v>759.5</v>
      </c>
      <c r="E59" s="17">
        <f t="shared" ca="1" si="2"/>
        <v>0</v>
      </c>
      <c r="F59" s="18">
        <f t="shared" ca="1" si="3"/>
        <v>28.1</v>
      </c>
      <c r="G59" s="17">
        <f t="shared" ca="1" si="4"/>
        <v>0</v>
      </c>
      <c r="H59" s="18" t="str">
        <f t="shared" ca="1" si="5"/>
        <v>—</v>
      </c>
      <c r="I59" s="17">
        <f t="shared" ca="1" si="6"/>
        <v>7</v>
      </c>
      <c r="J59" s="18" t="str">
        <f t="shared" ca="1" si="7"/>
        <v>—</v>
      </c>
      <c r="K59" s="17">
        <f t="shared" ca="1" si="8"/>
        <v>7</v>
      </c>
      <c r="L59" s="10">
        <f t="shared" ca="1" si="9"/>
        <v>66</v>
      </c>
      <c r="M59" s="17">
        <f t="shared" ca="1" si="10"/>
        <v>0</v>
      </c>
      <c r="N59" s="18">
        <f t="shared" ca="1" si="11"/>
        <v>18.899999999999999</v>
      </c>
      <c r="O59" s="17">
        <f t="shared" ca="1" si="12"/>
        <v>0</v>
      </c>
      <c r="P59" s="18">
        <f t="shared" ca="1" si="13"/>
        <v>23.2</v>
      </c>
      <c r="Q59" s="17">
        <f t="shared" ca="1" si="14"/>
        <v>0</v>
      </c>
      <c r="R59" s="10">
        <f t="shared" ca="1" si="15"/>
        <v>65</v>
      </c>
      <c r="S59" s="17">
        <f t="shared" ca="1" si="16"/>
        <v>0</v>
      </c>
      <c r="T59" s="70">
        <f t="shared" ca="1" si="17"/>
        <v>0.3</v>
      </c>
      <c r="U59" s="17">
        <f t="shared" ca="1" si="18"/>
        <v>0</v>
      </c>
      <c r="V59" s="71">
        <f t="shared" ca="1" si="19"/>
        <v>4</v>
      </c>
      <c r="W59" s="17">
        <f t="shared" ca="1" si="20"/>
        <v>0</v>
      </c>
    </row>
    <row r="60" spans="1:23" x14ac:dyDescent="0.25">
      <c r="A60" s="4">
        <f t="shared" si="0"/>
        <v>32</v>
      </c>
      <c r="B60" t="str">
        <f ca="1">TEXT(DATE(YEAR(Invoer!$A$6),1,1)+INT((ROWS(B$2:B60)-1)/4),"jjjjmmdd")</f>
        <v>19400115</v>
      </c>
      <c r="C60" s="64" t="str">
        <f>IF(MOD(ROWS(C$2:C60)-1,4)=3,"24.00",INDEX(Data,3,2+MOD(ROWS(C$2:C60)-1,4)))</f>
        <v>17.00</v>
      </c>
      <c r="D60" s="18">
        <f t="shared" ca="1" si="1"/>
        <v>759.2</v>
      </c>
      <c r="E60" s="17">
        <f t="shared" ca="1" si="2"/>
        <v>0</v>
      </c>
      <c r="F60" s="18">
        <f t="shared" ca="1" si="3"/>
        <v>28.1</v>
      </c>
      <c r="G60" s="17">
        <f t="shared" ca="1" si="4"/>
        <v>0</v>
      </c>
      <c r="H60" s="18" t="str">
        <f t="shared" ca="1" si="5"/>
        <v>—</v>
      </c>
      <c r="I60" s="17">
        <f t="shared" ca="1" si="6"/>
        <v>7</v>
      </c>
      <c r="J60" s="18" t="str">
        <f t="shared" ca="1" si="7"/>
        <v>—</v>
      </c>
      <c r="K60" s="17">
        <f t="shared" ca="1" si="8"/>
        <v>7</v>
      </c>
      <c r="L60" s="10">
        <f t="shared" ca="1" si="9"/>
        <v>66</v>
      </c>
      <c r="M60" s="17">
        <f t="shared" ca="1" si="10"/>
        <v>0</v>
      </c>
      <c r="N60" s="18">
        <f t="shared" ca="1" si="11"/>
        <v>18.899999999999999</v>
      </c>
      <c r="O60" s="17">
        <f t="shared" ca="1" si="12"/>
        <v>0</v>
      </c>
      <c r="P60" s="18">
        <f t="shared" ca="1" si="13"/>
        <v>23.2</v>
      </c>
      <c r="Q60" s="17">
        <f t="shared" ca="1" si="14"/>
        <v>0</v>
      </c>
      <c r="R60" s="10">
        <f t="shared" ca="1" si="15"/>
        <v>65</v>
      </c>
      <c r="S60" s="17">
        <f t="shared" ca="1" si="16"/>
        <v>0</v>
      </c>
      <c r="T60" s="70">
        <f t="shared" ca="1" si="17"/>
        <v>0.3</v>
      </c>
      <c r="U60" s="17">
        <f t="shared" ca="1" si="18"/>
        <v>0</v>
      </c>
      <c r="V60" s="71">
        <f t="shared" ca="1" si="19"/>
        <v>4</v>
      </c>
      <c r="W60" s="17">
        <f t="shared" ca="1" si="20"/>
        <v>0</v>
      </c>
    </row>
    <row r="61" spans="1:23" x14ac:dyDescent="0.25">
      <c r="A61" s="4">
        <f t="shared" si="0"/>
        <v>32</v>
      </c>
      <c r="B61" t="str">
        <f ca="1">TEXT(DATE(YEAR(Invoer!$A$6),1,1)+INT((ROWS(B$2:B61)-1)/4),"jjjjmmdd")</f>
        <v>19400115</v>
      </c>
      <c r="C61" s="64" t="str">
        <f>IF(MOD(ROWS(C$2:C61)-1,4)=3,"24.00",INDEX(Data,3,2+MOD(ROWS(C$2:C61)-1,4)))</f>
        <v>24.00</v>
      </c>
      <c r="D61" s="18" t="str">
        <f t="shared" ca="1" si="1"/>
        <v>—</v>
      </c>
      <c r="E61" s="17">
        <f t="shared" ca="1" si="2"/>
        <v>7</v>
      </c>
      <c r="F61" s="18" t="str">
        <f t="shared" ca="1" si="3"/>
        <v>—</v>
      </c>
      <c r="G61" s="17">
        <f t="shared" ca="1" si="4"/>
        <v>7</v>
      </c>
      <c r="H61" s="18">
        <f t="shared" ca="1" si="5"/>
        <v>26.5</v>
      </c>
      <c r="I61" s="17">
        <f t="shared" ca="1" si="6"/>
        <v>0</v>
      </c>
      <c r="J61" s="18">
        <f t="shared" ca="1" si="7"/>
        <v>29.2</v>
      </c>
      <c r="K61" s="17">
        <f t="shared" ca="1" si="8"/>
        <v>0</v>
      </c>
      <c r="L61" s="10" t="str">
        <f t="shared" ca="1" si="9"/>
        <v>—</v>
      </c>
      <c r="M61" s="17">
        <f t="shared" ca="1" si="10"/>
        <v>7</v>
      </c>
      <c r="N61" s="18" t="str">
        <f t="shared" ca="1" si="11"/>
        <v>—</v>
      </c>
      <c r="O61" s="17">
        <f t="shared" ca="1" si="12"/>
        <v>7</v>
      </c>
      <c r="P61" s="18" t="str">
        <f t="shared" ca="1" si="13"/>
        <v>—</v>
      </c>
      <c r="Q61" s="17">
        <f t="shared" ca="1" si="14"/>
        <v>7</v>
      </c>
      <c r="R61" s="10" t="str">
        <f t="shared" ca="1" si="15"/>
        <v>—</v>
      </c>
      <c r="S61" s="17">
        <f t="shared" ca="1" si="16"/>
        <v>7</v>
      </c>
      <c r="T61" s="70" t="str">
        <f t="shared" ca="1" si="17"/>
        <v>—</v>
      </c>
      <c r="U61" s="17">
        <f t="shared" ca="1" si="18"/>
        <v>7</v>
      </c>
      <c r="V61" s="71" t="str">
        <f t="shared" ca="1" si="19"/>
        <v>—</v>
      </c>
      <c r="W61" s="17">
        <f t="shared" ca="1" si="20"/>
        <v>7</v>
      </c>
    </row>
    <row r="62" spans="1:23" x14ac:dyDescent="0.25">
      <c r="A62" s="4">
        <f t="shared" si="0"/>
        <v>32</v>
      </c>
      <c r="B62" t="str">
        <f ca="1">TEXT(DATE(YEAR(Invoer!$A$6),1,1)+INT((ROWS(B$2:B62)-1)/4),"jjjjmmdd")</f>
        <v>19400116</v>
      </c>
      <c r="C62" s="64" t="str">
        <f>IF(MOD(ROWS(C$2:C62)-1,4)=3,"24.00",INDEX(Data,3,2+MOD(ROWS(C$2:C62)-1,4)))</f>
        <v>07.00</v>
      </c>
      <c r="D62" s="18">
        <f t="shared" ca="1" si="1"/>
        <v>758.5</v>
      </c>
      <c r="E62" s="17">
        <f t="shared" ca="1" si="2"/>
        <v>0</v>
      </c>
      <c r="F62" s="18">
        <f t="shared" ca="1" si="3"/>
        <v>26.1</v>
      </c>
      <c r="G62" s="17">
        <f t="shared" ca="1" si="4"/>
        <v>0</v>
      </c>
      <c r="H62" s="18" t="str">
        <f t="shared" ca="1" si="5"/>
        <v>—</v>
      </c>
      <c r="I62" s="17">
        <f t="shared" ca="1" si="6"/>
        <v>7</v>
      </c>
      <c r="J62" s="18" t="str">
        <f t="shared" ca="1" si="7"/>
        <v>—</v>
      </c>
      <c r="K62" s="17">
        <f t="shared" ca="1" si="8"/>
        <v>7</v>
      </c>
      <c r="L62" s="10">
        <f t="shared" ca="1" si="9"/>
        <v>77</v>
      </c>
      <c r="M62" s="17">
        <f t="shared" ca="1" si="10"/>
        <v>0</v>
      </c>
      <c r="N62" s="18">
        <f t="shared" ca="1" si="11"/>
        <v>19.5</v>
      </c>
      <c r="O62" s="17">
        <f t="shared" ca="1" si="12"/>
        <v>0</v>
      </c>
      <c r="P62" s="18">
        <f t="shared" ca="1" si="13"/>
        <v>23</v>
      </c>
      <c r="Q62" s="17">
        <f t="shared" ca="1" si="14"/>
        <v>0</v>
      </c>
      <c r="R62" s="10">
        <f t="shared" ca="1" si="15"/>
        <v>65</v>
      </c>
      <c r="S62" s="17">
        <f t="shared" ca="1" si="16"/>
        <v>0</v>
      </c>
      <c r="T62" s="70">
        <f t="shared" ca="1" si="17"/>
        <v>0.2</v>
      </c>
      <c r="U62" s="17">
        <f t="shared" ca="1" si="18"/>
        <v>0</v>
      </c>
      <c r="V62" s="71">
        <f t="shared" ca="1" si="19"/>
        <v>2</v>
      </c>
      <c r="W62" s="17">
        <f t="shared" ca="1" si="20"/>
        <v>0</v>
      </c>
    </row>
    <row r="63" spans="1:23" x14ac:dyDescent="0.25">
      <c r="A63" s="4">
        <f t="shared" si="0"/>
        <v>32</v>
      </c>
      <c r="B63" t="str">
        <f ca="1">TEXT(DATE(YEAR(Invoer!$A$6),1,1)+INT((ROWS(B$2:B63)-1)/4),"jjjjmmdd")</f>
        <v>19400116</v>
      </c>
      <c r="C63" s="64" t="str">
        <f>IF(MOD(ROWS(C$2:C63)-1,4)=3,"24.00",INDEX(Data,3,2+MOD(ROWS(C$2:C63)-1,4)))</f>
        <v>12.00</v>
      </c>
      <c r="D63" s="18">
        <f t="shared" ca="1" si="1"/>
        <v>756.9</v>
      </c>
      <c r="E63" s="17">
        <f t="shared" ca="1" si="2"/>
        <v>0</v>
      </c>
      <c r="F63" s="18">
        <f t="shared" ca="1" si="3"/>
        <v>26.3</v>
      </c>
      <c r="G63" s="17">
        <f t="shared" ca="1" si="4"/>
        <v>0</v>
      </c>
      <c r="H63" s="18" t="str">
        <f t="shared" ca="1" si="5"/>
        <v>—</v>
      </c>
      <c r="I63" s="17">
        <f t="shared" ca="1" si="6"/>
        <v>7</v>
      </c>
      <c r="J63" s="18" t="str">
        <f t="shared" ca="1" si="7"/>
        <v>—</v>
      </c>
      <c r="K63" s="17">
        <f t="shared" ca="1" si="8"/>
        <v>7</v>
      </c>
      <c r="L63" s="10">
        <f t="shared" ca="1" si="9"/>
        <v>77</v>
      </c>
      <c r="M63" s="17">
        <f t="shared" ca="1" si="10"/>
        <v>0</v>
      </c>
      <c r="N63" s="18">
        <f t="shared" ca="1" si="11"/>
        <v>19.8</v>
      </c>
      <c r="O63" s="17">
        <f t="shared" ca="1" si="12"/>
        <v>0</v>
      </c>
      <c r="P63" s="18">
        <f t="shared" ca="1" si="13"/>
        <v>23.2</v>
      </c>
      <c r="Q63" s="17">
        <f t="shared" ca="1" si="14"/>
        <v>0</v>
      </c>
      <c r="R63" s="10">
        <f t="shared" ca="1" si="15"/>
        <v>65</v>
      </c>
      <c r="S63" s="17">
        <f t="shared" ca="1" si="16"/>
        <v>0</v>
      </c>
      <c r="T63" s="70">
        <f t="shared" ca="1" si="17"/>
        <v>0.3</v>
      </c>
      <c r="U63" s="17">
        <f t="shared" ca="1" si="18"/>
        <v>0</v>
      </c>
      <c r="V63" s="71">
        <f t="shared" ca="1" si="19"/>
        <v>3</v>
      </c>
      <c r="W63" s="17">
        <f t="shared" ca="1" si="20"/>
        <v>0</v>
      </c>
    </row>
    <row r="64" spans="1:23" x14ac:dyDescent="0.25">
      <c r="A64" s="4">
        <f t="shared" si="0"/>
        <v>32</v>
      </c>
      <c r="B64" t="str">
        <f ca="1">TEXT(DATE(YEAR(Invoer!$A$6),1,1)+INT((ROWS(B$2:B64)-1)/4),"jjjjmmdd")</f>
        <v>19400116</v>
      </c>
      <c r="C64" s="64" t="str">
        <f>IF(MOD(ROWS(C$2:C64)-1,4)=3,"24.00",INDEX(Data,3,2+MOD(ROWS(C$2:C64)-1,4)))</f>
        <v>17.00</v>
      </c>
      <c r="D64" s="18">
        <f t="shared" ca="1" si="1"/>
        <v>756.7</v>
      </c>
      <c r="E64" s="17">
        <f t="shared" ca="1" si="2"/>
        <v>0</v>
      </c>
      <c r="F64" s="18">
        <f t="shared" ca="1" si="3"/>
        <v>25.9</v>
      </c>
      <c r="G64" s="17">
        <f t="shared" ca="1" si="4"/>
        <v>0</v>
      </c>
      <c r="H64" s="18" t="str">
        <f t="shared" ca="1" si="5"/>
        <v>—</v>
      </c>
      <c r="I64" s="17">
        <f t="shared" ca="1" si="6"/>
        <v>7</v>
      </c>
      <c r="J64" s="18" t="str">
        <f t="shared" ca="1" si="7"/>
        <v>—</v>
      </c>
      <c r="K64" s="17">
        <f t="shared" ca="1" si="8"/>
        <v>7</v>
      </c>
      <c r="L64" s="10">
        <f t="shared" ca="1" si="9"/>
        <v>77</v>
      </c>
      <c r="M64" s="17">
        <f t="shared" ca="1" si="10"/>
        <v>0</v>
      </c>
      <c r="N64" s="18">
        <f t="shared" ca="1" si="11"/>
        <v>19.3</v>
      </c>
      <c r="O64" s="17">
        <f t="shared" ca="1" si="12"/>
        <v>0</v>
      </c>
      <c r="P64" s="18">
        <f t="shared" ca="1" si="13"/>
        <v>22.8</v>
      </c>
      <c r="Q64" s="17">
        <f t="shared" ca="1" si="14"/>
        <v>0</v>
      </c>
      <c r="R64" s="10">
        <f t="shared" ca="1" si="15"/>
        <v>65</v>
      </c>
      <c r="S64" s="17">
        <f t="shared" ca="1" si="16"/>
        <v>0</v>
      </c>
      <c r="T64" s="70">
        <f t="shared" ca="1" si="17"/>
        <v>0.3</v>
      </c>
      <c r="U64" s="17">
        <f t="shared" ca="1" si="18"/>
        <v>0</v>
      </c>
      <c r="V64" s="71">
        <f t="shared" ca="1" si="19"/>
        <v>2</v>
      </c>
      <c r="W64" s="17">
        <f t="shared" ca="1" si="20"/>
        <v>0</v>
      </c>
    </row>
    <row r="65" spans="1:23" x14ac:dyDescent="0.25">
      <c r="A65" s="4">
        <f t="shared" si="0"/>
        <v>32</v>
      </c>
      <c r="B65" t="str">
        <f ca="1">TEXT(DATE(YEAR(Invoer!$A$6),1,1)+INT((ROWS(B$2:B65)-1)/4),"jjjjmmdd")</f>
        <v>19400116</v>
      </c>
      <c r="C65" s="64" t="str">
        <f>IF(MOD(ROWS(C$2:C65)-1,4)=3,"24.00",INDEX(Data,3,2+MOD(ROWS(C$2:C65)-1,4)))</f>
        <v>24.00</v>
      </c>
      <c r="D65" s="18" t="str">
        <f t="shared" ca="1" si="1"/>
        <v>—</v>
      </c>
      <c r="E65" s="17">
        <f t="shared" ca="1" si="2"/>
        <v>7</v>
      </c>
      <c r="F65" s="18" t="str">
        <f t="shared" ca="1" si="3"/>
        <v>—</v>
      </c>
      <c r="G65" s="17">
        <f t="shared" ca="1" si="4"/>
        <v>7</v>
      </c>
      <c r="H65" s="18">
        <f t="shared" ca="1" si="5"/>
        <v>27.4</v>
      </c>
      <c r="I65" s="17">
        <f t="shared" ca="1" si="6"/>
        <v>0</v>
      </c>
      <c r="J65" s="18">
        <f t="shared" ca="1" si="7"/>
        <v>28.5</v>
      </c>
      <c r="K65" s="17">
        <f t="shared" ca="1" si="8"/>
        <v>0</v>
      </c>
      <c r="L65" s="10" t="str">
        <f t="shared" ca="1" si="9"/>
        <v>—</v>
      </c>
      <c r="M65" s="17">
        <f t="shared" ca="1" si="10"/>
        <v>7</v>
      </c>
      <c r="N65" s="18" t="str">
        <f t="shared" ca="1" si="11"/>
        <v>—</v>
      </c>
      <c r="O65" s="17">
        <f t="shared" ca="1" si="12"/>
        <v>7</v>
      </c>
      <c r="P65" s="18" t="str">
        <f t="shared" ca="1" si="13"/>
        <v>—</v>
      </c>
      <c r="Q65" s="17">
        <f t="shared" ca="1" si="14"/>
        <v>7</v>
      </c>
      <c r="R65" s="10" t="str">
        <f t="shared" ca="1" si="15"/>
        <v>—</v>
      </c>
      <c r="S65" s="17">
        <f t="shared" ca="1" si="16"/>
        <v>7</v>
      </c>
      <c r="T65" s="70" t="str">
        <f t="shared" ca="1" si="17"/>
        <v>—</v>
      </c>
      <c r="U65" s="17">
        <f t="shared" ca="1" si="18"/>
        <v>7</v>
      </c>
      <c r="V65" s="71" t="str">
        <f t="shared" ca="1" si="19"/>
        <v>—</v>
      </c>
      <c r="W65" s="17">
        <f t="shared" ca="1" si="20"/>
        <v>7</v>
      </c>
    </row>
    <row r="66" spans="1:23" x14ac:dyDescent="0.25">
      <c r="A66" s="4">
        <f t="shared" ref="A66:A129" si="21">INDEX(Stations,2,1)</f>
        <v>32</v>
      </c>
      <c r="B66" t="str">
        <f ca="1">TEXT(DATE(YEAR(Invoer!$A$6),1,1)+INT((ROWS(B$2:B66)-1)/4),"jjjjmmdd")</f>
        <v>19400117</v>
      </c>
      <c r="C66" s="64" t="str">
        <f>IF(MOD(ROWS(C$2:C66)-1,4)=3,"24.00",INDEX(Data,3,2+MOD(ROWS(C$2:C66)-1,4)))</f>
        <v>07.00</v>
      </c>
      <c r="D66" s="18">
        <f t="shared" ref="D66:D129" ca="1" si="22">IF(OR(ISBLANK(VLOOKUP(DATEVALUE(LEFT($B66,4)&amp;"-"&amp;MID($B66,5,2)&amp;"-"&amp;RIGHT($B66,2)),Data,MATCH(LEFT(VLOOKUP(D$1,Parameters,2,FALSE()),4)&amp;"*",OFFSET(Data,0,0,1),0)+MATCH($C66,OFFSET(Data,2,0,1),0)-2,FALSE())),ISTEXT(VLOOKUP(DATEVALUE(LEFT($B66,4)&amp;"-"&amp;MID($B66,5,2)&amp;"-"&amp;RIGHT($B66,2)),Data,MATCH(LEFT(VLOOKUP(D$1,Parameters,2,FALSE()),4)&amp;"*",OFFSET(Data,0,0,1),0)+MATCH($C66,OFFSET(Data,2,0,1),0)-2,FALSE())),EXACT($C66,"24.00")),"—",VLOOKUP(DATEVALUE(LEFT($B66,4)&amp;"-"&amp;MID($B66,5,2)&amp;"-"&amp;RIGHT($B66,2)),Data,MATCH(LEFT(VLOOKUP(D$1,Parameters,2,FALSE()),4)&amp;"*",OFFSET(Data,0,0,1),0)+MATCH($C66,OFFSET(Data,2,0,1),0)-2,FALSE())/10)</f>
        <v>761</v>
      </c>
      <c r="E66" s="17">
        <f t="shared" ref="E66:E129" ca="1" si="23">IF(OR(ISBLANK(VLOOKUP(DATEVALUE(LEFT($B66,4)&amp;"-"&amp;MID($B66,5,2)&amp;"-"&amp;RIGHT($B66,2)),Data,MATCH(LEFT(VLOOKUP(MID(E$1,2,LEN(E$1)-1),Parameters,2,FALSE()),4)&amp;"*",OFFSET(Data,0,0,1),0)+MATCH($C66,OFFSET(Data,2,0,1),0)-2,FALSE())),ISTEXT(VLOOKUP(DATEVALUE(LEFT($B66,4)&amp;"-"&amp;MID($B66,5,2)&amp;"-"&amp;RIGHT($B66,2)),Data,MATCH(LEFT(VLOOKUP(MID(E$1,2,LEN(E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Data,2,0,1),0)-2,FALSE())))</f>
        <v>0</v>
      </c>
      <c r="F66" s="18">
        <f t="shared" ref="F66:F129" ca="1" si="24">IF(OR(ISBLANK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ISTEXT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EXACT($C66,"24.00")),"—",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/10)</f>
        <v>25.3</v>
      </c>
      <c r="G66" s="17">
        <f t="shared" ref="G66:G129" ca="1" si="25">IF(OR(ISBLANK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ISTEXT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G$1,2,LEN(G$1)-1),Parameters,2,FALSE()),FIND(LOWER(MID(G$1,2,1)),VLOOKUP(MID(G$1,2,LEN(G$1)-1),Parameters,2,FALSE()),5),4)&amp;"*",OFFSET(Catalogus,0,0,1),0)+2*MATCH($C66,OFFSET(Catalogus,2,0,1),0)+MATCH(LEFT(VLOOKUP(MID(G$1,2,LEN(G$1)-1),Parameters,2,FALSE()),3)&amp;"*",OFFSET(Catalogus,2,4,1),0)-5,FALSE())))</f>
        <v>0</v>
      </c>
      <c r="H66" s="18" t="str">
        <f t="shared" ref="H66:H129" ca="1" si="26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/10)</f>
        <v>—</v>
      </c>
      <c r="I66" s="17">
        <f t="shared" ref="I66:I129" ca="1" si="27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  <c r="J66" s="18" t="str">
        <f t="shared" ref="J66:J129" ca="1" si="28">IF(OR(ISBLANK(VLOOKUP(DATEVALUE(LEFT($B66,4)&amp;"-"&amp;MID($B66,5,2)&amp;"-"&amp;RIGHT($B66,2)),Data,MATCH(LEFT(VLOOKUP(J$1,Parameters,2,FALSE()),4)&amp;"*",OFFSET(Data,1,0,1),0),FALSE())),ISTEXT(VLOOKUP(DATEVALUE(LEFT($B66,4)&amp;"-"&amp;MID($B66,5,2)&amp;"-"&amp;RIGHT($B66,2)),Data,MATCH(LEFT(VLOOKUP(J$1,Parameters,2,FALSE()),4)&amp;"*",OFFSET(Data,1,0,1),0),FALSE())),NOT(EXACT($C66,"24.00"))),"—",VLOOKUP(DATEVALUE(LEFT($B66,4)&amp;"-"&amp;MID($B66,5,2)&amp;"-"&amp;RIGHT($B66,2)),Data,MATCH(LEFT(VLOOKUP(J$1,Parameters,2,FALSE()),4)&amp;"*",OFFSET(Data,1,0,1),0),FALSE())/10)</f>
        <v>—</v>
      </c>
      <c r="K66" s="17">
        <f t="shared" ref="K66:K129" ca="1" si="29">IF(OR(ISBLANK(VLOOKUP(DATEVALUE(LEFT($B66,4)&amp;"-"&amp;MID($B66,5,2)&amp;"-"&amp;RIGHT($B66,2)),Data,MATCH(LEFT(VLOOKUP(MID(K$1,2,LEN(K$1)-1),Parameters,2,FALSE()),4)&amp;"*",OFFSET(Data,1,0,1),0),FALSE())),ISTEXT(VLOOKUP(DATEVALUE(LEFT($B66,4)&amp;"-"&amp;MID($B66,5,2)&amp;"-"&amp;RIGHT($B66,2)),Data,MATCH(LEFT(VLOOKUP(MID(K$1,2,LEN(K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4)&amp;"*",OFFSET(Catalogus,1,0,1),0),FALSE())))</f>
        <v>7</v>
      </c>
      <c r="L66" s="10">
        <f t="shared" ref="L66:L129" ca="1" si="30">IF(OR(ISBLANK(VLOOKUP(DATEVALUE(LEFT($B66,4)&amp;"-"&amp;MID($B66,5,2)&amp;"-"&amp;RIGHT($B66,2)),Data,MATCH(LEFT(VLOOKUP(L$1,Parameters,2,FALSE()),4)&amp;"*",OFFSET(Data,0,0,1),0)+MATCH($C66,OFFSET(Data,2,0,1),0)-2,FALSE())),ISTEXT(VLOOKUP(DATEVALUE(LEFT($B66,4)&amp;"-"&amp;MID($B66,5,2)&amp;"-"&amp;RIGHT($B66,2)),Data,MATCH(LEFT(VLOOKUP(L$1,Parameters,2,FALSE()),4)&amp;"*",OFFSET(Data,0,0,1),0)+MATCH($C66,OFFSET(Data,2,0,1),0)-2,FALSE())),EXACT($C66,"24.00")),"—",VLOOKUP(DATEVALUE(LEFT($B66,4)&amp;"-"&amp;MID($B66,5,2)&amp;"-"&amp;RIGHT($B66,2)),Data,MATCH(LEFT(VLOOKUP(L$1,Parameters,2,FALSE()),4)&amp;"*",OFFSET(Data,0,0,1),0)+MATCH($C66,OFFSET(Data,2,0,1),0)-2,FALSE()))</f>
        <v>78</v>
      </c>
      <c r="M66" s="17">
        <f t="shared" ref="M66:M129" ca="1" si="31">IF(OR(ISBLANK(VLOOKUP(DATEVALUE(LEFT($B66,4)&amp;"-"&amp;MID($B66,5,2)&amp;"-"&amp;RIGHT($B66,2)),Data,MATCH(LEFT(VLOOKUP(MID(M$1,2,LEN(M$1)-1),Parameters,2,FALSE()),4)&amp;"*",OFFSET(Data,0,0,1),0)+MATCH($C66,OFFSET(Data,2,0,1),0)-2,FALSE())),ISTEXT(VLOOKUP(DATEVALUE(LEFT($B66,4)&amp;"-"&amp;MID($B66,5,2)&amp;"-"&amp;RIGHT($B66,2)),Data,MATCH(LEFT(VLOOKUP(MID(M$1,2,LEN(M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4)&amp;"*",OFFSET(Catalogus,0,0,1),0)+MATCH($C66,OFFSET(Data,2,0,1),0)-2,FALSE())))</f>
        <v>0</v>
      </c>
      <c r="N66" s="18">
        <f t="shared" ref="N66:N129" ca="1" si="32">IF(OR(ISBLANK(VLOOKUP(DATEVALUE(LEFT($B66,4)&amp;"-"&amp;MID($B66,5,2)&amp;"-"&amp;RIGHT($B66,2)),Data,MATCH(LEFT(VLOOKUP(N$1,Parameters,2,FALSE()),4)&amp;"*",OFFSET(Data,0,0,1),0)+MATCH($C66,OFFSET(Data,2,0,1),0)-2,FALSE())),ISTEXT(VLOOKUP(DATEVALUE(LEFT($B66,4)&amp;"-"&amp;MID($B66,5,2)&amp;"-"&amp;RIGHT($B66,2)),Data,MATCH(LEFT(VLOOKUP(N$1,Parameters,2,FALSE()),4)&amp;"*",OFFSET(Data,0,0,1),0)+MATCH($C66,OFFSET(Data,2,0,1),0)-2,FALSE())),EXACT($C66,"24.00")),"—",VLOOKUP(DATEVALUE(LEFT($B66,4)&amp;"-"&amp;MID($B66,5,2)&amp;"-"&amp;RIGHT($B66,2)),Data,MATCH(LEFT(VLOOKUP(N$1,Parameters,2,FALSE()),4)&amp;"*",OFFSET(Data,0,0,1),0)+MATCH($C66,OFFSET(Data,2,0,1),0)-2,FALSE())/10)</f>
        <v>18.899999999999999</v>
      </c>
      <c r="O66" s="17">
        <f t="shared" ref="O66:O129" ca="1" si="33">IF(OR(ISBLANK(VLOOKUP(DATEVALUE(LEFT($B66,4)&amp;"-"&amp;MID($B66,5,2)&amp;"-"&amp;RIGHT($B66,2)),Data,MATCH(LEFT(VLOOKUP(MID(O$1,2,LEN(O$1)-1),Parameters,2,FALSE()),4)&amp;"*",OFFSET(Data,0,0,1),0)+MATCH($C66,OFFSET(Data,2,0,1),0)-2,FALSE())),ISTEXT(VLOOKUP(DATEVALUE(LEFT($B66,4)&amp;"-"&amp;MID($B66,5,2)&amp;"-"&amp;RIGHT($B66,2)),Data,MATCH(LEFT(VLOOKUP(MID(O$1,2,LEN(O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4)&amp;"*",OFFSET(Catalogus,0,0,1),0)+MATCH($C66,OFFSET(Data,2,0,1),0)-2,FALSE())))</f>
        <v>0</v>
      </c>
      <c r="P66" s="18">
        <f t="shared" ref="P66:P129" ca="1" si="34">IF(OR(ISBLANK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ISTEXT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EXACT($C66,"24.00")),"—",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/10)</f>
        <v>22.4</v>
      </c>
      <c r="Q66" s="17">
        <f t="shared" ref="Q66:Q129" ca="1" si="35">IF(OR(ISBLANK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ISTEXT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Q$1,2,LEN(Q$1)-1),Parameters,2,FALSE()),FIND(LOWER(MID(Q$1,2,1)),VLOOKUP(MID(Q$1,2,LEN(Q$1)-1),Parameters,2,FALSE()),5),4)&amp;"*",OFFSET(Catalogus,0,0,1),0)+2*MATCH($C66,OFFSET(Catalogus,2,0,1),0)+MATCH(LEFT(VLOOKUP(MID(Q$1,2,LEN(Q$1)-1),Parameters,2,FALSE()),3)&amp;"*",OFFSET(Catalogus,2,4,1),0)-5,FALSE())))</f>
        <v>0</v>
      </c>
      <c r="R66" s="10">
        <f t="shared" ref="R66:R129" ca="1" si="36">IF(OR(ISBLANK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),ISNA(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1,1,,1),0)),EXACT($C66,"24.00")),"—",INDEX(Windrichting,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0,1,,1),0),1))</f>
        <v>65</v>
      </c>
      <c r="S66" s="17">
        <f t="shared" ref="S66:S129" ca="1" si="37">IF(OR(ISBLANK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),ISNA(MATCH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,OFFSET(Windrichting,1,1,,1),0)),EXACT($C66,"24.00"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4)&amp;"*",OFFSET(Catalogus,0,0,1),0)+2*MATCH($C66,OFFSET(Catalogus,2,0,1),0)+MATCH(MID(VLOOKUP(MID(S$1,2,LEN(S$1)-1),Parameters,2,FALSE()),5,LEN(VLOOKUP(MID(S$1,2,LEN(S$1)-1),Parameters,2,FALSE()))-4)&amp;"*",OFFSET(Catalogus,2,19,1),0)-5,FALSE())))</f>
        <v>0</v>
      </c>
      <c r="T66" s="70">
        <f t="shared" ref="T66:T129" ca="1" si="38">IF(OR(ISBLANK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ISTEXT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EXACT($C66,"24.00")),"—",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/10)</f>
        <v>0.3</v>
      </c>
      <c r="U66" s="17">
        <f t="shared" ref="U66:U129" ca="1" si="39">IF(OR(ISBLANK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ISTEXT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EXACT($C66,"24.00"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4)&amp;"*",OFFSET(Catalogus,0,0,1),0)+2*MATCH($C66,OFFSET(Catalogus,2,0,1),0)+MATCH(MID(VLOOKUP(MID(U$1,2,LEN(U$1)-1),Parameters,2,FALSE()),5,LEN(VLOOKUP(MID(U$1,2,LEN(U$1)-1),Parameters,2,FALSE()))-4)&amp;"*",OFFSET(Catalogus,2,19,1),0)-5,FALSE())))</f>
        <v>0</v>
      </c>
      <c r="V66" s="71">
        <f t="shared" ref="V66:V129" ca="1" si="40">IF(OR(ISBLANK(VLOOKUP(DATEVALUE(LEFT($B66,4)&amp;"-"&amp;MID($B66,5,2)&amp;"-"&amp;RIGHT($B66,2)),Data,MATCH(LEFT(VLOOKUP(V$1,Parameters,2,FALSE()),4)&amp;"*",OFFSET(Data,0,0,1),0)+MATCH($C66,OFFSET(Data,2,0,1),0)-2,FALSE())),ISTEXT(VLOOKUP(DATEVALUE(LEFT($B66,4)&amp;"-"&amp;MID($B66,5,2)&amp;"-"&amp;RIGHT($B66,2)),Data,MATCH(LEFT(VLOOKUP(V$1,Parameters,2,FALSE()),4)&amp;"*",OFFSET(Data,0,0,1),0)+MATCH($C66,OFFSET(Data,2,0,1),0)-2,FALSE())),EXACT($C66,"24.00")),"—",VLOOKUP(DATEVALUE(LEFT($B66,4)&amp;"-"&amp;MID($B66,5,2)&amp;"-"&amp;RIGHT($B66,2)),Data,MATCH(LEFT(VLOOKUP(V$1,Parameters,2,FALSE()),4)&amp;"*",OFFSET(Data,0,0,1),0)+MATCH($C66,OFFSET(Data,2,0,1),0)-2,FALSE()))</f>
        <v>2</v>
      </c>
      <c r="W66" s="17">
        <f t="shared" ref="W66:W129" ca="1" si="41">IF(OR(ISBLANK(VLOOKUP(DATEVALUE(LEFT($B66,4)&amp;"-"&amp;MID($B66,5,2)&amp;"-"&amp;RIGHT($B66,2)),Data,MATCH(LEFT(VLOOKUP(MID(W$1,2,LEN(W$1)-1),Parameters,2,FALSE()),4)&amp;"*",OFFSET(Data,0,0,1),0)+MATCH($C66,OFFSET(Data,2,0,1),0)-2,FALSE())),ISTEXT(VLOOKUP(DATEVALUE(LEFT($B66,4)&amp;"-"&amp;MID($B66,5,2)&amp;"-"&amp;RIGHT($B66,2)),Data,MATCH(LEFT(VLOOKUP(MID(W$1,2,LEN(W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4)&amp;"*",OFFSET(Catalogus,0,0,1),0)+MATCH($C66,OFFSET(Data,2,0,1),0)-2,FALSE())))</f>
        <v>0</v>
      </c>
    </row>
    <row r="67" spans="1:23" x14ac:dyDescent="0.25">
      <c r="A67" s="4">
        <f t="shared" si="21"/>
        <v>32</v>
      </c>
      <c r="B67" t="str">
        <f ca="1">TEXT(DATE(YEAR(Invoer!$A$6),1,1)+INT((ROWS(B$2:B67)-1)/4),"jjjjmmdd")</f>
        <v>19400117</v>
      </c>
      <c r="C67" s="64" t="str">
        <f>IF(MOD(ROWS(C$2:C67)-1,4)=3,"24.00",INDEX(Data,3,2+MOD(ROWS(C$2:C67)-1,4)))</f>
        <v>12.00</v>
      </c>
      <c r="D67" s="18">
        <f t="shared" ca="1" si="22"/>
        <v>760.7</v>
      </c>
      <c r="E67" s="17">
        <f t="shared" ca="1" si="23"/>
        <v>0</v>
      </c>
      <c r="F67" s="18">
        <f t="shared" ca="1" si="24"/>
        <v>26.1</v>
      </c>
      <c r="G67" s="17">
        <f t="shared" ca="1" si="25"/>
        <v>0</v>
      </c>
      <c r="H67" s="18" t="str">
        <f t="shared" ca="1" si="26"/>
        <v>—</v>
      </c>
      <c r="I67" s="17">
        <f t="shared" ca="1" si="27"/>
        <v>7</v>
      </c>
      <c r="J67" s="18" t="str">
        <f t="shared" ca="1" si="28"/>
        <v>—</v>
      </c>
      <c r="K67" s="17">
        <f t="shared" ca="1" si="29"/>
        <v>7</v>
      </c>
      <c r="L67" s="10">
        <f t="shared" ca="1" si="30"/>
        <v>77</v>
      </c>
      <c r="M67" s="17">
        <f t="shared" ca="1" si="31"/>
        <v>0</v>
      </c>
      <c r="N67" s="18">
        <f t="shared" ca="1" si="32"/>
        <v>19.5</v>
      </c>
      <c r="O67" s="17">
        <f t="shared" ca="1" si="33"/>
        <v>0</v>
      </c>
      <c r="P67" s="18">
        <f t="shared" ca="1" si="34"/>
        <v>23</v>
      </c>
      <c r="Q67" s="17">
        <f t="shared" ca="1" si="35"/>
        <v>0</v>
      </c>
      <c r="R67" s="10">
        <f t="shared" ca="1" si="36"/>
        <v>65</v>
      </c>
      <c r="S67" s="17">
        <f t="shared" ca="1" si="37"/>
        <v>0</v>
      </c>
      <c r="T67" s="70">
        <f t="shared" ca="1" si="38"/>
        <v>0.4</v>
      </c>
      <c r="U67" s="17">
        <f t="shared" ca="1" si="39"/>
        <v>0</v>
      </c>
      <c r="V67" s="71">
        <f t="shared" ca="1" si="40"/>
        <v>3</v>
      </c>
      <c r="W67" s="17">
        <f t="shared" ca="1" si="41"/>
        <v>0</v>
      </c>
    </row>
    <row r="68" spans="1:23" x14ac:dyDescent="0.25">
      <c r="A68" s="4">
        <f t="shared" si="21"/>
        <v>32</v>
      </c>
      <c r="B68" t="str">
        <f ca="1">TEXT(DATE(YEAR(Invoer!$A$6),1,1)+INT((ROWS(B$2:B68)-1)/4),"jjjjmmdd")</f>
        <v>19400117</v>
      </c>
      <c r="C68" s="64" t="str">
        <f>IF(MOD(ROWS(C$2:C68)-1,4)=3,"24.00",INDEX(Data,3,2+MOD(ROWS(C$2:C68)-1,4)))</f>
        <v>17.00</v>
      </c>
      <c r="D68" s="18">
        <f t="shared" ca="1" si="22"/>
        <v>758.2</v>
      </c>
      <c r="E68" s="17">
        <f t="shared" ca="1" si="23"/>
        <v>0</v>
      </c>
      <c r="F68" s="18">
        <f t="shared" ca="1" si="24"/>
        <v>25.9</v>
      </c>
      <c r="G68" s="17">
        <f t="shared" ca="1" si="25"/>
        <v>0</v>
      </c>
      <c r="H68" s="18" t="str">
        <f t="shared" ca="1" si="26"/>
        <v>—</v>
      </c>
      <c r="I68" s="17">
        <f t="shared" ca="1" si="27"/>
        <v>7</v>
      </c>
      <c r="J68" s="18" t="str">
        <f t="shared" ca="1" si="28"/>
        <v>—</v>
      </c>
      <c r="K68" s="17">
        <f t="shared" ca="1" si="29"/>
        <v>7</v>
      </c>
      <c r="L68" s="10">
        <f t="shared" ca="1" si="30"/>
        <v>77</v>
      </c>
      <c r="M68" s="17">
        <f t="shared" ca="1" si="31"/>
        <v>0</v>
      </c>
      <c r="N68" s="18">
        <f t="shared" ca="1" si="32"/>
        <v>19.3</v>
      </c>
      <c r="O68" s="17">
        <f t="shared" ca="1" si="33"/>
        <v>0</v>
      </c>
      <c r="P68" s="18">
        <f t="shared" ca="1" si="34"/>
        <v>22.8</v>
      </c>
      <c r="Q68" s="17">
        <f t="shared" ca="1" si="35"/>
        <v>0</v>
      </c>
      <c r="R68" s="10">
        <f t="shared" ca="1" si="36"/>
        <v>65</v>
      </c>
      <c r="S68" s="17">
        <f t="shared" ca="1" si="37"/>
        <v>0</v>
      </c>
      <c r="T68" s="70">
        <f t="shared" ca="1" si="38"/>
        <v>0.4</v>
      </c>
      <c r="U68" s="17">
        <f t="shared" ca="1" si="39"/>
        <v>0</v>
      </c>
      <c r="V68" s="71">
        <f t="shared" ca="1" si="40"/>
        <v>3</v>
      </c>
      <c r="W68" s="17">
        <f t="shared" ca="1" si="41"/>
        <v>0</v>
      </c>
    </row>
    <row r="69" spans="1:23" x14ac:dyDescent="0.25">
      <c r="A69" s="4">
        <f t="shared" si="21"/>
        <v>32</v>
      </c>
      <c r="B69" t="str">
        <f ca="1">TEXT(DATE(YEAR(Invoer!$A$6),1,1)+INT((ROWS(B$2:B69)-1)/4),"jjjjmmdd")</f>
        <v>19400117</v>
      </c>
      <c r="C69" s="64" t="str">
        <f>IF(MOD(ROWS(C$2:C69)-1,4)=3,"24.00",INDEX(Data,3,2+MOD(ROWS(C$2:C69)-1,4)))</f>
        <v>24.00</v>
      </c>
      <c r="D69" s="18" t="str">
        <f t="shared" ca="1" si="22"/>
        <v>—</v>
      </c>
      <c r="E69" s="17">
        <f t="shared" ca="1" si="23"/>
        <v>7</v>
      </c>
      <c r="F69" s="18" t="str">
        <f t="shared" ca="1" si="24"/>
        <v>—</v>
      </c>
      <c r="G69" s="17">
        <f t="shared" ca="1" si="25"/>
        <v>7</v>
      </c>
      <c r="H69" s="18">
        <f t="shared" ca="1" si="26"/>
        <v>26.5</v>
      </c>
      <c r="I69" s="17">
        <f t="shared" ca="1" si="27"/>
        <v>0</v>
      </c>
      <c r="J69" s="18">
        <f t="shared" ca="1" si="28"/>
        <v>28.4</v>
      </c>
      <c r="K69" s="17">
        <f t="shared" ca="1" si="29"/>
        <v>0</v>
      </c>
      <c r="L69" s="10" t="str">
        <f t="shared" ca="1" si="30"/>
        <v>—</v>
      </c>
      <c r="M69" s="17">
        <f t="shared" ca="1" si="31"/>
        <v>7</v>
      </c>
      <c r="N69" s="18" t="str">
        <f t="shared" ca="1" si="32"/>
        <v>—</v>
      </c>
      <c r="O69" s="17">
        <f t="shared" ca="1" si="33"/>
        <v>7</v>
      </c>
      <c r="P69" s="18" t="str">
        <f t="shared" ca="1" si="34"/>
        <v>—</v>
      </c>
      <c r="Q69" s="17">
        <f t="shared" ca="1" si="35"/>
        <v>7</v>
      </c>
      <c r="R69" s="10" t="str">
        <f t="shared" ca="1" si="36"/>
        <v>—</v>
      </c>
      <c r="S69" s="17">
        <f t="shared" ca="1" si="37"/>
        <v>7</v>
      </c>
      <c r="T69" s="70" t="str">
        <f t="shared" ca="1" si="38"/>
        <v>—</v>
      </c>
      <c r="U69" s="17">
        <f t="shared" ca="1" si="39"/>
        <v>7</v>
      </c>
      <c r="V69" s="71" t="str">
        <f t="shared" ca="1" si="40"/>
        <v>—</v>
      </c>
      <c r="W69" s="17">
        <f t="shared" ca="1" si="41"/>
        <v>7</v>
      </c>
    </row>
    <row r="70" spans="1:23" x14ac:dyDescent="0.25">
      <c r="A70" s="4">
        <f t="shared" si="21"/>
        <v>32</v>
      </c>
      <c r="B70" t="str">
        <f ca="1">TEXT(DATE(YEAR(Invoer!$A$6),1,1)+INT((ROWS(B$2:B70)-1)/4),"jjjjmmdd")</f>
        <v>19400118</v>
      </c>
      <c r="C70" s="64" t="str">
        <f>IF(MOD(ROWS(C$2:C70)-1,4)=3,"24.00",INDEX(Data,3,2+MOD(ROWS(C$2:C70)-1,4)))</f>
        <v>07.00</v>
      </c>
      <c r="D70" s="18">
        <f t="shared" ca="1" si="22"/>
        <v>758.5</v>
      </c>
      <c r="E70" s="17">
        <f t="shared" ca="1" si="23"/>
        <v>0</v>
      </c>
      <c r="F70" s="18">
        <f t="shared" ca="1" si="24"/>
        <v>26.1</v>
      </c>
      <c r="G70" s="17">
        <f t="shared" ca="1" si="25"/>
        <v>0</v>
      </c>
      <c r="H70" s="18" t="str">
        <f t="shared" ca="1" si="26"/>
        <v>—</v>
      </c>
      <c r="I70" s="17">
        <f t="shared" ca="1" si="27"/>
        <v>7</v>
      </c>
      <c r="J70" s="18" t="str">
        <f t="shared" ca="1" si="28"/>
        <v>—</v>
      </c>
      <c r="K70" s="17">
        <f t="shared" ca="1" si="29"/>
        <v>7</v>
      </c>
      <c r="L70" s="10">
        <f t="shared" ca="1" si="30"/>
        <v>78</v>
      </c>
      <c r="M70" s="17">
        <f t="shared" ca="1" si="31"/>
        <v>0</v>
      </c>
      <c r="N70" s="18">
        <f t="shared" ca="1" si="32"/>
        <v>19.899999999999999</v>
      </c>
      <c r="O70" s="17">
        <f t="shared" ca="1" si="33"/>
        <v>0</v>
      </c>
      <c r="P70" s="18">
        <f t="shared" ca="1" si="34"/>
        <v>23.2</v>
      </c>
      <c r="Q70" s="17">
        <f t="shared" ca="1" si="35"/>
        <v>0</v>
      </c>
      <c r="R70" s="10">
        <f t="shared" ca="1" si="36"/>
        <v>65</v>
      </c>
      <c r="S70" s="17">
        <f t="shared" ca="1" si="37"/>
        <v>0</v>
      </c>
      <c r="T70" s="70">
        <f t="shared" ca="1" si="38"/>
        <v>0.3</v>
      </c>
      <c r="U70" s="17">
        <f t="shared" ca="1" si="39"/>
        <v>0</v>
      </c>
      <c r="V70" s="71">
        <f t="shared" ca="1" si="40"/>
        <v>3</v>
      </c>
      <c r="W70" s="17">
        <f t="shared" ca="1" si="41"/>
        <v>0</v>
      </c>
    </row>
    <row r="71" spans="1:23" x14ac:dyDescent="0.25">
      <c r="A71" s="4">
        <f t="shared" si="21"/>
        <v>32</v>
      </c>
      <c r="B71" t="str">
        <f ca="1">TEXT(DATE(YEAR(Invoer!$A$6),1,1)+INT((ROWS(B$2:B71)-1)/4),"jjjjmmdd")</f>
        <v>19400118</v>
      </c>
      <c r="C71" s="64" t="str">
        <f>IF(MOD(ROWS(C$2:C71)-1,4)=3,"24.00",INDEX(Data,3,2+MOD(ROWS(C$2:C71)-1,4)))</f>
        <v>12.00</v>
      </c>
      <c r="D71" s="18">
        <f t="shared" ca="1" si="22"/>
        <v>758.9</v>
      </c>
      <c r="E71" s="17">
        <f t="shared" ca="1" si="23"/>
        <v>0</v>
      </c>
      <c r="F71" s="18">
        <f t="shared" ca="1" si="24"/>
        <v>28.3</v>
      </c>
      <c r="G71" s="17">
        <f t="shared" ca="1" si="25"/>
        <v>0</v>
      </c>
      <c r="H71" s="18" t="str">
        <f t="shared" ca="1" si="26"/>
        <v>—</v>
      </c>
      <c r="I71" s="17">
        <f t="shared" ca="1" si="27"/>
        <v>7</v>
      </c>
      <c r="J71" s="18" t="str">
        <f t="shared" ca="1" si="28"/>
        <v>—</v>
      </c>
      <c r="K71" s="17">
        <f t="shared" ca="1" si="29"/>
        <v>7</v>
      </c>
      <c r="L71" s="10">
        <f t="shared" ca="1" si="30"/>
        <v>65</v>
      </c>
      <c r="M71" s="17">
        <f t="shared" ca="1" si="31"/>
        <v>0</v>
      </c>
      <c r="N71" s="18">
        <f t="shared" ca="1" si="32"/>
        <v>18.8</v>
      </c>
      <c r="O71" s="17">
        <f t="shared" ca="1" si="33"/>
        <v>0</v>
      </c>
      <c r="P71" s="18">
        <f t="shared" ca="1" si="34"/>
        <v>23.2</v>
      </c>
      <c r="Q71" s="17">
        <f t="shared" ca="1" si="35"/>
        <v>0</v>
      </c>
      <c r="R71" s="10">
        <f t="shared" ca="1" si="36"/>
        <v>65</v>
      </c>
      <c r="S71" s="17">
        <f t="shared" ca="1" si="37"/>
        <v>0</v>
      </c>
      <c r="T71" s="70">
        <f t="shared" ca="1" si="38"/>
        <v>0.3</v>
      </c>
      <c r="U71" s="17">
        <f t="shared" ca="1" si="39"/>
        <v>0</v>
      </c>
      <c r="V71" s="71">
        <f t="shared" ca="1" si="40"/>
        <v>3</v>
      </c>
      <c r="W71" s="17">
        <f t="shared" ca="1" si="41"/>
        <v>0</v>
      </c>
    </row>
    <row r="72" spans="1:23" x14ac:dyDescent="0.25">
      <c r="A72" s="4">
        <f t="shared" si="21"/>
        <v>32</v>
      </c>
      <c r="B72" t="str">
        <f ca="1">TEXT(DATE(YEAR(Invoer!$A$6),1,1)+INT((ROWS(B$2:B72)-1)/4),"jjjjmmdd")</f>
        <v>19400118</v>
      </c>
      <c r="C72" s="64" t="str">
        <f>IF(MOD(ROWS(C$2:C72)-1,4)=3,"24.00",INDEX(Data,3,2+MOD(ROWS(C$2:C72)-1,4)))</f>
        <v>17.00</v>
      </c>
      <c r="D72" s="18">
        <f t="shared" ca="1" si="22"/>
        <v>758.2</v>
      </c>
      <c r="E72" s="17">
        <f t="shared" ca="1" si="23"/>
        <v>0</v>
      </c>
      <c r="F72" s="18">
        <f t="shared" ca="1" si="24"/>
        <v>27.7</v>
      </c>
      <c r="G72" s="17">
        <f t="shared" ca="1" si="25"/>
        <v>0</v>
      </c>
      <c r="H72" s="18" t="str">
        <f t="shared" ca="1" si="26"/>
        <v>—</v>
      </c>
      <c r="I72" s="17">
        <f t="shared" ca="1" si="27"/>
        <v>7</v>
      </c>
      <c r="J72" s="18" t="str">
        <f t="shared" ca="1" si="28"/>
        <v>—</v>
      </c>
      <c r="K72" s="17">
        <f t="shared" ca="1" si="29"/>
        <v>7</v>
      </c>
      <c r="L72" s="10">
        <f t="shared" ca="1" si="30"/>
        <v>74</v>
      </c>
      <c r="M72" s="17">
        <f t="shared" ca="1" si="31"/>
        <v>0</v>
      </c>
      <c r="N72" s="18">
        <f t="shared" ca="1" si="32"/>
        <v>20.5</v>
      </c>
      <c r="O72" s="17">
        <f t="shared" ca="1" si="33"/>
        <v>0</v>
      </c>
      <c r="P72" s="18">
        <f t="shared" ca="1" si="34"/>
        <v>24</v>
      </c>
      <c r="Q72" s="17">
        <f t="shared" ca="1" si="35"/>
        <v>0</v>
      </c>
      <c r="R72" s="10">
        <f t="shared" ca="1" si="36"/>
        <v>65</v>
      </c>
      <c r="S72" s="17">
        <f t="shared" ca="1" si="37"/>
        <v>0</v>
      </c>
      <c r="T72" s="70">
        <f t="shared" ca="1" si="38"/>
        <v>0.5</v>
      </c>
      <c r="U72" s="17">
        <f t="shared" ca="1" si="39"/>
        <v>0</v>
      </c>
      <c r="V72" s="71">
        <f t="shared" ca="1" si="40"/>
        <v>4</v>
      </c>
      <c r="W72" s="17">
        <f t="shared" ca="1" si="41"/>
        <v>0</v>
      </c>
    </row>
    <row r="73" spans="1:23" x14ac:dyDescent="0.25">
      <c r="A73" s="4">
        <f t="shared" si="21"/>
        <v>32</v>
      </c>
      <c r="B73" t="str">
        <f ca="1">TEXT(DATE(YEAR(Invoer!$A$6),1,1)+INT((ROWS(B$2:B73)-1)/4),"jjjjmmdd")</f>
        <v>19400118</v>
      </c>
      <c r="C73" s="64" t="str">
        <f>IF(MOD(ROWS(C$2:C73)-1,4)=3,"24.00",INDEX(Data,3,2+MOD(ROWS(C$2:C73)-1,4)))</f>
        <v>24.00</v>
      </c>
      <c r="D73" s="18" t="str">
        <f t="shared" ca="1" si="22"/>
        <v>—</v>
      </c>
      <c r="E73" s="17">
        <f t="shared" ca="1" si="23"/>
        <v>7</v>
      </c>
      <c r="F73" s="18" t="str">
        <f t="shared" ca="1" si="24"/>
        <v>—</v>
      </c>
      <c r="G73" s="17">
        <f t="shared" ca="1" si="25"/>
        <v>7</v>
      </c>
      <c r="H73" s="18">
        <f t="shared" ca="1" si="26"/>
        <v>27.3</v>
      </c>
      <c r="I73" s="17">
        <f t="shared" ca="1" si="27"/>
        <v>0</v>
      </c>
      <c r="J73" s="18">
        <f t="shared" ca="1" si="28"/>
        <v>28.7</v>
      </c>
      <c r="K73" s="17">
        <f t="shared" ca="1" si="29"/>
        <v>0</v>
      </c>
      <c r="L73" s="10" t="str">
        <f t="shared" ca="1" si="30"/>
        <v>—</v>
      </c>
      <c r="M73" s="17">
        <f t="shared" ca="1" si="31"/>
        <v>7</v>
      </c>
      <c r="N73" s="18" t="str">
        <f t="shared" ca="1" si="32"/>
        <v>—</v>
      </c>
      <c r="O73" s="17">
        <f t="shared" ca="1" si="33"/>
        <v>7</v>
      </c>
      <c r="P73" s="18" t="str">
        <f t="shared" ca="1" si="34"/>
        <v>—</v>
      </c>
      <c r="Q73" s="17">
        <f t="shared" ca="1" si="35"/>
        <v>7</v>
      </c>
      <c r="R73" s="10" t="str">
        <f t="shared" ca="1" si="36"/>
        <v>—</v>
      </c>
      <c r="S73" s="17">
        <f t="shared" ca="1" si="37"/>
        <v>7</v>
      </c>
      <c r="T73" s="70" t="str">
        <f t="shared" ca="1" si="38"/>
        <v>—</v>
      </c>
      <c r="U73" s="17">
        <f t="shared" ca="1" si="39"/>
        <v>7</v>
      </c>
      <c r="V73" s="71" t="str">
        <f t="shared" ca="1" si="40"/>
        <v>—</v>
      </c>
      <c r="W73" s="17">
        <f t="shared" ca="1" si="41"/>
        <v>7</v>
      </c>
    </row>
    <row r="74" spans="1:23" x14ac:dyDescent="0.25">
      <c r="A74" s="4">
        <f t="shared" si="21"/>
        <v>32</v>
      </c>
      <c r="B74" t="str">
        <f ca="1">TEXT(DATE(YEAR(Invoer!$A$6),1,1)+INT((ROWS(B$2:B74)-1)/4),"jjjjmmdd")</f>
        <v>19400119</v>
      </c>
      <c r="C74" s="64" t="str">
        <f>IF(MOD(ROWS(C$2:C74)-1,4)=3,"24.00",INDEX(Data,3,2+MOD(ROWS(C$2:C74)-1,4)))</f>
        <v>07.00</v>
      </c>
      <c r="D74" s="18">
        <f t="shared" ca="1" si="22"/>
        <v>759.7</v>
      </c>
      <c r="E74" s="17">
        <f t="shared" ca="1" si="23"/>
        <v>0</v>
      </c>
      <c r="F74" s="18">
        <f t="shared" ca="1" si="24"/>
        <v>25.1</v>
      </c>
      <c r="G74" s="17">
        <f t="shared" ca="1" si="25"/>
        <v>0</v>
      </c>
      <c r="H74" s="18" t="str">
        <f t="shared" ca="1" si="26"/>
        <v>—</v>
      </c>
      <c r="I74" s="17">
        <f t="shared" ca="1" si="27"/>
        <v>7</v>
      </c>
      <c r="J74" s="18" t="str">
        <f t="shared" ca="1" si="28"/>
        <v>—</v>
      </c>
      <c r="K74" s="17">
        <f t="shared" ca="1" si="29"/>
        <v>7</v>
      </c>
      <c r="L74" s="10">
        <f t="shared" ca="1" si="30"/>
        <v>85</v>
      </c>
      <c r="M74" s="17">
        <f t="shared" ca="1" si="31"/>
        <v>0</v>
      </c>
      <c r="N74" s="18">
        <f t="shared" ca="1" si="32"/>
        <v>20.399999999999999</v>
      </c>
      <c r="O74" s="17">
        <f t="shared" ca="1" si="33"/>
        <v>0</v>
      </c>
      <c r="P74" s="18">
        <f t="shared" ca="1" si="34"/>
        <v>23.2</v>
      </c>
      <c r="Q74" s="17">
        <f t="shared" ca="1" si="35"/>
        <v>0</v>
      </c>
      <c r="R74" s="10">
        <f t="shared" ca="1" si="36"/>
        <v>65</v>
      </c>
      <c r="S74" s="17">
        <f t="shared" ca="1" si="37"/>
        <v>0</v>
      </c>
      <c r="T74" s="70">
        <f t="shared" ca="1" si="38"/>
        <v>0.4</v>
      </c>
      <c r="U74" s="17">
        <f t="shared" ca="1" si="39"/>
        <v>0</v>
      </c>
      <c r="V74" s="71">
        <f t="shared" ca="1" si="40"/>
        <v>2</v>
      </c>
      <c r="W74" s="17">
        <f t="shared" ca="1" si="41"/>
        <v>0</v>
      </c>
    </row>
    <row r="75" spans="1:23" x14ac:dyDescent="0.25">
      <c r="A75" s="4">
        <f t="shared" si="21"/>
        <v>32</v>
      </c>
      <c r="B75" t="str">
        <f ca="1">TEXT(DATE(YEAR(Invoer!$A$6),1,1)+INT((ROWS(B$2:B75)-1)/4),"jjjjmmdd")</f>
        <v>19400119</v>
      </c>
      <c r="C75" s="64" t="str">
        <f>IF(MOD(ROWS(C$2:C75)-1,4)=3,"24.00",INDEX(Data,3,2+MOD(ROWS(C$2:C75)-1,4)))</f>
        <v>12.00</v>
      </c>
      <c r="D75" s="18">
        <f t="shared" ca="1" si="22"/>
        <v>759.2</v>
      </c>
      <c r="E75" s="17">
        <f t="shared" ca="1" si="23"/>
        <v>0</v>
      </c>
      <c r="F75" s="18">
        <f t="shared" ca="1" si="24"/>
        <v>26.3</v>
      </c>
      <c r="G75" s="17">
        <f t="shared" ca="1" si="25"/>
        <v>0</v>
      </c>
      <c r="H75" s="18" t="str">
        <f t="shared" ca="1" si="26"/>
        <v>—</v>
      </c>
      <c r="I75" s="17">
        <f t="shared" ca="1" si="27"/>
        <v>7</v>
      </c>
      <c r="J75" s="18" t="str">
        <f t="shared" ca="1" si="28"/>
        <v>—</v>
      </c>
      <c r="K75" s="17">
        <f t="shared" ca="1" si="29"/>
        <v>7</v>
      </c>
      <c r="L75" s="10">
        <f t="shared" ca="1" si="30"/>
        <v>78</v>
      </c>
      <c r="M75" s="17">
        <f t="shared" ca="1" si="31"/>
        <v>0</v>
      </c>
      <c r="N75" s="18">
        <f t="shared" ca="1" si="32"/>
        <v>20.100000000000001</v>
      </c>
      <c r="O75" s="17">
        <f t="shared" ca="1" si="33"/>
        <v>0</v>
      </c>
      <c r="P75" s="18">
        <f t="shared" ca="1" si="34"/>
        <v>23.4</v>
      </c>
      <c r="Q75" s="17">
        <f t="shared" ca="1" si="35"/>
        <v>0</v>
      </c>
      <c r="R75" s="10">
        <f t="shared" ca="1" si="36"/>
        <v>65</v>
      </c>
      <c r="S75" s="17">
        <f t="shared" ca="1" si="37"/>
        <v>0</v>
      </c>
      <c r="T75" s="70">
        <f t="shared" ca="1" si="38"/>
        <v>0.5</v>
      </c>
      <c r="U75" s="17">
        <f t="shared" ca="1" si="39"/>
        <v>0</v>
      </c>
      <c r="V75" s="71">
        <f t="shared" ca="1" si="40"/>
        <v>4</v>
      </c>
      <c r="W75" s="17">
        <f t="shared" ca="1" si="41"/>
        <v>0</v>
      </c>
    </row>
    <row r="76" spans="1:23" x14ac:dyDescent="0.25">
      <c r="A76" s="4">
        <f t="shared" si="21"/>
        <v>32</v>
      </c>
      <c r="B76" t="str">
        <f ca="1">TEXT(DATE(YEAR(Invoer!$A$6),1,1)+INT((ROWS(B$2:B76)-1)/4),"jjjjmmdd")</f>
        <v>19400119</v>
      </c>
      <c r="C76" s="64" t="str">
        <f>IF(MOD(ROWS(C$2:C76)-1,4)=3,"24.00",INDEX(Data,3,2+MOD(ROWS(C$2:C76)-1,4)))</f>
        <v>17.00</v>
      </c>
      <c r="D76" s="18">
        <f t="shared" ca="1" si="22"/>
        <v>758.9</v>
      </c>
      <c r="E76" s="17">
        <f t="shared" ca="1" si="23"/>
        <v>0</v>
      </c>
      <c r="F76" s="18">
        <f t="shared" ca="1" si="24"/>
        <v>26.1</v>
      </c>
      <c r="G76" s="17">
        <f t="shared" ca="1" si="25"/>
        <v>0</v>
      </c>
      <c r="H76" s="18" t="str">
        <f t="shared" ca="1" si="26"/>
        <v>—</v>
      </c>
      <c r="I76" s="17">
        <f t="shared" ca="1" si="27"/>
        <v>7</v>
      </c>
      <c r="J76" s="18" t="str">
        <f t="shared" ca="1" si="28"/>
        <v>—</v>
      </c>
      <c r="K76" s="17">
        <f t="shared" ca="1" si="29"/>
        <v>7</v>
      </c>
      <c r="L76" s="10">
        <f t="shared" ca="1" si="30"/>
        <v>87</v>
      </c>
      <c r="M76" s="17">
        <f t="shared" ca="1" si="31"/>
        <v>0</v>
      </c>
      <c r="N76" s="18">
        <f t="shared" ca="1" si="32"/>
        <v>22.1</v>
      </c>
      <c r="O76" s="17">
        <f t="shared" ca="1" si="33"/>
        <v>0</v>
      </c>
      <c r="P76" s="18">
        <f t="shared" ca="1" si="34"/>
        <v>24.4</v>
      </c>
      <c r="Q76" s="17">
        <f t="shared" ca="1" si="35"/>
        <v>0</v>
      </c>
      <c r="R76" s="10">
        <f t="shared" ca="1" si="36"/>
        <v>65</v>
      </c>
      <c r="S76" s="17">
        <f t="shared" ca="1" si="37"/>
        <v>0</v>
      </c>
      <c r="T76" s="70">
        <f t="shared" ca="1" si="38"/>
        <v>0.5</v>
      </c>
      <c r="U76" s="17">
        <f t="shared" ca="1" si="39"/>
        <v>0</v>
      </c>
      <c r="V76" s="71">
        <f t="shared" ca="1" si="40"/>
        <v>4</v>
      </c>
      <c r="W76" s="17">
        <f t="shared" ca="1" si="41"/>
        <v>0</v>
      </c>
    </row>
    <row r="77" spans="1:23" x14ac:dyDescent="0.25">
      <c r="A77" s="4">
        <f t="shared" si="21"/>
        <v>32</v>
      </c>
      <c r="B77" t="str">
        <f ca="1">TEXT(DATE(YEAR(Invoer!$A$6),1,1)+INT((ROWS(B$2:B77)-1)/4),"jjjjmmdd")</f>
        <v>19400119</v>
      </c>
      <c r="C77" s="64" t="str">
        <f>IF(MOD(ROWS(C$2:C77)-1,4)=3,"24.00",INDEX(Data,3,2+MOD(ROWS(C$2:C77)-1,4)))</f>
        <v>24.00</v>
      </c>
      <c r="D77" s="18" t="str">
        <f t="shared" ca="1" si="22"/>
        <v>—</v>
      </c>
      <c r="E77" s="17">
        <f t="shared" ca="1" si="23"/>
        <v>7</v>
      </c>
      <c r="F77" s="18" t="str">
        <f t="shared" ca="1" si="24"/>
        <v>—</v>
      </c>
      <c r="G77" s="17">
        <f t="shared" ca="1" si="25"/>
        <v>7</v>
      </c>
      <c r="H77" s="18">
        <f t="shared" ca="1" si="26"/>
        <v>27</v>
      </c>
      <c r="I77" s="17">
        <f t="shared" ca="1" si="27"/>
        <v>0</v>
      </c>
      <c r="J77" s="18">
        <f t="shared" ca="1" si="28"/>
        <v>29.5</v>
      </c>
      <c r="K77" s="17">
        <f t="shared" ca="1" si="29"/>
        <v>0</v>
      </c>
      <c r="L77" s="10" t="str">
        <f t="shared" ca="1" si="30"/>
        <v>—</v>
      </c>
      <c r="M77" s="17">
        <f t="shared" ca="1" si="31"/>
        <v>7</v>
      </c>
      <c r="N77" s="18" t="str">
        <f t="shared" ca="1" si="32"/>
        <v>—</v>
      </c>
      <c r="O77" s="17">
        <f t="shared" ca="1" si="33"/>
        <v>7</v>
      </c>
      <c r="P77" s="18" t="str">
        <f t="shared" ca="1" si="34"/>
        <v>—</v>
      </c>
      <c r="Q77" s="17">
        <f t="shared" ca="1" si="35"/>
        <v>7</v>
      </c>
      <c r="R77" s="10" t="str">
        <f t="shared" ca="1" si="36"/>
        <v>—</v>
      </c>
      <c r="S77" s="17">
        <f t="shared" ca="1" si="37"/>
        <v>7</v>
      </c>
      <c r="T77" s="70" t="str">
        <f t="shared" ca="1" si="38"/>
        <v>—</v>
      </c>
      <c r="U77" s="17">
        <f t="shared" ca="1" si="39"/>
        <v>7</v>
      </c>
      <c r="V77" s="71" t="str">
        <f t="shared" ca="1" si="40"/>
        <v>—</v>
      </c>
      <c r="W77" s="17">
        <f t="shared" ca="1" si="41"/>
        <v>7</v>
      </c>
    </row>
    <row r="78" spans="1:23" x14ac:dyDescent="0.25">
      <c r="A78" s="4">
        <f t="shared" si="21"/>
        <v>32</v>
      </c>
      <c r="B78" t="str">
        <f ca="1">TEXT(DATE(YEAR(Invoer!$A$6),1,1)+INT((ROWS(B$2:B78)-1)/4),"jjjjmmdd")</f>
        <v>19400120</v>
      </c>
      <c r="C78" s="64" t="str">
        <f>IF(MOD(ROWS(C$2:C78)-1,4)=3,"24.00",INDEX(Data,3,2+MOD(ROWS(C$2:C78)-1,4)))</f>
        <v>07.00</v>
      </c>
      <c r="D78" s="18">
        <f t="shared" ca="1" si="22"/>
        <v>759.5</v>
      </c>
      <c r="E78" s="17">
        <f t="shared" ca="1" si="23"/>
        <v>0</v>
      </c>
      <c r="F78" s="18">
        <f t="shared" ca="1" si="24"/>
        <v>27.3</v>
      </c>
      <c r="G78" s="17">
        <f t="shared" ca="1" si="25"/>
        <v>0</v>
      </c>
      <c r="H78" s="18" t="str">
        <f t="shared" ca="1" si="26"/>
        <v>—</v>
      </c>
      <c r="I78" s="17">
        <f t="shared" ca="1" si="27"/>
        <v>7</v>
      </c>
      <c r="J78" s="18" t="str">
        <f t="shared" ca="1" si="28"/>
        <v>—</v>
      </c>
      <c r="K78" s="17">
        <f t="shared" ca="1" si="29"/>
        <v>7</v>
      </c>
      <c r="L78" s="10">
        <f t="shared" ca="1" si="30"/>
        <v>77</v>
      </c>
      <c r="M78" s="17">
        <f t="shared" ca="1" si="31"/>
        <v>0</v>
      </c>
      <c r="N78" s="18">
        <f t="shared" ca="1" si="32"/>
        <v>21.1</v>
      </c>
      <c r="O78" s="17">
        <f t="shared" ca="1" si="33"/>
        <v>0</v>
      </c>
      <c r="P78" s="18">
        <f t="shared" ca="1" si="34"/>
        <v>24.2</v>
      </c>
      <c r="Q78" s="17">
        <f t="shared" ca="1" si="35"/>
        <v>0</v>
      </c>
      <c r="R78" s="10">
        <f t="shared" ca="1" si="36"/>
        <v>65</v>
      </c>
      <c r="S78" s="17">
        <f t="shared" ca="1" si="37"/>
        <v>0</v>
      </c>
      <c r="T78" s="70">
        <f t="shared" ca="1" si="38"/>
        <v>0.3</v>
      </c>
      <c r="U78" s="17">
        <f t="shared" ca="1" si="39"/>
        <v>0</v>
      </c>
      <c r="V78" s="71">
        <f t="shared" ca="1" si="40"/>
        <v>3</v>
      </c>
      <c r="W78" s="17">
        <f t="shared" ca="1" si="41"/>
        <v>0</v>
      </c>
    </row>
    <row r="79" spans="1:23" x14ac:dyDescent="0.25">
      <c r="A79" s="4">
        <f t="shared" si="21"/>
        <v>32</v>
      </c>
      <c r="B79" t="str">
        <f ca="1">TEXT(DATE(YEAR(Invoer!$A$6),1,1)+INT((ROWS(B$2:B79)-1)/4),"jjjjmmdd")</f>
        <v>19400120</v>
      </c>
      <c r="C79" s="64" t="str">
        <f>IF(MOD(ROWS(C$2:C79)-1,4)=3,"24.00",INDEX(Data,3,2+MOD(ROWS(C$2:C79)-1,4)))</f>
        <v>12.00</v>
      </c>
      <c r="D79" s="18">
        <f t="shared" ca="1" si="22"/>
        <v>760</v>
      </c>
      <c r="E79" s="17">
        <f t="shared" ca="1" si="23"/>
        <v>0</v>
      </c>
      <c r="F79" s="18">
        <f t="shared" ca="1" si="24"/>
        <v>29.9</v>
      </c>
      <c r="G79" s="17">
        <f t="shared" ca="1" si="25"/>
        <v>0</v>
      </c>
      <c r="H79" s="18" t="str">
        <f t="shared" ca="1" si="26"/>
        <v>—</v>
      </c>
      <c r="I79" s="17">
        <f t="shared" ca="1" si="27"/>
        <v>7</v>
      </c>
      <c r="J79" s="18" t="str">
        <f t="shared" ca="1" si="28"/>
        <v>—</v>
      </c>
      <c r="K79" s="17">
        <f t="shared" ca="1" si="29"/>
        <v>7</v>
      </c>
      <c r="L79" s="10">
        <f t="shared" ca="1" si="30"/>
        <v>66</v>
      </c>
      <c r="M79" s="17">
        <f t="shared" ca="1" si="31"/>
        <v>0</v>
      </c>
      <c r="N79" s="18">
        <f t="shared" ca="1" si="32"/>
        <v>20.9</v>
      </c>
      <c r="O79" s="17">
        <f t="shared" ca="1" si="33"/>
        <v>0</v>
      </c>
      <c r="P79" s="18">
        <f t="shared" ca="1" si="34"/>
        <v>24.8</v>
      </c>
      <c r="Q79" s="17">
        <f t="shared" ca="1" si="35"/>
        <v>0</v>
      </c>
      <c r="R79" s="10">
        <f t="shared" ca="1" si="36"/>
        <v>45</v>
      </c>
      <c r="S79" s="17">
        <f t="shared" ca="1" si="37"/>
        <v>0</v>
      </c>
      <c r="T79" s="70">
        <f t="shared" ca="1" si="38"/>
        <v>0.4</v>
      </c>
      <c r="U79" s="17">
        <f t="shared" ca="1" si="39"/>
        <v>0</v>
      </c>
      <c r="V79" s="71">
        <f t="shared" ca="1" si="40"/>
        <v>4</v>
      </c>
      <c r="W79" s="17">
        <f t="shared" ca="1" si="41"/>
        <v>0</v>
      </c>
    </row>
    <row r="80" spans="1:23" x14ac:dyDescent="0.25">
      <c r="A80" s="4">
        <f t="shared" si="21"/>
        <v>32</v>
      </c>
      <c r="B80" t="str">
        <f ca="1">TEXT(DATE(YEAR(Invoer!$A$6),1,1)+INT((ROWS(B$2:B80)-1)/4),"jjjjmmdd")</f>
        <v>19400120</v>
      </c>
      <c r="C80" s="64" t="str">
        <f>IF(MOD(ROWS(C$2:C80)-1,4)=3,"24.00",INDEX(Data,3,2+MOD(ROWS(C$2:C80)-1,4)))</f>
        <v>17.00</v>
      </c>
      <c r="D80" s="18">
        <f t="shared" ca="1" si="22"/>
        <v>759.7</v>
      </c>
      <c r="E80" s="17">
        <f t="shared" ca="1" si="23"/>
        <v>0</v>
      </c>
      <c r="F80" s="18">
        <f t="shared" ca="1" si="24"/>
        <v>28.9</v>
      </c>
      <c r="G80" s="17">
        <f t="shared" ca="1" si="25"/>
        <v>0</v>
      </c>
      <c r="H80" s="18" t="str">
        <f t="shared" ca="1" si="26"/>
        <v>—</v>
      </c>
      <c r="I80" s="17">
        <f t="shared" ca="1" si="27"/>
        <v>7</v>
      </c>
      <c r="J80" s="18" t="str">
        <f t="shared" ca="1" si="28"/>
        <v>—</v>
      </c>
      <c r="K80" s="17">
        <f t="shared" ca="1" si="29"/>
        <v>7</v>
      </c>
      <c r="L80" s="10">
        <f t="shared" ca="1" si="30"/>
        <v>72</v>
      </c>
      <c r="M80" s="17">
        <f t="shared" ca="1" si="31"/>
        <v>0</v>
      </c>
      <c r="N80" s="18">
        <f t="shared" ca="1" si="32"/>
        <v>21.4</v>
      </c>
      <c r="O80" s="17">
        <f t="shared" ca="1" si="33"/>
        <v>0</v>
      </c>
      <c r="P80" s="18">
        <f t="shared" ca="1" si="34"/>
        <v>24.8</v>
      </c>
      <c r="Q80" s="17">
        <f t="shared" ca="1" si="35"/>
        <v>0</v>
      </c>
      <c r="R80" s="10">
        <f t="shared" ca="1" si="36"/>
        <v>45</v>
      </c>
      <c r="S80" s="17">
        <f t="shared" ca="1" si="37"/>
        <v>0</v>
      </c>
      <c r="T80" s="70">
        <f t="shared" ca="1" si="38"/>
        <v>0.5</v>
      </c>
      <c r="U80" s="17">
        <f t="shared" ca="1" si="39"/>
        <v>0</v>
      </c>
      <c r="V80" s="71">
        <f t="shared" ca="1" si="40"/>
        <v>3</v>
      </c>
      <c r="W80" s="17">
        <f t="shared" ca="1" si="41"/>
        <v>0</v>
      </c>
    </row>
    <row r="81" spans="1:23" x14ac:dyDescent="0.25">
      <c r="A81" s="4">
        <f t="shared" si="21"/>
        <v>32</v>
      </c>
      <c r="B81" t="str">
        <f ca="1">TEXT(DATE(YEAR(Invoer!$A$6),1,1)+INT((ROWS(B$2:B81)-1)/4),"jjjjmmdd")</f>
        <v>19400120</v>
      </c>
      <c r="C81" s="64" t="str">
        <f>IF(MOD(ROWS(C$2:C81)-1,4)=3,"24.00",INDEX(Data,3,2+MOD(ROWS(C$2:C81)-1,4)))</f>
        <v>24.00</v>
      </c>
      <c r="D81" s="18" t="str">
        <f t="shared" ca="1" si="22"/>
        <v>—</v>
      </c>
      <c r="E81" s="17">
        <f t="shared" ca="1" si="23"/>
        <v>7</v>
      </c>
      <c r="F81" s="18" t="str">
        <f t="shared" ca="1" si="24"/>
        <v>—</v>
      </c>
      <c r="G81" s="17">
        <f t="shared" ca="1" si="25"/>
        <v>7</v>
      </c>
      <c r="H81" s="18">
        <f t="shared" ca="1" si="26"/>
        <v>28.5</v>
      </c>
      <c r="I81" s="17">
        <f t="shared" ca="1" si="27"/>
        <v>0</v>
      </c>
      <c r="J81" s="18">
        <f t="shared" ca="1" si="28"/>
        <v>31.4</v>
      </c>
      <c r="K81" s="17">
        <f t="shared" ca="1" si="29"/>
        <v>0</v>
      </c>
      <c r="L81" s="10" t="str">
        <f t="shared" ca="1" si="30"/>
        <v>—</v>
      </c>
      <c r="M81" s="17">
        <f t="shared" ca="1" si="31"/>
        <v>7</v>
      </c>
      <c r="N81" s="18" t="str">
        <f t="shared" ca="1" si="32"/>
        <v>—</v>
      </c>
      <c r="O81" s="17">
        <f t="shared" ca="1" si="33"/>
        <v>7</v>
      </c>
      <c r="P81" s="18" t="str">
        <f t="shared" ca="1" si="34"/>
        <v>—</v>
      </c>
      <c r="Q81" s="17">
        <f t="shared" ca="1" si="35"/>
        <v>7</v>
      </c>
      <c r="R81" s="10" t="str">
        <f t="shared" ca="1" si="36"/>
        <v>—</v>
      </c>
      <c r="S81" s="17">
        <f t="shared" ca="1" si="37"/>
        <v>7</v>
      </c>
      <c r="T81" s="70" t="str">
        <f t="shared" ca="1" si="38"/>
        <v>—</v>
      </c>
      <c r="U81" s="17">
        <f t="shared" ca="1" si="39"/>
        <v>7</v>
      </c>
      <c r="V81" s="71" t="str">
        <f t="shared" ca="1" si="40"/>
        <v>—</v>
      </c>
      <c r="W81" s="17">
        <f t="shared" ca="1" si="41"/>
        <v>7</v>
      </c>
    </row>
    <row r="82" spans="1:23" x14ac:dyDescent="0.25">
      <c r="A82" s="4">
        <f t="shared" si="21"/>
        <v>32</v>
      </c>
      <c r="B82" t="str">
        <f ca="1">TEXT(DATE(YEAR(Invoer!$A$6),1,1)+INT((ROWS(B$2:B82)-1)/4),"jjjjmmdd")</f>
        <v>19400121</v>
      </c>
      <c r="C82" s="64" t="str">
        <f>IF(MOD(ROWS(C$2:C82)-1,4)=3,"24.00",INDEX(Data,3,2+MOD(ROWS(C$2:C82)-1,4)))</f>
        <v>07.00</v>
      </c>
      <c r="D82" s="18">
        <f t="shared" ca="1" si="22"/>
        <v>759.7</v>
      </c>
      <c r="E82" s="17">
        <f t="shared" ca="1" si="23"/>
        <v>0</v>
      </c>
      <c r="F82" s="18">
        <f t="shared" ca="1" si="24"/>
        <v>25.7</v>
      </c>
      <c r="G82" s="17">
        <f t="shared" ca="1" si="25"/>
        <v>0</v>
      </c>
      <c r="H82" s="18" t="str">
        <f t="shared" ca="1" si="26"/>
        <v>—</v>
      </c>
      <c r="I82" s="17">
        <f t="shared" ca="1" si="27"/>
        <v>7</v>
      </c>
      <c r="J82" s="18" t="str">
        <f t="shared" ca="1" si="28"/>
        <v>—</v>
      </c>
      <c r="K82" s="17">
        <f t="shared" ca="1" si="29"/>
        <v>7</v>
      </c>
      <c r="L82" s="10">
        <f t="shared" ca="1" si="30"/>
        <v>80</v>
      </c>
      <c r="M82" s="17">
        <f t="shared" ca="1" si="31"/>
        <v>0</v>
      </c>
      <c r="N82" s="18">
        <f t="shared" ca="1" si="32"/>
        <v>19.7</v>
      </c>
      <c r="O82" s="17">
        <f t="shared" ca="1" si="33"/>
        <v>0</v>
      </c>
      <c r="P82" s="18">
        <f t="shared" ca="1" si="34"/>
        <v>23</v>
      </c>
      <c r="Q82" s="17">
        <f t="shared" ca="1" si="35"/>
        <v>0</v>
      </c>
      <c r="R82" s="10">
        <f t="shared" ca="1" si="36"/>
        <v>45</v>
      </c>
      <c r="S82" s="17">
        <f t="shared" ca="1" si="37"/>
        <v>0</v>
      </c>
      <c r="T82" s="70">
        <f t="shared" ca="1" si="38"/>
        <v>0.4</v>
      </c>
      <c r="U82" s="17">
        <f t="shared" ca="1" si="39"/>
        <v>0</v>
      </c>
      <c r="V82" s="71">
        <f t="shared" ca="1" si="40"/>
        <v>2</v>
      </c>
      <c r="W82" s="17">
        <f t="shared" ca="1" si="41"/>
        <v>0</v>
      </c>
    </row>
    <row r="83" spans="1:23" x14ac:dyDescent="0.25">
      <c r="A83" s="4">
        <f t="shared" si="21"/>
        <v>32</v>
      </c>
      <c r="B83" t="str">
        <f ca="1">TEXT(DATE(YEAR(Invoer!$A$6),1,1)+INT((ROWS(B$2:B83)-1)/4),"jjjjmmdd")</f>
        <v>19400121</v>
      </c>
      <c r="C83" s="64" t="str">
        <f>IF(MOD(ROWS(C$2:C83)-1,4)=3,"24.00",INDEX(Data,3,2+MOD(ROWS(C$2:C83)-1,4)))</f>
        <v>12.00</v>
      </c>
      <c r="D83" s="18">
        <f t="shared" ca="1" si="22"/>
        <v>760.2</v>
      </c>
      <c r="E83" s="17">
        <f t="shared" ca="1" si="23"/>
        <v>0</v>
      </c>
      <c r="F83" s="18">
        <f t="shared" ca="1" si="24"/>
        <v>27.4</v>
      </c>
      <c r="G83" s="17">
        <f t="shared" ca="1" si="25"/>
        <v>0</v>
      </c>
      <c r="H83" s="18" t="str">
        <f t="shared" ca="1" si="26"/>
        <v>—</v>
      </c>
      <c r="I83" s="17">
        <f t="shared" ca="1" si="27"/>
        <v>7</v>
      </c>
      <c r="J83" s="18" t="str">
        <f t="shared" ca="1" si="28"/>
        <v>—</v>
      </c>
      <c r="K83" s="17">
        <f t="shared" ca="1" si="29"/>
        <v>7</v>
      </c>
      <c r="L83" s="10">
        <f t="shared" ca="1" si="30"/>
        <v>80</v>
      </c>
      <c r="M83" s="17">
        <f t="shared" ca="1" si="31"/>
        <v>0</v>
      </c>
      <c r="N83" s="18">
        <f t="shared" ca="1" si="32"/>
        <v>21.8</v>
      </c>
      <c r="O83" s="17">
        <f t="shared" ca="1" si="33"/>
        <v>0</v>
      </c>
      <c r="P83" s="18">
        <f t="shared" ca="1" si="34"/>
        <v>24.6</v>
      </c>
      <c r="Q83" s="17">
        <f t="shared" ca="1" si="35"/>
        <v>0</v>
      </c>
      <c r="R83" s="10">
        <f t="shared" ca="1" si="36"/>
        <v>45</v>
      </c>
      <c r="S83" s="17">
        <f t="shared" ca="1" si="37"/>
        <v>0</v>
      </c>
      <c r="T83" s="70">
        <f t="shared" ca="1" si="38"/>
        <v>0.5</v>
      </c>
      <c r="U83" s="17">
        <f t="shared" ca="1" si="39"/>
        <v>0</v>
      </c>
      <c r="V83" s="71">
        <f t="shared" ca="1" si="40"/>
        <v>3</v>
      </c>
      <c r="W83" s="17">
        <f t="shared" ca="1" si="41"/>
        <v>0</v>
      </c>
    </row>
    <row r="84" spans="1:23" x14ac:dyDescent="0.25">
      <c r="A84" s="4">
        <f t="shared" si="21"/>
        <v>32</v>
      </c>
      <c r="B84" t="str">
        <f ca="1">TEXT(DATE(YEAR(Invoer!$A$6),1,1)+INT((ROWS(B$2:B84)-1)/4),"jjjjmmdd")</f>
        <v>19400121</v>
      </c>
      <c r="C84" s="64" t="str">
        <f>IF(MOD(ROWS(C$2:C84)-1,4)=3,"24.00",INDEX(Data,3,2+MOD(ROWS(C$2:C84)-1,4)))</f>
        <v>17.00</v>
      </c>
      <c r="D84" s="18">
        <f t="shared" ca="1" si="22"/>
        <v>760</v>
      </c>
      <c r="E84" s="17">
        <f t="shared" ca="1" si="23"/>
        <v>0</v>
      </c>
      <c r="F84" s="18">
        <f t="shared" ca="1" si="24"/>
        <v>25.7</v>
      </c>
      <c r="G84" s="17">
        <f t="shared" ca="1" si="25"/>
        <v>0</v>
      </c>
      <c r="H84" s="18" t="str">
        <f t="shared" ca="1" si="26"/>
        <v>—</v>
      </c>
      <c r="I84" s="17">
        <f t="shared" ca="1" si="27"/>
        <v>7</v>
      </c>
      <c r="J84" s="18" t="str">
        <f t="shared" ca="1" si="28"/>
        <v>—</v>
      </c>
      <c r="K84" s="17">
        <f t="shared" ca="1" si="29"/>
        <v>7</v>
      </c>
      <c r="L84" s="10">
        <f t="shared" ca="1" si="30"/>
        <v>81</v>
      </c>
      <c r="M84" s="17">
        <f t="shared" ca="1" si="31"/>
        <v>0</v>
      </c>
      <c r="N84" s="18">
        <f t="shared" ca="1" si="32"/>
        <v>20.100000000000001</v>
      </c>
      <c r="O84" s="17">
        <f t="shared" ca="1" si="33"/>
        <v>0</v>
      </c>
      <c r="P84" s="18">
        <f t="shared" ca="1" si="34"/>
        <v>23.2</v>
      </c>
      <c r="Q84" s="17">
        <f t="shared" ca="1" si="35"/>
        <v>0</v>
      </c>
      <c r="R84" s="10">
        <f t="shared" ca="1" si="36"/>
        <v>65</v>
      </c>
      <c r="S84" s="17">
        <f t="shared" ca="1" si="37"/>
        <v>0</v>
      </c>
      <c r="T84" s="70">
        <f t="shared" ca="1" si="38"/>
        <v>0.6</v>
      </c>
      <c r="U84" s="17">
        <f t="shared" ca="1" si="39"/>
        <v>0</v>
      </c>
      <c r="V84" s="71">
        <f t="shared" ca="1" si="40"/>
        <v>3</v>
      </c>
      <c r="W84" s="17">
        <f t="shared" ca="1" si="41"/>
        <v>0</v>
      </c>
    </row>
    <row r="85" spans="1:23" x14ac:dyDescent="0.25">
      <c r="A85" s="4">
        <f t="shared" si="21"/>
        <v>32</v>
      </c>
      <c r="B85" t="str">
        <f ca="1">TEXT(DATE(YEAR(Invoer!$A$6),1,1)+INT((ROWS(B$2:B85)-1)/4),"jjjjmmdd")</f>
        <v>19400121</v>
      </c>
      <c r="C85" s="64" t="str">
        <f>IF(MOD(ROWS(C$2:C85)-1,4)=3,"24.00",INDEX(Data,3,2+MOD(ROWS(C$2:C85)-1,4)))</f>
        <v>24.00</v>
      </c>
      <c r="D85" s="18" t="str">
        <f t="shared" ca="1" si="22"/>
        <v>—</v>
      </c>
      <c r="E85" s="17">
        <f t="shared" ca="1" si="23"/>
        <v>7</v>
      </c>
      <c r="F85" s="18" t="str">
        <f t="shared" ca="1" si="24"/>
        <v>—</v>
      </c>
      <c r="G85" s="17">
        <f t="shared" ca="1" si="25"/>
        <v>7</v>
      </c>
      <c r="H85" s="18">
        <f t="shared" ca="1" si="26"/>
        <v>27</v>
      </c>
      <c r="I85" s="17">
        <f t="shared" ca="1" si="27"/>
        <v>0</v>
      </c>
      <c r="J85" s="18">
        <f t="shared" ca="1" si="28"/>
        <v>30.1</v>
      </c>
      <c r="K85" s="17">
        <f t="shared" ca="1" si="29"/>
        <v>0</v>
      </c>
      <c r="L85" s="10" t="str">
        <f t="shared" ca="1" si="30"/>
        <v>—</v>
      </c>
      <c r="M85" s="17">
        <f t="shared" ca="1" si="31"/>
        <v>7</v>
      </c>
      <c r="N85" s="18" t="str">
        <f t="shared" ca="1" si="32"/>
        <v>—</v>
      </c>
      <c r="O85" s="17">
        <f t="shared" ca="1" si="33"/>
        <v>7</v>
      </c>
      <c r="P85" s="18" t="str">
        <f t="shared" ca="1" si="34"/>
        <v>—</v>
      </c>
      <c r="Q85" s="17">
        <f t="shared" ca="1" si="35"/>
        <v>7</v>
      </c>
      <c r="R85" s="10" t="str">
        <f t="shared" ca="1" si="36"/>
        <v>—</v>
      </c>
      <c r="S85" s="17">
        <f t="shared" ca="1" si="37"/>
        <v>7</v>
      </c>
      <c r="T85" s="70" t="str">
        <f t="shared" ca="1" si="38"/>
        <v>—</v>
      </c>
      <c r="U85" s="17">
        <f t="shared" ca="1" si="39"/>
        <v>7</v>
      </c>
      <c r="V85" s="71" t="str">
        <f t="shared" ca="1" si="40"/>
        <v>—</v>
      </c>
      <c r="W85" s="17">
        <f t="shared" ca="1" si="41"/>
        <v>7</v>
      </c>
    </row>
    <row r="86" spans="1:23" x14ac:dyDescent="0.25">
      <c r="A86" s="4">
        <f t="shared" si="21"/>
        <v>32</v>
      </c>
      <c r="B86" t="str">
        <f ca="1">TEXT(DATE(YEAR(Invoer!$A$6),1,1)+INT((ROWS(B$2:B86)-1)/4),"jjjjmmdd")</f>
        <v>19400122</v>
      </c>
      <c r="C86" s="64" t="str">
        <f>IF(MOD(ROWS(C$2:C86)-1,4)=3,"24.00",INDEX(Data,3,2+MOD(ROWS(C$2:C86)-1,4)))</f>
        <v>07.00</v>
      </c>
      <c r="D86" s="18">
        <f t="shared" ca="1" si="22"/>
        <v>760</v>
      </c>
      <c r="E86" s="17">
        <f t="shared" ca="1" si="23"/>
        <v>0</v>
      </c>
      <c r="F86" s="18">
        <f t="shared" ca="1" si="24"/>
        <v>27.3</v>
      </c>
      <c r="G86" s="17">
        <f t="shared" ca="1" si="25"/>
        <v>0</v>
      </c>
      <c r="H86" s="18" t="str">
        <f t="shared" ca="1" si="26"/>
        <v>—</v>
      </c>
      <c r="I86" s="17">
        <f t="shared" ca="1" si="27"/>
        <v>7</v>
      </c>
      <c r="J86" s="18" t="str">
        <f t="shared" ca="1" si="28"/>
        <v>—</v>
      </c>
      <c r="K86" s="17">
        <f t="shared" ca="1" si="29"/>
        <v>7</v>
      </c>
      <c r="L86" s="10">
        <f t="shared" ca="1" si="30"/>
        <v>77</v>
      </c>
      <c r="M86" s="17">
        <f t="shared" ca="1" si="31"/>
        <v>0</v>
      </c>
      <c r="N86" s="18">
        <f t="shared" ca="1" si="32"/>
        <v>21.1</v>
      </c>
      <c r="O86" s="17">
        <f t="shared" ca="1" si="33"/>
        <v>0</v>
      </c>
      <c r="P86" s="18">
        <f t="shared" ca="1" si="34"/>
        <v>24.2</v>
      </c>
      <c r="Q86" s="17">
        <f t="shared" ca="1" si="35"/>
        <v>0</v>
      </c>
      <c r="R86" s="10">
        <f t="shared" ca="1" si="36"/>
        <v>45</v>
      </c>
      <c r="S86" s="17">
        <f t="shared" ca="1" si="37"/>
        <v>0</v>
      </c>
      <c r="T86" s="70">
        <f t="shared" ca="1" si="38"/>
        <v>0.3</v>
      </c>
      <c r="U86" s="17">
        <f t="shared" ca="1" si="39"/>
        <v>0</v>
      </c>
      <c r="V86" s="71">
        <f t="shared" ca="1" si="40"/>
        <v>2</v>
      </c>
      <c r="W86" s="17">
        <f t="shared" ca="1" si="41"/>
        <v>0</v>
      </c>
    </row>
    <row r="87" spans="1:23" x14ac:dyDescent="0.25">
      <c r="A87" s="4">
        <f t="shared" si="21"/>
        <v>32</v>
      </c>
      <c r="B87" t="str">
        <f ca="1">TEXT(DATE(YEAR(Invoer!$A$6),1,1)+INT((ROWS(B$2:B87)-1)/4),"jjjjmmdd")</f>
        <v>19400122</v>
      </c>
      <c r="C87" s="64" t="str">
        <f>IF(MOD(ROWS(C$2:C87)-1,4)=3,"24.00",INDEX(Data,3,2+MOD(ROWS(C$2:C87)-1,4)))</f>
        <v>12.00</v>
      </c>
      <c r="D87" s="18">
        <f t="shared" ca="1" si="22"/>
        <v>759.7</v>
      </c>
      <c r="E87" s="17">
        <f t="shared" ca="1" si="23"/>
        <v>0</v>
      </c>
      <c r="F87" s="18">
        <f t="shared" ca="1" si="24"/>
        <v>29.9</v>
      </c>
      <c r="G87" s="17">
        <f t="shared" ca="1" si="25"/>
        <v>0</v>
      </c>
      <c r="H87" s="18" t="str">
        <f t="shared" ca="1" si="26"/>
        <v>—</v>
      </c>
      <c r="I87" s="17">
        <f t="shared" ca="1" si="27"/>
        <v>7</v>
      </c>
      <c r="J87" s="18" t="str">
        <f t="shared" ca="1" si="28"/>
        <v>—</v>
      </c>
      <c r="K87" s="17">
        <f t="shared" ca="1" si="29"/>
        <v>7</v>
      </c>
      <c r="L87" s="10">
        <f t="shared" ca="1" si="30"/>
        <v>64</v>
      </c>
      <c r="M87" s="17">
        <f t="shared" ca="1" si="31"/>
        <v>0</v>
      </c>
      <c r="N87" s="18">
        <f t="shared" ca="1" si="32"/>
        <v>20.2</v>
      </c>
      <c r="O87" s="17">
        <f t="shared" ca="1" si="33"/>
        <v>0</v>
      </c>
      <c r="P87" s="18">
        <f t="shared" ca="1" si="34"/>
        <v>24.4</v>
      </c>
      <c r="Q87" s="17">
        <f t="shared" ca="1" si="35"/>
        <v>0</v>
      </c>
      <c r="R87" s="10">
        <f t="shared" ca="1" si="36"/>
        <v>45</v>
      </c>
      <c r="S87" s="17">
        <f t="shared" ca="1" si="37"/>
        <v>0</v>
      </c>
      <c r="T87" s="70">
        <f t="shared" ca="1" si="38"/>
        <v>0.5</v>
      </c>
      <c r="U87" s="17">
        <f t="shared" ca="1" si="39"/>
        <v>0</v>
      </c>
      <c r="V87" s="71">
        <f t="shared" ca="1" si="40"/>
        <v>4</v>
      </c>
      <c r="W87" s="17">
        <f t="shared" ca="1" si="41"/>
        <v>0</v>
      </c>
    </row>
    <row r="88" spans="1:23" x14ac:dyDescent="0.25">
      <c r="A88" s="4">
        <f t="shared" si="21"/>
        <v>32</v>
      </c>
      <c r="B88" t="str">
        <f ca="1">TEXT(DATE(YEAR(Invoer!$A$6),1,1)+INT((ROWS(B$2:B88)-1)/4),"jjjjmmdd")</f>
        <v>19400122</v>
      </c>
      <c r="C88" s="64" t="str">
        <f>IF(MOD(ROWS(C$2:C88)-1,4)=3,"24.00",INDEX(Data,3,2+MOD(ROWS(C$2:C88)-1,4)))</f>
        <v>17.00</v>
      </c>
      <c r="D88" s="18">
        <f t="shared" ca="1" si="22"/>
        <v>759.7</v>
      </c>
      <c r="E88" s="17">
        <f t="shared" ca="1" si="23"/>
        <v>0</v>
      </c>
      <c r="F88" s="18">
        <f t="shared" ca="1" si="24"/>
        <v>29.9</v>
      </c>
      <c r="G88" s="17">
        <f t="shared" ca="1" si="25"/>
        <v>0</v>
      </c>
      <c r="H88" s="18" t="str">
        <f t="shared" ca="1" si="26"/>
        <v>—</v>
      </c>
      <c r="I88" s="17">
        <f t="shared" ca="1" si="27"/>
        <v>7</v>
      </c>
      <c r="J88" s="18" t="str">
        <f t="shared" ca="1" si="28"/>
        <v>—</v>
      </c>
      <c r="K88" s="17">
        <f t="shared" ca="1" si="29"/>
        <v>7</v>
      </c>
      <c r="L88" s="10">
        <f t="shared" ca="1" si="30"/>
        <v>62</v>
      </c>
      <c r="M88" s="17">
        <f t="shared" ca="1" si="31"/>
        <v>0</v>
      </c>
      <c r="N88" s="18">
        <f t="shared" ca="1" si="32"/>
        <v>19.8</v>
      </c>
      <c r="O88" s="17">
        <f t="shared" ca="1" si="33"/>
        <v>0</v>
      </c>
      <c r="P88" s="18">
        <f t="shared" ca="1" si="34"/>
        <v>24.2</v>
      </c>
      <c r="Q88" s="17">
        <f t="shared" ca="1" si="35"/>
        <v>0</v>
      </c>
      <c r="R88" s="10">
        <f t="shared" ca="1" si="36"/>
        <v>45</v>
      </c>
      <c r="S88" s="17">
        <f t="shared" ca="1" si="37"/>
        <v>0</v>
      </c>
      <c r="T88" s="70">
        <f t="shared" ca="1" si="38"/>
        <v>0.6</v>
      </c>
      <c r="U88" s="17">
        <f t="shared" ca="1" si="39"/>
        <v>0</v>
      </c>
      <c r="V88" s="71">
        <f t="shared" ca="1" si="40"/>
        <v>4</v>
      </c>
      <c r="W88" s="17">
        <f t="shared" ca="1" si="41"/>
        <v>0</v>
      </c>
    </row>
    <row r="89" spans="1:23" x14ac:dyDescent="0.25">
      <c r="A89" s="4">
        <f t="shared" si="21"/>
        <v>32</v>
      </c>
      <c r="B89" t="str">
        <f ca="1">TEXT(DATE(YEAR(Invoer!$A$6),1,1)+INT((ROWS(B$2:B89)-1)/4),"jjjjmmdd")</f>
        <v>19400122</v>
      </c>
      <c r="C89" s="64" t="str">
        <f>IF(MOD(ROWS(C$2:C89)-1,4)=3,"24.00",INDEX(Data,3,2+MOD(ROWS(C$2:C89)-1,4)))</f>
        <v>24.00</v>
      </c>
      <c r="D89" s="18" t="str">
        <f t="shared" ca="1" si="22"/>
        <v>—</v>
      </c>
      <c r="E89" s="17">
        <f t="shared" ca="1" si="23"/>
        <v>7</v>
      </c>
      <c r="F89" s="18" t="str">
        <f t="shared" ca="1" si="24"/>
        <v>—</v>
      </c>
      <c r="G89" s="17">
        <f t="shared" ca="1" si="25"/>
        <v>7</v>
      </c>
      <c r="H89" s="18">
        <f t="shared" ca="1" si="26"/>
        <v>28.4</v>
      </c>
      <c r="I89" s="17">
        <f t="shared" ca="1" si="27"/>
        <v>0</v>
      </c>
      <c r="J89" s="18">
        <f t="shared" ca="1" si="28"/>
        <v>31.4</v>
      </c>
      <c r="K89" s="17">
        <f t="shared" ca="1" si="29"/>
        <v>0</v>
      </c>
      <c r="L89" s="10" t="str">
        <f t="shared" ca="1" si="30"/>
        <v>—</v>
      </c>
      <c r="M89" s="17">
        <f t="shared" ca="1" si="31"/>
        <v>7</v>
      </c>
      <c r="N89" s="18" t="str">
        <f t="shared" ca="1" si="32"/>
        <v>—</v>
      </c>
      <c r="O89" s="17">
        <f t="shared" ca="1" si="33"/>
        <v>7</v>
      </c>
      <c r="P89" s="18" t="str">
        <f t="shared" ca="1" si="34"/>
        <v>—</v>
      </c>
      <c r="Q89" s="17">
        <f t="shared" ca="1" si="35"/>
        <v>7</v>
      </c>
      <c r="R89" s="10" t="str">
        <f t="shared" ca="1" si="36"/>
        <v>—</v>
      </c>
      <c r="S89" s="17">
        <f t="shared" ca="1" si="37"/>
        <v>7</v>
      </c>
      <c r="T89" s="70" t="str">
        <f t="shared" ca="1" si="38"/>
        <v>—</v>
      </c>
      <c r="U89" s="17">
        <f t="shared" ca="1" si="39"/>
        <v>7</v>
      </c>
      <c r="V89" s="71" t="str">
        <f t="shared" ca="1" si="40"/>
        <v>—</v>
      </c>
      <c r="W89" s="17">
        <f t="shared" ca="1" si="41"/>
        <v>7</v>
      </c>
    </row>
    <row r="90" spans="1:23" x14ac:dyDescent="0.25">
      <c r="A90" s="4">
        <f t="shared" si="21"/>
        <v>32</v>
      </c>
      <c r="B90" t="str">
        <f ca="1">TEXT(DATE(YEAR(Invoer!$A$6),1,1)+INT((ROWS(B$2:B90)-1)/4),"jjjjmmdd")</f>
        <v>19400123</v>
      </c>
      <c r="C90" s="64" t="str">
        <f>IF(MOD(ROWS(C$2:C90)-1,4)=3,"24.00",INDEX(Data,3,2+MOD(ROWS(C$2:C90)-1,4)))</f>
        <v>07.00</v>
      </c>
      <c r="D90" s="18">
        <f t="shared" ca="1" si="22"/>
        <v>759.7</v>
      </c>
      <c r="E90" s="17">
        <f t="shared" ca="1" si="23"/>
        <v>0</v>
      </c>
      <c r="F90" s="18">
        <f t="shared" ca="1" si="24"/>
        <v>26.1</v>
      </c>
      <c r="G90" s="17">
        <f t="shared" ca="1" si="25"/>
        <v>0</v>
      </c>
      <c r="H90" s="18" t="str">
        <f t="shared" ca="1" si="26"/>
        <v>—</v>
      </c>
      <c r="I90" s="17">
        <f t="shared" ca="1" si="27"/>
        <v>7</v>
      </c>
      <c r="J90" s="18" t="str">
        <f t="shared" ca="1" si="28"/>
        <v>—</v>
      </c>
      <c r="K90" s="17">
        <f t="shared" ca="1" si="29"/>
        <v>7</v>
      </c>
      <c r="L90" s="10">
        <f t="shared" ca="1" si="30"/>
        <v>77</v>
      </c>
      <c r="M90" s="17">
        <f t="shared" ca="1" si="31"/>
        <v>0</v>
      </c>
      <c r="N90" s="18">
        <f t="shared" ca="1" si="32"/>
        <v>19.5</v>
      </c>
      <c r="O90" s="17">
        <f t="shared" ca="1" si="33"/>
        <v>0</v>
      </c>
      <c r="P90" s="18">
        <f t="shared" ca="1" si="34"/>
        <v>23</v>
      </c>
      <c r="Q90" s="17">
        <f t="shared" ca="1" si="35"/>
        <v>0</v>
      </c>
      <c r="R90" s="10">
        <f t="shared" ca="1" si="36"/>
        <v>65</v>
      </c>
      <c r="S90" s="17">
        <f t="shared" ca="1" si="37"/>
        <v>0</v>
      </c>
      <c r="T90" s="70">
        <f t="shared" ca="1" si="38"/>
        <v>0.2</v>
      </c>
      <c r="U90" s="17">
        <f t="shared" ca="1" si="39"/>
        <v>0</v>
      </c>
      <c r="V90" s="71">
        <f t="shared" ca="1" si="40"/>
        <v>1</v>
      </c>
      <c r="W90" s="17">
        <f t="shared" ca="1" si="41"/>
        <v>0</v>
      </c>
    </row>
    <row r="91" spans="1:23" x14ac:dyDescent="0.25">
      <c r="A91" s="4">
        <f t="shared" si="21"/>
        <v>32</v>
      </c>
      <c r="B91" t="str">
        <f ca="1">TEXT(DATE(YEAR(Invoer!$A$6),1,1)+INT((ROWS(B$2:B91)-1)/4),"jjjjmmdd")</f>
        <v>19400123</v>
      </c>
      <c r="C91" s="64" t="str">
        <f>IF(MOD(ROWS(C$2:C91)-1,4)=3,"24.00",INDEX(Data,3,2+MOD(ROWS(C$2:C91)-1,4)))</f>
        <v>12.00</v>
      </c>
      <c r="D91" s="18">
        <f t="shared" ca="1" si="22"/>
        <v>760</v>
      </c>
      <c r="E91" s="17">
        <f t="shared" ca="1" si="23"/>
        <v>0</v>
      </c>
      <c r="F91" s="18">
        <f t="shared" ca="1" si="24"/>
        <v>29.9</v>
      </c>
      <c r="G91" s="17">
        <f t="shared" ca="1" si="25"/>
        <v>0</v>
      </c>
      <c r="H91" s="18" t="str">
        <f t="shared" ca="1" si="26"/>
        <v>—</v>
      </c>
      <c r="I91" s="17">
        <f t="shared" ca="1" si="27"/>
        <v>7</v>
      </c>
      <c r="J91" s="18" t="str">
        <f t="shared" ca="1" si="28"/>
        <v>—</v>
      </c>
      <c r="K91" s="17">
        <f t="shared" ca="1" si="29"/>
        <v>7</v>
      </c>
      <c r="L91" s="10">
        <f t="shared" ca="1" si="30"/>
        <v>62</v>
      </c>
      <c r="M91" s="17">
        <f t="shared" ca="1" si="31"/>
        <v>0</v>
      </c>
      <c r="N91" s="18">
        <f t="shared" ca="1" si="32"/>
        <v>19.8</v>
      </c>
      <c r="O91" s="17">
        <f t="shared" ca="1" si="33"/>
        <v>0</v>
      </c>
      <c r="P91" s="18">
        <f t="shared" ca="1" si="34"/>
        <v>24.2</v>
      </c>
      <c r="Q91" s="17">
        <f t="shared" ca="1" si="35"/>
        <v>0</v>
      </c>
      <c r="R91" s="10">
        <f t="shared" ca="1" si="36"/>
        <v>90</v>
      </c>
      <c r="S91" s="17">
        <f t="shared" ca="1" si="37"/>
        <v>0</v>
      </c>
      <c r="T91" s="70">
        <f t="shared" ca="1" si="38"/>
        <v>0.4</v>
      </c>
      <c r="U91" s="17">
        <f t="shared" ca="1" si="39"/>
        <v>0</v>
      </c>
      <c r="V91" s="71">
        <f t="shared" ca="1" si="40"/>
        <v>3</v>
      </c>
      <c r="W91" s="17">
        <f t="shared" ca="1" si="41"/>
        <v>0</v>
      </c>
    </row>
    <row r="92" spans="1:23" x14ac:dyDescent="0.25">
      <c r="A92" s="4">
        <f t="shared" si="21"/>
        <v>32</v>
      </c>
      <c r="B92" t="str">
        <f ca="1">TEXT(DATE(YEAR(Invoer!$A$6),1,1)+INT((ROWS(B$2:B92)-1)/4),"jjjjmmdd")</f>
        <v>19400123</v>
      </c>
      <c r="C92" s="64" t="str">
        <f>IF(MOD(ROWS(C$2:C92)-1,4)=3,"24.00",INDEX(Data,3,2+MOD(ROWS(C$2:C92)-1,4)))</f>
        <v>17.00</v>
      </c>
      <c r="D92" s="18">
        <f t="shared" ca="1" si="22"/>
        <v>758.7</v>
      </c>
      <c r="E92" s="17">
        <f t="shared" ca="1" si="23"/>
        <v>0</v>
      </c>
      <c r="F92" s="18">
        <f t="shared" ca="1" si="24"/>
        <v>29.4</v>
      </c>
      <c r="G92" s="17">
        <f t="shared" ca="1" si="25"/>
        <v>0</v>
      </c>
      <c r="H92" s="18" t="str">
        <f t="shared" ca="1" si="26"/>
        <v>—</v>
      </c>
      <c r="I92" s="17">
        <f t="shared" ca="1" si="27"/>
        <v>7</v>
      </c>
      <c r="J92" s="18" t="str">
        <f t="shared" ca="1" si="28"/>
        <v>—</v>
      </c>
      <c r="K92" s="17">
        <f t="shared" ca="1" si="29"/>
        <v>7</v>
      </c>
      <c r="L92" s="10">
        <f t="shared" ca="1" si="30"/>
        <v>63</v>
      </c>
      <c r="M92" s="17">
        <f t="shared" ca="1" si="31"/>
        <v>0</v>
      </c>
      <c r="N92" s="18">
        <f t="shared" ca="1" si="32"/>
        <v>19.3</v>
      </c>
      <c r="O92" s="17">
        <f t="shared" ca="1" si="33"/>
        <v>0</v>
      </c>
      <c r="P92" s="18">
        <f t="shared" ca="1" si="34"/>
        <v>23.8</v>
      </c>
      <c r="Q92" s="17">
        <f t="shared" ca="1" si="35"/>
        <v>0</v>
      </c>
      <c r="R92" s="10">
        <f t="shared" ca="1" si="36"/>
        <v>90</v>
      </c>
      <c r="S92" s="17">
        <f t="shared" ca="1" si="37"/>
        <v>0</v>
      </c>
      <c r="T92" s="70">
        <f t="shared" ca="1" si="38"/>
        <v>0.5</v>
      </c>
      <c r="U92" s="17">
        <f t="shared" ca="1" si="39"/>
        <v>0</v>
      </c>
      <c r="V92" s="71">
        <f t="shared" ca="1" si="40"/>
        <v>3</v>
      </c>
      <c r="W92" s="17">
        <f t="shared" ca="1" si="41"/>
        <v>0</v>
      </c>
    </row>
    <row r="93" spans="1:23" x14ac:dyDescent="0.25">
      <c r="A93" s="4">
        <f t="shared" si="21"/>
        <v>32</v>
      </c>
      <c r="B93" t="str">
        <f ca="1">TEXT(DATE(YEAR(Invoer!$A$6),1,1)+INT((ROWS(B$2:B93)-1)/4),"jjjjmmdd")</f>
        <v>19400123</v>
      </c>
      <c r="C93" s="64" t="str">
        <f>IF(MOD(ROWS(C$2:C93)-1,4)=3,"24.00",INDEX(Data,3,2+MOD(ROWS(C$2:C93)-1,4)))</f>
        <v>24.00</v>
      </c>
      <c r="D93" s="18" t="str">
        <f t="shared" ca="1" si="22"/>
        <v>—</v>
      </c>
      <c r="E93" s="17">
        <f t="shared" ca="1" si="23"/>
        <v>7</v>
      </c>
      <c r="F93" s="18" t="str">
        <f t="shared" ca="1" si="24"/>
        <v>—</v>
      </c>
      <c r="G93" s="17">
        <f t="shared" ca="1" si="25"/>
        <v>7</v>
      </c>
      <c r="H93" s="18">
        <f t="shared" ca="1" si="26"/>
        <v>27.1</v>
      </c>
      <c r="I93" s="17">
        <f t="shared" ca="1" si="27"/>
        <v>0</v>
      </c>
      <c r="J93" s="18">
        <f t="shared" ca="1" si="28"/>
        <v>31.4</v>
      </c>
      <c r="K93" s="17">
        <f t="shared" ca="1" si="29"/>
        <v>0</v>
      </c>
      <c r="L93" s="10" t="str">
        <f t="shared" ca="1" si="30"/>
        <v>—</v>
      </c>
      <c r="M93" s="17">
        <f t="shared" ca="1" si="31"/>
        <v>7</v>
      </c>
      <c r="N93" s="18" t="str">
        <f t="shared" ca="1" si="32"/>
        <v>—</v>
      </c>
      <c r="O93" s="17">
        <f t="shared" ca="1" si="33"/>
        <v>7</v>
      </c>
      <c r="P93" s="18" t="str">
        <f t="shared" ca="1" si="34"/>
        <v>—</v>
      </c>
      <c r="Q93" s="17">
        <f t="shared" ca="1" si="35"/>
        <v>7</v>
      </c>
      <c r="R93" s="10" t="str">
        <f t="shared" ca="1" si="36"/>
        <v>—</v>
      </c>
      <c r="S93" s="17">
        <f t="shared" ca="1" si="37"/>
        <v>7</v>
      </c>
      <c r="T93" s="70" t="str">
        <f t="shared" ca="1" si="38"/>
        <v>—</v>
      </c>
      <c r="U93" s="17">
        <f t="shared" ca="1" si="39"/>
        <v>7</v>
      </c>
      <c r="V93" s="71" t="str">
        <f t="shared" ca="1" si="40"/>
        <v>—</v>
      </c>
      <c r="W93" s="17">
        <f t="shared" ca="1" si="41"/>
        <v>7</v>
      </c>
    </row>
    <row r="94" spans="1:23" x14ac:dyDescent="0.25">
      <c r="A94" s="4">
        <f t="shared" si="21"/>
        <v>32</v>
      </c>
      <c r="B94" t="str">
        <f ca="1">TEXT(DATE(YEAR(Invoer!$A$6),1,1)+INT((ROWS(B$2:B94)-1)/4),"jjjjmmdd")</f>
        <v>19400124</v>
      </c>
      <c r="C94" s="64" t="str">
        <f>IF(MOD(ROWS(C$2:C94)-1,4)=3,"24.00",INDEX(Data,3,2+MOD(ROWS(C$2:C94)-1,4)))</f>
        <v>07.00</v>
      </c>
      <c r="D94" s="18">
        <f t="shared" ca="1" si="22"/>
        <v>760.5</v>
      </c>
      <c r="E94" s="17">
        <f t="shared" ca="1" si="23"/>
        <v>0</v>
      </c>
      <c r="F94" s="18">
        <f t="shared" ca="1" si="24"/>
        <v>25.9</v>
      </c>
      <c r="G94" s="17">
        <f t="shared" ca="1" si="25"/>
        <v>0</v>
      </c>
      <c r="H94" s="18" t="str">
        <f t="shared" ca="1" si="26"/>
        <v>—</v>
      </c>
      <c r="I94" s="17">
        <f t="shared" ca="1" si="27"/>
        <v>7</v>
      </c>
      <c r="J94" s="18" t="str">
        <f t="shared" ca="1" si="28"/>
        <v>—</v>
      </c>
      <c r="K94" s="17">
        <f t="shared" ca="1" si="29"/>
        <v>7</v>
      </c>
      <c r="L94" s="10">
        <f t="shared" ca="1" si="30"/>
        <v>75</v>
      </c>
      <c r="M94" s="17">
        <f t="shared" ca="1" si="31"/>
        <v>0</v>
      </c>
      <c r="N94" s="18">
        <f t="shared" ca="1" si="32"/>
        <v>18.899999999999999</v>
      </c>
      <c r="O94" s="17">
        <f t="shared" ca="1" si="33"/>
        <v>0</v>
      </c>
      <c r="P94" s="18">
        <f t="shared" ca="1" si="34"/>
        <v>22.6</v>
      </c>
      <c r="Q94" s="17">
        <f t="shared" ca="1" si="35"/>
        <v>0</v>
      </c>
      <c r="R94" s="10">
        <f t="shared" ca="1" si="36"/>
        <v>65</v>
      </c>
      <c r="S94" s="17">
        <f t="shared" ca="1" si="37"/>
        <v>0</v>
      </c>
      <c r="T94" s="70">
        <f t="shared" ca="1" si="38"/>
        <v>0.3</v>
      </c>
      <c r="U94" s="17">
        <f t="shared" ca="1" si="39"/>
        <v>0</v>
      </c>
      <c r="V94" s="71">
        <f t="shared" ca="1" si="40"/>
        <v>2</v>
      </c>
      <c r="W94" s="17">
        <f t="shared" ca="1" si="41"/>
        <v>0</v>
      </c>
    </row>
    <row r="95" spans="1:23" x14ac:dyDescent="0.25">
      <c r="A95" s="4">
        <f t="shared" si="21"/>
        <v>32</v>
      </c>
      <c r="B95" t="str">
        <f ca="1">TEXT(DATE(YEAR(Invoer!$A$6),1,1)+INT((ROWS(B$2:B95)-1)/4),"jjjjmmdd")</f>
        <v>19400124</v>
      </c>
      <c r="C95" s="64" t="str">
        <f>IF(MOD(ROWS(C$2:C95)-1,4)=3,"24.00",INDEX(Data,3,2+MOD(ROWS(C$2:C95)-1,4)))</f>
        <v>12.00</v>
      </c>
      <c r="D95" s="18">
        <f t="shared" ca="1" si="22"/>
        <v>760.7</v>
      </c>
      <c r="E95" s="17">
        <f t="shared" ca="1" si="23"/>
        <v>0</v>
      </c>
      <c r="F95" s="18">
        <f t="shared" ca="1" si="24"/>
        <v>27.3</v>
      </c>
      <c r="G95" s="17">
        <f t="shared" ca="1" si="25"/>
        <v>0</v>
      </c>
      <c r="H95" s="18" t="str">
        <f t="shared" ca="1" si="26"/>
        <v>—</v>
      </c>
      <c r="I95" s="17">
        <f t="shared" ca="1" si="27"/>
        <v>7</v>
      </c>
      <c r="J95" s="18" t="str">
        <f t="shared" ca="1" si="28"/>
        <v>—</v>
      </c>
      <c r="K95" s="17">
        <f t="shared" ca="1" si="29"/>
        <v>7</v>
      </c>
      <c r="L95" s="10">
        <f t="shared" ca="1" si="30"/>
        <v>76</v>
      </c>
      <c r="M95" s="17">
        <f t="shared" ca="1" si="31"/>
        <v>0</v>
      </c>
      <c r="N95" s="18">
        <f t="shared" ca="1" si="32"/>
        <v>20.7</v>
      </c>
      <c r="O95" s="17">
        <f t="shared" ca="1" si="33"/>
        <v>0</v>
      </c>
      <c r="P95" s="18">
        <f t="shared" ca="1" si="34"/>
        <v>24</v>
      </c>
      <c r="Q95" s="17">
        <f t="shared" ca="1" si="35"/>
        <v>0</v>
      </c>
      <c r="R95" s="10">
        <f t="shared" ca="1" si="36"/>
        <v>45</v>
      </c>
      <c r="S95" s="17">
        <f t="shared" ca="1" si="37"/>
        <v>0</v>
      </c>
      <c r="T95" s="70">
        <f t="shared" ca="1" si="38"/>
        <v>0.4</v>
      </c>
      <c r="U95" s="17">
        <f t="shared" ca="1" si="39"/>
        <v>0</v>
      </c>
      <c r="V95" s="71">
        <f t="shared" ca="1" si="40"/>
        <v>4</v>
      </c>
      <c r="W95" s="17">
        <f t="shared" ca="1" si="41"/>
        <v>0</v>
      </c>
    </row>
    <row r="96" spans="1:23" x14ac:dyDescent="0.25">
      <c r="A96" s="4">
        <f t="shared" si="21"/>
        <v>32</v>
      </c>
      <c r="B96" t="str">
        <f ca="1">TEXT(DATE(YEAR(Invoer!$A$6),1,1)+INT((ROWS(B$2:B96)-1)/4),"jjjjmmdd")</f>
        <v>19400124</v>
      </c>
      <c r="C96" s="64" t="str">
        <f>IF(MOD(ROWS(C$2:C96)-1,4)=3,"24.00",INDEX(Data,3,2+MOD(ROWS(C$2:C96)-1,4)))</f>
        <v>17.00</v>
      </c>
      <c r="D96" s="18">
        <f t="shared" ca="1" si="22"/>
        <v>759.7</v>
      </c>
      <c r="E96" s="17">
        <f t="shared" ca="1" si="23"/>
        <v>0</v>
      </c>
      <c r="F96" s="18">
        <f t="shared" ca="1" si="24"/>
        <v>26.7</v>
      </c>
      <c r="G96" s="17">
        <f t="shared" ca="1" si="25"/>
        <v>0</v>
      </c>
      <c r="H96" s="18" t="str">
        <f t="shared" ca="1" si="26"/>
        <v>—</v>
      </c>
      <c r="I96" s="17">
        <f t="shared" ca="1" si="27"/>
        <v>7</v>
      </c>
      <c r="J96" s="18" t="str">
        <f t="shared" ca="1" si="28"/>
        <v>—</v>
      </c>
      <c r="K96" s="17">
        <f t="shared" ca="1" si="29"/>
        <v>7</v>
      </c>
      <c r="L96" s="10">
        <f t="shared" ca="1" si="30"/>
        <v>76</v>
      </c>
      <c r="M96" s="17">
        <f t="shared" ca="1" si="31"/>
        <v>0</v>
      </c>
      <c r="N96" s="18">
        <f t="shared" ca="1" si="32"/>
        <v>19.899999999999999</v>
      </c>
      <c r="O96" s="17">
        <f t="shared" ca="1" si="33"/>
        <v>0</v>
      </c>
      <c r="P96" s="18">
        <f t="shared" ca="1" si="34"/>
        <v>23.4</v>
      </c>
      <c r="Q96" s="17">
        <f t="shared" ca="1" si="35"/>
        <v>0</v>
      </c>
      <c r="R96" s="10">
        <f t="shared" ca="1" si="36"/>
        <v>45</v>
      </c>
      <c r="S96" s="17">
        <f t="shared" ca="1" si="37"/>
        <v>0</v>
      </c>
      <c r="T96" s="70">
        <f t="shared" ca="1" si="38"/>
        <v>0.5</v>
      </c>
      <c r="U96" s="17">
        <f t="shared" ca="1" si="39"/>
        <v>0</v>
      </c>
      <c r="V96" s="71">
        <f t="shared" ca="1" si="40"/>
        <v>4</v>
      </c>
      <c r="W96" s="17">
        <f t="shared" ca="1" si="41"/>
        <v>0</v>
      </c>
    </row>
    <row r="97" spans="1:23" x14ac:dyDescent="0.25">
      <c r="A97" s="4">
        <f t="shared" si="21"/>
        <v>32</v>
      </c>
      <c r="B97" t="str">
        <f ca="1">TEXT(DATE(YEAR(Invoer!$A$6),1,1)+INT((ROWS(B$2:B97)-1)/4),"jjjjmmdd")</f>
        <v>19400124</v>
      </c>
      <c r="C97" s="64" t="str">
        <f>IF(MOD(ROWS(C$2:C97)-1,4)=3,"24.00",INDEX(Data,3,2+MOD(ROWS(C$2:C97)-1,4)))</f>
        <v>24.00</v>
      </c>
      <c r="D97" s="18" t="str">
        <f t="shared" ca="1" si="22"/>
        <v>—</v>
      </c>
      <c r="E97" s="17">
        <f t="shared" ca="1" si="23"/>
        <v>7</v>
      </c>
      <c r="F97" s="18" t="str">
        <f t="shared" ca="1" si="24"/>
        <v>—</v>
      </c>
      <c r="G97" s="17">
        <f t="shared" ca="1" si="25"/>
        <v>7</v>
      </c>
      <c r="H97" s="18">
        <f t="shared" ca="1" si="26"/>
        <v>27.4</v>
      </c>
      <c r="I97" s="17">
        <f t="shared" ca="1" si="27"/>
        <v>0</v>
      </c>
      <c r="J97" s="18">
        <f t="shared" ca="1" si="28"/>
        <v>31.1</v>
      </c>
      <c r="K97" s="17">
        <f t="shared" ca="1" si="29"/>
        <v>0</v>
      </c>
      <c r="L97" s="10" t="str">
        <f t="shared" ca="1" si="30"/>
        <v>—</v>
      </c>
      <c r="M97" s="17">
        <f t="shared" ca="1" si="31"/>
        <v>7</v>
      </c>
      <c r="N97" s="18" t="str">
        <f t="shared" ca="1" si="32"/>
        <v>—</v>
      </c>
      <c r="O97" s="17">
        <f t="shared" ca="1" si="33"/>
        <v>7</v>
      </c>
      <c r="P97" s="18" t="str">
        <f t="shared" ca="1" si="34"/>
        <v>—</v>
      </c>
      <c r="Q97" s="17">
        <f t="shared" ca="1" si="35"/>
        <v>7</v>
      </c>
      <c r="R97" s="10" t="str">
        <f t="shared" ca="1" si="36"/>
        <v>—</v>
      </c>
      <c r="S97" s="17">
        <f t="shared" ca="1" si="37"/>
        <v>7</v>
      </c>
      <c r="T97" s="70" t="str">
        <f t="shared" ca="1" si="38"/>
        <v>—</v>
      </c>
      <c r="U97" s="17">
        <f t="shared" ca="1" si="39"/>
        <v>7</v>
      </c>
      <c r="V97" s="71" t="str">
        <f t="shared" ca="1" si="40"/>
        <v>—</v>
      </c>
      <c r="W97" s="17">
        <f t="shared" ca="1" si="41"/>
        <v>7</v>
      </c>
    </row>
    <row r="98" spans="1:23" x14ac:dyDescent="0.25">
      <c r="A98" s="4">
        <f t="shared" si="21"/>
        <v>32</v>
      </c>
      <c r="B98" t="str">
        <f ca="1">TEXT(DATE(YEAR(Invoer!$A$6),1,1)+INT((ROWS(B$2:B98)-1)/4),"jjjjmmdd")</f>
        <v>19400125</v>
      </c>
      <c r="C98" s="64" t="str">
        <f>IF(MOD(ROWS(C$2:C98)-1,4)=3,"24.00",INDEX(Data,3,2+MOD(ROWS(C$2:C98)-1,4)))</f>
        <v>07.00</v>
      </c>
      <c r="D98" s="18">
        <f t="shared" ca="1" si="22"/>
        <v>760.2</v>
      </c>
      <c r="E98" s="17">
        <f t="shared" ca="1" si="23"/>
        <v>0</v>
      </c>
      <c r="F98" s="18">
        <f t="shared" ca="1" si="24"/>
        <v>25.7</v>
      </c>
      <c r="G98" s="17">
        <f t="shared" ca="1" si="25"/>
        <v>0</v>
      </c>
      <c r="H98" s="18" t="str">
        <f t="shared" ca="1" si="26"/>
        <v>—</v>
      </c>
      <c r="I98" s="17">
        <f t="shared" ca="1" si="27"/>
        <v>7</v>
      </c>
      <c r="J98" s="18" t="str">
        <f t="shared" ca="1" si="28"/>
        <v>—</v>
      </c>
      <c r="K98" s="17">
        <f t="shared" ca="1" si="29"/>
        <v>7</v>
      </c>
      <c r="L98" s="10">
        <f t="shared" ca="1" si="30"/>
        <v>77</v>
      </c>
      <c r="M98" s="17">
        <f t="shared" ca="1" si="31"/>
        <v>0</v>
      </c>
      <c r="N98" s="18">
        <f t="shared" ca="1" si="32"/>
        <v>19</v>
      </c>
      <c r="O98" s="17">
        <f t="shared" ca="1" si="33"/>
        <v>0</v>
      </c>
      <c r="P98" s="18">
        <f t="shared" ca="1" si="34"/>
        <v>22.6</v>
      </c>
      <c r="Q98" s="17">
        <f t="shared" ca="1" si="35"/>
        <v>0</v>
      </c>
      <c r="R98" s="10">
        <f t="shared" ca="1" si="36"/>
        <v>45</v>
      </c>
      <c r="S98" s="17">
        <f t="shared" ca="1" si="37"/>
        <v>0</v>
      </c>
      <c r="T98" s="70">
        <f t="shared" ca="1" si="38"/>
        <v>0.2</v>
      </c>
      <c r="U98" s="17">
        <f t="shared" ca="1" si="39"/>
        <v>0</v>
      </c>
      <c r="V98" s="71">
        <f t="shared" ca="1" si="40"/>
        <v>1</v>
      </c>
      <c r="W98" s="17">
        <f t="shared" ca="1" si="41"/>
        <v>0</v>
      </c>
    </row>
    <row r="99" spans="1:23" x14ac:dyDescent="0.25">
      <c r="A99" s="4">
        <f t="shared" si="21"/>
        <v>32</v>
      </c>
      <c r="B99" t="str">
        <f ca="1">TEXT(DATE(YEAR(Invoer!$A$6),1,1)+INT((ROWS(B$2:B99)-1)/4),"jjjjmmdd")</f>
        <v>19400125</v>
      </c>
      <c r="C99" s="64" t="str">
        <f>IF(MOD(ROWS(C$2:C99)-1,4)=3,"24.00",INDEX(Data,3,2+MOD(ROWS(C$2:C99)-1,4)))</f>
        <v>12.00</v>
      </c>
      <c r="D99" s="18">
        <f t="shared" ca="1" si="22"/>
        <v>760</v>
      </c>
      <c r="E99" s="17">
        <f t="shared" ca="1" si="23"/>
        <v>0</v>
      </c>
      <c r="F99" s="18">
        <f t="shared" ca="1" si="24"/>
        <v>26.7</v>
      </c>
      <c r="G99" s="17">
        <f t="shared" ca="1" si="25"/>
        <v>0</v>
      </c>
      <c r="H99" s="18" t="str">
        <f t="shared" ca="1" si="26"/>
        <v>—</v>
      </c>
      <c r="I99" s="17">
        <f t="shared" ca="1" si="27"/>
        <v>7</v>
      </c>
      <c r="J99" s="18" t="str">
        <f t="shared" ca="1" si="28"/>
        <v>—</v>
      </c>
      <c r="K99" s="17">
        <f t="shared" ca="1" si="29"/>
        <v>7</v>
      </c>
      <c r="L99" s="10">
        <f t="shared" ca="1" si="30"/>
        <v>74</v>
      </c>
      <c r="M99" s="17">
        <f t="shared" ca="1" si="31"/>
        <v>0</v>
      </c>
      <c r="N99" s="18">
        <f t="shared" ca="1" si="32"/>
        <v>19.600000000000001</v>
      </c>
      <c r="O99" s="17">
        <f t="shared" ca="1" si="33"/>
        <v>0</v>
      </c>
      <c r="P99" s="18">
        <f t="shared" ca="1" si="34"/>
        <v>23.2</v>
      </c>
      <c r="Q99" s="17">
        <f t="shared" ca="1" si="35"/>
        <v>0</v>
      </c>
      <c r="R99" s="10">
        <f t="shared" ca="1" si="36"/>
        <v>45</v>
      </c>
      <c r="S99" s="17">
        <f t="shared" ca="1" si="37"/>
        <v>0</v>
      </c>
      <c r="T99" s="70">
        <f t="shared" ca="1" si="38"/>
        <v>0.3</v>
      </c>
      <c r="U99" s="17">
        <f t="shared" ca="1" si="39"/>
        <v>0</v>
      </c>
      <c r="V99" s="71">
        <f t="shared" ca="1" si="40"/>
        <v>1</v>
      </c>
      <c r="W99" s="17">
        <f t="shared" ca="1" si="41"/>
        <v>0</v>
      </c>
    </row>
    <row r="100" spans="1:23" x14ac:dyDescent="0.25">
      <c r="A100" s="4">
        <f t="shared" si="21"/>
        <v>32</v>
      </c>
      <c r="B100" t="str">
        <f ca="1">TEXT(DATE(YEAR(Invoer!$A$6),1,1)+INT((ROWS(B$2:B100)-1)/4),"jjjjmmdd")</f>
        <v>19400125</v>
      </c>
      <c r="C100" s="64" t="str">
        <f>IF(MOD(ROWS(C$2:C100)-1,4)=3,"24.00",INDEX(Data,3,2+MOD(ROWS(C$2:C100)-1,4)))</f>
        <v>17.00</v>
      </c>
      <c r="D100" s="18">
        <f t="shared" ca="1" si="22"/>
        <v>758.9</v>
      </c>
      <c r="E100" s="17">
        <f t="shared" ca="1" si="23"/>
        <v>0</v>
      </c>
      <c r="F100" s="18">
        <f t="shared" ca="1" si="24"/>
        <v>26.1</v>
      </c>
      <c r="G100" s="17">
        <f t="shared" ca="1" si="25"/>
        <v>0</v>
      </c>
      <c r="H100" s="18" t="str">
        <f t="shared" ca="1" si="26"/>
        <v>—</v>
      </c>
      <c r="I100" s="17">
        <f t="shared" ca="1" si="27"/>
        <v>7</v>
      </c>
      <c r="J100" s="18" t="str">
        <f t="shared" ca="1" si="28"/>
        <v>—</v>
      </c>
      <c r="K100" s="17">
        <f t="shared" ca="1" si="29"/>
        <v>7</v>
      </c>
      <c r="L100" s="10">
        <f t="shared" ca="1" si="30"/>
        <v>76</v>
      </c>
      <c r="M100" s="17">
        <f t="shared" ca="1" si="31"/>
        <v>0</v>
      </c>
      <c r="N100" s="18">
        <f t="shared" ca="1" si="32"/>
        <v>19.2</v>
      </c>
      <c r="O100" s="17">
        <f t="shared" ca="1" si="33"/>
        <v>0</v>
      </c>
      <c r="P100" s="18">
        <f t="shared" ca="1" si="34"/>
        <v>22.8</v>
      </c>
      <c r="Q100" s="17">
        <f t="shared" ca="1" si="35"/>
        <v>0</v>
      </c>
      <c r="R100" s="10">
        <f t="shared" ca="1" si="36"/>
        <v>45</v>
      </c>
      <c r="S100" s="17">
        <f t="shared" ca="1" si="37"/>
        <v>0</v>
      </c>
      <c r="T100" s="70">
        <f t="shared" ca="1" si="38"/>
        <v>0.3</v>
      </c>
      <c r="U100" s="17">
        <f t="shared" ca="1" si="39"/>
        <v>0</v>
      </c>
      <c r="V100" s="71">
        <f t="shared" ca="1" si="40"/>
        <v>2</v>
      </c>
      <c r="W100" s="17">
        <f t="shared" ca="1" si="41"/>
        <v>0</v>
      </c>
    </row>
    <row r="101" spans="1:23" x14ac:dyDescent="0.25">
      <c r="A101" s="4">
        <f t="shared" si="21"/>
        <v>32</v>
      </c>
      <c r="B101" t="str">
        <f ca="1">TEXT(DATE(YEAR(Invoer!$A$6),1,1)+INT((ROWS(B$2:B101)-1)/4),"jjjjmmdd")</f>
        <v>19400125</v>
      </c>
      <c r="C101" s="64" t="str">
        <f>IF(MOD(ROWS(C$2:C101)-1,4)=3,"24.00",INDEX(Data,3,2+MOD(ROWS(C$2:C101)-1,4)))</f>
        <v>24.00</v>
      </c>
      <c r="D101" s="18" t="str">
        <f t="shared" ca="1" si="22"/>
        <v>—</v>
      </c>
      <c r="E101" s="17">
        <f t="shared" ca="1" si="23"/>
        <v>7</v>
      </c>
      <c r="F101" s="18" t="str">
        <f t="shared" ca="1" si="24"/>
        <v>—</v>
      </c>
      <c r="G101" s="17">
        <f t="shared" ca="1" si="25"/>
        <v>7</v>
      </c>
      <c r="H101" s="18">
        <f t="shared" ca="1" si="26"/>
        <v>26.4</v>
      </c>
      <c r="I101" s="17">
        <f t="shared" ca="1" si="27"/>
        <v>0</v>
      </c>
      <c r="J101" s="18">
        <f t="shared" ca="1" si="28"/>
        <v>29.5</v>
      </c>
      <c r="K101" s="17">
        <f t="shared" ca="1" si="29"/>
        <v>0</v>
      </c>
      <c r="L101" s="10" t="str">
        <f t="shared" ca="1" si="30"/>
        <v>—</v>
      </c>
      <c r="M101" s="17">
        <f t="shared" ca="1" si="31"/>
        <v>7</v>
      </c>
      <c r="N101" s="18" t="str">
        <f t="shared" ca="1" si="32"/>
        <v>—</v>
      </c>
      <c r="O101" s="17">
        <f t="shared" ca="1" si="33"/>
        <v>7</v>
      </c>
      <c r="P101" s="18" t="str">
        <f t="shared" ca="1" si="34"/>
        <v>—</v>
      </c>
      <c r="Q101" s="17">
        <f t="shared" ca="1" si="35"/>
        <v>7</v>
      </c>
      <c r="R101" s="10" t="str">
        <f t="shared" ca="1" si="36"/>
        <v>—</v>
      </c>
      <c r="S101" s="17">
        <f t="shared" ca="1" si="37"/>
        <v>7</v>
      </c>
      <c r="T101" s="70" t="str">
        <f t="shared" ca="1" si="38"/>
        <v>—</v>
      </c>
      <c r="U101" s="17">
        <f t="shared" ca="1" si="39"/>
        <v>7</v>
      </c>
      <c r="V101" s="71" t="str">
        <f t="shared" ca="1" si="40"/>
        <v>—</v>
      </c>
      <c r="W101" s="17">
        <f t="shared" ca="1" si="41"/>
        <v>7</v>
      </c>
    </row>
    <row r="102" spans="1:23" x14ac:dyDescent="0.25">
      <c r="A102" s="4">
        <f t="shared" si="21"/>
        <v>32</v>
      </c>
      <c r="B102" t="str">
        <f ca="1">TEXT(DATE(YEAR(Invoer!$A$6),1,1)+INT((ROWS(B$2:B102)-1)/4),"jjjjmmdd")</f>
        <v>19400126</v>
      </c>
      <c r="C102" s="64" t="str">
        <f>IF(MOD(ROWS(C$2:C102)-1,4)=3,"24.00",INDEX(Data,3,2+MOD(ROWS(C$2:C102)-1,4)))</f>
        <v>07.00</v>
      </c>
      <c r="D102" s="18">
        <f t="shared" ca="1" si="22"/>
        <v>761.2</v>
      </c>
      <c r="E102" s="17">
        <f t="shared" ca="1" si="23"/>
        <v>0</v>
      </c>
      <c r="F102" s="18">
        <f t="shared" ca="1" si="24"/>
        <v>25.5</v>
      </c>
      <c r="G102" s="17">
        <f t="shared" ca="1" si="25"/>
        <v>0</v>
      </c>
      <c r="H102" s="18" t="str">
        <f t="shared" ca="1" si="26"/>
        <v>—</v>
      </c>
      <c r="I102" s="17">
        <f t="shared" ca="1" si="27"/>
        <v>7</v>
      </c>
      <c r="J102" s="18" t="str">
        <f t="shared" ca="1" si="28"/>
        <v>—</v>
      </c>
      <c r="K102" s="17">
        <f t="shared" ca="1" si="29"/>
        <v>7</v>
      </c>
      <c r="L102" s="10">
        <f t="shared" ca="1" si="30"/>
        <v>75</v>
      </c>
      <c r="M102" s="17">
        <f t="shared" ca="1" si="31"/>
        <v>0</v>
      </c>
      <c r="N102" s="18">
        <f t="shared" ca="1" si="32"/>
        <v>18.399999999999999</v>
      </c>
      <c r="O102" s="17">
        <f t="shared" ca="1" si="33"/>
        <v>0</v>
      </c>
      <c r="P102" s="18">
        <f t="shared" ca="1" si="34"/>
        <v>22.2</v>
      </c>
      <c r="Q102" s="17">
        <f t="shared" ca="1" si="35"/>
        <v>0</v>
      </c>
      <c r="R102" s="10">
        <f t="shared" ca="1" si="36"/>
        <v>45</v>
      </c>
      <c r="S102" s="17">
        <f t="shared" ca="1" si="37"/>
        <v>0</v>
      </c>
      <c r="T102" s="70">
        <f t="shared" ca="1" si="38"/>
        <v>0.2</v>
      </c>
      <c r="U102" s="17">
        <f t="shared" ca="1" si="39"/>
        <v>0</v>
      </c>
      <c r="V102" s="71">
        <f t="shared" ca="1" si="40"/>
        <v>2</v>
      </c>
      <c r="W102" s="17">
        <f t="shared" ca="1" si="41"/>
        <v>0</v>
      </c>
    </row>
    <row r="103" spans="1:23" x14ac:dyDescent="0.25">
      <c r="A103" s="4">
        <f t="shared" si="21"/>
        <v>32</v>
      </c>
      <c r="B103" t="str">
        <f ca="1">TEXT(DATE(YEAR(Invoer!$A$6),1,1)+INT((ROWS(B$2:B103)-1)/4),"jjjjmmdd")</f>
        <v>19400126</v>
      </c>
      <c r="C103" s="64" t="str">
        <f>IF(MOD(ROWS(C$2:C103)-1,4)=3,"24.00",INDEX(Data,3,2+MOD(ROWS(C$2:C103)-1,4)))</f>
        <v>12.00</v>
      </c>
      <c r="D103" s="18">
        <f t="shared" ca="1" si="22"/>
        <v>761.2</v>
      </c>
      <c r="E103" s="17">
        <f t="shared" ca="1" si="23"/>
        <v>0</v>
      </c>
      <c r="F103" s="18">
        <f t="shared" ca="1" si="24"/>
        <v>25.7</v>
      </c>
      <c r="G103" s="17">
        <f t="shared" ca="1" si="25"/>
        <v>0</v>
      </c>
      <c r="H103" s="18" t="str">
        <f t="shared" ca="1" si="26"/>
        <v>—</v>
      </c>
      <c r="I103" s="17">
        <f t="shared" ca="1" si="27"/>
        <v>7</v>
      </c>
      <c r="J103" s="18" t="str">
        <f t="shared" ca="1" si="28"/>
        <v>—</v>
      </c>
      <c r="K103" s="17">
        <f t="shared" ca="1" si="29"/>
        <v>7</v>
      </c>
      <c r="L103" s="10">
        <f t="shared" ca="1" si="30"/>
        <v>75</v>
      </c>
      <c r="M103" s="17">
        <f t="shared" ca="1" si="31"/>
        <v>0</v>
      </c>
      <c r="N103" s="18">
        <f t="shared" ca="1" si="32"/>
        <v>18.7</v>
      </c>
      <c r="O103" s="17">
        <f t="shared" ca="1" si="33"/>
        <v>0</v>
      </c>
      <c r="P103" s="18">
        <f t="shared" ca="1" si="34"/>
        <v>22.4</v>
      </c>
      <c r="Q103" s="17">
        <f t="shared" ca="1" si="35"/>
        <v>0</v>
      </c>
      <c r="R103" s="10">
        <f t="shared" ca="1" si="36"/>
        <v>45</v>
      </c>
      <c r="S103" s="17">
        <f t="shared" ca="1" si="37"/>
        <v>0</v>
      </c>
      <c r="T103" s="70">
        <f t="shared" ca="1" si="38"/>
        <v>0.2</v>
      </c>
      <c r="U103" s="17">
        <f t="shared" ca="1" si="39"/>
        <v>0</v>
      </c>
      <c r="V103" s="71">
        <f t="shared" ca="1" si="40"/>
        <v>4</v>
      </c>
      <c r="W103" s="17">
        <f t="shared" ca="1" si="41"/>
        <v>0</v>
      </c>
    </row>
    <row r="104" spans="1:23" x14ac:dyDescent="0.25">
      <c r="A104" s="4">
        <f t="shared" si="21"/>
        <v>32</v>
      </c>
      <c r="B104" t="str">
        <f ca="1">TEXT(DATE(YEAR(Invoer!$A$6),1,1)+INT((ROWS(B$2:B104)-1)/4),"jjjjmmdd")</f>
        <v>19400126</v>
      </c>
      <c r="C104" s="64" t="str">
        <f>IF(MOD(ROWS(C$2:C104)-1,4)=3,"24.00",INDEX(Data,3,2+MOD(ROWS(C$2:C104)-1,4)))</f>
        <v>17.00</v>
      </c>
      <c r="D104" s="18">
        <f t="shared" ca="1" si="22"/>
        <v>759.7</v>
      </c>
      <c r="E104" s="17">
        <f t="shared" ca="1" si="23"/>
        <v>0</v>
      </c>
      <c r="F104" s="18">
        <f t="shared" ca="1" si="24"/>
        <v>25.3</v>
      </c>
      <c r="G104" s="17">
        <f t="shared" ca="1" si="25"/>
        <v>0</v>
      </c>
      <c r="H104" s="18" t="str">
        <f t="shared" ca="1" si="26"/>
        <v>—</v>
      </c>
      <c r="I104" s="17">
        <f t="shared" ca="1" si="27"/>
        <v>7</v>
      </c>
      <c r="J104" s="18" t="str">
        <f t="shared" ca="1" si="28"/>
        <v>—</v>
      </c>
      <c r="K104" s="17">
        <f t="shared" ca="1" si="29"/>
        <v>7</v>
      </c>
      <c r="L104" s="10">
        <f t="shared" ca="1" si="30"/>
        <v>77</v>
      </c>
      <c r="M104" s="17">
        <f t="shared" ca="1" si="31"/>
        <v>0</v>
      </c>
      <c r="N104" s="18">
        <f t="shared" ca="1" si="32"/>
        <v>18.5</v>
      </c>
      <c r="O104" s="17">
        <f t="shared" ca="1" si="33"/>
        <v>0</v>
      </c>
      <c r="P104" s="18">
        <f t="shared" ca="1" si="34"/>
        <v>22.2</v>
      </c>
      <c r="Q104" s="17">
        <f t="shared" ca="1" si="35"/>
        <v>0</v>
      </c>
      <c r="R104" s="10">
        <f t="shared" ca="1" si="36"/>
        <v>45</v>
      </c>
      <c r="S104" s="17">
        <f t="shared" ca="1" si="37"/>
        <v>0</v>
      </c>
      <c r="T104" s="70">
        <f t="shared" ca="1" si="38"/>
        <v>0.3</v>
      </c>
      <c r="U104" s="17">
        <f t="shared" ca="1" si="39"/>
        <v>0</v>
      </c>
      <c r="V104" s="71">
        <f t="shared" ca="1" si="40"/>
        <v>3</v>
      </c>
      <c r="W104" s="17">
        <f t="shared" ca="1" si="41"/>
        <v>0</v>
      </c>
    </row>
    <row r="105" spans="1:23" x14ac:dyDescent="0.25">
      <c r="A105" s="4">
        <f t="shared" si="21"/>
        <v>32</v>
      </c>
      <c r="B105" t="str">
        <f ca="1">TEXT(DATE(YEAR(Invoer!$A$6),1,1)+INT((ROWS(B$2:B105)-1)/4),"jjjjmmdd")</f>
        <v>19400126</v>
      </c>
      <c r="C105" s="64" t="str">
        <f>IF(MOD(ROWS(C$2:C105)-1,4)=3,"24.00",INDEX(Data,3,2+MOD(ROWS(C$2:C105)-1,4)))</f>
        <v>24.00</v>
      </c>
      <c r="D105" s="18" t="str">
        <f t="shared" ca="1" si="22"/>
        <v>—</v>
      </c>
      <c r="E105" s="17">
        <f t="shared" ca="1" si="23"/>
        <v>7</v>
      </c>
      <c r="F105" s="18" t="str">
        <f t="shared" ca="1" si="24"/>
        <v>—</v>
      </c>
      <c r="G105" s="17">
        <f t="shared" ca="1" si="25"/>
        <v>7</v>
      </c>
      <c r="H105" s="18">
        <f t="shared" ca="1" si="26"/>
        <v>26.5</v>
      </c>
      <c r="I105" s="17">
        <f t="shared" ca="1" si="27"/>
        <v>0</v>
      </c>
      <c r="J105" s="18">
        <f t="shared" ca="1" si="28"/>
        <v>28.5</v>
      </c>
      <c r="K105" s="17">
        <f t="shared" ca="1" si="29"/>
        <v>0</v>
      </c>
      <c r="L105" s="10" t="str">
        <f t="shared" ca="1" si="30"/>
        <v>—</v>
      </c>
      <c r="M105" s="17">
        <f t="shared" ca="1" si="31"/>
        <v>7</v>
      </c>
      <c r="N105" s="18" t="str">
        <f t="shared" ca="1" si="32"/>
        <v>—</v>
      </c>
      <c r="O105" s="17">
        <f t="shared" ca="1" si="33"/>
        <v>7</v>
      </c>
      <c r="P105" s="18" t="str">
        <f t="shared" ca="1" si="34"/>
        <v>—</v>
      </c>
      <c r="Q105" s="17">
        <f t="shared" ca="1" si="35"/>
        <v>7</v>
      </c>
      <c r="R105" s="10" t="str">
        <f t="shared" ca="1" si="36"/>
        <v>—</v>
      </c>
      <c r="S105" s="17">
        <f t="shared" ca="1" si="37"/>
        <v>7</v>
      </c>
      <c r="T105" s="70" t="str">
        <f t="shared" ca="1" si="38"/>
        <v>—</v>
      </c>
      <c r="U105" s="17">
        <f t="shared" ca="1" si="39"/>
        <v>7</v>
      </c>
      <c r="V105" s="71" t="str">
        <f t="shared" ca="1" si="40"/>
        <v>—</v>
      </c>
      <c r="W105" s="17">
        <f t="shared" ca="1" si="41"/>
        <v>7</v>
      </c>
    </row>
    <row r="106" spans="1:23" x14ac:dyDescent="0.25">
      <c r="A106" s="4">
        <f t="shared" si="21"/>
        <v>32</v>
      </c>
      <c r="B106" t="str">
        <f ca="1">TEXT(DATE(YEAR(Invoer!$A$6),1,1)+INT((ROWS(B$2:B106)-1)/4),"jjjjmmdd")</f>
        <v>19400127</v>
      </c>
      <c r="C106" s="64" t="str">
        <f>IF(MOD(ROWS(C$2:C106)-1,4)=3,"24.00",INDEX(Data,3,2+MOD(ROWS(C$2:C106)-1,4)))</f>
        <v>07.00</v>
      </c>
      <c r="D106" s="18">
        <f t="shared" ca="1" si="22"/>
        <v>760.7</v>
      </c>
      <c r="E106" s="17">
        <f t="shared" ca="1" si="23"/>
        <v>0</v>
      </c>
      <c r="F106" s="18">
        <f t="shared" ca="1" si="24"/>
        <v>27.3</v>
      </c>
      <c r="G106" s="17">
        <f t="shared" ca="1" si="25"/>
        <v>0</v>
      </c>
      <c r="H106" s="18" t="str">
        <f t="shared" ca="1" si="26"/>
        <v>—</v>
      </c>
      <c r="I106" s="17">
        <f t="shared" ca="1" si="27"/>
        <v>7</v>
      </c>
      <c r="J106" s="18" t="str">
        <f t="shared" ca="1" si="28"/>
        <v>—</v>
      </c>
      <c r="K106" s="17">
        <f t="shared" ca="1" si="29"/>
        <v>7</v>
      </c>
      <c r="L106" s="10">
        <f t="shared" ca="1" si="30"/>
        <v>66</v>
      </c>
      <c r="M106" s="17">
        <f t="shared" ca="1" si="31"/>
        <v>0</v>
      </c>
      <c r="N106" s="18">
        <f t="shared" ca="1" si="32"/>
        <v>17.899999999999999</v>
      </c>
      <c r="O106" s="17">
        <f t="shared" ca="1" si="33"/>
        <v>0</v>
      </c>
      <c r="P106" s="18">
        <f t="shared" ca="1" si="34"/>
        <v>22.4</v>
      </c>
      <c r="Q106" s="17">
        <f t="shared" ca="1" si="35"/>
        <v>0</v>
      </c>
      <c r="R106" s="10">
        <f t="shared" ca="1" si="36"/>
        <v>65</v>
      </c>
      <c r="S106" s="17">
        <f t="shared" ca="1" si="37"/>
        <v>0</v>
      </c>
      <c r="T106" s="70">
        <f t="shared" ca="1" si="38"/>
        <v>0.3</v>
      </c>
      <c r="U106" s="17">
        <f t="shared" ca="1" si="39"/>
        <v>0</v>
      </c>
      <c r="V106" s="71">
        <f t="shared" ca="1" si="40"/>
        <v>2</v>
      </c>
      <c r="W106" s="17">
        <f t="shared" ca="1" si="41"/>
        <v>0</v>
      </c>
    </row>
    <row r="107" spans="1:23" x14ac:dyDescent="0.25">
      <c r="A107" s="4">
        <f t="shared" si="21"/>
        <v>32</v>
      </c>
      <c r="B107" t="str">
        <f ca="1">TEXT(DATE(YEAR(Invoer!$A$6),1,1)+INT((ROWS(B$2:B107)-1)/4),"jjjjmmdd")</f>
        <v>19400127</v>
      </c>
      <c r="C107" s="64" t="str">
        <f>IF(MOD(ROWS(C$2:C107)-1,4)=3,"24.00",INDEX(Data,3,2+MOD(ROWS(C$2:C107)-1,4)))</f>
        <v>12.00</v>
      </c>
      <c r="D107" s="18">
        <f t="shared" ca="1" si="22"/>
        <v>760.7</v>
      </c>
      <c r="E107" s="17">
        <f t="shared" ca="1" si="23"/>
        <v>0</v>
      </c>
      <c r="F107" s="18">
        <f t="shared" ca="1" si="24"/>
        <v>27.9</v>
      </c>
      <c r="G107" s="17">
        <f t="shared" ca="1" si="25"/>
        <v>0</v>
      </c>
      <c r="H107" s="18" t="str">
        <f t="shared" ca="1" si="26"/>
        <v>—</v>
      </c>
      <c r="I107" s="17">
        <f t="shared" ca="1" si="27"/>
        <v>7</v>
      </c>
      <c r="J107" s="18" t="str">
        <f t="shared" ca="1" si="28"/>
        <v>—</v>
      </c>
      <c r="K107" s="17">
        <f t="shared" ca="1" si="29"/>
        <v>7</v>
      </c>
      <c r="L107" s="10">
        <f t="shared" ca="1" si="30"/>
        <v>63</v>
      </c>
      <c r="M107" s="17">
        <f t="shared" ca="1" si="31"/>
        <v>0</v>
      </c>
      <c r="N107" s="18">
        <f t="shared" ca="1" si="32"/>
        <v>17.899999999999999</v>
      </c>
      <c r="O107" s="17">
        <f t="shared" ca="1" si="33"/>
        <v>0</v>
      </c>
      <c r="P107" s="18">
        <f t="shared" ca="1" si="34"/>
        <v>22.6</v>
      </c>
      <c r="Q107" s="17">
        <f t="shared" ca="1" si="35"/>
        <v>0</v>
      </c>
      <c r="R107" s="10">
        <f t="shared" ca="1" si="36"/>
        <v>45</v>
      </c>
      <c r="S107" s="17">
        <f t="shared" ca="1" si="37"/>
        <v>0</v>
      </c>
      <c r="T107" s="70">
        <f t="shared" ca="1" si="38"/>
        <v>0.4</v>
      </c>
      <c r="U107" s="17">
        <f t="shared" ca="1" si="39"/>
        <v>0</v>
      </c>
      <c r="V107" s="71">
        <f t="shared" ca="1" si="40"/>
        <v>4</v>
      </c>
      <c r="W107" s="17">
        <f t="shared" ca="1" si="41"/>
        <v>0</v>
      </c>
    </row>
    <row r="108" spans="1:23" x14ac:dyDescent="0.25">
      <c r="A108" s="4">
        <f t="shared" si="21"/>
        <v>32</v>
      </c>
      <c r="B108" t="str">
        <f ca="1">TEXT(DATE(YEAR(Invoer!$A$6),1,1)+INT((ROWS(B$2:B108)-1)/4),"jjjjmmdd")</f>
        <v>19400127</v>
      </c>
      <c r="C108" s="64" t="str">
        <f>IF(MOD(ROWS(C$2:C108)-1,4)=3,"24.00",INDEX(Data,3,2+MOD(ROWS(C$2:C108)-1,4)))</f>
        <v>17.00</v>
      </c>
      <c r="D108" s="18">
        <f t="shared" ca="1" si="22"/>
        <v>760.7</v>
      </c>
      <c r="E108" s="17">
        <f t="shared" ca="1" si="23"/>
        <v>0</v>
      </c>
      <c r="F108" s="18">
        <f t="shared" ca="1" si="24"/>
        <v>27.5</v>
      </c>
      <c r="G108" s="17">
        <f t="shared" ca="1" si="25"/>
        <v>0</v>
      </c>
      <c r="H108" s="18" t="str">
        <f t="shared" ca="1" si="26"/>
        <v>—</v>
      </c>
      <c r="I108" s="17">
        <f t="shared" ca="1" si="27"/>
        <v>7</v>
      </c>
      <c r="J108" s="18" t="str">
        <f t="shared" ca="1" si="28"/>
        <v>—</v>
      </c>
      <c r="K108" s="17">
        <f t="shared" ca="1" si="29"/>
        <v>7</v>
      </c>
      <c r="L108" s="10">
        <f t="shared" ca="1" si="30"/>
        <v>64</v>
      </c>
      <c r="M108" s="17">
        <f t="shared" ca="1" si="31"/>
        <v>0</v>
      </c>
      <c r="N108" s="18">
        <f t="shared" ca="1" si="32"/>
        <v>17.8</v>
      </c>
      <c r="O108" s="17">
        <f t="shared" ca="1" si="33"/>
        <v>0</v>
      </c>
      <c r="P108" s="18">
        <f t="shared" ca="1" si="34"/>
        <v>22.4</v>
      </c>
      <c r="Q108" s="17">
        <f t="shared" ca="1" si="35"/>
        <v>0</v>
      </c>
      <c r="R108" s="10">
        <f t="shared" ca="1" si="36"/>
        <v>45</v>
      </c>
      <c r="S108" s="17">
        <f t="shared" ca="1" si="37"/>
        <v>0</v>
      </c>
      <c r="T108" s="70">
        <f t="shared" ca="1" si="38"/>
        <v>0.4</v>
      </c>
      <c r="U108" s="17">
        <f t="shared" ca="1" si="39"/>
        <v>0</v>
      </c>
      <c r="V108" s="71">
        <f t="shared" ca="1" si="40"/>
        <v>3</v>
      </c>
      <c r="W108" s="17">
        <f t="shared" ca="1" si="41"/>
        <v>0</v>
      </c>
    </row>
    <row r="109" spans="1:23" x14ac:dyDescent="0.25">
      <c r="A109" s="4">
        <f t="shared" si="21"/>
        <v>32</v>
      </c>
      <c r="B109" t="str">
        <f ca="1">TEXT(DATE(YEAR(Invoer!$A$6),1,1)+INT((ROWS(B$2:B109)-1)/4),"jjjjmmdd")</f>
        <v>19400127</v>
      </c>
      <c r="C109" s="64" t="str">
        <f>IF(MOD(ROWS(C$2:C109)-1,4)=3,"24.00",INDEX(Data,3,2+MOD(ROWS(C$2:C109)-1,4)))</f>
        <v>24.00</v>
      </c>
      <c r="D109" s="18" t="str">
        <f t="shared" ca="1" si="22"/>
        <v>—</v>
      </c>
      <c r="E109" s="17">
        <f t="shared" ca="1" si="23"/>
        <v>7</v>
      </c>
      <c r="F109" s="18" t="str">
        <f t="shared" ca="1" si="24"/>
        <v>—</v>
      </c>
      <c r="G109" s="17">
        <f t="shared" ca="1" si="25"/>
        <v>7</v>
      </c>
      <c r="H109" s="18">
        <f t="shared" ca="1" si="26"/>
        <v>28.3</v>
      </c>
      <c r="I109" s="17">
        <f t="shared" ca="1" si="27"/>
        <v>0</v>
      </c>
      <c r="J109" s="18">
        <f t="shared" ca="1" si="28"/>
        <v>29.5</v>
      </c>
      <c r="K109" s="17">
        <f t="shared" ca="1" si="29"/>
        <v>0</v>
      </c>
      <c r="L109" s="10" t="str">
        <f t="shared" ca="1" si="30"/>
        <v>—</v>
      </c>
      <c r="M109" s="17">
        <f t="shared" ca="1" si="31"/>
        <v>7</v>
      </c>
      <c r="N109" s="18" t="str">
        <f t="shared" ca="1" si="32"/>
        <v>—</v>
      </c>
      <c r="O109" s="17">
        <f t="shared" ca="1" si="33"/>
        <v>7</v>
      </c>
      <c r="P109" s="18" t="str">
        <f t="shared" ca="1" si="34"/>
        <v>—</v>
      </c>
      <c r="Q109" s="17">
        <f t="shared" ca="1" si="35"/>
        <v>7</v>
      </c>
      <c r="R109" s="10" t="str">
        <f t="shared" ca="1" si="36"/>
        <v>—</v>
      </c>
      <c r="S109" s="17">
        <f t="shared" ca="1" si="37"/>
        <v>7</v>
      </c>
      <c r="T109" s="70" t="str">
        <f t="shared" ca="1" si="38"/>
        <v>—</v>
      </c>
      <c r="U109" s="17">
        <f t="shared" ca="1" si="39"/>
        <v>7</v>
      </c>
      <c r="V109" s="71" t="str">
        <f t="shared" ca="1" si="40"/>
        <v>—</v>
      </c>
      <c r="W109" s="17">
        <f t="shared" ca="1" si="41"/>
        <v>7</v>
      </c>
    </row>
    <row r="110" spans="1:23" x14ac:dyDescent="0.25">
      <c r="A110" s="4">
        <f t="shared" si="21"/>
        <v>32</v>
      </c>
      <c r="B110" t="str">
        <f ca="1">TEXT(DATE(YEAR(Invoer!$A$6),1,1)+INT((ROWS(B$2:B110)-1)/4),"jjjjmmdd")</f>
        <v>19400128</v>
      </c>
      <c r="C110" s="64" t="str">
        <f>IF(MOD(ROWS(C$2:C110)-1,4)=3,"24.00",INDEX(Data,3,2+MOD(ROWS(C$2:C110)-1,4)))</f>
        <v>07.00</v>
      </c>
      <c r="D110" s="18">
        <f t="shared" ca="1" si="22"/>
        <v>760.2</v>
      </c>
      <c r="E110" s="17">
        <f t="shared" ca="1" si="23"/>
        <v>0</v>
      </c>
      <c r="F110" s="18">
        <f t="shared" ca="1" si="24"/>
        <v>25.7</v>
      </c>
      <c r="G110" s="17">
        <f t="shared" ca="1" si="25"/>
        <v>0</v>
      </c>
      <c r="H110" s="18" t="str">
        <f t="shared" ca="1" si="26"/>
        <v>—</v>
      </c>
      <c r="I110" s="17">
        <f t="shared" ca="1" si="27"/>
        <v>7</v>
      </c>
      <c r="J110" s="18" t="str">
        <f t="shared" ca="1" si="28"/>
        <v>—</v>
      </c>
      <c r="K110" s="17">
        <f t="shared" ca="1" si="29"/>
        <v>7</v>
      </c>
      <c r="L110" s="10">
        <f t="shared" ca="1" si="30"/>
        <v>75</v>
      </c>
      <c r="M110" s="17">
        <f t="shared" ca="1" si="31"/>
        <v>0</v>
      </c>
      <c r="N110" s="18">
        <f t="shared" ca="1" si="32"/>
        <v>18.7</v>
      </c>
      <c r="O110" s="17">
        <f t="shared" ca="1" si="33"/>
        <v>0</v>
      </c>
      <c r="P110" s="18">
        <f t="shared" ca="1" si="34"/>
        <v>22.4</v>
      </c>
      <c r="Q110" s="17">
        <f t="shared" ca="1" si="35"/>
        <v>0</v>
      </c>
      <c r="R110" s="10">
        <f t="shared" ca="1" si="36"/>
        <v>45</v>
      </c>
      <c r="S110" s="17">
        <f t="shared" ca="1" si="37"/>
        <v>0</v>
      </c>
      <c r="T110" s="70">
        <f t="shared" ca="1" si="38"/>
        <v>0.3</v>
      </c>
      <c r="U110" s="17">
        <f t="shared" ca="1" si="39"/>
        <v>0</v>
      </c>
      <c r="V110" s="71">
        <f t="shared" ca="1" si="40"/>
        <v>2</v>
      </c>
      <c r="W110" s="17">
        <f t="shared" ca="1" si="41"/>
        <v>0</v>
      </c>
    </row>
    <row r="111" spans="1:23" x14ac:dyDescent="0.25">
      <c r="A111" s="4">
        <f t="shared" si="21"/>
        <v>32</v>
      </c>
      <c r="B111" t="str">
        <f ca="1">TEXT(DATE(YEAR(Invoer!$A$6),1,1)+INT((ROWS(B$2:B111)-1)/4),"jjjjmmdd")</f>
        <v>19400128</v>
      </c>
      <c r="C111" s="64" t="str">
        <f>IF(MOD(ROWS(C$2:C111)-1,4)=3,"24.00",INDEX(Data,3,2+MOD(ROWS(C$2:C111)-1,4)))</f>
        <v>12.00</v>
      </c>
      <c r="D111" s="18">
        <f t="shared" ca="1" si="22"/>
        <v>760</v>
      </c>
      <c r="E111" s="17">
        <f t="shared" ca="1" si="23"/>
        <v>0</v>
      </c>
      <c r="F111" s="18">
        <f t="shared" ca="1" si="24"/>
        <v>28.3</v>
      </c>
      <c r="G111" s="17">
        <f t="shared" ca="1" si="25"/>
        <v>0</v>
      </c>
      <c r="H111" s="18" t="str">
        <f t="shared" ca="1" si="26"/>
        <v>—</v>
      </c>
      <c r="I111" s="17">
        <f t="shared" ca="1" si="27"/>
        <v>7</v>
      </c>
      <c r="J111" s="18" t="str">
        <f t="shared" ca="1" si="28"/>
        <v>—</v>
      </c>
      <c r="K111" s="17">
        <f t="shared" ca="1" si="29"/>
        <v>7</v>
      </c>
      <c r="L111" s="10">
        <f t="shared" ca="1" si="30"/>
        <v>61</v>
      </c>
      <c r="M111" s="17">
        <f t="shared" ca="1" si="31"/>
        <v>0</v>
      </c>
      <c r="N111" s="18">
        <f t="shared" ca="1" si="32"/>
        <v>17.7</v>
      </c>
      <c r="O111" s="17">
        <f t="shared" ca="1" si="33"/>
        <v>0</v>
      </c>
      <c r="P111" s="18">
        <f t="shared" ca="1" si="34"/>
        <v>22.6</v>
      </c>
      <c r="Q111" s="17">
        <f t="shared" ca="1" si="35"/>
        <v>0</v>
      </c>
      <c r="R111" s="10">
        <f t="shared" ca="1" si="36"/>
        <v>45</v>
      </c>
      <c r="S111" s="17">
        <f t="shared" ca="1" si="37"/>
        <v>0</v>
      </c>
      <c r="T111" s="70">
        <f t="shared" ca="1" si="38"/>
        <v>0.4</v>
      </c>
      <c r="U111" s="17">
        <f t="shared" ca="1" si="39"/>
        <v>0</v>
      </c>
      <c r="V111" s="71">
        <f t="shared" ca="1" si="40"/>
        <v>3</v>
      </c>
      <c r="W111" s="17">
        <f t="shared" ca="1" si="41"/>
        <v>0</v>
      </c>
    </row>
    <row r="112" spans="1:23" x14ac:dyDescent="0.25">
      <c r="A112" s="4">
        <f t="shared" si="21"/>
        <v>32</v>
      </c>
      <c r="B112" t="str">
        <f ca="1">TEXT(DATE(YEAR(Invoer!$A$6),1,1)+INT((ROWS(B$2:B112)-1)/4),"jjjjmmdd")</f>
        <v>19400128</v>
      </c>
      <c r="C112" s="64" t="str">
        <f>IF(MOD(ROWS(C$2:C112)-1,4)=3,"24.00",INDEX(Data,3,2+MOD(ROWS(C$2:C112)-1,4)))</f>
        <v>17.00</v>
      </c>
      <c r="D112" s="18">
        <f t="shared" ca="1" si="22"/>
        <v>759.5</v>
      </c>
      <c r="E112" s="17">
        <f t="shared" ca="1" si="23"/>
        <v>0</v>
      </c>
      <c r="F112" s="18">
        <f t="shared" ca="1" si="24"/>
        <v>28.1</v>
      </c>
      <c r="G112" s="17">
        <f t="shared" ca="1" si="25"/>
        <v>0</v>
      </c>
      <c r="H112" s="18" t="str">
        <f t="shared" ca="1" si="26"/>
        <v>—</v>
      </c>
      <c r="I112" s="17">
        <f t="shared" ca="1" si="27"/>
        <v>7</v>
      </c>
      <c r="J112" s="18" t="str">
        <f t="shared" ca="1" si="28"/>
        <v>—</v>
      </c>
      <c r="K112" s="17">
        <f t="shared" ca="1" si="29"/>
        <v>7</v>
      </c>
      <c r="L112" s="10">
        <f t="shared" ca="1" si="30"/>
        <v>61</v>
      </c>
      <c r="M112" s="17">
        <f t="shared" ca="1" si="31"/>
        <v>0</v>
      </c>
      <c r="N112" s="18">
        <f t="shared" ca="1" si="32"/>
        <v>17.5</v>
      </c>
      <c r="O112" s="17">
        <f t="shared" ca="1" si="33"/>
        <v>0</v>
      </c>
      <c r="P112" s="18">
        <f t="shared" ca="1" si="34"/>
        <v>22.4</v>
      </c>
      <c r="Q112" s="17">
        <f t="shared" ca="1" si="35"/>
        <v>0</v>
      </c>
      <c r="R112" s="10">
        <f t="shared" ca="1" si="36"/>
        <v>45</v>
      </c>
      <c r="S112" s="17">
        <f t="shared" ca="1" si="37"/>
        <v>0</v>
      </c>
      <c r="T112" s="70">
        <f t="shared" ca="1" si="38"/>
        <v>0.4</v>
      </c>
      <c r="U112" s="17">
        <f t="shared" ca="1" si="39"/>
        <v>0</v>
      </c>
      <c r="V112" s="71">
        <f t="shared" ca="1" si="40"/>
        <v>3</v>
      </c>
      <c r="W112" s="17">
        <f t="shared" ca="1" si="41"/>
        <v>0</v>
      </c>
    </row>
    <row r="113" spans="1:23" x14ac:dyDescent="0.25">
      <c r="A113" s="4">
        <f t="shared" si="21"/>
        <v>32</v>
      </c>
      <c r="B113" t="str">
        <f ca="1">TEXT(DATE(YEAR(Invoer!$A$6),1,1)+INT((ROWS(B$2:B113)-1)/4),"jjjjmmdd")</f>
        <v>19400128</v>
      </c>
      <c r="C113" s="64" t="str">
        <f>IF(MOD(ROWS(C$2:C113)-1,4)=3,"24.00",INDEX(Data,3,2+MOD(ROWS(C$2:C113)-1,4)))</f>
        <v>24.00</v>
      </c>
      <c r="D113" s="18" t="str">
        <f t="shared" ca="1" si="22"/>
        <v>—</v>
      </c>
      <c r="E113" s="17">
        <f t="shared" ca="1" si="23"/>
        <v>7</v>
      </c>
      <c r="F113" s="18" t="str">
        <f t="shared" ca="1" si="24"/>
        <v>—</v>
      </c>
      <c r="G113" s="17">
        <f t="shared" ca="1" si="25"/>
        <v>7</v>
      </c>
      <c r="H113" s="18">
        <f t="shared" ca="1" si="26"/>
        <v>26.3</v>
      </c>
      <c r="I113" s="17">
        <f t="shared" ca="1" si="27"/>
        <v>0</v>
      </c>
      <c r="J113" s="18">
        <f t="shared" ca="1" si="28"/>
        <v>29.4</v>
      </c>
      <c r="K113" s="17">
        <f t="shared" ca="1" si="29"/>
        <v>0</v>
      </c>
      <c r="L113" s="10" t="str">
        <f t="shared" ca="1" si="30"/>
        <v>—</v>
      </c>
      <c r="M113" s="17">
        <f t="shared" ca="1" si="31"/>
        <v>7</v>
      </c>
      <c r="N113" s="18" t="str">
        <f t="shared" ca="1" si="32"/>
        <v>—</v>
      </c>
      <c r="O113" s="17">
        <f t="shared" ca="1" si="33"/>
        <v>7</v>
      </c>
      <c r="P113" s="18" t="str">
        <f t="shared" ca="1" si="34"/>
        <v>—</v>
      </c>
      <c r="Q113" s="17">
        <f t="shared" ca="1" si="35"/>
        <v>7</v>
      </c>
      <c r="R113" s="10" t="str">
        <f t="shared" ca="1" si="36"/>
        <v>—</v>
      </c>
      <c r="S113" s="17">
        <f t="shared" ca="1" si="37"/>
        <v>7</v>
      </c>
      <c r="T113" s="70" t="str">
        <f t="shared" ca="1" si="38"/>
        <v>—</v>
      </c>
      <c r="U113" s="17">
        <f t="shared" ca="1" si="39"/>
        <v>7</v>
      </c>
      <c r="V113" s="71" t="str">
        <f t="shared" ca="1" si="40"/>
        <v>—</v>
      </c>
      <c r="W113" s="17">
        <f t="shared" ca="1" si="41"/>
        <v>7</v>
      </c>
    </row>
    <row r="114" spans="1:23" x14ac:dyDescent="0.25">
      <c r="A114" s="4">
        <f t="shared" si="21"/>
        <v>32</v>
      </c>
      <c r="B114" t="str">
        <f ca="1">TEXT(DATE(YEAR(Invoer!$A$6),1,1)+INT((ROWS(B$2:B114)-1)/4),"jjjjmmdd")</f>
        <v>19400129</v>
      </c>
      <c r="C114" s="64" t="str">
        <f>IF(MOD(ROWS(C$2:C114)-1,4)=3,"24.00",INDEX(Data,3,2+MOD(ROWS(C$2:C114)-1,4)))</f>
        <v>07.00</v>
      </c>
      <c r="D114" s="18">
        <f t="shared" ca="1" si="22"/>
        <v>760.2</v>
      </c>
      <c r="E114" s="17">
        <f t="shared" ca="1" si="23"/>
        <v>0</v>
      </c>
      <c r="F114" s="18">
        <f t="shared" ca="1" si="24"/>
        <v>25.5</v>
      </c>
      <c r="G114" s="17">
        <f t="shared" ca="1" si="25"/>
        <v>0</v>
      </c>
      <c r="H114" s="18" t="str">
        <f t="shared" ca="1" si="26"/>
        <v>—</v>
      </c>
      <c r="I114" s="17">
        <f t="shared" ca="1" si="27"/>
        <v>7</v>
      </c>
      <c r="J114" s="18" t="str">
        <f t="shared" ca="1" si="28"/>
        <v>—</v>
      </c>
      <c r="K114" s="17">
        <f t="shared" ca="1" si="29"/>
        <v>7</v>
      </c>
      <c r="L114" s="10">
        <f t="shared" ca="1" si="30"/>
        <v>78</v>
      </c>
      <c r="M114" s="17">
        <f t="shared" ca="1" si="31"/>
        <v>0</v>
      </c>
      <c r="N114" s="18">
        <f t="shared" ca="1" si="32"/>
        <v>19.100000000000001</v>
      </c>
      <c r="O114" s="17">
        <f t="shared" ca="1" si="33"/>
        <v>0</v>
      </c>
      <c r="P114" s="18">
        <f t="shared" ca="1" si="34"/>
        <v>22.6</v>
      </c>
      <c r="Q114" s="17">
        <f t="shared" ca="1" si="35"/>
        <v>0</v>
      </c>
      <c r="R114" s="10">
        <f t="shared" ca="1" si="36"/>
        <v>65</v>
      </c>
      <c r="S114" s="17">
        <f t="shared" ca="1" si="37"/>
        <v>0</v>
      </c>
      <c r="T114" s="70">
        <f t="shared" ca="1" si="38"/>
        <v>0.3</v>
      </c>
      <c r="U114" s="17">
        <f t="shared" ca="1" si="39"/>
        <v>0</v>
      </c>
      <c r="V114" s="71">
        <f t="shared" ca="1" si="40"/>
        <v>2</v>
      </c>
      <c r="W114" s="17">
        <f t="shared" ca="1" si="41"/>
        <v>0</v>
      </c>
    </row>
    <row r="115" spans="1:23" x14ac:dyDescent="0.25">
      <c r="A115" s="4">
        <f t="shared" si="21"/>
        <v>32</v>
      </c>
      <c r="B115" t="str">
        <f ca="1">TEXT(DATE(YEAR(Invoer!$A$6),1,1)+INT((ROWS(B$2:B115)-1)/4),"jjjjmmdd")</f>
        <v>19400129</v>
      </c>
      <c r="C115" s="64" t="str">
        <f>IF(MOD(ROWS(C$2:C115)-1,4)=3,"24.00",INDEX(Data,3,2+MOD(ROWS(C$2:C115)-1,4)))</f>
        <v>12.00</v>
      </c>
      <c r="D115" s="18">
        <f t="shared" ca="1" si="22"/>
        <v>760.2</v>
      </c>
      <c r="E115" s="17">
        <f t="shared" ca="1" si="23"/>
        <v>0</v>
      </c>
      <c r="F115" s="18">
        <f t="shared" ca="1" si="24"/>
        <v>28</v>
      </c>
      <c r="G115" s="17">
        <f t="shared" ca="1" si="25"/>
        <v>0</v>
      </c>
      <c r="H115" s="18" t="str">
        <f t="shared" ca="1" si="26"/>
        <v>—</v>
      </c>
      <c r="I115" s="17">
        <f t="shared" ca="1" si="27"/>
        <v>7</v>
      </c>
      <c r="J115" s="18" t="str">
        <f t="shared" ca="1" si="28"/>
        <v>—</v>
      </c>
      <c r="K115" s="17">
        <f t="shared" ca="1" si="29"/>
        <v>7</v>
      </c>
      <c r="L115" s="10">
        <f t="shared" ca="1" si="30"/>
        <v>67</v>
      </c>
      <c r="M115" s="17">
        <f t="shared" ca="1" si="31"/>
        <v>0</v>
      </c>
      <c r="N115" s="18">
        <f t="shared" ca="1" si="32"/>
        <v>18.899999999999999</v>
      </c>
      <c r="O115" s="17">
        <f t="shared" ca="1" si="33"/>
        <v>0</v>
      </c>
      <c r="P115" s="18">
        <f t="shared" ca="1" si="34"/>
        <v>23.2</v>
      </c>
      <c r="Q115" s="17">
        <f t="shared" ca="1" si="35"/>
        <v>0</v>
      </c>
      <c r="R115" s="10">
        <f t="shared" ca="1" si="36"/>
        <v>65</v>
      </c>
      <c r="S115" s="17">
        <f t="shared" ca="1" si="37"/>
        <v>0</v>
      </c>
      <c r="T115" s="70">
        <f t="shared" ca="1" si="38"/>
        <v>0.4</v>
      </c>
      <c r="U115" s="17">
        <f t="shared" ca="1" si="39"/>
        <v>0</v>
      </c>
      <c r="V115" s="71">
        <f t="shared" ca="1" si="40"/>
        <v>3</v>
      </c>
      <c r="W115" s="17">
        <f t="shared" ca="1" si="41"/>
        <v>0</v>
      </c>
    </row>
    <row r="116" spans="1:23" x14ac:dyDescent="0.25">
      <c r="A116" s="4">
        <f t="shared" si="21"/>
        <v>32</v>
      </c>
      <c r="B116" t="str">
        <f ca="1">TEXT(DATE(YEAR(Invoer!$A$6),1,1)+INT((ROWS(B$2:B116)-1)/4),"jjjjmmdd")</f>
        <v>19400129</v>
      </c>
      <c r="C116" s="64" t="str">
        <f>IF(MOD(ROWS(C$2:C116)-1,4)=3,"24.00",INDEX(Data,3,2+MOD(ROWS(C$2:C116)-1,4)))</f>
        <v>17.00</v>
      </c>
      <c r="D116" s="18">
        <f t="shared" ca="1" si="22"/>
        <v>758.5</v>
      </c>
      <c r="E116" s="17">
        <f t="shared" ca="1" si="23"/>
        <v>0</v>
      </c>
      <c r="F116" s="18">
        <f t="shared" ca="1" si="24"/>
        <v>27.3</v>
      </c>
      <c r="G116" s="17">
        <f t="shared" ca="1" si="25"/>
        <v>0</v>
      </c>
      <c r="H116" s="18" t="str">
        <f t="shared" ca="1" si="26"/>
        <v>—</v>
      </c>
      <c r="I116" s="17">
        <f t="shared" ca="1" si="27"/>
        <v>7</v>
      </c>
      <c r="J116" s="18" t="str">
        <f t="shared" ca="1" si="28"/>
        <v>—</v>
      </c>
      <c r="K116" s="17">
        <f t="shared" ca="1" si="29"/>
        <v>7</v>
      </c>
      <c r="L116" s="10">
        <f t="shared" ca="1" si="30"/>
        <v>68</v>
      </c>
      <c r="M116" s="17">
        <f t="shared" ca="1" si="31"/>
        <v>0</v>
      </c>
      <c r="N116" s="18">
        <f t="shared" ca="1" si="32"/>
        <v>18.399999999999999</v>
      </c>
      <c r="O116" s="17">
        <f t="shared" ca="1" si="33"/>
        <v>0</v>
      </c>
      <c r="P116" s="18">
        <f t="shared" ca="1" si="34"/>
        <v>22.7</v>
      </c>
      <c r="Q116" s="17">
        <f t="shared" ca="1" si="35"/>
        <v>0</v>
      </c>
      <c r="R116" s="10">
        <f t="shared" ca="1" si="36"/>
        <v>45</v>
      </c>
      <c r="S116" s="17">
        <f t="shared" ca="1" si="37"/>
        <v>0</v>
      </c>
      <c r="T116" s="70">
        <f t="shared" ca="1" si="38"/>
        <v>0.4</v>
      </c>
      <c r="U116" s="17">
        <f t="shared" ca="1" si="39"/>
        <v>0</v>
      </c>
      <c r="V116" s="71">
        <f t="shared" ca="1" si="40"/>
        <v>3</v>
      </c>
      <c r="W116" s="17">
        <f t="shared" ca="1" si="41"/>
        <v>0</v>
      </c>
    </row>
    <row r="117" spans="1:23" x14ac:dyDescent="0.25">
      <c r="A117" s="4">
        <f t="shared" si="21"/>
        <v>32</v>
      </c>
      <c r="B117" t="str">
        <f ca="1">TEXT(DATE(YEAR(Invoer!$A$6),1,1)+INT((ROWS(B$2:B117)-1)/4),"jjjjmmdd")</f>
        <v>19400129</v>
      </c>
      <c r="C117" s="64" t="str">
        <f>IF(MOD(ROWS(C$2:C117)-1,4)=3,"24.00",INDEX(Data,3,2+MOD(ROWS(C$2:C117)-1,4)))</f>
        <v>24.00</v>
      </c>
      <c r="D117" s="18" t="str">
        <f t="shared" ca="1" si="22"/>
        <v>—</v>
      </c>
      <c r="E117" s="17">
        <f t="shared" ca="1" si="23"/>
        <v>7</v>
      </c>
      <c r="F117" s="18" t="str">
        <f t="shared" ca="1" si="24"/>
        <v>—</v>
      </c>
      <c r="G117" s="17">
        <f t="shared" ca="1" si="25"/>
        <v>7</v>
      </c>
      <c r="H117" s="18">
        <f t="shared" ca="1" si="26"/>
        <v>26.5</v>
      </c>
      <c r="I117" s="17">
        <f t="shared" ca="1" si="27"/>
        <v>0</v>
      </c>
      <c r="J117" s="18">
        <f t="shared" ca="1" si="28"/>
        <v>29.4</v>
      </c>
      <c r="K117" s="17">
        <f t="shared" ca="1" si="29"/>
        <v>0</v>
      </c>
      <c r="L117" s="10" t="str">
        <f t="shared" ca="1" si="30"/>
        <v>—</v>
      </c>
      <c r="M117" s="17">
        <f t="shared" ca="1" si="31"/>
        <v>7</v>
      </c>
      <c r="N117" s="18" t="str">
        <f t="shared" ca="1" si="32"/>
        <v>—</v>
      </c>
      <c r="O117" s="17">
        <f t="shared" ca="1" si="33"/>
        <v>7</v>
      </c>
      <c r="P117" s="18" t="str">
        <f t="shared" ca="1" si="34"/>
        <v>—</v>
      </c>
      <c r="Q117" s="17">
        <f t="shared" ca="1" si="35"/>
        <v>7</v>
      </c>
      <c r="R117" s="10" t="str">
        <f t="shared" ca="1" si="36"/>
        <v>—</v>
      </c>
      <c r="S117" s="17">
        <f t="shared" ca="1" si="37"/>
        <v>7</v>
      </c>
      <c r="T117" s="70" t="str">
        <f t="shared" ca="1" si="38"/>
        <v>—</v>
      </c>
      <c r="U117" s="17">
        <f t="shared" ca="1" si="39"/>
        <v>7</v>
      </c>
      <c r="V117" s="71" t="str">
        <f t="shared" ca="1" si="40"/>
        <v>—</v>
      </c>
      <c r="W117" s="17">
        <f t="shared" ca="1" si="41"/>
        <v>7</v>
      </c>
    </row>
    <row r="118" spans="1:23" x14ac:dyDescent="0.25">
      <c r="A118" s="4">
        <f t="shared" si="21"/>
        <v>32</v>
      </c>
      <c r="B118" t="str">
        <f ca="1">TEXT(DATE(YEAR(Invoer!$A$6),1,1)+INT((ROWS(B$2:B118)-1)/4),"jjjjmmdd")</f>
        <v>19400130</v>
      </c>
      <c r="C118" s="64" t="str">
        <f>IF(MOD(ROWS(C$2:C118)-1,4)=3,"24.00",INDEX(Data,3,2+MOD(ROWS(C$2:C118)-1,4)))</f>
        <v>07.00</v>
      </c>
      <c r="D118" s="18">
        <f t="shared" ca="1" si="22"/>
        <v>761</v>
      </c>
      <c r="E118" s="17">
        <f t="shared" ca="1" si="23"/>
        <v>0</v>
      </c>
      <c r="F118" s="18">
        <f t="shared" ca="1" si="24"/>
        <v>27.1</v>
      </c>
      <c r="G118" s="17">
        <f t="shared" ca="1" si="25"/>
        <v>0</v>
      </c>
      <c r="H118" s="18" t="str">
        <f t="shared" ca="1" si="26"/>
        <v>—</v>
      </c>
      <c r="I118" s="17">
        <f t="shared" ca="1" si="27"/>
        <v>7</v>
      </c>
      <c r="J118" s="18" t="str">
        <f t="shared" ca="1" si="28"/>
        <v>—</v>
      </c>
      <c r="K118" s="17">
        <f t="shared" ca="1" si="29"/>
        <v>7</v>
      </c>
      <c r="L118" s="10">
        <f t="shared" ca="1" si="30"/>
        <v>69</v>
      </c>
      <c r="M118" s="17">
        <f t="shared" ca="1" si="31"/>
        <v>0</v>
      </c>
      <c r="N118" s="18">
        <f t="shared" ca="1" si="32"/>
        <v>18.7</v>
      </c>
      <c r="O118" s="17">
        <f t="shared" ca="1" si="33"/>
        <v>0</v>
      </c>
      <c r="P118" s="18">
        <f t="shared" ca="1" si="34"/>
        <v>22.8</v>
      </c>
      <c r="Q118" s="17">
        <f t="shared" ca="1" si="35"/>
        <v>0</v>
      </c>
      <c r="R118" s="10">
        <f t="shared" ca="1" si="36"/>
        <v>65</v>
      </c>
      <c r="S118" s="17">
        <f t="shared" ca="1" si="37"/>
        <v>0</v>
      </c>
      <c r="T118" s="70">
        <f t="shared" ca="1" si="38"/>
        <v>0.2</v>
      </c>
      <c r="U118" s="17">
        <f t="shared" ca="1" si="39"/>
        <v>0</v>
      </c>
      <c r="V118" s="71">
        <f t="shared" ca="1" si="40"/>
        <v>2</v>
      </c>
      <c r="W118" s="17">
        <f t="shared" ca="1" si="41"/>
        <v>0</v>
      </c>
    </row>
    <row r="119" spans="1:23" x14ac:dyDescent="0.25">
      <c r="A119" s="4">
        <f t="shared" si="21"/>
        <v>32</v>
      </c>
      <c r="B119" t="str">
        <f ca="1">TEXT(DATE(YEAR(Invoer!$A$6),1,1)+INT((ROWS(B$2:B119)-1)/4),"jjjjmmdd")</f>
        <v>19400130</v>
      </c>
      <c r="C119" s="64" t="str">
        <f>IF(MOD(ROWS(C$2:C119)-1,4)=3,"24.00",INDEX(Data,3,2+MOD(ROWS(C$2:C119)-1,4)))</f>
        <v>12.00</v>
      </c>
      <c r="D119" s="18">
        <f t="shared" ca="1" si="22"/>
        <v>761</v>
      </c>
      <c r="E119" s="17">
        <f t="shared" ca="1" si="23"/>
        <v>0</v>
      </c>
      <c r="F119" s="18">
        <f t="shared" ca="1" si="24"/>
        <v>28.9</v>
      </c>
      <c r="G119" s="17">
        <f t="shared" ca="1" si="25"/>
        <v>0</v>
      </c>
      <c r="H119" s="18" t="str">
        <f t="shared" ca="1" si="26"/>
        <v>—</v>
      </c>
      <c r="I119" s="17">
        <f t="shared" ca="1" si="27"/>
        <v>7</v>
      </c>
      <c r="J119" s="18" t="str">
        <f t="shared" ca="1" si="28"/>
        <v>—</v>
      </c>
      <c r="K119" s="17">
        <f t="shared" ca="1" si="29"/>
        <v>7</v>
      </c>
      <c r="L119" s="10">
        <f t="shared" ca="1" si="30"/>
        <v>63</v>
      </c>
      <c r="M119" s="17">
        <f t="shared" ca="1" si="31"/>
        <v>0</v>
      </c>
      <c r="N119" s="18">
        <f t="shared" ca="1" si="32"/>
        <v>18.8</v>
      </c>
      <c r="O119" s="17">
        <f t="shared" ca="1" si="33"/>
        <v>0</v>
      </c>
      <c r="P119" s="18">
        <f t="shared" ca="1" si="34"/>
        <v>23.4</v>
      </c>
      <c r="Q119" s="17">
        <f t="shared" ca="1" si="35"/>
        <v>0</v>
      </c>
      <c r="R119" s="10">
        <f t="shared" ca="1" si="36"/>
        <v>65</v>
      </c>
      <c r="S119" s="17">
        <f t="shared" ca="1" si="37"/>
        <v>0</v>
      </c>
      <c r="T119" s="70">
        <f t="shared" ca="1" si="38"/>
        <v>0.3</v>
      </c>
      <c r="U119" s="17">
        <f t="shared" ca="1" si="39"/>
        <v>0</v>
      </c>
      <c r="V119" s="71">
        <f t="shared" ca="1" si="40"/>
        <v>3</v>
      </c>
      <c r="W119" s="17">
        <f t="shared" ca="1" si="41"/>
        <v>0</v>
      </c>
    </row>
    <row r="120" spans="1:23" x14ac:dyDescent="0.25">
      <c r="A120" s="4">
        <f t="shared" si="21"/>
        <v>32</v>
      </c>
      <c r="B120" t="str">
        <f ca="1">TEXT(DATE(YEAR(Invoer!$A$6),1,1)+INT((ROWS(B$2:B120)-1)/4),"jjjjmmdd")</f>
        <v>19400130</v>
      </c>
      <c r="C120" s="64" t="str">
        <f>IF(MOD(ROWS(C$2:C120)-1,4)=3,"24.00",INDEX(Data,3,2+MOD(ROWS(C$2:C120)-1,4)))</f>
        <v>17.00</v>
      </c>
      <c r="D120" s="18">
        <f t="shared" ca="1" si="22"/>
        <v>760</v>
      </c>
      <c r="E120" s="17">
        <f t="shared" ca="1" si="23"/>
        <v>0</v>
      </c>
      <c r="F120" s="18">
        <f t="shared" ca="1" si="24"/>
        <v>26.9</v>
      </c>
      <c r="G120" s="17">
        <f t="shared" ca="1" si="25"/>
        <v>0</v>
      </c>
      <c r="H120" s="18" t="str">
        <f t="shared" ca="1" si="26"/>
        <v>—</v>
      </c>
      <c r="I120" s="17">
        <f t="shared" ca="1" si="27"/>
        <v>7</v>
      </c>
      <c r="J120" s="18" t="str">
        <f t="shared" ca="1" si="28"/>
        <v>—</v>
      </c>
      <c r="K120" s="17">
        <f t="shared" ca="1" si="29"/>
        <v>7</v>
      </c>
      <c r="L120" s="10">
        <f t="shared" ca="1" si="30"/>
        <v>69</v>
      </c>
      <c r="M120" s="17">
        <f t="shared" ca="1" si="31"/>
        <v>0</v>
      </c>
      <c r="N120" s="18">
        <f t="shared" ca="1" si="32"/>
        <v>18.399999999999999</v>
      </c>
      <c r="O120" s="17">
        <f t="shared" ca="1" si="33"/>
        <v>0</v>
      </c>
      <c r="P120" s="18">
        <f t="shared" ca="1" si="34"/>
        <v>22.6</v>
      </c>
      <c r="Q120" s="17">
        <f t="shared" ca="1" si="35"/>
        <v>0</v>
      </c>
      <c r="R120" s="10">
        <f t="shared" ca="1" si="36"/>
        <v>65</v>
      </c>
      <c r="S120" s="17">
        <f t="shared" ca="1" si="37"/>
        <v>0</v>
      </c>
      <c r="T120" s="70">
        <f t="shared" ca="1" si="38"/>
        <v>0.4</v>
      </c>
      <c r="U120" s="17">
        <f t="shared" ca="1" si="39"/>
        <v>0</v>
      </c>
      <c r="V120" s="71">
        <f t="shared" ca="1" si="40"/>
        <v>2</v>
      </c>
      <c r="W120" s="17">
        <f t="shared" ca="1" si="41"/>
        <v>0</v>
      </c>
    </row>
    <row r="121" spans="1:23" x14ac:dyDescent="0.25">
      <c r="A121" s="4">
        <f t="shared" si="21"/>
        <v>32</v>
      </c>
      <c r="B121" t="str">
        <f ca="1">TEXT(DATE(YEAR(Invoer!$A$6),1,1)+INT((ROWS(B$2:B121)-1)/4),"jjjjmmdd")</f>
        <v>19400130</v>
      </c>
      <c r="C121" s="64" t="str">
        <f>IF(MOD(ROWS(C$2:C121)-1,4)=3,"24.00",INDEX(Data,3,2+MOD(ROWS(C$2:C121)-1,4)))</f>
        <v>24.00</v>
      </c>
      <c r="D121" s="18" t="str">
        <f t="shared" ca="1" si="22"/>
        <v>—</v>
      </c>
      <c r="E121" s="17">
        <f t="shared" ca="1" si="23"/>
        <v>7</v>
      </c>
      <c r="F121" s="18" t="str">
        <f t="shared" ca="1" si="24"/>
        <v>—</v>
      </c>
      <c r="G121" s="17">
        <f t="shared" ca="1" si="25"/>
        <v>7</v>
      </c>
      <c r="H121" s="18">
        <f t="shared" ca="1" si="26"/>
        <v>27.8</v>
      </c>
      <c r="I121" s="17">
        <f t="shared" ca="1" si="27"/>
        <v>0</v>
      </c>
      <c r="J121" s="18">
        <f t="shared" ca="1" si="28"/>
        <v>30.6</v>
      </c>
      <c r="K121" s="17">
        <f t="shared" ca="1" si="29"/>
        <v>0</v>
      </c>
      <c r="L121" s="10" t="str">
        <f t="shared" ca="1" si="30"/>
        <v>—</v>
      </c>
      <c r="M121" s="17">
        <f t="shared" ca="1" si="31"/>
        <v>7</v>
      </c>
      <c r="N121" s="18" t="str">
        <f t="shared" ca="1" si="32"/>
        <v>—</v>
      </c>
      <c r="O121" s="17">
        <f t="shared" ca="1" si="33"/>
        <v>7</v>
      </c>
      <c r="P121" s="18" t="str">
        <f t="shared" ca="1" si="34"/>
        <v>—</v>
      </c>
      <c r="Q121" s="17">
        <f t="shared" ca="1" si="35"/>
        <v>7</v>
      </c>
      <c r="R121" s="10" t="str">
        <f t="shared" ca="1" si="36"/>
        <v>—</v>
      </c>
      <c r="S121" s="17">
        <f t="shared" ca="1" si="37"/>
        <v>7</v>
      </c>
      <c r="T121" s="70" t="str">
        <f t="shared" ca="1" si="38"/>
        <v>—</v>
      </c>
      <c r="U121" s="17">
        <f t="shared" ca="1" si="39"/>
        <v>7</v>
      </c>
      <c r="V121" s="71" t="str">
        <f t="shared" ca="1" si="40"/>
        <v>—</v>
      </c>
      <c r="W121" s="17">
        <f t="shared" ca="1" si="41"/>
        <v>7</v>
      </c>
    </row>
    <row r="122" spans="1:23" x14ac:dyDescent="0.25">
      <c r="A122" s="4">
        <f t="shared" si="21"/>
        <v>32</v>
      </c>
      <c r="B122" t="str">
        <f ca="1">TEXT(DATE(YEAR(Invoer!$A$6),1,1)+INT((ROWS(B$2:B122)-1)/4),"jjjjmmdd")</f>
        <v>19400131</v>
      </c>
      <c r="C122" s="64" t="str">
        <f>IF(MOD(ROWS(C$2:C122)-1,4)=3,"24.00",INDEX(Data,3,2+MOD(ROWS(C$2:C122)-1,4)))</f>
        <v>07.00</v>
      </c>
      <c r="D122" s="18">
        <f t="shared" ca="1" si="22"/>
        <v>760.2</v>
      </c>
      <c r="E122" s="17">
        <f t="shared" ca="1" si="23"/>
        <v>0</v>
      </c>
      <c r="F122" s="18">
        <f t="shared" ca="1" si="24"/>
        <v>27.4</v>
      </c>
      <c r="G122" s="17">
        <f t="shared" ca="1" si="25"/>
        <v>0</v>
      </c>
      <c r="H122" s="18" t="str">
        <f t="shared" ca="1" si="26"/>
        <v>—</v>
      </c>
      <c r="I122" s="17">
        <f t="shared" ca="1" si="27"/>
        <v>7</v>
      </c>
      <c r="J122" s="18" t="str">
        <f t="shared" ca="1" si="28"/>
        <v>—</v>
      </c>
      <c r="K122" s="17">
        <f t="shared" ca="1" si="29"/>
        <v>7</v>
      </c>
      <c r="L122" s="10">
        <f t="shared" ca="1" si="30"/>
        <v>75</v>
      </c>
      <c r="M122" s="17">
        <f t="shared" ca="1" si="31"/>
        <v>0</v>
      </c>
      <c r="N122" s="18">
        <f t="shared" ca="1" si="32"/>
        <v>20.7</v>
      </c>
      <c r="O122" s="17">
        <f t="shared" ca="1" si="33"/>
        <v>0</v>
      </c>
      <c r="P122" s="18">
        <f t="shared" ca="1" si="34"/>
        <v>24</v>
      </c>
      <c r="Q122" s="17">
        <f t="shared" ca="1" si="35"/>
        <v>0</v>
      </c>
      <c r="R122" s="10">
        <f t="shared" ca="1" si="36"/>
        <v>65</v>
      </c>
      <c r="S122" s="17">
        <f t="shared" ca="1" si="37"/>
        <v>0</v>
      </c>
      <c r="T122" s="70">
        <f t="shared" ca="1" si="38"/>
        <v>0.3</v>
      </c>
      <c r="U122" s="17">
        <f t="shared" ca="1" si="39"/>
        <v>0</v>
      </c>
      <c r="V122" s="71">
        <f t="shared" ca="1" si="40"/>
        <v>1</v>
      </c>
      <c r="W122" s="17">
        <f t="shared" ca="1" si="41"/>
        <v>0</v>
      </c>
    </row>
    <row r="123" spans="1:23" x14ac:dyDescent="0.25">
      <c r="A123" s="4">
        <f t="shared" si="21"/>
        <v>32</v>
      </c>
      <c r="B123" t="str">
        <f ca="1">TEXT(DATE(YEAR(Invoer!$A$6),1,1)+INT((ROWS(B$2:B123)-1)/4),"jjjjmmdd")</f>
        <v>19400131</v>
      </c>
      <c r="C123" s="64" t="str">
        <f>IF(MOD(ROWS(C$2:C123)-1,4)=3,"24.00",INDEX(Data,3,2+MOD(ROWS(C$2:C123)-1,4)))</f>
        <v>12.00</v>
      </c>
      <c r="D123" s="18">
        <f t="shared" ca="1" si="22"/>
        <v>759.7</v>
      </c>
      <c r="E123" s="17">
        <f t="shared" ca="1" si="23"/>
        <v>0</v>
      </c>
      <c r="F123" s="18">
        <f t="shared" ca="1" si="24"/>
        <v>28.9</v>
      </c>
      <c r="G123" s="17">
        <f t="shared" ca="1" si="25"/>
        <v>0</v>
      </c>
      <c r="H123" s="18" t="str">
        <f t="shared" ca="1" si="26"/>
        <v>—</v>
      </c>
      <c r="I123" s="17">
        <f t="shared" ca="1" si="27"/>
        <v>7</v>
      </c>
      <c r="J123" s="18" t="str">
        <f t="shared" ca="1" si="28"/>
        <v>—</v>
      </c>
      <c r="K123" s="17">
        <f t="shared" ca="1" si="29"/>
        <v>7</v>
      </c>
      <c r="L123" s="10">
        <f t="shared" ca="1" si="30"/>
        <v>70</v>
      </c>
      <c r="M123" s="17">
        <f t="shared" ca="1" si="31"/>
        <v>0</v>
      </c>
      <c r="N123" s="18">
        <f t="shared" ca="1" si="32"/>
        <v>21.1</v>
      </c>
      <c r="O123" s="17">
        <f t="shared" ca="1" si="33"/>
        <v>0</v>
      </c>
      <c r="P123" s="18">
        <f t="shared" ca="1" si="34"/>
        <v>24.6</v>
      </c>
      <c r="Q123" s="17">
        <f t="shared" ca="1" si="35"/>
        <v>0</v>
      </c>
      <c r="R123" s="10">
        <f t="shared" ca="1" si="36"/>
        <v>65</v>
      </c>
      <c r="S123" s="17">
        <f t="shared" ca="1" si="37"/>
        <v>0</v>
      </c>
      <c r="T123" s="70">
        <f t="shared" ca="1" si="38"/>
        <v>0.3</v>
      </c>
      <c r="U123" s="17">
        <f t="shared" ca="1" si="39"/>
        <v>0</v>
      </c>
      <c r="V123" s="71">
        <f t="shared" ca="1" si="40"/>
        <v>2</v>
      </c>
      <c r="W123" s="17">
        <f t="shared" ca="1" si="41"/>
        <v>0</v>
      </c>
    </row>
    <row r="124" spans="1:23" x14ac:dyDescent="0.25">
      <c r="A124" s="4">
        <f t="shared" si="21"/>
        <v>32</v>
      </c>
      <c r="B124" t="str">
        <f ca="1">TEXT(DATE(YEAR(Invoer!$A$6),1,1)+INT((ROWS(B$2:B124)-1)/4),"jjjjmmdd")</f>
        <v>19400131</v>
      </c>
      <c r="C124" s="64" t="str">
        <f>IF(MOD(ROWS(C$2:C124)-1,4)=3,"24.00",INDEX(Data,3,2+MOD(ROWS(C$2:C124)-1,4)))</f>
        <v>17.00</v>
      </c>
      <c r="D124" s="18">
        <f t="shared" ca="1" si="22"/>
        <v>759.5</v>
      </c>
      <c r="E124" s="17">
        <f t="shared" ca="1" si="23"/>
        <v>0</v>
      </c>
      <c r="F124" s="18">
        <f t="shared" ca="1" si="24"/>
        <v>28.1</v>
      </c>
      <c r="G124" s="17">
        <f t="shared" ca="1" si="25"/>
        <v>0</v>
      </c>
      <c r="H124" s="18" t="str">
        <f t="shared" ca="1" si="26"/>
        <v>—</v>
      </c>
      <c r="I124" s="17">
        <f t="shared" ca="1" si="27"/>
        <v>7</v>
      </c>
      <c r="J124" s="18" t="str">
        <f t="shared" ca="1" si="28"/>
        <v>—</v>
      </c>
      <c r="K124" s="17">
        <f t="shared" ca="1" si="29"/>
        <v>7</v>
      </c>
      <c r="L124" s="10">
        <f t="shared" ca="1" si="30"/>
        <v>71</v>
      </c>
      <c r="M124" s="17">
        <f t="shared" ca="1" si="31"/>
        <v>0</v>
      </c>
      <c r="N124" s="18">
        <f t="shared" ca="1" si="32"/>
        <v>20.3</v>
      </c>
      <c r="O124" s="17">
        <f t="shared" ca="1" si="33"/>
        <v>0</v>
      </c>
      <c r="P124" s="18">
        <f t="shared" ca="1" si="34"/>
        <v>24</v>
      </c>
      <c r="Q124" s="17">
        <f t="shared" ca="1" si="35"/>
        <v>0</v>
      </c>
      <c r="R124" s="10">
        <f t="shared" ca="1" si="36"/>
        <v>65</v>
      </c>
      <c r="S124" s="17">
        <f t="shared" ca="1" si="37"/>
        <v>0</v>
      </c>
      <c r="T124" s="70">
        <f t="shared" ca="1" si="38"/>
        <v>0.4</v>
      </c>
      <c r="U124" s="17">
        <f t="shared" ca="1" si="39"/>
        <v>0</v>
      </c>
      <c r="V124" s="71">
        <f t="shared" ca="1" si="40"/>
        <v>2</v>
      </c>
      <c r="W124" s="17">
        <f t="shared" ca="1" si="41"/>
        <v>0</v>
      </c>
    </row>
    <row r="125" spans="1:23" x14ac:dyDescent="0.25">
      <c r="A125" s="4">
        <f t="shared" si="21"/>
        <v>32</v>
      </c>
      <c r="B125" t="str">
        <f ca="1">TEXT(DATE(YEAR(Invoer!$A$6),1,1)+INT((ROWS(B$2:B125)-1)/4),"jjjjmmdd")</f>
        <v>19400131</v>
      </c>
      <c r="C125" s="64" t="str">
        <f>IF(MOD(ROWS(C$2:C125)-1,4)=3,"24.00",INDEX(Data,3,2+MOD(ROWS(C$2:C125)-1,4)))</f>
        <v>24.00</v>
      </c>
      <c r="D125" s="18" t="str">
        <f t="shared" ca="1" si="22"/>
        <v>—</v>
      </c>
      <c r="E125" s="17">
        <f t="shared" ca="1" si="23"/>
        <v>7</v>
      </c>
      <c r="F125" s="18" t="str">
        <f t="shared" ca="1" si="24"/>
        <v>—</v>
      </c>
      <c r="G125" s="17">
        <f t="shared" ca="1" si="25"/>
        <v>7</v>
      </c>
      <c r="H125" s="18">
        <f t="shared" ca="1" si="26"/>
        <v>28.3</v>
      </c>
      <c r="I125" s="17">
        <f t="shared" ca="1" si="27"/>
        <v>0</v>
      </c>
      <c r="J125" s="18">
        <f t="shared" ca="1" si="28"/>
        <v>30.6</v>
      </c>
      <c r="K125" s="17">
        <f t="shared" ca="1" si="29"/>
        <v>0</v>
      </c>
      <c r="L125" s="10" t="str">
        <f t="shared" ca="1" si="30"/>
        <v>—</v>
      </c>
      <c r="M125" s="17">
        <f t="shared" ca="1" si="31"/>
        <v>7</v>
      </c>
      <c r="N125" s="18" t="str">
        <f t="shared" ca="1" si="32"/>
        <v>—</v>
      </c>
      <c r="O125" s="17">
        <f t="shared" ca="1" si="33"/>
        <v>7</v>
      </c>
      <c r="P125" s="18" t="str">
        <f t="shared" ca="1" si="34"/>
        <v>—</v>
      </c>
      <c r="Q125" s="17">
        <f t="shared" ca="1" si="35"/>
        <v>7</v>
      </c>
      <c r="R125" s="10" t="str">
        <f t="shared" ca="1" si="36"/>
        <v>—</v>
      </c>
      <c r="S125" s="17">
        <f t="shared" ca="1" si="37"/>
        <v>7</v>
      </c>
      <c r="T125" s="70" t="str">
        <f t="shared" ca="1" si="38"/>
        <v>—</v>
      </c>
      <c r="U125" s="17">
        <f t="shared" ca="1" si="39"/>
        <v>7</v>
      </c>
      <c r="V125" s="71" t="str">
        <f t="shared" ca="1" si="40"/>
        <v>—</v>
      </c>
      <c r="W125" s="17">
        <f t="shared" ca="1" si="41"/>
        <v>7</v>
      </c>
    </row>
    <row r="126" spans="1:23" x14ac:dyDescent="0.25">
      <c r="A126" s="4">
        <f t="shared" si="21"/>
        <v>32</v>
      </c>
      <c r="B126" t="str">
        <f ca="1">TEXT(DATE(YEAR(Invoer!$A$6),1,1)+INT((ROWS(B$2:B126)-1)/4),"jjjjmmdd")</f>
        <v>19400201</v>
      </c>
      <c r="C126" s="64" t="str">
        <f>IF(MOD(ROWS(C$2:C126)-1,4)=3,"24.00",INDEX(Data,3,2+MOD(ROWS(C$2:C126)-1,4)))</f>
        <v>07.00</v>
      </c>
      <c r="D126" s="18">
        <f t="shared" ca="1" si="22"/>
        <v>759.2</v>
      </c>
      <c r="E126" s="17">
        <f t="shared" ca="1" si="23"/>
        <v>0</v>
      </c>
      <c r="F126" s="18">
        <f t="shared" ca="1" si="24"/>
        <v>26.7</v>
      </c>
      <c r="G126" s="17">
        <f t="shared" ca="1" si="25"/>
        <v>0</v>
      </c>
      <c r="H126" s="18" t="str">
        <f t="shared" ca="1" si="26"/>
        <v>—</v>
      </c>
      <c r="I126" s="17">
        <f t="shared" ca="1" si="27"/>
        <v>7</v>
      </c>
      <c r="J126" s="18" t="str">
        <f t="shared" ca="1" si="28"/>
        <v>—</v>
      </c>
      <c r="K126" s="17">
        <f t="shared" ca="1" si="29"/>
        <v>7</v>
      </c>
      <c r="L126" s="10">
        <f t="shared" ca="1" si="30"/>
        <v>79</v>
      </c>
      <c r="M126" s="17">
        <f t="shared" ca="1" si="31"/>
        <v>0</v>
      </c>
      <c r="N126" s="18">
        <f t="shared" ca="1" si="32"/>
        <v>20.8</v>
      </c>
      <c r="O126" s="17">
        <f t="shared" ca="1" si="33"/>
        <v>0</v>
      </c>
      <c r="P126" s="18">
        <f t="shared" ca="1" si="34"/>
        <v>23.9</v>
      </c>
      <c r="Q126" s="17">
        <f t="shared" ca="1" si="35"/>
        <v>0</v>
      </c>
      <c r="R126" s="10">
        <f t="shared" ca="1" si="36"/>
        <v>45</v>
      </c>
      <c r="S126" s="17">
        <f t="shared" ca="1" si="37"/>
        <v>0</v>
      </c>
      <c r="T126" s="70">
        <f t="shared" ca="1" si="38"/>
        <v>0.2</v>
      </c>
      <c r="U126" s="17">
        <f t="shared" ca="1" si="39"/>
        <v>0</v>
      </c>
      <c r="V126" s="71">
        <f t="shared" ca="1" si="40"/>
        <v>2</v>
      </c>
      <c r="W126" s="17">
        <f t="shared" ca="1" si="41"/>
        <v>0</v>
      </c>
    </row>
    <row r="127" spans="1:23" x14ac:dyDescent="0.25">
      <c r="A127" s="4">
        <f t="shared" si="21"/>
        <v>32</v>
      </c>
      <c r="B127" t="str">
        <f ca="1">TEXT(DATE(YEAR(Invoer!$A$6),1,1)+INT((ROWS(B$2:B127)-1)/4),"jjjjmmdd")</f>
        <v>19400201</v>
      </c>
      <c r="C127" s="64" t="str">
        <f>IF(MOD(ROWS(C$2:C127)-1,4)=3,"24.00",INDEX(Data,3,2+MOD(ROWS(C$2:C127)-1,4)))</f>
        <v>12.00</v>
      </c>
      <c r="D127" s="18">
        <f t="shared" ca="1" si="22"/>
        <v>759.5</v>
      </c>
      <c r="E127" s="17">
        <f t="shared" ca="1" si="23"/>
        <v>0</v>
      </c>
      <c r="F127" s="18">
        <f t="shared" ca="1" si="24"/>
        <v>26.9</v>
      </c>
      <c r="G127" s="17">
        <f t="shared" ca="1" si="25"/>
        <v>0</v>
      </c>
      <c r="H127" s="18" t="str">
        <f t="shared" ca="1" si="26"/>
        <v>—</v>
      </c>
      <c r="I127" s="17">
        <f t="shared" ca="1" si="27"/>
        <v>7</v>
      </c>
      <c r="J127" s="18" t="str">
        <f t="shared" ca="1" si="28"/>
        <v>—</v>
      </c>
      <c r="K127" s="17">
        <f t="shared" ca="1" si="29"/>
        <v>7</v>
      </c>
      <c r="L127" s="10">
        <f t="shared" ca="1" si="30"/>
        <v>79</v>
      </c>
      <c r="M127" s="17">
        <f t="shared" ca="1" si="31"/>
        <v>0</v>
      </c>
      <c r="N127" s="18">
        <f t="shared" ca="1" si="32"/>
        <v>20.9</v>
      </c>
      <c r="O127" s="17">
        <f t="shared" ca="1" si="33"/>
        <v>0</v>
      </c>
      <c r="P127" s="18">
        <f t="shared" ca="1" si="34"/>
        <v>24</v>
      </c>
      <c r="Q127" s="17">
        <f t="shared" ca="1" si="35"/>
        <v>0</v>
      </c>
      <c r="R127" s="10">
        <f t="shared" ca="1" si="36"/>
        <v>45</v>
      </c>
      <c r="S127" s="17">
        <f t="shared" ca="1" si="37"/>
        <v>0</v>
      </c>
      <c r="T127" s="70">
        <f t="shared" ca="1" si="38"/>
        <v>0.3</v>
      </c>
      <c r="U127" s="17">
        <f t="shared" ca="1" si="39"/>
        <v>0</v>
      </c>
      <c r="V127" s="71">
        <f t="shared" ca="1" si="40"/>
        <v>3</v>
      </c>
      <c r="W127" s="17">
        <f t="shared" ca="1" si="41"/>
        <v>0</v>
      </c>
    </row>
    <row r="128" spans="1:23" x14ac:dyDescent="0.25">
      <c r="A128" s="4">
        <f t="shared" si="21"/>
        <v>32</v>
      </c>
      <c r="B128" t="str">
        <f ca="1">TEXT(DATE(YEAR(Invoer!$A$6),1,1)+INT((ROWS(B$2:B128)-1)/4),"jjjjmmdd")</f>
        <v>19400201</v>
      </c>
      <c r="C128" s="64" t="str">
        <f>IF(MOD(ROWS(C$2:C128)-1,4)=3,"24.00",INDEX(Data,3,2+MOD(ROWS(C$2:C128)-1,4)))</f>
        <v>17.00</v>
      </c>
      <c r="D128" s="18">
        <f t="shared" ca="1" si="22"/>
        <v>759.5</v>
      </c>
      <c r="E128" s="17">
        <f t="shared" ca="1" si="23"/>
        <v>0</v>
      </c>
      <c r="F128" s="18">
        <f t="shared" ca="1" si="24"/>
        <v>27.4</v>
      </c>
      <c r="G128" s="17">
        <f t="shared" ca="1" si="25"/>
        <v>0</v>
      </c>
      <c r="H128" s="18" t="str">
        <f t="shared" ca="1" si="26"/>
        <v>—</v>
      </c>
      <c r="I128" s="17">
        <f t="shared" ca="1" si="27"/>
        <v>7</v>
      </c>
      <c r="J128" s="18" t="str">
        <f t="shared" ca="1" si="28"/>
        <v>—</v>
      </c>
      <c r="K128" s="17">
        <f t="shared" ca="1" si="29"/>
        <v>7</v>
      </c>
      <c r="L128" s="10">
        <f t="shared" ca="1" si="30"/>
        <v>74</v>
      </c>
      <c r="M128" s="17">
        <f t="shared" ca="1" si="31"/>
        <v>0</v>
      </c>
      <c r="N128" s="18">
        <f t="shared" ca="1" si="32"/>
        <v>20.3</v>
      </c>
      <c r="O128" s="17">
        <f t="shared" ca="1" si="33"/>
        <v>0</v>
      </c>
      <c r="P128" s="18">
        <f t="shared" ca="1" si="34"/>
        <v>23.8</v>
      </c>
      <c r="Q128" s="17">
        <f t="shared" ca="1" si="35"/>
        <v>0</v>
      </c>
      <c r="R128" s="10">
        <f t="shared" ca="1" si="36"/>
        <v>45</v>
      </c>
      <c r="S128" s="17">
        <f t="shared" ca="1" si="37"/>
        <v>0</v>
      </c>
      <c r="T128" s="70">
        <f t="shared" ca="1" si="38"/>
        <v>0.4</v>
      </c>
      <c r="U128" s="17">
        <f t="shared" ca="1" si="39"/>
        <v>0</v>
      </c>
      <c r="V128" s="71">
        <f t="shared" ca="1" si="40"/>
        <v>3</v>
      </c>
      <c r="W128" s="17">
        <f t="shared" ca="1" si="41"/>
        <v>0</v>
      </c>
    </row>
    <row r="129" spans="1:23" x14ac:dyDescent="0.25">
      <c r="A129" s="4">
        <f t="shared" si="21"/>
        <v>32</v>
      </c>
      <c r="B129" t="str">
        <f ca="1">TEXT(DATE(YEAR(Invoer!$A$6),1,1)+INT((ROWS(B$2:B129)-1)/4),"jjjjmmdd")</f>
        <v>19400201</v>
      </c>
      <c r="C129" s="64" t="str">
        <f>IF(MOD(ROWS(C$2:C129)-1,4)=3,"24.00",INDEX(Data,3,2+MOD(ROWS(C$2:C129)-1,4)))</f>
        <v>24.00</v>
      </c>
      <c r="D129" s="18" t="str">
        <f t="shared" ca="1" si="22"/>
        <v>—</v>
      </c>
      <c r="E129" s="17">
        <f t="shared" ca="1" si="23"/>
        <v>7</v>
      </c>
      <c r="F129" s="18" t="str">
        <f t="shared" ca="1" si="24"/>
        <v>—</v>
      </c>
      <c r="G129" s="17">
        <f t="shared" ca="1" si="25"/>
        <v>7</v>
      </c>
      <c r="H129" s="18">
        <f t="shared" ca="1" si="26"/>
        <v>28.5</v>
      </c>
      <c r="I129" s="17">
        <f t="shared" ca="1" si="27"/>
        <v>0</v>
      </c>
      <c r="J129" s="18">
        <f t="shared" ca="1" si="28"/>
        <v>30</v>
      </c>
      <c r="K129" s="17">
        <f t="shared" ca="1" si="29"/>
        <v>0</v>
      </c>
      <c r="L129" s="10" t="str">
        <f t="shared" ca="1" si="30"/>
        <v>—</v>
      </c>
      <c r="M129" s="17">
        <f t="shared" ca="1" si="31"/>
        <v>7</v>
      </c>
      <c r="N129" s="18" t="str">
        <f t="shared" ca="1" si="32"/>
        <v>—</v>
      </c>
      <c r="O129" s="17">
        <f t="shared" ca="1" si="33"/>
        <v>7</v>
      </c>
      <c r="P129" s="18" t="str">
        <f t="shared" ca="1" si="34"/>
        <v>—</v>
      </c>
      <c r="Q129" s="17">
        <f t="shared" ca="1" si="35"/>
        <v>7</v>
      </c>
      <c r="R129" s="10" t="str">
        <f t="shared" ca="1" si="36"/>
        <v>—</v>
      </c>
      <c r="S129" s="17">
        <f t="shared" ca="1" si="37"/>
        <v>7</v>
      </c>
      <c r="T129" s="70" t="str">
        <f t="shared" ca="1" si="38"/>
        <v>—</v>
      </c>
      <c r="U129" s="17">
        <f t="shared" ca="1" si="39"/>
        <v>7</v>
      </c>
      <c r="V129" s="71" t="str">
        <f t="shared" ca="1" si="40"/>
        <v>—</v>
      </c>
      <c r="W129" s="17">
        <f t="shared" ca="1" si="41"/>
        <v>7</v>
      </c>
    </row>
    <row r="130" spans="1:23" x14ac:dyDescent="0.25">
      <c r="A130" s="4">
        <f t="shared" ref="A130:A193" si="42">INDEX(Stations,2,1)</f>
        <v>32</v>
      </c>
      <c r="B130" t="str">
        <f ca="1">TEXT(DATE(YEAR(Invoer!$A$6),1,1)+INT((ROWS(B$2:B130)-1)/4),"jjjjmmdd")</f>
        <v>19400202</v>
      </c>
      <c r="C130" s="64" t="str">
        <f>IF(MOD(ROWS(C$2:C130)-1,4)=3,"24.00",INDEX(Data,3,2+MOD(ROWS(C$2:C130)-1,4)))</f>
        <v>07.00</v>
      </c>
      <c r="D130" s="18">
        <f t="shared" ref="D130:D193" ca="1" si="43">IF(OR(ISBLANK(VLOOKUP(DATEVALUE(LEFT($B130,4)&amp;"-"&amp;MID($B130,5,2)&amp;"-"&amp;RIGHT($B130,2)),Data,MATCH(LEFT(VLOOKUP(D$1,Parameters,2,FALSE()),4)&amp;"*",OFFSET(Data,0,0,1),0)+MATCH($C130,OFFSET(Data,2,0,1),0)-2,FALSE())),ISTEXT(VLOOKUP(DATEVALUE(LEFT($B130,4)&amp;"-"&amp;MID($B130,5,2)&amp;"-"&amp;RIGHT($B130,2)),Data,MATCH(LEFT(VLOOKUP(D$1,Parameters,2,FALSE()),4)&amp;"*",OFFSET(Data,0,0,1),0)+MATCH($C130,OFFSET(Data,2,0,1),0)-2,FALSE())),EXACT($C130,"24.00")),"—",VLOOKUP(DATEVALUE(LEFT($B130,4)&amp;"-"&amp;MID($B130,5,2)&amp;"-"&amp;RIGHT($B130,2)),Data,MATCH(LEFT(VLOOKUP(D$1,Parameters,2,FALSE()),4)&amp;"*",OFFSET(Data,0,0,1),0)+MATCH($C130,OFFSET(Data,2,0,1),0)-2,FALSE())/10)</f>
        <v>759.5</v>
      </c>
      <c r="E130" s="17">
        <f t="shared" ref="E130:E193" ca="1" si="44">IF(OR(ISBLANK(VLOOKUP(DATEVALUE(LEFT($B130,4)&amp;"-"&amp;MID($B130,5,2)&amp;"-"&amp;RIGHT($B130,2)),Data,MATCH(LEFT(VLOOKUP(MID(E$1,2,LEN(E$1)-1),Parameters,2,FALSE()),4)&amp;"*",OFFSET(Data,0,0,1),0)+MATCH($C130,OFFSET(Data,2,0,1),0)-2,FALSE())),ISTEXT(VLOOKUP(DATEVALUE(LEFT($B130,4)&amp;"-"&amp;MID($B130,5,2)&amp;"-"&amp;RIGHT($B130,2)),Data,MATCH(LEFT(VLOOKUP(MID(E$1,2,LEN(E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Data,2,0,1),0)-2,FALSE())))</f>
        <v>0</v>
      </c>
      <c r="F130" s="18">
        <f t="shared" ref="F130:F193" ca="1" si="45">IF(OR(ISBLANK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ISTEXT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EXACT($C130,"24.00")),"—",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/10)</f>
        <v>25.9</v>
      </c>
      <c r="G130" s="17">
        <f t="shared" ref="G130:G193" ca="1" si="46">IF(OR(ISBLANK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ISTEXT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G$1,2,LEN(G$1)-1),Parameters,2,FALSE()),FIND(LOWER(MID(G$1,2,1)),VLOOKUP(MID(G$1,2,LEN(G$1)-1),Parameters,2,FALSE()),5),4)&amp;"*",OFFSET(Catalogus,0,0,1),0)+2*MATCH($C130,OFFSET(Catalogus,2,0,1),0)+MATCH(LEFT(VLOOKUP(MID(G$1,2,LEN(G$1)-1),Parameters,2,FALSE()),3)&amp;"*",OFFSET(Catalogus,2,4,1),0)-5,FALSE())))</f>
        <v>0</v>
      </c>
      <c r="H130" s="18" t="str">
        <f t="shared" ref="H130:H193" ca="1" si="47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/10)</f>
        <v>—</v>
      </c>
      <c r="I130" s="17">
        <f t="shared" ref="I130:I193" ca="1" si="48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7</v>
      </c>
      <c r="J130" s="18" t="str">
        <f t="shared" ref="J130:J193" ca="1" si="49">IF(OR(ISBLANK(VLOOKUP(DATEVALUE(LEFT($B130,4)&amp;"-"&amp;MID($B130,5,2)&amp;"-"&amp;RIGHT($B130,2)),Data,MATCH(LEFT(VLOOKUP(J$1,Parameters,2,FALSE()),4)&amp;"*",OFFSET(Data,1,0,1),0),FALSE())),ISTEXT(VLOOKUP(DATEVALUE(LEFT($B130,4)&amp;"-"&amp;MID($B130,5,2)&amp;"-"&amp;RIGHT($B130,2)),Data,MATCH(LEFT(VLOOKUP(J$1,Parameters,2,FALSE()),4)&amp;"*",OFFSET(Data,1,0,1),0),FALSE())),NOT(EXACT($C130,"24.00"))),"—",VLOOKUP(DATEVALUE(LEFT($B130,4)&amp;"-"&amp;MID($B130,5,2)&amp;"-"&amp;RIGHT($B130,2)),Data,MATCH(LEFT(VLOOKUP(J$1,Parameters,2,FALSE()),4)&amp;"*",OFFSET(Data,1,0,1),0),FALSE())/10)</f>
        <v>—</v>
      </c>
      <c r="K130" s="17">
        <f t="shared" ref="K130:K193" ca="1" si="50">IF(OR(ISBLANK(VLOOKUP(DATEVALUE(LEFT($B130,4)&amp;"-"&amp;MID($B130,5,2)&amp;"-"&amp;RIGHT($B130,2)),Data,MATCH(LEFT(VLOOKUP(MID(K$1,2,LEN(K$1)-1),Parameters,2,FALSE()),4)&amp;"*",OFFSET(Data,1,0,1),0),FALSE())),ISTEXT(VLOOKUP(DATEVALUE(LEFT($B130,4)&amp;"-"&amp;MID($B130,5,2)&amp;"-"&amp;RIGHT($B130,2)),Data,MATCH(LEFT(VLOOKUP(MID(K$1,2,LEN(K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4)&amp;"*",OFFSET(Catalogus,1,0,1),0),FALSE())))</f>
        <v>7</v>
      </c>
      <c r="L130" s="10">
        <f t="shared" ref="L130:L193" ca="1" si="51">IF(OR(ISBLANK(VLOOKUP(DATEVALUE(LEFT($B130,4)&amp;"-"&amp;MID($B130,5,2)&amp;"-"&amp;RIGHT($B130,2)),Data,MATCH(LEFT(VLOOKUP(L$1,Parameters,2,FALSE()),4)&amp;"*",OFFSET(Data,0,0,1),0)+MATCH($C130,OFFSET(Data,2,0,1),0)-2,FALSE())),ISTEXT(VLOOKUP(DATEVALUE(LEFT($B130,4)&amp;"-"&amp;MID($B130,5,2)&amp;"-"&amp;RIGHT($B130,2)),Data,MATCH(LEFT(VLOOKUP(L$1,Parameters,2,FALSE()),4)&amp;"*",OFFSET(Data,0,0,1),0)+MATCH($C130,OFFSET(Data,2,0,1),0)-2,FALSE())),EXACT($C130,"24.00")),"—",VLOOKUP(DATEVALUE(LEFT($B130,4)&amp;"-"&amp;MID($B130,5,2)&amp;"-"&amp;RIGHT($B130,2)),Data,MATCH(LEFT(VLOOKUP(L$1,Parameters,2,FALSE()),4)&amp;"*",OFFSET(Data,0,0,1),0)+MATCH($C130,OFFSET(Data,2,0,1),0)-2,FALSE()))</f>
        <v>85</v>
      </c>
      <c r="M130" s="17">
        <f t="shared" ref="M130:M193" ca="1" si="52">IF(OR(ISBLANK(VLOOKUP(DATEVALUE(LEFT($B130,4)&amp;"-"&amp;MID($B130,5,2)&amp;"-"&amp;RIGHT($B130,2)),Data,MATCH(LEFT(VLOOKUP(MID(M$1,2,LEN(M$1)-1),Parameters,2,FALSE()),4)&amp;"*",OFFSET(Data,0,0,1),0)+MATCH($C130,OFFSET(Data,2,0,1),0)-2,FALSE())),ISTEXT(VLOOKUP(DATEVALUE(LEFT($B130,4)&amp;"-"&amp;MID($B130,5,2)&amp;"-"&amp;RIGHT($B130,2)),Data,MATCH(LEFT(VLOOKUP(MID(M$1,2,LEN(M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4)&amp;"*",OFFSET(Catalogus,0,0,1),0)+MATCH($C130,OFFSET(Data,2,0,1),0)-2,FALSE())))</f>
        <v>0</v>
      </c>
      <c r="N130" s="18">
        <f t="shared" ref="N130:N193" ca="1" si="53">IF(OR(ISBLANK(VLOOKUP(DATEVALUE(LEFT($B130,4)&amp;"-"&amp;MID($B130,5,2)&amp;"-"&amp;RIGHT($B130,2)),Data,MATCH(LEFT(VLOOKUP(N$1,Parameters,2,FALSE()),4)&amp;"*",OFFSET(Data,0,0,1),0)+MATCH($C130,OFFSET(Data,2,0,1),0)-2,FALSE())),ISTEXT(VLOOKUP(DATEVALUE(LEFT($B130,4)&amp;"-"&amp;MID($B130,5,2)&amp;"-"&amp;RIGHT($B130,2)),Data,MATCH(LEFT(VLOOKUP(N$1,Parameters,2,FALSE()),4)&amp;"*",OFFSET(Data,0,0,1),0)+MATCH($C130,OFFSET(Data,2,0,1),0)-2,FALSE())),EXACT($C130,"24.00")),"—",VLOOKUP(DATEVALUE(LEFT($B130,4)&amp;"-"&amp;MID($B130,5,2)&amp;"-"&amp;RIGHT($B130,2)),Data,MATCH(LEFT(VLOOKUP(N$1,Parameters,2,FALSE()),4)&amp;"*",OFFSET(Data,0,0,1),0)+MATCH($C130,OFFSET(Data,2,0,1),0)-2,FALSE())/10)</f>
        <v>21.4</v>
      </c>
      <c r="O130" s="17">
        <f t="shared" ref="O130:O193" ca="1" si="54">IF(OR(ISBLANK(VLOOKUP(DATEVALUE(LEFT($B130,4)&amp;"-"&amp;MID($B130,5,2)&amp;"-"&amp;RIGHT($B130,2)),Data,MATCH(LEFT(VLOOKUP(MID(O$1,2,LEN(O$1)-1),Parameters,2,FALSE()),4)&amp;"*",OFFSET(Data,0,0,1),0)+MATCH($C130,OFFSET(Data,2,0,1),0)-2,FALSE())),ISTEXT(VLOOKUP(DATEVALUE(LEFT($B130,4)&amp;"-"&amp;MID($B130,5,2)&amp;"-"&amp;RIGHT($B130,2)),Data,MATCH(LEFT(VLOOKUP(MID(O$1,2,LEN(O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4)&amp;"*",OFFSET(Catalogus,0,0,1),0)+MATCH($C130,OFFSET(Data,2,0,1),0)-2,FALSE())))</f>
        <v>0</v>
      </c>
      <c r="P130" s="18">
        <f t="shared" ref="P130:P193" ca="1" si="55">IF(OR(ISBLANK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ISTEXT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EXACT($C130,"24.00")),"—",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/10)</f>
        <v>24</v>
      </c>
      <c r="Q130" s="17">
        <f t="shared" ref="Q130:Q193" ca="1" si="56">IF(OR(ISBLANK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ISTEXT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Q$1,2,LEN(Q$1)-1),Parameters,2,FALSE()),FIND(LOWER(MID(Q$1,2,1)),VLOOKUP(MID(Q$1,2,LEN(Q$1)-1),Parameters,2,FALSE()),5),4)&amp;"*",OFFSET(Catalogus,0,0,1),0)+2*MATCH($C130,OFFSET(Catalogus,2,0,1),0)+MATCH(LEFT(VLOOKUP(MID(Q$1,2,LEN(Q$1)-1),Parameters,2,FALSE()),3)&amp;"*",OFFSET(Catalogus,2,4,1),0)-5,FALSE())))</f>
        <v>0</v>
      </c>
      <c r="R130" s="10">
        <f t="shared" ref="R130:R193" ca="1" si="57">IF(OR(ISBLANK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),ISNA(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1,1,,1),0)),EXACT($C130,"24.00")),"—",INDEX(Windrichting,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0,1,,1),0),1))</f>
        <v>45</v>
      </c>
      <c r="S130" s="17">
        <f t="shared" ref="S130:S193" ca="1" si="58">IF(OR(ISBLANK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),ISNA(MATCH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,OFFSET(Windrichting,1,1,,1),0)),EXACT($C130,"24.00"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4)&amp;"*",OFFSET(Catalogus,0,0,1),0)+2*MATCH($C130,OFFSET(Catalogus,2,0,1),0)+MATCH(MID(VLOOKUP(MID(S$1,2,LEN(S$1)-1),Parameters,2,FALSE()),5,LEN(VLOOKUP(MID(S$1,2,LEN(S$1)-1),Parameters,2,FALSE()))-4)&amp;"*",OFFSET(Catalogus,2,19,1),0)-5,FALSE())))</f>
        <v>0</v>
      </c>
      <c r="T130" s="70">
        <f t="shared" ref="T130:T193" ca="1" si="59">IF(OR(ISBLANK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ISTEXT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EXACT($C130,"24.00")),"—",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/10)</f>
        <v>0.3</v>
      </c>
      <c r="U130" s="17">
        <f t="shared" ref="U130:U193" ca="1" si="60">IF(OR(ISBLANK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ISTEXT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4)&amp;"*",OFFSET(Catalogus,0,0,1),0)+2*MATCH($C130,OFFSET(Catalogus,2,0,1),0)+MATCH(MID(VLOOKUP(MID(U$1,2,LEN(U$1)-1),Parameters,2,FALSE()),5,LEN(VLOOKUP(MID(U$1,2,LEN(U$1)-1),Parameters,2,FALSE()))-4)&amp;"*",OFFSET(Catalogus,2,19,1),0)-5,FALSE())))</f>
        <v>0</v>
      </c>
      <c r="V130" s="71">
        <f t="shared" ref="V130:V193" ca="1" si="61">IF(OR(ISBLANK(VLOOKUP(DATEVALUE(LEFT($B130,4)&amp;"-"&amp;MID($B130,5,2)&amp;"-"&amp;RIGHT($B130,2)),Data,MATCH(LEFT(VLOOKUP(V$1,Parameters,2,FALSE()),4)&amp;"*",OFFSET(Data,0,0,1),0)+MATCH($C130,OFFSET(Data,2,0,1),0)-2,FALSE())),ISTEXT(VLOOKUP(DATEVALUE(LEFT($B130,4)&amp;"-"&amp;MID($B130,5,2)&amp;"-"&amp;RIGHT($B130,2)),Data,MATCH(LEFT(VLOOKUP(V$1,Parameters,2,FALSE()),4)&amp;"*",OFFSET(Data,0,0,1),0)+MATCH($C130,OFFSET(Data,2,0,1),0)-2,FALSE())),EXACT($C130,"24.00")),"—",VLOOKUP(DATEVALUE(LEFT($B130,4)&amp;"-"&amp;MID($B130,5,2)&amp;"-"&amp;RIGHT($B130,2)),Data,MATCH(LEFT(VLOOKUP(V$1,Parameters,2,FALSE()),4)&amp;"*",OFFSET(Data,0,0,1),0)+MATCH($C130,OFFSET(Data,2,0,1),0)-2,FALSE()))</f>
        <v>3</v>
      </c>
      <c r="W130" s="17">
        <f t="shared" ref="W130:W193" ca="1" si="62">IF(OR(ISBLANK(VLOOKUP(DATEVALUE(LEFT($B130,4)&amp;"-"&amp;MID($B130,5,2)&amp;"-"&amp;RIGHT($B130,2)),Data,MATCH(LEFT(VLOOKUP(MID(W$1,2,LEN(W$1)-1),Parameters,2,FALSE()),4)&amp;"*",OFFSET(Data,0,0,1),0)+MATCH($C130,OFFSET(Data,2,0,1),0)-2,FALSE())),ISTEXT(VLOOKUP(DATEVALUE(LEFT($B130,4)&amp;"-"&amp;MID($B130,5,2)&amp;"-"&amp;RIGHT($B130,2)),Data,MATCH(LEFT(VLOOKUP(MID(W$1,2,LEN(W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4)&amp;"*",OFFSET(Catalogus,0,0,1),0)+MATCH($C130,OFFSET(Data,2,0,1),0)-2,FALSE())))</f>
        <v>0</v>
      </c>
    </row>
    <row r="131" spans="1:23" x14ac:dyDescent="0.25">
      <c r="A131" s="4">
        <f t="shared" si="42"/>
        <v>32</v>
      </c>
      <c r="B131" t="str">
        <f ca="1">TEXT(DATE(YEAR(Invoer!$A$6),1,1)+INT((ROWS(B$2:B131)-1)/4),"jjjjmmdd")</f>
        <v>19400202</v>
      </c>
      <c r="C131" s="64" t="str">
        <f>IF(MOD(ROWS(C$2:C131)-1,4)=3,"24.00",INDEX(Data,3,2+MOD(ROWS(C$2:C131)-1,4)))</f>
        <v>12.00</v>
      </c>
      <c r="D131" s="18">
        <f t="shared" ca="1" si="43"/>
        <v>759.7</v>
      </c>
      <c r="E131" s="17">
        <f t="shared" ca="1" si="44"/>
        <v>0</v>
      </c>
      <c r="F131" s="18">
        <f t="shared" ca="1" si="45"/>
        <v>28</v>
      </c>
      <c r="G131" s="17">
        <f t="shared" ca="1" si="46"/>
        <v>0</v>
      </c>
      <c r="H131" s="18" t="str">
        <f t="shared" ca="1" si="47"/>
        <v>—</v>
      </c>
      <c r="I131" s="17">
        <f t="shared" ca="1" si="48"/>
        <v>7</v>
      </c>
      <c r="J131" s="18" t="str">
        <f t="shared" ca="1" si="49"/>
        <v>—</v>
      </c>
      <c r="K131" s="17">
        <f t="shared" ca="1" si="50"/>
        <v>7</v>
      </c>
      <c r="L131" s="10">
        <f t="shared" ca="1" si="51"/>
        <v>73</v>
      </c>
      <c r="M131" s="17">
        <f t="shared" ca="1" si="52"/>
        <v>0</v>
      </c>
      <c r="N131" s="18">
        <f t="shared" ca="1" si="53"/>
        <v>20.7</v>
      </c>
      <c r="O131" s="17">
        <f t="shared" ca="1" si="54"/>
        <v>0</v>
      </c>
      <c r="P131" s="18">
        <f t="shared" ca="1" si="55"/>
        <v>24.2</v>
      </c>
      <c r="Q131" s="17">
        <f t="shared" ca="1" si="56"/>
        <v>0</v>
      </c>
      <c r="R131" s="10">
        <f t="shared" ca="1" si="57"/>
        <v>45</v>
      </c>
      <c r="S131" s="17">
        <f t="shared" ca="1" si="58"/>
        <v>0</v>
      </c>
      <c r="T131" s="70">
        <f t="shared" ca="1" si="59"/>
        <v>0.4</v>
      </c>
      <c r="U131" s="17">
        <f t="shared" ca="1" si="60"/>
        <v>0</v>
      </c>
      <c r="V131" s="71">
        <f t="shared" ca="1" si="61"/>
        <v>2</v>
      </c>
      <c r="W131" s="17">
        <f t="shared" ca="1" si="62"/>
        <v>0</v>
      </c>
    </row>
    <row r="132" spans="1:23" x14ac:dyDescent="0.25">
      <c r="A132" s="4">
        <f t="shared" si="42"/>
        <v>32</v>
      </c>
      <c r="B132" t="str">
        <f ca="1">TEXT(DATE(YEAR(Invoer!$A$6),1,1)+INT((ROWS(B$2:B132)-1)/4),"jjjjmmdd")</f>
        <v>19400202</v>
      </c>
      <c r="C132" s="64" t="str">
        <f>IF(MOD(ROWS(C$2:C132)-1,4)=3,"24.00",INDEX(Data,3,2+MOD(ROWS(C$2:C132)-1,4)))</f>
        <v>17.00</v>
      </c>
      <c r="D132" s="18">
        <f t="shared" ca="1" si="43"/>
        <v>760</v>
      </c>
      <c r="E132" s="17">
        <f t="shared" ca="1" si="44"/>
        <v>0</v>
      </c>
      <c r="F132" s="18">
        <f t="shared" ca="1" si="45"/>
        <v>27.7</v>
      </c>
      <c r="G132" s="17">
        <f t="shared" ca="1" si="46"/>
        <v>0</v>
      </c>
      <c r="H132" s="18" t="str">
        <f t="shared" ca="1" si="47"/>
        <v>—</v>
      </c>
      <c r="I132" s="17">
        <f t="shared" ca="1" si="48"/>
        <v>7</v>
      </c>
      <c r="J132" s="18" t="str">
        <f t="shared" ca="1" si="49"/>
        <v>—</v>
      </c>
      <c r="K132" s="17">
        <f t="shared" ca="1" si="50"/>
        <v>7</v>
      </c>
      <c r="L132" s="10">
        <f t="shared" ca="1" si="51"/>
        <v>74</v>
      </c>
      <c r="M132" s="17">
        <f t="shared" ca="1" si="52"/>
        <v>0</v>
      </c>
      <c r="N132" s="18">
        <f t="shared" ca="1" si="53"/>
        <v>20.5</v>
      </c>
      <c r="O132" s="17">
        <f t="shared" ca="1" si="54"/>
        <v>0</v>
      </c>
      <c r="P132" s="18">
        <f t="shared" ca="1" si="55"/>
        <v>24</v>
      </c>
      <c r="Q132" s="17">
        <f t="shared" ca="1" si="56"/>
        <v>0</v>
      </c>
      <c r="R132" s="10">
        <f t="shared" ca="1" si="57"/>
        <v>45</v>
      </c>
      <c r="S132" s="17">
        <f t="shared" ca="1" si="58"/>
        <v>0</v>
      </c>
      <c r="T132" s="70">
        <f t="shared" ca="1" si="59"/>
        <v>0.4</v>
      </c>
      <c r="U132" s="17">
        <f t="shared" ca="1" si="60"/>
        <v>0</v>
      </c>
      <c r="V132" s="71">
        <f t="shared" ca="1" si="61"/>
        <v>2</v>
      </c>
      <c r="W132" s="17">
        <f t="shared" ca="1" si="62"/>
        <v>0</v>
      </c>
    </row>
    <row r="133" spans="1:23" x14ac:dyDescent="0.25">
      <c r="A133" s="4">
        <f t="shared" si="42"/>
        <v>32</v>
      </c>
      <c r="B133" t="str">
        <f ca="1">TEXT(DATE(YEAR(Invoer!$A$6),1,1)+INT((ROWS(B$2:B133)-1)/4),"jjjjmmdd")</f>
        <v>19400202</v>
      </c>
      <c r="C133" s="64" t="str">
        <f>IF(MOD(ROWS(C$2:C133)-1,4)=3,"24.00",INDEX(Data,3,2+MOD(ROWS(C$2:C133)-1,4)))</f>
        <v>24.00</v>
      </c>
      <c r="D133" s="18" t="str">
        <f t="shared" ca="1" si="43"/>
        <v>—</v>
      </c>
      <c r="E133" s="17">
        <f t="shared" ca="1" si="44"/>
        <v>7</v>
      </c>
      <c r="F133" s="18" t="str">
        <f t="shared" ca="1" si="45"/>
        <v>—</v>
      </c>
      <c r="G133" s="17">
        <f t="shared" ca="1" si="46"/>
        <v>7</v>
      </c>
      <c r="H133" s="18">
        <f t="shared" ca="1" si="47"/>
        <v>27</v>
      </c>
      <c r="I133" s="17">
        <f t="shared" ca="1" si="48"/>
        <v>0</v>
      </c>
      <c r="J133" s="18">
        <f t="shared" ca="1" si="49"/>
        <v>28.8</v>
      </c>
      <c r="K133" s="17">
        <f t="shared" ca="1" si="50"/>
        <v>0</v>
      </c>
      <c r="L133" s="10" t="str">
        <f t="shared" ca="1" si="51"/>
        <v>—</v>
      </c>
      <c r="M133" s="17">
        <f t="shared" ca="1" si="52"/>
        <v>7</v>
      </c>
      <c r="N133" s="18" t="str">
        <f t="shared" ca="1" si="53"/>
        <v>—</v>
      </c>
      <c r="O133" s="17">
        <f t="shared" ca="1" si="54"/>
        <v>7</v>
      </c>
      <c r="P133" s="18" t="str">
        <f t="shared" ca="1" si="55"/>
        <v>—</v>
      </c>
      <c r="Q133" s="17">
        <f t="shared" ca="1" si="56"/>
        <v>7</v>
      </c>
      <c r="R133" s="10" t="str">
        <f t="shared" ca="1" si="57"/>
        <v>—</v>
      </c>
      <c r="S133" s="17">
        <f t="shared" ca="1" si="58"/>
        <v>7</v>
      </c>
      <c r="T133" s="70" t="str">
        <f t="shared" ca="1" si="59"/>
        <v>—</v>
      </c>
      <c r="U133" s="17">
        <f t="shared" ca="1" si="60"/>
        <v>7</v>
      </c>
      <c r="V133" s="71" t="str">
        <f t="shared" ca="1" si="61"/>
        <v>—</v>
      </c>
      <c r="W133" s="17">
        <f t="shared" ca="1" si="62"/>
        <v>7</v>
      </c>
    </row>
    <row r="134" spans="1:23" x14ac:dyDescent="0.25">
      <c r="A134" s="4">
        <f t="shared" si="42"/>
        <v>32</v>
      </c>
      <c r="B134" t="str">
        <f ca="1">TEXT(DATE(YEAR(Invoer!$A$6),1,1)+INT((ROWS(B$2:B134)-1)/4),"jjjjmmdd")</f>
        <v>19400203</v>
      </c>
      <c r="C134" s="64" t="str">
        <f>IF(MOD(ROWS(C$2:C134)-1,4)=3,"24.00",INDEX(Data,3,2+MOD(ROWS(C$2:C134)-1,4)))</f>
        <v>07.00</v>
      </c>
      <c r="D134" s="18">
        <f t="shared" ca="1" si="43"/>
        <v>758.9</v>
      </c>
      <c r="E134" s="17">
        <f t="shared" ca="1" si="44"/>
        <v>0</v>
      </c>
      <c r="F134" s="18">
        <f t="shared" ca="1" si="45"/>
        <v>25.9</v>
      </c>
      <c r="G134" s="17">
        <f t="shared" ca="1" si="46"/>
        <v>0</v>
      </c>
      <c r="H134" s="18" t="str">
        <f t="shared" ca="1" si="47"/>
        <v>—</v>
      </c>
      <c r="I134" s="17">
        <f t="shared" ca="1" si="48"/>
        <v>7</v>
      </c>
      <c r="J134" s="18" t="str">
        <f t="shared" ca="1" si="49"/>
        <v>—</v>
      </c>
      <c r="K134" s="17">
        <f t="shared" ca="1" si="50"/>
        <v>7</v>
      </c>
      <c r="L134" s="10">
        <f t="shared" ca="1" si="51"/>
        <v>85</v>
      </c>
      <c r="M134" s="17">
        <f t="shared" ca="1" si="52"/>
        <v>0</v>
      </c>
      <c r="N134" s="18">
        <f t="shared" ca="1" si="53"/>
        <v>21.4</v>
      </c>
      <c r="O134" s="17">
        <f t="shared" ca="1" si="54"/>
        <v>0</v>
      </c>
      <c r="P134" s="18">
        <f t="shared" ca="1" si="55"/>
        <v>24</v>
      </c>
      <c r="Q134" s="17">
        <f t="shared" ca="1" si="56"/>
        <v>0</v>
      </c>
      <c r="R134" s="10">
        <f t="shared" ca="1" si="57"/>
        <v>45</v>
      </c>
      <c r="S134" s="17">
        <f t="shared" ca="1" si="58"/>
        <v>0</v>
      </c>
      <c r="T134" s="70">
        <f t="shared" ca="1" si="59"/>
        <v>0.3</v>
      </c>
      <c r="U134" s="17">
        <f t="shared" ca="1" si="60"/>
        <v>0</v>
      </c>
      <c r="V134" s="71">
        <f t="shared" ca="1" si="61"/>
        <v>3</v>
      </c>
      <c r="W134" s="17">
        <f t="shared" ca="1" si="62"/>
        <v>0</v>
      </c>
    </row>
    <row r="135" spans="1:23" x14ac:dyDescent="0.25">
      <c r="A135" s="4">
        <f t="shared" si="42"/>
        <v>32</v>
      </c>
      <c r="B135" t="str">
        <f ca="1">TEXT(DATE(YEAR(Invoer!$A$6),1,1)+INT((ROWS(B$2:B135)-1)/4),"jjjjmmdd")</f>
        <v>19400203</v>
      </c>
      <c r="C135" s="64" t="str">
        <f>IF(MOD(ROWS(C$2:C135)-1,4)=3,"24.00",INDEX(Data,3,2+MOD(ROWS(C$2:C135)-1,4)))</f>
        <v>12.00</v>
      </c>
      <c r="D135" s="18">
        <f t="shared" ca="1" si="43"/>
        <v>759.7</v>
      </c>
      <c r="E135" s="17">
        <f t="shared" ca="1" si="44"/>
        <v>0</v>
      </c>
      <c r="F135" s="18">
        <f t="shared" ca="1" si="45"/>
        <v>27.4</v>
      </c>
      <c r="G135" s="17">
        <f t="shared" ca="1" si="46"/>
        <v>0</v>
      </c>
      <c r="H135" s="18" t="str">
        <f t="shared" ca="1" si="47"/>
        <v>—</v>
      </c>
      <c r="I135" s="17">
        <f t="shared" ca="1" si="48"/>
        <v>7</v>
      </c>
      <c r="J135" s="18" t="str">
        <f t="shared" ca="1" si="49"/>
        <v>—</v>
      </c>
      <c r="K135" s="17">
        <f t="shared" ca="1" si="50"/>
        <v>7</v>
      </c>
      <c r="L135" s="10">
        <f t="shared" ca="1" si="51"/>
        <v>77</v>
      </c>
      <c r="M135" s="17">
        <f t="shared" ca="1" si="52"/>
        <v>0</v>
      </c>
      <c r="N135" s="18">
        <f t="shared" ca="1" si="53"/>
        <v>21</v>
      </c>
      <c r="O135" s="17">
        <f t="shared" ca="1" si="54"/>
        <v>0</v>
      </c>
      <c r="P135" s="18">
        <f t="shared" ca="1" si="55"/>
        <v>24.2</v>
      </c>
      <c r="Q135" s="17">
        <f t="shared" ca="1" si="56"/>
        <v>0</v>
      </c>
      <c r="R135" s="10">
        <f t="shared" ca="1" si="57"/>
        <v>45</v>
      </c>
      <c r="S135" s="17">
        <f t="shared" ca="1" si="58"/>
        <v>0</v>
      </c>
      <c r="T135" s="70">
        <f t="shared" ca="1" si="59"/>
        <v>0.4</v>
      </c>
      <c r="U135" s="17">
        <f t="shared" ca="1" si="60"/>
        <v>0</v>
      </c>
      <c r="V135" s="71">
        <f t="shared" ca="1" si="61"/>
        <v>3</v>
      </c>
      <c r="W135" s="17">
        <f t="shared" ca="1" si="62"/>
        <v>0</v>
      </c>
    </row>
    <row r="136" spans="1:23" x14ac:dyDescent="0.25">
      <c r="A136" s="4">
        <f t="shared" si="42"/>
        <v>32</v>
      </c>
      <c r="B136" t="str">
        <f ca="1">TEXT(DATE(YEAR(Invoer!$A$6),1,1)+INT((ROWS(B$2:B136)-1)/4),"jjjjmmdd")</f>
        <v>19400203</v>
      </c>
      <c r="C136" s="64" t="str">
        <f>IF(MOD(ROWS(C$2:C136)-1,4)=3,"24.00",INDEX(Data,3,2+MOD(ROWS(C$2:C136)-1,4)))</f>
        <v>17.00</v>
      </c>
      <c r="D136" s="18">
        <f t="shared" ca="1" si="43"/>
        <v>760</v>
      </c>
      <c r="E136" s="17">
        <f t="shared" ca="1" si="44"/>
        <v>0</v>
      </c>
      <c r="F136" s="18">
        <f t="shared" ca="1" si="45"/>
        <v>26.9</v>
      </c>
      <c r="G136" s="17">
        <f t="shared" ca="1" si="46"/>
        <v>0</v>
      </c>
      <c r="H136" s="18" t="str">
        <f t="shared" ca="1" si="47"/>
        <v>—</v>
      </c>
      <c r="I136" s="17">
        <f t="shared" ca="1" si="48"/>
        <v>7</v>
      </c>
      <c r="J136" s="18" t="str">
        <f t="shared" ca="1" si="49"/>
        <v>—</v>
      </c>
      <c r="K136" s="17">
        <f t="shared" ca="1" si="50"/>
        <v>7</v>
      </c>
      <c r="L136" s="10">
        <f t="shared" ca="1" si="51"/>
        <v>79</v>
      </c>
      <c r="M136" s="17">
        <f t="shared" ca="1" si="52"/>
        <v>0</v>
      </c>
      <c r="N136" s="18">
        <f t="shared" ca="1" si="53"/>
        <v>21.1</v>
      </c>
      <c r="O136" s="17">
        <f t="shared" ca="1" si="54"/>
        <v>0</v>
      </c>
      <c r="P136" s="18">
        <f t="shared" ca="1" si="55"/>
        <v>24.1</v>
      </c>
      <c r="Q136" s="17">
        <f t="shared" ca="1" si="56"/>
        <v>0</v>
      </c>
      <c r="R136" s="10">
        <f t="shared" ca="1" si="57"/>
        <v>45</v>
      </c>
      <c r="S136" s="17">
        <f t="shared" ca="1" si="58"/>
        <v>0</v>
      </c>
      <c r="T136" s="70">
        <f t="shared" ca="1" si="59"/>
        <v>0.4</v>
      </c>
      <c r="U136" s="17">
        <f t="shared" ca="1" si="60"/>
        <v>0</v>
      </c>
      <c r="V136" s="71">
        <f t="shared" ca="1" si="61"/>
        <v>3</v>
      </c>
      <c r="W136" s="17">
        <f t="shared" ca="1" si="62"/>
        <v>0</v>
      </c>
    </row>
    <row r="137" spans="1:23" x14ac:dyDescent="0.25">
      <c r="A137" s="4">
        <f t="shared" si="42"/>
        <v>32</v>
      </c>
      <c r="B137" t="str">
        <f ca="1">TEXT(DATE(YEAR(Invoer!$A$6),1,1)+INT((ROWS(B$2:B137)-1)/4),"jjjjmmdd")</f>
        <v>19400203</v>
      </c>
      <c r="C137" s="64" t="str">
        <f>IF(MOD(ROWS(C$2:C137)-1,4)=3,"24.00",INDEX(Data,3,2+MOD(ROWS(C$2:C137)-1,4)))</f>
        <v>24.00</v>
      </c>
      <c r="D137" s="18" t="str">
        <f t="shared" ca="1" si="43"/>
        <v>—</v>
      </c>
      <c r="E137" s="17">
        <f t="shared" ca="1" si="44"/>
        <v>7</v>
      </c>
      <c r="F137" s="18" t="str">
        <f t="shared" ca="1" si="45"/>
        <v>—</v>
      </c>
      <c r="G137" s="17">
        <f t="shared" ca="1" si="46"/>
        <v>7</v>
      </c>
      <c r="H137" s="18">
        <f t="shared" ca="1" si="47"/>
        <v>27.8</v>
      </c>
      <c r="I137" s="17">
        <f t="shared" ca="1" si="48"/>
        <v>0</v>
      </c>
      <c r="J137" s="18">
        <f t="shared" ca="1" si="49"/>
        <v>29</v>
      </c>
      <c r="K137" s="17">
        <f t="shared" ca="1" si="50"/>
        <v>0</v>
      </c>
      <c r="L137" s="10" t="str">
        <f t="shared" ca="1" si="51"/>
        <v>—</v>
      </c>
      <c r="M137" s="17">
        <f t="shared" ca="1" si="52"/>
        <v>7</v>
      </c>
      <c r="N137" s="18" t="str">
        <f t="shared" ca="1" si="53"/>
        <v>—</v>
      </c>
      <c r="O137" s="17">
        <f t="shared" ca="1" si="54"/>
        <v>7</v>
      </c>
      <c r="P137" s="18" t="str">
        <f t="shared" ca="1" si="55"/>
        <v>—</v>
      </c>
      <c r="Q137" s="17">
        <f t="shared" ca="1" si="56"/>
        <v>7</v>
      </c>
      <c r="R137" s="10" t="str">
        <f t="shared" ca="1" si="57"/>
        <v>—</v>
      </c>
      <c r="S137" s="17">
        <f t="shared" ca="1" si="58"/>
        <v>7</v>
      </c>
      <c r="T137" s="70" t="str">
        <f t="shared" ca="1" si="59"/>
        <v>—</v>
      </c>
      <c r="U137" s="17">
        <f t="shared" ca="1" si="60"/>
        <v>7</v>
      </c>
      <c r="V137" s="71" t="str">
        <f t="shared" ca="1" si="61"/>
        <v>—</v>
      </c>
      <c r="W137" s="17">
        <f t="shared" ca="1" si="62"/>
        <v>7</v>
      </c>
    </row>
    <row r="138" spans="1:23" x14ac:dyDescent="0.25">
      <c r="A138" s="4">
        <f t="shared" si="42"/>
        <v>32</v>
      </c>
      <c r="B138" t="str">
        <f ca="1">TEXT(DATE(YEAR(Invoer!$A$6),1,1)+INT((ROWS(B$2:B138)-1)/4),"jjjjmmdd")</f>
        <v>19400204</v>
      </c>
      <c r="C138" s="64" t="str">
        <f>IF(MOD(ROWS(C$2:C138)-1,4)=3,"24.00",INDEX(Data,3,2+MOD(ROWS(C$2:C138)-1,4)))</f>
        <v>07.00</v>
      </c>
      <c r="D138" s="18">
        <f t="shared" ca="1" si="43"/>
        <v>758.7</v>
      </c>
      <c r="E138" s="17">
        <f t="shared" ca="1" si="44"/>
        <v>0</v>
      </c>
      <c r="F138" s="18">
        <f t="shared" ca="1" si="45"/>
        <v>27.3</v>
      </c>
      <c r="G138" s="17">
        <f t="shared" ca="1" si="46"/>
        <v>0</v>
      </c>
      <c r="H138" s="18" t="str">
        <f t="shared" ca="1" si="47"/>
        <v>—</v>
      </c>
      <c r="I138" s="17">
        <f t="shared" ca="1" si="48"/>
        <v>7</v>
      </c>
      <c r="J138" s="18" t="str">
        <f t="shared" ca="1" si="49"/>
        <v>—</v>
      </c>
      <c r="K138" s="17">
        <f t="shared" ca="1" si="50"/>
        <v>7</v>
      </c>
      <c r="L138" s="10">
        <f t="shared" ca="1" si="51"/>
        <v>69</v>
      </c>
      <c r="M138" s="17">
        <f t="shared" ca="1" si="52"/>
        <v>0</v>
      </c>
      <c r="N138" s="18">
        <f t="shared" ca="1" si="53"/>
        <v>18.899999999999999</v>
      </c>
      <c r="O138" s="17">
        <f t="shared" ca="1" si="54"/>
        <v>0</v>
      </c>
      <c r="P138" s="18">
        <f t="shared" ca="1" si="55"/>
        <v>23</v>
      </c>
      <c r="Q138" s="17">
        <f t="shared" ca="1" si="56"/>
        <v>0</v>
      </c>
      <c r="R138" s="10">
        <f t="shared" ca="1" si="57"/>
        <v>45</v>
      </c>
      <c r="S138" s="17">
        <f t="shared" ca="1" si="58"/>
        <v>0</v>
      </c>
      <c r="T138" s="70">
        <f t="shared" ca="1" si="59"/>
        <v>0.3</v>
      </c>
      <c r="U138" s="17">
        <f t="shared" ca="1" si="60"/>
        <v>0</v>
      </c>
      <c r="V138" s="71">
        <f t="shared" ca="1" si="61"/>
        <v>2</v>
      </c>
      <c r="W138" s="17">
        <f t="shared" ca="1" si="62"/>
        <v>0</v>
      </c>
    </row>
    <row r="139" spans="1:23" x14ac:dyDescent="0.25">
      <c r="A139" s="4">
        <f t="shared" si="42"/>
        <v>32</v>
      </c>
      <c r="B139" t="str">
        <f ca="1">TEXT(DATE(YEAR(Invoer!$A$6),1,1)+INT((ROWS(B$2:B139)-1)/4),"jjjjmmdd")</f>
        <v>19400204</v>
      </c>
      <c r="C139" s="64" t="str">
        <f>IF(MOD(ROWS(C$2:C139)-1,4)=3,"24.00",INDEX(Data,3,2+MOD(ROWS(C$2:C139)-1,4)))</f>
        <v>12.00</v>
      </c>
      <c r="D139" s="18">
        <f t="shared" ca="1" si="43"/>
        <v>759.5</v>
      </c>
      <c r="E139" s="17">
        <f t="shared" ca="1" si="44"/>
        <v>0</v>
      </c>
      <c r="F139" s="18">
        <f t="shared" ca="1" si="45"/>
        <v>27.9</v>
      </c>
      <c r="G139" s="17">
        <f t="shared" ca="1" si="46"/>
        <v>0</v>
      </c>
      <c r="H139" s="18" t="str">
        <f t="shared" ca="1" si="47"/>
        <v>—</v>
      </c>
      <c r="I139" s="17">
        <f t="shared" ca="1" si="48"/>
        <v>7</v>
      </c>
      <c r="J139" s="18" t="str">
        <f t="shared" ca="1" si="49"/>
        <v>—</v>
      </c>
      <c r="K139" s="17">
        <f t="shared" ca="1" si="50"/>
        <v>7</v>
      </c>
      <c r="L139" s="10">
        <f t="shared" ca="1" si="51"/>
        <v>70</v>
      </c>
      <c r="M139" s="17">
        <f t="shared" ca="1" si="52"/>
        <v>0</v>
      </c>
      <c r="N139" s="18">
        <f t="shared" ca="1" si="53"/>
        <v>19.7</v>
      </c>
      <c r="O139" s="17">
        <f t="shared" ca="1" si="54"/>
        <v>0</v>
      </c>
      <c r="P139" s="18">
        <f t="shared" ca="1" si="55"/>
        <v>23.6</v>
      </c>
      <c r="Q139" s="17">
        <f t="shared" ca="1" si="56"/>
        <v>0</v>
      </c>
      <c r="R139" s="10">
        <f t="shared" ca="1" si="57"/>
        <v>45</v>
      </c>
      <c r="S139" s="17">
        <f t="shared" ca="1" si="58"/>
        <v>0</v>
      </c>
      <c r="T139" s="70">
        <f t="shared" ca="1" si="59"/>
        <v>0.4</v>
      </c>
      <c r="U139" s="17">
        <f t="shared" ca="1" si="60"/>
        <v>0</v>
      </c>
      <c r="V139" s="71">
        <f t="shared" ca="1" si="61"/>
        <v>3</v>
      </c>
      <c r="W139" s="17">
        <f t="shared" ca="1" si="62"/>
        <v>0</v>
      </c>
    </row>
    <row r="140" spans="1:23" x14ac:dyDescent="0.25">
      <c r="A140" s="4">
        <f t="shared" si="42"/>
        <v>32</v>
      </c>
      <c r="B140" t="str">
        <f ca="1">TEXT(DATE(YEAR(Invoer!$A$6),1,1)+INT((ROWS(B$2:B140)-1)/4),"jjjjmmdd")</f>
        <v>19400204</v>
      </c>
      <c r="C140" s="64" t="str">
        <f>IF(MOD(ROWS(C$2:C140)-1,4)=3,"24.00",INDEX(Data,3,2+MOD(ROWS(C$2:C140)-1,4)))</f>
        <v>17.00</v>
      </c>
      <c r="D140" s="18">
        <f t="shared" ca="1" si="43"/>
        <v>759</v>
      </c>
      <c r="E140" s="17">
        <f t="shared" ca="1" si="44"/>
        <v>0</v>
      </c>
      <c r="F140" s="18">
        <f t="shared" ca="1" si="45"/>
        <v>27.3</v>
      </c>
      <c r="G140" s="17">
        <f t="shared" ca="1" si="46"/>
        <v>0</v>
      </c>
      <c r="H140" s="18" t="str">
        <f t="shared" ca="1" si="47"/>
        <v>—</v>
      </c>
      <c r="I140" s="17">
        <f t="shared" ca="1" si="48"/>
        <v>7</v>
      </c>
      <c r="J140" s="18" t="str">
        <f t="shared" ca="1" si="49"/>
        <v>—</v>
      </c>
      <c r="K140" s="17">
        <f t="shared" ca="1" si="50"/>
        <v>7</v>
      </c>
      <c r="L140" s="10">
        <f t="shared" ca="1" si="51"/>
        <v>71</v>
      </c>
      <c r="M140" s="17">
        <f t="shared" ca="1" si="52"/>
        <v>0</v>
      </c>
      <c r="N140" s="18">
        <f t="shared" ca="1" si="53"/>
        <v>19.3</v>
      </c>
      <c r="O140" s="17">
        <f t="shared" ca="1" si="54"/>
        <v>0</v>
      </c>
      <c r="P140" s="18">
        <f t="shared" ca="1" si="55"/>
        <v>23.2</v>
      </c>
      <c r="Q140" s="17">
        <f t="shared" ca="1" si="56"/>
        <v>0</v>
      </c>
      <c r="R140" s="10">
        <f t="shared" ca="1" si="57"/>
        <v>45</v>
      </c>
      <c r="S140" s="17">
        <f t="shared" ca="1" si="58"/>
        <v>0</v>
      </c>
      <c r="T140" s="70">
        <f t="shared" ca="1" si="59"/>
        <v>0.5</v>
      </c>
      <c r="U140" s="17">
        <f t="shared" ca="1" si="60"/>
        <v>0</v>
      </c>
      <c r="V140" s="71">
        <f t="shared" ca="1" si="61"/>
        <v>4</v>
      </c>
      <c r="W140" s="17">
        <f t="shared" ca="1" si="62"/>
        <v>0</v>
      </c>
    </row>
    <row r="141" spans="1:23" x14ac:dyDescent="0.25">
      <c r="A141" s="4">
        <f t="shared" si="42"/>
        <v>32</v>
      </c>
      <c r="B141" t="str">
        <f ca="1">TEXT(DATE(YEAR(Invoer!$A$6),1,1)+INT((ROWS(B$2:B141)-1)/4),"jjjjmmdd")</f>
        <v>19400204</v>
      </c>
      <c r="C141" s="64" t="str">
        <f>IF(MOD(ROWS(C$2:C141)-1,4)=3,"24.00",INDEX(Data,3,2+MOD(ROWS(C$2:C141)-1,4)))</f>
        <v>24.00</v>
      </c>
      <c r="D141" s="18" t="str">
        <f t="shared" ca="1" si="43"/>
        <v>—</v>
      </c>
      <c r="E141" s="17">
        <f t="shared" ca="1" si="44"/>
        <v>7</v>
      </c>
      <c r="F141" s="18" t="str">
        <f t="shared" ca="1" si="45"/>
        <v>—</v>
      </c>
      <c r="G141" s="17">
        <f t="shared" ca="1" si="46"/>
        <v>7</v>
      </c>
      <c r="H141" s="18">
        <f t="shared" ca="1" si="47"/>
        <v>28</v>
      </c>
      <c r="I141" s="17">
        <f t="shared" ca="1" si="48"/>
        <v>0</v>
      </c>
      <c r="J141" s="18">
        <f t="shared" ca="1" si="49"/>
        <v>29</v>
      </c>
      <c r="K141" s="17">
        <f t="shared" ca="1" si="50"/>
        <v>0</v>
      </c>
      <c r="L141" s="10" t="str">
        <f t="shared" ca="1" si="51"/>
        <v>—</v>
      </c>
      <c r="M141" s="17">
        <f t="shared" ca="1" si="52"/>
        <v>7</v>
      </c>
      <c r="N141" s="18" t="str">
        <f t="shared" ca="1" si="53"/>
        <v>—</v>
      </c>
      <c r="O141" s="17">
        <f t="shared" ca="1" si="54"/>
        <v>7</v>
      </c>
      <c r="P141" s="18" t="str">
        <f t="shared" ca="1" si="55"/>
        <v>—</v>
      </c>
      <c r="Q141" s="17">
        <f t="shared" ca="1" si="56"/>
        <v>7</v>
      </c>
      <c r="R141" s="10" t="str">
        <f t="shared" ca="1" si="57"/>
        <v>—</v>
      </c>
      <c r="S141" s="17">
        <f t="shared" ca="1" si="58"/>
        <v>7</v>
      </c>
      <c r="T141" s="70" t="str">
        <f t="shared" ca="1" si="59"/>
        <v>—</v>
      </c>
      <c r="U141" s="17">
        <f t="shared" ca="1" si="60"/>
        <v>7</v>
      </c>
      <c r="V141" s="71" t="str">
        <f t="shared" ca="1" si="61"/>
        <v>—</v>
      </c>
      <c r="W141" s="17">
        <f t="shared" ca="1" si="62"/>
        <v>7</v>
      </c>
    </row>
    <row r="142" spans="1:23" x14ac:dyDescent="0.25">
      <c r="A142" s="4">
        <f t="shared" si="42"/>
        <v>32</v>
      </c>
      <c r="B142" t="str">
        <f ca="1">TEXT(DATE(YEAR(Invoer!$A$6),1,1)+INT((ROWS(B$2:B142)-1)/4),"jjjjmmdd")</f>
        <v>19400205</v>
      </c>
      <c r="C142" s="64" t="str">
        <f>IF(MOD(ROWS(C$2:C142)-1,4)=3,"24.00",INDEX(Data,3,2+MOD(ROWS(C$2:C142)-1,4)))</f>
        <v>07.00</v>
      </c>
      <c r="D142" s="18">
        <f t="shared" ca="1" si="43"/>
        <v>759.7</v>
      </c>
      <c r="E142" s="17">
        <f t="shared" ca="1" si="44"/>
        <v>0</v>
      </c>
      <c r="F142" s="18">
        <f t="shared" ca="1" si="45"/>
        <v>25.9</v>
      </c>
      <c r="G142" s="17">
        <f t="shared" ca="1" si="46"/>
        <v>0</v>
      </c>
      <c r="H142" s="18" t="str">
        <f t="shared" ca="1" si="47"/>
        <v>—</v>
      </c>
      <c r="I142" s="17">
        <f t="shared" ca="1" si="48"/>
        <v>7</v>
      </c>
      <c r="J142" s="18" t="str">
        <f t="shared" ca="1" si="49"/>
        <v>—</v>
      </c>
      <c r="K142" s="17">
        <f t="shared" ca="1" si="50"/>
        <v>7</v>
      </c>
      <c r="L142" s="10">
        <f t="shared" ca="1" si="51"/>
        <v>78</v>
      </c>
      <c r="M142" s="17">
        <f t="shared" ca="1" si="52"/>
        <v>0</v>
      </c>
      <c r="N142" s="18">
        <f t="shared" ca="1" si="53"/>
        <v>19.600000000000001</v>
      </c>
      <c r="O142" s="17">
        <f t="shared" ca="1" si="54"/>
        <v>0</v>
      </c>
      <c r="P142" s="18">
        <f t="shared" ca="1" si="55"/>
        <v>23</v>
      </c>
      <c r="Q142" s="17">
        <f t="shared" ca="1" si="56"/>
        <v>0</v>
      </c>
      <c r="R142" s="10">
        <f t="shared" ca="1" si="57"/>
        <v>65</v>
      </c>
      <c r="S142" s="17">
        <f t="shared" ca="1" si="58"/>
        <v>0</v>
      </c>
      <c r="T142" s="70">
        <f t="shared" ca="1" si="59"/>
        <v>0.3</v>
      </c>
      <c r="U142" s="17">
        <f t="shared" ca="1" si="60"/>
        <v>0</v>
      </c>
      <c r="V142" s="71">
        <f t="shared" ca="1" si="61"/>
        <v>3</v>
      </c>
      <c r="W142" s="17">
        <f t="shared" ca="1" si="62"/>
        <v>0</v>
      </c>
    </row>
    <row r="143" spans="1:23" x14ac:dyDescent="0.25">
      <c r="A143" s="4">
        <f t="shared" si="42"/>
        <v>32</v>
      </c>
      <c r="B143" t="str">
        <f ca="1">TEXT(DATE(YEAR(Invoer!$A$6),1,1)+INT((ROWS(B$2:B143)-1)/4),"jjjjmmdd")</f>
        <v>19400205</v>
      </c>
      <c r="C143" s="64" t="str">
        <f>IF(MOD(ROWS(C$2:C143)-1,4)=3,"24.00",INDEX(Data,3,2+MOD(ROWS(C$2:C143)-1,4)))</f>
        <v>12.00</v>
      </c>
      <c r="D143" s="18">
        <f t="shared" ca="1" si="43"/>
        <v>759.2</v>
      </c>
      <c r="E143" s="17">
        <f t="shared" ca="1" si="44"/>
        <v>0</v>
      </c>
      <c r="F143" s="18">
        <f t="shared" ca="1" si="45"/>
        <v>28.1</v>
      </c>
      <c r="G143" s="17">
        <f t="shared" ca="1" si="46"/>
        <v>0</v>
      </c>
      <c r="H143" s="18" t="str">
        <f t="shared" ca="1" si="47"/>
        <v>—</v>
      </c>
      <c r="I143" s="17">
        <f t="shared" ca="1" si="48"/>
        <v>7</v>
      </c>
      <c r="J143" s="18" t="str">
        <f t="shared" ca="1" si="49"/>
        <v>—</v>
      </c>
      <c r="K143" s="17">
        <f t="shared" ca="1" si="50"/>
        <v>7</v>
      </c>
      <c r="L143" s="10">
        <f t="shared" ca="1" si="51"/>
        <v>67</v>
      </c>
      <c r="M143" s="17">
        <f t="shared" ca="1" si="52"/>
        <v>0</v>
      </c>
      <c r="N143" s="18">
        <f t="shared" ca="1" si="53"/>
        <v>19.2</v>
      </c>
      <c r="O143" s="17">
        <f t="shared" ca="1" si="54"/>
        <v>0</v>
      </c>
      <c r="P143" s="18">
        <f t="shared" ca="1" si="55"/>
        <v>23.4</v>
      </c>
      <c r="Q143" s="17">
        <f t="shared" ca="1" si="56"/>
        <v>0</v>
      </c>
      <c r="R143" s="10">
        <f t="shared" ca="1" si="57"/>
        <v>65</v>
      </c>
      <c r="S143" s="17">
        <f t="shared" ca="1" si="58"/>
        <v>0</v>
      </c>
      <c r="T143" s="70">
        <f t="shared" ca="1" si="59"/>
        <v>0.4</v>
      </c>
      <c r="U143" s="17">
        <f t="shared" ca="1" si="60"/>
        <v>0</v>
      </c>
      <c r="V143" s="71">
        <f t="shared" ca="1" si="61"/>
        <v>3</v>
      </c>
      <c r="W143" s="17">
        <f t="shared" ca="1" si="62"/>
        <v>0</v>
      </c>
    </row>
    <row r="144" spans="1:23" x14ac:dyDescent="0.25">
      <c r="A144" s="4">
        <f t="shared" si="42"/>
        <v>32</v>
      </c>
      <c r="B144" t="str">
        <f ca="1">TEXT(DATE(YEAR(Invoer!$A$6),1,1)+INT((ROWS(B$2:B144)-1)/4),"jjjjmmdd")</f>
        <v>19400205</v>
      </c>
      <c r="C144" s="64" t="str">
        <f>IF(MOD(ROWS(C$2:C144)-1,4)=3,"24.00",INDEX(Data,3,2+MOD(ROWS(C$2:C144)-1,4)))</f>
        <v>17.00</v>
      </c>
      <c r="D144" s="18">
        <f t="shared" ca="1" si="43"/>
        <v>758.9</v>
      </c>
      <c r="E144" s="17">
        <f t="shared" ca="1" si="44"/>
        <v>0</v>
      </c>
      <c r="F144" s="18">
        <f t="shared" ca="1" si="45"/>
        <v>27.2</v>
      </c>
      <c r="G144" s="17">
        <f t="shared" ca="1" si="46"/>
        <v>0</v>
      </c>
      <c r="H144" s="18" t="str">
        <f t="shared" ca="1" si="47"/>
        <v>—</v>
      </c>
      <c r="I144" s="17">
        <f t="shared" ca="1" si="48"/>
        <v>7</v>
      </c>
      <c r="J144" s="18" t="str">
        <f t="shared" ca="1" si="49"/>
        <v>—</v>
      </c>
      <c r="K144" s="17">
        <f t="shared" ca="1" si="50"/>
        <v>7</v>
      </c>
      <c r="L144" s="10">
        <f t="shared" ca="1" si="51"/>
        <v>70</v>
      </c>
      <c r="M144" s="17">
        <f t="shared" ca="1" si="52"/>
        <v>0</v>
      </c>
      <c r="N144" s="18">
        <f t="shared" ca="1" si="53"/>
        <v>19</v>
      </c>
      <c r="O144" s="17">
        <f t="shared" ca="1" si="54"/>
        <v>0</v>
      </c>
      <c r="P144" s="18">
        <f t="shared" ca="1" si="55"/>
        <v>23</v>
      </c>
      <c r="Q144" s="17">
        <f t="shared" ca="1" si="56"/>
        <v>0</v>
      </c>
      <c r="R144" s="10">
        <f t="shared" ca="1" si="57"/>
        <v>65</v>
      </c>
      <c r="S144" s="17">
        <f t="shared" ca="1" si="58"/>
        <v>0</v>
      </c>
      <c r="T144" s="70">
        <f t="shared" ca="1" si="59"/>
        <v>0.4</v>
      </c>
      <c r="U144" s="17">
        <f t="shared" ca="1" si="60"/>
        <v>0</v>
      </c>
      <c r="V144" s="71">
        <f t="shared" ca="1" si="61"/>
        <v>3</v>
      </c>
      <c r="W144" s="17">
        <f t="shared" ca="1" si="62"/>
        <v>0</v>
      </c>
    </row>
    <row r="145" spans="1:23" x14ac:dyDescent="0.25">
      <c r="A145" s="4">
        <f t="shared" si="42"/>
        <v>32</v>
      </c>
      <c r="B145" t="str">
        <f ca="1">TEXT(DATE(YEAR(Invoer!$A$6),1,1)+INT((ROWS(B$2:B145)-1)/4),"jjjjmmdd")</f>
        <v>19400205</v>
      </c>
      <c r="C145" s="64" t="str">
        <f>IF(MOD(ROWS(C$2:C145)-1,4)=3,"24.00",INDEX(Data,3,2+MOD(ROWS(C$2:C145)-1,4)))</f>
        <v>24.00</v>
      </c>
      <c r="D145" s="18" t="str">
        <f t="shared" ca="1" si="43"/>
        <v>—</v>
      </c>
      <c r="E145" s="17">
        <f t="shared" ca="1" si="44"/>
        <v>7</v>
      </c>
      <c r="F145" s="18" t="str">
        <f t="shared" ca="1" si="45"/>
        <v>—</v>
      </c>
      <c r="G145" s="17">
        <f t="shared" ca="1" si="46"/>
        <v>7</v>
      </c>
      <c r="H145" s="18">
        <f t="shared" ca="1" si="47"/>
        <v>27.8</v>
      </c>
      <c r="I145" s="17">
        <f t="shared" ca="1" si="48"/>
        <v>0</v>
      </c>
      <c r="J145" s="18">
        <f t="shared" ca="1" si="49"/>
        <v>29.4</v>
      </c>
      <c r="K145" s="17">
        <f t="shared" ca="1" si="50"/>
        <v>0</v>
      </c>
      <c r="L145" s="10" t="str">
        <f t="shared" ca="1" si="51"/>
        <v>—</v>
      </c>
      <c r="M145" s="17">
        <f t="shared" ca="1" si="52"/>
        <v>7</v>
      </c>
      <c r="N145" s="18" t="str">
        <f t="shared" ca="1" si="53"/>
        <v>—</v>
      </c>
      <c r="O145" s="17">
        <f t="shared" ca="1" si="54"/>
        <v>7</v>
      </c>
      <c r="P145" s="18" t="str">
        <f t="shared" ca="1" si="55"/>
        <v>—</v>
      </c>
      <c r="Q145" s="17">
        <f t="shared" ca="1" si="56"/>
        <v>7</v>
      </c>
      <c r="R145" s="10" t="str">
        <f t="shared" ca="1" si="57"/>
        <v>—</v>
      </c>
      <c r="S145" s="17">
        <f t="shared" ca="1" si="58"/>
        <v>7</v>
      </c>
      <c r="T145" s="70" t="str">
        <f t="shared" ca="1" si="59"/>
        <v>—</v>
      </c>
      <c r="U145" s="17">
        <f t="shared" ca="1" si="60"/>
        <v>7</v>
      </c>
      <c r="V145" s="71" t="str">
        <f t="shared" ca="1" si="61"/>
        <v>—</v>
      </c>
      <c r="W145" s="17">
        <f t="shared" ca="1" si="62"/>
        <v>7</v>
      </c>
    </row>
    <row r="146" spans="1:23" x14ac:dyDescent="0.25">
      <c r="A146" s="4">
        <f t="shared" si="42"/>
        <v>32</v>
      </c>
      <c r="B146" t="str">
        <f ca="1">TEXT(DATE(YEAR(Invoer!$A$6),1,1)+INT((ROWS(B$2:B146)-1)/4),"jjjjmmdd")</f>
        <v>19400206</v>
      </c>
      <c r="C146" s="64" t="str">
        <f>IF(MOD(ROWS(C$2:C146)-1,4)=3,"24.00",INDEX(Data,3,2+MOD(ROWS(C$2:C146)-1,4)))</f>
        <v>07.00</v>
      </c>
      <c r="D146" s="18">
        <f t="shared" ca="1" si="43"/>
        <v>758.9</v>
      </c>
      <c r="E146" s="17">
        <f t="shared" ca="1" si="44"/>
        <v>0</v>
      </c>
      <c r="F146" s="18">
        <f t="shared" ca="1" si="45"/>
        <v>25.7</v>
      </c>
      <c r="G146" s="17">
        <f t="shared" ca="1" si="46"/>
        <v>0</v>
      </c>
      <c r="H146" s="18" t="str">
        <f t="shared" ca="1" si="47"/>
        <v>—</v>
      </c>
      <c r="I146" s="17">
        <f t="shared" ca="1" si="48"/>
        <v>7</v>
      </c>
      <c r="J146" s="18" t="str">
        <f t="shared" ca="1" si="49"/>
        <v>—</v>
      </c>
      <c r="K146" s="17">
        <f t="shared" ca="1" si="50"/>
        <v>7</v>
      </c>
      <c r="L146" s="10">
        <f t="shared" ca="1" si="51"/>
        <v>80</v>
      </c>
      <c r="M146" s="17">
        <f t="shared" ca="1" si="52"/>
        <v>0</v>
      </c>
      <c r="N146" s="18">
        <f t="shared" ca="1" si="53"/>
        <v>19.7</v>
      </c>
      <c r="O146" s="17">
        <f t="shared" ca="1" si="54"/>
        <v>0</v>
      </c>
      <c r="P146" s="18">
        <f t="shared" ca="1" si="55"/>
        <v>23</v>
      </c>
      <c r="Q146" s="17">
        <f t="shared" ca="1" si="56"/>
        <v>0</v>
      </c>
      <c r="R146" s="10">
        <f t="shared" ca="1" si="57"/>
        <v>65</v>
      </c>
      <c r="S146" s="17">
        <f t="shared" ca="1" si="58"/>
        <v>0</v>
      </c>
      <c r="T146" s="70">
        <f t="shared" ca="1" si="59"/>
        <v>0.4</v>
      </c>
      <c r="U146" s="17">
        <f t="shared" ca="1" si="60"/>
        <v>0</v>
      </c>
      <c r="V146" s="71">
        <f t="shared" ca="1" si="61"/>
        <v>2</v>
      </c>
      <c r="W146" s="17">
        <f t="shared" ca="1" si="62"/>
        <v>0</v>
      </c>
    </row>
    <row r="147" spans="1:23" x14ac:dyDescent="0.25">
      <c r="A147" s="4">
        <f t="shared" si="42"/>
        <v>32</v>
      </c>
      <c r="B147" t="str">
        <f ca="1">TEXT(DATE(YEAR(Invoer!$A$6),1,1)+INT((ROWS(B$2:B147)-1)/4),"jjjjmmdd")</f>
        <v>19400206</v>
      </c>
      <c r="C147" s="64" t="str">
        <f>IF(MOD(ROWS(C$2:C147)-1,4)=3,"24.00",INDEX(Data,3,2+MOD(ROWS(C$2:C147)-1,4)))</f>
        <v>12.00</v>
      </c>
      <c r="D147" s="18">
        <f t="shared" ca="1" si="43"/>
        <v>759.7</v>
      </c>
      <c r="E147" s="17">
        <f t="shared" ca="1" si="44"/>
        <v>0</v>
      </c>
      <c r="F147" s="18">
        <f t="shared" ca="1" si="45"/>
        <v>28</v>
      </c>
      <c r="G147" s="17">
        <f t="shared" ca="1" si="46"/>
        <v>0</v>
      </c>
      <c r="H147" s="18" t="str">
        <f t="shared" ca="1" si="47"/>
        <v>—</v>
      </c>
      <c r="I147" s="17">
        <f t="shared" ca="1" si="48"/>
        <v>7</v>
      </c>
      <c r="J147" s="18" t="str">
        <f t="shared" ca="1" si="49"/>
        <v>—</v>
      </c>
      <c r="K147" s="17">
        <f t="shared" ca="1" si="50"/>
        <v>7</v>
      </c>
      <c r="L147" s="10">
        <f t="shared" ca="1" si="51"/>
        <v>67</v>
      </c>
      <c r="M147" s="17">
        <f t="shared" ca="1" si="52"/>
        <v>0</v>
      </c>
      <c r="N147" s="18">
        <f t="shared" ca="1" si="53"/>
        <v>18.899999999999999</v>
      </c>
      <c r="O147" s="17">
        <f t="shared" ca="1" si="54"/>
        <v>0</v>
      </c>
      <c r="P147" s="18">
        <f t="shared" ca="1" si="55"/>
        <v>23.2</v>
      </c>
      <c r="Q147" s="17">
        <f t="shared" ca="1" si="56"/>
        <v>0</v>
      </c>
      <c r="R147" s="10">
        <f t="shared" ca="1" si="57"/>
        <v>65</v>
      </c>
      <c r="S147" s="17">
        <f t="shared" ca="1" si="58"/>
        <v>0</v>
      </c>
      <c r="T147" s="70">
        <f t="shared" ca="1" si="59"/>
        <v>0.5</v>
      </c>
      <c r="U147" s="17">
        <f t="shared" ca="1" si="60"/>
        <v>0</v>
      </c>
      <c r="V147" s="71">
        <f t="shared" ca="1" si="61"/>
        <v>3</v>
      </c>
      <c r="W147" s="17">
        <f t="shared" ca="1" si="62"/>
        <v>0</v>
      </c>
    </row>
    <row r="148" spans="1:23" x14ac:dyDescent="0.25">
      <c r="A148" s="4">
        <f t="shared" si="42"/>
        <v>32</v>
      </c>
      <c r="B148" t="str">
        <f ca="1">TEXT(DATE(YEAR(Invoer!$A$6),1,1)+INT((ROWS(B$2:B148)-1)/4),"jjjjmmdd")</f>
        <v>19400206</v>
      </c>
      <c r="C148" s="64" t="str">
        <f>IF(MOD(ROWS(C$2:C148)-1,4)=3,"24.00",INDEX(Data,3,2+MOD(ROWS(C$2:C148)-1,4)))</f>
        <v>17.00</v>
      </c>
      <c r="D148" s="18">
        <f t="shared" ca="1" si="43"/>
        <v>759.5</v>
      </c>
      <c r="E148" s="17">
        <f t="shared" ca="1" si="44"/>
        <v>0</v>
      </c>
      <c r="F148" s="18">
        <f t="shared" ca="1" si="45"/>
        <v>27.1</v>
      </c>
      <c r="G148" s="17">
        <f t="shared" ca="1" si="46"/>
        <v>0</v>
      </c>
      <c r="H148" s="18" t="str">
        <f t="shared" ca="1" si="47"/>
        <v>—</v>
      </c>
      <c r="I148" s="17">
        <f t="shared" ca="1" si="48"/>
        <v>7</v>
      </c>
      <c r="J148" s="18" t="str">
        <f t="shared" ca="1" si="49"/>
        <v>—</v>
      </c>
      <c r="K148" s="17">
        <f t="shared" ca="1" si="50"/>
        <v>7</v>
      </c>
      <c r="L148" s="10">
        <f t="shared" ca="1" si="51"/>
        <v>71</v>
      </c>
      <c r="M148" s="17">
        <f t="shared" ca="1" si="52"/>
        <v>0</v>
      </c>
      <c r="N148" s="18">
        <f t="shared" ca="1" si="53"/>
        <v>19</v>
      </c>
      <c r="O148" s="17">
        <f t="shared" ca="1" si="54"/>
        <v>0</v>
      </c>
      <c r="P148" s="18">
        <f t="shared" ca="1" si="55"/>
        <v>23</v>
      </c>
      <c r="Q148" s="17">
        <f t="shared" ca="1" si="56"/>
        <v>0</v>
      </c>
      <c r="R148" s="10">
        <f t="shared" ca="1" si="57"/>
        <v>65</v>
      </c>
      <c r="S148" s="17">
        <f t="shared" ca="1" si="58"/>
        <v>0</v>
      </c>
      <c r="T148" s="70">
        <f t="shared" ca="1" si="59"/>
        <v>0.5</v>
      </c>
      <c r="U148" s="17">
        <f t="shared" ca="1" si="60"/>
        <v>0</v>
      </c>
      <c r="V148" s="71">
        <f t="shared" ca="1" si="61"/>
        <v>3</v>
      </c>
      <c r="W148" s="17">
        <f t="shared" ca="1" si="62"/>
        <v>0</v>
      </c>
    </row>
    <row r="149" spans="1:23" x14ac:dyDescent="0.25">
      <c r="A149" s="4">
        <f t="shared" si="42"/>
        <v>32</v>
      </c>
      <c r="B149" t="str">
        <f ca="1">TEXT(DATE(YEAR(Invoer!$A$6),1,1)+INT((ROWS(B$2:B149)-1)/4),"jjjjmmdd")</f>
        <v>19400206</v>
      </c>
      <c r="C149" s="64" t="str">
        <f>IF(MOD(ROWS(C$2:C149)-1,4)=3,"24.00",INDEX(Data,3,2+MOD(ROWS(C$2:C149)-1,4)))</f>
        <v>24.00</v>
      </c>
      <c r="D149" s="18" t="str">
        <f t="shared" ca="1" si="43"/>
        <v>—</v>
      </c>
      <c r="E149" s="17">
        <f t="shared" ca="1" si="44"/>
        <v>7</v>
      </c>
      <c r="F149" s="18" t="str">
        <f t="shared" ca="1" si="45"/>
        <v>—</v>
      </c>
      <c r="G149" s="17">
        <f t="shared" ca="1" si="46"/>
        <v>7</v>
      </c>
      <c r="H149" s="18">
        <f t="shared" ca="1" si="47"/>
        <v>27</v>
      </c>
      <c r="I149" s="17">
        <f t="shared" ca="1" si="48"/>
        <v>0</v>
      </c>
      <c r="J149" s="18">
        <f t="shared" ca="1" si="49"/>
        <v>29.6</v>
      </c>
      <c r="K149" s="17">
        <f t="shared" ca="1" si="50"/>
        <v>0</v>
      </c>
      <c r="L149" s="10" t="str">
        <f t="shared" ca="1" si="51"/>
        <v>—</v>
      </c>
      <c r="M149" s="17">
        <f t="shared" ca="1" si="52"/>
        <v>7</v>
      </c>
      <c r="N149" s="18" t="str">
        <f t="shared" ca="1" si="53"/>
        <v>—</v>
      </c>
      <c r="O149" s="17">
        <f t="shared" ca="1" si="54"/>
        <v>7</v>
      </c>
      <c r="P149" s="18" t="str">
        <f t="shared" ca="1" si="55"/>
        <v>—</v>
      </c>
      <c r="Q149" s="17">
        <f t="shared" ca="1" si="56"/>
        <v>7</v>
      </c>
      <c r="R149" s="10" t="str">
        <f t="shared" ca="1" si="57"/>
        <v>—</v>
      </c>
      <c r="S149" s="17">
        <f t="shared" ca="1" si="58"/>
        <v>7</v>
      </c>
      <c r="T149" s="70" t="str">
        <f t="shared" ca="1" si="59"/>
        <v>—</v>
      </c>
      <c r="U149" s="17">
        <f t="shared" ca="1" si="60"/>
        <v>7</v>
      </c>
      <c r="V149" s="71" t="str">
        <f t="shared" ca="1" si="61"/>
        <v>—</v>
      </c>
      <c r="W149" s="17">
        <f t="shared" ca="1" si="62"/>
        <v>7</v>
      </c>
    </row>
    <row r="150" spans="1:23" x14ac:dyDescent="0.25">
      <c r="A150" s="4">
        <f t="shared" si="42"/>
        <v>32</v>
      </c>
      <c r="B150" t="str">
        <f ca="1">TEXT(DATE(YEAR(Invoer!$A$6),1,1)+INT((ROWS(B$2:B150)-1)/4),"jjjjmmdd")</f>
        <v>19400207</v>
      </c>
      <c r="C150" s="64" t="str">
        <f>IF(MOD(ROWS(C$2:C150)-1,4)=3,"24.00",INDEX(Data,3,2+MOD(ROWS(C$2:C150)-1,4)))</f>
        <v>07.00</v>
      </c>
      <c r="D150" s="18">
        <f t="shared" ca="1" si="43"/>
        <v>759.7</v>
      </c>
      <c r="E150" s="17">
        <f t="shared" ca="1" si="44"/>
        <v>0</v>
      </c>
      <c r="F150" s="18">
        <f t="shared" ca="1" si="45"/>
        <v>28</v>
      </c>
      <c r="G150" s="17">
        <f t="shared" ca="1" si="46"/>
        <v>0</v>
      </c>
      <c r="H150" s="18" t="str">
        <f t="shared" ca="1" si="47"/>
        <v>—</v>
      </c>
      <c r="I150" s="17">
        <f t="shared" ca="1" si="48"/>
        <v>7</v>
      </c>
      <c r="J150" s="18" t="str">
        <f t="shared" ca="1" si="49"/>
        <v>—</v>
      </c>
      <c r="K150" s="17">
        <f t="shared" ca="1" si="50"/>
        <v>7</v>
      </c>
      <c r="L150" s="10">
        <f t="shared" ca="1" si="51"/>
        <v>68</v>
      </c>
      <c r="M150" s="17">
        <f t="shared" ca="1" si="52"/>
        <v>0</v>
      </c>
      <c r="N150" s="18">
        <f t="shared" ca="1" si="53"/>
        <v>19.3</v>
      </c>
      <c r="O150" s="17">
        <f t="shared" ca="1" si="54"/>
        <v>0</v>
      </c>
      <c r="P150" s="18">
        <f t="shared" ca="1" si="55"/>
        <v>23.4</v>
      </c>
      <c r="Q150" s="17">
        <f t="shared" ca="1" si="56"/>
        <v>0</v>
      </c>
      <c r="R150" s="10">
        <f t="shared" ca="1" si="57"/>
        <v>65</v>
      </c>
      <c r="S150" s="17">
        <f t="shared" ca="1" si="58"/>
        <v>0</v>
      </c>
      <c r="T150" s="70">
        <f t="shared" ca="1" si="59"/>
        <v>0.4</v>
      </c>
      <c r="U150" s="17">
        <f t="shared" ca="1" si="60"/>
        <v>0</v>
      </c>
      <c r="V150" s="71">
        <f t="shared" ca="1" si="61"/>
        <v>3</v>
      </c>
      <c r="W150" s="17">
        <f t="shared" ca="1" si="62"/>
        <v>0</v>
      </c>
    </row>
    <row r="151" spans="1:23" x14ac:dyDescent="0.25">
      <c r="A151" s="4">
        <f t="shared" si="42"/>
        <v>32</v>
      </c>
      <c r="B151" t="str">
        <f ca="1">TEXT(DATE(YEAR(Invoer!$A$6),1,1)+INT((ROWS(B$2:B151)-1)/4),"jjjjmmdd")</f>
        <v>19400207</v>
      </c>
      <c r="C151" s="64" t="str">
        <f>IF(MOD(ROWS(C$2:C151)-1,4)=3,"24.00",INDEX(Data,3,2+MOD(ROWS(C$2:C151)-1,4)))</f>
        <v>12.00</v>
      </c>
      <c r="D151" s="18">
        <f t="shared" ca="1" si="43"/>
        <v>759.7</v>
      </c>
      <c r="E151" s="17">
        <f t="shared" ca="1" si="44"/>
        <v>0</v>
      </c>
      <c r="F151" s="18">
        <f t="shared" ca="1" si="45"/>
        <v>28.5</v>
      </c>
      <c r="G151" s="17">
        <f t="shared" ca="1" si="46"/>
        <v>0</v>
      </c>
      <c r="H151" s="18" t="str">
        <f t="shared" ca="1" si="47"/>
        <v>—</v>
      </c>
      <c r="I151" s="17">
        <f t="shared" ca="1" si="48"/>
        <v>7</v>
      </c>
      <c r="J151" s="18" t="str">
        <f t="shared" ca="1" si="49"/>
        <v>—</v>
      </c>
      <c r="K151" s="17">
        <f t="shared" ca="1" si="50"/>
        <v>7</v>
      </c>
      <c r="L151" s="10">
        <f t="shared" ca="1" si="51"/>
        <v>67</v>
      </c>
      <c r="M151" s="17">
        <f t="shared" ca="1" si="52"/>
        <v>0</v>
      </c>
      <c r="N151" s="18">
        <f t="shared" ca="1" si="53"/>
        <v>19.600000000000001</v>
      </c>
      <c r="O151" s="17">
        <f t="shared" ca="1" si="54"/>
        <v>0</v>
      </c>
      <c r="P151" s="18">
        <f t="shared" ca="1" si="55"/>
        <v>23.7</v>
      </c>
      <c r="Q151" s="17">
        <f t="shared" ca="1" si="56"/>
        <v>0</v>
      </c>
      <c r="R151" s="10">
        <f t="shared" ca="1" si="57"/>
        <v>65</v>
      </c>
      <c r="S151" s="17">
        <f t="shared" ca="1" si="58"/>
        <v>0</v>
      </c>
      <c r="T151" s="70">
        <f t="shared" ca="1" si="59"/>
        <v>0.6</v>
      </c>
      <c r="U151" s="17">
        <f t="shared" ca="1" si="60"/>
        <v>0</v>
      </c>
      <c r="V151" s="71">
        <f t="shared" ca="1" si="61"/>
        <v>4</v>
      </c>
      <c r="W151" s="17">
        <f t="shared" ca="1" si="62"/>
        <v>0</v>
      </c>
    </row>
    <row r="152" spans="1:23" x14ac:dyDescent="0.25">
      <c r="A152" s="4">
        <f t="shared" si="42"/>
        <v>32</v>
      </c>
      <c r="B152" t="str">
        <f ca="1">TEXT(DATE(YEAR(Invoer!$A$6),1,1)+INT((ROWS(B$2:B152)-1)/4),"jjjjmmdd")</f>
        <v>19400207</v>
      </c>
      <c r="C152" s="64" t="str">
        <f>IF(MOD(ROWS(C$2:C152)-1,4)=3,"24.00",INDEX(Data,3,2+MOD(ROWS(C$2:C152)-1,4)))</f>
        <v>17.00</v>
      </c>
      <c r="D152" s="18">
        <f t="shared" ca="1" si="43"/>
        <v>759.5</v>
      </c>
      <c r="E152" s="17">
        <f t="shared" ca="1" si="44"/>
        <v>0</v>
      </c>
      <c r="F152" s="18">
        <f t="shared" ca="1" si="45"/>
        <v>27.9</v>
      </c>
      <c r="G152" s="17">
        <f t="shared" ca="1" si="46"/>
        <v>0</v>
      </c>
      <c r="H152" s="18" t="str">
        <f t="shared" ca="1" si="47"/>
        <v>—</v>
      </c>
      <c r="I152" s="17">
        <f t="shared" ca="1" si="48"/>
        <v>7</v>
      </c>
      <c r="J152" s="18" t="str">
        <f t="shared" ca="1" si="49"/>
        <v>—</v>
      </c>
      <c r="K152" s="17">
        <f t="shared" ca="1" si="50"/>
        <v>7</v>
      </c>
      <c r="L152" s="10">
        <f t="shared" ca="1" si="51"/>
        <v>68</v>
      </c>
      <c r="M152" s="17">
        <f t="shared" ca="1" si="52"/>
        <v>0</v>
      </c>
      <c r="N152" s="18">
        <f t="shared" ca="1" si="53"/>
        <v>19.2</v>
      </c>
      <c r="O152" s="17">
        <f t="shared" ca="1" si="54"/>
        <v>0</v>
      </c>
      <c r="P152" s="18">
        <f t="shared" ca="1" si="55"/>
        <v>23.3</v>
      </c>
      <c r="Q152" s="17">
        <f t="shared" ca="1" si="56"/>
        <v>0</v>
      </c>
      <c r="R152" s="10">
        <f t="shared" ca="1" si="57"/>
        <v>65</v>
      </c>
      <c r="S152" s="17">
        <f t="shared" ca="1" si="58"/>
        <v>0</v>
      </c>
      <c r="T152" s="70">
        <f t="shared" ca="1" si="59"/>
        <v>0.6</v>
      </c>
      <c r="U152" s="17">
        <f t="shared" ca="1" si="60"/>
        <v>0</v>
      </c>
      <c r="V152" s="71">
        <f t="shared" ca="1" si="61"/>
        <v>3</v>
      </c>
      <c r="W152" s="17">
        <f t="shared" ca="1" si="62"/>
        <v>0</v>
      </c>
    </row>
    <row r="153" spans="1:23" x14ac:dyDescent="0.25">
      <c r="A153" s="4">
        <f t="shared" si="42"/>
        <v>32</v>
      </c>
      <c r="B153" t="str">
        <f ca="1">TEXT(DATE(YEAR(Invoer!$A$6),1,1)+INT((ROWS(B$2:B153)-1)/4),"jjjjmmdd")</f>
        <v>19400207</v>
      </c>
      <c r="C153" s="64" t="str">
        <f>IF(MOD(ROWS(C$2:C153)-1,4)=3,"24.00",INDEX(Data,3,2+MOD(ROWS(C$2:C153)-1,4)))</f>
        <v>24.00</v>
      </c>
      <c r="D153" s="18" t="str">
        <f t="shared" ca="1" si="43"/>
        <v>—</v>
      </c>
      <c r="E153" s="17">
        <f t="shared" ca="1" si="44"/>
        <v>7</v>
      </c>
      <c r="F153" s="18" t="str">
        <f t="shared" ca="1" si="45"/>
        <v>—</v>
      </c>
      <c r="G153" s="17">
        <f t="shared" ca="1" si="46"/>
        <v>7</v>
      </c>
      <c r="H153" s="18">
        <f t="shared" ca="1" si="47"/>
        <v>28.8</v>
      </c>
      <c r="I153" s="17">
        <f t="shared" ca="1" si="48"/>
        <v>0</v>
      </c>
      <c r="J153" s="18">
        <f t="shared" ca="1" si="49"/>
        <v>29.8</v>
      </c>
      <c r="K153" s="17">
        <f t="shared" ca="1" si="50"/>
        <v>0</v>
      </c>
      <c r="L153" s="10" t="str">
        <f t="shared" ca="1" si="51"/>
        <v>—</v>
      </c>
      <c r="M153" s="17">
        <f t="shared" ca="1" si="52"/>
        <v>7</v>
      </c>
      <c r="N153" s="18" t="str">
        <f t="shared" ca="1" si="53"/>
        <v>—</v>
      </c>
      <c r="O153" s="17">
        <f t="shared" ca="1" si="54"/>
        <v>7</v>
      </c>
      <c r="P153" s="18" t="str">
        <f t="shared" ca="1" si="55"/>
        <v>—</v>
      </c>
      <c r="Q153" s="17">
        <f t="shared" ca="1" si="56"/>
        <v>7</v>
      </c>
      <c r="R153" s="10" t="str">
        <f t="shared" ca="1" si="57"/>
        <v>—</v>
      </c>
      <c r="S153" s="17">
        <f t="shared" ca="1" si="58"/>
        <v>7</v>
      </c>
      <c r="T153" s="70" t="str">
        <f t="shared" ca="1" si="59"/>
        <v>—</v>
      </c>
      <c r="U153" s="17">
        <f t="shared" ca="1" si="60"/>
        <v>7</v>
      </c>
      <c r="V153" s="71" t="str">
        <f t="shared" ca="1" si="61"/>
        <v>—</v>
      </c>
      <c r="W153" s="17">
        <f t="shared" ca="1" si="62"/>
        <v>7</v>
      </c>
    </row>
    <row r="154" spans="1:23" x14ac:dyDescent="0.25">
      <c r="A154" s="4">
        <f t="shared" si="42"/>
        <v>32</v>
      </c>
      <c r="B154" t="str">
        <f ca="1">TEXT(DATE(YEAR(Invoer!$A$6),1,1)+INT((ROWS(B$2:B154)-1)/4),"jjjjmmdd")</f>
        <v>19400208</v>
      </c>
      <c r="C154" s="64" t="str">
        <f>IF(MOD(ROWS(C$2:C154)-1,4)=3,"24.00",INDEX(Data,3,2+MOD(ROWS(C$2:C154)-1,4)))</f>
        <v>07.00</v>
      </c>
      <c r="D154" s="18">
        <f t="shared" ca="1" si="43"/>
        <v>761</v>
      </c>
      <c r="E154" s="17">
        <f t="shared" ca="1" si="44"/>
        <v>0</v>
      </c>
      <c r="F154" s="18">
        <f t="shared" ca="1" si="45"/>
        <v>26.7</v>
      </c>
      <c r="G154" s="17">
        <f t="shared" ca="1" si="46"/>
        <v>0</v>
      </c>
      <c r="H154" s="18" t="str">
        <f t="shared" ca="1" si="47"/>
        <v>—</v>
      </c>
      <c r="I154" s="17">
        <f t="shared" ca="1" si="48"/>
        <v>7</v>
      </c>
      <c r="J154" s="18" t="str">
        <f t="shared" ca="1" si="49"/>
        <v>—</v>
      </c>
      <c r="K154" s="17">
        <f t="shared" ca="1" si="50"/>
        <v>7</v>
      </c>
      <c r="L154" s="10">
        <f t="shared" ca="1" si="51"/>
        <v>72</v>
      </c>
      <c r="M154" s="17">
        <f t="shared" ca="1" si="52"/>
        <v>0</v>
      </c>
      <c r="N154" s="18">
        <f t="shared" ca="1" si="53"/>
        <v>18.899999999999999</v>
      </c>
      <c r="O154" s="17">
        <f t="shared" ca="1" si="54"/>
        <v>0</v>
      </c>
      <c r="P154" s="18">
        <f t="shared" ca="1" si="55"/>
        <v>22.8</v>
      </c>
      <c r="Q154" s="17">
        <f t="shared" ca="1" si="56"/>
        <v>0</v>
      </c>
      <c r="R154" s="10">
        <f t="shared" ca="1" si="57"/>
        <v>65</v>
      </c>
      <c r="S154" s="17">
        <f t="shared" ca="1" si="58"/>
        <v>0</v>
      </c>
      <c r="T154" s="70">
        <f t="shared" ca="1" si="59"/>
        <v>0.4</v>
      </c>
      <c r="U154" s="17">
        <f t="shared" ca="1" si="60"/>
        <v>0</v>
      </c>
      <c r="V154" s="71">
        <f t="shared" ca="1" si="61"/>
        <v>2</v>
      </c>
      <c r="W154" s="17">
        <f t="shared" ca="1" si="62"/>
        <v>0</v>
      </c>
    </row>
    <row r="155" spans="1:23" x14ac:dyDescent="0.25">
      <c r="A155" s="4">
        <f t="shared" si="42"/>
        <v>32</v>
      </c>
      <c r="B155" t="str">
        <f ca="1">TEXT(DATE(YEAR(Invoer!$A$6),1,1)+INT((ROWS(B$2:B155)-1)/4),"jjjjmmdd")</f>
        <v>19400208</v>
      </c>
      <c r="C155" s="64" t="str">
        <f>IF(MOD(ROWS(C$2:C155)-1,4)=3,"24.00",INDEX(Data,3,2+MOD(ROWS(C$2:C155)-1,4)))</f>
        <v>12.00</v>
      </c>
      <c r="D155" s="18">
        <f t="shared" ca="1" si="43"/>
        <v>759.5</v>
      </c>
      <c r="E155" s="17">
        <f t="shared" ca="1" si="44"/>
        <v>0</v>
      </c>
      <c r="F155" s="18">
        <f t="shared" ca="1" si="45"/>
        <v>26.9</v>
      </c>
      <c r="G155" s="17">
        <f t="shared" ca="1" si="46"/>
        <v>0</v>
      </c>
      <c r="H155" s="18" t="str">
        <f t="shared" ca="1" si="47"/>
        <v>—</v>
      </c>
      <c r="I155" s="17">
        <f t="shared" ca="1" si="48"/>
        <v>7</v>
      </c>
      <c r="J155" s="18" t="str">
        <f t="shared" ca="1" si="49"/>
        <v>—</v>
      </c>
      <c r="K155" s="17">
        <f t="shared" ca="1" si="50"/>
        <v>7</v>
      </c>
      <c r="L155" s="10">
        <f t="shared" ca="1" si="51"/>
        <v>73</v>
      </c>
      <c r="M155" s="17">
        <f t="shared" ca="1" si="52"/>
        <v>0</v>
      </c>
      <c r="N155" s="18">
        <f t="shared" ca="1" si="53"/>
        <v>19.5</v>
      </c>
      <c r="O155" s="17">
        <f t="shared" ca="1" si="54"/>
        <v>0</v>
      </c>
      <c r="P155" s="18">
        <f t="shared" ca="1" si="55"/>
        <v>23.2</v>
      </c>
      <c r="Q155" s="17">
        <f t="shared" ca="1" si="56"/>
        <v>0</v>
      </c>
      <c r="R155" s="10">
        <f t="shared" ca="1" si="57"/>
        <v>65</v>
      </c>
      <c r="S155" s="17">
        <f t="shared" ca="1" si="58"/>
        <v>0</v>
      </c>
      <c r="T155" s="70">
        <f t="shared" ca="1" si="59"/>
        <v>0.5</v>
      </c>
      <c r="U155" s="17">
        <f t="shared" ca="1" si="60"/>
        <v>0</v>
      </c>
      <c r="V155" s="71">
        <f t="shared" ca="1" si="61"/>
        <v>3</v>
      </c>
      <c r="W155" s="17">
        <f t="shared" ca="1" si="62"/>
        <v>0</v>
      </c>
    </row>
    <row r="156" spans="1:23" x14ac:dyDescent="0.25">
      <c r="A156" s="4">
        <f t="shared" si="42"/>
        <v>32</v>
      </c>
      <c r="B156" t="str">
        <f ca="1">TEXT(DATE(YEAR(Invoer!$A$6),1,1)+INT((ROWS(B$2:B156)-1)/4),"jjjjmmdd")</f>
        <v>19400208</v>
      </c>
      <c r="C156" s="64" t="str">
        <f>IF(MOD(ROWS(C$2:C156)-1,4)=3,"24.00",INDEX(Data,3,2+MOD(ROWS(C$2:C156)-1,4)))</f>
        <v>17.00</v>
      </c>
      <c r="D156" s="18">
        <f t="shared" ca="1" si="43"/>
        <v>759.5</v>
      </c>
      <c r="E156" s="17">
        <f t="shared" ca="1" si="44"/>
        <v>0</v>
      </c>
      <c r="F156" s="18">
        <f t="shared" ca="1" si="45"/>
        <v>26.9</v>
      </c>
      <c r="G156" s="17">
        <f t="shared" ca="1" si="46"/>
        <v>0</v>
      </c>
      <c r="H156" s="18" t="str">
        <f t="shared" ca="1" si="47"/>
        <v>—</v>
      </c>
      <c r="I156" s="17">
        <f t="shared" ca="1" si="48"/>
        <v>7</v>
      </c>
      <c r="J156" s="18" t="str">
        <f t="shared" ca="1" si="49"/>
        <v>—</v>
      </c>
      <c r="K156" s="17">
        <f t="shared" ca="1" si="50"/>
        <v>7</v>
      </c>
      <c r="L156" s="10">
        <f t="shared" ca="1" si="51"/>
        <v>71</v>
      </c>
      <c r="M156" s="17">
        <f t="shared" ca="1" si="52"/>
        <v>0</v>
      </c>
      <c r="N156" s="18">
        <f t="shared" ca="1" si="53"/>
        <v>19</v>
      </c>
      <c r="O156" s="17">
        <f t="shared" ca="1" si="54"/>
        <v>0</v>
      </c>
      <c r="P156" s="18">
        <f t="shared" ca="1" si="55"/>
        <v>22.9</v>
      </c>
      <c r="Q156" s="17">
        <f t="shared" ca="1" si="56"/>
        <v>0</v>
      </c>
      <c r="R156" s="10">
        <f t="shared" ca="1" si="57"/>
        <v>65</v>
      </c>
      <c r="S156" s="17">
        <f t="shared" ca="1" si="58"/>
        <v>0</v>
      </c>
      <c r="T156" s="70">
        <f t="shared" ca="1" si="59"/>
        <v>0.6</v>
      </c>
      <c r="U156" s="17">
        <f t="shared" ca="1" si="60"/>
        <v>0</v>
      </c>
      <c r="V156" s="71">
        <f t="shared" ca="1" si="61"/>
        <v>2</v>
      </c>
      <c r="W156" s="17">
        <f t="shared" ca="1" si="62"/>
        <v>0</v>
      </c>
    </row>
    <row r="157" spans="1:23" x14ac:dyDescent="0.25">
      <c r="A157" s="4">
        <f t="shared" si="42"/>
        <v>32</v>
      </c>
      <c r="B157" t="str">
        <f ca="1">TEXT(DATE(YEAR(Invoer!$A$6),1,1)+INT((ROWS(B$2:B157)-1)/4),"jjjjmmdd")</f>
        <v>19400208</v>
      </c>
      <c r="C157" s="64" t="str">
        <f>IF(MOD(ROWS(C$2:C157)-1,4)=3,"24.00",INDEX(Data,3,2+MOD(ROWS(C$2:C157)-1,4)))</f>
        <v>24.00</v>
      </c>
      <c r="D157" s="18" t="str">
        <f t="shared" ca="1" si="43"/>
        <v>—</v>
      </c>
      <c r="E157" s="17">
        <f t="shared" ca="1" si="44"/>
        <v>7</v>
      </c>
      <c r="F157" s="18" t="str">
        <f t="shared" ca="1" si="45"/>
        <v>—</v>
      </c>
      <c r="G157" s="17">
        <f t="shared" ca="1" si="46"/>
        <v>7</v>
      </c>
      <c r="H157" s="18">
        <f t="shared" ca="1" si="47"/>
        <v>28.3</v>
      </c>
      <c r="I157" s="17">
        <f t="shared" ca="1" si="48"/>
        <v>0</v>
      </c>
      <c r="J157" s="18">
        <f t="shared" ca="1" si="49"/>
        <v>29.6</v>
      </c>
      <c r="K157" s="17">
        <f t="shared" ca="1" si="50"/>
        <v>0</v>
      </c>
      <c r="L157" s="10" t="str">
        <f t="shared" ca="1" si="51"/>
        <v>—</v>
      </c>
      <c r="M157" s="17">
        <f t="shared" ca="1" si="52"/>
        <v>7</v>
      </c>
      <c r="N157" s="18" t="str">
        <f t="shared" ca="1" si="53"/>
        <v>—</v>
      </c>
      <c r="O157" s="17">
        <f t="shared" ca="1" si="54"/>
        <v>7</v>
      </c>
      <c r="P157" s="18" t="str">
        <f t="shared" ca="1" si="55"/>
        <v>—</v>
      </c>
      <c r="Q157" s="17">
        <f t="shared" ca="1" si="56"/>
        <v>7</v>
      </c>
      <c r="R157" s="10" t="str">
        <f t="shared" ca="1" si="57"/>
        <v>—</v>
      </c>
      <c r="S157" s="17">
        <f t="shared" ca="1" si="58"/>
        <v>7</v>
      </c>
      <c r="T157" s="70" t="str">
        <f t="shared" ca="1" si="59"/>
        <v>—</v>
      </c>
      <c r="U157" s="17">
        <f t="shared" ca="1" si="60"/>
        <v>7</v>
      </c>
      <c r="V157" s="71" t="str">
        <f t="shared" ca="1" si="61"/>
        <v>—</v>
      </c>
      <c r="W157" s="17">
        <f t="shared" ca="1" si="62"/>
        <v>7</v>
      </c>
    </row>
    <row r="158" spans="1:23" x14ac:dyDescent="0.25">
      <c r="A158" s="4">
        <f t="shared" si="42"/>
        <v>32</v>
      </c>
      <c r="B158" t="str">
        <f ca="1">TEXT(DATE(YEAR(Invoer!$A$6),1,1)+INT((ROWS(B$2:B158)-1)/4),"jjjjmmdd")</f>
        <v>19400209</v>
      </c>
      <c r="C158" s="64" t="str">
        <f>IF(MOD(ROWS(C$2:C158)-1,4)=3,"24.00",INDEX(Data,3,2+MOD(ROWS(C$2:C158)-1,4)))</f>
        <v>07.00</v>
      </c>
      <c r="D158" s="18">
        <f t="shared" ca="1" si="43"/>
        <v>759.7</v>
      </c>
      <c r="E158" s="17">
        <f t="shared" ca="1" si="44"/>
        <v>0</v>
      </c>
      <c r="F158" s="18">
        <f t="shared" ca="1" si="45"/>
        <v>27.7</v>
      </c>
      <c r="G158" s="17">
        <f t="shared" ca="1" si="46"/>
        <v>0</v>
      </c>
      <c r="H158" s="18" t="str">
        <f t="shared" ca="1" si="47"/>
        <v>—</v>
      </c>
      <c r="I158" s="17">
        <f t="shared" ca="1" si="48"/>
        <v>7</v>
      </c>
      <c r="J158" s="18" t="str">
        <f t="shared" ca="1" si="49"/>
        <v>—</v>
      </c>
      <c r="K158" s="17">
        <f t="shared" ca="1" si="50"/>
        <v>7</v>
      </c>
      <c r="L158" s="10">
        <f t="shared" ca="1" si="51"/>
        <v>72</v>
      </c>
      <c r="M158" s="17">
        <f t="shared" ca="1" si="52"/>
        <v>0</v>
      </c>
      <c r="N158" s="18">
        <f t="shared" ca="1" si="53"/>
        <v>20.2</v>
      </c>
      <c r="O158" s="17">
        <f t="shared" ca="1" si="54"/>
        <v>0</v>
      </c>
      <c r="P158" s="18">
        <f t="shared" ca="1" si="55"/>
        <v>23.8</v>
      </c>
      <c r="Q158" s="17">
        <f t="shared" ca="1" si="56"/>
        <v>0</v>
      </c>
      <c r="R158" s="10">
        <f t="shared" ca="1" si="57"/>
        <v>65</v>
      </c>
      <c r="S158" s="17">
        <f t="shared" ca="1" si="58"/>
        <v>0</v>
      </c>
      <c r="T158" s="70">
        <f t="shared" ca="1" si="59"/>
        <v>0.4</v>
      </c>
      <c r="U158" s="17">
        <f t="shared" ca="1" si="60"/>
        <v>0</v>
      </c>
      <c r="V158" s="71">
        <f t="shared" ca="1" si="61"/>
        <v>3</v>
      </c>
      <c r="W158" s="17">
        <f t="shared" ca="1" si="62"/>
        <v>0</v>
      </c>
    </row>
    <row r="159" spans="1:23" x14ac:dyDescent="0.25">
      <c r="A159" s="4">
        <f t="shared" si="42"/>
        <v>32</v>
      </c>
      <c r="B159" t="str">
        <f ca="1">TEXT(DATE(YEAR(Invoer!$A$6),1,1)+INT((ROWS(B$2:B159)-1)/4),"jjjjmmdd")</f>
        <v>19400209</v>
      </c>
      <c r="C159" s="64" t="str">
        <f>IF(MOD(ROWS(C$2:C159)-1,4)=3,"24.00",INDEX(Data,3,2+MOD(ROWS(C$2:C159)-1,4)))</f>
        <v>12.00</v>
      </c>
      <c r="D159" s="18">
        <f t="shared" ca="1" si="43"/>
        <v>760</v>
      </c>
      <c r="E159" s="17">
        <f t="shared" ca="1" si="44"/>
        <v>0</v>
      </c>
      <c r="F159" s="18">
        <f t="shared" ca="1" si="45"/>
        <v>29.7</v>
      </c>
      <c r="G159" s="17">
        <f t="shared" ca="1" si="46"/>
        <v>0</v>
      </c>
      <c r="H159" s="18" t="str">
        <f t="shared" ca="1" si="47"/>
        <v>—</v>
      </c>
      <c r="I159" s="17">
        <f t="shared" ca="1" si="48"/>
        <v>7</v>
      </c>
      <c r="J159" s="18" t="str">
        <f t="shared" ca="1" si="49"/>
        <v>—</v>
      </c>
      <c r="K159" s="17">
        <f t="shared" ca="1" si="50"/>
        <v>7</v>
      </c>
      <c r="L159" s="10">
        <f t="shared" ca="1" si="51"/>
        <v>66</v>
      </c>
      <c r="M159" s="17">
        <f t="shared" ca="1" si="52"/>
        <v>0</v>
      </c>
      <c r="N159" s="18">
        <f t="shared" ca="1" si="53"/>
        <v>20.7</v>
      </c>
      <c r="O159" s="17">
        <f t="shared" ca="1" si="54"/>
        <v>0</v>
      </c>
      <c r="P159" s="18">
        <f t="shared" ca="1" si="55"/>
        <v>24.6</v>
      </c>
      <c r="Q159" s="17">
        <f t="shared" ca="1" si="56"/>
        <v>0</v>
      </c>
      <c r="R159" s="10">
        <f t="shared" ca="1" si="57"/>
        <v>65</v>
      </c>
      <c r="S159" s="17">
        <f t="shared" ca="1" si="58"/>
        <v>0</v>
      </c>
      <c r="T159" s="70">
        <f t="shared" ca="1" si="59"/>
        <v>0.6</v>
      </c>
      <c r="U159" s="17">
        <f t="shared" ca="1" si="60"/>
        <v>0</v>
      </c>
      <c r="V159" s="71">
        <f t="shared" ca="1" si="61"/>
        <v>2</v>
      </c>
      <c r="W159" s="17">
        <f t="shared" ca="1" si="62"/>
        <v>0</v>
      </c>
    </row>
    <row r="160" spans="1:23" x14ac:dyDescent="0.25">
      <c r="A160" s="4">
        <f t="shared" si="42"/>
        <v>32</v>
      </c>
      <c r="B160" t="str">
        <f ca="1">TEXT(DATE(YEAR(Invoer!$A$6),1,1)+INT((ROWS(B$2:B160)-1)/4),"jjjjmmdd")</f>
        <v>19400209</v>
      </c>
      <c r="C160" s="64" t="str">
        <f>IF(MOD(ROWS(C$2:C160)-1,4)=3,"24.00",INDEX(Data,3,2+MOD(ROWS(C$2:C160)-1,4)))</f>
        <v>17.00</v>
      </c>
      <c r="D160" s="18">
        <f t="shared" ca="1" si="43"/>
        <v>760.2</v>
      </c>
      <c r="E160" s="17">
        <f t="shared" ca="1" si="44"/>
        <v>0</v>
      </c>
      <c r="F160" s="18">
        <f t="shared" ca="1" si="45"/>
        <v>28.1</v>
      </c>
      <c r="G160" s="17">
        <f t="shared" ca="1" si="46"/>
        <v>0</v>
      </c>
      <c r="H160" s="18" t="str">
        <f t="shared" ca="1" si="47"/>
        <v>—</v>
      </c>
      <c r="I160" s="17">
        <f t="shared" ca="1" si="48"/>
        <v>7</v>
      </c>
      <c r="J160" s="18" t="str">
        <f t="shared" ca="1" si="49"/>
        <v>—</v>
      </c>
      <c r="K160" s="17">
        <f t="shared" ca="1" si="50"/>
        <v>7</v>
      </c>
      <c r="L160" s="10">
        <f t="shared" ca="1" si="51"/>
        <v>71</v>
      </c>
      <c r="M160" s="17">
        <f t="shared" ca="1" si="52"/>
        <v>0</v>
      </c>
      <c r="N160" s="18">
        <f t="shared" ca="1" si="53"/>
        <v>20.3</v>
      </c>
      <c r="O160" s="17">
        <f t="shared" ca="1" si="54"/>
        <v>0</v>
      </c>
      <c r="P160" s="18">
        <f t="shared" ca="1" si="55"/>
        <v>24</v>
      </c>
      <c r="Q160" s="17">
        <f t="shared" ca="1" si="56"/>
        <v>0</v>
      </c>
      <c r="R160" s="10">
        <f t="shared" ca="1" si="57"/>
        <v>65</v>
      </c>
      <c r="S160" s="17">
        <f t="shared" ca="1" si="58"/>
        <v>0</v>
      </c>
      <c r="T160" s="70">
        <f t="shared" ca="1" si="59"/>
        <v>0.6</v>
      </c>
      <c r="U160" s="17">
        <f t="shared" ca="1" si="60"/>
        <v>0</v>
      </c>
      <c r="V160" s="71">
        <f t="shared" ca="1" si="61"/>
        <v>3</v>
      </c>
      <c r="W160" s="17">
        <f t="shared" ca="1" si="62"/>
        <v>0</v>
      </c>
    </row>
    <row r="161" spans="1:23" x14ac:dyDescent="0.25">
      <c r="A161" s="4">
        <f t="shared" si="42"/>
        <v>32</v>
      </c>
      <c r="B161" t="str">
        <f ca="1">TEXT(DATE(YEAR(Invoer!$A$6),1,1)+INT((ROWS(B$2:B161)-1)/4),"jjjjmmdd")</f>
        <v>19400209</v>
      </c>
      <c r="C161" s="64" t="str">
        <f>IF(MOD(ROWS(C$2:C161)-1,4)=3,"24.00",INDEX(Data,3,2+MOD(ROWS(C$2:C161)-1,4)))</f>
        <v>24.00</v>
      </c>
      <c r="D161" s="18" t="str">
        <f t="shared" ca="1" si="43"/>
        <v>—</v>
      </c>
      <c r="E161" s="17">
        <f t="shared" ca="1" si="44"/>
        <v>7</v>
      </c>
      <c r="F161" s="18" t="str">
        <f t="shared" ca="1" si="45"/>
        <v>—</v>
      </c>
      <c r="G161" s="17">
        <f t="shared" ca="1" si="46"/>
        <v>7</v>
      </c>
      <c r="H161" s="18">
        <f t="shared" ca="1" si="47"/>
        <v>29</v>
      </c>
      <c r="I161" s="17">
        <f t="shared" ca="1" si="48"/>
        <v>0</v>
      </c>
      <c r="J161" s="18">
        <f t="shared" ca="1" si="49"/>
        <v>31.1</v>
      </c>
      <c r="K161" s="17">
        <f t="shared" ca="1" si="50"/>
        <v>0</v>
      </c>
      <c r="L161" s="10" t="str">
        <f t="shared" ca="1" si="51"/>
        <v>—</v>
      </c>
      <c r="M161" s="17">
        <f t="shared" ca="1" si="52"/>
        <v>7</v>
      </c>
      <c r="N161" s="18" t="str">
        <f t="shared" ca="1" si="53"/>
        <v>—</v>
      </c>
      <c r="O161" s="17">
        <f t="shared" ca="1" si="54"/>
        <v>7</v>
      </c>
      <c r="P161" s="18" t="str">
        <f t="shared" ca="1" si="55"/>
        <v>—</v>
      </c>
      <c r="Q161" s="17">
        <f t="shared" ca="1" si="56"/>
        <v>7</v>
      </c>
      <c r="R161" s="10" t="str">
        <f t="shared" ca="1" si="57"/>
        <v>—</v>
      </c>
      <c r="S161" s="17">
        <f t="shared" ca="1" si="58"/>
        <v>7</v>
      </c>
      <c r="T161" s="70" t="str">
        <f t="shared" ca="1" si="59"/>
        <v>—</v>
      </c>
      <c r="U161" s="17">
        <f t="shared" ca="1" si="60"/>
        <v>7</v>
      </c>
      <c r="V161" s="71" t="str">
        <f t="shared" ca="1" si="61"/>
        <v>—</v>
      </c>
      <c r="W161" s="17">
        <f t="shared" ca="1" si="62"/>
        <v>7</v>
      </c>
    </row>
    <row r="162" spans="1:23" x14ac:dyDescent="0.25">
      <c r="A162" s="4">
        <f t="shared" si="42"/>
        <v>32</v>
      </c>
      <c r="B162" t="str">
        <f ca="1">TEXT(DATE(YEAR(Invoer!$A$6),1,1)+INT((ROWS(B$2:B162)-1)/4),"jjjjmmdd")</f>
        <v>19400210</v>
      </c>
      <c r="C162" s="64" t="str">
        <f>IF(MOD(ROWS(C$2:C162)-1,4)=3,"24.00",INDEX(Data,3,2+MOD(ROWS(C$2:C162)-1,4)))</f>
        <v>07.00</v>
      </c>
      <c r="D162" s="18">
        <f t="shared" ca="1" si="43"/>
        <v>759.5</v>
      </c>
      <c r="E162" s="17">
        <f t="shared" ca="1" si="44"/>
        <v>0</v>
      </c>
      <c r="F162" s="18">
        <f t="shared" ca="1" si="45"/>
        <v>27.5</v>
      </c>
      <c r="G162" s="17">
        <f t="shared" ca="1" si="46"/>
        <v>0</v>
      </c>
      <c r="H162" s="18" t="str">
        <f t="shared" ca="1" si="47"/>
        <v>—</v>
      </c>
      <c r="I162" s="17">
        <f t="shared" ca="1" si="48"/>
        <v>7</v>
      </c>
      <c r="J162" s="18" t="str">
        <f t="shared" ca="1" si="49"/>
        <v>—</v>
      </c>
      <c r="K162" s="17">
        <f t="shared" ca="1" si="50"/>
        <v>7</v>
      </c>
      <c r="L162" s="10">
        <f t="shared" ca="1" si="51"/>
        <v>75</v>
      </c>
      <c r="M162" s="17">
        <f t="shared" ca="1" si="52"/>
        <v>0</v>
      </c>
      <c r="N162" s="18">
        <f t="shared" ca="1" si="53"/>
        <v>20.6</v>
      </c>
      <c r="O162" s="17">
        <f t="shared" ca="1" si="54"/>
        <v>0</v>
      </c>
      <c r="P162" s="18">
        <f t="shared" ca="1" si="55"/>
        <v>24</v>
      </c>
      <c r="Q162" s="17">
        <f t="shared" ca="1" si="56"/>
        <v>0</v>
      </c>
      <c r="R162" s="10">
        <f t="shared" ca="1" si="57"/>
        <v>90</v>
      </c>
      <c r="S162" s="17">
        <f t="shared" ca="1" si="58"/>
        <v>0</v>
      </c>
      <c r="T162" s="70">
        <f t="shared" ca="1" si="59"/>
        <v>0.4</v>
      </c>
      <c r="U162" s="17">
        <f t="shared" ca="1" si="60"/>
        <v>0</v>
      </c>
      <c r="V162" s="71">
        <f t="shared" ca="1" si="61"/>
        <v>3</v>
      </c>
      <c r="W162" s="17">
        <f t="shared" ca="1" si="62"/>
        <v>0</v>
      </c>
    </row>
    <row r="163" spans="1:23" x14ac:dyDescent="0.25">
      <c r="A163" s="4">
        <f t="shared" si="42"/>
        <v>32</v>
      </c>
      <c r="B163" t="str">
        <f ca="1">TEXT(DATE(YEAR(Invoer!$A$6),1,1)+INT((ROWS(B$2:B163)-1)/4),"jjjjmmdd")</f>
        <v>19400210</v>
      </c>
      <c r="C163" s="64" t="str">
        <f>IF(MOD(ROWS(C$2:C163)-1,4)=3,"24.00",INDEX(Data,3,2+MOD(ROWS(C$2:C163)-1,4)))</f>
        <v>12.00</v>
      </c>
      <c r="D163" s="18">
        <f t="shared" ca="1" si="43"/>
        <v>759.7</v>
      </c>
      <c r="E163" s="17">
        <f t="shared" ca="1" si="44"/>
        <v>0</v>
      </c>
      <c r="F163" s="18">
        <f t="shared" ca="1" si="45"/>
        <v>29.1</v>
      </c>
      <c r="G163" s="17">
        <f t="shared" ca="1" si="46"/>
        <v>0</v>
      </c>
      <c r="H163" s="18" t="str">
        <f t="shared" ca="1" si="47"/>
        <v>—</v>
      </c>
      <c r="I163" s="17">
        <f t="shared" ca="1" si="48"/>
        <v>7</v>
      </c>
      <c r="J163" s="18" t="str">
        <f t="shared" ca="1" si="49"/>
        <v>—</v>
      </c>
      <c r="K163" s="17">
        <f t="shared" ca="1" si="50"/>
        <v>7</v>
      </c>
      <c r="L163" s="10">
        <f t="shared" ca="1" si="51"/>
        <v>69</v>
      </c>
      <c r="M163" s="17">
        <f t="shared" ca="1" si="52"/>
        <v>0</v>
      </c>
      <c r="N163" s="18">
        <f t="shared" ca="1" si="53"/>
        <v>21</v>
      </c>
      <c r="O163" s="17">
        <f t="shared" ca="1" si="54"/>
        <v>0</v>
      </c>
      <c r="P163" s="18">
        <f t="shared" ca="1" si="55"/>
        <v>24.6</v>
      </c>
      <c r="Q163" s="17">
        <f t="shared" ca="1" si="56"/>
        <v>0</v>
      </c>
      <c r="R163" s="10">
        <f t="shared" ca="1" si="57"/>
        <v>90</v>
      </c>
      <c r="S163" s="17">
        <f t="shared" ca="1" si="58"/>
        <v>0</v>
      </c>
      <c r="T163" s="70">
        <f t="shared" ca="1" si="59"/>
        <v>0.5</v>
      </c>
      <c r="U163" s="17">
        <f t="shared" ca="1" si="60"/>
        <v>0</v>
      </c>
      <c r="V163" s="71">
        <f t="shared" ca="1" si="61"/>
        <v>3</v>
      </c>
      <c r="W163" s="17">
        <f t="shared" ca="1" si="62"/>
        <v>0</v>
      </c>
    </row>
    <row r="164" spans="1:23" x14ac:dyDescent="0.25">
      <c r="A164" s="4">
        <f t="shared" si="42"/>
        <v>32</v>
      </c>
      <c r="B164" t="str">
        <f ca="1">TEXT(DATE(YEAR(Invoer!$A$6),1,1)+INT((ROWS(B$2:B164)-1)/4),"jjjjmmdd")</f>
        <v>19400210</v>
      </c>
      <c r="C164" s="64" t="str">
        <f>IF(MOD(ROWS(C$2:C164)-1,4)=3,"24.00",INDEX(Data,3,2+MOD(ROWS(C$2:C164)-1,4)))</f>
        <v>17.00</v>
      </c>
      <c r="D164" s="18">
        <f t="shared" ca="1" si="43"/>
        <v>759.7</v>
      </c>
      <c r="E164" s="17">
        <f t="shared" ca="1" si="44"/>
        <v>0</v>
      </c>
      <c r="F164" s="18">
        <f t="shared" ca="1" si="45"/>
        <v>27.9</v>
      </c>
      <c r="G164" s="17">
        <f t="shared" ca="1" si="46"/>
        <v>0</v>
      </c>
      <c r="H164" s="18" t="str">
        <f t="shared" ca="1" si="47"/>
        <v>—</v>
      </c>
      <c r="I164" s="17">
        <f t="shared" ca="1" si="48"/>
        <v>7</v>
      </c>
      <c r="J164" s="18" t="str">
        <f t="shared" ca="1" si="49"/>
        <v>—</v>
      </c>
      <c r="K164" s="17">
        <f t="shared" ca="1" si="50"/>
        <v>7</v>
      </c>
      <c r="L164" s="10">
        <f t="shared" ca="1" si="51"/>
        <v>74</v>
      </c>
      <c r="M164" s="17">
        <f t="shared" ca="1" si="52"/>
        <v>0</v>
      </c>
      <c r="N164" s="18">
        <f t="shared" ca="1" si="53"/>
        <v>20.8</v>
      </c>
      <c r="O164" s="17">
        <f t="shared" ca="1" si="54"/>
        <v>0</v>
      </c>
      <c r="P164" s="18">
        <f t="shared" ca="1" si="55"/>
        <v>24.2</v>
      </c>
      <c r="Q164" s="17">
        <f t="shared" ca="1" si="56"/>
        <v>0</v>
      </c>
      <c r="R164" s="10">
        <f t="shared" ca="1" si="57"/>
        <v>65</v>
      </c>
      <c r="S164" s="17">
        <f t="shared" ca="1" si="58"/>
        <v>0</v>
      </c>
      <c r="T164" s="70">
        <f t="shared" ca="1" si="59"/>
        <v>0.6</v>
      </c>
      <c r="U164" s="17">
        <f t="shared" ca="1" si="60"/>
        <v>0</v>
      </c>
      <c r="V164" s="71">
        <f t="shared" ca="1" si="61"/>
        <v>3</v>
      </c>
      <c r="W164" s="17">
        <f t="shared" ca="1" si="62"/>
        <v>0</v>
      </c>
    </row>
    <row r="165" spans="1:23" x14ac:dyDescent="0.25">
      <c r="A165" s="4">
        <f t="shared" si="42"/>
        <v>32</v>
      </c>
      <c r="B165" t="str">
        <f ca="1">TEXT(DATE(YEAR(Invoer!$A$6),1,1)+INT((ROWS(B$2:B165)-1)/4),"jjjjmmdd")</f>
        <v>19400210</v>
      </c>
      <c r="C165" s="64" t="str">
        <f>IF(MOD(ROWS(C$2:C165)-1,4)=3,"24.00",INDEX(Data,3,2+MOD(ROWS(C$2:C165)-1,4)))</f>
        <v>24.00</v>
      </c>
      <c r="D165" s="18" t="str">
        <f t="shared" ca="1" si="43"/>
        <v>—</v>
      </c>
      <c r="E165" s="17">
        <f t="shared" ca="1" si="44"/>
        <v>7</v>
      </c>
      <c r="F165" s="18" t="str">
        <f t="shared" ca="1" si="45"/>
        <v>—</v>
      </c>
      <c r="G165" s="17">
        <f t="shared" ca="1" si="46"/>
        <v>7</v>
      </c>
      <c r="H165" s="18">
        <f t="shared" ca="1" si="47"/>
        <v>29.1</v>
      </c>
      <c r="I165" s="17">
        <f t="shared" ca="1" si="48"/>
        <v>0</v>
      </c>
      <c r="J165" s="18">
        <f t="shared" ca="1" si="49"/>
        <v>31.4</v>
      </c>
      <c r="K165" s="17">
        <f t="shared" ca="1" si="50"/>
        <v>0</v>
      </c>
      <c r="L165" s="10" t="str">
        <f t="shared" ca="1" si="51"/>
        <v>—</v>
      </c>
      <c r="M165" s="17">
        <f t="shared" ca="1" si="52"/>
        <v>7</v>
      </c>
      <c r="N165" s="18" t="str">
        <f t="shared" ca="1" si="53"/>
        <v>—</v>
      </c>
      <c r="O165" s="17">
        <f t="shared" ca="1" si="54"/>
        <v>7</v>
      </c>
      <c r="P165" s="18" t="str">
        <f t="shared" ca="1" si="55"/>
        <v>—</v>
      </c>
      <c r="Q165" s="17">
        <f t="shared" ca="1" si="56"/>
        <v>7</v>
      </c>
      <c r="R165" s="10" t="str">
        <f t="shared" ca="1" si="57"/>
        <v>—</v>
      </c>
      <c r="S165" s="17">
        <f t="shared" ca="1" si="58"/>
        <v>7</v>
      </c>
      <c r="T165" s="70" t="str">
        <f t="shared" ca="1" si="59"/>
        <v>—</v>
      </c>
      <c r="U165" s="17">
        <f t="shared" ca="1" si="60"/>
        <v>7</v>
      </c>
      <c r="V165" s="71" t="str">
        <f t="shared" ca="1" si="61"/>
        <v>—</v>
      </c>
      <c r="W165" s="17">
        <f t="shared" ca="1" si="62"/>
        <v>7</v>
      </c>
    </row>
    <row r="166" spans="1:23" x14ac:dyDescent="0.25">
      <c r="A166" s="4">
        <f t="shared" si="42"/>
        <v>32</v>
      </c>
      <c r="B166" t="str">
        <f ca="1">TEXT(DATE(YEAR(Invoer!$A$6),1,1)+INT((ROWS(B$2:B166)-1)/4),"jjjjmmdd")</f>
        <v>19400211</v>
      </c>
      <c r="C166" s="64" t="str">
        <f>IF(MOD(ROWS(C$2:C166)-1,4)=3,"24.00",INDEX(Data,3,2+MOD(ROWS(C$2:C166)-1,4)))</f>
        <v>07.00</v>
      </c>
      <c r="D166" s="18">
        <f t="shared" ca="1" si="43"/>
        <v>758.5</v>
      </c>
      <c r="E166" s="17">
        <f t="shared" ca="1" si="44"/>
        <v>0</v>
      </c>
      <c r="F166" s="18">
        <f t="shared" ca="1" si="45"/>
        <v>27</v>
      </c>
      <c r="G166" s="17">
        <f t="shared" ca="1" si="46"/>
        <v>0</v>
      </c>
      <c r="H166" s="18" t="str">
        <f t="shared" ca="1" si="47"/>
        <v>—</v>
      </c>
      <c r="I166" s="17">
        <f t="shared" ca="1" si="48"/>
        <v>7</v>
      </c>
      <c r="J166" s="18" t="str">
        <f t="shared" ca="1" si="49"/>
        <v>—</v>
      </c>
      <c r="K166" s="17">
        <f t="shared" ca="1" si="50"/>
        <v>7</v>
      </c>
      <c r="L166" s="10">
        <f t="shared" ca="1" si="51"/>
        <v>77</v>
      </c>
      <c r="M166" s="17">
        <f t="shared" ca="1" si="52"/>
        <v>0</v>
      </c>
      <c r="N166" s="18">
        <f t="shared" ca="1" si="53"/>
        <v>20.5</v>
      </c>
      <c r="O166" s="17">
        <f t="shared" ca="1" si="54"/>
        <v>0</v>
      </c>
      <c r="P166" s="18">
        <f t="shared" ca="1" si="55"/>
        <v>23.8</v>
      </c>
      <c r="Q166" s="17">
        <f t="shared" ca="1" si="56"/>
        <v>0</v>
      </c>
      <c r="R166" s="10">
        <f t="shared" ca="1" si="57"/>
        <v>65</v>
      </c>
      <c r="S166" s="17">
        <f t="shared" ca="1" si="58"/>
        <v>0</v>
      </c>
      <c r="T166" s="70">
        <f t="shared" ca="1" si="59"/>
        <v>0.5</v>
      </c>
      <c r="U166" s="17">
        <f t="shared" ca="1" si="60"/>
        <v>0</v>
      </c>
      <c r="V166" s="71">
        <f t="shared" ca="1" si="61"/>
        <v>2</v>
      </c>
      <c r="W166" s="17">
        <f t="shared" ca="1" si="62"/>
        <v>0</v>
      </c>
    </row>
    <row r="167" spans="1:23" x14ac:dyDescent="0.25">
      <c r="A167" s="4">
        <f t="shared" si="42"/>
        <v>32</v>
      </c>
      <c r="B167" t="str">
        <f ca="1">TEXT(DATE(YEAR(Invoer!$A$6),1,1)+INT((ROWS(B$2:B167)-1)/4),"jjjjmmdd")</f>
        <v>19400211</v>
      </c>
      <c r="C167" s="64" t="str">
        <f>IF(MOD(ROWS(C$2:C167)-1,4)=3,"24.00",INDEX(Data,3,2+MOD(ROWS(C$2:C167)-1,4)))</f>
        <v>12.00</v>
      </c>
      <c r="D167" s="18">
        <f t="shared" ca="1" si="43"/>
        <v>759.7</v>
      </c>
      <c r="E167" s="17">
        <f t="shared" ca="1" si="44"/>
        <v>0</v>
      </c>
      <c r="F167" s="18">
        <f t="shared" ca="1" si="45"/>
        <v>28.7</v>
      </c>
      <c r="G167" s="17">
        <f t="shared" ca="1" si="46"/>
        <v>0</v>
      </c>
      <c r="H167" s="18" t="str">
        <f t="shared" ca="1" si="47"/>
        <v>—</v>
      </c>
      <c r="I167" s="17">
        <f t="shared" ca="1" si="48"/>
        <v>7</v>
      </c>
      <c r="J167" s="18" t="str">
        <f t="shared" ca="1" si="49"/>
        <v>—</v>
      </c>
      <c r="K167" s="17">
        <f t="shared" ca="1" si="50"/>
        <v>7</v>
      </c>
      <c r="L167" s="10">
        <f t="shared" ca="1" si="51"/>
        <v>68</v>
      </c>
      <c r="M167" s="17">
        <f t="shared" ca="1" si="52"/>
        <v>0</v>
      </c>
      <c r="N167" s="18">
        <f t="shared" ca="1" si="53"/>
        <v>20</v>
      </c>
      <c r="O167" s="17">
        <f t="shared" ca="1" si="54"/>
        <v>0</v>
      </c>
      <c r="P167" s="18">
        <f t="shared" ca="1" si="55"/>
        <v>24</v>
      </c>
      <c r="Q167" s="17">
        <f t="shared" ca="1" si="56"/>
        <v>0</v>
      </c>
      <c r="R167" s="10">
        <f t="shared" ca="1" si="57"/>
        <v>65</v>
      </c>
      <c r="S167" s="17">
        <f t="shared" ca="1" si="58"/>
        <v>0</v>
      </c>
      <c r="T167" s="70">
        <f t="shared" ca="1" si="59"/>
        <v>0.6</v>
      </c>
      <c r="U167" s="17">
        <f t="shared" ca="1" si="60"/>
        <v>0</v>
      </c>
      <c r="V167" s="71">
        <f t="shared" ca="1" si="61"/>
        <v>2</v>
      </c>
      <c r="W167" s="17">
        <f t="shared" ca="1" si="62"/>
        <v>0</v>
      </c>
    </row>
    <row r="168" spans="1:23" x14ac:dyDescent="0.25">
      <c r="A168" s="4">
        <f t="shared" si="42"/>
        <v>32</v>
      </c>
      <c r="B168" t="str">
        <f ca="1">TEXT(DATE(YEAR(Invoer!$A$6),1,1)+INT((ROWS(B$2:B168)-1)/4),"jjjjmmdd")</f>
        <v>19400211</v>
      </c>
      <c r="C168" s="64" t="str">
        <f>IF(MOD(ROWS(C$2:C168)-1,4)=3,"24.00",INDEX(Data,3,2+MOD(ROWS(C$2:C168)-1,4)))</f>
        <v>17.00</v>
      </c>
      <c r="D168" s="18">
        <f t="shared" ca="1" si="43"/>
        <v>759.2</v>
      </c>
      <c r="E168" s="17">
        <f t="shared" ca="1" si="44"/>
        <v>0</v>
      </c>
      <c r="F168" s="18">
        <f t="shared" ca="1" si="45"/>
        <v>27.1</v>
      </c>
      <c r="G168" s="17">
        <f t="shared" ca="1" si="46"/>
        <v>0</v>
      </c>
      <c r="H168" s="18" t="str">
        <f t="shared" ca="1" si="47"/>
        <v>—</v>
      </c>
      <c r="I168" s="17">
        <f t="shared" ca="1" si="48"/>
        <v>7</v>
      </c>
      <c r="J168" s="18" t="str">
        <f t="shared" ca="1" si="49"/>
        <v>—</v>
      </c>
      <c r="K168" s="17">
        <f t="shared" ca="1" si="50"/>
        <v>7</v>
      </c>
      <c r="L168" s="10">
        <f t="shared" ca="1" si="51"/>
        <v>76</v>
      </c>
      <c r="M168" s="17">
        <f t="shared" ca="1" si="52"/>
        <v>0</v>
      </c>
      <c r="N168" s="18">
        <f t="shared" ca="1" si="53"/>
        <v>20.5</v>
      </c>
      <c r="O168" s="17">
        <f t="shared" ca="1" si="54"/>
        <v>0</v>
      </c>
      <c r="P168" s="18">
        <f t="shared" ca="1" si="55"/>
        <v>23.8</v>
      </c>
      <c r="Q168" s="17">
        <f t="shared" ca="1" si="56"/>
        <v>0</v>
      </c>
      <c r="R168" s="10">
        <f t="shared" ca="1" si="57"/>
        <v>90</v>
      </c>
      <c r="S168" s="17">
        <f t="shared" ca="1" si="58"/>
        <v>0</v>
      </c>
      <c r="T168" s="70">
        <f t="shared" ca="1" si="59"/>
        <v>0.5</v>
      </c>
      <c r="U168" s="17">
        <f t="shared" ca="1" si="60"/>
        <v>0</v>
      </c>
      <c r="V168" s="71">
        <f t="shared" ca="1" si="61"/>
        <v>2</v>
      </c>
      <c r="W168" s="17">
        <f t="shared" ca="1" si="62"/>
        <v>0</v>
      </c>
    </row>
    <row r="169" spans="1:23" x14ac:dyDescent="0.25">
      <c r="A169" s="4">
        <f t="shared" si="42"/>
        <v>32</v>
      </c>
      <c r="B169" t="str">
        <f ca="1">TEXT(DATE(YEAR(Invoer!$A$6),1,1)+INT((ROWS(B$2:B169)-1)/4),"jjjjmmdd")</f>
        <v>19400211</v>
      </c>
      <c r="C169" s="64" t="str">
        <f>IF(MOD(ROWS(C$2:C169)-1,4)=3,"24.00",INDEX(Data,3,2+MOD(ROWS(C$2:C169)-1,4)))</f>
        <v>24.00</v>
      </c>
      <c r="D169" s="18" t="str">
        <f t="shared" ca="1" si="43"/>
        <v>—</v>
      </c>
      <c r="E169" s="17">
        <f t="shared" ca="1" si="44"/>
        <v>7</v>
      </c>
      <c r="F169" s="18" t="str">
        <f t="shared" ca="1" si="45"/>
        <v>—</v>
      </c>
      <c r="G169" s="17">
        <f t="shared" ca="1" si="46"/>
        <v>7</v>
      </c>
      <c r="H169" s="18">
        <f t="shared" ca="1" si="47"/>
        <v>29.4</v>
      </c>
      <c r="I169" s="17">
        <f t="shared" ca="1" si="48"/>
        <v>0</v>
      </c>
      <c r="J169" s="18">
        <f t="shared" ca="1" si="49"/>
        <v>30.8</v>
      </c>
      <c r="K169" s="17">
        <f t="shared" ca="1" si="50"/>
        <v>0</v>
      </c>
      <c r="L169" s="10" t="str">
        <f t="shared" ca="1" si="51"/>
        <v>—</v>
      </c>
      <c r="M169" s="17">
        <f t="shared" ca="1" si="52"/>
        <v>7</v>
      </c>
      <c r="N169" s="18" t="str">
        <f t="shared" ca="1" si="53"/>
        <v>—</v>
      </c>
      <c r="O169" s="17">
        <f t="shared" ca="1" si="54"/>
        <v>7</v>
      </c>
      <c r="P169" s="18" t="str">
        <f t="shared" ca="1" si="55"/>
        <v>—</v>
      </c>
      <c r="Q169" s="17">
        <f t="shared" ca="1" si="56"/>
        <v>7</v>
      </c>
      <c r="R169" s="10" t="str">
        <f t="shared" ca="1" si="57"/>
        <v>—</v>
      </c>
      <c r="S169" s="17">
        <f t="shared" ca="1" si="58"/>
        <v>7</v>
      </c>
      <c r="T169" s="70" t="str">
        <f t="shared" ca="1" si="59"/>
        <v>—</v>
      </c>
      <c r="U169" s="17">
        <f t="shared" ca="1" si="60"/>
        <v>7</v>
      </c>
      <c r="V169" s="71" t="str">
        <f t="shared" ca="1" si="61"/>
        <v>—</v>
      </c>
      <c r="W169" s="17">
        <f t="shared" ca="1" si="62"/>
        <v>7</v>
      </c>
    </row>
    <row r="170" spans="1:23" x14ac:dyDescent="0.25">
      <c r="A170" s="4">
        <f t="shared" si="42"/>
        <v>32</v>
      </c>
      <c r="B170" t="str">
        <f ca="1">TEXT(DATE(YEAR(Invoer!$A$6),1,1)+INT((ROWS(B$2:B170)-1)/4),"jjjjmmdd")</f>
        <v>19400212</v>
      </c>
      <c r="C170" s="64" t="str">
        <f>IF(MOD(ROWS(C$2:C170)-1,4)=3,"24.00",INDEX(Data,3,2+MOD(ROWS(C$2:C170)-1,4)))</f>
        <v>07.00</v>
      </c>
      <c r="D170" s="18">
        <f t="shared" ca="1" si="43"/>
        <v>759.5</v>
      </c>
      <c r="E170" s="17">
        <f t="shared" ca="1" si="44"/>
        <v>0</v>
      </c>
      <c r="F170" s="18">
        <f t="shared" ca="1" si="45"/>
        <v>26.3</v>
      </c>
      <c r="G170" s="17">
        <f t="shared" ca="1" si="46"/>
        <v>0</v>
      </c>
      <c r="H170" s="18" t="str">
        <f t="shared" ca="1" si="47"/>
        <v>—</v>
      </c>
      <c r="I170" s="17">
        <f t="shared" ca="1" si="48"/>
        <v>7</v>
      </c>
      <c r="J170" s="18" t="str">
        <f t="shared" ca="1" si="49"/>
        <v>—</v>
      </c>
      <c r="K170" s="17">
        <f t="shared" ca="1" si="50"/>
        <v>7</v>
      </c>
      <c r="L170" s="10">
        <f t="shared" ca="1" si="51"/>
        <v>78</v>
      </c>
      <c r="M170" s="17">
        <f t="shared" ca="1" si="52"/>
        <v>0</v>
      </c>
      <c r="N170" s="18">
        <f t="shared" ca="1" si="53"/>
        <v>20.100000000000001</v>
      </c>
      <c r="O170" s="17">
        <f t="shared" ca="1" si="54"/>
        <v>0</v>
      </c>
      <c r="P170" s="18">
        <f t="shared" ca="1" si="55"/>
        <v>23.4</v>
      </c>
      <c r="Q170" s="17">
        <f t="shared" ca="1" si="56"/>
        <v>0</v>
      </c>
      <c r="R170" s="10">
        <f t="shared" ca="1" si="57"/>
        <v>65</v>
      </c>
      <c r="S170" s="17">
        <f t="shared" ca="1" si="58"/>
        <v>0</v>
      </c>
      <c r="T170" s="70">
        <f t="shared" ca="1" si="59"/>
        <v>0.5</v>
      </c>
      <c r="U170" s="17">
        <f t="shared" ca="1" si="60"/>
        <v>0</v>
      </c>
      <c r="V170" s="71">
        <f t="shared" ca="1" si="61"/>
        <v>2</v>
      </c>
      <c r="W170" s="17">
        <f t="shared" ca="1" si="62"/>
        <v>0</v>
      </c>
    </row>
    <row r="171" spans="1:23" x14ac:dyDescent="0.25">
      <c r="A171" s="4">
        <f t="shared" si="42"/>
        <v>32</v>
      </c>
      <c r="B171" t="str">
        <f ca="1">TEXT(DATE(YEAR(Invoer!$A$6),1,1)+INT((ROWS(B$2:B171)-1)/4),"jjjjmmdd")</f>
        <v>19400212</v>
      </c>
      <c r="C171" s="64" t="str">
        <f>IF(MOD(ROWS(C$2:C171)-1,4)=3,"24.00",INDEX(Data,3,2+MOD(ROWS(C$2:C171)-1,4)))</f>
        <v>12.00</v>
      </c>
      <c r="D171" s="18">
        <f t="shared" ca="1" si="43"/>
        <v>759.7</v>
      </c>
      <c r="E171" s="17">
        <f t="shared" ca="1" si="44"/>
        <v>0</v>
      </c>
      <c r="F171" s="18">
        <f t="shared" ca="1" si="45"/>
        <v>28.4</v>
      </c>
      <c r="G171" s="17">
        <f t="shared" ca="1" si="46"/>
        <v>0</v>
      </c>
      <c r="H171" s="18" t="str">
        <f t="shared" ca="1" si="47"/>
        <v>—</v>
      </c>
      <c r="I171" s="17">
        <f t="shared" ca="1" si="48"/>
        <v>7</v>
      </c>
      <c r="J171" s="18" t="str">
        <f t="shared" ca="1" si="49"/>
        <v>—</v>
      </c>
      <c r="K171" s="17">
        <f t="shared" ca="1" si="50"/>
        <v>7</v>
      </c>
      <c r="L171" s="10">
        <f t="shared" ca="1" si="51"/>
        <v>68</v>
      </c>
      <c r="M171" s="17">
        <f t="shared" ca="1" si="52"/>
        <v>0</v>
      </c>
      <c r="N171" s="18">
        <f t="shared" ca="1" si="53"/>
        <v>19.8</v>
      </c>
      <c r="O171" s="17">
        <f t="shared" ca="1" si="54"/>
        <v>0</v>
      </c>
      <c r="P171" s="18">
        <f t="shared" ca="1" si="55"/>
        <v>23.8</v>
      </c>
      <c r="Q171" s="17">
        <f t="shared" ca="1" si="56"/>
        <v>0</v>
      </c>
      <c r="R171" s="10">
        <f t="shared" ca="1" si="57"/>
        <v>65</v>
      </c>
      <c r="S171" s="17">
        <f t="shared" ca="1" si="58"/>
        <v>0</v>
      </c>
      <c r="T171" s="70">
        <f t="shared" ca="1" si="59"/>
        <v>0.6</v>
      </c>
      <c r="U171" s="17">
        <f t="shared" ca="1" si="60"/>
        <v>0</v>
      </c>
      <c r="V171" s="71">
        <f t="shared" ca="1" si="61"/>
        <v>3</v>
      </c>
      <c r="W171" s="17">
        <f t="shared" ca="1" si="62"/>
        <v>0</v>
      </c>
    </row>
    <row r="172" spans="1:23" x14ac:dyDescent="0.25">
      <c r="A172" s="4">
        <f t="shared" si="42"/>
        <v>32</v>
      </c>
      <c r="B172" t="str">
        <f ca="1">TEXT(DATE(YEAR(Invoer!$A$6),1,1)+INT((ROWS(B$2:B172)-1)/4),"jjjjmmdd")</f>
        <v>19400212</v>
      </c>
      <c r="C172" s="64" t="str">
        <f>IF(MOD(ROWS(C$2:C172)-1,4)=3,"24.00",INDEX(Data,3,2+MOD(ROWS(C$2:C172)-1,4)))</f>
        <v>17.00</v>
      </c>
      <c r="D172" s="18">
        <f t="shared" ca="1" si="43"/>
        <v>759.2</v>
      </c>
      <c r="E172" s="17">
        <f t="shared" ca="1" si="44"/>
        <v>0</v>
      </c>
      <c r="F172" s="18">
        <f t="shared" ca="1" si="45"/>
        <v>27.9</v>
      </c>
      <c r="G172" s="17">
        <f t="shared" ca="1" si="46"/>
        <v>0</v>
      </c>
      <c r="H172" s="18" t="str">
        <f t="shared" ca="1" si="47"/>
        <v>—</v>
      </c>
      <c r="I172" s="17">
        <f t="shared" ca="1" si="48"/>
        <v>7</v>
      </c>
      <c r="J172" s="18" t="str">
        <f t="shared" ca="1" si="49"/>
        <v>—</v>
      </c>
      <c r="K172" s="17">
        <f t="shared" ca="1" si="50"/>
        <v>7</v>
      </c>
      <c r="L172" s="10">
        <f t="shared" ca="1" si="51"/>
        <v>70</v>
      </c>
      <c r="M172" s="17">
        <f t="shared" ca="1" si="52"/>
        <v>0</v>
      </c>
      <c r="N172" s="18">
        <f t="shared" ca="1" si="53"/>
        <v>19.7</v>
      </c>
      <c r="O172" s="17">
        <f t="shared" ca="1" si="54"/>
        <v>0</v>
      </c>
      <c r="P172" s="18">
        <f t="shared" ca="1" si="55"/>
        <v>23.6</v>
      </c>
      <c r="Q172" s="17">
        <f t="shared" ca="1" si="56"/>
        <v>0</v>
      </c>
      <c r="R172" s="10">
        <f t="shared" ca="1" si="57"/>
        <v>65</v>
      </c>
      <c r="S172" s="17">
        <f t="shared" ca="1" si="58"/>
        <v>0</v>
      </c>
      <c r="T172" s="70">
        <f t="shared" ca="1" si="59"/>
        <v>0.6</v>
      </c>
      <c r="U172" s="17">
        <f t="shared" ca="1" si="60"/>
        <v>0</v>
      </c>
      <c r="V172" s="71">
        <f t="shared" ca="1" si="61"/>
        <v>3</v>
      </c>
      <c r="W172" s="17">
        <f t="shared" ca="1" si="62"/>
        <v>0</v>
      </c>
    </row>
    <row r="173" spans="1:23" x14ac:dyDescent="0.25">
      <c r="A173" s="4">
        <f t="shared" si="42"/>
        <v>32</v>
      </c>
      <c r="B173" t="str">
        <f ca="1">TEXT(DATE(YEAR(Invoer!$A$6),1,1)+INT((ROWS(B$2:B173)-1)/4),"jjjjmmdd")</f>
        <v>19400212</v>
      </c>
      <c r="C173" s="64" t="str">
        <f>IF(MOD(ROWS(C$2:C173)-1,4)=3,"24.00",INDEX(Data,3,2+MOD(ROWS(C$2:C173)-1,4)))</f>
        <v>24.00</v>
      </c>
      <c r="D173" s="18" t="str">
        <f t="shared" ca="1" si="43"/>
        <v>—</v>
      </c>
      <c r="E173" s="17">
        <f t="shared" ca="1" si="44"/>
        <v>7</v>
      </c>
      <c r="F173" s="18" t="str">
        <f t="shared" ca="1" si="45"/>
        <v>—</v>
      </c>
      <c r="G173" s="17">
        <f t="shared" ca="1" si="46"/>
        <v>7</v>
      </c>
      <c r="H173" s="18">
        <f t="shared" ca="1" si="47"/>
        <v>28</v>
      </c>
      <c r="I173" s="17">
        <f t="shared" ca="1" si="48"/>
        <v>0</v>
      </c>
      <c r="J173" s="18">
        <f t="shared" ca="1" si="49"/>
        <v>30.4</v>
      </c>
      <c r="K173" s="17">
        <f t="shared" ca="1" si="50"/>
        <v>0</v>
      </c>
      <c r="L173" s="10" t="str">
        <f t="shared" ca="1" si="51"/>
        <v>—</v>
      </c>
      <c r="M173" s="17">
        <f t="shared" ca="1" si="52"/>
        <v>7</v>
      </c>
      <c r="N173" s="18" t="str">
        <f t="shared" ca="1" si="53"/>
        <v>—</v>
      </c>
      <c r="O173" s="17">
        <f t="shared" ca="1" si="54"/>
        <v>7</v>
      </c>
      <c r="P173" s="18" t="str">
        <f t="shared" ca="1" si="55"/>
        <v>—</v>
      </c>
      <c r="Q173" s="17">
        <f t="shared" ca="1" si="56"/>
        <v>7</v>
      </c>
      <c r="R173" s="10" t="str">
        <f t="shared" ca="1" si="57"/>
        <v>—</v>
      </c>
      <c r="S173" s="17">
        <f t="shared" ca="1" si="58"/>
        <v>7</v>
      </c>
      <c r="T173" s="70" t="str">
        <f t="shared" ca="1" si="59"/>
        <v>—</v>
      </c>
      <c r="U173" s="17">
        <f t="shared" ca="1" si="60"/>
        <v>7</v>
      </c>
      <c r="V173" s="71" t="str">
        <f t="shared" ca="1" si="61"/>
        <v>—</v>
      </c>
      <c r="W173" s="17">
        <f t="shared" ca="1" si="62"/>
        <v>7</v>
      </c>
    </row>
    <row r="174" spans="1:23" x14ac:dyDescent="0.25">
      <c r="A174" s="4">
        <f t="shared" si="42"/>
        <v>32</v>
      </c>
      <c r="B174" t="str">
        <f ca="1">TEXT(DATE(YEAR(Invoer!$A$6),1,1)+INT((ROWS(B$2:B174)-1)/4),"jjjjmmdd")</f>
        <v>19400213</v>
      </c>
      <c r="C174" s="64" t="str">
        <f>IF(MOD(ROWS(C$2:C174)-1,4)=3,"24.00",INDEX(Data,3,2+MOD(ROWS(C$2:C174)-1,4)))</f>
        <v>07.00</v>
      </c>
      <c r="D174" s="18">
        <f t="shared" ca="1" si="43"/>
        <v>759.2</v>
      </c>
      <c r="E174" s="17">
        <f t="shared" ca="1" si="44"/>
        <v>0</v>
      </c>
      <c r="F174" s="18">
        <f t="shared" ca="1" si="45"/>
        <v>25.9</v>
      </c>
      <c r="G174" s="17">
        <f t="shared" ca="1" si="46"/>
        <v>0</v>
      </c>
      <c r="H174" s="18" t="str">
        <f t="shared" ca="1" si="47"/>
        <v>—</v>
      </c>
      <c r="I174" s="17">
        <f t="shared" ca="1" si="48"/>
        <v>7</v>
      </c>
      <c r="J174" s="18" t="str">
        <f t="shared" ca="1" si="49"/>
        <v>—</v>
      </c>
      <c r="K174" s="17">
        <f t="shared" ca="1" si="50"/>
        <v>7</v>
      </c>
      <c r="L174" s="10">
        <f t="shared" ca="1" si="51"/>
        <v>78</v>
      </c>
      <c r="M174" s="17">
        <f t="shared" ca="1" si="52"/>
        <v>0</v>
      </c>
      <c r="N174" s="18">
        <f t="shared" ca="1" si="53"/>
        <v>19.600000000000001</v>
      </c>
      <c r="O174" s="17">
        <f t="shared" ca="1" si="54"/>
        <v>0</v>
      </c>
      <c r="P174" s="18">
        <f t="shared" ca="1" si="55"/>
        <v>23</v>
      </c>
      <c r="Q174" s="17">
        <f t="shared" ca="1" si="56"/>
        <v>0</v>
      </c>
      <c r="R174" s="10">
        <f t="shared" ca="1" si="57"/>
        <v>65</v>
      </c>
      <c r="S174" s="17">
        <f t="shared" ca="1" si="58"/>
        <v>0</v>
      </c>
      <c r="T174" s="70">
        <f t="shared" ca="1" si="59"/>
        <v>0.5</v>
      </c>
      <c r="U174" s="17">
        <f t="shared" ca="1" si="60"/>
        <v>0</v>
      </c>
      <c r="V174" s="71">
        <f t="shared" ca="1" si="61"/>
        <v>2</v>
      </c>
      <c r="W174" s="17">
        <f t="shared" ca="1" si="62"/>
        <v>0</v>
      </c>
    </row>
    <row r="175" spans="1:23" x14ac:dyDescent="0.25">
      <c r="A175" s="4">
        <f t="shared" si="42"/>
        <v>32</v>
      </c>
      <c r="B175" t="str">
        <f ca="1">TEXT(DATE(YEAR(Invoer!$A$6),1,1)+INT((ROWS(B$2:B175)-1)/4),"jjjjmmdd")</f>
        <v>19400213</v>
      </c>
      <c r="C175" s="64" t="str">
        <f>IF(MOD(ROWS(C$2:C175)-1,4)=3,"24.00",INDEX(Data,3,2+MOD(ROWS(C$2:C175)-1,4)))</f>
        <v>12.00</v>
      </c>
      <c r="D175" s="18">
        <f t="shared" ca="1" si="43"/>
        <v>760</v>
      </c>
      <c r="E175" s="17">
        <f t="shared" ca="1" si="44"/>
        <v>0</v>
      </c>
      <c r="F175" s="18">
        <f t="shared" ca="1" si="45"/>
        <v>28.4</v>
      </c>
      <c r="G175" s="17">
        <f t="shared" ca="1" si="46"/>
        <v>0</v>
      </c>
      <c r="H175" s="18" t="str">
        <f t="shared" ca="1" si="47"/>
        <v>—</v>
      </c>
      <c r="I175" s="17">
        <f t="shared" ca="1" si="48"/>
        <v>7</v>
      </c>
      <c r="J175" s="18" t="str">
        <f t="shared" ca="1" si="49"/>
        <v>—</v>
      </c>
      <c r="K175" s="17">
        <f t="shared" ca="1" si="50"/>
        <v>7</v>
      </c>
      <c r="L175" s="10">
        <f t="shared" ca="1" si="51"/>
        <v>64</v>
      </c>
      <c r="M175" s="17">
        <f t="shared" ca="1" si="52"/>
        <v>0</v>
      </c>
      <c r="N175" s="18">
        <f t="shared" ca="1" si="53"/>
        <v>18.7</v>
      </c>
      <c r="O175" s="17">
        <f t="shared" ca="1" si="54"/>
        <v>0</v>
      </c>
      <c r="P175" s="18">
        <f t="shared" ca="1" si="55"/>
        <v>23.2</v>
      </c>
      <c r="Q175" s="17">
        <f t="shared" ca="1" si="56"/>
        <v>0</v>
      </c>
      <c r="R175" s="10">
        <f t="shared" ca="1" si="57"/>
        <v>65</v>
      </c>
      <c r="S175" s="17">
        <f t="shared" ca="1" si="58"/>
        <v>0</v>
      </c>
      <c r="T175" s="70">
        <f t="shared" ca="1" si="59"/>
        <v>0.7</v>
      </c>
      <c r="U175" s="17">
        <f t="shared" ca="1" si="60"/>
        <v>0</v>
      </c>
      <c r="V175" s="71">
        <f t="shared" ca="1" si="61"/>
        <v>3</v>
      </c>
      <c r="W175" s="17">
        <f t="shared" ca="1" si="62"/>
        <v>0</v>
      </c>
    </row>
    <row r="176" spans="1:23" x14ac:dyDescent="0.25">
      <c r="A176" s="4">
        <f t="shared" si="42"/>
        <v>32</v>
      </c>
      <c r="B176" t="str">
        <f ca="1">TEXT(DATE(YEAR(Invoer!$A$6),1,1)+INT((ROWS(B$2:B176)-1)/4),"jjjjmmdd")</f>
        <v>19400213</v>
      </c>
      <c r="C176" s="64" t="str">
        <f>IF(MOD(ROWS(C$2:C176)-1,4)=3,"24.00",INDEX(Data,3,2+MOD(ROWS(C$2:C176)-1,4)))</f>
        <v>17.00</v>
      </c>
      <c r="D176" s="18">
        <f t="shared" ca="1" si="43"/>
        <v>759.5</v>
      </c>
      <c r="E176" s="17">
        <f t="shared" ca="1" si="44"/>
        <v>0</v>
      </c>
      <c r="F176" s="18">
        <f t="shared" ca="1" si="45"/>
        <v>26.1</v>
      </c>
      <c r="G176" s="17">
        <f t="shared" ca="1" si="46"/>
        <v>0</v>
      </c>
      <c r="H176" s="18" t="str">
        <f t="shared" ca="1" si="47"/>
        <v>—</v>
      </c>
      <c r="I176" s="17">
        <f t="shared" ca="1" si="48"/>
        <v>7</v>
      </c>
      <c r="J176" s="18" t="str">
        <f t="shared" ca="1" si="49"/>
        <v>—</v>
      </c>
      <c r="K176" s="17">
        <f t="shared" ca="1" si="50"/>
        <v>7</v>
      </c>
      <c r="L176" s="10">
        <f t="shared" ca="1" si="51"/>
        <v>77</v>
      </c>
      <c r="M176" s="17">
        <f t="shared" ca="1" si="52"/>
        <v>0</v>
      </c>
      <c r="N176" s="18">
        <f t="shared" ca="1" si="53"/>
        <v>19.5</v>
      </c>
      <c r="O176" s="17">
        <f t="shared" ca="1" si="54"/>
        <v>0</v>
      </c>
      <c r="P176" s="18">
        <f t="shared" ca="1" si="55"/>
        <v>23</v>
      </c>
      <c r="Q176" s="17">
        <f t="shared" ca="1" si="56"/>
        <v>0</v>
      </c>
      <c r="R176" s="10">
        <f t="shared" ca="1" si="57"/>
        <v>65</v>
      </c>
      <c r="S176" s="17">
        <f t="shared" ca="1" si="58"/>
        <v>0</v>
      </c>
      <c r="T176" s="70">
        <f t="shared" ca="1" si="59"/>
        <v>0.7</v>
      </c>
      <c r="U176" s="17">
        <f t="shared" ca="1" si="60"/>
        <v>0</v>
      </c>
      <c r="V176" s="71">
        <f t="shared" ca="1" si="61"/>
        <v>3</v>
      </c>
      <c r="W176" s="17">
        <f t="shared" ca="1" si="62"/>
        <v>0</v>
      </c>
    </row>
    <row r="177" spans="1:23" x14ac:dyDescent="0.25">
      <c r="A177" s="4">
        <f t="shared" si="42"/>
        <v>32</v>
      </c>
      <c r="B177" t="str">
        <f ca="1">TEXT(DATE(YEAR(Invoer!$A$6),1,1)+INT((ROWS(B$2:B177)-1)/4),"jjjjmmdd")</f>
        <v>19400213</v>
      </c>
      <c r="C177" s="64" t="str">
        <f>IF(MOD(ROWS(C$2:C177)-1,4)=3,"24.00",INDEX(Data,3,2+MOD(ROWS(C$2:C177)-1,4)))</f>
        <v>24.00</v>
      </c>
      <c r="D177" s="18" t="str">
        <f t="shared" ca="1" si="43"/>
        <v>—</v>
      </c>
      <c r="E177" s="17">
        <f t="shared" ca="1" si="44"/>
        <v>7</v>
      </c>
      <c r="F177" s="18" t="str">
        <f t="shared" ca="1" si="45"/>
        <v>—</v>
      </c>
      <c r="G177" s="17">
        <f t="shared" ca="1" si="46"/>
        <v>7</v>
      </c>
      <c r="H177" s="18">
        <f t="shared" ca="1" si="47"/>
        <v>27</v>
      </c>
      <c r="I177" s="17">
        <f t="shared" ca="1" si="48"/>
        <v>0</v>
      </c>
      <c r="J177" s="18">
        <f t="shared" ca="1" si="49"/>
        <v>30.5</v>
      </c>
      <c r="K177" s="17">
        <f t="shared" ca="1" si="50"/>
        <v>0</v>
      </c>
      <c r="L177" s="10" t="str">
        <f t="shared" ca="1" si="51"/>
        <v>—</v>
      </c>
      <c r="M177" s="17">
        <f t="shared" ca="1" si="52"/>
        <v>7</v>
      </c>
      <c r="N177" s="18" t="str">
        <f t="shared" ca="1" si="53"/>
        <v>—</v>
      </c>
      <c r="O177" s="17">
        <f t="shared" ca="1" si="54"/>
        <v>7</v>
      </c>
      <c r="P177" s="18" t="str">
        <f t="shared" ca="1" si="55"/>
        <v>—</v>
      </c>
      <c r="Q177" s="17">
        <f t="shared" ca="1" si="56"/>
        <v>7</v>
      </c>
      <c r="R177" s="10" t="str">
        <f t="shared" ca="1" si="57"/>
        <v>—</v>
      </c>
      <c r="S177" s="17">
        <f t="shared" ca="1" si="58"/>
        <v>7</v>
      </c>
      <c r="T177" s="70" t="str">
        <f t="shared" ca="1" si="59"/>
        <v>—</v>
      </c>
      <c r="U177" s="17">
        <f t="shared" ca="1" si="60"/>
        <v>7</v>
      </c>
      <c r="V177" s="71" t="str">
        <f t="shared" ca="1" si="61"/>
        <v>—</v>
      </c>
      <c r="W177" s="17">
        <f t="shared" ca="1" si="62"/>
        <v>7</v>
      </c>
    </row>
    <row r="178" spans="1:23" x14ac:dyDescent="0.25">
      <c r="A178" s="4">
        <f t="shared" si="42"/>
        <v>32</v>
      </c>
      <c r="B178" t="str">
        <f ca="1">TEXT(DATE(YEAR(Invoer!$A$6),1,1)+INT((ROWS(B$2:B178)-1)/4),"jjjjmmdd")</f>
        <v>19400214</v>
      </c>
      <c r="C178" s="64" t="str">
        <f>IF(MOD(ROWS(C$2:C178)-1,4)=3,"24.00",INDEX(Data,3,2+MOD(ROWS(C$2:C178)-1,4)))</f>
        <v>07.00</v>
      </c>
      <c r="D178" s="18">
        <f t="shared" ca="1" si="43"/>
        <v>758.5</v>
      </c>
      <c r="E178" s="17">
        <f t="shared" ca="1" si="44"/>
        <v>0</v>
      </c>
      <c r="F178" s="18">
        <f t="shared" ca="1" si="45"/>
        <v>26.1</v>
      </c>
      <c r="G178" s="17">
        <f t="shared" ca="1" si="46"/>
        <v>0</v>
      </c>
      <c r="H178" s="18" t="str">
        <f t="shared" ca="1" si="47"/>
        <v>—</v>
      </c>
      <c r="I178" s="17">
        <f t="shared" ca="1" si="48"/>
        <v>7</v>
      </c>
      <c r="J178" s="18" t="str">
        <f t="shared" ca="1" si="49"/>
        <v>—</v>
      </c>
      <c r="K178" s="17">
        <f t="shared" ca="1" si="50"/>
        <v>7</v>
      </c>
      <c r="L178" s="10">
        <f t="shared" ca="1" si="51"/>
        <v>76</v>
      </c>
      <c r="M178" s="17">
        <f t="shared" ca="1" si="52"/>
        <v>0</v>
      </c>
      <c r="N178" s="18">
        <f t="shared" ca="1" si="53"/>
        <v>19.2</v>
      </c>
      <c r="O178" s="17">
        <f t="shared" ca="1" si="54"/>
        <v>0</v>
      </c>
      <c r="P178" s="18">
        <f t="shared" ca="1" si="55"/>
        <v>22.8</v>
      </c>
      <c r="Q178" s="17">
        <f t="shared" ca="1" si="56"/>
        <v>0</v>
      </c>
      <c r="R178" s="10">
        <f t="shared" ca="1" si="57"/>
        <v>65</v>
      </c>
      <c r="S178" s="17">
        <f t="shared" ca="1" si="58"/>
        <v>0</v>
      </c>
      <c r="T178" s="70">
        <f t="shared" ca="1" si="59"/>
        <v>0.5</v>
      </c>
      <c r="U178" s="17">
        <f t="shared" ca="1" si="60"/>
        <v>0</v>
      </c>
      <c r="V178" s="71">
        <f t="shared" ca="1" si="61"/>
        <v>3</v>
      </c>
      <c r="W178" s="17">
        <f t="shared" ca="1" si="62"/>
        <v>0</v>
      </c>
    </row>
    <row r="179" spans="1:23" x14ac:dyDescent="0.25">
      <c r="A179" s="4">
        <f t="shared" si="42"/>
        <v>32</v>
      </c>
      <c r="B179" t="str">
        <f ca="1">TEXT(DATE(YEAR(Invoer!$A$6),1,1)+INT((ROWS(B$2:B179)-1)/4),"jjjjmmdd")</f>
        <v>19400214</v>
      </c>
      <c r="C179" s="64" t="str">
        <f>IF(MOD(ROWS(C$2:C179)-1,4)=3,"24.00",INDEX(Data,3,2+MOD(ROWS(C$2:C179)-1,4)))</f>
        <v>12.00</v>
      </c>
      <c r="D179" s="18">
        <f t="shared" ca="1" si="43"/>
        <v>759.5</v>
      </c>
      <c r="E179" s="17">
        <f t="shared" ca="1" si="44"/>
        <v>0</v>
      </c>
      <c r="F179" s="18">
        <f t="shared" ca="1" si="45"/>
        <v>26.5</v>
      </c>
      <c r="G179" s="17">
        <f t="shared" ca="1" si="46"/>
        <v>0</v>
      </c>
      <c r="H179" s="18" t="str">
        <f t="shared" ca="1" si="47"/>
        <v>—</v>
      </c>
      <c r="I179" s="17">
        <f t="shared" ca="1" si="48"/>
        <v>7</v>
      </c>
      <c r="J179" s="18" t="str">
        <f t="shared" ca="1" si="49"/>
        <v>—</v>
      </c>
      <c r="K179" s="17">
        <f t="shared" ca="1" si="50"/>
        <v>7</v>
      </c>
      <c r="L179" s="10">
        <f t="shared" ca="1" si="51"/>
        <v>74</v>
      </c>
      <c r="M179" s="17">
        <f t="shared" ca="1" si="52"/>
        <v>0</v>
      </c>
      <c r="N179" s="18">
        <f t="shared" ca="1" si="53"/>
        <v>19.3</v>
      </c>
      <c r="O179" s="17">
        <f t="shared" ca="1" si="54"/>
        <v>0</v>
      </c>
      <c r="P179" s="18">
        <f t="shared" ca="1" si="55"/>
        <v>23</v>
      </c>
      <c r="Q179" s="17">
        <f t="shared" ca="1" si="56"/>
        <v>0</v>
      </c>
      <c r="R179" s="10">
        <f t="shared" ca="1" si="57"/>
        <v>65</v>
      </c>
      <c r="S179" s="17">
        <f t="shared" ca="1" si="58"/>
        <v>0</v>
      </c>
      <c r="T179" s="70">
        <f t="shared" ca="1" si="59"/>
        <v>0.7</v>
      </c>
      <c r="U179" s="17">
        <f t="shared" ca="1" si="60"/>
        <v>0</v>
      </c>
      <c r="V179" s="71">
        <f t="shared" ca="1" si="61"/>
        <v>2</v>
      </c>
      <c r="W179" s="17">
        <f t="shared" ca="1" si="62"/>
        <v>0</v>
      </c>
    </row>
    <row r="180" spans="1:23" x14ac:dyDescent="0.25">
      <c r="A180" s="4">
        <f t="shared" si="42"/>
        <v>32</v>
      </c>
      <c r="B180" t="str">
        <f ca="1">TEXT(DATE(YEAR(Invoer!$A$6),1,1)+INT((ROWS(B$2:B180)-1)/4),"jjjjmmdd")</f>
        <v>19400214</v>
      </c>
      <c r="C180" s="64" t="str">
        <f>IF(MOD(ROWS(C$2:C180)-1,4)=3,"24.00",INDEX(Data,3,2+MOD(ROWS(C$2:C180)-1,4)))</f>
        <v>17.00</v>
      </c>
      <c r="D180" s="18">
        <f t="shared" ca="1" si="43"/>
        <v>759.5</v>
      </c>
      <c r="E180" s="17">
        <f t="shared" ca="1" si="44"/>
        <v>0</v>
      </c>
      <c r="F180" s="18">
        <f t="shared" ca="1" si="45"/>
        <v>26.3</v>
      </c>
      <c r="G180" s="17">
        <f t="shared" ca="1" si="46"/>
        <v>0</v>
      </c>
      <c r="H180" s="18" t="str">
        <f t="shared" ca="1" si="47"/>
        <v>—</v>
      </c>
      <c r="I180" s="17">
        <f t="shared" ca="1" si="48"/>
        <v>7</v>
      </c>
      <c r="J180" s="18" t="str">
        <f t="shared" ca="1" si="49"/>
        <v>—</v>
      </c>
      <c r="K180" s="17">
        <f t="shared" ca="1" si="50"/>
        <v>7</v>
      </c>
      <c r="L180" s="10">
        <f t="shared" ca="1" si="51"/>
        <v>75</v>
      </c>
      <c r="M180" s="17">
        <f t="shared" ca="1" si="52"/>
        <v>0</v>
      </c>
      <c r="N180" s="18">
        <f t="shared" ca="1" si="53"/>
        <v>19.3</v>
      </c>
      <c r="O180" s="17">
        <f t="shared" ca="1" si="54"/>
        <v>0</v>
      </c>
      <c r="P180" s="18">
        <f t="shared" ca="1" si="55"/>
        <v>22.9</v>
      </c>
      <c r="Q180" s="17">
        <f t="shared" ca="1" si="56"/>
        <v>0</v>
      </c>
      <c r="R180" s="10">
        <f t="shared" ca="1" si="57"/>
        <v>45</v>
      </c>
      <c r="S180" s="17">
        <f t="shared" ca="1" si="58"/>
        <v>0</v>
      </c>
      <c r="T180" s="70">
        <f t="shared" ca="1" si="59"/>
        <v>0.6</v>
      </c>
      <c r="U180" s="17">
        <f t="shared" ca="1" si="60"/>
        <v>0</v>
      </c>
      <c r="V180" s="71">
        <f t="shared" ca="1" si="61"/>
        <v>2</v>
      </c>
      <c r="W180" s="17">
        <f t="shared" ca="1" si="62"/>
        <v>0</v>
      </c>
    </row>
    <row r="181" spans="1:23" x14ac:dyDescent="0.25">
      <c r="A181" s="4">
        <f t="shared" si="42"/>
        <v>32</v>
      </c>
      <c r="B181" t="str">
        <f ca="1">TEXT(DATE(YEAR(Invoer!$A$6),1,1)+INT((ROWS(B$2:B181)-1)/4),"jjjjmmdd")</f>
        <v>19400214</v>
      </c>
      <c r="C181" s="64" t="str">
        <f>IF(MOD(ROWS(C$2:C181)-1,4)=3,"24.00",INDEX(Data,3,2+MOD(ROWS(C$2:C181)-1,4)))</f>
        <v>24.00</v>
      </c>
      <c r="D181" s="18" t="str">
        <f t="shared" ca="1" si="43"/>
        <v>—</v>
      </c>
      <c r="E181" s="17">
        <f t="shared" ca="1" si="44"/>
        <v>7</v>
      </c>
      <c r="F181" s="18" t="str">
        <f t="shared" ca="1" si="45"/>
        <v>—</v>
      </c>
      <c r="G181" s="17">
        <f t="shared" ca="1" si="46"/>
        <v>7</v>
      </c>
      <c r="H181" s="18">
        <f t="shared" ca="1" si="47"/>
        <v>27.4</v>
      </c>
      <c r="I181" s="17">
        <f t="shared" ca="1" si="48"/>
        <v>0</v>
      </c>
      <c r="J181" s="18">
        <f t="shared" ca="1" si="49"/>
        <v>28.5</v>
      </c>
      <c r="K181" s="17">
        <f t="shared" ca="1" si="50"/>
        <v>0</v>
      </c>
      <c r="L181" s="10" t="str">
        <f t="shared" ca="1" si="51"/>
        <v>—</v>
      </c>
      <c r="M181" s="17">
        <f t="shared" ca="1" si="52"/>
        <v>7</v>
      </c>
      <c r="N181" s="18" t="str">
        <f t="shared" ca="1" si="53"/>
        <v>—</v>
      </c>
      <c r="O181" s="17">
        <f t="shared" ca="1" si="54"/>
        <v>7</v>
      </c>
      <c r="P181" s="18" t="str">
        <f t="shared" ca="1" si="55"/>
        <v>—</v>
      </c>
      <c r="Q181" s="17">
        <f t="shared" ca="1" si="56"/>
        <v>7</v>
      </c>
      <c r="R181" s="10" t="str">
        <f t="shared" ca="1" si="57"/>
        <v>—</v>
      </c>
      <c r="S181" s="17">
        <f t="shared" ca="1" si="58"/>
        <v>7</v>
      </c>
      <c r="T181" s="70" t="str">
        <f t="shared" ca="1" si="59"/>
        <v>—</v>
      </c>
      <c r="U181" s="17">
        <f t="shared" ca="1" si="60"/>
        <v>7</v>
      </c>
      <c r="V181" s="71" t="str">
        <f t="shared" ca="1" si="61"/>
        <v>—</v>
      </c>
      <c r="W181" s="17">
        <f t="shared" ca="1" si="62"/>
        <v>7</v>
      </c>
    </row>
    <row r="182" spans="1:23" x14ac:dyDescent="0.25">
      <c r="A182" s="4">
        <f t="shared" si="42"/>
        <v>32</v>
      </c>
      <c r="B182" t="str">
        <f ca="1">TEXT(DATE(YEAR(Invoer!$A$6),1,1)+INT((ROWS(B$2:B182)-1)/4),"jjjjmmdd")</f>
        <v>19400215</v>
      </c>
      <c r="C182" s="64" t="str">
        <f>IF(MOD(ROWS(C$2:C182)-1,4)=3,"24.00",INDEX(Data,3,2+MOD(ROWS(C$2:C182)-1,4)))</f>
        <v>07.00</v>
      </c>
      <c r="D182" s="18">
        <f t="shared" ca="1" si="43"/>
        <v>758.7</v>
      </c>
      <c r="E182" s="17">
        <f t="shared" ca="1" si="44"/>
        <v>0</v>
      </c>
      <c r="F182" s="18">
        <f t="shared" ca="1" si="45"/>
        <v>25.9</v>
      </c>
      <c r="G182" s="17">
        <f t="shared" ca="1" si="46"/>
        <v>0</v>
      </c>
      <c r="H182" s="18" t="str">
        <f t="shared" ca="1" si="47"/>
        <v>—</v>
      </c>
      <c r="I182" s="17">
        <f t="shared" ca="1" si="48"/>
        <v>7</v>
      </c>
      <c r="J182" s="18" t="str">
        <f t="shared" ca="1" si="49"/>
        <v>—</v>
      </c>
      <c r="K182" s="17">
        <f t="shared" ca="1" si="50"/>
        <v>7</v>
      </c>
      <c r="L182" s="10">
        <f t="shared" ca="1" si="51"/>
        <v>77</v>
      </c>
      <c r="M182" s="17">
        <f t="shared" ca="1" si="52"/>
        <v>0</v>
      </c>
      <c r="N182" s="18">
        <f t="shared" ca="1" si="53"/>
        <v>19.3</v>
      </c>
      <c r="O182" s="17">
        <f t="shared" ca="1" si="54"/>
        <v>0</v>
      </c>
      <c r="P182" s="18">
        <f t="shared" ca="1" si="55"/>
        <v>22.8</v>
      </c>
      <c r="Q182" s="17">
        <f t="shared" ca="1" si="56"/>
        <v>0</v>
      </c>
      <c r="R182" s="10">
        <f t="shared" ca="1" si="57"/>
        <v>65</v>
      </c>
      <c r="S182" s="17">
        <f t="shared" ca="1" si="58"/>
        <v>0</v>
      </c>
      <c r="T182" s="70">
        <f t="shared" ca="1" si="59"/>
        <v>0.5</v>
      </c>
      <c r="U182" s="17">
        <f t="shared" ca="1" si="60"/>
        <v>0</v>
      </c>
      <c r="V182" s="71">
        <f t="shared" ca="1" si="61"/>
        <v>3</v>
      </c>
      <c r="W182" s="17">
        <f t="shared" ca="1" si="62"/>
        <v>0</v>
      </c>
    </row>
    <row r="183" spans="1:23" x14ac:dyDescent="0.25">
      <c r="A183" s="4">
        <f t="shared" si="42"/>
        <v>32</v>
      </c>
      <c r="B183" t="str">
        <f ca="1">TEXT(DATE(YEAR(Invoer!$A$6),1,1)+INT((ROWS(B$2:B183)-1)/4),"jjjjmmdd")</f>
        <v>19400215</v>
      </c>
      <c r="C183" s="64" t="str">
        <f>IF(MOD(ROWS(C$2:C183)-1,4)=3,"24.00",INDEX(Data,3,2+MOD(ROWS(C$2:C183)-1,4)))</f>
        <v>12.00</v>
      </c>
      <c r="D183" s="18">
        <f t="shared" ca="1" si="43"/>
        <v>760</v>
      </c>
      <c r="E183" s="17">
        <f t="shared" ca="1" si="44"/>
        <v>0</v>
      </c>
      <c r="F183" s="18">
        <f t="shared" ca="1" si="45"/>
        <v>27.4</v>
      </c>
      <c r="G183" s="17">
        <f t="shared" ca="1" si="46"/>
        <v>0</v>
      </c>
      <c r="H183" s="18" t="str">
        <f t="shared" ca="1" si="47"/>
        <v>—</v>
      </c>
      <c r="I183" s="17">
        <f t="shared" ca="1" si="48"/>
        <v>7</v>
      </c>
      <c r="J183" s="18" t="str">
        <f t="shared" ca="1" si="49"/>
        <v>—</v>
      </c>
      <c r="K183" s="17">
        <f t="shared" ca="1" si="50"/>
        <v>7</v>
      </c>
      <c r="L183" s="10">
        <f t="shared" ca="1" si="51"/>
        <v>70</v>
      </c>
      <c r="M183" s="17">
        <f t="shared" ca="1" si="52"/>
        <v>0</v>
      </c>
      <c r="N183" s="18">
        <f t="shared" ca="1" si="53"/>
        <v>19.2</v>
      </c>
      <c r="O183" s="17">
        <f t="shared" ca="1" si="54"/>
        <v>0</v>
      </c>
      <c r="P183" s="18">
        <f t="shared" ca="1" si="55"/>
        <v>23.2</v>
      </c>
      <c r="Q183" s="17">
        <f t="shared" ca="1" si="56"/>
        <v>0</v>
      </c>
      <c r="R183" s="10">
        <f t="shared" ca="1" si="57"/>
        <v>65</v>
      </c>
      <c r="S183" s="17">
        <f t="shared" ca="1" si="58"/>
        <v>0</v>
      </c>
      <c r="T183" s="70">
        <f t="shared" ca="1" si="59"/>
        <v>0.6</v>
      </c>
      <c r="U183" s="17">
        <f t="shared" ca="1" si="60"/>
        <v>0</v>
      </c>
      <c r="V183" s="71">
        <f t="shared" ca="1" si="61"/>
        <v>2</v>
      </c>
      <c r="W183" s="17">
        <f t="shared" ca="1" si="62"/>
        <v>0</v>
      </c>
    </row>
    <row r="184" spans="1:23" x14ac:dyDescent="0.25">
      <c r="A184" s="4">
        <f t="shared" si="42"/>
        <v>32</v>
      </c>
      <c r="B184" t="str">
        <f ca="1">TEXT(DATE(YEAR(Invoer!$A$6),1,1)+INT((ROWS(B$2:B184)-1)/4),"jjjjmmdd")</f>
        <v>19400215</v>
      </c>
      <c r="C184" s="64" t="str">
        <f>IF(MOD(ROWS(C$2:C184)-1,4)=3,"24.00",INDEX(Data,3,2+MOD(ROWS(C$2:C184)-1,4)))</f>
        <v>17.00</v>
      </c>
      <c r="D184" s="18">
        <f t="shared" ca="1" si="43"/>
        <v>759.7</v>
      </c>
      <c r="E184" s="17">
        <f t="shared" ca="1" si="44"/>
        <v>0</v>
      </c>
      <c r="F184" s="18">
        <f t="shared" ca="1" si="45"/>
        <v>26.9</v>
      </c>
      <c r="G184" s="17">
        <f t="shared" ca="1" si="46"/>
        <v>0</v>
      </c>
      <c r="H184" s="18" t="str">
        <f t="shared" ca="1" si="47"/>
        <v>—</v>
      </c>
      <c r="I184" s="17">
        <f t="shared" ca="1" si="48"/>
        <v>7</v>
      </c>
      <c r="J184" s="18" t="str">
        <f t="shared" ca="1" si="49"/>
        <v>—</v>
      </c>
      <c r="K184" s="17">
        <f t="shared" ca="1" si="50"/>
        <v>7</v>
      </c>
      <c r="L184" s="10">
        <f t="shared" ca="1" si="51"/>
        <v>72</v>
      </c>
      <c r="M184" s="17">
        <f t="shared" ca="1" si="52"/>
        <v>0</v>
      </c>
      <c r="N184" s="18">
        <f t="shared" ca="1" si="53"/>
        <v>19.100000000000001</v>
      </c>
      <c r="O184" s="17">
        <f t="shared" ca="1" si="54"/>
        <v>0</v>
      </c>
      <c r="P184" s="18">
        <f t="shared" ca="1" si="55"/>
        <v>23</v>
      </c>
      <c r="Q184" s="17">
        <f t="shared" ca="1" si="56"/>
        <v>0</v>
      </c>
      <c r="R184" s="10">
        <f t="shared" ca="1" si="57"/>
        <v>65</v>
      </c>
      <c r="S184" s="17">
        <f t="shared" ca="1" si="58"/>
        <v>0</v>
      </c>
      <c r="T184" s="70">
        <f t="shared" ca="1" si="59"/>
        <v>0.6</v>
      </c>
      <c r="U184" s="17">
        <f t="shared" ca="1" si="60"/>
        <v>0</v>
      </c>
      <c r="V184" s="71">
        <f t="shared" ca="1" si="61"/>
        <v>3</v>
      </c>
      <c r="W184" s="17">
        <f t="shared" ca="1" si="62"/>
        <v>0</v>
      </c>
    </row>
    <row r="185" spans="1:23" x14ac:dyDescent="0.25">
      <c r="A185" s="4">
        <f t="shared" si="42"/>
        <v>32</v>
      </c>
      <c r="B185" t="str">
        <f ca="1">TEXT(DATE(YEAR(Invoer!$A$6),1,1)+INT((ROWS(B$2:B185)-1)/4),"jjjjmmdd")</f>
        <v>19400215</v>
      </c>
      <c r="C185" s="64" t="str">
        <f>IF(MOD(ROWS(C$2:C185)-1,4)=3,"24.00",INDEX(Data,3,2+MOD(ROWS(C$2:C185)-1,4)))</f>
        <v>24.00</v>
      </c>
      <c r="D185" s="18" t="str">
        <f t="shared" ca="1" si="43"/>
        <v>—</v>
      </c>
      <c r="E185" s="17">
        <f t="shared" ca="1" si="44"/>
        <v>7</v>
      </c>
      <c r="F185" s="18" t="str">
        <f t="shared" ca="1" si="45"/>
        <v>—</v>
      </c>
      <c r="G185" s="17">
        <f t="shared" ca="1" si="46"/>
        <v>7</v>
      </c>
      <c r="H185" s="18">
        <f t="shared" ca="1" si="47"/>
        <v>27</v>
      </c>
      <c r="I185" s="17">
        <f t="shared" ca="1" si="48"/>
        <v>0</v>
      </c>
      <c r="J185" s="18">
        <f t="shared" ca="1" si="49"/>
        <v>29.8</v>
      </c>
      <c r="K185" s="17">
        <f t="shared" ca="1" si="50"/>
        <v>0</v>
      </c>
      <c r="L185" s="10" t="str">
        <f t="shared" ca="1" si="51"/>
        <v>—</v>
      </c>
      <c r="M185" s="17">
        <f t="shared" ca="1" si="52"/>
        <v>7</v>
      </c>
      <c r="N185" s="18" t="str">
        <f t="shared" ca="1" si="53"/>
        <v>—</v>
      </c>
      <c r="O185" s="17">
        <f t="shared" ca="1" si="54"/>
        <v>7</v>
      </c>
      <c r="P185" s="18" t="str">
        <f t="shared" ca="1" si="55"/>
        <v>—</v>
      </c>
      <c r="Q185" s="17">
        <f t="shared" ca="1" si="56"/>
        <v>7</v>
      </c>
      <c r="R185" s="10" t="str">
        <f t="shared" ca="1" si="57"/>
        <v>—</v>
      </c>
      <c r="S185" s="17">
        <f t="shared" ca="1" si="58"/>
        <v>7</v>
      </c>
      <c r="T185" s="70" t="str">
        <f t="shared" ca="1" si="59"/>
        <v>—</v>
      </c>
      <c r="U185" s="17">
        <f t="shared" ca="1" si="60"/>
        <v>7</v>
      </c>
      <c r="V185" s="71" t="str">
        <f t="shared" ca="1" si="61"/>
        <v>—</v>
      </c>
      <c r="W185" s="17">
        <f t="shared" ca="1" si="62"/>
        <v>7</v>
      </c>
    </row>
    <row r="186" spans="1:23" x14ac:dyDescent="0.25">
      <c r="A186" s="4">
        <f t="shared" si="42"/>
        <v>32</v>
      </c>
      <c r="B186" t="str">
        <f ca="1">TEXT(DATE(YEAR(Invoer!$A$6),1,1)+INT((ROWS(B$2:B186)-1)/4),"jjjjmmdd")</f>
        <v>19400216</v>
      </c>
      <c r="C186" s="64" t="str">
        <f>IF(MOD(ROWS(C$2:C186)-1,4)=3,"24.00",INDEX(Data,3,2+MOD(ROWS(C$2:C186)-1,4)))</f>
        <v>07.00</v>
      </c>
      <c r="D186" s="18">
        <f t="shared" ca="1" si="43"/>
        <v>759.7</v>
      </c>
      <c r="E186" s="17">
        <f t="shared" ca="1" si="44"/>
        <v>0</v>
      </c>
      <c r="F186" s="18">
        <f t="shared" ca="1" si="45"/>
        <v>27.4</v>
      </c>
      <c r="G186" s="17">
        <f t="shared" ca="1" si="46"/>
        <v>0</v>
      </c>
      <c r="H186" s="18" t="str">
        <f t="shared" ca="1" si="47"/>
        <v>—</v>
      </c>
      <c r="I186" s="17">
        <f t="shared" ca="1" si="48"/>
        <v>7</v>
      </c>
      <c r="J186" s="18" t="str">
        <f t="shared" ca="1" si="49"/>
        <v>—</v>
      </c>
      <c r="K186" s="17">
        <f t="shared" ca="1" si="50"/>
        <v>7</v>
      </c>
      <c r="L186" s="10">
        <f t="shared" ca="1" si="51"/>
        <v>69</v>
      </c>
      <c r="M186" s="17">
        <f t="shared" ca="1" si="52"/>
        <v>0</v>
      </c>
      <c r="N186" s="18">
        <f t="shared" ca="1" si="53"/>
        <v>18.899999999999999</v>
      </c>
      <c r="O186" s="17">
        <f t="shared" ca="1" si="54"/>
        <v>0</v>
      </c>
      <c r="P186" s="18">
        <f t="shared" ca="1" si="55"/>
        <v>23</v>
      </c>
      <c r="Q186" s="17">
        <f t="shared" ca="1" si="56"/>
        <v>0</v>
      </c>
      <c r="R186" s="10">
        <f t="shared" ca="1" si="57"/>
        <v>65</v>
      </c>
      <c r="S186" s="17">
        <f t="shared" ca="1" si="58"/>
        <v>0</v>
      </c>
      <c r="T186" s="70">
        <f t="shared" ca="1" si="59"/>
        <v>0.5</v>
      </c>
      <c r="U186" s="17">
        <f t="shared" ca="1" si="60"/>
        <v>0</v>
      </c>
      <c r="V186" s="71">
        <f t="shared" ca="1" si="61"/>
        <v>2</v>
      </c>
      <c r="W186" s="17">
        <f t="shared" ca="1" si="62"/>
        <v>0</v>
      </c>
    </row>
    <row r="187" spans="1:23" x14ac:dyDescent="0.25">
      <c r="A187" s="4">
        <f t="shared" si="42"/>
        <v>32</v>
      </c>
      <c r="B187" t="str">
        <f ca="1">TEXT(DATE(YEAR(Invoer!$A$6),1,1)+INT((ROWS(B$2:B187)-1)/4),"jjjjmmdd")</f>
        <v>19400216</v>
      </c>
      <c r="C187" s="64" t="str">
        <f>IF(MOD(ROWS(C$2:C187)-1,4)=3,"24.00",INDEX(Data,3,2+MOD(ROWS(C$2:C187)-1,4)))</f>
        <v>12.00</v>
      </c>
      <c r="D187" s="18">
        <f t="shared" ca="1" si="43"/>
        <v>759.7</v>
      </c>
      <c r="E187" s="17">
        <f t="shared" ca="1" si="44"/>
        <v>0</v>
      </c>
      <c r="F187" s="18">
        <f t="shared" ca="1" si="45"/>
        <v>28</v>
      </c>
      <c r="G187" s="17">
        <f t="shared" ca="1" si="46"/>
        <v>0</v>
      </c>
      <c r="H187" s="18" t="str">
        <f t="shared" ca="1" si="47"/>
        <v>—</v>
      </c>
      <c r="I187" s="17">
        <f t="shared" ca="1" si="48"/>
        <v>7</v>
      </c>
      <c r="J187" s="18" t="str">
        <f t="shared" ca="1" si="49"/>
        <v>—</v>
      </c>
      <c r="K187" s="17">
        <f t="shared" ca="1" si="50"/>
        <v>7</v>
      </c>
      <c r="L187" s="10">
        <f t="shared" ca="1" si="51"/>
        <v>67</v>
      </c>
      <c r="M187" s="17">
        <f t="shared" ca="1" si="52"/>
        <v>0</v>
      </c>
      <c r="N187" s="18">
        <f t="shared" ca="1" si="53"/>
        <v>18.899999999999999</v>
      </c>
      <c r="O187" s="17">
        <f t="shared" ca="1" si="54"/>
        <v>0</v>
      </c>
      <c r="P187" s="18">
        <f t="shared" ca="1" si="55"/>
        <v>23.2</v>
      </c>
      <c r="Q187" s="17">
        <f t="shared" ca="1" si="56"/>
        <v>0</v>
      </c>
      <c r="R187" s="10">
        <f t="shared" ca="1" si="57"/>
        <v>65</v>
      </c>
      <c r="S187" s="17">
        <f t="shared" ca="1" si="58"/>
        <v>0</v>
      </c>
      <c r="T187" s="70">
        <f t="shared" ca="1" si="59"/>
        <v>0.7</v>
      </c>
      <c r="U187" s="17">
        <f t="shared" ca="1" si="60"/>
        <v>0</v>
      </c>
      <c r="V187" s="71">
        <f t="shared" ca="1" si="61"/>
        <v>1</v>
      </c>
      <c r="W187" s="17">
        <f t="shared" ca="1" si="62"/>
        <v>0</v>
      </c>
    </row>
    <row r="188" spans="1:23" x14ac:dyDescent="0.25">
      <c r="A188" s="4">
        <f t="shared" si="42"/>
        <v>32</v>
      </c>
      <c r="B188" t="str">
        <f ca="1">TEXT(DATE(YEAR(Invoer!$A$6),1,1)+INT((ROWS(B$2:B188)-1)/4),"jjjjmmdd")</f>
        <v>19400216</v>
      </c>
      <c r="C188" s="64" t="str">
        <f>IF(MOD(ROWS(C$2:C188)-1,4)=3,"24.00",INDEX(Data,3,2+MOD(ROWS(C$2:C188)-1,4)))</f>
        <v>17.00</v>
      </c>
      <c r="D188" s="18">
        <f t="shared" ca="1" si="43"/>
        <v>758.9</v>
      </c>
      <c r="E188" s="17">
        <f t="shared" ca="1" si="44"/>
        <v>0</v>
      </c>
      <c r="F188" s="18">
        <f t="shared" ca="1" si="45"/>
        <v>27.5</v>
      </c>
      <c r="G188" s="17">
        <f t="shared" ca="1" si="46"/>
        <v>0</v>
      </c>
      <c r="H188" s="18" t="str">
        <f t="shared" ca="1" si="47"/>
        <v>—</v>
      </c>
      <c r="I188" s="17">
        <f t="shared" ca="1" si="48"/>
        <v>7</v>
      </c>
      <c r="J188" s="18" t="str">
        <f t="shared" ca="1" si="49"/>
        <v>—</v>
      </c>
      <c r="K188" s="17">
        <f t="shared" ca="1" si="50"/>
        <v>7</v>
      </c>
      <c r="L188" s="10">
        <f t="shared" ca="1" si="51"/>
        <v>67</v>
      </c>
      <c r="M188" s="17">
        <f t="shared" ca="1" si="52"/>
        <v>0</v>
      </c>
      <c r="N188" s="18">
        <f t="shared" ca="1" si="53"/>
        <v>18.5</v>
      </c>
      <c r="O188" s="17">
        <f t="shared" ca="1" si="54"/>
        <v>0</v>
      </c>
      <c r="P188" s="18">
        <f t="shared" ca="1" si="55"/>
        <v>22.8</v>
      </c>
      <c r="Q188" s="17">
        <f t="shared" ca="1" si="56"/>
        <v>0</v>
      </c>
      <c r="R188" s="10">
        <f t="shared" ca="1" si="57"/>
        <v>45</v>
      </c>
      <c r="S188" s="17">
        <f t="shared" ca="1" si="58"/>
        <v>0</v>
      </c>
      <c r="T188" s="70">
        <f t="shared" ca="1" si="59"/>
        <v>0.7</v>
      </c>
      <c r="U188" s="17">
        <f t="shared" ca="1" si="60"/>
        <v>0</v>
      </c>
      <c r="V188" s="71">
        <f t="shared" ca="1" si="61"/>
        <v>1</v>
      </c>
      <c r="W188" s="17">
        <f t="shared" ca="1" si="62"/>
        <v>0</v>
      </c>
    </row>
    <row r="189" spans="1:23" x14ac:dyDescent="0.25">
      <c r="A189" s="4">
        <f t="shared" si="42"/>
        <v>32</v>
      </c>
      <c r="B189" t="str">
        <f ca="1">TEXT(DATE(YEAR(Invoer!$A$6),1,1)+INT((ROWS(B$2:B189)-1)/4),"jjjjmmdd")</f>
        <v>19400216</v>
      </c>
      <c r="C189" s="64" t="str">
        <f>IF(MOD(ROWS(C$2:C189)-1,4)=3,"24.00",INDEX(Data,3,2+MOD(ROWS(C$2:C189)-1,4)))</f>
        <v>24.00</v>
      </c>
      <c r="D189" s="18" t="str">
        <f t="shared" ca="1" si="43"/>
        <v>—</v>
      </c>
      <c r="E189" s="17">
        <f t="shared" ca="1" si="44"/>
        <v>7</v>
      </c>
      <c r="F189" s="18" t="str">
        <f t="shared" ca="1" si="45"/>
        <v>—</v>
      </c>
      <c r="G189" s="17">
        <f t="shared" ca="1" si="46"/>
        <v>7</v>
      </c>
      <c r="H189" s="18">
        <f t="shared" ca="1" si="47"/>
        <v>28.7</v>
      </c>
      <c r="I189" s="17">
        <f t="shared" ca="1" si="48"/>
        <v>0</v>
      </c>
      <c r="J189" s="18">
        <f t="shared" ca="1" si="49"/>
        <v>30</v>
      </c>
      <c r="K189" s="17">
        <f t="shared" ca="1" si="50"/>
        <v>0</v>
      </c>
      <c r="L189" s="10" t="str">
        <f t="shared" ca="1" si="51"/>
        <v>—</v>
      </c>
      <c r="M189" s="17">
        <f t="shared" ca="1" si="52"/>
        <v>7</v>
      </c>
      <c r="N189" s="18" t="str">
        <f t="shared" ca="1" si="53"/>
        <v>—</v>
      </c>
      <c r="O189" s="17">
        <f t="shared" ca="1" si="54"/>
        <v>7</v>
      </c>
      <c r="P189" s="18" t="str">
        <f t="shared" ca="1" si="55"/>
        <v>—</v>
      </c>
      <c r="Q189" s="17">
        <f t="shared" ca="1" si="56"/>
        <v>7</v>
      </c>
      <c r="R189" s="10" t="str">
        <f t="shared" ca="1" si="57"/>
        <v>—</v>
      </c>
      <c r="S189" s="17">
        <f t="shared" ca="1" si="58"/>
        <v>7</v>
      </c>
      <c r="T189" s="70" t="str">
        <f t="shared" ca="1" si="59"/>
        <v>—</v>
      </c>
      <c r="U189" s="17">
        <f t="shared" ca="1" si="60"/>
        <v>7</v>
      </c>
      <c r="V189" s="71" t="str">
        <f t="shared" ca="1" si="61"/>
        <v>—</v>
      </c>
      <c r="W189" s="17">
        <f t="shared" ca="1" si="62"/>
        <v>7</v>
      </c>
    </row>
    <row r="190" spans="1:23" x14ac:dyDescent="0.25">
      <c r="A190" s="4">
        <f t="shared" si="42"/>
        <v>32</v>
      </c>
      <c r="B190" t="str">
        <f ca="1">TEXT(DATE(YEAR(Invoer!$A$6),1,1)+INT((ROWS(B$2:B190)-1)/4),"jjjjmmdd")</f>
        <v>19400217</v>
      </c>
      <c r="C190" s="64" t="str">
        <f>IF(MOD(ROWS(C$2:C190)-1,4)=3,"24.00",INDEX(Data,3,2+MOD(ROWS(C$2:C190)-1,4)))</f>
        <v>07.00</v>
      </c>
      <c r="D190" s="18">
        <f t="shared" ca="1" si="43"/>
        <v>758.5</v>
      </c>
      <c r="E190" s="17">
        <f t="shared" ca="1" si="44"/>
        <v>0</v>
      </c>
      <c r="F190" s="18">
        <f t="shared" ca="1" si="45"/>
        <v>27.4</v>
      </c>
      <c r="G190" s="17">
        <f t="shared" ca="1" si="46"/>
        <v>0</v>
      </c>
      <c r="H190" s="18" t="str">
        <f t="shared" ca="1" si="47"/>
        <v>—</v>
      </c>
      <c r="I190" s="17">
        <f t="shared" ca="1" si="48"/>
        <v>7</v>
      </c>
      <c r="J190" s="18" t="str">
        <f t="shared" ca="1" si="49"/>
        <v>—</v>
      </c>
      <c r="K190" s="17">
        <f t="shared" ca="1" si="50"/>
        <v>7</v>
      </c>
      <c r="L190" s="10">
        <f t="shared" ca="1" si="51"/>
        <v>68</v>
      </c>
      <c r="M190" s="17">
        <f t="shared" ca="1" si="52"/>
        <v>0</v>
      </c>
      <c r="N190" s="18">
        <f t="shared" ca="1" si="53"/>
        <v>18.5</v>
      </c>
      <c r="O190" s="17">
        <f t="shared" ca="1" si="54"/>
        <v>0</v>
      </c>
      <c r="P190" s="18">
        <f t="shared" ca="1" si="55"/>
        <v>22.8</v>
      </c>
      <c r="Q190" s="17">
        <f t="shared" ca="1" si="56"/>
        <v>0</v>
      </c>
      <c r="R190" s="10">
        <f t="shared" ca="1" si="57"/>
        <v>65</v>
      </c>
      <c r="S190" s="17">
        <f t="shared" ca="1" si="58"/>
        <v>0</v>
      </c>
      <c r="T190" s="70">
        <f t="shared" ca="1" si="59"/>
        <v>0.6</v>
      </c>
      <c r="U190" s="17">
        <f t="shared" ca="1" si="60"/>
        <v>0</v>
      </c>
      <c r="V190" s="71">
        <f t="shared" ca="1" si="61"/>
        <v>1</v>
      </c>
      <c r="W190" s="17">
        <f t="shared" ca="1" si="62"/>
        <v>0</v>
      </c>
    </row>
    <row r="191" spans="1:23" x14ac:dyDescent="0.25">
      <c r="A191" s="4">
        <f t="shared" si="42"/>
        <v>32</v>
      </c>
      <c r="B191" t="str">
        <f ca="1">TEXT(DATE(YEAR(Invoer!$A$6),1,1)+INT((ROWS(B$2:B191)-1)/4),"jjjjmmdd")</f>
        <v>19400217</v>
      </c>
      <c r="C191" s="64" t="str">
        <f>IF(MOD(ROWS(C$2:C191)-1,4)=3,"24.00",INDEX(Data,3,2+MOD(ROWS(C$2:C191)-1,4)))</f>
        <v>12.00</v>
      </c>
      <c r="D191" s="18">
        <f t="shared" ca="1" si="43"/>
        <v>759.2</v>
      </c>
      <c r="E191" s="17">
        <f t="shared" ca="1" si="44"/>
        <v>0</v>
      </c>
      <c r="F191" s="18">
        <f t="shared" ca="1" si="45"/>
        <v>27.9</v>
      </c>
      <c r="G191" s="17">
        <f t="shared" ca="1" si="46"/>
        <v>0</v>
      </c>
      <c r="H191" s="18" t="str">
        <f t="shared" ca="1" si="47"/>
        <v>—</v>
      </c>
      <c r="I191" s="17">
        <f t="shared" ca="1" si="48"/>
        <v>7</v>
      </c>
      <c r="J191" s="18" t="str">
        <f t="shared" ca="1" si="49"/>
        <v>—</v>
      </c>
      <c r="K191" s="17">
        <f t="shared" ca="1" si="50"/>
        <v>7</v>
      </c>
      <c r="L191" s="10">
        <f t="shared" ca="1" si="51"/>
        <v>67</v>
      </c>
      <c r="M191" s="17">
        <f t="shared" ca="1" si="52"/>
        <v>0</v>
      </c>
      <c r="N191" s="18">
        <f t="shared" ca="1" si="53"/>
        <v>19</v>
      </c>
      <c r="O191" s="17">
        <f t="shared" ca="1" si="54"/>
        <v>0</v>
      </c>
      <c r="P191" s="18">
        <f t="shared" ca="1" si="55"/>
        <v>23.2</v>
      </c>
      <c r="Q191" s="17">
        <f t="shared" ca="1" si="56"/>
        <v>0</v>
      </c>
      <c r="R191" s="10">
        <f t="shared" ca="1" si="57"/>
        <v>65</v>
      </c>
      <c r="S191" s="17">
        <f t="shared" ca="1" si="58"/>
        <v>0</v>
      </c>
      <c r="T191" s="70">
        <f t="shared" ca="1" si="59"/>
        <v>0.7</v>
      </c>
      <c r="U191" s="17">
        <f t="shared" ca="1" si="60"/>
        <v>0</v>
      </c>
      <c r="V191" s="71">
        <f t="shared" ca="1" si="61"/>
        <v>0</v>
      </c>
      <c r="W191" s="17">
        <f t="shared" ca="1" si="62"/>
        <v>0</v>
      </c>
    </row>
    <row r="192" spans="1:23" x14ac:dyDescent="0.25">
      <c r="A192" s="4">
        <f t="shared" si="42"/>
        <v>32</v>
      </c>
      <c r="B192" t="str">
        <f ca="1">TEXT(DATE(YEAR(Invoer!$A$6),1,1)+INT((ROWS(B$2:B192)-1)/4),"jjjjmmdd")</f>
        <v>19400217</v>
      </c>
      <c r="C192" s="64" t="str">
        <f>IF(MOD(ROWS(C$2:C192)-1,4)=3,"24.00",INDEX(Data,3,2+MOD(ROWS(C$2:C192)-1,4)))</f>
        <v>17.00</v>
      </c>
      <c r="D192" s="18">
        <f t="shared" ca="1" si="43"/>
        <v>758.9</v>
      </c>
      <c r="E192" s="17">
        <f t="shared" ca="1" si="44"/>
        <v>0</v>
      </c>
      <c r="F192" s="18">
        <f t="shared" ca="1" si="45"/>
        <v>27.9</v>
      </c>
      <c r="G192" s="17">
        <f t="shared" ca="1" si="46"/>
        <v>0</v>
      </c>
      <c r="H192" s="18" t="str">
        <f t="shared" ca="1" si="47"/>
        <v>—</v>
      </c>
      <c r="I192" s="17">
        <f t="shared" ca="1" si="48"/>
        <v>7</v>
      </c>
      <c r="J192" s="18" t="str">
        <f t="shared" ca="1" si="49"/>
        <v>—</v>
      </c>
      <c r="K192" s="17">
        <f t="shared" ca="1" si="50"/>
        <v>7</v>
      </c>
      <c r="L192" s="10">
        <f t="shared" ca="1" si="51"/>
        <v>65</v>
      </c>
      <c r="M192" s="17">
        <f t="shared" ca="1" si="52"/>
        <v>0</v>
      </c>
      <c r="N192" s="18">
        <f t="shared" ca="1" si="53"/>
        <v>18.3</v>
      </c>
      <c r="O192" s="17">
        <f t="shared" ca="1" si="54"/>
        <v>0</v>
      </c>
      <c r="P192" s="18">
        <f t="shared" ca="1" si="55"/>
        <v>22.8</v>
      </c>
      <c r="Q192" s="17">
        <f t="shared" ca="1" si="56"/>
        <v>0</v>
      </c>
      <c r="R192" s="10">
        <f t="shared" ca="1" si="57"/>
        <v>45</v>
      </c>
      <c r="S192" s="17">
        <f t="shared" ca="1" si="58"/>
        <v>0</v>
      </c>
      <c r="T192" s="70">
        <f t="shared" ca="1" si="59"/>
        <v>0.6</v>
      </c>
      <c r="U192" s="17">
        <f t="shared" ca="1" si="60"/>
        <v>0</v>
      </c>
      <c r="V192" s="71">
        <f t="shared" ca="1" si="61"/>
        <v>0</v>
      </c>
      <c r="W192" s="17">
        <f t="shared" ca="1" si="62"/>
        <v>0</v>
      </c>
    </row>
    <row r="193" spans="1:23" x14ac:dyDescent="0.25">
      <c r="A193" s="4">
        <f t="shared" si="42"/>
        <v>32</v>
      </c>
      <c r="B193" t="str">
        <f ca="1">TEXT(DATE(YEAR(Invoer!$A$6),1,1)+INT((ROWS(B$2:B193)-1)/4),"jjjjmmdd")</f>
        <v>19400217</v>
      </c>
      <c r="C193" s="64" t="str">
        <f>IF(MOD(ROWS(C$2:C193)-1,4)=3,"24.00",INDEX(Data,3,2+MOD(ROWS(C$2:C193)-1,4)))</f>
        <v>24.00</v>
      </c>
      <c r="D193" s="18" t="str">
        <f t="shared" ca="1" si="43"/>
        <v>—</v>
      </c>
      <c r="E193" s="17">
        <f t="shared" ca="1" si="44"/>
        <v>7</v>
      </c>
      <c r="F193" s="18" t="str">
        <f t="shared" ca="1" si="45"/>
        <v>—</v>
      </c>
      <c r="G193" s="17">
        <f t="shared" ca="1" si="46"/>
        <v>7</v>
      </c>
      <c r="H193" s="18">
        <f t="shared" ca="1" si="47"/>
        <v>29</v>
      </c>
      <c r="I193" s="17">
        <f t="shared" ca="1" si="48"/>
        <v>0</v>
      </c>
      <c r="J193" s="18">
        <f t="shared" ca="1" si="49"/>
        <v>30</v>
      </c>
      <c r="K193" s="17">
        <f t="shared" ca="1" si="50"/>
        <v>0</v>
      </c>
      <c r="L193" s="10" t="str">
        <f t="shared" ca="1" si="51"/>
        <v>—</v>
      </c>
      <c r="M193" s="17">
        <f t="shared" ca="1" si="52"/>
        <v>7</v>
      </c>
      <c r="N193" s="18" t="str">
        <f t="shared" ca="1" si="53"/>
        <v>—</v>
      </c>
      <c r="O193" s="17">
        <f t="shared" ca="1" si="54"/>
        <v>7</v>
      </c>
      <c r="P193" s="18" t="str">
        <f t="shared" ca="1" si="55"/>
        <v>—</v>
      </c>
      <c r="Q193" s="17">
        <f t="shared" ca="1" si="56"/>
        <v>7</v>
      </c>
      <c r="R193" s="10" t="str">
        <f t="shared" ca="1" si="57"/>
        <v>—</v>
      </c>
      <c r="S193" s="17">
        <f t="shared" ca="1" si="58"/>
        <v>7</v>
      </c>
      <c r="T193" s="70" t="str">
        <f t="shared" ca="1" si="59"/>
        <v>—</v>
      </c>
      <c r="U193" s="17">
        <f t="shared" ca="1" si="60"/>
        <v>7</v>
      </c>
      <c r="V193" s="71" t="str">
        <f t="shared" ca="1" si="61"/>
        <v>—</v>
      </c>
      <c r="W193" s="17">
        <f t="shared" ca="1" si="62"/>
        <v>7</v>
      </c>
    </row>
    <row r="194" spans="1:23" x14ac:dyDescent="0.25">
      <c r="A194" s="4">
        <f t="shared" ref="A194:A257" si="63">INDEX(Stations,2,1)</f>
        <v>32</v>
      </c>
      <c r="B194" t="str">
        <f ca="1">TEXT(DATE(YEAR(Invoer!$A$6),1,1)+INT((ROWS(B$2:B194)-1)/4),"jjjjmmdd")</f>
        <v>19400218</v>
      </c>
      <c r="C194" s="64" t="str">
        <f>IF(MOD(ROWS(C$2:C194)-1,4)=3,"24.00",INDEX(Data,3,2+MOD(ROWS(C$2:C194)-1,4)))</f>
        <v>07.00</v>
      </c>
      <c r="D194" s="18">
        <f t="shared" ref="D194:D257" ca="1" si="64">IF(OR(ISBLANK(VLOOKUP(DATEVALUE(LEFT($B194,4)&amp;"-"&amp;MID($B194,5,2)&amp;"-"&amp;RIGHT($B194,2)),Data,MATCH(LEFT(VLOOKUP(D$1,Parameters,2,FALSE()),4)&amp;"*",OFFSET(Data,0,0,1),0)+MATCH($C194,OFFSET(Data,2,0,1),0)-2,FALSE())),ISTEXT(VLOOKUP(DATEVALUE(LEFT($B194,4)&amp;"-"&amp;MID($B194,5,2)&amp;"-"&amp;RIGHT($B194,2)),Data,MATCH(LEFT(VLOOKUP(D$1,Parameters,2,FALSE()),4)&amp;"*",OFFSET(Data,0,0,1),0)+MATCH($C194,OFFSET(Data,2,0,1),0)-2,FALSE())),EXACT($C194,"24.00")),"—",VLOOKUP(DATEVALUE(LEFT($B194,4)&amp;"-"&amp;MID($B194,5,2)&amp;"-"&amp;RIGHT($B194,2)),Data,MATCH(LEFT(VLOOKUP(D$1,Parameters,2,FALSE()),4)&amp;"*",OFFSET(Data,0,0,1),0)+MATCH($C194,OFFSET(Data,2,0,1),0)-2,FALSE())/10)</f>
        <v>758.4</v>
      </c>
      <c r="E194" s="17">
        <f t="shared" ref="E194:E257" ca="1" si="65">IF(OR(ISBLANK(VLOOKUP(DATEVALUE(LEFT($B194,4)&amp;"-"&amp;MID($B194,5,2)&amp;"-"&amp;RIGHT($B194,2)),Data,MATCH(LEFT(VLOOKUP(MID(E$1,2,LEN(E$1)-1),Parameters,2,FALSE()),4)&amp;"*",OFFSET(Data,0,0,1),0)+MATCH($C194,OFFSET(Data,2,0,1),0)-2,FALSE())),ISTEXT(VLOOKUP(DATEVALUE(LEFT($B194,4)&amp;"-"&amp;MID($B194,5,2)&amp;"-"&amp;RIGHT($B194,2)),Data,MATCH(LEFT(VLOOKUP(MID(E$1,2,LEN(E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Data,2,0,1),0)-2,FALSE())))</f>
        <v>0</v>
      </c>
      <c r="F194" s="18">
        <f t="shared" ref="F194:F257" ca="1" si="66">IF(OR(ISBLANK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ISTEXT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EXACT($C194,"24.00")),"—",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/10)</f>
        <v>25.3</v>
      </c>
      <c r="G194" s="17">
        <f t="shared" ref="G194:G257" ca="1" si="67">IF(OR(ISBLANK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ISTEXT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G$1,2,LEN(G$1)-1),Parameters,2,FALSE()),FIND(LOWER(MID(G$1,2,1)),VLOOKUP(MID(G$1,2,LEN(G$1)-1),Parameters,2,FALSE()),5),4)&amp;"*",OFFSET(Catalogus,0,0,1),0)+2*MATCH($C194,OFFSET(Catalogus,2,0,1),0)+MATCH(LEFT(VLOOKUP(MID(G$1,2,LEN(G$1)-1),Parameters,2,FALSE()),3)&amp;"*",OFFSET(Catalogus,2,4,1),0)-5,FALSE())))</f>
        <v>0</v>
      </c>
      <c r="H194" s="18" t="str">
        <f t="shared" ref="H194:H257" ca="1" si="68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/10)</f>
        <v>—</v>
      </c>
      <c r="I194" s="17">
        <f t="shared" ref="I194:I257" ca="1" si="69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  <c r="J194" s="18" t="str">
        <f t="shared" ref="J194:J257" ca="1" si="70">IF(OR(ISBLANK(VLOOKUP(DATEVALUE(LEFT($B194,4)&amp;"-"&amp;MID($B194,5,2)&amp;"-"&amp;RIGHT($B194,2)),Data,MATCH(LEFT(VLOOKUP(J$1,Parameters,2,FALSE()),4)&amp;"*",OFFSET(Data,1,0,1),0),FALSE())),ISTEXT(VLOOKUP(DATEVALUE(LEFT($B194,4)&amp;"-"&amp;MID($B194,5,2)&amp;"-"&amp;RIGHT($B194,2)),Data,MATCH(LEFT(VLOOKUP(J$1,Parameters,2,FALSE()),4)&amp;"*",OFFSET(Data,1,0,1),0),FALSE())),NOT(EXACT($C194,"24.00"))),"—",VLOOKUP(DATEVALUE(LEFT($B194,4)&amp;"-"&amp;MID($B194,5,2)&amp;"-"&amp;RIGHT($B194,2)),Data,MATCH(LEFT(VLOOKUP(J$1,Parameters,2,FALSE()),4)&amp;"*",OFFSET(Data,1,0,1),0),FALSE())/10)</f>
        <v>—</v>
      </c>
      <c r="K194" s="17">
        <f t="shared" ref="K194:K257" ca="1" si="71">IF(OR(ISBLANK(VLOOKUP(DATEVALUE(LEFT($B194,4)&amp;"-"&amp;MID($B194,5,2)&amp;"-"&amp;RIGHT($B194,2)),Data,MATCH(LEFT(VLOOKUP(MID(K$1,2,LEN(K$1)-1),Parameters,2,FALSE()),4)&amp;"*",OFFSET(Data,1,0,1),0),FALSE())),ISTEXT(VLOOKUP(DATEVALUE(LEFT($B194,4)&amp;"-"&amp;MID($B194,5,2)&amp;"-"&amp;RIGHT($B194,2)),Data,MATCH(LEFT(VLOOKUP(MID(K$1,2,LEN(K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4)&amp;"*",OFFSET(Catalogus,1,0,1),0),FALSE())))</f>
        <v>7</v>
      </c>
      <c r="L194" s="10">
        <f t="shared" ref="L194:L257" ca="1" si="72">IF(OR(ISBLANK(VLOOKUP(DATEVALUE(LEFT($B194,4)&amp;"-"&amp;MID($B194,5,2)&amp;"-"&amp;RIGHT($B194,2)),Data,MATCH(LEFT(VLOOKUP(L$1,Parameters,2,FALSE()),4)&amp;"*",OFFSET(Data,0,0,1),0)+MATCH($C194,OFFSET(Data,2,0,1),0)-2,FALSE())),ISTEXT(VLOOKUP(DATEVALUE(LEFT($B194,4)&amp;"-"&amp;MID($B194,5,2)&amp;"-"&amp;RIGHT($B194,2)),Data,MATCH(LEFT(VLOOKUP(L$1,Parameters,2,FALSE()),4)&amp;"*",OFFSET(Data,0,0,1),0)+MATCH($C194,OFFSET(Data,2,0,1),0)-2,FALSE())),EXACT($C194,"24.00")),"—",VLOOKUP(DATEVALUE(LEFT($B194,4)&amp;"-"&amp;MID($B194,5,2)&amp;"-"&amp;RIGHT($B194,2)),Data,MATCH(LEFT(VLOOKUP(L$1,Parameters,2,FALSE()),4)&amp;"*",OFFSET(Data,0,0,1),0)+MATCH($C194,OFFSET(Data,2,0,1),0)-2,FALSE()))</f>
        <v>81</v>
      </c>
      <c r="M194" s="17">
        <f t="shared" ref="M194:M257" ca="1" si="73">IF(OR(ISBLANK(VLOOKUP(DATEVALUE(LEFT($B194,4)&amp;"-"&amp;MID($B194,5,2)&amp;"-"&amp;RIGHT($B194,2)),Data,MATCH(LEFT(VLOOKUP(MID(M$1,2,LEN(M$1)-1),Parameters,2,FALSE()),4)&amp;"*",OFFSET(Data,0,0,1),0)+MATCH($C194,OFFSET(Data,2,0,1),0)-2,FALSE())),ISTEXT(VLOOKUP(DATEVALUE(LEFT($B194,4)&amp;"-"&amp;MID($B194,5,2)&amp;"-"&amp;RIGHT($B194,2)),Data,MATCH(LEFT(VLOOKUP(MID(M$1,2,LEN(M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4)&amp;"*",OFFSET(Catalogus,0,0,1),0)+MATCH($C194,OFFSET(Data,2,0,1),0)-2,FALSE())))</f>
        <v>0</v>
      </c>
      <c r="N194" s="18">
        <f t="shared" ref="N194:N257" ca="1" si="74">IF(OR(ISBLANK(VLOOKUP(DATEVALUE(LEFT($B194,4)&amp;"-"&amp;MID($B194,5,2)&amp;"-"&amp;RIGHT($B194,2)),Data,MATCH(LEFT(VLOOKUP(N$1,Parameters,2,FALSE()),4)&amp;"*",OFFSET(Data,0,0,1),0)+MATCH($C194,OFFSET(Data,2,0,1),0)-2,FALSE())),ISTEXT(VLOOKUP(DATEVALUE(LEFT($B194,4)&amp;"-"&amp;MID($B194,5,2)&amp;"-"&amp;RIGHT($B194,2)),Data,MATCH(LEFT(VLOOKUP(N$1,Parameters,2,FALSE()),4)&amp;"*",OFFSET(Data,0,0,1),0)+MATCH($C194,OFFSET(Data,2,0,1),0)-2,FALSE())),EXACT($C194,"24.00")),"—",VLOOKUP(DATEVALUE(LEFT($B194,4)&amp;"-"&amp;MID($B194,5,2)&amp;"-"&amp;RIGHT($B194,2)),Data,MATCH(LEFT(VLOOKUP(N$1,Parameters,2,FALSE()),4)&amp;"*",OFFSET(Data,0,0,1),0)+MATCH($C194,OFFSET(Data,2,0,1),0)-2,FALSE())/10)</f>
        <v>19.600000000000001</v>
      </c>
      <c r="O194" s="17">
        <f t="shared" ref="O194:O257" ca="1" si="75">IF(OR(ISBLANK(VLOOKUP(DATEVALUE(LEFT($B194,4)&amp;"-"&amp;MID($B194,5,2)&amp;"-"&amp;RIGHT($B194,2)),Data,MATCH(LEFT(VLOOKUP(MID(O$1,2,LEN(O$1)-1),Parameters,2,FALSE()),4)&amp;"*",OFFSET(Data,0,0,1),0)+MATCH($C194,OFFSET(Data,2,0,1),0)-2,FALSE())),ISTEXT(VLOOKUP(DATEVALUE(LEFT($B194,4)&amp;"-"&amp;MID($B194,5,2)&amp;"-"&amp;RIGHT($B194,2)),Data,MATCH(LEFT(VLOOKUP(MID(O$1,2,LEN(O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4)&amp;"*",OFFSET(Catalogus,0,0,1),0)+MATCH($C194,OFFSET(Data,2,0,1),0)-2,FALSE())))</f>
        <v>0</v>
      </c>
      <c r="P194" s="18">
        <f t="shared" ref="P194:P257" ca="1" si="76">IF(OR(ISBLANK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ISTEXT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EXACT($C194,"24.00")),"—",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/10)</f>
        <v>22.8</v>
      </c>
      <c r="Q194" s="17">
        <f t="shared" ref="Q194:Q257" ca="1" si="77">IF(OR(ISBLANK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ISTEXT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Q$1,2,LEN(Q$1)-1),Parameters,2,FALSE()),FIND(LOWER(MID(Q$1,2,1)),VLOOKUP(MID(Q$1,2,LEN(Q$1)-1),Parameters,2,FALSE()),5),4)&amp;"*",OFFSET(Catalogus,0,0,1),0)+2*MATCH($C194,OFFSET(Catalogus,2,0,1),0)+MATCH(LEFT(VLOOKUP(MID(Q$1,2,LEN(Q$1)-1),Parameters,2,FALSE()),3)&amp;"*",OFFSET(Catalogus,2,4,1),0)-5,FALSE())))</f>
        <v>0</v>
      </c>
      <c r="R194" s="10">
        <f t="shared" ref="R194:R257" ca="1" si="78">IF(OR(ISBLANK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),ISNA(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1,1,,1),0)),EXACT($C194,"24.00")),"—",INDEX(Windrichting,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0,1,,1),0),1))</f>
        <v>65</v>
      </c>
      <c r="S194" s="17">
        <f t="shared" ref="S194:S257" ca="1" si="79">IF(OR(ISBLANK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),ISNA(MATCH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,OFFSET(Windrichting,1,1,,1),0)),EXACT($C194,"24.00"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4)&amp;"*",OFFSET(Catalogus,0,0,1),0)+2*MATCH($C194,OFFSET(Catalogus,2,0,1),0)+MATCH(MID(VLOOKUP(MID(S$1,2,LEN(S$1)-1),Parameters,2,FALSE()),5,LEN(VLOOKUP(MID(S$1,2,LEN(S$1)-1),Parameters,2,FALSE()))-4)&amp;"*",OFFSET(Catalogus,2,19,1),0)-5,FALSE())))</f>
        <v>0</v>
      </c>
      <c r="T194" s="70">
        <f t="shared" ref="T194:T257" ca="1" si="80">IF(OR(ISBLANK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ISTEXT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EXACT($C194,"24.00")),"—",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/10)</f>
        <v>0.5</v>
      </c>
      <c r="U194" s="17">
        <f t="shared" ref="U194:U257" ca="1" si="81">IF(OR(ISBLANK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ISTEXT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4)&amp;"*",OFFSET(Catalogus,0,0,1),0)+2*MATCH($C194,OFFSET(Catalogus,2,0,1),0)+MATCH(MID(VLOOKUP(MID(U$1,2,LEN(U$1)-1),Parameters,2,FALSE()),5,LEN(VLOOKUP(MID(U$1,2,LEN(U$1)-1),Parameters,2,FALSE()))-4)&amp;"*",OFFSET(Catalogus,2,19,1),0)-5,FALSE())))</f>
        <v>0</v>
      </c>
      <c r="V194" s="71">
        <f t="shared" ref="V194:V257" ca="1" si="82">IF(OR(ISBLANK(VLOOKUP(DATEVALUE(LEFT($B194,4)&amp;"-"&amp;MID($B194,5,2)&amp;"-"&amp;RIGHT($B194,2)),Data,MATCH(LEFT(VLOOKUP(V$1,Parameters,2,FALSE()),4)&amp;"*",OFFSET(Data,0,0,1),0)+MATCH($C194,OFFSET(Data,2,0,1),0)-2,FALSE())),ISTEXT(VLOOKUP(DATEVALUE(LEFT($B194,4)&amp;"-"&amp;MID($B194,5,2)&amp;"-"&amp;RIGHT($B194,2)),Data,MATCH(LEFT(VLOOKUP(V$1,Parameters,2,FALSE()),4)&amp;"*",OFFSET(Data,0,0,1),0)+MATCH($C194,OFFSET(Data,2,0,1),0)-2,FALSE())),EXACT($C194,"24.00")),"—",VLOOKUP(DATEVALUE(LEFT($B194,4)&amp;"-"&amp;MID($B194,5,2)&amp;"-"&amp;RIGHT($B194,2)),Data,MATCH(LEFT(VLOOKUP(V$1,Parameters,2,FALSE()),4)&amp;"*",OFFSET(Data,0,0,1),0)+MATCH($C194,OFFSET(Data,2,0,1),0)-2,FALSE()))</f>
        <v>1</v>
      </c>
      <c r="W194" s="17">
        <f t="shared" ref="W194:W257" ca="1" si="83">IF(OR(ISBLANK(VLOOKUP(DATEVALUE(LEFT($B194,4)&amp;"-"&amp;MID($B194,5,2)&amp;"-"&amp;RIGHT($B194,2)),Data,MATCH(LEFT(VLOOKUP(MID(W$1,2,LEN(W$1)-1),Parameters,2,FALSE()),4)&amp;"*",OFFSET(Data,0,0,1),0)+MATCH($C194,OFFSET(Data,2,0,1),0)-2,FALSE())),ISTEXT(VLOOKUP(DATEVALUE(LEFT($B194,4)&amp;"-"&amp;MID($B194,5,2)&amp;"-"&amp;RIGHT($B194,2)),Data,MATCH(LEFT(VLOOKUP(MID(W$1,2,LEN(W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4)&amp;"*",OFFSET(Catalogus,0,0,1),0)+MATCH($C194,OFFSET(Data,2,0,1),0)-2,FALSE())))</f>
        <v>0</v>
      </c>
    </row>
    <row r="195" spans="1:23" x14ac:dyDescent="0.25">
      <c r="A195" s="4">
        <f t="shared" si="63"/>
        <v>32</v>
      </c>
      <c r="B195" t="str">
        <f ca="1">TEXT(DATE(YEAR(Invoer!$A$6),1,1)+INT((ROWS(B$2:B195)-1)/4),"jjjjmmdd")</f>
        <v>19400218</v>
      </c>
      <c r="C195" s="64" t="str">
        <f>IF(MOD(ROWS(C$2:C195)-1,4)=3,"24.00",INDEX(Data,3,2+MOD(ROWS(C$2:C195)-1,4)))</f>
        <v>12.00</v>
      </c>
      <c r="D195" s="18">
        <f t="shared" ca="1" si="64"/>
        <v>759.2</v>
      </c>
      <c r="E195" s="17">
        <f t="shared" ca="1" si="65"/>
        <v>0</v>
      </c>
      <c r="F195" s="18">
        <f t="shared" ca="1" si="66"/>
        <v>27.9</v>
      </c>
      <c r="G195" s="17">
        <f t="shared" ca="1" si="67"/>
        <v>0</v>
      </c>
      <c r="H195" s="18" t="str">
        <f t="shared" ca="1" si="68"/>
        <v>—</v>
      </c>
      <c r="I195" s="17">
        <f t="shared" ca="1" si="69"/>
        <v>7</v>
      </c>
      <c r="J195" s="18" t="str">
        <f t="shared" ca="1" si="70"/>
        <v>—</v>
      </c>
      <c r="K195" s="17">
        <f t="shared" ca="1" si="71"/>
        <v>7</v>
      </c>
      <c r="L195" s="10">
        <f t="shared" ca="1" si="72"/>
        <v>66</v>
      </c>
      <c r="M195" s="17">
        <f t="shared" ca="1" si="73"/>
        <v>0</v>
      </c>
      <c r="N195" s="18">
        <f t="shared" ca="1" si="74"/>
        <v>18.600000000000001</v>
      </c>
      <c r="O195" s="17">
        <f t="shared" ca="1" si="75"/>
        <v>0</v>
      </c>
      <c r="P195" s="18">
        <f t="shared" ca="1" si="76"/>
        <v>23</v>
      </c>
      <c r="Q195" s="17">
        <f t="shared" ca="1" si="77"/>
        <v>0</v>
      </c>
      <c r="R195" s="10">
        <f t="shared" ca="1" si="78"/>
        <v>65</v>
      </c>
      <c r="S195" s="17">
        <f t="shared" ca="1" si="79"/>
        <v>0</v>
      </c>
      <c r="T195" s="70">
        <f t="shared" ca="1" si="80"/>
        <v>0.7</v>
      </c>
      <c r="U195" s="17">
        <f t="shared" ca="1" si="81"/>
        <v>0</v>
      </c>
      <c r="V195" s="71">
        <f t="shared" ca="1" si="82"/>
        <v>0</v>
      </c>
      <c r="W195" s="17">
        <f t="shared" ca="1" si="83"/>
        <v>0</v>
      </c>
    </row>
    <row r="196" spans="1:23" x14ac:dyDescent="0.25">
      <c r="A196" s="4">
        <f t="shared" si="63"/>
        <v>32</v>
      </c>
      <c r="B196" t="str">
        <f ca="1">TEXT(DATE(YEAR(Invoer!$A$6),1,1)+INT((ROWS(B$2:B196)-1)/4),"jjjjmmdd")</f>
        <v>19400218</v>
      </c>
      <c r="C196" s="64" t="str">
        <f>IF(MOD(ROWS(C$2:C196)-1,4)=3,"24.00",INDEX(Data,3,2+MOD(ROWS(C$2:C196)-1,4)))</f>
        <v>17.00</v>
      </c>
      <c r="D196" s="18">
        <f t="shared" ca="1" si="64"/>
        <v>758.9</v>
      </c>
      <c r="E196" s="17">
        <f t="shared" ca="1" si="65"/>
        <v>0</v>
      </c>
      <c r="F196" s="18">
        <f t="shared" ca="1" si="66"/>
        <v>27.7</v>
      </c>
      <c r="G196" s="17">
        <f t="shared" ca="1" si="67"/>
        <v>0</v>
      </c>
      <c r="H196" s="18" t="str">
        <f t="shared" ca="1" si="68"/>
        <v>—</v>
      </c>
      <c r="I196" s="17">
        <f t="shared" ca="1" si="69"/>
        <v>7</v>
      </c>
      <c r="J196" s="18" t="str">
        <f t="shared" ca="1" si="70"/>
        <v>—</v>
      </c>
      <c r="K196" s="17">
        <f t="shared" ca="1" si="71"/>
        <v>7</v>
      </c>
      <c r="L196" s="10">
        <f t="shared" ca="1" si="72"/>
        <v>66</v>
      </c>
      <c r="M196" s="17">
        <f t="shared" ca="1" si="73"/>
        <v>0</v>
      </c>
      <c r="N196" s="18">
        <f t="shared" ca="1" si="74"/>
        <v>18.600000000000001</v>
      </c>
      <c r="O196" s="17">
        <f t="shared" ca="1" si="75"/>
        <v>0</v>
      </c>
      <c r="P196" s="18">
        <f t="shared" ca="1" si="76"/>
        <v>22.9</v>
      </c>
      <c r="Q196" s="17">
        <f t="shared" ca="1" si="77"/>
        <v>0</v>
      </c>
      <c r="R196" s="10">
        <f t="shared" ca="1" si="78"/>
        <v>65</v>
      </c>
      <c r="S196" s="17">
        <f t="shared" ca="1" si="79"/>
        <v>0</v>
      </c>
      <c r="T196" s="70">
        <f t="shared" ca="1" si="80"/>
        <v>0.6</v>
      </c>
      <c r="U196" s="17">
        <f t="shared" ca="1" si="81"/>
        <v>0</v>
      </c>
      <c r="V196" s="71">
        <f t="shared" ca="1" si="82"/>
        <v>1</v>
      </c>
      <c r="W196" s="17">
        <f t="shared" ca="1" si="83"/>
        <v>0</v>
      </c>
    </row>
    <row r="197" spans="1:23" x14ac:dyDescent="0.25">
      <c r="A197" s="4">
        <f t="shared" si="63"/>
        <v>32</v>
      </c>
      <c r="B197" t="str">
        <f ca="1">TEXT(DATE(YEAR(Invoer!$A$6),1,1)+INT((ROWS(B$2:B197)-1)/4),"jjjjmmdd")</f>
        <v>19400218</v>
      </c>
      <c r="C197" s="64" t="str">
        <f>IF(MOD(ROWS(C$2:C197)-1,4)=3,"24.00",INDEX(Data,3,2+MOD(ROWS(C$2:C197)-1,4)))</f>
        <v>24.00</v>
      </c>
      <c r="D197" s="18" t="str">
        <f t="shared" ca="1" si="64"/>
        <v>—</v>
      </c>
      <c r="E197" s="17">
        <f t="shared" ca="1" si="65"/>
        <v>7</v>
      </c>
      <c r="F197" s="18" t="str">
        <f t="shared" ca="1" si="66"/>
        <v>—</v>
      </c>
      <c r="G197" s="17">
        <f t="shared" ca="1" si="67"/>
        <v>7</v>
      </c>
      <c r="H197" s="18">
        <f t="shared" ca="1" si="68"/>
        <v>26.4</v>
      </c>
      <c r="I197" s="17">
        <f t="shared" ca="1" si="69"/>
        <v>0</v>
      </c>
      <c r="J197" s="18">
        <f t="shared" ca="1" si="70"/>
        <v>30</v>
      </c>
      <c r="K197" s="17">
        <f t="shared" ca="1" si="71"/>
        <v>0</v>
      </c>
      <c r="L197" s="10" t="str">
        <f t="shared" ca="1" si="72"/>
        <v>—</v>
      </c>
      <c r="M197" s="17">
        <f t="shared" ca="1" si="73"/>
        <v>7</v>
      </c>
      <c r="N197" s="18" t="str">
        <f t="shared" ca="1" si="74"/>
        <v>—</v>
      </c>
      <c r="O197" s="17">
        <f t="shared" ca="1" si="75"/>
        <v>7</v>
      </c>
      <c r="P197" s="18" t="str">
        <f t="shared" ca="1" si="76"/>
        <v>—</v>
      </c>
      <c r="Q197" s="17">
        <f t="shared" ca="1" si="77"/>
        <v>7</v>
      </c>
      <c r="R197" s="10" t="str">
        <f t="shared" ca="1" si="78"/>
        <v>—</v>
      </c>
      <c r="S197" s="17">
        <f t="shared" ca="1" si="79"/>
        <v>7</v>
      </c>
      <c r="T197" s="70" t="str">
        <f t="shared" ca="1" si="80"/>
        <v>—</v>
      </c>
      <c r="U197" s="17">
        <f t="shared" ca="1" si="81"/>
        <v>7</v>
      </c>
      <c r="V197" s="71" t="str">
        <f t="shared" ca="1" si="82"/>
        <v>—</v>
      </c>
      <c r="W197" s="17">
        <f t="shared" ca="1" si="83"/>
        <v>7</v>
      </c>
    </row>
    <row r="198" spans="1:23" x14ac:dyDescent="0.25">
      <c r="A198" s="4">
        <f t="shared" si="63"/>
        <v>32</v>
      </c>
      <c r="B198" t="str">
        <f ca="1">TEXT(DATE(YEAR(Invoer!$A$6),1,1)+INT((ROWS(B$2:B198)-1)/4),"jjjjmmdd")</f>
        <v>19400219</v>
      </c>
      <c r="C198" s="64" t="str">
        <f>IF(MOD(ROWS(C$2:C198)-1,4)=3,"24.00",INDEX(Data,3,2+MOD(ROWS(C$2:C198)-1,4)))</f>
        <v>07.00</v>
      </c>
      <c r="D198" s="18">
        <f t="shared" ca="1" si="64"/>
        <v>758.7</v>
      </c>
      <c r="E198" s="17">
        <f t="shared" ca="1" si="65"/>
        <v>0</v>
      </c>
      <c r="F198" s="18">
        <f t="shared" ca="1" si="66"/>
        <v>25.9</v>
      </c>
      <c r="G198" s="17">
        <f t="shared" ca="1" si="67"/>
        <v>0</v>
      </c>
      <c r="H198" s="18" t="str">
        <f t="shared" ca="1" si="68"/>
        <v>—</v>
      </c>
      <c r="I198" s="17">
        <f t="shared" ca="1" si="69"/>
        <v>7</v>
      </c>
      <c r="J198" s="18" t="str">
        <f t="shared" ca="1" si="70"/>
        <v>—</v>
      </c>
      <c r="K198" s="17">
        <f t="shared" ca="1" si="71"/>
        <v>7</v>
      </c>
      <c r="L198" s="10">
        <f t="shared" ca="1" si="72"/>
        <v>77</v>
      </c>
      <c r="M198" s="17">
        <f t="shared" ca="1" si="73"/>
        <v>0</v>
      </c>
      <c r="N198" s="18">
        <f t="shared" ca="1" si="74"/>
        <v>19.3</v>
      </c>
      <c r="O198" s="17">
        <f t="shared" ca="1" si="75"/>
        <v>0</v>
      </c>
      <c r="P198" s="18">
        <f t="shared" ca="1" si="76"/>
        <v>22.8</v>
      </c>
      <c r="Q198" s="17">
        <f t="shared" ca="1" si="77"/>
        <v>0</v>
      </c>
      <c r="R198" s="10">
        <f t="shared" ca="1" si="78"/>
        <v>90</v>
      </c>
      <c r="S198" s="17">
        <f t="shared" ca="1" si="79"/>
        <v>0</v>
      </c>
      <c r="T198" s="70">
        <f t="shared" ca="1" si="80"/>
        <v>0.5</v>
      </c>
      <c r="U198" s="17">
        <f t="shared" ca="1" si="81"/>
        <v>0</v>
      </c>
      <c r="V198" s="71">
        <f t="shared" ca="1" si="82"/>
        <v>1</v>
      </c>
      <c r="W198" s="17">
        <f t="shared" ca="1" si="83"/>
        <v>0</v>
      </c>
    </row>
    <row r="199" spans="1:23" x14ac:dyDescent="0.25">
      <c r="A199" s="4">
        <f t="shared" si="63"/>
        <v>32</v>
      </c>
      <c r="B199" t="str">
        <f ca="1">TEXT(DATE(YEAR(Invoer!$A$6),1,1)+INT((ROWS(B$2:B199)-1)/4),"jjjjmmdd")</f>
        <v>19400219</v>
      </c>
      <c r="C199" s="64" t="str">
        <f>IF(MOD(ROWS(C$2:C199)-1,4)=3,"24.00",INDEX(Data,3,2+MOD(ROWS(C$2:C199)-1,4)))</f>
        <v>12.00</v>
      </c>
      <c r="D199" s="18">
        <f t="shared" ca="1" si="64"/>
        <v>759.2</v>
      </c>
      <c r="E199" s="17">
        <f t="shared" ca="1" si="65"/>
        <v>0</v>
      </c>
      <c r="F199" s="18">
        <f t="shared" ca="1" si="66"/>
        <v>28.7</v>
      </c>
      <c r="G199" s="17">
        <f t="shared" ca="1" si="67"/>
        <v>0</v>
      </c>
      <c r="H199" s="18" t="str">
        <f t="shared" ca="1" si="68"/>
        <v>—</v>
      </c>
      <c r="I199" s="17">
        <f t="shared" ca="1" si="69"/>
        <v>7</v>
      </c>
      <c r="J199" s="18" t="str">
        <f t="shared" ca="1" si="70"/>
        <v>—</v>
      </c>
      <c r="K199" s="17">
        <f t="shared" ca="1" si="71"/>
        <v>7</v>
      </c>
      <c r="L199" s="10">
        <f t="shared" ca="1" si="72"/>
        <v>67</v>
      </c>
      <c r="M199" s="17">
        <f t="shared" ca="1" si="73"/>
        <v>0</v>
      </c>
      <c r="N199" s="18">
        <f t="shared" ca="1" si="74"/>
        <v>19.8</v>
      </c>
      <c r="O199" s="17">
        <f t="shared" ca="1" si="75"/>
        <v>0</v>
      </c>
      <c r="P199" s="18">
        <f t="shared" ca="1" si="76"/>
        <v>23.9</v>
      </c>
      <c r="Q199" s="17">
        <f t="shared" ca="1" si="77"/>
        <v>0</v>
      </c>
      <c r="R199" s="10">
        <f t="shared" ca="1" si="78"/>
        <v>90</v>
      </c>
      <c r="S199" s="17">
        <f t="shared" ca="1" si="79"/>
        <v>0</v>
      </c>
      <c r="T199" s="70">
        <f t="shared" ca="1" si="80"/>
        <v>0.7</v>
      </c>
      <c r="U199" s="17">
        <f t="shared" ca="1" si="81"/>
        <v>0</v>
      </c>
      <c r="V199" s="71">
        <f t="shared" ca="1" si="82"/>
        <v>0</v>
      </c>
      <c r="W199" s="17">
        <f t="shared" ca="1" si="83"/>
        <v>0</v>
      </c>
    </row>
    <row r="200" spans="1:23" x14ac:dyDescent="0.25">
      <c r="A200" s="4">
        <f t="shared" si="63"/>
        <v>32</v>
      </c>
      <c r="B200" t="str">
        <f ca="1">TEXT(DATE(YEAR(Invoer!$A$6),1,1)+INT((ROWS(B$2:B200)-1)/4),"jjjjmmdd")</f>
        <v>19400219</v>
      </c>
      <c r="C200" s="64" t="str">
        <f>IF(MOD(ROWS(C$2:C200)-1,4)=3,"24.00",INDEX(Data,3,2+MOD(ROWS(C$2:C200)-1,4)))</f>
        <v>17.00</v>
      </c>
      <c r="D200" s="18">
        <f t="shared" ca="1" si="64"/>
        <v>758.9</v>
      </c>
      <c r="E200" s="17">
        <f t="shared" ca="1" si="65"/>
        <v>0</v>
      </c>
      <c r="F200" s="18">
        <f t="shared" ca="1" si="66"/>
        <v>27.9</v>
      </c>
      <c r="G200" s="17">
        <f t="shared" ca="1" si="67"/>
        <v>0</v>
      </c>
      <c r="H200" s="18" t="str">
        <f t="shared" ca="1" si="68"/>
        <v>—</v>
      </c>
      <c r="I200" s="17">
        <f t="shared" ca="1" si="69"/>
        <v>7</v>
      </c>
      <c r="J200" s="18" t="str">
        <f t="shared" ca="1" si="70"/>
        <v>—</v>
      </c>
      <c r="K200" s="17">
        <f t="shared" ca="1" si="71"/>
        <v>7</v>
      </c>
      <c r="L200" s="10">
        <f t="shared" ca="1" si="72"/>
        <v>67</v>
      </c>
      <c r="M200" s="17">
        <f t="shared" ca="1" si="73"/>
        <v>0</v>
      </c>
      <c r="N200" s="18">
        <f t="shared" ca="1" si="74"/>
        <v>18.8</v>
      </c>
      <c r="O200" s="17">
        <f t="shared" ca="1" si="75"/>
        <v>0</v>
      </c>
      <c r="P200" s="18">
        <f t="shared" ca="1" si="76"/>
        <v>23.1</v>
      </c>
      <c r="Q200" s="17">
        <f t="shared" ca="1" si="77"/>
        <v>0</v>
      </c>
      <c r="R200" s="10">
        <f t="shared" ca="1" si="78"/>
        <v>90</v>
      </c>
      <c r="S200" s="17">
        <f t="shared" ca="1" si="79"/>
        <v>0</v>
      </c>
      <c r="T200" s="70">
        <f t="shared" ca="1" si="80"/>
        <v>0.7</v>
      </c>
      <c r="U200" s="17">
        <f t="shared" ca="1" si="81"/>
        <v>0</v>
      </c>
      <c r="V200" s="71">
        <f t="shared" ca="1" si="82"/>
        <v>1</v>
      </c>
      <c r="W200" s="17">
        <f t="shared" ca="1" si="83"/>
        <v>0</v>
      </c>
    </row>
    <row r="201" spans="1:23" x14ac:dyDescent="0.25">
      <c r="A201" s="4">
        <f t="shared" si="63"/>
        <v>32</v>
      </c>
      <c r="B201" t="str">
        <f ca="1">TEXT(DATE(YEAR(Invoer!$A$6),1,1)+INT((ROWS(B$2:B201)-1)/4),"jjjjmmdd")</f>
        <v>19400219</v>
      </c>
      <c r="C201" s="64" t="str">
        <f>IF(MOD(ROWS(C$2:C201)-1,4)=3,"24.00",INDEX(Data,3,2+MOD(ROWS(C$2:C201)-1,4)))</f>
        <v>24.00</v>
      </c>
      <c r="D201" s="18" t="str">
        <f t="shared" ca="1" si="64"/>
        <v>—</v>
      </c>
      <c r="E201" s="17">
        <f t="shared" ca="1" si="65"/>
        <v>7</v>
      </c>
      <c r="F201" s="18" t="str">
        <f t="shared" ca="1" si="66"/>
        <v>—</v>
      </c>
      <c r="G201" s="17">
        <f t="shared" ca="1" si="67"/>
        <v>7</v>
      </c>
      <c r="H201" s="18">
        <f t="shared" ca="1" si="68"/>
        <v>27</v>
      </c>
      <c r="I201" s="17">
        <f t="shared" ca="1" si="69"/>
        <v>0</v>
      </c>
      <c r="J201" s="18">
        <f t="shared" ca="1" si="70"/>
        <v>31.4</v>
      </c>
      <c r="K201" s="17">
        <f t="shared" ca="1" si="71"/>
        <v>0</v>
      </c>
      <c r="L201" s="10" t="str">
        <f t="shared" ca="1" si="72"/>
        <v>—</v>
      </c>
      <c r="M201" s="17">
        <f t="shared" ca="1" si="73"/>
        <v>7</v>
      </c>
      <c r="N201" s="18" t="str">
        <f t="shared" ca="1" si="74"/>
        <v>—</v>
      </c>
      <c r="O201" s="17">
        <f t="shared" ca="1" si="75"/>
        <v>7</v>
      </c>
      <c r="P201" s="18" t="str">
        <f t="shared" ca="1" si="76"/>
        <v>—</v>
      </c>
      <c r="Q201" s="17">
        <f t="shared" ca="1" si="77"/>
        <v>7</v>
      </c>
      <c r="R201" s="10" t="str">
        <f t="shared" ca="1" si="78"/>
        <v>—</v>
      </c>
      <c r="S201" s="17">
        <f t="shared" ca="1" si="79"/>
        <v>7</v>
      </c>
      <c r="T201" s="70" t="str">
        <f t="shared" ca="1" si="80"/>
        <v>—</v>
      </c>
      <c r="U201" s="17">
        <f t="shared" ca="1" si="81"/>
        <v>7</v>
      </c>
      <c r="V201" s="71" t="str">
        <f t="shared" ca="1" si="82"/>
        <v>—</v>
      </c>
      <c r="W201" s="17">
        <f t="shared" ca="1" si="83"/>
        <v>7</v>
      </c>
    </row>
    <row r="202" spans="1:23" x14ac:dyDescent="0.25">
      <c r="A202" s="4">
        <f t="shared" si="63"/>
        <v>32</v>
      </c>
      <c r="B202" t="str">
        <f ca="1">TEXT(DATE(YEAR(Invoer!$A$6),1,1)+INT((ROWS(B$2:B202)-1)/4),"jjjjmmdd")</f>
        <v>19400220</v>
      </c>
      <c r="C202" s="64" t="str">
        <f>IF(MOD(ROWS(C$2:C202)-1,4)=3,"24.00",INDEX(Data,3,2+MOD(ROWS(C$2:C202)-1,4)))</f>
        <v>07.00</v>
      </c>
      <c r="D202" s="18">
        <f t="shared" ca="1" si="64"/>
        <v>758.5</v>
      </c>
      <c r="E202" s="17">
        <f t="shared" ca="1" si="65"/>
        <v>0</v>
      </c>
      <c r="F202" s="18">
        <f t="shared" ca="1" si="66"/>
        <v>27.3</v>
      </c>
      <c r="G202" s="17">
        <f t="shared" ca="1" si="67"/>
        <v>0</v>
      </c>
      <c r="H202" s="18" t="str">
        <f t="shared" ca="1" si="68"/>
        <v>—</v>
      </c>
      <c r="I202" s="17">
        <f t="shared" ca="1" si="69"/>
        <v>7</v>
      </c>
      <c r="J202" s="18" t="str">
        <f t="shared" ca="1" si="70"/>
        <v>—</v>
      </c>
      <c r="K202" s="17">
        <f t="shared" ca="1" si="71"/>
        <v>7</v>
      </c>
      <c r="L202" s="10">
        <f t="shared" ca="1" si="72"/>
        <v>69</v>
      </c>
      <c r="M202" s="17">
        <f t="shared" ca="1" si="73"/>
        <v>0</v>
      </c>
      <c r="N202" s="18">
        <f t="shared" ca="1" si="74"/>
        <v>18.899999999999999</v>
      </c>
      <c r="O202" s="17">
        <f t="shared" ca="1" si="75"/>
        <v>0</v>
      </c>
      <c r="P202" s="18">
        <f t="shared" ca="1" si="76"/>
        <v>23</v>
      </c>
      <c r="Q202" s="17">
        <f t="shared" ca="1" si="77"/>
        <v>0</v>
      </c>
      <c r="R202" s="10">
        <f t="shared" ca="1" si="78"/>
        <v>65</v>
      </c>
      <c r="S202" s="17">
        <f t="shared" ca="1" si="79"/>
        <v>0</v>
      </c>
      <c r="T202" s="70">
        <f t="shared" ca="1" si="80"/>
        <v>0.5</v>
      </c>
      <c r="U202" s="17">
        <f t="shared" ca="1" si="81"/>
        <v>0</v>
      </c>
      <c r="V202" s="71">
        <f t="shared" ca="1" si="82"/>
        <v>6</v>
      </c>
      <c r="W202" s="17">
        <f t="shared" ca="1" si="83"/>
        <v>0</v>
      </c>
    </row>
    <row r="203" spans="1:23" x14ac:dyDescent="0.25">
      <c r="A203" s="4">
        <f t="shared" si="63"/>
        <v>32</v>
      </c>
      <c r="B203" t="str">
        <f ca="1">TEXT(DATE(YEAR(Invoer!$A$6),1,1)+INT((ROWS(B$2:B203)-1)/4),"jjjjmmdd")</f>
        <v>19400220</v>
      </c>
      <c r="C203" s="64" t="str">
        <f>IF(MOD(ROWS(C$2:C203)-1,4)=3,"24.00",INDEX(Data,3,2+MOD(ROWS(C$2:C203)-1,4)))</f>
        <v>12.00</v>
      </c>
      <c r="D203" s="18">
        <f t="shared" ca="1" si="64"/>
        <v>759.2</v>
      </c>
      <c r="E203" s="17">
        <f t="shared" ca="1" si="65"/>
        <v>0</v>
      </c>
      <c r="F203" s="18">
        <f t="shared" ca="1" si="66"/>
        <v>28.1</v>
      </c>
      <c r="G203" s="17">
        <f t="shared" ca="1" si="67"/>
        <v>0</v>
      </c>
      <c r="H203" s="18" t="str">
        <f t="shared" ca="1" si="68"/>
        <v>—</v>
      </c>
      <c r="I203" s="17">
        <f t="shared" ca="1" si="69"/>
        <v>7</v>
      </c>
      <c r="J203" s="18" t="str">
        <f t="shared" ca="1" si="70"/>
        <v>—</v>
      </c>
      <c r="K203" s="17">
        <f t="shared" ca="1" si="71"/>
        <v>7</v>
      </c>
      <c r="L203" s="10">
        <f t="shared" ca="1" si="72"/>
        <v>66</v>
      </c>
      <c r="M203" s="17">
        <f t="shared" ca="1" si="73"/>
        <v>0</v>
      </c>
      <c r="N203" s="18">
        <f t="shared" ca="1" si="74"/>
        <v>18.899999999999999</v>
      </c>
      <c r="O203" s="17">
        <f t="shared" ca="1" si="75"/>
        <v>0</v>
      </c>
      <c r="P203" s="18">
        <f t="shared" ca="1" si="76"/>
        <v>23.2</v>
      </c>
      <c r="Q203" s="17">
        <f t="shared" ca="1" si="77"/>
        <v>0</v>
      </c>
      <c r="R203" s="10">
        <f t="shared" ca="1" si="78"/>
        <v>65</v>
      </c>
      <c r="S203" s="17">
        <f t="shared" ca="1" si="79"/>
        <v>0</v>
      </c>
      <c r="T203" s="70">
        <f t="shared" ca="1" si="80"/>
        <v>0.5</v>
      </c>
      <c r="U203" s="17">
        <f t="shared" ca="1" si="81"/>
        <v>0</v>
      </c>
      <c r="V203" s="71">
        <f t="shared" ca="1" si="82"/>
        <v>7</v>
      </c>
      <c r="W203" s="17">
        <f t="shared" ca="1" si="83"/>
        <v>0</v>
      </c>
    </row>
    <row r="204" spans="1:23" x14ac:dyDescent="0.25">
      <c r="A204" s="4">
        <f t="shared" si="63"/>
        <v>32</v>
      </c>
      <c r="B204" t="str">
        <f ca="1">TEXT(DATE(YEAR(Invoer!$A$6),1,1)+INT((ROWS(B$2:B204)-1)/4),"jjjjmmdd")</f>
        <v>19400220</v>
      </c>
      <c r="C204" s="64" t="str">
        <f>IF(MOD(ROWS(C$2:C204)-1,4)=3,"24.00",INDEX(Data,3,2+MOD(ROWS(C$2:C204)-1,4)))</f>
        <v>17.00</v>
      </c>
      <c r="D204" s="18">
        <f t="shared" ca="1" si="64"/>
        <v>758.5</v>
      </c>
      <c r="E204" s="17">
        <f t="shared" ca="1" si="65"/>
        <v>0</v>
      </c>
      <c r="F204" s="18">
        <f t="shared" ca="1" si="66"/>
        <v>27.9</v>
      </c>
      <c r="G204" s="17">
        <f t="shared" ca="1" si="67"/>
        <v>0</v>
      </c>
      <c r="H204" s="18" t="str">
        <f t="shared" ca="1" si="68"/>
        <v>—</v>
      </c>
      <c r="I204" s="17">
        <f t="shared" ca="1" si="69"/>
        <v>7</v>
      </c>
      <c r="J204" s="18" t="str">
        <f t="shared" ca="1" si="70"/>
        <v>—</v>
      </c>
      <c r="K204" s="17">
        <f t="shared" ca="1" si="71"/>
        <v>7</v>
      </c>
      <c r="L204" s="10">
        <f t="shared" ca="1" si="72"/>
        <v>66</v>
      </c>
      <c r="M204" s="17">
        <f t="shared" ca="1" si="73"/>
        <v>0</v>
      </c>
      <c r="N204" s="18">
        <f t="shared" ca="1" si="74"/>
        <v>18.600000000000001</v>
      </c>
      <c r="O204" s="17">
        <f t="shared" ca="1" si="75"/>
        <v>0</v>
      </c>
      <c r="P204" s="18">
        <f t="shared" ca="1" si="76"/>
        <v>23</v>
      </c>
      <c r="Q204" s="17">
        <f t="shared" ca="1" si="77"/>
        <v>0</v>
      </c>
      <c r="R204" s="10">
        <f t="shared" ca="1" si="78"/>
        <v>45</v>
      </c>
      <c r="S204" s="17">
        <f t="shared" ca="1" si="79"/>
        <v>0</v>
      </c>
      <c r="T204" s="70">
        <f t="shared" ca="1" si="80"/>
        <v>0.6</v>
      </c>
      <c r="U204" s="17">
        <f t="shared" ca="1" si="81"/>
        <v>0</v>
      </c>
      <c r="V204" s="71">
        <f t="shared" ca="1" si="82"/>
        <v>7</v>
      </c>
      <c r="W204" s="17">
        <f t="shared" ca="1" si="83"/>
        <v>0</v>
      </c>
    </row>
    <row r="205" spans="1:23" x14ac:dyDescent="0.25">
      <c r="A205" s="4">
        <f t="shared" si="63"/>
        <v>32</v>
      </c>
      <c r="B205" t="str">
        <f ca="1">TEXT(DATE(YEAR(Invoer!$A$6),1,1)+INT((ROWS(B$2:B205)-1)/4),"jjjjmmdd")</f>
        <v>19400220</v>
      </c>
      <c r="C205" s="64" t="str">
        <f>IF(MOD(ROWS(C$2:C205)-1,4)=3,"24.00",INDEX(Data,3,2+MOD(ROWS(C$2:C205)-1,4)))</f>
        <v>24.00</v>
      </c>
      <c r="D205" s="18" t="str">
        <f t="shared" ca="1" si="64"/>
        <v>—</v>
      </c>
      <c r="E205" s="17">
        <f t="shared" ca="1" si="65"/>
        <v>7</v>
      </c>
      <c r="F205" s="18" t="str">
        <f t="shared" ca="1" si="66"/>
        <v>—</v>
      </c>
      <c r="G205" s="17">
        <f t="shared" ca="1" si="67"/>
        <v>7</v>
      </c>
      <c r="H205" s="18">
        <f t="shared" ca="1" si="68"/>
        <v>29</v>
      </c>
      <c r="I205" s="17">
        <f t="shared" ca="1" si="69"/>
        <v>0</v>
      </c>
      <c r="J205" s="18">
        <f t="shared" ca="1" si="70"/>
        <v>30.6</v>
      </c>
      <c r="K205" s="17">
        <f t="shared" ca="1" si="71"/>
        <v>0</v>
      </c>
      <c r="L205" s="10" t="str">
        <f t="shared" ca="1" si="72"/>
        <v>—</v>
      </c>
      <c r="M205" s="17">
        <f t="shared" ca="1" si="73"/>
        <v>7</v>
      </c>
      <c r="N205" s="18" t="str">
        <f t="shared" ca="1" si="74"/>
        <v>—</v>
      </c>
      <c r="O205" s="17">
        <f t="shared" ca="1" si="75"/>
        <v>7</v>
      </c>
      <c r="P205" s="18" t="str">
        <f t="shared" ca="1" si="76"/>
        <v>—</v>
      </c>
      <c r="Q205" s="17">
        <f t="shared" ca="1" si="77"/>
        <v>7</v>
      </c>
      <c r="R205" s="10" t="str">
        <f t="shared" ca="1" si="78"/>
        <v>—</v>
      </c>
      <c r="S205" s="17">
        <f t="shared" ca="1" si="79"/>
        <v>7</v>
      </c>
      <c r="T205" s="70" t="str">
        <f t="shared" ca="1" si="80"/>
        <v>—</v>
      </c>
      <c r="U205" s="17">
        <f t="shared" ca="1" si="81"/>
        <v>7</v>
      </c>
      <c r="V205" s="71" t="str">
        <f t="shared" ca="1" si="82"/>
        <v>—</v>
      </c>
      <c r="W205" s="17">
        <f t="shared" ca="1" si="83"/>
        <v>7</v>
      </c>
    </row>
    <row r="206" spans="1:23" x14ac:dyDescent="0.25">
      <c r="A206" s="4">
        <f t="shared" si="63"/>
        <v>32</v>
      </c>
      <c r="B206" t="str">
        <f ca="1">TEXT(DATE(YEAR(Invoer!$A$6),1,1)+INT((ROWS(B$2:B206)-1)/4),"jjjjmmdd")</f>
        <v>19400221</v>
      </c>
      <c r="C206" s="64" t="str">
        <f>IF(MOD(ROWS(C$2:C206)-1,4)=3,"24.00",INDEX(Data,3,2+MOD(ROWS(C$2:C206)-1,4)))</f>
        <v>07.00</v>
      </c>
      <c r="D206" s="18">
        <f t="shared" ca="1" si="64"/>
        <v>758.5</v>
      </c>
      <c r="E206" s="17">
        <f t="shared" ca="1" si="65"/>
        <v>0</v>
      </c>
      <c r="F206" s="18">
        <f t="shared" ca="1" si="66"/>
        <v>27.5</v>
      </c>
      <c r="G206" s="17">
        <f t="shared" ca="1" si="67"/>
        <v>0</v>
      </c>
      <c r="H206" s="18" t="str">
        <f t="shared" ca="1" si="68"/>
        <v>—</v>
      </c>
      <c r="I206" s="17">
        <f t="shared" ca="1" si="69"/>
        <v>7</v>
      </c>
      <c r="J206" s="18" t="str">
        <f t="shared" ca="1" si="70"/>
        <v>—</v>
      </c>
      <c r="K206" s="17">
        <f t="shared" ca="1" si="71"/>
        <v>7</v>
      </c>
      <c r="L206" s="10">
        <f t="shared" ca="1" si="72"/>
        <v>68</v>
      </c>
      <c r="M206" s="17">
        <f t="shared" ca="1" si="73"/>
        <v>0</v>
      </c>
      <c r="N206" s="18">
        <f t="shared" ca="1" si="74"/>
        <v>18.8</v>
      </c>
      <c r="O206" s="17">
        <f t="shared" ca="1" si="75"/>
        <v>0</v>
      </c>
      <c r="P206" s="18">
        <f t="shared" ca="1" si="76"/>
        <v>23</v>
      </c>
      <c r="Q206" s="17">
        <f t="shared" ca="1" si="77"/>
        <v>0</v>
      </c>
      <c r="R206" s="10">
        <f t="shared" ca="1" si="78"/>
        <v>65</v>
      </c>
      <c r="S206" s="17">
        <f t="shared" ca="1" si="79"/>
        <v>0</v>
      </c>
      <c r="T206" s="70">
        <f t="shared" ca="1" si="80"/>
        <v>0.5</v>
      </c>
      <c r="U206" s="17">
        <f t="shared" ca="1" si="81"/>
        <v>0</v>
      </c>
      <c r="V206" s="71">
        <f t="shared" ca="1" si="82"/>
        <v>5</v>
      </c>
      <c r="W206" s="17">
        <f t="shared" ca="1" si="83"/>
        <v>0</v>
      </c>
    </row>
    <row r="207" spans="1:23" x14ac:dyDescent="0.25">
      <c r="A207" s="4">
        <f t="shared" si="63"/>
        <v>32</v>
      </c>
      <c r="B207" t="str">
        <f ca="1">TEXT(DATE(YEAR(Invoer!$A$6),1,1)+INT((ROWS(B$2:B207)-1)/4),"jjjjmmdd")</f>
        <v>19400221</v>
      </c>
      <c r="C207" s="64" t="str">
        <f>IF(MOD(ROWS(C$2:C207)-1,4)=3,"24.00",INDEX(Data,3,2+MOD(ROWS(C$2:C207)-1,4)))</f>
        <v>12.00</v>
      </c>
      <c r="D207" s="18">
        <f t="shared" ca="1" si="64"/>
        <v>758.7</v>
      </c>
      <c r="E207" s="17">
        <f t="shared" ca="1" si="65"/>
        <v>0</v>
      </c>
      <c r="F207" s="18">
        <f t="shared" ca="1" si="66"/>
        <v>27.7</v>
      </c>
      <c r="G207" s="17">
        <f t="shared" ca="1" si="67"/>
        <v>0</v>
      </c>
      <c r="H207" s="18" t="str">
        <f t="shared" ca="1" si="68"/>
        <v>—</v>
      </c>
      <c r="I207" s="17">
        <f t="shared" ca="1" si="69"/>
        <v>7</v>
      </c>
      <c r="J207" s="18" t="str">
        <f t="shared" ca="1" si="70"/>
        <v>—</v>
      </c>
      <c r="K207" s="17">
        <f t="shared" ca="1" si="71"/>
        <v>7</v>
      </c>
      <c r="L207" s="10">
        <f t="shared" ca="1" si="72"/>
        <v>68</v>
      </c>
      <c r="M207" s="17">
        <f t="shared" ca="1" si="73"/>
        <v>0</v>
      </c>
      <c r="N207" s="18">
        <f t="shared" ca="1" si="74"/>
        <v>19.100000000000001</v>
      </c>
      <c r="O207" s="17">
        <f t="shared" ca="1" si="75"/>
        <v>0</v>
      </c>
      <c r="P207" s="18">
        <f t="shared" ca="1" si="76"/>
        <v>23.2</v>
      </c>
      <c r="Q207" s="17">
        <f t="shared" ca="1" si="77"/>
        <v>0</v>
      </c>
      <c r="R207" s="10">
        <f t="shared" ca="1" si="78"/>
        <v>65</v>
      </c>
      <c r="S207" s="17">
        <f t="shared" ca="1" si="79"/>
        <v>0</v>
      </c>
      <c r="T207" s="70">
        <f t="shared" ca="1" si="80"/>
        <v>0.6</v>
      </c>
      <c r="U207" s="17">
        <f t="shared" ca="1" si="81"/>
        <v>0</v>
      </c>
      <c r="V207" s="71">
        <f t="shared" ca="1" si="82"/>
        <v>6</v>
      </c>
      <c r="W207" s="17">
        <f t="shared" ca="1" si="83"/>
        <v>0</v>
      </c>
    </row>
    <row r="208" spans="1:23" x14ac:dyDescent="0.25">
      <c r="A208" s="4">
        <f t="shared" si="63"/>
        <v>32</v>
      </c>
      <c r="B208" t="str">
        <f ca="1">TEXT(DATE(YEAR(Invoer!$A$6),1,1)+INT((ROWS(B$2:B208)-1)/4),"jjjjmmdd")</f>
        <v>19400221</v>
      </c>
      <c r="C208" s="64" t="str">
        <f>IF(MOD(ROWS(C$2:C208)-1,4)=3,"24.00",INDEX(Data,3,2+MOD(ROWS(C$2:C208)-1,4)))</f>
        <v>17.00</v>
      </c>
      <c r="D208" s="18">
        <f t="shared" ca="1" si="64"/>
        <v>758.2</v>
      </c>
      <c r="E208" s="17">
        <f t="shared" ca="1" si="65"/>
        <v>0</v>
      </c>
      <c r="F208" s="18">
        <f t="shared" ca="1" si="66"/>
        <v>26.8</v>
      </c>
      <c r="G208" s="17">
        <f t="shared" ca="1" si="67"/>
        <v>0</v>
      </c>
      <c r="H208" s="18" t="str">
        <f t="shared" ca="1" si="68"/>
        <v>—</v>
      </c>
      <c r="I208" s="17">
        <f t="shared" ca="1" si="69"/>
        <v>7</v>
      </c>
      <c r="J208" s="18" t="str">
        <f t="shared" ca="1" si="70"/>
        <v>—</v>
      </c>
      <c r="K208" s="17">
        <f t="shared" ca="1" si="71"/>
        <v>7</v>
      </c>
      <c r="L208" s="10">
        <f t="shared" ca="1" si="72"/>
        <v>71</v>
      </c>
      <c r="M208" s="17">
        <f t="shared" ca="1" si="73"/>
        <v>0</v>
      </c>
      <c r="N208" s="18">
        <f t="shared" ca="1" si="74"/>
        <v>18.8</v>
      </c>
      <c r="O208" s="17">
        <f t="shared" ca="1" si="75"/>
        <v>0</v>
      </c>
      <c r="P208" s="18">
        <f t="shared" ca="1" si="76"/>
        <v>22.8</v>
      </c>
      <c r="Q208" s="17">
        <f t="shared" ca="1" si="77"/>
        <v>0</v>
      </c>
      <c r="R208" s="10">
        <f t="shared" ca="1" si="78"/>
        <v>65</v>
      </c>
      <c r="S208" s="17">
        <f t="shared" ca="1" si="79"/>
        <v>0</v>
      </c>
      <c r="T208" s="70">
        <f t="shared" ca="1" si="80"/>
        <v>0.5</v>
      </c>
      <c r="U208" s="17">
        <f t="shared" ca="1" si="81"/>
        <v>0</v>
      </c>
      <c r="V208" s="71">
        <f t="shared" ca="1" si="82"/>
        <v>5</v>
      </c>
      <c r="W208" s="17">
        <f t="shared" ca="1" si="83"/>
        <v>0</v>
      </c>
    </row>
    <row r="209" spans="1:23" x14ac:dyDescent="0.25">
      <c r="A209" s="4">
        <f t="shared" si="63"/>
        <v>32</v>
      </c>
      <c r="B209" t="str">
        <f ca="1">TEXT(DATE(YEAR(Invoer!$A$6),1,1)+INT((ROWS(B$2:B209)-1)/4),"jjjjmmdd")</f>
        <v>19400221</v>
      </c>
      <c r="C209" s="64" t="str">
        <f>IF(MOD(ROWS(C$2:C209)-1,4)=3,"24.00",INDEX(Data,3,2+MOD(ROWS(C$2:C209)-1,4)))</f>
        <v>24.00</v>
      </c>
      <c r="D209" s="18" t="str">
        <f t="shared" ca="1" si="64"/>
        <v>—</v>
      </c>
      <c r="E209" s="17">
        <f t="shared" ca="1" si="65"/>
        <v>7</v>
      </c>
      <c r="F209" s="18" t="str">
        <f t="shared" ca="1" si="66"/>
        <v>—</v>
      </c>
      <c r="G209" s="17">
        <f t="shared" ca="1" si="67"/>
        <v>7</v>
      </c>
      <c r="H209" s="18">
        <f t="shared" ca="1" si="68"/>
        <v>28.5</v>
      </c>
      <c r="I209" s="17">
        <f t="shared" ca="1" si="69"/>
        <v>0</v>
      </c>
      <c r="J209" s="18">
        <f t="shared" ca="1" si="70"/>
        <v>29.4</v>
      </c>
      <c r="K209" s="17">
        <f t="shared" ca="1" si="71"/>
        <v>0</v>
      </c>
      <c r="L209" s="10" t="str">
        <f t="shared" ca="1" si="72"/>
        <v>—</v>
      </c>
      <c r="M209" s="17">
        <f t="shared" ca="1" si="73"/>
        <v>7</v>
      </c>
      <c r="N209" s="18" t="str">
        <f t="shared" ca="1" si="74"/>
        <v>—</v>
      </c>
      <c r="O209" s="17">
        <f t="shared" ca="1" si="75"/>
        <v>7</v>
      </c>
      <c r="P209" s="18" t="str">
        <f t="shared" ca="1" si="76"/>
        <v>—</v>
      </c>
      <c r="Q209" s="17">
        <f t="shared" ca="1" si="77"/>
        <v>7</v>
      </c>
      <c r="R209" s="10" t="str">
        <f t="shared" ca="1" si="78"/>
        <v>—</v>
      </c>
      <c r="S209" s="17">
        <f t="shared" ca="1" si="79"/>
        <v>7</v>
      </c>
      <c r="T209" s="70" t="str">
        <f t="shared" ca="1" si="80"/>
        <v>—</v>
      </c>
      <c r="U209" s="17">
        <f t="shared" ca="1" si="81"/>
        <v>7</v>
      </c>
      <c r="V209" s="71" t="str">
        <f t="shared" ca="1" si="82"/>
        <v>—</v>
      </c>
      <c r="W209" s="17">
        <f t="shared" ca="1" si="83"/>
        <v>7</v>
      </c>
    </row>
    <row r="210" spans="1:23" x14ac:dyDescent="0.25">
      <c r="A210" s="4">
        <f t="shared" si="63"/>
        <v>32</v>
      </c>
      <c r="B210" t="str">
        <f ca="1">TEXT(DATE(YEAR(Invoer!$A$6),1,1)+INT((ROWS(B$2:B210)-1)/4),"jjjjmmdd")</f>
        <v>19400222</v>
      </c>
      <c r="C210" s="64" t="str">
        <f>IF(MOD(ROWS(C$2:C210)-1,4)=3,"24.00",INDEX(Data,3,2+MOD(ROWS(C$2:C210)-1,4)))</f>
        <v>07.00</v>
      </c>
      <c r="D210" s="18">
        <f t="shared" ca="1" si="64"/>
        <v>758.5</v>
      </c>
      <c r="E210" s="17">
        <f t="shared" ca="1" si="65"/>
        <v>0</v>
      </c>
      <c r="F210" s="18">
        <f t="shared" ca="1" si="66"/>
        <v>26.5</v>
      </c>
      <c r="G210" s="17">
        <f t="shared" ca="1" si="67"/>
        <v>0</v>
      </c>
      <c r="H210" s="18" t="str">
        <f t="shared" ca="1" si="68"/>
        <v>—</v>
      </c>
      <c r="I210" s="17">
        <f t="shared" ca="1" si="69"/>
        <v>7</v>
      </c>
      <c r="J210" s="18" t="str">
        <f t="shared" ca="1" si="70"/>
        <v>—</v>
      </c>
      <c r="K210" s="17">
        <f t="shared" ca="1" si="71"/>
        <v>7</v>
      </c>
      <c r="L210" s="10">
        <f t="shared" ca="1" si="72"/>
        <v>72</v>
      </c>
      <c r="M210" s="17">
        <f t="shared" ca="1" si="73"/>
        <v>0</v>
      </c>
      <c r="N210" s="18">
        <f t="shared" ca="1" si="74"/>
        <v>18.600000000000001</v>
      </c>
      <c r="O210" s="17">
        <f t="shared" ca="1" si="75"/>
        <v>0</v>
      </c>
      <c r="P210" s="18">
        <f t="shared" ca="1" si="76"/>
        <v>22.6</v>
      </c>
      <c r="Q210" s="17">
        <f t="shared" ca="1" si="77"/>
        <v>0</v>
      </c>
      <c r="R210" s="10">
        <f t="shared" ca="1" si="78"/>
        <v>65</v>
      </c>
      <c r="S210" s="17">
        <f t="shared" ca="1" si="79"/>
        <v>0</v>
      </c>
      <c r="T210" s="70">
        <f t="shared" ca="1" si="80"/>
        <v>0.4</v>
      </c>
      <c r="U210" s="17">
        <f t="shared" ca="1" si="81"/>
        <v>0</v>
      </c>
      <c r="V210" s="71">
        <f t="shared" ca="1" si="82"/>
        <v>4</v>
      </c>
      <c r="W210" s="17">
        <f t="shared" ca="1" si="83"/>
        <v>0</v>
      </c>
    </row>
    <row r="211" spans="1:23" x14ac:dyDescent="0.25">
      <c r="A211" s="4">
        <f t="shared" si="63"/>
        <v>32</v>
      </c>
      <c r="B211" t="str">
        <f ca="1">TEXT(DATE(YEAR(Invoer!$A$6),1,1)+INT((ROWS(B$2:B211)-1)/4),"jjjjmmdd")</f>
        <v>19400222</v>
      </c>
      <c r="C211" s="64" t="str">
        <f>IF(MOD(ROWS(C$2:C211)-1,4)=3,"24.00",INDEX(Data,3,2+MOD(ROWS(C$2:C211)-1,4)))</f>
        <v>12.00</v>
      </c>
      <c r="D211" s="18">
        <f t="shared" ca="1" si="64"/>
        <v>758.2</v>
      </c>
      <c r="E211" s="17">
        <f t="shared" ca="1" si="65"/>
        <v>0</v>
      </c>
      <c r="F211" s="18">
        <f t="shared" ca="1" si="66"/>
        <v>27.7</v>
      </c>
      <c r="G211" s="17">
        <f t="shared" ca="1" si="67"/>
        <v>0</v>
      </c>
      <c r="H211" s="18" t="str">
        <f t="shared" ca="1" si="68"/>
        <v>—</v>
      </c>
      <c r="I211" s="17">
        <f t="shared" ca="1" si="69"/>
        <v>7</v>
      </c>
      <c r="J211" s="18" t="str">
        <f t="shared" ca="1" si="70"/>
        <v>—</v>
      </c>
      <c r="K211" s="17">
        <f t="shared" ca="1" si="71"/>
        <v>7</v>
      </c>
      <c r="L211" s="10">
        <f t="shared" ca="1" si="72"/>
        <v>68</v>
      </c>
      <c r="M211" s="17">
        <f t="shared" ca="1" si="73"/>
        <v>0</v>
      </c>
      <c r="N211" s="18">
        <f t="shared" ca="1" si="74"/>
        <v>19.100000000000001</v>
      </c>
      <c r="O211" s="17">
        <f t="shared" ca="1" si="75"/>
        <v>0</v>
      </c>
      <c r="P211" s="18">
        <f t="shared" ca="1" si="76"/>
        <v>23.2</v>
      </c>
      <c r="Q211" s="17">
        <f t="shared" ca="1" si="77"/>
        <v>0</v>
      </c>
      <c r="R211" s="10">
        <f t="shared" ca="1" si="78"/>
        <v>65</v>
      </c>
      <c r="S211" s="17">
        <f t="shared" ca="1" si="79"/>
        <v>0</v>
      </c>
      <c r="T211" s="70">
        <f t="shared" ca="1" si="80"/>
        <v>0.5</v>
      </c>
      <c r="U211" s="17">
        <f t="shared" ca="1" si="81"/>
        <v>0</v>
      </c>
      <c r="V211" s="71">
        <f t="shared" ca="1" si="82"/>
        <v>5</v>
      </c>
      <c r="W211" s="17">
        <f t="shared" ca="1" si="83"/>
        <v>0</v>
      </c>
    </row>
    <row r="212" spans="1:23" x14ac:dyDescent="0.25">
      <c r="A212" s="4">
        <f t="shared" si="63"/>
        <v>32</v>
      </c>
      <c r="B212" t="str">
        <f ca="1">TEXT(DATE(YEAR(Invoer!$A$6),1,1)+INT((ROWS(B$2:B212)-1)/4),"jjjjmmdd")</f>
        <v>19400222</v>
      </c>
      <c r="C212" s="64" t="str">
        <f>IF(MOD(ROWS(C$2:C212)-1,4)=3,"24.00",INDEX(Data,3,2+MOD(ROWS(C$2:C212)-1,4)))</f>
        <v>17.00</v>
      </c>
      <c r="D212" s="18">
        <f t="shared" ca="1" si="64"/>
        <v>760</v>
      </c>
      <c r="E212" s="17">
        <f t="shared" ca="1" si="65"/>
        <v>0</v>
      </c>
      <c r="F212" s="18">
        <f t="shared" ca="1" si="66"/>
        <v>26.9</v>
      </c>
      <c r="G212" s="17">
        <f t="shared" ca="1" si="67"/>
        <v>0</v>
      </c>
      <c r="H212" s="18" t="str">
        <f t="shared" ca="1" si="68"/>
        <v>—</v>
      </c>
      <c r="I212" s="17">
        <f t="shared" ca="1" si="69"/>
        <v>7</v>
      </c>
      <c r="J212" s="18" t="str">
        <f t="shared" ca="1" si="70"/>
        <v>—</v>
      </c>
      <c r="K212" s="17">
        <f t="shared" ca="1" si="71"/>
        <v>7</v>
      </c>
      <c r="L212" s="10">
        <f t="shared" ca="1" si="72"/>
        <v>71</v>
      </c>
      <c r="M212" s="17">
        <f t="shared" ca="1" si="73"/>
        <v>0</v>
      </c>
      <c r="N212" s="18">
        <f t="shared" ca="1" si="74"/>
        <v>18.8</v>
      </c>
      <c r="O212" s="17">
        <f t="shared" ca="1" si="75"/>
        <v>0</v>
      </c>
      <c r="P212" s="18">
        <f t="shared" ca="1" si="76"/>
        <v>22.8</v>
      </c>
      <c r="Q212" s="17">
        <f t="shared" ca="1" si="77"/>
        <v>0</v>
      </c>
      <c r="R212" s="10">
        <f t="shared" ca="1" si="78"/>
        <v>45</v>
      </c>
      <c r="S212" s="17">
        <f t="shared" ca="1" si="79"/>
        <v>0</v>
      </c>
      <c r="T212" s="70">
        <f t="shared" ca="1" si="80"/>
        <v>0.5</v>
      </c>
      <c r="U212" s="17">
        <f t="shared" ca="1" si="81"/>
        <v>0</v>
      </c>
      <c r="V212" s="71">
        <f t="shared" ca="1" si="82"/>
        <v>5</v>
      </c>
      <c r="W212" s="17">
        <f t="shared" ca="1" si="83"/>
        <v>0</v>
      </c>
    </row>
    <row r="213" spans="1:23" x14ac:dyDescent="0.25">
      <c r="A213" s="4">
        <f t="shared" si="63"/>
        <v>32</v>
      </c>
      <c r="B213" t="str">
        <f ca="1">TEXT(DATE(YEAR(Invoer!$A$6),1,1)+INT((ROWS(B$2:B213)-1)/4),"jjjjmmdd")</f>
        <v>19400222</v>
      </c>
      <c r="C213" s="64" t="str">
        <f>IF(MOD(ROWS(C$2:C213)-1,4)=3,"24.00",INDEX(Data,3,2+MOD(ROWS(C$2:C213)-1,4)))</f>
        <v>24.00</v>
      </c>
      <c r="D213" s="18" t="str">
        <f t="shared" ca="1" si="64"/>
        <v>—</v>
      </c>
      <c r="E213" s="17">
        <f t="shared" ca="1" si="65"/>
        <v>7</v>
      </c>
      <c r="F213" s="18" t="str">
        <f t="shared" ca="1" si="66"/>
        <v>—</v>
      </c>
      <c r="G213" s="17">
        <f t="shared" ca="1" si="67"/>
        <v>7</v>
      </c>
      <c r="H213" s="18">
        <f t="shared" ca="1" si="68"/>
        <v>28</v>
      </c>
      <c r="I213" s="17">
        <f t="shared" ca="1" si="69"/>
        <v>0</v>
      </c>
      <c r="J213" s="18">
        <f t="shared" ca="1" si="70"/>
        <v>29.5</v>
      </c>
      <c r="K213" s="17">
        <f t="shared" ca="1" si="71"/>
        <v>0</v>
      </c>
      <c r="L213" s="10" t="str">
        <f t="shared" ca="1" si="72"/>
        <v>—</v>
      </c>
      <c r="M213" s="17">
        <f t="shared" ca="1" si="73"/>
        <v>7</v>
      </c>
      <c r="N213" s="18" t="str">
        <f t="shared" ca="1" si="74"/>
        <v>—</v>
      </c>
      <c r="O213" s="17">
        <f t="shared" ca="1" si="75"/>
        <v>7</v>
      </c>
      <c r="P213" s="18" t="str">
        <f t="shared" ca="1" si="76"/>
        <v>—</v>
      </c>
      <c r="Q213" s="17">
        <f t="shared" ca="1" si="77"/>
        <v>7</v>
      </c>
      <c r="R213" s="10" t="str">
        <f t="shared" ca="1" si="78"/>
        <v>—</v>
      </c>
      <c r="S213" s="17">
        <f t="shared" ca="1" si="79"/>
        <v>7</v>
      </c>
      <c r="T213" s="70" t="str">
        <f t="shared" ca="1" si="80"/>
        <v>—</v>
      </c>
      <c r="U213" s="17">
        <f t="shared" ca="1" si="81"/>
        <v>7</v>
      </c>
      <c r="V213" s="71" t="str">
        <f t="shared" ca="1" si="82"/>
        <v>—</v>
      </c>
      <c r="W213" s="17">
        <f t="shared" ca="1" si="83"/>
        <v>7</v>
      </c>
    </row>
    <row r="214" spans="1:23" x14ac:dyDescent="0.25">
      <c r="A214" s="4">
        <f t="shared" si="63"/>
        <v>32</v>
      </c>
      <c r="B214" t="str">
        <f ca="1">TEXT(DATE(YEAR(Invoer!$A$6),1,1)+INT((ROWS(B$2:B214)-1)/4),"jjjjmmdd")</f>
        <v>19400223</v>
      </c>
      <c r="C214" s="64" t="str">
        <f>IF(MOD(ROWS(C$2:C214)-1,4)=3,"24.00",INDEX(Data,3,2+MOD(ROWS(C$2:C214)-1,4)))</f>
        <v>07.00</v>
      </c>
      <c r="D214" s="18">
        <f t="shared" ca="1" si="64"/>
        <v>761</v>
      </c>
      <c r="E214" s="17">
        <f t="shared" ca="1" si="65"/>
        <v>0</v>
      </c>
      <c r="F214" s="18">
        <f t="shared" ca="1" si="66"/>
        <v>25.1</v>
      </c>
      <c r="G214" s="17">
        <f t="shared" ca="1" si="67"/>
        <v>0</v>
      </c>
      <c r="H214" s="18" t="str">
        <f t="shared" ca="1" si="68"/>
        <v>—</v>
      </c>
      <c r="I214" s="17">
        <f t="shared" ca="1" si="69"/>
        <v>7</v>
      </c>
      <c r="J214" s="18" t="str">
        <f t="shared" ca="1" si="70"/>
        <v>—</v>
      </c>
      <c r="K214" s="17">
        <f t="shared" ca="1" si="71"/>
        <v>7</v>
      </c>
      <c r="L214" s="10">
        <f t="shared" ca="1" si="72"/>
        <v>79</v>
      </c>
      <c r="M214" s="17">
        <f t="shared" ca="1" si="73"/>
        <v>0</v>
      </c>
      <c r="N214" s="18">
        <f t="shared" ca="1" si="74"/>
        <v>19.2</v>
      </c>
      <c r="O214" s="17">
        <f t="shared" ca="1" si="75"/>
        <v>0</v>
      </c>
      <c r="P214" s="18">
        <f t="shared" ca="1" si="76"/>
        <v>22.6</v>
      </c>
      <c r="Q214" s="17">
        <f t="shared" ca="1" si="77"/>
        <v>0</v>
      </c>
      <c r="R214" s="10">
        <f t="shared" ca="1" si="78"/>
        <v>65</v>
      </c>
      <c r="S214" s="17">
        <f t="shared" ca="1" si="79"/>
        <v>0</v>
      </c>
      <c r="T214" s="70">
        <f t="shared" ca="1" si="80"/>
        <v>0.4</v>
      </c>
      <c r="U214" s="17">
        <f t="shared" ca="1" si="81"/>
        <v>0</v>
      </c>
      <c r="V214" s="71">
        <f t="shared" ca="1" si="82"/>
        <v>3</v>
      </c>
      <c r="W214" s="17">
        <f t="shared" ca="1" si="83"/>
        <v>0</v>
      </c>
    </row>
    <row r="215" spans="1:23" x14ac:dyDescent="0.25">
      <c r="A215" s="4">
        <f t="shared" si="63"/>
        <v>32</v>
      </c>
      <c r="B215" t="str">
        <f ca="1">TEXT(DATE(YEAR(Invoer!$A$6),1,1)+INT((ROWS(B$2:B215)-1)/4),"jjjjmmdd")</f>
        <v>19400223</v>
      </c>
      <c r="C215" s="64" t="str">
        <f>IF(MOD(ROWS(C$2:C215)-1,4)=3,"24.00",INDEX(Data,3,2+MOD(ROWS(C$2:C215)-1,4)))</f>
        <v>12.00</v>
      </c>
      <c r="D215" s="18">
        <f t="shared" ca="1" si="64"/>
        <v>760.5</v>
      </c>
      <c r="E215" s="17">
        <f t="shared" ca="1" si="65"/>
        <v>0</v>
      </c>
      <c r="F215" s="18">
        <f t="shared" ca="1" si="66"/>
        <v>27.5</v>
      </c>
      <c r="G215" s="17">
        <f t="shared" ca="1" si="67"/>
        <v>0</v>
      </c>
      <c r="H215" s="18" t="str">
        <f t="shared" ca="1" si="68"/>
        <v>—</v>
      </c>
      <c r="I215" s="17">
        <f t="shared" ca="1" si="69"/>
        <v>7</v>
      </c>
      <c r="J215" s="18" t="str">
        <f t="shared" ca="1" si="70"/>
        <v>—</v>
      </c>
      <c r="K215" s="17">
        <f t="shared" ca="1" si="71"/>
        <v>7</v>
      </c>
      <c r="L215" s="10">
        <f t="shared" ca="1" si="72"/>
        <v>67</v>
      </c>
      <c r="M215" s="17">
        <f t="shared" ca="1" si="73"/>
        <v>0</v>
      </c>
      <c r="N215" s="18">
        <f t="shared" ca="1" si="74"/>
        <v>18.5</v>
      </c>
      <c r="O215" s="17">
        <f t="shared" ca="1" si="75"/>
        <v>0</v>
      </c>
      <c r="P215" s="18">
        <f t="shared" ca="1" si="76"/>
        <v>22.8</v>
      </c>
      <c r="Q215" s="17">
        <f t="shared" ca="1" si="77"/>
        <v>0</v>
      </c>
      <c r="R215" s="10">
        <f t="shared" ca="1" si="78"/>
        <v>65</v>
      </c>
      <c r="S215" s="17">
        <f t="shared" ca="1" si="79"/>
        <v>0</v>
      </c>
      <c r="T215" s="70">
        <f t="shared" ca="1" si="80"/>
        <v>0.5</v>
      </c>
      <c r="U215" s="17">
        <f t="shared" ca="1" si="81"/>
        <v>0</v>
      </c>
      <c r="V215" s="71">
        <f t="shared" ca="1" si="82"/>
        <v>3</v>
      </c>
      <c r="W215" s="17">
        <f t="shared" ca="1" si="83"/>
        <v>0</v>
      </c>
    </row>
    <row r="216" spans="1:23" x14ac:dyDescent="0.25">
      <c r="A216" s="4">
        <f t="shared" si="63"/>
        <v>32</v>
      </c>
      <c r="B216" t="str">
        <f ca="1">TEXT(DATE(YEAR(Invoer!$A$6),1,1)+INT((ROWS(B$2:B216)-1)/4),"jjjjmmdd")</f>
        <v>19400223</v>
      </c>
      <c r="C216" s="64" t="str">
        <f>IF(MOD(ROWS(C$2:C216)-1,4)=3,"24.00",INDEX(Data,3,2+MOD(ROWS(C$2:C216)-1,4)))</f>
        <v>17.00</v>
      </c>
      <c r="D216" s="18">
        <f t="shared" ca="1" si="64"/>
        <v>760.7</v>
      </c>
      <c r="E216" s="17">
        <f t="shared" ca="1" si="65"/>
        <v>0</v>
      </c>
      <c r="F216" s="18">
        <f t="shared" ca="1" si="66"/>
        <v>27.3</v>
      </c>
      <c r="G216" s="17">
        <f t="shared" ca="1" si="67"/>
        <v>0</v>
      </c>
      <c r="H216" s="18" t="str">
        <f t="shared" ca="1" si="68"/>
        <v>—</v>
      </c>
      <c r="I216" s="17">
        <f t="shared" ca="1" si="69"/>
        <v>7</v>
      </c>
      <c r="J216" s="18" t="str">
        <f t="shared" ca="1" si="70"/>
        <v>—</v>
      </c>
      <c r="K216" s="17">
        <f t="shared" ca="1" si="71"/>
        <v>7</v>
      </c>
      <c r="L216" s="10">
        <f t="shared" ca="1" si="72"/>
        <v>68</v>
      </c>
      <c r="M216" s="17">
        <f t="shared" ca="1" si="73"/>
        <v>0</v>
      </c>
      <c r="N216" s="18">
        <f t="shared" ca="1" si="74"/>
        <v>18.600000000000001</v>
      </c>
      <c r="O216" s="17">
        <f t="shared" ca="1" si="75"/>
        <v>0</v>
      </c>
      <c r="P216" s="18">
        <f t="shared" ca="1" si="76"/>
        <v>22.8</v>
      </c>
      <c r="Q216" s="17">
        <f t="shared" ca="1" si="77"/>
        <v>0</v>
      </c>
      <c r="R216" s="10">
        <f t="shared" ca="1" si="78"/>
        <v>45</v>
      </c>
      <c r="S216" s="17">
        <f t="shared" ca="1" si="79"/>
        <v>0</v>
      </c>
      <c r="T216" s="70">
        <f t="shared" ca="1" si="80"/>
        <v>0.5</v>
      </c>
      <c r="U216" s="17">
        <f t="shared" ca="1" si="81"/>
        <v>0</v>
      </c>
      <c r="V216" s="71">
        <f t="shared" ca="1" si="82"/>
        <v>3</v>
      </c>
      <c r="W216" s="17">
        <f t="shared" ca="1" si="83"/>
        <v>0</v>
      </c>
    </row>
    <row r="217" spans="1:23" x14ac:dyDescent="0.25">
      <c r="A217" s="4">
        <f t="shared" si="63"/>
        <v>32</v>
      </c>
      <c r="B217" t="str">
        <f ca="1">TEXT(DATE(YEAR(Invoer!$A$6),1,1)+INT((ROWS(B$2:B217)-1)/4),"jjjjmmdd")</f>
        <v>19400223</v>
      </c>
      <c r="C217" s="64" t="str">
        <f>IF(MOD(ROWS(C$2:C217)-1,4)=3,"24.00",INDEX(Data,3,2+MOD(ROWS(C$2:C217)-1,4)))</f>
        <v>24.00</v>
      </c>
      <c r="D217" s="18" t="str">
        <f t="shared" ca="1" si="64"/>
        <v>—</v>
      </c>
      <c r="E217" s="17">
        <f t="shared" ca="1" si="65"/>
        <v>7</v>
      </c>
      <c r="F217" s="18" t="str">
        <f t="shared" ca="1" si="66"/>
        <v>—</v>
      </c>
      <c r="G217" s="17">
        <f t="shared" ca="1" si="67"/>
        <v>7</v>
      </c>
      <c r="H217" s="18">
        <f t="shared" ca="1" si="68"/>
        <v>28</v>
      </c>
      <c r="I217" s="17">
        <f t="shared" ca="1" si="69"/>
        <v>0</v>
      </c>
      <c r="J217" s="18">
        <f t="shared" ca="1" si="70"/>
        <v>29.5</v>
      </c>
      <c r="K217" s="17">
        <f t="shared" ca="1" si="71"/>
        <v>0</v>
      </c>
      <c r="L217" s="10" t="str">
        <f t="shared" ca="1" si="72"/>
        <v>—</v>
      </c>
      <c r="M217" s="17">
        <f t="shared" ca="1" si="73"/>
        <v>7</v>
      </c>
      <c r="N217" s="18" t="str">
        <f t="shared" ca="1" si="74"/>
        <v>—</v>
      </c>
      <c r="O217" s="17">
        <f t="shared" ca="1" si="75"/>
        <v>7</v>
      </c>
      <c r="P217" s="18" t="str">
        <f t="shared" ca="1" si="76"/>
        <v>—</v>
      </c>
      <c r="Q217" s="17">
        <f t="shared" ca="1" si="77"/>
        <v>7</v>
      </c>
      <c r="R217" s="10" t="str">
        <f t="shared" ca="1" si="78"/>
        <v>—</v>
      </c>
      <c r="S217" s="17">
        <f t="shared" ca="1" si="79"/>
        <v>7</v>
      </c>
      <c r="T217" s="70" t="str">
        <f t="shared" ca="1" si="80"/>
        <v>—</v>
      </c>
      <c r="U217" s="17">
        <f t="shared" ca="1" si="81"/>
        <v>7</v>
      </c>
      <c r="V217" s="71" t="str">
        <f t="shared" ca="1" si="82"/>
        <v>—</v>
      </c>
      <c r="W217" s="17">
        <f t="shared" ca="1" si="83"/>
        <v>7</v>
      </c>
    </row>
    <row r="218" spans="1:23" x14ac:dyDescent="0.25">
      <c r="A218" s="4">
        <f t="shared" si="63"/>
        <v>32</v>
      </c>
      <c r="B218" t="str">
        <f ca="1">TEXT(DATE(YEAR(Invoer!$A$6),1,1)+INT((ROWS(B$2:B218)-1)/4),"jjjjmmdd")</f>
        <v>19400224</v>
      </c>
      <c r="C218" s="64" t="str">
        <f>IF(MOD(ROWS(C$2:C218)-1,4)=3,"24.00",INDEX(Data,3,2+MOD(ROWS(C$2:C218)-1,4)))</f>
        <v>07.00</v>
      </c>
      <c r="D218" s="18">
        <f t="shared" ca="1" si="64"/>
        <v>760.2</v>
      </c>
      <c r="E218" s="17">
        <f t="shared" ca="1" si="65"/>
        <v>0</v>
      </c>
      <c r="F218" s="18">
        <f t="shared" ca="1" si="66"/>
        <v>25.5</v>
      </c>
      <c r="G218" s="17">
        <f t="shared" ca="1" si="67"/>
        <v>0</v>
      </c>
      <c r="H218" s="18" t="str">
        <f t="shared" ca="1" si="68"/>
        <v>—</v>
      </c>
      <c r="I218" s="17">
        <f t="shared" ca="1" si="69"/>
        <v>7</v>
      </c>
      <c r="J218" s="18" t="str">
        <f t="shared" ca="1" si="70"/>
        <v>—</v>
      </c>
      <c r="K218" s="17">
        <f t="shared" ca="1" si="71"/>
        <v>7</v>
      </c>
      <c r="L218" s="10">
        <f t="shared" ca="1" si="72"/>
        <v>79</v>
      </c>
      <c r="M218" s="17">
        <f t="shared" ca="1" si="73"/>
        <v>0</v>
      </c>
      <c r="N218" s="18">
        <f t="shared" ca="1" si="74"/>
        <v>19.5</v>
      </c>
      <c r="O218" s="17">
        <f t="shared" ca="1" si="75"/>
        <v>0</v>
      </c>
      <c r="P218" s="18">
        <f t="shared" ca="1" si="76"/>
        <v>22.8</v>
      </c>
      <c r="Q218" s="17">
        <f t="shared" ca="1" si="77"/>
        <v>0</v>
      </c>
      <c r="R218" s="10">
        <f t="shared" ca="1" si="78"/>
        <v>65</v>
      </c>
      <c r="S218" s="17">
        <f t="shared" ca="1" si="79"/>
        <v>0</v>
      </c>
      <c r="T218" s="70">
        <f t="shared" ca="1" si="80"/>
        <v>0.4</v>
      </c>
      <c r="U218" s="17">
        <f t="shared" ca="1" si="81"/>
        <v>0</v>
      </c>
      <c r="V218" s="71">
        <f t="shared" ca="1" si="82"/>
        <v>5</v>
      </c>
      <c r="W218" s="17">
        <f t="shared" ca="1" si="83"/>
        <v>0</v>
      </c>
    </row>
    <row r="219" spans="1:23" x14ac:dyDescent="0.25">
      <c r="A219" s="4">
        <f t="shared" si="63"/>
        <v>32</v>
      </c>
      <c r="B219" t="str">
        <f ca="1">TEXT(DATE(YEAR(Invoer!$A$6),1,1)+INT((ROWS(B$2:B219)-1)/4),"jjjjmmdd")</f>
        <v>19400224</v>
      </c>
      <c r="C219" s="64" t="str">
        <f>IF(MOD(ROWS(C$2:C219)-1,4)=3,"24.00",INDEX(Data,3,2+MOD(ROWS(C$2:C219)-1,4)))</f>
        <v>12.00</v>
      </c>
      <c r="D219" s="18">
        <f t="shared" ca="1" si="64"/>
        <v>760.7</v>
      </c>
      <c r="E219" s="17">
        <f t="shared" ca="1" si="65"/>
        <v>0</v>
      </c>
      <c r="F219" s="18">
        <f t="shared" ca="1" si="66"/>
        <v>27.5</v>
      </c>
      <c r="G219" s="17">
        <f t="shared" ca="1" si="67"/>
        <v>0</v>
      </c>
      <c r="H219" s="18" t="str">
        <f t="shared" ca="1" si="68"/>
        <v>—</v>
      </c>
      <c r="I219" s="17">
        <f t="shared" ca="1" si="69"/>
        <v>7</v>
      </c>
      <c r="J219" s="18" t="str">
        <f t="shared" ca="1" si="70"/>
        <v>—</v>
      </c>
      <c r="K219" s="17">
        <f t="shared" ca="1" si="71"/>
        <v>7</v>
      </c>
      <c r="L219" s="10">
        <f t="shared" ca="1" si="72"/>
        <v>68</v>
      </c>
      <c r="M219" s="17">
        <f t="shared" ca="1" si="73"/>
        <v>0</v>
      </c>
      <c r="N219" s="18">
        <f t="shared" ca="1" si="74"/>
        <v>18.8</v>
      </c>
      <c r="O219" s="17">
        <f t="shared" ca="1" si="75"/>
        <v>0</v>
      </c>
      <c r="P219" s="18">
        <f t="shared" ca="1" si="76"/>
        <v>23</v>
      </c>
      <c r="Q219" s="17">
        <f t="shared" ca="1" si="77"/>
        <v>0</v>
      </c>
      <c r="R219" s="10">
        <f t="shared" ca="1" si="78"/>
        <v>65</v>
      </c>
      <c r="S219" s="17">
        <f t="shared" ca="1" si="79"/>
        <v>0</v>
      </c>
      <c r="T219" s="70">
        <f t="shared" ca="1" si="80"/>
        <v>0.5</v>
      </c>
      <c r="U219" s="17">
        <f t="shared" ca="1" si="81"/>
        <v>0</v>
      </c>
      <c r="V219" s="71">
        <f t="shared" ca="1" si="82"/>
        <v>3</v>
      </c>
      <c r="W219" s="17">
        <f t="shared" ca="1" si="83"/>
        <v>0</v>
      </c>
    </row>
    <row r="220" spans="1:23" x14ac:dyDescent="0.25">
      <c r="A220" s="4">
        <f t="shared" si="63"/>
        <v>32</v>
      </c>
      <c r="B220" t="str">
        <f ca="1">TEXT(DATE(YEAR(Invoer!$A$6),1,1)+INT((ROWS(B$2:B220)-1)/4),"jjjjmmdd")</f>
        <v>19400224</v>
      </c>
      <c r="C220" s="64" t="str">
        <f>IF(MOD(ROWS(C$2:C220)-1,4)=3,"24.00",INDEX(Data,3,2+MOD(ROWS(C$2:C220)-1,4)))</f>
        <v>17.00</v>
      </c>
      <c r="D220" s="18">
        <f t="shared" ca="1" si="64"/>
        <v>759.5</v>
      </c>
      <c r="E220" s="17">
        <f t="shared" ca="1" si="65"/>
        <v>0</v>
      </c>
      <c r="F220" s="18">
        <f t="shared" ca="1" si="66"/>
        <v>27.3</v>
      </c>
      <c r="G220" s="17">
        <f t="shared" ca="1" si="67"/>
        <v>0</v>
      </c>
      <c r="H220" s="18" t="str">
        <f t="shared" ca="1" si="68"/>
        <v>—</v>
      </c>
      <c r="I220" s="17">
        <f t="shared" ca="1" si="69"/>
        <v>7</v>
      </c>
      <c r="J220" s="18" t="str">
        <f t="shared" ca="1" si="70"/>
        <v>—</v>
      </c>
      <c r="K220" s="17">
        <f t="shared" ca="1" si="71"/>
        <v>7</v>
      </c>
      <c r="L220" s="10">
        <f t="shared" ca="1" si="72"/>
        <v>68</v>
      </c>
      <c r="M220" s="17">
        <f t="shared" ca="1" si="73"/>
        <v>0</v>
      </c>
      <c r="N220" s="18">
        <f t="shared" ca="1" si="74"/>
        <v>18.600000000000001</v>
      </c>
      <c r="O220" s="17">
        <f t="shared" ca="1" si="75"/>
        <v>0</v>
      </c>
      <c r="P220" s="18">
        <f t="shared" ca="1" si="76"/>
        <v>22.8</v>
      </c>
      <c r="Q220" s="17">
        <f t="shared" ca="1" si="77"/>
        <v>0</v>
      </c>
      <c r="R220" s="10">
        <f t="shared" ca="1" si="78"/>
        <v>65</v>
      </c>
      <c r="S220" s="17">
        <f t="shared" ca="1" si="79"/>
        <v>0</v>
      </c>
      <c r="T220" s="70">
        <f t="shared" ca="1" si="80"/>
        <v>0.5</v>
      </c>
      <c r="U220" s="17">
        <f t="shared" ca="1" si="81"/>
        <v>0</v>
      </c>
      <c r="V220" s="71">
        <f t="shared" ca="1" si="82"/>
        <v>3</v>
      </c>
      <c r="W220" s="17">
        <f t="shared" ca="1" si="83"/>
        <v>0</v>
      </c>
    </row>
    <row r="221" spans="1:23" x14ac:dyDescent="0.25">
      <c r="A221" s="4">
        <f t="shared" si="63"/>
        <v>32</v>
      </c>
      <c r="B221" t="str">
        <f ca="1">TEXT(DATE(YEAR(Invoer!$A$6),1,1)+INT((ROWS(B$2:B221)-1)/4),"jjjjmmdd")</f>
        <v>19400224</v>
      </c>
      <c r="C221" s="64" t="str">
        <f>IF(MOD(ROWS(C$2:C221)-1,4)=3,"24.00",INDEX(Data,3,2+MOD(ROWS(C$2:C221)-1,4)))</f>
        <v>24.00</v>
      </c>
      <c r="D221" s="18" t="str">
        <f t="shared" ca="1" si="64"/>
        <v>—</v>
      </c>
      <c r="E221" s="17">
        <f t="shared" ca="1" si="65"/>
        <v>7</v>
      </c>
      <c r="F221" s="18" t="str">
        <f t="shared" ca="1" si="66"/>
        <v>—</v>
      </c>
      <c r="G221" s="17">
        <f t="shared" ca="1" si="67"/>
        <v>7</v>
      </c>
      <c r="H221" s="18">
        <f t="shared" ca="1" si="68"/>
        <v>27</v>
      </c>
      <c r="I221" s="17">
        <f t="shared" ca="1" si="69"/>
        <v>0</v>
      </c>
      <c r="J221" s="18">
        <f t="shared" ca="1" si="70"/>
        <v>29</v>
      </c>
      <c r="K221" s="17">
        <f t="shared" ca="1" si="71"/>
        <v>0</v>
      </c>
      <c r="L221" s="10" t="str">
        <f t="shared" ca="1" si="72"/>
        <v>—</v>
      </c>
      <c r="M221" s="17">
        <f t="shared" ca="1" si="73"/>
        <v>7</v>
      </c>
      <c r="N221" s="18" t="str">
        <f t="shared" ca="1" si="74"/>
        <v>—</v>
      </c>
      <c r="O221" s="17">
        <f t="shared" ca="1" si="75"/>
        <v>7</v>
      </c>
      <c r="P221" s="18" t="str">
        <f t="shared" ca="1" si="76"/>
        <v>—</v>
      </c>
      <c r="Q221" s="17">
        <f t="shared" ca="1" si="77"/>
        <v>7</v>
      </c>
      <c r="R221" s="10" t="str">
        <f t="shared" ca="1" si="78"/>
        <v>—</v>
      </c>
      <c r="S221" s="17">
        <f t="shared" ca="1" si="79"/>
        <v>7</v>
      </c>
      <c r="T221" s="70" t="str">
        <f t="shared" ca="1" si="80"/>
        <v>—</v>
      </c>
      <c r="U221" s="17">
        <f t="shared" ca="1" si="81"/>
        <v>7</v>
      </c>
      <c r="V221" s="71" t="str">
        <f t="shared" ca="1" si="82"/>
        <v>—</v>
      </c>
      <c r="W221" s="17">
        <f t="shared" ca="1" si="83"/>
        <v>7</v>
      </c>
    </row>
    <row r="222" spans="1:23" x14ac:dyDescent="0.25">
      <c r="A222" s="4">
        <f t="shared" si="63"/>
        <v>32</v>
      </c>
      <c r="B222" t="str">
        <f ca="1">TEXT(DATE(YEAR(Invoer!$A$6),1,1)+INT((ROWS(B$2:B222)-1)/4),"jjjjmmdd")</f>
        <v>19400225</v>
      </c>
      <c r="C222" s="64" t="str">
        <f>IF(MOD(ROWS(C$2:C222)-1,4)=3,"24.00",INDEX(Data,3,2+MOD(ROWS(C$2:C222)-1,4)))</f>
        <v>07.00</v>
      </c>
      <c r="D222" s="18">
        <f t="shared" ca="1" si="64"/>
        <v>761.2</v>
      </c>
      <c r="E222" s="17">
        <f t="shared" ca="1" si="65"/>
        <v>0</v>
      </c>
      <c r="F222" s="18">
        <f t="shared" ca="1" si="66"/>
        <v>25.1</v>
      </c>
      <c r="G222" s="17">
        <f t="shared" ca="1" si="67"/>
        <v>0</v>
      </c>
      <c r="H222" s="18" t="str">
        <f t="shared" ca="1" si="68"/>
        <v>—</v>
      </c>
      <c r="I222" s="17">
        <f t="shared" ca="1" si="69"/>
        <v>7</v>
      </c>
      <c r="J222" s="18" t="str">
        <f t="shared" ca="1" si="70"/>
        <v>—</v>
      </c>
      <c r="K222" s="17">
        <f t="shared" ca="1" si="71"/>
        <v>7</v>
      </c>
      <c r="L222" s="10">
        <f t="shared" ca="1" si="72"/>
        <v>82</v>
      </c>
      <c r="M222" s="17">
        <f t="shared" ca="1" si="73"/>
        <v>0</v>
      </c>
      <c r="N222" s="18">
        <f t="shared" ca="1" si="74"/>
        <v>19.7</v>
      </c>
      <c r="O222" s="17">
        <f t="shared" ca="1" si="75"/>
        <v>0</v>
      </c>
      <c r="P222" s="18">
        <f t="shared" ca="1" si="76"/>
        <v>22.8</v>
      </c>
      <c r="Q222" s="17">
        <f t="shared" ca="1" si="77"/>
        <v>0</v>
      </c>
      <c r="R222" s="10">
        <f t="shared" ca="1" si="78"/>
        <v>65</v>
      </c>
      <c r="S222" s="17">
        <f t="shared" ca="1" si="79"/>
        <v>0</v>
      </c>
      <c r="T222" s="70">
        <f t="shared" ca="1" si="80"/>
        <v>0.2</v>
      </c>
      <c r="U222" s="17">
        <f t="shared" ca="1" si="81"/>
        <v>0</v>
      </c>
      <c r="V222" s="71">
        <f t="shared" ca="1" si="82"/>
        <v>4</v>
      </c>
      <c r="W222" s="17">
        <f t="shared" ca="1" si="83"/>
        <v>0</v>
      </c>
    </row>
    <row r="223" spans="1:23" x14ac:dyDescent="0.25">
      <c r="A223" s="4">
        <f t="shared" si="63"/>
        <v>32</v>
      </c>
      <c r="B223" t="str">
        <f ca="1">TEXT(DATE(YEAR(Invoer!$A$6),1,1)+INT((ROWS(B$2:B223)-1)/4),"jjjjmmdd")</f>
        <v>19400225</v>
      </c>
      <c r="C223" s="64" t="str">
        <f>IF(MOD(ROWS(C$2:C223)-1,4)=3,"24.00",INDEX(Data,3,2+MOD(ROWS(C$2:C223)-1,4)))</f>
        <v>12.00</v>
      </c>
      <c r="D223" s="18">
        <f t="shared" ca="1" si="64"/>
        <v>760.7</v>
      </c>
      <c r="E223" s="17">
        <f t="shared" ca="1" si="65"/>
        <v>0</v>
      </c>
      <c r="F223" s="18">
        <f t="shared" ca="1" si="66"/>
        <v>27.3</v>
      </c>
      <c r="G223" s="17">
        <f t="shared" ca="1" si="67"/>
        <v>0</v>
      </c>
      <c r="H223" s="18" t="str">
        <f t="shared" ca="1" si="68"/>
        <v>—</v>
      </c>
      <c r="I223" s="17">
        <f t="shared" ca="1" si="69"/>
        <v>7</v>
      </c>
      <c r="J223" s="18" t="str">
        <f t="shared" ca="1" si="70"/>
        <v>—</v>
      </c>
      <c r="K223" s="17">
        <f t="shared" ca="1" si="71"/>
        <v>7</v>
      </c>
      <c r="L223" s="10">
        <f t="shared" ca="1" si="72"/>
        <v>69</v>
      </c>
      <c r="M223" s="17">
        <f t="shared" ca="1" si="73"/>
        <v>0</v>
      </c>
      <c r="N223" s="18">
        <f t="shared" ca="1" si="74"/>
        <v>18.899999999999999</v>
      </c>
      <c r="O223" s="17">
        <f t="shared" ca="1" si="75"/>
        <v>0</v>
      </c>
      <c r="P223" s="18">
        <f t="shared" ca="1" si="76"/>
        <v>23</v>
      </c>
      <c r="Q223" s="17">
        <f t="shared" ca="1" si="77"/>
        <v>0</v>
      </c>
      <c r="R223" s="10">
        <f t="shared" ca="1" si="78"/>
        <v>65</v>
      </c>
      <c r="S223" s="17">
        <f t="shared" ca="1" si="79"/>
        <v>0</v>
      </c>
      <c r="T223" s="70">
        <f t="shared" ca="1" si="80"/>
        <v>0.4</v>
      </c>
      <c r="U223" s="17">
        <f t="shared" ca="1" si="81"/>
        <v>0</v>
      </c>
      <c r="V223" s="71">
        <f t="shared" ca="1" si="82"/>
        <v>3</v>
      </c>
      <c r="W223" s="17">
        <f t="shared" ca="1" si="83"/>
        <v>0</v>
      </c>
    </row>
    <row r="224" spans="1:23" x14ac:dyDescent="0.25">
      <c r="A224" s="4">
        <f t="shared" si="63"/>
        <v>32</v>
      </c>
      <c r="B224" t="str">
        <f ca="1">TEXT(DATE(YEAR(Invoer!$A$6),1,1)+INT((ROWS(B$2:B224)-1)/4),"jjjjmmdd")</f>
        <v>19400225</v>
      </c>
      <c r="C224" s="64" t="str">
        <f>IF(MOD(ROWS(C$2:C224)-1,4)=3,"24.00",INDEX(Data,3,2+MOD(ROWS(C$2:C224)-1,4)))</f>
        <v>17.00</v>
      </c>
      <c r="D224" s="18">
        <f t="shared" ca="1" si="64"/>
        <v>760.7</v>
      </c>
      <c r="E224" s="17">
        <f t="shared" ca="1" si="65"/>
        <v>0</v>
      </c>
      <c r="F224" s="18">
        <f t="shared" ca="1" si="66"/>
        <v>26.9</v>
      </c>
      <c r="G224" s="17">
        <f t="shared" ca="1" si="67"/>
        <v>0</v>
      </c>
      <c r="H224" s="18" t="str">
        <f t="shared" ca="1" si="68"/>
        <v>—</v>
      </c>
      <c r="I224" s="17">
        <f t="shared" ca="1" si="69"/>
        <v>7</v>
      </c>
      <c r="J224" s="18" t="str">
        <f t="shared" ca="1" si="70"/>
        <v>—</v>
      </c>
      <c r="K224" s="17">
        <f t="shared" ca="1" si="71"/>
        <v>7</v>
      </c>
      <c r="L224" s="10">
        <f t="shared" ca="1" si="72"/>
        <v>71</v>
      </c>
      <c r="M224" s="17">
        <f t="shared" ca="1" si="73"/>
        <v>0</v>
      </c>
      <c r="N224" s="18">
        <f t="shared" ca="1" si="74"/>
        <v>18.8</v>
      </c>
      <c r="O224" s="17">
        <f t="shared" ca="1" si="75"/>
        <v>0</v>
      </c>
      <c r="P224" s="18">
        <f t="shared" ca="1" si="76"/>
        <v>22.8</v>
      </c>
      <c r="Q224" s="17">
        <f t="shared" ca="1" si="77"/>
        <v>0</v>
      </c>
      <c r="R224" s="10">
        <f t="shared" ca="1" si="78"/>
        <v>65</v>
      </c>
      <c r="S224" s="17">
        <f t="shared" ca="1" si="79"/>
        <v>0</v>
      </c>
      <c r="T224" s="70">
        <f t="shared" ca="1" si="80"/>
        <v>0.5</v>
      </c>
      <c r="U224" s="17">
        <f t="shared" ca="1" si="81"/>
        <v>0</v>
      </c>
      <c r="V224" s="71">
        <f t="shared" ca="1" si="82"/>
        <v>3</v>
      </c>
      <c r="W224" s="17">
        <f t="shared" ca="1" si="83"/>
        <v>0</v>
      </c>
    </row>
    <row r="225" spans="1:23" x14ac:dyDescent="0.25">
      <c r="A225" s="4">
        <f t="shared" si="63"/>
        <v>32</v>
      </c>
      <c r="B225" t="str">
        <f ca="1">TEXT(DATE(YEAR(Invoer!$A$6),1,1)+INT((ROWS(B$2:B225)-1)/4),"jjjjmmdd")</f>
        <v>19400225</v>
      </c>
      <c r="C225" s="64" t="str">
        <f>IF(MOD(ROWS(C$2:C225)-1,4)=3,"24.00",INDEX(Data,3,2+MOD(ROWS(C$2:C225)-1,4)))</f>
        <v>24.00</v>
      </c>
      <c r="D225" s="18" t="str">
        <f t="shared" ca="1" si="64"/>
        <v>—</v>
      </c>
      <c r="E225" s="17">
        <f t="shared" ca="1" si="65"/>
        <v>7</v>
      </c>
      <c r="F225" s="18" t="str">
        <f t="shared" ca="1" si="66"/>
        <v>—</v>
      </c>
      <c r="G225" s="17">
        <f t="shared" ca="1" si="67"/>
        <v>7</v>
      </c>
      <c r="H225" s="18">
        <f t="shared" ca="1" si="68"/>
        <v>26</v>
      </c>
      <c r="I225" s="17">
        <f t="shared" ca="1" si="69"/>
        <v>0</v>
      </c>
      <c r="J225" s="18">
        <f t="shared" ca="1" si="70"/>
        <v>28.4</v>
      </c>
      <c r="K225" s="17">
        <f t="shared" ca="1" si="71"/>
        <v>0</v>
      </c>
      <c r="L225" s="10" t="str">
        <f t="shared" ca="1" si="72"/>
        <v>—</v>
      </c>
      <c r="M225" s="17">
        <f t="shared" ca="1" si="73"/>
        <v>7</v>
      </c>
      <c r="N225" s="18" t="str">
        <f t="shared" ca="1" si="74"/>
        <v>—</v>
      </c>
      <c r="O225" s="17">
        <f t="shared" ca="1" si="75"/>
        <v>7</v>
      </c>
      <c r="P225" s="18" t="str">
        <f t="shared" ca="1" si="76"/>
        <v>—</v>
      </c>
      <c r="Q225" s="17">
        <f t="shared" ca="1" si="77"/>
        <v>7</v>
      </c>
      <c r="R225" s="10" t="str">
        <f t="shared" ca="1" si="78"/>
        <v>—</v>
      </c>
      <c r="S225" s="17">
        <f t="shared" ca="1" si="79"/>
        <v>7</v>
      </c>
      <c r="T225" s="70" t="str">
        <f t="shared" ca="1" si="80"/>
        <v>—</v>
      </c>
      <c r="U225" s="17">
        <f t="shared" ca="1" si="81"/>
        <v>7</v>
      </c>
      <c r="V225" s="71" t="str">
        <f t="shared" ca="1" si="82"/>
        <v>—</v>
      </c>
      <c r="W225" s="17">
        <f t="shared" ca="1" si="83"/>
        <v>7</v>
      </c>
    </row>
    <row r="226" spans="1:23" x14ac:dyDescent="0.25">
      <c r="A226" s="4">
        <f t="shared" si="63"/>
        <v>32</v>
      </c>
      <c r="B226" t="str">
        <f ca="1">TEXT(DATE(YEAR(Invoer!$A$6),1,1)+INT((ROWS(B$2:B226)-1)/4),"jjjjmmdd")</f>
        <v>19400226</v>
      </c>
      <c r="C226" s="64" t="str">
        <f>IF(MOD(ROWS(C$2:C226)-1,4)=3,"24.00",INDEX(Data,3,2+MOD(ROWS(C$2:C226)-1,4)))</f>
        <v>07.00</v>
      </c>
      <c r="D226" s="18">
        <f t="shared" ca="1" si="64"/>
        <v>760.2</v>
      </c>
      <c r="E226" s="17">
        <f t="shared" ca="1" si="65"/>
        <v>0</v>
      </c>
      <c r="F226" s="18">
        <f t="shared" ca="1" si="66"/>
        <v>25</v>
      </c>
      <c r="G226" s="17">
        <f t="shared" ca="1" si="67"/>
        <v>0</v>
      </c>
      <c r="H226" s="18" t="str">
        <f t="shared" ca="1" si="68"/>
        <v>—</v>
      </c>
      <c r="I226" s="17">
        <f t="shared" ca="1" si="69"/>
        <v>7</v>
      </c>
      <c r="J226" s="18" t="str">
        <f t="shared" ca="1" si="70"/>
        <v>—</v>
      </c>
      <c r="K226" s="17">
        <f t="shared" ca="1" si="71"/>
        <v>7</v>
      </c>
      <c r="L226" s="10">
        <f t="shared" ca="1" si="72"/>
        <v>80</v>
      </c>
      <c r="M226" s="17">
        <f t="shared" ca="1" si="73"/>
        <v>0</v>
      </c>
      <c r="N226" s="18">
        <f t="shared" ca="1" si="74"/>
        <v>19</v>
      </c>
      <c r="O226" s="17">
        <f t="shared" ca="1" si="75"/>
        <v>0</v>
      </c>
      <c r="P226" s="18">
        <f t="shared" ca="1" si="76"/>
        <v>22.4</v>
      </c>
      <c r="Q226" s="17">
        <f t="shared" ca="1" si="77"/>
        <v>0</v>
      </c>
      <c r="R226" s="10">
        <f t="shared" ca="1" si="78"/>
        <v>90</v>
      </c>
      <c r="S226" s="17">
        <f t="shared" ca="1" si="79"/>
        <v>0</v>
      </c>
      <c r="T226" s="70">
        <f t="shared" ca="1" si="80"/>
        <v>0.2</v>
      </c>
      <c r="U226" s="17">
        <f t="shared" ca="1" si="81"/>
        <v>0</v>
      </c>
      <c r="V226" s="71">
        <f t="shared" ca="1" si="82"/>
        <v>8</v>
      </c>
      <c r="W226" s="17">
        <f t="shared" ca="1" si="83"/>
        <v>0</v>
      </c>
    </row>
    <row r="227" spans="1:23" x14ac:dyDescent="0.25">
      <c r="A227" s="4">
        <f t="shared" si="63"/>
        <v>32</v>
      </c>
      <c r="B227" t="str">
        <f ca="1">TEXT(DATE(YEAR(Invoer!$A$6),1,1)+INT((ROWS(B$2:B227)-1)/4),"jjjjmmdd")</f>
        <v>19400226</v>
      </c>
      <c r="C227" s="64" t="str">
        <f>IF(MOD(ROWS(C$2:C227)-1,4)=3,"24.00",INDEX(Data,3,2+MOD(ROWS(C$2:C227)-1,4)))</f>
        <v>12.00</v>
      </c>
      <c r="D227" s="18">
        <f t="shared" ca="1" si="64"/>
        <v>761</v>
      </c>
      <c r="E227" s="17">
        <f t="shared" ca="1" si="65"/>
        <v>0</v>
      </c>
      <c r="F227" s="18">
        <f t="shared" ca="1" si="66"/>
        <v>29.5</v>
      </c>
      <c r="G227" s="17">
        <f t="shared" ca="1" si="67"/>
        <v>0</v>
      </c>
      <c r="H227" s="18" t="str">
        <f t="shared" ca="1" si="68"/>
        <v>—</v>
      </c>
      <c r="I227" s="17">
        <f t="shared" ca="1" si="69"/>
        <v>7</v>
      </c>
      <c r="J227" s="18" t="str">
        <f t="shared" ca="1" si="70"/>
        <v>—</v>
      </c>
      <c r="K227" s="17">
        <f t="shared" ca="1" si="71"/>
        <v>7</v>
      </c>
      <c r="L227" s="10">
        <f t="shared" ca="1" si="72"/>
        <v>63</v>
      </c>
      <c r="M227" s="17">
        <f t="shared" ca="1" si="73"/>
        <v>0</v>
      </c>
      <c r="N227" s="18">
        <f t="shared" ca="1" si="74"/>
        <v>19.600000000000001</v>
      </c>
      <c r="O227" s="17">
        <f t="shared" ca="1" si="75"/>
        <v>0</v>
      </c>
      <c r="P227" s="18">
        <f t="shared" ca="1" si="76"/>
        <v>24</v>
      </c>
      <c r="Q227" s="17">
        <f t="shared" ca="1" si="77"/>
        <v>0</v>
      </c>
      <c r="R227" s="10">
        <f t="shared" ca="1" si="78"/>
        <v>65</v>
      </c>
      <c r="S227" s="17">
        <f t="shared" ca="1" si="79"/>
        <v>0</v>
      </c>
      <c r="T227" s="70">
        <f t="shared" ca="1" si="80"/>
        <v>0.3</v>
      </c>
      <c r="U227" s="17">
        <f t="shared" ca="1" si="81"/>
        <v>0</v>
      </c>
      <c r="V227" s="71">
        <f t="shared" ca="1" si="82"/>
        <v>5</v>
      </c>
      <c r="W227" s="17">
        <f t="shared" ca="1" si="83"/>
        <v>0</v>
      </c>
    </row>
    <row r="228" spans="1:23" x14ac:dyDescent="0.25">
      <c r="A228" s="4">
        <f t="shared" si="63"/>
        <v>32</v>
      </c>
      <c r="B228" t="str">
        <f ca="1">TEXT(DATE(YEAR(Invoer!$A$6),1,1)+INT((ROWS(B$2:B228)-1)/4),"jjjjmmdd")</f>
        <v>19400226</v>
      </c>
      <c r="C228" s="64" t="str">
        <f>IF(MOD(ROWS(C$2:C228)-1,4)=3,"24.00",INDEX(Data,3,2+MOD(ROWS(C$2:C228)-1,4)))</f>
        <v>17.00</v>
      </c>
      <c r="D228" s="18">
        <f t="shared" ca="1" si="64"/>
        <v>761.2</v>
      </c>
      <c r="E228" s="17">
        <f t="shared" ca="1" si="65"/>
        <v>0</v>
      </c>
      <c r="F228" s="18">
        <f t="shared" ca="1" si="66"/>
        <v>29.1</v>
      </c>
      <c r="G228" s="17">
        <f t="shared" ca="1" si="67"/>
        <v>0</v>
      </c>
      <c r="H228" s="18" t="str">
        <f t="shared" ca="1" si="68"/>
        <v>—</v>
      </c>
      <c r="I228" s="17">
        <f t="shared" ca="1" si="69"/>
        <v>7</v>
      </c>
      <c r="J228" s="18" t="str">
        <f t="shared" ca="1" si="70"/>
        <v>—</v>
      </c>
      <c r="K228" s="17">
        <f t="shared" ca="1" si="71"/>
        <v>7</v>
      </c>
      <c r="L228" s="10">
        <f t="shared" ca="1" si="72"/>
        <v>66</v>
      </c>
      <c r="M228" s="17">
        <f t="shared" ca="1" si="73"/>
        <v>0</v>
      </c>
      <c r="N228" s="18">
        <f t="shared" ca="1" si="74"/>
        <v>19.8</v>
      </c>
      <c r="O228" s="17">
        <f t="shared" ca="1" si="75"/>
        <v>0</v>
      </c>
      <c r="P228" s="18">
        <f t="shared" ca="1" si="76"/>
        <v>24</v>
      </c>
      <c r="Q228" s="17">
        <f t="shared" ca="1" si="77"/>
        <v>0</v>
      </c>
      <c r="R228" s="10">
        <f t="shared" ca="1" si="78"/>
        <v>25</v>
      </c>
      <c r="S228" s="17">
        <f t="shared" ca="1" si="79"/>
        <v>0</v>
      </c>
      <c r="T228" s="70">
        <f t="shared" ca="1" si="80"/>
        <v>0.1</v>
      </c>
      <c r="U228" s="17">
        <f t="shared" ca="1" si="81"/>
        <v>0</v>
      </c>
      <c r="V228" s="71">
        <f t="shared" ca="1" si="82"/>
        <v>8</v>
      </c>
      <c r="W228" s="17">
        <f t="shared" ca="1" si="83"/>
        <v>0</v>
      </c>
    </row>
    <row r="229" spans="1:23" x14ac:dyDescent="0.25">
      <c r="A229" s="4">
        <f t="shared" si="63"/>
        <v>32</v>
      </c>
      <c r="B229" t="str">
        <f ca="1">TEXT(DATE(YEAR(Invoer!$A$6),1,1)+INT((ROWS(B$2:B229)-1)/4),"jjjjmmdd")</f>
        <v>19400226</v>
      </c>
      <c r="C229" s="64" t="str">
        <f>IF(MOD(ROWS(C$2:C229)-1,4)=3,"24.00",INDEX(Data,3,2+MOD(ROWS(C$2:C229)-1,4)))</f>
        <v>24.00</v>
      </c>
      <c r="D229" s="18" t="str">
        <f t="shared" ca="1" si="64"/>
        <v>—</v>
      </c>
      <c r="E229" s="17">
        <f t="shared" ca="1" si="65"/>
        <v>7</v>
      </c>
      <c r="F229" s="18" t="str">
        <f t="shared" ca="1" si="66"/>
        <v>—</v>
      </c>
      <c r="G229" s="17">
        <f t="shared" ca="1" si="67"/>
        <v>7</v>
      </c>
      <c r="H229" s="18">
        <f t="shared" ca="1" si="68"/>
        <v>25.8</v>
      </c>
      <c r="I229" s="17">
        <f t="shared" ca="1" si="69"/>
        <v>0</v>
      </c>
      <c r="J229" s="18">
        <f t="shared" ca="1" si="70"/>
        <v>30.8</v>
      </c>
      <c r="K229" s="17">
        <f t="shared" ca="1" si="71"/>
        <v>0</v>
      </c>
      <c r="L229" s="10" t="str">
        <f t="shared" ca="1" si="72"/>
        <v>—</v>
      </c>
      <c r="M229" s="17">
        <f t="shared" ca="1" si="73"/>
        <v>7</v>
      </c>
      <c r="N229" s="18" t="str">
        <f t="shared" ca="1" si="74"/>
        <v>—</v>
      </c>
      <c r="O229" s="17">
        <f t="shared" ca="1" si="75"/>
        <v>7</v>
      </c>
      <c r="P229" s="18" t="str">
        <f t="shared" ca="1" si="76"/>
        <v>—</v>
      </c>
      <c r="Q229" s="17">
        <f t="shared" ca="1" si="77"/>
        <v>7</v>
      </c>
      <c r="R229" s="10" t="str">
        <f t="shared" ca="1" si="78"/>
        <v>—</v>
      </c>
      <c r="S229" s="17">
        <f t="shared" ca="1" si="79"/>
        <v>7</v>
      </c>
      <c r="T229" s="70" t="str">
        <f t="shared" ca="1" si="80"/>
        <v>—</v>
      </c>
      <c r="U229" s="17">
        <f t="shared" ca="1" si="81"/>
        <v>7</v>
      </c>
      <c r="V229" s="71" t="str">
        <f t="shared" ca="1" si="82"/>
        <v>—</v>
      </c>
      <c r="W229" s="17">
        <f t="shared" ca="1" si="83"/>
        <v>7</v>
      </c>
    </row>
    <row r="230" spans="1:23" x14ac:dyDescent="0.25">
      <c r="A230" s="4">
        <f t="shared" si="63"/>
        <v>32</v>
      </c>
      <c r="B230" t="str">
        <f ca="1">TEXT(DATE(YEAR(Invoer!$A$6),1,1)+INT((ROWS(B$2:B230)-1)/4),"jjjjmmdd")</f>
        <v>19400227</v>
      </c>
      <c r="C230" s="64" t="str">
        <f>IF(MOD(ROWS(C$2:C230)-1,4)=3,"24.00",INDEX(Data,3,2+MOD(ROWS(C$2:C230)-1,4)))</f>
        <v>07.00</v>
      </c>
      <c r="D230" s="18">
        <f t="shared" ca="1" si="64"/>
        <v>758.7</v>
      </c>
      <c r="E230" s="17">
        <f t="shared" ca="1" si="65"/>
        <v>0</v>
      </c>
      <c r="F230" s="18">
        <f t="shared" ca="1" si="66"/>
        <v>25.9</v>
      </c>
      <c r="G230" s="17">
        <f t="shared" ca="1" si="67"/>
        <v>0</v>
      </c>
      <c r="H230" s="18" t="str">
        <f t="shared" ca="1" si="68"/>
        <v>—</v>
      </c>
      <c r="I230" s="17">
        <f t="shared" ca="1" si="69"/>
        <v>7</v>
      </c>
      <c r="J230" s="18" t="str">
        <f t="shared" ca="1" si="70"/>
        <v>—</v>
      </c>
      <c r="K230" s="17">
        <f t="shared" ca="1" si="71"/>
        <v>7</v>
      </c>
      <c r="L230" s="10">
        <f t="shared" ca="1" si="72"/>
        <v>82</v>
      </c>
      <c r="M230" s="17">
        <f t="shared" ca="1" si="73"/>
        <v>0</v>
      </c>
      <c r="N230" s="18">
        <f t="shared" ca="1" si="74"/>
        <v>20.7</v>
      </c>
      <c r="O230" s="17">
        <f t="shared" ca="1" si="75"/>
        <v>0</v>
      </c>
      <c r="P230" s="18">
        <f t="shared" ca="1" si="76"/>
        <v>23.6</v>
      </c>
      <c r="Q230" s="17">
        <f t="shared" ca="1" si="77"/>
        <v>0</v>
      </c>
      <c r="R230" s="10">
        <f t="shared" ca="1" si="78"/>
        <v>45</v>
      </c>
      <c r="S230" s="17">
        <f t="shared" ca="1" si="79"/>
        <v>0</v>
      </c>
      <c r="T230" s="70">
        <f t="shared" ca="1" si="80"/>
        <v>0.3</v>
      </c>
      <c r="U230" s="17">
        <f t="shared" ca="1" si="81"/>
        <v>0</v>
      </c>
      <c r="V230" s="71">
        <f t="shared" ca="1" si="82"/>
        <v>3</v>
      </c>
      <c r="W230" s="17">
        <f t="shared" ca="1" si="83"/>
        <v>0</v>
      </c>
    </row>
    <row r="231" spans="1:23" x14ac:dyDescent="0.25">
      <c r="A231" s="4">
        <f t="shared" si="63"/>
        <v>32</v>
      </c>
      <c r="B231" t="str">
        <f ca="1">TEXT(DATE(YEAR(Invoer!$A$6),1,1)+INT((ROWS(B$2:B231)-1)/4),"jjjjmmdd")</f>
        <v>19400227</v>
      </c>
      <c r="C231" s="64" t="str">
        <f>IF(MOD(ROWS(C$2:C231)-1,4)=3,"24.00",INDEX(Data,3,2+MOD(ROWS(C$2:C231)-1,4)))</f>
        <v>12.00</v>
      </c>
      <c r="D231" s="18">
        <f t="shared" ca="1" si="64"/>
        <v>758.5</v>
      </c>
      <c r="E231" s="17">
        <f t="shared" ca="1" si="65"/>
        <v>0</v>
      </c>
      <c r="F231" s="18">
        <f t="shared" ca="1" si="66"/>
        <v>27.5</v>
      </c>
      <c r="G231" s="17">
        <f t="shared" ca="1" si="67"/>
        <v>0</v>
      </c>
      <c r="H231" s="18" t="str">
        <f t="shared" ca="1" si="68"/>
        <v>—</v>
      </c>
      <c r="I231" s="17">
        <f t="shared" ca="1" si="69"/>
        <v>7</v>
      </c>
      <c r="J231" s="18" t="str">
        <f t="shared" ca="1" si="70"/>
        <v>—</v>
      </c>
      <c r="K231" s="17">
        <f t="shared" ca="1" si="71"/>
        <v>7</v>
      </c>
      <c r="L231" s="10">
        <f t="shared" ca="1" si="72"/>
        <v>72</v>
      </c>
      <c r="M231" s="17">
        <f t="shared" ca="1" si="73"/>
        <v>0</v>
      </c>
      <c r="N231" s="18">
        <f t="shared" ca="1" si="74"/>
        <v>19.899999999999999</v>
      </c>
      <c r="O231" s="17">
        <f t="shared" ca="1" si="75"/>
        <v>0</v>
      </c>
      <c r="P231" s="18">
        <f t="shared" ca="1" si="76"/>
        <v>23.6</v>
      </c>
      <c r="Q231" s="17">
        <f t="shared" ca="1" si="77"/>
        <v>0</v>
      </c>
      <c r="R231" s="10">
        <f t="shared" ca="1" si="78"/>
        <v>45</v>
      </c>
      <c r="S231" s="17">
        <f t="shared" ca="1" si="79"/>
        <v>0</v>
      </c>
      <c r="T231" s="70">
        <f t="shared" ca="1" si="80"/>
        <v>0.4</v>
      </c>
      <c r="U231" s="17">
        <f t="shared" ca="1" si="81"/>
        <v>0</v>
      </c>
      <c r="V231" s="71">
        <f t="shared" ca="1" si="82"/>
        <v>5</v>
      </c>
      <c r="W231" s="17">
        <f t="shared" ca="1" si="83"/>
        <v>0</v>
      </c>
    </row>
    <row r="232" spans="1:23" x14ac:dyDescent="0.25">
      <c r="A232" s="4">
        <f t="shared" si="63"/>
        <v>32</v>
      </c>
      <c r="B232" t="str">
        <f ca="1">TEXT(DATE(YEAR(Invoer!$A$6),1,1)+INT((ROWS(B$2:B232)-1)/4),"jjjjmmdd")</f>
        <v>19400227</v>
      </c>
      <c r="C232" s="64" t="str">
        <f>IF(MOD(ROWS(C$2:C232)-1,4)=3,"24.00",INDEX(Data,3,2+MOD(ROWS(C$2:C232)-1,4)))</f>
        <v>17.00</v>
      </c>
      <c r="D232" s="18">
        <f t="shared" ca="1" si="64"/>
        <v>758.5</v>
      </c>
      <c r="E232" s="17">
        <f t="shared" ca="1" si="65"/>
        <v>0</v>
      </c>
      <c r="F232" s="18">
        <f t="shared" ca="1" si="66"/>
        <v>27.3</v>
      </c>
      <c r="G232" s="17">
        <f t="shared" ca="1" si="67"/>
        <v>0</v>
      </c>
      <c r="H232" s="18" t="str">
        <f t="shared" ca="1" si="68"/>
        <v>—</v>
      </c>
      <c r="I232" s="17">
        <f t="shared" ca="1" si="69"/>
        <v>7</v>
      </c>
      <c r="J232" s="18" t="str">
        <f t="shared" ca="1" si="70"/>
        <v>—</v>
      </c>
      <c r="K232" s="17">
        <f t="shared" ca="1" si="71"/>
        <v>7</v>
      </c>
      <c r="L232" s="10">
        <f t="shared" ca="1" si="72"/>
        <v>72</v>
      </c>
      <c r="M232" s="17">
        <f t="shared" ca="1" si="73"/>
        <v>0</v>
      </c>
      <c r="N232" s="18">
        <f t="shared" ca="1" si="74"/>
        <v>19.600000000000001</v>
      </c>
      <c r="O232" s="17">
        <f t="shared" ca="1" si="75"/>
        <v>0</v>
      </c>
      <c r="P232" s="18">
        <f t="shared" ca="1" si="76"/>
        <v>23.4</v>
      </c>
      <c r="Q232" s="17">
        <f t="shared" ca="1" si="77"/>
        <v>0</v>
      </c>
      <c r="R232" s="10">
        <f t="shared" ca="1" si="78"/>
        <v>45</v>
      </c>
      <c r="S232" s="17">
        <f t="shared" ca="1" si="79"/>
        <v>0</v>
      </c>
      <c r="T232" s="70">
        <f t="shared" ca="1" si="80"/>
        <v>0.3</v>
      </c>
      <c r="U232" s="17">
        <f t="shared" ca="1" si="81"/>
        <v>0</v>
      </c>
      <c r="V232" s="71">
        <f t="shared" ca="1" si="82"/>
        <v>3</v>
      </c>
      <c r="W232" s="17">
        <f t="shared" ca="1" si="83"/>
        <v>0</v>
      </c>
    </row>
    <row r="233" spans="1:23" x14ac:dyDescent="0.25">
      <c r="A233" s="4">
        <f t="shared" si="63"/>
        <v>32</v>
      </c>
      <c r="B233" t="str">
        <f ca="1">TEXT(DATE(YEAR(Invoer!$A$6),1,1)+INT((ROWS(B$2:B233)-1)/4),"jjjjmmdd")</f>
        <v>19400227</v>
      </c>
      <c r="C233" s="64" t="str">
        <f>IF(MOD(ROWS(C$2:C233)-1,4)=3,"24.00",INDEX(Data,3,2+MOD(ROWS(C$2:C233)-1,4)))</f>
        <v>24.00</v>
      </c>
      <c r="D233" s="18" t="str">
        <f t="shared" ca="1" si="64"/>
        <v>—</v>
      </c>
      <c r="E233" s="17">
        <f t="shared" ca="1" si="65"/>
        <v>7</v>
      </c>
      <c r="F233" s="18" t="str">
        <f t="shared" ca="1" si="66"/>
        <v>—</v>
      </c>
      <c r="G233" s="17">
        <f t="shared" ca="1" si="67"/>
        <v>7</v>
      </c>
      <c r="H233" s="18">
        <f t="shared" ca="1" si="68"/>
        <v>26.8</v>
      </c>
      <c r="I233" s="17">
        <f t="shared" ca="1" si="69"/>
        <v>0</v>
      </c>
      <c r="J233" s="18">
        <f t="shared" ca="1" si="70"/>
        <v>29.8</v>
      </c>
      <c r="K233" s="17">
        <f t="shared" ca="1" si="71"/>
        <v>0</v>
      </c>
      <c r="L233" s="10" t="str">
        <f t="shared" ca="1" si="72"/>
        <v>—</v>
      </c>
      <c r="M233" s="17">
        <f t="shared" ca="1" si="73"/>
        <v>7</v>
      </c>
      <c r="N233" s="18" t="str">
        <f t="shared" ca="1" si="74"/>
        <v>—</v>
      </c>
      <c r="O233" s="17">
        <f t="shared" ca="1" si="75"/>
        <v>7</v>
      </c>
      <c r="P233" s="18" t="str">
        <f t="shared" ca="1" si="76"/>
        <v>—</v>
      </c>
      <c r="Q233" s="17">
        <f t="shared" ca="1" si="77"/>
        <v>7</v>
      </c>
      <c r="R233" s="10" t="str">
        <f t="shared" ca="1" si="78"/>
        <v>—</v>
      </c>
      <c r="S233" s="17">
        <f t="shared" ca="1" si="79"/>
        <v>7</v>
      </c>
      <c r="T233" s="70" t="str">
        <f t="shared" ca="1" si="80"/>
        <v>—</v>
      </c>
      <c r="U233" s="17">
        <f t="shared" ca="1" si="81"/>
        <v>7</v>
      </c>
      <c r="V233" s="71" t="str">
        <f t="shared" ca="1" si="82"/>
        <v>—</v>
      </c>
      <c r="W233" s="17">
        <f t="shared" ca="1" si="83"/>
        <v>7</v>
      </c>
    </row>
    <row r="234" spans="1:23" x14ac:dyDescent="0.25">
      <c r="A234" s="4">
        <f t="shared" si="63"/>
        <v>32</v>
      </c>
      <c r="B234" t="str">
        <f ca="1">TEXT(DATE(YEAR(Invoer!$A$6),1,1)+INT((ROWS(B$2:B234)-1)/4),"jjjjmmdd")</f>
        <v>19400228</v>
      </c>
      <c r="C234" s="64" t="str">
        <f>IF(MOD(ROWS(C$2:C234)-1,4)=3,"24.00",INDEX(Data,3,2+MOD(ROWS(C$2:C234)-1,4)))</f>
        <v>07.00</v>
      </c>
      <c r="D234" s="18">
        <f t="shared" ca="1" si="64"/>
        <v>759.7</v>
      </c>
      <c r="E234" s="17">
        <f t="shared" ca="1" si="65"/>
        <v>0</v>
      </c>
      <c r="F234" s="18">
        <f t="shared" ca="1" si="66"/>
        <v>27</v>
      </c>
      <c r="G234" s="17">
        <f t="shared" ca="1" si="67"/>
        <v>0</v>
      </c>
      <c r="H234" s="18" t="str">
        <f t="shared" ca="1" si="68"/>
        <v>—</v>
      </c>
      <c r="I234" s="17">
        <f t="shared" ca="1" si="69"/>
        <v>7</v>
      </c>
      <c r="J234" s="18" t="str">
        <f t="shared" ca="1" si="70"/>
        <v>—</v>
      </c>
      <c r="K234" s="17">
        <f t="shared" ca="1" si="71"/>
        <v>7</v>
      </c>
      <c r="L234" s="10">
        <f t="shared" ca="1" si="72"/>
        <v>71</v>
      </c>
      <c r="M234" s="17">
        <f t="shared" ca="1" si="73"/>
        <v>0</v>
      </c>
      <c r="N234" s="18">
        <f t="shared" ca="1" si="74"/>
        <v>19.100000000000001</v>
      </c>
      <c r="O234" s="17">
        <f t="shared" ca="1" si="75"/>
        <v>0</v>
      </c>
      <c r="P234" s="18">
        <f t="shared" ca="1" si="76"/>
        <v>23</v>
      </c>
      <c r="Q234" s="17">
        <f t="shared" ca="1" si="77"/>
        <v>0</v>
      </c>
      <c r="R234" s="10">
        <f t="shared" ca="1" si="78"/>
        <v>45</v>
      </c>
      <c r="S234" s="17">
        <f t="shared" ca="1" si="79"/>
        <v>0</v>
      </c>
      <c r="T234" s="70">
        <f t="shared" ca="1" si="80"/>
        <v>0.3</v>
      </c>
      <c r="U234" s="17">
        <f t="shared" ca="1" si="81"/>
        <v>0</v>
      </c>
      <c r="V234" s="71">
        <f t="shared" ca="1" si="82"/>
        <v>5</v>
      </c>
      <c r="W234" s="17">
        <f t="shared" ca="1" si="83"/>
        <v>0</v>
      </c>
    </row>
    <row r="235" spans="1:23" x14ac:dyDescent="0.25">
      <c r="A235" s="4">
        <f t="shared" si="63"/>
        <v>32</v>
      </c>
      <c r="B235" t="str">
        <f ca="1">TEXT(DATE(YEAR(Invoer!$A$6),1,1)+INT((ROWS(B$2:B235)-1)/4),"jjjjmmdd")</f>
        <v>19400228</v>
      </c>
      <c r="C235" s="64" t="str">
        <f>IF(MOD(ROWS(C$2:C235)-1,4)=3,"24.00",INDEX(Data,3,2+MOD(ROWS(C$2:C235)-1,4)))</f>
        <v>12.00</v>
      </c>
      <c r="D235" s="18">
        <f t="shared" ca="1" si="64"/>
        <v>758.9</v>
      </c>
      <c r="E235" s="17">
        <f t="shared" ca="1" si="65"/>
        <v>0</v>
      </c>
      <c r="F235" s="18">
        <f t="shared" ca="1" si="66"/>
        <v>27.9</v>
      </c>
      <c r="G235" s="17">
        <f t="shared" ca="1" si="67"/>
        <v>0</v>
      </c>
      <c r="H235" s="18" t="str">
        <f t="shared" ca="1" si="68"/>
        <v>—</v>
      </c>
      <c r="I235" s="17">
        <f t="shared" ca="1" si="69"/>
        <v>7</v>
      </c>
      <c r="J235" s="18" t="str">
        <f t="shared" ca="1" si="70"/>
        <v>—</v>
      </c>
      <c r="K235" s="17">
        <f t="shared" ca="1" si="71"/>
        <v>7</v>
      </c>
      <c r="L235" s="10">
        <f t="shared" ca="1" si="72"/>
        <v>67</v>
      </c>
      <c r="M235" s="17">
        <f t="shared" ca="1" si="73"/>
        <v>0</v>
      </c>
      <c r="N235" s="18">
        <f t="shared" ca="1" si="74"/>
        <v>18.8</v>
      </c>
      <c r="O235" s="17">
        <f t="shared" ca="1" si="75"/>
        <v>0</v>
      </c>
      <c r="P235" s="18">
        <f t="shared" ca="1" si="76"/>
        <v>23.1</v>
      </c>
      <c r="Q235" s="17">
        <f t="shared" ca="1" si="77"/>
        <v>0</v>
      </c>
      <c r="R235" s="10">
        <f t="shared" ca="1" si="78"/>
        <v>45</v>
      </c>
      <c r="S235" s="17">
        <f t="shared" ca="1" si="79"/>
        <v>0</v>
      </c>
      <c r="T235" s="70">
        <f t="shared" ca="1" si="80"/>
        <v>0.5</v>
      </c>
      <c r="U235" s="17">
        <f t="shared" ca="1" si="81"/>
        <v>0</v>
      </c>
      <c r="V235" s="71">
        <f t="shared" ca="1" si="82"/>
        <v>5</v>
      </c>
      <c r="W235" s="17">
        <f t="shared" ca="1" si="83"/>
        <v>0</v>
      </c>
    </row>
    <row r="236" spans="1:23" x14ac:dyDescent="0.25">
      <c r="A236" s="4">
        <f t="shared" si="63"/>
        <v>32</v>
      </c>
      <c r="B236" t="str">
        <f ca="1">TEXT(DATE(YEAR(Invoer!$A$6),1,1)+INT((ROWS(B$2:B236)-1)/4),"jjjjmmdd")</f>
        <v>19400228</v>
      </c>
      <c r="C236" s="64" t="str">
        <f>IF(MOD(ROWS(C$2:C236)-1,4)=3,"24.00",INDEX(Data,3,2+MOD(ROWS(C$2:C236)-1,4)))</f>
        <v>17.00</v>
      </c>
      <c r="D236" s="18">
        <f t="shared" ca="1" si="64"/>
        <v>758.2</v>
      </c>
      <c r="E236" s="17">
        <f t="shared" ca="1" si="65"/>
        <v>0</v>
      </c>
      <c r="F236" s="18">
        <f t="shared" ca="1" si="66"/>
        <v>27.4</v>
      </c>
      <c r="G236" s="17">
        <f t="shared" ca="1" si="67"/>
        <v>0</v>
      </c>
      <c r="H236" s="18" t="str">
        <f t="shared" ca="1" si="68"/>
        <v>—</v>
      </c>
      <c r="I236" s="17">
        <f t="shared" ca="1" si="69"/>
        <v>7</v>
      </c>
      <c r="J236" s="18" t="str">
        <f t="shared" ca="1" si="70"/>
        <v>—</v>
      </c>
      <c r="K236" s="17">
        <f t="shared" ca="1" si="71"/>
        <v>7</v>
      </c>
      <c r="L236" s="10">
        <f t="shared" ca="1" si="72"/>
        <v>68</v>
      </c>
      <c r="M236" s="17">
        <f t="shared" ca="1" si="73"/>
        <v>0</v>
      </c>
      <c r="N236" s="18">
        <f t="shared" ca="1" si="74"/>
        <v>18.5</v>
      </c>
      <c r="O236" s="17">
        <f t="shared" ca="1" si="75"/>
        <v>0</v>
      </c>
      <c r="P236" s="18">
        <f t="shared" ca="1" si="76"/>
        <v>22.8</v>
      </c>
      <c r="Q236" s="17">
        <f t="shared" ca="1" si="77"/>
        <v>0</v>
      </c>
      <c r="R236" s="10">
        <f t="shared" ca="1" si="78"/>
        <v>45</v>
      </c>
      <c r="S236" s="17">
        <f t="shared" ca="1" si="79"/>
        <v>0</v>
      </c>
      <c r="T236" s="70">
        <f t="shared" ca="1" si="80"/>
        <v>0.4</v>
      </c>
      <c r="U236" s="17">
        <f t="shared" ca="1" si="81"/>
        <v>0</v>
      </c>
      <c r="V236" s="71">
        <f t="shared" ca="1" si="82"/>
        <v>2</v>
      </c>
      <c r="W236" s="17">
        <f t="shared" ca="1" si="83"/>
        <v>0</v>
      </c>
    </row>
    <row r="237" spans="1:23" x14ac:dyDescent="0.25">
      <c r="A237" s="4">
        <f t="shared" si="63"/>
        <v>32</v>
      </c>
      <c r="B237" t="str">
        <f ca="1">TEXT(DATE(YEAR(Invoer!$A$6),1,1)+INT((ROWS(B$2:B237)-1)/4),"jjjjmmdd")</f>
        <v>19400228</v>
      </c>
      <c r="C237" s="64" t="str">
        <f>IF(MOD(ROWS(C$2:C237)-1,4)=3,"24.00",INDEX(Data,3,2+MOD(ROWS(C$2:C237)-1,4)))</f>
        <v>24.00</v>
      </c>
      <c r="D237" s="18" t="str">
        <f t="shared" ca="1" si="64"/>
        <v>—</v>
      </c>
      <c r="E237" s="17">
        <f t="shared" ca="1" si="65"/>
        <v>7</v>
      </c>
      <c r="F237" s="18" t="str">
        <f t="shared" ca="1" si="66"/>
        <v>—</v>
      </c>
      <c r="G237" s="17">
        <f t="shared" ca="1" si="67"/>
        <v>7</v>
      </c>
      <c r="H237" s="18">
        <f t="shared" ca="1" si="68"/>
        <v>28.4</v>
      </c>
      <c r="I237" s="17">
        <f t="shared" ca="1" si="69"/>
        <v>0</v>
      </c>
      <c r="J237" s="18">
        <f t="shared" ca="1" si="70"/>
        <v>29.4</v>
      </c>
      <c r="K237" s="17">
        <f t="shared" ca="1" si="71"/>
        <v>0</v>
      </c>
      <c r="L237" s="10" t="str">
        <f t="shared" ca="1" si="72"/>
        <v>—</v>
      </c>
      <c r="M237" s="17">
        <f t="shared" ca="1" si="73"/>
        <v>7</v>
      </c>
      <c r="N237" s="18" t="str">
        <f t="shared" ca="1" si="74"/>
        <v>—</v>
      </c>
      <c r="O237" s="17">
        <f t="shared" ca="1" si="75"/>
        <v>7</v>
      </c>
      <c r="P237" s="18" t="str">
        <f t="shared" ca="1" si="76"/>
        <v>—</v>
      </c>
      <c r="Q237" s="17">
        <f t="shared" ca="1" si="77"/>
        <v>7</v>
      </c>
      <c r="R237" s="10" t="str">
        <f t="shared" ca="1" si="78"/>
        <v>—</v>
      </c>
      <c r="S237" s="17">
        <f t="shared" ca="1" si="79"/>
        <v>7</v>
      </c>
      <c r="T237" s="70" t="str">
        <f t="shared" ca="1" si="80"/>
        <v>—</v>
      </c>
      <c r="U237" s="17">
        <f t="shared" ca="1" si="81"/>
        <v>7</v>
      </c>
      <c r="V237" s="71" t="str">
        <f t="shared" ca="1" si="82"/>
        <v>—</v>
      </c>
      <c r="W237" s="17">
        <f t="shared" ca="1" si="83"/>
        <v>7</v>
      </c>
    </row>
    <row r="238" spans="1:23" x14ac:dyDescent="0.25">
      <c r="A238" s="4">
        <f t="shared" si="63"/>
        <v>32</v>
      </c>
      <c r="B238" t="str">
        <f ca="1">TEXT(DATE(YEAR(Invoer!$A$6),1,1)+INT((ROWS(B$2:B238)-1)/4),"jjjjmmdd")</f>
        <v>19400229</v>
      </c>
      <c r="C238" s="64" t="str">
        <f>IF(MOD(ROWS(C$2:C238)-1,4)=3,"24.00",INDEX(Data,3,2+MOD(ROWS(C$2:C238)-1,4)))</f>
        <v>07.00</v>
      </c>
      <c r="D238" s="18">
        <f t="shared" ca="1" si="64"/>
        <v>759.7</v>
      </c>
      <c r="E238" s="17">
        <f t="shared" ca="1" si="65"/>
        <v>0</v>
      </c>
      <c r="F238" s="18">
        <f t="shared" ca="1" si="66"/>
        <v>26.5</v>
      </c>
      <c r="G238" s="17">
        <f t="shared" ca="1" si="67"/>
        <v>0</v>
      </c>
      <c r="H238" s="18" t="str">
        <f t="shared" ca="1" si="68"/>
        <v>—</v>
      </c>
      <c r="I238" s="17">
        <f t="shared" ca="1" si="69"/>
        <v>7</v>
      </c>
      <c r="J238" s="18" t="str">
        <f t="shared" ca="1" si="70"/>
        <v>—</v>
      </c>
      <c r="K238" s="17">
        <f t="shared" ca="1" si="71"/>
        <v>7</v>
      </c>
      <c r="L238" s="10">
        <f t="shared" ca="1" si="72"/>
        <v>73</v>
      </c>
      <c r="M238" s="17">
        <f t="shared" ca="1" si="73"/>
        <v>0</v>
      </c>
      <c r="N238" s="18">
        <f t="shared" ca="1" si="74"/>
        <v>19</v>
      </c>
      <c r="O238" s="17">
        <f t="shared" ca="1" si="75"/>
        <v>0</v>
      </c>
      <c r="P238" s="18">
        <f t="shared" ca="1" si="76"/>
        <v>22.8</v>
      </c>
      <c r="Q238" s="17">
        <f t="shared" ca="1" si="77"/>
        <v>0</v>
      </c>
      <c r="R238" s="10">
        <f t="shared" ca="1" si="78"/>
        <v>65</v>
      </c>
      <c r="S238" s="17">
        <f t="shared" ca="1" si="79"/>
        <v>0</v>
      </c>
      <c r="T238" s="70">
        <f t="shared" ca="1" si="80"/>
        <v>0.4</v>
      </c>
      <c r="U238" s="17">
        <f t="shared" ca="1" si="81"/>
        <v>0</v>
      </c>
      <c r="V238" s="71">
        <f t="shared" ca="1" si="82"/>
        <v>2</v>
      </c>
      <c r="W238" s="17">
        <f t="shared" ca="1" si="83"/>
        <v>0</v>
      </c>
    </row>
    <row r="239" spans="1:23" x14ac:dyDescent="0.25">
      <c r="A239" s="4">
        <f t="shared" si="63"/>
        <v>32</v>
      </c>
      <c r="B239" t="str">
        <f ca="1">TEXT(DATE(YEAR(Invoer!$A$6),1,1)+INT((ROWS(B$2:B239)-1)/4),"jjjjmmdd")</f>
        <v>19400229</v>
      </c>
      <c r="C239" s="64" t="str">
        <f>IF(MOD(ROWS(C$2:C239)-1,4)=3,"24.00",INDEX(Data,3,2+MOD(ROWS(C$2:C239)-1,4)))</f>
        <v>12.00</v>
      </c>
      <c r="D239" s="18">
        <f t="shared" ca="1" si="64"/>
        <v>760.7</v>
      </c>
      <c r="E239" s="17">
        <f t="shared" ca="1" si="65"/>
        <v>0</v>
      </c>
      <c r="F239" s="18">
        <f t="shared" ca="1" si="66"/>
        <v>26.9</v>
      </c>
      <c r="G239" s="17">
        <f t="shared" ca="1" si="67"/>
        <v>0</v>
      </c>
      <c r="H239" s="18" t="str">
        <f t="shared" ca="1" si="68"/>
        <v>—</v>
      </c>
      <c r="I239" s="17">
        <f t="shared" ca="1" si="69"/>
        <v>7</v>
      </c>
      <c r="J239" s="18" t="str">
        <f t="shared" ca="1" si="70"/>
        <v>—</v>
      </c>
      <c r="K239" s="17">
        <f t="shared" ca="1" si="71"/>
        <v>7</v>
      </c>
      <c r="L239" s="10">
        <f t="shared" ca="1" si="72"/>
        <v>73</v>
      </c>
      <c r="M239" s="17">
        <f t="shared" ca="1" si="73"/>
        <v>0</v>
      </c>
      <c r="N239" s="18">
        <f t="shared" ca="1" si="74"/>
        <v>19.5</v>
      </c>
      <c r="O239" s="17">
        <f t="shared" ca="1" si="75"/>
        <v>0</v>
      </c>
      <c r="P239" s="18">
        <f t="shared" ca="1" si="76"/>
        <v>23.2</v>
      </c>
      <c r="Q239" s="17">
        <f t="shared" ca="1" si="77"/>
        <v>0</v>
      </c>
      <c r="R239" s="10">
        <f t="shared" ca="1" si="78"/>
        <v>65</v>
      </c>
      <c r="S239" s="17">
        <f t="shared" ca="1" si="79"/>
        <v>0</v>
      </c>
      <c r="T239" s="70">
        <f t="shared" ca="1" si="80"/>
        <v>0.5</v>
      </c>
      <c r="U239" s="17">
        <f t="shared" ca="1" si="81"/>
        <v>0</v>
      </c>
      <c r="V239" s="71">
        <f t="shared" ca="1" si="82"/>
        <v>3</v>
      </c>
      <c r="W239" s="17">
        <f t="shared" ca="1" si="83"/>
        <v>0</v>
      </c>
    </row>
    <row r="240" spans="1:23" x14ac:dyDescent="0.25">
      <c r="A240" s="4">
        <f t="shared" si="63"/>
        <v>32</v>
      </c>
      <c r="B240" t="str">
        <f ca="1">TEXT(DATE(YEAR(Invoer!$A$6),1,1)+INT((ROWS(B$2:B240)-1)/4),"jjjjmmdd")</f>
        <v>19400229</v>
      </c>
      <c r="C240" s="64" t="str">
        <f>IF(MOD(ROWS(C$2:C240)-1,4)=3,"24.00",INDEX(Data,3,2+MOD(ROWS(C$2:C240)-1,4)))</f>
        <v>17.00</v>
      </c>
      <c r="D240" s="18">
        <f t="shared" ca="1" si="64"/>
        <v>761</v>
      </c>
      <c r="E240" s="17">
        <f t="shared" ca="1" si="65"/>
        <v>0</v>
      </c>
      <c r="F240" s="18">
        <f t="shared" ca="1" si="66"/>
        <v>26.1</v>
      </c>
      <c r="G240" s="17">
        <f t="shared" ca="1" si="67"/>
        <v>0</v>
      </c>
      <c r="H240" s="18" t="str">
        <f t="shared" ca="1" si="68"/>
        <v>—</v>
      </c>
      <c r="I240" s="17">
        <f t="shared" ca="1" si="69"/>
        <v>7</v>
      </c>
      <c r="J240" s="18" t="str">
        <f t="shared" ca="1" si="70"/>
        <v>—</v>
      </c>
      <c r="K240" s="17">
        <f t="shared" ca="1" si="71"/>
        <v>7</v>
      </c>
      <c r="L240" s="10">
        <f t="shared" ca="1" si="72"/>
        <v>77</v>
      </c>
      <c r="M240" s="17">
        <f t="shared" ca="1" si="73"/>
        <v>0</v>
      </c>
      <c r="N240" s="18">
        <f t="shared" ca="1" si="74"/>
        <v>19.5</v>
      </c>
      <c r="O240" s="17">
        <f t="shared" ca="1" si="75"/>
        <v>0</v>
      </c>
      <c r="P240" s="18">
        <f t="shared" ca="1" si="76"/>
        <v>23</v>
      </c>
      <c r="Q240" s="17">
        <f t="shared" ca="1" si="77"/>
        <v>0</v>
      </c>
      <c r="R240" s="10">
        <f t="shared" ca="1" si="78"/>
        <v>45</v>
      </c>
      <c r="S240" s="17">
        <f t="shared" ca="1" si="79"/>
        <v>0</v>
      </c>
      <c r="T240" s="70">
        <f t="shared" ca="1" si="80"/>
        <v>0.5</v>
      </c>
      <c r="U240" s="17">
        <f t="shared" ca="1" si="81"/>
        <v>0</v>
      </c>
      <c r="V240" s="71">
        <f t="shared" ca="1" si="82"/>
        <v>3</v>
      </c>
      <c r="W240" s="17">
        <f t="shared" ca="1" si="83"/>
        <v>0</v>
      </c>
    </row>
    <row r="241" spans="1:23" x14ac:dyDescent="0.25">
      <c r="A241" s="4">
        <f t="shared" si="63"/>
        <v>32</v>
      </c>
      <c r="B241" t="str">
        <f ca="1">TEXT(DATE(YEAR(Invoer!$A$6),1,1)+INT((ROWS(B$2:B241)-1)/4),"jjjjmmdd")</f>
        <v>19400229</v>
      </c>
      <c r="C241" s="64" t="str">
        <f>IF(MOD(ROWS(C$2:C241)-1,4)=3,"24.00",INDEX(Data,3,2+MOD(ROWS(C$2:C241)-1,4)))</f>
        <v>24.00</v>
      </c>
      <c r="D241" s="18" t="str">
        <f t="shared" ca="1" si="64"/>
        <v>—</v>
      </c>
      <c r="E241" s="17">
        <f t="shared" ca="1" si="65"/>
        <v>7</v>
      </c>
      <c r="F241" s="18" t="str">
        <f t="shared" ca="1" si="66"/>
        <v>—</v>
      </c>
      <c r="G241" s="17">
        <f t="shared" ca="1" si="67"/>
        <v>7</v>
      </c>
      <c r="H241" s="18">
        <f t="shared" ca="1" si="68"/>
        <v>28</v>
      </c>
      <c r="I241" s="17">
        <f t="shared" ca="1" si="69"/>
        <v>0</v>
      </c>
      <c r="J241" s="18">
        <f t="shared" ca="1" si="70"/>
        <v>29</v>
      </c>
      <c r="K241" s="17">
        <f t="shared" ca="1" si="71"/>
        <v>0</v>
      </c>
      <c r="L241" s="10" t="str">
        <f t="shared" ca="1" si="72"/>
        <v>—</v>
      </c>
      <c r="M241" s="17">
        <f t="shared" ca="1" si="73"/>
        <v>7</v>
      </c>
      <c r="N241" s="18" t="str">
        <f t="shared" ca="1" si="74"/>
        <v>—</v>
      </c>
      <c r="O241" s="17">
        <f t="shared" ca="1" si="75"/>
        <v>7</v>
      </c>
      <c r="P241" s="18" t="str">
        <f t="shared" ca="1" si="76"/>
        <v>—</v>
      </c>
      <c r="Q241" s="17">
        <f t="shared" ca="1" si="77"/>
        <v>7</v>
      </c>
      <c r="R241" s="10" t="str">
        <f t="shared" ca="1" si="78"/>
        <v>—</v>
      </c>
      <c r="S241" s="17">
        <f t="shared" ca="1" si="79"/>
        <v>7</v>
      </c>
      <c r="T241" s="70" t="str">
        <f t="shared" ca="1" si="80"/>
        <v>—</v>
      </c>
      <c r="U241" s="17">
        <f t="shared" ca="1" si="81"/>
        <v>7</v>
      </c>
      <c r="V241" s="71" t="str">
        <f t="shared" ca="1" si="82"/>
        <v>—</v>
      </c>
      <c r="W241" s="17">
        <f t="shared" ca="1" si="83"/>
        <v>7</v>
      </c>
    </row>
    <row r="242" spans="1:23" x14ac:dyDescent="0.25">
      <c r="A242" s="4">
        <f t="shared" si="63"/>
        <v>32</v>
      </c>
      <c r="B242" t="str">
        <f ca="1">TEXT(DATE(YEAR(Invoer!$A$6),1,1)+INT((ROWS(B$2:B242)-1)/4),"jjjjmmdd")</f>
        <v>19400301</v>
      </c>
      <c r="C242" s="64" t="str">
        <f>IF(MOD(ROWS(C$2:C242)-1,4)=3,"24.00",INDEX(Data,3,2+MOD(ROWS(C$2:C242)-1,4)))</f>
        <v>07.00</v>
      </c>
      <c r="D242" s="18">
        <f t="shared" ca="1" si="64"/>
        <v>761</v>
      </c>
      <c r="E242" s="17">
        <f t="shared" ca="1" si="65"/>
        <v>0</v>
      </c>
      <c r="F242" s="18">
        <f t="shared" ca="1" si="66"/>
        <v>26</v>
      </c>
      <c r="G242" s="17">
        <f t="shared" ca="1" si="67"/>
        <v>0</v>
      </c>
      <c r="H242" s="18" t="str">
        <f t="shared" ca="1" si="68"/>
        <v>—</v>
      </c>
      <c r="I242" s="17">
        <f t="shared" ca="1" si="69"/>
        <v>7</v>
      </c>
      <c r="J242" s="18" t="str">
        <f t="shared" ca="1" si="70"/>
        <v>—</v>
      </c>
      <c r="K242" s="17">
        <f t="shared" ca="1" si="71"/>
        <v>7</v>
      </c>
      <c r="L242" s="10">
        <f t="shared" ca="1" si="72"/>
        <v>75</v>
      </c>
      <c r="M242" s="17">
        <f t="shared" ca="1" si="73"/>
        <v>0</v>
      </c>
      <c r="N242" s="18">
        <f t="shared" ca="1" si="74"/>
        <v>18.899999999999999</v>
      </c>
      <c r="O242" s="17">
        <f t="shared" ca="1" si="75"/>
        <v>0</v>
      </c>
      <c r="P242" s="18">
        <f t="shared" ca="1" si="76"/>
        <v>22.6</v>
      </c>
      <c r="Q242" s="17">
        <f t="shared" ca="1" si="77"/>
        <v>0</v>
      </c>
      <c r="R242" s="10">
        <f t="shared" ca="1" si="78"/>
        <v>65</v>
      </c>
      <c r="S242" s="17">
        <f t="shared" ca="1" si="79"/>
        <v>0</v>
      </c>
      <c r="T242" s="70">
        <f t="shared" ca="1" si="80"/>
        <v>0.3</v>
      </c>
      <c r="U242" s="17">
        <f t="shared" ca="1" si="81"/>
        <v>0</v>
      </c>
      <c r="V242" s="71">
        <f t="shared" ca="1" si="82"/>
        <v>3</v>
      </c>
      <c r="W242" s="17">
        <f t="shared" ca="1" si="83"/>
        <v>0</v>
      </c>
    </row>
    <row r="243" spans="1:23" x14ac:dyDescent="0.25">
      <c r="A243" s="4">
        <f t="shared" si="63"/>
        <v>32</v>
      </c>
      <c r="B243" t="str">
        <f ca="1">TEXT(DATE(YEAR(Invoer!$A$6),1,1)+INT((ROWS(B$2:B243)-1)/4),"jjjjmmdd")</f>
        <v>19400301</v>
      </c>
      <c r="C243" s="64" t="str">
        <f>IF(MOD(ROWS(C$2:C243)-1,4)=3,"24.00",INDEX(Data,3,2+MOD(ROWS(C$2:C243)-1,4)))</f>
        <v>12.00</v>
      </c>
      <c r="D243" s="18">
        <f t="shared" ca="1" si="64"/>
        <v>761.2</v>
      </c>
      <c r="E243" s="17">
        <f t="shared" ca="1" si="65"/>
        <v>0</v>
      </c>
      <c r="F243" s="18">
        <f t="shared" ca="1" si="66"/>
        <v>26.9</v>
      </c>
      <c r="G243" s="17">
        <f t="shared" ca="1" si="67"/>
        <v>0</v>
      </c>
      <c r="H243" s="18" t="str">
        <f t="shared" ca="1" si="68"/>
        <v>—</v>
      </c>
      <c r="I243" s="17">
        <f t="shared" ca="1" si="69"/>
        <v>7</v>
      </c>
      <c r="J243" s="18" t="str">
        <f t="shared" ca="1" si="70"/>
        <v>—</v>
      </c>
      <c r="K243" s="17">
        <f t="shared" ca="1" si="71"/>
        <v>7</v>
      </c>
      <c r="L243" s="10">
        <f t="shared" ca="1" si="72"/>
        <v>72</v>
      </c>
      <c r="M243" s="17">
        <f t="shared" ca="1" si="73"/>
        <v>0</v>
      </c>
      <c r="N243" s="18">
        <f t="shared" ca="1" si="74"/>
        <v>19.3</v>
      </c>
      <c r="O243" s="17">
        <f t="shared" ca="1" si="75"/>
        <v>0</v>
      </c>
      <c r="P243" s="18">
        <f t="shared" ca="1" si="76"/>
        <v>23.1</v>
      </c>
      <c r="Q243" s="17">
        <f t="shared" ca="1" si="77"/>
        <v>0</v>
      </c>
      <c r="R243" s="10">
        <f t="shared" ca="1" si="78"/>
        <v>65</v>
      </c>
      <c r="S243" s="17">
        <f t="shared" ca="1" si="79"/>
        <v>0</v>
      </c>
      <c r="T243" s="70">
        <f t="shared" ca="1" si="80"/>
        <v>0.4</v>
      </c>
      <c r="U243" s="17">
        <f t="shared" ca="1" si="81"/>
        <v>0</v>
      </c>
      <c r="V243" s="71">
        <f t="shared" ca="1" si="82"/>
        <v>3</v>
      </c>
      <c r="W243" s="17">
        <f t="shared" ca="1" si="83"/>
        <v>0</v>
      </c>
    </row>
    <row r="244" spans="1:23" x14ac:dyDescent="0.25">
      <c r="A244" s="4">
        <f t="shared" si="63"/>
        <v>32</v>
      </c>
      <c r="B244" t="str">
        <f ca="1">TEXT(DATE(YEAR(Invoer!$A$6),1,1)+INT((ROWS(B$2:B244)-1)/4),"jjjjmmdd")</f>
        <v>19400301</v>
      </c>
      <c r="C244" s="64" t="str">
        <f>IF(MOD(ROWS(C$2:C244)-1,4)=3,"24.00",INDEX(Data,3,2+MOD(ROWS(C$2:C244)-1,4)))</f>
        <v>17.00</v>
      </c>
      <c r="D244" s="18">
        <f t="shared" ca="1" si="64"/>
        <v>760.2</v>
      </c>
      <c r="E244" s="17">
        <f t="shared" ca="1" si="65"/>
        <v>0</v>
      </c>
      <c r="F244" s="18">
        <f t="shared" ca="1" si="66"/>
        <v>26.5</v>
      </c>
      <c r="G244" s="17">
        <f t="shared" ca="1" si="67"/>
        <v>0</v>
      </c>
      <c r="H244" s="18" t="str">
        <f t="shared" ca="1" si="68"/>
        <v>—</v>
      </c>
      <c r="I244" s="17">
        <f t="shared" ca="1" si="69"/>
        <v>7</v>
      </c>
      <c r="J244" s="18" t="str">
        <f t="shared" ca="1" si="70"/>
        <v>—</v>
      </c>
      <c r="K244" s="17">
        <f t="shared" ca="1" si="71"/>
        <v>7</v>
      </c>
      <c r="L244" s="10">
        <f t="shared" ca="1" si="72"/>
        <v>73</v>
      </c>
      <c r="M244" s="17">
        <f t="shared" ca="1" si="73"/>
        <v>0</v>
      </c>
      <c r="N244" s="18">
        <f t="shared" ca="1" si="74"/>
        <v>19</v>
      </c>
      <c r="O244" s="17">
        <f t="shared" ca="1" si="75"/>
        <v>0</v>
      </c>
      <c r="P244" s="18">
        <f t="shared" ca="1" si="76"/>
        <v>22.8</v>
      </c>
      <c r="Q244" s="17">
        <f t="shared" ca="1" si="77"/>
        <v>0</v>
      </c>
      <c r="R244" s="10">
        <f t="shared" ca="1" si="78"/>
        <v>45</v>
      </c>
      <c r="S244" s="17">
        <f t="shared" ca="1" si="79"/>
        <v>0</v>
      </c>
      <c r="T244" s="70">
        <f t="shared" ca="1" si="80"/>
        <v>0.4</v>
      </c>
      <c r="U244" s="17">
        <f t="shared" ca="1" si="81"/>
        <v>0</v>
      </c>
      <c r="V244" s="71">
        <f t="shared" ca="1" si="82"/>
        <v>3</v>
      </c>
      <c r="W244" s="17">
        <f t="shared" ca="1" si="83"/>
        <v>0</v>
      </c>
    </row>
    <row r="245" spans="1:23" x14ac:dyDescent="0.25">
      <c r="A245" s="4">
        <f t="shared" si="63"/>
        <v>32</v>
      </c>
      <c r="B245" t="str">
        <f ca="1">TEXT(DATE(YEAR(Invoer!$A$6),1,1)+INT((ROWS(B$2:B245)-1)/4),"jjjjmmdd")</f>
        <v>19400301</v>
      </c>
      <c r="C245" s="64" t="str">
        <f>IF(MOD(ROWS(C$2:C245)-1,4)=3,"24.00",INDEX(Data,3,2+MOD(ROWS(C$2:C245)-1,4)))</f>
        <v>24.00</v>
      </c>
      <c r="D245" s="18" t="str">
        <f t="shared" ca="1" si="64"/>
        <v>—</v>
      </c>
      <c r="E245" s="17">
        <f t="shared" ca="1" si="65"/>
        <v>7</v>
      </c>
      <c r="F245" s="18" t="str">
        <f t="shared" ca="1" si="66"/>
        <v>—</v>
      </c>
      <c r="G245" s="17">
        <f t="shared" ca="1" si="67"/>
        <v>7</v>
      </c>
      <c r="H245" s="18">
        <f t="shared" ca="1" si="68"/>
        <v>27.4</v>
      </c>
      <c r="I245" s="17">
        <f t="shared" ca="1" si="69"/>
        <v>0</v>
      </c>
      <c r="J245" s="18">
        <f t="shared" ca="1" si="70"/>
        <v>28.6</v>
      </c>
      <c r="K245" s="17">
        <f t="shared" ca="1" si="71"/>
        <v>0</v>
      </c>
      <c r="L245" s="10" t="str">
        <f t="shared" ca="1" si="72"/>
        <v>—</v>
      </c>
      <c r="M245" s="17">
        <f t="shared" ca="1" si="73"/>
        <v>7</v>
      </c>
      <c r="N245" s="18" t="str">
        <f t="shared" ca="1" si="74"/>
        <v>—</v>
      </c>
      <c r="O245" s="17">
        <f t="shared" ca="1" si="75"/>
        <v>7</v>
      </c>
      <c r="P245" s="18" t="str">
        <f t="shared" ca="1" si="76"/>
        <v>—</v>
      </c>
      <c r="Q245" s="17">
        <f t="shared" ca="1" si="77"/>
        <v>7</v>
      </c>
      <c r="R245" s="10" t="str">
        <f t="shared" ca="1" si="78"/>
        <v>—</v>
      </c>
      <c r="S245" s="17">
        <f t="shared" ca="1" si="79"/>
        <v>7</v>
      </c>
      <c r="T245" s="70" t="str">
        <f t="shared" ca="1" si="80"/>
        <v>—</v>
      </c>
      <c r="U245" s="17">
        <f t="shared" ca="1" si="81"/>
        <v>7</v>
      </c>
      <c r="V245" s="71" t="str">
        <f t="shared" ca="1" si="82"/>
        <v>—</v>
      </c>
      <c r="W245" s="17">
        <f t="shared" ca="1" si="83"/>
        <v>7</v>
      </c>
    </row>
    <row r="246" spans="1:23" x14ac:dyDescent="0.25">
      <c r="A246" s="4">
        <f t="shared" si="63"/>
        <v>32</v>
      </c>
      <c r="B246" t="str">
        <f ca="1">TEXT(DATE(YEAR(Invoer!$A$6),1,1)+INT((ROWS(B$2:B246)-1)/4),"jjjjmmdd")</f>
        <v>19400302</v>
      </c>
      <c r="C246" s="64" t="str">
        <f>IF(MOD(ROWS(C$2:C246)-1,4)=3,"24.00",INDEX(Data,3,2+MOD(ROWS(C$2:C246)-1,4)))</f>
        <v>07.00</v>
      </c>
      <c r="D246" s="18">
        <f t="shared" ca="1" si="64"/>
        <v>761</v>
      </c>
      <c r="E246" s="17">
        <f t="shared" ca="1" si="65"/>
        <v>0</v>
      </c>
      <c r="F246" s="18">
        <f t="shared" ca="1" si="66"/>
        <v>26.3</v>
      </c>
      <c r="G246" s="17">
        <f t="shared" ca="1" si="67"/>
        <v>0</v>
      </c>
      <c r="H246" s="18" t="str">
        <f t="shared" ca="1" si="68"/>
        <v>—</v>
      </c>
      <c r="I246" s="17">
        <f t="shared" ca="1" si="69"/>
        <v>7</v>
      </c>
      <c r="J246" s="18" t="str">
        <f t="shared" ca="1" si="70"/>
        <v>—</v>
      </c>
      <c r="K246" s="17">
        <f t="shared" ca="1" si="71"/>
        <v>7</v>
      </c>
      <c r="L246" s="10">
        <f t="shared" ca="1" si="72"/>
        <v>73</v>
      </c>
      <c r="M246" s="17">
        <f t="shared" ca="1" si="73"/>
        <v>0</v>
      </c>
      <c r="N246" s="18">
        <f t="shared" ca="1" si="74"/>
        <v>18.7</v>
      </c>
      <c r="O246" s="17">
        <f t="shared" ca="1" si="75"/>
        <v>0</v>
      </c>
      <c r="P246" s="18">
        <f t="shared" ca="1" si="76"/>
        <v>22.6</v>
      </c>
      <c r="Q246" s="17">
        <f t="shared" ca="1" si="77"/>
        <v>0</v>
      </c>
      <c r="R246" s="10">
        <f t="shared" ca="1" si="78"/>
        <v>25</v>
      </c>
      <c r="S246" s="17">
        <f t="shared" ca="1" si="79"/>
        <v>0</v>
      </c>
      <c r="T246" s="70">
        <f t="shared" ca="1" si="80"/>
        <v>0.3</v>
      </c>
      <c r="U246" s="17">
        <f t="shared" ca="1" si="81"/>
        <v>0</v>
      </c>
      <c r="V246" s="71">
        <f t="shared" ca="1" si="82"/>
        <v>2</v>
      </c>
      <c r="W246" s="17">
        <f t="shared" ca="1" si="83"/>
        <v>0</v>
      </c>
    </row>
    <row r="247" spans="1:23" x14ac:dyDescent="0.25">
      <c r="A247" s="4">
        <f t="shared" si="63"/>
        <v>32</v>
      </c>
      <c r="B247" t="str">
        <f ca="1">TEXT(DATE(YEAR(Invoer!$A$6),1,1)+INT((ROWS(B$2:B247)-1)/4),"jjjjmmdd")</f>
        <v>19400302</v>
      </c>
      <c r="C247" s="64" t="str">
        <f>IF(MOD(ROWS(C$2:C247)-1,4)=3,"24.00",INDEX(Data,3,2+MOD(ROWS(C$2:C247)-1,4)))</f>
        <v>12.00</v>
      </c>
      <c r="D247" s="18">
        <f t="shared" ca="1" si="64"/>
        <v>759.5</v>
      </c>
      <c r="E247" s="17">
        <f t="shared" ca="1" si="65"/>
        <v>0</v>
      </c>
      <c r="F247" s="18">
        <f t="shared" ca="1" si="66"/>
        <v>26.9</v>
      </c>
      <c r="G247" s="17">
        <f t="shared" ca="1" si="67"/>
        <v>0</v>
      </c>
      <c r="H247" s="18" t="str">
        <f t="shared" ca="1" si="68"/>
        <v>—</v>
      </c>
      <c r="I247" s="17">
        <f t="shared" ca="1" si="69"/>
        <v>7</v>
      </c>
      <c r="J247" s="18" t="str">
        <f t="shared" ca="1" si="70"/>
        <v>—</v>
      </c>
      <c r="K247" s="17">
        <f t="shared" ca="1" si="71"/>
        <v>7</v>
      </c>
      <c r="L247" s="10">
        <f t="shared" ca="1" si="72"/>
        <v>72</v>
      </c>
      <c r="M247" s="17">
        <f t="shared" ca="1" si="73"/>
        <v>0</v>
      </c>
      <c r="N247" s="18">
        <f t="shared" ca="1" si="74"/>
        <v>19.100000000000001</v>
      </c>
      <c r="O247" s="17">
        <f t="shared" ca="1" si="75"/>
        <v>0</v>
      </c>
      <c r="P247" s="18">
        <f t="shared" ca="1" si="76"/>
        <v>23</v>
      </c>
      <c r="Q247" s="17">
        <f t="shared" ca="1" si="77"/>
        <v>0</v>
      </c>
      <c r="R247" s="10">
        <f t="shared" ca="1" si="78"/>
        <v>25</v>
      </c>
      <c r="S247" s="17">
        <f t="shared" ca="1" si="79"/>
        <v>0</v>
      </c>
      <c r="T247" s="70">
        <f t="shared" ca="1" si="80"/>
        <v>0.5</v>
      </c>
      <c r="U247" s="17">
        <f t="shared" ca="1" si="81"/>
        <v>0</v>
      </c>
      <c r="V247" s="71">
        <f t="shared" ca="1" si="82"/>
        <v>2</v>
      </c>
      <c r="W247" s="17">
        <f t="shared" ca="1" si="83"/>
        <v>0</v>
      </c>
    </row>
    <row r="248" spans="1:23" x14ac:dyDescent="0.25">
      <c r="A248" s="4">
        <f t="shared" si="63"/>
        <v>32</v>
      </c>
      <c r="B248" t="str">
        <f ca="1">TEXT(DATE(YEAR(Invoer!$A$6),1,1)+INT((ROWS(B$2:B248)-1)/4),"jjjjmmdd")</f>
        <v>19400302</v>
      </c>
      <c r="C248" s="64" t="str">
        <f>IF(MOD(ROWS(C$2:C248)-1,4)=3,"24.00",INDEX(Data,3,2+MOD(ROWS(C$2:C248)-1,4)))</f>
        <v>17.00</v>
      </c>
      <c r="D248" s="18">
        <f t="shared" ca="1" si="64"/>
        <v>759.5</v>
      </c>
      <c r="E248" s="17">
        <f t="shared" ca="1" si="65"/>
        <v>0</v>
      </c>
      <c r="F248" s="18">
        <f t="shared" ca="1" si="66"/>
        <v>26.1</v>
      </c>
      <c r="G248" s="17">
        <f t="shared" ca="1" si="67"/>
        <v>0</v>
      </c>
      <c r="H248" s="18" t="str">
        <f t="shared" ca="1" si="68"/>
        <v>—</v>
      </c>
      <c r="I248" s="17">
        <f t="shared" ca="1" si="69"/>
        <v>7</v>
      </c>
      <c r="J248" s="18" t="str">
        <f t="shared" ca="1" si="70"/>
        <v>—</v>
      </c>
      <c r="K248" s="17">
        <f t="shared" ca="1" si="71"/>
        <v>7</v>
      </c>
      <c r="L248" s="10">
        <f t="shared" ca="1" si="72"/>
        <v>76</v>
      </c>
      <c r="M248" s="17">
        <f t="shared" ca="1" si="73"/>
        <v>0</v>
      </c>
      <c r="N248" s="18">
        <f t="shared" ca="1" si="74"/>
        <v>19.2</v>
      </c>
      <c r="O248" s="17">
        <f t="shared" ca="1" si="75"/>
        <v>0</v>
      </c>
      <c r="P248" s="18">
        <f t="shared" ca="1" si="76"/>
        <v>22.8</v>
      </c>
      <c r="Q248" s="17">
        <f t="shared" ca="1" si="77"/>
        <v>0</v>
      </c>
      <c r="R248" s="10">
        <f t="shared" ca="1" si="78"/>
        <v>25</v>
      </c>
      <c r="S248" s="17">
        <f t="shared" ca="1" si="79"/>
        <v>0</v>
      </c>
      <c r="T248" s="70">
        <f t="shared" ca="1" si="80"/>
        <v>0.5</v>
      </c>
      <c r="U248" s="17">
        <f t="shared" ca="1" si="81"/>
        <v>0</v>
      </c>
      <c r="V248" s="71">
        <f t="shared" ca="1" si="82"/>
        <v>1</v>
      </c>
      <c r="W248" s="17">
        <f t="shared" ca="1" si="83"/>
        <v>0</v>
      </c>
    </row>
    <row r="249" spans="1:23" x14ac:dyDescent="0.25">
      <c r="A249" s="4">
        <f t="shared" si="63"/>
        <v>32</v>
      </c>
      <c r="B249" t="str">
        <f ca="1">TEXT(DATE(YEAR(Invoer!$A$6),1,1)+INT((ROWS(B$2:B249)-1)/4),"jjjjmmdd")</f>
        <v>19400302</v>
      </c>
      <c r="C249" s="64" t="str">
        <f>IF(MOD(ROWS(C$2:C249)-1,4)=3,"24.00",INDEX(Data,3,2+MOD(ROWS(C$2:C249)-1,4)))</f>
        <v>24.00</v>
      </c>
      <c r="D249" s="18" t="str">
        <f t="shared" ca="1" si="64"/>
        <v>—</v>
      </c>
      <c r="E249" s="17">
        <f t="shared" ca="1" si="65"/>
        <v>7</v>
      </c>
      <c r="F249" s="18" t="str">
        <f t="shared" ca="1" si="66"/>
        <v>—</v>
      </c>
      <c r="G249" s="17">
        <f t="shared" ca="1" si="67"/>
        <v>7</v>
      </c>
      <c r="H249" s="18">
        <f t="shared" ca="1" si="68"/>
        <v>27.8</v>
      </c>
      <c r="I249" s="17">
        <f t="shared" ca="1" si="69"/>
        <v>0</v>
      </c>
      <c r="J249" s="18">
        <f t="shared" ca="1" si="70"/>
        <v>29.5</v>
      </c>
      <c r="K249" s="17">
        <f t="shared" ca="1" si="71"/>
        <v>0</v>
      </c>
      <c r="L249" s="10" t="str">
        <f t="shared" ca="1" si="72"/>
        <v>—</v>
      </c>
      <c r="M249" s="17">
        <f t="shared" ca="1" si="73"/>
        <v>7</v>
      </c>
      <c r="N249" s="18" t="str">
        <f t="shared" ca="1" si="74"/>
        <v>—</v>
      </c>
      <c r="O249" s="17">
        <f t="shared" ca="1" si="75"/>
        <v>7</v>
      </c>
      <c r="P249" s="18" t="str">
        <f t="shared" ca="1" si="76"/>
        <v>—</v>
      </c>
      <c r="Q249" s="17">
        <f t="shared" ca="1" si="77"/>
        <v>7</v>
      </c>
      <c r="R249" s="10" t="str">
        <f t="shared" ca="1" si="78"/>
        <v>—</v>
      </c>
      <c r="S249" s="17">
        <f t="shared" ca="1" si="79"/>
        <v>7</v>
      </c>
      <c r="T249" s="70" t="str">
        <f t="shared" ca="1" si="80"/>
        <v>—</v>
      </c>
      <c r="U249" s="17">
        <f t="shared" ca="1" si="81"/>
        <v>7</v>
      </c>
      <c r="V249" s="71" t="str">
        <f t="shared" ca="1" si="82"/>
        <v>—</v>
      </c>
      <c r="W249" s="17">
        <f t="shared" ca="1" si="83"/>
        <v>7</v>
      </c>
    </row>
    <row r="250" spans="1:23" x14ac:dyDescent="0.25">
      <c r="A250" s="4">
        <f t="shared" si="63"/>
        <v>32</v>
      </c>
      <c r="B250" t="str">
        <f ca="1">TEXT(DATE(YEAR(Invoer!$A$6),1,1)+INT((ROWS(B$2:B250)-1)/4),"jjjjmmdd")</f>
        <v>19400303</v>
      </c>
      <c r="C250" s="64" t="str">
        <f>IF(MOD(ROWS(C$2:C250)-1,4)=3,"24.00",INDEX(Data,3,2+MOD(ROWS(C$2:C250)-1,4)))</f>
        <v>07.00</v>
      </c>
      <c r="D250" s="18">
        <f t="shared" ca="1" si="64"/>
        <v>759.7</v>
      </c>
      <c r="E250" s="17">
        <f t="shared" ca="1" si="65"/>
        <v>0</v>
      </c>
      <c r="F250" s="18">
        <f t="shared" ca="1" si="66"/>
        <v>26.3</v>
      </c>
      <c r="G250" s="17">
        <f t="shared" ca="1" si="67"/>
        <v>0</v>
      </c>
      <c r="H250" s="18" t="str">
        <f t="shared" ca="1" si="68"/>
        <v>—</v>
      </c>
      <c r="I250" s="17">
        <f t="shared" ca="1" si="69"/>
        <v>7</v>
      </c>
      <c r="J250" s="18" t="str">
        <f t="shared" ca="1" si="70"/>
        <v>—</v>
      </c>
      <c r="K250" s="17">
        <f t="shared" ca="1" si="71"/>
        <v>7</v>
      </c>
      <c r="L250" s="10">
        <f t="shared" ca="1" si="72"/>
        <v>73</v>
      </c>
      <c r="M250" s="17">
        <f t="shared" ca="1" si="73"/>
        <v>0</v>
      </c>
      <c r="N250" s="18">
        <f t="shared" ca="1" si="74"/>
        <v>18.7</v>
      </c>
      <c r="O250" s="17">
        <f t="shared" ca="1" si="75"/>
        <v>0</v>
      </c>
      <c r="P250" s="18">
        <f t="shared" ca="1" si="76"/>
        <v>22.6</v>
      </c>
      <c r="Q250" s="17">
        <f t="shared" ca="1" si="77"/>
        <v>0</v>
      </c>
      <c r="R250" s="10">
        <f t="shared" ca="1" si="78"/>
        <v>45</v>
      </c>
      <c r="S250" s="17">
        <f t="shared" ca="1" si="79"/>
        <v>0</v>
      </c>
      <c r="T250" s="70">
        <f t="shared" ca="1" si="80"/>
        <v>0.3</v>
      </c>
      <c r="U250" s="17">
        <f t="shared" ca="1" si="81"/>
        <v>0</v>
      </c>
      <c r="V250" s="71">
        <f t="shared" ca="1" si="82"/>
        <v>2</v>
      </c>
      <c r="W250" s="17">
        <f t="shared" ca="1" si="83"/>
        <v>0</v>
      </c>
    </row>
    <row r="251" spans="1:23" x14ac:dyDescent="0.25">
      <c r="A251" s="4">
        <f t="shared" si="63"/>
        <v>32</v>
      </c>
      <c r="B251" t="str">
        <f ca="1">TEXT(DATE(YEAR(Invoer!$A$6),1,1)+INT((ROWS(B$2:B251)-1)/4),"jjjjmmdd")</f>
        <v>19400303</v>
      </c>
      <c r="C251" s="64" t="str">
        <f>IF(MOD(ROWS(C$2:C251)-1,4)=3,"24.00",INDEX(Data,3,2+MOD(ROWS(C$2:C251)-1,4)))</f>
        <v>12.00</v>
      </c>
      <c r="D251" s="18">
        <f t="shared" ca="1" si="64"/>
        <v>759.5</v>
      </c>
      <c r="E251" s="17">
        <f t="shared" ca="1" si="65"/>
        <v>0</v>
      </c>
      <c r="F251" s="18">
        <f t="shared" ca="1" si="66"/>
        <v>26.9</v>
      </c>
      <c r="G251" s="17">
        <f t="shared" ca="1" si="67"/>
        <v>0</v>
      </c>
      <c r="H251" s="18" t="str">
        <f t="shared" ca="1" si="68"/>
        <v>—</v>
      </c>
      <c r="I251" s="17">
        <f t="shared" ca="1" si="69"/>
        <v>7</v>
      </c>
      <c r="J251" s="18" t="str">
        <f t="shared" ca="1" si="70"/>
        <v>—</v>
      </c>
      <c r="K251" s="17">
        <f t="shared" ca="1" si="71"/>
        <v>7</v>
      </c>
      <c r="L251" s="10">
        <f t="shared" ca="1" si="72"/>
        <v>72</v>
      </c>
      <c r="M251" s="17">
        <f t="shared" ca="1" si="73"/>
        <v>0</v>
      </c>
      <c r="N251" s="18">
        <f t="shared" ca="1" si="74"/>
        <v>19.100000000000001</v>
      </c>
      <c r="O251" s="17">
        <f t="shared" ca="1" si="75"/>
        <v>0</v>
      </c>
      <c r="P251" s="18">
        <f t="shared" ca="1" si="76"/>
        <v>23</v>
      </c>
      <c r="Q251" s="17">
        <f t="shared" ca="1" si="77"/>
        <v>0</v>
      </c>
      <c r="R251" s="10">
        <f t="shared" ca="1" si="78"/>
        <v>45</v>
      </c>
      <c r="S251" s="17">
        <f t="shared" ca="1" si="79"/>
        <v>0</v>
      </c>
      <c r="T251" s="70">
        <f t="shared" ca="1" si="80"/>
        <v>0.4</v>
      </c>
      <c r="U251" s="17">
        <f t="shared" ca="1" si="81"/>
        <v>0</v>
      </c>
      <c r="V251" s="71">
        <f t="shared" ca="1" si="82"/>
        <v>3</v>
      </c>
      <c r="W251" s="17">
        <f t="shared" ca="1" si="83"/>
        <v>0</v>
      </c>
    </row>
    <row r="252" spans="1:23" x14ac:dyDescent="0.25">
      <c r="A252" s="4">
        <f t="shared" si="63"/>
        <v>32</v>
      </c>
      <c r="B252" t="str">
        <f ca="1">TEXT(DATE(YEAR(Invoer!$A$6),1,1)+INT((ROWS(B$2:B252)-1)/4),"jjjjmmdd")</f>
        <v>19400303</v>
      </c>
      <c r="C252" s="64" t="str">
        <f>IF(MOD(ROWS(C$2:C252)-1,4)=3,"24.00",INDEX(Data,3,2+MOD(ROWS(C$2:C252)-1,4)))</f>
        <v>17.00</v>
      </c>
      <c r="D252" s="18">
        <f t="shared" ca="1" si="64"/>
        <v>758.9</v>
      </c>
      <c r="E252" s="17">
        <f t="shared" ca="1" si="65"/>
        <v>0</v>
      </c>
      <c r="F252" s="18">
        <f t="shared" ca="1" si="66"/>
        <v>25.9</v>
      </c>
      <c r="G252" s="17">
        <f t="shared" ca="1" si="67"/>
        <v>0</v>
      </c>
      <c r="H252" s="18" t="str">
        <f t="shared" ca="1" si="68"/>
        <v>—</v>
      </c>
      <c r="I252" s="17">
        <f t="shared" ca="1" si="69"/>
        <v>7</v>
      </c>
      <c r="J252" s="18" t="str">
        <f t="shared" ca="1" si="70"/>
        <v>—</v>
      </c>
      <c r="K252" s="17">
        <f t="shared" ca="1" si="71"/>
        <v>7</v>
      </c>
      <c r="L252" s="10">
        <f t="shared" ca="1" si="72"/>
        <v>77</v>
      </c>
      <c r="M252" s="17">
        <f t="shared" ca="1" si="73"/>
        <v>0</v>
      </c>
      <c r="N252" s="18">
        <f t="shared" ca="1" si="74"/>
        <v>19.3</v>
      </c>
      <c r="O252" s="17">
        <f t="shared" ca="1" si="75"/>
        <v>0</v>
      </c>
      <c r="P252" s="18">
        <f t="shared" ca="1" si="76"/>
        <v>22.8</v>
      </c>
      <c r="Q252" s="17">
        <f t="shared" ca="1" si="77"/>
        <v>0</v>
      </c>
      <c r="R252" s="10">
        <f t="shared" ca="1" si="78"/>
        <v>45</v>
      </c>
      <c r="S252" s="17">
        <f t="shared" ca="1" si="79"/>
        <v>0</v>
      </c>
      <c r="T252" s="70">
        <f t="shared" ca="1" si="80"/>
        <v>0.4</v>
      </c>
      <c r="U252" s="17">
        <f t="shared" ca="1" si="81"/>
        <v>0</v>
      </c>
      <c r="V252" s="71">
        <f t="shared" ca="1" si="82"/>
        <v>3</v>
      </c>
      <c r="W252" s="17">
        <f t="shared" ca="1" si="83"/>
        <v>0</v>
      </c>
    </row>
    <row r="253" spans="1:23" x14ac:dyDescent="0.25">
      <c r="A253" s="4">
        <f t="shared" si="63"/>
        <v>32</v>
      </c>
      <c r="B253" t="str">
        <f ca="1">TEXT(DATE(YEAR(Invoer!$A$6),1,1)+INT((ROWS(B$2:B253)-1)/4),"jjjjmmdd")</f>
        <v>19400303</v>
      </c>
      <c r="C253" s="64" t="str">
        <f>IF(MOD(ROWS(C$2:C253)-1,4)=3,"24.00",INDEX(Data,3,2+MOD(ROWS(C$2:C253)-1,4)))</f>
        <v>24.00</v>
      </c>
      <c r="D253" s="18" t="str">
        <f t="shared" ca="1" si="64"/>
        <v>—</v>
      </c>
      <c r="E253" s="17">
        <f t="shared" ca="1" si="65"/>
        <v>7</v>
      </c>
      <c r="F253" s="18" t="str">
        <f t="shared" ca="1" si="66"/>
        <v>—</v>
      </c>
      <c r="G253" s="17">
        <f t="shared" ca="1" si="67"/>
        <v>7</v>
      </c>
      <c r="H253" s="18">
        <f t="shared" ca="1" si="68"/>
        <v>27.4</v>
      </c>
      <c r="I253" s="17">
        <f t="shared" ca="1" si="69"/>
        <v>0</v>
      </c>
      <c r="J253" s="18">
        <f t="shared" ca="1" si="70"/>
        <v>28.6</v>
      </c>
      <c r="K253" s="17">
        <f t="shared" ca="1" si="71"/>
        <v>0</v>
      </c>
      <c r="L253" s="10" t="str">
        <f t="shared" ca="1" si="72"/>
        <v>—</v>
      </c>
      <c r="M253" s="17">
        <f t="shared" ca="1" si="73"/>
        <v>7</v>
      </c>
      <c r="N253" s="18" t="str">
        <f t="shared" ca="1" si="74"/>
        <v>—</v>
      </c>
      <c r="O253" s="17">
        <f t="shared" ca="1" si="75"/>
        <v>7</v>
      </c>
      <c r="P253" s="18" t="str">
        <f t="shared" ca="1" si="76"/>
        <v>—</v>
      </c>
      <c r="Q253" s="17">
        <f t="shared" ca="1" si="77"/>
        <v>7</v>
      </c>
      <c r="R253" s="10" t="str">
        <f t="shared" ca="1" si="78"/>
        <v>—</v>
      </c>
      <c r="S253" s="17">
        <f t="shared" ca="1" si="79"/>
        <v>7</v>
      </c>
      <c r="T253" s="70" t="str">
        <f t="shared" ca="1" si="80"/>
        <v>—</v>
      </c>
      <c r="U253" s="17">
        <f t="shared" ca="1" si="81"/>
        <v>7</v>
      </c>
      <c r="V253" s="71" t="str">
        <f t="shared" ca="1" si="82"/>
        <v>—</v>
      </c>
      <c r="W253" s="17">
        <f t="shared" ca="1" si="83"/>
        <v>7</v>
      </c>
    </row>
    <row r="254" spans="1:23" x14ac:dyDescent="0.25">
      <c r="A254" s="4">
        <f t="shared" si="63"/>
        <v>32</v>
      </c>
      <c r="B254" t="str">
        <f ca="1">TEXT(DATE(YEAR(Invoer!$A$6),1,1)+INT((ROWS(B$2:B254)-1)/4),"jjjjmmdd")</f>
        <v>19400304</v>
      </c>
      <c r="C254" s="64" t="str">
        <f>IF(MOD(ROWS(C$2:C254)-1,4)=3,"24.00",INDEX(Data,3,2+MOD(ROWS(C$2:C254)-1,4)))</f>
        <v>07.00</v>
      </c>
      <c r="D254" s="18">
        <f t="shared" ca="1" si="64"/>
        <v>758.5</v>
      </c>
      <c r="E254" s="17">
        <f t="shared" ca="1" si="65"/>
        <v>0</v>
      </c>
      <c r="F254" s="18">
        <f t="shared" ca="1" si="66"/>
        <v>26.9</v>
      </c>
      <c r="G254" s="17">
        <f t="shared" ca="1" si="67"/>
        <v>0</v>
      </c>
      <c r="H254" s="18" t="str">
        <f t="shared" ca="1" si="68"/>
        <v>—</v>
      </c>
      <c r="I254" s="17">
        <f t="shared" ca="1" si="69"/>
        <v>7</v>
      </c>
      <c r="J254" s="18" t="str">
        <f t="shared" ca="1" si="70"/>
        <v>—</v>
      </c>
      <c r="K254" s="17">
        <f t="shared" ca="1" si="71"/>
        <v>7</v>
      </c>
      <c r="L254" s="10">
        <f t="shared" ca="1" si="72"/>
        <v>71</v>
      </c>
      <c r="M254" s="17">
        <f t="shared" ca="1" si="73"/>
        <v>0</v>
      </c>
      <c r="N254" s="18">
        <f t="shared" ca="1" si="74"/>
        <v>18.8</v>
      </c>
      <c r="O254" s="17">
        <f t="shared" ca="1" si="75"/>
        <v>0</v>
      </c>
      <c r="P254" s="18">
        <f t="shared" ca="1" si="76"/>
        <v>22.8</v>
      </c>
      <c r="Q254" s="17">
        <f t="shared" ca="1" si="77"/>
        <v>0</v>
      </c>
      <c r="R254" s="10">
        <f t="shared" ca="1" si="78"/>
        <v>45</v>
      </c>
      <c r="S254" s="17">
        <f t="shared" ca="1" si="79"/>
        <v>0</v>
      </c>
      <c r="T254" s="70">
        <f t="shared" ca="1" si="80"/>
        <v>0.3</v>
      </c>
      <c r="U254" s="17">
        <f t="shared" ca="1" si="81"/>
        <v>0</v>
      </c>
      <c r="V254" s="71">
        <f t="shared" ca="1" si="82"/>
        <v>2</v>
      </c>
      <c r="W254" s="17">
        <f t="shared" ca="1" si="83"/>
        <v>0</v>
      </c>
    </row>
    <row r="255" spans="1:23" x14ac:dyDescent="0.25">
      <c r="A255" s="4">
        <f t="shared" si="63"/>
        <v>32</v>
      </c>
      <c r="B255" t="str">
        <f ca="1">TEXT(DATE(YEAR(Invoer!$A$6),1,1)+INT((ROWS(B$2:B255)-1)/4),"jjjjmmdd")</f>
        <v>19400304</v>
      </c>
      <c r="C255" s="64" t="str">
        <f>IF(MOD(ROWS(C$2:C255)-1,4)=3,"24.00",INDEX(Data,3,2+MOD(ROWS(C$2:C255)-1,4)))</f>
        <v>12.00</v>
      </c>
      <c r="D255" s="18">
        <f t="shared" ca="1" si="64"/>
        <v>759.5</v>
      </c>
      <c r="E255" s="17">
        <f t="shared" ca="1" si="65"/>
        <v>0</v>
      </c>
      <c r="F255" s="18">
        <f t="shared" ca="1" si="66"/>
        <v>27.4</v>
      </c>
      <c r="G255" s="17">
        <f t="shared" ca="1" si="67"/>
        <v>0</v>
      </c>
      <c r="H255" s="18" t="str">
        <f t="shared" ca="1" si="68"/>
        <v>—</v>
      </c>
      <c r="I255" s="17">
        <f t="shared" ca="1" si="69"/>
        <v>7</v>
      </c>
      <c r="J255" s="18" t="str">
        <f t="shared" ca="1" si="70"/>
        <v>—</v>
      </c>
      <c r="K255" s="17">
        <f t="shared" ca="1" si="71"/>
        <v>7</v>
      </c>
      <c r="L255" s="10">
        <f t="shared" ca="1" si="72"/>
        <v>69</v>
      </c>
      <c r="M255" s="17">
        <f t="shared" ca="1" si="73"/>
        <v>0</v>
      </c>
      <c r="N255" s="18">
        <f t="shared" ca="1" si="74"/>
        <v>18.899999999999999</v>
      </c>
      <c r="O255" s="17">
        <f t="shared" ca="1" si="75"/>
        <v>0</v>
      </c>
      <c r="P255" s="18">
        <f t="shared" ca="1" si="76"/>
        <v>23</v>
      </c>
      <c r="Q255" s="17">
        <f t="shared" ca="1" si="77"/>
        <v>0</v>
      </c>
      <c r="R255" s="10">
        <f t="shared" ca="1" si="78"/>
        <v>45</v>
      </c>
      <c r="S255" s="17">
        <f t="shared" ca="1" si="79"/>
        <v>0</v>
      </c>
      <c r="T255" s="70">
        <f t="shared" ca="1" si="80"/>
        <v>0.5</v>
      </c>
      <c r="U255" s="17">
        <f t="shared" ca="1" si="81"/>
        <v>0</v>
      </c>
      <c r="V255" s="71">
        <f t="shared" ca="1" si="82"/>
        <v>1</v>
      </c>
      <c r="W255" s="17">
        <f t="shared" ca="1" si="83"/>
        <v>0</v>
      </c>
    </row>
    <row r="256" spans="1:23" x14ac:dyDescent="0.25">
      <c r="A256" s="4">
        <f t="shared" si="63"/>
        <v>32</v>
      </c>
      <c r="B256" t="str">
        <f ca="1">TEXT(DATE(YEAR(Invoer!$A$6),1,1)+INT((ROWS(B$2:B256)-1)/4),"jjjjmmdd")</f>
        <v>19400304</v>
      </c>
      <c r="C256" s="64" t="str">
        <f>IF(MOD(ROWS(C$2:C256)-1,4)=3,"24.00",INDEX(Data,3,2+MOD(ROWS(C$2:C256)-1,4)))</f>
        <v>17.00</v>
      </c>
      <c r="D256" s="18">
        <f t="shared" ca="1" si="64"/>
        <v>759.5</v>
      </c>
      <c r="E256" s="17">
        <f t="shared" ca="1" si="65"/>
        <v>0</v>
      </c>
      <c r="F256" s="18">
        <f t="shared" ca="1" si="66"/>
        <v>26.9</v>
      </c>
      <c r="G256" s="17">
        <f t="shared" ca="1" si="67"/>
        <v>0</v>
      </c>
      <c r="H256" s="18" t="str">
        <f t="shared" ca="1" si="68"/>
        <v>—</v>
      </c>
      <c r="I256" s="17">
        <f t="shared" ca="1" si="69"/>
        <v>7</v>
      </c>
      <c r="J256" s="18" t="str">
        <f t="shared" ca="1" si="70"/>
        <v>—</v>
      </c>
      <c r="K256" s="17">
        <f t="shared" ca="1" si="71"/>
        <v>7</v>
      </c>
      <c r="L256" s="10">
        <f t="shared" ca="1" si="72"/>
        <v>71</v>
      </c>
      <c r="M256" s="17">
        <f t="shared" ca="1" si="73"/>
        <v>0</v>
      </c>
      <c r="N256" s="18">
        <f t="shared" ca="1" si="74"/>
        <v>18.8</v>
      </c>
      <c r="O256" s="17">
        <f t="shared" ca="1" si="75"/>
        <v>0</v>
      </c>
      <c r="P256" s="18">
        <f t="shared" ca="1" si="76"/>
        <v>22.8</v>
      </c>
      <c r="Q256" s="17">
        <f t="shared" ca="1" si="77"/>
        <v>0</v>
      </c>
      <c r="R256" s="10">
        <f t="shared" ca="1" si="78"/>
        <v>45</v>
      </c>
      <c r="S256" s="17">
        <f t="shared" ca="1" si="79"/>
        <v>0</v>
      </c>
      <c r="T256" s="70">
        <f t="shared" ca="1" si="80"/>
        <v>0.4</v>
      </c>
      <c r="U256" s="17">
        <f t="shared" ca="1" si="81"/>
        <v>0</v>
      </c>
      <c r="V256" s="71">
        <f t="shared" ca="1" si="82"/>
        <v>1</v>
      </c>
      <c r="W256" s="17">
        <f t="shared" ca="1" si="83"/>
        <v>0</v>
      </c>
    </row>
    <row r="257" spans="1:23" x14ac:dyDescent="0.25">
      <c r="A257" s="4">
        <f t="shared" si="63"/>
        <v>32</v>
      </c>
      <c r="B257" t="str">
        <f ca="1">TEXT(DATE(YEAR(Invoer!$A$6),1,1)+INT((ROWS(B$2:B257)-1)/4),"jjjjmmdd")</f>
        <v>19400304</v>
      </c>
      <c r="C257" s="64" t="str">
        <f>IF(MOD(ROWS(C$2:C257)-1,4)=3,"24.00",INDEX(Data,3,2+MOD(ROWS(C$2:C257)-1,4)))</f>
        <v>24.00</v>
      </c>
      <c r="D257" s="18" t="str">
        <f t="shared" ca="1" si="64"/>
        <v>—</v>
      </c>
      <c r="E257" s="17">
        <f t="shared" ca="1" si="65"/>
        <v>7</v>
      </c>
      <c r="F257" s="18" t="str">
        <f t="shared" ca="1" si="66"/>
        <v>—</v>
      </c>
      <c r="G257" s="17">
        <f t="shared" ca="1" si="67"/>
        <v>7</v>
      </c>
      <c r="H257" s="18">
        <f t="shared" ca="1" si="68"/>
        <v>29.1</v>
      </c>
      <c r="I257" s="17">
        <f t="shared" ca="1" si="69"/>
        <v>0</v>
      </c>
      <c r="J257" s="18">
        <f t="shared" ca="1" si="70"/>
        <v>30.4</v>
      </c>
      <c r="K257" s="17">
        <f t="shared" ca="1" si="71"/>
        <v>0</v>
      </c>
      <c r="L257" s="10" t="str">
        <f t="shared" ca="1" si="72"/>
        <v>—</v>
      </c>
      <c r="M257" s="17">
        <f t="shared" ca="1" si="73"/>
        <v>7</v>
      </c>
      <c r="N257" s="18" t="str">
        <f t="shared" ca="1" si="74"/>
        <v>—</v>
      </c>
      <c r="O257" s="17">
        <f t="shared" ca="1" si="75"/>
        <v>7</v>
      </c>
      <c r="P257" s="18" t="str">
        <f t="shared" ca="1" si="76"/>
        <v>—</v>
      </c>
      <c r="Q257" s="17">
        <f t="shared" ca="1" si="77"/>
        <v>7</v>
      </c>
      <c r="R257" s="10" t="str">
        <f t="shared" ca="1" si="78"/>
        <v>—</v>
      </c>
      <c r="S257" s="17">
        <f t="shared" ca="1" si="79"/>
        <v>7</v>
      </c>
      <c r="T257" s="70" t="str">
        <f t="shared" ca="1" si="80"/>
        <v>—</v>
      </c>
      <c r="U257" s="17">
        <f t="shared" ca="1" si="81"/>
        <v>7</v>
      </c>
      <c r="V257" s="71" t="str">
        <f t="shared" ca="1" si="82"/>
        <v>—</v>
      </c>
      <c r="W257" s="17">
        <f t="shared" ca="1" si="83"/>
        <v>7</v>
      </c>
    </row>
    <row r="258" spans="1:23" x14ac:dyDescent="0.25">
      <c r="A258" s="4">
        <f t="shared" ref="A258:A321" si="84">INDEX(Stations,2,1)</f>
        <v>32</v>
      </c>
      <c r="B258" t="str">
        <f ca="1">TEXT(DATE(YEAR(Invoer!$A$6),1,1)+INT((ROWS(B$2:B258)-1)/4),"jjjjmmdd")</f>
        <v>19400305</v>
      </c>
      <c r="C258" s="64" t="str">
        <f>IF(MOD(ROWS(C$2:C258)-1,4)=3,"24.00",INDEX(Data,3,2+MOD(ROWS(C$2:C258)-1,4)))</f>
        <v>07.00</v>
      </c>
      <c r="D258" s="18">
        <f t="shared" ref="D258:D321" ca="1" si="85">IF(OR(ISBLANK(VLOOKUP(DATEVALUE(LEFT($B258,4)&amp;"-"&amp;MID($B258,5,2)&amp;"-"&amp;RIGHT($B258,2)),Data,MATCH(LEFT(VLOOKUP(D$1,Parameters,2,FALSE()),4)&amp;"*",OFFSET(Data,0,0,1),0)+MATCH($C258,OFFSET(Data,2,0,1),0)-2,FALSE())),ISTEXT(VLOOKUP(DATEVALUE(LEFT($B258,4)&amp;"-"&amp;MID($B258,5,2)&amp;"-"&amp;RIGHT($B258,2)),Data,MATCH(LEFT(VLOOKUP(D$1,Parameters,2,FALSE()),4)&amp;"*",OFFSET(Data,0,0,1),0)+MATCH($C258,OFFSET(Data,2,0,1),0)-2,FALSE())),EXACT($C258,"24.00")),"—",VLOOKUP(DATEVALUE(LEFT($B258,4)&amp;"-"&amp;MID($B258,5,2)&amp;"-"&amp;RIGHT($B258,2)),Data,MATCH(LEFT(VLOOKUP(D$1,Parameters,2,FALSE()),4)&amp;"*",OFFSET(Data,0,0,1),0)+MATCH($C258,OFFSET(Data,2,0,1),0)-2,FALSE())/10)</f>
        <v>758.5</v>
      </c>
      <c r="E258" s="17">
        <f t="shared" ref="E258:E321" ca="1" si="86">IF(OR(ISBLANK(VLOOKUP(DATEVALUE(LEFT($B258,4)&amp;"-"&amp;MID($B258,5,2)&amp;"-"&amp;RIGHT($B258,2)),Data,MATCH(LEFT(VLOOKUP(MID(E$1,2,LEN(E$1)-1),Parameters,2,FALSE()),4)&amp;"*",OFFSET(Data,0,0,1),0)+MATCH($C258,OFFSET(Data,2,0,1),0)-2,FALSE())),ISTEXT(VLOOKUP(DATEVALUE(LEFT($B258,4)&amp;"-"&amp;MID($B258,5,2)&amp;"-"&amp;RIGHT($B258,2)),Data,MATCH(LEFT(VLOOKUP(MID(E$1,2,LEN(E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Data,2,0,1),0)-2,FALSE())))</f>
        <v>0</v>
      </c>
      <c r="F258" s="18">
        <f t="shared" ref="F258:F321" ca="1" si="87">IF(OR(ISBLANK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ISTEXT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EXACT($C258,"24.00")),"—",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/10)</f>
        <v>26.3</v>
      </c>
      <c r="G258" s="17">
        <f t="shared" ref="G258:G321" ca="1" si="88">IF(OR(ISBLANK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ISTEXT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G$1,2,LEN(G$1)-1),Parameters,2,FALSE()),FIND(LOWER(MID(G$1,2,1)),VLOOKUP(MID(G$1,2,LEN(G$1)-1),Parameters,2,FALSE()),5),4)&amp;"*",OFFSET(Catalogus,0,0,1),0)+2*MATCH($C258,OFFSET(Catalogus,2,0,1),0)+MATCH(LEFT(VLOOKUP(MID(G$1,2,LEN(G$1)-1),Parameters,2,FALSE()),3)&amp;"*",OFFSET(Catalogus,2,4,1),0)-5,FALSE())))</f>
        <v>0</v>
      </c>
      <c r="H258" s="18" t="str">
        <f t="shared" ref="H258:H321" ca="1" si="89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/10)</f>
        <v>—</v>
      </c>
      <c r="I258" s="17">
        <f t="shared" ref="I258:I321" ca="1" si="90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  <c r="J258" s="18" t="str">
        <f t="shared" ref="J258:J321" ca="1" si="91">IF(OR(ISBLANK(VLOOKUP(DATEVALUE(LEFT($B258,4)&amp;"-"&amp;MID($B258,5,2)&amp;"-"&amp;RIGHT($B258,2)),Data,MATCH(LEFT(VLOOKUP(J$1,Parameters,2,FALSE()),4)&amp;"*",OFFSET(Data,1,0,1),0),FALSE())),ISTEXT(VLOOKUP(DATEVALUE(LEFT($B258,4)&amp;"-"&amp;MID($B258,5,2)&amp;"-"&amp;RIGHT($B258,2)),Data,MATCH(LEFT(VLOOKUP(J$1,Parameters,2,FALSE()),4)&amp;"*",OFFSET(Data,1,0,1),0),FALSE())),NOT(EXACT($C258,"24.00"))),"—",VLOOKUP(DATEVALUE(LEFT($B258,4)&amp;"-"&amp;MID($B258,5,2)&amp;"-"&amp;RIGHT($B258,2)),Data,MATCH(LEFT(VLOOKUP(J$1,Parameters,2,FALSE()),4)&amp;"*",OFFSET(Data,1,0,1),0),FALSE())/10)</f>
        <v>—</v>
      </c>
      <c r="K258" s="17">
        <f t="shared" ref="K258:K321" ca="1" si="92">IF(OR(ISBLANK(VLOOKUP(DATEVALUE(LEFT($B258,4)&amp;"-"&amp;MID($B258,5,2)&amp;"-"&amp;RIGHT($B258,2)),Data,MATCH(LEFT(VLOOKUP(MID(K$1,2,LEN(K$1)-1),Parameters,2,FALSE()),4)&amp;"*",OFFSET(Data,1,0,1),0),FALSE())),ISTEXT(VLOOKUP(DATEVALUE(LEFT($B258,4)&amp;"-"&amp;MID($B258,5,2)&amp;"-"&amp;RIGHT($B258,2)),Data,MATCH(LEFT(VLOOKUP(MID(K$1,2,LEN(K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4)&amp;"*",OFFSET(Catalogus,1,0,1),0),FALSE())))</f>
        <v>7</v>
      </c>
      <c r="L258" s="10">
        <f t="shared" ref="L258:L321" ca="1" si="93">IF(OR(ISBLANK(VLOOKUP(DATEVALUE(LEFT($B258,4)&amp;"-"&amp;MID($B258,5,2)&amp;"-"&amp;RIGHT($B258,2)),Data,MATCH(LEFT(VLOOKUP(L$1,Parameters,2,FALSE()),4)&amp;"*",OFFSET(Data,0,0,1),0)+MATCH($C258,OFFSET(Data,2,0,1),0)-2,FALSE())),ISTEXT(VLOOKUP(DATEVALUE(LEFT($B258,4)&amp;"-"&amp;MID($B258,5,2)&amp;"-"&amp;RIGHT($B258,2)),Data,MATCH(LEFT(VLOOKUP(L$1,Parameters,2,FALSE()),4)&amp;"*",OFFSET(Data,0,0,1),0)+MATCH($C258,OFFSET(Data,2,0,1),0)-2,FALSE())),EXACT($C258,"24.00")),"—",VLOOKUP(DATEVALUE(LEFT($B258,4)&amp;"-"&amp;MID($B258,5,2)&amp;"-"&amp;RIGHT($B258,2)),Data,MATCH(LEFT(VLOOKUP(L$1,Parameters,2,FALSE()),4)&amp;"*",OFFSET(Data,0,0,1),0)+MATCH($C258,OFFSET(Data,2,0,1),0)-2,FALSE()))</f>
        <v>74</v>
      </c>
      <c r="M258" s="17">
        <f t="shared" ref="M258:M321" ca="1" si="94">IF(OR(ISBLANK(VLOOKUP(DATEVALUE(LEFT($B258,4)&amp;"-"&amp;MID($B258,5,2)&amp;"-"&amp;RIGHT($B258,2)),Data,MATCH(LEFT(VLOOKUP(MID(M$1,2,LEN(M$1)-1),Parameters,2,FALSE()),4)&amp;"*",OFFSET(Data,0,0,1),0)+MATCH($C258,OFFSET(Data,2,0,1),0)-2,FALSE())),ISTEXT(VLOOKUP(DATEVALUE(LEFT($B258,4)&amp;"-"&amp;MID($B258,5,2)&amp;"-"&amp;RIGHT($B258,2)),Data,MATCH(LEFT(VLOOKUP(MID(M$1,2,LEN(M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4)&amp;"*",OFFSET(Catalogus,0,0,1),0)+MATCH($C258,OFFSET(Data,2,0,1),0)-2,FALSE())))</f>
        <v>0</v>
      </c>
      <c r="N258" s="18">
        <f t="shared" ref="N258:N321" ca="1" si="95">IF(OR(ISBLANK(VLOOKUP(DATEVALUE(LEFT($B258,4)&amp;"-"&amp;MID($B258,5,2)&amp;"-"&amp;RIGHT($B258,2)),Data,MATCH(LEFT(VLOOKUP(N$1,Parameters,2,FALSE()),4)&amp;"*",OFFSET(Data,0,0,1),0)+MATCH($C258,OFFSET(Data,2,0,1),0)-2,FALSE())),ISTEXT(VLOOKUP(DATEVALUE(LEFT($B258,4)&amp;"-"&amp;MID($B258,5,2)&amp;"-"&amp;RIGHT($B258,2)),Data,MATCH(LEFT(VLOOKUP(N$1,Parameters,2,FALSE()),4)&amp;"*",OFFSET(Data,0,0,1),0)+MATCH($C258,OFFSET(Data,2,0,1),0)-2,FALSE())),EXACT($C258,"24.00")),"—",VLOOKUP(DATEVALUE(LEFT($B258,4)&amp;"-"&amp;MID($B258,5,2)&amp;"-"&amp;RIGHT($B258,2)),Data,MATCH(LEFT(VLOOKUP(N$1,Parameters,2,FALSE()),4)&amp;"*",OFFSET(Data,0,0,1),0)+MATCH($C258,OFFSET(Data,2,0,1),0)-2,FALSE())/10)</f>
        <v>19.100000000000001</v>
      </c>
      <c r="O258" s="17">
        <f t="shared" ref="O258:O321" ca="1" si="96">IF(OR(ISBLANK(VLOOKUP(DATEVALUE(LEFT($B258,4)&amp;"-"&amp;MID($B258,5,2)&amp;"-"&amp;RIGHT($B258,2)),Data,MATCH(LEFT(VLOOKUP(MID(O$1,2,LEN(O$1)-1),Parameters,2,FALSE()),4)&amp;"*",OFFSET(Data,0,0,1),0)+MATCH($C258,OFFSET(Data,2,0,1),0)-2,FALSE())),ISTEXT(VLOOKUP(DATEVALUE(LEFT($B258,4)&amp;"-"&amp;MID($B258,5,2)&amp;"-"&amp;RIGHT($B258,2)),Data,MATCH(LEFT(VLOOKUP(MID(O$1,2,LEN(O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4)&amp;"*",OFFSET(Catalogus,0,0,1),0)+MATCH($C258,OFFSET(Data,2,0,1),0)-2,FALSE())))</f>
        <v>0</v>
      </c>
      <c r="P258" s="18">
        <f t="shared" ref="P258:P321" ca="1" si="97">IF(OR(ISBLANK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ISTEXT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EXACT($C258,"24.00")),"—",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/10)</f>
        <v>22.8</v>
      </c>
      <c r="Q258" s="17">
        <f t="shared" ref="Q258:Q321" ca="1" si="98">IF(OR(ISBLANK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ISTEXT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Q$1,2,LEN(Q$1)-1),Parameters,2,FALSE()),FIND(LOWER(MID(Q$1,2,1)),VLOOKUP(MID(Q$1,2,LEN(Q$1)-1),Parameters,2,FALSE()),5),4)&amp;"*",OFFSET(Catalogus,0,0,1),0)+2*MATCH($C258,OFFSET(Catalogus,2,0,1),0)+MATCH(LEFT(VLOOKUP(MID(Q$1,2,LEN(Q$1)-1),Parameters,2,FALSE()),3)&amp;"*",OFFSET(Catalogus,2,4,1),0)-5,FALSE())))</f>
        <v>0</v>
      </c>
      <c r="R258" s="10">
        <f t="shared" ref="R258:R321" ca="1" si="99">IF(OR(ISBLANK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),ISNA(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1,1,,1),0)),EXACT($C258,"24.00")),"—",INDEX(Windrichting,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0,1,,1),0),1))</f>
        <v>65</v>
      </c>
      <c r="S258" s="17">
        <f t="shared" ref="S258:S321" ca="1" si="100">IF(OR(ISBLANK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),ISNA(MATCH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,OFFSET(Windrichting,1,1,,1),0)),EXACT($C258,"24.00"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4)&amp;"*",OFFSET(Catalogus,0,0,1),0)+2*MATCH($C258,OFFSET(Catalogus,2,0,1),0)+MATCH(MID(VLOOKUP(MID(S$1,2,LEN(S$1)-1),Parameters,2,FALSE()),5,LEN(VLOOKUP(MID(S$1,2,LEN(S$1)-1),Parameters,2,FALSE()))-4)&amp;"*",OFFSET(Catalogus,2,19,1),0)-5,FALSE())))</f>
        <v>0</v>
      </c>
      <c r="T258" s="70">
        <f t="shared" ref="T258:T321" ca="1" si="101">IF(OR(ISBLANK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ISTEXT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EXACT($C258,"24.00")),"—",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/10)</f>
        <v>0.3</v>
      </c>
      <c r="U258" s="17">
        <f t="shared" ref="U258:U321" ca="1" si="102">IF(OR(ISBLANK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ISTEXT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4)&amp;"*",OFFSET(Catalogus,0,0,1),0)+2*MATCH($C258,OFFSET(Catalogus,2,0,1),0)+MATCH(MID(VLOOKUP(MID(U$1,2,LEN(U$1)-1),Parameters,2,FALSE()),5,LEN(VLOOKUP(MID(U$1,2,LEN(U$1)-1),Parameters,2,FALSE()))-4)&amp;"*",OFFSET(Catalogus,2,19,1),0)-5,FALSE())))</f>
        <v>0</v>
      </c>
      <c r="V258" s="71">
        <f t="shared" ref="V258:V321" ca="1" si="103">IF(OR(ISBLANK(VLOOKUP(DATEVALUE(LEFT($B258,4)&amp;"-"&amp;MID($B258,5,2)&amp;"-"&amp;RIGHT($B258,2)),Data,MATCH(LEFT(VLOOKUP(V$1,Parameters,2,FALSE()),4)&amp;"*",OFFSET(Data,0,0,1),0)+MATCH($C258,OFFSET(Data,2,0,1),0)-2,FALSE())),ISTEXT(VLOOKUP(DATEVALUE(LEFT($B258,4)&amp;"-"&amp;MID($B258,5,2)&amp;"-"&amp;RIGHT($B258,2)),Data,MATCH(LEFT(VLOOKUP(V$1,Parameters,2,FALSE()),4)&amp;"*",OFFSET(Data,0,0,1),0)+MATCH($C258,OFFSET(Data,2,0,1),0)-2,FALSE())),EXACT($C258,"24.00")),"—",VLOOKUP(DATEVALUE(LEFT($B258,4)&amp;"-"&amp;MID($B258,5,2)&amp;"-"&amp;RIGHT($B258,2)),Data,MATCH(LEFT(VLOOKUP(V$1,Parameters,2,FALSE()),4)&amp;"*",OFFSET(Data,0,0,1),0)+MATCH($C258,OFFSET(Data,2,0,1),0)-2,FALSE()))</f>
        <v>4</v>
      </c>
      <c r="W258" s="17">
        <f t="shared" ref="W258:W321" ca="1" si="104">IF(OR(ISBLANK(VLOOKUP(DATEVALUE(LEFT($B258,4)&amp;"-"&amp;MID($B258,5,2)&amp;"-"&amp;RIGHT($B258,2)),Data,MATCH(LEFT(VLOOKUP(MID(W$1,2,LEN(W$1)-1),Parameters,2,FALSE()),4)&amp;"*",OFFSET(Data,0,0,1),0)+MATCH($C258,OFFSET(Data,2,0,1),0)-2,FALSE())),ISTEXT(VLOOKUP(DATEVALUE(LEFT($B258,4)&amp;"-"&amp;MID($B258,5,2)&amp;"-"&amp;RIGHT($B258,2)),Data,MATCH(LEFT(VLOOKUP(MID(W$1,2,LEN(W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4)&amp;"*",OFFSET(Catalogus,0,0,1),0)+MATCH($C258,OFFSET(Data,2,0,1),0)-2,FALSE())))</f>
        <v>0</v>
      </c>
    </row>
    <row r="259" spans="1:23" x14ac:dyDescent="0.25">
      <c r="A259" s="4">
        <f t="shared" si="84"/>
        <v>32</v>
      </c>
      <c r="B259" t="str">
        <f ca="1">TEXT(DATE(YEAR(Invoer!$A$6),1,1)+INT((ROWS(B$2:B259)-1)/4),"jjjjmmdd")</f>
        <v>19400305</v>
      </c>
      <c r="C259" s="64" t="str">
        <f>IF(MOD(ROWS(C$2:C259)-1,4)=3,"24.00",INDEX(Data,3,2+MOD(ROWS(C$2:C259)-1,4)))</f>
        <v>12.00</v>
      </c>
      <c r="D259" s="18">
        <f t="shared" ca="1" si="85"/>
        <v>758.9</v>
      </c>
      <c r="E259" s="17">
        <f t="shared" ca="1" si="86"/>
        <v>0</v>
      </c>
      <c r="F259" s="18">
        <f t="shared" ca="1" si="87"/>
        <v>26.9</v>
      </c>
      <c r="G259" s="17">
        <f t="shared" ca="1" si="88"/>
        <v>0</v>
      </c>
      <c r="H259" s="18" t="str">
        <f t="shared" ca="1" si="89"/>
        <v>—</v>
      </c>
      <c r="I259" s="17">
        <f t="shared" ca="1" si="90"/>
        <v>7</v>
      </c>
      <c r="J259" s="18" t="str">
        <f t="shared" ca="1" si="91"/>
        <v>—</v>
      </c>
      <c r="K259" s="17">
        <f t="shared" ca="1" si="92"/>
        <v>7</v>
      </c>
      <c r="L259" s="10">
        <f t="shared" ca="1" si="93"/>
        <v>72</v>
      </c>
      <c r="M259" s="17">
        <f t="shared" ca="1" si="94"/>
        <v>0</v>
      </c>
      <c r="N259" s="18">
        <f t="shared" ca="1" si="95"/>
        <v>19.100000000000001</v>
      </c>
      <c r="O259" s="17">
        <f t="shared" ca="1" si="96"/>
        <v>0</v>
      </c>
      <c r="P259" s="18">
        <f t="shared" ca="1" si="97"/>
        <v>23</v>
      </c>
      <c r="Q259" s="17">
        <f t="shared" ca="1" si="98"/>
        <v>0</v>
      </c>
      <c r="R259" s="10">
        <f t="shared" ca="1" si="99"/>
        <v>65</v>
      </c>
      <c r="S259" s="17">
        <f t="shared" ca="1" si="100"/>
        <v>0</v>
      </c>
      <c r="T259" s="70">
        <f t="shared" ca="1" si="101"/>
        <v>0.4</v>
      </c>
      <c r="U259" s="17">
        <f t="shared" ca="1" si="102"/>
        <v>0</v>
      </c>
      <c r="V259" s="71">
        <f t="shared" ca="1" si="103"/>
        <v>4</v>
      </c>
      <c r="W259" s="17">
        <f t="shared" ca="1" si="104"/>
        <v>0</v>
      </c>
    </row>
    <row r="260" spans="1:23" x14ac:dyDescent="0.25">
      <c r="A260" s="4">
        <f t="shared" si="84"/>
        <v>32</v>
      </c>
      <c r="B260" t="str">
        <f ca="1">TEXT(DATE(YEAR(Invoer!$A$6),1,1)+INT((ROWS(B$2:B260)-1)/4),"jjjjmmdd")</f>
        <v>19400305</v>
      </c>
      <c r="C260" s="64" t="str">
        <f>IF(MOD(ROWS(C$2:C260)-1,4)=3,"24.00",INDEX(Data,3,2+MOD(ROWS(C$2:C260)-1,4)))</f>
        <v>17.00</v>
      </c>
      <c r="D260" s="18">
        <f t="shared" ca="1" si="85"/>
        <v>758.2</v>
      </c>
      <c r="E260" s="17">
        <f t="shared" ca="1" si="86"/>
        <v>0</v>
      </c>
      <c r="F260" s="18">
        <f t="shared" ca="1" si="87"/>
        <v>26.9</v>
      </c>
      <c r="G260" s="17">
        <f t="shared" ca="1" si="88"/>
        <v>0</v>
      </c>
      <c r="H260" s="18" t="str">
        <f t="shared" ca="1" si="89"/>
        <v>—</v>
      </c>
      <c r="I260" s="17">
        <f t="shared" ca="1" si="90"/>
        <v>7</v>
      </c>
      <c r="J260" s="18" t="str">
        <f t="shared" ca="1" si="91"/>
        <v>—</v>
      </c>
      <c r="K260" s="17">
        <f t="shared" ca="1" si="92"/>
        <v>7</v>
      </c>
      <c r="L260" s="10">
        <f t="shared" ca="1" si="93"/>
        <v>71</v>
      </c>
      <c r="M260" s="17">
        <f t="shared" ca="1" si="94"/>
        <v>0</v>
      </c>
      <c r="N260" s="18">
        <f t="shared" ca="1" si="95"/>
        <v>18.8</v>
      </c>
      <c r="O260" s="17">
        <f t="shared" ca="1" si="96"/>
        <v>0</v>
      </c>
      <c r="P260" s="18">
        <f t="shared" ca="1" si="97"/>
        <v>22.8</v>
      </c>
      <c r="Q260" s="17">
        <f t="shared" ca="1" si="98"/>
        <v>0</v>
      </c>
      <c r="R260" s="10">
        <f t="shared" ca="1" si="99"/>
        <v>45</v>
      </c>
      <c r="S260" s="17">
        <f t="shared" ca="1" si="100"/>
        <v>0</v>
      </c>
      <c r="T260" s="70">
        <f t="shared" ca="1" si="101"/>
        <v>0.4</v>
      </c>
      <c r="U260" s="17">
        <f t="shared" ca="1" si="102"/>
        <v>0</v>
      </c>
      <c r="V260" s="71">
        <f t="shared" ca="1" si="103"/>
        <v>4</v>
      </c>
      <c r="W260" s="17">
        <f t="shared" ca="1" si="104"/>
        <v>0</v>
      </c>
    </row>
    <row r="261" spans="1:23" x14ac:dyDescent="0.25">
      <c r="A261" s="4">
        <f t="shared" si="84"/>
        <v>32</v>
      </c>
      <c r="B261" t="str">
        <f ca="1">TEXT(DATE(YEAR(Invoer!$A$6),1,1)+INT((ROWS(B$2:B261)-1)/4),"jjjjmmdd")</f>
        <v>19400305</v>
      </c>
      <c r="C261" s="64" t="str">
        <f>IF(MOD(ROWS(C$2:C261)-1,4)=3,"24.00",INDEX(Data,3,2+MOD(ROWS(C$2:C261)-1,4)))</f>
        <v>24.00</v>
      </c>
      <c r="D261" s="18" t="str">
        <f t="shared" ca="1" si="85"/>
        <v>—</v>
      </c>
      <c r="E261" s="17">
        <f t="shared" ca="1" si="86"/>
        <v>7</v>
      </c>
      <c r="F261" s="18" t="str">
        <f t="shared" ca="1" si="87"/>
        <v>—</v>
      </c>
      <c r="G261" s="17">
        <f t="shared" ca="1" si="88"/>
        <v>7</v>
      </c>
      <c r="H261" s="18">
        <f t="shared" ca="1" si="89"/>
        <v>27.4</v>
      </c>
      <c r="I261" s="17">
        <f t="shared" ca="1" si="90"/>
        <v>0</v>
      </c>
      <c r="J261" s="18">
        <f t="shared" ca="1" si="91"/>
        <v>28.4</v>
      </c>
      <c r="K261" s="17">
        <f t="shared" ca="1" si="92"/>
        <v>0</v>
      </c>
      <c r="L261" s="10" t="str">
        <f t="shared" ca="1" si="93"/>
        <v>—</v>
      </c>
      <c r="M261" s="17">
        <f t="shared" ca="1" si="94"/>
        <v>7</v>
      </c>
      <c r="N261" s="18" t="str">
        <f t="shared" ca="1" si="95"/>
        <v>—</v>
      </c>
      <c r="O261" s="17">
        <f t="shared" ca="1" si="96"/>
        <v>7</v>
      </c>
      <c r="P261" s="18" t="str">
        <f t="shared" ca="1" si="97"/>
        <v>—</v>
      </c>
      <c r="Q261" s="17">
        <f t="shared" ca="1" si="98"/>
        <v>7</v>
      </c>
      <c r="R261" s="10" t="str">
        <f t="shared" ca="1" si="99"/>
        <v>—</v>
      </c>
      <c r="S261" s="17">
        <f t="shared" ca="1" si="100"/>
        <v>7</v>
      </c>
      <c r="T261" s="70" t="str">
        <f t="shared" ca="1" si="101"/>
        <v>—</v>
      </c>
      <c r="U261" s="17">
        <f t="shared" ca="1" si="102"/>
        <v>7</v>
      </c>
      <c r="V261" s="71" t="str">
        <f t="shared" ca="1" si="103"/>
        <v>—</v>
      </c>
      <c r="W261" s="17">
        <f t="shared" ca="1" si="104"/>
        <v>7</v>
      </c>
    </row>
    <row r="262" spans="1:23" x14ac:dyDescent="0.25">
      <c r="A262" s="4">
        <f t="shared" si="84"/>
        <v>32</v>
      </c>
      <c r="B262" t="str">
        <f ca="1">TEXT(DATE(YEAR(Invoer!$A$6),1,1)+INT((ROWS(B$2:B262)-1)/4),"jjjjmmdd")</f>
        <v>19400306</v>
      </c>
      <c r="C262" s="64" t="str">
        <f>IF(MOD(ROWS(C$2:C262)-1,4)=3,"24.00",INDEX(Data,3,2+MOD(ROWS(C$2:C262)-1,4)))</f>
        <v>07.00</v>
      </c>
      <c r="D262" s="18">
        <f t="shared" ca="1" si="85"/>
        <v>758.5</v>
      </c>
      <c r="E262" s="17">
        <f t="shared" ca="1" si="86"/>
        <v>0</v>
      </c>
      <c r="F262" s="18">
        <f t="shared" ca="1" si="87"/>
        <v>28.2</v>
      </c>
      <c r="G262" s="17">
        <f t="shared" ca="1" si="88"/>
        <v>0</v>
      </c>
      <c r="H262" s="18" t="str">
        <f t="shared" ca="1" si="89"/>
        <v>—</v>
      </c>
      <c r="I262" s="17">
        <f t="shared" ca="1" si="90"/>
        <v>7</v>
      </c>
      <c r="J262" s="18" t="str">
        <f t="shared" ca="1" si="91"/>
        <v>—</v>
      </c>
      <c r="K262" s="17">
        <f t="shared" ca="1" si="92"/>
        <v>7</v>
      </c>
      <c r="L262" s="10">
        <f t="shared" ca="1" si="93"/>
        <v>63</v>
      </c>
      <c r="M262" s="17">
        <f t="shared" ca="1" si="94"/>
        <v>0</v>
      </c>
      <c r="N262" s="18">
        <f t="shared" ca="1" si="95"/>
        <v>18.100000000000001</v>
      </c>
      <c r="O262" s="17">
        <f t="shared" ca="1" si="96"/>
        <v>0</v>
      </c>
      <c r="P262" s="18">
        <f t="shared" ca="1" si="97"/>
        <v>22.8</v>
      </c>
      <c r="Q262" s="17">
        <f t="shared" ca="1" si="98"/>
        <v>0</v>
      </c>
      <c r="R262" s="10">
        <f t="shared" ca="1" si="99"/>
        <v>65</v>
      </c>
      <c r="S262" s="17">
        <f t="shared" ca="1" si="100"/>
        <v>0</v>
      </c>
      <c r="T262" s="70">
        <f t="shared" ca="1" si="101"/>
        <v>0.3</v>
      </c>
      <c r="U262" s="17">
        <f t="shared" ca="1" si="102"/>
        <v>0</v>
      </c>
      <c r="V262" s="71">
        <f t="shared" ca="1" si="103"/>
        <v>3</v>
      </c>
      <c r="W262" s="17">
        <f t="shared" ca="1" si="104"/>
        <v>0</v>
      </c>
    </row>
    <row r="263" spans="1:23" x14ac:dyDescent="0.25">
      <c r="A263" s="4">
        <f t="shared" si="84"/>
        <v>32</v>
      </c>
      <c r="B263" t="str">
        <f ca="1">TEXT(DATE(YEAR(Invoer!$A$6),1,1)+INT((ROWS(B$2:B263)-1)/4),"jjjjmmdd")</f>
        <v>19400306</v>
      </c>
      <c r="C263" s="64" t="str">
        <f>IF(MOD(ROWS(C$2:C263)-1,4)=3,"24.00",INDEX(Data,3,2+MOD(ROWS(C$2:C263)-1,4)))</f>
        <v>12.00</v>
      </c>
      <c r="D263" s="18">
        <f t="shared" ca="1" si="85"/>
        <v>756.9</v>
      </c>
      <c r="E263" s="17">
        <f t="shared" ca="1" si="86"/>
        <v>0</v>
      </c>
      <c r="F263" s="18">
        <f t="shared" ca="1" si="87"/>
        <v>29.3</v>
      </c>
      <c r="G263" s="17">
        <f t="shared" ca="1" si="88"/>
        <v>0</v>
      </c>
      <c r="H263" s="18" t="str">
        <f t="shared" ca="1" si="89"/>
        <v>—</v>
      </c>
      <c r="I263" s="17">
        <f t="shared" ca="1" si="90"/>
        <v>7</v>
      </c>
      <c r="J263" s="18" t="str">
        <f t="shared" ca="1" si="91"/>
        <v>—</v>
      </c>
      <c r="K263" s="17">
        <f t="shared" ca="1" si="92"/>
        <v>7</v>
      </c>
      <c r="L263" s="10">
        <f t="shared" ca="1" si="93"/>
        <v>63</v>
      </c>
      <c r="M263" s="17">
        <f t="shared" ca="1" si="94"/>
        <v>0</v>
      </c>
      <c r="N263" s="18">
        <f t="shared" ca="1" si="95"/>
        <v>19.399999999999999</v>
      </c>
      <c r="O263" s="17">
        <f t="shared" ca="1" si="96"/>
        <v>0</v>
      </c>
      <c r="P263" s="18">
        <f t="shared" ca="1" si="97"/>
        <v>23.8</v>
      </c>
      <c r="Q263" s="17">
        <f t="shared" ca="1" si="98"/>
        <v>0</v>
      </c>
      <c r="R263" s="10">
        <f t="shared" ca="1" si="99"/>
        <v>45</v>
      </c>
      <c r="S263" s="17">
        <f t="shared" ca="1" si="100"/>
        <v>0</v>
      </c>
      <c r="T263" s="70">
        <f t="shared" ca="1" si="101"/>
        <v>0.2</v>
      </c>
      <c r="U263" s="17">
        <f t="shared" ca="1" si="102"/>
        <v>0</v>
      </c>
      <c r="V263" s="71">
        <f t="shared" ca="1" si="103"/>
        <v>2</v>
      </c>
      <c r="W263" s="17">
        <f t="shared" ca="1" si="104"/>
        <v>0</v>
      </c>
    </row>
    <row r="264" spans="1:23" x14ac:dyDescent="0.25">
      <c r="A264" s="4">
        <f t="shared" si="84"/>
        <v>32</v>
      </c>
      <c r="B264" t="str">
        <f ca="1">TEXT(DATE(YEAR(Invoer!$A$6),1,1)+INT((ROWS(B$2:B264)-1)/4),"jjjjmmdd")</f>
        <v>19400306</v>
      </c>
      <c r="C264" s="64" t="str">
        <f>IF(MOD(ROWS(C$2:C264)-1,4)=3,"24.00",INDEX(Data,3,2+MOD(ROWS(C$2:C264)-1,4)))</f>
        <v>17.00</v>
      </c>
      <c r="D264" s="18">
        <f t="shared" ca="1" si="85"/>
        <v>757.2</v>
      </c>
      <c r="E264" s="17">
        <f t="shared" ca="1" si="86"/>
        <v>0</v>
      </c>
      <c r="F264" s="18">
        <f t="shared" ca="1" si="87"/>
        <v>28.9</v>
      </c>
      <c r="G264" s="17">
        <f t="shared" ca="1" si="88"/>
        <v>0</v>
      </c>
      <c r="H264" s="18" t="str">
        <f t="shared" ca="1" si="89"/>
        <v>—</v>
      </c>
      <c r="I264" s="17">
        <f t="shared" ca="1" si="90"/>
        <v>7</v>
      </c>
      <c r="J264" s="18" t="str">
        <f t="shared" ca="1" si="91"/>
        <v>—</v>
      </c>
      <c r="K264" s="17">
        <f t="shared" ca="1" si="92"/>
        <v>7</v>
      </c>
      <c r="L264" s="10">
        <f t="shared" ca="1" si="93"/>
        <v>63</v>
      </c>
      <c r="M264" s="17">
        <f t="shared" ca="1" si="94"/>
        <v>0</v>
      </c>
      <c r="N264" s="18">
        <f t="shared" ca="1" si="95"/>
        <v>18.8</v>
      </c>
      <c r="O264" s="17">
        <f t="shared" ca="1" si="96"/>
        <v>0</v>
      </c>
      <c r="P264" s="18">
        <f t="shared" ca="1" si="97"/>
        <v>23.4</v>
      </c>
      <c r="Q264" s="17">
        <f t="shared" ca="1" si="98"/>
        <v>0</v>
      </c>
      <c r="R264" s="10">
        <f t="shared" ca="1" si="99"/>
        <v>25</v>
      </c>
      <c r="S264" s="17">
        <f t="shared" ca="1" si="100"/>
        <v>0</v>
      </c>
      <c r="T264" s="70">
        <f t="shared" ca="1" si="101"/>
        <v>0.5</v>
      </c>
      <c r="U264" s="17">
        <f t="shared" ca="1" si="102"/>
        <v>0</v>
      </c>
      <c r="V264" s="71">
        <f t="shared" ca="1" si="103"/>
        <v>2</v>
      </c>
      <c r="W264" s="17">
        <f t="shared" ca="1" si="104"/>
        <v>0</v>
      </c>
    </row>
    <row r="265" spans="1:23" x14ac:dyDescent="0.25">
      <c r="A265" s="4">
        <f t="shared" si="84"/>
        <v>32</v>
      </c>
      <c r="B265" t="str">
        <f ca="1">TEXT(DATE(YEAR(Invoer!$A$6),1,1)+INT((ROWS(B$2:B265)-1)/4),"jjjjmmdd")</f>
        <v>19400306</v>
      </c>
      <c r="C265" s="64" t="str">
        <f>IF(MOD(ROWS(C$2:C265)-1,4)=3,"24.00",INDEX(Data,3,2+MOD(ROWS(C$2:C265)-1,4)))</f>
        <v>24.00</v>
      </c>
      <c r="D265" s="18" t="str">
        <f t="shared" ca="1" si="85"/>
        <v>—</v>
      </c>
      <c r="E265" s="17">
        <f t="shared" ca="1" si="86"/>
        <v>7</v>
      </c>
      <c r="F265" s="18" t="str">
        <f t="shared" ca="1" si="87"/>
        <v>—</v>
      </c>
      <c r="G265" s="17">
        <f t="shared" ca="1" si="88"/>
        <v>7</v>
      </c>
      <c r="H265" s="18">
        <f t="shared" ca="1" si="89"/>
        <v>29.3</v>
      </c>
      <c r="I265" s="17">
        <f t="shared" ca="1" si="90"/>
        <v>0</v>
      </c>
      <c r="J265" s="18">
        <f t="shared" ca="1" si="91"/>
        <v>30.8</v>
      </c>
      <c r="K265" s="17">
        <f t="shared" ca="1" si="92"/>
        <v>0</v>
      </c>
      <c r="L265" s="10" t="str">
        <f t="shared" ca="1" si="93"/>
        <v>—</v>
      </c>
      <c r="M265" s="17">
        <f t="shared" ca="1" si="94"/>
        <v>7</v>
      </c>
      <c r="N265" s="18" t="str">
        <f t="shared" ca="1" si="95"/>
        <v>—</v>
      </c>
      <c r="O265" s="17">
        <f t="shared" ca="1" si="96"/>
        <v>7</v>
      </c>
      <c r="P265" s="18" t="str">
        <f t="shared" ca="1" si="97"/>
        <v>—</v>
      </c>
      <c r="Q265" s="17">
        <f t="shared" ca="1" si="98"/>
        <v>7</v>
      </c>
      <c r="R265" s="10" t="str">
        <f t="shared" ca="1" si="99"/>
        <v>—</v>
      </c>
      <c r="S265" s="17">
        <f t="shared" ca="1" si="100"/>
        <v>7</v>
      </c>
      <c r="T265" s="70" t="str">
        <f t="shared" ca="1" si="101"/>
        <v>—</v>
      </c>
      <c r="U265" s="17">
        <f t="shared" ca="1" si="102"/>
        <v>7</v>
      </c>
      <c r="V265" s="71" t="str">
        <f t="shared" ca="1" si="103"/>
        <v>—</v>
      </c>
      <c r="W265" s="17">
        <f t="shared" ca="1" si="104"/>
        <v>7</v>
      </c>
    </row>
    <row r="266" spans="1:23" x14ac:dyDescent="0.25">
      <c r="A266" s="4">
        <f t="shared" si="84"/>
        <v>32</v>
      </c>
      <c r="B266" t="str">
        <f ca="1">TEXT(DATE(YEAR(Invoer!$A$6),1,1)+INT((ROWS(B$2:B266)-1)/4),"jjjjmmdd")</f>
        <v>19400307</v>
      </c>
      <c r="C266" s="64" t="str">
        <f>IF(MOD(ROWS(C$2:C266)-1,4)=3,"24.00",INDEX(Data,3,2+MOD(ROWS(C$2:C266)-1,4)))</f>
        <v>07.00</v>
      </c>
      <c r="D266" s="18">
        <f t="shared" ca="1" si="85"/>
        <v>756.9</v>
      </c>
      <c r="E266" s="17">
        <f t="shared" ca="1" si="86"/>
        <v>0</v>
      </c>
      <c r="F266" s="18">
        <f t="shared" ca="1" si="87"/>
        <v>26</v>
      </c>
      <c r="G266" s="17">
        <f t="shared" ca="1" si="88"/>
        <v>0</v>
      </c>
      <c r="H266" s="18" t="str">
        <f t="shared" ca="1" si="89"/>
        <v>—</v>
      </c>
      <c r="I266" s="17">
        <f t="shared" ca="1" si="90"/>
        <v>7</v>
      </c>
      <c r="J266" s="18" t="str">
        <f t="shared" ca="1" si="91"/>
        <v>—</v>
      </c>
      <c r="K266" s="17">
        <f t="shared" ca="1" si="92"/>
        <v>7</v>
      </c>
      <c r="L266" s="10">
        <f t="shared" ca="1" si="93"/>
        <v>82</v>
      </c>
      <c r="M266" s="17">
        <f t="shared" ca="1" si="94"/>
        <v>0</v>
      </c>
      <c r="N266" s="18">
        <f t="shared" ca="1" si="95"/>
        <v>20.6</v>
      </c>
      <c r="O266" s="17">
        <f t="shared" ca="1" si="96"/>
        <v>0</v>
      </c>
      <c r="P266" s="18">
        <f t="shared" ca="1" si="97"/>
        <v>23.6</v>
      </c>
      <c r="Q266" s="17">
        <f t="shared" ca="1" si="98"/>
        <v>0</v>
      </c>
      <c r="R266" s="10">
        <f t="shared" ca="1" si="99"/>
        <v>65</v>
      </c>
      <c r="S266" s="17">
        <f t="shared" ca="1" si="100"/>
        <v>0</v>
      </c>
      <c r="T266" s="70">
        <f t="shared" ca="1" si="101"/>
        <v>0.3</v>
      </c>
      <c r="U266" s="17">
        <f t="shared" ca="1" si="102"/>
        <v>0</v>
      </c>
      <c r="V266" s="71">
        <f t="shared" ca="1" si="103"/>
        <v>4</v>
      </c>
      <c r="W266" s="17">
        <f t="shared" ca="1" si="104"/>
        <v>0</v>
      </c>
    </row>
    <row r="267" spans="1:23" x14ac:dyDescent="0.25">
      <c r="A267" s="4">
        <f t="shared" si="84"/>
        <v>32</v>
      </c>
      <c r="B267" t="str">
        <f ca="1">TEXT(DATE(YEAR(Invoer!$A$6),1,1)+INT((ROWS(B$2:B267)-1)/4),"jjjjmmdd")</f>
        <v>19400307</v>
      </c>
      <c r="C267" s="64" t="str">
        <f>IF(MOD(ROWS(C$2:C267)-1,4)=3,"24.00",INDEX(Data,3,2+MOD(ROWS(C$2:C267)-1,4)))</f>
        <v>12.00</v>
      </c>
      <c r="D267" s="18">
        <f t="shared" ca="1" si="85"/>
        <v>757.9</v>
      </c>
      <c r="E267" s="17">
        <f t="shared" ca="1" si="86"/>
        <v>0</v>
      </c>
      <c r="F267" s="18">
        <f t="shared" ca="1" si="87"/>
        <v>26.7</v>
      </c>
      <c r="G267" s="17">
        <f t="shared" ca="1" si="88"/>
        <v>0</v>
      </c>
      <c r="H267" s="18" t="str">
        <f t="shared" ca="1" si="89"/>
        <v>—</v>
      </c>
      <c r="I267" s="17">
        <f t="shared" ca="1" si="90"/>
        <v>7</v>
      </c>
      <c r="J267" s="18" t="str">
        <f t="shared" ca="1" si="91"/>
        <v>—</v>
      </c>
      <c r="K267" s="17">
        <f t="shared" ca="1" si="92"/>
        <v>7</v>
      </c>
      <c r="L267" s="10">
        <f t="shared" ca="1" si="93"/>
        <v>84</v>
      </c>
      <c r="M267" s="17">
        <f t="shared" ca="1" si="94"/>
        <v>0</v>
      </c>
      <c r="N267" s="18">
        <f t="shared" ca="1" si="95"/>
        <v>22.2</v>
      </c>
      <c r="O267" s="17">
        <f t="shared" ca="1" si="96"/>
        <v>0</v>
      </c>
      <c r="P267" s="18">
        <f t="shared" ca="1" si="97"/>
        <v>24.6</v>
      </c>
      <c r="Q267" s="17">
        <f t="shared" ca="1" si="98"/>
        <v>0</v>
      </c>
      <c r="R267" s="10">
        <f t="shared" ca="1" si="99"/>
        <v>45</v>
      </c>
      <c r="S267" s="17">
        <f t="shared" ca="1" si="100"/>
        <v>0</v>
      </c>
      <c r="T267" s="70">
        <f t="shared" ca="1" si="101"/>
        <v>0.3</v>
      </c>
      <c r="U267" s="17">
        <f t="shared" ca="1" si="102"/>
        <v>0</v>
      </c>
      <c r="V267" s="71">
        <f t="shared" ca="1" si="103"/>
        <v>3</v>
      </c>
      <c r="W267" s="17">
        <f t="shared" ca="1" si="104"/>
        <v>0</v>
      </c>
    </row>
    <row r="268" spans="1:23" x14ac:dyDescent="0.25">
      <c r="A268" s="4">
        <f t="shared" si="84"/>
        <v>32</v>
      </c>
      <c r="B268" t="str">
        <f ca="1">TEXT(DATE(YEAR(Invoer!$A$6),1,1)+INT((ROWS(B$2:B268)-1)/4),"jjjjmmdd")</f>
        <v>19400307</v>
      </c>
      <c r="C268" s="64" t="str">
        <f>IF(MOD(ROWS(C$2:C268)-1,4)=3,"24.00",INDEX(Data,3,2+MOD(ROWS(C$2:C268)-1,4)))</f>
        <v>17.00</v>
      </c>
      <c r="D268" s="18">
        <f t="shared" ca="1" si="85"/>
        <v>757.7</v>
      </c>
      <c r="E268" s="17">
        <f t="shared" ca="1" si="86"/>
        <v>0</v>
      </c>
      <c r="F268" s="18">
        <f t="shared" ca="1" si="87"/>
        <v>26.6</v>
      </c>
      <c r="G268" s="17">
        <f t="shared" ca="1" si="88"/>
        <v>0</v>
      </c>
      <c r="H268" s="18" t="str">
        <f t="shared" ca="1" si="89"/>
        <v>—</v>
      </c>
      <c r="I268" s="17">
        <f t="shared" ca="1" si="90"/>
        <v>7</v>
      </c>
      <c r="J268" s="18" t="str">
        <f t="shared" ca="1" si="91"/>
        <v>—</v>
      </c>
      <c r="K268" s="17">
        <f t="shared" ca="1" si="92"/>
        <v>7</v>
      </c>
      <c r="L268" s="10">
        <f t="shared" ca="1" si="93"/>
        <v>79</v>
      </c>
      <c r="M268" s="17">
        <f t="shared" ca="1" si="94"/>
        <v>0</v>
      </c>
      <c r="N268" s="18">
        <f t="shared" ca="1" si="95"/>
        <v>20.7</v>
      </c>
      <c r="O268" s="17">
        <f t="shared" ca="1" si="96"/>
        <v>0</v>
      </c>
      <c r="P268" s="18">
        <f t="shared" ca="1" si="97"/>
        <v>23.8</v>
      </c>
      <c r="Q268" s="17">
        <f t="shared" ca="1" si="98"/>
        <v>0</v>
      </c>
      <c r="R268" s="10">
        <f t="shared" ca="1" si="99"/>
        <v>25</v>
      </c>
      <c r="S268" s="17">
        <f t="shared" ca="1" si="100"/>
        <v>0</v>
      </c>
      <c r="T268" s="70">
        <f t="shared" ca="1" si="101"/>
        <v>0.5</v>
      </c>
      <c r="U268" s="17">
        <f t="shared" ca="1" si="102"/>
        <v>0</v>
      </c>
      <c r="V268" s="71">
        <f t="shared" ca="1" si="103"/>
        <v>4</v>
      </c>
      <c r="W268" s="17">
        <f t="shared" ca="1" si="104"/>
        <v>0</v>
      </c>
    </row>
    <row r="269" spans="1:23" x14ac:dyDescent="0.25">
      <c r="A269" s="4">
        <f t="shared" si="84"/>
        <v>32</v>
      </c>
      <c r="B269" t="str">
        <f ca="1">TEXT(DATE(YEAR(Invoer!$A$6),1,1)+INT((ROWS(B$2:B269)-1)/4),"jjjjmmdd")</f>
        <v>19400307</v>
      </c>
      <c r="C269" s="64" t="str">
        <f>IF(MOD(ROWS(C$2:C269)-1,4)=3,"24.00",INDEX(Data,3,2+MOD(ROWS(C$2:C269)-1,4)))</f>
        <v>24.00</v>
      </c>
      <c r="D269" s="18" t="str">
        <f t="shared" ca="1" si="85"/>
        <v>—</v>
      </c>
      <c r="E269" s="17">
        <f t="shared" ca="1" si="86"/>
        <v>7</v>
      </c>
      <c r="F269" s="18" t="str">
        <f t="shared" ca="1" si="87"/>
        <v>—</v>
      </c>
      <c r="G269" s="17">
        <f t="shared" ca="1" si="88"/>
        <v>7</v>
      </c>
      <c r="H269" s="18">
        <f t="shared" ca="1" si="89"/>
        <v>27.8</v>
      </c>
      <c r="I269" s="17">
        <f t="shared" ca="1" si="90"/>
        <v>0</v>
      </c>
      <c r="J269" s="18">
        <f t="shared" ca="1" si="91"/>
        <v>29.3</v>
      </c>
      <c r="K269" s="17">
        <f t="shared" ca="1" si="92"/>
        <v>0</v>
      </c>
      <c r="L269" s="10" t="str">
        <f t="shared" ca="1" si="93"/>
        <v>—</v>
      </c>
      <c r="M269" s="17">
        <f t="shared" ca="1" si="94"/>
        <v>7</v>
      </c>
      <c r="N269" s="18" t="str">
        <f t="shared" ca="1" si="95"/>
        <v>—</v>
      </c>
      <c r="O269" s="17">
        <f t="shared" ca="1" si="96"/>
        <v>7</v>
      </c>
      <c r="P269" s="18" t="str">
        <f t="shared" ca="1" si="97"/>
        <v>—</v>
      </c>
      <c r="Q269" s="17">
        <f t="shared" ca="1" si="98"/>
        <v>7</v>
      </c>
      <c r="R269" s="10" t="str">
        <f t="shared" ca="1" si="99"/>
        <v>—</v>
      </c>
      <c r="S269" s="17">
        <f t="shared" ca="1" si="100"/>
        <v>7</v>
      </c>
      <c r="T269" s="70" t="str">
        <f t="shared" ca="1" si="101"/>
        <v>—</v>
      </c>
      <c r="U269" s="17">
        <f t="shared" ca="1" si="102"/>
        <v>7</v>
      </c>
      <c r="V269" s="71" t="str">
        <f t="shared" ca="1" si="103"/>
        <v>—</v>
      </c>
      <c r="W269" s="17">
        <f t="shared" ca="1" si="104"/>
        <v>7</v>
      </c>
    </row>
    <row r="270" spans="1:23" x14ac:dyDescent="0.25">
      <c r="A270" s="4">
        <f t="shared" si="84"/>
        <v>32</v>
      </c>
      <c r="B270" t="str">
        <f ca="1">TEXT(DATE(YEAR(Invoer!$A$6),1,1)+INT((ROWS(B$2:B270)-1)/4),"jjjjmmdd")</f>
        <v>19400308</v>
      </c>
      <c r="C270" s="64" t="str">
        <f>IF(MOD(ROWS(C$2:C270)-1,4)=3,"24.00",INDEX(Data,3,2+MOD(ROWS(C$2:C270)-1,4)))</f>
        <v>07.00</v>
      </c>
      <c r="D270" s="18">
        <f t="shared" ca="1" si="85"/>
        <v>755.7</v>
      </c>
      <c r="E270" s="17">
        <f t="shared" ca="1" si="86"/>
        <v>0</v>
      </c>
      <c r="F270" s="18">
        <f t="shared" ca="1" si="87"/>
        <v>26</v>
      </c>
      <c r="G270" s="17">
        <f t="shared" ca="1" si="88"/>
        <v>0</v>
      </c>
      <c r="H270" s="18" t="str">
        <f t="shared" ca="1" si="89"/>
        <v>—</v>
      </c>
      <c r="I270" s="17">
        <f t="shared" ca="1" si="90"/>
        <v>7</v>
      </c>
      <c r="J270" s="18" t="str">
        <f t="shared" ca="1" si="91"/>
        <v>—</v>
      </c>
      <c r="K270" s="17">
        <f t="shared" ca="1" si="92"/>
        <v>7</v>
      </c>
      <c r="L270" s="10">
        <f t="shared" ca="1" si="93"/>
        <v>74</v>
      </c>
      <c r="M270" s="17">
        <f t="shared" ca="1" si="94"/>
        <v>0</v>
      </c>
      <c r="N270" s="18">
        <f t="shared" ca="1" si="95"/>
        <v>18.7</v>
      </c>
      <c r="O270" s="17">
        <f t="shared" ca="1" si="96"/>
        <v>0</v>
      </c>
      <c r="P270" s="18">
        <f t="shared" ca="1" si="97"/>
        <v>22.5</v>
      </c>
      <c r="Q270" s="17">
        <f t="shared" ca="1" si="98"/>
        <v>0</v>
      </c>
      <c r="R270" s="10">
        <f t="shared" ca="1" si="99"/>
        <v>45</v>
      </c>
      <c r="S270" s="17">
        <f t="shared" ca="1" si="100"/>
        <v>0</v>
      </c>
      <c r="T270" s="70">
        <f t="shared" ca="1" si="101"/>
        <v>0.1</v>
      </c>
      <c r="U270" s="17">
        <f t="shared" ca="1" si="102"/>
        <v>0</v>
      </c>
      <c r="V270" s="71">
        <f t="shared" ca="1" si="103"/>
        <v>7</v>
      </c>
      <c r="W270" s="17">
        <f t="shared" ca="1" si="104"/>
        <v>0</v>
      </c>
    </row>
    <row r="271" spans="1:23" x14ac:dyDescent="0.25">
      <c r="A271" s="4">
        <f t="shared" si="84"/>
        <v>32</v>
      </c>
      <c r="B271" t="str">
        <f ca="1">TEXT(DATE(YEAR(Invoer!$A$6),1,1)+INT((ROWS(B$2:B271)-1)/4),"jjjjmmdd")</f>
        <v>19400308</v>
      </c>
      <c r="C271" s="64" t="str">
        <f>IF(MOD(ROWS(C$2:C271)-1,4)=3,"24.00",INDEX(Data,3,2+MOD(ROWS(C$2:C271)-1,4)))</f>
        <v>12.00</v>
      </c>
      <c r="D271" s="18">
        <f t="shared" ca="1" si="85"/>
        <v>755.7</v>
      </c>
      <c r="E271" s="17">
        <f t="shared" ca="1" si="86"/>
        <v>0</v>
      </c>
      <c r="F271" s="18">
        <f t="shared" ca="1" si="87"/>
        <v>26.7</v>
      </c>
      <c r="G271" s="17">
        <f t="shared" ca="1" si="88"/>
        <v>0</v>
      </c>
      <c r="H271" s="18" t="str">
        <f t="shared" ca="1" si="89"/>
        <v>—</v>
      </c>
      <c r="I271" s="17">
        <f t="shared" ca="1" si="90"/>
        <v>7</v>
      </c>
      <c r="J271" s="18" t="str">
        <f t="shared" ca="1" si="91"/>
        <v>—</v>
      </c>
      <c r="K271" s="17">
        <f t="shared" ca="1" si="92"/>
        <v>7</v>
      </c>
      <c r="L271" s="10">
        <f t="shared" ca="1" si="93"/>
        <v>79</v>
      </c>
      <c r="M271" s="17">
        <f t="shared" ca="1" si="94"/>
        <v>0</v>
      </c>
      <c r="N271" s="18">
        <f t="shared" ca="1" si="95"/>
        <v>20.7</v>
      </c>
      <c r="O271" s="17">
        <f t="shared" ca="1" si="96"/>
        <v>0</v>
      </c>
      <c r="P271" s="18">
        <f t="shared" ca="1" si="97"/>
        <v>23.8</v>
      </c>
      <c r="Q271" s="17">
        <f t="shared" ca="1" si="98"/>
        <v>0</v>
      </c>
      <c r="R271" s="10">
        <f t="shared" ca="1" si="99"/>
        <v>180</v>
      </c>
      <c r="S271" s="17">
        <f t="shared" ca="1" si="100"/>
        <v>0</v>
      </c>
      <c r="T271" s="70">
        <f t="shared" ca="1" si="101"/>
        <v>0.1</v>
      </c>
      <c r="U271" s="17">
        <f t="shared" ca="1" si="102"/>
        <v>0</v>
      </c>
      <c r="V271" s="71">
        <f t="shared" ca="1" si="103"/>
        <v>8</v>
      </c>
      <c r="W271" s="17">
        <f t="shared" ca="1" si="104"/>
        <v>0</v>
      </c>
    </row>
    <row r="272" spans="1:23" x14ac:dyDescent="0.25">
      <c r="A272" s="4">
        <f t="shared" si="84"/>
        <v>32</v>
      </c>
      <c r="B272" t="str">
        <f ca="1">TEXT(DATE(YEAR(Invoer!$A$6),1,1)+INT((ROWS(B$2:B272)-1)/4),"jjjjmmdd")</f>
        <v>19400308</v>
      </c>
      <c r="C272" s="64" t="str">
        <f>IF(MOD(ROWS(C$2:C272)-1,4)=3,"24.00",INDEX(Data,3,2+MOD(ROWS(C$2:C272)-1,4)))</f>
        <v>17.00</v>
      </c>
      <c r="D272" s="18">
        <f t="shared" ca="1" si="85"/>
        <v>755.7</v>
      </c>
      <c r="E272" s="17">
        <f t="shared" ca="1" si="86"/>
        <v>0</v>
      </c>
      <c r="F272" s="18">
        <f t="shared" ca="1" si="87"/>
        <v>26.5</v>
      </c>
      <c r="G272" s="17">
        <f t="shared" ca="1" si="88"/>
        <v>0</v>
      </c>
      <c r="H272" s="18" t="str">
        <f t="shared" ca="1" si="89"/>
        <v>—</v>
      </c>
      <c r="I272" s="17">
        <f t="shared" ca="1" si="90"/>
        <v>7</v>
      </c>
      <c r="J272" s="18" t="str">
        <f t="shared" ca="1" si="91"/>
        <v>—</v>
      </c>
      <c r="K272" s="17">
        <f t="shared" ca="1" si="92"/>
        <v>7</v>
      </c>
      <c r="L272" s="10">
        <f t="shared" ca="1" si="93"/>
        <v>78</v>
      </c>
      <c r="M272" s="17">
        <f t="shared" ca="1" si="94"/>
        <v>0</v>
      </c>
      <c r="N272" s="18">
        <f t="shared" ca="1" si="95"/>
        <v>20.399999999999999</v>
      </c>
      <c r="O272" s="17">
        <f t="shared" ca="1" si="96"/>
        <v>0</v>
      </c>
      <c r="P272" s="18">
        <f t="shared" ca="1" si="97"/>
        <v>23.6</v>
      </c>
      <c r="Q272" s="17">
        <f t="shared" ca="1" si="98"/>
        <v>0</v>
      </c>
      <c r="R272" s="10">
        <f t="shared" ca="1" si="99"/>
        <v>360</v>
      </c>
      <c r="S272" s="17">
        <f t="shared" ca="1" si="100"/>
        <v>0</v>
      </c>
      <c r="T272" s="70">
        <f t="shared" ca="1" si="101"/>
        <v>0.1</v>
      </c>
      <c r="U272" s="17">
        <f t="shared" ca="1" si="102"/>
        <v>0</v>
      </c>
      <c r="V272" s="71">
        <f t="shared" ca="1" si="103"/>
        <v>7</v>
      </c>
      <c r="W272" s="17">
        <f t="shared" ca="1" si="104"/>
        <v>0</v>
      </c>
    </row>
    <row r="273" spans="1:23" x14ac:dyDescent="0.25">
      <c r="A273" s="4">
        <f t="shared" si="84"/>
        <v>32</v>
      </c>
      <c r="B273" t="str">
        <f ca="1">TEXT(DATE(YEAR(Invoer!$A$6),1,1)+INT((ROWS(B$2:B273)-1)/4),"jjjjmmdd")</f>
        <v>19400308</v>
      </c>
      <c r="C273" s="64" t="str">
        <f>IF(MOD(ROWS(C$2:C273)-1,4)=3,"24.00",INDEX(Data,3,2+MOD(ROWS(C$2:C273)-1,4)))</f>
        <v>24.00</v>
      </c>
      <c r="D273" s="18" t="str">
        <f t="shared" ca="1" si="85"/>
        <v>—</v>
      </c>
      <c r="E273" s="17">
        <f t="shared" ca="1" si="86"/>
        <v>7</v>
      </c>
      <c r="F273" s="18" t="str">
        <f t="shared" ca="1" si="87"/>
        <v>—</v>
      </c>
      <c r="G273" s="17">
        <f t="shared" ca="1" si="88"/>
        <v>7</v>
      </c>
      <c r="H273" s="18">
        <f t="shared" ca="1" si="89"/>
        <v>27.4</v>
      </c>
      <c r="I273" s="17">
        <f t="shared" ca="1" si="90"/>
        <v>0</v>
      </c>
      <c r="J273" s="18">
        <f t="shared" ca="1" si="91"/>
        <v>28.5</v>
      </c>
      <c r="K273" s="17">
        <f t="shared" ca="1" si="92"/>
        <v>0</v>
      </c>
      <c r="L273" s="10" t="str">
        <f t="shared" ca="1" si="93"/>
        <v>—</v>
      </c>
      <c r="M273" s="17">
        <f t="shared" ca="1" si="94"/>
        <v>7</v>
      </c>
      <c r="N273" s="18" t="str">
        <f t="shared" ca="1" si="95"/>
        <v>—</v>
      </c>
      <c r="O273" s="17">
        <f t="shared" ca="1" si="96"/>
        <v>7</v>
      </c>
      <c r="P273" s="18" t="str">
        <f t="shared" ca="1" si="97"/>
        <v>—</v>
      </c>
      <c r="Q273" s="17">
        <f t="shared" ca="1" si="98"/>
        <v>7</v>
      </c>
      <c r="R273" s="10" t="str">
        <f t="shared" ca="1" si="99"/>
        <v>—</v>
      </c>
      <c r="S273" s="17">
        <f t="shared" ca="1" si="100"/>
        <v>7</v>
      </c>
      <c r="T273" s="70" t="str">
        <f t="shared" ca="1" si="101"/>
        <v>—</v>
      </c>
      <c r="U273" s="17">
        <f t="shared" ca="1" si="102"/>
        <v>7</v>
      </c>
      <c r="V273" s="71" t="str">
        <f t="shared" ca="1" si="103"/>
        <v>—</v>
      </c>
      <c r="W273" s="17">
        <f t="shared" ca="1" si="104"/>
        <v>7</v>
      </c>
    </row>
    <row r="274" spans="1:23" x14ac:dyDescent="0.25">
      <c r="A274" s="4">
        <f t="shared" si="84"/>
        <v>32</v>
      </c>
      <c r="B274" t="str">
        <f ca="1">TEXT(DATE(YEAR(Invoer!$A$6),1,1)+INT((ROWS(B$2:B274)-1)/4),"jjjjmmdd")</f>
        <v>19400309</v>
      </c>
      <c r="C274" s="64" t="str">
        <f>IF(MOD(ROWS(C$2:C274)-1,4)=3,"24.00",INDEX(Data,3,2+MOD(ROWS(C$2:C274)-1,4)))</f>
        <v>07.00</v>
      </c>
      <c r="D274" s="18">
        <f t="shared" ca="1" si="85"/>
        <v>757.7</v>
      </c>
      <c r="E274" s="17">
        <f t="shared" ca="1" si="86"/>
        <v>0</v>
      </c>
      <c r="F274" s="18">
        <f t="shared" ca="1" si="87"/>
        <v>25.3</v>
      </c>
      <c r="G274" s="17">
        <f t="shared" ca="1" si="88"/>
        <v>0</v>
      </c>
      <c r="H274" s="18" t="str">
        <f t="shared" ca="1" si="89"/>
        <v>—</v>
      </c>
      <c r="I274" s="17">
        <f t="shared" ca="1" si="90"/>
        <v>7</v>
      </c>
      <c r="J274" s="18" t="str">
        <f t="shared" ca="1" si="91"/>
        <v>—</v>
      </c>
      <c r="K274" s="17">
        <f t="shared" ca="1" si="92"/>
        <v>7</v>
      </c>
      <c r="L274" s="10">
        <f t="shared" ca="1" si="93"/>
        <v>81</v>
      </c>
      <c r="M274" s="17">
        <f t="shared" ca="1" si="94"/>
        <v>0</v>
      </c>
      <c r="N274" s="18">
        <f t="shared" ca="1" si="95"/>
        <v>19.600000000000001</v>
      </c>
      <c r="O274" s="17">
        <f t="shared" ca="1" si="96"/>
        <v>0</v>
      </c>
      <c r="P274" s="18">
        <f t="shared" ca="1" si="97"/>
        <v>22.8</v>
      </c>
      <c r="Q274" s="17">
        <f t="shared" ca="1" si="98"/>
        <v>0</v>
      </c>
      <c r="R274" s="10">
        <f t="shared" ca="1" si="99"/>
        <v>360</v>
      </c>
      <c r="S274" s="17">
        <f t="shared" ca="1" si="100"/>
        <v>0</v>
      </c>
      <c r="T274" s="70">
        <f t="shared" ca="1" si="101"/>
        <v>0.1</v>
      </c>
      <c r="U274" s="17">
        <f t="shared" ca="1" si="102"/>
        <v>0</v>
      </c>
      <c r="V274" s="71">
        <f t="shared" ca="1" si="103"/>
        <v>10</v>
      </c>
      <c r="W274" s="17">
        <f t="shared" ca="1" si="104"/>
        <v>0</v>
      </c>
    </row>
    <row r="275" spans="1:23" x14ac:dyDescent="0.25">
      <c r="A275" s="4">
        <f t="shared" si="84"/>
        <v>32</v>
      </c>
      <c r="B275" t="str">
        <f ca="1">TEXT(DATE(YEAR(Invoer!$A$6),1,1)+INT((ROWS(B$2:B275)-1)/4),"jjjjmmdd")</f>
        <v>19400309</v>
      </c>
      <c r="C275" s="64" t="str">
        <f>IF(MOD(ROWS(C$2:C275)-1,4)=3,"24.00",INDEX(Data,3,2+MOD(ROWS(C$2:C275)-1,4)))</f>
        <v>12.00</v>
      </c>
      <c r="D275" s="18">
        <f t="shared" ca="1" si="85"/>
        <v>757.2</v>
      </c>
      <c r="E275" s="17">
        <f t="shared" ca="1" si="86"/>
        <v>0</v>
      </c>
      <c r="F275" s="18">
        <f t="shared" ca="1" si="87"/>
        <v>26.3</v>
      </c>
      <c r="G275" s="17">
        <f t="shared" ca="1" si="88"/>
        <v>0</v>
      </c>
      <c r="H275" s="18" t="str">
        <f t="shared" ca="1" si="89"/>
        <v>—</v>
      </c>
      <c r="I275" s="17">
        <f t="shared" ca="1" si="90"/>
        <v>7</v>
      </c>
      <c r="J275" s="18" t="str">
        <f t="shared" ca="1" si="91"/>
        <v>—</v>
      </c>
      <c r="K275" s="17">
        <f t="shared" ca="1" si="92"/>
        <v>7</v>
      </c>
      <c r="L275" s="10">
        <f t="shared" ca="1" si="93"/>
        <v>78</v>
      </c>
      <c r="M275" s="17">
        <f t="shared" ca="1" si="94"/>
        <v>0</v>
      </c>
      <c r="N275" s="18">
        <f t="shared" ca="1" si="95"/>
        <v>20.100000000000001</v>
      </c>
      <c r="O275" s="17">
        <f t="shared" ca="1" si="96"/>
        <v>0</v>
      </c>
      <c r="P275" s="18">
        <f t="shared" ca="1" si="97"/>
        <v>23.4</v>
      </c>
      <c r="Q275" s="17">
        <f t="shared" ca="1" si="98"/>
        <v>0</v>
      </c>
      <c r="R275" s="10">
        <f t="shared" ca="1" si="99"/>
        <v>360</v>
      </c>
      <c r="S275" s="17">
        <f t="shared" ca="1" si="100"/>
        <v>0</v>
      </c>
      <c r="T275" s="70">
        <f t="shared" ca="1" si="101"/>
        <v>0.1</v>
      </c>
      <c r="U275" s="17">
        <f t="shared" ca="1" si="102"/>
        <v>0</v>
      </c>
      <c r="V275" s="71">
        <f t="shared" ca="1" si="103"/>
        <v>9</v>
      </c>
      <c r="W275" s="17">
        <f t="shared" ca="1" si="104"/>
        <v>0</v>
      </c>
    </row>
    <row r="276" spans="1:23" x14ac:dyDescent="0.25">
      <c r="A276" s="4">
        <f t="shared" si="84"/>
        <v>32</v>
      </c>
      <c r="B276" t="str">
        <f ca="1">TEXT(DATE(YEAR(Invoer!$A$6),1,1)+INT((ROWS(B$2:B276)-1)/4),"jjjjmmdd")</f>
        <v>19400309</v>
      </c>
      <c r="C276" s="64" t="str">
        <f>IF(MOD(ROWS(C$2:C276)-1,4)=3,"24.00",INDEX(Data,3,2+MOD(ROWS(C$2:C276)-1,4)))</f>
        <v>17.00</v>
      </c>
      <c r="D276" s="18">
        <f t="shared" ca="1" si="85"/>
        <v>757.2</v>
      </c>
      <c r="E276" s="17">
        <f t="shared" ca="1" si="86"/>
        <v>0</v>
      </c>
      <c r="F276" s="18">
        <f t="shared" ca="1" si="87"/>
        <v>26.1</v>
      </c>
      <c r="G276" s="17">
        <f t="shared" ca="1" si="88"/>
        <v>0</v>
      </c>
      <c r="H276" s="18" t="str">
        <f t="shared" ca="1" si="89"/>
        <v>—</v>
      </c>
      <c r="I276" s="17">
        <f t="shared" ca="1" si="90"/>
        <v>7</v>
      </c>
      <c r="J276" s="18" t="str">
        <f t="shared" ca="1" si="91"/>
        <v>—</v>
      </c>
      <c r="K276" s="17">
        <f t="shared" ca="1" si="92"/>
        <v>7</v>
      </c>
      <c r="L276" s="10">
        <f t="shared" ca="1" si="93"/>
        <v>78</v>
      </c>
      <c r="M276" s="17">
        <f t="shared" ca="1" si="94"/>
        <v>0</v>
      </c>
      <c r="N276" s="18">
        <f t="shared" ca="1" si="95"/>
        <v>19.899999999999999</v>
      </c>
      <c r="O276" s="17">
        <f t="shared" ca="1" si="96"/>
        <v>0</v>
      </c>
      <c r="P276" s="18">
        <f t="shared" ca="1" si="97"/>
        <v>23.2</v>
      </c>
      <c r="Q276" s="17">
        <f t="shared" ca="1" si="98"/>
        <v>0</v>
      </c>
      <c r="R276" s="10">
        <f t="shared" ca="1" si="99"/>
        <v>360</v>
      </c>
      <c r="S276" s="17">
        <f t="shared" ca="1" si="100"/>
        <v>0</v>
      </c>
      <c r="T276" s="70">
        <f t="shared" ca="1" si="101"/>
        <v>0.1</v>
      </c>
      <c r="U276" s="17">
        <f t="shared" ca="1" si="102"/>
        <v>0</v>
      </c>
      <c r="V276" s="71">
        <f t="shared" ca="1" si="103"/>
        <v>9</v>
      </c>
      <c r="W276" s="17">
        <f t="shared" ca="1" si="104"/>
        <v>0</v>
      </c>
    </row>
    <row r="277" spans="1:23" x14ac:dyDescent="0.25">
      <c r="A277" s="4">
        <f t="shared" si="84"/>
        <v>32</v>
      </c>
      <c r="B277" t="str">
        <f ca="1">TEXT(DATE(YEAR(Invoer!$A$6),1,1)+INT((ROWS(B$2:B277)-1)/4),"jjjjmmdd")</f>
        <v>19400309</v>
      </c>
      <c r="C277" s="64" t="str">
        <f>IF(MOD(ROWS(C$2:C277)-1,4)=3,"24.00",INDEX(Data,3,2+MOD(ROWS(C$2:C277)-1,4)))</f>
        <v>24.00</v>
      </c>
      <c r="D277" s="18" t="str">
        <f t="shared" ca="1" si="85"/>
        <v>—</v>
      </c>
      <c r="E277" s="17">
        <f t="shared" ca="1" si="86"/>
        <v>7</v>
      </c>
      <c r="F277" s="18" t="str">
        <f t="shared" ca="1" si="87"/>
        <v>—</v>
      </c>
      <c r="G277" s="17">
        <f t="shared" ca="1" si="88"/>
        <v>7</v>
      </c>
      <c r="H277" s="18">
        <f t="shared" ca="1" si="89"/>
        <v>27</v>
      </c>
      <c r="I277" s="17">
        <f t="shared" ca="1" si="90"/>
        <v>0</v>
      </c>
      <c r="J277" s="18">
        <f t="shared" ca="1" si="91"/>
        <v>28.5</v>
      </c>
      <c r="K277" s="17">
        <f t="shared" ca="1" si="92"/>
        <v>0</v>
      </c>
      <c r="L277" s="10" t="str">
        <f t="shared" ca="1" si="93"/>
        <v>—</v>
      </c>
      <c r="M277" s="17">
        <f t="shared" ca="1" si="94"/>
        <v>7</v>
      </c>
      <c r="N277" s="18" t="str">
        <f t="shared" ca="1" si="95"/>
        <v>—</v>
      </c>
      <c r="O277" s="17">
        <f t="shared" ca="1" si="96"/>
        <v>7</v>
      </c>
      <c r="P277" s="18" t="str">
        <f t="shared" ca="1" si="97"/>
        <v>—</v>
      </c>
      <c r="Q277" s="17">
        <f t="shared" ca="1" si="98"/>
        <v>7</v>
      </c>
      <c r="R277" s="10" t="str">
        <f t="shared" ca="1" si="99"/>
        <v>—</v>
      </c>
      <c r="S277" s="17">
        <f t="shared" ca="1" si="100"/>
        <v>7</v>
      </c>
      <c r="T277" s="70" t="str">
        <f t="shared" ca="1" si="101"/>
        <v>—</v>
      </c>
      <c r="U277" s="17">
        <f t="shared" ca="1" si="102"/>
        <v>7</v>
      </c>
      <c r="V277" s="71" t="str">
        <f t="shared" ca="1" si="103"/>
        <v>—</v>
      </c>
      <c r="W277" s="17">
        <f t="shared" ca="1" si="104"/>
        <v>7</v>
      </c>
    </row>
    <row r="278" spans="1:23" x14ac:dyDescent="0.25">
      <c r="A278" s="4">
        <f t="shared" si="84"/>
        <v>32</v>
      </c>
      <c r="B278" t="str">
        <f ca="1">TEXT(DATE(YEAR(Invoer!$A$6),1,1)+INT((ROWS(B$2:B278)-1)/4),"jjjjmmdd")</f>
        <v>19400310</v>
      </c>
      <c r="C278" s="64" t="str">
        <f>IF(MOD(ROWS(C$2:C278)-1,4)=3,"24.00",INDEX(Data,3,2+MOD(ROWS(C$2:C278)-1,4)))</f>
        <v>07.00</v>
      </c>
      <c r="D278" s="18">
        <f t="shared" ca="1" si="85"/>
        <v>758.5</v>
      </c>
      <c r="E278" s="17">
        <f t="shared" ca="1" si="86"/>
        <v>0</v>
      </c>
      <c r="F278" s="18">
        <f t="shared" ca="1" si="87"/>
        <v>26.5</v>
      </c>
      <c r="G278" s="17">
        <f t="shared" ca="1" si="88"/>
        <v>0</v>
      </c>
      <c r="H278" s="18" t="str">
        <f t="shared" ca="1" si="89"/>
        <v>—</v>
      </c>
      <c r="I278" s="17">
        <f t="shared" ca="1" si="90"/>
        <v>7</v>
      </c>
      <c r="J278" s="18" t="str">
        <f t="shared" ca="1" si="91"/>
        <v>—</v>
      </c>
      <c r="K278" s="17">
        <f t="shared" ca="1" si="92"/>
        <v>7</v>
      </c>
      <c r="L278" s="10">
        <f t="shared" ca="1" si="93"/>
        <v>81</v>
      </c>
      <c r="M278" s="17">
        <f t="shared" ca="1" si="94"/>
        <v>0</v>
      </c>
      <c r="N278" s="18">
        <f t="shared" ca="1" si="95"/>
        <v>21.1</v>
      </c>
      <c r="O278" s="17">
        <f t="shared" ca="1" si="96"/>
        <v>0</v>
      </c>
      <c r="P278" s="18">
        <f t="shared" ca="1" si="97"/>
        <v>24</v>
      </c>
      <c r="Q278" s="17">
        <f t="shared" ca="1" si="98"/>
        <v>0</v>
      </c>
      <c r="R278" s="10">
        <f t="shared" ca="1" si="99"/>
        <v>25</v>
      </c>
      <c r="S278" s="17">
        <f t="shared" ca="1" si="100"/>
        <v>0</v>
      </c>
      <c r="T278" s="70">
        <f t="shared" ca="1" si="101"/>
        <v>0.1</v>
      </c>
      <c r="U278" s="17">
        <f t="shared" ca="1" si="102"/>
        <v>0</v>
      </c>
      <c r="V278" s="71">
        <f t="shared" ca="1" si="103"/>
        <v>6</v>
      </c>
      <c r="W278" s="17">
        <f t="shared" ca="1" si="104"/>
        <v>0</v>
      </c>
    </row>
    <row r="279" spans="1:23" x14ac:dyDescent="0.25">
      <c r="A279" s="4">
        <f t="shared" si="84"/>
        <v>32</v>
      </c>
      <c r="B279" t="str">
        <f ca="1">TEXT(DATE(YEAR(Invoer!$A$6),1,1)+INT((ROWS(B$2:B279)-1)/4),"jjjjmmdd")</f>
        <v>19400310</v>
      </c>
      <c r="C279" s="64" t="str">
        <f>IF(MOD(ROWS(C$2:C279)-1,4)=3,"24.00",INDEX(Data,3,2+MOD(ROWS(C$2:C279)-1,4)))</f>
        <v>12.00</v>
      </c>
      <c r="D279" s="18">
        <f t="shared" ca="1" si="85"/>
        <v>758.2</v>
      </c>
      <c r="E279" s="17">
        <f t="shared" ca="1" si="86"/>
        <v>0</v>
      </c>
      <c r="F279" s="18">
        <f t="shared" ca="1" si="87"/>
        <v>26.5</v>
      </c>
      <c r="G279" s="17">
        <f t="shared" ca="1" si="88"/>
        <v>0</v>
      </c>
      <c r="H279" s="18" t="str">
        <f t="shared" ca="1" si="89"/>
        <v>—</v>
      </c>
      <c r="I279" s="17">
        <f t="shared" ca="1" si="90"/>
        <v>7</v>
      </c>
      <c r="J279" s="18" t="str">
        <f t="shared" ca="1" si="91"/>
        <v>—</v>
      </c>
      <c r="K279" s="17">
        <f t="shared" ca="1" si="92"/>
        <v>7</v>
      </c>
      <c r="L279" s="10">
        <f t="shared" ca="1" si="93"/>
        <v>84</v>
      </c>
      <c r="M279" s="17">
        <f t="shared" ca="1" si="94"/>
        <v>0</v>
      </c>
      <c r="N279" s="18">
        <f t="shared" ca="1" si="95"/>
        <v>21.9</v>
      </c>
      <c r="O279" s="17">
        <f t="shared" ca="1" si="96"/>
        <v>0</v>
      </c>
      <c r="P279" s="18">
        <f t="shared" ca="1" si="97"/>
        <v>24.4</v>
      </c>
      <c r="Q279" s="17">
        <f t="shared" ca="1" si="98"/>
        <v>0</v>
      </c>
      <c r="R279" s="10">
        <f t="shared" ca="1" si="99"/>
        <v>25</v>
      </c>
      <c r="S279" s="17">
        <f t="shared" ca="1" si="100"/>
        <v>0</v>
      </c>
      <c r="T279" s="70">
        <f t="shared" ca="1" si="101"/>
        <v>0.1</v>
      </c>
      <c r="U279" s="17">
        <f t="shared" ca="1" si="102"/>
        <v>0</v>
      </c>
      <c r="V279" s="71">
        <f t="shared" ca="1" si="103"/>
        <v>5</v>
      </c>
      <c r="W279" s="17">
        <f t="shared" ca="1" si="104"/>
        <v>0</v>
      </c>
    </row>
    <row r="280" spans="1:23" x14ac:dyDescent="0.25">
      <c r="A280" s="4">
        <f t="shared" si="84"/>
        <v>32</v>
      </c>
      <c r="B280" t="str">
        <f ca="1">TEXT(DATE(YEAR(Invoer!$A$6),1,1)+INT((ROWS(B$2:B280)-1)/4),"jjjjmmdd")</f>
        <v>19400310</v>
      </c>
      <c r="C280" s="64" t="str">
        <f>IF(MOD(ROWS(C$2:C280)-1,4)=3,"24.00",INDEX(Data,3,2+MOD(ROWS(C$2:C280)-1,4)))</f>
        <v>17.00</v>
      </c>
      <c r="D280" s="18">
        <f t="shared" ca="1" si="85"/>
        <v>757.9</v>
      </c>
      <c r="E280" s="17">
        <f t="shared" ca="1" si="86"/>
        <v>0</v>
      </c>
      <c r="F280" s="18">
        <f t="shared" ca="1" si="87"/>
        <v>26.1</v>
      </c>
      <c r="G280" s="17">
        <f t="shared" ca="1" si="88"/>
        <v>0</v>
      </c>
      <c r="H280" s="18" t="str">
        <f t="shared" ca="1" si="89"/>
        <v>—</v>
      </c>
      <c r="I280" s="17">
        <f t="shared" ca="1" si="90"/>
        <v>7</v>
      </c>
      <c r="J280" s="18" t="str">
        <f t="shared" ca="1" si="91"/>
        <v>—</v>
      </c>
      <c r="K280" s="17">
        <f t="shared" ca="1" si="92"/>
        <v>7</v>
      </c>
      <c r="L280" s="10">
        <f t="shared" ca="1" si="93"/>
        <v>83</v>
      </c>
      <c r="M280" s="17">
        <f t="shared" ca="1" si="94"/>
        <v>0</v>
      </c>
      <c r="N280" s="18">
        <f t="shared" ca="1" si="95"/>
        <v>21</v>
      </c>
      <c r="O280" s="17">
        <f t="shared" ca="1" si="96"/>
        <v>0</v>
      </c>
      <c r="P280" s="18">
        <f t="shared" ca="1" si="97"/>
        <v>23.8</v>
      </c>
      <c r="Q280" s="17">
        <f t="shared" ca="1" si="98"/>
        <v>0</v>
      </c>
      <c r="R280" s="10">
        <f t="shared" ca="1" si="99"/>
        <v>25</v>
      </c>
      <c r="S280" s="17">
        <f t="shared" ca="1" si="100"/>
        <v>0</v>
      </c>
      <c r="T280" s="70">
        <f t="shared" ca="1" si="101"/>
        <v>0.1</v>
      </c>
      <c r="U280" s="17">
        <f t="shared" ca="1" si="102"/>
        <v>0</v>
      </c>
      <c r="V280" s="71">
        <f t="shared" ca="1" si="103"/>
        <v>5</v>
      </c>
      <c r="W280" s="17">
        <f t="shared" ca="1" si="104"/>
        <v>0</v>
      </c>
    </row>
    <row r="281" spans="1:23" x14ac:dyDescent="0.25">
      <c r="A281" s="4">
        <f t="shared" si="84"/>
        <v>32</v>
      </c>
      <c r="B281" t="str">
        <f ca="1">TEXT(DATE(YEAR(Invoer!$A$6),1,1)+INT((ROWS(B$2:B281)-1)/4),"jjjjmmdd")</f>
        <v>19400310</v>
      </c>
      <c r="C281" s="64" t="str">
        <f>IF(MOD(ROWS(C$2:C281)-1,4)=3,"24.00",INDEX(Data,3,2+MOD(ROWS(C$2:C281)-1,4)))</f>
        <v>24.00</v>
      </c>
      <c r="D281" s="18" t="str">
        <f t="shared" ca="1" si="85"/>
        <v>—</v>
      </c>
      <c r="E281" s="17">
        <f t="shared" ca="1" si="86"/>
        <v>7</v>
      </c>
      <c r="F281" s="18" t="str">
        <f t="shared" ca="1" si="87"/>
        <v>—</v>
      </c>
      <c r="G281" s="17">
        <f t="shared" ca="1" si="88"/>
        <v>7</v>
      </c>
      <c r="H281" s="18">
        <f t="shared" ca="1" si="89"/>
        <v>27.4</v>
      </c>
      <c r="I281" s="17">
        <f t="shared" ca="1" si="90"/>
        <v>0</v>
      </c>
      <c r="J281" s="18">
        <f t="shared" ca="1" si="91"/>
        <v>28.7</v>
      </c>
      <c r="K281" s="17">
        <f t="shared" ca="1" si="92"/>
        <v>0</v>
      </c>
      <c r="L281" s="10" t="str">
        <f t="shared" ca="1" si="93"/>
        <v>—</v>
      </c>
      <c r="M281" s="17">
        <f t="shared" ca="1" si="94"/>
        <v>7</v>
      </c>
      <c r="N281" s="18" t="str">
        <f t="shared" ca="1" si="95"/>
        <v>—</v>
      </c>
      <c r="O281" s="17">
        <f t="shared" ca="1" si="96"/>
        <v>7</v>
      </c>
      <c r="P281" s="18" t="str">
        <f t="shared" ca="1" si="97"/>
        <v>—</v>
      </c>
      <c r="Q281" s="17">
        <f t="shared" ca="1" si="98"/>
        <v>7</v>
      </c>
      <c r="R281" s="10" t="str">
        <f t="shared" ca="1" si="99"/>
        <v>—</v>
      </c>
      <c r="S281" s="17">
        <f t="shared" ca="1" si="100"/>
        <v>7</v>
      </c>
      <c r="T281" s="70" t="str">
        <f t="shared" ca="1" si="101"/>
        <v>—</v>
      </c>
      <c r="U281" s="17">
        <f t="shared" ca="1" si="102"/>
        <v>7</v>
      </c>
      <c r="V281" s="71" t="str">
        <f t="shared" ca="1" si="103"/>
        <v>—</v>
      </c>
      <c r="W281" s="17">
        <f t="shared" ca="1" si="104"/>
        <v>7</v>
      </c>
    </row>
    <row r="282" spans="1:23" x14ac:dyDescent="0.25">
      <c r="A282" s="4">
        <f t="shared" si="84"/>
        <v>32</v>
      </c>
      <c r="B282" t="str">
        <f ca="1">TEXT(DATE(YEAR(Invoer!$A$6),1,1)+INT((ROWS(B$2:B282)-1)/4),"jjjjmmdd")</f>
        <v>19400311</v>
      </c>
      <c r="C282" s="64" t="str">
        <f>IF(MOD(ROWS(C$2:C282)-1,4)=3,"24.00",INDEX(Data,3,2+MOD(ROWS(C$2:C282)-1,4)))</f>
        <v>07.00</v>
      </c>
      <c r="D282" s="18">
        <f t="shared" ca="1" si="85"/>
        <v>758.7</v>
      </c>
      <c r="E282" s="17">
        <f t="shared" ca="1" si="86"/>
        <v>0</v>
      </c>
      <c r="F282" s="18">
        <f t="shared" ca="1" si="87"/>
        <v>26.9</v>
      </c>
      <c r="G282" s="17">
        <f t="shared" ca="1" si="88"/>
        <v>0</v>
      </c>
      <c r="H282" s="18" t="str">
        <f t="shared" ca="1" si="89"/>
        <v>—</v>
      </c>
      <c r="I282" s="17">
        <f t="shared" ca="1" si="90"/>
        <v>7</v>
      </c>
      <c r="J282" s="18" t="str">
        <f t="shared" ca="1" si="91"/>
        <v>—</v>
      </c>
      <c r="K282" s="17">
        <f t="shared" ca="1" si="92"/>
        <v>7</v>
      </c>
      <c r="L282" s="10">
        <f t="shared" ca="1" si="93"/>
        <v>77</v>
      </c>
      <c r="M282" s="17">
        <f t="shared" ca="1" si="94"/>
        <v>0</v>
      </c>
      <c r="N282" s="18">
        <f t="shared" ca="1" si="95"/>
        <v>20.6</v>
      </c>
      <c r="O282" s="17">
        <f t="shared" ca="1" si="96"/>
        <v>0</v>
      </c>
      <c r="P282" s="18">
        <f t="shared" ca="1" si="97"/>
        <v>23.8</v>
      </c>
      <c r="Q282" s="17">
        <f t="shared" ca="1" si="98"/>
        <v>0</v>
      </c>
      <c r="R282" s="10">
        <f t="shared" ca="1" si="99"/>
        <v>65</v>
      </c>
      <c r="S282" s="17">
        <f t="shared" ca="1" si="100"/>
        <v>0</v>
      </c>
      <c r="T282" s="70">
        <f t="shared" ca="1" si="101"/>
        <v>0.3</v>
      </c>
      <c r="U282" s="17">
        <f t="shared" ca="1" si="102"/>
        <v>0</v>
      </c>
      <c r="V282" s="71">
        <f t="shared" ca="1" si="103"/>
        <v>3</v>
      </c>
      <c r="W282" s="17">
        <f t="shared" ca="1" si="104"/>
        <v>0</v>
      </c>
    </row>
    <row r="283" spans="1:23" x14ac:dyDescent="0.25">
      <c r="A283" s="4">
        <f t="shared" si="84"/>
        <v>32</v>
      </c>
      <c r="B283" t="str">
        <f ca="1">TEXT(DATE(YEAR(Invoer!$A$6),1,1)+INT((ROWS(B$2:B283)-1)/4),"jjjjmmdd")</f>
        <v>19400311</v>
      </c>
      <c r="C283" s="64" t="str">
        <f>IF(MOD(ROWS(C$2:C283)-1,4)=3,"24.00",INDEX(Data,3,2+MOD(ROWS(C$2:C283)-1,4)))</f>
        <v>12.00</v>
      </c>
      <c r="D283" s="18">
        <f t="shared" ca="1" si="85"/>
        <v>758.2</v>
      </c>
      <c r="E283" s="17">
        <f t="shared" ca="1" si="86"/>
        <v>0</v>
      </c>
      <c r="F283" s="18">
        <f t="shared" ca="1" si="87"/>
        <v>27.3</v>
      </c>
      <c r="G283" s="17">
        <f t="shared" ca="1" si="88"/>
        <v>0</v>
      </c>
      <c r="H283" s="18" t="str">
        <f t="shared" ca="1" si="89"/>
        <v>—</v>
      </c>
      <c r="I283" s="17">
        <f t="shared" ca="1" si="90"/>
        <v>7</v>
      </c>
      <c r="J283" s="18" t="str">
        <f t="shared" ca="1" si="91"/>
        <v>—</v>
      </c>
      <c r="K283" s="17">
        <f t="shared" ca="1" si="92"/>
        <v>7</v>
      </c>
      <c r="L283" s="10">
        <f t="shared" ca="1" si="93"/>
        <v>72</v>
      </c>
      <c r="M283" s="17">
        <f t="shared" ca="1" si="94"/>
        <v>0</v>
      </c>
      <c r="N283" s="18">
        <f t="shared" ca="1" si="95"/>
        <v>19.600000000000001</v>
      </c>
      <c r="O283" s="17">
        <f t="shared" ca="1" si="96"/>
        <v>0</v>
      </c>
      <c r="P283" s="18">
        <f t="shared" ca="1" si="97"/>
        <v>23.4</v>
      </c>
      <c r="Q283" s="17">
        <f t="shared" ca="1" si="98"/>
        <v>0</v>
      </c>
      <c r="R283" s="10">
        <f t="shared" ca="1" si="99"/>
        <v>65</v>
      </c>
      <c r="S283" s="17">
        <f t="shared" ca="1" si="100"/>
        <v>0</v>
      </c>
      <c r="T283" s="70">
        <f t="shared" ca="1" si="101"/>
        <v>0.4</v>
      </c>
      <c r="U283" s="17">
        <f t="shared" ca="1" si="102"/>
        <v>0</v>
      </c>
      <c r="V283" s="71">
        <f t="shared" ca="1" si="103"/>
        <v>4</v>
      </c>
      <c r="W283" s="17">
        <f t="shared" ca="1" si="104"/>
        <v>0</v>
      </c>
    </row>
    <row r="284" spans="1:23" x14ac:dyDescent="0.25">
      <c r="A284" s="4">
        <f t="shared" si="84"/>
        <v>32</v>
      </c>
      <c r="B284" t="str">
        <f ca="1">TEXT(DATE(YEAR(Invoer!$A$6),1,1)+INT((ROWS(B$2:B284)-1)/4),"jjjjmmdd")</f>
        <v>19400311</v>
      </c>
      <c r="C284" s="64" t="str">
        <f>IF(MOD(ROWS(C$2:C284)-1,4)=3,"24.00",INDEX(Data,3,2+MOD(ROWS(C$2:C284)-1,4)))</f>
        <v>17.00</v>
      </c>
      <c r="D284" s="18">
        <f t="shared" ca="1" si="85"/>
        <v>758.2</v>
      </c>
      <c r="E284" s="17">
        <f t="shared" ca="1" si="86"/>
        <v>0</v>
      </c>
      <c r="F284" s="18">
        <f t="shared" ca="1" si="87"/>
        <v>27</v>
      </c>
      <c r="G284" s="17">
        <f t="shared" ca="1" si="88"/>
        <v>0</v>
      </c>
      <c r="H284" s="18" t="str">
        <f t="shared" ca="1" si="89"/>
        <v>—</v>
      </c>
      <c r="I284" s="17">
        <f t="shared" ca="1" si="90"/>
        <v>7</v>
      </c>
      <c r="J284" s="18" t="str">
        <f t="shared" ca="1" si="91"/>
        <v>—</v>
      </c>
      <c r="K284" s="17">
        <f t="shared" ca="1" si="92"/>
        <v>7</v>
      </c>
      <c r="L284" s="10">
        <f t="shared" ca="1" si="93"/>
        <v>73</v>
      </c>
      <c r="M284" s="17">
        <f t="shared" ca="1" si="94"/>
        <v>0</v>
      </c>
      <c r="N284" s="18">
        <f t="shared" ca="1" si="95"/>
        <v>19.399999999999999</v>
      </c>
      <c r="O284" s="17">
        <f t="shared" ca="1" si="96"/>
        <v>0</v>
      </c>
      <c r="P284" s="18">
        <f t="shared" ca="1" si="97"/>
        <v>23.2</v>
      </c>
      <c r="Q284" s="17">
        <f t="shared" ca="1" si="98"/>
        <v>0</v>
      </c>
      <c r="R284" s="10">
        <f t="shared" ca="1" si="99"/>
        <v>45</v>
      </c>
      <c r="S284" s="17">
        <f t="shared" ca="1" si="100"/>
        <v>0</v>
      </c>
      <c r="T284" s="70">
        <f t="shared" ca="1" si="101"/>
        <v>0.4</v>
      </c>
      <c r="U284" s="17">
        <f t="shared" ca="1" si="102"/>
        <v>0</v>
      </c>
      <c r="V284" s="71">
        <f t="shared" ca="1" si="103"/>
        <v>3</v>
      </c>
      <c r="W284" s="17">
        <f t="shared" ca="1" si="104"/>
        <v>0</v>
      </c>
    </row>
    <row r="285" spans="1:23" x14ac:dyDescent="0.25">
      <c r="A285" s="4">
        <f t="shared" si="84"/>
        <v>32</v>
      </c>
      <c r="B285" t="str">
        <f ca="1">TEXT(DATE(YEAR(Invoer!$A$6),1,1)+INT((ROWS(B$2:B285)-1)/4),"jjjjmmdd")</f>
        <v>19400311</v>
      </c>
      <c r="C285" s="64" t="str">
        <f>IF(MOD(ROWS(C$2:C285)-1,4)=3,"24.00",INDEX(Data,3,2+MOD(ROWS(C$2:C285)-1,4)))</f>
        <v>24.00</v>
      </c>
      <c r="D285" s="18" t="str">
        <f t="shared" ca="1" si="85"/>
        <v>—</v>
      </c>
      <c r="E285" s="17">
        <f t="shared" ca="1" si="86"/>
        <v>7</v>
      </c>
      <c r="F285" s="18" t="str">
        <f t="shared" ca="1" si="87"/>
        <v>—</v>
      </c>
      <c r="G285" s="17">
        <f t="shared" ca="1" si="88"/>
        <v>7</v>
      </c>
      <c r="H285" s="18">
        <f t="shared" ca="1" si="89"/>
        <v>27.8</v>
      </c>
      <c r="I285" s="17">
        <f t="shared" ca="1" si="90"/>
        <v>0</v>
      </c>
      <c r="J285" s="18">
        <f t="shared" ca="1" si="91"/>
        <v>29.4</v>
      </c>
      <c r="K285" s="17">
        <f t="shared" ca="1" si="92"/>
        <v>0</v>
      </c>
      <c r="L285" s="10" t="str">
        <f t="shared" ca="1" si="93"/>
        <v>—</v>
      </c>
      <c r="M285" s="17">
        <f t="shared" ca="1" si="94"/>
        <v>7</v>
      </c>
      <c r="N285" s="18" t="str">
        <f t="shared" ca="1" si="95"/>
        <v>—</v>
      </c>
      <c r="O285" s="17">
        <f t="shared" ca="1" si="96"/>
        <v>7</v>
      </c>
      <c r="P285" s="18" t="str">
        <f t="shared" ca="1" si="97"/>
        <v>—</v>
      </c>
      <c r="Q285" s="17">
        <f t="shared" ca="1" si="98"/>
        <v>7</v>
      </c>
      <c r="R285" s="10" t="str">
        <f t="shared" ca="1" si="99"/>
        <v>—</v>
      </c>
      <c r="S285" s="17">
        <f t="shared" ca="1" si="100"/>
        <v>7</v>
      </c>
      <c r="T285" s="70" t="str">
        <f t="shared" ca="1" si="101"/>
        <v>—</v>
      </c>
      <c r="U285" s="17">
        <f t="shared" ca="1" si="102"/>
        <v>7</v>
      </c>
      <c r="V285" s="71" t="str">
        <f t="shared" ca="1" si="103"/>
        <v>—</v>
      </c>
      <c r="W285" s="17">
        <f t="shared" ca="1" si="104"/>
        <v>7</v>
      </c>
    </row>
    <row r="286" spans="1:23" x14ac:dyDescent="0.25">
      <c r="A286" s="4">
        <f t="shared" si="84"/>
        <v>32</v>
      </c>
      <c r="B286" t="str">
        <f ca="1">TEXT(DATE(YEAR(Invoer!$A$6),1,1)+INT((ROWS(B$2:B286)-1)/4),"jjjjmmdd")</f>
        <v>19400312</v>
      </c>
      <c r="C286" s="64" t="str">
        <f>IF(MOD(ROWS(C$2:C286)-1,4)=3,"24.00",INDEX(Data,3,2+MOD(ROWS(C$2:C286)-1,4)))</f>
        <v>07.00</v>
      </c>
      <c r="D286" s="18">
        <f t="shared" ca="1" si="85"/>
        <v>758.7</v>
      </c>
      <c r="E286" s="17">
        <f t="shared" ca="1" si="86"/>
        <v>0</v>
      </c>
      <c r="F286" s="18">
        <f t="shared" ca="1" si="87"/>
        <v>28</v>
      </c>
      <c r="G286" s="17">
        <f t="shared" ca="1" si="88"/>
        <v>0</v>
      </c>
      <c r="H286" s="18" t="str">
        <f t="shared" ca="1" si="89"/>
        <v>—</v>
      </c>
      <c r="I286" s="17">
        <f t="shared" ca="1" si="90"/>
        <v>7</v>
      </c>
      <c r="J286" s="18" t="str">
        <f t="shared" ca="1" si="91"/>
        <v>—</v>
      </c>
      <c r="K286" s="17">
        <f t="shared" ca="1" si="92"/>
        <v>7</v>
      </c>
      <c r="L286" s="10">
        <f t="shared" ca="1" si="93"/>
        <v>66</v>
      </c>
      <c r="M286" s="17">
        <f t="shared" ca="1" si="94"/>
        <v>0</v>
      </c>
      <c r="N286" s="18">
        <f t="shared" ca="1" si="95"/>
        <v>18.8</v>
      </c>
      <c r="O286" s="17">
        <f t="shared" ca="1" si="96"/>
        <v>0</v>
      </c>
      <c r="P286" s="18">
        <f t="shared" ca="1" si="97"/>
        <v>23.1</v>
      </c>
      <c r="Q286" s="17">
        <f t="shared" ca="1" si="98"/>
        <v>0</v>
      </c>
      <c r="R286" s="10">
        <f t="shared" ca="1" si="99"/>
        <v>65</v>
      </c>
      <c r="S286" s="17">
        <f t="shared" ca="1" si="100"/>
        <v>0</v>
      </c>
      <c r="T286" s="70">
        <f t="shared" ca="1" si="101"/>
        <v>0.3</v>
      </c>
      <c r="U286" s="17">
        <f t="shared" ca="1" si="102"/>
        <v>0</v>
      </c>
      <c r="V286" s="71">
        <f t="shared" ca="1" si="103"/>
        <v>2</v>
      </c>
      <c r="W286" s="17">
        <f t="shared" ca="1" si="104"/>
        <v>0</v>
      </c>
    </row>
    <row r="287" spans="1:23" x14ac:dyDescent="0.25">
      <c r="A287" s="4">
        <f t="shared" si="84"/>
        <v>32</v>
      </c>
      <c r="B287" t="str">
        <f ca="1">TEXT(DATE(YEAR(Invoer!$A$6),1,1)+INT((ROWS(B$2:B287)-1)/4),"jjjjmmdd")</f>
        <v>19400312</v>
      </c>
      <c r="C287" s="64" t="str">
        <f>IF(MOD(ROWS(C$2:C287)-1,4)=3,"24.00",INDEX(Data,3,2+MOD(ROWS(C$2:C287)-1,4)))</f>
        <v>12.00</v>
      </c>
      <c r="D287" s="18">
        <f t="shared" ca="1" si="85"/>
        <v>759.2</v>
      </c>
      <c r="E287" s="17">
        <f t="shared" ca="1" si="86"/>
        <v>0</v>
      </c>
      <c r="F287" s="18">
        <f t="shared" ca="1" si="87"/>
        <v>28.5</v>
      </c>
      <c r="G287" s="17">
        <f t="shared" ca="1" si="88"/>
        <v>0</v>
      </c>
      <c r="H287" s="18" t="str">
        <f t="shared" ca="1" si="89"/>
        <v>—</v>
      </c>
      <c r="I287" s="17">
        <f t="shared" ca="1" si="90"/>
        <v>7</v>
      </c>
      <c r="J287" s="18" t="str">
        <f t="shared" ca="1" si="91"/>
        <v>—</v>
      </c>
      <c r="K287" s="17">
        <f t="shared" ca="1" si="92"/>
        <v>7</v>
      </c>
      <c r="L287" s="10">
        <f t="shared" ca="1" si="93"/>
        <v>65</v>
      </c>
      <c r="M287" s="17">
        <f t="shared" ca="1" si="94"/>
        <v>0</v>
      </c>
      <c r="N287" s="18">
        <f t="shared" ca="1" si="95"/>
        <v>19</v>
      </c>
      <c r="O287" s="17">
        <f t="shared" ca="1" si="96"/>
        <v>0</v>
      </c>
      <c r="P287" s="18">
        <f t="shared" ca="1" si="97"/>
        <v>23.4</v>
      </c>
      <c r="Q287" s="17">
        <f t="shared" ca="1" si="98"/>
        <v>0</v>
      </c>
      <c r="R287" s="10">
        <f t="shared" ca="1" si="99"/>
        <v>45</v>
      </c>
      <c r="S287" s="17">
        <f t="shared" ca="1" si="100"/>
        <v>0</v>
      </c>
      <c r="T287" s="70">
        <f t="shared" ca="1" si="101"/>
        <v>0.4</v>
      </c>
      <c r="U287" s="17">
        <f t="shared" ca="1" si="102"/>
        <v>0</v>
      </c>
      <c r="V287" s="71">
        <f t="shared" ca="1" si="103"/>
        <v>3</v>
      </c>
      <c r="W287" s="17">
        <f t="shared" ca="1" si="104"/>
        <v>0</v>
      </c>
    </row>
    <row r="288" spans="1:23" x14ac:dyDescent="0.25">
      <c r="A288" s="4">
        <f t="shared" si="84"/>
        <v>32</v>
      </c>
      <c r="B288" t="str">
        <f ca="1">TEXT(DATE(YEAR(Invoer!$A$6),1,1)+INT((ROWS(B$2:B288)-1)/4),"jjjjmmdd")</f>
        <v>19400312</v>
      </c>
      <c r="C288" s="64" t="str">
        <f>IF(MOD(ROWS(C$2:C288)-1,4)=3,"24.00",INDEX(Data,3,2+MOD(ROWS(C$2:C288)-1,4)))</f>
        <v>17.00</v>
      </c>
      <c r="D288" s="18">
        <f t="shared" ca="1" si="85"/>
        <v>758.5</v>
      </c>
      <c r="E288" s="17">
        <f t="shared" ca="1" si="86"/>
        <v>0</v>
      </c>
      <c r="F288" s="18">
        <f t="shared" ca="1" si="87"/>
        <v>27.9</v>
      </c>
      <c r="G288" s="17">
        <f t="shared" ca="1" si="88"/>
        <v>0</v>
      </c>
      <c r="H288" s="18" t="str">
        <f t="shared" ca="1" si="89"/>
        <v>—</v>
      </c>
      <c r="I288" s="17">
        <f t="shared" ca="1" si="90"/>
        <v>7</v>
      </c>
      <c r="J288" s="18" t="str">
        <f t="shared" ca="1" si="91"/>
        <v>—</v>
      </c>
      <c r="K288" s="17">
        <f t="shared" ca="1" si="92"/>
        <v>7</v>
      </c>
      <c r="L288" s="10">
        <f t="shared" ca="1" si="93"/>
        <v>67</v>
      </c>
      <c r="M288" s="17">
        <f t="shared" ca="1" si="94"/>
        <v>0</v>
      </c>
      <c r="N288" s="18">
        <f t="shared" ca="1" si="95"/>
        <v>19</v>
      </c>
      <c r="O288" s="17">
        <f t="shared" ca="1" si="96"/>
        <v>0</v>
      </c>
      <c r="P288" s="18">
        <f t="shared" ca="1" si="97"/>
        <v>23.2</v>
      </c>
      <c r="Q288" s="17">
        <f t="shared" ca="1" si="98"/>
        <v>0</v>
      </c>
      <c r="R288" s="10">
        <f t="shared" ca="1" si="99"/>
        <v>45</v>
      </c>
      <c r="S288" s="17">
        <f t="shared" ca="1" si="100"/>
        <v>0</v>
      </c>
      <c r="T288" s="70">
        <f t="shared" ca="1" si="101"/>
        <v>0.5</v>
      </c>
      <c r="U288" s="17">
        <f t="shared" ca="1" si="102"/>
        <v>0</v>
      </c>
      <c r="V288" s="71">
        <f t="shared" ca="1" si="103"/>
        <v>3</v>
      </c>
      <c r="W288" s="17">
        <f t="shared" ca="1" si="104"/>
        <v>0</v>
      </c>
    </row>
    <row r="289" spans="1:23" x14ac:dyDescent="0.25">
      <c r="A289" s="4">
        <f t="shared" si="84"/>
        <v>32</v>
      </c>
      <c r="B289" t="str">
        <f ca="1">TEXT(DATE(YEAR(Invoer!$A$6),1,1)+INT((ROWS(B$2:B289)-1)/4),"jjjjmmdd")</f>
        <v>19400312</v>
      </c>
      <c r="C289" s="64" t="str">
        <f>IF(MOD(ROWS(C$2:C289)-1,4)=3,"24.00",INDEX(Data,3,2+MOD(ROWS(C$2:C289)-1,4)))</f>
        <v>24.00</v>
      </c>
      <c r="D289" s="18" t="str">
        <f t="shared" ca="1" si="85"/>
        <v>—</v>
      </c>
      <c r="E289" s="17">
        <f t="shared" ca="1" si="86"/>
        <v>7</v>
      </c>
      <c r="F289" s="18" t="str">
        <f t="shared" ca="1" si="87"/>
        <v>—</v>
      </c>
      <c r="G289" s="17">
        <f t="shared" ca="1" si="88"/>
        <v>7</v>
      </c>
      <c r="H289" s="18">
        <f t="shared" ca="1" si="89"/>
        <v>29.6</v>
      </c>
      <c r="I289" s="17">
        <f t="shared" ca="1" si="90"/>
        <v>0</v>
      </c>
      <c r="J289" s="18">
        <f t="shared" ca="1" si="91"/>
        <v>30.8</v>
      </c>
      <c r="K289" s="17">
        <f t="shared" ca="1" si="92"/>
        <v>0</v>
      </c>
      <c r="L289" s="10" t="str">
        <f t="shared" ca="1" si="93"/>
        <v>—</v>
      </c>
      <c r="M289" s="17">
        <f t="shared" ca="1" si="94"/>
        <v>7</v>
      </c>
      <c r="N289" s="18" t="str">
        <f t="shared" ca="1" si="95"/>
        <v>—</v>
      </c>
      <c r="O289" s="17">
        <f t="shared" ca="1" si="96"/>
        <v>7</v>
      </c>
      <c r="P289" s="18" t="str">
        <f t="shared" ca="1" si="97"/>
        <v>—</v>
      </c>
      <c r="Q289" s="17">
        <f t="shared" ca="1" si="98"/>
        <v>7</v>
      </c>
      <c r="R289" s="10" t="str">
        <f t="shared" ca="1" si="99"/>
        <v>—</v>
      </c>
      <c r="S289" s="17">
        <f t="shared" ca="1" si="100"/>
        <v>7</v>
      </c>
      <c r="T289" s="70" t="str">
        <f t="shared" ca="1" si="101"/>
        <v>—</v>
      </c>
      <c r="U289" s="17">
        <f t="shared" ca="1" si="102"/>
        <v>7</v>
      </c>
      <c r="V289" s="71" t="str">
        <f t="shared" ca="1" si="103"/>
        <v>—</v>
      </c>
      <c r="W289" s="17">
        <f t="shared" ca="1" si="104"/>
        <v>7</v>
      </c>
    </row>
    <row r="290" spans="1:23" x14ac:dyDescent="0.25">
      <c r="A290" s="4">
        <f t="shared" si="84"/>
        <v>32</v>
      </c>
      <c r="B290" t="str">
        <f ca="1">TEXT(DATE(YEAR(Invoer!$A$6),1,1)+INT((ROWS(B$2:B290)-1)/4),"jjjjmmdd")</f>
        <v>19400313</v>
      </c>
      <c r="C290" s="64" t="str">
        <f>IF(MOD(ROWS(C$2:C290)-1,4)=3,"24.00",INDEX(Data,3,2+MOD(ROWS(C$2:C290)-1,4)))</f>
        <v>07.00</v>
      </c>
      <c r="D290" s="18">
        <f t="shared" ca="1" si="85"/>
        <v>759.7</v>
      </c>
      <c r="E290" s="17">
        <f t="shared" ca="1" si="86"/>
        <v>0</v>
      </c>
      <c r="F290" s="18">
        <f t="shared" ca="1" si="87"/>
        <v>26.1</v>
      </c>
      <c r="G290" s="17">
        <f t="shared" ca="1" si="88"/>
        <v>0</v>
      </c>
      <c r="H290" s="18" t="str">
        <f t="shared" ca="1" si="89"/>
        <v>—</v>
      </c>
      <c r="I290" s="17">
        <f t="shared" ca="1" si="90"/>
        <v>7</v>
      </c>
      <c r="J290" s="18" t="str">
        <f t="shared" ca="1" si="91"/>
        <v>—</v>
      </c>
      <c r="K290" s="17">
        <f t="shared" ca="1" si="92"/>
        <v>7</v>
      </c>
      <c r="L290" s="10">
        <f t="shared" ca="1" si="93"/>
        <v>81</v>
      </c>
      <c r="M290" s="17">
        <f t="shared" ca="1" si="94"/>
        <v>0</v>
      </c>
      <c r="N290" s="18">
        <f t="shared" ca="1" si="95"/>
        <v>20.6</v>
      </c>
      <c r="O290" s="17">
        <f t="shared" ca="1" si="96"/>
        <v>0</v>
      </c>
      <c r="P290" s="18">
        <f t="shared" ca="1" si="97"/>
        <v>23.6</v>
      </c>
      <c r="Q290" s="17">
        <f t="shared" ca="1" si="98"/>
        <v>0</v>
      </c>
      <c r="R290" s="10">
        <f t="shared" ca="1" si="99"/>
        <v>45</v>
      </c>
      <c r="S290" s="17">
        <f t="shared" ca="1" si="100"/>
        <v>0</v>
      </c>
      <c r="T290" s="70">
        <f t="shared" ca="1" si="101"/>
        <v>0.4</v>
      </c>
      <c r="U290" s="17">
        <f t="shared" ca="1" si="102"/>
        <v>0</v>
      </c>
      <c r="V290" s="71">
        <f t="shared" ca="1" si="103"/>
        <v>2</v>
      </c>
      <c r="W290" s="17">
        <f t="shared" ca="1" si="104"/>
        <v>0</v>
      </c>
    </row>
    <row r="291" spans="1:23" x14ac:dyDescent="0.25">
      <c r="A291" s="4">
        <f t="shared" si="84"/>
        <v>32</v>
      </c>
      <c r="B291" t="str">
        <f ca="1">TEXT(DATE(YEAR(Invoer!$A$6),1,1)+INT((ROWS(B$2:B291)-1)/4),"jjjjmmdd")</f>
        <v>19400313</v>
      </c>
      <c r="C291" s="64" t="str">
        <f>IF(MOD(ROWS(C$2:C291)-1,4)=3,"24.00",INDEX(Data,3,2+MOD(ROWS(C$2:C291)-1,4)))</f>
        <v>12.00</v>
      </c>
      <c r="D291" s="18">
        <f t="shared" ca="1" si="85"/>
        <v>759.2</v>
      </c>
      <c r="E291" s="17">
        <f t="shared" ca="1" si="86"/>
        <v>0</v>
      </c>
      <c r="F291" s="18">
        <f t="shared" ca="1" si="87"/>
        <v>27.4</v>
      </c>
      <c r="G291" s="17">
        <f t="shared" ca="1" si="88"/>
        <v>0</v>
      </c>
      <c r="H291" s="18" t="str">
        <f t="shared" ca="1" si="89"/>
        <v>—</v>
      </c>
      <c r="I291" s="17">
        <f t="shared" ca="1" si="90"/>
        <v>7</v>
      </c>
      <c r="J291" s="18" t="str">
        <f t="shared" ca="1" si="91"/>
        <v>—</v>
      </c>
      <c r="K291" s="17">
        <f t="shared" ca="1" si="92"/>
        <v>7</v>
      </c>
      <c r="L291" s="10">
        <f t="shared" ca="1" si="93"/>
        <v>74</v>
      </c>
      <c r="M291" s="17">
        <f t="shared" ca="1" si="94"/>
        <v>0</v>
      </c>
      <c r="N291" s="18">
        <f t="shared" ca="1" si="95"/>
        <v>20.3</v>
      </c>
      <c r="O291" s="17">
        <f t="shared" ca="1" si="96"/>
        <v>0</v>
      </c>
      <c r="P291" s="18">
        <f t="shared" ca="1" si="97"/>
        <v>23.8</v>
      </c>
      <c r="Q291" s="17">
        <f t="shared" ca="1" si="98"/>
        <v>0</v>
      </c>
      <c r="R291" s="10">
        <f t="shared" ca="1" si="99"/>
        <v>45</v>
      </c>
      <c r="S291" s="17">
        <f t="shared" ca="1" si="100"/>
        <v>0</v>
      </c>
      <c r="T291" s="70">
        <f t="shared" ca="1" si="101"/>
        <v>0.5</v>
      </c>
      <c r="U291" s="17">
        <f t="shared" ca="1" si="102"/>
        <v>0</v>
      </c>
      <c r="V291" s="71">
        <f t="shared" ca="1" si="103"/>
        <v>3</v>
      </c>
      <c r="W291" s="17">
        <f t="shared" ca="1" si="104"/>
        <v>0</v>
      </c>
    </row>
    <row r="292" spans="1:23" x14ac:dyDescent="0.25">
      <c r="A292" s="4">
        <f t="shared" si="84"/>
        <v>32</v>
      </c>
      <c r="B292" t="str">
        <f ca="1">TEXT(DATE(YEAR(Invoer!$A$6),1,1)+INT((ROWS(B$2:B292)-1)/4),"jjjjmmdd")</f>
        <v>19400313</v>
      </c>
      <c r="C292" s="64" t="str">
        <f>IF(MOD(ROWS(C$2:C292)-1,4)=3,"24.00",INDEX(Data,3,2+MOD(ROWS(C$2:C292)-1,4)))</f>
        <v>17.00</v>
      </c>
      <c r="D292" s="18">
        <f t="shared" ca="1" si="85"/>
        <v>758.2</v>
      </c>
      <c r="E292" s="17">
        <f t="shared" ca="1" si="86"/>
        <v>0</v>
      </c>
      <c r="F292" s="18">
        <f t="shared" ca="1" si="87"/>
        <v>27.4</v>
      </c>
      <c r="G292" s="17">
        <f t="shared" ca="1" si="88"/>
        <v>0</v>
      </c>
      <c r="H292" s="18" t="str">
        <f t="shared" ca="1" si="89"/>
        <v>—</v>
      </c>
      <c r="I292" s="17">
        <f t="shared" ca="1" si="90"/>
        <v>7</v>
      </c>
      <c r="J292" s="18" t="str">
        <f t="shared" ca="1" si="91"/>
        <v>—</v>
      </c>
      <c r="K292" s="17">
        <f t="shared" ca="1" si="92"/>
        <v>7</v>
      </c>
      <c r="L292" s="10">
        <f t="shared" ca="1" si="93"/>
        <v>73</v>
      </c>
      <c r="M292" s="17">
        <f t="shared" ca="1" si="94"/>
        <v>0</v>
      </c>
      <c r="N292" s="18">
        <f t="shared" ca="1" si="95"/>
        <v>19.899999999999999</v>
      </c>
      <c r="O292" s="17">
        <f t="shared" ca="1" si="96"/>
        <v>0</v>
      </c>
      <c r="P292" s="18">
        <f t="shared" ca="1" si="97"/>
        <v>23.6</v>
      </c>
      <c r="Q292" s="17">
        <f t="shared" ca="1" si="98"/>
        <v>0</v>
      </c>
      <c r="R292" s="10">
        <f t="shared" ca="1" si="99"/>
        <v>45</v>
      </c>
      <c r="S292" s="17">
        <f t="shared" ca="1" si="100"/>
        <v>0</v>
      </c>
      <c r="T292" s="70">
        <f t="shared" ca="1" si="101"/>
        <v>0.5</v>
      </c>
      <c r="U292" s="17">
        <f t="shared" ca="1" si="102"/>
        <v>0</v>
      </c>
      <c r="V292" s="71">
        <f t="shared" ca="1" si="103"/>
        <v>4</v>
      </c>
      <c r="W292" s="17">
        <f t="shared" ca="1" si="104"/>
        <v>0</v>
      </c>
    </row>
    <row r="293" spans="1:23" x14ac:dyDescent="0.25">
      <c r="A293" s="4">
        <f t="shared" si="84"/>
        <v>32</v>
      </c>
      <c r="B293" t="str">
        <f ca="1">TEXT(DATE(YEAR(Invoer!$A$6),1,1)+INT((ROWS(B$2:B293)-1)/4),"jjjjmmdd")</f>
        <v>19400313</v>
      </c>
      <c r="C293" s="64" t="str">
        <f>IF(MOD(ROWS(C$2:C293)-1,4)=3,"24.00",INDEX(Data,3,2+MOD(ROWS(C$2:C293)-1,4)))</f>
        <v>24.00</v>
      </c>
      <c r="D293" s="18" t="str">
        <f t="shared" ca="1" si="85"/>
        <v>—</v>
      </c>
      <c r="E293" s="17">
        <f t="shared" ca="1" si="86"/>
        <v>7</v>
      </c>
      <c r="F293" s="18" t="str">
        <f t="shared" ca="1" si="87"/>
        <v>—</v>
      </c>
      <c r="G293" s="17">
        <f t="shared" ca="1" si="88"/>
        <v>7</v>
      </c>
      <c r="H293" s="18">
        <f t="shared" ca="1" si="89"/>
        <v>27.4</v>
      </c>
      <c r="I293" s="17">
        <f t="shared" ca="1" si="90"/>
        <v>0</v>
      </c>
      <c r="J293" s="18">
        <f t="shared" ca="1" si="91"/>
        <v>31</v>
      </c>
      <c r="K293" s="17">
        <f t="shared" ca="1" si="92"/>
        <v>0</v>
      </c>
      <c r="L293" s="10" t="str">
        <f t="shared" ca="1" si="93"/>
        <v>—</v>
      </c>
      <c r="M293" s="17">
        <f t="shared" ca="1" si="94"/>
        <v>7</v>
      </c>
      <c r="N293" s="18" t="str">
        <f t="shared" ca="1" si="95"/>
        <v>—</v>
      </c>
      <c r="O293" s="17">
        <f t="shared" ca="1" si="96"/>
        <v>7</v>
      </c>
      <c r="P293" s="18" t="str">
        <f t="shared" ca="1" si="97"/>
        <v>—</v>
      </c>
      <c r="Q293" s="17">
        <f t="shared" ca="1" si="98"/>
        <v>7</v>
      </c>
      <c r="R293" s="10" t="str">
        <f t="shared" ca="1" si="99"/>
        <v>—</v>
      </c>
      <c r="S293" s="17">
        <f t="shared" ca="1" si="100"/>
        <v>7</v>
      </c>
      <c r="T293" s="70" t="str">
        <f t="shared" ca="1" si="101"/>
        <v>—</v>
      </c>
      <c r="U293" s="17">
        <f t="shared" ca="1" si="102"/>
        <v>7</v>
      </c>
      <c r="V293" s="71" t="str">
        <f t="shared" ca="1" si="103"/>
        <v>—</v>
      </c>
      <c r="W293" s="17">
        <f t="shared" ca="1" si="104"/>
        <v>7</v>
      </c>
    </row>
    <row r="294" spans="1:23" x14ac:dyDescent="0.25">
      <c r="A294" s="4">
        <f t="shared" si="84"/>
        <v>32</v>
      </c>
      <c r="B294" t="str">
        <f ca="1">TEXT(DATE(YEAR(Invoer!$A$6),1,1)+INT((ROWS(B$2:B294)-1)/4),"jjjjmmdd")</f>
        <v>19400314</v>
      </c>
      <c r="C294" s="64" t="str">
        <f>IF(MOD(ROWS(C$2:C294)-1,4)=3,"24.00",INDEX(Data,3,2+MOD(ROWS(C$2:C294)-1,4)))</f>
        <v>07.00</v>
      </c>
      <c r="D294" s="18">
        <f t="shared" ca="1" si="85"/>
        <v>760</v>
      </c>
      <c r="E294" s="17">
        <f t="shared" ca="1" si="86"/>
        <v>0</v>
      </c>
      <c r="F294" s="18">
        <f t="shared" ca="1" si="87"/>
        <v>26.1</v>
      </c>
      <c r="G294" s="17">
        <f t="shared" ca="1" si="88"/>
        <v>0</v>
      </c>
      <c r="H294" s="18" t="str">
        <f t="shared" ca="1" si="89"/>
        <v>—</v>
      </c>
      <c r="I294" s="17">
        <f t="shared" ca="1" si="90"/>
        <v>7</v>
      </c>
      <c r="J294" s="18" t="str">
        <f t="shared" ca="1" si="91"/>
        <v>—</v>
      </c>
      <c r="K294" s="17">
        <f t="shared" ca="1" si="92"/>
        <v>7</v>
      </c>
      <c r="L294" s="10">
        <f t="shared" ca="1" si="93"/>
        <v>77</v>
      </c>
      <c r="M294" s="17">
        <f t="shared" ca="1" si="94"/>
        <v>0</v>
      </c>
      <c r="N294" s="18">
        <f t="shared" ca="1" si="95"/>
        <v>19.5</v>
      </c>
      <c r="O294" s="17">
        <f t="shared" ca="1" si="96"/>
        <v>0</v>
      </c>
      <c r="P294" s="18">
        <f t="shared" ca="1" si="97"/>
        <v>23</v>
      </c>
      <c r="Q294" s="17">
        <f t="shared" ca="1" si="98"/>
        <v>0</v>
      </c>
      <c r="R294" s="10">
        <f t="shared" ca="1" si="99"/>
        <v>65</v>
      </c>
      <c r="S294" s="17">
        <f t="shared" ca="1" si="100"/>
        <v>0</v>
      </c>
      <c r="T294" s="70">
        <f t="shared" ca="1" si="101"/>
        <v>0.3</v>
      </c>
      <c r="U294" s="17">
        <f t="shared" ca="1" si="102"/>
        <v>0</v>
      </c>
      <c r="V294" s="71">
        <f t="shared" ca="1" si="103"/>
        <v>3</v>
      </c>
      <c r="W294" s="17">
        <f t="shared" ca="1" si="104"/>
        <v>0</v>
      </c>
    </row>
    <row r="295" spans="1:23" x14ac:dyDescent="0.25">
      <c r="A295" s="4">
        <f t="shared" si="84"/>
        <v>32</v>
      </c>
      <c r="B295" t="str">
        <f ca="1">TEXT(DATE(YEAR(Invoer!$A$6),1,1)+INT((ROWS(B$2:B295)-1)/4),"jjjjmmdd")</f>
        <v>19400314</v>
      </c>
      <c r="C295" s="64" t="str">
        <f>IF(MOD(ROWS(C$2:C295)-1,4)=3,"24.00",INDEX(Data,3,2+MOD(ROWS(C$2:C295)-1,4)))</f>
        <v>12.00</v>
      </c>
      <c r="D295" s="18">
        <f t="shared" ca="1" si="85"/>
        <v>759.7</v>
      </c>
      <c r="E295" s="17">
        <f t="shared" ca="1" si="86"/>
        <v>0</v>
      </c>
      <c r="F295" s="18">
        <f t="shared" ca="1" si="87"/>
        <v>27.4</v>
      </c>
      <c r="G295" s="17">
        <f t="shared" ca="1" si="88"/>
        <v>0</v>
      </c>
      <c r="H295" s="18" t="str">
        <f t="shared" ca="1" si="89"/>
        <v>—</v>
      </c>
      <c r="I295" s="17">
        <f t="shared" ca="1" si="90"/>
        <v>7</v>
      </c>
      <c r="J295" s="18" t="str">
        <f t="shared" ca="1" si="91"/>
        <v>—</v>
      </c>
      <c r="K295" s="17">
        <f t="shared" ca="1" si="92"/>
        <v>7</v>
      </c>
      <c r="L295" s="10">
        <f t="shared" ca="1" si="93"/>
        <v>73</v>
      </c>
      <c r="M295" s="17">
        <f t="shared" ca="1" si="94"/>
        <v>0</v>
      </c>
      <c r="N295" s="18">
        <f t="shared" ca="1" si="95"/>
        <v>19.899999999999999</v>
      </c>
      <c r="O295" s="17">
        <f t="shared" ca="1" si="96"/>
        <v>0</v>
      </c>
      <c r="P295" s="18">
        <f t="shared" ca="1" si="97"/>
        <v>23.6</v>
      </c>
      <c r="Q295" s="17">
        <f t="shared" ca="1" si="98"/>
        <v>0</v>
      </c>
      <c r="R295" s="10">
        <f t="shared" ca="1" si="99"/>
        <v>45</v>
      </c>
      <c r="S295" s="17">
        <f t="shared" ca="1" si="100"/>
        <v>0</v>
      </c>
      <c r="T295" s="70">
        <f t="shared" ca="1" si="101"/>
        <v>0.5</v>
      </c>
      <c r="U295" s="17">
        <f t="shared" ca="1" si="102"/>
        <v>0</v>
      </c>
      <c r="V295" s="71">
        <f t="shared" ca="1" si="103"/>
        <v>3</v>
      </c>
      <c r="W295" s="17">
        <f t="shared" ca="1" si="104"/>
        <v>0</v>
      </c>
    </row>
    <row r="296" spans="1:23" x14ac:dyDescent="0.25">
      <c r="A296" s="4">
        <f t="shared" si="84"/>
        <v>32</v>
      </c>
      <c r="B296" t="str">
        <f ca="1">TEXT(DATE(YEAR(Invoer!$A$6),1,1)+INT((ROWS(B$2:B296)-1)/4),"jjjjmmdd")</f>
        <v>19400314</v>
      </c>
      <c r="C296" s="64" t="str">
        <f>IF(MOD(ROWS(C$2:C296)-1,4)=3,"24.00",INDEX(Data,3,2+MOD(ROWS(C$2:C296)-1,4)))</f>
        <v>17.00</v>
      </c>
      <c r="D296" s="18">
        <f t="shared" ca="1" si="85"/>
        <v>759.5</v>
      </c>
      <c r="E296" s="17">
        <f t="shared" ca="1" si="86"/>
        <v>0</v>
      </c>
      <c r="F296" s="18">
        <f t="shared" ca="1" si="87"/>
        <v>26.9</v>
      </c>
      <c r="G296" s="17">
        <f t="shared" ca="1" si="88"/>
        <v>0</v>
      </c>
      <c r="H296" s="18" t="str">
        <f t="shared" ca="1" si="89"/>
        <v>—</v>
      </c>
      <c r="I296" s="17">
        <f t="shared" ca="1" si="90"/>
        <v>7</v>
      </c>
      <c r="J296" s="18" t="str">
        <f t="shared" ca="1" si="91"/>
        <v>—</v>
      </c>
      <c r="K296" s="17">
        <f t="shared" ca="1" si="92"/>
        <v>7</v>
      </c>
      <c r="L296" s="10">
        <f t="shared" ca="1" si="93"/>
        <v>72</v>
      </c>
      <c r="M296" s="17">
        <f t="shared" ca="1" si="94"/>
        <v>0</v>
      </c>
      <c r="N296" s="18">
        <f t="shared" ca="1" si="95"/>
        <v>19.100000000000001</v>
      </c>
      <c r="O296" s="17">
        <f t="shared" ca="1" si="96"/>
        <v>0</v>
      </c>
      <c r="P296" s="18">
        <f t="shared" ca="1" si="97"/>
        <v>23</v>
      </c>
      <c r="Q296" s="17">
        <f t="shared" ca="1" si="98"/>
        <v>0</v>
      </c>
      <c r="R296" s="10">
        <f t="shared" ca="1" si="99"/>
        <v>45</v>
      </c>
      <c r="S296" s="17">
        <f t="shared" ca="1" si="100"/>
        <v>0</v>
      </c>
      <c r="T296" s="70">
        <f t="shared" ca="1" si="101"/>
        <v>0.5</v>
      </c>
      <c r="U296" s="17">
        <f t="shared" ca="1" si="102"/>
        <v>0</v>
      </c>
      <c r="V296" s="71">
        <f t="shared" ca="1" si="103"/>
        <v>2</v>
      </c>
      <c r="W296" s="17">
        <f t="shared" ca="1" si="104"/>
        <v>0</v>
      </c>
    </row>
    <row r="297" spans="1:23" x14ac:dyDescent="0.25">
      <c r="A297" s="4">
        <f t="shared" si="84"/>
        <v>32</v>
      </c>
      <c r="B297" t="str">
        <f ca="1">TEXT(DATE(YEAR(Invoer!$A$6),1,1)+INT((ROWS(B$2:B297)-1)/4),"jjjjmmdd")</f>
        <v>19400314</v>
      </c>
      <c r="C297" s="64" t="str">
        <f>IF(MOD(ROWS(C$2:C297)-1,4)=3,"24.00",INDEX(Data,3,2+MOD(ROWS(C$2:C297)-1,4)))</f>
        <v>24.00</v>
      </c>
      <c r="D297" s="18" t="str">
        <f t="shared" ca="1" si="85"/>
        <v>—</v>
      </c>
      <c r="E297" s="17">
        <f t="shared" ca="1" si="86"/>
        <v>7</v>
      </c>
      <c r="F297" s="18" t="str">
        <f t="shared" ca="1" si="87"/>
        <v>—</v>
      </c>
      <c r="G297" s="17">
        <f t="shared" ca="1" si="88"/>
        <v>7</v>
      </c>
      <c r="H297" s="18">
        <f t="shared" ca="1" si="89"/>
        <v>28</v>
      </c>
      <c r="I297" s="17">
        <f t="shared" ca="1" si="90"/>
        <v>0</v>
      </c>
      <c r="J297" s="18">
        <f t="shared" ca="1" si="91"/>
        <v>30.6</v>
      </c>
      <c r="K297" s="17">
        <f t="shared" ca="1" si="92"/>
        <v>0</v>
      </c>
      <c r="L297" s="10" t="str">
        <f t="shared" ca="1" si="93"/>
        <v>—</v>
      </c>
      <c r="M297" s="17">
        <f t="shared" ca="1" si="94"/>
        <v>7</v>
      </c>
      <c r="N297" s="18" t="str">
        <f t="shared" ca="1" si="95"/>
        <v>—</v>
      </c>
      <c r="O297" s="17">
        <f t="shared" ca="1" si="96"/>
        <v>7</v>
      </c>
      <c r="P297" s="18" t="str">
        <f t="shared" ca="1" si="97"/>
        <v>—</v>
      </c>
      <c r="Q297" s="17">
        <f t="shared" ca="1" si="98"/>
        <v>7</v>
      </c>
      <c r="R297" s="10" t="str">
        <f t="shared" ca="1" si="99"/>
        <v>—</v>
      </c>
      <c r="S297" s="17">
        <f t="shared" ca="1" si="100"/>
        <v>7</v>
      </c>
      <c r="T297" s="70" t="str">
        <f t="shared" ca="1" si="101"/>
        <v>—</v>
      </c>
      <c r="U297" s="17">
        <f t="shared" ca="1" si="102"/>
        <v>7</v>
      </c>
      <c r="V297" s="71" t="str">
        <f t="shared" ca="1" si="103"/>
        <v>—</v>
      </c>
      <c r="W297" s="17">
        <f t="shared" ca="1" si="104"/>
        <v>7</v>
      </c>
    </row>
    <row r="298" spans="1:23" x14ac:dyDescent="0.25">
      <c r="A298" s="4">
        <f t="shared" si="84"/>
        <v>32</v>
      </c>
      <c r="B298" t="str">
        <f ca="1">TEXT(DATE(YEAR(Invoer!$A$6),1,1)+INT((ROWS(B$2:B298)-1)/4),"jjjjmmdd")</f>
        <v>19400315</v>
      </c>
      <c r="C298" s="64" t="str">
        <f>IF(MOD(ROWS(C$2:C298)-1,4)=3,"24.00",INDEX(Data,3,2+MOD(ROWS(C$2:C298)-1,4)))</f>
        <v>07.00</v>
      </c>
      <c r="D298" s="18">
        <f t="shared" ca="1" si="85"/>
        <v>759.5</v>
      </c>
      <c r="E298" s="17">
        <f t="shared" ca="1" si="86"/>
        <v>0</v>
      </c>
      <c r="F298" s="18">
        <f t="shared" ca="1" si="87"/>
        <v>25.9</v>
      </c>
      <c r="G298" s="17">
        <f t="shared" ca="1" si="88"/>
        <v>0</v>
      </c>
      <c r="H298" s="18" t="str">
        <f t="shared" ca="1" si="89"/>
        <v>—</v>
      </c>
      <c r="I298" s="17">
        <f t="shared" ca="1" si="90"/>
        <v>7</v>
      </c>
      <c r="J298" s="18" t="str">
        <f t="shared" ca="1" si="91"/>
        <v>—</v>
      </c>
      <c r="K298" s="17">
        <f t="shared" ca="1" si="92"/>
        <v>7</v>
      </c>
      <c r="L298" s="10">
        <f t="shared" ca="1" si="93"/>
        <v>77</v>
      </c>
      <c r="M298" s="17">
        <f t="shared" ca="1" si="94"/>
        <v>0</v>
      </c>
      <c r="N298" s="18">
        <f t="shared" ca="1" si="95"/>
        <v>19.3</v>
      </c>
      <c r="O298" s="17">
        <f t="shared" ca="1" si="96"/>
        <v>0</v>
      </c>
      <c r="P298" s="18">
        <f t="shared" ca="1" si="97"/>
        <v>22.8</v>
      </c>
      <c r="Q298" s="17">
        <f t="shared" ca="1" si="98"/>
        <v>0</v>
      </c>
      <c r="R298" s="10">
        <f t="shared" ca="1" si="99"/>
        <v>45</v>
      </c>
      <c r="S298" s="17">
        <f t="shared" ca="1" si="100"/>
        <v>0</v>
      </c>
      <c r="T298" s="70">
        <f t="shared" ca="1" si="101"/>
        <v>0.4</v>
      </c>
      <c r="U298" s="17">
        <f t="shared" ca="1" si="102"/>
        <v>0</v>
      </c>
      <c r="V298" s="71">
        <f t="shared" ca="1" si="103"/>
        <v>3</v>
      </c>
      <c r="W298" s="17">
        <f t="shared" ca="1" si="104"/>
        <v>0</v>
      </c>
    </row>
    <row r="299" spans="1:23" x14ac:dyDescent="0.25">
      <c r="A299" s="4">
        <f t="shared" si="84"/>
        <v>32</v>
      </c>
      <c r="B299" t="str">
        <f ca="1">TEXT(DATE(YEAR(Invoer!$A$6),1,1)+INT((ROWS(B$2:B299)-1)/4),"jjjjmmdd")</f>
        <v>19400315</v>
      </c>
      <c r="C299" s="64" t="str">
        <f>IF(MOD(ROWS(C$2:C299)-1,4)=3,"24.00",INDEX(Data,3,2+MOD(ROWS(C$2:C299)-1,4)))</f>
        <v>12.00</v>
      </c>
      <c r="D299" s="18">
        <f t="shared" ca="1" si="85"/>
        <v>759.5</v>
      </c>
      <c r="E299" s="17">
        <f t="shared" ca="1" si="86"/>
        <v>0</v>
      </c>
      <c r="F299" s="18">
        <f t="shared" ca="1" si="87"/>
        <v>28</v>
      </c>
      <c r="G299" s="17">
        <f t="shared" ca="1" si="88"/>
        <v>0</v>
      </c>
      <c r="H299" s="18" t="str">
        <f t="shared" ca="1" si="89"/>
        <v>—</v>
      </c>
      <c r="I299" s="17">
        <f t="shared" ca="1" si="90"/>
        <v>7</v>
      </c>
      <c r="J299" s="18" t="str">
        <f t="shared" ca="1" si="91"/>
        <v>—</v>
      </c>
      <c r="K299" s="17">
        <f t="shared" ca="1" si="92"/>
        <v>7</v>
      </c>
      <c r="L299" s="10">
        <f t="shared" ca="1" si="93"/>
        <v>69</v>
      </c>
      <c r="M299" s="17">
        <f t="shared" ca="1" si="94"/>
        <v>0</v>
      </c>
      <c r="N299" s="18">
        <f t="shared" ca="1" si="95"/>
        <v>19.600000000000001</v>
      </c>
      <c r="O299" s="17">
        <f t="shared" ca="1" si="96"/>
        <v>0</v>
      </c>
      <c r="P299" s="18">
        <f t="shared" ca="1" si="97"/>
        <v>23.6</v>
      </c>
      <c r="Q299" s="17">
        <f t="shared" ca="1" si="98"/>
        <v>0</v>
      </c>
      <c r="R299" s="10">
        <f t="shared" ca="1" si="99"/>
        <v>45</v>
      </c>
      <c r="S299" s="17">
        <f t="shared" ca="1" si="100"/>
        <v>0</v>
      </c>
      <c r="T299" s="70">
        <f t="shared" ca="1" si="101"/>
        <v>0.6</v>
      </c>
      <c r="U299" s="17">
        <f t="shared" ca="1" si="102"/>
        <v>0</v>
      </c>
      <c r="V299" s="71">
        <f t="shared" ca="1" si="103"/>
        <v>3</v>
      </c>
      <c r="W299" s="17">
        <f t="shared" ca="1" si="104"/>
        <v>0</v>
      </c>
    </row>
    <row r="300" spans="1:23" x14ac:dyDescent="0.25">
      <c r="A300" s="4">
        <f t="shared" si="84"/>
        <v>32</v>
      </c>
      <c r="B300" t="str">
        <f ca="1">TEXT(DATE(YEAR(Invoer!$A$6),1,1)+INT((ROWS(B$2:B300)-1)/4),"jjjjmmdd")</f>
        <v>19400315</v>
      </c>
      <c r="C300" s="64" t="str">
        <f>IF(MOD(ROWS(C$2:C300)-1,4)=3,"24.00",INDEX(Data,3,2+MOD(ROWS(C$2:C300)-1,4)))</f>
        <v>17.00</v>
      </c>
      <c r="D300" s="18">
        <f t="shared" ca="1" si="85"/>
        <v>759.2</v>
      </c>
      <c r="E300" s="17">
        <f t="shared" ca="1" si="86"/>
        <v>0</v>
      </c>
      <c r="F300" s="18">
        <f t="shared" ca="1" si="87"/>
        <v>27.3</v>
      </c>
      <c r="G300" s="17">
        <f t="shared" ca="1" si="88"/>
        <v>0</v>
      </c>
      <c r="H300" s="18" t="str">
        <f t="shared" ca="1" si="89"/>
        <v>—</v>
      </c>
      <c r="I300" s="17">
        <f t="shared" ca="1" si="90"/>
        <v>7</v>
      </c>
      <c r="J300" s="18" t="str">
        <f t="shared" ca="1" si="91"/>
        <v>—</v>
      </c>
      <c r="K300" s="17">
        <f t="shared" ca="1" si="92"/>
        <v>7</v>
      </c>
      <c r="L300" s="10">
        <f t="shared" ca="1" si="93"/>
        <v>73</v>
      </c>
      <c r="M300" s="17">
        <f t="shared" ca="1" si="94"/>
        <v>0</v>
      </c>
      <c r="N300" s="18">
        <f t="shared" ca="1" si="95"/>
        <v>19.8</v>
      </c>
      <c r="O300" s="17">
        <f t="shared" ca="1" si="96"/>
        <v>0</v>
      </c>
      <c r="P300" s="18">
        <f t="shared" ca="1" si="97"/>
        <v>23.5</v>
      </c>
      <c r="Q300" s="17">
        <f t="shared" ca="1" si="98"/>
        <v>0</v>
      </c>
      <c r="R300" s="10">
        <f t="shared" ca="1" si="99"/>
        <v>45</v>
      </c>
      <c r="S300" s="17">
        <f t="shared" ca="1" si="100"/>
        <v>0</v>
      </c>
      <c r="T300" s="70">
        <f t="shared" ca="1" si="101"/>
        <v>0.6</v>
      </c>
      <c r="U300" s="17">
        <f t="shared" ca="1" si="102"/>
        <v>0</v>
      </c>
      <c r="V300" s="71">
        <f t="shared" ca="1" si="103"/>
        <v>4</v>
      </c>
      <c r="W300" s="17">
        <f t="shared" ca="1" si="104"/>
        <v>0</v>
      </c>
    </row>
    <row r="301" spans="1:23" x14ac:dyDescent="0.25">
      <c r="A301" s="4">
        <f t="shared" si="84"/>
        <v>32</v>
      </c>
      <c r="B301" t="str">
        <f ca="1">TEXT(DATE(YEAR(Invoer!$A$6),1,1)+INT((ROWS(B$2:B301)-1)/4),"jjjjmmdd")</f>
        <v>19400315</v>
      </c>
      <c r="C301" s="64" t="str">
        <f>IF(MOD(ROWS(C$2:C301)-1,4)=3,"24.00",INDEX(Data,3,2+MOD(ROWS(C$2:C301)-1,4)))</f>
        <v>24.00</v>
      </c>
      <c r="D301" s="18" t="str">
        <f t="shared" ca="1" si="85"/>
        <v>—</v>
      </c>
      <c r="E301" s="17">
        <f t="shared" ca="1" si="86"/>
        <v>7</v>
      </c>
      <c r="F301" s="18" t="str">
        <f t="shared" ca="1" si="87"/>
        <v>—</v>
      </c>
      <c r="G301" s="17">
        <f t="shared" ca="1" si="88"/>
        <v>7</v>
      </c>
      <c r="H301" s="18">
        <f t="shared" ca="1" si="89"/>
        <v>29.1</v>
      </c>
      <c r="I301" s="17">
        <f t="shared" ca="1" si="90"/>
        <v>0</v>
      </c>
      <c r="J301" s="18">
        <f t="shared" ca="1" si="91"/>
        <v>30.6</v>
      </c>
      <c r="K301" s="17">
        <f t="shared" ca="1" si="92"/>
        <v>0</v>
      </c>
      <c r="L301" s="10" t="str">
        <f t="shared" ca="1" si="93"/>
        <v>—</v>
      </c>
      <c r="M301" s="17">
        <f t="shared" ca="1" si="94"/>
        <v>7</v>
      </c>
      <c r="N301" s="18" t="str">
        <f t="shared" ca="1" si="95"/>
        <v>—</v>
      </c>
      <c r="O301" s="17">
        <f t="shared" ca="1" si="96"/>
        <v>7</v>
      </c>
      <c r="P301" s="18" t="str">
        <f t="shared" ca="1" si="97"/>
        <v>—</v>
      </c>
      <c r="Q301" s="17">
        <f t="shared" ca="1" si="98"/>
        <v>7</v>
      </c>
      <c r="R301" s="10" t="str">
        <f t="shared" ca="1" si="99"/>
        <v>—</v>
      </c>
      <c r="S301" s="17">
        <f t="shared" ca="1" si="100"/>
        <v>7</v>
      </c>
      <c r="T301" s="70" t="str">
        <f t="shared" ca="1" si="101"/>
        <v>—</v>
      </c>
      <c r="U301" s="17">
        <f t="shared" ca="1" si="102"/>
        <v>7</v>
      </c>
      <c r="V301" s="71" t="str">
        <f t="shared" ca="1" si="103"/>
        <v>—</v>
      </c>
      <c r="W301" s="17">
        <f t="shared" ca="1" si="104"/>
        <v>7</v>
      </c>
    </row>
    <row r="302" spans="1:23" x14ac:dyDescent="0.25">
      <c r="A302" s="4">
        <f t="shared" si="84"/>
        <v>32</v>
      </c>
      <c r="B302" t="str">
        <f ca="1">TEXT(DATE(YEAR(Invoer!$A$6),1,1)+INT((ROWS(B$2:B302)-1)/4),"jjjjmmdd")</f>
        <v>19400316</v>
      </c>
      <c r="C302" s="64" t="str">
        <f>IF(MOD(ROWS(C$2:C302)-1,4)=3,"24.00",INDEX(Data,3,2+MOD(ROWS(C$2:C302)-1,4)))</f>
        <v>07.00</v>
      </c>
      <c r="D302" s="18">
        <f t="shared" ca="1" si="85"/>
        <v>758.9</v>
      </c>
      <c r="E302" s="17">
        <f t="shared" ca="1" si="86"/>
        <v>0</v>
      </c>
      <c r="F302" s="18">
        <f t="shared" ca="1" si="87"/>
        <v>26.1</v>
      </c>
      <c r="G302" s="17">
        <f t="shared" ca="1" si="88"/>
        <v>0</v>
      </c>
      <c r="H302" s="18" t="str">
        <f t="shared" ca="1" si="89"/>
        <v>—</v>
      </c>
      <c r="I302" s="17">
        <f t="shared" ca="1" si="90"/>
        <v>7</v>
      </c>
      <c r="J302" s="18" t="str">
        <f t="shared" ca="1" si="91"/>
        <v>—</v>
      </c>
      <c r="K302" s="17">
        <f t="shared" ca="1" si="92"/>
        <v>7</v>
      </c>
      <c r="L302" s="10">
        <f t="shared" ca="1" si="93"/>
        <v>76</v>
      </c>
      <c r="M302" s="17">
        <f t="shared" ca="1" si="94"/>
        <v>0</v>
      </c>
      <c r="N302" s="18">
        <f t="shared" ca="1" si="95"/>
        <v>19.399999999999999</v>
      </c>
      <c r="O302" s="17">
        <f t="shared" ca="1" si="96"/>
        <v>0</v>
      </c>
      <c r="P302" s="18">
        <f t="shared" ca="1" si="97"/>
        <v>22.9</v>
      </c>
      <c r="Q302" s="17">
        <f t="shared" ca="1" si="98"/>
        <v>0</v>
      </c>
      <c r="R302" s="10">
        <f t="shared" ca="1" si="99"/>
        <v>45</v>
      </c>
      <c r="S302" s="17">
        <f t="shared" ca="1" si="100"/>
        <v>0</v>
      </c>
      <c r="T302" s="70">
        <f t="shared" ca="1" si="101"/>
        <v>0.4</v>
      </c>
      <c r="U302" s="17">
        <f t="shared" ca="1" si="102"/>
        <v>0</v>
      </c>
      <c r="V302" s="71">
        <f t="shared" ca="1" si="103"/>
        <v>2</v>
      </c>
      <c r="W302" s="17">
        <f t="shared" ca="1" si="104"/>
        <v>0</v>
      </c>
    </row>
    <row r="303" spans="1:23" x14ac:dyDescent="0.25">
      <c r="A303" s="4">
        <f t="shared" si="84"/>
        <v>32</v>
      </c>
      <c r="B303" t="str">
        <f ca="1">TEXT(DATE(YEAR(Invoer!$A$6),1,1)+INT((ROWS(B$2:B303)-1)/4),"jjjjmmdd")</f>
        <v>19400316</v>
      </c>
      <c r="C303" s="64" t="str">
        <f>IF(MOD(ROWS(C$2:C303)-1,4)=3,"24.00",INDEX(Data,3,2+MOD(ROWS(C$2:C303)-1,4)))</f>
        <v>12.00</v>
      </c>
      <c r="D303" s="18">
        <f t="shared" ca="1" si="85"/>
        <v>759.7</v>
      </c>
      <c r="E303" s="17">
        <f t="shared" ca="1" si="86"/>
        <v>0</v>
      </c>
      <c r="F303" s="18">
        <f t="shared" ca="1" si="87"/>
        <v>28.9</v>
      </c>
      <c r="G303" s="17">
        <f t="shared" ca="1" si="88"/>
        <v>0</v>
      </c>
      <c r="H303" s="18" t="str">
        <f t="shared" ca="1" si="89"/>
        <v>—</v>
      </c>
      <c r="I303" s="17">
        <f t="shared" ca="1" si="90"/>
        <v>7</v>
      </c>
      <c r="J303" s="18" t="str">
        <f t="shared" ca="1" si="91"/>
        <v>—</v>
      </c>
      <c r="K303" s="17">
        <f t="shared" ca="1" si="92"/>
        <v>7</v>
      </c>
      <c r="L303" s="10">
        <f t="shared" ca="1" si="93"/>
        <v>63</v>
      </c>
      <c r="M303" s="17">
        <f t="shared" ca="1" si="94"/>
        <v>0</v>
      </c>
      <c r="N303" s="18">
        <f t="shared" ca="1" si="95"/>
        <v>18.8</v>
      </c>
      <c r="O303" s="17">
        <f t="shared" ca="1" si="96"/>
        <v>0</v>
      </c>
      <c r="P303" s="18">
        <f t="shared" ca="1" si="97"/>
        <v>23.4</v>
      </c>
      <c r="Q303" s="17">
        <f t="shared" ca="1" si="98"/>
        <v>0</v>
      </c>
      <c r="R303" s="10">
        <f t="shared" ca="1" si="99"/>
        <v>45</v>
      </c>
      <c r="S303" s="17">
        <f t="shared" ca="1" si="100"/>
        <v>0</v>
      </c>
      <c r="T303" s="70">
        <f t="shared" ca="1" si="101"/>
        <v>0.6</v>
      </c>
      <c r="U303" s="17">
        <f t="shared" ca="1" si="102"/>
        <v>0</v>
      </c>
      <c r="V303" s="71">
        <f t="shared" ca="1" si="103"/>
        <v>3</v>
      </c>
      <c r="W303" s="17">
        <f t="shared" ca="1" si="104"/>
        <v>0</v>
      </c>
    </row>
    <row r="304" spans="1:23" x14ac:dyDescent="0.25">
      <c r="A304" s="4">
        <f t="shared" si="84"/>
        <v>32</v>
      </c>
      <c r="B304" t="str">
        <f ca="1">TEXT(DATE(YEAR(Invoer!$A$6),1,1)+INT((ROWS(B$2:B304)-1)/4),"jjjjmmdd")</f>
        <v>19400316</v>
      </c>
      <c r="C304" s="64" t="str">
        <f>IF(MOD(ROWS(C$2:C304)-1,4)=3,"24.00",INDEX(Data,3,2+MOD(ROWS(C$2:C304)-1,4)))</f>
        <v>17.00</v>
      </c>
      <c r="D304" s="18">
        <f t="shared" ca="1" si="85"/>
        <v>759.7</v>
      </c>
      <c r="E304" s="17">
        <f t="shared" ca="1" si="86"/>
        <v>0</v>
      </c>
      <c r="F304" s="18">
        <f t="shared" ca="1" si="87"/>
        <v>28.3</v>
      </c>
      <c r="G304" s="17">
        <f t="shared" ca="1" si="88"/>
        <v>0</v>
      </c>
      <c r="H304" s="18" t="str">
        <f t="shared" ca="1" si="89"/>
        <v>—</v>
      </c>
      <c r="I304" s="17">
        <f t="shared" ca="1" si="90"/>
        <v>7</v>
      </c>
      <c r="J304" s="18" t="str">
        <f t="shared" ca="1" si="91"/>
        <v>—</v>
      </c>
      <c r="K304" s="17">
        <f t="shared" ca="1" si="92"/>
        <v>7</v>
      </c>
      <c r="L304" s="10">
        <f t="shared" ca="1" si="93"/>
        <v>64</v>
      </c>
      <c r="M304" s="17">
        <f t="shared" ca="1" si="94"/>
        <v>0</v>
      </c>
      <c r="N304" s="18">
        <f t="shared" ca="1" si="95"/>
        <v>18.399999999999999</v>
      </c>
      <c r="O304" s="17">
        <f t="shared" ca="1" si="96"/>
        <v>0</v>
      </c>
      <c r="P304" s="18">
        <f t="shared" ca="1" si="97"/>
        <v>23</v>
      </c>
      <c r="Q304" s="17">
        <f t="shared" ca="1" si="98"/>
        <v>0</v>
      </c>
      <c r="R304" s="10">
        <f t="shared" ca="1" si="99"/>
        <v>45</v>
      </c>
      <c r="S304" s="17">
        <f t="shared" ca="1" si="100"/>
        <v>0</v>
      </c>
      <c r="T304" s="70">
        <f t="shared" ca="1" si="101"/>
        <v>0.5</v>
      </c>
      <c r="U304" s="17">
        <f t="shared" ca="1" si="102"/>
        <v>0</v>
      </c>
      <c r="V304" s="71">
        <f t="shared" ca="1" si="103"/>
        <v>3</v>
      </c>
      <c r="W304" s="17">
        <f t="shared" ca="1" si="104"/>
        <v>0</v>
      </c>
    </row>
    <row r="305" spans="1:23" x14ac:dyDescent="0.25">
      <c r="A305" s="4">
        <f t="shared" si="84"/>
        <v>32</v>
      </c>
      <c r="B305" t="str">
        <f ca="1">TEXT(DATE(YEAR(Invoer!$A$6),1,1)+INT((ROWS(B$2:B305)-1)/4),"jjjjmmdd")</f>
        <v>19400316</v>
      </c>
      <c r="C305" s="64" t="str">
        <f>IF(MOD(ROWS(C$2:C305)-1,4)=3,"24.00",INDEX(Data,3,2+MOD(ROWS(C$2:C305)-1,4)))</f>
        <v>24.00</v>
      </c>
      <c r="D305" s="18" t="str">
        <f t="shared" ca="1" si="85"/>
        <v>—</v>
      </c>
      <c r="E305" s="17">
        <f t="shared" ca="1" si="86"/>
        <v>7</v>
      </c>
      <c r="F305" s="18" t="str">
        <f t="shared" ca="1" si="87"/>
        <v>—</v>
      </c>
      <c r="G305" s="17">
        <f t="shared" ca="1" si="88"/>
        <v>7</v>
      </c>
      <c r="H305" s="18">
        <f t="shared" ca="1" si="89"/>
        <v>26.8</v>
      </c>
      <c r="I305" s="17">
        <f t="shared" ca="1" si="90"/>
        <v>0</v>
      </c>
      <c r="J305" s="18">
        <f t="shared" ca="1" si="91"/>
        <v>31.6</v>
      </c>
      <c r="K305" s="17">
        <f t="shared" ca="1" si="92"/>
        <v>0</v>
      </c>
      <c r="L305" s="10" t="str">
        <f t="shared" ca="1" si="93"/>
        <v>—</v>
      </c>
      <c r="M305" s="17">
        <f t="shared" ca="1" si="94"/>
        <v>7</v>
      </c>
      <c r="N305" s="18" t="str">
        <f t="shared" ca="1" si="95"/>
        <v>—</v>
      </c>
      <c r="O305" s="17">
        <f t="shared" ca="1" si="96"/>
        <v>7</v>
      </c>
      <c r="P305" s="18" t="str">
        <f t="shared" ca="1" si="97"/>
        <v>—</v>
      </c>
      <c r="Q305" s="17">
        <f t="shared" ca="1" si="98"/>
        <v>7</v>
      </c>
      <c r="R305" s="10" t="str">
        <f t="shared" ca="1" si="99"/>
        <v>—</v>
      </c>
      <c r="S305" s="17">
        <f t="shared" ca="1" si="100"/>
        <v>7</v>
      </c>
      <c r="T305" s="70" t="str">
        <f t="shared" ca="1" si="101"/>
        <v>—</v>
      </c>
      <c r="U305" s="17">
        <f t="shared" ca="1" si="102"/>
        <v>7</v>
      </c>
      <c r="V305" s="71" t="str">
        <f t="shared" ca="1" si="103"/>
        <v>—</v>
      </c>
      <c r="W305" s="17">
        <f t="shared" ca="1" si="104"/>
        <v>7</v>
      </c>
    </row>
    <row r="306" spans="1:23" x14ac:dyDescent="0.25">
      <c r="A306" s="4">
        <f t="shared" si="84"/>
        <v>32</v>
      </c>
      <c r="B306" t="str">
        <f ca="1">TEXT(DATE(YEAR(Invoer!$A$6),1,1)+INT((ROWS(B$2:B306)-1)/4),"jjjjmmdd")</f>
        <v>19400317</v>
      </c>
      <c r="C306" s="64" t="str">
        <f>IF(MOD(ROWS(C$2:C306)-1,4)=3,"24.00",INDEX(Data,3,2+MOD(ROWS(C$2:C306)-1,4)))</f>
        <v>07.00</v>
      </c>
      <c r="D306" s="18">
        <f t="shared" ca="1" si="85"/>
        <v>759.5</v>
      </c>
      <c r="E306" s="17">
        <f t="shared" ca="1" si="86"/>
        <v>0</v>
      </c>
      <c r="F306" s="18">
        <f t="shared" ca="1" si="87"/>
        <v>26.9</v>
      </c>
      <c r="G306" s="17">
        <f t="shared" ca="1" si="88"/>
        <v>0</v>
      </c>
      <c r="H306" s="18" t="str">
        <f t="shared" ca="1" si="89"/>
        <v>—</v>
      </c>
      <c r="I306" s="17">
        <f t="shared" ca="1" si="90"/>
        <v>7</v>
      </c>
      <c r="J306" s="18" t="str">
        <f t="shared" ca="1" si="91"/>
        <v>—</v>
      </c>
      <c r="K306" s="17">
        <f t="shared" ca="1" si="92"/>
        <v>7</v>
      </c>
      <c r="L306" s="10">
        <f t="shared" ca="1" si="93"/>
        <v>73</v>
      </c>
      <c r="M306" s="17">
        <f t="shared" ca="1" si="94"/>
        <v>0</v>
      </c>
      <c r="N306" s="18">
        <f t="shared" ca="1" si="95"/>
        <v>19.5</v>
      </c>
      <c r="O306" s="17">
        <f t="shared" ca="1" si="96"/>
        <v>0</v>
      </c>
      <c r="P306" s="18">
        <f t="shared" ca="1" si="97"/>
        <v>23.2</v>
      </c>
      <c r="Q306" s="17">
        <f t="shared" ca="1" si="98"/>
        <v>0</v>
      </c>
      <c r="R306" s="10">
        <f t="shared" ca="1" si="99"/>
        <v>65</v>
      </c>
      <c r="S306" s="17">
        <f t="shared" ca="1" si="100"/>
        <v>0</v>
      </c>
      <c r="T306" s="70">
        <f t="shared" ca="1" si="101"/>
        <v>0.4</v>
      </c>
      <c r="U306" s="17">
        <f t="shared" ca="1" si="102"/>
        <v>0</v>
      </c>
      <c r="V306" s="71">
        <f t="shared" ca="1" si="103"/>
        <v>3</v>
      </c>
      <c r="W306" s="17">
        <f t="shared" ca="1" si="104"/>
        <v>0</v>
      </c>
    </row>
    <row r="307" spans="1:23" x14ac:dyDescent="0.25">
      <c r="A307" s="4">
        <f t="shared" si="84"/>
        <v>32</v>
      </c>
      <c r="B307" t="str">
        <f ca="1">TEXT(DATE(YEAR(Invoer!$A$6),1,1)+INT((ROWS(B$2:B307)-1)/4),"jjjjmmdd")</f>
        <v>19400317</v>
      </c>
      <c r="C307" s="64" t="str">
        <f>IF(MOD(ROWS(C$2:C307)-1,4)=3,"24.00",INDEX(Data,3,2+MOD(ROWS(C$2:C307)-1,4)))</f>
        <v>12.00</v>
      </c>
      <c r="D307" s="18">
        <f t="shared" ca="1" si="85"/>
        <v>759.5</v>
      </c>
      <c r="E307" s="17">
        <f t="shared" ca="1" si="86"/>
        <v>0</v>
      </c>
      <c r="F307" s="18">
        <f t="shared" ca="1" si="87"/>
        <v>28.9</v>
      </c>
      <c r="G307" s="17">
        <f t="shared" ca="1" si="88"/>
        <v>0</v>
      </c>
      <c r="H307" s="18" t="str">
        <f t="shared" ca="1" si="89"/>
        <v>—</v>
      </c>
      <c r="I307" s="17">
        <f t="shared" ca="1" si="90"/>
        <v>7</v>
      </c>
      <c r="J307" s="18" t="str">
        <f t="shared" ca="1" si="91"/>
        <v>—</v>
      </c>
      <c r="K307" s="17">
        <f t="shared" ca="1" si="92"/>
        <v>7</v>
      </c>
      <c r="L307" s="10">
        <f t="shared" ca="1" si="93"/>
        <v>64</v>
      </c>
      <c r="M307" s="17">
        <f t="shared" ca="1" si="94"/>
        <v>0</v>
      </c>
      <c r="N307" s="18">
        <f t="shared" ca="1" si="95"/>
        <v>19.2</v>
      </c>
      <c r="O307" s="17">
        <f t="shared" ca="1" si="96"/>
        <v>0</v>
      </c>
      <c r="P307" s="18">
        <f t="shared" ca="1" si="97"/>
        <v>23.6</v>
      </c>
      <c r="Q307" s="17">
        <f t="shared" ca="1" si="98"/>
        <v>0</v>
      </c>
      <c r="R307" s="10">
        <f t="shared" ca="1" si="99"/>
        <v>65</v>
      </c>
      <c r="S307" s="17">
        <f t="shared" ca="1" si="100"/>
        <v>0</v>
      </c>
      <c r="T307" s="70">
        <f t="shared" ca="1" si="101"/>
        <v>0.6</v>
      </c>
      <c r="U307" s="17">
        <f t="shared" ca="1" si="102"/>
        <v>0</v>
      </c>
      <c r="V307" s="71">
        <f t="shared" ca="1" si="103"/>
        <v>4</v>
      </c>
      <c r="W307" s="17">
        <f t="shared" ca="1" si="104"/>
        <v>0</v>
      </c>
    </row>
    <row r="308" spans="1:23" x14ac:dyDescent="0.25">
      <c r="A308" s="4">
        <f t="shared" si="84"/>
        <v>32</v>
      </c>
      <c r="B308" t="str">
        <f ca="1">TEXT(DATE(YEAR(Invoer!$A$6),1,1)+INT((ROWS(B$2:B308)-1)/4),"jjjjmmdd")</f>
        <v>19400317</v>
      </c>
      <c r="C308" s="64" t="str">
        <f>IF(MOD(ROWS(C$2:C308)-1,4)=3,"24.00",INDEX(Data,3,2+MOD(ROWS(C$2:C308)-1,4)))</f>
        <v>17.00</v>
      </c>
      <c r="D308" s="18">
        <f t="shared" ca="1" si="85"/>
        <v>759.2</v>
      </c>
      <c r="E308" s="17">
        <f t="shared" ca="1" si="86"/>
        <v>0</v>
      </c>
      <c r="F308" s="18">
        <f t="shared" ca="1" si="87"/>
        <v>28.5</v>
      </c>
      <c r="G308" s="17">
        <f t="shared" ca="1" si="88"/>
        <v>0</v>
      </c>
      <c r="H308" s="18" t="str">
        <f t="shared" ca="1" si="89"/>
        <v>—</v>
      </c>
      <c r="I308" s="17">
        <f t="shared" ca="1" si="90"/>
        <v>7</v>
      </c>
      <c r="J308" s="18" t="str">
        <f t="shared" ca="1" si="91"/>
        <v>—</v>
      </c>
      <c r="K308" s="17">
        <f t="shared" ca="1" si="92"/>
        <v>7</v>
      </c>
      <c r="L308" s="10">
        <f t="shared" ca="1" si="93"/>
        <v>66</v>
      </c>
      <c r="M308" s="17">
        <f t="shared" ca="1" si="94"/>
        <v>0</v>
      </c>
      <c r="N308" s="18">
        <f t="shared" ca="1" si="95"/>
        <v>19.2</v>
      </c>
      <c r="O308" s="17">
        <f t="shared" ca="1" si="96"/>
        <v>0</v>
      </c>
      <c r="P308" s="18">
        <f t="shared" ca="1" si="97"/>
        <v>23.5</v>
      </c>
      <c r="Q308" s="17">
        <f t="shared" ca="1" si="98"/>
        <v>0</v>
      </c>
      <c r="R308" s="10">
        <f t="shared" ca="1" si="99"/>
        <v>45</v>
      </c>
      <c r="S308" s="17">
        <f t="shared" ca="1" si="100"/>
        <v>0</v>
      </c>
      <c r="T308" s="70">
        <f t="shared" ca="1" si="101"/>
        <v>0.6</v>
      </c>
      <c r="U308" s="17">
        <f t="shared" ca="1" si="102"/>
        <v>0</v>
      </c>
      <c r="V308" s="71">
        <f t="shared" ca="1" si="103"/>
        <v>4</v>
      </c>
      <c r="W308" s="17">
        <f t="shared" ca="1" si="104"/>
        <v>0</v>
      </c>
    </row>
    <row r="309" spans="1:23" x14ac:dyDescent="0.25">
      <c r="A309" s="4">
        <f t="shared" si="84"/>
        <v>32</v>
      </c>
      <c r="B309" t="str">
        <f ca="1">TEXT(DATE(YEAR(Invoer!$A$6),1,1)+INT((ROWS(B$2:B309)-1)/4),"jjjjmmdd")</f>
        <v>19400317</v>
      </c>
      <c r="C309" s="64" t="str">
        <f>IF(MOD(ROWS(C$2:C309)-1,4)=3,"24.00",INDEX(Data,3,2+MOD(ROWS(C$2:C309)-1,4)))</f>
        <v>24.00</v>
      </c>
      <c r="D309" s="18" t="str">
        <f t="shared" ca="1" si="85"/>
        <v>—</v>
      </c>
      <c r="E309" s="17">
        <f t="shared" ca="1" si="86"/>
        <v>7</v>
      </c>
      <c r="F309" s="18" t="str">
        <f t="shared" ca="1" si="87"/>
        <v>—</v>
      </c>
      <c r="G309" s="17">
        <f t="shared" ca="1" si="88"/>
        <v>7</v>
      </c>
      <c r="H309" s="18">
        <f t="shared" ca="1" si="89"/>
        <v>27.5</v>
      </c>
      <c r="I309" s="17">
        <f t="shared" ca="1" si="90"/>
        <v>0</v>
      </c>
      <c r="J309" s="18">
        <f t="shared" ca="1" si="91"/>
        <v>31.5</v>
      </c>
      <c r="K309" s="17">
        <f t="shared" ca="1" si="92"/>
        <v>0</v>
      </c>
      <c r="L309" s="10" t="str">
        <f t="shared" ca="1" si="93"/>
        <v>—</v>
      </c>
      <c r="M309" s="17">
        <f t="shared" ca="1" si="94"/>
        <v>7</v>
      </c>
      <c r="N309" s="18" t="str">
        <f t="shared" ca="1" si="95"/>
        <v>—</v>
      </c>
      <c r="O309" s="17">
        <f t="shared" ca="1" si="96"/>
        <v>7</v>
      </c>
      <c r="P309" s="18" t="str">
        <f t="shared" ca="1" si="97"/>
        <v>—</v>
      </c>
      <c r="Q309" s="17">
        <f t="shared" ca="1" si="98"/>
        <v>7</v>
      </c>
      <c r="R309" s="10" t="str">
        <f t="shared" ca="1" si="99"/>
        <v>—</v>
      </c>
      <c r="S309" s="17">
        <f t="shared" ca="1" si="100"/>
        <v>7</v>
      </c>
      <c r="T309" s="70" t="str">
        <f t="shared" ca="1" si="101"/>
        <v>—</v>
      </c>
      <c r="U309" s="17">
        <f t="shared" ca="1" si="102"/>
        <v>7</v>
      </c>
      <c r="V309" s="71" t="str">
        <f t="shared" ca="1" si="103"/>
        <v>—</v>
      </c>
      <c r="W309" s="17">
        <f t="shared" ca="1" si="104"/>
        <v>7</v>
      </c>
    </row>
    <row r="310" spans="1:23" x14ac:dyDescent="0.25">
      <c r="A310" s="4">
        <f t="shared" si="84"/>
        <v>32</v>
      </c>
      <c r="B310" t="str">
        <f ca="1">TEXT(DATE(YEAR(Invoer!$A$6),1,1)+INT((ROWS(B$2:B310)-1)/4),"jjjjmmdd")</f>
        <v>19400318</v>
      </c>
      <c r="C310" s="64" t="str">
        <f>IF(MOD(ROWS(C$2:C310)-1,4)=3,"24.00",INDEX(Data,3,2+MOD(ROWS(C$2:C310)-1,4)))</f>
        <v>07.00</v>
      </c>
      <c r="D310" s="18">
        <f t="shared" ca="1" si="85"/>
        <v>758.9</v>
      </c>
      <c r="E310" s="17">
        <f t="shared" ca="1" si="86"/>
        <v>0</v>
      </c>
      <c r="F310" s="18">
        <f t="shared" ca="1" si="87"/>
        <v>26.1</v>
      </c>
      <c r="G310" s="17">
        <f t="shared" ca="1" si="88"/>
        <v>0</v>
      </c>
      <c r="H310" s="18" t="str">
        <f t="shared" ca="1" si="89"/>
        <v>—</v>
      </c>
      <c r="I310" s="17">
        <f t="shared" ca="1" si="90"/>
        <v>7</v>
      </c>
      <c r="J310" s="18" t="str">
        <f t="shared" ca="1" si="91"/>
        <v>—</v>
      </c>
      <c r="K310" s="17">
        <f t="shared" ca="1" si="92"/>
        <v>7</v>
      </c>
      <c r="L310" s="10">
        <f t="shared" ca="1" si="93"/>
        <v>76</v>
      </c>
      <c r="M310" s="17">
        <f t="shared" ca="1" si="94"/>
        <v>0</v>
      </c>
      <c r="N310" s="18">
        <f t="shared" ca="1" si="95"/>
        <v>19.399999999999999</v>
      </c>
      <c r="O310" s="17">
        <f t="shared" ca="1" si="96"/>
        <v>0</v>
      </c>
      <c r="P310" s="18">
        <f t="shared" ca="1" si="97"/>
        <v>22.9</v>
      </c>
      <c r="Q310" s="17">
        <f t="shared" ca="1" si="98"/>
        <v>0</v>
      </c>
      <c r="R310" s="10">
        <f t="shared" ca="1" si="99"/>
        <v>65</v>
      </c>
      <c r="S310" s="17">
        <f t="shared" ca="1" si="100"/>
        <v>0</v>
      </c>
      <c r="T310" s="70">
        <f t="shared" ca="1" si="101"/>
        <v>0.5</v>
      </c>
      <c r="U310" s="17">
        <f t="shared" ca="1" si="102"/>
        <v>0</v>
      </c>
      <c r="V310" s="71">
        <f t="shared" ca="1" si="103"/>
        <v>2</v>
      </c>
      <c r="W310" s="17">
        <f t="shared" ca="1" si="104"/>
        <v>0</v>
      </c>
    </row>
    <row r="311" spans="1:23" x14ac:dyDescent="0.25">
      <c r="A311" s="4">
        <f t="shared" si="84"/>
        <v>32</v>
      </c>
      <c r="B311" t="str">
        <f ca="1">TEXT(DATE(YEAR(Invoer!$A$6),1,1)+INT((ROWS(B$2:B311)-1)/4),"jjjjmmdd")</f>
        <v>19400318</v>
      </c>
      <c r="C311" s="64" t="str">
        <f>IF(MOD(ROWS(C$2:C311)-1,4)=3,"24.00",INDEX(Data,3,2+MOD(ROWS(C$2:C311)-1,4)))</f>
        <v>12.00</v>
      </c>
      <c r="D311" s="18">
        <f t="shared" ca="1" si="85"/>
        <v>759.5</v>
      </c>
      <c r="E311" s="17">
        <f t="shared" ca="1" si="86"/>
        <v>0</v>
      </c>
      <c r="F311" s="18">
        <f t="shared" ca="1" si="87"/>
        <v>29</v>
      </c>
      <c r="G311" s="17">
        <f t="shared" ca="1" si="88"/>
        <v>0</v>
      </c>
      <c r="H311" s="18" t="str">
        <f t="shared" ca="1" si="89"/>
        <v>—</v>
      </c>
      <c r="I311" s="17">
        <f t="shared" ca="1" si="90"/>
        <v>7</v>
      </c>
      <c r="J311" s="18" t="str">
        <f t="shared" ca="1" si="91"/>
        <v>—</v>
      </c>
      <c r="K311" s="17">
        <f t="shared" ca="1" si="92"/>
        <v>7</v>
      </c>
      <c r="L311" s="10">
        <f t="shared" ca="1" si="93"/>
        <v>62</v>
      </c>
      <c r="M311" s="17">
        <f t="shared" ca="1" si="94"/>
        <v>0</v>
      </c>
      <c r="N311" s="18">
        <f t="shared" ca="1" si="95"/>
        <v>18.8</v>
      </c>
      <c r="O311" s="17">
        <f t="shared" ca="1" si="96"/>
        <v>0</v>
      </c>
      <c r="P311" s="18">
        <f t="shared" ca="1" si="97"/>
        <v>23.4</v>
      </c>
      <c r="Q311" s="17">
        <f t="shared" ca="1" si="98"/>
        <v>0</v>
      </c>
      <c r="R311" s="10">
        <f t="shared" ca="1" si="99"/>
        <v>65</v>
      </c>
      <c r="S311" s="17">
        <f t="shared" ca="1" si="100"/>
        <v>0</v>
      </c>
      <c r="T311" s="70">
        <f t="shared" ca="1" si="101"/>
        <v>0.6</v>
      </c>
      <c r="U311" s="17">
        <f t="shared" ca="1" si="102"/>
        <v>0</v>
      </c>
      <c r="V311" s="71">
        <f t="shared" ca="1" si="103"/>
        <v>2</v>
      </c>
      <c r="W311" s="17">
        <f t="shared" ca="1" si="104"/>
        <v>0</v>
      </c>
    </row>
    <row r="312" spans="1:23" x14ac:dyDescent="0.25">
      <c r="A312" s="4">
        <f t="shared" si="84"/>
        <v>32</v>
      </c>
      <c r="B312" t="str">
        <f ca="1">TEXT(DATE(YEAR(Invoer!$A$6),1,1)+INT((ROWS(B$2:B312)-1)/4),"jjjjmmdd")</f>
        <v>19400318</v>
      </c>
      <c r="C312" s="64" t="str">
        <f>IF(MOD(ROWS(C$2:C312)-1,4)=3,"24.00",INDEX(Data,3,2+MOD(ROWS(C$2:C312)-1,4)))</f>
        <v>17.00</v>
      </c>
      <c r="D312" s="18">
        <f t="shared" ca="1" si="85"/>
        <v>758.7</v>
      </c>
      <c r="E312" s="17">
        <f t="shared" ca="1" si="86"/>
        <v>0</v>
      </c>
      <c r="F312" s="18">
        <f t="shared" ca="1" si="87"/>
        <v>28.4</v>
      </c>
      <c r="G312" s="17">
        <f t="shared" ca="1" si="88"/>
        <v>0</v>
      </c>
      <c r="H312" s="18" t="str">
        <f t="shared" ca="1" si="89"/>
        <v>—</v>
      </c>
      <c r="I312" s="17">
        <f t="shared" ca="1" si="90"/>
        <v>7</v>
      </c>
      <c r="J312" s="18" t="str">
        <f t="shared" ca="1" si="91"/>
        <v>—</v>
      </c>
      <c r="K312" s="17">
        <f t="shared" ca="1" si="92"/>
        <v>7</v>
      </c>
      <c r="L312" s="10">
        <f t="shared" ca="1" si="93"/>
        <v>64</v>
      </c>
      <c r="M312" s="17">
        <f t="shared" ca="1" si="94"/>
        <v>0</v>
      </c>
      <c r="N312" s="18">
        <f t="shared" ca="1" si="95"/>
        <v>18.600000000000001</v>
      </c>
      <c r="O312" s="17">
        <f t="shared" ca="1" si="96"/>
        <v>0</v>
      </c>
      <c r="P312" s="18">
        <f t="shared" ca="1" si="97"/>
        <v>23.1</v>
      </c>
      <c r="Q312" s="17">
        <f t="shared" ca="1" si="98"/>
        <v>0</v>
      </c>
      <c r="R312" s="10">
        <f t="shared" ca="1" si="99"/>
        <v>65</v>
      </c>
      <c r="S312" s="17">
        <f t="shared" ca="1" si="100"/>
        <v>0</v>
      </c>
      <c r="T312" s="70">
        <f t="shared" ca="1" si="101"/>
        <v>0.6</v>
      </c>
      <c r="U312" s="17">
        <f t="shared" ca="1" si="102"/>
        <v>0</v>
      </c>
      <c r="V312" s="71">
        <f t="shared" ca="1" si="103"/>
        <v>2</v>
      </c>
      <c r="W312" s="17">
        <f t="shared" ca="1" si="104"/>
        <v>0</v>
      </c>
    </row>
    <row r="313" spans="1:23" x14ac:dyDescent="0.25">
      <c r="A313" s="4">
        <f t="shared" si="84"/>
        <v>32</v>
      </c>
      <c r="B313" t="str">
        <f ca="1">TEXT(DATE(YEAR(Invoer!$A$6),1,1)+INT((ROWS(B$2:B313)-1)/4),"jjjjmmdd")</f>
        <v>19400318</v>
      </c>
      <c r="C313" s="64" t="str">
        <f>IF(MOD(ROWS(C$2:C313)-1,4)=3,"24.00",INDEX(Data,3,2+MOD(ROWS(C$2:C313)-1,4)))</f>
        <v>24.00</v>
      </c>
      <c r="D313" s="18" t="str">
        <f t="shared" ca="1" si="85"/>
        <v>—</v>
      </c>
      <c r="E313" s="17">
        <f t="shared" ca="1" si="86"/>
        <v>7</v>
      </c>
      <c r="F313" s="18" t="str">
        <f t="shared" ca="1" si="87"/>
        <v>—</v>
      </c>
      <c r="G313" s="17">
        <f t="shared" ca="1" si="88"/>
        <v>7</v>
      </c>
      <c r="H313" s="18">
        <f t="shared" ca="1" si="89"/>
        <v>27.8</v>
      </c>
      <c r="I313" s="17">
        <f t="shared" ca="1" si="90"/>
        <v>0</v>
      </c>
      <c r="J313" s="18">
        <f t="shared" ca="1" si="91"/>
        <v>29.8</v>
      </c>
      <c r="K313" s="17">
        <f t="shared" ca="1" si="92"/>
        <v>0</v>
      </c>
      <c r="L313" s="10" t="str">
        <f t="shared" ca="1" si="93"/>
        <v>—</v>
      </c>
      <c r="M313" s="17">
        <f t="shared" ca="1" si="94"/>
        <v>7</v>
      </c>
      <c r="N313" s="18" t="str">
        <f t="shared" ca="1" si="95"/>
        <v>—</v>
      </c>
      <c r="O313" s="17">
        <f t="shared" ca="1" si="96"/>
        <v>7</v>
      </c>
      <c r="P313" s="18" t="str">
        <f t="shared" ca="1" si="97"/>
        <v>—</v>
      </c>
      <c r="Q313" s="17">
        <f t="shared" ca="1" si="98"/>
        <v>7</v>
      </c>
      <c r="R313" s="10" t="str">
        <f t="shared" ca="1" si="99"/>
        <v>—</v>
      </c>
      <c r="S313" s="17">
        <f t="shared" ca="1" si="100"/>
        <v>7</v>
      </c>
      <c r="T313" s="70" t="str">
        <f t="shared" ca="1" si="101"/>
        <v>—</v>
      </c>
      <c r="U313" s="17">
        <f t="shared" ca="1" si="102"/>
        <v>7</v>
      </c>
      <c r="V313" s="71" t="str">
        <f t="shared" ca="1" si="103"/>
        <v>—</v>
      </c>
      <c r="W313" s="17">
        <f t="shared" ca="1" si="104"/>
        <v>7</v>
      </c>
    </row>
    <row r="314" spans="1:23" x14ac:dyDescent="0.25">
      <c r="A314" s="4">
        <f t="shared" si="84"/>
        <v>32</v>
      </c>
      <c r="B314" t="str">
        <f ca="1">TEXT(DATE(YEAR(Invoer!$A$6),1,1)+INT((ROWS(B$2:B314)-1)/4),"jjjjmmdd")</f>
        <v>19400319</v>
      </c>
      <c r="C314" s="64" t="str">
        <f>IF(MOD(ROWS(C$2:C314)-1,4)=3,"24.00",INDEX(Data,3,2+MOD(ROWS(C$2:C314)-1,4)))</f>
        <v>07.00</v>
      </c>
      <c r="D314" s="18">
        <f t="shared" ca="1" si="85"/>
        <v>759.7</v>
      </c>
      <c r="E314" s="17">
        <f t="shared" ca="1" si="86"/>
        <v>0</v>
      </c>
      <c r="F314" s="18">
        <f t="shared" ca="1" si="87"/>
        <v>26.9</v>
      </c>
      <c r="G314" s="17">
        <f t="shared" ca="1" si="88"/>
        <v>0</v>
      </c>
      <c r="H314" s="18" t="str">
        <f t="shared" ca="1" si="89"/>
        <v>—</v>
      </c>
      <c r="I314" s="17">
        <f t="shared" ca="1" si="90"/>
        <v>7</v>
      </c>
      <c r="J314" s="18" t="str">
        <f t="shared" ca="1" si="91"/>
        <v>—</v>
      </c>
      <c r="K314" s="17">
        <f t="shared" ca="1" si="92"/>
        <v>7</v>
      </c>
      <c r="L314" s="10">
        <f t="shared" ca="1" si="93"/>
        <v>72</v>
      </c>
      <c r="M314" s="17">
        <f t="shared" ca="1" si="94"/>
        <v>0</v>
      </c>
      <c r="N314" s="18">
        <f t="shared" ca="1" si="95"/>
        <v>19.100000000000001</v>
      </c>
      <c r="O314" s="17">
        <f t="shared" ca="1" si="96"/>
        <v>0</v>
      </c>
      <c r="P314" s="18">
        <f t="shared" ca="1" si="97"/>
        <v>23</v>
      </c>
      <c r="Q314" s="17">
        <f t="shared" ca="1" si="98"/>
        <v>0</v>
      </c>
      <c r="R314" s="10">
        <f t="shared" ca="1" si="99"/>
        <v>45</v>
      </c>
      <c r="S314" s="17">
        <f t="shared" ca="1" si="100"/>
        <v>0</v>
      </c>
      <c r="T314" s="70">
        <f t="shared" ca="1" si="101"/>
        <v>0.5</v>
      </c>
      <c r="U314" s="17">
        <f t="shared" ca="1" si="102"/>
        <v>0</v>
      </c>
      <c r="V314" s="71">
        <f t="shared" ca="1" si="103"/>
        <v>1</v>
      </c>
      <c r="W314" s="17">
        <f t="shared" ca="1" si="104"/>
        <v>0</v>
      </c>
    </row>
    <row r="315" spans="1:23" x14ac:dyDescent="0.25">
      <c r="A315" s="4">
        <f t="shared" si="84"/>
        <v>32</v>
      </c>
      <c r="B315" t="str">
        <f ca="1">TEXT(DATE(YEAR(Invoer!$A$6),1,1)+INT((ROWS(B$2:B315)-1)/4),"jjjjmmdd")</f>
        <v>19400319</v>
      </c>
      <c r="C315" s="64" t="str">
        <f>IF(MOD(ROWS(C$2:C315)-1,4)=3,"24.00",INDEX(Data,3,2+MOD(ROWS(C$2:C315)-1,4)))</f>
        <v>12.00</v>
      </c>
      <c r="D315" s="18">
        <f t="shared" ca="1" si="85"/>
        <v>757.9</v>
      </c>
      <c r="E315" s="17">
        <f t="shared" ca="1" si="86"/>
        <v>0</v>
      </c>
      <c r="F315" s="18">
        <f t="shared" ca="1" si="87"/>
        <v>28.5</v>
      </c>
      <c r="G315" s="17">
        <f t="shared" ca="1" si="88"/>
        <v>0</v>
      </c>
      <c r="H315" s="18" t="str">
        <f t="shared" ca="1" si="89"/>
        <v>—</v>
      </c>
      <c r="I315" s="17">
        <f t="shared" ca="1" si="90"/>
        <v>7</v>
      </c>
      <c r="J315" s="18" t="str">
        <f t="shared" ca="1" si="91"/>
        <v>—</v>
      </c>
      <c r="K315" s="17">
        <f t="shared" ca="1" si="92"/>
        <v>7</v>
      </c>
      <c r="L315" s="10">
        <f t="shared" ca="1" si="93"/>
        <v>64</v>
      </c>
      <c r="M315" s="17">
        <f t="shared" ca="1" si="94"/>
        <v>0</v>
      </c>
      <c r="N315" s="18">
        <f t="shared" ca="1" si="95"/>
        <v>18.7</v>
      </c>
      <c r="O315" s="17">
        <f t="shared" ca="1" si="96"/>
        <v>0</v>
      </c>
      <c r="P315" s="18">
        <f t="shared" ca="1" si="97"/>
        <v>23.2</v>
      </c>
      <c r="Q315" s="17">
        <f t="shared" ca="1" si="98"/>
        <v>0</v>
      </c>
      <c r="R315" s="10">
        <f t="shared" ca="1" si="99"/>
        <v>45</v>
      </c>
      <c r="S315" s="17">
        <f t="shared" ca="1" si="100"/>
        <v>0</v>
      </c>
      <c r="T315" s="70">
        <f t="shared" ca="1" si="101"/>
        <v>0.6</v>
      </c>
      <c r="U315" s="17">
        <f t="shared" ca="1" si="102"/>
        <v>0</v>
      </c>
      <c r="V315" s="71">
        <f t="shared" ca="1" si="103"/>
        <v>1</v>
      </c>
      <c r="W315" s="17">
        <f t="shared" ca="1" si="104"/>
        <v>0</v>
      </c>
    </row>
    <row r="316" spans="1:23" x14ac:dyDescent="0.25">
      <c r="A316" s="4">
        <f t="shared" si="84"/>
        <v>32</v>
      </c>
      <c r="B316" t="str">
        <f ca="1">TEXT(DATE(YEAR(Invoer!$A$6),1,1)+INT((ROWS(B$2:B316)-1)/4),"jjjjmmdd")</f>
        <v>19400319</v>
      </c>
      <c r="C316" s="64" t="str">
        <f>IF(MOD(ROWS(C$2:C316)-1,4)=3,"24.00",INDEX(Data,3,2+MOD(ROWS(C$2:C316)-1,4)))</f>
        <v>17.00</v>
      </c>
      <c r="D316" s="18">
        <f t="shared" ca="1" si="85"/>
        <v>756.2</v>
      </c>
      <c r="E316" s="17">
        <f t="shared" ca="1" si="86"/>
        <v>0</v>
      </c>
      <c r="F316" s="18">
        <f t="shared" ca="1" si="87"/>
        <v>28</v>
      </c>
      <c r="G316" s="17">
        <f t="shared" ca="1" si="88"/>
        <v>0</v>
      </c>
      <c r="H316" s="18" t="str">
        <f t="shared" ca="1" si="89"/>
        <v>—</v>
      </c>
      <c r="I316" s="17">
        <f t="shared" ca="1" si="90"/>
        <v>7</v>
      </c>
      <c r="J316" s="18" t="str">
        <f t="shared" ca="1" si="91"/>
        <v>—</v>
      </c>
      <c r="K316" s="17">
        <f t="shared" ca="1" si="92"/>
        <v>7</v>
      </c>
      <c r="L316" s="10">
        <f t="shared" ca="1" si="93"/>
        <v>65</v>
      </c>
      <c r="M316" s="17">
        <f t="shared" ca="1" si="94"/>
        <v>0</v>
      </c>
      <c r="N316" s="18">
        <f t="shared" ca="1" si="95"/>
        <v>18.399999999999999</v>
      </c>
      <c r="O316" s="17">
        <f t="shared" ca="1" si="96"/>
        <v>0</v>
      </c>
      <c r="P316" s="18">
        <f t="shared" ca="1" si="97"/>
        <v>22.9</v>
      </c>
      <c r="Q316" s="17">
        <f t="shared" ca="1" si="98"/>
        <v>0</v>
      </c>
      <c r="R316" s="10">
        <f t="shared" ca="1" si="99"/>
        <v>45</v>
      </c>
      <c r="S316" s="17">
        <f t="shared" ca="1" si="100"/>
        <v>0</v>
      </c>
      <c r="T316" s="70">
        <f t="shared" ca="1" si="101"/>
        <v>0.6</v>
      </c>
      <c r="U316" s="17">
        <f t="shared" ca="1" si="102"/>
        <v>0</v>
      </c>
      <c r="V316" s="71">
        <f t="shared" ca="1" si="103"/>
        <v>1</v>
      </c>
      <c r="W316" s="17">
        <f t="shared" ca="1" si="104"/>
        <v>0</v>
      </c>
    </row>
    <row r="317" spans="1:23" x14ac:dyDescent="0.25">
      <c r="A317" s="4">
        <f t="shared" si="84"/>
        <v>32</v>
      </c>
      <c r="B317" t="str">
        <f ca="1">TEXT(DATE(YEAR(Invoer!$A$6),1,1)+INT((ROWS(B$2:B317)-1)/4),"jjjjmmdd")</f>
        <v>19400319</v>
      </c>
      <c r="C317" s="64" t="str">
        <f>IF(MOD(ROWS(C$2:C317)-1,4)=3,"24.00",INDEX(Data,3,2+MOD(ROWS(C$2:C317)-1,4)))</f>
        <v>24.00</v>
      </c>
      <c r="D317" s="18" t="str">
        <f t="shared" ca="1" si="85"/>
        <v>—</v>
      </c>
      <c r="E317" s="17">
        <f t="shared" ca="1" si="86"/>
        <v>7</v>
      </c>
      <c r="F317" s="18" t="str">
        <f t="shared" ca="1" si="87"/>
        <v>—</v>
      </c>
      <c r="G317" s="17">
        <f t="shared" ca="1" si="88"/>
        <v>7</v>
      </c>
      <c r="H317" s="18">
        <f t="shared" ca="1" si="89"/>
        <v>28</v>
      </c>
      <c r="I317" s="17">
        <f t="shared" ca="1" si="90"/>
        <v>0</v>
      </c>
      <c r="J317" s="18">
        <f t="shared" ca="1" si="91"/>
        <v>31</v>
      </c>
      <c r="K317" s="17">
        <f t="shared" ca="1" si="92"/>
        <v>0</v>
      </c>
      <c r="L317" s="10" t="str">
        <f t="shared" ca="1" si="93"/>
        <v>—</v>
      </c>
      <c r="M317" s="17">
        <f t="shared" ca="1" si="94"/>
        <v>7</v>
      </c>
      <c r="N317" s="18" t="str">
        <f t="shared" ca="1" si="95"/>
        <v>—</v>
      </c>
      <c r="O317" s="17">
        <f t="shared" ca="1" si="96"/>
        <v>7</v>
      </c>
      <c r="P317" s="18" t="str">
        <f t="shared" ca="1" si="97"/>
        <v>—</v>
      </c>
      <c r="Q317" s="17">
        <f t="shared" ca="1" si="98"/>
        <v>7</v>
      </c>
      <c r="R317" s="10" t="str">
        <f t="shared" ca="1" si="99"/>
        <v>—</v>
      </c>
      <c r="S317" s="17">
        <f t="shared" ca="1" si="100"/>
        <v>7</v>
      </c>
      <c r="T317" s="70" t="str">
        <f t="shared" ca="1" si="101"/>
        <v>—</v>
      </c>
      <c r="U317" s="17">
        <f t="shared" ca="1" si="102"/>
        <v>7</v>
      </c>
      <c r="V317" s="71" t="str">
        <f t="shared" ca="1" si="103"/>
        <v>—</v>
      </c>
      <c r="W317" s="17">
        <f t="shared" ca="1" si="104"/>
        <v>7</v>
      </c>
    </row>
    <row r="318" spans="1:23" x14ac:dyDescent="0.25">
      <c r="A318" s="4">
        <f t="shared" si="84"/>
        <v>32</v>
      </c>
      <c r="B318" t="str">
        <f ca="1">TEXT(DATE(YEAR(Invoer!$A$6),1,1)+INT((ROWS(B$2:B318)-1)/4),"jjjjmmdd")</f>
        <v>19400320</v>
      </c>
      <c r="C318" s="64" t="str">
        <f>IF(MOD(ROWS(C$2:C318)-1,4)=3,"24.00",INDEX(Data,3,2+MOD(ROWS(C$2:C318)-1,4)))</f>
        <v>07.00</v>
      </c>
      <c r="D318" s="18">
        <f t="shared" ca="1" si="85"/>
        <v>759.7</v>
      </c>
      <c r="E318" s="17">
        <f t="shared" ca="1" si="86"/>
        <v>0</v>
      </c>
      <c r="F318" s="18">
        <f t="shared" ca="1" si="87"/>
        <v>27.3</v>
      </c>
      <c r="G318" s="17">
        <f t="shared" ca="1" si="88"/>
        <v>0</v>
      </c>
      <c r="H318" s="18" t="str">
        <f t="shared" ca="1" si="89"/>
        <v>—</v>
      </c>
      <c r="I318" s="17">
        <f t="shared" ca="1" si="90"/>
        <v>7</v>
      </c>
      <c r="J318" s="18" t="str">
        <f t="shared" ca="1" si="91"/>
        <v>—</v>
      </c>
      <c r="K318" s="17">
        <f t="shared" ca="1" si="92"/>
        <v>7</v>
      </c>
      <c r="L318" s="10">
        <f t="shared" ca="1" si="93"/>
        <v>73</v>
      </c>
      <c r="M318" s="17">
        <f t="shared" ca="1" si="94"/>
        <v>0</v>
      </c>
      <c r="N318" s="18">
        <f t="shared" ca="1" si="95"/>
        <v>19.8</v>
      </c>
      <c r="O318" s="17">
        <f t="shared" ca="1" si="96"/>
        <v>0</v>
      </c>
      <c r="P318" s="18">
        <f t="shared" ca="1" si="97"/>
        <v>20.5</v>
      </c>
      <c r="Q318" s="17">
        <f t="shared" ca="1" si="98"/>
        <v>0</v>
      </c>
      <c r="R318" s="10">
        <f t="shared" ca="1" si="99"/>
        <v>65</v>
      </c>
      <c r="S318" s="17">
        <f t="shared" ca="1" si="100"/>
        <v>0</v>
      </c>
      <c r="T318" s="70">
        <f t="shared" ca="1" si="101"/>
        <v>0.6</v>
      </c>
      <c r="U318" s="17">
        <f t="shared" ca="1" si="102"/>
        <v>0</v>
      </c>
      <c r="V318" s="71">
        <f t="shared" ca="1" si="103"/>
        <v>2</v>
      </c>
      <c r="W318" s="17">
        <f t="shared" ca="1" si="104"/>
        <v>0</v>
      </c>
    </row>
    <row r="319" spans="1:23" x14ac:dyDescent="0.25">
      <c r="A319" s="4">
        <f t="shared" si="84"/>
        <v>32</v>
      </c>
      <c r="B319" t="str">
        <f ca="1">TEXT(DATE(YEAR(Invoer!$A$6),1,1)+INT((ROWS(B$2:B319)-1)/4),"jjjjmmdd")</f>
        <v>19400320</v>
      </c>
      <c r="C319" s="64" t="str">
        <f>IF(MOD(ROWS(C$2:C319)-1,4)=3,"24.00",INDEX(Data,3,2+MOD(ROWS(C$2:C319)-1,4)))</f>
        <v>12.00</v>
      </c>
      <c r="D319" s="18">
        <f t="shared" ca="1" si="85"/>
        <v>760</v>
      </c>
      <c r="E319" s="17">
        <f t="shared" ca="1" si="86"/>
        <v>0</v>
      </c>
      <c r="F319" s="18">
        <f t="shared" ca="1" si="87"/>
        <v>28.7</v>
      </c>
      <c r="G319" s="17">
        <f t="shared" ca="1" si="88"/>
        <v>0</v>
      </c>
      <c r="H319" s="18" t="str">
        <f t="shared" ca="1" si="89"/>
        <v>—</v>
      </c>
      <c r="I319" s="17">
        <f t="shared" ca="1" si="90"/>
        <v>7</v>
      </c>
      <c r="J319" s="18" t="str">
        <f t="shared" ca="1" si="91"/>
        <v>—</v>
      </c>
      <c r="K319" s="17">
        <f t="shared" ca="1" si="92"/>
        <v>7</v>
      </c>
      <c r="L319" s="10">
        <f t="shared" ca="1" si="93"/>
        <v>66</v>
      </c>
      <c r="M319" s="17">
        <f t="shared" ca="1" si="94"/>
        <v>0</v>
      </c>
      <c r="N319" s="18">
        <f t="shared" ca="1" si="95"/>
        <v>19.7</v>
      </c>
      <c r="O319" s="17">
        <f t="shared" ca="1" si="96"/>
        <v>0</v>
      </c>
      <c r="P319" s="18">
        <f t="shared" ca="1" si="97"/>
        <v>23.8</v>
      </c>
      <c r="Q319" s="17">
        <f t="shared" ca="1" si="98"/>
        <v>0</v>
      </c>
      <c r="R319" s="10">
        <f t="shared" ca="1" si="99"/>
        <v>65</v>
      </c>
      <c r="S319" s="17">
        <f t="shared" ca="1" si="100"/>
        <v>0</v>
      </c>
      <c r="T319" s="70">
        <f t="shared" ca="1" si="101"/>
        <v>0.7</v>
      </c>
      <c r="U319" s="17">
        <f t="shared" ca="1" si="102"/>
        <v>0</v>
      </c>
      <c r="V319" s="71">
        <f t="shared" ca="1" si="103"/>
        <v>1</v>
      </c>
      <c r="W319" s="17">
        <f t="shared" ca="1" si="104"/>
        <v>0</v>
      </c>
    </row>
    <row r="320" spans="1:23" x14ac:dyDescent="0.25">
      <c r="A320" s="4">
        <f t="shared" si="84"/>
        <v>32</v>
      </c>
      <c r="B320" t="str">
        <f ca="1">TEXT(DATE(YEAR(Invoer!$A$6),1,1)+INT((ROWS(B$2:B320)-1)/4),"jjjjmmdd")</f>
        <v>19400320</v>
      </c>
      <c r="C320" s="64" t="str">
        <f>IF(MOD(ROWS(C$2:C320)-1,4)=3,"24.00",INDEX(Data,3,2+MOD(ROWS(C$2:C320)-1,4)))</f>
        <v>17.00</v>
      </c>
      <c r="D320" s="18">
        <f t="shared" ca="1" si="85"/>
        <v>759.2</v>
      </c>
      <c r="E320" s="17">
        <f t="shared" ca="1" si="86"/>
        <v>0</v>
      </c>
      <c r="F320" s="18">
        <f t="shared" ca="1" si="87"/>
        <v>28.3</v>
      </c>
      <c r="G320" s="17">
        <f t="shared" ca="1" si="88"/>
        <v>0</v>
      </c>
      <c r="H320" s="18" t="str">
        <f t="shared" ca="1" si="89"/>
        <v>—</v>
      </c>
      <c r="I320" s="17">
        <f t="shared" ca="1" si="90"/>
        <v>7</v>
      </c>
      <c r="J320" s="18" t="str">
        <f t="shared" ca="1" si="91"/>
        <v>—</v>
      </c>
      <c r="K320" s="17">
        <f t="shared" ca="1" si="92"/>
        <v>7</v>
      </c>
      <c r="L320" s="10">
        <f t="shared" ca="1" si="93"/>
        <v>66</v>
      </c>
      <c r="M320" s="17">
        <f t="shared" ca="1" si="94"/>
        <v>0</v>
      </c>
      <c r="N320" s="18">
        <f t="shared" ca="1" si="95"/>
        <v>19</v>
      </c>
      <c r="O320" s="17">
        <f t="shared" ca="1" si="96"/>
        <v>0</v>
      </c>
      <c r="P320" s="18">
        <f t="shared" ca="1" si="97"/>
        <v>23.3</v>
      </c>
      <c r="Q320" s="17">
        <f t="shared" ca="1" si="98"/>
        <v>0</v>
      </c>
      <c r="R320" s="10">
        <f t="shared" ca="1" si="99"/>
        <v>45</v>
      </c>
      <c r="S320" s="17">
        <f t="shared" ca="1" si="100"/>
        <v>0</v>
      </c>
      <c r="T320" s="70">
        <f t="shared" ca="1" si="101"/>
        <v>0.7</v>
      </c>
      <c r="U320" s="17">
        <f t="shared" ca="1" si="102"/>
        <v>0</v>
      </c>
      <c r="V320" s="71">
        <f t="shared" ca="1" si="103"/>
        <v>1</v>
      </c>
      <c r="W320" s="17">
        <f t="shared" ca="1" si="104"/>
        <v>0</v>
      </c>
    </row>
    <row r="321" spans="1:23" x14ac:dyDescent="0.25">
      <c r="A321" s="4">
        <f t="shared" si="84"/>
        <v>32</v>
      </c>
      <c r="B321" t="str">
        <f ca="1">TEXT(DATE(YEAR(Invoer!$A$6),1,1)+INT((ROWS(B$2:B321)-1)/4),"jjjjmmdd")</f>
        <v>19400320</v>
      </c>
      <c r="C321" s="64" t="str">
        <f>IF(MOD(ROWS(C$2:C321)-1,4)=3,"24.00",INDEX(Data,3,2+MOD(ROWS(C$2:C321)-1,4)))</f>
        <v>24.00</v>
      </c>
      <c r="D321" s="18" t="str">
        <f t="shared" ca="1" si="85"/>
        <v>—</v>
      </c>
      <c r="E321" s="17">
        <f t="shared" ca="1" si="86"/>
        <v>7</v>
      </c>
      <c r="F321" s="18" t="str">
        <f t="shared" ca="1" si="87"/>
        <v>—</v>
      </c>
      <c r="G321" s="17">
        <f t="shared" ca="1" si="88"/>
        <v>7</v>
      </c>
      <c r="H321" s="18">
        <f t="shared" ca="1" si="89"/>
        <v>28</v>
      </c>
      <c r="I321" s="17">
        <f t="shared" ca="1" si="90"/>
        <v>0</v>
      </c>
      <c r="J321" s="18">
        <f t="shared" ca="1" si="91"/>
        <v>31.6</v>
      </c>
      <c r="K321" s="17">
        <f t="shared" ca="1" si="92"/>
        <v>0</v>
      </c>
      <c r="L321" s="10" t="str">
        <f t="shared" ca="1" si="93"/>
        <v>—</v>
      </c>
      <c r="M321" s="17">
        <f t="shared" ca="1" si="94"/>
        <v>7</v>
      </c>
      <c r="N321" s="18" t="str">
        <f t="shared" ca="1" si="95"/>
        <v>—</v>
      </c>
      <c r="O321" s="17">
        <f t="shared" ca="1" si="96"/>
        <v>7</v>
      </c>
      <c r="P321" s="18" t="str">
        <f t="shared" ca="1" si="97"/>
        <v>—</v>
      </c>
      <c r="Q321" s="17">
        <f t="shared" ca="1" si="98"/>
        <v>7</v>
      </c>
      <c r="R321" s="10" t="str">
        <f t="shared" ca="1" si="99"/>
        <v>—</v>
      </c>
      <c r="S321" s="17">
        <f t="shared" ca="1" si="100"/>
        <v>7</v>
      </c>
      <c r="T321" s="70" t="str">
        <f t="shared" ca="1" si="101"/>
        <v>—</v>
      </c>
      <c r="U321" s="17">
        <f t="shared" ca="1" si="102"/>
        <v>7</v>
      </c>
      <c r="V321" s="71" t="str">
        <f t="shared" ca="1" si="103"/>
        <v>—</v>
      </c>
      <c r="W321" s="17">
        <f t="shared" ca="1" si="104"/>
        <v>7</v>
      </c>
    </row>
    <row r="322" spans="1:23" x14ac:dyDescent="0.25">
      <c r="A322" s="4">
        <f t="shared" ref="A322:A385" si="105">INDEX(Stations,2,1)</f>
        <v>32</v>
      </c>
      <c r="B322" t="str">
        <f ca="1">TEXT(DATE(YEAR(Invoer!$A$6),1,1)+INT((ROWS(B$2:B322)-1)/4),"jjjjmmdd")</f>
        <v>19400321</v>
      </c>
      <c r="C322" s="64" t="str">
        <f>IF(MOD(ROWS(C$2:C322)-1,4)=3,"24.00",INDEX(Data,3,2+MOD(ROWS(C$2:C322)-1,4)))</f>
        <v>07.00</v>
      </c>
      <c r="D322" s="18">
        <f t="shared" ref="D322:D385" ca="1" si="106">IF(OR(ISBLANK(VLOOKUP(DATEVALUE(LEFT($B322,4)&amp;"-"&amp;MID($B322,5,2)&amp;"-"&amp;RIGHT($B322,2)),Data,MATCH(LEFT(VLOOKUP(D$1,Parameters,2,FALSE()),4)&amp;"*",OFFSET(Data,0,0,1),0)+MATCH($C322,OFFSET(Data,2,0,1),0)-2,FALSE())),ISTEXT(VLOOKUP(DATEVALUE(LEFT($B322,4)&amp;"-"&amp;MID($B322,5,2)&amp;"-"&amp;RIGHT($B322,2)),Data,MATCH(LEFT(VLOOKUP(D$1,Parameters,2,FALSE()),4)&amp;"*",OFFSET(Data,0,0,1),0)+MATCH($C322,OFFSET(Data,2,0,1),0)-2,FALSE())),EXACT($C322,"24.00")),"—",VLOOKUP(DATEVALUE(LEFT($B322,4)&amp;"-"&amp;MID($B322,5,2)&amp;"-"&amp;RIGHT($B322,2)),Data,MATCH(LEFT(VLOOKUP(D$1,Parameters,2,FALSE()),4)&amp;"*",OFFSET(Data,0,0,1),0)+MATCH($C322,OFFSET(Data,2,0,1),0)-2,FALSE())/10)</f>
        <v>758.5</v>
      </c>
      <c r="E322" s="17">
        <f t="shared" ref="E322:E385" ca="1" si="107">IF(OR(ISBLANK(VLOOKUP(DATEVALUE(LEFT($B322,4)&amp;"-"&amp;MID($B322,5,2)&amp;"-"&amp;RIGHT($B322,2)),Data,MATCH(LEFT(VLOOKUP(MID(E$1,2,LEN(E$1)-1),Parameters,2,FALSE()),4)&amp;"*",OFFSET(Data,0,0,1),0)+MATCH($C322,OFFSET(Data,2,0,1),0)-2,FALSE())),ISTEXT(VLOOKUP(DATEVALUE(LEFT($B322,4)&amp;"-"&amp;MID($B322,5,2)&amp;"-"&amp;RIGHT($B322,2)),Data,MATCH(LEFT(VLOOKUP(MID(E$1,2,LEN(E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Data,2,0,1),0)-2,FALSE())))</f>
        <v>0</v>
      </c>
      <c r="F322" s="18">
        <f t="shared" ref="F322:F385" ca="1" si="108">IF(OR(ISBLANK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ISTEXT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EXACT($C322,"24.00")),"—",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/10)</f>
        <v>26.9</v>
      </c>
      <c r="G322" s="17">
        <f t="shared" ref="G322:G385" ca="1" si="109">IF(OR(ISBLANK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ISTEXT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G$1,2,LEN(G$1)-1),Parameters,2,FALSE()),FIND(LOWER(MID(G$1,2,1)),VLOOKUP(MID(G$1,2,LEN(G$1)-1),Parameters,2,FALSE()),5),4)&amp;"*",OFFSET(Catalogus,0,0,1),0)+2*MATCH($C322,OFFSET(Catalogus,2,0,1),0)+MATCH(LEFT(VLOOKUP(MID(G$1,2,LEN(G$1)-1),Parameters,2,FALSE()),3)&amp;"*",OFFSET(Catalogus,2,4,1),0)-5,FALSE())))</f>
        <v>0</v>
      </c>
      <c r="H322" s="18" t="str">
        <f t="shared" ref="H322:H385" ca="1" si="110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/10)</f>
        <v>—</v>
      </c>
      <c r="I322" s="17">
        <f t="shared" ref="I322:I385" ca="1" si="111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7</v>
      </c>
      <c r="J322" s="18" t="str">
        <f t="shared" ref="J322:J385" ca="1" si="112">IF(OR(ISBLANK(VLOOKUP(DATEVALUE(LEFT($B322,4)&amp;"-"&amp;MID($B322,5,2)&amp;"-"&amp;RIGHT($B322,2)),Data,MATCH(LEFT(VLOOKUP(J$1,Parameters,2,FALSE()),4)&amp;"*",OFFSET(Data,1,0,1),0),FALSE())),ISTEXT(VLOOKUP(DATEVALUE(LEFT($B322,4)&amp;"-"&amp;MID($B322,5,2)&amp;"-"&amp;RIGHT($B322,2)),Data,MATCH(LEFT(VLOOKUP(J$1,Parameters,2,FALSE()),4)&amp;"*",OFFSET(Data,1,0,1),0),FALSE())),NOT(EXACT($C322,"24.00"))),"—",VLOOKUP(DATEVALUE(LEFT($B322,4)&amp;"-"&amp;MID($B322,5,2)&amp;"-"&amp;RIGHT($B322,2)),Data,MATCH(LEFT(VLOOKUP(J$1,Parameters,2,FALSE()),4)&amp;"*",OFFSET(Data,1,0,1),0),FALSE())/10)</f>
        <v>—</v>
      </c>
      <c r="K322" s="17">
        <f t="shared" ref="K322:K385" ca="1" si="113">IF(OR(ISBLANK(VLOOKUP(DATEVALUE(LEFT($B322,4)&amp;"-"&amp;MID($B322,5,2)&amp;"-"&amp;RIGHT($B322,2)),Data,MATCH(LEFT(VLOOKUP(MID(K$1,2,LEN(K$1)-1),Parameters,2,FALSE()),4)&amp;"*",OFFSET(Data,1,0,1),0),FALSE())),ISTEXT(VLOOKUP(DATEVALUE(LEFT($B322,4)&amp;"-"&amp;MID($B322,5,2)&amp;"-"&amp;RIGHT($B322,2)),Data,MATCH(LEFT(VLOOKUP(MID(K$1,2,LEN(K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4)&amp;"*",OFFSET(Catalogus,1,0,1),0),FALSE())))</f>
        <v>7</v>
      </c>
      <c r="L322" s="10">
        <f t="shared" ref="L322:L385" ca="1" si="114">IF(OR(ISBLANK(VLOOKUP(DATEVALUE(LEFT($B322,4)&amp;"-"&amp;MID($B322,5,2)&amp;"-"&amp;RIGHT($B322,2)),Data,MATCH(LEFT(VLOOKUP(L$1,Parameters,2,FALSE()),4)&amp;"*",OFFSET(Data,0,0,1),0)+MATCH($C322,OFFSET(Data,2,0,1),0)-2,FALSE())),ISTEXT(VLOOKUP(DATEVALUE(LEFT($B322,4)&amp;"-"&amp;MID($B322,5,2)&amp;"-"&amp;RIGHT($B322,2)),Data,MATCH(LEFT(VLOOKUP(L$1,Parameters,2,FALSE()),4)&amp;"*",OFFSET(Data,0,0,1),0)+MATCH($C322,OFFSET(Data,2,0,1),0)-2,FALSE())),EXACT($C322,"24.00")),"—",VLOOKUP(DATEVALUE(LEFT($B322,4)&amp;"-"&amp;MID($B322,5,2)&amp;"-"&amp;RIGHT($B322,2)),Data,MATCH(LEFT(VLOOKUP(L$1,Parameters,2,FALSE()),4)&amp;"*",OFFSET(Data,0,0,1),0)+MATCH($C322,OFFSET(Data,2,0,1),0)-2,FALSE()))</f>
        <v>72</v>
      </c>
      <c r="M322" s="17">
        <f t="shared" ref="M322:M385" ca="1" si="115">IF(OR(ISBLANK(VLOOKUP(DATEVALUE(LEFT($B322,4)&amp;"-"&amp;MID($B322,5,2)&amp;"-"&amp;RIGHT($B322,2)),Data,MATCH(LEFT(VLOOKUP(MID(M$1,2,LEN(M$1)-1),Parameters,2,FALSE()),4)&amp;"*",OFFSET(Data,0,0,1),0)+MATCH($C322,OFFSET(Data,2,0,1),0)-2,FALSE())),ISTEXT(VLOOKUP(DATEVALUE(LEFT($B322,4)&amp;"-"&amp;MID($B322,5,2)&amp;"-"&amp;RIGHT($B322,2)),Data,MATCH(LEFT(VLOOKUP(MID(M$1,2,LEN(M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4)&amp;"*",OFFSET(Catalogus,0,0,1),0)+MATCH($C322,OFFSET(Data,2,0,1),0)-2,FALSE())))</f>
        <v>0</v>
      </c>
      <c r="N322" s="18">
        <f t="shared" ref="N322:N385" ca="1" si="116">IF(OR(ISBLANK(VLOOKUP(DATEVALUE(LEFT($B322,4)&amp;"-"&amp;MID($B322,5,2)&amp;"-"&amp;RIGHT($B322,2)),Data,MATCH(LEFT(VLOOKUP(N$1,Parameters,2,FALSE()),4)&amp;"*",OFFSET(Data,0,0,1),0)+MATCH($C322,OFFSET(Data,2,0,1),0)-2,FALSE())),ISTEXT(VLOOKUP(DATEVALUE(LEFT($B322,4)&amp;"-"&amp;MID($B322,5,2)&amp;"-"&amp;RIGHT($B322,2)),Data,MATCH(LEFT(VLOOKUP(N$1,Parameters,2,FALSE()),4)&amp;"*",OFFSET(Data,0,0,1),0)+MATCH($C322,OFFSET(Data,2,0,1),0)-2,FALSE())),EXACT($C322,"24.00")),"—",VLOOKUP(DATEVALUE(LEFT($B322,4)&amp;"-"&amp;MID($B322,5,2)&amp;"-"&amp;RIGHT($B322,2)),Data,MATCH(LEFT(VLOOKUP(N$1,Parameters,2,FALSE()),4)&amp;"*",OFFSET(Data,0,0,1),0)+MATCH($C322,OFFSET(Data,2,0,1),0)-2,FALSE())/10)</f>
        <v>19.100000000000001</v>
      </c>
      <c r="O322" s="17">
        <f t="shared" ref="O322:O385" ca="1" si="117">IF(OR(ISBLANK(VLOOKUP(DATEVALUE(LEFT($B322,4)&amp;"-"&amp;MID($B322,5,2)&amp;"-"&amp;RIGHT($B322,2)),Data,MATCH(LEFT(VLOOKUP(MID(O$1,2,LEN(O$1)-1),Parameters,2,FALSE()),4)&amp;"*",OFFSET(Data,0,0,1),0)+MATCH($C322,OFFSET(Data,2,0,1),0)-2,FALSE())),ISTEXT(VLOOKUP(DATEVALUE(LEFT($B322,4)&amp;"-"&amp;MID($B322,5,2)&amp;"-"&amp;RIGHT($B322,2)),Data,MATCH(LEFT(VLOOKUP(MID(O$1,2,LEN(O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4)&amp;"*",OFFSET(Catalogus,0,0,1),0)+MATCH($C322,OFFSET(Data,2,0,1),0)-2,FALSE())))</f>
        <v>0</v>
      </c>
      <c r="P322" s="18">
        <f t="shared" ref="P322:P385" ca="1" si="118">IF(OR(ISBLANK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ISTEXT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EXACT($C322,"24.00")),"—",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/10)</f>
        <v>23</v>
      </c>
      <c r="Q322" s="17">
        <f t="shared" ref="Q322:Q385" ca="1" si="119">IF(OR(ISBLANK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ISTEXT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Q$1,2,LEN(Q$1)-1),Parameters,2,FALSE()),FIND(LOWER(MID(Q$1,2,1)),VLOOKUP(MID(Q$1,2,LEN(Q$1)-1),Parameters,2,FALSE()),5),4)&amp;"*",OFFSET(Catalogus,0,0,1),0)+2*MATCH($C322,OFFSET(Catalogus,2,0,1),0)+MATCH(LEFT(VLOOKUP(MID(Q$1,2,LEN(Q$1)-1),Parameters,2,FALSE()),3)&amp;"*",OFFSET(Catalogus,2,4,1),0)-5,FALSE())))</f>
        <v>0</v>
      </c>
      <c r="R322" s="10">
        <f t="shared" ref="R322:R385" ca="1" si="120">IF(OR(ISBLANK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),ISNA(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1,1,,1),0)),EXACT($C322,"24.00")),"—",INDEX(Windrichting,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0,1,,1),0),1))</f>
        <v>65</v>
      </c>
      <c r="S322" s="17">
        <f t="shared" ref="S322:S385" ca="1" si="121">IF(OR(ISBLANK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),ISNA(MATCH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,OFFSET(Windrichting,1,1,,1),0)),EXACT($C322,"24.00"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4)&amp;"*",OFFSET(Catalogus,0,0,1),0)+2*MATCH($C322,OFFSET(Catalogus,2,0,1),0)+MATCH(MID(VLOOKUP(MID(S$1,2,LEN(S$1)-1),Parameters,2,FALSE()),5,LEN(VLOOKUP(MID(S$1,2,LEN(S$1)-1),Parameters,2,FALSE()))-4)&amp;"*",OFFSET(Catalogus,2,19,1),0)-5,FALSE())))</f>
        <v>0</v>
      </c>
      <c r="T322" s="70">
        <f t="shared" ref="T322:T385" ca="1" si="122">IF(OR(ISBLANK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ISTEXT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EXACT($C322,"24.00")),"—",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/10)</f>
        <v>0.6</v>
      </c>
      <c r="U322" s="17">
        <f t="shared" ref="U322:U385" ca="1" si="123">IF(OR(ISBLANK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ISTEXT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4)&amp;"*",OFFSET(Catalogus,0,0,1),0)+2*MATCH($C322,OFFSET(Catalogus,2,0,1),0)+MATCH(MID(VLOOKUP(MID(U$1,2,LEN(U$1)-1),Parameters,2,FALSE()),5,LEN(VLOOKUP(MID(U$1,2,LEN(U$1)-1),Parameters,2,FALSE()))-4)&amp;"*",OFFSET(Catalogus,2,19,1),0)-5,FALSE())))</f>
        <v>0</v>
      </c>
      <c r="V322" s="71">
        <f t="shared" ref="V322:V385" ca="1" si="124">IF(OR(ISBLANK(VLOOKUP(DATEVALUE(LEFT($B322,4)&amp;"-"&amp;MID($B322,5,2)&amp;"-"&amp;RIGHT($B322,2)),Data,MATCH(LEFT(VLOOKUP(V$1,Parameters,2,FALSE()),4)&amp;"*",OFFSET(Data,0,0,1),0)+MATCH($C322,OFFSET(Data,2,0,1),0)-2,FALSE())),ISTEXT(VLOOKUP(DATEVALUE(LEFT($B322,4)&amp;"-"&amp;MID($B322,5,2)&amp;"-"&amp;RIGHT($B322,2)),Data,MATCH(LEFT(VLOOKUP(V$1,Parameters,2,FALSE()),4)&amp;"*",OFFSET(Data,0,0,1),0)+MATCH($C322,OFFSET(Data,2,0,1),0)-2,FALSE())),EXACT($C322,"24.00")),"—",VLOOKUP(DATEVALUE(LEFT($B322,4)&amp;"-"&amp;MID($B322,5,2)&amp;"-"&amp;RIGHT($B322,2)),Data,MATCH(LEFT(VLOOKUP(V$1,Parameters,2,FALSE()),4)&amp;"*",OFFSET(Data,0,0,1),0)+MATCH($C322,OFFSET(Data,2,0,1),0)-2,FALSE()))</f>
        <v>2</v>
      </c>
      <c r="W322" s="17">
        <f t="shared" ref="W322:W385" ca="1" si="125">IF(OR(ISBLANK(VLOOKUP(DATEVALUE(LEFT($B322,4)&amp;"-"&amp;MID($B322,5,2)&amp;"-"&amp;RIGHT($B322,2)),Data,MATCH(LEFT(VLOOKUP(MID(W$1,2,LEN(W$1)-1),Parameters,2,FALSE()),4)&amp;"*",OFFSET(Data,0,0,1),0)+MATCH($C322,OFFSET(Data,2,0,1),0)-2,FALSE())),ISTEXT(VLOOKUP(DATEVALUE(LEFT($B322,4)&amp;"-"&amp;MID($B322,5,2)&amp;"-"&amp;RIGHT($B322,2)),Data,MATCH(LEFT(VLOOKUP(MID(W$1,2,LEN(W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4)&amp;"*",OFFSET(Catalogus,0,0,1),0)+MATCH($C322,OFFSET(Data,2,0,1),0)-2,FALSE())))</f>
        <v>0</v>
      </c>
    </row>
    <row r="323" spans="1:23" x14ac:dyDescent="0.25">
      <c r="A323" s="4">
        <f t="shared" si="105"/>
        <v>32</v>
      </c>
      <c r="B323" t="str">
        <f ca="1">TEXT(DATE(YEAR(Invoer!$A$6),1,1)+INT((ROWS(B$2:B323)-1)/4),"jjjjmmdd")</f>
        <v>19400321</v>
      </c>
      <c r="C323" s="64" t="str">
        <f>IF(MOD(ROWS(C$2:C323)-1,4)=3,"24.00",INDEX(Data,3,2+MOD(ROWS(C$2:C323)-1,4)))</f>
        <v>12.00</v>
      </c>
      <c r="D323" s="18">
        <f t="shared" ca="1" si="106"/>
        <v>759.7</v>
      </c>
      <c r="E323" s="17">
        <f t="shared" ca="1" si="107"/>
        <v>0</v>
      </c>
      <c r="F323" s="18">
        <f t="shared" ca="1" si="108"/>
        <v>29.1</v>
      </c>
      <c r="G323" s="17">
        <f t="shared" ca="1" si="109"/>
        <v>0</v>
      </c>
      <c r="H323" s="18" t="str">
        <f t="shared" ca="1" si="110"/>
        <v>—</v>
      </c>
      <c r="I323" s="17">
        <f t="shared" ca="1" si="111"/>
        <v>7</v>
      </c>
      <c r="J323" s="18" t="str">
        <f t="shared" ca="1" si="112"/>
        <v>—</v>
      </c>
      <c r="K323" s="17">
        <f t="shared" ca="1" si="113"/>
        <v>7</v>
      </c>
      <c r="L323" s="10">
        <f t="shared" ca="1" si="114"/>
        <v>64</v>
      </c>
      <c r="M323" s="17">
        <f t="shared" ca="1" si="115"/>
        <v>0</v>
      </c>
      <c r="N323" s="18">
        <f t="shared" ca="1" si="116"/>
        <v>19.5</v>
      </c>
      <c r="O323" s="17">
        <f t="shared" ca="1" si="117"/>
        <v>0</v>
      </c>
      <c r="P323" s="18">
        <f t="shared" ca="1" si="118"/>
        <v>23.8</v>
      </c>
      <c r="Q323" s="17">
        <f t="shared" ca="1" si="119"/>
        <v>0</v>
      </c>
      <c r="R323" s="10">
        <f t="shared" ca="1" si="120"/>
        <v>65</v>
      </c>
      <c r="S323" s="17">
        <f t="shared" ca="1" si="121"/>
        <v>0</v>
      </c>
      <c r="T323" s="70">
        <f t="shared" ca="1" si="122"/>
        <v>0.7</v>
      </c>
      <c r="U323" s="17">
        <f t="shared" ca="1" si="123"/>
        <v>0</v>
      </c>
      <c r="V323" s="71">
        <f t="shared" ca="1" si="124"/>
        <v>2</v>
      </c>
      <c r="W323" s="17">
        <f t="shared" ca="1" si="125"/>
        <v>0</v>
      </c>
    </row>
    <row r="324" spans="1:23" x14ac:dyDescent="0.25">
      <c r="A324" s="4">
        <f t="shared" si="105"/>
        <v>32</v>
      </c>
      <c r="B324" t="str">
        <f ca="1">TEXT(DATE(YEAR(Invoer!$A$6),1,1)+INT((ROWS(B$2:B324)-1)/4),"jjjjmmdd")</f>
        <v>19400321</v>
      </c>
      <c r="C324" s="64" t="str">
        <f>IF(MOD(ROWS(C$2:C324)-1,4)=3,"24.00",INDEX(Data,3,2+MOD(ROWS(C$2:C324)-1,4)))</f>
        <v>17.00</v>
      </c>
      <c r="D324" s="18">
        <f t="shared" ca="1" si="106"/>
        <v>759.2</v>
      </c>
      <c r="E324" s="17">
        <f t="shared" ca="1" si="107"/>
        <v>0</v>
      </c>
      <c r="F324" s="18">
        <f t="shared" ca="1" si="108"/>
        <v>28.7</v>
      </c>
      <c r="G324" s="17">
        <f t="shared" ca="1" si="109"/>
        <v>0</v>
      </c>
      <c r="H324" s="18" t="str">
        <f t="shared" ca="1" si="110"/>
        <v>—</v>
      </c>
      <c r="I324" s="17">
        <f t="shared" ca="1" si="111"/>
        <v>7</v>
      </c>
      <c r="J324" s="18" t="str">
        <f t="shared" ca="1" si="112"/>
        <v>—</v>
      </c>
      <c r="K324" s="17">
        <f t="shared" ca="1" si="113"/>
        <v>7</v>
      </c>
      <c r="L324" s="10">
        <f t="shared" ca="1" si="114"/>
        <v>65</v>
      </c>
      <c r="M324" s="17">
        <f t="shared" ca="1" si="115"/>
        <v>0</v>
      </c>
      <c r="N324" s="18">
        <f t="shared" ca="1" si="116"/>
        <v>19.3</v>
      </c>
      <c r="O324" s="17">
        <f t="shared" ca="1" si="117"/>
        <v>0</v>
      </c>
      <c r="P324" s="18">
        <f t="shared" ca="1" si="118"/>
        <v>23.6</v>
      </c>
      <c r="Q324" s="17">
        <f t="shared" ca="1" si="119"/>
        <v>0</v>
      </c>
      <c r="R324" s="10">
        <f t="shared" ca="1" si="120"/>
        <v>45</v>
      </c>
      <c r="S324" s="17">
        <f t="shared" ca="1" si="121"/>
        <v>0</v>
      </c>
      <c r="T324" s="70">
        <f t="shared" ca="1" si="122"/>
        <v>0.7</v>
      </c>
      <c r="U324" s="17">
        <f t="shared" ca="1" si="123"/>
        <v>0</v>
      </c>
      <c r="V324" s="71">
        <f t="shared" ca="1" si="124"/>
        <v>1</v>
      </c>
      <c r="W324" s="17">
        <f t="shared" ca="1" si="125"/>
        <v>0</v>
      </c>
    </row>
    <row r="325" spans="1:23" x14ac:dyDescent="0.25">
      <c r="A325" s="4">
        <f t="shared" si="105"/>
        <v>32</v>
      </c>
      <c r="B325" t="str">
        <f ca="1">TEXT(DATE(YEAR(Invoer!$A$6),1,1)+INT((ROWS(B$2:B325)-1)/4),"jjjjmmdd")</f>
        <v>19400321</v>
      </c>
      <c r="C325" s="64" t="str">
        <f>IF(MOD(ROWS(C$2:C325)-1,4)=3,"24.00",INDEX(Data,3,2+MOD(ROWS(C$2:C325)-1,4)))</f>
        <v>24.00</v>
      </c>
      <c r="D325" s="18" t="str">
        <f t="shared" ca="1" si="106"/>
        <v>—</v>
      </c>
      <c r="E325" s="17">
        <f t="shared" ca="1" si="107"/>
        <v>7</v>
      </c>
      <c r="F325" s="18" t="str">
        <f t="shared" ca="1" si="108"/>
        <v>—</v>
      </c>
      <c r="G325" s="17">
        <f t="shared" ca="1" si="109"/>
        <v>7</v>
      </c>
      <c r="H325" s="18">
        <f t="shared" ca="1" si="110"/>
        <v>28.4</v>
      </c>
      <c r="I325" s="17">
        <f t="shared" ca="1" si="111"/>
        <v>0</v>
      </c>
      <c r="J325" s="18">
        <f t="shared" ca="1" si="112"/>
        <v>31.5</v>
      </c>
      <c r="K325" s="17">
        <f t="shared" ca="1" si="113"/>
        <v>0</v>
      </c>
      <c r="L325" s="10" t="str">
        <f t="shared" ca="1" si="114"/>
        <v>—</v>
      </c>
      <c r="M325" s="17">
        <f t="shared" ca="1" si="115"/>
        <v>7</v>
      </c>
      <c r="N325" s="18" t="str">
        <f t="shared" ca="1" si="116"/>
        <v>—</v>
      </c>
      <c r="O325" s="17">
        <f t="shared" ca="1" si="117"/>
        <v>7</v>
      </c>
      <c r="P325" s="18" t="str">
        <f t="shared" ca="1" si="118"/>
        <v>—</v>
      </c>
      <c r="Q325" s="17">
        <f t="shared" ca="1" si="119"/>
        <v>7</v>
      </c>
      <c r="R325" s="10" t="str">
        <f t="shared" ca="1" si="120"/>
        <v>—</v>
      </c>
      <c r="S325" s="17">
        <f t="shared" ca="1" si="121"/>
        <v>7</v>
      </c>
      <c r="T325" s="70" t="str">
        <f t="shared" ca="1" si="122"/>
        <v>—</v>
      </c>
      <c r="U325" s="17">
        <f t="shared" ca="1" si="123"/>
        <v>7</v>
      </c>
      <c r="V325" s="71" t="str">
        <f t="shared" ca="1" si="124"/>
        <v>—</v>
      </c>
      <c r="W325" s="17">
        <f t="shared" ca="1" si="125"/>
        <v>7</v>
      </c>
    </row>
    <row r="326" spans="1:23" x14ac:dyDescent="0.25">
      <c r="A326" s="4">
        <f t="shared" si="105"/>
        <v>32</v>
      </c>
      <c r="B326" t="str">
        <f ca="1">TEXT(DATE(YEAR(Invoer!$A$6),1,1)+INT((ROWS(B$2:B326)-1)/4),"jjjjmmdd")</f>
        <v>19400322</v>
      </c>
      <c r="C326" s="64" t="str">
        <f>IF(MOD(ROWS(C$2:C326)-1,4)=3,"24.00",INDEX(Data,3,2+MOD(ROWS(C$2:C326)-1,4)))</f>
        <v>07.00</v>
      </c>
      <c r="D326" s="18">
        <f t="shared" ca="1" si="106"/>
        <v>757.2</v>
      </c>
      <c r="E326" s="17">
        <f t="shared" ca="1" si="107"/>
        <v>0</v>
      </c>
      <c r="F326" s="18">
        <f t="shared" ca="1" si="108"/>
        <v>27.5</v>
      </c>
      <c r="G326" s="17">
        <f t="shared" ca="1" si="109"/>
        <v>0</v>
      </c>
      <c r="H326" s="18" t="str">
        <f t="shared" ca="1" si="110"/>
        <v>—</v>
      </c>
      <c r="I326" s="17">
        <f t="shared" ca="1" si="111"/>
        <v>7</v>
      </c>
      <c r="J326" s="18" t="str">
        <f t="shared" ca="1" si="112"/>
        <v>—</v>
      </c>
      <c r="K326" s="17">
        <f t="shared" ca="1" si="113"/>
        <v>7</v>
      </c>
      <c r="L326" s="10">
        <f t="shared" ca="1" si="114"/>
        <v>66</v>
      </c>
      <c r="M326" s="17">
        <f t="shared" ca="1" si="115"/>
        <v>0</v>
      </c>
      <c r="N326" s="18">
        <f t="shared" ca="1" si="116"/>
        <v>18.3</v>
      </c>
      <c r="O326" s="17">
        <f t="shared" ca="1" si="117"/>
        <v>0</v>
      </c>
      <c r="P326" s="18">
        <f t="shared" ca="1" si="118"/>
        <v>22.7</v>
      </c>
      <c r="Q326" s="17">
        <f t="shared" ca="1" si="119"/>
        <v>0</v>
      </c>
      <c r="R326" s="10">
        <f t="shared" ca="1" si="120"/>
        <v>65</v>
      </c>
      <c r="S326" s="17">
        <f t="shared" ca="1" si="121"/>
        <v>0</v>
      </c>
      <c r="T326" s="70">
        <f t="shared" ca="1" si="122"/>
        <v>0.6</v>
      </c>
      <c r="U326" s="17">
        <f t="shared" ca="1" si="123"/>
        <v>0</v>
      </c>
      <c r="V326" s="71">
        <f t="shared" ca="1" si="124"/>
        <v>2</v>
      </c>
      <c r="W326" s="17">
        <f t="shared" ca="1" si="125"/>
        <v>0</v>
      </c>
    </row>
    <row r="327" spans="1:23" x14ac:dyDescent="0.25">
      <c r="A327" s="4">
        <f t="shared" si="105"/>
        <v>32</v>
      </c>
      <c r="B327" t="str">
        <f ca="1">TEXT(DATE(YEAR(Invoer!$A$6),1,1)+INT((ROWS(B$2:B327)-1)/4),"jjjjmmdd")</f>
        <v>19400322</v>
      </c>
      <c r="C327" s="64" t="str">
        <f>IF(MOD(ROWS(C$2:C327)-1,4)=3,"24.00",INDEX(Data,3,2+MOD(ROWS(C$2:C327)-1,4)))</f>
        <v>12.00</v>
      </c>
      <c r="D327" s="18">
        <f t="shared" ca="1" si="106"/>
        <v>760</v>
      </c>
      <c r="E327" s="17">
        <f t="shared" ca="1" si="107"/>
        <v>0</v>
      </c>
      <c r="F327" s="18">
        <f t="shared" ca="1" si="108"/>
        <v>28.9</v>
      </c>
      <c r="G327" s="17">
        <f t="shared" ca="1" si="109"/>
        <v>0</v>
      </c>
      <c r="H327" s="18" t="str">
        <f t="shared" ca="1" si="110"/>
        <v>—</v>
      </c>
      <c r="I327" s="17">
        <f t="shared" ca="1" si="111"/>
        <v>7</v>
      </c>
      <c r="J327" s="18" t="str">
        <f t="shared" ca="1" si="112"/>
        <v>—</v>
      </c>
      <c r="K327" s="17">
        <f t="shared" ca="1" si="113"/>
        <v>7</v>
      </c>
      <c r="L327" s="10">
        <f t="shared" ca="1" si="114"/>
        <v>64</v>
      </c>
      <c r="M327" s="17">
        <f t="shared" ca="1" si="115"/>
        <v>0</v>
      </c>
      <c r="N327" s="18">
        <f t="shared" ca="1" si="116"/>
        <v>19.2</v>
      </c>
      <c r="O327" s="17">
        <f t="shared" ca="1" si="117"/>
        <v>0</v>
      </c>
      <c r="P327" s="18">
        <f t="shared" ca="1" si="118"/>
        <v>23.6</v>
      </c>
      <c r="Q327" s="17">
        <f t="shared" ca="1" si="119"/>
        <v>0</v>
      </c>
      <c r="R327" s="10">
        <f t="shared" ca="1" si="120"/>
        <v>65</v>
      </c>
      <c r="S327" s="17">
        <f t="shared" ca="1" si="121"/>
        <v>0</v>
      </c>
      <c r="T327" s="70">
        <f t="shared" ca="1" si="122"/>
        <v>0.6</v>
      </c>
      <c r="U327" s="17">
        <f t="shared" ca="1" si="123"/>
        <v>0</v>
      </c>
      <c r="V327" s="71">
        <f t="shared" ca="1" si="124"/>
        <v>3</v>
      </c>
      <c r="W327" s="17">
        <f t="shared" ca="1" si="125"/>
        <v>0</v>
      </c>
    </row>
    <row r="328" spans="1:23" x14ac:dyDescent="0.25">
      <c r="A328" s="4">
        <f t="shared" si="105"/>
        <v>32</v>
      </c>
      <c r="B328" t="str">
        <f ca="1">TEXT(DATE(YEAR(Invoer!$A$6),1,1)+INT((ROWS(B$2:B328)-1)/4),"jjjjmmdd")</f>
        <v>19400322</v>
      </c>
      <c r="C328" s="64" t="str">
        <f>IF(MOD(ROWS(C$2:C328)-1,4)=3,"24.00",INDEX(Data,3,2+MOD(ROWS(C$2:C328)-1,4)))</f>
        <v>17.00</v>
      </c>
      <c r="D328" s="18">
        <f t="shared" ca="1" si="106"/>
        <v>760</v>
      </c>
      <c r="E328" s="17">
        <f t="shared" ca="1" si="107"/>
        <v>0</v>
      </c>
      <c r="F328" s="18">
        <f t="shared" ca="1" si="108"/>
        <v>28.9</v>
      </c>
      <c r="G328" s="17">
        <f t="shared" ca="1" si="109"/>
        <v>0</v>
      </c>
      <c r="H328" s="18" t="str">
        <f t="shared" ca="1" si="110"/>
        <v>—</v>
      </c>
      <c r="I328" s="17">
        <f t="shared" ca="1" si="111"/>
        <v>7</v>
      </c>
      <c r="J328" s="18" t="str">
        <f t="shared" ca="1" si="112"/>
        <v>—</v>
      </c>
      <c r="K328" s="17">
        <f t="shared" ca="1" si="113"/>
        <v>7</v>
      </c>
      <c r="L328" s="10">
        <f t="shared" ca="1" si="114"/>
        <v>65</v>
      </c>
      <c r="M328" s="17">
        <f t="shared" ca="1" si="115"/>
        <v>0</v>
      </c>
      <c r="N328" s="18">
        <f t="shared" ca="1" si="116"/>
        <v>19.600000000000001</v>
      </c>
      <c r="O328" s="17">
        <f t="shared" ca="1" si="117"/>
        <v>0</v>
      </c>
      <c r="P328" s="18">
        <f t="shared" ca="1" si="118"/>
        <v>23.8</v>
      </c>
      <c r="Q328" s="17">
        <f t="shared" ca="1" si="119"/>
        <v>0</v>
      </c>
      <c r="R328" s="10">
        <f t="shared" ca="1" si="120"/>
        <v>45</v>
      </c>
      <c r="S328" s="17">
        <f t="shared" ca="1" si="121"/>
        <v>0</v>
      </c>
      <c r="T328" s="70">
        <f t="shared" ca="1" si="122"/>
        <v>0.6</v>
      </c>
      <c r="U328" s="17">
        <f t="shared" ca="1" si="123"/>
        <v>0</v>
      </c>
      <c r="V328" s="71">
        <f t="shared" ca="1" si="124"/>
        <v>3</v>
      </c>
      <c r="W328" s="17">
        <f t="shared" ca="1" si="125"/>
        <v>0</v>
      </c>
    </row>
    <row r="329" spans="1:23" x14ac:dyDescent="0.25">
      <c r="A329" s="4">
        <f t="shared" si="105"/>
        <v>32</v>
      </c>
      <c r="B329" t="str">
        <f ca="1">TEXT(DATE(YEAR(Invoer!$A$6),1,1)+INT((ROWS(B$2:B329)-1)/4),"jjjjmmdd")</f>
        <v>19400322</v>
      </c>
      <c r="C329" s="64" t="str">
        <f>IF(MOD(ROWS(C$2:C329)-1,4)=3,"24.00",INDEX(Data,3,2+MOD(ROWS(C$2:C329)-1,4)))</f>
        <v>24.00</v>
      </c>
      <c r="D329" s="18" t="str">
        <f t="shared" ca="1" si="106"/>
        <v>—</v>
      </c>
      <c r="E329" s="17">
        <f t="shared" ca="1" si="107"/>
        <v>7</v>
      </c>
      <c r="F329" s="18" t="str">
        <f t="shared" ca="1" si="108"/>
        <v>—</v>
      </c>
      <c r="G329" s="17">
        <f t="shared" ca="1" si="109"/>
        <v>7</v>
      </c>
      <c r="H329" s="18">
        <f t="shared" ca="1" si="110"/>
        <v>29.2</v>
      </c>
      <c r="I329" s="17">
        <f t="shared" ca="1" si="111"/>
        <v>0</v>
      </c>
      <c r="J329" s="18">
        <f t="shared" ca="1" si="112"/>
        <v>31.8</v>
      </c>
      <c r="K329" s="17">
        <f t="shared" ca="1" si="113"/>
        <v>0</v>
      </c>
      <c r="L329" s="10" t="str">
        <f t="shared" ca="1" si="114"/>
        <v>—</v>
      </c>
      <c r="M329" s="17">
        <f t="shared" ca="1" si="115"/>
        <v>7</v>
      </c>
      <c r="N329" s="18" t="str">
        <f t="shared" ca="1" si="116"/>
        <v>—</v>
      </c>
      <c r="O329" s="17">
        <f t="shared" ca="1" si="117"/>
        <v>7</v>
      </c>
      <c r="P329" s="18" t="str">
        <f t="shared" ca="1" si="118"/>
        <v>—</v>
      </c>
      <c r="Q329" s="17">
        <f t="shared" ca="1" si="119"/>
        <v>7</v>
      </c>
      <c r="R329" s="10" t="str">
        <f t="shared" ca="1" si="120"/>
        <v>—</v>
      </c>
      <c r="S329" s="17">
        <f t="shared" ca="1" si="121"/>
        <v>7</v>
      </c>
      <c r="T329" s="70" t="str">
        <f t="shared" ca="1" si="122"/>
        <v>—</v>
      </c>
      <c r="U329" s="17">
        <f t="shared" ca="1" si="123"/>
        <v>7</v>
      </c>
      <c r="V329" s="71" t="str">
        <f t="shared" ca="1" si="124"/>
        <v>—</v>
      </c>
      <c r="W329" s="17">
        <f t="shared" ca="1" si="125"/>
        <v>7</v>
      </c>
    </row>
    <row r="330" spans="1:23" x14ac:dyDescent="0.25">
      <c r="A330" s="4">
        <f t="shared" si="105"/>
        <v>32</v>
      </c>
      <c r="B330" t="str">
        <f ca="1">TEXT(DATE(YEAR(Invoer!$A$6),1,1)+INT((ROWS(B$2:B330)-1)/4),"jjjjmmdd")</f>
        <v>19400323</v>
      </c>
      <c r="C330" s="64" t="str">
        <f>IF(MOD(ROWS(C$2:C330)-1,4)=3,"24.00",INDEX(Data,3,2+MOD(ROWS(C$2:C330)-1,4)))</f>
        <v>07.00</v>
      </c>
      <c r="D330" s="18">
        <f t="shared" ca="1" si="106"/>
        <v>757.2</v>
      </c>
      <c r="E330" s="17">
        <f t="shared" ca="1" si="107"/>
        <v>0</v>
      </c>
      <c r="F330" s="18">
        <f t="shared" ca="1" si="108"/>
        <v>26.1</v>
      </c>
      <c r="G330" s="17">
        <f t="shared" ca="1" si="109"/>
        <v>0</v>
      </c>
      <c r="H330" s="18" t="str">
        <f t="shared" ca="1" si="110"/>
        <v>—</v>
      </c>
      <c r="I330" s="17">
        <f t="shared" ca="1" si="111"/>
        <v>7</v>
      </c>
      <c r="J330" s="18" t="str">
        <f t="shared" ca="1" si="112"/>
        <v>—</v>
      </c>
      <c r="K330" s="17">
        <f t="shared" ca="1" si="113"/>
        <v>7</v>
      </c>
      <c r="L330" s="10">
        <f t="shared" ca="1" si="114"/>
        <v>76</v>
      </c>
      <c r="M330" s="17">
        <f t="shared" ca="1" si="115"/>
        <v>0</v>
      </c>
      <c r="N330" s="18">
        <f t="shared" ca="1" si="116"/>
        <v>19.2</v>
      </c>
      <c r="O330" s="17">
        <f t="shared" ca="1" si="117"/>
        <v>0</v>
      </c>
      <c r="P330" s="18">
        <f t="shared" ca="1" si="118"/>
        <v>22.8</v>
      </c>
      <c r="Q330" s="17">
        <f t="shared" ca="1" si="119"/>
        <v>0</v>
      </c>
      <c r="R330" s="10">
        <f t="shared" ca="1" si="120"/>
        <v>65</v>
      </c>
      <c r="S330" s="17">
        <f t="shared" ca="1" si="121"/>
        <v>0</v>
      </c>
      <c r="T330" s="70">
        <f t="shared" ca="1" si="122"/>
        <v>0.5</v>
      </c>
      <c r="U330" s="17">
        <f t="shared" ca="1" si="123"/>
        <v>0</v>
      </c>
      <c r="V330" s="71">
        <f t="shared" ca="1" si="124"/>
        <v>1</v>
      </c>
      <c r="W330" s="17">
        <f t="shared" ca="1" si="125"/>
        <v>0</v>
      </c>
    </row>
    <row r="331" spans="1:23" x14ac:dyDescent="0.25">
      <c r="A331" s="4">
        <f t="shared" si="105"/>
        <v>32</v>
      </c>
      <c r="B331" t="str">
        <f ca="1">TEXT(DATE(YEAR(Invoer!$A$6),1,1)+INT((ROWS(B$2:B331)-1)/4),"jjjjmmdd")</f>
        <v>19400323</v>
      </c>
      <c r="C331" s="64" t="str">
        <f>IF(MOD(ROWS(C$2:C331)-1,4)=3,"24.00",INDEX(Data,3,2+MOD(ROWS(C$2:C331)-1,4)))</f>
        <v>12.00</v>
      </c>
      <c r="D331" s="18">
        <f t="shared" ca="1" si="106"/>
        <v>759.2</v>
      </c>
      <c r="E331" s="17">
        <f t="shared" ca="1" si="107"/>
        <v>0</v>
      </c>
      <c r="F331" s="18">
        <f t="shared" ca="1" si="108"/>
        <v>27.1</v>
      </c>
      <c r="G331" s="17">
        <f t="shared" ca="1" si="109"/>
        <v>0</v>
      </c>
      <c r="H331" s="18" t="str">
        <f t="shared" ca="1" si="110"/>
        <v>—</v>
      </c>
      <c r="I331" s="17">
        <f t="shared" ca="1" si="111"/>
        <v>7</v>
      </c>
      <c r="J331" s="18" t="str">
        <f t="shared" ca="1" si="112"/>
        <v>—</v>
      </c>
      <c r="K331" s="17">
        <f t="shared" ca="1" si="113"/>
        <v>7</v>
      </c>
      <c r="L331" s="10">
        <f t="shared" ca="1" si="114"/>
        <v>73</v>
      </c>
      <c r="M331" s="17">
        <f t="shared" ca="1" si="115"/>
        <v>0</v>
      </c>
      <c r="N331" s="18">
        <f t="shared" ca="1" si="116"/>
        <v>19.7</v>
      </c>
      <c r="O331" s="17">
        <f t="shared" ca="1" si="117"/>
        <v>0</v>
      </c>
      <c r="P331" s="18">
        <f t="shared" ca="1" si="118"/>
        <v>23.4</v>
      </c>
      <c r="Q331" s="17">
        <f t="shared" ca="1" si="119"/>
        <v>0</v>
      </c>
      <c r="R331" s="10">
        <f t="shared" ca="1" si="120"/>
        <v>65</v>
      </c>
      <c r="S331" s="17">
        <f t="shared" ca="1" si="121"/>
        <v>0</v>
      </c>
      <c r="T331" s="70">
        <f t="shared" ca="1" si="122"/>
        <v>0.6</v>
      </c>
      <c r="U331" s="17">
        <f t="shared" ca="1" si="123"/>
        <v>0</v>
      </c>
      <c r="V331" s="71">
        <f t="shared" ca="1" si="124"/>
        <v>2</v>
      </c>
      <c r="W331" s="17">
        <f t="shared" ca="1" si="125"/>
        <v>0</v>
      </c>
    </row>
    <row r="332" spans="1:23" x14ac:dyDescent="0.25">
      <c r="A332" s="4">
        <f t="shared" si="105"/>
        <v>32</v>
      </c>
      <c r="B332" t="str">
        <f ca="1">TEXT(DATE(YEAR(Invoer!$A$6),1,1)+INT((ROWS(B$2:B332)-1)/4),"jjjjmmdd")</f>
        <v>19400323</v>
      </c>
      <c r="C332" s="64" t="str">
        <f>IF(MOD(ROWS(C$2:C332)-1,4)=3,"24.00",INDEX(Data,3,2+MOD(ROWS(C$2:C332)-1,4)))</f>
        <v>17.00</v>
      </c>
      <c r="D332" s="18">
        <f t="shared" ca="1" si="106"/>
        <v>757.9</v>
      </c>
      <c r="E332" s="17">
        <f t="shared" ca="1" si="107"/>
        <v>0</v>
      </c>
      <c r="F332" s="18">
        <f t="shared" ca="1" si="108"/>
        <v>26.9</v>
      </c>
      <c r="G332" s="17">
        <f t="shared" ca="1" si="109"/>
        <v>0</v>
      </c>
      <c r="H332" s="18" t="str">
        <f t="shared" ca="1" si="110"/>
        <v>—</v>
      </c>
      <c r="I332" s="17">
        <f t="shared" ca="1" si="111"/>
        <v>7</v>
      </c>
      <c r="J332" s="18" t="str">
        <f t="shared" ca="1" si="112"/>
        <v>—</v>
      </c>
      <c r="K332" s="17">
        <f t="shared" ca="1" si="113"/>
        <v>7</v>
      </c>
      <c r="L332" s="10">
        <f t="shared" ca="1" si="114"/>
        <v>72</v>
      </c>
      <c r="M332" s="17">
        <f t="shared" ca="1" si="115"/>
        <v>0</v>
      </c>
      <c r="N332" s="18">
        <f t="shared" ca="1" si="116"/>
        <v>19.100000000000001</v>
      </c>
      <c r="O332" s="17">
        <f t="shared" ca="1" si="117"/>
        <v>0</v>
      </c>
      <c r="P332" s="18">
        <f t="shared" ca="1" si="118"/>
        <v>23</v>
      </c>
      <c r="Q332" s="17">
        <f t="shared" ca="1" si="119"/>
        <v>0</v>
      </c>
      <c r="R332" s="10">
        <f t="shared" ca="1" si="120"/>
        <v>65</v>
      </c>
      <c r="S332" s="17">
        <f t="shared" ca="1" si="121"/>
        <v>0</v>
      </c>
      <c r="T332" s="70">
        <f t="shared" ca="1" si="122"/>
        <v>0.6</v>
      </c>
      <c r="U332" s="17">
        <f t="shared" ca="1" si="123"/>
        <v>0</v>
      </c>
      <c r="V332" s="71">
        <f t="shared" ca="1" si="124"/>
        <v>2</v>
      </c>
      <c r="W332" s="17">
        <f t="shared" ca="1" si="125"/>
        <v>0</v>
      </c>
    </row>
    <row r="333" spans="1:23" x14ac:dyDescent="0.25">
      <c r="A333" s="4">
        <f t="shared" si="105"/>
        <v>32</v>
      </c>
      <c r="B333" t="str">
        <f ca="1">TEXT(DATE(YEAR(Invoer!$A$6),1,1)+INT((ROWS(B$2:B333)-1)/4),"jjjjmmdd")</f>
        <v>19400323</v>
      </c>
      <c r="C333" s="64" t="str">
        <f>IF(MOD(ROWS(C$2:C333)-1,4)=3,"24.00",INDEX(Data,3,2+MOD(ROWS(C$2:C333)-1,4)))</f>
        <v>24.00</v>
      </c>
      <c r="D333" s="18" t="str">
        <f t="shared" ca="1" si="106"/>
        <v>—</v>
      </c>
      <c r="E333" s="17">
        <f t="shared" ca="1" si="107"/>
        <v>7</v>
      </c>
      <c r="F333" s="18" t="str">
        <f t="shared" ca="1" si="108"/>
        <v>—</v>
      </c>
      <c r="G333" s="17">
        <f t="shared" ca="1" si="109"/>
        <v>7</v>
      </c>
      <c r="H333" s="18">
        <f t="shared" ca="1" si="110"/>
        <v>27.4</v>
      </c>
      <c r="I333" s="17">
        <f t="shared" ca="1" si="111"/>
        <v>0</v>
      </c>
      <c r="J333" s="18">
        <f t="shared" ca="1" si="112"/>
        <v>29.5</v>
      </c>
      <c r="K333" s="17">
        <f t="shared" ca="1" si="113"/>
        <v>0</v>
      </c>
      <c r="L333" s="10" t="str">
        <f t="shared" ca="1" si="114"/>
        <v>—</v>
      </c>
      <c r="M333" s="17">
        <f t="shared" ca="1" si="115"/>
        <v>7</v>
      </c>
      <c r="N333" s="18" t="str">
        <f t="shared" ca="1" si="116"/>
        <v>—</v>
      </c>
      <c r="O333" s="17">
        <f t="shared" ca="1" si="117"/>
        <v>7</v>
      </c>
      <c r="P333" s="18" t="str">
        <f t="shared" ca="1" si="118"/>
        <v>—</v>
      </c>
      <c r="Q333" s="17">
        <f t="shared" ca="1" si="119"/>
        <v>7</v>
      </c>
      <c r="R333" s="10" t="str">
        <f t="shared" ca="1" si="120"/>
        <v>—</v>
      </c>
      <c r="S333" s="17">
        <f t="shared" ca="1" si="121"/>
        <v>7</v>
      </c>
      <c r="T333" s="70" t="str">
        <f t="shared" ca="1" si="122"/>
        <v>—</v>
      </c>
      <c r="U333" s="17">
        <f t="shared" ca="1" si="123"/>
        <v>7</v>
      </c>
      <c r="V333" s="71" t="str">
        <f t="shared" ca="1" si="124"/>
        <v>—</v>
      </c>
      <c r="W333" s="17">
        <f t="shared" ca="1" si="125"/>
        <v>7</v>
      </c>
    </row>
    <row r="334" spans="1:23" x14ac:dyDescent="0.25">
      <c r="A334" s="4">
        <f t="shared" si="105"/>
        <v>32</v>
      </c>
      <c r="B334" t="str">
        <f ca="1">TEXT(DATE(YEAR(Invoer!$A$6),1,1)+INT((ROWS(B$2:B334)-1)/4),"jjjjmmdd")</f>
        <v>19400324</v>
      </c>
      <c r="C334" s="64" t="str">
        <f>IF(MOD(ROWS(C$2:C334)-1,4)=3,"24.00",INDEX(Data,3,2+MOD(ROWS(C$2:C334)-1,4)))</f>
        <v>07.00</v>
      </c>
      <c r="D334" s="18">
        <f t="shared" ca="1" si="106"/>
        <v>758.5</v>
      </c>
      <c r="E334" s="17">
        <f t="shared" ca="1" si="107"/>
        <v>0</v>
      </c>
      <c r="F334" s="18">
        <f t="shared" ca="1" si="108"/>
        <v>26.5</v>
      </c>
      <c r="G334" s="17">
        <f t="shared" ca="1" si="109"/>
        <v>0</v>
      </c>
      <c r="H334" s="18" t="str">
        <f t="shared" ca="1" si="110"/>
        <v>—</v>
      </c>
      <c r="I334" s="17">
        <f t="shared" ca="1" si="111"/>
        <v>7</v>
      </c>
      <c r="J334" s="18" t="str">
        <f t="shared" ca="1" si="112"/>
        <v>—</v>
      </c>
      <c r="K334" s="17">
        <f t="shared" ca="1" si="113"/>
        <v>7</v>
      </c>
      <c r="L334" s="10">
        <f t="shared" ca="1" si="114"/>
        <v>72</v>
      </c>
      <c r="M334" s="17">
        <f t="shared" ca="1" si="115"/>
        <v>0</v>
      </c>
      <c r="N334" s="18">
        <f t="shared" ca="1" si="116"/>
        <v>18.600000000000001</v>
      </c>
      <c r="O334" s="17">
        <f t="shared" ca="1" si="117"/>
        <v>0</v>
      </c>
      <c r="P334" s="18">
        <f t="shared" ca="1" si="118"/>
        <v>22.6</v>
      </c>
      <c r="Q334" s="17">
        <f t="shared" ca="1" si="119"/>
        <v>0</v>
      </c>
      <c r="R334" s="10">
        <f t="shared" ca="1" si="120"/>
        <v>65</v>
      </c>
      <c r="S334" s="17">
        <f t="shared" ca="1" si="121"/>
        <v>0</v>
      </c>
      <c r="T334" s="70">
        <f t="shared" ca="1" si="122"/>
        <v>0.5</v>
      </c>
      <c r="U334" s="17">
        <f t="shared" ca="1" si="123"/>
        <v>0</v>
      </c>
      <c r="V334" s="71">
        <f t="shared" ca="1" si="124"/>
        <v>2</v>
      </c>
      <c r="W334" s="17">
        <f t="shared" ca="1" si="125"/>
        <v>0</v>
      </c>
    </row>
    <row r="335" spans="1:23" x14ac:dyDescent="0.25">
      <c r="A335" s="4">
        <f t="shared" si="105"/>
        <v>32</v>
      </c>
      <c r="B335" t="str">
        <f ca="1">TEXT(DATE(YEAR(Invoer!$A$6),1,1)+INT((ROWS(B$2:B335)-1)/4),"jjjjmmdd")</f>
        <v>19400324</v>
      </c>
      <c r="C335" s="64" t="str">
        <f>IF(MOD(ROWS(C$2:C335)-1,4)=3,"24.00",INDEX(Data,3,2+MOD(ROWS(C$2:C335)-1,4)))</f>
        <v>12.00</v>
      </c>
      <c r="D335" s="18">
        <f t="shared" ca="1" si="106"/>
        <v>759.7</v>
      </c>
      <c r="E335" s="17">
        <f t="shared" ca="1" si="107"/>
        <v>0</v>
      </c>
      <c r="F335" s="18">
        <f t="shared" ca="1" si="108"/>
        <v>28.5</v>
      </c>
      <c r="G335" s="17">
        <f t="shared" ca="1" si="109"/>
        <v>0</v>
      </c>
      <c r="H335" s="18" t="str">
        <f t="shared" ca="1" si="110"/>
        <v>—</v>
      </c>
      <c r="I335" s="17">
        <f t="shared" ca="1" si="111"/>
        <v>7</v>
      </c>
      <c r="J335" s="18" t="str">
        <f t="shared" ca="1" si="112"/>
        <v>—</v>
      </c>
      <c r="K335" s="17">
        <f t="shared" ca="1" si="113"/>
        <v>7</v>
      </c>
      <c r="L335" s="10">
        <f t="shared" ca="1" si="114"/>
        <v>61</v>
      </c>
      <c r="M335" s="17">
        <f t="shared" ca="1" si="115"/>
        <v>0</v>
      </c>
      <c r="N335" s="18">
        <f t="shared" ca="1" si="116"/>
        <v>18</v>
      </c>
      <c r="O335" s="17">
        <f t="shared" ca="1" si="117"/>
        <v>0</v>
      </c>
      <c r="P335" s="18">
        <f t="shared" ca="1" si="118"/>
        <v>22.8</v>
      </c>
      <c r="Q335" s="17">
        <f t="shared" ca="1" si="119"/>
        <v>0</v>
      </c>
      <c r="R335" s="10">
        <f t="shared" ca="1" si="120"/>
        <v>65</v>
      </c>
      <c r="S335" s="17">
        <f t="shared" ca="1" si="121"/>
        <v>0</v>
      </c>
      <c r="T335" s="70">
        <f t="shared" ca="1" si="122"/>
        <v>0.6</v>
      </c>
      <c r="U335" s="17">
        <f t="shared" ca="1" si="123"/>
        <v>0</v>
      </c>
      <c r="V335" s="71">
        <f t="shared" ca="1" si="124"/>
        <v>3</v>
      </c>
      <c r="W335" s="17">
        <f t="shared" ca="1" si="125"/>
        <v>0</v>
      </c>
    </row>
    <row r="336" spans="1:23" x14ac:dyDescent="0.25">
      <c r="A336" s="4">
        <f t="shared" si="105"/>
        <v>32</v>
      </c>
      <c r="B336" t="str">
        <f ca="1">TEXT(DATE(YEAR(Invoer!$A$6),1,1)+INT((ROWS(B$2:B336)-1)/4),"jjjjmmdd")</f>
        <v>19400324</v>
      </c>
      <c r="C336" s="64" t="str">
        <f>IF(MOD(ROWS(C$2:C336)-1,4)=3,"24.00",INDEX(Data,3,2+MOD(ROWS(C$2:C336)-1,4)))</f>
        <v>17.00</v>
      </c>
      <c r="D336" s="18">
        <f t="shared" ca="1" si="106"/>
        <v>759.7</v>
      </c>
      <c r="E336" s="17">
        <f t="shared" ca="1" si="107"/>
        <v>0</v>
      </c>
      <c r="F336" s="18">
        <f t="shared" ca="1" si="108"/>
        <v>27.9</v>
      </c>
      <c r="G336" s="17">
        <f t="shared" ca="1" si="109"/>
        <v>0</v>
      </c>
      <c r="H336" s="18" t="str">
        <f t="shared" ca="1" si="110"/>
        <v>—</v>
      </c>
      <c r="I336" s="17">
        <f t="shared" ca="1" si="111"/>
        <v>7</v>
      </c>
      <c r="J336" s="18" t="str">
        <f t="shared" ca="1" si="112"/>
        <v>—</v>
      </c>
      <c r="K336" s="17">
        <f t="shared" ca="1" si="113"/>
        <v>7</v>
      </c>
      <c r="L336" s="10">
        <f t="shared" ca="1" si="114"/>
        <v>66</v>
      </c>
      <c r="M336" s="17">
        <f t="shared" ca="1" si="115"/>
        <v>0</v>
      </c>
      <c r="N336" s="18">
        <f t="shared" ca="1" si="116"/>
        <v>18.600000000000001</v>
      </c>
      <c r="O336" s="17">
        <f t="shared" ca="1" si="117"/>
        <v>0</v>
      </c>
      <c r="P336" s="18">
        <f t="shared" ca="1" si="118"/>
        <v>23</v>
      </c>
      <c r="Q336" s="17">
        <f t="shared" ca="1" si="119"/>
        <v>0</v>
      </c>
      <c r="R336" s="10">
        <f t="shared" ca="1" si="120"/>
        <v>45</v>
      </c>
      <c r="S336" s="17">
        <f t="shared" ca="1" si="121"/>
        <v>0</v>
      </c>
      <c r="T336" s="70">
        <f t="shared" ca="1" si="122"/>
        <v>0.5</v>
      </c>
      <c r="U336" s="17">
        <f t="shared" ca="1" si="123"/>
        <v>0</v>
      </c>
      <c r="V336" s="71">
        <f t="shared" ca="1" si="124"/>
        <v>2</v>
      </c>
      <c r="W336" s="17">
        <f t="shared" ca="1" si="125"/>
        <v>0</v>
      </c>
    </row>
    <row r="337" spans="1:23" x14ac:dyDescent="0.25">
      <c r="A337" s="4">
        <f t="shared" si="105"/>
        <v>32</v>
      </c>
      <c r="B337" t="str">
        <f ca="1">TEXT(DATE(YEAR(Invoer!$A$6),1,1)+INT((ROWS(B$2:B337)-1)/4),"jjjjmmdd")</f>
        <v>19400324</v>
      </c>
      <c r="C337" s="64" t="str">
        <f>IF(MOD(ROWS(C$2:C337)-1,4)=3,"24.00",INDEX(Data,3,2+MOD(ROWS(C$2:C337)-1,4)))</f>
        <v>24.00</v>
      </c>
      <c r="D337" s="18" t="str">
        <f t="shared" ca="1" si="106"/>
        <v>—</v>
      </c>
      <c r="E337" s="17">
        <f t="shared" ca="1" si="107"/>
        <v>7</v>
      </c>
      <c r="F337" s="18" t="str">
        <f t="shared" ca="1" si="108"/>
        <v>—</v>
      </c>
      <c r="G337" s="17">
        <f t="shared" ca="1" si="109"/>
        <v>7</v>
      </c>
      <c r="H337" s="18">
        <f t="shared" ca="1" si="110"/>
        <v>27</v>
      </c>
      <c r="I337" s="17">
        <f t="shared" ca="1" si="111"/>
        <v>0</v>
      </c>
      <c r="J337" s="18">
        <f t="shared" ca="1" si="112"/>
        <v>31</v>
      </c>
      <c r="K337" s="17">
        <f t="shared" ca="1" si="113"/>
        <v>0</v>
      </c>
      <c r="L337" s="10" t="str">
        <f t="shared" ca="1" si="114"/>
        <v>—</v>
      </c>
      <c r="M337" s="17">
        <f t="shared" ca="1" si="115"/>
        <v>7</v>
      </c>
      <c r="N337" s="18" t="str">
        <f t="shared" ca="1" si="116"/>
        <v>—</v>
      </c>
      <c r="O337" s="17">
        <f t="shared" ca="1" si="117"/>
        <v>7</v>
      </c>
      <c r="P337" s="18" t="str">
        <f t="shared" ca="1" si="118"/>
        <v>—</v>
      </c>
      <c r="Q337" s="17">
        <f t="shared" ca="1" si="119"/>
        <v>7</v>
      </c>
      <c r="R337" s="10" t="str">
        <f t="shared" ca="1" si="120"/>
        <v>—</v>
      </c>
      <c r="S337" s="17">
        <f t="shared" ca="1" si="121"/>
        <v>7</v>
      </c>
      <c r="T337" s="70" t="str">
        <f t="shared" ca="1" si="122"/>
        <v>—</v>
      </c>
      <c r="U337" s="17">
        <f t="shared" ca="1" si="123"/>
        <v>7</v>
      </c>
      <c r="V337" s="71" t="str">
        <f t="shared" ca="1" si="124"/>
        <v>—</v>
      </c>
      <c r="W337" s="17">
        <f t="shared" ca="1" si="125"/>
        <v>7</v>
      </c>
    </row>
    <row r="338" spans="1:23" x14ac:dyDescent="0.25">
      <c r="A338" s="4">
        <f t="shared" si="105"/>
        <v>32</v>
      </c>
      <c r="B338" t="str">
        <f ca="1">TEXT(DATE(YEAR(Invoer!$A$6),1,1)+INT((ROWS(B$2:B338)-1)/4),"jjjjmmdd")</f>
        <v>19400325</v>
      </c>
      <c r="C338" s="64" t="str">
        <f>IF(MOD(ROWS(C$2:C338)-1,4)=3,"24.00",INDEX(Data,3,2+MOD(ROWS(C$2:C338)-1,4)))</f>
        <v>07.00</v>
      </c>
      <c r="D338" s="18">
        <f t="shared" ca="1" si="106"/>
        <v>758.5</v>
      </c>
      <c r="E338" s="17">
        <f t="shared" ca="1" si="107"/>
        <v>0</v>
      </c>
      <c r="F338" s="18">
        <f t="shared" ca="1" si="108"/>
        <v>26.1</v>
      </c>
      <c r="G338" s="17">
        <f t="shared" ca="1" si="109"/>
        <v>0</v>
      </c>
      <c r="H338" s="18" t="str">
        <f t="shared" ca="1" si="110"/>
        <v>—</v>
      </c>
      <c r="I338" s="17">
        <f t="shared" ca="1" si="111"/>
        <v>7</v>
      </c>
      <c r="J338" s="18" t="str">
        <f t="shared" ca="1" si="112"/>
        <v>—</v>
      </c>
      <c r="K338" s="17">
        <f t="shared" ca="1" si="113"/>
        <v>7</v>
      </c>
      <c r="L338" s="10">
        <f t="shared" ca="1" si="114"/>
        <v>76</v>
      </c>
      <c r="M338" s="17">
        <f t="shared" ca="1" si="115"/>
        <v>0</v>
      </c>
      <c r="N338" s="18">
        <f t="shared" ca="1" si="116"/>
        <v>19.2</v>
      </c>
      <c r="O338" s="17">
        <f t="shared" ca="1" si="117"/>
        <v>0</v>
      </c>
      <c r="P338" s="18">
        <f t="shared" ca="1" si="118"/>
        <v>22.8</v>
      </c>
      <c r="Q338" s="17">
        <f t="shared" ca="1" si="119"/>
        <v>0</v>
      </c>
      <c r="R338" s="10">
        <f t="shared" ca="1" si="120"/>
        <v>65</v>
      </c>
      <c r="S338" s="17">
        <f t="shared" ca="1" si="121"/>
        <v>0</v>
      </c>
      <c r="T338" s="70">
        <f t="shared" ca="1" si="122"/>
        <v>0.4</v>
      </c>
      <c r="U338" s="17">
        <f t="shared" ca="1" si="123"/>
        <v>0</v>
      </c>
      <c r="V338" s="71">
        <f t="shared" ca="1" si="124"/>
        <v>2</v>
      </c>
      <c r="W338" s="17">
        <f t="shared" ca="1" si="125"/>
        <v>0</v>
      </c>
    </row>
    <row r="339" spans="1:23" x14ac:dyDescent="0.25">
      <c r="A339" s="4">
        <f t="shared" si="105"/>
        <v>32</v>
      </c>
      <c r="B339" t="str">
        <f ca="1">TEXT(DATE(YEAR(Invoer!$A$6),1,1)+INT((ROWS(B$2:B339)-1)/4),"jjjjmmdd")</f>
        <v>19400325</v>
      </c>
      <c r="C339" s="64" t="str">
        <f>IF(MOD(ROWS(C$2:C339)-1,4)=3,"24.00",INDEX(Data,3,2+MOD(ROWS(C$2:C339)-1,4)))</f>
        <v>12.00</v>
      </c>
      <c r="D339" s="18">
        <f t="shared" ca="1" si="106"/>
        <v>758.7</v>
      </c>
      <c r="E339" s="17">
        <f t="shared" ca="1" si="107"/>
        <v>0</v>
      </c>
      <c r="F339" s="18">
        <f t="shared" ca="1" si="108"/>
        <v>26.9</v>
      </c>
      <c r="G339" s="17">
        <f t="shared" ca="1" si="109"/>
        <v>0</v>
      </c>
      <c r="H339" s="18" t="str">
        <f t="shared" ca="1" si="110"/>
        <v>—</v>
      </c>
      <c r="I339" s="17">
        <f t="shared" ca="1" si="111"/>
        <v>7</v>
      </c>
      <c r="J339" s="18" t="str">
        <f t="shared" ca="1" si="112"/>
        <v>—</v>
      </c>
      <c r="K339" s="17">
        <f t="shared" ca="1" si="113"/>
        <v>7</v>
      </c>
      <c r="L339" s="10">
        <f t="shared" ca="1" si="114"/>
        <v>72</v>
      </c>
      <c r="M339" s="17">
        <f t="shared" ca="1" si="115"/>
        <v>0</v>
      </c>
      <c r="N339" s="18">
        <f t="shared" ca="1" si="116"/>
        <v>19.100000000000001</v>
      </c>
      <c r="O339" s="17">
        <f t="shared" ca="1" si="117"/>
        <v>0</v>
      </c>
      <c r="P339" s="18">
        <f t="shared" ca="1" si="118"/>
        <v>23</v>
      </c>
      <c r="Q339" s="17">
        <f t="shared" ca="1" si="119"/>
        <v>0</v>
      </c>
      <c r="R339" s="10">
        <f t="shared" ca="1" si="120"/>
        <v>65</v>
      </c>
      <c r="S339" s="17">
        <f t="shared" ca="1" si="121"/>
        <v>0</v>
      </c>
      <c r="T339" s="70">
        <f t="shared" ca="1" si="122"/>
        <v>0.6</v>
      </c>
      <c r="U339" s="17">
        <f t="shared" ca="1" si="123"/>
        <v>0</v>
      </c>
      <c r="V339" s="71">
        <f t="shared" ca="1" si="124"/>
        <v>2</v>
      </c>
      <c r="W339" s="17">
        <f t="shared" ca="1" si="125"/>
        <v>0</v>
      </c>
    </row>
    <row r="340" spans="1:23" x14ac:dyDescent="0.25">
      <c r="A340" s="4">
        <f t="shared" si="105"/>
        <v>32</v>
      </c>
      <c r="B340" t="str">
        <f ca="1">TEXT(DATE(YEAR(Invoer!$A$6),1,1)+INT((ROWS(B$2:B340)-1)/4),"jjjjmmdd")</f>
        <v>19400325</v>
      </c>
      <c r="C340" s="64" t="str">
        <f>IF(MOD(ROWS(C$2:C340)-1,4)=3,"24.00",INDEX(Data,3,2+MOD(ROWS(C$2:C340)-1,4)))</f>
        <v>17.00</v>
      </c>
      <c r="D340" s="18">
        <f t="shared" ca="1" si="106"/>
        <v>758.2</v>
      </c>
      <c r="E340" s="17">
        <f t="shared" ca="1" si="107"/>
        <v>0</v>
      </c>
      <c r="F340" s="18">
        <f t="shared" ca="1" si="108"/>
        <v>26.3</v>
      </c>
      <c r="G340" s="17">
        <f t="shared" ca="1" si="109"/>
        <v>0</v>
      </c>
      <c r="H340" s="18" t="str">
        <f t="shared" ca="1" si="110"/>
        <v>—</v>
      </c>
      <c r="I340" s="17">
        <f t="shared" ca="1" si="111"/>
        <v>7</v>
      </c>
      <c r="J340" s="18" t="str">
        <f t="shared" ca="1" si="112"/>
        <v>—</v>
      </c>
      <c r="K340" s="17">
        <f t="shared" ca="1" si="113"/>
        <v>7</v>
      </c>
      <c r="L340" s="10">
        <f t="shared" ca="1" si="114"/>
        <v>74</v>
      </c>
      <c r="M340" s="17">
        <f t="shared" ca="1" si="115"/>
        <v>0</v>
      </c>
      <c r="N340" s="18">
        <f t="shared" ca="1" si="116"/>
        <v>19.100000000000001</v>
      </c>
      <c r="O340" s="17">
        <f t="shared" ca="1" si="117"/>
        <v>0</v>
      </c>
      <c r="P340" s="18">
        <f t="shared" ca="1" si="118"/>
        <v>22.8</v>
      </c>
      <c r="Q340" s="17">
        <f t="shared" ca="1" si="119"/>
        <v>0</v>
      </c>
      <c r="R340" s="10">
        <f t="shared" ca="1" si="120"/>
        <v>45</v>
      </c>
      <c r="S340" s="17">
        <f t="shared" ca="1" si="121"/>
        <v>0</v>
      </c>
      <c r="T340" s="70">
        <f t="shared" ca="1" si="122"/>
        <v>0.5</v>
      </c>
      <c r="U340" s="17">
        <f t="shared" ca="1" si="123"/>
        <v>0</v>
      </c>
      <c r="V340" s="71">
        <f t="shared" ca="1" si="124"/>
        <v>1</v>
      </c>
      <c r="W340" s="17">
        <f t="shared" ca="1" si="125"/>
        <v>0</v>
      </c>
    </row>
    <row r="341" spans="1:23" x14ac:dyDescent="0.25">
      <c r="A341" s="4">
        <f t="shared" si="105"/>
        <v>32</v>
      </c>
      <c r="B341" t="str">
        <f ca="1">TEXT(DATE(YEAR(Invoer!$A$6),1,1)+INT((ROWS(B$2:B341)-1)/4),"jjjjmmdd")</f>
        <v>19400325</v>
      </c>
      <c r="C341" s="64" t="str">
        <f>IF(MOD(ROWS(C$2:C341)-1,4)=3,"24.00",INDEX(Data,3,2+MOD(ROWS(C$2:C341)-1,4)))</f>
        <v>24.00</v>
      </c>
      <c r="D341" s="18" t="str">
        <f t="shared" ca="1" si="106"/>
        <v>—</v>
      </c>
      <c r="E341" s="17">
        <f t="shared" ca="1" si="107"/>
        <v>7</v>
      </c>
      <c r="F341" s="18" t="str">
        <f t="shared" ca="1" si="108"/>
        <v>—</v>
      </c>
      <c r="G341" s="17">
        <f t="shared" ca="1" si="109"/>
        <v>7</v>
      </c>
      <c r="H341" s="18">
        <f t="shared" ca="1" si="110"/>
        <v>27.4</v>
      </c>
      <c r="I341" s="17">
        <f t="shared" ca="1" si="111"/>
        <v>0</v>
      </c>
      <c r="J341" s="18">
        <f t="shared" ca="1" si="112"/>
        <v>29.5</v>
      </c>
      <c r="K341" s="17">
        <f t="shared" ca="1" si="113"/>
        <v>0</v>
      </c>
      <c r="L341" s="10" t="str">
        <f t="shared" ca="1" si="114"/>
        <v>—</v>
      </c>
      <c r="M341" s="17">
        <f t="shared" ca="1" si="115"/>
        <v>7</v>
      </c>
      <c r="N341" s="18" t="str">
        <f t="shared" ca="1" si="116"/>
        <v>—</v>
      </c>
      <c r="O341" s="17">
        <f t="shared" ca="1" si="117"/>
        <v>7</v>
      </c>
      <c r="P341" s="18" t="str">
        <f t="shared" ca="1" si="118"/>
        <v>—</v>
      </c>
      <c r="Q341" s="17">
        <f t="shared" ca="1" si="119"/>
        <v>7</v>
      </c>
      <c r="R341" s="10" t="str">
        <f t="shared" ca="1" si="120"/>
        <v>—</v>
      </c>
      <c r="S341" s="17">
        <f t="shared" ca="1" si="121"/>
        <v>7</v>
      </c>
      <c r="T341" s="70" t="str">
        <f t="shared" ca="1" si="122"/>
        <v>—</v>
      </c>
      <c r="U341" s="17">
        <f t="shared" ca="1" si="123"/>
        <v>7</v>
      </c>
      <c r="V341" s="71" t="str">
        <f t="shared" ca="1" si="124"/>
        <v>—</v>
      </c>
      <c r="W341" s="17">
        <f t="shared" ca="1" si="125"/>
        <v>7</v>
      </c>
    </row>
    <row r="342" spans="1:23" x14ac:dyDescent="0.25">
      <c r="A342" s="4">
        <f t="shared" si="105"/>
        <v>32</v>
      </c>
      <c r="B342" t="str">
        <f ca="1">TEXT(DATE(YEAR(Invoer!$A$6),1,1)+INT((ROWS(B$2:B342)-1)/4),"jjjjmmdd")</f>
        <v>19400326</v>
      </c>
      <c r="C342" s="64" t="str">
        <f>IF(MOD(ROWS(C$2:C342)-1,4)=3,"24.00",INDEX(Data,3,2+MOD(ROWS(C$2:C342)-1,4)))</f>
        <v>07.00</v>
      </c>
      <c r="D342" s="18">
        <f t="shared" ca="1" si="106"/>
        <v>758.5</v>
      </c>
      <c r="E342" s="17">
        <f t="shared" ca="1" si="107"/>
        <v>0</v>
      </c>
      <c r="F342" s="18">
        <f t="shared" ca="1" si="108"/>
        <v>26.1</v>
      </c>
      <c r="G342" s="17">
        <f t="shared" ca="1" si="109"/>
        <v>0</v>
      </c>
      <c r="H342" s="18" t="str">
        <f t="shared" ca="1" si="110"/>
        <v>—</v>
      </c>
      <c r="I342" s="17">
        <f t="shared" ca="1" si="111"/>
        <v>7</v>
      </c>
      <c r="J342" s="18" t="str">
        <f t="shared" ca="1" si="112"/>
        <v>—</v>
      </c>
      <c r="K342" s="17">
        <f t="shared" ca="1" si="113"/>
        <v>7</v>
      </c>
      <c r="L342" s="10">
        <f t="shared" ca="1" si="114"/>
        <v>77</v>
      </c>
      <c r="M342" s="17">
        <f t="shared" ca="1" si="115"/>
        <v>0</v>
      </c>
      <c r="N342" s="18">
        <f t="shared" ca="1" si="116"/>
        <v>19.5</v>
      </c>
      <c r="O342" s="17">
        <f t="shared" ca="1" si="117"/>
        <v>0</v>
      </c>
      <c r="P342" s="18">
        <f t="shared" ca="1" si="118"/>
        <v>23</v>
      </c>
      <c r="Q342" s="17">
        <f t="shared" ca="1" si="119"/>
        <v>0</v>
      </c>
      <c r="R342" s="10">
        <f t="shared" ca="1" si="120"/>
        <v>65</v>
      </c>
      <c r="S342" s="17">
        <f t="shared" ca="1" si="121"/>
        <v>0</v>
      </c>
      <c r="T342" s="70">
        <f t="shared" ca="1" si="122"/>
        <v>0.5</v>
      </c>
      <c r="U342" s="17">
        <f t="shared" ca="1" si="123"/>
        <v>0</v>
      </c>
      <c r="V342" s="71">
        <f t="shared" ca="1" si="124"/>
        <v>1</v>
      </c>
      <c r="W342" s="17">
        <f t="shared" ca="1" si="125"/>
        <v>0</v>
      </c>
    </row>
    <row r="343" spans="1:23" x14ac:dyDescent="0.25">
      <c r="A343" s="4">
        <f t="shared" si="105"/>
        <v>32</v>
      </c>
      <c r="B343" t="str">
        <f ca="1">TEXT(DATE(YEAR(Invoer!$A$6),1,1)+INT((ROWS(B$2:B343)-1)/4),"jjjjmmdd")</f>
        <v>19400326</v>
      </c>
      <c r="C343" s="64" t="str">
        <f>IF(MOD(ROWS(C$2:C343)-1,4)=3,"24.00",INDEX(Data,3,2+MOD(ROWS(C$2:C343)-1,4)))</f>
        <v>12.00</v>
      </c>
      <c r="D343" s="18">
        <f t="shared" ca="1" si="106"/>
        <v>758.7</v>
      </c>
      <c r="E343" s="17">
        <f t="shared" ca="1" si="107"/>
        <v>0</v>
      </c>
      <c r="F343" s="18">
        <f t="shared" ca="1" si="108"/>
        <v>26.9</v>
      </c>
      <c r="G343" s="17">
        <f t="shared" ca="1" si="109"/>
        <v>0</v>
      </c>
      <c r="H343" s="18" t="str">
        <f t="shared" ca="1" si="110"/>
        <v>—</v>
      </c>
      <c r="I343" s="17">
        <f t="shared" ca="1" si="111"/>
        <v>7</v>
      </c>
      <c r="J343" s="18" t="str">
        <f t="shared" ca="1" si="112"/>
        <v>—</v>
      </c>
      <c r="K343" s="17">
        <f t="shared" ca="1" si="113"/>
        <v>7</v>
      </c>
      <c r="L343" s="10">
        <f t="shared" ca="1" si="114"/>
        <v>75</v>
      </c>
      <c r="M343" s="17">
        <f t="shared" ca="1" si="115"/>
        <v>0</v>
      </c>
      <c r="N343" s="18">
        <f t="shared" ca="1" si="116"/>
        <v>20</v>
      </c>
      <c r="O343" s="17">
        <f t="shared" ca="1" si="117"/>
        <v>0</v>
      </c>
      <c r="P343" s="18">
        <f t="shared" ca="1" si="118"/>
        <v>23.5</v>
      </c>
      <c r="Q343" s="17">
        <f t="shared" ca="1" si="119"/>
        <v>0</v>
      </c>
      <c r="R343" s="10">
        <f t="shared" ca="1" si="120"/>
        <v>65</v>
      </c>
      <c r="S343" s="17">
        <f t="shared" ca="1" si="121"/>
        <v>0</v>
      </c>
      <c r="T343" s="70">
        <f t="shared" ca="1" si="122"/>
        <v>0.6</v>
      </c>
      <c r="U343" s="17">
        <f t="shared" ca="1" si="123"/>
        <v>0</v>
      </c>
      <c r="V343" s="71">
        <f t="shared" ca="1" si="124"/>
        <v>2</v>
      </c>
      <c r="W343" s="17">
        <f t="shared" ca="1" si="125"/>
        <v>0</v>
      </c>
    </row>
    <row r="344" spans="1:23" x14ac:dyDescent="0.25">
      <c r="A344" s="4">
        <f t="shared" si="105"/>
        <v>32</v>
      </c>
      <c r="B344" t="str">
        <f ca="1">TEXT(DATE(YEAR(Invoer!$A$6),1,1)+INT((ROWS(B$2:B344)-1)/4),"jjjjmmdd")</f>
        <v>19400326</v>
      </c>
      <c r="C344" s="64" t="str">
        <f>IF(MOD(ROWS(C$2:C344)-1,4)=3,"24.00",INDEX(Data,3,2+MOD(ROWS(C$2:C344)-1,4)))</f>
        <v>17.00</v>
      </c>
      <c r="D344" s="18">
        <f t="shared" ca="1" si="106"/>
        <v>758.5</v>
      </c>
      <c r="E344" s="17">
        <f t="shared" ca="1" si="107"/>
        <v>0</v>
      </c>
      <c r="F344" s="18">
        <f t="shared" ca="1" si="108"/>
        <v>26.1</v>
      </c>
      <c r="G344" s="17">
        <f t="shared" ca="1" si="109"/>
        <v>0</v>
      </c>
      <c r="H344" s="18" t="str">
        <f t="shared" ca="1" si="110"/>
        <v>—</v>
      </c>
      <c r="I344" s="17">
        <f t="shared" ca="1" si="111"/>
        <v>7</v>
      </c>
      <c r="J344" s="18" t="str">
        <f t="shared" ca="1" si="112"/>
        <v>—</v>
      </c>
      <c r="K344" s="17">
        <f t="shared" ca="1" si="113"/>
        <v>7</v>
      </c>
      <c r="L344" s="10">
        <f t="shared" ca="1" si="114"/>
        <v>77</v>
      </c>
      <c r="M344" s="17">
        <f t="shared" ca="1" si="115"/>
        <v>0</v>
      </c>
      <c r="N344" s="18">
        <f t="shared" ca="1" si="116"/>
        <v>19.5</v>
      </c>
      <c r="O344" s="17">
        <f t="shared" ca="1" si="117"/>
        <v>0</v>
      </c>
      <c r="P344" s="18">
        <f t="shared" ca="1" si="118"/>
        <v>23</v>
      </c>
      <c r="Q344" s="17">
        <f t="shared" ca="1" si="119"/>
        <v>0</v>
      </c>
      <c r="R344" s="10">
        <f t="shared" ca="1" si="120"/>
        <v>65</v>
      </c>
      <c r="S344" s="17">
        <f t="shared" ca="1" si="121"/>
        <v>0</v>
      </c>
      <c r="T344" s="70">
        <f t="shared" ca="1" si="122"/>
        <v>0.6</v>
      </c>
      <c r="U344" s="17">
        <f t="shared" ca="1" si="123"/>
        <v>0</v>
      </c>
      <c r="V344" s="71">
        <f t="shared" ca="1" si="124"/>
        <v>2</v>
      </c>
      <c r="W344" s="17">
        <f t="shared" ca="1" si="125"/>
        <v>0</v>
      </c>
    </row>
    <row r="345" spans="1:23" x14ac:dyDescent="0.25">
      <c r="A345" s="4">
        <f t="shared" si="105"/>
        <v>32</v>
      </c>
      <c r="B345" t="str">
        <f ca="1">TEXT(DATE(YEAR(Invoer!$A$6),1,1)+INT((ROWS(B$2:B345)-1)/4),"jjjjmmdd")</f>
        <v>19400326</v>
      </c>
      <c r="C345" s="64" t="str">
        <f>IF(MOD(ROWS(C$2:C345)-1,4)=3,"24.00",INDEX(Data,3,2+MOD(ROWS(C$2:C345)-1,4)))</f>
        <v>24.00</v>
      </c>
      <c r="D345" s="18" t="str">
        <f t="shared" ca="1" si="106"/>
        <v>—</v>
      </c>
      <c r="E345" s="17">
        <f t="shared" ca="1" si="107"/>
        <v>7</v>
      </c>
      <c r="F345" s="18" t="str">
        <f t="shared" ca="1" si="108"/>
        <v>—</v>
      </c>
      <c r="G345" s="17">
        <f t="shared" ca="1" si="109"/>
        <v>7</v>
      </c>
      <c r="H345" s="18">
        <f t="shared" ca="1" si="110"/>
        <v>27</v>
      </c>
      <c r="I345" s="17">
        <f t="shared" ca="1" si="111"/>
        <v>0</v>
      </c>
      <c r="J345" s="18">
        <f t="shared" ca="1" si="112"/>
        <v>29</v>
      </c>
      <c r="K345" s="17">
        <f t="shared" ca="1" si="113"/>
        <v>0</v>
      </c>
      <c r="L345" s="10" t="str">
        <f t="shared" ca="1" si="114"/>
        <v>—</v>
      </c>
      <c r="M345" s="17">
        <f t="shared" ca="1" si="115"/>
        <v>7</v>
      </c>
      <c r="N345" s="18" t="str">
        <f t="shared" ca="1" si="116"/>
        <v>—</v>
      </c>
      <c r="O345" s="17">
        <f t="shared" ca="1" si="117"/>
        <v>7</v>
      </c>
      <c r="P345" s="18" t="str">
        <f t="shared" ca="1" si="118"/>
        <v>—</v>
      </c>
      <c r="Q345" s="17">
        <f t="shared" ca="1" si="119"/>
        <v>7</v>
      </c>
      <c r="R345" s="10" t="str">
        <f t="shared" ca="1" si="120"/>
        <v>—</v>
      </c>
      <c r="S345" s="17">
        <f t="shared" ca="1" si="121"/>
        <v>7</v>
      </c>
      <c r="T345" s="70" t="str">
        <f t="shared" ca="1" si="122"/>
        <v>—</v>
      </c>
      <c r="U345" s="17">
        <f t="shared" ca="1" si="123"/>
        <v>7</v>
      </c>
      <c r="V345" s="71" t="str">
        <f t="shared" ca="1" si="124"/>
        <v>—</v>
      </c>
      <c r="W345" s="17">
        <f t="shared" ca="1" si="125"/>
        <v>7</v>
      </c>
    </row>
    <row r="346" spans="1:23" x14ac:dyDescent="0.25">
      <c r="A346" s="4">
        <f t="shared" si="105"/>
        <v>32</v>
      </c>
      <c r="B346" t="str">
        <f ca="1">TEXT(DATE(YEAR(Invoer!$A$6),1,1)+INT((ROWS(B$2:B346)-1)/4),"jjjjmmdd")</f>
        <v>19400327</v>
      </c>
      <c r="C346" s="64" t="str">
        <f>IF(MOD(ROWS(C$2:C346)-1,4)=3,"24.00",INDEX(Data,3,2+MOD(ROWS(C$2:C346)-1,4)))</f>
        <v>07.00</v>
      </c>
      <c r="D346" s="18">
        <f t="shared" ca="1" si="106"/>
        <v>758.5</v>
      </c>
      <c r="E346" s="17">
        <f t="shared" ca="1" si="107"/>
        <v>0</v>
      </c>
      <c r="F346" s="18">
        <f t="shared" ca="1" si="108"/>
        <v>25.9</v>
      </c>
      <c r="G346" s="17">
        <f t="shared" ca="1" si="109"/>
        <v>0</v>
      </c>
      <c r="H346" s="18" t="str">
        <f t="shared" ca="1" si="110"/>
        <v>—</v>
      </c>
      <c r="I346" s="17">
        <f t="shared" ca="1" si="111"/>
        <v>7</v>
      </c>
      <c r="J346" s="18" t="str">
        <f t="shared" ca="1" si="112"/>
        <v>—</v>
      </c>
      <c r="K346" s="17">
        <f t="shared" ca="1" si="113"/>
        <v>7</v>
      </c>
      <c r="L346" s="10">
        <f t="shared" ca="1" si="114"/>
        <v>75</v>
      </c>
      <c r="M346" s="17">
        <f t="shared" ca="1" si="115"/>
        <v>0</v>
      </c>
      <c r="N346" s="18">
        <f t="shared" ca="1" si="116"/>
        <v>18.899999999999999</v>
      </c>
      <c r="O346" s="17">
        <f t="shared" ca="1" si="117"/>
        <v>0</v>
      </c>
      <c r="P346" s="18">
        <f t="shared" ca="1" si="118"/>
        <v>22.6</v>
      </c>
      <c r="Q346" s="17">
        <f t="shared" ca="1" si="119"/>
        <v>0</v>
      </c>
      <c r="R346" s="10">
        <f t="shared" ca="1" si="120"/>
        <v>65</v>
      </c>
      <c r="S346" s="17">
        <f t="shared" ca="1" si="121"/>
        <v>0</v>
      </c>
      <c r="T346" s="70">
        <f t="shared" ca="1" si="122"/>
        <v>0.5</v>
      </c>
      <c r="U346" s="17">
        <f t="shared" ca="1" si="123"/>
        <v>0</v>
      </c>
      <c r="V346" s="71">
        <f t="shared" ca="1" si="124"/>
        <v>2</v>
      </c>
      <c r="W346" s="17">
        <f t="shared" ca="1" si="125"/>
        <v>0</v>
      </c>
    </row>
    <row r="347" spans="1:23" x14ac:dyDescent="0.25">
      <c r="A347" s="4">
        <f t="shared" si="105"/>
        <v>32</v>
      </c>
      <c r="B347" t="str">
        <f ca="1">TEXT(DATE(YEAR(Invoer!$A$6),1,1)+INT((ROWS(B$2:B347)-1)/4),"jjjjmmdd")</f>
        <v>19400327</v>
      </c>
      <c r="C347" s="64" t="str">
        <f>IF(MOD(ROWS(C$2:C347)-1,4)=3,"24.00",INDEX(Data,3,2+MOD(ROWS(C$2:C347)-1,4)))</f>
        <v>12.00</v>
      </c>
      <c r="D347" s="18">
        <f t="shared" ca="1" si="106"/>
        <v>758.9</v>
      </c>
      <c r="E347" s="17">
        <f t="shared" ca="1" si="107"/>
        <v>0</v>
      </c>
      <c r="F347" s="18">
        <f t="shared" ca="1" si="108"/>
        <v>27.1</v>
      </c>
      <c r="G347" s="17">
        <f t="shared" ca="1" si="109"/>
        <v>0</v>
      </c>
      <c r="H347" s="18" t="str">
        <f t="shared" ca="1" si="110"/>
        <v>—</v>
      </c>
      <c r="I347" s="17">
        <f t="shared" ca="1" si="111"/>
        <v>7</v>
      </c>
      <c r="J347" s="18" t="str">
        <f t="shared" ca="1" si="112"/>
        <v>—</v>
      </c>
      <c r="K347" s="17">
        <f t="shared" ca="1" si="113"/>
        <v>7</v>
      </c>
      <c r="L347" s="10">
        <f t="shared" ca="1" si="114"/>
        <v>71</v>
      </c>
      <c r="M347" s="17">
        <f t="shared" ca="1" si="115"/>
        <v>0</v>
      </c>
      <c r="N347" s="18">
        <f t="shared" ca="1" si="116"/>
        <v>19</v>
      </c>
      <c r="O347" s="17">
        <f t="shared" ca="1" si="117"/>
        <v>0</v>
      </c>
      <c r="P347" s="18">
        <f t="shared" ca="1" si="118"/>
        <v>23</v>
      </c>
      <c r="Q347" s="17">
        <f t="shared" ca="1" si="119"/>
        <v>0</v>
      </c>
      <c r="R347" s="10">
        <f t="shared" ca="1" si="120"/>
        <v>65</v>
      </c>
      <c r="S347" s="17">
        <f t="shared" ca="1" si="121"/>
        <v>0</v>
      </c>
      <c r="T347" s="70">
        <f t="shared" ca="1" si="122"/>
        <v>0.6</v>
      </c>
      <c r="U347" s="17">
        <f t="shared" ca="1" si="123"/>
        <v>0</v>
      </c>
      <c r="V347" s="71">
        <f t="shared" ca="1" si="124"/>
        <v>1</v>
      </c>
      <c r="W347" s="17">
        <f t="shared" ca="1" si="125"/>
        <v>0</v>
      </c>
    </row>
    <row r="348" spans="1:23" x14ac:dyDescent="0.25">
      <c r="A348" s="4">
        <f t="shared" si="105"/>
        <v>32</v>
      </c>
      <c r="B348" t="str">
        <f ca="1">TEXT(DATE(YEAR(Invoer!$A$6),1,1)+INT((ROWS(B$2:B348)-1)/4),"jjjjmmdd")</f>
        <v>19400327</v>
      </c>
      <c r="C348" s="64" t="str">
        <f>IF(MOD(ROWS(C$2:C348)-1,4)=3,"24.00",INDEX(Data,3,2+MOD(ROWS(C$2:C348)-1,4)))</f>
        <v>17.00</v>
      </c>
      <c r="D348" s="18">
        <f t="shared" ca="1" si="106"/>
        <v>758.2</v>
      </c>
      <c r="E348" s="17">
        <f t="shared" ca="1" si="107"/>
        <v>0</v>
      </c>
      <c r="F348" s="18">
        <f t="shared" ca="1" si="108"/>
        <v>25.9</v>
      </c>
      <c r="G348" s="17">
        <f t="shared" ca="1" si="109"/>
        <v>0</v>
      </c>
      <c r="H348" s="18" t="str">
        <f t="shared" ca="1" si="110"/>
        <v>—</v>
      </c>
      <c r="I348" s="17">
        <f t="shared" ca="1" si="111"/>
        <v>7</v>
      </c>
      <c r="J348" s="18" t="str">
        <f t="shared" ca="1" si="112"/>
        <v>—</v>
      </c>
      <c r="K348" s="17">
        <f t="shared" ca="1" si="113"/>
        <v>7</v>
      </c>
      <c r="L348" s="10">
        <f t="shared" ca="1" si="114"/>
        <v>77</v>
      </c>
      <c r="M348" s="17">
        <f t="shared" ca="1" si="115"/>
        <v>0</v>
      </c>
      <c r="N348" s="18">
        <f t="shared" ca="1" si="116"/>
        <v>19.3</v>
      </c>
      <c r="O348" s="17">
        <f t="shared" ca="1" si="117"/>
        <v>0</v>
      </c>
      <c r="P348" s="18">
        <f t="shared" ca="1" si="118"/>
        <v>22.8</v>
      </c>
      <c r="Q348" s="17">
        <f t="shared" ca="1" si="119"/>
        <v>0</v>
      </c>
      <c r="R348" s="10">
        <f t="shared" ca="1" si="120"/>
        <v>45</v>
      </c>
      <c r="S348" s="17">
        <f t="shared" ca="1" si="121"/>
        <v>0</v>
      </c>
      <c r="T348" s="70">
        <f t="shared" ca="1" si="122"/>
        <v>0.5</v>
      </c>
      <c r="U348" s="17">
        <f t="shared" ca="1" si="123"/>
        <v>0</v>
      </c>
      <c r="V348" s="71">
        <f t="shared" ca="1" si="124"/>
        <v>2</v>
      </c>
      <c r="W348" s="17">
        <f t="shared" ca="1" si="125"/>
        <v>0</v>
      </c>
    </row>
    <row r="349" spans="1:23" x14ac:dyDescent="0.25">
      <c r="A349" s="4">
        <f t="shared" si="105"/>
        <v>32</v>
      </c>
      <c r="B349" t="str">
        <f ca="1">TEXT(DATE(YEAR(Invoer!$A$6),1,1)+INT((ROWS(B$2:B349)-1)/4),"jjjjmmdd")</f>
        <v>19400327</v>
      </c>
      <c r="C349" s="64" t="str">
        <f>IF(MOD(ROWS(C$2:C349)-1,4)=3,"24.00",INDEX(Data,3,2+MOD(ROWS(C$2:C349)-1,4)))</f>
        <v>24.00</v>
      </c>
      <c r="D349" s="18" t="str">
        <f t="shared" ca="1" si="106"/>
        <v>—</v>
      </c>
      <c r="E349" s="17">
        <f t="shared" ca="1" si="107"/>
        <v>7</v>
      </c>
      <c r="F349" s="18" t="str">
        <f t="shared" ca="1" si="108"/>
        <v>—</v>
      </c>
      <c r="G349" s="17">
        <f t="shared" ca="1" si="109"/>
        <v>7</v>
      </c>
      <c r="H349" s="18">
        <f t="shared" ca="1" si="110"/>
        <v>27.5</v>
      </c>
      <c r="I349" s="17">
        <f t="shared" ca="1" si="111"/>
        <v>0</v>
      </c>
      <c r="J349" s="18">
        <f t="shared" ca="1" si="112"/>
        <v>29.6</v>
      </c>
      <c r="K349" s="17">
        <f t="shared" ca="1" si="113"/>
        <v>0</v>
      </c>
      <c r="L349" s="10" t="str">
        <f t="shared" ca="1" si="114"/>
        <v>—</v>
      </c>
      <c r="M349" s="17">
        <f t="shared" ca="1" si="115"/>
        <v>7</v>
      </c>
      <c r="N349" s="18" t="str">
        <f t="shared" ca="1" si="116"/>
        <v>—</v>
      </c>
      <c r="O349" s="17">
        <f t="shared" ca="1" si="117"/>
        <v>7</v>
      </c>
      <c r="P349" s="18" t="str">
        <f t="shared" ca="1" si="118"/>
        <v>—</v>
      </c>
      <c r="Q349" s="17">
        <f t="shared" ca="1" si="119"/>
        <v>7</v>
      </c>
      <c r="R349" s="10" t="str">
        <f t="shared" ca="1" si="120"/>
        <v>—</v>
      </c>
      <c r="S349" s="17">
        <f t="shared" ca="1" si="121"/>
        <v>7</v>
      </c>
      <c r="T349" s="70" t="str">
        <f t="shared" ca="1" si="122"/>
        <v>—</v>
      </c>
      <c r="U349" s="17">
        <f t="shared" ca="1" si="123"/>
        <v>7</v>
      </c>
      <c r="V349" s="71" t="str">
        <f t="shared" ca="1" si="124"/>
        <v>—</v>
      </c>
      <c r="W349" s="17">
        <f t="shared" ca="1" si="125"/>
        <v>7</v>
      </c>
    </row>
    <row r="350" spans="1:23" x14ac:dyDescent="0.25">
      <c r="A350" s="4">
        <f t="shared" si="105"/>
        <v>32</v>
      </c>
      <c r="B350" t="str">
        <f ca="1">TEXT(DATE(YEAR(Invoer!$A$6),1,1)+INT((ROWS(B$2:B350)-1)/4),"jjjjmmdd")</f>
        <v>19400328</v>
      </c>
      <c r="C350" s="64" t="str">
        <f>IF(MOD(ROWS(C$2:C350)-1,4)=3,"24.00",INDEX(Data,3,2+MOD(ROWS(C$2:C350)-1,4)))</f>
        <v>07.00</v>
      </c>
      <c r="D350" s="18">
        <f t="shared" ca="1" si="106"/>
        <v>757.2</v>
      </c>
      <c r="E350" s="17">
        <f t="shared" ca="1" si="107"/>
        <v>0</v>
      </c>
      <c r="F350" s="18">
        <f t="shared" ca="1" si="108"/>
        <v>26.1</v>
      </c>
      <c r="G350" s="17">
        <f t="shared" ca="1" si="109"/>
        <v>0</v>
      </c>
      <c r="H350" s="18" t="str">
        <f t="shared" ca="1" si="110"/>
        <v>—</v>
      </c>
      <c r="I350" s="17">
        <f t="shared" ca="1" si="111"/>
        <v>7</v>
      </c>
      <c r="J350" s="18" t="str">
        <f t="shared" ca="1" si="112"/>
        <v>—</v>
      </c>
      <c r="K350" s="17">
        <f t="shared" ca="1" si="113"/>
        <v>7</v>
      </c>
      <c r="L350" s="10">
        <f t="shared" ca="1" si="114"/>
        <v>76</v>
      </c>
      <c r="M350" s="17">
        <f t="shared" ca="1" si="115"/>
        <v>0</v>
      </c>
      <c r="N350" s="18">
        <f t="shared" ca="1" si="116"/>
        <v>19.2</v>
      </c>
      <c r="O350" s="17">
        <f t="shared" ca="1" si="117"/>
        <v>0</v>
      </c>
      <c r="P350" s="18">
        <f t="shared" ca="1" si="118"/>
        <v>22.8</v>
      </c>
      <c r="Q350" s="17">
        <f t="shared" ca="1" si="119"/>
        <v>0</v>
      </c>
      <c r="R350" s="10">
        <f t="shared" ca="1" si="120"/>
        <v>65</v>
      </c>
      <c r="S350" s="17">
        <f t="shared" ca="1" si="121"/>
        <v>0</v>
      </c>
      <c r="T350" s="70">
        <f t="shared" ca="1" si="122"/>
        <v>0.5</v>
      </c>
      <c r="U350" s="17">
        <f t="shared" ca="1" si="123"/>
        <v>0</v>
      </c>
      <c r="V350" s="71">
        <f t="shared" ca="1" si="124"/>
        <v>2</v>
      </c>
      <c r="W350" s="17">
        <f t="shared" ca="1" si="125"/>
        <v>0</v>
      </c>
    </row>
    <row r="351" spans="1:23" x14ac:dyDescent="0.25">
      <c r="A351" s="4">
        <f t="shared" si="105"/>
        <v>32</v>
      </c>
      <c r="B351" t="str">
        <f ca="1">TEXT(DATE(YEAR(Invoer!$A$6),1,1)+INT((ROWS(B$2:B351)-1)/4),"jjjjmmdd")</f>
        <v>19400328</v>
      </c>
      <c r="C351" s="64" t="str">
        <f>IF(MOD(ROWS(C$2:C351)-1,4)=3,"24.00",INDEX(Data,3,2+MOD(ROWS(C$2:C351)-1,4)))</f>
        <v>12.00</v>
      </c>
      <c r="D351" s="18">
        <f t="shared" ca="1" si="106"/>
        <v>759.2</v>
      </c>
      <c r="E351" s="17">
        <f t="shared" ca="1" si="107"/>
        <v>0</v>
      </c>
      <c r="F351" s="18">
        <f t="shared" ca="1" si="108"/>
        <v>27.1</v>
      </c>
      <c r="G351" s="17">
        <f t="shared" ca="1" si="109"/>
        <v>0</v>
      </c>
      <c r="H351" s="18" t="str">
        <f t="shared" ca="1" si="110"/>
        <v>—</v>
      </c>
      <c r="I351" s="17">
        <f t="shared" ca="1" si="111"/>
        <v>7</v>
      </c>
      <c r="J351" s="18" t="str">
        <f t="shared" ca="1" si="112"/>
        <v>—</v>
      </c>
      <c r="K351" s="17">
        <f t="shared" ca="1" si="113"/>
        <v>7</v>
      </c>
      <c r="L351" s="10">
        <f t="shared" ca="1" si="114"/>
        <v>73</v>
      </c>
      <c r="M351" s="17">
        <f t="shared" ca="1" si="115"/>
        <v>0</v>
      </c>
      <c r="N351" s="18">
        <f t="shared" ca="1" si="116"/>
        <v>19.7</v>
      </c>
      <c r="O351" s="17">
        <f t="shared" ca="1" si="117"/>
        <v>0</v>
      </c>
      <c r="P351" s="18">
        <f t="shared" ca="1" si="118"/>
        <v>23.4</v>
      </c>
      <c r="Q351" s="17">
        <f t="shared" ca="1" si="119"/>
        <v>0</v>
      </c>
      <c r="R351" s="10">
        <f t="shared" ca="1" si="120"/>
        <v>65</v>
      </c>
      <c r="S351" s="17">
        <f t="shared" ca="1" si="121"/>
        <v>0</v>
      </c>
      <c r="T351" s="70">
        <f t="shared" ca="1" si="122"/>
        <v>0.6</v>
      </c>
      <c r="U351" s="17">
        <f t="shared" ca="1" si="123"/>
        <v>0</v>
      </c>
      <c r="V351" s="71">
        <f t="shared" ca="1" si="124"/>
        <v>1</v>
      </c>
      <c r="W351" s="17">
        <f t="shared" ca="1" si="125"/>
        <v>0</v>
      </c>
    </row>
    <row r="352" spans="1:23" x14ac:dyDescent="0.25">
      <c r="A352" s="4">
        <f t="shared" si="105"/>
        <v>32</v>
      </c>
      <c r="B352" t="str">
        <f ca="1">TEXT(DATE(YEAR(Invoer!$A$6),1,1)+INT((ROWS(B$2:B352)-1)/4),"jjjjmmdd")</f>
        <v>19400328</v>
      </c>
      <c r="C352" s="64" t="str">
        <f>IF(MOD(ROWS(C$2:C352)-1,4)=3,"24.00",INDEX(Data,3,2+MOD(ROWS(C$2:C352)-1,4)))</f>
        <v>17.00</v>
      </c>
      <c r="D352" s="18">
        <f t="shared" ca="1" si="106"/>
        <v>758.2</v>
      </c>
      <c r="E352" s="17">
        <f t="shared" ca="1" si="107"/>
        <v>0</v>
      </c>
      <c r="F352" s="18">
        <f t="shared" ca="1" si="108"/>
        <v>26.9</v>
      </c>
      <c r="G352" s="17">
        <f t="shared" ca="1" si="109"/>
        <v>0</v>
      </c>
      <c r="H352" s="18" t="str">
        <f t="shared" ca="1" si="110"/>
        <v>—</v>
      </c>
      <c r="I352" s="17">
        <f t="shared" ca="1" si="111"/>
        <v>7</v>
      </c>
      <c r="J352" s="18" t="str">
        <f t="shared" ca="1" si="112"/>
        <v>—</v>
      </c>
      <c r="K352" s="17">
        <f t="shared" ca="1" si="113"/>
        <v>7</v>
      </c>
      <c r="L352" s="10">
        <f t="shared" ca="1" si="114"/>
        <v>72</v>
      </c>
      <c r="M352" s="17">
        <f t="shared" ca="1" si="115"/>
        <v>0</v>
      </c>
      <c r="N352" s="18">
        <f t="shared" ca="1" si="116"/>
        <v>19.100000000000001</v>
      </c>
      <c r="O352" s="17">
        <f t="shared" ca="1" si="117"/>
        <v>0</v>
      </c>
      <c r="P352" s="18">
        <f t="shared" ca="1" si="118"/>
        <v>23</v>
      </c>
      <c r="Q352" s="17">
        <f t="shared" ca="1" si="119"/>
        <v>0</v>
      </c>
      <c r="R352" s="10">
        <f t="shared" ca="1" si="120"/>
        <v>65</v>
      </c>
      <c r="S352" s="17">
        <f t="shared" ca="1" si="121"/>
        <v>0</v>
      </c>
      <c r="T352" s="70">
        <f t="shared" ca="1" si="122"/>
        <v>0.6</v>
      </c>
      <c r="U352" s="17">
        <f t="shared" ca="1" si="123"/>
        <v>0</v>
      </c>
      <c r="V352" s="71">
        <f t="shared" ca="1" si="124"/>
        <v>1</v>
      </c>
      <c r="W352" s="17">
        <f t="shared" ca="1" si="125"/>
        <v>0</v>
      </c>
    </row>
    <row r="353" spans="1:23" x14ac:dyDescent="0.25">
      <c r="A353" s="4">
        <f t="shared" si="105"/>
        <v>32</v>
      </c>
      <c r="B353" t="str">
        <f ca="1">TEXT(DATE(YEAR(Invoer!$A$6),1,1)+INT((ROWS(B$2:B353)-1)/4),"jjjjmmdd")</f>
        <v>19400328</v>
      </c>
      <c r="C353" s="64" t="str">
        <f>IF(MOD(ROWS(C$2:C353)-1,4)=3,"24.00",INDEX(Data,3,2+MOD(ROWS(C$2:C353)-1,4)))</f>
        <v>24.00</v>
      </c>
      <c r="D353" s="18" t="str">
        <f t="shared" ca="1" si="106"/>
        <v>—</v>
      </c>
      <c r="E353" s="17">
        <f t="shared" ca="1" si="107"/>
        <v>7</v>
      </c>
      <c r="F353" s="18" t="str">
        <f t="shared" ca="1" si="108"/>
        <v>—</v>
      </c>
      <c r="G353" s="17">
        <f t="shared" ca="1" si="109"/>
        <v>7</v>
      </c>
      <c r="H353" s="18">
        <f t="shared" ca="1" si="110"/>
        <v>27.4</v>
      </c>
      <c r="I353" s="17">
        <f t="shared" ca="1" si="111"/>
        <v>0</v>
      </c>
      <c r="J353" s="18">
        <f t="shared" ca="1" si="112"/>
        <v>29.5</v>
      </c>
      <c r="K353" s="17">
        <f t="shared" ca="1" si="113"/>
        <v>0</v>
      </c>
      <c r="L353" s="10" t="str">
        <f t="shared" ca="1" si="114"/>
        <v>—</v>
      </c>
      <c r="M353" s="17">
        <f t="shared" ca="1" si="115"/>
        <v>7</v>
      </c>
      <c r="N353" s="18" t="str">
        <f t="shared" ca="1" si="116"/>
        <v>—</v>
      </c>
      <c r="O353" s="17">
        <f t="shared" ca="1" si="117"/>
        <v>7</v>
      </c>
      <c r="P353" s="18" t="str">
        <f t="shared" ca="1" si="118"/>
        <v>—</v>
      </c>
      <c r="Q353" s="17">
        <f t="shared" ca="1" si="119"/>
        <v>7</v>
      </c>
      <c r="R353" s="10" t="str">
        <f t="shared" ca="1" si="120"/>
        <v>—</v>
      </c>
      <c r="S353" s="17">
        <f t="shared" ca="1" si="121"/>
        <v>7</v>
      </c>
      <c r="T353" s="70" t="str">
        <f t="shared" ca="1" si="122"/>
        <v>—</v>
      </c>
      <c r="U353" s="17">
        <f t="shared" ca="1" si="123"/>
        <v>7</v>
      </c>
      <c r="V353" s="71" t="str">
        <f t="shared" ca="1" si="124"/>
        <v>—</v>
      </c>
      <c r="W353" s="17">
        <f t="shared" ca="1" si="125"/>
        <v>7</v>
      </c>
    </row>
    <row r="354" spans="1:23" x14ac:dyDescent="0.25">
      <c r="A354" s="4">
        <f t="shared" si="105"/>
        <v>32</v>
      </c>
      <c r="B354" t="str">
        <f ca="1">TEXT(DATE(YEAR(Invoer!$A$6),1,1)+INT((ROWS(B$2:B354)-1)/4),"jjjjmmdd")</f>
        <v>19400329</v>
      </c>
      <c r="C354" s="64" t="str">
        <f>IF(MOD(ROWS(C$2:C354)-1,4)=3,"24.00",INDEX(Data,3,2+MOD(ROWS(C$2:C354)-1,4)))</f>
        <v>07.00</v>
      </c>
      <c r="D354" s="18">
        <f t="shared" ca="1" si="106"/>
        <v>757.2</v>
      </c>
      <c r="E354" s="17">
        <f t="shared" ca="1" si="107"/>
        <v>0</v>
      </c>
      <c r="F354" s="18">
        <f t="shared" ca="1" si="108"/>
        <v>26.1</v>
      </c>
      <c r="G354" s="17">
        <f t="shared" ca="1" si="109"/>
        <v>0</v>
      </c>
      <c r="H354" s="18" t="str">
        <f t="shared" ca="1" si="110"/>
        <v>—</v>
      </c>
      <c r="I354" s="17">
        <f t="shared" ca="1" si="111"/>
        <v>7</v>
      </c>
      <c r="J354" s="18" t="str">
        <f t="shared" ca="1" si="112"/>
        <v>—</v>
      </c>
      <c r="K354" s="17">
        <f t="shared" ca="1" si="113"/>
        <v>7</v>
      </c>
      <c r="L354" s="10">
        <f t="shared" ca="1" si="114"/>
        <v>76</v>
      </c>
      <c r="M354" s="17">
        <f t="shared" ca="1" si="115"/>
        <v>0</v>
      </c>
      <c r="N354" s="18">
        <f t="shared" ca="1" si="116"/>
        <v>19.2</v>
      </c>
      <c r="O354" s="17">
        <f t="shared" ca="1" si="117"/>
        <v>0</v>
      </c>
      <c r="P354" s="18">
        <f t="shared" ca="1" si="118"/>
        <v>22.8</v>
      </c>
      <c r="Q354" s="17">
        <f t="shared" ca="1" si="119"/>
        <v>0</v>
      </c>
      <c r="R354" s="10">
        <f t="shared" ca="1" si="120"/>
        <v>65</v>
      </c>
      <c r="S354" s="17">
        <f t="shared" ca="1" si="121"/>
        <v>0</v>
      </c>
      <c r="T354" s="70">
        <f t="shared" ca="1" si="122"/>
        <v>0.4</v>
      </c>
      <c r="U354" s="17">
        <f t="shared" ca="1" si="123"/>
        <v>0</v>
      </c>
      <c r="V354" s="71">
        <f t="shared" ca="1" si="124"/>
        <v>2</v>
      </c>
      <c r="W354" s="17">
        <f t="shared" ca="1" si="125"/>
        <v>0</v>
      </c>
    </row>
    <row r="355" spans="1:23" x14ac:dyDescent="0.25">
      <c r="A355" s="4">
        <f t="shared" si="105"/>
        <v>32</v>
      </c>
      <c r="B355" t="str">
        <f ca="1">TEXT(DATE(YEAR(Invoer!$A$6),1,1)+INT((ROWS(B$2:B355)-1)/4),"jjjjmmdd")</f>
        <v>19400329</v>
      </c>
      <c r="C355" s="64" t="str">
        <f>IF(MOD(ROWS(C$2:C355)-1,4)=3,"24.00",INDEX(Data,3,2+MOD(ROWS(C$2:C355)-1,4)))</f>
        <v>12.00</v>
      </c>
      <c r="D355" s="18">
        <f t="shared" ca="1" si="106"/>
        <v>758.7</v>
      </c>
      <c r="E355" s="17">
        <f t="shared" ca="1" si="107"/>
        <v>0</v>
      </c>
      <c r="F355" s="18">
        <f t="shared" ca="1" si="108"/>
        <v>26.9</v>
      </c>
      <c r="G355" s="17">
        <f t="shared" ca="1" si="109"/>
        <v>0</v>
      </c>
      <c r="H355" s="18" t="str">
        <f t="shared" ca="1" si="110"/>
        <v>—</v>
      </c>
      <c r="I355" s="17">
        <f t="shared" ca="1" si="111"/>
        <v>7</v>
      </c>
      <c r="J355" s="18" t="str">
        <f t="shared" ca="1" si="112"/>
        <v>—</v>
      </c>
      <c r="K355" s="17">
        <f t="shared" ca="1" si="113"/>
        <v>7</v>
      </c>
      <c r="L355" s="10">
        <f t="shared" ca="1" si="114"/>
        <v>73</v>
      </c>
      <c r="M355" s="17">
        <f t="shared" ca="1" si="115"/>
        <v>0</v>
      </c>
      <c r="N355" s="18">
        <f t="shared" ca="1" si="116"/>
        <v>19.5</v>
      </c>
      <c r="O355" s="17">
        <f t="shared" ca="1" si="117"/>
        <v>0</v>
      </c>
      <c r="P355" s="18">
        <f t="shared" ca="1" si="118"/>
        <v>23.2</v>
      </c>
      <c r="Q355" s="17">
        <f t="shared" ca="1" si="119"/>
        <v>0</v>
      </c>
      <c r="R355" s="10">
        <f t="shared" ca="1" si="120"/>
        <v>65</v>
      </c>
      <c r="S355" s="17">
        <f t="shared" ca="1" si="121"/>
        <v>0</v>
      </c>
      <c r="T355" s="70">
        <f t="shared" ca="1" si="122"/>
        <v>0.6</v>
      </c>
      <c r="U355" s="17">
        <f t="shared" ca="1" si="123"/>
        <v>0</v>
      </c>
      <c r="V355" s="71">
        <f t="shared" ca="1" si="124"/>
        <v>2</v>
      </c>
      <c r="W355" s="17">
        <f t="shared" ca="1" si="125"/>
        <v>0</v>
      </c>
    </row>
    <row r="356" spans="1:23" x14ac:dyDescent="0.25">
      <c r="A356" s="4">
        <f t="shared" si="105"/>
        <v>32</v>
      </c>
      <c r="B356" t="str">
        <f ca="1">TEXT(DATE(YEAR(Invoer!$A$6),1,1)+INT((ROWS(B$2:B356)-1)/4),"jjjjmmdd")</f>
        <v>19400329</v>
      </c>
      <c r="C356" s="64" t="str">
        <f>IF(MOD(ROWS(C$2:C356)-1,4)=3,"24.00",INDEX(Data,3,2+MOD(ROWS(C$2:C356)-1,4)))</f>
        <v>17.00</v>
      </c>
      <c r="D356" s="18">
        <f t="shared" ca="1" si="106"/>
        <v>758.2</v>
      </c>
      <c r="E356" s="17">
        <f t="shared" ca="1" si="107"/>
        <v>0</v>
      </c>
      <c r="F356" s="18">
        <f t="shared" ca="1" si="108"/>
        <v>26.1</v>
      </c>
      <c r="G356" s="17">
        <f t="shared" ca="1" si="109"/>
        <v>0</v>
      </c>
      <c r="H356" s="18" t="str">
        <f t="shared" ca="1" si="110"/>
        <v>—</v>
      </c>
      <c r="I356" s="17">
        <f t="shared" ca="1" si="111"/>
        <v>7</v>
      </c>
      <c r="J356" s="18" t="str">
        <f t="shared" ca="1" si="112"/>
        <v>—</v>
      </c>
      <c r="K356" s="17">
        <f t="shared" ca="1" si="113"/>
        <v>7</v>
      </c>
      <c r="L356" s="10">
        <f t="shared" ca="1" si="114"/>
        <v>76</v>
      </c>
      <c r="M356" s="17">
        <f t="shared" ca="1" si="115"/>
        <v>0</v>
      </c>
      <c r="N356" s="18">
        <f t="shared" ca="1" si="116"/>
        <v>19.2</v>
      </c>
      <c r="O356" s="17">
        <f t="shared" ca="1" si="117"/>
        <v>0</v>
      </c>
      <c r="P356" s="18">
        <f t="shared" ca="1" si="118"/>
        <v>22.8</v>
      </c>
      <c r="Q356" s="17">
        <f t="shared" ca="1" si="119"/>
        <v>0</v>
      </c>
      <c r="R356" s="10">
        <f t="shared" ca="1" si="120"/>
        <v>65</v>
      </c>
      <c r="S356" s="17">
        <f t="shared" ca="1" si="121"/>
        <v>0</v>
      </c>
      <c r="T356" s="70">
        <f t="shared" ca="1" si="122"/>
        <v>0.5</v>
      </c>
      <c r="U356" s="17">
        <f t="shared" ca="1" si="123"/>
        <v>0</v>
      </c>
      <c r="V356" s="71">
        <f t="shared" ca="1" si="124"/>
        <v>1</v>
      </c>
      <c r="W356" s="17">
        <f t="shared" ca="1" si="125"/>
        <v>0</v>
      </c>
    </row>
    <row r="357" spans="1:23" x14ac:dyDescent="0.25">
      <c r="A357" s="4">
        <f t="shared" si="105"/>
        <v>32</v>
      </c>
      <c r="B357" t="str">
        <f ca="1">TEXT(DATE(YEAR(Invoer!$A$6),1,1)+INT((ROWS(B$2:B357)-1)/4),"jjjjmmdd")</f>
        <v>19400329</v>
      </c>
      <c r="C357" s="64" t="str">
        <f>IF(MOD(ROWS(C$2:C357)-1,4)=3,"24.00",INDEX(Data,3,2+MOD(ROWS(C$2:C357)-1,4)))</f>
        <v>24.00</v>
      </c>
      <c r="D357" s="18" t="str">
        <f t="shared" ca="1" si="106"/>
        <v>—</v>
      </c>
      <c r="E357" s="17">
        <f t="shared" ca="1" si="107"/>
        <v>7</v>
      </c>
      <c r="F357" s="18" t="str">
        <f t="shared" ca="1" si="108"/>
        <v>—</v>
      </c>
      <c r="G357" s="17">
        <f t="shared" ca="1" si="109"/>
        <v>7</v>
      </c>
      <c r="H357" s="18">
        <f t="shared" ca="1" si="110"/>
        <v>27</v>
      </c>
      <c r="I357" s="17">
        <f t="shared" ca="1" si="111"/>
        <v>0</v>
      </c>
      <c r="J357" s="18">
        <f t="shared" ca="1" si="112"/>
        <v>28.5</v>
      </c>
      <c r="K357" s="17">
        <f t="shared" ca="1" si="113"/>
        <v>0</v>
      </c>
      <c r="L357" s="10" t="str">
        <f t="shared" ca="1" si="114"/>
        <v>—</v>
      </c>
      <c r="M357" s="17">
        <f t="shared" ca="1" si="115"/>
        <v>7</v>
      </c>
      <c r="N357" s="18" t="str">
        <f t="shared" ca="1" si="116"/>
        <v>—</v>
      </c>
      <c r="O357" s="17">
        <f t="shared" ca="1" si="117"/>
        <v>7</v>
      </c>
      <c r="P357" s="18" t="str">
        <f t="shared" ca="1" si="118"/>
        <v>—</v>
      </c>
      <c r="Q357" s="17">
        <f t="shared" ca="1" si="119"/>
        <v>7</v>
      </c>
      <c r="R357" s="10" t="str">
        <f t="shared" ca="1" si="120"/>
        <v>—</v>
      </c>
      <c r="S357" s="17">
        <f t="shared" ca="1" si="121"/>
        <v>7</v>
      </c>
      <c r="T357" s="70" t="str">
        <f t="shared" ca="1" si="122"/>
        <v>—</v>
      </c>
      <c r="U357" s="17">
        <f t="shared" ca="1" si="123"/>
        <v>7</v>
      </c>
      <c r="V357" s="71" t="str">
        <f t="shared" ca="1" si="124"/>
        <v>—</v>
      </c>
      <c r="W357" s="17">
        <f t="shared" ca="1" si="125"/>
        <v>7</v>
      </c>
    </row>
    <row r="358" spans="1:23" x14ac:dyDescent="0.25">
      <c r="A358" s="4">
        <f t="shared" si="105"/>
        <v>32</v>
      </c>
      <c r="B358" t="str">
        <f ca="1">TEXT(DATE(YEAR(Invoer!$A$6),1,1)+INT((ROWS(B$2:B358)-1)/4),"jjjjmmdd")</f>
        <v>19400330</v>
      </c>
      <c r="C358" s="64" t="str">
        <f>IF(MOD(ROWS(C$2:C358)-1,4)=3,"24.00",INDEX(Data,3,2+MOD(ROWS(C$2:C358)-1,4)))</f>
        <v>07.00</v>
      </c>
      <c r="D358" s="18">
        <f t="shared" ca="1" si="106"/>
        <v>759.7</v>
      </c>
      <c r="E358" s="17">
        <f t="shared" ca="1" si="107"/>
        <v>0</v>
      </c>
      <c r="F358" s="18">
        <f t="shared" ca="1" si="108"/>
        <v>25.9</v>
      </c>
      <c r="G358" s="17">
        <f t="shared" ca="1" si="109"/>
        <v>0</v>
      </c>
      <c r="H358" s="18" t="str">
        <f t="shared" ca="1" si="110"/>
        <v>—</v>
      </c>
      <c r="I358" s="17">
        <f t="shared" ca="1" si="111"/>
        <v>7</v>
      </c>
      <c r="J358" s="18" t="str">
        <f t="shared" ca="1" si="112"/>
        <v>—</v>
      </c>
      <c r="K358" s="17">
        <f t="shared" ca="1" si="113"/>
        <v>7</v>
      </c>
      <c r="L358" s="10">
        <f t="shared" ca="1" si="114"/>
        <v>78</v>
      </c>
      <c r="M358" s="17">
        <f t="shared" ca="1" si="115"/>
        <v>0</v>
      </c>
      <c r="N358" s="18">
        <f t="shared" ca="1" si="116"/>
        <v>19.600000000000001</v>
      </c>
      <c r="O358" s="17">
        <f t="shared" ca="1" si="117"/>
        <v>0</v>
      </c>
      <c r="P358" s="18">
        <f t="shared" ca="1" si="118"/>
        <v>23</v>
      </c>
      <c r="Q358" s="17">
        <f t="shared" ca="1" si="119"/>
        <v>0</v>
      </c>
      <c r="R358" s="10">
        <f t="shared" ca="1" si="120"/>
        <v>45</v>
      </c>
      <c r="S358" s="17">
        <f t="shared" ca="1" si="121"/>
        <v>0</v>
      </c>
      <c r="T358" s="70">
        <f t="shared" ca="1" si="122"/>
        <v>0.5</v>
      </c>
      <c r="U358" s="17">
        <f t="shared" ca="1" si="123"/>
        <v>0</v>
      </c>
      <c r="V358" s="71">
        <f t="shared" ca="1" si="124"/>
        <v>3</v>
      </c>
      <c r="W358" s="17">
        <f t="shared" ca="1" si="125"/>
        <v>0</v>
      </c>
    </row>
    <row r="359" spans="1:23" x14ac:dyDescent="0.25">
      <c r="A359" s="4">
        <f t="shared" si="105"/>
        <v>32</v>
      </c>
      <c r="B359" t="str">
        <f ca="1">TEXT(DATE(YEAR(Invoer!$A$6),1,1)+INT((ROWS(B$2:B359)-1)/4),"jjjjmmdd")</f>
        <v>19400330</v>
      </c>
      <c r="C359" s="64" t="str">
        <f>IF(MOD(ROWS(C$2:C359)-1,4)=3,"24.00",INDEX(Data,3,2+MOD(ROWS(C$2:C359)-1,4)))</f>
        <v>12.00</v>
      </c>
      <c r="D359" s="18">
        <f t="shared" ca="1" si="106"/>
        <v>758.7</v>
      </c>
      <c r="E359" s="17">
        <f t="shared" ca="1" si="107"/>
        <v>0</v>
      </c>
      <c r="F359" s="18">
        <f t="shared" ca="1" si="108"/>
        <v>26.9</v>
      </c>
      <c r="G359" s="17">
        <f t="shared" ca="1" si="109"/>
        <v>0</v>
      </c>
      <c r="H359" s="18" t="str">
        <f t="shared" ca="1" si="110"/>
        <v>—</v>
      </c>
      <c r="I359" s="17">
        <f t="shared" ca="1" si="111"/>
        <v>7</v>
      </c>
      <c r="J359" s="18" t="str">
        <f t="shared" ca="1" si="112"/>
        <v>—</v>
      </c>
      <c r="K359" s="17">
        <f t="shared" ca="1" si="113"/>
        <v>7</v>
      </c>
      <c r="L359" s="10">
        <f t="shared" ca="1" si="114"/>
        <v>75</v>
      </c>
      <c r="M359" s="17">
        <f t="shared" ca="1" si="115"/>
        <v>0</v>
      </c>
      <c r="N359" s="18">
        <f t="shared" ca="1" si="116"/>
        <v>20</v>
      </c>
      <c r="O359" s="17">
        <f t="shared" ca="1" si="117"/>
        <v>0</v>
      </c>
      <c r="P359" s="18">
        <f t="shared" ca="1" si="118"/>
        <v>23.5</v>
      </c>
      <c r="Q359" s="17">
        <f t="shared" ca="1" si="119"/>
        <v>0</v>
      </c>
      <c r="R359" s="10">
        <f t="shared" ca="1" si="120"/>
        <v>45</v>
      </c>
      <c r="S359" s="17">
        <f t="shared" ca="1" si="121"/>
        <v>0</v>
      </c>
      <c r="T359" s="70">
        <f t="shared" ca="1" si="122"/>
        <v>0.6</v>
      </c>
      <c r="U359" s="17">
        <f t="shared" ca="1" si="123"/>
        <v>0</v>
      </c>
      <c r="V359" s="71">
        <f t="shared" ca="1" si="124"/>
        <v>2</v>
      </c>
      <c r="W359" s="17">
        <f t="shared" ca="1" si="125"/>
        <v>0</v>
      </c>
    </row>
    <row r="360" spans="1:23" x14ac:dyDescent="0.25">
      <c r="A360" s="4">
        <f t="shared" si="105"/>
        <v>32</v>
      </c>
      <c r="B360" t="str">
        <f ca="1">TEXT(DATE(YEAR(Invoer!$A$6),1,1)+INT((ROWS(B$2:B360)-1)/4),"jjjjmmdd")</f>
        <v>19400330</v>
      </c>
      <c r="C360" s="64" t="str">
        <f>IF(MOD(ROWS(C$2:C360)-1,4)=3,"24.00",INDEX(Data,3,2+MOD(ROWS(C$2:C360)-1,4)))</f>
        <v>17.00</v>
      </c>
      <c r="D360" s="18">
        <f t="shared" ca="1" si="106"/>
        <v>758.2</v>
      </c>
      <c r="E360" s="17">
        <f t="shared" ca="1" si="107"/>
        <v>0</v>
      </c>
      <c r="F360" s="18">
        <f t="shared" ca="1" si="108"/>
        <v>26.3</v>
      </c>
      <c r="G360" s="17">
        <f t="shared" ca="1" si="109"/>
        <v>0</v>
      </c>
      <c r="H360" s="18" t="str">
        <f t="shared" ca="1" si="110"/>
        <v>—</v>
      </c>
      <c r="I360" s="17">
        <f t="shared" ca="1" si="111"/>
        <v>7</v>
      </c>
      <c r="J360" s="18" t="str">
        <f t="shared" ca="1" si="112"/>
        <v>—</v>
      </c>
      <c r="K360" s="17">
        <f t="shared" ca="1" si="113"/>
        <v>7</v>
      </c>
      <c r="L360" s="10">
        <f t="shared" ca="1" si="114"/>
        <v>74</v>
      </c>
      <c r="M360" s="17">
        <f t="shared" ca="1" si="115"/>
        <v>0</v>
      </c>
      <c r="N360" s="18">
        <f t="shared" ca="1" si="116"/>
        <v>19.100000000000001</v>
      </c>
      <c r="O360" s="17">
        <f t="shared" ca="1" si="117"/>
        <v>0</v>
      </c>
      <c r="P360" s="18">
        <f t="shared" ca="1" si="118"/>
        <v>22.8</v>
      </c>
      <c r="Q360" s="17">
        <f t="shared" ca="1" si="119"/>
        <v>0</v>
      </c>
      <c r="R360" s="10">
        <f t="shared" ca="1" si="120"/>
        <v>45</v>
      </c>
      <c r="S360" s="17">
        <f t="shared" ca="1" si="121"/>
        <v>0</v>
      </c>
      <c r="T360" s="70">
        <f t="shared" ca="1" si="122"/>
        <v>0.6</v>
      </c>
      <c r="U360" s="17">
        <f t="shared" ca="1" si="123"/>
        <v>0</v>
      </c>
      <c r="V360" s="71">
        <f t="shared" ca="1" si="124"/>
        <v>3</v>
      </c>
      <c r="W360" s="17">
        <f t="shared" ca="1" si="125"/>
        <v>0</v>
      </c>
    </row>
    <row r="361" spans="1:23" x14ac:dyDescent="0.25">
      <c r="A361" s="4">
        <f t="shared" si="105"/>
        <v>32</v>
      </c>
      <c r="B361" t="str">
        <f ca="1">TEXT(DATE(YEAR(Invoer!$A$6),1,1)+INT((ROWS(B$2:B361)-1)/4),"jjjjmmdd")</f>
        <v>19400330</v>
      </c>
      <c r="C361" s="64" t="str">
        <f>IF(MOD(ROWS(C$2:C361)-1,4)=3,"24.00",INDEX(Data,3,2+MOD(ROWS(C$2:C361)-1,4)))</f>
        <v>24.00</v>
      </c>
      <c r="D361" s="18" t="str">
        <f t="shared" ca="1" si="106"/>
        <v>—</v>
      </c>
      <c r="E361" s="17">
        <f t="shared" ca="1" si="107"/>
        <v>7</v>
      </c>
      <c r="F361" s="18" t="str">
        <f t="shared" ca="1" si="108"/>
        <v>—</v>
      </c>
      <c r="G361" s="17">
        <f t="shared" ca="1" si="109"/>
        <v>7</v>
      </c>
      <c r="H361" s="18">
        <f t="shared" ca="1" si="110"/>
        <v>27</v>
      </c>
      <c r="I361" s="17">
        <f t="shared" ca="1" si="111"/>
        <v>0</v>
      </c>
      <c r="J361" s="18">
        <f t="shared" ca="1" si="112"/>
        <v>29</v>
      </c>
      <c r="K361" s="17">
        <f t="shared" ca="1" si="113"/>
        <v>0</v>
      </c>
      <c r="L361" s="10" t="str">
        <f t="shared" ca="1" si="114"/>
        <v>—</v>
      </c>
      <c r="M361" s="17">
        <f t="shared" ca="1" si="115"/>
        <v>7</v>
      </c>
      <c r="N361" s="18" t="str">
        <f t="shared" ca="1" si="116"/>
        <v>—</v>
      </c>
      <c r="O361" s="17">
        <f t="shared" ca="1" si="117"/>
        <v>7</v>
      </c>
      <c r="P361" s="18" t="str">
        <f t="shared" ca="1" si="118"/>
        <v>—</v>
      </c>
      <c r="Q361" s="17">
        <f t="shared" ca="1" si="119"/>
        <v>7</v>
      </c>
      <c r="R361" s="10" t="str">
        <f t="shared" ca="1" si="120"/>
        <v>—</v>
      </c>
      <c r="S361" s="17">
        <f t="shared" ca="1" si="121"/>
        <v>7</v>
      </c>
      <c r="T361" s="70" t="str">
        <f t="shared" ca="1" si="122"/>
        <v>—</v>
      </c>
      <c r="U361" s="17">
        <f t="shared" ca="1" si="123"/>
        <v>7</v>
      </c>
      <c r="V361" s="71" t="str">
        <f t="shared" ca="1" si="124"/>
        <v>—</v>
      </c>
      <c r="W361" s="17">
        <f t="shared" ca="1" si="125"/>
        <v>7</v>
      </c>
    </row>
    <row r="362" spans="1:23" x14ac:dyDescent="0.25">
      <c r="A362" s="4">
        <f t="shared" si="105"/>
        <v>32</v>
      </c>
      <c r="B362" t="str">
        <f ca="1">TEXT(DATE(YEAR(Invoer!$A$6),1,1)+INT((ROWS(B$2:B362)-1)/4),"jjjjmmdd")</f>
        <v>19400331</v>
      </c>
      <c r="C362" s="64" t="str">
        <f>IF(MOD(ROWS(C$2:C362)-1,4)=3,"24.00",INDEX(Data,3,2+MOD(ROWS(C$2:C362)-1,4)))</f>
        <v>07.00</v>
      </c>
      <c r="D362" s="18">
        <f t="shared" ca="1" si="106"/>
        <v>759.2</v>
      </c>
      <c r="E362" s="17">
        <f t="shared" ca="1" si="107"/>
        <v>0</v>
      </c>
      <c r="F362" s="18">
        <f t="shared" ca="1" si="108"/>
        <v>26.1</v>
      </c>
      <c r="G362" s="17">
        <f t="shared" ca="1" si="109"/>
        <v>0</v>
      </c>
      <c r="H362" s="18" t="str">
        <f t="shared" ca="1" si="110"/>
        <v>—</v>
      </c>
      <c r="I362" s="17">
        <f t="shared" ca="1" si="111"/>
        <v>7</v>
      </c>
      <c r="J362" s="18" t="str">
        <f t="shared" ca="1" si="112"/>
        <v>—</v>
      </c>
      <c r="K362" s="17">
        <f t="shared" ca="1" si="113"/>
        <v>7</v>
      </c>
      <c r="L362" s="10">
        <f t="shared" ca="1" si="114"/>
        <v>76</v>
      </c>
      <c r="M362" s="17">
        <f t="shared" ca="1" si="115"/>
        <v>0</v>
      </c>
      <c r="N362" s="18">
        <f t="shared" ca="1" si="116"/>
        <v>19.2</v>
      </c>
      <c r="O362" s="17">
        <f t="shared" ca="1" si="117"/>
        <v>0</v>
      </c>
      <c r="P362" s="18">
        <f t="shared" ca="1" si="118"/>
        <v>22.8</v>
      </c>
      <c r="Q362" s="17">
        <f t="shared" ca="1" si="119"/>
        <v>0</v>
      </c>
      <c r="R362" s="10">
        <f t="shared" ca="1" si="120"/>
        <v>65</v>
      </c>
      <c r="S362" s="17">
        <f t="shared" ca="1" si="121"/>
        <v>0</v>
      </c>
      <c r="T362" s="70">
        <f t="shared" ca="1" si="122"/>
        <v>0.4</v>
      </c>
      <c r="U362" s="17">
        <f t="shared" ca="1" si="123"/>
        <v>0</v>
      </c>
      <c r="V362" s="71">
        <f t="shared" ca="1" si="124"/>
        <v>3</v>
      </c>
      <c r="W362" s="17">
        <f t="shared" ca="1" si="125"/>
        <v>0</v>
      </c>
    </row>
    <row r="363" spans="1:23" x14ac:dyDescent="0.25">
      <c r="A363" s="4">
        <f t="shared" si="105"/>
        <v>32</v>
      </c>
      <c r="B363" t="str">
        <f ca="1">TEXT(DATE(YEAR(Invoer!$A$6),1,1)+INT((ROWS(B$2:B363)-1)/4),"jjjjmmdd")</f>
        <v>19400331</v>
      </c>
      <c r="C363" s="64" t="str">
        <f>IF(MOD(ROWS(C$2:C363)-1,4)=3,"24.00",INDEX(Data,3,2+MOD(ROWS(C$2:C363)-1,4)))</f>
        <v>12.00</v>
      </c>
      <c r="D363" s="18">
        <f t="shared" ca="1" si="106"/>
        <v>759.2</v>
      </c>
      <c r="E363" s="17">
        <f t="shared" ca="1" si="107"/>
        <v>0</v>
      </c>
      <c r="F363" s="18">
        <f t="shared" ca="1" si="108"/>
        <v>26.9</v>
      </c>
      <c r="G363" s="17">
        <f t="shared" ca="1" si="109"/>
        <v>0</v>
      </c>
      <c r="H363" s="18" t="str">
        <f t="shared" ca="1" si="110"/>
        <v>—</v>
      </c>
      <c r="I363" s="17">
        <f t="shared" ca="1" si="111"/>
        <v>7</v>
      </c>
      <c r="J363" s="18" t="str">
        <f t="shared" ca="1" si="112"/>
        <v>—</v>
      </c>
      <c r="K363" s="17">
        <f t="shared" ca="1" si="113"/>
        <v>7</v>
      </c>
      <c r="L363" s="10">
        <f t="shared" ca="1" si="114"/>
        <v>72</v>
      </c>
      <c r="M363" s="17">
        <f t="shared" ca="1" si="115"/>
        <v>0</v>
      </c>
      <c r="N363" s="18">
        <f t="shared" ca="1" si="116"/>
        <v>19.100000000000001</v>
      </c>
      <c r="O363" s="17">
        <f t="shared" ca="1" si="117"/>
        <v>0</v>
      </c>
      <c r="P363" s="18">
        <f t="shared" ca="1" si="118"/>
        <v>23</v>
      </c>
      <c r="Q363" s="17">
        <f t="shared" ca="1" si="119"/>
        <v>0</v>
      </c>
      <c r="R363" s="10">
        <f t="shared" ca="1" si="120"/>
        <v>65</v>
      </c>
      <c r="S363" s="17">
        <f t="shared" ca="1" si="121"/>
        <v>0</v>
      </c>
      <c r="T363" s="70">
        <f t="shared" ca="1" si="122"/>
        <v>0.6</v>
      </c>
      <c r="U363" s="17">
        <f t="shared" ca="1" si="123"/>
        <v>0</v>
      </c>
      <c r="V363" s="71">
        <f t="shared" ca="1" si="124"/>
        <v>2</v>
      </c>
      <c r="W363" s="17">
        <f t="shared" ca="1" si="125"/>
        <v>0</v>
      </c>
    </row>
    <row r="364" spans="1:23" x14ac:dyDescent="0.25">
      <c r="A364" s="4">
        <f t="shared" si="105"/>
        <v>32</v>
      </c>
      <c r="B364" t="str">
        <f ca="1">TEXT(DATE(YEAR(Invoer!$A$6),1,1)+INT((ROWS(B$2:B364)-1)/4),"jjjjmmdd")</f>
        <v>19400331</v>
      </c>
      <c r="C364" s="64" t="str">
        <f>IF(MOD(ROWS(C$2:C364)-1,4)=3,"24.00",INDEX(Data,3,2+MOD(ROWS(C$2:C364)-1,4)))</f>
        <v>17.00</v>
      </c>
      <c r="D364" s="18">
        <f t="shared" ca="1" si="106"/>
        <v>758.9</v>
      </c>
      <c r="E364" s="17">
        <f t="shared" ca="1" si="107"/>
        <v>0</v>
      </c>
      <c r="F364" s="18">
        <f t="shared" ca="1" si="108"/>
        <v>26.1</v>
      </c>
      <c r="G364" s="17">
        <f t="shared" ca="1" si="109"/>
        <v>0</v>
      </c>
      <c r="H364" s="18" t="str">
        <f t="shared" ca="1" si="110"/>
        <v>—</v>
      </c>
      <c r="I364" s="17">
        <f t="shared" ca="1" si="111"/>
        <v>7</v>
      </c>
      <c r="J364" s="18" t="str">
        <f t="shared" ca="1" si="112"/>
        <v>—</v>
      </c>
      <c r="K364" s="17">
        <f t="shared" ca="1" si="113"/>
        <v>7</v>
      </c>
      <c r="L364" s="10">
        <f t="shared" ca="1" si="114"/>
        <v>76</v>
      </c>
      <c r="M364" s="17">
        <f t="shared" ca="1" si="115"/>
        <v>0</v>
      </c>
      <c r="N364" s="18">
        <f t="shared" ca="1" si="116"/>
        <v>19.2</v>
      </c>
      <c r="O364" s="17">
        <f t="shared" ca="1" si="117"/>
        <v>0</v>
      </c>
      <c r="P364" s="18">
        <f t="shared" ca="1" si="118"/>
        <v>22.8</v>
      </c>
      <c r="Q364" s="17">
        <f t="shared" ca="1" si="119"/>
        <v>0</v>
      </c>
      <c r="R364" s="10">
        <f t="shared" ca="1" si="120"/>
        <v>65</v>
      </c>
      <c r="S364" s="17">
        <f t="shared" ca="1" si="121"/>
        <v>0</v>
      </c>
      <c r="T364" s="70">
        <f t="shared" ca="1" si="122"/>
        <v>0.6</v>
      </c>
      <c r="U364" s="17">
        <f t="shared" ca="1" si="123"/>
        <v>0</v>
      </c>
      <c r="V364" s="71">
        <f t="shared" ca="1" si="124"/>
        <v>2</v>
      </c>
      <c r="W364" s="17">
        <f t="shared" ca="1" si="125"/>
        <v>0</v>
      </c>
    </row>
    <row r="365" spans="1:23" x14ac:dyDescent="0.25">
      <c r="A365" s="4">
        <f t="shared" si="105"/>
        <v>32</v>
      </c>
      <c r="B365" t="str">
        <f ca="1">TEXT(DATE(YEAR(Invoer!$A$6),1,1)+INT((ROWS(B$2:B365)-1)/4),"jjjjmmdd")</f>
        <v>19400331</v>
      </c>
      <c r="C365" s="64" t="str">
        <f>IF(MOD(ROWS(C$2:C365)-1,4)=3,"24.00",INDEX(Data,3,2+MOD(ROWS(C$2:C365)-1,4)))</f>
        <v>24.00</v>
      </c>
      <c r="D365" s="18" t="str">
        <f t="shared" ca="1" si="106"/>
        <v>—</v>
      </c>
      <c r="E365" s="17">
        <f t="shared" ca="1" si="107"/>
        <v>7</v>
      </c>
      <c r="F365" s="18" t="str">
        <f t="shared" ca="1" si="108"/>
        <v>—</v>
      </c>
      <c r="G365" s="17">
        <f t="shared" ca="1" si="109"/>
        <v>7</v>
      </c>
      <c r="H365" s="18">
        <f t="shared" ca="1" si="110"/>
        <v>21.5</v>
      </c>
      <c r="I365" s="17">
        <f t="shared" ca="1" si="111"/>
        <v>0</v>
      </c>
      <c r="J365" s="18">
        <f t="shared" ca="1" si="112"/>
        <v>30.5</v>
      </c>
      <c r="K365" s="17">
        <f t="shared" ca="1" si="113"/>
        <v>0</v>
      </c>
      <c r="L365" s="10" t="str">
        <f t="shared" ca="1" si="114"/>
        <v>—</v>
      </c>
      <c r="M365" s="17">
        <f t="shared" ca="1" si="115"/>
        <v>7</v>
      </c>
      <c r="N365" s="18" t="str">
        <f t="shared" ca="1" si="116"/>
        <v>—</v>
      </c>
      <c r="O365" s="17">
        <f t="shared" ca="1" si="117"/>
        <v>7</v>
      </c>
      <c r="P365" s="18" t="str">
        <f t="shared" ca="1" si="118"/>
        <v>—</v>
      </c>
      <c r="Q365" s="17">
        <f t="shared" ca="1" si="119"/>
        <v>7</v>
      </c>
      <c r="R365" s="10" t="str">
        <f t="shared" ca="1" si="120"/>
        <v>—</v>
      </c>
      <c r="S365" s="17">
        <f t="shared" ca="1" si="121"/>
        <v>7</v>
      </c>
      <c r="T365" s="70" t="str">
        <f t="shared" ca="1" si="122"/>
        <v>—</v>
      </c>
      <c r="U365" s="17">
        <f t="shared" ca="1" si="123"/>
        <v>7</v>
      </c>
      <c r="V365" s="71" t="str">
        <f t="shared" ca="1" si="124"/>
        <v>—</v>
      </c>
      <c r="W365" s="17">
        <f t="shared" ca="1" si="125"/>
        <v>7</v>
      </c>
    </row>
    <row r="366" spans="1:23" x14ac:dyDescent="0.25">
      <c r="A366" s="4">
        <f t="shared" si="105"/>
        <v>32</v>
      </c>
      <c r="B366" t="str">
        <f ca="1">TEXT(DATE(YEAR(Invoer!$A$6),1,1)+INT((ROWS(B$2:B366)-1)/4),"jjjjmmdd")</f>
        <v>19400401</v>
      </c>
      <c r="C366" s="64" t="str">
        <f>IF(MOD(ROWS(C$2:C366)-1,4)=3,"24.00",INDEX(Data,3,2+MOD(ROWS(C$2:C366)-1,4)))</f>
        <v>07.00</v>
      </c>
      <c r="D366" s="18">
        <f t="shared" ca="1" si="106"/>
        <v>758.5</v>
      </c>
      <c r="E366" s="17">
        <f t="shared" ca="1" si="107"/>
        <v>0</v>
      </c>
      <c r="F366" s="18">
        <f t="shared" ca="1" si="108"/>
        <v>25.7</v>
      </c>
      <c r="G366" s="17">
        <f t="shared" ca="1" si="109"/>
        <v>0</v>
      </c>
      <c r="H366" s="18" t="str">
        <f t="shared" ca="1" si="110"/>
        <v>—</v>
      </c>
      <c r="I366" s="17">
        <f t="shared" ca="1" si="111"/>
        <v>7</v>
      </c>
      <c r="J366" s="18" t="str">
        <f t="shared" ca="1" si="112"/>
        <v>—</v>
      </c>
      <c r="K366" s="17">
        <f t="shared" ca="1" si="113"/>
        <v>7</v>
      </c>
      <c r="L366" s="10">
        <f t="shared" ca="1" si="114"/>
        <v>81</v>
      </c>
      <c r="M366" s="17">
        <f t="shared" ca="1" si="115"/>
        <v>0</v>
      </c>
      <c r="N366" s="18">
        <f t="shared" ca="1" si="116"/>
        <v>20.100000000000001</v>
      </c>
      <c r="O366" s="17">
        <f t="shared" ca="1" si="117"/>
        <v>0</v>
      </c>
      <c r="P366" s="18">
        <f t="shared" ca="1" si="118"/>
        <v>23.2</v>
      </c>
      <c r="Q366" s="17">
        <f t="shared" ca="1" si="119"/>
        <v>0</v>
      </c>
      <c r="R366" s="10">
        <f t="shared" ca="1" si="120"/>
        <v>65</v>
      </c>
      <c r="S366" s="17">
        <f t="shared" ca="1" si="121"/>
        <v>0</v>
      </c>
      <c r="T366" s="70">
        <f t="shared" ca="1" si="122"/>
        <v>0.5</v>
      </c>
      <c r="U366" s="17">
        <f t="shared" ca="1" si="123"/>
        <v>0</v>
      </c>
      <c r="V366" s="71">
        <f t="shared" ca="1" si="124"/>
        <v>2</v>
      </c>
      <c r="W366" s="17">
        <f t="shared" ca="1" si="125"/>
        <v>0</v>
      </c>
    </row>
    <row r="367" spans="1:23" x14ac:dyDescent="0.25">
      <c r="A367" s="4">
        <f t="shared" si="105"/>
        <v>32</v>
      </c>
      <c r="B367" t="str">
        <f ca="1">TEXT(DATE(YEAR(Invoer!$A$6),1,1)+INT((ROWS(B$2:B367)-1)/4),"jjjjmmdd")</f>
        <v>19400401</v>
      </c>
      <c r="C367" s="64" t="str">
        <f>IF(MOD(ROWS(C$2:C367)-1,4)=3,"24.00",INDEX(Data,3,2+MOD(ROWS(C$2:C367)-1,4)))</f>
        <v>12.00</v>
      </c>
      <c r="D367" s="18">
        <f t="shared" ca="1" si="106"/>
        <v>758.5</v>
      </c>
      <c r="E367" s="17">
        <f t="shared" ca="1" si="107"/>
        <v>0</v>
      </c>
      <c r="F367" s="18">
        <f t="shared" ca="1" si="108"/>
        <v>25.9</v>
      </c>
      <c r="G367" s="17">
        <f t="shared" ca="1" si="109"/>
        <v>0</v>
      </c>
      <c r="H367" s="18" t="str">
        <f t="shared" ca="1" si="110"/>
        <v>—</v>
      </c>
      <c r="I367" s="17">
        <f t="shared" ca="1" si="111"/>
        <v>7</v>
      </c>
      <c r="J367" s="18" t="str">
        <f t="shared" ca="1" si="112"/>
        <v>—</v>
      </c>
      <c r="K367" s="17">
        <f t="shared" ca="1" si="113"/>
        <v>7</v>
      </c>
      <c r="L367" s="10">
        <f t="shared" ca="1" si="114"/>
        <v>82</v>
      </c>
      <c r="M367" s="17">
        <f t="shared" ca="1" si="115"/>
        <v>0</v>
      </c>
      <c r="N367" s="18">
        <f t="shared" ca="1" si="116"/>
        <v>20.7</v>
      </c>
      <c r="O367" s="17">
        <f t="shared" ca="1" si="117"/>
        <v>0</v>
      </c>
      <c r="P367" s="18">
        <f t="shared" ca="1" si="118"/>
        <v>23.6</v>
      </c>
      <c r="Q367" s="17">
        <f t="shared" ca="1" si="119"/>
        <v>0</v>
      </c>
      <c r="R367" s="10">
        <f t="shared" ca="1" si="120"/>
        <v>65</v>
      </c>
      <c r="S367" s="17">
        <f t="shared" ca="1" si="121"/>
        <v>0</v>
      </c>
      <c r="T367" s="70">
        <f t="shared" ca="1" si="122"/>
        <v>0.6</v>
      </c>
      <c r="U367" s="17">
        <f t="shared" ca="1" si="123"/>
        <v>0</v>
      </c>
      <c r="V367" s="71">
        <f t="shared" ca="1" si="124"/>
        <v>3</v>
      </c>
      <c r="W367" s="17">
        <f t="shared" ca="1" si="125"/>
        <v>0</v>
      </c>
    </row>
    <row r="368" spans="1:23" x14ac:dyDescent="0.25">
      <c r="A368" s="4">
        <f t="shared" si="105"/>
        <v>32</v>
      </c>
      <c r="B368" t="str">
        <f ca="1">TEXT(DATE(YEAR(Invoer!$A$6),1,1)+INT((ROWS(B$2:B368)-1)/4),"jjjjmmdd")</f>
        <v>19400401</v>
      </c>
      <c r="C368" s="64" t="str">
        <f>IF(MOD(ROWS(C$2:C368)-1,4)=3,"24.00",INDEX(Data,3,2+MOD(ROWS(C$2:C368)-1,4)))</f>
        <v>17.00</v>
      </c>
      <c r="D368" s="18">
        <f t="shared" ca="1" si="106"/>
        <v>758.5</v>
      </c>
      <c r="E368" s="17">
        <f t="shared" ca="1" si="107"/>
        <v>0</v>
      </c>
      <c r="F368" s="18">
        <f t="shared" ca="1" si="108"/>
        <v>25.7</v>
      </c>
      <c r="G368" s="17">
        <f t="shared" ca="1" si="109"/>
        <v>0</v>
      </c>
      <c r="H368" s="18" t="str">
        <f t="shared" ca="1" si="110"/>
        <v>—</v>
      </c>
      <c r="I368" s="17">
        <f t="shared" ca="1" si="111"/>
        <v>7</v>
      </c>
      <c r="J368" s="18" t="str">
        <f t="shared" ca="1" si="112"/>
        <v>—</v>
      </c>
      <c r="K368" s="17">
        <f t="shared" ca="1" si="113"/>
        <v>7</v>
      </c>
      <c r="L368" s="10">
        <f t="shared" ca="1" si="114"/>
        <v>82</v>
      </c>
      <c r="M368" s="17">
        <f t="shared" ca="1" si="115"/>
        <v>0</v>
      </c>
      <c r="N368" s="18">
        <f t="shared" ca="1" si="116"/>
        <v>20.399999999999999</v>
      </c>
      <c r="O368" s="17">
        <f t="shared" ca="1" si="117"/>
        <v>0</v>
      </c>
      <c r="P368" s="18">
        <f t="shared" ca="1" si="118"/>
        <v>23.4</v>
      </c>
      <c r="Q368" s="17">
        <f t="shared" ca="1" si="119"/>
        <v>0</v>
      </c>
      <c r="R368" s="10">
        <f t="shared" ca="1" si="120"/>
        <v>65</v>
      </c>
      <c r="S368" s="17">
        <f t="shared" ca="1" si="121"/>
        <v>0</v>
      </c>
      <c r="T368" s="70">
        <f t="shared" ca="1" si="122"/>
        <v>0.6</v>
      </c>
      <c r="U368" s="17">
        <f t="shared" ca="1" si="123"/>
        <v>0</v>
      </c>
      <c r="V368" s="71">
        <f t="shared" ca="1" si="124"/>
        <v>2</v>
      </c>
      <c r="W368" s="17">
        <f t="shared" ca="1" si="125"/>
        <v>0</v>
      </c>
    </row>
    <row r="369" spans="1:23" x14ac:dyDescent="0.25">
      <c r="A369" s="4">
        <f t="shared" si="105"/>
        <v>32</v>
      </c>
      <c r="B369" t="str">
        <f ca="1">TEXT(DATE(YEAR(Invoer!$A$6),1,1)+INT((ROWS(B$2:B369)-1)/4),"jjjjmmdd")</f>
        <v>19400401</v>
      </c>
      <c r="C369" s="64" t="str">
        <f>IF(MOD(ROWS(C$2:C369)-1,4)=3,"24.00",INDEX(Data,3,2+MOD(ROWS(C$2:C369)-1,4)))</f>
        <v>24.00</v>
      </c>
      <c r="D369" s="18" t="str">
        <f t="shared" ca="1" si="106"/>
        <v>—</v>
      </c>
      <c r="E369" s="17">
        <f t="shared" ca="1" si="107"/>
        <v>7</v>
      </c>
      <c r="F369" s="18" t="str">
        <f t="shared" ca="1" si="108"/>
        <v>—</v>
      </c>
      <c r="G369" s="17">
        <f t="shared" ca="1" si="109"/>
        <v>7</v>
      </c>
      <c r="H369" s="18">
        <f t="shared" ca="1" si="110"/>
        <v>27</v>
      </c>
      <c r="I369" s="17">
        <f t="shared" ca="1" si="111"/>
        <v>0</v>
      </c>
      <c r="J369" s="18">
        <f t="shared" ca="1" si="112"/>
        <v>28.5</v>
      </c>
      <c r="K369" s="17">
        <f t="shared" ca="1" si="113"/>
        <v>0</v>
      </c>
      <c r="L369" s="10" t="str">
        <f t="shared" ca="1" si="114"/>
        <v>—</v>
      </c>
      <c r="M369" s="17">
        <f t="shared" ca="1" si="115"/>
        <v>7</v>
      </c>
      <c r="N369" s="18" t="str">
        <f t="shared" ca="1" si="116"/>
        <v>—</v>
      </c>
      <c r="O369" s="17">
        <f t="shared" ca="1" si="117"/>
        <v>7</v>
      </c>
      <c r="P369" s="18" t="str">
        <f t="shared" ca="1" si="118"/>
        <v>—</v>
      </c>
      <c r="Q369" s="17">
        <f t="shared" ca="1" si="119"/>
        <v>7</v>
      </c>
      <c r="R369" s="10" t="str">
        <f t="shared" ca="1" si="120"/>
        <v>—</v>
      </c>
      <c r="S369" s="17">
        <f t="shared" ca="1" si="121"/>
        <v>7</v>
      </c>
      <c r="T369" s="70" t="str">
        <f t="shared" ca="1" si="122"/>
        <v>—</v>
      </c>
      <c r="U369" s="17">
        <f t="shared" ca="1" si="123"/>
        <v>7</v>
      </c>
      <c r="V369" s="71" t="str">
        <f t="shared" ca="1" si="124"/>
        <v>—</v>
      </c>
      <c r="W369" s="17">
        <f t="shared" ca="1" si="125"/>
        <v>7</v>
      </c>
    </row>
    <row r="370" spans="1:23" x14ac:dyDescent="0.25">
      <c r="A370" s="4">
        <f t="shared" si="105"/>
        <v>32</v>
      </c>
      <c r="B370" t="str">
        <f ca="1">TEXT(DATE(YEAR(Invoer!$A$6),1,1)+INT((ROWS(B$2:B370)-1)/4),"jjjjmmdd")</f>
        <v>19400402</v>
      </c>
      <c r="C370" s="64" t="str">
        <f>IF(MOD(ROWS(C$2:C370)-1,4)=3,"24.00",INDEX(Data,3,2+MOD(ROWS(C$2:C370)-1,4)))</f>
        <v>07.00</v>
      </c>
      <c r="D370" s="18">
        <f t="shared" ca="1" si="106"/>
        <v>758.5</v>
      </c>
      <c r="E370" s="17">
        <f t="shared" ca="1" si="107"/>
        <v>0</v>
      </c>
      <c r="F370" s="18">
        <f t="shared" ca="1" si="108"/>
        <v>24.7</v>
      </c>
      <c r="G370" s="17">
        <f t="shared" ca="1" si="109"/>
        <v>0</v>
      </c>
      <c r="H370" s="18" t="str">
        <f t="shared" ca="1" si="110"/>
        <v>—</v>
      </c>
      <c r="I370" s="17">
        <f t="shared" ca="1" si="111"/>
        <v>7</v>
      </c>
      <c r="J370" s="18" t="str">
        <f t="shared" ca="1" si="112"/>
        <v>—</v>
      </c>
      <c r="K370" s="17">
        <f t="shared" ca="1" si="113"/>
        <v>7</v>
      </c>
      <c r="L370" s="10">
        <f t="shared" ca="1" si="114"/>
        <v>99</v>
      </c>
      <c r="M370" s="17">
        <f t="shared" ca="1" si="115"/>
        <v>0</v>
      </c>
      <c r="N370" s="18">
        <f t="shared" ca="1" si="116"/>
        <v>23.2</v>
      </c>
      <c r="O370" s="17">
        <f t="shared" ca="1" si="117"/>
        <v>0</v>
      </c>
      <c r="P370" s="18">
        <f t="shared" ca="1" si="118"/>
        <v>24.6</v>
      </c>
      <c r="Q370" s="17">
        <f t="shared" ca="1" si="119"/>
        <v>0</v>
      </c>
      <c r="R370" s="10">
        <f t="shared" ca="1" si="120"/>
        <v>65</v>
      </c>
      <c r="S370" s="17">
        <f t="shared" ca="1" si="121"/>
        <v>0</v>
      </c>
      <c r="T370" s="70">
        <f t="shared" ca="1" si="122"/>
        <v>0.6</v>
      </c>
      <c r="U370" s="17">
        <f t="shared" ca="1" si="123"/>
        <v>0</v>
      </c>
      <c r="V370" s="71">
        <f t="shared" ca="1" si="124"/>
        <v>1</v>
      </c>
      <c r="W370" s="17">
        <f t="shared" ca="1" si="125"/>
        <v>0</v>
      </c>
    </row>
    <row r="371" spans="1:23" x14ac:dyDescent="0.25">
      <c r="A371" s="4">
        <f t="shared" si="105"/>
        <v>32</v>
      </c>
      <c r="B371" t="str">
        <f ca="1">TEXT(DATE(YEAR(Invoer!$A$6),1,1)+INT((ROWS(B$2:B371)-1)/4),"jjjjmmdd")</f>
        <v>19400402</v>
      </c>
      <c r="C371" s="64" t="str">
        <f>IF(MOD(ROWS(C$2:C371)-1,4)=3,"24.00",INDEX(Data,3,2+MOD(ROWS(C$2:C371)-1,4)))</f>
        <v>12.00</v>
      </c>
      <c r="D371" s="18">
        <f t="shared" ca="1" si="106"/>
        <v>760</v>
      </c>
      <c r="E371" s="17">
        <f t="shared" ca="1" si="107"/>
        <v>0</v>
      </c>
      <c r="F371" s="18">
        <f t="shared" ca="1" si="108"/>
        <v>25.7</v>
      </c>
      <c r="G371" s="17">
        <f t="shared" ca="1" si="109"/>
        <v>0</v>
      </c>
      <c r="H371" s="18" t="str">
        <f t="shared" ca="1" si="110"/>
        <v>—</v>
      </c>
      <c r="I371" s="17">
        <f t="shared" ca="1" si="111"/>
        <v>7</v>
      </c>
      <c r="J371" s="18" t="str">
        <f t="shared" ca="1" si="112"/>
        <v>—</v>
      </c>
      <c r="K371" s="17">
        <f t="shared" ca="1" si="113"/>
        <v>7</v>
      </c>
      <c r="L371" s="10">
        <f t="shared" ca="1" si="114"/>
        <v>93</v>
      </c>
      <c r="M371" s="17">
        <f t="shared" ca="1" si="115"/>
        <v>0</v>
      </c>
      <c r="N371" s="18">
        <f t="shared" ca="1" si="116"/>
        <v>23</v>
      </c>
      <c r="O371" s="17">
        <f t="shared" ca="1" si="117"/>
        <v>0</v>
      </c>
      <c r="P371" s="18">
        <f t="shared" ca="1" si="118"/>
        <v>24.8</v>
      </c>
      <c r="Q371" s="17">
        <f t="shared" ca="1" si="119"/>
        <v>0</v>
      </c>
      <c r="R371" s="10">
        <f t="shared" ca="1" si="120"/>
        <v>65</v>
      </c>
      <c r="S371" s="17">
        <f t="shared" ca="1" si="121"/>
        <v>0</v>
      </c>
      <c r="T371" s="70">
        <f t="shared" ca="1" si="122"/>
        <v>0.7</v>
      </c>
      <c r="U371" s="17">
        <f t="shared" ca="1" si="123"/>
        <v>0</v>
      </c>
      <c r="V371" s="71">
        <f t="shared" ca="1" si="124"/>
        <v>2</v>
      </c>
      <c r="W371" s="17">
        <f t="shared" ca="1" si="125"/>
        <v>0</v>
      </c>
    </row>
    <row r="372" spans="1:23" x14ac:dyDescent="0.25">
      <c r="A372" s="4">
        <f t="shared" si="105"/>
        <v>32</v>
      </c>
      <c r="B372" t="str">
        <f ca="1">TEXT(DATE(YEAR(Invoer!$A$6),1,1)+INT((ROWS(B$2:B372)-1)/4),"jjjjmmdd")</f>
        <v>19400402</v>
      </c>
      <c r="C372" s="64" t="str">
        <f>IF(MOD(ROWS(C$2:C372)-1,4)=3,"24.00",INDEX(Data,3,2+MOD(ROWS(C$2:C372)-1,4)))</f>
        <v>17.00</v>
      </c>
      <c r="D372" s="18">
        <f t="shared" ca="1" si="106"/>
        <v>759.5</v>
      </c>
      <c r="E372" s="17">
        <f t="shared" ca="1" si="107"/>
        <v>0</v>
      </c>
      <c r="F372" s="18">
        <f t="shared" ca="1" si="108"/>
        <v>25.5</v>
      </c>
      <c r="G372" s="17">
        <f t="shared" ca="1" si="109"/>
        <v>0</v>
      </c>
      <c r="H372" s="18" t="str">
        <f t="shared" ca="1" si="110"/>
        <v>—</v>
      </c>
      <c r="I372" s="17">
        <f t="shared" ca="1" si="111"/>
        <v>7</v>
      </c>
      <c r="J372" s="18" t="str">
        <f t="shared" ca="1" si="112"/>
        <v>—</v>
      </c>
      <c r="K372" s="17">
        <f t="shared" ca="1" si="113"/>
        <v>7</v>
      </c>
      <c r="L372" s="10">
        <f t="shared" ca="1" si="114"/>
        <v>88</v>
      </c>
      <c r="M372" s="17">
        <f t="shared" ca="1" si="115"/>
        <v>0</v>
      </c>
      <c r="N372" s="18">
        <f t="shared" ca="1" si="116"/>
        <v>21.4</v>
      </c>
      <c r="O372" s="17">
        <f t="shared" ca="1" si="117"/>
        <v>0</v>
      </c>
      <c r="P372" s="18">
        <f t="shared" ca="1" si="118"/>
        <v>23.9</v>
      </c>
      <c r="Q372" s="17">
        <f t="shared" ca="1" si="119"/>
        <v>0</v>
      </c>
      <c r="R372" s="10">
        <f t="shared" ca="1" si="120"/>
        <v>65</v>
      </c>
      <c r="S372" s="17">
        <f t="shared" ca="1" si="121"/>
        <v>0</v>
      </c>
      <c r="T372" s="70">
        <f t="shared" ca="1" si="122"/>
        <v>0.6</v>
      </c>
      <c r="U372" s="17">
        <f t="shared" ca="1" si="123"/>
        <v>0</v>
      </c>
      <c r="V372" s="71">
        <f t="shared" ca="1" si="124"/>
        <v>2</v>
      </c>
      <c r="W372" s="17">
        <f t="shared" ca="1" si="125"/>
        <v>0</v>
      </c>
    </row>
    <row r="373" spans="1:23" x14ac:dyDescent="0.25">
      <c r="A373" s="4">
        <f t="shared" si="105"/>
        <v>32</v>
      </c>
      <c r="B373" t="str">
        <f ca="1">TEXT(DATE(YEAR(Invoer!$A$6),1,1)+INT((ROWS(B$2:B373)-1)/4),"jjjjmmdd")</f>
        <v>19400402</v>
      </c>
      <c r="C373" s="64" t="str">
        <f>IF(MOD(ROWS(C$2:C373)-1,4)=3,"24.00",INDEX(Data,3,2+MOD(ROWS(C$2:C373)-1,4)))</f>
        <v>24.00</v>
      </c>
      <c r="D373" s="18" t="str">
        <f t="shared" ca="1" si="106"/>
        <v>—</v>
      </c>
      <c r="E373" s="17">
        <f t="shared" ca="1" si="107"/>
        <v>7</v>
      </c>
      <c r="F373" s="18" t="str">
        <f t="shared" ca="1" si="108"/>
        <v>—</v>
      </c>
      <c r="G373" s="17">
        <f t="shared" ca="1" si="109"/>
        <v>7</v>
      </c>
      <c r="H373" s="18">
        <f t="shared" ca="1" si="110"/>
        <v>26</v>
      </c>
      <c r="I373" s="17">
        <f t="shared" ca="1" si="111"/>
        <v>0</v>
      </c>
      <c r="J373" s="18">
        <f t="shared" ca="1" si="112"/>
        <v>29.5</v>
      </c>
      <c r="K373" s="17">
        <f t="shared" ca="1" si="113"/>
        <v>0</v>
      </c>
      <c r="L373" s="10" t="str">
        <f t="shared" ca="1" si="114"/>
        <v>—</v>
      </c>
      <c r="M373" s="17">
        <f t="shared" ca="1" si="115"/>
        <v>7</v>
      </c>
      <c r="N373" s="18" t="str">
        <f t="shared" ca="1" si="116"/>
        <v>—</v>
      </c>
      <c r="O373" s="17">
        <f t="shared" ca="1" si="117"/>
        <v>7</v>
      </c>
      <c r="P373" s="18" t="str">
        <f t="shared" ca="1" si="118"/>
        <v>—</v>
      </c>
      <c r="Q373" s="17">
        <f t="shared" ca="1" si="119"/>
        <v>7</v>
      </c>
      <c r="R373" s="10" t="str">
        <f t="shared" ca="1" si="120"/>
        <v>—</v>
      </c>
      <c r="S373" s="17">
        <f t="shared" ca="1" si="121"/>
        <v>7</v>
      </c>
      <c r="T373" s="70" t="str">
        <f t="shared" ca="1" si="122"/>
        <v>—</v>
      </c>
      <c r="U373" s="17">
        <f t="shared" ca="1" si="123"/>
        <v>7</v>
      </c>
      <c r="V373" s="71" t="str">
        <f t="shared" ca="1" si="124"/>
        <v>—</v>
      </c>
      <c r="W373" s="17">
        <f t="shared" ca="1" si="125"/>
        <v>7</v>
      </c>
    </row>
    <row r="374" spans="1:23" x14ac:dyDescent="0.25">
      <c r="A374" s="4">
        <f t="shared" si="105"/>
        <v>32</v>
      </c>
      <c r="B374" t="str">
        <f ca="1">TEXT(DATE(YEAR(Invoer!$A$6),1,1)+INT((ROWS(B$2:B374)-1)/4),"jjjjmmdd")</f>
        <v>19400403</v>
      </c>
      <c r="C374" s="64" t="str">
        <f>IF(MOD(ROWS(C$2:C374)-1,4)=3,"24.00",INDEX(Data,3,2+MOD(ROWS(C$2:C374)-1,4)))</f>
        <v>07.00</v>
      </c>
      <c r="D374" s="18">
        <f t="shared" ca="1" si="106"/>
        <v>758.5</v>
      </c>
      <c r="E374" s="17">
        <f t="shared" ca="1" si="107"/>
        <v>0</v>
      </c>
      <c r="F374" s="18">
        <f t="shared" ca="1" si="108"/>
        <v>28.1</v>
      </c>
      <c r="G374" s="17">
        <f t="shared" ca="1" si="109"/>
        <v>0</v>
      </c>
      <c r="H374" s="18" t="str">
        <f t="shared" ca="1" si="110"/>
        <v>—</v>
      </c>
      <c r="I374" s="17">
        <f t="shared" ca="1" si="111"/>
        <v>7</v>
      </c>
      <c r="J374" s="18" t="str">
        <f t="shared" ca="1" si="112"/>
        <v>—</v>
      </c>
      <c r="K374" s="17">
        <f t="shared" ca="1" si="113"/>
        <v>7</v>
      </c>
      <c r="L374" s="10">
        <f t="shared" ca="1" si="114"/>
        <v>76</v>
      </c>
      <c r="M374" s="17">
        <f t="shared" ca="1" si="115"/>
        <v>0</v>
      </c>
      <c r="N374" s="18">
        <f t="shared" ca="1" si="116"/>
        <v>21.8</v>
      </c>
      <c r="O374" s="17">
        <f t="shared" ca="1" si="117"/>
        <v>0</v>
      </c>
      <c r="P374" s="18">
        <f t="shared" ca="1" si="118"/>
        <v>24.8</v>
      </c>
      <c r="Q374" s="17">
        <f t="shared" ca="1" si="119"/>
        <v>0</v>
      </c>
      <c r="R374" s="10">
        <f t="shared" ca="1" si="120"/>
        <v>45</v>
      </c>
      <c r="S374" s="17">
        <f t="shared" ca="1" si="121"/>
        <v>0</v>
      </c>
      <c r="T374" s="70">
        <f t="shared" ca="1" si="122"/>
        <v>0.5</v>
      </c>
      <c r="U374" s="17">
        <f t="shared" ca="1" si="123"/>
        <v>0</v>
      </c>
      <c r="V374" s="71">
        <f t="shared" ca="1" si="124"/>
        <v>3</v>
      </c>
      <c r="W374" s="17">
        <f t="shared" ca="1" si="125"/>
        <v>0</v>
      </c>
    </row>
    <row r="375" spans="1:23" x14ac:dyDescent="0.25">
      <c r="A375" s="4">
        <f t="shared" si="105"/>
        <v>32</v>
      </c>
      <c r="B375" t="str">
        <f ca="1">TEXT(DATE(YEAR(Invoer!$A$6),1,1)+INT((ROWS(B$2:B375)-1)/4),"jjjjmmdd")</f>
        <v>19400403</v>
      </c>
      <c r="C375" s="64" t="str">
        <f>IF(MOD(ROWS(C$2:C375)-1,4)=3,"24.00",INDEX(Data,3,2+MOD(ROWS(C$2:C375)-1,4)))</f>
        <v>12.00</v>
      </c>
      <c r="D375" s="18">
        <f t="shared" ca="1" si="106"/>
        <v>758.2</v>
      </c>
      <c r="E375" s="17">
        <f t="shared" ca="1" si="107"/>
        <v>0</v>
      </c>
      <c r="F375" s="18">
        <f t="shared" ca="1" si="108"/>
        <v>28.5</v>
      </c>
      <c r="G375" s="17">
        <f t="shared" ca="1" si="109"/>
        <v>0</v>
      </c>
      <c r="H375" s="18" t="str">
        <f t="shared" ca="1" si="110"/>
        <v>—</v>
      </c>
      <c r="I375" s="17">
        <f t="shared" ca="1" si="111"/>
        <v>7</v>
      </c>
      <c r="J375" s="18" t="str">
        <f t="shared" ca="1" si="112"/>
        <v>—</v>
      </c>
      <c r="K375" s="17">
        <f t="shared" ca="1" si="113"/>
        <v>7</v>
      </c>
      <c r="L375" s="10">
        <f t="shared" ca="1" si="114"/>
        <v>76</v>
      </c>
      <c r="M375" s="17">
        <f t="shared" ca="1" si="115"/>
        <v>0</v>
      </c>
      <c r="N375" s="18">
        <f t="shared" ca="1" si="116"/>
        <v>22.2</v>
      </c>
      <c r="O375" s="17">
        <f t="shared" ca="1" si="117"/>
        <v>0</v>
      </c>
      <c r="P375" s="18">
        <f t="shared" ca="1" si="118"/>
        <v>25.1</v>
      </c>
      <c r="Q375" s="17">
        <f t="shared" ca="1" si="119"/>
        <v>0</v>
      </c>
      <c r="R375" s="10">
        <f t="shared" ca="1" si="120"/>
        <v>45</v>
      </c>
      <c r="S375" s="17">
        <f t="shared" ca="1" si="121"/>
        <v>0</v>
      </c>
      <c r="T375" s="70">
        <f t="shared" ca="1" si="122"/>
        <v>0.7</v>
      </c>
      <c r="U375" s="17">
        <f t="shared" ca="1" si="123"/>
        <v>0</v>
      </c>
      <c r="V375" s="71">
        <f t="shared" ca="1" si="124"/>
        <v>2</v>
      </c>
      <c r="W375" s="17">
        <f t="shared" ca="1" si="125"/>
        <v>0</v>
      </c>
    </row>
    <row r="376" spans="1:23" x14ac:dyDescent="0.25">
      <c r="A376" s="4">
        <f t="shared" si="105"/>
        <v>32</v>
      </c>
      <c r="B376" t="str">
        <f ca="1">TEXT(DATE(YEAR(Invoer!$A$6),1,1)+INT((ROWS(B$2:B376)-1)/4),"jjjjmmdd")</f>
        <v>19400403</v>
      </c>
      <c r="C376" s="64" t="str">
        <f>IF(MOD(ROWS(C$2:C376)-1,4)=3,"24.00",INDEX(Data,3,2+MOD(ROWS(C$2:C376)-1,4)))</f>
        <v>17.00</v>
      </c>
      <c r="D376" s="18">
        <f t="shared" ca="1" si="106"/>
        <v>758.7</v>
      </c>
      <c r="E376" s="17">
        <f t="shared" ca="1" si="107"/>
        <v>0</v>
      </c>
      <c r="F376" s="18">
        <f t="shared" ca="1" si="108"/>
        <v>28.1</v>
      </c>
      <c r="G376" s="17">
        <f t="shared" ca="1" si="109"/>
        <v>0</v>
      </c>
      <c r="H376" s="18" t="str">
        <f t="shared" ca="1" si="110"/>
        <v>—</v>
      </c>
      <c r="I376" s="17">
        <f t="shared" ca="1" si="111"/>
        <v>7</v>
      </c>
      <c r="J376" s="18" t="str">
        <f t="shared" ca="1" si="112"/>
        <v>—</v>
      </c>
      <c r="K376" s="17">
        <f t="shared" ca="1" si="113"/>
        <v>7</v>
      </c>
      <c r="L376" s="10">
        <f t="shared" ca="1" si="114"/>
        <v>76</v>
      </c>
      <c r="M376" s="17">
        <f t="shared" ca="1" si="115"/>
        <v>0</v>
      </c>
      <c r="N376" s="18">
        <f t="shared" ca="1" si="116"/>
        <v>21.8</v>
      </c>
      <c r="O376" s="17">
        <f t="shared" ca="1" si="117"/>
        <v>0</v>
      </c>
      <c r="P376" s="18">
        <f t="shared" ca="1" si="118"/>
        <v>24.8</v>
      </c>
      <c r="Q376" s="17">
        <f t="shared" ca="1" si="119"/>
        <v>0</v>
      </c>
      <c r="R376" s="10">
        <f t="shared" ca="1" si="120"/>
        <v>45</v>
      </c>
      <c r="S376" s="17">
        <f t="shared" ca="1" si="121"/>
        <v>0</v>
      </c>
      <c r="T376" s="70">
        <f t="shared" ca="1" si="122"/>
        <v>0.6</v>
      </c>
      <c r="U376" s="17">
        <f t="shared" ca="1" si="123"/>
        <v>0</v>
      </c>
      <c r="V376" s="71">
        <f t="shared" ca="1" si="124"/>
        <v>2</v>
      </c>
      <c r="W376" s="17">
        <f t="shared" ca="1" si="125"/>
        <v>0</v>
      </c>
    </row>
    <row r="377" spans="1:23" x14ac:dyDescent="0.25">
      <c r="A377" s="4">
        <f t="shared" si="105"/>
        <v>32</v>
      </c>
      <c r="B377" t="str">
        <f ca="1">TEXT(DATE(YEAR(Invoer!$A$6),1,1)+INT((ROWS(B$2:B377)-1)/4),"jjjjmmdd")</f>
        <v>19400403</v>
      </c>
      <c r="C377" s="64" t="str">
        <f>IF(MOD(ROWS(C$2:C377)-1,4)=3,"24.00",INDEX(Data,3,2+MOD(ROWS(C$2:C377)-1,4)))</f>
        <v>24.00</v>
      </c>
      <c r="D377" s="18" t="str">
        <f t="shared" ca="1" si="106"/>
        <v>—</v>
      </c>
      <c r="E377" s="17">
        <f t="shared" ca="1" si="107"/>
        <v>7</v>
      </c>
      <c r="F377" s="18" t="str">
        <f t="shared" ca="1" si="108"/>
        <v>—</v>
      </c>
      <c r="G377" s="17">
        <f t="shared" ca="1" si="109"/>
        <v>7</v>
      </c>
      <c r="H377" s="18">
        <f t="shared" ca="1" si="110"/>
        <v>28.2</v>
      </c>
      <c r="I377" s="17">
        <f t="shared" ca="1" si="111"/>
        <v>0</v>
      </c>
      <c r="J377" s="18">
        <f t="shared" ca="1" si="112"/>
        <v>30.4</v>
      </c>
      <c r="K377" s="17">
        <f t="shared" ca="1" si="113"/>
        <v>0</v>
      </c>
      <c r="L377" s="10" t="str">
        <f t="shared" ca="1" si="114"/>
        <v>—</v>
      </c>
      <c r="M377" s="17">
        <f t="shared" ca="1" si="115"/>
        <v>7</v>
      </c>
      <c r="N377" s="18" t="str">
        <f t="shared" ca="1" si="116"/>
        <v>—</v>
      </c>
      <c r="O377" s="17">
        <f t="shared" ca="1" si="117"/>
        <v>7</v>
      </c>
      <c r="P377" s="18" t="str">
        <f t="shared" ca="1" si="118"/>
        <v>—</v>
      </c>
      <c r="Q377" s="17">
        <f t="shared" ca="1" si="119"/>
        <v>7</v>
      </c>
      <c r="R377" s="10" t="str">
        <f t="shared" ca="1" si="120"/>
        <v>—</v>
      </c>
      <c r="S377" s="17">
        <f t="shared" ca="1" si="121"/>
        <v>7</v>
      </c>
      <c r="T377" s="70" t="str">
        <f t="shared" ca="1" si="122"/>
        <v>—</v>
      </c>
      <c r="U377" s="17">
        <f t="shared" ca="1" si="123"/>
        <v>7</v>
      </c>
      <c r="V377" s="71" t="str">
        <f t="shared" ca="1" si="124"/>
        <v>—</v>
      </c>
      <c r="W377" s="17">
        <f t="shared" ca="1" si="125"/>
        <v>7</v>
      </c>
    </row>
    <row r="378" spans="1:23" x14ac:dyDescent="0.25">
      <c r="A378" s="4">
        <f t="shared" si="105"/>
        <v>32</v>
      </c>
      <c r="B378" t="str">
        <f ca="1">TEXT(DATE(YEAR(Invoer!$A$6),1,1)+INT((ROWS(B$2:B378)-1)/4),"jjjjmmdd")</f>
        <v>19400404</v>
      </c>
      <c r="C378" s="64" t="str">
        <f>IF(MOD(ROWS(C$2:C378)-1,4)=3,"24.00",INDEX(Data,3,2+MOD(ROWS(C$2:C378)-1,4)))</f>
        <v>07.00</v>
      </c>
      <c r="D378" s="18">
        <f t="shared" ca="1" si="106"/>
        <v>759.5</v>
      </c>
      <c r="E378" s="17">
        <f t="shared" ca="1" si="107"/>
        <v>0</v>
      </c>
      <c r="F378" s="18">
        <f t="shared" ca="1" si="108"/>
        <v>27.5</v>
      </c>
      <c r="G378" s="17">
        <f t="shared" ca="1" si="109"/>
        <v>0</v>
      </c>
      <c r="H378" s="18" t="str">
        <f t="shared" ca="1" si="110"/>
        <v>—</v>
      </c>
      <c r="I378" s="17">
        <f t="shared" ca="1" si="111"/>
        <v>7</v>
      </c>
      <c r="J378" s="18" t="str">
        <f t="shared" ca="1" si="112"/>
        <v>—</v>
      </c>
      <c r="K378" s="17">
        <f t="shared" ca="1" si="113"/>
        <v>7</v>
      </c>
      <c r="L378" s="10">
        <f t="shared" ca="1" si="114"/>
        <v>75</v>
      </c>
      <c r="M378" s="17">
        <f t="shared" ca="1" si="115"/>
        <v>0</v>
      </c>
      <c r="N378" s="18">
        <f t="shared" ca="1" si="116"/>
        <v>20.6</v>
      </c>
      <c r="O378" s="17">
        <f t="shared" ca="1" si="117"/>
        <v>0</v>
      </c>
      <c r="P378" s="18">
        <f t="shared" ca="1" si="118"/>
        <v>24</v>
      </c>
      <c r="Q378" s="17">
        <f t="shared" ca="1" si="119"/>
        <v>0</v>
      </c>
      <c r="R378" s="10">
        <f t="shared" ca="1" si="120"/>
        <v>45</v>
      </c>
      <c r="S378" s="17">
        <f t="shared" ca="1" si="121"/>
        <v>0</v>
      </c>
      <c r="T378" s="70">
        <f t="shared" ca="1" si="122"/>
        <v>0.5</v>
      </c>
      <c r="U378" s="17">
        <f t="shared" ca="1" si="123"/>
        <v>0</v>
      </c>
      <c r="V378" s="71">
        <f t="shared" ca="1" si="124"/>
        <v>2</v>
      </c>
      <c r="W378" s="17">
        <f t="shared" ca="1" si="125"/>
        <v>0</v>
      </c>
    </row>
    <row r="379" spans="1:23" x14ac:dyDescent="0.25">
      <c r="A379" s="4">
        <f t="shared" si="105"/>
        <v>32</v>
      </c>
      <c r="B379" t="str">
        <f ca="1">TEXT(DATE(YEAR(Invoer!$A$6),1,1)+INT((ROWS(B$2:B379)-1)/4),"jjjjmmdd")</f>
        <v>19400404</v>
      </c>
      <c r="C379" s="64" t="str">
        <f>IF(MOD(ROWS(C$2:C379)-1,4)=3,"24.00",INDEX(Data,3,2+MOD(ROWS(C$2:C379)-1,4)))</f>
        <v>12.00</v>
      </c>
      <c r="D379" s="18">
        <f t="shared" ca="1" si="106"/>
        <v>760.5</v>
      </c>
      <c r="E379" s="17">
        <f t="shared" ca="1" si="107"/>
        <v>0</v>
      </c>
      <c r="F379" s="18">
        <f t="shared" ca="1" si="108"/>
        <v>29.5</v>
      </c>
      <c r="G379" s="17">
        <f t="shared" ca="1" si="109"/>
        <v>0</v>
      </c>
      <c r="H379" s="18" t="str">
        <f t="shared" ca="1" si="110"/>
        <v>—</v>
      </c>
      <c r="I379" s="17">
        <f t="shared" ca="1" si="111"/>
        <v>7</v>
      </c>
      <c r="J379" s="18" t="str">
        <f t="shared" ca="1" si="112"/>
        <v>—</v>
      </c>
      <c r="K379" s="17">
        <f t="shared" ca="1" si="113"/>
        <v>7</v>
      </c>
      <c r="L379" s="10">
        <f t="shared" ca="1" si="114"/>
        <v>68</v>
      </c>
      <c r="M379" s="17">
        <f t="shared" ca="1" si="115"/>
        <v>0</v>
      </c>
      <c r="N379" s="18">
        <f t="shared" ca="1" si="116"/>
        <v>21.1</v>
      </c>
      <c r="O379" s="17">
        <f t="shared" ca="1" si="117"/>
        <v>0</v>
      </c>
      <c r="P379" s="18">
        <f t="shared" ca="1" si="118"/>
        <v>24.8</v>
      </c>
      <c r="Q379" s="17">
        <f t="shared" ca="1" si="119"/>
        <v>0</v>
      </c>
      <c r="R379" s="10">
        <f t="shared" ca="1" si="120"/>
        <v>45</v>
      </c>
      <c r="S379" s="17">
        <f t="shared" ca="1" si="121"/>
        <v>0</v>
      </c>
      <c r="T379" s="70">
        <f t="shared" ca="1" si="122"/>
        <v>0.7</v>
      </c>
      <c r="U379" s="17">
        <f t="shared" ca="1" si="123"/>
        <v>0</v>
      </c>
      <c r="V379" s="71">
        <f t="shared" ca="1" si="124"/>
        <v>3</v>
      </c>
      <c r="W379" s="17">
        <f t="shared" ca="1" si="125"/>
        <v>0</v>
      </c>
    </row>
    <row r="380" spans="1:23" x14ac:dyDescent="0.25">
      <c r="A380" s="4">
        <f t="shared" si="105"/>
        <v>32</v>
      </c>
      <c r="B380" t="str">
        <f ca="1">TEXT(DATE(YEAR(Invoer!$A$6),1,1)+INT((ROWS(B$2:B380)-1)/4),"jjjjmmdd")</f>
        <v>19400404</v>
      </c>
      <c r="C380" s="64" t="str">
        <f>IF(MOD(ROWS(C$2:C380)-1,4)=3,"24.00",INDEX(Data,3,2+MOD(ROWS(C$2:C380)-1,4)))</f>
        <v>17.00</v>
      </c>
      <c r="D380" s="18">
        <f t="shared" ca="1" si="106"/>
        <v>760.7</v>
      </c>
      <c r="E380" s="17">
        <f t="shared" ca="1" si="107"/>
        <v>0</v>
      </c>
      <c r="F380" s="18">
        <f t="shared" ca="1" si="108"/>
        <v>27.9</v>
      </c>
      <c r="G380" s="17">
        <f t="shared" ca="1" si="109"/>
        <v>0</v>
      </c>
      <c r="H380" s="18" t="str">
        <f t="shared" ca="1" si="110"/>
        <v>—</v>
      </c>
      <c r="I380" s="17">
        <f t="shared" ca="1" si="111"/>
        <v>7</v>
      </c>
      <c r="J380" s="18" t="str">
        <f t="shared" ca="1" si="112"/>
        <v>—</v>
      </c>
      <c r="K380" s="17">
        <f t="shared" ca="1" si="113"/>
        <v>7</v>
      </c>
      <c r="L380" s="10">
        <f t="shared" ca="1" si="114"/>
        <v>74</v>
      </c>
      <c r="M380" s="17">
        <f t="shared" ca="1" si="115"/>
        <v>0</v>
      </c>
      <c r="N380" s="18">
        <f t="shared" ca="1" si="116"/>
        <v>20.8</v>
      </c>
      <c r="O380" s="17">
        <f t="shared" ca="1" si="117"/>
        <v>0</v>
      </c>
      <c r="P380" s="18">
        <f t="shared" ca="1" si="118"/>
        <v>24.2</v>
      </c>
      <c r="Q380" s="17">
        <f t="shared" ca="1" si="119"/>
        <v>0</v>
      </c>
      <c r="R380" s="10">
        <f t="shared" ca="1" si="120"/>
        <v>45</v>
      </c>
      <c r="S380" s="17">
        <f t="shared" ca="1" si="121"/>
        <v>0</v>
      </c>
      <c r="T380" s="70">
        <f t="shared" ca="1" si="122"/>
        <v>0.7</v>
      </c>
      <c r="U380" s="17">
        <f t="shared" ca="1" si="123"/>
        <v>0</v>
      </c>
      <c r="V380" s="71">
        <f t="shared" ca="1" si="124"/>
        <v>2</v>
      </c>
      <c r="W380" s="17">
        <f t="shared" ca="1" si="125"/>
        <v>0</v>
      </c>
    </row>
    <row r="381" spans="1:23" x14ac:dyDescent="0.25">
      <c r="A381" s="4">
        <f t="shared" si="105"/>
        <v>32</v>
      </c>
      <c r="B381" t="str">
        <f ca="1">TEXT(DATE(YEAR(Invoer!$A$6),1,1)+INT((ROWS(B$2:B381)-1)/4),"jjjjmmdd")</f>
        <v>19400404</v>
      </c>
      <c r="C381" s="64" t="str">
        <f>IF(MOD(ROWS(C$2:C381)-1,4)=3,"24.00",INDEX(Data,3,2+MOD(ROWS(C$2:C381)-1,4)))</f>
        <v>24.00</v>
      </c>
      <c r="D381" s="18" t="str">
        <f t="shared" ca="1" si="106"/>
        <v>—</v>
      </c>
      <c r="E381" s="17">
        <f t="shared" ca="1" si="107"/>
        <v>7</v>
      </c>
      <c r="F381" s="18" t="str">
        <f t="shared" ca="1" si="108"/>
        <v>—</v>
      </c>
      <c r="G381" s="17">
        <f t="shared" ca="1" si="109"/>
        <v>7</v>
      </c>
      <c r="H381" s="18">
        <f t="shared" ca="1" si="110"/>
        <v>28.3</v>
      </c>
      <c r="I381" s="17">
        <f t="shared" ca="1" si="111"/>
        <v>0</v>
      </c>
      <c r="J381" s="18">
        <f t="shared" ca="1" si="112"/>
        <v>30.7</v>
      </c>
      <c r="K381" s="17">
        <f t="shared" ca="1" si="113"/>
        <v>0</v>
      </c>
      <c r="L381" s="10" t="str">
        <f t="shared" ca="1" si="114"/>
        <v>—</v>
      </c>
      <c r="M381" s="17">
        <f t="shared" ca="1" si="115"/>
        <v>7</v>
      </c>
      <c r="N381" s="18" t="str">
        <f t="shared" ca="1" si="116"/>
        <v>—</v>
      </c>
      <c r="O381" s="17">
        <f t="shared" ca="1" si="117"/>
        <v>7</v>
      </c>
      <c r="P381" s="18" t="str">
        <f t="shared" ca="1" si="118"/>
        <v>—</v>
      </c>
      <c r="Q381" s="17">
        <f t="shared" ca="1" si="119"/>
        <v>7</v>
      </c>
      <c r="R381" s="10" t="str">
        <f t="shared" ca="1" si="120"/>
        <v>—</v>
      </c>
      <c r="S381" s="17">
        <f t="shared" ca="1" si="121"/>
        <v>7</v>
      </c>
      <c r="T381" s="70" t="str">
        <f t="shared" ca="1" si="122"/>
        <v>—</v>
      </c>
      <c r="U381" s="17">
        <f t="shared" ca="1" si="123"/>
        <v>7</v>
      </c>
      <c r="V381" s="71" t="str">
        <f t="shared" ca="1" si="124"/>
        <v>—</v>
      </c>
      <c r="W381" s="17">
        <f t="shared" ca="1" si="125"/>
        <v>7</v>
      </c>
    </row>
    <row r="382" spans="1:23" x14ac:dyDescent="0.25">
      <c r="A382" s="4">
        <f t="shared" si="105"/>
        <v>32</v>
      </c>
      <c r="B382" t="str">
        <f ca="1">TEXT(DATE(YEAR(Invoer!$A$6),1,1)+INT((ROWS(B$2:B382)-1)/4),"jjjjmmdd")</f>
        <v>19400405</v>
      </c>
      <c r="C382" s="64" t="str">
        <f>IF(MOD(ROWS(C$2:C382)-1,4)=3,"24.00",INDEX(Data,3,2+MOD(ROWS(C$2:C382)-1,4)))</f>
        <v>07.00</v>
      </c>
      <c r="D382" s="18">
        <f t="shared" ca="1" si="106"/>
        <v>759.7</v>
      </c>
      <c r="E382" s="17">
        <f t="shared" ca="1" si="107"/>
        <v>0</v>
      </c>
      <c r="F382" s="18">
        <f t="shared" ca="1" si="108"/>
        <v>26.5</v>
      </c>
      <c r="G382" s="17">
        <f t="shared" ca="1" si="109"/>
        <v>0</v>
      </c>
      <c r="H382" s="18" t="str">
        <f t="shared" ca="1" si="110"/>
        <v>—</v>
      </c>
      <c r="I382" s="17">
        <f t="shared" ca="1" si="111"/>
        <v>7</v>
      </c>
      <c r="J382" s="18" t="str">
        <f t="shared" ca="1" si="112"/>
        <v>—</v>
      </c>
      <c r="K382" s="17">
        <f t="shared" ca="1" si="113"/>
        <v>7</v>
      </c>
      <c r="L382" s="10">
        <f t="shared" ca="1" si="114"/>
        <v>77</v>
      </c>
      <c r="M382" s="17">
        <f t="shared" ca="1" si="115"/>
        <v>0</v>
      </c>
      <c r="N382" s="18">
        <f t="shared" ca="1" si="116"/>
        <v>20</v>
      </c>
      <c r="O382" s="17">
        <f t="shared" ca="1" si="117"/>
        <v>0</v>
      </c>
      <c r="P382" s="18">
        <f t="shared" ca="1" si="118"/>
        <v>23.4</v>
      </c>
      <c r="Q382" s="17">
        <f t="shared" ca="1" si="119"/>
        <v>0</v>
      </c>
      <c r="R382" s="10">
        <f t="shared" ca="1" si="120"/>
        <v>65</v>
      </c>
      <c r="S382" s="17">
        <f t="shared" ca="1" si="121"/>
        <v>0</v>
      </c>
      <c r="T382" s="70">
        <f t="shared" ca="1" si="122"/>
        <v>0.6</v>
      </c>
      <c r="U382" s="17">
        <f t="shared" ca="1" si="123"/>
        <v>0</v>
      </c>
      <c r="V382" s="71">
        <f t="shared" ca="1" si="124"/>
        <v>3</v>
      </c>
      <c r="W382" s="17">
        <f t="shared" ca="1" si="125"/>
        <v>0</v>
      </c>
    </row>
    <row r="383" spans="1:23" x14ac:dyDescent="0.25">
      <c r="A383" s="4">
        <f t="shared" si="105"/>
        <v>32</v>
      </c>
      <c r="B383" t="str">
        <f ca="1">TEXT(DATE(YEAR(Invoer!$A$6),1,1)+INT((ROWS(B$2:B383)-1)/4),"jjjjmmdd")</f>
        <v>19400405</v>
      </c>
      <c r="C383" s="64" t="str">
        <f>IF(MOD(ROWS(C$2:C383)-1,4)=3,"24.00",INDEX(Data,3,2+MOD(ROWS(C$2:C383)-1,4)))</f>
        <v>12.00</v>
      </c>
      <c r="D383" s="18">
        <f t="shared" ca="1" si="106"/>
        <v>761.8</v>
      </c>
      <c r="E383" s="17">
        <f t="shared" ca="1" si="107"/>
        <v>0</v>
      </c>
      <c r="F383" s="18">
        <f t="shared" ca="1" si="108"/>
        <v>28.9</v>
      </c>
      <c r="G383" s="17">
        <f t="shared" ca="1" si="109"/>
        <v>0</v>
      </c>
      <c r="H383" s="18" t="str">
        <f t="shared" ca="1" si="110"/>
        <v>—</v>
      </c>
      <c r="I383" s="17">
        <f t="shared" ca="1" si="111"/>
        <v>7</v>
      </c>
      <c r="J383" s="18" t="str">
        <f t="shared" ca="1" si="112"/>
        <v>—</v>
      </c>
      <c r="K383" s="17">
        <f t="shared" ca="1" si="113"/>
        <v>7</v>
      </c>
      <c r="L383" s="10">
        <f t="shared" ca="1" si="114"/>
        <v>67</v>
      </c>
      <c r="M383" s="17">
        <f t="shared" ca="1" si="115"/>
        <v>0</v>
      </c>
      <c r="N383" s="18">
        <f t="shared" ca="1" si="116"/>
        <v>19.899999999999999</v>
      </c>
      <c r="O383" s="17">
        <f t="shared" ca="1" si="117"/>
        <v>0</v>
      </c>
      <c r="P383" s="18">
        <f t="shared" ca="1" si="118"/>
        <v>24</v>
      </c>
      <c r="Q383" s="17">
        <f t="shared" ca="1" si="119"/>
        <v>0</v>
      </c>
      <c r="R383" s="10">
        <f t="shared" ca="1" si="120"/>
        <v>65</v>
      </c>
      <c r="S383" s="17">
        <f t="shared" ca="1" si="121"/>
        <v>0</v>
      </c>
      <c r="T383" s="70">
        <f t="shared" ca="1" si="122"/>
        <v>0.7</v>
      </c>
      <c r="U383" s="17">
        <f t="shared" ca="1" si="123"/>
        <v>0</v>
      </c>
      <c r="V383" s="71">
        <f t="shared" ca="1" si="124"/>
        <v>2</v>
      </c>
      <c r="W383" s="17">
        <f t="shared" ca="1" si="125"/>
        <v>0</v>
      </c>
    </row>
    <row r="384" spans="1:23" x14ac:dyDescent="0.25">
      <c r="A384" s="4">
        <f t="shared" si="105"/>
        <v>32</v>
      </c>
      <c r="B384" t="str">
        <f ca="1">TEXT(DATE(YEAR(Invoer!$A$6),1,1)+INT((ROWS(B$2:B384)-1)/4),"jjjjmmdd")</f>
        <v>19400405</v>
      </c>
      <c r="C384" s="64" t="str">
        <f>IF(MOD(ROWS(C$2:C384)-1,4)=3,"24.00",INDEX(Data,3,2+MOD(ROWS(C$2:C384)-1,4)))</f>
        <v>17.00</v>
      </c>
      <c r="D384" s="18">
        <f t="shared" ca="1" si="106"/>
        <v>761.8</v>
      </c>
      <c r="E384" s="17">
        <f t="shared" ca="1" si="107"/>
        <v>0</v>
      </c>
      <c r="F384" s="18">
        <f t="shared" ca="1" si="108"/>
        <v>27.4</v>
      </c>
      <c r="G384" s="17">
        <f t="shared" ca="1" si="109"/>
        <v>0</v>
      </c>
      <c r="H384" s="18" t="str">
        <f t="shared" ca="1" si="110"/>
        <v>—</v>
      </c>
      <c r="I384" s="17">
        <f t="shared" ca="1" si="111"/>
        <v>7</v>
      </c>
      <c r="J384" s="18" t="str">
        <f t="shared" ca="1" si="112"/>
        <v>—</v>
      </c>
      <c r="K384" s="17">
        <f t="shared" ca="1" si="113"/>
        <v>7</v>
      </c>
      <c r="L384" s="10">
        <f t="shared" ca="1" si="114"/>
        <v>74</v>
      </c>
      <c r="M384" s="17">
        <f t="shared" ca="1" si="115"/>
        <v>0</v>
      </c>
      <c r="N384" s="18">
        <f t="shared" ca="1" si="116"/>
        <v>20.3</v>
      </c>
      <c r="O384" s="17">
        <f t="shared" ca="1" si="117"/>
        <v>0</v>
      </c>
      <c r="P384" s="18">
        <f t="shared" ca="1" si="118"/>
        <v>23.8</v>
      </c>
      <c r="Q384" s="17">
        <f t="shared" ca="1" si="119"/>
        <v>0</v>
      </c>
      <c r="R384" s="10">
        <f t="shared" ca="1" si="120"/>
        <v>45</v>
      </c>
      <c r="S384" s="17">
        <f t="shared" ca="1" si="121"/>
        <v>0</v>
      </c>
      <c r="T384" s="70">
        <f t="shared" ca="1" si="122"/>
        <v>0.7</v>
      </c>
      <c r="U384" s="17">
        <f t="shared" ca="1" si="123"/>
        <v>0</v>
      </c>
      <c r="V384" s="71">
        <f t="shared" ca="1" si="124"/>
        <v>2</v>
      </c>
      <c r="W384" s="17">
        <f t="shared" ca="1" si="125"/>
        <v>0</v>
      </c>
    </row>
    <row r="385" spans="1:23" x14ac:dyDescent="0.25">
      <c r="A385" s="4">
        <f t="shared" si="105"/>
        <v>32</v>
      </c>
      <c r="B385" t="str">
        <f ca="1">TEXT(DATE(YEAR(Invoer!$A$6),1,1)+INT((ROWS(B$2:B385)-1)/4),"jjjjmmdd")</f>
        <v>19400405</v>
      </c>
      <c r="C385" s="64" t="str">
        <f>IF(MOD(ROWS(C$2:C385)-1,4)=3,"24.00",INDEX(Data,3,2+MOD(ROWS(C$2:C385)-1,4)))</f>
        <v>24.00</v>
      </c>
      <c r="D385" s="18" t="str">
        <f t="shared" ca="1" si="106"/>
        <v>—</v>
      </c>
      <c r="E385" s="17">
        <f t="shared" ca="1" si="107"/>
        <v>7</v>
      </c>
      <c r="F385" s="18" t="str">
        <f t="shared" ca="1" si="108"/>
        <v>—</v>
      </c>
      <c r="G385" s="17">
        <f t="shared" ca="1" si="109"/>
        <v>7</v>
      </c>
      <c r="H385" s="18">
        <f t="shared" ca="1" si="110"/>
        <v>26.5</v>
      </c>
      <c r="I385" s="17">
        <f t="shared" ca="1" si="111"/>
        <v>0</v>
      </c>
      <c r="J385" s="18">
        <f t="shared" ca="1" si="112"/>
        <v>31</v>
      </c>
      <c r="K385" s="17">
        <f t="shared" ca="1" si="113"/>
        <v>0</v>
      </c>
      <c r="L385" s="10" t="str">
        <f t="shared" ca="1" si="114"/>
        <v>—</v>
      </c>
      <c r="M385" s="17">
        <f t="shared" ca="1" si="115"/>
        <v>7</v>
      </c>
      <c r="N385" s="18" t="str">
        <f t="shared" ca="1" si="116"/>
        <v>—</v>
      </c>
      <c r="O385" s="17">
        <f t="shared" ca="1" si="117"/>
        <v>7</v>
      </c>
      <c r="P385" s="18" t="str">
        <f t="shared" ca="1" si="118"/>
        <v>—</v>
      </c>
      <c r="Q385" s="17">
        <f t="shared" ca="1" si="119"/>
        <v>7</v>
      </c>
      <c r="R385" s="10" t="str">
        <f t="shared" ca="1" si="120"/>
        <v>—</v>
      </c>
      <c r="S385" s="17">
        <f t="shared" ca="1" si="121"/>
        <v>7</v>
      </c>
      <c r="T385" s="70" t="str">
        <f t="shared" ca="1" si="122"/>
        <v>—</v>
      </c>
      <c r="U385" s="17">
        <f t="shared" ca="1" si="123"/>
        <v>7</v>
      </c>
      <c r="V385" s="71" t="str">
        <f t="shared" ca="1" si="124"/>
        <v>—</v>
      </c>
      <c r="W385" s="17">
        <f t="shared" ca="1" si="125"/>
        <v>7</v>
      </c>
    </row>
    <row r="386" spans="1:23" x14ac:dyDescent="0.25">
      <c r="A386" s="4">
        <f t="shared" ref="A386:A449" si="126">INDEX(Stations,2,1)</f>
        <v>32</v>
      </c>
      <c r="B386" t="str">
        <f ca="1">TEXT(DATE(YEAR(Invoer!$A$6),1,1)+INT((ROWS(B$2:B386)-1)/4),"jjjjmmdd")</f>
        <v>19400406</v>
      </c>
      <c r="C386" s="64" t="str">
        <f>IF(MOD(ROWS(C$2:C386)-1,4)=3,"24.00",INDEX(Data,3,2+MOD(ROWS(C$2:C386)-1,4)))</f>
        <v>07.00</v>
      </c>
      <c r="D386" s="18">
        <f t="shared" ref="D386:D449" ca="1" si="127">IF(OR(ISBLANK(VLOOKUP(DATEVALUE(LEFT($B386,4)&amp;"-"&amp;MID($B386,5,2)&amp;"-"&amp;RIGHT($B386,2)),Data,MATCH(LEFT(VLOOKUP(D$1,Parameters,2,FALSE()),4)&amp;"*",OFFSET(Data,0,0,1),0)+MATCH($C386,OFFSET(Data,2,0,1),0)-2,FALSE())),ISTEXT(VLOOKUP(DATEVALUE(LEFT($B386,4)&amp;"-"&amp;MID($B386,5,2)&amp;"-"&amp;RIGHT($B386,2)),Data,MATCH(LEFT(VLOOKUP(D$1,Parameters,2,FALSE()),4)&amp;"*",OFFSET(Data,0,0,1),0)+MATCH($C386,OFFSET(Data,2,0,1),0)-2,FALSE())),EXACT($C386,"24.00")),"—",VLOOKUP(DATEVALUE(LEFT($B386,4)&amp;"-"&amp;MID($B386,5,2)&amp;"-"&amp;RIGHT($B386,2)),Data,MATCH(LEFT(VLOOKUP(D$1,Parameters,2,FALSE()),4)&amp;"*",OFFSET(Data,0,0,1),0)+MATCH($C386,OFFSET(Data,2,0,1),0)-2,FALSE())/10)</f>
        <v>758.5</v>
      </c>
      <c r="E386" s="17">
        <f t="shared" ref="E386:E449" ca="1" si="128">IF(OR(ISBLANK(VLOOKUP(DATEVALUE(LEFT($B386,4)&amp;"-"&amp;MID($B386,5,2)&amp;"-"&amp;RIGHT($B386,2)),Data,MATCH(LEFT(VLOOKUP(MID(E$1,2,LEN(E$1)-1),Parameters,2,FALSE()),4)&amp;"*",OFFSET(Data,0,0,1),0)+MATCH($C386,OFFSET(Data,2,0,1),0)-2,FALSE())),ISTEXT(VLOOKUP(DATEVALUE(LEFT($B386,4)&amp;"-"&amp;MID($B386,5,2)&amp;"-"&amp;RIGHT($B386,2)),Data,MATCH(LEFT(VLOOKUP(MID(E$1,2,LEN(E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Data,2,0,1),0)-2,FALSE())))</f>
        <v>0</v>
      </c>
      <c r="F386" s="18">
        <f t="shared" ref="F386:F449" ca="1" si="129">IF(OR(ISBLANK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ISTEXT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EXACT($C386,"24.00")),"—",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/10)</f>
        <v>26.3</v>
      </c>
      <c r="G386" s="17">
        <f t="shared" ref="G386:G449" ca="1" si="130">IF(OR(ISBLANK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ISTEXT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G$1,2,LEN(G$1)-1),Parameters,2,FALSE()),FIND(LOWER(MID(G$1,2,1)),VLOOKUP(MID(G$1,2,LEN(G$1)-1),Parameters,2,FALSE()),5),4)&amp;"*",OFFSET(Catalogus,0,0,1),0)+2*MATCH($C386,OFFSET(Catalogus,2,0,1),0)+MATCH(LEFT(VLOOKUP(MID(G$1,2,LEN(G$1)-1),Parameters,2,FALSE()),3)&amp;"*",OFFSET(Catalogus,2,4,1),0)-5,FALSE())))</f>
        <v>0</v>
      </c>
      <c r="H386" s="18" t="str">
        <f t="shared" ref="H386:H449" ca="1" si="131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/10)</f>
        <v>—</v>
      </c>
      <c r="I386" s="17">
        <f t="shared" ref="I386:I449" ca="1" si="132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  <c r="J386" s="18" t="str">
        <f t="shared" ref="J386:J449" ca="1" si="133">IF(OR(ISBLANK(VLOOKUP(DATEVALUE(LEFT($B386,4)&amp;"-"&amp;MID($B386,5,2)&amp;"-"&amp;RIGHT($B386,2)),Data,MATCH(LEFT(VLOOKUP(J$1,Parameters,2,FALSE()),4)&amp;"*",OFFSET(Data,1,0,1),0),FALSE())),ISTEXT(VLOOKUP(DATEVALUE(LEFT($B386,4)&amp;"-"&amp;MID($B386,5,2)&amp;"-"&amp;RIGHT($B386,2)),Data,MATCH(LEFT(VLOOKUP(J$1,Parameters,2,FALSE()),4)&amp;"*",OFFSET(Data,1,0,1),0),FALSE())),NOT(EXACT($C386,"24.00"))),"—",VLOOKUP(DATEVALUE(LEFT($B386,4)&amp;"-"&amp;MID($B386,5,2)&amp;"-"&amp;RIGHT($B386,2)),Data,MATCH(LEFT(VLOOKUP(J$1,Parameters,2,FALSE()),4)&amp;"*",OFFSET(Data,1,0,1),0),FALSE())/10)</f>
        <v>—</v>
      </c>
      <c r="K386" s="17">
        <f t="shared" ref="K386:K449" ca="1" si="134">IF(OR(ISBLANK(VLOOKUP(DATEVALUE(LEFT($B386,4)&amp;"-"&amp;MID($B386,5,2)&amp;"-"&amp;RIGHT($B386,2)),Data,MATCH(LEFT(VLOOKUP(MID(K$1,2,LEN(K$1)-1),Parameters,2,FALSE()),4)&amp;"*",OFFSET(Data,1,0,1),0),FALSE())),ISTEXT(VLOOKUP(DATEVALUE(LEFT($B386,4)&amp;"-"&amp;MID($B386,5,2)&amp;"-"&amp;RIGHT($B386,2)),Data,MATCH(LEFT(VLOOKUP(MID(K$1,2,LEN(K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K$1,2,LEN(K$1)-1),Parameters,2,FALSE()),4)&amp;"*",OFFSET(Catalogus,1,0,1),0),FALSE())))</f>
        <v>7</v>
      </c>
      <c r="L386" s="10">
        <f t="shared" ref="L386:L449" ca="1" si="135">IF(OR(ISBLANK(VLOOKUP(DATEVALUE(LEFT($B386,4)&amp;"-"&amp;MID($B386,5,2)&amp;"-"&amp;RIGHT($B386,2)),Data,MATCH(LEFT(VLOOKUP(L$1,Parameters,2,FALSE()),4)&amp;"*",OFFSET(Data,0,0,1),0)+MATCH($C386,OFFSET(Data,2,0,1),0)-2,FALSE())),ISTEXT(VLOOKUP(DATEVALUE(LEFT($B386,4)&amp;"-"&amp;MID($B386,5,2)&amp;"-"&amp;RIGHT($B386,2)),Data,MATCH(LEFT(VLOOKUP(L$1,Parameters,2,FALSE()),4)&amp;"*",OFFSET(Data,0,0,1),0)+MATCH($C386,OFFSET(Data,2,0,1),0)-2,FALSE())),EXACT($C386,"24.00")),"—",VLOOKUP(DATEVALUE(LEFT($B386,4)&amp;"-"&amp;MID($B386,5,2)&amp;"-"&amp;RIGHT($B386,2)),Data,MATCH(LEFT(VLOOKUP(L$1,Parameters,2,FALSE()),4)&amp;"*",OFFSET(Data,0,0,1),0)+MATCH($C386,OFFSET(Data,2,0,1),0)-2,FALSE()))</f>
        <v>77</v>
      </c>
      <c r="M386" s="17">
        <f t="shared" ref="M386:M449" ca="1" si="136">IF(OR(ISBLANK(VLOOKUP(DATEVALUE(LEFT($B386,4)&amp;"-"&amp;MID($B386,5,2)&amp;"-"&amp;RIGHT($B386,2)),Data,MATCH(LEFT(VLOOKUP(MID(M$1,2,LEN(M$1)-1),Parameters,2,FALSE()),4)&amp;"*",OFFSET(Data,0,0,1),0)+MATCH($C386,OFFSET(Data,2,0,1),0)-2,FALSE())),ISTEXT(VLOOKUP(DATEVALUE(LEFT($B386,4)&amp;"-"&amp;MID($B386,5,2)&amp;"-"&amp;RIGHT($B386,2)),Data,MATCH(LEFT(VLOOKUP(MID(M$1,2,LEN(M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M$1,2,LEN(M$1)-1),Parameters,2,FALSE()),4)&amp;"*",OFFSET(Catalogus,0,0,1),0)+MATCH($C386,OFFSET(Data,2,0,1),0)-2,FALSE())))</f>
        <v>0</v>
      </c>
      <c r="N386" s="18">
        <f t="shared" ref="N386:N449" ca="1" si="137">IF(OR(ISBLANK(VLOOKUP(DATEVALUE(LEFT($B386,4)&amp;"-"&amp;MID($B386,5,2)&amp;"-"&amp;RIGHT($B386,2)),Data,MATCH(LEFT(VLOOKUP(N$1,Parameters,2,FALSE()),4)&amp;"*",OFFSET(Data,0,0,1),0)+MATCH($C386,OFFSET(Data,2,0,1),0)-2,FALSE())),ISTEXT(VLOOKUP(DATEVALUE(LEFT($B386,4)&amp;"-"&amp;MID($B386,5,2)&amp;"-"&amp;RIGHT($B386,2)),Data,MATCH(LEFT(VLOOKUP(N$1,Parameters,2,FALSE()),4)&amp;"*",OFFSET(Data,0,0,1),0)+MATCH($C386,OFFSET(Data,2,0,1),0)-2,FALSE())),EXACT($C386,"24.00")),"—",VLOOKUP(DATEVALUE(LEFT($B386,4)&amp;"-"&amp;MID($B386,5,2)&amp;"-"&amp;RIGHT($B386,2)),Data,MATCH(LEFT(VLOOKUP(N$1,Parameters,2,FALSE()),4)&amp;"*",OFFSET(Data,0,0,1),0)+MATCH($C386,OFFSET(Data,2,0,1),0)-2,FALSE())/10)</f>
        <v>19.8</v>
      </c>
      <c r="O386" s="17">
        <f t="shared" ref="O386:O449" ca="1" si="138">IF(OR(ISBLANK(VLOOKUP(DATEVALUE(LEFT($B386,4)&amp;"-"&amp;MID($B386,5,2)&amp;"-"&amp;RIGHT($B386,2)),Data,MATCH(LEFT(VLOOKUP(MID(O$1,2,LEN(O$1)-1),Parameters,2,FALSE()),4)&amp;"*",OFFSET(Data,0,0,1),0)+MATCH($C386,OFFSET(Data,2,0,1),0)-2,FALSE())),ISTEXT(VLOOKUP(DATEVALUE(LEFT($B386,4)&amp;"-"&amp;MID($B386,5,2)&amp;"-"&amp;RIGHT($B386,2)),Data,MATCH(LEFT(VLOOKUP(MID(O$1,2,LEN(O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O$1,2,LEN(O$1)-1),Parameters,2,FALSE()),4)&amp;"*",OFFSET(Catalogus,0,0,1),0)+MATCH($C386,OFFSET(Data,2,0,1),0)-2,FALSE())))</f>
        <v>0</v>
      </c>
      <c r="P386" s="18">
        <f t="shared" ref="P386:P449" ca="1" si="139">IF(OR(ISBLANK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ISTEXT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EXACT($C386,"24.00")),"—",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/10)</f>
        <v>23.2</v>
      </c>
      <c r="Q386" s="17">
        <f t="shared" ref="Q386:Q449" ca="1" si="140">IF(OR(ISBLANK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ISTEXT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Q$1,2,LEN(Q$1)-1),Parameters,2,FALSE()),FIND(LOWER(MID(Q$1,2,1)),VLOOKUP(MID(Q$1,2,LEN(Q$1)-1),Parameters,2,FALSE()),5),4)&amp;"*",OFFSET(Catalogus,0,0,1),0)+2*MATCH($C386,OFFSET(Catalogus,2,0,1),0)+MATCH(LEFT(VLOOKUP(MID(Q$1,2,LEN(Q$1)-1),Parameters,2,FALSE()),3)&amp;"*",OFFSET(Catalogus,2,4,1),0)-5,FALSE())))</f>
        <v>0</v>
      </c>
      <c r="R386" s="10">
        <f t="shared" ref="R386:R449" ca="1" si="141">IF(OR(ISBLANK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),ISNA(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1,1,,1),0)),EXACT($C386,"24.00")),"—",INDEX(Windrichting,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0,1,,1),0),1))</f>
        <v>65</v>
      </c>
      <c r="S386" s="17">
        <f t="shared" ref="S386:S449" ca="1" si="142">IF(OR(ISBLANK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),ISNA(MATCH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,OFFSET(Windrichting,1,1,,1),0)),EXACT($C386,"24.00")),Lacking,IF(ISNA(MATCH(DATEVALUE(LEFT($B386,4)&amp;"-"&amp;MID($B386,5,2)&amp;"-"&amp;RIGHT($B386,2)),OFFSET(Catalogus,0,0,,1),0)),Ok,VLOOKUP(DATEVALUE(LEFT($B386,4)&amp;"-"&amp;MID($B386,5,2)&amp;"-"&amp;RIGHT($B386,2)),Catalogus,MATCH(LEFT(VLOOKUP(MID(S$1,2,LEN(S$1)-1),Parameters,2,FALSE()),4)&amp;"*",OFFSET(Catalogus,0,0,1),0)+2*MATCH($C386,OFFSET(Catalogus,2,0,1),0)+MATCH(MID(VLOOKUP(MID(S$1,2,LEN(S$1)-1),Parameters,2,FALSE()),5,LEN(VLOOKUP(MID(S$1,2,LEN(S$1)-1),Parameters,2,FALSE()))-4)&amp;"*",OFFSET(Catalogus,2,19,1),0)-5,FALSE())))</f>
        <v>0</v>
      </c>
      <c r="T386" s="70">
        <f t="shared" ref="T386:T449" ca="1" si="143">IF(OR(ISBLANK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ISTEXT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EXACT($C386,"24.00")),"—",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/10)</f>
        <v>0.6</v>
      </c>
      <c r="U386" s="17">
        <f t="shared" ref="U386:U449" ca="1" si="144">IF(OR(ISBLANK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ISTEXT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U$1,2,LEN(U$1)-1),Parameters,2,FALSE()),4)&amp;"*",OFFSET(Catalogus,0,0,1),0)+2*MATCH($C386,OFFSET(Catalogus,2,0,1),0)+MATCH(MID(VLOOKUP(MID(U$1,2,LEN(U$1)-1),Parameters,2,FALSE()),5,LEN(VLOOKUP(MID(U$1,2,LEN(U$1)-1),Parameters,2,FALSE()))-4)&amp;"*",OFFSET(Catalogus,2,19,1),0)-5,FALSE())))</f>
        <v>0</v>
      </c>
      <c r="V386" s="71">
        <f t="shared" ref="V386:V449" ca="1" si="145">IF(OR(ISBLANK(VLOOKUP(DATEVALUE(LEFT($B386,4)&amp;"-"&amp;MID($B386,5,2)&amp;"-"&amp;RIGHT($B386,2)),Data,MATCH(LEFT(VLOOKUP(V$1,Parameters,2,FALSE()),4)&amp;"*",OFFSET(Data,0,0,1),0)+MATCH($C386,OFFSET(Data,2,0,1),0)-2,FALSE())),ISTEXT(VLOOKUP(DATEVALUE(LEFT($B386,4)&amp;"-"&amp;MID($B386,5,2)&amp;"-"&amp;RIGHT($B386,2)),Data,MATCH(LEFT(VLOOKUP(V$1,Parameters,2,FALSE()),4)&amp;"*",OFFSET(Data,0,0,1),0)+MATCH($C386,OFFSET(Data,2,0,1),0)-2,FALSE())),EXACT($C386,"24.00")),"—",VLOOKUP(DATEVALUE(LEFT($B386,4)&amp;"-"&amp;MID($B386,5,2)&amp;"-"&amp;RIGHT($B386,2)),Data,MATCH(LEFT(VLOOKUP(V$1,Parameters,2,FALSE()),4)&amp;"*",OFFSET(Data,0,0,1),0)+MATCH($C386,OFFSET(Data,2,0,1),0)-2,FALSE()))</f>
        <v>2</v>
      </c>
      <c r="W386" s="17">
        <f t="shared" ref="W386:W449" ca="1" si="146">IF(OR(ISBLANK(VLOOKUP(DATEVALUE(LEFT($B386,4)&amp;"-"&amp;MID($B386,5,2)&amp;"-"&amp;RIGHT($B386,2)),Data,MATCH(LEFT(VLOOKUP(MID(W$1,2,LEN(W$1)-1),Parameters,2,FALSE()),4)&amp;"*",OFFSET(Data,0,0,1),0)+MATCH($C386,OFFSET(Data,2,0,1),0)-2,FALSE())),ISTEXT(VLOOKUP(DATEVALUE(LEFT($B386,4)&amp;"-"&amp;MID($B386,5,2)&amp;"-"&amp;RIGHT($B386,2)),Data,MATCH(LEFT(VLOOKUP(MID(W$1,2,LEN(W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W$1,2,LEN(W$1)-1),Parameters,2,FALSE()),4)&amp;"*",OFFSET(Catalogus,0,0,1),0)+MATCH($C386,OFFSET(Data,2,0,1),0)-2,FALSE())))</f>
        <v>0</v>
      </c>
    </row>
    <row r="387" spans="1:23" x14ac:dyDescent="0.25">
      <c r="A387" s="4">
        <f t="shared" si="126"/>
        <v>32</v>
      </c>
      <c r="B387" t="str">
        <f ca="1">TEXT(DATE(YEAR(Invoer!$A$6),1,1)+INT((ROWS(B$2:B387)-1)/4),"jjjjmmdd")</f>
        <v>19400406</v>
      </c>
      <c r="C387" s="64" t="str">
        <f>IF(MOD(ROWS(C$2:C387)-1,4)=3,"24.00",INDEX(Data,3,2+MOD(ROWS(C$2:C387)-1,4)))</f>
        <v>12.00</v>
      </c>
      <c r="D387" s="18">
        <f t="shared" ca="1" si="127"/>
        <v>760.5</v>
      </c>
      <c r="E387" s="17">
        <f t="shared" ca="1" si="128"/>
        <v>0</v>
      </c>
      <c r="F387" s="18">
        <f t="shared" ca="1" si="129"/>
        <v>28.9</v>
      </c>
      <c r="G387" s="17">
        <f t="shared" ca="1" si="130"/>
        <v>0</v>
      </c>
      <c r="H387" s="18" t="str">
        <f t="shared" ca="1" si="131"/>
        <v>—</v>
      </c>
      <c r="I387" s="17">
        <f t="shared" ca="1" si="132"/>
        <v>7</v>
      </c>
      <c r="J387" s="18" t="str">
        <f t="shared" ca="1" si="133"/>
        <v>—</v>
      </c>
      <c r="K387" s="17">
        <f t="shared" ca="1" si="134"/>
        <v>7</v>
      </c>
      <c r="L387" s="10">
        <f t="shared" ca="1" si="135"/>
        <v>65</v>
      </c>
      <c r="M387" s="17">
        <f t="shared" ca="1" si="136"/>
        <v>0</v>
      </c>
      <c r="N387" s="18">
        <f t="shared" ca="1" si="137"/>
        <v>19.600000000000001</v>
      </c>
      <c r="O387" s="17">
        <f t="shared" ca="1" si="138"/>
        <v>0</v>
      </c>
      <c r="P387" s="18">
        <f t="shared" ca="1" si="139"/>
        <v>23.8</v>
      </c>
      <c r="Q387" s="17">
        <f t="shared" ca="1" si="140"/>
        <v>0</v>
      </c>
      <c r="R387" s="10">
        <f t="shared" ca="1" si="141"/>
        <v>65</v>
      </c>
      <c r="S387" s="17">
        <f t="shared" ca="1" si="142"/>
        <v>0</v>
      </c>
      <c r="T387" s="70">
        <f t="shared" ca="1" si="143"/>
        <v>0.7</v>
      </c>
      <c r="U387" s="17">
        <f t="shared" ca="1" si="144"/>
        <v>0</v>
      </c>
      <c r="V387" s="71">
        <f t="shared" ca="1" si="145"/>
        <v>1</v>
      </c>
      <c r="W387" s="17">
        <f t="shared" ca="1" si="146"/>
        <v>0</v>
      </c>
    </row>
    <row r="388" spans="1:23" x14ac:dyDescent="0.25">
      <c r="A388" s="4">
        <f t="shared" si="126"/>
        <v>32</v>
      </c>
      <c r="B388" t="str">
        <f ca="1">TEXT(DATE(YEAR(Invoer!$A$6),1,1)+INT((ROWS(B$2:B388)-1)/4),"jjjjmmdd")</f>
        <v>19400406</v>
      </c>
      <c r="C388" s="64" t="str">
        <f>IF(MOD(ROWS(C$2:C388)-1,4)=3,"24.00",INDEX(Data,3,2+MOD(ROWS(C$2:C388)-1,4)))</f>
        <v>17.00</v>
      </c>
      <c r="D388" s="18">
        <f t="shared" ca="1" si="127"/>
        <v>760.7</v>
      </c>
      <c r="E388" s="17">
        <f t="shared" ca="1" si="128"/>
        <v>0</v>
      </c>
      <c r="F388" s="18">
        <f t="shared" ca="1" si="129"/>
        <v>27.4</v>
      </c>
      <c r="G388" s="17">
        <f t="shared" ca="1" si="130"/>
        <v>0</v>
      </c>
      <c r="H388" s="18" t="str">
        <f t="shared" ca="1" si="131"/>
        <v>—</v>
      </c>
      <c r="I388" s="17">
        <f t="shared" ca="1" si="132"/>
        <v>7</v>
      </c>
      <c r="J388" s="18" t="str">
        <f t="shared" ca="1" si="133"/>
        <v>—</v>
      </c>
      <c r="K388" s="17">
        <f t="shared" ca="1" si="134"/>
        <v>7</v>
      </c>
      <c r="L388" s="10">
        <f t="shared" ca="1" si="135"/>
        <v>71</v>
      </c>
      <c r="M388" s="17">
        <f t="shared" ca="1" si="136"/>
        <v>0</v>
      </c>
      <c r="N388" s="18">
        <f t="shared" ca="1" si="137"/>
        <v>19.600000000000001</v>
      </c>
      <c r="O388" s="17">
        <f t="shared" ca="1" si="138"/>
        <v>0</v>
      </c>
      <c r="P388" s="18">
        <f t="shared" ca="1" si="139"/>
        <v>23.4</v>
      </c>
      <c r="Q388" s="17">
        <f t="shared" ca="1" si="140"/>
        <v>0</v>
      </c>
      <c r="R388" s="10">
        <f t="shared" ca="1" si="141"/>
        <v>65</v>
      </c>
      <c r="S388" s="17">
        <f t="shared" ca="1" si="142"/>
        <v>0</v>
      </c>
      <c r="T388" s="70">
        <f t="shared" ca="1" si="143"/>
        <v>0.7</v>
      </c>
      <c r="U388" s="17">
        <f t="shared" ca="1" si="144"/>
        <v>0</v>
      </c>
      <c r="V388" s="71">
        <f t="shared" ca="1" si="145"/>
        <v>3</v>
      </c>
      <c r="W388" s="17">
        <f t="shared" ca="1" si="146"/>
        <v>0</v>
      </c>
    </row>
    <row r="389" spans="1:23" x14ac:dyDescent="0.25">
      <c r="A389" s="4">
        <f t="shared" si="126"/>
        <v>32</v>
      </c>
      <c r="B389" t="str">
        <f ca="1">TEXT(DATE(YEAR(Invoer!$A$6),1,1)+INT((ROWS(B$2:B389)-1)/4),"jjjjmmdd")</f>
        <v>19400406</v>
      </c>
      <c r="C389" s="64" t="str">
        <f>IF(MOD(ROWS(C$2:C389)-1,4)=3,"24.00",INDEX(Data,3,2+MOD(ROWS(C$2:C389)-1,4)))</f>
        <v>24.00</v>
      </c>
      <c r="D389" s="18" t="str">
        <f t="shared" ca="1" si="127"/>
        <v>—</v>
      </c>
      <c r="E389" s="17">
        <f t="shared" ca="1" si="128"/>
        <v>7</v>
      </c>
      <c r="F389" s="18" t="str">
        <f t="shared" ca="1" si="129"/>
        <v>—</v>
      </c>
      <c r="G389" s="17">
        <f t="shared" ca="1" si="130"/>
        <v>7</v>
      </c>
      <c r="H389" s="18">
        <f t="shared" ca="1" si="131"/>
        <v>27.2</v>
      </c>
      <c r="I389" s="17">
        <f t="shared" ca="1" si="132"/>
        <v>0</v>
      </c>
      <c r="J389" s="18">
        <f t="shared" ca="1" si="133"/>
        <v>30.4</v>
      </c>
      <c r="K389" s="17">
        <f t="shared" ca="1" si="134"/>
        <v>0</v>
      </c>
      <c r="L389" s="10" t="str">
        <f t="shared" ca="1" si="135"/>
        <v>—</v>
      </c>
      <c r="M389" s="17">
        <f t="shared" ca="1" si="136"/>
        <v>7</v>
      </c>
      <c r="N389" s="18" t="str">
        <f t="shared" ca="1" si="137"/>
        <v>—</v>
      </c>
      <c r="O389" s="17">
        <f t="shared" ca="1" si="138"/>
        <v>7</v>
      </c>
      <c r="P389" s="18" t="str">
        <f t="shared" ca="1" si="139"/>
        <v>—</v>
      </c>
      <c r="Q389" s="17">
        <f t="shared" ca="1" si="140"/>
        <v>7</v>
      </c>
      <c r="R389" s="10" t="str">
        <f t="shared" ca="1" si="141"/>
        <v>—</v>
      </c>
      <c r="S389" s="17">
        <f t="shared" ca="1" si="142"/>
        <v>7</v>
      </c>
      <c r="T389" s="70" t="str">
        <f t="shared" ca="1" si="143"/>
        <v>—</v>
      </c>
      <c r="U389" s="17">
        <f t="shared" ca="1" si="144"/>
        <v>7</v>
      </c>
      <c r="V389" s="71" t="str">
        <f t="shared" ca="1" si="145"/>
        <v>—</v>
      </c>
      <c r="W389" s="17">
        <f t="shared" ca="1" si="146"/>
        <v>7</v>
      </c>
    </row>
    <row r="390" spans="1:23" x14ac:dyDescent="0.25">
      <c r="A390" s="4">
        <f t="shared" si="126"/>
        <v>32</v>
      </c>
      <c r="B390" t="str">
        <f ca="1">TEXT(DATE(YEAR(Invoer!$A$6),1,1)+INT((ROWS(B$2:B390)-1)/4),"jjjjmmdd")</f>
        <v>19400407</v>
      </c>
      <c r="C390" s="64" t="str">
        <f>IF(MOD(ROWS(C$2:C390)-1,4)=3,"24.00",INDEX(Data,3,2+MOD(ROWS(C$2:C390)-1,4)))</f>
        <v>07.00</v>
      </c>
      <c r="D390" s="18">
        <f t="shared" ca="1" si="127"/>
        <v>758.5</v>
      </c>
      <c r="E390" s="17">
        <f t="shared" ca="1" si="128"/>
        <v>0</v>
      </c>
      <c r="F390" s="18">
        <f t="shared" ca="1" si="129"/>
        <v>26.3</v>
      </c>
      <c r="G390" s="17">
        <f t="shared" ca="1" si="130"/>
        <v>0</v>
      </c>
      <c r="H390" s="18" t="str">
        <f t="shared" ca="1" si="131"/>
        <v>—</v>
      </c>
      <c r="I390" s="17">
        <f t="shared" ca="1" si="132"/>
        <v>7</v>
      </c>
      <c r="J390" s="18" t="str">
        <f t="shared" ca="1" si="133"/>
        <v>—</v>
      </c>
      <c r="K390" s="17">
        <f t="shared" ca="1" si="134"/>
        <v>7</v>
      </c>
      <c r="L390" s="10">
        <f t="shared" ca="1" si="135"/>
        <v>77</v>
      </c>
      <c r="M390" s="17">
        <f t="shared" ca="1" si="136"/>
        <v>0</v>
      </c>
      <c r="N390" s="18">
        <f t="shared" ca="1" si="137"/>
        <v>19.8</v>
      </c>
      <c r="O390" s="17">
        <f t="shared" ca="1" si="138"/>
        <v>0</v>
      </c>
      <c r="P390" s="18">
        <f t="shared" ca="1" si="139"/>
        <v>23.2</v>
      </c>
      <c r="Q390" s="17">
        <f t="shared" ca="1" si="140"/>
        <v>0</v>
      </c>
      <c r="R390" s="10">
        <f t="shared" ca="1" si="141"/>
        <v>65</v>
      </c>
      <c r="S390" s="17">
        <f t="shared" ca="1" si="142"/>
        <v>0</v>
      </c>
      <c r="T390" s="70">
        <f t="shared" ca="1" si="143"/>
        <v>0.5</v>
      </c>
      <c r="U390" s="17">
        <f t="shared" ca="1" si="144"/>
        <v>0</v>
      </c>
      <c r="V390" s="71">
        <f t="shared" ca="1" si="145"/>
        <v>3</v>
      </c>
      <c r="W390" s="17">
        <f t="shared" ca="1" si="146"/>
        <v>0</v>
      </c>
    </row>
    <row r="391" spans="1:23" x14ac:dyDescent="0.25">
      <c r="A391" s="4">
        <f t="shared" si="126"/>
        <v>32</v>
      </c>
      <c r="B391" t="str">
        <f ca="1">TEXT(DATE(YEAR(Invoer!$A$6),1,1)+INT((ROWS(B$2:B391)-1)/4),"jjjjmmdd")</f>
        <v>19400407</v>
      </c>
      <c r="C391" s="64" t="str">
        <f>IF(MOD(ROWS(C$2:C391)-1,4)=3,"24.00",INDEX(Data,3,2+MOD(ROWS(C$2:C391)-1,4)))</f>
        <v>12.00</v>
      </c>
      <c r="D391" s="18">
        <f t="shared" ca="1" si="127"/>
        <v>761</v>
      </c>
      <c r="E391" s="17">
        <f t="shared" ca="1" si="128"/>
        <v>0</v>
      </c>
      <c r="F391" s="18">
        <f t="shared" ca="1" si="129"/>
        <v>28.7</v>
      </c>
      <c r="G391" s="17">
        <f t="shared" ca="1" si="130"/>
        <v>0</v>
      </c>
      <c r="H391" s="18" t="str">
        <f t="shared" ca="1" si="131"/>
        <v>—</v>
      </c>
      <c r="I391" s="17">
        <f t="shared" ca="1" si="132"/>
        <v>7</v>
      </c>
      <c r="J391" s="18" t="str">
        <f t="shared" ca="1" si="133"/>
        <v>—</v>
      </c>
      <c r="K391" s="17">
        <f t="shared" ca="1" si="134"/>
        <v>7</v>
      </c>
      <c r="L391" s="10">
        <f t="shared" ca="1" si="135"/>
        <v>68</v>
      </c>
      <c r="M391" s="17">
        <f t="shared" ca="1" si="136"/>
        <v>0</v>
      </c>
      <c r="N391" s="18">
        <f t="shared" ca="1" si="137"/>
        <v>20</v>
      </c>
      <c r="O391" s="17">
        <f t="shared" ca="1" si="138"/>
        <v>0</v>
      </c>
      <c r="P391" s="18">
        <f t="shared" ca="1" si="139"/>
        <v>24</v>
      </c>
      <c r="Q391" s="17">
        <f t="shared" ca="1" si="140"/>
        <v>0</v>
      </c>
      <c r="R391" s="10">
        <f t="shared" ca="1" si="141"/>
        <v>65</v>
      </c>
      <c r="S391" s="17">
        <f t="shared" ca="1" si="142"/>
        <v>0</v>
      </c>
      <c r="T391" s="70">
        <f t="shared" ca="1" si="143"/>
        <v>0.7</v>
      </c>
      <c r="U391" s="17">
        <f t="shared" ca="1" si="144"/>
        <v>0</v>
      </c>
      <c r="V391" s="71">
        <f t="shared" ca="1" si="145"/>
        <v>3</v>
      </c>
      <c r="W391" s="17">
        <f t="shared" ca="1" si="146"/>
        <v>0</v>
      </c>
    </row>
    <row r="392" spans="1:23" x14ac:dyDescent="0.25">
      <c r="A392" s="4">
        <f t="shared" si="126"/>
        <v>32</v>
      </c>
      <c r="B392" t="str">
        <f ca="1">TEXT(DATE(YEAR(Invoer!$A$6),1,1)+INT((ROWS(B$2:B392)-1)/4),"jjjjmmdd")</f>
        <v>19400407</v>
      </c>
      <c r="C392" s="64" t="str">
        <f>IF(MOD(ROWS(C$2:C392)-1,4)=3,"24.00",INDEX(Data,3,2+MOD(ROWS(C$2:C392)-1,4)))</f>
        <v>17.00</v>
      </c>
      <c r="D392" s="18">
        <f t="shared" ca="1" si="127"/>
        <v>760.7</v>
      </c>
      <c r="E392" s="17">
        <f t="shared" ca="1" si="128"/>
        <v>0</v>
      </c>
      <c r="F392" s="18">
        <f t="shared" ca="1" si="129"/>
        <v>27.4</v>
      </c>
      <c r="G392" s="17">
        <f t="shared" ca="1" si="130"/>
        <v>0</v>
      </c>
      <c r="H392" s="18" t="str">
        <f t="shared" ca="1" si="131"/>
        <v>—</v>
      </c>
      <c r="I392" s="17">
        <f t="shared" ca="1" si="132"/>
        <v>7</v>
      </c>
      <c r="J392" s="18" t="str">
        <f t="shared" ca="1" si="133"/>
        <v>—</v>
      </c>
      <c r="K392" s="17">
        <f t="shared" ca="1" si="134"/>
        <v>7</v>
      </c>
      <c r="L392" s="10">
        <f t="shared" ca="1" si="135"/>
        <v>74</v>
      </c>
      <c r="M392" s="17">
        <f t="shared" ca="1" si="136"/>
        <v>0</v>
      </c>
      <c r="N392" s="18">
        <f t="shared" ca="1" si="137"/>
        <v>20.3</v>
      </c>
      <c r="O392" s="17">
        <f t="shared" ca="1" si="138"/>
        <v>0</v>
      </c>
      <c r="P392" s="18">
        <f t="shared" ca="1" si="139"/>
        <v>23.8</v>
      </c>
      <c r="Q392" s="17">
        <f t="shared" ca="1" si="140"/>
        <v>0</v>
      </c>
      <c r="R392" s="10">
        <f t="shared" ca="1" si="141"/>
        <v>45</v>
      </c>
      <c r="S392" s="17">
        <f t="shared" ca="1" si="142"/>
        <v>0</v>
      </c>
      <c r="T392" s="70">
        <f t="shared" ca="1" si="143"/>
        <v>0.6</v>
      </c>
      <c r="U392" s="17">
        <f t="shared" ca="1" si="144"/>
        <v>0</v>
      </c>
      <c r="V392" s="71">
        <f t="shared" ca="1" si="145"/>
        <v>4</v>
      </c>
      <c r="W392" s="17">
        <f t="shared" ca="1" si="146"/>
        <v>0</v>
      </c>
    </row>
    <row r="393" spans="1:23" x14ac:dyDescent="0.25">
      <c r="A393" s="4">
        <f t="shared" si="126"/>
        <v>32</v>
      </c>
      <c r="B393" t="str">
        <f ca="1">TEXT(DATE(YEAR(Invoer!$A$6),1,1)+INT((ROWS(B$2:B393)-1)/4),"jjjjmmdd")</f>
        <v>19400407</v>
      </c>
      <c r="C393" s="64" t="str">
        <f>IF(MOD(ROWS(C$2:C393)-1,4)=3,"24.00",INDEX(Data,3,2+MOD(ROWS(C$2:C393)-1,4)))</f>
        <v>24.00</v>
      </c>
      <c r="D393" s="18" t="str">
        <f t="shared" ca="1" si="127"/>
        <v>—</v>
      </c>
      <c r="E393" s="17">
        <f t="shared" ca="1" si="128"/>
        <v>7</v>
      </c>
      <c r="F393" s="18" t="str">
        <f t="shared" ca="1" si="129"/>
        <v>—</v>
      </c>
      <c r="G393" s="17">
        <f t="shared" ca="1" si="130"/>
        <v>7</v>
      </c>
      <c r="H393" s="18">
        <f t="shared" ca="1" si="131"/>
        <v>27</v>
      </c>
      <c r="I393" s="17">
        <f t="shared" ca="1" si="132"/>
        <v>0</v>
      </c>
      <c r="J393" s="18">
        <f t="shared" ca="1" si="133"/>
        <v>30.4</v>
      </c>
      <c r="K393" s="17">
        <f t="shared" ca="1" si="134"/>
        <v>0</v>
      </c>
      <c r="L393" s="10" t="str">
        <f t="shared" ca="1" si="135"/>
        <v>—</v>
      </c>
      <c r="M393" s="17">
        <f t="shared" ca="1" si="136"/>
        <v>7</v>
      </c>
      <c r="N393" s="18" t="str">
        <f t="shared" ca="1" si="137"/>
        <v>—</v>
      </c>
      <c r="O393" s="17">
        <f t="shared" ca="1" si="138"/>
        <v>7</v>
      </c>
      <c r="P393" s="18" t="str">
        <f t="shared" ca="1" si="139"/>
        <v>—</v>
      </c>
      <c r="Q393" s="17">
        <f t="shared" ca="1" si="140"/>
        <v>7</v>
      </c>
      <c r="R393" s="10" t="str">
        <f t="shared" ca="1" si="141"/>
        <v>—</v>
      </c>
      <c r="S393" s="17">
        <f t="shared" ca="1" si="142"/>
        <v>7</v>
      </c>
      <c r="T393" s="70" t="str">
        <f t="shared" ca="1" si="143"/>
        <v>—</v>
      </c>
      <c r="U393" s="17">
        <f t="shared" ca="1" si="144"/>
        <v>7</v>
      </c>
      <c r="V393" s="71" t="str">
        <f t="shared" ca="1" si="145"/>
        <v>—</v>
      </c>
      <c r="W393" s="17">
        <f t="shared" ca="1" si="146"/>
        <v>7</v>
      </c>
    </row>
    <row r="394" spans="1:23" x14ac:dyDescent="0.25">
      <c r="A394" s="4">
        <f t="shared" si="126"/>
        <v>32</v>
      </c>
      <c r="B394" t="str">
        <f ca="1">TEXT(DATE(YEAR(Invoer!$A$6),1,1)+INT((ROWS(B$2:B394)-1)/4),"jjjjmmdd")</f>
        <v>19400408</v>
      </c>
      <c r="C394" s="64" t="str">
        <f>IF(MOD(ROWS(C$2:C394)-1,4)=3,"24.00",INDEX(Data,3,2+MOD(ROWS(C$2:C394)-1,4)))</f>
        <v>07.00</v>
      </c>
      <c r="D394" s="18">
        <f t="shared" ca="1" si="127"/>
        <v>760</v>
      </c>
      <c r="E394" s="17">
        <f t="shared" ca="1" si="128"/>
        <v>0</v>
      </c>
      <c r="F394" s="18">
        <f t="shared" ca="1" si="129"/>
        <v>26.2</v>
      </c>
      <c r="G394" s="17">
        <f t="shared" ca="1" si="130"/>
        <v>0</v>
      </c>
      <c r="H394" s="18" t="str">
        <f t="shared" ca="1" si="131"/>
        <v>—</v>
      </c>
      <c r="I394" s="17">
        <f t="shared" ca="1" si="132"/>
        <v>7</v>
      </c>
      <c r="J394" s="18" t="str">
        <f t="shared" ca="1" si="133"/>
        <v>—</v>
      </c>
      <c r="K394" s="17">
        <f t="shared" ca="1" si="134"/>
        <v>7</v>
      </c>
      <c r="L394" s="10">
        <f t="shared" ca="1" si="135"/>
        <v>80</v>
      </c>
      <c r="M394" s="17">
        <f t="shared" ca="1" si="136"/>
        <v>0</v>
      </c>
      <c r="N394" s="18">
        <f t="shared" ca="1" si="137"/>
        <v>20.5</v>
      </c>
      <c r="O394" s="17">
        <f t="shared" ca="1" si="138"/>
        <v>0</v>
      </c>
      <c r="P394" s="18">
        <f t="shared" ca="1" si="139"/>
        <v>23.6</v>
      </c>
      <c r="Q394" s="17">
        <f t="shared" ca="1" si="140"/>
        <v>0</v>
      </c>
      <c r="R394" s="10">
        <f t="shared" ca="1" si="141"/>
        <v>65</v>
      </c>
      <c r="S394" s="17">
        <f t="shared" ca="1" si="142"/>
        <v>0</v>
      </c>
      <c r="T394" s="70">
        <f t="shared" ca="1" si="143"/>
        <v>0.5</v>
      </c>
      <c r="U394" s="17">
        <f t="shared" ca="1" si="144"/>
        <v>0</v>
      </c>
      <c r="V394" s="71">
        <f t="shared" ca="1" si="145"/>
        <v>3</v>
      </c>
      <c r="W394" s="17">
        <f t="shared" ca="1" si="146"/>
        <v>0</v>
      </c>
    </row>
    <row r="395" spans="1:23" x14ac:dyDescent="0.25">
      <c r="A395" s="4">
        <f t="shared" si="126"/>
        <v>32</v>
      </c>
      <c r="B395" t="str">
        <f ca="1">TEXT(DATE(YEAR(Invoer!$A$6),1,1)+INT((ROWS(B$2:B395)-1)/4),"jjjjmmdd")</f>
        <v>19400408</v>
      </c>
      <c r="C395" s="64" t="str">
        <f>IF(MOD(ROWS(C$2:C395)-1,4)=3,"24.00",INDEX(Data,3,2+MOD(ROWS(C$2:C395)-1,4)))</f>
        <v>12.00</v>
      </c>
      <c r="D395" s="18">
        <f t="shared" ca="1" si="127"/>
        <v>759.5</v>
      </c>
      <c r="E395" s="17">
        <f t="shared" ca="1" si="128"/>
        <v>0</v>
      </c>
      <c r="F395" s="18">
        <f t="shared" ca="1" si="129"/>
        <v>28.1</v>
      </c>
      <c r="G395" s="17">
        <f t="shared" ca="1" si="130"/>
        <v>0</v>
      </c>
      <c r="H395" s="18" t="str">
        <f t="shared" ca="1" si="131"/>
        <v>—</v>
      </c>
      <c r="I395" s="17">
        <f t="shared" ca="1" si="132"/>
        <v>7</v>
      </c>
      <c r="J395" s="18" t="str">
        <f t="shared" ca="1" si="133"/>
        <v>—</v>
      </c>
      <c r="K395" s="17">
        <f t="shared" ca="1" si="134"/>
        <v>7</v>
      </c>
      <c r="L395" s="10">
        <f t="shared" ca="1" si="135"/>
        <v>70</v>
      </c>
      <c r="M395" s="17">
        <f t="shared" ca="1" si="136"/>
        <v>0</v>
      </c>
      <c r="N395" s="18">
        <f t="shared" ca="1" si="137"/>
        <v>20</v>
      </c>
      <c r="O395" s="17">
        <f t="shared" ca="1" si="138"/>
        <v>0</v>
      </c>
      <c r="P395" s="18">
        <f t="shared" ca="1" si="139"/>
        <v>23.8</v>
      </c>
      <c r="Q395" s="17">
        <f t="shared" ca="1" si="140"/>
        <v>0</v>
      </c>
      <c r="R395" s="10">
        <f t="shared" ca="1" si="141"/>
        <v>65</v>
      </c>
      <c r="S395" s="17">
        <f t="shared" ca="1" si="142"/>
        <v>0</v>
      </c>
      <c r="T395" s="70">
        <f t="shared" ca="1" si="143"/>
        <v>0.6</v>
      </c>
      <c r="U395" s="17">
        <f t="shared" ca="1" si="144"/>
        <v>0</v>
      </c>
      <c r="V395" s="71">
        <f t="shared" ca="1" si="145"/>
        <v>2</v>
      </c>
      <c r="W395" s="17">
        <f t="shared" ca="1" si="146"/>
        <v>0</v>
      </c>
    </row>
    <row r="396" spans="1:23" x14ac:dyDescent="0.25">
      <c r="A396" s="4">
        <f t="shared" si="126"/>
        <v>32</v>
      </c>
      <c r="B396" t="str">
        <f ca="1">TEXT(DATE(YEAR(Invoer!$A$6),1,1)+INT((ROWS(B$2:B396)-1)/4),"jjjjmmdd")</f>
        <v>19400408</v>
      </c>
      <c r="C396" s="64" t="str">
        <f>IF(MOD(ROWS(C$2:C396)-1,4)=3,"24.00",INDEX(Data,3,2+MOD(ROWS(C$2:C396)-1,4)))</f>
        <v>17.00</v>
      </c>
      <c r="D396" s="18">
        <f t="shared" ca="1" si="127"/>
        <v>759.2</v>
      </c>
      <c r="E396" s="17">
        <f t="shared" ca="1" si="128"/>
        <v>0</v>
      </c>
      <c r="F396" s="18">
        <f t="shared" ca="1" si="129"/>
        <v>26.9</v>
      </c>
      <c r="G396" s="17">
        <f t="shared" ca="1" si="130"/>
        <v>0</v>
      </c>
      <c r="H396" s="18" t="str">
        <f t="shared" ca="1" si="131"/>
        <v>—</v>
      </c>
      <c r="I396" s="17">
        <f t="shared" ca="1" si="132"/>
        <v>7</v>
      </c>
      <c r="J396" s="18" t="str">
        <f t="shared" ca="1" si="133"/>
        <v>—</v>
      </c>
      <c r="K396" s="17">
        <f t="shared" ca="1" si="134"/>
        <v>7</v>
      </c>
      <c r="L396" s="10">
        <f t="shared" ca="1" si="135"/>
        <v>74</v>
      </c>
      <c r="M396" s="17">
        <f t="shared" ca="1" si="136"/>
        <v>0</v>
      </c>
      <c r="N396" s="18">
        <f t="shared" ca="1" si="137"/>
        <v>19.8</v>
      </c>
      <c r="O396" s="17">
        <f t="shared" ca="1" si="138"/>
        <v>0</v>
      </c>
      <c r="P396" s="18">
        <f t="shared" ca="1" si="139"/>
        <v>23.4</v>
      </c>
      <c r="Q396" s="17">
        <f t="shared" ca="1" si="140"/>
        <v>0</v>
      </c>
      <c r="R396" s="10">
        <f t="shared" ca="1" si="141"/>
        <v>65</v>
      </c>
      <c r="S396" s="17">
        <f t="shared" ca="1" si="142"/>
        <v>0</v>
      </c>
      <c r="T396" s="70">
        <f t="shared" ca="1" si="143"/>
        <v>0.6</v>
      </c>
      <c r="U396" s="17">
        <f t="shared" ca="1" si="144"/>
        <v>0</v>
      </c>
      <c r="V396" s="71">
        <f t="shared" ca="1" si="145"/>
        <v>2</v>
      </c>
      <c r="W396" s="17">
        <f t="shared" ca="1" si="146"/>
        <v>0</v>
      </c>
    </row>
    <row r="397" spans="1:23" x14ac:dyDescent="0.25">
      <c r="A397" s="4">
        <f t="shared" si="126"/>
        <v>32</v>
      </c>
      <c r="B397" t="str">
        <f ca="1">TEXT(DATE(YEAR(Invoer!$A$6),1,1)+INT((ROWS(B$2:B397)-1)/4),"jjjjmmdd")</f>
        <v>19400408</v>
      </c>
      <c r="C397" s="64" t="str">
        <f>IF(MOD(ROWS(C$2:C397)-1,4)=3,"24.00",INDEX(Data,3,2+MOD(ROWS(C$2:C397)-1,4)))</f>
        <v>24.00</v>
      </c>
      <c r="D397" s="18" t="str">
        <f t="shared" ca="1" si="127"/>
        <v>—</v>
      </c>
      <c r="E397" s="17">
        <f t="shared" ca="1" si="128"/>
        <v>7</v>
      </c>
      <c r="F397" s="18" t="str">
        <f t="shared" ca="1" si="129"/>
        <v>—</v>
      </c>
      <c r="G397" s="17">
        <f t="shared" ca="1" si="130"/>
        <v>7</v>
      </c>
      <c r="H397" s="18">
        <f t="shared" ca="1" si="131"/>
        <v>28.1</v>
      </c>
      <c r="I397" s="17">
        <f t="shared" ca="1" si="132"/>
        <v>0</v>
      </c>
      <c r="J397" s="18">
        <f t="shared" ca="1" si="133"/>
        <v>30.5</v>
      </c>
      <c r="K397" s="17">
        <f t="shared" ca="1" si="134"/>
        <v>0</v>
      </c>
      <c r="L397" s="10" t="str">
        <f t="shared" ca="1" si="135"/>
        <v>—</v>
      </c>
      <c r="M397" s="17">
        <f t="shared" ca="1" si="136"/>
        <v>7</v>
      </c>
      <c r="N397" s="18" t="str">
        <f t="shared" ca="1" si="137"/>
        <v>—</v>
      </c>
      <c r="O397" s="17">
        <f t="shared" ca="1" si="138"/>
        <v>7</v>
      </c>
      <c r="P397" s="18" t="str">
        <f t="shared" ca="1" si="139"/>
        <v>—</v>
      </c>
      <c r="Q397" s="17">
        <f t="shared" ca="1" si="140"/>
        <v>7</v>
      </c>
      <c r="R397" s="10" t="str">
        <f t="shared" ca="1" si="141"/>
        <v>—</v>
      </c>
      <c r="S397" s="17">
        <f t="shared" ca="1" si="142"/>
        <v>7</v>
      </c>
      <c r="T397" s="70" t="str">
        <f t="shared" ca="1" si="143"/>
        <v>—</v>
      </c>
      <c r="U397" s="17">
        <f t="shared" ca="1" si="144"/>
        <v>7</v>
      </c>
      <c r="V397" s="71" t="str">
        <f t="shared" ca="1" si="145"/>
        <v>—</v>
      </c>
      <c r="W397" s="17">
        <f t="shared" ca="1" si="146"/>
        <v>7</v>
      </c>
    </row>
    <row r="398" spans="1:23" x14ac:dyDescent="0.25">
      <c r="A398" s="4">
        <f t="shared" si="126"/>
        <v>32</v>
      </c>
      <c r="B398" t="str">
        <f ca="1">TEXT(DATE(YEAR(Invoer!$A$6),1,1)+INT((ROWS(B$2:B398)-1)/4),"jjjjmmdd")</f>
        <v>19400409</v>
      </c>
      <c r="C398" s="64" t="str">
        <f>IF(MOD(ROWS(C$2:C398)-1,4)=3,"24.00",INDEX(Data,3,2+MOD(ROWS(C$2:C398)-1,4)))</f>
        <v>07.00</v>
      </c>
      <c r="D398" s="18">
        <f t="shared" ca="1" si="127"/>
        <v>758.5</v>
      </c>
      <c r="E398" s="17">
        <f t="shared" ca="1" si="128"/>
        <v>0</v>
      </c>
      <c r="F398" s="18">
        <f t="shared" ca="1" si="129"/>
        <v>26.5</v>
      </c>
      <c r="G398" s="17">
        <f t="shared" ca="1" si="130"/>
        <v>0</v>
      </c>
      <c r="H398" s="18" t="str">
        <f t="shared" ca="1" si="131"/>
        <v>—</v>
      </c>
      <c r="I398" s="17">
        <f t="shared" ca="1" si="132"/>
        <v>7</v>
      </c>
      <c r="J398" s="18" t="str">
        <f t="shared" ca="1" si="133"/>
        <v>—</v>
      </c>
      <c r="K398" s="17">
        <f t="shared" ca="1" si="134"/>
        <v>7</v>
      </c>
      <c r="L398" s="10">
        <f t="shared" ca="1" si="135"/>
        <v>76</v>
      </c>
      <c r="M398" s="17">
        <f t="shared" ca="1" si="136"/>
        <v>0</v>
      </c>
      <c r="N398" s="18">
        <f t="shared" ca="1" si="137"/>
        <v>19.7</v>
      </c>
      <c r="O398" s="17">
        <f t="shared" ca="1" si="138"/>
        <v>0</v>
      </c>
      <c r="P398" s="18">
        <f t="shared" ca="1" si="139"/>
        <v>23.2</v>
      </c>
      <c r="Q398" s="17">
        <f t="shared" ca="1" si="140"/>
        <v>0</v>
      </c>
      <c r="R398" s="10">
        <f t="shared" ca="1" si="141"/>
        <v>65</v>
      </c>
      <c r="S398" s="17">
        <f t="shared" ca="1" si="142"/>
        <v>0</v>
      </c>
      <c r="T398" s="70">
        <f t="shared" ca="1" si="143"/>
        <v>0.5</v>
      </c>
      <c r="U398" s="17">
        <f t="shared" ca="1" si="144"/>
        <v>0</v>
      </c>
      <c r="V398" s="71">
        <f t="shared" ca="1" si="145"/>
        <v>2</v>
      </c>
      <c r="W398" s="17">
        <f t="shared" ca="1" si="146"/>
        <v>0</v>
      </c>
    </row>
    <row r="399" spans="1:23" x14ac:dyDescent="0.25">
      <c r="A399" s="4">
        <f t="shared" si="126"/>
        <v>32</v>
      </c>
      <c r="B399" t="str">
        <f ca="1">TEXT(DATE(YEAR(Invoer!$A$6),1,1)+INT((ROWS(B$2:B399)-1)/4),"jjjjmmdd")</f>
        <v>19400409</v>
      </c>
      <c r="C399" s="64" t="str">
        <f>IF(MOD(ROWS(C$2:C399)-1,4)=3,"24.00",INDEX(Data,3,2+MOD(ROWS(C$2:C399)-1,4)))</f>
        <v>12.00</v>
      </c>
      <c r="D399" s="18">
        <f t="shared" ca="1" si="127"/>
        <v>760.5</v>
      </c>
      <c r="E399" s="17">
        <f t="shared" ca="1" si="128"/>
        <v>0</v>
      </c>
      <c r="F399" s="18">
        <f t="shared" ca="1" si="129"/>
        <v>27.9</v>
      </c>
      <c r="G399" s="17">
        <f t="shared" ca="1" si="130"/>
        <v>0</v>
      </c>
      <c r="H399" s="18" t="str">
        <f t="shared" ca="1" si="131"/>
        <v>—</v>
      </c>
      <c r="I399" s="17">
        <f t="shared" ca="1" si="132"/>
        <v>7</v>
      </c>
      <c r="J399" s="18" t="str">
        <f t="shared" ca="1" si="133"/>
        <v>—</v>
      </c>
      <c r="K399" s="17">
        <f t="shared" ca="1" si="134"/>
        <v>7</v>
      </c>
      <c r="L399" s="10">
        <f t="shared" ca="1" si="135"/>
        <v>71</v>
      </c>
      <c r="M399" s="17">
        <f t="shared" ca="1" si="136"/>
        <v>0</v>
      </c>
      <c r="N399" s="18">
        <f t="shared" ca="1" si="137"/>
        <v>20.100000000000001</v>
      </c>
      <c r="O399" s="17">
        <f t="shared" ca="1" si="138"/>
        <v>0</v>
      </c>
      <c r="P399" s="18">
        <f t="shared" ca="1" si="139"/>
        <v>23.8</v>
      </c>
      <c r="Q399" s="17">
        <f t="shared" ca="1" si="140"/>
        <v>0</v>
      </c>
      <c r="R399" s="10">
        <f t="shared" ca="1" si="141"/>
        <v>65</v>
      </c>
      <c r="S399" s="17">
        <f t="shared" ca="1" si="142"/>
        <v>0</v>
      </c>
      <c r="T399" s="70">
        <f t="shared" ca="1" si="143"/>
        <v>0.6</v>
      </c>
      <c r="U399" s="17">
        <f t="shared" ca="1" si="144"/>
        <v>0</v>
      </c>
      <c r="V399" s="71">
        <f t="shared" ca="1" si="145"/>
        <v>1</v>
      </c>
      <c r="W399" s="17">
        <f t="shared" ca="1" si="146"/>
        <v>0</v>
      </c>
    </row>
    <row r="400" spans="1:23" x14ac:dyDescent="0.25">
      <c r="A400" s="4">
        <f t="shared" si="126"/>
        <v>32</v>
      </c>
      <c r="B400" t="str">
        <f ca="1">TEXT(DATE(YEAR(Invoer!$A$6),1,1)+INT((ROWS(B$2:B400)-1)/4),"jjjjmmdd")</f>
        <v>19400409</v>
      </c>
      <c r="C400" s="64" t="str">
        <f>IF(MOD(ROWS(C$2:C400)-1,4)=3,"24.00",INDEX(Data,3,2+MOD(ROWS(C$2:C400)-1,4)))</f>
        <v>17.00</v>
      </c>
      <c r="D400" s="18">
        <f t="shared" ca="1" si="127"/>
        <v>758.2</v>
      </c>
      <c r="E400" s="17">
        <f t="shared" ca="1" si="128"/>
        <v>0</v>
      </c>
      <c r="F400" s="18">
        <f t="shared" ca="1" si="129"/>
        <v>26.9</v>
      </c>
      <c r="G400" s="17">
        <f t="shared" ca="1" si="130"/>
        <v>0</v>
      </c>
      <c r="H400" s="18" t="str">
        <f t="shared" ca="1" si="131"/>
        <v>—</v>
      </c>
      <c r="I400" s="17">
        <f t="shared" ca="1" si="132"/>
        <v>7</v>
      </c>
      <c r="J400" s="18" t="str">
        <f t="shared" ca="1" si="133"/>
        <v>—</v>
      </c>
      <c r="K400" s="17">
        <f t="shared" ca="1" si="134"/>
        <v>7</v>
      </c>
      <c r="L400" s="10">
        <f t="shared" ca="1" si="135"/>
        <v>73</v>
      </c>
      <c r="M400" s="17">
        <f t="shared" ca="1" si="136"/>
        <v>0</v>
      </c>
      <c r="N400" s="18">
        <f t="shared" ca="1" si="137"/>
        <v>19.5</v>
      </c>
      <c r="O400" s="17">
        <f t="shared" ca="1" si="138"/>
        <v>0</v>
      </c>
      <c r="P400" s="18">
        <f t="shared" ca="1" si="139"/>
        <v>23.2</v>
      </c>
      <c r="Q400" s="17">
        <f t="shared" ca="1" si="140"/>
        <v>0</v>
      </c>
      <c r="R400" s="10">
        <f t="shared" ca="1" si="141"/>
        <v>65</v>
      </c>
      <c r="S400" s="17">
        <f t="shared" ca="1" si="142"/>
        <v>0</v>
      </c>
      <c r="T400" s="70">
        <f t="shared" ca="1" si="143"/>
        <v>0.6</v>
      </c>
      <c r="U400" s="17">
        <f t="shared" ca="1" si="144"/>
        <v>0</v>
      </c>
      <c r="V400" s="71">
        <f t="shared" ca="1" si="145"/>
        <v>1</v>
      </c>
      <c r="W400" s="17">
        <f t="shared" ca="1" si="146"/>
        <v>0</v>
      </c>
    </row>
    <row r="401" spans="1:23" x14ac:dyDescent="0.25">
      <c r="A401" s="4">
        <f t="shared" si="126"/>
        <v>32</v>
      </c>
      <c r="B401" t="str">
        <f ca="1">TEXT(DATE(YEAR(Invoer!$A$6),1,1)+INT((ROWS(B$2:B401)-1)/4),"jjjjmmdd")</f>
        <v>19400409</v>
      </c>
      <c r="C401" s="64" t="str">
        <f>IF(MOD(ROWS(C$2:C401)-1,4)=3,"24.00",INDEX(Data,3,2+MOD(ROWS(C$2:C401)-1,4)))</f>
        <v>24.00</v>
      </c>
      <c r="D401" s="18" t="str">
        <f t="shared" ca="1" si="127"/>
        <v>—</v>
      </c>
      <c r="E401" s="17">
        <f t="shared" ca="1" si="128"/>
        <v>7</v>
      </c>
      <c r="F401" s="18" t="str">
        <f t="shared" ca="1" si="129"/>
        <v>—</v>
      </c>
      <c r="G401" s="17">
        <f t="shared" ca="1" si="130"/>
        <v>7</v>
      </c>
      <c r="H401" s="18">
        <f t="shared" ca="1" si="131"/>
        <v>27.4</v>
      </c>
      <c r="I401" s="17">
        <f t="shared" ca="1" si="132"/>
        <v>0</v>
      </c>
      <c r="J401" s="18">
        <f t="shared" ca="1" si="133"/>
        <v>30.8</v>
      </c>
      <c r="K401" s="17">
        <f t="shared" ca="1" si="134"/>
        <v>0</v>
      </c>
      <c r="L401" s="10" t="str">
        <f t="shared" ca="1" si="135"/>
        <v>—</v>
      </c>
      <c r="M401" s="17">
        <f t="shared" ca="1" si="136"/>
        <v>7</v>
      </c>
      <c r="N401" s="18" t="str">
        <f t="shared" ca="1" si="137"/>
        <v>—</v>
      </c>
      <c r="O401" s="17">
        <f t="shared" ca="1" si="138"/>
        <v>7</v>
      </c>
      <c r="P401" s="18" t="str">
        <f t="shared" ca="1" si="139"/>
        <v>—</v>
      </c>
      <c r="Q401" s="17">
        <f t="shared" ca="1" si="140"/>
        <v>7</v>
      </c>
      <c r="R401" s="10" t="str">
        <f t="shared" ca="1" si="141"/>
        <v>—</v>
      </c>
      <c r="S401" s="17">
        <f t="shared" ca="1" si="142"/>
        <v>7</v>
      </c>
      <c r="T401" s="70" t="str">
        <f t="shared" ca="1" si="143"/>
        <v>—</v>
      </c>
      <c r="U401" s="17">
        <f t="shared" ca="1" si="144"/>
        <v>7</v>
      </c>
      <c r="V401" s="71" t="str">
        <f t="shared" ca="1" si="145"/>
        <v>—</v>
      </c>
      <c r="W401" s="17">
        <f t="shared" ca="1" si="146"/>
        <v>7</v>
      </c>
    </row>
    <row r="402" spans="1:23" x14ac:dyDescent="0.25">
      <c r="A402" s="4">
        <f t="shared" si="126"/>
        <v>32</v>
      </c>
      <c r="B402" t="str">
        <f ca="1">TEXT(DATE(YEAR(Invoer!$A$6),1,1)+INT((ROWS(B$2:B402)-1)/4),"jjjjmmdd")</f>
        <v>19400410</v>
      </c>
      <c r="C402" s="64" t="str">
        <f>IF(MOD(ROWS(C$2:C402)-1,4)=3,"24.00",INDEX(Data,3,2+MOD(ROWS(C$2:C402)-1,4)))</f>
        <v>07.00</v>
      </c>
      <c r="D402" s="18">
        <f t="shared" ca="1" si="127"/>
        <v>760.2</v>
      </c>
      <c r="E402" s="17">
        <f t="shared" ca="1" si="128"/>
        <v>0</v>
      </c>
      <c r="F402" s="18">
        <f t="shared" ca="1" si="129"/>
        <v>27.7</v>
      </c>
      <c r="G402" s="17">
        <f t="shared" ca="1" si="130"/>
        <v>0</v>
      </c>
      <c r="H402" s="18" t="str">
        <f t="shared" ca="1" si="131"/>
        <v>—</v>
      </c>
      <c r="I402" s="17">
        <f t="shared" ca="1" si="132"/>
        <v>7</v>
      </c>
      <c r="J402" s="18" t="str">
        <f t="shared" ca="1" si="133"/>
        <v>—</v>
      </c>
      <c r="K402" s="17">
        <f t="shared" ca="1" si="134"/>
        <v>7</v>
      </c>
      <c r="L402" s="10">
        <f t="shared" ca="1" si="135"/>
        <v>67</v>
      </c>
      <c r="M402" s="17">
        <f t="shared" ca="1" si="136"/>
        <v>0</v>
      </c>
      <c r="N402" s="18">
        <f t="shared" ca="1" si="137"/>
        <v>18.7</v>
      </c>
      <c r="O402" s="17">
        <f t="shared" ca="1" si="138"/>
        <v>0</v>
      </c>
      <c r="P402" s="18">
        <f t="shared" ca="1" si="139"/>
        <v>23</v>
      </c>
      <c r="Q402" s="17">
        <f t="shared" ca="1" si="140"/>
        <v>0</v>
      </c>
      <c r="R402" s="10">
        <f t="shared" ca="1" si="141"/>
        <v>65</v>
      </c>
      <c r="S402" s="17">
        <f t="shared" ca="1" si="142"/>
        <v>0</v>
      </c>
      <c r="T402" s="70">
        <f t="shared" ca="1" si="143"/>
        <v>0.5</v>
      </c>
      <c r="U402" s="17">
        <f t="shared" ca="1" si="144"/>
        <v>0</v>
      </c>
      <c r="V402" s="71">
        <f t="shared" ca="1" si="145"/>
        <v>3</v>
      </c>
      <c r="W402" s="17">
        <f t="shared" ca="1" si="146"/>
        <v>0</v>
      </c>
    </row>
    <row r="403" spans="1:23" x14ac:dyDescent="0.25">
      <c r="A403" s="4">
        <f t="shared" si="126"/>
        <v>32</v>
      </c>
      <c r="B403" t="str">
        <f ca="1">TEXT(DATE(YEAR(Invoer!$A$6),1,1)+INT((ROWS(B$2:B403)-1)/4),"jjjjmmdd")</f>
        <v>19400410</v>
      </c>
      <c r="C403" s="64" t="str">
        <f>IF(MOD(ROWS(C$2:C403)-1,4)=3,"24.00",INDEX(Data,3,2+MOD(ROWS(C$2:C403)-1,4)))</f>
        <v>12.00</v>
      </c>
      <c r="D403" s="18">
        <f t="shared" ca="1" si="127"/>
        <v>758.9</v>
      </c>
      <c r="E403" s="17">
        <f t="shared" ca="1" si="128"/>
        <v>0</v>
      </c>
      <c r="F403" s="18">
        <f t="shared" ca="1" si="129"/>
        <v>27.9</v>
      </c>
      <c r="G403" s="17">
        <f t="shared" ca="1" si="130"/>
        <v>0</v>
      </c>
      <c r="H403" s="18" t="str">
        <f t="shared" ca="1" si="131"/>
        <v>—</v>
      </c>
      <c r="I403" s="17">
        <f t="shared" ca="1" si="132"/>
        <v>7</v>
      </c>
      <c r="J403" s="18" t="str">
        <f t="shared" ca="1" si="133"/>
        <v>—</v>
      </c>
      <c r="K403" s="17">
        <f t="shared" ca="1" si="134"/>
        <v>7</v>
      </c>
      <c r="L403" s="10">
        <f t="shared" ca="1" si="135"/>
        <v>68</v>
      </c>
      <c r="M403" s="17">
        <f t="shared" ca="1" si="136"/>
        <v>0</v>
      </c>
      <c r="N403" s="18">
        <f t="shared" ca="1" si="137"/>
        <v>19.3</v>
      </c>
      <c r="O403" s="17">
        <f t="shared" ca="1" si="138"/>
        <v>0</v>
      </c>
      <c r="P403" s="18">
        <f t="shared" ca="1" si="139"/>
        <v>23.4</v>
      </c>
      <c r="Q403" s="17">
        <f t="shared" ca="1" si="140"/>
        <v>0</v>
      </c>
      <c r="R403" s="10">
        <f t="shared" ca="1" si="141"/>
        <v>45</v>
      </c>
      <c r="S403" s="17">
        <f t="shared" ca="1" si="142"/>
        <v>0</v>
      </c>
      <c r="T403" s="70">
        <f t="shared" ca="1" si="143"/>
        <v>0.6</v>
      </c>
      <c r="U403" s="17">
        <f t="shared" ca="1" si="144"/>
        <v>0</v>
      </c>
      <c r="V403" s="71">
        <f t="shared" ca="1" si="145"/>
        <v>2</v>
      </c>
      <c r="W403" s="17">
        <f t="shared" ca="1" si="146"/>
        <v>0</v>
      </c>
    </row>
    <row r="404" spans="1:23" x14ac:dyDescent="0.25">
      <c r="A404" s="4">
        <f t="shared" si="126"/>
        <v>32</v>
      </c>
      <c r="B404" t="str">
        <f ca="1">TEXT(DATE(YEAR(Invoer!$A$6),1,1)+INT((ROWS(B$2:B404)-1)/4),"jjjjmmdd")</f>
        <v>19400410</v>
      </c>
      <c r="C404" s="64" t="str">
        <f>IF(MOD(ROWS(C$2:C404)-1,4)=3,"24.00",INDEX(Data,3,2+MOD(ROWS(C$2:C404)-1,4)))</f>
        <v>17.00</v>
      </c>
      <c r="D404" s="18">
        <f t="shared" ca="1" si="127"/>
        <v>758.9</v>
      </c>
      <c r="E404" s="17">
        <f t="shared" ca="1" si="128"/>
        <v>0</v>
      </c>
      <c r="F404" s="18">
        <f t="shared" ca="1" si="129"/>
        <v>27.5</v>
      </c>
      <c r="G404" s="17">
        <f t="shared" ca="1" si="130"/>
        <v>0</v>
      </c>
      <c r="H404" s="18" t="str">
        <f t="shared" ca="1" si="131"/>
        <v>—</v>
      </c>
      <c r="I404" s="17">
        <f t="shared" ca="1" si="132"/>
        <v>7</v>
      </c>
      <c r="J404" s="18" t="str">
        <f t="shared" ca="1" si="133"/>
        <v>—</v>
      </c>
      <c r="K404" s="17">
        <f t="shared" ca="1" si="134"/>
        <v>7</v>
      </c>
      <c r="L404" s="10">
        <f t="shared" ca="1" si="135"/>
        <v>71</v>
      </c>
      <c r="M404" s="17">
        <f t="shared" ca="1" si="136"/>
        <v>0</v>
      </c>
      <c r="N404" s="18">
        <f t="shared" ca="1" si="137"/>
        <v>19.5</v>
      </c>
      <c r="O404" s="17">
        <f t="shared" ca="1" si="138"/>
        <v>0</v>
      </c>
      <c r="P404" s="18">
        <f t="shared" ca="1" si="139"/>
        <v>23.4</v>
      </c>
      <c r="Q404" s="17">
        <f t="shared" ca="1" si="140"/>
        <v>0</v>
      </c>
      <c r="R404" s="10">
        <f t="shared" ca="1" si="141"/>
        <v>45</v>
      </c>
      <c r="S404" s="17">
        <f t="shared" ca="1" si="142"/>
        <v>0</v>
      </c>
      <c r="T404" s="70">
        <f t="shared" ca="1" si="143"/>
        <v>0.6</v>
      </c>
      <c r="U404" s="17">
        <f t="shared" ca="1" si="144"/>
        <v>0</v>
      </c>
      <c r="V404" s="71">
        <f t="shared" ca="1" si="145"/>
        <v>2</v>
      </c>
      <c r="W404" s="17">
        <f t="shared" ca="1" si="146"/>
        <v>0</v>
      </c>
    </row>
    <row r="405" spans="1:23" x14ac:dyDescent="0.25">
      <c r="A405" s="4">
        <f t="shared" si="126"/>
        <v>32</v>
      </c>
      <c r="B405" t="str">
        <f ca="1">TEXT(DATE(YEAR(Invoer!$A$6),1,1)+INT((ROWS(B$2:B405)-1)/4),"jjjjmmdd")</f>
        <v>19400410</v>
      </c>
      <c r="C405" s="64" t="str">
        <f>IF(MOD(ROWS(C$2:C405)-1,4)=3,"24.00",INDEX(Data,3,2+MOD(ROWS(C$2:C405)-1,4)))</f>
        <v>24.00</v>
      </c>
      <c r="D405" s="18" t="str">
        <f t="shared" ca="1" si="127"/>
        <v>—</v>
      </c>
      <c r="E405" s="17">
        <f t="shared" ca="1" si="128"/>
        <v>7</v>
      </c>
      <c r="F405" s="18" t="str">
        <f t="shared" ca="1" si="129"/>
        <v>—</v>
      </c>
      <c r="G405" s="17">
        <f t="shared" ca="1" si="130"/>
        <v>7</v>
      </c>
      <c r="H405" s="18">
        <f t="shared" ca="1" si="131"/>
        <v>27.7</v>
      </c>
      <c r="I405" s="17">
        <f t="shared" ca="1" si="132"/>
        <v>0</v>
      </c>
      <c r="J405" s="18">
        <f t="shared" ca="1" si="133"/>
        <v>30.2</v>
      </c>
      <c r="K405" s="17">
        <f t="shared" ca="1" si="134"/>
        <v>0</v>
      </c>
      <c r="L405" s="10" t="str">
        <f t="shared" ca="1" si="135"/>
        <v>—</v>
      </c>
      <c r="M405" s="17">
        <f t="shared" ca="1" si="136"/>
        <v>7</v>
      </c>
      <c r="N405" s="18" t="str">
        <f t="shared" ca="1" si="137"/>
        <v>—</v>
      </c>
      <c r="O405" s="17">
        <f t="shared" ca="1" si="138"/>
        <v>7</v>
      </c>
      <c r="P405" s="18" t="str">
        <f t="shared" ca="1" si="139"/>
        <v>—</v>
      </c>
      <c r="Q405" s="17">
        <f t="shared" ca="1" si="140"/>
        <v>7</v>
      </c>
      <c r="R405" s="10" t="str">
        <f t="shared" ca="1" si="141"/>
        <v>—</v>
      </c>
      <c r="S405" s="17">
        <f t="shared" ca="1" si="142"/>
        <v>7</v>
      </c>
      <c r="T405" s="70" t="str">
        <f t="shared" ca="1" si="143"/>
        <v>—</v>
      </c>
      <c r="U405" s="17">
        <f t="shared" ca="1" si="144"/>
        <v>7</v>
      </c>
      <c r="V405" s="71" t="str">
        <f t="shared" ca="1" si="145"/>
        <v>—</v>
      </c>
      <c r="W405" s="17">
        <f t="shared" ca="1" si="146"/>
        <v>7</v>
      </c>
    </row>
    <row r="406" spans="1:23" x14ac:dyDescent="0.25">
      <c r="A406" s="4">
        <f t="shared" si="126"/>
        <v>32</v>
      </c>
      <c r="B406" t="str">
        <f ca="1">TEXT(DATE(YEAR(Invoer!$A$6),1,1)+INT((ROWS(B$2:B406)-1)/4),"jjjjmmdd")</f>
        <v>19400411</v>
      </c>
      <c r="C406" s="64" t="str">
        <f>IF(MOD(ROWS(C$2:C406)-1,4)=3,"24.00",INDEX(Data,3,2+MOD(ROWS(C$2:C406)-1,4)))</f>
        <v>07.00</v>
      </c>
      <c r="D406" s="18">
        <f t="shared" ca="1" si="127"/>
        <v>759.5</v>
      </c>
      <c r="E406" s="17">
        <f t="shared" ca="1" si="128"/>
        <v>0</v>
      </c>
      <c r="F406" s="18">
        <f t="shared" ca="1" si="129"/>
        <v>27.5</v>
      </c>
      <c r="G406" s="17">
        <f t="shared" ca="1" si="130"/>
        <v>0</v>
      </c>
      <c r="H406" s="18" t="str">
        <f t="shared" ca="1" si="131"/>
        <v>—</v>
      </c>
      <c r="I406" s="17">
        <f t="shared" ca="1" si="132"/>
        <v>7</v>
      </c>
      <c r="J406" s="18" t="str">
        <f t="shared" ca="1" si="133"/>
        <v>—</v>
      </c>
      <c r="K406" s="17">
        <f t="shared" ca="1" si="134"/>
        <v>7</v>
      </c>
      <c r="L406" s="10">
        <f t="shared" ca="1" si="135"/>
        <v>70</v>
      </c>
      <c r="M406" s="17">
        <f t="shared" ca="1" si="136"/>
        <v>0</v>
      </c>
      <c r="N406" s="18">
        <f t="shared" ca="1" si="137"/>
        <v>19.2</v>
      </c>
      <c r="O406" s="17">
        <f t="shared" ca="1" si="138"/>
        <v>0</v>
      </c>
      <c r="P406" s="18">
        <f t="shared" ca="1" si="139"/>
        <v>23.2</v>
      </c>
      <c r="Q406" s="17">
        <f t="shared" ca="1" si="140"/>
        <v>0</v>
      </c>
      <c r="R406" s="10">
        <f t="shared" ca="1" si="141"/>
        <v>45</v>
      </c>
      <c r="S406" s="17">
        <f t="shared" ca="1" si="142"/>
        <v>0</v>
      </c>
      <c r="T406" s="70">
        <f t="shared" ca="1" si="143"/>
        <v>0.4</v>
      </c>
      <c r="U406" s="17">
        <f t="shared" ca="1" si="144"/>
        <v>0</v>
      </c>
      <c r="V406" s="71">
        <f t="shared" ca="1" si="145"/>
        <v>2</v>
      </c>
      <c r="W406" s="17">
        <f t="shared" ca="1" si="146"/>
        <v>0</v>
      </c>
    </row>
    <row r="407" spans="1:23" x14ac:dyDescent="0.25">
      <c r="A407" s="4">
        <f t="shared" si="126"/>
        <v>32</v>
      </c>
      <c r="B407" t="str">
        <f ca="1">TEXT(DATE(YEAR(Invoer!$A$6),1,1)+INT((ROWS(B$2:B407)-1)/4),"jjjjmmdd")</f>
        <v>19400411</v>
      </c>
      <c r="C407" s="64" t="str">
        <f>IF(MOD(ROWS(C$2:C407)-1,4)=3,"24.00",INDEX(Data,3,2+MOD(ROWS(C$2:C407)-1,4)))</f>
        <v>12.00</v>
      </c>
      <c r="D407" s="18">
        <f t="shared" ca="1" si="127"/>
        <v>759.2</v>
      </c>
      <c r="E407" s="17">
        <f t="shared" ca="1" si="128"/>
        <v>0</v>
      </c>
      <c r="F407" s="18">
        <f t="shared" ca="1" si="129"/>
        <v>30.1</v>
      </c>
      <c r="G407" s="17">
        <f t="shared" ca="1" si="130"/>
        <v>0</v>
      </c>
      <c r="H407" s="18" t="str">
        <f t="shared" ca="1" si="131"/>
        <v>—</v>
      </c>
      <c r="I407" s="17">
        <f t="shared" ca="1" si="132"/>
        <v>7</v>
      </c>
      <c r="J407" s="18" t="str">
        <f t="shared" ca="1" si="133"/>
        <v>—</v>
      </c>
      <c r="K407" s="17">
        <f t="shared" ca="1" si="134"/>
        <v>7</v>
      </c>
      <c r="L407" s="10">
        <f t="shared" ca="1" si="135"/>
        <v>58</v>
      </c>
      <c r="M407" s="17">
        <f t="shared" ca="1" si="136"/>
        <v>0</v>
      </c>
      <c r="N407" s="18">
        <f t="shared" ca="1" si="137"/>
        <v>18.600000000000001</v>
      </c>
      <c r="O407" s="17">
        <f t="shared" ca="1" si="138"/>
        <v>0</v>
      </c>
      <c r="P407" s="18">
        <f t="shared" ca="1" si="139"/>
        <v>23.6</v>
      </c>
      <c r="Q407" s="17">
        <f t="shared" ca="1" si="140"/>
        <v>0</v>
      </c>
      <c r="R407" s="10">
        <f t="shared" ca="1" si="141"/>
        <v>45</v>
      </c>
      <c r="S407" s="17">
        <f t="shared" ca="1" si="142"/>
        <v>0</v>
      </c>
      <c r="T407" s="70">
        <f t="shared" ca="1" si="143"/>
        <v>0.5</v>
      </c>
      <c r="U407" s="17">
        <f t="shared" ca="1" si="144"/>
        <v>0</v>
      </c>
      <c r="V407" s="71">
        <f t="shared" ca="1" si="145"/>
        <v>2</v>
      </c>
      <c r="W407" s="17">
        <f t="shared" ca="1" si="146"/>
        <v>0</v>
      </c>
    </row>
    <row r="408" spans="1:23" x14ac:dyDescent="0.25">
      <c r="A408" s="4">
        <f t="shared" si="126"/>
        <v>32</v>
      </c>
      <c r="B408" t="str">
        <f ca="1">TEXT(DATE(YEAR(Invoer!$A$6),1,1)+INT((ROWS(B$2:B408)-1)/4),"jjjjmmdd")</f>
        <v>19400411</v>
      </c>
      <c r="C408" s="64" t="str">
        <f>IF(MOD(ROWS(C$2:C408)-1,4)=3,"24.00",INDEX(Data,3,2+MOD(ROWS(C$2:C408)-1,4)))</f>
        <v>17.00</v>
      </c>
      <c r="D408" s="18">
        <f t="shared" ca="1" si="127"/>
        <v>758.7</v>
      </c>
      <c r="E408" s="17">
        <f t="shared" ca="1" si="128"/>
        <v>0</v>
      </c>
      <c r="F408" s="18">
        <f t="shared" ca="1" si="129"/>
        <v>27.9</v>
      </c>
      <c r="G408" s="17">
        <f t="shared" ca="1" si="130"/>
        <v>0</v>
      </c>
      <c r="H408" s="18" t="str">
        <f t="shared" ca="1" si="131"/>
        <v>—</v>
      </c>
      <c r="I408" s="17">
        <f t="shared" ca="1" si="132"/>
        <v>7</v>
      </c>
      <c r="J408" s="18" t="str">
        <f t="shared" ca="1" si="133"/>
        <v>—</v>
      </c>
      <c r="K408" s="17">
        <f t="shared" ca="1" si="134"/>
        <v>7</v>
      </c>
      <c r="L408" s="10">
        <f t="shared" ca="1" si="135"/>
        <v>67</v>
      </c>
      <c r="M408" s="17">
        <f t="shared" ca="1" si="136"/>
        <v>0</v>
      </c>
      <c r="N408" s="18">
        <f t="shared" ca="1" si="137"/>
        <v>19</v>
      </c>
      <c r="O408" s="17">
        <f t="shared" ca="1" si="138"/>
        <v>0</v>
      </c>
      <c r="P408" s="18">
        <f t="shared" ca="1" si="139"/>
        <v>23.2</v>
      </c>
      <c r="Q408" s="17">
        <f t="shared" ca="1" si="140"/>
        <v>0</v>
      </c>
      <c r="R408" s="10">
        <f t="shared" ca="1" si="141"/>
        <v>45</v>
      </c>
      <c r="S408" s="17">
        <f t="shared" ca="1" si="142"/>
        <v>0</v>
      </c>
      <c r="T408" s="70">
        <f t="shared" ca="1" si="143"/>
        <v>0.5</v>
      </c>
      <c r="U408" s="17">
        <f t="shared" ca="1" si="144"/>
        <v>0</v>
      </c>
      <c r="V408" s="71">
        <f t="shared" ca="1" si="145"/>
        <v>3</v>
      </c>
      <c r="W408" s="17">
        <f t="shared" ca="1" si="146"/>
        <v>0</v>
      </c>
    </row>
    <row r="409" spans="1:23" x14ac:dyDescent="0.25">
      <c r="A409" s="4">
        <f t="shared" si="126"/>
        <v>32</v>
      </c>
      <c r="B409" t="str">
        <f ca="1">TEXT(DATE(YEAR(Invoer!$A$6),1,1)+INT((ROWS(B$2:B409)-1)/4),"jjjjmmdd")</f>
        <v>19400411</v>
      </c>
      <c r="C409" s="64" t="str">
        <f>IF(MOD(ROWS(C$2:C409)-1,4)=3,"24.00",INDEX(Data,3,2+MOD(ROWS(C$2:C409)-1,4)))</f>
        <v>24.00</v>
      </c>
      <c r="D409" s="18" t="str">
        <f t="shared" ca="1" si="127"/>
        <v>—</v>
      </c>
      <c r="E409" s="17">
        <f t="shared" ca="1" si="128"/>
        <v>7</v>
      </c>
      <c r="F409" s="18" t="str">
        <f t="shared" ca="1" si="129"/>
        <v>—</v>
      </c>
      <c r="G409" s="17">
        <f t="shared" ca="1" si="130"/>
        <v>7</v>
      </c>
      <c r="H409" s="18">
        <f t="shared" ca="1" si="131"/>
        <v>29.4</v>
      </c>
      <c r="I409" s="17">
        <f t="shared" ca="1" si="132"/>
        <v>0</v>
      </c>
      <c r="J409" s="18">
        <f t="shared" ca="1" si="133"/>
        <v>31.8</v>
      </c>
      <c r="K409" s="17">
        <f t="shared" ca="1" si="134"/>
        <v>0</v>
      </c>
      <c r="L409" s="10" t="str">
        <f t="shared" ca="1" si="135"/>
        <v>—</v>
      </c>
      <c r="M409" s="17">
        <f t="shared" ca="1" si="136"/>
        <v>7</v>
      </c>
      <c r="N409" s="18" t="str">
        <f t="shared" ca="1" si="137"/>
        <v>—</v>
      </c>
      <c r="O409" s="17">
        <f t="shared" ca="1" si="138"/>
        <v>7</v>
      </c>
      <c r="P409" s="18" t="str">
        <f t="shared" ca="1" si="139"/>
        <v>—</v>
      </c>
      <c r="Q409" s="17">
        <f t="shared" ca="1" si="140"/>
        <v>7</v>
      </c>
      <c r="R409" s="10" t="str">
        <f t="shared" ca="1" si="141"/>
        <v>—</v>
      </c>
      <c r="S409" s="17">
        <f t="shared" ca="1" si="142"/>
        <v>7</v>
      </c>
      <c r="T409" s="70" t="str">
        <f t="shared" ca="1" si="143"/>
        <v>—</v>
      </c>
      <c r="U409" s="17">
        <f t="shared" ca="1" si="144"/>
        <v>7</v>
      </c>
      <c r="V409" s="71" t="str">
        <f t="shared" ca="1" si="145"/>
        <v>—</v>
      </c>
      <c r="W409" s="17">
        <f t="shared" ca="1" si="146"/>
        <v>7</v>
      </c>
    </row>
    <row r="410" spans="1:23" x14ac:dyDescent="0.25">
      <c r="A410" s="4">
        <f t="shared" si="126"/>
        <v>32</v>
      </c>
      <c r="B410" t="str">
        <f ca="1">TEXT(DATE(YEAR(Invoer!$A$6),1,1)+INT((ROWS(B$2:B410)-1)/4),"jjjjmmdd")</f>
        <v>19400412</v>
      </c>
      <c r="C410" s="64" t="str">
        <f>IF(MOD(ROWS(C$2:C410)-1,4)=3,"24.00",INDEX(Data,3,2+MOD(ROWS(C$2:C410)-1,4)))</f>
        <v>07.00</v>
      </c>
      <c r="D410" s="18">
        <f t="shared" ca="1" si="127"/>
        <v>759.7</v>
      </c>
      <c r="E410" s="17">
        <f t="shared" ca="1" si="128"/>
        <v>0</v>
      </c>
      <c r="F410" s="18">
        <f t="shared" ca="1" si="129"/>
        <v>26.9</v>
      </c>
      <c r="G410" s="17">
        <f t="shared" ca="1" si="130"/>
        <v>0</v>
      </c>
      <c r="H410" s="18" t="str">
        <f t="shared" ca="1" si="131"/>
        <v>—</v>
      </c>
      <c r="I410" s="17">
        <f t="shared" ca="1" si="132"/>
        <v>7</v>
      </c>
      <c r="J410" s="18" t="str">
        <f t="shared" ca="1" si="133"/>
        <v>—</v>
      </c>
      <c r="K410" s="17">
        <f t="shared" ca="1" si="134"/>
        <v>7</v>
      </c>
      <c r="L410" s="10">
        <f t="shared" ca="1" si="135"/>
        <v>77</v>
      </c>
      <c r="M410" s="17">
        <f t="shared" ca="1" si="136"/>
        <v>0</v>
      </c>
      <c r="N410" s="18">
        <f t="shared" ca="1" si="137"/>
        <v>20.6</v>
      </c>
      <c r="O410" s="17">
        <f t="shared" ca="1" si="138"/>
        <v>0</v>
      </c>
      <c r="P410" s="18">
        <f t="shared" ca="1" si="139"/>
        <v>23.8</v>
      </c>
      <c r="Q410" s="17">
        <f t="shared" ca="1" si="140"/>
        <v>0</v>
      </c>
      <c r="R410" s="10">
        <f t="shared" ca="1" si="141"/>
        <v>65</v>
      </c>
      <c r="S410" s="17">
        <f t="shared" ca="1" si="142"/>
        <v>0</v>
      </c>
      <c r="T410" s="70">
        <f t="shared" ca="1" si="143"/>
        <v>0.4</v>
      </c>
      <c r="U410" s="17">
        <f t="shared" ca="1" si="144"/>
        <v>0</v>
      </c>
      <c r="V410" s="71">
        <f t="shared" ca="1" si="145"/>
        <v>3</v>
      </c>
      <c r="W410" s="17">
        <f t="shared" ca="1" si="146"/>
        <v>0</v>
      </c>
    </row>
    <row r="411" spans="1:23" x14ac:dyDescent="0.25">
      <c r="A411" s="4">
        <f t="shared" si="126"/>
        <v>32</v>
      </c>
      <c r="B411" t="str">
        <f ca="1">TEXT(DATE(YEAR(Invoer!$A$6),1,1)+INT((ROWS(B$2:B411)-1)/4),"jjjjmmdd")</f>
        <v>19400412</v>
      </c>
      <c r="C411" s="64" t="str">
        <f>IF(MOD(ROWS(C$2:C411)-1,4)=3,"24.00",INDEX(Data,3,2+MOD(ROWS(C$2:C411)-1,4)))</f>
        <v>12.00</v>
      </c>
      <c r="D411" s="18">
        <f t="shared" ca="1" si="127"/>
        <v>757.9</v>
      </c>
      <c r="E411" s="17">
        <f t="shared" ca="1" si="128"/>
        <v>0</v>
      </c>
      <c r="F411" s="18">
        <f t="shared" ca="1" si="129"/>
        <v>28.4</v>
      </c>
      <c r="G411" s="17">
        <f t="shared" ca="1" si="130"/>
        <v>0</v>
      </c>
      <c r="H411" s="18" t="str">
        <f t="shared" ca="1" si="131"/>
        <v>—</v>
      </c>
      <c r="I411" s="17">
        <f t="shared" ca="1" si="132"/>
        <v>7</v>
      </c>
      <c r="J411" s="18" t="str">
        <f t="shared" ca="1" si="133"/>
        <v>—</v>
      </c>
      <c r="K411" s="17">
        <f t="shared" ca="1" si="134"/>
        <v>7</v>
      </c>
      <c r="L411" s="10">
        <f t="shared" ca="1" si="135"/>
        <v>66</v>
      </c>
      <c r="M411" s="17">
        <f t="shared" ca="1" si="136"/>
        <v>0</v>
      </c>
      <c r="N411" s="18">
        <f t="shared" ca="1" si="137"/>
        <v>19.100000000000001</v>
      </c>
      <c r="O411" s="17">
        <f t="shared" ca="1" si="138"/>
        <v>0</v>
      </c>
      <c r="P411" s="18">
        <f t="shared" ca="1" si="139"/>
        <v>23.4</v>
      </c>
      <c r="Q411" s="17">
        <f t="shared" ca="1" si="140"/>
        <v>0</v>
      </c>
      <c r="R411" s="10">
        <f t="shared" ca="1" si="141"/>
        <v>45</v>
      </c>
      <c r="S411" s="17">
        <f t="shared" ca="1" si="142"/>
        <v>0</v>
      </c>
      <c r="T411" s="70">
        <f t="shared" ca="1" si="143"/>
        <v>0.6</v>
      </c>
      <c r="U411" s="17">
        <f t="shared" ca="1" si="144"/>
        <v>0</v>
      </c>
      <c r="V411" s="71">
        <f t="shared" ca="1" si="145"/>
        <v>2</v>
      </c>
      <c r="W411" s="17">
        <f t="shared" ca="1" si="146"/>
        <v>0</v>
      </c>
    </row>
    <row r="412" spans="1:23" x14ac:dyDescent="0.25">
      <c r="A412" s="4">
        <f t="shared" si="126"/>
        <v>32</v>
      </c>
      <c r="B412" t="str">
        <f ca="1">TEXT(DATE(YEAR(Invoer!$A$6),1,1)+INT((ROWS(B$2:B412)-1)/4),"jjjjmmdd")</f>
        <v>19400412</v>
      </c>
      <c r="C412" s="64" t="str">
        <f>IF(MOD(ROWS(C$2:C412)-1,4)=3,"24.00",INDEX(Data,3,2+MOD(ROWS(C$2:C412)-1,4)))</f>
        <v>17.00</v>
      </c>
      <c r="D412" s="18">
        <f t="shared" ca="1" si="127"/>
        <v>758.2</v>
      </c>
      <c r="E412" s="17">
        <f t="shared" ca="1" si="128"/>
        <v>0</v>
      </c>
      <c r="F412" s="18">
        <f t="shared" ca="1" si="129"/>
        <v>26.9</v>
      </c>
      <c r="G412" s="17">
        <f t="shared" ca="1" si="130"/>
        <v>0</v>
      </c>
      <c r="H412" s="18" t="str">
        <f t="shared" ca="1" si="131"/>
        <v>—</v>
      </c>
      <c r="I412" s="17">
        <f t="shared" ca="1" si="132"/>
        <v>7</v>
      </c>
      <c r="J412" s="18" t="str">
        <f t="shared" ca="1" si="133"/>
        <v>—</v>
      </c>
      <c r="K412" s="17">
        <f t="shared" ca="1" si="134"/>
        <v>7</v>
      </c>
      <c r="L412" s="10">
        <f t="shared" ca="1" si="135"/>
        <v>71</v>
      </c>
      <c r="M412" s="17">
        <f t="shared" ca="1" si="136"/>
        <v>0</v>
      </c>
      <c r="N412" s="18">
        <f t="shared" ca="1" si="137"/>
        <v>18.100000000000001</v>
      </c>
      <c r="O412" s="17">
        <f t="shared" ca="1" si="138"/>
        <v>0</v>
      </c>
      <c r="P412" s="18">
        <f t="shared" ca="1" si="139"/>
        <v>22.8</v>
      </c>
      <c r="Q412" s="17">
        <f t="shared" ca="1" si="140"/>
        <v>0</v>
      </c>
      <c r="R412" s="10">
        <f t="shared" ca="1" si="141"/>
        <v>45</v>
      </c>
      <c r="S412" s="17">
        <f t="shared" ca="1" si="142"/>
        <v>0</v>
      </c>
      <c r="T412" s="70">
        <f t="shared" ca="1" si="143"/>
        <v>0.5</v>
      </c>
      <c r="U412" s="17">
        <f t="shared" ca="1" si="144"/>
        <v>0</v>
      </c>
      <c r="V412" s="71">
        <f t="shared" ca="1" si="145"/>
        <v>3</v>
      </c>
      <c r="W412" s="17">
        <f t="shared" ca="1" si="146"/>
        <v>0</v>
      </c>
    </row>
    <row r="413" spans="1:23" x14ac:dyDescent="0.25">
      <c r="A413" s="4">
        <f t="shared" si="126"/>
        <v>32</v>
      </c>
      <c r="B413" t="str">
        <f ca="1">TEXT(DATE(YEAR(Invoer!$A$6),1,1)+INT((ROWS(B$2:B413)-1)/4),"jjjjmmdd")</f>
        <v>19400412</v>
      </c>
      <c r="C413" s="64" t="str">
        <f>IF(MOD(ROWS(C$2:C413)-1,4)=3,"24.00",INDEX(Data,3,2+MOD(ROWS(C$2:C413)-1,4)))</f>
        <v>24.00</v>
      </c>
      <c r="D413" s="18" t="str">
        <f t="shared" ca="1" si="127"/>
        <v>—</v>
      </c>
      <c r="E413" s="17">
        <f t="shared" ca="1" si="128"/>
        <v>7</v>
      </c>
      <c r="F413" s="18" t="str">
        <f t="shared" ca="1" si="129"/>
        <v>—</v>
      </c>
      <c r="G413" s="17">
        <f t="shared" ca="1" si="130"/>
        <v>7</v>
      </c>
      <c r="H413" s="18">
        <f t="shared" ca="1" si="131"/>
        <v>27</v>
      </c>
      <c r="I413" s="17">
        <f t="shared" ca="1" si="132"/>
        <v>0</v>
      </c>
      <c r="J413" s="18">
        <f t="shared" ca="1" si="133"/>
        <v>31</v>
      </c>
      <c r="K413" s="17">
        <f t="shared" ca="1" si="134"/>
        <v>0</v>
      </c>
      <c r="L413" s="10" t="str">
        <f t="shared" ca="1" si="135"/>
        <v>—</v>
      </c>
      <c r="M413" s="17">
        <f t="shared" ca="1" si="136"/>
        <v>7</v>
      </c>
      <c r="N413" s="18" t="str">
        <f t="shared" ca="1" si="137"/>
        <v>—</v>
      </c>
      <c r="O413" s="17">
        <f t="shared" ca="1" si="138"/>
        <v>7</v>
      </c>
      <c r="P413" s="18" t="str">
        <f t="shared" ca="1" si="139"/>
        <v>—</v>
      </c>
      <c r="Q413" s="17">
        <f t="shared" ca="1" si="140"/>
        <v>7</v>
      </c>
      <c r="R413" s="10" t="str">
        <f t="shared" ca="1" si="141"/>
        <v>—</v>
      </c>
      <c r="S413" s="17">
        <f t="shared" ca="1" si="142"/>
        <v>7</v>
      </c>
      <c r="T413" s="70" t="str">
        <f t="shared" ca="1" si="143"/>
        <v>—</v>
      </c>
      <c r="U413" s="17">
        <f t="shared" ca="1" si="144"/>
        <v>7</v>
      </c>
      <c r="V413" s="71" t="str">
        <f t="shared" ca="1" si="145"/>
        <v>—</v>
      </c>
      <c r="W413" s="17">
        <f t="shared" ca="1" si="146"/>
        <v>7</v>
      </c>
    </row>
    <row r="414" spans="1:23" x14ac:dyDescent="0.25">
      <c r="A414" s="4">
        <f t="shared" si="126"/>
        <v>32</v>
      </c>
      <c r="B414" t="str">
        <f ca="1">TEXT(DATE(YEAR(Invoer!$A$6),1,1)+INT((ROWS(B$2:B414)-1)/4),"jjjjmmdd")</f>
        <v>19400413</v>
      </c>
      <c r="C414" s="64" t="str">
        <f>IF(MOD(ROWS(C$2:C414)-1,4)=3,"24.00",INDEX(Data,3,2+MOD(ROWS(C$2:C414)-1,4)))</f>
        <v>07.00</v>
      </c>
      <c r="D414" s="18">
        <f t="shared" ca="1" si="127"/>
        <v>758.5</v>
      </c>
      <c r="E414" s="17">
        <f t="shared" ca="1" si="128"/>
        <v>0</v>
      </c>
      <c r="F414" s="18">
        <f t="shared" ca="1" si="129"/>
        <v>25.9</v>
      </c>
      <c r="G414" s="17">
        <f t="shared" ca="1" si="130"/>
        <v>0</v>
      </c>
      <c r="H414" s="18" t="str">
        <f t="shared" ca="1" si="131"/>
        <v>—</v>
      </c>
      <c r="I414" s="17">
        <f t="shared" ca="1" si="132"/>
        <v>7</v>
      </c>
      <c r="J414" s="18" t="str">
        <f t="shared" ca="1" si="133"/>
        <v>—</v>
      </c>
      <c r="K414" s="17">
        <f t="shared" ca="1" si="134"/>
        <v>7</v>
      </c>
      <c r="L414" s="10">
        <f t="shared" ca="1" si="135"/>
        <v>77</v>
      </c>
      <c r="M414" s="17">
        <f t="shared" ca="1" si="136"/>
        <v>0</v>
      </c>
      <c r="N414" s="18">
        <f t="shared" ca="1" si="137"/>
        <v>19.3</v>
      </c>
      <c r="O414" s="17">
        <f t="shared" ca="1" si="138"/>
        <v>0</v>
      </c>
      <c r="P414" s="18">
        <f t="shared" ca="1" si="139"/>
        <v>22.8</v>
      </c>
      <c r="Q414" s="17">
        <f t="shared" ca="1" si="140"/>
        <v>0</v>
      </c>
      <c r="R414" s="10">
        <f t="shared" ca="1" si="141"/>
        <v>65</v>
      </c>
      <c r="S414" s="17">
        <f t="shared" ca="1" si="142"/>
        <v>0</v>
      </c>
      <c r="T414" s="70">
        <f t="shared" ca="1" si="143"/>
        <v>0.4</v>
      </c>
      <c r="U414" s="17">
        <f t="shared" ca="1" si="144"/>
        <v>0</v>
      </c>
      <c r="V414" s="71">
        <f t="shared" ca="1" si="145"/>
        <v>3</v>
      </c>
      <c r="W414" s="17">
        <f t="shared" ca="1" si="146"/>
        <v>0</v>
      </c>
    </row>
    <row r="415" spans="1:23" x14ac:dyDescent="0.25">
      <c r="A415" s="4">
        <f t="shared" si="126"/>
        <v>32</v>
      </c>
      <c r="B415" t="str">
        <f ca="1">TEXT(DATE(YEAR(Invoer!$A$6),1,1)+INT((ROWS(B$2:B415)-1)/4),"jjjjmmdd")</f>
        <v>19400413</v>
      </c>
      <c r="C415" s="64" t="str">
        <f>IF(MOD(ROWS(C$2:C415)-1,4)=3,"24.00",INDEX(Data,3,2+MOD(ROWS(C$2:C415)-1,4)))</f>
        <v>12.00</v>
      </c>
      <c r="D415" s="18">
        <f t="shared" ca="1" si="127"/>
        <v>758.9</v>
      </c>
      <c r="E415" s="17">
        <f t="shared" ca="1" si="128"/>
        <v>0</v>
      </c>
      <c r="F415" s="18">
        <f t="shared" ca="1" si="129"/>
        <v>28.1</v>
      </c>
      <c r="G415" s="17">
        <f t="shared" ca="1" si="130"/>
        <v>0</v>
      </c>
      <c r="H415" s="18" t="str">
        <f t="shared" ca="1" si="131"/>
        <v>—</v>
      </c>
      <c r="I415" s="17">
        <f t="shared" ca="1" si="132"/>
        <v>7</v>
      </c>
      <c r="J415" s="18" t="str">
        <f t="shared" ca="1" si="133"/>
        <v>—</v>
      </c>
      <c r="K415" s="17">
        <f t="shared" ca="1" si="134"/>
        <v>7</v>
      </c>
      <c r="L415" s="10">
        <f t="shared" ca="1" si="135"/>
        <v>67</v>
      </c>
      <c r="M415" s="17">
        <f t="shared" ca="1" si="136"/>
        <v>0</v>
      </c>
      <c r="N415" s="18">
        <f t="shared" ca="1" si="137"/>
        <v>19.2</v>
      </c>
      <c r="O415" s="17">
        <f t="shared" ca="1" si="138"/>
        <v>0</v>
      </c>
      <c r="P415" s="18">
        <f t="shared" ca="1" si="139"/>
        <v>23.4</v>
      </c>
      <c r="Q415" s="17">
        <f t="shared" ca="1" si="140"/>
        <v>0</v>
      </c>
      <c r="R415" s="10">
        <f t="shared" ca="1" si="141"/>
        <v>65</v>
      </c>
      <c r="S415" s="17">
        <f t="shared" ca="1" si="142"/>
        <v>0</v>
      </c>
      <c r="T415" s="70">
        <f t="shared" ca="1" si="143"/>
        <v>0.5</v>
      </c>
      <c r="U415" s="17">
        <f t="shared" ca="1" si="144"/>
        <v>0</v>
      </c>
      <c r="V415" s="71">
        <f t="shared" ca="1" si="145"/>
        <v>3</v>
      </c>
      <c r="W415" s="17">
        <f t="shared" ca="1" si="146"/>
        <v>0</v>
      </c>
    </row>
    <row r="416" spans="1:23" x14ac:dyDescent="0.25">
      <c r="A416" s="4">
        <f t="shared" si="126"/>
        <v>32</v>
      </c>
      <c r="B416" t="str">
        <f ca="1">TEXT(DATE(YEAR(Invoer!$A$6),1,1)+INT((ROWS(B$2:B416)-1)/4),"jjjjmmdd")</f>
        <v>19400413</v>
      </c>
      <c r="C416" s="64" t="str">
        <f>IF(MOD(ROWS(C$2:C416)-1,4)=3,"24.00",INDEX(Data,3,2+MOD(ROWS(C$2:C416)-1,4)))</f>
        <v>17.00</v>
      </c>
      <c r="D416" s="18">
        <f t="shared" ca="1" si="127"/>
        <v>758.2</v>
      </c>
      <c r="E416" s="17">
        <f t="shared" ca="1" si="128"/>
        <v>0</v>
      </c>
      <c r="F416" s="18">
        <f t="shared" ca="1" si="129"/>
        <v>26.9</v>
      </c>
      <c r="G416" s="17">
        <f t="shared" ca="1" si="130"/>
        <v>0</v>
      </c>
      <c r="H416" s="18" t="str">
        <f t="shared" ca="1" si="131"/>
        <v>—</v>
      </c>
      <c r="I416" s="17">
        <f t="shared" ca="1" si="132"/>
        <v>7</v>
      </c>
      <c r="J416" s="18" t="str">
        <f t="shared" ca="1" si="133"/>
        <v>—</v>
      </c>
      <c r="K416" s="17">
        <f t="shared" ca="1" si="134"/>
        <v>7</v>
      </c>
      <c r="L416" s="10">
        <f t="shared" ca="1" si="135"/>
        <v>77</v>
      </c>
      <c r="M416" s="17">
        <f t="shared" ca="1" si="136"/>
        <v>0</v>
      </c>
      <c r="N416" s="18">
        <f t="shared" ca="1" si="137"/>
        <v>20.6</v>
      </c>
      <c r="O416" s="17">
        <f t="shared" ca="1" si="138"/>
        <v>0</v>
      </c>
      <c r="P416" s="18">
        <f t="shared" ca="1" si="139"/>
        <v>23.8</v>
      </c>
      <c r="Q416" s="17">
        <f t="shared" ca="1" si="140"/>
        <v>0</v>
      </c>
      <c r="R416" s="10">
        <f t="shared" ca="1" si="141"/>
        <v>45</v>
      </c>
      <c r="S416" s="17">
        <f t="shared" ca="1" si="142"/>
        <v>0</v>
      </c>
      <c r="T416" s="70">
        <f t="shared" ca="1" si="143"/>
        <v>0.5</v>
      </c>
      <c r="U416" s="17">
        <f t="shared" ca="1" si="144"/>
        <v>0</v>
      </c>
      <c r="V416" s="71">
        <f t="shared" ca="1" si="145"/>
        <v>3</v>
      </c>
      <c r="W416" s="17">
        <f t="shared" ca="1" si="146"/>
        <v>0</v>
      </c>
    </row>
    <row r="417" spans="1:23" x14ac:dyDescent="0.25">
      <c r="A417" s="4">
        <f t="shared" si="126"/>
        <v>32</v>
      </c>
      <c r="B417" t="str">
        <f ca="1">TEXT(DATE(YEAR(Invoer!$A$6),1,1)+INT((ROWS(B$2:B417)-1)/4),"jjjjmmdd")</f>
        <v>19400413</v>
      </c>
      <c r="C417" s="64" t="str">
        <f>IF(MOD(ROWS(C$2:C417)-1,4)=3,"24.00",INDEX(Data,3,2+MOD(ROWS(C$2:C417)-1,4)))</f>
        <v>24.00</v>
      </c>
      <c r="D417" s="18" t="str">
        <f t="shared" ca="1" si="127"/>
        <v>—</v>
      </c>
      <c r="E417" s="17">
        <f t="shared" ca="1" si="128"/>
        <v>7</v>
      </c>
      <c r="F417" s="18" t="str">
        <f t="shared" ca="1" si="129"/>
        <v>—</v>
      </c>
      <c r="G417" s="17">
        <f t="shared" ca="1" si="130"/>
        <v>7</v>
      </c>
      <c r="H417" s="18">
        <f t="shared" ca="1" si="131"/>
        <v>27.5</v>
      </c>
      <c r="I417" s="17">
        <f t="shared" ca="1" si="132"/>
        <v>0</v>
      </c>
      <c r="J417" s="18">
        <f t="shared" ca="1" si="133"/>
        <v>29.2</v>
      </c>
      <c r="K417" s="17">
        <f t="shared" ca="1" si="134"/>
        <v>0</v>
      </c>
      <c r="L417" s="10" t="str">
        <f t="shared" ca="1" si="135"/>
        <v>—</v>
      </c>
      <c r="M417" s="17">
        <f t="shared" ca="1" si="136"/>
        <v>7</v>
      </c>
      <c r="N417" s="18" t="str">
        <f t="shared" ca="1" si="137"/>
        <v>—</v>
      </c>
      <c r="O417" s="17">
        <f t="shared" ca="1" si="138"/>
        <v>7</v>
      </c>
      <c r="P417" s="18" t="str">
        <f t="shared" ca="1" si="139"/>
        <v>—</v>
      </c>
      <c r="Q417" s="17">
        <f t="shared" ca="1" si="140"/>
        <v>7</v>
      </c>
      <c r="R417" s="10" t="str">
        <f t="shared" ca="1" si="141"/>
        <v>—</v>
      </c>
      <c r="S417" s="17">
        <f t="shared" ca="1" si="142"/>
        <v>7</v>
      </c>
      <c r="T417" s="70" t="str">
        <f t="shared" ca="1" si="143"/>
        <v>—</v>
      </c>
      <c r="U417" s="17">
        <f t="shared" ca="1" si="144"/>
        <v>7</v>
      </c>
      <c r="V417" s="71" t="str">
        <f t="shared" ca="1" si="145"/>
        <v>—</v>
      </c>
      <c r="W417" s="17">
        <f t="shared" ca="1" si="146"/>
        <v>7</v>
      </c>
    </row>
    <row r="418" spans="1:23" x14ac:dyDescent="0.25">
      <c r="A418" s="4">
        <f t="shared" si="126"/>
        <v>32</v>
      </c>
      <c r="B418" t="str">
        <f ca="1">TEXT(DATE(YEAR(Invoer!$A$6),1,1)+INT((ROWS(B$2:B418)-1)/4),"jjjjmmdd")</f>
        <v>19400414</v>
      </c>
      <c r="C418" s="64" t="str">
        <f>IF(MOD(ROWS(C$2:C418)-1,4)=3,"24.00",INDEX(Data,3,2+MOD(ROWS(C$2:C418)-1,4)))</f>
        <v>07.00</v>
      </c>
      <c r="D418" s="18">
        <f t="shared" ca="1" si="127"/>
        <v>758.5</v>
      </c>
      <c r="E418" s="17">
        <f t="shared" ca="1" si="128"/>
        <v>0</v>
      </c>
      <c r="F418" s="18">
        <f t="shared" ca="1" si="129"/>
        <v>25.9</v>
      </c>
      <c r="G418" s="17">
        <f t="shared" ca="1" si="130"/>
        <v>0</v>
      </c>
      <c r="H418" s="18" t="str">
        <f t="shared" ca="1" si="131"/>
        <v>—</v>
      </c>
      <c r="I418" s="17">
        <f t="shared" ca="1" si="132"/>
        <v>7</v>
      </c>
      <c r="J418" s="18" t="str">
        <f t="shared" ca="1" si="133"/>
        <v>—</v>
      </c>
      <c r="K418" s="17">
        <f t="shared" ca="1" si="134"/>
        <v>7</v>
      </c>
      <c r="L418" s="10">
        <f t="shared" ca="1" si="135"/>
        <v>71</v>
      </c>
      <c r="M418" s="17">
        <f t="shared" ca="1" si="136"/>
        <v>0</v>
      </c>
      <c r="N418" s="18">
        <f t="shared" ca="1" si="137"/>
        <v>19.3</v>
      </c>
      <c r="O418" s="17">
        <f t="shared" ca="1" si="138"/>
        <v>0</v>
      </c>
      <c r="P418" s="18">
        <f t="shared" ca="1" si="139"/>
        <v>22.8</v>
      </c>
      <c r="Q418" s="17">
        <f t="shared" ca="1" si="140"/>
        <v>0</v>
      </c>
      <c r="R418" s="10">
        <f t="shared" ca="1" si="141"/>
        <v>45</v>
      </c>
      <c r="S418" s="17">
        <f t="shared" ca="1" si="142"/>
        <v>0</v>
      </c>
      <c r="T418" s="70">
        <f t="shared" ca="1" si="143"/>
        <v>0.4</v>
      </c>
      <c r="U418" s="17">
        <f t="shared" ca="1" si="144"/>
        <v>0</v>
      </c>
      <c r="V418" s="71">
        <f t="shared" ca="1" si="145"/>
        <v>4</v>
      </c>
      <c r="W418" s="17">
        <f t="shared" ca="1" si="146"/>
        <v>0</v>
      </c>
    </row>
    <row r="419" spans="1:23" x14ac:dyDescent="0.25">
      <c r="A419" s="4">
        <f t="shared" si="126"/>
        <v>32</v>
      </c>
      <c r="B419" t="str">
        <f ca="1">TEXT(DATE(YEAR(Invoer!$A$6),1,1)+INT((ROWS(B$2:B419)-1)/4),"jjjjmmdd")</f>
        <v>19400414</v>
      </c>
      <c r="C419" s="64" t="str">
        <f>IF(MOD(ROWS(C$2:C419)-1,4)=3,"24.00",INDEX(Data,3,2+MOD(ROWS(C$2:C419)-1,4)))</f>
        <v>12.00</v>
      </c>
      <c r="D419" s="18">
        <f t="shared" ca="1" si="127"/>
        <v>759.2</v>
      </c>
      <c r="E419" s="17">
        <f t="shared" ca="1" si="128"/>
        <v>0</v>
      </c>
      <c r="F419" s="18">
        <f t="shared" ca="1" si="129"/>
        <v>27.1</v>
      </c>
      <c r="G419" s="17">
        <f t="shared" ca="1" si="130"/>
        <v>0</v>
      </c>
      <c r="H419" s="18" t="str">
        <f t="shared" ca="1" si="131"/>
        <v>—</v>
      </c>
      <c r="I419" s="17">
        <f t="shared" ca="1" si="132"/>
        <v>7</v>
      </c>
      <c r="J419" s="18" t="str">
        <f t="shared" ca="1" si="133"/>
        <v>—</v>
      </c>
      <c r="K419" s="17">
        <f t="shared" ca="1" si="134"/>
        <v>7</v>
      </c>
      <c r="L419" s="10">
        <f t="shared" ca="1" si="135"/>
        <v>72</v>
      </c>
      <c r="M419" s="17">
        <f t="shared" ca="1" si="136"/>
        <v>0</v>
      </c>
      <c r="N419" s="18">
        <f t="shared" ca="1" si="137"/>
        <v>19.399999999999999</v>
      </c>
      <c r="O419" s="17">
        <f t="shared" ca="1" si="138"/>
        <v>0</v>
      </c>
      <c r="P419" s="18">
        <f t="shared" ca="1" si="139"/>
        <v>23.2</v>
      </c>
      <c r="Q419" s="17">
        <f t="shared" ca="1" si="140"/>
        <v>0</v>
      </c>
      <c r="R419" s="10">
        <f t="shared" ca="1" si="141"/>
        <v>45</v>
      </c>
      <c r="S419" s="17">
        <f t="shared" ca="1" si="142"/>
        <v>0</v>
      </c>
      <c r="T419" s="70">
        <f t="shared" ca="1" si="143"/>
        <v>0.5</v>
      </c>
      <c r="U419" s="17">
        <f t="shared" ca="1" si="144"/>
        <v>0</v>
      </c>
      <c r="V419" s="71">
        <f t="shared" ca="1" si="145"/>
        <v>3</v>
      </c>
      <c r="W419" s="17">
        <f t="shared" ca="1" si="146"/>
        <v>0</v>
      </c>
    </row>
    <row r="420" spans="1:23" x14ac:dyDescent="0.25">
      <c r="A420" s="4">
        <f t="shared" si="126"/>
        <v>32</v>
      </c>
      <c r="B420" t="str">
        <f ca="1">TEXT(DATE(YEAR(Invoer!$A$6),1,1)+INT((ROWS(B$2:B420)-1)/4),"jjjjmmdd")</f>
        <v>19400414</v>
      </c>
      <c r="C420" s="64" t="str">
        <f>IF(MOD(ROWS(C$2:C420)-1,4)=3,"24.00",INDEX(Data,3,2+MOD(ROWS(C$2:C420)-1,4)))</f>
        <v>17.00</v>
      </c>
      <c r="D420" s="18">
        <f t="shared" ca="1" si="127"/>
        <v>758.5</v>
      </c>
      <c r="E420" s="17">
        <f t="shared" ca="1" si="128"/>
        <v>0</v>
      </c>
      <c r="F420" s="18">
        <f t="shared" ca="1" si="129"/>
        <v>25.9</v>
      </c>
      <c r="G420" s="17">
        <f t="shared" ca="1" si="130"/>
        <v>0</v>
      </c>
      <c r="H420" s="18" t="str">
        <f t="shared" ca="1" si="131"/>
        <v>—</v>
      </c>
      <c r="I420" s="17">
        <f t="shared" ca="1" si="132"/>
        <v>7</v>
      </c>
      <c r="J420" s="18" t="str">
        <f t="shared" ca="1" si="133"/>
        <v>—</v>
      </c>
      <c r="K420" s="17">
        <f t="shared" ca="1" si="134"/>
        <v>7</v>
      </c>
      <c r="L420" s="10">
        <f t="shared" ca="1" si="135"/>
        <v>80</v>
      </c>
      <c r="M420" s="17">
        <f t="shared" ca="1" si="136"/>
        <v>0</v>
      </c>
      <c r="N420" s="18">
        <f t="shared" ca="1" si="137"/>
        <v>20</v>
      </c>
      <c r="O420" s="17">
        <f t="shared" ca="1" si="138"/>
        <v>0</v>
      </c>
      <c r="P420" s="18">
        <f t="shared" ca="1" si="139"/>
        <v>23.2</v>
      </c>
      <c r="Q420" s="17">
        <f t="shared" ca="1" si="140"/>
        <v>0</v>
      </c>
      <c r="R420" s="10">
        <f t="shared" ca="1" si="141"/>
        <v>45</v>
      </c>
      <c r="S420" s="17">
        <f t="shared" ca="1" si="142"/>
        <v>0</v>
      </c>
      <c r="T420" s="70">
        <f t="shared" ca="1" si="143"/>
        <v>0.5</v>
      </c>
      <c r="U420" s="17">
        <f t="shared" ca="1" si="144"/>
        <v>0</v>
      </c>
      <c r="V420" s="71">
        <f t="shared" ca="1" si="145"/>
        <v>2</v>
      </c>
      <c r="W420" s="17">
        <f t="shared" ca="1" si="146"/>
        <v>0</v>
      </c>
    </row>
    <row r="421" spans="1:23" x14ac:dyDescent="0.25">
      <c r="A421" s="4">
        <f t="shared" si="126"/>
        <v>32</v>
      </c>
      <c r="B421" t="str">
        <f ca="1">TEXT(DATE(YEAR(Invoer!$A$6),1,1)+INT((ROWS(B$2:B421)-1)/4),"jjjjmmdd")</f>
        <v>19400414</v>
      </c>
      <c r="C421" s="64" t="str">
        <f>IF(MOD(ROWS(C$2:C421)-1,4)=3,"24.00",INDEX(Data,3,2+MOD(ROWS(C$2:C421)-1,4)))</f>
        <v>24.00</v>
      </c>
      <c r="D421" s="18" t="str">
        <f t="shared" ca="1" si="127"/>
        <v>—</v>
      </c>
      <c r="E421" s="17">
        <f t="shared" ca="1" si="128"/>
        <v>7</v>
      </c>
      <c r="F421" s="18" t="str">
        <f t="shared" ca="1" si="129"/>
        <v>—</v>
      </c>
      <c r="G421" s="17">
        <f t="shared" ca="1" si="130"/>
        <v>7</v>
      </c>
      <c r="H421" s="18">
        <f t="shared" ca="1" si="131"/>
        <v>27.4</v>
      </c>
      <c r="I421" s="17">
        <f t="shared" ca="1" si="132"/>
        <v>0</v>
      </c>
      <c r="J421" s="18">
        <f t="shared" ca="1" si="133"/>
        <v>29.5</v>
      </c>
      <c r="K421" s="17">
        <f t="shared" ca="1" si="134"/>
        <v>0</v>
      </c>
      <c r="L421" s="10" t="str">
        <f t="shared" ca="1" si="135"/>
        <v>—</v>
      </c>
      <c r="M421" s="17">
        <f t="shared" ca="1" si="136"/>
        <v>7</v>
      </c>
      <c r="N421" s="18" t="str">
        <f t="shared" ca="1" si="137"/>
        <v>—</v>
      </c>
      <c r="O421" s="17">
        <f t="shared" ca="1" si="138"/>
        <v>7</v>
      </c>
      <c r="P421" s="18" t="str">
        <f t="shared" ca="1" si="139"/>
        <v>—</v>
      </c>
      <c r="Q421" s="17">
        <f t="shared" ca="1" si="140"/>
        <v>7</v>
      </c>
      <c r="R421" s="10" t="str">
        <f t="shared" ca="1" si="141"/>
        <v>—</v>
      </c>
      <c r="S421" s="17">
        <f t="shared" ca="1" si="142"/>
        <v>7</v>
      </c>
      <c r="T421" s="70" t="str">
        <f t="shared" ca="1" si="143"/>
        <v>—</v>
      </c>
      <c r="U421" s="17">
        <f t="shared" ca="1" si="144"/>
        <v>7</v>
      </c>
      <c r="V421" s="71" t="str">
        <f t="shared" ca="1" si="145"/>
        <v>—</v>
      </c>
      <c r="W421" s="17">
        <f t="shared" ca="1" si="146"/>
        <v>7</v>
      </c>
    </row>
    <row r="422" spans="1:23" x14ac:dyDescent="0.25">
      <c r="A422" s="4">
        <f t="shared" si="126"/>
        <v>32</v>
      </c>
      <c r="B422" t="str">
        <f ca="1">TEXT(DATE(YEAR(Invoer!$A$6),1,1)+INT((ROWS(B$2:B422)-1)/4),"jjjjmmdd")</f>
        <v>19400415</v>
      </c>
      <c r="C422" s="64" t="str">
        <f>IF(MOD(ROWS(C$2:C422)-1,4)=3,"24.00",INDEX(Data,3,2+MOD(ROWS(C$2:C422)-1,4)))</f>
        <v>07.00</v>
      </c>
      <c r="D422" s="18">
        <f t="shared" ca="1" si="127"/>
        <v>760</v>
      </c>
      <c r="E422" s="17">
        <f t="shared" ca="1" si="128"/>
        <v>0</v>
      </c>
      <c r="F422" s="18">
        <f t="shared" ca="1" si="129"/>
        <v>26.9</v>
      </c>
      <c r="G422" s="17">
        <f t="shared" ca="1" si="130"/>
        <v>0</v>
      </c>
      <c r="H422" s="18" t="str">
        <f t="shared" ca="1" si="131"/>
        <v>—</v>
      </c>
      <c r="I422" s="17">
        <f t="shared" ca="1" si="132"/>
        <v>7</v>
      </c>
      <c r="J422" s="18" t="str">
        <f t="shared" ca="1" si="133"/>
        <v>—</v>
      </c>
      <c r="K422" s="17">
        <f t="shared" ca="1" si="134"/>
        <v>7</v>
      </c>
      <c r="L422" s="10">
        <f t="shared" ca="1" si="135"/>
        <v>74</v>
      </c>
      <c r="M422" s="17">
        <f t="shared" ca="1" si="136"/>
        <v>0</v>
      </c>
      <c r="N422" s="18">
        <f t="shared" ca="1" si="137"/>
        <v>19.8</v>
      </c>
      <c r="O422" s="17">
        <f t="shared" ca="1" si="138"/>
        <v>0</v>
      </c>
      <c r="P422" s="18">
        <f t="shared" ca="1" si="139"/>
        <v>23.4</v>
      </c>
      <c r="Q422" s="17">
        <f t="shared" ca="1" si="140"/>
        <v>0</v>
      </c>
      <c r="R422" s="10">
        <f t="shared" ca="1" si="141"/>
        <v>65</v>
      </c>
      <c r="S422" s="17">
        <f t="shared" ca="1" si="142"/>
        <v>0</v>
      </c>
      <c r="T422" s="70">
        <f t="shared" ca="1" si="143"/>
        <v>0.3</v>
      </c>
      <c r="U422" s="17">
        <f t="shared" ca="1" si="144"/>
        <v>0</v>
      </c>
      <c r="V422" s="71">
        <f t="shared" ca="1" si="145"/>
        <v>3</v>
      </c>
      <c r="W422" s="17">
        <f t="shared" ca="1" si="146"/>
        <v>0</v>
      </c>
    </row>
    <row r="423" spans="1:23" x14ac:dyDescent="0.25">
      <c r="A423" s="4">
        <f t="shared" si="126"/>
        <v>32</v>
      </c>
      <c r="B423" t="str">
        <f ca="1">TEXT(DATE(YEAR(Invoer!$A$6),1,1)+INT((ROWS(B$2:B423)-1)/4),"jjjjmmdd")</f>
        <v>19400415</v>
      </c>
      <c r="C423" s="64" t="str">
        <f>IF(MOD(ROWS(C$2:C423)-1,4)=3,"24.00",INDEX(Data,3,2+MOD(ROWS(C$2:C423)-1,4)))</f>
        <v>12.00</v>
      </c>
      <c r="D423" s="18">
        <f t="shared" ca="1" si="127"/>
        <v>759.2</v>
      </c>
      <c r="E423" s="17">
        <f t="shared" ca="1" si="128"/>
        <v>0</v>
      </c>
      <c r="F423" s="18">
        <f t="shared" ca="1" si="129"/>
        <v>27.1</v>
      </c>
      <c r="G423" s="17">
        <f t="shared" ca="1" si="130"/>
        <v>0</v>
      </c>
      <c r="H423" s="18" t="str">
        <f t="shared" ca="1" si="131"/>
        <v>—</v>
      </c>
      <c r="I423" s="17">
        <f t="shared" ca="1" si="132"/>
        <v>7</v>
      </c>
      <c r="J423" s="18" t="str">
        <f t="shared" ca="1" si="133"/>
        <v>—</v>
      </c>
      <c r="K423" s="17">
        <f t="shared" ca="1" si="134"/>
        <v>7</v>
      </c>
      <c r="L423" s="10">
        <f t="shared" ca="1" si="135"/>
        <v>73</v>
      </c>
      <c r="M423" s="17">
        <f t="shared" ca="1" si="136"/>
        <v>0</v>
      </c>
      <c r="N423" s="18">
        <f t="shared" ca="1" si="137"/>
        <v>19.7</v>
      </c>
      <c r="O423" s="17">
        <f t="shared" ca="1" si="138"/>
        <v>0</v>
      </c>
      <c r="P423" s="18">
        <f t="shared" ca="1" si="139"/>
        <v>23.4</v>
      </c>
      <c r="Q423" s="17">
        <f t="shared" ca="1" si="140"/>
        <v>0</v>
      </c>
      <c r="R423" s="10">
        <f t="shared" ca="1" si="141"/>
        <v>45</v>
      </c>
      <c r="S423" s="17">
        <f t="shared" ca="1" si="142"/>
        <v>0</v>
      </c>
      <c r="T423" s="70">
        <f t="shared" ca="1" si="143"/>
        <v>0.4</v>
      </c>
      <c r="U423" s="17">
        <f t="shared" ca="1" si="144"/>
        <v>0</v>
      </c>
      <c r="V423" s="71">
        <f t="shared" ca="1" si="145"/>
        <v>3</v>
      </c>
      <c r="W423" s="17">
        <f t="shared" ca="1" si="146"/>
        <v>0</v>
      </c>
    </row>
    <row r="424" spans="1:23" x14ac:dyDescent="0.25">
      <c r="A424" s="4">
        <f t="shared" si="126"/>
        <v>32</v>
      </c>
      <c r="B424" t="str">
        <f ca="1">TEXT(DATE(YEAR(Invoer!$A$6),1,1)+INT((ROWS(B$2:B424)-1)/4),"jjjjmmdd")</f>
        <v>19400415</v>
      </c>
      <c r="C424" s="64" t="str">
        <f>IF(MOD(ROWS(C$2:C424)-1,4)=3,"24.00",INDEX(Data,3,2+MOD(ROWS(C$2:C424)-1,4)))</f>
        <v>17.00</v>
      </c>
      <c r="D424" s="18">
        <f t="shared" ca="1" si="127"/>
        <v>758.7</v>
      </c>
      <c r="E424" s="17">
        <f t="shared" ca="1" si="128"/>
        <v>0</v>
      </c>
      <c r="F424" s="18">
        <f t="shared" ca="1" si="129"/>
        <v>26.1</v>
      </c>
      <c r="G424" s="17">
        <f t="shared" ca="1" si="130"/>
        <v>0</v>
      </c>
      <c r="H424" s="18" t="str">
        <f t="shared" ca="1" si="131"/>
        <v>—</v>
      </c>
      <c r="I424" s="17">
        <f t="shared" ca="1" si="132"/>
        <v>7</v>
      </c>
      <c r="J424" s="18" t="str">
        <f t="shared" ca="1" si="133"/>
        <v>—</v>
      </c>
      <c r="K424" s="17">
        <f t="shared" ca="1" si="134"/>
        <v>7</v>
      </c>
      <c r="L424" s="10">
        <f t="shared" ca="1" si="135"/>
        <v>77</v>
      </c>
      <c r="M424" s="17">
        <f t="shared" ca="1" si="136"/>
        <v>0</v>
      </c>
      <c r="N424" s="18">
        <f t="shared" ca="1" si="137"/>
        <v>19.5</v>
      </c>
      <c r="O424" s="17">
        <f t="shared" ca="1" si="138"/>
        <v>0</v>
      </c>
      <c r="P424" s="18">
        <f t="shared" ca="1" si="139"/>
        <v>23</v>
      </c>
      <c r="Q424" s="17">
        <f t="shared" ca="1" si="140"/>
        <v>0</v>
      </c>
      <c r="R424" s="10">
        <f t="shared" ca="1" si="141"/>
        <v>45</v>
      </c>
      <c r="S424" s="17">
        <f t="shared" ca="1" si="142"/>
        <v>0</v>
      </c>
      <c r="T424" s="70">
        <f t="shared" ca="1" si="143"/>
        <v>0.4</v>
      </c>
      <c r="U424" s="17">
        <f t="shared" ca="1" si="144"/>
        <v>0</v>
      </c>
      <c r="V424" s="71">
        <f t="shared" ca="1" si="145"/>
        <v>4</v>
      </c>
      <c r="W424" s="17">
        <f t="shared" ca="1" si="146"/>
        <v>0</v>
      </c>
    </row>
    <row r="425" spans="1:23" x14ac:dyDescent="0.25">
      <c r="A425" s="4">
        <f t="shared" si="126"/>
        <v>32</v>
      </c>
      <c r="B425" t="str">
        <f ca="1">TEXT(DATE(YEAR(Invoer!$A$6),1,1)+INT((ROWS(B$2:B425)-1)/4),"jjjjmmdd")</f>
        <v>19400415</v>
      </c>
      <c r="C425" s="64" t="str">
        <f>IF(MOD(ROWS(C$2:C425)-1,4)=3,"24.00",INDEX(Data,3,2+MOD(ROWS(C$2:C425)-1,4)))</f>
        <v>24.00</v>
      </c>
      <c r="D425" s="18" t="str">
        <f t="shared" ca="1" si="127"/>
        <v>—</v>
      </c>
      <c r="E425" s="17">
        <f t="shared" ca="1" si="128"/>
        <v>7</v>
      </c>
      <c r="F425" s="18" t="str">
        <f t="shared" ca="1" si="129"/>
        <v>—</v>
      </c>
      <c r="G425" s="17">
        <f t="shared" ca="1" si="130"/>
        <v>7</v>
      </c>
      <c r="H425" s="18">
        <f t="shared" ca="1" si="131"/>
        <v>27.8</v>
      </c>
      <c r="I425" s="17">
        <f t="shared" ca="1" si="132"/>
        <v>0</v>
      </c>
      <c r="J425" s="18">
        <f t="shared" ca="1" si="133"/>
        <v>29</v>
      </c>
      <c r="K425" s="17">
        <f t="shared" ca="1" si="134"/>
        <v>0</v>
      </c>
      <c r="L425" s="10" t="str">
        <f t="shared" ca="1" si="135"/>
        <v>—</v>
      </c>
      <c r="M425" s="17">
        <f t="shared" ca="1" si="136"/>
        <v>7</v>
      </c>
      <c r="N425" s="18" t="str">
        <f t="shared" ca="1" si="137"/>
        <v>—</v>
      </c>
      <c r="O425" s="17">
        <f t="shared" ca="1" si="138"/>
        <v>7</v>
      </c>
      <c r="P425" s="18" t="str">
        <f t="shared" ca="1" si="139"/>
        <v>—</v>
      </c>
      <c r="Q425" s="17">
        <f t="shared" ca="1" si="140"/>
        <v>7</v>
      </c>
      <c r="R425" s="10" t="str">
        <f t="shared" ca="1" si="141"/>
        <v>—</v>
      </c>
      <c r="S425" s="17">
        <f t="shared" ca="1" si="142"/>
        <v>7</v>
      </c>
      <c r="T425" s="70" t="str">
        <f t="shared" ca="1" si="143"/>
        <v>—</v>
      </c>
      <c r="U425" s="17">
        <f t="shared" ca="1" si="144"/>
        <v>7</v>
      </c>
      <c r="V425" s="71" t="str">
        <f t="shared" ca="1" si="145"/>
        <v>—</v>
      </c>
      <c r="W425" s="17">
        <f t="shared" ca="1" si="146"/>
        <v>7</v>
      </c>
    </row>
    <row r="426" spans="1:23" x14ac:dyDescent="0.25">
      <c r="A426" s="4">
        <f t="shared" si="126"/>
        <v>32</v>
      </c>
      <c r="B426" t="str">
        <f ca="1">TEXT(DATE(YEAR(Invoer!$A$6),1,1)+INT((ROWS(B$2:B426)-1)/4),"jjjjmmdd")</f>
        <v>19400416</v>
      </c>
      <c r="C426" s="64" t="str">
        <f>IF(MOD(ROWS(C$2:C426)-1,4)=3,"24.00",INDEX(Data,3,2+MOD(ROWS(C$2:C426)-1,4)))</f>
        <v>07.00</v>
      </c>
      <c r="D426" s="18">
        <f t="shared" ca="1" si="127"/>
        <v>759.7</v>
      </c>
      <c r="E426" s="17">
        <f t="shared" ca="1" si="128"/>
        <v>0</v>
      </c>
      <c r="F426" s="18">
        <f t="shared" ca="1" si="129"/>
        <v>26.5</v>
      </c>
      <c r="G426" s="17">
        <f t="shared" ca="1" si="130"/>
        <v>0</v>
      </c>
      <c r="H426" s="18" t="str">
        <f t="shared" ca="1" si="131"/>
        <v>—</v>
      </c>
      <c r="I426" s="17">
        <f t="shared" ca="1" si="132"/>
        <v>7</v>
      </c>
      <c r="J426" s="18" t="str">
        <f t="shared" ca="1" si="133"/>
        <v>—</v>
      </c>
      <c r="K426" s="17">
        <f t="shared" ca="1" si="134"/>
        <v>7</v>
      </c>
      <c r="L426" s="10">
        <f t="shared" ca="1" si="135"/>
        <v>70</v>
      </c>
      <c r="M426" s="17">
        <f t="shared" ca="1" si="136"/>
        <v>0</v>
      </c>
      <c r="N426" s="18">
        <f t="shared" ca="1" si="137"/>
        <v>18.3</v>
      </c>
      <c r="O426" s="17">
        <f t="shared" ca="1" si="138"/>
        <v>0</v>
      </c>
      <c r="P426" s="18">
        <f t="shared" ca="1" si="139"/>
        <v>22.4</v>
      </c>
      <c r="Q426" s="17">
        <f t="shared" ca="1" si="140"/>
        <v>0</v>
      </c>
      <c r="R426" s="10">
        <f t="shared" ca="1" si="141"/>
        <v>45</v>
      </c>
      <c r="S426" s="17">
        <f t="shared" ca="1" si="142"/>
        <v>0</v>
      </c>
      <c r="T426" s="70">
        <f t="shared" ca="1" si="143"/>
        <v>0.3</v>
      </c>
      <c r="U426" s="17">
        <f t="shared" ca="1" si="144"/>
        <v>0</v>
      </c>
      <c r="V426" s="71">
        <f t="shared" ca="1" si="145"/>
        <v>4</v>
      </c>
      <c r="W426" s="17">
        <f t="shared" ca="1" si="146"/>
        <v>0</v>
      </c>
    </row>
    <row r="427" spans="1:23" x14ac:dyDescent="0.25">
      <c r="A427" s="4">
        <f t="shared" si="126"/>
        <v>32</v>
      </c>
      <c r="B427" t="str">
        <f ca="1">TEXT(DATE(YEAR(Invoer!$A$6),1,1)+INT((ROWS(B$2:B427)-1)/4),"jjjjmmdd")</f>
        <v>19400416</v>
      </c>
      <c r="C427" s="64" t="str">
        <f>IF(MOD(ROWS(C$2:C427)-1,4)=3,"24.00",INDEX(Data,3,2+MOD(ROWS(C$2:C427)-1,4)))</f>
        <v>12.00</v>
      </c>
      <c r="D427" s="18">
        <f t="shared" ca="1" si="127"/>
        <v>758.7</v>
      </c>
      <c r="E427" s="17">
        <f t="shared" ca="1" si="128"/>
        <v>0</v>
      </c>
      <c r="F427" s="18">
        <f t="shared" ca="1" si="129"/>
        <v>26.9</v>
      </c>
      <c r="G427" s="17">
        <f t="shared" ca="1" si="130"/>
        <v>0</v>
      </c>
      <c r="H427" s="18" t="str">
        <f t="shared" ca="1" si="131"/>
        <v>—</v>
      </c>
      <c r="I427" s="17">
        <f t="shared" ca="1" si="132"/>
        <v>7</v>
      </c>
      <c r="J427" s="18" t="str">
        <f t="shared" ca="1" si="133"/>
        <v>—</v>
      </c>
      <c r="K427" s="17">
        <f t="shared" ca="1" si="134"/>
        <v>7</v>
      </c>
      <c r="L427" s="10">
        <f t="shared" ca="1" si="135"/>
        <v>71</v>
      </c>
      <c r="M427" s="17">
        <f t="shared" ca="1" si="136"/>
        <v>0</v>
      </c>
      <c r="N427" s="18">
        <f t="shared" ca="1" si="137"/>
        <v>18.8</v>
      </c>
      <c r="O427" s="17">
        <f t="shared" ca="1" si="138"/>
        <v>0</v>
      </c>
      <c r="P427" s="18">
        <f t="shared" ca="1" si="139"/>
        <v>22.8</v>
      </c>
      <c r="Q427" s="17">
        <f t="shared" ca="1" si="140"/>
        <v>0</v>
      </c>
      <c r="R427" s="10">
        <f t="shared" ca="1" si="141"/>
        <v>45</v>
      </c>
      <c r="S427" s="17">
        <f t="shared" ca="1" si="142"/>
        <v>0</v>
      </c>
      <c r="T427" s="70">
        <f t="shared" ca="1" si="143"/>
        <v>0.4</v>
      </c>
      <c r="U427" s="17">
        <f t="shared" ca="1" si="144"/>
        <v>0</v>
      </c>
      <c r="V427" s="71">
        <f t="shared" ca="1" si="145"/>
        <v>3</v>
      </c>
      <c r="W427" s="17">
        <f t="shared" ca="1" si="146"/>
        <v>0</v>
      </c>
    </row>
    <row r="428" spans="1:23" x14ac:dyDescent="0.25">
      <c r="A428" s="4">
        <f t="shared" si="126"/>
        <v>32</v>
      </c>
      <c r="B428" t="str">
        <f ca="1">TEXT(DATE(YEAR(Invoer!$A$6),1,1)+INT((ROWS(B$2:B428)-1)/4),"jjjjmmdd")</f>
        <v>19400416</v>
      </c>
      <c r="C428" s="64" t="str">
        <f>IF(MOD(ROWS(C$2:C428)-1,4)=3,"24.00",INDEX(Data,3,2+MOD(ROWS(C$2:C428)-1,4)))</f>
        <v>17.00</v>
      </c>
      <c r="D428" s="18">
        <f t="shared" ca="1" si="127"/>
        <v>758.2</v>
      </c>
      <c r="E428" s="17">
        <f t="shared" ca="1" si="128"/>
        <v>0</v>
      </c>
      <c r="F428" s="18">
        <f t="shared" ca="1" si="129"/>
        <v>26.9</v>
      </c>
      <c r="G428" s="17">
        <f t="shared" ca="1" si="130"/>
        <v>0</v>
      </c>
      <c r="H428" s="18" t="str">
        <f t="shared" ca="1" si="131"/>
        <v>—</v>
      </c>
      <c r="I428" s="17">
        <f t="shared" ca="1" si="132"/>
        <v>7</v>
      </c>
      <c r="J428" s="18" t="str">
        <f t="shared" ca="1" si="133"/>
        <v>—</v>
      </c>
      <c r="K428" s="17">
        <f t="shared" ca="1" si="134"/>
        <v>7</v>
      </c>
      <c r="L428" s="10">
        <f t="shared" ca="1" si="135"/>
        <v>71</v>
      </c>
      <c r="M428" s="17">
        <f t="shared" ca="1" si="136"/>
        <v>0</v>
      </c>
      <c r="N428" s="18">
        <f t="shared" ca="1" si="137"/>
        <v>18.8</v>
      </c>
      <c r="O428" s="17">
        <f t="shared" ca="1" si="138"/>
        <v>0</v>
      </c>
      <c r="P428" s="18">
        <f t="shared" ca="1" si="139"/>
        <v>22.8</v>
      </c>
      <c r="Q428" s="17">
        <f t="shared" ca="1" si="140"/>
        <v>0</v>
      </c>
      <c r="R428" s="10">
        <f t="shared" ca="1" si="141"/>
        <v>45</v>
      </c>
      <c r="S428" s="17">
        <f t="shared" ca="1" si="142"/>
        <v>0</v>
      </c>
      <c r="T428" s="70">
        <f t="shared" ca="1" si="143"/>
        <v>0.4</v>
      </c>
      <c r="U428" s="17">
        <f t="shared" ca="1" si="144"/>
        <v>0</v>
      </c>
      <c r="V428" s="71">
        <f t="shared" ca="1" si="145"/>
        <v>2</v>
      </c>
      <c r="W428" s="17">
        <f t="shared" ca="1" si="146"/>
        <v>0</v>
      </c>
    </row>
    <row r="429" spans="1:23" x14ac:dyDescent="0.25">
      <c r="A429" s="4">
        <f t="shared" si="126"/>
        <v>32</v>
      </c>
      <c r="B429" t="str">
        <f ca="1">TEXT(DATE(YEAR(Invoer!$A$6),1,1)+INT((ROWS(B$2:B429)-1)/4),"jjjjmmdd")</f>
        <v>19400416</v>
      </c>
      <c r="C429" s="64" t="str">
        <f>IF(MOD(ROWS(C$2:C429)-1,4)=3,"24.00",INDEX(Data,3,2+MOD(ROWS(C$2:C429)-1,4)))</f>
        <v>24.00</v>
      </c>
      <c r="D429" s="18" t="str">
        <f t="shared" ca="1" si="127"/>
        <v>—</v>
      </c>
      <c r="E429" s="17">
        <f t="shared" ca="1" si="128"/>
        <v>7</v>
      </c>
      <c r="F429" s="18" t="str">
        <f t="shared" ca="1" si="129"/>
        <v>—</v>
      </c>
      <c r="G429" s="17">
        <f t="shared" ca="1" si="130"/>
        <v>7</v>
      </c>
      <c r="H429" s="18">
        <f t="shared" ca="1" si="131"/>
        <v>27.4</v>
      </c>
      <c r="I429" s="17">
        <f t="shared" ca="1" si="132"/>
        <v>0</v>
      </c>
      <c r="J429" s="18">
        <f t="shared" ca="1" si="133"/>
        <v>29.6</v>
      </c>
      <c r="K429" s="17">
        <f t="shared" ca="1" si="134"/>
        <v>0</v>
      </c>
      <c r="L429" s="10" t="str">
        <f t="shared" ca="1" si="135"/>
        <v>—</v>
      </c>
      <c r="M429" s="17">
        <f t="shared" ca="1" si="136"/>
        <v>7</v>
      </c>
      <c r="N429" s="18" t="str">
        <f t="shared" ca="1" si="137"/>
        <v>—</v>
      </c>
      <c r="O429" s="17">
        <f t="shared" ca="1" si="138"/>
        <v>7</v>
      </c>
      <c r="P429" s="18" t="str">
        <f t="shared" ca="1" si="139"/>
        <v>—</v>
      </c>
      <c r="Q429" s="17">
        <f t="shared" ca="1" si="140"/>
        <v>7</v>
      </c>
      <c r="R429" s="10" t="str">
        <f t="shared" ca="1" si="141"/>
        <v>—</v>
      </c>
      <c r="S429" s="17">
        <f t="shared" ca="1" si="142"/>
        <v>7</v>
      </c>
      <c r="T429" s="70" t="str">
        <f t="shared" ca="1" si="143"/>
        <v>—</v>
      </c>
      <c r="U429" s="17">
        <f t="shared" ca="1" si="144"/>
        <v>7</v>
      </c>
      <c r="V429" s="71" t="str">
        <f t="shared" ca="1" si="145"/>
        <v>—</v>
      </c>
      <c r="W429" s="17">
        <f t="shared" ca="1" si="146"/>
        <v>7</v>
      </c>
    </row>
    <row r="430" spans="1:23" x14ac:dyDescent="0.25">
      <c r="A430" s="4">
        <f t="shared" si="126"/>
        <v>32</v>
      </c>
      <c r="B430" t="str">
        <f ca="1">TEXT(DATE(YEAR(Invoer!$A$6),1,1)+INT((ROWS(B$2:B430)-1)/4),"jjjjmmdd")</f>
        <v>19400417</v>
      </c>
      <c r="C430" s="64" t="str">
        <f>IF(MOD(ROWS(C$2:C430)-1,4)=3,"24.00",INDEX(Data,3,2+MOD(ROWS(C$2:C430)-1,4)))</f>
        <v>07.00</v>
      </c>
      <c r="D430" s="18">
        <f t="shared" ca="1" si="127"/>
        <v>758.7</v>
      </c>
      <c r="E430" s="17">
        <f t="shared" ca="1" si="128"/>
        <v>0</v>
      </c>
      <c r="F430" s="18">
        <f t="shared" ca="1" si="129"/>
        <v>26.1</v>
      </c>
      <c r="G430" s="17">
        <f t="shared" ca="1" si="130"/>
        <v>0</v>
      </c>
      <c r="H430" s="18" t="str">
        <f t="shared" ca="1" si="131"/>
        <v>—</v>
      </c>
      <c r="I430" s="17">
        <f t="shared" ca="1" si="132"/>
        <v>7</v>
      </c>
      <c r="J430" s="18" t="str">
        <f t="shared" ca="1" si="133"/>
        <v>—</v>
      </c>
      <c r="K430" s="17">
        <f t="shared" ca="1" si="134"/>
        <v>7</v>
      </c>
      <c r="L430" s="10">
        <f t="shared" ca="1" si="135"/>
        <v>71</v>
      </c>
      <c r="M430" s="17">
        <f t="shared" ca="1" si="136"/>
        <v>0</v>
      </c>
      <c r="N430" s="18">
        <f t="shared" ca="1" si="137"/>
        <v>18.100000000000001</v>
      </c>
      <c r="O430" s="17">
        <f t="shared" ca="1" si="138"/>
        <v>0</v>
      </c>
      <c r="P430" s="18">
        <f t="shared" ca="1" si="139"/>
        <v>22.2</v>
      </c>
      <c r="Q430" s="17">
        <f t="shared" ca="1" si="140"/>
        <v>0</v>
      </c>
      <c r="R430" s="10">
        <f t="shared" ca="1" si="141"/>
        <v>45</v>
      </c>
      <c r="S430" s="17">
        <f t="shared" ca="1" si="142"/>
        <v>0</v>
      </c>
      <c r="T430" s="70">
        <f t="shared" ca="1" si="143"/>
        <v>0.4</v>
      </c>
      <c r="U430" s="17">
        <f t="shared" ca="1" si="144"/>
        <v>0</v>
      </c>
      <c r="V430" s="71">
        <f t="shared" ca="1" si="145"/>
        <v>4</v>
      </c>
      <c r="W430" s="17">
        <f t="shared" ca="1" si="146"/>
        <v>0</v>
      </c>
    </row>
    <row r="431" spans="1:23" x14ac:dyDescent="0.25">
      <c r="A431" s="4">
        <f t="shared" si="126"/>
        <v>32</v>
      </c>
      <c r="B431" t="str">
        <f ca="1">TEXT(DATE(YEAR(Invoer!$A$6),1,1)+INT((ROWS(B$2:B431)-1)/4),"jjjjmmdd")</f>
        <v>19400417</v>
      </c>
      <c r="C431" s="64" t="str">
        <f>IF(MOD(ROWS(C$2:C431)-1,4)=3,"24.00",INDEX(Data,3,2+MOD(ROWS(C$2:C431)-1,4)))</f>
        <v>12.00</v>
      </c>
      <c r="D431" s="18">
        <f t="shared" ca="1" si="127"/>
        <v>758.2</v>
      </c>
      <c r="E431" s="17">
        <f t="shared" ca="1" si="128"/>
        <v>0</v>
      </c>
      <c r="F431" s="18">
        <f t="shared" ca="1" si="129"/>
        <v>26.7</v>
      </c>
      <c r="G431" s="17">
        <f t="shared" ca="1" si="130"/>
        <v>0</v>
      </c>
      <c r="H431" s="18" t="str">
        <f t="shared" ca="1" si="131"/>
        <v>—</v>
      </c>
      <c r="I431" s="17">
        <f t="shared" ca="1" si="132"/>
        <v>7</v>
      </c>
      <c r="J431" s="18" t="str">
        <f t="shared" ca="1" si="133"/>
        <v>—</v>
      </c>
      <c r="K431" s="17">
        <f t="shared" ca="1" si="134"/>
        <v>7</v>
      </c>
      <c r="L431" s="10">
        <f t="shared" ca="1" si="135"/>
        <v>72</v>
      </c>
      <c r="M431" s="17">
        <f t="shared" ca="1" si="136"/>
        <v>0</v>
      </c>
      <c r="N431" s="18">
        <f t="shared" ca="1" si="137"/>
        <v>18.899999999999999</v>
      </c>
      <c r="O431" s="17">
        <f t="shared" ca="1" si="138"/>
        <v>0</v>
      </c>
      <c r="P431" s="18">
        <f t="shared" ca="1" si="139"/>
        <v>22.8</v>
      </c>
      <c r="Q431" s="17">
        <f t="shared" ca="1" si="140"/>
        <v>0</v>
      </c>
      <c r="R431" s="10">
        <f t="shared" ca="1" si="141"/>
        <v>45</v>
      </c>
      <c r="S431" s="17">
        <f t="shared" ca="1" si="142"/>
        <v>0</v>
      </c>
      <c r="T431" s="70">
        <f t="shared" ca="1" si="143"/>
        <v>0.5</v>
      </c>
      <c r="U431" s="17">
        <f t="shared" ca="1" si="144"/>
        <v>0</v>
      </c>
      <c r="V431" s="71">
        <f t="shared" ca="1" si="145"/>
        <v>5</v>
      </c>
      <c r="W431" s="17">
        <f t="shared" ca="1" si="146"/>
        <v>0</v>
      </c>
    </row>
    <row r="432" spans="1:23" x14ac:dyDescent="0.25">
      <c r="A432" s="4">
        <f t="shared" si="126"/>
        <v>32</v>
      </c>
      <c r="B432" t="str">
        <f ca="1">TEXT(DATE(YEAR(Invoer!$A$6),1,1)+INT((ROWS(B$2:B432)-1)/4),"jjjjmmdd")</f>
        <v>19400417</v>
      </c>
      <c r="C432" s="64" t="str">
        <f>IF(MOD(ROWS(C$2:C432)-1,4)=3,"24.00",INDEX(Data,3,2+MOD(ROWS(C$2:C432)-1,4)))</f>
        <v>17.00</v>
      </c>
      <c r="D432" s="18">
        <f t="shared" ca="1" si="127"/>
        <v>758.2</v>
      </c>
      <c r="E432" s="17">
        <f t="shared" ca="1" si="128"/>
        <v>0</v>
      </c>
      <c r="F432" s="18">
        <f t="shared" ca="1" si="129"/>
        <v>26.3</v>
      </c>
      <c r="G432" s="17">
        <f t="shared" ca="1" si="130"/>
        <v>0</v>
      </c>
      <c r="H432" s="18" t="str">
        <f t="shared" ca="1" si="131"/>
        <v>—</v>
      </c>
      <c r="I432" s="17">
        <f t="shared" ca="1" si="132"/>
        <v>7</v>
      </c>
      <c r="J432" s="18" t="str">
        <f t="shared" ca="1" si="133"/>
        <v>—</v>
      </c>
      <c r="K432" s="17">
        <f t="shared" ca="1" si="134"/>
        <v>7</v>
      </c>
      <c r="L432" s="10">
        <f t="shared" ca="1" si="135"/>
        <v>74</v>
      </c>
      <c r="M432" s="17">
        <f t="shared" ca="1" si="136"/>
        <v>0</v>
      </c>
      <c r="N432" s="18">
        <f t="shared" ca="1" si="137"/>
        <v>19.100000000000001</v>
      </c>
      <c r="O432" s="17">
        <f t="shared" ca="1" si="138"/>
        <v>0</v>
      </c>
      <c r="P432" s="18">
        <f t="shared" ca="1" si="139"/>
        <v>22.8</v>
      </c>
      <c r="Q432" s="17">
        <f t="shared" ca="1" si="140"/>
        <v>0</v>
      </c>
      <c r="R432" s="10">
        <f t="shared" ca="1" si="141"/>
        <v>45</v>
      </c>
      <c r="S432" s="17">
        <f t="shared" ca="1" si="142"/>
        <v>0</v>
      </c>
      <c r="T432" s="70">
        <f t="shared" ca="1" si="143"/>
        <v>0.4</v>
      </c>
      <c r="U432" s="17">
        <f t="shared" ca="1" si="144"/>
        <v>0</v>
      </c>
      <c r="V432" s="71">
        <f t="shared" ca="1" si="145"/>
        <v>4</v>
      </c>
      <c r="W432" s="17">
        <f t="shared" ca="1" si="146"/>
        <v>0</v>
      </c>
    </row>
    <row r="433" spans="1:23" x14ac:dyDescent="0.25">
      <c r="A433" s="4">
        <f t="shared" si="126"/>
        <v>32</v>
      </c>
      <c r="B433" t="str">
        <f ca="1">TEXT(DATE(YEAR(Invoer!$A$6),1,1)+INT((ROWS(B$2:B433)-1)/4),"jjjjmmdd")</f>
        <v>19400417</v>
      </c>
      <c r="C433" s="64" t="str">
        <f>IF(MOD(ROWS(C$2:C433)-1,4)=3,"24.00",INDEX(Data,3,2+MOD(ROWS(C$2:C433)-1,4)))</f>
        <v>24.00</v>
      </c>
      <c r="D433" s="18" t="str">
        <f t="shared" ca="1" si="127"/>
        <v>—</v>
      </c>
      <c r="E433" s="17">
        <f t="shared" ca="1" si="128"/>
        <v>7</v>
      </c>
      <c r="F433" s="18" t="str">
        <f t="shared" ca="1" si="129"/>
        <v>—</v>
      </c>
      <c r="G433" s="17">
        <f t="shared" ca="1" si="130"/>
        <v>7</v>
      </c>
      <c r="H433" s="18">
        <f t="shared" ca="1" si="131"/>
        <v>26.3</v>
      </c>
      <c r="I433" s="17">
        <f t="shared" ca="1" si="132"/>
        <v>0</v>
      </c>
      <c r="J433" s="18">
        <f t="shared" ca="1" si="133"/>
        <v>28.6</v>
      </c>
      <c r="K433" s="17">
        <f t="shared" ca="1" si="134"/>
        <v>0</v>
      </c>
      <c r="L433" s="10" t="str">
        <f t="shared" ca="1" si="135"/>
        <v>—</v>
      </c>
      <c r="M433" s="17">
        <f t="shared" ca="1" si="136"/>
        <v>7</v>
      </c>
      <c r="N433" s="18" t="str">
        <f t="shared" ca="1" si="137"/>
        <v>—</v>
      </c>
      <c r="O433" s="17">
        <f t="shared" ca="1" si="138"/>
        <v>7</v>
      </c>
      <c r="P433" s="18" t="str">
        <f t="shared" ca="1" si="139"/>
        <v>—</v>
      </c>
      <c r="Q433" s="17">
        <f t="shared" ca="1" si="140"/>
        <v>7</v>
      </c>
      <c r="R433" s="10" t="str">
        <f t="shared" ca="1" si="141"/>
        <v>—</v>
      </c>
      <c r="S433" s="17">
        <f t="shared" ca="1" si="142"/>
        <v>7</v>
      </c>
      <c r="T433" s="70" t="str">
        <f t="shared" ca="1" si="143"/>
        <v>—</v>
      </c>
      <c r="U433" s="17">
        <f t="shared" ca="1" si="144"/>
        <v>7</v>
      </c>
      <c r="V433" s="71" t="str">
        <f t="shared" ca="1" si="145"/>
        <v>—</v>
      </c>
      <c r="W433" s="17">
        <f t="shared" ca="1" si="146"/>
        <v>7</v>
      </c>
    </row>
    <row r="434" spans="1:23" x14ac:dyDescent="0.25">
      <c r="A434" s="4">
        <f t="shared" si="126"/>
        <v>32</v>
      </c>
      <c r="B434" t="str">
        <f ca="1">TEXT(DATE(YEAR(Invoer!$A$6),1,1)+INT((ROWS(B$2:B434)-1)/4),"jjjjmmdd")</f>
        <v>19400418</v>
      </c>
      <c r="C434" s="64" t="str">
        <f>IF(MOD(ROWS(C$2:C434)-1,4)=3,"24.00",INDEX(Data,3,2+MOD(ROWS(C$2:C434)-1,4)))</f>
        <v>07.00</v>
      </c>
      <c r="D434" s="18">
        <f t="shared" ca="1" si="127"/>
        <v>757.4</v>
      </c>
      <c r="E434" s="17">
        <f t="shared" ca="1" si="128"/>
        <v>0</v>
      </c>
      <c r="F434" s="18">
        <f t="shared" ca="1" si="129"/>
        <v>26.7</v>
      </c>
      <c r="G434" s="17">
        <f t="shared" ca="1" si="130"/>
        <v>0</v>
      </c>
      <c r="H434" s="18" t="str">
        <f t="shared" ca="1" si="131"/>
        <v>—</v>
      </c>
      <c r="I434" s="17">
        <f t="shared" ca="1" si="132"/>
        <v>7</v>
      </c>
      <c r="J434" s="18" t="str">
        <f t="shared" ca="1" si="133"/>
        <v>—</v>
      </c>
      <c r="K434" s="17">
        <f t="shared" ca="1" si="134"/>
        <v>7</v>
      </c>
      <c r="L434" s="10">
        <f t="shared" ca="1" si="135"/>
        <v>73</v>
      </c>
      <c r="M434" s="17">
        <f t="shared" ca="1" si="136"/>
        <v>0</v>
      </c>
      <c r="N434" s="18">
        <f t="shared" ca="1" si="137"/>
        <v>19.2</v>
      </c>
      <c r="O434" s="17">
        <f t="shared" ca="1" si="138"/>
        <v>0</v>
      </c>
      <c r="P434" s="18">
        <f t="shared" ca="1" si="139"/>
        <v>23</v>
      </c>
      <c r="Q434" s="17">
        <f t="shared" ca="1" si="140"/>
        <v>0</v>
      </c>
      <c r="R434" s="10">
        <f t="shared" ca="1" si="141"/>
        <v>65</v>
      </c>
      <c r="S434" s="17">
        <f t="shared" ca="1" si="142"/>
        <v>0</v>
      </c>
      <c r="T434" s="70">
        <f t="shared" ca="1" si="143"/>
        <v>0.3</v>
      </c>
      <c r="U434" s="17">
        <f t="shared" ca="1" si="144"/>
        <v>0</v>
      </c>
      <c r="V434" s="71">
        <f t="shared" ca="1" si="145"/>
        <v>3</v>
      </c>
      <c r="W434" s="17">
        <f t="shared" ca="1" si="146"/>
        <v>0</v>
      </c>
    </row>
    <row r="435" spans="1:23" x14ac:dyDescent="0.25">
      <c r="A435" s="4">
        <f t="shared" si="126"/>
        <v>32</v>
      </c>
      <c r="B435" t="str">
        <f ca="1">TEXT(DATE(YEAR(Invoer!$A$6),1,1)+INT((ROWS(B$2:B435)-1)/4),"jjjjmmdd")</f>
        <v>19400418</v>
      </c>
      <c r="C435" s="64" t="str">
        <f>IF(MOD(ROWS(C$2:C435)-1,4)=3,"24.00",INDEX(Data,3,2+MOD(ROWS(C$2:C435)-1,4)))</f>
        <v>12.00</v>
      </c>
      <c r="D435" s="18">
        <f t="shared" ca="1" si="127"/>
        <v>755.6</v>
      </c>
      <c r="E435" s="17">
        <f t="shared" ca="1" si="128"/>
        <v>0</v>
      </c>
      <c r="F435" s="18">
        <f t="shared" ca="1" si="129"/>
        <v>27.1</v>
      </c>
      <c r="G435" s="17">
        <f t="shared" ca="1" si="130"/>
        <v>0</v>
      </c>
      <c r="H435" s="18" t="str">
        <f t="shared" ca="1" si="131"/>
        <v>—</v>
      </c>
      <c r="I435" s="17">
        <f t="shared" ca="1" si="132"/>
        <v>7</v>
      </c>
      <c r="J435" s="18" t="str">
        <f t="shared" ca="1" si="133"/>
        <v>—</v>
      </c>
      <c r="K435" s="17">
        <f t="shared" ca="1" si="134"/>
        <v>7</v>
      </c>
      <c r="L435" s="10">
        <f t="shared" ca="1" si="135"/>
        <v>73</v>
      </c>
      <c r="M435" s="17">
        <f t="shared" ca="1" si="136"/>
        <v>0</v>
      </c>
      <c r="N435" s="18">
        <f t="shared" ca="1" si="137"/>
        <v>19.7</v>
      </c>
      <c r="O435" s="17">
        <f t="shared" ca="1" si="138"/>
        <v>0</v>
      </c>
      <c r="P435" s="18">
        <f t="shared" ca="1" si="139"/>
        <v>23.4</v>
      </c>
      <c r="Q435" s="17">
        <f t="shared" ca="1" si="140"/>
        <v>0</v>
      </c>
      <c r="R435" s="10">
        <f t="shared" ca="1" si="141"/>
        <v>65</v>
      </c>
      <c r="S435" s="17">
        <f t="shared" ca="1" si="142"/>
        <v>0</v>
      </c>
      <c r="T435" s="70">
        <f t="shared" ca="1" si="143"/>
        <v>0.4</v>
      </c>
      <c r="U435" s="17">
        <f t="shared" ca="1" si="144"/>
        <v>0</v>
      </c>
      <c r="V435" s="71">
        <f t="shared" ca="1" si="145"/>
        <v>2</v>
      </c>
      <c r="W435" s="17">
        <f t="shared" ca="1" si="146"/>
        <v>0</v>
      </c>
    </row>
    <row r="436" spans="1:23" x14ac:dyDescent="0.25">
      <c r="A436" s="4">
        <f t="shared" si="126"/>
        <v>32</v>
      </c>
      <c r="B436" t="str">
        <f ca="1">TEXT(DATE(YEAR(Invoer!$A$6),1,1)+INT((ROWS(B$2:B436)-1)/4),"jjjjmmdd")</f>
        <v>19400418</v>
      </c>
      <c r="C436" s="64" t="str">
        <f>IF(MOD(ROWS(C$2:C436)-1,4)=3,"24.00",INDEX(Data,3,2+MOD(ROWS(C$2:C436)-1,4)))</f>
        <v>17.00</v>
      </c>
      <c r="D436" s="18">
        <f t="shared" ca="1" si="127"/>
        <v>755.6</v>
      </c>
      <c r="E436" s="17">
        <f t="shared" ca="1" si="128"/>
        <v>0</v>
      </c>
      <c r="F436" s="18">
        <f t="shared" ca="1" si="129"/>
        <v>27.5</v>
      </c>
      <c r="G436" s="17">
        <f t="shared" ca="1" si="130"/>
        <v>0</v>
      </c>
      <c r="H436" s="18" t="str">
        <f t="shared" ca="1" si="131"/>
        <v>—</v>
      </c>
      <c r="I436" s="17">
        <f t="shared" ca="1" si="132"/>
        <v>7</v>
      </c>
      <c r="J436" s="18" t="str">
        <f t="shared" ca="1" si="133"/>
        <v>—</v>
      </c>
      <c r="K436" s="17">
        <f t="shared" ca="1" si="134"/>
        <v>7</v>
      </c>
      <c r="L436" s="10">
        <f t="shared" ca="1" si="135"/>
        <v>68</v>
      </c>
      <c r="M436" s="17">
        <f t="shared" ca="1" si="136"/>
        <v>0</v>
      </c>
      <c r="N436" s="18">
        <f t="shared" ca="1" si="137"/>
        <v>18.8</v>
      </c>
      <c r="O436" s="17">
        <f t="shared" ca="1" si="138"/>
        <v>0</v>
      </c>
      <c r="P436" s="18">
        <f t="shared" ca="1" si="139"/>
        <v>23</v>
      </c>
      <c r="Q436" s="17">
        <f t="shared" ca="1" si="140"/>
        <v>0</v>
      </c>
      <c r="R436" s="10">
        <f t="shared" ca="1" si="141"/>
        <v>45</v>
      </c>
      <c r="S436" s="17">
        <f t="shared" ca="1" si="142"/>
        <v>0</v>
      </c>
      <c r="T436" s="70">
        <f t="shared" ca="1" si="143"/>
        <v>0.4</v>
      </c>
      <c r="U436" s="17">
        <f t="shared" ca="1" si="144"/>
        <v>0</v>
      </c>
      <c r="V436" s="71">
        <f t="shared" ca="1" si="145"/>
        <v>2</v>
      </c>
      <c r="W436" s="17">
        <f t="shared" ca="1" si="146"/>
        <v>0</v>
      </c>
    </row>
    <row r="437" spans="1:23" x14ac:dyDescent="0.25">
      <c r="A437" s="4">
        <f t="shared" si="126"/>
        <v>32</v>
      </c>
      <c r="B437" t="str">
        <f ca="1">TEXT(DATE(YEAR(Invoer!$A$6),1,1)+INT((ROWS(B$2:B437)-1)/4),"jjjjmmdd")</f>
        <v>19400418</v>
      </c>
      <c r="C437" s="64" t="str">
        <f>IF(MOD(ROWS(C$2:C437)-1,4)=3,"24.00",INDEX(Data,3,2+MOD(ROWS(C$2:C437)-1,4)))</f>
        <v>24.00</v>
      </c>
      <c r="D437" s="18" t="str">
        <f t="shared" ca="1" si="127"/>
        <v>—</v>
      </c>
      <c r="E437" s="17">
        <f t="shared" ca="1" si="128"/>
        <v>7</v>
      </c>
      <c r="F437" s="18" t="str">
        <f t="shared" ca="1" si="129"/>
        <v>—</v>
      </c>
      <c r="G437" s="17">
        <f t="shared" ca="1" si="130"/>
        <v>7</v>
      </c>
      <c r="H437" s="18">
        <f t="shared" ca="1" si="131"/>
        <v>27.4</v>
      </c>
      <c r="I437" s="17">
        <f t="shared" ca="1" si="132"/>
        <v>0</v>
      </c>
      <c r="J437" s="18">
        <f t="shared" ca="1" si="133"/>
        <v>29.4</v>
      </c>
      <c r="K437" s="17">
        <f t="shared" ca="1" si="134"/>
        <v>0</v>
      </c>
      <c r="L437" s="10" t="str">
        <f t="shared" ca="1" si="135"/>
        <v>—</v>
      </c>
      <c r="M437" s="17">
        <f t="shared" ca="1" si="136"/>
        <v>7</v>
      </c>
      <c r="N437" s="18" t="str">
        <f t="shared" ca="1" si="137"/>
        <v>—</v>
      </c>
      <c r="O437" s="17">
        <f t="shared" ca="1" si="138"/>
        <v>7</v>
      </c>
      <c r="P437" s="18" t="str">
        <f t="shared" ca="1" si="139"/>
        <v>—</v>
      </c>
      <c r="Q437" s="17">
        <f t="shared" ca="1" si="140"/>
        <v>7</v>
      </c>
      <c r="R437" s="10" t="str">
        <f t="shared" ca="1" si="141"/>
        <v>—</v>
      </c>
      <c r="S437" s="17">
        <f t="shared" ca="1" si="142"/>
        <v>7</v>
      </c>
      <c r="T437" s="70" t="str">
        <f t="shared" ca="1" si="143"/>
        <v>—</v>
      </c>
      <c r="U437" s="17">
        <f t="shared" ca="1" si="144"/>
        <v>7</v>
      </c>
      <c r="V437" s="71" t="str">
        <f t="shared" ca="1" si="145"/>
        <v>—</v>
      </c>
      <c r="W437" s="17">
        <f t="shared" ca="1" si="146"/>
        <v>7</v>
      </c>
    </row>
    <row r="438" spans="1:23" x14ac:dyDescent="0.25">
      <c r="A438" s="4">
        <f t="shared" si="126"/>
        <v>32</v>
      </c>
      <c r="B438" t="str">
        <f ca="1">TEXT(DATE(YEAR(Invoer!$A$6),1,1)+INT((ROWS(B$2:B438)-1)/4),"jjjjmmdd")</f>
        <v>19400419</v>
      </c>
      <c r="C438" s="64" t="str">
        <f>IF(MOD(ROWS(C$2:C438)-1,4)=3,"24.00",INDEX(Data,3,2+MOD(ROWS(C$2:C438)-1,4)))</f>
        <v>07.00</v>
      </c>
      <c r="D438" s="18">
        <f t="shared" ca="1" si="127"/>
        <v>758.5</v>
      </c>
      <c r="E438" s="17">
        <f t="shared" ca="1" si="128"/>
        <v>0</v>
      </c>
      <c r="F438" s="18">
        <f t="shared" ca="1" si="129"/>
        <v>27.3</v>
      </c>
      <c r="G438" s="17">
        <f t="shared" ca="1" si="130"/>
        <v>0</v>
      </c>
      <c r="H438" s="18" t="str">
        <f t="shared" ca="1" si="131"/>
        <v>—</v>
      </c>
      <c r="I438" s="17">
        <f t="shared" ca="1" si="132"/>
        <v>7</v>
      </c>
      <c r="J438" s="18" t="str">
        <f t="shared" ca="1" si="133"/>
        <v>—</v>
      </c>
      <c r="K438" s="17">
        <f t="shared" ca="1" si="134"/>
        <v>7</v>
      </c>
      <c r="L438" s="10">
        <f t="shared" ca="1" si="135"/>
        <v>75</v>
      </c>
      <c r="M438" s="17">
        <f t="shared" ca="1" si="136"/>
        <v>0</v>
      </c>
      <c r="N438" s="18">
        <f t="shared" ca="1" si="137"/>
        <v>20.399999999999999</v>
      </c>
      <c r="O438" s="17">
        <f t="shared" ca="1" si="138"/>
        <v>0</v>
      </c>
      <c r="P438" s="18">
        <f t="shared" ca="1" si="139"/>
        <v>23.8</v>
      </c>
      <c r="Q438" s="17">
        <f t="shared" ca="1" si="140"/>
        <v>0</v>
      </c>
      <c r="R438" s="10">
        <f t="shared" ca="1" si="141"/>
        <v>45</v>
      </c>
      <c r="S438" s="17">
        <f t="shared" ca="1" si="142"/>
        <v>0</v>
      </c>
      <c r="T438" s="70">
        <f t="shared" ca="1" si="143"/>
        <v>0.2</v>
      </c>
      <c r="U438" s="17">
        <f t="shared" ca="1" si="144"/>
        <v>0</v>
      </c>
      <c r="V438" s="71">
        <f t="shared" ca="1" si="145"/>
        <v>5</v>
      </c>
      <c r="W438" s="17">
        <f t="shared" ca="1" si="146"/>
        <v>0</v>
      </c>
    </row>
    <row r="439" spans="1:23" x14ac:dyDescent="0.25">
      <c r="A439" s="4">
        <f t="shared" si="126"/>
        <v>32</v>
      </c>
      <c r="B439" t="str">
        <f ca="1">TEXT(DATE(YEAR(Invoer!$A$6),1,1)+INT((ROWS(B$2:B439)-1)/4),"jjjjmmdd")</f>
        <v>19400419</v>
      </c>
      <c r="C439" s="64" t="str">
        <f>IF(MOD(ROWS(C$2:C439)-1,4)=3,"24.00",INDEX(Data,3,2+MOD(ROWS(C$2:C439)-1,4)))</f>
        <v>12.00</v>
      </c>
      <c r="D439" s="18">
        <f t="shared" ca="1" si="127"/>
        <v>758.2</v>
      </c>
      <c r="E439" s="17">
        <f t="shared" ca="1" si="128"/>
        <v>0</v>
      </c>
      <c r="F439" s="18">
        <f t="shared" ca="1" si="129"/>
        <v>27.5</v>
      </c>
      <c r="G439" s="17">
        <f t="shared" ca="1" si="130"/>
        <v>0</v>
      </c>
      <c r="H439" s="18" t="str">
        <f t="shared" ca="1" si="131"/>
        <v>—</v>
      </c>
      <c r="I439" s="17">
        <f t="shared" ca="1" si="132"/>
        <v>7</v>
      </c>
      <c r="J439" s="18" t="str">
        <f t="shared" ca="1" si="133"/>
        <v>—</v>
      </c>
      <c r="K439" s="17">
        <f t="shared" ca="1" si="134"/>
        <v>7</v>
      </c>
      <c r="L439" s="10">
        <f t="shared" ca="1" si="135"/>
        <v>70</v>
      </c>
      <c r="M439" s="17">
        <f t="shared" ca="1" si="136"/>
        <v>0</v>
      </c>
      <c r="N439" s="18">
        <f t="shared" ca="1" si="137"/>
        <v>19.2</v>
      </c>
      <c r="O439" s="17">
        <f t="shared" ca="1" si="138"/>
        <v>0</v>
      </c>
      <c r="P439" s="18">
        <f t="shared" ca="1" si="139"/>
        <v>23.2</v>
      </c>
      <c r="Q439" s="17">
        <f t="shared" ca="1" si="140"/>
        <v>0</v>
      </c>
      <c r="R439" s="10">
        <f t="shared" ca="1" si="141"/>
        <v>25</v>
      </c>
      <c r="S439" s="17">
        <f t="shared" ca="1" si="142"/>
        <v>0</v>
      </c>
      <c r="T439" s="70">
        <f t="shared" ca="1" si="143"/>
        <v>0.3</v>
      </c>
      <c r="U439" s="17">
        <f t="shared" ca="1" si="144"/>
        <v>0</v>
      </c>
      <c r="V439" s="71">
        <f t="shared" ca="1" si="145"/>
        <v>6</v>
      </c>
      <c r="W439" s="17">
        <f t="shared" ca="1" si="146"/>
        <v>0</v>
      </c>
    </row>
    <row r="440" spans="1:23" x14ac:dyDescent="0.25">
      <c r="A440" s="4">
        <f t="shared" si="126"/>
        <v>32</v>
      </c>
      <c r="B440" t="str">
        <f ca="1">TEXT(DATE(YEAR(Invoer!$A$6),1,1)+INT((ROWS(B$2:B440)-1)/4),"jjjjmmdd")</f>
        <v>19400419</v>
      </c>
      <c r="C440" s="64" t="str">
        <f>IF(MOD(ROWS(C$2:C440)-1,4)=3,"24.00",INDEX(Data,3,2+MOD(ROWS(C$2:C440)-1,4)))</f>
        <v>17.00</v>
      </c>
      <c r="D440" s="18">
        <f t="shared" ca="1" si="127"/>
        <v>758.5</v>
      </c>
      <c r="E440" s="17">
        <f t="shared" ca="1" si="128"/>
        <v>0</v>
      </c>
      <c r="F440" s="18">
        <f t="shared" ca="1" si="129"/>
        <v>27.5</v>
      </c>
      <c r="G440" s="17">
        <f t="shared" ca="1" si="130"/>
        <v>0</v>
      </c>
      <c r="H440" s="18" t="str">
        <f t="shared" ca="1" si="131"/>
        <v>—</v>
      </c>
      <c r="I440" s="17">
        <f t="shared" ca="1" si="132"/>
        <v>7</v>
      </c>
      <c r="J440" s="18" t="str">
        <f t="shared" ca="1" si="133"/>
        <v>—</v>
      </c>
      <c r="K440" s="17">
        <f t="shared" ca="1" si="134"/>
        <v>7</v>
      </c>
      <c r="L440" s="10">
        <f t="shared" ca="1" si="135"/>
        <v>67</v>
      </c>
      <c r="M440" s="17">
        <f t="shared" ca="1" si="136"/>
        <v>0</v>
      </c>
      <c r="N440" s="18">
        <f t="shared" ca="1" si="137"/>
        <v>18.5</v>
      </c>
      <c r="O440" s="17">
        <f t="shared" ca="1" si="138"/>
        <v>0</v>
      </c>
      <c r="P440" s="18">
        <f t="shared" ca="1" si="139"/>
        <v>22.8</v>
      </c>
      <c r="Q440" s="17">
        <f t="shared" ca="1" si="140"/>
        <v>0</v>
      </c>
      <c r="R440" s="10">
        <f t="shared" ca="1" si="141"/>
        <v>25</v>
      </c>
      <c r="S440" s="17">
        <f t="shared" ca="1" si="142"/>
        <v>0</v>
      </c>
      <c r="T440" s="70">
        <f t="shared" ca="1" si="143"/>
        <v>0.2</v>
      </c>
      <c r="U440" s="17">
        <f t="shared" ca="1" si="144"/>
        <v>0</v>
      </c>
      <c r="V440" s="71">
        <f t="shared" ca="1" si="145"/>
        <v>6</v>
      </c>
      <c r="W440" s="17">
        <f t="shared" ca="1" si="146"/>
        <v>0</v>
      </c>
    </row>
    <row r="441" spans="1:23" x14ac:dyDescent="0.25">
      <c r="A441" s="4">
        <f t="shared" si="126"/>
        <v>32</v>
      </c>
      <c r="B441" t="str">
        <f ca="1">TEXT(DATE(YEAR(Invoer!$A$6),1,1)+INT((ROWS(B$2:B441)-1)/4),"jjjjmmdd")</f>
        <v>19400419</v>
      </c>
      <c r="C441" s="64" t="str">
        <f>IF(MOD(ROWS(C$2:C441)-1,4)=3,"24.00",INDEX(Data,3,2+MOD(ROWS(C$2:C441)-1,4)))</f>
        <v>24.00</v>
      </c>
      <c r="D441" s="18" t="str">
        <f t="shared" ca="1" si="127"/>
        <v>—</v>
      </c>
      <c r="E441" s="17">
        <f t="shared" ca="1" si="128"/>
        <v>7</v>
      </c>
      <c r="F441" s="18" t="str">
        <f t="shared" ca="1" si="129"/>
        <v>—</v>
      </c>
      <c r="G441" s="17">
        <f t="shared" ca="1" si="130"/>
        <v>7</v>
      </c>
      <c r="H441" s="18">
        <f t="shared" ca="1" si="131"/>
        <v>28</v>
      </c>
      <c r="I441" s="17">
        <f t="shared" ca="1" si="132"/>
        <v>0</v>
      </c>
      <c r="J441" s="18">
        <f t="shared" ca="1" si="133"/>
        <v>29.6</v>
      </c>
      <c r="K441" s="17">
        <f t="shared" ca="1" si="134"/>
        <v>0</v>
      </c>
      <c r="L441" s="10" t="str">
        <f t="shared" ca="1" si="135"/>
        <v>—</v>
      </c>
      <c r="M441" s="17">
        <f t="shared" ca="1" si="136"/>
        <v>7</v>
      </c>
      <c r="N441" s="18" t="str">
        <f t="shared" ca="1" si="137"/>
        <v>—</v>
      </c>
      <c r="O441" s="17">
        <f t="shared" ca="1" si="138"/>
        <v>7</v>
      </c>
      <c r="P441" s="18" t="str">
        <f t="shared" ca="1" si="139"/>
        <v>—</v>
      </c>
      <c r="Q441" s="17">
        <f t="shared" ca="1" si="140"/>
        <v>7</v>
      </c>
      <c r="R441" s="10" t="str">
        <f t="shared" ca="1" si="141"/>
        <v>—</v>
      </c>
      <c r="S441" s="17">
        <f t="shared" ca="1" si="142"/>
        <v>7</v>
      </c>
      <c r="T441" s="70" t="str">
        <f t="shared" ca="1" si="143"/>
        <v>—</v>
      </c>
      <c r="U441" s="17">
        <f t="shared" ca="1" si="144"/>
        <v>7</v>
      </c>
      <c r="V441" s="71" t="str">
        <f t="shared" ca="1" si="145"/>
        <v>—</v>
      </c>
      <c r="W441" s="17">
        <f t="shared" ca="1" si="146"/>
        <v>7</v>
      </c>
    </row>
    <row r="442" spans="1:23" x14ac:dyDescent="0.25">
      <c r="A442" s="4">
        <f t="shared" si="126"/>
        <v>32</v>
      </c>
      <c r="B442" t="str">
        <f ca="1">TEXT(DATE(YEAR(Invoer!$A$6),1,1)+INT((ROWS(B$2:B442)-1)/4),"jjjjmmdd")</f>
        <v>19400420</v>
      </c>
      <c r="C442" s="64" t="str">
        <f>IF(MOD(ROWS(C$2:C442)-1,4)=3,"24.00",INDEX(Data,3,2+MOD(ROWS(C$2:C442)-1,4)))</f>
        <v>07.00</v>
      </c>
      <c r="D442" s="18">
        <f t="shared" ca="1" si="127"/>
        <v>759.5</v>
      </c>
      <c r="E442" s="17">
        <f t="shared" ca="1" si="128"/>
        <v>0</v>
      </c>
      <c r="F442" s="18">
        <f t="shared" ca="1" si="129"/>
        <v>27.7</v>
      </c>
      <c r="G442" s="17">
        <f t="shared" ca="1" si="130"/>
        <v>0</v>
      </c>
      <c r="H442" s="18" t="str">
        <f t="shared" ca="1" si="131"/>
        <v>—</v>
      </c>
      <c r="I442" s="17">
        <f t="shared" ca="1" si="132"/>
        <v>7</v>
      </c>
      <c r="J442" s="18" t="str">
        <f t="shared" ca="1" si="133"/>
        <v>—</v>
      </c>
      <c r="K442" s="17">
        <f t="shared" ca="1" si="134"/>
        <v>7</v>
      </c>
      <c r="L442" s="10">
        <f t="shared" ca="1" si="135"/>
        <v>82</v>
      </c>
      <c r="M442" s="17">
        <f t="shared" ca="1" si="136"/>
        <v>0</v>
      </c>
      <c r="N442" s="18">
        <f t="shared" ca="1" si="137"/>
        <v>22.8</v>
      </c>
      <c r="O442" s="17">
        <f t="shared" ca="1" si="138"/>
        <v>0</v>
      </c>
      <c r="P442" s="18">
        <f t="shared" ca="1" si="139"/>
        <v>25.2</v>
      </c>
      <c r="Q442" s="17">
        <f t="shared" ca="1" si="140"/>
        <v>0</v>
      </c>
      <c r="R442" s="10">
        <f t="shared" ca="1" si="141"/>
        <v>45</v>
      </c>
      <c r="S442" s="17">
        <f t="shared" ca="1" si="142"/>
        <v>0</v>
      </c>
      <c r="T442" s="70">
        <f t="shared" ca="1" si="143"/>
        <v>0.1</v>
      </c>
      <c r="U442" s="17">
        <f t="shared" ca="1" si="144"/>
        <v>0</v>
      </c>
      <c r="V442" s="71">
        <f t="shared" ca="1" si="145"/>
        <v>5</v>
      </c>
      <c r="W442" s="17">
        <f t="shared" ca="1" si="146"/>
        <v>0</v>
      </c>
    </row>
    <row r="443" spans="1:23" x14ac:dyDescent="0.25">
      <c r="A443" s="4">
        <f t="shared" si="126"/>
        <v>32</v>
      </c>
      <c r="B443" t="str">
        <f ca="1">TEXT(DATE(YEAR(Invoer!$A$6),1,1)+INT((ROWS(B$2:B443)-1)/4),"jjjjmmdd")</f>
        <v>19400420</v>
      </c>
      <c r="C443" s="64" t="str">
        <f>IF(MOD(ROWS(C$2:C443)-1,4)=3,"24.00",INDEX(Data,3,2+MOD(ROWS(C$2:C443)-1,4)))</f>
        <v>12.00</v>
      </c>
      <c r="D443" s="18">
        <f t="shared" ca="1" si="127"/>
        <v>759.2</v>
      </c>
      <c r="E443" s="17">
        <f t="shared" ca="1" si="128"/>
        <v>0</v>
      </c>
      <c r="F443" s="18">
        <f t="shared" ca="1" si="129"/>
        <v>27.5</v>
      </c>
      <c r="G443" s="17">
        <f t="shared" ca="1" si="130"/>
        <v>0</v>
      </c>
      <c r="H443" s="18" t="str">
        <f t="shared" ca="1" si="131"/>
        <v>—</v>
      </c>
      <c r="I443" s="17">
        <f t="shared" ca="1" si="132"/>
        <v>7</v>
      </c>
      <c r="J443" s="18" t="str">
        <f t="shared" ca="1" si="133"/>
        <v>—</v>
      </c>
      <c r="K443" s="17">
        <f t="shared" ca="1" si="134"/>
        <v>7</v>
      </c>
      <c r="L443" s="10">
        <f t="shared" ca="1" si="135"/>
        <v>78</v>
      </c>
      <c r="M443" s="17">
        <f t="shared" ca="1" si="136"/>
        <v>0</v>
      </c>
      <c r="N443" s="18">
        <f t="shared" ca="1" si="137"/>
        <v>21.4</v>
      </c>
      <c r="O443" s="17">
        <f t="shared" ca="1" si="138"/>
        <v>0</v>
      </c>
      <c r="P443" s="18">
        <f t="shared" ca="1" si="139"/>
        <v>24.4</v>
      </c>
      <c r="Q443" s="17">
        <f t="shared" ca="1" si="140"/>
        <v>0</v>
      </c>
      <c r="R443" s="10">
        <f t="shared" ca="1" si="141"/>
        <v>45</v>
      </c>
      <c r="S443" s="17">
        <f t="shared" ca="1" si="142"/>
        <v>0</v>
      </c>
      <c r="T443" s="70">
        <f t="shared" ca="1" si="143"/>
        <v>0.1</v>
      </c>
      <c r="U443" s="17">
        <f t="shared" ca="1" si="144"/>
        <v>0</v>
      </c>
      <c r="V443" s="71">
        <f t="shared" ca="1" si="145"/>
        <v>6</v>
      </c>
      <c r="W443" s="17">
        <f t="shared" ca="1" si="146"/>
        <v>0</v>
      </c>
    </row>
    <row r="444" spans="1:23" x14ac:dyDescent="0.25">
      <c r="A444" s="4">
        <f t="shared" si="126"/>
        <v>32</v>
      </c>
      <c r="B444" t="str">
        <f ca="1">TEXT(DATE(YEAR(Invoer!$A$6),1,1)+INT((ROWS(B$2:B444)-1)/4),"jjjjmmdd")</f>
        <v>19400420</v>
      </c>
      <c r="C444" s="64" t="str">
        <f>IF(MOD(ROWS(C$2:C444)-1,4)=3,"24.00",INDEX(Data,3,2+MOD(ROWS(C$2:C444)-1,4)))</f>
        <v>17.00</v>
      </c>
      <c r="D444" s="18">
        <f t="shared" ca="1" si="127"/>
        <v>758.7</v>
      </c>
      <c r="E444" s="17">
        <f t="shared" ca="1" si="128"/>
        <v>0</v>
      </c>
      <c r="F444" s="18">
        <f t="shared" ca="1" si="129"/>
        <v>27.1</v>
      </c>
      <c r="G444" s="17">
        <f t="shared" ca="1" si="130"/>
        <v>0</v>
      </c>
      <c r="H444" s="18" t="str">
        <f t="shared" ca="1" si="131"/>
        <v>—</v>
      </c>
      <c r="I444" s="17">
        <f t="shared" ca="1" si="132"/>
        <v>7</v>
      </c>
      <c r="J444" s="18" t="str">
        <f t="shared" ca="1" si="133"/>
        <v>—</v>
      </c>
      <c r="K444" s="17">
        <f t="shared" ca="1" si="134"/>
        <v>7</v>
      </c>
      <c r="L444" s="10">
        <f t="shared" ca="1" si="135"/>
        <v>80</v>
      </c>
      <c r="M444" s="17">
        <f t="shared" ca="1" si="136"/>
        <v>0</v>
      </c>
      <c r="N444" s="18">
        <f t="shared" ca="1" si="137"/>
        <v>21.6</v>
      </c>
      <c r="O444" s="17">
        <f t="shared" ca="1" si="138"/>
        <v>0</v>
      </c>
      <c r="P444" s="18">
        <f t="shared" ca="1" si="139"/>
        <v>24.4</v>
      </c>
      <c r="Q444" s="17">
        <f t="shared" ca="1" si="140"/>
        <v>0</v>
      </c>
      <c r="R444" s="10">
        <f t="shared" ca="1" si="141"/>
        <v>25</v>
      </c>
      <c r="S444" s="17">
        <f t="shared" ca="1" si="142"/>
        <v>0</v>
      </c>
      <c r="T444" s="70">
        <f t="shared" ca="1" si="143"/>
        <v>0.2</v>
      </c>
      <c r="U444" s="17">
        <f t="shared" ca="1" si="144"/>
        <v>0</v>
      </c>
      <c r="V444" s="71">
        <f t="shared" ca="1" si="145"/>
        <v>5</v>
      </c>
      <c r="W444" s="17">
        <f t="shared" ca="1" si="146"/>
        <v>0</v>
      </c>
    </row>
    <row r="445" spans="1:23" x14ac:dyDescent="0.25">
      <c r="A445" s="4">
        <f t="shared" si="126"/>
        <v>32</v>
      </c>
      <c r="B445" t="str">
        <f ca="1">TEXT(DATE(YEAR(Invoer!$A$6),1,1)+INT((ROWS(B$2:B445)-1)/4),"jjjjmmdd")</f>
        <v>19400420</v>
      </c>
      <c r="C445" s="64" t="str">
        <f>IF(MOD(ROWS(C$2:C445)-1,4)=3,"24.00",INDEX(Data,3,2+MOD(ROWS(C$2:C445)-1,4)))</f>
        <v>24.00</v>
      </c>
      <c r="D445" s="18" t="str">
        <f t="shared" ca="1" si="127"/>
        <v>—</v>
      </c>
      <c r="E445" s="17">
        <f t="shared" ca="1" si="128"/>
        <v>7</v>
      </c>
      <c r="F445" s="18" t="str">
        <f t="shared" ca="1" si="129"/>
        <v>—</v>
      </c>
      <c r="G445" s="17">
        <f t="shared" ca="1" si="130"/>
        <v>7</v>
      </c>
      <c r="H445" s="18">
        <f t="shared" ca="1" si="131"/>
        <v>28.2</v>
      </c>
      <c r="I445" s="17">
        <f t="shared" ca="1" si="132"/>
        <v>0</v>
      </c>
      <c r="J445" s="18">
        <f t="shared" ca="1" si="133"/>
        <v>29.8</v>
      </c>
      <c r="K445" s="17">
        <f t="shared" ca="1" si="134"/>
        <v>0</v>
      </c>
      <c r="L445" s="10" t="str">
        <f t="shared" ca="1" si="135"/>
        <v>—</v>
      </c>
      <c r="M445" s="17">
        <f t="shared" ca="1" si="136"/>
        <v>7</v>
      </c>
      <c r="N445" s="18" t="str">
        <f t="shared" ca="1" si="137"/>
        <v>—</v>
      </c>
      <c r="O445" s="17">
        <f t="shared" ca="1" si="138"/>
        <v>7</v>
      </c>
      <c r="P445" s="18" t="str">
        <f t="shared" ca="1" si="139"/>
        <v>—</v>
      </c>
      <c r="Q445" s="17">
        <f t="shared" ca="1" si="140"/>
        <v>7</v>
      </c>
      <c r="R445" s="10" t="str">
        <f t="shared" ca="1" si="141"/>
        <v>—</v>
      </c>
      <c r="S445" s="17">
        <f t="shared" ca="1" si="142"/>
        <v>7</v>
      </c>
      <c r="T445" s="70" t="str">
        <f t="shared" ca="1" si="143"/>
        <v>—</v>
      </c>
      <c r="U445" s="17">
        <f t="shared" ca="1" si="144"/>
        <v>7</v>
      </c>
      <c r="V445" s="71" t="str">
        <f t="shared" ca="1" si="145"/>
        <v>—</v>
      </c>
      <c r="W445" s="17">
        <f t="shared" ca="1" si="146"/>
        <v>7</v>
      </c>
    </row>
    <row r="446" spans="1:23" x14ac:dyDescent="0.25">
      <c r="A446" s="4">
        <f t="shared" si="126"/>
        <v>32</v>
      </c>
      <c r="B446" t="str">
        <f ca="1">TEXT(DATE(YEAR(Invoer!$A$6),1,1)+INT((ROWS(B$2:B446)-1)/4),"jjjjmmdd")</f>
        <v>19400421</v>
      </c>
      <c r="C446" s="64" t="str">
        <f>IF(MOD(ROWS(C$2:C446)-1,4)=3,"24.00",INDEX(Data,3,2+MOD(ROWS(C$2:C446)-1,4)))</f>
        <v>07.00</v>
      </c>
      <c r="D446" s="18">
        <f t="shared" ca="1" si="127"/>
        <v>758.5</v>
      </c>
      <c r="E446" s="17">
        <f t="shared" ca="1" si="128"/>
        <v>0</v>
      </c>
      <c r="F446" s="18">
        <f t="shared" ca="1" si="129"/>
        <v>27.1</v>
      </c>
      <c r="G446" s="17">
        <f t="shared" ca="1" si="130"/>
        <v>0</v>
      </c>
      <c r="H446" s="18" t="str">
        <f t="shared" ca="1" si="131"/>
        <v>—</v>
      </c>
      <c r="I446" s="17">
        <f t="shared" ca="1" si="132"/>
        <v>7</v>
      </c>
      <c r="J446" s="18" t="str">
        <f t="shared" ca="1" si="133"/>
        <v>—</v>
      </c>
      <c r="K446" s="17">
        <f t="shared" ca="1" si="134"/>
        <v>7</v>
      </c>
      <c r="L446" s="10">
        <f t="shared" ca="1" si="135"/>
        <v>83</v>
      </c>
      <c r="M446" s="17">
        <f t="shared" ca="1" si="136"/>
        <v>0</v>
      </c>
      <c r="N446" s="18">
        <f t="shared" ca="1" si="137"/>
        <v>22.3</v>
      </c>
      <c r="O446" s="17">
        <f t="shared" ca="1" si="138"/>
        <v>0</v>
      </c>
      <c r="P446" s="18">
        <f t="shared" ca="1" si="139"/>
        <v>24.8</v>
      </c>
      <c r="Q446" s="17">
        <f t="shared" ca="1" si="140"/>
        <v>0</v>
      </c>
      <c r="R446" s="10">
        <f t="shared" ca="1" si="141"/>
        <v>45</v>
      </c>
      <c r="S446" s="17">
        <f t="shared" ca="1" si="142"/>
        <v>0</v>
      </c>
      <c r="T446" s="70">
        <f t="shared" ca="1" si="143"/>
        <v>0.1</v>
      </c>
      <c r="U446" s="17">
        <f t="shared" ca="1" si="144"/>
        <v>0</v>
      </c>
      <c r="V446" s="71">
        <f t="shared" ca="1" si="145"/>
        <v>4</v>
      </c>
      <c r="W446" s="17">
        <f t="shared" ca="1" si="146"/>
        <v>0</v>
      </c>
    </row>
    <row r="447" spans="1:23" x14ac:dyDescent="0.25">
      <c r="A447" s="4">
        <f t="shared" si="126"/>
        <v>32</v>
      </c>
      <c r="B447" t="str">
        <f ca="1">TEXT(DATE(YEAR(Invoer!$A$6),1,1)+INT((ROWS(B$2:B447)-1)/4),"jjjjmmdd")</f>
        <v>19400421</v>
      </c>
      <c r="C447" s="64" t="str">
        <f>IF(MOD(ROWS(C$2:C447)-1,4)=3,"24.00",INDEX(Data,3,2+MOD(ROWS(C$2:C447)-1,4)))</f>
        <v>12.00</v>
      </c>
      <c r="D447" s="18">
        <f t="shared" ca="1" si="127"/>
        <v>758.9</v>
      </c>
      <c r="E447" s="17">
        <f t="shared" ca="1" si="128"/>
        <v>0</v>
      </c>
      <c r="F447" s="18">
        <f t="shared" ca="1" si="129"/>
        <v>29.5</v>
      </c>
      <c r="G447" s="17">
        <f t="shared" ca="1" si="130"/>
        <v>0</v>
      </c>
      <c r="H447" s="18" t="str">
        <f t="shared" ca="1" si="131"/>
        <v>—</v>
      </c>
      <c r="I447" s="17">
        <f t="shared" ca="1" si="132"/>
        <v>7</v>
      </c>
      <c r="J447" s="18" t="str">
        <f t="shared" ca="1" si="133"/>
        <v>—</v>
      </c>
      <c r="K447" s="17">
        <f t="shared" ca="1" si="134"/>
        <v>7</v>
      </c>
      <c r="L447" s="10">
        <f t="shared" ca="1" si="135"/>
        <v>67</v>
      </c>
      <c r="M447" s="17">
        <f t="shared" ca="1" si="136"/>
        <v>0</v>
      </c>
      <c r="N447" s="18">
        <f t="shared" ca="1" si="137"/>
        <v>20.8</v>
      </c>
      <c r="O447" s="17">
        <f t="shared" ca="1" si="138"/>
        <v>0</v>
      </c>
      <c r="P447" s="18">
        <f t="shared" ca="1" si="139"/>
        <v>24.6</v>
      </c>
      <c r="Q447" s="17">
        <f t="shared" ca="1" si="140"/>
        <v>0</v>
      </c>
      <c r="R447" s="10">
        <f t="shared" ca="1" si="141"/>
        <v>135</v>
      </c>
      <c r="S447" s="17">
        <f t="shared" ca="1" si="142"/>
        <v>0</v>
      </c>
      <c r="T447" s="70">
        <f t="shared" ca="1" si="143"/>
        <v>0.1</v>
      </c>
      <c r="U447" s="17">
        <f t="shared" ca="1" si="144"/>
        <v>0</v>
      </c>
      <c r="V447" s="71">
        <f t="shared" ca="1" si="145"/>
        <v>6</v>
      </c>
      <c r="W447" s="17">
        <f t="shared" ca="1" si="146"/>
        <v>0</v>
      </c>
    </row>
    <row r="448" spans="1:23" x14ac:dyDescent="0.25">
      <c r="A448" s="4">
        <f t="shared" si="126"/>
        <v>32</v>
      </c>
      <c r="B448" t="str">
        <f ca="1">TEXT(DATE(YEAR(Invoer!$A$6),1,1)+INT((ROWS(B$2:B448)-1)/4),"jjjjmmdd")</f>
        <v>19400421</v>
      </c>
      <c r="C448" s="64" t="str">
        <f>IF(MOD(ROWS(C$2:C448)-1,4)=3,"24.00",INDEX(Data,3,2+MOD(ROWS(C$2:C448)-1,4)))</f>
        <v>17.00</v>
      </c>
      <c r="D448" s="18">
        <f t="shared" ca="1" si="127"/>
        <v>758.7</v>
      </c>
      <c r="E448" s="17">
        <f t="shared" ca="1" si="128"/>
        <v>0</v>
      </c>
      <c r="F448" s="18">
        <f t="shared" ca="1" si="129"/>
        <v>28.7</v>
      </c>
      <c r="G448" s="17">
        <f t="shared" ca="1" si="130"/>
        <v>0</v>
      </c>
      <c r="H448" s="18" t="str">
        <f t="shared" ca="1" si="131"/>
        <v>—</v>
      </c>
      <c r="I448" s="17">
        <f t="shared" ca="1" si="132"/>
        <v>7</v>
      </c>
      <c r="J448" s="18" t="str">
        <f t="shared" ca="1" si="133"/>
        <v>—</v>
      </c>
      <c r="K448" s="17">
        <f t="shared" ca="1" si="134"/>
        <v>7</v>
      </c>
      <c r="L448" s="10">
        <f t="shared" ca="1" si="135"/>
        <v>71</v>
      </c>
      <c r="M448" s="17">
        <f t="shared" ca="1" si="136"/>
        <v>0</v>
      </c>
      <c r="N448" s="18">
        <f t="shared" ca="1" si="137"/>
        <v>21</v>
      </c>
      <c r="O448" s="17">
        <f t="shared" ca="1" si="138"/>
        <v>0</v>
      </c>
      <c r="P448" s="18">
        <f t="shared" ca="1" si="139"/>
        <v>24.5</v>
      </c>
      <c r="Q448" s="17">
        <f t="shared" ca="1" si="140"/>
        <v>0</v>
      </c>
      <c r="R448" s="10">
        <f t="shared" ca="1" si="141"/>
        <v>25</v>
      </c>
      <c r="S448" s="17">
        <f t="shared" ca="1" si="142"/>
        <v>0</v>
      </c>
      <c r="T448" s="70">
        <f t="shared" ca="1" si="143"/>
        <v>0.2</v>
      </c>
      <c r="U448" s="17">
        <f t="shared" ca="1" si="144"/>
        <v>0</v>
      </c>
      <c r="V448" s="71">
        <f t="shared" ca="1" si="145"/>
        <v>5</v>
      </c>
      <c r="W448" s="17">
        <f t="shared" ca="1" si="146"/>
        <v>0</v>
      </c>
    </row>
    <row r="449" spans="1:23" x14ac:dyDescent="0.25">
      <c r="A449" s="4">
        <f t="shared" si="126"/>
        <v>32</v>
      </c>
      <c r="B449" t="str">
        <f ca="1">TEXT(DATE(YEAR(Invoer!$A$6),1,1)+INT((ROWS(B$2:B449)-1)/4),"jjjjmmdd")</f>
        <v>19400421</v>
      </c>
      <c r="C449" s="64" t="str">
        <f>IF(MOD(ROWS(C$2:C449)-1,4)=3,"24.00",INDEX(Data,3,2+MOD(ROWS(C$2:C449)-1,4)))</f>
        <v>24.00</v>
      </c>
      <c r="D449" s="18" t="str">
        <f t="shared" ca="1" si="127"/>
        <v>—</v>
      </c>
      <c r="E449" s="17">
        <f t="shared" ca="1" si="128"/>
        <v>7</v>
      </c>
      <c r="F449" s="18" t="str">
        <f t="shared" ca="1" si="129"/>
        <v>—</v>
      </c>
      <c r="G449" s="17">
        <f t="shared" ca="1" si="130"/>
        <v>7</v>
      </c>
      <c r="H449" s="18">
        <f t="shared" ca="1" si="131"/>
        <v>29</v>
      </c>
      <c r="I449" s="17">
        <f t="shared" ca="1" si="132"/>
        <v>0</v>
      </c>
      <c r="J449" s="18">
        <f t="shared" ca="1" si="133"/>
        <v>30</v>
      </c>
      <c r="K449" s="17">
        <f t="shared" ca="1" si="134"/>
        <v>0</v>
      </c>
      <c r="L449" s="10" t="str">
        <f t="shared" ca="1" si="135"/>
        <v>—</v>
      </c>
      <c r="M449" s="17">
        <f t="shared" ca="1" si="136"/>
        <v>7</v>
      </c>
      <c r="N449" s="18" t="str">
        <f t="shared" ca="1" si="137"/>
        <v>—</v>
      </c>
      <c r="O449" s="17">
        <f t="shared" ca="1" si="138"/>
        <v>7</v>
      </c>
      <c r="P449" s="18" t="str">
        <f t="shared" ca="1" si="139"/>
        <v>—</v>
      </c>
      <c r="Q449" s="17">
        <f t="shared" ca="1" si="140"/>
        <v>7</v>
      </c>
      <c r="R449" s="10" t="str">
        <f t="shared" ca="1" si="141"/>
        <v>—</v>
      </c>
      <c r="S449" s="17">
        <f t="shared" ca="1" si="142"/>
        <v>7</v>
      </c>
      <c r="T449" s="70" t="str">
        <f t="shared" ca="1" si="143"/>
        <v>—</v>
      </c>
      <c r="U449" s="17">
        <f t="shared" ca="1" si="144"/>
        <v>7</v>
      </c>
      <c r="V449" s="71" t="str">
        <f t="shared" ca="1" si="145"/>
        <v>—</v>
      </c>
      <c r="W449" s="17">
        <f t="shared" ca="1" si="146"/>
        <v>7</v>
      </c>
    </row>
    <row r="450" spans="1:23" x14ac:dyDescent="0.25">
      <c r="A450" s="4">
        <f t="shared" ref="A450:A513" si="147">INDEX(Stations,2,1)</f>
        <v>32</v>
      </c>
      <c r="B450" t="str">
        <f ca="1">TEXT(DATE(YEAR(Invoer!$A$6),1,1)+INT((ROWS(B$2:B450)-1)/4),"jjjjmmdd")</f>
        <v>19400422</v>
      </c>
      <c r="C450" s="64" t="str">
        <f>IF(MOD(ROWS(C$2:C450)-1,4)=3,"24.00",INDEX(Data,3,2+MOD(ROWS(C$2:C450)-1,4)))</f>
        <v>07.00</v>
      </c>
      <c r="D450" s="18">
        <f t="shared" ref="D450:D513" ca="1" si="148">IF(OR(ISBLANK(VLOOKUP(DATEVALUE(LEFT($B450,4)&amp;"-"&amp;MID($B450,5,2)&amp;"-"&amp;RIGHT($B450,2)),Data,MATCH(LEFT(VLOOKUP(D$1,Parameters,2,FALSE()),4)&amp;"*",OFFSET(Data,0,0,1),0)+MATCH($C450,OFFSET(Data,2,0,1),0)-2,FALSE())),ISTEXT(VLOOKUP(DATEVALUE(LEFT($B450,4)&amp;"-"&amp;MID($B450,5,2)&amp;"-"&amp;RIGHT($B450,2)),Data,MATCH(LEFT(VLOOKUP(D$1,Parameters,2,FALSE()),4)&amp;"*",OFFSET(Data,0,0,1),0)+MATCH($C450,OFFSET(Data,2,0,1),0)-2,FALSE())),EXACT($C450,"24.00")),"—",VLOOKUP(DATEVALUE(LEFT($B450,4)&amp;"-"&amp;MID($B450,5,2)&amp;"-"&amp;RIGHT($B450,2)),Data,MATCH(LEFT(VLOOKUP(D$1,Parameters,2,FALSE()),4)&amp;"*",OFFSET(Data,0,0,1),0)+MATCH($C450,OFFSET(Data,2,0,1),0)-2,FALSE())/10)</f>
        <v>758.5</v>
      </c>
      <c r="E450" s="17">
        <f t="shared" ref="E450:E513" ca="1" si="149">IF(OR(ISBLANK(VLOOKUP(DATEVALUE(LEFT($B450,4)&amp;"-"&amp;MID($B450,5,2)&amp;"-"&amp;RIGHT($B450,2)),Data,MATCH(LEFT(VLOOKUP(MID(E$1,2,LEN(E$1)-1),Parameters,2,FALSE()),4)&amp;"*",OFFSET(Data,0,0,1),0)+MATCH($C450,OFFSET(Data,2,0,1),0)-2,FALSE())),ISTEXT(VLOOKUP(DATEVALUE(LEFT($B450,4)&amp;"-"&amp;MID($B450,5,2)&amp;"-"&amp;RIGHT($B450,2)),Data,MATCH(LEFT(VLOOKUP(MID(E$1,2,LEN(E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Data,2,0,1),0)-2,FALSE())))</f>
        <v>0</v>
      </c>
      <c r="F450" s="18">
        <f t="shared" ref="F450:F513" ca="1" si="150">IF(OR(ISBLANK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ISTEXT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EXACT($C450,"24.00")),"—",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/10)</f>
        <v>27.1</v>
      </c>
      <c r="G450" s="17">
        <f t="shared" ref="G450:G513" ca="1" si="151">IF(OR(ISBLANK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ISTEXT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G$1,2,LEN(G$1)-1),Parameters,2,FALSE()),FIND(LOWER(MID(G$1,2,1)),VLOOKUP(MID(G$1,2,LEN(G$1)-1),Parameters,2,FALSE()),5),4)&amp;"*",OFFSET(Catalogus,0,0,1),0)+2*MATCH($C450,OFFSET(Catalogus,2,0,1),0)+MATCH(LEFT(VLOOKUP(MID(G$1,2,LEN(G$1)-1),Parameters,2,FALSE()),3)&amp;"*",OFFSET(Catalogus,2,4,1),0)-5,FALSE())))</f>
        <v>0</v>
      </c>
      <c r="H450" s="18" t="str">
        <f t="shared" ref="H450:H513" ca="1" si="152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/10)</f>
        <v>—</v>
      </c>
      <c r="I450" s="17">
        <f t="shared" ref="I450:I513" ca="1" si="153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  <c r="J450" s="18" t="str">
        <f t="shared" ref="J450:J513" ca="1" si="154">IF(OR(ISBLANK(VLOOKUP(DATEVALUE(LEFT($B450,4)&amp;"-"&amp;MID($B450,5,2)&amp;"-"&amp;RIGHT($B450,2)),Data,MATCH(LEFT(VLOOKUP(J$1,Parameters,2,FALSE()),4)&amp;"*",OFFSET(Data,1,0,1),0),FALSE())),ISTEXT(VLOOKUP(DATEVALUE(LEFT($B450,4)&amp;"-"&amp;MID($B450,5,2)&amp;"-"&amp;RIGHT($B450,2)),Data,MATCH(LEFT(VLOOKUP(J$1,Parameters,2,FALSE()),4)&amp;"*",OFFSET(Data,1,0,1),0),FALSE())),NOT(EXACT($C450,"24.00"))),"—",VLOOKUP(DATEVALUE(LEFT($B450,4)&amp;"-"&amp;MID($B450,5,2)&amp;"-"&amp;RIGHT($B450,2)),Data,MATCH(LEFT(VLOOKUP(J$1,Parameters,2,FALSE()),4)&amp;"*",OFFSET(Data,1,0,1),0),FALSE())/10)</f>
        <v>—</v>
      </c>
      <c r="K450" s="17">
        <f t="shared" ref="K450:K513" ca="1" si="155">IF(OR(ISBLANK(VLOOKUP(DATEVALUE(LEFT($B450,4)&amp;"-"&amp;MID($B450,5,2)&amp;"-"&amp;RIGHT($B450,2)),Data,MATCH(LEFT(VLOOKUP(MID(K$1,2,LEN(K$1)-1),Parameters,2,FALSE()),4)&amp;"*",OFFSET(Data,1,0,1),0),FALSE())),ISTEXT(VLOOKUP(DATEVALUE(LEFT($B450,4)&amp;"-"&amp;MID($B450,5,2)&amp;"-"&amp;RIGHT($B450,2)),Data,MATCH(LEFT(VLOOKUP(MID(K$1,2,LEN(K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K$1,2,LEN(K$1)-1),Parameters,2,FALSE()),4)&amp;"*",OFFSET(Catalogus,1,0,1),0),FALSE())))</f>
        <v>7</v>
      </c>
      <c r="L450" s="10">
        <f t="shared" ref="L450:L513" ca="1" si="156">IF(OR(ISBLANK(VLOOKUP(DATEVALUE(LEFT($B450,4)&amp;"-"&amp;MID($B450,5,2)&amp;"-"&amp;RIGHT($B450,2)),Data,MATCH(LEFT(VLOOKUP(L$1,Parameters,2,FALSE()),4)&amp;"*",OFFSET(Data,0,0,1),0)+MATCH($C450,OFFSET(Data,2,0,1),0)-2,FALSE())),ISTEXT(VLOOKUP(DATEVALUE(LEFT($B450,4)&amp;"-"&amp;MID($B450,5,2)&amp;"-"&amp;RIGHT($B450,2)),Data,MATCH(LEFT(VLOOKUP(L$1,Parameters,2,FALSE()),4)&amp;"*",OFFSET(Data,0,0,1),0)+MATCH($C450,OFFSET(Data,2,0,1),0)-2,FALSE())),EXACT($C450,"24.00")),"—",VLOOKUP(DATEVALUE(LEFT($B450,4)&amp;"-"&amp;MID($B450,5,2)&amp;"-"&amp;RIGHT($B450,2)),Data,MATCH(LEFT(VLOOKUP(L$1,Parameters,2,FALSE()),4)&amp;"*",OFFSET(Data,0,0,1),0)+MATCH($C450,OFFSET(Data,2,0,1),0)-2,FALSE()))</f>
        <v>83</v>
      </c>
      <c r="M450" s="17">
        <f t="shared" ref="M450:M513" ca="1" si="157">IF(OR(ISBLANK(VLOOKUP(DATEVALUE(LEFT($B450,4)&amp;"-"&amp;MID($B450,5,2)&amp;"-"&amp;RIGHT($B450,2)),Data,MATCH(LEFT(VLOOKUP(MID(M$1,2,LEN(M$1)-1),Parameters,2,FALSE()),4)&amp;"*",OFFSET(Data,0,0,1),0)+MATCH($C450,OFFSET(Data,2,0,1),0)-2,FALSE())),ISTEXT(VLOOKUP(DATEVALUE(LEFT($B450,4)&amp;"-"&amp;MID($B450,5,2)&amp;"-"&amp;RIGHT($B450,2)),Data,MATCH(LEFT(VLOOKUP(MID(M$1,2,LEN(M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M$1,2,LEN(M$1)-1),Parameters,2,FALSE()),4)&amp;"*",OFFSET(Catalogus,0,0,1),0)+MATCH($C450,OFFSET(Data,2,0,1),0)-2,FALSE())))</f>
        <v>0</v>
      </c>
      <c r="N450" s="18">
        <f t="shared" ref="N450:N513" ca="1" si="158">IF(OR(ISBLANK(VLOOKUP(DATEVALUE(LEFT($B450,4)&amp;"-"&amp;MID($B450,5,2)&amp;"-"&amp;RIGHT($B450,2)),Data,MATCH(LEFT(VLOOKUP(N$1,Parameters,2,FALSE()),4)&amp;"*",OFFSET(Data,0,0,1),0)+MATCH($C450,OFFSET(Data,2,0,1),0)-2,FALSE())),ISTEXT(VLOOKUP(DATEVALUE(LEFT($B450,4)&amp;"-"&amp;MID($B450,5,2)&amp;"-"&amp;RIGHT($B450,2)),Data,MATCH(LEFT(VLOOKUP(N$1,Parameters,2,FALSE()),4)&amp;"*",OFFSET(Data,0,0,1),0)+MATCH($C450,OFFSET(Data,2,0,1),0)-2,FALSE())),EXACT($C450,"24.00")),"—",VLOOKUP(DATEVALUE(LEFT($B450,4)&amp;"-"&amp;MID($B450,5,2)&amp;"-"&amp;RIGHT($B450,2)),Data,MATCH(LEFT(VLOOKUP(N$1,Parameters,2,FALSE()),4)&amp;"*",OFFSET(Data,0,0,1),0)+MATCH($C450,OFFSET(Data,2,0,1),0)-2,FALSE())/10)</f>
        <v>22.3</v>
      </c>
      <c r="O450" s="17">
        <f t="shared" ref="O450:O513" ca="1" si="159">IF(OR(ISBLANK(VLOOKUP(DATEVALUE(LEFT($B450,4)&amp;"-"&amp;MID($B450,5,2)&amp;"-"&amp;RIGHT($B450,2)),Data,MATCH(LEFT(VLOOKUP(MID(O$1,2,LEN(O$1)-1),Parameters,2,FALSE()),4)&amp;"*",OFFSET(Data,0,0,1),0)+MATCH($C450,OFFSET(Data,2,0,1),0)-2,FALSE())),ISTEXT(VLOOKUP(DATEVALUE(LEFT($B450,4)&amp;"-"&amp;MID($B450,5,2)&amp;"-"&amp;RIGHT($B450,2)),Data,MATCH(LEFT(VLOOKUP(MID(O$1,2,LEN(O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O$1,2,LEN(O$1)-1),Parameters,2,FALSE()),4)&amp;"*",OFFSET(Catalogus,0,0,1),0)+MATCH($C450,OFFSET(Data,2,0,1),0)-2,FALSE())))</f>
        <v>0</v>
      </c>
      <c r="P450" s="18">
        <f t="shared" ref="P450:P513" ca="1" si="160">IF(OR(ISBLANK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ISTEXT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EXACT($C450,"24.00")),"—",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/10)</f>
        <v>24.8</v>
      </c>
      <c r="Q450" s="17">
        <f t="shared" ref="Q450:Q513" ca="1" si="161">IF(OR(ISBLANK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ISTEXT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Q$1,2,LEN(Q$1)-1),Parameters,2,FALSE()),FIND(LOWER(MID(Q$1,2,1)),VLOOKUP(MID(Q$1,2,LEN(Q$1)-1),Parameters,2,FALSE()),5),4)&amp;"*",OFFSET(Catalogus,0,0,1),0)+2*MATCH($C450,OFFSET(Catalogus,2,0,1),0)+MATCH(LEFT(VLOOKUP(MID(Q$1,2,LEN(Q$1)-1),Parameters,2,FALSE()),3)&amp;"*",OFFSET(Catalogus,2,4,1),0)-5,FALSE())))</f>
        <v>0</v>
      </c>
      <c r="R450" s="10">
        <f t="shared" ref="R450:R513" ca="1" si="162">IF(OR(ISBLANK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),ISNA(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1,1,,1),0)),EXACT($C450,"24.00")),"—",INDEX(Windrichting,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0,1,,1),0),1))</f>
        <v>45</v>
      </c>
      <c r="S450" s="17">
        <f t="shared" ref="S450:S513" ca="1" si="163">IF(OR(ISBLANK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),ISNA(MATCH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,OFFSET(Windrichting,1,1,,1),0)),EXACT($C450,"24.00")),Lacking,IF(ISNA(MATCH(DATEVALUE(LEFT($B450,4)&amp;"-"&amp;MID($B450,5,2)&amp;"-"&amp;RIGHT($B450,2)),OFFSET(Catalogus,0,0,,1),0)),Ok,VLOOKUP(DATEVALUE(LEFT($B450,4)&amp;"-"&amp;MID($B450,5,2)&amp;"-"&amp;RIGHT($B450,2)),Catalogus,MATCH(LEFT(VLOOKUP(MID(S$1,2,LEN(S$1)-1),Parameters,2,FALSE()),4)&amp;"*",OFFSET(Catalogus,0,0,1),0)+2*MATCH($C450,OFFSET(Catalogus,2,0,1),0)+MATCH(MID(VLOOKUP(MID(S$1,2,LEN(S$1)-1),Parameters,2,FALSE()),5,LEN(VLOOKUP(MID(S$1,2,LEN(S$1)-1),Parameters,2,FALSE()))-4)&amp;"*",OFFSET(Catalogus,2,19,1),0)-5,FALSE())))</f>
        <v>0</v>
      </c>
      <c r="T450" s="70">
        <f t="shared" ref="T450:T513" ca="1" si="164">IF(OR(ISBLANK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ISTEXT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EXACT($C450,"24.00")),"—",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/10)</f>
        <v>0.2</v>
      </c>
      <c r="U450" s="17">
        <f t="shared" ref="U450:U513" ca="1" si="165">IF(OR(ISBLANK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ISTEXT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U$1,2,LEN(U$1)-1),Parameters,2,FALSE()),4)&amp;"*",OFFSET(Catalogus,0,0,1),0)+2*MATCH($C450,OFFSET(Catalogus,2,0,1),0)+MATCH(MID(VLOOKUP(MID(U$1,2,LEN(U$1)-1),Parameters,2,FALSE()),5,LEN(VLOOKUP(MID(U$1,2,LEN(U$1)-1),Parameters,2,FALSE()))-4)&amp;"*",OFFSET(Catalogus,2,19,1),0)-5,FALSE())))</f>
        <v>0</v>
      </c>
      <c r="V450" s="71">
        <f t="shared" ref="V450:V513" ca="1" si="166">IF(OR(ISBLANK(VLOOKUP(DATEVALUE(LEFT($B450,4)&amp;"-"&amp;MID($B450,5,2)&amp;"-"&amp;RIGHT($B450,2)),Data,MATCH(LEFT(VLOOKUP(V$1,Parameters,2,FALSE()),4)&amp;"*",OFFSET(Data,0,0,1),0)+MATCH($C450,OFFSET(Data,2,0,1),0)-2,FALSE())),ISTEXT(VLOOKUP(DATEVALUE(LEFT($B450,4)&amp;"-"&amp;MID($B450,5,2)&amp;"-"&amp;RIGHT($B450,2)),Data,MATCH(LEFT(VLOOKUP(V$1,Parameters,2,FALSE()),4)&amp;"*",OFFSET(Data,0,0,1),0)+MATCH($C450,OFFSET(Data,2,0,1),0)-2,FALSE())),EXACT($C450,"24.00")),"—",VLOOKUP(DATEVALUE(LEFT($B450,4)&amp;"-"&amp;MID($B450,5,2)&amp;"-"&amp;RIGHT($B450,2)),Data,MATCH(LEFT(VLOOKUP(V$1,Parameters,2,FALSE()),4)&amp;"*",OFFSET(Data,0,0,1),0)+MATCH($C450,OFFSET(Data,2,0,1),0)-2,FALSE()))</f>
        <v>4</v>
      </c>
      <c r="W450" s="17">
        <f t="shared" ref="W450:W513" ca="1" si="167">IF(OR(ISBLANK(VLOOKUP(DATEVALUE(LEFT($B450,4)&amp;"-"&amp;MID($B450,5,2)&amp;"-"&amp;RIGHT($B450,2)),Data,MATCH(LEFT(VLOOKUP(MID(W$1,2,LEN(W$1)-1),Parameters,2,FALSE()),4)&amp;"*",OFFSET(Data,0,0,1),0)+MATCH($C450,OFFSET(Data,2,0,1),0)-2,FALSE())),ISTEXT(VLOOKUP(DATEVALUE(LEFT($B450,4)&amp;"-"&amp;MID($B450,5,2)&amp;"-"&amp;RIGHT($B450,2)),Data,MATCH(LEFT(VLOOKUP(MID(W$1,2,LEN(W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W$1,2,LEN(W$1)-1),Parameters,2,FALSE()),4)&amp;"*",OFFSET(Catalogus,0,0,1),0)+MATCH($C450,OFFSET(Data,2,0,1),0)-2,FALSE())))</f>
        <v>0</v>
      </c>
    </row>
    <row r="451" spans="1:23" x14ac:dyDescent="0.25">
      <c r="A451" s="4">
        <f t="shared" si="147"/>
        <v>32</v>
      </c>
      <c r="B451" t="str">
        <f ca="1">TEXT(DATE(YEAR(Invoer!$A$6),1,1)+INT((ROWS(B$2:B451)-1)/4),"jjjjmmdd")</f>
        <v>19400422</v>
      </c>
      <c r="C451" s="64" t="str">
        <f>IF(MOD(ROWS(C$2:C451)-1,4)=3,"24.00",INDEX(Data,3,2+MOD(ROWS(C$2:C451)-1,4)))</f>
        <v>12.00</v>
      </c>
      <c r="D451" s="18">
        <f t="shared" ca="1" si="148"/>
        <v>758.9</v>
      </c>
      <c r="E451" s="17">
        <f t="shared" ca="1" si="149"/>
        <v>0</v>
      </c>
      <c r="F451" s="18">
        <f t="shared" ca="1" si="150"/>
        <v>29.5</v>
      </c>
      <c r="G451" s="17">
        <f t="shared" ca="1" si="151"/>
        <v>0</v>
      </c>
      <c r="H451" s="18" t="str">
        <f t="shared" ca="1" si="152"/>
        <v>—</v>
      </c>
      <c r="I451" s="17">
        <f t="shared" ca="1" si="153"/>
        <v>7</v>
      </c>
      <c r="J451" s="18" t="str">
        <f t="shared" ca="1" si="154"/>
        <v>—</v>
      </c>
      <c r="K451" s="17">
        <f t="shared" ca="1" si="155"/>
        <v>7</v>
      </c>
      <c r="L451" s="10">
        <f t="shared" ca="1" si="156"/>
        <v>67</v>
      </c>
      <c r="M451" s="17">
        <f t="shared" ca="1" si="157"/>
        <v>0</v>
      </c>
      <c r="N451" s="18">
        <f t="shared" ca="1" si="158"/>
        <v>20.8</v>
      </c>
      <c r="O451" s="17">
        <f t="shared" ca="1" si="159"/>
        <v>0</v>
      </c>
      <c r="P451" s="18">
        <f t="shared" ca="1" si="160"/>
        <v>24.6</v>
      </c>
      <c r="Q451" s="17">
        <f t="shared" ca="1" si="161"/>
        <v>0</v>
      </c>
      <c r="R451" s="10">
        <f t="shared" ca="1" si="162"/>
        <v>45</v>
      </c>
      <c r="S451" s="17">
        <f t="shared" ca="1" si="163"/>
        <v>0</v>
      </c>
      <c r="T451" s="70">
        <f t="shared" ca="1" si="164"/>
        <v>0.3</v>
      </c>
      <c r="U451" s="17">
        <f t="shared" ca="1" si="165"/>
        <v>0</v>
      </c>
      <c r="V451" s="71">
        <f t="shared" ca="1" si="166"/>
        <v>5</v>
      </c>
      <c r="W451" s="17">
        <f t="shared" ca="1" si="167"/>
        <v>0</v>
      </c>
    </row>
    <row r="452" spans="1:23" x14ac:dyDescent="0.25">
      <c r="A452" s="4">
        <f t="shared" si="147"/>
        <v>32</v>
      </c>
      <c r="B452" t="str">
        <f ca="1">TEXT(DATE(YEAR(Invoer!$A$6),1,1)+INT((ROWS(B$2:B452)-1)/4),"jjjjmmdd")</f>
        <v>19400422</v>
      </c>
      <c r="C452" s="64" t="str">
        <f>IF(MOD(ROWS(C$2:C452)-1,4)=3,"24.00",INDEX(Data,3,2+MOD(ROWS(C$2:C452)-1,4)))</f>
        <v>17.00</v>
      </c>
      <c r="D452" s="18">
        <f t="shared" ca="1" si="148"/>
        <v>758.7</v>
      </c>
      <c r="E452" s="17">
        <f t="shared" ca="1" si="149"/>
        <v>0</v>
      </c>
      <c r="F452" s="18">
        <f t="shared" ca="1" si="150"/>
        <v>28.7</v>
      </c>
      <c r="G452" s="17">
        <f t="shared" ca="1" si="151"/>
        <v>0</v>
      </c>
      <c r="H452" s="18" t="str">
        <f t="shared" ca="1" si="152"/>
        <v>—</v>
      </c>
      <c r="I452" s="17">
        <f t="shared" ca="1" si="153"/>
        <v>7</v>
      </c>
      <c r="J452" s="18" t="str">
        <f t="shared" ca="1" si="154"/>
        <v>—</v>
      </c>
      <c r="K452" s="17">
        <f t="shared" ca="1" si="155"/>
        <v>7</v>
      </c>
      <c r="L452" s="10">
        <f t="shared" ca="1" si="156"/>
        <v>71</v>
      </c>
      <c r="M452" s="17">
        <f t="shared" ca="1" si="157"/>
        <v>0</v>
      </c>
      <c r="N452" s="18">
        <f t="shared" ca="1" si="158"/>
        <v>21</v>
      </c>
      <c r="O452" s="17">
        <f t="shared" ca="1" si="159"/>
        <v>0</v>
      </c>
      <c r="P452" s="18">
        <f t="shared" ca="1" si="160"/>
        <v>24.5</v>
      </c>
      <c r="Q452" s="17">
        <f t="shared" ca="1" si="161"/>
        <v>0</v>
      </c>
      <c r="R452" s="10">
        <f t="shared" ca="1" si="162"/>
        <v>45</v>
      </c>
      <c r="S452" s="17">
        <f t="shared" ca="1" si="163"/>
        <v>0</v>
      </c>
      <c r="T452" s="70">
        <f t="shared" ca="1" si="164"/>
        <v>0.3</v>
      </c>
      <c r="U452" s="17">
        <f t="shared" ca="1" si="165"/>
        <v>0</v>
      </c>
      <c r="V452" s="71">
        <f t="shared" ca="1" si="166"/>
        <v>4</v>
      </c>
      <c r="W452" s="17">
        <f t="shared" ca="1" si="167"/>
        <v>0</v>
      </c>
    </row>
    <row r="453" spans="1:23" x14ac:dyDescent="0.25">
      <c r="A453" s="4">
        <f t="shared" si="147"/>
        <v>32</v>
      </c>
      <c r="B453" t="str">
        <f ca="1">TEXT(DATE(YEAR(Invoer!$A$6),1,1)+INT((ROWS(B$2:B453)-1)/4),"jjjjmmdd")</f>
        <v>19400422</v>
      </c>
      <c r="C453" s="64" t="str">
        <f>IF(MOD(ROWS(C$2:C453)-1,4)=3,"24.00",INDEX(Data,3,2+MOD(ROWS(C$2:C453)-1,4)))</f>
        <v>24.00</v>
      </c>
      <c r="D453" s="18" t="str">
        <f t="shared" ca="1" si="148"/>
        <v>—</v>
      </c>
      <c r="E453" s="17">
        <f t="shared" ca="1" si="149"/>
        <v>7</v>
      </c>
      <c r="F453" s="18" t="str">
        <f t="shared" ca="1" si="150"/>
        <v>—</v>
      </c>
      <c r="G453" s="17">
        <f t="shared" ca="1" si="151"/>
        <v>7</v>
      </c>
      <c r="H453" s="18">
        <f t="shared" ca="1" si="152"/>
        <v>29</v>
      </c>
      <c r="I453" s="17">
        <f t="shared" ca="1" si="153"/>
        <v>0</v>
      </c>
      <c r="J453" s="18">
        <f t="shared" ca="1" si="154"/>
        <v>31.5</v>
      </c>
      <c r="K453" s="17">
        <f t="shared" ca="1" si="155"/>
        <v>0</v>
      </c>
      <c r="L453" s="10" t="str">
        <f t="shared" ca="1" si="156"/>
        <v>—</v>
      </c>
      <c r="M453" s="17">
        <f t="shared" ca="1" si="157"/>
        <v>7</v>
      </c>
      <c r="N453" s="18" t="str">
        <f t="shared" ca="1" si="158"/>
        <v>—</v>
      </c>
      <c r="O453" s="17">
        <f t="shared" ca="1" si="159"/>
        <v>7</v>
      </c>
      <c r="P453" s="18" t="str">
        <f t="shared" ca="1" si="160"/>
        <v>—</v>
      </c>
      <c r="Q453" s="17">
        <f t="shared" ca="1" si="161"/>
        <v>7</v>
      </c>
      <c r="R453" s="10" t="str">
        <f t="shared" ca="1" si="162"/>
        <v>—</v>
      </c>
      <c r="S453" s="17">
        <f t="shared" ca="1" si="163"/>
        <v>7</v>
      </c>
      <c r="T453" s="70" t="str">
        <f t="shared" ca="1" si="164"/>
        <v>—</v>
      </c>
      <c r="U453" s="17">
        <f t="shared" ca="1" si="165"/>
        <v>7</v>
      </c>
      <c r="V453" s="71" t="str">
        <f t="shared" ca="1" si="166"/>
        <v>—</v>
      </c>
      <c r="W453" s="17">
        <f t="shared" ca="1" si="167"/>
        <v>7</v>
      </c>
    </row>
    <row r="454" spans="1:23" x14ac:dyDescent="0.25">
      <c r="A454" s="4">
        <f t="shared" si="147"/>
        <v>32</v>
      </c>
      <c r="B454" t="str">
        <f ca="1">TEXT(DATE(YEAR(Invoer!$A$6),1,1)+INT((ROWS(B$2:B454)-1)/4),"jjjjmmdd")</f>
        <v>19400423</v>
      </c>
      <c r="C454" s="64" t="str">
        <f>IF(MOD(ROWS(C$2:C454)-1,4)=3,"24.00",INDEX(Data,3,2+MOD(ROWS(C$2:C454)-1,4)))</f>
        <v>07.00</v>
      </c>
      <c r="D454" s="18">
        <f t="shared" ca="1" si="148"/>
        <v>757.7</v>
      </c>
      <c r="E454" s="17">
        <f t="shared" ca="1" si="149"/>
        <v>0</v>
      </c>
      <c r="F454" s="18">
        <f t="shared" ca="1" si="150"/>
        <v>26.1</v>
      </c>
      <c r="G454" s="17">
        <f t="shared" ca="1" si="151"/>
        <v>0</v>
      </c>
      <c r="H454" s="18" t="str">
        <f t="shared" ca="1" si="152"/>
        <v>—</v>
      </c>
      <c r="I454" s="17">
        <f t="shared" ca="1" si="153"/>
        <v>7</v>
      </c>
      <c r="J454" s="18" t="str">
        <f t="shared" ca="1" si="154"/>
        <v>—</v>
      </c>
      <c r="K454" s="17">
        <f t="shared" ca="1" si="155"/>
        <v>7</v>
      </c>
      <c r="L454" s="10">
        <f t="shared" ca="1" si="156"/>
        <v>84</v>
      </c>
      <c r="M454" s="17">
        <f t="shared" ca="1" si="157"/>
        <v>0</v>
      </c>
      <c r="N454" s="18">
        <f t="shared" ca="1" si="158"/>
        <v>21.3</v>
      </c>
      <c r="O454" s="17">
        <f t="shared" ca="1" si="159"/>
        <v>0</v>
      </c>
      <c r="P454" s="18">
        <f t="shared" ca="1" si="160"/>
        <v>24</v>
      </c>
      <c r="Q454" s="17">
        <f t="shared" ca="1" si="161"/>
        <v>0</v>
      </c>
      <c r="R454" s="10">
        <f t="shared" ca="1" si="162"/>
        <v>45</v>
      </c>
      <c r="S454" s="17">
        <f t="shared" ca="1" si="163"/>
        <v>0</v>
      </c>
      <c r="T454" s="70">
        <f t="shared" ca="1" si="164"/>
        <v>0.2</v>
      </c>
      <c r="U454" s="17">
        <f t="shared" ca="1" si="165"/>
        <v>0</v>
      </c>
      <c r="V454" s="71">
        <f t="shared" ca="1" si="166"/>
        <v>4</v>
      </c>
      <c r="W454" s="17">
        <f t="shared" ca="1" si="167"/>
        <v>0</v>
      </c>
    </row>
    <row r="455" spans="1:23" x14ac:dyDescent="0.25">
      <c r="A455" s="4">
        <f t="shared" si="147"/>
        <v>32</v>
      </c>
      <c r="B455" t="str">
        <f ca="1">TEXT(DATE(YEAR(Invoer!$A$6),1,1)+INT((ROWS(B$2:B455)-1)/4),"jjjjmmdd")</f>
        <v>19400423</v>
      </c>
      <c r="C455" s="64" t="str">
        <f>IF(MOD(ROWS(C$2:C455)-1,4)=3,"24.00",INDEX(Data,3,2+MOD(ROWS(C$2:C455)-1,4)))</f>
        <v>12.00</v>
      </c>
      <c r="D455" s="18">
        <f t="shared" ca="1" si="148"/>
        <v>756.4</v>
      </c>
      <c r="E455" s="17">
        <f t="shared" ca="1" si="149"/>
        <v>0</v>
      </c>
      <c r="F455" s="18">
        <f t="shared" ca="1" si="150"/>
        <v>27.1</v>
      </c>
      <c r="G455" s="17">
        <f t="shared" ca="1" si="151"/>
        <v>0</v>
      </c>
      <c r="H455" s="18" t="str">
        <f t="shared" ca="1" si="152"/>
        <v>—</v>
      </c>
      <c r="I455" s="17">
        <f t="shared" ca="1" si="153"/>
        <v>7</v>
      </c>
      <c r="J455" s="18" t="str">
        <f t="shared" ca="1" si="154"/>
        <v>—</v>
      </c>
      <c r="K455" s="17">
        <f t="shared" ca="1" si="155"/>
        <v>7</v>
      </c>
      <c r="L455" s="10">
        <f t="shared" ca="1" si="156"/>
        <v>76</v>
      </c>
      <c r="M455" s="17">
        <f t="shared" ca="1" si="157"/>
        <v>0</v>
      </c>
      <c r="N455" s="18">
        <f t="shared" ca="1" si="158"/>
        <v>20.5</v>
      </c>
      <c r="O455" s="17">
        <f t="shared" ca="1" si="159"/>
        <v>0</v>
      </c>
      <c r="P455" s="18">
        <f t="shared" ca="1" si="160"/>
        <v>23.8</v>
      </c>
      <c r="Q455" s="17">
        <f t="shared" ca="1" si="161"/>
        <v>0</v>
      </c>
      <c r="R455" s="10">
        <f t="shared" ca="1" si="162"/>
        <v>45</v>
      </c>
      <c r="S455" s="17">
        <f t="shared" ca="1" si="163"/>
        <v>0</v>
      </c>
      <c r="T455" s="70">
        <f t="shared" ca="1" si="164"/>
        <v>0.3</v>
      </c>
      <c r="U455" s="17">
        <f t="shared" ca="1" si="165"/>
        <v>0</v>
      </c>
      <c r="V455" s="71">
        <f t="shared" ca="1" si="166"/>
        <v>5</v>
      </c>
      <c r="W455" s="17">
        <f t="shared" ca="1" si="167"/>
        <v>0</v>
      </c>
    </row>
    <row r="456" spans="1:23" x14ac:dyDescent="0.25">
      <c r="A456" s="4">
        <f t="shared" si="147"/>
        <v>32</v>
      </c>
      <c r="B456" t="str">
        <f ca="1">TEXT(DATE(YEAR(Invoer!$A$6),1,1)+INT((ROWS(B$2:B456)-1)/4),"jjjjmmdd")</f>
        <v>19400423</v>
      </c>
      <c r="C456" s="64" t="str">
        <f>IF(MOD(ROWS(C$2:C456)-1,4)=3,"24.00",INDEX(Data,3,2+MOD(ROWS(C$2:C456)-1,4)))</f>
        <v>17.00</v>
      </c>
      <c r="D456" s="18">
        <f t="shared" ca="1" si="148"/>
        <v>755.4</v>
      </c>
      <c r="E456" s="17">
        <f t="shared" ca="1" si="149"/>
        <v>0</v>
      </c>
      <c r="F456" s="18">
        <f t="shared" ca="1" si="150"/>
        <v>26.9</v>
      </c>
      <c r="G456" s="17">
        <f t="shared" ca="1" si="151"/>
        <v>0</v>
      </c>
      <c r="H456" s="18" t="str">
        <f t="shared" ca="1" si="152"/>
        <v>—</v>
      </c>
      <c r="I456" s="17">
        <f t="shared" ca="1" si="153"/>
        <v>7</v>
      </c>
      <c r="J456" s="18" t="str">
        <f t="shared" ca="1" si="154"/>
        <v>—</v>
      </c>
      <c r="K456" s="17">
        <f t="shared" ca="1" si="155"/>
        <v>7</v>
      </c>
      <c r="L456" s="10">
        <f t="shared" ca="1" si="156"/>
        <v>77</v>
      </c>
      <c r="M456" s="17">
        <f t="shared" ca="1" si="157"/>
        <v>0</v>
      </c>
      <c r="N456" s="18">
        <f t="shared" ca="1" si="158"/>
        <v>20.6</v>
      </c>
      <c r="O456" s="17">
        <f t="shared" ca="1" si="159"/>
        <v>0</v>
      </c>
      <c r="P456" s="18">
        <f t="shared" ca="1" si="160"/>
        <v>23.8</v>
      </c>
      <c r="Q456" s="17">
        <f t="shared" ca="1" si="161"/>
        <v>0</v>
      </c>
      <c r="R456" s="10">
        <f t="shared" ca="1" si="162"/>
        <v>45</v>
      </c>
      <c r="S456" s="17">
        <f t="shared" ca="1" si="163"/>
        <v>0</v>
      </c>
      <c r="T456" s="70">
        <f t="shared" ca="1" si="164"/>
        <v>0.4</v>
      </c>
      <c r="U456" s="17">
        <f t="shared" ca="1" si="165"/>
        <v>0</v>
      </c>
      <c r="V456" s="71">
        <f t="shared" ca="1" si="166"/>
        <v>5</v>
      </c>
      <c r="W456" s="17">
        <f t="shared" ca="1" si="167"/>
        <v>0</v>
      </c>
    </row>
    <row r="457" spans="1:23" x14ac:dyDescent="0.25">
      <c r="A457" s="4">
        <f t="shared" si="147"/>
        <v>32</v>
      </c>
      <c r="B457" t="str">
        <f ca="1">TEXT(DATE(YEAR(Invoer!$A$6),1,1)+INT((ROWS(B$2:B457)-1)/4),"jjjjmmdd")</f>
        <v>19400423</v>
      </c>
      <c r="C457" s="64" t="str">
        <f>IF(MOD(ROWS(C$2:C457)-1,4)=3,"24.00",INDEX(Data,3,2+MOD(ROWS(C$2:C457)-1,4)))</f>
        <v>24.00</v>
      </c>
      <c r="D457" s="18" t="str">
        <f t="shared" ca="1" si="148"/>
        <v>—</v>
      </c>
      <c r="E457" s="17">
        <f t="shared" ca="1" si="149"/>
        <v>7</v>
      </c>
      <c r="F457" s="18" t="str">
        <f t="shared" ca="1" si="150"/>
        <v>—</v>
      </c>
      <c r="G457" s="17">
        <f t="shared" ca="1" si="151"/>
        <v>7</v>
      </c>
      <c r="H457" s="18">
        <f t="shared" ca="1" si="152"/>
        <v>28</v>
      </c>
      <c r="I457" s="17">
        <f t="shared" ca="1" si="153"/>
        <v>0</v>
      </c>
      <c r="J457" s="18">
        <f t="shared" ca="1" si="154"/>
        <v>29</v>
      </c>
      <c r="K457" s="17">
        <f t="shared" ca="1" si="155"/>
        <v>0</v>
      </c>
      <c r="L457" s="10" t="str">
        <f t="shared" ca="1" si="156"/>
        <v>—</v>
      </c>
      <c r="M457" s="17">
        <f t="shared" ca="1" si="157"/>
        <v>7</v>
      </c>
      <c r="N457" s="18" t="str">
        <f t="shared" ca="1" si="158"/>
        <v>—</v>
      </c>
      <c r="O457" s="17">
        <f t="shared" ca="1" si="159"/>
        <v>7</v>
      </c>
      <c r="P457" s="18" t="str">
        <f t="shared" ca="1" si="160"/>
        <v>—</v>
      </c>
      <c r="Q457" s="17">
        <f t="shared" ca="1" si="161"/>
        <v>7</v>
      </c>
      <c r="R457" s="10" t="str">
        <f t="shared" ca="1" si="162"/>
        <v>—</v>
      </c>
      <c r="S457" s="17">
        <f t="shared" ca="1" si="163"/>
        <v>7</v>
      </c>
      <c r="T457" s="70" t="str">
        <f t="shared" ca="1" si="164"/>
        <v>—</v>
      </c>
      <c r="U457" s="17">
        <f t="shared" ca="1" si="165"/>
        <v>7</v>
      </c>
      <c r="V457" s="71" t="str">
        <f t="shared" ca="1" si="166"/>
        <v>—</v>
      </c>
      <c r="W457" s="17">
        <f t="shared" ca="1" si="167"/>
        <v>7</v>
      </c>
    </row>
    <row r="458" spans="1:23" x14ac:dyDescent="0.25">
      <c r="A458" s="4">
        <f t="shared" si="147"/>
        <v>32</v>
      </c>
      <c r="B458" t="str">
        <f ca="1">TEXT(DATE(YEAR(Invoer!$A$6),1,1)+INT((ROWS(B$2:B458)-1)/4),"jjjjmmdd")</f>
        <v>19400424</v>
      </c>
      <c r="C458" s="64" t="str">
        <f>IF(MOD(ROWS(C$2:C458)-1,4)=3,"24.00",INDEX(Data,3,2+MOD(ROWS(C$2:C458)-1,4)))</f>
        <v>07.00</v>
      </c>
      <c r="D458" s="18">
        <f t="shared" ca="1" si="148"/>
        <v>758.2</v>
      </c>
      <c r="E458" s="17">
        <f t="shared" ca="1" si="149"/>
        <v>0</v>
      </c>
      <c r="F458" s="18">
        <f t="shared" ca="1" si="150"/>
        <v>25.9</v>
      </c>
      <c r="G458" s="17">
        <f t="shared" ca="1" si="151"/>
        <v>0</v>
      </c>
      <c r="H458" s="18" t="str">
        <f t="shared" ca="1" si="152"/>
        <v>—</v>
      </c>
      <c r="I458" s="17">
        <f t="shared" ca="1" si="153"/>
        <v>7</v>
      </c>
      <c r="J458" s="18" t="str">
        <f t="shared" ca="1" si="154"/>
        <v>—</v>
      </c>
      <c r="K458" s="17">
        <f t="shared" ca="1" si="155"/>
        <v>7</v>
      </c>
      <c r="L458" s="10">
        <f t="shared" ca="1" si="156"/>
        <v>82</v>
      </c>
      <c r="M458" s="17">
        <f t="shared" ca="1" si="157"/>
        <v>0</v>
      </c>
      <c r="N458" s="18">
        <f t="shared" ca="1" si="158"/>
        <v>20.7</v>
      </c>
      <c r="O458" s="17">
        <f t="shared" ca="1" si="159"/>
        <v>0</v>
      </c>
      <c r="P458" s="18">
        <f t="shared" ca="1" si="160"/>
        <v>23.6</v>
      </c>
      <c r="Q458" s="17">
        <f t="shared" ca="1" si="161"/>
        <v>0</v>
      </c>
      <c r="R458" s="10">
        <f t="shared" ca="1" si="162"/>
        <v>65</v>
      </c>
      <c r="S458" s="17">
        <f t="shared" ca="1" si="163"/>
        <v>0</v>
      </c>
      <c r="T458" s="70">
        <f t="shared" ca="1" si="164"/>
        <v>0.4</v>
      </c>
      <c r="U458" s="17">
        <f t="shared" ca="1" si="165"/>
        <v>0</v>
      </c>
      <c r="V458" s="71">
        <f t="shared" ca="1" si="166"/>
        <v>2</v>
      </c>
      <c r="W458" s="17">
        <f t="shared" ca="1" si="167"/>
        <v>0</v>
      </c>
    </row>
    <row r="459" spans="1:23" x14ac:dyDescent="0.25">
      <c r="A459" s="4">
        <f t="shared" si="147"/>
        <v>32</v>
      </c>
      <c r="B459" t="str">
        <f ca="1">TEXT(DATE(YEAR(Invoer!$A$6),1,1)+INT((ROWS(B$2:B459)-1)/4),"jjjjmmdd")</f>
        <v>19400424</v>
      </c>
      <c r="C459" s="64" t="str">
        <f>IF(MOD(ROWS(C$2:C459)-1,4)=3,"24.00",INDEX(Data,3,2+MOD(ROWS(C$2:C459)-1,4)))</f>
        <v>12.00</v>
      </c>
      <c r="D459" s="18">
        <f t="shared" ca="1" si="148"/>
        <v>757.2</v>
      </c>
      <c r="E459" s="17">
        <f t="shared" ca="1" si="149"/>
        <v>0</v>
      </c>
      <c r="F459" s="18">
        <f t="shared" ca="1" si="150"/>
        <v>27.2</v>
      </c>
      <c r="G459" s="17">
        <f t="shared" ca="1" si="151"/>
        <v>0</v>
      </c>
      <c r="H459" s="18" t="str">
        <f t="shared" ca="1" si="152"/>
        <v>—</v>
      </c>
      <c r="I459" s="17">
        <f t="shared" ca="1" si="153"/>
        <v>7</v>
      </c>
      <c r="J459" s="18" t="str">
        <f t="shared" ca="1" si="154"/>
        <v>—</v>
      </c>
      <c r="K459" s="17">
        <f t="shared" ca="1" si="155"/>
        <v>7</v>
      </c>
      <c r="L459" s="10">
        <f t="shared" ca="1" si="156"/>
        <v>75</v>
      </c>
      <c r="M459" s="17">
        <f t="shared" ca="1" si="157"/>
        <v>0</v>
      </c>
      <c r="N459" s="18">
        <f t="shared" ca="1" si="158"/>
        <v>20.399999999999999</v>
      </c>
      <c r="O459" s="17">
        <f t="shared" ca="1" si="159"/>
        <v>0</v>
      </c>
      <c r="P459" s="18">
        <f t="shared" ca="1" si="160"/>
        <v>23.8</v>
      </c>
      <c r="Q459" s="17">
        <f t="shared" ca="1" si="161"/>
        <v>0</v>
      </c>
      <c r="R459" s="10">
        <f t="shared" ca="1" si="162"/>
        <v>65</v>
      </c>
      <c r="S459" s="17">
        <f t="shared" ca="1" si="163"/>
        <v>0</v>
      </c>
      <c r="T459" s="70">
        <f t="shared" ca="1" si="164"/>
        <v>0.5</v>
      </c>
      <c r="U459" s="17">
        <f t="shared" ca="1" si="165"/>
        <v>0</v>
      </c>
      <c r="V459" s="71">
        <f t="shared" ca="1" si="166"/>
        <v>2</v>
      </c>
      <c r="W459" s="17">
        <f t="shared" ca="1" si="167"/>
        <v>0</v>
      </c>
    </row>
    <row r="460" spans="1:23" x14ac:dyDescent="0.25">
      <c r="A460" s="4">
        <f t="shared" si="147"/>
        <v>32</v>
      </c>
      <c r="B460" t="str">
        <f ca="1">TEXT(DATE(YEAR(Invoer!$A$6),1,1)+INT((ROWS(B$2:B460)-1)/4),"jjjjmmdd")</f>
        <v>19400424</v>
      </c>
      <c r="C460" s="64" t="str">
        <f>IF(MOD(ROWS(C$2:C460)-1,4)=3,"24.00",INDEX(Data,3,2+MOD(ROWS(C$2:C460)-1,4)))</f>
        <v>17.00</v>
      </c>
      <c r="D460" s="18">
        <f t="shared" ca="1" si="148"/>
        <v>757.2</v>
      </c>
      <c r="E460" s="17">
        <f t="shared" ca="1" si="149"/>
        <v>0</v>
      </c>
      <c r="F460" s="18">
        <f t="shared" ca="1" si="150"/>
        <v>26.9</v>
      </c>
      <c r="G460" s="17">
        <f t="shared" ca="1" si="151"/>
        <v>0</v>
      </c>
      <c r="H460" s="18" t="str">
        <f t="shared" ca="1" si="152"/>
        <v>—</v>
      </c>
      <c r="I460" s="17">
        <f t="shared" ca="1" si="153"/>
        <v>7</v>
      </c>
      <c r="J460" s="18" t="str">
        <f t="shared" ca="1" si="154"/>
        <v>—</v>
      </c>
      <c r="K460" s="17">
        <f t="shared" ca="1" si="155"/>
        <v>7</v>
      </c>
      <c r="L460" s="10">
        <f t="shared" ca="1" si="156"/>
        <v>76</v>
      </c>
      <c r="M460" s="17">
        <f t="shared" ca="1" si="157"/>
        <v>0</v>
      </c>
      <c r="N460" s="18">
        <f t="shared" ca="1" si="158"/>
        <v>20.2</v>
      </c>
      <c r="O460" s="17">
        <f t="shared" ca="1" si="159"/>
        <v>0</v>
      </c>
      <c r="P460" s="18">
        <f t="shared" ca="1" si="160"/>
        <v>23.6</v>
      </c>
      <c r="Q460" s="17">
        <f t="shared" ca="1" si="161"/>
        <v>0</v>
      </c>
      <c r="R460" s="10">
        <f t="shared" ca="1" si="162"/>
        <v>45</v>
      </c>
      <c r="S460" s="17">
        <f t="shared" ca="1" si="163"/>
        <v>0</v>
      </c>
      <c r="T460" s="70">
        <f t="shared" ca="1" si="164"/>
        <v>0.5</v>
      </c>
      <c r="U460" s="17">
        <f t="shared" ca="1" si="165"/>
        <v>0</v>
      </c>
      <c r="V460" s="71">
        <f t="shared" ca="1" si="166"/>
        <v>2</v>
      </c>
      <c r="W460" s="17">
        <f t="shared" ca="1" si="167"/>
        <v>0</v>
      </c>
    </row>
    <row r="461" spans="1:23" x14ac:dyDescent="0.25">
      <c r="A461" s="4">
        <f t="shared" si="147"/>
        <v>32</v>
      </c>
      <c r="B461" t="str">
        <f ca="1">TEXT(DATE(YEAR(Invoer!$A$6),1,1)+INT((ROWS(B$2:B461)-1)/4),"jjjjmmdd")</f>
        <v>19400424</v>
      </c>
      <c r="C461" s="64" t="str">
        <f>IF(MOD(ROWS(C$2:C461)-1,4)=3,"24.00",INDEX(Data,3,2+MOD(ROWS(C$2:C461)-1,4)))</f>
        <v>24.00</v>
      </c>
      <c r="D461" s="18" t="str">
        <f t="shared" ca="1" si="148"/>
        <v>—</v>
      </c>
      <c r="E461" s="17">
        <f t="shared" ca="1" si="149"/>
        <v>7</v>
      </c>
      <c r="F461" s="18" t="str">
        <f t="shared" ca="1" si="150"/>
        <v>—</v>
      </c>
      <c r="G461" s="17">
        <f t="shared" ca="1" si="151"/>
        <v>7</v>
      </c>
      <c r="H461" s="18">
        <f t="shared" ca="1" si="152"/>
        <v>28.2</v>
      </c>
      <c r="I461" s="17">
        <f t="shared" ca="1" si="153"/>
        <v>0</v>
      </c>
      <c r="J461" s="18">
        <f t="shared" ca="1" si="154"/>
        <v>31.6</v>
      </c>
      <c r="K461" s="17">
        <f t="shared" ca="1" si="155"/>
        <v>0</v>
      </c>
      <c r="L461" s="10" t="str">
        <f t="shared" ca="1" si="156"/>
        <v>—</v>
      </c>
      <c r="M461" s="17">
        <f t="shared" ca="1" si="157"/>
        <v>7</v>
      </c>
      <c r="N461" s="18" t="str">
        <f t="shared" ca="1" si="158"/>
        <v>—</v>
      </c>
      <c r="O461" s="17">
        <f t="shared" ca="1" si="159"/>
        <v>7</v>
      </c>
      <c r="P461" s="18" t="str">
        <f t="shared" ca="1" si="160"/>
        <v>—</v>
      </c>
      <c r="Q461" s="17">
        <f t="shared" ca="1" si="161"/>
        <v>7</v>
      </c>
      <c r="R461" s="10" t="str">
        <f t="shared" ca="1" si="162"/>
        <v>—</v>
      </c>
      <c r="S461" s="17">
        <f t="shared" ca="1" si="163"/>
        <v>7</v>
      </c>
      <c r="T461" s="70" t="str">
        <f t="shared" ca="1" si="164"/>
        <v>—</v>
      </c>
      <c r="U461" s="17">
        <f t="shared" ca="1" si="165"/>
        <v>7</v>
      </c>
      <c r="V461" s="71" t="str">
        <f t="shared" ca="1" si="166"/>
        <v>—</v>
      </c>
      <c r="W461" s="17">
        <f t="shared" ca="1" si="167"/>
        <v>7</v>
      </c>
    </row>
    <row r="462" spans="1:23" x14ac:dyDescent="0.25">
      <c r="A462" s="4">
        <f t="shared" si="147"/>
        <v>32</v>
      </c>
      <c r="B462" t="str">
        <f ca="1">TEXT(DATE(YEAR(Invoer!$A$6),1,1)+INT((ROWS(B$2:B462)-1)/4),"jjjjmmdd")</f>
        <v>19400425</v>
      </c>
      <c r="C462" s="64" t="str">
        <f>IF(MOD(ROWS(C$2:C462)-1,4)=3,"24.00",INDEX(Data,3,2+MOD(ROWS(C$2:C462)-1,4)))</f>
        <v>07.00</v>
      </c>
      <c r="D462" s="18">
        <f t="shared" ca="1" si="148"/>
        <v>758.7</v>
      </c>
      <c r="E462" s="17">
        <f t="shared" ca="1" si="149"/>
        <v>0</v>
      </c>
      <c r="F462" s="18">
        <f t="shared" ca="1" si="150"/>
        <v>26.7</v>
      </c>
      <c r="G462" s="17">
        <f t="shared" ca="1" si="151"/>
        <v>0</v>
      </c>
      <c r="H462" s="18" t="str">
        <f t="shared" ca="1" si="152"/>
        <v>—</v>
      </c>
      <c r="I462" s="17">
        <f t="shared" ca="1" si="153"/>
        <v>7</v>
      </c>
      <c r="J462" s="18" t="str">
        <f t="shared" ca="1" si="154"/>
        <v>—</v>
      </c>
      <c r="K462" s="17">
        <f t="shared" ca="1" si="155"/>
        <v>7</v>
      </c>
      <c r="L462" s="10">
        <f t="shared" ca="1" si="156"/>
        <v>77</v>
      </c>
      <c r="M462" s="17">
        <f t="shared" ca="1" si="157"/>
        <v>0</v>
      </c>
      <c r="N462" s="18">
        <f t="shared" ca="1" si="158"/>
        <v>20.3</v>
      </c>
      <c r="O462" s="17">
        <f t="shared" ca="1" si="159"/>
        <v>0</v>
      </c>
      <c r="P462" s="18">
        <f t="shared" ca="1" si="160"/>
        <v>23.6</v>
      </c>
      <c r="Q462" s="17">
        <f t="shared" ca="1" si="161"/>
        <v>0</v>
      </c>
      <c r="R462" s="10">
        <f t="shared" ca="1" si="162"/>
        <v>65</v>
      </c>
      <c r="S462" s="17">
        <f t="shared" ca="1" si="163"/>
        <v>0</v>
      </c>
      <c r="T462" s="70">
        <f t="shared" ca="1" si="164"/>
        <v>0.6</v>
      </c>
      <c r="U462" s="17">
        <f t="shared" ca="1" si="165"/>
        <v>0</v>
      </c>
      <c r="V462" s="71">
        <f t="shared" ca="1" si="166"/>
        <v>3</v>
      </c>
      <c r="W462" s="17">
        <f t="shared" ca="1" si="167"/>
        <v>0</v>
      </c>
    </row>
    <row r="463" spans="1:23" x14ac:dyDescent="0.25">
      <c r="A463" s="4">
        <f t="shared" si="147"/>
        <v>32</v>
      </c>
      <c r="B463" t="str">
        <f ca="1">TEXT(DATE(YEAR(Invoer!$A$6),1,1)+INT((ROWS(B$2:B463)-1)/4),"jjjjmmdd")</f>
        <v>19400425</v>
      </c>
      <c r="C463" s="64" t="str">
        <f>IF(MOD(ROWS(C$2:C463)-1,4)=3,"24.00",INDEX(Data,3,2+MOD(ROWS(C$2:C463)-1,4)))</f>
        <v>12.00</v>
      </c>
      <c r="D463" s="18">
        <f t="shared" ca="1" si="148"/>
        <v>759.2</v>
      </c>
      <c r="E463" s="17">
        <f t="shared" ca="1" si="149"/>
        <v>0</v>
      </c>
      <c r="F463" s="18">
        <f t="shared" ca="1" si="150"/>
        <v>27.9</v>
      </c>
      <c r="G463" s="17">
        <f t="shared" ca="1" si="151"/>
        <v>0</v>
      </c>
      <c r="H463" s="18" t="str">
        <f t="shared" ca="1" si="152"/>
        <v>—</v>
      </c>
      <c r="I463" s="17">
        <f t="shared" ca="1" si="153"/>
        <v>7</v>
      </c>
      <c r="J463" s="18" t="str">
        <f t="shared" ca="1" si="154"/>
        <v>—</v>
      </c>
      <c r="K463" s="17">
        <f t="shared" ca="1" si="155"/>
        <v>7</v>
      </c>
      <c r="L463" s="10">
        <f t="shared" ca="1" si="156"/>
        <v>76</v>
      </c>
      <c r="M463" s="17">
        <f t="shared" ca="1" si="157"/>
        <v>0</v>
      </c>
      <c r="N463" s="18">
        <f t="shared" ca="1" si="158"/>
        <v>21.6</v>
      </c>
      <c r="O463" s="17">
        <f t="shared" ca="1" si="159"/>
        <v>0</v>
      </c>
      <c r="P463" s="18">
        <f t="shared" ca="1" si="160"/>
        <v>24.6</v>
      </c>
      <c r="Q463" s="17">
        <f t="shared" ca="1" si="161"/>
        <v>0</v>
      </c>
      <c r="R463" s="10">
        <f t="shared" ca="1" si="162"/>
        <v>65</v>
      </c>
      <c r="S463" s="17">
        <f t="shared" ca="1" si="163"/>
        <v>0</v>
      </c>
      <c r="T463" s="70">
        <f t="shared" ca="1" si="164"/>
        <v>0.7</v>
      </c>
      <c r="U463" s="17">
        <f t="shared" ca="1" si="165"/>
        <v>0</v>
      </c>
      <c r="V463" s="71">
        <f t="shared" ca="1" si="166"/>
        <v>4</v>
      </c>
      <c r="W463" s="17">
        <f t="shared" ca="1" si="167"/>
        <v>0</v>
      </c>
    </row>
    <row r="464" spans="1:23" x14ac:dyDescent="0.25">
      <c r="A464" s="4">
        <f t="shared" si="147"/>
        <v>32</v>
      </c>
      <c r="B464" t="str">
        <f ca="1">TEXT(DATE(YEAR(Invoer!$A$6),1,1)+INT((ROWS(B$2:B464)-1)/4),"jjjjmmdd")</f>
        <v>19400425</v>
      </c>
      <c r="C464" s="64" t="str">
        <f>IF(MOD(ROWS(C$2:C464)-1,4)=3,"24.00",INDEX(Data,3,2+MOD(ROWS(C$2:C464)-1,4)))</f>
        <v>17.00</v>
      </c>
      <c r="D464" s="18">
        <f t="shared" ca="1" si="148"/>
        <v>758.5</v>
      </c>
      <c r="E464" s="17">
        <f t="shared" ca="1" si="149"/>
        <v>0</v>
      </c>
      <c r="F464" s="18">
        <f t="shared" ca="1" si="150"/>
        <v>26.9</v>
      </c>
      <c r="G464" s="17">
        <f t="shared" ca="1" si="151"/>
        <v>0</v>
      </c>
      <c r="H464" s="18" t="str">
        <f t="shared" ca="1" si="152"/>
        <v>—</v>
      </c>
      <c r="I464" s="17">
        <f t="shared" ca="1" si="153"/>
        <v>7</v>
      </c>
      <c r="J464" s="18" t="str">
        <f t="shared" ca="1" si="154"/>
        <v>—</v>
      </c>
      <c r="K464" s="17">
        <f t="shared" ca="1" si="155"/>
        <v>7</v>
      </c>
      <c r="L464" s="10">
        <f t="shared" ca="1" si="156"/>
        <v>77</v>
      </c>
      <c r="M464" s="17">
        <f t="shared" ca="1" si="157"/>
        <v>0</v>
      </c>
      <c r="N464" s="18">
        <f t="shared" ca="1" si="158"/>
        <v>20.6</v>
      </c>
      <c r="O464" s="17">
        <f t="shared" ca="1" si="159"/>
        <v>0</v>
      </c>
      <c r="P464" s="18">
        <f t="shared" ca="1" si="160"/>
        <v>23.8</v>
      </c>
      <c r="Q464" s="17">
        <f t="shared" ca="1" si="161"/>
        <v>0</v>
      </c>
      <c r="R464" s="10">
        <f t="shared" ca="1" si="162"/>
        <v>65</v>
      </c>
      <c r="S464" s="17">
        <f t="shared" ca="1" si="163"/>
        <v>0</v>
      </c>
      <c r="T464" s="70">
        <f t="shared" ca="1" si="164"/>
        <v>0.7</v>
      </c>
      <c r="U464" s="17">
        <f t="shared" ca="1" si="165"/>
        <v>0</v>
      </c>
      <c r="V464" s="71">
        <f t="shared" ca="1" si="166"/>
        <v>3</v>
      </c>
      <c r="W464" s="17">
        <f t="shared" ca="1" si="167"/>
        <v>0</v>
      </c>
    </row>
    <row r="465" spans="1:23" x14ac:dyDescent="0.25">
      <c r="A465" s="4">
        <f t="shared" si="147"/>
        <v>32</v>
      </c>
      <c r="B465" t="str">
        <f ca="1">TEXT(DATE(YEAR(Invoer!$A$6),1,1)+INT((ROWS(B$2:B465)-1)/4),"jjjjmmdd")</f>
        <v>19400425</v>
      </c>
      <c r="C465" s="64" t="str">
        <f>IF(MOD(ROWS(C$2:C465)-1,4)=3,"24.00",INDEX(Data,3,2+MOD(ROWS(C$2:C465)-1,4)))</f>
        <v>24.00</v>
      </c>
      <c r="D465" s="18" t="str">
        <f t="shared" ca="1" si="148"/>
        <v>—</v>
      </c>
      <c r="E465" s="17">
        <f t="shared" ca="1" si="149"/>
        <v>7</v>
      </c>
      <c r="F465" s="18" t="str">
        <f t="shared" ca="1" si="150"/>
        <v>—</v>
      </c>
      <c r="G465" s="17">
        <f t="shared" ca="1" si="151"/>
        <v>7</v>
      </c>
      <c r="H465" s="18">
        <f t="shared" ca="1" si="152"/>
        <v>28.1</v>
      </c>
      <c r="I465" s="17">
        <f t="shared" ca="1" si="153"/>
        <v>0</v>
      </c>
      <c r="J465" s="18">
        <f t="shared" ca="1" si="154"/>
        <v>31.4</v>
      </c>
      <c r="K465" s="17">
        <f t="shared" ca="1" si="155"/>
        <v>0</v>
      </c>
      <c r="L465" s="10" t="str">
        <f t="shared" ca="1" si="156"/>
        <v>—</v>
      </c>
      <c r="M465" s="17">
        <f t="shared" ca="1" si="157"/>
        <v>7</v>
      </c>
      <c r="N465" s="18" t="str">
        <f t="shared" ca="1" si="158"/>
        <v>—</v>
      </c>
      <c r="O465" s="17">
        <f t="shared" ca="1" si="159"/>
        <v>7</v>
      </c>
      <c r="P465" s="18" t="str">
        <f t="shared" ca="1" si="160"/>
        <v>—</v>
      </c>
      <c r="Q465" s="17">
        <f t="shared" ca="1" si="161"/>
        <v>7</v>
      </c>
      <c r="R465" s="10" t="str">
        <f t="shared" ca="1" si="162"/>
        <v>—</v>
      </c>
      <c r="S465" s="17">
        <f t="shared" ca="1" si="163"/>
        <v>7</v>
      </c>
      <c r="T465" s="70" t="str">
        <f t="shared" ca="1" si="164"/>
        <v>—</v>
      </c>
      <c r="U465" s="17">
        <f t="shared" ca="1" si="165"/>
        <v>7</v>
      </c>
      <c r="V465" s="71" t="str">
        <f t="shared" ca="1" si="166"/>
        <v>—</v>
      </c>
      <c r="W465" s="17">
        <f t="shared" ca="1" si="167"/>
        <v>7</v>
      </c>
    </row>
    <row r="466" spans="1:23" x14ac:dyDescent="0.25">
      <c r="A466" s="4">
        <f t="shared" si="147"/>
        <v>32</v>
      </c>
      <c r="B466" t="str">
        <f ca="1">TEXT(DATE(YEAR(Invoer!$A$6),1,1)+INT((ROWS(B$2:B466)-1)/4),"jjjjmmdd")</f>
        <v>19400426</v>
      </c>
      <c r="C466" s="64" t="str">
        <f>IF(MOD(ROWS(C$2:C466)-1,4)=3,"24.00",INDEX(Data,3,2+MOD(ROWS(C$2:C466)-1,4)))</f>
        <v>07.00</v>
      </c>
      <c r="D466" s="18">
        <f t="shared" ca="1" si="148"/>
        <v>759.5</v>
      </c>
      <c r="E466" s="17">
        <f t="shared" ca="1" si="149"/>
        <v>0</v>
      </c>
      <c r="F466" s="18">
        <f t="shared" ca="1" si="150"/>
        <v>26.3</v>
      </c>
      <c r="G466" s="17">
        <f t="shared" ca="1" si="151"/>
        <v>0</v>
      </c>
      <c r="H466" s="18" t="str">
        <f t="shared" ca="1" si="152"/>
        <v>—</v>
      </c>
      <c r="I466" s="17">
        <f t="shared" ca="1" si="153"/>
        <v>7</v>
      </c>
      <c r="J466" s="18" t="str">
        <f t="shared" ca="1" si="154"/>
        <v>—</v>
      </c>
      <c r="K466" s="17">
        <f t="shared" ca="1" si="155"/>
        <v>7</v>
      </c>
      <c r="L466" s="10">
        <f t="shared" ca="1" si="156"/>
        <v>78</v>
      </c>
      <c r="M466" s="17">
        <f t="shared" ca="1" si="157"/>
        <v>0</v>
      </c>
      <c r="N466" s="18">
        <f t="shared" ca="1" si="158"/>
        <v>20.100000000000001</v>
      </c>
      <c r="O466" s="17">
        <f t="shared" ca="1" si="159"/>
        <v>0</v>
      </c>
      <c r="P466" s="18">
        <f t="shared" ca="1" si="160"/>
        <v>23.4</v>
      </c>
      <c r="Q466" s="17">
        <f t="shared" ca="1" si="161"/>
        <v>0</v>
      </c>
      <c r="R466" s="10">
        <f t="shared" ca="1" si="162"/>
        <v>65</v>
      </c>
      <c r="S466" s="17">
        <f t="shared" ca="1" si="163"/>
        <v>0</v>
      </c>
      <c r="T466" s="70">
        <f t="shared" ca="1" si="164"/>
        <v>0.6</v>
      </c>
      <c r="U466" s="17">
        <f t="shared" ca="1" si="165"/>
        <v>0</v>
      </c>
      <c r="V466" s="71">
        <f t="shared" ca="1" si="166"/>
        <v>3</v>
      </c>
      <c r="W466" s="17">
        <f t="shared" ca="1" si="167"/>
        <v>0</v>
      </c>
    </row>
    <row r="467" spans="1:23" x14ac:dyDescent="0.25">
      <c r="A467" s="4">
        <f t="shared" si="147"/>
        <v>32</v>
      </c>
      <c r="B467" t="str">
        <f ca="1">TEXT(DATE(YEAR(Invoer!$A$6),1,1)+INT((ROWS(B$2:B467)-1)/4),"jjjjmmdd")</f>
        <v>19400426</v>
      </c>
      <c r="C467" s="64" t="str">
        <f>IF(MOD(ROWS(C$2:C467)-1,4)=3,"24.00",INDEX(Data,3,2+MOD(ROWS(C$2:C467)-1,4)))</f>
        <v>12.00</v>
      </c>
      <c r="D467" s="18">
        <f t="shared" ca="1" si="148"/>
        <v>759.7</v>
      </c>
      <c r="E467" s="17">
        <f t="shared" ca="1" si="149"/>
        <v>0</v>
      </c>
      <c r="F467" s="18">
        <f t="shared" ca="1" si="150"/>
        <v>26.9</v>
      </c>
      <c r="G467" s="17">
        <f t="shared" ca="1" si="151"/>
        <v>0</v>
      </c>
      <c r="H467" s="18" t="str">
        <f t="shared" ca="1" si="152"/>
        <v>—</v>
      </c>
      <c r="I467" s="17">
        <f t="shared" ca="1" si="153"/>
        <v>7</v>
      </c>
      <c r="J467" s="18" t="str">
        <f t="shared" ca="1" si="154"/>
        <v>—</v>
      </c>
      <c r="K467" s="17">
        <f t="shared" ca="1" si="155"/>
        <v>7</v>
      </c>
      <c r="L467" s="10">
        <f t="shared" ca="1" si="156"/>
        <v>79</v>
      </c>
      <c r="M467" s="17">
        <f t="shared" ca="1" si="157"/>
        <v>0</v>
      </c>
      <c r="N467" s="18">
        <f t="shared" ca="1" si="158"/>
        <v>20.9</v>
      </c>
      <c r="O467" s="17">
        <f t="shared" ca="1" si="159"/>
        <v>0</v>
      </c>
      <c r="P467" s="18">
        <f t="shared" ca="1" si="160"/>
        <v>24</v>
      </c>
      <c r="Q467" s="17">
        <f t="shared" ca="1" si="161"/>
        <v>0</v>
      </c>
      <c r="R467" s="10">
        <f t="shared" ca="1" si="162"/>
        <v>65</v>
      </c>
      <c r="S467" s="17">
        <f t="shared" ca="1" si="163"/>
        <v>0</v>
      </c>
      <c r="T467" s="70">
        <f t="shared" ca="1" si="164"/>
        <v>0.7</v>
      </c>
      <c r="U467" s="17">
        <f t="shared" ca="1" si="165"/>
        <v>0</v>
      </c>
      <c r="V467" s="71">
        <f t="shared" ca="1" si="166"/>
        <v>4</v>
      </c>
      <c r="W467" s="17">
        <f t="shared" ca="1" si="167"/>
        <v>0</v>
      </c>
    </row>
    <row r="468" spans="1:23" x14ac:dyDescent="0.25">
      <c r="A468" s="4">
        <f t="shared" si="147"/>
        <v>32</v>
      </c>
      <c r="B468" t="str">
        <f ca="1">TEXT(DATE(YEAR(Invoer!$A$6),1,1)+INT((ROWS(B$2:B468)-1)/4),"jjjjmmdd")</f>
        <v>19400426</v>
      </c>
      <c r="C468" s="64" t="str">
        <f>IF(MOD(ROWS(C$2:C468)-1,4)=3,"24.00",INDEX(Data,3,2+MOD(ROWS(C$2:C468)-1,4)))</f>
        <v>17.00</v>
      </c>
      <c r="D468" s="18">
        <f t="shared" ca="1" si="148"/>
        <v>758.9</v>
      </c>
      <c r="E468" s="17">
        <f t="shared" ca="1" si="149"/>
        <v>0</v>
      </c>
      <c r="F468" s="18">
        <f t="shared" ca="1" si="150"/>
        <v>26.9</v>
      </c>
      <c r="G468" s="17">
        <f t="shared" ca="1" si="151"/>
        <v>0</v>
      </c>
      <c r="H468" s="18" t="str">
        <f t="shared" ca="1" si="152"/>
        <v>—</v>
      </c>
      <c r="I468" s="17">
        <f t="shared" ca="1" si="153"/>
        <v>7</v>
      </c>
      <c r="J468" s="18" t="str">
        <f t="shared" ca="1" si="154"/>
        <v>—</v>
      </c>
      <c r="K468" s="17">
        <f t="shared" ca="1" si="155"/>
        <v>7</v>
      </c>
      <c r="L468" s="10">
        <f t="shared" ca="1" si="156"/>
        <v>77</v>
      </c>
      <c r="M468" s="17">
        <f t="shared" ca="1" si="157"/>
        <v>0</v>
      </c>
      <c r="N468" s="18">
        <f t="shared" ca="1" si="158"/>
        <v>20.6</v>
      </c>
      <c r="O468" s="17">
        <f t="shared" ca="1" si="159"/>
        <v>0</v>
      </c>
      <c r="P468" s="18">
        <f t="shared" ca="1" si="160"/>
        <v>23.8</v>
      </c>
      <c r="Q468" s="17">
        <f t="shared" ca="1" si="161"/>
        <v>0</v>
      </c>
      <c r="R468" s="10">
        <f t="shared" ca="1" si="162"/>
        <v>65</v>
      </c>
      <c r="S468" s="17">
        <f t="shared" ca="1" si="163"/>
        <v>0</v>
      </c>
      <c r="T468" s="70">
        <f t="shared" ca="1" si="164"/>
        <v>0.6</v>
      </c>
      <c r="U468" s="17">
        <f t="shared" ca="1" si="165"/>
        <v>0</v>
      </c>
      <c r="V468" s="71">
        <f t="shared" ca="1" si="166"/>
        <v>4</v>
      </c>
      <c r="W468" s="17">
        <f t="shared" ca="1" si="167"/>
        <v>0</v>
      </c>
    </row>
    <row r="469" spans="1:23" x14ac:dyDescent="0.25">
      <c r="A469" s="4">
        <f t="shared" si="147"/>
        <v>32</v>
      </c>
      <c r="B469" t="str">
        <f ca="1">TEXT(DATE(YEAR(Invoer!$A$6),1,1)+INT((ROWS(B$2:B469)-1)/4),"jjjjmmdd")</f>
        <v>19400426</v>
      </c>
      <c r="C469" s="64" t="str">
        <f>IF(MOD(ROWS(C$2:C469)-1,4)=3,"24.00",INDEX(Data,3,2+MOD(ROWS(C$2:C469)-1,4)))</f>
        <v>24.00</v>
      </c>
      <c r="D469" s="18" t="str">
        <f t="shared" ca="1" si="148"/>
        <v>—</v>
      </c>
      <c r="E469" s="17">
        <f t="shared" ca="1" si="149"/>
        <v>7</v>
      </c>
      <c r="F469" s="18" t="str">
        <f t="shared" ca="1" si="150"/>
        <v>—</v>
      </c>
      <c r="G469" s="17">
        <f t="shared" ca="1" si="151"/>
        <v>7</v>
      </c>
      <c r="H469" s="18">
        <f t="shared" ca="1" si="152"/>
        <v>29</v>
      </c>
      <c r="I469" s="17">
        <f t="shared" ca="1" si="153"/>
        <v>0</v>
      </c>
      <c r="J469" s="18">
        <f t="shared" ca="1" si="154"/>
        <v>30.6</v>
      </c>
      <c r="K469" s="17">
        <f t="shared" ca="1" si="155"/>
        <v>0</v>
      </c>
      <c r="L469" s="10" t="str">
        <f t="shared" ca="1" si="156"/>
        <v>—</v>
      </c>
      <c r="M469" s="17">
        <f t="shared" ca="1" si="157"/>
        <v>7</v>
      </c>
      <c r="N469" s="18" t="str">
        <f t="shared" ca="1" si="158"/>
        <v>—</v>
      </c>
      <c r="O469" s="17">
        <f t="shared" ca="1" si="159"/>
        <v>7</v>
      </c>
      <c r="P469" s="18" t="str">
        <f t="shared" ca="1" si="160"/>
        <v>—</v>
      </c>
      <c r="Q469" s="17">
        <f t="shared" ca="1" si="161"/>
        <v>7</v>
      </c>
      <c r="R469" s="10" t="str">
        <f t="shared" ca="1" si="162"/>
        <v>—</v>
      </c>
      <c r="S469" s="17">
        <f t="shared" ca="1" si="163"/>
        <v>7</v>
      </c>
      <c r="T469" s="70" t="str">
        <f t="shared" ca="1" si="164"/>
        <v>—</v>
      </c>
      <c r="U469" s="17">
        <f t="shared" ca="1" si="165"/>
        <v>7</v>
      </c>
      <c r="V469" s="71" t="str">
        <f t="shared" ca="1" si="166"/>
        <v>—</v>
      </c>
      <c r="W469" s="17">
        <f t="shared" ca="1" si="167"/>
        <v>7</v>
      </c>
    </row>
    <row r="470" spans="1:23" x14ac:dyDescent="0.25">
      <c r="A470" s="4">
        <f t="shared" si="147"/>
        <v>32</v>
      </c>
      <c r="B470" t="str">
        <f ca="1">TEXT(DATE(YEAR(Invoer!$A$6),1,1)+INT((ROWS(B$2:B470)-1)/4),"jjjjmmdd")</f>
        <v>19400427</v>
      </c>
      <c r="C470" s="64" t="str">
        <f>IF(MOD(ROWS(C$2:C470)-1,4)=3,"24.00",INDEX(Data,3,2+MOD(ROWS(C$2:C470)-1,4)))</f>
        <v>07.00</v>
      </c>
      <c r="D470" s="18">
        <f t="shared" ca="1" si="148"/>
        <v>758.5</v>
      </c>
      <c r="E470" s="17">
        <f t="shared" ca="1" si="149"/>
        <v>0</v>
      </c>
      <c r="F470" s="18">
        <f t="shared" ca="1" si="150"/>
        <v>26.5</v>
      </c>
      <c r="G470" s="17">
        <f t="shared" ca="1" si="151"/>
        <v>0</v>
      </c>
      <c r="H470" s="18" t="str">
        <f t="shared" ca="1" si="152"/>
        <v>—</v>
      </c>
      <c r="I470" s="17">
        <f t="shared" ca="1" si="153"/>
        <v>7</v>
      </c>
      <c r="J470" s="18" t="str">
        <f t="shared" ca="1" si="154"/>
        <v>—</v>
      </c>
      <c r="K470" s="17">
        <f t="shared" ca="1" si="155"/>
        <v>7</v>
      </c>
      <c r="L470" s="10">
        <f t="shared" ca="1" si="156"/>
        <v>77</v>
      </c>
      <c r="M470" s="17">
        <f t="shared" ca="1" si="157"/>
        <v>0</v>
      </c>
      <c r="N470" s="18">
        <f t="shared" ca="1" si="158"/>
        <v>20</v>
      </c>
      <c r="O470" s="17">
        <f t="shared" ca="1" si="159"/>
        <v>0</v>
      </c>
      <c r="P470" s="18">
        <f t="shared" ca="1" si="160"/>
        <v>23.4</v>
      </c>
      <c r="Q470" s="17">
        <f t="shared" ca="1" si="161"/>
        <v>0</v>
      </c>
      <c r="R470" s="10">
        <f t="shared" ca="1" si="162"/>
        <v>65</v>
      </c>
      <c r="S470" s="17">
        <f t="shared" ca="1" si="163"/>
        <v>0</v>
      </c>
      <c r="T470" s="70">
        <f t="shared" ca="1" si="164"/>
        <v>0.6</v>
      </c>
      <c r="U470" s="17">
        <f t="shared" ca="1" si="165"/>
        <v>0</v>
      </c>
      <c r="V470" s="71">
        <f t="shared" ca="1" si="166"/>
        <v>2</v>
      </c>
      <c r="W470" s="17">
        <f t="shared" ca="1" si="167"/>
        <v>0</v>
      </c>
    </row>
    <row r="471" spans="1:23" x14ac:dyDescent="0.25">
      <c r="A471" s="4">
        <f t="shared" si="147"/>
        <v>32</v>
      </c>
      <c r="B471" t="str">
        <f ca="1">TEXT(DATE(YEAR(Invoer!$A$6),1,1)+INT((ROWS(B$2:B471)-1)/4),"jjjjmmdd")</f>
        <v>19400427</v>
      </c>
      <c r="C471" s="64" t="str">
        <f>IF(MOD(ROWS(C$2:C471)-1,4)=3,"24.00",INDEX(Data,3,2+MOD(ROWS(C$2:C471)-1,4)))</f>
        <v>12.00</v>
      </c>
      <c r="D471" s="18">
        <f t="shared" ca="1" si="148"/>
        <v>759.5</v>
      </c>
      <c r="E471" s="17">
        <f t="shared" ca="1" si="149"/>
        <v>0</v>
      </c>
      <c r="F471" s="18">
        <f t="shared" ca="1" si="150"/>
        <v>26.7</v>
      </c>
      <c r="G471" s="17">
        <f t="shared" ca="1" si="151"/>
        <v>0</v>
      </c>
      <c r="H471" s="18" t="str">
        <f t="shared" ca="1" si="152"/>
        <v>—</v>
      </c>
      <c r="I471" s="17">
        <f t="shared" ca="1" si="153"/>
        <v>7</v>
      </c>
      <c r="J471" s="18" t="str">
        <f t="shared" ca="1" si="154"/>
        <v>—</v>
      </c>
      <c r="K471" s="17">
        <f t="shared" ca="1" si="155"/>
        <v>7</v>
      </c>
      <c r="L471" s="10">
        <f t="shared" ca="1" si="156"/>
        <v>77</v>
      </c>
      <c r="M471" s="17">
        <f t="shared" ca="1" si="157"/>
        <v>0</v>
      </c>
      <c r="N471" s="18">
        <f t="shared" ca="1" si="158"/>
        <v>20.3</v>
      </c>
      <c r="O471" s="17">
        <f t="shared" ca="1" si="159"/>
        <v>0</v>
      </c>
      <c r="P471" s="18">
        <f t="shared" ca="1" si="160"/>
        <v>23.6</v>
      </c>
      <c r="Q471" s="17">
        <f t="shared" ca="1" si="161"/>
        <v>0</v>
      </c>
      <c r="R471" s="10">
        <f t="shared" ca="1" si="162"/>
        <v>65</v>
      </c>
      <c r="S471" s="17">
        <f t="shared" ca="1" si="163"/>
        <v>0</v>
      </c>
      <c r="T471" s="70">
        <f t="shared" ca="1" si="164"/>
        <v>0.7</v>
      </c>
      <c r="U471" s="17">
        <f t="shared" ca="1" si="165"/>
        <v>0</v>
      </c>
      <c r="V471" s="71">
        <f t="shared" ca="1" si="166"/>
        <v>3</v>
      </c>
      <c r="W471" s="17">
        <f t="shared" ca="1" si="167"/>
        <v>0</v>
      </c>
    </row>
    <row r="472" spans="1:23" x14ac:dyDescent="0.25">
      <c r="A472" s="4">
        <f t="shared" si="147"/>
        <v>32</v>
      </c>
      <c r="B472" t="str">
        <f ca="1">TEXT(DATE(YEAR(Invoer!$A$6),1,1)+INT((ROWS(B$2:B472)-1)/4),"jjjjmmdd")</f>
        <v>19400427</v>
      </c>
      <c r="C472" s="64" t="str">
        <f>IF(MOD(ROWS(C$2:C472)-1,4)=3,"24.00",INDEX(Data,3,2+MOD(ROWS(C$2:C472)-1,4)))</f>
        <v>17.00</v>
      </c>
      <c r="D472" s="18">
        <f t="shared" ca="1" si="148"/>
        <v>758.9</v>
      </c>
      <c r="E472" s="17">
        <f t="shared" ca="1" si="149"/>
        <v>0</v>
      </c>
      <c r="F472" s="18">
        <f t="shared" ca="1" si="150"/>
        <v>26.5</v>
      </c>
      <c r="G472" s="17">
        <f t="shared" ca="1" si="151"/>
        <v>0</v>
      </c>
      <c r="H472" s="18" t="str">
        <f t="shared" ca="1" si="152"/>
        <v>—</v>
      </c>
      <c r="I472" s="17">
        <f t="shared" ca="1" si="153"/>
        <v>7</v>
      </c>
      <c r="J472" s="18" t="str">
        <f t="shared" ca="1" si="154"/>
        <v>—</v>
      </c>
      <c r="K472" s="17">
        <f t="shared" ca="1" si="155"/>
        <v>7</v>
      </c>
      <c r="L472" s="10">
        <f t="shared" ca="1" si="156"/>
        <v>76</v>
      </c>
      <c r="M472" s="17">
        <f t="shared" ca="1" si="157"/>
        <v>0</v>
      </c>
      <c r="N472" s="18">
        <f t="shared" ca="1" si="158"/>
        <v>19.7</v>
      </c>
      <c r="O472" s="17">
        <f t="shared" ca="1" si="159"/>
        <v>0</v>
      </c>
      <c r="P472" s="18">
        <f t="shared" ca="1" si="160"/>
        <v>23.2</v>
      </c>
      <c r="Q472" s="17">
        <f t="shared" ca="1" si="161"/>
        <v>0</v>
      </c>
      <c r="R472" s="10">
        <f t="shared" ca="1" si="162"/>
        <v>65</v>
      </c>
      <c r="S472" s="17">
        <f t="shared" ca="1" si="163"/>
        <v>0</v>
      </c>
      <c r="T472" s="70">
        <f t="shared" ca="1" si="164"/>
        <v>0.7</v>
      </c>
      <c r="U472" s="17">
        <f t="shared" ca="1" si="165"/>
        <v>0</v>
      </c>
      <c r="V472" s="71">
        <f t="shared" ca="1" si="166"/>
        <v>3</v>
      </c>
      <c r="W472" s="17">
        <f t="shared" ca="1" si="167"/>
        <v>0</v>
      </c>
    </row>
    <row r="473" spans="1:23" x14ac:dyDescent="0.25">
      <c r="A473" s="4">
        <f t="shared" si="147"/>
        <v>32</v>
      </c>
      <c r="B473" t="str">
        <f ca="1">TEXT(DATE(YEAR(Invoer!$A$6),1,1)+INT((ROWS(B$2:B473)-1)/4),"jjjjmmdd")</f>
        <v>19400427</v>
      </c>
      <c r="C473" s="64" t="str">
        <f>IF(MOD(ROWS(C$2:C473)-1,4)=3,"24.00",INDEX(Data,3,2+MOD(ROWS(C$2:C473)-1,4)))</f>
        <v>24.00</v>
      </c>
      <c r="D473" s="18" t="str">
        <f t="shared" ca="1" si="148"/>
        <v>—</v>
      </c>
      <c r="E473" s="17">
        <f t="shared" ca="1" si="149"/>
        <v>7</v>
      </c>
      <c r="F473" s="18" t="str">
        <f t="shared" ca="1" si="150"/>
        <v>—</v>
      </c>
      <c r="G473" s="17">
        <f t="shared" ca="1" si="151"/>
        <v>7</v>
      </c>
      <c r="H473" s="18">
        <f t="shared" ca="1" si="152"/>
        <v>27.4</v>
      </c>
      <c r="I473" s="17">
        <f t="shared" ca="1" si="153"/>
        <v>0</v>
      </c>
      <c r="J473" s="18">
        <f t="shared" ca="1" si="154"/>
        <v>30</v>
      </c>
      <c r="K473" s="17">
        <f t="shared" ca="1" si="155"/>
        <v>0</v>
      </c>
      <c r="L473" s="10" t="str">
        <f t="shared" ca="1" si="156"/>
        <v>—</v>
      </c>
      <c r="M473" s="17">
        <f t="shared" ca="1" si="157"/>
        <v>7</v>
      </c>
      <c r="N473" s="18" t="str">
        <f t="shared" ca="1" si="158"/>
        <v>—</v>
      </c>
      <c r="O473" s="17">
        <f t="shared" ca="1" si="159"/>
        <v>7</v>
      </c>
      <c r="P473" s="18" t="str">
        <f t="shared" ca="1" si="160"/>
        <v>—</v>
      </c>
      <c r="Q473" s="17">
        <f t="shared" ca="1" si="161"/>
        <v>7</v>
      </c>
      <c r="R473" s="10" t="str">
        <f t="shared" ca="1" si="162"/>
        <v>—</v>
      </c>
      <c r="S473" s="17">
        <f t="shared" ca="1" si="163"/>
        <v>7</v>
      </c>
      <c r="T473" s="70" t="str">
        <f t="shared" ca="1" si="164"/>
        <v>—</v>
      </c>
      <c r="U473" s="17">
        <f t="shared" ca="1" si="165"/>
        <v>7</v>
      </c>
      <c r="V473" s="71" t="str">
        <f t="shared" ca="1" si="166"/>
        <v>—</v>
      </c>
      <c r="W473" s="17">
        <f t="shared" ca="1" si="167"/>
        <v>7</v>
      </c>
    </row>
    <row r="474" spans="1:23" x14ac:dyDescent="0.25">
      <c r="A474" s="4">
        <f t="shared" si="147"/>
        <v>32</v>
      </c>
      <c r="B474" t="str">
        <f ca="1">TEXT(DATE(YEAR(Invoer!$A$6),1,1)+INT((ROWS(B$2:B474)-1)/4),"jjjjmmdd")</f>
        <v>19400428</v>
      </c>
      <c r="C474" s="64" t="str">
        <f>IF(MOD(ROWS(C$2:C474)-1,4)=3,"24.00",INDEX(Data,3,2+MOD(ROWS(C$2:C474)-1,4)))</f>
        <v>07.00</v>
      </c>
      <c r="D474" s="18">
        <f t="shared" ca="1" si="148"/>
        <v>758.2</v>
      </c>
      <c r="E474" s="17">
        <f t="shared" ca="1" si="149"/>
        <v>0</v>
      </c>
      <c r="F474" s="18">
        <f t="shared" ca="1" si="150"/>
        <v>25.9</v>
      </c>
      <c r="G474" s="17">
        <f t="shared" ca="1" si="151"/>
        <v>0</v>
      </c>
      <c r="H474" s="18" t="str">
        <f t="shared" ca="1" si="152"/>
        <v>—</v>
      </c>
      <c r="I474" s="17">
        <f t="shared" ca="1" si="153"/>
        <v>7</v>
      </c>
      <c r="J474" s="18" t="str">
        <f t="shared" ca="1" si="154"/>
        <v>—</v>
      </c>
      <c r="K474" s="17">
        <f t="shared" ca="1" si="155"/>
        <v>7</v>
      </c>
      <c r="L474" s="10">
        <f t="shared" ca="1" si="156"/>
        <v>84</v>
      </c>
      <c r="M474" s="17">
        <f t="shared" ca="1" si="157"/>
        <v>0</v>
      </c>
      <c r="N474" s="18">
        <f t="shared" ca="1" si="158"/>
        <v>21.1</v>
      </c>
      <c r="O474" s="17">
        <f t="shared" ca="1" si="159"/>
        <v>0</v>
      </c>
      <c r="P474" s="18">
        <f t="shared" ca="1" si="160"/>
        <v>23.8</v>
      </c>
      <c r="Q474" s="17">
        <f t="shared" ca="1" si="161"/>
        <v>0</v>
      </c>
      <c r="R474" s="10">
        <f t="shared" ca="1" si="162"/>
        <v>65</v>
      </c>
      <c r="S474" s="17">
        <f t="shared" ca="1" si="163"/>
        <v>0</v>
      </c>
      <c r="T474" s="70">
        <f t="shared" ca="1" si="164"/>
        <v>0.5</v>
      </c>
      <c r="U474" s="17">
        <f t="shared" ca="1" si="165"/>
        <v>0</v>
      </c>
      <c r="V474" s="71">
        <f t="shared" ca="1" si="166"/>
        <v>2</v>
      </c>
      <c r="W474" s="17">
        <f t="shared" ca="1" si="167"/>
        <v>0</v>
      </c>
    </row>
    <row r="475" spans="1:23" x14ac:dyDescent="0.25">
      <c r="A475" s="4">
        <f t="shared" si="147"/>
        <v>32</v>
      </c>
      <c r="B475" t="str">
        <f ca="1">TEXT(DATE(YEAR(Invoer!$A$6),1,1)+INT((ROWS(B$2:B475)-1)/4),"jjjjmmdd")</f>
        <v>19400428</v>
      </c>
      <c r="C475" s="64" t="str">
        <f>IF(MOD(ROWS(C$2:C475)-1,4)=3,"24.00",INDEX(Data,3,2+MOD(ROWS(C$2:C475)-1,4)))</f>
        <v>12.00</v>
      </c>
      <c r="D475" s="18">
        <f t="shared" ca="1" si="148"/>
        <v>755.7</v>
      </c>
      <c r="E475" s="17">
        <f t="shared" ca="1" si="149"/>
        <v>0</v>
      </c>
      <c r="F475" s="18">
        <f t="shared" ca="1" si="150"/>
        <v>26.7</v>
      </c>
      <c r="G475" s="17">
        <f t="shared" ca="1" si="151"/>
        <v>0</v>
      </c>
      <c r="H475" s="18" t="str">
        <f t="shared" ca="1" si="152"/>
        <v>—</v>
      </c>
      <c r="I475" s="17">
        <f t="shared" ca="1" si="153"/>
        <v>7</v>
      </c>
      <c r="J475" s="18" t="str">
        <f t="shared" ca="1" si="154"/>
        <v>—</v>
      </c>
      <c r="K475" s="17">
        <f t="shared" ca="1" si="155"/>
        <v>7</v>
      </c>
      <c r="L475" s="10">
        <f t="shared" ca="1" si="156"/>
        <v>77</v>
      </c>
      <c r="M475" s="17">
        <f t="shared" ca="1" si="157"/>
        <v>0</v>
      </c>
      <c r="N475" s="18">
        <f t="shared" ca="1" si="158"/>
        <v>20.3</v>
      </c>
      <c r="O475" s="17">
        <f t="shared" ca="1" si="159"/>
        <v>0</v>
      </c>
      <c r="P475" s="18">
        <f t="shared" ca="1" si="160"/>
        <v>23.6</v>
      </c>
      <c r="Q475" s="17">
        <f t="shared" ca="1" si="161"/>
        <v>0</v>
      </c>
      <c r="R475" s="10">
        <f t="shared" ca="1" si="162"/>
        <v>45</v>
      </c>
      <c r="S475" s="17">
        <f t="shared" ca="1" si="163"/>
        <v>0</v>
      </c>
      <c r="T475" s="70">
        <f t="shared" ca="1" si="164"/>
        <v>0.6</v>
      </c>
      <c r="U475" s="17">
        <f t="shared" ca="1" si="165"/>
        <v>0</v>
      </c>
      <c r="V475" s="71">
        <f t="shared" ca="1" si="166"/>
        <v>2</v>
      </c>
      <c r="W475" s="17">
        <f t="shared" ca="1" si="167"/>
        <v>0</v>
      </c>
    </row>
    <row r="476" spans="1:23" x14ac:dyDescent="0.25">
      <c r="A476" s="4">
        <f t="shared" si="147"/>
        <v>32</v>
      </c>
      <c r="B476" t="str">
        <f ca="1">TEXT(DATE(YEAR(Invoer!$A$6),1,1)+INT((ROWS(B$2:B476)-1)/4),"jjjjmmdd")</f>
        <v>19400428</v>
      </c>
      <c r="C476" s="64" t="str">
        <f>IF(MOD(ROWS(C$2:C476)-1,4)=3,"24.00",INDEX(Data,3,2+MOD(ROWS(C$2:C476)-1,4)))</f>
        <v>17.00</v>
      </c>
      <c r="D476" s="18">
        <f t="shared" ca="1" si="148"/>
        <v>755.7</v>
      </c>
      <c r="E476" s="17">
        <f t="shared" ca="1" si="149"/>
        <v>0</v>
      </c>
      <c r="F476" s="18">
        <f t="shared" ca="1" si="150"/>
        <v>26.1</v>
      </c>
      <c r="G476" s="17">
        <f t="shared" ca="1" si="151"/>
        <v>0</v>
      </c>
      <c r="H476" s="18" t="str">
        <f t="shared" ca="1" si="152"/>
        <v>—</v>
      </c>
      <c r="I476" s="17">
        <f t="shared" ca="1" si="153"/>
        <v>7</v>
      </c>
      <c r="J476" s="18" t="str">
        <f t="shared" ca="1" si="154"/>
        <v>—</v>
      </c>
      <c r="K476" s="17">
        <f t="shared" ca="1" si="155"/>
        <v>7</v>
      </c>
      <c r="L476" s="10">
        <f t="shared" ca="1" si="156"/>
        <v>79</v>
      </c>
      <c r="M476" s="17">
        <f t="shared" ca="1" si="157"/>
        <v>0</v>
      </c>
      <c r="N476" s="18">
        <f t="shared" ca="1" si="158"/>
        <v>20.100000000000001</v>
      </c>
      <c r="O476" s="17">
        <f t="shared" ca="1" si="159"/>
        <v>0</v>
      </c>
      <c r="P476" s="18">
        <f t="shared" ca="1" si="160"/>
        <v>23.2</v>
      </c>
      <c r="Q476" s="17">
        <f t="shared" ca="1" si="161"/>
        <v>0</v>
      </c>
      <c r="R476" s="10">
        <f t="shared" ca="1" si="162"/>
        <v>45</v>
      </c>
      <c r="S476" s="17">
        <f t="shared" ca="1" si="163"/>
        <v>0</v>
      </c>
      <c r="T476" s="70">
        <f t="shared" ca="1" si="164"/>
        <v>0.6</v>
      </c>
      <c r="U476" s="17">
        <f t="shared" ca="1" si="165"/>
        <v>0</v>
      </c>
      <c r="V476" s="71">
        <f t="shared" ca="1" si="166"/>
        <v>2</v>
      </c>
      <c r="W476" s="17">
        <f t="shared" ca="1" si="167"/>
        <v>0</v>
      </c>
    </row>
    <row r="477" spans="1:23" x14ac:dyDescent="0.25">
      <c r="A477" s="4">
        <f t="shared" si="147"/>
        <v>32</v>
      </c>
      <c r="B477" t="str">
        <f ca="1">TEXT(DATE(YEAR(Invoer!$A$6),1,1)+INT((ROWS(B$2:B477)-1)/4),"jjjjmmdd")</f>
        <v>19400428</v>
      </c>
      <c r="C477" s="64" t="str">
        <f>IF(MOD(ROWS(C$2:C477)-1,4)=3,"24.00",INDEX(Data,3,2+MOD(ROWS(C$2:C477)-1,4)))</f>
        <v>24.00</v>
      </c>
      <c r="D477" s="18" t="str">
        <f t="shared" ca="1" si="148"/>
        <v>—</v>
      </c>
      <c r="E477" s="17">
        <f t="shared" ca="1" si="149"/>
        <v>7</v>
      </c>
      <c r="F477" s="18" t="str">
        <f t="shared" ca="1" si="150"/>
        <v>—</v>
      </c>
      <c r="G477" s="17">
        <f t="shared" ca="1" si="151"/>
        <v>7</v>
      </c>
      <c r="H477" s="18">
        <f t="shared" ca="1" si="152"/>
        <v>28.2</v>
      </c>
      <c r="I477" s="17">
        <f t="shared" ca="1" si="153"/>
        <v>0</v>
      </c>
      <c r="J477" s="18">
        <f t="shared" ca="1" si="154"/>
        <v>31</v>
      </c>
      <c r="K477" s="17">
        <f t="shared" ca="1" si="155"/>
        <v>0</v>
      </c>
      <c r="L477" s="10" t="str">
        <f t="shared" ca="1" si="156"/>
        <v>—</v>
      </c>
      <c r="M477" s="17">
        <f t="shared" ca="1" si="157"/>
        <v>7</v>
      </c>
      <c r="N477" s="18" t="str">
        <f t="shared" ca="1" si="158"/>
        <v>—</v>
      </c>
      <c r="O477" s="17">
        <f t="shared" ca="1" si="159"/>
        <v>7</v>
      </c>
      <c r="P477" s="18" t="str">
        <f t="shared" ca="1" si="160"/>
        <v>—</v>
      </c>
      <c r="Q477" s="17">
        <f t="shared" ca="1" si="161"/>
        <v>7</v>
      </c>
      <c r="R477" s="10" t="str">
        <f t="shared" ca="1" si="162"/>
        <v>—</v>
      </c>
      <c r="S477" s="17">
        <f t="shared" ca="1" si="163"/>
        <v>7</v>
      </c>
      <c r="T477" s="70" t="str">
        <f t="shared" ca="1" si="164"/>
        <v>—</v>
      </c>
      <c r="U477" s="17">
        <f t="shared" ca="1" si="165"/>
        <v>7</v>
      </c>
      <c r="V477" s="71" t="str">
        <f t="shared" ca="1" si="166"/>
        <v>—</v>
      </c>
      <c r="W477" s="17">
        <f t="shared" ca="1" si="167"/>
        <v>7</v>
      </c>
    </row>
    <row r="478" spans="1:23" x14ac:dyDescent="0.25">
      <c r="A478" s="4">
        <f t="shared" si="147"/>
        <v>32</v>
      </c>
      <c r="B478" t="str">
        <f ca="1">TEXT(DATE(YEAR(Invoer!$A$6),1,1)+INT((ROWS(B$2:B478)-1)/4),"jjjjmmdd")</f>
        <v>19400429</v>
      </c>
      <c r="C478" s="64" t="str">
        <f>IF(MOD(ROWS(C$2:C478)-1,4)=3,"24.00",INDEX(Data,3,2+MOD(ROWS(C$2:C478)-1,4)))</f>
        <v>07.00</v>
      </c>
      <c r="D478" s="18">
        <f t="shared" ca="1" si="148"/>
        <v>758.5</v>
      </c>
      <c r="E478" s="17">
        <f t="shared" ca="1" si="149"/>
        <v>0</v>
      </c>
      <c r="F478" s="18">
        <f t="shared" ca="1" si="150"/>
        <v>25.9</v>
      </c>
      <c r="G478" s="17">
        <f t="shared" ca="1" si="151"/>
        <v>0</v>
      </c>
      <c r="H478" s="18" t="str">
        <f t="shared" ca="1" si="152"/>
        <v>—</v>
      </c>
      <c r="I478" s="17">
        <f t="shared" ca="1" si="153"/>
        <v>7</v>
      </c>
      <c r="J478" s="18" t="str">
        <f t="shared" ca="1" si="154"/>
        <v>—</v>
      </c>
      <c r="K478" s="17">
        <f t="shared" ca="1" si="155"/>
        <v>7</v>
      </c>
      <c r="L478" s="10">
        <f t="shared" ca="1" si="156"/>
        <v>80</v>
      </c>
      <c r="M478" s="17">
        <f t="shared" ca="1" si="157"/>
        <v>0</v>
      </c>
      <c r="N478" s="18">
        <f t="shared" ca="1" si="158"/>
        <v>20.2</v>
      </c>
      <c r="O478" s="17">
        <f t="shared" ca="1" si="159"/>
        <v>0</v>
      </c>
      <c r="P478" s="18">
        <f t="shared" ca="1" si="160"/>
        <v>23.3</v>
      </c>
      <c r="Q478" s="17">
        <f t="shared" ca="1" si="161"/>
        <v>0</v>
      </c>
      <c r="R478" s="10">
        <f t="shared" ca="1" si="162"/>
        <v>65</v>
      </c>
      <c r="S478" s="17">
        <f t="shared" ca="1" si="163"/>
        <v>0</v>
      </c>
      <c r="T478" s="70">
        <f t="shared" ca="1" si="164"/>
        <v>0.4</v>
      </c>
      <c r="U478" s="17">
        <f t="shared" ca="1" si="165"/>
        <v>0</v>
      </c>
      <c r="V478" s="71">
        <f t="shared" ca="1" si="166"/>
        <v>3</v>
      </c>
      <c r="W478" s="17">
        <f t="shared" ca="1" si="167"/>
        <v>0</v>
      </c>
    </row>
    <row r="479" spans="1:23" x14ac:dyDescent="0.25">
      <c r="A479" s="4">
        <f t="shared" si="147"/>
        <v>32</v>
      </c>
      <c r="B479" t="str">
        <f ca="1">TEXT(DATE(YEAR(Invoer!$A$6),1,1)+INT((ROWS(B$2:B479)-1)/4),"jjjjmmdd")</f>
        <v>19400429</v>
      </c>
      <c r="C479" s="64" t="str">
        <f>IF(MOD(ROWS(C$2:C479)-1,4)=3,"24.00",INDEX(Data,3,2+MOD(ROWS(C$2:C479)-1,4)))</f>
        <v>12.00</v>
      </c>
      <c r="D479" s="18">
        <f t="shared" ca="1" si="148"/>
        <v>757.9</v>
      </c>
      <c r="E479" s="17">
        <f t="shared" ca="1" si="149"/>
        <v>0</v>
      </c>
      <c r="F479" s="18">
        <f t="shared" ca="1" si="150"/>
        <v>26.7</v>
      </c>
      <c r="G479" s="17">
        <f t="shared" ca="1" si="151"/>
        <v>0</v>
      </c>
      <c r="H479" s="18" t="str">
        <f t="shared" ca="1" si="152"/>
        <v>—</v>
      </c>
      <c r="I479" s="17">
        <f t="shared" ca="1" si="153"/>
        <v>7</v>
      </c>
      <c r="J479" s="18" t="str">
        <f t="shared" ca="1" si="154"/>
        <v>—</v>
      </c>
      <c r="K479" s="17">
        <f t="shared" ca="1" si="155"/>
        <v>7</v>
      </c>
      <c r="L479" s="10">
        <f t="shared" ca="1" si="156"/>
        <v>77</v>
      </c>
      <c r="M479" s="17">
        <f t="shared" ca="1" si="157"/>
        <v>0</v>
      </c>
      <c r="N479" s="18">
        <f t="shared" ca="1" si="158"/>
        <v>20.3</v>
      </c>
      <c r="O479" s="17">
        <f t="shared" ca="1" si="159"/>
        <v>0</v>
      </c>
      <c r="P479" s="18">
        <f t="shared" ca="1" si="160"/>
        <v>23.6</v>
      </c>
      <c r="Q479" s="17">
        <f t="shared" ca="1" si="161"/>
        <v>0</v>
      </c>
      <c r="R479" s="10">
        <f t="shared" ca="1" si="162"/>
        <v>45</v>
      </c>
      <c r="S479" s="17">
        <f t="shared" ca="1" si="163"/>
        <v>0</v>
      </c>
      <c r="T479" s="70">
        <f t="shared" ca="1" si="164"/>
        <v>0.5</v>
      </c>
      <c r="U479" s="17">
        <f t="shared" ca="1" si="165"/>
        <v>0</v>
      </c>
      <c r="V479" s="71">
        <f t="shared" ca="1" si="166"/>
        <v>4</v>
      </c>
      <c r="W479" s="17">
        <f t="shared" ca="1" si="167"/>
        <v>0</v>
      </c>
    </row>
    <row r="480" spans="1:23" x14ac:dyDescent="0.25">
      <c r="A480" s="4">
        <f t="shared" si="147"/>
        <v>32</v>
      </c>
      <c r="B480" t="str">
        <f ca="1">TEXT(DATE(YEAR(Invoer!$A$6),1,1)+INT((ROWS(B$2:B480)-1)/4),"jjjjmmdd")</f>
        <v>19400429</v>
      </c>
      <c r="C480" s="64" t="str">
        <f>IF(MOD(ROWS(C$2:C480)-1,4)=3,"24.00",INDEX(Data,3,2+MOD(ROWS(C$2:C480)-1,4)))</f>
        <v>17.00</v>
      </c>
      <c r="D480" s="18">
        <f t="shared" ca="1" si="148"/>
        <v>756.7</v>
      </c>
      <c r="E480" s="17">
        <f t="shared" ca="1" si="149"/>
        <v>0</v>
      </c>
      <c r="F480" s="18">
        <f t="shared" ca="1" si="150"/>
        <v>26.3</v>
      </c>
      <c r="G480" s="17">
        <f t="shared" ca="1" si="151"/>
        <v>0</v>
      </c>
      <c r="H480" s="18" t="str">
        <f t="shared" ca="1" si="152"/>
        <v>—</v>
      </c>
      <c r="I480" s="17">
        <f t="shared" ca="1" si="153"/>
        <v>7</v>
      </c>
      <c r="J480" s="18" t="str">
        <f t="shared" ca="1" si="154"/>
        <v>—</v>
      </c>
      <c r="K480" s="17">
        <f t="shared" ca="1" si="155"/>
        <v>7</v>
      </c>
      <c r="L480" s="10">
        <f t="shared" ca="1" si="156"/>
        <v>78</v>
      </c>
      <c r="M480" s="17">
        <f t="shared" ca="1" si="157"/>
        <v>0</v>
      </c>
      <c r="N480" s="18">
        <f t="shared" ca="1" si="158"/>
        <v>20.100000000000001</v>
      </c>
      <c r="O480" s="17">
        <f t="shared" ca="1" si="159"/>
        <v>0</v>
      </c>
      <c r="P480" s="18">
        <f t="shared" ca="1" si="160"/>
        <v>23.4</v>
      </c>
      <c r="Q480" s="17">
        <f t="shared" ca="1" si="161"/>
        <v>0</v>
      </c>
      <c r="R480" s="10">
        <f t="shared" ca="1" si="162"/>
        <v>45</v>
      </c>
      <c r="S480" s="17">
        <f t="shared" ca="1" si="163"/>
        <v>0</v>
      </c>
      <c r="T480" s="70">
        <f t="shared" ca="1" si="164"/>
        <v>0.5</v>
      </c>
      <c r="U480" s="17">
        <f t="shared" ca="1" si="165"/>
        <v>0</v>
      </c>
      <c r="V480" s="71">
        <f t="shared" ca="1" si="166"/>
        <v>2</v>
      </c>
      <c r="W480" s="17">
        <f t="shared" ca="1" si="167"/>
        <v>0</v>
      </c>
    </row>
    <row r="481" spans="1:23" x14ac:dyDescent="0.25">
      <c r="A481" s="4">
        <f t="shared" si="147"/>
        <v>32</v>
      </c>
      <c r="B481" t="str">
        <f ca="1">TEXT(DATE(YEAR(Invoer!$A$6),1,1)+INT((ROWS(B$2:B481)-1)/4),"jjjjmmdd")</f>
        <v>19400429</v>
      </c>
      <c r="C481" s="64" t="str">
        <f>IF(MOD(ROWS(C$2:C481)-1,4)=3,"24.00",INDEX(Data,3,2+MOD(ROWS(C$2:C481)-1,4)))</f>
        <v>24.00</v>
      </c>
      <c r="D481" s="18" t="str">
        <f t="shared" ca="1" si="148"/>
        <v>—</v>
      </c>
      <c r="E481" s="17">
        <f t="shared" ca="1" si="149"/>
        <v>7</v>
      </c>
      <c r="F481" s="18" t="str">
        <f t="shared" ca="1" si="150"/>
        <v>—</v>
      </c>
      <c r="G481" s="17">
        <f t="shared" ca="1" si="151"/>
        <v>7</v>
      </c>
      <c r="H481" s="18">
        <f t="shared" ca="1" si="152"/>
        <v>28.4</v>
      </c>
      <c r="I481" s="17">
        <f t="shared" ca="1" si="153"/>
        <v>0</v>
      </c>
      <c r="J481" s="18">
        <f t="shared" ca="1" si="154"/>
        <v>30.8</v>
      </c>
      <c r="K481" s="17">
        <f t="shared" ca="1" si="155"/>
        <v>0</v>
      </c>
      <c r="L481" s="10" t="str">
        <f t="shared" ca="1" si="156"/>
        <v>—</v>
      </c>
      <c r="M481" s="17">
        <f t="shared" ca="1" si="157"/>
        <v>7</v>
      </c>
      <c r="N481" s="18" t="str">
        <f t="shared" ca="1" si="158"/>
        <v>—</v>
      </c>
      <c r="O481" s="17">
        <f t="shared" ca="1" si="159"/>
        <v>7</v>
      </c>
      <c r="P481" s="18" t="str">
        <f t="shared" ca="1" si="160"/>
        <v>—</v>
      </c>
      <c r="Q481" s="17">
        <f t="shared" ca="1" si="161"/>
        <v>7</v>
      </c>
      <c r="R481" s="10" t="str">
        <f t="shared" ca="1" si="162"/>
        <v>—</v>
      </c>
      <c r="S481" s="17">
        <f t="shared" ca="1" si="163"/>
        <v>7</v>
      </c>
      <c r="T481" s="70" t="str">
        <f t="shared" ca="1" si="164"/>
        <v>—</v>
      </c>
      <c r="U481" s="17">
        <f t="shared" ca="1" si="165"/>
        <v>7</v>
      </c>
      <c r="V481" s="71" t="str">
        <f t="shared" ca="1" si="166"/>
        <v>—</v>
      </c>
      <c r="W481" s="17">
        <f t="shared" ca="1" si="167"/>
        <v>7</v>
      </c>
    </row>
    <row r="482" spans="1:23" x14ac:dyDescent="0.25">
      <c r="A482" s="4">
        <f t="shared" si="147"/>
        <v>32</v>
      </c>
      <c r="B482" t="str">
        <f ca="1">TEXT(DATE(YEAR(Invoer!$A$6),1,1)+INT((ROWS(B$2:B482)-1)/4),"jjjjmmdd")</f>
        <v>19400430</v>
      </c>
      <c r="C482" s="64" t="str">
        <f>IF(MOD(ROWS(C$2:C482)-1,4)=3,"24.00",INDEX(Data,3,2+MOD(ROWS(C$2:C482)-1,4)))</f>
        <v>07.00</v>
      </c>
      <c r="D482" s="18">
        <f t="shared" ca="1" si="148"/>
        <v>758.2</v>
      </c>
      <c r="E482" s="17">
        <f t="shared" ca="1" si="149"/>
        <v>0</v>
      </c>
      <c r="F482" s="18">
        <f t="shared" ca="1" si="150"/>
        <v>26.3</v>
      </c>
      <c r="G482" s="17">
        <f t="shared" ca="1" si="151"/>
        <v>0</v>
      </c>
      <c r="H482" s="18" t="str">
        <f t="shared" ca="1" si="152"/>
        <v>—</v>
      </c>
      <c r="I482" s="17">
        <f t="shared" ca="1" si="153"/>
        <v>7</v>
      </c>
      <c r="J482" s="18" t="str">
        <f t="shared" ca="1" si="154"/>
        <v>—</v>
      </c>
      <c r="K482" s="17">
        <f t="shared" ca="1" si="155"/>
        <v>7</v>
      </c>
      <c r="L482" s="10">
        <f t="shared" ca="1" si="156"/>
        <v>76</v>
      </c>
      <c r="M482" s="17">
        <f t="shared" ca="1" si="157"/>
        <v>0</v>
      </c>
      <c r="N482" s="18">
        <f t="shared" ca="1" si="158"/>
        <v>19.399999999999999</v>
      </c>
      <c r="O482" s="17">
        <f t="shared" ca="1" si="159"/>
        <v>0</v>
      </c>
      <c r="P482" s="18">
        <f t="shared" ca="1" si="160"/>
        <v>23</v>
      </c>
      <c r="Q482" s="17">
        <f t="shared" ca="1" si="161"/>
        <v>0</v>
      </c>
      <c r="R482" s="10">
        <f t="shared" ca="1" si="162"/>
        <v>65</v>
      </c>
      <c r="S482" s="17">
        <f t="shared" ca="1" si="163"/>
        <v>0</v>
      </c>
      <c r="T482" s="70">
        <f t="shared" ca="1" si="164"/>
        <v>0.4</v>
      </c>
      <c r="U482" s="17">
        <f t="shared" ca="1" si="165"/>
        <v>0</v>
      </c>
      <c r="V482" s="71">
        <f t="shared" ca="1" si="166"/>
        <v>3</v>
      </c>
      <c r="W482" s="17">
        <f t="shared" ca="1" si="167"/>
        <v>0</v>
      </c>
    </row>
    <row r="483" spans="1:23" x14ac:dyDescent="0.25">
      <c r="A483" s="4">
        <f t="shared" si="147"/>
        <v>32</v>
      </c>
      <c r="B483" t="str">
        <f ca="1">TEXT(DATE(YEAR(Invoer!$A$6),1,1)+INT((ROWS(B$2:B483)-1)/4),"jjjjmmdd")</f>
        <v>19400430</v>
      </c>
      <c r="C483" s="64" t="str">
        <f>IF(MOD(ROWS(C$2:C483)-1,4)=3,"24.00",INDEX(Data,3,2+MOD(ROWS(C$2:C483)-1,4)))</f>
        <v>12.00</v>
      </c>
      <c r="D483" s="18">
        <f t="shared" ca="1" si="148"/>
        <v>759.2</v>
      </c>
      <c r="E483" s="17">
        <f t="shared" ca="1" si="149"/>
        <v>0</v>
      </c>
      <c r="F483" s="18">
        <f t="shared" ca="1" si="150"/>
        <v>26.9</v>
      </c>
      <c r="G483" s="17">
        <f t="shared" ca="1" si="151"/>
        <v>0</v>
      </c>
      <c r="H483" s="18" t="str">
        <f t="shared" ca="1" si="152"/>
        <v>—</v>
      </c>
      <c r="I483" s="17">
        <f t="shared" ca="1" si="153"/>
        <v>7</v>
      </c>
      <c r="J483" s="18" t="str">
        <f t="shared" ca="1" si="154"/>
        <v>—</v>
      </c>
      <c r="K483" s="17">
        <f t="shared" ca="1" si="155"/>
        <v>7</v>
      </c>
      <c r="L483" s="10">
        <f t="shared" ca="1" si="156"/>
        <v>74</v>
      </c>
      <c r="M483" s="17">
        <f t="shared" ca="1" si="157"/>
        <v>0</v>
      </c>
      <c r="N483" s="18">
        <f t="shared" ca="1" si="158"/>
        <v>19.8</v>
      </c>
      <c r="O483" s="17">
        <f t="shared" ca="1" si="159"/>
        <v>0</v>
      </c>
      <c r="P483" s="18">
        <f t="shared" ca="1" si="160"/>
        <v>23.4</v>
      </c>
      <c r="Q483" s="17">
        <f t="shared" ca="1" si="161"/>
        <v>0</v>
      </c>
      <c r="R483" s="10">
        <f t="shared" ca="1" si="162"/>
        <v>45</v>
      </c>
      <c r="S483" s="17">
        <f t="shared" ca="1" si="163"/>
        <v>0</v>
      </c>
      <c r="T483" s="70">
        <f t="shared" ca="1" si="164"/>
        <v>0.6</v>
      </c>
      <c r="U483" s="17">
        <f t="shared" ca="1" si="165"/>
        <v>0</v>
      </c>
      <c r="V483" s="71">
        <f t="shared" ca="1" si="166"/>
        <v>2</v>
      </c>
      <c r="W483" s="17">
        <f t="shared" ca="1" si="167"/>
        <v>0</v>
      </c>
    </row>
    <row r="484" spans="1:23" x14ac:dyDescent="0.25">
      <c r="A484" s="4">
        <f t="shared" si="147"/>
        <v>32</v>
      </c>
      <c r="B484" t="str">
        <f ca="1">TEXT(DATE(YEAR(Invoer!$A$6),1,1)+INT((ROWS(B$2:B484)-1)/4),"jjjjmmdd")</f>
        <v>19400430</v>
      </c>
      <c r="C484" s="64" t="str">
        <f>IF(MOD(ROWS(C$2:C484)-1,4)=3,"24.00",INDEX(Data,3,2+MOD(ROWS(C$2:C484)-1,4)))</f>
        <v>17.00</v>
      </c>
      <c r="D484" s="18">
        <f t="shared" ca="1" si="148"/>
        <v>758.7</v>
      </c>
      <c r="E484" s="17">
        <f t="shared" ca="1" si="149"/>
        <v>0</v>
      </c>
      <c r="F484" s="18">
        <f t="shared" ca="1" si="150"/>
        <v>26.1</v>
      </c>
      <c r="G484" s="17">
        <f t="shared" ca="1" si="151"/>
        <v>0</v>
      </c>
      <c r="H484" s="18" t="str">
        <f t="shared" ca="1" si="152"/>
        <v>—</v>
      </c>
      <c r="I484" s="17">
        <f t="shared" ca="1" si="153"/>
        <v>7</v>
      </c>
      <c r="J484" s="18" t="str">
        <f t="shared" ca="1" si="154"/>
        <v>—</v>
      </c>
      <c r="K484" s="17">
        <f t="shared" ca="1" si="155"/>
        <v>7</v>
      </c>
      <c r="L484" s="10">
        <f t="shared" ca="1" si="156"/>
        <v>78</v>
      </c>
      <c r="M484" s="17">
        <f t="shared" ca="1" si="157"/>
        <v>0</v>
      </c>
      <c r="N484" s="18">
        <f t="shared" ca="1" si="158"/>
        <v>19.899999999999999</v>
      </c>
      <c r="O484" s="17">
        <f t="shared" ca="1" si="159"/>
        <v>0</v>
      </c>
      <c r="P484" s="18">
        <f t="shared" ca="1" si="160"/>
        <v>23.2</v>
      </c>
      <c r="Q484" s="17">
        <f t="shared" ca="1" si="161"/>
        <v>0</v>
      </c>
      <c r="R484" s="10">
        <f t="shared" ca="1" si="162"/>
        <v>45</v>
      </c>
      <c r="S484" s="17">
        <f t="shared" ca="1" si="163"/>
        <v>0</v>
      </c>
      <c r="T484" s="70">
        <f t="shared" ca="1" si="164"/>
        <v>0.5</v>
      </c>
      <c r="U484" s="17">
        <f t="shared" ca="1" si="165"/>
        <v>0</v>
      </c>
      <c r="V484" s="71">
        <f t="shared" ca="1" si="166"/>
        <v>2</v>
      </c>
      <c r="W484" s="17">
        <f t="shared" ca="1" si="167"/>
        <v>0</v>
      </c>
    </row>
    <row r="485" spans="1:23" x14ac:dyDescent="0.25">
      <c r="A485" s="4">
        <f t="shared" si="147"/>
        <v>32</v>
      </c>
      <c r="B485" t="str">
        <f ca="1">TEXT(DATE(YEAR(Invoer!$A$6),1,1)+INT((ROWS(B$2:B485)-1)/4),"jjjjmmdd")</f>
        <v>19400430</v>
      </c>
      <c r="C485" s="64" t="str">
        <f>IF(MOD(ROWS(C$2:C485)-1,4)=3,"24.00",INDEX(Data,3,2+MOD(ROWS(C$2:C485)-1,4)))</f>
        <v>24.00</v>
      </c>
      <c r="D485" s="18" t="str">
        <f t="shared" ca="1" si="148"/>
        <v>—</v>
      </c>
      <c r="E485" s="17">
        <f t="shared" ca="1" si="149"/>
        <v>7</v>
      </c>
      <c r="F485" s="18" t="str">
        <f t="shared" ca="1" si="150"/>
        <v>—</v>
      </c>
      <c r="G485" s="17">
        <f t="shared" ca="1" si="151"/>
        <v>7</v>
      </c>
      <c r="H485" s="18">
        <f t="shared" ca="1" si="152"/>
        <v>28.4</v>
      </c>
      <c r="I485" s="17">
        <f t="shared" ca="1" si="153"/>
        <v>0</v>
      </c>
      <c r="J485" s="18">
        <f t="shared" ca="1" si="154"/>
        <v>31.7</v>
      </c>
      <c r="K485" s="17">
        <f t="shared" ca="1" si="155"/>
        <v>0</v>
      </c>
      <c r="L485" s="10" t="str">
        <f t="shared" ca="1" si="156"/>
        <v>—</v>
      </c>
      <c r="M485" s="17">
        <f t="shared" ca="1" si="157"/>
        <v>7</v>
      </c>
      <c r="N485" s="18" t="str">
        <f t="shared" ca="1" si="158"/>
        <v>—</v>
      </c>
      <c r="O485" s="17">
        <f t="shared" ca="1" si="159"/>
        <v>7</v>
      </c>
      <c r="P485" s="18" t="str">
        <f t="shared" ca="1" si="160"/>
        <v>—</v>
      </c>
      <c r="Q485" s="17">
        <f t="shared" ca="1" si="161"/>
        <v>7</v>
      </c>
      <c r="R485" s="10" t="str">
        <f t="shared" ca="1" si="162"/>
        <v>—</v>
      </c>
      <c r="S485" s="17">
        <f t="shared" ca="1" si="163"/>
        <v>7</v>
      </c>
      <c r="T485" s="70" t="str">
        <f t="shared" ca="1" si="164"/>
        <v>—</v>
      </c>
      <c r="U485" s="17">
        <f t="shared" ca="1" si="165"/>
        <v>7</v>
      </c>
      <c r="V485" s="71" t="str">
        <f t="shared" ca="1" si="166"/>
        <v>—</v>
      </c>
      <c r="W485" s="17">
        <f t="shared" ca="1" si="167"/>
        <v>7</v>
      </c>
    </row>
    <row r="486" spans="1:23" x14ac:dyDescent="0.25">
      <c r="A486" s="4">
        <f t="shared" si="147"/>
        <v>32</v>
      </c>
      <c r="B486" t="str">
        <f ca="1">TEXT(DATE(YEAR(Invoer!$A$6),1,1)+INT((ROWS(B$2:B486)-1)/4),"jjjjmmdd")</f>
        <v>19400501</v>
      </c>
      <c r="C486" s="64" t="str">
        <f>IF(MOD(ROWS(C$2:C486)-1,4)=3,"24.00",INDEX(Data,3,2+MOD(ROWS(C$2:C486)-1,4)))</f>
        <v>07.00</v>
      </c>
      <c r="D486" s="18">
        <f t="shared" ca="1" si="148"/>
        <v>759.5</v>
      </c>
      <c r="E486" s="17">
        <f t="shared" ca="1" si="149"/>
        <v>0</v>
      </c>
      <c r="F486" s="18">
        <f t="shared" ca="1" si="150"/>
        <v>27.1</v>
      </c>
      <c r="G486" s="17">
        <f t="shared" ca="1" si="151"/>
        <v>0</v>
      </c>
      <c r="H486" s="18" t="str">
        <f t="shared" ca="1" si="152"/>
        <v>—</v>
      </c>
      <c r="I486" s="17">
        <f t="shared" ca="1" si="153"/>
        <v>7</v>
      </c>
      <c r="J486" s="18" t="str">
        <f t="shared" ca="1" si="154"/>
        <v>—</v>
      </c>
      <c r="K486" s="17">
        <f t="shared" ca="1" si="155"/>
        <v>7</v>
      </c>
      <c r="L486" s="10">
        <f t="shared" ca="1" si="156"/>
        <v>75</v>
      </c>
      <c r="M486" s="17">
        <f t="shared" ca="1" si="157"/>
        <v>0</v>
      </c>
      <c r="N486" s="18">
        <f t="shared" ca="1" si="158"/>
        <v>20.100000000000001</v>
      </c>
      <c r="O486" s="17">
        <f t="shared" ca="1" si="159"/>
        <v>0</v>
      </c>
      <c r="P486" s="18">
        <f t="shared" ca="1" si="160"/>
        <v>23.6</v>
      </c>
      <c r="Q486" s="17">
        <f t="shared" ca="1" si="161"/>
        <v>0</v>
      </c>
      <c r="R486" s="10">
        <f t="shared" ca="1" si="162"/>
        <v>65</v>
      </c>
      <c r="S486" s="17">
        <f t="shared" ca="1" si="163"/>
        <v>0</v>
      </c>
      <c r="T486" s="70">
        <f t="shared" ca="1" si="164"/>
        <v>0.5</v>
      </c>
      <c r="U486" s="17">
        <f t="shared" ca="1" si="165"/>
        <v>0</v>
      </c>
      <c r="V486" s="71">
        <f t="shared" ca="1" si="166"/>
        <v>3</v>
      </c>
      <c r="W486" s="17">
        <f t="shared" ca="1" si="167"/>
        <v>0</v>
      </c>
    </row>
    <row r="487" spans="1:23" x14ac:dyDescent="0.25">
      <c r="A487" s="4">
        <f t="shared" si="147"/>
        <v>32</v>
      </c>
      <c r="B487" t="str">
        <f ca="1">TEXT(DATE(YEAR(Invoer!$A$6),1,1)+INT((ROWS(B$2:B487)-1)/4),"jjjjmmdd")</f>
        <v>19400501</v>
      </c>
      <c r="C487" s="64" t="str">
        <f>IF(MOD(ROWS(C$2:C487)-1,4)=3,"24.00",INDEX(Data,3,2+MOD(ROWS(C$2:C487)-1,4)))</f>
        <v>12.00</v>
      </c>
      <c r="D487" s="18">
        <f t="shared" ca="1" si="148"/>
        <v>760</v>
      </c>
      <c r="E487" s="17">
        <f t="shared" ca="1" si="149"/>
        <v>0</v>
      </c>
      <c r="F487" s="18">
        <f t="shared" ca="1" si="150"/>
        <v>29.7</v>
      </c>
      <c r="G487" s="17">
        <f t="shared" ca="1" si="151"/>
        <v>0</v>
      </c>
      <c r="H487" s="18" t="str">
        <f t="shared" ca="1" si="152"/>
        <v>—</v>
      </c>
      <c r="I487" s="17">
        <f t="shared" ca="1" si="153"/>
        <v>7</v>
      </c>
      <c r="J487" s="18" t="str">
        <f t="shared" ca="1" si="154"/>
        <v>—</v>
      </c>
      <c r="K487" s="17">
        <f t="shared" ca="1" si="155"/>
        <v>7</v>
      </c>
      <c r="L487" s="10">
        <f t="shared" ca="1" si="156"/>
        <v>67</v>
      </c>
      <c r="M487" s="17">
        <f t="shared" ca="1" si="157"/>
        <v>0</v>
      </c>
      <c r="N487" s="18">
        <f t="shared" ca="1" si="158"/>
        <v>21</v>
      </c>
      <c r="O487" s="17">
        <f t="shared" ca="1" si="159"/>
        <v>0</v>
      </c>
      <c r="P487" s="18">
        <f t="shared" ca="1" si="160"/>
        <v>24.8</v>
      </c>
      <c r="Q487" s="17">
        <f t="shared" ca="1" si="161"/>
        <v>0</v>
      </c>
      <c r="R487" s="10">
        <f t="shared" ca="1" si="162"/>
        <v>65</v>
      </c>
      <c r="S487" s="17">
        <f t="shared" ca="1" si="163"/>
        <v>0</v>
      </c>
      <c r="T487" s="70">
        <f t="shared" ca="1" si="164"/>
        <v>0.6</v>
      </c>
      <c r="U487" s="17">
        <f t="shared" ca="1" si="165"/>
        <v>0</v>
      </c>
      <c r="V487" s="71">
        <f t="shared" ca="1" si="166"/>
        <v>2</v>
      </c>
      <c r="W487" s="17">
        <f t="shared" ca="1" si="167"/>
        <v>0</v>
      </c>
    </row>
    <row r="488" spans="1:23" x14ac:dyDescent="0.25">
      <c r="A488" s="4">
        <f t="shared" si="147"/>
        <v>32</v>
      </c>
      <c r="B488" t="str">
        <f ca="1">TEXT(DATE(YEAR(Invoer!$A$6),1,1)+INT((ROWS(B$2:B488)-1)/4),"jjjjmmdd")</f>
        <v>19400501</v>
      </c>
      <c r="C488" s="64" t="str">
        <f>IF(MOD(ROWS(C$2:C488)-1,4)=3,"24.00",INDEX(Data,3,2+MOD(ROWS(C$2:C488)-1,4)))</f>
        <v>17.00</v>
      </c>
      <c r="D488" s="18">
        <f t="shared" ca="1" si="148"/>
        <v>758.9</v>
      </c>
      <c r="E488" s="17">
        <f t="shared" ca="1" si="149"/>
        <v>0</v>
      </c>
      <c r="F488" s="18">
        <f t="shared" ca="1" si="150"/>
        <v>26.5</v>
      </c>
      <c r="G488" s="17">
        <f t="shared" ca="1" si="151"/>
        <v>0</v>
      </c>
      <c r="H488" s="18" t="str">
        <f t="shared" ca="1" si="152"/>
        <v>—</v>
      </c>
      <c r="I488" s="17">
        <f t="shared" ca="1" si="153"/>
        <v>7</v>
      </c>
      <c r="J488" s="18" t="str">
        <f t="shared" ca="1" si="154"/>
        <v>—</v>
      </c>
      <c r="K488" s="17">
        <f t="shared" ca="1" si="155"/>
        <v>7</v>
      </c>
      <c r="L488" s="10">
        <f t="shared" ca="1" si="156"/>
        <v>80</v>
      </c>
      <c r="M488" s="17">
        <f t="shared" ca="1" si="157"/>
        <v>0</v>
      </c>
      <c r="N488" s="18">
        <f t="shared" ca="1" si="158"/>
        <v>20.8</v>
      </c>
      <c r="O488" s="17">
        <f t="shared" ca="1" si="159"/>
        <v>0</v>
      </c>
      <c r="P488" s="18">
        <f t="shared" ca="1" si="160"/>
        <v>23.8</v>
      </c>
      <c r="Q488" s="17">
        <f t="shared" ca="1" si="161"/>
        <v>0</v>
      </c>
      <c r="R488" s="10">
        <f t="shared" ca="1" si="162"/>
        <v>45</v>
      </c>
      <c r="S488" s="17">
        <f t="shared" ca="1" si="163"/>
        <v>0</v>
      </c>
      <c r="T488" s="70">
        <f t="shared" ca="1" si="164"/>
        <v>0.6</v>
      </c>
      <c r="U488" s="17">
        <f t="shared" ca="1" si="165"/>
        <v>0</v>
      </c>
      <c r="V488" s="71">
        <f t="shared" ca="1" si="166"/>
        <v>3</v>
      </c>
      <c r="W488" s="17">
        <f t="shared" ca="1" si="167"/>
        <v>0</v>
      </c>
    </row>
    <row r="489" spans="1:23" x14ac:dyDescent="0.25">
      <c r="A489" s="4">
        <f t="shared" si="147"/>
        <v>32</v>
      </c>
      <c r="B489" t="str">
        <f ca="1">TEXT(DATE(YEAR(Invoer!$A$6),1,1)+INT((ROWS(B$2:B489)-1)/4),"jjjjmmdd")</f>
        <v>19400501</v>
      </c>
      <c r="C489" s="64" t="str">
        <f>IF(MOD(ROWS(C$2:C489)-1,4)=3,"24.00",INDEX(Data,3,2+MOD(ROWS(C$2:C489)-1,4)))</f>
        <v>24.00</v>
      </c>
      <c r="D489" s="18" t="str">
        <f t="shared" ca="1" si="148"/>
        <v>—</v>
      </c>
      <c r="E489" s="17">
        <f t="shared" ca="1" si="149"/>
        <v>7</v>
      </c>
      <c r="F489" s="18" t="str">
        <f t="shared" ca="1" si="150"/>
        <v>—</v>
      </c>
      <c r="G489" s="17">
        <f t="shared" ca="1" si="151"/>
        <v>7</v>
      </c>
      <c r="H489" s="18">
        <f t="shared" ca="1" si="152"/>
        <v>29</v>
      </c>
      <c r="I489" s="17">
        <f t="shared" ca="1" si="153"/>
        <v>0</v>
      </c>
      <c r="J489" s="18">
        <f t="shared" ca="1" si="154"/>
        <v>32.4</v>
      </c>
      <c r="K489" s="17">
        <f t="shared" ca="1" si="155"/>
        <v>0</v>
      </c>
      <c r="L489" s="10" t="str">
        <f t="shared" ca="1" si="156"/>
        <v>—</v>
      </c>
      <c r="M489" s="17">
        <f t="shared" ca="1" si="157"/>
        <v>7</v>
      </c>
      <c r="N489" s="18" t="str">
        <f t="shared" ca="1" si="158"/>
        <v>—</v>
      </c>
      <c r="O489" s="17">
        <f t="shared" ca="1" si="159"/>
        <v>7</v>
      </c>
      <c r="P489" s="18" t="str">
        <f t="shared" ca="1" si="160"/>
        <v>—</v>
      </c>
      <c r="Q489" s="17">
        <f t="shared" ca="1" si="161"/>
        <v>7</v>
      </c>
      <c r="R489" s="10" t="str">
        <f t="shared" ca="1" si="162"/>
        <v>—</v>
      </c>
      <c r="S489" s="17">
        <f t="shared" ca="1" si="163"/>
        <v>7</v>
      </c>
      <c r="T489" s="70" t="str">
        <f t="shared" ca="1" si="164"/>
        <v>—</v>
      </c>
      <c r="U489" s="17">
        <f t="shared" ca="1" si="165"/>
        <v>7</v>
      </c>
      <c r="V489" s="71" t="str">
        <f t="shared" ca="1" si="166"/>
        <v>—</v>
      </c>
      <c r="W489" s="17">
        <f t="shared" ca="1" si="167"/>
        <v>7</v>
      </c>
    </row>
    <row r="490" spans="1:23" x14ac:dyDescent="0.25">
      <c r="A490" s="4">
        <f t="shared" si="147"/>
        <v>32</v>
      </c>
      <c r="B490" t="str">
        <f ca="1">TEXT(DATE(YEAR(Invoer!$A$6),1,1)+INT((ROWS(B$2:B490)-1)/4),"jjjjmmdd")</f>
        <v>19400502</v>
      </c>
      <c r="C490" s="64" t="str">
        <f>IF(MOD(ROWS(C$2:C490)-1,4)=3,"24.00",INDEX(Data,3,2+MOD(ROWS(C$2:C490)-1,4)))</f>
        <v>07.00</v>
      </c>
      <c r="D490" s="18">
        <f t="shared" ca="1" si="148"/>
        <v>760.5</v>
      </c>
      <c r="E490" s="17">
        <f t="shared" ca="1" si="149"/>
        <v>0</v>
      </c>
      <c r="F490" s="18">
        <f t="shared" ca="1" si="150"/>
        <v>25.9</v>
      </c>
      <c r="G490" s="17">
        <f t="shared" ca="1" si="151"/>
        <v>0</v>
      </c>
      <c r="H490" s="18" t="str">
        <f t="shared" ca="1" si="152"/>
        <v>—</v>
      </c>
      <c r="I490" s="17">
        <f t="shared" ca="1" si="153"/>
        <v>7</v>
      </c>
      <c r="J490" s="18" t="str">
        <f t="shared" ca="1" si="154"/>
        <v>—</v>
      </c>
      <c r="K490" s="17">
        <f t="shared" ca="1" si="155"/>
        <v>7</v>
      </c>
      <c r="L490" s="10">
        <f t="shared" ca="1" si="156"/>
        <v>82</v>
      </c>
      <c r="M490" s="17">
        <f t="shared" ca="1" si="157"/>
        <v>0</v>
      </c>
      <c r="N490" s="18">
        <f t="shared" ca="1" si="158"/>
        <v>20.7</v>
      </c>
      <c r="O490" s="17">
        <f t="shared" ca="1" si="159"/>
        <v>0</v>
      </c>
      <c r="P490" s="18">
        <f t="shared" ca="1" si="160"/>
        <v>23.6</v>
      </c>
      <c r="Q490" s="17">
        <f t="shared" ca="1" si="161"/>
        <v>0</v>
      </c>
      <c r="R490" s="10">
        <f t="shared" ca="1" si="162"/>
        <v>65</v>
      </c>
      <c r="S490" s="17">
        <f t="shared" ca="1" si="163"/>
        <v>0</v>
      </c>
      <c r="T490" s="70">
        <f t="shared" ca="1" si="164"/>
        <v>0.5</v>
      </c>
      <c r="U490" s="17">
        <f t="shared" ca="1" si="165"/>
        <v>0</v>
      </c>
      <c r="V490" s="71">
        <f t="shared" ca="1" si="166"/>
        <v>2</v>
      </c>
      <c r="W490" s="17">
        <f t="shared" ca="1" si="167"/>
        <v>0</v>
      </c>
    </row>
    <row r="491" spans="1:23" x14ac:dyDescent="0.25">
      <c r="A491" s="4">
        <f t="shared" si="147"/>
        <v>32</v>
      </c>
      <c r="B491" t="str">
        <f ca="1">TEXT(DATE(YEAR(Invoer!$A$6),1,1)+INT((ROWS(B$2:B491)-1)/4),"jjjjmmdd")</f>
        <v>19400502</v>
      </c>
      <c r="C491" s="64" t="str">
        <f>IF(MOD(ROWS(C$2:C491)-1,4)=3,"24.00",INDEX(Data,3,2+MOD(ROWS(C$2:C491)-1,4)))</f>
        <v>12.00</v>
      </c>
      <c r="D491" s="18">
        <f t="shared" ca="1" si="148"/>
        <v>760.5</v>
      </c>
      <c r="E491" s="17">
        <f t="shared" ca="1" si="149"/>
        <v>0</v>
      </c>
      <c r="F491" s="18">
        <f t="shared" ca="1" si="150"/>
        <v>26.1</v>
      </c>
      <c r="G491" s="17">
        <f t="shared" ca="1" si="151"/>
        <v>0</v>
      </c>
      <c r="H491" s="18" t="str">
        <f t="shared" ca="1" si="152"/>
        <v>—</v>
      </c>
      <c r="I491" s="17">
        <f t="shared" ca="1" si="153"/>
        <v>7</v>
      </c>
      <c r="J491" s="18" t="str">
        <f t="shared" ca="1" si="154"/>
        <v>—</v>
      </c>
      <c r="K491" s="17">
        <f t="shared" ca="1" si="155"/>
        <v>7</v>
      </c>
      <c r="L491" s="10">
        <f t="shared" ca="1" si="156"/>
        <v>81</v>
      </c>
      <c r="M491" s="17">
        <f t="shared" ca="1" si="157"/>
        <v>0</v>
      </c>
      <c r="N491" s="18">
        <f t="shared" ca="1" si="158"/>
        <v>20.6</v>
      </c>
      <c r="O491" s="17">
        <f t="shared" ca="1" si="159"/>
        <v>0</v>
      </c>
      <c r="P491" s="18">
        <f t="shared" ca="1" si="160"/>
        <v>23.6</v>
      </c>
      <c r="Q491" s="17">
        <f t="shared" ca="1" si="161"/>
        <v>0</v>
      </c>
      <c r="R491" s="10">
        <f t="shared" ca="1" si="162"/>
        <v>65</v>
      </c>
      <c r="S491" s="17">
        <f t="shared" ca="1" si="163"/>
        <v>0</v>
      </c>
      <c r="T491" s="70">
        <f t="shared" ca="1" si="164"/>
        <v>0.6</v>
      </c>
      <c r="U491" s="17">
        <f t="shared" ca="1" si="165"/>
        <v>0</v>
      </c>
      <c r="V491" s="71">
        <f t="shared" ca="1" si="166"/>
        <v>2</v>
      </c>
      <c r="W491" s="17">
        <f t="shared" ca="1" si="167"/>
        <v>0</v>
      </c>
    </row>
    <row r="492" spans="1:23" x14ac:dyDescent="0.25">
      <c r="A492" s="4">
        <f t="shared" si="147"/>
        <v>32</v>
      </c>
      <c r="B492" t="str">
        <f ca="1">TEXT(DATE(YEAR(Invoer!$A$6),1,1)+INT((ROWS(B$2:B492)-1)/4),"jjjjmmdd")</f>
        <v>19400502</v>
      </c>
      <c r="C492" s="64" t="str">
        <f>IF(MOD(ROWS(C$2:C492)-1,4)=3,"24.00",INDEX(Data,3,2+MOD(ROWS(C$2:C492)-1,4)))</f>
        <v>17.00</v>
      </c>
      <c r="D492" s="18">
        <f t="shared" ca="1" si="148"/>
        <v>760.2</v>
      </c>
      <c r="E492" s="17">
        <f t="shared" ca="1" si="149"/>
        <v>0</v>
      </c>
      <c r="F492" s="18">
        <f t="shared" ca="1" si="150"/>
        <v>25.9</v>
      </c>
      <c r="G492" s="17">
        <f t="shared" ca="1" si="151"/>
        <v>0</v>
      </c>
      <c r="H492" s="18" t="str">
        <f t="shared" ca="1" si="152"/>
        <v>—</v>
      </c>
      <c r="I492" s="17">
        <f t="shared" ca="1" si="153"/>
        <v>7</v>
      </c>
      <c r="J492" s="18" t="str">
        <f t="shared" ca="1" si="154"/>
        <v>—</v>
      </c>
      <c r="K492" s="17">
        <f t="shared" ca="1" si="155"/>
        <v>7</v>
      </c>
      <c r="L492" s="10">
        <f t="shared" ca="1" si="156"/>
        <v>81</v>
      </c>
      <c r="M492" s="17">
        <f t="shared" ca="1" si="157"/>
        <v>0</v>
      </c>
      <c r="N492" s="18">
        <f t="shared" ca="1" si="158"/>
        <v>20.3</v>
      </c>
      <c r="O492" s="17">
        <f t="shared" ca="1" si="159"/>
        <v>0</v>
      </c>
      <c r="P492" s="18">
        <f t="shared" ca="1" si="160"/>
        <v>23.4</v>
      </c>
      <c r="Q492" s="17">
        <f t="shared" ca="1" si="161"/>
        <v>0</v>
      </c>
      <c r="R492" s="10">
        <f t="shared" ca="1" si="162"/>
        <v>45</v>
      </c>
      <c r="S492" s="17">
        <f t="shared" ca="1" si="163"/>
        <v>0</v>
      </c>
      <c r="T492" s="70">
        <f t="shared" ca="1" si="164"/>
        <v>0.6</v>
      </c>
      <c r="U492" s="17">
        <f t="shared" ca="1" si="165"/>
        <v>0</v>
      </c>
      <c r="V492" s="71">
        <f t="shared" ca="1" si="166"/>
        <v>2</v>
      </c>
      <c r="W492" s="17">
        <f t="shared" ca="1" si="167"/>
        <v>0</v>
      </c>
    </row>
    <row r="493" spans="1:23" x14ac:dyDescent="0.25">
      <c r="A493" s="4">
        <f t="shared" si="147"/>
        <v>32</v>
      </c>
      <c r="B493" t="str">
        <f ca="1">TEXT(DATE(YEAR(Invoer!$A$6),1,1)+INT((ROWS(B$2:B493)-1)/4),"jjjjmmdd")</f>
        <v>19400502</v>
      </c>
      <c r="C493" s="64" t="str">
        <f>IF(MOD(ROWS(C$2:C493)-1,4)=3,"24.00",INDEX(Data,3,2+MOD(ROWS(C$2:C493)-1,4)))</f>
        <v>24.00</v>
      </c>
      <c r="D493" s="18" t="str">
        <f t="shared" ca="1" si="148"/>
        <v>—</v>
      </c>
      <c r="E493" s="17">
        <f t="shared" ca="1" si="149"/>
        <v>7</v>
      </c>
      <c r="F493" s="18" t="str">
        <f t="shared" ca="1" si="150"/>
        <v>—</v>
      </c>
      <c r="G493" s="17">
        <f t="shared" ca="1" si="151"/>
        <v>7</v>
      </c>
      <c r="H493" s="18">
        <f t="shared" ca="1" si="152"/>
        <v>27.6</v>
      </c>
      <c r="I493" s="17">
        <f t="shared" ca="1" si="153"/>
        <v>0</v>
      </c>
      <c r="J493" s="18">
        <f t="shared" ca="1" si="154"/>
        <v>29.6</v>
      </c>
      <c r="K493" s="17">
        <f t="shared" ca="1" si="155"/>
        <v>0</v>
      </c>
      <c r="L493" s="10" t="str">
        <f t="shared" ca="1" si="156"/>
        <v>—</v>
      </c>
      <c r="M493" s="17">
        <f t="shared" ca="1" si="157"/>
        <v>7</v>
      </c>
      <c r="N493" s="18" t="str">
        <f t="shared" ca="1" si="158"/>
        <v>—</v>
      </c>
      <c r="O493" s="17">
        <f t="shared" ca="1" si="159"/>
        <v>7</v>
      </c>
      <c r="P493" s="18" t="str">
        <f t="shared" ca="1" si="160"/>
        <v>—</v>
      </c>
      <c r="Q493" s="17">
        <f t="shared" ca="1" si="161"/>
        <v>7</v>
      </c>
      <c r="R493" s="10" t="str">
        <f t="shared" ca="1" si="162"/>
        <v>—</v>
      </c>
      <c r="S493" s="17">
        <f t="shared" ca="1" si="163"/>
        <v>7</v>
      </c>
      <c r="T493" s="70" t="str">
        <f t="shared" ca="1" si="164"/>
        <v>—</v>
      </c>
      <c r="U493" s="17">
        <f t="shared" ca="1" si="165"/>
        <v>7</v>
      </c>
      <c r="V493" s="71" t="str">
        <f t="shared" ca="1" si="166"/>
        <v>—</v>
      </c>
      <c r="W493" s="17">
        <f t="shared" ca="1" si="167"/>
        <v>7</v>
      </c>
    </row>
    <row r="494" spans="1:23" x14ac:dyDescent="0.25">
      <c r="A494" s="4">
        <f t="shared" si="147"/>
        <v>32</v>
      </c>
      <c r="B494" t="str">
        <f ca="1">TEXT(DATE(YEAR(Invoer!$A$6),1,1)+INT((ROWS(B$2:B494)-1)/4),"jjjjmmdd")</f>
        <v>19400503</v>
      </c>
      <c r="C494" s="64" t="str">
        <f>IF(MOD(ROWS(C$2:C494)-1,4)=3,"24.00",INDEX(Data,3,2+MOD(ROWS(C$2:C494)-1,4)))</f>
        <v>07.00</v>
      </c>
      <c r="D494" s="18">
        <f t="shared" ca="1" si="148"/>
        <v>758.5</v>
      </c>
      <c r="E494" s="17">
        <f t="shared" ca="1" si="149"/>
        <v>0</v>
      </c>
      <c r="F494" s="18">
        <f t="shared" ca="1" si="150"/>
        <v>26.3</v>
      </c>
      <c r="G494" s="17">
        <f t="shared" ca="1" si="151"/>
        <v>0</v>
      </c>
      <c r="H494" s="18" t="str">
        <f t="shared" ca="1" si="152"/>
        <v>—</v>
      </c>
      <c r="I494" s="17">
        <f t="shared" ca="1" si="153"/>
        <v>7</v>
      </c>
      <c r="J494" s="18" t="str">
        <f t="shared" ca="1" si="154"/>
        <v>—</v>
      </c>
      <c r="K494" s="17">
        <f t="shared" ca="1" si="155"/>
        <v>7</v>
      </c>
      <c r="L494" s="10">
        <f t="shared" ca="1" si="156"/>
        <v>78</v>
      </c>
      <c r="M494" s="17">
        <f t="shared" ca="1" si="157"/>
        <v>0</v>
      </c>
      <c r="N494" s="18">
        <f t="shared" ca="1" si="158"/>
        <v>20.100000000000001</v>
      </c>
      <c r="O494" s="17">
        <f t="shared" ca="1" si="159"/>
        <v>0</v>
      </c>
      <c r="P494" s="18">
        <f t="shared" ca="1" si="160"/>
        <v>23.4</v>
      </c>
      <c r="Q494" s="17">
        <f t="shared" ca="1" si="161"/>
        <v>0</v>
      </c>
      <c r="R494" s="10">
        <f t="shared" ca="1" si="162"/>
        <v>65</v>
      </c>
      <c r="S494" s="17">
        <f t="shared" ca="1" si="163"/>
        <v>0</v>
      </c>
      <c r="T494" s="70">
        <f t="shared" ca="1" si="164"/>
        <v>0.4</v>
      </c>
      <c r="U494" s="17">
        <f t="shared" ca="1" si="165"/>
        <v>0</v>
      </c>
      <c r="V494" s="71">
        <f t="shared" ca="1" si="166"/>
        <v>2</v>
      </c>
      <c r="W494" s="17">
        <f t="shared" ca="1" si="167"/>
        <v>0</v>
      </c>
    </row>
    <row r="495" spans="1:23" x14ac:dyDescent="0.25">
      <c r="A495" s="4">
        <f t="shared" si="147"/>
        <v>32</v>
      </c>
      <c r="B495" t="str">
        <f ca="1">TEXT(DATE(YEAR(Invoer!$A$6),1,1)+INT((ROWS(B$2:B495)-1)/4),"jjjjmmdd")</f>
        <v>19400503</v>
      </c>
      <c r="C495" s="64" t="str">
        <f>IF(MOD(ROWS(C$2:C495)-1,4)=3,"24.00",INDEX(Data,3,2+MOD(ROWS(C$2:C495)-1,4)))</f>
        <v>12.00</v>
      </c>
      <c r="D495" s="18">
        <f t="shared" ca="1" si="148"/>
        <v>756.7</v>
      </c>
      <c r="E495" s="17">
        <f t="shared" ca="1" si="149"/>
        <v>0</v>
      </c>
      <c r="F495" s="18">
        <f t="shared" ca="1" si="150"/>
        <v>26.7</v>
      </c>
      <c r="G495" s="17">
        <f t="shared" ca="1" si="151"/>
        <v>0</v>
      </c>
      <c r="H495" s="18" t="str">
        <f t="shared" ca="1" si="152"/>
        <v>—</v>
      </c>
      <c r="I495" s="17">
        <f t="shared" ca="1" si="153"/>
        <v>7</v>
      </c>
      <c r="J495" s="18" t="str">
        <f t="shared" ca="1" si="154"/>
        <v>—</v>
      </c>
      <c r="K495" s="17">
        <f t="shared" ca="1" si="155"/>
        <v>7</v>
      </c>
      <c r="L495" s="10">
        <f t="shared" ca="1" si="156"/>
        <v>79</v>
      </c>
      <c r="M495" s="17">
        <f t="shared" ca="1" si="157"/>
        <v>0</v>
      </c>
      <c r="N495" s="18">
        <f t="shared" ca="1" si="158"/>
        <v>20.7</v>
      </c>
      <c r="O495" s="17">
        <f t="shared" ca="1" si="159"/>
        <v>0</v>
      </c>
      <c r="P495" s="18">
        <f t="shared" ca="1" si="160"/>
        <v>23.8</v>
      </c>
      <c r="Q495" s="17">
        <f t="shared" ca="1" si="161"/>
        <v>0</v>
      </c>
      <c r="R495" s="10">
        <f t="shared" ca="1" si="162"/>
        <v>65</v>
      </c>
      <c r="S495" s="17">
        <f t="shared" ca="1" si="163"/>
        <v>0</v>
      </c>
      <c r="T495" s="70">
        <f t="shared" ca="1" si="164"/>
        <v>0.6</v>
      </c>
      <c r="U495" s="17">
        <f t="shared" ca="1" si="165"/>
        <v>0</v>
      </c>
      <c r="V495" s="71">
        <f t="shared" ca="1" si="166"/>
        <v>3</v>
      </c>
      <c r="W495" s="17">
        <f t="shared" ca="1" si="167"/>
        <v>0</v>
      </c>
    </row>
    <row r="496" spans="1:23" x14ac:dyDescent="0.25">
      <c r="A496" s="4">
        <f t="shared" si="147"/>
        <v>32</v>
      </c>
      <c r="B496" t="str">
        <f ca="1">TEXT(DATE(YEAR(Invoer!$A$6),1,1)+INT((ROWS(B$2:B496)-1)/4),"jjjjmmdd")</f>
        <v>19400503</v>
      </c>
      <c r="C496" s="64" t="str">
        <f>IF(MOD(ROWS(C$2:C496)-1,4)=3,"24.00",INDEX(Data,3,2+MOD(ROWS(C$2:C496)-1,4)))</f>
        <v>17.00</v>
      </c>
      <c r="D496" s="18">
        <f t="shared" ca="1" si="148"/>
        <v>756.2</v>
      </c>
      <c r="E496" s="17">
        <f t="shared" ca="1" si="149"/>
        <v>0</v>
      </c>
      <c r="F496" s="18">
        <f t="shared" ca="1" si="150"/>
        <v>25.9</v>
      </c>
      <c r="G496" s="17">
        <f t="shared" ca="1" si="151"/>
        <v>0</v>
      </c>
      <c r="H496" s="18" t="str">
        <f t="shared" ca="1" si="152"/>
        <v>—</v>
      </c>
      <c r="I496" s="17">
        <f t="shared" ca="1" si="153"/>
        <v>7</v>
      </c>
      <c r="J496" s="18" t="str">
        <f t="shared" ca="1" si="154"/>
        <v>—</v>
      </c>
      <c r="K496" s="17">
        <f t="shared" ca="1" si="155"/>
        <v>7</v>
      </c>
      <c r="L496" s="10">
        <f t="shared" ca="1" si="156"/>
        <v>95</v>
      </c>
      <c r="M496" s="17">
        <f t="shared" ca="1" si="157"/>
        <v>0</v>
      </c>
      <c r="N496" s="18">
        <f t="shared" ca="1" si="158"/>
        <v>20.7</v>
      </c>
      <c r="O496" s="17">
        <f t="shared" ca="1" si="159"/>
        <v>0</v>
      </c>
      <c r="P496" s="18">
        <f t="shared" ca="1" si="160"/>
        <v>25.2</v>
      </c>
      <c r="Q496" s="17">
        <f t="shared" ca="1" si="161"/>
        <v>0</v>
      </c>
      <c r="R496" s="10">
        <f t="shared" ca="1" si="162"/>
        <v>65</v>
      </c>
      <c r="S496" s="17">
        <f t="shared" ca="1" si="163"/>
        <v>0</v>
      </c>
      <c r="T496" s="70">
        <f t="shared" ca="1" si="164"/>
        <v>0.5</v>
      </c>
      <c r="U496" s="17">
        <f t="shared" ca="1" si="165"/>
        <v>0</v>
      </c>
      <c r="V496" s="71">
        <f t="shared" ca="1" si="166"/>
        <v>3</v>
      </c>
      <c r="W496" s="17">
        <f t="shared" ca="1" si="167"/>
        <v>0</v>
      </c>
    </row>
    <row r="497" spans="1:23" x14ac:dyDescent="0.25">
      <c r="A497" s="4">
        <f t="shared" si="147"/>
        <v>32</v>
      </c>
      <c r="B497" t="str">
        <f ca="1">TEXT(DATE(YEAR(Invoer!$A$6),1,1)+INT((ROWS(B$2:B497)-1)/4),"jjjjmmdd")</f>
        <v>19400503</v>
      </c>
      <c r="C497" s="64" t="str">
        <f>IF(MOD(ROWS(C$2:C497)-1,4)=3,"24.00",INDEX(Data,3,2+MOD(ROWS(C$2:C497)-1,4)))</f>
        <v>24.00</v>
      </c>
      <c r="D497" s="18" t="str">
        <f t="shared" ca="1" si="148"/>
        <v>—</v>
      </c>
      <c r="E497" s="17">
        <f t="shared" ca="1" si="149"/>
        <v>7</v>
      </c>
      <c r="F497" s="18" t="str">
        <f t="shared" ca="1" si="150"/>
        <v>—</v>
      </c>
      <c r="G497" s="17">
        <f t="shared" ca="1" si="151"/>
        <v>7</v>
      </c>
      <c r="H497" s="18">
        <f t="shared" ca="1" si="152"/>
        <v>28.2</v>
      </c>
      <c r="I497" s="17">
        <f t="shared" ca="1" si="153"/>
        <v>0</v>
      </c>
      <c r="J497" s="18">
        <f t="shared" ca="1" si="154"/>
        <v>30</v>
      </c>
      <c r="K497" s="17">
        <f t="shared" ca="1" si="155"/>
        <v>0</v>
      </c>
      <c r="L497" s="10" t="str">
        <f t="shared" ca="1" si="156"/>
        <v>—</v>
      </c>
      <c r="M497" s="17">
        <f t="shared" ca="1" si="157"/>
        <v>7</v>
      </c>
      <c r="N497" s="18" t="str">
        <f t="shared" ca="1" si="158"/>
        <v>—</v>
      </c>
      <c r="O497" s="17">
        <f t="shared" ca="1" si="159"/>
        <v>7</v>
      </c>
      <c r="P497" s="18" t="str">
        <f t="shared" ca="1" si="160"/>
        <v>—</v>
      </c>
      <c r="Q497" s="17">
        <f t="shared" ca="1" si="161"/>
        <v>7</v>
      </c>
      <c r="R497" s="10" t="str">
        <f t="shared" ca="1" si="162"/>
        <v>—</v>
      </c>
      <c r="S497" s="17">
        <f t="shared" ca="1" si="163"/>
        <v>7</v>
      </c>
      <c r="T497" s="70" t="str">
        <f t="shared" ca="1" si="164"/>
        <v>—</v>
      </c>
      <c r="U497" s="17">
        <f t="shared" ca="1" si="165"/>
        <v>7</v>
      </c>
      <c r="V497" s="71" t="str">
        <f t="shared" ca="1" si="166"/>
        <v>—</v>
      </c>
      <c r="W497" s="17">
        <f t="shared" ca="1" si="167"/>
        <v>7</v>
      </c>
    </row>
    <row r="498" spans="1:23" x14ac:dyDescent="0.25">
      <c r="A498" s="4">
        <f t="shared" si="147"/>
        <v>32</v>
      </c>
      <c r="B498" t="str">
        <f ca="1">TEXT(DATE(YEAR(Invoer!$A$6),1,1)+INT((ROWS(B$2:B498)-1)/4),"jjjjmmdd")</f>
        <v>19400504</v>
      </c>
      <c r="C498" s="64" t="str">
        <f>IF(MOD(ROWS(C$2:C498)-1,4)=3,"24.00",INDEX(Data,3,2+MOD(ROWS(C$2:C498)-1,4)))</f>
        <v>07.00</v>
      </c>
      <c r="D498" s="18">
        <f t="shared" ca="1" si="148"/>
        <v>758.5</v>
      </c>
      <c r="E498" s="17">
        <f t="shared" ca="1" si="149"/>
        <v>0</v>
      </c>
      <c r="F498" s="18">
        <f t="shared" ca="1" si="150"/>
        <v>27.3</v>
      </c>
      <c r="G498" s="17">
        <f t="shared" ca="1" si="151"/>
        <v>0</v>
      </c>
      <c r="H498" s="18" t="str">
        <f t="shared" ca="1" si="152"/>
        <v>—</v>
      </c>
      <c r="I498" s="17">
        <f t="shared" ca="1" si="153"/>
        <v>7</v>
      </c>
      <c r="J498" s="18" t="str">
        <f t="shared" ca="1" si="154"/>
        <v>—</v>
      </c>
      <c r="K498" s="17">
        <f t="shared" ca="1" si="155"/>
        <v>7</v>
      </c>
      <c r="L498" s="10">
        <f t="shared" ca="1" si="156"/>
        <v>71</v>
      </c>
      <c r="M498" s="17">
        <f t="shared" ca="1" si="157"/>
        <v>0</v>
      </c>
      <c r="N498" s="18">
        <f t="shared" ca="1" si="158"/>
        <v>19.5</v>
      </c>
      <c r="O498" s="17">
        <f t="shared" ca="1" si="159"/>
        <v>0</v>
      </c>
      <c r="P498" s="18">
        <f t="shared" ca="1" si="160"/>
        <v>23.6</v>
      </c>
      <c r="Q498" s="17">
        <f t="shared" ca="1" si="161"/>
        <v>0</v>
      </c>
      <c r="R498" s="10">
        <f t="shared" ca="1" si="162"/>
        <v>65</v>
      </c>
      <c r="S498" s="17">
        <f t="shared" ca="1" si="163"/>
        <v>0</v>
      </c>
      <c r="T498" s="70">
        <f t="shared" ca="1" si="164"/>
        <v>0.4</v>
      </c>
      <c r="U498" s="17">
        <f t="shared" ca="1" si="165"/>
        <v>0</v>
      </c>
      <c r="V498" s="71">
        <f t="shared" ca="1" si="166"/>
        <v>3</v>
      </c>
      <c r="W498" s="17">
        <f t="shared" ca="1" si="167"/>
        <v>0</v>
      </c>
    </row>
    <row r="499" spans="1:23" x14ac:dyDescent="0.25">
      <c r="A499" s="4">
        <f t="shared" si="147"/>
        <v>32</v>
      </c>
      <c r="B499" t="str">
        <f ca="1">TEXT(DATE(YEAR(Invoer!$A$6),1,1)+INT((ROWS(B$2:B499)-1)/4),"jjjjmmdd")</f>
        <v>19400504</v>
      </c>
      <c r="C499" s="64" t="str">
        <f>IF(MOD(ROWS(C$2:C499)-1,4)=3,"24.00",INDEX(Data,3,2+MOD(ROWS(C$2:C499)-1,4)))</f>
        <v>12.00</v>
      </c>
      <c r="D499" s="18">
        <f t="shared" ca="1" si="148"/>
        <v>759.2</v>
      </c>
      <c r="E499" s="17">
        <f t="shared" ca="1" si="149"/>
        <v>0</v>
      </c>
      <c r="F499" s="18">
        <f t="shared" ca="1" si="150"/>
        <v>27.7</v>
      </c>
      <c r="G499" s="17">
        <f t="shared" ca="1" si="151"/>
        <v>0</v>
      </c>
      <c r="H499" s="18" t="str">
        <f t="shared" ca="1" si="152"/>
        <v>—</v>
      </c>
      <c r="I499" s="17">
        <f t="shared" ca="1" si="153"/>
        <v>7</v>
      </c>
      <c r="J499" s="18" t="str">
        <f t="shared" ca="1" si="154"/>
        <v>—</v>
      </c>
      <c r="K499" s="17">
        <f t="shared" ca="1" si="155"/>
        <v>7</v>
      </c>
      <c r="L499" s="10">
        <f t="shared" ca="1" si="156"/>
        <v>72</v>
      </c>
      <c r="M499" s="17">
        <f t="shared" ca="1" si="157"/>
        <v>0</v>
      </c>
      <c r="N499" s="18">
        <f t="shared" ca="1" si="158"/>
        <v>20.2</v>
      </c>
      <c r="O499" s="17">
        <f t="shared" ca="1" si="159"/>
        <v>0</v>
      </c>
      <c r="P499" s="18">
        <f t="shared" ca="1" si="160"/>
        <v>23.8</v>
      </c>
      <c r="Q499" s="17">
        <f t="shared" ca="1" si="161"/>
        <v>0</v>
      </c>
      <c r="R499" s="10">
        <f t="shared" ca="1" si="162"/>
        <v>65</v>
      </c>
      <c r="S499" s="17">
        <f t="shared" ca="1" si="163"/>
        <v>0</v>
      </c>
      <c r="T499" s="70">
        <f t="shared" ca="1" si="164"/>
        <v>0.5</v>
      </c>
      <c r="U499" s="17">
        <f t="shared" ca="1" si="165"/>
        <v>0</v>
      </c>
      <c r="V499" s="71">
        <f t="shared" ca="1" si="166"/>
        <v>3</v>
      </c>
      <c r="W499" s="17">
        <f t="shared" ca="1" si="167"/>
        <v>0</v>
      </c>
    </row>
    <row r="500" spans="1:23" x14ac:dyDescent="0.25">
      <c r="A500" s="4">
        <f t="shared" si="147"/>
        <v>32</v>
      </c>
      <c r="B500" t="str">
        <f ca="1">TEXT(DATE(YEAR(Invoer!$A$6),1,1)+INT((ROWS(B$2:B500)-1)/4),"jjjjmmdd")</f>
        <v>19400504</v>
      </c>
      <c r="C500" s="64" t="str">
        <f>IF(MOD(ROWS(C$2:C500)-1,4)=3,"24.00",INDEX(Data,3,2+MOD(ROWS(C$2:C500)-1,4)))</f>
        <v>17.00</v>
      </c>
      <c r="D500" s="18">
        <f t="shared" ca="1" si="148"/>
        <v>758.2</v>
      </c>
      <c r="E500" s="17">
        <f t="shared" ca="1" si="149"/>
        <v>0</v>
      </c>
      <c r="F500" s="18">
        <f t="shared" ca="1" si="150"/>
        <v>26.1</v>
      </c>
      <c r="G500" s="17">
        <f t="shared" ca="1" si="151"/>
        <v>0</v>
      </c>
      <c r="H500" s="18" t="str">
        <f t="shared" ca="1" si="152"/>
        <v>—</v>
      </c>
      <c r="I500" s="17">
        <f t="shared" ca="1" si="153"/>
        <v>7</v>
      </c>
      <c r="J500" s="18" t="str">
        <f t="shared" ca="1" si="154"/>
        <v>—</v>
      </c>
      <c r="K500" s="17">
        <f t="shared" ca="1" si="155"/>
        <v>7</v>
      </c>
      <c r="L500" s="10">
        <f t="shared" ca="1" si="156"/>
        <v>78</v>
      </c>
      <c r="M500" s="17">
        <f t="shared" ca="1" si="157"/>
        <v>0</v>
      </c>
      <c r="N500" s="18">
        <f t="shared" ca="1" si="158"/>
        <v>19.899999999999999</v>
      </c>
      <c r="O500" s="17">
        <f t="shared" ca="1" si="159"/>
        <v>0</v>
      </c>
      <c r="P500" s="18">
        <f t="shared" ca="1" si="160"/>
        <v>23.2</v>
      </c>
      <c r="Q500" s="17">
        <f t="shared" ca="1" si="161"/>
        <v>0</v>
      </c>
      <c r="R500" s="10">
        <f t="shared" ca="1" si="162"/>
        <v>45</v>
      </c>
      <c r="S500" s="17">
        <f t="shared" ca="1" si="163"/>
        <v>0</v>
      </c>
      <c r="T500" s="70">
        <f t="shared" ca="1" si="164"/>
        <v>0.4</v>
      </c>
      <c r="U500" s="17">
        <f t="shared" ca="1" si="165"/>
        <v>0</v>
      </c>
      <c r="V500" s="71">
        <f t="shared" ca="1" si="166"/>
        <v>2</v>
      </c>
      <c r="W500" s="17">
        <f t="shared" ca="1" si="167"/>
        <v>0</v>
      </c>
    </row>
    <row r="501" spans="1:23" x14ac:dyDescent="0.25">
      <c r="A501" s="4">
        <f t="shared" si="147"/>
        <v>32</v>
      </c>
      <c r="B501" t="str">
        <f ca="1">TEXT(DATE(YEAR(Invoer!$A$6),1,1)+INT((ROWS(B$2:B501)-1)/4),"jjjjmmdd")</f>
        <v>19400504</v>
      </c>
      <c r="C501" s="64" t="str">
        <f>IF(MOD(ROWS(C$2:C501)-1,4)=3,"24.00",INDEX(Data,3,2+MOD(ROWS(C$2:C501)-1,4)))</f>
        <v>24.00</v>
      </c>
      <c r="D501" s="18" t="str">
        <f t="shared" ca="1" si="148"/>
        <v>—</v>
      </c>
      <c r="E501" s="17">
        <f t="shared" ca="1" si="149"/>
        <v>7</v>
      </c>
      <c r="F501" s="18" t="str">
        <f t="shared" ca="1" si="150"/>
        <v>—</v>
      </c>
      <c r="G501" s="17">
        <f t="shared" ca="1" si="151"/>
        <v>7</v>
      </c>
      <c r="H501" s="18">
        <f t="shared" ca="1" si="152"/>
        <v>29</v>
      </c>
      <c r="I501" s="17">
        <f t="shared" ca="1" si="153"/>
        <v>0</v>
      </c>
      <c r="J501" s="18">
        <f t="shared" ca="1" si="154"/>
        <v>30.5</v>
      </c>
      <c r="K501" s="17">
        <f t="shared" ca="1" si="155"/>
        <v>0</v>
      </c>
      <c r="L501" s="10" t="str">
        <f t="shared" ca="1" si="156"/>
        <v>—</v>
      </c>
      <c r="M501" s="17">
        <f t="shared" ca="1" si="157"/>
        <v>7</v>
      </c>
      <c r="N501" s="18" t="str">
        <f t="shared" ca="1" si="158"/>
        <v>—</v>
      </c>
      <c r="O501" s="17">
        <f t="shared" ca="1" si="159"/>
        <v>7</v>
      </c>
      <c r="P501" s="18" t="str">
        <f t="shared" ca="1" si="160"/>
        <v>—</v>
      </c>
      <c r="Q501" s="17">
        <f t="shared" ca="1" si="161"/>
        <v>7</v>
      </c>
      <c r="R501" s="10" t="str">
        <f t="shared" ca="1" si="162"/>
        <v>—</v>
      </c>
      <c r="S501" s="17">
        <f t="shared" ca="1" si="163"/>
        <v>7</v>
      </c>
      <c r="T501" s="70" t="str">
        <f t="shared" ca="1" si="164"/>
        <v>—</v>
      </c>
      <c r="U501" s="17">
        <f t="shared" ca="1" si="165"/>
        <v>7</v>
      </c>
      <c r="V501" s="71" t="str">
        <f t="shared" ca="1" si="166"/>
        <v>—</v>
      </c>
      <c r="W501" s="17">
        <f t="shared" ca="1" si="167"/>
        <v>7</v>
      </c>
    </row>
    <row r="502" spans="1:23" x14ac:dyDescent="0.25">
      <c r="A502" s="4">
        <f t="shared" si="147"/>
        <v>32</v>
      </c>
      <c r="B502" t="str">
        <f ca="1">TEXT(DATE(YEAR(Invoer!$A$6),1,1)+INT((ROWS(B$2:B502)-1)/4),"jjjjmmdd")</f>
        <v>19400505</v>
      </c>
      <c r="C502" s="64" t="str">
        <f>IF(MOD(ROWS(C$2:C502)-1,4)=3,"24.00",INDEX(Data,3,2+MOD(ROWS(C$2:C502)-1,4)))</f>
        <v>07.00</v>
      </c>
      <c r="D502" s="18">
        <f t="shared" ca="1" si="148"/>
        <v>759</v>
      </c>
      <c r="E502" s="17">
        <f t="shared" ca="1" si="149"/>
        <v>0</v>
      </c>
      <c r="F502" s="18">
        <f t="shared" ca="1" si="150"/>
        <v>27</v>
      </c>
      <c r="G502" s="17">
        <f t="shared" ca="1" si="151"/>
        <v>0</v>
      </c>
      <c r="H502" s="18" t="str">
        <f t="shared" ca="1" si="152"/>
        <v>—</v>
      </c>
      <c r="I502" s="17">
        <f t="shared" ca="1" si="153"/>
        <v>7</v>
      </c>
      <c r="J502" s="18" t="str">
        <f t="shared" ca="1" si="154"/>
        <v>—</v>
      </c>
      <c r="K502" s="17">
        <f t="shared" ca="1" si="155"/>
        <v>7</v>
      </c>
      <c r="L502" s="10">
        <f t="shared" ca="1" si="156"/>
        <v>74</v>
      </c>
      <c r="M502" s="17">
        <f t="shared" ca="1" si="157"/>
        <v>0</v>
      </c>
      <c r="N502" s="18">
        <f t="shared" ca="1" si="158"/>
        <v>19.8</v>
      </c>
      <c r="O502" s="17">
        <f t="shared" ca="1" si="159"/>
        <v>0</v>
      </c>
      <c r="P502" s="18">
        <f t="shared" ca="1" si="160"/>
        <v>23.4</v>
      </c>
      <c r="Q502" s="17">
        <f t="shared" ca="1" si="161"/>
        <v>0</v>
      </c>
      <c r="R502" s="10">
        <f t="shared" ca="1" si="162"/>
        <v>65</v>
      </c>
      <c r="S502" s="17">
        <f t="shared" ca="1" si="163"/>
        <v>0</v>
      </c>
      <c r="T502" s="70">
        <f t="shared" ca="1" si="164"/>
        <v>0.5</v>
      </c>
      <c r="U502" s="17">
        <f t="shared" ca="1" si="165"/>
        <v>0</v>
      </c>
      <c r="V502" s="71">
        <f t="shared" ca="1" si="166"/>
        <v>3</v>
      </c>
      <c r="W502" s="17">
        <f t="shared" ca="1" si="167"/>
        <v>0</v>
      </c>
    </row>
    <row r="503" spans="1:23" x14ac:dyDescent="0.25">
      <c r="A503" s="4">
        <f t="shared" si="147"/>
        <v>32</v>
      </c>
      <c r="B503" t="str">
        <f ca="1">TEXT(DATE(YEAR(Invoer!$A$6),1,1)+INT((ROWS(B$2:B503)-1)/4),"jjjjmmdd")</f>
        <v>19400505</v>
      </c>
      <c r="C503" s="64" t="str">
        <f>IF(MOD(ROWS(C$2:C503)-1,4)=3,"24.00",INDEX(Data,3,2+MOD(ROWS(C$2:C503)-1,4)))</f>
        <v>12.00</v>
      </c>
      <c r="D503" s="18">
        <f t="shared" ca="1" si="148"/>
        <v>758.5</v>
      </c>
      <c r="E503" s="17">
        <f t="shared" ca="1" si="149"/>
        <v>0</v>
      </c>
      <c r="F503" s="18">
        <f t="shared" ca="1" si="150"/>
        <v>27.5</v>
      </c>
      <c r="G503" s="17">
        <f t="shared" ca="1" si="151"/>
        <v>0</v>
      </c>
      <c r="H503" s="18" t="str">
        <f t="shared" ca="1" si="152"/>
        <v>—</v>
      </c>
      <c r="I503" s="17">
        <f t="shared" ca="1" si="153"/>
        <v>7</v>
      </c>
      <c r="J503" s="18" t="str">
        <f t="shared" ca="1" si="154"/>
        <v>—</v>
      </c>
      <c r="K503" s="17">
        <f t="shared" ca="1" si="155"/>
        <v>7</v>
      </c>
      <c r="L503" s="10">
        <f t="shared" ca="1" si="156"/>
        <v>73</v>
      </c>
      <c r="M503" s="17">
        <f t="shared" ca="1" si="157"/>
        <v>0</v>
      </c>
      <c r="N503" s="18">
        <f t="shared" ca="1" si="158"/>
        <v>20.3</v>
      </c>
      <c r="O503" s="17">
        <f t="shared" ca="1" si="159"/>
        <v>0</v>
      </c>
      <c r="P503" s="18">
        <f t="shared" ca="1" si="160"/>
        <v>23.8</v>
      </c>
      <c r="Q503" s="17">
        <f t="shared" ca="1" si="161"/>
        <v>0</v>
      </c>
      <c r="R503" s="10">
        <f t="shared" ca="1" si="162"/>
        <v>65</v>
      </c>
      <c r="S503" s="17">
        <f t="shared" ca="1" si="163"/>
        <v>0</v>
      </c>
      <c r="T503" s="70">
        <f t="shared" ca="1" si="164"/>
        <v>0.6</v>
      </c>
      <c r="U503" s="17">
        <f t="shared" ca="1" si="165"/>
        <v>0</v>
      </c>
      <c r="V503" s="71">
        <f t="shared" ca="1" si="166"/>
        <v>2</v>
      </c>
      <c r="W503" s="17">
        <f t="shared" ca="1" si="167"/>
        <v>0</v>
      </c>
    </row>
    <row r="504" spans="1:23" x14ac:dyDescent="0.25">
      <c r="A504" s="4">
        <f t="shared" si="147"/>
        <v>32</v>
      </c>
      <c r="B504" t="str">
        <f ca="1">TEXT(DATE(YEAR(Invoer!$A$6),1,1)+INT((ROWS(B$2:B504)-1)/4),"jjjjmmdd")</f>
        <v>19400505</v>
      </c>
      <c r="C504" s="64" t="str">
        <f>IF(MOD(ROWS(C$2:C504)-1,4)=3,"24.00",INDEX(Data,3,2+MOD(ROWS(C$2:C504)-1,4)))</f>
        <v>17.00</v>
      </c>
      <c r="D504" s="18">
        <f t="shared" ca="1" si="148"/>
        <v>758.2</v>
      </c>
      <c r="E504" s="17">
        <f t="shared" ca="1" si="149"/>
        <v>0</v>
      </c>
      <c r="F504" s="18">
        <f t="shared" ca="1" si="150"/>
        <v>26.7</v>
      </c>
      <c r="G504" s="17">
        <f t="shared" ca="1" si="151"/>
        <v>0</v>
      </c>
      <c r="H504" s="18" t="str">
        <f t="shared" ca="1" si="152"/>
        <v>—</v>
      </c>
      <c r="I504" s="17">
        <f t="shared" ca="1" si="153"/>
        <v>7</v>
      </c>
      <c r="J504" s="18" t="str">
        <f t="shared" ca="1" si="154"/>
        <v>—</v>
      </c>
      <c r="K504" s="17">
        <f t="shared" ca="1" si="155"/>
        <v>7</v>
      </c>
      <c r="L504" s="10">
        <f t="shared" ca="1" si="156"/>
        <v>77</v>
      </c>
      <c r="M504" s="17">
        <f t="shared" ca="1" si="157"/>
        <v>0</v>
      </c>
      <c r="N504" s="18">
        <f t="shared" ca="1" si="158"/>
        <v>20.3</v>
      </c>
      <c r="O504" s="17">
        <f t="shared" ca="1" si="159"/>
        <v>0</v>
      </c>
      <c r="P504" s="18">
        <f t="shared" ca="1" si="160"/>
        <v>23.6</v>
      </c>
      <c r="Q504" s="17">
        <f t="shared" ca="1" si="161"/>
        <v>0</v>
      </c>
      <c r="R504" s="10">
        <f t="shared" ca="1" si="162"/>
        <v>65</v>
      </c>
      <c r="S504" s="17">
        <f t="shared" ca="1" si="163"/>
        <v>0</v>
      </c>
      <c r="T504" s="70">
        <f t="shared" ca="1" si="164"/>
        <v>0.5</v>
      </c>
      <c r="U504" s="17">
        <f t="shared" ca="1" si="165"/>
        <v>0</v>
      </c>
      <c r="V504" s="71">
        <f t="shared" ca="1" si="166"/>
        <v>3</v>
      </c>
      <c r="W504" s="17">
        <f t="shared" ca="1" si="167"/>
        <v>0</v>
      </c>
    </row>
    <row r="505" spans="1:23" x14ac:dyDescent="0.25">
      <c r="A505" s="4">
        <f t="shared" si="147"/>
        <v>32</v>
      </c>
      <c r="B505" t="str">
        <f ca="1">TEXT(DATE(YEAR(Invoer!$A$6),1,1)+INT((ROWS(B$2:B505)-1)/4),"jjjjmmdd")</f>
        <v>19400505</v>
      </c>
      <c r="C505" s="64" t="str">
        <f>IF(MOD(ROWS(C$2:C505)-1,4)=3,"24.00",INDEX(Data,3,2+MOD(ROWS(C$2:C505)-1,4)))</f>
        <v>24.00</v>
      </c>
      <c r="D505" s="18" t="str">
        <f t="shared" ca="1" si="148"/>
        <v>—</v>
      </c>
      <c r="E505" s="17">
        <f t="shared" ca="1" si="149"/>
        <v>7</v>
      </c>
      <c r="F505" s="18" t="str">
        <f t="shared" ca="1" si="150"/>
        <v>—</v>
      </c>
      <c r="G505" s="17">
        <f t="shared" ca="1" si="151"/>
        <v>7</v>
      </c>
      <c r="H505" s="18">
        <f t="shared" ca="1" si="152"/>
        <v>28.4</v>
      </c>
      <c r="I505" s="17">
        <f t="shared" ca="1" si="153"/>
        <v>0</v>
      </c>
      <c r="J505" s="18">
        <f t="shared" ca="1" si="154"/>
        <v>30</v>
      </c>
      <c r="K505" s="17">
        <f t="shared" ca="1" si="155"/>
        <v>0</v>
      </c>
      <c r="L505" s="10" t="str">
        <f t="shared" ca="1" si="156"/>
        <v>—</v>
      </c>
      <c r="M505" s="17">
        <f t="shared" ca="1" si="157"/>
        <v>7</v>
      </c>
      <c r="N505" s="18" t="str">
        <f t="shared" ca="1" si="158"/>
        <v>—</v>
      </c>
      <c r="O505" s="17">
        <f t="shared" ca="1" si="159"/>
        <v>7</v>
      </c>
      <c r="P505" s="18" t="str">
        <f t="shared" ca="1" si="160"/>
        <v>—</v>
      </c>
      <c r="Q505" s="17">
        <f t="shared" ca="1" si="161"/>
        <v>7</v>
      </c>
      <c r="R505" s="10" t="str">
        <f t="shared" ca="1" si="162"/>
        <v>—</v>
      </c>
      <c r="S505" s="17">
        <f t="shared" ca="1" si="163"/>
        <v>7</v>
      </c>
      <c r="T505" s="70" t="str">
        <f t="shared" ca="1" si="164"/>
        <v>—</v>
      </c>
      <c r="U505" s="17">
        <f t="shared" ca="1" si="165"/>
        <v>7</v>
      </c>
      <c r="V505" s="71" t="str">
        <f t="shared" ca="1" si="166"/>
        <v>—</v>
      </c>
      <c r="W505" s="17">
        <f t="shared" ca="1" si="167"/>
        <v>7</v>
      </c>
    </row>
    <row r="506" spans="1:23" x14ac:dyDescent="0.25">
      <c r="A506" s="4">
        <f t="shared" si="147"/>
        <v>32</v>
      </c>
      <c r="B506" t="str">
        <f ca="1">TEXT(DATE(YEAR(Invoer!$A$6),1,1)+INT((ROWS(B$2:B506)-1)/4),"jjjjmmdd")</f>
        <v>19400506</v>
      </c>
      <c r="C506" s="64" t="str">
        <f>IF(MOD(ROWS(C$2:C506)-1,4)=3,"24.00",INDEX(Data,3,2+MOD(ROWS(C$2:C506)-1,4)))</f>
        <v>07.00</v>
      </c>
      <c r="D506" s="18">
        <f t="shared" ca="1" si="148"/>
        <v>758.5</v>
      </c>
      <c r="E506" s="17">
        <f t="shared" ca="1" si="149"/>
        <v>0</v>
      </c>
      <c r="F506" s="18">
        <f t="shared" ca="1" si="150"/>
        <v>26.7</v>
      </c>
      <c r="G506" s="17">
        <f t="shared" ca="1" si="151"/>
        <v>0</v>
      </c>
      <c r="H506" s="18" t="str">
        <f t="shared" ca="1" si="152"/>
        <v>—</v>
      </c>
      <c r="I506" s="17">
        <f t="shared" ca="1" si="153"/>
        <v>7</v>
      </c>
      <c r="J506" s="18" t="str">
        <f t="shared" ca="1" si="154"/>
        <v>—</v>
      </c>
      <c r="K506" s="17">
        <f t="shared" ca="1" si="155"/>
        <v>7</v>
      </c>
      <c r="L506" s="10">
        <f t="shared" ca="1" si="156"/>
        <v>72</v>
      </c>
      <c r="M506" s="17">
        <f t="shared" ca="1" si="157"/>
        <v>0</v>
      </c>
      <c r="N506" s="18">
        <f t="shared" ca="1" si="158"/>
        <v>18.899999999999999</v>
      </c>
      <c r="O506" s="17">
        <f t="shared" ca="1" si="159"/>
        <v>0</v>
      </c>
      <c r="P506" s="18">
        <f t="shared" ca="1" si="160"/>
        <v>22.8</v>
      </c>
      <c r="Q506" s="17">
        <f t="shared" ca="1" si="161"/>
        <v>0</v>
      </c>
      <c r="R506" s="10">
        <f t="shared" ca="1" si="162"/>
        <v>65</v>
      </c>
      <c r="S506" s="17">
        <f t="shared" ca="1" si="163"/>
        <v>0</v>
      </c>
      <c r="T506" s="70">
        <f t="shared" ca="1" si="164"/>
        <v>0.4</v>
      </c>
      <c r="U506" s="17">
        <f t="shared" ca="1" si="165"/>
        <v>0</v>
      </c>
      <c r="V506" s="71">
        <f t="shared" ca="1" si="166"/>
        <v>3</v>
      </c>
      <c r="W506" s="17">
        <f t="shared" ca="1" si="167"/>
        <v>0</v>
      </c>
    </row>
    <row r="507" spans="1:23" x14ac:dyDescent="0.25">
      <c r="A507" s="4">
        <f t="shared" si="147"/>
        <v>32</v>
      </c>
      <c r="B507" t="str">
        <f ca="1">TEXT(DATE(YEAR(Invoer!$A$6),1,1)+INT((ROWS(B$2:B507)-1)/4),"jjjjmmdd")</f>
        <v>19400506</v>
      </c>
      <c r="C507" s="64" t="str">
        <f>IF(MOD(ROWS(C$2:C507)-1,4)=3,"24.00",INDEX(Data,3,2+MOD(ROWS(C$2:C507)-1,4)))</f>
        <v>12.00</v>
      </c>
      <c r="D507" s="18">
        <f t="shared" ca="1" si="148"/>
        <v>759.5</v>
      </c>
      <c r="E507" s="17">
        <f t="shared" ca="1" si="149"/>
        <v>0</v>
      </c>
      <c r="F507" s="18">
        <f t="shared" ca="1" si="150"/>
        <v>27.1</v>
      </c>
      <c r="G507" s="17">
        <f t="shared" ca="1" si="151"/>
        <v>0</v>
      </c>
      <c r="H507" s="18" t="str">
        <f t="shared" ca="1" si="152"/>
        <v>—</v>
      </c>
      <c r="I507" s="17">
        <f t="shared" ca="1" si="153"/>
        <v>7</v>
      </c>
      <c r="J507" s="18" t="str">
        <f t="shared" ca="1" si="154"/>
        <v>—</v>
      </c>
      <c r="K507" s="17">
        <f t="shared" ca="1" si="155"/>
        <v>7</v>
      </c>
      <c r="L507" s="10">
        <f t="shared" ca="1" si="156"/>
        <v>73</v>
      </c>
      <c r="M507" s="17">
        <f t="shared" ca="1" si="157"/>
        <v>0</v>
      </c>
      <c r="N507" s="18">
        <f t="shared" ca="1" si="158"/>
        <v>19.7</v>
      </c>
      <c r="O507" s="17">
        <f t="shared" ca="1" si="159"/>
        <v>0</v>
      </c>
      <c r="P507" s="18">
        <f t="shared" ca="1" si="160"/>
        <v>23.4</v>
      </c>
      <c r="Q507" s="17">
        <f t="shared" ca="1" si="161"/>
        <v>0</v>
      </c>
      <c r="R507" s="10">
        <f t="shared" ca="1" si="162"/>
        <v>65</v>
      </c>
      <c r="S507" s="17">
        <f t="shared" ca="1" si="163"/>
        <v>0</v>
      </c>
      <c r="T507" s="70">
        <f t="shared" ca="1" si="164"/>
        <v>0.5</v>
      </c>
      <c r="U507" s="17">
        <f t="shared" ca="1" si="165"/>
        <v>0</v>
      </c>
      <c r="V507" s="71">
        <f t="shared" ca="1" si="166"/>
        <v>2</v>
      </c>
      <c r="W507" s="17">
        <f t="shared" ca="1" si="167"/>
        <v>0</v>
      </c>
    </row>
    <row r="508" spans="1:23" x14ac:dyDescent="0.25">
      <c r="A508" s="4">
        <f t="shared" si="147"/>
        <v>32</v>
      </c>
      <c r="B508" t="str">
        <f ca="1">TEXT(DATE(YEAR(Invoer!$A$6),1,1)+INT((ROWS(B$2:B508)-1)/4),"jjjjmmdd")</f>
        <v>19400506</v>
      </c>
      <c r="C508" s="64" t="str">
        <f>IF(MOD(ROWS(C$2:C508)-1,4)=3,"24.00",INDEX(Data,3,2+MOD(ROWS(C$2:C508)-1,4)))</f>
        <v>17.00</v>
      </c>
      <c r="D508" s="18">
        <f t="shared" ca="1" si="148"/>
        <v>758.9</v>
      </c>
      <c r="E508" s="17">
        <f t="shared" ca="1" si="149"/>
        <v>0</v>
      </c>
      <c r="F508" s="18">
        <f t="shared" ca="1" si="150"/>
        <v>26.3</v>
      </c>
      <c r="G508" s="17">
        <f t="shared" ca="1" si="151"/>
        <v>0</v>
      </c>
      <c r="H508" s="18" t="str">
        <f t="shared" ca="1" si="152"/>
        <v>—</v>
      </c>
      <c r="I508" s="17">
        <f t="shared" ca="1" si="153"/>
        <v>7</v>
      </c>
      <c r="J508" s="18" t="str">
        <f t="shared" ca="1" si="154"/>
        <v>—</v>
      </c>
      <c r="K508" s="17">
        <f t="shared" ca="1" si="155"/>
        <v>7</v>
      </c>
      <c r="L508" s="10">
        <f t="shared" ca="1" si="156"/>
        <v>76</v>
      </c>
      <c r="M508" s="17">
        <f t="shared" ca="1" si="157"/>
        <v>0</v>
      </c>
      <c r="N508" s="18">
        <f t="shared" ca="1" si="158"/>
        <v>19.399999999999999</v>
      </c>
      <c r="O508" s="17">
        <f t="shared" ca="1" si="159"/>
        <v>0</v>
      </c>
      <c r="P508" s="18">
        <f t="shared" ca="1" si="160"/>
        <v>23</v>
      </c>
      <c r="Q508" s="17">
        <f t="shared" ca="1" si="161"/>
        <v>0</v>
      </c>
      <c r="R508" s="10">
        <f t="shared" ca="1" si="162"/>
        <v>45</v>
      </c>
      <c r="S508" s="17">
        <f t="shared" ca="1" si="163"/>
        <v>0</v>
      </c>
      <c r="T508" s="70">
        <f t="shared" ca="1" si="164"/>
        <v>0.4</v>
      </c>
      <c r="U508" s="17">
        <f t="shared" ca="1" si="165"/>
        <v>0</v>
      </c>
      <c r="V508" s="71">
        <f t="shared" ca="1" si="166"/>
        <v>2</v>
      </c>
      <c r="W508" s="17">
        <f t="shared" ca="1" si="167"/>
        <v>0</v>
      </c>
    </row>
    <row r="509" spans="1:23" x14ac:dyDescent="0.25">
      <c r="A509" s="4">
        <f t="shared" si="147"/>
        <v>32</v>
      </c>
      <c r="B509" t="str">
        <f ca="1">TEXT(DATE(YEAR(Invoer!$A$6),1,1)+INT((ROWS(B$2:B509)-1)/4),"jjjjmmdd")</f>
        <v>19400506</v>
      </c>
      <c r="C509" s="64" t="str">
        <f>IF(MOD(ROWS(C$2:C509)-1,4)=3,"24.00",INDEX(Data,3,2+MOD(ROWS(C$2:C509)-1,4)))</f>
        <v>24.00</v>
      </c>
      <c r="D509" s="18" t="str">
        <f t="shared" ca="1" si="148"/>
        <v>—</v>
      </c>
      <c r="E509" s="17">
        <f t="shared" ca="1" si="149"/>
        <v>7</v>
      </c>
      <c r="F509" s="18" t="str">
        <f t="shared" ca="1" si="150"/>
        <v>—</v>
      </c>
      <c r="G509" s="17">
        <f t="shared" ca="1" si="151"/>
        <v>7</v>
      </c>
      <c r="H509" s="18">
        <f t="shared" ca="1" si="152"/>
        <v>28.2</v>
      </c>
      <c r="I509" s="17">
        <f t="shared" ca="1" si="153"/>
        <v>0</v>
      </c>
      <c r="J509" s="18">
        <f t="shared" ca="1" si="154"/>
        <v>29.4</v>
      </c>
      <c r="K509" s="17">
        <f t="shared" ca="1" si="155"/>
        <v>0</v>
      </c>
      <c r="L509" s="10" t="str">
        <f t="shared" ca="1" si="156"/>
        <v>—</v>
      </c>
      <c r="M509" s="17">
        <f t="shared" ca="1" si="157"/>
        <v>7</v>
      </c>
      <c r="N509" s="18" t="str">
        <f t="shared" ca="1" si="158"/>
        <v>—</v>
      </c>
      <c r="O509" s="17">
        <f t="shared" ca="1" si="159"/>
        <v>7</v>
      </c>
      <c r="P509" s="18" t="str">
        <f t="shared" ca="1" si="160"/>
        <v>—</v>
      </c>
      <c r="Q509" s="17">
        <f t="shared" ca="1" si="161"/>
        <v>7</v>
      </c>
      <c r="R509" s="10" t="str">
        <f t="shared" ca="1" si="162"/>
        <v>—</v>
      </c>
      <c r="S509" s="17">
        <f t="shared" ca="1" si="163"/>
        <v>7</v>
      </c>
      <c r="T509" s="70" t="str">
        <f t="shared" ca="1" si="164"/>
        <v>—</v>
      </c>
      <c r="U509" s="17">
        <f t="shared" ca="1" si="165"/>
        <v>7</v>
      </c>
      <c r="V509" s="71" t="str">
        <f t="shared" ca="1" si="166"/>
        <v>—</v>
      </c>
      <c r="W509" s="17">
        <f t="shared" ca="1" si="167"/>
        <v>7</v>
      </c>
    </row>
    <row r="510" spans="1:23" x14ac:dyDescent="0.25">
      <c r="A510" s="4">
        <f t="shared" si="147"/>
        <v>32</v>
      </c>
      <c r="B510" t="str">
        <f ca="1">TEXT(DATE(YEAR(Invoer!$A$6),1,1)+INT((ROWS(B$2:B510)-1)/4),"jjjjmmdd")</f>
        <v>19400507</v>
      </c>
      <c r="C510" s="64" t="str">
        <f>IF(MOD(ROWS(C$2:C510)-1,4)=3,"24.00",INDEX(Data,3,2+MOD(ROWS(C$2:C510)-1,4)))</f>
        <v>07.00</v>
      </c>
      <c r="D510" s="18">
        <f t="shared" ca="1" si="148"/>
        <v>759.5</v>
      </c>
      <c r="E510" s="17">
        <f t="shared" ca="1" si="149"/>
        <v>0</v>
      </c>
      <c r="F510" s="18">
        <f t="shared" ca="1" si="150"/>
        <v>26.3</v>
      </c>
      <c r="G510" s="17">
        <f t="shared" ca="1" si="151"/>
        <v>0</v>
      </c>
      <c r="H510" s="18" t="str">
        <f t="shared" ca="1" si="152"/>
        <v>—</v>
      </c>
      <c r="I510" s="17">
        <f t="shared" ca="1" si="153"/>
        <v>7</v>
      </c>
      <c r="J510" s="18" t="str">
        <f t="shared" ca="1" si="154"/>
        <v>—</v>
      </c>
      <c r="K510" s="17">
        <f t="shared" ca="1" si="155"/>
        <v>7</v>
      </c>
      <c r="L510" s="10">
        <f t="shared" ca="1" si="156"/>
        <v>77</v>
      </c>
      <c r="M510" s="17">
        <f t="shared" ca="1" si="157"/>
        <v>0</v>
      </c>
      <c r="N510" s="18">
        <f t="shared" ca="1" si="158"/>
        <v>19.8</v>
      </c>
      <c r="O510" s="17">
        <f t="shared" ca="1" si="159"/>
        <v>0</v>
      </c>
      <c r="P510" s="18">
        <f t="shared" ca="1" si="160"/>
        <v>23.2</v>
      </c>
      <c r="Q510" s="17">
        <f t="shared" ca="1" si="161"/>
        <v>0</v>
      </c>
      <c r="R510" s="10">
        <f t="shared" ca="1" si="162"/>
        <v>65</v>
      </c>
      <c r="S510" s="17">
        <f t="shared" ca="1" si="163"/>
        <v>0</v>
      </c>
      <c r="T510" s="70">
        <f t="shared" ca="1" si="164"/>
        <v>0.4</v>
      </c>
      <c r="U510" s="17">
        <f t="shared" ca="1" si="165"/>
        <v>0</v>
      </c>
      <c r="V510" s="71">
        <f t="shared" ca="1" si="166"/>
        <v>4</v>
      </c>
      <c r="W510" s="17">
        <f t="shared" ca="1" si="167"/>
        <v>0</v>
      </c>
    </row>
    <row r="511" spans="1:23" x14ac:dyDescent="0.25">
      <c r="A511" s="4">
        <f t="shared" si="147"/>
        <v>32</v>
      </c>
      <c r="B511" t="str">
        <f ca="1">TEXT(DATE(YEAR(Invoer!$A$6),1,1)+INT((ROWS(B$2:B511)-1)/4),"jjjjmmdd")</f>
        <v>19400507</v>
      </c>
      <c r="C511" s="64" t="str">
        <f>IF(MOD(ROWS(C$2:C511)-1,4)=3,"24.00",INDEX(Data,3,2+MOD(ROWS(C$2:C511)-1,4)))</f>
        <v>12.00</v>
      </c>
      <c r="D511" s="18">
        <f t="shared" ca="1" si="148"/>
        <v>759</v>
      </c>
      <c r="E511" s="17">
        <f t="shared" ca="1" si="149"/>
        <v>0</v>
      </c>
      <c r="F511" s="18">
        <f t="shared" ca="1" si="150"/>
        <v>26.9</v>
      </c>
      <c r="G511" s="17">
        <f t="shared" ca="1" si="151"/>
        <v>0</v>
      </c>
      <c r="H511" s="18" t="str">
        <f t="shared" ca="1" si="152"/>
        <v>—</v>
      </c>
      <c r="I511" s="17">
        <f t="shared" ca="1" si="153"/>
        <v>7</v>
      </c>
      <c r="J511" s="18" t="str">
        <f t="shared" ca="1" si="154"/>
        <v>—</v>
      </c>
      <c r="K511" s="17">
        <f t="shared" ca="1" si="155"/>
        <v>7</v>
      </c>
      <c r="L511" s="10">
        <f t="shared" ca="1" si="156"/>
        <v>73</v>
      </c>
      <c r="M511" s="17">
        <f t="shared" ca="1" si="157"/>
        <v>0</v>
      </c>
      <c r="N511" s="18">
        <f t="shared" ca="1" si="158"/>
        <v>19.5</v>
      </c>
      <c r="O511" s="17">
        <f t="shared" ca="1" si="159"/>
        <v>0</v>
      </c>
      <c r="P511" s="18">
        <f t="shared" ca="1" si="160"/>
        <v>23.2</v>
      </c>
      <c r="Q511" s="17">
        <f t="shared" ca="1" si="161"/>
        <v>0</v>
      </c>
      <c r="R511" s="10">
        <f t="shared" ca="1" si="162"/>
        <v>65</v>
      </c>
      <c r="S511" s="17">
        <f t="shared" ca="1" si="163"/>
        <v>0</v>
      </c>
      <c r="T511" s="70">
        <f t="shared" ca="1" si="164"/>
        <v>0.5</v>
      </c>
      <c r="U511" s="17">
        <f t="shared" ca="1" si="165"/>
        <v>0</v>
      </c>
      <c r="V511" s="71">
        <f t="shared" ca="1" si="166"/>
        <v>2</v>
      </c>
      <c r="W511" s="17">
        <f t="shared" ca="1" si="167"/>
        <v>0</v>
      </c>
    </row>
    <row r="512" spans="1:23" x14ac:dyDescent="0.25">
      <c r="A512" s="4">
        <f t="shared" si="147"/>
        <v>32</v>
      </c>
      <c r="B512" t="str">
        <f ca="1">TEXT(DATE(YEAR(Invoer!$A$6),1,1)+INT((ROWS(B$2:B512)-1)/4),"jjjjmmdd")</f>
        <v>19400507</v>
      </c>
      <c r="C512" s="64" t="str">
        <f>IF(MOD(ROWS(C$2:C512)-1,4)=3,"24.00",INDEX(Data,3,2+MOD(ROWS(C$2:C512)-1,4)))</f>
        <v>17.00</v>
      </c>
      <c r="D512" s="18">
        <f t="shared" ca="1" si="148"/>
        <v>759</v>
      </c>
      <c r="E512" s="17">
        <f t="shared" ca="1" si="149"/>
        <v>0</v>
      </c>
      <c r="F512" s="18">
        <f t="shared" ca="1" si="150"/>
        <v>26.1</v>
      </c>
      <c r="G512" s="17">
        <f t="shared" ca="1" si="151"/>
        <v>0</v>
      </c>
      <c r="H512" s="18" t="str">
        <f t="shared" ca="1" si="152"/>
        <v>—</v>
      </c>
      <c r="I512" s="17">
        <f t="shared" ca="1" si="153"/>
        <v>7</v>
      </c>
      <c r="J512" s="18" t="str">
        <f t="shared" ca="1" si="154"/>
        <v>—</v>
      </c>
      <c r="K512" s="17">
        <f t="shared" ca="1" si="155"/>
        <v>7</v>
      </c>
      <c r="L512" s="10">
        <f t="shared" ca="1" si="156"/>
        <v>77</v>
      </c>
      <c r="M512" s="17">
        <f t="shared" ca="1" si="157"/>
        <v>0</v>
      </c>
      <c r="N512" s="18">
        <f t="shared" ca="1" si="158"/>
        <v>19.5</v>
      </c>
      <c r="O512" s="17">
        <f t="shared" ca="1" si="159"/>
        <v>0</v>
      </c>
      <c r="P512" s="18">
        <f t="shared" ca="1" si="160"/>
        <v>23</v>
      </c>
      <c r="Q512" s="17">
        <f t="shared" ca="1" si="161"/>
        <v>0</v>
      </c>
      <c r="R512" s="10">
        <f t="shared" ca="1" si="162"/>
        <v>45</v>
      </c>
      <c r="S512" s="17">
        <f t="shared" ca="1" si="163"/>
        <v>0</v>
      </c>
      <c r="T512" s="70">
        <f t="shared" ca="1" si="164"/>
        <v>0.5</v>
      </c>
      <c r="U512" s="17">
        <f t="shared" ca="1" si="165"/>
        <v>0</v>
      </c>
      <c r="V512" s="71">
        <f t="shared" ca="1" si="166"/>
        <v>2</v>
      </c>
      <c r="W512" s="17">
        <f t="shared" ca="1" si="167"/>
        <v>0</v>
      </c>
    </row>
    <row r="513" spans="1:23" x14ac:dyDescent="0.25">
      <c r="A513" s="4">
        <f t="shared" si="147"/>
        <v>32</v>
      </c>
      <c r="B513" t="str">
        <f ca="1">TEXT(DATE(YEAR(Invoer!$A$6),1,1)+INT((ROWS(B$2:B513)-1)/4),"jjjjmmdd")</f>
        <v>19400507</v>
      </c>
      <c r="C513" s="64" t="str">
        <f>IF(MOD(ROWS(C$2:C513)-1,4)=3,"24.00",INDEX(Data,3,2+MOD(ROWS(C$2:C513)-1,4)))</f>
        <v>24.00</v>
      </c>
      <c r="D513" s="18" t="str">
        <f t="shared" ca="1" si="148"/>
        <v>—</v>
      </c>
      <c r="E513" s="17">
        <f t="shared" ca="1" si="149"/>
        <v>7</v>
      </c>
      <c r="F513" s="18" t="str">
        <f t="shared" ca="1" si="150"/>
        <v>—</v>
      </c>
      <c r="G513" s="17">
        <f t="shared" ca="1" si="151"/>
        <v>7</v>
      </c>
      <c r="H513" s="18">
        <f t="shared" ca="1" si="152"/>
        <v>28</v>
      </c>
      <c r="I513" s="17">
        <f t="shared" ca="1" si="153"/>
        <v>0</v>
      </c>
      <c r="J513" s="18">
        <f t="shared" ca="1" si="154"/>
        <v>29.8</v>
      </c>
      <c r="K513" s="17">
        <f t="shared" ca="1" si="155"/>
        <v>0</v>
      </c>
      <c r="L513" s="10" t="str">
        <f t="shared" ca="1" si="156"/>
        <v>—</v>
      </c>
      <c r="M513" s="17">
        <f t="shared" ca="1" si="157"/>
        <v>7</v>
      </c>
      <c r="N513" s="18" t="str">
        <f t="shared" ca="1" si="158"/>
        <v>—</v>
      </c>
      <c r="O513" s="17">
        <f t="shared" ca="1" si="159"/>
        <v>7</v>
      </c>
      <c r="P513" s="18" t="str">
        <f t="shared" ca="1" si="160"/>
        <v>—</v>
      </c>
      <c r="Q513" s="17">
        <f t="shared" ca="1" si="161"/>
        <v>7</v>
      </c>
      <c r="R513" s="10" t="str">
        <f t="shared" ca="1" si="162"/>
        <v>—</v>
      </c>
      <c r="S513" s="17">
        <f t="shared" ca="1" si="163"/>
        <v>7</v>
      </c>
      <c r="T513" s="70" t="str">
        <f t="shared" ca="1" si="164"/>
        <v>—</v>
      </c>
      <c r="U513" s="17">
        <f t="shared" ca="1" si="165"/>
        <v>7</v>
      </c>
      <c r="V513" s="71" t="str">
        <f t="shared" ca="1" si="166"/>
        <v>—</v>
      </c>
      <c r="W513" s="17">
        <f t="shared" ca="1" si="167"/>
        <v>7</v>
      </c>
    </row>
    <row r="514" spans="1:23" x14ac:dyDescent="0.25">
      <c r="A514" s="4">
        <f t="shared" ref="A514:A577" si="168">INDEX(Stations,2,1)</f>
        <v>32</v>
      </c>
      <c r="B514" t="str">
        <f ca="1">TEXT(DATE(YEAR(Invoer!$A$6),1,1)+INT((ROWS(B$2:B514)-1)/4),"jjjjmmdd")</f>
        <v>19400508</v>
      </c>
      <c r="C514" s="64" t="str">
        <f>IF(MOD(ROWS(C$2:C514)-1,4)=3,"24.00",INDEX(Data,3,2+MOD(ROWS(C$2:C514)-1,4)))</f>
        <v>07.00</v>
      </c>
      <c r="D514" s="18">
        <f t="shared" ref="D514:D577" ca="1" si="169">IF(OR(ISBLANK(VLOOKUP(DATEVALUE(LEFT($B514,4)&amp;"-"&amp;MID($B514,5,2)&amp;"-"&amp;RIGHT($B514,2)),Data,MATCH(LEFT(VLOOKUP(D$1,Parameters,2,FALSE()),4)&amp;"*",OFFSET(Data,0,0,1),0)+MATCH($C514,OFFSET(Data,2,0,1),0)-2,FALSE())),ISTEXT(VLOOKUP(DATEVALUE(LEFT($B514,4)&amp;"-"&amp;MID($B514,5,2)&amp;"-"&amp;RIGHT($B514,2)),Data,MATCH(LEFT(VLOOKUP(D$1,Parameters,2,FALSE()),4)&amp;"*",OFFSET(Data,0,0,1),0)+MATCH($C514,OFFSET(Data,2,0,1),0)-2,FALSE())),EXACT($C514,"24.00")),"—",VLOOKUP(DATEVALUE(LEFT($B514,4)&amp;"-"&amp;MID($B514,5,2)&amp;"-"&amp;RIGHT($B514,2)),Data,MATCH(LEFT(VLOOKUP(D$1,Parameters,2,FALSE()),4)&amp;"*",OFFSET(Data,0,0,1),0)+MATCH($C514,OFFSET(Data,2,0,1),0)-2,FALSE())/10)</f>
        <v>759.2</v>
      </c>
      <c r="E514" s="17">
        <f t="shared" ref="E514:E577" ca="1" si="170">IF(OR(ISBLANK(VLOOKUP(DATEVALUE(LEFT($B514,4)&amp;"-"&amp;MID($B514,5,2)&amp;"-"&amp;RIGHT($B514,2)),Data,MATCH(LEFT(VLOOKUP(MID(E$1,2,LEN(E$1)-1),Parameters,2,FALSE()),4)&amp;"*",OFFSET(Data,0,0,1),0)+MATCH($C514,OFFSET(Data,2,0,1),0)-2,FALSE())),ISTEXT(VLOOKUP(DATEVALUE(LEFT($B514,4)&amp;"-"&amp;MID($B514,5,2)&amp;"-"&amp;RIGHT($B514,2)),Data,MATCH(LEFT(VLOOKUP(MID(E$1,2,LEN(E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Data,2,0,1),0)-2,FALSE())))</f>
        <v>0</v>
      </c>
      <c r="F514" s="18">
        <f t="shared" ref="F514:F577" ca="1" si="171">IF(OR(ISBLANK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ISTEXT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EXACT($C514,"24.00")),"—",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/10)</f>
        <v>25.7</v>
      </c>
      <c r="G514" s="17">
        <f t="shared" ref="G514:G577" ca="1" si="172">IF(OR(ISBLANK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ISTEXT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G$1,2,LEN(G$1)-1),Parameters,2,FALSE()),FIND(LOWER(MID(G$1,2,1)),VLOOKUP(MID(G$1,2,LEN(G$1)-1),Parameters,2,FALSE()),5),4)&amp;"*",OFFSET(Catalogus,0,0,1),0)+2*MATCH($C514,OFFSET(Catalogus,2,0,1),0)+MATCH(LEFT(VLOOKUP(MID(G$1,2,LEN(G$1)-1),Parameters,2,FALSE()),3)&amp;"*",OFFSET(Catalogus,2,4,1),0)-5,FALSE())))</f>
        <v>0</v>
      </c>
      <c r="H514" s="18" t="str">
        <f t="shared" ref="H514:H577" ca="1" si="173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/10)</f>
        <v>—</v>
      </c>
      <c r="I514" s="17">
        <f t="shared" ref="I514:I577" ca="1" si="174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7</v>
      </c>
      <c r="J514" s="18" t="str">
        <f t="shared" ref="J514:J577" ca="1" si="175">IF(OR(ISBLANK(VLOOKUP(DATEVALUE(LEFT($B514,4)&amp;"-"&amp;MID($B514,5,2)&amp;"-"&amp;RIGHT($B514,2)),Data,MATCH(LEFT(VLOOKUP(J$1,Parameters,2,FALSE()),4)&amp;"*",OFFSET(Data,1,0,1),0),FALSE())),ISTEXT(VLOOKUP(DATEVALUE(LEFT($B514,4)&amp;"-"&amp;MID($B514,5,2)&amp;"-"&amp;RIGHT($B514,2)),Data,MATCH(LEFT(VLOOKUP(J$1,Parameters,2,FALSE()),4)&amp;"*",OFFSET(Data,1,0,1),0),FALSE())),NOT(EXACT($C514,"24.00"))),"—",VLOOKUP(DATEVALUE(LEFT($B514,4)&amp;"-"&amp;MID($B514,5,2)&amp;"-"&amp;RIGHT($B514,2)),Data,MATCH(LEFT(VLOOKUP(J$1,Parameters,2,FALSE()),4)&amp;"*",OFFSET(Data,1,0,1),0),FALSE())/10)</f>
        <v>—</v>
      </c>
      <c r="K514" s="17">
        <f t="shared" ref="K514:K577" ca="1" si="176">IF(OR(ISBLANK(VLOOKUP(DATEVALUE(LEFT($B514,4)&amp;"-"&amp;MID($B514,5,2)&amp;"-"&amp;RIGHT($B514,2)),Data,MATCH(LEFT(VLOOKUP(MID(K$1,2,LEN(K$1)-1),Parameters,2,FALSE()),4)&amp;"*",OFFSET(Data,1,0,1),0),FALSE())),ISTEXT(VLOOKUP(DATEVALUE(LEFT($B514,4)&amp;"-"&amp;MID($B514,5,2)&amp;"-"&amp;RIGHT($B514,2)),Data,MATCH(LEFT(VLOOKUP(MID(K$1,2,LEN(K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K$1,2,LEN(K$1)-1),Parameters,2,FALSE()),4)&amp;"*",OFFSET(Catalogus,1,0,1),0),FALSE())))</f>
        <v>7</v>
      </c>
      <c r="L514" s="10">
        <f t="shared" ref="L514:L577" ca="1" si="177">IF(OR(ISBLANK(VLOOKUP(DATEVALUE(LEFT($B514,4)&amp;"-"&amp;MID($B514,5,2)&amp;"-"&amp;RIGHT($B514,2)),Data,MATCH(LEFT(VLOOKUP(L$1,Parameters,2,FALSE()),4)&amp;"*",OFFSET(Data,0,0,1),0)+MATCH($C514,OFFSET(Data,2,0,1),0)-2,FALSE())),ISTEXT(VLOOKUP(DATEVALUE(LEFT($B514,4)&amp;"-"&amp;MID($B514,5,2)&amp;"-"&amp;RIGHT($B514,2)),Data,MATCH(LEFT(VLOOKUP(L$1,Parameters,2,FALSE()),4)&amp;"*",OFFSET(Data,0,0,1),0)+MATCH($C514,OFFSET(Data,2,0,1),0)-2,FALSE())),EXACT($C514,"24.00")),"—",VLOOKUP(DATEVALUE(LEFT($B514,4)&amp;"-"&amp;MID($B514,5,2)&amp;"-"&amp;RIGHT($B514,2)),Data,MATCH(LEFT(VLOOKUP(L$1,Parameters,2,FALSE()),4)&amp;"*",OFFSET(Data,0,0,1),0)+MATCH($C514,OFFSET(Data,2,0,1),0)-2,FALSE()))</f>
        <v>82</v>
      </c>
      <c r="M514" s="17">
        <f t="shared" ref="M514:M577" ca="1" si="178">IF(OR(ISBLANK(VLOOKUP(DATEVALUE(LEFT($B514,4)&amp;"-"&amp;MID($B514,5,2)&amp;"-"&amp;RIGHT($B514,2)),Data,MATCH(LEFT(VLOOKUP(MID(M$1,2,LEN(M$1)-1),Parameters,2,FALSE()),4)&amp;"*",OFFSET(Data,0,0,1),0)+MATCH($C514,OFFSET(Data,2,0,1),0)-2,FALSE())),ISTEXT(VLOOKUP(DATEVALUE(LEFT($B514,4)&amp;"-"&amp;MID($B514,5,2)&amp;"-"&amp;RIGHT($B514,2)),Data,MATCH(LEFT(VLOOKUP(MID(M$1,2,LEN(M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M$1,2,LEN(M$1)-1),Parameters,2,FALSE()),4)&amp;"*",OFFSET(Catalogus,0,0,1),0)+MATCH($C514,OFFSET(Data,2,0,1),0)-2,FALSE())))</f>
        <v>0</v>
      </c>
      <c r="N514" s="18">
        <f t="shared" ref="N514:N577" ca="1" si="179">IF(OR(ISBLANK(VLOOKUP(DATEVALUE(LEFT($B514,4)&amp;"-"&amp;MID($B514,5,2)&amp;"-"&amp;RIGHT($B514,2)),Data,MATCH(LEFT(VLOOKUP(N$1,Parameters,2,FALSE()),4)&amp;"*",OFFSET(Data,0,0,1),0)+MATCH($C514,OFFSET(Data,2,0,1),0)-2,FALSE())),ISTEXT(VLOOKUP(DATEVALUE(LEFT($B514,4)&amp;"-"&amp;MID($B514,5,2)&amp;"-"&amp;RIGHT($B514,2)),Data,MATCH(LEFT(VLOOKUP(N$1,Parameters,2,FALSE()),4)&amp;"*",OFFSET(Data,0,0,1),0)+MATCH($C514,OFFSET(Data,2,0,1),0)-2,FALSE())),EXACT($C514,"24.00")),"—",VLOOKUP(DATEVALUE(LEFT($B514,4)&amp;"-"&amp;MID($B514,5,2)&amp;"-"&amp;RIGHT($B514,2)),Data,MATCH(LEFT(VLOOKUP(N$1,Parameters,2,FALSE()),4)&amp;"*",OFFSET(Data,0,0,1),0)+MATCH($C514,OFFSET(Data,2,0,1),0)-2,FALSE())/10)</f>
        <v>20.399999999999999</v>
      </c>
      <c r="O514" s="17">
        <f t="shared" ref="O514:O577" ca="1" si="180">IF(OR(ISBLANK(VLOOKUP(DATEVALUE(LEFT($B514,4)&amp;"-"&amp;MID($B514,5,2)&amp;"-"&amp;RIGHT($B514,2)),Data,MATCH(LEFT(VLOOKUP(MID(O$1,2,LEN(O$1)-1),Parameters,2,FALSE()),4)&amp;"*",OFFSET(Data,0,0,1),0)+MATCH($C514,OFFSET(Data,2,0,1),0)-2,FALSE())),ISTEXT(VLOOKUP(DATEVALUE(LEFT($B514,4)&amp;"-"&amp;MID($B514,5,2)&amp;"-"&amp;RIGHT($B514,2)),Data,MATCH(LEFT(VLOOKUP(MID(O$1,2,LEN(O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O$1,2,LEN(O$1)-1),Parameters,2,FALSE()),4)&amp;"*",OFFSET(Catalogus,0,0,1),0)+MATCH($C514,OFFSET(Data,2,0,1),0)-2,FALSE())))</f>
        <v>0</v>
      </c>
      <c r="P514" s="18">
        <f t="shared" ref="P514:P577" ca="1" si="181">IF(OR(ISBLANK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ISTEXT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EXACT($C514,"24.00")),"—",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/10)</f>
        <v>23.4</v>
      </c>
      <c r="Q514" s="17">
        <f t="shared" ref="Q514:Q577" ca="1" si="182">IF(OR(ISBLANK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ISTEXT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Q$1,2,LEN(Q$1)-1),Parameters,2,FALSE()),FIND(LOWER(MID(Q$1,2,1)),VLOOKUP(MID(Q$1,2,LEN(Q$1)-1),Parameters,2,FALSE()),5),4)&amp;"*",OFFSET(Catalogus,0,0,1),0)+2*MATCH($C514,OFFSET(Catalogus,2,0,1),0)+MATCH(LEFT(VLOOKUP(MID(Q$1,2,LEN(Q$1)-1),Parameters,2,FALSE()),3)&amp;"*",OFFSET(Catalogus,2,4,1),0)-5,FALSE())))</f>
        <v>0</v>
      </c>
      <c r="R514" s="10">
        <f t="shared" ref="R514:R577" ca="1" si="183">IF(OR(ISBLANK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),ISNA(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1,1,,1),0)),EXACT($C514,"24.00")),"—",INDEX(Windrichting,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0,1,,1),0),1))</f>
        <v>65</v>
      </c>
      <c r="S514" s="17">
        <f t="shared" ref="S514:S577" ca="1" si="184">IF(OR(ISBLANK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),ISNA(MATCH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,OFFSET(Windrichting,1,1,,1),0)),EXACT($C514,"24.00")),Lacking,IF(ISNA(MATCH(DATEVALUE(LEFT($B514,4)&amp;"-"&amp;MID($B514,5,2)&amp;"-"&amp;RIGHT($B514,2)),OFFSET(Catalogus,0,0,,1),0)),Ok,VLOOKUP(DATEVALUE(LEFT($B514,4)&amp;"-"&amp;MID($B514,5,2)&amp;"-"&amp;RIGHT($B514,2)),Catalogus,MATCH(LEFT(VLOOKUP(MID(S$1,2,LEN(S$1)-1),Parameters,2,FALSE()),4)&amp;"*",OFFSET(Catalogus,0,0,1),0)+2*MATCH($C514,OFFSET(Catalogus,2,0,1),0)+MATCH(MID(VLOOKUP(MID(S$1,2,LEN(S$1)-1),Parameters,2,FALSE()),5,LEN(VLOOKUP(MID(S$1,2,LEN(S$1)-1),Parameters,2,FALSE()))-4)&amp;"*",OFFSET(Catalogus,2,19,1),0)-5,FALSE())))</f>
        <v>0</v>
      </c>
      <c r="T514" s="70">
        <f t="shared" ref="T514:T577" ca="1" si="185">IF(OR(ISBLANK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ISTEXT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EXACT($C514,"24.00")),"—",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/10)</f>
        <v>0.5</v>
      </c>
      <c r="U514" s="17">
        <f t="shared" ref="U514:U577" ca="1" si="186">IF(OR(ISBLANK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ISTEXT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U$1,2,LEN(U$1)-1),Parameters,2,FALSE()),4)&amp;"*",OFFSET(Catalogus,0,0,1),0)+2*MATCH($C514,OFFSET(Catalogus,2,0,1),0)+MATCH(MID(VLOOKUP(MID(U$1,2,LEN(U$1)-1),Parameters,2,FALSE()),5,LEN(VLOOKUP(MID(U$1,2,LEN(U$1)-1),Parameters,2,FALSE()))-4)&amp;"*",OFFSET(Catalogus,2,19,1),0)-5,FALSE())))</f>
        <v>0</v>
      </c>
      <c r="V514" s="71">
        <f t="shared" ref="V514:V577" ca="1" si="187">IF(OR(ISBLANK(VLOOKUP(DATEVALUE(LEFT($B514,4)&amp;"-"&amp;MID($B514,5,2)&amp;"-"&amp;RIGHT($B514,2)),Data,MATCH(LEFT(VLOOKUP(V$1,Parameters,2,FALSE()),4)&amp;"*",OFFSET(Data,0,0,1),0)+MATCH($C514,OFFSET(Data,2,0,1),0)-2,FALSE())),ISTEXT(VLOOKUP(DATEVALUE(LEFT($B514,4)&amp;"-"&amp;MID($B514,5,2)&amp;"-"&amp;RIGHT($B514,2)),Data,MATCH(LEFT(VLOOKUP(V$1,Parameters,2,FALSE()),4)&amp;"*",OFFSET(Data,0,0,1),0)+MATCH($C514,OFFSET(Data,2,0,1),0)-2,FALSE())),EXACT($C514,"24.00")),"—",VLOOKUP(DATEVALUE(LEFT($B514,4)&amp;"-"&amp;MID($B514,5,2)&amp;"-"&amp;RIGHT($B514,2)),Data,MATCH(LEFT(VLOOKUP(V$1,Parameters,2,FALSE()),4)&amp;"*",OFFSET(Data,0,0,1),0)+MATCH($C514,OFFSET(Data,2,0,1),0)-2,FALSE()))</f>
        <v>3</v>
      </c>
      <c r="W514" s="17">
        <f t="shared" ref="W514:W577" ca="1" si="188">IF(OR(ISBLANK(VLOOKUP(DATEVALUE(LEFT($B514,4)&amp;"-"&amp;MID($B514,5,2)&amp;"-"&amp;RIGHT($B514,2)),Data,MATCH(LEFT(VLOOKUP(MID(W$1,2,LEN(W$1)-1),Parameters,2,FALSE()),4)&amp;"*",OFFSET(Data,0,0,1),0)+MATCH($C514,OFFSET(Data,2,0,1),0)-2,FALSE())),ISTEXT(VLOOKUP(DATEVALUE(LEFT($B514,4)&amp;"-"&amp;MID($B514,5,2)&amp;"-"&amp;RIGHT($B514,2)),Data,MATCH(LEFT(VLOOKUP(MID(W$1,2,LEN(W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W$1,2,LEN(W$1)-1),Parameters,2,FALSE()),4)&amp;"*",OFFSET(Catalogus,0,0,1),0)+MATCH($C514,OFFSET(Data,2,0,1),0)-2,FALSE())))</f>
        <v>0</v>
      </c>
    </row>
    <row r="515" spans="1:23" x14ac:dyDescent="0.25">
      <c r="A515" s="4">
        <f t="shared" si="168"/>
        <v>32</v>
      </c>
      <c r="B515" t="str">
        <f ca="1">TEXT(DATE(YEAR(Invoer!$A$6),1,1)+INT((ROWS(B$2:B515)-1)/4),"jjjjmmdd")</f>
        <v>19400508</v>
      </c>
      <c r="C515" s="64" t="str">
        <f>IF(MOD(ROWS(C$2:C515)-1,4)=3,"24.00",INDEX(Data,3,2+MOD(ROWS(C$2:C515)-1,4)))</f>
        <v>12.00</v>
      </c>
      <c r="D515" s="18">
        <f t="shared" ca="1" si="169"/>
        <v>757.7</v>
      </c>
      <c r="E515" s="17">
        <f t="shared" ca="1" si="170"/>
        <v>0</v>
      </c>
      <c r="F515" s="18">
        <f t="shared" ca="1" si="171"/>
        <v>26.7</v>
      </c>
      <c r="G515" s="17">
        <f t="shared" ca="1" si="172"/>
        <v>0</v>
      </c>
      <c r="H515" s="18" t="str">
        <f t="shared" ca="1" si="173"/>
        <v>—</v>
      </c>
      <c r="I515" s="17">
        <f t="shared" ca="1" si="174"/>
        <v>7</v>
      </c>
      <c r="J515" s="18" t="str">
        <f t="shared" ca="1" si="175"/>
        <v>—</v>
      </c>
      <c r="K515" s="17">
        <f t="shared" ca="1" si="176"/>
        <v>7</v>
      </c>
      <c r="L515" s="10">
        <f t="shared" ca="1" si="177"/>
        <v>79</v>
      </c>
      <c r="M515" s="17">
        <f t="shared" ca="1" si="178"/>
        <v>0</v>
      </c>
      <c r="N515" s="18">
        <f t="shared" ca="1" si="179"/>
        <v>20.7</v>
      </c>
      <c r="O515" s="17">
        <f t="shared" ca="1" si="180"/>
        <v>0</v>
      </c>
      <c r="P515" s="18">
        <f t="shared" ca="1" si="181"/>
        <v>23.8</v>
      </c>
      <c r="Q515" s="17">
        <f t="shared" ca="1" si="182"/>
        <v>0</v>
      </c>
      <c r="R515" s="10">
        <f t="shared" ca="1" si="183"/>
        <v>65</v>
      </c>
      <c r="S515" s="17">
        <f t="shared" ca="1" si="184"/>
        <v>0</v>
      </c>
      <c r="T515" s="70">
        <f t="shared" ca="1" si="185"/>
        <v>0.6</v>
      </c>
      <c r="U515" s="17">
        <f t="shared" ca="1" si="186"/>
        <v>0</v>
      </c>
      <c r="V515" s="71">
        <f t="shared" ca="1" si="187"/>
        <v>4</v>
      </c>
      <c r="W515" s="17">
        <f t="shared" ca="1" si="188"/>
        <v>0</v>
      </c>
    </row>
    <row r="516" spans="1:23" x14ac:dyDescent="0.25">
      <c r="A516" s="4">
        <f t="shared" si="168"/>
        <v>32</v>
      </c>
      <c r="B516" t="str">
        <f ca="1">TEXT(DATE(YEAR(Invoer!$A$6),1,1)+INT((ROWS(B$2:B516)-1)/4),"jjjjmmdd")</f>
        <v>19400508</v>
      </c>
      <c r="C516" s="64" t="str">
        <f>IF(MOD(ROWS(C$2:C516)-1,4)=3,"24.00",INDEX(Data,3,2+MOD(ROWS(C$2:C516)-1,4)))</f>
        <v>17.00</v>
      </c>
      <c r="D516" s="18">
        <f t="shared" ca="1" si="169"/>
        <v>756.7</v>
      </c>
      <c r="E516" s="17">
        <f t="shared" ca="1" si="170"/>
        <v>0</v>
      </c>
      <c r="F516" s="18">
        <f t="shared" ca="1" si="171"/>
        <v>26.1</v>
      </c>
      <c r="G516" s="17">
        <f t="shared" ca="1" si="172"/>
        <v>0</v>
      </c>
      <c r="H516" s="18" t="str">
        <f t="shared" ca="1" si="173"/>
        <v>—</v>
      </c>
      <c r="I516" s="17">
        <f t="shared" ca="1" si="174"/>
        <v>7</v>
      </c>
      <c r="J516" s="18" t="str">
        <f t="shared" ca="1" si="175"/>
        <v>—</v>
      </c>
      <c r="K516" s="17">
        <f t="shared" ca="1" si="176"/>
        <v>7</v>
      </c>
      <c r="L516" s="10">
        <f t="shared" ca="1" si="177"/>
        <v>78</v>
      </c>
      <c r="M516" s="17">
        <f t="shared" ca="1" si="178"/>
        <v>0</v>
      </c>
      <c r="N516" s="18">
        <f t="shared" ca="1" si="179"/>
        <v>19.899999999999999</v>
      </c>
      <c r="O516" s="17">
        <f t="shared" ca="1" si="180"/>
        <v>0</v>
      </c>
      <c r="P516" s="18">
        <f t="shared" ca="1" si="181"/>
        <v>23.2</v>
      </c>
      <c r="Q516" s="17">
        <f t="shared" ca="1" si="182"/>
        <v>0</v>
      </c>
      <c r="R516" s="10">
        <f t="shared" ca="1" si="183"/>
        <v>45</v>
      </c>
      <c r="S516" s="17">
        <f t="shared" ca="1" si="184"/>
        <v>0</v>
      </c>
      <c r="T516" s="70">
        <f t="shared" ca="1" si="185"/>
        <v>0.6</v>
      </c>
      <c r="U516" s="17">
        <f t="shared" ca="1" si="186"/>
        <v>0</v>
      </c>
      <c r="V516" s="71">
        <f t="shared" ca="1" si="187"/>
        <v>3</v>
      </c>
      <c r="W516" s="17">
        <f t="shared" ca="1" si="188"/>
        <v>0</v>
      </c>
    </row>
    <row r="517" spans="1:23" x14ac:dyDescent="0.25">
      <c r="A517" s="4">
        <f t="shared" si="168"/>
        <v>32</v>
      </c>
      <c r="B517" t="str">
        <f ca="1">TEXT(DATE(YEAR(Invoer!$A$6),1,1)+INT((ROWS(B$2:B517)-1)/4),"jjjjmmdd")</f>
        <v>19400508</v>
      </c>
      <c r="C517" s="64" t="str">
        <f>IF(MOD(ROWS(C$2:C517)-1,4)=3,"24.00",INDEX(Data,3,2+MOD(ROWS(C$2:C517)-1,4)))</f>
        <v>24.00</v>
      </c>
      <c r="D517" s="18" t="str">
        <f t="shared" ca="1" si="169"/>
        <v>—</v>
      </c>
      <c r="E517" s="17">
        <f t="shared" ca="1" si="170"/>
        <v>7</v>
      </c>
      <c r="F517" s="18" t="str">
        <f t="shared" ca="1" si="171"/>
        <v>—</v>
      </c>
      <c r="G517" s="17">
        <f t="shared" ca="1" si="172"/>
        <v>7</v>
      </c>
      <c r="H517" s="18">
        <f t="shared" ca="1" si="173"/>
        <v>27.5</v>
      </c>
      <c r="I517" s="17">
        <f t="shared" ca="1" si="174"/>
        <v>0</v>
      </c>
      <c r="J517" s="18">
        <f t="shared" ca="1" si="175"/>
        <v>30.5</v>
      </c>
      <c r="K517" s="17">
        <f t="shared" ca="1" si="176"/>
        <v>0</v>
      </c>
      <c r="L517" s="10" t="str">
        <f t="shared" ca="1" si="177"/>
        <v>—</v>
      </c>
      <c r="M517" s="17">
        <f t="shared" ca="1" si="178"/>
        <v>7</v>
      </c>
      <c r="N517" s="18" t="str">
        <f t="shared" ca="1" si="179"/>
        <v>—</v>
      </c>
      <c r="O517" s="17">
        <f t="shared" ca="1" si="180"/>
        <v>7</v>
      </c>
      <c r="P517" s="18" t="str">
        <f t="shared" ca="1" si="181"/>
        <v>—</v>
      </c>
      <c r="Q517" s="17">
        <f t="shared" ca="1" si="182"/>
        <v>7</v>
      </c>
      <c r="R517" s="10" t="str">
        <f t="shared" ca="1" si="183"/>
        <v>—</v>
      </c>
      <c r="S517" s="17">
        <f t="shared" ca="1" si="184"/>
        <v>7</v>
      </c>
      <c r="T517" s="70" t="str">
        <f t="shared" ca="1" si="185"/>
        <v>—</v>
      </c>
      <c r="U517" s="17">
        <f t="shared" ca="1" si="186"/>
        <v>7</v>
      </c>
      <c r="V517" s="71" t="str">
        <f t="shared" ca="1" si="187"/>
        <v>—</v>
      </c>
      <c r="W517" s="17">
        <f t="shared" ca="1" si="188"/>
        <v>7</v>
      </c>
    </row>
    <row r="518" spans="1:23" x14ac:dyDescent="0.25">
      <c r="A518" s="4">
        <f t="shared" si="168"/>
        <v>32</v>
      </c>
      <c r="B518" t="str">
        <f ca="1">TEXT(DATE(YEAR(Invoer!$A$6),1,1)+INT((ROWS(B$2:B518)-1)/4),"jjjjmmdd")</f>
        <v>19400509</v>
      </c>
      <c r="C518" s="64" t="str">
        <f>IF(MOD(ROWS(C$2:C518)-1,4)=3,"24.00",INDEX(Data,3,2+MOD(ROWS(C$2:C518)-1,4)))</f>
        <v>07.00</v>
      </c>
      <c r="D518" s="18">
        <f t="shared" ca="1" si="169"/>
        <v>758.5</v>
      </c>
      <c r="E518" s="17">
        <f t="shared" ca="1" si="170"/>
        <v>0</v>
      </c>
      <c r="F518" s="18">
        <f t="shared" ca="1" si="171"/>
        <v>27.3</v>
      </c>
      <c r="G518" s="17">
        <f t="shared" ca="1" si="172"/>
        <v>0</v>
      </c>
      <c r="H518" s="18" t="str">
        <f t="shared" ca="1" si="173"/>
        <v>—</v>
      </c>
      <c r="I518" s="17">
        <f t="shared" ca="1" si="174"/>
        <v>7</v>
      </c>
      <c r="J518" s="18" t="str">
        <f t="shared" ca="1" si="175"/>
        <v>—</v>
      </c>
      <c r="K518" s="17">
        <f t="shared" ca="1" si="176"/>
        <v>7</v>
      </c>
      <c r="L518" s="10">
        <f t="shared" ca="1" si="177"/>
        <v>73</v>
      </c>
      <c r="M518" s="17">
        <f t="shared" ca="1" si="178"/>
        <v>0</v>
      </c>
      <c r="N518" s="18">
        <f t="shared" ca="1" si="179"/>
        <v>20</v>
      </c>
      <c r="O518" s="17">
        <f t="shared" ca="1" si="180"/>
        <v>0</v>
      </c>
      <c r="P518" s="18">
        <f t="shared" ca="1" si="181"/>
        <v>23.6</v>
      </c>
      <c r="Q518" s="17">
        <f t="shared" ca="1" si="182"/>
        <v>0</v>
      </c>
      <c r="R518" s="10">
        <f t="shared" ca="1" si="183"/>
        <v>65</v>
      </c>
      <c r="S518" s="17">
        <f t="shared" ca="1" si="184"/>
        <v>0</v>
      </c>
      <c r="T518" s="70">
        <f t="shared" ca="1" si="185"/>
        <v>0.5</v>
      </c>
      <c r="U518" s="17">
        <f t="shared" ca="1" si="186"/>
        <v>0</v>
      </c>
      <c r="V518" s="71">
        <f t="shared" ca="1" si="187"/>
        <v>3</v>
      </c>
      <c r="W518" s="17">
        <f t="shared" ca="1" si="188"/>
        <v>0</v>
      </c>
    </row>
    <row r="519" spans="1:23" x14ac:dyDescent="0.25">
      <c r="A519" s="4">
        <f t="shared" si="168"/>
        <v>32</v>
      </c>
      <c r="B519" t="str">
        <f ca="1">TEXT(DATE(YEAR(Invoer!$A$6),1,1)+INT((ROWS(B$2:B519)-1)/4),"jjjjmmdd")</f>
        <v>19400509</v>
      </c>
      <c r="C519" s="64" t="str">
        <f>IF(MOD(ROWS(C$2:C519)-1,4)=3,"24.00",INDEX(Data,3,2+MOD(ROWS(C$2:C519)-1,4)))</f>
        <v>12.00</v>
      </c>
      <c r="D519" s="18">
        <f t="shared" ca="1" si="169"/>
        <v>759</v>
      </c>
      <c r="E519" s="17">
        <f t="shared" ca="1" si="170"/>
        <v>0</v>
      </c>
      <c r="F519" s="18">
        <f t="shared" ca="1" si="171"/>
        <v>26.5</v>
      </c>
      <c r="G519" s="17">
        <f t="shared" ca="1" si="172"/>
        <v>0</v>
      </c>
      <c r="H519" s="18" t="str">
        <f t="shared" ca="1" si="173"/>
        <v>—</v>
      </c>
      <c r="I519" s="17">
        <f t="shared" ca="1" si="174"/>
        <v>7</v>
      </c>
      <c r="J519" s="18" t="str">
        <f t="shared" ca="1" si="175"/>
        <v>—</v>
      </c>
      <c r="K519" s="17">
        <f t="shared" ca="1" si="176"/>
        <v>7</v>
      </c>
      <c r="L519" s="10">
        <f t="shared" ca="1" si="177"/>
        <v>80</v>
      </c>
      <c r="M519" s="17">
        <f t="shared" ca="1" si="178"/>
        <v>0</v>
      </c>
      <c r="N519" s="18">
        <f t="shared" ca="1" si="179"/>
        <v>20.8</v>
      </c>
      <c r="O519" s="17">
        <f t="shared" ca="1" si="180"/>
        <v>0</v>
      </c>
      <c r="P519" s="18">
        <f t="shared" ca="1" si="181"/>
        <v>23.8</v>
      </c>
      <c r="Q519" s="17">
        <f t="shared" ca="1" si="182"/>
        <v>0</v>
      </c>
      <c r="R519" s="10">
        <f t="shared" ca="1" si="183"/>
        <v>65</v>
      </c>
      <c r="S519" s="17">
        <f t="shared" ca="1" si="184"/>
        <v>0</v>
      </c>
      <c r="T519" s="70">
        <f t="shared" ca="1" si="185"/>
        <v>0.6</v>
      </c>
      <c r="U519" s="17">
        <f t="shared" ca="1" si="186"/>
        <v>0</v>
      </c>
      <c r="V519" s="71">
        <f t="shared" ca="1" si="187"/>
        <v>3</v>
      </c>
      <c r="W519" s="17">
        <f t="shared" ca="1" si="188"/>
        <v>0</v>
      </c>
    </row>
    <row r="520" spans="1:23" x14ac:dyDescent="0.25">
      <c r="A520" s="4">
        <f t="shared" si="168"/>
        <v>32</v>
      </c>
      <c r="B520" t="str">
        <f ca="1">TEXT(DATE(YEAR(Invoer!$A$6),1,1)+INT((ROWS(B$2:B520)-1)/4),"jjjjmmdd")</f>
        <v>19400509</v>
      </c>
      <c r="C520" s="64" t="str">
        <f>IF(MOD(ROWS(C$2:C520)-1,4)=3,"24.00",INDEX(Data,3,2+MOD(ROWS(C$2:C520)-1,4)))</f>
        <v>17.00</v>
      </c>
      <c r="D520" s="18">
        <f t="shared" ca="1" si="169"/>
        <v>759</v>
      </c>
      <c r="E520" s="17">
        <f t="shared" ca="1" si="170"/>
        <v>0</v>
      </c>
      <c r="F520" s="18">
        <f t="shared" ca="1" si="171"/>
        <v>25.9</v>
      </c>
      <c r="G520" s="17">
        <f t="shared" ca="1" si="172"/>
        <v>0</v>
      </c>
      <c r="H520" s="18" t="str">
        <f t="shared" ca="1" si="173"/>
        <v>—</v>
      </c>
      <c r="I520" s="17">
        <f t="shared" ca="1" si="174"/>
        <v>7</v>
      </c>
      <c r="J520" s="18" t="str">
        <f t="shared" ca="1" si="175"/>
        <v>—</v>
      </c>
      <c r="K520" s="17">
        <f t="shared" ca="1" si="176"/>
        <v>7</v>
      </c>
      <c r="L520" s="10">
        <f t="shared" ca="1" si="177"/>
        <v>80</v>
      </c>
      <c r="M520" s="17">
        <f t="shared" ca="1" si="178"/>
        <v>0</v>
      </c>
      <c r="N520" s="18">
        <f t="shared" ca="1" si="179"/>
        <v>20</v>
      </c>
      <c r="O520" s="17">
        <f t="shared" ca="1" si="180"/>
        <v>0</v>
      </c>
      <c r="P520" s="18">
        <f t="shared" ca="1" si="181"/>
        <v>23.2</v>
      </c>
      <c r="Q520" s="17">
        <f t="shared" ca="1" si="182"/>
        <v>0</v>
      </c>
      <c r="R520" s="10">
        <f t="shared" ca="1" si="183"/>
        <v>45</v>
      </c>
      <c r="S520" s="17">
        <f t="shared" ca="1" si="184"/>
        <v>0</v>
      </c>
      <c r="T520" s="70">
        <f t="shared" ca="1" si="185"/>
        <v>0.6</v>
      </c>
      <c r="U520" s="17">
        <f t="shared" ca="1" si="186"/>
        <v>0</v>
      </c>
      <c r="V520" s="71">
        <f t="shared" ca="1" si="187"/>
        <v>3</v>
      </c>
      <c r="W520" s="17">
        <f t="shared" ca="1" si="188"/>
        <v>0</v>
      </c>
    </row>
    <row r="521" spans="1:23" x14ac:dyDescent="0.25">
      <c r="A521" s="4">
        <f t="shared" si="168"/>
        <v>32</v>
      </c>
      <c r="B521" t="str">
        <f ca="1">TEXT(DATE(YEAR(Invoer!$A$6),1,1)+INT((ROWS(B$2:B521)-1)/4),"jjjjmmdd")</f>
        <v>19400509</v>
      </c>
      <c r="C521" s="64" t="str">
        <f>IF(MOD(ROWS(C$2:C521)-1,4)=3,"24.00",INDEX(Data,3,2+MOD(ROWS(C$2:C521)-1,4)))</f>
        <v>24.00</v>
      </c>
      <c r="D521" s="18" t="str">
        <f t="shared" ca="1" si="169"/>
        <v>—</v>
      </c>
      <c r="E521" s="17">
        <f t="shared" ca="1" si="170"/>
        <v>7</v>
      </c>
      <c r="F521" s="18" t="str">
        <f t="shared" ca="1" si="171"/>
        <v>—</v>
      </c>
      <c r="G521" s="17">
        <f t="shared" ca="1" si="172"/>
        <v>7</v>
      </c>
      <c r="H521" s="18">
        <f t="shared" ca="1" si="173"/>
        <v>28</v>
      </c>
      <c r="I521" s="17">
        <f t="shared" ca="1" si="174"/>
        <v>0</v>
      </c>
      <c r="J521" s="18">
        <f t="shared" ca="1" si="175"/>
        <v>29.5</v>
      </c>
      <c r="K521" s="17">
        <f t="shared" ca="1" si="176"/>
        <v>0</v>
      </c>
      <c r="L521" s="10" t="str">
        <f t="shared" ca="1" si="177"/>
        <v>—</v>
      </c>
      <c r="M521" s="17">
        <f t="shared" ca="1" si="178"/>
        <v>7</v>
      </c>
      <c r="N521" s="18" t="str">
        <f t="shared" ca="1" si="179"/>
        <v>—</v>
      </c>
      <c r="O521" s="17">
        <f t="shared" ca="1" si="180"/>
        <v>7</v>
      </c>
      <c r="P521" s="18" t="str">
        <f t="shared" ca="1" si="181"/>
        <v>—</v>
      </c>
      <c r="Q521" s="17">
        <f t="shared" ca="1" si="182"/>
        <v>7</v>
      </c>
      <c r="R521" s="10" t="str">
        <f t="shared" ca="1" si="183"/>
        <v>—</v>
      </c>
      <c r="S521" s="17">
        <f t="shared" ca="1" si="184"/>
        <v>7</v>
      </c>
      <c r="T521" s="70" t="str">
        <f t="shared" ca="1" si="185"/>
        <v>—</v>
      </c>
      <c r="U521" s="17">
        <f t="shared" ca="1" si="186"/>
        <v>7</v>
      </c>
      <c r="V521" s="71" t="str">
        <f t="shared" ca="1" si="187"/>
        <v>—</v>
      </c>
      <c r="W521" s="17">
        <f t="shared" ca="1" si="188"/>
        <v>7</v>
      </c>
    </row>
    <row r="522" spans="1:23" x14ac:dyDescent="0.25">
      <c r="A522" s="4">
        <f t="shared" si="168"/>
        <v>32</v>
      </c>
      <c r="B522" t="str">
        <f ca="1">TEXT(DATE(YEAR(Invoer!$A$6),1,1)+INT((ROWS(B$2:B522)-1)/4),"jjjjmmdd")</f>
        <v>19400510</v>
      </c>
      <c r="C522" s="64" t="str">
        <f>IF(MOD(ROWS(C$2:C522)-1,4)=3,"24.00",INDEX(Data,3,2+MOD(ROWS(C$2:C522)-1,4)))</f>
        <v>07.00</v>
      </c>
      <c r="D522" s="18">
        <f t="shared" ca="1" si="169"/>
        <v>757.2</v>
      </c>
      <c r="E522" s="17">
        <f t="shared" ca="1" si="170"/>
        <v>0</v>
      </c>
      <c r="F522" s="18">
        <f t="shared" ca="1" si="171"/>
        <v>25.7</v>
      </c>
      <c r="G522" s="17">
        <f t="shared" ca="1" si="172"/>
        <v>0</v>
      </c>
      <c r="H522" s="18" t="str">
        <f t="shared" ca="1" si="173"/>
        <v>—</v>
      </c>
      <c r="I522" s="17">
        <f t="shared" ca="1" si="174"/>
        <v>7</v>
      </c>
      <c r="J522" s="18" t="str">
        <f t="shared" ca="1" si="175"/>
        <v>—</v>
      </c>
      <c r="K522" s="17">
        <f t="shared" ca="1" si="176"/>
        <v>7</v>
      </c>
      <c r="L522" s="10">
        <f t="shared" ca="1" si="177"/>
        <v>82</v>
      </c>
      <c r="M522" s="17">
        <f t="shared" ca="1" si="178"/>
        <v>0</v>
      </c>
      <c r="N522" s="18">
        <f t="shared" ca="1" si="179"/>
        <v>20.399999999999999</v>
      </c>
      <c r="O522" s="17">
        <f t="shared" ca="1" si="180"/>
        <v>0</v>
      </c>
      <c r="P522" s="18">
        <f t="shared" ca="1" si="181"/>
        <v>23.4</v>
      </c>
      <c r="Q522" s="17">
        <f t="shared" ca="1" si="182"/>
        <v>0</v>
      </c>
      <c r="R522" s="10">
        <f t="shared" ca="1" si="183"/>
        <v>65</v>
      </c>
      <c r="S522" s="17">
        <f t="shared" ca="1" si="184"/>
        <v>0</v>
      </c>
      <c r="T522" s="70">
        <f t="shared" ca="1" si="185"/>
        <v>0.5</v>
      </c>
      <c r="U522" s="17">
        <f t="shared" ca="1" si="186"/>
        <v>0</v>
      </c>
      <c r="V522" s="71">
        <f t="shared" ca="1" si="187"/>
        <v>3</v>
      </c>
      <c r="W522" s="17">
        <f t="shared" ca="1" si="188"/>
        <v>0</v>
      </c>
    </row>
    <row r="523" spans="1:23" x14ac:dyDescent="0.25">
      <c r="A523" s="4">
        <f t="shared" si="168"/>
        <v>32</v>
      </c>
      <c r="B523" t="str">
        <f ca="1">TEXT(DATE(YEAR(Invoer!$A$6),1,1)+INT((ROWS(B$2:B523)-1)/4),"jjjjmmdd")</f>
        <v>19400510</v>
      </c>
      <c r="C523" s="64" t="str">
        <f>IF(MOD(ROWS(C$2:C523)-1,4)=3,"24.00",INDEX(Data,3,2+MOD(ROWS(C$2:C523)-1,4)))</f>
        <v>12.00</v>
      </c>
      <c r="D523" s="18">
        <f t="shared" ca="1" si="169"/>
        <v>757.7</v>
      </c>
      <c r="E523" s="17">
        <f t="shared" ca="1" si="170"/>
        <v>0</v>
      </c>
      <c r="F523" s="18">
        <f t="shared" ca="1" si="171"/>
        <v>26.5</v>
      </c>
      <c r="G523" s="17">
        <f t="shared" ca="1" si="172"/>
        <v>0</v>
      </c>
      <c r="H523" s="18" t="str">
        <f t="shared" ca="1" si="173"/>
        <v>—</v>
      </c>
      <c r="I523" s="17">
        <f t="shared" ca="1" si="174"/>
        <v>7</v>
      </c>
      <c r="J523" s="18" t="str">
        <f t="shared" ca="1" si="175"/>
        <v>—</v>
      </c>
      <c r="K523" s="17">
        <f t="shared" ca="1" si="176"/>
        <v>7</v>
      </c>
      <c r="L523" s="10">
        <f t="shared" ca="1" si="177"/>
        <v>80</v>
      </c>
      <c r="M523" s="17">
        <f t="shared" ca="1" si="178"/>
        <v>0</v>
      </c>
      <c r="N523" s="18">
        <f t="shared" ca="1" si="179"/>
        <v>20.8</v>
      </c>
      <c r="O523" s="17">
        <f t="shared" ca="1" si="180"/>
        <v>0</v>
      </c>
      <c r="P523" s="18">
        <f t="shared" ca="1" si="181"/>
        <v>23.8</v>
      </c>
      <c r="Q523" s="17">
        <f t="shared" ca="1" si="182"/>
        <v>0</v>
      </c>
      <c r="R523" s="10">
        <f t="shared" ca="1" si="183"/>
        <v>65</v>
      </c>
      <c r="S523" s="17">
        <f t="shared" ca="1" si="184"/>
        <v>0</v>
      </c>
      <c r="T523" s="70">
        <f t="shared" ca="1" si="185"/>
        <v>0.6</v>
      </c>
      <c r="U523" s="17">
        <f t="shared" ca="1" si="186"/>
        <v>0</v>
      </c>
      <c r="V523" s="71">
        <f t="shared" ca="1" si="187"/>
        <v>2</v>
      </c>
      <c r="W523" s="17">
        <f t="shared" ca="1" si="188"/>
        <v>0</v>
      </c>
    </row>
    <row r="524" spans="1:23" x14ac:dyDescent="0.25">
      <c r="A524" s="4">
        <f t="shared" si="168"/>
        <v>32</v>
      </c>
      <c r="B524" t="str">
        <f ca="1">TEXT(DATE(YEAR(Invoer!$A$6),1,1)+INT((ROWS(B$2:B524)-1)/4),"jjjjmmdd")</f>
        <v>19400510</v>
      </c>
      <c r="C524" s="64" t="str">
        <f>IF(MOD(ROWS(C$2:C524)-1,4)=3,"24.00",INDEX(Data,3,2+MOD(ROWS(C$2:C524)-1,4)))</f>
        <v>17.00</v>
      </c>
      <c r="D524" s="18">
        <f t="shared" ca="1" si="169"/>
        <v>756.7</v>
      </c>
      <c r="E524" s="17">
        <f t="shared" ca="1" si="170"/>
        <v>0</v>
      </c>
      <c r="F524" s="18">
        <f t="shared" ca="1" si="171"/>
        <v>26.1</v>
      </c>
      <c r="G524" s="17">
        <f t="shared" ca="1" si="172"/>
        <v>0</v>
      </c>
      <c r="H524" s="18" t="str">
        <f t="shared" ca="1" si="173"/>
        <v>—</v>
      </c>
      <c r="I524" s="17">
        <f t="shared" ca="1" si="174"/>
        <v>7</v>
      </c>
      <c r="J524" s="18" t="str">
        <f t="shared" ca="1" si="175"/>
        <v>—</v>
      </c>
      <c r="K524" s="17">
        <f t="shared" ca="1" si="176"/>
        <v>7</v>
      </c>
      <c r="L524" s="10">
        <f t="shared" ca="1" si="177"/>
        <v>78</v>
      </c>
      <c r="M524" s="17">
        <f t="shared" ca="1" si="178"/>
        <v>0</v>
      </c>
      <c r="N524" s="18">
        <f t="shared" ca="1" si="179"/>
        <v>19.899999999999999</v>
      </c>
      <c r="O524" s="17">
        <f t="shared" ca="1" si="180"/>
        <v>0</v>
      </c>
      <c r="P524" s="18">
        <f t="shared" ca="1" si="181"/>
        <v>23.2</v>
      </c>
      <c r="Q524" s="17">
        <f t="shared" ca="1" si="182"/>
        <v>0</v>
      </c>
      <c r="R524" s="10">
        <f t="shared" ca="1" si="183"/>
        <v>45</v>
      </c>
      <c r="S524" s="17">
        <f t="shared" ca="1" si="184"/>
        <v>0</v>
      </c>
      <c r="T524" s="70">
        <f t="shared" ca="1" si="185"/>
        <v>0.5</v>
      </c>
      <c r="U524" s="17">
        <f t="shared" ca="1" si="186"/>
        <v>0</v>
      </c>
      <c r="V524" s="71">
        <f t="shared" ca="1" si="187"/>
        <v>3</v>
      </c>
      <c r="W524" s="17">
        <f t="shared" ca="1" si="188"/>
        <v>0</v>
      </c>
    </row>
    <row r="525" spans="1:23" x14ac:dyDescent="0.25">
      <c r="A525" s="4">
        <f t="shared" si="168"/>
        <v>32</v>
      </c>
      <c r="B525" t="str">
        <f ca="1">TEXT(DATE(YEAR(Invoer!$A$6),1,1)+INT((ROWS(B$2:B525)-1)/4),"jjjjmmdd")</f>
        <v>19400510</v>
      </c>
      <c r="C525" s="64" t="str">
        <f>IF(MOD(ROWS(C$2:C525)-1,4)=3,"24.00",INDEX(Data,3,2+MOD(ROWS(C$2:C525)-1,4)))</f>
        <v>24.00</v>
      </c>
      <c r="D525" s="18" t="str">
        <f t="shared" ca="1" si="169"/>
        <v>—</v>
      </c>
      <c r="E525" s="17">
        <f t="shared" ca="1" si="170"/>
        <v>7</v>
      </c>
      <c r="F525" s="18" t="str">
        <f t="shared" ca="1" si="171"/>
        <v>—</v>
      </c>
      <c r="G525" s="17">
        <f t="shared" ca="1" si="172"/>
        <v>7</v>
      </c>
      <c r="H525" s="18">
        <f t="shared" ca="1" si="173"/>
        <v>27.5</v>
      </c>
      <c r="I525" s="17">
        <f t="shared" ca="1" si="174"/>
        <v>0</v>
      </c>
      <c r="J525" s="18">
        <f t="shared" ca="1" si="175"/>
        <v>30</v>
      </c>
      <c r="K525" s="17">
        <f t="shared" ca="1" si="176"/>
        <v>0</v>
      </c>
      <c r="L525" s="10" t="str">
        <f t="shared" ca="1" si="177"/>
        <v>—</v>
      </c>
      <c r="M525" s="17">
        <f t="shared" ca="1" si="178"/>
        <v>7</v>
      </c>
      <c r="N525" s="18" t="str">
        <f t="shared" ca="1" si="179"/>
        <v>—</v>
      </c>
      <c r="O525" s="17">
        <f t="shared" ca="1" si="180"/>
        <v>7</v>
      </c>
      <c r="P525" s="18" t="str">
        <f t="shared" ca="1" si="181"/>
        <v>—</v>
      </c>
      <c r="Q525" s="17">
        <f t="shared" ca="1" si="182"/>
        <v>7</v>
      </c>
      <c r="R525" s="10" t="str">
        <f t="shared" ca="1" si="183"/>
        <v>—</v>
      </c>
      <c r="S525" s="17">
        <f t="shared" ca="1" si="184"/>
        <v>7</v>
      </c>
      <c r="T525" s="70" t="str">
        <f t="shared" ca="1" si="185"/>
        <v>—</v>
      </c>
      <c r="U525" s="17">
        <f t="shared" ca="1" si="186"/>
        <v>7</v>
      </c>
      <c r="V525" s="71" t="str">
        <f t="shared" ca="1" si="187"/>
        <v>—</v>
      </c>
      <c r="W525" s="17">
        <f t="shared" ca="1" si="188"/>
        <v>7</v>
      </c>
    </row>
    <row r="526" spans="1:23" x14ac:dyDescent="0.25">
      <c r="A526" s="4">
        <f t="shared" si="168"/>
        <v>32</v>
      </c>
      <c r="B526" t="str">
        <f ca="1">TEXT(DATE(YEAR(Invoer!$A$6),1,1)+INT((ROWS(B$2:B526)-1)/4),"jjjjmmdd")</f>
        <v>19400511</v>
      </c>
      <c r="C526" s="64" t="str">
        <f>IF(MOD(ROWS(C$2:C526)-1,4)=3,"24.00",INDEX(Data,3,2+MOD(ROWS(C$2:C526)-1,4)))</f>
        <v>07.00</v>
      </c>
      <c r="D526" s="18">
        <f t="shared" ca="1" si="169"/>
        <v>757.4</v>
      </c>
      <c r="E526" s="17">
        <f t="shared" ca="1" si="170"/>
        <v>0</v>
      </c>
      <c r="F526" s="18">
        <f t="shared" ca="1" si="171"/>
        <v>26.7</v>
      </c>
      <c r="G526" s="17">
        <f t="shared" ca="1" si="172"/>
        <v>0</v>
      </c>
      <c r="H526" s="18" t="str">
        <f t="shared" ca="1" si="173"/>
        <v>—</v>
      </c>
      <c r="I526" s="17">
        <f t="shared" ca="1" si="174"/>
        <v>7</v>
      </c>
      <c r="J526" s="18" t="str">
        <f t="shared" ca="1" si="175"/>
        <v>—</v>
      </c>
      <c r="K526" s="17">
        <f t="shared" ca="1" si="176"/>
        <v>7</v>
      </c>
      <c r="L526" s="10">
        <f t="shared" ca="1" si="177"/>
        <v>81</v>
      </c>
      <c r="M526" s="17">
        <f t="shared" ca="1" si="178"/>
        <v>0</v>
      </c>
      <c r="N526" s="18">
        <f t="shared" ca="1" si="179"/>
        <v>21.4</v>
      </c>
      <c r="O526" s="17">
        <f t="shared" ca="1" si="180"/>
        <v>0</v>
      </c>
      <c r="P526" s="18">
        <f t="shared" ca="1" si="181"/>
        <v>24.2</v>
      </c>
      <c r="Q526" s="17">
        <f t="shared" ca="1" si="182"/>
        <v>0</v>
      </c>
      <c r="R526" s="10">
        <f t="shared" ca="1" si="183"/>
        <v>65</v>
      </c>
      <c r="S526" s="17">
        <f t="shared" ca="1" si="184"/>
        <v>0</v>
      </c>
      <c r="T526" s="70">
        <f t="shared" ca="1" si="185"/>
        <v>0.4</v>
      </c>
      <c r="U526" s="17">
        <f t="shared" ca="1" si="186"/>
        <v>0</v>
      </c>
      <c r="V526" s="71">
        <f t="shared" ca="1" si="187"/>
        <v>2</v>
      </c>
      <c r="W526" s="17">
        <f t="shared" ca="1" si="188"/>
        <v>0</v>
      </c>
    </row>
    <row r="527" spans="1:23" x14ac:dyDescent="0.25">
      <c r="A527" s="4">
        <f t="shared" si="168"/>
        <v>32</v>
      </c>
      <c r="B527" t="str">
        <f ca="1">TEXT(DATE(YEAR(Invoer!$A$6),1,1)+INT((ROWS(B$2:B527)-1)/4),"jjjjmmdd")</f>
        <v>19400511</v>
      </c>
      <c r="C527" s="64" t="str">
        <f>IF(MOD(ROWS(C$2:C527)-1,4)=3,"24.00",INDEX(Data,3,2+MOD(ROWS(C$2:C527)-1,4)))</f>
        <v>12.00</v>
      </c>
      <c r="D527" s="18">
        <f t="shared" ca="1" si="169"/>
        <v>756.7</v>
      </c>
      <c r="E527" s="17">
        <f t="shared" ca="1" si="170"/>
        <v>0</v>
      </c>
      <c r="F527" s="18">
        <f t="shared" ca="1" si="171"/>
        <v>26.9</v>
      </c>
      <c r="G527" s="17">
        <f t="shared" ca="1" si="172"/>
        <v>0</v>
      </c>
      <c r="H527" s="18" t="str">
        <f t="shared" ca="1" si="173"/>
        <v>—</v>
      </c>
      <c r="I527" s="17">
        <f t="shared" ca="1" si="174"/>
        <v>7</v>
      </c>
      <c r="J527" s="18" t="str">
        <f t="shared" ca="1" si="175"/>
        <v>—</v>
      </c>
      <c r="K527" s="17">
        <f t="shared" ca="1" si="176"/>
        <v>7</v>
      </c>
      <c r="L527" s="10">
        <f t="shared" ca="1" si="177"/>
        <v>82</v>
      </c>
      <c r="M527" s="17">
        <f t="shared" ca="1" si="178"/>
        <v>0</v>
      </c>
      <c r="N527" s="18">
        <f t="shared" ca="1" si="179"/>
        <v>21.9</v>
      </c>
      <c r="O527" s="17">
        <f t="shared" ca="1" si="180"/>
        <v>0</v>
      </c>
      <c r="P527" s="18">
        <f t="shared" ca="1" si="181"/>
        <v>24.5</v>
      </c>
      <c r="Q527" s="17">
        <f t="shared" ca="1" si="182"/>
        <v>0</v>
      </c>
      <c r="R527" s="10">
        <f t="shared" ca="1" si="183"/>
        <v>65</v>
      </c>
      <c r="S527" s="17">
        <f t="shared" ca="1" si="184"/>
        <v>0</v>
      </c>
      <c r="T527" s="70">
        <f t="shared" ca="1" si="185"/>
        <v>0.6</v>
      </c>
      <c r="U527" s="17">
        <f t="shared" ca="1" si="186"/>
        <v>0</v>
      </c>
      <c r="V527" s="71">
        <f t="shared" ca="1" si="187"/>
        <v>3</v>
      </c>
      <c r="W527" s="17">
        <f t="shared" ca="1" si="188"/>
        <v>0</v>
      </c>
    </row>
    <row r="528" spans="1:23" x14ac:dyDescent="0.25">
      <c r="A528" s="4">
        <f t="shared" si="168"/>
        <v>32</v>
      </c>
      <c r="B528" t="str">
        <f ca="1">TEXT(DATE(YEAR(Invoer!$A$6),1,1)+INT((ROWS(B$2:B528)-1)/4),"jjjjmmdd")</f>
        <v>19400511</v>
      </c>
      <c r="C528" s="64" t="str">
        <f>IF(MOD(ROWS(C$2:C528)-1,4)=3,"24.00",INDEX(Data,3,2+MOD(ROWS(C$2:C528)-1,4)))</f>
        <v>17.00</v>
      </c>
      <c r="D528" s="18">
        <f t="shared" ca="1" si="169"/>
        <v>756.4</v>
      </c>
      <c r="E528" s="17">
        <f t="shared" ca="1" si="170"/>
        <v>0</v>
      </c>
      <c r="F528" s="18">
        <f t="shared" ca="1" si="171"/>
        <v>26.1</v>
      </c>
      <c r="G528" s="17">
        <f t="shared" ca="1" si="172"/>
        <v>0</v>
      </c>
      <c r="H528" s="18" t="str">
        <f t="shared" ca="1" si="173"/>
        <v>—</v>
      </c>
      <c r="I528" s="17">
        <f t="shared" ca="1" si="174"/>
        <v>7</v>
      </c>
      <c r="J528" s="18" t="str">
        <f t="shared" ca="1" si="175"/>
        <v>—</v>
      </c>
      <c r="K528" s="17">
        <f t="shared" ca="1" si="176"/>
        <v>7</v>
      </c>
      <c r="L528" s="10">
        <f t="shared" ca="1" si="177"/>
        <v>80</v>
      </c>
      <c r="M528" s="17">
        <f t="shared" ca="1" si="178"/>
        <v>0</v>
      </c>
      <c r="N528" s="18">
        <f t="shared" ca="1" si="179"/>
        <v>20.2</v>
      </c>
      <c r="O528" s="17">
        <f t="shared" ca="1" si="180"/>
        <v>0</v>
      </c>
      <c r="P528" s="18">
        <f t="shared" ca="1" si="181"/>
        <v>23.4</v>
      </c>
      <c r="Q528" s="17">
        <f t="shared" ca="1" si="182"/>
        <v>0</v>
      </c>
      <c r="R528" s="10">
        <f t="shared" ca="1" si="183"/>
        <v>45</v>
      </c>
      <c r="S528" s="17">
        <f t="shared" ca="1" si="184"/>
        <v>0</v>
      </c>
      <c r="T528" s="70">
        <f t="shared" ca="1" si="185"/>
        <v>0.5</v>
      </c>
      <c r="U528" s="17">
        <f t="shared" ca="1" si="186"/>
        <v>0</v>
      </c>
      <c r="V528" s="71">
        <f t="shared" ca="1" si="187"/>
        <v>2</v>
      </c>
      <c r="W528" s="17">
        <f t="shared" ca="1" si="188"/>
        <v>0</v>
      </c>
    </row>
    <row r="529" spans="1:23" x14ac:dyDescent="0.25">
      <c r="A529" s="4">
        <f t="shared" si="168"/>
        <v>32</v>
      </c>
      <c r="B529" t="str">
        <f ca="1">TEXT(DATE(YEAR(Invoer!$A$6),1,1)+INT((ROWS(B$2:B529)-1)/4),"jjjjmmdd")</f>
        <v>19400511</v>
      </c>
      <c r="C529" s="64" t="str">
        <f>IF(MOD(ROWS(C$2:C529)-1,4)=3,"24.00",INDEX(Data,3,2+MOD(ROWS(C$2:C529)-1,4)))</f>
        <v>24.00</v>
      </c>
      <c r="D529" s="18" t="str">
        <f t="shared" ca="1" si="169"/>
        <v>—</v>
      </c>
      <c r="E529" s="17">
        <f t="shared" ca="1" si="170"/>
        <v>7</v>
      </c>
      <c r="F529" s="18" t="str">
        <f t="shared" ca="1" si="171"/>
        <v>—</v>
      </c>
      <c r="G529" s="17">
        <f t="shared" ca="1" si="172"/>
        <v>7</v>
      </c>
      <c r="H529" s="18">
        <f t="shared" ca="1" si="173"/>
        <v>28</v>
      </c>
      <c r="I529" s="17">
        <f t="shared" ca="1" si="174"/>
        <v>0</v>
      </c>
      <c r="J529" s="18">
        <f t="shared" ca="1" si="175"/>
        <v>30</v>
      </c>
      <c r="K529" s="17">
        <f t="shared" ca="1" si="176"/>
        <v>0</v>
      </c>
      <c r="L529" s="10" t="str">
        <f t="shared" ca="1" si="177"/>
        <v>—</v>
      </c>
      <c r="M529" s="17">
        <f t="shared" ca="1" si="178"/>
        <v>7</v>
      </c>
      <c r="N529" s="18" t="str">
        <f t="shared" ca="1" si="179"/>
        <v>—</v>
      </c>
      <c r="O529" s="17">
        <f t="shared" ca="1" si="180"/>
        <v>7</v>
      </c>
      <c r="P529" s="18" t="str">
        <f t="shared" ca="1" si="181"/>
        <v>—</v>
      </c>
      <c r="Q529" s="17">
        <f t="shared" ca="1" si="182"/>
        <v>7</v>
      </c>
      <c r="R529" s="10" t="str">
        <f t="shared" ca="1" si="183"/>
        <v>—</v>
      </c>
      <c r="S529" s="17">
        <f t="shared" ca="1" si="184"/>
        <v>7</v>
      </c>
      <c r="T529" s="70" t="str">
        <f t="shared" ca="1" si="185"/>
        <v>—</v>
      </c>
      <c r="U529" s="17">
        <f t="shared" ca="1" si="186"/>
        <v>7</v>
      </c>
      <c r="V529" s="71" t="str">
        <f t="shared" ca="1" si="187"/>
        <v>—</v>
      </c>
      <c r="W529" s="17">
        <f t="shared" ca="1" si="188"/>
        <v>7</v>
      </c>
    </row>
    <row r="530" spans="1:23" x14ac:dyDescent="0.25">
      <c r="A530" s="4">
        <f t="shared" si="168"/>
        <v>32</v>
      </c>
      <c r="B530" t="str">
        <f ca="1">TEXT(DATE(YEAR(Invoer!$A$6),1,1)+INT((ROWS(B$2:B530)-1)/4),"jjjjmmdd")</f>
        <v>19400512</v>
      </c>
      <c r="C530" s="64" t="str">
        <f>IF(MOD(ROWS(C$2:C530)-1,4)=3,"24.00",INDEX(Data,3,2+MOD(ROWS(C$2:C530)-1,4)))</f>
        <v>07.00</v>
      </c>
      <c r="D530" s="18">
        <f t="shared" ca="1" si="169"/>
        <v>758.2</v>
      </c>
      <c r="E530" s="17">
        <f t="shared" ca="1" si="170"/>
        <v>0</v>
      </c>
      <c r="F530" s="18">
        <f t="shared" ca="1" si="171"/>
        <v>26.1</v>
      </c>
      <c r="G530" s="17">
        <f t="shared" ca="1" si="172"/>
        <v>0</v>
      </c>
      <c r="H530" s="18" t="str">
        <f t="shared" ca="1" si="173"/>
        <v>—</v>
      </c>
      <c r="I530" s="17">
        <f t="shared" ca="1" si="174"/>
        <v>7</v>
      </c>
      <c r="J530" s="18" t="str">
        <f t="shared" ca="1" si="175"/>
        <v>—</v>
      </c>
      <c r="K530" s="17">
        <f t="shared" ca="1" si="176"/>
        <v>7</v>
      </c>
      <c r="L530" s="10">
        <f t="shared" ca="1" si="177"/>
        <v>80</v>
      </c>
      <c r="M530" s="17">
        <f t="shared" ca="1" si="178"/>
        <v>0</v>
      </c>
      <c r="N530" s="18">
        <f t="shared" ca="1" si="179"/>
        <v>20.2</v>
      </c>
      <c r="O530" s="17">
        <f t="shared" ca="1" si="180"/>
        <v>0</v>
      </c>
      <c r="P530" s="18">
        <f t="shared" ca="1" si="181"/>
        <v>23.4</v>
      </c>
      <c r="Q530" s="17">
        <f t="shared" ca="1" si="182"/>
        <v>0</v>
      </c>
      <c r="R530" s="10">
        <f t="shared" ca="1" si="183"/>
        <v>90</v>
      </c>
      <c r="S530" s="17">
        <f t="shared" ca="1" si="184"/>
        <v>0</v>
      </c>
      <c r="T530" s="70">
        <f t="shared" ca="1" si="185"/>
        <v>0.4</v>
      </c>
      <c r="U530" s="17">
        <f t="shared" ca="1" si="186"/>
        <v>0</v>
      </c>
      <c r="V530" s="71">
        <f t="shared" ca="1" si="187"/>
        <v>3</v>
      </c>
      <c r="W530" s="17">
        <f t="shared" ca="1" si="188"/>
        <v>0</v>
      </c>
    </row>
    <row r="531" spans="1:23" x14ac:dyDescent="0.25">
      <c r="A531" s="4">
        <f t="shared" si="168"/>
        <v>32</v>
      </c>
      <c r="B531" t="str">
        <f ca="1">TEXT(DATE(YEAR(Invoer!$A$6),1,1)+INT((ROWS(B$2:B531)-1)/4),"jjjjmmdd")</f>
        <v>19400512</v>
      </c>
      <c r="C531" s="64" t="str">
        <f>IF(MOD(ROWS(C$2:C531)-1,4)=3,"24.00",INDEX(Data,3,2+MOD(ROWS(C$2:C531)-1,4)))</f>
        <v>12.00</v>
      </c>
      <c r="D531" s="18">
        <f t="shared" ca="1" si="169"/>
        <v>758.2</v>
      </c>
      <c r="E531" s="17">
        <f t="shared" ca="1" si="170"/>
        <v>0</v>
      </c>
      <c r="F531" s="18">
        <f t="shared" ca="1" si="171"/>
        <v>27.1</v>
      </c>
      <c r="G531" s="17">
        <f t="shared" ca="1" si="172"/>
        <v>0</v>
      </c>
      <c r="H531" s="18" t="str">
        <f t="shared" ca="1" si="173"/>
        <v>—</v>
      </c>
      <c r="I531" s="17">
        <f t="shared" ca="1" si="174"/>
        <v>7</v>
      </c>
      <c r="J531" s="18" t="str">
        <f t="shared" ca="1" si="175"/>
        <v>—</v>
      </c>
      <c r="K531" s="17">
        <f t="shared" ca="1" si="176"/>
        <v>7</v>
      </c>
      <c r="L531" s="10">
        <f t="shared" ca="1" si="177"/>
        <v>76</v>
      </c>
      <c r="M531" s="17">
        <f t="shared" ca="1" si="178"/>
        <v>0</v>
      </c>
      <c r="N531" s="18">
        <f t="shared" ca="1" si="179"/>
        <v>20.5</v>
      </c>
      <c r="O531" s="17">
        <f t="shared" ca="1" si="180"/>
        <v>0</v>
      </c>
      <c r="P531" s="18">
        <f t="shared" ca="1" si="181"/>
        <v>23.8</v>
      </c>
      <c r="Q531" s="17">
        <f t="shared" ca="1" si="182"/>
        <v>0</v>
      </c>
      <c r="R531" s="10">
        <f t="shared" ca="1" si="183"/>
        <v>65</v>
      </c>
      <c r="S531" s="17">
        <f t="shared" ca="1" si="184"/>
        <v>0</v>
      </c>
      <c r="T531" s="70">
        <f t="shared" ca="1" si="185"/>
        <v>0.6</v>
      </c>
      <c r="U531" s="17">
        <f t="shared" ca="1" si="186"/>
        <v>0</v>
      </c>
      <c r="V531" s="71">
        <f t="shared" ca="1" si="187"/>
        <v>2</v>
      </c>
      <c r="W531" s="17">
        <f t="shared" ca="1" si="188"/>
        <v>0</v>
      </c>
    </row>
    <row r="532" spans="1:23" x14ac:dyDescent="0.25">
      <c r="A532" s="4">
        <f t="shared" si="168"/>
        <v>32</v>
      </c>
      <c r="B532" t="str">
        <f ca="1">TEXT(DATE(YEAR(Invoer!$A$6),1,1)+INT((ROWS(B$2:B532)-1)/4),"jjjjmmdd")</f>
        <v>19400512</v>
      </c>
      <c r="C532" s="64" t="str">
        <f>IF(MOD(ROWS(C$2:C532)-1,4)=3,"24.00",INDEX(Data,3,2+MOD(ROWS(C$2:C532)-1,4)))</f>
        <v>17.00</v>
      </c>
      <c r="D532" s="18">
        <f t="shared" ca="1" si="169"/>
        <v>758.2</v>
      </c>
      <c r="E532" s="17">
        <f t="shared" ca="1" si="170"/>
        <v>0</v>
      </c>
      <c r="F532" s="18">
        <f t="shared" ca="1" si="171"/>
        <v>26.1</v>
      </c>
      <c r="G532" s="17">
        <f t="shared" ca="1" si="172"/>
        <v>0</v>
      </c>
      <c r="H532" s="18" t="str">
        <f t="shared" ca="1" si="173"/>
        <v>—</v>
      </c>
      <c r="I532" s="17">
        <f t="shared" ca="1" si="174"/>
        <v>7</v>
      </c>
      <c r="J532" s="18" t="str">
        <f t="shared" ca="1" si="175"/>
        <v>—</v>
      </c>
      <c r="K532" s="17">
        <f t="shared" ca="1" si="176"/>
        <v>7</v>
      </c>
      <c r="L532" s="10">
        <f t="shared" ca="1" si="177"/>
        <v>78</v>
      </c>
      <c r="M532" s="17">
        <f t="shared" ca="1" si="178"/>
        <v>0</v>
      </c>
      <c r="N532" s="18">
        <f t="shared" ca="1" si="179"/>
        <v>19.899999999999999</v>
      </c>
      <c r="O532" s="17">
        <f t="shared" ca="1" si="180"/>
        <v>0</v>
      </c>
      <c r="P532" s="18">
        <f t="shared" ca="1" si="181"/>
        <v>23.2</v>
      </c>
      <c r="Q532" s="17">
        <f t="shared" ca="1" si="182"/>
        <v>0</v>
      </c>
      <c r="R532" s="10">
        <f t="shared" ca="1" si="183"/>
        <v>45</v>
      </c>
      <c r="S532" s="17">
        <f t="shared" ca="1" si="184"/>
        <v>0</v>
      </c>
      <c r="T532" s="70">
        <f t="shared" ca="1" si="185"/>
        <v>0.5</v>
      </c>
      <c r="U532" s="17">
        <f t="shared" ca="1" si="186"/>
        <v>0</v>
      </c>
      <c r="V532" s="71">
        <f t="shared" ca="1" si="187"/>
        <v>3</v>
      </c>
      <c r="W532" s="17">
        <f t="shared" ca="1" si="188"/>
        <v>0</v>
      </c>
    </row>
    <row r="533" spans="1:23" x14ac:dyDescent="0.25">
      <c r="A533" s="4">
        <f t="shared" si="168"/>
        <v>32</v>
      </c>
      <c r="B533" t="str">
        <f ca="1">TEXT(DATE(YEAR(Invoer!$A$6),1,1)+INT((ROWS(B$2:B533)-1)/4),"jjjjmmdd")</f>
        <v>19400512</v>
      </c>
      <c r="C533" s="64" t="str">
        <f>IF(MOD(ROWS(C$2:C533)-1,4)=3,"24.00",INDEX(Data,3,2+MOD(ROWS(C$2:C533)-1,4)))</f>
        <v>24.00</v>
      </c>
      <c r="D533" s="18" t="str">
        <f t="shared" ca="1" si="169"/>
        <v>—</v>
      </c>
      <c r="E533" s="17">
        <f t="shared" ca="1" si="170"/>
        <v>7</v>
      </c>
      <c r="F533" s="18" t="str">
        <f t="shared" ca="1" si="171"/>
        <v>—</v>
      </c>
      <c r="G533" s="17">
        <f t="shared" ca="1" si="172"/>
        <v>7</v>
      </c>
      <c r="H533" s="18">
        <f t="shared" ca="1" si="173"/>
        <v>28.4</v>
      </c>
      <c r="I533" s="17">
        <f t="shared" ca="1" si="174"/>
        <v>0</v>
      </c>
      <c r="J533" s="18">
        <f t="shared" ca="1" si="175"/>
        <v>30</v>
      </c>
      <c r="K533" s="17">
        <f t="shared" ca="1" si="176"/>
        <v>0</v>
      </c>
      <c r="L533" s="10" t="str">
        <f t="shared" ca="1" si="177"/>
        <v>—</v>
      </c>
      <c r="M533" s="17">
        <f t="shared" ca="1" si="178"/>
        <v>7</v>
      </c>
      <c r="N533" s="18" t="str">
        <f t="shared" ca="1" si="179"/>
        <v>—</v>
      </c>
      <c r="O533" s="17">
        <f t="shared" ca="1" si="180"/>
        <v>7</v>
      </c>
      <c r="P533" s="18" t="str">
        <f t="shared" ca="1" si="181"/>
        <v>—</v>
      </c>
      <c r="Q533" s="17">
        <f t="shared" ca="1" si="182"/>
        <v>7</v>
      </c>
      <c r="R533" s="10" t="str">
        <f t="shared" ca="1" si="183"/>
        <v>—</v>
      </c>
      <c r="S533" s="17">
        <f t="shared" ca="1" si="184"/>
        <v>7</v>
      </c>
      <c r="T533" s="70" t="str">
        <f t="shared" ca="1" si="185"/>
        <v>—</v>
      </c>
      <c r="U533" s="17">
        <f t="shared" ca="1" si="186"/>
        <v>7</v>
      </c>
      <c r="V533" s="71" t="str">
        <f t="shared" ca="1" si="187"/>
        <v>—</v>
      </c>
      <c r="W533" s="17">
        <f t="shared" ca="1" si="188"/>
        <v>7</v>
      </c>
    </row>
    <row r="534" spans="1:23" x14ac:dyDescent="0.25">
      <c r="A534" s="4">
        <f t="shared" si="168"/>
        <v>32</v>
      </c>
      <c r="B534" t="str">
        <f ca="1">TEXT(DATE(YEAR(Invoer!$A$6),1,1)+INT((ROWS(B$2:B534)-1)/4),"jjjjmmdd")</f>
        <v>19400513</v>
      </c>
      <c r="C534" s="64" t="str">
        <f>IF(MOD(ROWS(C$2:C534)-1,4)=3,"24.00",INDEX(Data,3,2+MOD(ROWS(C$2:C534)-1,4)))</f>
        <v>07.00</v>
      </c>
      <c r="D534" s="18">
        <f t="shared" ca="1" si="169"/>
        <v>758.2</v>
      </c>
      <c r="E534" s="17">
        <f t="shared" ca="1" si="170"/>
        <v>0</v>
      </c>
      <c r="F534" s="18">
        <f t="shared" ca="1" si="171"/>
        <v>26.3</v>
      </c>
      <c r="G534" s="17">
        <f t="shared" ca="1" si="172"/>
        <v>0</v>
      </c>
      <c r="H534" s="18" t="str">
        <f t="shared" ca="1" si="173"/>
        <v>—</v>
      </c>
      <c r="I534" s="17">
        <f t="shared" ca="1" si="174"/>
        <v>7</v>
      </c>
      <c r="J534" s="18" t="str">
        <f t="shared" ca="1" si="175"/>
        <v>—</v>
      </c>
      <c r="K534" s="17">
        <f t="shared" ca="1" si="176"/>
        <v>7</v>
      </c>
      <c r="L534" s="10">
        <f t="shared" ca="1" si="177"/>
        <v>80</v>
      </c>
      <c r="M534" s="17">
        <f t="shared" ca="1" si="178"/>
        <v>0</v>
      </c>
      <c r="N534" s="18">
        <f t="shared" ca="1" si="179"/>
        <v>20.5</v>
      </c>
      <c r="O534" s="17">
        <f t="shared" ca="1" si="180"/>
        <v>0</v>
      </c>
      <c r="P534" s="18">
        <f t="shared" ca="1" si="181"/>
        <v>23.6</v>
      </c>
      <c r="Q534" s="17">
        <f t="shared" ca="1" si="182"/>
        <v>0</v>
      </c>
      <c r="R534" s="10">
        <f t="shared" ca="1" si="183"/>
        <v>65</v>
      </c>
      <c r="S534" s="17">
        <f t="shared" ca="1" si="184"/>
        <v>0</v>
      </c>
      <c r="T534" s="70">
        <f t="shared" ca="1" si="185"/>
        <v>0.4</v>
      </c>
      <c r="U534" s="17">
        <f t="shared" ca="1" si="186"/>
        <v>0</v>
      </c>
      <c r="V534" s="71">
        <f t="shared" ca="1" si="187"/>
        <v>2</v>
      </c>
      <c r="W534" s="17">
        <f t="shared" ca="1" si="188"/>
        <v>0</v>
      </c>
    </row>
    <row r="535" spans="1:23" x14ac:dyDescent="0.25">
      <c r="A535" s="4">
        <f t="shared" si="168"/>
        <v>32</v>
      </c>
      <c r="B535" t="str">
        <f ca="1">TEXT(DATE(YEAR(Invoer!$A$6),1,1)+INT((ROWS(B$2:B535)-1)/4),"jjjjmmdd")</f>
        <v>19400513</v>
      </c>
      <c r="C535" s="64" t="str">
        <f>IF(MOD(ROWS(C$2:C535)-1,4)=3,"24.00",INDEX(Data,3,2+MOD(ROWS(C$2:C535)-1,4)))</f>
        <v>12.00</v>
      </c>
      <c r="D535" s="18">
        <f t="shared" ca="1" si="169"/>
        <v>757.7</v>
      </c>
      <c r="E535" s="17">
        <f t="shared" ca="1" si="170"/>
        <v>0</v>
      </c>
      <c r="F535" s="18">
        <f t="shared" ca="1" si="171"/>
        <v>27.7</v>
      </c>
      <c r="G535" s="17">
        <f t="shared" ca="1" si="172"/>
        <v>0</v>
      </c>
      <c r="H535" s="18" t="str">
        <f t="shared" ca="1" si="173"/>
        <v>—</v>
      </c>
      <c r="I535" s="17">
        <f t="shared" ca="1" si="174"/>
        <v>7</v>
      </c>
      <c r="J535" s="18" t="str">
        <f t="shared" ca="1" si="175"/>
        <v>—</v>
      </c>
      <c r="K535" s="17">
        <f t="shared" ca="1" si="176"/>
        <v>7</v>
      </c>
      <c r="L535" s="10">
        <f t="shared" ca="1" si="177"/>
        <v>74</v>
      </c>
      <c r="M535" s="17">
        <f t="shared" ca="1" si="178"/>
        <v>0</v>
      </c>
      <c r="N535" s="18">
        <f t="shared" ca="1" si="179"/>
        <v>20.7</v>
      </c>
      <c r="O535" s="17">
        <f t="shared" ca="1" si="180"/>
        <v>0</v>
      </c>
      <c r="P535" s="18">
        <f t="shared" ca="1" si="181"/>
        <v>24.1</v>
      </c>
      <c r="Q535" s="17">
        <f t="shared" ca="1" si="182"/>
        <v>0</v>
      </c>
      <c r="R535" s="10">
        <f t="shared" ca="1" si="183"/>
        <v>65</v>
      </c>
      <c r="S535" s="17">
        <f t="shared" ca="1" si="184"/>
        <v>0</v>
      </c>
      <c r="T535" s="70">
        <f t="shared" ca="1" si="185"/>
        <v>0.5</v>
      </c>
      <c r="U535" s="17">
        <f t="shared" ca="1" si="186"/>
        <v>0</v>
      </c>
      <c r="V535" s="71">
        <f t="shared" ca="1" si="187"/>
        <v>3</v>
      </c>
      <c r="W535" s="17">
        <f t="shared" ca="1" si="188"/>
        <v>0</v>
      </c>
    </row>
    <row r="536" spans="1:23" x14ac:dyDescent="0.25">
      <c r="A536" s="4">
        <f t="shared" si="168"/>
        <v>32</v>
      </c>
      <c r="B536" t="str">
        <f ca="1">TEXT(DATE(YEAR(Invoer!$A$6),1,1)+INT((ROWS(B$2:B536)-1)/4),"jjjjmmdd")</f>
        <v>19400513</v>
      </c>
      <c r="C536" s="64" t="str">
        <f>IF(MOD(ROWS(C$2:C536)-1,4)=3,"24.00",INDEX(Data,3,2+MOD(ROWS(C$2:C536)-1,4)))</f>
        <v>17.00</v>
      </c>
      <c r="D536" s="18">
        <f t="shared" ca="1" si="169"/>
        <v>757.9</v>
      </c>
      <c r="E536" s="17">
        <f t="shared" ca="1" si="170"/>
        <v>0</v>
      </c>
      <c r="F536" s="18">
        <f t="shared" ca="1" si="171"/>
        <v>26.8</v>
      </c>
      <c r="G536" s="17">
        <f t="shared" ca="1" si="172"/>
        <v>0</v>
      </c>
      <c r="H536" s="18" t="str">
        <f t="shared" ca="1" si="173"/>
        <v>—</v>
      </c>
      <c r="I536" s="17">
        <f t="shared" ca="1" si="174"/>
        <v>7</v>
      </c>
      <c r="J536" s="18" t="str">
        <f t="shared" ca="1" si="175"/>
        <v>—</v>
      </c>
      <c r="K536" s="17">
        <f t="shared" ca="1" si="176"/>
        <v>7</v>
      </c>
      <c r="L536" s="10">
        <f t="shared" ca="1" si="177"/>
        <v>75</v>
      </c>
      <c r="M536" s="17">
        <f t="shared" ca="1" si="178"/>
        <v>0</v>
      </c>
      <c r="N536" s="18">
        <f t="shared" ca="1" si="179"/>
        <v>19.899999999999999</v>
      </c>
      <c r="O536" s="17">
        <f t="shared" ca="1" si="180"/>
        <v>0</v>
      </c>
      <c r="P536" s="18">
        <f t="shared" ca="1" si="181"/>
        <v>23.4</v>
      </c>
      <c r="Q536" s="17">
        <f t="shared" ca="1" si="182"/>
        <v>0</v>
      </c>
      <c r="R536" s="10">
        <f t="shared" ca="1" si="183"/>
        <v>45</v>
      </c>
      <c r="S536" s="17">
        <f t="shared" ca="1" si="184"/>
        <v>0</v>
      </c>
      <c r="T536" s="70">
        <f t="shared" ca="1" si="185"/>
        <v>0.6</v>
      </c>
      <c r="U536" s="17">
        <f t="shared" ca="1" si="186"/>
        <v>0</v>
      </c>
      <c r="V536" s="71">
        <f t="shared" ca="1" si="187"/>
        <v>2</v>
      </c>
      <c r="W536" s="17">
        <f t="shared" ca="1" si="188"/>
        <v>0</v>
      </c>
    </row>
    <row r="537" spans="1:23" x14ac:dyDescent="0.25">
      <c r="A537" s="4">
        <f t="shared" si="168"/>
        <v>32</v>
      </c>
      <c r="B537" t="str">
        <f ca="1">TEXT(DATE(YEAR(Invoer!$A$6),1,1)+INT((ROWS(B$2:B537)-1)/4),"jjjjmmdd")</f>
        <v>19400513</v>
      </c>
      <c r="C537" s="64" t="str">
        <f>IF(MOD(ROWS(C$2:C537)-1,4)=3,"24.00",INDEX(Data,3,2+MOD(ROWS(C$2:C537)-1,4)))</f>
        <v>24.00</v>
      </c>
      <c r="D537" s="18" t="str">
        <f t="shared" ca="1" si="169"/>
        <v>—</v>
      </c>
      <c r="E537" s="17">
        <f t="shared" ca="1" si="170"/>
        <v>7</v>
      </c>
      <c r="F537" s="18" t="str">
        <f t="shared" ca="1" si="171"/>
        <v>—</v>
      </c>
      <c r="G537" s="17">
        <f t="shared" ca="1" si="172"/>
        <v>7</v>
      </c>
      <c r="H537" s="18">
        <f t="shared" ca="1" si="173"/>
        <v>29.4</v>
      </c>
      <c r="I537" s="17">
        <f t="shared" ca="1" si="174"/>
        <v>0</v>
      </c>
      <c r="J537" s="18">
        <f t="shared" ca="1" si="175"/>
        <v>31.4</v>
      </c>
      <c r="K537" s="17">
        <f t="shared" ca="1" si="176"/>
        <v>0</v>
      </c>
      <c r="L537" s="10" t="str">
        <f t="shared" ca="1" si="177"/>
        <v>—</v>
      </c>
      <c r="M537" s="17">
        <f t="shared" ca="1" si="178"/>
        <v>7</v>
      </c>
      <c r="N537" s="18" t="str">
        <f t="shared" ca="1" si="179"/>
        <v>—</v>
      </c>
      <c r="O537" s="17">
        <f t="shared" ca="1" si="180"/>
        <v>7</v>
      </c>
      <c r="P537" s="18" t="str">
        <f t="shared" ca="1" si="181"/>
        <v>—</v>
      </c>
      <c r="Q537" s="17">
        <f t="shared" ca="1" si="182"/>
        <v>7</v>
      </c>
      <c r="R537" s="10" t="str">
        <f t="shared" ca="1" si="183"/>
        <v>—</v>
      </c>
      <c r="S537" s="17">
        <f t="shared" ca="1" si="184"/>
        <v>7</v>
      </c>
      <c r="T537" s="70" t="str">
        <f t="shared" ca="1" si="185"/>
        <v>—</v>
      </c>
      <c r="U537" s="17">
        <f t="shared" ca="1" si="186"/>
        <v>7</v>
      </c>
      <c r="V537" s="71" t="str">
        <f t="shared" ca="1" si="187"/>
        <v>—</v>
      </c>
      <c r="W537" s="17">
        <f t="shared" ca="1" si="188"/>
        <v>7</v>
      </c>
    </row>
    <row r="538" spans="1:23" x14ac:dyDescent="0.25">
      <c r="A538" s="4">
        <f t="shared" si="168"/>
        <v>32</v>
      </c>
      <c r="B538" t="str">
        <f ca="1">TEXT(DATE(YEAR(Invoer!$A$6),1,1)+INT((ROWS(B$2:B538)-1)/4),"jjjjmmdd")</f>
        <v>19400514</v>
      </c>
      <c r="C538" s="64" t="str">
        <f>IF(MOD(ROWS(C$2:C538)-1,4)=3,"24.00",INDEX(Data,3,2+MOD(ROWS(C$2:C538)-1,4)))</f>
        <v>07.00</v>
      </c>
      <c r="D538" s="18">
        <f t="shared" ca="1" si="169"/>
        <v>757.4</v>
      </c>
      <c r="E538" s="17">
        <f t="shared" ca="1" si="170"/>
        <v>0</v>
      </c>
      <c r="F538" s="18">
        <f t="shared" ca="1" si="171"/>
        <v>25.9</v>
      </c>
      <c r="G538" s="17">
        <f t="shared" ca="1" si="172"/>
        <v>0</v>
      </c>
      <c r="H538" s="18" t="str">
        <f t="shared" ca="1" si="173"/>
        <v>—</v>
      </c>
      <c r="I538" s="17">
        <f t="shared" ca="1" si="174"/>
        <v>7</v>
      </c>
      <c r="J538" s="18" t="str">
        <f t="shared" ca="1" si="175"/>
        <v>—</v>
      </c>
      <c r="K538" s="17">
        <f t="shared" ca="1" si="176"/>
        <v>7</v>
      </c>
      <c r="L538" s="10">
        <f t="shared" ca="1" si="177"/>
        <v>80</v>
      </c>
      <c r="M538" s="17">
        <f t="shared" ca="1" si="178"/>
        <v>0</v>
      </c>
      <c r="N538" s="18">
        <f t="shared" ca="1" si="179"/>
        <v>20</v>
      </c>
      <c r="O538" s="17">
        <f t="shared" ca="1" si="180"/>
        <v>0</v>
      </c>
      <c r="P538" s="18">
        <f t="shared" ca="1" si="181"/>
        <v>23.2</v>
      </c>
      <c r="Q538" s="17">
        <f t="shared" ca="1" si="182"/>
        <v>0</v>
      </c>
      <c r="R538" s="10">
        <f t="shared" ca="1" si="183"/>
        <v>65</v>
      </c>
      <c r="S538" s="17">
        <f t="shared" ca="1" si="184"/>
        <v>0</v>
      </c>
      <c r="T538" s="70">
        <f t="shared" ca="1" si="185"/>
        <v>0.5</v>
      </c>
      <c r="U538" s="17">
        <f t="shared" ca="1" si="186"/>
        <v>0</v>
      </c>
      <c r="V538" s="71">
        <f t="shared" ca="1" si="187"/>
        <v>4</v>
      </c>
      <c r="W538" s="17">
        <f t="shared" ca="1" si="188"/>
        <v>0</v>
      </c>
    </row>
    <row r="539" spans="1:23" x14ac:dyDescent="0.25">
      <c r="A539" s="4">
        <f t="shared" si="168"/>
        <v>32</v>
      </c>
      <c r="B539" t="str">
        <f ca="1">TEXT(DATE(YEAR(Invoer!$A$6),1,1)+INT((ROWS(B$2:B539)-1)/4),"jjjjmmdd")</f>
        <v>19400514</v>
      </c>
      <c r="C539" s="64" t="str">
        <f>IF(MOD(ROWS(C$2:C539)-1,4)=3,"24.00",INDEX(Data,3,2+MOD(ROWS(C$2:C539)-1,4)))</f>
        <v>12.00</v>
      </c>
      <c r="D539" s="18">
        <f t="shared" ca="1" si="169"/>
        <v>756.7</v>
      </c>
      <c r="E539" s="17">
        <f t="shared" ca="1" si="170"/>
        <v>0</v>
      </c>
      <c r="F539" s="18">
        <f t="shared" ca="1" si="171"/>
        <v>26.9</v>
      </c>
      <c r="G539" s="17">
        <f t="shared" ca="1" si="172"/>
        <v>0</v>
      </c>
      <c r="H539" s="18" t="str">
        <f t="shared" ca="1" si="173"/>
        <v>—</v>
      </c>
      <c r="I539" s="17">
        <f t="shared" ca="1" si="174"/>
        <v>7</v>
      </c>
      <c r="J539" s="18" t="str">
        <f t="shared" ca="1" si="175"/>
        <v>—</v>
      </c>
      <c r="K539" s="17">
        <f t="shared" ca="1" si="176"/>
        <v>7</v>
      </c>
      <c r="L539" s="10">
        <f t="shared" ca="1" si="177"/>
        <v>77</v>
      </c>
      <c r="M539" s="17">
        <f t="shared" ca="1" si="178"/>
        <v>0</v>
      </c>
      <c r="N539" s="18">
        <f t="shared" ca="1" si="179"/>
        <v>20.6</v>
      </c>
      <c r="O539" s="17">
        <f t="shared" ca="1" si="180"/>
        <v>0</v>
      </c>
      <c r="P539" s="18">
        <f t="shared" ca="1" si="181"/>
        <v>23.8</v>
      </c>
      <c r="Q539" s="17">
        <f t="shared" ca="1" si="182"/>
        <v>0</v>
      </c>
      <c r="R539" s="10">
        <f t="shared" ca="1" si="183"/>
        <v>65</v>
      </c>
      <c r="S539" s="17">
        <f t="shared" ca="1" si="184"/>
        <v>0</v>
      </c>
      <c r="T539" s="70">
        <f t="shared" ca="1" si="185"/>
        <v>0.6</v>
      </c>
      <c r="U539" s="17">
        <f t="shared" ca="1" si="186"/>
        <v>0</v>
      </c>
      <c r="V539" s="71">
        <f t="shared" ca="1" si="187"/>
        <v>5</v>
      </c>
      <c r="W539" s="17">
        <f t="shared" ca="1" si="188"/>
        <v>0</v>
      </c>
    </row>
    <row r="540" spans="1:23" x14ac:dyDescent="0.25">
      <c r="A540" s="4">
        <f t="shared" si="168"/>
        <v>32</v>
      </c>
      <c r="B540" t="str">
        <f ca="1">TEXT(DATE(YEAR(Invoer!$A$6),1,1)+INT((ROWS(B$2:B540)-1)/4),"jjjjmmdd")</f>
        <v>19400514</v>
      </c>
      <c r="C540" s="64" t="str">
        <f>IF(MOD(ROWS(C$2:C540)-1,4)=3,"24.00",INDEX(Data,3,2+MOD(ROWS(C$2:C540)-1,4)))</f>
        <v>17.00</v>
      </c>
      <c r="D540" s="18">
        <f t="shared" ca="1" si="169"/>
        <v>756.4</v>
      </c>
      <c r="E540" s="17">
        <f t="shared" ca="1" si="170"/>
        <v>0</v>
      </c>
      <c r="F540" s="18">
        <f t="shared" ca="1" si="171"/>
        <v>26.1</v>
      </c>
      <c r="G540" s="17">
        <f t="shared" ca="1" si="172"/>
        <v>0</v>
      </c>
      <c r="H540" s="18" t="str">
        <f t="shared" ca="1" si="173"/>
        <v>—</v>
      </c>
      <c r="I540" s="17">
        <f t="shared" ca="1" si="174"/>
        <v>7</v>
      </c>
      <c r="J540" s="18" t="str">
        <f t="shared" ca="1" si="175"/>
        <v>—</v>
      </c>
      <c r="K540" s="17">
        <f t="shared" ca="1" si="176"/>
        <v>7</v>
      </c>
      <c r="L540" s="10">
        <f t="shared" ca="1" si="177"/>
        <v>77</v>
      </c>
      <c r="M540" s="17">
        <f t="shared" ca="1" si="178"/>
        <v>0</v>
      </c>
      <c r="N540" s="18">
        <f t="shared" ca="1" si="179"/>
        <v>19.5</v>
      </c>
      <c r="O540" s="17">
        <f t="shared" ca="1" si="180"/>
        <v>0</v>
      </c>
      <c r="P540" s="18">
        <f t="shared" ca="1" si="181"/>
        <v>23</v>
      </c>
      <c r="Q540" s="17">
        <f t="shared" ca="1" si="182"/>
        <v>0</v>
      </c>
      <c r="R540" s="10">
        <f t="shared" ca="1" si="183"/>
        <v>45</v>
      </c>
      <c r="S540" s="17">
        <f t="shared" ca="1" si="184"/>
        <v>0</v>
      </c>
      <c r="T540" s="70">
        <f t="shared" ca="1" si="185"/>
        <v>0.6</v>
      </c>
      <c r="U540" s="17">
        <f t="shared" ca="1" si="186"/>
        <v>0</v>
      </c>
      <c r="V540" s="71">
        <f t="shared" ca="1" si="187"/>
        <v>4</v>
      </c>
      <c r="W540" s="17">
        <f t="shared" ca="1" si="188"/>
        <v>0</v>
      </c>
    </row>
    <row r="541" spans="1:23" x14ac:dyDescent="0.25">
      <c r="A541" s="4">
        <f t="shared" si="168"/>
        <v>32</v>
      </c>
      <c r="B541" t="str">
        <f ca="1">TEXT(DATE(YEAR(Invoer!$A$6),1,1)+INT((ROWS(B$2:B541)-1)/4),"jjjjmmdd")</f>
        <v>19400514</v>
      </c>
      <c r="C541" s="64" t="str">
        <f>IF(MOD(ROWS(C$2:C541)-1,4)=3,"24.00",INDEX(Data,3,2+MOD(ROWS(C$2:C541)-1,4)))</f>
        <v>24.00</v>
      </c>
      <c r="D541" s="18" t="str">
        <f t="shared" ca="1" si="169"/>
        <v>—</v>
      </c>
      <c r="E541" s="17">
        <f t="shared" ca="1" si="170"/>
        <v>7</v>
      </c>
      <c r="F541" s="18" t="str">
        <f t="shared" ca="1" si="171"/>
        <v>—</v>
      </c>
      <c r="G541" s="17">
        <f t="shared" ca="1" si="172"/>
        <v>7</v>
      </c>
      <c r="H541" s="18">
        <f t="shared" ca="1" si="173"/>
        <v>28.4</v>
      </c>
      <c r="I541" s="17">
        <f t="shared" ca="1" si="174"/>
        <v>0</v>
      </c>
      <c r="J541" s="18">
        <f t="shared" ca="1" si="175"/>
        <v>30.4</v>
      </c>
      <c r="K541" s="17">
        <f t="shared" ca="1" si="176"/>
        <v>0</v>
      </c>
      <c r="L541" s="10" t="str">
        <f t="shared" ca="1" si="177"/>
        <v>—</v>
      </c>
      <c r="M541" s="17">
        <f t="shared" ca="1" si="178"/>
        <v>7</v>
      </c>
      <c r="N541" s="18" t="str">
        <f t="shared" ca="1" si="179"/>
        <v>—</v>
      </c>
      <c r="O541" s="17">
        <f t="shared" ca="1" si="180"/>
        <v>7</v>
      </c>
      <c r="P541" s="18" t="str">
        <f t="shared" ca="1" si="181"/>
        <v>—</v>
      </c>
      <c r="Q541" s="17">
        <f t="shared" ca="1" si="182"/>
        <v>7</v>
      </c>
      <c r="R541" s="10" t="str">
        <f t="shared" ca="1" si="183"/>
        <v>—</v>
      </c>
      <c r="S541" s="17">
        <f t="shared" ca="1" si="184"/>
        <v>7</v>
      </c>
      <c r="T541" s="70" t="str">
        <f t="shared" ca="1" si="185"/>
        <v>—</v>
      </c>
      <c r="U541" s="17">
        <f t="shared" ca="1" si="186"/>
        <v>7</v>
      </c>
      <c r="V541" s="71" t="str">
        <f t="shared" ca="1" si="187"/>
        <v>—</v>
      </c>
      <c r="W541" s="17">
        <f t="shared" ca="1" si="188"/>
        <v>7</v>
      </c>
    </row>
    <row r="542" spans="1:23" x14ac:dyDescent="0.25">
      <c r="A542" s="4">
        <f t="shared" si="168"/>
        <v>32</v>
      </c>
      <c r="B542" t="str">
        <f ca="1">TEXT(DATE(YEAR(Invoer!$A$6),1,1)+INT((ROWS(B$2:B542)-1)/4),"jjjjmmdd")</f>
        <v>19400515</v>
      </c>
      <c r="C542" s="64" t="str">
        <f>IF(MOD(ROWS(C$2:C542)-1,4)=3,"24.00",INDEX(Data,3,2+MOD(ROWS(C$2:C542)-1,4)))</f>
        <v>07.00</v>
      </c>
      <c r="D542" s="18">
        <f t="shared" ca="1" si="169"/>
        <v>758.2</v>
      </c>
      <c r="E542" s="17">
        <f t="shared" ca="1" si="170"/>
        <v>0</v>
      </c>
      <c r="F542" s="18">
        <f t="shared" ca="1" si="171"/>
        <v>27.3</v>
      </c>
      <c r="G542" s="17">
        <f t="shared" ca="1" si="172"/>
        <v>0</v>
      </c>
      <c r="H542" s="18" t="str">
        <f t="shared" ca="1" si="173"/>
        <v>—</v>
      </c>
      <c r="I542" s="17">
        <f t="shared" ca="1" si="174"/>
        <v>7</v>
      </c>
      <c r="J542" s="18" t="str">
        <f t="shared" ca="1" si="175"/>
        <v>—</v>
      </c>
      <c r="K542" s="17">
        <f t="shared" ca="1" si="176"/>
        <v>7</v>
      </c>
      <c r="L542" s="10">
        <f t="shared" ca="1" si="177"/>
        <v>71</v>
      </c>
      <c r="M542" s="17">
        <f t="shared" ca="1" si="178"/>
        <v>0</v>
      </c>
      <c r="N542" s="18">
        <f t="shared" ca="1" si="179"/>
        <v>19.3</v>
      </c>
      <c r="O542" s="17">
        <f t="shared" ca="1" si="180"/>
        <v>0</v>
      </c>
      <c r="P542" s="18">
        <f t="shared" ca="1" si="181"/>
        <v>23.2</v>
      </c>
      <c r="Q542" s="17">
        <f t="shared" ca="1" si="182"/>
        <v>0</v>
      </c>
      <c r="R542" s="10">
        <f t="shared" ca="1" si="183"/>
        <v>65</v>
      </c>
      <c r="S542" s="17">
        <f t="shared" ca="1" si="184"/>
        <v>0</v>
      </c>
      <c r="T542" s="70">
        <f t="shared" ca="1" si="185"/>
        <v>0.5</v>
      </c>
      <c r="U542" s="17">
        <f t="shared" ca="1" si="186"/>
        <v>0</v>
      </c>
      <c r="V542" s="71">
        <f t="shared" ca="1" si="187"/>
        <v>3</v>
      </c>
      <c r="W542" s="17">
        <f t="shared" ca="1" si="188"/>
        <v>0</v>
      </c>
    </row>
    <row r="543" spans="1:23" x14ac:dyDescent="0.25">
      <c r="A543" s="4">
        <f t="shared" si="168"/>
        <v>32</v>
      </c>
      <c r="B543" t="str">
        <f ca="1">TEXT(DATE(YEAR(Invoer!$A$6),1,1)+INT((ROWS(B$2:B543)-1)/4),"jjjjmmdd")</f>
        <v>19400515</v>
      </c>
      <c r="C543" s="64" t="str">
        <f>IF(MOD(ROWS(C$2:C543)-1,4)=3,"24.00",INDEX(Data,3,2+MOD(ROWS(C$2:C543)-1,4)))</f>
        <v>12.00</v>
      </c>
      <c r="D543" s="18">
        <f t="shared" ca="1" si="169"/>
        <v>757.9</v>
      </c>
      <c r="E543" s="17">
        <f t="shared" ca="1" si="170"/>
        <v>0</v>
      </c>
      <c r="F543" s="18">
        <f t="shared" ca="1" si="171"/>
        <v>27.6</v>
      </c>
      <c r="G543" s="17">
        <f t="shared" ca="1" si="172"/>
        <v>0</v>
      </c>
      <c r="H543" s="18" t="str">
        <f t="shared" ca="1" si="173"/>
        <v>—</v>
      </c>
      <c r="I543" s="17">
        <f t="shared" ca="1" si="174"/>
        <v>7</v>
      </c>
      <c r="J543" s="18" t="str">
        <f t="shared" ca="1" si="175"/>
        <v>—</v>
      </c>
      <c r="K543" s="17">
        <f t="shared" ca="1" si="176"/>
        <v>7</v>
      </c>
      <c r="L543" s="10">
        <f t="shared" ca="1" si="177"/>
        <v>72</v>
      </c>
      <c r="M543" s="17">
        <f t="shared" ca="1" si="178"/>
        <v>0</v>
      </c>
      <c r="N543" s="18">
        <f t="shared" ca="1" si="179"/>
        <v>19.8</v>
      </c>
      <c r="O543" s="17">
        <f t="shared" ca="1" si="180"/>
        <v>0</v>
      </c>
      <c r="P543" s="18">
        <f t="shared" ca="1" si="181"/>
        <v>23.6</v>
      </c>
      <c r="Q543" s="17">
        <f t="shared" ca="1" si="182"/>
        <v>0</v>
      </c>
      <c r="R543" s="10">
        <f t="shared" ca="1" si="183"/>
        <v>65</v>
      </c>
      <c r="S543" s="17">
        <f t="shared" ca="1" si="184"/>
        <v>0</v>
      </c>
      <c r="T543" s="70">
        <f t="shared" ca="1" si="185"/>
        <v>0.6</v>
      </c>
      <c r="U543" s="17">
        <f t="shared" ca="1" si="186"/>
        <v>0</v>
      </c>
      <c r="V543" s="71">
        <f t="shared" ca="1" si="187"/>
        <v>4</v>
      </c>
      <c r="W543" s="17">
        <f t="shared" ca="1" si="188"/>
        <v>0</v>
      </c>
    </row>
    <row r="544" spans="1:23" x14ac:dyDescent="0.25">
      <c r="A544" s="4">
        <f t="shared" si="168"/>
        <v>32</v>
      </c>
      <c r="B544" t="str">
        <f ca="1">TEXT(DATE(YEAR(Invoer!$A$6),1,1)+INT((ROWS(B$2:B544)-1)/4),"jjjjmmdd")</f>
        <v>19400515</v>
      </c>
      <c r="C544" s="64" t="str">
        <f>IF(MOD(ROWS(C$2:C544)-1,4)=3,"24.00",INDEX(Data,3,2+MOD(ROWS(C$2:C544)-1,4)))</f>
        <v>17.00</v>
      </c>
      <c r="D544" s="18">
        <f t="shared" ca="1" si="169"/>
        <v>757.7</v>
      </c>
      <c r="E544" s="17">
        <f t="shared" ca="1" si="170"/>
        <v>0</v>
      </c>
      <c r="F544" s="18">
        <f t="shared" ca="1" si="171"/>
        <v>26.9</v>
      </c>
      <c r="G544" s="17">
        <f t="shared" ca="1" si="172"/>
        <v>0</v>
      </c>
      <c r="H544" s="18" t="str">
        <f t="shared" ca="1" si="173"/>
        <v>—</v>
      </c>
      <c r="I544" s="17">
        <f t="shared" ca="1" si="174"/>
        <v>7</v>
      </c>
      <c r="J544" s="18" t="str">
        <f t="shared" ca="1" si="175"/>
        <v>—</v>
      </c>
      <c r="K544" s="17">
        <f t="shared" ca="1" si="176"/>
        <v>7</v>
      </c>
      <c r="L544" s="10">
        <f t="shared" ca="1" si="177"/>
        <v>72</v>
      </c>
      <c r="M544" s="17">
        <f t="shared" ca="1" si="178"/>
        <v>0</v>
      </c>
      <c r="N544" s="18">
        <f t="shared" ca="1" si="179"/>
        <v>19.100000000000001</v>
      </c>
      <c r="O544" s="17">
        <f t="shared" ca="1" si="180"/>
        <v>0</v>
      </c>
      <c r="P544" s="18">
        <f t="shared" ca="1" si="181"/>
        <v>23</v>
      </c>
      <c r="Q544" s="17">
        <f t="shared" ca="1" si="182"/>
        <v>0</v>
      </c>
      <c r="R544" s="10">
        <f t="shared" ca="1" si="183"/>
        <v>45</v>
      </c>
      <c r="S544" s="17">
        <f t="shared" ca="1" si="184"/>
        <v>0</v>
      </c>
      <c r="T544" s="70">
        <f t="shared" ca="1" si="185"/>
        <v>0.6</v>
      </c>
      <c r="U544" s="17">
        <f t="shared" ca="1" si="186"/>
        <v>0</v>
      </c>
      <c r="V544" s="71">
        <f t="shared" ca="1" si="187"/>
        <v>3</v>
      </c>
      <c r="W544" s="17">
        <f t="shared" ca="1" si="188"/>
        <v>0</v>
      </c>
    </row>
    <row r="545" spans="1:23" x14ac:dyDescent="0.25">
      <c r="A545" s="4">
        <f t="shared" si="168"/>
        <v>32</v>
      </c>
      <c r="B545" t="str">
        <f ca="1">TEXT(DATE(YEAR(Invoer!$A$6),1,1)+INT((ROWS(B$2:B545)-1)/4),"jjjjmmdd")</f>
        <v>19400515</v>
      </c>
      <c r="C545" s="64" t="str">
        <f>IF(MOD(ROWS(C$2:C545)-1,4)=3,"24.00",INDEX(Data,3,2+MOD(ROWS(C$2:C545)-1,4)))</f>
        <v>24.00</v>
      </c>
      <c r="D545" s="18" t="str">
        <f t="shared" ca="1" si="169"/>
        <v>—</v>
      </c>
      <c r="E545" s="17">
        <f t="shared" ca="1" si="170"/>
        <v>7</v>
      </c>
      <c r="F545" s="18" t="str">
        <f t="shared" ca="1" si="171"/>
        <v>—</v>
      </c>
      <c r="G545" s="17">
        <f t="shared" ca="1" si="172"/>
        <v>7</v>
      </c>
      <c r="H545" s="18">
        <f t="shared" ca="1" si="173"/>
        <v>28.4</v>
      </c>
      <c r="I545" s="17">
        <f t="shared" ca="1" si="174"/>
        <v>0</v>
      </c>
      <c r="J545" s="18">
        <f t="shared" ca="1" si="175"/>
        <v>29.5</v>
      </c>
      <c r="K545" s="17">
        <f t="shared" ca="1" si="176"/>
        <v>0</v>
      </c>
      <c r="L545" s="10" t="str">
        <f t="shared" ca="1" si="177"/>
        <v>—</v>
      </c>
      <c r="M545" s="17">
        <f t="shared" ca="1" si="178"/>
        <v>7</v>
      </c>
      <c r="N545" s="18" t="str">
        <f t="shared" ca="1" si="179"/>
        <v>—</v>
      </c>
      <c r="O545" s="17">
        <f t="shared" ca="1" si="180"/>
        <v>7</v>
      </c>
      <c r="P545" s="18" t="str">
        <f t="shared" ca="1" si="181"/>
        <v>—</v>
      </c>
      <c r="Q545" s="17">
        <f t="shared" ca="1" si="182"/>
        <v>7</v>
      </c>
      <c r="R545" s="10" t="str">
        <f t="shared" ca="1" si="183"/>
        <v>—</v>
      </c>
      <c r="S545" s="17">
        <f t="shared" ca="1" si="184"/>
        <v>7</v>
      </c>
      <c r="T545" s="70" t="str">
        <f t="shared" ca="1" si="185"/>
        <v>—</v>
      </c>
      <c r="U545" s="17">
        <f t="shared" ca="1" si="186"/>
        <v>7</v>
      </c>
      <c r="V545" s="71" t="str">
        <f t="shared" ca="1" si="187"/>
        <v>—</v>
      </c>
      <c r="W545" s="17">
        <f t="shared" ca="1" si="188"/>
        <v>7</v>
      </c>
    </row>
    <row r="546" spans="1:23" x14ac:dyDescent="0.25">
      <c r="A546" s="4">
        <f t="shared" si="168"/>
        <v>32</v>
      </c>
      <c r="B546" t="str">
        <f ca="1">TEXT(DATE(YEAR(Invoer!$A$6),1,1)+INT((ROWS(B$2:B546)-1)/4),"jjjjmmdd")</f>
        <v>19400516</v>
      </c>
      <c r="C546" s="64" t="str">
        <f>IF(MOD(ROWS(C$2:C546)-1,4)=3,"24.00",INDEX(Data,3,2+MOD(ROWS(C$2:C546)-1,4)))</f>
        <v>07.00</v>
      </c>
      <c r="D546" s="18">
        <f t="shared" ca="1" si="169"/>
        <v>758.5</v>
      </c>
      <c r="E546" s="17">
        <f t="shared" ca="1" si="170"/>
        <v>0</v>
      </c>
      <c r="F546" s="18">
        <f t="shared" ca="1" si="171"/>
        <v>27.1</v>
      </c>
      <c r="G546" s="17">
        <f t="shared" ca="1" si="172"/>
        <v>0</v>
      </c>
      <c r="H546" s="18" t="str">
        <f t="shared" ca="1" si="173"/>
        <v>—</v>
      </c>
      <c r="I546" s="17">
        <f t="shared" ca="1" si="174"/>
        <v>7</v>
      </c>
      <c r="J546" s="18" t="str">
        <f t="shared" ca="1" si="175"/>
        <v>—</v>
      </c>
      <c r="K546" s="17">
        <f t="shared" ca="1" si="176"/>
        <v>7</v>
      </c>
      <c r="L546" s="10">
        <f t="shared" ca="1" si="177"/>
        <v>76</v>
      </c>
      <c r="M546" s="17">
        <f t="shared" ca="1" si="178"/>
        <v>0</v>
      </c>
      <c r="N546" s="18">
        <f t="shared" ca="1" si="179"/>
        <v>20.5</v>
      </c>
      <c r="O546" s="17">
        <f t="shared" ca="1" si="180"/>
        <v>0</v>
      </c>
      <c r="P546" s="18">
        <f t="shared" ca="1" si="181"/>
        <v>23.8</v>
      </c>
      <c r="Q546" s="17">
        <f t="shared" ca="1" si="182"/>
        <v>0</v>
      </c>
      <c r="R546" s="10">
        <f t="shared" ca="1" si="183"/>
        <v>65</v>
      </c>
      <c r="S546" s="17">
        <f t="shared" ca="1" si="184"/>
        <v>0</v>
      </c>
      <c r="T546" s="70">
        <f t="shared" ca="1" si="185"/>
        <v>0.5</v>
      </c>
      <c r="U546" s="17">
        <f t="shared" ca="1" si="186"/>
        <v>0</v>
      </c>
      <c r="V546" s="71">
        <f t="shared" ca="1" si="187"/>
        <v>4</v>
      </c>
      <c r="W546" s="17">
        <f t="shared" ca="1" si="188"/>
        <v>0</v>
      </c>
    </row>
    <row r="547" spans="1:23" x14ac:dyDescent="0.25">
      <c r="A547" s="4">
        <f t="shared" si="168"/>
        <v>32</v>
      </c>
      <c r="B547" t="str">
        <f ca="1">TEXT(DATE(YEAR(Invoer!$A$6),1,1)+INT((ROWS(B$2:B547)-1)/4),"jjjjmmdd")</f>
        <v>19400516</v>
      </c>
      <c r="C547" s="64" t="str">
        <f>IF(MOD(ROWS(C$2:C547)-1,4)=3,"24.00",INDEX(Data,3,2+MOD(ROWS(C$2:C547)-1,4)))</f>
        <v>12.00</v>
      </c>
      <c r="D547" s="18">
        <f t="shared" ca="1" si="169"/>
        <v>757.9</v>
      </c>
      <c r="E547" s="17">
        <f t="shared" ca="1" si="170"/>
        <v>0</v>
      </c>
      <c r="F547" s="18">
        <f t="shared" ca="1" si="171"/>
        <v>30.5</v>
      </c>
      <c r="G547" s="17">
        <f t="shared" ca="1" si="172"/>
        <v>0</v>
      </c>
      <c r="H547" s="18" t="str">
        <f t="shared" ca="1" si="173"/>
        <v>—</v>
      </c>
      <c r="I547" s="17">
        <f t="shared" ca="1" si="174"/>
        <v>7</v>
      </c>
      <c r="J547" s="18" t="str">
        <f t="shared" ca="1" si="175"/>
        <v>—</v>
      </c>
      <c r="K547" s="17">
        <f t="shared" ca="1" si="176"/>
        <v>7</v>
      </c>
      <c r="L547" s="10">
        <f t="shared" ca="1" si="177"/>
        <v>64</v>
      </c>
      <c r="M547" s="17">
        <f t="shared" ca="1" si="178"/>
        <v>0</v>
      </c>
      <c r="N547" s="18">
        <f t="shared" ca="1" si="179"/>
        <v>21</v>
      </c>
      <c r="O547" s="17">
        <f t="shared" ca="1" si="180"/>
        <v>0</v>
      </c>
      <c r="P547" s="18">
        <f t="shared" ca="1" si="181"/>
        <v>25</v>
      </c>
      <c r="Q547" s="17">
        <f t="shared" ca="1" si="182"/>
        <v>0</v>
      </c>
      <c r="R547" s="10">
        <f t="shared" ca="1" si="183"/>
        <v>65</v>
      </c>
      <c r="S547" s="17">
        <f t="shared" ca="1" si="184"/>
        <v>0</v>
      </c>
      <c r="T547" s="70">
        <f t="shared" ca="1" si="185"/>
        <v>0.6</v>
      </c>
      <c r="U547" s="17">
        <f t="shared" ca="1" si="186"/>
        <v>0</v>
      </c>
      <c r="V547" s="71">
        <f t="shared" ca="1" si="187"/>
        <v>3</v>
      </c>
      <c r="W547" s="17">
        <f t="shared" ca="1" si="188"/>
        <v>0</v>
      </c>
    </row>
    <row r="548" spans="1:23" x14ac:dyDescent="0.25">
      <c r="A548" s="4">
        <f t="shared" si="168"/>
        <v>32</v>
      </c>
      <c r="B548" t="str">
        <f ca="1">TEXT(DATE(YEAR(Invoer!$A$6),1,1)+INT((ROWS(B$2:B548)-1)/4),"jjjjmmdd")</f>
        <v>19400516</v>
      </c>
      <c r="C548" s="64" t="str">
        <f>IF(MOD(ROWS(C$2:C548)-1,4)=3,"24.00",INDEX(Data,3,2+MOD(ROWS(C$2:C548)-1,4)))</f>
        <v>17.00</v>
      </c>
      <c r="D548" s="18">
        <f t="shared" ca="1" si="169"/>
        <v>757.7</v>
      </c>
      <c r="E548" s="17">
        <f t="shared" ca="1" si="170"/>
        <v>0</v>
      </c>
      <c r="F548" s="18">
        <f t="shared" ca="1" si="171"/>
        <v>27.5</v>
      </c>
      <c r="G548" s="17">
        <f t="shared" ca="1" si="172"/>
        <v>0</v>
      </c>
      <c r="H548" s="18" t="str">
        <f t="shared" ca="1" si="173"/>
        <v>—</v>
      </c>
      <c r="I548" s="17">
        <f t="shared" ca="1" si="174"/>
        <v>7</v>
      </c>
      <c r="J548" s="18" t="str">
        <f t="shared" ca="1" si="175"/>
        <v>—</v>
      </c>
      <c r="K548" s="17">
        <f t="shared" ca="1" si="176"/>
        <v>7</v>
      </c>
      <c r="L548" s="10">
        <f t="shared" ca="1" si="177"/>
        <v>75</v>
      </c>
      <c r="M548" s="17">
        <f t="shared" ca="1" si="178"/>
        <v>0</v>
      </c>
      <c r="N548" s="18">
        <f t="shared" ca="1" si="179"/>
        <v>20.6</v>
      </c>
      <c r="O548" s="17">
        <f t="shared" ca="1" si="180"/>
        <v>0</v>
      </c>
      <c r="P548" s="18">
        <f t="shared" ca="1" si="181"/>
        <v>24</v>
      </c>
      <c r="Q548" s="17">
        <f t="shared" ca="1" si="182"/>
        <v>0</v>
      </c>
      <c r="R548" s="10">
        <f t="shared" ca="1" si="183"/>
        <v>65</v>
      </c>
      <c r="S548" s="17">
        <f t="shared" ca="1" si="184"/>
        <v>0</v>
      </c>
      <c r="T548" s="70">
        <f t="shared" ca="1" si="185"/>
        <v>0.6</v>
      </c>
      <c r="U548" s="17">
        <f t="shared" ca="1" si="186"/>
        <v>0</v>
      </c>
      <c r="V548" s="71">
        <f t="shared" ca="1" si="187"/>
        <v>4</v>
      </c>
      <c r="W548" s="17">
        <f t="shared" ca="1" si="188"/>
        <v>0</v>
      </c>
    </row>
    <row r="549" spans="1:23" x14ac:dyDescent="0.25">
      <c r="A549" s="4">
        <f t="shared" si="168"/>
        <v>32</v>
      </c>
      <c r="B549" t="str">
        <f ca="1">TEXT(DATE(YEAR(Invoer!$A$6),1,1)+INT((ROWS(B$2:B549)-1)/4),"jjjjmmdd")</f>
        <v>19400516</v>
      </c>
      <c r="C549" s="64" t="str">
        <f>IF(MOD(ROWS(C$2:C549)-1,4)=3,"24.00",INDEX(Data,3,2+MOD(ROWS(C$2:C549)-1,4)))</f>
        <v>24.00</v>
      </c>
      <c r="D549" s="18" t="str">
        <f t="shared" ca="1" si="169"/>
        <v>—</v>
      </c>
      <c r="E549" s="17">
        <f t="shared" ca="1" si="170"/>
        <v>7</v>
      </c>
      <c r="F549" s="18" t="str">
        <f t="shared" ca="1" si="171"/>
        <v>—</v>
      </c>
      <c r="G549" s="17">
        <f t="shared" ca="1" si="172"/>
        <v>7</v>
      </c>
      <c r="H549" s="18">
        <f t="shared" ca="1" si="173"/>
        <v>31.5</v>
      </c>
      <c r="I549" s="17">
        <f t="shared" ca="1" si="174"/>
        <v>0</v>
      </c>
      <c r="J549" s="18">
        <f t="shared" ca="1" si="175"/>
        <v>32.1</v>
      </c>
      <c r="K549" s="17">
        <f t="shared" ca="1" si="176"/>
        <v>0</v>
      </c>
      <c r="L549" s="10" t="str">
        <f t="shared" ca="1" si="177"/>
        <v>—</v>
      </c>
      <c r="M549" s="17">
        <f t="shared" ca="1" si="178"/>
        <v>7</v>
      </c>
      <c r="N549" s="18" t="str">
        <f t="shared" ca="1" si="179"/>
        <v>—</v>
      </c>
      <c r="O549" s="17">
        <f t="shared" ca="1" si="180"/>
        <v>7</v>
      </c>
      <c r="P549" s="18" t="str">
        <f t="shared" ca="1" si="181"/>
        <v>—</v>
      </c>
      <c r="Q549" s="17">
        <f t="shared" ca="1" si="182"/>
        <v>7</v>
      </c>
      <c r="R549" s="10" t="str">
        <f t="shared" ca="1" si="183"/>
        <v>—</v>
      </c>
      <c r="S549" s="17">
        <f t="shared" ca="1" si="184"/>
        <v>7</v>
      </c>
      <c r="T549" s="70" t="str">
        <f t="shared" ca="1" si="185"/>
        <v>—</v>
      </c>
      <c r="U549" s="17">
        <f t="shared" ca="1" si="186"/>
        <v>7</v>
      </c>
      <c r="V549" s="71" t="str">
        <f t="shared" ca="1" si="187"/>
        <v>—</v>
      </c>
      <c r="W549" s="17">
        <f t="shared" ca="1" si="188"/>
        <v>7</v>
      </c>
    </row>
    <row r="550" spans="1:23" x14ac:dyDescent="0.25">
      <c r="A550" s="4">
        <f t="shared" si="168"/>
        <v>32</v>
      </c>
      <c r="B550" t="str">
        <f ca="1">TEXT(DATE(YEAR(Invoer!$A$6),1,1)+INT((ROWS(B$2:B550)-1)/4),"jjjjmmdd")</f>
        <v>19400517</v>
      </c>
      <c r="C550" s="64" t="str">
        <f>IF(MOD(ROWS(C$2:C550)-1,4)=3,"24.00",INDEX(Data,3,2+MOD(ROWS(C$2:C550)-1,4)))</f>
        <v>07.00</v>
      </c>
      <c r="D550" s="18">
        <f t="shared" ca="1" si="169"/>
        <v>757.7</v>
      </c>
      <c r="E550" s="17">
        <f t="shared" ca="1" si="170"/>
        <v>0</v>
      </c>
      <c r="F550" s="18">
        <f t="shared" ca="1" si="171"/>
        <v>28.5</v>
      </c>
      <c r="G550" s="17">
        <f t="shared" ca="1" si="172"/>
        <v>0</v>
      </c>
      <c r="H550" s="18" t="str">
        <f t="shared" ca="1" si="173"/>
        <v>—</v>
      </c>
      <c r="I550" s="17">
        <f t="shared" ca="1" si="174"/>
        <v>7</v>
      </c>
      <c r="J550" s="18" t="str">
        <f t="shared" ca="1" si="175"/>
        <v>—</v>
      </c>
      <c r="K550" s="17">
        <f t="shared" ca="1" si="176"/>
        <v>7</v>
      </c>
      <c r="L550" s="10">
        <f t="shared" ca="1" si="177"/>
        <v>65</v>
      </c>
      <c r="M550" s="17">
        <f t="shared" ca="1" si="178"/>
        <v>0</v>
      </c>
      <c r="N550" s="18">
        <f t="shared" ca="1" si="179"/>
        <v>19</v>
      </c>
      <c r="O550" s="17">
        <f t="shared" ca="1" si="180"/>
        <v>0</v>
      </c>
      <c r="P550" s="18">
        <f t="shared" ca="1" si="181"/>
        <v>23.4</v>
      </c>
      <c r="Q550" s="17">
        <f t="shared" ca="1" si="182"/>
        <v>0</v>
      </c>
      <c r="R550" s="10">
        <f t="shared" ca="1" si="183"/>
        <v>65</v>
      </c>
      <c r="S550" s="17">
        <f t="shared" ca="1" si="184"/>
        <v>0</v>
      </c>
      <c r="T550" s="70">
        <f t="shared" ca="1" si="185"/>
        <v>0.4</v>
      </c>
      <c r="U550" s="17">
        <f t="shared" ca="1" si="186"/>
        <v>0</v>
      </c>
      <c r="V550" s="71">
        <f t="shared" ca="1" si="187"/>
        <v>3</v>
      </c>
      <c r="W550" s="17">
        <f t="shared" ca="1" si="188"/>
        <v>0</v>
      </c>
    </row>
    <row r="551" spans="1:23" x14ac:dyDescent="0.25">
      <c r="A551" s="4">
        <f t="shared" si="168"/>
        <v>32</v>
      </c>
      <c r="B551" t="str">
        <f ca="1">TEXT(DATE(YEAR(Invoer!$A$6),1,1)+INT((ROWS(B$2:B551)-1)/4),"jjjjmmdd")</f>
        <v>19400517</v>
      </c>
      <c r="C551" s="64" t="str">
        <f>IF(MOD(ROWS(C$2:C551)-1,4)=3,"24.00",INDEX(Data,3,2+MOD(ROWS(C$2:C551)-1,4)))</f>
        <v>12.00</v>
      </c>
      <c r="D551" s="18">
        <f t="shared" ca="1" si="169"/>
        <v>755.4</v>
      </c>
      <c r="E551" s="17">
        <f t="shared" ca="1" si="170"/>
        <v>0</v>
      </c>
      <c r="F551" s="18">
        <f t="shared" ca="1" si="171"/>
        <v>28.9</v>
      </c>
      <c r="G551" s="17">
        <f t="shared" ca="1" si="172"/>
        <v>0</v>
      </c>
      <c r="H551" s="18" t="str">
        <f t="shared" ca="1" si="173"/>
        <v>—</v>
      </c>
      <c r="I551" s="17">
        <f t="shared" ca="1" si="174"/>
        <v>7</v>
      </c>
      <c r="J551" s="18" t="str">
        <f t="shared" ca="1" si="175"/>
        <v>—</v>
      </c>
      <c r="K551" s="17">
        <f t="shared" ca="1" si="176"/>
        <v>7</v>
      </c>
      <c r="L551" s="10">
        <f t="shared" ca="1" si="177"/>
        <v>64</v>
      </c>
      <c r="M551" s="17">
        <f t="shared" ca="1" si="178"/>
        <v>0</v>
      </c>
      <c r="N551" s="18">
        <f t="shared" ca="1" si="179"/>
        <v>19.2</v>
      </c>
      <c r="O551" s="17">
        <f t="shared" ca="1" si="180"/>
        <v>0</v>
      </c>
      <c r="P551" s="18">
        <f t="shared" ca="1" si="181"/>
        <v>23.6</v>
      </c>
      <c r="Q551" s="17">
        <f t="shared" ca="1" si="182"/>
        <v>0</v>
      </c>
      <c r="R551" s="10">
        <f t="shared" ca="1" si="183"/>
        <v>65</v>
      </c>
      <c r="S551" s="17">
        <f t="shared" ca="1" si="184"/>
        <v>0</v>
      </c>
      <c r="T551" s="70">
        <f t="shared" ca="1" si="185"/>
        <v>0.5</v>
      </c>
      <c r="U551" s="17">
        <f t="shared" ca="1" si="186"/>
        <v>0</v>
      </c>
      <c r="V551" s="71">
        <f t="shared" ca="1" si="187"/>
        <v>3</v>
      </c>
      <c r="W551" s="17">
        <f t="shared" ca="1" si="188"/>
        <v>0</v>
      </c>
    </row>
    <row r="552" spans="1:23" x14ac:dyDescent="0.25">
      <c r="A552" s="4">
        <f t="shared" si="168"/>
        <v>32</v>
      </c>
      <c r="B552" t="str">
        <f ca="1">TEXT(DATE(YEAR(Invoer!$A$6),1,1)+INT((ROWS(B$2:B552)-1)/4),"jjjjmmdd")</f>
        <v>19400517</v>
      </c>
      <c r="C552" s="64" t="str">
        <f>IF(MOD(ROWS(C$2:C552)-1,4)=3,"24.00",INDEX(Data,3,2+MOD(ROWS(C$2:C552)-1,4)))</f>
        <v>17.00</v>
      </c>
      <c r="D552" s="18">
        <f t="shared" ca="1" si="169"/>
        <v>755.7</v>
      </c>
      <c r="E552" s="17">
        <f t="shared" ca="1" si="170"/>
        <v>0</v>
      </c>
      <c r="F552" s="18">
        <f t="shared" ca="1" si="171"/>
        <v>27.3</v>
      </c>
      <c r="G552" s="17">
        <f t="shared" ca="1" si="172"/>
        <v>0</v>
      </c>
      <c r="H552" s="18" t="str">
        <f t="shared" ca="1" si="173"/>
        <v>—</v>
      </c>
      <c r="I552" s="17">
        <f t="shared" ca="1" si="174"/>
        <v>7</v>
      </c>
      <c r="J552" s="18" t="str">
        <f t="shared" ca="1" si="175"/>
        <v>—</v>
      </c>
      <c r="K552" s="17">
        <f t="shared" ca="1" si="176"/>
        <v>7</v>
      </c>
      <c r="L552" s="10">
        <f t="shared" ca="1" si="177"/>
        <v>69</v>
      </c>
      <c r="M552" s="17">
        <f t="shared" ca="1" si="178"/>
        <v>0</v>
      </c>
      <c r="N552" s="18">
        <f t="shared" ca="1" si="179"/>
        <v>18.899999999999999</v>
      </c>
      <c r="O552" s="17">
        <f t="shared" ca="1" si="180"/>
        <v>0</v>
      </c>
      <c r="P552" s="18">
        <f t="shared" ca="1" si="181"/>
        <v>23</v>
      </c>
      <c r="Q552" s="17">
        <f t="shared" ca="1" si="182"/>
        <v>0</v>
      </c>
      <c r="R552" s="10">
        <f t="shared" ca="1" si="183"/>
        <v>65</v>
      </c>
      <c r="S552" s="17">
        <f t="shared" ca="1" si="184"/>
        <v>0</v>
      </c>
      <c r="T552" s="70">
        <f t="shared" ca="1" si="185"/>
        <v>0.5</v>
      </c>
      <c r="U552" s="17">
        <f t="shared" ca="1" si="186"/>
        <v>0</v>
      </c>
      <c r="V552" s="71">
        <f t="shared" ca="1" si="187"/>
        <v>4</v>
      </c>
      <c r="W552" s="17">
        <f t="shared" ca="1" si="188"/>
        <v>0</v>
      </c>
    </row>
    <row r="553" spans="1:23" x14ac:dyDescent="0.25">
      <c r="A553" s="4">
        <f t="shared" si="168"/>
        <v>32</v>
      </c>
      <c r="B553" t="str">
        <f ca="1">TEXT(DATE(YEAR(Invoer!$A$6),1,1)+INT((ROWS(B$2:B553)-1)/4),"jjjjmmdd")</f>
        <v>19400517</v>
      </c>
      <c r="C553" s="64" t="str">
        <f>IF(MOD(ROWS(C$2:C553)-1,4)=3,"24.00",INDEX(Data,3,2+MOD(ROWS(C$2:C553)-1,4)))</f>
        <v>24.00</v>
      </c>
      <c r="D553" s="18" t="str">
        <f t="shared" ca="1" si="169"/>
        <v>—</v>
      </c>
      <c r="E553" s="17">
        <f t="shared" ca="1" si="170"/>
        <v>7</v>
      </c>
      <c r="F553" s="18" t="str">
        <f t="shared" ca="1" si="171"/>
        <v>—</v>
      </c>
      <c r="G553" s="17">
        <f t="shared" ca="1" si="172"/>
        <v>7</v>
      </c>
      <c r="H553" s="18">
        <f t="shared" ca="1" si="173"/>
        <v>29.8</v>
      </c>
      <c r="I553" s="17">
        <f t="shared" ca="1" si="174"/>
        <v>0</v>
      </c>
      <c r="J553" s="18">
        <f t="shared" ca="1" si="175"/>
        <v>31.4</v>
      </c>
      <c r="K553" s="17">
        <f t="shared" ca="1" si="176"/>
        <v>0</v>
      </c>
      <c r="L553" s="10" t="str">
        <f t="shared" ca="1" si="177"/>
        <v>—</v>
      </c>
      <c r="M553" s="17">
        <f t="shared" ca="1" si="178"/>
        <v>7</v>
      </c>
      <c r="N553" s="18" t="str">
        <f t="shared" ca="1" si="179"/>
        <v>—</v>
      </c>
      <c r="O553" s="17">
        <f t="shared" ca="1" si="180"/>
        <v>7</v>
      </c>
      <c r="P553" s="18" t="str">
        <f t="shared" ca="1" si="181"/>
        <v>—</v>
      </c>
      <c r="Q553" s="17">
        <f t="shared" ca="1" si="182"/>
        <v>7</v>
      </c>
      <c r="R553" s="10" t="str">
        <f t="shared" ca="1" si="183"/>
        <v>—</v>
      </c>
      <c r="S553" s="17">
        <f t="shared" ca="1" si="184"/>
        <v>7</v>
      </c>
      <c r="T553" s="70" t="str">
        <f t="shared" ca="1" si="185"/>
        <v>—</v>
      </c>
      <c r="U553" s="17">
        <f t="shared" ca="1" si="186"/>
        <v>7</v>
      </c>
      <c r="V553" s="71" t="str">
        <f t="shared" ca="1" si="187"/>
        <v>—</v>
      </c>
      <c r="W553" s="17">
        <f t="shared" ca="1" si="188"/>
        <v>7</v>
      </c>
    </row>
    <row r="554" spans="1:23" x14ac:dyDescent="0.25">
      <c r="A554" s="4">
        <f t="shared" si="168"/>
        <v>32</v>
      </c>
      <c r="B554" t="str">
        <f ca="1">TEXT(DATE(YEAR(Invoer!$A$6),1,1)+INT((ROWS(B$2:B554)-1)/4),"jjjjmmdd")</f>
        <v>19400518</v>
      </c>
      <c r="C554" s="64" t="str">
        <f>IF(MOD(ROWS(C$2:C554)-1,4)=3,"24.00",INDEX(Data,3,2+MOD(ROWS(C$2:C554)-1,4)))</f>
        <v>07.00</v>
      </c>
      <c r="D554" s="18">
        <f t="shared" ca="1" si="169"/>
        <v>757.2</v>
      </c>
      <c r="E554" s="17">
        <f t="shared" ca="1" si="170"/>
        <v>0</v>
      </c>
      <c r="F554" s="18">
        <f t="shared" ca="1" si="171"/>
        <v>29.1</v>
      </c>
      <c r="G554" s="17">
        <f t="shared" ca="1" si="172"/>
        <v>0</v>
      </c>
      <c r="H554" s="18" t="str">
        <f t="shared" ca="1" si="173"/>
        <v>—</v>
      </c>
      <c r="I554" s="17">
        <f t="shared" ca="1" si="174"/>
        <v>7</v>
      </c>
      <c r="J554" s="18" t="str">
        <f t="shared" ca="1" si="175"/>
        <v>—</v>
      </c>
      <c r="K554" s="17">
        <f t="shared" ca="1" si="176"/>
        <v>7</v>
      </c>
      <c r="L554" s="10">
        <f t="shared" ca="1" si="177"/>
        <v>72</v>
      </c>
      <c r="M554" s="17">
        <f t="shared" ca="1" si="178"/>
        <v>0</v>
      </c>
      <c r="N554" s="18">
        <f t="shared" ca="1" si="179"/>
        <v>21.7</v>
      </c>
      <c r="O554" s="17">
        <f t="shared" ca="1" si="180"/>
        <v>0</v>
      </c>
      <c r="P554" s="18">
        <f t="shared" ca="1" si="181"/>
        <v>25</v>
      </c>
      <c r="Q554" s="17">
        <f t="shared" ca="1" si="182"/>
        <v>0</v>
      </c>
      <c r="R554" s="10">
        <f t="shared" ca="1" si="183"/>
        <v>65</v>
      </c>
      <c r="S554" s="17">
        <f t="shared" ca="1" si="184"/>
        <v>0</v>
      </c>
      <c r="T554" s="70">
        <f t="shared" ca="1" si="185"/>
        <v>0.3</v>
      </c>
      <c r="U554" s="17">
        <f t="shared" ca="1" si="186"/>
        <v>0</v>
      </c>
      <c r="V554" s="71">
        <f t="shared" ca="1" si="187"/>
        <v>3</v>
      </c>
      <c r="W554" s="17">
        <f t="shared" ca="1" si="188"/>
        <v>0</v>
      </c>
    </row>
    <row r="555" spans="1:23" x14ac:dyDescent="0.25">
      <c r="A555" s="4">
        <f t="shared" si="168"/>
        <v>32</v>
      </c>
      <c r="B555" t="str">
        <f ca="1">TEXT(DATE(YEAR(Invoer!$A$6),1,1)+INT((ROWS(B$2:B555)-1)/4),"jjjjmmdd")</f>
        <v>19400518</v>
      </c>
      <c r="C555" s="64" t="str">
        <f>IF(MOD(ROWS(C$2:C555)-1,4)=3,"24.00",INDEX(Data,3,2+MOD(ROWS(C$2:C555)-1,4)))</f>
        <v>12.00</v>
      </c>
      <c r="D555" s="18">
        <f t="shared" ca="1" si="169"/>
        <v>757.9</v>
      </c>
      <c r="E555" s="17">
        <f t="shared" ca="1" si="170"/>
        <v>0</v>
      </c>
      <c r="F555" s="18">
        <f t="shared" ca="1" si="171"/>
        <v>29.3</v>
      </c>
      <c r="G555" s="17">
        <f t="shared" ca="1" si="172"/>
        <v>0</v>
      </c>
      <c r="H555" s="18" t="str">
        <f t="shared" ca="1" si="173"/>
        <v>—</v>
      </c>
      <c r="I555" s="17">
        <f t="shared" ca="1" si="174"/>
        <v>7</v>
      </c>
      <c r="J555" s="18" t="str">
        <f t="shared" ca="1" si="175"/>
        <v>—</v>
      </c>
      <c r="K555" s="17">
        <f t="shared" ca="1" si="176"/>
        <v>7</v>
      </c>
      <c r="L555" s="10">
        <f t="shared" ca="1" si="177"/>
        <v>62</v>
      </c>
      <c r="M555" s="17">
        <f t="shared" ca="1" si="178"/>
        <v>0</v>
      </c>
      <c r="N555" s="18">
        <f t="shared" ca="1" si="179"/>
        <v>19</v>
      </c>
      <c r="O555" s="17">
        <f t="shared" ca="1" si="180"/>
        <v>0</v>
      </c>
      <c r="P555" s="18">
        <f t="shared" ca="1" si="181"/>
        <v>23.6</v>
      </c>
      <c r="Q555" s="17">
        <f t="shared" ca="1" si="182"/>
        <v>0</v>
      </c>
      <c r="R555" s="10">
        <f t="shared" ca="1" si="183"/>
        <v>65</v>
      </c>
      <c r="S555" s="17">
        <f t="shared" ca="1" si="184"/>
        <v>0</v>
      </c>
      <c r="T555" s="70">
        <f t="shared" ca="1" si="185"/>
        <v>0.4</v>
      </c>
      <c r="U555" s="17">
        <f t="shared" ca="1" si="186"/>
        <v>0</v>
      </c>
      <c r="V555" s="71">
        <f t="shared" ca="1" si="187"/>
        <v>4</v>
      </c>
      <c r="W555" s="17">
        <f t="shared" ca="1" si="188"/>
        <v>0</v>
      </c>
    </row>
    <row r="556" spans="1:23" x14ac:dyDescent="0.25">
      <c r="A556" s="4">
        <f t="shared" si="168"/>
        <v>32</v>
      </c>
      <c r="B556" t="str">
        <f ca="1">TEXT(DATE(YEAR(Invoer!$A$6),1,1)+INT((ROWS(B$2:B556)-1)/4),"jjjjmmdd")</f>
        <v>19400518</v>
      </c>
      <c r="C556" s="64" t="str">
        <f>IF(MOD(ROWS(C$2:C556)-1,4)=3,"24.00",INDEX(Data,3,2+MOD(ROWS(C$2:C556)-1,4)))</f>
        <v>17.00</v>
      </c>
      <c r="D556" s="18">
        <f t="shared" ca="1" si="169"/>
        <v>757.4</v>
      </c>
      <c r="E556" s="17">
        <f t="shared" ca="1" si="170"/>
        <v>0</v>
      </c>
      <c r="F556" s="18">
        <f t="shared" ca="1" si="171"/>
        <v>28.9</v>
      </c>
      <c r="G556" s="17">
        <f t="shared" ca="1" si="172"/>
        <v>0</v>
      </c>
      <c r="H556" s="18" t="str">
        <f t="shared" ca="1" si="173"/>
        <v>—</v>
      </c>
      <c r="I556" s="17">
        <f t="shared" ca="1" si="174"/>
        <v>7</v>
      </c>
      <c r="J556" s="18" t="str">
        <f t="shared" ca="1" si="175"/>
        <v>—</v>
      </c>
      <c r="K556" s="17">
        <f t="shared" ca="1" si="176"/>
        <v>7</v>
      </c>
      <c r="L556" s="10">
        <f t="shared" ca="1" si="177"/>
        <v>60</v>
      </c>
      <c r="M556" s="17">
        <f t="shared" ca="1" si="178"/>
        <v>0</v>
      </c>
      <c r="N556" s="18">
        <f t="shared" ca="1" si="179"/>
        <v>18.100000000000001</v>
      </c>
      <c r="O556" s="17">
        <f t="shared" ca="1" si="180"/>
        <v>0</v>
      </c>
      <c r="P556" s="18">
        <f t="shared" ca="1" si="181"/>
        <v>23</v>
      </c>
      <c r="Q556" s="17">
        <f t="shared" ca="1" si="182"/>
        <v>0</v>
      </c>
      <c r="R556" s="10">
        <f t="shared" ca="1" si="183"/>
        <v>65</v>
      </c>
      <c r="S556" s="17">
        <f t="shared" ca="1" si="184"/>
        <v>0</v>
      </c>
      <c r="T556" s="70">
        <f t="shared" ca="1" si="185"/>
        <v>0.4</v>
      </c>
      <c r="U556" s="17">
        <f t="shared" ca="1" si="186"/>
        <v>0</v>
      </c>
      <c r="V556" s="71">
        <f t="shared" ca="1" si="187"/>
        <v>3</v>
      </c>
      <c r="W556" s="17">
        <f t="shared" ca="1" si="188"/>
        <v>0</v>
      </c>
    </row>
    <row r="557" spans="1:23" x14ac:dyDescent="0.25">
      <c r="A557" s="4">
        <f t="shared" si="168"/>
        <v>32</v>
      </c>
      <c r="B557" t="str">
        <f ca="1">TEXT(DATE(YEAR(Invoer!$A$6),1,1)+INT((ROWS(B$2:B557)-1)/4),"jjjjmmdd")</f>
        <v>19400518</v>
      </c>
      <c r="C557" s="64" t="str">
        <f>IF(MOD(ROWS(C$2:C557)-1,4)=3,"24.00",INDEX(Data,3,2+MOD(ROWS(C$2:C557)-1,4)))</f>
        <v>24.00</v>
      </c>
      <c r="D557" s="18" t="str">
        <f t="shared" ca="1" si="169"/>
        <v>—</v>
      </c>
      <c r="E557" s="17">
        <f t="shared" ca="1" si="170"/>
        <v>7</v>
      </c>
      <c r="F557" s="18" t="str">
        <f t="shared" ca="1" si="171"/>
        <v>—</v>
      </c>
      <c r="G557" s="17">
        <f t="shared" ca="1" si="172"/>
        <v>7</v>
      </c>
      <c r="H557" s="18">
        <f t="shared" ca="1" si="173"/>
        <v>29.3</v>
      </c>
      <c r="I557" s="17">
        <f t="shared" ca="1" si="174"/>
        <v>0</v>
      </c>
      <c r="J557" s="18">
        <f t="shared" ca="1" si="175"/>
        <v>30.5</v>
      </c>
      <c r="K557" s="17">
        <f t="shared" ca="1" si="176"/>
        <v>0</v>
      </c>
      <c r="L557" s="10" t="str">
        <f t="shared" ca="1" si="177"/>
        <v>—</v>
      </c>
      <c r="M557" s="17">
        <f t="shared" ca="1" si="178"/>
        <v>7</v>
      </c>
      <c r="N557" s="18" t="str">
        <f t="shared" ca="1" si="179"/>
        <v>—</v>
      </c>
      <c r="O557" s="17">
        <f t="shared" ca="1" si="180"/>
        <v>7</v>
      </c>
      <c r="P557" s="18" t="str">
        <f t="shared" ca="1" si="181"/>
        <v>—</v>
      </c>
      <c r="Q557" s="17">
        <f t="shared" ca="1" si="182"/>
        <v>7</v>
      </c>
      <c r="R557" s="10" t="str">
        <f t="shared" ca="1" si="183"/>
        <v>—</v>
      </c>
      <c r="S557" s="17">
        <f t="shared" ca="1" si="184"/>
        <v>7</v>
      </c>
      <c r="T557" s="70" t="str">
        <f t="shared" ca="1" si="185"/>
        <v>—</v>
      </c>
      <c r="U557" s="17">
        <f t="shared" ca="1" si="186"/>
        <v>7</v>
      </c>
      <c r="V557" s="71" t="str">
        <f t="shared" ca="1" si="187"/>
        <v>—</v>
      </c>
      <c r="W557" s="17">
        <f t="shared" ca="1" si="188"/>
        <v>7</v>
      </c>
    </row>
    <row r="558" spans="1:23" x14ac:dyDescent="0.25">
      <c r="A558" s="4">
        <f t="shared" si="168"/>
        <v>32</v>
      </c>
      <c r="B558" t="str">
        <f ca="1">TEXT(DATE(YEAR(Invoer!$A$6),1,1)+INT((ROWS(B$2:B558)-1)/4),"jjjjmmdd")</f>
        <v>19400519</v>
      </c>
      <c r="C558" s="64" t="str">
        <f>IF(MOD(ROWS(C$2:C558)-1,4)=3,"24.00",INDEX(Data,3,2+MOD(ROWS(C$2:C558)-1,4)))</f>
        <v>07.00</v>
      </c>
      <c r="D558" s="18">
        <f t="shared" ca="1" si="169"/>
        <v>756.9</v>
      </c>
      <c r="E558" s="17">
        <f t="shared" ca="1" si="170"/>
        <v>0</v>
      </c>
      <c r="F558" s="18">
        <f t="shared" ca="1" si="171"/>
        <v>26.7</v>
      </c>
      <c r="G558" s="17">
        <f t="shared" ca="1" si="172"/>
        <v>0</v>
      </c>
      <c r="H558" s="18" t="str">
        <f t="shared" ca="1" si="173"/>
        <v>—</v>
      </c>
      <c r="I558" s="17">
        <f t="shared" ca="1" si="174"/>
        <v>7</v>
      </c>
      <c r="J558" s="18" t="str">
        <f t="shared" ca="1" si="175"/>
        <v>—</v>
      </c>
      <c r="K558" s="17">
        <f t="shared" ca="1" si="176"/>
        <v>7</v>
      </c>
      <c r="L558" s="10">
        <f t="shared" ca="1" si="177"/>
        <v>79</v>
      </c>
      <c r="M558" s="17">
        <f t="shared" ca="1" si="178"/>
        <v>0</v>
      </c>
      <c r="N558" s="18">
        <f t="shared" ca="1" si="179"/>
        <v>20.7</v>
      </c>
      <c r="O558" s="17">
        <f t="shared" ca="1" si="180"/>
        <v>0</v>
      </c>
      <c r="P558" s="18">
        <f t="shared" ca="1" si="181"/>
        <v>23.8</v>
      </c>
      <c r="Q558" s="17">
        <f t="shared" ca="1" si="182"/>
        <v>0</v>
      </c>
      <c r="R558" s="10">
        <f t="shared" ca="1" si="183"/>
        <v>65</v>
      </c>
      <c r="S558" s="17">
        <f t="shared" ca="1" si="184"/>
        <v>0</v>
      </c>
      <c r="T558" s="70">
        <f t="shared" ca="1" si="185"/>
        <v>0.2</v>
      </c>
      <c r="U558" s="17">
        <f t="shared" ca="1" si="186"/>
        <v>0</v>
      </c>
      <c r="V558" s="71">
        <f t="shared" ca="1" si="187"/>
        <v>3</v>
      </c>
      <c r="W558" s="17">
        <f t="shared" ca="1" si="188"/>
        <v>0</v>
      </c>
    </row>
    <row r="559" spans="1:23" x14ac:dyDescent="0.25">
      <c r="A559" s="4">
        <f t="shared" si="168"/>
        <v>32</v>
      </c>
      <c r="B559" t="str">
        <f ca="1">TEXT(DATE(YEAR(Invoer!$A$6),1,1)+INT((ROWS(B$2:B559)-1)/4),"jjjjmmdd")</f>
        <v>19400519</v>
      </c>
      <c r="C559" s="64" t="str">
        <f>IF(MOD(ROWS(C$2:C559)-1,4)=3,"24.00",INDEX(Data,3,2+MOD(ROWS(C$2:C559)-1,4)))</f>
        <v>12.00</v>
      </c>
      <c r="D559" s="18">
        <f t="shared" ca="1" si="169"/>
        <v>756.7</v>
      </c>
      <c r="E559" s="17">
        <f t="shared" ca="1" si="170"/>
        <v>0</v>
      </c>
      <c r="F559" s="18">
        <f t="shared" ca="1" si="171"/>
        <v>27.3</v>
      </c>
      <c r="G559" s="17">
        <f t="shared" ca="1" si="172"/>
        <v>0</v>
      </c>
      <c r="H559" s="18" t="str">
        <f t="shared" ca="1" si="173"/>
        <v>—</v>
      </c>
      <c r="I559" s="17">
        <f t="shared" ca="1" si="174"/>
        <v>7</v>
      </c>
      <c r="J559" s="18" t="str">
        <f t="shared" ca="1" si="175"/>
        <v>—</v>
      </c>
      <c r="K559" s="17">
        <f t="shared" ca="1" si="176"/>
        <v>7</v>
      </c>
      <c r="L559" s="10">
        <f t="shared" ca="1" si="177"/>
        <v>79</v>
      </c>
      <c r="M559" s="17">
        <f t="shared" ca="1" si="178"/>
        <v>0</v>
      </c>
      <c r="N559" s="18">
        <f t="shared" ca="1" si="179"/>
        <v>21.5</v>
      </c>
      <c r="O559" s="17">
        <f t="shared" ca="1" si="180"/>
        <v>0</v>
      </c>
      <c r="P559" s="18">
        <f t="shared" ca="1" si="181"/>
        <v>24.4</v>
      </c>
      <c r="Q559" s="17">
        <f t="shared" ca="1" si="182"/>
        <v>0</v>
      </c>
      <c r="R559" s="10">
        <f t="shared" ca="1" si="183"/>
        <v>65</v>
      </c>
      <c r="S559" s="17">
        <f t="shared" ca="1" si="184"/>
        <v>0</v>
      </c>
      <c r="T559" s="70">
        <f t="shared" ca="1" si="185"/>
        <v>0.3</v>
      </c>
      <c r="U559" s="17">
        <f t="shared" ca="1" si="186"/>
        <v>0</v>
      </c>
      <c r="V559" s="71">
        <f t="shared" ca="1" si="187"/>
        <v>2</v>
      </c>
      <c r="W559" s="17">
        <f t="shared" ca="1" si="188"/>
        <v>0</v>
      </c>
    </row>
    <row r="560" spans="1:23" x14ac:dyDescent="0.25">
      <c r="A560" s="4">
        <f t="shared" si="168"/>
        <v>32</v>
      </c>
      <c r="B560" t="str">
        <f ca="1">TEXT(DATE(YEAR(Invoer!$A$6),1,1)+INT((ROWS(B$2:B560)-1)/4),"jjjjmmdd")</f>
        <v>19400519</v>
      </c>
      <c r="C560" s="64" t="str">
        <f>IF(MOD(ROWS(C$2:C560)-1,4)=3,"24.00",INDEX(Data,3,2+MOD(ROWS(C$2:C560)-1,4)))</f>
        <v>17.00</v>
      </c>
      <c r="D560" s="18">
        <f t="shared" ca="1" si="169"/>
        <v>754.4</v>
      </c>
      <c r="E560" s="17">
        <f t="shared" ca="1" si="170"/>
        <v>0</v>
      </c>
      <c r="F560" s="18">
        <f t="shared" ca="1" si="171"/>
        <v>27</v>
      </c>
      <c r="G560" s="17">
        <f t="shared" ca="1" si="172"/>
        <v>0</v>
      </c>
      <c r="H560" s="18" t="str">
        <f t="shared" ca="1" si="173"/>
        <v>—</v>
      </c>
      <c r="I560" s="17">
        <f t="shared" ca="1" si="174"/>
        <v>7</v>
      </c>
      <c r="J560" s="18" t="str">
        <f t="shared" ca="1" si="175"/>
        <v>—</v>
      </c>
      <c r="K560" s="17">
        <f t="shared" ca="1" si="176"/>
        <v>7</v>
      </c>
      <c r="L560" s="10">
        <f t="shared" ca="1" si="177"/>
        <v>75</v>
      </c>
      <c r="M560" s="17">
        <f t="shared" ca="1" si="178"/>
        <v>0</v>
      </c>
      <c r="N560" s="18">
        <f t="shared" ca="1" si="179"/>
        <v>20.100000000000001</v>
      </c>
      <c r="O560" s="17">
        <f t="shared" ca="1" si="180"/>
        <v>0</v>
      </c>
      <c r="P560" s="18">
        <f t="shared" ca="1" si="181"/>
        <v>23.6</v>
      </c>
      <c r="Q560" s="17">
        <f t="shared" ca="1" si="182"/>
        <v>0</v>
      </c>
      <c r="R560" s="10">
        <f t="shared" ca="1" si="183"/>
        <v>65</v>
      </c>
      <c r="S560" s="17">
        <f t="shared" ca="1" si="184"/>
        <v>0</v>
      </c>
      <c r="T560" s="70">
        <f t="shared" ca="1" si="185"/>
        <v>0.3</v>
      </c>
      <c r="U560" s="17">
        <f t="shared" ca="1" si="186"/>
        <v>0</v>
      </c>
      <c r="V560" s="71">
        <f t="shared" ca="1" si="187"/>
        <v>4</v>
      </c>
      <c r="W560" s="17">
        <f t="shared" ca="1" si="188"/>
        <v>0</v>
      </c>
    </row>
    <row r="561" spans="1:23" x14ac:dyDescent="0.25">
      <c r="A561" s="4">
        <f t="shared" si="168"/>
        <v>32</v>
      </c>
      <c r="B561" t="str">
        <f ca="1">TEXT(DATE(YEAR(Invoer!$A$6),1,1)+INT((ROWS(B$2:B561)-1)/4),"jjjjmmdd")</f>
        <v>19400519</v>
      </c>
      <c r="C561" s="64" t="str">
        <f>IF(MOD(ROWS(C$2:C561)-1,4)=3,"24.00",INDEX(Data,3,2+MOD(ROWS(C$2:C561)-1,4)))</f>
        <v>24.00</v>
      </c>
      <c r="D561" s="18" t="str">
        <f t="shared" ca="1" si="169"/>
        <v>—</v>
      </c>
      <c r="E561" s="17">
        <f t="shared" ca="1" si="170"/>
        <v>7</v>
      </c>
      <c r="F561" s="18" t="str">
        <f t="shared" ca="1" si="171"/>
        <v>—</v>
      </c>
      <c r="G561" s="17">
        <f t="shared" ca="1" si="172"/>
        <v>7</v>
      </c>
      <c r="H561" s="18">
        <f t="shared" ca="1" si="173"/>
        <v>25.8</v>
      </c>
      <c r="I561" s="17">
        <f t="shared" ca="1" si="174"/>
        <v>0</v>
      </c>
      <c r="J561" s="18">
        <f t="shared" ca="1" si="175"/>
        <v>27</v>
      </c>
      <c r="K561" s="17">
        <f t="shared" ca="1" si="176"/>
        <v>0</v>
      </c>
      <c r="L561" s="10" t="str">
        <f t="shared" ca="1" si="177"/>
        <v>—</v>
      </c>
      <c r="M561" s="17">
        <f t="shared" ca="1" si="178"/>
        <v>7</v>
      </c>
      <c r="N561" s="18" t="str">
        <f t="shared" ca="1" si="179"/>
        <v>—</v>
      </c>
      <c r="O561" s="17">
        <f t="shared" ca="1" si="180"/>
        <v>7</v>
      </c>
      <c r="P561" s="18" t="str">
        <f t="shared" ca="1" si="181"/>
        <v>—</v>
      </c>
      <c r="Q561" s="17">
        <f t="shared" ca="1" si="182"/>
        <v>7</v>
      </c>
      <c r="R561" s="10" t="str">
        <f t="shared" ca="1" si="183"/>
        <v>—</v>
      </c>
      <c r="S561" s="17">
        <f t="shared" ca="1" si="184"/>
        <v>7</v>
      </c>
      <c r="T561" s="70" t="str">
        <f t="shared" ca="1" si="185"/>
        <v>—</v>
      </c>
      <c r="U561" s="17">
        <f t="shared" ca="1" si="186"/>
        <v>7</v>
      </c>
      <c r="V561" s="71" t="str">
        <f t="shared" ca="1" si="187"/>
        <v>—</v>
      </c>
      <c r="W561" s="17">
        <f t="shared" ca="1" si="188"/>
        <v>7</v>
      </c>
    </row>
    <row r="562" spans="1:23" x14ac:dyDescent="0.25">
      <c r="A562" s="4">
        <f t="shared" si="168"/>
        <v>32</v>
      </c>
      <c r="B562" t="str">
        <f ca="1">TEXT(DATE(YEAR(Invoer!$A$6),1,1)+INT((ROWS(B$2:B562)-1)/4),"jjjjmmdd")</f>
        <v>19400520</v>
      </c>
      <c r="C562" s="64" t="str">
        <f>IF(MOD(ROWS(C$2:C562)-1,4)=3,"24.00",INDEX(Data,3,2+MOD(ROWS(C$2:C562)-1,4)))</f>
        <v>07.00</v>
      </c>
      <c r="D562" s="18">
        <f t="shared" ca="1" si="169"/>
        <v>756.9</v>
      </c>
      <c r="E562" s="17">
        <f t="shared" ca="1" si="170"/>
        <v>0</v>
      </c>
      <c r="F562" s="18">
        <f t="shared" ca="1" si="171"/>
        <v>27</v>
      </c>
      <c r="G562" s="17">
        <f t="shared" ca="1" si="172"/>
        <v>0</v>
      </c>
      <c r="H562" s="18" t="str">
        <f t="shared" ca="1" si="173"/>
        <v>—</v>
      </c>
      <c r="I562" s="17">
        <f t="shared" ca="1" si="174"/>
        <v>7</v>
      </c>
      <c r="J562" s="18" t="str">
        <f t="shared" ca="1" si="175"/>
        <v>—</v>
      </c>
      <c r="K562" s="17">
        <f t="shared" ca="1" si="176"/>
        <v>7</v>
      </c>
      <c r="L562" s="10">
        <f t="shared" ca="1" si="177"/>
        <v>87</v>
      </c>
      <c r="M562" s="17">
        <f t="shared" ca="1" si="178"/>
        <v>0</v>
      </c>
      <c r="N562" s="18">
        <f t="shared" ca="1" si="179"/>
        <v>23.1</v>
      </c>
      <c r="O562" s="17">
        <f t="shared" ca="1" si="180"/>
        <v>0</v>
      </c>
      <c r="P562" s="18">
        <f t="shared" ca="1" si="181"/>
        <v>25.2</v>
      </c>
      <c r="Q562" s="17">
        <f t="shared" ca="1" si="182"/>
        <v>0</v>
      </c>
      <c r="R562" s="10">
        <f t="shared" ca="1" si="183"/>
        <v>0</v>
      </c>
      <c r="S562" s="17">
        <f t="shared" ca="1" si="184"/>
        <v>0</v>
      </c>
      <c r="T562" s="70">
        <f t="shared" ca="1" si="185"/>
        <v>0.1</v>
      </c>
      <c r="U562" s="17">
        <f t="shared" ca="1" si="186"/>
        <v>0</v>
      </c>
      <c r="V562" s="71">
        <f t="shared" ca="1" si="187"/>
        <v>8</v>
      </c>
      <c r="W562" s="17">
        <f t="shared" ca="1" si="188"/>
        <v>0</v>
      </c>
    </row>
    <row r="563" spans="1:23" x14ac:dyDescent="0.25">
      <c r="A563" s="4">
        <f t="shared" si="168"/>
        <v>32</v>
      </c>
      <c r="B563" t="str">
        <f ca="1">TEXT(DATE(YEAR(Invoer!$A$6),1,1)+INT((ROWS(B$2:B563)-1)/4),"jjjjmmdd")</f>
        <v>19400520</v>
      </c>
      <c r="C563" s="64" t="str">
        <f>IF(MOD(ROWS(C$2:C563)-1,4)=3,"24.00",INDEX(Data,3,2+MOD(ROWS(C$2:C563)-1,4)))</f>
        <v>12.00</v>
      </c>
      <c r="D563" s="18">
        <f t="shared" ca="1" si="169"/>
        <v>757.4</v>
      </c>
      <c r="E563" s="17">
        <f t="shared" ca="1" si="170"/>
        <v>0</v>
      </c>
      <c r="F563" s="18">
        <f t="shared" ca="1" si="171"/>
        <v>27.6</v>
      </c>
      <c r="G563" s="17">
        <f t="shared" ca="1" si="172"/>
        <v>0</v>
      </c>
      <c r="H563" s="18" t="str">
        <f t="shared" ca="1" si="173"/>
        <v>—</v>
      </c>
      <c r="I563" s="17">
        <f t="shared" ca="1" si="174"/>
        <v>7</v>
      </c>
      <c r="J563" s="18" t="str">
        <f t="shared" ca="1" si="175"/>
        <v>—</v>
      </c>
      <c r="K563" s="17">
        <f t="shared" ca="1" si="176"/>
        <v>7</v>
      </c>
      <c r="L563" s="10">
        <f t="shared" ca="1" si="177"/>
        <v>87</v>
      </c>
      <c r="M563" s="17">
        <f t="shared" ca="1" si="178"/>
        <v>0</v>
      </c>
      <c r="N563" s="18">
        <f t="shared" ca="1" si="179"/>
        <v>24</v>
      </c>
      <c r="O563" s="17">
        <f t="shared" ca="1" si="180"/>
        <v>0</v>
      </c>
      <c r="P563" s="18">
        <f t="shared" ca="1" si="181"/>
        <v>25.8</v>
      </c>
      <c r="Q563" s="17">
        <f t="shared" ca="1" si="182"/>
        <v>0</v>
      </c>
      <c r="R563" s="10">
        <f t="shared" ca="1" si="183"/>
        <v>0</v>
      </c>
      <c r="S563" s="17">
        <f t="shared" ca="1" si="184"/>
        <v>0</v>
      </c>
      <c r="T563" s="70">
        <f t="shared" ca="1" si="185"/>
        <v>0.1</v>
      </c>
      <c r="U563" s="17">
        <f t="shared" ca="1" si="186"/>
        <v>0</v>
      </c>
      <c r="V563" s="71">
        <f t="shared" ca="1" si="187"/>
        <v>9</v>
      </c>
      <c r="W563" s="17">
        <f t="shared" ca="1" si="188"/>
        <v>0</v>
      </c>
    </row>
    <row r="564" spans="1:23" x14ac:dyDescent="0.25">
      <c r="A564" s="4">
        <f t="shared" si="168"/>
        <v>32</v>
      </c>
      <c r="B564" t="str">
        <f ca="1">TEXT(DATE(YEAR(Invoer!$A$6),1,1)+INT((ROWS(B$2:B564)-1)/4),"jjjjmmdd")</f>
        <v>19400520</v>
      </c>
      <c r="C564" s="64" t="str">
        <f>IF(MOD(ROWS(C$2:C564)-1,4)=3,"24.00",INDEX(Data,3,2+MOD(ROWS(C$2:C564)-1,4)))</f>
        <v>17.00</v>
      </c>
      <c r="D564" s="18">
        <f t="shared" ca="1" si="169"/>
        <v>756.9</v>
      </c>
      <c r="E564" s="17">
        <f t="shared" ca="1" si="170"/>
        <v>0</v>
      </c>
      <c r="F564" s="18">
        <f t="shared" ca="1" si="171"/>
        <v>26.8</v>
      </c>
      <c r="G564" s="17">
        <f t="shared" ca="1" si="172"/>
        <v>0</v>
      </c>
      <c r="H564" s="18" t="str">
        <f t="shared" ca="1" si="173"/>
        <v>—</v>
      </c>
      <c r="I564" s="17">
        <f t="shared" ca="1" si="174"/>
        <v>7</v>
      </c>
      <c r="J564" s="18" t="str">
        <f t="shared" ca="1" si="175"/>
        <v>—</v>
      </c>
      <c r="K564" s="17">
        <f t="shared" ca="1" si="176"/>
        <v>7</v>
      </c>
      <c r="L564" s="10">
        <f t="shared" ca="1" si="177"/>
        <v>82</v>
      </c>
      <c r="M564" s="17">
        <f t="shared" ca="1" si="178"/>
        <v>0</v>
      </c>
      <c r="N564" s="18">
        <f t="shared" ca="1" si="179"/>
        <v>21.7</v>
      </c>
      <c r="O564" s="17">
        <f t="shared" ca="1" si="180"/>
        <v>0</v>
      </c>
      <c r="P564" s="18">
        <f t="shared" ca="1" si="181"/>
        <v>24.4</v>
      </c>
      <c r="Q564" s="17">
        <f t="shared" ca="1" si="182"/>
        <v>0</v>
      </c>
      <c r="R564" s="10">
        <f t="shared" ca="1" si="183"/>
        <v>0</v>
      </c>
      <c r="S564" s="17">
        <f t="shared" ca="1" si="184"/>
        <v>0</v>
      </c>
      <c r="T564" s="70">
        <f t="shared" ca="1" si="185"/>
        <v>0.1</v>
      </c>
      <c r="U564" s="17">
        <f t="shared" ca="1" si="186"/>
        <v>0</v>
      </c>
      <c r="V564" s="71">
        <f t="shared" ca="1" si="187"/>
        <v>9</v>
      </c>
      <c r="W564" s="17">
        <f t="shared" ca="1" si="188"/>
        <v>0</v>
      </c>
    </row>
    <row r="565" spans="1:23" x14ac:dyDescent="0.25">
      <c r="A565" s="4">
        <f t="shared" si="168"/>
        <v>32</v>
      </c>
      <c r="B565" t="str">
        <f ca="1">TEXT(DATE(YEAR(Invoer!$A$6),1,1)+INT((ROWS(B$2:B565)-1)/4),"jjjjmmdd")</f>
        <v>19400520</v>
      </c>
      <c r="C565" s="64" t="str">
        <f>IF(MOD(ROWS(C$2:C565)-1,4)=3,"24.00",INDEX(Data,3,2+MOD(ROWS(C$2:C565)-1,4)))</f>
        <v>24.00</v>
      </c>
      <c r="D565" s="18" t="str">
        <f t="shared" ca="1" si="169"/>
        <v>—</v>
      </c>
      <c r="E565" s="17">
        <f t="shared" ca="1" si="170"/>
        <v>7</v>
      </c>
      <c r="F565" s="18" t="str">
        <f t="shared" ca="1" si="171"/>
        <v>—</v>
      </c>
      <c r="G565" s="17">
        <f t="shared" ca="1" si="172"/>
        <v>7</v>
      </c>
      <c r="H565" s="18">
        <f t="shared" ca="1" si="173"/>
        <v>28.4</v>
      </c>
      <c r="I565" s="17">
        <f t="shared" ca="1" si="174"/>
        <v>0</v>
      </c>
      <c r="J565" s="18">
        <f t="shared" ca="1" si="175"/>
        <v>29.4</v>
      </c>
      <c r="K565" s="17">
        <f t="shared" ca="1" si="176"/>
        <v>0</v>
      </c>
      <c r="L565" s="10" t="str">
        <f t="shared" ca="1" si="177"/>
        <v>—</v>
      </c>
      <c r="M565" s="17">
        <f t="shared" ca="1" si="178"/>
        <v>7</v>
      </c>
      <c r="N565" s="18" t="str">
        <f t="shared" ca="1" si="179"/>
        <v>—</v>
      </c>
      <c r="O565" s="17">
        <f t="shared" ca="1" si="180"/>
        <v>7</v>
      </c>
      <c r="P565" s="18" t="str">
        <f t="shared" ca="1" si="181"/>
        <v>—</v>
      </c>
      <c r="Q565" s="17">
        <f t="shared" ca="1" si="182"/>
        <v>7</v>
      </c>
      <c r="R565" s="10" t="str">
        <f t="shared" ca="1" si="183"/>
        <v>—</v>
      </c>
      <c r="S565" s="17">
        <f t="shared" ca="1" si="184"/>
        <v>7</v>
      </c>
      <c r="T565" s="70" t="str">
        <f t="shared" ca="1" si="185"/>
        <v>—</v>
      </c>
      <c r="U565" s="17">
        <f t="shared" ca="1" si="186"/>
        <v>7</v>
      </c>
      <c r="V565" s="71" t="str">
        <f t="shared" ca="1" si="187"/>
        <v>—</v>
      </c>
      <c r="W565" s="17">
        <f t="shared" ca="1" si="188"/>
        <v>7</v>
      </c>
    </row>
    <row r="566" spans="1:23" x14ac:dyDescent="0.25">
      <c r="A566" s="4">
        <f t="shared" si="168"/>
        <v>32</v>
      </c>
      <c r="B566" t="str">
        <f ca="1">TEXT(DATE(YEAR(Invoer!$A$6),1,1)+INT((ROWS(B$2:B566)-1)/4),"jjjjmmdd")</f>
        <v>19400521</v>
      </c>
      <c r="C566" s="64" t="str">
        <f>IF(MOD(ROWS(C$2:C566)-1,4)=3,"24.00",INDEX(Data,3,2+MOD(ROWS(C$2:C566)-1,4)))</f>
        <v>07.00</v>
      </c>
      <c r="D566" s="18">
        <f t="shared" ca="1" si="169"/>
        <v>758.2</v>
      </c>
      <c r="E566" s="17">
        <f t="shared" ca="1" si="170"/>
        <v>0</v>
      </c>
      <c r="F566" s="18">
        <f t="shared" ca="1" si="171"/>
        <v>27.1</v>
      </c>
      <c r="G566" s="17">
        <f t="shared" ca="1" si="172"/>
        <v>0</v>
      </c>
      <c r="H566" s="18" t="str">
        <f t="shared" ca="1" si="173"/>
        <v>—</v>
      </c>
      <c r="I566" s="17">
        <f t="shared" ca="1" si="174"/>
        <v>7</v>
      </c>
      <c r="J566" s="18" t="str">
        <f t="shared" ca="1" si="175"/>
        <v>—</v>
      </c>
      <c r="K566" s="17">
        <f t="shared" ca="1" si="176"/>
        <v>7</v>
      </c>
      <c r="L566" s="10">
        <f t="shared" ca="1" si="177"/>
        <v>83</v>
      </c>
      <c r="M566" s="17">
        <f t="shared" ca="1" si="178"/>
        <v>0</v>
      </c>
      <c r="N566" s="18">
        <f t="shared" ca="1" si="179"/>
        <v>22.3</v>
      </c>
      <c r="O566" s="17">
        <f t="shared" ca="1" si="180"/>
        <v>0</v>
      </c>
      <c r="P566" s="18">
        <f t="shared" ca="1" si="181"/>
        <v>24.8</v>
      </c>
      <c r="Q566" s="17">
        <f t="shared" ca="1" si="182"/>
        <v>0</v>
      </c>
      <c r="R566" s="10">
        <f t="shared" ca="1" si="183"/>
        <v>45</v>
      </c>
      <c r="S566" s="17">
        <f t="shared" ca="1" si="184"/>
        <v>0</v>
      </c>
      <c r="T566" s="70">
        <f t="shared" ca="1" si="185"/>
        <v>0.1</v>
      </c>
      <c r="U566" s="17">
        <f t="shared" ca="1" si="186"/>
        <v>0</v>
      </c>
      <c r="V566" s="71">
        <f t="shared" ca="1" si="187"/>
        <v>7</v>
      </c>
      <c r="W566" s="17">
        <f t="shared" ca="1" si="188"/>
        <v>0</v>
      </c>
    </row>
    <row r="567" spans="1:23" x14ac:dyDescent="0.25">
      <c r="A567" s="4">
        <f t="shared" si="168"/>
        <v>32</v>
      </c>
      <c r="B567" t="str">
        <f ca="1">TEXT(DATE(YEAR(Invoer!$A$6),1,1)+INT((ROWS(B$2:B567)-1)/4),"jjjjmmdd")</f>
        <v>19400521</v>
      </c>
      <c r="C567" s="64" t="str">
        <f>IF(MOD(ROWS(C$2:C567)-1,4)=3,"24.00",INDEX(Data,3,2+MOD(ROWS(C$2:C567)-1,4)))</f>
        <v>12.00</v>
      </c>
      <c r="D567" s="18">
        <f t="shared" ca="1" si="169"/>
        <v>758.2</v>
      </c>
      <c r="E567" s="17">
        <f t="shared" ca="1" si="170"/>
        <v>0</v>
      </c>
      <c r="F567" s="18">
        <f t="shared" ca="1" si="171"/>
        <v>27.1</v>
      </c>
      <c r="G567" s="17">
        <f t="shared" ca="1" si="172"/>
        <v>0</v>
      </c>
      <c r="H567" s="18" t="str">
        <f t="shared" ca="1" si="173"/>
        <v>—</v>
      </c>
      <c r="I567" s="17">
        <f t="shared" ca="1" si="174"/>
        <v>7</v>
      </c>
      <c r="J567" s="18" t="str">
        <f t="shared" ca="1" si="175"/>
        <v>—</v>
      </c>
      <c r="K567" s="17">
        <f t="shared" ca="1" si="176"/>
        <v>7</v>
      </c>
      <c r="L567" s="10">
        <f t="shared" ca="1" si="177"/>
        <v>84</v>
      </c>
      <c r="M567" s="17">
        <f t="shared" ca="1" si="178"/>
        <v>0</v>
      </c>
      <c r="N567" s="18">
        <f t="shared" ca="1" si="179"/>
        <v>22.7</v>
      </c>
      <c r="O567" s="17">
        <f t="shared" ca="1" si="180"/>
        <v>0</v>
      </c>
      <c r="P567" s="18">
        <f t="shared" ca="1" si="181"/>
        <v>25</v>
      </c>
      <c r="Q567" s="17">
        <f t="shared" ca="1" si="182"/>
        <v>0</v>
      </c>
      <c r="R567" s="10">
        <f t="shared" ca="1" si="183"/>
        <v>135</v>
      </c>
      <c r="S567" s="17">
        <f t="shared" ca="1" si="184"/>
        <v>0</v>
      </c>
      <c r="T567" s="70">
        <f t="shared" ca="1" si="185"/>
        <v>0.1</v>
      </c>
      <c r="U567" s="17">
        <f t="shared" ca="1" si="186"/>
        <v>0</v>
      </c>
      <c r="V567" s="71">
        <f t="shared" ca="1" si="187"/>
        <v>8</v>
      </c>
      <c r="W567" s="17">
        <f t="shared" ca="1" si="188"/>
        <v>0</v>
      </c>
    </row>
    <row r="568" spans="1:23" x14ac:dyDescent="0.25">
      <c r="A568" s="4">
        <f t="shared" si="168"/>
        <v>32</v>
      </c>
      <c r="B568" t="str">
        <f ca="1">TEXT(DATE(YEAR(Invoer!$A$6),1,1)+INT((ROWS(B$2:B568)-1)/4),"jjjjmmdd")</f>
        <v>19400521</v>
      </c>
      <c r="C568" s="64" t="str">
        <f>IF(MOD(ROWS(C$2:C568)-1,4)=3,"24.00",INDEX(Data,3,2+MOD(ROWS(C$2:C568)-1,4)))</f>
        <v>17.00</v>
      </c>
      <c r="D568" s="18">
        <f t="shared" ca="1" si="169"/>
        <v>758.2</v>
      </c>
      <c r="E568" s="17">
        <f t="shared" ca="1" si="170"/>
        <v>0</v>
      </c>
      <c r="F568" s="18">
        <f t="shared" ca="1" si="171"/>
        <v>26.7</v>
      </c>
      <c r="G568" s="17">
        <f t="shared" ca="1" si="172"/>
        <v>0</v>
      </c>
      <c r="H568" s="18" t="str">
        <f t="shared" ca="1" si="173"/>
        <v>—</v>
      </c>
      <c r="I568" s="17">
        <f t="shared" ca="1" si="174"/>
        <v>7</v>
      </c>
      <c r="J568" s="18" t="str">
        <f t="shared" ca="1" si="175"/>
        <v>—</v>
      </c>
      <c r="K568" s="17">
        <f t="shared" ca="1" si="176"/>
        <v>7</v>
      </c>
      <c r="L568" s="10">
        <f t="shared" ca="1" si="177"/>
        <v>86</v>
      </c>
      <c r="M568" s="17">
        <f t="shared" ca="1" si="178"/>
        <v>0</v>
      </c>
      <c r="N568" s="18">
        <f t="shared" ca="1" si="179"/>
        <v>22.5</v>
      </c>
      <c r="O568" s="17">
        <f t="shared" ca="1" si="180"/>
        <v>0</v>
      </c>
      <c r="P568" s="18">
        <f t="shared" ca="1" si="181"/>
        <v>24.8</v>
      </c>
      <c r="Q568" s="17">
        <f t="shared" ca="1" si="182"/>
        <v>0</v>
      </c>
      <c r="R568" s="10">
        <f t="shared" ca="1" si="183"/>
        <v>135</v>
      </c>
      <c r="S568" s="17">
        <f t="shared" ca="1" si="184"/>
        <v>0</v>
      </c>
      <c r="T568" s="70">
        <f t="shared" ca="1" si="185"/>
        <v>0.1</v>
      </c>
      <c r="U568" s="17">
        <f t="shared" ca="1" si="186"/>
        <v>0</v>
      </c>
      <c r="V568" s="71">
        <f t="shared" ca="1" si="187"/>
        <v>7</v>
      </c>
      <c r="W568" s="17">
        <f t="shared" ca="1" si="188"/>
        <v>0</v>
      </c>
    </row>
    <row r="569" spans="1:23" x14ac:dyDescent="0.25">
      <c r="A569" s="4">
        <f t="shared" si="168"/>
        <v>32</v>
      </c>
      <c r="B569" t="str">
        <f ca="1">TEXT(DATE(YEAR(Invoer!$A$6),1,1)+INT((ROWS(B$2:B569)-1)/4),"jjjjmmdd")</f>
        <v>19400521</v>
      </c>
      <c r="C569" s="64" t="str">
        <f>IF(MOD(ROWS(C$2:C569)-1,4)=3,"24.00",INDEX(Data,3,2+MOD(ROWS(C$2:C569)-1,4)))</f>
        <v>24.00</v>
      </c>
      <c r="D569" s="18" t="str">
        <f t="shared" ca="1" si="169"/>
        <v>—</v>
      </c>
      <c r="E569" s="17">
        <f t="shared" ca="1" si="170"/>
        <v>7</v>
      </c>
      <c r="F569" s="18" t="str">
        <f t="shared" ca="1" si="171"/>
        <v>—</v>
      </c>
      <c r="G569" s="17">
        <f t="shared" ca="1" si="172"/>
        <v>7</v>
      </c>
      <c r="H569" s="18">
        <f t="shared" ca="1" si="173"/>
        <v>28</v>
      </c>
      <c r="I569" s="17">
        <f t="shared" ca="1" si="174"/>
        <v>0</v>
      </c>
      <c r="J569" s="18">
        <f t="shared" ca="1" si="175"/>
        <v>29.4</v>
      </c>
      <c r="K569" s="17">
        <f t="shared" ca="1" si="176"/>
        <v>0</v>
      </c>
      <c r="L569" s="10" t="str">
        <f t="shared" ca="1" si="177"/>
        <v>—</v>
      </c>
      <c r="M569" s="17">
        <f t="shared" ca="1" si="178"/>
        <v>7</v>
      </c>
      <c r="N569" s="18" t="str">
        <f t="shared" ca="1" si="179"/>
        <v>—</v>
      </c>
      <c r="O569" s="17">
        <f t="shared" ca="1" si="180"/>
        <v>7</v>
      </c>
      <c r="P569" s="18" t="str">
        <f t="shared" ca="1" si="181"/>
        <v>—</v>
      </c>
      <c r="Q569" s="17">
        <f t="shared" ca="1" si="182"/>
        <v>7</v>
      </c>
      <c r="R569" s="10" t="str">
        <f t="shared" ca="1" si="183"/>
        <v>—</v>
      </c>
      <c r="S569" s="17">
        <f t="shared" ca="1" si="184"/>
        <v>7</v>
      </c>
      <c r="T569" s="70" t="str">
        <f t="shared" ca="1" si="185"/>
        <v>—</v>
      </c>
      <c r="U569" s="17">
        <f t="shared" ca="1" si="186"/>
        <v>7</v>
      </c>
      <c r="V569" s="71" t="str">
        <f t="shared" ca="1" si="187"/>
        <v>—</v>
      </c>
      <c r="W569" s="17">
        <f t="shared" ca="1" si="188"/>
        <v>7</v>
      </c>
    </row>
    <row r="570" spans="1:23" x14ac:dyDescent="0.25">
      <c r="A570" s="4">
        <f t="shared" si="168"/>
        <v>32</v>
      </c>
      <c r="B570" t="str">
        <f ca="1">TEXT(DATE(YEAR(Invoer!$A$6),1,1)+INT((ROWS(B$2:B570)-1)/4),"jjjjmmdd")</f>
        <v>19400522</v>
      </c>
      <c r="C570" s="64" t="str">
        <f>IF(MOD(ROWS(C$2:C570)-1,4)=3,"24.00",INDEX(Data,3,2+MOD(ROWS(C$2:C570)-1,4)))</f>
        <v>07.00</v>
      </c>
      <c r="D570" s="18">
        <f t="shared" ca="1" si="169"/>
        <v>759.5</v>
      </c>
      <c r="E570" s="17">
        <f t="shared" ca="1" si="170"/>
        <v>0</v>
      </c>
      <c r="F570" s="18">
        <f t="shared" ca="1" si="171"/>
        <v>27.1</v>
      </c>
      <c r="G570" s="17">
        <f t="shared" ca="1" si="172"/>
        <v>0</v>
      </c>
      <c r="H570" s="18" t="str">
        <f t="shared" ca="1" si="173"/>
        <v>—</v>
      </c>
      <c r="I570" s="17">
        <f t="shared" ca="1" si="174"/>
        <v>7</v>
      </c>
      <c r="J570" s="18" t="str">
        <f t="shared" ca="1" si="175"/>
        <v>—</v>
      </c>
      <c r="K570" s="17">
        <f t="shared" ca="1" si="176"/>
        <v>7</v>
      </c>
      <c r="L570" s="10">
        <f t="shared" ca="1" si="177"/>
        <v>82</v>
      </c>
      <c r="M570" s="17">
        <f t="shared" ca="1" si="178"/>
        <v>0</v>
      </c>
      <c r="N570" s="18">
        <f t="shared" ca="1" si="179"/>
        <v>22</v>
      </c>
      <c r="O570" s="17">
        <f t="shared" ca="1" si="180"/>
        <v>0</v>
      </c>
      <c r="P570" s="18">
        <f t="shared" ca="1" si="181"/>
        <v>24.6</v>
      </c>
      <c r="Q570" s="17">
        <f t="shared" ca="1" si="182"/>
        <v>0</v>
      </c>
      <c r="R570" s="10">
        <f t="shared" ca="1" si="183"/>
        <v>65</v>
      </c>
      <c r="S570" s="17">
        <f t="shared" ca="1" si="184"/>
        <v>0</v>
      </c>
      <c r="T570" s="70">
        <f t="shared" ca="1" si="185"/>
        <v>0.3</v>
      </c>
      <c r="U570" s="17">
        <f t="shared" ca="1" si="186"/>
        <v>0</v>
      </c>
      <c r="V570" s="71">
        <f t="shared" ca="1" si="187"/>
        <v>3</v>
      </c>
      <c r="W570" s="17">
        <f t="shared" ca="1" si="188"/>
        <v>0</v>
      </c>
    </row>
    <row r="571" spans="1:23" x14ac:dyDescent="0.25">
      <c r="A571" s="4">
        <f t="shared" si="168"/>
        <v>32</v>
      </c>
      <c r="B571" t="str">
        <f ca="1">TEXT(DATE(YEAR(Invoer!$A$6),1,1)+INT((ROWS(B$2:B571)-1)/4),"jjjjmmdd")</f>
        <v>19400522</v>
      </c>
      <c r="C571" s="64" t="str">
        <f>IF(MOD(ROWS(C$2:C571)-1,4)=3,"24.00",INDEX(Data,3,2+MOD(ROWS(C$2:C571)-1,4)))</f>
        <v>12.00</v>
      </c>
      <c r="D571" s="18">
        <f t="shared" ca="1" si="169"/>
        <v>759.2</v>
      </c>
      <c r="E571" s="17">
        <f t="shared" ca="1" si="170"/>
        <v>0</v>
      </c>
      <c r="F571" s="18">
        <f t="shared" ca="1" si="171"/>
        <v>30.1</v>
      </c>
      <c r="G571" s="17">
        <f t="shared" ca="1" si="172"/>
        <v>0</v>
      </c>
      <c r="H571" s="18" t="str">
        <f t="shared" ca="1" si="173"/>
        <v>—</v>
      </c>
      <c r="I571" s="17">
        <f t="shared" ca="1" si="174"/>
        <v>7</v>
      </c>
      <c r="J571" s="18" t="str">
        <f t="shared" ca="1" si="175"/>
        <v>—</v>
      </c>
      <c r="K571" s="17">
        <f t="shared" ca="1" si="176"/>
        <v>7</v>
      </c>
      <c r="L571" s="10">
        <f t="shared" ca="1" si="177"/>
        <v>67</v>
      </c>
      <c r="M571" s="17">
        <f t="shared" ca="1" si="178"/>
        <v>0</v>
      </c>
      <c r="N571" s="18">
        <f t="shared" ca="1" si="179"/>
        <v>21.6</v>
      </c>
      <c r="O571" s="17">
        <f t="shared" ca="1" si="180"/>
        <v>0</v>
      </c>
      <c r="P571" s="18">
        <f t="shared" ca="1" si="181"/>
        <v>25.2</v>
      </c>
      <c r="Q571" s="17">
        <f t="shared" ca="1" si="182"/>
        <v>0</v>
      </c>
      <c r="R571" s="10">
        <f t="shared" ca="1" si="183"/>
        <v>65</v>
      </c>
      <c r="S571" s="17">
        <f t="shared" ca="1" si="184"/>
        <v>0</v>
      </c>
      <c r="T571" s="70">
        <f t="shared" ca="1" si="185"/>
        <v>0.4</v>
      </c>
      <c r="U571" s="17">
        <f t="shared" ca="1" si="186"/>
        <v>0</v>
      </c>
      <c r="V571" s="71">
        <f t="shared" ca="1" si="187"/>
        <v>3</v>
      </c>
      <c r="W571" s="17">
        <f t="shared" ca="1" si="188"/>
        <v>0</v>
      </c>
    </row>
    <row r="572" spans="1:23" x14ac:dyDescent="0.25">
      <c r="A572" s="4">
        <f t="shared" si="168"/>
        <v>32</v>
      </c>
      <c r="B572" t="str">
        <f ca="1">TEXT(DATE(YEAR(Invoer!$A$6),1,1)+INT((ROWS(B$2:B572)-1)/4),"jjjjmmdd")</f>
        <v>19400522</v>
      </c>
      <c r="C572" s="64" t="str">
        <f>IF(MOD(ROWS(C$2:C572)-1,4)=3,"24.00",INDEX(Data,3,2+MOD(ROWS(C$2:C572)-1,4)))</f>
        <v>17.00</v>
      </c>
      <c r="D572" s="18">
        <f t="shared" ca="1" si="169"/>
        <v>757.9</v>
      </c>
      <c r="E572" s="17">
        <f t="shared" ca="1" si="170"/>
        <v>0</v>
      </c>
      <c r="F572" s="18">
        <f t="shared" ca="1" si="171"/>
        <v>26.6</v>
      </c>
      <c r="G572" s="17">
        <f t="shared" ca="1" si="172"/>
        <v>0</v>
      </c>
      <c r="H572" s="18" t="str">
        <f t="shared" ca="1" si="173"/>
        <v>—</v>
      </c>
      <c r="I572" s="17">
        <f t="shared" ca="1" si="174"/>
        <v>7</v>
      </c>
      <c r="J572" s="18" t="str">
        <f t="shared" ca="1" si="175"/>
        <v>—</v>
      </c>
      <c r="K572" s="17">
        <f t="shared" ca="1" si="176"/>
        <v>7</v>
      </c>
      <c r="L572" s="10">
        <f t="shared" ca="1" si="177"/>
        <v>85</v>
      </c>
      <c r="M572" s="17">
        <f t="shared" ca="1" si="178"/>
        <v>0</v>
      </c>
      <c r="N572" s="18">
        <f t="shared" ca="1" si="179"/>
        <v>22.2</v>
      </c>
      <c r="O572" s="17">
        <f t="shared" ca="1" si="180"/>
        <v>0</v>
      </c>
      <c r="P572" s="18">
        <f t="shared" ca="1" si="181"/>
        <v>24.6</v>
      </c>
      <c r="Q572" s="17">
        <f t="shared" ca="1" si="182"/>
        <v>0</v>
      </c>
      <c r="R572" s="10">
        <f t="shared" ca="1" si="183"/>
        <v>65</v>
      </c>
      <c r="S572" s="17">
        <f t="shared" ca="1" si="184"/>
        <v>0</v>
      </c>
      <c r="T572" s="70">
        <f t="shared" ca="1" si="185"/>
        <v>0.4</v>
      </c>
      <c r="U572" s="17">
        <f t="shared" ca="1" si="186"/>
        <v>0</v>
      </c>
      <c r="V572" s="71">
        <f t="shared" ca="1" si="187"/>
        <v>3</v>
      </c>
      <c r="W572" s="17">
        <f t="shared" ca="1" si="188"/>
        <v>0</v>
      </c>
    </row>
    <row r="573" spans="1:23" x14ac:dyDescent="0.25">
      <c r="A573" s="4">
        <f t="shared" si="168"/>
        <v>32</v>
      </c>
      <c r="B573" t="str">
        <f ca="1">TEXT(DATE(YEAR(Invoer!$A$6),1,1)+INT((ROWS(B$2:B573)-1)/4),"jjjjmmdd")</f>
        <v>19400522</v>
      </c>
      <c r="C573" s="64" t="str">
        <f>IF(MOD(ROWS(C$2:C573)-1,4)=3,"24.00",INDEX(Data,3,2+MOD(ROWS(C$2:C573)-1,4)))</f>
        <v>24.00</v>
      </c>
      <c r="D573" s="18" t="str">
        <f t="shared" ca="1" si="169"/>
        <v>—</v>
      </c>
      <c r="E573" s="17">
        <f t="shared" ca="1" si="170"/>
        <v>7</v>
      </c>
      <c r="F573" s="18" t="str">
        <f t="shared" ca="1" si="171"/>
        <v>—</v>
      </c>
      <c r="G573" s="17">
        <f t="shared" ca="1" si="172"/>
        <v>7</v>
      </c>
      <c r="H573" s="18">
        <f t="shared" ca="1" si="173"/>
        <v>28</v>
      </c>
      <c r="I573" s="17">
        <f t="shared" ca="1" si="174"/>
        <v>0</v>
      </c>
      <c r="J573" s="18">
        <f t="shared" ca="1" si="175"/>
        <v>31.5</v>
      </c>
      <c r="K573" s="17">
        <f t="shared" ca="1" si="176"/>
        <v>0</v>
      </c>
      <c r="L573" s="10" t="str">
        <f t="shared" ca="1" si="177"/>
        <v>—</v>
      </c>
      <c r="M573" s="17">
        <f t="shared" ca="1" si="178"/>
        <v>7</v>
      </c>
      <c r="N573" s="18" t="str">
        <f t="shared" ca="1" si="179"/>
        <v>—</v>
      </c>
      <c r="O573" s="17">
        <f t="shared" ca="1" si="180"/>
        <v>7</v>
      </c>
      <c r="P573" s="18" t="str">
        <f t="shared" ca="1" si="181"/>
        <v>—</v>
      </c>
      <c r="Q573" s="17">
        <f t="shared" ca="1" si="182"/>
        <v>7</v>
      </c>
      <c r="R573" s="10" t="str">
        <f t="shared" ca="1" si="183"/>
        <v>—</v>
      </c>
      <c r="S573" s="17">
        <f t="shared" ca="1" si="184"/>
        <v>7</v>
      </c>
      <c r="T573" s="70" t="str">
        <f t="shared" ca="1" si="185"/>
        <v>—</v>
      </c>
      <c r="U573" s="17">
        <f t="shared" ca="1" si="186"/>
        <v>7</v>
      </c>
      <c r="V573" s="71" t="str">
        <f t="shared" ca="1" si="187"/>
        <v>—</v>
      </c>
      <c r="W573" s="17">
        <f t="shared" ca="1" si="188"/>
        <v>7</v>
      </c>
    </row>
    <row r="574" spans="1:23" x14ac:dyDescent="0.25">
      <c r="A574" s="4">
        <f t="shared" si="168"/>
        <v>32</v>
      </c>
      <c r="B574" t="str">
        <f ca="1">TEXT(DATE(YEAR(Invoer!$A$6),1,1)+INT((ROWS(B$2:B574)-1)/4),"jjjjmmdd")</f>
        <v>19400523</v>
      </c>
      <c r="C574" s="64" t="str">
        <f>IF(MOD(ROWS(C$2:C574)-1,4)=3,"24.00",INDEX(Data,3,2+MOD(ROWS(C$2:C574)-1,4)))</f>
        <v>07.00</v>
      </c>
      <c r="D574" s="18">
        <f t="shared" ca="1" si="169"/>
        <v>758.2</v>
      </c>
      <c r="E574" s="17">
        <f t="shared" ca="1" si="170"/>
        <v>0</v>
      </c>
      <c r="F574" s="18">
        <f t="shared" ca="1" si="171"/>
        <v>26.1</v>
      </c>
      <c r="G574" s="17">
        <f t="shared" ca="1" si="172"/>
        <v>0</v>
      </c>
      <c r="H574" s="18" t="str">
        <f t="shared" ca="1" si="173"/>
        <v>—</v>
      </c>
      <c r="I574" s="17">
        <f t="shared" ca="1" si="174"/>
        <v>7</v>
      </c>
      <c r="J574" s="18" t="str">
        <f t="shared" ca="1" si="175"/>
        <v>—</v>
      </c>
      <c r="K574" s="17">
        <f t="shared" ca="1" si="176"/>
        <v>7</v>
      </c>
      <c r="L574" s="10">
        <f t="shared" ca="1" si="177"/>
        <v>81</v>
      </c>
      <c r="M574" s="17">
        <f t="shared" ca="1" si="178"/>
        <v>0</v>
      </c>
      <c r="N574" s="18">
        <f t="shared" ca="1" si="179"/>
        <v>20.6</v>
      </c>
      <c r="O574" s="17">
        <f t="shared" ca="1" si="180"/>
        <v>0</v>
      </c>
      <c r="P574" s="18">
        <f t="shared" ca="1" si="181"/>
        <v>23.6</v>
      </c>
      <c r="Q574" s="17">
        <f t="shared" ca="1" si="182"/>
        <v>0</v>
      </c>
      <c r="R574" s="10">
        <f t="shared" ca="1" si="183"/>
        <v>65</v>
      </c>
      <c r="S574" s="17">
        <f t="shared" ca="1" si="184"/>
        <v>0</v>
      </c>
      <c r="T574" s="70">
        <f t="shared" ca="1" si="185"/>
        <v>0.3</v>
      </c>
      <c r="U574" s="17">
        <f t="shared" ca="1" si="186"/>
        <v>0</v>
      </c>
      <c r="V574" s="71">
        <f t="shared" ca="1" si="187"/>
        <v>3</v>
      </c>
      <c r="W574" s="17">
        <f t="shared" ca="1" si="188"/>
        <v>0</v>
      </c>
    </row>
    <row r="575" spans="1:23" x14ac:dyDescent="0.25">
      <c r="A575" s="4">
        <f t="shared" si="168"/>
        <v>32</v>
      </c>
      <c r="B575" t="str">
        <f ca="1">TEXT(DATE(YEAR(Invoer!$A$6),1,1)+INT((ROWS(B$2:B575)-1)/4),"jjjjmmdd")</f>
        <v>19400523</v>
      </c>
      <c r="C575" s="64" t="str">
        <f>IF(MOD(ROWS(C$2:C575)-1,4)=3,"24.00",INDEX(Data,3,2+MOD(ROWS(C$2:C575)-1,4)))</f>
        <v>12.00</v>
      </c>
      <c r="D575" s="18">
        <f t="shared" ca="1" si="169"/>
        <v>759.2</v>
      </c>
      <c r="E575" s="17">
        <f t="shared" ca="1" si="170"/>
        <v>0</v>
      </c>
      <c r="F575" s="18">
        <f t="shared" ca="1" si="171"/>
        <v>26.3</v>
      </c>
      <c r="G575" s="17">
        <f t="shared" ca="1" si="172"/>
        <v>0</v>
      </c>
      <c r="H575" s="18" t="str">
        <f t="shared" ca="1" si="173"/>
        <v>—</v>
      </c>
      <c r="I575" s="17">
        <f t="shared" ca="1" si="174"/>
        <v>7</v>
      </c>
      <c r="J575" s="18" t="str">
        <f t="shared" ca="1" si="175"/>
        <v>—</v>
      </c>
      <c r="K575" s="17">
        <f t="shared" ca="1" si="176"/>
        <v>7</v>
      </c>
      <c r="L575" s="10">
        <f t="shared" ca="1" si="177"/>
        <v>80</v>
      </c>
      <c r="M575" s="17">
        <f t="shared" ca="1" si="178"/>
        <v>0</v>
      </c>
      <c r="N575" s="18">
        <f t="shared" ca="1" si="179"/>
        <v>20.5</v>
      </c>
      <c r="O575" s="17">
        <f t="shared" ca="1" si="180"/>
        <v>0</v>
      </c>
      <c r="P575" s="18">
        <f t="shared" ca="1" si="181"/>
        <v>23.6</v>
      </c>
      <c r="Q575" s="17">
        <f t="shared" ca="1" si="182"/>
        <v>0</v>
      </c>
      <c r="R575" s="10">
        <f t="shared" ca="1" si="183"/>
        <v>65</v>
      </c>
      <c r="S575" s="17">
        <f t="shared" ca="1" si="184"/>
        <v>0</v>
      </c>
      <c r="T575" s="70">
        <f t="shared" ca="1" si="185"/>
        <v>0.5</v>
      </c>
      <c r="U575" s="17">
        <f t="shared" ca="1" si="186"/>
        <v>0</v>
      </c>
      <c r="V575" s="71">
        <f t="shared" ca="1" si="187"/>
        <v>2</v>
      </c>
      <c r="W575" s="17">
        <f t="shared" ca="1" si="188"/>
        <v>0</v>
      </c>
    </row>
    <row r="576" spans="1:23" x14ac:dyDescent="0.25">
      <c r="A576" s="4">
        <f t="shared" si="168"/>
        <v>32</v>
      </c>
      <c r="B576" t="str">
        <f ca="1">TEXT(DATE(YEAR(Invoer!$A$6),1,1)+INT((ROWS(B$2:B576)-1)/4),"jjjjmmdd")</f>
        <v>19400523</v>
      </c>
      <c r="C576" s="64" t="str">
        <f>IF(MOD(ROWS(C$2:C576)-1,4)=3,"24.00",INDEX(Data,3,2+MOD(ROWS(C$2:C576)-1,4)))</f>
        <v>17.00</v>
      </c>
      <c r="D576" s="18">
        <f t="shared" ca="1" si="169"/>
        <v>758.2</v>
      </c>
      <c r="E576" s="17">
        <f t="shared" ca="1" si="170"/>
        <v>0</v>
      </c>
      <c r="F576" s="18">
        <f t="shared" ca="1" si="171"/>
        <v>25.9</v>
      </c>
      <c r="G576" s="17">
        <f t="shared" ca="1" si="172"/>
        <v>0</v>
      </c>
      <c r="H576" s="18" t="str">
        <f t="shared" ca="1" si="173"/>
        <v>—</v>
      </c>
      <c r="I576" s="17">
        <f t="shared" ca="1" si="174"/>
        <v>7</v>
      </c>
      <c r="J576" s="18" t="str">
        <f t="shared" ca="1" si="175"/>
        <v>—</v>
      </c>
      <c r="K576" s="17">
        <f t="shared" ca="1" si="176"/>
        <v>7</v>
      </c>
      <c r="L576" s="10">
        <f t="shared" ca="1" si="177"/>
        <v>78</v>
      </c>
      <c r="M576" s="17">
        <f t="shared" ca="1" si="178"/>
        <v>0</v>
      </c>
      <c r="N576" s="18">
        <f t="shared" ca="1" si="179"/>
        <v>19.600000000000001</v>
      </c>
      <c r="O576" s="17">
        <f t="shared" ca="1" si="180"/>
        <v>0</v>
      </c>
      <c r="P576" s="18">
        <f t="shared" ca="1" si="181"/>
        <v>23</v>
      </c>
      <c r="Q576" s="17">
        <f t="shared" ca="1" si="182"/>
        <v>0</v>
      </c>
      <c r="R576" s="10">
        <f t="shared" ca="1" si="183"/>
        <v>65</v>
      </c>
      <c r="S576" s="17">
        <f t="shared" ca="1" si="184"/>
        <v>0</v>
      </c>
      <c r="T576" s="70">
        <f t="shared" ca="1" si="185"/>
        <v>0.5</v>
      </c>
      <c r="U576" s="17">
        <f t="shared" ca="1" si="186"/>
        <v>0</v>
      </c>
      <c r="V576" s="71">
        <f t="shared" ca="1" si="187"/>
        <v>2</v>
      </c>
      <c r="W576" s="17">
        <f t="shared" ca="1" si="188"/>
        <v>0</v>
      </c>
    </row>
    <row r="577" spans="1:23" x14ac:dyDescent="0.25">
      <c r="A577" s="4">
        <f t="shared" si="168"/>
        <v>32</v>
      </c>
      <c r="B577" t="str">
        <f ca="1">TEXT(DATE(YEAR(Invoer!$A$6),1,1)+INT((ROWS(B$2:B577)-1)/4),"jjjjmmdd")</f>
        <v>19400523</v>
      </c>
      <c r="C577" s="64" t="str">
        <f>IF(MOD(ROWS(C$2:C577)-1,4)=3,"24.00",INDEX(Data,3,2+MOD(ROWS(C$2:C577)-1,4)))</f>
        <v>24.00</v>
      </c>
      <c r="D577" s="18" t="str">
        <f t="shared" ca="1" si="169"/>
        <v>—</v>
      </c>
      <c r="E577" s="17">
        <f t="shared" ca="1" si="170"/>
        <v>7</v>
      </c>
      <c r="F577" s="18" t="str">
        <f t="shared" ca="1" si="171"/>
        <v>—</v>
      </c>
      <c r="G577" s="17">
        <f t="shared" ca="1" si="172"/>
        <v>7</v>
      </c>
      <c r="H577" s="18">
        <f t="shared" ca="1" si="173"/>
        <v>28.4</v>
      </c>
      <c r="I577" s="17">
        <f t="shared" ca="1" si="174"/>
        <v>0</v>
      </c>
      <c r="J577" s="18">
        <f t="shared" ca="1" si="175"/>
        <v>31.5</v>
      </c>
      <c r="K577" s="17">
        <f t="shared" ca="1" si="176"/>
        <v>0</v>
      </c>
      <c r="L577" s="10" t="str">
        <f t="shared" ca="1" si="177"/>
        <v>—</v>
      </c>
      <c r="M577" s="17">
        <f t="shared" ca="1" si="178"/>
        <v>7</v>
      </c>
      <c r="N577" s="18" t="str">
        <f t="shared" ca="1" si="179"/>
        <v>—</v>
      </c>
      <c r="O577" s="17">
        <f t="shared" ca="1" si="180"/>
        <v>7</v>
      </c>
      <c r="P577" s="18" t="str">
        <f t="shared" ca="1" si="181"/>
        <v>—</v>
      </c>
      <c r="Q577" s="17">
        <f t="shared" ca="1" si="182"/>
        <v>7</v>
      </c>
      <c r="R577" s="10" t="str">
        <f t="shared" ca="1" si="183"/>
        <v>—</v>
      </c>
      <c r="S577" s="17">
        <f t="shared" ca="1" si="184"/>
        <v>7</v>
      </c>
      <c r="T577" s="70" t="str">
        <f t="shared" ca="1" si="185"/>
        <v>—</v>
      </c>
      <c r="U577" s="17">
        <f t="shared" ca="1" si="186"/>
        <v>7</v>
      </c>
      <c r="V577" s="71" t="str">
        <f t="shared" ca="1" si="187"/>
        <v>—</v>
      </c>
      <c r="W577" s="17">
        <f t="shared" ca="1" si="188"/>
        <v>7</v>
      </c>
    </row>
    <row r="578" spans="1:23" x14ac:dyDescent="0.25">
      <c r="A578" s="4">
        <f t="shared" ref="A578:A641" si="189">INDEX(Stations,2,1)</f>
        <v>32</v>
      </c>
      <c r="B578" t="str">
        <f ca="1">TEXT(DATE(YEAR(Invoer!$A$6),1,1)+INT((ROWS(B$2:B578)-1)/4),"jjjjmmdd")</f>
        <v>19400524</v>
      </c>
      <c r="C578" s="64" t="str">
        <f>IF(MOD(ROWS(C$2:C578)-1,4)=3,"24.00",INDEX(Data,3,2+MOD(ROWS(C$2:C578)-1,4)))</f>
        <v>07.00</v>
      </c>
      <c r="D578" s="18">
        <f t="shared" ref="D578:D641" ca="1" si="190">IF(OR(ISBLANK(VLOOKUP(DATEVALUE(LEFT($B578,4)&amp;"-"&amp;MID($B578,5,2)&amp;"-"&amp;RIGHT($B578,2)),Data,MATCH(LEFT(VLOOKUP(D$1,Parameters,2,FALSE()),4)&amp;"*",OFFSET(Data,0,0,1),0)+MATCH($C578,OFFSET(Data,2,0,1),0)-2,FALSE())),ISTEXT(VLOOKUP(DATEVALUE(LEFT($B578,4)&amp;"-"&amp;MID($B578,5,2)&amp;"-"&amp;RIGHT($B578,2)),Data,MATCH(LEFT(VLOOKUP(D$1,Parameters,2,FALSE()),4)&amp;"*",OFFSET(Data,0,0,1),0)+MATCH($C578,OFFSET(Data,2,0,1),0)-2,FALSE())),EXACT($C578,"24.00")),"—",VLOOKUP(DATEVALUE(LEFT($B578,4)&amp;"-"&amp;MID($B578,5,2)&amp;"-"&amp;RIGHT($B578,2)),Data,MATCH(LEFT(VLOOKUP(D$1,Parameters,2,FALSE()),4)&amp;"*",OFFSET(Data,0,0,1),0)+MATCH($C578,OFFSET(Data,2,0,1),0)-2,FALSE())/10)</f>
        <v>756.9</v>
      </c>
      <c r="E578" s="17">
        <f t="shared" ref="E578:E641" ca="1" si="191">IF(OR(ISBLANK(VLOOKUP(DATEVALUE(LEFT($B578,4)&amp;"-"&amp;MID($B578,5,2)&amp;"-"&amp;RIGHT($B578,2)),Data,MATCH(LEFT(VLOOKUP(MID(E$1,2,LEN(E$1)-1),Parameters,2,FALSE()),4)&amp;"*",OFFSET(Data,0,0,1),0)+MATCH($C578,OFFSET(Data,2,0,1),0)-2,FALSE())),ISTEXT(VLOOKUP(DATEVALUE(LEFT($B578,4)&amp;"-"&amp;MID($B578,5,2)&amp;"-"&amp;RIGHT($B578,2)),Data,MATCH(LEFT(VLOOKUP(MID(E$1,2,LEN(E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Data,2,0,1),0)-2,FALSE())))</f>
        <v>0</v>
      </c>
      <c r="F578" s="18">
        <f t="shared" ref="F578:F641" ca="1" si="192">IF(OR(ISBLANK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ISTEXT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EXACT($C578,"24.00")),"—",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/10)</f>
        <v>25.5</v>
      </c>
      <c r="G578" s="17">
        <f t="shared" ref="G578:G641" ca="1" si="193">IF(OR(ISBLANK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ISTEXT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G$1,2,LEN(G$1)-1),Parameters,2,FALSE()),FIND(LOWER(MID(G$1,2,1)),VLOOKUP(MID(G$1,2,LEN(G$1)-1),Parameters,2,FALSE()),5),4)&amp;"*",OFFSET(Catalogus,0,0,1),0)+2*MATCH($C578,OFFSET(Catalogus,2,0,1),0)+MATCH(LEFT(VLOOKUP(MID(G$1,2,LEN(G$1)-1),Parameters,2,FALSE()),3)&amp;"*",OFFSET(Catalogus,2,4,1),0)-5,FALSE())))</f>
        <v>0</v>
      </c>
      <c r="H578" s="18" t="str">
        <f t="shared" ref="H578:H641" ca="1" si="194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/10)</f>
        <v>—</v>
      </c>
      <c r="I578" s="17">
        <f t="shared" ref="I578:I641" ca="1" si="195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  <c r="J578" s="18" t="str">
        <f t="shared" ref="J578:J641" ca="1" si="196">IF(OR(ISBLANK(VLOOKUP(DATEVALUE(LEFT($B578,4)&amp;"-"&amp;MID($B578,5,2)&amp;"-"&amp;RIGHT($B578,2)),Data,MATCH(LEFT(VLOOKUP(J$1,Parameters,2,FALSE()),4)&amp;"*",OFFSET(Data,1,0,1),0),FALSE())),ISTEXT(VLOOKUP(DATEVALUE(LEFT($B578,4)&amp;"-"&amp;MID($B578,5,2)&amp;"-"&amp;RIGHT($B578,2)),Data,MATCH(LEFT(VLOOKUP(J$1,Parameters,2,FALSE()),4)&amp;"*",OFFSET(Data,1,0,1),0),FALSE())),NOT(EXACT($C578,"24.00"))),"—",VLOOKUP(DATEVALUE(LEFT($B578,4)&amp;"-"&amp;MID($B578,5,2)&amp;"-"&amp;RIGHT($B578,2)),Data,MATCH(LEFT(VLOOKUP(J$1,Parameters,2,FALSE()),4)&amp;"*",OFFSET(Data,1,0,1),0),FALSE())/10)</f>
        <v>—</v>
      </c>
      <c r="K578" s="17">
        <f t="shared" ref="K578:K641" ca="1" si="197">IF(OR(ISBLANK(VLOOKUP(DATEVALUE(LEFT($B578,4)&amp;"-"&amp;MID($B578,5,2)&amp;"-"&amp;RIGHT($B578,2)),Data,MATCH(LEFT(VLOOKUP(MID(K$1,2,LEN(K$1)-1),Parameters,2,FALSE()),4)&amp;"*",OFFSET(Data,1,0,1),0),FALSE())),ISTEXT(VLOOKUP(DATEVALUE(LEFT($B578,4)&amp;"-"&amp;MID($B578,5,2)&amp;"-"&amp;RIGHT($B578,2)),Data,MATCH(LEFT(VLOOKUP(MID(K$1,2,LEN(K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K$1,2,LEN(K$1)-1),Parameters,2,FALSE()),4)&amp;"*",OFFSET(Catalogus,1,0,1),0),FALSE())))</f>
        <v>7</v>
      </c>
      <c r="L578" s="10">
        <f t="shared" ref="L578:L641" ca="1" si="198">IF(OR(ISBLANK(VLOOKUP(DATEVALUE(LEFT($B578,4)&amp;"-"&amp;MID($B578,5,2)&amp;"-"&amp;RIGHT($B578,2)),Data,MATCH(LEFT(VLOOKUP(L$1,Parameters,2,FALSE()),4)&amp;"*",OFFSET(Data,0,0,1),0)+MATCH($C578,OFFSET(Data,2,0,1),0)-2,FALSE())),ISTEXT(VLOOKUP(DATEVALUE(LEFT($B578,4)&amp;"-"&amp;MID($B578,5,2)&amp;"-"&amp;RIGHT($B578,2)),Data,MATCH(LEFT(VLOOKUP(L$1,Parameters,2,FALSE()),4)&amp;"*",OFFSET(Data,0,0,1),0)+MATCH($C578,OFFSET(Data,2,0,1),0)-2,FALSE())),EXACT($C578,"24.00")),"—",VLOOKUP(DATEVALUE(LEFT($B578,4)&amp;"-"&amp;MID($B578,5,2)&amp;"-"&amp;RIGHT($B578,2)),Data,MATCH(LEFT(VLOOKUP(L$1,Parameters,2,FALSE()),4)&amp;"*",OFFSET(Data,0,0,1),0)+MATCH($C578,OFFSET(Data,2,0,1),0)-2,FALSE()))</f>
        <v>84</v>
      </c>
      <c r="M578" s="17">
        <f t="shared" ref="M578:M641" ca="1" si="199">IF(OR(ISBLANK(VLOOKUP(DATEVALUE(LEFT($B578,4)&amp;"-"&amp;MID($B578,5,2)&amp;"-"&amp;RIGHT($B578,2)),Data,MATCH(LEFT(VLOOKUP(MID(M$1,2,LEN(M$1)-1),Parameters,2,FALSE()),4)&amp;"*",OFFSET(Data,0,0,1),0)+MATCH($C578,OFFSET(Data,2,0,1),0)-2,FALSE())),ISTEXT(VLOOKUP(DATEVALUE(LEFT($B578,4)&amp;"-"&amp;MID($B578,5,2)&amp;"-"&amp;RIGHT($B578,2)),Data,MATCH(LEFT(VLOOKUP(MID(M$1,2,LEN(M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M$1,2,LEN(M$1)-1),Parameters,2,FALSE()),4)&amp;"*",OFFSET(Catalogus,0,0,1),0)+MATCH($C578,OFFSET(Data,2,0,1),0)-2,FALSE())))</f>
        <v>0</v>
      </c>
      <c r="N578" s="18">
        <f t="shared" ref="N578:N641" ca="1" si="200">IF(OR(ISBLANK(VLOOKUP(DATEVALUE(LEFT($B578,4)&amp;"-"&amp;MID($B578,5,2)&amp;"-"&amp;RIGHT($B578,2)),Data,MATCH(LEFT(VLOOKUP(N$1,Parameters,2,FALSE()),4)&amp;"*",OFFSET(Data,0,0,1),0)+MATCH($C578,OFFSET(Data,2,0,1),0)-2,FALSE())),ISTEXT(VLOOKUP(DATEVALUE(LEFT($B578,4)&amp;"-"&amp;MID($B578,5,2)&amp;"-"&amp;RIGHT($B578,2)),Data,MATCH(LEFT(VLOOKUP(N$1,Parameters,2,FALSE()),4)&amp;"*",OFFSET(Data,0,0,1),0)+MATCH($C578,OFFSET(Data,2,0,1),0)-2,FALSE())),EXACT($C578,"24.00")),"—",VLOOKUP(DATEVALUE(LEFT($B578,4)&amp;"-"&amp;MID($B578,5,2)&amp;"-"&amp;RIGHT($B578,2)),Data,MATCH(LEFT(VLOOKUP(N$1,Parameters,2,FALSE()),4)&amp;"*",OFFSET(Data,0,0,1),0)+MATCH($C578,OFFSET(Data,2,0,1),0)-2,FALSE())/10)</f>
        <v>20.5</v>
      </c>
      <c r="O578" s="17">
        <f t="shared" ref="O578:O641" ca="1" si="201">IF(OR(ISBLANK(VLOOKUP(DATEVALUE(LEFT($B578,4)&amp;"-"&amp;MID($B578,5,2)&amp;"-"&amp;RIGHT($B578,2)),Data,MATCH(LEFT(VLOOKUP(MID(O$1,2,LEN(O$1)-1),Parameters,2,FALSE()),4)&amp;"*",OFFSET(Data,0,0,1),0)+MATCH($C578,OFFSET(Data,2,0,1),0)-2,FALSE())),ISTEXT(VLOOKUP(DATEVALUE(LEFT($B578,4)&amp;"-"&amp;MID($B578,5,2)&amp;"-"&amp;RIGHT($B578,2)),Data,MATCH(LEFT(VLOOKUP(MID(O$1,2,LEN(O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O$1,2,LEN(O$1)-1),Parameters,2,FALSE()),4)&amp;"*",OFFSET(Catalogus,0,0,1),0)+MATCH($C578,OFFSET(Data,2,0,1),0)-2,FALSE())))</f>
        <v>0</v>
      </c>
      <c r="P578" s="18">
        <f t="shared" ref="P578:P641" ca="1" si="202">IF(OR(ISBLANK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ISTEXT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EXACT($C578,"24.00")),"—",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/10)</f>
        <v>23.4</v>
      </c>
      <c r="Q578" s="17">
        <f t="shared" ref="Q578:Q641" ca="1" si="203">IF(OR(ISBLANK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ISTEXT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Q$1,2,LEN(Q$1)-1),Parameters,2,FALSE()),FIND(LOWER(MID(Q$1,2,1)),VLOOKUP(MID(Q$1,2,LEN(Q$1)-1),Parameters,2,FALSE()),5),4)&amp;"*",OFFSET(Catalogus,0,0,1),0)+2*MATCH($C578,OFFSET(Catalogus,2,0,1),0)+MATCH(LEFT(VLOOKUP(MID(Q$1,2,LEN(Q$1)-1),Parameters,2,FALSE()),3)&amp;"*",OFFSET(Catalogus,2,4,1),0)-5,FALSE())))</f>
        <v>0</v>
      </c>
      <c r="R578" s="10">
        <f t="shared" ref="R578:R641" ca="1" si="204">IF(OR(ISBLANK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),ISNA(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1,1,,1),0)),EXACT($C578,"24.00")),"—",INDEX(Windrichting,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0,1,,1),0),1))</f>
        <v>90</v>
      </c>
      <c r="S578" s="17">
        <f t="shared" ref="S578:S641" ca="1" si="205">IF(OR(ISBLANK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),ISNA(MATCH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,OFFSET(Windrichting,1,1,,1),0)),EXACT($C578,"24.00")),Lacking,IF(ISNA(MATCH(DATEVALUE(LEFT($B578,4)&amp;"-"&amp;MID($B578,5,2)&amp;"-"&amp;RIGHT($B578,2)),OFFSET(Catalogus,0,0,,1),0)),Ok,VLOOKUP(DATEVALUE(LEFT($B578,4)&amp;"-"&amp;MID($B578,5,2)&amp;"-"&amp;RIGHT($B578,2)),Catalogus,MATCH(LEFT(VLOOKUP(MID(S$1,2,LEN(S$1)-1),Parameters,2,FALSE()),4)&amp;"*",OFFSET(Catalogus,0,0,1),0)+2*MATCH($C578,OFFSET(Catalogus,2,0,1),0)+MATCH(MID(VLOOKUP(MID(S$1,2,LEN(S$1)-1),Parameters,2,FALSE()),5,LEN(VLOOKUP(MID(S$1,2,LEN(S$1)-1),Parameters,2,FALSE()))-4)&amp;"*",OFFSET(Catalogus,2,19,1),0)-5,FALSE())))</f>
        <v>0</v>
      </c>
      <c r="T578" s="70">
        <f t="shared" ref="T578:T641" ca="1" si="206">IF(OR(ISBLANK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ISTEXT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EXACT($C578,"24.00")),"—",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/10)</f>
        <v>0.3</v>
      </c>
      <c r="U578" s="17">
        <f t="shared" ref="U578:U641" ca="1" si="207">IF(OR(ISBLANK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ISTEXT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U$1,2,LEN(U$1)-1),Parameters,2,FALSE()),4)&amp;"*",OFFSET(Catalogus,0,0,1),0)+2*MATCH($C578,OFFSET(Catalogus,2,0,1),0)+MATCH(MID(VLOOKUP(MID(U$1,2,LEN(U$1)-1),Parameters,2,FALSE()),5,LEN(VLOOKUP(MID(U$1,2,LEN(U$1)-1),Parameters,2,FALSE()))-4)&amp;"*",OFFSET(Catalogus,2,19,1),0)-5,FALSE())))</f>
        <v>0</v>
      </c>
      <c r="V578" s="71">
        <f t="shared" ref="V578:V641" ca="1" si="208">IF(OR(ISBLANK(VLOOKUP(DATEVALUE(LEFT($B578,4)&amp;"-"&amp;MID($B578,5,2)&amp;"-"&amp;RIGHT($B578,2)),Data,MATCH(LEFT(VLOOKUP(V$1,Parameters,2,FALSE()),4)&amp;"*",OFFSET(Data,0,0,1),0)+MATCH($C578,OFFSET(Data,2,0,1),0)-2,FALSE())),ISTEXT(VLOOKUP(DATEVALUE(LEFT($B578,4)&amp;"-"&amp;MID($B578,5,2)&amp;"-"&amp;RIGHT($B578,2)),Data,MATCH(LEFT(VLOOKUP(V$1,Parameters,2,FALSE()),4)&amp;"*",OFFSET(Data,0,0,1),0)+MATCH($C578,OFFSET(Data,2,0,1),0)-2,FALSE())),EXACT($C578,"24.00")),"—",VLOOKUP(DATEVALUE(LEFT($B578,4)&amp;"-"&amp;MID($B578,5,2)&amp;"-"&amp;RIGHT($B578,2)),Data,MATCH(LEFT(VLOOKUP(V$1,Parameters,2,FALSE()),4)&amp;"*",OFFSET(Data,0,0,1),0)+MATCH($C578,OFFSET(Data,2,0,1),0)-2,FALSE()))</f>
        <v>4</v>
      </c>
      <c r="W578" s="17">
        <f t="shared" ref="W578:W641" ca="1" si="209">IF(OR(ISBLANK(VLOOKUP(DATEVALUE(LEFT($B578,4)&amp;"-"&amp;MID($B578,5,2)&amp;"-"&amp;RIGHT($B578,2)),Data,MATCH(LEFT(VLOOKUP(MID(W$1,2,LEN(W$1)-1),Parameters,2,FALSE()),4)&amp;"*",OFFSET(Data,0,0,1),0)+MATCH($C578,OFFSET(Data,2,0,1),0)-2,FALSE())),ISTEXT(VLOOKUP(DATEVALUE(LEFT($B578,4)&amp;"-"&amp;MID($B578,5,2)&amp;"-"&amp;RIGHT($B578,2)),Data,MATCH(LEFT(VLOOKUP(MID(W$1,2,LEN(W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W$1,2,LEN(W$1)-1),Parameters,2,FALSE()),4)&amp;"*",OFFSET(Catalogus,0,0,1),0)+MATCH($C578,OFFSET(Data,2,0,1),0)-2,FALSE())))</f>
        <v>0</v>
      </c>
    </row>
    <row r="579" spans="1:23" x14ac:dyDescent="0.25">
      <c r="A579" s="4">
        <f t="shared" si="189"/>
        <v>32</v>
      </c>
      <c r="B579" t="str">
        <f ca="1">TEXT(DATE(YEAR(Invoer!$A$6),1,1)+INT((ROWS(B$2:B579)-1)/4),"jjjjmmdd")</f>
        <v>19400524</v>
      </c>
      <c r="C579" s="64" t="str">
        <f>IF(MOD(ROWS(C$2:C579)-1,4)=3,"24.00",INDEX(Data,3,2+MOD(ROWS(C$2:C579)-1,4)))</f>
        <v>12.00</v>
      </c>
      <c r="D579" s="18">
        <f t="shared" ca="1" si="190"/>
        <v>756.9</v>
      </c>
      <c r="E579" s="17">
        <f t="shared" ca="1" si="191"/>
        <v>0</v>
      </c>
      <c r="F579" s="18">
        <f t="shared" ca="1" si="192"/>
        <v>25.9</v>
      </c>
      <c r="G579" s="17">
        <f t="shared" ca="1" si="193"/>
        <v>0</v>
      </c>
      <c r="H579" s="18" t="str">
        <f t="shared" ca="1" si="194"/>
        <v>—</v>
      </c>
      <c r="I579" s="17">
        <f t="shared" ca="1" si="195"/>
        <v>7</v>
      </c>
      <c r="J579" s="18" t="str">
        <f t="shared" ca="1" si="196"/>
        <v>—</v>
      </c>
      <c r="K579" s="17">
        <f t="shared" ca="1" si="197"/>
        <v>7</v>
      </c>
      <c r="L579" s="10">
        <f t="shared" ca="1" si="198"/>
        <v>81</v>
      </c>
      <c r="M579" s="17">
        <f t="shared" ca="1" si="199"/>
        <v>0</v>
      </c>
      <c r="N579" s="18">
        <f t="shared" ca="1" si="200"/>
        <v>20.3</v>
      </c>
      <c r="O579" s="17">
        <f t="shared" ca="1" si="201"/>
        <v>0</v>
      </c>
      <c r="P579" s="18">
        <f t="shared" ca="1" si="202"/>
        <v>23.4</v>
      </c>
      <c r="Q579" s="17">
        <f t="shared" ca="1" si="203"/>
        <v>0</v>
      </c>
      <c r="R579" s="10">
        <f t="shared" ca="1" si="204"/>
        <v>65</v>
      </c>
      <c r="S579" s="17">
        <f t="shared" ca="1" si="205"/>
        <v>0</v>
      </c>
      <c r="T579" s="70">
        <f t="shared" ca="1" si="206"/>
        <v>0.4</v>
      </c>
      <c r="U579" s="17">
        <f t="shared" ca="1" si="207"/>
        <v>0</v>
      </c>
      <c r="V579" s="71">
        <f t="shared" ca="1" si="208"/>
        <v>3</v>
      </c>
      <c r="W579" s="17">
        <f t="shared" ca="1" si="209"/>
        <v>0</v>
      </c>
    </row>
    <row r="580" spans="1:23" x14ac:dyDescent="0.25">
      <c r="A580" s="4">
        <f t="shared" si="189"/>
        <v>32</v>
      </c>
      <c r="B580" t="str">
        <f ca="1">TEXT(DATE(YEAR(Invoer!$A$6),1,1)+INT((ROWS(B$2:B580)-1)/4),"jjjjmmdd")</f>
        <v>19400524</v>
      </c>
      <c r="C580" s="64" t="str">
        <f>IF(MOD(ROWS(C$2:C580)-1,4)=3,"24.00",INDEX(Data,3,2+MOD(ROWS(C$2:C580)-1,4)))</f>
        <v>17.00</v>
      </c>
      <c r="D580" s="18">
        <f t="shared" ca="1" si="190"/>
        <v>756.9</v>
      </c>
      <c r="E580" s="17">
        <f t="shared" ca="1" si="191"/>
        <v>0</v>
      </c>
      <c r="F580" s="18">
        <f t="shared" ca="1" si="192"/>
        <v>25.5</v>
      </c>
      <c r="G580" s="17">
        <f t="shared" ca="1" si="193"/>
        <v>0</v>
      </c>
      <c r="H580" s="18" t="str">
        <f t="shared" ca="1" si="194"/>
        <v>—</v>
      </c>
      <c r="I580" s="17">
        <f t="shared" ca="1" si="195"/>
        <v>7</v>
      </c>
      <c r="J580" s="18" t="str">
        <f t="shared" ca="1" si="196"/>
        <v>—</v>
      </c>
      <c r="K580" s="17">
        <f t="shared" ca="1" si="197"/>
        <v>7</v>
      </c>
      <c r="L580" s="10">
        <f t="shared" ca="1" si="198"/>
        <v>81</v>
      </c>
      <c r="M580" s="17">
        <f t="shared" ca="1" si="199"/>
        <v>0</v>
      </c>
      <c r="N580" s="18">
        <f t="shared" ca="1" si="200"/>
        <v>19.8</v>
      </c>
      <c r="O580" s="17">
        <f t="shared" ca="1" si="201"/>
        <v>0</v>
      </c>
      <c r="P580" s="18">
        <f t="shared" ca="1" si="202"/>
        <v>23</v>
      </c>
      <c r="Q580" s="17">
        <f t="shared" ca="1" si="203"/>
        <v>0</v>
      </c>
      <c r="R580" s="10">
        <f t="shared" ca="1" si="204"/>
        <v>65</v>
      </c>
      <c r="S580" s="17">
        <f t="shared" ca="1" si="205"/>
        <v>0</v>
      </c>
      <c r="T580" s="70">
        <f t="shared" ca="1" si="206"/>
        <v>0.4</v>
      </c>
      <c r="U580" s="17">
        <f t="shared" ca="1" si="207"/>
        <v>0</v>
      </c>
      <c r="V580" s="71">
        <f t="shared" ca="1" si="208"/>
        <v>3</v>
      </c>
      <c r="W580" s="17">
        <f t="shared" ca="1" si="209"/>
        <v>0</v>
      </c>
    </row>
    <row r="581" spans="1:23" x14ac:dyDescent="0.25">
      <c r="A581" s="4">
        <f t="shared" si="189"/>
        <v>32</v>
      </c>
      <c r="B581" t="str">
        <f ca="1">TEXT(DATE(YEAR(Invoer!$A$6),1,1)+INT((ROWS(B$2:B581)-1)/4),"jjjjmmdd")</f>
        <v>19400524</v>
      </c>
      <c r="C581" s="64" t="str">
        <f>IF(MOD(ROWS(C$2:C581)-1,4)=3,"24.00",INDEX(Data,3,2+MOD(ROWS(C$2:C581)-1,4)))</f>
        <v>24.00</v>
      </c>
      <c r="D581" s="18" t="str">
        <f t="shared" ca="1" si="190"/>
        <v>—</v>
      </c>
      <c r="E581" s="17">
        <f t="shared" ca="1" si="191"/>
        <v>7</v>
      </c>
      <c r="F581" s="18" t="str">
        <f t="shared" ca="1" si="192"/>
        <v>—</v>
      </c>
      <c r="G581" s="17">
        <f t="shared" ca="1" si="193"/>
        <v>7</v>
      </c>
      <c r="H581" s="18">
        <f t="shared" ca="1" si="194"/>
        <v>28.7</v>
      </c>
      <c r="I581" s="17">
        <f t="shared" ca="1" si="195"/>
        <v>0</v>
      </c>
      <c r="J581" s="18">
        <f t="shared" ca="1" si="196"/>
        <v>30</v>
      </c>
      <c r="K581" s="17">
        <f t="shared" ca="1" si="197"/>
        <v>0</v>
      </c>
      <c r="L581" s="10" t="str">
        <f t="shared" ca="1" si="198"/>
        <v>—</v>
      </c>
      <c r="M581" s="17">
        <f t="shared" ca="1" si="199"/>
        <v>7</v>
      </c>
      <c r="N581" s="18" t="str">
        <f t="shared" ca="1" si="200"/>
        <v>—</v>
      </c>
      <c r="O581" s="17">
        <f t="shared" ca="1" si="201"/>
        <v>7</v>
      </c>
      <c r="P581" s="18" t="str">
        <f t="shared" ca="1" si="202"/>
        <v>—</v>
      </c>
      <c r="Q581" s="17">
        <f t="shared" ca="1" si="203"/>
        <v>7</v>
      </c>
      <c r="R581" s="10" t="str">
        <f t="shared" ca="1" si="204"/>
        <v>—</v>
      </c>
      <c r="S581" s="17">
        <f t="shared" ca="1" si="205"/>
        <v>7</v>
      </c>
      <c r="T581" s="70" t="str">
        <f t="shared" ca="1" si="206"/>
        <v>—</v>
      </c>
      <c r="U581" s="17">
        <f t="shared" ca="1" si="207"/>
        <v>7</v>
      </c>
      <c r="V581" s="71" t="str">
        <f t="shared" ca="1" si="208"/>
        <v>—</v>
      </c>
      <c r="W581" s="17">
        <f t="shared" ca="1" si="209"/>
        <v>7</v>
      </c>
    </row>
    <row r="582" spans="1:23" x14ac:dyDescent="0.25">
      <c r="A582" s="4">
        <f t="shared" si="189"/>
        <v>32</v>
      </c>
      <c r="B582" t="str">
        <f ca="1">TEXT(DATE(YEAR(Invoer!$A$6),1,1)+INT((ROWS(B$2:B582)-1)/4),"jjjjmmdd")</f>
        <v>19400525</v>
      </c>
      <c r="C582" s="64" t="str">
        <f>IF(MOD(ROWS(C$2:C582)-1,4)=3,"24.00",INDEX(Data,3,2+MOD(ROWS(C$2:C582)-1,4)))</f>
        <v>07.00</v>
      </c>
      <c r="D582" s="18">
        <f t="shared" ca="1" si="190"/>
        <v>757.4</v>
      </c>
      <c r="E582" s="17">
        <f t="shared" ca="1" si="191"/>
        <v>0</v>
      </c>
      <c r="F582" s="18">
        <f t="shared" ca="1" si="192"/>
        <v>26.6</v>
      </c>
      <c r="G582" s="17">
        <f t="shared" ca="1" si="193"/>
        <v>0</v>
      </c>
      <c r="H582" s="18" t="str">
        <f t="shared" ca="1" si="194"/>
        <v>—</v>
      </c>
      <c r="I582" s="17">
        <f t="shared" ca="1" si="195"/>
        <v>7</v>
      </c>
      <c r="J582" s="18" t="str">
        <f t="shared" ca="1" si="196"/>
        <v>—</v>
      </c>
      <c r="K582" s="17">
        <f t="shared" ca="1" si="197"/>
        <v>7</v>
      </c>
      <c r="L582" s="10">
        <f t="shared" ca="1" si="198"/>
        <v>76</v>
      </c>
      <c r="M582" s="17">
        <f t="shared" ca="1" si="199"/>
        <v>0</v>
      </c>
      <c r="N582" s="18">
        <f t="shared" ca="1" si="200"/>
        <v>19.8</v>
      </c>
      <c r="O582" s="17">
        <f t="shared" ca="1" si="201"/>
        <v>0</v>
      </c>
      <c r="P582" s="18">
        <f t="shared" ca="1" si="202"/>
        <v>23.3</v>
      </c>
      <c r="Q582" s="17">
        <f t="shared" ca="1" si="203"/>
        <v>0</v>
      </c>
      <c r="R582" s="10">
        <f t="shared" ca="1" si="204"/>
        <v>90</v>
      </c>
      <c r="S582" s="17">
        <f t="shared" ca="1" si="205"/>
        <v>0</v>
      </c>
      <c r="T582" s="70">
        <f t="shared" ca="1" si="206"/>
        <v>0.4</v>
      </c>
      <c r="U582" s="17">
        <f t="shared" ca="1" si="207"/>
        <v>0</v>
      </c>
      <c r="V582" s="71">
        <f t="shared" ca="1" si="208"/>
        <v>3</v>
      </c>
      <c r="W582" s="17">
        <f t="shared" ca="1" si="209"/>
        <v>0</v>
      </c>
    </row>
    <row r="583" spans="1:23" x14ac:dyDescent="0.25">
      <c r="A583" s="4">
        <f t="shared" si="189"/>
        <v>32</v>
      </c>
      <c r="B583" t="str">
        <f ca="1">TEXT(DATE(YEAR(Invoer!$A$6),1,1)+INT((ROWS(B$2:B583)-1)/4),"jjjjmmdd")</f>
        <v>19400525</v>
      </c>
      <c r="C583" s="64" t="str">
        <f>IF(MOD(ROWS(C$2:C583)-1,4)=3,"24.00",INDEX(Data,3,2+MOD(ROWS(C$2:C583)-1,4)))</f>
        <v>12.00</v>
      </c>
      <c r="D583" s="18">
        <f t="shared" ca="1" si="190"/>
        <v>757.9</v>
      </c>
      <c r="E583" s="17">
        <f t="shared" ca="1" si="191"/>
        <v>0</v>
      </c>
      <c r="F583" s="18">
        <f t="shared" ca="1" si="192"/>
        <v>27.3</v>
      </c>
      <c r="G583" s="17">
        <f t="shared" ca="1" si="193"/>
        <v>0</v>
      </c>
      <c r="H583" s="18" t="str">
        <f t="shared" ca="1" si="194"/>
        <v>—</v>
      </c>
      <c r="I583" s="17">
        <f t="shared" ca="1" si="195"/>
        <v>7</v>
      </c>
      <c r="J583" s="18" t="str">
        <f t="shared" ca="1" si="196"/>
        <v>—</v>
      </c>
      <c r="K583" s="17">
        <f t="shared" ca="1" si="197"/>
        <v>7</v>
      </c>
      <c r="L583" s="10">
        <f t="shared" ca="1" si="198"/>
        <v>75</v>
      </c>
      <c r="M583" s="17">
        <f t="shared" ca="1" si="199"/>
        <v>0</v>
      </c>
      <c r="N583" s="18">
        <f t="shared" ca="1" si="200"/>
        <v>20.399999999999999</v>
      </c>
      <c r="O583" s="17">
        <f t="shared" ca="1" si="201"/>
        <v>0</v>
      </c>
      <c r="P583" s="18">
        <f t="shared" ca="1" si="202"/>
        <v>23.8</v>
      </c>
      <c r="Q583" s="17">
        <f t="shared" ca="1" si="203"/>
        <v>0</v>
      </c>
      <c r="R583" s="10">
        <f t="shared" ca="1" si="204"/>
        <v>90</v>
      </c>
      <c r="S583" s="17">
        <f t="shared" ca="1" si="205"/>
        <v>0</v>
      </c>
      <c r="T583" s="70">
        <f t="shared" ca="1" si="206"/>
        <v>0.5</v>
      </c>
      <c r="U583" s="17">
        <f t="shared" ca="1" si="207"/>
        <v>0</v>
      </c>
      <c r="V583" s="71">
        <f t="shared" ca="1" si="208"/>
        <v>2</v>
      </c>
      <c r="W583" s="17">
        <f t="shared" ca="1" si="209"/>
        <v>0</v>
      </c>
    </row>
    <row r="584" spans="1:23" x14ac:dyDescent="0.25">
      <c r="A584" s="4">
        <f t="shared" si="189"/>
        <v>32</v>
      </c>
      <c r="B584" t="str">
        <f ca="1">TEXT(DATE(YEAR(Invoer!$A$6),1,1)+INT((ROWS(B$2:B584)-1)/4),"jjjjmmdd")</f>
        <v>19400525</v>
      </c>
      <c r="C584" s="64" t="str">
        <f>IF(MOD(ROWS(C$2:C584)-1,4)=3,"24.00",INDEX(Data,3,2+MOD(ROWS(C$2:C584)-1,4)))</f>
        <v>17.00</v>
      </c>
      <c r="D584" s="18">
        <f t="shared" ca="1" si="190"/>
        <v>757.9</v>
      </c>
      <c r="E584" s="17">
        <f t="shared" ca="1" si="191"/>
        <v>0</v>
      </c>
      <c r="F584" s="18">
        <f t="shared" ca="1" si="192"/>
        <v>25.1</v>
      </c>
      <c r="G584" s="17">
        <f t="shared" ca="1" si="193"/>
        <v>0</v>
      </c>
      <c r="H584" s="18" t="str">
        <f t="shared" ca="1" si="194"/>
        <v>—</v>
      </c>
      <c r="I584" s="17">
        <f t="shared" ca="1" si="195"/>
        <v>7</v>
      </c>
      <c r="J584" s="18" t="str">
        <f t="shared" ca="1" si="196"/>
        <v>—</v>
      </c>
      <c r="K584" s="17">
        <f t="shared" ca="1" si="197"/>
        <v>7</v>
      </c>
      <c r="L584" s="10">
        <f t="shared" ca="1" si="198"/>
        <v>82</v>
      </c>
      <c r="M584" s="17">
        <f t="shared" ca="1" si="199"/>
        <v>0</v>
      </c>
      <c r="N584" s="18">
        <f t="shared" ca="1" si="200"/>
        <v>19.7</v>
      </c>
      <c r="O584" s="17">
        <f t="shared" ca="1" si="201"/>
        <v>0</v>
      </c>
      <c r="P584" s="18">
        <f t="shared" ca="1" si="202"/>
        <v>22.8</v>
      </c>
      <c r="Q584" s="17">
        <f t="shared" ca="1" si="203"/>
        <v>0</v>
      </c>
      <c r="R584" s="10">
        <f t="shared" ca="1" si="204"/>
        <v>90</v>
      </c>
      <c r="S584" s="17">
        <f t="shared" ca="1" si="205"/>
        <v>0</v>
      </c>
      <c r="T584" s="70">
        <f t="shared" ca="1" si="206"/>
        <v>0.5</v>
      </c>
      <c r="U584" s="17">
        <f t="shared" ca="1" si="207"/>
        <v>0</v>
      </c>
      <c r="V584" s="71">
        <f t="shared" ca="1" si="208"/>
        <v>3</v>
      </c>
      <c r="W584" s="17">
        <f t="shared" ca="1" si="209"/>
        <v>0</v>
      </c>
    </row>
    <row r="585" spans="1:23" x14ac:dyDescent="0.25">
      <c r="A585" s="4">
        <f t="shared" si="189"/>
        <v>32</v>
      </c>
      <c r="B585" t="str">
        <f ca="1">TEXT(DATE(YEAR(Invoer!$A$6),1,1)+INT((ROWS(B$2:B585)-1)/4),"jjjjmmdd")</f>
        <v>19400525</v>
      </c>
      <c r="C585" s="64" t="str">
        <f>IF(MOD(ROWS(C$2:C585)-1,4)=3,"24.00",INDEX(Data,3,2+MOD(ROWS(C$2:C585)-1,4)))</f>
        <v>24.00</v>
      </c>
      <c r="D585" s="18" t="str">
        <f t="shared" ca="1" si="190"/>
        <v>—</v>
      </c>
      <c r="E585" s="17">
        <f t="shared" ca="1" si="191"/>
        <v>7</v>
      </c>
      <c r="F585" s="18" t="str">
        <f t="shared" ca="1" si="192"/>
        <v>—</v>
      </c>
      <c r="G585" s="17">
        <f t="shared" ca="1" si="193"/>
        <v>7</v>
      </c>
      <c r="H585" s="18">
        <f t="shared" ca="1" si="194"/>
        <v>28.7</v>
      </c>
      <c r="I585" s="17">
        <f t="shared" ca="1" si="195"/>
        <v>0</v>
      </c>
      <c r="J585" s="18">
        <f t="shared" ca="1" si="196"/>
        <v>30.8</v>
      </c>
      <c r="K585" s="17">
        <f t="shared" ca="1" si="197"/>
        <v>0</v>
      </c>
      <c r="L585" s="10" t="str">
        <f t="shared" ca="1" si="198"/>
        <v>—</v>
      </c>
      <c r="M585" s="17">
        <f t="shared" ca="1" si="199"/>
        <v>7</v>
      </c>
      <c r="N585" s="18" t="str">
        <f t="shared" ca="1" si="200"/>
        <v>—</v>
      </c>
      <c r="O585" s="17">
        <f t="shared" ca="1" si="201"/>
        <v>7</v>
      </c>
      <c r="P585" s="18" t="str">
        <f t="shared" ca="1" si="202"/>
        <v>—</v>
      </c>
      <c r="Q585" s="17">
        <f t="shared" ca="1" si="203"/>
        <v>7</v>
      </c>
      <c r="R585" s="10" t="str">
        <f t="shared" ca="1" si="204"/>
        <v>—</v>
      </c>
      <c r="S585" s="17">
        <f t="shared" ca="1" si="205"/>
        <v>7</v>
      </c>
      <c r="T585" s="70" t="str">
        <f t="shared" ca="1" si="206"/>
        <v>—</v>
      </c>
      <c r="U585" s="17">
        <f t="shared" ca="1" si="207"/>
        <v>7</v>
      </c>
      <c r="V585" s="71" t="str">
        <f t="shared" ca="1" si="208"/>
        <v>—</v>
      </c>
      <c r="W585" s="17">
        <f t="shared" ca="1" si="209"/>
        <v>7</v>
      </c>
    </row>
    <row r="586" spans="1:23" x14ac:dyDescent="0.25">
      <c r="A586" s="4">
        <f t="shared" si="189"/>
        <v>32</v>
      </c>
      <c r="B586" t="str">
        <f ca="1">TEXT(DATE(YEAR(Invoer!$A$6),1,1)+INT((ROWS(B$2:B586)-1)/4),"jjjjmmdd")</f>
        <v>19400526</v>
      </c>
      <c r="C586" s="64" t="str">
        <f>IF(MOD(ROWS(C$2:C586)-1,4)=3,"24.00",INDEX(Data,3,2+MOD(ROWS(C$2:C586)-1,4)))</f>
        <v>07.00</v>
      </c>
      <c r="D586" s="18">
        <f t="shared" ca="1" si="190"/>
        <v>758.2</v>
      </c>
      <c r="E586" s="17">
        <f t="shared" ca="1" si="191"/>
        <v>0</v>
      </c>
      <c r="F586" s="18">
        <f t="shared" ca="1" si="192"/>
        <v>25.7</v>
      </c>
      <c r="G586" s="17">
        <f t="shared" ca="1" si="193"/>
        <v>0</v>
      </c>
      <c r="H586" s="18" t="str">
        <f t="shared" ca="1" si="194"/>
        <v>—</v>
      </c>
      <c r="I586" s="17">
        <f t="shared" ca="1" si="195"/>
        <v>7</v>
      </c>
      <c r="J586" s="18" t="str">
        <f t="shared" ca="1" si="196"/>
        <v>—</v>
      </c>
      <c r="K586" s="17">
        <f t="shared" ca="1" si="197"/>
        <v>7</v>
      </c>
      <c r="L586" s="10">
        <f t="shared" ca="1" si="198"/>
        <v>82</v>
      </c>
      <c r="M586" s="17">
        <f t="shared" ca="1" si="199"/>
        <v>0</v>
      </c>
      <c r="N586" s="18">
        <f t="shared" ca="1" si="200"/>
        <v>20.399999999999999</v>
      </c>
      <c r="O586" s="17">
        <f t="shared" ca="1" si="201"/>
        <v>0</v>
      </c>
      <c r="P586" s="18">
        <f t="shared" ca="1" si="202"/>
        <v>23.4</v>
      </c>
      <c r="Q586" s="17">
        <f t="shared" ca="1" si="203"/>
        <v>0</v>
      </c>
      <c r="R586" s="10">
        <f t="shared" ca="1" si="204"/>
        <v>90</v>
      </c>
      <c r="S586" s="17">
        <f t="shared" ca="1" si="205"/>
        <v>0</v>
      </c>
      <c r="T586" s="70">
        <f t="shared" ca="1" si="206"/>
        <v>0.4</v>
      </c>
      <c r="U586" s="17">
        <f t="shared" ca="1" si="207"/>
        <v>0</v>
      </c>
      <c r="V586" s="71">
        <f t="shared" ca="1" si="208"/>
        <v>3</v>
      </c>
      <c r="W586" s="17">
        <f t="shared" ca="1" si="209"/>
        <v>0</v>
      </c>
    </row>
    <row r="587" spans="1:23" x14ac:dyDescent="0.25">
      <c r="A587" s="4">
        <f t="shared" si="189"/>
        <v>32</v>
      </c>
      <c r="B587" t="str">
        <f ca="1">TEXT(DATE(YEAR(Invoer!$A$6),1,1)+INT((ROWS(B$2:B587)-1)/4),"jjjjmmdd")</f>
        <v>19400526</v>
      </c>
      <c r="C587" s="64" t="str">
        <f>IF(MOD(ROWS(C$2:C587)-1,4)=3,"24.00",INDEX(Data,3,2+MOD(ROWS(C$2:C587)-1,4)))</f>
        <v>12.00</v>
      </c>
      <c r="D587" s="18">
        <f t="shared" ca="1" si="190"/>
        <v>758.7</v>
      </c>
      <c r="E587" s="17">
        <f t="shared" ca="1" si="191"/>
        <v>0</v>
      </c>
      <c r="F587" s="18">
        <f t="shared" ca="1" si="192"/>
        <v>25.9</v>
      </c>
      <c r="G587" s="17">
        <f t="shared" ca="1" si="193"/>
        <v>0</v>
      </c>
      <c r="H587" s="18" t="str">
        <f t="shared" ca="1" si="194"/>
        <v>—</v>
      </c>
      <c r="I587" s="17">
        <f t="shared" ca="1" si="195"/>
        <v>7</v>
      </c>
      <c r="J587" s="18" t="str">
        <f t="shared" ca="1" si="196"/>
        <v>—</v>
      </c>
      <c r="K587" s="17">
        <f t="shared" ca="1" si="197"/>
        <v>7</v>
      </c>
      <c r="L587" s="10">
        <f t="shared" ca="1" si="198"/>
        <v>82</v>
      </c>
      <c r="M587" s="17">
        <f t="shared" ca="1" si="199"/>
        <v>0</v>
      </c>
      <c r="N587" s="18">
        <f t="shared" ca="1" si="200"/>
        <v>20.7</v>
      </c>
      <c r="O587" s="17">
        <f t="shared" ca="1" si="201"/>
        <v>0</v>
      </c>
      <c r="P587" s="18">
        <f t="shared" ca="1" si="202"/>
        <v>23.6</v>
      </c>
      <c r="Q587" s="17">
        <f t="shared" ca="1" si="203"/>
        <v>0</v>
      </c>
      <c r="R587" s="10">
        <f t="shared" ca="1" si="204"/>
        <v>65</v>
      </c>
      <c r="S587" s="17">
        <f t="shared" ca="1" si="205"/>
        <v>0</v>
      </c>
      <c r="T587" s="70">
        <f t="shared" ca="1" si="206"/>
        <v>0.5</v>
      </c>
      <c r="U587" s="17">
        <f t="shared" ca="1" si="207"/>
        <v>0</v>
      </c>
      <c r="V587" s="71">
        <f t="shared" ca="1" si="208"/>
        <v>3</v>
      </c>
      <c r="W587" s="17">
        <f t="shared" ca="1" si="209"/>
        <v>0</v>
      </c>
    </row>
    <row r="588" spans="1:23" x14ac:dyDescent="0.25">
      <c r="A588" s="4">
        <f t="shared" si="189"/>
        <v>32</v>
      </c>
      <c r="B588" t="str">
        <f ca="1">TEXT(DATE(YEAR(Invoer!$A$6),1,1)+INT((ROWS(B$2:B588)-1)/4),"jjjjmmdd")</f>
        <v>19400526</v>
      </c>
      <c r="C588" s="64" t="str">
        <f>IF(MOD(ROWS(C$2:C588)-1,4)=3,"24.00",INDEX(Data,3,2+MOD(ROWS(C$2:C588)-1,4)))</f>
        <v>17.00</v>
      </c>
      <c r="D588" s="18">
        <f t="shared" ca="1" si="190"/>
        <v>758.2</v>
      </c>
      <c r="E588" s="17">
        <f t="shared" ca="1" si="191"/>
        <v>0</v>
      </c>
      <c r="F588" s="18">
        <f t="shared" ca="1" si="192"/>
        <v>25.8</v>
      </c>
      <c r="G588" s="17">
        <f t="shared" ca="1" si="193"/>
        <v>0</v>
      </c>
      <c r="H588" s="18" t="str">
        <f t="shared" ca="1" si="194"/>
        <v>—</v>
      </c>
      <c r="I588" s="17">
        <f t="shared" ca="1" si="195"/>
        <v>7</v>
      </c>
      <c r="J588" s="18" t="str">
        <f t="shared" ca="1" si="196"/>
        <v>—</v>
      </c>
      <c r="K588" s="17">
        <f t="shared" ca="1" si="197"/>
        <v>7</v>
      </c>
      <c r="L588" s="10">
        <f t="shared" ca="1" si="198"/>
        <v>78</v>
      </c>
      <c r="M588" s="17">
        <f t="shared" ca="1" si="199"/>
        <v>0</v>
      </c>
      <c r="N588" s="18">
        <f t="shared" ca="1" si="200"/>
        <v>19.5</v>
      </c>
      <c r="O588" s="17">
        <f t="shared" ca="1" si="201"/>
        <v>0</v>
      </c>
      <c r="P588" s="18">
        <f t="shared" ca="1" si="202"/>
        <v>22.9</v>
      </c>
      <c r="Q588" s="17">
        <f t="shared" ca="1" si="203"/>
        <v>0</v>
      </c>
      <c r="R588" s="10">
        <f t="shared" ca="1" si="204"/>
        <v>65</v>
      </c>
      <c r="S588" s="17">
        <f t="shared" ca="1" si="205"/>
        <v>0</v>
      </c>
      <c r="T588" s="70">
        <f t="shared" ca="1" si="206"/>
        <v>0.5</v>
      </c>
      <c r="U588" s="17">
        <f t="shared" ca="1" si="207"/>
        <v>0</v>
      </c>
      <c r="V588" s="71">
        <f t="shared" ca="1" si="208"/>
        <v>3</v>
      </c>
      <c r="W588" s="17">
        <f t="shared" ca="1" si="209"/>
        <v>0</v>
      </c>
    </row>
    <row r="589" spans="1:23" x14ac:dyDescent="0.25">
      <c r="A589" s="4">
        <f t="shared" si="189"/>
        <v>32</v>
      </c>
      <c r="B589" t="str">
        <f ca="1">TEXT(DATE(YEAR(Invoer!$A$6),1,1)+INT((ROWS(B$2:B589)-1)/4),"jjjjmmdd")</f>
        <v>19400526</v>
      </c>
      <c r="C589" s="64" t="str">
        <f>IF(MOD(ROWS(C$2:C589)-1,4)=3,"24.00",INDEX(Data,3,2+MOD(ROWS(C$2:C589)-1,4)))</f>
        <v>24.00</v>
      </c>
      <c r="D589" s="18" t="str">
        <f t="shared" ca="1" si="190"/>
        <v>—</v>
      </c>
      <c r="E589" s="17">
        <f t="shared" ca="1" si="191"/>
        <v>7</v>
      </c>
      <c r="F589" s="18" t="str">
        <f t="shared" ca="1" si="192"/>
        <v>—</v>
      </c>
      <c r="G589" s="17">
        <f t="shared" ca="1" si="193"/>
        <v>7</v>
      </c>
      <c r="H589" s="18">
        <f t="shared" ca="1" si="194"/>
        <v>28.4</v>
      </c>
      <c r="I589" s="17">
        <f t="shared" ca="1" si="195"/>
        <v>0</v>
      </c>
      <c r="J589" s="18">
        <f t="shared" ca="1" si="196"/>
        <v>30</v>
      </c>
      <c r="K589" s="17">
        <f t="shared" ca="1" si="197"/>
        <v>0</v>
      </c>
      <c r="L589" s="10" t="str">
        <f t="shared" ca="1" si="198"/>
        <v>—</v>
      </c>
      <c r="M589" s="17">
        <f t="shared" ca="1" si="199"/>
        <v>7</v>
      </c>
      <c r="N589" s="18" t="str">
        <f t="shared" ca="1" si="200"/>
        <v>—</v>
      </c>
      <c r="O589" s="17">
        <f t="shared" ca="1" si="201"/>
        <v>7</v>
      </c>
      <c r="P589" s="18" t="str">
        <f t="shared" ca="1" si="202"/>
        <v>—</v>
      </c>
      <c r="Q589" s="17">
        <f t="shared" ca="1" si="203"/>
        <v>7</v>
      </c>
      <c r="R589" s="10" t="str">
        <f t="shared" ca="1" si="204"/>
        <v>—</v>
      </c>
      <c r="S589" s="17">
        <f t="shared" ca="1" si="205"/>
        <v>7</v>
      </c>
      <c r="T589" s="70" t="str">
        <f t="shared" ca="1" si="206"/>
        <v>—</v>
      </c>
      <c r="U589" s="17">
        <f t="shared" ca="1" si="207"/>
        <v>7</v>
      </c>
      <c r="V589" s="71" t="str">
        <f t="shared" ca="1" si="208"/>
        <v>—</v>
      </c>
      <c r="W589" s="17">
        <f t="shared" ca="1" si="209"/>
        <v>7</v>
      </c>
    </row>
    <row r="590" spans="1:23" x14ac:dyDescent="0.25">
      <c r="A590" s="4">
        <f t="shared" si="189"/>
        <v>32</v>
      </c>
      <c r="B590" t="str">
        <f ca="1">TEXT(DATE(YEAR(Invoer!$A$6),1,1)+INT((ROWS(B$2:B590)-1)/4),"jjjjmmdd")</f>
        <v>19400527</v>
      </c>
      <c r="C590" s="64" t="str">
        <f>IF(MOD(ROWS(C$2:C590)-1,4)=3,"24.00",INDEX(Data,3,2+MOD(ROWS(C$2:C590)-1,4)))</f>
        <v>07.00</v>
      </c>
      <c r="D590" s="18">
        <f t="shared" ca="1" si="190"/>
        <v>758.7</v>
      </c>
      <c r="E590" s="17">
        <f t="shared" ca="1" si="191"/>
        <v>0</v>
      </c>
      <c r="F590" s="18">
        <f t="shared" ca="1" si="192"/>
        <v>27.3</v>
      </c>
      <c r="G590" s="17">
        <f t="shared" ca="1" si="193"/>
        <v>0</v>
      </c>
      <c r="H590" s="18" t="str">
        <f t="shared" ca="1" si="194"/>
        <v>—</v>
      </c>
      <c r="I590" s="17">
        <f t="shared" ca="1" si="195"/>
        <v>7</v>
      </c>
      <c r="J590" s="18" t="str">
        <f t="shared" ca="1" si="196"/>
        <v>—</v>
      </c>
      <c r="K590" s="17">
        <f t="shared" ca="1" si="197"/>
        <v>7</v>
      </c>
      <c r="L590" s="10">
        <f t="shared" ca="1" si="198"/>
        <v>72</v>
      </c>
      <c r="M590" s="17">
        <f t="shared" ca="1" si="199"/>
        <v>0</v>
      </c>
      <c r="N590" s="18">
        <f t="shared" ca="1" si="200"/>
        <v>19.600000000000001</v>
      </c>
      <c r="O590" s="17">
        <f t="shared" ca="1" si="201"/>
        <v>0</v>
      </c>
      <c r="P590" s="18">
        <f t="shared" ca="1" si="202"/>
        <v>23.4</v>
      </c>
      <c r="Q590" s="17">
        <f t="shared" ca="1" si="203"/>
        <v>0</v>
      </c>
      <c r="R590" s="10">
        <f t="shared" ca="1" si="204"/>
        <v>90</v>
      </c>
      <c r="S590" s="17">
        <f t="shared" ca="1" si="205"/>
        <v>0</v>
      </c>
      <c r="T590" s="70">
        <f t="shared" ca="1" si="206"/>
        <v>0.4</v>
      </c>
      <c r="U590" s="17">
        <f t="shared" ca="1" si="207"/>
        <v>0</v>
      </c>
      <c r="V590" s="71">
        <f t="shared" ca="1" si="208"/>
        <v>3</v>
      </c>
      <c r="W590" s="17">
        <f t="shared" ca="1" si="209"/>
        <v>0</v>
      </c>
    </row>
    <row r="591" spans="1:23" x14ac:dyDescent="0.25">
      <c r="A591" s="4">
        <f t="shared" si="189"/>
        <v>32</v>
      </c>
      <c r="B591" t="str">
        <f ca="1">TEXT(DATE(YEAR(Invoer!$A$6),1,1)+INT((ROWS(B$2:B591)-1)/4),"jjjjmmdd")</f>
        <v>19400527</v>
      </c>
      <c r="C591" s="64" t="str">
        <f>IF(MOD(ROWS(C$2:C591)-1,4)=3,"24.00",INDEX(Data,3,2+MOD(ROWS(C$2:C591)-1,4)))</f>
        <v>12.00</v>
      </c>
      <c r="D591" s="18">
        <f t="shared" ca="1" si="190"/>
        <v>759.2</v>
      </c>
      <c r="E591" s="17">
        <f t="shared" ca="1" si="191"/>
        <v>0</v>
      </c>
      <c r="F591" s="18">
        <f t="shared" ca="1" si="192"/>
        <v>28.5</v>
      </c>
      <c r="G591" s="17">
        <f t="shared" ca="1" si="193"/>
        <v>0</v>
      </c>
      <c r="H591" s="18" t="str">
        <f t="shared" ca="1" si="194"/>
        <v>—</v>
      </c>
      <c r="I591" s="17">
        <f t="shared" ca="1" si="195"/>
        <v>7</v>
      </c>
      <c r="J591" s="18" t="str">
        <f t="shared" ca="1" si="196"/>
        <v>—</v>
      </c>
      <c r="K591" s="17">
        <f t="shared" ca="1" si="197"/>
        <v>7</v>
      </c>
      <c r="L591" s="10">
        <f t="shared" ca="1" si="198"/>
        <v>68</v>
      </c>
      <c r="M591" s="17">
        <f t="shared" ca="1" si="199"/>
        <v>0</v>
      </c>
      <c r="N591" s="18">
        <f t="shared" ca="1" si="200"/>
        <v>19.8</v>
      </c>
      <c r="O591" s="17">
        <f t="shared" ca="1" si="201"/>
        <v>0</v>
      </c>
      <c r="P591" s="18">
        <f t="shared" ca="1" si="202"/>
        <v>23.8</v>
      </c>
      <c r="Q591" s="17">
        <f t="shared" ca="1" si="203"/>
        <v>0</v>
      </c>
      <c r="R591" s="10">
        <f t="shared" ca="1" si="204"/>
        <v>65</v>
      </c>
      <c r="S591" s="17">
        <f t="shared" ca="1" si="205"/>
        <v>0</v>
      </c>
      <c r="T591" s="70">
        <f t="shared" ca="1" si="206"/>
        <v>0.6</v>
      </c>
      <c r="U591" s="17">
        <f t="shared" ca="1" si="207"/>
        <v>0</v>
      </c>
      <c r="V591" s="71">
        <f t="shared" ca="1" si="208"/>
        <v>3</v>
      </c>
      <c r="W591" s="17">
        <f t="shared" ca="1" si="209"/>
        <v>0</v>
      </c>
    </row>
    <row r="592" spans="1:23" x14ac:dyDescent="0.25">
      <c r="A592" s="4">
        <f t="shared" si="189"/>
        <v>32</v>
      </c>
      <c r="B592" t="str">
        <f ca="1">TEXT(DATE(YEAR(Invoer!$A$6),1,1)+INT((ROWS(B$2:B592)-1)/4),"jjjjmmdd")</f>
        <v>19400527</v>
      </c>
      <c r="C592" s="64" t="str">
        <f>IF(MOD(ROWS(C$2:C592)-1,4)=3,"24.00",INDEX(Data,3,2+MOD(ROWS(C$2:C592)-1,4)))</f>
        <v>17.00</v>
      </c>
      <c r="D592" s="18">
        <f t="shared" ca="1" si="190"/>
        <v>758.9</v>
      </c>
      <c r="E592" s="17">
        <f t="shared" ca="1" si="191"/>
        <v>0</v>
      </c>
      <c r="F592" s="18">
        <f t="shared" ca="1" si="192"/>
        <v>27.5</v>
      </c>
      <c r="G592" s="17">
        <f t="shared" ca="1" si="193"/>
        <v>0</v>
      </c>
      <c r="H592" s="18" t="str">
        <f t="shared" ca="1" si="194"/>
        <v>—</v>
      </c>
      <c r="I592" s="17">
        <f t="shared" ca="1" si="195"/>
        <v>7</v>
      </c>
      <c r="J592" s="18" t="str">
        <f t="shared" ca="1" si="196"/>
        <v>—</v>
      </c>
      <c r="K592" s="17">
        <f t="shared" ca="1" si="197"/>
        <v>7</v>
      </c>
      <c r="L592" s="10">
        <f t="shared" ca="1" si="198"/>
        <v>72</v>
      </c>
      <c r="M592" s="17">
        <f t="shared" ca="1" si="199"/>
        <v>0</v>
      </c>
      <c r="N592" s="18">
        <f t="shared" ca="1" si="200"/>
        <v>19.899999999999999</v>
      </c>
      <c r="O592" s="17">
        <f t="shared" ca="1" si="201"/>
        <v>0</v>
      </c>
      <c r="P592" s="18">
        <f t="shared" ca="1" si="202"/>
        <v>23.6</v>
      </c>
      <c r="Q592" s="17">
        <f t="shared" ca="1" si="203"/>
        <v>0</v>
      </c>
      <c r="R592" s="10">
        <f t="shared" ca="1" si="204"/>
        <v>65</v>
      </c>
      <c r="S592" s="17">
        <f t="shared" ca="1" si="205"/>
        <v>0</v>
      </c>
      <c r="T592" s="70">
        <f t="shared" ca="1" si="206"/>
        <v>0.5</v>
      </c>
      <c r="U592" s="17">
        <f t="shared" ca="1" si="207"/>
        <v>0</v>
      </c>
      <c r="V592" s="71">
        <f t="shared" ca="1" si="208"/>
        <v>2</v>
      </c>
      <c r="W592" s="17">
        <f t="shared" ca="1" si="209"/>
        <v>0</v>
      </c>
    </row>
    <row r="593" spans="1:23" x14ac:dyDescent="0.25">
      <c r="A593" s="4">
        <f t="shared" si="189"/>
        <v>32</v>
      </c>
      <c r="B593" t="str">
        <f ca="1">TEXT(DATE(YEAR(Invoer!$A$6),1,1)+INT((ROWS(B$2:B593)-1)/4),"jjjjmmdd")</f>
        <v>19400527</v>
      </c>
      <c r="C593" s="64" t="str">
        <f>IF(MOD(ROWS(C$2:C593)-1,4)=3,"24.00",INDEX(Data,3,2+MOD(ROWS(C$2:C593)-1,4)))</f>
        <v>24.00</v>
      </c>
      <c r="D593" s="18" t="str">
        <f t="shared" ca="1" si="190"/>
        <v>—</v>
      </c>
      <c r="E593" s="17">
        <f t="shared" ca="1" si="191"/>
        <v>7</v>
      </c>
      <c r="F593" s="18" t="str">
        <f t="shared" ca="1" si="192"/>
        <v>—</v>
      </c>
      <c r="G593" s="17">
        <f t="shared" ca="1" si="193"/>
        <v>7</v>
      </c>
      <c r="H593" s="18">
        <f t="shared" ca="1" si="194"/>
        <v>29.5</v>
      </c>
      <c r="I593" s="17">
        <f t="shared" ca="1" si="195"/>
        <v>0</v>
      </c>
      <c r="J593" s="18">
        <f t="shared" ca="1" si="196"/>
        <v>31.5</v>
      </c>
      <c r="K593" s="17">
        <f t="shared" ca="1" si="197"/>
        <v>0</v>
      </c>
      <c r="L593" s="10" t="str">
        <f t="shared" ca="1" si="198"/>
        <v>—</v>
      </c>
      <c r="M593" s="17">
        <f t="shared" ca="1" si="199"/>
        <v>7</v>
      </c>
      <c r="N593" s="18" t="str">
        <f t="shared" ca="1" si="200"/>
        <v>—</v>
      </c>
      <c r="O593" s="17">
        <f t="shared" ca="1" si="201"/>
        <v>7</v>
      </c>
      <c r="P593" s="18" t="str">
        <f t="shared" ca="1" si="202"/>
        <v>—</v>
      </c>
      <c r="Q593" s="17">
        <f t="shared" ca="1" si="203"/>
        <v>7</v>
      </c>
      <c r="R593" s="10" t="str">
        <f t="shared" ca="1" si="204"/>
        <v>—</v>
      </c>
      <c r="S593" s="17">
        <f t="shared" ca="1" si="205"/>
        <v>7</v>
      </c>
      <c r="T593" s="70" t="str">
        <f t="shared" ca="1" si="206"/>
        <v>—</v>
      </c>
      <c r="U593" s="17">
        <f t="shared" ca="1" si="207"/>
        <v>7</v>
      </c>
      <c r="V593" s="71" t="str">
        <f t="shared" ca="1" si="208"/>
        <v>—</v>
      </c>
      <c r="W593" s="17">
        <f t="shared" ca="1" si="209"/>
        <v>7</v>
      </c>
    </row>
    <row r="594" spans="1:23" x14ac:dyDescent="0.25">
      <c r="A594" s="4">
        <f t="shared" si="189"/>
        <v>32</v>
      </c>
      <c r="B594" t="str">
        <f ca="1">TEXT(DATE(YEAR(Invoer!$A$6),1,1)+INT((ROWS(B$2:B594)-1)/4),"jjjjmmdd")</f>
        <v>19400528</v>
      </c>
      <c r="C594" s="64" t="str">
        <f>IF(MOD(ROWS(C$2:C594)-1,4)=3,"24.00",INDEX(Data,3,2+MOD(ROWS(C$2:C594)-1,4)))</f>
        <v>07.00</v>
      </c>
      <c r="D594" s="18">
        <f t="shared" ca="1" si="190"/>
        <v>758.2</v>
      </c>
      <c r="E594" s="17">
        <f t="shared" ca="1" si="191"/>
        <v>0</v>
      </c>
      <c r="F594" s="18">
        <f t="shared" ca="1" si="192"/>
        <v>26.5</v>
      </c>
      <c r="G594" s="17">
        <f t="shared" ca="1" si="193"/>
        <v>0</v>
      </c>
      <c r="H594" s="18" t="str">
        <f t="shared" ca="1" si="194"/>
        <v>—</v>
      </c>
      <c r="I594" s="17">
        <f t="shared" ca="1" si="195"/>
        <v>7</v>
      </c>
      <c r="J594" s="18" t="str">
        <f t="shared" ca="1" si="196"/>
        <v>—</v>
      </c>
      <c r="K594" s="17">
        <f t="shared" ca="1" si="197"/>
        <v>7</v>
      </c>
      <c r="L594" s="10">
        <f t="shared" ca="1" si="198"/>
        <v>78</v>
      </c>
      <c r="M594" s="17">
        <f t="shared" ca="1" si="199"/>
        <v>0</v>
      </c>
      <c r="N594" s="18">
        <f t="shared" ca="1" si="200"/>
        <v>20.399999999999999</v>
      </c>
      <c r="O594" s="17">
        <f t="shared" ca="1" si="201"/>
        <v>0</v>
      </c>
      <c r="P594" s="18">
        <f t="shared" ca="1" si="202"/>
        <v>23.6</v>
      </c>
      <c r="Q594" s="17">
        <f t="shared" ca="1" si="203"/>
        <v>0</v>
      </c>
      <c r="R594" s="10">
        <f t="shared" ca="1" si="204"/>
        <v>90</v>
      </c>
      <c r="S594" s="17">
        <f t="shared" ca="1" si="205"/>
        <v>0</v>
      </c>
      <c r="T594" s="70">
        <f t="shared" ca="1" si="206"/>
        <v>0.4</v>
      </c>
      <c r="U594" s="17">
        <f t="shared" ca="1" si="207"/>
        <v>0</v>
      </c>
      <c r="V594" s="71">
        <f t="shared" ca="1" si="208"/>
        <v>3</v>
      </c>
      <c r="W594" s="17">
        <f t="shared" ca="1" si="209"/>
        <v>0</v>
      </c>
    </row>
    <row r="595" spans="1:23" x14ac:dyDescent="0.25">
      <c r="A595" s="4">
        <f t="shared" si="189"/>
        <v>32</v>
      </c>
      <c r="B595" t="str">
        <f ca="1">TEXT(DATE(YEAR(Invoer!$A$6),1,1)+INT((ROWS(B$2:B595)-1)/4),"jjjjmmdd")</f>
        <v>19400528</v>
      </c>
      <c r="C595" s="64" t="str">
        <f>IF(MOD(ROWS(C$2:C595)-1,4)=3,"24.00",INDEX(Data,3,2+MOD(ROWS(C$2:C595)-1,4)))</f>
        <v>12.00</v>
      </c>
      <c r="D595" s="18">
        <f t="shared" ca="1" si="190"/>
        <v>757.9</v>
      </c>
      <c r="E595" s="17">
        <f t="shared" ca="1" si="191"/>
        <v>0</v>
      </c>
      <c r="F595" s="18">
        <f t="shared" ca="1" si="192"/>
        <v>27.5</v>
      </c>
      <c r="G595" s="17">
        <f t="shared" ca="1" si="193"/>
        <v>0</v>
      </c>
      <c r="H595" s="18" t="str">
        <f t="shared" ca="1" si="194"/>
        <v>—</v>
      </c>
      <c r="I595" s="17">
        <f t="shared" ca="1" si="195"/>
        <v>7</v>
      </c>
      <c r="J595" s="18" t="str">
        <f t="shared" ca="1" si="196"/>
        <v>—</v>
      </c>
      <c r="K595" s="17">
        <f t="shared" ca="1" si="197"/>
        <v>7</v>
      </c>
      <c r="L595" s="10">
        <f t="shared" ca="1" si="198"/>
        <v>73</v>
      </c>
      <c r="M595" s="17">
        <f t="shared" ca="1" si="199"/>
        <v>0</v>
      </c>
      <c r="N595" s="18">
        <f t="shared" ca="1" si="200"/>
        <v>20.3</v>
      </c>
      <c r="O595" s="17">
        <f t="shared" ca="1" si="201"/>
        <v>0</v>
      </c>
      <c r="P595" s="18">
        <f t="shared" ca="1" si="202"/>
        <v>23.8</v>
      </c>
      <c r="Q595" s="17">
        <f t="shared" ca="1" si="203"/>
        <v>0</v>
      </c>
      <c r="R595" s="10">
        <f t="shared" ca="1" si="204"/>
        <v>90</v>
      </c>
      <c r="S595" s="17">
        <f t="shared" ca="1" si="205"/>
        <v>0</v>
      </c>
      <c r="T595" s="70">
        <f t="shared" ca="1" si="206"/>
        <v>0.6</v>
      </c>
      <c r="U595" s="17">
        <f t="shared" ca="1" si="207"/>
        <v>0</v>
      </c>
      <c r="V595" s="71">
        <f t="shared" ca="1" si="208"/>
        <v>4</v>
      </c>
      <c r="W595" s="17">
        <f t="shared" ca="1" si="209"/>
        <v>0</v>
      </c>
    </row>
    <row r="596" spans="1:23" x14ac:dyDescent="0.25">
      <c r="A596" s="4">
        <f t="shared" si="189"/>
        <v>32</v>
      </c>
      <c r="B596" t="str">
        <f ca="1">TEXT(DATE(YEAR(Invoer!$A$6),1,1)+INT((ROWS(B$2:B596)-1)/4),"jjjjmmdd")</f>
        <v>19400528</v>
      </c>
      <c r="C596" s="64" t="str">
        <f>IF(MOD(ROWS(C$2:C596)-1,4)=3,"24.00",INDEX(Data,3,2+MOD(ROWS(C$2:C596)-1,4)))</f>
        <v>17.00</v>
      </c>
      <c r="D596" s="18">
        <f t="shared" ca="1" si="190"/>
        <v>756.7</v>
      </c>
      <c r="E596" s="17">
        <f t="shared" ca="1" si="191"/>
        <v>0</v>
      </c>
      <c r="F596" s="18">
        <f t="shared" ca="1" si="192"/>
        <v>26.7</v>
      </c>
      <c r="G596" s="17">
        <f t="shared" ca="1" si="193"/>
        <v>0</v>
      </c>
      <c r="H596" s="18" t="str">
        <f t="shared" ca="1" si="194"/>
        <v>—</v>
      </c>
      <c r="I596" s="17">
        <f t="shared" ca="1" si="195"/>
        <v>7</v>
      </c>
      <c r="J596" s="18" t="str">
        <f t="shared" ca="1" si="196"/>
        <v>—</v>
      </c>
      <c r="K596" s="17">
        <f t="shared" ca="1" si="197"/>
        <v>7</v>
      </c>
      <c r="L596" s="10">
        <f t="shared" ca="1" si="198"/>
        <v>76</v>
      </c>
      <c r="M596" s="17">
        <f t="shared" ca="1" si="199"/>
        <v>0</v>
      </c>
      <c r="N596" s="18">
        <f t="shared" ca="1" si="200"/>
        <v>19.899999999999999</v>
      </c>
      <c r="O596" s="17">
        <f t="shared" ca="1" si="201"/>
        <v>0</v>
      </c>
      <c r="P596" s="18">
        <f t="shared" ca="1" si="202"/>
        <v>23.4</v>
      </c>
      <c r="Q596" s="17">
        <f t="shared" ca="1" si="203"/>
        <v>0</v>
      </c>
      <c r="R596" s="10">
        <f t="shared" ca="1" si="204"/>
        <v>65</v>
      </c>
      <c r="S596" s="17">
        <f t="shared" ca="1" si="205"/>
        <v>0</v>
      </c>
      <c r="T596" s="70">
        <f t="shared" ca="1" si="206"/>
        <v>0.6</v>
      </c>
      <c r="U596" s="17">
        <f t="shared" ca="1" si="207"/>
        <v>0</v>
      </c>
      <c r="V596" s="71">
        <f t="shared" ca="1" si="208"/>
        <v>4</v>
      </c>
      <c r="W596" s="17">
        <f t="shared" ca="1" si="209"/>
        <v>0</v>
      </c>
    </row>
    <row r="597" spans="1:23" x14ac:dyDescent="0.25">
      <c r="A597" s="4">
        <f t="shared" si="189"/>
        <v>32</v>
      </c>
      <c r="B597" t="str">
        <f ca="1">TEXT(DATE(YEAR(Invoer!$A$6),1,1)+INT((ROWS(B$2:B597)-1)/4),"jjjjmmdd")</f>
        <v>19400528</v>
      </c>
      <c r="C597" s="64" t="str">
        <f>IF(MOD(ROWS(C$2:C597)-1,4)=3,"24.00",INDEX(Data,3,2+MOD(ROWS(C$2:C597)-1,4)))</f>
        <v>24.00</v>
      </c>
      <c r="D597" s="18" t="str">
        <f t="shared" ca="1" si="190"/>
        <v>—</v>
      </c>
      <c r="E597" s="17">
        <f t="shared" ca="1" si="191"/>
        <v>7</v>
      </c>
      <c r="F597" s="18" t="str">
        <f t="shared" ca="1" si="192"/>
        <v>—</v>
      </c>
      <c r="G597" s="17">
        <f t="shared" ca="1" si="193"/>
        <v>7</v>
      </c>
      <c r="H597" s="18">
        <f t="shared" ca="1" si="194"/>
        <v>29</v>
      </c>
      <c r="I597" s="17">
        <f t="shared" ca="1" si="195"/>
        <v>0</v>
      </c>
      <c r="J597" s="18">
        <f t="shared" ca="1" si="196"/>
        <v>30</v>
      </c>
      <c r="K597" s="17">
        <f t="shared" ca="1" si="197"/>
        <v>0</v>
      </c>
      <c r="L597" s="10" t="str">
        <f t="shared" ca="1" si="198"/>
        <v>—</v>
      </c>
      <c r="M597" s="17">
        <f t="shared" ca="1" si="199"/>
        <v>7</v>
      </c>
      <c r="N597" s="18" t="str">
        <f t="shared" ca="1" si="200"/>
        <v>—</v>
      </c>
      <c r="O597" s="17">
        <f t="shared" ca="1" si="201"/>
        <v>7</v>
      </c>
      <c r="P597" s="18" t="str">
        <f t="shared" ca="1" si="202"/>
        <v>—</v>
      </c>
      <c r="Q597" s="17">
        <f t="shared" ca="1" si="203"/>
        <v>7</v>
      </c>
      <c r="R597" s="10" t="str">
        <f t="shared" ca="1" si="204"/>
        <v>—</v>
      </c>
      <c r="S597" s="17">
        <f t="shared" ca="1" si="205"/>
        <v>7</v>
      </c>
      <c r="T597" s="70" t="str">
        <f t="shared" ca="1" si="206"/>
        <v>—</v>
      </c>
      <c r="U597" s="17">
        <f t="shared" ca="1" si="207"/>
        <v>7</v>
      </c>
      <c r="V597" s="71" t="str">
        <f t="shared" ca="1" si="208"/>
        <v>—</v>
      </c>
      <c r="W597" s="17">
        <f t="shared" ca="1" si="209"/>
        <v>7</v>
      </c>
    </row>
    <row r="598" spans="1:23" x14ac:dyDescent="0.25">
      <c r="A598" s="4">
        <f t="shared" si="189"/>
        <v>32</v>
      </c>
      <c r="B598" t="str">
        <f ca="1">TEXT(DATE(YEAR(Invoer!$A$6),1,1)+INT((ROWS(B$2:B598)-1)/4),"jjjjmmdd")</f>
        <v>19400529</v>
      </c>
      <c r="C598" s="64" t="str">
        <f>IF(MOD(ROWS(C$2:C598)-1,4)=3,"24.00",INDEX(Data,3,2+MOD(ROWS(C$2:C598)-1,4)))</f>
        <v>07.00</v>
      </c>
      <c r="D598" s="18">
        <f t="shared" ca="1" si="190"/>
        <v>758.2</v>
      </c>
      <c r="E598" s="17">
        <f t="shared" ca="1" si="191"/>
        <v>0</v>
      </c>
      <c r="F598" s="18">
        <f t="shared" ca="1" si="192"/>
        <v>28.1</v>
      </c>
      <c r="G598" s="17">
        <f t="shared" ca="1" si="193"/>
        <v>0</v>
      </c>
      <c r="H598" s="18" t="str">
        <f t="shared" ca="1" si="194"/>
        <v>—</v>
      </c>
      <c r="I598" s="17">
        <f t="shared" ca="1" si="195"/>
        <v>7</v>
      </c>
      <c r="J598" s="18" t="str">
        <f t="shared" ca="1" si="196"/>
        <v>—</v>
      </c>
      <c r="K598" s="17">
        <f t="shared" ca="1" si="197"/>
        <v>7</v>
      </c>
      <c r="L598" s="10">
        <f t="shared" ca="1" si="198"/>
        <v>70</v>
      </c>
      <c r="M598" s="17">
        <f t="shared" ca="1" si="199"/>
        <v>0</v>
      </c>
      <c r="N598" s="18">
        <f t="shared" ca="1" si="200"/>
        <v>20</v>
      </c>
      <c r="O598" s="17">
        <f t="shared" ca="1" si="201"/>
        <v>0</v>
      </c>
      <c r="P598" s="18">
        <f t="shared" ca="1" si="202"/>
        <v>23.8</v>
      </c>
      <c r="Q598" s="17">
        <f t="shared" ca="1" si="203"/>
        <v>0</v>
      </c>
      <c r="R598" s="10">
        <f t="shared" ca="1" si="204"/>
        <v>90</v>
      </c>
      <c r="S598" s="17">
        <f t="shared" ca="1" si="205"/>
        <v>0</v>
      </c>
      <c r="T598" s="70">
        <f t="shared" ca="1" si="206"/>
        <v>0.5</v>
      </c>
      <c r="U598" s="17">
        <f t="shared" ca="1" si="207"/>
        <v>0</v>
      </c>
      <c r="V598" s="71">
        <f t="shared" ca="1" si="208"/>
        <v>5</v>
      </c>
      <c r="W598" s="17">
        <f t="shared" ca="1" si="209"/>
        <v>0</v>
      </c>
    </row>
    <row r="599" spans="1:23" x14ac:dyDescent="0.25">
      <c r="A599" s="4">
        <f t="shared" si="189"/>
        <v>32</v>
      </c>
      <c r="B599" t="str">
        <f ca="1">TEXT(DATE(YEAR(Invoer!$A$6),1,1)+INT((ROWS(B$2:B599)-1)/4),"jjjjmmdd")</f>
        <v>19400529</v>
      </c>
      <c r="C599" s="64" t="str">
        <f>IF(MOD(ROWS(C$2:C599)-1,4)=3,"24.00",INDEX(Data,3,2+MOD(ROWS(C$2:C599)-1,4)))</f>
        <v>12.00</v>
      </c>
      <c r="D599" s="18">
        <f t="shared" ca="1" si="190"/>
        <v>758.7</v>
      </c>
      <c r="E599" s="17">
        <f t="shared" ca="1" si="191"/>
        <v>0</v>
      </c>
      <c r="F599" s="18">
        <f t="shared" ca="1" si="192"/>
        <v>28.5</v>
      </c>
      <c r="G599" s="17">
        <f t="shared" ca="1" si="193"/>
        <v>0</v>
      </c>
      <c r="H599" s="18" t="str">
        <f t="shared" ca="1" si="194"/>
        <v>—</v>
      </c>
      <c r="I599" s="17">
        <f t="shared" ca="1" si="195"/>
        <v>7</v>
      </c>
      <c r="J599" s="18" t="str">
        <f t="shared" ca="1" si="196"/>
        <v>—</v>
      </c>
      <c r="K599" s="17">
        <f t="shared" ca="1" si="197"/>
        <v>7</v>
      </c>
      <c r="L599" s="10">
        <f t="shared" ca="1" si="198"/>
        <v>69</v>
      </c>
      <c r="M599" s="17">
        <f t="shared" ca="1" si="199"/>
        <v>0</v>
      </c>
      <c r="N599" s="18">
        <f t="shared" ca="1" si="200"/>
        <v>20.100000000000001</v>
      </c>
      <c r="O599" s="17">
        <f t="shared" ca="1" si="201"/>
        <v>0</v>
      </c>
      <c r="P599" s="18">
        <f t="shared" ca="1" si="202"/>
        <v>24</v>
      </c>
      <c r="Q599" s="17">
        <f t="shared" ca="1" si="203"/>
        <v>0</v>
      </c>
      <c r="R599" s="10">
        <f t="shared" ca="1" si="204"/>
        <v>90</v>
      </c>
      <c r="S599" s="17">
        <f t="shared" ca="1" si="205"/>
        <v>0</v>
      </c>
      <c r="T599" s="70">
        <f t="shared" ca="1" si="206"/>
        <v>0.6</v>
      </c>
      <c r="U599" s="17">
        <f t="shared" ca="1" si="207"/>
        <v>0</v>
      </c>
      <c r="V599" s="71">
        <f t="shared" ca="1" si="208"/>
        <v>4</v>
      </c>
      <c r="W599" s="17">
        <f t="shared" ca="1" si="209"/>
        <v>0</v>
      </c>
    </row>
    <row r="600" spans="1:23" x14ac:dyDescent="0.25">
      <c r="A600" s="4">
        <f t="shared" si="189"/>
        <v>32</v>
      </c>
      <c r="B600" t="str">
        <f ca="1">TEXT(DATE(YEAR(Invoer!$A$6),1,1)+INT((ROWS(B$2:B600)-1)/4),"jjjjmmdd")</f>
        <v>19400529</v>
      </c>
      <c r="C600" s="64" t="str">
        <f>IF(MOD(ROWS(C$2:C600)-1,4)=3,"24.00",INDEX(Data,3,2+MOD(ROWS(C$2:C600)-1,4)))</f>
        <v>17.00</v>
      </c>
      <c r="D600" s="18">
        <f t="shared" ca="1" si="190"/>
        <v>758.2</v>
      </c>
      <c r="E600" s="17">
        <f t="shared" ca="1" si="191"/>
        <v>0</v>
      </c>
      <c r="F600" s="18">
        <f t="shared" ca="1" si="192"/>
        <v>27.1</v>
      </c>
      <c r="G600" s="17">
        <f t="shared" ca="1" si="193"/>
        <v>0</v>
      </c>
      <c r="H600" s="18" t="str">
        <f t="shared" ca="1" si="194"/>
        <v>—</v>
      </c>
      <c r="I600" s="17">
        <f t="shared" ca="1" si="195"/>
        <v>7</v>
      </c>
      <c r="J600" s="18" t="str">
        <f t="shared" ca="1" si="196"/>
        <v>—</v>
      </c>
      <c r="K600" s="17">
        <f t="shared" ca="1" si="197"/>
        <v>7</v>
      </c>
      <c r="L600" s="10">
        <f t="shared" ca="1" si="198"/>
        <v>75</v>
      </c>
      <c r="M600" s="17">
        <f t="shared" ca="1" si="199"/>
        <v>0</v>
      </c>
      <c r="N600" s="18">
        <f t="shared" ca="1" si="200"/>
        <v>20.100000000000001</v>
      </c>
      <c r="O600" s="17">
        <f t="shared" ca="1" si="201"/>
        <v>0</v>
      </c>
      <c r="P600" s="18">
        <f t="shared" ca="1" si="202"/>
        <v>23.6</v>
      </c>
      <c r="Q600" s="17">
        <f t="shared" ca="1" si="203"/>
        <v>0</v>
      </c>
      <c r="R600" s="10">
        <f t="shared" ca="1" si="204"/>
        <v>65</v>
      </c>
      <c r="S600" s="17">
        <f t="shared" ca="1" si="205"/>
        <v>0</v>
      </c>
      <c r="T600" s="70">
        <f t="shared" ca="1" si="206"/>
        <v>0.6</v>
      </c>
      <c r="U600" s="17">
        <f t="shared" ca="1" si="207"/>
        <v>0</v>
      </c>
      <c r="V600" s="71">
        <f t="shared" ca="1" si="208"/>
        <v>4</v>
      </c>
      <c r="W600" s="17">
        <f t="shared" ca="1" si="209"/>
        <v>0</v>
      </c>
    </row>
    <row r="601" spans="1:23" x14ac:dyDescent="0.25">
      <c r="A601" s="4">
        <f t="shared" si="189"/>
        <v>32</v>
      </c>
      <c r="B601" t="str">
        <f ca="1">TEXT(DATE(YEAR(Invoer!$A$6),1,1)+INT((ROWS(B$2:B601)-1)/4),"jjjjmmdd")</f>
        <v>19400529</v>
      </c>
      <c r="C601" s="64" t="str">
        <f>IF(MOD(ROWS(C$2:C601)-1,4)=3,"24.00",INDEX(Data,3,2+MOD(ROWS(C$2:C601)-1,4)))</f>
        <v>24.00</v>
      </c>
      <c r="D601" s="18" t="str">
        <f t="shared" ca="1" si="190"/>
        <v>—</v>
      </c>
      <c r="E601" s="17">
        <f t="shared" ca="1" si="191"/>
        <v>7</v>
      </c>
      <c r="F601" s="18" t="str">
        <f t="shared" ca="1" si="192"/>
        <v>—</v>
      </c>
      <c r="G601" s="17">
        <f t="shared" ca="1" si="193"/>
        <v>7</v>
      </c>
      <c r="H601" s="18">
        <f t="shared" ca="1" si="194"/>
        <v>28.8</v>
      </c>
      <c r="I601" s="17">
        <f t="shared" ca="1" si="195"/>
        <v>0</v>
      </c>
      <c r="J601" s="18">
        <f t="shared" ca="1" si="196"/>
        <v>31.5</v>
      </c>
      <c r="K601" s="17">
        <f t="shared" ca="1" si="197"/>
        <v>0</v>
      </c>
      <c r="L601" s="10" t="str">
        <f t="shared" ca="1" si="198"/>
        <v>—</v>
      </c>
      <c r="M601" s="17">
        <f t="shared" ca="1" si="199"/>
        <v>7</v>
      </c>
      <c r="N601" s="18" t="str">
        <f t="shared" ca="1" si="200"/>
        <v>—</v>
      </c>
      <c r="O601" s="17">
        <f t="shared" ca="1" si="201"/>
        <v>7</v>
      </c>
      <c r="P601" s="18" t="str">
        <f t="shared" ca="1" si="202"/>
        <v>—</v>
      </c>
      <c r="Q601" s="17">
        <f t="shared" ca="1" si="203"/>
        <v>7</v>
      </c>
      <c r="R601" s="10" t="str">
        <f t="shared" ca="1" si="204"/>
        <v>—</v>
      </c>
      <c r="S601" s="17">
        <f t="shared" ca="1" si="205"/>
        <v>7</v>
      </c>
      <c r="T601" s="70" t="str">
        <f t="shared" ca="1" si="206"/>
        <v>—</v>
      </c>
      <c r="U601" s="17">
        <f t="shared" ca="1" si="207"/>
        <v>7</v>
      </c>
      <c r="V601" s="71" t="str">
        <f t="shared" ca="1" si="208"/>
        <v>—</v>
      </c>
      <c r="W601" s="17">
        <f t="shared" ca="1" si="209"/>
        <v>7</v>
      </c>
    </row>
    <row r="602" spans="1:23" x14ac:dyDescent="0.25">
      <c r="A602" s="4">
        <f t="shared" si="189"/>
        <v>32</v>
      </c>
      <c r="B602" t="str">
        <f ca="1">TEXT(DATE(YEAR(Invoer!$A$6),1,1)+INT((ROWS(B$2:B602)-1)/4),"jjjjmmdd")</f>
        <v>19400530</v>
      </c>
      <c r="C602" s="64" t="str">
        <f>IF(MOD(ROWS(C$2:C602)-1,4)=3,"24.00",INDEX(Data,3,2+MOD(ROWS(C$2:C602)-1,4)))</f>
        <v>07.00</v>
      </c>
      <c r="D602" s="18">
        <f t="shared" ca="1" si="190"/>
        <v>759.5</v>
      </c>
      <c r="E602" s="17">
        <f t="shared" ca="1" si="191"/>
        <v>0</v>
      </c>
      <c r="F602" s="18">
        <f t="shared" ca="1" si="192"/>
        <v>28.5</v>
      </c>
      <c r="G602" s="17">
        <f t="shared" ca="1" si="193"/>
        <v>0</v>
      </c>
      <c r="H602" s="18" t="str">
        <f t="shared" ca="1" si="194"/>
        <v>—</v>
      </c>
      <c r="I602" s="17">
        <f t="shared" ca="1" si="195"/>
        <v>7</v>
      </c>
      <c r="J602" s="18" t="str">
        <f t="shared" ca="1" si="196"/>
        <v>—</v>
      </c>
      <c r="K602" s="17">
        <f t="shared" ca="1" si="197"/>
        <v>7</v>
      </c>
      <c r="L602" s="10">
        <f t="shared" ca="1" si="198"/>
        <v>68</v>
      </c>
      <c r="M602" s="17">
        <f t="shared" ca="1" si="199"/>
        <v>0</v>
      </c>
      <c r="N602" s="18">
        <f t="shared" ca="1" si="200"/>
        <v>19.8</v>
      </c>
      <c r="O602" s="17">
        <f t="shared" ca="1" si="201"/>
        <v>0</v>
      </c>
      <c r="P602" s="18">
        <f t="shared" ca="1" si="202"/>
        <v>23.8</v>
      </c>
      <c r="Q602" s="17">
        <f t="shared" ca="1" si="203"/>
        <v>0</v>
      </c>
      <c r="R602" s="10">
        <f t="shared" ca="1" si="204"/>
        <v>90</v>
      </c>
      <c r="S602" s="17">
        <f t="shared" ca="1" si="205"/>
        <v>0</v>
      </c>
      <c r="T602" s="70">
        <f t="shared" ca="1" si="206"/>
        <v>0.6</v>
      </c>
      <c r="U602" s="17">
        <f t="shared" ca="1" si="207"/>
        <v>0</v>
      </c>
      <c r="V602" s="71">
        <f t="shared" ca="1" si="208"/>
        <v>5</v>
      </c>
      <c r="W602" s="17">
        <f t="shared" ca="1" si="209"/>
        <v>0</v>
      </c>
    </row>
    <row r="603" spans="1:23" x14ac:dyDescent="0.25">
      <c r="A603" s="4">
        <f t="shared" si="189"/>
        <v>32</v>
      </c>
      <c r="B603" t="str">
        <f ca="1">TEXT(DATE(YEAR(Invoer!$A$6),1,1)+INT((ROWS(B$2:B603)-1)/4),"jjjjmmdd")</f>
        <v>19400530</v>
      </c>
      <c r="C603" s="64" t="str">
        <f>IF(MOD(ROWS(C$2:C603)-1,4)=3,"24.00",INDEX(Data,3,2+MOD(ROWS(C$2:C603)-1,4)))</f>
        <v>12.00</v>
      </c>
      <c r="D603" s="18">
        <f t="shared" ca="1" si="190"/>
        <v>757.9</v>
      </c>
      <c r="E603" s="17">
        <f t="shared" ca="1" si="191"/>
        <v>0</v>
      </c>
      <c r="F603" s="18">
        <f t="shared" ca="1" si="192"/>
        <v>28.7</v>
      </c>
      <c r="G603" s="17">
        <f t="shared" ca="1" si="193"/>
        <v>0</v>
      </c>
      <c r="H603" s="18" t="str">
        <f t="shared" ca="1" si="194"/>
        <v>—</v>
      </c>
      <c r="I603" s="17">
        <f t="shared" ca="1" si="195"/>
        <v>7</v>
      </c>
      <c r="J603" s="18" t="str">
        <f t="shared" ca="1" si="196"/>
        <v>—</v>
      </c>
      <c r="K603" s="17">
        <f t="shared" ca="1" si="197"/>
        <v>7</v>
      </c>
      <c r="L603" s="10">
        <f t="shared" ca="1" si="198"/>
        <v>68</v>
      </c>
      <c r="M603" s="17">
        <f t="shared" ca="1" si="199"/>
        <v>0</v>
      </c>
      <c r="N603" s="18">
        <f t="shared" ca="1" si="200"/>
        <v>20</v>
      </c>
      <c r="O603" s="17">
        <f t="shared" ca="1" si="201"/>
        <v>0</v>
      </c>
      <c r="P603" s="18">
        <f t="shared" ca="1" si="202"/>
        <v>24</v>
      </c>
      <c r="Q603" s="17">
        <f t="shared" ca="1" si="203"/>
        <v>0</v>
      </c>
      <c r="R603" s="10">
        <f t="shared" ca="1" si="204"/>
        <v>90</v>
      </c>
      <c r="S603" s="17">
        <f t="shared" ca="1" si="205"/>
        <v>0</v>
      </c>
      <c r="T603" s="70">
        <f t="shared" ca="1" si="206"/>
        <v>0.6</v>
      </c>
      <c r="U603" s="17">
        <f t="shared" ca="1" si="207"/>
        <v>0</v>
      </c>
      <c r="V603" s="71">
        <f t="shared" ca="1" si="208"/>
        <v>5</v>
      </c>
      <c r="W603" s="17">
        <f t="shared" ca="1" si="209"/>
        <v>0</v>
      </c>
    </row>
    <row r="604" spans="1:23" x14ac:dyDescent="0.25">
      <c r="A604" s="4">
        <f t="shared" si="189"/>
        <v>32</v>
      </c>
      <c r="B604" t="str">
        <f ca="1">TEXT(DATE(YEAR(Invoer!$A$6),1,1)+INT((ROWS(B$2:B604)-1)/4),"jjjjmmdd")</f>
        <v>19400530</v>
      </c>
      <c r="C604" s="64" t="str">
        <f>IF(MOD(ROWS(C$2:C604)-1,4)=3,"24.00",INDEX(Data,3,2+MOD(ROWS(C$2:C604)-1,4)))</f>
        <v>17.00</v>
      </c>
      <c r="D604" s="18">
        <f t="shared" ca="1" si="190"/>
        <v>757.9</v>
      </c>
      <c r="E604" s="17">
        <f t="shared" ca="1" si="191"/>
        <v>0</v>
      </c>
      <c r="F604" s="18">
        <f t="shared" ca="1" si="192"/>
        <v>28.7</v>
      </c>
      <c r="G604" s="17">
        <f t="shared" ca="1" si="193"/>
        <v>0</v>
      </c>
      <c r="H604" s="18" t="str">
        <f t="shared" ca="1" si="194"/>
        <v>—</v>
      </c>
      <c r="I604" s="17">
        <f t="shared" ca="1" si="195"/>
        <v>7</v>
      </c>
      <c r="J604" s="18" t="str">
        <f t="shared" ca="1" si="196"/>
        <v>—</v>
      </c>
      <c r="K604" s="17">
        <f t="shared" ca="1" si="197"/>
        <v>7</v>
      </c>
      <c r="L604" s="10">
        <f t="shared" ca="1" si="198"/>
        <v>68</v>
      </c>
      <c r="M604" s="17">
        <f t="shared" ca="1" si="199"/>
        <v>0</v>
      </c>
      <c r="N604" s="18">
        <f t="shared" ca="1" si="200"/>
        <v>20</v>
      </c>
      <c r="O604" s="17">
        <f t="shared" ca="1" si="201"/>
        <v>0</v>
      </c>
      <c r="P604" s="18">
        <f t="shared" ca="1" si="202"/>
        <v>24</v>
      </c>
      <c r="Q604" s="17">
        <f t="shared" ca="1" si="203"/>
        <v>0</v>
      </c>
      <c r="R604" s="10">
        <f t="shared" ca="1" si="204"/>
        <v>65</v>
      </c>
      <c r="S604" s="17">
        <f t="shared" ca="1" si="205"/>
        <v>0</v>
      </c>
      <c r="T604" s="70">
        <f t="shared" ca="1" si="206"/>
        <v>0.6</v>
      </c>
      <c r="U604" s="17">
        <f t="shared" ca="1" si="207"/>
        <v>0</v>
      </c>
      <c r="V604" s="71">
        <f t="shared" ca="1" si="208"/>
        <v>4</v>
      </c>
      <c r="W604" s="17">
        <f t="shared" ca="1" si="209"/>
        <v>0</v>
      </c>
    </row>
    <row r="605" spans="1:23" x14ac:dyDescent="0.25">
      <c r="A605" s="4">
        <f t="shared" si="189"/>
        <v>32</v>
      </c>
      <c r="B605" t="str">
        <f ca="1">TEXT(DATE(YEAR(Invoer!$A$6),1,1)+INT((ROWS(B$2:B605)-1)/4),"jjjjmmdd")</f>
        <v>19400530</v>
      </c>
      <c r="C605" s="64" t="str">
        <f>IF(MOD(ROWS(C$2:C605)-1,4)=3,"24.00",INDEX(Data,3,2+MOD(ROWS(C$2:C605)-1,4)))</f>
        <v>24.00</v>
      </c>
      <c r="D605" s="18" t="str">
        <f t="shared" ca="1" si="190"/>
        <v>—</v>
      </c>
      <c r="E605" s="17">
        <f t="shared" ca="1" si="191"/>
        <v>7</v>
      </c>
      <c r="F605" s="18" t="str">
        <f t="shared" ca="1" si="192"/>
        <v>—</v>
      </c>
      <c r="G605" s="17">
        <f t="shared" ca="1" si="193"/>
        <v>7</v>
      </c>
      <c r="H605" s="18">
        <f t="shared" ca="1" si="194"/>
        <v>30.3</v>
      </c>
      <c r="I605" s="17">
        <f t="shared" ca="1" si="195"/>
        <v>0</v>
      </c>
      <c r="J605" s="18">
        <f t="shared" ca="1" si="196"/>
        <v>31.6</v>
      </c>
      <c r="K605" s="17">
        <f t="shared" ca="1" si="197"/>
        <v>0</v>
      </c>
      <c r="L605" s="10" t="str">
        <f t="shared" ca="1" si="198"/>
        <v>—</v>
      </c>
      <c r="M605" s="17">
        <f t="shared" ca="1" si="199"/>
        <v>7</v>
      </c>
      <c r="N605" s="18" t="str">
        <f t="shared" ca="1" si="200"/>
        <v>—</v>
      </c>
      <c r="O605" s="17">
        <f t="shared" ca="1" si="201"/>
        <v>7</v>
      </c>
      <c r="P605" s="18" t="str">
        <f t="shared" ca="1" si="202"/>
        <v>—</v>
      </c>
      <c r="Q605" s="17">
        <f t="shared" ca="1" si="203"/>
        <v>7</v>
      </c>
      <c r="R605" s="10" t="str">
        <f t="shared" ca="1" si="204"/>
        <v>—</v>
      </c>
      <c r="S605" s="17">
        <f t="shared" ca="1" si="205"/>
        <v>7</v>
      </c>
      <c r="T605" s="70" t="str">
        <f t="shared" ca="1" si="206"/>
        <v>—</v>
      </c>
      <c r="U605" s="17">
        <f t="shared" ca="1" si="207"/>
        <v>7</v>
      </c>
      <c r="V605" s="71" t="str">
        <f t="shared" ca="1" si="208"/>
        <v>—</v>
      </c>
      <c r="W605" s="17">
        <f t="shared" ca="1" si="209"/>
        <v>7</v>
      </c>
    </row>
    <row r="606" spans="1:23" x14ac:dyDescent="0.25">
      <c r="A606" s="4">
        <f t="shared" si="189"/>
        <v>32</v>
      </c>
      <c r="B606" t="str">
        <f ca="1">TEXT(DATE(YEAR(Invoer!$A$6),1,1)+INT((ROWS(B$2:B606)-1)/4),"jjjjmmdd")</f>
        <v>19400531</v>
      </c>
      <c r="C606" s="64" t="str">
        <f>IF(MOD(ROWS(C$2:C606)-1,4)=3,"24.00",INDEX(Data,3,2+MOD(ROWS(C$2:C606)-1,4)))</f>
        <v>07.00</v>
      </c>
      <c r="D606" s="18">
        <f t="shared" ca="1" si="190"/>
        <v>758.7</v>
      </c>
      <c r="E606" s="17">
        <f t="shared" ca="1" si="191"/>
        <v>0</v>
      </c>
      <c r="F606" s="18">
        <f t="shared" ca="1" si="192"/>
        <v>26.3</v>
      </c>
      <c r="G606" s="17">
        <f t="shared" ca="1" si="193"/>
        <v>0</v>
      </c>
      <c r="H606" s="18" t="str">
        <f t="shared" ca="1" si="194"/>
        <v>—</v>
      </c>
      <c r="I606" s="17">
        <f t="shared" ca="1" si="195"/>
        <v>7</v>
      </c>
      <c r="J606" s="18" t="str">
        <f t="shared" ca="1" si="196"/>
        <v>—</v>
      </c>
      <c r="K606" s="17">
        <f t="shared" ca="1" si="197"/>
        <v>7</v>
      </c>
      <c r="L606" s="10">
        <f t="shared" ca="1" si="198"/>
        <v>74</v>
      </c>
      <c r="M606" s="17">
        <f t="shared" ca="1" si="199"/>
        <v>0</v>
      </c>
      <c r="N606" s="18">
        <f t="shared" ca="1" si="200"/>
        <v>19.100000000000001</v>
      </c>
      <c r="O606" s="17">
        <f t="shared" ca="1" si="201"/>
        <v>0</v>
      </c>
      <c r="P606" s="18">
        <f t="shared" ca="1" si="202"/>
        <v>22.8</v>
      </c>
      <c r="Q606" s="17">
        <f t="shared" ca="1" si="203"/>
        <v>0</v>
      </c>
      <c r="R606" s="10">
        <f t="shared" ca="1" si="204"/>
        <v>90</v>
      </c>
      <c r="S606" s="17">
        <f t="shared" ca="1" si="205"/>
        <v>0</v>
      </c>
      <c r="T606" s="70">
        <f t="shared" ca="1" si="206"/>
        <v>0.5</v>
      </c>
      <c r="U606" s="17">
        <f t="shared" ca="1" si="207"/>
        <v>0</v>
      </c>
      <c r="V606" s="71">
        <f t="shared" ca="1" si="208"/>
        <v>3</v>
      </c>
      <c r="W606" s="17">
        <f t="shared" ca="1" si="209"/>
        <v>0</v>
      </c>
    </row>
    <row r="607" spans="1:23" x14ac:dyDescent="0.25">
      <c r="A607" s="4">
        <f t="shared" si="189"/>
        <v>32</v>
      </c>
      <c r="B607" t="str">
        <f ca="1">TEXT(DATE(YEAR(Invoer!$A$6),1,1)+INT((ROWS(B$2:B607)-1)/4),"jjjjmmdd")</f>
        <v>19400531</v>
      </c>
      <c r="C607" s="64" t="str">
        <f>IF(MOD(ROWS(C$2:C607)-1,4)=3,"24.00",INDEX(Data,3,2+MOD(ROWS(C$2:C607)-1,4)))</f>
        <v>12.00</v>
      </c>
      <c r="D607" s="18">
        <f t="shared" ca="1" si="190"/>
        <v>759.5</v>
      </c>
      <c r="E607" s="17">
        <f t="shared" ca="1" si="191"/>
        <v>0</v>
      </c>
      <c r="F607" s="18">
        <f t="shared" ca="1" si="192"/>
        <v>28.5</v>
      </c>
      <c r="G607" s="17">
        <f t="shared" ca="1" si="193"/>
        <v>0</v>
      </c>
      <c r="H607" s="18" t="str">
        <f t="shared" ca="1" si="194"/>
        <v>—</v>
      </c>
      <c r="I607" s="17">
        <f t="shared" ca="1" si="195"/>
        <v>7</v>
      </c>
      <c r="J607" s="18" t="str">
        <f t="shared" ca="1" si="196"/>
        <v>—</v>
      </c>
      <c r="K607" s="17">
        <f t="shared" ca="1" si="197"/>
        <v>7</v>
      </c>
      <c r="L607" s="10">
        <f t="shared" ca="1" si="198"/>
        <v>66</v>
      </c>
      <c r="M607" s="17">
        <f t="shared" ca="1" si="199"/>
        <v>0</v>
      </c>
      <c r="N607" s="18">
        <f t="shared" ca="1" si="200"/>
        <v>19.399999999999999</v>
      </c>
      <c r="O607" s="17">
        <f t="shared" ca="1" si="201"/>
        <v>0</v>
      </c>
      <c r="P607" s="18">
        <f t="shared" ca="1" si="202"/>
        <v>23.6</v>
      </c>
      <c r="Q607" s="17">
        <f t="shared" ca="1" si="203"/>
        <v>0</v>
      </c>
      <c r="R607" s="10">
        <f t="shared" ca="1" si="204"/>
        <v>90</v>
      </c>
      <c r="S607" s="17">
        <f t="shared" ca="1" si="205"/>
        <v>0</v>
      </c>
      <c r="T607" s="70">
        <f t="shared" ca="1" si="206"/>
        <v>0.6</v>
      </c>
      <c r="U607" s="17">
        <f t="shared" ca="1" si="207"/>
        <v>0</v>
      </c>
      <c r="V607" s="71">
        <f t="shared" ca="1" si="208"/>
        <v>2</v>
      </c>
      <c r="W607" s="17">
        <f t="shared" ca="1" si="209"/>
        <v>0</v>
      </c>
    </row>
    <row r="608" spans="1:23" x14ac:dyDescent="0.25">
      <c r="A608" s="4">
        <f t="shared" si="189"/>
        <v>32</v>
      </c>
      <c r="B608" t="str">
        <f ca="1">TEXT(DATE(YEAR(Invoer!$A$6),1,1)+INT((ROWS(B$2:B608)-1)/4),"jjjjmmdd")</f>
        <v>19400531</v>
      </c>
      <c r="C608" s="64" t="str">
        <f>IF(MOD(ROWS(C$2:C608)-1,4)=3,"24.00",INDEX(Data,3,2+MOD(ROWS(C$2:C608)-1,4)))</f>
        <v>17.00</v>
      </c>
      <c r="D608" s="18">
        <f t="shared" ca="1" si="190"/>
        <v>758.2</v>
      </c>
      <c r="E608" s="17">
        <f t="shared" ca="1" si="191"/>
        <v>0</v>
      </c>
      <c r="F608" s="18">
        <f t="shared" ca="1" si="192"/>
        <v>27.5</v>
      </c>
      <c r="G608" s="17">
        <f t="shared" ca="1" si="193"/>
        <v>0</v>
      </c>
      <c r="H608" s="18" t="str">
        <f t="shared" ca="1" si="194"/>
        <v>—</v>
      </c>
      <c r="I608" s="17">
        <f t="shared" ca="1" si="195"/>
        <v>7</v>
      </c>
      <c r="J608" s="18" t="str">
        <f t="shared" ca="1" si="196"/>
        <v>—</v>
      </c>
      <c r="K608" s="17">
        <f t="shared" ca="1" si="197"/>
        <v>7</v>
      </c>
      <c r="L608" s="10">
        <f t="shared" ca="1" si="198"/>
        <v>70</v>
      </c>
      <c r="M608" s="17">
        <f t="shared" ca="1" si="199"/>
        <v>0</v>
      </c>
      <c r="N608" s="18">
        <f t="shared" ca="1" si="200"/>
        <v>19.399999999999999</v>
      </c>
      <c r="O608" s="17">
        <f t="shared" ca="1" si="201"/>
        <v>0</v>
      </c>
      <c r="P608" s="18">
        <f t="shared" ca="1" si="202"/>
        <v>23.2</v>
      </c>
      <c r="Q608" s="17">
        <f t="shared" ca="1" si="203"/>
        <v>0</v>
      </c>
      <c r="R608" s="10">
        <f t="shared" ca="1" si="204"/>
        <v>65</v>
      </c>
      <c r="S608" s="17">
        <f t="shared" ca="1" si="205"/>
        <v>0</v>
      </c>
      <c r="T608" s="70">
        <f t="shared" ca="1" si="206"/>
        <v>0.6</v>
      </c>
      <c r="U608" s="17">
        <f t="shared" ca="1" si="207"/>
        <v>0</v>
      </c>
      <c r="V608" s="71">
        <f t="shared" ca="1" si="208"/>
        <v>3</v>
      </c>
      <c r="W608" s="17">
        <f t="shared" ca="1" si="209"/>
        <v>0</v>
      </c>
    </row>
    <row r="609" spans="1:23" x14ac:dyDescent="0.25">
      <c r="A609" s="4">
        <f t="shared" si="189"/>
        <v>32</v>
      </c>
      <c r="B609" t="str">
        <f ca="1">TEXT(DATE(YEAR(Invoer!$A$6),1,1)+INT((ROWS(B$2:B609)-1)/4),"jjjjmmdd")</f>
        <v>19400531</v>
      </c>
      <c r="C609" s="64" t="str">
        <f>IF(MOD(ROWS(C$2:C609)-1,4)=3,"24.00",INDEX(Data,3,2+MOD(ROWS(C$2:C609)-1,4)))</f>
        <v>24.00</v>
      </c>
      <c r="D609" s="18" t="str">
        <f t="shared" ca="1" si="190"/>
        <v>—</v>
      </c>
      <c r="E609" s="17">
        <f t="shared" ca="1" si="191"/>
        <v>7</v>
      </c>
      <c r="F609" s="18" t="str">
        <f t="shared" ca="1" si="192"/>
        <v>—</v>
      </c>
      <c r="G609" s="17">
        <f t="shared" ca="1" si="193"/>
        <v>7</v>
      </c>
      <c r="H609" s="18">
        <f t="shared" ca="1" si="194"/>
        <v>28.5</v>
      </c>
      <c r="I609" s="17">
        <f t="shared" ca="1" si="195"/>
        <v>0</v>
      </c>
      <c r="J609" s="18">
        <f t="shared" ca="1" si="196"/>
        <v>30</v>
      </c>
      <c r="K609" s="17">
        <f t="shared" ca="1" si="197"/>
        <v>0</v>
      </c>
      <c r="L609" s="10" t="str">
        <f t="shared" ca="1" si="198"/>
        <v>—</v>
      </c>
      <c r="M609" s="17">
        <f t="shared" ca="1" si="199"/>
        <v>7</v>
      </c>
      <c r="N609" s="18" t="str">
        <f t="shared" ca="1" si="200"/>
        <v>—</v>
      </c>
      <c r="O609" s="17">
        <f t="shared" ca="1" si="201"/>
        <v>7</v>
      </c>
      <c r="P609" s="18" t="str">
        <f t="shared" ca="1" si="202"/>
        <v>—</v>
      </c>
      <c r="Q609" s="17">
        <f t="shared" ca="1" si="203"/>
        <v>7</v>
      </c>
      <c r="R609" s="10" t="str">
        <f t="shared" ca="1" si="204"/>
        <v>—</v>
      </c>
      <c r="S609" s="17">
        <f t="shared" ca="1" si="205"/>
        <v>7</v>
      </c>
      <c r="T609" s="70" t="str">
        <f t="shared" ca="1" si="206"/>
        <v>—</v>
      </c>
      <c r="U609" s="17">
        <f t="shared" ca="1" si="207"/>
        <v>7</v>
      </c>
      <c r="V609" s="71" t="str">
        <f t="shared" ca="1" si="208"/>
        <v>—</v>
      </c>
      <c r="W609" s="17">
        <f t="shared" ca="1" si="209"/>
        <v>7</v>
      </c>
    </row>
    <row r="610" spans="1:23" x14ac:dyDescent="0.25">
      <c r="A610" s="4">
        <f t="shared" si="189"/>
        <v>32</v>
      </c>
      <c r="B610" t="str">
        <f ca="1">TEXT(DATE(YEAR(Invoer!$A$6),1,1)+INT((ROWS(B$2:B610)-1)/4),"jjjjmmdd")</f>
        <v>19400601</v>
      </c>
      <c r="C610" s="64" t="str">
        <f>IF(MOD(ROWS(C$2:C610)-1,4)=3,"24.00",INDEX(Data,3,2+MOD(ROWS(C$2:C610)-1,4)))</f>
        <v>07.00</v>
      </c>
      <c r="D610" s="18">
        <f t="shared" ca="1" si="190"/>
        <v>759.2</v>
      </c>
      <c r="E610" s="17">
        <f t="shared" ca="1" si="191"/>
        <v>0</v>
      </c>
      <c r="F610" s="18">
        <f t="shared" ca="1" si="192"/>
        <v>26.1</v>
      </c>
      <c r="G610" s="17">
        <f t="shared" ca="1" si="193"/>
        <v>0</v>
      </c>
      <c r="H610" s="18" t="str">
        <f t="shared" ca="1" si="194"/>
        <v>—</v>
      </c>
      <c r="I610" s="17">
        <f t="shared" ca="1" si="195"/>
        <v>7</v>
      </c>
      <c r="J610" s="18" t="str">
        <f t="shared" ca="1" si="196"/>
        <v>—</v>
      </c>
      <c r="K610" s="17">
        <f t="shared" ca="1" si="197"/>
        <v>7</v>
      </c>
      <c r="L610" s="10">
        <f t="shared" ca="1" si="198"/>
        <v>77</v>
      </c>
      <c r="M610" s="17">
        <f t="shared" ca="1" si="199"/>
        <v>0</v>
      </c>
      <c r="N610" s="18">
        <f t="shared" ca="1" si="200"/>
        <v>19.5</v>
      </c>
      <c r="O610" s="17">
        <f t="shared" ca="1" si="201"/>
        <v>0</v>
      </c>
      <c r="P610" s="18">
        <f t="shared" ca="1" si="202"/>
        <v>23</v>
      </c>
      <c r="Q610" s="17">
        <f t="shared" ca="1" si="203"/>
        <v>0</v>
      </c>
      <c r="R610" s="10">
        <f t="shared" ca="1" si="204"/>
        <v>65</v>
      </c>
      <c r="S610" s="17">
        <f t="shared" ca="1" si="205"/>
        <v>0</v>
      </c>
      <c r="T610" s="70">
        <f t="shared" ca="1" si="206"/>
        <v>0.5</v>
      </c>
      <c r="U610" s="17">
        <f t="shared" ca="1" si="207"/>
        <v>0</v>
      </c>
      <c r="V610" s="71">
        <f t="shared" ca="1" si="208"/>
        <v>4</v>
      </c>
      <c r="W610" s="17">
        <f t="shared" ca="1" si="209"/>
        <v>0</v>
      </c>
    </row>
    <row r="611" spans="1:23" x14ac:dyDescent="0.25">
      <c r="A611" s="4">
        <f t="shared" si="189"/>
        <v>32</v>
      </c>
      <c r="B611" t="str">
        <f ca="1">TEXT(DATE(YEAR(Invoer!$A$6),1,1)+INT((ROWS(B$2:B611)-1)/4),"jjjjmmdd")</f>
        <v>19400601</v>
      </c>
      <c r="C611" s="64" t="str">
        <f>IF(MOD(ROWS(C$2:C611)-1,4)=3,"24.00",INDEX(Data,3,2+MOD(ROWS(C$2:C611)-1,4)))</f>
        <v>12.00</v>
      </c>
      <c r="D611" s="18">
        <f t="shared" ca="1" si="190"/>
        <v>760</v>
      </c>
      <c r="E611" s="17">
        <f t="shared" ca="1" si="191"/>
        <v>0</v>
      </c>
      <c r="F611" s="18">
        <f t="shared" ca="1" si="192"/>
        <v>27.9</v>
      </c>
      <c r="G611" s="17">
        <f t="shared" ca="1" si="193"/>
        <v>0</v>
      </c>
      <c r="H611" s="18" t="str">
        <f t="shared" ca="1" si="194"/>
        <v>—</v>
      </c>
      <c r="I611" s="17">
        <f t="shared" ca="1" si="195"/>
        <v>7</v>
      </c>
      <c r="J611" s="18" t="str">
        <f t="shared" ca="1" si="196"/>
        <v>—</v>
      </c>
      <c r="K611" s="17">
        <f t="shared" ca="1" si="197"/>
        <v>7</v>
      </c>
      <c r="L611" s="10">
        <f t="shared" ca="1" si="198"/>
        <v>68</v>
      </c>
      <c r="M611" s="17">
        <f t="shared" ca="1" si="199"/>
        <v>0</v>
      </c>
      <c r="N611" s="18">
        <f t="shared" ca="1" si="200"/>
        <v>19.3</v>
      </c>
      <c r="O611" s="17">
        <f t="shared" ca="1" si="201"/>
        <v>0</v>
      </c>
      <c r="P611" s="18">
        <f t="shared" ca="1" si="202"/>
        <v>23.4</v>
      </c>
      <c r="Q611" s="17">
        <f t="shared" ca="1" si="203"/>
        <v>0</v>
      </c>
      <c r="R611" s="10">
        <f t="shared" ca="1" si="204"/>
        <v>65</v>
      </c>
      <c r="S611" s="17">
        <f t="shared" ca="1" si="205"/>
        <v>0</v>
      </c>
      <c r="T611" s="70">
        <f t="shared" ca="1" si="206"/>
        <v>0.7</v>
      </c>
      <c r="U611" s="17">
        <f t="shared" ca="1" si="207"/>
        <v>0</v>
      </c>
      <c r="V611" s="71">
        <f t="shared" ca="1" si="208"/>
        <v>3</v>
      </c>
      <c r="W611" s="17">
        <f t="shared" ca="1" si="209"/>
        <v>0</v>
      </c>
    </row>
    <row r="612" spans="1:23" x14ac:dyDescent="0.25">
      <c r="A612" s="4">
        <f t="shared" si="189"/>
        <v>32</v>
      </c>
      <c r="B612" t="str">
        <f ca="1">TEXT(DATE(YEAR(Invoer!$A$6),1,1)+INT((ROWS(B$2:B612)-1)/4),"jjjjmmdd")</f>
        <v>19400601</v>
      </c>
      <c r="C612" s="64" t="str">
        <f>IF(MOD(ROWS(C$2:C612)-1,4)=3,"24.00",INDEX(Data,3,2+MOD(ROWS(C$2:C612)-1,4)))</f>
        <v>17.00</v>
      </c>
      <c r="D612" s="18">
        <f t="shared" ca="1" si="190"/>
        <v>758.2</v>
      </c>
      <c r="E612" s="17">
        <f t="shared" ca="1" si="191"/>
        <v>0</v>
      </c>
      <c r="F612" s="18">
        <f t="shared" ca="1" si="192"/>
        <v>27.5</v>
      </c>
      <c r="G612" s="17">
        <f t="shared" ca="1" si="193"/>
        <v>0</v>
      </c>
      <c r="H612" s="18" t="str">
        <f t="shared" ca="1" si="194"/>
        <v>—</v>
      </c>
      <c r="I612" s="17">
        <f t="shared" ca="1" si="195"/>
        <v>7</v>
      </c>
      <c r="J612" s="18" t="str">
        <f t="shared" ca="1" si="196"/>
        <v>—</v>
      </c>
      <c r="K612" s="17">
        <f t="shared" ca="1" si="197"/>
        <v>7</v>
      </c>
      <c r="L612" s="10">
        <f t="shared" ca="1" si="198"/>
        <v>68</v>
      </c>
      <c r="M612" s="17">
        <f t="shared" ca="1" si="199"/>
        <v>0</v>
      </c>
      <c r="N612" s="18">
        <f t="shared" ca="1" si="200"/>
        <v>18.8</v>
      </c>
      <c r="O612" s="17">
        <f t="shared" ca="1" si="201"/>
        <v>0</v>
      </c>
      <c r="P612" s="18">
        <f t="shared" ca="1" si="202"/>
        <v>23</v>
      </c>
      <c r="Q612" s="17">
        <f t="shared" ca="1" si="203"/>
        <v>0</v>
      </c>
      <c r="R612" s="10">
        <f t="shared" ca="1" si="204"/>
        <v>45</v>
      </c>
      <c r="S612" s="17">
        <f t="shared" ca="1" si="205"/>
        <v>0</v>
      </c>
      <c r="T612" s="70">
        <f t="shared" ca="1" si="206"/>
        <v>0.6</v>
      </c>
      <c r="U612" s="17">
        <f t="shared" ca="1" si="207"/>
        <v>0</v>
      </c>
      <c r="V612" s="71">
        <f t="shared" ca="1" si="208"/>
        <v>3</v>
      </c>
      <c r="W612" s="17">
        <f t="shared" ca="1" si="209"/>
        <v>0</v>
      </c>
    </row>
    <row r="613" spans="1:23" x14ac:dyDescent="0.25">
      <c r="A613" s="4">
        <f t="shared" si="189"/>
        <v>32</v>
      </c>
      <c r="B613" t="str">
        <f ca="1">TEXT(DATE(YEAR(Invoer!$A$6),1,1)+INT((ROWS(B$2:B613)-1)/4),"jjjjmmdd")</f>
        <v>19400601</v>
      </c>
      <c r="C613" s="64" t="str">
        <f>IF(MOD(ROWS(C$2:C613)-1,4)=3,"24.00",INDEX(Data,3,2+MOD(ROWS(C$2:C613)-1,4)))</f>
        <v>24.00</v>
      </c>
      <c r="D613" s="18" t="str">
        <f t="shared" ca="1" si="190"/>
        <v>—</v>
      </c>
      <c r="E613" s="17">
        <f t="shared" ca="1" si="191"/>
        <v>7</v>
      </c>
      <c r="F613" s="18" t="str">
        <f t="shared" ca="1" si="192"/>
        <v>—</v>
      </c>
      <c r="G613" s="17">
        <f t="shared" ca="1" si="193"/>
        <v>7</v>
      </c>
      <c r="H613" s="18">
        <f t="shared" ca="1" si="194"/>
        <v>28.3</v>
      </c>
      <c r="I613" s="17">
        <f t="shared" ca="1" si="195"/>
        <v>0</v>
      </c>
      <c r="J613" s="18">
        <f t="shared" ca="1" si="196"/>
        <v>31.5</v>
      </c>
      <c r="K613" s="17">
        <f t="shared" ca="1" si="197"/>
        <v>0</v>
      </c>
      <c r="L613" s="10" t="str">
        <f t="shared" ca="1" si="198"/>
        <v>—</v>
      </c>
      <c r="M613" s="17">
        <f t="shared" ca="1" si="199"/>
        <v>7</v>
      </c>
      <c r="N613" s="18" t="str">
        <f t="shared" ca="1" si="200"/>
        <v>—</v>
      </c>
      <c r="O613" s="17">
        <f t="shared" ca="1" si="201"/>
        <v>7</v>
      </c>
      <c r="P613" s="18" t="str">
        <f t="shared" ca="1" si="202"/>
        <v>—</v>
      </c>
      <c r="Q613" s="17">
        <f t="shared" ca="1" si="203"/>
        <v>7</v>
      </c>
      <c r="R613" s="10" t="str">
        <f t="shared" ca="1" si="204"/>
        <v>—</v>
      </c>
      <c r="S613" s="17">
        <f t="shared" ca="1" si="205"/>
        <v>7</v>
      </c>
      <c r="T613" s="70" t="str">
        <f t="shared" ca="1" si="206"/>
        <v>—</v>
      </c>
      <c r="U613" s="17">
        <f t="shared" ca="1" si="207"/>
        <v>7</v>
      </c>
      <c r="V613" s="71" t="str">
        <f t="shared" ca="1" si="208"/>
        <v>—</v>
      </c>
      <c r="W613" s="17">
        <f t="shared" ca="1" si="209"/>
        <v>7</v>
      </c>
    </row>
    <row r="614" spans="1:23" x14ac:dyDescent="0.25">
      <c r="A614" s="4">
        <f t="shared" si="189"/>
        <v>32</v>
      </c>
      <c r="B614" t="str">
        <f ca="1">TEXT(DATE(YEAR(Invoer!$A$6),1,1)+INT((ROWS(B$2:B614)-1)/4),"jjjjmmdd")</f>
        <v>19400602</v>
      </c>
      <c r="C614" s="64" t="str">
        <f>IF(MOD(ROWS(C$2:C614)-1,4)=3,"24.00",INDEX(Data,3,2+MOD(ROWS(C$2:C614)-1,4)))</f>
        <v>07.00</v>
      </c>
      <c r="D614" s="18">
        <f t="shared" ca="1" si="190"/>
        <v>759.7</v>
      </c>
      <c r="E614" s="17">
        <f t="shared" ca="1" si="191"/>
        <v>0</v>
      </c>
      <c r="F614" s="18">
        <f t="shared" ca="1" si="192"/>
        <v>25.9</v>
      </c>
      <c r="G614" s="17">
        <f t="shared" ca="1" si="193"/>
        <v>0</v>
      </c>
      <c r="H614" s="18" t="str">
        <f t="shared" ca="1" si="194"/>
        <v>—</v>
      </c>
      <c r="I614" s="17">
        <f t="shared" ca="1" si="195"/>
        <v>7</v>
      </c>
      <c r="J614" s="18" t="str">
        <f t="shared" ca="1" si="196"/>
        <v>—</v>
      </c>
      <c r="K614" s="17">
        <f t="shared" ca="1" si="197"/>
        <v>7</v>
      </c>
      <c r="L614" s="10">
        <f t="shared" ca="1" si="198"/>
        <v>77</v>
      </c>
      <c r="M614" s="17">
        <f t="shared" ca="1" si="199"/>
        <v>0</v>
      </c>
      <c r="N614" s="18">
        <f t="shared" ca="1" si="200"/>
        <v>19.3</v>
      </c>
      <c r="O614" s="17">
        <f t="shared" ca="1" si="201"/>
        <v>0</v>
      </c>
      <c r="P614" s="18">
        <f t="shared" ca="1" si="202"/>
        <v>22.8</v>
      </c>
      <c r="Q614" s="17">
        <f t="shared" ca="1" si="203"/>
        <v>0</v>
      </c>
      <c r="R614" s="10">
        <f t="shared" ca="1" si="204"/>
        <v>65</v>
      </c>
      <c r="S614" s="17">
        <f t="shared" ca="1" si="205"/>
        <v>0</v>
      </c>
      <c r="T614" s="70">
        <f t="shared" ca="1" si="206"/>
        <v>0.5</v>
      </c>
      <c r="U614" s="17">
        <f t="shared" ca="1" si="207"/>
        <v>0</v>
      </c>
      <c r="V614" s="71">
        <f t="shared" ca="1" si="208"/>
        <v>4</v>
      </c>
      <c r="W614" s="17">
        <f t="shared" ca="1" si="209"/>
        <v>0</v>
      </c>
    </row>
    <row r="615" spans="1:23" x14ac:dyDescent="0.25">
      <c r="A615" s="4">
        <f t="shared" si="189"/>
        <v>32</v>
      </c>
      <c r="B615" t="str">
        <f ca="1">TEXT(DATE(YEAR(Invoer!$A$6),1,1)+INT((ROWS(B$2:B615)-1)/4),"jjjjmmdd")</f>
        <v>19400602</v>
      </c>
      <c r="C615" s="64" t="str">
        <f>IF(MOD(ROWS(C$2:C615)-1,4)=3,"24.00",INDEX(Data,3,2+MOD(ROWS(C$2:C615)-1,4)))</f>
        <v>12.00</v>
      </c>
      <c r="D615" s="18">
        <f t="shared" ca="1" si="190"/>
        <v>759.5</v>
      </c>
      <c r="E615" s="17">
        <f t="shared" ca="1" si="191"/>
        <v>0</v>
      </c>
      <c r="F615" s="18">
        <f t="shared" ca="1" si="192"/>
        <v>27.9</v>
      </c>
      <c r="G615" s="17">
        <f t="shared" ca="1" si="193"/>
        <v>0</v>
      </c>
      <c r="H615" s="18" t="str">
        <f t="shared" ca="1" si="194"/>
        <v>—</v>
      </c>
      <c r="I615" s="17">
        <f t="shared" ca="1" si="195"/>
        <v>7</v>
      </c>
      <c r="J615" s="18" t="str">
        <f t="shared" ca="1" si="196"/>
        <v>—</v>
      </c>
      <c r="K615" s="17">
        <f t="shared" ca="1" si="197"/>
        <v>7</v>
      </c>
      <c r="L615" s="10">
        <f t="shared" ca="1" si="198"/>
        <v>68</v>
      </c>
      <c r="M615" s="17">
        <f t="shared" ca="1" si="199"/>
        <v>0</v>
      </c>
      <c r="N615" s="18">
        <f t="shared" ca="1" si="200"/>
        <v>19.3</v>
      </c>
      <c r="O615" s="17">
        <f t="shared" ca="1" si="201"/>
        <v>0</v>
      </c>
      <c r="P615" s="18">
        <f t="shared" ca="1" si="202"/>
        <v>23.4</v>
      </c>
      <c r="Q615" s="17">
        <f t="shared" ca="1" si="203"/>
        <v>0</v>
      </c>
      <c r="R615" s="10">
        <f t="shared" ca="1" si="204"/>
        <v>65</v>
      </c>
      <c r="S615" s="17">
        <f t="shared" ca="1" si="205"/>
        <v>0</v>
      </c>
      <c r="T615" s="70">
        <f t="shared" ca="1" si="206"/>
        <v>0.7</v>
      </c>
      <c r="U615" s="17">
        <f t="shared" ca="1" si="207"/>
        <v>0</v>
      </c>
      <c r="V615" s="71">
        <f t="shared" ca="1" si="208"/>
        <v>4</v>
      </c>
      <c r="W615" s="17">
        <f t="shared" ca="1" si="209"/>
        <v>0</v>
      </c>
    </row>
    <row r="616" spans="1:23" x14ac:dyDescent="0.25">
      <c r="A616" s="4">
        <f t="shared" si="189"/>
        <v>32</v>
      </c>
      <c r="B616" t="str">
        <f ca="1">TEXT(DATE(YEAR(Invoer!$A$6),1,1)+INT((ROWS(B$2:B616)-1)/4),"jjjjmmdd")</f>
        <v>19400602</v>
      </c>
      <c r="C616" s="64" t="str">
        <f>IF(MOD(ROWS(C$2:C616)-1,4)=3,"24.00",INDEX(Data,3,2+MOD(ROWS(C$2:C616)-1,4)))</f>
        <v>17.00</v>
      </c>
      <c r="D616" s="18">
        <f t="shared" ca="1" si="190"/>
        <v>759.2</v>
      </c>
      <c r="E616" s="17">
        <f t="shared" ca="1" si="191"/>
        <v>0</v>
      </c>
      <c r="F616" s="18">
        <f t="shared" ca="1" si="192"/>
        <v>27.5</v>
      </c>
      <c r="G616" s="17">
        <f t="shared" ca="1" si="193"/>
        <v>0</v>
      </c>
      <c r="H616" s="18" t="str">
        <f t="shared" ca="1" si="194"/>
        <v>—</v>
      </c>
      <c r="I616" s="17">
        <f t="shared" ca="1" si="195"/>
        <v>7</v>
      </c>
      <c r="J616" s="18" t="str">
        <f t="shared" ca="1" si="196"/>
        <v>—</v>
      </c>
      <c r="K616" s="17">
        <f t="shared" ca="1" si="197"/>
        <v>7</v>
      </c>
      <c r="L616" s="10">
        <f t="shared" ca="1" si="198"/>
        <v>68</v>
      </c>
      <c r="M616" s="17">
        <f t="shared" ca="1" si="199"/>
        <v>0</v>
      </c>
      <c r="N616" s="18">
        <f t="shared" ca="1" si="200"/>
        <v>18.8</v>
      </c>
      <c r="O616" s="17">
        <f t="shared" ca="1" si="201"/>
        <v>0</v>
      </c>
      <c r="P616" s="18">
        <f t="shared" ca="1" si="202"/>
        <v>23</v>
      </c>
      <c r="Q616" s="17">
        <f t="shared" ca="1" si="203"/>
        <v>0</v>
      </c>
      <c r="R616" s="10">
        <f t="shared" ca="1" si="204"/>
        <v>65</v>
      </c>
      <c r="S616" s="17">
        <f t="shared" ca="1" si="205"/>
        <v>0</v>
      </c>
      <c r="T616" s="70">
        <f t="shared" ca="1" si="206"/>
        <v>0.7</v>
      </c>
      <c r="U616" s="17">
        <f t="shared" ca="1" si="207"/>
        <v>0</v>
      </c>
      <c r="V616" s="71">
        <f t="shared" ca="1" si="208"/>
        <v>4</v>
      </c>
      <c r="W616" s="17">
        <f t="shared" ca="1" si="209"/>
        <v>0</v>
      </c>
    </row>
    <row r="617" spans="1:23" x14ac:dyDescent="0.25">
      <c r="A617" s="4">
        <f t="shared" si="189"/>
        <v>32</v>
      </c>
      <c r="B617" t="str">
        <f ca="1">TEXT(DATE(YEAR(Invoer!$A$6),1,1)+INT((ROWS(B$2:B617)-1)/4),"jjjjmmdd")</f>
        <v>19400602</v>
      </c>
      <c r="C617" s="64" t="str">
        <f>IF(MOD(ROWS(C$2:C617)-1,4)=3,"24.00",INDEX(Data,3,2+MOD(ROWS(C$2:C617)-1,4)))</f>
        <v>24.00</v>
      </c>
      <c r="D617" s="18" t="str">
        <f t="shared" ca="1" si="190"/>
        <v>—</v>
      </c>
      <c r="E617" s="17">
        <f t="shared" ca="1" si="191"/>
        <v>7</v>
      </c>
      <c r="F617" s="18" t="str">
        <f t="shared" ca="1" si="192"/>
        <v>—</v>
      </c>
      <c r="G617" s="17">
        <f t="shared" ca="1" si="193"/>
        <v>7</v>
      </c>
      <c r="H617" s="18">
        <f t="shared" ca="1" si="194"/>
        <v>28.4</v>
      </c>
      <c r="I617" s="17">
        <f t="shared" ca="1" si="195"/>
        <v>0</v>
      </c>
      <c r="J617" s="18">
        <f t="shared" ca="1" si="196"/>
        <v>31</v>
      </c>
      <c r="K617" s="17">
        <f t="shared" ca="1" si="197"/>
        <v>0</v>
      </c>
      <c r="L617" s="10" t="str">
        <f t="shared" ca="1" si="198"/>
        <v>—</v>
      </c>
      <c r="M617" s="17">
        <f t="shared" ca="1" si="199"/>
        <v>7</v>
      </c>
      <c r="N617" s="18" t="str">
        <f t="shared" ca="1" si="200"/>
        <v>—</v>
      </c>
      <c r="O617" s="17">
        <f t="shared" ca="1" si="201"/>
        <v>7</v>
      </c>
      <c r="P617" s="18" t="str">
        <f t="shared" ca="1" si="202"/>
        <v>—</v>
      </c>
      <c r="Q617" s="17">
        <f t="shared" ca="1" si="203"/>
        <v>7</v>
      </c>
      <c r="R617" s="10" t="str">
        <f t="shared" ca="1" si="204"/>
        <v>—</v>
      </c>
      <c r="S617" s="17">
        <f t="shared" ca="1" si="205"/>
        <v>7</v>
      </c>
      <c r="T617" s="70" t="str">
        <f t="shared" ca="1" si="206"/>
        <v>—</v>
      </c>
      <c r="U617" s="17">
        <f t="shared" ca="1" si="207"/>
        <v>7</v>
      </c>
      <c r="V617" s="71" t="str">
        <f t="shared" ca="1" si="208"/>
        <v>—</v>
      </c>
      <c r="W617" s="17">
        <f t="shared" ca="1" si="209"/>
        <v>7</v>
      </c>
    </row>
    <row r="618" spans="1:23" x14ac:dyDescent="0.25">
      <c r="A618" s="4">
        <f t="shared" si="189"/>
        <v>32</v>
      </c>
      <c r="B618" t="str">
        <f ca="1">TEXT(DATE(YEAR(Invoer!$A$6),1,1)+INT((ROWS(B$2:B618)-1)/4),"jjjjmmdd")</f>
        <v>19400603</v>
      </c>
      <c r="C618" s="64" t="str">
        <f>IF(MOD(ROWS(C$2:C618)-1,4)=3,"24.00",INDEX(Data,3,2+MOD(ROWS(C$2:C618)-1,4)))</f>
        <v>07.00</v>
      </c>
      <c r="D618" s="18">
        <f t="shared" ca="1" si="190"/>
        <v>760.2</v>
      </c>
      <c r="E618" s="17">
        <f t="shared" ca="1" si="191"/>
        <v>0</v>
      </c>
      <c r="F618" s="18">
        <f t="shared" ca="1" si="192"/>
        <v>25.7</v>
      </c>
      <c r="G618" s="17">
        <f t="shared" ca="1" si="193"/>
        <v>0</v>
      </c>
      <c r="H618" s="18" t="str">
        <f t="shared" ca="1" si="194"/>
        <v>—</v>
      </c>
      <c r="I618" s="17">
        <f t="shared" ca="1" si="195"/>
        <v>7</v>
      </c>
      <c r="J618" s="18" t="str">
        <f t="shared" ca="1" si="196"/>
        <v>—</v>
      </c>
      <c r="K618" s="17">
        <f t="shared" ca="1" si="197"/>
        <v>7</v>
      </c>
      <c r="L618" s="10">
        <f t="shared" ca="1" si="198"/>
        <v>78</v>
      </c>
      <c r="M618" s="17">
        <f t="shared" ca="1" si="199"/>
        <v>0</v>
      </c>
      <c r="N618" s="18">
        <f t="shared" ca="1" si="200"/>
        <v>19.399999999999999</v>
      </c>
      <c r="O618" s="17">
        <f t="shared" ca="1" si="201"/>
        <v>0</v>
      </c>
      <c r="P618" s="18">
        <f t="shared" ca="1" si="202"/>
        <v>22.8</v>
      </c>
      <c r="Q618" s="17">
        <f t="shared" ca="1" si="203"/>
        <v>0</v>
      </c>
      <c r="R618" s="10">
        <f t="shared" ca="1" si="204"/>
        <v>65</v>
      </c>
      <c r="S618" s="17">
        <f t="shared" ca="1" si="205"/>
        <v>0</v>
      </c>
      <c r="T618" s="70">
        <f t="shared" ca="1" si="206"/>
        <v>0.5</v>
      </c>
      <c r="U618" s="17">
        <f t="shared" ca="1" si="207"/>
        <v>0</v>
      </c>
      <c r="V618" s="71">
        <f t="shared" ca="1" si="208"/>
        <v>3</v>
      </c>
      <c r="W618" s="17">
        <f t="shared" ca="1" si="209"/>
        <v>0</v>
      </c>
    </row>
    <row r="619" spans="1:23" x14ac:dyDescent="0.25">
      <c r="A619" s="4">
        <f t="shared" si="189"/>
        <v>32</v>
      </c>
      <c r="B619" t="str">
        <f ca="1">TEXT(DATE(YEAR(Invoer!$A$6),1,1)+INT((ROWS(B$2:B619)-1)/4),"jjjjmmdd")</f>
        <v>19400603</v>
      </c>
      <c r="C619" s="64" t="str">
        <f>IF(MOD(ROWS(C$2:C619)-1,4)=3,"24.00",INDEX(Data,3,2+MOD(ROWS(C$2:C619)-1,4)))</f>
        <v>12.00</v>
      </c>
      <c r="D619" s="18">
        <f t="shared" ca="1" si="190"/>
        <v>760.2</v>
      </c>
      <c r="E619" s="17">
        <f t="shared" ca="1" si="191"/>
        <v>0</v>
      </c>
      <c r="F619" s="18">
        <f t="shared" ca="1" si="192"/>
        <v>26.5</v>
      </c>
      <c r="G619" s="17">
        <f t="shared" ca="1" si="193"/>
        <v>0</v>
      </c>
      <c r="H619" s="18" t="str">
        <f t="shared" ca="1" si="194"/>
        <v>—</v>
      </c>
      <c r="I619" s="17">
        <f t="shared" ca="1" si="195"/>
        <v>7</v>
      </c>
      <c r="J619" s="18" t="str">
        <f t="shared" ca="1" si="196"/>
        <v>—</v>
      </c>
      <c r="K619" s="17">
        <f t="shared" ca="1" si="197"/>
        <v>7</v>
      </c>
      <c r="L619" s="10">
        <f t="shared" ca="1" si="198"/>
        <v>80</v>
      </c>
      <c r="M619" s="17">
        <f t="shared" ca="1" si="199"/>
        <v>0</v>
      </c>
      <c r="N619" s="18">
        <f t="shared" ca="1" si="200"/>
        <v>20.8</v>
      </c>
      <c r="O619" s="17">
        <f t="shared" ca="1" si="201"/>
        <v>0</v>
      </c>
      <c r="P619" s="18">
        <f t="shared" ca="1" si="202"/>
        <v>23.8</v>
      </c>
      <c r="Q619" s="17">
        <f t="shared" ca="1" si="203"/>
        <v>0</v>
      </c>
      <c r="R619" s="10">
        <f t="shared" ca="1" si="204"/>
        <v>65</v>
      </c>
      <c r="S619" s="17">
        <f t="shared" ca="1" si="205"/>
        <v>0</v>
      </c>
      <c r="T619" s="70">
        <f t="shared" ca="1" si="206"/>
        <v>0.7</v>
      </c>
      <c r="U619" s="17">
        <f t="shared" ca="1" si="207"/>
        <v>0</v>
      </c>
      <c r="V619" s="71">
        <f t="shared" ca="1" si="208"/>
        <v>3</v>
      </c>
      <c r="W619" s="17">
        <f t="shared" ca="1" si="209"/>
        <v>0</v>
      </c>
    </row>
    <row r="620" spans="1:23" x14ac:dyDescent="0.25">
      <c r="A620" s="4">
        <f t="shared" si="189"/>
        <v>32</v>
      </c>
      <c r="B620" t="str">
        <f ca="1">TEXT(DATE(YEAR(Invoer!$A$6),1,1)+INT((ROWS(B$2:B620)-1)/4),"jjjjmmdd")</f>
        <v>19400603</v>
      </c>
      <c r="C620" s="64" t="str">
        <f>IF(MOD(ROWS(C$2:C620)-1,4)=3,"24.00",INDEX(Data,3,2+MOD(ROWS(C$2:C620)-1,4)))</f>
        <v>17.00</v>
      </c>
      <c r="D620" s="18">
        <f t="shared" ca="1" si="190"/>
        <v>759.7</v>
      </c>
      <c r="E620" s="17">
        <f t="shared" ca="1" si="191"/>
        <v>0</v>
      </c>
      <c r="F620" s="18">
        <f t="shared" ca="1" si="192"/>
        <v>26.1</v>
      </c>
      <c r="G620" s="17">
        <f t="shared" ca="1" si="193"/>
        <v>0</v>
      </c>
      <c r="H620" s="18" t="str">
        <f t="shared" ca="1" si="194"/>
        <v>—</v>
      </c>
      <c r="I620" s="17">
        <f t="shared" ca="1" si="195"/>
        <v>7</v>
      </c>
      <c r="J620" s="18" t="str">
        <f t="shared" ca="1" si="196"/>
        <v>—</v>
      </c>
      <c r="K620" s="17">
        <f t="shared" ca="1" si="197"/>
        <v>7</v>
      </c>
      <c r="L620" s="10">
        <f t="shared" ca="1" si="198"/>
        <v>78</v>
      </c>
      <c r="M620" s="17">
        <f t="shared" ca="1" si="199"/>
        <v>0</v>
      </c>
      <c r="N620" s="18">
        <f t="shared" ca="1" si="200"/>
        <v>19.899999999999999</v>
      </c>
      <c r="O620" s="17">
        <f t="shared" ca="1" si="201"/>
        <v>0</v>
      </c>
      <c r="P620" s="18">
        <f t="shared" ca="1" si="202"/>
        <v>23.2</v>
      </c>
      <c r="Q620" s="17">
        <f t="shared" ca="1" si="203"/>
        <v>0</v>
      </c>
      <c r="R620" s="10">
        <f t="shared" ca="1" si="204"/>
        <v>45</v>
      </c>
      <c r="S620" s="17">
        <f t="shared" ca="1" si="205"/>
        <v>0</v>
      </c>
      <c r="T620" s="70">
        <f t="shared" ca="1" si="206"/>
        <v>0.6</v>
      </c>
      <c r="U620" s="17">
        <f t="shared" ca="1" si="207"/>
        <v>0</v>
      </c>
      <c r="V620" s="71">
        <f t="shared" ca="1" si="208"/>
        <v>3</v>
      </c>
      <c r="W620" s="17">
        <f t="shared" ca="1" si="209"/>
        <v>0</v>
      </c>
    </row>
    <row r="621" spans="1:23" x14ac:dyDescent="0.25">
      <c r="A621" s="4">
        <f t="shared" si="189"/>
        <v>32</v>
      </c>
      <c r="B621" t="str">
        <f ca="1">TEXT(DATE(YEAR(Invoer!$A$6),1,1)+INT((ROWS(B$2:B621)-1)/4),"jjjjmmdd")</f>
        <v>19400603</v>
      </c>
      <c r="C621" s="64" t="str">
        <f>IF(MOD(ROWS(C$2:C621)-1,4)=3,"24.00",INDEX(Data,3,2+MOD(ROWS(C$2:C621)-1,4)))</f>
        <v>24.00</v>
      </c>
      <c r="D621" s="18" t="str">
        <f t="shared" ca="1" si="190"/>
        <v>—</v>
      </c>
      <c r="E621" s="17">
        <f t="shared" ca="1" si="191"/>
        <v>7</v>
      </c>
      <c r="F621" s="18" t="str">
        <f t="shared" ca="1" si="192"/>
        <v>—</v>
      </c>
      <c r="G621" s="17">
        <f t="shared" ca="1" si="193"/>
        <v>7</v>
      </c>
      <c r="H621" s="18">
        <f t="shared" ca="1" si="194"/>
        <v>29</v>
      </c>
      <c r="I621" s="17">
        <f t="shared" ca="1" si="195"/>
        <v>0</v>
      </c>
      <c r="J621" s="18">
        <f t="shared" ca="1" si="196"/>
        <v>30.5</v>
      </c>
      <c r="K621" s="17">
        <f t="shared" ca="1" si="197"/>
        <v>0</v>
      </c>
      <c r="L621" s="10" t="str">
        <f t="shared" ca="1" si="198"/>
        <v>—</v>
      </c>
      <c r="M621" s="17">
        <f t="shared" ca="1" si="199"/>
        <v>7</v>
      </c>
      <c r="N621" s="18" t="str">
        <f t="shared" ca="1" si="200"/>
        <v>—</v>
      </c>
      <c r="O621" s="17">
        <f t="shared" ca="1" si="201"/>
        <v>7</v>
      </c>
      <c r="P621" s="18" t="str">
        <f t="shared" ca="1" si="202"/>
        <v>—</v>
      </c>
      <c r="Q621" s="17">
        <f t="shared" ca="1" si="203"/>
        <v>7</v>
      </c>
      <c r="R621" s="10" t="str">
        <f t="shared" ca="1" si="204"/>
        <v>—</v>
      </c>
      <c r="S621" s="17">
        <f t="shared" ca="1" si="205"/>
        <v>7</v>
      </c>
      <c r="T621" s="70" t="str">
        <f t="shared" ca="1" si="206"/>
        <v>—</v>
      </c>
      <c r="U621" s="17">
        <f t="shared" ca="1" si="207"/>
        <v>7</v>
      </c>
      <c r="V621" s="71" t="str">
        <f t="shared" ca="1" si="208"/>
        <v>—</v>
      </c>
      <c r="W621" s="17">
        <f t="shared" ca="1" si="209"/>
        <v>7</v>
      </c>
    </row>
    <row r="622" spans="1:23" x14ac:dyDescent="0.25">
      <c r="A622" s="4">
        <f t="shared" si="189"/>
        <v>32</v>
      </c>
      <c r="B622" t="str">
        <f ca="1">TEXT(DATE(YEAR(Invoer!$A$6),1,1)+INT((ROWS(B$2:B622)-1)/4),"jjjjmmdd")</f>
        <v>19400604</v>
      </c>
      <c r="C622" s="64" t="str">
        <f>IF(MOD(ROWS(C$2:C622)-1,4)=3,"24.00",INDEX(Data,3,2+MOD(ROWS(C$2:C622)-1,4)))</f>
        <v>07.00</v>
      </c>
      <c r="D622" s="18">
        <f t="shared" ca="1" si="190"/>
        <v>758.2</v>
      </c>
      <c r="E622" s="17">
        <f t="shared" ca="1" si="191"/>
        <v>0</v>
      </c>
      <c r="F622" s="18">
        <f t="shared" ca="1" si="192"/>
        <v>27.7</v>
      </c>
      <c r="G622" s="17">
        <f t="shared" ca="1" si="193"/>
        <v>0</v>
      </c>
      <c r="H622" s="18" t="str">
        <f t="shared" ca="1" si="194"/>
        <v>—</v>
      </c>
      <c r="I622" s="17">
        <f t="shared" ca="1" si="195"/>
        <v>7</v>
      </c>
      <c r="J622" s="18" t="str">
        <f t="shared" ca="1" si="196"/>
        <v>—</v>
      </c>
      <c r="K622" s="17">
        <f t="shared" ca="1" si="197"/>
        <v>7</v>
      </c>
      <c r="L622" s="10">
        <f t="shared" ca="1" si="198"/>
        <v>72</v>
      </c>
      <c r="M622" s="17">
        <f t="shared" ca="1" si="199"/>
        <v>0</v>
      </c>
      <c r="N622" s="18">
        <f t="shared" ca="1" si="200"/>
        <v>20.2</v>
      </c>
      <c r="O622" s="17">
        <f t="shared" ca="1" si="201"/>
        <v>0</v>
      </c>
      <c r="P622" s="18">
        <f t="shared" ca="1" si="202"/>
        <v>23.8</v>
      </c>
      <c r="Q622" s="17">
        <f t="shared" ca="1" si="203"/>
        <v>0</v>
      </c>
      <c r="R622" s="10">
        <f t="shared" ca="1" si="204"/>
        <v>65</v>
      </c>
      <c r="S622" s="17">
        <f t="shared" ca="1" si="205"/>
        <v>0</v>
      </c>
      <c r="T622" s="70">
        <f t="shared" ca="1" si="206"/>
        <v>0.5</v>
      </c>
      <c r="U622" s="17">
        <f t="shared" ca="1" si="207"/>
        <v>0</v>
      </c>
      <c r="V622" s="71">
        <f t="shared" ca="1" si="208"/>
        <v>4</v>
      </c>
      <c r="W622" s="17">
        <f t="shared" ca="1" si="209"/>
        <v>0</v>
      </c>
    </row>
    <row r="623" spans="1:23" x14ac:dyDescent="0.25">
      <c r="A623" s="4">
        <f t="shared" si="189"/>
        <v>32</v>
      </c>
      <c r="B623" t="str">
        <f ca="1">TEXT(DATE(YEAR(Invoer!$A$6),1,1)+INT((ROWS(B$2:B623)-1)/4),"jjjjmmdd")</f>
        <v>19400604</v>
      </c>
      <c r="C623" s="64" t="str">
        <f>IF(MOD(ROWS(C$2:C623)-1,4)=3,"24.00",INDEX(Data,3,2+MOD(ROWS(C$2:C623)-1,4)))</f>
        <v>12.00</v>
      </c>
      <c r="D623" s="18">
        <f t="shared" ca="1" si="190"/>
        <v>759.7</v>
      </c>
      <c r="E623" s="17">
        <f t="shared" ca="1" si="191"/>
        <v>0</v>
      </c>
      <c r="F623" s="18">
        <f t="shared" ca="1" si="192"/>
        <v>27.8</v>
      </c>
      <c r="G623" s="17">
        <f t="shared" ca="1" si="193"/>
        <v>0</v>
      </c>
      <c r="H623" s="18" t="str">
        <f t="shared" ca="1" si="194"/>
        <v>—</v>
      </c>
      <c r="I623" s="17">
        <f t="shared" ca="1" si="195"/>
        <v>7</v>
      </c>
      <c r="J623" s="18" t="str">
        <f t="shared" ca="1" si="196"/>
        <v>—</v>
      </c>
      <c r="K623" s="17">
        <f t="shared" ca="1" si="197"/>
        <v>7</v>
      </c>
      <c r="L623" s="10">
        <f t="shared" ca="1" si="198"/>
        <v>73</v>
      </c>
      <c r="M623" s="17">
        <f t="shared" ca="1" si="199"/>
        <v>0</v>
      </c>
      <c r="N623" s="18">
        <f t="shared" ca="1" si="200"/>
        <v>20.5</v>
      </c>
      <c r="O623" s="17">
        <f t="shared" ca="1" si="201"/>
        <v>0</v>
      </c>
      <c r="P623" s="18">
        <f t="shared" ca="1" si="202"/>
        <v>24</v>
      </c>
      <c r="Q623" s="17">
        <f t="shared" ca="1" si="203"/>
        <v>0</v>
      </c>
      <c r="R623" s="10">
        <f t="shared" ca="1" si="204"/>
        <v>65</v>
      </c>
      <c r="S623" s="17">
        <f t="shared" ca="1" si="205"/>
        <v>0</v>
      </c>
      <c r="T623" s="70">
        <f t="shared" ca="1" si="206"/>
        <v>0.6</v>
      </c>
      <c r="U623" s="17">
        <f t="shared" ca="1" si="207"/>
        <v>0</v>
      </c>
      <c r="V623" s="71">
        <f t="shared" ca="1" si="208"/>
        <v>4</v>
      </c>
      <c r="W623" s="17">
        <f t="shared" ca="1" si="209"/>
        <v>0</v>
      </c>
    </row>
    <row r="624" spans="1:23" x14ac:dyDescent="0.25">
      <c r="A624" s="4">
        <f t="shared" si="189"/>
        <v>32</v>
      </c>
      <c r="B624" t="str">
        <f ca="1">TEXT(DATE(YEAR(Invoer!$A$6),1,1)+INT((ROWS(B$2:B624)-1)/4),"jjjjmmdd")</f>
        <v>19400604</v>
      </c>
      <c r="C624" s="64" t="str">
        <f>IF(MOD(ROWS(C$2:C624)-1,4)=3,"24.00",INDEX(Data,3,2+MOD(ROWS(C$2:C624)-1,4)))</f>
        <v>17.00</v>
      </c>
      <c r="D624" s="18">
        <f t="shared" ca="1" si="190"/>
        <v>759.2</v>
      </c>
      <c r="E624" s="17">
        <f t="shared" ca="1" si="191"/>
        <v>0</v>
      </c>
      <c r="F624" s="18">
        <f t="shared" ca="1" si="192"/>
        <v>27.1</v>
      </c>
      <c r="G624" s="17">
        <f t="shared" ca="1" si="193"/>
        <v>0</v>
      </c>
      <c r="H624" s="18" t="str">
        <f t="shared" ca="1" si="194"/>
        <v>—</v>
      </c>
      <c r="I624" s="17">
        <f t="shared" ca="1" si="195"/>
        <v>7</v>
      </c>
      <c r="J624" s="18" t="str">
        <f t="shared" ca="1" si="196"/>
        <v>—</v>
      </c>
      <c r="K624" s="17">
        <f t="shared" ca="1" si="197"/>
        <v>7</v>
      </c>
      <c r="L624" s="10">
        <f t="shared" ca="1" si="198"/>
        <v>73</v>
      </c>
      <c r="M624" s="17">
        <f t="shared" ca="1" si="199"/>
        <v>0</v>
      </c>
      <c r="N624" s="18">
        <f t="shared" ca="1" si="200"/>
        <v>19.7</v>
      </c>
      <c r="O624" s="17">
        <f t="shared" ca="1" si="201"/>
        <v>0</v>
      </c>
      <c r="P624" s="18">
        <f t="shared" ca="1" si="202"/>
        <v>23.4</v>
      </c>
      <c r="Q624" s="17">
        <f t="shared" ca="1" si="203"/>
        <v>0</v>
      </c>
      <c r="R624" s="10">
        <f t="shared" ca="1" si="204"/>
        <v>65</v>
      </c>
      <c r="S624" s="17">
        <f t="shared" ca="1" si="205"/>
        <v>0</v>
      </c>
      <c r="T624" s="70">
        <f t="shared" ca="1" si="206"/>
        <v>0.5</v>
      </c>
      <c r="U624" s="17">
        <f t="shared" ca="1" si="207"/>
        <v>0</v>
      </c>
      <c r="V624" s="71">
        <f t="shared" ca="1" si="208"/>
        <v>3</v>
      </c>
      <c r="W624" s="17">
        <f t="shared" ca="1" si="209"/>
        <v>0</v>
      </c>
    </row>
    <row r="625" spans="1:23" x14ac:dyDescent="0.25">
      <c r="A625" s="4">
        <f t="shared" si="189"/>
        <v>32</v>
      </c>
      <c r="B625" t="str">
        <f ca="1">TEXT(DATE(YEAR(Invoer!$A$6),1,1)+INT((ROWS(B$2:B625)-1)/4),"jjjjmmdd")</f>
        <v>19400604</v>
      </c>
      <c r="C625" s="64" t="str">
        <f>IF(MOD(ROWS(C$2:C625)-1,4)=3,"24.00",INDEX(Data,3,2+MOD(ROWS(C$2:C625)-1,4)))</f>
        <v>24.00</v>
      </c>
      <c r="D625" s="18" t="str">
        <f t="shared" ca="1" si="190"/>
        <v>—</v>
      </c>
      <c r="E625" s="17">
        <f t="shared" ca="1" si="191"/>
        <v>7</v>
      </c>
      <c r="F625" s="18" t="str">
        <f t="shared" ca="1" si="192"/>
        <v>—</v>
      </c>
      <c r="G625" s="17">
        <f t="shared" ca="1" si="193"/>
        <v>7</v>
      </c>
      <c r="H625" s="18">
        <f t="shared" ca="1" si="194"/>
        <v>28.4</v>
      </c>
      <c r="I625" s="17">
        <f t="shared" ca="1" si="195"/>
        <v>0</v>
      </c>
      <c r="J625" s="18">
        <f t="shared" ca="1" si="196"/>
        <v>29.6</v>
      </c>
      <c r="K625" s="17">
        <f t="shared" ca="1" si="197"/>
        <v>0</v>
      </c>
      <c r="L625" s="10" t="str">
        <f t="shared" ca="1" si="198"/>
        <v>—</v>
      </c>
      <c r="M625" s="17">
        <f t="shared" ca="1" si="199"/>
        <v>7</v>
      </c>
      <c r="N625" s="18" t="str">
        <f t="shared" ca="1" si="200"/>
        <v>—</v>
      </c>
      <c r="O625" s="17">
        <f t="shared" ca="1" si="201"/>
        <v>7</v>
      </c>
      <c r="P625" s="18" t="str">
        <f t="shared" ca="1" si="202"/>
        <v>—</v>
      </c>
      <c r="Q625" s="17">
        <f t="shared" ca="1" si="203"/>
        <v>7</v>
      </c>
      <c r="R625" s="10" t="str">
        <f t="shared" ca="1" si="204"/>
        <v>—</v>
      </c>
      <c r="S625" s="17">
        <f t="shared" ca="1" si="205"/>
        <v>7</v>
      </c>
      <c r="T625" s="70" t="str">
        <f t="shared" ca="1" si="206"/>
        <v>—</v>
      </c>
      <c r="U625" s="17">
        <f t="shared" ca="1" si="207"/>
        <v>7</v>
      </c>
      <c r="V625" s="71" t="str">
        <f t="shared" ca="1" si="208"/>
        <v>—</v>
      </c>
      <c r="W625" s="17">
        <f t="shared" ca="1" si="209"/>
        <v>7</v>
      </c>
    </row>
    <row r="626" spans="1:23" x14ac:dyDescent="0.25">
      <c r="A626" s="4">
        <f t="shared" si="189"/>
        <v>32</v>
      </c>
      <c r="B626" t="str">
        <f ca="1">TEXT(DATE(YEAR(Invoer!$A$6),1,1)+INT((ROWS(B$2:B626)-1)/4),"jjjjmmdd")</f>
        <v>19400605</v>
      </c>
      <c r="C626" s="64" t="str">
        <f>IF(MOD(ROWS(C$2:C626)-1,4)=3,"24.00",INDEX(Data,3,2+MOD(ROWS(C$2:C626)-1,4)))</f>
        <v>07.00</v>
      </c>
      <c r="D626" s="18">
        <f t="shared" ca="1" si="190"/>
        <v>760.7</v>
      </c>
      <c r="E626" s="17">
        <f t="shared" ca="1" si="191"/>
        <v>0</v>
      </c>
      <c r="F626" s="18">
        <f t="shared" ca="1" si="192"/>
        <v>25.2</v>
      </c>
      <c r="G626" s="17">
        <f t="shared" ca="1" si="193"/>
        <v>0</v>
      </c>
      <c r="H626" s="18" t="str">
        <f t="shared" ca="1" si="194"/>
        <v>—</v>
      </c>
      <c r="I626" s="17">
        <f t="shared" ca="1" si="195"/>
        <v>7</v>
      </c>
      <c r="J626" s="18" t="str">
        <f t="shared" ca="1" si="196"/>
        <v>—</v>
      </c>
      <c r="K626" s="17">
        <f t="shared" ca="1" si="197"/>
        <v>7</v>
      </c>
      <c r="L626" s="10">
        <f t="shared" ca="1" si="198"/>
        <v>82</v>
      </c>
      <c r="M626" s="17">
        <f t="shared" ca="1" si="199"/>
        <v>0</v>
      </c>
      <c r="N626" s="18">
        <f t="shared" ca="1" si="200"/>
        <v>19.600000000000001</v>
      </c>
      <c r="O626" s="17">
        <f t="shared" ca="1" si="201"/>
        <v>0</v>
      </c>
      <c r="P626" s="18">
        <f t="shared" ca="1" si="202"/>
        <v>22.8</v>
      </c>
      <c r="Q626" s="17">
        <f t="shared" ca="1" si="203"/>
        <v>0</v>
      </c>
      <c r="R626" s="10">
        <f t="shared" ca="1" si="204"/>
        <v>65</v>
      </c>
      <c r="S626" s="17">
        <f t="shared" ca="1" si="205"/>
        <v>0</v>
      </c>
      <c r="T626" s="70">
        <f t="shared" ca="1" si="206"/>
        <v>0.3</v>
      </c>
      <c r="U626" s="17">
        <f t="shared" ca="1" si="207"/>
        <v>0</v>
      </c>
      <c r="V626" s="71">
        <f t="shared" ca="1" si="208"/>
        <v>6</v>
      </c>
      <c r="W626" s="17">
        <f t="shared" ca="1" si="209"/>
        <v>0</v>
      </c>
    </row>
    <row r="627" spans="1:23" x14ac:dyDescent="0.25">
      <c r="A627" s="4">
        <f t="shared" si="189"/>
        <v>32</v>
      </c>
      <c r="B627" t="str">
        <f ca="1">TEXT(DATE(YEAR(Invoer!$A$6),1,1)+INT((ROWS(B$2:B627)-1)/4),"jjjjmmdd")</f>
        <v>19400605</v>
      </c>
      <c r="C627" s="64" t="str">
        <f>IF(MOD(ROWS(C$2:C627)-1,4)=3,"24.00",INDEX(Data,3,2+MOD(ROWS(C$2:C627)-1,4)))</f>
        <v>12.00</v>
      </c>
      <c r="D627" s="18">
        <f t="shared" ca="1" si="190"/>
        <v>760.5</v>
      </c>
      <c r="E627" s="17">
        <f t="shared" ca="1" si="191"/>
        <v>0</v>
      </c>
      <c r="F627" s="18">
        <f t="shared" ca="1" si="192"/>
        <v>27.5</v>
      </c>
      <c r="G627" s="17">
        <f t="shared" ca="1" si="193"/>
        <v>0</v>
      </c>
      <c r="H627" s="18" t="str">
        <f t="shared" ca="1" si="194"/>
        <v>—</v>
      </c>
      <c r="I627" s="17">
        <f t="shared" ca="1" si="195"/>
        <v>7</v>
      </c>
      <c r="J627" s="18" t="str">
        <f t="shared" ca="1" si="196"/>
        <v>—</v>
      </c>
      <c r="K627" s="17">
        <f t="shared" ca="1" si="197"/>
        <v>7</v>
      </c>
      <c r="L627" s="10">
        <f t="shared" ca="1" si="198"/>
        <v>72</v>
      </c>
      <c r="M627" s="17">
        <f t="shared" ca="1" si="199"/>
        <v>0</v>
      </c>
      <c r="N627" s="18">
        <f t="shared" ca="1" si="200"/>
        <v>19.899999999999999</v>
      </c>
      <c r="O627" s="17">
        <f t="shared" ca="1" si="201"/>
        <v>0</v>
      </c>
      <c r="P627" s="18">
        <f t="shared" ca="1" si="202"/>
        <v>23.6</v>
      </c>
      <c r="Q627" s="17">
        <f t="shared" ca="1" si="203"/>
        <v>0</v>
      </c>
      <c r="R627" s="10">
        <f t="shared" ca="1" si="204"/>
        <v>65</v>
      </c>
      <c r="S627" s="17">
        <f t="shared" ca="1" si="205"/>
        <v>0</v>
      </c>
      <c r="T627" s="70">
        <f t="shared" ca="1" si="206"/>
        <v>0.4</v>
      </c>
      <c r="U627" s="17">
        <f t="shared" ca="1" si="207"/>
        <v>0</v>
      </c>
      <c r="V627" s="71">
        <f t="shared" ca="1" si="208"/>
        <v>7</v>
      </c>
      <c r="W627" s="17">
        <f t="shared" ca="1" si="209"/>
        <v>0</v>
      </c>
    </row>
    <row r="628" spans="1:23" x14ac:dyDescent="0.25">
      <c r="A628" s="4">
        <f t="shared" si="189"/>
        <v>32</v>
      </c>
      <c r="B628" t="str">
        <f ca="1">TEXT(DATE(YEAR(Invoer!$A$6),1,1)+INT((ROWS(B$2:B628)-1)/4),"jjjjmmdd")</f>
        <v>19400605</v>
      </c>
      <c r="C628" s="64" t="str">
        <f>IF(MOD(ROWS(C$2:C628)-1,4)=3,"24.00",INDEX(Data,3,2+MOD(ROWS(C$2:C628)-1,4)))</f>
        <v>17.00</v>
      </c>
      <c r="D628" s="18">
        <f t="shared" ca="1" si="190"/>
        <v>758.9</v>
      </c>
      <c r="E628" s="17">
        <f t="shared" ca="1" si="191"/>
        <v>0</v>
      </c>
      <c r="F628" s="18">
        <f t="shared" ca="1" si="192"/>
        <v>27</v>
      </c>
      <c r="G628" s="17">
        <f t="shared" ca="1" si="193"/>
        <v>0</v>
      </c>
      <c r="H628" s="18" t="str">
        <f t="shared" ca="1" si="194"/>
        <v>—</v>
      </c>
      <c r="I628" s="17">
        <f t="shared" ca="1" si="195"/>
        <v>7</v>
      </c>
      <c r="J628" s="18" t="str">
        <f t="shared" ca="1" si="196"/>
        <v>—</v>
      </c>
      <c r="K628" s="17">
        <f t="shared" ca="1" si="197"/>
        <v>7</v>
      </c>
      <c r="L628" s="10">
        <f t="shared" ca="1" si="198"/>
        <v>74</v>
      </c>
      <c r="M628" s="17">
        <f t="shared" ca="1" si="199"/>
        <v>0</v>
      </c>
      <c r="N628" s="18">
        <f t="shared" ca="1" si="200"/>
        <v>19.8</v>
      </c>
      <c r="O628" s="17">
        <f t="shared" ca="1" si="201"/>
        <v>0</v>
      </c>
      <c r="P628" s="18">
        <f t="shared" ca="1" si="202"/>
        <v>23.4</v>
      </c>
      <c r="Q628" s="17">
        <f t="shared" ca="1" si="203"/>
        <v>0</v>
      </c>
      <c r="R628" s="10">
        <f t="shared" ca="1" si="204"/>
        <v>45</v>
      </c>
      <c r="S628" s="17">
        <f t="shared" ca="1" si="205"/>
        <v>0</v>
      </c>
      <c r="T628" s="70">
        <f t="shared" ca="1" si="206"/>
        <v>0.4</v>
      </c>
      <c r="U628" s="17">
        <f t="shared" ca="1" si="207"/>
        <v>0</v>
      </c>
      <c r="V628" s="71">
        <f t="shared" ca="1" si="208"/>
        <v>7</v>
      </c>
      <c r="W628" s="17">
        <f t="shared" ca="1" si="209"/>
        <v>0</v>
      </c>
    </row>
    <row r="629" spans="1:23" x14ac:dyDescent="0.25">
      <c r="A629" s="4">
        <f t="shared" si="189"/>
        <v>32</v>
      </c>
      <c r="B629" t="str">
        <f ca="1">TEXT(DATE(YEAR(Invoer!$A$6),1,1)+INT((ROWS(B$2:B629)-1)/4),"jjjjmmdd")</f>
        <v>19400605</v>
      </c>
      <c r="C629" s="64" t="str">
        <f>IF(MOD(ROWS(C$2:C629)-1,4)=3,"24.00",INDEX(Data,3,2+MOD(ROWS(C$2:C629)-1,4)))</f>
        <v>24.00</v>
      </c>
      <c r="D629" s="18" t="str">
        <f t="shared" ca="1" si="190"/>
        <v>—</v>
      </c>
      <c r="E629" s="17">
        <f t="shared" ca="1" si="191"/>
        <v>7</v>
      </c>
      <c r="F629" s="18" t="str">
        <f t="shared" ca="1" si="192"/>
        <v>—</v>
      </c>
      <c r="G629" s="17">
        <f t="shared" ca="1" si="193"/>
        <v>7</v>
      </c>
      <c r="H629" s="18">
        <f t="shared" ca="1" si="194"/>
        <v>29</v>
      </c>
      <c r="I629" s="17">
        <f t="shared" ca="1" si="195"/>
        <v>0</v>
      </c>
      <c r="J629" s="18">
        <f t="shared" ca="1" si="196"/>
        <v>30</v>
      </c>
      <c r="K629" s="17">
        <f t="shared" ca="1" si="197"/>
        <v>0</v>
      </c>
      <c r="L629" s="10" t="str">
        <f t="shared" ca="1" si="198"/>
        <v>—</v>
      </c>
      <c r="M629" s="17">
        <f t="shared" ca="1" si="199"/>
        <v>7</v>
      </c>
      <c r="N629" s="18" t="str">
        <f t="shared" ca="1" si="200"/>
        <v>—</v>
      </c>
      <c r="O629" s="17">
        <f t="shared" ca="1" si="201"/>
        <v>7</v>
      </c>
      <c r="P629" s="18" t="str">
        <f t="shared" ca="1" si="202"/>
        <v>—</v>
      </c>
      <c r="Q629" s="17">
        <f t="shared" ca="1" si="203"/>
        <v>7</v>
      </c>
      <c r="R629" s="10" t="str">
        <f t="shared" ca="1" si="204"/>
        <v>—</v>
      </c>
      <c r="S629" s="17">
        <f t="shared" ca="1" si="205"/>
        <v>7</v>
      </c>
      <c r="T629" s="70" t="str">
        <f t="shared" ca="1" si="206"/>
        <v>—</v>
      </c>
      <c r="U629" s="17">
        <f t="shared" ca="1" si="207"/>
        <v>7</v>
      </c>
      <c r="V629" s="71" t="str">
        <f t="shared" ca="1" si="208"/>
        <v>—</v>
      </c>
      <c r="W629" s="17">
        <f t="shared" ca="1" si="209"/>
        <v>7</v>
      </c>
    </row>
    <row r="630" spans="1:23" x14ac:dyDescent="0.25">
      <c r="A630" s="4">
        <f t="shared" si="189"/>
        <v>32</v>
      </c>
      <c r="B630" t="str">
        <f ca="1">TEXT(DATE(YEAR(Invoer!$A$6),1,1)+INT((ROWS(B$2:B630)-1)/4),"jjjjmmdd")</f>
        <v>19400606</v>
      </c>
      <c r="C630" s="64" t="str">
        <f>IF(MOD(ROWS(C$2:C630)-1,4)=3,"24.00",INDEX(Data,3,2+MOD(ROWS(C$2:C630)-1,4)))</f>
        <v>07.00</v>
      </c>
      <c r="D630" s="18">
        <f t="shared" ca="1" si="190"/>
        <v>758.5</v>
      </c>
      <c r="E630" s="17">
        <f t="shared" ca="1" si="191"/>
        <v>0</v>
      </c>
      <c r="F630" s="18">
        <f t="shared" ca="1" si="192"/>
        <v>27.7</v>
      </c>
      <c r="G630" s="17">
        <f t="shared" ca="1" si="193"/>
        <v>0</v>
      </c>
      <c r="H630" s="18" t="str">
        <f t="shared" ca="1" si="194"/>
        <v>—</v>
      </c>
      <c r="I630" s="17">
        <f t="shared" ca="1" si="195"/>
        <v>7</v>
      </c>
      <c r="J630" s="18" t="str">
        <f t="shared" ca="1" si="196"/>
        <v>—</v>
      </c>
      <c r="K630" s="17">
        <f t="shared" ca="1" si="197"/>
        <v>7</v>
      </c>
      <c r="L630" s="10">
        <f t="shared" ca="1" si="198"/>
        <v>70</v>
      </c>
      <c r="M630" s="17">
        <f t="shared" ca="1" si="199"/>
        <v>0</v>
      </c>
      <c r="N630" s="18">
        <f t="shared" ca="1" si="200"/>
        <v>19.399999999999999</v>
      </c>
      <c r="O630" s="17">
        <f t="shared" ca="1" si="201"/>
        <v>0</v>
      </c>
      <c r="P630" s="18">
        <f t="shared" ca="1" si="202"/>
        <v>23.4</v>
      </c>
      <c r="Q630" s="17">
        <f t="shared" ca="1" si="203"/>
        <v>0</v>
      </c>
      <c r="R630" s="10">
        <f t="shared" ca="1" si="204"/>
        <v>65</v>
      </c>
      <c r="S630" s="17">
        <f t="shared" ca="1" si="205"/>
        <v>0</v>
      </c>
      <c r="T630" s="70">
        <f t="shared" ca="1" si="206"/>
        <v>0.2</v>
      </c>
      <c r="U630" s="17">
        <f t="shared" ca="1" si="207"/>
        <v>0</v>
      </c>
      <c r="V630" s="71">
        <f t="shared" ca="1" si="208"/>
        <v>5</v>
      </c>
      <c r="W630" s="17">
        <f t="shared" ca="1" si="209"/>
        <v>0</v>
      </c>
    </row>
    <row r="631" spans="1:23" x14ac:dyDescent="0.25">
      <c r="A631" s="4">
        <f t="shared" si="189"/>
        <v>32</v>
      </c>
      <c r="B631" t="str">
        <f ca="1">TEXT(DATE(YEAR(Invoer!$A$6),1,1)+INT((ROWS(B$2:B631)-1)/4),"jjjjmmdd")</f>
        <v>19400606</v>
      </c>
      <c r="C631" s="64" t="str">
        <f>IF(MOD(ROWS(C$2:C631)-1,4)=3,"24.00",INDEX(Data,3,2+MOD(ROWS(C$2:C631)-1,4)))</f>
        <v>12.00</v>
      </c>
      <c r="D631" s="18">
        <f t="shared" ca="1" si="190"/>
        <v>759.7</v>
      </c>
      <c r="E631" s="17">
        <f t="shared" ca="1" si="191"/>
        <v>0</v>
      </c>
      <c r="F631" s="18">
        <f t="shared" ca="1" si="192"/>
        <v>27.9</v>
      </c>
      <c r="G631" s="17">
        <f t="shared" ca="1" si="193"/>
        <v>0</v>
      </c>
      <c r="H631" s="18" t="str">
        <f t="shared" ca="1" si="194"/>
        <v>—</v>
      </c>
      <c r="I631" s="17">
        <f t="shared" ca="1" si="195"/>
        <v>7</v>
      </c>
      <c r="J631" s="18" t="str">
        <f t="shared" ca="1" si="196"/>
        <v>—</v>
      </c>
      <c r="K631" s="17">
        <f t="shared" ca="1" si="197"/>
        <v>7</v>
      </c>
      <c r="L631" s="10">
        <f t="shared" ca="1" si="198"/>
        <v>70</v>
      </c>
      <c r="M631" s="17">
        <f t="shared" ca="1" si="199"/>
        <v>0</v>
      </c>
      <c r="N631" s="18">
        <f t="shared" ca="1" si="200"/>
        <v>19.7</v>
      </c>
      <c r="O631" s="17">
        <f t="shared" ca="1" si="201"/>
        <v>0</v>
      </c>
      <c r="P631" s="18">
        <f t="shared" ca="1" si="202"/>
        <v>23.6</v>
      </c>
      <c r="Q631" s="17">
        <f t="shared" ca="1" si="203"/>
        <v>0</v>
      </c>
      <c r="R631" s="10">
        <f t="shared" ca="1" si="204"/>
        <v>65</v>
      </c>
      <c r="S631" s="17">
        <f t="shared" ca="1" si="205"/>
        <v>0</v>
      </c>
      <c r="T631" s="70">
        <f t="shared" ca="1" si="206"/>
        <v>0.4</v>
      </c>
      <c r="U631" s="17">
        <f t="shared" ca="1" si="207"/>
        <v>0</v>
      </c>
      <c r="V631" s="71">
        <f t="shared" ca="1" si="208"/>
        <v>7</v>
      </c>
      <c r="W631" s="17">
        <f t="shared" ca="1" si="209"/>
        <v>0</v>
      </c>
    </row>
    <row r="632" spans="1:23" x14ac:dyDescent="0.25">
      <c r="A632" s="4">
        <f t="shared" si="189"/>
        <v>32</v>
      </c>
      <c r="B632" t="str">
        <f ca="1">TEXT(DATE(YEAR(Invoer!$A$6),1,1)+INT((ROWS(B$2:B632)-1)/4),"jjjjmmdd")</f>
        <v>19400606</v>
      </c>
      <c r="C632" s="64" t="str">
        <f>IF(MOD(ROWS(C$2:C632)-1,4)=3,"24.00",INDEX(Data,3,2+MOD(ROWS(C$2:C632)-1,4)))</f>
        <v>17.00</v>
      </c>
      <c r="D632" s="18">
        <f t="shared" ca="1" si="190"/>
        <v>759.2</v>
      </c>
      <c r="E632" s="17">
        <f t="shared" ca="1" si="191"/>
        <v>0</v>
      </c>
      <c r="F632" s="18">
        <f t="shared" ca="1" si="192"/>
        <v>27.7</v>
      </c>
      <c r="G632" s="17">
        <f t="shared" ca="1" si="193"/>
        <v>0</v>
      </c>
      <c r="H632" s="18" t="str">
        <f t="shared" ca="1" si="194"/>
        <v>—</v>
      </c>
      <c r="I632" s="17">
        <f t="shared" ca="1" si="195"/>
        <v>7</v>
      </c>
      <c r="J632" s="18" t="str">
        <f t="shared" ca="1" si="196"/>
        <v>—</v>
      </c>
      <c r="K632" s="17">
        <f t="shared" ca="1" si="197"/>
        <v>7</v>
      </c>
      <c r="L632" s="10">
        <f t="shared" ca="1" si="198"/>
        <v>69</v>
      </c>
      <c r="M632" s="17">
        <f t="shared" ca="1" si="199"/>
        <v>0</v>
      </c>
      <c r="N632" s="18">
        <f t="shared" ca="1" si="200"/>
        <v>19.3</v>
      </c>
      <c r="O632" s="17">
        <f t="shared" ca="1" si="201"/>
        <v>0</v>
      </c>
      <c r="P632" s="18">
        <f t="shared" ca="1" si="202"/>
        <v>23.3</v>
      </c>
      <c r="Q632" s="17">
        <f t="shared" ca="1" si="203"/>
        <v>0</v>
      </c>
      <c r="R632" s="10">
        <f t="shared" ca="1" si="204"/>
        <v>65</v>
      </c>
      <c r="S632" s="17">
        <f t="shared" ca="1" si="205"/>
        <v>0</v>
      </c>
      <c r="T632" s="70">
        <f t="shared" ca="1" si="206"/>
        <v>0.3</v>
      </c>
      <c r="U632" s="17">
        <f t="shared" ca="1" si="207"/>
        <v>0</v>
      </c>
      <c r="V632" s="71">
        <f t="shared" ca="1" si="208"/>
        <v>7</v>
      </c>
      <c r="W632" s="17">
        <f t="shared" ca="1" si="209"/>
        <v>0</v>
      </c>
    </row>
    <row r="633" spans="1:23" x14ac:dyDescent="0.25">
      <c r="A633" s="4">
        <f t="shared" si="189"/>
        <v>32</v>
      </c>
      <c r="B633" t="str">
        <f ca="1">TEXT(DATE(YEAR(Invoer!$A$6),1,1)+INT((ROWS(B$2:B633)-1)/4),"jjjjmmdd")</f>
        <v>19400606</v>
      </c>
      <c r="C633" s="64" t="str">
        <f>IF(MOD(ROWS(C$2:C633)-1,4)=3,"24.00",INDEX(Data,3,2+MOD(ROWS(C$2:C633)-1,4)))</f>
        <v>24.00</v>
      </c>
      <c r="D633" s="18" t="str">
        <f t="shared" ca="1" si="190"/>
        <v>—</v>
      </c>
      <c r="E633" s="17">
        <f t="shared" ca="1" si="191"/>
        <v>7</v>
      </c>
      <c r="F633" s="18" t="str">
        <f t="shared" ca="1" si="192"/>
        <v>—</v>
      </c>
      <c r="G633" s="17">
        <f t="shared" ca="1" si="193"/>
        <v>7</v>
      </c>
      <c r="H633" s="18">
        <f t="shared" ca="1" si="194"/>
        <v>28.8</v>
      </c>
      <c r="I633" s="17">
        <f t="shared" ca="1" si="195"/>
        <v>0</v>
      </c>
      <c r="J633" s="18">
        <f t="shared" ca="1" si="196"/>
        <v>30</v>
      </c>
      <c r="K633" s="17">
        <f t="shared" ca="1" si="197"/>
        <v>0</v>
      </c>
      <c r="L633" s="10" t="str">
        <f t="shared" ca="1" si="198"/>
        <v>—</v>
      </c>
      <c r="M633" s="17">
        <f t="shared" ca="1" si="199"/>
        <v>7</v>
      </c>
      <c r="N633" s="18" t="str">
        <f t="shared" ca="1" si="200"/>
        <v>—</v>
      </c>
      <c r="O633" s="17">
        <f t="shared" ca="1" si="201"/>
        <v>7</v>
      </c>
      <c r="P633" s="18" t="str">
        <f t="shared" ca="1" si="202"/>
        <v>—</v>
      </c>
      <c r="Q633" s="17">
        <f t="shared" ca="1" si="203"/>
        <v>7</v>
      </c>
      <c r="R633" s="10" t="str">
        <f t="shared" ca="1" si="204"/>
        <v>—</v>
      </c>
      <c r="S633" s="17">
        <f t="shared" ca="1" si="205"/>
        <v>7</v>
      </c>
      <c r="T633" s="70" t="str">
        <f t="shared" ca="1" si="206"/>
        <v>—</v>
      </c>
      <c r="U633" s="17">
        <f t="shared" ca="1" si="207"/>
        <v>7</v>
      </c>
      <c r="V633" s="71" t="str">
        <f t="shared" ca="1" si="208"/>
        <v>—</v>
      </c>
      <c r="W633" s="17">
        <f t="shared" ca="1" si="209"/>
        <v>7</v>
      </c>
    </row>
    <row r="634" spans="1:23" x14ac:dyDescent="0.25">
      <c r="A634" s="4">
        <f t="shared" si="189"/>
        <v>32</v>
      </c>
      <c r="B634" t="str">
        <f ca="1">TEXT(DATE(YEAR(Invoer!$A$6),1,1)+INT((ROWS(B$2:B634)-1)/4),"jjjjmmdd")</f>
        <v>19400607</v>
      </c>
      <c r="C634" s="64" t="str">
        <f>IF(MOD(ROWS(C$2:C634)-1,4)=3,"24.00",INDEX(Data,3,2+MOD(ROWS(C$2:C634)-1,4)))</f>
        <v>07.00</v>
      </c>
      <c r="D634" s="18">
        <f t="shared" ca="1" si="190"/>
        <v>759.2</v>
      </c>
      <c r="E634" s="17">
        <f t="shared" ca="1" si="191"/>
        <v>0</v>
      </c>
      <c r="F634" s="18">
        <f t="shared" ca="1" si="192"/>
        <v>26.5</v>
      </c>
      <c r="G634" s="17">
        <f t="shared" ca="1" si="193"/>
        <v>0</v>
      </c>
      <c r="H634" s="18" t="str">
        <f t="shared" ca="1" si="194"/>
        <v>—</v>
      </c>
      <c r="I634" s="17">
        <f t="shared" ca="1" si="195"/>
        <v>7</v>
      </c>
      <c r="J634" s="18" t="str">
        <f t="shared" ca="1" si="196"/>
        <v>—</v>
      </c>
      <c r="K634" s="17">
        <f t="shared" ca="1" si="197"/>
        <v>7</v>
      </c>
      <c r="L634" s="10">
        <f t="shared" ca="1" si="198"/>
        <v>74</v>
      </c>
      <c r="M634" s="17">
        <f t="shared" ca="1" si="199"/>
        <v>0</v>
      </c>
      <c r="N634" s="18">
        <f t="shared" ca="1" si="200"/>
        <v>19.3</v>
      </c>
      <c r="O634" s="17">
        <f t="shared" ca="1" si="201"/>
        <v>0</v>
      </c>
      <c r="P634" s="18">
        <f t="shared" ca="1" si="202"/>
        <v>23</v>
      </c>
      <c r="Q634" s="17">
        <f t="shared" ca="1" si="203"/>
        <v>0</v>
      </c>
      <c r="R634" s="10">
        <f t="shared" ca="1" si="204"/>
        <v>65</v>
      </c>
      <c r="S634" s="17">
        <f t="shared" ca="1" si="205"/>
        <v>0</v>
      </c>
      <c r="T634" s="70">
        <f t="shared" ca="1" si="206"/>
        <v>0.4</v>
      </c>
      <c r="U634" s="17">
        <f t="shared" ca="1" si="207"/>
        <v>0</v>
      </c>
      <c r="V634" s="71">
        <f t="shared" ca="1" si="208"/>
        <v>4</v>
      </c>
      <c r="W634" s="17">
        <f t="shared" ca="1" si="209"/>
        <v>0</v>
      </c>
    </row>
    <row r="635" spans="1:23" x14ac:dyDescent="0.25">
      <c r="A635" s="4">
        <f t="shared" si="189"/>
        <v>32</v>
      </c>
      <c r="B635" t="str">
        <f ca="1">TEXT(DATE(YEAR(Invoer!$A$6),1,1)+INT((ROWS(B$2:B635)-1)/4),"jjjjmmdd")</f>
        <v>19400607</v>
      </c>
      <c r="C635" s="64" t="str">
        <f>IF(MOD(ROWS(C$2:C635)-1,4)=3,"24.00",INDEX(Data,3,2+MOD(ROWS(C$2:C635)-1,4)))</f>
        <v>12.00</v>
      </c>
      <c r="D635" s="18">
        <f t="shared" ca="1" si="190"/>
        <v>757.9</v>
      </c>
      <c r="E635" s="17">
        <f t="shared" ca="1" si="191"/>
        <v>0</v>
      </c>
      <c r="F635" s="18">
        <f t="shared" ca="1" si="192"/>
        <v>26.7</v>
      </c>
      <c r="G635" s="17">
        <f t="shared" ca="1" si="193"/>
        <v>0</v>
      </c>
      <c r="H635" s="18" t="str">
        <f t="shared" ca="1" si="194"/>
        <v>—</v>
      </c>
      <c r="I635" s="17">
        <f t="shared" ca="1" si="195"/>
        <v>7</v>
      </c>
      <c r="J635" s="18" t="str">
        <f t="shared" ca="1" si="196"/>
        <v>—</v>
      </c>
      <c r="K635" s="17">
        <f t="shared" ca="1" si="197"/>
        <v>7</v>
      </c>
      <c r="L635" s="10">
        <f t="shared" ca="1" si="198"/>
        <v>76</v>
      </c>
      <c r="M635" s="17">
        <f t="shared" ca="1" si="199"/>
        <v>0</v>
      </c>
      <c r="N635" s="18">
        <f t="shared" ca="1" si="200"/>
        <v>19.899999999999999</v>
      </c>
      <c r="O635" s="17">
        <f t="shared" ca="1" si="201"/>
        <v>0</v>
      </c>
      <c r="P635" s="18">
        <f t="shared" ca="1" si="202"/>
        <v>23.4</v>
      </c>
      <c r="Q635" s="17">
        <f t="shared" ca="1" si="203"/>
        <v>0</v>
      </c>
      <c r="R635" s="10">
        <f t="shared" ca="1" si="204"/>
        <v>65</v>
      </c>
      <c r="S635" s="17">
        <f t="shared" ca="1" si="205"/>
        <v>0</v>
      </c>
      <c r="T635" s="70">
        <f t="shared" ca="1" si="206"/>
        <v>0.6</v>
      </c>
      <c r="U635" s="17">
        <f t="shared" ca="1" si="207"/>
        <v>0</v>
      </c>
      <c r="V635" s="71">
        <f t="shared" ca="1" si="208"/>
        <v>3</v>
      </c>
      <c r="W635" s="17">
        <f t="shared" ca="1" si="209"/>
        <v>0</v>
      </c>
    </row>
    <row r="636" spans="1:23" x14ac:dyDescent="0.25">
      <c r="A636" s="4">
        <f t="shared" si="189"/>
        <v>32</v>
      </c>
      <c r="B636" t="str">
        <f ca="1">TEXT(DATE(YEAR(Invoer!$A$6),1,1)+INT((ROWS(B$2:B636)-1)/4),"jjjjmmdd")</f>
        <v>19400607</v>
      </c>
      <c r="C636" s="64" t="str">
        <f>IF(MOD(ROWS(C$2:C636)-1,4)=3,"24.00",INDEX(Data,3,2+MOD(ROWS(C$2:C636)-1,4)))</f>
        <v>17.00</v>
      </c>
      <c r="D636" s="18">
        <f t="shared" ca="1" si="190"/>
        <v>756.9</v>
      </c>
      <c r="E636" s="17">
        <f t="shared" ca="1" si="191"/>
        <v>0</v>
      </c>
      <c r="F636" s="18">
        <f t="shared" ca="1" si="192"/>
        <v>26.3</v>
      </c>
      <c r="G636" s="17">
        <f t="shared" ca="1" si="193"/>
        <v>0</v>
      </c>
      <c r="H636" s="18" t="str">
        <f t="shared" ca="1" si="194"/>
        <v>—</v>
      </c>
      <c r="I636" s="17">
        <f t="shared" ca="1" si="195"/>
        <v>7</v>
      </c>
      <c r="J636" s="18" t="str">
        <f t="shared" ca="1" si="196"/>
        <v>—</v>
      </c>
      <c r="K636" s="17">
        <f t="shared" ca="1" si="197"/>
        <v>7</v>
      </c>
      <c r="L636" s="10">
        <f t="shared" ca="1" si="198"/>
        <v>76</v>
      </c>
      <c r="M636" s="17">
        <f t="shared" ca="1" si="199"/>
        <v>0</v>
      </c>
      <c r="N636" s="18">
        <f t="shared" ca="1" si="200"/>
        <v>19.399999999999999</v>
      </c>
      <c r="O636" s="17">
        <f t="shared" ca="1" si="201"/>
        <v>0</v>
      </c>
      <c r="P636" s="18">
        <f t="shared" ca="1" si="202"/>
        <v>23</v>
      </c>
      <c r="Q636" s="17">
        <f t="shared" ca="1" si="203"/>
        <v>0</v>
      </c>
      <c r="R636" s="10">
        <f t="shared" ca="1" si="204"/>
        <v>65</v>
      </c>
      <c r="S636" s="17">
        <f t="shared" ca="1" si="205"/>
        <v>0</v>
      </c>
      <c r="T636" s="70">
        <f t="shared" ca="1" si="206"/>
        <v>0.6</v>
      </c>
      <c r="U636" s="17">
        <f t="shared" ca="1" si="207"/>
        <v>0</v>
      </c>
      <c r="V636" s="71">
        <f t="shared" ca="1" si="208"/>
        <v>3</v>
      </c>
      <c r="W636" s="17">
        <f t="shared" ca="1" si="209"/>
        <v>0</v>
      </c>
    </row>
    <row r="637" spans="1:23" x14ac:dyDescent="0.25">
      <c r="A637" s="4">
        <f t="shared" si="189"/>
        <v>32</v>
      </c>
      <c r="B637" t="str">
        <f ca="1">TEXT(DATE(YEAR(Invoer!$A$6),1,1)+INT((ROWS(B$2:B637)-1)/4),"jjjjmmdd")</f>
        <v>19400607</v>
      </c>
      <c r="C637" s="64" t="str">
        <f>IF(MOD(ROWS(C$2:C637)-1,4)=3,"24.00",INDEX(Data,3,2+MOD(ROWS(C$2:C637)-1,4)))</f>
        <v>24.00</v>
      </c>
      <c r="D637" s="18" t="str">
        <f t="shared" ca="1" si="190"/>
        <v>—</v>
      </c>
      <c r="E637" s="17">
        <f t="shared" ca="1" si="191"/>
        <v>7</v>
      </c>
      <c r="F637" s="18" t="str">
        <f t="shared" ca="1" si="192"/>
        <v>—</v>
      </c>
      <c r="G637" s="17">
        <f t="shared" ca="1" si="193"/>
        <v>7</v>
      </c>
      <c r="H637" s="18">
        <f t="shared" ca="1" si="194"/>
        <v>28</v>
      </c>
      <c r="I637" s="17">
        <f t="shared" ca="1" si="195"/>
        <v>0</v>
      </c>
      <c r="J637" s="18">
        <f t="shared" ca="1" si="196"/>
        <v>29.5</v>
      </c>
      <c r="K637" s="17">
        <f t="shared" ca="1" si="197"/>
        <v>0</v>
      </c>
      <c r="L637" s="10" t="str">
        <f t="shared" ca="1" si="198"/>
        <v>—</v>
      </c>
      <c r="M637" s="17">
        <f t="shared" ca="1" si="199"/>
        <v>7</v>
      </c>
      <c r="N637" s="18" t="str">
        <f t="shared" ca="1" si="200"/>
        <v>—</v>
      </c>
      <c r="O637" s="17">
        <f t="shared" ca="1" si="201"/>
        <v>7</v>
      </c>
      <c r="P637" s="18" t="str">
        <f t="shared" ca="1" si="202"/>
        <v>—</v>
      </c>
      <c r="Q637" s="17">
        <f t="shared" ca="1" si="203"/>
        <v>7</v>
      </c>
      <c r="R637" s="10" t="str">
        <f t="shared" ca="1" si="204"/>
        <v>—</v>
      </c>
      <c r="S637" s="17">
        <f t="shared" ca="1" si="205"/>
        <v>7</v>
      </c>
      <c r="T637" s="70" t="str">
        <f t="shared" ca="1" si="206"/>
        <v>—</v>
      </c>
      <c r="U637" s="17">
        <f t="shared" ca="1" si="207"/>
        <v>7</v>
      </c>
      <c r="V637" s="71" t="str">
        <f t="shared" ca="1" si="208"/>
        <v>—</v>
      </c>
      <c r="W637" s="17">
        <f t="shared" ca="1" si="209"/>
        <v>7</v>
      </c>
    </row>
    <row r="638" spans="1:23" x14ac:dyDescent="0.25">
      <c r="A638" s="4">
        <f t="shared" si="189"/>
        <v>32</v>
      </c>
      <c r="B638" t="str">
        <f ca="1">TEXT(DATE(YEAR(Invoer!$A$6),1,1)+INT((ROWS(B$2:B638)-1)/4),"jjjjmmdd")</f>
        <v>19400608</v>
      </c>
      <c r="C638" s="64" t="str">
        <f>IF(MOD(ROWS(C$2:C638)-1,4)=3,"24.00",INDEX(Data,3,2+MOD(ROWS(C$2:C638)-1,4)))</f>
        <v>07.00</v>
      </c>
      <c r="D638" s="18">
        <f t="shared" ca="1" si="190"/>
        <v>757.4</v>
      </c>
      <c r="E638" s="17">
        <f t="shared" ca="1" si="191"/>
        <v>0</v>
      </c>
      <c r="F638" s="18">
        <f t="shared" ca="1" si="192"/>
        <v>27.7</v>
      </c>
      <c r="G638" s="17">
        <f t="shared" ca="1" si="193"/>
        <v>0</v>
      </c>
      <c r="H638" s="18" t="str">
        <f t="shared" ca="1" si="194"/>
        <v>—</v>
      </c>
      <c r="I638" s="17">
        <f t="shared" ca="1" si="195"/>
        <v>7</v>
      </c>
      <c r="J638" s="18" t="str">
        <f t="shared" ca="1" si="196"/>
        <v>—</v>
      </c>
      <c r="K638" s="17">
        <f t="shared" ca="1" si="197"/>
        <v>7</v>
      </c>
      <c r="L638" s="10">
        <f t="shared" ca="1" si="198"/>
        <v>72</v>
      </c>
      <c r="M638" s="17">
        <f t="shared" ca="1" si="199"/>
        <v>0</v>
      </c>
      <c r="N638" s="18">
        <f t="shared" ca="1" si="200"/>
        <v>20.2</v>
      </c>
      <c r="O638" s="17">
        <f t="shared" ca="1" si="201"/>
        <v>0</v>
      </c>
      <c r="P638" s="18">
        <f t="shared" ca="1" si="202"/>
        <v>23.8</v>
      </c>
      <c r="Q638" s="17">
        <f t="shared" ca="1" si="203"/>
        <v>0</v>
      </c>
      <c r="R638" s="10">
        <f t="shared" ca="1" si="204"/>
        <v>65</v>
      </c>
      <c r="S638" s="17">
        <f t="shared" ca="1" si="205"/>
        <v>0</v>
      </c>
      <c r="T638" s="70">
        <f t="shared" ca="1" si="206"/>
        <v>0.5</v>
      </c>
      <c r="U638" s="17">
        <f t="shared" ca="1" si="207"/>
        <v>0</v>
      </c>
      <c r="V638" s="71">
        <f t="shared" ca="1" si="208"/>
        <v>3</v>
      </c>
      <c r="W638" s="17">
        <f t="shared" ca="1" si="209"/>
        <v>0</v>
      </c>
    </row>
    <row r="639" spans="1:23" x14ac:dyDescent="0.25">
      <c r="A639" s="4">
        <f t="shared" si="189"/>
        <v>32</v>
      </c>
      <c r="B639" t="str">
        <f ca="1">TEXT(DATE(YEAR(Invoer!$A$6),1,1)+INT((ROWS(B$2:B639)-1)/4),"jjjjmmdd")</f>
        <v>19400608</v>
      </c>
      <c r="C639" s="64" t="str">
        <f>IF(MOD(ROWS(C$2:C639)-1,4)=3,"24.00",INDEX(Data,3,2+MOD(ROWS(C$2:C639)-1,4)))</f>
        <v>12.00</v>
      </c>
      <c r="D639" s="18">
        <f t="shared" ca="1" si="190"/>
        <v>757.9</v>
      </c>
      <c r="E639" s="17">
        <f t="shared" ca="1" si="191"/>
        <v>0</v>
      </c>
      <c r="F639" s="18">
        <f t="shared" ca="1" si="192"/>
        <v>28.9</v>
      </c>
      <c r="G639" s="17">
        <f t="shared" ca="1" si="193"/>
        <v>0</v>
      </c>
      <c r="H639" s="18" t="str">
        <f t="shared" ca="1" si="194"/>
        <v>—</v>
      </c>
      <c r="I639" s="17">
        <f t="shared" ca="1" si="195"/>
        <v>7</v>
      </c>
      <c r="J639" s="18" t="str">
        <f t="shared" ca="1" si="196"/>
        <v>—</v>
      </c>
      <c r="K639" s="17">
        <f t="shared" ca="1" si="197"/>
        <v>7</v>
      </c>
      <c r="L639" s="10">
        <f t="shared" ca="1" si="198"/>
        <v>68</v>
      </c>
      <c r="M639" s="17">
        <f t="shared" ca="1" si="199"/>
        <v>0</v>
      </c>
      <c r="N639" s="18">
        <f t="shared" ca="1" si="200"/>
        <v>20.3</v>
      </c>
      <c r="O639" s="17">
        <f t="shared" ca="1" si="201"/>
        <v>0</v>
      </c>
      <c r="P639" s="18">
        <f t="shared" ca="1" si="202"/>
        <v>24.2</v>
      </c>
      <c r="Q639" s="17">
        <f t="shared" ca="1" si="203"/>
        <v>0</v>
      </c>
      <c r="R639" s="10">
        <f t="shared" ca="1" si="204"/>
        <v>65</v>
      </c>
      <c r="S639" s="17">
        <f t="shared" ca="1" si="205"/>
        <v>0</v>
      </c>
      <c r="T639" s="70">
        <f t="shared" ca="1" si="206"/>
        <v>0.6</v>
      </c>
      <c r="U639" s="17">
        <f t="shared" ca="1" si="207"/>
        <v>0</v>
      </c>
      <c r="V639" s="71">
        <f t="shared" ca="1" si="208"/>
        <v>4</v>
      </c>
      <c r="W639" s="17">
        <f t="shared" ca="1" si="209"/>
        <v>0</v>
      </c>
    </row>
    <row r="640" spans="1:23" x14ac:dyDescent="0.25">
      <c r="A640" s="4">
        <f t="shared" si="189"/>
        <v>32</v>
      </c>
      <c r="B640" t="str">
        <f ca="1">TEXT(DATE(YEAR(Invoer!$A$6),1,1)+INT((ROWS(B$2:B640)-1)/4),"jjjjmmdd")</f>
        <v>19400608</v>
      </c>
      <c r="C640" s="64" t="str">
        <f>IF(MOD(ROWS(C$2:C640)-1,4)=3,"24.00",INDEX(Data,3,2+MOD(ROWS(C$2:C640)-1,4)))</f>
        <v>17.00</v>
      </c>
      <c r="D640" s="18">
        <f t="shared" ca="1" si="190"/>
        <v>757.4</v>
      </c>
      <c r="E640" s="17">
        <f t="shared" ca="1" si="191"/>
        <v>0</v>
      </c>
      <c r="F640" s="18">
        <f t="shared" ca="1" si="192"/>
        <v>27.9</v>
      </c>
      <c r="G640" s="17">
        <f t="shared" ca="1" si="193"/>
        <v>0</v>
      </c>
      <c r="H640" s="18" t="str">
        <f t="shared" ca="1" si="194"/>
        <v>—</v>
      </c>
      <c r="I640" s="17">
        <f t="shared" ca="1" si="195"/>
        <v>7</v>
      </c>
      <c r="J640" s="18" t="str">
        <f t="shared" ca="1" si="196"/>
        <v>—</v>
      </c>
      <c r="K640" s="17">
        <f t="shared" ca="1" si="197"/>
        <v>7</v>
      </c>
      <c r="L640" s="10">
        <f t="shared" ca="1" si="198"/>
        <v>71</v>
      </c>
      <c r="M640" s="17">
        <f t="shared" ca="1" si="199"/>
        <v>0</v>
      </c>
      <c r="N640" s="18">
        <f t="shared" ca="1" si="200"/>
        <v>20.100000000000001</v>
      </c>
      <c r="O640" s="17">
        <f t="shared" ca="1" si="201"/>
        <v>0</v>
      </c>
      <c r="P640" s="18">
        <f t="shared" ca="1" si="202"/>
        <v>23.8</v>
      </c>
      <c r="Q640" s="17">
        <f t="shared" ca="1" si="203"/>
        <v>0</v>
      </c>
      <c r="R640" s="10">
        <f t="shared" ca="1" si="204"/>
        <v>45</v>
      </c>
      <c r="S640" s="17">
        <f t="shared" ca="1" si="205"/>
        <v>0</v>
      </c>
      <c r="T640" s="70">
        <f t="shared" ca="1" si="206"/>
        <v>0.6</v>
      </c>
      <c r="U640" s="17">
        <f t="shared" ca="1" si="207"/>
        <v>0</v>
      </c>
      <c r="V640" s="71">
        <f t="shared" ca="1" si="208"/>
        <v>3</v>
      </c>
      <c r="W640" s="17">
        <f t="shared" ca="1" si="209"/>
        <v>0</v>
      </c>
    </row>
    <row r="641" spans="1:23" x14ac:dyDescent="0.25">
      <c r="A641" s="4">
        <f t="shared" si="189"/>
        <v>32</v>
      </c>
      <c r="B641" t="str">
        <f ca="1">TEXT(DATE(YEAR(Invoer!$A$6),1,1)+INT((ROWS(B$2:B641)-1)/4),"jjjjmmdd")</f>
        <v>19400608</v>
      </c>
      <c r="C641" s="64" t="str">
        <f>IF(MOD(ROWS(C$2:C641)-1,4)=3,"24.00",INDEX(Data,3,2+MOD(ROWS(C$2:C641)-1,4)))</f>
        <v>24.00</v>
      </c>
      <c r="D641" s="18" t="str">
        <f t="shared" ca="1" si="190"/>
        <v>—</v>
      </c>
      <c r="E641" s="17">
        <f t="shared" ca="1" si="191"/>
        <v>7</v>
      </c>
      <c r="F641" s="18" t="str">
        <f t="shared" ca="1" si="192"/>
        <v>—</v>
      </c>
      <c r="G641" s="17">
        <f t="shared" ca="1" si="193"/>
        <v>7</v>
      </c>
      <c r="H641" s="18">
        <f t="shared" ca="1" si="194"/>
        <v>29</v>
      </c>
      <c r="I641" s="17">
        <f t="shared" ca="1" si="195"/>
        <v>0</v>
      </c>
      <c r="J641" s="18">
        <f t="shared" ca="1" si="196"/>
        <v>30</v>
      </c>
      <c r="K641" s="17">
        <f t="shared" ca="1" si="197"/>
        <v>0</v>
      </c>
      <c r="L641" s="10" t="str">
        <f t="shared" ca="1" si="198"/>
        <v>—</v>
      </c>
      <c r="M641" s="17">
        <f t="shared" ca="1" si="199"/>
        <v>7</v>
      </c>
      <c r="N641" s="18" t="str">
        <f t="shared" ca="1" si="200"/>
        <v>—</v>
      </c>
      <c r="O641" s="17">
        <f t="shared" ca="1" si="201"/>
        <v>7</v>
      </c>
      <c r="P641" s="18" t="str">
        <f t="shared" ca="1" si="202"/>
        <v>—</v>
      </c>
      <c r="Q641" s="17">
        <f t="shared" ca="1" si="203"/>
        <v>7</v>
      </c>
      <c r="R641" s="10" t="str">
        <f t="shared" ca="1" si="204"/>
        <v>—</v>
      </c>
      <c r="S641" s="17">
        <f t="shared" ca="1" si="205"/>
        <v>7</v>
      </c>
      <c r="T641" s="70" t="str">
        <f t="shared" ca="1" si="206"/>
        <v>—</v>
      </c>
      <c r="U641" s="17">
        <f t="shared" ca="1" si="207"/>
        <v>7</v>
      </c>
      <c r="V641" s="71" t="str">
        <f t="shared" ca="1" si="208"/>
        <v>—</v>
      </c>
      <c r="W641" s="17">
        <f t="shared" ca="1" si="209"/>
        <v>7</v>
      </c>
    </row>
    <row r="642" spans="1:23" x14ac:dyDescent="0.25">
      <c r="A642" s="4">
        <f t="shared" ref="A642:A705" si="210">INDEX(Stations,2,1)</f>
        <v>32</v>
      </c>
      <c r="B642" t="str">
        <f ca="1">TEXT(DATE(YEAR(Invoer!$A$6),1,1)+INT((ROWS(B$2:B642)-1)/4),"jjjjmmdd")</f>
        <v>19400609</v>
      </c>
      <c r="C642" s="64" t="str">
        <f>IF(MOD(ROWS(C$2:C642)-1,4)=3,"24.00",INDEX(Data,3,2+MOD(ROWS(C$2:C642)-1,4)))</f>
        <v>07.00</v>
      </c>
      <c r="D642" s="18">
        <f t="shared" ref="D642:D705" ca="1" si="211">IF(OR(ISBLANK(VLOOKUP(DATEVALUE(LEFT($B642,4)&amp;"-"&amp;MID($B642,5,2)&amp;"-"&amp;RIGHT($B642,2)),Data,MATCH(LEFT(VLOOKUP(D$1,Parameters,2,FALSE()),4)&amp;"*",OFFSET(Data,0,0,1),0)+MATCH($C642,OFFSET(Data,2,0,1),0)-2,FALSE())),ISTEXT(VLOOKUP(DATEVALUE(LEFT($B642,4)&amp;"-"&amp;MID($B642,5,2)&amp;"-"&amp;RIGHT($B642,2)),Data,MATCH(LEFT(VLOOKUP(D$1,Parameters,2,FALSE()),4)&amp;"*",OFFSET(Data,0,0,1),0)+MATCH($C642,OFFSET(Data,2,0,1),0)-2,FALSE())),EXACT($C642,"24.00")),"—",VLOOKUP(DATEVALUE(LEFT($B642,4)&amp;"-"&amp;MID($B642,5,2)&amp;"-"&amp;RIGHT($B642,2)),Data,MATCH(LEFT(VLOOKUP(D$1,Parameters,2,FALSE()),4)&amp;"*",OFFSET(Data,0,0,1),0)+MATCH($C642,OFFSET(Data,2,0,1),0)-2,FALSE())/10)</f>
        <v>756.7</v>
      </c>
      <c r="E642" s="17">
        <f t="shared" ref="E642:E705" ca="1" si="212">IF(OR(ISBLANK(VLOOKUP(DATEVALUE(LEFT($B642,4)&amp;"-"&amp;MID($B642,5,2)&amp;"-"&amp;RIGHT($B642,2)),Data,MATCH(LEFT(VLOOKUP(MID(E$1,2,LEN(E$1)-1),Parameters,2,FALSE()),4)&amp;"*",OFFSET(Data,0,0,1),0)+MATCH($C642,OFFSET(Data,2,0,1),0)-2,FALSE())),ISTEXT(VLOOKUP(DATEVALUE(LEFT($B642,4)&amp;"-"&amp;MID($B642,5,2)&amp;"-"&amp;RIGHT($B642,2)),Data,MATCH(LEFT(VLOOKUP(MID(E$1,2,LEN(E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Data,2,0,1),0)-2,FALSE())))</f>
        <v>0</v>
      </c>
      <c r="F642" s="18">
        <f t="shared" ref="F642:F705" ca="1" si="213">IF(OR(ISBLANK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ISTEXT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EXACT($C642,"24.00")),"—",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/10)</f>
        <v>27.5</v>
      </c>
      <c r="G642" s="17">
        <f t="shared" ref="G642:G705" ca="1" si="214">IF(OR(ISBLANK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ISTEXT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G$1,2,LEN(G$1)-1),Parameters,2,FALSE()),FIND(LOWER(MID(G$1,2,1)),VLOOKUP(MID(G$1,2,LEN(G$1)-1),Parameters,2,FALSE()),5),4)&amp;"*",OFFSET(Catalogus,0,0,1),0)+2*MATCH($C642,OFFSET(Catalogus,2,0,1),0)+MATCH(LEFT(VLOOKUP(MID(G$1,2,LEN(G$1)-1),Parameters,2,FALSE()),3)&amp;"*",OFFSET(Catalogus,2,4,1),0)-5,FALSE())))</f>
        <v>0</v>
      </c>
      <c r="H642" s="18" t="str">
        <f t="shared" ref="H642:H705" ca="1" si="215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/10)</f>
        <v>—</v>
      </c>
      <c r="I642" s="17">
        <f t="shared" ref="I642:I705" ca="1" si="216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  <c r="J642" s="18" t="str">
        <f t="shared" ref="J642:J705" ca="1" si="217">IF(OR(ISBLANK(VLOOKUP(DATEVALUE(LEFT($B642,4)&amp;"-"&amp;MID($B642,5,2)&amp;"-"&amp;RIGHT($B642,2)),Data,MATCH(LEFT(VLOOKUP(J$1,Parameters,2,FALSE()),4)&amp;"*",OFFSET(Data,1,0,1),0),FALSE())),ISTEXT(VLOOKUP(DATEVALUE(LEFT($B642,4)&amp;"-"&amp;MID($B642,5,2)&amp;"-"&amp;RIGHT($B642,2)),Data,MATCH(LEFT(VLOOKUP(J$1,Parameters,2,FALSE()),4)&amp;"*",OFFSET(Data,1,0,1),0),FALSE())),NOT(EXACT($C642,"24.00"))),"—",VLOOKUP(DATEVALUE(LEFT($B642,4)&amp;"-"&amp;MID($B642,5,2)&amp;"-"&amp;RIGHT($B642,2)),Data,MATCH(LEFT(VLOOKUP(J$1,Parameters,2,FALSE()),4)&amp;"*",OFFSET(Data,1,0,1),0),FALSE())/10)</f>
        <v>—</v>
      </c>
      <c r="K642" s="17">
        <f t="shared" ref="K642:K705" ca="1" si="218">IF(OR(ISBLANK(VLOOKUP(DATEVALUE(LEFT($B642,4)&amp;"-"&amp;MID($B642,5,2)&amp;"-"&amp;RIGHT($B642,2)),Data,MATCH(LEFT(VLOOKUP(MID(K$1,2,LEN(K$1)-1),Parameters,2,FALSE()),4)&amp;"*",OFFSET(Data,1,0,1),0),FALSE())),ISTEXT(VLOOKUP(DATEVALUE(LEFT($B642,4)&amp;"-"&amp;MID($B642,5,2)&amp;"-"&amp;RIGHT($B642,2)),Data,MATCH(LEFT(VLOOKUP(MID(K$1,2,LEN(K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K$1,2,LEN(K$1)-1),Parameters,2,FALSE()),4)&amp;"*",OFFSET(Catalogus,1,0,1),0),FALSE())))</f>
        <v>7</v>
      </c>
      <c r="L642" s="10">
        <f t="shared" ref="L642:L705" ca="1" si="219">IF(OR(ISBLANK(VLOOKUP(DATEVALUE(LEFT($B642,4)&amp;"-"&amp;MID($B642,5,2)&amp;"-"&amp;RIGHT($B642,2)),Data,MATCH(LEFT(VLOOKUP(L$1,Parameters,2,FALSE()),4)&amp;"*",OFFSET(Data,0,0,1),0)+MATCH($C642,OFFSET(Data,2,0,1),0)-2,FALSE())),ISTEXT(VLOOKUP(DATEVALUE(LEFT($B642,4)&amp;"-"&amp;MID($B642,5,2)&amp;"-"&amp;RIGHT($B642,2)),Data,MATCH(LEFT(VLOOKUP(L$1,Parameters,2,FALSE()),4)&amp;"*",OFFSET(Data,0,0,1),0)+MATCH($C642,OFFSET(Data,2,0,1),0)-2,FALSE())),EXACT($C642,"24.00")),"—",VLOOKUP(DATEVALUE(LEFT($B642,4)&amp;"-"&amp;MID($B642,5,2)&amp;"-"&amp;RIGHT($B642,2)),Data,MATCH(LEFT(VLOOKUP(L$1,Parameters,2,FALSE()),4)&amp;"*",OFFSET(Data,0,0,1),0)+MATCH($C642,OFFSET(Data,2,0,1),0)-2,FALSE()))</f>
        <v>70</v>
      </c>
      <c r="M642" s="17">
        <f t="shared" ref="M642:M705" ca="1" si="220">IF(OR(ISBLANK(VLOOKUP(DATEVALUE(LEFT($B642,4)&amp;"-"&amp;MID($B642,5,2)&amp;"-"&amp;RIGHT($B642,2)),Data,MATCH(LEFT(VLOOKUP(MID(M$1,2,LEN(M$1)-1),Parameters,2,FALSE()),4)&amp;"*",OFFSET(Data,0,0,1),0)+MATCH($C642,OFFSET(Data,2,0,1),0)-2,FALSE())),ISTEXT(VLOOKUP(DATEVALUE(LEFT($B642,4)&amp;"-"&amp;MID($B642,5,2)&amp;"-"&amp;RIGHT($B642,2)),Data,MATCH(LEFT(VLOOKUP(MID(M$1,2,LEN(M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M$1,2,LEN(M$1)-1),Parameters,2,FALSE()),4)&amp;"*",OFFSET(Catalogus,0,0,1),0)+MATCH($C642,OFFSET(Data,2,0,1),0)-2,FALSE())))</f>
        <v>0</v>
      </c>
      <c r="N642" s="18">
        <f t="shared" ref="N642:N705" ca="1" si="221">IF(OR(ISBLANK(VLOOKUP(DATEVALUE(LEFT($B642,4)&amp;"-"&amp;MID($B642,5,2)&amp;"-"&amp;RIGHT($B642,2)),Data,MATCH(LEFT(VLOOKUP(N$1,Parameters,2,FALSE()),4)&amp;"*",OFFSET(Data,0,0,1),0)+MATCH($C642,OFFSET(Data,2,0,1),0)-2,FALSE())),ISTEXT(VLOOKUP(DATEVALUE(LEFT($B642,4)&amp;"-"&amp;MID($B642,5,2)&amp;"-"&amp;RIGHT($B642,2)),Data,MATCH(LEFT(VLOOKUP(N$1,Parameters,2,FALSE()),4)&amp;"*",OFFSET(Data,0,0,1),0)+MATCH($C642,OFFSET(Data,2,0,1),0)-2,FALSE())),EXACT($C642,"24.00")),"—",VLOOKUP(DATEVALUE(LEFT($B642,4)&amp;"-"&amp;MID($B642,5,2)&amp;"-"&amp;RIGHT($B642,2)),Data,MATCH(LEFT(VLOOKUP(N$1,Parameters,2,FALSE()),4)&amp;"*",OFFSET(Data,0,0,1),0)+MATCH($C642,OFFSET(Data,2,0,1),0)-2,FALSE())/10)</f>
        <v>19.2</v>
      </c>
      <c r="O642" s="17">
        <f t="shared" ref="O642:O705" ca="1" si="222">IF(OR(ISBLANK(VLOOKUP(DATEVALUE(LEFT($B642,4)&amp;"-"&amp;MID($B642,5,2)&amp;"-"&amp;RIGHT($B642,2)),Data,MATCH(LEFT(VLOOKUP(MID(O$1,2,LEN(O$1)-1),Parameters,2,FALSE()),4)&amp;"*",OFFSET(Data,0,0,1),0)+MATCH($C642,OFFSET(Data,2,0,1),0)-2,FALSE())),ISTEXT(VLOOKUP(DATEVALUE(LEFT($B642,4)&amp;"-"&amp;MID($B642,5,2)&amp;"-"&amp;RIGHT($B642,2)),Data,MATCH(LEFT(VLOOKUP(MID(O$1,2,LEN(O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O$1,2,LEN(O$1)-1),Parameters,2,FALSE()),4)&amp;"*",OFFSET(Catalogus,0,0,1),0)+MATCH($C642,OFFSET(Data,2,0,1),0)-2,FALSE())))</f>
        <v>0</v>
      </c>
      <c r="P642" s="18">
        <f t="shared" ref="P642:P705" ca="1" si="223">IF(OR(ISBLANK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ISTEXT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EXACT($C642,"24.00")),"—",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/10)</f>
        <v>23.2</v>
      </c>
      <c r="Q642" s="17">
        <f t="shared" ref="Q642:Q705" ca="1" si="224">IF(OR(ISBLANK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ISTEXT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Q$1,2,LEN(Q$1)-1),Parameters,2,FALSE()),FIND(LOWER(MID(Q$1,2,1)),VLOOKUP(MID(Q$1,2,LEN(Q$1)-1),Parameters,2,FALSE()),5),4)&amp;"*",OFFSET(Catalogus,0,0,1),0)+2*MATCH($C642,OFFSET(Catalogus,2,0,1),0)+MATCH(LEFT(VLOOKUP(MID(Q$1,2,LEN(Q$1)-1),Parameters,2,FALSE()),3)&amp;"*",OFFSET(Catalogus,2,4,1),0)-5,FALSE())))</f>
        <v>0</v>
      </c>
      <c r="R642" s="10">
        <f t="shared" ref="R642:R705" ca="1" si="225">IF(OR(ISBLANK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),ISNA(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1,1,,1),0)),EXACT($C642,"24.00")),"—",INDEX(Windrichting,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0,1,,1),0),1))</f>
        <v>65</v>
      </c>
      <c r="S642" s="17">
        <f t="shared" ref="S642:S705" ca="1" si="226">IF(OR(ISBLANK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),ISNA(MATCH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,OFFSET(Windrichting,1,1,,1),0)),EXACT($C642,"24.00")),Lacking,IF(ISNA(MATCH(DATEVALUE(LEFT($B642,4)&amp;"-"&amp;MID($B642,5,2)&amp;"-"&amp;RIGHT($B642,2)),OFFSET(Catalogus,0,0,,1),0)),Ok,VLOOKUP(DATEVALUE(LEFT($B642,4)&amp;"-"&amp;MID($B642,5,2)&amp;"-"&amp;RIGHT($B642,2)),Catalogus,MATCH(LEFT(VLOOKUP(MID(S$1,2,LEN(S$1)-1),Parameters,2,FALSE()),4)&amp;"*",OFFSET(Catalogus,0,0,1),0)+2*MATCH($C642,OFFSET(Catalogus,2,0,1),0)+MATCH(MID(VLOOKUP(MID(S$1,2,LEN(S$1)-1),Parameters,2,FALSE()),5,LEN(VLOOKUP(MID(S$1,2,LEN(S$1)-1),Parameters,2,FALSE()))-4)&amp;"*",OFFSET(Catalogus,2,19,1),0)-5,FALSE())))</f>
        <v>0</v>
      </c>
      <c r="T642" s="70">
        <f t="shared" ref="T642:T705" ca="1" si="227">IF(OR(ISBLANK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ISTEXT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EXACT($C642,"24.00")),"—",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/10)</f>
        <v>0.5</v>
      </c>
      <c r="U642" s="17">
        <f t="shared" ref="U642:U705" ca="1" si="228">IF(OR(ISBLANK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ISTEXT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U$1,2,LEN(U$1)-1),Parameters,2,FALSE()),4)&amp;"*",OFFSET(Catalogus,0,0,1),0)+2*MATCH($C642,OFFSET(Catalogus,2,0,1),0)+MATCH(MID(VLOOKUP(MID(U$1,2,LEN(U$1)-1),Parameters,2,FALSE()),5,LEN(VLOOKUP(MID(U$1,2,LEN(U$1)-1),Parameters,2,FALSE()))-4)&amp;"*",OFFSET(Catalogus,2,19,1),0)-5,FALSE())))</f>
        <v>0</v>
      </c>
      <c r="V642" s="71">
        <f t="shared" ref="V642:V705" ca="1" si="229">IF(OR(ISBLANK(VLOOKUP(DATEVALUE(LEFT($B642,4)&amp;"-"&amp;MID($B642,5,2)&amp;"-"&amp;RIGHT($B642,2)),Data,MATCH(LEFT(VLOOKUP(V$1,Parameters,2,FALSE()),4)&amp;"*",OFFSET(Data,0,0,1),0)+MATCH($C642,OFFSET(Data,2,0,1),0)-2,FALSE())),ISTEXT(VLOOKUP(DATEVALUE(LEFT($B642,4)&amp;"-"&amp;MID($B642,5,2)&amp;"-"&amp;RIGHT($B642,2)),Data,MATCH(LEFT(VLOOKUP(V$1,Parameters,2,FALSE()),4)&amp;"*",OFFSET(Data,0,0,1),0)+MATCH($C642,OFFSET(Data,2,0,1),0)-2,FALSE())),EXACT($C642,"24.00")),"—",VLOOKUP(DATEVALUE(LEFT($B642,4)&amp;"-"&amp;MID($B642,5,2)&amp;"-"&amp;RIGHT($B642,2)),Data,MATCH(LEFT(VLOOKUP(V$1,Parameters,2,FALSE()),4)&amp;"*",OFFSET(Data,0,0,1),0)+MATCH($C642,OFFSET(Data,2,0,1),0)-2,FALSE()))</f>
        <v>3</v>
      </c>
      <c r="W642" s="17">
        <f t="shared" ref="W642:W705" ca="1" si="230">IF(OR(ISBLANK(VLOOKUP(DATEVALUE(LEFT($B642,4)&amp;"-"&amp;MID($B642,5,2)&amp;"-"&amp;RIGHT($B642,2)),Data,MATCH(LEFT(VLOOKUP(MID(W$1,2,LEN(W$1)-1),Parameters,2,FALSE()),4)&amp;"*",OFFSET(Data,0,0,1),0)+MATCH($C642,OFFSET(Data,2,0,1),0)-2,FALSE())),ISTEXT(VLOOKUP(DATEVALUE(LEFT($B642,4)&amp;"-"&amp;MID($B642,5,2)&amp;"-"&amp;RIGHT($B642,2)),Data,MATCH(LEFT(VLOOKUP(MID(W$1,2,LEN(W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W$1,2,LEN(W$1)-1),Parameters,2,FALSE()),4)&amp;"*",OFFSET(Catalogus,0,0,1),0)+MATCH($C642,OFFSET(Data,2,0,1),0)-2,FALSE())))</f>
        <v>0</v>
      </c>
    </row>
    <row r="643" spans="1:23" x14ac:dyDescent="0.25">
      <c r="A643" s="4">
        <f t="shared" si="210"/>
        <v>32</v>
      </c>
      <c r="B643" t="str">
        <f ca="1">TEXT(DATE(YEAR(Invoer!$A$6),1,1)+INT((ROWS(B$2:B643)-1)/4),"jjjjmmdd")</f>
        <v>19400609</v>
      </c>
      <c r="C643" s="64" t="str">
        <f>IF(MOD(ROWS(C$2:C643)-1,4)=3,"24.00",INDEX(Data,3,2+MOD(ROWS(C$2:C643)-1,4)))</f>
        <v>12.00</v>
      </c>
      <c r="D643" s="18">
        <f t="shared" ca="1" si="211"/>
        <v>755.6</v>
      </c>
      <c r="E643" s="17">
        <f t="shared" ca="1" si="212"/>
        <v>0</v>
      </c>
      <c r="F643" s="18">
        <f t="shared" ca="1" si="213"/>
        <v>27.9</v>
      </c>
      <c r="G643" s="17">
        <f t="shared" ca="1" si="214"/>
        <v>0</v>
      </c>
      <c r="H643" s="18" t="str">
        <f t="shared" ca="1" si="215"/>
        <v>—</v>
      </c>
      <c r="I643" s="17">
        <f t="shared" ca="1" si="216"/>
        <v>7</v>
      </c>
      <c r="J643" s="18" t="str">
        <f t="shared" ca="1" si="217"/>
        <v>—</v>
      </c>
      <c r="K643" s="17">
        <f t="shared" ca="1" si="218"/>
        <v>7</v>
      </c>
      <c r="L643" s="10">
        <f t="shared" ca="1" si="219"/>
        <v>70</v>
      </c>
      <c r="M643" s="17">
        <f t="shared" ca="1" si="220"/>
        <v>0</v>
      </c>
      <c r="N643" s="18">
        <f t="shared" ca="1" si="221"/>
        <v>19.7</v>
      </c>
      <c r="O643" s="17">
        <f t="shared" ca="1" si="222"/>
        <v>0</v>
      </c>
      <c r="P643" s="18">
        <f t="shared" ca="1" si="223"/>
        <v>23.6</v>
      </c>
      <c r="Q643" s="17">
        <f t="shared" ca="1" si="224"/>
        <v>0</v>
      </c>
      <c r="R643" s="10">
        <f t="shared" ca="1" si="225"/>
        <v>65</v>
      </c>
      <c r="S643" s="17">
        <f t="shared" ca="1" si="226"/>
        <v>0</v>
      </c>
      <c r="T643" s="70">
        <f t="shared" ca="1" si="227"/>
        <v>0.6</v>
      </c>
      <c r="U643" s="17">
        <f t="shared" ca="1" si="228"/>
        <v>0</v>
      </c>
      <c r="V643" s="71">
        <f t="shared" ca="1" si="229"/>
        <v>4</v>
      </c>
      <c r="W643" s="17">
        <f t="shared" ca="1" si="230"/>
        <v>0</v>
      </c>
    </row>
    <row r="644" spans="1:23" x14ac:dyDescent="0.25">
      <c r="A644" s="4">
        <f t="shared" si="210"/>
        <v>32</v>
      </c>
      <c r="B644" t="str">
        <f ca="1">TEXT(DATE(YEAR(Invoer!$A$6),1,1)+INT((ROWS(B$2:B644)-1)/4),"jjjjmmdd")</f>
        <v>19400609</v>
      </c>
      <c r="C644" s="64" t="str">
        <f>IF(MOD(ROWS(C$2:C644)-1,4)=3,"24.00",INDEX(Data,3,2+MOD(ROWS(C$2:C644)-1,4)))</f>
        <v>17.00</v>
      </c>
      <c r="D644" s="18">
        <f t="shared" ca="1" si="211"/>
        <v>757.2</v>
      </c>
      <c r="E644" s="17">
        <f t="shared" ca="1" si="212"/>
        <v>0</v>
      </c>
      <c r="F644" s="18">
        <f t="shared" ca="1" si="213"/>
        <v>28.1</v>
      </c>
      <c r="G644" s="17">
        <f t="shared" ca="1" si="214"/>
        <v>0</v>
      </c>
      <c r="H644" s="18" t="str">
        <f t="shared" ca="1" si="215"/>
        <v>—</v>
      </c>
      <c r="I644" s="17">
        <f t="shared" ca="1" si="216"/>
        <v>7</v>
      </c>
      <c r="J644" s="18" t="str">
        <f t="shared" ca="1" si="217"/>
        <v>—</v>
      </c>
      <c r="K644" s="17">
        <f t="shared" ca="1" si="218"/>
        <v>7</v>
      </c>
      <c r="L644" s="10">
        <f t="shared" ca="1" si="219"/>
        <v>67</v>
      </c>
      <c r="M644" s="17">
        <f t="shared" ca="1" si="220"/>
        <v>0</v>
      </c>
      <c r="N644" s="18">
        <f t="shared" ca="1" si="221"/>
        <v>19.2</v>
      </c>
      <c r="O644" s="17">
        <f t="shared" ca="1" si="222"/>
        <v>0</v>
      </c>
      <c r="P644" s="18">
        <f t="shared" ca="1" si="223"/>
        <v>23.4</v>
      </c>
      <c r="Q644" s="17">
        <f t="shared" ca="1" si="224"/>
        <v>0</v>
      </c>
      <c r="R644" s="10">
        <f t="shared" ca="1" si="225"/>
        <v>45</v>
      </c>
      <c r="S644" s="17">
        <f t="shared" ca="1" si="226"/>
        <v>0</v>
      </c>
      <c r="T644" s="70">
        <f t="shared" ca="1" si="227"/>
        <v>0.6</v>
      </c>
      <c r="U644" s="17">
        <f t="shared" ca="1" si="228"/>
        <v>0</v>
      </c>
      <c r="V644" s="71">
        <f t="shared" ca="1" si="229"/>
        <v>3</v>
      </c>
      <c r="W644" s="17">
        <f t="shared" ca="1" si="230"/>
        <v>0</v>
      </c>
    </row>
    <row r="645" spans="1:23" x14ac:dyDescent="0.25">
      <c r="A645" s="4">
        <f t="shared" si="210"/>
        <v>32</v>
      </c>
      <c r="B645" t="str">
        <f ca="1">TEXT(DATE(YEAR(Invoer!$A$6),1,1)+INT((ROWS(B$2:B645)-1)/4),"jjjjmmdd")</f>
        <v>19400609</v>
      </c>
      <c r="C645" s="64" t="str">
        <f>IF(MOD(ROWS(C$2:C645)-1,4)=3,"24.00",INDEX(Data,3,2+MOD(ROWS(C$2:C645)-1,4)))</f>
        <v>24.00</v>
      </c>
      <c r="D645" s="18" t="str">
        <f t="shared" ca="1" si="211"/>
        <v>—</v>
      </c>
      <c r="E645" s="17">
        <f t="shared" ca="1" si="212"/>
        <v>7</v>
      </c>
      <c r="F645" s="18" t="str">
        <f t="shared" ca="1" si="213"/>
        <v>—</v>
      </c>
      <c r="G645" s="17">
        <f t="shared" ca="1" si="214"/>
        <v>7</v>
      </c>
      <c r="H645" s="18">
        <f t="shared" ca="1" si="215"/>
        <v>28.5</v>
      </c>
      <c r="I645" s="17">
        <f t="shared" ca="1" si="216"/>
        <v>0</v>
      </c>
      <c r="J645" s="18">
        <f t="shared" ca="1" si="217"/>
        <v>30</v>
      </c>
      <c r="K645" s="17">
        <f t="shared" ca="1" si="218"/>
        <v>0</v>
      </c>
      <c r="L645" s="10" t="str">
        <f t="shared" ca="1" si="219"/>
        <v>—</v>
      </c>
      <c r="M645" s="17">
        <f t="shared" ca="1" si="220"/>
        <v>7</v>
      </c>
      <c r="N645" s="18" t="str">
        <f t="shared" ca="1" si="221"/>
        <v>—</v>
      </c>
      <c r="O645" s="17">
        <f t="shared" ca="1" si="222"/>
        <v>7</v>
      </c>
      <c r="P645" s="18" t="str">
        <f t="shared" ca="1" si="223"/>
        <v>—</v>
      </c>
      <c r="Q645" s="17">
        <f t="shared" ca="1" si="224"/>
        <v>7</v>
      </c>
      <c r="R645" s="10" t="str">
        <f t="shared" ca="1" si="225"/>
        <v>—</v>
      </c>
      <c r="S645" s="17">
        <f t="shared" ca="1" si="226"/>
        <v>7</v>
      </c>
      <c r="T645" s="70" t="str">
        <f t="shared" ca="1" si="227"/>
        <v>—</v>
      </c>
      <c r="U645" s="17">
        <f t="shared" ca="1" si="228"/>
        <v>7</v>
      </c>
      <c r="V645" s="71" t="str">
        <f t="shared" ca="1" si="229"/>
        <v>—</v>
      </c>
      <c r="W645" s="17">
        <f t="shared" ca="1" si="230"/>
        <v>7</v>
      </c>
    </row>
    <row r="646" spans="1:23" x14ac:dyDescent="0.25">
      <c r="A646" s="4">
        <f t="shared" si="210"/>
        <v>32</v>
      </c>
      <c r="B646" t="str">
        <f ca="1">TEXT(DATE(YEAR(Invoer!$A$6),1,1)+INT((ROWS(B$2:B646)-1)/4),"jjjjmmdd")</f>
        <v>19400610</v>
      </c>
      <c r="C646" s="64" t="str">
        <f>IF(MOD(ROWS(C$2:C646)-1,4)=3,"24.00",INDEX(Data,3,2+MOD(ROWS(C$2:C646)-1,4)))</f>
        <v>07.00</v>
      </c>
      <c r="D646" s="18">
        <f t="shared" ca="1" si="211"/>
        <v>756.2</v>
      </c>
      <c r="E646" s="17">
        <f t="shared" ca="1" si="212"/>
        <v>0</v>
      </c>
      <c r="F646" s="18">
        <f t="shared" ca="1" si="213"/>
        <v>27.7</v>
      </c>
      <c r="G646" s="17">
        <f t="shared" ca="1" si="214"/>
        <v>0</v>
      </c>
      <c r="H646" s="18" t="str">
        <f t="shared" ca="1" si="215"/>
        <v>—</v>
      </c>
      <c r="I646" s="17">
        <f t="shared" ca="1" si="216"/>
        <v>7</v>
      </c>
      <c r="J646" s="18" t="str">
        <f t="shared" ca="1" si="217"/>
        <v>—</v>
      </c>
      <c r="K646" s="17">
        <f t="shared" ca="1" si="218"/>
        <v>7</v>
      </c>
      <c r="L646" s="10">
        <f t="shared" ca="1" si="219"/>
        <v>72</v>
      </c>
      <c r="M646" s="17">
        <f t="shared" ca="1" si="220"/>
        <v>0</v>
      </c>
      <c r="N646" s="18">
        <f t="shared" ca="1" si="221"/>
        <v>20.2</v>
      </c>
      <c r="O646" s="17">
        <f t="shared" ca="1" si="222"/>
        <v>0</v>
      </c>
      <c r="P646" s="18">
        <f t="shared" ca="1" si="223"/>
        <v>23.8</v>
      </c>
      <c r="Q646" s="17">
        <f t="shared" ca="1" si="224"/>
        <v>0</v>
      </c>
      <c r="R646" s="10">
        <f t="shared" ca="1" si="225"/>
        <v>65</v>
      </c>
      <c r="S646" s="17">
        <f t="shared" ca="1" si="226"/>
        <v>0</v>
      </c>
      <c r="T646" s="70">
        <f t="shared" ca="1" si="227"/>
        <v>0.5</v>
      </c>
      <c r="U646" s="17">
        <f t="shared" ca="1" si="228"/>
        <v>0</v>
      </c>
      <c r="V646" s="71">
        <f t="shared" ca="1" si="229"/>
        <v>4</v>
      </c>
      <c r="W646" s="17">
        <f t="shared" ca="1" si="230"/>
        <v>0</v>
      </c>
    </row>
    <row r="647" spans="1:23" x14ac:dyDescent="0.25">
      <c r="A647" s="4">
        <f t="shared" si="210"/>
        <v>32</v>
      </c>
      <c r="B647" t="str">
        <f ca="1">TEXT(DATE(YEAR(Invoer!$A$6),1,1)+INT((ROWS(B$2:B647)-1)/4),"jjjjmmdd")</f>
        <v>19400610</v>
      </c>
      <c r="C647" s="64" t="str">
        <f>IF(MOD(ROWS(C$2:C647)-1,4)=3,"24.00",INDEX(Data,3,2+MOD(ROWS(C$2:C647)-1,4)))</f>
        <v>12.00</v>
      </c>
      <c r="D647" s="18">
        <f t="shared" ca="1" si="211"/>
        <v>757.9</v>
      </c>
      <c r="E647" s="17">
        <f t="shared" ca="1" si="212"/>
        <v>0</v>
      </c>
      <c r="F647" s="18">
        <f t="shared" ca="1" si="213"/>
        <v>27.9</v>
      </c>
      <c r="G647" s="17">
        <f t="shared" ca="1" si="214"/>
        <v>0</v>
      </c>
      <c r="H647" s="18" t="str">
        <f t="shared" ca="1" si="215"/>
        <v>—</v>
      </c>
      <c r="I647" s="17">
        <f t="shared" ca="1" si="216"/>
        <v>7</v>
      </c>
      <c r="J647" s="18" t="str">
        <f t="shared" ca="1" si="217"/>
        <v>—</v>
      </c>
      <c r="K647" s="17">
        <f t="shared" ca="1" si="218"/>
        <v>7</v>
      </c>
      <c r="L647" s="10">
        <f t="shared" ca="1" si="219"/>
        <v>74</v>
      </c>
      <c r="M647" s="17">
        <f t="shared" ca="1" si="220"/>
        <v>0</v>
      </c>
      <c r="N647" s="18">
        <f t="shared" ca="1" si="221"/>
        <v>20.8</v>
      </c>
      <c r="O647" s="17">
        <f t="shared" ca="1" si="222"/>
        <v>0</v>
      </c>
      <c r="P647" s="18">
        <f t="shared" ca="1" si="223"/>
        <v>24.2</v>
      </c>
      <c r="Q647" s="17">
        <f t="shared" ca="1" si="224"/>
        <v>0</v>
      </c>
      <c r="R647" s="10">
        <f t="shared" ca="1" si="225"/>
        <v>65</v>
      </c>
      <c r="S647" s="17">
        <f t="shared" ca="1" si="226"/>
        <v>0</v>
      </c>
      <c r="T647" s="70">
        <f t="shared" ca="1" si="227"/>
        <v>0.7</v>
      </c>
      <c r="U647" s="17">
        <f t="shared" ca="1" si="228"/>
        <v>0</v>
      </c>
      <c r="V647" s="71">
        <f t="shared" ca="1" si="229"/>
        <v>5</v>
      </c>
      <c r="W647" s="17">
        <f t="shared" ca="1" si="230"/>
        <v>0</v>
      </c>
    </row>
    <row r="648" spans="1:23" x14ac:dyDescent="0.25">
      <c r="A648" s="4">
        <f t="shared" si="210"/>
        <v>32</v>
      </c>
      <c r="B648" t="str">
        <f ca="1">TEXT(DATE(YEAR(Invoer!$A$6),1,1)+INT((ROWS(B$2:B648)-1)/4),"jjjjmmdd")</f>
        <v>19400610</v>
      </c>
      <c r="C648" s="64" t="str">
        <f>IF(MOD(ROWS(C$2:C648)-1,4)=3,"24.00",INDEX(Data,3,2+MOD(ROWS(C$2:C648)-1,4)))</f>
        <v>17.00</v>
      </c>
      <c r="D648" s="18">
        <f t="shared" ca="1" si="211"/>
        <v>757.4</v>
      </c>
      <c r="E648" s="17">
        <f t="shared" ca="1" si="212"/>
        <v>0</v>
      </c>
      <c r="F648" s="18">
        <f t="shared" ca="1" si="213"/>
        <v>27.9</v>
      </c>
      <c r="G648" s="17">
        <f t="shared" ca="1" si="214"/>
        <v>0</v>
      </c>
      <c r="H648" s="18" t="str">
        <f t="shared" ca="1" si="215"/>
        <v>—</v>
      </c>
      <c r="I648" s="17">
        <f t="shared" ca="1" si="216"/>
        <v>7</v>
      </c>
      <c r="J648" s="18" t="str">
        <f t="shared" ca="1" si="217"/>
        <v>—</v>
      </c>
      <c r="K648" s="17">
        <f t="shared" ca="1" si="218"/>
        <v>7</v>
      </c>
      <c r="L648" s="10">
        <f t="shared" ca="1" si="219"/>
        <v>71</v>
      </c>
      <c r="M648" s="17">
        <f t="shared" ca="1" si="220"/>
        <v>0</v>
      </c>
      <c r="N648" s="18">
        <f t="shared" ca="1" si="221"/>
        <v>20.100000000000001</v>
      </c>
      <c r="O648" s="17">
        <f t="shared" ca="1" si="222"/>
        <v>0</v>
      </c>
      <c r="P648" s="18">
        <f t="shared" ca="1" si="223"/>
        <v>23.8</v>
      </c>
      <c r="Q648" s="17">
        <f t="shared" ca="1" si="224"/>
        <v>0</v>
      </c>
      <c r="R648" s="10">
        <f t="shared" ca="1" si="225"/>
        <v>45</v>
      </c>
      <c r="S648" s="17">
        <f t="shared" ca="1" si="226"/>
        <v>0</v>
      </c>
      <c r="T648" s="70">
        <f t="shared" ca="1" si="227"/>
        <v>0.6</v>
      </c>
      <c r="U648" s="17">
        <f t="shared" ca="1" si="228"/>
        <v>0</v>
      </c>
      <c r="V648" s="71">
        <f t="shared" ca="1" si="229"/>
        <v>3</v>
      </c>
      <c r="W648" s="17">
        <f t="shared" ca="1" si="230"/>
        <v>0</v>
      </c>
    </row>
    <row r="649" spans="1:23" x14ac:dyDescent="0.25">
      <c r="A649" s="4">
        <f t="shared" si="210"/>
        <v>32</v>
      </c>
      <c r="B649" t="str">
        <f ca="1">TEXT(DATE(YEAR(Invoer!$A$6),1,1)+INT((ROWS(B$2:B649)-1)/4),"jjjjmmdd")</f>
        <v>19400610</v>
      </c>
      <c r="C649" s="64" t="str">
        <f>IF(MOD(ROWS(C$2:C649)-1,4)=3,"24.00",INDEX(Data,3,2+MOD(ROWS(C$2:C649)-1,4)))</f>
        <v>24.00</v>
      </c>
      <c r="D649" s="18" t="str">
        <f t="shared" ca="1" si="211"/>
        <v>—</v>
      </c>
      <c r="E649" s="17">
        <f t="shared" ca="1" si="212"/>
        <v>7</v>
      </c>
      <c r="F649" s="18" t="str">
        <f t="shared" ca="1" si="213"/>
        <v>—</v>
      </c>
      <c r="G649" s="17">
        <f t="shared" ca="1" si="214"/>
        <v>7</v>
      </c>
      <c r="H649" s="18">
        <f t="shared" ca="1" si="215"/>
        <v>29</v>
      </c>
      <c r="I649" s="17">
        <f t="shared" ca="1" si="216"/>
        <v>0</v>
      </c>
      <c r="J649" s="18">
        <f t="shared" ca="1" si="217"/>
        <v>30</v>
      </c>
      <c r="K649" s="17">
        <f t="shared" ca="1" si="218"/>
        <v>0</v>
      </c>
      <c r="L649" s="10" t="str">
        <f t="shared" ca="1" si="219"/>
        <v>—</v>
      </c>
      <c r="M649" s="17">
        <f t="shared" ca="1" si="220"/>
        <v>7</v>
      </c>
      <c r="N649" s="18" t="str">
        <f t="shared" ca="1" si="221"/>
        <v>—</v>
      </c>
      <c r="O649" s="17">
        <f t="shared" ca="1" si="222"/>
        <v>7</v>
      </c>
      <c r="P649" s="18" t="str">
        <f t="shared" ca="1" si="223"/>
        <v>—</v>
      </c>
      <c r="Q649" s="17">
        <f t="shared" ca="1" si="224"/>
        <v>7</v>
      </c>
      <c r="R649" s="10" t="str">
        <f t="shared" ca="1" si="225"/>
        <v>—</v>
      </c>
      <c r="S649" s="17">
        <f t="shared" ca="1" si="226"/>
        <v>7</v>
      </c>
      <c r="T649" s="70" t="str">
        <f t="shared" ca="1" si="227"/>
        <v>—</v>
      </c>
      <c r="U649" s="17">
        <f t="shared" ca="1" si="228"/>
        <v>7</v>
      </c>
      <c r="V649" s="71" t="str">
        <f t="shared" ca="1" si="229"/>
        <v>—</v>
      </c>
      <c r="W649" s="17">
        <f t="shared" ca="1" si="230"/>
        <v>7</v>
      </c>
    </row>
    <row r="650" spans="1:23" x14ac:dyDescent="0.25">
      <c r="A650" s="4">
        <f t="shared" si="210"/>
        <v>32</v>
      </c>
      <c r="B650" t="str">
        <f ca="1">TEXT(DATE(YEAR(Invoer!$A$6),1,1)+INT((ROWS(B$2:B650)-1)/4),"jjjjmmdd")</f>
        <v>19400611</v>
      </c>
      <c r="C650" s="64" t="str">
        <f>IF(MOD(ROWS(C$2:C650)-1,4)=3,"24.00",INDEX(Data,3,2+MOD(ROWS(C$2:C650)-1,4)))</f>
        <v>07.00</v>
      </c>
      <c r="D650" s="18">
        <f t="shared" ca="1" si="211"/>
        <v>758.2</v>
      </c>
      <c r="E650" s="17">
        <f t="shared" ca="1" si="212"/>
        <v>0</v>
      </c>
      <c r="F650" s="18">
        <f t="shared" ca="1" si="213"/>
        <v>27.1</v>
      </c>
      <c r="G650" s="17">
        <f t="shared" ca="1" si="214"/>
        <v>0</v>
      </c>
      <c r="H650" s="18" t="str">
        <f t="shared" ca="1" si="215"/>
        <v>—</v>
      </c>
      <c r="I650" s="17">
        <f t="shared" ca="1" si="216"/>
        <v>7</v>
      </c>
      <c r="J650" s="18" t="str">
        <f t="shared" ca="1" si="217"/>
        <v>—</v>
      </c>
      <c r="K650" s="17">
        <f t="shared" ca="1" si="218"/>
        <v>7</v>
      </c>
      <c r="L650" s="10">
        <f t="shared" ca="1" si="219"/>
        <v>82</v>
      </c>
      <c r="M650" s="17">
        <f t="shared" ca="1" si="220"/>
        <v>0</v>
      </c>
      <c r="N650" s="18">
        <f t="shared" ca="1" si="221"/>
        <v>22</v>
      </c>
      <c r="O650" s="17">
        <f t="shared" ca="1" si="222"/>
        <v>0</v>
      </c>
      <c r="P650" s="18">
        <f t="shared" ca="1" si="223"/>
        <v>24.6</v>
      </c>
      <c r="Q650" s="17">
        <f t="shared" ca="1" si="224"/>
        <v>0</v>
      </c>
      <c r="R650" s="10">
        <f t="shared" ca="1" si="225"/>
        <v>45</v>
      </c>
      <c r="S650" s="17">
        <f t="shared" ca="1" si="226"/>
        <v>0</v>
      </c>
      <c r="T650" s="70">
        <f t="shared" ca="1" si="227"/>
        <v>0.5</v>
      </c>
      <c r="U650" s="17">
        <f t="shared" ca="1" si="228"/>
        <v>0</v>
      </c>
      <c r="V650" s="71">
        <f t="shared" ca="1" si="229"/>
        <v>3</v>
      </c>
      <c r="W650" s="17">
        <f t="shared" ca="1" si="230"/>
        <v>0</v>
      </c>
    </row>
    <row r="651" spans="1:23" x14ac:dyDescent="0.25">
      <c r="A651" s="4">
        <f t="shared" si="210"/>
        <v>32</v>
      </c>
      <c r="B651" t="str">
        <f ca="1">TEXT(DATE(YEAR(Invoer!$A$6),1,1)+INT((ROWS(B$2:B651)-1)/4),"jjjjmmdd")</f>
        <v>19400611</v>
      </c>
      <c r="C651" s="64" t="str">
        <f>IF(MOD(ROWS(C$2:C651)-1,4)=3,"24.00",INDEX(Data,3,2+MOD(ROWS(C$2:C651)-1,4)))</f>
        <v>12.00</v>
      </c>
      <c r="D651" s="18">
        <f t="shared" ca="1" si="211"/>
        <v>758.7</v>
      </c>
      <c r="E651" s="17">
        <f t="shared" ca="1" si="212"/>
        <v>0</v>
      </c>
      <c r="F651" s="18">
        <f t="shared" ca="1" si="213"/>
        <v>27.9</v>
      </c>
      <c r="G651" s="17">
        <f t="shared" ca="1" si="214"/>
        <v>0</v>
      </c>
      <c r="H651" s="18" t="str">
        <f t="shared" ca="1" si="215"/>
        <v>—</v>
      </c>
      <c r="I651" s="17">
        <f t="shared" ca="1" si="216"/>
        <v>7</v>
      </c>
      <c r="J651" s="18" t="str">
        <f t="shared" ca="1" si="217"/>
        <v>—</v>
      </c>
      <c r="K651" s="17">
        <f t="shared" ca="1" si="218"/>
        <v>7</v>
      </c>
      <c r="L651" s="10">
        <f t="shared" ca="1" si="219"/>
        <v>77</v>
      </c>
      <c r="M651" s="17">
        <f t="shared" ca="1" si="220"/>
        <v>0</v>
      </c>
      <c r="N651" s="18">
        <f t="shared" ca="1" si="221"/>
        <v>21.7</v>
      </c>
      <c r="O651" s="17">
        <f t="shared" ca="1" si="222"/>
        <v>0</v>
      </c>
      <c r="P651" s="18">
        <f t="shared" ca="1" si="223"/>
        <v>24.7</v>
      </c>
      <c r="Q651" s="17">
        <f t="shared" ca="1" si="224"/>
        <v>0</v>
      </c>
      <c r="R651" s="10">
        <f t="shared" ca="1" si="225"/>
        <v>45</v>
      </c>
      <c r="S651" s="17">
        <f t="shared" ca="1" si="226"/>
        <v>0</v>
      </c>
      <c r="T651" s="70">
        <f t="shared" ca="1" si="227"/>
        <v>0.6</v>
      </c>
      <c r="U651" s="17">
        <f t="shared" ca="1" si="228"/>
        <v>0</v>
      </c>
      <c r="V651" s="71">
        <f t="shared" ca="1" si="229"/>
        <v>3</v>
      </c>
      <c r="W651" s="17">
        <f t="shared" ca="1" si="230"/>
        <v>0</v>
      </c>
    </row>
    <row r="652" spans="1:23" x14ac:dyDescent="0.25">
      <c r="A652" s="4">
        <f t="shared" si="210"/>
        <v>32</v>
      </c>
      <c r="B652" t="str">
        <f ca="1">TEXT(DATE(YEAR(Invoer!$A$6),1,1)+INT((ROWS(B$2:B652)-1)/4),"jjjjmmdd")</f>
        <v>19400611</v>
      </c>
      <c r="C652" s="64" t="str">
        <f>IF(MOD(ROWS(C$2:C652)-1,4)=3,"24.00",INDEX(Data,3,2+MOD(ROWS(C$2:C652)-1,4)))</f>
        <v>17.00</v>
      </c>
      <c r="D652" s="18">
        <f t="shared" ca="1" si="211"/>
        <v>758.2</v>
      </c>
      <c r="E652" s="17">
        <f t="shared" ca="1" si="212"/>
        <v>0</v>
      </c>
      <c r="F652" s="18">
        <f t="shared" ca="1" si="213"/>
        <v>27.7</v>
      </c>
      <c r="G652" s="17">
        <f t="shared" ca="1" si="214"/>
        <v>0</v>
      </c>
      <c r="H652" s="18" t="str">
        <f t="shared" ca="1" si="215"/>
        <v>—</v>
      </c>
      <c r="I652" s="17">
        <f t="shared" ca="1" si="216"/>
        <v>7</v>
      </c>
      <c r="J652" s="18" t="str">
        <f t="shared" ca="1" si="217"/>
        <v>—</v>
      </c>
      <c r="K652" s="17">
        <f t="shared" ca="1" si="218"/>
        <v>7</v>
      </c>
      <c r="L652" s="10">
        <f t="shared" ca="1" si="219"/>
        <v>74</v>
      </c>
      <c r="M652" s="17">
        <f t="shared" ca="1" si="220"/>
        <v>0</v>
      </c>
      <c r="N652" s="18">
        <f t="shared" ca="1" si="221"/>
        <v>20.5</v>
      </c>
      <c r="O652" s="17">
        <f t="shared" ca="1" si="222"/>
        <v>0</v>
      </c>
      <c r="P652" s="18">
        <f t="shared" ca="1" si="223"/>
        <v>24</v>
      </c>
      <c r="Q652" s="17">
        <f t="shared" ca="1" si="224"/>
        <v>0</v>
      </c>
      <c r="R652" s="10">
        <f t="shared" ca="1" si="225"/>
        <v>45</v>
      </c>
      <c r="S652" s="17">
        <f t="shared" ca="1" si="226"/>
        <v>0</v>
      </c>
      <c r="T652" s="70">
        <f t="shared" ca="1" si="227"/>
        <v>0.6</v>
      </c>
      <c r="U652" s="17">
        <f t="shared" ca="1" si="228"/>
        <v>0</v>
      </c>
      <c r="V652" s="71">
        <f t="shared" ca="1" si="229"/>
        <v>3</v>
      </c>
      <c r="W652" s="17">
        <f t="shared" ca="1" si="230"/>
        <v>0</v>
      </c>
    </row>
    <row r="653" spans="1:23" x14ac:dyDescent="0.25">
      <c r="A653" s="4">
        <f t="shared" si="210"/>
        <v>32</v>
      </c>
      <c r="B653" t="str">
        <f ca="1">TEXT(DATE(YEAR(Invoer!$A$6),1,1)+INT((ROWS(B$2:B653)-1)/4),"jjjjmmdd")</f>
        <v>19400611</v>
      </c>
      <c r="C653" s="64" t="str">
        <f>IF(MOD(ROWS(C$2:C653)-1,4)=3,"24.00",INDEX(Data,3,2+MOD(ROWS(C$2:C653)-1,4)))</f>
        <v>24.00</v>
      </c>
      <c r="D653" s="18" t="str">
        <f t="shared" ca="1" si="211"/>
        <v>—</v>
      </c>
      <c r="E653" s="17">
        <f t="shared" ca="1" si="212"/>
        <v>7</v>
      </c>
      <c r="F653" s="18" t="str">
        <f t="shared" ca="1" si="213"/>
        <v>—</v>
      </c>
      <c r="G653" s="17">
        <f t="shared" ca="1" si="214"/>
        <v>7</v>
      </c>
      <c r="H653" s="18">
        <f t="shared" ca="1" si="215"/>
        <v>28.4</v>
      </c>
      <c r="I653" s="17">
        <f t="shared" ca="1" si="216"/>
        <v>0</v>
      </c>
      <c r="J653" s="18">
        <f t="shared" ca="1" si="217"/>
        <v>30.4</v>
      </c>
      <c r="K653" s="17">
        <f t="shared" ca="1" si="218"/>
        <v>0</v>
      </c>
      <c r="L653" s="10" t="str">
        <f t="shared" ca="1" si="219"/>
        <v>—</v>
      </c>
      <c r="M653" s="17">
        <f t="shared" ca="1" si="220"/>
        <v>7</v>
      </c>
      <c r="N653" s="18" t="str">
        <f t="shared" ca="1" si="221"/>
        <v>—</v>
      </c>
      <c r="O653" s="17">
        <f t="shared" ca="1" si="222"/>
        <v>7</v>
      </c>
      <c r="P653" s="18" t="str">
        <f t="shared" ca="1" si="223"/>
        <v>—</v>
      </c>
      <c r="Q653" s="17">
        <f t="shared" ca="1" si="224"/>
        <v>7</v>
      </c>
      <c r="R653" s="10" t="str">
        <f t="shared" ca="1" si="225"/>
        <v>—</v>
      </c>
      <c r="S653" s="17">
        <f t="shared" ca="1" si="226"/>
        <v>7</v>
      </c>
      <c r="T653" s="70" t="str">
        <f t="shared" ca="1" si="227"/>
        <v>—</v>
      </c>
      <c r="U653" s="17">
        <f t="shared" ca="1" si="228"/>
        <v>7</v>
      </c>
      <c r="V653" s="71" t="str">
        <f t="shared" ca="1" si="229"/>
        <v>—</v>
      </c>
      <c r="W653" s="17">
        <f t="shared" ca="1" si="230"/>
        <v>7</v>
      </c>
    </row>
    <row r="654" spans="1:23" x14ac:dyDescent="0.25">
      <c r="A654" s="4">
        <f t="shared" si="210"/>
        <v>32</v>
      </c>
      <c r="B654" t="str">
        <f ca="1">TEXT(DATE(YEAR(Invoer!$A$6),1,1)+INT((ROWS(B$2:B654)-1)/4),"jjjjmmdd")</f>
        <v>19400612</v>
      </c>
      <c r="C654" s="64" t="str">
        <f>IF(MOD(ROWS(C$2:C654)-1,4)=3,"24.00",INDEX(Data,3,2+MOD(ROWS(C$2:C654)-1,4)))</f>
        <v>07.00</v>
      </c>
      <c r="D654" s="18">
        <f t="shared" ca="1" si="211"/>
        <v>758.9</v>
      </c>
      <c r="E654" s="17">
        <f t="shared" ca="1" si="212"/>
        <v>0</v>
      </c>
      <c r="F654" s="18">
        <f t="shared" ca="1" si="213"/>
        <v>26.9</v>
      </c>
      <c r="G654" s="17">
        <f t="shared" ca="1" si="214"/>
        <v>0</v>
      </c>
      <c r="H654" s="18" t="str">
        <f t="shared" ca="1" si="215"/>
        <v>—</v>
      </c>
      <c r="I654" s="17">
        <f t="shared" ca="1" si="216"/>
        <v>7</v>
      </c>
      <c r="J654" s="18" t="str">
        <f t="shared" ca="1" si="217"/>
        <v>—</v>
      </c>
      <c r="K654" s="17">
        <f t="shared" ca="1" si="218"/>
        <v>7</v>
      </c>
      <c r="L654" s="10">
        <f t="shared" ca="1" si="219"/>
        <v>79</v>
      </c>
      <c r="M654" s="17">
        <f t="shared" ca="1" si="220"/>
        <v>0</v>
      </c>
      <c r="N654" s="18">
        <f t="shared" ca="1" si="221"/>
        <v>20.9</v>
      </c>
      <c r="O654" s="17">
        <f t="shared" ca="1" si="222"/>
        <v>0</v>
      </c>
      <c r="P654" s="18">
        <f t="shared" ca="1" si="223"/>
        <v>24</v>
      </c>
      <c r="Q654" s="17">
        <f t="shared" ca="1" si="224"/>
        <v>0</v>
      </c>
      <c r="R654" s="10">
        <f t="shared" ca="1" si="225"/>
        <v>65</v>
      </c>
      <c r="S654" s="17">
        <f t="shared" ca="1" si="226"/>
        <v>0</v>
      </c>
      <c r="T654" s="70">
        <f t="shared" ca="1" si="227"/>
        <v>0.3</v>
      </c>
      <c r="U654" s="17">
        <f t="shared" ca="1" si="228"/>
        <v>0</v>
      </c>
      <c r="V654" s="71">
        <f t="shared" ca="1" si="229"/>
        <v>6</v>
      </c>
      <c r="W654" s="17">
        <f t="shared" ca="1" si="230"/>
        <v>0</v>
      </c>
    </row>
    <row r="655" spans="1:23" x14ac:dyDescent="0.25">
      <c r="A655" s="4">
        <f t="shared" si="210"/>
        <v>32</v>
      </c>
      <c r="B655" t="str">
        <f ca="1">TEXT(DATE(YEAR(Invoer!$A$6),1,1)+INT((ROWS(B$2:B655)-1)/4),"jjjjmmdd")</f>
        <v>19400612</v>
      </c>
      <c r="C655" s="64" t="str">
        <f>IF(MOD(ROWS(C$2:C655)-1,4)=3,"24.00",INDEX(Data,3,2+MOD(ROWS(C$2:C655)-1,4)))</f>
        <v>12.00</v>
      </c>
      <c r="D655" s="18">
        <f t="shared" ca="1" si="211"/>
        <v>760.5</v>
      </c>
      <c r="E655" s="17">
        <f t="shared" ca="1" si="212"/>
        <v>0</v>
      </c>
      <c r="F655" s="18">
        <f t="shared" ca="1" si="213"/>
        <v>28.1</v>
      </c>
      <c r="G655" s="17">
        <f t="shared" ca="1" si="214"/>
        <v>0</v>
      </c>
      <c r="H655" s="18" t="str">
        <f t="shared" ca="1" si="215"/>
        <v>—</v>
      </c>
      <c r="I655" s="17">
        <f t="shared" ca="1" si="216"/>
        <v>7</v>
      </c>
      <c r="J655" s="18" t="str">
        <f t="shared" ca="1" si="217"/>
        <v>—</v>
      </c>
      <c r="K655" s="17">
        <f t="shared" ca="1" si="218"/>
        <v>7</v>
      </c>
      <c r="L655" s="10">
        <f t="shared" ca="1" si="219"/>
        <v>74</v>
      </c>
      <c r="M655" s="17">
        <f t="shared" ca="1" si="220"/>
        <v>0</v>
      </c>
      <c r="N655" s="18">
        <f t="shared" ca="1" si="221"/>
        <v>21.1</v>
      </c>
      <c r="O655" s="17">
        <f t="shared" ca="1" si="222"/>
        <v>0</v>
      </c>
      <c r="P655" s="18">
        <f t="shared" ca="1" si="223"/>
        <v>24.4</v>
      </c>
      <c r="Q655" s="17">
        <f t="shared" ca="1" si="224"/>
        <v>0</v>
      </c>
      <c r="R655" s="10">
        <f t="shared" ca="1" si="225"/>
        <v>45</v>
      </c>
      <c r="S655" s="17">
        <f t="shared" ca="1" si="226"/>
        <v>0</v>
      </c>
      <c r="T655" s="70">
        <f t="shared" ca="1" si="227"/>
        <v>0.4</v>
      </c>
      <c r="U655" s="17">
        <f t="shared" ca="1" si="228"/>
        <v>0</v>
      </c>
      <c r="V655" s="71">
        <f t="shared" ca="1" si="229"/>
        <v>8</v>
      </c>
      <c r="W655" s="17">
        <f t="shared" ca="1" si="230"/>
        <v>0</v>
      </c>
    </row>
    <row r="656" spans="1:23" x14ac:dyDescent="0.25">
      <c r="A656" s="4">
        <f t="shared" si="210"/>
        <v>32</v>
      </c>
      <c r="B656" t="str">
        <f ca="1">TEXT(DATE(YEAR(Invoer!$A$6),1,1)+INT((ROWS(B$2:B656)-1)/4),"jjjjmmdd")</f>
        <v>19400612</v>
      </c>
      <c r="C656" s="64" t="str">
        <f>IF(MOD(ROWS(C$2:C656)-1,4)=3,"24.00",INDEX(Data,3,2+MOD(ROWS(C$2:C656)-1,4)))</f>
        <v>17.00</v>
      </c>
      <c r="D656" s="18">
        <f t="shared" ca="1" si="211"/>
        <v>760</v>
      </c>
      <c r="E656" s="17">
        <f t="shared" ca="1" si="212"/>
        <v>0</v>
      </c>
      <c r="F656" s="18">
        <f t="shared" ca="1" si="213"/>
        <v>27.1</v>
      </c>
      <c r="G656" s="17">
        <f t="shared" ca="1" si="214"/>
        <v>0</v>
      </c>
      <c r="H656" s="18" t="str">
        <f t="shared" ca="1" si="215"/>
        <v>—</v>
      </c>
      <c r="I656" s="17">
        <f t="shared" ca="1" si="216"/>
        <v>7</v>
      </c>
      <c r="J656" s="18" t="str">
        <f t="shared" ca="1" si="217"/>
        <v>—</v>
      </c>
      <c r="K656" s="17">
        <f t="shared" ca="1" si="218"/>
        <v>7</v>
      </c>
      <c r="L656" s="10">
        <f t="shared" ca="1" si="219"/>
        <v>76</v>
      </c>
      <c r="M656" s="17">
        <f t="shared" ca="1" si="220"/>
        <v>0</v>
      </c>
      <c r="N656" s="18">
        <f t="shared" ca="1" si="221"/>
        <v>20.5</v>
      </c>
      <c r="O656" s="17">
        <f t="shared" ca="1" si="222"/>
        <v>0</v>
      </c>
      <c r="P656" s="18">
        <f t="shared" ca="1" si="223"/>
        <v>23.8</v>
      </c>
      <c r="Q656" s="17">
        <f t="shared" ca="1" si="224"/>
        <v>0</v>
      </c>
      <c r="R656" s="10">
        <f t="shared" ca="1" si="225"/>
        <v>45</v>
      </c>
      <c r="S656" s="17">
        <f t="shared" ca="1" si="226"/>
        <v>0</v>
      </c>
      <c r="T656" s="70">
        <f t="shared" ca="1" si="227"/>
        <v>0.4</v>
      </c>
      <c r="U656" s="17">
        <f t="shared" ca="1" si="228"/>
        <v>0</v>
      </c>
      <c r="V656" s="71">
        <f t="shared" ca="1" si="229"/>
        <v>7</v>
      </c>
      <c r="W656" s="17">
        <f t="shared" ca="1" si="230"/>
        <v>0</v>
      </c>
    </row>
    <row r="657" spans="1:23" x14ac:dyDescent="0.25">
      <c r="A657" s="4">
        <f t="shared" si="210"/>
        <v>32</v>
      </c>
      <c r="B657" t="str">
        <f ca="1">TEXT(DATE(YEAR(Invoer!$A$6),1,1)+INT((ROWS(B$2:B657)-1)/4),"jjjjmmdd")</f>
        <v>19400612</v>
      </c>
      <c r="C657" s="64" t="str">
        <f>IF(MOD(ROWS(C$2:C657)-1,4)=3,"24.00",INDEX(Data,3,2+MOD(ROWS(C$2:C657)-1,4)))</f>
        <v>24.00</v>
      </c>
      <c r="D657" s="18" t="str">
        <f t="shared" ca="1" si="211"/>
        <v>—</v>
      </c>
      <c r="E657" s="17">
        <f t="shared" ca="1" si="212"/>
        <v>7</v>
      </c>
      <c r="F657" s="18" t="str">
        <f t="shared" ca="1" si="213"/>
        <v>—</v>
      </c>
      <c r="G657" s="17">
        <f t="shared" ca="1" si="214"/>
        <v>7</v>
      </c>
      <c r="H657" s="18">
        <f t="shared" ca="1" si="215"/>
        <v>28.4</v>
      </c>
      <c r="I657" s="17">
        <f t="shared" ca="1" si="216"/>
        <v>0</v>
      </c>
      <c r="J657" s="18">
        <f t="shared" ca="1" si="217"/>
        <v>30.5</v>
      </c>
      <c r="K657" s="17">
        <f t="shared" ca="1" si="218"/>
        <v>0</v>
      </c>
      <c r="L657" s="10" t="str">
        <f t="shared" ca="1" si="219"/>
        <v>—</v>
      </c>
      <c r="M657" s="17">
        <f t="shared" ca="1" si="220"/>
        <v>7</v>
      </c>
      <c r="N657" s="18" t="str">
        <f t="shared" ca="1" si="221"/>
        <v>—</v>
      </c>
      <c r="O657" s="17">
        <f t="shared" ca="1" si="222"/>
        <v>7</v>
      </c>
      <c r="P657" s="18" t="str">
        <f t="shared" ca="1" si="223"/>
        <v>—</v>
      </c>
      <c r="Q657" s="17">
        <f t="shared" ca="1" si="224"/>
        <v>7</v>
      </c>
      <c r="R657" s="10" t="str">
        <f t="shared" ca="1" si="225"/>
        <v>—</v>
      </c>
      <c r="S657" s="17">
        <f t="shared" ca="1" si="226"/>
        <v>7</v>
      </c>
      <c r="T657" s="70" t="str">
        <f t="shared" ca="1" si="227"/>
        <v>—</v>
      </c>
      <c r="U657" s="17">
        <f t="shared" ca="1" si="228"/>
        <v>7</v>
      </c>
      <c r="V657" s="71" t="str">
        <f t="shared" ca="1" si="229"/>
        <v>—</v>
      </c>
      <c r="W657" s="17">
        <f t="shared" ca="1" si="230"/>
        <v>7</v>
      </c>
    </row>
    <row r="658" spans="1:23" x14ac:dyDescent="0.25">
      <c r="A658" s="4">
        <f t="shared" si="210"/>
        <v>32</v>
      </c>
      <c r="B658" t="str">
        <f ca="1">TEXT(DATE(YEAR(Invoer!$A$6),1,1)+INT((ROWS(B$2:B658)-1)/4),"jjjjmmdd")</f>
        <v>19400613</v>
      </c>
      <c r="C658" s="64" t="str">
        <f>IF(MOD(ROWS(C$2:C658)-1,4)=3,"24.00",INDEX(Data,3,2+MOD(ROWS(C$2:C658)-1,4)))</f>
        <v>07.00</v>
      </c>
      <c r="D658" s="18">
        <f t="shared" ca="1" si="211"/>
        <v>760.7</v>
      </c>
      <c r="E658" s="17">
        <f t="shared" ca="1" si="212"/>
        <v>0</v>
      </c>
      <c r="F658" s="18">
        <f t="shared" ca="1" si="213"/>
        <v>28.3</v>
      </c>
      <c r="G658" s="17">
        <f t="shared" ca="1" si="214"/>
        <v>0</v>
      </c>
      <c r="H658" s="18" t="str">
        <f t="shared" ca="1" si="215"/>
        <v>—</v>
      </c>
      <c r="I658" s="17">
        <f t="shared" ca="1" si="216"/>
        <v>7</v>
      </c>
      <c r="J658" s="18" t="str">
        <f t="shared" ca="1" si="217"/>
        <v>—</v>
      </c>
      <c r="K658" s="17">
        <f t="shared" ca="1" si="218"/>
        <v>7</v>
      </c>
      <c r="L658" s="10">
        <f t="shared" ca="1" si="219"/>
        <v>70</v>
      </c>
      <c r="M658" s="17">
        <f t="shared" ca="1" si="220"/>
        <v>0</v>
      </c>
      <c r="N658" s="18">
        <f t="shared" ca="1" si="221"/>
        <v>20.2</v>
      </c>
      <c r="O658" s="17">
        <f t="shared" ca="1" si="222"/>
        <v>0</v>
      </c>
      <c r="P658" s="18">
        <f t="shared" ca="1" si="223"/>
        <v>24</v>
      </c>
      <c r="Q658" s="17">
        <f t="shared" ca="1" si="224"/>
        <v>0</v>
      </c>
      <c r="R658" s="10">
        <f t="shared" ca="1" si="225"/>
        <v>90</v>
      </c>
      <c r="S658" s="17">
        <f t="shared" ca="1" si="226"/>
        <v>0</v>
      </c>
      <c r="T658" s="70">
        <f t="shared" ca="1" si="227"/>
        <v>0.3</v>
      </c>
      <c r="U658" s="17">
        <f t="shared" ca="1" si="228"/>
        <v>0</v>
      </c>
      <c r="V658" s="71">
        <f t="shared" ca="1" si="229"/>
        <v>6</v>
      </c>
      <c r="W658" s="17">
        <f t="shared" ca="1" si="230"/>
        <v>0</v>
      </c>
    </row>
    <row r="659" spans="1:23" x14ac:dyDescent="0.25">
      <c r="A659" s="4">
        <f t="shared" si="210"/>
        <v>32</v>
      </c>
      <c r="B659" t="str">
        <f ca="1">TEXT(DATE(YEAR(Invoer!$A$6),1,1)+INT((ROWS(B$2:B659)-1)/4),"jjjjmmdd")</f>
        <v>19400613</v>
      </c>
      <c r="C659" s="64" t="str">
        <f>IF(MOD(ROWS(C$2:C659)-1,4)=3,"24.00",INDEX(Data,3,2+MOD(ROWS(C$2:C659)-1,4)))</f>
        <v>12.00</v>
      </c>
      <c r="D659" s="18">
        <f t="shared" ca="1" si="211"/>
        <v>759.7</v>
      </c>
      <c r="E659" s="17">
        <f t="shared" ca="1" si="212"/>
        <v>0</v>
      </c>
      <c r="F659" s="18">
        <f t="shared" ca="1" si="213"/>
        <v>28.7</v>
      </c>
      <c r="G659" s="17">
        <f t="shared" ca="1" si="214"/>
        <v>0</v>
      </c>
      <c r="H659" s="18" t="str">
        <f t="shared" ca="1" si="215"/>
        <v>—</v>
      </c>
      <c r="I659" s="17">
        <f t="shared" ca="1" si="216"/>
        <v>7</v>
      </c>
      <c r="J659" s="18" t="str">
        <f t="shared" ca="1" si="217"/>
        <v>—</v>
      </c>
      <c r="K659" s="17">
        <f t="shared" ca="1" si="218"/>
        <v>7</v>
      </c>
      <c r="L659" s="10">
        <f t="shared" ca="1" si="219"/>
        <v>69</v>
      </c>
      <c r="M659" s="17">
        <f t="shared" ca="1" si="220"/>
        <v>0</v>
      </c>
      <c r="N659" s="18">
        <f t="shared" ca="1" si="221"/>
        <v>20.399999999999999</v>
      </c>
      <c r="O659" s="17">
        <f t="shared" ca="1" si="222"/>
        <v>0</v>
      </c>
      <c r="P659" s="18">
        <f t="shared" ca="1" si="223"/>
        <v>24.2</v>
      </c>
      <c r="Q659" s="17">
        <f t="shared" ca="1" si="224"/>
        <v>0</v>
      </c>
      <c r="R659" s="10">
        <f t="shared" ca="1" si="225"/>
        <v>90</v>
      </c>
      <c r="S659" s="17">
        <f t="shared" ca="1" si="226"/>
        <v>0</v>
      </c>
      <c r="T659" s="70">
        <f t="shared" ca="1" si="227"/>
        <v>0.4</v>
      </c>
      <c r="U659" s="17">
        <f t="shared" ca="1" si="228"/>
        <v>0</v>
      </c>
      <c r="V659" s="71">
        <f t="shared" ca="1" si="229"/>
        <v>7</v>
      </c>
      <c r="W659" s="17">
        <f t="shared" ca="1" si="230"/>
        <v>0</v>
      </c>
    </row>
    <row r="660" spans="1:23" x14ac:dyDescent="0.25">
      <c r="A660" s="4">
        <f t="shared" si="210"/>
        <v>32</v>
      </c>
      <c r="B660" t="str">
        <f ca="1">TEXT(DATE(YEAR(Invoer!$A$6),1,1)+INT((ROWS(B$2:B660)-1)/4),"jjjjmmdd")</f>
        <v>19400613</v>
      </c>
      <c r="C660" s="64" t="str">
        <f>IF(MOD(ROWS(C$2:C660)-1,4)=3,"24.00",INDEX(Data,3,2+MOD(ROWS(C$2:C660)-1,4)))</f>
        <v>17.00</v>
      </c>
      <c r="D660" s="18">
        <f t="shared" ca="1" si="211"/>
        <v>759.5</v>
      </c>
      <c r="E660" s="17">
        <f t="shared" ca="1" si="212"/>
        <v>0</v>
      </c>
      <c r="F660" s="18">
        <f t="shared" ca="1" si="213"/>
        <v>27.9</v>
      </c>
      <c r="G660" s="17">
        <f t="shared" ca="1" si="214"/>
        <v>0</v>
      </c>
      <c r="H660" s="18" t="str">
        <f t="shared" ca="1" si="215"/>
        <v>—</v>
      </c>
      <c r="I660" s="17">
        <f t="shared" ca="1" si="216"/>
        <v>7</v>
      </c>
      <c r="J660" s="18" t="str">
        <f t="shared" ca="1" si="217"/>
        <v>—</v>
      </c>
      <c r="K660" s="17">
        <f t="shared" ca="1" si="218"/>
        <v>7</v>
      </c>
      <c r="L660" s="10">
        <f t="shared" ca="1" si="219"/>
        <v>72</v>
      </c>
      <c r="M660" s="17">
        <f t="shared" ca="1" si="220"/>
        <v>0</v>
      </c>
      <c r="N660" s="18">
        <f t="shared" ca="1" si="221"/>
        <v>20.399999999999999</v>
      </c>
      <c r="O660" s="17">
        <f t="shared" ca="1" si="222"/>
        <v>0</v>
      </c>
      <c r="P660" s="18">
        <f t="shared" ca="1" si="223"/>
        <v>24</v>
      </c>
      <c r="Q660" s="17">
        <f t="shared" ca="1" si="224"/>
        <v>0</v>
      </c>
      <c r="R660" s="10">
        <f t="shared" ca="1" si="225"/>
        <v>65</v>
      </c>
      <c r="S660" s="17">
        <f t="shared" ca="1" si="226"/>
        <v>0</v>
      </c>
      <c r="T660" s="70">
        <f t="shared" ca="1" si="227"/>
        <v>0.3</v>
      </c>
      <c r="U660" s="17">
        <f t="shared" ca="1" si="228"/>
        <v>0</v>
      </c>
      <c r="V660" s="71">
        <f t="shared" ca="1" si="229"/>
        <v>6</v>
      </c>
      <c r="W660" s="17">
        <f t="shared" ca="1" si="230"/>
        <v>0</v>
      </c>
    </row>
    <row r="661" spans="1:23" x14ac:dyDescent="0.25">
      <c r="A661" s="4">
        <f t="shared" si="210"/>
        <v>32</v>
      </c>
      <c r="B661" t="str">
        <f ca="1">TEXT(DATE(YEAR(Invoer!$A$6),1,1)+INT((ROWS(B$2:B661)-1)/4),"jjjjmmdd")</f>
        <v>19400613</v>
      </c>
      <c r="C661" s="64" t="str">
        <f>IF(MOD(ROWS(C$2:C661)-1,4)=3,"24.00",INDEX(Data,3,2+MOD(ROWS(C$2:C661)-1,4)))</f>
        <v>24.00</v>
      </c>
      <c r="D661" s="18" t="str">
        <f t="shared" ca="1" si="211"/>
        <v>—</v>
      </c>
      <c r="E661" s="17">
        <f t="shared" ca="1" si="212"/>
        <v>7</v>
      </c>
      <c r="F661" s="18" t="str">
        <f t="shared" ca="1" si="213"/>
        <v>—</v>
      </c>
      <c r="G661" s="17">
        <f t="shared" ca="1" si="214"/>
        <v>7</v>
      </c>
      <c r="H661" s="18">
        <f t="shared" ca="1" si="215"/>
        <v>29.6</v>
      </c>
      <c r="I661" s="17">
        <f t="shared" ca="1" si="216"/>
        <v>0</v>
      </c>
      <c r="J661" s="18">
        <f t="shared" ca="1" si="217"/>
        <v>31</v>
      </c>
      <c r="K661" s="17">
        <f t="shared" ca="1" si="218"/>
        <v>0</v>
      </c>
      <c r="L661" s="10" t="str">
        <f t="shared" ca="1" si="219"/>
        <v>—</v>
      </c>
      <c r="M661" s="17">
        <f t="shared" ca="1" si="220"/>
        <v>7</v>
      </c>
      <c r="N661" s="18" t="str">
        <f t="shared" ca="1" si="221"/>
        <v>—</v>
      </c>
      <c r="O661" s="17">
        <f t="shared" ca="1" si="222"/>
        <v>7</v>
      </c>
      <c r="P661" s="18" t="str">
        <f t="shared" ca="1" si="223"/>
        <v>—</v>
      </c>
      <c r="Q661" s="17">
        <f t="shared" ca="1" si="224"/>
        <v>7</v>
      </c>
      <c r="R661" s="10" t="str">
        <f t="shared" ca="1" si="225"/>
        <v>—</v>
      </c>
      <c r="S661" s="17">
        <f t="shared" ca="1" si="226"/>
        <v>7</v>
      </c>
      <c r="T661" s="70" t="str">
        <f t="shared" ca="1" si="227"/>
        <v>—</v>
      </c>
      <c r="U661" s="17">
        <f t="shared" ca="1" si="228"/>
        <v>7</v>
      </c>
      <c r="V661" s="71" t="str">
        <f t="shared" ca="1" si="229"/>
        <v>—</v>
      </c>
      <c r="W661" s="17">
        <f t="shared" ca="1" si="230"/>
        <v>7</v>
      </c>
    </row>
    <row r="662" spans="1:23" x14ac:dyDescent="0.25">
      <c r="A662" s="4">
        <f t="shared" si="210"/>
        <v>32</v>
      </c>
      <c r="B662" t="str">
        <f ca="1">TEXT(DATE(YEAR(Invoer!$A$6),1,1)+INT((ROWS(B$2:B662)-1)/4),"jjjjmmdd")</f>
        <v>19400614</v>
      </c>
      <c r="C662" s="64" t="str">
        <f>IF(MOD(ROWS(C$2:C662)-1,4)=3,"24.00",INDEX(Data,3,2+MOD(ROWS(C$2:C662)-1,4)))</f>
        <v>07.00</v>
      </c>
      <c r="D662" s="18">
        <f t="shared" ca="1" si="211"/>
        <v>760.7</v>
      </c>
      <c r="E662" s="17">
        <f t="shared" ca="1" si="212"/>
        <v>0</v>
      </c>
      <c r="F662" s="18">
        <f t="shared" ca="1" si="213"/>
        <v>27.3</v>
      </c>
      <c r="G662" s="17">
        <f t="shared" ca="1" si="214"/>
        <v>0</v>
      </c>
      <c r="H662" s="18" t="str">
        <f t="shared" ca="1" si="215"/>
        <v>—</v>
      </c>
      <c r="I662" s="17">
        <f t="shared" ca="1" si="216"/>
        <v>7</v>
      </c>
      <c r="J662" s="18" t="str">
        <f t="shared" ca="1" si="217"/>
        <v>—</v>
      </c>
      <c r="K662" s="17">
        <f t="shared" ca="1" si="218"/>
        <v>7</v>
      </c>
      <c r="L662" s="10">
        <f t="shared" ca="1" si="219"/>
        <v>79</v>
      </c>
      <c r="M662" s="17">
        <f t="shared" ca="1" si="220"/>
        <v>0</v>
      </c>
      <c r="N662" s="18">
        <f t="shared" ca="1" si="221"/>
        <v>21.5</v>
      </c>
      <c r="O662" s="17">
        <f t="shared" ca="1" si="222"/>
        <v>0</v>
      </c>
      <c r="P662" s="18">
        <f t="shared" ca="1" si="223"/>
        <v>24.4</v>
      </c>
      <c r="Q662" s="17">
        <f t="shared" ca="1" si="224"/>
        <v>0</v>
      </c>
      <c r="R662" s="10">
        <f t="shared" ca="1" si="225"/>
        <v>90</v>
      </c>
      <c r="S662" s="17">
        <f t="shared" ca="1" si="226"/>
        <v>0</v>
      </c>
      <c r="T662" s="70">
        <f t="shared" ca="1" si="227"/>
        <v>0.3</v>
      </c>
      <c r="U662" s="17">
        <f t="shared" ca="1" si="228"/>
        <v>0</v>
      </c>
      <c r="V662" s="71">
        <f t="shared" ca="1" si="229"/>
        <v>5</v>
      </c>
      <c r="W662" s="17">
        <f t="shared" ca="1" si="230"/>
        <v>0</v>
      </c>
    </row>
    <row r="663" spans="1:23" x14ac:dyDescent="0.25">
      <c r="A663" s="4">
        <f t="shared" si="210"/>
        <v>32</v>
      </c>
      <c r="B663" t="str">
        <f ca="1">TEXT(DATE(YEAR(Invoer!$A$6),1,1)+INT((ROWS(B$2:B663)-1)/4),"jjjjmmdd")</f>
        <v>19400614</v>
      </c>
      <c r="C663" s="64" t="str">
        <f>IF(MOD(ROWS(C$2:C663)-1,4)=3,"24.00",INDEX(Data,3,2+MOD(ROWS(C$2:C663)-1,4)))</f>
        <v>12.00</v>
      </c>
      <c r="D663" s="18">
        <f t="shared" ca="1" si="211"/>
        <v>760.5</v>
      </c>
      <c r="E663" s="17">
        <f t="shared" ca="1" si="212"/>
        <v>0</v>
      </c>
      <c r="F663" s="18">
        <f t="shared" ca="1" si="213"/>
        <v>27.5</v>
      </c>
      <c r="G663" s="17">
        <f t="shared" ca="1" si="214"/>
        <v>0</v>
      </c>
      <c r="H663" s="18" t="str">
        <f t="shared" ca="1" si="215"/>
        <v>—</v>
      </c>
      <c r="I663" s="17">
        <f t="shared" ca="1" si="216"/>
        <v>7</v>
      </c>
      <c r="J663" s="18" t="str">
        <f t="shared" ca="1" si="217"/>
        <v>—</v>
      </c>
      <c r="K663" s="17">
        <f t="shared" ca="1" si="218"/>
        <v>7</v>
      </c>
      <c r="L663" s="10">
        <f t="shared" ca="1" si="219"/>
        <v>79</v>
      </c>
      <c r="M663" s="17">
        <f t="shared" ca="1" si="220"/>
        <v>0</v>
      </c>
      <c r="N663" s="18">
        <f t="shared" ca="1" si="221"/>
        <v>21.8</v>
      </c>
      <c r="O663" s="17">
        <f t="shared" ca="1" si="222"/>
        <v>0</v>
      </c>
      <c r="P663" s="18">
        <f t="shared" ca="1" si="223"/>
        <v>24.6</v>
      </c>
      <c r="Q663" s="17">
        <f t="shared" ca="1" si="224"/>
        <v>0</v>
      </c>
      <c r="R663" s="10">
        <f t="shared" ca="1" si="225"/>
        <v>90</v>
      </c>
      <c r="S663" s="17">
        <f t="shared" ca="1" si="226"/>
        <v>0</v>
      </c>
      <c r="T663" s="70">
        <f t="shared" ca="1" si="227"/>
        <v>0.4</v>
      </c>
      <c r="U663" s="17">
        <f t="shared" ca="1" si="228"/>
        <v>0</v>
      </c>
      <c r="V663" s="71">
        <f t="shared" ca="1" si="229"/>
        <v>7</v>
      </c>
      <c r="W663" s="17">
        <f t="shared" ca="1" si="230"/>
        <v>0</v>
      </c>
    </row>
    <row r="664" spans="1:23" x14ac:dyDescent="0.25">
      <c r="A664" s="4">
        <f t="shared" si="210"/>
        <v>32</v>
      </c>
      <c r="B664" t="str">
        <f ca="1">TEXT(DATE(YEAR(Invoer!$A$6),1,1)+INT((ROWS(B$2:B664)-1)/4),"jjjjmmdd")</f>
        <v>19400614</v>
      </c>
      <c r="C664" s="64" t="str">
        <f>IF(MOD(ROWS(C$2:C664)-1,4)=3,"24.00",INDEX(Data,3,2+MOD(ROWS(C$2:C664)-1,4)))</f>
        <v>17.00</v>
      </c>
      <c r="D664" s="18">
        <f t="shared" ca="1" si="211"/>
        <v>758.2</v>
      </c>
      <c r="E664" s="17">
        <f t="shared" ca="1" si="212"/>
        <v>0</v>
      </c>
      <c r="F664" s="18">
        <f t="shared" ca="1" si="213"/>
        <v>27.1</v>
      </c>
      <c r="G664" s="17">
        <f t="shared" ca="1" si="214"/>
        <v>0</v>
      </c>
      <c r="H664" s="18" t="str">
        <f t="shared" ca="1" si="215"/>
        <v>—</v>
      </c>
      <c r="I664" s="17">
        <f t="shared" ca="1" si="216"/>
        <v>7</v>
      </c>
      <c r="J664" s="18" t="str">
        <f t="shared" ca="1" si="217"/>
        <v>—</v>
      </c>
      <c r="K664" s="17">
        <f t="shared" ca="1" si="218"/>
        <v>7</v>
      </c>
      <c r="L664" s="10">
        <f t="shared" ca="1" si="219"/>
        <v>79</v>
      </c>
      <c r="M664" s="17">
        <f t="shared" ca="1" si="220"/>
        <v>0</v>
      </c>
      <c r="N664" s="18">
        <f t="shared" ca="1" si="221"/>
        <v>21.2</v>
      </c>
      <c r="O664" s="17">
        <f t="shared" ca="1" si="222"/>
        <v>0</v>
      </c>
      <c r="P664" s="18">
        <f t="shared" ca="1" si="223"/>
        <v>24.2</v>
      </c>
      <c r="Q664" s="17">
        <f t="shared" ca="1" si="224"/>
        <v>0</v>
      </c>
      <c r="R664" s="10">
        <f t="shared" ca="1" si="225"/>
        <v>65</v>
      </c>
      <c r="S664" s="17">
        <f t="shared" ca="1" si="226"/>
        <v>0</v>
      </c>
      <c r="T664" s="70">
        <f t="shared" ca="1" si="227"/>
        <v>0.3</v>
      </c>
      <c r="U664" s="17">
        <f t="shared" ca="1" si="228"/>
        <v>0</v>
      </c>
      <c r="V664" s="71">
        <f t="shared" ca="1" si="229"/>
        <v>6</v>
      </c>
      <c r="W664" s="17">
        <f t="shared" ca="1" si="230"/>
        <v>0</v>
      </c>
    </row>
    <row r="665" spans="1:23" x14ac:dyDescent="0.25">
      <c r="A665" s="4">
        <f t="shared" si="210"/>
        <v>32</v>
      </c>
      <c r="B665" t="str">
        <f ca="1">TEXT(DATE(YEAR(Invoer!$A$6),1,1)+INT((ROWS(B$2:B665)-1)/4),"jjjjmmdd")</f>
        <v>19400614</v>
      </c>
      <c r="C665" s="64" t="str">
        <f>IF(MOD(ROWS(C$2:C665)-1,4)=3,"24.00",INDEX(Data,3,2+MOD(ROWS(C$2:C665)-1,4)))</f>
        <v>24.00</v>
      </c>
      <c r="D665" s="18" t="str">
        <f t="shared" ca="1" si="211"/>
        <v>—</v>
      </c>
      <c r="E665" s="17">
        <f t="shared" ca="1" si="212"/>
        <v>7</v>
      </c>
      <c r="F665" s="18" t="str">
        <f t="shared" ca="1" si="213"/>
        <v>—</v>
      </c>
      <c r="G665" s="17">
        <f t="shared" ca="1" si="214"/>
        <v>7</v>
      </c>
      <c r="H665" s="18">
        <f t="shared" ca="1" si="215"/>
        <v>28.3</v>
      </c>
      <c r="I665" s="17">
        <f t="shared" ca="1" si="216"/>
        <v>0</v>
      </c>
      <c r="J665" s="18">
        <f t="shared" ca="1" si="217"/>
        <v>29.6</v>
      </c>
      <c r="K665" s="17">
        <f t="shared" ca="1" si="218"/>
        <v>0</v>
      </c>
      <c r="L665" s="10" t="str">
        <f t="shared" ca="1" si="219"/>
        <v>—</v>
      </c>
      <c r="M665" s="17">
        <f t="shared" ca="1" si="220"/>
        <v>7</v>
      </c>
      <c r="N665" s="18" t="str">
        <f t="shared" ca="1" si="221"/>
        <v>—</v>
      </c>
      <c r="O665" s="17">
        <f t="shared" ca="1" si="222"/>
        <v>7</v>
      </c>
      <c r="P665" s="18" t="str">
        <f t="shared" ca="1" si="223"/>
        <v>—</v>
      </c>
      <c r="Q665" s="17">
        <f t="shared" ca="1" si="224"/>
        <v>7</v>
      </c>
      <c r="R665" s="10" t="str">
        <f t="shared" ca="1" si="225"/>
        <v>—</v>
      </c>
      <c r="S665" s="17">
        <f t="shared" ca="1" si="226"/>
        <v>7</v>
      </c>
      <c r="T665" s="70" t="str">
        <f t="shared" ca="1" si="227"/>
        <v>—</v>
      </c>
      <c r="U665" s="17">
        <f t="shared" ca="1" si="228"/>
        <v>7</v>
      </c>
      <c r="V665" s="71" t="str">
        <f t="shared" ca="1" si="229"/>
        <v>—</v>
      </c>
      <c r="W665" s="17">
        <f t="shared" ca="1" si="230"/>
        <v>7</v>
      </c>
    </row>
    <row r="666" spans="1:23" x14ac:dyDescent="0.25">
      <c r="A666" s="4">
        <f t="shared" si="210"/>
        <v>32</v>
      </c>
      <c r="B666" t="str">
        <f ca="1">TEXT(DATE(YEAR(Invoer!$A$6),1,1)+INT((ROWS(B$2:B666)-1)/4),"jjjjmmdd")</f>
        <v>19400615</v>
      </c>
      <c r="C666" s="64" t="str">
        <f>IF(MOD(ROWS(C$2:C666)-1,4)=3,"24.00",INDEX(Data,3,2+MOD(ROWS(C$2:C666)-1,4)))</f>
        <v>07.00</v>
      </c>
      <c r="D666" s="18">
        <f t="shared" ca="1" si="211"/>
        <v>759.7</v>
      </c>
      <c r="E666" s="17">
        <f t="shared" ca="1" si="212"/>
        <v>0</v>
      </c>
      <c r="F666" s="18">
        <f t="shared" ca="1" si="213"/>
        <v>26.1</v>
      </c>
      <c r="G666" s="17">
        <f t="shared" ca="1" si="214"/>
        <v>0</v>
      </c>
      <c r="H666" s="18" t="str">
        <f t="shared" ca="1" si="215"/>
        <v>—</v>
      </c>
      <c r="I666" s="17">
        <f t="shared" ca="1" si="216"/>
        <v>7</v>
      </c>
      <c r="J666" s="18" t="str">
        <f t="shared" ca="1" si="217"/>
        <v>—</v>
      </c>
      <c r="K666" s="17">
        <f t="shared" ca="1" si="218"/>
        <v>7</v>
      </c>
      <c r="L666" s="10">
        <f t="shared" ca="1" si="219"/>
        <v>80</v>
      </c>
      <c r="M666" s="17">
        <f t="shared" ca="1" si="220"/>
        <v>0</v>
      </c>
      <c r="N666" s="18">
        <f t="shared" ca="1" si="221"/>
        <v>20.2</v>
      </c>
      <c r="O666" s="17">
        <f t="shared" ca="1" si="222"/>
        <v>0</v>
      </c>
      <c r="P666" s="18">
        <f t="shared" ca="1" si="223"/>
        <v>23.4</v>
      </c>
      <c r="Q666" s="17">
        <f t="shared" ca="1" si="224"/>
        <v>0</v>
      </c>
      <c r="R666" s="10">
        <f t="shared" ca="1" si="225"/>
        <v>90</v>
      </c>
      <c r="S666" s="17">
        <f t="shared" ca="1" si="226"/>
        <v>0</v>
      </c>
      <c r="T666" s="70">
        <f t="shared" ca="1" si="227"/>
        <v>0.3</v>
      </c>
      <c r="U666" s="17">
        <f t="shared" ca="1" si="228"/>
        <v>0</v>
      </c>
      <c r="V666" s="71">
        <f t="shared" ca="1" si="229"/>
        <v>6</v>
      </c>
      <c r="W666" s="17">
        <f t="shared" ca="1" si="230"/>
        <v>0</v>
      </c>
    </row>
    <row r="667" spans="1:23" x14ac:dyDescent="0.25">
      <c r="A667" s="4">
        <f t="shared" si="210"/>
        <v>32</v>
      </c>
      <c r="B667" t="str">
        <f ca="1">TEXT(DATE(YEAR(Invoer!$A$6),1,1)+INT((ROWS(B$2:B667)-1)/4),"jjjjmmdd")</f>
        <v>19400615</v>
      </c>
      <c r="C667" s="64" t="str">
        <f>IF(MOD(ROWS(C$2:C667)-1,4)=3,"24.00",INDEX(Data,3,2+MOD(ROWS(C$2:C667)-1,4)))</f>
        <v>12.00</v>
      </c>
      <c r="D667" s="18">
        <f t="shared" ca="1" si="211"/>
        <v>760.5</v>
      </c>
      <c r="E667" s="17">
        <f t="shared" ca="1" si="212"/>
        <v>0</v>
      </c>
      <c r="F667" s="18">
        <f t="shared" ca="1" si="213"/>
        <v>27.6</v>
      </c>
      <c r="G667" s="17">
        <f t="shared" ca="1" si="214"/>
        <v>0</v>
      </c>
      <c r="H667" s="18" t="str">
        <f t="shared" ca="1" si="215"/>
        <v>—</v>
      </c>
      <c r="I667" s="17">
        <f t="shared" ca="1" si="216"/>
        <v>7</v>
      </c>
      <c r="J667" s="18" t="str">
        <f t="shared" ca="1" si="217"/>
        <v>—</v>
      </c>
      <c r="K667" s="17">
        <f t="shared" ca="1" si="218"/>
        <v>7</v>
      </c>
      <c r="L667" s="10">
        <f t="shared" ca="1" si="219"/>
        <v>72</v>
      </c>
      <c r="M667" s="17">
        <f t="shared" ca="1" si="220"/>
        <v>0</v>
      </c>
      <c r="N667" s="18">
        <f t="shared" ca="1" si="221"/>
        <v>19.8</v>
      </c>
      <c r="O667" s="17">
        <f t="shared" ca="1" si="222"/>
        <v>0</v>
      </c>
      <c r="P667" s="18">
        <f t="shared" ca="1" si="223"/>
        <v>23.6</v>
      </c>
      <c r="Q667" s="17">
        <f t="shared" ca="1" si="224"/>
        <v>0</v>
      </c>
      <c r="R667" s="10">
        <f t="shared" ca="1" si="225"/>
        <v>65</v>
      </c>
      <c r="S667" s="17">
        <f t="shared" ca="1" si="226"/>
        <v>0</v>
      </c>
      <c r="T667" s="70">
        <f t="shared" ca="1" si="227"/>
        <v>0.4</v>
      </c>
      <c r="U667" s="17">
        <f t="shared" ca="1" si="228"/>
        <v>0</v>
      </c>
      <c r="V667" s="71">
        <f t="shared" ca="1" si="229"/>
        <v>6</v>
      </c>
      <c r="W667" s="17">
        <f t="shared" ca="1" si="230"/>
        <v>0</v>
      </c>
    </row>
    <row r="668" spans="1:23" x14ac:dyDescent="0.25">
      <c r="A668" s="4">
        <f t="shared" si="210"/>
        <v>32</v>
      </c>
      <c r="B668" t="str">
        <f ca="1">TEXT(DATE(YEAR(Invoer!$A$6),1,1)+INT((ROWS(B$2:B668)-1)/4),"jjjjmmdd")</f>
        <v>19400615</v>
      </c>
      <c r="C668" s="64" t="str">
        <f>IF(MOD(ROWS(C$2:C668)-1,4)=3,"24.00",INDEX(Data,3,2+MOD(ROWS(C$2:C668)-1,4)))</f>
        <v>17.00</v>
      </c>
      <c r="D668" s="18">
        <f t="shared" ca="1" si="211"/>
        <v>758.2</v>
      </c>
      <c r="E668" s="17">
        <f t="shared" ca="1" si="212"/>
        <v>0</v>
      </c>
      <c r="F668" s="18">
        <f t="shared" ca="1" si="213"/>
        <v>26.9</v>
      </c>
      <c r="G668" s="17">
        <f t="shared" ca="1" si="214"/>
        <v>0</v>
      </c>
      <c r="H668" s="18" t="str">
        <f t="shared" ca="1" si="215"/>
        <v>—</v>
      </c>
      <c r="I668" s="17">
        <f t="shared" ca="1" si="216"/>
        <v>7</v>
      </c>
      <c r="J668" s="18" t="str">
        <f t="shared" ca="1" si="217"/>
        <v>—</v>
      </c>
      <c r="K668" s="17">
        <f t="shared" ca="1" si="218"/>
        <v>7</v>
      </c>
      <c r="L668" s="10">
        <f t="shared" ca="1" si="219"/>
        <v>73</v>
      </c>
      <c r="M668" s="17">
        <f t="shared" ca="1" si="220"/>
        <v>0</v>
      </c>
      <c r="N668" s="18">
        <f t="shared" ca="1" si="221"/>
        <v>19.5</v>
      </c>
      <c r="O668" s="17">
        <f t="shared" ca="1" si="222"/>
        <v>0</v>
      </c>
      <c r="P668" s="18">
        <f t="shared" ca="1" si="223"/>
        <v>23.2</v>
      </c>
      <c r="Q668" s="17">
        <f t="shared" ca="1" si="224"/>
        <v>0</v>
      </c>
      <c r="R668" s="10">
        <f t="shared" ca="1" si="225"/>
        <v>65</v>
      </c>
      <c r="S668" s="17">
        <f t="shared" ca="1" si="226"/>
        <v>0</v>
      </c>
      <c r="T668" s="70">
        <f t="shared" ca="1" si="227"/>
        <v>0.3</v>
      </c>
      <c r="U668" s="17">
        <f t="shared" ca="1" si="228"/>
        <v>0</v>
      </c>
      <c r="V668" s="71">
        <f t="shared" ca="1" si="229"/>
        <v>5</v>
      </c>
      <c r="W668" s="17">
        <f t="shared" ca="1" si="230"/>
        <v>0</v>
      </c>
    </row>
    <row r="669" spans="1:23" x14ac:dyDescent="0.25">
      <c r="A669" s="4">
        <f t="shared" si="210"/>
        <v>32</v>
      </c>
      <c r="B669" t="str">
        <f ca="1">TEXT(DATE(YEAR(Invoer!$A$6),1,1)+INT((ROWS(B$2:B669)-1)/4),"jjjjmmdd")</f>
        <v>19400615</v>
      </c>
      <c r="C669" s="64" t="str">
        <f>IF(MOD(ROWS(C$2:C669)-1,4)=3,"24.00",INDEX(Data,3,2+MOD(ROWS(C$2:C669)-1,4)))</f>
        <v>24.00</v>
      </c>
      <c r="D669" s="18" t="str">
        <f t="shared" ca="1" si="211"/>
        <v>—</v>
      </c>
      <c r="E669" s="17">
        <f t="shared" ca="1" si="212"/>
        <v>7</v>
      </c>
      <c r="F669" s="18" t="str">
        <f t="shared" ca="1" si="213"/>
        <v>—</v>
      </c>
      <c r="G669" s="17">
        <f t="shared" ca="1" si="214"/>
        <v>7</v>
      </c>
      <c r="H669" s="18">
        <f t="shared" ca="1" si="215"/>
        <v>27.5</v>
      </c>
      <c r="I669" s="17">
        <f t="shared" ca="1" si="216"/>
        <v>0</v>
      </c>
      <c r="J669" s="18">
        <f t="shared" ca="1" si="217"/>
        <v>29</v>
      </c>
      <c r="K669" s="17">
        <f t="shared" ca="1" si="218"/>
        <v>0</v>
      </c>
      <c r="L669" s="10" t="str">
        <f t="shared" ca="1" si="219"/>
        <v>—</v>
      </c>
      <c r="M669" s="17">
        <f t="shared" ca="1" si="220"/>
        <v>7</v>
      </c>
      <c r="N669" s="18" t="str">
        <f t="shared" ca="1" si="221"/>
        <v>—</v>
      </c>
      <c r="O669" s="17">
        <f t="shared" ca="1" si="222"/>
        <v>7</v>
      </c>
      <c r="P669" s="18" t="str">
        <f t="shared" ca="1" si="223"/>
        <v>—</v>
      </c>
      <c r="Q669" s="17">
        <f t="shared" ca="1" si="224"/>
        <v>7</v>
      </c>
      <c r="R669" s="10" t="str">
        <f t="shared" ca="1" si="225"/>
        <v>—</v>
      </c>
      <c r="S669" s="17">
        <f t="shared" ca="1" si="226"/>
        <v>7</v>
      </c>
      <c r="T669" s="70" t="str">
        <f t="shared" ca="1" si="227"/>
        <v>—</v>
      </c>
      <c r="U669" s="17">
        <f t="shared" ca="1" si="228"/>
        <v>7</v>
      </c>
      <c r="V669" s="71" t="str">
        <f t="shared" ca="1" si="229"/>
        <v>—</v>
      </c>
      <c r="W669" s="17">
        <f t="shared" ca="1" si="230"/>
        <v>7</v>
      </c>
    </row>
    <row r="670" spans="1:23" x14ac:dyDescent="0.25">
      <c r="A670" s="4">
        <f t="shared" si="210"/>
        <v>32</v>
      </c>
      <c r="B670" t="str">
        <f ca="1">TEXT(DATE(YEAR(Invoer!$A$6),1,1)+INT((ROWS(B$2:B670)-1)/4),"jjjjmmdd")</f>
        <v>19400616</v>
      </c>
      <c r="C670" s="64" t="str">
        <f>IF(MOD(ROWS(C$2:C670)-1,4)=3,"24.00",INDEX(Data,3,2+MOD(ROWS(C$2:C670)-1,4)))</f>
        <v>07.00</v>
      </c>
      <c r="D670" s="18">
        <f t="shared" ca="1" si="211"/>
        <v>759.2</v>
      </c>
      <c r="E670" s="17">
        <f t="shared" ca="1" si="212"/>
        <v>0</v>
      </c>
      <c r="F670" s="18">
        <f t="shared" ca="1" si="213"/>
        <v>27.1</v>
      </c>
      <c r="G670" s="17">
        <f t="shared" ca="1" si="214"/>
        <v>0</v>
      </c>
      <c r="H670" s="18" t="str">
        <f t="shared" ca="1" si="215"/>
        <v>—</v>
      </c>
      <c r="I670" s="17">
        <f t="shared" ca="1" si="216"/>
        <v>7</v>
      </c>
      <c r="J670" s="18" t="str">
        <f t="shared" ca="1" si="217"/>
        <v>—</v>
      </c>
      <c r="K670" s="17">
        <f t="shared" ca="1" si="218"/>
        <v>7</v>
      </c>
      <c r="L670" s="10">
        <f t="shared" ca="1" si="219"/>
        <v>73</v>
      </c>
      <c r="M670" s="17">
        <f t="shared" ca="1" si="220"/>
        <v>0</v>
      </c>
      <c r="N670" s="18">
        <f t="shared" ca="1" si="221"/>
        <v>19.600000000000001</v>
      </c>
      <c r="O670" s="17">
        <f t="shared" ca="1" si="222"/>
        <v>0</v>
      </c>
      <c r="P670" s="18">
        <f t="shared" ca="1" si="223"/>
        <v>23.2</v>
      </c>
      <c r="Q670" s="17">
        <f t="shared" ca="1" si="224"/>
        <v>0</v>
      </c>
      <c r="R670" s="10">
        <f t="shared" ca="1" si="225"/>
        <v>90</v>
      </c>
      <c r="S670" s="17">
        <f t="shared" ca="1" si="226"/>
        <v>0</v>
      </c>
      <c r="T670" s="70">
        <f t="shared" ca="1" si="227"/>
        <v>0.3</v>
      </c>
      <c r="U670" s="17">
        <f t="shared" ca="1" si="228"/>
        <v>0</v>
      </c>
      <c r="V670" s="71">
        <f t="shared" ca="1" si="229"/>
        <v>5</v>
      </c>
      <c r="W670" s="17">
        <f t="shared" ca="1" si="230"/>
        <v>0</v>
      </c>
    </row>
    <row r="671" spans="1:23" x14ac:dyDescent="0.25">
      <c r="A671" s="4">
        <f t="shared" si="210"/>
        <v>32</v>
      </c>
      <c r="B671" t="str">
        <f ca="1">TEXT(DATE(YEAR(Invoer!$A$6),1,1)+INT((ROWS(B$2:B671)-1)/4),"jjjjmmdd")</f>
        <v>19400616</v>
      </c>
      <c r="C671" s="64" t="str">
        <f>IF(MOD(ROWS(C$2:C671)-1,4)=3,"24.00",INDEX(Data,3,2+MOD(ROWS(C$2:C671)-1,4)))</f>
        <v>12.00</v>
      </c>
      <c r="D671" s="18">
        <f t="shared" ca="1" si="211"/>
        <v>759.7</v>
      </c>
      <c r="E671" s="17">
        <f t="shared" ca="1" si="212"/>
        <v>0</v>
      </c>
      <c r="F671" s="18">
        <f t="shared" ca="1" si="213"/>
        <v>27.3</v>
      </c>
      <c r="G671" s="17">
        <f t="shared" ca="1" si="214"/>
        <v>0</v>
      </c>
      <c r="H671" s="18" t="str">
        <f t="shared" ca="1" si="215"/>
        <v>—</v>
      </c>
      <c r="I671" s="17">
        <f t="shared" ca="1" si="216"/>
        <v>7</v>
      </c>
      <c r="J671" s="18" t="str">
        <f t="shared" ca="1" si="217"/>
        <v>—</v>
      </c>
      <c r="K671" s="17">
        <f t="shared" ca="1" si="218"/>
        <v>7</v>
      </c>
      <c r="L671" s="10">
        <f t="shared" ca="1" si="219"/>
        <v>72</v>
      </c>
      <c r="M671" s="17">
        <f t="shared" ca="1" si="220"/>
        <v>0</v>
      </c>
      <c r="N671" s="18">
        <f t="shared" ca="1" si="221"/>
        <v>19.600000000000001</v>
      </c>
      <c r="O671" s="17">
        <f t="shared" ca="1" si="222"/>
        <v>0</v>
      </c>
      <c r="P671" s="18">
        <f t="shared" ca="1" si="223"/>
        <v>23.4</v>
      </c>
      <c r="Q671" s="17">
        <f t="shared" ca="1" si="224"/>
        <v>0</v>
      </c>
      <c r="R671" s="10">
        <f t="shared" ca="1" si="225"/>
        <v>90</v>
      </c>
      <c r="S671" s="17">
        <f t="shared" ca="1" si="226"/>
        <v>0</v>
      </c>
      <c r="T671" s="70">
        <f t="shared" ca="1" si="227"/>
        <v>0.2</v>
      </c>
      <c r="U671" s="17">
        <f t="shared" ca="1" si="228"/>
        <v>0</v>
      </c>
      <c r="V671" s="71">
        <f t="shared" ca="1" si="229"/>
        <v>6</v>
      </c>
      <c r="W671" s="17">
        <f t="shared" ca="1" si="230"/>
        <v>0</v>
      </c>
    </row>
    <row r="672" spans="1:23" x14ac:dyDescent="0.25">
      <c r="A672" s="4">
        <f t="shared" si="210"/>
        <v>32</v>
      </c>
      <c r="B672" t="str">
        <f ca="1">TEXT(DATE(YEAR(Invoer!$A$6),1,1)+INT((ROWS(B$2:B672)-1)/4),"jjjjmmdd")</f>
        <v>19400616</v>
      </c>
      <c r="C672" s="64" t="str">
        <f>IF(MOD(ROWS(C$2:C672)-1,4)=3,"24.00",INDEX(Data,3,2+MOD(ROWS(C$2:C672)-1,4)))</f>
        <v>17.00</v>
      </c>
      <c r="D672" s="18">
        <f t="shared" ca="1" si="211"/>
        <v>758.9</v>
      </c>
      <c r="E672" s="17">
        <f t="shared" ca="1" si="212"/>
        <v>0</v>
      </c>
      <c r="F672" s="18">
        <f t="shared" ca="1" si="213"/>
        <v>26.9</v>
      </c>
      <c r="G672" s="17">
        <f t="shared" ca="1" si="214"/>
        <v>0</v>
      </c>
      <c r="H672" s="18" t="str">
        <f t="shared" ca="1" si="215"/>
        <v>—</v>
      </c>
      <c r="I672" s="17">
        <f t="shared" ca="1" si="216"/>
        <v>7</v>
      </c>
      <c r="J672" s="18" t="str">
        <f t="shared" ca="1" si="217"/>
        <v>—</v>
      </c>
      <c r="K672" s="17">
        <f t="shared" ca="1" si="218"/>
        <v>7</v>
      </c>
      <c r="L672" s="10">
        <f t="shared" ca="1" si="219"/>
        <v>72</v>
      </c>
      <c r="M672" s="17">
        <f t="shared" ca="1" si="220"/>
        <v>0</v>
      </c>
      <c r="N672" s="18">
        <f t="shared" ca="1" si="221"/>
        <v>19.100000000000001</v>
      </c>
      <c r="O672" s="17">
        <f t="shared" ca="1" si="222"/>
        <v>0</v>
      </c>
      <c r="P672" s="18">
        <f t="shared" ca="1" si="223"/>
        <v>23</v>
      </c>
      <c r="Q672" s="17">
        <f t="shared" ca="1" si="224"/>
        <v>0</v>
      </c>
      <c r="R672" s="10">
        <f t="shared" ca="1" si="225"/>
        <v>65</v>
      </c>
      <c r="S672" s="17">
        <f t="shared" ca="1" si="226"/>
        <v>0</v>
      </c>
      <c r="T672" s="70">
        <f t="shared" ca="1" si="227"/>
        <v>0.3</v>
      </c>
      <c r="U672" s="17">
        <f t="shared" ca="1" si="228"/>
        <v>0</v>
      </c>
      <c r="V672" s="71">
        <f t="shared" ca="1" si="229"/>
        <v>6</v>
      </c>
      <c r="W672" s="17">
        <f t="shared" ca="1" si="230"/>
        <v>0</v>
      </c>
    </row>
    <row r="673" spans="1:23" x14ac:dyDescent="0.25">
      <c r="A673" s="4">
        <f t="shared" si="210"/>
        <v>32</v>
      </c>
      <c r="B673" t="str">
        <f ca="1">TEXT(DATE(YEAR(Invoer!$A$6),1,1)+INT((ROWS(B$2:B673)-1)/4),"jjjjmmdd")</f>
        <v>19400616</v>
      </c>
      <c r="C673" s="64" t="str">
        <f>IF(MOD(ROWS(C$2:C673)-1,4)=3,"24.00",INDEX(Data,3,2+MOD(ROWS(C$2:C673)-1,4)))</f>
        <v>24.00</v>
      </c>
      <c r="D673" s="18" t="str">
        <f t="shared" ca="1" si="211"/>
        <v>—</v>
      </c>
      <c r="E673" s="17">
        <f t="shared" ca="1" si="212"/>
        <v>7</v>
      </c>
      <c r="F673" s="18" t="str">
        <f t="shared" ca="1" si="213"/>
        <v>—</v>
      </c>
      <c r="G673" s="17">
        <f t="shared" ca="1" si="214"/>
        <v>7</v>
      </c>
      <c r="H673" s="18">
        <f t="shared" ca="1" si="215"/>
        <v>28</v>
      </c>
      <c r="I673" s="17">
        <f t="shared" ca="1" si="216"/>
        <v>0</v>
      </c>
      <c r="J673" s="18">
        <f t="shared" ca="1" si="217"/>
        <v>29.5</v>
      </c>
      <c r="K673" s="17">
        <f t="shared" ca="1" si="218"/>
        <v>0</v>
      </c>
      <c r="L673" s="10" t="str">
        <f t="shared" ca="1" si="219"/>
        <v>—</v>
      </c>
      <c r="M673" s="17">
        <f t="shared" ca="1" si="220"/>
        <v>7</v>
      </c>
      <c r="N673" s="18" t="str">
        <f t="shared" ca="1" si="221"/>
        <v>—</v>
      </c>
      <c r="O673" s="17">
        <f t="shared" ca="1" si="222"/>
        <v>7</v>
      </c>
      <c r="P673" s="18" t="str">
        <f t="shared" ca="1" si="223"/>
        <v>—</v>
      </c>
      <c r="Q673" s="17">
        <f t="shared" ca="1" si="224"/>
        <v>7</v>
      </c>
      <c r="R673" s="10" t="str">
        <f t="shared" ca="1" si="225"/>
        <v>—</v>
      </c>
      <c r="S673" s="17">
        <f t="shared" ca="1" si="226"/>
        <v>7</v>
      </c>
      <c r="T673" s="70" t="str">
        <f t="shared" ca="1" si="227"/>
        <v>—</v>
      </c>
      <c r="U673" s="17">
        <f t="shared" ca="1" si="228"/>
        <v>7</v>
      </c>
      <c r="V673" s="71" t="str">
        <f t="shared" ca="1" si="229"/>
        <v>—</v>
      </c>
      <c r="W673" s="17">
        <f t="shared" ca="1" si="230"/>
        <v>7</v>
      </c>
    </row>
    <row r="674" spans="1:23" x14ac:dyDescent="0.25">
      <c r="A674" s="4">
        <f t="shared" si="210"/>
        <v>32</v>
      </c>
      <c r="B674" t="str">
        <f ca="1">TEXT(DATE(YEAR(Invoer!$A$6),1,1)+INT((ROWS(B$2:B674)-1)/4),"jjjjmmdd")</f>
        <v>19400617</v>
      </c>
      <c r="C674" s="64" t="str">
        <f>IF(MOD(ROWS(C$2:C674)-1,4)=3,"24.00",INDEX(Data,3,2+MOD(ROWS(C$2:C674)-1,4)))</f>
        <v>07.00</v>
      </c>
      <c r="D674" s="18">
        <f t="shared" ca="1" si="211"/>
        <v>759.5</v>
      </c>
      <c r="E674" s="17">
        <f t="shared" ca="1" si="212"/>
        <v>0</v>
      </c>
      <c r="F674" s="18">
        <f t="shared" ca="1" si="213"/>
        <v>26.9</v>
      </c>
      <c r="G674" s="17">
        <f t="shared" ca="1" si="214"/>
        <v>0</v>
      </c>
      <c r="H674" s="18" t="str">
        <f t="shared" ca="1" si="215"/>
        <v>—</v>
      </c>
      <c r="I674" s="17">
        <f t="shared" ca="1" si="216"/>
        <v>7</v>
      </c>
      <c r="J674" s="18" t="str">
        <f t="shared" ca="1" si="217"/>
        <v>—</v>
      </c>
      <c r="K674" s="17">
        <f t="shared" ca="1" si="218"/>
        <v>7</v>
      </c>
      <c r="L674" s="10">
        <f t="shared" ca="1" si="219"/>
        <v>73</v>
      </c>
      <c r="M674" s="17">
        <f t="shared" ca="1" si="220"/>
        <v>0</v>
      </c>
      <c r="N674" s="18">
        <f t="shared" ca="1" si="221"/>
        <v>19.5</v>
      </c>
      <c r="O674" s="17">
        <f t="shared" ca="1" si="222"/>
        <v>0</v>
      </c>
      <c r="P674" s="18">
        <f t="shared" ca="1" si="223"/>
        <v>23.2</v>
      </c>
      <c r="Q674" s="17">
        <f t="shared" ca="1" si="224"/>
        <v>0</v>
      </c>
      <c r="R674" s="10">
        <f t="shared" ca="1" si="225"/>
        <v>65</v>
      </c>
      <c r="S674" s="17">
        <f t="shared" ca="1" si="226"/>
        <v>0</v>
      </c>
      <c r="T674" s="70">
        <f t="shared" ca="1" si="227"/>
        <v>0.3</v>
      </c>
      <c r="U674" s="17">
        <f t="shared" ca="1" si="228"/>
        <v>0</v>
      </c>
      <c r="V674" s="71">
        <f t="shared" ca="1" si="229"/>
        <v>6</v>
      </c>
      <c r="W674" s="17">
        <f t="shared" ca="1" si="230"/>
        <v>0</v>
      </c>
    </row>
    <row r="675" spans="1:23" x14ac:dyDescent="0.25">
      <c r="A675" s="4">
        <f t="shared" si="210"/>
        <v>32</v>
      </c>
      <c r="B675" t="str">
        <f ca="1">TEXT(DATE(YEAR(Invoer!$A$6),1,1)+INT((ROWS(B$2:B675)-1)/4),"jjjjmmdd")</f>
        <v>19400617</v>
      </c>
      <c r="C675" s="64" t="str">
        <f>IF(MOD(ROWS(C$2:C675)-1,4)=3,"24.00",INDEX(Data,3,2+MOD(ROWS(C$2:C675)-1,4)))</f>
        <v>12.00</v>
      </c>
      <c r="D675" s="18">
        <f t="shared" ca="1" si="211"/>
        <v>759.7</v>
      </c>
      <c r="E675" s="17">
        <f t="shared" ca="1" si="212"/>
        <v>0</v>
      </c>
      <c r="F675" s="18">
        <f t="shared" ca="1" si="213"/>
        <v>27.1</v>
      </c>
      <c r="G675" s="17">
        <f t="shared" ca="1" si="214"/>
        <v>0</v>
      </c>
      <c r="H675" s="18" t="str">
        <f t="shared" ca="1" si="215"/>
        <v>—</v>
      </c>
      <c r="I675" s="17">
        <f t="shared" ca="1" si="216"/>
        <v>7</v>
      </c>
      <c r="J675" s="18" t="str">
        <f t="shared" ca="1" si="217"/>
        <v>—</v>
      </c>
      <c r="K675" s="17">
        <f t="shared" ca="1" si="218"/>
        <v>7</v>
      </c>
      <c r="L675" s="10">
        <f t="shared" ca="1" si="219"/>
        <v>73</v>
      </c>
      <c r="M675" s="17">
        <f t="shared" ca="1" si="220"/>
        <v>0</v>
      </c>
      <c r="N675" s="18">
        <f t="shared" ca="1" si="221"/>
        <v>19.7</v>
      </c>
      <c r="O675" s="17">
        <f t="shared" ca="1" si="222"/>
        <v>0</v>
      </c>
      <c r="P675" s="18">
        <f t="shared" ca="1" si="223"/>
        <v>23.4</v>
      </c>
      <c r="Q675" s="17">
        <f t="shared" ca="1" si="224"/>
        <v>0</v>
      </c>
      <c r="R675" s="10">
        <f t="shared" ca="1" si="225"/>
        <v>65</v>
      </c>
      <c r="S675" s="17">
        <f t="shared" ca="1" si="226"/>
        <v>0</v>
      </c>
      <c r="T675" s="70">
        <f t="shared" ca="1" si="227"/>
        <v>0.4</v>
      </c>
      <c r="U675" s="17">
        <f t="shared" ca="1" si="228"/>
        <v>0</v>
      </c>
      <c r="V675" s="71">
        <f t="shared" ca="1" si="229"/>
        <v>6</v>
      </c>
      <c r="W675" s="17">
        <f t="shared" ca="1" si="230"/>
        <v>0</v>
      </c>
    </row>
    <row r="676" spans="1:23" x14ac:dyDescent="0.25">
      <c r="A676" s="4">
        <f t="shared" si="210"/>
        <v>32</v>
      </c>
      <c r="B676" t="str">
        <f ca="1">TEXT(DATE(YEAR(Invoer!$A$6),1,1)+INT((ROWS(B$2:B676)-1)/4),"jjjjmmdd")</f>
        <v>19400617</v>
      </c>
      <c r="C676" s="64" t="str">
        <f>IF(MOD(ROWS(C$2:C676)-1,4)=3,"24.00",INDEX(Data,3,2+MOD(ROWS(C$2:C676)-1,4)))</f>
        <v>17.00</v>
      </c>
      <c r="D676" s="18">
        <f t="shared" ca="1" si="211"/>
        <v>758.7</v>
      </c>
      <c r="E676" s="17">
        <f t="shared" ca="1" si="212"/>
        <v>0</v>
      </c>
      <c r="F676" s="18">
        <f t="shared" ca="1" si="213"/>
        <v>26.7</v>
      </c>
      <c r="G676" s="17">
        <f t="shared" ca="1" si="214"/>
        <v>0</v>
      </c>
      <c r="H676" s="18" t="str">
        <f t="shared" ca="1" si="215"/>
        <v>—</v>
      </c>
      <c r="I676" s="17">
        <f t="shared" ca="1" si="216"/>
        <v>7</v>
      </c>
      <c r="J676" s="18" t="str">
        <f t="shared" ca="1" si="217"/>
        <v>—</v>
      </c>
      <c r="K676" s="17">
        <f t="shared" ca="1" si="218"/>
        <v>7</v>
      </c>
      <c r="L676" s="10">
        <f t="shared" ca="1" si="219"/>
        <v>73</v>
      </c>
      <c r="M676" s="17">
        <f t="shared" ca="1" si="220"/>
        <v>0</v>
      </c>
      <c r="N676" s="18">
        <f t="shared" ca="1" si="221"/>
        <v>19.2</v>
      </c>
      <c r="O676" s="17">
        <f t="shared" ca="1" si="222"/>
        <v>0</v>
      </c>
      <c r="P676" s="18">
        <f t="shared" ca="1" si="223"/>
        <v>23</v>
      </c>
      <c r="Q676" s="17">
        <f t="shared" ca="1" si="224"/>
        <v>0</v>
      </c>
      <c r="R676" s="10">
        <f t="shared" ca="1" si="225"/>
        <v>65</v>
      </c>
      <c r="S676" s="17">
        <f t="shared" ca="1" si="226"/>
        <v>0</v>
      </c>
      <c r="T676" s="70">
        <f t="shared" ca="1" si="227"/>
        <v>0.3</v>
      </c>
      <c r="U676" s="17">
        <f t="shared" ca="1" si="228"/>
        <v>0</v>
      </c>
      <c r="V676" s="71">
        <f t="shared" ca="1" si="229"/>
        <v>6</v>
      </c>
      <c r="W676" s="17">
        <f t="shared" ca="1" si="230"/>
        <v>0</v>
      </c>
    </row>
    <row r="677" spans="1:23" x14ac:dyDescent="0.25">
      <c r="A677" s="4">
        <f t="shared" si="210"/>
        <v>32</v>
      </c>
      <c r="B677" t="str">
        <f ca="1">TEXT(DATE(YEAR(Invoer!$A$6),1,1)+INT((ROWS(B$2:B677)-1)/4),"jjjjmmdd")</f>
        <v>19400617</v>
      </c>
      <c r="C677" s="64" t="str">
        <f>IF(MOD(ROWS(C$2:C677)-1,4)=3,"24.00",INDEX(Data,3,2+MOD(ROWS(C$2:C677)-1,4)))</f>
        <v>24.00</v>
      </c>
      <c r="D677" s="18" t="str">
        <f t="shared" ca="1" si="211"/>
        <v>—</v>
      </c>
      <c r="E677" s="17">
        <f t="shared" ca="1" si="212"/>
        <v>7</v>
      </c>
      <c r="F677" s="18" t="str">
        <f t="shared" ca="1" si="213"/>
        <v>—</v>
      </c>
      <c r="G677" s="17">
        <f t="shared" ca="1" si="214"/>
        <v>7</v>
      </c>
      <c r="H677" s="18">
        <f t="shared" ca="1" si="215"/>
        <v>27.8</v>
      </c>
      <c r="I677" s="17">
        <f t="shared" ca="1" si="216"/>
        <v>0</v>
      </c>
      <c r="J677" s="18">
        <f t="shared" ca="1" si="217"/>
        <v>29</v>
      </c>
      <c r="K677" s="17">
        <f t="shared" ca="1" si="218"/>
        <v>0</v>
      </c>
      <c r="L677" s="10" t="str">
        <f t="shared" ca="1" si="219"/>
        <v>—</v>
      </c>
      <c r="M677" s="17">
        <f t="shared" ca="1" si="220"/>
        <v>7</v>
      </c>
      <c r="N677" s="18" t="str">
        <f t="shared" ca="1" si="221"/>
        <v>—</v>
      </c>
      <c r="O677" s="17">
        <f t="shared" ca="1" si="222"/>
        <v>7</v>
      </c>
      <c r="P677" s="18" t="str">
        <f t="shared" ca="1" si="223"/>
        <v>—</v>
      </c>
      <c r="Q677" s="17">
        <f t="shared" ca="1" si="224"/>
        <v>7</v>
      </c>
      <c r="R677" s="10" t="str">
        <f t="shared" ca="1" si="225"/>
        <v>—</v>
      </c>
      <c r="S677" s="17">
        <f t="shared" ca="1" si="226"/>
        <v>7</v>
      </c>
      <c r="T677" s="70" t="str">
        <f t="shared" ca="1" si="227"/>
        <v>—</v>
      </c>
      <c r="U677" s="17">
        <f t="shared" ca="1" si="228"/>
        <v>7</v>
      </c>
      <c r="V677" s="71" t="str">
        <f t="shared" ca="1" si="229"/>
        <v>—</v>
      </c>
      <c r="W677" s="17">
        <f t="shared" ca="1" si="230"/>
        <v>7</v>
      </c>
    </row>
    <row r="678" spans="1:23" x14ac:dyDescent="0.25">
      <c r="A678" s="4">
        <f t="shared" si="210"/>
        <v>32</v>
      </c>
      <c r="B678" t="str">
        <f ca="1">TEXT(DATE(YEAR(Invoer!$A$6),1,1)+INT((ROWS(B$2:B678)-1)/4),"jjjjmmdd")</f>
        <v>19400618</v>
      </c>
      <c r="C678" s="64" t="str">
        <f>IF(MOD(ROWS(C$2:C678)-1,4)=3,"24.00",INDEX(Data,3,2+MOD(ROWS(C$2:C678)-1,4)))</f>
        <v>07.00</v>
      </c>
      <c r="D678" s="18">
        <f t="shared" ca="1" si="211"/>
        <v>758.9</v>
      </c>
      <c r="E678" s="17">
        <f t="shared" ca="1" si="212"/>
        <v>0</v>
      </c>
      <c r="F678" s="18">
        <f t="shared" ca="1" si="213"/>
        <v>26.5</v>
      </c>
      <c r="G678" s="17">
        <f t="shared" ca="1" si="214"/>
        <v>0</v>
      </c>
      <c r="H678" s="18" t="str">
        <f t="shared" ca="1" si="215"/>
        <v>—</v>
      </c>
      <c r="I678" s="17">
        <f t="shared" ca="1" si="216"/>
        <v>7</v>
      </c>
      <c r="J678" s="18" t="str">
        <f t="shared" ca="1" si="217"/>
        <v>—</v>
      </c>
      <c r="K678" s="17">
        <f t="shared" ca="1" si="218"/>
        <v>7</v>
      </c>
      <c r="L678" s="10">
        <f t="shared" ca="1" si="219"/>
        <v>74</v>
      </c>
      <c r="M678" s="17">
        <f t="shared" ca="1" si="220"/>
        <v>0</v>
      </c>
      <c r="N678" s="18">
        <f t="shared" ca="1" si="221"/>
        <v>19.3</v>
      </c>
      <c r="O678" s="17">
        <f t="shared" ca="1" si="222"/>
        <v>0</v>
      </c>
      <c r="P678" s="18">
        <f t="shared" ca="1" si="223"/>
        <v>23</v>
      </c>
      <c r="Q678" s="17">
        <f t="shared" ca="1" si="224"/>
        <v>0</v>
      </c>
      <c r="R678" s="10">
        <f t="shared" ca="1" si="225"/>
        <v>65</v>
      </c>
      <c r="S678" s="17">
        <f t="shared" ca="1" si="226"/>
        <v>0</v>
      </c>
      <c r="T678" s="70">
        <f t="shared" ca="1" si="227"/>
        <v>0.4</v>
      </c>
      <c r="U678" s="17">
        <f t="shared" ca="1" si="228"/>
        <v>0</v>
      </c>
      <c r="V678" s="71">
        <f t="shared" ca="1" si="229"/>
        <v>5</v>
      </c>
      <c r="W678" s="17">
        <f t="shared" ca="1" si="230"/>
        <v>0</v>
      </c>
    </row>
    <row r="679" spans="1:23" x14ac:dyDescent="0.25">
      <c r="A679" s="4">
        <f t="shared" si="210"/>
        <v>32</v>
      </c>
      <c r="B679" t="str">
        <f ca="1">TEXT(DATE(YEAR(Invoer!$A$6),1,1)+INT((ROWS(B$2:B679)-1)/4),"jjjjmmdd")</f>
        <v>19400618</v>
      </c>
      <c r="C679" s="64" t="str">
        <f>IF(MOD(ROWS(C$2:C679)-1,4)=3,"24.00",INDEX(Data,3,2+MOD(ROWS(C$2:C679)-1,4)))</f>
        <v>12.00</v>
      </c>
      <c r="D679" s="18">
        <f t="shared" ca="1" si="211"/>
        <v>759.5</v>
      </c>
      <c r="E679" s="17">
        <f t="shared" ca="1" si="212"/>
        <v>0</v>
      </c>
      <c r="F679" s="18">
        <f t="shared" ca="1" si="213"/>
        <v>26.7</v>
      </c>
      <c r="G679" s="17">
        <f t="shared" ca="1" si="214"/>
        <v>0</v>
      </c>
      <c r="H679" s="18" t="str">
        <f t="shared" ca="1" si="215"/>
        <v>—</v>
      </c>
      <c r="I679" s="17">
        <f t="shared" ca="1" si="216"/>
        <v>7</v>
      </c>
      <c r="J679" s="18" t="str">
        <f t="shared" ca="1" si="217"/>
        <v>—</v>
      </c>
      <c r="K679" s="17">
        <f t="shared" ca="1" si="218"/>
        <v>7</v>
      </c>
      <c r="L679" s="10">
        <f t="shared" ca="1" si="219"/>
        <v>74</v>
      </c>
      <c r="M679" s="17">
        <f t="shared" ca="1" si="220"/>
        <v>0</v>
      </c>
      <c r="N679" s="18">
        <f t="shared" ca="1" si="221"/>
        <v>19.600000000000001</v>
      </c>
      <c r="O679" s="17">
        <f t="shared" ca="1" si="222"/>
        <v>0</v>
      </c>
      <c r="P679" s="18">
        <f t="shared" ca="1" si="223"/>
        <v>23.2</v>
      </c>
      <c r="Q679" s="17">
        <f t="shared" ca="1" si="224"/>
        <v>0</v>
      </c>
      <c r="R679" s="10">
        <f t="shared" ca="1" si="225"/>
        <v>65</v>
      </c>
      <c r="S679" s="17">
        <f t="shared" ca="1" si="226"/>
        <v>0</v>
      </c>
      <c r="T679" s="70">
        <f t="shared" ca="1" si="227"/>
        <v>0.4</v>
      </c>
      <c r="U679" s="17">
        <f t="shared" ca="1" si="228"/>
        <v>0</v>
      </c>
      <c r="V679" s="71">
        <f t="shared" ca="1" si="229"/>
        <v>4</v>
      </c>
      <c r="W679" s="17">
        <f t="shared" ca="1" si="230"/>
        <v>0</v>
      </c>
    </row>
    <row r="680" spans="1:23" x14ac:dyDescent="0.25">
      <c r="A680" s="4">
        <f t="shared" si="210"/>
        <v>32</v>
      </c>
      <c r="B680" t="str">
        <f ca="1">TEXT(DATE(YEAR(Invoer!$A$6),1,1)+INT((ROWS(B$2:B680)-1)/4),"jjjjmmdd")</f>
        <v>19400618</v>
      </c>
      <c r="C680" s="64" t="str">
        <f>IF(MOD(ROWS(C$2:C680)-1,4)=3,"24.00",INDEX(Data,3,2+MOD(ROWS(C$2:C680)-1,4)))</f>
        <v>17.00</v>
      </c>
      <c r="D680" s="18">
        <f t="shared" ca="1" si="211"/>
        <v>758.2</v>
      </c>
      <c r="E680" s="17">
        <f t="shared" ca="1" si="212"/>
        <v>0</v>
      </c>
      <c r="F680" s="18">
        <f t="shared" ca="1" si="213"/>
        <v>26.5</v>
      </c>
      <c r="G680" s="17">
        <f t="shared" ca="1" si="214"/>
        <v>0</v>
      </c>
      <c r="H680" s="18" t="str">
        <f t="shared" ca="1" si="215"/>
        <v>—</v>
      </c>
      <c r="I680" s="17">
        <f t="shared" ca="1" si="216"/>
        <v>7</v>
      </c>
      <c r="J680" s="18" t="str">
        <f t="shared" ca="1" si="217"/>
        <v>—</v>
      </c>
      <c r="K680" s="17">
        <f t="shared" ca="1" si="218"/>
        <v>7</v>
      </c>
      <c r="L680" s="10">
        <f t="shared" ca="1" si="219"/>
        <v>74</v>
      </c>
      <c r="M680" s="17">
        <f t="shared" ca="1" si="220"/>
        <v>0</v>
      </c>
      <c r="N680" s="18">
        <f t="shared" ca="1" si="221"/>
        <v>19.3</v>
      </c>
      <c r="O680" s="17">
        <f t="shared" ca="1" si="222"/>
        <v>0</v>
      </c>
      <c r="P680" s="18">
        <f t="shared" ca="1" si="223"/>
        <v>23</v>
      </c>
      <c r="Q680" s="17">
        <f t="shared" ca="1" si="224"/>
        <v>0</v>
      </c>
      <c r="R680" s="10">
        <f t="shared" ca="1" si="225"/>
        <v>65</v>
      </c>
      <c r="S680" s="17">
        <f t="shared" ca="1" si="226"/>
        <v>0</v>
      </c>
      <c r="T680" s="70">
        <f t="shared" ca="1" si="227"/>
        <v>0.5</v>
      </c>
      <c r="U680" s="17">
        <f t="shared" ca="1" si="228"/>
        <v>0</v>
      </c>
      <c r="V680" s="71">
        <f t="shared" ca="1" si="229"/>
        <v>4</v>
      </c>
      <c r="W680" s="17">
        <f t="shared" ca="1" si="230"/>
        <v>0</v>
      </c>
    </row>
    <row r="681" spans="1:23" x14ac:dyDescent="0.25">
      <c r="A681" s="4">
        <f t="shared" si="210"/>
        <v>32</v>
      </c>
      <c r="B681" t="str">
        <f ca="1">TEXT(DATE(YEAR(Invoer!$A$6),1,1)+INT((ROWS(B$2:B681)-1)/4),"jjjjmmdd")</f>
        <v>19400618</v>
      </c>
      <c r="C681" s="64" t="str">
        <f>IF(MOD(ROWS(C$2:C681)-1,4)=3,"24.00",INDEX(Data,3,2+MOD(ROWS(C$2:C681)-1,4)))</f>
        <v>24.00</v>
      </c>
      <c r="D681" s="18" t="str">
        <f t="shared" ca="1" si="211"/>
        <v>—</v>
      </c>
      <c r="E681" s="17">
        <f t="shared" ca="1" si="212"/>
        <v>7</v>
      </c>
      <c r="F681" s="18" t="str">
        <f t="shared" ca="1" si="213"/>
        <v>—</v>
      </c>
      <c r="G681" s="17">
        <f t="shared" ca="1" si="214"/>
        <v>7</v>
      </c>
      <c r="H681" s="18">
        <f t="shared" ca="1" si="215"/>
        <v>28</v>
      </c>
      <c r="I681" s="17">
        <f t="shared" ca="1" si="216"/>
        <v>0</v>
      </c>
      <c r="J681" s="18">
        <f t="shared" ca="1" si="217"/>
        <v>29</v>
      </c>
      <c r="K681" s="17">
        <f t="shared" ca="1" si="218"/>
        <v>0</v>
      </c>
      <c r="L681" s="10" t="str">
        <f t="shared" ca="1" si="219"/>
        <v>—</v>
      </c>
      <c r="M681" s="17">
        <f t="shared" ca="1" si="220"/>
        <v>7</v>
      </c>
      <c r="N681" s="18" t="str">
        <f t="shared" ca="1" si="221"/>
        <v>—</v>
      </c>
      <c r="O681" s="17">
        <f t="shared" ca="1" si="222"/>
        <v>7</v>
      </c>
      <c r="P681" s="18" t="str">
        <f t="shared" ca="1" si="223"/>
        <v>—</v>
      </c>
      <c r="Q681" s="17">
        <f t="shared" ca="1" si="224"/>
        <v>7</v>
      </c>
      <c r="R681" s="10" t="str">
        <f t="shared" ca="1" si="225"/>
        <v>—</v>
      </c>
      <c r="S681" s="17">
        <f t="shared" ca="1" si="226"/>
        <v>7</v>
      </c>
      <c r="T681" s="70" t="str">
        <f t="shared" ca="1" si="227"/>
        <v>—</v>
      </c>
      <c r="U681" s="17">
        <f t="shared" ca="1" si="228"/>
        <v>7</v>
      </c>
      <c r="V681" s="71" t="str">
        <f t="shared" ca="1" si="229"/>
        <v>—</v>
      </c>
      <c r="W681" s="17">
        <f t="shared" ca="1" si="230"/>
        <v>7</v>
      </c>
    </row>
    <row r="682" spans="1:23" x14ac:dyDescent="0.25">
      <c r="A682" s="4">
        <f t="shared" si="210"/>
        <v>32</v>
      </c>
      <c r="B682" t="str">
        <f ca="1">TEXT(DATE(YEAR(Invoer!$A$6),1,1)+INT((ROWS(B$2:B682)-1)/4),"jjjjmmdd")</f>
        <v>19400619</v>
      </c>
      <c r="C682" s="64" t="str">
        <f>IF(MOD(ROWS(C$2:C682)-1,4)=3,"24.00",INDEX(Data,3,2+MOD(ROWS(C$2:C682)-1,4)))</f>
        <v>07.00</v>
      </c>
      <c r="D682" s="18">
        <f t="shared" ca="1" si="211"/>
        <v>758.2</v>
      </c>
      <c r="E682" s="17">
        <f t="shared" ca="1" si="212"/>
        <v>0</v>
      </c>
      <c r="F682" s="18">
        <f t="shared" ca="1" si="213"/>
        <v>24.1</v>
      </c>
      <c r="G682" s="17">
        <f t="shared" ca="1" si="214"/>
        <v>0</v>
      </c>
      <c r="H682" s="18" t="str">
        <f t="shared" ca="1" si="215"/>
        <v>—</v>
      </c>
      <c r="I682" s="17">
        <f t="shared" ca="1" si="216"/>
        <v>7</v>
      </c>
      <c r="J682" s="18" t="str">
        <f t="shared" ca="1" si="217"/>
        <v>—</v>
      </c>
      <c r="K682" s="17">
        <f t="shared" ca="1" si="218"/>
        <v>7</v>
      </c>
      <c r="L682" s="10">
        <f t="shared" ca="1" si="219"/>
        <v>94</v>
      </c>
      <c r="M682" s="17">
        <f t="shared" ca="1" si="220"/>
        <v>0</v>
      </c>
      <c r="N682" s="18">
        <f t="shared" ca="1" si="221"/>
        <v>21.2</v>
      </c>
      <c r="O682" s="17">
        <f t="shared" ca="1" si="222"/>
        <v>0</v>
      </c>
      <c r="P682" s="18">
        <f t="shared" ca="1" si="223"/>
        <v>23.4</v>
      </c>
      <c r="Q682" s="17">
        <f t="shared" ca="1" si="224"/>
        <v>0</v>
      </c>
      <c r="R682" s="10">
        <f t="shared" ca="1" si="225"/>
        <v>65</v>
      </c>
      <c r="S682" s="17">
        <f t="shared" ca="1" si="226"/>
        <v>0</v>
      </c>
      <c r="T682" s="70">
        <f t="shared" ca="1" si="227"/>
        <v>0.4</v>
      </c>
      <c r="U682" s="17">
        <f t="shared" ca="1" si="228"/>
        <v>0</v>
      </c>
      <c r="V682" s="71">
        <f t="shared" ca="1" si="229"/>
        <v>4</v>
      </c>
      <c r="W682" s="17">
        <f t="shared" ca="1" si="230"/>
        <v>0</v>
      </c>
    </row>
    <row r="683" spans="1:23" x14ac:dyDescent="0.25">
      <c r="A683" s="4">
        <f t="shared" si="210"/>
        <v>32</v>
      </c>
      <c r="B683" t="str">
        <f ca="1">TEXT(DATE(YEAR(Invoer!$A$6),1,1)+INT((ROWS(B$2:B683)-1)/4),"jjjjmmdd")</f>
        <v>19400619</v>
      </c>
      <c r="C683" s="64" t="str">
        <f>IF(MOD(ROWS(C$2:C683)-1,4)=3,"24.00",INDEX(Data,3,2+MOD(ROWS(C$2:C683)-1,4)))</f>
        <v>12.00</v>
      </c>
      <c r="D683" s="18">
        <f t="shared" ca="1" si="211"/>
        <v>758.2</v>
      </c>
      <c r="E683" s="17">
        <f t="shared" ca="1" si="212"/>
        <v>0</v>
      </c>
      <c r="F683" s="18">
        <f t="shared" ca="1" si="213"/>
        <v>24.3</v>
      </c>
      <c r="G683" s="17">
        <f t="shared" ca="1" si="214"/>
        <v>0</v>
      </c>
      <c r="H683" s="18" t="str">
        <f t="shared" ca="1" si="215"/>
        <v>—</v>
      </c>
      <c r="I683" s="17">
        <f t="shared" ca="1" si="216"/>
        <v>7</v>
      </c>
      <c r="J683" s="18" t="str">
        <f t="shared" ca="1" si="217"/>
        <v>—</v>
      </c>
      <c r="K683" s="17">
        <f t="shared" ca="1" si="218"/>
        <v>7</v>
      </c>
      <c r="L683" s="10">
        <f t="shared" ca="1" si="219"/>
        <v>93</v>
      </c>
      <c r="M683" s="17">
        <f t="shared" ca="1" si="220"/>
        <v>0</v>
      </c>
      <c r="N683" s="18">
        <f t="shared" ca="1" si="221"/>
        <v>21.1</v>
      </c>
      <c r="O683" s="17">
        <f t="shared" ca="1" si="222"/>
        <v>0</v>
      </c>
      <c r="P683" s="18">
        <f t="shared" ca="1" si="223"/>
        <v>23.4</v>
      </c>
      <c r="Q683" s="17">
        <f t="shared" ca="1" si="224"/>
        <v>0</v>
      </c>
      <c r="R683" s="10">
        <f t="shared" ca="1" si="225"/>
        <v>65</v>
      </c>
      <c r="S683" s="17">
        <f t="shared" ca="1" si="226"/>
        <v>0</v>
      </c>
      <c r="T683" s="70">
        <f t="shared" ca="1" si="227"/>
        <v>0.5</v>
      </c>
      <c r="U683" s="17">
        <f t="shared" ca="1" si="228"/>
        <v>0</v>
      </c>
      <c r="V683" s="71">
        <f t="shared" ca="1" si="229"/>
        <v>4</v>
      </c>
      <c r="W683" s="17">
        <f t="shared" ca="1" si="230"/>
        <v>0</v>
      </c>
    </row>
    <row r="684" spans="1:23" x14ac:dyDescent="0.25">
      <c r="A684" s="4">
        <f t="shared" si="210"/>
        <v>32</v>
      </c>
      <c r="B684" t="str">
        <f ca="1">TEXT(DATE(YEAR(Invoer!$A$6),1,1)+INT((ROWS(B$2:B684)-1)/4),"jjjjmmdd")</f>
        <v>19400619</v>
      </c>
      <c r="C684" s="64" t="str">
        <f>IF(MOD(ROWS(C$2:C684)-1,4)=3,"24.00",INDEX(Data,3,2+MOD(ROWS(C$2:C684)-1,4)))</f>
        <v>17.00</v>
      </c>
      <c r="D684" s="18">
        <f t="shared" ca="1" si="211"/>
        <v>756.4</v>
      </c>
      <c r="E684" s="17">
        <f t="shared" ca="1" si="212"/>
        <v>0</v>
      </c>
      <c r="F684" s="18">
        <f t="shared" ca="1" si="213"/>
        <v>24.9</v>
      </c>
      <c r="G684" s="17">
        <f t="shared" ca="1" si="214"/>
        <v>0</v>
      </c>
      <c r="H684" s="18" t="str">
        <f t="shared" ca="1" si="215"/>
        <v>—</v>
      </c>
      <c r="I684" s="17">
        <f t="shared" ca="1" si="216"/>
        <v>7</v>
      </c>
      <c r="J684" s="18" t="str">
        <f t="shared" ca="1" si="217"/>
        <v>—</v>
      </c>
      <c r="K684" s="17">
        <f t="shared" ca="1" si="218"/>
        <v>7</v>
      </c>
      <c r="L684" s="10">
        <f t="shared" ca="1" si="219"/>
        <v>85</v>
      </c>
      <c r="M684" s="17">
        <f t="shared" ca="1" si="220"/>
        <v>0</v>
      </c>
      <c r="N684" s="18">
        <f t="shared" ca="1" si="221"/>
        <v>20.100000000000001</v>
      </c>
      <c r="O684" s="17">
        <f t="shared" ca="1" si="222"/>
        <v>0</v>
      </c>
      <c r="P684" s="18">
        <f t="shared" ca="1" si="223"/>
        <v>23</v>
      </c>
      <c r="Q684" s="17">
        <f t="shared" ca="1" si="224"/>
        <v>0</v>
      </c>
      <c r="R684" s="10">
        <f t="shared" ca="1" si="225"/>
        <v>65</v>
      </c>
      <c r="S684" s="17">
        <f t="shared" ca="1" si="226"/>
        <v>0</v>
      </c>
      <c r="T684" s="70">
        <f t="shared" ca="1" si="227"/>
        <v>0.4</v>
      </c>
      <c r="U684" s="17">
        <f t="shared" ca="1" si="228"/>
        <v>0</v>
      </c>
      <c r="V684" s="71">
        <f t="shared" ca="1" si="229"/>
        <v>4</v>
      </c>
      <c r="W684" s="17">
        <f t="shared" ca="1" si="230"/>
        <v>0</v>
      </c>
    </row>
    <row r="685" spans="1:23" x14ac:dyDescent="0.25">
      <c r="A685" s="4">
        <f t="shared" si="210"/>
        <v>32</v>
      </c>
      <c r="B685" t="str">
        <f ca="1">TEXT(DATE(YEAR(Invoer!$A$6),1,1)+INT((ROWS(B$2:B685)-1)/4),"jjjjmmdd")</f>
        <v>19400619</v>
      </c>
      <c r="C685" s="64" t="str">
        <f>IF(MOD(ROWS(C$2:C685)-1,4)=3,"24.00",INDEX(Data,3,2+MOD(ROWS(C$2:C685)-1,4)))</f>
        <v>24.00</v>
      </c>
      <c r="D685" s="18" t="str">
        <f t="shared" ca="1" si="211"/>
        <v>—</v>
      </c>
      <c r="E685" s="17">
        <f t="shared" ca="1" si="212"/>
        <v>7</v>
      </c>
      <c r="F685" s="18" t="str">
        <f t="shared" ca="1" si="213"/>
        <v>—</v>
      </c>
      <c r="G685" s="17">
        <f t="shared" ca="1" si="214"/>
        <v>7</v>
      </c>
      <c r="H685" s="18">
        <f t="shared" ca="1" si="215"/>
        <v>28.2</v>
      </c>
      <c r="I685" s="17">
        <f t="shared" ca="1" si="216"/>
        <v>0</v>
      </c>
      <c r="J685" s="18">
        <f t="shared" ca="1" si="217"/>
        <v>29.6</v>
      </c>
      <c r="K685" s="17">
        <f t="shared" ca="1" si="218"/>
        <v>0</v>
      </c>
      <c r="L685" s="10" t="str">
        <f t="shared" ca="1" si="219"/>
        <v>—</v>
      </c>
      <c r="M685" s="17">
        <f t="shared" ca="1" si="220"/>
        <v>7</v>
      </c>
      <c r="N685" s="18" t="str">
        <f t="shared" ca="1" si="221"/>
        <v>—</v>
      </c>
      <c r="O685" s="17">
        <f t="shared" ca="1" si="222"/>
        <v>7</v>
      </c>
      <c r="P685" s="18" t="str">
        <f t="shared" ca="1" si="223"/>
        <v>—</v>
      </c>
      <c r="Q685" s="17">
        <f t="shared" ca="1" si="224"/>
        <v>7</v>
      </c>
      <c r="R685" s="10" t="str">
        <f t="shared" ca="1" si="225"/>
        <v>—</v>
      </c>
      <c r="S685" s="17">
        <f t="shared" ca="1" si="226"/>
        <v>7</v>
      </c>
      <c r="T685" s="70" t="str">
        <f t="shared" ca="1" si="227"/>
        <v>—</v>
      </c>
      <c r="U685" s="17">
        <f t="shared" ca="1" si="228"/>
        <v>7</v>
      </c>
      <c r="V685" s="71" t="str">
        <f t="shared" ca="1" si="229"/>
        <v>—</v>
      </c>
      <c r="W685" s="17">
        <f t="shared" ca="1" si="230"/>
        <v>7</v>
      </c>
    </row>
    <row r="686" spans="1:23" x14ac:dyDescent="0.25">
      <c r="A686" s="4">
        <f t="shared" si="210"/>
        <v>32</v>
      </c>
      <c r="B686" t="str">
        <f ca="1">TEXT(DATE(YEAR(Invoer!$A$6),1,1)+INT((ROWS(B$2:B686)-1)/4),"jjjjmmdd")</f>
        <v>19400620</v>
      </c>
      <c r="C686" s="64" t="str">
        <f>IF(MOD(ROWS(C$2:C686)-1,4)=3,"24.00",INDEX(Data,3,2+MOD(ROWS(C$2:C686)-1,4)))</f>
        <v>07.00</v>
      </c>
      <c r="D686" s="18">
        <f t="shared" ca="1" si="211"/>
        <v>757.2</v>
      </c>
      <c r="E686" s="17">
        <f t="shared" ca="1" si="212"/>
        <v>0</v>
      </c>
      <c r="F686" s="18">
        <f t="shared" ca="1" si="213"/>
        <v>24.1</v>
      </c>
      <c r="G686" s="17">
        <f t="shared" ca="1" si="214"/>
        <v>0</v>
      </c>
      <c r="H686" s="18" t="str">
        <f t="shared" ca="1" si="215"/>
        <v>—</v>
      </c>
      <c r="I686" s="17">
        <f t="shared" ca="1" si="216"/>
        <v>7</v>
      </c>
      <c r="J686" s="18" t="str">
        <f t="shared" ca="1" si="217"/>
        <v>—</v>
      </c>
      <c r="K686" s="17">
        <f t="shared" ca="1" si="218"/>
        <v>7</v>
      </c>
      <c r="L686" s="10">
        <f t="shared" ca="1" si="219"/>
        <v>93</v>
      </c>
      <c r="M686" s="17">
        <f t="shared" ca="1" si="220"/>
        <v>0</v>
      </c>
      <c r="N686" s="18">
        <f t="shared" ca="1" si="221"/>
        <v>20.9</v>
      </c>
      <c r="O686" s="17">
        <f t="shared" ca="1" si="222"/>
        <v>0</v>
      </c>
      <c r="P686" s="18">
        <f t="shared" ca="1" si="223"/>
        <v>23.2</v>
      </c>
      <c r="Q686" s="17">
        <f t="shared" ca="1" si="224"/>
        <v>0</v>
      </c>
      <c r="R686" s="10">
        <f t="shared" ca="1" si="225"/>
        <v>90</v>
      </c>
      <c r="S686" s="17">
        <f t="shared" ca="1" si="226"/>
        <v>0</v>
      </c>
      <c r="T686" s="70">
        <f t="shared" ca="1" si="227"/>
        <v>0.3</v>
      </c>
      <c r="U686" s="17">
        <f t="shared" ca="1" si="228"/>
        <v>0</v>
      </c>
      <c r="V686" s="71">
        <f t="shared" ca="1" si="229"/>
        <v>3</v>
      </c>
      <c r="W686" s="17">
        <f t="shared" ca="1" si="230"/>
        <v>0</v>
      </c>
    </row>
    <row r="687" spans="1:23" x14ac:dyDescent="0.25">
      <c r="A687" s="4">
        <f t="shared" si="210"/>
        <v>32</v>
      </c>
      <c r="B687" t="str">
        <f ca="1">TEXT(DATE(YEAR(Invoer!$A$6),1,1)+INT((ROWS(B$2:B687)-1)/4),"jjjjmmdd")</f>
        <v>19400620</v>
      </c>
      <c r="C687" s="64" t="str">
        <f>IF(MOD(ROWS(C$2:C687)-1,4)=3,"24.00",INDEX(Data,3,2+MOD(ROWS(C$2:C687)-1,4)))</f>
        <v>12.00</v>
      </c>
      <c r="D687" s="18">
        <f t="shared" ca="1" si="211"/>
        <v>760</v>
      </c>
      <c r="E687" s="17">
        <f t="shared" ca="1" si="212"/>
        <v>0</v>
      </c>
      <c r="F687" s="18">
        <f t="shared" ca="1" si="213"/>
        <v>24.3</v>
      </c>
      <c r="G687" s="17">
        <f t="shared" ca="1" si="214"/>
        <v>0</v>
      </c>
      <c r="H687" s="18" t="str">
        <f t="shared" ca="1" si="215"/>
        <v>—</v>
      </c>
      <c r="I687" s="17">
        <f t="shared" ca="1" si="216"/>
        <v>7</v>
      </c>
      <c r="J687" s="18" t="str">
        <f t="shared" ca="1" si="217"/>
        <v>—</v>
      </c>
      <c r="K687" s="17">
        <f t="shared" ca="1" si="218"/>
        <v>7</v>
      </c>
      <c r="L687" s="10">
        <f t="shared" ca="1" si="219"/>
        <v>94</v>
      </c>
      <c r="M687" s="17">
        <f t="shared" ca="1" si="220"/>
        <v>0</v>
      </c>
      <c r="N687" s="18">
        <f t="shared" ca="1" si="221"/>
        <v>21.5</v>
      </c>
      <c r="O687" s="17">
        <f t="shared" ca="1" si="222"/>
        <v>0</v>
      </c>
      <c r="P687" s="18">
        <f t="shared" ca="1" si="223"/>
        <v>23.6</v>
      </c>
      <c r="Q687" s="17">
        <f t="shared" ca="1" si="224"/>
        <v>0</v>
      </c>
      <c r="R687" s="10">
        <f t="shared" ca="1" si="225"/>
        <v>90</v>
      </c>
      <c r="S687" s="17">
        <f t="shared" ca="1" si="226"/>
        <v>0</v>
      </c>
      <c r="T687" s="70">
        <f t="shared" ca="1" si="227"/>
        <v>0.4</v>
      </c>
      <c r="U687" s="17">
        <f t="shared" ca="1" si="228"/>
        <v>0</v>
      </c>
      <c r="V687" s="71">
        <f t="shared" ca="1" si="229"/>
        <v>4</v>
      </c>
      <c r="W687" s="17">
        <f t="shared" ca="1" si="230"/>
        <v>0</v>
      </c>
    </row>
    <row r="688" spans="1:23" x14ac:dyDescent="0.25">
      <c r="A688" s="4">
        <f t="shared" si="210"/>
        <v>32</v>
      </c>
      <c r="B688" t="str">
        <f ca="1">TEXT(DATE(YEAR(Invoer!$A$6),1,1)+INT((ROWS(B$2:B688)-1)/4),"jjjjmmdd")</f>
        <v>19400620</v>
      </c>
      <c r="C688" s="64" t="str">
        <f>IF(MOD(ROWS(C$2:C688)-1,4)=3,"24.00",INDEX(Data,3,2+MOD(ROWS(C$2:C688)-1,4)))</f>
        <v>17.00</v>
      </c>
      <c r="D688" s="18">
        <f t="shared" ca="1" si="211"/>
        <v>758.2</v>
      </c>
      <c r="E688" s="17">
        <f t="shared" ca="1" si="212"/>
        <v>0</v>
      </c>
      <c r="F688" s="18">
        <f t="shared" ca="1" si="213"/>
        <v>23.9</v>
      </c>
      <c r="G688" s="17">
        <f t="shared" ca="1" si="214"/>
        <v>0</v>
      </c>
      <c r="H688" s="18" t="str">
        <f t="shared" ca="1" si="215"/>
        <v>—</v>
      </c>
      <c r="I688" s="17">
        <f t="shared" ca="1" si="216"/>
        <v>7</v>
      </c>
      <c r="J688" s="18" t="str">
        <f t="shared" ca="1" si="217"/>
        <v>—</v>
      </c>
      <c r="K688" s="17">
        <f t="shared" ca="1" si="218"/>
        <v>7</v>
      </c>
      <c r="L688" s="10">
        <f t="shared" ca="1" si="219"/>
        <v>94</v>
      </c>
      <c r="M688" s="17">
        <f t="shared" ca="1" si="220"/>
        <v>0</v>
      </c>
      <c r="N688" s="18">
        <f t="shared" ca="1" si="221"/>
        <v>21</v>
      </c>
      <c r="O688" s="17">
        <f t="shared" ca="1" si="222"/>
        <v>0</v>
      </c>
      <c r="P688" s="18">
        <f t="shared" ca="1" si="223"/>
        <v>23.2</v>
      </c>
      <c r="Q688" s="17">
        <f t="shared" ca="1" si="224"/>
        <v>0</v>
      </c>
      <c r="R688" s="10">
        <f t="shared" ca="1" si="225"/>
        <v>90</v>
      </c>
      <c r="S688" s="17">
        <f t="shared" ca="1" si="226"/>
        <v>0</v>
      </c>
      <c r="T688" s="70">
        <f t="shared" ca="1" si="227"/>
        <v>0.3</v>
      </c>
      <c r="U688" s="17">
        <f t="shared" ca="1" si="228"/>
        <v>0</v>
      </c>
      <c r="V688" s="71">
        <f t="shared" ca="1" si="229"/>
        <v>3</v>
      </c>
      <c r="W688" s="17">
        <f t="shared" ca="1" si="230"/>
        <v>0</v>
      </c>
    </row>
    <row r="689" spans="1:23" x14ac:dyDescent="0.25">
      <c r="A689" s="4">
        <f t="shared" si="210"/>
        <v>32</v>
      </c>
      <c r="B689" t="str">
        <f ca="1">TEXT(DATE(YEAR(Invoer!$A$6),1,1)+INT((ROWS(B$2:B689)-1)/4),"jjjjmmdd")</f>
        <v>19400620</v>
      </c>
      <c r="C689" s="64" t="str">
        <f>IF(MOD(ROWS(C$2:C689)-1,4)=3,"24.00",INDEX(Data,3,2+MOD(ROWS(C$2:C689)-1,4)))</f>
        <v>24.00</v>
      </c>
      <c r="D689" s="18" t="str">
        <f t="shared" ca="1" si="211"/>
        <v>—</v>
      </c>
      <c r="E689" s="17">
        <f t="shared" ca="1" si="212"/>
        <v>7</v>
      </c>
      <c r="F689" s="18" t="str">
        <f t="shared" ca="1" si="213"/>
        <v>—</v>
      </c>
      <c r="G689" s="17">
        <f t="shared" ca="1" si="214"/>
        <v>7</v>
      </c>
      <c r="H689" s="18">
        <f t="shared" ca="1" si="215"/>
        <v>28</v>
      </c>
      <c r="I689" s="17">
        <f t="shared" ca="1" si="216"/>
        <v>0</v>
      </c>
      <c r="J689" s="18">
        <f t="shared" ca="1" si="217"/>
        <v>29.6</v>
      </c>
      <c r="K689" s="17">
        <f t="shared" ca="1" si="218"/>
        <v>0</v>
      </c>
      <c r="L689" s="10" t="str">
        <f t="shared" ca="1" si="219"/>
        <v>—</v>
      </c>
      <c r="M689" s="17">
        <f t="shared" ca="1" si="220"/>
        <v>7</v>
      </c>
      <c r="N689" s="18" t="str">
        <f t="shared" ca="1" si="221"/>
        <v>—</v>
      </c>
      <c r="O689" s="17">
        <f t="shared" ca="1" si="222"/>
        <v>7</v>
      </c>
      <c r="P689" s="18" t="str">
        <f t="shared" ca="1" si="223"/>
        <v>—</v>
      </c>
      <c r="Q689" s="17">
        <f t="shared" ca="1" si="224"/>
        <v>7</v>
      </c>
      <c r="R689" s="10" t="str">
        <f t="shared" ca="1" si="225"/>
        <v>—</v>
      </c>
      <c r="S689" s="17">
        <f t="shared" ca="1" si="226"/>
        <v>7</v>
      </c>
      <c r="T689" s="70" t="str">
        <f t="shared" ca="1" si="227"/>
        <v>—</v>
      </c>
      <c r="U689" s="17">
        <f t="shared" ca="1" si="228"/>
        <v>7</v>
      </c>
      <c r="V689" s="71" t="str">
        <f t="shared" ca="1" si="229"/>
        <v>—</v>
      </c>
      <c r="W689" s="17">
        <f t="shared" ca="1" si="230"/>
        <v>7</v>
      </c>
    </row>
    <row r="690" spans="1:23" x14ac:dyDescent="0.25">
      <c r="A690" s="4">
        <f t="shared" si="210"/>
        <v>32</v>
      </c>
      <c r="B690" t="str">
        <f ca="1">TEXT(DATE(YEAR(Invoer!$A$6),1,1)+INT((ROWS(B$2:B690)-1)/4),"jjjjmmdd")</f>
        <v>19400621</v>
      </c>
      <c r="C690" s="64" t="str">
        <f>IF(MOD(ROWS(C$2:C690)-1,4)=3,"24.00",INDEX(Data,3,2+MOD(ROWS(C$2:C690)-1,4)))</f>
        <v>07.00</v>
      </c>
      <c r="D690" s="18">
        <f t="shared" ca="1" si="211"/>
        <v>758.2</v>
      </c>
      <c r="E690" s="17">
        <f t="shared" ca="1" si="212"/>
        <v>0</v>
      </c>
      <c r="F690" s="18">
        <f t="shared" ca="1" si="213"/>
        <v>28.5</v>
      </c>
      <c r="G690" s="17">
        <f t="shared" ca="1" si="214"/>
        <v>0</v>
      </c>
      <c r="H690" s="18" t="str">
        <f t="shared" ca="1" si="215"/>
        <v>—</v>
      </c>
      <c r="I690" s="17">
        <f t="shared" ca="1" si="216"/>
        <v>7</v>
      </c>
      <c r="J690" s="18" t="str">
        <f t="shared" ca="1" si="217"/>
        <v>—</v>
      </c>
      <c r="K690" s="17">
        <f t="shared" ca="1" si="218"/>
        <v>7</v>
      </c>
      <c r="L690" s="10">
        <f t="shared" ca="1" si="219"/>
        <v>78</v>
      </c>
      <c r="M690" s="17">
        <f t="shared" ca="1" si="220"/>
        <v>0</v>
      </c>
      <c r="N690" s="18">
        <f t="shared" ca="1" si="221"/>
        <v>22.8</v>
      </c>
      <c r="O690" s="17">
        <f t="shared" ca="1" si="222"/>
        <v>0</v>
      </c>
      <c r="P690" s="18">
        <f t="shared" ca="1" si="223"/>
        <v>25.4</v>
      </c>
      <c r="Q690" s="17">
        <f t="shared" ca="1" si="224"/>
        <v>0</v>
      </c>
      <c r="R690" s="10">
        <f t="shared" ca="1" si="225"/>
        <v>65</v>
      </c>
      <c r="S690" s="17">
        <f t="shared" ca="1" si="226"/>
        <v>0</v>
      </c>
      <c r="T690" s="70">
        <f t="shared" ca="1" si="227"/>
        <v>0.3</v>
      </c>
      <c r="U690" s="17">
        <f t="shared" ca="1" si="228"/>
        <v>0</v>
      </c>
      <c r="V690" s="71">
        <f t="shared" ca="1" si="229"/>
        <v>3</v>
      </c>
      <c r="W690" s="17">
        <f t="shared" ca="1" si="230"/>
        <v>0</v>
      </c>
    </row>
    <row r="691" spans="1:23" x14ac:dyDescent="0.25">
      <c r="A691" s="4">
        <f t="shared" si="210"/>
        <v>32</v>
      </c>
      <c r="B691" t="str">
        <f ca="1">TEXT(DATE(YEAR(Invoer!$A$6),1,1)+INT((ROWS(B$2:B691)-1)/4),"jjjjmmdd")</f>
        <v>19400621</v>
      </c>
      <c r="C691" s="64" t="str">
        <f>IF(MOD(ROWS(C$2:C691)-1,4)=3,"24.00",INDEX(Data,3,2+MOD(ROWS(C$2:C691)-1,4)))</f>
        <v>12.00</v>
      </c>
      <c r="D691" s="18">
        <f t="shared" ca="1" si="211"/>
        <v>760</v>
      </c>
      <c r="E691" s="17">
        <f t="shared" ca="1" si="212"/>
        <v>0</v>
      </c>
      <c r="F691" s="18">
        <f t="shared" ca="1" si="213"/>
        <v>28.5</v>
      </c>
      <c r="G691" s="17">
        <f t="shared" ca="1" si="214"/>
        <v>0</v>
      </c>
      <c r="H691" s="18" t="str">
        <f t="shared" ca="1" si="215"/>
        <v>—</v>
      </c>
      <c r="I691" s="17">
        <f t="shared" ca="1" si="216"/>
        <v>7</v>
      </c>
      <c r="J691" s="18" t="str">
        <f t="shared" ca="1" si="217"/>
        <v>—</v>
      </c>
      <c r="K691" s="17">
        <f t="shared" ca="1" si="218"/>
        <v>7</v>
      </c>
      <c r="L691" s="10">
        <f t="shared" ca="1" si="219"/>
        <v>79</v>
      </c>
      <c r="M691" s="17">
        <f t="shared" ca="1" si="220"/>
        <v>0</v>
      </c>
      <c r="N691" s="18">
        <f t="shared" ca="1" si="221"/>
        <v>23.2</v>
      </c>
      <c r="O691" s="17">
        <f t="shared" ca="1" si="222"/>
        <v>0</v>
      </c>
      <c r="P691" s="18">
        <f t="shared" ca="1" si="223"/>
        <v>25.6</v>
      </c>
      <c r="Q691" s="17">
        <f t="shared" ca="1" si="224"/>
        <v>0</v>
      </c>
      <c r="R691" s="10">
        <f t="shared" ca="1" si="225"/>
        <v>65</v>
      </c>
      <c r="S691" s="17">
        <f t="shared" ca="1" si="226"/>
        <v>0</v>
      </c>
      <c r="T691" s="70">
        <f t="shared" ca="1" si="227"/>
        <v>0.4</v>
      </c>
      <c r="U691" s="17">
        <f t="shared" ca="1" si="228"/>
        <v>0</v>
      </c>
      <c r="V691" s="71">
        <f t="shared" ca="1" si="229"/>
        <v>3</v>
      </c>
      <c r="W691" s="17">
        <f t="shared" ca="1" si="230"/>
        <v>0</v>
      </c>
    </row>
    <row r="692" spans="1:23" x14ac:dyDescent="0.25">
      <c r="A692" s="4">
        <f t="shared" si="210"/>
        <v>32</v>
      </c>
      <c r="B692" t="str">
        <f ca="1">TEXT(DATE(YEAR(Invoer!$A$6),1,1)+INT((ROWS(B$2:B692)-1)/4),"jjjjmmdd")</f>
        <v>19400621</v>
      </c>
      <c r="C692" s="64" t="str">
        <f>IF(MOD(ROWS(C$2:C692)-1,4)=3,"24.00",INDEX(Data,3,2+MOD(ROWS(C$2:C692)-1,4)))</f>
        <v>17.00</v>
      </c>
      <c r="D692" s="18">
        <f t="shared" ca="1" si="211"/>
        <v>758.7</v>
      </c>
      <c r="E692" s="17">
        <f t="shared" ca="1" si="212"/>
        <v>0</v>
      </c>
      <c r="F692" s="18">
        <f t="shared" ca="1" si="213"/>
        <v>27.1</v>
      </c>
      <c r="G692" s="17">
        <f t="shared" ca="1" si="214"/>
        <v>0</v>
      </c>
      <c r="H692" s="18" t="str">
        <f t="shared" ca="1" si="215"/>
        <v>—</v>
      </c>
      <c r="I692" s="17">
        <f t="shared" ca="1" si="216"/>
        <v>7</v>
      </c>
      <c r="J692" s="18" t="str">
        <f t="shared" ca="1" si="217"/>
        <v>—</v>
      </c>
      <c r="K692" s="17">
        <f t="shared" ca="1" si="218"/>
        <v>7</v>
      </c>
      <c r="L692" s="10">
        <f t="shared" ca="1" si="219"/>
        <v>79</v>
      </c>
      <c r="M692" s="17">
        <f t="shared" ca="1" si="220"/>
        <v>0</v>
      </c>
      <c r="N692" s="18">
        <f t="shared" ca="1" si="221"/>
        <v>21.2</v>
      </c>
      <c r="O692" s="17">
        <f t="shared" ca="1" si="222"/>
        <v>0</v>
      </c>
      <c r="P692" s="18">
        <f t="shared" ca="1" si="223"/>
        <v>24.2</v>
      </c>
      <c r="Q692" s="17">
        <f t="shared" ca="1" si="224"/>
        <v>0</v>
      </c>
      <c r="R692" s="10">
        <f t="shared" ca="1" si="225"/>
        <v>65</v>
      </c>
      <c r="S692" s="17">
        <f t="shared" ca="1" si="226"/>
        <v>0</v>
      </c>
      <c r="T692" s="70">
        <f t="shared" ca="1" si="227"/>
        <v>0.3</v>
      </c>
      <c r="U692" s="17">
        <f t="shared" ca="1" si="228"/>
        <v>0</v>
      </c>
      <c r="V692" s="71">
        <f t="shared" ca="1" si="229"/>
        <v>3</v>
      </c>
      <c r="W692" s="17">
        <f t="shared" ca="1" si="230"/>
        <v>0</v>
      </c>
    </row>
    <row r="693" spans="1:23" x14ac:dyDescent="0.25">
      <c r="A693" s="4">
        <f t="shared" si="210"/>
        <v>32</v>
      </c>
      <c r="B693" t="str">
        <f ca="1">TEXT(DATE(YEAR(Invoer!$A$6),1,1)+INT((ROWS(B$2:B693)-1)/4),"jjjjmmdd")</f>
        <v>19400621</v>
      </c>
      <c r="C693" s="64" t="str">
        <f>IF(MOD(ROWS(C$2:C693)-1,4)=3,"24.00",INDEX(Data,3,2+MOD(ROWS(C$2:C693)-1,4)))</f>
        <v>24.00</v>
      </c>
      <c r="D693" s="18" t="str">
        <f t="shared" ca="1" si="211"/>
        <v>—</v>
      </c>
      <c r="E693" s="17">
        <f t="shared" ca="1" si="212"/>
        <v>7</v>
      </c>
      <c r="F693" s="18" t="str">
        <f t="shared" ca="1" si="213"/>
        <v>—</v>
      </c>
      <c r="G693" s="17">
        <f t="shared" ca="1" si="214"/>
        <v>7</v>
      </c>
      <c r="H693" s="18">
        <f t="shared" ca="1" si="215"/>
        <v>29.4</v>
      </c>
      <c r="I693" s="17">
        <f t="shared" ca="1" si="216"/>
        <v>0</v>
      </c>
      <c r="J693" s="18">
        <f t="shared" ca="1" si="217"/>
        <v>31</v>
      </c>
      <c r="K693" s="17">
        <f t="shared" ca="1" si="218"/>
        <v>0</v>
      </c>
      <c r="L693" s="10" t="str">
        <f t="shared" ca="1" si="219"/>
        <v>—</v>
      </c>
      <c r="M693" s="17">
        <f t="shared" ca="1" si="220"/>
        <v>7</v>
      </c>
      <c r="N693" s="18" t="str">
        <f t="shared" ca="1" si="221"/>
        <v>—</v>
      </c>
      <c r="O693" s="17">
        <f t="shared" ca="1" si="222"/>
        <v>7</v>
      </c>
      <c r="P693" s="18" t="str">
        <f t="shared" ca="1" si="223"/>
        <v>—</v>
      </c>
      <c r="Q693" s="17">
        <f t="shared" ca="1" si="224"/>
        <v>7</v>
      </c>
      <c r="R693" s="10" t="str">
        <f t="shared" ca="1" si="225"/>
        <v>—</v>
      </c>
      <c r="S693" s="17">
        <f t="shared" ca="1" si="226"/>
        <v>7</v>
      </c>
      <c r="T693" s="70" t="str">
        <f t="shared" ca="1" si="227"/>
        <v>—</v>
      </c>
      <c r="U693" s="17">
        <f t="shared" ca="1" si="228"/>
        <v>7</v>
      </c>
      <c r="V693" s="71" t="str">
        <f t="shared" ca="1" si="229"/>
        <v>—</v>
      </c>
      <c r="W693" s="17">
        <f t="shared" ca="1" si="230"/>
        <v>7</v>
      </c>
    </row>
    <row r="694" spans="1:23" x14ac:dyDescent="0.25">
      <c r="A694" s="4">
        <f t="shared" si="210"/>
        <v>32</v>
      </c>
      <c r="B694" t="str">
        <f ca="1">TEXT(DATE(YEAR(Invoer!$A$6),1,1)+INT((ROWS(B$2:B694)-1)/4),"jjjjmmdd")</f>
        <v>19400622</v>
      </c>
      <c r="C694" s="64" t="str">
        <f>IF(MOD(ROWS(C$2:C694)-1,4)=3,"24.00",INDEX(Data,3,2+MOD(ROWS(C$2:C694)-1,4)))</f>
        <v>07.00</v>
      </c>
      <c r="D694" s="18">
        <f t="shared" ca="1" si="211"/>
        <v>759.2</v>
      </c>
      <c r="E694" s="17">
        <f t="shared" ca="1" si="212"/>
        <v>0</v>
      </c>
      <c r="F694" s="18">
        <f t="shared" ca="1" si="213"/>
        <v>26.1</v>
      </c>
      <c r="G694" s="17">
        <f t="shared" ca="1" si="214"/>
        <v>0</v>
      </c>
      <c r="H694" s="18" t="str">
        <f t="shared" ca="1" si="215"/>
        <v>—</v>
      </c>
      <c r="I694" s="17">
        <f t="shared" ca="1" si="216"/>
        <v>7</v>
      </c>
      <c r="J694" s="18" t="str">
        <f t="shared" ca="1" si="217"/>
        <v>—</v>
      </c>
      <c r="K694" s="17">
        <f t="shared" ca="1" si="218"/>
        <v>7</v>
      </c>
      <c r="L694" s="10">
        <f t="shared" ca="1" si="219"/>
        <v>87</v>
      </c>
      <c r="M694" s="17">
        <f t="shared" ca="1" si="220"/>
        <v>0</v>
      </c>
      <c r="N694" s="18">
        <f t="shared" ca="1" si="221"/>
        <v>22.1</v>
      </c>
      <c r="O694" s="17">
        <f t="shared" ca="1" si="222"/>
        <v>0</v>
      </c>
      <c r="P694" s="18">
        <f t="shared" ca="1" si="223"/>
        <v>24.4</v>
      </c>
      <c r="Q694" s="17">
        <f t="shared" ca="1" si="224"/>
        <v>0</v>
      </c>
      <c r="R694" s="10">
        <f t="shared" ca="1" si="225"/>
        <v>65</v>
      </c>
      <c r="S694" s="17">
        <f t="shared" ca="1" si="226"/>
        <v>0</v>
      </c>
      <c r="T694" s="70">
        <f t="shared" ca="1" si="227"/>
        <v>0.3</v>
      </c>
      <c r="U694" s="17">
        <f t="shared" ca="1" si="228"/>
        <v>0</v>
      </c>
      <c r="V694" s="71">
        <f t="shared" ca="1" si="229"/>
        <v>3</v>
      </c>
      <c r="W694" s="17">
        <f t="shared" ca="1" si="230"/>
        <v>0</v>
      </c>
    </row>
    <row r="695" spans="1:23" x14ac:dyDescent="0.25">
      <c r="A695" s="4">
        <f t="shared" si="210"/>
        <v>32</v>
      </c>
      <c r="B695" t="str">
        <f ca="1">TEXT(DATE(YEAR(Invoer!$A$6),1,1)+INT((ROWS(B$2:B695)-1)/4),"jjjjmmdd")</f>
        <v>19400622</v>
      </c>
      <c r="C695" s="64" t="str">
        <f>IF(MOD(ROWS(C$2:C695)-1,4)=3,"24.00",INDEX(Data,3,2+MOD(ROWS(C$2:C695)-1,4)))</f>
        <v>12.00</v>
      </c>
      <c r="D695" s="18">
        <f t="shared" ca="1" si="211"/>
        <v>759.7</v>
      </c>
      <c r="E695" s="17">
        <f t="shared" ca="1" si="212"/>
        <v>0</v>
      </c>
      <c r="F695" s="18">
        <f t="shared" ca="1" si="213"/>
        <v>28.3</v>
      </c>
      <c r="G695" s="17">
        <f t="shared" ca="1" si="214"/>
        <v>0</v>
      </c>
      <c r="H695" s="18" t="str">
        <f t="shared" ca="1" si="215"/>
        <v>—</v>
      </c>
      <c r="I695" s="17">
        <f t="shared" ca="1" si="216"/>
        <v>7</v>
      </c>
      <c r="J695" s="18" t="str">
        <f t="shared" ca="1" si="217"/>
        <v>—</v>
      </c>
      <c r="K695" s="17">
        <f t="shared" ca="1" si="218"/>
        <v>7</v>
      </c>
      <c r="L695" s="10">
        <f t="shared" ca="1" si="219"/>
        <v>74</v>
      </c>
      <c r="M695" s="17">
        <f t="shared" ca="1" si="220"/>
        <v>0</v>
      </c>
      <c r="N695" s="18">
        <f t="shared" ca="1" si="221"/>
        <v>21.4</v>
      </c>
      <c r="O695" s="17">
        <f t="shared" ca="1" si="222"/>
        <v>0</v>
      </c>
      <c r="P695" s="18">
        <f t="shared" ca="1" si="223"/>
        <v>24.6</v>
      </c>
      <c r="Q695" s="17">
        <f t="shared" ca="1" si="224"/>
        <v>0</v>
      </c>
      <c r="R695" s="10">
        <f t="shared" ca="1" si="225"/>
        <v>65</v>
      </c>
      <c r="S695" s="17">
        <f t="shared" ca="1" si="226"/>
        <v>0</v>
      </c>
      <c r="T695" s="70">
        <f t="shared" ca="1" si="227"/>
        <v>0.4</v>
      </c>
      <c r="U695" s="17">
        <f t="shared" ca="1" si="228"/>
        <v>0</v>
      </c>
      <c r="V695" s="71">
        <f t="shared" ca="1" si="229"/>
        <v>4</v>
      </c>
      <c r="W695" s="17">
        <f t="shared" ca="1" si="230"/>
        <v>0</v>
      </c>
    </row>
    <row r="696" spans="1:23" x14ac:dyDescent="0.25">
      <c r="A696" s="4">
        <f t="shared" si="210"/>
        <v>32</v>
      </c>
      <c r="B696" t="str">
        <f ca="1">TEXT(DATE(YEAR(Invoer!$A$6),1,1)+INT((ROWS(B$2:B696)-1)/4),"jjjjmmdd")</f>
        <v>19400622</v>
      </c>
      <c r="C696" s="64" t="str">
        <f>IF(MOD(ROWS(C$2:C696)-1,4)=3,"24.00",INDEX(Data,3,2+MOD(ROWS(C$2:C696)-1,4)))</f>
        <v>17.00</v>
      </c>
      <c r="D696" s="18">
        <f t="shared" ca="1" si="211"/>
        <v>759.2</v>
      </c>
      <c r="E696" s="17">
        <f t="shared" ca="1" si="212"/>
        <v>0</v>
      </c>
      <c r="F696" s="18">
        <f t="shared" ca="1" si="213"/>
        <v>26.9</v>
      </c>
      <c r="G696" s="17">
        <f t="shared" ca="1" si="214"/>
        <v>0</v>
      </c>
      <c r="H696" s="18" t="str">
        <f t="shared" ca="1" si="215"/>
        <v>—</v>
      </c>
      <c r="I696" s="17">
        <f t="shared" ca="1" si="216"/>
        <v>7</v>
      </c>
      <c r="J696" s="18" t="str">
        <f t="shared" ca="1" si="217"/>
        <v>—</v>
      </c>
      <c r="K696" s="17">
        <f t="shared" ca="1" si="218"/>
        <v>7</v>
      </c>
      <c r="L696" s="10">
        <f t="shared" ca="1" si="219"/>
        <v>79</v>
      </c>
      <c r="M696" s="17">
        <f t="shared" ca="1" si="220"/>
        <v>0</v>
      </c>
      <c r="N696" s="18">
        <f t="shared" ca="1" si="221"/>
        <v>20.9</v>
      </c>
      <c r="O696" s="17">
        <f t="shared" ca="1" si="222"/>
        <v>0</v>
      </c>
      <c r="P696" s="18">
        <f t="shared" ca="1" si="223"/>
        <v>24</v>
      </c>
      <c r="Q696" s="17">
        <f t="shared" ca="1" si="224"/>
        <v>0</v>
      </c>
      <c r="R696" s="10">
        <f t="shared" ca="1" si="225"/>
        <v>65</v>
      </c>
      <c r="S696" s="17">
        <f t="shared" ca="1" si="226"/>
        <v>0</v>
      </c>
      <c r="T696" s="70">
        <f t="shared" ca="1" si="227"/>
        <v>0.4</v>
      </c>
      <c r="U696" s="17">
        <f t="shared" ca="1" si="228"/>
        <v>0</v>
      </c>
      <c r="V696" s="71">
        <f t="shared" ca="1" si="229"/>
        <v>4</v>
      </c>
      <c r="W696" s="17">
        <f t="shared" ca="1" si="230"/>
        <v>0</v>
      </c>
    </row>
    <row r="697" spans="1:23" x14ac:dyDescent="0.25">
      <c r="A697" s="4">
        <f t="shared" si="210"/>
        <v>32</v>
      </c>
      <c r="B697" t="str">
        <f ca="1">TEXT(DATE(YEAR(Invoer!$A$6),1,1)+INT((ROWS(B$2:B697)-1)/4),"jjjjmmdd")</f>
        <v>19400622</v>
      </c>
      <c r="C697" s="64" t="str">
        <f>IF(MOD(ROWS(C$2:C697)-1,4)=3,"24.00",INDEX(Data,3,2+MOD(ROWS(C$2:C697)-1,4)))</f>
        <v>24.00</v>
      </c>
      <c r="D697" s="18" t="str">
        <f t="shared" ca="1" si="211"/>
        <v>—</v>
      </c>
      <c r="E697" s="17">
        <f t="shared" ca="1" si="212"/>
        <v>7</v>
      </c>
      <c r="F697" s="18" t="str">
        <f t="shared" ca="1" si="213"/>
        <v>—</v>
      </c>
      <c r="G697" s="17">
        <f t="shared" ca="1" si="214"/>
        <v>7</v>
      </c>
      <c r="H697" s="18">
        <f t="shared" ca="1" si="215"/>
        <v>29.5</v>
      </c>
      <c r="I697" s="17">
        <f t="shared" ca="1" si="216"/>
        <v>0</v>
      </c>
      <c r="J697" s="18">
        <f t="shared" ca="1" si="217"/>
        <v>30.4</v>
      </c>
      <c r="K697" s="17">
        <f t="shared" ca="1" si="218"/>
        <v>0</v>
      </c>
      <c r="L697" s="10" t="str">
        <f t="shared" ca="1" si="219"/>
        <v>—</v>
      </c>
      <c r="M697" s="17">
        <f t="shared" ca="1" si="220"/>
        <v>7</v>
      </c>
      <c r="N697" s="18" t="str">
        <f t="shared" ca="1" si="221"/>
        <v>—</v>
      </c>
      <c r="O697" s="17">
        <f t="shared" ca="1" si="222"/>
        <v>7</v>
      </c>
      <c r="P697" s="18" t="str">
        <f t="shared" ca="1" si="223"/>
        <v>—</v>
      </c>
      <c r="Q697" s="17">
        <f t="shared" ca="1" si="224"/>
        <v>7</v>
      </c>
      <c r="R697" s="10" t="str">
        <f t="shared" ca="1" si="225"/>
        <v>—</v>
      </c>
      <c r="S697" s="17">
        <f t="shared" ca="1" si="226"/>
        <v>7</v>
      </c>
      <c r="T697" s="70" t="str">
        <f t="shared" ca="1" si="227"/>
        <v>—</v>
      </c>
      <c r="U697" s="17">
        <f t="shared" ca="1" si="228"/>
        <v>7</v>
      </c>
      <c r="V697" s="71" t="str">
        <f t="shared" ca="1" si="229"/>
        <v>—</v>
      </c>
      <c r="W697" s="17">
        <f t="shared" ca="1" si="230"/>
        <v>7</v>
      </c>
    </row>
    <row r="698" spans="1:23" x14ac:dyDescent="0.25">
      <c r="A698" s="4">
        <f t="shared" si="210"/>
        <v>32</v>
      </c>
      <c r="B698" t="str">
        <f ca="1">TEXT(DATE(YEAR(Invoer!$A$6),1,1)+INT((ROWS(B$2:B698)-1)/4),"jjjjmmdd")</f>
        <v>19400623</v>
      </c>
      <c r="C698" s="64" t="str">
        <f>IF(MOD(ROWS(C$2:C698)-1,4)=3,"24.00",INDEX(Data,3,2+MOD(ROWS(C$2:C698)-1,4)))</f>
        <v>07.00</v>
      </c>
      <c r="D698" s="18">
        <f t="shared" ca="1" si="211"/>
        <v>759.7</v>
      </c>
      <c r="E698" s="17">
        <f t="shared" ca="1" si="212"/>
        <v>0</v>
      </c>
      <c r="F698" s="18">
        <f t="shared" ca="1" si="213"/>
        <v>25.7</v>
      </c>
      <c r="G698" s="17">
        <f t="shared" ca="1" si="214"/>
        <v>0</v>
      </c>
      <c r="H698" s="18" t="str">
        <f t="shared" ca="1" si="215"/>
        <v>—</v>
      </c>
      <c r="I698" s="17">
        <f t="shared" ca="1" si="216"/>
        <v>7</v>
      </c>
      <c r="J698" s="18" t="str">
        <f t="shared" ca="1" si="217"/>
        <v>—</v>
      </c>
      <c r="K698" s="17">
        <f t="shared" ca="1" si="218"/>
        <v>7</v>
      </c>
      <c r="L698" s="10">
        <f t="shared" ca="1" si="219"/>
        <v>82</v>
      </c>
      <c r="M698" s="17">
        <f t="shared" ca="1" si="220"/>
        <v>0</v>
      </c>
      <c r="N698" s="18">
        <f t="shared" ca="1" si="221"/>
        <v>20.399999999999999</v>
      </c>
      <c r="O698" s="17">
        <f t="shared" ca="1" si="222"/>
        <v>0</v>
      </c>
      <c r="P698" s="18">
        <f t="shared" ca="1" si="223"/>
        <v>23.4</v>
      </c>
      <c r="Q698" s="17">
        <f t="shared" ca="1" si="224"/>
        <v>0</v>
      </c>
      <c r="R698" s="10">
        <f t="shared" ca="1" si="225"/>
        <v>65</v>
      </c>
      <c r="S698" s="17">
        <f t="shared" ca="1" si="226"/>
        <v>0</v>
      </c>
      <c r="T698" s="70">
        <f t="shared" ca="1" si="227"/>
        <v>0.4</v>
      </c>
      <c r="U698" s="17">
        <f t="shared" ca="1" si="228"/>
        <v>0</v>
      </c>
      <c r="V698" s="71">
        <f t="shared" ca="1" si="229"/>
        <v>4</v>
      </c>
      <c r="W698" s="17">
        <f t="shared" ca="1" si="230"/>
        <v>0</v>
      </c>
    </row>
    <row r="699" spans="1:23" x14ac:dyDescent="0.25">
      <c r="A699" s="4">
        <f t="shared" si="210"/>
        <v>32</v>
      </c>
      <c r="B699" t="str">
        <f ca="1">TEXT(DATE(YEAR(Invoer!$A$6),1,1)+INT((ROWS(B$2:B699)-1)/4),"jjjjmmdd")</f>
        <v>19400623</v>
      </c>
      <c r="C699" s="64" t="str">
        <f>IF(MOD(ROWS(C$2:C699)-1,4)=3,"24.00",INDEX(Data,3,2+MOD(ROWS(C$2:C699)-1,4)))</f>
        <v>12.00</v>
      </c>
      <c r="D699" s="18">
        <f t="shared" ca="1" si="211"/>
        <v>759.7</v>
      </c>
      <c r="E699" s="17">
        <f t="shared" ca="1" si="212"/>
        <v>0</v>
      </c>
      <c r="F699" s="18">
        <f t="shared" ca="1" si="213"/>
        <v>28.3</v>
      </c>
      <c r="G699" s="17">
        <f t="shared" ca="1" si="214"/>
        <v>0</v>
      </c>
      <c r="H699" s="18" t="str">
        <f t="shared" ca="1" si="215"/>
        <v>—</v>
      </c>
      <c r="I699" s="17">
        <f t="shared" ca="1" si="216"/>
        <v>7</v>
      </c>
      <c r="J699" s="18" t="str">
        <f t="shared" ca="1" si="217"/>
        <v>—</v>
      </c>
      <c r="K699" s="17">
        <f t="shared" ca="1" si="218"/>
        <v>7</v>
      </c>
      <c r="L699" s="10">
        <f t="shared" ca="1" si="219"/>
        <v>73</v>
      </c>
      <c r="M699" s="17">
        <f t="shared" ca="1" si="220"/>
        <v>0</v>
      </c>
      <c r="N699" s="18">
        <f t="shared" ca="1" si="221"/>
        <v>21</v>
      </c>
      <c r="O699" s="17">
        <f t="shared" ca="1" si="222"/>
        <v>0</v>
      </c>
      <c r="P699" s="18">
        <f t="shared" ca="1" si="223"/>
        <v>24.4</v>
      </c>
      <c r="Q699" s="17">
        <f t="shared" ca="1" si="224"/>
        <v>0</v>
      </c>
      <c r="R699" s="10">
        <f t="shared" ca="1" si="225"/>
        <v>45</v>
      </c>
      <c r="S699" s="17">
        <f t="shared" ca="1" si="226"/>
        <v>0</v>
      </c>
      <c r="T699" s="70">
        <f t="shared" ca="1" si="227"/>
        <v>0.5</v>
      </c>
      <c r="U699" s="17">
        <f t="shared" ca="1" si="228"/>
        <v>0</v>
      </c>
      <c r="V699" s="71">
        <f t="shared" ca="1" si="229"/>
        <v>5</v>
      </c>
      <c r="W699" s="17">
        <f t="shared" ca="1" si="230"/>
        <v>0</v>
      </c>
    </row>
    <row r="700" spans="1:23" x14ac:dyDescent="0.25">
      <c r="A700" s="4">
        <f t="shared" si="210"/>
        <v>32</v>
      </c>
      <c r="B700" t="str">
        <f ca="1">TEXT(DATE(YEAR(Invoer!$A$6),1,1)+INT((ROWS(B$2:B700)-1)/4),"jjjjmmdd")</f>
        <v>19400623</v>
      </c>
      <c r="C700" s="64" t="str">
        <f>IF(MOD(ROWS(C$2:C700)-1,4)=3,"24.00",INDEX(Data,3,2+MOD(ROWS(C$2:C700)-1,4)))</f>
        <v>17.00</v>
      </c>
      <c r="D700" s="18">
        <f t="shared" ca="1" si="211"/>
        <v>758.2</v>
      </c>
      <c r="E700" s="17">
        <f t="shared" ca="1" si="212"/>
        <v>0</v>
      </c>
      <c r="F700" s="18">
        <f t="shared" ca="1" si="213"/>
        <v>26.9</v>
      </c>
      <c r="G700" s="17">
        <f t="shared" ca="1" si="214"/>
        <v>0</v>
      </c>
      <c r="H700" s="18" t="str">
        <f t="shared" ca="1" si="215"/>
        <v>—</v>
      </c>
      <c r="I700" s="17">
        <f t="shared" ca="1" si="216"/>
        <v>7</v>
      </c>
      <c r="J700" s="18" t="str">
        <f t="shared" ca="1" si="217"/>
        <v>—</v>
      </c>
      <c r="K700" s="17">
        <f t="shared" ca="1" si="218"/>
        <v>7</v>
      </c>
      <c r="L700" s="10">
        <f t="shared" ca="1" si="219"/>
        <v>79</v>
      </c>
      <c r="M700" s="17">
        <f t="shared" ca="1" si="220"/>
        <v>0</v>
      </c>
      <c r="N700" s="18">
        <f t="shared" ca="1" si="221"/>
        <v>20.9</v>
      </c>
      <c r="O700" s="17">
        <f t="shared" ca="1" si="222"/>
        <v>0</v>
      </c>
      <c r="P700" s="18">
        <f t="shared" ca="1" si="223"/>
        <v>24</v>
      </c>
      <c r="Q700" s="17">
        <f t="shared" ca="1" si="224"/>
        <v>0</v>
      </c>
      <c r="R700" s="10">
        <f t="shared" ca="1" si="225"/>
        <v>45</v>
      </c>
      <c r="S700" s="17">
        <f t="shared" ca="1" si="226"/>
        <v>0</v>
      </c>
      <c r="T700" s="70">
        <f t="shared" ca="1" si="227"/>
        <v>0.5</v>
      </c>
      <c r="U700" s="17">
        <f t="shared" ca="1" si="228"/>
        <v>0</v>
      </c>
      <c r="V700" s="71">
        <f t="shared" ca="1" si="229"/>
        <v>4</v>
      </c>
      <c r="W700" s="17">
        <f t="shared" ca="1" si="230"/>
        <v>0</v>
      </c>
    </row>
    <row r="701" spans="1:23" x14ac:dyDescent="0.25">
      <c r="A701" s="4">
        <f t="shared" si="210"/>
        <v>32</v>
      </c>
      <c r="B701" t="str">
        <f ca="1">TEXT(DATE(YEAR(Invoer!$A$6),1,1)+INT((ROWS(B$2:B701)-1)/4),"jjjjmmdd")</f>
        <v>19400623</v>
      </c>
      <c r="C701" s="64" t="str">
        <f>IF(MOD(ROWS(C$2:C701)-1,4)=3,"24.00",INDEX(Data,3,2+MOD(ROWS(C$2:C701)-1,4)))</f>
        <v>24.00</v>
      </c>
      <c r="D701" s="18" t="str">
        <f t="shared" ca="1" si="211"/>
        <v>—</v>
      </c>
      <c r="E701" s="17">
        <f t="shared" ca="1" si="212"/>
        <v>7</v>
      </c>
      <c r="F701" s="18" t="str">
        <f t="shared" ca="1" si="213"/>
        <v>—</v>
      </c>
      <c r="G701" s="17">
        <f t="shared" ca="1" si="214"/>
        <v>7</v>
      </c>
      <c r="H701" s="18">
        <f t="shared" ca="1" si="215"/>
        <v>28.5</v>
      </c>
      <c r="I701" s="17">
        <f t="shared" ca="1" si="216"/>
        <v>0</v>
      </c>
      <c r="J701" s="18">
        <f t="shared" ca="1" si="217"/>
        <v>30.4</v>
      </c>
      <c r="K701" s="17">
        <f t="shared" ca="1" si="218"/>
        <v>0</v>
      </c>
      <c r="L701" s="10" t="str">
        <f t="shared" ca="1" si="219"/>
        <v>—</v>
      </c>
      <c r="M701" s="17">
        <f t="shared" ca="1" si="220"/>
        <v>7</v>
      </c>
      <c r="N701" s="18" t="str">
        <f t="shared" ca="1" si="221"/>
        <v>—</v>
      </c>
      <c r="O701" s="17">
        <f t="shared" ca="1" si="222"/>
        <v>7</v>
      </c>
      <c r="P701" s="18" t="str">
        <f t="shared" ca="1" si="223"/>
        <v>—</v>
      </c>
      <c r="Q701" s="17">
        <f t="shared" ca="1" si="224"/>
        <v>7</v>
      </c>
      <c r="R701" s="10" t="str">
        <f t="shared" ca="1" si="225"/>
        <v>—</v>
      </c>
      <c r="S701" s="17">
        <f t="shared" ca="1" si="226"/>
        <v>7</v>
      </c>
      <c r="T701" s="70" t="str">
        <f t="shared" ca="1" si="227"/>
        <v>—</v>
      </c>
      <c r="U701" s="17">
        <f t="shared" ca="1" si="228"/>
        <v>7</v>
      </c>
      <c r="V701" s="71" t="str">
        <f t="shared" ca="1" si="229"/>
        <v>—</v>
      </c>
      <c r="W701" s="17">
        <f t="shared" ca="1" si="230"/>
        <v>7</v>
      </c>
    </row>
    <row r="702" spans="1:23" x14ac:dyDescent="0.25">
      <c r="A702" s="4">
        <f t="shared" si="210"/>
        <v>32</v>
      </c>
      <c r="B702" t="str">
        <f ca="1">TEXT(DATE(YEAR(Invoer!$A$6),1,1)+INT((ROWS(B$2:B702)-1)/4),"jjjjmmdd")</f>
        <v>19400624</v>
      </c>
      <c r="C702" s="64" t="str">
        <f>IF(MOD(ROWS(C$2:C702)-1,4)=3,"24.00",INDEX(Data,3,2+MOD(ROWS(C$2:C702)-1,4)))</f>
        <v>07.00</v>
      </c>
      <c r="D702" s="18">
        <f t="shared" ca="1" si="211"/>
        <v>760.7</v>
      </c>
      <c r="E702" s="17">
        <f t="shared" ca="1" si="212"/>
        <v>0</v>
      </c>
      <c r="F702" s="18">
        <f t="shared" ca="1" si="213"/>
        <v>27.1</v>
      </c>
      <c r="G702" s="17">
        <f t="shared" ca="1" si="214"/>
        <v>0</v>
      </c>
      <c r="H702" s="18" t="str">
        <f t="shared" ca="1" si="215"/>
        <v>—</v>
      </c>
      <c r="I702" s="17">
        <f t="shared" ca="1" si="216"/>
        <v>7</v>
      </c>
      <c r="J702" s="18" t="str">
        <f t="shared" ca="1" si="217"/>
        <v>—</v>
      </c>
      <c r="K702" s="17">
        <f t="shared" ca="1" si="218"/>
        <v>7</v>
      </c>
      <c r="L702" s="10">
        <f t="shared" ca="1" si="219"/>
        <v>76</v>
      </c>
      <c r="M702" s="17">
        <f t="shared" ca="1" si="220"/>
        <v>0</v>
      </c>
      <c r="N702" s="18">
        <f t="shared" ca="1" si="221"/>
        <v>20.5</v>
      </c>
      <c r="O702" s="17">
        <f t="shared" ca="1" si="222"/>
        <v>0</v>
      </c>
      <c r="P702" s="18">
        <f t="shared" ca="1" si="223"/>
        <v>23.8</v>
      </c>
      <c r="Q702" s="17">
        <f t="shared" ca="1" si="224"/>
        <v>0</v>
      </c>
      <c r="R702" s="10">
        <f t="shared" ca="1" si="225"/>
        <v>65</v>
      </c>
      <c r="S702" s="17">
        <f t="shared" ca="1" si="226"/>
        <v>0</v>
      </c>
      <c r="T702" s="70">
        <f t="shared" ca="1" si="227"/>
        <v>0.4</v>
      </c>
      <c r="U702" s="17">
        <f t="shared" ca="1" si="228"/>
        <v>0</v>
      </c>
      <c r="V702" s="71">
        <f t="shared" ca="1" si="229"/>
        <v>3</v>
      </c>
      <c r="W702" s="17">
        <f t="shared" ca="1" si="230"/>
        <v>0</v>
      </c>
    </row>
    <row r="703" spans="1:23" x14ac:dyDescent="0.25">
      <c r="A703" s="4">
        <f t="shared" si="210"/>
        <v>32</v>
      </c>
      <c r="B703" t="str">
        <f ca="1">TEXT(DATE(YEAR(Invoer!$A$6),1,1)+INT((ROWS(B$2:B703)-1)/4),"jjjjmmdd")</f>
        <v>19400624</v>
      </c>
      <c r="C703" s="64" t="str">
        <f>IF(MOD(ROWS(C$2:C703)-1,4)=3,"24.00",INDEX(Data,3,2+MOD(ROWS(C$2:C703)-1,4)))</f>
        <v>12.00</v>
      </c>
      <c r="D703" s="18">
        <f t="shared" ca="1" si="211"/>
        <v>759.5</v>
      </c>
      <c r="E703" s="17">
        <f t="shared" ca="1" si="212"/>
        <v>0</v>
      </c>
      <c r="F703" s="18">
        <f t="shared" ca="1" si="213"/>
        <v>27.7</v>
      </c>
      <c r="G703" s="17">
        <f t="shared" ca="1" si="214"/>
        <v>0</v>
      </c>
      <c r="H703" s="18" t="str">
        <f t="shared" ca="1" si="215"/>
        <v>—</v>
      </c>
      <c r="I703" s="17">
        <f t="shared" ca="1" si="216"/>
        <v>7</v>
      </c>
      <c r="J703" s="18" t="str">
        <f t="shared" ca="1" si="217"/>
        <v>—</v>
      </c>
      <c r="K703" s="17">
        <f t="shared" ca="1" si="218"/>
        <v>7</v>
      </c>
      <c r="L703" s="10">
        <f t="shared" ca="1" si="219"/>
        <v>76</v>
      </c>
      <c r="M703" s="17">
        <f t="shared" ca="1" si="220"/>
        <v>0</v>
      </c>
      <c r="N703" s="18">
        <f t="shared" ca="1" si="221"/>
        <v>21.3</v>
      </c>
      <c r="O703" s="17">
        <f t="shared" ca="1" si="222"/>
        <v>0</v>
      </c>
      <c r="P703" s="18">
        <f t="shared" ca="1" si="223"/>
        <v>24.4</v>
      </c>
      <c r="Q703" s="17">
        <f t="shared" ca="1" si="224"/>
        <v>0</v>
      </c>
      <c r="R703" s="10">
        <f t="shared" ca="1" si="225"/>
        <v>65</v>
      </c>
      <c r="S703" s="17">
        <f t="shared" ca="1" si="226"/>
        <v>0</v>
      </c>
      <c r="T703" s="70">
        <f t="shared" ca="1" si="227"/>
        <v>0.5</v>
      </c>
      <c r="U703" s="17">
        <f t="shared" ca="1" si="228"/>
        <v>0</v>
      </c>
      <c r="V703" s="71">
        <f t="shared" ca="1" si="229"/>
        <v>4</v>
      </c>
      <c r="W703" s="17">
        <f t="shared" ca="1" si="230"/>
        <v>0</v>
      </c>
    </row>
    <row r="704" spans="1:23" x14ac:dyDescent="0.25">
      <c r="A704" s="4">
        <f t="shared" si="210"/>
        <v>32</v>
      </c>
      <c r="B704" t="str">
        <f ca="1">TEXT(DATE(YEAR(Invoer!$A$6),1,1)+INT((ROWS(B$2:B704)-1)/4),"jjjjmmdd")</f>
        <v>19400624</v>
      </c>
      <c r="C704" s="64" t="str">
        <f>IF(MOD(ROWS(C$2:C704)-1,4)=3,"24.00",INDEX(Data,3,2+MOD(ROWS(C$2:C704)-1,4)))</f>
        <v>17.00</v>
      </c>
      <c r="D704" s="18">
        <f t="shared" ca="1" si="211"/>
        <v>758.5</v>
      </c>
      <c r="E704" s="17">
        <f t="shared" ca="1" si="212"/>
        <v>0</v>
      </c>
      <c r="F704" s="18">
        <f t="shared" ca="1" si="213"/>
        <v>27.1</v>
      </c>
      <c r="G704" s="17">
        <f t="shared" ca="1" si="214"/>
        <v>0</v>
      </c>
      <c r="H704" s="18" t="str">
        <f t="shared" ca="1" si="215"/>
        <v>—</v>
      </c>
      <c r="I704" s="17">
        <f t="shared" ca="1" si="216"/>
        <v>7</v>
      </c>
      <c r="J704" s="18" t="str">
        <f t="shared" ca="1" si="217"/>
        <v>—</v>
      </c>
      <c r="K704" s="17">
        <f t="shared" ca="1" si="218"/>
        <v>7</v>
      </c>
      <c r="L704" s="10">
        <f t="shared" ca="1" si="219"/>
        <v>77</v>
      </c>
      <c r="M704" s="17">
        <f t="shared" ca="1" si="220"/>
        <v>0</v>
      </c>
      <c r="N704" s="18">
        <f t="shared" ca="1" si="221"/>
        <v>20.8</v>
      </c>
      <c r="O704" s="17">
        <f t="shared" ca="1" si="222"/>
        <v>0</v>
      </c>
      <c r="P704" s="18">
        <f t="shared" ca="1" si="223"/>
        <v>24</v>
      </c>
      <c r="Q704" s="17">
        <f t="shared" ca="1" si="224"/>
        <v>0</v>
      </c>
      <c r="R704" s="10">
        <f t="shared" ca="1" si="225"/>
        <v>45</v>
      </c>
      <c r="S704" s="17">
        <f t="shared" ca="1" si="226"/>
        <v>0</v>
      </c>
      <c r="T704" s="70">
        <f t="shared" ca="1" si="227"/>
        <v>0.5</v>
      </c>
      <c r="U704" s="17">
        <f t="shared" ca="1" si="228"/>
        <v>0</v>
      </c>
      <c r="V704" s="71">
        <f t="shared" ca="1" si="229"/>
        <v>3</v>
      </c>
      <c r="W704" s="17">
        <f t="shared" ca="1" si="230"/>
        <v>0</v>
      </c>
    </row>
    <row r="705" spans="1:23" x14ac:dyDescent="0.25">
      <c r="A705" s="4">
        <f t="shared" si="210"/>
        <v>32</v>
      </c>
      <c r="B705" t="str">
        <f ca="1">TEXT(DATE(YEAR(Invoer!$A$6),1,1)+INT((ROWS(B$2:B705)-1)/4),"jjjjmmdd")</f>
        <v>19400624</v>
      </c>
      <c r="C705" s="64" t="str">
        <f>IF(MOD(ROWS(C$2:C705)-1,4)=3,"24.00",INDEX(Data,3,2+MOD(ROWS(C$2:C705)-1,4)))</f>
        <v>24.00</v>
      </c>
      <c r="D705" s="18" t="str">
        <f t="shared" ca="1" si="211"/>
        <v>—</v>
      </c>
      <c r="E705" s="17">
        <f t="shared" ca="1" si="212"/>
        <v>7</v>
      </c>
      <c r="F705" s="18" t="str">
        <f t="shared" ca="1" si="213"/>
        <v>—</v>
      </c>
      <c r="G705" s="17">
        <f t="shared" ca="1" si="214"/>
        <v>7</v>
      </c>
      <c r="H705" s="18">
        <f t="shared" ca="1" si="215"/>
        <v>29.2</v>
      </c>
      <c r="I705" s="17">
        <f t="shared" ca="1" si="216"/>
        <v>0</v>
      </c>
      <c r="J705" s="18">
        <f t="shared" ca="1" si="217"/>
        <v>31</v>
      </c>
      <c r="K705" s="17">
        <f t="shared" ca="1" si="218"/>
        <v>0</v>
      </c>
      <c r="L705" s="10" t="str">
        <f t="shared" ca="1" si="219"/>
        <v>—</v>
      </c>
      <c r="M705" s="17">
        <f t="shared" ca="1" si="220"/>
        <v>7</v>
      </c>
      <c r="N705" s="18" t="str">
        <f t="shared" ca="1" si="221"/>
        <v>—</v>
      </c>
      <c r="O705" s="17">
        <f t="shared" ca="1" si="222"/>
        <v>7</v>
      </c>
      <c r="P705" s="18" t="str">
        <f t="shared" ca="1" si="223"/>
        <v>—</v>
      </c>
      <c r="Q705" s="17">
        <f t="shared" ca="1" si="224"/>
        <v>7</v>
      </c>
      <c r="R705" s="10" t="str">
        <f t="shared" ca="1" si="225"/>
        <v>—</v>
      </c>
      <c r="S705" s="17">
        <f t="shared" ca="1" si="226"/>
        <v>7</v>
      </c>
      <c r="T705" s="70" t="str">
        <f t="shared" ca="1" si="227"/>
        <v>—</v>
      </c>
      <c r="U705" s="17">
        <f t="shared" ca="1" si="228"/>
        <v>7</v>
      </c>
      <c r="V705" s="71" t="str">
        <f t="shared" ca="1" si="229"/>
        <v>—</v>
      </c>
      <c r="W705" s="17">
        <f t="shared" ca="1" si="230"/>
        <v>7</v>
      </c>
    </row>
    <row r="706" spans="1:23" x14ac:dyDescent="0.25">
      <c r="A706" s="4">
        <f t="shared" ref="A706:A769" si="231">INDEX(Stations,2,1)</f>
        <v>32</v>
      </c>
      <c r="B706" t="str">
        <f ca="1">TEXT(DATE(YEAR(Invoer!$A$6),1,1)+INT((ROWS(B$2:B706)-1)/4),"jjjjmmdd")</f>
        <v>19400625</v>
      </c>
      <c r="C706" s="64" t="str">
        <f>IF(MOD(ROWS(C$2:C706)-1,4)=3,"24.00",INDEX(Data,3,2+MOD(ROWS(C$2:C706)-1,4)))</f>
        <v>07.00</v>
      </c>
      <c r="D706" s="18">
        <f t="shared" ref="D706:D769" ca="1" si="232">IF(OR(ISBLANK(VLOOKUP(DATEVALUE(LEFT($B706,4)&amp;"-"&amp;MID($B706,5,2)&amp;"-"&amp;RIGHT($B706,2)),Data,MATCH(LEFT(VLOOKUP(D$1,Parameters,2,FALSE()),4)&amp;"*",OFFSET(Data,0,0,1),0)+MATCH($C706,OFFSET(Data,2,0,1),0)-2,FALSE())),ISTEXT(VLOOKUP(DATEVALUE(LEFT($B706,4)&amp;"-"&amp;MID($B706,5,2)&amp;"-"&amp;RIGHT($B706,2)),Data,MATCH(LEFT(VLOOKUP(D$1,Parameters,2,FALSE()),4)&amp;"*",OFFSET(Data,0,0,1),0)+MATCH($C706,OFFSET(Data,2,0,1),0)-2,FALSE())),EXACT($C706,"24.00")),"—",VLOOKUP(DATEVALUE(LEFT($B706,4)&amp;"-"&amp;MID($B706,5,2)&amp;"-"&amp;RIGHT($B706,2)),Data,MATCH(LEFT(VLOOKUP(D$1,Parameters,2,FALSE()),4)&amp;"*",OFFSET(Data,0,0,1),0)+MATCH($C706,OFFSET(Data,2,0,1),0)-2,FALSE())/10)</f>
        <v>760.7</v>
      </c>
      <c r="E706" s="17">
        <f t="shared" ref="E706:E769" ca="1" si="233">IF(OR(ISBLANK(VLOOKUP(DATEVALUE(LEFT($B706,4)&amp;"-"&amp;MID($B706,5,2)&amp;"-"&amp;RIGHT($B706,2)),Data,MATCH(LEFT(VLOOKUP(MID(E$1,2,LEN(E$1)-1),Parameters,2,FALSE()),4)&amp;"*",OFFSET(Data,0,0,1),0)+MATCH($C706,OFFSET(Data,2,0,1),0)-2,FALSE())),ISTEXT(VLOOKUP(DATEVALUE(LEFT($B706,4)&amp;"-"&amp;MID($B706,5,2)&amp;"-"&amp;RIGHT($B706,2)),Data,MATCH(LEFT(VLOOKUP(MID(E$1,2,LEN(E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Data,2,0,1),0)-2,FALSE())))</f>
        <v>0</v>
      </c>
      <c r="F706" s="18">
        <f t="shared" ref="F706:F769" ca="1" si="234">IF(OR(ISBLANK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ISTEXT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EXACT($C706,"24.00")),"—",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/10)</f>
        <v>26.5</v>
      </c>
      <c r="G706" s="17">
        <f t="shared" ref="G706:G769" ca="1" si="235">IF(OR(ISBLANK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ISTEXT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G$1,2,LEN(G$1)-1),Parameters,2,FALSE()),FIND(LOWER(MID(G$1,2,1)),VLOOKUP(MID(G$1,2,LEN(G$1)-1),Parameters,2,FALSE()),5),4)&amp;"*",OFFSET(Catalogus,0,0,1),0)+2*MATCH($C706,OFFSET(Catalogus,2,0,1),0)+MATCH(LEFT(VLOOKUP(MID(G$1,2,LEN(G$1)-1),Parameters,2,FALSE()),3)&amp;"*",OFFSET(Catalogus,2,4,1),0)-5,FALSE())))</f>
        <v>0</v>
      </c>
      <c r="H706" s="18" t="str">
        <f t="shared" ref="H706:H769" ca="1" si="236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/10)</f>
        <v>—</v>
      </c>
      <c r="I706" s="17">
        <f t="shared" ref="I706:I769" ca="1" si="237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7</v>
      </c>
      <c r="J706" s="18" t="str">
        <f t="shared" ref="J706:J769" ca="1" si="238">IF(OR(ISBLANK(VLOOKUP(DATEVALUE(LEFT($B706,4)&amp;"-"&amp;MID($B706,5,2)&amp;"-"&amp;RIGHT($B706,2)),Data,MATCH(LEFT(VLOOKUP(J$1,Parameters,2,FALSE()),4)&amp;"*",OFFSET(Data,1,0,1),0),FALSE())),ISTEXT(VLOOKUP(DATEVALUE(LEFT($B706,4)&amp;"-"&amp;MID($B706,5,2)&amp;"-"&amp;RIGHT($B706,2)),Data,MATCH(LEFT(VLOOKUP(J$1,Parameters,2,FALSE()),4)&amp;"*",OFFSET(Data,1,0,1),0),FALSE())),NOT(EXACT($C706,"24.00"))),"—",VLOOKUP(DATEVALUE(LEFT($B706,4)&amp;"-"&amp;MID($B706,5,2)&amp;"-"&amp;RIGHT($B706,2)),Data,MATCH(LEFT(VLOOKUP(J$1,Parameters,2,FALSE()),4)&amp;"*",OFFSET(Data,1,0,1),0),FALSE())/10)</f>
        <v>—</v>
      </c>
      <c r="K706" s="17">
        <f t="shared" ref="K706:K769" ca="1" si="239">IF(OR(ISBLANK(VLOOKUP(DATEVALUE(LEFT($B706,4)&amp;"-"&amp;MID($B706,5,2)&amp;"-"&amp;RIGHT($B706,2)),Data,MATCH(LEFT(VLOOKUP(MID(K$1,2,LEN(K$1)-1),Parameters,2,FALSE()),4)&amp;"*",OFFSET(Data,1,0,1),0),FALSE())),ISTEXT(VLOOKUP(DATEVALUE(LEFT($B706,4)&amp;"-"&amp;MID($B706,5,2)&amp;"-"&amp;RIGHT($B706,2)),Data,MATCH(LEFT(VLOOKUP(MID(K$1,2,LEN(K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K$1,2,LEN(K$1)-1),Parameters,2,FALSE()),4)&amp;"*",OFFSET(Catalogus,1,0,1),0),FALSE())))</f>
        <v>7</v>
      </c>
      <c r="L706" s="10">
        <f t="shared" ref="L706:L769" ca="1" si="240">IF(OR(ISBLANK(VLOOKUP(DATEVALUE(LEFT($B706,4)&amp;"-"&amp;MID($B706,5,2)&amp;"-"&amp;RIGHT($B706,2)),Data,MATCH(LEFT(VLOOKUP(L$1,Parameters,2,FALSE()),4)&amp;"*",OFFSET(Data,0,0,1),0)+MATCH($C706,OFFSET(Data,2,0,1),0)-2,FALSE())),ISTEXT(VLOOKUP(DATEVALUE(LEFT($B706,4)&amp;"-"&amp;MID($B706,5,2)&amp;"-"&amp;RIGHT($B706,2)),Data,MATCH(LEFT(VLOOKUP(L$1,Parameters,2,FALSE()),4)&amp;"*",OFFSET(Data,0,0,1),0)+MATCH($C706,OFFSET(Data,2,0,1),0)-2,FALSE())),EXACT($C706,"24.00")),"—",VLOOKUP(DATEVALUE(LEFT($B706,4)&amp;"-"&amp;MID($B706,5,2)&amp;"-"&amp;RIGHT($B706,2)),Data,MATCH(LEFT(VLOOKUP(L$1,Parameters,2,FALSE()),4)&amp;"*",OFFSET(Data,0,0,1),0)+MATCH($C706,OFFSET(Data,2,0,1),0)-2,FALSE()))</f>
        <v>77</v>
      </c>
      <c r="M706" s="17">
        <f t="shared" ref="M706:M769" ca="1" si="241">IF(OR(ISBLANK(VLOOKUP(DATEVALUE(LEFT($B706,4)&amp;"-"&amp;MID($B706,5,2)&amp;"-"&amp;RIGHT($B706,2)),Data,MATCH(LEFT(VLOOKUP(MID(M$1,2,LEN(M$1)-1),Parameters,2,FALSE()),4)&amp;"*",OFFSET(Data,0,0,1),0)+MATCH($C706,OFFSET(Data,2,0,1),0)-2,FALSE())),ISTEXT(VLOOKUP(DATEVALUE(LEFT($B706,4)&amp;"-"&amp;MID($B706,5,2)&amp;"-"&amp;RIGHT($B706,2)),Data,MATCH(LEFT(VLOOKUP(MID(M$1,2,LEN(M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M$1,2,LEN(M$1)-1),Parameters,2,FALSE()),4)&amp;"*",OFFSET(Catalogus,0,0,1),0)+MATCH($C706,OFFSET(Data,2,0,1),0)-2,FALSE())))</f>
        <v>0</v>
      </c>
      <c r="N706" s="18">
        <f t="shared" ref="N706:N769" ca="1" si="242">IF(OR(ISBLANK(VLOOKUP(DATEVALUE(LEFT($B706,4)&amp;"-"&amp;MID($B706,5,2)&amp;"-"&amp;RIGHT($B706,2)),Data,MATCH(LEFT(VLOOKUP(N$1,Parameters,2,FALSE()),4)&amp;"*",OFFSET(Data,0,0,1),0)+MATCH($C706,OFFSET(Data,2,0,1),0)-2,FALSE())),ISTEXT(VLOOKUP(DATEVALUE(LEFT($B706,4)&amp;"-"&amp;MID($B706,5,2)&amp;"-"&amp;RIGHT($B706,2)),Data,MATCH(LEFT(VLOOKUP(N$1,Parameters,2,FALSE()),4)&amp;"*",OFFSET(Data,0,0,1),0)+MATCH($C706,OFFSET(Data,2,0,1),0)-2,FALSE())),EXACT($C706,"24.00")),"—",VLOOKUP(DATEVALUE(LEFT($B706,4)&amp;"-"&amp;MID($B706,5,2)&amp;"-"&amp;RIGHT($B706,2)),Data,MATCH(LEFT(VLOOKUP(N$1,Parameters,2,FALSE()),4)&amp;"*",OFFSET(Data,0,0,1),0)+MATCH($C706,OFFSET(Data,2,0,1),0)-2,FALSE())/10)</f>
        <v>20</v>
      </c>
      <c r="O706" s="17">
        <f t="shared" ref="O706:O769" ca="1" si="243">IF(OR(ISBLANK(VLOOKUP(DATEVALUE(LEFT($B706,4)&amp;"-"&amp;MID($B706,5,2)&amp;"-"&amp;RIGHT($B706,2)),Data,MATCH(LEFT(VLOOKUP(MID(O$1,2,LEN(O$1)-1),Parameters,2,FALSE()),4)&amp;"*",OFFSET(Data,0,0,1),0)+MATCH($C706,OFFSET(Data,2,0,1),0)-2,FALSE())),ISTEXT(VLOOKUP(DATEVALUE(LEFT($B706,4)&amp;"-"&amp;MID($B706,5,2)&amp;"-"&amp;RIGHT($B706,2)),Data,MATCH(LEFT(VLOOKUP(MID(O$1,2,LEN(O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O$1,2,LEN(O$1)-1),Parameters,2,FALSE()),4)&amp;"*",OFFSET(Catalogus,0,0,1),0)+MATCH($C706,OFFSET(Data,2,0,1),0)-2,FALSE())))</f>
        <v>0</v>
      </c>
      <c r="P706" s="18">
        <f t="shared" ref="P706:P769" ca="1" si="244">IF(OR(ISBLANK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ISTEXT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EXACT($C706,"24.00")),"—",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/10)</f>
        <v>23.4</v>
      </c>
      <c r="Q706" s="17">
        <f t="shared" ref="Q706:Q769" ca="1" si="245">IF(OR(ISBLANK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ISTEXT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Q$1,2,LEN(Q$1)-1),Parameters,2,FALSE()),FIND(LOWER(MID(Q$1,2,1)),VLOOKUP(MID(Q$1,2,LEN(Q$1)-1),Parameters,2,FALSE()),5),4)&amp;"*",OFFSET(Catalogus,0,0,1),0)+2*MATCH($C706,OFFSET(Catalogus,2,0,1),0)+MATCH(LEFT(VLOOKUP(MID(Q$1,2,LEN(Q$1)-1),Parameters,2,FALSE()),3)&amp;"*",OFFSET(Catalogus,2,4,1),0)-5,FALSE())))</f>
        <v>0</v>
      </c>
      <c r="R706" s="10">
        <f t="shared" ref="R706:R769" ca="1" si="246">IF(OR(ISBLANK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),ISNA(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1,1,,1),0)),EXACT($C706,"24.00")),"—",INDEX(Windrichting,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0,1,,1),0),1))</f>
        <v>65</v>
      </c>
      <c r="S706" s="17">
        <f t="shared" ref="S706:S769" ca="1" si="247">IF(OR(ISBLANK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),ISNA(MATCH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,OFFSET(Windrichting,1,1,,1),0)),EXACT($C706,"24.00")),Lacking,IF(ISNA(MATCH(DATEVALUE(LEFT($B706,4)&amp;"-"&amp;MID($B706,5,2)&amp;"-"&amp;RIGHT($B706,2)),OFFSET(Catalogus,0,0,,1),0)),Ok,VLOOKUP(DATEVALUE(LEFT($B706,4)&amp;"-"&amp;MID($B706,5,2)&amp;"-"&amp;RIGHT($B706,2)),Catalogus,MATCH(LEFT(VLOOKUP(MID(S$1,2,LEN(S$1)-1),Parameters,2,FALSE()),4)&amp;"*",OFFSET(Catalogus,0,0,1),0)+2*MATCH($C706,OFFSET(Catalogus,2,0,1),0)+MATCH(MID(VLOOKUP(MID(S$1,2,LEN(S$1)-1),Parameters,2,FALSE()),5,LEN(VLOOKUP(MID(S$1,2,LEN(S$1)-1),Parameters,2,FALSE()))-4)&amp;"*",OFFSET(Catalogus,2,19,1),0)-5,FALSE())))</f>
        <v>0</v>
      </c>
      <c r="T706" s="70">
        <f t="shared" ref="T706:T769" ca="1" si="248">IF(OR(ISBLANK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ISTEXT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EXACT($C706,"24.00")),"—",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/10)</f>
        <v>0.5</v>
      </c>
      <c r="U706" s="17">
        <f t="shared" ref="U706:U769" ca="1" si="249">IF(OR(ISBLANK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ISTEXT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U$1,2,LEN(U$1)-1),Parameters,2,FALSE()),4)&amp;"*",OFFSET(Catalogus,0,0,1),0)+2*MATCH($C706,OFFSET(Catalogus,2,0,1),0)+MATCH(MID(VLOOKUP(MID(U$1,2,LEN(U$1)-1),Parameters,2,FALSE()),5,LEN(VLOOKUP(MID(U$1,2,LEN(U$1)-1),Parameters,2,FALSE()))-4)&amp;"*",OFFSET(Catalogus,2,19,1),0)-5,FALSE())))</f>
        <v>0</v>
      </c>
      <c r="V706" s="71">
        <f t="shared" ref="V706:V769" ca="1" si="250">IF(OR(ISBLANK(VLOOKUP(DATEVALUE(LEFT($B706,4)&amp;"-"&amp;MID($B706,5,2)&amp;"-"&amp;RIGHT($B706,2)),Data,MATCH(LEFT(VLOOKUP(V$1,Parameters,2,FALSE()),4)&amp;"*",OFFSET(Data,0,0,1),0)+MATCH($C706,OFFSET(Data,2,0,1),0)-2,FALSE())),ISTEXT(VLOOKUP(DATEVALUE(LEFT($B706,4)&amp;"-"&amp;MID($B706,5,2)&amp;"-"&amp;RIGHT($B706,2)),Data,MATCH(LEFT(VLOOKUP(V$1,Parameters,2,FALSE()),4)&amp;"*",OFFSET(Data,0,0,1),0)+MATCH($C706,OFFSET(Data,2,0,1),0)-2,FALSE())),EXACT($C706,"24.00")),"—",VLOOKUP(DATEVALUE(LEFT($B706,4)&amp;"-"&amp;MID($B706,5,2)&amp;"-"&amp;RIGHT($B706,2)),Data,MATCH(LEFT(VLOOKUP(V$1,Parameters,2,FALSE()),4)&amp;"*",OFFSET(Data,0,0,1),0)+MATCH($C706,OFFSET(Data,2,0,1),0)-2,FALSE()))</f>
        <v>3</v>
      </c>
      <c r="W706" s="17">
        <f t="shared" ref="W706:W769" ca="1" si="251">IF(OR(ISBLANK(VLOOKUP(DATEVALUE(LEFT($B706,4)&amp;"-"&amp;MID($B706,5,2)&amp;"-"&amp;RIGHT($B706,2)),Data,MATCH(LEFT(VLOOKUP(MID(W$1,2,LEN(W$1)-1),Parameters,2,FALSE()),4)&amp;"*",OFFSET(Data,0,0,1),0)+MATCH($C706,OFFSET(Data,2,0,1),0)-2,FALSE())),ISTEXT(VLOOKUP(DATEVALUE(LEFT($B706,4)&amp;"-"&amp;MID($B706,5,2)&amp;"-"&amp;RIGHT($B706,2)),Data,MATCH(LEFT(VLOOKUP(MID(W$1,2,LEN(W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W$1,2,LEN(W$1)-1),Parameters,2,FALSE()),4)&amp;"*",OFFSET(Catalogus,0,0,1),0)+MATCH($C706,OFFSET(Data,2,0,1),0)-2,FALSE())))</f>
        <v>0</v>
      </c>
    </row>
    <row r="707" spans="1:23" x14ac:dyDescent="0.25">
      <c r="A707" s="4">
        <f t="shared" si="231"/>
        <v>32</v>
      </c>
      <c r="B707" t="str">
        <f ca="1">TEXT(DATE(YEAR(Invoer!$A$6),1,1)+INT((ROWS(B$2:B707)-1)/4),"jjjjmmdd")</f>
        <v>19400625</v>
      </c>
      <c r="C707" s="64" t="str">
        <f>IF(MOD(ROWS(C$2:C707)-1,4)=3,"24.00",INDEX(Data,3,2+MOD(ROWS(C$2:C707)-1,4)))</f>
        <v>12.00</v>
      </c>
      <c r="D707" s="18">
        <f t="shared" ca="1" si="232"/>
        <v>759.5</v>
      </c>
      <c r="E707" s="17">
        <f t="shared" ca="1" si="233"/>
        <v>0</v>
      </c>
      <c r="F707" s="18">
        <f t="shared" ca="1" si="234"/>
        <v>27.9</v>
      </c>
      <c r="G707" s="17">
        <f t="shared" ca="1" si="235"/>
        <v>0</v>
      </c>
      <c r="H707" s="18" t="str">
        <f t="shared" ca="1" si="236"/>
        <v>—</v>
      </c>
      <c r="I707" s="17">
        <f t="shared" ca="1" si="237"/>
        <v>7</v>
      </c>
      <c r="J707" s="18" t="str">
        <f t="shared" ca="1" si="238"/>
        <v>—</v>
      </c>
      <c r="K707" s="17">
        <f t="shared" ca="1" si="239"/>
        <v>7</v>
      </c>
      <c r="L707" s="10">
        <f t="shared" ca="1" si="240"/>
        <v>71</v>
      </c>
      <c r="M707" s="17">
        <f t="shared" ca="1" si="241"/>
        <v>0</v>
      </c>
      <c r="N707" s="18">
        <f t="shared" ca="1" si="242"/>
        <v>20.100000000000001</v>
      </c>
      <c r="O707" s="17">
        <f t="shared" ca="1" si="243"/>
        <v>0</v>
      </c>
      <c r="P707" s="18">
        <f t="shared" ca="1" si="244"/>
        <v>23.8</v>
      </c>
      <c r="Q707" s="17">
        <f t="shared" ca="1" si="245"/>
        <v>0</v>
      </c>
      <c r="R707" s="10">
        <f t="shared" ca="1" si="246"/>
        <v>65</v>
      </c>
      <c r="S707" s="17">
        <f t="shared" ca="1" si="247"/>
        <v>0</v>
      </c>
      <c r="T707" s="70">
        <f t="shared" ca="1" si="248"/>
        <v>0.6</v>
      </c>
      <c r="U707" s="17">
        <f t="shared" ca="1" si="249"/>
        <v>0</v>
      </c>
      <c r="V707" s="71">
        <f t="shared" ca="1" si="250"/>
        <v>3</v>
      </c>
      <c r="W707" s="17">
        <f t="shared" ca="1" si="251"/>
        <v>0</v>
      </c>
    </row>
    <row r="708" spans="1:23" x14ac:dyDescent="0.25">
      <c r="A708" s="4">
        <f t="shared" si="231"/>
        <v>32</v>
      </c>
      <c r="B708" t="str">
        <f ca="1">TEXT(DATE(YEAR(Invoer!$A$6),1,1)+INT((ROWS(B$2:B708)-1)/4),"jjjjmmdd")</f>
        <v>19400625</v>
      </c>
      <c r="C708" s="64" t="str">
        <f>IF(MOD(ROWS(C$2:C708)-1,4)=3,"24.00",INDEX(Data,3,2+MOD(ROWS(C$2:C708)-1,4)))</f>
        <v>17.00</v>
      </c>
      <c r="D708" s="18">
        <f t="shared" ca="1" si="232"/>
        <v>758.9</v>
      </c>
      <c r="E708" s="17">
        <f t="shared" ca="1" si="233"/>
        <v>0</v>
      </c>
      <c r="F708" s="18">
        <f t="shared" ca="1" si="234"/>
        <v>27.7</v>
      </c>
      <c r="G708" s="17">
        <f t="shared" ca="1" si="235"/>
        <v>0</v>
      </c>
      <c r="H708" s="18" t="str">
        <f t="shared" ca="1" si="236"/>
        <v>—</v>
      </c>
      <c r="I708" s="17">
        <f t="shared" ca="1" si="237"/>
        <v>7</v>
      </c>
      <c r="J708" s="18" t="str">
        <f t="shared" ca="1" si="238"/>
        <v>—</v>
      </c>
      <c r="K708" s="17">
        <f t="shared" ca="1" si="239"/>
        <v>7</v>
      </c>
      <c r="L708" s="10">
        <f t="shared" ca="1" si="240"/>
        <v>70</v>
      </c>
      <c r="M708" s="17">
        <f t="shared" ca="1" si="241"/>
        <v>0</v>
      </c>
      <c r="N708" s="18">
        <f t="shared" ca="1" si="242"/>
        <v>19.399999999999999</v>
      </c>
      <c r="O708" s="17">
        <f t="shared" ca="1" si="243"/>
        <v>0</v>
      </c>
      <c r="P708" s="18">
        <f t="shared" ca="1" si="244"/>
        <v>23.4</v>
      </c>
      <c r="Q708" s="17">
        <f t="shared" ca="1" si="245"/>
        <v>0</v>
      </c>
      <c r="R708" s="10">
        <f t="shared" ca="1" si="246"/>
        <v>45</v>
      </c>
      <c r="S708" s="17">
        <f t="shared" ca="1" si="247"/>
        <v>0</v>
      </c>
      <c r="T708" s="70">
        <f t="shared" ca="1" si="248"/>
        <v>0.6</v>
      </c>
      <c r="U708" s="17">
        <f t="shared" ca="1" si="249"/>
        <v>0</v>
      </c>
      <c r="V708" s="71">
        <f t="shared" ca="1" si="250"/>
        <v>3</v>
      </c>
      <c r="W708" s="17">
        <f t="shared" ca="1" si="251"/>
        <v>0</v>
      </c>
    </row>
    <row r="709" spans="1:23" x14ac:dyDescent="0.25">
      <c r="A709" s="4">
        <f t="shared" si="231"/>
        <v>32</v>
      </c>
      <c r="B709" t="str">
        <f ca="1">TEXT(DATE(YEAR(Invoer!$A$6),1,1)+INT((ROWS(B$2:B709)-1)/4),"jjjjmmdd")</f>
        <v>19400625</v>
      </c>
      <c r="C709" s="64" t="str">
        <f>IF(MOD(ROWS(C$2:C709)-1,4)=3,"24.00",INDEX(Data,3,2+MOD(ROWS(C$2:C709)-1,4)))</f>
        <v>24.00</v>
      </c>
      <c r="D709" s="18" t="str">
        <f t="shared" ca="1" si="232"/>
        <v>—</v>
      </c>
      <c r="E709" s="17">
        <f t="shared" ca="1" si="233"/>
        <v>7</v>
      </c>
      <c r="F709" s="18" t="str">
        <f t="shared" ca="1" si="234"/>
        <v>—</v>
      </c>
      <c r="G709" s="17">
        <f t="shared" ca="1" si="235"/>
        <v>7</v>
      </c>
      <c r="H709" s="18">
        <f t="shared" ca="1" si="236"/>
        <v>28.4</v>
      </c>
      <c r="I709" s="17">
        <f t="shared" ca="1" si="237"/>
        <v>0</v>
      </c>
      <c r="J709" s="18">
        <f t="shared" ca="1" si="238"/>
        <v>30.5</v>
      </c>
      <c r="K709" s="17">
        <f t="shared" ca="1" si="239"/>
        <v>0</v>
      </c>
      <c r="L709" s="10" t="str">
        <f t="shared" ca="1" si="240"/>
        <v>—</v>
      </c>
      <c r="M709" s="17">
        <f t="shared" ca="1" si="241"/>
        <v>7</v>
      </c>
      <c r="N709" s="18" t="str">
        <f t="shared" ca="1" si="242"/>
        <v>—</v>
      </c>
      <c r="O709" s="17">
        <f t="shared" ca="1" si="243"/>
        <v>7</v>
      </c>
      <c r="P709" s="18" t="str">
        <f t="shared" ca="1" si="244"/>
        <v>—</v>
      </c>
      <c r="Q709" s="17">
        <f t="shared" ca="1" si="245"/>
        <v>7</v>
      </c>
      <c r="R709" s="10" t="str">
        <f t="shared" ca="1" si="246"/>
        <v>—</v>
      </c>
      <c r="S709" s="17">
        <f t="shared" ca="1" si="247"/>
        <v>7</v>
      </c>
      <c r="T709" s="70" t="str">
        <f t="shared" ca="1" si="248"/>
        <v>—</v>
      </c>
      <c r="U709" s="17">
        <f t="shared" ca="1" si="249"/>
        <v>7</v>
      </c>
      <c r="V709" s="71" t="str">
        <f t="shared" ca="1" si="250"/>
        <v>—</v>
      </c>
      <c r="W709" s="17">
        <f t="shared" ca="1" si="251"/>
        <v>7</v>
      </c>
    </row>
    <row r="710" spans="1:23" x14ac:dyDescent="0.25">
      <c r="A710" s="4">
        <f t="shared" si="231"/>
        <v>32</v>
      </c>
      <c r="B710" t="str">
        <f ca="1">TEXT(DATE(YEAR(Invoer!$A$6),1,1)+INT((ROWS(B$2:B710)-1)/4),"jjjjmmdd")</f>
        <v>19400626</v>
      </c>
      <c r="C710" s="64" t="str">
        <f>IF(MOD(ROWS(C$2:C710)-1,4)=3,"24.00",INDEX(Data,3,2+MOD(ROWS(C$2:C710)-1,4)))</f>
        <v>07.00</v>
      </c>
      <c r="D710" s="18">
        <f t="shared" ca="1" si="232"/>
        <v>759.5</v>
      </c>
      <c r="E710" s="17">
        <f t="shared" ca="1" si="233"/>
        <v>0</v>
      </c>
      <c r="F710" s="18">
        <f t="shared" ca="1" si="234"/>
        <v>26.1</v>
      </c>
      <c r="G710" s="17">
        <f t="shared" ca="1" si="235"/>
        <v>0</v>
      </c>
      <c r="H710" s="18" t="str">
        <f t="shared" ca="1" si="236"/>
        <v>—</v>
      </c>
      <c r="I710" s="17">
        <f t="shared" ca="1" si="237"/>
        <v>7</v>
      </c>
      <c r="J710" s="18" t="str">
        <f t="shared" ca="1" si="238"/>
        <v>—</v>
      </c>
      <c r="K710" s="17">
        <f t="shared" ca="1" si="239"/>
        <v>7</v>
      </c>
      <c r="L710" s="10">
        <f t="shared" ca="1" si="240"/>
        <v>81</v>
      </c>
      <c r="M710" s="17">
        <f t="shared" ca="1" si="241"/>
        <v>0</v>
      </c>
      <c r="N710" s="18">
        <f t="shared" ca="1" si="242"/>
        <v>20.6</v>
      </c>
      <c r="O710" s="17">
        <f t="shared" ca="1" si="243"/>
        <v>0</v>
      </c>
      <c r="P710" s="18">
        <f t="shared" ca="1" si="244"/>
        <v>23.6</v>
      </c>
      <c r="Q710" s="17">
        <f t="shared" ca="1" si="245"/>
        <v>0</v>
      </c>
      <c r="R710" s="10">
        <f t="shared" ca="1" si="246"/>
        <v>90</v>
      </c>
      <c r="S710" s="17">
        <f t="shared" ca="1" si="247"/>
        <v>0</v>
      </c>
      <c r="T710" s="70">
        <f t="shared" ca="1" si="248"/>
        <v>0.5</v>
      </c>
      <c r="U710" s="17">
        <f t="shared" ca="1" si="249"/>
        <v>0</v>
      </c>
      <c r="V710" s="71">
        <f t="shared" ca="1" si="250"/>
        <v>2</v>
      </c>
      <c r="W710" s="17">
        <f t="shared" ca="1" si="251"/>
        <v>0</v>
      </c>
    </row>
    <row r="711" spans="1:23" x14ac:dyDescent="0.25">
      <c r="A711" s="4">
        <f t="shared" si="231"/>
        <v>32</v>
      </c>
      <c r="B711" t="str">
        <f ca="1">TEXT(DATE(YEAR(Invoer!$A$6),1,1)+INT((ROWS(B$2:B711)-1)/4),"jjjjmmdd")</f>
        <v>19400626</v>
      </c>
      <c r="C711" s="64" t="str">
        <f>IF(MOD(ROWS(C$2:C711)-1,4)=3,"24.00",INDEX(Data,3,2+MOD(ROWS(C$2:C711)-1,4)))</f>
        <v>12.00</v>
      </c>
      <c r="D711" s="18">
        <f t="shared" ca="1" si="232"/>
        <v>759.7</v>
      </c>
      <c r="E711" s="17">
        <f t="shared" ca="1" si="233"/>
        <v>0</v>
      </c>
      <c r="F711" s="18">
        <f t="shared" ca="1" si="234"/>
        <v>27.3</v>
      </c>
      <c r="G711" s="17">
        <f t="shared" ca="1" si="235"/>
        <v>0</v>
      </c>
      <c r="H711" s="18" t="str">
        <f t="shared" ca="1" si="236"/>
        <v>—</v>
      </c>
      <c r="I711" s="17">
        <f t="shared" ca="1" si="237"/>
        <v>7</v>
      </c>
      <c r="J711" s="18" t="str">
        <f t="shared" ca="1" si="238"/>
        <v>—</v>
      </c>
      <c r="K711" s="17">
        <f t="shared" ca="1" si="239"/>
        <v>7</v>
      </c>
      <c r="L711" s="10">
        <f t="shared" ca="1" si="240"/>
        <v>76</v>
      </c>
      <c r="M711" s="17">
        <f t="shared" ca="1" si="241"/>
        <v>0</v>
      </c>
      <c r="N711" s="18">
        <f t="shared" ca="1" si="242"/>
        <v>20.7</v>
      </c>
      <c r="O711" s="17">
        <f t="shared" ca="1" si="243"/>
        <v>0</v>
      </c>
      <c r="P711" s="18">
        <f t="shared" ca="1" si="244"/>
        <v>24</v>
      </c>
      <c r="Q711" s="17">
        <f t="shared" ca="1" si="245"/>
        <v>0</v>
      </c>
      <c r="R711" s="10">
        <f t="shared" ca="1" si="246"/>
        <v>90</v>
      </c>
      <c r="S711" s="17">
        <f t="shared" ca="1" si="247"/>
        <v>0</v>
      </c>
      <c r="T711" s="70">
        <f t="shared" ca="1" si="248"/>
        <v>0.6</v>
      </c>
      <c r="U711" s="17">
        <f t="shared" ca="1" si="249"/>
        <v>0</v>
      </c>
      <c r="V711" s="71">
        <f t="shared" ca="1" si="250"/>
        <v>3</v>
      </c>
      <c r="W711" s="17">
        <f t="shared" ca="1" si="251"/>
        <v>0</v>
      </c>
    </row>
    <row r="712" spans="1:23" x14ac:dyDescent="0.25">
      <c r="A712" s="4">
        <f t="shared" si="231"/>
        <v>32</v>
      </c>
      <c r="B712" t="str">
        <f ca="1">TEXT(DATE(YEAR(Invoer!$A$6),1,1)+INT((ROWS(B$2:B712)-1)/4),"jjjjmmdd")</f>
        <v>19400626</v>
      </c>
      <c r="C712" s="64" t="str">
        <f>IF(MOD(ROWS(C$2:C712)-1,4)=3,"24.00",INDEX(Data,3,2+MOD(ROWS(C$2:C712)-1,4)))</f>
        <v>17.00</v>
      </c>
      <c r="D712" s="18">
        <f t="shared" ca="1" si="232"/>
        <v>759</v>
      </c>
      <c r="E712" s="17">
        <f t="shared" ca="1" si="233"/>
        <v>0</v>
      </c>
      <c r="F712" s="18">
        <f t="shared" ca="1" si="234"/>
        <v>26.3</v>
      </c>
      <c r="G712" s="17">
        <f t="shared" ca="1" si="235"/>
        <v>0</v>
      </c>
      <c r="H712" s="18" t="str">
        <f t="shared" ca="1" si="236"/>
        <v>—</v>
      </c>
      <c r="I712" s="17">
        <f t="shared" ca="1" si="237"/>
        <v>7</v>
      </c>
      <c r="J712" s="18" t="str">
        <f t="shared" ca="1" si="238"/>
        <v>—</v>
      </c>
      <c r="K712" s="17">
        <f t="shared" ca="1" si="239"/>
        <v>7</v>
      </c>
      <c r="L712" s="10">
        <f t="shared" ca="1" si="240"/>
        <v>80</v>
      </c>
      <c r="M712" s="17">
        <f t="shared" ca="1" si="241"/>
        <v>0</v>
      </c>
      <c r="N712" s="18">
        <f t="shared" ca="1" si="242"/>
        <v>20.5</v>
      </c>
      <c r="O712" s="17">
        <f t="shared" ca="1" si="243"/>
        <v>0</v>
      </c>
      <c r="P712" s="18">
        <f t="shared" ca="1" si="244"/>
        <v>23.6</v>
      </c>
      <c r="Q712" s="17">
        <f t="shared" ca="1" si="245"/>
        <v>0</v>
      </c>
      <c r="R712" s="10">
        <f t="shared" ca="1" si="246"/>
        <v>65</v>
      </c>
      <c r="S712" s="17">
        <f t="shared" ca="1" si="247"/>
        <v>0</v>
      </c>
      <c r="T712" s="70">
        <f t="shared" ca="1" si="248"/>
        <v>0.6</v>
      </c>
      <c r="U712" s="17">
        <f t="shared" ca="1" si="249"/>
        <v>0</v>
      </c>
      <c r="V712" s="71">
        <f t="shared" ca="1" si="250"/>
        <v>4</v>
      </c>
      <c r="W712" s="17">
        <f t="shared" ca="1" si="251"/>
        <v>0</v>
      </c>
    </row>
    <row r="713" spans="1:23" x14ac:dyDescent="0.25">
      <c r="A713" s="4">
        <f t="shared" si="231"/>
        <v>32</v>
      </c>
      <c r="B713" t="str">
        <f ca="1">TEXT(DATE(YEAR(Invoer!$A$6),1,1)+INT((ROWS(B$2:B713)-1)/4),"jjjjmmdd")</f>
        <v>19400626</v>
      </c>
      <c r="C713" s="64" t="str">
        <f>IF(MOD(ROWS(C$2:C713)-1,4)=3,"24.00",INDEX(Data,3,2+MOD(ROWS(C$2:C713)-1,4)))</f>
        <v>24.00</v>
      </c>
      <c r="D713" s="18" t="str">
        <f t="shared" ca="1" si="232"/>
        <v>—</v>
      </c>
      <c r="E713" s="17">
        <f t="shared" ca="1" si="233"/>
        <v>7</v>
      </c>
      <c r="F713" s="18" t="str">
        <f t="shared" ca="1" si="234"/>
        <v>—</v>
      </c>
      <c r="G713" s="17">
        <f t="shared" ca="1" si="235"/>
        <v>7</v>
      </c>
      <c r="H713" s="18">
        <f t="shared" ca="1" si="236"/>
        <v>29</v>
      </c>
      <c r="I713" s="17">
        <f t="shared" ca="1" si="237"/>
        <v>0</v>
      </c>
      <c r="J713" s="18">
        <f t="shared" ca="1" si="238"/>
        <v>30.5</v>
      </c>
      <c r="K713" s="17">
        <f t="shared" ca="1" si="239"/>
        <v>0</v>
      </c>
      <c r="L713" s="10" t="str">
        <f t="shared" ca="1" si="240"/>
        <v>—</v>
      </c>
      <c r="M713" s="17">
        <f t="shared" ca="1" si="241"/>
        <v>7</v>
      </c>
      <c r="N713" s="18" t="str">
        <f t="shared" ca="1" si="242"/>
        <v>—</v>
      </c>
      <c r="O713" s="17">
        <f t="shared" ca="1" si="243"/>
        <v>7</v>
      </c>
      <c r="P713" s="18" t="str">
        <f t="shared" ca="1" si="244"/>
        <v>—</v>
      </c>
      <c r="Q713" s="17">
        <f t="shared" ca="1" si="245"/>
        <v>7</v>
      </c>
      <c r="R713" s="10" t="str">
        <f t="shared" ca="1" si="246"/>
        <v>—</v>
      </c>
      <c r="S713" s="17">
        <f t="shared" ca="1" si="247"/>
        <v>7</v>
      </c>
      <c r="T713" s="70" t="str">
        <f t="shared" ca="1" si="248"/>
        <v>—</v>
      </c>
      <c r="U713" s="17">
        <f t="shared" ca="1" si="249"/>
        <v>7</v>
      </c>
      <c r="V713" s="71" t="str">
        <f t="shared" ca="1" si="250"/>
        <v>—</v>
      </c>
      <c r="W713" s="17">
        <f t="shared" ca="1" si="251"/>
        <v>7</v>
      </c>
    </row>
    <row r="714" spans="1:23" x14ac:dyDescent="0.25">
      <c r="A714" s="4">
        <f t="shared" si="231"/>
        <v>32</v>
      </c>
      <c r="B714" t="str">
        <f ca="1">TEXT(DATE(YEAR(Invoer!$A$6),1,1)+INT((ROWS(B$2:B714)-1)/4),"jjjjmmdd")</f>
        <v>19400627</v>
      </c>
      <c r="C714" s="64" t="str">
        <f>IF(MOD(ROWS(C$2:C714)-1,4)=3,"24.00",INDEX(Data,3,2+MOD(ROWS(C$2:C714)-1,4)))</f>
        <v>07.00</v>
      </c>
      <c r="D714" s="18">
        <f t="shared" ca="1" si="232"/>
        <v>760.7</v>
      </c>
      <c r="E714" s="17">
        <f t="shared" ca="1" si="233"/>
        <v>0</v>
      </c>
      <c r="F714" s="18">
        <f t="shared" ca="1" si="234"/>
        <v>27.1</v>
      </c>
      <c r="G714" s="17">
        <f t="shared" ca="1" si="235"/>
        <v>0</v>
      </c>
      <c r="H714" s="18" t="str">
        <f t="shared" ca="1" si="236"/>
        <v>—</v>
      </c>
      <c r="I714" s="17">
        <f t="shared" ca="1" si="237"/>
        <v>7</v>
      </c>
      <c r="J714" s="18" t="str">
        <f t="shared" ca="1" si="238"/>
        <v>—</v>
      </c>
      <c r="K714" s="17">
        <f t="shared" ca="1" si="239"/>
        <v>7</v>
      </c>
      <c r="L714" s="10">
        <f t="shared" ca="1" si="240"/>
        <v>76</v>
      </c>
      <c r="M714" s="17">
        <f t="shared" ca="1" si="241"/>
        <v>0</v>
      </c>
      <c r="N714" s="18">
        <f t="shared" ca="1" si="242"/>
        <v>20.5</v>
      </c>
      <c r="O714" s="17">
        <f t="shared" ca="1" si="243"/>
        <v>0</v>
      </c>
      <c r="P714" s="18">
        <f t="shared" ca="1" si="244"/>
        <v>23.8</v>
      </c>
      <c r="Q714" s="17">
        <f t="shared" ca="1" si="245"/>
        <v>0</v>
      </c>
      <c r="R714" s="10">
        <f t="shared" ca="1" si="246"/>
        <v>45</v>
      </c>
      <c r="S714" s="17">
        <f t="shared" ca="1" si="247"/>
        <v>0</v>
      </c>
      <c r="T714" s="70">
        <f t="shared" ca="1" si="248"/>
        <v>0.5</v>
      </c>
      <c r="U714" s="17">
        <f t="shared" ca="1" si="249"/>
        <v>0</v>
      </c>
      <c r="V714" s="71">
        <f t="shared" ca="1" si="250"/>
        <v>3</v>
      </c>
      <c r="W714" s="17">
        <f t="shared" ca="1" si="251"/>
        <v>0</v>
      </c>
    </row>
    <row r="715" spans="1:23" x14ac:dyDescent="0.25">
      <c r="A715" s="4">
        <f t="shared" si="231"/>
        <v>32</v>
      </c>
      <c r="B715" t="str">
        <f ca="1">TEXT(DATE(YEAR(Invoer!$A$6),1,1)+INT((ROWS(B$2:B715)-1)/4),"jjjjmmdd")</f>
        <v>19400627</v>
      </c>
      <c r="C715" s="64" t="str">
        <f>IF(MOD(ROWS(C$2:C715)-1,4)=3,"24.00",INDEX(Data,3,2+MOD(ROWS(C$2:C715)-1,4)))</f>
        <v>12.00</v>
      </c>
      <c r="D715" s="18">
        <f t="shared" ca="1" si="232"/>
        <v>760.2</v>
      </c>
      <c r="E715" s="17">
        <f t="shared" ca="1" si="233"/>
        <v>0</v>
      </c>
      <c r="F715" s="18">
        <f t="shared" ca="1" si="234"/>
        <v>27.7</v>
      </c>
      <c r="G715" s="17">
        <f t="shared" ca="1" si="235"/>
        <v>0</v>
      </c>
      <c r="H715" s="18" t="str">
        <f t="shared" ca="1" si="236"/>
        <v>—</v>
      </c>
      <c r="I715" s="17">
        <f t="shared" ca="1" si="237"/>
        <v>7</v>
      </c>
      <c r="J715" s="18" t="str">
        <f t="shared" ca="1" si="238"/>
        <v>—</v>
      </c>
      <c r="K715" s="17">
        <f t="shared" ca="1" si="239"/>
        <v>7</v>
      </c>
      <c r="L715" s="10">
        <f t="shared" ca="1" si="240"/>
        <v>79</v>
      </c>
      <c r="M715" s="17">
        <f t="shared" ca="1" si="241"/>
        <v>0</v>
      </c>
      <c r="N715" s="18">
        <f t="shared" ca="1" si="242"/>
        <v>22</v>
      </c>
      <c r="O715" s="17">
        <f t="shared" ca="1" si="243"/>
        <v>0</v>
      </c>
      <c r="P715" s="18">
        <f t="shared" ca="1" si="244"/>
        <v>24.8</v>
      </c>
      <c r="Q715" s="17">
        <f t="shared" ca="1" si="245"/>
        <v>0</v>
      </c>
      <c r="R715" s="10">
        <f t="shared" ca="1" si="246"/>
        <v>45</v>
      </c>
      <c r="S715" s="17">
        <f t="shared" ca="1" si="247"/>
        <v>0</v>
      </c>
      <c r="T715" s="70">
        <f t="shared" ca="1" si="248"/>
        <v>0.6</v>
      </c>
      <c r="U715" s="17">
        <f t="shared" ca="1" si="249"/>
        <v>0</v>
      </c>
      <c r="V715" s="71">
        <f t="shared" ca="1" si="250"/>
        <v>2</v>
      </c>
      <c r="W715" s="17">
        <f t="shared" ca="1" si="251"/>
        <v>0</v>
      </c>
    </row>
    <row r="716" spans="1:23" x14ac:dyDescent="0.25">
      <c r="A716" s="4">
        <f t="shared" si="231"/>
        <v>32</v>
      </c>
      <c r="B716" t="str">
        <f ca="1">TEXT(DATE(YEAR(Invoer!$A$6),1,1)+INT((ROWS(B$2:B716)-1)/4),"jjjjmmdd")</f>
        <v>19400627</v>
      </c>
      <c r="C716" s="64" t="str">
        <f>IF(MOD(ROWS(C$2:C716)-1,4)=3,"24.00",INDEX(Data,3,2+MOD(ROWS(C$2:C716)-1,4)))</f>
        <v>17.00</v>
      </c>
      <c r="D716" s="18">
        <f t="shared" ca="1" si="232"/>
        <v>757.9</v>
      </c>
      <c r="E716" s="17">
        <f t="shared" ca="1" si="233"/>
        <v>0</v>
      </c>
      <c r="F716" s="18">
        <f t="shared" ca="1" si="234"/>
        <v>28.5</v>
      </c>
      <c r="G716" s="17">
        <f t="shared" ca="1" si="235"/>
        <v>0</v>
      </c>
      <c r="H716" s="18" t="str">
        <f t="shared" ca="1" si="236"/>
        <v>—</v>
      </c>
      <c r="I716" s="17">
        <f t="shared" ca="1" si="237"/>
        <v>7</v>
      </c>
      <c r="J716" s="18" t="str">
        <f t="shared" ca="1" si="238"/>
        <v>—</v>
      </c>
      <c r="K716" s="17">
        <f t="shared" ca="1" si="239"/>
        <v>7</v>
      </c>
      <c r="L716" s="10">
        <f t="shared" ca="1" si="240"/>
        <v>70</v>
      </c>
      <c r="M716" s="17">
        <f t="shared" ca="1" si="241"/>
        <v>0</v>
      </c>
      <c r="N716" s="18">
        <f t="shared" ca="1" si="242"/>
        <v>20.5</v>
      </c>
      <c r="O716" s="17">
        <f t="shared" ca="1" si="243"/>
        <v>0</v>
      </c>
      <c r="P716" s="18">
        <f t="shared" ca="1" si="244"/>
        <v>24.2</v>
      </c>
      <c r="Q716" s="17">
        <f t="shared" ca="1" si="245"/>
        <v>0</v>
      </c>
      <c r="R716" s="10">
        <f t="shared" ca="1" si="246"/>
        <v>65</v>
      </c>
      <c r="S716" s="17">
        <f t="shared" ca="1" si="247"/>
        <v>0</v>
      </c>
      <c r="T716" s="70">
        <f t="shared" ca="1" si="248"/>
        <v>0.6</v>
      </c>
      <c r="U716" s="17">
        <f t="shared" ca="1" si="249"/>
        <v>0</v>
      </c>
      <c r="V716" s="71">
        <f t="shared" ca="1" si="250"/>
        <v>2</v>
      </c>
      <c r="W716" s="17">
        <f t="shared" ca="1" si="251"/>
        <v>0</v>
      </c>
    </row>
    <row r="717" spans="1:23" x14ac:dyDescent="0.25">
      <c r="A717" s="4">
        <f t="shared" si="231"/>
        <v>32</v>
      </c>
      <c r="B717" t="str">
        <f ca="1">TEXT(DATE(YEAR(Invoer!$A$6),1,1)+INT((ROWS(B$2:B717)-1)/4),"jjjjmmdd")</f>
        <v>19400627</v>
      </c>
      <c r="C717" s="64" t="str">
        <f>IF(MOD(ROWS(C$2:C717)-1,4)=3,"24.00",INDEX(Data,3,2+MOD(ROWS(C$2:C717)-1,4)))</f>
        <v>24.00</v>
      </c>
      <c r="D717" s="18" t="str">
        <f t="shared" ca="1" si="232"/>
        <v>—</v>
      </c>
      <c r="E717" s="17">
        <f t="shared" ca="1" si="233"/>
        <v>7</v>
      </c>
      <c r="F717" s="18" t="str">
        <f t="shared" ca="1" si="234"/>
        <v>—</v>
      </c>
      <c r="G717" s="17">
        <f t="shared" ca="1" si="235"/>
        <v>7</v>
      </c>
      <c r="H717" s="18">
        <f t="shared" ca="1" si="236"/>
        <v>29</v>
      </c>
      <c r="I717" s="17">
        <f t="shared" ca="1" si="237"/>
        <v>0</v>
      </c>
      <c r="J717" s="18">
        <f t="shared" ca="1" si="238"/>
        <v>29.5</v>
      </c>
      <c r="K717" s="17">
        <f t="shared" ca="1" si="239"/>
        <v>0</v>
      </c>
      <c r="L717" s="10" t="str">
        <f t="shared" ca="1" si="240"/>
        <v>—</v>
      </c>
      <c r="M717" s="17">
        <f t="shared" ca="1" si="241"/>
        <v>7</v>
      </c>
      <c r="N717" s="18" t="str">
        <f t="shared" ca="1" si="242"/>
        <v>—</v>
      </c>
      <c r="O717" s="17">
        <f t="shared" ca="1" si="243"/>
        <v>7</v>
      </c>
      <c r="P717" s="18" t="str">
        <f t="shared" ca="1" si="244"/>
        <v>—</v>
      </c>
      <c r="Q717" s="17">
        <f t="shared" ca="1" si="245"/>
        <v>7</v>
      </c>
      <c r="R717" s="10" t="str">
        <f t="shared" ca="1" si="246"/>
        <v>—</v>
      </c>
      <c r="S717" s="17">
        <f t="shared" ca="1" si="247"/>
        <v>7</v>
      </c>
      <c r="T717" s="70" t="str">
        <f t="shared" ca="1" si="248"/>
        <v>—</v>
      </c>
      <c r="U717" s="17">
        <f t="shared" ca="1" si="249"/>
        <v>7</v>
      </c>
      <c r="V717" s="71" t="str">
        <f t="shared" ca="1" si="250"/>
        <v>—</v>
      </c>
      <c r="W717" s="17">
        <f t="shared" ca="1" si="251"/>
        <v>7</v>
      </c>
    </row>
    <row r="718" spans="1:23" x14ac:dyDescent="0.25">
      <c r="A718" s="4">
        <f t="shared" si="231"/>
        <v>32</v>
      </c>
      <c r="B718" t="str">
        <f ca="1">TEXT(DATE(YEAR(Invoer!$A$6),1,1)+INT((ROWS(B$2:B718)-1)/4),"jjjjmmdd")</f>
        <v>19400628</v>
      </c>
      <c r="C718" s="64" t="str">
        <f>IF(MOD(ROWS(C$2:C718)-1,4)=3,"24.00",INDEX(Data,3,2+MOD(ROWS(C$2:C718)-1,4)))</f>
        <v>07.00</v>
      </c>
      <c r="D718" s="18">
        <f t="shared" ca="1" si="232"/>
        <v>760.7</v>
      </c>
      <c r="E718" s="17">
        <f t="shared" ca="1" si="233"/>
        <v>0</v>
      </c>
      <c r="F718" s="18">
        <f t="shared" ca="1" si="234"/>
        <v>26.1</v>
      </c>
      <c r="G718" s="17">
        <f t="shared" ca="1" si="235"/>
        <v>0</v>
      </c>
      <c r="H718" s="18" t="str">
        <f t="shared" ca="1" si="236"/>
        <v>—</v>
      </c>
      <c r="I718" s="17">
        <f t="shared" ca="1" si="237"/>
        <v>7</v>
      </c>
      <c r="J718" s="18" t="str">
        <f t="shared" ca="1" si="238"/>
        <v>—</v>
      </c>
      <c r="K718" s="17">
        <f t="shared" ca="1" si="239"/>
        <v>7</v>
      </c>
      <c r="L718" s="10">
        <f t="shared" ca="1" si="240"/>
        <v>80</v>
      </c>
      <c r="M718" s="17">
        <f t="shared" ca="1" si="241"/>
        <v>0</v>
      </c>
      <c r="N718" s="18">
        <f t="shared" ca="1" si="242"/>
        <v>20.2</v>
      </c>
      <c r="O718" s="17">
        <f t="shared" ca="1" si="243"/>
        <v>0</v>
      </c>
      <c r="P718" s="18">
        <f t="shared" ca="1" si="244"/>
        <v>23.4</v>
      </c>
      <c r="Q718" s="17">
        <f t="shared" ca="1" si="245"/>
        <v>0</v>
      </c>
      <c r="R718" s="10">
        <f t="shared" ca="1" si="246"/>
        <v>90</v>
      </c>
      <c r="S718" s="17">
        <f t="shared" ca="1" si="247"/>
        <v>0</v>
      </c>
      <c r="T718" s="70">
        <f t="shared" ca="1" si="248"/>
        <v>0.5</v>
      </c>
      <c r="U718" s="17">
        <f t="shared" ca="1" si="249"/>
        <v>0</v>
      </c>
      <c r="V718" s="71">
        <f t="shared" ca="1" si="250"/>
        <v>3</v>
      </c>
      <c r="W718" s="17">
        <f t="shared" ca="1" si="251"/>
        <v>0</v>
      </c>
    </row>
    <row r="719" spans="1:23" x14ac:dyDescent="0.25">
      <c r="A719" s="4">
        <f t="shared" si="231"/>
        <v>32</v>
      </c>
      <c r="B719" t="str">
        <f ca="1">TEXT(DATE(YEAR(Invoer!$A$6),1,1)+INT((ROWS(B$2:B719)-1)/4),"jjjjmmdd")</f>
        <v>19400628</v>
      </c>
      <c r="C719" s="64" t="str">
        <f>IF(MOD(ROWS(C$2:C719)-1,4)=3,"24.00",INDEX(Data,3,2+MOD(ROWS(C$2:C719)-1,4)))</f>
        <v>12.00</v>
      </c>
      <c r="D719" s="18">
        <f t="shared" ca="1" si="232"/>
        <v>760</v>
      </c>
      <c r="E719" s="17">
        <f t="shared" ca="1" si="233"/>
        <v>0</v>
      </c>
      <c r="F719" s="18">
        <f t="shared" ca="1" si="234"/>
        <v>27.3</v>
      </c>
      <c r="G719" s="17">
        <f t="shared" ca="1" si="235"/>
        <v>0</v>
      </c>
      <c r="H719" s="18" t="str">
        <f t="shared" ca="1" si="236"/>
        <v>—</v>
      </c>
      <c r="I719" s="17">
        <f t="shared" ca="1" si="237"/>
        <v>7</v>
      </c>
      <c r="J719" s="18" t="str">
        <f t="shared" ca="1" si="238"/>
        <v>—</v>
      </c>
      <c r="K719" s="17">
        <f t="shared" ca="1" si="239"/>
        <v>7</v>
      </c>
      <c r="L719" s="10">
        <f t="shared" ca="1" si="240"/>
        <v>75</v>
      </c>
      <c r="M719" s="17">
        <f t="shared" ca="1" si="241"/>
        <v>0</v>
      </c>
      <c r="N719" s="18">
        <f t="shared" ca="1" si="242"/>
        <v>20.399999999999999</v>
      </c>
      <c r="O719" s="17">
        <f t="shared" ca="1" si="243"/>
        <v>0</v>
      </c>
      <c r="P719" s="18">
        <f t="shared" ca="1" si="244"/>
        <v>23.8</v>
      </c>
      <c r="Q719" s="17">
        <f t="shared" ca="1" si="245"/>
        <v>0</v>
      </c>
      <c r="R719" s="10">
        <f t="shared" ca="1" si="246"/>
        <v>90</v>
      </c>
      <c r="S719" s="17">
        <f t="shared" ca="1" si="247"/>
        <v>0</v>
      </c>
      <c r="T719" s="70">
        <f t="shared" ca="1" si="248"/>
        <v>0.6</v>
      </c>
      <c r="U719" s="17">
        <f t="shared" ca="1" si="249"/>
        <v>0</v>
      </c>
      <c r="V719" s="71">
        <f t="shared" ca="1" si="250"/>
        <v>2</v>
      </c>
      <c r="W719" s="17">
        <f t="shared" ca="1" si="251"/>
        <v>0</v>
      </c>
    </row>
    <row r="720" spans="1:23" x14ac:dyDescent="0.25">
      <c r="A720" s="4">
        <f t="shared" si="231"/>
        <v>32</v>
      </c>
      <c r="B720" t="str">
        <f ca="1">TEXT(DATE(YEAR(Invoer!$A$6),1,1)+INT((ROWS(B$2:B720)-1)/4),"jjjjmmdd")</f>
        <v>19400628</v>
      </c>
      <c r="C720" s="64" t="str">
        <f>IF(MOD(ROWS(C$2:C720)-1,4)=3,"24.00",INDEX(Data,3,2+MOD(ROWS(C$2:C720)-1,4)))</f>
        <v>17.00</v>
      </c>
      <c r="D720" s="18">
        <f t="shared" ca="1" si="232"/>
        <v>759</v>
      </c>
      <c r="E720" s="17">
        <f t="shared" ca="1" si="233"/>
        <v>0</v>
      </c>
      <c r="F720" s="18">
        <f t="shared" ca="1" si="234"/>
        <v>26.3</v>
      </c>
      <c r="G720" s="17">
        <f t="shared" ca="1" si="235"/>
        <v>0</v>
      </c>
      <c r="H720" s="18" t="str">
        <f t="shared" ca="1" si="236"/>
        <v>—</v>
      </c>
      <c r="I720" s="17">
        <f t="shared" ca="1" si="237"/>
        <v>7</v>
      </c>
      <c r="J720" s="18" t="str">
        <f t="shared" ca="1" si="238"/>
        <v>—</v>
      </c>
      <c r="K720" s="17">
        <f t="shared" ca="1" si="239"/>
        <v>7</v>
      </c>
      <c r="L720" s="10">
        <f t="shared" ca="1" si="240"/>
        <v>78</v>
      </c>
      <c r="M720" s="17">
        <f t="shared" ca="1" si="241"/>
        <v>0</v>
      </c>
      <c r="N720" s="18">
        <f t="shared" ca="1" si="242"/>
        <v>20.100000000000001</v>
      </c>
      <c r="O720" s="17">
        <f t="shared" ca="1" si="243"/>
        <v>0</v>
      </c>
      <c r="P720" s="18">
        <f t="shared" ca="1" si="244"/>
        <v>23.4</v>
      </c>
      <c r="Q720" s="17">
        <f t="shared" ca="1" si="245"/>
        <v>0</v>
      </c>
      <c r="R720" s="10">
        <f t="shared" ca="1" si="246"/>
        <v>65</v>
      </c>
      <c r="S720" s="17">
        <f t="shared" ca="1" si="247"/>
        <v>0</v>
      </c>
      <c r="T720" s="70">
        <f t="shared" ca="1" si="248"/>
        <v>0.6</v>
      </c>
      <c r="U720" s="17">
        <f t="shared" ca="1" si="249"/>
        <v>0</v>
      </c>
      <c r="V720" s="71">
        <f t="shared" ca="1" si="250"/>
        <v>2</v>
      </c>
      <c r="W720" s="17">
        <f t="shared" ca="1" si="251"/>
        <v>0</v>
      </c>
    </row>
    <row r="721" spans="1:23" x14ac:dyDescent="0.25">
      <c r="A721" s="4">
        <f t="shared" si="231"/>
        <v>32</v>
      </c>
      <c r="B721" t="str">
        <f ca="1">TEXT(DATE(YEAR(Invoer!$A$6),1,1)+INT((ROWS(B$2:B721)-1)/4),"jjjjmmdd")</f>
        <v>19400628</v>
      </c>
      <c r="C721" s="64" t="str">
        <f>IF(MOD(ROWS(C$2:C721)-1,4)=3,"24.00",INDEX(Data,3,2+MOD(ROWS(C$2:C721)-1,4)))</f>
        <v>24.00</v>
      </c>
      <c r="D721" s="18" t="str">
        <f t="shared" ca="1" si="232"/>
        <v>—</v>
      </c>
      <c r="E721" s="17">
        <f t="shared" ca="1" si="233"/>
        <v>7</v>
      </c>
      <c r="F721" s="18" t="str">
        <f t="shared" ca="1" si="234"/>
        <v>—</v>
      </c>
      <c r="G721" s="17">
        <f t="shared" ca="1" si="235"/>
        <v>7</v>
      </c>
      <c r="H721" s="18">
        <f t="shared" ca="1" si="236"/>
        <v>28.8</v>
      </c>
      <c r="I721" s="17">
        <f t="shared" ca="1" si="237"/>
        <v>0</v>
      </c>
      <c r="J721" s="18">
        <f t="shared" ca="1" si="238"/>
        <v>30.5</v>
      </c>
      <c r="K721" s="17">
        <f t="shared" ca="1" si="239"/>
        <v>0</v>
      </c>
      <c r="L721" s="10" t="str">
        <f t="shared" ca="1" si="240"/>
        <v>—</v>
      </c>
      <c r="M721" s="17">
        <f t="shared" ca="1" si="241"/>
        <v>7</v>
      </c>
      <c r="N721" s="18" t="str">
        <f t="shared" ca="1" si="242"/>
        <v>—</v>
      </c>
      <c r="O721" s="17">
        <f t="shared" ca="1" si="243"/>
        <v>7</v>
      </c>
      <c r="P721" s="18" t="str">
        <f t="shared" ca="1" si="244"/>
        <v>—</v>
      </c>
      <c r="Q721" s="17">
        <f t="shared" ca="1" si="245"/>
        <v>7</v>
      </c>
      <c r="R721" s="10" t="str">
        <f t="shared" ca="1" si="246"/>
        <v>—</v>
      </c>
      <c r="S721" s="17">
        <f t="shared" ca="1" si="247"/>
        <v>7</v>
      </c>
      <c r="T721" s="70" t="str">
        <f t="shared" ca="1" si="248"/>
        <v>—</v>
      </c>
      <c r="U721" s="17">
        <f t="shared" ca="1" si="249"/>
        <v>7</v>
      </c>
      <c r="V721" s="71" t="str">
        <f t="shared" ca="1" si="250"/>
        <v>—</v>
      </c>
      <c r="W721" s="17">
        <f t="shared" ca="1" si="251"/>
        <v>7</v>
      </c>
    </row>
    <row r="722" spans="1:23" x14ac:dyDescent="0.25">
      <c r="A722" s="4">
        <f t="shared" si="231"/>
        <v>32</v>
      </c>
      <c r="B722" t="str">
        <f ca="1">TEXT(DATE(YEAR(Invoer!$A$6),1,1)+INT((ROWS(B$2:B722)-1)/4),"jjjjmmdd")</f>
        <v>19400629</v>
      </c>
      <c r="C722" s="64" t="str">
        <f>IF(MOD(ROWS(C$2:C722)-1,4)=3,"24.00",INDEX(Data,3,2+MOD(ROWS(C$2:C722)-1,4)))</f>
        <v>07.00</v>
      </c>
      <c r="D722" s="18">
        <f t="shared" ca="1" si="232"/>
        <v>761</v>
      </c>
      <c r="E722" s="17">
        <f t="shared" ca="1" si="233"/>
        <v>0</v>
      </c>
      <c r="F722" s="18">
        <f t="shared" ca="1" si="234"/>
        <v>27.9</v>
      </c>
      <c r="G722" s="17">
        <f t="shared" ca="1" si="235"/>
        <v>0</v>
      </c>
      <c r="H722" s="18" t="str">
        <f t="shared" ca="1" si="236"/>
        <v>—</v>
      </c>
      <c r="I722" s="17">
        <f t="shared" ca="1" si="237"/>
        <v>7</v>
      </c>
      <c r="J722" s="18" t="str">
        <f t="shared" ca="1" si="238"/>
        <v>—</v>
      </c>
      <c r="K722" s="17">
        <f t="shared" ca="1" si="239"/>
        <v>7</v>
      </c>
      <c r="L722" s="10">
        <f t="shared" ca="1" si="240"/>
        <v>72</v>
      </c>
      <c r="M722" s="17">
        <f t="shared" ca="1" si="241"/>
        <v>0</v>
      </c>
      <c r="N722" s="18">
        <f t="shared" ca="1" si="242"/>
        <v>20.399999999999999</v>
      </c>
      <c r="O722" s="17">
        <f t="shared" ca="1" si="243"/>
        <v>0</v>
      </c>
      <c r="P722" s="18">
        <f t="shared" ca="1" si="244"/>
        <v>24</v>
      </c>
      <c r="Q722" s="17">
        <f t="shared" ca="1" si="245"/>
        <v>0</v>
      </c>
      <c r="R722" s="10">
        <f t="shared" ca="1" si="246"/>
        <v>65</v>
      </c>
      <c r="S722" s="17">
        <f t="shared" ca="1" si="247"/>
        <v>0</v>
      </c>
      <c r="T722" s="70">
        <f t="shared" ca="1" si="248"/>
        <v>0.5</v>
      </c>
      <c r="U722" s="17">
        <f t="shared" ca="1" si="249"/>
        <v>0</v>
      </c>
      <c r="V722" s="71">
        <f t="shared" ca="1" si="250"/>
        <v>3</v>
      </c>
      <c r="W722" s="17">
        <f t="shared" ca="1" si="251"/>
        <v>0</v>
      </c>
    </row>
    <row r="723" spans="1:23" x14ac:dyDescent="0.25">
      <c r="A723" s="4">
        <f t="shared" si="231"/>
        <v>32</v>
      </c>
      <c r="B723" t="str">
        <f ca="1">TEXT(DATE(YEAR(Invoer!$A$6),1,1)+INT((ROWS(B$2:B723)-1)/4),"jjjjmmdd")</f>
        <v>19400629</v>
      </c>
      <c r="C723" s="64" t="str">
        <f>IF(MOD(ROWS(C$2:C723)-1,4)=3,"24.00",INDEX(Data,3,2+MOD(ROWS(C$2:C723)-1,4)))</f>
        <v>12.00</v>
      </c>
      <c r="D723" s="18">
        <f t="shared" ca="1" si="232"/>
        <v>761.2</v>
      </c>
      <c r="E723" s="17">
        <f t="shared" ca="1" si="233"/>
        <v>0</v>
      </c>
      <c r="F723" s="18">
        <f t="shared" ca="1" si="234"/>
        <v>28.5</v>
      </c>
      <c r="G723" s="17">
        <f t="shared" ca="1" si="235"/>
        <v>0</v>
      </c>
      <c r="H723" s="18" t="str">
        <f t="shared" ca="1" si="236"/>
        <v>—</v>
      </c>
      <c r="I723" s="17">
        <f t="shared" ca="1" si="237"/>
        <v>7</v>
      </c>
      <c r="J723" s="18" t="str">
        <f t="shared" ca="1" si="238"/>
        <v>—</v>
      </c>
      <c r="K723" s="17">
        <f t="shared" ca="1" si="239"/>
        <v>7</v>
      </c>
      <c r="L723" s="10">
        <f t="shared" ca="1" si="240"/>
        <v>71</v>
      </c>
      <c r="M723" s="17">
        <f t="shared" ca="1" si="241"/>
        <v>0</v>
      </c>
      <c r="N723" s="18">
        <f t="shared" ca="1" si="242"/>
        <v>20.9</v>
      </c>
      <c r="O723" s="17">
        <f t="shared" ca="1" si="243"/>
        <v>0</v>
      </c>
      <c r="P723" s="18">
        <f t="shared" ca="1" si="244"/>
        <v>24.4</v>
      </c>
      <c r="Q723" s="17">
        <f t="shared" ca="1" si="245"/>
        <v>0</v>
      </c>
      <c r="R723" s="10">
        <f t="shared" ca="1" si="246"/>
        <v>65</v>
      </c>
      <c r="S723" s="17">
        <f t="shared" ca="1" si="247"/>
        <v>0</v>
      </c>
      <c r="T723" s="70">
        <f t="shared" ca="1" si="248"/>
        <v>0.6</v>
      </c>
      <c r="U723" s="17">
        <f t="shared" ca="1" si="249"/>
        <v>0</v>
      </c>
      <c r="V723" s="71">
        <f t="shared" ca="1" si="250"/>
        <v>3</v>
      </c>
      <c r="W723" s="17">
        <f t="shared" ca="1" si="251"/>
        <v>0</v>
      </c>
    </row>
    <row r="724" spans="1:23" x14ac:dyDescent="0.25">
      <c r="A724" s="4">
        <f t="shared" si="231"/>
        <v>32</v>
      </c>
      <c r="B724" t="str">
        <f ca="1">TEXT(DATE(YEAR(Invoer!$A$6),1,1)+INT((ROWS(B$2:B724)-1)/4),"jjjjmmdd")</f>
        <v>19400629</v>
      </c>
      <c r="C724" s="64" t="str">
        <f>IF(MOD(ROWS(C$2:C724)-1,4)=3,"24.00",INDEX(Data,3,2+MOD(ROWS(C$2:C724)-1,4)))</f>
        <v>17.00</v>
      </c>
      <c r="D724" s="18">
        <f t="shared" ca="1" si="232"/>
        <v>758.9</v>
      </c>
      <c r="E724" s="17">
        <f t="shared" ca="1" si="233"/>
        <v>0</v>
      </c>
      <c r="F724" s="18">
        <f t="shared" ca="1" si="234"/>
        <v>28.1</v>
      </c>
      <c r="G724" s="17">
        <f t="shared" ca="1" si="235"/>
        <v>0</v>
      </c>
      <c r="H724" s="18" t="str">
        <f t="shared" ca="1" si="236"/>
        <v>—</v>
      </c>
      <c r="I724" s="17">
        <f t="shared" ca="1" si="237"/>
        <v>7</v>
      </c>
      <c r="J724" s="18" t="str">
        <f t="shared" ca="1" si="238"/>
        <v>—</v>
      </c>
      <c r="K724" s="17">
        <f t="shared" ca="1" si="239"/>
        <v>7</v>
      </c>
      <c r="L724" s="10">
        <f t="shared" ca="1" si="240"/>
        <v>72</v>
      </c>
      <c r="M724" s="17">
        <f t="shared" ca="1" si="241"/>
        <v>0</v>
      </c>
      <c r="N724" s="18">
        <f t="shared" ca="1" si="242"/>
        <v>20.7</v>
      </c>
      <c r="O724" s="17">
        <f t="shared" ca="1" si="243"/>
        <v>0</v>
      </c>
      <c r="P724" s="18">
        <f t="shared" ca="1" si="244"/>
        <v>24.2</v>
      </c>
      <c r="Q724" s="17">
        <f t="shared" ca="1" si="245"/>
        <v>0</v>
      </c>
      <c r="R724" s="10">
        <f t="shared" ca="1" si="246"/>
        <v>65</v>
      </c>
      <c r="S724" s="17">
        <f t="shared" ca="1" si="247"/>
        <v>0</v>
      </c>
      <c r="T724" s="70">
        <f t="shared" ca="1" si="248"/>
        <v>0.6</v>
      </c>
      <c r="U724" s="17">
        <f t="shared" ca="1" si="249"/>
        <v>0</v>
      </c>
      <c r="V724" s="71">
        <f t="shared" ca="1" si="250"/>
        <v>3</v>
      </c>
      <c r="W724" s="17">
        <f t="shared" ca="1" si="251"/>
        <v>0</v>
      </c>
    </row>
    <row r="725" spans="1:23" x14ac:dyDescent="0.25">
      <c r="A725" s="4">
        <f t="shared" si="231"/>
        <v>32</v>
      </c>
      <c r="B725" t="str">
        <f ca="1">TEXT(DATE(YEAR(Invoer!$A$6),1,1)+INT((ROWS(B$2:B725)-1)/4),"jjjjmmdd")</f>
        <v>19400629</v>
      </c>
      <c r="C725" s="64" t="str">
        <f>IF(MOD(ROWS(C$2:C725)-1,4)=3,"24.00",INDEX(Data,3,2+MOD(ROWS(C$2:C725)-1,4)))</f>
        <v>24.00</v>
      </c>
      <c r="D725" s="18" t="str">
        <f t="shared" ca="1" si="232"/>
        <v>—</v>
      </c>
      <c r="E725" s="17">
        <f t="shared" ca="1" si="233"/>
        <v>7</v>
      </c>
      <c r="F725" s="18" t="str">
        <f t="shared" ca="1" si="234"/>
        <v>—</v>
      </c>
      <c r="G725" s="17">
        <f t="shared" ca="1" si="235"/>
        <v>7</v>
      </c>
      <c r="H725" s="18">
        <f t="shared" ca="1" si="236"/>
        <v>30</v>
      </c>
      <c r="I725" s="17">
        <f t="shared" ca="1" si="237"/>
        <v>0</v>
      </c>
      <c r="J725" s="18">
        <f t="shared" ca="1" si="238"/>
        <v>31</v>
      </c>
      <c r="K725" s="17">
        <f t="shared" ca="1" si="239"/>
        <v>0</v>
      </c>
      <c r="L725" s="10" t="str">
        <f t="shared" ca="1" si="240"/>
        <v>—</v>
      </c>
      <c r="M725" s="17">
        <f t="shared" ca="1" si="241"/>
        <v>7</v>
      </c>
      <c r="N725" s="18" t="str">
        <f t="shared" ca="1" si="242"/>
        <v>—</v>
      </c>
      <c r="O725" s="17">
        <f t="shared" ca="1" si="243"/>
        <v>7</v>
      </c>
      <c r="P725" s="18" t="str">
        <f t="shared" ca="1" si="244"/>
        <v>—</v>
      </c>
      <c r="Q725" s="17">
        <f t="shared" ca="1" si="245"/>
        <v>7</v>
      </c>
      <c r="R725" s="10" t="str">
        <f t="shared" ca="1" si="246"/>
        <v>—</v>
      </c>
      <c r="S725" s="17">
        <f t="shared" ca="1" si="247"/>
        <v>7</v>
      </c>
      <c r="T725" s="70" t="str">
        <f t="shared" ca="1" si="248"/>
        <v>—</v>
      </c>
      <c r="U725" s="17">
        <f t="shared" ca="1" si="249"/>
        <v>7</v>
      </c>
      <c r="V725" s="71" t="str">
        <f t="shared" ca="1" si="250"/>
        <v>—</v>
      </c>
      <c r="W725" s="17">
        <f t="shared" ca="1" si="251"/>
        <v>7</v>
      </c>
    </row>
    <row r="726" spans="1:23" x14ac:dyDescent="0.25">
      <c r="A726" s="4">
        <f t="shared" si="231"/>
        <v>32</v>
      </c>
      <c r="B726" t="str">
        <f ca="1">TEXT(DATE(YEAR(Invoer!$A$6),1,1)+INT((ROWS(B$2:B726)-1)/4),"jjjjmmdd")</f>
        <v>19400630</v>
      </c>
      <c r="C726" s="64" t="str">
        <f>IF(MOD(ROWS(C$2:C726)-1,4)=3,"24.00",INDEX(Data,3,2+MOD(ROWS(C$2:C726)-1,4)))</f>
        <v>07.00</v>
      </c>
      <c r="D726" s="18">
        <f t="shared" ca="1" si="232"/>
        <v>760</v>
      </c>
      <c r="E726" s="17">
        <f t="shared" ca="1" si="233"/>
        <v>0</v>
      </c>
      <c r="F726" s="18">
        <f t="shared" ca="1" si="234"/>
        <v>27.9</v>
      </c>
      <c r="G726" s="17">
        <f t="shared" ca="1" si="235"/>
        <v>0</v>
      </c>
      <c r="H726" s="18" t="str">
        <f t="shared" ca="1" si="236"/>
        <v>—</v>
      </c>
      <c r="I726" s="17">
        <f t="shared" ca="1" si="237"/>
        <v>7</v>
      </c>
      <c r="J726" s="18" t="str">
        <f t="shared" ca="1" si="238"/>
        <v>—</v>
      </c>
      <c r="K726" s="17">
        <f t="shared" ca="1" si="239"/>
        <v>7</v>
      </c>
      <c r="L726" s="10">
        <f t="shared" ca="1" si="240"/>
        <v>73</v>
      </c>
      <c r="M726" s="17">
        <f t="shared" ca="1" si="241"/>
        <v>0</v>
      </c>
      <c r="N726" s="18">
        <f t="shared" ca="1" si="242"/>
        <v>20.6</v>
      </c>
      <c r="O726" s="17">
        <f t="shared" ca="1" si="243"/>
        <v>0</v>
      </c>
      <c r="P726" s="18">
        <f t="shared" ca="1" si="244"/>
        <v>24.1</v>
      </c>
      <c r="Q726" s="17">
        <f t="shared" ca="1" si="245"/>
        <v>0</v>
      </c>
      <c r="R726" s="10">
        <f t="shared" ca="1" si="246"/>
        <v>90</v>
      </c>
      <c r="S726" s="17">
        <f t="shared" ca="1" si="247"/>
        <v>0</v>
      </c>
      <c r="T726" s="70">
        <f t="shared" ca="1" si="248"/>
        <v>0.4</v>
      </c>
      <c r="U726" s="17">
        <f t="shared" ca="1" si="249"/>
        <v>0</v>
      </c>
      <c r="V726" s="71">
        <f t="shared" ca="1" si="250"/>
        <v>2</v>
      </c>
      <c r="W726" s="17">
        <f t="shared" ca="1" si="251"/>
        <v>0</v>
      </c>
    </row>
    <row r="727" spans="1:23" x14ac:dyDescent="0.25">
      <c r="A727" s="4">
        <f t="shared" si="231"/>
        <v>32</v>
      </c>
      <c r="B727" t="str">
        <f ca="1">TEXT(DATE(YEAR(Invoer!$A$6),1,1)+INT((ROWS(B$2:B727)-1)/4),"jjjjmmdd")</f>
        <v>19400630</v>
      </c>
      <c r="C727" s="64" t="str">
        <f>IF(MOD(ROWS(C$2:C727)-1,4)=3,"24.00",INDEX(Data,3,2+MOD(ROWS(C$2:C727)-1,4)))</f>
        <v>12.00</v>
      </c>
      <c r="D727" s="18">
        <f t="shared" ca="1" si="232"/>
        <v>760.7</v>
      </c>
      <c r="E727" s="17">
        <f t="shared" ca="1" si="233"/>
        <v>0</v>
      </c>
      <c r="F727" s="18">
        <f t="shared" ca="1" si="234"/>
        <v>28.1</v>
      </c>
      <c r="G727" s="17">
        <f t="shared" ca="1" si="235"/>
        <v>0</v>
      </c>
      <c r="H727" s="18" t="str">
        <f t="shared" ca="1" si="236"/>
        <v>—</v>
      </c>
      <c r="I727" s="17">
        <f t="shared" ca="1" si="237"/>
        <v>7</v>
      </c>
      <c r="J727" s="18" t="str">
        <f t="shared" ca="1" si="238"/>
        <v>—</v>
      </c>
      <c r="K727" s="17">
        <f t="shared" ca="1" si="239"/>
        <v>7</v>
      </c>
      <c r="L727" s="10">
        <f t="shared" ca="1" si="240"/>
        <v>74</v>
      </c>
      <c r="M727" s="17">
        <f t="shared" ca="1" si="241"/>
        <v>0</v>
      </c>
      <c r="N727" s="18">
        <f t="shared" ca="1" si="242"/>
        <v>21.3</v>
      </c>
      <c r="O727" s="17">
        <f t="shared" ca="1" si="243"/>
        <v>0</v>
      </c>
      <c r="P727" s="18">
        <f t="shared" ca="1" si="244"/>
        <v>24.5</v>
      </c>
      <c r="Q727" s="17">
        <f t="shared" ca="1" si="245"/>
        <v>0</v>
      </c>
      <c r="R727" s="10">
        <f t="shared" ca="1" si="246"/>
        <v>90</v>
      </c>
      <c r="S727" s="17">
        <f t="shared" ca="1" si="247"/>
        <v>0</v>
      </c>
      <c r="T727" s="70">
        <f t="shared" ca="1" si="248"/>
        <v>0.5</v>
      </c>
      <c r="U727" s="17">
        <f t="shared" ca="1" si="249"/>
        <v>0</v>
      </c>
      <c r="V727" s="71">
        <f t="shared" ca="1" si="250"/>
        <v>3</v>
      </c>
      <c r="W727" s="17">
        <f t="shared" ca="1" si="251"/>
        <v>0</v>
      </c>
    </row>
    <row r="728" spans="1:23" x14ac:dyDescent="0.25">
      <c r="A728" s="4">
        <f t="shared" si="231"/>
        <v>32</v>
      </c>
      <c r="B728" t="str">
        <f ca="1">TEXT(DATE(YEAR(Invoer!$A$6),1,1)+INT((ROWS(B$2:B728)-1)/4),"jjjjmmdd")</f>
        <v>19400630</v>
      </c>
      <c r="C728" s="64" t="str">
        <f>IF(MOD(ROWS(C$2:C728)-1,4)=3,"24.00",INDEX(Data,3,2+MOD(ROWS(C$2:C728)-1,4)))</f>
        <v>17.00</v>
      </c>
      <c r="D728" s="18">
        <f t="shared" ca="1" si="232"/>
        <v>759.5</v>
      </c>
      <c r="E728" s="17">
        <f t="shared" ca="1" si="233"/>
        <v>0</v>
      </c>
      <c r="F728" s="18">
        <f t="shared" ca="1" si="234"/>
        <v>28.2</v>
      </c>
      <c r="G728" s="17">
        <f t="shared" ca="1" si="235"/>
        <v>0</v>
      </c>
      <c r="H728" s="18" t="str">
        <f t="shared" ca="1" si="236"/>
        <v>—</v>
      </c>
      <c r="I728" s="17">
        <f t="shared" ca="1" si="237"/>
        <v>7</v>
      </c>
      <c r="J728" s="18" t="str">
        <f t="shared" ca="1" si="238"/>
        <v>—</v>
      </c>
      <c r="K728" s="17">
        <f t="shared" ca="1" si="239"/>
        <v>7</v>
      </c>
      <c r="L728" s="10">
        <f t="shared" ca="1" si="240"/>
        <v>72</v>
      </c>
      <c r="M728" s="17">
        <f t="shared" ca="1" si="241"/>
        <v>0</v>
      </c>
      <c r="N728" s="18">
        <f t="shared" ca="1" si="242"/>
        <v>20.6</v>
      </c>
      <c r="O728" s="17">
        <f t="shared" ca="1" si="243"/>
        <v>0</v>
      </c>
      <c r="P728" s="18">
        <f t="shared" ca="1" si="244"/>
        <v>24.2</v>
      </c>
      <c r="Q728" s="17">
        <f t="shared" ca="1" si="245"/>
        <v>0</v>
      </c>
      <c r="R728" s="10">
        <f t="shared" ca="1" si="246"/>
        <v>65</v>
      </c>
      <c r="S728" s="17">
        <f t="shared" ca="1" si="247"/>
        <v>0</v>
      </c>
      <c r="T728" s="70">
        <f t="shared" ca="1" si="248"/>
        <v>0.4</v>
      </c>
      <c r="U728" s="17">
        <f t="shared" ca="1" si="249"/>
        <v>0</v>
      </c>
      <c r="V728" s="71">
        <f t="shared" ca="1" si="250"/>
        <v>3</v>
      </c>
      <c r="W728" s="17">
        <f t="shared" ca="1" si="251"/>
        <v>0</v>
      </c>
    </row>
    <row r="729" spans="1:23" x14ac:dyDescent="0.25">
      <c r="A729" s="4">
        <f t="shared" si="231"/>
        <v>32</v>
      </c>
      <c r="B729" t="str">
        <f ca="1">TEXT(DATE(YEAR(Invoer!$A$6),1,1)+INT((ROWS(B$2:B729)-1)/4),"jjjjmmdd")</f>
        <v>19400630</v>
      </c>
      <c r="C729" s="64" t="str">
        <f>IF(MOD(ROWS(C$2:C729)-1,4)=3,"24.00",INDEX(Data,3,2+MOD(ROWS(C$2:C729)-1,4)))</f>
        <v>24.00</v>
      </c>
      <c r="D729" s="18" t="str">
        <f t="shared" ca="1" si="232"/>
        <v>—</v>
      </c>
      <c r="E729" s="17">
        <f t="shared" ca="1" si="233"/>
        <v>7</v>
      </c>
      <c r="F729" s="18" t="str">
        <f t="shared" ca="1" si="234"/>
        <v>—</v>
      </c>
      <c r="G729" s="17">
        <f t="shared" ca="1" si="235"/>
        <v>7</v>
      </c>
      <c r="H729" s="18">
        <f t="shared" ca="1" si="236"/>
        <v>30</v>
      </c>
      <c r="I729" s="17">
        <f t="shared" ca="1" si="237"/>
        <v>0</v>
      </c>
      <c r="J729" s="18">
        <f t="shared" ca="1" si="238"/>
        <v>31</v>
      </c>
      <c r="K729" s="17">
        <f t="shared" ca="1" si="239"/>
        <v>0</v>
      </c>
      <c r="L729" s="10" t="str">
        <f t="shared" ca="1" si="240"/>
        <v>—</v>
      </c>
      <c r="M729" s="17">
        <f t="shared" ca="1" si="241"/>
        <v>7</v>
      </c>
      <c r="N729" s="18" t="str">
        <f t="shared" ca="1" si="242"/>
        <v>—</v>
      </c>
      <c r="O729" s="17">
        <f t="shared" ca="1" si="243"/>
        <v>7</v>
      </c>
      <c r="P729" s="18" t="str">
        <f t="shared" ca="1" si="244"/>
        <v>—</v>
      </c>
      <c r="Q729" s="17">
        <f t="shared" ca="1" si="245"/>
        <v>7</v>
      </c>
      <c r="R729" s="10" t="str">
        <f t="shared" ca="1" si="246"/>
        <v>—</v>
      </c>
      <c r="S729" s="17">
        <f t="shared" ca="1" si="247"/>
        <v>7</v>
      </c>
      <c r="T729" s="70" t="str">
        <f t="shared" ca="1" si="248"/>
        <v>—</v>
      </c>
      <c r="U729" s="17">
        <f t="shared" ca="1" si="249"/>
        <v>7</v>
      </c>
      <c r="V729" s="71" t="str">
        <f t="shared" ca="1" si="250"/>
        <v>—</v>
      </c>
      <c r="W729" s="17">
        <f t="shared" ca="1" si="251"/>
        <v>7</v>
      </c>
    </row>
    <row r="730" spans="1:23" x14ac:dyDescent="0.25">
      <c r="A730" s="4">
        <f t="shared" si="231"/>
        <v>32</v>
      </c>
      <c r="B730" t="str">
        <f ca="1">TEXT(DATE(YEAR(Invoer!$A$6),1,1)+INT((ROWS(B$2:B730)-1)/4),"jjjjmmdd")</f>
        <v>19400701</v>
      </c>
      <c r="C730" s="64" t="str">
        <f>IF(MOD(ROWS(C$2:C730)-1,4)=3,"24.00",INDEX(Data,3,2+MOD(ROWS(C$2:C730)-1,4)))</f>
        <v>07.00</v>
      </c>
      <c r="D730" s="18">
        <f t="shared" ca="1" si="232"/>
        <v>759.2</v>
      </c>
      <c r="E730" s="17">
        <f t="shared" ca="1" si="233"/>
        <v>0</v>
      </c>
      <c r="F730" s="18">
        <f t="shared" ca="1" si="234"/>
        <v>27.4</v>
      </c>
      <c r="G730" s="17">
        <f t="shared" ca="1" si="235"/>
        <v>0</v>
      </c>
      <c r="H730" s="18" t="str">
        <f t="shared" ca="1" si="236"/>
        <v>—</v>
      </c>
      <c r="I730" s="17">
        <f t="shared" ca="1" si="237"/>
        <v>7</v>
      </c>
      <c r="J730" s="18" t="str">
        <f t="shared" ca="1" si="238"/>
        <v>—</v>
      </c>
      <c r="K730" s="17">
        <f t="shared" ca="1" si="239"/>
        <v>7</v>
      </c>
      <c r="L730" s="10">
        <f t="shared" ca="1" si="240"/>
        <v>74</v>
      </c>
      <c r="M730" s="17">
        <f t="shared" ca="1" si="241"/>
        <v>0</v>
      </c>
      <c r="N730" s="18">
        <f t="shared" ca="1" si="242"/>
        <v>20.5</v>
      </c>
      <c r="O730" s="17">
        <f t="shared" ca="1" si="243"/>
        <v>0</v>
      </c>
      <c r="P730" s="18">
        <f t="shared" ca="1" si="244"/>
        <v>23.8</v>
      </c>
      <c r="Q730" s="17">
        <f t="shared" ca="1" si="245"/>
        <v>0</v>
      </c>
      <c r="R730" s="10">
        <f t="shared" ca="1" si="246"/>
        <v>65</v>
      </c>
      <c r="S730" s="17">
        <f t="shared" ca="1" si="247"/>
        <v>0</v>
      </c>
      <c r="T730" s="70">
        <f t="shared" ca="1" si="248"/>
        <v>0.5</v>
      </c>
      <c r="U730" s="17">
        <f t="shared" ca="1" si="249"/>
        <v>0</v>
      </c>
      <c r="V730" s="71">
        <f t="shared" ca="1" si="250"/>
        <v>4</v>
      </c>
      <c r="W730" s="17">
        <f t="shared" ca="1" si="251"/>
        <v>0</v>
      </c>
    </row>
    <row r="731" spans="1:23" x14ac:dyDescent="0.25">
      <c r="A731" s="4">
        <f t="shared" si="231"/>
        <v>32</v>
      </c>
      <c r="B731" t="str">
        <f ca="1">TEXT(DATE(YEAR(Invoer!$A$6),1,1)+INT((ROWS(B$2:B731)-1)/4),"jjjjmmdd")</f>
        <v>19400701</v>
      </c>
      <c r="C731" s="64" t="str">
        <f>IF(MOD(ROWS(C$2:C731)-1,4)=3,"24.00",INDEX(Data,3,2+MOD(ROWS(C$2:C731)-1,4)))</f>
        <v>12.00</v>
      </c>
      <c r="D731" s="18">
        <f t="shared" ca="1" si="232"/>
        <v>759.7</v>
      </c>
      <c r="E731" s="17">
        <f t="shared" ca="1" si="233"/>
        <v>0</v>
      </c>
      <c r="F731" s="18">
        <f t="shared" ca="1" si="234"/>
        <v>27.7</v>
      </c>
      <c r="G731" s="17">
        <f t="shared" ca="1" si="235"/>
        <v>0</v>
      </c>
      <c r="H731" s="18" t="str">
        <f t="shared" ca="1" si="236"/>
        <v>—</v>
      </c>
      <c r="I731" s="17">
        <f t="shared" ca="1" si="237"/>
        <v>7</v>
      </c>
      <c r="J731" s="18" t="str">
        <f t="shared" ca="1" si="238"/>
        <v>—</v>
      </c>
      <c r="K731" s="17">
        <f t="shared" ca="1" si="239"/>
        <v>7</v>
      </c>
      <c r="L731" s="10">
        <f t="shared" ca="1" si="240"/>
        <v>72</v>
      </c>
      <c r="M731" s="17">
        <f t="shared" ca="1" si="241"/>
        <v>0</v>
      </c>
      <c r="N731" s="18">
        <f t="shared" ca="1" si="242"/>
        <v>19.899999999999999</v>
      </c>
      <c r="O731" s="17">
        <f t="shared" ca="1" si="243"/>
        <v>0</v>
      </c>
      <c r="P731" s="18">
        <f t="shared" ca="1" si="244"/>
        <v>24</v>
      </c>
      <c r="Q731" s="17">
        <f t="shared" ca="1" si="245"/>
        <v>0</v>
      </c>
      <c r="R731" s="10">
        <f t="shared" ca="1" si="246"/>
        <v>90</v>
      </c>
      <c r="S731" s="17">
        <f t="shared" ca="1" si="247"/>
        <v>0</v>
      </c>
      <c r="T731" s="70">
        <f t="shared" ca="1" si="248"/>
        <v>0.6</v>
      </c>
      <c r="U731" s="17">
        <f t="shared" ca="1" si="249"/>
        <v>0</v>
      </c>
      <c r="V731" s="71">
        <f t="shared" ca="1" si="250"/>
        <v>5</v>
      </c>
      <c r="W731" s="17">
        <f t="shared" ca="1" si="251"/>
        <v>0</v>
      </c>
    </row>
    <row r="732" spans="1:23" x14ac:dyDescent="0.25">
      <c r="A732" s="4">
        <f t="shared" si="231"/>
        <v>32</v>
      </c>
      <c r="B732" t="str">
        <f ca="1">TEXT(DATE(YEAR(Invoer!$A$6),1,1)+INT((ROWS(B$2:B732)-1)/4),"jjjjmmdd")</f>
        <v>19400701</v>
      </c>
      <c r="C732" s="64" t="str">
        <f>IF(MOD(ROWS(C$2:C732)-1,4)=3,"24.00",INDEX(Data,3,2+MOD(ROWS(C$2:C732)-1,4)))</f>
        <v>17.00</v>
      </c>
      <c r="D732" s="18">
        <f t="shared" ca="1" si="232"/>
        <v>758.5</v>
      </c>
      <c r="E732" s="17">
        <f t="shared" ca="1" si="233"/>
        <v>0</v>
      </c>
      <c r="F732" s="18">
        <f t="shared" ca="1" si="234"/>
        <v>27.5</v>
      </c>
      <c r="G732" s="17">
        <f t="shared" ca="1" si="235"/>
        <v>0</v>
      </c>
      <c r="H732" s="18" t="str">
        <f t="shared" ca="1" si="236"/>
        <v>—</v>
      </c>
      <c r="I732" s="17">
        <f t="shared" ca="1" si="237"/>
        <v>7</v>
      </c>
      <c r="J732" s="18" t="str">
        <f t="shared" ca="1" si="238"/>
        <v>—</v>
      </c>
      <c r="K732" s="17">
        <f t="shared" ca="1" si="239"/>
        <v>7</v>
      </c>
      <c r="L732" s="10">
        <f t="shared" ca="1" si="240"/>
        <v>72</v>
      </c>
      <c r="M732" s="17">
        <f t="shared" ca="1" si="241"/>
        <v>0</v>
      </c>
      <c r="N732" s="18">
        <f t="shared" ca="1" si="242"/>
        <v>19.899999999999999</v>
      </c>
      <c r="O732" s="17">
        <f t="shared" ca="1" si="243"/>
        <v>0</v>
      </c>
      <c r="P732" s="18">
        <f t="shared" ca="1" si="244"/>
        <v>23.6</v>
      </c>
      <c r="Q732" s="17">
        <f t="shared" ca="1" si="245"/>
        <v>0</v>
      </c>
      <c r="R732" s="10">
        <f t="shared" ca="1" si="246"/>
        <v>90</v>
      </c>
      <c r="S732" s="17">
        <f t="shared" ca="1" si="247"/>
        <v>0</v>
      </c>
      <c r="T732" s="70">
        <f t="shared" ca="1" si="248"/>
        <v>0.6</v>
      </c>
      <c r="U732" s="17">
        <f t="shared" ca="1" si="249"/>
        <v>0</v>
      </c>
      <c r="V732" s="71">
        <f t="shared" ca="1" si="250"/>
        <v>4</v>
      </c>
      <c r="W732" s="17">
        <f t="shared" ca="1" si="251"/>
        <v>0</v>
      </c>
    </row>
    <row r="733" spans="1:23" x14ac:dyDescent="0.25">
      <c r="A733" s="4">
        <f t="shared" si="231"/>
        <v>32</v>
      </c>
      <c r="B733" t="str">
        <f ca="1">TEXT(DATE(YEAR(Invoer!$A$6),1,1)+INT((ROWS(B$2:B733)-1)/4),"jjjjmmdd")</f>
        <v>19400701</v>
      </c>
      <c r="C733" s="64" t="str">
        <f>IF(MOD(ROWS(C$2:C733)-1,4)=3,"24.00",INDEX(Data,3,2+MOD(ROWS(C$2:C733)-1,4)))</f>
        <v>24.00</v>
      </c>
      <c r="D733" s="18" t="str">
        <f t="shared" ca="1" si="232"/>
        <v>—</v>
      </c>
      <c r="E733" s="17">
        <f t="shared" ca="1" si="233"/>
        <v>7</v>
      </c>
      <c r="F733" s="18" t="str">
        <f t="shared" ca="1" si="234"/>
        <v>—</v>
      </c>
      <c r="G733" s="17">
        <f t="shared" ca="1" si="235"/>
        <v>7</v>
      </c>
      <c r="H733" s="18">
        <f t="shared" ca="1" si="236"/>
        <v>29</v>
      </c>
      <c r="I733" s="17">
        <f t="shared" ca="1" si="237"/>
        <v>0</v>
      </c>
      <c r="J733" s="18">
        <f t="shared" ca="1" si="238"/>
        <v>30.5</v>
      </c>
      <c r="K733" s="17">
        <f t="shared" ca="1" si="239"/>
        <v>0</v>
      </c>
      <c r="L733" s="10" t="str">
        <f t="shared" ca="1" si="240"/>
        <v>—</v>
      </c>
      <c r="M733" s="17">
        <f t="shared" ca="1" si="241"/>
        <v>7</v>
      </c>
      <c r="N733" s="18" t="str">
        <f t="shared" ca="1" si="242"/>
        <v>—</v>
      </c>
      <c r="O733" s="17">
        <f t="shared" ca="1" si="243"/>
        <v>7</v>
      </c>
      <c r="P733" s="18" t="str">
        <f t="shared" ca="1" si="244"/>
        <v>—</v>
      </c>
      <c r="Q733" s="17">
        <f t="shared" ca="1" si="245"/>
        <v>7</v>
      </c>
      <c r="R733" s="10" t="str">
        <f t="shared" ca="1" si="246"/>
        <v>—</v>
      </c>
      <c r="S733" s="17">
        <f t="shared" ca="1" si="247"/>
        <v>7</v>
      </c>
      <c r="T733" s="70" t="str">
        <f t="shared" ca="1" si="248"/>
        <v>—</v>
      </c>
      <c r="U733" s="17">
        <f t="shared" ca="1" si="249"/>
        <v>7</v>
      </c>
      <c r="V733" s="71" t="str">
        <f t="shared" ca="1" si="250"/>
        <v>—</v>
      </c>
      <c r="W733" s="17">
        <f t="shared" ca="1" si="251"/>
        <v>7</v>
      </c>
    </row>
    <row r="734" spans="1:23" x14ac:dyDescent="0.25">
      <c r="A734" s="4">
        <f t="shared" si="231"/>
        <v>32</v>
      </c>
      <c r="B734" t="str">
        <f ca="1">TEXT(DATE(YEAR(Invoer!$A$6),1,1)+INT((ROWS(B$2:B734)-1)/4),"jjjjmmdd")</f>
        <v>19400702</v>
      </c>
      <c r="C734" s="64" t="str">
        <f>IF(MOD(ROWS(C$2:C734)-1,4)=3,"24.00",INDEX(Data,3,2+MOD(ROWS(C$2:C734)-1,4)))</f>
        <v>07.00</v>
      </c>
      <c r="D734" s="18">
        <f t="shared" ca="1" si="232"/>
        <v>758.7</v>
      </c>
      <c r="E734" s="17">
        <f t="shared" ca="1" si="233"/>
        <v>0</v>
      </c>
      <c r="F734" s="18">
        <f t="shared" ca="1" si="234"/>
        <v>27.1</v>
      </c>
      <c r="G734" s="17">
        <f t="shared" ca="1" si="235"/>
        <v>0</v>
      </c>
      <c r="H734" s="18" t="str">
        <f t="shared" ca="1" si="236"/>
        <v>—</v>
      </c>
      <c r="I734" s="17">
        <f t="shared" ca="1" si="237"/>
        <v>7</v>
      </c>
      <c r="J734" s="18" t="str">
        <f t="shared" ca="1" si="238"/>
        <v>—</v>
      </c>
      <c r="K734" s="17">
        <f t="shared" ca="1" si="239"/>
        <v>7</v>
      </c>
      <c r="L734" s="10">
        <f t="shared" ca="1" si="240"/>
        <v>73</v>
      </c>
      <c r="M734" s="17">
        <f t="shared" ca="1" si="241"/>
        <v>0</v>
      </c>
      <c r="N734" s="18">
        <f t="shared" ca="1" si="242"/>
        <v>19.7</v>
      </c>
      <c r="O734" s="17">
        <f t="shared" ca="1" si="243"/>
        <v>0</v>
      </c>
      <c r="P734" s="18">
        <f t="shared" ca="1" si="244"/>
        <v>23.4</v>
      </c>
      <c r="Q734" s="17">
        <f t="shared" ca="1" si="245"/>
        <v>0</v>
      </c>
      <c r="R734" s="10">
        <f t="shared" ca="1" si="246"/>
        <v>65</v>
      </c>
      <c r="S734" s="17">
        <f t="shared" ca="1" si="247"/>
        <v>0</v>
      </c>
      <c r="T734" s="70">
        <f t="shared" ca="1" si="248"/>
        <v>0.5</v>
      </c>
      <c r="U734" s="17">
        <f t="shared" ca="1" si="249"/>
        <v>0</v>
      </c>
      <c r="V734" s="71">
        <f t="shared" ca="1" si="250"/>
        <v>4</v>
      </c>
      <c r="W734" s="17">
        <f t="shared" ca="1" si="251"/>
        <v>0</v>
      </c>
    </row>
    <row r="735" spans="1:23" x14ac:dyDescent="0.25">
      <c r="A735" s="4">
        <f t="shared" si="231"/>
        <v>32</v>
      </c>
      <c r="B735" t="str">
        <f ca="1">TEXT(DATE(YEAR(Invoer!$A$6),1,1)+INT((ROWS(B$2:B735)-1)/4),"jjjjmmdd")</f>
        <v>19400702</v>
      </c>
      <c r="C735" s="64" t="str">
        <f>IF(MOD(ROWS(C$2:C735)-1,4)=3,"24.00",INDEX(Data,3,2+MOD(ROWS(C$2:C735)-1,4)))</f>
        <v>12.00</v>
      </c>
      <c r="D735" s="18">
        <f t="shared" ca="1" si="232"/>
        <v>759.2</v>
      </c>
      <c r="E735" s="17">
        <f t="shared" ca="1" si="233"/>
        <v>0</v>
      </c>
      <c r="F735" s="18">
        <f t="shared" ca="1" si="234"/>
        <v>27.5</v>
      </c>
      <c r="G735" s="17">
        <f t="shared" ca="1" si="235"/>
        <v>0</v>
      </c>
      <c r="H735" s="18" t="str">
        <f t="shared" ca="1" si="236"/>
        <v>—</v>
      </c>
      <c r="I735" s="17">
        <f t="shared" ca="1" si="237"/>
        <v>7</v>
      </c>
      <c r="J735" s="18" t="str">
        <f t="shared" ca="1" si="238"/>
        <v>—</v>
      </c>
      <c r="K735" s="17">
        <f t="shared" ca="1" si="239"/>
        <v>7</v>
      </c>
      <c r="L735" s="10">
        <f t="shared" ca="1" si="240"/>
        <v>73</v>
      </c>
      <c r="M735" s="17">
        <f t="shared" ca="1" si="241"/>
        <v>0</v>
      </c>
      <c r="N735" s="18">
        <f t="shared" ca="1" si="242"/>
        <v>20.3</v>
      </c>
      <c r="O735" s="17">
        <f t="shared" ca="1" si="243"/>
        <v>0</v>
      </c>
      <c r="P735" s="18">
        <f t="shared" ca="1" si="244"/>
        <v>23.8</v>
      </c>
      <c r="Q735" s="17">
        <f t="shared" ca="1" si="245"/>
        <v>0</v>
      </c>
      <c r="R735" s="10">
        <f t="shared" ca="1" si="246"/>
        <v>65</v>
      </c>
      <c r="S735" s="17">
        <f t="shared" ca="1" si="247"/>
        <v>0</v>
      </c>
      <c r="T735" s="70">
        <f t="shared" ca="1" si="248"/>
        <v>0.6</v>
      </c>
      <c r="U735" s="17">
        <f t="shared" ca="1" si="249"/>
        <v>0</v>
      </c>
      <c r="V735" s="71">
        <f t="shared" ca="1" si="250"/>
        <v>5</v>
      </c>
      <c r="W735" s="17">
        <f t="shared" ca="1" si="251"/>
        <v>0</v>
      </c>
    </row>
    <row r="736" spans="1:23" x14ac:dyDescent="0.25">
      <c r="A736" s="4">
        <f t="shared" si="231"/>
        <v>32</v>
      </c>
      <c r="B736" t="str">
        <f ca="1">TEXT(DATE(YEAR(Invoer!$A$6),1,1)+INT((ROWS(B$2:B736)-1)/4),"jjjjmmdd")</f>
        <v>19400702</v>
      </c>
      <c r="C736" s="64" t="str">
        <f>IF(MOD(ROWS(C$2:C736)-1,4)=3,"24.00",INDEX(Data,3,2+MOD(ROWS(C$2:C736)-1,4)))</f>
        <v>17.00</v>
      </c>
      <c r="D736" s="18">
        <f t="shared" ca="1" si="232"/>
        <v>758.7</v>
      </c>
      <c r="E736" s="17">
        <f t="shared" ca="1" si="233"/>
        <v>0</v>
      </c>
      <c r="F736" s="18">
        <f t="shared" ca="1" si="234"/>
        <v>26.9</v>
      </c>
      <c r="G736" s="17">
        <f t="shared" ca="1" si="235"/>
        <v>0</v>
      </c>
      <c r="H736" s="18" t="str">
        <f t="shared" ca="1" si="236"/>
        <v>—</v>
      </c>
      <c r="I736" s="17">
        <f t="shared" ca="1" si="237"/>
        <v>7</v>
      </c>
      <c r="J736" s="18" t="str">
        <f t="shared" ca="1" si="238"/>
        <v>—</v>
      </c>
      <c r="K736" s="17">
        <f t="shared" ca="1" si="239"/>
        <v>7</v>
      </c>
      <c r="L736" s="10">
        <f t="shared" ca="1" si="240"/>
        <v>73</v>
      </c>
      <c r="M736" s="17">
        <f t="shared" ca="1" si="241"/>
        <v>0</v>
      </c>
      <c r="N736" s="18">
        <f t="shared" ca="1" si="242"/>
        <v>19.5</v>
      </c>
      <c r="O736" s="17">
        <f t="shared" ca="1" si="243"/>
        <v>0</v>
      </c>
      <c r="P736" s="18">
        <f t="shared" ca="1" si="244"/>
        <v>23.2</v>
      </c>
      <c r="Q736" s="17">
        <f t="shared" ca="1" si="245"/>
        <v>0</v>
      </c>
      <c r="R736" s="10">
        <f t="shared" ca="1" si="246"/>
        <v>90</v>
      </c>
      <c r="S736" s="17">
        <f t="shared" ca="1" si="247"/>
        <v>0</v>
      </c>
      <c r="T736" s="70">
        <f t="shared" ca="1" si="248"/>
        <v>0.6</v>
      </c>
      <c r="U736" s="17">
        <f t="shared" ca="1" si="249"/>
        <v>0</v>
      </c>
      <c r="V736" s="71">
        <f t="shared" ca="1" si="250"/>
        <v>3</v>
      </c>
      <c r="W736" s="17">
        <f t="shared" ca="1" si="251"/>
        <v>0</v>
      </c>
    </row>
    <row r="737" spans="1:23" x14ac:dyDescent="0.25">
      <c r="A737" s="4">
        <f t="shared" si="231"/>
        <v>32</v>
      </c>
      <c r="B737" t="str">
        <f ca="1">TEXT(DATE(YEAR(Invoer!$A$6),1,1)+INT((ROWS(B$2:B737)-1)/4),"jjjjmmdd")</f>
        <v>19400702</v>
      </c>
      <c r="C737" s="64" t="str">
        <f>IF(MOD(ROWS(C$2:C737)-1,4)=3,"24.00",INDEX(Data,3,2+MOD(ROWS(C$2:C737)-1,4)))</f>
        <v>24.00</v>
      </c>
      <c r="D737" s="18" t="str">
        <f t="shared" ca="1" si="232"/>
        <v>—</v>
      </c>
      <c r="E737" s="17">
        <f t="shared" ca="1" si="233"/>
        <v>7</v>
      </c>
      <c r="F737" s="18" t="str">
        <f t="shared" ca="1" si="234"/>
        <v>—</v>
      </c>
      <c r="G737" s="17">
        <f t="shared" ca="1" si="235"/>
        <v>7</v>
      </c>
      <c r="H737" s="18">
        <f t="shared" ca="1" si="236"/>
        <v>28</v>
      </c>
      <c r="I737" s="17">
        <f t="shared" ca="1" si="237"/>
        <v>0</v>
      </c>
      <c r="J737" s="18">
        <f t="shared" ca="1" si="238"/>
        <v>29.8</v>
      </c>
      <c r="K737" s="17">
        <f t="shared" ca="1" si="239"/>
        <v>0</v>
      </c>
      <c r="L737" s="10" t="str">
        <f t="shared" ca="1" si="240"/>
        <v>—</v>
      </c>
      <c r="M737" s="17">
        <f t="shared" ca="1" si="241"/>
        <v>7</v>
      </c>
      <c r="N737" s="18" t="str">
        <f t="shared" ca="1" si="242"/>
        <v>—</v>
      </c>
      <c r="O737" s="17">
        <f t="shared" ca="1" si="243"/>
        <v>7</v>
      </c>
      <c r="P737" s="18" t="str">
        <f t="shared" ca="1" si="244"/>
        <v>—</v>
      </c>
      <c r="Q737" s="17">
        <f t="shared" ca="1" si="245"/>
        <v>7</v>
      </c>
      <c r="R737" s="10" t="str">
        <f t="shared" ca="1" si="246"/>
        <v>—</v>
      </c>
      <c r="S737" s="17">
        <f t="shared" ca="1" si="247"/>
        <v>7</v>
      </c>
      <c r="T737" s="70" t="str">
        <f t="shared" ca="1" si="248"/>
        <v>—</v>
      </c>
      <c r="U737" s="17">
        <f t="shared" ca="1" si="249"/>
        <v>7</v>
      </c>
      <c r="V737" s="71" t="str">
        <f t="shared" ca="1" si="250"/>
        <v>—</v>
      </c>
      <c r="W737" s="17">
        <f t="shared" ca="1" si="251"/>
        <v>7</v>
      </c>
    </row>
    <row r="738" spans="1:23" x14ac:dyDescent="0.25">
      <c r="A738" s="4">
        <f t="shared" si="231"/>
        <v>32</v>
      </c>
      <c r="B738" t="str">
        <f ca="1">TEXT(DATE(YEAR(Invoer!$A$6),1,1)+INT((ROWS(B$2:B738)-1)/4),"jjjjmmdd")</f>
        <v>19400703</v>
      </c>
      <c r="C738" s="64" t="str">
        <f>IF(MOD(ROWS(C$2:C738)-1,4)=3,"24.00",INDEX(Data,3,2+MOD(ROWS(C$2:C738)-1,4)))</f>
        <v>07.00</v>
      </c>
      <c r="D738" s="18">
        <f t="shared" ca="1" si="232"/>
        <v>758.5</v>
      </c>
      <c r="E738" s="17">
        <f t="shared" ca="1" si="233"/>
        <v>0</v>
      </c>
      <c r="F738" s="18">
        <f t="shared" ca="1" si="234"/>
        <v>27.5</v>
      </c>
      <c r="G738" s="17">
        <f t="shared" ca="1" si="235"/>
        <v>0</v>
      </c>
      <c r="H738" s="18" t="str">
        <f t="shared" ca="1" si="236"/>
        <v>—</v>
      </c>
      <c r="I738" s="17">
        <f t="shared" ca="1" si="237"/>
        <v>7</v>
      </c>
      <c r="J738" s="18" t="str">
        <f t="shared" ca="1" si="238"/>
        <v>—</v>
      </c>
      <c r="K738" s="17">
        <f t="shared" ca="1" si="239"/>
        <v>7</v>
      </c>
      <c r="L738" s="10">
        <f t="shared" ca="1" si="240"/>
        <v>82</v>
      </c>
      <c r="M738" s="17">
        <f t="shared" ca="1" si="241"/>
        <v>0</v>
      </c>
      <c r="N738" s="18">
        <f t="shared" ca="1" si="242"/>
        <v>22.5</v>
      </c>
      <c r="O738" s="17">
        <f t="shared" ca="1" si="243"/>
        <v>0</v>
      </c>
      <c r="P738" s="18">
        <f t="shared" ca="1" si="244"/>
        <v>25</v>
      </c>
      <c r="Q738" s="17">
        <f t="shared" ca="1" si="245"/>
        <v>0</v>
      </c>
      <c r="R738" s="10">
        <f t="shared" ca="1" si="246"/>
        <v>65</v>
      </c>
      <c r="S738" s="17">
        <f t="shared" ca="1" si="247"/>
        <v>0</v>
      </c>
      <c r="T738" s="70">
        <f t="shared" ca="1" si="248"/>
        <v>0.6</v>
      </c>
      <c r="U738" s="17">
        <f t="shared" ca="1" si="249"/>
        <v>0</v>
      </c>
      <c r="V738" s="71">
        <f t="shared" ca="1" si="250"/>
        <v>5</v>
      </c>
      <c r="W738" s="17">
        <f t="shared" ca="1" si="251"/>
        <v>0</v>
      </c>
    </row>
    <row r="739" spans="1:23" x14ac:dyDescent="0.25">
      <c r="A739" s="4">
        <f t="shared" si="231"/>
        <v>32</v>
      </c>
      <c r="B739" t="str">
        <f ca="1">TEXT(DATE(YEAR(Invoer!$A$6),1,1)+INT((ROWS(B$2:B739)-1)/4),"jjjjmmdd")</f>
        <v>19400703</v>
      </c>
      <c r="C739" s="64" t="str">
        <f>IF(MOD(ROWS(C$2:C739)-1,4)=3,"24.00",INDEX(Data,3,2+MOD(ROWS(C$2:C739)-1,4)))</f>
        <v>12.00</v>
      </c>
      <c r="D739" s="18">
        <f t="shared" ca="1" si="232"/>
        <v>758.9</v>
      </c>
      <c r="E739" s="17">
        <f t="shared" ca="1" si="233"/>
        <v>0</v>
      </c>
      <c r="F739" s="18">
        <f t="shared" ca="1" si="234"/>
        <v>28.1</v>
      </c>
      <c r="G739" s="17">
        <f t="shared" ca="1" si="235"/>
        <v>0</v>
      </c>
      <c r="H739" s="18" t="str">
        <f t="shared" ca="1" si="236"/>
        <v>—</v>
      </c>
      <c r="I739" s="17">
        <f t="shared" ca="1" si="237"/>
        <v>7</v>
      </c>
      <c r="J739" s="18" t="str">
        <f t="shared" ca="1" si="238"/>
        <v>—</v>
      </c>
      <c r="K739" s="17">
        <f t="shared" ca="1" si="239"/>
        <v>7</v>
      </c>
      <c r="L739" s="10">
        <f t="shared" ca="1" si="240"/>
        <v>83</v>
      </c>
      <c r="M739" s="17">
        <f t="shared" ca="1" si="241"/>
        <v>0</v>
      </c>
      <c r="N739" s="18">
        <f t="shared" ca="1" si="242"/>
        <v>23.8</v>
      </c>
      <c r="O739" s="17">
        <f t="shared" ca="1" si="243"/>
        <v>0</v>
      </c>
      <c r="P739" s="18">
        <f t="shared" ca="1" si="244"/>
        <v>25.8</v>
      </c>
      <c r="Q739" s="17">
        <f t="shared" ca="1" si="245"/>
        <v>0</v>
      </c>
      <c r="R739" s="10">
        <f t="shared" ca="1" si="246"/>
        <v>90</v>
      </c>
      <c r="S739" s="17">
        <f t="shared" ca="1" si="247"/>
        <v>0</v>
      </c>
      <c r="T739" s="70">
        <f t="shared" ca="1" si="248"/>
        <v>0.6</v>
      </c>
      <c r="U739" s="17">
        <f t="shared" ca="1" si="249"/>
        <v>0</v>
      </c>
      <c r="V739" s="71">
        <f t="shared" ca="1" si="250"/>
        <v>5</v>
      </c>
      <c r="W739" s="17">
        <f t="shared" ca="1" si="251"/>
        <v>0</v>
      </c>
    </row>
    <row r="740" spans="1:23" x14ac:dyDescent="0.25">
      <c r="A740" s="4">
        <f t="shared" si="231"/>
        <v>32</v>
      </c>
      <c r="B740" t="str">
        <f ca="1">TEXT(DATE(YEAR(Invoer!$A$6),1,1)+INT((ROWS(B$2:B740)-1)/4),"jjjjmmdd")</f>
        <v>19400703</v>
      </c>
      <c r="C740" s="64" t="str">
        <f>IF(MOD(ROWS(C$2:C740)-1,4)=3,"24.00",INDEX(Data,3,2+MOD(ROWS(C$2:C740)-1,4)))</f>
        <v>17.00</v>
      </c>
      <c r="D740" s="18">
        <f t="shared" ca="1" si="232"/>
        <v>758.7</v>
      </c>
      <c r="E740" s="17">
        <f t="shared" ca="1" si="233"/>
        <v>0</v>
      </c>
      <c r="F740" s="18">
        <f t="shared" ca="1" si="234"/>
        <v>27.8</v>
      </c>
      <c r="G740" s="17">
        <f t="shared" ca="1" si="235"/>
        <v>0</v>
      </c>
      <c r="H740" s="18" t="str">
        <f t="shared" ca="1" si="236"/>
        <v>—</v>
      </c>
      <c r="I740" s="17">
        <f t="shared" ca="1" si="237"/>
        <v>7</v>
      </c>
      <c r="J740" s="18" t="str">
        <f t="shared" ca="1" si="238"/>
        <v>—</v>
      </c>
      <c r="K740" s="17">
        <f t="shared" ca="1" si="239"/>
        <v>7</v>
      </c>
      <c r="L740" s="10">
        <f t="shared" ca="1" si="240"/>
        <v>75</v>
      </c>
      <c r="M740" s="17">
        <f t="shared" ca="1" si="241"/>
        <v>0</v>
      </c>
      <c r="N740" s="18">
        <f t="shared" ca="1" si="242"/>
        <v>21</v>
      </c>
      <c r="O740" s="17">
        <f t="shared" ca="1" si="243"/>
        <v>0</v>
      </c>
      <c r="P740" s="18">
        <f t="shared" ca="1" si="244"/>
        <v>24.3</v>
      </c>
      <c r="Q740" s="17">
        <f t="shared" ca="1" si="245"/>
        <v>0</v>
      </c>
      <c r="R740" s="10">
        <f t="shared" ca="1" si="246"/>
        <v>90</v>
      </c>
      <c r="S740" s="17">
        <f t="shared" ca="1" si="247"/>
        <v>0</v>
      </c>
      <c r="T740" s="70">
        <f t="shared" ca="1" si="248"/>
        <v>0.6</v>
      </c>
      <c r="U740" s="17">
        <f t="shared" ca="1" si="249"/>
        <v>0</v>
      </c>
      <c r="V740" s="71">
        <f t="shared" ca="1" si="250"/>
        <v>6</v>
      </c>
      <c r="W740" s="17">
        <f t="shared" ca="1" si="251"/>
        <v>0</v>
      </c>
    </row>
    <row r="741" spans="1:23" x14ac:dyDescent="0.25">
      <c r="A741" s="4">
        <f t="shared" si="231"/>
        <v>32</v>
      </c>
      <c r="B741" t="str">
        <f ca="1">TEXT(DATE(YEAR(Invoer!$A$6),1,1)+INT((ROWS(B$2:B741)-1)/4),"jjjjmmdd")</f>
        <v>19400703</v>
      </c>
      <c r="C741" s="64" t="str">
        <f>IF(MOD(ROWS(C$2:C741)-1,4)=3,"24.00",INDEX(Data,3,2+MOD(ROWS(C$2:C741)-1,4)))</f>
        <v>24.00</v>
      </c>
      <c r="D741" s="18" t="str">
        <f t="shared" ca="1" si="232"/>
        <v>—</v>
      </c>
      <c r="E741" s="17">
        <f t="shared" ca="1" si="233"/>
        <v>7</v>
      </c>
      <c r="F741" s="18" t="str">
        <f t="shared" ca="1" si="234"/>
        <v>—</v>
      </c>
      <c r="G741" s="17">
        <f t="shared" ca="1" si="235"/>
        <v>7</v>
      </c>
      <c r="H741" s="18">
        <f t="shared" ca="1" si="236"/>
        <v>29.2</v>
      </c>
      <c r="I741" s="17">
        <f t="shared" ca="1" si="237"/>
        <v>0</v>
      </c>
      <c r="J741" s="18">
        <f t="shared" ca="1" si="238"/>
        <v>30.8</v>
      </c>
      <c r="K741" s="17">
        <f t="shared" ca="1" si="239"/>
        <v>0</v>
      </c>
      <c r="L741" s="10" t="str">
        <f t="shared" ca="1" si="240"/>
        <v>—</v>
      </c>
      <c r="M741" s="17">
        <f t="shared" ca="1" si="241"/>
        <v>7</v>
      </c>
      <c r="N741" s="18" t="str">
        <f t="shared" ca="1" si="242"/>
        <v>—</v>
      </c>
      <c r="O741" s="17">
        <f t="shared" ca="1" si="243"/>
        <v>7</v>
      </c>
      <c r="P741" s="18" t="str">
        <f t="shared" ca="1" si="244"/>
        <v>—</v>
      </c>
      <c r="Q741" s="17">
        <f t="shared" ca="1" si="245"/>
        <v>7</v>
      </c>
      <c r="R741" s="10" t="str">
        <f t="shared" ca="1" si="246"/>
        <v>—</v>
      </c>
      <c r="S741" s="17">
        <f t="shared" ca="1" si="247"/>
        <v>7</v>
      </c>
      <c r="T741" s="70" t="str">
        <f t="shared" ca="1" si="248"/>
        <v>—</v>
      </c>
      <c r="U741" s="17">
        <f t="shared" ca="1" si="249"/>
        <v>7</v>
      </c>
      <c r="V741" s="71" t="str">
        <f t="shared" ca="1" si="250"/>
        <v>—</v>
      </c>
      <c r="W741" s="17">
        <f t="shared" ca="1" si="251"/>
        <v>7</v>
      </c>
    </row>
    <row r="742" spans="1:23" x14ac:dyDescent="0.25">
      <c r="A742" s="4">
        <f t="shared" si="231"/>
        <v>32</v>
      </c>
      <c r="B742" t="str">
        <f ca="1">TEXT(DATE(YEAR(Invoer!$A$6),1,1)+INT((ROWS(B$2:B742)-1)/4),"jjjjmmdd")</f>
        <v>19400704</v>
      </c>
      <c r="C742" s="64" t="str">
        <f>IF(MOD(ROWS(C$2:C742)-1,4)=3,"24.00",INDEX(Data,3,2+MOD(ROWS(C$2:C742)-1,4)))</f>
        <v>07.00</v>
      </c>
      <c r="D742" s="18">
        <f t="shared" ca="1" si="232"/>
        <v>759.7</v>
      </c>
      <c r="E742" s="17">
        <f t="shared" ca="1" si="233"/>
        <v>0</v>
      </c>
      <c r="F742" s="18">
        <f t="shared" ca="1" si="234"/>
        <v>27.3</v>
      </c>
      <c r="G742" s="17">
        <f t="shared" ca="1" si="235"/>
        <v>0</v>
      </c>
      <c r="H742" s="18" t="str">
        <f t="shared" ca="1" si="236"/>
        <v>—</v>
      </c>
      <c r="I742" s="17">
        <f t="shared" ca="1" si="237"/>
        <v>7</v>
      </c>
      <c r="J742" s="18" t="str">
        <f t="shared" ca="1" si="238"/>
        <v>—</v>
      </c>
      <c r="K742" s="17">
        <f t="shared" ca="1" si="239"/>
        <v>7</v>
      </c>
      <c r="L742" s="10">
        <f t="shared" ca="1" si="240"/>
        <v>77</v>
      </c>
      <c r="M742" s="17">
        <f t="shared" ca="1" si="241"/>
        <v>0</v>
      </c>
      <c r="N742" s="18">
        <f t="shared" ca="1" si="242"/>
        <v>21.1</v>
      </c>
      <c r="O742" s="17">
        <f t="shared" ca="1" si="243"/>
        <v>0</v>
      </c>
      <c r="P742" s="18">
        <f t="shared" ca="1" si="244"/>
        <v>24.2</v>
      </c>
      <c r="Q742" s="17">
        <f t="shared" ca="1" si="245"/>
        <v>0</v>
      </c>
      <c r="R742" s="10">
        <f t="shared" ca="1" si="246"/>
        <v>90</v>
      </c>
      <c r="S742" s="17">
        <f t="shared" ca="1" si="247"/>
        <v>0</v>
      </c>
      <c r="T742" s="70">
        <f t="shared" ca="1" si="248"/>
        <v>0.6</v>
      </c>
      <c r="U742" s="17">
        <f t="shared" ca="1" si="249"/>
        <v>0</v>
      </c>
      <c r="V742" s="71">
        <f t="shared" ca="1" si="250"/>
        <v>5</v>
      </c>
      <c r="W742" s="17">
        <f t="shared" ca="1" si="251"/>
        <v>0</v>
      </c>
    </row>
    <row r="743" spans="1:23" x14ac:dyDescent="0.25">
      <c r="A743" s="4">
        <f t="shared" si="231"/>
        <v>32</v>
      </c>
      <c r="B743" t="str">
        <f ca="1">TEXT(DATE(YEAR(Invoer!$A$6),1,1)+INT((ROWS(B$2:B743)-1)/4),"jjjjmmdd")</f>
        <v>19400704</v>
      </c>
      <c r="C743" s="64" t="str">
        <f>IF(MOD(ROWS(C$2:C743)-1,4)=3,"24.00",INDEX(Data,3,2+MOD(ROWS(C$2:C743)-1,4)))</f>
        <v>12.00</v>
      </c>
      <c r="D743" s="18">
        <f t="shared" ca="1" si="232"/>
        <v>759.2</v>
      </c>
      <c r="E743" s="17">
        <f t="shared" ca="1" si="233"/>
        <v>0</v>
      </c>
      <c r="F743" s="18">
        <f t="shared" ca="1" si="234"/>
        <v>27.9</v>
      </c>
      <c r="G743" s="17">
        <f t="shared" ca="1" si="235"/>
        <v>0</v>
      </c>
      <c r="H743" s="18" t="str">
        <f t="shared" ca="1" si="236"/>
        <v>—</v>
      </c>
      <c r="I743" s="17">
        <f t="shared" ca="1" si="237"/>
        <v>7</v>
      </c>
      <c r="J743" s="18" t="str">
        <f t="shared" ca="1" si="238"/>
        <v>—</v>
      </c>
      <c r="K743" s="17">
        <f t="shared" ca="1" si="239"/>
        <v>7</v>
      </c>
      <c r="L743" s="10">
        <f t="shared" ca="1" si="240"/>
        <v>76</v>
      </c>
      <c r="M743" s="17">
        <f t="shared" ca="1" si="241"/>
        <v>0</v>
      </c>
      <c r="N743" s="18">
        <f t="shared" ca="1" si="242"/>
        <v>21.6</v>
      </c>
      <c r="O743" s="17">
        <f t="shared" ca="1" si="243"/>
        <v>0</v>
      </c>
      <c r="P743" s="18">
        <f t="shared" ca="1" si="244"/>
        <v>24.6</v>
      </c>
      <c r="Q743" s="17">
        <f t="shared" ca="1" si="245"/>
        <v>0</v>
      </c>
      <c r="R743" s="10">
        <f t="shared" ca="1" si="246"/>
        <v>90</v>
      </c>
      <c r="S743" s="17">
        <f t="shared" ca="1" si="247"/>
        <v>0</v>
      </c>
      <c r="T743" s="70">
        <f t="shared" ca="1" si="248"/>
        <v>0.7</v>
      </c>
      <c r="U743" s="17">
        <f t="shared" ca="1" si="249"/>
        <v>0</v>
      </c>
      <c r="V743" s="71">
        <f t="shared" ca="1" si="250"/>
        <v>6</v>
      </c>
      <c r="W743" s="17">
        <f t="shared" ca="1" si="251"/>
        <v>0</v>
      </c>
    </row>
    <row r="744" spans="1:23" x14ac:dyDescent="0.25">
      <c r="A744" s="4">
        <f t="shared" si="231"/>
        <v>32</v>
      </c>
      <c r="B744" t="str">
        <f ca="1">TEXT(DATE(YEAR(Invoer!$A$6),1,1)+INT((ROWS(B$2:B744)-1)/4),"jjjjmmdd")</f>
        <v>19400704</v>
      </c>
      <c r="C744" s="64" t="str">
        <f>IF(MOD(ROWS(C$2:C744)-1,4)=3,"24.00",INDEX(Data,3,2+MOD(ROWS(C$2:C744)-1,4)))</f>
        <v>17.00</v>
      </c>
      <c r="D744" s="18">
        <f t="shared" ca="1" si="232"/>
        <v>758.9</v>
      </c>
      <c r="E744" s="17">
        <f t="shared" ca="1" si="233"/>
        <v>0</v>
      </c>
      <c r="F744" s="18">
        <f t="shared" ca="1" si="234"/>
        <v>27.5</v>
      </c>
      <c r="G744" s="17">
        <f t="shared" ca="1" si="235"/>
        <v>0</v>
      </c>
      <c r="H744" s="18" t="str">
        <f t="shared" ca="1" si="236"/>
        <v>—</v>
      </c>
      <c r="I744" s="17">
        <f t="shared" ca="1" si="237"/>
        <v>7</v>
      </c>
      <c r="J744" s="18" t="str">
        <f t="shared" ca="1" si="238"/>
        <v>—</v>
      </c>
      <c r="K744" s="17">
        <f t="shared" ca="1" si="239"/>
        <v>7</v>
      </c>
      <c r="L744" s="10">
        <f t="shared" ca="1" si="240"/>
        <v>76</v>
      </c>
      <c r="M744" s="17">
        <f t="shared" ca="1" si="241"/>
        <v>0</v>
      </c>
      <c r="N744" s="18">
        <f t="shared" ca="1" si="242"/>
        <v>21</v>
      </c>
      <c r="O744" s="17">
        <f t="shared" ca="1" si="243"/>
        <v>0</v>
      </c>
      <c r="P744" s="18">
        <f t="shared" ca="1" si="244"/>
        <v>24.2</v>
      </c>
      <c r="Q744" s="17">
        <f t="shared" ca="1" si="245"/>
        <v>0</v>
      </c>
      <c r="R744" s="10">
        <f t="shared" ca="1" si="246"/>
        <v>90</v>
      </c>
      <c r="S744" s="17">
        <f t="shared" ca="1" si="247"/>
        <v>0</v>
      </c>
      <c r="T744" s="70">
        <f t="shared" ca="1" si="248"/>
        <v>0.7</v>
      </c>
      <c r="U744" s="17">
        <f t="shared" ca="1" si="249"/>
        <v>0</v>
      </c>
      <c r="V744" s="71">
        <f t="shared" ca="1" si="250"/>
        <v>5</v>
      </c>
      <c r="W744" s="17">
        <f t="shared" ca="1" si="251"/>
        <v>0</v>
      </c>
    </row>
    <row r="745" spans="1:23" x14ac:dyDescent="0.25">
      <c r="A745" s="4">
        <f t="shared" si="231"/>
        <v>32</v>
      </c>
      <c r="B745" t="str">
        <f ca="1">TEXT(DATE(YEAR(Invoer!$A$6),1,1)+INT((ROWS(B$2:B745)-1)/4),"jjjjmmdd")</f>
        <v>19400704</v>
      </c>
      <c r="C745" s="64" t="str">
        <f>IF(MOD(ROWS(C$2:C745)-1,4)=3,"24.00",INDEX(Data,3,2+MOD(ROWS(C$2:C745)-1,4)))</f>
        <v>24.00</v>
      </c>
      <c r="D745" s="18" t="str">
        <f t="shared" ca="1" si="232"/>
        <v>—</v>
      </c>
      <c r="E745" s="17">
        <f t="shared" ca="1" si="233"/>
        <v>7</v>
      </c>
      <c r="F745" s="18" t="str">
        <f t="shared" ca="1" si="234"/>
        <v>—</v>
      </c>
      <c r="G745" s="17">
        <f t="shared" ca="1" si="235"/>
        <v>7</v>
      </c>
      <c r="H745" s="18">
        <f t="shared" ca="1" si="236"/>
        <v>28.5</v>
      </c>
      <c r="I745" s="17">
        <f t="shared" ca="1" si="237"/>
        <v>0</v>
      </c>
      <c r="J745" s="18">
        <f t="shared" ca="1" si="238"/>
        <v>30.5</v>
      </c>
      <c r="K745" s="17">
        <f t="shared" ca="1" si="239"/>
        <v>0</v>
      </c>
      <c r="L745" s="10" t="str">
        <f t="shared" ca="1" si="240"/>
        <v>—</v>
      </c>
      <c r="M745" s="17">
        <f t="shared" ca="1" si="241"/>
        <v>7</v>
      </c>
      <c r="N745" s="18" t="str">
        <f t="shared" ca="1" si="242"/>
        <v>—</v>
      </c>
      <c r="O745" s="17">
        <f t="shared" ca="1" si="243"/>
        <v>7</v>
      </c>
      <c r="P745" s="18" t="str">
        <f t="shared" ca="1" si="244"/>
        <v>—</v>
      </c>
      <c r="Q745" s="17">
        <f t="shared" ca="1" si="245"/>
        <v>7</v>
      </c>
      <c r="R745" s="10" t="str">
        <f t="shared" ca="1" si="246"/>
        <v>—</v>
      </c>
      <c r="S745" s="17">
        <f t="shared" ca="1" si="247"/>
        <v>7</v>
      </c>
      <c r="T745" s="70" t="str">
        <f t="shared" ca="1" si="248"/>
        <v>—</v>
      </c>
      <c r="U745" s="17">
        <f t="shared" ca="1" si="249"/>
        <v>7</v>
      </c>
      <c r="V745" s="71" t="str">
        <f t="shared" ca="1" si="250"/>
        <v>—</v>
      </c>
      <c r="W745" s="17">
        <f t="shared" ca="1" si="251"/>
        <v>7</v>
      </c>
    </row>
    <row r="746" spans="1:23" x14ac:dyDescent="0.25">
      <c r="A746" s="4">
        <f t="shared" si="231"/>
        <v>32</v>
      </c>
      <c r="B746" t="str">
        <f ca="1">TEXT(DATE(YEAR(Invoer!$A$6),1,1)+INT((ROWS(B$2:B746)-1)/4),"jjjjmmdd")</f>
        <v>19400705</v>
      </c>
      <c r="C746" s="64" t="str">
        <f>IF(MOD(ROWS(C$2:C746)-1,4)=3,"24.00",INDEX(Data,3,2+MOD(ROWS(C$2:C746)-1,4)))</f>
        <v>07.00</v>
      </c>
      <c r="D746" s="18">
        <f t="shared" ca="1" si="232"/>
        <v>759.7</v>
      </c>
      <c r="E746" s="17">
        <f t="shared" ca="1" si="233"/>
        <v>0</v>
      </c>
      <c r="F746" s="18">
        <f t="shared" ca="1" si="234"/>
        <v>27.1</v>
      </c>
      <c r="G746" s="17">
        <f t="shared" ca="1" si="235"/>
        <v>0</v>
      </c>
      <c r="H746" s="18" t="str">
        <f t="shared" ca="1" si="236"/>
        <v>—</v>
      </c>
      <c r="I746" s="17">
        <f t="shared" ca="1" si="237"/>
        <v>7</v>
      </c>
      <c r="J746" s="18" t="str">
        <f t="shared" ca="1" si="238"/>
        <v>—</v>
      </c>
      <c r="K746" s="17">
        <f t="shared" ca="1" si="239"/>
        <v>7</v>
      </c>
      <c r="L746" s="10">
        <f t="shared" ca="1" si="240"/>
        <v>75</v>
      </c>
      <c r="M746" s="17">
        <f t="shared" ca="1" si="241"/>
        <v>0</v>
      </c>
      <c r="N746" s="18">
        <f t="shared" ca="1" si="242"/>
        <v>20.100000000000001</v>
      </c>
      <c r="O746" s="17">
        <f t="shared" ca="1" si="243"/>
        <v>0</v>
      </c>
      <c r="P746" s="18">
        <f t="shared" ca="1" si="244"/>
        <v>23.6</v>
      </c>
      <c r="Q746" s="17">
        <f t="shared" ca="1" si="245"/>
        <v>0</v>
      </c>
      <c r="R746" s="10">
        <f t="shared" ca="1" si="246"/>
        <v>65</v>
      </c>
      <c r="S746" s="17">
        <f t="shared" ca="1" si="247"/>
        <v>0</v>
      </c>
      <c r="T746" s="70">
        <f t="shared" ca="1" si="248"/>
        <v>0.6</v>
      </c>
      <c r="U746" s="17">
        <f t="shared" ca="1" si="249"/>
        <v>0</v>
      </c>
      <c r="V746" s="71">
        <f t="shared" ca="1" si="250"/>
        <v>3</v>
      </c>
      <c r="W746" s="17">
        <f t="shared" ca="1" si="251"/>
        <v>0</v>
      </c>
    </row>
    <row r="747" spans="1:23" x14ac:dyDescent="0.25">
      <c r="A747" s="4">
        <f t="shared" si="231"/>
        <v>32</v>
      </c>
      <c r="B747" t="str">
        <f ca="1">TEXT(DATE(YEAR(Invoer!$A$6),1,1)+INT((ROWS(B$2:B747)-1)/4),"jjjjmmdd")</f>
        <v>19400705</v>
      </c>
      <c r="C747" s="64" t="str">
        <f>IF(MOD(ROWS(C$2:C747)-1,4)=3,"24.00",INDEX(Data,3,2+MOD(ROWS(C$2:C747)-1,4)))</f>
        <v>12.00</v>
      </c>
      <c r="D747" s="18">
        <f t="shared" ca="1" si="232"/>
        <v>760.2</v>
      </c>
      <c r="E747" s="17">
        <f t="shared" ca="1" si="233"/>
        <v>0</v>
      </c>
      <c r="F747" s="18">
        <f t="shared" ca="1" si="234"/>
        <v>28.3</v>
      </c>
      <c r="G747" s="17">
        <f t="shared" ca="1" si="235"/>
        <v>0</v>
      </c>
      <c r="H747" s="18" t="str">
        <f t="shared" ca="1" si="236"/>
        <v>—</v>
      </c>
      <c r="I747" s="17">
        <f t="shared" ca="1" si="237"/>
        <v>7</v>
      </c>
      <c r="J747" s="18" t="str">
        <f t="shared" ca="1" si="238"/>
        <v>—</v>
      </c>
      <c r="K747" s="17">
        <f t="shared" ca="1" si="239"/>
        <v>7</v>
      </c>
      <c r="L747" s="10">
        <f t="shared" ca="1" si="240"/>
        <v>70</v>
      </c>
      <c r="M747" s="17">
        <f t="shared" ca="1" si="241"/>
        <v>0</v>
      </c>
      <c r="N747" s="18">
        <f t="shared" ca="1" si="242"/>
        <v>20.2</v>
      </c>
      <c r="O747" s="17">
        <f t="shared" ca="1" si="243"/>
        <v>0</v>
      </c>
      <c r="P747" s="18">
        <f t="shared" ca="1" si="244"/>
        <v>24</v>
      </c>
      <c r="Q747" s="17">
        <f t="shared" ca="1" si="245"/>
        <v>0</v>
      </c>
      <c r="R747" s="10">
        <f t="shared" ca="1" si="246"/>
        <v>65</v>
      </c>
      <c r="S747" s="17">
        <f t="shared" ca="1" si="247"/>
        <v>0</v>
      </c>
      <c r="T747" s="70">
        <f t="shared" ca="1" si="248"/>
        <v>0.6</v>
      </c>
      <c r="U747" s="17">
        <f t="shared" ca="1" si="249"/>
        <v>0</v>
      </c>
      <c r="V747" s="71">
        <f t="shared" ca="1" si="250"/>
        <v>4</v>
      </c>
      <c r="W747" s="17">
        <f t="shared" ca="1" si="251"/>
        <v>0</v>
      </c>
    </row>
    <row r="748" spans="1:23" x14ac:dyDescent="0.25">
      <c r="A748" s="4">
        <f t="shared" si="231"/>
        <v>32</v>
      </c>
      <c r="B748" t="str">
        <f ca="1">TEXT(DATE(YEAR(Invoer!$A$6),1,1)+INT((ROWS(B$2:B748)-1)/4),"jjjjmmdd")</f>
        <v>19400705</v>
      </c>
      <c r="C748" s="64" t="str">
        <f>IF(MOD(ROWS(C$2:C748)-1,4)=3,"24.00",INDEX(Data,3,2+MOD(ROWS(C$2:C748)-1,4)))</f>
        <v>17.00</v>
      </c>
      <c r="D748" s="18">
        <f t="shared" ca="1" si="232"/>
        <v>758.7</v>
      </c>
      <c r="E748" s="17">
        <f t="shared" ca="1" si="233"/>
        <v>0</v>
      </c>
      <c r="F748" s="18">
        <f t="shared" ca="1" si="234"/>
        <v>27.1</v>
      </c>
      <c r="G748" s="17">
        <f t="shared" ca="1" si="235"/>
        <v>0</v>
      </c>
      <c r="H748" s="18" t="str">
        <f t="shared" ca="1" si="236"/>
        <v>—</v>
      </c>
      <c r="I748" s="17">
        <f t="shared" ca="1" si="237"/>
        <v>7</v>
      </c>
      <c r="J748" s="18" t="str">
        <f t="shared" ca="1" si="238"/>
        <v>—</v>
      </c>
      <c r="K748" s="17">
        <f t="shared" ca="1" si="239"/>
        <v>7</v>
      </c>
      <c r="L748" s="10">
        <f t="shared" ca="1" si="240"/>
        <v>75</v>
      </c>
      <c r="M748" s="17">
        <f t="shared" ca="1" si="241"/>
        <v>0</v>
      </c>
      <c r="N748" s="18">
        <f t="shared" ca="1" si="242"/>
        <v>20.100000000000001</v>
      </c>
      <c r="O748" s="17">
        <f t="shared" ca="1" si="243"/>
        <v>0</v>
      </c>
      <c r="P748" s="18">
        <f t="shared" ca="1" si="244"/>
        <v>23.6</v>
      </c>
      <c r="Q748" s="17">
        <f t="shared" ca="1" si="245"/>
        <v>0</v>
      </c>
      <c r="R748" s="10">
        <f t="shared" ca="1" si="246"/>
        <v>90</v>
      </c>
      <c r="S748" s="17">
        <f t="shared" ca="1" si="247"/>
        <v>0</v>
      </c>
      <c r="T748" s="70">
        <f t="shared" ca="1" si="248"/>
        <v>0.7</v>
      </c>
      <c r="U748" s="17">
        <f t="shared" ca="1" si="249"/>
        <v>0</v>
      </c>
      <c r="V748" s="71">
        <f t="shared" ca="1" si="250"/>
        <v>4</v>
      </c>
      <c r="W748" s="17">
        <f t="shared" ca="1" si="251"/>
        <v>0</v>
      </c>
    </row>
    <row r="749" spans="1:23" x14ac:dyDescent="0.25">
      <c r="A749" s="4">
        <f t="shared" si="231"/>
        <v>32</v>
      </c>
      <c r="B749" t="str">
        <f ca="1">TEXT(DATE(YEAR(Invoer!$A$6),1,1)+INT((ROWS(B$2:B749)-1)/4),"jjjjmmdd")</f>
        <v>19400705</v>
      </c>
      <c r="C749" s="64" t="str">
        <f>IF(MOD(ROWS(C$2:C749)-1,4)=3,"24.00",INDEX(Data,3,2+MOD(ROWS(C$2:C749)-1,4)))</f>
        <v>24.00</v>
      </c>
      <c r="D749" s="18" t="str">
        <f t="shared" ca="1" si="232"/>
        <v>—</v>
      </c>
      <c r="E749" s="17">
        <f t="shared" ca="1" si="233"/>
        <v>7</v>
      </c>
      <c r="F749" s="18" t="str">
        <f t="shared" ca="1" si="234"/>
        <v>—</v>
      </c>
      <c r="G749" s="17">
        <f t="shared" ca="1" si="235"/>
        <v>7</v>
      </c>
      <c r="H749" s="18">
        <f t="shared" ca="1" si="236"/>
        <v>28.2</v>
      </c>
      <c r="I749" s="17">
        <f t="shared" ca="1" si="237"/>
        <v>0</v>
      </c>
      <c r="J749" s="18">
        <f t="shared" ca="1" si="238"/>
        <v>30</v>
      </c>
      <c r="K749" s="17">
        <f t="shared" ca="1" si="239"/>
        <v>0</v>
      </c>
      <c r="L749" s="10" t="str">
        <f t="shared" ca="1" si="240"/>
        <v>—</v>
      </c>
      <c r="M749" s="17">
        <f t="shared" ca="1" si="241"/>
        <v>7</v>
      </c>
      <c r="N749" s="18" t="str">
        <f t="shared" ca="1" si="242"/>
        <v>—</v>
      </c>
      <c r="O749" s="17">
        <f t="shared" ca="1" si="243"/>
        <v>7</v>
      </c>
      <c r="P749" s="18" t="str">
        <f t="shared" ca="1" si="244"/>
        <v>—</v>
      </c>
      <c r="Q749" s="17">
        <f t="shared" ca="1" si="245"/>
        <v>7</v>
      </c>
      <c r="R749" s="10" t="str">
        <f t="shared" ca="1" si="246"/>
        <v>—</v>
      </c>
      <c r="S749" s="17">
        <f t="shared" ca="1" si="247"/>
        <v>7</v>
      </c>
      <c r="T749" s="70" t="str">
        <f t="shared" ca="1" si="248"/>
        <v>—</v>
      </c>
      <c r="U749" s="17">
        <f t="shared" ca="1" si="249"/>
        <v>7</v>
      </c>
      <c r="V749" s="71" t="str">
        <f t="shared" ca="1" si="250"/>
        <v>—</v>
      </c>
      <c r="W749" s="17">
        <f t="shared" ca="1" si="251"/>
        <v>7</v>
      </c>
    </row>
    <row r="750" spans="1:23" x14ac:dyDescent="0.25">
      <c r="A750" s="4">
        <f t="shared" si="231"/>
        <v>32</v>
      </c>
      <c r="B750" t="str">
        <f ca="1">TEXT(DATE(YEAR(Invoer!$A$6),1,1)+INT((ROWS(B$2:B750)-1)/4),"jjjjmmdd")</f>
        <v>19400706</v>
      </c>
      <c r="C750" s="64" t="str">
        <f>IF(MOD(ROWS(C$2:C750)-1,4)=3,"24.00",INDEX(Data,3,2+MOD(ROWS(C$2:C750)-1,4)))</f>
        <v>07.00</v>
      </c>
      <c r="D750" s="18">
        <f t="shared" ca="1" si="232"/>
        <v>759.5</v>
      </c>
      <c r="E750" s="17">
        <f t="shared" ca="1" si="233"/>
        <v>0</v>
      </c>
      <c r="F750" s="18">
        <f t="shared" ca="1" si="234"/>
        <v>27.3</v>
      </c>
      <c r="G750" s="17">
        <f t="shared" ca="1" si="235"/>
        <v>0</v>
      </c>
      <c r="H750" s="18" t="str">
        <f t="shared" ca="1" si="236"/>
        <v>—</v>
      </c>
      <c r="I750" s="17">
        <f t="shared" ca="1" si="237"/>
        <v>7</v>
      </c>
      <c r="J750" s="18" t="str">
        <f t="shared" ca="1" si="238"/>
        <v>—</v>
      </c>
      <c r="K750" s="17">
        <f t="shared" ca="1" si="239"/>
        <v>7</v>
      </c>
      <c r="L750" s="10">
        <f t="shared" ca="1" si="240"/>
        <v>73</v>
      </c>
      <c r="M750" s="17">
        <f t="shared" ca="1" si="241"/>
        <v>0</v>
      </c>
      <c r="N750" s="18">
        <f t="shared" ca="1" si="242"/>
        <v>20</v>
      </c>
      <c r="O750" s="17">
        <f t="shared" ca="1" si="243"/>
        <v>0</v>
      </c>
      <c r="P750" s="18">
        <f t="shared" ca="1" si="244"/>
        <v>23.6</v>
      </c>
      <c r="Q750" s="17">
        <f t="shared" ca="1" si="245"/>
        <v>0</v>
      </c>
      <c r="R750" s="10">
        <f t="shared" ca="1" si="246"/>
        <v>65</v>
      </c>
      <c r="S750" s="17">
        <f t="shared" ca="1" si="247"/>
        <v>0</v>
      </c>
      <c r="T750" s="70">
        <f t="shared" ca="1" si="248"/>
        <v>0.6</v>
      </c>
      <c r="U750" s="17">
        <f t="shared" ca="1" si="249"/>
        <v>0</v>
      </c>
      <c r="V750" s="71">
        <f t="shared" ca="1" si="250"/>
        <v>3</v>
      </c>
      <c r="W750" s="17">
        <f t="shared" ca="1" si="251"/>
        <v>0</v>
      </c>
    </row>
    <row r="751" spans="1:23" x14ac:dyDescent="0.25">
      <c r="A751" s="4">
        <f t="shared" si="231"/>
        <v>32</v>
      </c>
      <c r="B751" t="str">
        <f ca="1">TEXT(DATE(YEAR(Invoer!$A$6),1,1)+INT((ROWS(B$2:B751)-1)/4),"jjjjmmdd")</f>
        <v>19400706</v>
      </c>
      <c r="C751" s="64" t="str">
        <f>IF(MOD(ROWS(C$2:C751)-1,4)=3,"24.00",INDEX(Data,3,2+MOD(ROWS(C$2:C751)-1,4)))</f>
        <v>12.00</v>
      </c>
      <c r="D751" s="18">
        <f t="shared" ca="1" si="232"/>
        <v>759.7</v>
      </c>
      <c r="E751" s="17">
        <f t="shared" ca="1" si="233"/>
        <v>0</v>
      </c>
      <c r="F751" s="18">
        <f t="shared" ca="1" si="234"/>
        <v>28.5</v>
      </c>
      <c r="G751" s="17">
        <f t="shared" ca="1" si="235"/>
        <v>0</v>
      </c>
      <c r="H751" s="18" t="str">
        <f t="shared" ca="1" si="236"/>
        <v>—</v>
      </c>
      <c r="I751" s="17">
        <f t="shared" ca="1" si="237"/>
        <v>7</v>
      </c>
      <c r="J751" s="18" t="str">
        <f t="shared" ca="1" si="238"/>
        <v>—</v>
      </c>
      <c r="K751" s="17">
        <f t="shared" ca="1" si="239"/>
        <v>7</v>
      </c>
      <c r="L751" s="10">
        <f t="shared" ca="1" si="240"/>
        <v>69</v>
      </c>
      <c r="M751" s="17">
        <f t="shared" ca="1" si="241"/>
        <v>0</v>
      </c>
      <c r="N751" s="18">
        <f t="shared" ca="1" si="242"/>
        <v>20.100000000000001</v>
      </c>
      <c r="O751" s="17">
        <f t="shared" ca="1" si="243"/>
        <v>0</v>
      </c>
      <c r="P751" s="18">
        <f t="shared" ca="1" si="244"/>
        <v>24</v>
      </c>
      <c r="Q751" s="17">
        <f t="shared" ca="1" si="245"/>
        <v>0</v>
      </c>
      <c r="R751" s="10">
        <f t="shared" ca="1" si="246"/>
        <v>65</v>
      </c>
      <c r="S751" s="17">
        <f t="shared" ca="1" si="247"/>
        <v>0</v>
      </c>
      <c r="T751" s="70">
        <f t="shared" ca="1" si="248"/>
        <v>0.7</v>
      </c>
      <c r="U751" s="17">
        <f t="shared" ca="1" si="249"/>
        <v>0</v>
      </c>
      <c r="V751" s="71">
        <f t="shared" ca="1" si="250"/>
        <v>3</v>
      </c>
      <c r="W751" s="17">
        <f t="shared" ca="1" si="251"/>
        <v>0</v>
      </c>
    </row>
    <row r="752" spans="1:23" x14ac:dyDescent="0.25">
      <c r="A752" s="4">
        <f t="shared" si="231"/>
        <v>32</v>
      </c>
      <c r="B752" t="str">
        <f ca="1">TEXT(DATE(YEAR(Invoer!$A$6),1,1)+INT((ROWS(B$2:B752)-1)/4),"jjjjmmdd")</f>
        <v>19400706</v>
      </c>
      <c r="C752" s="64" t="str">
        <f>IF(MOD(ROWS(C$2:C752)-1,4)=3,"24.00",INDEX(Data,3,2+MOD(ROWS(C$2:C752)-1,4)))</f>
        <v>17.00</v>
      </c>
      <c r="D752" s="18">
        <f t="shared" ca="1" si="232"/>
        <v>758.7</v>
      </c>
      <c r="E752" s="17">
        <f t="shared" ca="1" si="233"/>
        <v>0</v>
      </c>
      <c r="F752" s="18">
        <f t="shared" ca="1" si="234"/>
        <v>27.1</v>
      </c>
      <c r="G752" s="17">
        <f t="shared" ca="1" si="235"/>
        <v>0</v>
      </c>
      <c r="H752" s="18" t="str">
        <f t="shared" ca="1" si="236"/>
        <v>—</v>
      </c>
      <c r="I752" s="17">
        <f t="shared" ca="1" si="237"/>
        <v>7</v>
      </c>
      <c r="J752" s="18" t="str">
        <f t="shared" ca="1" si="238"/>
        <v>—</v>
      </c>
      <c r="K752" s="17">
        <f t="shared" ca="1" si="239"/>
        <v>7</v>
      </c>
      <c r="L752" s="10">
        <f t="shared" ca="1" si="240"/>
        <v>76</v>
      </c>
      <c r="M752" s="17">
        <f t="shared" ca="1" si="241"/>
        <v>0</v>
      </c>
      <c r="N752" s="18">
        <f t="shared" ca="1" si="242"/>
        <v>20.5</v>
      </c>
      <c r="O752" s="17">
        <f t="shared" ca="1" si="243"/>
        <v>0</v>
      </c>
      <c r="P752" s="18">
        <f t="shared" ca="1" si="244"/>
        <v>23.8</v>
      </c>
      <c r="Q752" s="17">
        <f t="shared" ca="1" si="245"/>
        <v>0</v>
      </c>
      <c r="R752" s="10">
        <f t="shared" ca="1" si="246"/>
        <v>65</v>
      </c>
      <c r="S752" s="17">
        <f t="shared" ca="1" si="247"/>
        <v>0</v>
      </c>
      <c r="T752" s="70">
        <f t="shared" ca="1" si="248"/>
        <v>0.7</v>
      </c>
      <c r="U752" s="17">
        <f t="shared" ca="1" si="249"/>
        <v>0</v>
      </c>
      <c r="V752" s="71">
        <f t="shared" ca="1" si="250"/>
        <v>2</v>
      </c>
      <c r="W752" s="17">
        <f t="shared" ca="1" si="251"/>
        <v>0</v>
      </c>
    </row>
    <row r="753" spans="1:23" x14ac:dyDescent="0.25">
      <c r="A753" s="4">
        <f t="shared" si="231"/>
        <v>32</v>
      </c>
      <c r="B753" t="str">
        <f ca="1">TEXT(DATE(YEAR(Invoer!$A$6),1,1)+INT((ROWS(B$2:B753)-1)/4),"jjjjmmdd")</f>
        <v>19400706</v>
      </c>
      <c r="C753" s="64" t="str">
        <f>IF(MOD(ROWS(C$2:C753)-1,4)=3,"24.00",INDEX(Data,3,2+MOD(ROWS(C$2:C753)-1,4)))</f>
        <v>24.00</v>
      </c>
      <c r="D753" s="18" t="str">
        <f t="shared" ca="1" si="232"/>
        <v>—</v>
      </c>
      <c r="E753" s="17">
        <f t="shared" ca="1" si="233"/>
        <v>7</v>
      </c>
      <c r="F753" s="18" t="str">
        <f t="shared" ca="1" si="234"/>
        <v>—</v>
      </c>
      <c r="G753" s="17">
        <f t="shared" ca="1" si="235"/>
        <v>7</v>
      </c>
      <c r="H753" s="18">
        <f t="shared" ca="1" si="236"/>
        <v>28.4</v>
      </c>
      <c r="I753" s="17">
        <f t="shared" ca="1" si="237"/>
        <v>0</v>
      </c>
      <c r="J753" s="18">
        <f t="shared" ca="1" si="238"/>
        <v>30.5</v>
      </c>
      <c r="K753" s="17">
        <f t="shared" ca="1" si="239"/>
        <v>0</v>
      </c>
      <c r="L753" s="10" t="str">
        <f t="shared" ca="1" si="240"/>
        <v>—</v>
      </c>
      <c r="M753" s="17">
        <f t="shared" ca="1" si="241"/>
        <v>7</v>
      </c>
      <c r="N753" s="18" t="str">
        <f t="shared" ca="1" si="242"/>
        <v>—</v>
      </c>
      <c r="O753" s="17">
        <f t="shared" ca="1" si="243"/>
        <v>7</v>
      </c>
      <c r="P753" s="18" t="str">
        <f t="shared" ca="1" si="244"/>
        <v>—</v>
      </c>
      <c r="Q753" s="17">
        <f t="shared" ca="1" si="245"/>
        <v>7</v>
      </c>
      <c r="R753" s="10" t="str">
        <f t="shared" ca="1" si="246"/>
        <v>—</v>
      </c>
      <c r="S753" s="17">
        <f t="shared" ca="1" si="247"/>
        <v>7</v>
      </c>
      <c r="T753" s="70" t="str">
        <f t="shared" ca="1" si="248"/>
        <v>—</v>
      </c>
      <c r="U753" s="17">
        <f t="shared" ca="1" si="249"/>
        <v>7</v>
      </c>
      <c r="V753" s="71" t="str">
        <f t="shared" ca="1" si="250"/>
        <v>—</v>
      </c>
      <c r="W753" s="17">
        <f t="shared" ca="1" si="251"/>
        <v>7</v>
      </c>
    </row>
    <row r="754" spans="1:23" x14ac:dyDescent="0.25">
      <c r="A754" s="4">
        <f t="shared" si="231"/>
        <v>32</v>
      </c>
      <c r="B754" t="str">
        <f ca="1">TEXT(DATE(YEAR(Invoer!$A$6),1,1)+INT((ROWS(B$2:B754)-1)/4),"jjjjmmdd")</f>
        <v>19400707</v>
      </c>
      <c r="C754" s="64" t="str">
        <f>IF(MOD(ROWS(C$2:C754)-1,4)=3,"24.00",INDEX(Data,3,2+MOD(ROWS(C$2:C754)-1,4)))</f>
        <v>07.00</v>
      </c>
      <c r="D754" s="18">
        <f t="shared" ca="1" si="232"/>
        <v>758.9</v>
      </c>
      <c r="E754" s="17">
        <f t="shared" ca="1" si="233"/>
        <v>0</v>
      </c>
      <c r="F754" s="18">
        <f t="shared" ca="1" si="234"/>
        <v>26.9</v>
      </c>
      <c r="G754" s="17">
        <f t="shared" ca="1" si="235"/>
        <v>0</v>
      </c>
      <c r="H754" s="18" t="str">
        <f t="shared" ca="1" si="236"/>
        <v>—</v>
      </c>
      <c r="I754" s="17">
        <f t="shared" ca="1" si="237"/>
        <v>7</v>
      </c>
      <c r="J754" s="18" t="str">
        <f t="shared" ca="1" si="238"/>
        <v>—</v>
      </c>
      <c r="K754" s="17">
        <f t="shared" ca="1" si="239"/>
        <v>7</v>
      </c>
      <c r="L754" s="10">
        <f t="shared" ca="1" si="240"/>
        <v>74</v>
      </c>
      <c r="M754" s="17">
        <f t="shared" ca="1" si="241"/>
        <v>0</v>
      </c>
      <c r="N754" s="18">
        <f t="shared" ca="1" si="242"/>
        <v>19.8</v>
      </c>
      <c r="O754" s="17">
        <f t="shared" ca="1" si="243"/>
        <v>0</v>
      </c>
      <c r="P754" s="18">
        <f t="shared" ca="1" si="244"/>
        <v>23.4</v>
      </c>
      <c r="Q754" s="17">
        <f t="shared" ca="1" si="245"/>
        <v>0</v>
      </c>
      <c r="R754" s="10">
        <f t="shared" ca="1" si="246"/>
        <v>65</v>
      </c>
      <c r="S754" s="17">
        <f t="shared" ca="1" si="247"/>
        <v>0</v>
      </c>
      <c r="T754" s="70">
        <f t="shared" ca="1" si="248"/>
        <v>0.6</v>
      </c>
      <c r="U754" s="17">
        <f t="shared" ca="1" si="249"/>
        <v>0</v>
      </c>
      <c r="V754" s="71">
        <f t="shared" ca="1" si="250"/>
        <v>3</v>
      </c>
      <c r="W754" s="17">
        <f t="shared" ca="1" si="251"/>
        <v>0</v>
      </c>
    </row>
    <row r="755" spans="1:23" x14ac:dyDescent="0.25">
      <c r="A755" s="4">
        <f t="shared" si="231"/>
        <v>32</v>
      </c>
      <c r="B755" t="str">
        <f ca="1">TEXT(DATE(YEAR(Invoer!$A$6),1,1)+INT((ROWS(B$2:B755)-1)/4),"jjjjmmdd")</f>
        <v>19400707</v>
      </c>
      <c r="C755" s="64" t="str">
        <f>IF(MOD(ROWS(C$2:C755)-1,4)=3,"24.00",INDEX(Data,3,2+MOD(ROWS(C$2:C755)-1,4)))</f>
        <v>12.00</v>
      </c>
      <c r="D755" s="18">
        <f t="shared" ca="1" si="232"/>
        <v>760.5</v>
      </c>
      <c r="E755" s="17">
        <f t="shared" ca="1" si="233"/>
        <v>0</v>
      </c>
      <c r="F755" s="18">
        <f t="shared" ca="1" si="234"/>
        <v>28.5</v>
      </c>
      <c r="G755" s="17">
        <f t="shared" ca="1" si="235"/>
        <v>0</v>
      </c>
      <c r="H755" s="18" t="str">
        <f t="shared" ca="1" si="236"/>
        <v>—</v>
      </c>
      <c r="I755" s="17">
        <f t="shared" ca="1" si="237"/>
        <v>7</v>
      </c>
      <c r="J755" s="18" t="str">
        <f t="shared" ca="1" si="238"/>
        <v>—</v>
      </c>
      <c r="K755" s="17">
        <f t="shared" ca="1" si="239"/>
        <v>7</v>
      </c>
      <c r="L755" s="10">
        <f t="shared" ca="1" si="240"/>
        <v>70</v>
      </c>
      <c r="M755" s="17">
        <f t="shared" ca="1" si="241"/>
        <v>0</v>
      </c>
      <c r="N755" s="18">
        <f t="shared" ca="1" si="242"/>
        <v>20.5</v>
      </c>
      <c r="O755" s="17">
        <f t="shared" ca="1" si="243"/>
        <v>0</v>
      </c>
      <c r="P755" s="18">
        <f t="shared" ca="1" si="244"/>
        <v>24.2</v>
      </c>
      <c r="Q755" s="17">
        <f t="shared" ca="1" si="245"/>
        <v>0</v>
      </c>
      <c r="R755" s="10">
        <f t="shared" ca="1" si="246"/>
        <v>65</v>
      </c>
      <c r="S755" s="17">
        <f t="shared" ca="1" si="247"/>
        <v>0</v>
      </c>
      <c r="T755" s="70">
        <f t="shared" ca="1" si="248"/>
        <v>0.7</v>
      </c>
      <c r="U755" s="17">
        <f t="shared" ca="1" si="249"/>
        <v>0</v>
      </c>
      <c r="V755" s="71">
        <f t="shared" ca="1" si="250"/>
        <v>2</v>
      </c>
      <c r="W755" s="17">
        <f t="shared" ca="1" si="251"/>
        <v>0</v>
      </c>
    </row>
    <row r="756" spans="1:23" x14ac:dyDescent="0.25">
      <c r="A756" s="4">
        <f t="shared" si="231"/>
        <v>32</v>
      </c>
      <c r="B756" t="str">
        <f ca="1">TEXT(DATE(YEAR(Invoer!$A$6),1,1)+INT((ROWS(B$2:B756)-1)/4),"jjjjmmdd")</f>
        <v>19400707</v>
      </c>
      <c r="C756" s="64" t="str">
        <f>IF(MOD(ROWS(C$2:C756)-1,4)=3,"24.00",INDEX(Data,3,2+MOD(ROWS(C$2:C756)-1,4)))</f>
        <v>17.00</v>
      </c>
      <c r="D756" s="18">
        <f t="shared" ca="1" si="232"/>
        <v>760</v>
      </c>
      <c r="E756" s="17">
        <f t="shared" ca="1" si="233"/>
        <v>0</v>
      </c>
      <c r="F756" s="18">
        <f t="shared" ca="1" si="234"/>
        <v>27.9</v>
      </c>
      <c r="G756" s="17">
        <f t="shared" ca="1" si="235"/>
        <v>0</v>
      </c>
      <c r="H756" s="18" t="str">
        <f t="shared" ca="1" si="236"/>
        <v>—</v>
      </c>
      <c r="I756" s="17">
        <f t="shared" ca="1" si="237"/>
        <v>7</v>
      </c>
      <c r="J756" s="18" t="str">
        <f t="shared" ca="1" si="238"/>
        <v>—</v>
      </c>
      <c r="K756" s="17">
        <f t="shared" ca="1" si="239"/>
        <v>7</v>
      </c>
      <c r="L756" s="10">
        <f t="shared" ca="1" si="240"/>
        <v>71</v>
      </c>
      <c r="M756" s="17">
        <f t="shared" ca="1" si="241"/>
        <v>0</v>
      </c>
      <c r="N756" s="18">
        <f t="shared" ca="1" si="242"/>
        <v>20.100000000000001</v>
      </c>
      <c r="O756" s="17">
        <f t="shared" ca="1" si="243"/>
        <v>0</v>
      </c>
      <c r="P756" s="18">
        <f t="shared" ca="1" si="244"/>
        <v>23.8</v>
      </c>
      <c r="Q756" s="17">
        <f t="shared" ca="1" si="245"/>
        <v>0</v>
      </c>
      <c r="R756" s="10">
        <f t="shared" ca="1" si="246"/>
        <v>90</v>
      </c>
      <c r="S756" s="17">
        <f t="shared" ca="1" si="247"/>
        <v>0</v>
      </c>
      <c r="T756" s="70">
        <f t="shared" ca="1" si="248"/>
        <v>0.7</v>
      </c>
      <c r="U756" s="17">
        <f t="shared" ca="1" si="249"/>
        <v>0</v>
      </c>
      <c r="V756" s="71">
        <f t="shared" ca="1" si="250"/>
        <v>2</v>
      </c>
      <c r="W756" s="17">
        <f t="shared" ca="1" si="251"/>
        <v>0</v>
      </c>
    </row>
    <row r="757" spans="1:23" x14ac:dyDescent="0.25">
      <c r="A757" s="4">
        <f t="shared" si="231"/>
        <v>32</v>
      </c>
      <c r="B757" t="str">
        <f ca="1">TEXT(DATE(YEAR(Invoer!$A$6),1,1)+INT((ROWS(B$2:B757)-1)/4),"jjjjmmdd")</f>
        <v>19400707</v>
      </c>
      <c r="C757" s="64" t="str">
        <f>IF(MOD(ROWS(C$2:C757)-1,4)=3,"24.00",INDEX(Data,3,2+MOD(ROWS(C$2:C757)-1,4)))</f>
        <v>24.00</v>
      </c>
      <c r="D757" s="18" t="str">
        <f t="shared" ca="1" si="232"/>
        <v>—</v>
      </c>
      <c r="E757" s="17">
        <f t="shared" ca="1" si="233"/>
        <v>7</v>
      </c>
      <c r="F757" s="18" t="str">
        <f t="shared" ca="1" si="234"/>
        <v>—</v>
      </c>
      <c r="G757" s="17">
        <f t="shared" ca="1" si="235"/>
        <v>7</v>
      </c>
      <c r="H757" s="18">
        <f t="shared" ca="1" si="236"/>
        <v>29</v>
      </c>
      <c r="I757" s="17">
        <f t="shared" ca="1" si="237"/>
        <v>0</v>
      </c>
      <c r="J757" s="18">
        <f t="shared" ca="1" si="238"/>
        <v>31.5</v>
      </c>
      <c r="K757" s="17">
        <f t="shared" ca="1" si="239"/>
        <v>0</v>
      </c>
      <c r="L757" s="10" t="str">
        <f t="shared" ca="1" si="240"/>
        <v>—</v>
      </c>
      <c r="M757" s="17">
        <f t="shared" ca="1" si="241"/>
        <v>7</v>
      </c>
      <c r="N757" s="18" t="str">
        <f t="shared" ca="1" si="242"/>
        <v>—</v>
      </c>
      <c r="O757" s="17">
        <f t="shared" ca="1" si="243"/>
        <v>7</v>
      </c>
      <c r="P757" s="18" t="str">
        <f t="shared" ca="1" si="244"/>
        <v>—</v>
      </c>
      <c r="Q757" s="17">
        <f t="shared" ca="1" si="245"/>
        <v>7</v>
      </c>
      <c r="R757" s="10" t="str">
        <f t="shared" ca="1" si="246"/>
        <v>—</v>
      </c>
      <c r="S757" s="17">
        <f t="shared" ca="1" si="247"/>
        <v>7</v>
      </c>
      <c r="T757" s="70" t="str">
        <f t="shared" ca="1" si="248"/>
        <v>—</v>
      </c>
      <c r="U757" s="17">
        <f t="shared" ca="1" si="249"/>
        <v>7</v>
      </c>
      <c r="V757" s="71" t="str">
        <f t="shared" ca="1" si="250"/>
        <v>—</v>
      </c>
      <c r="W757" s="17">
        <f t="shared" ca="1" si="251"/>
        <v>7</v>
      </c>
    </row>
    <row r="758" spans="1:23" x14ac:dyDescent="0.25">
      <c r="A758" s="4">
        <f t="shared" si="231"/>
        <v>32</v>
      </c>
      <c r="B758" t="str">
        <f ca="1">TEXT(DATE(YEAR(Invoer!$A$6),1,1)+INT((ROWS(B$2:B758)-1)/4),"jjjjmmdd")</f>
        <v>19400708</v>
      </c>
      <c r="C758" s="64" t="str">
        <f>IF(MOD(ROWS(C$2:C758)-1,4)=3,"24.00",INDEX(Data,3,2+MOD(ROWS(C$2:C758)-1,4)))</f>
        <v>07.00</v>
      </c>
      <c r="D758" s="18">
        <f t="shared" ca="1" si="232"/>
        <v>759.5</v>
      </c>
      <c r="E758" s="17">
        <f t="shared" ca="1" si="233"/>
        <v>0</v>
      </c>
      <c r="F758" s="18">
        <f t="shared" ca="1" si="234"/>
        <v>28.1</v>
      </c>
      <c r="G758" s="17">
        <f t="shared" ca="1" si="235"/>
        <v>0</v>
      </c>
      <c r="H758" s="18" t="str">
        <f t="shared" ca="1" si="236"/>
        <v>—</v>
      </c>
      <c r="I758" s="17">
        <f t="shared" ca="1" si="237"/>
        <v>7</v>
      </c>
      <c r="J758" s="18" t="str">
        <f t="shared" ca="1" si="238"/>
        <v>—</v>
      </c>
      <c r="K758" s="17">
        <f t="shared" ca="1" si="239"/>
        <v>7</v>
      </c>
      <c r="L758" s="10">
        <f t="shared" ca="1" si="240"/>
        <v>71</v>
      </c>
      <c r="M758" s="17">
        <f t="shared" ca="1" si="241"/>
        <v>0</v>
      </c>
      <c r="N758" s="18">
        <f t="shared" ca="1" si="242"/>
        <v>20.3</v>
      </c>
      <c r="O758" s="17">
        <f t="shared" ca="1" si="243"/>
        <v>0</v>
      </c>
      <c r="P758" s="18">
        <f t="shared" ca="1" si="244"/>
        <v>24</v>
      </c>
      <c r="Q758" s="17">
        <f t="shared" ca="1" si="245"/>
        <v>0</v>
      </c>
      <c r="R758" s="10">
        <f t="shared" ca="1" si="246"/>
        <v>65</v>
      </c>
      <c r="S758" s="17">
        <f t="shared" ca="1" si="247"/>
        <v>0</v>
      </c>
      <c r="T758" s="70">
        <f t="shared" ca="1" si="248"/>
        <v>0.7</v>
      </c>
      <c r="U758" s="17">
        <f t="shared" ca="1" si="249"/>
        <v>0</v>
      </c>
      <c r="V758" s="71">
        <f t="shared" ca="1" si="250"/>
        <v>3</v>
      </c>
      <c r="W758" s="17">
        <f t="shared" ca="1" si="251"/>
        <v>0</v>
      </c>
    </row>
    <row r="759" spans="1:23" x14ac:dyDescent="0.25">
      <c r="A759" s="4">
        <f t="shared" si="231"/>
        <v>32</v>
      </c>
      <c r="B759" t="str">
        <f ca="1">TEXT(DATE(YEAR(Invoer!$A$6),1,1)+INT((ROWS(B$2:B759)-1)/4),"jjjjmmdd")</f>
        <v>19400708</v>
      </c>
      <c r="C759" s="64" t="str">
        <f>IF(MOD(ROWS(C$2:C759)-1,4)=3,"24.00",INDEX(Data,3,2+MOD(ROWS(C$2:C759)-1,4)))</f>
        <v>12.00</v>
      </c>
      <c r="D759" s="18">
        <f t="shared" ca="1" si="232"/>
        <v>760</v>
      </c>
      <c r="E759" s="17">
        <f t="shared" ca="1" si="233"/>
        <v>0</v>
      </c>
      <c r="F759" s="18">
        <f t="shared" ca="1" si="234"/>
        <v>28.3</v>
      </c>
      <c r="G759" s="17">
        <f t="shared" ca="1" si="235"/>
        <v>0</v>
      </c>
      <c r="H759" s="18" t="str">
        <f t="shared" ca="1" si="236"/>
        <v>—</v>
      </c>
      <c r="I759" s="17">
        <f t="shared" ca="1" si="237"/>
        <v>7</v>
      </c>
      <c r="J759" s="18" t="str">
        <f t="shared" ca="1" si="238"/>
        <v>—</v>
      </c>
      <c r="K759" s="17">
        <f t="shared" ca="1" si="239"/>
        <v>7</v>
      </c>
      <c r="L759" s="10">
        <f t="shared" ca="1" si="240"/>
        <v>73</v>
      </c>
      <c r="M759" s="17">
        <f t="shared" ca="1" si="241"/>
        <v>0</v>
      </c>
      <c r="N759" s="18">
        <f t="shared" ca="1" si="242"/>
        <v>21</v>
      </c>
      <c r="O759" s="17">
        <f t="shared" ca="1" si="243"/>
        <v>0</v>
      </c>
      <c r="P759" s="18">
        <f t="shared" ca="1" si="244"/>
        <v>24.4</v>
      </c>
      <c r="Q759" s="17">
        <f t="shared" ca="1" si="245"/>
        <v>0</v>
      </c>
      <c r="R759" s="10">
        <f t="shared" ca="1" si="246"/>
        <v>65</v>
      </c>
      <c r="S759" s="17">
        <f t="shared" ca="1" si="247"/>
        <v>0</v>
      </c>
      <c r="T759" s="70">
        <f t="shared" ca="1" si="248"/>
        <v>0.7</v>
      </c>
      <c r="U759" s="17">
        <f t="shared" ca="1" si="249"/>
        <v>0</v>
      </c>
      <c r="V759" s="71">
        <f t="shared" ca="1" si="250"/>
        <v>2</v>
      </c>
      <c r="W759" s="17">
        <f t="shared" ca="1" si="251"/>
        <v>0</v>
      </c>
    </row>
    <row r="760" spans="1:23" x14ac:dyDescent="0.25">
      <c r="A760" s="4">
        <f t="shared" si="231"/>
        <v>32</v>
      </c>
      <c r="B760" t="str">
        <f ca="1">TEXT(DATE(YEAR(Invoer!$A$6),1,1)+INT((ROWS(B$2:B760)-1)/4),"jjjjmmdd")</f>
        <v>19400708</v>
      </c>
      <c r="C760" s="64" t="str">
        <f>IF(MOD(ROWS(C$2:C760)-1,4)=3,"24.00",INDEX(Data,3,2+MOD(ROWS(C$2:C760)-1,4)))</f>
        <v>17.00</v>
      </c>
      <c r="D760" s="18">
        <f t="shared" ca="1" si="232"/>
        <v>759.2</v>
      </c>
      <c r="E760" s="17">
        <f t="shared" ca="1" si="233"/>
        <v>0</v>
      </c>
      <c r="F760" s="18">
        <f t="shared" ca="1" si="234"/>
        <v>28.1</v>
      </c>
      <c r="G760" s="17">
        <f t="shared" ca="1" si="235"/>
        <v>0</v>
      </c>
      <c r="H760" s="18" t="str">
        <f t="shared" ca="1" si="236"/>
        <v>—</v>
      </c>
      <c r="I760" s="17">
        <f t="shared" ca="1" si="237"/>
        <v>7</v>
      </c>
      <c r="J760" s="18" t="str">
        <f t="shared" ca="1" si="238"/>
        <v>—</v>
      </c>
      <c r="K760" s="17">
        <f t="shared" ca="1" si="239"/>
        <v>7</v>
      </c>
      <c r="L760" s="10">
        <f t="shared" ca="1" si="240"/>
        <v>70</v>
      </c>
      <c r="M760" s="17">
        <f t="shared" ca="1" si="241"/>
        <v>0</v>
      </c>
      <c r="N760" s="18">
        <f t="shared" ca="1" si="242"/>
        <v>20</v>
      </c>
      <c r="O760" s="17">
        <f t="shared" ca="1" si="243"/>
        <v>0</v>
      </c>
      <c r="P760" s="18">
        <f t="shared" ca="1" si="244"/>
        <v>23.8</v>
      </c>
      <c r="Q760" s="17">
        <f t="shared" ca="1" si="245"/>
        <v>0</v>
      </c>
      <c r="R760" s="10">
        <f t="shared" ca="1" si="246"/>
        <v>90</v>
      </c>
      <c r="S760" s="17">
        <f t="shared" ca="1" si="247"/>
        <v>0</v>
      </c>
      <c r="T760" s="70">
        <f t="shared" ca="1" si="248"/>
        <v>0.7</v>
      </c>
      <c r="U760" s="17">
        <f t="shared" ca="1" si="249"/>
        <v>0</v>
      </c>
      <c r="V760" s="71">
        <f t="shared" ca="1" si="250"/>
        <v>2</v>
      </c>
      <c r="W760" s="17">
        <f t="shared" ca="1" si="251"/>
        <v>0</v>
      </c>
    </row>
    <row r="761" spans="1:23" x14ac:dyDescent="0.25">
      <c r="A761" s="4">
        <f t="shared" si="231"/>
        <v>32</v>
      </c>
      <c r="B761" t="str">
        <f ca="1">TEXT(DATE(YEAR(Invoer!$A$6),1,1)+INT((ROWS(B$2:B761)-1)/4),"jjjjmmdd")</f>
        <v>19400708</v>
      </c>
      <c r="C761" s="64" t="str">
        <f>IF(MOD(ROWS(C$2:C761)-1,4)=3,"24.00",INDEX(Data,3,2+MOD(ROWS(C$2:C761)-1,4)))</f>
        <v>24.00</v>
      </c>
      <c r="D761" s="18" t="str">
        <f t="shared" ca="1" si="232"/>
        <v>—</v>
      </c>
      <c r="E761" s="17">
        <f t="shared" ca="1" si="233"/>
        <v>7</v>
      </c>
      <c r="F761" s="18" t="str">
        <f t="shared" ca="1" si="234"/>
        <v>—</v>
      </c>
      <c r="G761" s="17">
        <f t="shared" ca="1" si="235"/>
        <v>7</v>
      </c>
      <c r="H761" s="18">
        <f t="shared" ca="1" si="236"/>
        <v>29.6</v>
      </c>
      <c r="I761" s="17">
        <f t="shared" ca="1" si="237"/>
        <v>0</v>
      </c>
      <c r="J761" s="18">
        <f t="shared" ca="1" si="238"/>
        <v>32</v>
      </c>
      <c r="K761" s="17">
        <f t="shared" ca="1" si="239"/>
        <v>0</v>
      </c>
      <c r="L761" s="10" t="str">
        <f t="shared" ca="1" si="240"/>
        <v>—</v>
      </c>
      <c r="M761" s="17">
        <f t="shared" ca="1" si="241"/>
        <v>7</v>
      </c>
      <c r="N761" s="18" t="str">
        <f t="shared" ca="1" si="242"/>
        <v>—</v>
      </c>
      <c r="O761" s="17">
        <f t="shared" ca="1" si="243"/>
        <v>7</v>
      </c>
      <c r="P761" s="18" t="str">
        <f t="shared" ca="1" si="244"/>
        <v>—</v>
      </c>
      <c r="Q761" s="17">
        <f t="shared" ca="1" si="245"/>
        <v>7</v>
      </c>
      <c r="R761" s="10" t="str">
        <f t="shared" ca="1" si="246"/>
        <v>—</v>
      </c>
      <c r="S761" s="17">
        <f t="shared" ca="1" si="247"/>
        <v>7</v>
      </c>
      <c r="T761" s="70" t="str">
        <f t="shared" ca="1" si="248"/>
        <v>—</v>
      </c>
      <c r="U761" s="17">
        <f t="shared" ca="1" si="249"/>
        <v>7</v>
      </c>
      <c r="V761" s="71" t="str">
        <f t="shared" ca="1" si="250"/>
        <v>—</v>
      </c>
      <c r="W761" s="17">
        <f t="shared" ca="1" si="251"/>
        <v>7</v>
      </c>
    </row>
    <row r="762" spans="1:23" x14ac:dyDescent="0.25">
      <c r="A762" s="4">
        <f t="shared" si="231"/>
        <v>32</v>
      </c>
      <c r="B762" t="str">
        <f ca="1">TEXT(DATE(YEAR(Invoer!$A$6),1,1)+INT((ROWS(B$2:B762)-1)/4),"jjjjmmdd")</f>
        <v>19400709</v>
      </c>
      <c r="C762" s="64" t="str">
        <f>IF(MOD(ROWS(C$2:C762)-1,4)=3,"24.00",INDEX(Data,3,2+MOD(ROWS(C$2:C762)-1,4)))</f>
        <v>07.00</v>
      </c>
      <c r="D762" s="18">
        <f t="shared" ca="1" si="232"/>
        <v>762</v>
      </c>
      <c r="E762" s="17">
        <f t="shared" ca="1" si="233"/>
        <v>0</v>
      </c>
      <c r="F762" s="18">
        <f t="shared" ca="1" si="234"/>
        <v>28.3</v>
      </c>
      <c r="G762" s="17">
        <f t="shared" ca="1" si="235"/>
        <v>0</v>
      </c>
      <c r="H762" s="18" t="str">
        <f t="shared" ca="1" si="236"/>
        <v>—</v>
      </c>
      <c r="I762" s="17">
        <f t="shared" ca="1" si="237"/>
        <v>7</v>
      </c>
      <c r="J762" s="18" t="str">
        <f t="shared" ca="1" si="238"/>
        <v>—</v>
      </c>
      <c r="K762" s="17">
        <f t="shared" ca="1" si="239"/>
        <v>7</v>
      </c>
      <c r="L762" s="10">
        <f t="shared" ca="1" si="240"/>
        <v>71</v>
      </c>
      <c r="M762" s="17">
        <f t="shared" ca="1" si="241"/>
        <v>0</v>
      </c>
      <c r="N762" s="18">
        <f t="shared" ca="1" si="242"/>
        <v>20.6</v>
      </c>
      <c r="O762" s="17">
        <f t="shared" ca="1" si="243"/>
        <v>0</v>
      </c>
      <c r="P762" s="18">
        <f t="shared" ca="1" si="244"/>
        <v>24.2</v>
      </c>
      <c r="Q762" s="17">
        <f t="shared" ca="1" si="245"/>
        <v>0</v>
      </c>
      <c r="R762" s="10">
        <f t="shared" ca="1" si="246"/>
        <v>45</v>
      </c>
      <c r="S762" s="17">
        <f t="shared" ca="1" si="247"/>
        <v>0</v>
      </c>
      <c r="T762" s="70">
        <f t="shared" ca="1" si="248"/>
        <v>0.7</v>
      </c>
      <c r="U762" s="17">
        <f t="shared" ca="1" si="249"/>
        <v>0</v>
      </c>
      <c r="V762" s="71">
        <f t="shared" ca="1" si="250"/>
        <v>2</v>
      </c>
      <c r="W762" s="17">
        <f t="shared" ca="1" si="251"/>
        <v>0</v>
      </c>
    </row>
    <row r="763" spans="1:23" x14ac:dyDescent="0.25">
      <c r="A763" s="4">
        <f t="shared" si="231"/>
        <v>32</v>
      </c>
      <c r="B763" t="str">
        <f ca="1">TEXT(DATE(YEAR(Invoer!$A$6),1,1)+INT((ROWS(B$2:B763)-1)/4),"jjjjmmdd")</f>
        <v>19400709</v>
      </c>
      <c r="C763" s="64" t="str">
        <f>IF(MOD(ROWS(C$2:C763)-1,4)=3,"24.00",INDEX(Data,3,2+MOD(ROWS(C$2:C763)-1,4)))</f>
        <v>12.00</v>
      </c>
      <c r="D763" s="18">
        <f t="shared" ca="1" si="232"/>
        <v>760.5</v>
      </c>
      <c r="E763" s="17">
        <f t="shared" ca="1" si="233"/>
        <v>0</v>
      </c>
      <c r="F763" s="18">
        <f t="shared" ca="1" si="234"/>
        <v>28.7</v>
      </c>
      <c r="G763" s="17">
        <f t="shared" ca="1" si="235"/>
        <v>0</v>
      </c>
      <c r="H763" s="18" t="str">
        <f t="shared" ca="1" si="236"/>
        <v>—</v>
      </c>
      <c r="I763" s="17">
        <f t="shared" ca="1" si="237"/>
        <v>7</v>
      </c>
      <c r="J763" s="18" t="str">
        <f t="shared" ca="1" si="238"/>
        <v>—</v>
      </c>
      <c r="K763" s="17">
        <f t="shared" ca="1" si="239"/>
        <v>7</v>
      </c>
      <c r="L763" s="10">
        <f t="shared" ca="1" si="240"/>
        <v>71</v>
      </c>
      <c r="M763" s="17">
        <f t="shared" ca="1" si="241"/>
        <v>0</v>
      </c>
      <c r="N763" s="18">
        <f t="shared" ca="1" si="242"/>
        <v>21.2</v>
      </c>
      <c r="O763" s="17">
        <f t="shared" ca="1" si="243"/>
        <v>0</v>
      </c>
      <c r="P763" s="18">
        <f t="shared" ca="1" si="244"/>
        <v>24.6</v>
      </c>
      <c r="Q763" s="17">
        <f t="shared" ca="1" si="245"/>
        <v>0</v>
      </c>
      <c r="R763" s="10">
        <f t="shared" ca="1" si="246"/>
        <v>45</v>
      </c>
      <c r="S763" s="17">
        <f t="shared" ca="1" si="247"/>
        <v>0</v>
      </c>
      <c r="T763" s="70">
        <f t="shared" ca="1" si="248"/>
        <v>0.7</v>
      </c>
      <c r="U763" s="17">
        <f t="shared" ca="1" si="249"/>
        <v>0</v>
      </c>
      <c r="V763" s="71">
        <f t="shared" ca="1" si="250"/>
        <v>2</v>
      </c>
      <c r="W763" s="17">
        <f t="shared" ca="1" si="251"/>
        <v>0</v>
      </c>
    </row>
    <row r="764" spans="1:23" x14ac:dyDescent="0.25">
      <c r="A764" s="4">
        <f t="shared" si="231"/>
        <v>32</v>
      </c>
      <c r="B764" t="str">
        <f ca="1">TEXT(DATE(YEAR(Invoer!$A$6),1,1)+INT((ROWS(B$2:B764)-1)/4),"jjjjmmdd")</f>
        <v>19400709</v>
      </c>
      <c r="C764" s="64" t="str">
        <f>IF(MOD(ROWS(C$2:C764)-1,4)=3,"24.00",INDEX(Data,3,2+MOD(ROWS(C$2:C764)-1,4)))</f>
        <v>17.00</v>
      </c>
      <c r="D764" s="18">
        <f t="shared" ca="1" si="232"/>
        <v>760</v>
      </c>
      <c r="E764" s="17">
        <f t="shared" ca="1" si="233"/>
        <v>0</v>
      </c>
      <c r="F764" s="18">
        <f t="shared" ca="1" si="234"/>
        <v>28.1</v>
      </c>
      <c r="G764" s="17">
        <f t="shared" ca="1" si="235"/>
        <v>0</v>
      </c>
      <c r="H764" s="18" t="str">
        <f t="shared" ca="1" si="236"/>
        <v>—</v>
      </c>
      <c r="I764" s="17">
        <f t="shared" ca="1" si="237"/>
        <v>7</v>
      </c>
      <c r="J764" s="18" t="str">
        <f t="shared" ca="1" si="238"/>
        <v>—</v>
      </c>
      <c r="K764" s="17">
        <f t="shared" ca="1" si="239"/>
        <v>7</v>
      </c>
      <c r="L764" s="10">
        <f t="shared" ca="1" si="240"/>
        <v>71</v>
      </c>
      <c r="M764" s="17">
        <f t="shared" ca="1" si="241"/>
        <v>0</v>
      </c>
      <c r="N764" s="18">
        <f t="shared" ca="1" si="242"/>
        <v>20.3</v>
      </c>
      <c r="O764" s="17">
        <f t="shared" ca="1" si="243"/>
        <v>0</v>
      </c>
      <c r="P764" s="18">
        <f t="shared" ca="1" si="244"/>
        <v>24</v>
      </c>
      <c r="Q764" s="17">
        <f t="shared" ca="1" si="245"/>
        <v>0</v>
      </c>
      <c r="R764" s="10">
        <f t="shared" ca="1" si="246"/>
        <v>45</v>
      </c>
      <c r="S764" s="17">
        <f t="shared" ca="1" si="247"/>
        <v>0</v>
      </c>
      <c r="T764" s="70">
        <f t="shared" ca="1" si="248"/>
        <v>0.7</v>
      </c>
      <c r="U764" s="17">
        <f t="shared" ca="1" si="249"/>
        <v>0</v>
      </c>
      <c r="V764" s="71">
        <f t="shared" ca="1" si="250"/>
        <v>2</v>
      </c>
      <c r="W764" s="17">
        <f t="shared" ca="1" si="251"/>
        <v>0</v>
      </c>
    </row>
    <row r="765" spans="1:23" x14ac:dyDescent="0.25">
      <c r="A765" s="4">
        <f t="shared" si="231"/>
        <v>32</v>
      </c>
      <c r="B765" t="str">
        <f ca="1">TEXT(DATE(YEAR(Invoer!$A$6),1,1)+INT((ROWS(B$2:B765)-1)/4),"jjjjmmdd")</f>
        <v>19400709</v>
      </c>
      <c r="C765" s="64" t="str">
        <f>IF(MOD(ROWS(C$2:C765)-1,4)=3,"24.00",INDEX(Data,3,2+MOD(ROWS(C$2:C765)-1,4)))</f>
        <v>24.00</v>
      </c>
      <c r="D765" s="18" t="str">
        <f t="shared" ca="1" si="232"/>
        <v>—</v>
      </c>
      <c r="E765" s="17">
        <f t="shared" ca="1" si="233"/>
        <v>7</v>
      </c>
      <c r="F765" s="18" t="str">
        <f t="shared" ca="1" si="234"/>
        <v>—</v>
      </c>
      <c r="G765" s="17">
        <f t="shared" ca="1" si="235"/>
        <v>7</v>
      </c>
      <c r="H765" s="18">
        <f t="shared" ca="1" si="236"/>
        <v>30.4</v>
      </c>
      <c r="I765" s="17">
        <f t="shared" ca="1" si="237"/>
        <v>0</v>
      </c>
      <c r="J765" s="18">
        <f t="shared" ca="1" si="238"/>
        <v>32.5</v>
      </c>
      <c r="K765" s="17">
        <f t="shared" ca="1" si="239"/>
        <v>0</v>
      </c>
      <c r="L765" s="10" t="str">
        <f t="shared" ca="1" si="240"/>
        <v>—</v>
      </c>
      <c r="M765" s="17">
        <f t="shared" ca="1" si="241"/>
        <v>7</v>
      </c>
      <c r="N765" s="18" t="str">
        <f t="shared" ca="1" si="242"/>
        <v>—</v>
      </c>
      <c r="O765" s="17">
        <f t="shared" ca="1" si="243"/>
        <v>7</v>
      </c>
      <c r="P765" s="18" t="str">
        <f t="shared" ca="1" si="244"/>
        <v>—</v>
      </c>
      <c r="Q765" s="17">
        <f t="shared" ca="1" si="245"/>
        <v>7</v>
      </c>
      <c r="R765" s="10" t="str">
        <f t="shared" ca="1" si="246"/>
        <v>—</v>
      </c>
      <c r="S765" s="17">
        <f t="shared" ca="1" si="247"/>
        <v>7</v>
      </c>
      <c r="T765" s="70" t="str">
        <f t="shared" ca="1" si="248"/>
        <v>—</v>
      </c>
      <c r="U765" s="17">
        <f t="shared" ca="1" si="249"/>
        <v>7</v>
      </c>
      <c r="V765" s="71" t="str">
        <f t="shared" ca="1" si="250"/>
        <v>—</v>
      </c>
      <c r="W765" s="17">
        <f t="shared" ca="1" si="251"/>
        <v>7</v>
      </c>
    </row>
    <row r="766" spans="1:23" x14ac:dyDescent="0.25">
      <c r="A766" s="4">
        <f t="shared" si="231"/>
        <v>32</v>
      </c>
      <c r="B766" t="str">
        <f ca="1">TEXT(DATE(YEAR(Invoer!$A$6),1,1)+INT((ROWS(B$2:B766)-1)/4),"jjjjmmdd")</f>
        <v>19400710</v>
      </c>
      <c r="C766" s="64" t="str">
        <f>IF(MOD(ROWS(C$2:C766)-1,4)=3,"24.00",INDEX(Data,3,2+MOD(ROWS(C$2:C766)-1,4)))</f>
        <v>07.00</v>
      </c>
      <c r="D766" s="18">
        <f t="shared" ca="1" si="232"/>
        <v>762.5</v>
      </c>
      <c r="E766" s="17">
        <f t="shared" ca="1" si="233"/>
        <v>0</v>
      </c>
      <c r="F766" s="18">
        <f t="shared" ca="1" si="234"/>
        <v>26.5</v>
      </c>
      <c r="G766" s="17">
        <f t="shared" ca="1" si="235"/>
        <v>0</v>
      </c>
      <c r="H766" s="18" t="str">
        <f t="shared" ca="1" si="236"/>
        <v>—</v>
      </c>
      <c r="I766" s="17">
        <f t="shared" ca="1" si="237"/>
        <v>7</v>
      </c>
      <c r="J766" s="18" t="str">
        <f t="shared" ca="1" si="238"/>
        <v>—</v>
      </c>
      <c r="K766" s="17">
        <f t="shared" ca="1" si="239"/>
        <v>7</v>
      </c>
      <c r="L766" s="10">
        <f t="shared" ca="1" si="240"/>
        <v>78</v>
      </c>
      <c r="M766" s="17">
        <f t="shared" ca="1" si="241"/>
        <v>0</v>
      </c>
      <c r="N766" s="18">
        <f t="shared" ca="1" si="242"/>
        <v>20.399999999999999</v>
      </c>
      <c r="O766" s="17">
        <f t="shared" ca="1" si="243"/>
        <v>0</v>
      </c>
      <c r="P766" s="18">
        <f t="shared" ca="1" si="244"/>
        <v>23.6</v>
      </c>
      <c r="Q766" s="17">
        <f t="shared" ca="1" si="245"/>
        <v>0</v>
      </c>
      <c r="R766" s="10">
        <f t="shared" ca="1" si="246"/>
        <v>65</v>
      </c>
      <c r="S766" s="17">
        <f t="shared" ca="1" si="247"/>
        <v>0</v>
      </c>
      <c r="T766" s="70">
        <f t="shared" ca="1" si="248"/>
        <v>0.6</v>
      </c>
      <c r="U766" s="17">
        <f t="shared" ca="1" si="249"/>
        <v>0</v>
      </c>
      <c r="V766" s="71">
        <f t="shared" ca="1" si="250"/>
        <v>1</v>
      </c>
      <c r="W766" s="17">
        <f t="shared" ca="1" si="251"/>
        <v>0</v>
      </c>
    </row>
    <row r="767" spans="1:23" x14ac:dyDescent="0.25">
      <c r="A767" s="4">
        <f t="shared" si="231"/>
        <v>32</v>
      </c>
      <c r="B767" t="str">
        <f ca="1">TEXT(DATE(YEAR(Invoer!$A$6),1,1)+INT((ROWS(B$2:B767)-1)/4),"jjjjmmdd")</f>
        <v>19400710</v>
      </c>
      <c r="C767" s="64" t="str">
        <f>IF(MOD(ROWS(C$2:C767)-1,4)=3,"24.00",INDEX(Data,3,2+MOD(ROWS(C$2:C767)-1,4)))</f>
        <v>12.00</v>
      </c>
      <c r="D767" s="18">
        <f t="shared" ca="1" si="232"/>
        <v>762.5</v>
      </c>
      <c r="E767" s="17">
        <f t="shared" ca="1" si="233"/>
        <v>0</v>
      </c>
      <c r="F767" s="18">
        <f t="shared" ca="1" si="234"/>
        <v>27.6</v>
      </c>
      <c r="G767" s="17">
        <f t="shared" ca="1" si="235"/>
        <v>0</v>
      </c>
      <c r="H767" s="18" t="str">
        <f t="shared" ca="1" si="236"/>
        <v>—</v>
      </c>
      <c r="I767" s="17">
        <f t="shared" ca="1" si="237"/>
        <v>7</v>
      </c>
      <c r="J767" s="18" t="str">
        <f t="shared" ca="1" si="238"/>
        <v>—</v>
      </c>
      <c r="K767" s="17">
        <f t="shared" ca="1" si="239"/>
        <v>7</v>
      </c>
      <c r="L767" s="10">
        <f t="shared" ca="1" si="240"/>
        <v>78</v>
      </c>
      <c r="M767" s="17">
        <f t="shared" ca="1" si="241"/>
        <v>0</v>
      </c>
      <c r="N767" s="18">
        <f t="shared" ca="1" si="242"/>
        <v>21.7</v>
      </c>
      <c r="O767" s="17">
        <f t="shared" ca="1" si="243"/>
        <v>0</v>
      </c>
      <c r="P767" s="18">
        <f t="shared" ca="1" si="244"/>
        <v>24.6</v>
      </c>
      <c r="Q767" s="17">
        <f t="shared" ca="1" si="245"/>
        <v>0</v>
      </c>
      <c r="R767" s="10">
        <f t="shared" ca="1" si="246"/>
        <v>45</v>
      </c>
      <c r="S767" s="17">
        <f t="shared" ca="1" si="247"/>
        <v>0</v>
      </c>
      <c r="T767" s="70">
        <f t="shared" ca="1" si="248"/>
        <v>0.7</v>
      </c>
      <c r="U767" s="17">
        <f t="shared" ca="1" si="249"/>
        <v>0</v>
      </c>
      <c r="V767" s="71">
        <f t="shared" ca="1" si="250"/>
        <v>2</v>
      </c>
      <c r="W767" s="17">
        <f t="shared" ca="1" si="251"/>
        <v>0</v>
      </c>
    </row>
    <row r="768" spans="1:23" x14ac:dyDescent="0.25">
      <c r="A768" s="4">
        <f t="shared" si="231"/>
        <v>32</v>
      </c>
      <c r="B768" t="str">
        <f ca="1">TEXT(DATE(YEAR(Invoer!$A$6),1,1)+INT((ROWS(B$2:B768)-1)/4),"jjjjmmdd")</f>
        <v>19400710</v>
      </c>
      <c r="C768" s="64" t="str">
        <f>IF(MOD(ROWS(C$2:C768)-1,4)=3,"24.00",INDEX(Data,3,2+MOD(ROWS(C$2:C768)-1,4)))</f>
        <v>17.00</v>
      </c>
      <c r="D768" s="18">
        <f t="shared" ca="1" si="232"/>
        <v>760.7</v>
      </c>
      <c r="E768" s="17">
        <f t="shared" ca="1" si="233"/>
        <v>0</v>
      </c>
      <c r="F768" s="18">
        <f t="shared" ca="1" si="234"/>
        <v>26.5</v>
      </c>
      <c r="G768" s="17">
        <f t="shared" ca="1" si="235"/>
        <v>0</v>
      </c>
      <c r="H768" s="18" t="str">
        <f t="shared" ca="1" si="236"/>
        <v>—</v>
      </c>
      <c r="I768" s="17">
        <f t="shared" ca="1" si="237"/>
        <v>7</v>
      </c>
      <c r="J768" s="18" t="str">
        <f t="shared" ca="1" si="238"/>
        <v>—</v>
      </c>
      <c r="K768" s="17">
        <f t="shared" ca="1" si="239"/>
        <v>7</v>
      </c>
      <c r="L768" s="10">
        <f t="shared" ca="1" si="240"/>
        <v>83</v>
      </c>
      <c r="M768" s="17">
        <f t="shared" ca="1" si="241"/>
        <v>0</v>
      </c>
      <c r="N768" s="18">
        <f t="shared" ca="1" si="242"/>
        <v>21.5</v>
      </c>
      <c r="O768" s="17">
        <f t="shared" ca="1" si="243"/>
        <v>0</v>
      </c>
      <c r="P768" s="18">
        <f t="shared" ca="1" si="244"/>
        <v>24.2</v>
      </c>
      <c r="Q768" s="17">
        <f t="shared" ca="1" si="245"/>
        <v>0</v>
      </c>
      <c r="R768" s="10">
        <f t="shared" ca="1" si="246"/>
        <v>45</v>
      </c>
      <c r="S768" s="17">
        <f t="shared" ca="1" si="247"/>
        <v>0</v>
      </c>
      <c r="T768" s="70">
        <f t="shared" ca="1" si="248"/>
        <v>0.7</v>
      </c>
      <c r="U768" s="17">
        <f t="shared" ca="1" si="249"/>
        <v>0</v>
      </c>
      <c r="V768" s="71">
        <f t="shared" ca="1" si="250"/>
        <v>1</v>
      </c>
      <c r="W768" s="17">
        <f t="shared" ca="1" si="251"/>
        <v>0</v>
      </c>
    </row>
    <row r="769" spans="1:23" x14ac:dyDescent="0.25">
      <c r="A769" s="4">
        <f t="shared" si="231"/>
        <v>32</v>
      </c>
      <c r="B769" t="str">
        <f ca="1">TEXT(DATE(YEAR(Invoer!$A$6),1,1)+INT((ROWS(B$2:B769)-1)/4),"jjjjmmdd")</f>
        <v>19400710</v>
      </c>
      <c r="C769" s="64" t="str">
        <f>IF(MOD(ROWS(C$2:C769)-1,4)=3,"24.00",INDEX(Data,3,2+MOD(ROWS(C$2:C769)-1,4)))</f>
        <v>24.00</v>
      </c>
      <c r="D769" s="18" t="str">
        <f t="shared" ca="1" si="232"/>
        <v>—</v>
      </c>
      <c r="E769" s="17">
        <f t="shared" ca="1" si="233"/>
        <v>7</v>
      </c>
      <c r="F769" s="18" t="str">
        <f t="shared" ca="1" si="234"/>
        <v>—</v>
      </c>
      <c r="G769" s="17">
        <f t="shared" ca="1" si="235"/>
        <v>7</v>
      </c>
      <c r="H769" s="18">
        <f t="shared" ca="1" si="236"/>
        <v>28.8</v>
      </c>
      <c r="I769" s="17">
        <f t="shared" ca="1" si="237"/>
        <v>0</v>
      </c>
      <c r="J769" s="18">
        <f t="shared" ca="1" si="238"/>
        <v>30.4</v>
      </c>
      <c r="K769" s="17">
        <f t="shared" ca="1" si="239"/>
        <v>0</v>
      </c>
      <c r="L769" s="10" t="str">
        <f t="shared" ca="1" si="240"/>
        <v>—</v>
      </c>
      <c r="M769" s="17">
        <f t="shared" ca="1" si="241"/>
        <v>7</v>
      </c>
      <c r="N769" s="18" t="str">
        <f t="shared" ca="1" si="242"/>
        <v>—</v>
      </c>
      <c r="O769" s="17">
        <f t="shared" ca="1" si="243"/>
        <v>7</v>
      </c>
      <c r="P769" s="18" t="str">
        <f t="shared" ca="1" si="244"/>
        <v>—</v>
      </c>
      <c r="Q769" s="17">
        <f t="shared" ca="1" si="245"/>
        <v>7</v>
      </c>
      <c r="R769" s="10" t="str">
        <f t="shared" ca="1" si="246"/>
        <v>—</v>
      </c>
      <c r="S769" s="17">
        <f t="shared" ca="1" si="247"/>
        <v>7</v>
      </c>
      <c r="T769" s="70" t="str">
        <f t="shared" ca="1" si="248"/>
        <v>—</v>
      </c>
      <c r="U769" s="17">
        <f t="shared" ca="1" si="249"/>
        <v>7</v>
      </c>
      <c r="V769" s="71" t="str">
        <f t="shared" ca="1" si="250"/>
        <v>—</v>
      </c>
      <c r="W769" s="17">
        <f t="shared" ca="1" si="251"/>
        <v>7</v>
      </c>
    </row>
    <row r="770" spans="1:23" x14ac:dyDescent="0.25">
      <c r="A770" s="4">
        <f t="shared" ref="A770:A833" si="252">INDEX(Stations,2,1)</f>
        <v>32</v>
      </c>
      <c r="B770" t="str">
        <f ca="1">TEXT(DATE(YEAR(Invoer!$A$6),1,1)+INT((ROWS(B$2:B770)-1)/4),"jjjjmmdd")</f>
        <v>19400711</v>
      </c>
      <c r="C770" s="64" t="str">
        <f>IF(MOD(ROWS(C$2:C770)-1,4)=3,"24.00",INDEX(Data,3,2+MOD(ROWS(C$2:C770)-1,4)))</f>
        <v>07.00</v>
      </c>
      <c r="D770" s="18">
        <f t="shared" ref="D770:D833" ca="1" si="253">IF(OR(ISBLANK(VLOOKUP(DATEVALUE(LEFT($B770,4)&amp;"-"&amp;MID($B770,5,2)&amp;"-"&amp;RIGHT($B770,2)),Data,MATCH(LEFT(VLOOKUP(D$1,Parameters,2,FALSE()),4)&amp;"*",OFFSET(Data,0,0,1),0)+MATCH($C770,OFFSET(Data,2,0,1),0)-2,FALSE())),ISTEXT(VLOOKUP(DATEVALUE(LEFT($B770,4)&amp;"-"&amp;MID($B770,5,2)&amp;"-"&amp;RIGHT($B770,2)),Data,MATCH(LEFT(VLOOKUP(D$1,Parameters,2,FALSE()),4)&amp;"*",OFFSET(Data,0,0,1),0)+MATCH($C770,OFFSET(Data,2,0,1),0)-2,FALSE())),EXACT($C770,"24.00")),"—",VLOOKUP(DATEVALUE(LEFT($B770,4)&amp;"-"&amp;MID($B770,5,2)&amp;"-"&amp;RIGHT($B770,2)),Data,MATCH(LEFT(VLOOKUP(D$1,Parameters,2,FALSE()),4)&amp;"*",OFFSET(Data,0,0,1),0)+MATCH($C770,OFFSET(Data,2,0,1),0)-2,FALSE())/10)</f>
        <v>760.7</v>
      </c>
      <c r="E770" s="17">
        <f t="shared" ref="E770:E833" ca="1" si="254">IF(OR(ISBLANK(VLOOKUP(DATEVALUE(LEFT($B770,4)&amp;"-"&amp;MID($B770,5,2)&amp;"-"&amp;RIGHT($B770,2)),Data,MATCH(LEFT(VLOOKUP(MID(E$1,2,LEN(E$1)-1),Parameters,2,FALSE()),4)&amp;"*",OFFSET(Data,0,0,1),0)+MATCH($C770,OFFSET(Data,2,0,1),0)-2,FALSE())),ISTEXT(VLOOKUP(DATEVALUE(LEFT($B770,4)&amp;"-"&amp;MID($B770,5,2)&amp;"-"&amp;RIGHT($B770,2)),Data,MATCH(LEFT(VLOOKUP(MID(E$1,2,LEN(E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Data,2,0,1),0)-2,FALSE())))</f>
        <v>0</v>
      </c>
      <c r="F770" s="18">
        <f t="shared" ref="F770:F833" ca="1" si="255">IF(OR(ISBLANK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ISTEXT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EXACT($C770,"24.00")),"—",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/10)</f>
        <v>26.9</v>
      </c>
      <c r="G770" s="17">
        <f t="shared" ref="G770:G833" ca="1" si="256">IF(OR(ISBLANK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ISTEXT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G$1,2,LEN(G$1)-1),Parameters,2,FALSE()),FIND(LOWER(MID(G$1,2,1)),VLOOKUP(MID(G$1,2,LEN(G$1)-1),Parameters,2,FALSE()),5),4)&amp;"*",OFFSET(Catalogus,0,0,1),0)+2*MATCH($C770,OFFSET(Catalogus,2,0,1),0)+MATCH(LEFT(VLOOKUP(MID(G$1,2,LEN(G$1)-1),Parameters,2,FALSE()),3)&amp;"*",OFFSET(Catalogus,2,4,1),0)-5,FALSE())))</f>
        <v>0</v>
      </c>
      <c r="H770" s="18" t="str">
        <f t="shared" ref="H770:H833" ca="1" si="257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/10)</f>
        <v>—</v>
      </c>
      <c r="I770" s="17">
        <f t="shared" ref="I770:I833" ca="1" si="258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  <c r="J770" s="18" t="str">
        <f t="shared" ref="J770:J833" ca="1" si="259">IF(OR(ISBLANK(VLOOKUP(DATEVALUE(LEFT($B770,4)&amp;"-"&amp;MID($B770,5,2)&amp;"-"&amp;RIGHT($B770,2)),Data,MATCH(LEFT(VLOOKUP(J$1,Parameters,2,FALSE()),4)&amp;"*",OFFSET(Data,1,0,1),0),FALSE())),ISTEXT(VLOOKUP(DATEVALUE(LEFT($B770,4)&amp;"-"&amp;MID($B770,5,2)&amp;"-"&amp;RIGHT($B770,2)),Data,MATCH(LEFT(VLOOKUP(J$1,Parameters,2,FALSE()),4)&amp;"*",OFFSET(Data,1,0,1),0),FALSE())),NOT(EXACT($C770,"24.00"))),"—",VLOOKUP(DATEVALUE(LEFT($B770,4)&amp;"-"&amp;MID($B770,5,2)&amp;"-"&amp;RIGHT($B770,2)),Data,MATCH(LEFT(VLOOKUP(J$1,Parameters,2,FALSE()),4)&amp;"*",OFFSET(Data,1,0,1),0),FALSE())/10)</f>
        <v>—</v>
      </c>
      <c r="K770" s="17">
        <f t="shared" ref="K770:K833" ca="1" si="260">IF(OR(ISBLANK(VLOOKUP(DATEVALUE(LEFT($B770,4)&amp;"-"&amp;MID($B770,5,2)&amp;"-"&amp;RIGHT($B770,2)),Data,MATCH(LEFT(VLOOKUP(MID(K$1,2,LEN(K$1)-1),Parameters,2,FALSE()),4)&amp;"*",OFFSET(Data,1,0,1),0),FALSE())),ISTEXT(VLOOKUP(DATEVALUE(LEFT($B770,4)&amp;"-"&amp;MID($B770,5,2)&amp;"-"&amp;RIGHT($B770,2)),Data,MATCH(LEFT(VLOOKUP(MID(K$1,2,LEN(K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K$1,2,LEN(K$1)-1),Parameters,2,FALSE()),4)&amp;"*",OFFSET(Catalogus,1,0,1),0),FALSE())))</f>
        <v>7</v>
      </c>
      <c r="L770" s="10">
        <f t="shared" ref="L770:L833" ca="1" si="261">IF(OR(ISBLANK(VLOOKUP(DATEVALUE(LEFT($B770,4)&amp;"-"&amp;MID($B770,5,2)&amp;"-"&amp;RIGHT($B770,2)),Data,MATCH(LEFT(VLOOKUP(L$1,Parameters,2,FALSE()),4)&amp;"*",OFFSET(Data,0,0,1),0)+MATCH($C770,OFFSET(Data,2,0,1),0)-2,FALSE())),ISTEXT(VLOOKUP(DATEVALUE(LEFT($B770,4)&amp;"-"&amp;MID($B770,5,2)&amp;"-"&amp;RIGHT($B770,2)),Data,MATCH(LEFT(VLOOKUP(L$1,Parameters,2,FALSE()),4)&amp;"*",OFFSET(Data,0,0,1),0)+MATCH($C770,OFFSET(Data,2,0,1),0)-2,FALSE())),EXACT($C770,"24.00")),"—",VLOOKUP(DATEVALUE(LEFT($B770,4)&amp;"-"&amp;MID($B770,5,2)&amp;"-"&amp;RIGHT($B770,2)),Data,MATCH(LEFT(VLOOKUP(L$1,Parameters,2,FALSE()),4)&amp;"*",OFFSET(Data,0,0,1),0)+MATCH($C770,OFFSET(Data,2,0,1),0)-2,FALSE()))</f>
        <v>71</v>
      </c>
      <c r="M770" s="17">
        <f t="shared" ref="M770:M833" ca="1" si="262">IF(OR(ISBLANK(VLOOKUP(DATEVALUE(LEFT($B770,4)&amp;"-"&amp;MID($B770,5,2)&amp;"-"&amp;RIGHT($B770,2)),Data,MATCH(LEFT(VLOOKUP(MID(M$1,2,LEN(M$1)-1),Parameters,2,FALSE()),4)&amp;"*",OFFSET(Data,0,0,1),0)+MATCH($C770,OFFSET(Data,2,0,1),0)-2,FALSE())),ISTEXT(VLOOKUP(DATEVALUE(LEFT($B770,4)&amp;"-"&amp;MID($B770,5,2)&amp;"-"&amp;RIGHT($B770,2)),Data,MATCH(LEFT(VLOOKUP(MID(M$1,2,LEN(M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M$1,2,LEN(M$1)-1),Parameters,2,FALSE()),4)&amp;"*",OFFSET(Catalogus,0,0,1),0)+MATCH($C770,OFFSET(Data,2,0,1),0)-2,FALSE())))</f>
        <v>0</v>
      </c>
      <c r="N770" s="18">
        <f t="shared" ref="N770:N833" ca="1" si="263">IF(OR(ISBLANK(VLOOKUP(DATEVALUE(LEFT($B770,4)&amp;"-"&amp;MID($B770,5,2)&amp;"-"&amp;RIGHT($B770,2)),Data,MATCH(LEFT(VLOOKUP(N$1,Parameters,2,FALSE()),4)&amp;"*",OFFSET(Data,0,0,1),0)+MATCH($C770,OFFSET(Data,2,0,1),0)-2,FALSE())),ISTEXT(VLOOKUP(DATEVALUE(LEFT($B770,4)&amp;"-"&amp;MID($B770,5,2)&amp;"-"&amp;RIGHT($B770,2)),Data,MATCH(LEFT(VLOOKUP(N$1,Parameters,2,FALSE()),4)&amp;"*",OFFSET(Data,0,0,1),0)+MATCH($C770,OFFSET(Data,2,0,1),0)-2,FALSE())),EXACT($C770,"24.00")),"—",VLOOKUP(DATEVALUE(LEFT($B770,4)&amp;"-"&amp;MID($B770,5,2)&amp;"-"&amp;RIGHT($B770,2)),Data,MATCH(LEFT(VLOOKUP(N$1,Parameters,2,FALSE()),4)&amp;"*",OFFSET(Data,0,0,1),0)+MATCH($C770,OFFSET(Data,2,0,1),0)-2,FALSE())/10)</f>
        <v>18.8</v>
      </c>
      <c r="O770" s="17">
        <f t="shared" ref="O770:O833" ca="1" si="264">IF(OR(ISBLANK(VLOOKUP(DATEVALUE(LEFT($B770,4)&amp;"-"&amp;MID($B770,5,2)&amp;"-"&amp;RIGHT($B770,2)),Data,MATCH(LEFT(VLOOKUP(MID(O$1,2,LEN(O$1)-1),Parameters,2,FALSE()),4)&amp;"*",OFFSET(Data,0,0,1),0)+MATCH($C770,OFFSET(Data,2,0,1),0)-2,FALSE())),ISTEXT(VLOOKUP(DATEVALUE(LEFT($B770,4)&amp;"-"&amp;MID($B770,5,2)&amp;"-"&amp;RIGHT($B770,2)),Data,MATCH(LEFT(VLOOKUP(MID(O$1,2,LEN(O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O$1,2,LEN(O$1)-1),Parameters,2,FALSE()),4)&amp;"*",OFFSET(Catalogus,0,0,1),0)+MATCH($C770,OFFSET(Data,2,0,1),0)-2,FALSE())))</f>
        <v>0</v>
      </c>
      <c r="P770" s="18">
        <f t="shared" ref="P770:P833" ca="1" si="265">IF(OR(ISBLANK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ISTEXT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EXACT($C770,"24.00")),"—",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/10)</f>
        <v>22.8</v>
      </c>
      <c r="Q770" s="17">
        <f t="shared" ref="Q770:Q833" ca="1" si="266">IF(OR(ISBLANK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ISTEXT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Q$1,2,LEN(Q$1)-1),Parameters,2,FALSE()),FIND(LOWER(MID(Q$1,2,1)),VLOOKUP(MID(Q$1,2,LEN(Q$1)-1),Parameters,2,FALSE()),5),4)&amp;"*",OFFSET(Catalogus,0,0,1),0)+2*MATCH($C770,OFFSET(Catalogus,2,0,1),0)+MATCH(LEFT(VLOOKUP(MID(Q$1,2,LEN(Q$1)-1),Parameters,2,FALSE()),3)&amp;"*",OFFSET(Catalogus,2,4,1),0)-5,FALSE())))</f>
        <v>0</v>
      </c>
      <c r="R770" s="10">
        <f t="shared" ref="R770:R833" ca="1" si="267">IF(OR(ISBLANK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),ISNA(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1,1,,1),0)),EXACT($C770,"24.00")),"—",INDEX(Windrichting,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0,1,,1),0),1))</f>
        <v>65</v>
      </c>
      <c r="S770" s="17">
        <f t="shared" ref="S770:S833" ca="1" si="268">IF(OR(ISBLANK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),ISNA(MATCH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,OFFSET(Windrichting,1,1,,1),0)),EXACT($C770,"24.00")),Lacking,IF(ISNA(MATCH(DATEVALUE(LEFT($B770,4)&amp;"-"&amp;MID($B770,5,2)&amp;"-"&amp;RIGHT($B770,2)),OFFSET(Catalogus,0,0,,1),0)),Ok,VLOOKUP(DATEVALUE(LEFT($B770,4)&amp;"-"&amp;MID($B770,5,2)&amp;"-"&amp;RIGHT($B770,2)),Catalogus,MATCH(LEFT(VLOOKUP(MID(S$1,2,LEN(S$1)-1),Parameters,2,FALSE()),4)&amp;"*",OFFSET(Catalogus,0,0,1),0)+2*MATCH($C770,OFFSET(Catalogus,2,0,1),0)+MATCH(MID(VLOOKUP(MID(S$1,2,LEN(S$1)-1),Parameters,2,FALSE()),5,LEN(VLOOKUP(MID(S$1,2,LEN(S$1)-1),Parameters,2,FALSE()))-4)&amp;"*",OFFSET(Catalogus,2,19,1),0)-5,FALSE())))</f>
        <v>0</v>
      </c>
      <c r="T770" s="70">
        <f t="shared" ref="T770:T833" ca="1" si="269">IF(OR(ISBLANK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ISTEXT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EXACT($C770,"24.00")),"—",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/10)</f>
        <v>0.5</v>
      </c>
      <c r="U770" s="17">
        <f t="shared" ref="U770:U833" ca="1" si="270">IF(OR(ISBLANK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ISTEXT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U$1,2,LEN(U$1)-1),Parameters,2,FALSE()),4)&amp;"*",OFFSET(Catalogus,0,0,1),0)+2*MATCH($C770,OFFSET(Catalogus,2,0,1),0)+MATCH(MID(VLOOKUP(MID(U$1,2,LEN(U$1)-1),Parameters,2,FALSE()),5,LEN(VLOOKUP(MID(U$1,2,LEN(U$1)-1),Parameters,2,FALSE()))-4)&amp;"*",OFFSET(Catalogus,2,19,1),0)-5,FALSE())))</f>
        <v>0</v>
      </c>
      <c r="V770" s="71">
        <f t="shared" ref="V770:V833" ca="1" si="271">IF(OR(ISBLANK(VLOOKUP(DATEVALUE(LEFT($B770,4)&amp;"-"&amp;MID($B770,5,2)&amp;"-"&amp;RIGHT($B770,2)),Data,MATCH(LEFT(VLOOKUP(V$1,Parameters,2,FALSE()),4)&amp;"*",OFFSET(Data,0,0,1),0)+MATCH($C770,OFFSET(Data,2,0,1),0)-2,FALSE())),ISTEXT(VLOOKUP(DATEVALUE(LEFT($B770,4)&amp;"-"&amp;MID($B770,5,2)&amp;"-"&amp;RIGHT($B770,2)),Data,MATCH(LEFT(VLOOKUP(V$1,Parameters,2,FALSE()),4)&amp;"*",OFFSET(Data,0,0,1),0)+MATCH($C770,OFFSET(Data,2,0,1),0)-2,FALSE())),EXACT($C770,"24.00")),"—",VLOOKUP(DATEVALUE(LEFT($B770,4)&amp;"-"&amp;MID($B770,5,2)&amp;"-"&amp;RIGHT($B770,2)),Data,MATCH(LEFT(VLOOKUP(V$1,Parameters,2,FALSE()),4)&amp;"*",OFFSET(Data,0,0,1),0)+MATCH($C770,OFFSET(Data,2,0,1),0)-2,FALSE()))</f>
        <v>3</v>
      </c>
      <c r="W770" s="17">
        <f t="shared" ref="W770:W833" ca="1" si="272">IF(OR(ISBLANK(VLOOKUP(DATEVALUE(LEFT($B770,4)&amp;"-"&amp;MID($B770,5,2)&amp;"-"&amp;RIGHT($B770,2)),Data,MATCH(LEFT(VLOOKUP(MID(W$1,2,LEN(W$1)-1),Parameters,2,FALSE()),4)&amp;"*",OFFSET(Data,0,0,1),0)+MATCH($C770,OFFSET(Data,2,0,1),0)-2,FALSE())),ISTEXT(VLOOKUP(DATEVALUE(LEFT($B770,4)&amp;"-"&amp;MID($B770,5,2)&amp;"-"&amp;RIGHT($B770,2)),Data,MATCH(LEFT(VLOOKUP(MID(W$1,2,LEN(W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W$1,2,LEN(W$1)-1),Parameters,2,FALSE()),4)&amp;"*",OFFSET(Catalogus,0,0,1),0)+MATCH($C770,OFFSET(Data,2,0,1),0)-2,FALSE())))</f>
        <v>0</v>
      </c>
    </row>
    <row r="771" spans="1:23" x14ac:dyDescent="0.25">
      <c r="A771" s="4">
        <f t="shared" si="252"/>
        <v>32</v>
      </c>
      <c r="B771" t="str">
        <f ca="1">TEXT(DATE(YEAR(Invoer!$A$6),1,1)+INT((ROWS(B$2:B771)-1)/4),"jjjjmmdd")</f>
        <v>19400711</v>
      </c>
      <c r="C771" s="64" t="str">
        <f>IF(MOD(ROWS(C$2:C771)-1,4)=3,"24.00",INDEX(Data,3,2+MOD(ROWS(C$2:C771)-1,4)))</f>
        <v>12.00</v>
      </c>
      <c r="D771" s="18">
        <f t="shared" ca="1" si="253"/>
        <v>760.7</v>
      </c>
      <c r="E771" s="17">
        <f t="shared" ca="1" si="254"/>
        <v>0</v>
      </c>
      <c r="F771" s="18">
        <f t="shared" ca="1" si="255"/>
        <v>27.9</v>
      </c>
      <c r="G771" s="17">
        <f t="shared" ca="1" si="256"/>
        <v>0</v>
      </c>
      <c r="H771" s="18" t="str">
        <f t="shared" ca="1" si="257"/>
        <v>—</v>
      </c>
      <c r="I771" s="17">
        <f t="shared" ca="1" si="258"/>
        <v>7</v>
      </c>
      <c r="J771" s="18" t="str">
        <f t="shared" ca="1" si="259"/>
        <v>—</v>
      </c>
      <c r="K771" s="17">
        <f t="shared" ca="1" si="260"/>
        <v>7</v>
      </c>
      <c r="L771" s="10">
        <f t="shared" ca="1" si="261"/>
        <v>71</v>
      </c>
      <c r="M771" s="17">
        <f t="shared" ca="1" si="262"/>
        <v>0</v>
      </c>
      <c r="N771" s="18">
        <f t="shared" ca="1" si="263"/>
        <v>20.100000000000001</v>
      </c>
      <c r="O771" s="17">
        <f t="shared" ca="1" si="264"/>
        <v>0</v>
      </c>
      <c r="P771" s="18">
        <f t="shared" ca="1" si="265"/>
        <v>23.8</v>
      </c>
      <c r="Q771" s="17">
        <f t="shared" ca="1" si="266"/>
        <v>0</v>
      </c>
      <c r="R771" s="10">
        <f t="shared" ca="1" si="267"/>
        <v>45</v>
      </c>
      <c r="S771" s="17">
        <f t="shared" ca="1" si="268"/>
        <v>0</v>
      </c>
      <c r="T771" s="70">
        <f t="shared" ca="1" si="269"/>
        <v>0.6</v>
      </c>
      <c r="U771" s="17">
        <f t="shared" ca="1" si="270"/>
        <v>0</v>
      </c>
      <c r="V771" s="71">
        <f t="shared" ca="1" si="271"/>
        <v>4</v>
      </c>
      <c r="W771" s="17">
        <f t="shared" ca="1" si="272"/>
        <v>0</v>
      </c>
    </row>
    <row r="772" spans="1:23" x14ac:dyDescent="0.25">
      <c r="A772" s="4">
        <f t="shared" si="252"/>
        <v>32</v>
      </c>
      <c r="B772" t="str">
        <f ca="1">TEXT(DATE(YEAR(Invoer!$A$6),1,1)+INT((ROWS(B$2:B772)-1)/4),"jjjjmmdd")</f>
        <v>19400711</v>
      </c>
      <c r="C772" s="64" t="str">
        <f>IF(MOD(ROWS(C$2:C772)-1,4)=3,"24.00",INDEX(Data,3,2+MOD(ROWS(C$2:C772)-1,4)))</f>
        <v>17.00</v>
      </c>
      <c r="D772" s="18">
        <f t="shared" ca="1" si="253"/>
        <v>760</v>
      </c>
      <c r="E772" s="17">
        <f t="shared" ca="1" si="254"/>
        <v>0</v>
      </c>
      <c r="F772" s="18">
        <f t="shared" ca="1" si="255"/>
        <v>26.9</v>
      </c>
      <c r="G772" s="17">
        <f t="shared" ca="1" si="256"/>
        <v>0</v>
      </c>
      <c r="H772" s="18" t="str">
        <f t="shared" ca="1" si="257"/>
        <v>—</v>
      </c>
      <c r="I772" s="17">
        <f t="shared" ca="1" si="258"/>
        <v>7</v>
      </c>
      <c r="J772" s="18" t="str">
        <f t="shared" ca="1" si="259"/>
        <v>—</v>
      </c>
      <c r="K772" s="17">
        <f t="shared" ca="1" si="260"/>
        <v>7</v>
      </c>
      <c r="L772" s="10">
        <f t="shared" ca="1" si="261"/>
        <v>72</v>
      </c>
      <c r="M772" s="17">
        <f t="shared" ca="1" si="262"/>
        <v>0</v>
      </c>
      <c r="N772" s="18">
        <f t="shared" ca="1" si="263"/>
        <v>19.100000000000001</v>
      </c>
      <c r="O772" s="17">
        <f t="shared" ca="1" si="264"/>
        <v>0</v>
      </c>
      <c r="P772" s="18">
        <f t="shared" ca="1" si="265"/>
        <v>23</v>
      </c>
      <c r="Q772" s="17">
        <f t="shared" ca="1" si="266"/>
        <v>0</v>
      </c>
      <c r="R772" s="10">
        <f t="shared" ca="1" si="267"/>
        <v>45</v>
      </c>
      <c r="S772" s="17">
        <f t="shared" ca="1" si="268"/>
        <v>0</v>
      </c>
      <c r="T772" s="70">
        <f t="shared" ca="1" si="269"/>
        <v>0.6</v>
      </c>
      <c r="U772" s="17">
        <f t="shared" ca="1" si="270"/>
        <v>0</v>
      </c>
      <c r="V772" s="71">
        <f t="shared" ca="1" si="271"/>
        <v>3</v>
      </c>
      <c r="W772" s="17">
        <f t="shared" ca="1" si="272"/>
        <v>0</v>
      </c>
    </row>
    <row r="773" spans="1:23" x14ac:dyDescent="0.25">
      <c r="A773" s="4">
        <f t="shared" si="252"/>
        <v>32</v>
      </c>
      <c r="B773" t="str">
        <f ca="1">TEXT(DATE(YEAR(Invoer!$A$6),1,1)+INT((ROWS(B$2:B773)-1)/4),"jjjjmmdd")</f>
        <v>19400711</v>
      </c>
      <c r="C773" s="64" t="str">
        <f>IF(MOD(ROWS(C$2:C773)-1,4)=3,"24.00",INDEX(Data,3,2+MOD(ROWS(C$2:C773)-1,4)))</f>
        <v>24.00</v>
      </c>
      <c r="D773" s="18" t="str">
        <f t="shared" ca="1" si="253"/>
        <v>—</v>
      </c>
      <c r="E773" s="17">
        <f t="shared" ca="1" si="254"/>
        <v>7</v>
      </c>
      <c r="F773" s="18" t="str">
        <f t="shared" ca="1" si="255"/>
        <v>—</v>
      </c>
      <c r="G773" s="17">
        <f t="shared" ca="1" si="256"/>
        <v>7</v>
      </c>
      <c r="H773" s="18">
        <f t="shared" ca="1" si="257"/>
        <v>27.2</v>
      </c>
      <c r="I773" s="17">
        <f t="shared" ca="1" si="258"/>
        <v>0</v>
      </c>
      <c r="J773" s="18">
        <f t="shared" ca="1" si="259"/>
        <v>29.7</v>
      </c>
      <c r="K773" s="17">
        <f t="shared" ca="1" si="260"/>
        <v>0</v>
      </c>
      <c r="L773" s="10" t="str">
        <f t="shared" ca="1" si="261"/>
        <v>—</v>
      </c>
      <c r="M773" s="17">
        <f t="shared" ca="1" si="262"/>
        <v>7</v>
      </c>
      <c r="N773" s="18" t="str">
        <f t="shared" ca="1" si="263"/>
        <v>—</v>
      </c>
      <c r="O773" s="17">
        <f t="shared" ca="1" si="264"/>
        <v>7</v>
      </c>
      <c r="P773" s="18" t="str">
        <f t="shared" ca="1" si="265"/>
        <v>—</v>
      </c>
      <c r="Q773" s="17">
        <f t="shared" ca="1" si="266"/>
        <v>7</v>
      </c>
      <c r="R773" s="10" t="str">
        <f t="shared" ca="1" si="267"/>
        <v>—</v>
      </c>
      <c r="S773" s="17">
        <f t="shared" ca="1" si="268"/>
        <v>7</v>
      </c>
      <c r="T773" s="70" t="str">
        <f t="shared" ca="1" si="269"/>
        <v>—</v>
      </c>
      <c r="U773" s="17">
        <f t="shared" ca="1" si="270"/>
        <v>7</v>
      </c>
      <c r="V773" s="71" t="str">
        <f t="shared" ca="1" si="271"/>
        <v>—</v>
      </c>
      <c r="W773" s="17">
        <f t="shared" ca="1" si="272"/>
        <v>7</v>
      </c>
    </row>
    <row r="774" spans="1:23" x14ac:dyDescent="0.25">
      <c r="A774" s="4">
        <f t="shared" si="252"/>
        <v>32</v>
      </c>
      <c r="B774" t="str">
        <f ca="1">TEXT(DATE(YEAR(Invoer!$A$6),1,1)+INT((ROWS(B$2:B774)-1)/4),"jjjjmmdd")</f>
        <v>19400712</v>
      </c>
      <c r="C774" s="64" t="str">
        <f>IF(MOD(ROWS(C$2:C774)-1,4)=3,"24.00",INDEX(Data,3,2+MOD(ROWS(C$2:C774)-1,4)))</f>
        <v>07.00</v>
      </c>
      <c r="D774" s="18">
        <f t="shared" ca="1" si="253"/>
        <v>760.7</v>
      </c>
      <c r="E774" s="17">
        <f t="shared" ca="1" si="254"/>
        <v>0</v>
      </c>
      <c r="F774" s="18">
        <f t="shared" ca="1" si="255"/>
        <v>26.9</v>
      </c>
      <c r="G774" s="17">
        <f t="shared" ca="1" si="256"/>
        <v>0</v>
      </c>
      <c r="H774" s="18" t="str">
        <f t="shared" ca="1" si="257"/>
        <v>—</v>
      </c>
      <c r="I774" s="17">
        <f t="shared" ca="1" si="258"/>
        <v>7</v>
      </c>
      <c r="J774" s="18" t="str">
        <f t="shared" ca="1" si="259"/>
        <v>—</v>
      </c>
      <c r="K774" s="17">
        <f t="shared" ca="1" si="260"/>
        <v>7</v>
      </c>
      <c r="L774" s="10">
        <f t="shared" ca="1" si="261"/>
        <v>80</v>
      </c>
      <c r="M774" s="17">
        <f t="shared" ca="1" si="262"/>
        <v>0</v>
      </c>
      <c r="N774" s="18">
        <f t="shared" ca="1" si="263"/>
        <v>21.3</v>
      </c>
      <c r="O774" s="17">
        <f t="shared" ca="1" si="264"/>
        <v>0</v>
      </c>
      <c r="P774" s="18">
        <f t="shared" ca="1" si="265"/>
        <v>24.2</v>
      </c>
      <c r="Q774" s="17">
        <f t="shared" ca="1" si="266"/>
        <v>0</v>
      </c>
      <c r="R774" s="10">
        <f t="shared" ca="1" si="267"/>
        <v>65</v>
      </c>
      <c r="S774" s="17">
        <f t="shared" ca="1" si="268"/>
        <v>0</v>
      </c>
      <c r="T774" s="70">
        <f t="shared" ca="1" si="269"/>
        <v>0.4</v>
      </c>
      <c r="U774" s="17">
        <f t="shared" ca="1" si="270"/>
        <v>0</v>
      </c>
      <c r="V774" s="71">
        <f t="shared" ca="1" si="271"/>
        <v>3</v>
      </c>
      <c r="W774" s="17">
        <f t="shared" ca="1" si="272"/>
        <v>0</v>
      </c>
    </row>
    <row r="775" spans="1:23" x14ac:dyDescent="0.25">
      <c r="A775" s="4">
        <f t="shared" si="252"/>
        <v>32</v>
      </c>
      <c r="B775" t="str">
        <f ca="1">TEXT(DATE(YEAR(Invoer!$A$6),1,1)+INT((ROWS(B$2:B775)-1)/4),"jjjjmmdd")</f>
        <v>19400712</v>
      </c>
      <c r="C775" s="64" t="str">
        <f>IF(MOD(ROWS(C$2:C775)-1,4)=3,"24.00",INDEX(Data,3,2+MOD(ROWS(C$2:C775)-1,4)))</f>
        <v>12.00</v>
      </c>
      <c r="D775" s="18">
        <f t="shared" ca="1" si="253"/>
        <v>761</v>
      </c>
      <c r="E775" s="17">
        <f t="shared" ca="1" si="254"/>
        <v>0</v>
      </c>
      <c r="F775" s="18">
        <f t="shared" ca="1" si="255"/>
        <v>28.3</v>
      </c>
      <c r="G775" s="17">
        <f t="shared" ca="1" si="256"/>
        <v>0</v>
      </c>
      <c r="H775" s="18" t="str">
        <f t="shared" ca="1" si="257"/>
        <v>—</v>
      </c>
      <c r="I775" s="17">
        <f t="shared" ca="1" si="258"/>
        <v>7</v>
      </c>
      <c r="J775" s="18" t="str">
        <f t="shared" ca="1" si="259"/>
        <v>—</v>
      </c>
      <c r="K775" s="17">
        <f t="shared" ca="1" si="260"/>
        <v>7</v>
      </c>
      <c r="L775" s="10">
        <f t="shared" ca="1" si="261"/>
        <v>74</v>
      </c>
      <c r="M775" s="17">
        <f t="shared" ca="1" si="262"/>
        <v>0</v>
      </c>
      <c r="N775" s="18">
        <f t="shared" ca="1" si="263"/>
        <v>21.4</v>
      </c>
      <c r="O775" s="17">
        <f t="shared" ca="1" si="264"/>
        <v>0</v>
      </c>
      <c r="P775" s="18">
        <f t="shared" ca="1" si="265"/>
        <v>24.6</v>
      </c>
      <c r="Q775" s="17">
        <f t="shared" ca="1" si="266"/>
        <v>0</v>
      </c>
      <c r="R775" s="10">
        <f t="shared" ca="1" si="267"/>
        <v>65</v>
      </c>
      <c r="S775" s="17">
        <f t="shared" ca="1" si="268"/>
        <v>0</v>
      </c>
      <c r="T775" s="70">
        <f t="shared" ca="1" si="269"/>
        <v>0.5</v>
      </c>
      <c r="U775" s="17">
        <f t="shared" ca="1" si="270"/>
        <v>0</v>
      </c>
      <c r="V775" s="71">
        <f t="shared" ca="1" si="271"/>
        <v>3</v>
      </c>
      <c r="W775" s="17">
        <f t="shared" ca="1" si="272"/>
        <v>0</v>
      </c>
    </row>
    <row r="776" spans="1:23" x14ac:dyDescent="0.25">
      <c r="A776" s="4">
        <f t="shared" si="252"/>
        <v>32</v>
      </c>
      <c r="B776" t="str">
        <f ca="1">TEXT(DATE(YEAR(Invoer!$A$6),1,1)+INT((ROWS(B$2:B776)-1)/4),"jjjjmmdd")</f>
        <v>19400712</v>
      </c>
      <c r="C776" s="64" t="str">
        <f>IF(MOD(ROWS(C$2:C776)-1,4)=3,"24.00",INDEX(Data,3,2+MOD(ROWS(C$2:C776)-1,4)))</f>
        <v>17.00</v>
      </c>
      <c r="D776" s="18">
        <f t="shared" ca="1" si="253"/>
        <v>760</v>
      </c>
      <c r="E776" s="17">
        <f t="shared" ca="1" si="254"/>
        <v>0</v>
      </c>
      <c r="F776" s="18">
        <f t="shared" ca="1" si="255"/>
        <v>27.9</v>
      </c>
      <c r="G776" s="17">
        <f t="shared" ca="1" si="256"/>
        <v>0</v>
      </c>
      <c r="H776" s="18" t="str">
        <f t="shared" ca="1" si="257"/>
        <v>—</v>
      </c>
      <c r="I776" s="17">
        <f t="shared" ca="1" si="258"/>
        <v>7</v>
      </c>
      <c r="J776" s="18" t="str">
        <f t="shared" ca="1" si="259"/>
        <v>—</v>
      </c>
      <c r="K776" s="17">
        <f t="shared" ca="1" si="260"/>
        <v>7</v>
      </c>
      <c r="L776" s="10">
        <f t="shared" ca="1" si="261"/>
        <v>72</v>
      </c>
      <c r="M776" s="17">
        <f t="shared" ca="1" si="262"/>
        <v>0</v>
      </c>
      <c r="N776" s="18">
        <f t="shared" ca="1" si="263"/>
        <v>20.399999999999999</v>
      </c>
      <c r="O776" s="17">
        <f t="shared" ca="1" si="264"/>
        <v>0</v>
      </c>
      <c r="P776" s="18">
        <f t="shared" ca="1" si="265"/>
        <v>24</v>
      </c>
      <c r="Q776" s="17">
        <f t="shared" ca="1" si="266"/>
        <v>0</v>
      </c>
      <c r="R776" s="10">
        <f t="shared" ca="1" si="267"/>
        <v>45</v>
      </c>
      <c r="S776" s="17">
        <f t="shared" ca="1" si="268"/>
        <v>0</v>
      </c>
      <c r="T776" s="70">
        <f t="shared" ca="1" si="269"/>
        <v>0.5</v>
      </c>
      <c r="U776" s="17">
        <f t="shared" ca="1" si="270"/>
        <v>0</v>
      </c>
      <c r="V776" s="71">
        <f t="shared" ca="1" si="271"/>
        <v>3</v>
      </c>
      <c r="W776" s="17">
        <f t="shared" ca="1" si="272"/>
        <v>0</v>
      </c>
    </row>
    <row r="777" spans="1:23" x14ac:dyDescent="0.25">
      <c r="A777" s="4">
        <f t="shared" si="252"/>
        <v>32</v>
      </c>
      <c r="B777" t="str">
        <f ca="1">TEXT(DATE(YEAR(Invoer!$A$6),1,1)+INT((ROWS(B$2:B777)-1)/4),"jjjjmmdd")</f>
        <v>19400712</v>
      </c>
      <c r="C777" s="64" t="str">
        <f>IF(MOD(ROWS(C$2:C777)-1,4)=3,"24.00",INDEX(Data,3,2+MOD(ROWS(C$2:C777)-1,4)))</f>
        <v>24.00</v>
      </c>
      <c r="D777" s="18" t="str">
        <f t="shared" ca="1" si="253"/>
        <v>—</v>
      </c>
      <c r="E777" s="17">
        <f t="shared" ca="1" si="254"/>
        <v>7</v>
      </c>
      <c r="F777" s="18" t="str">
        <f t="shared" ca="1" si="255"/>
        <v>—</v>
      </c>
      <c r="G777" s="17">
        <f t="shared" ca="1" si="256"/>
        <v>7</v>
      </c>
      <c r="H777" s="18">
        <f t="shared" ca="1" si="257"/>
        <v>28</v>
      </c>
      <c r="I777" s="17">
        <f t="shared" ca="1" si="258"/>
        <v>0</v>
      </c>
      <c r="J777" s="18">
        <f t="shared" ca="1" si="259"/>
        <v>29.5</v>
      </c>
      <c r="K777" s="17">
        <f t="shared" ca="1" si="260"/>
        <v>0</v>
      </c>
      <c r="L777" s="10" t="str">
        <f t="shared" ca="1" si="261"/>
        <v>—</v>
      </c>
      <c r="M777" s="17">
        <f t="shared" ca="1" si="262"/>
        <v>7</v>
      </c>
      <c r="N777" s="18" t="str">
        <f t="shared" ca="1" si="263"/>
        <v>—</v>
      </c>
      <c r="O777" s="17">
        <f t="shared" ca="1" si="264"/>
        <v>7</v>
      </c>
      <c r="P777" s="18" t="str">
        <f t="shared" ca="1" si="265"/>
        <v>—</v>
      </c>
      <c r="Q777" s="17">
        <f t="shared" ca="1" si="266"/>
        <v>7</v>
      </c>
      <c r="R777" s="10" t="str">
        <f t="shared" ca="1" si="267"/>
        <v>—</v>
      </c>
      <c r="S777" s="17">
        <f t="shared" ca="1" si="268"/>
        <v>7</v>
      </c>
      <c r="T777" s="70" t="str">
        <f t="shared" ca="1" si="269"/>
        <v>—</v>
      </c>
      <c r="U777" s="17">
        <f t="shared" ca="1" si="270"/>
        <v>7</v>
      </c>
      <c r="V777" s="71" t="str">
        <f t="shared" ca="1" si="271"/>
        <v>—</v>
      </c>
      <c r="W777" s="17">
        <f t="shared" ca="1" si="272"/>
        <v>7</v>
      </c>
    </row>
    <row r="778" spans="1:23" x14ac:dyDescent="0.25">
      <c r="A778" s="4">
        <f t="shared" si="252"/>
        <v>32</v>
      </c>
      <c r="B778" t="str">
        <f ca="1">TEXT(DATE(YEAR(Invoer!$A$6),1,1)+INT((ROWS(B$2:B778)-1)/4),"jjjjmmdd")</f>
        <v>19400713</v>
      </c>
      <c r="C778" s="64" t="str">
        <f>IF(MOD(ROWS(C$2:C778)-1,4)=3,"24.00",INDEX(Data,3,2+MOD(ROWS(C$2:C778)-1,4)))</f>
        <v>07.00</v>
      </c>
      <c r="D778" s="18">
        <f t="shared" ca="1" si="253"/>
        <v>761</v>
      </c>
      <c r="E778" s="17">
        <f t="shared" ca="1" si="254"/>
        <v>0</v>
      </c>
      <c r="F778" s="18">
        <f t="shared" ca="1" si="255"/>
        <v>27.1</v>
      </c>
      <c r="G778" s="17">
        <f t="shared" ca="1" si="256"/>
        <v>0</v>
      </c>
      <c r="H778" s="18" t="str">
        <f t="shared" ca="1" si="257"/>
        <v>—</v>
      </c>
      <c r="I778" s="17">
        <f t="shared" ca="1" si="258"/>
        <v>7</v>
      </c>
      <c r="J778" s="18" t="str">
        <f t="shared" ca="1" si="259"/>
        <v>—</v>
      </c>
      <c r="K778" s="17">
        <f t="shared" ca="1" si="260"/>
        <v>7</v>
      </c>
      <c r="L778" s="10">
        <f t="shared" ca="1" si="261"/>
        <v>80</v>
      </c>
      <c r="M778" s="17">
        <f t="shared" ca="1" si="262"/>
        <v>0</v>
      </c>
      <c r="N778" s="18">
        <f t="shared" ca="1" si="263"/>
        <v>21.3</v>
      </c>
      <c r="O778" s="17">
        <f t="shared" ca="1" si="264"/>
        <v>0</v>
      </c>
      <c r="P778" s="18">
        <f t="shared" ca="1" si="265"/>
        <v>24</v>
      </c>
      <c r="Q778" s="17">
        <f t="shared" ca="1" si="266"/>
        <v>0</v>
      </c>
      <c r="R778" s="10">
        <f t="shared" ca="1" si="267"/>
        <v>65</v>
      </c>
      <c r="S778" s="17">
        <f t="shared" ca="1" si="268"/>
        <v>0</v>
      </c>
      <c r="T778" s="70">
        <f t="shared" ca="1" si="269"/>
        <v>0.6</v>
      </c>
      <c r="U778" s="17">
        <f t="shared" ca="1" si="270"/>
        <v>0</v>
      </c>
      <c r="V778" s="71">
        <f t="shared" ca="1" si="271"/>
        <v>1</v>
      </c>
      <c r="W778" s="17">
        <f t="shared" ca="1" si="272"/>
        <v>0</v>
      </c>
    </row>
    <row r="779" spans="1:23" x14ac:dyDescent="0.25">
      <c r="A779" s="4">
        <f t="shared" si="252"/>
        <v>32</v>
      </c>
      <c r="B779" t="str">
        <f ca="1">TEXT(DATE(YEAR(Invoer!$A$6),1,1)+INT((ROWS(B$2:B779)-1)/4),"jjjjmmdd")</f>
        <v>19400713</v>
      </c>
      <c r="C779" s="64" t="str">
        <f>IF(MOD(ROWS(C$2:C779)-1,4)=3,"24.00",INDEX(Data,3,2+MOD(ROWS(C$2:C779)-1,4)))</f>
        <v>12.00</v>
      </c>
      <c r="D779" s="18">
        <f t="shared" ca="1" si="253"/>
        <v>761.2</v>
      </c>
      <c r="E779" s="17">
        <f t="shared" ca="1" si="254"/>
        <v>0</v>
      </c>
      <c r="F779" s="18">
        <f t="shared" ca="1" si="255"/>
        <v>28.7</v>
      </c>
      <c r="G779" s="17">
        <f t="shared" ca="1" si="256"/>
        <v>0</v>
      </c>
      <c r="H779" s="18" t="str">
        <f t="shared" ca="1" si="257"/>
        <v>—</v>
      </c>
      <c r="I779" s="17">
        <f t="shared" ca="1" si="258"/>
        <v>7</v>
      </c>
      <c r="J779" s="18" t="str">
        <f t="shared" ca="1" si="259"/>
        <v>—</v>
      </c>
      <c r="K779" s="17">
        <f t="shared" ca="1" si="260"/>
        <v>7</v>
      </c>
      <c r="L779" s="10">
        <f t="shared" ca="1" si="261"/>
        <v>70</v>
      </c>
      <c r="M779" s="17">
        <f t="shared" ca="1" si="262"/>
        <v>0</v>
      </c>
      <c r="N779" s="18">
        <f t="shared" ca="1" si="263"/>
        <v>20.8</v>
      </c>
      <c r="O779" s="17">
        <f t="shared" ca="1" si="264"/>
        <v>0</v>
      </c>
      <c r="P779" s="18">
        <f t="shared" ca="1" si="265"/>
        <v>24.4</v>
      </c>
      <c r="Q779" s="17">
        <f t="shared" ca="1" si="266"/>
        <v>0</v>
      </c>
      <c r="R779" s="10">
        <f t="shared" ca="1" si="267"/>
        <v>65</v>
      </c>
      <c r="S779" s="17">
        <f t="shared" ca="1" si="268"/>
        <v>0</v>
      </c>
      <c r="T779" s="70">
        <f t="shared" ca="1" si="269"/>
        <v>0.7</v>
      </c>
      <c r="U779" s="17">
        <f t="shared" ca="1" si="270"/>
        <v>0</v>
      </c>
      <c r="V779" s="71">
        <f t="shared" ca="1" si="271"/>
        <v>2</v>
      </c>
      <c r="W779" s="17">
        <f t="shared" ca="1" si="272"/>
        <v>0</v>
      </c>
    </row>
    <row r="780" spans="1:23" x14ac:dyDescent="0.25">
      <c r="A780" s="4">
        <f t="shared" si="252"/>
        <v>32</v>
      </c>
      <c r="B780" t="str">
        <f ca="1">TEXT(DATE(YEAR(Invoer!$A$6),1,1)+INT((ROWS(B$2:B780)-1)/4),"jjjjmmdd")</f>
        <v>19400713</v>
      </c>
      <c r="C780" s="64" t="str">
        <f>IF(MOD(ROWS(C$2:C780)-1,4)=3,"24.00",INDEX(Data,3,2+MOD(ROWS(C$2:C780)-1,4)))</f>
        <v>17.00</v>
      </c>
      <c r="D780" s="18">
        <f t="shared" ca="1" si="253"/>
        <v>760.5</v>
      </c>
      <c r="E780" s="17">
        <f t="shared" ca="1" si="254"/>
        <v>0</v>
      </c>
      <c r="F780" s="18">
        <f t="shared" ca="1" si="255"/>
        <v>28</v>
      </c>
      <c r="G780" s="17">
        <f t="shared" ca="1" si="256"/>
        <v>0</v>
      </c>
      <c r="H780" s="18" t="str">
        <f t="shared" ca="1" si="257"/>
        <v>—</v>
      </c>
      <c r="I780" s="17">
        <f t="shared" ca="1" si="258"/>
        <v>7</v>
      </c>
      <c r="J780" s="18" t="str">
        <f t="shared" ca="1" si="259"/>
        <v>—</v>
      </c>
      <c r="K780" s="17">
        <f t="shared" ca="1" si="260"/>
        <v>7</v>
      </c>
      <c r="L780" s="10">
        <f t="shared" ca="1" si="261"/>
        <v>72</v>
      </c>
      <c r="M780" s="17">
        <f t="shared" ca="1" si="262"/>
        <v>0</v>
      </c>
      <c r="N780" s="18">
        <f t="shared" ca="1" si="263"/>
        <v>20.399999999999999</v>
      </c>
      <c r="O780" s="17">
        <f t="shared" ca="1" si="264"/>
        <v>0</v>
      </c>
      <c r="P780" s="18">
        <f t="shared" ca="1" si="265"/>
        <v>24</v>
      </c>
      <c r="Q780" s="17">
        <f t="shared" ca="1" si="266"/>
        <v>0</v>
      </c>
      <c r="R780" s="10">
        <f t="shared" ca="1" si="267"/>
        <v>90</v>
      </c>
      <c r="S780" s="17">
        <f t="shared" ca="1" si="268"/>
        <v>0</v>
      </c>
      <c r="T780" s="70">
        <f t="shared" ca="1" si="269"/>
        <v>0.7</v>
      </c>
      <c r="U780" s="17">
        <f t="shared" ca="1" si="270"/>
        <v>0</v>
      </c>
      <c r="V780" s="71">
        <f t="shared" ca="1" si="271"/>
        <v>2</v>
      </c>
      <c r="W780" s="17">
        <f t="shared" ca="1" si="272"/>
        <v>0</v>
      </c>
    </row>
    <row r="781" spans="1:23" x14ac:dyDescent="0.25">
      <c r="A781" s="4">
        <f t="shared" si="252"/>
        <v>32</v>
      </c>
      <c r="B781" t="str">
        <f ca="1">TEXT(DATE(YEAR(Invoer!$A$6),1,1)+INT((ROWS(B$2:B781)-1)/4),"jjjjmmdd")</f>
        <v>19400713</v>
      </c>
      <c r="C781" s="64" t="str">
        <f>IF(MOD(ROWS(C$2:C781)-1,4)=3,"24.00",INDEX(Data,3,2+MOD(ROWS(C$2:C781)-1,4)))</f>
        <v>24.00</v>
      </c>
      <c r="D781" s="18" t="str">
        <f t="shared" ca="1" si="253"/>
        <v>—</v>
      </c>
      <c r="E781" s="17">
        <f t="shared" ca="1" si="254"/>
        <v>7</v>
      </c>
      <c r="F781" s="18" t="str">
        <f t="shared" ca="1" si="255"/>
        <v>—</v>
      </c>
      <c r="G781" s="17">
        <f t="shared" ca="1" si="256"/>
        <v>7</v>
      </c>
      <c r="H781" s="18">
        <f t="shared" ca="1" si="257"/>
        <v>28.7</v>
      </c>
      <c r="I781" s="17">
        <f t="shared" ca="1" si="258"/>
        <v>0</v>
      </c>
      <c r="J781" s="18">
        <f t="shared" ca="1" si="259"/>
        <v>30.5</v>
      </c>
      <c r="K781" s="17">
        <f t="shared" ca="1" si="260"/>
        <v>0</v>
      </c>
      <c r="L781" s="10" t="str">
        <f t="shared" ca="1" si="261"/>
        <v>—</v>
      </c>
      <c r="M781" s="17">
        <f t="shared" ca="1" si="262"/>
        <v>7</v>
      </c>
      <c r="N781" s="18" t="str">
        <f t="shared" ca="1" si="263"/>
        <v>—</v>
      </c>
      <c r="O781" s="17">
        <f t="shared" ca="1" si="264"/>
        <v>7</v>
      </c>
      <c r="P781" s="18" t="str">
        <f t="shared" ca="1" si="265"/>
        <v>—</v>
      </c>
      <c r="Q781" s="17">
        <f t="shared" ca="1" si="266"/>
        <v>7</v>
      </c>
      <c r="R781" s="10" t="str">
        <f t="shared" ca="1" si="267"/>
        <v>—</v>
      </c>
      <c r="S781" s="17">
        <f t="shared" ca="1" si="268"/>
        <v>7</v>
      </c>
      <c r="T781" s="70" t="str">
        <f t="shared" ca="1" si="269"/>
        <v>—</v>
      </c>
      <c r="U781" s="17">
        <f t="shared" ca="1" si="270"/>
        <v>7</v>
      </c>
      <c r="V781" s="71" t="str">
        <f t="shared" ca="1" si="271"/>
        <v>—</v>
      </c>
      <c r="W781" s="17">
        <f t="shared" ca="1" si="272"/>
        <v>7</v>
      </c>
    </row>
    <row r="782" spans="1:23" x14ac:dyDescent="0.25">
      <c r="A782" s="4">
        <f t="shared" si="252"/>
        <v>32</v>
      </c>
      <c r="B782" t="str">
        <f ca="1">TEXT(DATE(YEAR(Invoer!$A$6),1,1)+INT((ROWS(B$2:B782)-1)/4),"jjjjmmdd")</f>
        <v>19400714</v>
      </c>
      <c r="C782" s="64" t="str">
        <f>IF(MOD(ROWS(C$2:C782)-1,4)=3,"24.00",INDEX(Data,3,2+MOD(ROWS(C$2:C782)-1,4)))</f>
        <v>07.00</v>
      </c>
      <c r="D782" s="18">
        <f t="shared" ca="1" si="253"/>
        <v>760.2</v>
      </c>
      <c r="E782" s="17">
        <f t="shared" ca="1" si="254"/>
        <v>0</v>
      </c>
      <c r="F782" s="18">
        <f t="shared" ca="1" si="255"/>
        <v>28.1</v>
      </c>
      <c r="G782" s="17">
        <f t="shared" ca="1" si="256"/>
        <v>0</v>
      </c>
      <c r="H782" s="18" t="str">
        <f t="shared" ca="1" si="257"/>
        <v>—</v>
      </c>
      <c r="I782" s="17">
        <f t="shared" ca="1" si="258"/>
        <v>7</v>
      </c>
      <c r="J782" s="18" t="str">
        <f t="shared" ca="1" si="259"/>
        <v>—</v>
      </c>
      <c r="K782" s="17">
        <f t="shared" ca="1" si="260"/>
        <v>7</v>
      </c>
      <c r="L782" s="10">
        <f t="shared" ca="1" si="261"/>
        <v>72</v>
      </c>
      <c r="M782" s="17">
        <f t="shared" ca="1" si="262"/>
        <v>0</v>
      </c>
      <c r="N782" s="18">
        <f t="shared" ca="1" si="263"/>
        <v>20.7</v>
      </c>
      <c r="O782" s="17">
        <f t="shared" ca="1" si="264"/>
        <v>0</v>
      </c>
      <c r="P782" s="18">
        <f t="shared" ca="1" si="265"/>
        <v>24.2</v>
      </c>
      <c r="Q782" s="17">
        <f t="shared" ca="1" si="266"/>
        <v>0</v>
      </c>
      <c r="R782" s="10">
        <f t="shared" ca="1" si="267"/>
        <v>65</v>
      </c>
      <c r="S782" s="17">
        <f t="shared" ca="1" si="268"/>
        <v>0</v>
      </c>
      <c r="T782" s="70">
        <f t="shared" ca="1" si="269"/>
        <v>0.7</v>
      </c>
      <c r="U782" s="17">
        <f t="shared" ca="1" si="270"/>
        <v>0</v>
      </c>
      <c r="V782" s="71">
        <f t="shared" ca="1" si="271"/>
        <v>1</v>
      </c>
      <c r="W782" s="17">
        <f t="shared" ca="1" si="272"/>
        <v>0</v>
      </c>
    </row>
    <row r="783" spans="1:23" x14ac:dyDescent="0.25">
      <c r="A783" s="4">
        <f t="shared" si="252"/>
        <v>32</v>
      </c>
      <c r="B783" t="str">
        <f ca="1">TEXT(DATE(YEAR(Invoer!$A$6),1,1)+INT((ROWS(B$2:B783)-1)/4),"jjjjmmdd")</f>
        <v>19400714</v>
      </c>
      <c r="C783" s="64" t="str">
        <f>IF(MOD(ROWS(C$2:C783)-1,4)=3,"24.00",INDEX(Data,3,2+MOD(ROWS(C$2:C783)-1,4)))</f>
        <v>12.00</v>
      </c>
      <c r="D783" s="18">
        <f t="shared" ca="1" si="253"/>
        <v>757.9</v>
      </c>
      <c r="E783" s="17">
        <f t="shared" ca="1" si="254"/>
        <v>0</v>
      </c>
      <c r="F783" s="18">
        <f t="shared" ca="1" si="255"/>
        <v>28.5</v>
      </c>
      <c r="G783" s="17">
        <f t="shared" ca="1" si="256"/>
        <v>0</v>
      </c>
      <c r="H783" s="18" t="str">
        <f t="shared" ca="1" si="257"/>
        <v>—</v>
      </c>
      <c r="I783" s="17">
        <f t="shared" ca="1" si="258"/>
        <v>7</v>
      </c>
      <c r="J783" s="18" t="str">
        <f t="shared" ca="1" si="259"/>
        <v>—</v>
      </c>
      <c r="K783" s="17">
        <f t="shared" ca="1" si="260"/>
        <v>7</v>
      </c>
      <c r="L783" s="10">
        <f t="shared" ca="1" si="261"/>
        <v>69</v>
      </c>
      <c r="M783" s="17">
        <f t="shared" ca="1" si="262"/>
        <v>0</v>
      </c>
      <c r="N783" s="18">
        <f t="shared" ca="1" si="263"/>
        <v>20.100000000000001</v>
      </c>
      <c r="O783" s="17">
        <f t="shared" ca="1" si="264"/>
        <v>0</v>
      </c>
      <c r="P783" s="18">
        <f t="shared" ca="1" si="265"/>
        <v>24</v>
      </c>
      <c r="Q783" s="17">
        <f t="shared" ca="1" si="266"/>
        <v>0</v>
      </c>
      <c r="R783" s="10">
        <f t="shared" ca="1" si="267"/>
        <v>65</v>
      </c>
      <c r="S783" s="17">
        <f t="shared" ca="1" si="268"/>
        <v>0</v>
      </c>
      <c r="T783" s="70">
        <f t="shared" ca="1" si="269"/>
        <v>0.7</v>
      </c>
      <c r="U783" s="17">
        <f t="shared" ca="1" si="270"/>
        <v>0</v>
      </c>
      <c r="V783" s="71">
        <f t="shared" ca="1" si="271"/>
        <v>1</v>
      </c>
      <c r="W783" s="17">
        <f t="shared" ca="1" si="272"/>
        <v>0</v>
      </c>
    </row>
    <row r="784" spans="1:23" x14ac:dyDescent="0.25">
      <c r="A784" s="4">
        <f t="shared" si="252"/>
        <v>32</v>
      </c>
      <c r="B784" t="str">
        <f ca="1">TEXT(DATE(YEAR(Invoer!$A$6),1,1)+INT((ROWS(B$2:B784)-1)/4),"jjjjmmdd")</f>
        <v>19400714</v>
      </c>
      <c r="C784" s="64" t="str">
        <f>IF(MOD(ROWS(C$2:C784)-1,4)=3,"24.00",INDEX(Data,3,2+MOD(ROWS(C$2:C784)-1,4)))</f>
        <v>17.00</v>
      </c>
      <c r="D784" s="18">
        <f t="shared" ca="1" si="253"/>
        <v>759.5</v>
      </c>
      <c r="E784" s="17">
        <f t="shared" ca="1" si="254"/>
        <v>0</v>
      </c>
      <c r="F784" s="18">
        <f t="shared" ca="1" si="255"/>
        <v>27.9</v>
      </c>
      <c r="G784" s="17">
        <f t="shared" ca="1" si="256"/>
        <v>0</v>
      </c>
      <c r="H784" s="18" t="str">
        <f t="shared" ca="1" si="257"/>
        <v>—</v>
      </c>
      <c r="I784" s="17">
        <f t="shared" ca="1" si="258"/>
        <v>7</v>
      </c>
      <c r="J784" s="18" t="str">
        <f t="shared" ca="1" si="259"/>
        <v>—</v>
      </c>
      <c r="K784" s="17">
        <f t="shared" ca="1" si="260"/>
        <v>7</v>
      </c>
      <c r="L784" s="10">
        <f t="shared" ca="1" si="261"/>
        <v>71</v>
      </c>
      <c r="M784" s="17">
        <f t="shared" ca="1" si="262"/>
        <v>0</v>
      </c>
      <c r="N784" s="18">
        <f t="shared" ca="1" si="263"/>
        <v>20.100000000000001</v>
      </c>
      <c r="O784" s="17">
        <f t="shared" ca="1" si="264"/>
        <v>0</v>
      </c>
      <c r="P784" s="18">
        <f t="shared" ca="1" si="265"/>
        <v>23.8</v>
      </c>
      <c r="Q784" s="17">
        <f t="shared" ca="1" si="266"/>
        <v>0</v>
      </c>
      <c r="R784" s="10">
        <f t="shared" ca="1" si="267"/>
        <v>45</v>
      </c>
      <c r="S784" s="17">
        <f t="shared" ca="1" si="268"/>
        <v>0</v>
      </c>
      <c r="T784" s="70">
        <f t="shared" ca="1" si="269"/>
        <v>0.7</v>
      </c>
      <c r="U784" s="17">
        <f t="shared" ca="1" si="270"/>
        <v>0</v>
      </c>
      <c r="V784" s="71">
        <f t="shared" ca="1" si="271"/>
        <v>1</v>
      </c>
      <c r="W784" s="17">
        <f t="shared" ca="1" si="272"/>
        <v>0</v>
      </c>
    </row>
    <row r="785" spans="1:23" x14ac:dyDescent="0.25">
      <c r="A785" s="4">
        <f t="shared" si="252"/>
        <v>32</v>
      </c>
      <c r="B785" t="str">
        <f ca="1">TEXT(DATE(YEAR(Invoer!$A$6),1,1)+INT((ROWS(B$2:B785)-1)/4),"jjjjmmdd")</f>
        <v>19400714</v>
      </c>
      <c r="C785" s="64" t="str">
        <f>IF(MOD(ROWS(C$2:C785)-1,4)=3,"24.00",INDEX(Data,3,2+MOD(ROWS(C$2:C785)-1,4)))</f>
        <v>24.00</v>
      </c>
      <c r="D785" s="18" t="str">
        <f t="shared" ca="1" si="253"/>
        <v>—</v>
      </c>
      <c r="E785" s="17">
        <f t="shared" ca="1" si="254"/>
        <v>7</v>
      </c>
      <c r="F785" s="18" t="str">
        <f t="shared" ca="1" si="255"/>
        <v>—</v>
      </c>
      <c r="G785" s="17">
        <f t="shared" ca="1" si="256"/>
        <v>7</v>
      </c>
      <c r="H785" s="18">
        <f t="shared" ca="1" si="257"/>
        <v>29.2</v>
      </c>
      <c r="I785" s="17">
        <f t="shared" ca="1" si="258"/>
        <v>0</v>
      </c>
      <c r="J785" s="18">
        <f t="shared" ca="1" si="259"/>
        <v>31</v>
      </c>
      <c r="K785" s="17">
        <f t="shared" ca="1" si="260"/>
        <v>0</v>
      </c>
      <c r="L785" s="10" t="str">
        <f t="shared" ca="1" si="261"/>
        <v>—</v>
      </c>
      <c r="M785" s="17">
        <f t="shared" ca="1" si="262"/>
        <v>7</v>
      </c>
      <c r="N785" s="18" t="str">
        <f t="shared" ca="1" si="263"/>
        <v>—</v>
      </c>
      <c r="O785" s="17">
        <f t="shared" ca="1" si="264"/>
        <v>7</v>
      </c>
      <c r="P785" s="18" t="str">
        <f t="shared" ca="1" si="265"/>
        <v>—</v>
      </c>
      <c r="Q785" s="17">
        <f t="shared" ca="1" si="266"/>
        <v>7</v>
      </c>
      <c r="R785" s="10" t="str">
        <f t="shared" ca="1" si="267"/>
        <v>—</v>
      </c>
      <c r="S785" s="17">
        <f t="shared" ca="1" si="268"/>
        <v>7</v>
      </c>
      <c r="T785" s="70" t="str">
        <f t="shared" ca="1" si="269"/>
        <v>—</v>
      </c>
      <c r="U785" s="17">
        <f t="shared" ca="1" si="270"/>
        <v>7</v>
      </c>
      <c r="V785" s="71" t="str">
        <f t="shared" ca="1" si="271"/>
        <v>—</v>
      </c>
      <c r="W785" s="17">
        <f t="shared" ca="1" si="272"/>
        <v>7</v>
      </c>
    </row>
    <row r="786" spans="1:23" x14ac:dyDescent="0.25">
      <c r="A786" s="4">
        <f t="shared" si="252"/>
        <v>32</v>
      </c>
      <c r="B786" t="str">
        <f ca="1">TEXT(DATE(YEAR(Invoer!$A$6),1,1)+INT((ROWS(B$2:B786)-1)/4),"jjjjmmdd")</f>
        <v>19400715</v>
      </c>
      <c r="C786" s="64" t="str">
        <f>IF(MOD(ROWS(C$2:C786)-1,4)=3,"24.00",INDEX(Data,3,2+MOD(ROWS(C$2:C786)-1,4)))</f>
        <v>07.00</v>
      </c>
      <c r="D786" s="18">
        <f t="shared" ca="1" si="253"/>
        <v>761</v>
      </c>
      <c r="E786" s="17">
        <f t="shared" ca="1" si="254"/>
        <v>0</v>
      </c>
      <c r="F786" s="18">
        <f t="shared" ca="1" si="255"/>
        <v>26.7</v>
      </c>
      <c r="G786" s="17">
        <f t="shared" ca="1" si="256"/>
        <v>0</v>
      </c>
      <c r="H786" s="18" t="str">
        <f t="shared" ca="1" si="257"/>
        <v>—</v>
      </c>
      <c r="I786" s="17">
        <f t="shared" ca="1" si="258"/>
        <v>7</v>
      </c>
      <c r="J786" s="18" t="str">
        <f t="shared" ca="1" si="259"/>
        <v>—</v>
      </c>
      <c r="K786" s="17">
        <f t="shared" ca="1" si="260"/>
        <v>7</v>
      </c>
      <c r="L786" s="10">
        <f t="shared" ca="1" si="261"/>
        <v>74</v>
      </c>
      <c r="M786" s="17">
        <f t="shared" ca="1" si="262"/>
        <v>0</v>
      </c>
      <c r="N786" s="18">
        <f t="shared" ca="1" si="263"/>
        <v>19.600000000000001</v>
      </c>
      <c r="O786" s="17">
        <f t="shared" ca="1" si="264"/>
        <v>0</v>
      </c>
      <c r="P786" s="18">
        <f t="shared" ca="1" si="265"/>
        <v>23.2</v>
      </c>
      <c r="Q786" s="17">
        <f t="shared" ca="1" si="266"/>
        <v>0</v>
      </c>
      <c r="R786" s="10">
        <f t="shared" ca="1" si="267"/>
        <v>65</v>
      </c>
      <c r="S786" s="17">
        <f t="shared" ca="1" si="268"/>
        <v>0</v>
      </c>
      <c r="T786" s="70">
        <f t="shared" ca="1" si="269"/>
        <v>0.6</v>
      </c>
      <c r="U786" s="17">
        <f t="shared" ca="1" si="270"/>
        <v>0</v>
      </c>
      <c r="V786" s="71">
        <f t="shared" ca="1" si="271"/>
        <v>4</v>
      </c>
      <c r="W786" s="17">
        <f t="shared" ca="1" si="272"/>
        <v>0</v>
      </c>
    </row>
    <row r="787" spans="1:23" x14ac:dyDescent="0.25">
      <c r="A787" s="4">
        <f t="shared" si="252"/>
        <v>32</v>
      </c>
      <c r="B787" t="str">
        <f ca="1">TEXT(DATE(YEAR(Invoer!$A$6),1,1)+INT((ROWS(B$2:B787)-1)/4),"jjjjmmdd")</f>
        <v>19400715</v>
      </c>
      <c r="C787" s="64" t="str">
        <f>IF(MOD(ROWS(C$2:C787)-1,4)=3,"24.00",INDEX(Data,3,2+MOD(ROWS(C$2:C787)-1,4)))</f>
        <v>12.00</v>
      </c>
      <c r="D787" s="18">
        <f t="shared" ca="1" si="253"/>
        <v>757.9</v>
      </c>
      <c r="E787" s="17">
        <f t="shared" ca="1" si="254"/>
        <v>0</v>
      </c>
      <c r="F787" s="18">
        <f t="shared" ca="1" si="255"/>
        <v>26.9</v>
      </c>
      <c r="G787" s="17">
        <f t="shared" ca="1" si="256"/>
        <v>0</v>
      </c>
      <c r="H787" s="18" t="str">
        <f t="shared" ca="1" si="257"/>
        <v>—</v>
      </c>
      <c r="I787" s="17">
        <f t="shared" ca="1" si="258"/>
        <v>7</v>
      </c>
      <c r="J787" s="18" t="str">
        <f t="shared" ca="1" si="259"/>
        <v>—</v>
      </c>
      <c r="K787" s="17">
        <f t="shared" ca="1" si="260"/>
        <v>7</v>
      </c>
      <c r="L787" s="10">
        <f t="shared" ca="1" si="261"/>
        <v>77</v>
      </c>
      <c r="M787" s="17">
        <f t="shared" ca="1" si="262"/>
        <v>0</v>
      </c>
      <c r="N787" s="18">
        <f t="shared" ca="1" si="263"/>
        <v>20.6</v>
      </c>
      <c r="O787" s="17">
        <f t="shared" ca="1" si="264"/>
        <v>0</v>
      </c>
      <c r="P787" s="18">
        <f t="shared" ca="1" si="265"/>
        <v>23.8</v>
      </c>
      <c r="Q787" s="17">
        <f t="shared" ca="1" si="266"/>
        <v>0</v>
      </c>
      <c r="R787" s="10">
        <f t="shared" ca="1" si="267"/>
        <v>65</v>
      </c>
      <c r="S787" s="17">
        <f t="shared" ca="1" si="268"/>
        <v>0</v>
      </c>
      <c r="T787" s="70">
        <f t="shared" ca="1" si="269"/>
        <v>0.6</v>
      </c>
      <c r="U787" s="17">
        <f t="shared" ca="1" si="270"/>
        <v>0</v>
      </c>
      <c r="V787" s="71">
        <f t="shared" ca="1" si="271"/>
        <v>3</v>
      </c>
      <c r="W787" s="17">
        <f t="shared" ca="1" si="272"/>
        <v>0</v>
      </c>
    </row>
    <row r="788" spans="1:23" x14ac:dyDescent="0.25">
      <c r="A788" s="4">
        <f t="shared" si="252"/>
        <v>32</v>
      </c>
      <c r="B788" t="str">
        <f ca="1">TEXT(DATE(YEAR(Invoer!$A$6),1,1)+INT((ROWS(B$2:B788)-1)/4),"jjjjmmdd")</f>
        <v>19400715</v>
      </c>
      <c r="C788" s="64" t="str">
        <f>IF(MOD(ROWS(C$2:C788)-1,4)=3,"24.00",INDEX(Data,3,2+MOD(ROWS(C$2:C788)-1,4)))</f>
        <v>17.00</v>
      </c>
      <c r="D788" s="18">
        <f t="shared" ca="1" si="253"/>
        <v>757.9</v>
      </c>
      <c r="E788" s="17">
        <f t="shared" ca="1" si="254"/>
        <v>0</v>
      </c>
      <c r="F788" s="18">
        <f t="shared" ca="1" si="255"/>
        <v>26.5</v>
      </c>
      <c r="G788" s="17">
        <f t="shared" ca="1" si="256"/>
        <v>0</v>
      </c>
      <c r="H788" s="18" t="str">
        <f t="shared" ca="1" si="257"/>
        <v>—</v>
      </c>
      <c r="I788" s="17">
        <f t="shared" ca="1" si="258"/>
        <v>7</v>
      </c>
      <c r="J788" s="18" t="str">
        <f t="shared" ca="1" si="259"/>
        <v>—</v>
      </c>
      <c r="K788" s="17">
        <f t="shared" ca="1" si="260"/>
        <v>7</v>
      </c>
      <c r="L788" s="10">
        <f t="shared" ca="1" si="261"/>
        <v>74</v>
      </c>
      <c r="M788" s="17">
        <f t="shared" ca="1" si="262"/>
        <v>0</v>
      </c>
      <c r="N788" s="18">
        <f t="shared" ca="1" si="263"/>
        <v>19.3</v>
      </c>
      <c r="O788" s="17">
        <f t="shared" ca="1" si="264"/>
        <v>0</v>
      </c>
      <c r="P788" s="18">
        <f t="shared" ca="1" si="265"/>
        <v>23</v>
      </c>
      <c r="Q788" s="17">
        <f t="shared" ca="1" si="266"/>
        <v>0</v>
      </c>
      <c r="R788" s="10">
        <f t="shared" ca="1" si="267"/>
        <v>45</v>
      </c>
      <c r="S788" s="17">
        <f t="shared" ca="1" si="268"/>
        <v>0</v>
      </c>
      <c r="T788" s="70">
        <f t="shared" ca="1" si="269"/>
        <v>0.6</v>
      </c>
      <c r="U788" s="17">
        <f t="shared" ca="1" si="270"/>
        <v>0</v>
      </c>
      <c r="V788" s="71">
        <f t="shared" ca="1" si="271"/>
        <v>3</v>
      </c>
      <c r="W788" s="17">
        <f t="shared" ca="1" si="272"/>
        <v>0</v>
      </c>
    </row>
    <row r="789" spans="1:23" x14ac:dyDescent="0.25">
      <c r="A789" s="4">
        <f t="shared" si="252"/>
        <v>32</v>
      </c>
      <c r="B789" t="str">
        <f ca="1">TEXT(DATE(YEAR(Invoer!$A$6),1,1)+INT((ROWS(B$2:B789)-1)/4),"jjjjmmdd")</f>
        <v>19400715</v>
      </c>
      <c r="C789" s="64" t="str">
        <f>IF(MOD(ROWS(C$2:C789)-1,4)=3,"24.00",INDEX(Data,3,2+MOD(ROWS(C$2:C789)-1,4)))</f>
        <v>24.00</v>
      </c>
      <c r="D789" s="18" t="str">
        <f t="shared" ca="1" si="253"/>
        <v>—</v>
      </c>
      <c r="E789" s="17">
        <f t="shared" ca="1" si="254"/>
        <v>7</v>
      </c>
      <c r="F789" s="18" t="str">
        <f t="shared" ca="1" si="255"/>
        <v>—</v>
      </c>
      <c r="G789" s="17">
        <f t="shared" ca="1" si="256"/>
        <v>7</v>
      </c>
      <c r="H789" s="18">
        <f t="shared" ca="1" si="257"/>
        <v>27.5</v>
      </c>
      <c r="I789" s="17">
        <f t="shared" ca="1" si="258"/>
        <v>0</v>
      </c>
      <c r="J789" s="18">
        <f t="shared" ca="1" si="259"/>
        <v>29</v>
      </c>
      <c r="K789" s="17">
        <f t="shared" ca="1" si="260"/>
        <v>0</v>
      </c>
      <c r="L789" s="10" t="str">
        <f t="shared" ca="1" si="261"/>
        <v>—</v>
      </c>
      <c r="M789" s="17">
        <f t="shared" ca="1" si="262"/>
        <v>7</v>
      </c>
      <c r="N789" s="18" t="str">
        <f t="shared" ca="1" si="263"/>
        <v>—</v>
      </c>
      <c r="O789" s="17">
        <f t="shared" ca="1" si="264"/>
        <v>7</v>
      </c>
      <c r="P789" s="18" t="str">
        <f t="shared" ca="1" si="265"/>
        <v>—</v>
      </c>
      <c r="Q789" s="17">
        <f t="shared" ca="1" si="266"/>
        <v>7</v>
      </c>
      <c r="R789" s="10" t="str">
        <f t="shared" ca="1" si="267"/>
        <v>—</v>
      </c>
      <c r="S789" s="17">
        <f t="shared" ca="1" si="268"/>
        <v>7</v>
      </c>
      <c r="T789" s="70" t="str">
        <f t="shared" ca="1" si="269"/>
        <v>—</v>
      </c>
      <c r="U789" s="17">
        <f t="shared" ca="1" si="270"/>
        <v>7</v>
      </c>
      <c r="V789" s="71" t="str">
        <f t="shared" ca="1" si="271"/>
        <v>—</v>
      </c>
      <c r="W789" s="17">
        <f t="shared" ca="1" si="272"/>
        <v>7</v>
      </c>
    </row>
    <row r="790" spans="1:23" x14ac:dyDescent="0.25">
      <c r="A790" s="4">
        <f t="shared" si="252"/>
        <v>32</v>
      </c>
      <c r="B790" t="str">
        <f ca="1">TEXT(DATE(YEAR(Invoer!$A$6),1,1)+INT((ROWS(B$2:B790)-1)/4),"jjjjmmdd")</f>
        <v>19400716</v>
      </c>
      <c r="C790" s="64" t="str">
        <f>IF(MOD(ROWS(C$2:C790)-1,4)=3,"24.00",INDEX(Data,3,2+MOD(ROWS(C$2:C790)-1,4)))</f>
        <v>07.00</v>
      </c>
      <c r="D790" s="18">
        <f t="shared" ca="1" si="253"/>
        <v>760.2</v>
      </c>
      <c r="E790" s="17">
        <f t="shared" ca="1" si="254"/>
        <v>0</v>
      </c>
      <c r="F790" s="18">
        <f t="shared" ca="1" si="255"/>
        <v>26.5</v>
      </c>
      <c r="G790" s="17">
        <f t="shared" ca="1" si="256"/>
        <v>0</v>
      </c>
      <c r="H790" s="18" t="str">
        <f t="shared" ca="1" si="257"/>
        <v>—</v>
      </c>
      <c r="I790" s="17">
        <f t="shared" ca="1" si="258"/>
        <v>7</v>
      </c>
      <c r="J790" s="18" t="str">
        <f t="shared" ca="1" si="259"/>
        <v>—</v>
      </c>
      <c r="K790" s="17">
        <f t="shared" ca="1" si="260"/>
        <v>7</v>
      </c>
      <c r="L790" s="10">
        <f t="shared" ca="1" si="261"/>
        <v>80</v>
      </c>
      <c r="M790" s="17">
        <f t="shared" ca="1" si="262"/>
        <v>0</v>
      </c>
      <c r="N790" s="18">
        <f t="shared" ca="1" si="263"/>
        <v>20.8</v>
      </c>
      <c r="O790" s="17">
        <f t="shared" ca="1" si="264"/>
        <v>0</v>
      </c>
      <c r="P790" s="18">
        <f t="shared" ca="1" si="265"/>
        <v>23.8</v>
      </c>
      <c r="Q790" s="17">
        <f t="shared" ca="1" si="266"/>
        <v>0</v>
      </c>
      <c r="R790" s="10">
        <f t="shared" ca="1" si="267"/>
        <v>65</v>
      </c>
      <c r="S790" s="17">
        <f t="shared" ca="1" si="268"/>
        <v>0</v>
      </c>
      <c r="T790" s="70">
        <f t="shared" ca="1" si="269"/>
        <v>0.5</v>
      </c>
      <c r="U790" s="17">
        <f t="shared" ca="1" si="270"/>
        <v>0</v>
      </c>
      <c r="V790" s="71">
        <f t="shared" ca="1" si="271"/>
        <v>3</v>
      </c>
      <c r="W790" s="17">
        <f t="shared" ca="1" si="272"/>
        <v>0</v>
      </c>
    </row>
    <row r="791" spans="1:23" x14ac:dyDescent="0.25">
      <c r="A791" s="4">
        <f t="shared" si="252"/>
        <v>32</v>
      </c>
      <c r="B791" t="str">
        <f ca="1">TEXT(DATE(YEAR(Invoer!$A$6),1,1)+INT((ROWS(B$2:B791)-1)/4),"jjjjmmdd")</f>
        <v>19400716</v>
      </c>
      <c r="C791" s="64" t="str">
        <f>IF(MOD(ROWS(C$2:C791)-1,4)=3,"24.00",INDEX(Data,3,2+MOD(ROWS(C$2:C791)-1,4)))</f>
        <v>12.00</v>
      </c>
      <c r="D791" s="18">
        <f t="shared" ca="1" si="253"/>
        <v>760.7</v>
      </c>
      <c r="E791" s="17">
        <f t="shared" ca="1" si="254"/>
        <v>0</v>
      </c>
      <c r="F791" s="18">
        <f t="shared" ca="1" si="255"/>
        <v>26.9</v>
      </c>
      <c r="G791" s="17">
        <f t="shared" ca="1" si="256"/>
        <v>0</v>
      </c>
      <c r="H791" s="18" t="str">
        <f t="shared" ca="1" si="257"/>
        <v>—</v>
      </c>
      <c r="I791" s="17">
        <f t="shared" ca="1" si="258"/>
        <v>7</v>
      </c>
      <c r="J791" s="18" t="str">
        <f t="shared" ca="1" si="259"/>
        <v>—</v>
      </c>
      <c r="K791" s="17">
        <f t="shared" ca="1" si="260"/>
        <v>7</v>
      </c>
      <c r="L791" s="10">
        <f t="shared" ca="1" si="261"/>
        <v>79</v>
      </c>
      <c r="M791" s="17">
        <f t="shared" ca="1" si="262"/>
        <v>0</v>
      </c>
      <c r="N791" s="18">
        <f t="shared" ca="1" si="263"/>
        <v>20.9</v>
      </c>
      <c r="O791" s="17">
        <f t="shared" ca="1" si="264"/>
        <v>0</v>
      </c>
      <c r="P791" s="18">
        <f t="shared" ca="1" si="265"/>
        <v>24</v>
      </c>
      <c r="Q791" s="17">
        <f t="shared" ca="1" si="266"/>
        <v>0</v>
      </c>
      <c r="R791" s="10">
        <f t="shared" ca="1" si="267"/>
        <v>65</v>
      </c>
      <c r="S791" s="17">
        <f t="shared" ca="1" si="268"/>
        <v>0</v>
      </c>
      <c r="T791" s="70">
        <f t="shared" ca="1" si="269"/>
        <v>0.6</v>
      </c>
      <c r="U791" s="17">
        <f t="shared" ca="1" si="270"/>
        <v>0</v>
      </c>
      <c r="V791" s="71">
        <f t="shared" ca="1" si="271"/>
        <v>3</v>
      </c>
      <c r="W791" s="17">
        <f t="shared" ca="1" si="272"/>
        <v>0</v>
      </c>
    </row>
    <row r="792" spans="1:23" x14ac:dyDescent="0.25">
      <c r="A792" s="4">
        <f t="shared" si="252"/>
        <v>32</v>
      </c>
      <c r="B792" t="str">
        <f ca="1">TEXT(DATE(YEAR(Invoer!$A$6),1,1)+INT((ROWS(B$2:B792)-1)/4),"jjjjmmdd")</f>
        <v>19400716</v>
      </c>
      <c r="C792" s="64" t="str">
        <f>IF(MOD(ROWS(C$2:C792)-1,4)=3,"24.00",INDEX(Data,3,2+MOD(ROWS(C$2:C792)-1,4)))</f>
        <v>17.00</v>
      </c>
      <c r="D792" s="18">
        <f t="shared" ca="1" si="253"/>
        <v>759.5</v>
      </c>
      <c r="E792" s="17">
        <f t="shared" ca="1" si="254"/>
        <v>0</v>
      </c>
      <c r="F792" s="18">
        <f t="shared" ca="1" si="255"/>
        <v>26.3</v>
      </c>
      <c r="G792" s="17">
        <f t="shared" ca="1" si="256"/>
        <v>0</v>
      </c>
      <c r="H792" s="18" t="str">
        <f t="shared" ca="1" si="257"/>
        <v>—</v>
      </c>
      <c r="I792" s="17">
        <f t="shared" ca="1" si="258"/>
        <v>7</v>
      </c>
      <c r="J792" s="18" t="str">
        <f t="shared" ca="1" si="259"/>
        <v>—</v>
      </c>
      <c r="K792" s="17">
        <f t="shared" ca="1" si="260"/>
        <v>7</v>
      </c>
      <c r="L792" s="10">
        <f t="shared" ca="1" si="261"/>
        <v>81</v>
      </c>
      <c r="M792" s="17">
        <f t="shared" ca="1" si="262"/>
        <v>0</v>
      </c>
      <c r="N792" s="18">
        <f t="shared" ca="1" si="263"/>
        <v>20.9</v>
      </c>
      <c r="O792" s="17">
        <f t="shared" ca="1" si="264"/>
        <v>0</v>
      </c>
      <c r="P792" s="18">
        <f t="shared" ca="1" si="265"/>
        <v>23.8</v>
      </c>
      <c r="Q792" s="17">
        <f t="shared" ca="1" si="266"/>
        <v>0</v>
      </c>
      <c r="R792" s="10">
        <f t="shared" ca="1" si="267"/>
        <v>65</v>
      </c>
      <c r="S792" s="17">
        <f t="shared" ca="1" si="268"/>
        <v>0</v>
      </c>
      <c r="T792" s="70">
        <f t="shared" ca="1" si="269"/>
        <v>0.6</v>
      </c>
      <c r="U792" s="17">
        <f t="shared" ca="1" si="270"/>
        <v>0</v>
      </c>
      <c r="V792" s="71">
        <f t="shared" ca="1" si="271"/>
        <v>3</v>
      </c>
      <c r="W792" s="17">
        <f t="shared" ca="1" si="272"/>
        <v>0</v>
      </c>
    </row>
    <row r="793" spans="1:23" x14ac:dyDescent="0.25">
      <c r="A793" s="4">
        <f t="shared" si="252"/>
        <v>32</v>
      </c>
      <c r="B793" t="str">
        <f ca="1">TEXT(DATE(YEAR(Invoer!$A$6),1,1)+INT((ROWS(B$2:B793)-1)/4),"jjjjmmdd")</f>
        <v>19400716</v>
      </c>
      <c r="C793" s="64" t="str">
        <f>IF(MOD(ROWS(C$2:C793)-1,4)=3,"24.00",INDEX(Data,3,2+MOD(ROWS(C$2:C793)-1,4)))</f>
        <v>24.00</v>
      </c>
      <c r="D793" s="18" t="str">
        <f t="shared" ca="1" si="253"/>
        <v>—</v>
      </c>
      <c r="E793" s="17">
        <f t="shared" ca="1" si="254"/>
        <v>7</v>
      </c>
      <c r="F793" s="18" t="str">
        <f t="shared" ca="1" si="255"/>
        <v>—</v>
      </c>
      <c r="G793" s="17">
        <f t="shared" ca="1" si="256"/>
        <v>7</v>
      </c>
      <c r="H793" s="18">
        <f t="shared" ca="1" si="257"/>
        <v>28</v>
      </c>
      <c r="I793" s="17">
        <f t="shared" ca="1" si="258"/>
        <v>0</v>
      </c>
      <c r="J793" s="18">
        <f t="shared" ca="1" si="259"/>
        <v>29.8</v>
      </c>
      <c r="K793" s="17">
        <f t="shared" ca="1" si="260"/>
        <v>0</v>
      </c>
      <c r="L793" s="10" t="str">
        <f t="shared" ca="1" si="261"/>
        <v>—</v>
      </c>
      <c r="M793" s="17">
        <f t="shared" ca="1" si="262"/>
        <v>7</v>
      </c>
      <c r="N793" s="18" t="str">
        <f t="shared" ca="1" si="263"/>
        <v>—</v>
      </c>
      <c r="O793" s="17">
        <f t="shared" ca="1" si="264"/>
        <v>7</v>
      </c>
      <c r="P793" s="18" t="str">
        <f t="shared" ca="1" si="265"/>
        <v>—</v>
      </c>
      <c r="Q793" s="17">
        <f t="shared" ca="1" si="266"/>
        <v>7</v>
      </c>
      <c r="R793" s="10" t="str">
        <f t="shared" ca="1" si="267"/>
        <v>—</v>
      </c>
      <c r="S793" s="17">
        <f t="shared" ca="1" si="268"/>
        <v>7</v>
      </c>
      <c r="T793" s="70" t="str">
        <f t="shared" ca="1" si="269"/>
        <v>—</v>
      </c>
      <c r="U793" s="17">
        <f t="shared" ca="1" si="270"/>
        <v>7</v>
      </c>
      <c r="V793" s="71" t="str">
        <f t="shared" ca="1" si="271"/>
        <v>—</v>
      </c>
      <c r="W793" s="17">
        <f t="shared" ca="1" si="272"/>
        <v>7</v>
      </c>
    </row>
    <row r="794" spans="1:23" x14ac:dyDescent="0.25">
      <c r="A794" s="4">
        <f t="shared" si="252"/>
        <v>32</v>
      </c>
      <c r="B794" t="str">
        <f ca="1">TEXT(DATE(YEAR(Invoer!$A$6),1,1)+INT((ROWS(B$2:B794)-1)/4),"jjjjmmdd")</f>
        <v>19400717</v>
      </c>
      <c r="C794" s="64" t="str">
        <f>IF(MOD(ROWS(C$2:C794)-1,4)=3,"24.00",INDEX(Data,3,2+MOD(ROWS(C$2:C794)-1,4)))</f>
        <v>07.00</v>
      </c>
      <c r="D794" s="18">
        <f t="shared" ca="1" si="253"/>
        <v>761</v>
      </c>
      <c r="E794" s="17">
        <f t="shared" ca="1" si="254"/>
        <v>0</v>
      </c>
      <c r="F794" s="18">
        <f t="shared" ca="1" si="255"/>
        <v>28.1</v>
      </c>
      <c r="G794" s="17">
        <f t="shared" ca="1" si="256"/>
        <v>0</v>
      </c>
      <c r="H794" s="18" t="str">
        <f t="shared" ca="1" si="257"/>
        <v>—</v>
      </c>
      <c r="I794" s="17">
        <f t="shared" ca="1" si="258"/>
        <v>7</v>
      </c>
      <c r="J794" s="18" t="str">
        <f t="shared" ca="1" si="259"/>
        <v>—</v>
      </c>
      <c r="K794" s="17">
        <f t="shared" ca="1" si="260"/>
        <v>7</v>
      </c>
      <c r="L794" s="10">
        <f t="shared" ca="1" si="261"/>
        <v>74</v>
      </c>
      <c r="M794" s="17">
        <f t="shared" ca="1" si="262"/>
        <v>0</v>
      </c>
      <c r="N794" s="18">
        <f t="shared" ca="1" si="263"/>
        <v>21.1</v>
      </c>
      <c r="O794" s="17">
        <f t="shared" ca="1" si="264"/>
        <v>0</v>
      </c>
      <c r="P794" s="18">
        <f t="shared" ca="1" si="265"/>
        <v>24.4</v>
      </c>
      <c r="Q794" s="17">
        <f t="shared" ca="1" si="266"/>
        <v>0</v>
      </c>
      <c r="R794" s="10">
        <f t="shared" ca="1" si="267"/>
        <v>65</v>
      </c>
      <c r="S794" s="17">
        <f t="shared" ca="1" si="268"/>
        <v>0</v>
      </c>
      <c r="T794" s="70">
        <f t="shared" ca="1" si="269"/>
        <v>0.4</v>
      </c>
      <c r="U794" s="17">
        <f t="shared" ca="1" si="270"/>
        <v>0</v>
      </c>
      <c r="V794" s="71">
        <f t="shared" ca="1" si="271"/>
        <v>4</v>
      </c>
      <c r="W794" s="17">
        <f t="shared" ca="1" si="272"/>
        <v>0</v>
      </c>
    </row>
    <row r="795" spans="1:23" x14ac:dyDescent="0.25">
      <c r="A795" s="4">
        <f t="shared" si="252"/>
        <v>32</v>
      </c>
      <c r="B795" t="str">
        <f ca="1">TEXT(DATE(YEAR(Invoer!$A$6),1,1)+INT((ROWS(B$2:B795)-1)/4),"jjjjmmdd")</f>
        <v>19400717</v>
      </c>
      <c r="C795" s="64" t="str">
        <f>IF(MOD(ROWS(C$2:C795)-1,4)=3,"24.00",INDEX(Data,3,2+MOD(ROWS(C$2:C795)-1,4)))</f>
        <v>12.00</v>
      </c>
      <c r="D795" s="18">
        <f t="shared" ca="1" si="253"/>
        <v>759.7</v>
      </c>
      <c r="E795" s="17">
        <f t="shared" ca="1" si="254"/>
        <v>0</v>
      </c>
      <c r="F795" s="18">
        <f t="shared" ca="1" si="255"/>
        <v>28.5</v>
      </c>
      <c r="G795" s="17">
        <f t="shared" ca="1" si="256"/>
        <v>0</v>
      </c>
      <c r="H795" s="18" t="str">
        <f t="shared" ca="1" si="257"/>
        <v>—</v>
      </c>
      <c r="I795" s="17">
        <f t="shared" ca="1" si="258"/>
        <v>7</v>
      </c>
      <c r="J795" s="18" t="str">
        <f t="shared" ca="1" si="259"/>
        <v>—</v>
      </c>
      <c r="K795" s="17">
        <f t="shared" ca="1" si="260"/>
        <v>7</v>
      </c>
      <c r="L795" s="10">
        <f t="shared" ca="1" si="261"/>
        <v>73</v>
      </c>
      <c r="M795" s="17">
        <f t="shared" ca="1" si="262"/>
        <v>0</v>
      </c>
      <c r="N795" s="18">
        <f t="shared" ca="1" si="263"/>
        <v>21.3</v>
      </c>
      <c r="O795" s="17">
        <f t="shared" ca="1" si="264"/>
        <v>0</v>
      </c>
      <c r="P795" s="18">
        <f t="shared" ca="1" si="265"/>
        <v>24.6</v>
      </c>
      <c r="Q795" s="17">
        <f t="shared" ca="1" si="266"/>
        <v>0</v>
      </c>
      <c r="R795" s="10">
        <f t="shared" ca="1" si="267"/>
        <v>65</v>
      </c>
      <c r="S795" s="17">
        <f t="shared" ca="1" si="268"/>
        <v>0</v>
      </c>
      <c r="T795" s="70">
        <f t="shared" ca="1" si="269"/>
        <v>0.5</v>
      </c>
      <c r="U795" s="17">
        <f t="shared" ca="1" si="270"/>
        <v>0</v>
      </c>
      <c r="V795" s="71">
        <f t="shared" ca="1" si="271"/>
        <v>4</v>
      </c>
      <c r="W795" s="17">
        <f t="shared" ca="1" si="272"/>
        <v>0</v>
      </c>
    </row>
    <row r="796" spans="1:23" x14ac:dyDescent="0.25">
      <c r="A796" s="4">
        <f t="shared" si="252"/>
        <v>32</v>
      </c>
      <c r="B796" t="str">
        <f ca="1">TEXT(DATE(YEAR(Invoer!$A$6),1,1)+INT((ROWS(B$2:B796)-1)/4),"jjjjmmdd")</f>
        <v>19400717</v>
      </c>
      <c r="C796" s="64" t="str">
        <f>IF(MOD(ROWS(C$2:C796)-1,4)=3,"24.00",INDEX(Data,3,2+MOD(ROWS(C$2:C796)-1,4)))</f>
        <v>17.00</v>
      </c>
      <c r="D796" s="18">
        <f t="shared" ca="1" si="253"/>
        <v>758.9</v>
      </c>
      <c r="E796" s="17">
        <f t="shared" ca="1" si="254"/>
        <v>0</v>
      </c>
      <c r="F796" s="18">
        <f t="shared" ca="1" si="255"/>
        <v>27.9</v>
      </c>
      <c r="G796" s="17">
        <f t="shared" ca="1" si="256"/>
        <v>0</v>
      </c>
      <c r="H796" s="18" t="str">
        <f t="shared" ca="1" si="257"/>
        <v>—</v>
      </c>
      <c r="I796" s="17">
        <f t="shared" ca="1" si="258"/>
        <v>7</v>
      </c>
      <c r="J796" s="18" t="str">
        <f t="shared" ca="1" si="259"/>
        <v>—</v>
      </c>
      <c r="K796" s="17">
        <f t="shared" ca="1" si="260"/>
        <v>7</v>
      </c>
      <c r="L796" s="10">
        <f t="shared" ca="1" si="261"/>
        <v>71</v>
      </c>
      <c r="M796" s="17">
        <f t="shared" ca="1" si="262"/>
        <v>0</v>
      </c>
      <c r="N796" s="18">
        <f t="shared" ca="1" si="263"/>
        <v>20.100000000000001</v>
      </c>
      <c r="O796" s="17">
        <f t="shared" ca="1" si="264"/>
        <v>0</v>
      </c>
      <c r="P796" s="18">
        <f t="shared" ca="1" si="265"/>
        <v>23.8</v>
      </c>
      <c r="Q796" s="17">
        <f t="shared" ca="1" si="266"/>
        <v>0</v>
      </c>
      <c r="R796" s="10">
        <f t="shared" ca="1" si="267"/>
        <v>65</v>
      </c>
      <c r="S796" s="17">
        <f t="shared" ca="1" si="268"/>
        <v>0</v>
      </c>
      <c r="T796" s="70">
        <f t="shared" ca="1" si="269"/>
        <v>0.5</v>
      </c>
      <c r="U796" s="17">
        <f t="shared" ca="1" si="270"/>
        <v>0</v>
      </c>
      <c r="V796" s="71">
        <f t="shared" ca="1" si="271"/>
        <v>3</v>
      </c>
      <c r="W796" s="17">
        <f t="shared" ca="1" si="272"/>
        <v>0</v>
      </c>
    </row>
    <row r="797" spans="1:23" x14ac:dyDescent="0.25">
      <c r="A797" s="4">
        <f t="shared" si="252"/>
        <v>32</v>
      </c>
      <c r="B797" t="str">
        <f ca="1">TEXT(DATE(YEAR(Invoer!$A$6),1,1)+INT((ROWS(B$2:B797)-1)/4),"jjjjmmdd")</f>
        <v>19400717</v>
      </c>
      <c r="C797" s="64" t="str">
        <f>IF(MOD(ROWS(C$2:C797)-1,4)=3,"24.00",INDEX(Data,3,2+MOD(ROWS(C$2:C797)-1,4)))</f>
        <v>24.00</v>
      </c>
      <c r="D797" s="18" t="str">
        <f t="shared" ca="1" si="253"/>
        <v>—</v>
      </c>
      <c r="E797" s="17">
        <f t="shared" ca="1" si="254"/>
        <v>7</v>
      </c>
      <c r="F797" s="18" t="str">
        <f t="shared" ca="1" si="255"/>
        <v>—</v>
      </c>
      <c r="G797" s="17">
        <f t="shared" ca="1" si="256"/>
        <v>7</v>
      </c>
      <c r="H797" s="18">
        <f t="shared" ca="1" si="257"/>
        <v>28.3</v>
      </c>
      <c r="I797" s="17">
        <f t="shared" ca="1" si="258"/>
        <v>0</v>
      </c>
      <c r="J797" s="18">
        <f t="shared" ca="1" si="259"/>
        <v>30.5</v>
      </c>
      <c r="K797" s="17">
        <f t="shared" ca="1" si="260"/>
        <v>0</v>
      </c>
      <c r="L797" s="10" t="str">
        <f t="shared" ca="1" si="261"/>
        <v>—</v>
      </c>
      <c r="M797" s="17">
        <f t="shared" ca="1" si="262"/>
        <v>7</v>
      </c>
      <c r="N797" s="18" t="str">
        <f t="shared" ca="1" si="263"/>
        <v>—</v>
      </c>
      <c r="O797" s="17">
        <f t="shared" ca="1" si="264"/>
        <v>7</v>
      </c>
      <c r="P797" s="18" t="str">
        <f t="shared" ca="1" si="265"/>
        <v>—</v>
      </c>
      <c r="Q797" s="17">
        <f t="shared" ca="1" si="266"/>
        <v>7</v>
      </c>
      <c r="R797" s="10" t="str">
        <f t="shared" ca="1" si="267"/>
        <v>—</v>
      </c>
      <c r="S797" s="17">
        <f t="shared" ca="1" si="268"/>
        <v>7</v>
      </c>
      <c r="T797" s="70" t="str">
        <f t="shared" ca="1" si="269"/>
        <v>—</v>
      </c>
      <c r="U797" s="17">
        <f t="shared" ca="1" si="270"/>
        <v>7</v>
      </c>
      <c r="V797" s="71" t="str">
        <f t="shared" ca="1" si="271"/>
        <v>—</v>
      </c>
      <c r="W797" s="17">
        <f t="shared" ca="1" si="272"/>
        <v>7</v>
      </c>
    </row>
    <row r="798" spans="1:23" x14ac:dyDescent="0.25">
      <c r="A798" s="4">
        <f t="shared" si="252"/>
        <v>32</v>
      </c>
      <c r="B798" t="str">
        <f ca="1">TEXT(DATE(YEAR(Invoer!$A$6),1,1)+INT((ROWS(B$2:B798)-1)/4),"jjjjmmdd")</f>
        <v>19400718</v>
      </c>
      <c r="C798" s="64" t="str">
        <f>IF(MOD(ROWS(C$2:C798)-1,4)=3,"24.00",INDEX(Data,3,2+MOD(ROWS(C$2:C798)-1,4)))</f>
        <v>07.00</v>
      </c>
      <c r="D798" s="18">
        <f t="shared" ca="1" si="253"/>
        <v>760.7</v>
      </c>
      <c r="E798" s="17">
        <f t="shared" ca="1" si="254"/>
        <v>0</v>
      </c>
      <c r="F798" s="18">
        <f t="shared" ca="1" si="255"/>
        <v>26.5</v>
      </c>
      <c r="G798" s="17">
        <f t="shared" ca="1" si="256"/>
        <v>0</v>
      </c>
      <c r="H798" s="18" t="str">
        <f t="shared" ca="1" si="257"/>
        <v>—</v>
      </c>
      <c r="I798" s="17">
        <f t="shared" ca="1" si="258"/>
        <v>7</v>
      </c>
      <c r="J798" s="18" t="str">
        <f t="shared" ca="1" si="259"/>
        <v>—</v>
      </c>
      <c r="K798" s="17">
        <f t="shared" ca="1" si="260"/>
        <v>7</v>
      </c>
      <c r="L798" s="10">
        <f t="shared" ca="1" si="261"/>
        <v>77</v>
      </c>
      <c r="M798" s="17">
        <f t="shared" ca="1" si="262"/>
        <v>0</v>
      </c>
      <c r="N798" s="18">
        <f t="shared" ca="1" si="263"/>
        <v>20</v>
      </c>
      <c r="O798" s="17">
        <f t="shared" ca="1" si="264"/>
        <v>0</v>
      </c>
      <c r="P798" s="18">
        <f t="shared" ca="1" si="265"/>
        <v>23.4</v>
      </c>
      <c r="Q798" s="17">
        <f t="shared" ca="1" si="266"/>
        <v>0</v>
      </c>
      <c r="R798" s="10">
        <f t="shared" ca="1" si="267"/>
        <v>65</v>
      </c>
      <c r="S798" s="17">
        <f t="shared" ca="1" si="268"/>
        <v>0</v>
      </c>
      <c r="T798" s="70">
        <f t="shared" ca="1" si="269"/>
        <v>0.4</v>
      </c>
      <c r="U798" s="17">
        <f t="shared" ca="1" si="270"/>
        <v>0</v>
      </c>
      <c r="V798" s="71">
        <f t="shared" ca="1" si="271"/>
        <v>3</v>
      </c>
      <c r="W798" s="17">
        <f t="shared" ca="1" si="272"/>
        <v>0</v>
      </c>
    </row>
    <row r="799" spans="1:23" x14ac:dyDescent="0.25">
      <c r="A799" s="4">
        <f t="shared" si="252"/>
        <v>32</v>
      </c>
      <c r="B799" t="str">
        <f ca="1">TEXT(DATE(YEAR(Invoer!$A$6),1,1)+INT((ROWS(B$2:B799)-1)/4),"jjjjmmdd")</f>
        <v>19400718</v>
      </c>
      <c r="C799" s="64" t="str">
        <f>IF(MOD(ROWS(C$2:C799)-1,4)=3,"24.00",INDEX(Data,3,2+MOD(ROWS(C$2:C799)-1,4)))</f>
        <v>12.00</v>
      </c>
      <c r="D799" s="18">
        <f t="shared" ca="1" si="253"/>
        <v>760.7</v>
      </c>
      <c r="E799" s="17">
        <f t="shared" ca="1" si="254"/>
        <v>0</v>
      </c>
      <c r="F799" s="18">
        <f t="shared" ca="1" si="255"/>
        <v>28.3</v>
      </c>
      <c r="G799" s="17">
        <f t="shared" ca="1" si="256"/>
        <v>0</v>
      </c>
      <c r="H799" s="18" t="str">
        <f t="shared" ca="1" si="257"/>
        <v>—</v>
      </c>
      <c r="I799" s="17">
        <f t="shared" ca="1" si="258"/>
        <v>7</v>
      </c>
      <c r="J799" s="18" t="str">
        <f t="shared" ca="1" si="259"/>
        <v>—</v>
      </c>
      <c r="K799" s="17">
        <f t="shared" ca="1" si="260"/>
        <v>7</v>
      </c>
      <c r="L799" s="10">
        <f t="shared" ca="1" si="261"/>
        <v>70</v>
      </c>
      <c r="M799" s="17">
        <f t="shared" ca="1" si="262"/>
        <v>0</v>
      </c>
      <c r="N799" s="18">
        <f t="shared" ca="1" si="263"/>
        <v>20.2</v>
      </c>
      <c r="O799" s="17">
        <f t="shared" ca="1" si="264"/>
        <v>0</v>
      </c>
      <c r="P799" s="18">
        <f t="shared" ca="1" si="265"/>
        <v>24</v>
      </c>
      <c r="Q799" s="17">
        <f t="shared" ca="1" si="266"/>
        <v>0</v>
      </c>
      <c r="R799" s="10">
        <f t="shared" ca="1" si="267"/>
        <v>65</v>
      </c>
      <c r="S799" s="17">
        <f t="shared" ca="1" si="268"/>
        <v>0</v>
      </c>
      <c r="T799" s="70">
        <f t="shared" ca="1" si="269"/>
        <v>0.5</v>
      </c>
      <c r="U799" s="17">
        <f t="shared" ca="1" si="270"/>
        <v>0</v>
      </c>
      <c r="V799" s="71">
        <f t="shared" ca="1" si="271"/>
        <v>2</v>
      </c>
      <c r="W799" s="17">
        <f t="shared" ca="1" si="272"/>
        <v>0</v>
      </c>
    </row>
    <row r="800" spans="1:23" x14ac:dyDescent="0.25">
      <c r="A800" s="4">
        <f t="shared" si="252"/>
        <v>32</v>
      </c>
      <c r="B800" t="str">
        <f ca="1">TEXT(DATE(YEAR(Invoer!$A$6),1,1)+INT((ROWS(B$2:B800)-1)/4),"jjjjmmdd")</f>
        <v>19400718</v>
      </c>
      <c r="C800" s="64" t="str">
        <f>IF(MOD(ROWS(C$2:C800)-1,4)=3,"24.00",INDEX(Data,3,2+MOD(ROWS(C$2:C800)-1,4)))</f>
        <v>17.00</v>
      </c>
      <c r="D800" s="18">
        <f t="shared" ca="1" si="253"/>
        <v>758.9</v>
      </c>
      <c r="E800" s="17">
        <f t="shared" ca="1" si="254"/>
        <v>0</v>
      </c>
      <c r="F800" s="18">
        <f t="shared" ca="1" si="255"/>
        <v>27.9</v>
      </c>
      <c r="G800" s="17">
        <f t="shared" ca="1" si="256"/>
        <v>0</v>
      </c>
      <c r="H800" s="18" t="str">
        <f t="shared" ca="1" si="257"/>
        <v>—</v>
      </c>
      <c r="I800" s="17">
        <f t="shared" ca="1" si="258"/>
        <v>7</v>
      </c>
      <c r="J800" s="18" t="str">
        <f t="shared" ca="1" si="259"/>
        <v>—</v>
      </c>
      <c r="K800" s="17">
        <f t="shared" ca="1" si="260"/>
        <v>7</v>
      </c>
      <c r="L800" s="10">
        <f t="shared" ca="1" si="261"/>
        <v>71</v>
      </c>
      <c r="M800" s="17">
        <f t="shared" ca="1" si="262"/>
        <v>0</v>
      </c>
      <c r="N800" s="18">
        <f t="shared" ca="1" si="263"/>
        <v>20.100000000000001</v>
      </c>
      <c r="O800" s="17">
        <f t="shared" ca="1" si="264"/>
        <v>0</v>
      </c>
      <c r="P800" s="18">
        <f t="shared" ca="1" si="265"/>
        <v>23.8</v>
      </c>
      <c r="Q800" s="17">
        <f t="shared" ca="1" si="266"/>
        <v>0</v>
      </c>
      <c r="R800" s="10">
        <f t="shared" ca="1" si="267"/>
        <v>45</v>
      </c>
      <c r="S800" s="17">
        <f t="shared" ca="1" si="268"/>
        <v>0</v>
      </c>
      <c r="T800" s="70">
        <f t="shared" ca="1" si="269"/>
        <v>0.5</v>
      </c>
      <c r="U800" s="17">
        <f t="shared" ca="1" si="270"/>
        <v>0</v>
      </c>
      <c r="V800" s="71">
        <f t="shared" ca="1" si="271"/>
        <v>4</v>
      </c>
      <c r="W800" s="17">
        <f t="shared" ca="1" si="272"/>
        <v>0</v>
      </c>
    </row>
    <row r="801" spans="1:23" x14ac:dyDescent="0.25">
      <c r="A801" s="4">
        <f t="shared" si="252"/>
        <v>32</v>
      </c>
      <c r="B801" t="str">
        <f ca="1">TEXT(DATE(YEAR(Invoer!$A$6),1,1)+INT((ROWS(B$2:B801)-1)/4),"jjjjmmdd")</f>
        <v>19400718</v>
      </c>
      <c r="C801" s="64" t="str">
        <f>IF(MOD(ROWS(C$2:C801)-1,4)=3,"24.00",INDEX(Data,3,2+MOD(ROWS(C$2:C801)-1,4)))</f>
        <v>24.00</v>
      </c>
      <c r="D801" s="18" t="str">
        <f t="shared" ca="1" si="253"/>
        <v>—</v>
      </c>
      <c r="E801" s="17">
        <f t="shared" ca="1" si="254"/>
        <v>7</v>
      </c>
      <c r="F801" s="18" t="str">
        <f t="shared" ca="1" si="255"/>
        <v>—</v>
      </c>
      <c r="G801" s="17">
        <f t="shared" ca="1" si="256"/>
        <v>7</v>
      </c>
      <c r="H801" s="18">
        <f t="shared" ca="1" si="257"/>
        <v>28.4</v>
      </c>
      <c r="I801" s="17">
        <f t="shared" ca="1" si="258"/>
        <v>0</v>
      </c>
      <c r="J801" s="18">
        <f t="shared" ca="1" si="259"/>
        <v>30</v>
      </c>
      <c r="K801" s="17">
        <f t="shared" ca="1" si="260"/>
        <v>0</v>
      </c>
      <c r="L801" s="10" t="str">
        <f t="shared" ca="1" si="261"/>
        <v>—</v>
      </c>
      <c r="M801" s="17">
        <f t="shared" ca="1" si="262"/>
        <v>7</v>
      </c>
      <c r="N801" s="18" t="str">
        <f t="shared" ca="1" si="263"/>
        <v>—</v>
      </c>
      <c r="O801" s="17">
        <f t="shared" ca="1" si="264"/>
        <v>7</v>
      </c>
      <c r="P801" s="18" t="str">
        <f t="shared" ca="1" si="265"/>
        <v>—</v>
      </c>
      <c r="Q801" s="17">
        <f t="shared" ca="1" si="266"/>
        <v>7</v>
      </c>
      <c r="R801" s="10" t="str">
        <f t="shared" ca="1" si="267"/>
        <v>—</v>
      </c>
      <c r="S801" s="17">
        <f t="shared" ca="1" si="268"/>
        <v>7</v>
      </c>
      <c r="T801" s="70" t="str">
        <f t="shared" ca="1" si="269"/>
        <v>—</v>
      </c>
      <c r="U801" s="17">
        <f t="shared" ca="1" si="270"/>
        <v>7</v>
      </c>
      <c r="V801" s="71" t="str">
        <f t="shared" ca="1" si="271"/>
        <v>—</v>
      </c>
      <c r="W801" s="17">
        <f t="shared" ca="1" si="272"/>
        <v>7</v>
      </c>
    </row>
    <row r="802" spans="1:23" x14ac:dyDescent="0.25">
      <c r="A802" s="4">
        <f t="shared" si="252"/>
        <v>32</v>
      </c>
      <c r="B802" t="str">
        <f ca="1">TEXT(DATE(YEAR(Invoer!$A$6),1,1)+INT((ROWS(B$2:B802)-1)/4),"jjjjmmdd")</f>
        <v>19400719</v>
      </c>
      <c r="C802" s="64" t="str">
        <f>IF(MOD(ROWS(C$2:C802)-1,4)=3,"24.00",INDEX(Data,3,2+MOD(ROWS(C$2:C802)-1,4)))</f>
        <v>07.00</v>
      </c>
      <c r="D802" s="18">
        <f t="shared" ca="1" si="253"/>
        <v>759.7</v>
      </c>
      <c r="E802" s="17">
        <f t="shared" ca="1" si="254"/>
        <v>0</v>
      </c>
      <c r="F802" s="18">
        <f t="shared" ca="1" si="255"/>
        <v>27.1</v>
      </c>
      <c r="G802" s="17">
        <f t="shared" ca="1" si="256"/>
        <v>0</v>
      </c>
      <c r="H802" s="18" t="str">
        <f t="shared" ca="1" si="257"/>
        <v>—</v>
      </c>
      <c r="I802" s="17">
        <f t="shared" ca="1" si="258"/>
        <v>7</v>
      </c>
      <c r="J802" s="18" t="str">
        <f t="shared" ca="1" si="259"/>
        <v>—</v>
      </c>
      <c r="K802" s="17">
        <f t="shared" ca="1" si="260"/>
        <v>7</v>
      </c>
      <c r="L802" s="10">
        <f t="shared" ca="1" si="261"/>
        <v>72</v>
      </c>
      <c r="M802" s="17">
        <f t="shared" ca="1" si="262"/>
        <v>0</v>
      </c>
      <c r="N802" s="18">
        <f t="shared" ca="1" si="263"/>
        <v>19.399999999999999</v>
      </c>
      <c r="O802" s="17">
        <f t="shared" ca="1" si="264"/>
        <v>0</v>
      </c>
      <c r="P802" s="18">
        <f t="shared" ca="1" si="265"/>
        <v>23.2</v>
      </c>
      <c r="Q802" s="17">
        <f t="shared" ca="1" si="266"/>
        <v>0</v>
      </c>
      <c r="R802" s="10">
        <f t="shared" ca="1" si="267"/>
        <v>65</v>
      </c>
      <c r="S802" s="17">
        <f t="shared" ca="1" si="268"/>
        <v>0</v>
      </c>
      <c r="T802" s="70">
        <f t="shared" ca="1" si="269"/>
        <v>0.4</v>
      </c>
      <c r="U802" s="17">
        <f t="shared" ca="1" si="270"/>
        <v>0</v>
      </c>
      <c r="V802" s="71">
        <f t="shared" ca="1" si="271"/>
        <v>5</v>
      </c>
      <c r="W802" s="17">
        <f t="shared" ca="1" si="272"/>
        <v>0</v>
      </c>
    </row>
    <row r="803" spans="1:23" x14ac:dyDescent="0.25">
      <c r="A803" s="4">
        <f t="shared" si="252"/>
        <v>32</v>
      </c>
      <c r="B803" t="str">
        <f ca="1">TEXT(DATE(YEAR(Invoer!$A$6),1,1)+INT((ROWS(B$2:B803)-1)/4),"jjjjmmdd")</f>
        <v>19400719</v>
      </c>
      <c r="C803" s="64" t="str">
        <f>IF(MOD(ROWS(C$2:C803)-1,4)=3,"24.00",INDEX(Data,3,2+MOD(ROWS(C$2:C803)-1,4)))</f>
        <v>12.00</v>
      </c>
      <c r="D803" s="18">
        <f t="shared" ca="1" si="253"/>
        <v>760.2</v>
      </c>
      <c r="E803" s="17">
        <f t="shared" ca="1" si="254"/>
        <v>0</v>
      </c>
      <c r="F803" s="18">
        <f t="shared" ca="1" si="255"/>
        <v>28.1</v>
      </c>
      <c r="G803" s="17">
        <f t="shared" ca="1" si="256"/>
        <v>0</v>
      </c>
      <c r="H803" s="18" t="str">
        <f t="shared" ca="1" si="257"/>
        <v>—</v>
      </c>
      <c r="I803" s="17">
        <f t="shared" ca="1" si="258"/>
        <v>7</v>
      </c>
      <c r="J803" s="18" t="str">
        <f t="shared" ca="1" si="259"/>
        <v>—</v>
      </c>
      <c r="K803" s="17">
        <f t="shared" ca="1" si="260"/>
        <v>7</v>
      </c>
      <c r="L803" s="10">
        <f t="shared" ca="1" si="261"/>
        <v>70</v>
      </c>
      <c r="M803" s="17">
        <f t="shared" ca="1" si="262"/>
        <v>0</v>
      </c>
      <c r="N803" s="18">
        <f t="shared" ca="1" si="263"/>
        <v>20</v>
      </c>
      <c r="O803" s="17">
        <f t="shared" ca="1" si="264"/>
        <v>0</v>
      </c>
      <c r="P803" s="18">
        <f t="shared" ca="1" si="265"/>
        <v>23.8</v>
      </c>
      <c r="Q803" s="17">
        <f t="shared" ca="1" si="266"/>
        <v>0</v>
      </c>
      <c r="R803" s="10">
        <f t="shared" ca="1" si="267"/>
        <v>65</v>
      </c>
      <c r="S803" s="17">
        <f t="shared" ca="1" si="268"/>
        <v>0</v>
      </c>
      <c r="T803" s="70">
        <f t="shared" ca="1" si="269"/>
        <v>0.4</v>
      </c>
      <c r="U803" s="17">
        <f t="shared" ca="1" si="270"/>
        <v>0</v>
      </c>
      <c r="V803" s="71">
        <f t="shared" ca="1" si="271"/>
        <v>6</v>
      </c>
      <c r="W803" s="17">
        <f t="shared" ca="1" si="272"/>
        <v>0</v>
      </c>
    </row>
    <row r="804" spans="1:23" x14ac:dyDescent="0.25">
      <c r="A804" s="4">
        <f t="shared" si="252"/>
        <v>32</v>
      </c>
      <c r="B804" t="str">
        <f ca="1">TEXT(DATE(YEAR(Invoer!$A$6),1,1)+INT((ROWS(B$2:B804)-1)/4),"jjjjmmdd")</f>
        <v>19400719</v>
      </c>
      <c r="C804" s="64" t="str">
        <f>IF(MOD(ROWS(C$2:C804)-1,4)=3,"24.00",INDEX(Data,3,2+MOD(ROWS(C$2:C804)-1,4)))</f>
        <v>17.00</v>
      </c>
      <c r="D804" s="18">
        <f t="shared" ca="1" si="253"/>
        <v>759.2</v>
      </c>
      <c r="E804" s="17">
        <f t="shared" ca="1" si="254"/>
        <v>0</v>
      </c>
      <c r="F804" s="18">
        <f t="shared" ca="1" si="255"/>
        <v>27.1</v>
      </c>
      <c r="G804" s="17">
        <f t="shared" ca="1" si="256"/>
        <v>0</v>
      </c>
      <c r="H804" s="18" t="str">
        <f t="shared" ca="1" si="257"/>
        <v>—</v>
      </c>
      <c r="I804" s="17">
        <f t="shared" ca="1" si="258"/>
        <v>7</v>
      </c>
      <c r="J804" s="18" t="str">
        <f t="shared" ca="1" si="259"/>
        <v>—</v>
      </c>
      <c r="K804" s="17">
        <f t="shared" ca="1" si="260"/>
        <v>7</v>
      </c>
      <c r="L804" s="10">
        <f t="shared" ca="1" si="261"/>
        <v>75</v>
      </c>
      <c r="M804" s="17">
        <f t="shared" ca="1" si="262"/>
        <v>0</v>
      </c>
      <c r="N804" s="18">
        <f t="shared" ca="1" si="263"/>
        <v>20.100000000000001</v>
      </c>
      <c r="O804" s="17">
        <f t="shared" ca="1" si="264"/>
        <v>0</v>
      </c>
      <c r="P804" s="18">
        <f t="shared" ca="1" si="265"/>
        <v>23.6</v>
      </c>
      <c r="Q804" s="17">
        <f t="shared" ca="1" si="266"/>
        <v>0</v>
      </c>
      <c r="R804" s="10">
        <f t="shared" ca="1" si="267"/>
        <v>90</v>
      </c>
      <c r="S804" s="17">
        <f t="shared" ca="1" si="268"/>
        <v>0</v>
      </c>
      <c r="T804" s="70">
        <f t="shared" ca="1" si="269"/>
        <v>0.4</v>
      </c>
      <c r="U804" s="17">
        <f t="shared" ca="1" si="270"/>
        <v>0</v>
      </c>
      <c r="V804" s="71">
        <f t="shared" ca="1" si="271"/>
        <v>5</v>
      </c>
      <c r="W804" s="17">
        <f t="shared" ca="1" si="272"/>
        <v>0</v>
      </c>
    </row>
    <row r="805" spans="1:23" x14ac:dyDescent="0.25">
      <c r="A805" s="4">
        <f t="shared" si="252"/>
        <v>32</v>
      </c>
      <c r="B805" t="str">
        <f ca="1">TEXT(DATE(YEAR(Invoer!$A$6),1,1)+INT((ROWS(B$2:B805)-1)/4),"jjjjmmdd")</f>
        <v>19400719</v>
      </c>
      <c r="C805" s="64" t="str">
        <f>IF(MOD(ROWS(C$2:C805)-1,4)=3,"24.00",INDEX(Data,3,2+MOD(ROWS(C$2:C805)-1,4)))</f>
        <v>24.00</v>
      </c>
      <c r="D805" s="18" t="str">
        <f t="shared" ca="1" si="253"/>
        <v>—</v>
      </c>
      <c r="E805" s="17">
        <f t="shared" ca="1" si="254"/>
        <v>7</v>
      </c>
      <c r="F805" s="18" t="str">
        <f t="shared" ca="1" si="255"/>
        <v>—</v>
      </c>
      <c r="G805" s="17">
        <f t="shared" ca="1" si="256"/>
        <v>7</v>
      </c>
      <c r="H805" s="18">
        <f t="shared" ca="1" si="257"/>
        <v>28</v>
      </c>
      <c r="I805" s="17">
        <f t="shared" ca="1" si="258"/>
        <v>0</v>
      </c>
      <c r="J805" s="18">
        <f t="shared" ca="1" si="259"/>
        <v>29.4</v>
      </c>
      <c r="K805" s="17">
        <f t="shared" ca="1" si="260"/>
        <v>0</v>
      </c>
      <c r="L805" s="10" t="str">
        <f t="shared" ca="1" si="261"/>
        <v>—</v>
      </c>
      <c r="M805" s="17">
        <f t="shared" ca="1" si="262"/>
        <v>7</v>
      </c>
      <c r="N805" s="18" t="str">
        <f t="shared" ca="1" si="263"/>
        <v>—</v>
      </c>
      <c r="O805" s="17">
        <f t="shared" ca="1" si="264"/>
        <v>7</v>
      </c>
      <c r="P805" s="18" t="str">
        <f t="shared" ca="1" si="265"/>
        <v>—</v>
      </c>
      <c r="Q805" s="17">
        <f t="shared" ca="1" si="266"/>
        <v>7</v>
      </c>
      <c r="R805" s="10" t="str">
        <f t="shared" ca="1" si="267"/>
        <v>—</v>
      </c>
      <c r="S805" s="17">
        <f t="shared" ca="1" si="268"/>
        <v>7</v>
      </c>
      <c r="T805" s="70" t="str">
        <f t="shared" ca="1" si="269"/>
        <v>—</v>
      </c>
      <c r="U805" s="17">
        <f t="shared" ca="1" si="270"/>
        <v>7</v>
      </c>
      <c r="V805" s="71" t="str">
        <f t="shared" ca="1" si="271"/>
        <v>—</v>
      </c>
      <c r="W805" s="17">
        <f t="shared" ca="1" si="272"/>
        <v>7</v>
      </c>
    </row>
    <row r="806" spans="1:23" x14ac:dyDescent="0.25">
      <c r="A806" s="4">
        <f t="shared" si="252"/>
        <v>32</v>
      </c>
      <c r="B806" t="str">
        <f ca="1">TEXT(DATE(YEAR(Invoer!$A$6),1,1)+INT((ROWS(B$2:B806)-1)/4),"jjjjmmdd")</f>
        <v>19400720</v>
      </c>
      <c r="C806" s="64" t="str">
        <f>IF(MOD(ROWS(C$2:C806)-1,4)=3,"24.00",INDEX(Data,3,2+MOD(ROWS(C$2:C806)-1,4)))</f>
        <v>07.00</v>
      </c>
      <c r="D806" s="18">
        <f t="shared" ca="1" si="253"/>
        <v>759.2</v>
      </c>
      <c r="E806" s="17">
        <f t="shared" ca="1" si="254"/>
        <v>0</v>
      </c>
      <c r="F806" s="18">
        <f t="shared" ca="1" si="255"/>
        <v>27.9</v>
      </c>
      <c r="G806" s="17">
        <f t="shared" ca="1" si="256"/>
        <v>0</v>
      </c>
      <c r="H806" s="18" t="str">
        <f t="shared" ca="1" si="257"/>
        <v>—</v>
      </c>
      <c r="I806" s="17">
        <f t="shared" ca="1" si="258"/>
        <v>7</v>
      </c>
      <c r="J806" s="18" t="str">
        <f t="shared" ca="1" si="259"/>
        <v>—</v>
      </c>
      <c r="K806" s="17">
        <f t="shared" ca="1" si="260"/>
        <v>7</v>
      </c>
      <c r="L806" s="10">
        <f t="shared" ca="1" si="261"/>
        <v>70</v>
      </c>
      <c r="M806" s="17">
        <f t="shared" ca="1" si="262"/>
        <v>0</v>
      </c>
      <c r="N806" s="18">
        <f t="shared" ca="1" si="263"/>
        <v>19.7</v>
      </c>
      <c r="O806" s="17">
        <f t="shared" ca="1" si="264"/>
        <v>0</v>
      </c>
      <c r="P806" s="18">
        <f t="shared" ca="1" si="265"/>
        <v>23.6</v>
      </c>
      <c r="Q806" s="17">
        <f t="shared" ca="1" si="266"/>
        <v>0</v>
      </c>
      <c r="R806" s="10">
        <f t="shared" ca="1" si="267"/>
        <v>65</v>
      </c>
      <c r="S806" s="17">
        <f t="shared" ca="1" si="268"/>
        <v>0</v>
      </c>
      <c r="T806" s="70">
        <f t="shared" ca="1" si="269"/>
        <v>0.2</v>
      </c>
      <c r="U806" s="17">
        <f t="shared" ca="1" si="270"/>
        <v>0</v>
      </c>
      <c r="V806" s="71">
        <f t="shared" ca="1" si="271"/>
        <v>5</v>
      </c>
      <c r="W806" s="17">
        <f t="shared" ca="1" si="272"/>
        <v>0</v>
      </c>
    </row>
    <row r="807" spans="1:23" x14ac:dyDescent="0.25">
      <c r="A807" s="4">
        <f t="shared" si="252"/>
        <v>32</v>
      </c>
      <c r="B807" t="str">
        <f ca="1">TEXT(DATE(YEAR(Invoer!$A$6),1,1)+INT((ROWS(B$2:B807)-1)/4),"jjjjmmdd")</f>
        <v>19400720</v>
      </c>
      <c r="C807" s="64" t="str">
        <f>IF(MOD(ROWS(C$2:C807)-1,4)=3,"24.00",INDEX(Data,3,2+MOD(ROWS(C$2:C807)-1,4)))</f>
        <v>12.00</v>
      </c>
      <c r="D807" s="18">
        <f t="shared" ca="1" si="253"/>
        <v>760</v>
      </c>
      <c r="E807" s="17">
        <f t="shared" ca="1" si="254"/>
        <v>0</v>
      </c>
      <c r="F807" s="18">
        <f t="shared" ca="1" si="255"/>
        <v>28.1</v>
      </c>
      <c r="G807" s="17">
        <f t="shared" ca="1" si="256"/>
        <v>0</v>
      </c>
      <c r="H807" s="18" t="str">
        <f t="shared" ca="1" si="257"/>
        <v>—</v>
      </c>
      <c r="I807" s="17">
        <f t="shared" ca="1" si="258"/>
        <v>7</v>
      </c>
      <c r="J807" s="18" t="str">
        <f t="shared" ca="1" si="259"/>
        <v>—</v>
      </c>
      <c r="K807" s="17">
        <f t="shared" ca="1" si="260"/>
        <v>7</v>
      </c>
      <c r="L807" s="10">
        <f t="shared" ca="1" si="261"/>
        <v>71</v>
      </c>
      <c r="M807" s="17">
        <f t="shared" ca="1" si="262"/>
        <v>0</v>
      </c>
      <c r="N807" s="18">
        <f t="shared" ca="1" si="263"/>
        <v>20.3</v>
      </c>
      <c r="O807" s="17">
        <f t="shared" ca="1" si="264"/>
        <v>0</v>
      </c>
      <c r="P807" s="18">
        <f t="shared" ca="1" si="265"/>
        <v>24</v>
      </c>
      <c r="Q807" s="17">
        <f t="shared" ca="1" si="266"/>
        <v>0</v>
      </c>
      <c r="R807" s="10">
        <f t="shared" ca="1" si="267"/>
        <v>65</v>
      </c>
      <c r="S807" s="17">
        <f t="shared" ca="1" si="268"/>
        <v>0</v>
      </c>
      <c r="T807" s="70">
        <f t="shared" ca="1" si="269"/>
        <v>0.4</v>
      </c>
      <c r="U807" s="17">
        <f t="shared" ca="1" si="270"/>
        <v>0</v>
      </c>
      <c r="V807" s="71">
        <f t="shared" ca="1" si="271"/>
        <v>6</v>
      </c>
      <c r="W807" s="17">
        <f t="shared" ca="1" si="272"/>
        <v>0</v>
      </c>
    </row>
    <row r="808" spans="1:23" x14ac:dyDescent="0.25">
      <c r="A808" s="4">
        <f t="shared" si="252"/>
        <v>32</v>
      </c>
      <c r="B808" t="str">
        <f ca="1">TEXT(DATE(YEAR(Invoer!$A$6),1,1)+INT((ROWS(B$2:B808)-1)/4),"jjjjmmdd")</f>
        <v>19400720</v>
      </c>
      <c r="C808" s="64" t="str">
        <f>IF(MOD(ROWS(C$2:C808)-1,4)=3,"24.00",INDEX(Data,3,2+MOD(ROWS(C$2:C808)-1,4)))</f>
        <v>17.00</v>
      </c>
      <c r="D808" s="18">
        <f t="shared" ca="1" si="253"/>
        <v>758.7</v>
      </c>
      <c r="E808" s="17">
        <f t="shared" ca="1" si="254"/>
        <v>0</v>
      </c>
      <c r="F808" s="18">
        <f t="shared" ca="1" si="255"/>
        <v>27.9</v>
      </c>
      <c r="G808" s="17">
        <f t="shared" ca="1" si="256"/>
        <v>0</v>
      </c>
      <c r="H808" s="18" t="str">
        <f t="shared" ca="1" si="257"/>
        <v>—</v>
      </c>
      <c r="I808" s="17">
        <f t="shared" ca="1" si="258"/>
        <v>7</v>
      </c>
      <c r="J808" s="18" t="str">
        <f t="shared" ca="1" si="259"/>
        <v>—</v>
      </c>
      <c r="K808" s="17">
        <f t="shared" ca="1" si="260"/>
        <v>7</v>
      </c>
      <c r="L808" s="10">
        <f t="shared" ca="1" si="261"/>
        <v>70</v>
      </c>
      <c r="M808" s="17">
        <f t="shared" ca="1" si="262"/>
        <v>0</v>
      </c>
      <c r="N808" s="18">
        <f t="shared" ca="1" si="263"/>
        <v>19.7</v>
      </c>
      <c r="O808" s="17">
        <f t="shared" ca="1" si="264"/>
        <v>0</v>
      </c>
      <c r="P808" s="18">
        <f t="shared" ca="1" si="265"/>
        <v>23.6</v>
      </c>
      <c r="Q808" s="17">
        <f t="shared" ca="1" si="266"/>
        <v>0</v>
      </c>
      <c r="R808" s="10">
        <f t="shared" ca="1" si="267"/>
        <v>45</v>
      </c>
      <c r="S808" s="17">
        <f t="shared" ca="1" si="268"/>
        <v>0</v>
      </c>
      <c r="T808" s="70">
        <f t="shared" ca="1" si="269"/>
        <v>0.3</v>
      </c>
      <c r="U808" s="17">
        <f t="shared" ca="1" si="270"/>
        <v>0</v>
      </c>
      <c r="V808" s="71">
        <f t="shared" ca="1" si="271"/>
        <v>6</v>
      </c>
      <c r="W808" s="17">
        <f t="shared" ca="1" si="272"/>
        <v>0</v>
      </c>
    </row>
    <row r="809" spans="1:23" x14ac:dyDescent="0.25">
      <c r="A809" s="4">
        <f t="shared" si="252"/>
        <v>32</v>
      </c>
      <c r="B809" t="str">
        <f ca="1">TEXT(DATE(YEAR(Invoer!$A$6),1,1)+INT((ROWS(B$2:B809)-1)/4),"jjjjmmdd")</f>
        <v>19400720</v>
      </c>
      <c r="C809" s="64" t="str">
        <f>IF(MOD(ROWS(C$2:C809)-1,4)=3,"24.00",INDEX(Data,3,2+MOD(ROWS(C$2:C809)-1,4)))</f>
        <v>24.00</v>
      </c>
      <c r="D809" s="18" t="str">
        <f t="shared" ca="1" si="253"/>
        <v>—</v>
      </c>
      <c r="E809" s="17">
        <f t="shared" ca="1" si="254"/>
        <v>7</v>
      </c>
      <c r="F809" s="18" t="str">
        <f t="shared" ca="1" si="255"/>
        <v>—</v>
      </c>
      <c r="G809" s="17">
        <f t="shared" ca="1" si="256"/>
        <v>7</v>
      </c>
      <c r="H809" s="18">
        <f t="shared" ca="1" si="257"/>
        <v>29.4</v>
      </c>
      <c r="I809" s="17">
        <f t="shared" ca="1" si="258"/>
        <v>0</v>
      </c>
      <c r="J809" s="18">
        <f t="shared" ca="1" si="259"/>
        <v>30.4</v>
      </c>
      <c r="K809" s="17">
        <f t="shared" ca="1" si="260"/>
        <v>0</v>
      </c>
      <c r="L809" s="10" t="str">
        <f t="shared" ca="1" si="261"/>
        <v>—</v>
      </c>
      <c r="M809" s="17">
        <f t="shared" ca="1" si="262"/>
        <v>7</v>
      </c>
      <c r="N809" s="18" t="str">
        <f t="shared" ca="1" si="263"/>
        <v>—</v>
      </c>
      <c r="O809" s="17">
        <f t="shared" ca="1" si="264"/>
        <v>7</v>
      </c>
      <c r="P809" s="18" t="str">
        <f t="shared" ca="1" si="265"/>
        <v>—</v>
      </c>
      <c r="Q809" s="17">
        <f t="shared" ca="1" si="266"/>
        <v>7</v>
      </c>
      <c r="R809" s="10" t="str">
        <f t="shared" ca="1" si="267"/>
        <v>—</v>
      </c>
      <c r="S809" s="17">
        <f t="shared" ca="1" si="268"/>
        <v>7</v>
      </c>
      <c r="T809" s="70" t="str">
        <f t="shared" ca="1" si="269"/>
        <v>—</v>
      </c>
      <c r="U809" s="17">
        <f t="shared" ca="1" si="270"/>
        <v>7</v>
      </c>
      <c r="V809" s="71" t="str">
        <f t="shared" ca="1" si="271"/>
        <v>—</v>
      </c>
      <c r="W809" s="17">
        <f t="shared" ca="1" si="272"/>
        <v>7</v>
      </c>
    </row>
    <row r="810" spans="1:23" x14ac:dyDescent="0.25">
      <c r="A810" s="4">
        <f t="shared" si="252"/>
        <v>32</v>
      </c>
      <c r="B810" t="str">
        <f ca="1">TEXT(DATE(YEAR(Invoer!$A$6),1,1)+INT((ROWS(B$2:B810)-1)/4),"jjjjmmdd")</f>
        <v>19400721</v>
      </c>
      <c r="C810" s="64" t="str">
        <f>IF(MOD(ROWS(C$2:C810)-1,4)=3,"24.00",INDEX(Data,3,2+MOD(ROWS(C$2:C810)-1,4)))</f>
        <v>07.00</v>
      </c>
      <c r="D810" s="18">
        <f t="shared" ca="1" si="253"/>
        <v>759.2</v>
      </c>
      <c r="E810" s="17">
        <f t="shared" ca="1" si="254"/>
        <v>0</v>
      </c>
      <c r="F810" s="18">
        <f t="shared" ca="1" si="255"/>
        <v>28.1</v>
      </c>
      <c r="G810" s="17">
        <f t="shared" ca="1" si="256"/>
        <v>0</v>
      </c>
      <c r="H810" s="18" t="str">
        <f t="shared" ca="1" si="257"/>
        <v>—</v>
      </c>
      <c r="I810" s="17">
        <f t="shared" ca="1" si="258"/>
        <v>7</v>
      </c>
      <c r="J810" s="18" t="str">
        <f t="shared" ca="1" si="259"/>
        <v>—</v>
      </c>
      <c r="K810" s="17">
        <f t="shared" ca="1" si="260"/>
        <v>7</v>
      </c>
      <c r="L810" s="10">
        <f t="shared" ca="1" si="261"/>
        <v>69</v>
      </c>
      <c r="M810" s="17">
        <f t="shared" ca="1" si="262"/>
        <v>0</v>
      </c>
      <c r="N810" s="18">
        <f t="shared" ca="1" si="263"/>
        <v>19.600000000000001</v>
      </c>
      <c r="O810" s="17">
        <f t="shared" ca="1" si="264"/>
        <v>0</v>
      </c>
      <c r="P810" s="18">
        <f t="shared" ca="1" si="265"/>
        <v>23.6</v>
      </c>
      <c r="Q810" s="17">
        <f t="shared" ca="1" si="266"/>
        <v>0</v>
      </c>
      <c r="R810" s="10">
        <f t="shared" ca="1" si="267"/>
        <v>65</v>
      </c>
      <c r="S810" s="17">
        <f t="shared" ca="1" si="268"/>
        <v>0</v>
      </c>
      <c r="T810" s="70">
        <f t="shared" ca="1" si="269"/>
        <v>0.3</v>
      </c>
      <c r="U810" s="17">
        <f t="shared" ca="1" si="270"/>
        <v>0</v>
      </c>
      <c r="V810" s="71">
        <f t="shared" ca="1" si="271"/>
        <v>2</v>
      </c>
      <c r="W810" s="17">
        <f t="shared" ca="1" si="272"/>
        <v>0</v>
      </c>
    </row>
    <row r="811" spans="1:23" x14ac:dyDescent="0.25">
      <c r="A811" s="4">
        <f t="shared" si="252"/>
        <v>32</v>
      </c>
      <c r="B811" t="str">
        <f ca="1">TEXT(DATE(YEAR(Invoer!$A$6),1,1)+INT((ROWS(B$2:B811)-1)/4),"jjjjmmdd")</f>
        <v>19400721</v>
      </c>
      <c r="C811" s="64" t="str">
        <f>IF(MOD(ROWS(C$2:C811)-1,4)=3,"24.00",INDEX(Data,3,2+MOD(ROWS(C$2:C811)-1,4)))</f>
        <v>12.00</v>
      </c>
      <c r="D811" s="18">
        <f t="shared" ca="1" si="253"/>
        <v>758.9</v>
      </c>
      <c r="E811" s="17">
        <f t="shared" ca="1" si="254"/>
        <v>0</v>
      </c>
      <c r="F811" s="18">
        <f t="shared" ca="1" si="255"/>
        <v>28.5</v>
      </c>
      <c r="G811" s="17">
        <f t="shared" ca="1" si="256"/>
        <v>0</v>
      </c>
      <c r="H811" s="18" t="str">
        <f t="shared" ca="1" si="257"/>
        <v>—</v>
      </c>
      <c r="I811" s="17">
        <f t="shared" ca="1" si="258"/>
        <v>7</v>
      </c>
      <c r="J811" s="18" t="str">
        <f t="shared" ca="1" si="259"/>
        <v>—</v>
      </c>
      <c r="K811" s="17">
        <f t="shared" ca="1" si="260"/>
        <v>7</v>
      </c>
      <c r="L811" s="10">
        <f t="shared" ca="1" si="261"/>
        <v>69</v>
      </c>
      <c r="M811" s="17">
        <f t="shared" ca="1" si="262"/>
        <v>0</v>
      </c>
      <c r="N811" s="18">
        <f t="shared" ca="1" si="263"/>
        <v>20.100000000000001</v>
      </c>
      <c r="O811" s="17">
        <f t="shared" ca="1" si="264"/>
        <v>0</v>
      </c>
      <c r="P811" s="18">
        <f t="shared" ca="1" si="265"/>
        <v>24</v>
      </c>
      <c r="Q811" s="17">
        <f t="shared" ca="1" si="266"/>
        <v>0</v>
      </c>
      <c r="R811" s="10">
        <f t="shared" ca="1" si="267"/>
        <v>65</v>
      </c>
      <c r="S811" s="17">
        <f t="shared" ca="1" si="268"/>
        <v>0</v>
      </c>
      <c r="T811" s="70">
        <f t="shared" ca="1" si="269"/>
        <v>0.3</v>
      </c>
      <c r="U811" s="17">
        <f t="shared" ca="1" si="270"/>
        <v>0</v>
      </c>
      <c r="V811" s="71">
        <f t="shared" ca="1" si="271"/>
        <v>2</v>
      </c>
      <c r="W811" s="17">
        <f t="shared" ca="1" si="272"/>
        <v>0</v>
      </c>
    </row>
    <row r="812" spans="1:23" x14ac:dyDescent="0.25">
      <c r="A812" s="4">
        <f t="shared" si="252"/>
        <v>32</v>
      </c>
      <c r="B812" t="str">
        <f ca="1">TEXT(DATE(YEAR(Invoer!$A$6),1,1)+INT((ROWS(B$2:B812)-1)/4),"jjjjmmdd")</f>
        <v>19400721</v>
      </c>
      <c r="C812" s="64" t="str">
        <f>IF(MOD(ROWS(C$2:C812)-1,4)=3,"24.00",INDEX(Data,3,2+MOD(ROWS(C$2:C812)-1,4)))</f>
        <v>17.00</v>
      </c>
      <c r="D812" s="18">
        <f t="shared" ca="1" si="253"/>
        <v>759.2</v>
      </c>
      <c r="E812" s="17">
        <f t="shared" ca="1" si="254"/>
        <v>0</v>
      </c>
      <c r="F812" s="18">
        <f t="shared" ca="1" si="255"/>
        <v>28.1</v>
      </c>
      <c r="G812" s="17">
        <f t="shared" ca="1" si="256"/>
        <v>0</v>
      </c>
      <c r="H812" s="18" t="str">
        <f t="shared" ca="1" si="257"/>
        <v>—</v>
      </c>
      <c r="I812" s="17">
        <f t="shared" ca="1" si="258"/>
        <v>7</v>
      </c>
      <c r="J812" s="18" t="str">
        <f t="shared" ca="1" si="259"/>
        <v>—</v>
      </c>
      <c r="K812" s="17">
        <f t="shared" ca="1" si="260"/>
        <v>7</v>
      </c>
      <c r="L812" s="10">
        <f t="shared" ca="1" si="261"/>
        <v>69</v>
      </c>
      <c r="M812" s="17">
        <f t="shared" ca="1" si="262"/>
        <v>0</v>
      </c>
      <c r="N812" s="18">
        <f t="shared" ca="1" si="263"/>
        <v>19.600000000000001</v>
      </c>
      <c r="O812" s="17">
        <f t="shared" ca="1" si="264"/>
        <v>0</v>
      </c>
      <c r="P812" s="18">
        <f t="shared" ca="1" si="265"/>
        <v>23.6</v>
      </c>
      <c r="Q812" s="17">
        <f t="shared" ca="1" si="266"/>
        <v>0</v>
      </c>
      <c r="R812" s="10">
        <f t="shared" ca="1" si="267"/>
        <v>65</v>
      </c>
      <c r="S812" s="17">
        <f t="shared" ca="1" si="268"/>
        <v>0</v>
      </c>
      <c r="T812" s="70">
        <f t="shared" ca="1" si="269"/>
        <v>0.3</v>
      </c>
      <c r="U812" s="17">
        <f t="shared" ca="1" si="270"/>
        <v>0</v>
      </c>
      <c r="V812" s="71">
        <f t="shared" ca="1" si="271"/>
        <v>2</v>
      </c>
      <c r="W812" s="17">
        <f t="shared" ca="1" si="272"/>
        <v>0</v>
      </c>
    </row>
    <row r="813" spans="1:23" x14ac:dyDescent="0.25">
      <c r="A813" s="4">
        <f t="shared" si="252"/>
        <v>32</v>
      </c>
      <c r="B813" t="str">
        <f ca="1">TEXT(DATE(YEAR(Invoer!$A$6),1,1)+INT((ROWS(B$2:B813)-1)/4),"jjjjmmdd")</f>
        <v>19400721</v>
      </c>
      <c r="C813" s="64" t="str">
        <f>IF(MOD(ROWS(C$2:C813)-1,4)=3,"24.00",INDEX(Data,3,2+MOD(ROWS(C$2:C813)-1,4)))</f>
        <v>24.00</v>
      </c>
      <c r="D813" s="18" t="str">
        <f t="shared" ca="1" si="253"/>
        <v>—</v>
      </c>
      <c r="E813" s="17">
        <f t="shared" ca="1" si="254"/>
        <v>7</v>
      </c>
      <c r="F813" s="18" t="str">
        <f t="shared" ca="1" si="255"/>
        <v>—</v>
      </c>
      <c r="G813" s="17">
        <f t="shared" ca="1" si="256"/>
        <v>7</v>
      </c>
      <c r="H813" s="18">
        <f t="shared" ca="1" si="257"/>
        <v>30.8</v>
      </c>
      <c r="I813" s="17">
        <f t="shared" ca="1" si="258"/>
        <v>0</v>
      </c>
      <c r="J813" s="18">
        <f t="shared" ca="1" si="259"/>
        <v>30.4</v>
      </c>
      <c r="K813" s="17">
        <f t="shared" ca="1" si="260"/>
        <v>0</v>
      </c>
      <c r="L813" s="10" t="str">
        <f t="shared" ca="1" si="261"/>
        <v>—</v>
      </c>
      <c r="M813" s="17">
        <f t="shared" ca="1" si="262"/>
        <v>7</v>
      </c>
      <c r="N813" s="18" t="str">
        <f t="shared" ca="1" si="263"/>
        <v>—</v>
      </c>
      <c r="O813" s="17">
        <f t="shared" ca="1" si="264"/>
        <v>7</v>
      </c>
      <c r="P813" s="18" t="str">
        <f t="shared" ca="1" si="265"/>
        <v>—</v>
      </c>
      <c r="Q813" s="17">
        <f t="shared" ca="1" si="266"/>
        <v>7</v>
      </c>
      <c r="R813" s="10" t="str">
        <f t="shared" ca="1" si="267"/>
        <v>—</v>
      </c>
      <c r="S813" s="17">
        <f t="shared" ca="1" si="268"/>
        <v>7</v>
      </c>
      <c r="T813" s="70" t="str">
        <f t="shared" ca="1" si="269"/>
        <v>—</v>
      </c>
      <c r="U813" s="17">
        <f t="shared" ca="1" si="270"/>
        <v>7</v>
      </c>
      <c r="V813" s="71" t="str">
        <f t="shared" ca="1" si="271"/>
        <v>—</v>
      </c>
      <c r="W813" s="17">
        <f t="shared" ca="1" si="272"/>
        <v>7</v>
      </c>
    </row>
    <row r="814" spans="1:23" x14ac:dyDescent="0.25">
      <c r="A814" s="4">
        <f t="shared" si="252"/>
        <v>32</v>
      </c>
      <c r="B814" t="str">
        <f ca="1">TEXT(DATE(YEAR(Invoer!$A$6),1,1)+INT((ROWS(B$2:B814)-1)/4),"jjjjmmdd")</f>
        <v>19400722</v>
      </c>
      <c r="C814" s="64" t="str">
        <f>IF(MOD(ROWS(C$2:C814)-1,4)=3,"24.00",INDEX(Data,3,2+MOD(ROWS(C$2:C814)-1,4)))</f>
        <v>07.00</v>
      </c>
      <c r="D814" s="18">
        <f t="shared" ca="1" si="253"/>
        <v>759.7</v>
      </c>
      <c r="E814" s="17">
        <f t="shared" ca="1" si="254"/>
        <v>0</v>
      </c>
      <c r="F814" s="18">
        <f t="shared" ca="1" si="255"/>
        <v>27.1</v>
      </c>
      <c r="G814" s="17">
        <f t="shared" ca="1" si="256"/>
        <v>0</v>
      </c>
      <c r="H814" s="18" t="str">
        <f t="shared" ca="1" si="257"/>
        <v>—</v>
      </c>
      <c r="I814" s="17">
        <f t="shared" ca="1" si="258"/>
        <v>7</v>
      </c>
      <c r="J814" s="18" t="str">
        <f t="shared" ca="1" si="259"/>
        <v>—</v>
      </c>
      <c r="K814" s="17">
        <f t="shared" ca="1" si="260"/>
        <v>7</v>
      </c>
      <c r="L814" s="10">
        <f t="shared" ca="1" si="261"/>
        <v>73</v>
      </c>
      <c r="M814" s="17">
        <f t="shared" ca="1" si="262"/>
        <v>0</v>
      </c>
      <c r="N814" s="18">
        <f t="shared" ca="1" si="263"/>
        <v>19.7</v>
      </c>
      <c r="O814" s="17">
        <f t="shared" ca="1" si="264"/>
        <v>0</v>
      </c>
      <c r="P814" s="18">
        <f t="shared" ca="1" si="265"/>
        <v>23.4</v>
      </c>
      <c r="Q814" s="17">
        <f t="shared" ca="1" si="266"/>
        <v>0</v>
      </c>
      <c r="R814" s="10">
        <f t="shared" ca="1" si="267"/>
        <v>65</v>
      </c>
      <c r="S814" s="17">
        <f t="shared" ca="1" si="268"/>
        <v>0</v>
      </c>
      <c r="T814" s="70">
        <f t="shared" ca="1" si="269"/>
        <v>0.3</v>
      </c>
      <c r="U814" s="17">
        <f t="shared" ca="1" si="270"/>
        <v>0</v>
      </c>
      <c r="V814" s="71">
        <f t="shared" ca="1" si="271"/>
        <v>3</v>
      </c>
      <c r="W814" s="17">
        <f t="shared" ca="1" si="272"/>
        <v>0</v>
      </c>
    </row>
    <row r="815" spans="1:23" x14ac:dyDescent="0.25">
      <c r="A815" s="4">
        <f t="shared" si="252"/>
        <v>32</v>
      </c>
      <c r="B815" t="str">
        <f ca="1">TEXT(DATE(YEAR(Invoer!$A$6),1,1)+INT((ROWS(B$2:B815)-1)/4),"jjjjmmdd")</f>
        <v>19400722</v>
      </c>
      <c r="C815" s="64" t="str">
        <f>IF(MOD(ROWS(C$2:C815)-1,4)=3,"24.00",INDEX(Data,3,2+MOD(ROWS(C$2:C815)-1,4)))</f>
        <v>12.00</v>
      </c>
      <c r="D815" s="18">
        <f t="shared" ca="1" si="253"/>
        <v>760.2</v>
      </c>
      <c r="E815" s="17">
        <f t="shared" ca="1" si="254"/>
        <v>0</v>
      </c>
      <c r="F815" s="18">
        <f t="shared" ca="1" si="255"/>
        <v>28.3</v>
      </c>
      <c r="G815" s="17">
        <f t="shared" ca="1" si="256"/>
        <v>0</v>
      </c>
      <c r="H815" s="18" t="str">
        <f t="shared" ca="1" si="257"/>
        <v>—</v>
      </c>
      <c r="I815" s="17">
        <f t="shared" ca="1" si="258"/>
        <v>7</v>
      </c>
      <c r="J815" s="18" t="str">
        <f t="shared" ca="1" si="259"/>
        <v>—</v>
      </c>
      <c r="K815" s="17">
        <f t="shared" ca="1" si="260"/>
        <v>7</v>
      </c>
      <c r="L815" s="10">
        <f t="shared" ca="1" si="261"/>
        <v>70</v>
      </c>
      <c r="M815" s="17">
        <f t="shared" ca="1" si="262"/>
        <v>0</v>
      </c>
      <c r="N815" s="18">
        <f t="shared" ca="1" si="263"/>
        <v>20.2</v>
      </c>
      <c r="O815" s="17">
        <f t="shared" ca="1" si="264"/>
        <v>0</v>
      </c>
      <c r="P815" s="18">
        <f t="shared" ca="1" si="265"/>
        <v>24</v>
      </c>
      <c r="Q815" s="17">
        <f t="shared" ca="1" si="266"/>
        <v>0</v>
      </c>
      <c r="R815" s="10">
        <f t="shared" ca="1" si="267"/>
        <v>65</v>
      </c>
      <c r="S815" s="17">
        <f t="shared" ca="1" si="268"/>
        <v>0</v>
      </c>
      <c r="T815" s="70">
        <f t="shared" ca="1" si="269"/>
        <v>0.3</v>
      </c>
      <c r="U815" s="17">
        <f t="shared" ca="1" si="270"/>
        <v>0</v>
      </c>
      <c r="V815" s="71">
        <f t="shared" ca="1" si="271"/>
        <v>2</v>
      </c>
      <c r="W815" s="17">
        <f t="shared" ca="1" si="272"/>
        <v>0</v>
      </c>
    </row>
    <row r="816" spans="1:23" x14ac:dyDescent="0.25">
      <c r="A816" s="4">
        <f t="shared" si="252"/>
        <v>32</v>
      </c>
      <c r="B816" t="str">
        <f ca="1">TEXT(DATE(YEAR(Invoer!$A$6),1,1)+INT((ROWS(B$2:B816)-1)/4),"jjjjmmdd")</f>
        <v>19400722</v>
      </c>
      <c r="C816" s="64" t="str">
        <f>IF(MOD(ROWS(C$2:C816)-1,4)=3,"24.00",INDEX(Data,3,2+MOD(ROWS(C$2:C816)-1,4)))</f>
        <v>17.00</v>
      </c>
      <c r="D816" s="18">
        <f t="shared" ca="1" si="253"/>
        <v>758.7</v>
      </c>
      <c r="E816" s="17">
        <f t="shared" ca="1" si="254"/>
        <v>0</v>
      </c>
      <c r="F816" s="18">
        <f t="shared" ca="1" si="255"/>
        <v>27.5</v>
      </c>
      <c r="G816" s="17">
        <f t="shared" ca="1" si="256"/>
        <v>0</v>
      </c>
      <c r="H816" s="18" t="str">
        <f t="shared" ca="1" si="257"/>
        <v>—</v>
      </c>
      <c r="I816" s="17">
        <f t="shared" ca="1" si="258"/>
        <v>7</v>
      </c>
      <c r="J816" s="18" t="str">
        <f t="shared" ca="1" si="259"/>
        <v>—</v>
      </c>
      <c r="K816" s="17">
        <f t="shared" ca="1" si="260"/>
        <v>7</v>
      </c>
      <c r="L816" s="10">
        <f t="shared" ca="1" si="261"/>
        <v>73</v>
      </c>
      <c r="M816" s="17">
        <f t="shared" ca="1" si="262"/>
        <v>0</v>
      </c>
      <c r="N816" s="18">
        <f t="shared" ca="1" si="263"/>
        <v>20.3</v>
      </c>
      <c r="O816" s="17">
        <f t="shared" ca="1" si="264"/>
        <v>0</v>
      </c>
      <c r="P816" s="18">
        <f t="shared" ca="1" si="265"/>
        <v>23.8</v>
      </c>
      <c r="Q816" s="17">
        <f t="shared" ca="1" si="266"/>
        <v>0</v>
      </c>
      <c r="R816" s="10">
        <f t="shared" ca="1" si="267"/>
        <v>45</v>
      </c>
      <c r="S816" s="17">
        <f t="shared" ca="1" si="268"/>
        <v>0</v>
      </c>
      <c r="T816" s="70">
        <f t="shared" ca="1" si="269"/>
        <v>0.3</v>
      </c>
      <c r="U816" s="17">
        <f t="shared" ca="1" si="270"/>
        <v>0</v>
      </c>
      <c r="V816" s="71">
        <f t="shared" ca="1" si="271"/>
        <v>2</v>
      </c>
      <c r="W816" s="17">
        <f t="shared" ca="1" si="272"/>
        <v>0</v>
      </c>
    </row>
    <row r="817" spans="1:23" x14ac:dyDescent="0.25">
      <c r="A817" s="4">
        <f t="shared" si="252"/>
        <v>32</v>
      </c>
      <c r="B817" t="str">
        <f ca="1">TEXT(DATE(YEAR(Invoer!$A$6),1,1)+INT((ROWS(B$2:B817)-1)/4),"jjjjmmdd")</f>
        <v>19400722</v>
      </c>
      <c r="C817" s="64" t="str">
        <f>IF(MOD(ROWS(C$2:C817)-1,4)=3,"24.00",INDEX(Data,3,2+MOD(ROWS(C$2:C817)-1,4)))</f>
        <v>24.00</v>
      </c>
      <c r="D817" s="18" t="str">
        <f t="shared" ca="1" si="253"/>
        <v>—</v>
      </c>
      <c r="E817" s="17">
        <f t="shared" ca="1" si="254"/>
        <v>7</v>
      </c>
      <c r="F817" s="18" t="str">
        <f t="shared" ca="1" si="255"/>
        <v>—</v>
      </c>
      <c r="G817" s="17">
        <f t="shared" ca="1" si="256"/>
        <v>7</v>
      </c>
      <c r="H817" s="18">
        <f t="shared" ca="1" si="257"/>
        <v>28</v>
      </c>
      <c r="I817" s="17">
        <f t="shared" ca="1" si="258"/>
        <v>0</v>
      </c>
      <c r="J817" s="18">
        <f t="shared" ca="1" si="259"/>
        <v>29.4</v>
      </c>
      <c r="K817" s="17">
        <f t="shared" ca="1" si="260"/>
        <v>0</v>
      </c>
      <c r="L817" s="10" t="str">
        <f t="shared" ca="1" si="261"/>
        <v>—</v>
      </c>
      <c r="M817" s="17">
        <f t="shared" ca="1" si="262"/>
        <v>7</v>
      </c>
      <c r="N817" s="18" t="str">
        <f t="shared" ca="1" si="263"/>
        <v>—</v>
      </c>
      <c r="O817" s="17">
        <f t="shared" ca="1" si="264"/>
        <v>7</v>
      </c>
      <c r="P817" s="18" t="str">
        <f t="shared" ca="1" si="265"/>
        <v>—</v>
      </c>
      <c r="Q817" s="17">
        <f t="shared" ca="1" si="266"/>
        <v>7</v>
      </c>
      <c r="R817" s="10" t="str">
        <f t="shared" ca="1" si="267"/>
        <v>—</v>
      </c>
      <c r="S817" s="17">
        <f t="shared" ca="1" si="268"/>
        <v>7</v>
      </c>
      <c r="T817" s="70" t="str">
        <f t="shared" ca="1" si="269"/>
        <v>—</v>
      </c>
      <c r="U817" s="17">
        <f t="shared" ca="1" si="270"/>
        <v>7</v>
      </c>
      <c r="V817" s="71" t="str">
        <f t="shared" ca="1" si="271"/>
        <v>—</v>
      </c>
      <c r="W817" s="17">
        <f t="shared" ca="1" si="272"/>
        <v>7</v>
      </c>
    </row>
    <row r="818" spans="1:23" x14ac:dyDescent="0.25">
      <c r="A818" s="4">
        <f t="shared" si="252"/>
        <v>32</v>
      </c>
      <c r="B818" t="str">
        <f ca="1">TEXT(DATE(YEAR(Invoer!$A$6),1,1)+INT((ROWS(B$2:B818)-1)/4),"jjjjmmdd")</f>
        <v>19400723</v>
      </c>
      <c r="C818" s="64" t="str">
        <f>IF(MOD(ROWS(C$2:C818)-1,4)=3,"24.00",INDEX(Data,3,2+MOD(ROWS(C$2:C818)-1,4)))</f>
        <v>07.00</v>
      </c>
      <c r="D818" s="18">
        <f t="shared" ca="1" si="253"/>
        <v>759</v>
      </c>
      <c r="E818" s="17">
        <f t="shared" ca="1" si="254"/>
        <v>0</v>
      </c>
      <c r="F818" s="18">
        <f t="shared" ca="1" si="255"/>
        <v>26.9</v>
      </c>
      <c r="G818" s="17">
        <f t="shared" ca="1" si="256"/>
        <v>0</v>
      </c>
      <c r="H818" s="18" t="str">
        <f t="shared" ca="1" si="257"/>
        <v>—</v>
      </c>
      <c r="I818" s="17">
        <f t="shared" ca="1" si="258"/>
        <v>7</v>
      </c>
      <c r="J818" s="18" t="str">
        <f t="shared" ca="1" si="259"/>
        <v>—</v>
      </c>
      <c r="K818" s="17">
        <f t="shared" ca="1" si="260"/>
        <v>7</v>
      </c>
      <c r="L818" s="10">
        <f t="shared" ca="1" si="261"/>
        <v>73</v>
      </c>
      <c r="M818" s="17">
        <f t="shared" ca="1" si="262"/>
        <v>0</v>
      </c>
      <c r="N818" s="18">
        <f t="shared" ca="1" si="263"/>
        <v>19.5</v>
      </c>
      <c r="O818" s="17">
        <f t="shared" ca="1" si="264"/>
        <v>0</v>
      </c>
      <c r="P818" s="18">
        <f t="shared" ca="1" si="265"/>
        <v>23.2</v>
      </c>
      <c r="Q818" s="17">
        <f t="shared" ca="1" si="266"/>
        <v>0</v>
      </c>
      <c r="R818" s="10">
        <f t="shared" ca="1" si="267"/>
        <v>65</v>
      </c>
      <c r="S818" s="17">
        <f t="shared" ca="1" si="268"/>
        <v>0</v>
      </c>
      <c r="T818" s="70">
        <f t="shared" ca="1" si="269"/>
        <v>0.3</v>
      </c>
      <c r="U818" s="17">
        <f t="shared" ca="1" si="270"/>
        <v>0</v>
      </c>
      <c r="V818" s="71">
        <f t="shared" ca="1" si="271"/>
        <v>3</v>
      </c>
      <c r="W818" s="17">
        <f t="shared" ca="1" si="272"/>
        <v>0</v>
      </c>
    </row>
    <row r="819" spans="1:23" x14ac:dyDescent="0.25">
      <c r="A819" s="4">
        <f t="shared" si="252"/>
        <v>32</v>
      </c>
      <c r="B819" t="str">
        <f ca="1">TEXT(DATE(YEAR(Invoer!$A$6),1,1)+INT((ROWS(B$2:B819)-1)/4),"jjjjmmdd")</f>
        <v>19400723</v>
      </c>
      <c r="C819" s="64" t="str">
        <f>IF(MOD(ROWS(C$2:C819)-1,4)=3,"24.00",INDEX(Data,3,2+MOD(ROWS(C$2:C819)-1,4)))</f>
        <v>12.00</v>
      </c>
      <c r="D819" s="18">
        <f t="shared" ca="1" si="253"/>
        <v>759.7</v>
      </c>
      <c r="E819" s="17">
        <f t="shared" ca="1" si="254"/>
        <v>0</v>
      </c>
      <c r="F819" s="18">
        <f t="shared" ca="1" si="255"/>
        <v>27.9</v>
      </c>
      <c r="G819" s="17">
        <f t="shared" ca="1" si="256"/>
        <v>0</v>
      </c>
      <c r="H819" s="18" t="str">
        <f t="shared" ca="1" si="257"/>
        <v>—</v>
      </c>
      <c r="I819" s="17">
        <f t="shared" ca="1" si="258"/>
        <v>7</v>
      </c>
      <c r="J819" s="18" t="str">
        <f t="shared" ca="1" si="259"/>
        <v>—</v>
      </c>
      <c r="K819" s="17">
        <f t="shared" ca="1" si="260"/>
        <v>7</v>
      </c>
      <c r="L819" s="10">
        <f t="shared" ca="1" si="261"/>
        <v>71</v>
      </c>
      <c r="M819" s="17">
        <f t="shared" ca="1" si="262"/>
        <v>0</v>
      </c>
      <c r="N819" s="18">
        <f t="shared" ca="1" si="263"/>
        <v>20.100000000000001</v>
      </c>
      <c r="O819" s="17">
        <f t="shared" ca="1" si="264"/>
        <v>0</v>
      </c>
      <c r="P819" s="18">
        <f t="shared" ca="1" si="265"/>
        <v>23.8</v>
      </c>
      <c r="Q819" s="17">
        <f t="shared" ca="1" si="266"/>
        <v>0</v>
      </c>
      <c r="R819" s="10">
        <f t="shared" ca="1" si="267"/>
        <v>65</v>
      </c>
      <c r="S819" s="17">
        <f t="shared" ca="1" si="268"/>
        <v>0</v>
      </c>
      <c r="T819" s="70">
        <f t="shared" ca="1" si="269"/>
        <v>0.3</v>
      </c>
      <c r="U819" s="17">
        <f t="shared" ca="1" si="270"/>
        <v>0</v>
      </c>
      <c r="V819" s="71">
        <f t="shared" ca="1" si="271"/>
        <v>2</v>
      </c>
      <c r="W819" s="17">
        <f t="shared" ca="1" si="272"/>
        <v>0</v>
      </c>
    </row>
    <row r="820" spans="1:23" x14ac:dyDescent="0.25">
      <c r="A820" s="4">
        <f t="shared" si="252"/>
        <v>32</v>
      </c>
      <c r="B820" t="str">
        <f ca="1">TEXT(DATE(YEAR(Invoer!$A$6),1,1)+INT((ROWS(B$2:B820)-1)/4),"jjjjmmdd")</f>
        <v>19400723</v>
      </c>
      <c r="C820" s="64" t="str">
        <f>IF(MOD(ROWS(C$2:C820)-1,4)=3,"24.00",INDEX(Data,3,2+MOD(ROWS(C$2:C820)-1,4)))</f>
        <v>17.00</v>
      </c>
      <c r="D820" s="18">
        <f t="shared" ca="1" si="253"/>
        <v>758.7</v>
      </c>
      <c r="E820" s="17">
        <f t="shared" ca="1" si="254"/>
        <v>0</v>
      </c>
      <c r="F820" s="18">
        <f t="shared" ca="1" si="255"/>
        <v>27.1</v>
      </c>
      <c r="G820" s="17">
        <f t="shared" ca="1" si="256"/>
        <v>0</v>
      </c>
      <c r="H820" s="18" t="str">
        <f t="shared" ca="1" si="257"/>
        <v>—</v>
      </c>
      <c r="I820" s="17">
        <f t="shared" ca="1" si="258"/>
        <v>7</v>
      </c>
      <c r="J820" s="18" t="str">
        <f t="shared" ca="1" si="259"/>
        <v>—</v>
      </c>
      <c r="K820" s="17">
        <f t="shared" ca="1" si="260"/>
        <v>7</v>
      </c>
      <c r="L820" s="10">
        <f t="shared" ca="1" si="261"/>
        <v>73</v>
      </c>
      <c r="M820" s="17">
        <f t="shared" ca="1" si="262"/>
        <v>0</v>
      </c>
      <c r="N820" s="18">
        <f t="shared" ca="1" si="263"/>
        <v>19.7</v>
      </c>
      <c r="O820" s="17">
        <f t="shared" ca="1" si="264"/>
        <v>0</v>
      </c>
      <c r="P820" s="18">
        <f t="shared" ca="1" si="265"/>
        <v>23.4</v>
      </c>
      <c r="Q820" s="17">
        <f t="shared" ca="1" si="266"/>
        <v>0</v>
      </c>
      <c r="R820" s="10">
        <f t="shared" ca="1" si="267"/>
        <v>65</v>
      </c>
      <c r="S820" s="17">
        <f t="shared" ca="1" si="268"/>
        <v>0</v>
      </c>
      <c r="T820" s="70">
        <f t="shared" ca="1" si="269"/>
        <v>0.3</v>
      </c>
      <c r="U820" s="17">
        <f t="shared" ca="1" si="270"/>
        <v>0</v>
      </c>
      <c r="V820" s="71">
        <f t="shared" ca="1" si="271"/>
        <v>2</v>
      </c>
      <c r="W820" s="17">
        <f t="shared" ca="1" si="272"/>
        <v>0</v>
      </c>
    </row>
    <row r="821" spans="1:23" x14ac:dyDescent="0.25">
      <c r="A821" s="4">
        <f t="shared" si="252"/>
        <v>32</v>
      </c>
      <c r="B821" t="str">
        <f ca="1">TEXT(DATE(YEAR(Invoer!$A$6),1,1)+INT((ROWS(B$2:B821)-1)/4),"jjjjmmdd")</f>
        <v>19400723</v>
      </c>
      <c r="C821" s="64" t="str">
        <f>IF(MOD(ROWS(C$2:C821)-1,4)=3,"24.00",INDEX(Data,3,2+MOD(ROWS(C$2:C821)-1,4)))</f>
        <v>24.00</v>
      </c>
      <c r="D821" s="18" t="str">
        <f t="shared" ca="1" si="253"/>
        <v>—</v>
      </c>
      <c r="E821" s="17">
        <f t="shared" ca="1" si="254"/>
        <v>7</v>
      </c>
      <c r="F821" s="18" t="str">
        <f t="shared" ca="1" si="255"/>
        <v>—</v>
      </c>
      <c r="G821" s="17">
        <f t="shared" ca="1" si="256"/>
        <v>7</v>
      </c>
      <c r="H821" s="18">
        <f t="shared" ca="1" si="257"/>
        <v>29</v>
      </c>
      <c r="I821" s="17">
        <f t="shared" ca="1" si="258"/>
        <v>0</v>
      </c>
      <c r="J821" s="18">
        <f t="shared" ca="1" si="259"/>
        <v>30</v>
      </c>
      <c r="K821" s="17">
        <f t="shared" ca="1" si="260"/>
        <v>0</v>
      </c>
      <c r="L821" s="10" t="str">
        <f t="shared" ca="1" si="261"/>
        <v>—</v>
      </c>
      <c r="M821" s="17">
        <f t="shared" ca="1" si="262"/>
        <v>7</v>
      </c>
      <c r="N821" s="18" t="str">
        <f t="shared" ca="1" si="263"/>
        <v>—</v>
      </c>
      <c r="O821" s="17">
        <f t="shared" ca="1" si="264"/>
        <v>7</v>
      </c>
      <c r="P821" s="18" t="str">
        <f t="shared" ca="1" si="265"/>
        <v>—</v>
      </c>
      <c r="Q821" s="17">
        <f t="shared" ca="1" si="266"/>
        <v>7</v>
      </c>
      <c r="R821" s="10" t="str">
        <f t="shared" ca="1" si="267"/>
        <v>—</v>
      </c>
      <c r="S821" s="17">
        <f t="shared" ca="1" si="268"/>
        <v>7</v>
      </c>
      <c r="T821" s="70" t="str">
        <f t="shared" ca="1" si="269"/>
        <v>—</v>
      </c>
      <c r="U821" s="17">
        <f t="shared" ca="1" si="270"/>
        <v>7</v>
      </c>
      <c r="V821" s="71" t="str">
        <f t="shared" ca="1" si="271"/>
        <v>—</v>
      </c>
      <c r="W821" s="17">
        <f t="shared" ca="1" si="272"/>
        <v>7</v>
      </c>
    </row>
    <row r="822" spans="1:23" x14ac:dyDescent="0.25">
      <c r="A822" s="4">
        <f t="shared" si="252"/>
        <v>32</v>
      </c>
      <c r="B822" t="str">
        <f ca="1">TEXT(DATE(YEAR(Invoer!$A$6),1,1)+INT((ROWS(B$2:B822)-1)/4),"jjjjmmdd")</f>
        <v>19400724</v>
      </c>
      <c r="C822" s="64" t="str">
        <f>IF(MOD(ROWS(C$2:C822)-1,4)=3,"24.00",INDEX(Data,3,2+MOD(ROWS(C$2:C822)-1,4)))</f>
        <v>07.00</v>
      </c>
      <c r="D822" s="18">
        <f t="shared" ca="1" si="253"/>
        <v>759.7</v>
      </c>
      <c r="E822" s="17">
        <f t="shared" ca="1" si="254"/>
        <v>0</v>
      </c>
      <c r="F822" s="18">
        <f t="shared" ca="1" si="255"/>
        <v>27.1</v>
      </c>
      <c r="G822" s="17">
        <f t="shared" ca="1" si="256"/>
        <v>0</v>
      </c>
      <c r="H822" s="18" t="str">
        <f t="shared" ca="1" si="257"/>
        <v>—</v>
      </c>
      <c r="I822" s="17">
        <f t="shared" ca="1" si="258"/>
        <v>7</v>
      </c>
      <c r="J822" s="18" t="str">
        <f t="shared" ca="1" si="259"/>
        <v>—</v>
      </c>
      <c r="K822" s="17">
        <f t="shared" ca="1" si="260"/>
        <v>7</v>
      </c>
      <c r="L822" s="10">
        <f t="shared" ca="1" si="261"/>
        <v>73</v>
      </c>
      <c r="M822" s="17">
        <f t="shared" ca="1" si="262"/>
        <v>0</v>
      </c>
      <c r="N822" s="18">
        <f t="shared" ca="1" si="263"/>
        <v>19.7</v>
      </c>
      <c r="O822" s="17">
        <f t="shared" ca="1" si="264"/>
        <v>0</v>
      </c>
      <c r="P822" s="18">
        <f t="shared" ca="1" si="265"/>
        <v>23.4</v>
      </c>
      <c r="Q822" s="17">
        <f t="shared" ca="1" si="266"/>
        <v>0</v>
      </c>
      <c r="R822" s="10">
        <f t="shared" ca="1" si="267"/>
        <v>90</v>
      </c>
      <c r="S822" s="17">
        <f t="shared" ca="1" si="268"/>
        <v>0</v>
      </c>
      <c r="T822" s="70">
        <f t="shared" ca="1" si="269"/>
        <v>0.3</v>
      </c>
      <c r="U822" s="17">
        <f t="shared" ca="1" si="270"/>
        <v>0</v>
      </c>
      <c r="V822" s="71">
        <f t="shared" ca="1" si="271"/>
        <v>2</v>
      </c>
      <c r="W822" s="17">
        <f t="shared" ca="1" si="272"/>
        <v>0</v>
      </c>
    </row>
    <row r="823" spans="1:23" x14ac:dyDescent="0.25">
      <c r="A823" s="4">
        <f t="shared" si="252"/>
        <v>32</v>
      </c>
      <c r="B823" t="str">
        <f ca="1">TEXT(DATE(YEAR(Invoer!$A$6),1,1)+INT((ROWS(B$2:B823)-1)/4),"jjjjmmdd")</f>
        <v>19400724</v>
      </c>
      <c r="C823" s="64" t="str">
        <f>IF(MOD(ROWS(C$2:C823)-1,4)=3,"24.00",INDEX(Data,3,2+MOD(ROWS(C$2:C823)-1,4)))</f>
        <v>12.00</v>
      </c>
      <c r="D823" s="18">
        <f t="shared" ca="1" si="253"/>
        <v>758.2</v>
      </c>
      <c r="E823" s="17">
        <f t="shared" ca="1" si="254"/>
        <v>0</v>
      </c>
      <c r="F823" s="18">
        <f t="shared" ca="1" si="255"/>
        <v>28.1</v>
      </c>
      <c r="G823" s="17">
        <f t="shared" ca="1" si="256"/>
        <v>0</v>
      </c>
      <c r="H823" s="18" t="str">
        <f t="shared" ca="1" si="257"/>
        <v>—</v>
      </c>
      <c r="I823" s="17">
        <f t="shared" ca="1" si="258"/>
        <v>7</v>
      </c>
      <c r="J823" s="18" t="str">
        <f t="shared" ca="1" si="259"/>
        <v>—</v>
      </c>
      <c r="K823" s="17">
        <f t="shared" ca="1" si="260"/>
        <v>7</v>
      </c>
      <c r="L823" s="10">
        <f t="shared" ca="1" si="261"/>
        <v>71</v>
      </c>
      <c r="M823" s="17">
        <f t="shared" ca="1" si="262"/>
        <v>0</v>
      </c>
      <c r="N823" s="18">
        <f t="shared" ca="1" si="263"/>
        <v>20.3</v>
      </c>
      <c r="O823" s="17">
        <f t="shared" ca="1" si="264"/>
        <v>0</v>
      </c>
      <c r="P823" s="18">
        <f t="shared" ca="1" si="265"/>
        <v>24</v>
      </c>
      <c r="Q823" s="17">
        <f t="shared" ca="1" si="266"/>
        <v>0</v>
      </c>
      <c r="R823" s="10">
        <f t="shared" ca="1" si="267"/>
        <v>90</v>
      </c>
      <c r="S823" s="17">
        <f t="shared" ca="1" si="268"/>
        <v>0</v>
      </c>
      <c r="T823" s="70">
        <f t="shared" ca="1" si="269"/>
        <v>0.4</v>
      </c>
      <c r="U823" s="17">
        <f t="shared" ca="1" si="270"/>
        <v>0</v>
      </c>
      <c r="V823" s="71">
        <f t="shared" ca="1" si="271"/>
        <v>2</v>
      </c>
      <c r="W823" s="17">
        <f t="shared" ca="1" si="272"/>
        <v>0</v>
      </c>
    </row>
    <row r="824" spans="1:23" x14ac:dyDescent="0.25">
      <c r="A824" s="4">
        <f t="shared" si="252"/>
        <v>32</v>
      </c>
      <c r="B824" t="str">
        <f ca="1">TEXT(DATE(YEAR(Invoer!$A$6),1,1)+INT((ROWS(B$2:B824)-1)/4),"jjjjmmdd")</f>
        <v>19400724</v>
      </c>
      <c r="C824" s="64" t="str">
        <f>IF(MOD(ROWS(C$2:C824)-1,4)=3,"24.00",INDEX(Data,3,2+MOD(ROWS(C$2:C824)-1,4)))</f>
        <v>17.00</v>
      </c>
      <c r="D824" s="18">
        <f t="shared" ca="1" si="253"/>
        <v>759.5</v>
      </c>
      <c r="E824" s="17">
        <f t="shared" ca="1" si="254"/>
        <v>0</v>
      </c>
      <c r="F824" s="18">
        <f t="shared" ca="1" si="255"/>
        <v>27.5</v>
      </c>
      <c r="G824" s="17">
        <f t="shared" ca="1" si="256"/>
        <v>0</v>
      </c>
      <c r="H824" s="18" t="str">
        <f t="shared" ca="1" si="257"/>
        <v>—</v>
      </c>
      <c r="I824" s="17">
        <f t="shared" ca="1" si="258"/>
        <v>7</v>
      </c>
      <c r="J824" s="18" t="str">
        <f t="shared" ca="1" si="259"/>
        <v>—</v>
      </c>
      <c r="K824" s="17">
        <f t="shared" ca="1" si="260"/>
        <v>7</v>
      </c>
      <c r="L824" s="10">
        <f t="shared" ca="1" si="261"/>
        <v>73</v>
      </c>
      <c r="M824" s="17">
        <f t="shared" ca="1" si="262"/>
        <v>0</v>
      </c>
      <c r="N824" s="18">
        <f t="shared" ca="1" si="263"/>
        <v>19.899999999999999</v>
      </c>
      <c r="O824" s="17">
        <f t="shared" ca="1" si="264"/>
        <v>0</v>
      </c>
      <c r="P824" s="18">
        <f t="shared" ca="1" si="265"/>
        <v>23.6</v>
      </c>
      <c r="Q824" s="17">
        <f t="shared" ca="1" si="266"/>
        <v>0</v>
      </c>
      <c r="R824" s="10">
        <f t="shared" ca="1" si="267"/>
        <v>65</v>
      </c>
      <c r="S824" s="17">
        <f t="shared" ca="1" si="268"/>
        <v>0</v>
      </c>
      <c r="T824" s="70">
        <f t="shared" ca="1" si="269"/>
        <v>0.3</v>
      </c>
      <c r="U824" s="17">
        <f t="shared" ca="1" si="270"/>
        <v>0</v>
      </c>
      <c r="V824" s="71">
        <f t="shared" ca="1" si="271"/>
        <v>2</v>
      </c>
      <c r="W824" s="17">
        <f t="shared" ca="1" si="272"/>
        <v>0</v>
      </c>
    </row>
    <row r="825" spans="1:23" x14ac:dyDescent="0.25">
      <c r="A825" s="4">
        <f t="shared" si="252"/>
        <v>32</v>
      </c>
      <c r="B825" t="str">
        <f ca="1">TEXT(DATE(YEAR(Invoer!$A$6),1,1)+INT((ROWS(B$2:B825)-1)/4),"jjjjmmdd")</f>
        <v>19400724</v>
      </c>
      <c r="C825" s="64" t="str">
        <f>IF(MOD(ROWS(C$2:C825)-1,4)=3,"24.00",INDEX(Data,3,2+MOD(ROWS(C$2:C825)-1,4)))</f>
        <v>24.00</v>
      </c>
      <c r="D825" s="18" t="str">
        <f t="shared" ca="1" si="253"/>
        <v>—</v>
      </c>
      <c r="E825" s="17">
        <f t="shared" ca="1" si="254"/>
        <v>7</v>
      </c>
      <c r="F825" s="18" t="str">
        <f t="shared" ca="1" si="255"/>
        <v>—</v>
      </c>
      <c r="G825" s="17">
        <f t="shared" ca="1" si="256"/>
        <v>7</v>
      </c>
      <c r="H825" s="18">
        <f t="shared" ca="1" si="257"/>
        <v>28</v>
      </c>
      <c r="I825" s="17">
        <f t="shared" ca="1" si="258"/>
        <v>0</v>
      </c>
      <c r="J825" s="18">
        <f t="shared" ca="1" si="259"/>
        <v>29.6</v>
      </c>
      <c r="K825" s="17">
        <f t="shared" ca="1" si="260"/>
        <v>0</v>
      </c>
      <c r="L825" s="10" t="str">
        <f t="shared" ca="1" si="261"/>
        <v>—</v>
      </c>
      <c r="M825" s="17">
        <f t="shared" ca="1" si="262"/>
        <v>7</v>
      </c>
      <c r="N825" s="18" t="str">
        <f t="shared" ca="1" si="263"/>
        <v>—</v>
      </c>
      <c r="O825" s="17">
        <f t="shared" ca="1" si="264"/>
        <v>7</v>
      </c>
      <c r="P825" s="18" t="str">
        <f t="shared" ca="1" si="265"/>
        <v>—</v>
      </c>
      <c r="Q825" s="17">
        <f t="shared" ca="1" si="266"/>
        <v>7</v>
      </c>
      <c r="R825" s="10" t="str">
        <f t="shared" ca="1" si="267"/>
        <v>—</v>
      </c>
      <c r="S825" s="17">
        <f t="shared" ca="1" si="268"/>
        <v>7</v>
      </c>
      <c r="T825" s="70" t="str">
        <f t="shared" ca="1" si="269"/>
        <v>—</v>
      </c>
      <c r="U825" s="17">
        <f t="shared" ca="1" si="270"/>
        <v>7</v>
      </c>
      <c r="V825" s="71" t="str">
        <f t="shared" ca="1" si="271"/>
        <v>—</v>
      </c>
      <c r="W825" s="17">
        <f t="shared" ca="1" si="272"/>
        <v>7</v>
      </c>
    </row>
    <row r="826" spans="1:23" x14ac:dyDescent="0.25">
      <c r="A826" s="4">
        <f t="shared" si="252"/>
        <v>32</v>
      </c>
      <c r="B826" t="str">
        <f ca="1">TEXT(DATE(YEAR(Invoer!$A$6),1,1)+INT((ROWS(B$2:B826)-1)/4),"jjjjmmdd")</f>
        <v>19400725</v>
      </c>
      <c r="C826" s="64" t="str">
        <f>IF(MOD(ROWS(C$2:C826)-1,4)=3,"24.00",INDEX(Data,3,2+MOD(ROWS(C$2:C826)-1,4)))</f>
        <v>07.00</v>
      </c>
      <c r="D826" s="18">
        <f t="shared" ca="1" si="253"/>
        <v>760.7</v>
      </c>
      <c r="E826" s="17">
        <f t="shared" ca="1" si="254"/>
        <v>0</v>
      </c>
      <c r="F826" s="18">
        <f t="shared" ca="1" si="255"/>
        <v>27.5</v>
      </c>
      <c r="G826" s="17">
        <f t="shared" ca="1" si="256"/>
        <v>0</v>
      </c>
      <c r="H826" s="18" t="str">
        <f t="shared" ca="1" si="257"/>
        <v>—</v>
      </c>
      <c r="I826" s="17">
        <f t="shared" ca="1" si="258"/>
        <v>7</v>
      </c>
      <c r="J826" s="18" t="str">
        <f t="shared" ca="1" si="259"/>
        <v>—</v>
      </c>
      <c r="K826" s="17">
        <f t="shared" ca="1" si="260"/>
        <v>7</v>
      </c>
      <c r="L826" s="10">
        <f t="shared" ca="1" si="261"/>
        <v>73</v>
      </c>
      <c r="M826" s="17">
        <f t="shared" ca="1" si="262"/>
        <v>0</v>
      </c>
      <c r="N826" s="18">
        <f t="shared" ca="1" si="263"/>
        <v>20.3</v>
      </c>
      <c r="O826" s="17">
        <f t="shared" ca="1" si="264"/>
        <v>0</v>
      </c>
      <c r="P826" s="18">
        <f t="shared" ca="1" si="265"/>
        <v>23.8</v>
      </c>
      <c r="Q826" s="17">
        <f t="shared" ca="1" si="266"/>
        <v>0</v>
      </c>
      <c r="R826" s="10">
        <f t="shared" ca="1" si="267"/>
        <v>65</v>
      </c>
      <c r="S826" s="17">
        <f t="shared" ca="1" si="268"/>
        <v>0</v>
      </c>
      <c r="T826" s="70">
        <f t="shared" ca="1" si="269"/>
        <v>0.3</v>
      </c>
      <c r="U826" s="17">
        <f t="shared" ca="1" si="270"/>
        <v>0</v>
      </c>
      <c r="V826" s="71">
        <f t="shared" ca="1" si="271"/>
        <v>2</v>
      </c>
      <c r="W826" s="17">
        <f t="shared" ca="1" si="272"/>
        <v>0</v>
      </c>
    </row>
    <row r="827" spans="1:23" x14ac:dyDescent="0.25">
      <c r="A827" s="4">
        <f t="shared" si="252"/>
        <v>32</v>
      </c>
      <c r="B827" t="str">
        <f ca="1">TEXT(DATE(YEAR(Invoer!$A$6),1,1)+INT((ROWS(B$2:B827)-1)/4),"jjjjmmdd")</f>
        <v>19400725</v>
      </c>
      <c r="C827" s="64" t="str">
        <f>IF(MOD(ROWS(C$2:C827)-1,4)=3,"24.00",INDEX(Data,3,2+MOD(ROWS(C$2:C827)-1,4)))</f>
        <v>12.00</v>
      </c>
      <c r="D827" s="18">
        <f t="shared" ca="1" si="253"/>
        <v>759.7</v>
      </c>
      <c r="E827" s="17">
        <f t="shared" ca="1" si="254"/>
        <v>0</v>
      </c>
      <c r="F827" s="18">
        <f t="shared" ca="1" si="255"/>
        <v>28.1</v>
      </c>
      <c r="G827" s="17">
        <f t="shared" ca="1" si="256"/>
        <v>0</v>
      </c>
      <c r="H827" s="18" t="str">
        <f t="shared" ca="1" si="257"/>
        <v>—</v>
      </c>
      <c r="I827" s="17">
        <f t="shared" ca="1" si="258"/>
        <v>7</v>
      </c>
      <c r="J827" s="18" t="str">
        <f t="shared" ca="1" si="259"/>
        <v>—</v>
      </c>
      <c r="K827" s="17">
        <f t="shared" ca="1" si="260"/>
        <v>7</v>
      </c>
      <c r="L827" s="10">
        <f t="shared" ca="1" si="261"/>
        <v>71</v>
      </c>
      <c r="M827" s="17">
        <f t="shared" ca="1" si="262"/>
        <v>0</v>
      </c>
      <c r="N827" s="18">
        <f t="shared" ca="1" si="263"/>
        <v>20.3</v>
      </c>
      <c r="O827" s="17">
        <f t="shared" ca="1" si="264"/>
        <v>0</v>
      </c>
      <c r="P827" s="18">
        <f t="shared" ca="1" si="265"/>
        <v>24</v>
      </c>
      <c r="Q827" s="17">
        <f t="shared" ca="1" si="266"/>
        <v>0</v>
      </c>
      <c r="R827" s="10">
        <f t="shared" ca="1" si="267"/>
        <v>65</v>
      </c>
      <c r="S827" s="17">
        <f t="shared" ca="1" si="268"/>
        <v>0</v>
      </c>
      <c r="T827" s="70">
        <f t="shared" ca="1" si="269"/>
        <v>0.4</v>
      </c>
      <c r="U827" s="17">
        <f t="shared" ca="1" si="270"/>
        <v>0</v>
      </c>
      <c r="V827" s="71">
        <f t="shared" ca="1" si="271"/>
        <v>2</v>
      </c>
      <c r="W827" s="17">
        <f t="shared" ca="1" si="272"/>
        <v>0</v>
      </c>
    </row>
    <row r="828" spans="1:23" x14ac:dyDescent="0.25">
      <c r="A828" s="4">
        <f t="shared" si="252"/>
        <v>32</v>
      </c>
      <c r="B828" t="str">
        <f ca="1">TEXT(DATE(YEAR(Invoer!$A$6),1,1)+INT((ROWS(B$2:B828)-1)/4),"jjjjmmdd")</f>
        <v>19400725</v>
      </c>
      <c r="C828" s="64" t="str">
        <f>IF(MOD(ROWS(C$2:C828)-1,4)=3,"24.00",INDEX(Data,3,2+MOD(ROWS(C$2:C828)-1,4)))</f>
        <v>17.00</v>
      </c>
      <c r="D828" s="18">
        <f t="shared" ca="1" si="253"/>
        <v>760.2</v>
      </c>
      <c r="E828" s="17">
        <f t="shared" ca="1" si="254"/>
        <v>0</v>
      </c>
      <c r="F828" s="18">
        <f t="shared" ca="1" si="255"/>
        <v>27.7</v>
      </c>
      <c r="G828" s="17">
        <f t="shared" ca="1" si="256"/>
        <v>0</v>
      </c>
      <c r="H828" s="18" t="str">
        <f t="shared" ca="1" si="257"/>
        <v>—</v>
      </c>
      <c r="I828" s="17">
        <f t="shared" ca="1" si="258"/>
        <v>7</v>
      </c>
      <c r="J828" s="18" t="str">
        <f t="shared" ca="1" si="259"/>
        <v>—</v>
      </c>
      <c r="K828" s="17">
        <f t="shared" ca="1" si="260"/>
        <v>7</v>
      </c>
      <c r="L828" s="10">
        <f t="shared" ca="1" si="261"/>
        <v>70</v>
      </c>
      <c r="M828" s="17">
        <f t="shared" ca="1" si="262"/>
        <v>0</v>
      </c>
      <c r="N828" s="18">
        <f t="shared" ca="1" si="263"/>
        <v>19.600000000000001</v>
      </c>
      <c r="O828" s="17">
        <f t="shared" ca="1" si="264"/>
        <v>0</v>
      </c>
      <c r="P828" s="18">
        <f t="shared" ca="1" si="265"/>
        <v>23.5</v>
      </c>
      <c r="Q828" s="17">
        <f t="shared" ca="1" si="266"/>
        <v>0</v>
      </c>
      <c r="R828" s="10">
        <f t="shared" ca="1" si="267"/>
        <v>65</v>
      </c>
      <c r="S828" s="17">
        <f t="shared" ca="1" si="268"/>
        <v>0</v>
      </c>
      <c r="T828" s="70">
        <f t="shared" ca="1" si="269"/>
        <v>0.4</v>
      </c>
      <c r="U828" s="17">
        <f t="shared" ca="1" si="270"/>
        <v>0</v>
      </c>
      <c r="V828" s="71">
        <f t="shared" ca="1" si="271"/>
        <v>2</v>
      </c>
      <c r="W828" s="17">
        <f t="shared" ca="1" si="272"/>
        <v>0</v>
      </c>
    </row>
    <row r="829" spans="1:23" x14ac:dyDescent="0.25">
      <c r="A829" s="4">
        <f t="shared" si="252"/>
        <v>32</v>
      </c>
      <c r="B829" t="str">
        <f ca="1">TEXT(DATE(YEAR(Invoer!$A$6),1,1)+INT((ROWS(B$2:B829)-1)/4),"jjjjmmdd")</f>
        <v>19400725</v>
      </c>
      <c r="C829" s="64" t="str">
        <f>IF(MOD(ROWS(C$2:C829)-1,4)=3,"24.00",INDEX(Data,3,2+MOD(ROWS(C$2:C829)-1,4)))</f>
        <v>24.00</v>
      </c>
      <c r="D829" s="18" t="str">
        <f t="shared" ca="1" si="253"/>
        <v>—</v>
      </c>
      <c r="E829" s="17">
        <f t="shared" ca="1" si="254"/>
        <v>7</v>
      </c>
      <c r="F829" s="18" t="str">
        <f t="shared" ca="1" si="255"/>
        <v>—</v>
      </c>
      <c r="G829" s="17">
        <f t="shared" ca="1" si="256"/>
        <v>7</v>
      </c>
      <c r="H829" s="18">
        <f t="shared" ca="1" si="257"/>
        <v>29</v>
      </c>
      <c r="I829" s="17">
        <f t="shared" ca="1" si="258"/>
        <v>0</v>
      </c>
      <c r="J829" s="18">
        <f t="shared" ca="1" si="259"/>
        <v>30.5</v>
      </c>
      <c r="K829" s="17">
        <f t="shared" ca="1" si="260"/>
        <v>0</v>
      </c>
      <c r="L829" s="10" t="str">
        <f t="shared" ca="1" si="261"/>
        <v>—</v>
      </c>
      <c r="M829" s="17">
        <f t="shared" ca="1" si="262"/>
        <v>7</v>
      </c>
      <c r="N829" s="18" t="str">
        <f t="shared" ca="1" si="263"/>
        <v>—</v>
      </c>
      <c r="O829" s="17">
        <f t="shared" ca="1" si="264"/>
        <v>7</v>
      </c>
      <c r="P829" s="18" t="str">
        <f t="shared" ca="1" si="265"/>
        <v>—</v>
      </c>
      <c r="Q829" s="17">
        <f t="shared" ca="1" si="266"/>
        <v>7</v>
      </c>
      <c r="R829" s="10" t="str">
        <f t="shared" ca="1" si="267"/>
        <v>—</v>
      </c>
      <c r="S829" s="17">
        <f t="shared" ca="1" si="268"/>
        <v>7</v>
      </c>
      <c r="T829" s="70" t="str">
        <f t="shared" ca="1" si="269"/>
        <v>—</v>
      </c>
      <c r="U829" s="17">
        <f t="shared" ca="1" si="270"/>
        <v>7</v>
      </c>
      <c r="V829" s="71" t="str">
        <f t="shared" ca="1" si="271"/>
        <v>—</v>
      </c>
      <c r="W829" s="17">
        <f t="shared" ca="1" si="272"/>
        <v>7</v>
      </c>
    </row>
    <row r="830" spans="1:23" x14ac:dyDescent="0.25">
      <c r="A830" s="4">
        <f t="shared" si="252"/>
        <v>32</v>
      </c>
      <c r="B830" t="str">
        <f ca="1">TEXT(DATE(YEAR(Invoer!$A$6),1,1)+INT((ROWS(B$2:B830)-1)/4),"jjjjmmdd")</f>
        <v>19400726</v>
      </c>
      <c r="C830" s="64" t="str">
        <f>IF(MOD(ROWS(C$2:C830)-1,4)=3,"24.00",INDEX(Data,3,2+MOD(ROWS(C$2:C830)-1,4)))</f>
        <v>07.00</v>
      </c>
      <c r="D830" s="18">
        <f t="shared" ca="1" si="253"/>
        <v>760.7</v>
      </c>
      <c r="E830" s="17">
        <f t="shared" ca="1" si="254"/>
        <v>0</v>
      </c>
      <c r="F830" s="18">
        <f t="shared" ca="1" si="255"/>
        <v>26.9</v>
      </c>
      <c r="G830" s="17">
        <f t="shared" ca="1" si="256"/>
        <v>0</v>
      </c>
      <c r="H830" s="18" t="str">
        <f t="shared" ca="1" si="257"/>
        <v>—</v>
      </c>
      <c r="I830" s="17">
        <f t="shared" ca="1" si="258"/>
        <v>7</v>
      </c>
      <c r="J830" s="18" t="str">
        <f t="shared" ca="1" si="259"/>
        <v>—</v>
      </c>
      <c r="K830" s="17">
        <f t="shared" ca="1" si="260"/>
        <v>7</v>
      </c>
      <c r="L830" s="10">
        <f t="shared" ca="1" si="261"/>
        <v>76</v>
      </c>
      <c r="M830" s="17">
        <f t="shared" ca="1" si="262"/>
        <v>0</v>
      </c>
      <c r="N830" s="18">
        <f t="shared" ca="1" si="263"/>
        <v>20.2</v>
      </c>
      <c r="O830" s="17">
        <f t="shared" ca="1" si="264"/>
        <v>0</v>
      </c>
      <c r="P830" s="18">
        <f t="shared" ca="1" si="265"/>
        <v>23.6</v>
      </c>
      <c r="Q830" s="17">
        <f t="shared" ca="1" si="266"/>
        <v>0</v>
      </c>
      <c r="R830" s="10">
        <f t="shared" ca="1" si="267"/>
        <v>90</v>
      </c>
      <c r="S830" s="17">
        <f t="shared" ca="1" si="268"/>
        <v>0</v>
      </c>
      <c r="T830" s="70">
        <f t="shared" ca="1" si="269"/>
        <v>0.4</v>
      </c>
      <c r="U830" s="17">
        <f t="shared" ca="1" si="270"/>
        <v>0</v>
      </c>
      <c r="V830" s="71">
        <f t="shared" ca="1" si="271"/>
        <v>2</v>
      </c>
      <c r="W830" s="17">
        <f t="shared" ca="1" si="272"/>
        <v>0</v>
      </c>
    </row>
    <row r="831" spans="1:23" x14ac:dyDescent="0.25">
      <c r="A831" s="4">
        <f t="shared" si="252"/>
        <v>32</v>
      </c>
      <c r="B831" t="str">
        <f ca="1">TEXT(DATE(YEAR(Invoer!$A$6),1,1)+INT((ROWS(B$2:B831)-1)/4),"jjjjmmdd")</f>
        <v>19400726</v>
      </c>
      <c r="C831" s="64" t="str">
        <f>IF(MOD(ROWS(C$2:C831)-1,4)=3,"24.00",INDEX(Data,3,2+MOD(ROWS(C$2:C831)-1,4)))</f>
        <v>12.00</v>
      </c>
      <c r="D831" s="18">
        <f t="shared" ca="1" si="253"/>
        <v>759.7</v>
      </c>
      <c r="E831" s="17">
        <f t="shared" ca="1" si="254"/>
        <v>0</v>
      </c>
      <c r="F831" s="18">
        <f t="shared" ca="1" si="255"/>
        <v>28.1</v>
      </c>
      <c r="G831" s="17">
        <f t="shared" ca="1" si="256"/>
        <v>0</v>
      </c>
      <c r="H831" s="18" t="str">
        <f t="shared" ca="1" si="257"/>
        <v>—</v>
      </c>
      <c r="I831" s="17">
        <f t="shared" ca="1" si="258"/>
        <v>7</v>
      </c>
      <c r="J831" s="18" t="str">
        <f t="shared" ca="1" si="259"/>
        <v>—</v>
      </c>
      <c r="K831" s="17">
        <f t="shared" ca="1" si="260"/>
        <v>7</v>
      </c>
      <c r="L831" s="10">
        <f t="shared" ca="1" si="261"/>
        <v>70</v>
      </c>
      <c r="M831" s="17">
        <f t="shared" ca="1" si="262"/>
        <v>0</v>
      </c>
      <c r="N831" s="18">
        <f t="shared" ca="1" si="263"/>
        <v>20</v>
      </c>
      <c r="O831" s="17">
        <f t="shared" ca="1" si="264"/>
        <v>0</v>
      </c>
      <c r="P831" s="18">
        <f t="shared" ca="1" si="265"/>
        <v>23.8</v>
      </c>
      <c r="Q831" s="17">
        <f t="shared" ca="1" si="266"/>
        <v>0</v>
      </c>
      <c r="R831" s="10">
        <f t="shared" ca="1" si="267"/>
        <v>90</v>
      </c>
      <c r="S831" s="17">
        <f t="shared" ca="1" si="268"/>
        <v>0</v>
      </c>
      <c r="T831" s="70">
        <f t="shared" ca="1" si="269"/>
        <v>0.4</v>
      </c>
      <c r="U831" s="17">
        <f t="shared" ca="1" si="270"/>
        <v>0</v>
      </c>
      <c r="V831" s="71">
        <f t="shared" ca="1" si="271"/>
        <v>2</v>
      </c>
      <c r="W831" s="17">
        <f t="shared" ca="1" si="272"/>
        <v>0</v>
      </c>
    </row>
    <row r="832" spans="1:23" x14ac:dyDescent="0.25">
      <c r="A832" s="4">
        <f t="shared" si="252"/>
        <v>32</v>
      </c>
      <c r="B832" t="str">
        <f ca="1">TEXT(DATE(YEAR(Invoer!$A$6),1,1)+INT((ROWS(B$2:B832)-1)/4),"jjjjmmdd")</f>
        <v>19400726</v>
      </c>
      <c r="C832" s="64" t="str">
        <f>IF(MOD(ROWS(C$2:C832)-1,4)=3,"24.00",INDEX(Data,3,2+MOD(ROWS(C$2:C832)-1,4)))</f>
        <v>17.00</v>
      </c>
      <c r="D832" s="18">
        <f t="shared" ca="1" si="253"/>
        <v>759.5</v>
      </c>
      <c r="E832" s="17">
        <f t="shared" ca="1" si="254"/>
        <v>0</v>
      </c>
      <c r="F832" s="18">
        <f t="shared" ca="1" si="255"/>
        <v>27.5</v>
      </c>
      <c r="G832" s="17">
        <f t="shared" ca="1" si="256"/>
        <v>0</v>
      </c>
      <c r="H832" s="18" t="str">
        <f t="shared" ca="1" si="257"/>
        <v>—</v>
      </c>
      <c r="I832" s="17">
        <f t="shared" ca="1" si="258"/>
        <v>7</v>
      </c>
      <c r="J832" s="18" t="str">
        <f t="shared" ca="1" si="259"/>
        <v>—</v>
      </c>
      <c r="K832" s="17">
        <f t="shared" ca="1" si="260"/>
        <v>7</v>
      </c>
      <c r="L832" s="10">
        <f t="shared" ca="1" si="261"/>
        <v>71</v>
      </c>
      <c r="M832" s="17">
        <f t="shared" ca="1" si="262"/>
        <v>0</v>
      </c>
      <c r="N832" s="18">
        <f t="shared" ca="1" si="263"/>
        <v>19.5</v>
      </c>
      <c r="O832" s="17">
        <f t="shared" ca="1" si="264"/>
        <v>0</v>
      </c>
      <c r="P832" s="18">
        <f t="shared" ca="1" si="265"/>
        <v>23.4</v>
      </c>
      <c r="Q832" s="17">
        <f t="shared" ca="1" si="266"/>
        <v>0</v>
      </c>
      <c r="R832" s="10">
        <f t="shared" ca="1" si="267"/>
        <v>90</v>
      </c>
      <c r="S832" s="17">
        <f t="shared" ca="1" si="268"/>
        <v>0</v>
      </c>
      <c r="T832" s="70">
        <f t="shared" ca="1" si="269"/>
        <v>0.4</v>
      </c>
      <c r="U832" s="17">
        <f t="shared" ca="1" si="270"/>
        <v>0</v>
      </c>
      <c r="V832" s="71">
        <f t="shared" ca="1" si="271"/>
        <v>2</v>
      </c>
      <c r="W832" s="17">
        <f t="shared" ca="1" si="272"/>
        <v>0</v>
      </c>
    </row>
    <row r="833" spans="1:23" x14ac:dyDescent="0.25">
      <c r="A833" s="4">
        <f t="shared" si="252"/>
        <v>32</v>
      </c>
      <c r="B833" t="str">
        <f ca="1">TEXT(DATE(YEAR(Invoer!$A$6),1,1)+INT((ROWS(B$2:B833)-1)/4),"jjjjmmdd")</f>
        <v>19400726</v>
      </c>
      <c r="C833" s="64" t="str">
        <f>IF(MOD(ROWS(C$2:C833)-1,4)=3,"24.00",INDEX(Data,3,2+MOD(ROWS(C$2:C833)-1,4)))</f>
        <v>24.00</v>
      </c>
      <c r="D833" s="18" t="str">
        <f t="shared" ca="1" si="253"/>
        <v>—</v>
      </c>
      <c r="E833" s="17">
        <f t="shared" ca="1" si="254"/>
        <v>7</v>
      </c>
      <c r="F833" s="18" t="str">
        <f t="shared" ca="1" si="255"/>
        <v>—</v>
      </c>
      <c r="G833" s="17">
        <f t="shared" ca="1" si="256"/>
        <v>7</v>
      </c>
      <c r="H833" s="18">
        <f t="shared" ca="1" si="257"/>
        <v>28.3</v>
      </c>
      <c r="I833" s="17">
        <f t="shared" ca="1" si="258"/>
        <v>0</v>
      </c>
      <c r="J833" s="18">
        <f t="shared" ca="1" si="259"/>
        <v>30.5</v>
      </c>
      <c r="K833" s="17">
        <f t="shared" ca="1" si="260"/>
        <v>0</v>
      </c>
      <c r="L833" s="10" t="str">
        <f t="shared" ca="1" si="261"/>
        <v>—</v>
      </c>
      <c r="M833" s="17">
        <f t="shared" ca="1" si="262"/>
        <v>7</v>
      </c>
      <c r="N833" s="18" t="str">
        <f t="shared" ca="1" si="263"/>
        <v>—</v>
      </c>
      <c r="O833" s="17">
        <f t="shared" ca="1" si="264"/>
        <v>7</v>
      </c>
      <c r="P833" s="18" t="str">
        <f t="shared" ca="1" si="265"/>
        <v>—</v>
      </c>
      <c r="Q833" s="17">
        <f t="shared" ca="1" si="266"/>
        <v>7</v>
      </c>
      <c r="R833" s="10" t="str">
        <f t="shared" ca="1" si="267"/>
        <v>—</v>
      </c>
      <c r="S833" s="17">
        <f t="shared" ca="1" si="268"/>
        <v>7</v>
      </c>
      <c r="T833" s="70" t="str">
        <f t="shared" ca="1" si="269"/>
        <v>—</v>
      </c>
      <c r="U833" s="17">
        <f t="shared" ca="1" si="270"/>
        <v>7</v>
      </c>
      <c r="V833" s="71" t="str">
        <f t="shared" ca="1" si="271"/>
        <v>—</v>
      </c>
      <c r="W833" s="17">
        <f t="shared" ca="1" si="272"/>
        <v>7</v>
      </c>
    </row>
    <row r="834" spans="1:23" x14ac:dyDescent="0.25">
      <c r="A834" s="4">
        <f t="shared" ref="A834:A897" si="273">INDEX(Stations,2,1)</f>
        <v>32</v>
      </c>
      <c r="B834" t="str">
        <f ca="1">TEXT(DATE(YEAR(Invoer!$A$6),1,1)+INT((ROWS(B$2:B834)-1)/4),"jjjjmmdd")</f>
        <v>19400727</v>
      </c>
      <c r="C834" s="64" t="str">
        <f>IF(MOD(ROWS(C$2:C834)-1,4)=3,"24.00",INDEX(Data,3,2+MOD(ROWS(C$2:C834)-1,4)))</f>
        <v>07.00</v>
      </c>
      <c r="D834" s="18">
        <f t="shared" ref="D834:D897" ca="1" si="274">IF(OR(ISBLANK(VLOOKUP(DATEVALUE(LEFT($B834,4)&amp;"-"&amp;MID($B834,5,2)&amp;"-"&amp;RIGHT($B834,2)),Data,MATCH(LEFT(VLOOKUP(D$1,Parameters,2,FALSE()),4)&amp;"*",OFFSET(Data,0,0,1),0)+MATCH($C834,OFFSET(Data,2,0,1),0)-2,FALSE())),ISTEXT(VLOOKUP(DATEVALUE(LEFT($B834,4)&amp;"-"&amp;MID($B834,5,2)&amp;"-"&amp;RIGHT($B834,2)),Data,MATCH(LEFT(VLOOKUP(D$1,Parameters,2,FALSE()),4)&amp;"*",OFFSET(Data,0,0,1),0)+MATCH($C834,OFFSET(Data,2,0,1),0)-2,FALSE())),EXACT($C834,"24.00")),"—",VLOOKUP(DATEVALUE(LEFT($B834,4)&amp;"-"&amp;MID($B834,5,2)&amp;"-"&amp;RIGHT($B834,2)),Data,MATCH(LEFT(VLOOKUP(D$1,Parameters,2,FALSE()),4)&amp;"*",OFFSET(Data,0,0,1),0)+MATCH($C834,OFFSET(Data,2,0,1),0)-2,FALSE())/10)</f>
        <v>760.7</v>
      </c>
      <c r="E834" s="17">
        <f t="shared" ref="E834:E897" ca="1" si="275">IF(OR(ISBLANK(VLOOKUP(DATEVALUE(LEFT($B834,4)&amp;"-"&amp;MID($B834,5,2)&amp;"-"&amp;RIGHT($B834,2)),Data,MATCH(LEFT(VLOOKUP(MID(E$1,2,LEN(E$1)-1),Parameters,2,FALSE()),4)&amp;"*",OFFSET(Data,0,0,1),0)+MATCH($C834,OFFSET(Data,2,0,1),0)-2,FALSE())),ISTEXT(VLOOKUP(DATEVALUE(LEFT($B834,4)&amp;"-"&amp;MID($B834,5,2)&amp;"-"&amp;RIGHT($B834,2)),Data,MATCH(LEFT(VLOOKUP(MID(E$1,2,LEN(E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Data,2,0,1),0)-2,FALSE())))</f>
        <v>0</v>
      </c>
      <c r="F834" s="18">
        <f t="shared" ref="F834:F897" ca="1" si="276">IF(OR(ISBLANK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ISTEXT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EXACT($C834,"24.00")),"—",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/10)</f>
        <v>27.9</v>
      </c>
      <c r="G834" s="17">
        <f t="shared" ref="G834:G897" ca="1" si="277">IF(OR(ISBLANK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ISTEXT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G$1,2,LEN(G$1)-1),Parameters,2,FALSE()),FIND(LOWER(MID(G$1,2,1)),VLOOKUP(MID(G$1,2,LEN(G$1)-1),Parameters,2,FALSE()),5),4)&amp;"*",OFFSET(Catalogus,0,0,1),0)+2*MATCH($C834,OFFSET(Catalogus,2,0,1),0)+MATCH(LEFT(VLOOKUP(MID(G$1,2,LEN(G$1)-1),Parameters,2,FALSE()),3)&amp;"*",OFFSET(Catalogus,2,4,1),0)-5,FALSE())))</f>
        <v>0</v>
      </c>
      <c r="H834" s="18" t="str">
        <f t="shared" ref="H834:H897" ca="1" si="278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/10)</f>
        <v>—</v>
      </c>
      <c r="I834" s="17">
        <f t="shared" ref="I834:I897" ca="1" si="279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  <c r="J834" s="18" t="str">
        <f t="shared" ref="J834:J897" ca="1" si="280">IF(OR(ISBLANK(VLOOKUP(DATEVALUE(LEFT($B834,4)&amp;"-"&amp;MID($B834,5,2)&amp;"-"&amp;RIGHT($B834,2)),Data,MATCH(LEFT(VLOOKUP(J$1,Parameters,2,FALSE()),4)&amp;"*",OFFSET(Data,1,0,1),0),FALSE())),ISTEXT(VLOOKUP(DATEVALUE(LEFT($B834,4)&amp;"-"&amp;MID($B834,5,2)&amp;"-"&amp;RIGHT($B834,2)),Data,MATCH(LEFT(VLOOKUP(J$1,Parameters,2,FALSE()),4)&amp;"*",OFFSET(Data,1,0,1),0),FALSE())),NOT(EXACT($C834,"24.00"))),"—",VLOOKUP(DATEVALUE(LEFT($B834,4)&amp;"-"&amp;MID($B834,5,2)&amp;"-"&amp;RIGHT($B834,2)),Data,MATCH(LEFT(VLOOKUP(J$1,Parameters,2,FALSE()),4)&amp;"*",OFFSET(Data,1,0,1),0),FALSE())/10)</f>
        <v>—</v>
      </c>
      <c r="K834" s="17">
        <f t="shared" ref="K834:K897" ca="1" si="281">IF(OR(ISBLANK(VLOOKUP(DATEVALUE(LEFT($B834,4)&amp;"-"&amp;MID($B834,5,2)&amp;"-"&amp;RIGHT($B834,2)),Data,MATCH(LEFT(VLOOKUP(MID(K$1,2,LEN(K$1)-1),Parameters,2,FALSE()),4)&amp;"*",OFFSET(Data,1,0,1),0),FALSE())),ISTEXT(VLOOKUP(DATEVALUE(LEFT($B834,4)&amp;"-"&amp;MID($B834,5,2)&amp;"-"&amp;RIGHT($B834,2)),Data,MATCH(LEFT(VLOOKUP(MID(K$1,2,LEN(K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K$1,2,LEN(K$1)-1),Parameters,2,FALSE()),4)&amp;"*",OFFSET(Catalogus,1,0,1),0),FALSE())))</f>
        <v>7</v>
      </c>
      <c r="L834" s="10">
        <f t="shared" ref="L834:L897" ca="1" si="282">IF(OR(ISBLANK(VLOOKUP(DATEVALUE(LEFT($B834,4)&amp;"-"&amp;MID($B834,5,2)&amp;"-"&amp;RIGHT($B834,2)),Data,MATCH(LEFT(VLOOKUP(L$1,Parameters,2,FALSE()),4)&amp;"*",OFFSET(Data,0,0,1),0)+MATCH($C834,OFFSET(Data,2,0,1),0)-2,FALSE())),ISTEXT(VLOOKUP(DATEVALUE(LEFT($B834,4)&amp;"-"&amp;MID($B834,5,2)&amp;"-"&amp;RIGHT($B834,2)),Data,MATCH(LEFT(VLOOKUP(L$1,Parameters,2,FALSE()),4)&amp;"*",OFFSET(Data,0,0,1),0)+MATCH($C834,OFFSET(Data,2,0,1),0)-2,FALSE())),EXACT($C834,"24.00")),"—",VLOOKUP(DATEVALUE(LEFT($B834,4)&amp;"-"&amp;MID($B834,5,2)&amp;"-"&amp;RIGHT($B834,2)),Data,MATCH(LEFT(VLOOKUP(L$1,Parameters,2,FALSE()),4)&amp;"*",OFFSET(Data,0,0,1),0)+MATCH($C834,OFFSET(Data,2,0,1),0)-2,FALSE()))</f>
        <v>71</v>
      </c>
      <c r="M834" s="17">
        <f t="shared" ref="M834:M897" ca="1" si="283">IF(OR(ISBLANK(VLOOKUP(DATEVALUE(LEFT($B834,4)&amp;"-"&amp;MID($B834,5,2)&amp;"-"&amp;RIGHT($B834,2)),Data,MATCH(LEFT(VLOOKUP(MID(M$1,2,LEN(M$1)-1),Parameters,2,FALSE()),4)&amp;"*",OFFSET(Data,0,0,1),0)+MATCH($C834,OFFSET(Data,2,0,1),0)-2,FALSE())),ISTEXT(VLOOKUP(DATEVALUE(LEFT($B834,4)&amp;"-"&amp;MID($B834,5,2)&amp;"-"&amp;RIGHT($B834,2)),Data,MATCH(LEFT(VLOOKUP(MID(M$1,2,LEN(M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M$1,2,LEN(M$1)-1),Parameters,2,FALSE()),4)&amp;"*",OFFSET(Catalogus,0,0,1),0)+MATCH($C834,OFFSET(Data,2,0,1),0)-2,FALSE())))</f>
        <v>0</v>
      </c>
      <c r="N834" s="18">
        <f t="shared" ref="N834:N897" ca="1" si="284">IF(OR(ISBLANK(VLOOKUP(DATEVALUE(LEFT($B834,4)&amp;"-"&amp;MID($B834,5,2)&amp;"-"&amp;RIGHT($B834,2)),Data,MATCH(LEFT(VLOOKUP(N$1,Parameters,2,FALSE()),4)&amp;"*",OFFSET(Data,0,0,1),0)+MATCH($C834,OFFSET(Data,2,0,1),0)-2,FALSE())),ISTEXT(VLOOKUP(DATEVALUE(LEFT($B834,4)&amp;"-"&amp;MID($B834,5,2)&amp;"-"&amp;RIGHT($B834,2)),Data,MATCH(LEFT(VLOOKUP(N$1,Parameters,2,FALSE()),4)&amp;"*",OFFSET(Data,0,0,1),0)+MATCH($C834,OFFSET(Data,2,0,1),0)-2,FALSE())),EXACT($C834,"24.00")),"—",VLOOKUP(DATEVALUE(LEFT($B834,4)&amp;"-"&amp;MID($B834,5,2)&amp;"-"&amp;RIGHT($B834,2)),Data,MATCH(LEFT(VLOOKUP(N$1,Parameters,2,FALSE()),4)&amp;"*",OFFSET(Data,0,0,1),0)+MATCH($C834,OFFSET(Data,2,0,1),0)-2,FALSE())/10)</f>
        <v>20.100000000000001</v>
      </c>
      <c r="O834" s="17">
        <f t="shared" ref="O834:O897" ca="1" si="285">IF(OR(ISBLANK(VLOOKUP(DATEVALUE(LEFT($B834,4)&amp;"-"&amp;MID($B834,5,2)&amp;"-"&amp;RIGHT($B834,2)),Data,MATCH(LEFT(VLOOKUP(MID(O$1,2,LEN(O$1)-1),Parameters,2,FALSE()),4)&amp;"*",OFFSET(Data,0,0,1),0)+MATCH($C834,OFFSET(Data,2,0,1),0)-2,FALSE())),ISTEXT(VLOOKUP(DATEVALUE(LEFT($B834,4)&amp;"-"&amp;MID($B834,5,2)&amp;"-"&amp;RIGHT($B834,2)),Data,MATCH(LEFT(VLOOKUP(MID(O$1,2,LEN(O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O$1,2,LEN(O$1)-1),Parameters,2,FALSE()),4)&amp;"*",OFFSET(Catalogus,0,0,1),0)+MATCH($C834,OFFSET(Data,2,0,1),0)-2,FALSE())))</f>
        <v>0</v>
      </c>
      <c r="P834" s="18">
        <f t="shared" ref="P834:P897" ca="1" si="286">IF(OR(ISBLANK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ISTEXT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EXACT($C834,"24.00")),"—",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/10)</f>
        <v>23.8</v>
      </c>
      <c r="Q834" s="17">
        <f t="shared" ref="Q834:Q897" ca="1" si="287">IF(OR(ISBLANK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ISTEXT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Q$1,2,LEN(Q$1)-1),Parameters,2,FALSE()),FIND(LOWER(MID(Q$1,2,1)),VLOOKUP(MID(Q$1,2,LEN(Q$1)-1),Parameters,2,FALSE()),5),4)&amp;"*",OFFSET(Catalogus,0,0,1),0)+2*MATCH($C834,OFFSET(Catalogus,2,0,1),0)+MATCH(LEFT(VLOOKUP(MID(Q$1,2,LEN(Q$1)-1),Parameters,2,FALSE()),3)&amp;"*",OFFSET(Catalogus,2,4,1),0)-5,FALSE())))</f>
        <v>0</v>
      </c>
      <c r="R834" s="10">
        <f t="shared" ref="R834:R897" ca="1" si="288">IF(OR(ISBLANK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),ISNA(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1,1,,1),0)),EXACT($C834,"24.00")),"—",INDEX(Windrichting,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0,1,,1),0),1))</f>
        <v>65</v>
      </c>
      <c r="S834" s="17">
        <f t="shared" ref="S834:S897" ca="1" si="289">IF(OR(ISBLANK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),ISNA(MATCH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,OFFSET(Windrichting,1,1,,1),0)),EXACT($C834,"24.00")),Lacking,IF(ISNA(MATCH(DATEVALUE(LEFT($B834,4)&amp;"-"&amp;MID($B834,5,2)&amp;"-"&amp;RIGHT($B834,2)),OFFSET(Catalogus,0,0,,1),0)),Ok,VLOOKUP(DATEVALUE(LEFT($B834,4)&amp;"-"&amp;MID($B834,5,2)&amp;"-"&amp;RIGHT($B834,2)),Catalogus,MATCH(LEFT(VLOOKUP(MID(S$1,2,LEN(S$1)-1),Parameters,2,FALSE()),4)&amp;"*",OFFSET(Catalogus,0,0,1),0)+2*MATCH($C834,OFFSET(Catalogus,2,0,1),0)+MATCH(MID(VLOOKUP(MID(S$1,2,LEN(S$1)-1),Parameters,2,FALSE()),5,LEN(VLOOKUP(MID(S$1,2,LEN(S$1)-1),Parameters,2,FALSE()))-4)&amp;"*",OFFSET(Catalogus,2,19,1),0)-5,FALSE())))</f>
        <v>0</v>
      </c>
      <c r="T834" s="70">
        <f t="shared" ref="T834:T897" ca="1" si="290">IF(OR(ISBLANK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ISTEXT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EXACT($C834,"24.00")),"—",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/10)</f>
        <v>0.4</v>
      </c>
      <c r="U834" s="17">
        <f t="shared" ref="U834:U897" ca="1" si="291">IF(OR(ISBLANK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ISTEXT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U$1,2,LEN(U$1)-1),Parameters,2,FALSE()),4)&amp;"*",OFFSET(Catalogus,0,0,1),0)+2*MATCH($C834,OFFSET(Catalogus,2,0,1),0)+MATCH(MID(VLOOKUP(MID(U$1,2,LEN(U$1)-1),Parameters,2,FALSE()),5,LEN(VLOOKUP(MID(U$1,2,LEN(U$1)-1),Parameters,2,FALSE()))-4)&amp;"*",OFFSET(Catalogus,2,19,1),0)-5,FALSE())))</f>
        <v>0</v>
      </c>
      <c r="V834" s="71">
        <f t="shared" ref="V834:V897" ca="1" si="292">IF(OR(ISBLANK(VLOOKUP(DATEVALUE(LEFT($B834,4)&amp;"-"&amp;MID($B834,5,2)&amp;"-"&amp;RIGHT($B834,2)),Data,MATCH(LEFT(VLOOKUP(V$1,Parameters,2,FALSE()),4)&amp;"*",OFFSET(Data,0,0,1),0)+MATCH($C834,OFFSET(Data,2,0,1),0)-2,FALSE())),ISTEXT(VLOOKUP(DATEVALUE(LEFT($B834,4)&amp;"-"&amp;MID($B834,5,2)&amp;"-"&amp;RIGHT($B834,2)),Data,MATCH(LEFT(VLOOKUP(V$1,Parameters,2,FALSE()),4)&amp;"*",OFFSET(Data,0,0,1),0)+MATCH($C834,OFFSET(Data,2,0,1),0)-2,FALSE())),EXACT($C834,"24.00")),"—",VLOOKUP(DATEVALUE(LEFT($B834,4)&amp;"-"&amp;MID($B834,5,2)&amp;"-"&amp;RIGHT($B834,2)),Data,MATCH(LEFT(VLOOKUP(V$1,Parameters,2,FALSE()),4)&amp;"*",OFFSET(Data,0,0,1),0)+MATCH($C834,OFFSET(Data,2,0,1),0)-2,FALSE()))</f>
        <v>3</v>
      </c>
      <c r="W834" s="17">
        <f t="shared" ref="W834:W897" ca="1" si="293">IF(OR(ISBLANK(VLOOKUP(DATEVALUE(LEFT($B834,4)&amp;"-"&amp;MID($B834,5,2)&amp;"-"&amp;RIGHT($B834,2)),Data,MATCH(LEFT(VLOOKUP(MID(W$1,2,LEN(W$1)-1),Parameters,2,FALSE()),4)&amp;"*",OFFSET(Data,0,0,1),0)+MATCH($C834,OFFSET(Data,2,0,1),0)-2,FALSE())),ISTEXT(VLOOKUP(DATEVALUE(LEFT($B834,4)&amp;"-"&amp;MID($B834,5,2)&amp;"-"&amp;RIGHT($B834,2)),Data,MATCH(LEFT(VLOOKUP(MID(W$1,2,LEN(W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W$1,2,LEN(W$1)-1),Parameters,2,FALSE()),4)&amp;"*",OFFSET(Catalogus,0,0,1),0)+MATCH($C834,OFFSET(Data,2,0,1),0)-2,FALSE())))</f>
        <v>0</v>
      </c>
    </row>
    <row r="835" spans="1:23" x14ac:dyDescent="0.25">
      <c r="A835" s="4">
        <f t="shared" si="273"/>
        <v>32</v>
      </c>
      <c r="B835" t="str">
        <f ca="1">TEXT(DATE(YEAR(Invoer!$A$6),1,1)+INT((ROWS(B$2:B835)-1)/4),"jjjjmmdd")</f>
        <v>19400727</v>
      </c>
      <c r="C835" s="64" t="str">
        <f>IF(MOD(ROWS(C$2:C835)-1,4)=3,"24.00",INDEX(Data,3,2+MOD(ROWS(C$2:C835)-1,4)))</f>
        <v>12.00</v>
      </c>
      <c r="D835" s="18">
        <f t="shared" ca="1" si="274"/>
        <v>760.7</v>
      </c>
      <c r="E835" s="17">
        <f t="shared" ca="1" si="275"/>
        <v>0</v>
      </c>
      <c r="F835" s="18">
        <f t="shared" ca="1" si="276"/>
        <v>28.5</v>
      </c>
      <c r="G835" s="17">
        <f t="shared" ca="1" si="277"/>
        <v>0</v>
      </c>
      <c r="H835" s="18" t="str">
        <f t="shared" ca="1" si="278"/>
        <v>—</v>
      </c>
      <c r="I835" s="17">
        <f t="shared" ca="1" si="279"/>
        <v>7</v>
      </c>
      <c r="J835" s="18" t="str">
        <f t="shared" ca="1" si="280"/>
        <v>—</v>
      </c>
      <c r="K835" s="17">
        <f t="shared" ca="1" si="281"/>
        <v>7</v>
      </c>
      <c r="L835" s="10">
        <f t="shared" ca="1" si="282"/>
        <v>73</v>
      </c>
      <c r="M835" s="17">
        <f t="shared" ca="1" si="283"/>
        <v>0</v>
      </c>
      <c r="N835" s="18">
        <f t="shared" ca="1" si="284"/>
        <v>21.3</v>
      </c>
      <c r="O835" s="17">
        <f t="shared" ca="1" si="285"/>
        <v>0</v>
      </c>
      <c r="P835" s="18">
        <f t="shared" ca="1" si="286"/>
        <v>24.6</v>
      </c>
      <c r="Q835" s="17">
        <f t="shared" ca="1" si="287"/>
        <v>0</v>
      </c>
      <c r="R835" s="10">
        <f t="shared" ca="1" si="288"/>
        <v>90</v>
      </c>
      <c r="S835" s="17">
        <f t="shared" ca="1" si="289"/>
        <v>0</v>
      </c>
      <c r="T835" s="70">
        <f t="shared" ca="1" si="290"/>
        <v>0.5</v>
      </c>
      <c r="U835" s="17">
        <f t="shared" ca="1" si="291"/>
        <v>0</v>
      </c>
      <c r="V835" s="71">
        <f t="shared" ca="1" si="292"/>
        <v>2</v>
      </c>
      <c r="W835" s="17">
        <f t="shared" ca="1" si="293"/>
        <v>0</v>
      </c>
    </row>
    <row r="836" spans="1:23" x14ac:dyDescent="0.25">
      <c r="A836" s="4">
        <f t="shared" si="273"/>
        <v>32</v>
      </c>
      <c r="B836" t="str">
        <f ca="1">TEXT(DATE(YEAR(Invoer!$A$6),1,1)+INT((ROWS(B$2:B836)-1)/4),"jjjjmmdd")</f>
        <v>19400727</v>
      </c>
      <c r="C836" s="64" t="str">
        <f>IF(MOD(ROWS(C$2:C836)-1,4)=3,"24.00",INDEX(Data,3,2+MOD(ROWS(C$2:C836)-1,4)))</f>
        <v>17.00</v>
      </c>
      <c r="D836" s="18">
        <f t="shared" ca="1" si="274"/>
        <v>760</v>
      </c>
      <c r="E836" s="17">
        <f t="shared" ca="1" si="275"/>
        <v>0</v>
      </c>
      <c r="F836" s="18">
        <f t="shared" ca="1" si="276"/>
        <v>28.1</v>
      </c>
      <c r="G836" s="17">
        <f t="shared" ca="1" si="277"/>
        <v>0</v>
      </c>
      <c r="H836" s="18" t="str">
        <f t="shared" ca="1" si="278"/>
        <v>—</v>
      </c>
      <c r="I836" s="17">
        <f t="shared" ca="1" si="279"/>
        <v>7</v>
      </c>
      <c r="J836" s="18" t="str">
        <f t="shared" ca="1" si="280"/>
        <v>—</v>
      </c>
      <c r="K836" s="17">
        <f t="shared" ca="1" si="281"/>
        <v>7</v>
      </c>
      <c r="L836" s="10">
        <f t="shared" ca="1" si="282"/>
        <v>71</v>
      </c>
      <c r="M836" s="17">
        <f t="shared" ca="1" si="283"/>
        <v>0</v>
      </c>
      <c r="N836" s="18">
        <f t="shared" ca="1" si="284"/>
        <v>20.3</v>
      </c>
      <c r="O836" s="17">
        <f t="shared" ca="1" si="285"/>
        <v>0</v>
      </c>
      <c r="P836" s="18">
        <f t="shared" ca="1" si="286"/>
        <v>24</v>
      </c>
      <c r="Q836" s="17">
        <f t="shared" ca="1" si="287"/>
        <v>0</v>
      </c>
      <c r="R836" s="10">
        <f t="shared" ca="1" si="288"/>
        <v>90</v>
      </c>
      <c r="S836" s="17">
        <f t="shared" ca="1" si="289"/>
        <v>0</v>
      </c>
      <c r="T836" s="70">
        <f t="shared" ca="1" si="290"/>
        <v>0.5</v>
      </c>
      <c r="U836" s="17">
        <f t="shared" ca="1" si="291"/>
        <v>0</v>
      </c>
      <c r="V836" s="71">
        <f t="shared" ca="1" si="292"/>
        <v>2</v>
      </c>
      <c r="W836" s="17">
        <f t="shared" ca="1" si="293"/>
        <v>0</v>
      </c>
    </row>
    <row r="837" spans="1:23" x14ac:dyDescent="0.25">
      <c r="A837" s="4">
        <f t="shared" si="273"/>
        <v>32</v>
      </c>
      <c r="B837" t="str">
        <f ca="1">TEXT(DATE(YEAR(Invoer!$A$6),1,1)+INT((ROWS(B$2:B837)-1)/4),"jjjjmmdd")</f>
        <v>19400727</v>
      </c>
      <c r="C837" s="64" t="str">
        <f>IF(MOD(ROWS(C$2:C837)-1,4)=3,"24.00",INDEX(Data,3,2+MOD(ROWS(C$2:C837)-1,4)))</f>
        <v>24.00</v>
      </c>
      <c r="D837" s="18" t="str">
        <f t="shared" ca="1" si="274"/>
        <v>—</v>
      </c>
      <c r="E837" s="17">
        <f t="shared" ca="1" si="275"/>
        <v>7</v>
      </c>
      <c r="F837" s="18" t="str">
        <f t="shared" ca="1" si="276"/>
        <v>—</v>
      </c>
      <c r="G837" s="17">
        <f t="shared" ca="1" si="277"/>
        <v>7</v>
      </c>
      <c r="H837" s="18">
        <f t="shared" ca="1" si="278"/>
        <v>29</v>
      </c>
      <c r="I837" s="17">
        <f t="shared" ca="1" si="279"/>
        <v>0</v>
      </c>
      <c r="J837" s="18">
        <f t="shared" ca="1" si="280"/>
        <v>30.5</v>
      </c>
      <c r="K837" s="17">
        <f t="shared" ca="1" si="281"/>
        <v>0</v>
      </c>
      <c r="L837" s="10" t="str">
        <f t="shared" ca="1" si="282"/>
        <v>—</v>
      </c>
      <c r="M837" s="17">
        <f t="shared" ca="1" si="283"/>
        <v>7</v>
      </c>
      <c r="N837" s="18" t="str">
        <f t="shared" ca="1" si="284"/>
        <v>—</v>
      </c>
      <c r="O837" s="17">
        <f t="shared" ca="1" si="285"/>
        <v>7</v>
      </c>
      <c r="P837" s="18" t="str">
        <f t="shared" ca="1" si="286"/>
        <v>—</v>
      </c>
      <c r="Q837" s="17">
        <f t="shared" ca="1" si="287"/>
        <v>7</v>
      </c>
      <c r="R837" s="10" t="str">
        <f t="shared" ca="1" si="288"/>
        <v>—</v>
      </c>
      <c r="S837" s="17">
        <f t="shared" ca="1" si="289"/>
        <v>7</v>
      </c>
      <c r="T837" s="70" t="str">
        <f t="shared" ca="1" si="290"/>
        <v>—</v>
      </c>
      <c r="U837" s="17">
        <f t="shared" ca="1" si="291"/>
        <v>7</v>
      </c>
      <c r="V837" s="71" t="str">
        <f t="shared" ca="1" si="292"/>
        <v>—</v>
      </c>
      <c r="W837" s="17">
        <f t="shared" ca="1" si="293"/>
        <v>7</v>
      </c>
    </row>
    <row r="838" spans="1:23" x14ac:dyDescent="0.25">
      <c r="A838" s="4">
        <f t="shared" si="273"/>
        <v>32</v>
      </c>
      <c r="B838" t="str">
        <f ca="1">TEXT(DATE(YEAR(Invoer!$A$6),1,1)+INT((ROWS(B$2:B838)-1)/4),"jjjjmmdd")</f>
        <v>19400728</v>
      </c>
      <c r="C838" s="64" t="str">
        <f>IF(MOD(ROWS(C$2:C838)-1,4)=3,"24.00",INDEX(Data,3,2+MOD(ROWS(C$2:C838)-1,4)))</f>
        <v>07.00</v>
      </c>
      <c r="D838" s="18">
        <f t="shared" ca="1" si="274"/>
        <v>759.5</v>
      </c>
      <c r="E838" s="17">
        <f t="shared" ca="1" si="275"/>
        <v>0</v>
      </c>
      <c r="F838" s="18">
        <f t="shared" ca="1" si="276"/>
        <v>28.1</v>
      </c>
      <c r="G838" s="17">
        <f t="shared" ca="1" si="277"/>
        <v>0</v>
      </c>
      <c r="H838" s="18" t="str">
        <f t="shared" ca="1" si="278"/>
        <v>—</v>
      </c>
      <c r="I838" s="17">
        <f t="shared" ca="1" si="279"/>
        <v>7</v>
      </c>
      <c r="J838" s="18" t="str">
        <f t="shared" ca="1" si="280"/>
        <v>—</v>
      </c>
      <c r="K838" s="17">
        <f t="shared" ca="1" si="281"/>
        <v>7</v>
      </c>
      <c r="L838" s="10">
        <f t="shared" ca="1" si="282"/>
        <v>70</v>
      </c>
      <c r="M838" s="17">
        <f t="shared" ca="1" si="283"/>
        <v>0</v>
      </c>
      <c r="N838" s="18">
        <f t="shared" ca="1" si="284"/>
        <v>20</v>
      </c>
      <c r="O838" s="17">
        <f t="shared" ca="1" si="285"/>
        <v>0</v>
      </c>
      <c r="P838" s="18">
        <f t="shared" ca="1" si="286"/>
        <v>23.8</v>
      </c>
      <c r="Q838" s="17">
        <f t="shared" ca="1" si="287"/>
        <v>0</v>
      </c>
      <c r="R838" s="10">
        <f t="shared" ca="1" si="288"/>
        <v>65</v>
      </c>
      <c r="S838" s="17">
        <f t="shared" ca="1" si="289"/>
        <v>0</v>
      </c>
      <c r="T838" s="70">
        <f t="shared" ca="1" si="290"/>
        <v>0.4</v>
      </c>
      <c r="U838" s="17">
        <f t="shared" ca="1" si="291"/>
        <v>0</v>
      </c>
      <c r="V838" s="71">
        <f t="shared" ca="1" si="292"/>
        <v>3</v>
      </c>
      <c r="W838" s="17">
        <f t="shared" ca="1" si="293"/>
        <v>0</v>
      </c>
    </row>
    <row r="839" spans="1:23" x14ac:dyDescent="0.25">
      <c r="A839" s="4">
        <f t="shared" si="273"/>
        <v>32</v>
      </c>
      <c r="B839" t="str">
        <f ca="1">TEXT(DATE(YEAR(Invoer!$A$6),1,1)+INT((ROWS(B$2:B839)-1)/4),"jjjjmmdd")</f>
        <v>19400728</v>
      </c>
      <c r="C839" s="64" t="str">
        <f>IF(MOD(ROWS(C$2:C839)-1,4)=3,"24.00",INDEX(Data,3,2+MOD(ROWS(C$2:C839)-1,4)))</f>
        <v>12.00</v>
      </c>
      <c r="D839" s="18">
        <f t="shared" ca="1" si="274"/>
        <v>760.2</v>
      </c>
      <c r="E839" s="17">
        <f t="shared" ca="1" si="275"/>
        <v>0</v>
      </c>
      <c r="F839" s="18">
        <f t="shared" ca="1" si="276"/>
        <v>28.4</v>
      </c>
      <c r="G839" s="17">
        <f t="shared" ca="1" si="277"/>
        <v>0</v>
      </c>
      <c r="H839" s="18" t="str">
        <f t="shared" ca="1" si="278"/>
        <v>—</v>
      </c>
      <c r="I839" s="17">
        <f t="shared" ca="1" si="279"/>
        <v>7</v>
      </c>
      <c r="J839" s="18" t="str">
        <f t="shared" ca="1" si="280"/>
        <v>—</v>
      </c>
      <c r="K839" s="17">
        <f t="shared" ca="1" si="281"/>
        <v>7</v>
      </c>
      <c r="L839" s="10">
        <f t="shared" ca="1" si="282"/>
        <v>72</v>
      </c>
      <c r="M839" s="17">
        <f t="shared" ca="1" si="283"/>
        <v>0</v>
      </c>
      <c r="N839" s="18">
        <f t="shared" ca="1" si="284"/>
        <v>20.9</v>
      </c>
      <c r="O839" s="17">
        <f t="shared" ca="1" si="285"/>
        <v>0</v>
      </c>
      <c r="P839" s="18">
        <f t="shared" ca="1" si="286"/>
        <v>24.4</v>
      </c>
      <c r="Q839" s="17">
        <f t="shared" ca="1" si="287"/>
        <v>0</v>
      </c>
      <c r="R839" s="10">
        <f t="shared" ca="1" si="288"/>
        <v>65</v>
      </c>
      <c r="S839" s="17">
        <f t="shared" ca="1" si="289"/>
        <v>0</v>
      </c>
      <c r="T839" s="70">
        <f t="shared" ca="1" si="290"/>
        <v>0.5</v>
      </c>
      <c r="U839" s="17">
        <f t="shared" ca="1" si="291"/>
        <v>0</v>
      </c>
      <c r="V839" s="71">
        <f t="shared" ca="1" si="292"/>
        <v>2</v>
      </c>
      <c r="W839" s="17">
        <f t="shared" ca="1" si="293"/>
        <v>0</v>
      </c>
    </row>
    <row r="840" spans="1:23" x14ac:dyDescent="0.25">
      <c r="A840" s="4">
        <f t="shared" si="273"/>
        <v>32</v>
      </c>
      <c r="B840" t="str">
        <f ca="1">TEXT(DATE(YEAR(Invoer!$A$6),1,1)+INT((ROWS(B$2:B840)-1)/4),"jjjjmmdd")</f>
        <v>19400728</v>
      </c>
      <c r="C840" s="64" t="str">
        <f>IF(MOD(ROWS(C$2:C840)-1,4)=3,"24.00",INDEX(Data,3,2+MOD(ROWS(C$2:C840)-1,4)))</f>
        <v>17.00</v>
      </c>
      <c r="D840" s="18">
        <f t="shared" ca="1" si="274"/>
        <v>758.9</v>
      </c>
      <c r="E840" s="17">
        <f t="shared" ca="1" si="275"/>
        <v>0</v>
      </c>
      <c r="F840" s="18">
        <f t="shared" ca="1" si="276"/>
        <v>27.9</v>
      </c>
      <c r="G840" s="17">
        <f t="shared" ca="1" si="277"/>
        <v>0</v>
      </c>
      <c r="H840" s="18" t="str">
        <f t="shared" ca="1" si="278"/>
        <v>—</v>
      </c>
      <c r="I840" s="17">
        <f t="shared" ca="1" si="279"/>
        <v>7</v>
      </c>
      <c r="J840" s="18" t="str">
        <f t="shared" ca="1" si="280"/>
        <v>—</v>
      </c>
      <c r="K840" s="17">
        <f t="shared" ca="1" si="281"/>
        <v>7</v>
      </c>
      <c r="L840" s="10">
        <f t="shared" ca="1" si="282"/>
        <v>71</v>
      </c>
      <c r="M840" s="17">
        <f t="shared" ca="1" si="283"/>
        <v>0</v>
      </c>
      <c r="N840" s="18">
        <f t="shared" ca="1" si="284"/>
        <v>20.100000000000001</v>
      </c>
      <c r="O840" s="17">
        <f t="shared" ca="1" si="285"/>
        <v>0</v>
      </c>
      <c r="P840" s="18">
        <f t="shared" ca="1" si="286"/>
        <v>23.8</v>
      </c>
      <c r="Q840" s="17">
        <f t="shared" ca="1" si="287"/>
        <v>0</v>
      </c>
      <c r="R840" s="10">
        <f t="shared" ca="1" si="288"/>
        <v>90</v>
      </c>
      <c r="S840" s="17">
        <f t="shared" ca="1" si="289"/>
        <v>0</v>
      </c>
      <c r="T840" s="70">
        <f t="shared" ca="1" si="290"/>
        <v>0.4</v>
      </c>
      <c r="U840" s="17">
        <f t="shared" ca="1" si="291"/>
        <v>0</v>
      </c>
      <c r="V840" s="71">
        <f t="shared" ca="1" si="292"/>
        <v>2</v>
      </c>
      <c r="W840" s="17">
        <f t="shared" ca="1" si="293"/>
        <v>0</v>
      </c>
    </row>
    <row r="841" spans="1:23" x14ac:dyDescent="0.25">
      <c r="A841" s="4">
        <f t="shared" si="273"/>
        <v>32</v>
      </c>
      <c r="B841" t="str">
        <f ca="1">TEXT(DATE(YEAR(Invoer!$A$6),1,1)+INT((ROWS(B$2:B841)-1)/4),"jjjjmmdd")</f>
        <v>19400728</v>
      </c>
      <c r="C841" s="64" t="str">
        <f>IF(MOD(ROWS(C$2:C841)-1,4)=3,"24.00",INDEX(Data,3,2+MOD(ROWS(C$2:C841)-1,4)))</f>
        <v>24.00</v>
      </c>
      <c r="D841" s="18" t="str">
        <f t="shared" ca="1" si="274"/>
        <v>—</v>
      </c>
      <c r="E841" s="17">
        <f t="shared" ca="1" si="275"/>
        <v>7</v>
      </c>
      <c r="F841" s="18" t="str">
        <f t="shared" ca="1" si="276"/>
        <v>—</v>
      </c>
      <c r="G841" s="17">
        <f t="shared" ca="1" si="277"/>
        <v>7</v>
      </c>
      <c r="H841" s="18">
        <f t="shared" ca="1" si="278"/>
        <v>28.4</v>
      </c>
      <c r="I841" s="17">
        <f t="shared" ca="1" si="279"/>
        <v>0</v>
      </c>
      <c r="J841" s="18">
        <f t="shared" ca="1" si="280"/>
        <v>30.4</v>
      </c>
      <c r="K841" s="17">
        <f t="shared" ca="1" si="281"/>
        <v>0</v>
      </c>
      <c r="L841" s="10" t="str">
        <f t="shared" ca="1" si="282"/>
        <v>—</v>
      </c>
      <c r="M841" s="17">
        <f t="shared" ca="1" si="283"/>
        <v>7</v>
      </c>
      <c r="N841" s="18" t="str">
        <f t="shared" ca="1" si="284"/>
        <v>—</v>
      </c>
      <c r="O841" s="17">
        <f t="shared" ca="1" si="285"/>
        <v>7</v>
      </c>
      <c r="P841" s="18" t="str">
        <f t="shared" ca="1" si="286"/>
        <v>—</v>
      </c>
      <c r="Q841" s="17">
        <f t="shared" ca="1" si="287"/>
        <v>7</v>
      </c>
      <c r="R841" s="10" t="str">
        <f t="shared" ca="1" si="288"/>
        <v>—</v>
      </c>
      <c r="S841" s="17">
        <f t="shared" ca="1" si="289"/>
        <v>7</v>
      </c>
      <c r="T841" s="70" t="str">
        <f t="shared" ca="1" si="290"/>
        <v>—</v>
      </c>
      <c r="U841" s="17">
        <f t="shared" ca="1" si="291"/>
        <v>7</v>
      </c>
      <c r="V841" s="71" t="str">
        <f t="shared" ca="1" si="292"/>
        <v>—</v>
      </c>
      <c r="W841" s="17">
        <f t="shared" ca="1" si="293"/>
        <v>7</v>
      </c>
    </row>
    <row r="842" spans="1:23" x14ac:dyDescent="0.25">
      <c r="A842" s="4">
        <f t="shared" si="273"/>
        <v>32</v>
      </c>
      <c r="B842" t="str">
        <f ca="1">TEXT(DATE(YEAR(Invoer!$A$6),1,1)+INT((ROWS(B$2:B842)-1)/4),"jjjjmmdd")</f>
        <v>19400729</v>
      </c>
      <c r="C842" s="64" t="str">
        <f>IF(MOD(ROWS(C$2:C842)-1,4)=3,"24.00",INDEX(Data,3,2+MOD(ROWS(C$2:C842)-1,4)))</f>
        <v>07.00</v>
      </c>
      <c r="D842" s="18">
        <f t="shared" ca="1" si="274"/>
        <v>761</v>
      </c>
      <c r="E842" s="17">
        <f t="shared" ca="1" si="275"/>
        <v>0</v>
      </c>
      <c r="F842" s="18">
        <f t="shared" ca="1" si="276"/>
        <v>27.5</v>
      </c>
      <c r="G842" s="17">
        <f t="shared" ca="1" si="277"/>
        <v>0</v>
      </c>
      <c r="H842" s="18" t="str">
        <f t="shared" ca="1" si="278"/>
        <v>—</v>
      </c>
      <c r="I842" s="17">
        <f t="shared" ca="1" si="279"/>
        <v>7</v>
      </c>
      <c r="J842" s="18" t="str">
        <f t="shared" ca="1" si="280"/>
        <v>—</v>
      </c>
      <c r="K842" s="17">
        <f t="shared" ca="1" si="281"/>
        <v>7</v>
      </c>
      <c r="L842" s="10">
        <f t="shared" ca="1" si="282"/>
        <v>72</v>
      </c>
      <c r="M842" s="17">
        <f t="shared" ca="1" si="283"/>
        <v>0</v>
      </c>
      <c r="N842" s="18">
        <f t="shared" ca="1" si="284"/>
        <v>19.899999999999999</v>
      </c>
      <c r="O842" s="17">
        <f t="shared" ca="1" si="285"/>
        <v>0</v>
      </c>
      <c r="P842" s="18">
        <f t="shared" ca="1" si="286"/>
        <v>23.6</v>
      </c>
      <c r="Q842" s="17">
        <f t="shared" ca="1" si="287"/>
        <v>0</v>
      </c>
      <c r="R842" s="10">
        <f t="shared" ca="1" si="288"/>
        <v>65</v>
      </c>
      <c r="S842" s="17">
        <f t="shared" ca="1" si="289"/>
        <v>0</v>
      </c>
      <c r="T842" s="70">
        <f t="shared" ca="1" si="290"/>
        <v>0.4</v>
      </c>
      <c r="U842" s="17">
        <f t="shared" ca="1" si="291"/>
        <v>0</v>
      </c>
      <c r="V842" s="71">
        <f t="shared" ca="1" si="292"/>
        <v>3</v>
      </c>
      <c r="W842" s="17">
        <f t="shared" ca="1" si="293"/>
        <v>0</v>
      </c>
    </row>
    <row r="843" spans="1:23" x14ac:dyDescent="0.25">
      <c r="A843" s="4">
        <f t="shared" si="273"/>
        <v>32</v>
      </c>
      <c r="B843" t="str">
        <f ca="1">TEXT(DATE(YEAR(Invoer!$A$6),1,1)+INT((ROWS(B$2:B843)-1)/4),"jjjjmmdd")</f>
        <v>19400729</v>
      </c>
      <c r="C843" s="64" t="str">
        <f>IF(MOD(ROWS(C$2:C843)-1,4)=3,"24.00",INDEX(Data,3,2+MOD(ROWS(C$2:C843)-1,4)))</f>
        <v>12.00</v>
      </c>
      <c r="D843" s="18">
        <f t="shared" ca="1" si="274"/>
        <v>761.2</v>
      </c>
      <c r="E843" s="17">
        <f t="shared" ca="1" si="275"/>
        <v>0</v>
      </c>
      <c r="F843" s="18">
        <f t="shared" ca="1" si="276"/>
        <v>28.5</v>
      </c>
      <c r="G843" s="17">
        <f t="shared" ca="1" si="277"/>
        <v>0</v>
      </c>
      <c r="H843" s="18" t="str">
        <f t="shared" ca="1" si="278"/>
        <v>—</v>
      </c>
      <c r="I843" s="17">
        <f t="shared" ca="1" si="279"/>
        <v>7</v>
      </c>
      <c r="J843" s="18" t="str">
        <f t="shared" ca="1" si="280"/>
        <v>—</v>
      </c>
      <c r="K843" s="17">
        <f t="shared" ca="1" si="281"/>
        <v>7</v>
      </c>
      <c r="L843" s="10">
        <f t="shared" ca="1" si="282"/>
        <v>70</v>
      </c>
      <c r="M843" s="17">
        <f t="shared" ca="1" si="283"/>
        <v>0</v>
      </c>
      <c r="N843" s="18">
        <f t="shared" ca="1" si="284"/>
        <v>20.5</v>
      </c>
      <c r="O843" s="17">
        <f t="shared" ca="1" si="285"/>
        <v>0</v>
      </c>
      <c r="P843" s="18">
        <f t="shared" ca="1" si="286"/>
        <v>24.2</v>
      </c>
      <c r="Q843" s="17">
        <f t="shared" ca="1" si="287"/>
        <v>0</v>
      </c>
      <c r="R843" s="10">
        <f t="shared" ca="1" si="288"/>
        <v>65</v>
      </c>
      <c r="S843" s="17">
        <f t="shared" ca="1" si="289"/>
        <v>0</v>
      </c>
      <c r="T843" s="70">
        <f t="shared" ca="1" si="290"/>
        <v>0.5</v>
      </c>
      <c r="U843" s="17">
        <f t="shared" ca="1" si="291"/>
        <v>0</v>
      </c>
      <c r="V843" s="71">
        <f t="shared" ca="1" si="292"/>
        <v>2</v>
      </c>
      <c r="W843" s="17">
        <f t="shared" ca="1" si="293"/>
        <v>0</v>
      </c>
    </row>
    <row r="844" spans="1:23" x14ac:dyDescent="0.25">
      <c r="A844" s="4">
        <f t="shared" si="273"/>
        <v>32</v>
      </c>
      <c r="B844" t="str">
        <f ca="1">TEXT(DATE(YEAR(Invoer!$A$6),1,1)+INT((ROWS(B$2:B844)-1)/4),"jjjjmmdd")</f>
        <v>19400729</v>
      </c>
      <c r="C844" s="64" t="str">
        <f>IF(MOD(ROWS(C$2:C844)-1,4)=3,"24.00",INDEX(Data,3,2+MOD(ROWS(C$2:C844)-1,4)))</f>
        <v>17.00</v>
      </c>
      <c r="D844" s="18">
        <f t="shared" ca="1" si="274"/>
        <v>760</v>
      </c>
      <c r="E844" s="17">
        <f t="shared" ca="1" si="275"/>
        <v>0</v>
      </c>
      <c r="F844" s="18">
        <f t="shared" ca="1" si="276"/>
        <v>28.1</v>
      </c>
      <c r="G844" s="17">
        <f t="shared" ca="1" si="277"/>
        <v>0</v>
      </c>
      <c r="H844" s="18" t="str">
        <f t="shared" ca="1" si="278"/>
        <v>—</v>
      </c>
      <c r="I844" s="17">
        <f t="shared" ca="1" si="279"/>
        <v>7</v>
      </c>
      <c r="J844" s="18" t="str">
        <f t="shared" ca="1" si="280"/>
        <v>—</v>
      </c>
      <c r="K844" s="17">
        <f t="shared" ca="1" si="281"/>
        <v>7</v>
      </c>
      <c r="L844" s="10">
        <f t="shared" ca="1" si="282"/>
        <v>71</v>
      </c>
      <c r="M844" s="17">
        <f t="shared" ca="1" si="283"/>
        <v>0</v>
      </c>
      <c r="N844" s="18">
        <f t="shared" ca="1" si="284"/>
        <v>20.3</v>
      </c>
      <c r="O844" s="17">
        <f t="shared" ca="1" si="285"/>
        <v>0</v>
      </c>
      <c r="P844" s="18">
        <f t="shared" ca="1" si="286"/>
        <v>24</v>
      </c>
      <c r="Q844" s="17">
        <f t="shared" ca="1" si="287"/>
        <v>0</v>
      </c>
      <c r="R844" s="10">
        <f t="shared" ca="1" si="288"/>
        <v>90</v>
      </c>
      <c r="S844" s="17">
        <f t="shared" ca="1" si="289"/>
        <v>0</v>
      </c>
      <c r="T844" s="70">
        <f t="shared" ca="1" si="290"/>
        <v>0.6</v>
      </c>
      <c r="U844" s="17">
        <f t="shared" ca="1" si="291"/>
        <v>0</v>
      </c>
      <c r="V844" s="71">
        <f t="shared" ca="1" si="292"/>
        <v>2</v>
      </c>
      <c r="W844" s="17">
        <f t="shared" ca="1" si="293"/>
        <v>0</v>
      </c>
    </row>
    <row r="845" spans="1:23" x14ac:dyDescent="0.25">
      <c r="A845" s="4">
        <f t="shared" si="273"/>
        <v>32</v>
      </c>
      <c r="B845" t="str">
        <f ca="1">TEXT(DATE(YEAR(Invoer!$A$6),1,1)+INT((ROWS(B$2:B845)-1)/4),"jjjjmmdd")</f>
        <v>19400729</v>
      </c>
      <c r="C845" s="64" t="str">
        <f>IF(MOD(ROWS(C$2:C845)-1,4)=3,"24.00",INDEX(Data,3,2+MOD(ROWS(C$2:C845)-1,4)))</f>
        <v>24.00</v>
      </c>
      <c r="D845" s="18" t="str">
        <f t="shared" ca="1" si="274"/>
        <v>—</v>
      </c>
      <c r="E845" s="17">
        <f t="shared" ca="1" si="275"/>
        <v>7</v>
      </c>
      <c r="F845" s="18" t="str">
        <f t="shared" ca="1" si="276"/>
        <v>—</v>
      </c>
      <c r="G845" s="17">
        <f t="shared" ca="1" si="277"/>
        <v>7</v>
      </c>
      <c r="H845" s="18">
        <f t="shared" ca="1" si="278"/>
        <v>29</v>
      </c>
      <c r="I845" s="17">
        <f t="shared" ca="1" si="279"/>
        <v>0</v>
      </c>
      <c r="J845" s="18">
        <f t="shared" ca="1" si="280"/>
        <v>30.5</v>
      </c>
      <c r="K845" s="17">
        <f t="shared" ca="1" si="281"/>
        <v>0</v>
      </c>
      <c r="L845" s="10" t="str">
        <f t="shared" ca="1" si="282"/>
        <v>—</v>
      </c>
      <c r="M845" s="17">
        <f t="shared" ca="1" si="283"/>
        <v>7</v>
      </c>
      <c r="N845" s="18" t="str">
        <f t="shared" ca="1" si="284"/>
        <v>—</v>
      </c>
      <c r="O845" s="17">
        <f t="shared" ca="1" si="285"/>
        <v>7</v>
      </c>
      <c r="P845" s="18" t="str">
        <f t="shared" ca="1" si="286"/>
        <v>—</v>
      </c>
      <c r="Q845" s="17">
        <f t="shared" ca="1" si="287"/>
        <v>7</v>
      </c>
      <c r="R845" s="10" t="str">
        <f t="shared" ca="1" si="288"/>
        <v>—</v>
      </c>
      <c r="S845" s="17">
        <f t="shared" ca="1" si="289"/>
        <v>7</v>
      </c>
      <c r="T845" s="70" t="str">
        <f t="shared" ca="1" si="290"/>
        <v>—</v>
      </c>
      <c r="U845" s="17">
        <f t="shared" ca="1" si="291"/>
        <v>7</v>
      </c>
      <c r="V845" s="71" t="str">
        <f t="shared" ca="1" si="292"/>
        <v>—</v>
      </c>
      <c r="W845" s="17">
        <f t="shared" ca="1" si="293"/>
        <v>7</v>
      </c>
    </row>
    <row r="846" spans="1:23" x14ac:dyDescent="0.25">
      <c r="A846" s="4">
        <f t="shared" si="273"/>
        <v>32</v>
      </c>
      <c r="B846" t="str">
        <f ca="1">TEXT(DATE(YEAR(Invoer!$A$6),1,1)+INT((ROWS(B$2:B846)-1)/4),"jjjjmmdd")</f>
        <v>19400730</v>
      </c>
      <c r="C846" s="64" t="str">
        <f>IF(MOD(ROWS(C$2:C846)-1,4)=3,"24.00",INDEX(Data,3,2+MOD(ROWS(C$2:C846)-1,4)))</f>
        <v>07.00</v>
      </c>
      <c r="D846" s="18">
        <f t="shared" ca="1" si="274"/>
        <v>761.7</v>
      </c>
      <c r="E846" s="17">
        <f t="shared" ca="1" si="275"/>
        <v>0</v>
      </c>
      <c r="F846" s="18">
        <f t="shared" ca="1" si="276"/>
        <v>26.9</v>
      </c>
      <c r="G846" s="17">
        <f t="shared" ca="1" si="277"/>
        <v>0</v>
      </c>
      <c r="H846" s="18" t="str">
        <f t="shared" ca="1" si="278"/>
        <v>—</v>
      </c>
      <c r="I846" s="17">
        <f t="shared" ca="1" si="279"/>
        <v>7</v>
      </c>
      <c r="J846" s="18" t="str">
        <f t="shared" ca="1" si="280"/>
        <v>—</v>
      </c>
      <c r="K846" s="17">
        <f t="shared" ca="1" si="281"/>
        <v>7</v>
      </c>
      <c r="L846" s="10">
        <f t="shared" ca="1" si="282"/>
        <v>74</v>
      </c>
      <c r="M846" s="17">
        <f t="shared" ca="1" si="283"/>
        <v>0</v>
      </c>
      <c r="N846" s="18">
        <f t="shared" ca="1" si="284"/>
        <v>19.8</v>
      </c>
      <c r="O846" s="17">
        <f t="shared" ca="1" si="285"/>
        <v>0</v>
      </c>
      <c r="P846" s="18">
        <f t="shared" ca="1" si="286"/>
        <v>23.4</v>
      </c>
      <c r="Q846" s="17">
        <f t="shared" ca="1" si="287"/>
        <v>0</v>
      </c>
      <c r="R846" s="10">
        <f t="shared" ca="1" si="288"/>
        <v>65</v>
      </c>
      <c r="S846" s="17">
        <f t="shared" ca="1" si="289"/>
        <v>0</v>
      </c>
      <c r="T846" s="70">
        <f t="shared" ca="1" si="290"/>
        <v>0.5</v>
      </c>
      <c r="U846" s="17">
        <f t="shared" ca="1" si="291"/>
        <v>0</v>
      </c>
      <c r="V846" s="71">
        <f t="shared" ca="1" si="292"/>
        <v>2</v>
      </c>
      <c r="W846" s="17">
        <f t="shared" ca="1" si="293"/>
        <v>0</v>
      </c>
    </row>
    <row r="847" spans="1:23" x14ac:dyDescent="0.25">
      <c r="A847" s="4">
        <f t="shared" si="273"/>
        <v>32</v>
      </c>
      <c r="B847" t="str">
        <f ca="1">TEXT(DATE(YEAR(Invoer!$A$6),1,1)+INT((ROWS(B$2:B847)-1)/4),"jjjjmmdd")</f>
        <v>19400730</v>
      </c>
      <c r="C847" s="64" t="str">
        <f>IF(MOD(ROWS(C$2:C847)-1,4)=3,"24.00",INDEX(Data,3,2+MOD(ROWS(C$2:C847)-1,4)))</f>
        <v>12.00</v>
      </c>
      <c r="D847" s="18">
        <f t="shared" ca="1" si="274"/>
        <v>761.5</v>
      </c>
      <c r="E847" s="17">
        <f t="shared" ca="1" si="275"/>
        <v>0</v>
      </c>
      <c r="F847" s="18">
        <f t="shared" ca="1" si="276"/>
        <v>28.1</v>
      </c>
      <c r="G847" s="17">
        <f t="shared" ca="1" si="277"/>
        <v>0</v>
      </c>
      <c r="H847" s="18" t="str">
        <f t="shared" ca="1" si="278"/>
        <v>—</v>
      </c>
      <c r="I847" s="17">
        <f t="shared" ca="1" si="279"/>
        <v>7</v>
      </c>
      <c r="J847" s="18" t="str">
        <f t="shared" ca="1" si="280"/>
        <v>—</v>
      </c>
      <c r="K847" s="17">
        <f t="shared" ca="1" si="281"/>
        <v>7</v>
      </c>
      <c r="L847" s="10">
        <f t="shared" ca="1" si="282"/>
        <v>71</v>
      </c>
      <c r="M847" s="17">
        <f t="shared" ca="1" si="283"/>
        <v>0</v>
      </c>
      <c r="N847" s="18">
        <f t="shared" ca="1" si="284"/>
        <v>20.3</v>
      </c>
      <c r="O847" s="17">
        <f t="shared" ca="1" si="285"/>
        <v>0</v>
      </c>
      <c r="P847" s="18">
        <f t="shared" ca="1" si="286"/>
        <v>24</v>
      </c>
      <c r="Q847" s="17">
        <f t="shared" ca="1" si="287"/>
        <v>0</v>
      </c>
      <c r="R847" s="10">
        <f t="shared" ca="1" si="288"/>
        <v>65</v>
      </c>
      <c r="S847" s="17">
        <f t="shared" ca="1" si="289"/>
        <v>0</v>
      </c>
      <c r="T847" s="70">
        <f t="shared" ca="1" si="290"/>
        <v>0.6</v>
      </c>
      <c r="U847" s="17">
        <f t="shared" ca="1" si="291"/>
        <v>0</v>
      </c>
      <c r="V847" s="71">
        <f t="shared" ca="1" si="292"/>
        <v>2</v>
      </c>
      <c r="W847" s="17">
        <f t="shared" ca="1" si="293"/>
        <v>0</v>
      </c>
    </row>
    <row r="848" spans="1:23" x14ac:dyDescent="0.25">
      <c r="A848" s="4">
        <f t="shared" si="273"/>
        <v>32</v>
      </c>
      <c r="B848" t="str">
        <f ca="1">TEXT(DATE(YEAR(Invoer!$A$6),1,1)+INT((ROWS(B$2:B848)-1)/4),"jjjjmmdd")</f>
        <v>19400730</v>
      </c>
      <c r="C848" s="64" t="str">
        <f>IF(MOD(ROWS(C$2:C848)-1,4)=3,"24.00",INDEX(Data,3,2+MOD(ROWS(C$2:C848)-1,4)))</f>
        <v>17.00</v>
      </c>
      <c r="D848" s="18">
        <f t="shared" ca="1" si="274"/>
        <v>760</v>
      </c>
      <c r="E848" s="17">
        <f t="shared" ca="1" si="275"/>
        <v>0</v>
      </c>
      <c r="F848" s="18">
        <f t="shared" ca="1" si="276"/>
        <v>29.4</v>
      </c>
      <c r="G848" s="17">
        <f t="shared" ca="1" si="277"/>
        <v>0</v>
      </c>
      <c r="H848" s="18" t="str">
        <f t="shared" ca="1" si="278"/>
        <v>—</v>
      </c>
      <c r="I848" s="17">
        <f t="shared" ca="1" si="279"/>
        <v>7</v>
      </c>
      <c r="J848" s="18" t="str">
        <f t="shared" ca="1" si="280"/>
        <v>—</v>
      </c>
      <c r="K848" s="17">
        <f t="shared" ca="1" si="281"/>
        <v>7</v>
      </c>
      <c r="L848" s="10">
        <f t="shared" ca="1" si="282"/>
        <v>63</v>
      </c>
      <c r="M848" s="17">
        <f t="shared" ca="1" si="283"/>
        <v>0</v>
      </c>
      <c r="N848" s="18">
        <f t="shared" ca="1" si="284"/>
        <v>19.5</v>
      </c>
      <c r="O848" s="17">
        <f t="shared" ca="1" si="285"/>
        <v>0</v>
      </c>
      <c r="P848" s="18">
        <f t="shared" ca="1" si="286"/>
        <v>23.8</v>
      </c>
      <c r="Q848" s="17">
        <f t="shared" ca="1" si="287"/>
        <v>0</v>
      </c>
      <c r="R848" s="10">
        <f t="shared" ca="1" si="288"/>
        <v>65</v>
      </c>
      <c r="S848" s="17">
        <f t="shared" ca="1" si="289"/>
        <v>0</v>
      </c>
      <c r="T848" s="70">
        <f t="shared" ca="1" si="290"/>
        <v>0.5</v>
      </c>
      <c r="U848" s="17">
        <f t="shared" ca="1" si="291"/>
        <v>0</v>
      </c>
      <c r="V848" s="71">
        <f t="shared" ca="1" si="292"/>
        <v>2</v>
      </c>
      <c r="W848" s="17">
        <f t="shared" ca="1" si="293"/>
        <v>0</v>
      </c>
    </row>
    <row r="849" spans="1:23" x14ac:dyDescent="0.25">
      <c r="A849" s="4">
        <f t="shared" si="273"/>
        <v>32</v>
      </c>
      <c r="B849" t="str">
        <f ca="1">TEXT(DATE(YEAR(Invoer!$A$6),1,1)+INT((ROWS(B$2:B849)-1)/4),"jjjjmmdd")</f>
        <v>19400730</v>
      </c>
      <c r="C849" s="64" t="str">
        <f>IF(MOD(ROWS(C$2:C849)-1,4)=3,"24.00",INDEX(Data,3,2+MOD(ROWS(C$2:C849)-1,4)))</f>
        <v>24.00</v>
      </c>
      <c r="D849" s="18" t="str">
        <f t="shared" ca="1" si="274"/>
        <v>—</v>
      </c>
      <c r="E849" s="17">
        <f t="shared" ca="1" si="275"/>
        <v>7</v>
      </c>
      <c r="F849" s="18" t="str">
        <f t="shared" ca="1" si="276"/>
        <v>—</v>
      </c>
      <c r="G849" s="17">
        <f t="shared" ca="1" si="277"/>
        <v>7</v>
      </c>
      <c r="H849" s="18">
        <f t="shared" ca="1" si="278"/>
        <v>29</v>
      </c>
      <c r="I849" s="17">
        <f t="shared" ca="1" si="279"/>
        <v>0</v>
      </c>
      <c r="J849" s="18">
        <f t="shared" ca="1" si="280"/>
        <v>30</v>
      </c>
      <c r="K849" s="17">
        <f t="shared" ca="1" si="281"/>
        <v>0</v>
      </c>
      <c r="L849" s="10" t="str">
        <f t="shared" ca="1" si="282"/>
        <v>—</v>
      </c>
      <c r="M849" s="17">
        <f t="shared" ca="1" si="283"/>
        <v>7</v>
      </c>
      <c r="N849" s="18" t="str">
        <f t="shared" ca="1" si="284"/>
        <v>—</v>
      </c>
      <c r="O849" s="17">
        <f t="shared" ca="1" si="285"/>
        <v>7</v>
      </c>
      <c r="P849" s="18" t="str">
        <f t="shared" ca="1" si="286"/>
        <v>—</v>
      </c>
      <c r="Q849" s="17">
        <f t="shared" ca="1" si="287"/>
        <v>7</v>
      </c>
      <c r="R849" s="10" t="str">
        <f t="shared" ca="1" si="288"/>
        <v>—</v>
      </c>
      <c r="S849" s="17">
        <f t="shared" ca="1" si="289"/>
        <v>7</v>
      </c>
      <c r="T849" s="70" t="str">
        <f t="shared" ca="1" si="290"/>
        <v>—</v>
      </c>
      <c r="U849" s="17">
        <f t="shared" ca="1" si="291"/>
        <v>7</v>
      </c>
      <c r="V849" s="71" t="str">
        <f t="shared" ca="1" si="292"/>
        <v>—</v>
      </c>
      <c r="W849" s="17">
        <f t="shared" ca="1" si="293"/>
        <v>7</v>
      </c>
    </row>
    <row r="850" spans="1:23" x14ac:dyDescent="0.25">
      <c r="A850" s="4">
        <f t="shared" si="273"/>
        <v>32</v>
      </c>
      <c r="B850" t="str">
        <f ca="1">TEXT(DATE(YEAR(Invoer!$A$6),1,1)+INT((ROWS(B$2:B850)-1)/4),"jjjjmmdd")</f>
        <v>19400731</v>
      </c>
      <c r="C850" s="64" t="str">
        <f>IF(MOD(ROWS(C$2:C850)-1,4)=3,"24.00",INDEX(Data,3,2+MOD(ROWS(C$2:C850)-1,4)))</f>
        <v>07.00</v>
      </c>
      <c r="D850" s="18">
        <f t="shared" ca="1" si="274"/>
        <v>760.5</v>
      </c>
      <c r="E850" s="17">
        <f t="shared" ca="1" si="275"/>
        <v>0</v>
      </c>
      <c r="F850" s="18">
        <f t="shared" ca="1" si="276"/>
        <v>26.5</v>
      </c>
      <c r="G850" s="17">
        <f t="shared" ca="1" si="277"/>
        <v>0</v>
      </c>
      <c r="H850" s="18" t="str">
        <f t="shared" ca="1" si="278"/>
        <v>—</v>
      </c>
      <c r="I850" s="17">
        <f t="shared" ca="1" si="279"/>
        <v>7</v>
      </c>
      <c r="J850" s="18" t="str">
        <f t="shared" ca="1" si="280"/>
        <v>—</v>
      </c>
      <c r="K850" s="17">
        <f t="shared" ca="1" si="281"/>
        <v>7</v>
      </c>
      <c r="L850" s="10">
        <f t="shared" ca="1" si="282"/>
        <v>73</v>
      </c>
      <c r="M850" s="17">
        <f t="shared" ca="1" si="283"/>
        <v>0</v>
      </c>
      <c r="N850" s="18">
        <f t="shared" ca="1" si="284"/>
        <v>19</v>
      </c>
      <c r="O850" s="17">
        <f t="shared" ca="1" si="285"/>
        <v>0</v>
      </c>
      <c r="P850" s="18">
        <f t="shared" ca="1" si="286"/>
        <v>22.8</v>
      </c>
      <c r="Q850" s="17">
        <f t="shared" ca="1" si="287"/>
        <v>0</v>
      </c>
      <c r="R850" s="10">
        <f t="shared" ca="1" si="288"/>
        <v>65</v>
      </c>
      <c r="S850" s="17">
        <f t="shared" ca="1" si="289"/>
        <v>0</v>
      </c>
      <c r="T850" s="70">
        <f t="shared" ca="1" si="290"/>
        <v>0.4</v>
      </c>
      <c r="U850" s="17">
        <f t="shared" ca="1" si="291"/>
        <v>0</v>
      </c>
      <c r="V850" s="71">
        <f t="shared" ca="1" si="292"/>
        <v>2</v>
      </c>
      <c r="W850" s="17">
        <f t="shared" ca="1" si="293"/>
        <v>0</v>
      </c>
    </row>
    <row r="851" spans="1:23" x14ac:dyDescent="0.25">
      <c r="A851" s="4">
        <f t="shared" si="273"/>
        <v>32</v>
      </c>
      <c r="B851" t="str">
        <f ca="1">TEXT(DATE(YEAR(Invoer!$A$6),1,1)+INT((ROWS(B$2:B851)-1)/4),"jjjjmmdd")</f>
        <v>19400731</v>
      </c>
      <c r="C851" s="64" t="str">
        <f>IF(MOD(ROWS(C$2:C851)-1,4)=3,"24.00",INDEX(Data,3,2+MOD(ROWS(C$2:C851)-1,4)))</f>
        <v>12.00</v>
      </c>
      <c r="D851" s="18">
        <f t="shared" ca="1" si="274"/>
        <v>758.2</v>
      </c>
      <c r="E851" s="17">
        <f t="shared" ca="1" si="275"/>
        <v>0</v>
      </c>
      <c r="F851" s="18">
        <f t="shared" ca="1" si="276"/>
        <v>27.9</v>
      </c>
      <c r="G851" s="17">
        <f t="shared" ca="1" si="277"/>
        <v>0</v>
      </c>
      <c r="H851" s="18" t="str">
        <f t="shared" ca="1" si="278"/>
        <v>—</v>
      </c>
      <c r="I851" s="17">
        <f t="shared" ca="1" si="279"/>
        <v>7</v>
      </c>
      <c r="J851" s="18" t="str">
        <f t="shared" ca="1" si="280"/>
        <v>—</v>
      </c>
      <c r="K851" s="17">
        <f t="shared" ca="1" si="281"/>
        <v>7</v>
      </c>
      <c r="L851" s="10">
        <f t="shared" ca="1" si="282"/>
        <v>72</v>
      </c>
      <c r="M851" s="17">
        <f t="shared" ca="1" si="283"/>
        <v>0</v>
      </c>
      <c r="N851" s="18">
        <f t="shared" ca="1" si="284"/>
        <v>20.399999999999999</v>
      </c>
      <c r="O851" s="17">
        <f t="shared" ca="1" si="285"/>
        <v>0</v>
      </c>
      <c r="P851" s="18">
        <f t="shared" ca="1" si="286"/>
        <v>24</v>
      </c>
      <c r="Q851" s="17">
        <f t="shared" ca="1" si="287"/>
        <v>0</v>
      </c>
      <c r="R851" s="10">
        <f t="shared" ca="1" si="288"/>
        <v>65</v>
      </c>
      <c r="S851" s="17">
        <f t="shared" ca="1" si="289"/>
        <v>0</v>
      </c>
      <c r="T851" s="70">
        <f t="shared" ca="1" si="290"/>
        <v>0.4</v>
      </c>
      <c r="U851" s="17">
        <f t="shared" ca="1" si="291"/>
        <v>0</v>
      </c>
      <c r="V851" s="71">
        <f t="shared" ca="1" si="292"/>
        <v>2</v>
      </c>
      <c r="W851" s="17">
        <f t="shared" ca="1" si="293"/>
        <v>0</v>
      </c>
    </row>
    <row r="852" spans="1:23" x14ac:dyDescent="0.25">
      <c r="A852" s="4">
        <f t="shared" si="273"/>
        <v>32</v>
      </c>
      <c r="B852" t="str">
        <f ca="1">TEXT(DATE(YEAR(Invoer!$A$6),1,1)+INT((ROWS(B$2:B852)-1)/4),"jjjjmmdd")</f>
        <v>19400731</v>
      </c>
      <c r="C852" s="64" t="str">
        <f>IF(MOD(ROWS(C$2:C852)-1,4)=3,"24.00",INDEX(Data,3,2+MOD(ROWS(C$2:C852)-1,4)))</f>
        <v>17.00</v>
      </c>
      <c r="D852" s="18">
        <f t="shared" ca="1" si="274"/>
        <v>758.5</v>
      </c>
      <c r="E852" s="17">
        <f t="shared" ca="1" si="275"/>
        <v>0</v>
      </c>
      <c r="F852" s="18">
        <f t="shared" ca="1" si="276"/>
        <v>27.5</v>
      </c>
      <c r="G852" s="17">
        <f t="shared" ca="1" si="277"/>
        <v>0</v>
      </c>
      <c r="H852" s="18" t="str">
        <f t="shared" ca="1" si="278"/>
        <v>—</v>
      </c>
      <c r="I852" s="17">
        <f t="shared" ca="1" si="279"/>
        <v>7</v>
      </c>
      <c r="J852" s="18" t="str">
        <f t="shared" ca="1" si="280"/>
        <v>—</v>
      </c>
      <c r="K852" s="17">
        <f t="shared" ca="1" si="281"/>
        <v>7</v>
      </c>
      <c r="L852" s="10">
        <f t="shared" ca="1" si="282"/>
        <v>71</v>
      </c>
      <c r="M852" s="17">
        <f t="shared" ca="1" si="283"/>
        <v>0</v>
      </c>
      <c r="N852" s="18">
        <f t="shared" ca="1" si="284"/>
        <v>19.5</v>
      </c>
      <c r="O852" s="17">
        <f t="shared" ca="1" si="285"/>
        <v>0</v>
      </c>
      <c r="P852" s="18">
        <f t="shared" ca="1" si="286"/>
        <v>23.4</v>
      </c>
      <c r="Q852" s="17">
        <f t="shared" ca="1" si="287"/>
        <v>0</v>
      </c>
      <c r="R852" s="10">
        <f t="shared" ca="1" si="288"/>
        <v>65</v>
      </c>
      <c r="S852" s="17">
        <f t="shared" ca="1" si="289"/>
        <v>0</v>
      </c>
      <c r="T852" s="70">
        <f t="shared" ca="1" si="290"/>
        <v>0.4</v>
      </c>
      <c r="U852" s="17">
        <f t="shared" ca="1" si="291"/>
        <v>0</v>
      </c>
      <c r="V852" s="71">
        <f t="shared" ca="1" si="292"/>
        <v>2</v>
      </c>
      <c r="W852" s="17">
        <f t="shared" ca="1" si="293"/>
        <v>0</v>
      </c>
    </row>
    <row r="853" spans="1:23" x14ac:dyDescent="0.25">
      <c r="A853" s="4">
        <f t="shared" si="273"/>
        <v>32</v>
      </c>
      <c r="B853" t="str">
        <f ca="1">TEXT(DATE(YEAR(Invoer!$A$6),1,1)+INT((ROWS(B$2:B853)-1)/4),"jjjjmmdd")</f>
        <v>19400731</v>
      </c>
      <c r="C853" s="64" t="str">
        <f>IF(MOD(ROWS(C$2:C853)-1,4)=3,"24.00",INDEX(Data,3,2+MOD(ROWS(C$2:C853)-1,4)))</f>
        <v>24.00</v>
      </c>
      <c r="D853" s="18" t="str">
        <f t="shared" ca="1" si="274"/>
        <v>—</v>
      </c>
      <c r="E853" s="17">
        <f t="shared" ca="1" si="275"/>
        <v>7</v>
      </c>
      <c r="F853" s="18" t="str">
        <f t="shared" ca="1" si="276"/>
        <v>—</v>
      </c>
      <c r="G853" s="17">
        <f t="shared" ca="1" si="277"/>
        <v>7</v>
      </c>
      <c r="H853" s="18">
        <f t="shared" ca="1" si="278"/>
        <v>28</v>
      </c>
      <c r="I853" s="17">
        <f t="shared" ca="1" si="279"/>
        <v>0</v>
      </c>
      <c r="J853" s="18">
        <f t="shared" ca="1" si="280"/>
        <v>30</v>
      </c>
      <c r="K853" s="17">
        <f t="shared" ca="1" si="281"/>
        <v>0</v>
      </c>
      <c r="L853" s="10" t="str">
        <f t="shared" ca="1" si="282"/>
        <v>—</v>
      </c>
      <c r="M853" s="17">
        <f t="shared" ca="1" si="283"/>
        <v>7</v>
      </c>
      <c r="N853" s="18" t="str">
        <f t="shared" ca="1" si="284"/>
        <v>—</v>
      </c>
      <c r="O853" s="17">
        <f t="shared" ca="1" si="285"/>
        <v>7</v>
      </c>
      <c r="P853" s="18" t="str">
        <f t="shared" ca="1" si="286"/>
        <v>—</v>
      </c>
      <c r="Q853" s="17">
        <f t="shared" ca="1" si="287"/>
        <v>7</v>
      </c>
      <c r="R853" s="10" t="str">
        <f t="shared" ca="1" si="288"/>
        <v>—</v>
      </c>
      <c r="S853" s="17">
        <f t="shared" ca="1" si="289"/>
        <v>7</v>
      </c>
      <c r="T853" s="70" t="str">
        <f t="shared" ca="1" si="290"/>
        <v>—</v>
      </c>
      <c r="U853" s="17">
        <f t="shared" ca="1" si="291"/>
        <v>7</v>
      </c>
      <c r="V853" s="71" t="str">
        <f t="shared" ca="1" si="292"/>
        <v>—</v>
      </c>
      <c r="W853" s="17">
        <f t="shared" ca="1" si="293"/>
        <v>7</v>
      </c>
    </row>
    <row r="854" spans="1:23" x14ac:dyDescent="0.25">
      <c r="A854" s="4">
        <f t="shared" si="273"/>
        <v>32</v>
      </c>
      <c r="B854" t="str">
        <f ca="1">TEXT(DATE(YEAR(Invoer!$A$6),1,1)+INT((ROWS(B$2:B854)-1)/4),"jjjjmmdd")</f>
        <v>19400801</v>
      </c>
      <c r="C854" s="64" t="str">
        <f>IF(MOD(ROWS(C$2:C854)-1,4)=3,"24.00",INDEX(Data,3,2+MOD(ROWS(C$2:C854)-1,4)))</f>
        <v>07.00</v>
      </c>
      <c r="D854" s="18">
        <f t="shared" ca="1" si="274"/>
        <v>760.7</v>
      </c>
      <c r="E854" s="17">
        <f t="shared" ca="1" si="275"/>
        <v>0</v>
      </c>
      <c r="F854" s="18">
        <f t="shared" ca="1" si="276"/>
        <v>29.1</v>
      </c>
      <c r="G854" s="17">
        <f t="shared" ca="1" si="277"/>
        <v>0</v>
      </c>
      <c r="H854" s="18" t="str">
        <f t="shared" ca="1" si="278"/>
        <v>—</v>
      </c>
      <c r="I854" s="17">
        <f t="shared" ca="1" si="279"/>
        <v>7</v>
      </c>
      <c r="J854" s="18" t="str">
        <f t="shared" ca="1" si="280"/>
        <v>—</v>
      </c>
      <c r="K854" s="17">
        <f t="shared" ca="1" si="281"/>
        <v>7</v>
      </c>
      <c r="L854" s="10">
        <f t="shared" ca="1" si="282"/>
        <v>91</v>
      </c>
      <c r="M854" s="17">
        <f t="shared" ca="1" si="283"/>
        <v>0</v>
      </c>
      <c r="N854" s="18">
        <f t="shared" ca="1" si="284"/>
        <v>27.4</v>
      </c>
      <c r="O854" s="17">
        <f t="shared" ca="1" si="285"/>
        <v>0</v>
      </c>
      <c r="P854" s="18">
        <f t="shared" ca="1" si="286"/>
        <v>27.8</v>
      </c>
      <c r="Q854" s="17">
        <f t="shared" ca="1" si="287"/>
        <v>0</v>
      </c>
      <c r="R854" s="10">
        <f t="shared" ca="1" si="288"/>
        <v>45</v>
      </c>
      <c r="S854" s="17">
        <f t="shared" ca="1" si="289"/>
        <v>0</v>
      </c>
      <c r="T854" s="70">
        <f t="shared" ca="1" si="290"/>
        <v>0.4</v>
      </c>
      <c r="U854" s="17">
        <f t="shared" ca="1" si="291"/>
        <v>0</v>
      </c>
      <c r="V854" s="71">
        <f t="shared" ca="1" si="292"/>
        <v>3</v>
      </c>
      <c r="W854" s="17">
        <f t="shared" ca="1" si="293"/>
        <v>0</v>
      </c>
    </row>
    <row r="855" spans="1:23" x14ac:dyDescent="0.25">
      <c r="A855" s="4">
        <f t="shared" si="273"/>
        <v>32</v>
      </c>
      <c r="B855" t="str">
        <f ca="1">TEXT(DATE(YEAR(Invoer!$A$6),1,1)+INT((ROWS(B$2:B855)-1)/4),"jjjjmmdd")</f>
        <v>19400801</v>
      </c>
      <c r="C855" s="64" t="str">
        <f>IF(MOD(ROWS(C$2:C855)-1,4)=3,"24.00",INDEX(Data,3,2+MOD(ROWS(C$2:C855)-1,4)))</f>
        <v>12.00</v>
      </c>
      <c r="D855" s="18">
        <f t="shared" ca="1" si="274"/>
        <v>761</v>
      </c>
      <c r="E855" s="17">
        <f t="shared" ca="1" si="275"/>
        <v>0</v>
      </c>
      <c r="F855" s="18">
        <f t="shared" ca="1" si="276"/>
        <v>29.3</v>
      </c>
      <c r="G855" s="17">
        <f t="shared" ca="1" si="277"/>
        <v>0</v>
      </c>
      <c r="H855" s="18" t="str">
        <f t="shared" ca="1" si="278"/>
        <v>—</v>
      </c>
      <c r="I855" s="17">
        <f t="shared" ca="1" si="279"/>
        <v>7</v>
      </c>
      <c r="J855" s="18" t="str">
        <f t="shared" ca="1" si="280"/>
        <v>—</v>
      </c>
      <c r="K855" s="17">
        <f t="shared" ca="1" si="281"/>
        <v>7</v>
      </c>
      <c r="L855" s="10">
        <f t="shared" ca="1" si="282"/>
        <v>92</v>
      </c>
      <c r="M855" s="17">
        <f t="shared" ca="1" si="283"/>
        <v>0</v>
      </c>
      <c r="N855" s="18">
        <f t="shared" ca="1" si="284"/>
        <v>28.1</v>
      </c>
      <c r="O855" s="17">
        <f t="shared" ca="1" si="285"/>
        <v>0</v>
      </c>
      <c r="P855" s="18">
        <f t="shared" ca="1" si="286"/>
        <v>28.2</v>
      </c>
      <c r="Q855" s="17">
        <f t="shared" ca="1" si="287"/>
        <v>0</v>
      </c>
      <c r="R855" s="10">
        <f t="shared" ca="1" si="288"/>
        <v>45</v>
      </c>
      <c r="S855" s="17">
        <f t="shared" ca="1" si="289"/>
        <v>0</v>
      </c>
      <c r="T855" s="70">
        <f t="shared" ca="1" si="290"/>
        <v>0.5</v>
      </c>
      <c r="U855" s="17">
        <f t="shared" ca="1" si="291"/>
        <v>0</v>
      </c>
      <c r="V855" s="71">
        <f t="shared" ca="1" si="292"/>
        <v>2</v>
      </c>
      <c r="W855" s="17">
        <f t="shared" ca="1" si="293"/>
        <v>0</v>
      </c>
    </row>
    <row r="856" spans="1:23" x14ac:dyDescent="0.25">
      <c r="A856" s="4">
        <f t="shared" si="273"/>
        <v>32</v>
      </c>
      <c r="B856" t="str">
        <f ca="1">TEXT(DATE(YEAR(Invoer!$A$6),1,1)+INT((ROWS(B$2:B856)-1)/4),"jjjjmmdd")</f>
        <v>19400801</v>
      </c>
      <c r="C856" s="64" t="str">
        <f>IF(MOD(ROWS(C$2:C856)-1,4)=3,"24.00",INDEX(Data,3,2+MOD(ROWS(C$2:C856)-1,4)))</f>
        <v>17.00</v>
      </c>
      <c r="D856" s="18">
        <f t="shared" ca="1" si="274"/>
        <v>760</v>
      </c>
      <c r="E856" s="17">
        <f t="shared" ca="1" si="275"/>
        <v>0</v>
      </c>
      <c r="F856" s="18">
        <f t="shared" ca="1" si="276"/>
        <v>28.1</v>
      </c>
      <c r="G856" s="17">
        <f t="shared" ca="1" si="277"/>
        <v>0</v>
      </c>
      <c r="H856" s="18" t="str">
        <f t="shared" ca="1" si="278"/>
        <v>—</v>
      </c>
      <c r="I856" s="17">
        <f t="shared" ca="1" si="279"/>
        <v>7</v>
      </c>
      <c r="J856" s="18" t="str">
        <f t="shared" ca="1" si="280"/>
        <v>—</v>
      </c>
      <c r="K856" s="17">
        <f t="shared" ca="1" si="281"/>
        <v>7</v>
      </c>
      <c r="L856" s="10">
        <f t="shared" ca="1" si="282"/>
        <v>95</v>
      </c>
      <c r="M856" s="17">
        <f t="shared" ca="1" si="283"/>
        <v>0</v>
      </c>
      <c r="N856" s="18">
        <f t="shared" ca="1" si="284"/>
        <v>27</v>
      </c>
      <c r="O856" s="17">
        <f t="shared" ca="1" si="285"/>
        <v>0</v>
      </c>
      <c r="P856" s="18">
        <f t="shared" ca="1" si="286"/>
        <v>27.4</v>
      </c>
      <c r="Q856" s="17">
        <f t="shared" ca="1" si="287"/>
        <v>0</v>
      </c>
      <c r="R856" s="10">
        <f t="shared" ca="1" si="288"/>
        <v>45</v>
      </c>
      <c r="S856" s="17">
        <f t="shared" ca="1" si="289"/>
        <v>0</v>
      </c>
      <c r="T856" s="70">
        <f t="shared" ca="1" si="290"/>
        <v>0.4</v>
      </c>
      <c r="U856" s="17">
        <f t="shared" ca="1" si="291"/>
        <v>0</v>
      </c>
      <c r="V856" s="71">
        <f t="shared" ca="1" si="292"/>
        <v>2</v>
      </c>
      <c r="W856" s="17">
        <f t="shared" ca="1" si="293"/>
        <v>0</v>
      </c>
    </row>
    <row r="857" spans="1:23" x14ac:dyDescent="0.25">
      <c r="A857" s="4">
        <f t="shared" si="273"/>
        <v>32</v>
      </c>
      <c r="B857" t="str">
        <f ca="1">TEXT(DATE(YEAR(Invoer!$A$6),1,1)+INT((ROWS(B$2:B857)-1)/4),"jjjjmmdd")</f>
        <v>19400801</v>
      </c>
      <c r="C857" s="64" t="str">
        <f>IF(MOD(ROWS(C$2:C857)-1,4)=3,"24.00",INDEX(Data,3,2+MOD(ROWS(C$2:C857)-1,4)))</f>
        <v>24.00</v>
      </c>
      <c r="D857" s="18" t="str">
        <f t="shared" ca="1" si="274"/>
        <v>—</v>
      </c>
      <c r="E857" s="17">
        <f t="shared" ca="1" si="275"/>
        <v>7</v>
      </c>
      <c r="F857" s="18" t="str">
        <f t="shared" ca="1" si="276"/>
        <v>—</v>
      </c>
      <c r="G857" s="17">
        <f t="shared" ca="1" si="277"/>
        <v>7</v>
      </c>
      <c r="H857" s="18">
        <f t="shared" ca="1" si="278"/>
        <v>29.6</v>
      </c>
      <c r="I857" s="17">
        <f t="shared" ca="1" si="279"/>
        <v>0</v>
      </c>
      <c r="J857" s="18">
        <f t="shared" ca="1" si="280"/>
        <v>31.4</v>
      </c>
      <c r="K857" s="17">
        <f t="shared" ca="1" si="281"/>
        <v>0</v>
      </c>
      <c r="L857" s="10" t="str">
        <f t="shared" ca="1" si="282"/>
        <v>—</v>
      </c>
      <c r="M857" s="17">
        <f t="shared" ca="1" si="283"/>
        <v>7</v>
      </c>
      <c r="N857" s="18" t="str">
        <f t="shared" ca="1" si="284"/>
        <v>—</v>
      </c>
      <c r="O857" s="17">
        <f t="shared" ca="1" si="285"/>
        <v>7</v>
      </c>
      <c r="P857" s="18" t="str">
        <f t="shared" ca="1" si="286"/>
        <v>—</v>
      </c>
      <c r="Q857" s="17">
        <f t="shared" ca="1" si="287"/>
        <v>7</v>
      </c>
      <c r="R857" s="10" t="str">
        <f t="shared" ca="1" si="288"/>
        <v>—</v>
      </c>
      <c r="S857" s="17">
        <f t="shared" ca="1" si="289"/>
        <v>7</v>
      </c>
      <c r="T857" s="70" t="str">
        <f t="shared" ca="1" si="290"/>
        <v>—</v>
      </c>
      <c r="U857" s="17">
        <f t="shared" ca="1" si="291"/>
        <v>7</v>
      </c>
      <c r="V857" s="71" t="str">
        <f t="shared" ca="1" si="292"/>
        <v>—</v>
      </c>
      <c r="W857" s="17">
        <f t="shared" ca="1" si="293"/>
        <v>7</v>
      </c>
    </row>
    <row r="858" spans="1:23" x14ac:dyDescent="0.25">
      <c r="A858" s="4">
        <f t="shared" si="273"/>
        <v>32</v>
      </c>
      <c r="B858" t="str">
        <f ca="1">TEXT(DATE(YEAR(Invoer!$A$6),1,1)+INT((ROWS(B$2:B858)-1)/4),"jjjjmmdd")</f>
        <v>19400802</v>
      </c>
      <c r="C858" s="64" t="str">
        <f>IF(MOD(ROWS(C$2:C858)-1,4)=3,"24.00",INDEX(Data,3,2+MOD(ROWS(C$2:C858)-1,4)))</f>
        <v>07.00</v>
      </c>
      <c r="D858" s="18">
        <f t="shared" ca="1" si="274"/>
        <v>760.7</v>
      </c>
      <c r="E858" s="17">
        <f t="shared" ca="1" si="275"/>
        <v>0</v>
      </c>
      <c r="F858" s="18">
        <f t="shared" ca="1" si="276"/>
        <v>28.5</v>
      </c>
      <c r="G858" s="17">
        <f t="shared" ca="1" si="277"/>
        <v>0</v>
      </c>
      <c r="H858" s="18" t="str">
        <f t="shared" ca="1" si="278"/>
        <v>—</v>
      </c>
      <c r="I858" s="17">
        <f t="shared" ca="1" si="279"/>
        <v>7</v>
      </c>
      <c r="J858" s="18" t="str">
        <f t="shared" ca="1" si="280"/>
        <v>—</v>
      </c>
      <c r="K858" s="17">
        <f t="shared" ca="1" si="281"/>
        <v>7</v>
      </c>
      <c r="L858" s="10">
        <f t="shared" ca="1" si="282"/>
        <v>98</v>
      </c>
      <c r="M858" s="17">
        <f t="shared" ca="1" si="283"/>
        <v>0</v>
      </c>
      <c r="N858" s="18">
        <f t="shared" ca="1" si="284"/>
        <v>28.5</v>
      </c>
      <c r="O858" s="17">
        <f t="shared" ca="1" si="285"/>
        <v>0</v>
      </c>
      <c r="P858" s="18">
        <f t="shared" ca="1" si="286"/>
        <v>28.2</v>
      </c>
      <c r="Q858" s="17">
        <f t="shared" ca="1" si="287"/>
        <v>0</v>
      </c>
      <c r="R858" s="10">
        <f t="shared" ca="1" si="288"/>
        <v>45</v>
      </c>
      <c r="S858" s="17">
        <f t="shared" ca="1" si="289"/>
        <v>0</v>
      </c>
      <c r="T858" s="70">
        <f t="shared" ca="1" si="290"/>
        <v>0.4</v>
      </c>
      <c r="U858" s="17">
        <f t="shared" ca="1" si="291"/>
        <v>0</v>
      </c>
      <c r="V858" s="71">
        <f t="shared" ca="1" si="292"/>
        <v>3</v>
      </c>
      <c r="W858" s="17">
        <f t="shared" ca="1" si="293"/>
        <v>0</v>
      </c>
    </row>
    <row r="859" spans="1:23" x14ac:dyDescent="0.25">
      <c r="A859" s="4">
        <f t="shared" si="273"/>
        <v>32</v>
      </c>
      <c r="B859" t="str">
        <f ca="1">TEXT(DATE(YEAR(Invoer!$A$6),1,1)+INT((ROWS(B$2:B859)-1)/4),"jjjjmmdd")</f>
        <v>19400802</v>
      </c>
      <c r="C859" s="64" t="str">
        <f>IF(MOD(ROWS(C$2:C859)-1,4)=3,"24.00",INDEX(Data,3,2+MOD(ROWS(C$2:C859)-1,4)))</f>
        <v>12.00</v>
      </c>
      <c r="D859" s="18">
        <f t="shared" ca="1" si="274"/>
        <v>760.7</v>
      </c>
      <c r="E859" s="17">
        <f t="shared" ca="1" si="275"/>
        <v>0</v>
      </c>
      <c r="F859" s="18">
        <f t="shared" ca="1" si="276"/>
        <v>28.7</v>
      </c>
      <c r="G859" s="17">
        <f t="shared" ca="1" si="277"/>
        <v>0</v>
      </c>
      <c r="H859" s="18" t="str">
        <f t="shared" ca="1" si="278"/>
        <v>—</v>
      </c>
      <c r="I859" s="17">
        <f t="shared" ca="1" si="279"/>
        <v>7</v>
      </c>
      <c r="J859" s="18" t="str">
        <f t="shared" ca="1" si="280"/>
        <v>—</v>
      </c>
      <c r="K859" s="17">
        <f t="shared" ca="1" si="281"/>
        <v>7</v>
      </c>
      <c r="L859" s="10">
        <f t="shared" ca="1" si="282"/>
        <v>96</v>
      </c>
      <c r="M859" s="17">
        <f t="shared" ca="1" si="283"/>
        <v>0</v>
      </c>
      <c r="N859" s="18">
        <f t="shared" ca="1" si="284"/>
        <v>28.4</v>
      </c>
      <c r="O859" s="17">
        <f t="shared" ca="1" si="285"/>
        <v>0</v>
      </c>
      <c r="P859" s="18">
        <f t="shared" ca="1" si="286"/>
        <v>28.2</v>
      </c>
      <c r="Q859" s="17">
        <f t="shared" ca="1" si="287"/>
        <v>0</v>
      </c>
      <c r="R859" s="10">
        <f t="shared" ca="1" si="288"/>
        <v>45</v>
      </c>
      <c r="S859" s="17">
        <f t="shared" ca="1" si="289"/>
        <v>0</v>
      </c>
      <c r="T859" s="70">
        <f t="shared" ca="1" si="290"/>
        <v>0.5</v>
      </c>
      <c r="U859" s="17">
        <f t="shared" ca="1" si="291"/>
        <v>0</v>
      </c>
      <c r="V859" s="71">
        <f t="shared" ca="1" si="292"/>
        <v>2</v>
      </c>
      <c r="W859" s="17">
        <f t="shared" ca="1" si="293"/>
        <v>0</v>
      </c>
    </row>
    <row r="860" spans="1:23" x14ac:dyDescent="0.25">
      <c r="A860" s="4">
        <f t="shared" si="273"/>
        <v>32</v>
      </c>
      <c r="B860" t="str">
        <f ca="1">TEXT(DATE(YEAR(Invoer!$A$6),1,1)+INT((ROWS(B$2:B860)-1)/4),"jjjjmmdd")</f>
        <v>19400802</v>
      </c>
      <c r="C860" s="64" t="str">
        <f>IF(MOD(ROWS(C$2:C860)-1,4)=3,"24.00",INDEX(Data,3,2+MOD(ROWS(C$2:C860)-1,4)))</f>
        <v>17.00</v>
      </c>
      <c r="D860" s="18">
        <f t="shared" ca="1" si="274"/>
        <v>758.2</v>
      </c>
      <c r="E860" s="17">
        <f t="shared" ca="1" si="275"/>
        <v>0</v>
      </c>
      <c r="F860" s="18">
        <f t="shared" ca="1" si="276"/>
        <v>28.5</v>
      </c>
      <c r="G860" s="17">
        <f t="shared" ca="1" si="277"/>
        <v>0</v>
      </c>
      <c r="H860" s="18" t="str">
        <f t="shared" ca="1" si="278"/>
        <v>—</v>
      </c>
      <c r="I860" s="17">
        <f t="shared" ca="1" si="279"/>
        <v>7</v>
      </c>
      <c r="J860" s="18" t="str">
        <f t="shared" ca="1" si="280"/>
        <v>—</v>
      </c>
      <c r="K860" s="17">
        <f t="shared" ca="1" si="281"/>
        <v>7</v>
      </c>
      <c r="L860" s="10">
        <f t="shared" ca="1" si="282"/>
        <v>96</v>
      </c>
      <c r="M860" s="17">
        <f t="shared" ca="1" si="283"/>
        <v>0</v>
      </c>
      <c r="N860" s="18">
        <f t="shared" ca="1" si="284"/>
        <v>28.1</v>
      </c>
      <c r="O860" s="17">
        <f t="shared" ca="1" si="285"/>
        <v>0</v>
      </c>
      <c r="P860" s="18">
        <f t="shared" ca="1" si="286"/>
        <v>28</v>
      </c>
      <c r="Q860" s="17">
        <f t="shared" ca="1" si="287"/>
        <v>0</v>
      </c>
      <c r="R860" s="10">
        <f t="shared" ca="1" si="288"/>
        <v>45</v>
      </c>
      <c r="S860" s="17">
        <f t="shared" ca="1" si="289"/>
        <v>0</v>
      </c>
      <c r="T860" s="70">
        <f t="shared" ca="1" si="290"/>
        <v>0.5</v>
      </c>
      <c r="U860" s="17">
        <f t="shared" ca="1" si="291"/>
        <v>0</v>
      </c>
      <c r="V860" s="71">
        <f t="shared" ca="1" si="292"/>
        <v>2</v>
      </c>
      <c r="W860" s="17">
        <f t="shared" ca="1" si="293"/>
        <v>0</v>
      </c>
    </row>
    <row r="861" spans="1:23" x14ac:dyDescent="0.25">
      <c r="A861" s="4">
        <f t="shared" si="273"/>
        <v>32</v>
      </c>
      <c r="B861" t="str">
        <f ca="1">TEXT(DATE(YEAR(Invoer!$A$6),1,1)+INT((ROWS(B$2:B861)-1)/4),"jjjjmmdd")</f>
        <v>19400802</v>
      </c>
      <c r="C861" s="64" t="str">
        <f>IF(MOD(ROWS(C$2:C861)-1,4)=3,"24.00",INDEX(Data,3,2+MOD(ROWS(C$2:C861)-1,4)))</f>
        <v>24.00</v>
      </c>
      <c r="D861" s="18" t="str">
        <f t="shared" ca="1" si="274"/>
        <v>—</v>
      </c>
      <c r="E861" s="17">
        <f t="shared" ca="1" si="275"/>
        <v>7</v>
      </c>
      <c r="F861" s="18" t="str">
        <f t="shared" ca="1" si="276"/>
        <v>—</v>
      </c>
      <c r="G861" s="17">
        <f t="shared" ca="1" si="277"/>
        <v>7</v>
      </c>
      <c r="H861" s="18">
        <f t="shared" ca="1" si="278"/>
        <v>29.5</v>
      </c>
      <c r="I861" s="17">
        <f t="shared" ca="1" si="279"/>
        <v>0</v>
      </c>
      <c r="J861" s="18">
        <f t="shared" ca="1" si="280"/>
        <v>31.5</v>
      </c>
      <c r="K861" s="17">
        <f t="shared" ca="1" si="281"/>
        <v>0</v>
      </c>
      <c r="L861" s="10" t="str">
        <f t="shared" ca="1" si="282"/>
        <v>—</v>
      </c>
      <c r="M861" s="17">
        <f t="shared" ca="1" si="283"/>
        <v>7</v>
      </c>
      <c r="N861" s="18" t="str">
        <f t="shared" ca="1" si="284"/>
        <v>—</v>
      </c>
      <c r="O861" s="17">
        <f t="shared" ca="1" si="285"/>
        <v>7</v>
      </c>
      <c r="P861" s="18" t="str">
        <f t="shared" ca="1" si="286"/>
        <v>—</v>
      </c>
      <c r="Q861" s="17">
        <f t="shared" ca="1" si="287"/>
        <v>7</v>
      </c>
      <c r="R861" s="10" t="str">
        <f t="shared" ca="1" si="288"/>
        <v>—</v>
      </c>
      <c r="S861" s="17">
        <f t="shared" ca="1" si="289"/>
        <v>7</v>
      </c>
      <c r="T861" s="70" t="str">
        <f t="shared" ca="1" si="290"/>
        <v>—</v>
      </c>
      <c r="U861" s="17">
        <f t="shared" ca="1" si="291"/>
        <v>7</v>
      </c>
      <c r="V861" s="71" t="str">
        <f t="shared" ca="1" si="292"/>
        <v>—</v>
      </c>
      <c r="W861" s="17">
        <f t="shared" ca="1" si="293"/>
        <v>7</v>
      </c>
    </row>
    <row r="862" spans="1:23" x14ac:dyDescent="0.25">
      <c r="A862" s="4">
        <f t="shared" si="273"/>
        <v>32</v>
      </c>
      <c r="B862" t="str">
        <f ca="1">TEXT(DATE(YEAR(Invoer!$A$6),1,1)+INT((ROWS(B$2:B862)-1)/4),"jjjjmmdd")</f>
        <v>19400803</v>
      </c>
      <c r="C862" s="64" t="str">
        <f>IF(MOD(ROWS(C$2:C862)-1,4)=3,"24.00",INDEX(Data,3,2+MOD(ROWS(C$2:C862)-1,4)))</f>
        <v>07.00</v>
      </c>
      <c r="D862" s="18">
        <f t="shared" ca="1" si="274"/>
        <v>760.7</v>
      </c>
      <c r="E862" s="17">
        <f t="shared" ca="1" si="275"/>
        <v>0</v>
      </c>
      <c r="F862" s="18">
        <f t="shared" ca="1" si="276"/>
        <v>28.9</v>
      </c>
      <c r="G862" s="17">
        <f t="shared" ca="1" si="277"/>
        <v>0</v>
      </c>
      <c r="H862" s="18" t="str">
        <f t="shared" ca="1" si="278"/>
        <v>—</v>
      </c>
      <c r="I862" s="17">
        <f t="shared" ca="1" si="279"/>
        <v>7</v>
      </c>
      <c r="J862" s="18" t="str">
        <f t="shared" ca="1" si="280"/>
        <v>—</v>
      </c>
      <c r="K862" s="17">
        <f t="shared" ca="1" si="281"/>
        <v>7</v>
      </c>
      <c r="L862" s="10">
        <f t="shared" ca="1" si="282"/>
        <v>93</v>
      </c>
      <c r="M862" s="17">
        <f t="shared" ca="1" si="283"/>
        <v>0</v>
      </c>
      <c r="N862" s="18">
        <f t="shared" ca="1" si="284"/>
        <v>27.9</v>
      </c>
      <c r="O862" s="17">
        <f t="shared" ca="1" si="285"/>
        <v>0</v>
      </c>
      <c r="P862" s="18">
        <f t="shared" ca="1" si="286"/>
        <v>28</v>
      </c>
      <c r="Q862" s="17">
        <f t="shared" ca="1" si="287"/>
        <v>0</v>
      </c>
      <c r="R862" s="10">
        <f t="shared" ca="1" si="288"/>
        <v>65</v>
      </c>
      <c r="S862" s="17">
        <f t="shared" ca="1" si="289"/>
        <v>0</v>
      </c>
      <c r="T862" s="70">
        <f t="shared" ca="1" si="290"/>
        <v>0.4</v>
      </c>
      <c r="U862" s="17">
        <f t="shared" ca="1" si="291"/>
        <v>0</v>
      </c>
      <c r="V862" s="71">
        <f t="shared" ca="1" si="292"/>
        <v>3</v>
      </c>
      <c r="W862" s="17">
        <f t="shared" ca="1" si="293"/>
        <v>0</v>
      </c>
    </row>
    <row r="863" spans="1:23" x14ac:dyDescent="0.25">
      <c r="A863" s="4">
        <f t="shared" si="273"/>
        <v>32</v>
      </c>
      <c r="B863" t="str">
        <f ca="1">TEXT(DATE(YEAR(Invoer!$A$6),1,1)+INT((ROWS(B$2:B863)-1)/4),"jjjjmmdd")</f>
        <v>19400803</v>
      </c>
      <c r="C863" s="64" t="str">
        <f>IF(MOD(ROWS(C$2:C863)-1,4)=3,"24.00",INDEX(Data,3,2+MOD(ROWS(C$2:C863)-1,4)))</f>
        <v>12.00</v>
      </c>
      <c r="D863" s="18">
        <f t="shared" ca="1" si="274"/>
        <v>761.2</v>
      </c>
      <c r="E863" s="17">
        <f t="shared" ca="1" si="275"/>
        <v>0</v>
      </c>
      <c r="F863" s="18">
        <f t="shared" ca="1" si="276"/>
        <v>29.1</v>
      </c>
      <c r="G863" s="17">
        <f t="shared" ca="1" si="277"/>
        <v>0</v>
      </c>
      <c r="H863" s="18" t="str">
        <f t="shared" ca="1" si="278"/>
        <v>—</v>
      </c>
      <c r="I863" s="17">
        <f t="shared" ca="1" si="279"/>
        <v>7</v>
      </c>
      <c r="J863" s="18" t="str">
        <f t="shared" ca="1" si="280"/>
        <v>—</v>
      </c>
      <c r="K863" s="17">
        <f t="shared" ca="1" si="281"/>
        <v>7</v>
      </c>
      <c r="L863" s="10">
        <f t="shared" ca="1" si="282"/>
        <v>95</v>
      </c>
      <c r="M863" s="17">
        <f t="shared" ca="1" si="283"/>
        <v>0</v>
      </c>
      <c r="N863" s="18">
        <f t="shared" ca="1" si="284"/>
        <v>28.7</v>
      </c>
      <c r="O863" s="17">
        <f t="shared" ca="1" si="285"/>
        <v>0</v>
      </c>
      <c r="P863" s="18">
        <f t="shared" ca="1" si="286"/>
        <v>28.4</v>
      </c>
      <c r="Q863" s="17">
        <f t="shared" ca="1" si="287"/>
        <v>0</v>
      </c>
      <c r="R863" s="10">
        <f t="shared" ca="1" si="288"/>
        <v>65</v>
      </c>
      <c r="S863" s="17">
        <f t="shared" ca="1" si="289"/>
        <v>0</v>
      </c>
      <c r="T863" s="70">
        <f t="shared" ca="1" si="290"/>
        <v>0.5</v>
      </c>
      <c r="U863" s="17">
        <f t="shared" ca="1" si="291"/>
        <v>0</v>
      </c>
      <c r="V863" s="71">
        <f t="shared" ca="1" si="292"/>
        <v>2</v>
      </c>
      <c r="W863" s="17">
        <f t="shared" ca="1" si="293"/>
        <v>0</v>
      </c>
    </row>
    <row r="864" spans="1:23" x14ac:dyDescent="0.25">
      <c r="A864" s="4">
        <f t="shared" si="273"/>
        <v>32</v>
      </c>
      <c r="B864" t="str">
        <f ca="1">TEXT(DATE(YEAR(Invoer!$A$6),1,1)+INT((ROWS(B$2:B864)-1)/4),"jjjjmmdd")</f>
        <v>19400803</v>
      </c>
      <c r="C864" s="64" t="str">
        <f>IF(MOD(ROWS(C$2:C864)-1,4)=3,"24.00",INDEX(Data,3,2+MOD(ROWS(C$2:C864)-1,4)))</f>
        <v>17.00</v>
      </c>
      <c r="D864" s="18">
        <f t="shared" ca="1" si="274"/>
        <v>758.2</v>
      </c>
      <c r="E864" s="17">
        <f t="shared" ca="1" si="275"/>
        <v>0</v>
      </c>
      <c r="F864" s="18">
        <f t="shared" ca="1" si="276"/>
        <v>28.9</v>
      </c>
      <c r="G864" s="17">
        <f t="shared" ca="1" si="277"/>
        <v>0</v>
      </c>
      <c r="H864" s="18" t="str">
        <f t="shared" ca="1" si="278"/>
        <v>—</v>
      </c>
      <c r="I864" s="17">
        <f t="shared" ca="1" si="279"/>
        <v>7</v>
      </c>
      <c r="J864" s="18" t="str">
        <f t="shared" ca="1" si="280"/>
        <v>—</v>
      </c>
      <c r="K864" s="17">
        <f t="shared" ca="1" si="281"/>
        <v>7</v>
      </c>
      <c r="L864" s="10">
        <f t="shared" ca="1" si="282"/>
        <v>93</v>
      </c>
      <c r="M864" s="17">
        <f t="shared" ca="1" si="283"/>
        <v>0</v>
      </c>
      <c r="N864" s="18">
        <f t="shared" ca="1" si="284"/>
        <v>27.9</v>
      </c>
      <c r="O864" s="17">
        <f t="shared" ca="1" si="285"/>
        <v>0</v>
      </c>
      <c r="P864" s="18">
        <f t="shared" ca="1" si="286"/>
        <v>28</v>
      </c>
      <c r="Q864" s="17">
        <f t="shared" ca="1" si="287"/>
        <v>0</v>
      </c>
      <c r="R864" s="10">
        <f t="shared" ca="1" si="288"/>
        <v>65</v>
      </c>
      <c r="S864" s="17">
        <f t="shared" ca="1" si="289"/>
        <v>0</v>
      </c>
      <c r="T864" s="70">
        <f t="shared" ca="1" si="290"/>
        <v>0.5</v>
      </c>
      <c r="U864" s="17">
        <f t="shared" ca="1" si="291"/>
        <v>0</v>
      </c>
      <c r="V864" s="71">
        <f t="shared" ca="1" si="292"/>
        <v>2</v>
      </c>
      <c r="W864" s="17">
        <f t="shared" ca="1" si="293"/>
        <v>0</v>
      </c>
    </row>
    <row r="865" spans="1:23" x14ac:dyDescent="0.25">
      <c r="A865" s="4">
        <f t="shared" si="273"/>
        <v>32</v>
      </c>
      <c r="B865" t="str">
        <f ca="1">TEXT(DATE(YEAR(Invoer!$A$6),1,1)+INT((ROWS(B$2:B865)-1)/4),"jjjjmmdd")</f>
        <v>19400803</v>
      </c>
      <c r="C865" s="64" t="str">
        <f>IF(MOD(ROWS(C$2:C865)-1,4)=3,"24.00",INDEX(Data,3,2+MOD(ROWS(C$2:C865)-1,4)))</f>
        <v>24.00</v>
      </c>
      <c r="D865" s="18" t="str">
        <f t="shared" ca="1" si="274"/>
        <v>—</v>
      </c>
      <c r="E865" s="17">
        <f t="shared" ca="1" si="275"/>
        <v>7</v>
      </c>
      <c r="F865" s="18" t="str">
        <f t="shared" ca="1" si="276"/>
        <v>—</v>
      </c>
      <c r="G865" s="17">
        <f t="shared" ca="1" si="277"/>
        <v>7</v>
      </c>
      <c r="H865" s="18">
        <f t="shared" ca="1" si="278"/>
        <v>30</v>
      </c>
      <c r="I865" s="17">
        <f t="shared" ca="1" si="279"/>
        <v>0</v>
      </c>
      <c r="J865" s="18">
        <f t="shared" ca="1" si="280"/>
        <v>31</v>
      </c>
      <c r="K865" s="17">
        <f t="shared" ca="1" si="281"/>
        <v>0</v>
      </c>
      <c r="L865" s="10" t="str">
        <f t="shared" ca="1" si="282"/>
        <v>—</v>
      </c>
      <c r="M865" s="17">
        <f t="shared" ca="1" si="283"/>
        <v>7</v>
      </c>
      <c r="N865" s="18" t="str">
        <f t="shared" ca="1" si="284"/>
        <v>—</v>
      </c>
      <c r="O865" s="17">
        <f t="shared" ca="1" si="285"/>
        <v>7</v>
      </c>
      <c r="P865" s="18" t="str">
        <f t="shared" ca="1" si="286"/>
        <v>—</v>
      </c>
      <c r="Q865" s="17">
        <f t="shared" ca="1" si="287"/>
        <v>7</v>
      </c>
      <c r="R865" s="10" t="str">
        <f t="shared" ca="1" si="288"/>
        <v>—</v>
      </c>
      <c r="S865" s="17">
        <f t="shared" ca="1" si="289"/>
        <v>7</v>
      </c>
      <c r="T865" s="70" t="str">
        <f t="shared" ca="1" si="290"/>
        <v>—</v>
      </c>
      <c r="U865" s="17">
        <f t="shared" ca="1" si="291"/>
        <v>7</v>
      </c>
      <c r="V865" s="71" t="str">
        <f t="shared" ca="1" si="292"/>
        <v>—</v>
      </c>
      <c r="W865" s="17">
        <f t="shared" ca="1" si="293"/>
        <v>7</v>
      </c>
    </row>
    <row r="866" spans="1:23" x14ac:dyDescent="0.25">
      <c r="A866" s="4">
        <f t="shared" si="273"/>
        <v>32</v>
      </c>
      <c r="B866" t="str">
        <f ca="1">TEXT(DATE(YEAR(Invoer!$A$6),1,1)+INT((ROWS(B$2:B866)-1)/4),"jjjjmmdd")</f>
        <v>19400804</v>
      </c>
      <c r="C866" s="64" t="str">
        <f>IF(MOD(ROWS(C$2:C866)-1,4)=3,"24.00",INDEX(Data,3,2+MOD(ROWS(C$2:C866)-1,4)))</f>
        <v>07.00</v>
      </c>
      <c r="D866" s="18">
        <f t="shared" ca="1" si="274"/>
        <v>760.7</v>
      </c>
      <c r="E866" s="17">
        <f t="shared" ca="1" si="275"/>
        <v>0</v>
      </c>
      <c r="F866" s="18">
        <f t="shared" ca="1" si="276"/>
        <v>28.5</v>
      </c>
      <c r="G866" s="17">
        <f t="shared" ca="1" si="277"/>
        <v>0</v>
      </c>
      <c r="H866" s="18" t="str">
        <f t="shared" ca="1" si="278"/>
        <v>—</v>
      </c>
      <c r="I866" s="17">
        <f t="shared" ca="1" si="279"/>
        <v>7</v>
      </c>
      <c r="J866" s="18" t="str">
        <f t="shared" ca="1" si="280"/>
        <v>—</v>
      </c>
      <c r="K866" s="17">
        <f t="shared" ca="1" si="281"/>
        <v>7</v>
      </c>
      <c r="L866" s="10">
        <f t="shared" ca="1" si="282"/>
        <v>98</v>
      </c>
      <c r="M866" s="17">
        <f t="shared" ca="1" si="283"/>
        <v>0</v>
      </c>
      <c r="N866" s="18">
        <f t="shared" ca="1" si="284"/>
        <v>28.5</v>
      </c>
      <c r="O866" s="17">
        <f t="shared" ca="1" si="285"/>
        <v>0</v>
      </c>
      <c r="P866" s="18">
        <f t="shared" ca="1" si="286"/>
        <v>28.2</v>
      </c>
      <c r="Q866" s="17">
        <f t="shared" ca="1" si="287"/>
        <v>0</v>
      </c>
      <c r="R866" s="10">
        <f t="shared" ca="1" si="288"/>
        <v>65</v>
      </c>
      <c r="S866" s="17">
        <f t="shared" ca="1" si="289"/>
        <v>0</v>
      </c>
      <c r="T866" s="70">
        <f t="shared" ca="1" si="290"/>
        <v>0.5</v>
      </c>
      <c r="U866" s="17">
        <f t="shared" ca="1" si="291"/>
        <v>0</v>
      </c>
      <c r="V866" s="71">
        <f t="shared" ca="1" si="292"/>
        <v>3</v>
      </c>
      <c r="W866" s="17">
        <f t="shared" ca="1" si="293"/>
        <v>0</v>
      </c>
    </row>
    <row r="867" spans="1:23" x14ac:dyDescent="0.25">
      <c r="A867" s="4">
        <f t="shared" si="273"/>
        <v>32</v>
      </c>
      <c r="B867" t="str">
        <f ca="1">TEXT(DATE(YEAR(Invoer!$A$6),1,1)+INT((ROWS(B$2:B867)-1)/4),"jjjjmmdd")</f>
        <v>19400804</v>
      </c>
      <c r="C867" s="64" t="str">
        <f>IF(MOD(ROWS(C$2:C867)-1,4)=3,"24.00",INDEX(Data,3,2+MOD(ROWS(C$2:C867)-1,4)))</f>
        <v>12.00</v>
      </c>
      <c r="D867" s="18">
        <f t="shared" ca="1" si="274"/>
        <v>761.2</v>
      </c>
      <c r="E867" s="17">
        <f t="shared" ca="1" si="275"/>
        <v>0</v>
      </c>
      <c r="F867" s="18">
        <f t="shared" ca="1" si="276"/>
        <v>28.7</v>
      </c>
      <c r="G867" s="17">
        <f t="shared" ca="1" si="277"/>
        <v>0</v>
      </c>
      <c r="H867" s="18" t="str">
        <f t="shared" ca="1" si="278"/>
        <v>—</v>
      </c>
      <c r="I867" s="17">
        <f t="shared" ca="1" si="279"/>
        <v>7</v>
      </c>
      <c r="J867" s="18" t="str">
        <f t="shared" ca="1" si="280"/>
        <v>—</v>
      </c>
      <c r="K867" s="17">
        <f t="shared" ca="1" si="281"/>
        <v>7</v>
      </c>
      <c r="L867" s="10">
        <f t="shared" ca="1" si="282"/>
        <v>96</v>
      </c>
      <c r="M867" s="17">
        <f t="shared" ca="1" si="283"/>
        <v>0</v>
      </c>
      <c r="N867" s="18">
        <f t="shared" ca="1" si="284"/>
        <v>28.4</v>
      </c>
      <c r="O867" s="17">
        <f t="shared" ca="1" si="285"/>
        <v>0</v>
      </c>
      <c r="P867" s="18">
        <f t="shared" ca="1" si="286"/>
        <v>28.2</v>
      </c>
      <c r="Q867" s="17">
        <f t="shared" ca="1" si="287"/>
        <v>0</v>
      </c>
      <c r="R867" s="10">
        <f t="shared" ca="1" si="288"/>
        <v>45</v>
      </c>
      <c r="S867" s="17">
        <f t="shared" ca="1" si="289"/>
        <v>0</v>
      </c>
      <c r="T867" s="70">
        <f t="shared" ca="1" si="290"/>
        <v>0.5</v>
      </c>
      <c r="U867" s="17">
        <f t="shared" ca="1" si="291"/>
        <v>0</v>
      </c>
      <c r="V867" s="71">
        <f t="shared" ca="1" si="292"/>
        <v>2</v>
      </c>
      <c r="W867" s="17">
        <f t="shared" ca="1" si="293"/>
        <v>0</v>
      </c>
    </row>
    <row r="868" spans="1:23" x14ac:dyDescent="0.25">
      <c r="A868" s="4">
        <f t="shared" si="273"/>
        <v>32</v>
      </c>
      <c r="B868" t="str">
        <f ca="1">TEXT(DATE(YEAR(Invoer!$A$6),1,1)+INT((ROWS(B$2:B868)-1)/4),"jjjjmmdd")</f>
        <v>19400804</v>
      </c>
      <c r="C868" s="64" t="str">
        <f>IF(MOD(ROWS(C$2:C868)-1,4)=3,"24.00",INDEX(Data,3,2+MOD(ROWS(C$2:C868)-1,4)))</f>
        <v>17.00</v>
      </c>
      <c r="D868" s="18">
        <f t="shared" ca="1" si="274"/>
        <v>760.7</v>
      </c>
      <c r="E868" s="17">
        <f t="shared" ca="1" si="275"/>
        <v>0</v>
      </c>
      <c r="F868" s="18">
        <f t="shared" ca="1" si="276"/>
        <v>28.3</v>
      </c>
      <c r="G868" s="17">
        <f t="shared" ca="1" si="277"/>
        <v>0</v>
      </c>
      <c r="H868" s="18" t="str">
        <f t="shared" ca="1" si="278"/>
        <v>—</v>
      </c>
      <c r="I868" s="17">
        <f t="shared" ca="1" si="279"/>
        <v>7</v>
      </c>
      <c r="J868" s="18" t="str">
        <f t="shared" ca="1" si="280"/>
        <v>—</v>
      </c>
      <c r="K868" s="17">
        <f t="shared" ca="1" si="281"/>
        <v>7</v>
      </c>
      <c r="L868" s="10">
        <f t="shared" ca="1" si="282"/>
        <v>98</v>
      </c>
      <c r="M868" s="17">
        <f t="shared" ca="1" si="283"/>
        <v>0</v>
      </c>
      <c r="N868" s="18">
        <f t="shared" ca="1" si="284"/>
        <v>28.2</v>
      </c>
      <c r="O868" s="17">
        <f t="shared" ca="1" si="285"/>
        <v>0</v>
      </c>
      <c r="P868" s="18">
        <f t="shared" ca="1" si="286"/>
        <v>28</v>
      </c>
      <c r="Q868" s="17">
        <f t="shared" ca="1" si="287"/>
        <v>0</v>
      </c>
      <c r="R868" s="10">
        <f t="shared" ca="1" si="288"/>
        <v>45</v>
      </c>
      <c r="S868" s="17">
        <f t="shared" ca="1" si="289"/>
        <v>0</v>
      </c>
      <c r="T868" s="70">
        <f t="shared" ca="1" si="290"/>
        <v>0.5</v>
      </c>
      <c r="U868" s="17">
        <f t="shared" ca="1" si="291"/>
        <v>0</v>
      </c>
      <c r="V868" s="71">
        <f t="shared" ca="1" si="292"/>
        <v>2</v>
      </c>
      <c r="W868" s="17">
        <f t="shared" ca="1" si="293"/>
        <v>0</v>
      </c>
    </row>
    <row r="869" spans="1:23" x14ac:dyDescent="0.25">
      <c r="A869" s="4">
        <f t="shared" si="273"/>
        <v>32</v>
      </c>
      <c r="B869" t="str">
        <f ca="1">TEXT(DATE(YEAR(Invoer!$A$6),1,1)+INT((ROWS(B$2:B869)-1)/4),"jjjjmmdd")</f>
        <v>19400804</v>
      </c>
      <c r="C869" s="64" t="str">
        <f>IF(MOD(ROWS(C$2:C869)-1,4)=3,"24.00",INDEX(Data,3,2+MOD(ROWS(C$2:C869)-1,4)))</f>
        <v>24.00</v>
      </c>
      <c r="D869" s="18" t="str">
        <f t="shared" ca="1" si="274"/>
        <v>—</v>
      </c>
      <c r="E869" s="17">
        <f t="shared" ca="1" si="275"/>
        <v>7</v>
      </c>
      <c r="F869" s="18" t="str">
        <f t="shared" ca="1" si="276"/>
        <v>—</v>
      </c>
      <c r="G869" s="17">
        <f t="shared" ca="1" si="277"/>
        <v>7</v>
      </c>
      <c r="H869" s="18">
        <f t="shared" ca="1" si="278"/>
        <v>29.6</v>
      </c>
      <c r="I869" s="17">
        <f t="shared" ca="1" si="279"/>
        <v>0</v>
      </c>
      <c r="J869" s="18">
        <f t="shared" ca="1" si="280"/>
        <v>31</v>
      </c>
      <c r="K869" s="17">
        <f t="shared" ca="1" si="281"/>
        <v>0</v>
      </c>
      <c r="L869" s="10" t="str">
        <f t="shared" ca="1" si="282"/>
        <v>—</v>
      </c>
      <c r="M869" s="17">
        <f t="shared" ca="1" si="283"/>
        <v>7</v>
      </c>
      <c r="N869" s="18" t="str">
        <f t="shared" ca="1" si="284"/>
        <v>—</v>
      </c>
      <c r="O869" s="17">
        <f t="shared" ca="1" si="285"/>
        <v>7</v>
      </c>
      <c r="P869" s="18" t="str">
        <f t="shared" ca="1" si="286"/>
        <v>—</v>
      </c>
      <c r="Q869" s="17">
        <f t="shared" ca="1" si="287"/>
        <v>7</v>
      </c>
      <c r="R869" s="10" t="str">
        <f t="shared" ca="1" si="288"/>
        <v>—</v>
      </c>
      <c r="S869" s="17">
        <f t="shared" ca="1" si="289"/>
        <v>7</v>
      </c>
      <c r="T869" s="70" t="str">
        <f t="shared" ca="1" si="290"/>
        <v>—</v>
      </c>
      <c r="U869" s="17">
        <f t="shared" ca="1" si="291"/>
        <v>7</v>
      </c>
      <c r="V869" s="71" t="str">
        <f t="shared" ca="1" si="292"/>
        <v>—</v>
      </c>
      <c r="W869" s="17">
        <f t="shared" ca="1" si="293"/>
        <v>7</v>
      </c>
    </row>
    <row r="870" spans="1:23" x14ac:dyDescent="0.25">
      <c r="A870" s="4">
        <f t="shared" si="273"/>
        <v>32</v>
      </c>
      <c r="B870" t="str">
        <f ca="1">TEXT(DATE(YEAR(Invoer!$A$6),1,1)+INT((ROWS(B$2:B870)-1)/4),"jjjjmmdd")</f>
        <v>19400805</v>
      </c>
      <c r="C870" s="64" t="str">
        <f>IF(MOD(ROWS(C$2:C870)-1,4)=3,"24.00",INDEX(Data,3,2+MOD(ROWS(C$2:C870)-1,4)))</f>
        <v>07.00</v>
      </c>
      <c r="D870" s="18">
        <f t="shared" ca="1" si="274"/>
        <v>761</v>
      </c>
      <c r="E870" s="17">
        <f t="shared" ca="1" si="275"/>
        <v>0</v>
      </c>
      <c r="F870" s="18">
        <f t="shared" ca="1" si="276"/>
        <v>28.1</v>
      </c>
      <c r="G870" s="17">
        <f t="shared" ca="1" si="277"/>
        <v>0</v>
      </c>
      <c r="H870" s="18" t="str">
        <f t="shared" ca="1" si="278"/>
        <v>—</v>
      </c>
      <c r="I870" s="17">
        <f t="shared" ca="1" si="279"/>
        <v>7</v>
      </c>
      <c r="J870" s="18" t="str">
        <f t="shared" ca="1" si="280"/>
        <v>—</v>
      </c>
      <c r="K870" s="17">
        <f t="shared" ca="1" si="281"/>
        <v>7</v>
      </c>
      <c r="L870" s="10">
        <f t="shared" ca="1" si="282"/>
        <v>94</v>
      </c>
      <c r="M870" s="17">
        <f t="shared" ca="1" si="283"/>
        <v>0</v>
      </c>
      <c r="N870" s="18">
        <f t="shared" ca="1" si="284"/>
        <v>26.8</v>
      </c>
      <c r="O870" s="17">
        <f t="shared" ca="1" si="285"/>
        <v>0</v>
      </c>
      <c r="P870" s="18">
        <f t="shared" ca="1" si="286"/>
        <v>27.3</v>
      </c>
      <c r="Q870" s="17">
        <f t="shared" ca="1" si="287"/>
        <v>0</v>
      </c>
      <c r="R870" s="10">
        <f t="shared" ca="1" si="288"/>
        <v>45</v>
      </c>
      <c r="S870" s="17">
        <f t="shared" ca="1" si="289"/>
        <v>0</v>
      </c>
      <c r="T870" s="70">
        <f t="shared" ca="1" si="290"/>
        <v>0.5</v>
      </c>
      <c r="U870" s="17">
        <f t="shared" ca="1" si="291"/>
        <v>0</v>
      </c>
      <c r="V870" s="71">
        <f t="shared" ca="1" si="292"/>
        <v>2</v>
      </c>
      <c r="W870" s="17">
        <f t="shared" ca="1" si="293"/>
        <v>0</v>
      </c>
    </row>
    <row r="871" spans="1:23" x14ac:dyDescent="0.25">
      <c r="A871" s="4">
        <f t="shared" si="273"/>
        <v>32</v>
      </c>
      <c r="B871" t="str">
        <f ca="1">TEXT(DATE(YEAR(Invoer!$A$6),1,1)+INT((ROWS(B$2:B871)-1)/4),"jjjjmmdd")</f>
        <v>19400805</v>
      </c>
      <c r="C871" s="64" t="str">
        <f>IF(MOD(ROWS(C$2:C871)-1,4)=3,"24.00",INDEX(Data,3,2+MOD(ROWS(C$2:C871)-1,4)))</f>
        <v>12.00</v>
      </c>
      <c r="D871" s="18">
        <f t="shared" ca="1" si="274"/>
        <v>761.2</v>
      </c>
      <c r="E871" s="17">
        <f t="shared" ca="1" si="275"/>
        <v>0</v>
      </c>
      <c r="F871" s="18">
        <f t="shared" ca="1" si="276"/>
        <v>28.7</v>
      </c>
      <c r="G871" s="17">
        <f t="shared" ca="1" si="277"/>
        <v>0</v>
      </c>
      <c r="H871" s="18" t="str">
        <f t="shared" ca="1" si="278"/>
        <v>—</v>
      </c>
      <c r="I871" s="17">
        <f t="shared" ca="1" si="279"/>
        <v>7</v>
      </c>
      <c r="J871" s="18" t="str">
        <f t="shared" ca="1" si="280"/>
        <v>—</v>
      </c>
      <c r="K871" s="17">
        <f t="shared" ca="1" si="281"/>
        <v>7</v>
      </c>
      <c r="L871" s="10">
        <f t="shared" ca="1" si="282"/>
        <v>98</v>
      </c>
      <c r="M871" s="17">
        <f t="shared" ca="1" si="283"/>
        <v>0</v>
      </c>
      <c r="N871" s="18">
        <f t="shared" ca="1" si="284"/>
        <v>28.9</v>
      </c>
      <c r="O871" s="17">
        <f t="shared" ca="1" si="285"/>
        <v>0</v>
      </c>
      <c r="P871" s="18">
        <f t="shared" ca="1" si="286"/>
        <v>28.4</v>
      </c>
      <c r="Q871" s="17">
        <f t="shared" ca="1" si="287"/>
        <v>0</v>
      </c>
      <c r="R871" s="10">
        <f t="shared" ca="1" si="288"/>
        <v>25</v>
      </c>
      <c r="S871" s="17">
        <f t="shared" ca="1" si="289"/>
        <v>0</v>
      </c>
      <c r="T871" s="70">
        <f t="shared" ca="1" si="290"/>
        <v>0.6</v>
      </c>
      <c r="U871" s="17">
        <f t="shared" ca="1" si="291"/>
        <v>0</v>
      </c>
      <c r="V871" s="71">
        <f t="shared" ca="1" si="292"/>
        <v>2</v>
      </c>
      <c r="W871" s="17">
        <f t="shared" ca="1" si="293"/>
        <v>0</v>
      </c>
    </row>
    <row r="872" spans="1:23" x14ac:dyDescent="0.25">
      <c r="A872" s="4">
        <f t="shared" si="273"/>
        <v>32</v>
      </c>
      <c r="B872" t="str">
        <f ca="1">TEXT(DATE(YEAR(Invoer!$A$6),1,1)+INT((ROWS(B$2:B872)-1)/4),"jjjjmmdd")</f>
        <v>19400805</v>
      </c>
      <c r="C872" s="64" t="str">
        <f>IF(MOD(ROWS(C$2:C872)-1,4)=3,"24.00",INDEX(Data,3,2+MOD(ROWS(C$2:C872)-1,4)))</f>
        <v>17.00</v>
      </c>
      <c r="D872" s="18">
        <f t="shared" ca="1" si="274"/>
        <v>760.7</v>
      </c>
      <c r="E872" s="17">
        <f t="shared" ca="1" si="275"/>
        <v>0</v>
      </c>
      <c r="F872" s="18">
        <f t="shared" ca="1" si="276"/>
        <v>28.5</v>
      </c>
      <c r="G872" s="17">
        <f t="shared" ca="1" si="277"/>
        <v>0</v>
      </c>
      <c r="H872" s="18" t="str">
        <f t="shared" ca="1" si="278"/>
        <v>—</v>
      </c>
      <c r="I872" s="17">
        <f t="shared" ca="1" si="279"/>
        <v>7</v>
      </c>
      <c r="J872" s="18" t="str">
        <f t="shared" ca="1" si="280"/>
        <v>—</v>
      </c>
      <c r="K872" s="17">
        <f t="shared" ca="1" si="281"/>
        <v>7</v>
      </c>
      <c r="L872" s="10">
        <f t="shared" ca="1" si="282"/>
        <v>95</v>
      </c>
      <c r="M872" s="17">
        <f t="shared" ca="1" si="283"/>
        <v>0</v>
      </c>
      <c r="N872" s="18">
        <f t="shared" ca="1" si="284"/>
        <v>27.7</v>
      </c>
      <c r="O872" s="17">
        <f t="shared" ca="1" si="285"/>
        <v>0</v>
      </c>
      <c r="P872" s="18">
        <f t="shared" ca="1" si="286"/>
        <v>27.8</v>
      </c>
      <c r="Q872" s="17">
        <f t="shared" ca="1" si="287"/>
        <v>0</v>
      </c>
      <c r="R872" s="10">
        <f t="shared" ca="1" si="288"/>
        <v>25</v>
      </c>
      <c r="S872" s="17">
        <f t="shared" ca="1" si="289"/>
        <v>0</v>
      </c>
      <c r="T872" s="70">
        <f t="shared" ca="1" si="290"/>
        <v>0.6</v>
      </c>
      <c r="U872" s="17">
        <f t="shared" ca="1" si="291"/>
        <v>0</v>
      </c>
      <c r="V872" s="71">
        <f t="shared" ca="1" si="292"/>
        <v>2</v>
      </c>
      <c r="W872" s="17">
        <f t="shared" ca="1" si="293"/>
        <v>0</v>
      </c>
    </row>
    <row r="873" spans="1:23" x14ac:dyDescent="0.25">
      <c r="A873" s="4">
        <f t="shared" si="273"/>
        <v>32</v>
      </c>
      <c r="B873" t="str">
        <f ca="1">TEXT(DATE(YEAR(Invoer!$A$6),1,1)+INT((ROWS(B$2:B873)-1)/4),"jjjjmmdd")</f>
        <v>19400805</v>
      </c>
      <c r="C873" s="64" t="str">
        <f>IF(MOD(ROWS(C$2:C873)-1,4)=3,"24.00",INDEX(Data,3,2+MOD(ROWS(C$2:C873)-1,4)))</f>
        <v>24.00</v>
      </c>
      <c r="D873" s="18" t="str">
        <f t="shared" ca="1" si="274"/>
        <v>—</v>
      </c>
      <c r="E873" s="17">
        <f t="shared" ca="1" si="275"/>
        <v>7</v>
      </c>
      <c r="F873" s="18" t="str">
        <f t="shared" ca="1" si="276"/>
        <v>—</v>
      </c>
      <c r="G873" s="17">
        <f t="shared" ca="1" si="277"/>
        <v>7</v>
      </c>
      <c r="H873" s="18">
        <f t="shared" ca="1" si="278"/>
        <v>29</v>
      </c>
      <c r="I873" s="17">
        <f t="shared" ca="1" si="279"/>
        <v>0</v>
      </c>
      <c r="J873" s="18">
        <f t="shared" ca="1" si="280"/>
        <v>30.5</v>
      </c>
      <c r="K873" s="17">
        <f t="shared" ca="1" si="281"/>
        <v>0</v>
      </c>
      <c r="L873" s="10" t="str">
        <f t="shared" ca="1" si="282"/>
        <v>—</v>
      </c>
      <c r="M873" s="17">
        <f t="shared" ca="1" si="283"/>
        <v>7</v>
      </c>
      <c r="N873" s="18" t="str">
        <f t="shared" ca="1" si="284"/>
        <v>—</v>
      </c>
      <c r="O873" s="17">
        <f t="shared" ca="1" si="285"/>
        <v>7</v>
      </c>
      <c r="P873" s="18" t="str">
        <f t="shared" ca="1" si="286"/>
        <v>—</v>
      </c>
      <c r="Q873" s="17">
        <f t="shared" ca="1" si="287"/>
        <v>7</v>
      </c>
      <c r="R873" s="10" t="str">
        <f t="shared" ca="1" si="288"/>
        <v>—</v>
      </c>
      <c r="S873" s="17">
        <f t="shared" ca="1" si="289"/>
        <v>7</v>
      </c>
      <c r="T873" s="70" t="str">
        <f t="shared" ca="1" si="290"/>
        <v>—</v>
      </c>
      <c r="U873" s="17">
        <f t="shared" ca="1" si="291"/>
        <v>7</v>
      </c>
      <c r="V873" s="71" t="str">
        <f t="shared" ca="1" si="292"/>
        <v>—</v>
      </c>
      <c r="W873" s="17">
        <f t="shared" ca="1" si="293"/>
        <v>7</v>
      </c>
    </row>
    <row r="874" spans="1:23" x14ac:dyDescent="0.25">
      <c r="A874" s="4">
        <f t="shared" si="273"/>
        <v>32</v>
      </c>
      <c r="B874" t="str">
        <f ca="1">TEXT(DATE(YEAR(Invoer!$A$6),1,1)+INT((ROWS(B$2:B874)-1)/4),"jjjjmmdd")</f>
        <v>19400806</v>
      </c>
      <c r="C874" s="64" t="str">
        <f>IF(MOD(ROWS(C$2:C874)-1,4)=3,"24.00",INDEX(Data,3,2+MOD(ROWS(C$2:C874)-1,4)))</f>
        <v>07.00</v>
      </c>
      <c r="D874" s="18">
        <f t="shared" ca="1" si="274"/>
        <v>758.2</v>
      </c>
      <c r="E874" s="17">
        <f t="shared" ca="1" si="275"/>
        <v>0</v>
      </c>
      <c r="F874" s="18">
        <f t="shared" ca="1" si="276"/>
        <v>27.9</v>
      </c>
      <c r="G874" s="17">
        <f t="shared" ca="1" si="277"/>
        <v>0</v>
      </c>
      <c r="H874" s="18" t="str">
        <f t="shared" ca="1" si="278"/>
        <v>—</v>
      </c>
      <c r="I874" s="17">
        <f t="shared" ca="1" si="279"/>
        <v>7</v>
      </c>
      <c r="J874" s="18" t="str">
        <f t="shared" ca="1" si="280"/>
        <v>—</v>
      </c>
      <c r="K874" s="17">
        <f t="shared" ca="1" si="281"/>
        <v>7</v>
      </c>
      <c r="L874" s="10">
        <f t="shared" ca="1" si="282"/>
        <v>96</v>
      </c>
      <c r="M874" s="17">
        <f t="shared" ca="1" si="283"/>
        <v>0</v>
      </c>
      <c r="N874" s="18">
        <f t="shared" ca="1" si="284"/>
        <v>27.1</v>
      </c>
      <c r="O874" s="17">
        <f t="shared" ca="1" si="285"/>
        <v>0</v>
      </c>
      <c r="P874" s="18">
        <f t="shared" ca="1" si="286"/>
        <v>27.4</v>
      </c>
      <c r="Q874" s="17">
        <f t="shared" ca="1" si="287"/>
        <v>0</v>
      </c>
      <c r="R874" s="10">
        <f t="shared" ca="1" si="288"/>
        <v>65</v>
      </c>
      <c r="S874" s="17">
        <f t="shared" ca="1" si="289"/>
        <v>0</v>
      </c>
      <c r="T874" s="70">
        <f t="shared" ca="1" si="290"/>
        <v>0.6</v>
      </c>
      <c r="U874" s="17">
        <f t="shared" ca="1" si="291"/>
        <v>0</v>
      </c>
      <c r="V874" s="71">
        <f t="shared" ca="1" si="292"/>
        <v>2</v>
      </c>
      <c r="W874" s="17">
        <f t="shared" ca="1" si="293"/>
        <v>0</v>
      </c>
    </row>
    <row r="875" spans="1:23" x14ac:dyDescent="0.25">
      <c r="A875" s="4">
        <f t="shared" si="273"/>
        <v>32</v>
      </c>
      <c r="B875" t="str">
        <f ca="1">TEXT(DATE(YEAR(Invoer!$A$6),1,1)+INT((ROWS(B$2:B875)-1)/4),"jjjjmmdd")</f>
        <v>19400806</v>
      </c>
      <c r="C875" s="64" t="str">
        <f>IF(MOD(ROWS(C$2:C875)-1,4)=3,"24.00",INDEX(Data,3,2+MOD(ROWS(C$2:C875)-1,4)))</f>
        <v>12.00</v>
      </c>
      <c r="D875" s="18">
        <f t="shared" ca="1" si="274"/>
        <v>760.2</v>
      </c>
      <c r="E875" s="17">
        <f t="shared" ca="1" si="275"/>
        <v>0</v>
      </c>
      <c r="F875" s="18">
        <f t="shared" ca="1" si="276"/>
        <v>28.9</v>
      </c>
      <c r="G875" s="17">
        <f t="shared" ca="1" si="277"/>
        <v>0</v>
      </c>
      <c r="H875" s="18" t="str">
        <f t="shared" ca="1" si="278"/>
        <v>—</v>
      </c>
      <c r="I875" s="17">
        <f t="shared" ca="1" si="279"/>
        <v>7</v>
      </c>
      <c r="J875" s="18" t="str">
        <f t="shared" ca="1" si="280"/>
        <v>—</v>
      </c>
      <c r="K875" s="17">
        <f t="shared" ca="1" si="281"/>
        <v>7</v>
      </c>
      <c r="L875" s="10">
        <f t="shared" ca="1" si="282"/>
        <v>96</v>
      </c>
      <c r="M875" s="17">
        <f t="shared" ca="1" si="283"/>
        <v>0</v>
      </c>
      <c r="N875" s="18">
        <f t="shared" ca="1" si="284"/>
        <v>28.8</v>
      </c>
      <c r="O875" s="17">
        <f t="shared" ca="1" si="285"/>
        <v>0</v>
      </c>
      <c r="P875" s="18">
        <f t="shared" ca="1" si="286"/>
        <v>28.4</v>
      </c>
      <c r="Q875" s="17">
        <f t="shared" ca="1" si="287"/>
        <v>0</v>
      </c>
      <c r="R875" s="10">
        <f t="shared" ca="1" si="288"/>
        <v>45</v>
      </c>
      <c r="S875" s="17">
        <f t="shared" ca="1" si="289"/>
        <v>0</v>
      </c>
      <c r="T875" s="70">
        <f t="shared" ca="1" si="290"/>
        <v>0.7</v>
      </c>
      <c r="U875" s="17">
        <f t="shared" ca="1" si="291"/>
        <v>0</v>
      </c>
      <c r="V875" s="71">
        <f t="shared" ca="1" si="292"/>
        <v>2</v>
      </c>
      <c r="W875" s="17">
        <f t="shared" ca="1" si="293"/>
        <v>0</v>
      </c>
    </row>
    <row r="876" spans="1:23" x14ac:dyDescent="0.25">
      <c r="A876" s="4">
        <f t="shared" si="273"/>
        <v>32</v>
      </c>
      <c r="B876" t="str">
        <f ca="1">TEXT(DATE(YEAR(Invoer!$A$6),1,1)+INT((ROWS(B$2:B876)-1)/4),"jjjjmmdd")</f>
        <v>19400806</v>
      </c>
      <c r="C876" s="64" t="str">
        <f>IF(MOD(ROWS(C$2:C876)-1,4)=3,"24.00",INDEX(Data,3,2+MOD(ROWS(C$2:C876)-1,4)))</f>
        <v>17.00</v>
      </c>
      <c r="D876" s="18">
        <f t="shared" ca="1" si="274"/>
        <v>757.4</v>
      </c>
      <c r="E876" s="17">
        <f t="shared" ca="1" si="275"/>
        <v>0</v>
      </c>
      <c r="F876" s="18">
        <f t="shared" ca="1" si="276"/>
        <v>28.1</v>
      </c>
      <c r="G876" s="17">
        <f t="shared" ca="1" si="277"/>
        <v>0</v>
      </c>
      <c r="H876" s="18" t="str">
        <f t="shared" ca="1" si="278"/>
        <v>—</v>
      </c>
      <c r="I876" s="17">
        <f t="shared" ca="1" si="279"/>
        <v>7</v>
      </c>
      <c r="J876" s="18" t="str">
        <f t="shared" ca="1" si="280"/>
        <v>—</v>
      </c>
      <c r="K876" s="17">
        <f t="shared" ca="1" si="281"/>
        <v>7</v>
      </c>
      <c r="L876" s="10">
        <f t="shared" ca="1" si="282"/>
        <v>98</v>
      </c>
      <c r="M876" s="17">
        <f t="shared" ca="1" si="283"/>
        <v>0</v>
      </c>
      <c r="N876" s="18">
        <f t="shared" ca="1" si="284"/>
        <v>27.9</v>
      </c>
      <c r="O876" s="17">
        <f t="shared" ca="1" si="285"/>
        <v>0</v>
      </c>
      <c r="P876" s="18">
        <f t="shared" ca="1" si="286"/>
        <v>27.8</v>
      </c>
      <c r="Q876" s="17">
        <f t="shared" ca="1" si="287"/>
        <v>0</v>
      </c>
      <c r="R876" s="10">
        <f t="shared" ca="1" si="288"/>
        <v>45</v>
      </c>
      <c r="S876" s="17">
        <f t="shared" ca="1" si="289"/>
        <v>0</v>
      </c>
      <c r="T876" s="70">
        <f t="shared" ca="1" si="290"/>
        <v>0.7</v>
      </c>
      <c r="U876" s="17">
        <f t="shared" ca="1" si="291"/>
        <v>0</v>
      </c>
      <c r="V876" s="71">
        <f t="shared" ca="1" si="292"/>
        <v>2</v>
      </c>
      <c r="W876" s="17">
        <f t="shared" ca="1" si="293"/>
        <v>0</v>
      </c>
    </row>
    <row r="877" spans="1:23" x14ac:dyDescent="0.25">
      <c r="A877" s="4">
        <f t="shared" si="273"/>
        <v>32</v>
      </c>
      <c r="B877" t="str">
        <f ca="1">TEXT(DATE(YEAR(Invoer!$A$6),1,1)+INT((ROWS(B$2:B877)-1)/4),"jjjjmmdd")</f>
        <v>19400806</v>
      </c>
      <c r="C877" s="64" t="str">
        <f>IF(MOD(ROWS(C$2:C877)-1,4)=3,"24.00",INDEX(Data,3,2+MOD(ROWS(C$2:C877)-1,4)))</f>
        <v>24.00</v>
      </c>
      <c r="D877" s="18" t="str">
        <f t="shared" ca="1" si="274"/>
        <v>—</v>
      </c>
      <c r="E877" s="17">
        <f t="shared" ca="1" si="275"/>
        <v>7</v>
      </c>
      <c r="F877" s="18" t="str">
        <f t="shared" ca="1" si="276"/>
        <v>—</v>
      </c>
      <c r="G877" s="17">
        <f t="shared" ca="1" si="277"/>
        <v>7</v>
      </c>
      <c r="H877" s="18">
        <f t="shared" ca="1" si="278"/>
        <v>28.4</v>
      </c>
      <c r="I877" s="17">
        <f t="shared" ca="1" si="279"/>
        <v>0</v>
      </c>
      <c r="J877" s="18">
        <f t="shared" ca="1" si="280"/>
        <v>31.4</v>
      </c>
      <c r="K877" s="17">
        <f t="shared" ca="1" si="281"/>
        <v>0</v>
      </c>
      <c r="L877" s="10" t="str">
        <f t="shared" ca="1" si="282"/>
        <v>—</v>
      </c>
      <c r="M877" s="17">
        <f t="shared" ca="1" si="283"/>
        <v>7</v>
      </c>
      <c r="N877" s="18" t="str">
        <f t="shared" ca="1" si="284"/>
        <v>—</v>
      </c>
      <c r="O877" s="17">
        <f t="shared" ca="1" si="285"/>
        <v>7</v>
      </c>
      <c r="P877" s="18" t="str">
        <f t="shared" ca="1" si="286"/>
        <v>—</v>
      </c>
      <c r="Q877" s="17">
        <f t="shared" ca="1" si="287"/>
        <v>7</v>
      </c>
      <c r="R877" s="10" t="str">
        <f t="shared" ca="1" si="288"/>
        <v>—</v>
      </c>
      <c r="S877" s="17">
        <f t="shared" ca="1" si="289"/>
        <v>7</v>
      </c>
      <c r="T877" s="70" t="str">
        <f t="shared" ca="1" si="290"/>
        <v>—</v>
      </c>
      <c r="U877" s="17">
        <f t="shared" ca="1" si="291"/>
        <v>7</v>
      </c>
      <c r="V877" s="71" t="str">
        <f t="shared" ca="1" si="292"/>
        <v>—</v>
      </c>
      <c r="W877" s="17">
        <f t="shared" ca="1" si="293"/>
        <v>7</v>
      </c>
    </row>
    <row r="878" spans="1:23" x14ac:dyDescent="0.25">
      <c r="A878" s="4">
        <f t="shared" si="273"/>
        <v>32</v>
      </c>
      <c r="B878" t="str">
        <f ca="1">TEXT(DATE(YEAR(Invoer!$A$6),1,1)+INT((ROWS(B$2:B878)-1)/4),"jjjjmmdd")</f>
        <v>19400807</v>
      </c>
      <c r="C878" s="64" t="str">
        <f>IF(MOD(ROWS(C$2:C878)-1,4)=3,"24.00",INDEX(Data,3,2+MOD(ROWS(C$2:C878)-1,4)))</f>
        <v>07.00</v>
      </c>
      <c r="D878" s="18">
        <f t="shared" ca="1" si="274"/>
        <v>760</v>
      </c>
      <c r="E878" s="17">
        <f t="shared" ca="1" si="275"/>
        <v>0</v>
      </c>
      <c r="F878" s="18">
        <f t="shared" ca="1" si="276"/>
        <v>27.9</v>
      </c>
      <c r="G878" s="17">
        <f t="shared" ca="1" si="277"/>
        <v>0</v>
      </c>
      <c r="H878" s="18" t="str">
        <f t="shared" ca="1" si="278"/>
        <v>—</v>
      </c>
      <c r="I878" s="17">
        <f t="shared" ca="1" si="279"/>
        <v>7</v>
      </c>
      <c r="J878" s="18" t="str">
        <f t="shared" ca="1" si="280"/>
        <v>—</v>
      </c>
      <c r="K878" s="17">
        <f t="shared" ca="1" si="281"/>
        <v>7</v>
      </c>
      <c r="L878" s="10">
        <f t="shared" ca="1" si="282"/>
        <v>93</v>
      </c>
      <c r="M878" s="17">
        <f t="shared" ca="1" si="283"/>
        <v>0</v>
      </c>
      <c r="N878" s="18">
        <f t="shared" ca="1" si="284"/>
        <v>26.3</v>
      </c>
      <c r="O878" s="17">
        <f t="shared" ca="1" si="285"/>
        <v>0</v>
      </c>
      <c r="P878" s="18">
        <f t="shared" ca="1" si="286"/>
        <v>24.4</v>
      </c>
      <c r="Q878" s="17">
        <f t="shared" ca="1" si="287"/>
        <v>0</v>
      </c>
      <c r="R878" s="10">
        <f t="shared" ca="1" si="288"/>
        <v>65</v>
      </c>
      <c r="S878" s="17">
        <f t="shared" ca="1" si="289"/>
        <v>0</v>
      </c>
      <c r="T878" s="70">
        <f t="shared" ca="1" si="290"/>
        <v>0.6</v>
      </c>
      <c r="U878" s="17">
        <f t="shared" ca="1" si="291"/>
        <v>0</v>
      </c>
      <c r="V878" s="71">
        <f t="shared" ca="1" si="292"/>
        <v>3</v>
      </c>
      <c r="W878" s="17">
        <f t="shared" ca="1" si="293"/>
        <v>0</v>
      </c>
    </row>
    <row r="879" spans="1:23" x14ac:dyDescent="0.25">
      <c r="A879" s="4">
        <f t="shared" si="273"/>
        <v>32</v>
      </c>
      <c r="B879" t="str">
        <f ca="1">TEXT(DATE(YEAR(Invoer!$A$6),1,1)+INT((ROWS(B$2:B879)-1)/4),"jjjjmmdd")</f>
        <v>19400807</v>
      </c>
      <c r="C879" s="64" t="str">
        <f>IF(MOD(ROWS(C$2:C879)-1,4)=3,"24.00",INDEX(Data,3,2+MOD(ROWS(C$2:C879)-1,4)))</f>
        <v>12.00</v>
      </c>
      <c r="D879" s="18">
        <f t="shared" ca="1" si="274"/>
        <v>760.5</v>
      </c>
      <c r="E879" s="17">
        <f t="shared" ca="1" si="275"/>
        <v>0</v>
      </c>
      <c r="F879" s="18">
        <f t="shared" ca="1" si="276"/>
        <v>28.5</v>
      </c>
      <c r="G879" s="17">
        <f t="shared" ca="1" si="277"/>
        <v>0</v>
      </c>
      <c r="H879" s="18" t="str">
        <f t="shared" ca="1" si="278"/>
        <v>—</v>
      </c>
      <c r="I879" s="17">
        <f t="shared" ca="1" si="279"/>
        <v>7</v>
      </c>
      <c r="J879" s="18" t="str">
        <f t="shared" ca="1" si="280"/>
        <v>—</v>
      </c>
      <c r="K879" s="17">
        <f t="shared" ca="1" si="281"/>
        <v>7</v>
      </c>
      <c r="L879" s="10">
        <f t="shared" ca="1" si="282"/>
        <v>99</v>
      </c>
      <c r="M879" s="17">
        <f t="shared" ca="1" si="283"/>
        <v>0</v>
      </c>
      <c r="N879" s="18">
        <f t="shared" ca="1" si="284"/>
        <v>29</v>
      </c>
      <c r="O879" s="17">
        <f t="shared" ca="1" si="285"/>
        <v>0</v>
      </c>
      <c r="P879" s="18">
        <f t="shared" ca="1" si="286"/>
        <v>28.4</v>
      </c>
      <c r="Q879" s="17">
        <f t="shared" ca="1" si="287"/>
        <v>0</v>
      </c>
      <c r="R879" s="10">
        <f t="shared" ca="1" si="288"/>
        <v>45</v>
      </c>
      <c r="S879" s="17">
        <f t="shared" ca="1" si="289"/>
        <v>0</v>
      </c>
      <c r="T879" s="70">
        <f t="shared" ca="1" si="290"/>
        <v>0.7</v>
      </c>
      <c r="U879" s="17">
        <f t="shared" ca="1" si="291"/>
        <v>0</v>
      </c>
      <c r="V879" s="71">
        <f t="shared" ca="1" si="292"/>
        <v>2</v>
      </c>
      <c r="W879" s="17">
        <f t="shared" ca="1" si="293"/>
        <v>0</v>
      </c>
    </row>
    <row r="880" spans="1:23" x14ac:dyDescent="0.25">
      <c r="A880" s="4">
        <f t="shared" si="273"/>
        <v>32</v>
      </c>
      <c r="B880" t="str">
        <f ca="1">TEXT(DATE(YEAR(Invoer!$A$6),1,1)+INT((ROWS(B$2:B880)-1)/4),"jjjjmmdd")</f>
        <v>19400807</v>
      </c>
      <c r="C880" s="64" t="str">
        <f>IF(MOD(ROWS(C$2:C880)-1,4)=3,"24.00",INDEX(Data,3,2+MOD(ROWS(C$2:C880)-1,4)))</f>
        <v>17.00</v>
      </c>
      <c r="D880" s="18">
        <f t="shared" ca="1" si="274"/>
        <v>757.9</v>
      </c>
      <c r="E880" s="17">
        <f t="shared" ca="1" si="275"/>
        <v>0</v>
      </c>
      <c r="F880" s="18">
        <f t="shared" ca="1" si="276"/>
        <v>28.5</v>
      </c>
      <c r="G880" s="17">
        <f t="shared" ca="1" si="277"/>
        <v>0</v>
      </c>
      <c r="H880" s="18" t="str">
        <f t="shared" ca="1" si="278"/>
        <v>—</v>
      </c>
      <c r="I880" s="17">
        <f t="shared" ca="1" si="279"/>
        <v>7</v>
      </c>
      <c r="J880" s="18" t="str">
        <f t="shared" ca="1" si="280"/>
        <v>—</v>
      </c>
      <c r="K880" s="17">
        <f t="shared" ca="1" si="281"/>
        <v>7</v>
      </c>
      <c r="L880" s="10">
        <f t="shared" ca="1" si="282"/>
        <v>95</v>
      </c>
      <c r="M880" s="17">
        <f t="shared" ca="1" si="283"/>
        <v>0</v>
      </c>
      <c r="N880" s="18">
        <f t="shared" ca="1" si="284"/>
        <v>27.7</v>
      </c>
      <c r="O880" s="17">
        <f t="shared" ca="1" si="285"/>
        <v>0</v>
      </c>
      <c r="P880" s="18">
        <f t="shared" ca="1" si="286"/>
        <v>27.8</v>
      </c>
      <c r="Q880" s="17">
        <f t="shared" ca="1" si="287"/>
        <v>0</v>
      </c>
      <c r="R880" s="10">
        <f t="shared" ca="1" si="288"/>
        <v>45</v>
      </c>
      <c r="S880" s="17">
        <f t="shared" ca="1" si="289"/>
        <v>0</v>
      </c>
      <c r="T880" s="70">
        <f t="shared" ca="1" si="290"/>
        <v>0.7</v>
      </c>
      <c r="U880" s="17">
        <f t="shared" ca="1" si="291"/>
        <v>0</v>
      </c>
      <c r="V880" s="71">
        <f t="shared" ca="1" si="292"/>
        <v>3</v>
      </c>
      <c r="W880" s="17">
        <f t="shared" ca="1" si="293"/>
        <v>0</v>
      </c>
    </row>
    <row r="881" spans="1:23" x14ac:dyDescent="0.25">
      <c r="A881" s="4">
        <f t="shared" si="273"/>
        <v>32</v>
      </c>
      <c r="B881" t="str">
        <f ca="1">TEXT(DATE(YEAR(Invoer!$A$6),1,1)+INT((ROWS(B$2:B881)-1)/4),"jjjjmmdd")</f>
        <v>19400807</v>
      </c>
      <c r="C881" s="64" t="str">
        <f>IF(MOD(ROWS(C$2:C881)-1,4)=3,"24.00",INDEX(Data,3,2+MOD(ROWS(C$2:C881)-1,4)))</f>
        <v>24.00</v>
      </c>
      <c r="D881" s="18" t="str">
        <f t="shared" ca="1" si="274"/>
        <v>—</v>
      </c>
      <c r="E881" s="17">
        <f t="shared" ca="1" si="275"/>
        <v>7</v>
      </c>
      <c r="F881" s="18" t="str">
        <f t="shared" ca="1" si="276"/>
        <v>—</v>
      </c>
      <c r="G881" s="17">
        <f t="shared" ca="1" si="277"/>
        <v>7</v>
      </c>
      <c r="H881" s="18">
        <f t="shared" ca="1" si="278"/>
        <v>29</v>
      </c>
      <c r="I881" s="17">
        <f t="shared" ca="1" si="279"/>
        <v>0</v>
      </c>
      <c r="J881" s="18">
        <f t="shared" ca="1" si="280"/>
        <v>31</v>
      </c>
      <c r="K881" s="17">
        <f t="shared" ca="1" si="281"/>
        <v>0</v>
      </c>
      <c r="L881" s="10" t="str">
        <f t="shared" ca="1" si="282"/>
        <v>—</v>
      </c>
      <c r="M881" s="17">
        <f t="shared" ca="1" si="283"/>
        <v>7</v>
      </c>
      <c r="N881" s="18" t="str">
        <f t="shared" ca="1" si="284"/>
        <v>—</v>
      </c>
      <c r="O881" s="17">
        <f t="shared" ca="1" si="285"/>
        <v>7</v>
      </c>
      <c r="P881" s="18" t="str">
        <f t="shared" ca="1" si="286"/>
        <v>—</v>
      </c>
      <c r="Q881" s="17">
        <f t="shared" ca="1" si="287"/>
        <v>7</v>
      </c>
      <c r="R881" s="10" t="str">
        <f t="shared" ca="1" si="288"/>
        <v>—</v>
      </c>
      <c r="S881" s="17">
        <f t="shared" ca="1" si="289"/>
        <v>7</v>
      </c>
      <c r="T881" s="70" t="str">
        <f t="shared" ca="1" si="290"/>
        <v>—</v>
      </c>
      <c r="U881" s="17">
        <f t="shared" ca="1" si="291"/>
        <v>7</v>
      </c>
      <c r="V881" s="71" t="str">
        <f t="shared" ca="1" si="292"/>
        <v>—</v>
      </c>
      <c r="W881" s="17">
        <f t="shared" ca="1" si="293"/>
        <v>7</v>
      </c>
    </row>
    <row r="882" spans="1:23" x14ac:dyDescent="0.25">
      <c r="A882" s="4">
        <f t="shared" si="273"/>
        <v>32</v>
      </c>
      <c r="B882" t="str">
        <f ca="1">TEXT(DATE(YEAR(Invoer!$A$6),1,1)+INT((ROWS(B$2:B882)-1)/4),"jjjjmmdd")</f>
        <v>19400808</v>
      </c>
      <c r="C882" s="64" t="str">
        <f>IF(MOD(ROWS(C$2:C882)-1,4)=3,"24.00",INDEX(Data,3,2+MOD(ROWS(C$2:C882)-1,4)))</f>
        <v>07.00</v>
      </c>
      <c r="D882" s="18">
        <f t="shared" ca="1" si="274"/>
        <v>760.7</v>
      </c>
      <c r="E882" s="17">
        <f t="shared" ca="1" si="275"/>
        <v>0</v>
      </c>
      <c r="F882" s="18">
        <f t="shared" ca="1" si="276"/>
        <v>27.9</v>
      </c>
      <c r="G882" s="17">
        <f t="shared" ca="1" si="277"/>
        <v>0</v>
      </c>
      <c r="H882" s="18" t="str">
        <f t="shared" ca="1" si="278"/>
        <v>—</v>
      </c>
      <c r="I882" s="17">
        <f t="shared" ca="1" si="279"/>
        <v>7</v>
      </c>
      <c r="J882" s="18" t="str">
        <f t="shared" ca="1" si="280"/>
        <v>—</v>
      </c>
      <c r="K882" s="17">
        <f t="shared" ca="1" si="281"/>
        <v>7</v>
      </c>
      <c r="L882" s="10">
        <f t="shared" ca="1" si="282"/>
        <v>75</v>
      </c>
      <c r="M882" s="17">
        <f t="shared" ca="1" si="283"/>
        <v>0</v>
      </c>
      <c r="N882" s="18">
        <f t="shared" ca="1" si="284"/>
        <v>21.2</v>
      </c>
      <c r="O882" s="17">
        <f t="shared" ca="1" si="285"/>
        <v>0</v>
      </c>
      <c r="P882" s="18">
        <f t="shared" ca="1" si="286"/>
        <v>24.4</v>
      </c>
      <c r="Q882" s="17">
        <f t="shared" ca="1" si="287"/>
        <v>0</v>
      </c>
      <c r="R882" s="10">
        <f t="shared" ca="1" si="288"/>
        <v>45</v>
      </c>
      <c r="S882" s="17">
        <f t="shared" ca="1" si="289"/>
        <v>0</v>
      </c>
      <c r="T882" s="70">
        <f t="shared" ca="1" si="290"/>
        <v>0.5</v>
      </c>
      <c r="U882" s="17">
        <f t="shared" ca="1" si="291"/>
        <v>0</v>
      </c>
      <c r="V882" s="71">
        <f t="shared" ca="1" si="292"/>
        <v>2</v>
      </c>
      <c r="W882" s="17">
        <f t="shared" ca="1" si="293"/>
        <v>0</v>
      </c>
    </row>
    <row r="883" spans="1:23" x14ac:dyDescent="0.25">
      <c r="A883" s="4">
        <f t="shared" si="273"/>
        <v>32</v>
      </c>
      <c r="B883" t="str">
        <f ca="1">TEXT(DATE(YEAR(Invoer!$A$6),1,1)+INT((ROWS(B$2:B883)-1)/4),"jjjjmmdd")</f>
        <v>19400808</v>
      </c>
      <c r="C883" s="64" t="str">
        <f>IF(MOD(ROWS(C$2:C883)-1,4)=3,"24.00",INDEX(Data,3,2+MOD(ROWS(C$2:C883)-1,4)))</f>
        <v>12.00</v>
      </c>
      <c r="D883" s="18">
        <f t="shared" ca="1" si="274"/>
        <v>760.7</v>
      </c>
      <c r="E883" s="17">
        <f t="shared" ca="1" si="275"/>
        <v>0</v>
      </c>
      <c r="F883" s="18">
        <f t="shared" ca="1" si="276"/>
        <v>28.5</v>
      </c>
      <c r="G883" s="17">
        <f t="shared" ca="1" si="277"/>
        <v>0</v>
      </c>
      <c r="H883" s="18" t="str">
        <f t="shared" ca="1" si="278"/>
        <v>—</v>
      </c>
      <c r="I883" s="17">
        <f t="shared" ca="1" si="279"/>
        <v>7</v>
      </c>
      <c r="J883" s="18" t="str">
        <f t="shared" ca="1" si="280"/>
        <v>—</v>
      </c>
      <c r="K883" s="17">
        <f t="shared" ca="1" si="281"/>
        <v>7</v>
      </c>
      <c r="L883" s="10">
        <f t="shared" ca="1" si="282"/>
        <v>92</v>
      </c>
      <c r="M883" s="17">
        <f t="shared" ca="1" si="283"/>
        <v>0</v>
      </c>
      <c r="N883" s="18">
        <f t="shared" ca="1" si="284"/>
        <v>26.8</v>
      </c>
      <c r="O883" s="17">
        <f t="shared" ca="1" si="285"/>
        <v>0</v>
      </c>
      <c r="P883" s="18">
        <f t="shared" ca="1" si="286"/>
        <v>27.4</v>
      </c>
      <c r="Q883" s="17">
        <f t="shared" ca="1" si="287"/>
        <v>0</v>
      </c>
      <c r="R883" s="10">
        <f t="shared" ca="1" si="288"/>
        <v>45</v>
      </c>
      <c r="S883" s="17">
        <f t="shared" ca="1" si="289"/>
        <v>0</v>
      </c>
      <c r="T883" s="70">
        <f t="shared" ca="1" si="290"/>
        <v>0.6</v>
      </c>
      <c r="U883" s="17">
        <f t="shared" ca="1" si="291"/>
        <v>0</v>
      </c>
      <c r="V883" s="71">
        <f t="shared" ca="1" si="292"/>
        <v>2</v>
      </c>
      <c r="W883" s="17">
        <f t="shared" ca="1" si="293"/>
        <v>0</v>
      </c>
    </row>
    <row r="884" spans="1:23" x14ac:dyDescent="0.25">
      <c r="A884" s="4">
        <f t="shared" si="273"/>
        <v>32</v>
      </c>
      <c r="B884" t="str">
        <f ca="1">TEXT(DATE(YEAR(Invoer!$A$6),1,1)+INT((ROWS(B$2:B884)-1)/4),"jjjjmmdd")</f>
        <v>19400808</v>
      </c>
      <c r="C884" s="64" t="str">
        <f>IF(MOD(ROWS(C$2:C884)-1,4)=3,"24.00",INDEX(Data,3,2+MOD(ROWS(C$2:C884)-1,4)))</f>
        <v>17.00</v>
      </c>
      <c r="D884" s="18">
        <f t="shared" ca="1" si="274"/>
        <v>759</v>
      </c>
      <c r="E884" s="17">
        <f t="shared" ca="1" si="275"/>
        <v>0</v>
      </c>
      <c r="F884" s="18">
        <f t="shared" ca="1" si="276"/>
        <v>27.7</v>
      </c>
      <c r="G884" s="17">
        <f t="shared" ca="1" si="277"/>
        <v>0</v>
      </c>
      <c r="H884" s="18" t="str">
        <f t="shared" ca="1" si="278"/>
        <v>—</v>
      </c>
      <c r="I884" s="17">
        <f t="shared" ca="1" si="279"/>
        <v>7</v>
      </c>
      <c r="J884" s="18" t="str">
        <f t="shared" ca="1" si="280"/>
        <v>—</v>
      </c>
      <c r="K884" s="17">
        <f t="shared" ca="1" si="281"/>
        <v>7</v>
      </c>
      <c r="L884" s="10">
        <f t="shared" ca="1" si="282"/>
        <v>93</v>
      </c>
      <c r="M884" s="17">
        <f t="shared" ca="1" si="283"/>
        <v>0</v>
      </c>
      <c r="N884" s="18">
        <f t="shared" ca="1" si="284"/>
        <v>26</v>
      </c>
      <c r="O884" s="17">
        <f t="shared" ca="1" si="285"/>
        <v>0</v>
      </c>
      <c r="P884" s="18">
        <f t="shared" ca="1" si="286"/>
        <v>26.8</v>
      </c>
      <c r="Q884" s="17">
        <f t="shared" ca="1" si="287"/>
        <v>0</v>
      </c>
      <c r="R884" s="10">
        <f t="shared" ca="1" si="288"/>
        <v>25</v>
      </c>
      <c r="S884" s="17">
        <f t="shared" ca="1" si="289"/>
        <v>0</v>
      </c>
      <c r="T884" s="70">
        <f t="shared" ca="1" si="290"/>
        <v>0.6</v>
      </c>
      <c r="U884" s="17">
        <f t="shared" ca="1" si="291"/>
        <v>0</v>
      </c>
      <c r="V884" s="71">
        <f t="shared" ca="1" si="292"/>
        <v>2</v>
      </c>
      <c r="W884" s="17">
        <f t="shared" ca="1" si="293"/>
        <v>0</v>
      </c>
    </row>
    <row r="885" spans="1:23" x14ac:dyDescent="0.25">
      <c r="A885" s="4">
        <f t="shared" si="273"/>
        <v>32</v>
      </c>
      <c r="B885" t="str">
        <f ca="1">TEXT(DATE(YEAR(Invoer!$A$6),1,1)+INT((ROWS(B$2:B885)-1)/4),"jjjjmmdd")</f>
        <v>19400808</v>
      </c>
      <c r="C885" s="64" t="str">
        <f>IF(MOD(ROWS(C$2:C885)-1,4)=3,"24.00",INDEX(Data,3,2+MOD(ROWS(C$2:C885)-1,4)))</f>
        <v>24.00</v>
      </c>
      <c r="D885" s="18" t="str">
        <f t="shared" ca="1" si="274"/>
        <v>—</v>
      </c>
      <c r="E885" s="17">
        <f t="shared" ca="1" si="275"/>
        <v>7</v>
      </c>
      <c r="F885" s="18" t="str">
        <f t="shared" ca="1" si="276"/>
        <v>—</v>
      </c>
      <c r="G885" s="17">
        <f t="shared" ca="1" si="277"/>
        <v>7</v>
      </c>
      <c r="H885" s="18">
        <f t="shared" ca="1" si="278"/>
        <v>28.4</v>
      </c>
      <c r="I885" s="17">
        <f t="shared" ca="1" si="279"/>
        <v>0</v>
      </c>
      <c r="J885" s="18">
        <f t="shared" ca="1" si="280"/>
        <v>30</v>
      </c>
      <c r="K885" s="17">
        <f t="shared" ca="1" si="281"/>
        <v>0</v>
      </c>
      <c r="L885" s="10" t="str">
        <f t="shared" ca="1" si="282"/>
        <v>—</v>
      </c>
      <c r="M885" s="17">
        <f t="shared" ca="1" si="283"/>
        <v>7</v>
      </c>
      <c r="N885" s="18" t="str">
        <f t="shared" ca="1" si="284"/>
        <v>—</v>
      </c>
      <c r="O885" s="17">
        <f t="shared" ca="1" si="285"/>
        <v>7</v>
      </c>
      <c r="P885" s="18" t="str">
        <f t="shared" ca="1" si="286"/>
        <v>—</v>
      </c>
      <c r="Q885" s="17">
        <f t="shared" ca="1" si="287"/>
        <v>7</v>
      </c>
      <c r="R885" s="10" t="str">
        <f t="shared" ca="1" si="288"/>
        <v>—</v>
      </c>
      <c r="S885" s="17">
        <f t="shared" ca="1" si="289"/>
        <v>7</v>
      </c>
      <c r="T885" s="70" t="str">
        <f t="shared" ca="1" si="290"/>
        <v>—</v>
      </c>
      <c r="U885" s="17">
        <f t="shared" ca="1" si="291"/>
        <v>7</v>
      </c>
      <c r="V885" s="71" t="str">
        <f t="shared" ca="1" si="292"/>
        <v>—</v>
      </c>
      <c r="W885" s="17">
        <f t="shared" ca="1" si="293"/>
        <v>7</v>
      </c>
    </row>
    <row r="886" spans="1:23" x14ac:dyDescent="0.25">
      <c r="A886" s="4">
        <f t="shared" si="273"/>
        <v>32</v>
      </c>
      <c r="B886" t="str">
        <f ca="1">TEXT(DATE(YEAR(Invoer!$A$6),1,1)+INT((ROWS(B$2:B886)-1)/4),"jjjjmmdd")</f>
        <v>19400809</v>
      </c>
      <c r="C886" s="64" t="str">
        <f>IF(MOD(ROWS(C$2:C886)-1,4)=3,"24.00",INDEX(Data,3,2+MOD(ROWS(C$2:C886)-1,4)))</f>
        <v>07.00</v>
      </c>
      <c r="D886" s="18">
        <f t="shared" ca="1" si="274"/>
        <v>759.7</v>
      </c>
      <c r="E886" s="17">
        <f t="shared" ca="1" si="275"/>
        <v>0</v>
      </c>
      <c r="F886" s="18">
        <f t="shared" ca="1" si="276"/>
        <v>27.9</v>
      </c>
      <c r="G886" s="17">
        <f t="shared" ca="1" si="277"/>
        <v>0</v>
      </c>
      <c r="H886" s="18" t="str">
        <f t="shared" ca="1" si="278"/>
        <v>—</v>
      </c>
      <c r="I886" s="17">
        <f t="shared" ca="1" si="279"/>
        <v>7</v>
      </c>
      <c r="J886" s="18" t="str">
        <f t="shared" ca="1" si="280"/>
        <v>—</v>
      </c>
      <c r="K886" s="17">
        <f t="shared" ca="1" si="281"/>
        <v>7</v>
      </c>
      <c r="L886" s="10">
        <f t="shared" ca="1" si="282"/>
        <v>74</v>
      </c>
      <c r="M886" s="17">
        <f t="shared" ca="1" si="283"/>
        <v>0</v>
      </c>
      <c r="N886" s="18">
        <f t="shared" ca="1" si="284"/>
        <v>20.8</v>
      </c>
      <c r="O886" s="17">
        <f t="shared" ca="1" si="285"/>
        <v>0</v>
      </c>
      <c r="P886" s="18">
        <f t="shared" ca="1" si="286"/>
        <v>24.2</v>
      </c>
      <c r="Q886" s="17">
        <f t="shared" ca="1" si="287"/>
        <v>0</v>
      </c>
      <c r="R886" s="10">
        <f t="shared" ca="1" si="288"/>
        <v>65</v>
      </c>
      <c r="S886" s="17">
        <f t="shared" ca="1" si="289"/>
        <v>0</v>
      </c>
      <c r="T886" s="70">
        <f t="shared" ca="1" si="290"/>
        <v>0.6</v>
      </c>
      <c r="U886" s="17">
        <f t="shared" ca="1" si="291"/>
        <v>0</v>
      </c>
      <c r="V886" s="71">
        <f t="shared" ca="1" si="292"/>
        <v>2</v>
      </c>
      <c r="W886" s="17">
        <f t="shared" ca="1" si="293"/>
        <v>0</v>
      </c>
    </row>
    <row r="887" spans="1:23" x14ac:dyDescent="0.25">
      <c r="A887" s="4">
        <f t="shared" si="273"/>
        <v>32</v>
      </c>
      <c r="B887" t="str">
        <f ca="1">TEXT(DATE(YEAR(Invoer!$A$6),1,1)+INT((ROWS(B$2:B887)-1)/4),"jjjjmmdd")</f>
        <v>19400809</v>
      </c>
      <c r="C887" s="64" t="str">
        <f>IF(MOD(ROWS(C$2:C887)-1,4)=3,"24.00",INDEX(Data,3,2+MOD(ROWS(C$2:C887)-1,4)))</f>
        <v>12.00</v>
      </c>
      <c r="D887" s="18">
        <f t="shared" ca="1" si="274"/>
        <v>761</v>
      </c>
      <c r="E887" s="17">
        <f t="shared" ca="1" si="275"/>
        <v>0</v>
      </c>
      <c r="F887" s="18">
        <f t="shared" ca="1" si="276"/>
        <v>28.1</v>
      </c>
      <c r="G887" s="17">
        <f t="shared" ca="1" si="277"/>
        <v>0</v>
      </c>
      <c r="H887" s="18" t="str">
        <f t="shared" ca="1" si="278"/>
        <v>—</v>
      </c>
      <c r="I887" s="17">
        <f t="shared" ca="1" si="279"/>
        <v>7</v>
      </c>
      <c r="J887" s="18" t="str">
        <f t="shared" ca="1" si="280"/>
        <v>—</v>
      </c>
      <c r="K887" s="17">
        <f t="shared" ca="1" si="281"/>
        <v>7</v>
      </c>
      <c r="L887" s="10">
        <f t="shared" ca="1" si="282"/>
        <v>80</v>
      </c>
      <c r="M887" s="17">
        <f t="shared" ca="1" si="283"/>
        <v>0</v>
      </c>
      <c r="N887" s="18">
        <f t="shared" ca="1" si="284"/>
        <v>25.8</v>
      </c>
      <c r="O887" s="17">
        <f t="shared" ca="1" si="285"/>
        <v>0</v>
      </c>
      <c r="P887" s="18">
        <f t="shared" ca="1" si="286"/>
        <v>26.8</v>
      </c>
      <c r="Q887" s="17">
        <f t="shared" ca="1" si="287"/>
        <v>0</v>
      </c>
      <c r="R887" s="10">
        <f t="shared" ca="1" si="288"/>
        <v>65</v>
      </c>
      <c r="S887" s="17">
        <f t="shared" ca="1" si="289"/>
        <v>0</v>
      </c>
      <c r="T887" s="70">
        <f t="shared" ca="1" si="290"/>
        <v>0.7</v>
      </c>
      <c r="U887" s="17">
        <f t="shared" ca="1" si="291"/>
        <v>0</v>
      </c>
      <c r="V887" s="71">
        <f t="shared" ca="1" si="292"/>
        <v>2</v>
      </c>
      <c r="W887" s="17">
        <f t="shared" ca="1" si="293"/>
        <v>0</v>
      </c>
    </row>
    <row r="888" spans="1:23" x14ac:dyDescent="0.25">
      <c r="A888" s="4">
        <f t="shared" si="273"/>
        <v>32</v>
      </c>
      <c r="B888" t="str">
        <f ca="1">TEXT(DATE(YEAR(Invoer!$A$6),1,1)+INT((ROWS(B$2:B888)-1)/4),"jjjjmmdd")</f>
        <v>19400809</v>
      </c>
      <c r="C888" s="64" t="str">
        <f>IF(MOD(ROWS(C$2:C888)-1,4)=3,"24.00",INDEX(Data,3,2+MOD(ROWS(C$2:C888)-1,4)))</f>
        <v>17.00</v>
      </c>
      <c r="D888" s="18">
        <f t="shared" ca="1" si="274"/>
        <v>758.5</v>
      </c>
      <c r="E888" s="17">
        <f t="shared" ca="1" si="275"/>
        <v>0</v>
      </c>
      <c r="F888" s="18">
        <f t="shared" ca="1" si="276"/>
        <v>27.9</v>
      </c>
      <c r="G888" s="17">
        <f t="shared" ca="1" si="277"/>
        <v>0</v>
      </c>
      <c r="H888" s="18" t="str">
        <f t="shared" ca="1" si="278"/>
        <v>—</v>
      </c>
      <c r="I888" s="17">
        <f t="shared" ca="1" si="279"/>
        <v>7</v>
      </c>
      <c r="J888" s="18" t="str">
        <f t="shared" ca="1" si="280"/>
        <v>—</v>
      </c>
      <c r="K888" s="17">
        <f t="shared" ca="1" si="281"/>
        <v>7</v>
      </c>
      <c r="L888" s="10">
        <f t="shared" ca="1" si="282"/>
        <v>89</v>
      </c>
      <c r="M888" s="17">
        <f t="shared" ca="1" si="283"/>
        <v>0</v>
      </c>
      <c r="N888" s="18">
        <f t="shared" ca="1" si="284"/>
        <v>25.1</v>
      </c>
      <c r="O888" s="17">
        <f t="shared" ca="1" si="285"/>
        <v>0</v>
      </c>
      <c r="P888" s="18">
        <f t="shared" ca="1" si="286"/>
        <v>26.4</v>
      </c>
      <c r="Q888" s="17">
        <f t="shared" ca="1" si="287"/>
        <v>0</v>
      </c>
      <c r="R888" s="10">
        <f t="shared" ca="1" si="288"/>
        <v>65</v>
      </c>
      <c r="S888" s="17">
        <f t="shared" ca="1" si="289"/>
        <v>0</v>
      </c>
      <c r="T888" s="70">
        <f t="shared" ca="1" si="290"/>
        <v>0.7</v>
      </c>
      <c r="U888" s="17">
        <f t="shared" ca="1" si="291"/>
        <v>0</v>
      </c>
      <c r="V888" s="71">
        <f t="shared" ca="1" si="292"/>
        <v>2</v>
      </c>
      <c r="W888" s="17">
        <f t="shared" ca="1" si="293"/>
        <v>0</v>
      </c>
    </row>
    <row r="889" spans="1:23" x14ac:dyDescent="0.25">
      <c r="A889" s="4">
        <f t="shared" si="273"/>
        <v>32</v>
      </c>
      <c r="B889" t="str">
        <f ca="1">TEXT(DATE(YEAR(Invoer!$A$6),1,1)+INT((ROWS(B$2:B889)-1)/4),"jjjjmmdd")</f>
        <v>19400809</v>
      </c>
      <c r="C889" s="64" t="str">
        <f>IF(MOD(ROWS(C$2:C889)-1,4)=3,"24.00",INDEX(Data,3,2+MOD(ROWS(C$2:C889)-1,4)))</f>
        <v>24.00</v>
      </c>
      <c r="D889" s="18" t="str">
        <f t="shared" ca="1" si="274"/>
        <v>—</v>
      </c>
      <c r="E889" s="17">
        <f t="shared" ca="1" si="275"/>
        <v>7</v>
      </c>
      <c r="F889" s="18" t="str">
        <f t="shared" ca="1" si="276"/>
        <v>—</v>
      </c>
      <c r="G889" s="17">
        <f t="shared" ca="1" si="277"/>
        <v>7</v>
      </c>
      <c r="H889" s="18">
        <f t="shared" ca="1" si="278"/>
        <v>28.5</v>
      </c>
      <c r="I889" s="17">
        <f t="shared" ca="1" si="279"/>
        <v>0</v>
      </c>
      <c r="J889" s="18">
        <f t="shared" ca="1" si="280"/>
        <v>30.5</v>
      </c>
      <c r="K889" s="17">
        <f t="shared" ca="1" si="281"/>
        <v>0</v>
      </c>
      <c r="L889" s="10" t="str">
        <f t="shared" ca="1" si="282"/>
        <v>—</v>
      </c>
      <c r="M889" s="17">
        <f t="shared" ca="1" si="283"/>
        <v>7</v>
      </c>
      <c r="N889" s="18" t="str">
        <f t="shared" ca="1" si="284"/>
        <v>—</v>
      </c>
      <c r="O889" s="17">
        <f t="shared" ca="1" si="285"/>
        <v>7</v>
      </c>
      <c r="P889" s="18" t="str">
        <f t="shared" ca="1" si="286"/>
        <v>—</v>
      </c>
      <c r="Q889" s="17">
        <f t="shared" ca="1" si="287"/>
        <v>7</v>
      </c>
      <c r="R889" s="10" t="str">
        <f t="shared" ca="1" si="288"/>
        <v>—</v>
      </c>
      <c r="S889" s="17">
        <f t="shared" ca="1" si="289"/>
        <v>7</v>
      </c>
      <c r="T889" s="70" t="str">
        <f t="shared" ca="1" si="290"/>
        <v>—</v>
      </c>
      <c r="U889" s="17">
        <f t="shared" ca="1" si="291"/>
        <v>7</v>
      </c>
      <c r="V889" s="71" t="str">
        <f t="shared" ca="1" si="292"/>
        <v>—</v>
      </c>
      <c r="W889" s="17">
        <f t="shared" ca="1" si="293"/>
        <v>7</v>
      </c>
    </row>
    <row r="890" spans="1:23" x14ac:dyDescent="0.25">
      <c r="A890" s="4">
        <f t="shared" si="273"/>
        <v>32</v>
      </c>
      <c r="B890" t="str">
        <f ca="1">TEXT(DATE(YEAR(Invoer!$A$6),1,1)+INT((ROWS(B$2:B890)-1)/4),"jjjjmmdd")</f>
        <v>19400810</v>
      </c>
      <c r="C890" s="64" t="str">
        <f>IF(MOD(ROWS(C$2:C890)-1,4)=3,"24.00",INDEX(Data,3,2+MOD(ROWS(C$2:C890)-1,4)))</f>
        <v>07.00</v>
      </c>
      <c r="D890" s="18">
        <f t="shared" ca="1" si="274"/>
        <v>760</v>
      </c>
      <c r="E890" s="17">
        <f t="shared" ca="1" si="275"/>
        <v>0</v>
      </c>
      <c r="F890" s="18">
        <f t="shared" ca="1" si="276"/>
        <v>27.7</v>
      </c>
      <c r="G890" s="17">
        <f t="shared" ca="1" si="277"/>
        <v>0</v>
      </c>
      <c r="H890" s="18" t="str">
        <f t="shared" ca="1" si="278"/>
        <v>—</v>
      </c>
      <c r="I890" s="17">
        <f t="shared" ca="1" si="279"/>
        <v>7</v>
      </c>
      <c r="J890" s="18" t="str">
        <f t="shared" ca="1" si="280"/>
        <v>—</v>
      </c>
      <c r="K890" s="17">
        <f t="shared" ca="1" si="281"/>
        <v>7</v>
      </c>
      <c r="L890" s="10">
        <f t="shared" ca="1" si="282"/>
        <v>92</v>
      </c>
      <c r="M890" s="17">
        <f t="shared" ca="1" si="283"/>
        <v>0</v>
      </c>
      <c r="N890" s="18">
        <f t="shared" ca="1" si="284"/>
        <v>25.6</v>
      </c>
      <c r="O890" s="17">
        <f t="shared" ca="1" si="285"/>
        <v>0</v>
      </c>
      <c r="P890" s="18">
        <f t="shared" ca="1" si="286"/>
        <v>26.6</v>
      </c>
      <c r="Q890" s="17">
        <f t="shared" ca="1" si="287"/>
        <v>0</v>
      </c>
      <c r="R890" s="10">
        <f t="shared" ca="1" si="288"/>
        <v>45</v>
      </c>
      <c r="S890" s="17">
        <f t="shared" ca="1" si="289"/>
        <v>0</v>
      </c>
      <c r="T890" s="70">
        <f t="shared" ca="1" si="290"/>
        <v>0.6</v>
      </c>
      <c r="U890" s="17">
        <f t="shared" ca="1" si="291"/>
        <v>0</v>
      </c>
      <c r="V890" s="71">
        <f t="shared" ca="1" si="292"/>
        <v>3</v>
      </c>
      <c r="W890" s="17">
        <f t="shared" ca="1" si="293"/>
        <v>0</v>
      </c>
    </row>
    <row r="891" spans="1:23" x14ac:dyDescent="0.25">
      <c r="A891" s="4">
        <f t="shared" si="273"/>
        <v>32</v>
      </c>
      <c r="B891" t="str">
        <f ca="1">TEXT(DATE(YEAR(Invoer!$A$6),1,1)+INT((ROWS(B$2:B891)-1)/4),"jjjjmmdd")</f>
        <v>19400810</v>
      </c>
      <c r="C891" s="64" t="str">
        <f>IF(MOD(ROWS(C$2:C891)-1,4)=3,"24.00",INDEX(Data,3,2+MOD(ROWS(C$2:C891)-1,4)))</f>
        <v>12.00</v>
      </c>
      <c r="D891" s="18">
        <f t="shared" ca="1" si="274"/>
        <v>760.5</v>
      </c>
      <c r="E891" s="17">
        <f t="shared" ca="1" si="275"/>
        <v>0</v>
      </c>
      <c r="F891" s="18">
        <f t="shared" ca="1" si="276"/>
        <v>28.7</v>
      </c>
      <c r="G891" s="17">
        <f t="shared" ca="1" si="277"/>
        <v>0</v>
      </c>
      <c r="H891" s="18" t="str">
        <f t="shared" ca="1" si="278"/>
        <v>—</v>
      </c>
      <c r="I891" s="17">
        <f t="shared" ca="1" si="279"/>
        <v>7</v>
      </c>
      <c r="J891" s="18" t="str">
        <f t="shared" ca="1" si="280"/>
        <v>—</v>
      </c>
      <c r="K891" s="17">
        <f t="shared" ca="1" si="281"/>
        <v>7</v>
      </c>
      <c r="L891" s="10">
        <f t="shared" ca="1" si="282"/>
        <v>90</v>
      </c>
      <c r="M891" s="17">
        <f t="shared" ca="1" si="283"/>
        <v>0</v>
      </c>
      <c r="N891" s="18">
        <f t="shared" ca="1" si="284"/>
        <v>26.7</v>
      </c>
      <c r="O891" s="17">
        <f t="shared" ca="1" si="285"/>
        <v>0</v>
      </c>
      <c r="P891" s="18">
        <f t="shared" ca="1" si="286"/>
        <v>27.4</v>
      </c>
      <c r="Q891" s="17">
        <f t="shared" ca="1" si="287"/>
        <v>0</v>
      </c>
      <c r="R891" s="10">
        <f t="shared" ca="1" si="288"/>
        <v>45</v>
      </c>
      <c r="S891" s="17">
        <f t="shared" ca="1" si="289"/>
        <v>0</v>
      </c>
      <c r="T891" s="70">
        <f t="shared" ca="1" si="290"/>
        <v>0.7</v>
      </c>
      <c r="U891" s="17">
        <f t="shared" ca="1" si="291"/>
        <v>0</v>
      </c>
      <c r="V891" s="71">
        <f t="shared" ca="1" si="292"/>
        <v>2</v>
      </c>
      <c r="W891" s="17">
        <f t="shared" ca="1" si="293"/>
        <v>0</v>
      </c>
    </row>
    <row r="892" spans="1:23" x14ac:dyDescent="0.25">
      <c r="A892" s="4">
        <f t="shared" si="273"/>
        <v>32</v>
      </c>
      <c r="B892" t="str">
        <f ca="1">TEXT(DATE(YEAR(Invoer!$A$6),1,1)+INT((ROWS(B$2:B892)-1)/4),"jjjjmmdd")</f>
        <v>19400810</v>
      </c>
      <c r="C892" s="64" t="str">
        <f>IF(MOD(ROWS(C$2:C892)-1,4)=3,"24.00",INDEX(Data,3,2+MOD(ROWS(C$2:C892)-1,4)))</f>
        <v>17.00</v>
      </c>
      <c r="D892" s="18">
        <f t="shared" ca="1" si="274"/>
        <v>757.2</v>
      </c>
      <c r="E892" s="17">
        <f t="shared" ca="1" si="275"/>
        <v>0</v>
      </c>
      <c r="F892" s="18">
        <f t="shared" ca="1" si="276"/>
        <v>28.1</v>
      </c>
      <c r="G892" s="17">
        <f t="shared" ca="1" si="277"/>
        <v>0</v>
      </c>
      <c r="H892" s="18" t="str">
        <f t="shared" ca="1" si="278"/>
        <v>—</v>
      </c>
      <c r="I892" s="17">
        <f t="shared" ca="1" si="279"/>
        <v>7</v>
      </c>
      <c r="J892" s="18" t="str">
        <f t="shared" ca="1" si="280"/>
        <v>—</v>
      </c>
      <c r="K892" s="17">
        <f t="shared" ca="1" si="281"/>
        <v>7</v>
      </c>
      <c r="L892" s="10">
        <f t="shared" ca="1" si="282"/>
        <v>88</v>
      </c>
      <c r="M892" s="17">
        <f t="shared" ca="1" si="283"/>
        <v>0</v>
      </c>
      <c r="N892" s="18">
        <f t="shared" ca="1" si="284"/>
        <v>25</v>
      </c>
      <c r="O892" s="17">
        <f t="shared" ca="1" si="285"/>
        <v>0</v>
      </c>
      <c r="P892" s="18">
        <f t="shared" ca="1" si="286"/>
        <v>26.4</v>
      </c>
      <c r="Q892" s="17">
        <f t="shared" ca="1" si="287"/>
        <v>0</v>
      </c>
      <c r="R892" s="10">
        <f t="shared" ca="1" si="288"/>
        <v>45</v>
      </c>
      <c r="S892" s="17">
        <f t="shared" ca="1" si="289"/>
        <v>0</v>
      </c>
      <c r="T892" s="70">
        <f t="shared" ca="1" si="290"/>
        <v>0.7</v>
      </c>
      <c r="U892" s="17">
        <f t="shared" ca="1" si="291"/>
        <v>0</v>
      </c>
      <c r="V892" s="71">
        <f t="shared" ca="1" si="292"/>
        <v>2</v>
      </c>
      <c r="W892" s="17">
        <f t="shared" ca="1" si="293"/>
        <v>0</v>
      </c>
    </row>
    <row r="893" spans="1:23" x14ac:dyDescent="0.25">
      <c r="A893" s="4">
        <f t="shared" si="273"/>
        <v>32</v>
      </c>
      <c r="B893" t="str">
        <f ca="1">TEXT(DATE(YEAR(Invoer!$A$6),1,1)+INT((ROWS(B$2:B893)-1)/4),"jjjjmmdd")</f>
        <v>19400810</v>
      </c>
      <c r="C893" s="64" t="str">
        <f>IF(MOD(ROWS(C$2:C893)-1,4)=3,"24.00",INDEX(Data,3,2+MOD(ROWS(C$2:C893)-1,4)))</f>
        <v>24.00</v>
      </c>
      <c r="D893" s="18" t="str">
        <f t="shared" ca="1" si="274"/>
        <v>—</v>
      </c>
      <c r="E893" s="17">
        <f t="shared" ca="1" si="275"/>
        <v>7</v>
      </c>
      <c r="F893" s="18" t="str">
        <f t="shared" ca="1" si="276"/>
        <v>—</v>
      </c>
      <c r="G893" s="17">
        <f t="shared" ca="1" si="277"/>
        <v>7</v>
      </c>
      <c r="H893" s="18">
        <f t="shared" ca="1" si="278"/>
        <v>29.4</v>
      </c>
      <c r="I893" s="17">
        <f t="shared" ca="1" si="279"/>
        <v>0</v>
      </c>
      <c r="J893" s="18">
        <f t="shared" ca="1" si="280"/>
        <v>31.4</v>
      </c>
      <c r="K893" s="17">
        <f t="shared" ca="1" si="281"/>
        <v>0</v>
      </c>
      <c r="L893" s="10" t="str">
        <f t="shared" ca="1" si="282"/>
        <v>—</v>
      </c>
      <c r="M893" s="17">
        <f t="shared" ca="1" si="283"/>
        <v>7</v>
      </c>
      <c r="N893" s="18" t="str">
        <f t="shared" ca="1" si="284"/>
        <v>—</v>
      </c>
      <c r="O893" s="17">
        <f t="shared" ca="1" si="285"/>
        <v>7</v>
      </c>
      <c r="P893" s="18" t="str">
        <f t="shared" ca="1" si="286"/>
        <v>—</v>
      </c>
      <c r="Q893" s="17">
        <f t="shared" ca="1" si="287"/>
        <v>7</v>
      </c>
      <c r="R893" s="10" t="str">
        <f t="shared" ca="1" si="288"/>
        <v>—</v>
      </c>
      <c r="S893" s="17">
        <f t="shared" ca="1" si="289"/>
        <v>7</v>
      </c>
      <c r="T893" s="70" t="str">
        <f t="shared" ca="1" si="290"/>
        <v>—</v>
      </c>
      <c r="U893" s="17">
        <f t="shared" ca="1" si="291"/>
        <v>7</v>
      </c>
      <c r="V893" s="71" t="str">
        <f t="shared" ca="1" si="292"/>
        <v>—</v>
      </c>
      <c r="W893" s="17">
        <f t="shared" ca="1" si="293"/>
        <v>7</v>
      </c>
    </row>
    <row r="894" spans="1:23" x14ac:dyDescent="0.25">
      <c r="A894" s="4">
        <f t="shared" si="273"/>
        <v>32</v>
      </c>
      <c r="B894" t="str">
        <f ca="1">TEXT(DATE(YEAR(Invoer!$A$6),1,1)+INT((ROWS(B$2:B894)-1)/4),"jjjjmmdd")</f>
        <v>19400811</v>
      </c>
      <c r="C894" s="64" t="str">
        <f>IF(MOD(ROWS(C$2:C894)-1,4)=3,"24.00",INDEX(Data,3,2+MOD(ROWS(C$2:C894)-1,4)))</f>
        <v>07.00</v>
      </c>
      <c r="D894" s="18">
        <f t="shared" ca="1" si="274"/>
        <v>758.2</v>
      </c>
      <c r="E894" s="17">
        <f t="shared" ca="1" si="275"/>
        <v>0</v>
      </c>
      <c r="F894" s="18">
        <f t="shared" ca="1" si="276"/>
        <v>27.9</v>
      </c>
      <c r="G894" s="17">
        <f t="shared" ca="1" si="277"/>
        <v>0</v>
      </c>
      <c r="H894" s="18" t="str">
        <f t="shared" ca="1" si="278"/>
        <v>—</v>
      </c>
      <c r="I894" s="17">
        <f t="shared" ca="1" si="279"/>
        <v>7</v>
      </c>
      <c r="J894" s="18" t="str">
        <f t="shared" ca="1" si="280"/>
        <v>—</v>
      </c>
      <c r="K894" s="17">
        <f t="shared" ca="1" si="281"/>
        <v>7</v>
      </c>
      <c r="L894" s="10">
        <f t="shared" ca="1" si="282"/>
        <v>79</v>
      </c>
      <c r="M894" s="17">
        <f t="shared" ca="1" si="283"/>
        <v>0</v>
      </c>
      <c r="N894" s="18">
        <f t="shared" ca="1" si="284"/>
        <v>22.3</v>
      </c>
      <c r="O894" s="17">
        <f t="shared" ca="1" si="285"/>
        <v>0</v>
      </c>
      <c r="P894" s="18">
        <f t="shared" ca="1" si="286"/>
        <v>25</v>
      </c>
      <c r="Q894" s="17">
        <f t="shared" ca="1" si="287"/>
        <v>0</v>
      </c>
      <c r="R894" s="10">
        <f t="shared" ca="1" si="288"/>
        <v>65</v>
      </c>
      <c r="S894" s="17">
        <f t="shared" ca="1" si="289"/>
        <v>0</v>
      </c>
      <c r="T894" s="70">
        <f t="shared" ca="1" si="290"/>
        <v>0.6</v>
      </c>
      <c r="U894" s="17">
        <f t="shared" ca="1" si="291"/>
        <v>0</v>
      </c>
      <c r="V894" s="71">
        <f t="shared" ca="1" si="292"/>
        <v>2</v>
      </c>
      <c r="W894" s="17">
        <f t="shared" ca="1" si="293"/>
        <v>0</v>
      </c>
    </row>
    <row r="895" spans="1:23" x14ac:dyDescent="0.25">
      <c r="A895" s="4">
        <f t="shared" si="273"/>
        <v>32</v>
      </c>
      <c r="B895" t="str">
        <f ca="1">TEXT(DATE(YEAR(Invoer!$A$6),1,1)+INT((ROWS(B$2:B895)-1)/4),"jjjjmmdd")</f>
        <v>19400811</v>
      </c>
      <c r="C895" s="64" t="str">
        <f>IF(MOD(ROWS(C$2:C895)-1,4)=3,"24.00",INDEX(Data,3,2+MOD(ROWS(C$2:C895)-1,4)))</f>
        <v>12.00</v>
      </c>
      <c r="D895" s="18">
        <f t="shared" ca="1" si="274"/>
        <v>758.2</v>
      </c>
      <c r="E895" s="17">
        <f t="shared" ca="1" si="275"/>
        <v>0</v>
      </c>
      <c r="F895" s="18">
        <f t="shared" ca="1" si="276"/>
        <v>28.5</v>
      </c>
      <c r="G895" s="17">
        <f t="shared" ca="1" si="277"/>
        <v>0</v>
      </c>
      <c r="H895" s="18" t="str">
        <f t="shared" ca="1" si="278"/>
        <v>—</v>
      </c>
      <c r="I895" s="17">
        <f t="shared" ca="1" si="279"/>
        <v>7</v>
      </c>
      <c r="J895" s="18" t="str">
        <f t="shared" ca="1" si="280"/>
        <v>—</v>
      </c>
      <c r="K895" s="17">
        <f t="shared" ca="1" si="281"/>
        <v>7</v>
      </c>
      <c r="L895" s="10">
        <f t="shared" ca="1" si="282"/>
        <v>86</v>
      </c>
      <c r="M895" s="17">
        <f t="shared" ca="1" si="283"/>
        <v>0</v>
      </c>
      <c r="N895" s="18">
        <f t="shared" ca="1" si="284"/>
        <v>25</v>
      </c>
      <c r="O895" s="17">
        <f t="shared" ca="1" si="285"/>
        <v>0</v>
      </c>
      <c r="P895" s="18">
        <f t="shared" ca="1" si="286"/>
        <v>26.5</v>
      </c>
      <c r="Q895" s="17">
        <f t="shared" ca="1" si="287"/>
        <v>0</v>
      </c>
      <c r="R895" s="10">
        <f t="shared" ca="1" si="288"/>
        <v>45</v>
      </c>
      <c r="S895" s="17">
        <f t="shared" ca="1" si="289"/>
        <v>0</v>
      </c>
      <c r="T895" s="70">
        <f t="shared" ca="1" si="290"/>
        <v>0.7</v>
      </c>
      <c r="U895" s="17">
        <f t="shared" ca="1" si="291"/>
        <v>0</v>
      </c>
      <c r="V895" s="71">
        <f t="shared" ca="1" si="292"/>
        <v>2</v>
      </c>
      <c r="W895" s="17">
        <f t="shared" ca="1" si="293"/>
        <v>0</v>
      </c>
    </row>
    <row r="896" spans="1:23" x14ac:dyDescent="0.25">
      <c r="A896" s="4">
        <f t="shared" si="273"/>
        <v>32</v>
      </c>
      <c r="B896" t="str">
        <f ca="1">TEXT(DATE(YEAR(Invoer!$A$6),1,1)+INT((ROWS(B$2:B896)-1)/4),"jjjjmmdd")</f>
        <v>19400811</v>
      </c>
      <c r="C896" s="64" t="str">
        <f>IF(MOD(ROWS(C$2:C896)-1,4)=3,"24.00",INDEX(Data,3,2+MOD(ROWS(C$2:C896)-1,4)))</f>
        <v>17.00</v>
      </c>
      <c r="D896" s="18">
        <f t="shared" ca="1" si="274"/>
        <v>758.2</v>
      </c>
      <c r="E896" s="17">
        <f t="shared" ca="1" si="275"/>
        <v>0</v>
      </c>
      <c r="F896" s="18">
        <f t="shared" ca="1" si="276"/>
        <v>28.1</v>
      </c>
      <c r="G896" s="17">
        <f t="shared" ca="1" si="277"/>
        <v>0</v>
      </c>
      <c r="H896" s="18" t="str">
        <f t="shared" ca="1" si="278"/>
        <v>—</v>
      </c>
      <c r="I896" s="17">
        <f t="shared" ca="1" si="279"/>
        <v>7</v>
      </c>
      <c r="J896" s="18" t="str">
        <f t="shared" ca="1" si="280"/>
        <v>—</v>
      </c>
      <c r="K896" s="17">
        <f t="shared" ca="1" si="281"/>
        <v>7</v>
      </c>
      <c r="L896" s="10">
        <f t="shared" ca="1" si="282"/>
        <v>83</v>
      </c>
      <c r="M896" s="17">
        <f t="shared" ca="1" si="283"/>
        <v>0</v>
      </c>
      <c r="N896" s="18">
        <f t="shared" ca="1" si="284"/>
        <v>23.8</v>
      </c>
      <c r="O896" s="17">
        <f t="shared" ca="1" si="285"/>
        <v>0</v>
      </c>
      <c r="P896" s="18">
        <f t="shared" ca="1" si="286"/>
        <v>25.8</v>
      </c>
      <c r="Q896" s="17">
        <f t="shared" ca="1" si="287"/>
        <v>0</v>
      </c>
      <c r="R896" s="10">
        <f t="shared" ca="1" si="288"/>
        <v>45</v>
      </c>
      <c r="S896" s="17">
        <f t="shared" ca="1" si="289"/>
        <v>0</v>
      </c>
      <c r="T896" s="70">
        <f t="shared" ca="1" si="290"/>
        <v>0.7</v>
      </c>
      <c r="U896" s="17">
        <f t="shared" ca="1" si="291"/>
        <v>0</v>
      </c>
      <c r="V896" s="71">
        <f t="shared" ca="1" si="292"/>
        <v>2</v>
      </c>
      <c r="W896" s="17">
        <f t="shared" ca="1" si="293"/>
        <v>0</v>
      </c>
    </row>
    <row r="897" spans="1:23" x14ac:dyDescent="0.25">
      <c r="A897" s="4">
        <f t="shared" si="273"/>
        <v>32</v>
      </c>
      <c r="B897" t="str">
        <f ca="1">TEXT(DATE(YEAR(Invoer!$A$6),1,1)+INT((ROWS(B$2:B897)-1)/4),"jjjjmmdd")</f>
        <v>19400811</v>
      </c>
      <c r="C897" s="64" t="str">
        <f>IF(MOD(ROWS(C$2:C897)-1,4)=3,"24.00",INDEX(Data,3,2+MOD(ROWS(C$2:C897)-1,4)))</f>
        <v>24.00</v>
      </c>
      <c r="D897" s="18" t="str">
        <f t="shared" ca="1" si="274"/>
        <v>—</v>
      </c>
      <c r="E897" s="17">
        <f t="shared" ca="1" si="275"/>
        <v>7</v>
      </c>
      <c r="F897" s="18" t="str">
        <f t="shared" ca="1" si="276"/>
        <v>—</v>
      </c>
      <c r="G897" s="17">
        <f t="shared" ca="1" si="277"/>
        <v>7</v>
      </c>
      <c r="H897" s="18">
        <f t="shared" ca="1" si="278"/>
        <v>28.4</v>
      </c>
      <c r="I897" s="17">
        <f t="shared" ca="1" si="279"/>
        <v>0</v>
      </c>
      <c r="J897" s="18">
        <f t="shared" ca="1" si="280"/>
        <v>30</v>
      </c>
      <c r="K897" s="17">
        <f t="shared" ca="1" si="281"/>
        <v>0</v>
      </c>
      <c r="L897" s="10" t="str">
        <f t="shared" ca="1" si="282"/>
        <v>—</v>
      </c>
      <c r="M897" s="17">
        <f t="shared" ca="1" si="283"/>
        <v>7</v>
      </c>
      <c r="N897" s="18" t="str">
        <f t="shared" ca="1" si="284"/>
        <v>—</v>
      </c>
      <c r="O897" s="17">
        <f t="shared" ca="1" si="285"/>
        <v>7</v>
      </c>
      <c r="P897" s="18" t="str">
        <f t="shared" ca="1" si="286"/>
        <v>—</v>
      </c>
      <c r="Q897" s="17">
        <f t="shared" ca="1" si="287"/>
        <v>7</v>
      </c>
      <c r="R897" s="10" t="str">
        <f t="shared" ca="1" si="288"/>
        <v>—</v>
      </c>
      <c r="S897" s="17">
        <f t="shared" ca="1" si="289"/>
        <v>7</v>
      </c>
      <c r="T897" s="70" t="str">
        <f t="shared" ca="1" si="290"/>
        <v>—</v>
      </c>
      <c r="U897" s="17">
        <f t="shared" ca="1" si="291"/>
        <v>7</v>
      </c>
      <c r="V897" s="71" t="str">
        <f t="shared" ca="1" si="292"/>
        <v>—</v>
      </c>
      <c r="W897" s="17">
        <f t="shared" ca="1" si="293"/>
        <v>7</v>
      </c>
    </row>
    <row r="898" spans="1:23" x14ac:dyDescent="0.25">
      <c r="A898" s="4">
        <f t="shared" ref="A898:A961" si="294">INDEX(Stations,2,1)</f>
        <v>32</v>
      </c>
      <c r="B898" t="str">
        <f ca="1">TEXT(DATE(YEAR(Invoer!$A$6),1,1)+INT((ROWS(B$2:B898)-1)/4),"jjjjmmdd")</f>
        <v>19400812</v>
      </c>
      <c r="C898" s="64" t="str">
        <f>IF(MOD(ROWS(C$2:C898)-1,4)=3,"24.00",INDEX(Data,3,2+MOD(ROWS(C$2:C898)-1,4)))</f>
        <v>07.00</v>
      </c>
      <c r="D898" s="18">
        <f t="shared" ref="D898:D961" ca="1" si="295">IF(OR(ISBLANK(VLOOKUP(DATEVALUE(LEFT($B898,4)&amp;"-"&amp;MID($B898,5,2)&amp;"-"&amp;RIGHT($B898,2)),Data,MATCH(LEFT(VLOOKUP(D$1,Parameters,2,FALSE()),4)&amp;"*",OFFSET(Data,0,0,1),0)+MATCH($C898,OFFSET(Data,2,0,1),0)-2,FALSE())),ISTEXT(VLOOKUP(DATEVALUE(LEFT($B898,4)&amp;"-"&amp;MID($B898,5,2)&amp;"-"&amp;RIGHT($B898,2)),Data,MATCH(LEFT(VLOOKUP(D$1,Parameters,2,FALSE()),4)&amp;"*",OFFSET(Data,0,0,1),0)+MATCH($C898,OFFSET(Data,2,0,1),0)-2,FALSE())),EXACT($C898,"24.00")),"—",VLOOKUP(DATEVALUE(LEFT($B898,4)&amp;"-"&amp;MID($B898,5,2)&amp;"-"&amp;RIGHT($B898,2)),Data,MATCH(LEFT(VLOOKUP(D$1,Parameters,2,FALSE()),4)&amp;"*",OFFSET(Data,0,0,1),0)+MATCH($C898,OFFSET(Data,2,0,1),0)-2,FALSE())/10)</f>
        <v>758.2</v>
      </c>
      <c r="E898" s="17">
        <f t="shared" ref="E898:E961" ca="1" si="296">IF(OR(ISBLANK(VLOOKUP(DATEVALUE(LEFT($B898,4)&amp;"-"&amp;MID($B898,5,2)&amp;"-"&amp;RIGHT($B898,2)),Data,MATCH(LEFT(VLOOKUP(MID(E$1,2,LEN(E$1)-1),Parameters,2,FALSE()),4)&amp;"*",OFFSET(Data,0,0,1),0)+MATCH($C898,OFFSET(Data,2,0,1),0)-2,FALSE())),ISTEXT(VLOOKUP(DATEVALUE(LEFT($B898,4)&amp;"-"&amp;MID($B898,5,2)&amp;"-"&amp;RIGHT($B898,2)),Data,MATCH(LEFT(VLOOKUP(MID(E$1,2,LEN(E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Data,2,0,1),0)-2,FALSE())))</f>
        <v>0</v>
      </c>
      <c r="F898" s="18">
        <f t="shared" ref="F898:F961" ca="1" si="297">IF(OR(ISBLANK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ISTEXT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EXACT($C898,"24.00")),"—",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/10)</f>
        <v>26.9</v>
      </c>
      <c r="G898" s="17">
        <f t="shared" ref="G898:G961" ca="1" si="298">IF(OR(ISBLANK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ISTEXT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G$1,2,LEN(G$1)-1),Parameters,2,FALSE()),FIND(LOWER(MID(G$1,2,1)),VLOOKUP(MID(G$1,2,LEN(G$1)-1),Parameters,2,FALSE()),5),4)&amp;"*",OFFSET(Catalogus,0,0,1),0)+2*MATCH($C898,OFFSET(Catalogus,2,0,1),0)+MATCH(LEFT(VLOOKUP(MID(G$1,2,LEN(G$1)-1),Parameters,2,FALSE()),3)&amp;"*",OFFSET(Catalogus,2,4,1),0)-5,FALSE())))</f>
        <v>0</v>
      </c>
      <c r="H898" s="18" t="str">
        <f t="shared" ref="H898:H961" ca="1" si="299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/10)</f>
        <v>—</v>
      </c>
      <c r="I898" s="17">
        <f t="shared" ref="I898:I961" ca="1" si="300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7</v>
      </c>
      <c r="J898" s="18" t="str">
        <f t="shared" ref="J898:J961" ca="1" si="301">IF(OR(ISBLANK(VLOOKUP(DATEVALUE(LEFT($B898,4)&amp;"-"&amp;MID($B898,5,2)&amp;"-"&amp;RIGHT($B898,2)),Data,MATCH(LEFT(VLOOKUP(J$1,Parameters,2,FALSE()),4)&amp;"*",OFFSET(Data,1,0,1),0),FALSE())),ISTEXT(VLOOKUP(DATEVALUE(LEFT($B898,4)&amp;"-"&amp;MID($B898,5,2)&amp;"-"&amp;RIGHT($B898,2)),Data,MATCH(LEFT(VLOOKUP(J$1,Parameters,2,FALSE()),4)&amp;"*",OFFSET(Data,1,0,1),0),FALSE())),NOT(EXACT($C898,"24.00"))),"—",VLOOKUP(DATEVALUE(LEFT($B898,4)&amp;"-"&amp;MID($B898,5,2)&amp;"-"&amp;RIGHT($B898,2)),Data,MATCH(LEFT(VLOOKUP(J$1,Parameters,2,FALSE()),4)&amp;"*",OFFSET(Data,1,0,1),0),FALSE())/10)</f>
        <v>—</v>
      </c>
      <c r="K898" s="17">
        <f t="shared" ref="K898:K961" ca="1" si="302">IF(OR(ISBLANK(VLOOKUP(DATEVALUE(LEFT($B898,4)&amp;"-"&amp;MID($B898,5,2)&amp;"-"&amp;RIGHT($B898,2)),Data,MATCH(LEFT(VLOOKUP(MID(K$1,2,LEN(K$1)-1),Parameters,2,FALSE()),4)&amp;"*",OFFSET(Data,1,0,1),0),FALSE())),ISTEXT(VLOOKUP(DATEVALUE(LEFT($B898,4)&amp;"-"&amp;MID($B898,5,2)&amp;"-"&amp;RIGHT($B898,2)),Data,MATCH(LEFT(VLOOKUP(MID(K$1,2,LEN(K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K$1,2,LEN(K$1)-1),Parameters,2,FALSE()),4)&amp;"*",OFFSET(Catalogus,1,0,1),0),FALSE())))</f>
        <v>7</v>
      </c>
      <c r="L898" s="10">
        <f t="shared" ref="L898:L961" ca="1" si="303">IF(OR(ISBLANK(VLOOKUP(DATEVALUE(LEFT($B898,4)&amp;"-"&amp;MID($B898,5,2)&amp;"-"&amp;RIGHT($B898,2)),Data,MATCH(LEFT(VLOOKUP(L$1,Parameters,2,FALSE()),4)&amp;"*",OFFSET(Data,0,0,1),0)+MATCH($C898,OFFSET(Data,2,0,1),0)-2,FALSE())),ISTEXT(VLOOKUP(DATEVALUE(LEFT($B898,4)&amp;"-"&amp;MID($B898,5,2)&amp;"-"&amp;RIGHT($B898,2)),Data,MATCH(LEFT(VLOOKUP(L$1,Parameters,2,FALSE()),4)&amp;"*",OFFSET(Data,0,0,1),0)+MATCH($C898,OFFSET(Data,2,0,1),0)-2,FALSE())),EXACT($C898,"24.00")),"—",VLOOKUP(DATEVALUE(LEFT($B898,4)&amp;"-"&amp;MID($B898,5,2)&amp;"-"&amp;RIGHT($B898,2)),Data,MATCH(LEFT(VLOOKUP(L$1,Parameters,2,FALSE()),4)&amp;"*",OFFSET(Data,0,0,1),0)+MATCH($C898,OFFSET(Data,2,0,1),0)-2,FALSE()))</f>
        <v>86</v>
      </c>
      <c r="M898" s="17">
        <f t="shared" ref="M898:M961" ca="1" si="304">IF(OR(ISBLANK(VLOOKUP(DATEVALUE(LEFT($B898,4)&amp;"-"&amp;MID($B898,5,2)&amp;"-"&amp;RIGHT($B898,2)),Data,MATCH(LEFT(VLOOKUP(MID(M$1,2,LEN(M$1)-1),Parameters,2,FALSE()),4)&amp;"*",OFFSET(Data,0,0,1),0)+MATCH($C898,OFFSET(Data,2,0,1),0)-2,FALSE())),ISTEXT(VLOOKUP(DATEVALUE(LEFT($B898,4)&amp;"-"&amp;MID($B898,5,2)&amp;"-"&amp;RIGHT($B898,2)),Data,MATCH(LEFT(VLOOKUP(MID(M$1,2,LEN(M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M$1,2,LEN(M$1)-1),Parameters,2,FALSE()),4)&amp;"*",OFFSET(Catalogus,0,0,1),0)+MATCH($C898,OFFSET(Data,2,0,1),0)-2,FALSE())))</f>
        <v>0</v>
      </c>
      <c r="N898" s="18">
        <f t="shared" ref="N898:N961" ca="1" si="305">IF(OR(ISBLANK(VLOOKUP(DATEVALUE(LEFT($B898,4)&amp;"-"&amp;MID($B898,5,2)&amp;"-"&amp;RIGHT($B898,2)),Data,MATCH(LEFT(VLOOKUP(N$1,Parameters,2,FALSE()),4)&amp;"*",OFFSET(Data,0,0,1),0)+MATCH($C898,OFFSET(Data,2,0,1),0)-2,FALSE())),ISTEXT(VLOOKUP(DATEVALUE(LEFT($B898,4)&amp;"-"&amp;MID($B898,5,2)&amp;"-"&amp;RIGHT($B898,2)),Data,MATCH(LEFT(VLOOKUP(N$1,Parameters,2,FALSE()),4)&amp;"*",OFFSET(Data,0,0,1),0)+MATCH($C898,OFFSET(Data,2,0,1),0)-2,FALSE())),EXACT($C898,"24.00")),"—",VLOOKUP(DATEVALUE(LEFT($B898,4)&amp;"-"&amp;MID($B898,5,2)&amp;"-"&amp;RIGHT($B898,2)),Data,MATCH(LEFT(VLOOKUP(N$1,Parameters,2,FALSE()),4)&amp;"*",OFFSET(Data,0,0,1),0)+MATCH($C898,OFFSET(Data,2,0,1),0)-2,FALSE())/10)</f>
        <v>22.8</v>
      </c>
      <c r="O898" s="17">
        <f t="shared" ref="O898:O961" ca="1" si="306">IF(OR(ISBLANK(VLOOKUP(DATEVALUE(LEFT($B898,4)&amp;"-"&amp;MID($B898,5,2)&amp;"-"&amp;RIGHT($B898,2)),Data,MATCH(LEFT(VLOOKUP(MID(O$1,2,LEN(O$1)-1),Parameters,2,FALSE()),4)&amp;"*",OFFSET(Data,0,0,1),0)+MATCH($C898,OFFSET(Data,2,0,1),0)-2,FALSE())),ISTEXT(VLOOKUP(DATEVALUE(LEFT($B898,4)&amp;"-"&amp;MID($B898,5,2)&amp;"-"&amp;RIGHT($B898,2)),Data,MATCH(LEFT(VLOOKUP(MID(O$1,2,LEN(O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O$1,2,LEN(O$1)-1),Parameters,2,FALSE()),4)&amp;"*",OFFSET(Catalogus,0,0,1),0)+MATCH($C898,OFFSET(Data,2,0,1),0)-2,FALSE())))</f>
        <v>0</v>
      </c>
      <c r="P898" s="18">
        <f t="shared" ref="P898:P961" ca="1" si="307">IF(OR(ISBLANK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ISTEXT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EXACT($C898,"24.00")),"—",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/10)</f>
        <v>25</v>
      </c>
      <c r="Q898" s="17">
        <f t="shared" ref="Q898:Q961" ca="1" si="308">IF(OR(ISBLANK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ISTEXT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Q$1,2,LEN(Q$1)-1),Parameters,2,FALSE()),FIND(LOWER(MID(Q$1,2,1)),VLOOKUP(MID(Q$1,2,LEN(Q$1)-1),Parameters,2,FALSE()),5),4)&amp;"*",OFFSET(Catalogus,0,0,1),0)+2*MATCH($C898,OFFSET(Catalogus,2,0,1),0)+MATCH(LEFT(VLOOKUP(MID(Q$1,2,LEN(Q$1)-1),Parameters,2,FALSE()),3)&amp;"*",OFFSET(Catalogus,2,4,1),0)-5,FALSE())))</f>
        <v>0</v>
      </c>
      <c r="R898" s="10">
        <f t="shared" ref="R898:R961" ca="1" si="309">IF(OR(ISBLANK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),ISNA(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1,1,,1),0)),EXACT($C898,"24.00")),"—",INDEX(Windrichting,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0,1,,1),0),1))</f>
        <v>65</v>
      </c>
      <c r="S898" s="17">
        <f t="shared" ref="S898:S961" ca="1" si="310">IF(OR(ISBLANK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),ISNA(MATCH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,OFFSET(Windrichting,1,1,,1),0)),EXACT($C898,"24.00")),Lacking,IF(ISNA(MATCH(DATEVALUE(LEFT($B898,4)&amp;"-"&amp;MID($B898,5,2)&amp;"-"&amp;RIGHT($B898,2)),OFFSET(Catalogus,0,0,,1),0)),Ok,VLOOKUP(DATEVALUE(LEFT($B898,4)&amp;"-"&amp;MID($B898,5,2)&amp;"-"&amp;RIGHT($B898,2)),Catalogus,MATCH(LEFT(VLOOKUP(MID(S$1,2,LEN(S$1)-1),Parameters,2,FALSE()),4)&amp;"*",OFFSET(Catalogus,0,0,1),0)+2*MATCH($C898,OFFSET(Catalogus,2,0,1),0)+MATCH(MID(VLOOKUP(MID(S$1,2,LEN(S$1)-1),Parameters,2,FALSE()),5,LEN(VLOOKUP(MID(S$1,2,LEN(S$1)-1),Parameters,2,FALSE()))-4)&amp;"*",OFFSET(Catalogus,2,19,1),0)-5,FALSE())))</f>
        <v>0</v>
      </c>
      <c r="T898" s="70">
        <f t="shared" ref="T898:T961" ca="1" si="311">IF(OR(ISBLANK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ISTEXT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EXACT($C898,"24.00")),"—",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/10)</f>
        <v>0.5</v>
      </c>
      <c r="U898" s="17">
        <f t="shared" ref="U898:U961" ca="1" si="312">IF(OR(ISBLANK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ISTEXT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U$1,2,LEN(U$1)-1),Parameters,2,FALSE()),4)&amp;"*",OFFSET(Catalogus,0,0,1),0)+2*MATCH($C898,OFFSET(Catalogus,2,0,1),0)+MATCH(MID(VLOOKUP(MID(U$1,2,LEN(U$1)-1),Parameters,2,FALSE()),5,LEN(VLOOKUP(MID(U$1,2,LEN(U$1)-1),Parameters,2,FALSE()))-4)&amp;"*",OFFSET(Catalogus,2,19,1),0)-5,FALSE())))</f>
        <v>0</v>
      </c>
      <c r="V898" s="71">
        <f t="shared" ref="V898:V961" ca="1" si="313">IF(OR(ISBLANK(VLOOKUP(DATEVALUE(LEFT($B898,4)&amp;"-"&amp;MID($B898,5,2)&amp;"-"&amp;RIGHT($B898,2)),Data,MATCH(LEFT(VLOOKUP(V$1,Parameters,2,FALSE()),4)&amp;"*",OFFSET(Data,0,0,1),0)+MATCH($C898,OFFSET(Data,2,0,1),0)-2,FALSE())),ISTEXT(VLOOKUP(DATEVALUE(LEFT($B898,4)&amp;"-"&amp;MID($B898,5,2)&amp;"-"&amp;RIGHT($B898,2)),Data,MATCH(LEFT(VLOOKUP(V$1,Parameters,2,FALSE()),4)&amp;"*",OFFSET(Data,0,0,1),0)+MATCH($C898,OFFSET(Data,2,0,1),0)-2,FALSE())),EXACT($C898,"24.00")),"—",VLOOKUP(DATEVALUE(LEFT($B898,4)&amp;"-"&amp;MID($B898,5,2)&amp;"-"&amp;RIGHT($B898,2)),Data,MATCH(LEFT(VLOOKUP(V$1,Parameters,2,FALSE()),4)&amp;"*",OFFSET(Data,0,0,1),0)+MATCH($C898,OFFSET(Data,2,0,1),0)-2,FALSE()))</f>
        <v>5</v>
      </c>
      <c r="W898" s="17">
        <f t="shared" ref="W898:W961" ca="1" si="314">IF(OR(ISBLANK(VLOOKUP(DATEVALUE(LEFT($B898,4)&amp;"-"&amp;MID($B898,5,2)&amp;"-"&amp;RIGHT($B898,2)),Data,MATCH(LEFT(VLOOKUP(MID(W$1,2,LEN(W$1)-1),Parameters,2,FALSE()),4)&amp;"*",OFFSET(Data,0,0,1),0)+MATCH($C898,OFFSET(Data,2,0,1),0)-2,FALSE())),ISTEXT(VLOOKUP(DATEVALUE(LEFT($B898,4)&amp;"-"&amp;MID($B898,5,2)&amp;"-"&amp;RIGHT($B898,2)),Data,MATCH(LEFT(VLOOKUP(MID(W$1,2,LEN(W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W$1,2,LEN(W$1)-1),Parameters,2,FALSE()),4)&amp;"*",OFFSET(Catalogus,0,0,1),0)+MATCH($C898,OFFSET(Data,2,0,1),0)-2,FALSE())))</f>
        <v>0</v>
      </c>
    </row>
    <row r="899" spans="1:23" x14ac:dyDescent="0.25">
      <c r="A899" s="4">
        <f t="shared" si="294"/>
        <v>32</v>
      </c>
      <c r="B899" t="str">
        <f ca="1">TEXT(DATE(YEAR(Invoer!$A$6),1,1)+INT((ROWS(B$2:B899)-1)/4),"jjjjmmdd")</f>
        <v>19400812</v>
      </c>
      <c r="C899" s="64" t="str">
        <f>IF(MOD(ROWS(C$2:C899)-1,4)=3,"24.00",INDEX(Data,3,2+MOD(ROWS(C$2:C899)-1,4)))</f>
        <v>12.00</v>
      </c>
      <c r="D899" s="18">
        <f t="shared" ca="1" si="295"/>
        <v>758.2</v>
      </c>
      <c r="E899" s="17">
        <f t="shared" ca="1" si="296"/>
        <v>0</v>
      </c>
      <c r="F899" s="18">
        <f t="shared" ca="1" si="297"/>
        <v>27.5</v>
      </c>
      <c r="G899" s="17">
        <f t="shared" ca="1" si="298"/>
        <v>0</v>
      </c>
      <c r="H899" s="18" t="str">
        <f t="shared" ca="1" si="299"/>
        <v>—</v>
      </c>
      <c r="I899" s="17">
        <f t="shared" ca="1" si="300"/>
        <v>7</v>
      </c>
      <c r="J899" s="18" t="str">
        <f t="shared" ca="1" si="301"/>
        <v>—</v>
      </c>
      <c r="K899" s="17">
        <f t="shared" ca="1" si="302"/>
        <v>7</v>
      </c>
      <c r="L899" s="10">
        <f t="shared" ca="1" si="303"/>
        <v>83</v>
      </c>
      <c r="M899" s="17">
        <f t="shared" ca="1" si="304"/>
        <v>0</v>
      </c>
      <c r="N899" s="18">
        <f t="shared" ca="1" si="305"/>
        <v>22.9</v>
      </c>
      <c r="O899" s="17">
        <f t="shared" ca="1" si="306"/>
        <v>0</v>
      </c>
      <c r="P899" s="18">
        <f t="shared" ca="1" si="307"/>
        <v>25.2</v>
      </c>
      <c r="Q899" s="17">
        <f t="shared" ca="1" si="308"/>
        <v>0</v>
      </c>
      <c r="R899" s="10">
        <f t="shared" ca="1" si="309"/>
        <v>45</v>
      </c>
      <c r="S899" s="17">
        <f t="shared" ca="1" si="310"/>
        <v>0</v>
      </c>
      <c r="T899" s="70">
        <f t="shared" ca="1" si="311"/>
        <v>0.6</v>
      </c>
      <c r="U899" s="17">
        <f t="shared" ca="1" si="312"/>
        <v>0</v>
      </c>
      <c r="V899" s="71">
        <f t="shared" ca="1" si="313"/>
        <v>4</v>
      </c>
      <c r="W899" s="17">
        <f t="shared" ca="1" si="314"/>
        <v>0</v>
      </c>
    </row>
    <row r="900" spans="1:23" x14ac:dyDescent="0.25">
      <c r="A900" s="4">
        <f t="shared" si="294"/>
        <v>32</v>
      </c>
      <c r="B900" t="str">
        <f ca="1">TEXT(DATE(YEAR(Invoer!$A$6),1,1)+INT((ROWS(B$2:B900)-1)/4),"jjjjmmdd")</f>
        <v>19400812</v>
      </c>
      <c r="C900" s="64" t="str">
        <f>IF(MOD(ROWS(C$2:C900)-1,4)=3,"24.00",INDEX(Data,3,2+MOD(ROWS(C$2:C900)-1,4)))</f>
        <v>17.00</v>
      </c>
      <c r="D900" s="18">
        <f t="shared" ca="1" si="295"/>
        <v>758.2</v>
      </c>
      <c r="E900" s="17">
        <f t="shared" ca="1" si="296"/>
        <v>0</v>
      </c>
      <c r="F900" s="18">
        <f t="shared" ca="1" si="297"/>
        <v>27.3</v>
      </c>
      <c r="G900" s="17">
        <f t="shared" ca="1" si="298"/>
        <v>0</v>
      </c>
      <c r="H900" s="18" t="str">
        <f t="shared" ca="1" si="299"/>
        <v>—</v>
      </c>
      <c r="I900" s="17">
        <f t="shared" ca="1" si="300"/>
        <v>7</v>
      </c>
      <c r="J900" s="18" t="str">
        <f t="shared" ca="1" si="301"/>
        <v>—</v>
      </c>
      <c r="K900" s="17">
        <f t="shared" ca="1" si="302"/>
        <v>7</v>
      </c>
      <c r="L900" s="10">
        <f t="shared" ca="1" si="303"/>
        <v>82</v>
      </c>
      <c r="M900" s="17">
        <f t="shared" ca="1" si="304"/>
        <v>0</v>
      </c>
      <c r="N900" s="18">
        <f t="shared" ca="1" si="305"/>
        <v>22.2</v>
      </c>
      <c r="O900" s="17">
        <f t="shared" ca="1" si="306"/>
        <v>0</v>
      </c>
      <c r="P900" s="18">
        <f t="shared" ca="1" si="307"/>
        <v>24.8</v>
      </c>
      <c r="Q900" s="17">
        <f t="shared" ca="1" si="308"/>
        <v>0</v>
      </c>
      <c r="R900" s="10">
        <f t="shared" ca="1" si="309"/>
        <v>45</v>
      </c>
      <c r="S900" s="17">
        <f t="shared" ca="1" si="310"/>
        <v>0</v>
      </c>
      <c r="T900" s="70">
        <f t="shared" ca="1" si="311"/>
        <v>0.6</v>
      </c>
      <c r="U900" s="17">
        <f t="shared" ca="1" si="312"/>
        <v>0</v>
      </c>
      <c r="V900" s="71">
        <f t="shared" ca="1" si="313"/>
        <v>4</v>
      </c>
      <c r="W900" s="17">
        <f t="shared" ca="1" si="314"/>
        <v>0</v>
      </c>
    </row>
    <row r="901" spans="1:23" x14ac:dyDescent="0.25">
      <c r="A901" s="4">
        <f t="shared" si="294"/>
        <v>32</v>
      </c>
      <c r="B901" t="str">
        <f ca="1">TEXT(DATE(YEAR(Invoer!$A$6),1,1)+INT((ROWS(B$2:B901)-1)/4),"jjjjmmdd")</f>
        <v>19400812</v>
      </c>
      <c r="C901" s="64" t="str">
        <f>IF(MOD(ROWS(C$2:C901)-1,4)=3,"24.00",INDEX(Data,3,2+MOD(ROWS(C$2:C901)-1,4)))</f>
        <v>24.00</v>
      </c>
      <c r="D901" s="18" t="str">
        <f t="shared" ca="1" si="295"/>
        <v>—</v>
      </c>
      <c r="E901" s="17">
        <f t="shared" ca="1" si="296"/>
        <v>7</v>
      </c>
      <c r="F901" s="18" t="str">
        <f t="shared" ca="1" si="297"/>
        <v>—</v>
      </c>
      <c r="G901" s="17">
        <f t="shared" ca="1" si="298"/>
        <v>7</v>
      </c>
      <c r="H901" s="18">
        <f t="shared" ca="1" si="299"/>
        <v>28</v>
      </c>
      <c r="I901" s="17">
        <f t="shared" ca="1" si="300"/>
        <v>0</v>
      </c>
      <c r="J901" s="18">
        <f t="shared" ca="1" si="301"/>
        <v>29.4</v>
      </c>
      <c r="K901" s="17">
        <f t="shared" ca="1" si="302"/>
        <v>0</v>
      </c>
      <c r="L901" s="10" t="str">
        <f t="shared" ca="1" si="303"/>
        <v>—</v>
      </c>
      <c r="M901" s="17">
        <f t="shared" ca="1" si="304"/>
        <v>7</v>
      </c>
      <c r="N901" s="18" t="str">
        <f t="shared" ca="1" si="305"/>
        <v>—</v>
      </c>
      <c r="O901" s="17">
        <f t="shared" ca="1" si="306"/>
        <v>7</v>
      </c>
      <c r="P901" s="18" t="str">
        <f t="shared" ca="1" si="307"/>
        <v>—</v>
      </c>
      <c r="Q901" s="17">
        <f t="shared" ca="1" si="308"/>
        <v>7</v>
      </c>
      <c r="R901" s="10" t="str">
        <f t="shared" ca="1" si="309"/>
        <v>—</v>
      </c>
      <c r="S901" s="17">
        <f t="shared" ca="1" si="310"/>
        <v>7</v>
      </c>
      <c r="T901" s="70" t="str">
        <f t="shared" ca="1" si="311"/>
        <v>—</v>
      </c>
      <c r="U901" s="17">
        <f t="shared" ca="1" si="312"/>
        <v>7</v>
      </c>
      <c r="V901" s="71" t="str">
        <f t="shared" ca="1" si="313"/>
        <v>—</v>
      </c>
      <c r="W901" s="17">
        <f t="shared" ca="1" si="314"/>
        <v>7</v>
      </c>
    </row>
    <row r="902" spans="1:23" x14ac:dyDescent="0.25">
      <c r="A902" s="4">
        <f t="shared" si="294"/>
        <v>32</v>
      </c>
      <c r="B902" t="str">
        <f ca="1">TEXT(DATE(YEAR(Invoer!$A$6),1,1)+INT((ROWS(B$2:B902)-1)/4),"jjjjmmdd")</f>
        <v>19400813</v>
      </c>
      <c r="C902" s="64" t="str">
        <f>IF(MOD(ROWS(C$2:C902)-1,4)=3,"24.00",INDEX(Data,3,2+MOD(ROWS(C$2:C902)-1,4)))</f>
        <v>07.00</v>
      </c>
      <c r="D902" s="18">
        <f t="shared" ca="1" si="295"/>
        <v>759.2</v>
      </c>
      <c r="E902" s="17">
        <f t="shared" ca="1" si="296"/>
        <v>0</v>
      </c>
      <c r="F902" s="18">
        <f t="shared" ca="1" si="297"/>
        <v>25.9</v>
      </c>
      <c r="G902" s="17">
        <f t="shared" ca="1" si="298"/>
        <v>0</v>
      </c>
      <c r="H902" s="18" t="str">
        <f t="shared" ca="1" si="299"/>
        <v>—</v>
      </c>
      <c r="I902" s="17">
        <f t="shared" ca="1" si="300"/>
        <v>7</v>
      </c>
      <c r="J902" s="18" t="str">
        <f t="shared" ca="1" si="301"/>
        <v>—</v>
      </c>
      <c r="K902" s="17">
        <f t="shared" ca="1" si="302"/>
        <v>7</v>
      </c>
      <c r="L902" s="10">
        <f t="shared" ca="1" si="303"/>
        <v>82</v>
      </c>
      <c r="M902" s="17">
        <f t="shared" ca="1" si="304"/>
        <v>0</v>
      </c>
      <c r="N902" s="18">
        <f t="shared" ca="1" si="305"/>
        <v>20.7</v>
      </c>
      <c r="O902" s="17">
        <f t="shared" ca="1" si="306"/>
        <v>0</v>
      </c>
      <c r="P902" s="18">
        <f t="shared" ca="1" si="307"/>
        <v>23.6</v>
      </c>
      <c r="Q902" s="17">
        <f t="shared" ca="1" si="308"/>
        <v>0</v>
      </c>
      <c r="R902" s="10">
        <f t="shared" ca="1" si="309"/>
        <v>65</v>
      </c>
      <c r="S902" s="17">
        <f t="shared" ca="1" si="310"/>
        <v>0</v>
      </c>
      <c r="T902" s="70">
        <f t="shared" ca="1" si="311"/>
        <v>0.4</v>
      </c>
      <c r="U902" s="17">
        <f t="shared" ca="1" si="312"/>
        <v>0</v>
      </c>
      <c r="V902" s="71">
        <f t="shared" ca="1" si="313"/>
        <v>4</v>
      </c>
      <c r="W902" s="17">
        <f t="shared" ca="1" si="314"/>
        <v>0</v>
      </c>
    </row>
    <row r="903" spans="1:23" x14ac:dyDescent="0.25">
      <c r="A903" s="4">
        <f t="shared" si="294"/>
        <v>32</v>
      </c>
      <c r="B903" t="str">
        <f ca="1">TEXT(DATE(YEAR(Invoer!$A$6),1,1)+INT((ROWS(B$2:B903)-1)/4),"jjjjmmdd")</f>
        <v>19400813</v>
      </c>
      <c r="C903" s="64" t="str">
        <f>IF(MOD(ROWS(C$2:C903)-1,4)=3,"24.00",INDEX(Data,3,2+MOD(ROWS(C$2:C903)-1,4)))</f>
        <v>12.00</v>
      </c>
      <c r="D903" s="18">
        <f t="shared" ca="1" si="295"/>
        <v>760.5</v>
      </c>
      <c r="E903" s="17">
        <f t="shared" ca="1" si="296"/>
        <v>0</v>
      </c>
      <c r="F903" s="18">
        <f t="shared" ca="1" si="297"/>
        <v>27.5</v>
      </c>
      <c r="G903" s="17">
        <f t="shared" ca="1" si="298"/>
        <v>0</v>
      </c>
      <c r="H903" s="18" t="str">
        <f t="shared" ca="1" si="299"/>
        <v>—</v>
      </c>
      <c r="I903" s="17">
        <f t="shared" ca="1" si="300"/>
        <v>7</v>
      </c>
      <c r="J903" s="18" t="str">
        <f t="shared" ca="1" si="301"/>
        <v>—</v>
      </c>
      <c r="K903" s="17">
        <f t="shared" ca="1" si="302"/>
        <v>7</v>
      </c>
      <c r="L903" s="10">
        <f t="shared" ca="1" si="303"/>
        <v>82</v>
      </c>
      <c r="M903" s="17">
        <f t="shared" ca="1" si="304"/>
        <v>0</v>
      </c>
      <c r="N903" s="18">
        <f t="shared" ca="1" si="305"/>
        <v>22.5</v>
      </c>
      <c r="O903" s="17">
        <f t="shared" ca="1" si="306"/>
        <v>0</v>
      </c>
      <c r="P903" s="18">
        <f t="shared" ca="1" si="307"/>
        <v>25</v>
      </c>
      <c r="Q903" s="17">
        <f t="shared" ca="1" si="308"/>
        <v>0</v>
      </c>
      <c r="R903" s="10">
        <f t="shared" ca="1" si="309"/>
        <v>45</v>
      </c>
      <c r="S903" s="17">
        <f t="shared" ca="1" si="310"/>
        <v>0</v>
      </c>
      <c r="T903" s="70">
        <f t="shared" ca="1" si="311"/>
        <v>0.5</v>
      </c>
      <c r="U903" s="17">
        <f t="shared" ca="1" si="312"/>
        <v>0</v>
      </c>
      <c r="V903" s="71">
        <f t="shared" ca="1" si="313"/>
        <v>3</v>
      </c>
      <c r="W903" s="17">
        <f t="shared" ca="1" si="314"/>
        <v>0</v>
      </c>
    </row>
    <row r="904" spans="1:23" x14ac:dyDescent="0.25">
      <c r="A904" s="4">
        <f t="shared" si="294"/>
        <v>32</v>
      </c>
      <c r="B904" t="str">
        <f ca="1">TEXT(DATE(YEAR(Invoer!$A$6),1,1)+INT((ROWS(B$2:B904)-1)/4),"jjjjmmdd")</f>
        <v>19400813</v>
      </c>
      <c r="C904" s="64" t="str">
        <f>IF(MOD(ROWS(C$2:C904)-1,4)=3,"24.00",INDEX(Data,3,2+MOD(ROWS(C$2:C904)-1,4)))</f>
        <v>17.00</v>
      </c>
      <c r="D904" s="18">
        <f t="shared" ca="1" si="295"/>
        <v>759.2</v>
      </c>
      <c r="E904" s="17">
        <f t="shared" ca="1" si="296"/>
        <v>0</v>
      </c>
      <c r="F904" s="18">
        <f t="shared" ca="1" si="297"/>
        <v>27.1</v>
      </c>
      <c r="G904" s="17">
        <f t="shared" ca="1" si="298"/>
        <v>0</v>
      </c>
      <c r="H904" s="18" t="str">
        <f t="shared" ca="1" si="299"/>
        <v>—</v>
      </c>
      <c r="I904" s="17">
        <f t="shared" ca="1" si="300"/>
        <v>7</v>
      </c>
      <c r="J904" s="18" t="str">
        <f t="shared" ca="1" si="301"/>
        <v>—</v>
      </c>
      <c r="K904" s="17">
        <f t="shared" ca="1" si="302"/>
        <v>7</v>
      </c>
      <c r="L904" s="10">
        <f t="shared" ca="1" si="303"/>
        <v>82</v>
      </c>
      <c r="M904" s="17">
        <f t="shared" ca="1" si="304"/>
        <v>0</v>
      </c>
      <c r="N904" s="18">
        <f t="shared" ca="1" si="305"/>
        <v>22</v>
      </c>
      <c r="O904" s="17">
        <f t="shared" ca="1" si="306"/>
        <v>0</v>
      </c>
      <c r="P904" s="18">
        <f t="shared" ca="1" si="307"/>
        <v>24.6</v>
      </c>
      <c r="Q904" s="17">
        <f t="shared" ca="1" si="308"/>
        <v>0</v>
      </c>
      <c r="R904" s="10">
        <f t="shared" ca="1" si="309"/>
        <v>45</v>
      </c>
      <c r="S904" s="17">
        <f t="shared" ca="1" si="310"/>
        <v>0</v>
      </c>
      <c r="T904" s="70">
        <f t="shared" ca="1" si="311"/>
        <v>0.5</v>
      </c>
      <c r="U904" s="17">
        <f t="shared" ca="1" si="312"/>
        <v>0</v>
      </c>
      <c r="V904" s="71">
        <f t="shared" ca="1" si="313"/>
        <v>4</v>
      </c>
      <c r="W904" s="17">
        <f t="shared" ca="1" si="314"/>
        <v>0</v>
      </c>
    </row>
    <row r="905" spans="1:23" x14ac:dyDescent="0.25">
      <c r="A905" s="4">
        <f t="shared" si="294"/>
        <v>32</v>
      </c>
      <c r="B905" t="str">
        <f ca="1">TEXT(DATE(YEAR(Invoer!$A$6),1,1)+INT((ROWS(B$2:B905)-1)/4),"jjjjmmdd")</f>
        <v>19400813</v>
      </c>
      <c r="C905" s="64" t="str">
        <f>IF(MOD(ROWS(C$2:C905)-1,4)=3,"24.00",INDEX(Data,3,2+MOD(ROWS(C$2:C905)-1,4)))</f>
        <v>24.00</v>
      </c>
      <c r="D905" s="18" t="str">
        <f t="shared" ca="1" si="295"/>
        <v>—</v>
      </c>
      <c r="E905" s="17">
        <f t="shared" ca="1" si="296"/>
        <v>7</v>
      </c>
      <c r="F905" s="18" t="str">
        <f t="shared" ca="1" si="297"/>
        <v>—</v>
      </c>
      <c r="G905" s="17">
        <f t="shared" ca="1" si="298"/>
        <v>7</v>
      </c>
      <c r="H905" s="18">
        <f t="shared" ca="1" si="299"/>
        <v>28</v>
      </c>
      <c r="I905" s="17">
        <f t="shared" ca="1" si="300"/>
        <v>0</v>
      </c>
      <c r="J905" s="18">
        <f t="shared" ca="1" si="301"/>
        <v>30</v>
      </c>
      <c r="K905" s="17">
        <f t="shared" ca="1" si="302"/>
        <v>0</v>
      </c>
      <c r="L905" s="10" t="str">
        <f t="shared" ca="1" si="303"/>
        <v>—</v>
      </c>
      <c r="M905" s="17">
        <f t="shared" ca="1" si="304"/>
        <v>7</v>
      </c>
      <c r="N905" s="18" t="str">
        <f t="shared" ca="1" si="305"/>
        <v>—</v>
      </c>
      <c r="O905" s="17">
        <f t="shared" ca="1" si="306"/>
        <v>7</v>
      </c>
      <c r="P905" s="18" t="str">
        <f t="shared" ca="1" si="307"/>
        <v>—</v>
      </c>
      <c r="Q905" s="17">
        <f t="shared" ca="1" si="308"/>
        <v>7</v>
      </c>
      <c r="R905" s="10" t="str">
        <f t="shared" ca="1" si="309"/>
        <v>—</v>
      </c>
      <c r="S905" s="17">
        <f t="shared" ca="1" si="310"/>
        <v>7</v>
      </c>
      <c r="T905" s="70" t="str">
        <f t="shared" ca="1" si="311"/>
        <v>—</v>
      </c>
      <c r="U905" s="17">
        <f t="shared" ca="1" si="312"/>
        <v>7</v>
      </c>
      <c r="V905" s="71" t="str">
        <f t="shared" ca="1" si="313"/>
        <v>—</v>
      </c>
      <c r="W905" s="17">
        <f t="shared" ca="1" si="314"/>
        <v>7</v>
      </c>
    </row>
    <row r="906" spans="1:23" x14ac:dyDescent="0.25">
      <c r="A906" s="4">
        <f t="shared" si="294"/>
        <v>32</v>
      </c>
      <c r="B906" t="str">
        <f ca="1">TEXT(DATE(YEAR(Invoer!$A$6),1,1)+INT((ROWS(B$2:B906)-1)/4),"jjjjmmdd")</f>
        <v>19400814</v>
      </c>
      <c r="C906" s="64" t="str">
        <f>IF(MOD(ROWS(C$2:C906)-1,4)=3,"24.00",INDEX(Data,3,2+MOD(ROWS(C$2:C906)-1,4)))</f>
        <v>07.00</v>
      </c>
      <c r="D906" s="18">
        <f t="shared" ca="1" si="295"/>
        <v>758.2</v>
      </c>
      <c r="E906" s="17">
        <f t="shared" ca="1" si="296"/>
        <v>0</v>
      </c>
      <c r="F906" s="18">
        <f t="shared" ca="1" si="297"/>
        <v>25.9</v>
      </c>
      <c r="G906" s="17">
        <f t="shared" ca="1" si="298"/>
        <v>0</v>
      </c>
      <c r="H906" s="18" t="str">
        <f t="shared" ca="1" si="299"/>
        <v>—</v>
      </c>
      <c r="I906" s="17">
        <f t="shared" ca="1" si="300"/>
        <v>7</v>
      </c>
      <c r="J906" s="18" t="str">
        <f t="shared" ca="1" si="301"/>
        <v>—</v>
      </c>
      <c r="K906" s="17">
        <f t="shared" ca="1" si="302"/>
        <v>7</v>
      </c>
      <c r="L906" s="10">
        <f t="shared" ca="1" si="303"/>
        <v>81</v>
      </c>
      <c r="M906" s="17">
        <f t="shared" ca="1" si="304"/>
        <v>0</v>
      </c>
      <c r="N906" s="18">
        <f t="shared" ca="1" si="305"/>
        <v>20.3</v>
      </c>
      <c r="O906" s="17">
        <f t="shared" ca="1" si="306"/>
        <v>0</v>
      </c>
      <c r="P906" s="18">
        <f t="shared" ca="1" si="307"/>
        <v>23.4</v>
      </c>
      <c r="Q906" s="17">
        <f t="shared" ca="1" si="308"/>
        <v>0</v>
      </c>
      <c r="R906" s="10">
        <f t="shared" ca="1" si="309"/>
        <v>65</v>
      </c>
      <c r="S906" s="17">
        <f t="shared" ca="1" si="310"/>
        <v>0</v>
      </c>
      <c r="T906" s="70">
        <f t="shared" ca="1" si="311"/>
        <v>0.5</v>
      </c>
      <c r="U906" s="17">
        <f t="shared" ca="1" si="312"/>
        <v>0</v>
      </c>
      <c r="V906" s="71">
        <f t="shared" ca="1" si="313"/>
        <v>3</v>
      </c>
      <c r="W906" s="17">
        <f t="shared" ca="1" si="314"/>
        <v>0</v>
      </c>
    </row>
    <row r="907" spans="1:23" x14ac:dyDescent="0.25">
      <c r="A907" s="4">
        <f t="shared" si="294"/>
        <v>32</v>
      </c>
      <c r="B907" t="str">
        <f ca="1">TEXT(DATE(YEAR(Invoer!$A$6),1,1)+INT((ROWS(B$2:B907)-1)/4),"jjjjmmdd")</f>
        <v>19400814</v>
      </c>
      <c r="C907" s="64" t="str">
        <f>IF(MOD(ROWS(C$2:C907)-1,4)=3,"24.00",INDEX(Data,3,2+MOD(ROWS(C$2:C907)-1,4)))</f>
        <v>12.00</v>
      </c>
      <c r="D907" s="18">
        <f t="shared" ca="1" si="295"/>
        <v>760.5</v>
      </c>
      <c r="E907" s="17">
        <f t="shared" ca="1" si="296"/>
        <v>0</v>
      </c>
      <c r="F907" s="18">
        <f t="shared" ca="1" si="297"/>
        <v>27.3</v>
      </c>
      <c r="G907" s="17">
        <f t="shared" ca="1" si="298"/>
        <v>0</v>
      </c>
      <c r="H907" s="18" t="str">
        <f t="shared" ca="1" si="299"/>
        <v>—</v>
      </c>
      <c r="I907" s="17">
        <f t="shared" ca="1" si="300"/>
        <v>7</v>
      </c>
      <c r="J907" s="18" t="str">
        <f t="shared" ca="1" si="301"/>
        <v>—</v>
      </c>
      <c r="K907" s="17">
        <f t="shared" ca="1" si="302"/>
        <v>7</v>
      </c>
      <c r="L907" s="10">
        <f t="shared" ca="1" si="303"/>
        <v>82</v>
      </c>
      <c r="M907" s="17">
        <f t="shared" ca="1" si="304"/>
        <v>0</v>
      </c>
      <c r="N907" s="18">
        <f t="shared" ca="1" si="305"/>
        <v>22.2</v>
      </c>
      <c r="O907" s="17">
        <f t="shared" ca="1" si="306"/>
        <v>0</v>
      </c>
      <c r="P907" s="18">
        <f t="shared" ca="1" si="307"/>
        <v>24.8</v>
      </c>
      <c r="Q907" s="17">
        <f t="shared" ca="1" si="308"/>
        <v>0</v>
      </c>
      <c r="R907" s="10">
        <f t="shared" ca="1" si="309"/>
        <v>45</v>
      </c>
      <c r="S907" s="17">
        <f t="shared" ca="1" si="310"/>
        <v>0</v>
      </c>
      <c r="T907" s="70">
        <f t="shared" ca="1" si="311"/>
        <v>0.6</v>
      </c>
      <c r="U907" s="17">
        <f t="shared" ca="1" si="312"/>
        <v>0</v>
      </c>
      <c r="V907" s="71">
        <f t="shared" ca="1" si="313"/>
        <v>4</v>
      </c>
      <c r="W907" s="17">
        <f t="shared" ca="1" si="314"/>
        <v>0</v>
      </c>
    </row>
    <row r="908" spans="1:23" x14ac:dyDescent="0.25">
      <c r="A908" s="4">
        <f t="shared" si="294"/>
        <v>32</v>
      </c>
      <c r="B908" t="str">
        <f ca="1">TEXT(DATE(YEAR(Invoer!$A$6),1,1)+INT((ROWS(B$2:B908)-1)/4),"jjjjmmdd")</f>
        <v>19400814</v>
      </c>
      <c r="C908" s="64" t="str">
        <f>IF(MOD(ROWS(C$2:C908)-1,4)=3,"24.00",INDEX(Data,3,2+MOD(ROWS(C$2:C908)-1,4)))</f>
        <v>17.00</v>
      </c>
      <c r="D908" s="18">
        <f t="shared" ca="1" si="295"/>
        <v>759.5</v>
      </c>
      <c r="E908" s="17">
        <f t="shared" ca="1" si="296"/>
        <v>0</v>
      </c>
      <c r="F908" s="18">
        <f t="shared" ca="1" si="297"/>
        <v>26.9</v>
      </c>
      <c r="G908" s="17">
        <f t="shared" ca="1" si="298"/>
        <v>0</v>
      </c>
      <c r="H908" s="18" t="str">
        <f t="shared" ca="1" si="299"/>
        <v>—</v>
      </c>
      <c r="I908" s="17">
        <f t="shared" ca="1" si="300"/>
        <v>7</v>
      </c>
      <c r="J908" s="18" t="str">
        <f t="shared" ca="1" si="301"/>
        <v>—</v>
      </c>
      <c r="K908" s="17">
        <f t="shared" ca="1" si="302"/>
        <v>7</v>
      </c>
      <c r="L908" s="10">
        <f t="shared" ca="1" si="303"/>
        <v>81</v>
      </c>
      <c r="M908" s="17">
        <f t="shared" ca="1" si="304"/>
        <v>0</v>
      </c>
      <c r="N908" s="18">
        <f t="shared" ca="1" si="305"/>
        <v>21.7</v>
      </c>
      <c r="O908" s="17">
        <f t="shared" ca="1" si="306"/>
        <v>0</v>
      </c>
      <c r="P908" s="18">
        <f t="shared" ca="1" si="307"/>
        <v>24.4</v>
      </c>
      <c r="Q908" s="17">
        <f t="shared" ca="1" si="308"/>
        <v>0</v>
      </c>
      <c r="R908" s="10">
        <f t="shared" ca="1" si="309"/>
        <v>45</v>
      </c>
      <c r="S908" s="17">
        <f t="shared" ca="1" si="310"/>
        <v>0</v>
      </c>
      <c r="T908" s="70">
        <f t="shared" ca="1" si="311"/>
        <v>0.5</v>
      </c>
      <c r="U908" s="17">
        <f t="shared" ca="1" si="312"/>
        <v>0</v>
      </c>
      <c r="V908" s="71">
        <f t="shared" ca="1" si="313"/>
        <v>3</v>
      </c>
      <c r="W908" s="17">
        <f t="shared" ca="1" si="314"/>
        <v>0</v>
      </c>
    </row>
    <row r="909" spans="1:23" x14ac:dyDescent="0.25">
      <c r="A909" s="4">
        <f t="shared" si="294"/>
        <v>32</v>
      </c>
      <c r="B909" t="str">
        <f ca="1">TEXT(DATE(YEAR(Invoer!$A$6),1,1)+INT((ROWS(B$2:B909)-1)/4),"jjjjmmdd")</f>
        <v>19400814</v>
      </c>
      <c r="C909" s="64" t="str">
        <f>IF(MOD(ROWS(C$2:C909)-1,4)=3,"24.00",INDEX(Data,3,2+MOD(ROWS(C$2:C909)-1,4)))</f>
        <v>24.00</v>
      </c>
      <c r="D909" s="18" t="str">
        <f t="shared" ca="1" si="295"/>
        <v>—</v>
      </c>
      <c r="E909" s="17">
        <f t="shared" ca="1" si="296"/>
        <v>7</v>
      </c>
      <c r="F909" s="18" t="str">
        <f t="shared" ca="1" si="297"/>
        <v>—</v>
      </c>
      <c r="G909" s="17">
        <f t="shared" ca="1" si="298"/>
        <v>7</v>
      </c>
      <c r="H909" s="18">
        <f t="shared" ca="1" si="299"/>
        <v>28.6</v>
      </c>
      <c r="I909" s="17">
        <f t="shared" ca="1" si="300"/>
        <v>0</v>
      </c>
      <c r="J909" s="18">
        <f t="shared" ca="1" si="301"/>
        <v>30</v>
      </c>
      <c r="K909" s="17">
        <f t="shared" ca="1" si="302"/>
        <v>0</v>
      </c>
      <c r="L909" s="10" t="str">
        <f t="shared" ca="1" si="303"/>
        <v>—</v>
      </c>
      <c r="M909" s="17">
        <f t="shared" ca="1" si="304"/>
        <v>7</v>
      </c>
      <c r="N909" s="18" t="str">
        <f t="shared" ca="1" si="305"/>
        <v>—</v>
      </c>
      <c r="O909" s="17">
        <f t="shared" ca="1" si="306"/>
        <v>7</v>
      </c>
      <c r="P909" s="18" t="str">
        <f t="shared" ca="1" si="307"/>
        <v>—</v>
      </c>
      <c r="Q909" s="17">
        <f t="shared" ca="1" si="308"/>
        <v>7</v>
      </c>
      <c r="R909" s="10" t="str">
        <f t="shared" ca="1" si="309"/>
        <v>—</v>
      </c>
      <c r="S909" s="17">
        <f t="shared" ca="1" si="310"/>
        <v>7</v>
      </c>
      <c r="T909" s="70" t="str">
        <f t="shared" ca="1" si="311"/>
        <v>—</v>
      </c>
      <c r="U909" s="17">
        <f t="shared" ca="1" si="312"/>
        <v>7</v>
      </c>
      <c r="V909" s="71" t="str">
        <f t="shared" ca="1" si="313"/>
        <v>—</v>
      </c>
      <c r="W909" s="17">
        <f t="shared" ca="1" si="314"/>
        <v>7</v>
      </c>
    </row>
    <row r="910" spans="1:23" x14ac:dyDescent="0.25">
      <c r="A910" s="4">
        <f t="shared" si="294"/>
        <v>32</v>
      </c>
      <c r="B910" t="str">
        <f ca="1">TEXT(DATE(YEAR(Invoer!$A$6),1,1)+INT((ROWS(B$2:B910)-1)/4),"jjjjmmdd")</f>
        <v>19400815</v>
      </c>
      <c r="C910" s="64" t="str">
        <f>IF(MOD(ROWS(C$2:C910)-1,4)=3,"24.00",INDEX(Data,3,2+MOD(ROWS(C$2:C910)-1,4)))</f>
        <v>07.00</v>
      </c>
      <c r="D910" s="18">
        <f t="shared" ca="1" si="295"/>
        <v>758.9</v>
      </c>
      <c r="E910" s="17">
        <f t="shared" ca="1" si="296"/>
        <v>0</v>
      </c>
      <c r="F910" s="18">
        <f t="shared" ca="1" si="297"/>
        <v>26.3</v>
      </c>
      <c r="G910" s="17">
        <f t="shared" ca="1" si="298"/>
        <v>0</v>
      </c>
      <c r="H910" s="18" t="str">
        <f t="shared" ca="1" si="299"/>
        <v>—</v>
      </c>
      <c r="I910" s="17">
        <f t="shared" ca="1" si="300"/>
        <v>7</v>
      </c>
      <c r="J910" s="18" t="str">
        <f t="shared" ca="1" si="301"/>
        <v>—</v>
      </c>
      <c r="K910" s="17">
        <f t="shared" ca="1" si="302"/>
        <v>7</v>
      </c>
      <c r="L910" s="10">
        <f t="shared" ca="1" si="303"/>
        <v>80</v>
      </c>
      <c r="M910" s="17">
        <f t="shared" ca="1" si="304"/>
        <v>0</v>
      </c>
      <c r="N910" s="18">
        <f t="shared" ca="1" si="305"/>
        <v>20.5</v>
      </c>
      <c r="O910" s="17">
        <f t="shared" ca="1" si="306"/>
        <v>0</v>
      </c>
      <c r="P910" s="18">
        <f t="shared" ca="1" si="307"/>
        <v>23.6</v>
      </c>
      <c r="Q910" s="17">
        <f t="shared" ca="1" si="308"/>
        <v>0</v>
      </c>
      <c r="R910" s="10">
        <f t="shared" ca="1" si="309"/>
        <v>45</v>
      </c>
      <c r="S910" s="17">
        <f t="shared" ca="1" si="310"/>
        <v>0</v>
      </c>
      <c r="T910" s="70">
        <f t="shared" ca="1" si="311"/>
        <v>0.5</v>
      </c>
      <c r="U910" s="17">
        <f t="shared" ca="1" si="312"/>
        <v>0</v>
      </c>
      <c r="V910" s="71">
        <f t="shared" ca="1" si="313"/>
        <v>3</v>
      </c>
      <c r="W910" s="17">
        <f t="shared" ca="1" si="314"/>
        <v>0</v>
      </c>
    </row>
    <row r="911" spans="1:23" x14ac:dyDescent="0.25">
      <c r="A911" s="4">
        <f t="shared" si="294"/>
        <v>32</v>
      </c>
      <c r="B911" t="str">
        <f ca="1">TEXT(DATE(YEAR(Invoer!$A$6),1,1)+INT((ROWS(B$2:B911)-1)/4),"jjjjmmdd")</f>
        <v>19400815</v>
      </c>
      <c r="C911" s="64" t="str">
        <f>IF(MOD(ROWS(C$2:C911)-1,4)=3,"24.00",INDEX(Data,3,2+MOD(ROWS(C$2:C911)-1,4)))</f>
        <v>12.00</v>
      </c>
      <c r="D911" s="18">
        <f t="shared" ca="1" si="295"/>
        <v>760.5</v>
      </c>
      <c r="E911" s="17">
        <f t="shared" ca="1" si="296"/>
        <v>0</v>
      </c>
      <c r="F911" s="18">
        <f t="shared" ca="1" si="297"/>
        <v>27.5</v>
      </c>
      <c r="G911" s="17">
        <f t="shared" ca="1" si="298"/>
        <v>0</v>
      </c>
      <c r="H911" s="18" t="str">
        <f t="shared" ca="1" si="299"/>
        <v>—</v>
      </c>
      <c r="I911" s="17">
        <f t="shared" ca="1" si="300"/>
        <v>7</v>
      </c>
      <c r="J911" s="18" t="str">
        <f t="shared" ca="1" si="301"/>
        <v>—</v>
      </c>
      <c r="K911" s="17">
        <f t="shared" ca="1" si="302"/>
        <v>7</v>
      </c>
      <c r="L911" s="10">
        <f t="shared" ca="1" si="303"/>
        <v>83</v>
      </c>
      <c r="M911" s="17">
        <f t="shared" ca="1" si="304"/>
        <v>0</v>
      </c>
      <c r="N911" s="18">
        <f t="shared" ca="1" si="305"/>
        <v>22.9</v>
      </c>
      <c r="O911" s="17">
        <f t="shared" ca="1" si="306"/>
        <v>0</v>
      </c>
      <c r="P911" s="18">
        <f t="shared" ca="1" si="307"/>
        <v>25.2</v>
      </c>
      <c r="Q911" s="17">
        <f t="shared" ca="1" si="308"/>
        <v>0</v>
      </c>
      <c r="R911" s="10">
        <f t="shared" ca="1" si="309"/>
        <v>45</v>
      </c>
      <c r="S911" s="17">
        <f t="shared" ca="1" si="310"/>
        <v>0</v>
      </c>
      <c r="T911" s="70">
        <f t="shared" ca="1" si="311"/>
        <v>0.6</v>
      </c>
      <c r="U911" s="17">
        <f t="shared" ca="1" si="312"/>
        <v>0</v>
      </c>
      <c r="V911" s="71">
        <f t="shared" ca="1" si="313"/>
        <v>3</v>
      </c>
      <c r="W911" s="17">
        <f t="shared" ca="1" si="314"/>
        <v>0</v>
      </c>
    </row>
    <row r="912" spans="1:23" x14ac:dyDescent="0.25">
      <c r="A912" s="4">
        <f t="shared" si="294"/>
        <v>32</v>
      </c>
      <c r="B912" t="str">
        <f ca="1">TEXT(DATE(YEAR(Invoer!$A$6),1,1)+INT((ROWS(B$2:B912)-1)/4),"jjjjmmdd")</f>
        <v>19400815</v>
      </c>
      <c r="C912" s="64" t="str">
        <f>IF(MOD(ROWS(C$2:C912)-1,4)=3,"24.00",INDEX(Data,3,2+MOD(ROWS(C$2:C912)-1,4)))</f>
        <v>17.00</v>
      </c>
      <c r="D912" s="18">
        <f t="shared" ca="1" si="295"/>
        <v>759.2</v>
      </c>
      <c r="E912" s="17">
        <f t="shared" ca="1" si="296"/>
        <v>0</v>
      </c>
      <c r="F912" s="18">
        <f t="shared" ca="1" si="297"/>
        <v>26.9</v>
      </c>
      <c r="G912" s="17">
        <f t="shared" ca="1" si="298"/>
        <v>0</v>
      </c>
      <c r="H912" s="18" t="str">
        <f t="shared" ca="1" si="299"/>
        <v>—</v>
      </c>
      <c r="I912" s="17">
        <f t="shared" ca="1" si="300"/>
        <v>7</v>
      </c>
      <c r="J912" s="18" t="str">
        <f t="shared" ca="1" si="301"/>
        <v>—</v>
      </c>
      <c r="K912" s="17">
        <f t="shared" ca="1" si="302"/>
        <v>7</v>
      </c>
      <c r="L912" s="10">
        <f t="shared" ca="1" si="303"/>
        <v>84</v>
      </c>
      <c r="M912" s="17">
        <f t="shared" ca="1" si="304"/>
        <v>0</v>
      </c>
      <c r="N912" s="18">
        <f t="shared" ca="1" si="305"/>
        <v>22.4</v>
      </c>
      <c r="O912" s="17">
        <f t="shared" ca="1" si="306"/>
        <v>0</v>
      </c>
      <c r="P912" s="18">
        <f t="shared" ca="1" si="307"/>
        <v>24.8</v>
      </c>
      <c r="Q912" s="17">
        <f t="shared" ca="1" si="308"/>
        <v>0</v>
      </c>
      <c r="R912" s="10">
        <f t="shared" ca="1" si="309"/>
        <v>45</v>
      </c>
      <c r="S912" s="17">
        <f t="shared" ca="1" si="310"/>
        <v>0</v>
      </c>
      <c r="T912" s="70">
        <f t="shared" ca="1" si="311"/>
        <v>0.5</v>
      </c>
      <c r="U912" s="17">
        <f t="shared" ca="1" si="312"/>
        <v>0</v>
      </c>
      <c r="V912" s="71">
        <f t="shared" ca="1" si="313"/>
        <v>3</v>
      </c>
      <c r="W912" s="17">
        <f t="shared" ca="1" si="314"/>
        <v>0</v>
      </c>
    </row>
    <row r="913" spans="1:23" x14ac:dyDescent="0.25">
      <c r="A913" s="4">
        <f t="shared" si="294"/>
        <v>32</v>
      </c>
      <c r="B913" t="str">
        <f ca="1">TEXT(DATE(YEAR(Invoer!$A$6),1,1)+INT((ROWS(B$2:B913)-1)/4),"jjjjmmdd")</f>
        <v>19400815</v>
      </c>
      <c r="C913" s="64" t="str">
        <f>IF(MOD(ROWS(C$2:C913)-1,4)=3,"24.00",INDEX(Data,3,2+MOD(ROWS(C$2:C913)-1,4)))</f>
        <v>24.00</v>
      </c>
      <c r="D913" s="18" t="str">
        <f t="shared" ca="1" si="295"/>
        <v>—</v>
      </c>
      <c r="E913" s="17">
        <f t="shared" ca="1" si="296"/>
        <v>7</v>
      </c>
      <c r="F913" s="18" t="str">
        <f t="shared" ca="1" si="297"/>
        <v>—</v>
      </c>
      <c r="G913" s="17">
        <f t="shared" ca="1" si="298"/>
        <v>7</v>
      </c>
      <c r="H913" s="18">
        <f t="shared" ca="1" si="299"/>
        <v>29</v>
      </c>
      <c r="I913" s="17">
        <f t="shared" ca="1" si="300"/>
        <v>0</v>
      </c>
      <c r="J913" s="18">
        <f t="shared" ca="1" si="301"/>
        <v>30</v>
      </c>
      <c r="K913" s="17">
        <f t="shared" ca="1" si="302"/>
        <v>0</v>
      </c>
      <c r="L913" s="10" t="str">
        <f t="shared" ca="1" si="303"/>
        <v>—</v>
      </c>
      <c r="M913" s="17">
        <f t="shared" ca="1" si="304"/>
        <v>7</v>
      </c>
      <c r="N913" s="18" t="str">
        <f t="shared" ca="1" si="305"/>
        <v>—</v>
      </c>
      <c r="O913" s="17">
        <f t="shared" ca="1" si="306"/>
        <v>7</v>
      </c>
      <c r="P913" s="18" t="str">
        <f t="shared" ca="1" si="307"/>
        <v>—</v>
      </c>
      <c r="Q913" s="17">
        <f t="shared" ca="1" si="308"/>
        <v>7</v>
      </c>
      <c r="R913" s="10" t="str">
        <f t="shared" ca="1" si="309"/>
        <v>—</v>
      </c>
      <c r="S913" s="17">
        <f t="shared" ca="1" si="310"/>
        <v>7</v>
      </c>
      <c r="T913" s="70" t="str">
        <f t="shared" ca="1" si="311"/>
        <v>—</v>
      </c>
      <c r="U913" s="17">
        <f t="shared" ca="1" si="312"/>
        <v>7</v>
      </c>
      <c r="V913" s="71" t="str">
        <f t="shared" ca="1" si="313"/>
        <v>—</v>
      </c>
      <c r="W913" s="17">
        <f t="shared" ca="1" si="314"/>
        <v>7</v>
      </c>
    </row>
    <row r="914" spans="1:23" x14ac:dyDescent="0.25">
      <c r="A914" s="4">
        <f t="shared" si="294"/>
        <v>32</v>
      </c>
      <c r="B914" t="str">
        <f ca="1">TEXT(DATE(YEAR(Invoer!$A$6),1,1)+INT((ROWS(B$2:B914)-1)/4),"jjjjmmdd")</f>
        <v>19400816</v>
      </c>
      <c r="C914" s="64" t="str">
        <f>IF(MOD(ROWS(C$2:C914)-1,4)=3,"24.00",INDEX(Data,3,2+MOD(ROWS(C$2:C914)-1,4)))</f>
        <v>07.00</v>
      </c>
      <c r="D914" s="18">
        <f t="shared" ca="1" si="295"/>
        <v>759.5</v>
      </c>
      <c r="E914" s="17">
        <f t="shared" ca="1" si="296"/>
        <v>0</v>
      </c>
      <c r="F914" s="18">
        <f t="shared" ca="1" si="297"/>
        <v>26.9</v>
      </c>
      <c r="G914" s="17">
        <f t="shared" ca="1" si="298"/>
        <v>0</v>
      </c>
      <c r="H914" s="18" t="str">
        <f t="shared" ca="1" si="299"/>
        <v>—</v>
      </c>
      <c r="I914" s="17">
        <f t="shared" ca="1" si="300"/>
        <v>7</v>
      </c>
      <c r="J914" s="18" t="str">
        <f t="shared" ca="1" si="301"/>
        <v>—</v>
      </c>
      <c r="K914" s="17">
        <f t="shared" ca="1" si="302"/>
        <v>7</v>
      </c>
      <c r="L914" s="10">
        <f t="shared" ca="1" si="303"/>
        <v>73</v>
      </c>
      <c r="M914" s="17">
        <f t="shared" ca="1" si="304"/>
        <v>0</v>
      </c>
      <c r="N914" s="18">
        <f t="shared" ca="1" si="305"/>
        <v>19.5</v>
      </c>
      <c r="O914" s="17">
        <f t="shared" ca="1" si="306"/>
        <v>0</v>
      </c>
      <c r="P914" s="18">
        <f t="shared" ca="1" si="307"/>
        <v>23.2</v>
      </c>
      <c r="Q914" s="17">
        <f t="shared" ca="1" si="308"/>
        <v>0</v>
      </c>
      <c r="R914" s="10">
        <f t="shared" ca="1" si="309"/>
        <v>45</v>
      </c>
      <c r="S914" s="17">
        <f t="shared" ca="1" si="310"/>
        <v>0</v>
      </c>
      <c r="T914" s="70">
        <f t="shared" ca="1" si="311"/>
        <v>0.5</v>
      </c>
      <c r="U914" s="17">
        <f t="shared" ca="1" si="312"/>
        <v>0</v>
      </c>
      <c r="V914" s="71">
        <f t="shared" ca="1" si="313"/>
        <v>3</v>
      </c>
      <c r="W914" s="17">
        <f t="shared" ca="1" si="314"/>
        <v>0</v>
      </c>
    </row>
    <row r="915" spans="1:23" x14ac:dyDescent="0.25">
      <c r="A915" s="4">
        <f t="shared" si="294"/>
        <v>32</v>
      </c>
      <c r="B915" t="str">
        <f ca="1">TEXT(DATE(YEAR(Invoer!$A$6),1,1)+INT((ROWS(B$2:B915)-1)/4),"jjjjmmdd")</f>
        <v>19400816</v>
      </c>
      <c r="C915" s="64" t="str">
        <f>IF(MOD(ROWS(C$2:C915)-1,4)=3,"24.00",INDEX(Data,3,2+MOD(ROWS(C$2:C915)-1,4)))</f>
        <v>12.00</v>
      </c>
      <c r="D915" s="18">
        <f t="shared" ca="1" si="295"/>
        <v>761.2</v>
      </c>
      <c r="E915" s="17">
        <f t="shared" ca="1" si="296"/>
        <v>0</v>
      </c>
      <c r="F915" s="18">
        <f t="shared" ca="1" si="297"/>
        <v>27.5</v>
      </c>
      <c r="G915" s="17">
        <f t="shared" ca="1" si="298"/>
        <v>0</v>
      </c>
      <c r="H915" s="18" t="str">
        <f t="shared" ca="1" si="299"/>
        <v>—</v>
      </c>
      <c r="I915" s="17">
        <f t="shared" ca="1" si="300"/>
        <v>7</v>
      </c>
      <c r="J915" s="18" t="str">
        <f t="shared" ca="1" si="301"/>
        <v>—</v>
      </c>
      <c r="K915" s="17">
        <f t="shared" ca="1" si="302"/>
        <v>7</v>
      </c>
      <c r="L915" s="10">
        <f t="shared" ca="1" si="303"/>
        <v>80</v>
      </c>
      <c r="M915" s="17">
        <f t="shared" ca="1" si="304"/>
        <v>0</v>
      </c>
      <c r="N915" s="18">
        <f t="shared" ca="1" si="305"/>
        <v>22.1</v>
      </c>
      <c r="O915" s="17">
        <f t="shared" ca="1" si="306"/>
        <v>0</v>
      </c>
      <c r="P915" s="18">
        <f t="shared" ca="1" si="307"/>
        <v>24.8</v>
      </c>
      <c r="Q915" s="17">
        <f t="shared" ca="1" si="308"/>
        <v>0</v>
      </c>
      <c r="R915" s="10">
        <f t="shared" ca="1" si="309"/>
        <v>45</v>
      </c>
      <c r="S915" s="17">
        <f t="shared" ca="1" si="310"/>
        <v>0</v>
      </c>
      <c r="T915" s="70">
        <f t="shared" ca="1" si="311"/>
        <v>0.6</v>
      </c>
      <c r="U915" s="17">
        <f t="shared" ca="1" si="312"/>
        <v>0</v>
      </c>
      <c r="V915" s="71">
        <f t="shared" ca="1" si="313"/>
        <v>4</v>
      </c>
      <c r="W915" s="17">
        <f t="shared" ca="1" si="314"/>
        <v>0</v>
      </c>
    </row>
    <row r="916" spans="1:23" x14ac:dyDescent="0.25">
      <c r="A916" s="4">
        <f t="shared" si="294"/>
        <v>32</v>
      </c>
      <c r="B916" t="str">
        <f ca="1">TEXT(DATE(YEAR(Invoer!$A$6),1,1)+INT((ROWS(B$2:B916)-1)/4),"jjjjmmdd")</f>
        <v>19400816</v>
      </c>
      <c r="C916" s="64" t="str">
        <f>IF(MOD(ROWS(C$2:C916)-1,4)=3,"24.00",INDEX(Data,3,2+MOD(ROWS(C$2:C916)-1,4)))</f>
        <v>17.00</v>
      </c>
      <c r="D916" s="18">
        <f t="shared" ca="1" si="295"/>
        <v>758.9</v>
      </c>
      <c r="E916" s="17">
        <f t="shared" ca="1" si="296"/>
        <v>0</v>
      </c>
      <c r="F916" s="18">
        <f t="shared" ca="1" si="297"/>
        <v>26.9</v>
      </c>
      <c r="G916" s="17">
        <f t="shared" ca="1" si="298"/>
        <v>0</v>
      </c>
      <c r="H916" s="18" t="str">
        <f t="shared" ca="1" si="299"/>
        <v>—</v>
      </c>
      <c r="I916" s="17">
        <f t="shared" ca="1" si="300"/>
        <v>7</v>
      </c>
      <c r="J916" s="18" t="str">
        <f t="shared" ca="1" si="301"/>
        <v>—</v>
      </c>
      <c r="K916" s="17">
        <f t="shared" ca="1" si="302"/>
        <v>7</v>
      </c>
      <c r="L916" s="10">
        <f t="shared" ca="1" si="303"/>
        <v>79</v>
      </c>
      <c r="M916" s="17">
        <f t="shared" ca="1" si="304"/>
        <v>0</v>
      </c>
      <c r="N916" s="18">
        <f t="shared" ca="1" si="305"/>
        <v>20.9</v>
      </c>
      <c r="O916" s="17">
        <f t="shared" ca="1" si="306"/>
        <v>0</v>
      </c>
      <c r="P916" s="18">
        <f t="shared" ca="1" si="307"/>
        <v>24</v>
      </c>
      <c r="Q916" s="17">
        <f t="shared" ca="1" si="308"/>
        <v>0</v>
      </c>
      <c r="R916" s="10">
        <f t="shared" ca="1" si="309"/>
        <v>45</v>
      </c>
      <c r="S916" s="17">
        <f t="shared" ca="1" si="310"/>
        <v>0</v>
      </c>
      <c r="T916" s="70">
        <f t="shared" ca="1" si="311"/>
        <v>0.6</v>
      </c>
      <c r="U916" s="17">
        <f t="shared" ca="1" si="312"/>
        <v>0</v>
      </c>
      <c r="V916" s="71">
        <f t="shared" ca="1" si="313"/>
        <v>4</v>
      </c>
      <c r="W916" s="17">
        <f t="shared" ca="1" si="314"/>
        <v>0</v>
      </c>
    </row>
    <row r="917" spans="1:23" x14ac:dyDescent="0.25">
      <c r="A917" s="4">
        <f t="shared" si="294"/>
        <v>32</v>
      </c>
      <c r="B917" t="str">
        <f ca="1">TEXT(DATE(YEAR(Invoer!$A$6),1,1)+INT((ROWS(B$2:B917)-1)/4),"jjjjmmdd")</f>
        <v>19400816</v>
      </c>
      <c r="C917" s="64" t="str">
        <f>IF(MOD(ROWS(C$2:C917)-1,4)=3,"24.00",INDEX(Data,3,2+MOD(ROWS(C$2:C917)-1,4)))</f>
        <v>24.00</v>
      </c>
      <c r="D917" s="18" t="str">
        <f t="shared" ca="1" si="295"/>
        <v>—</v>
      </c>
      <c r="E917" s="17">
        <f t="shared" ca="1" si="296"/>
        <v>7</v>
      </c>
      <c r="F917" s="18" t="str">
        <f t="shared" ca="1" si="297"/>
        <v>—</v>
      </c>
      <c r="G917" s="17">
        <f t="shared" ca="1" si="298"/>
        <v>7</v>
      </c>
      <c r="H917" s="18">
        <f t="shared" ca="1" si="299"/>
        <v>28.6</v>
      </c>
      <c r="I917" s="17">
        <f t="shared" ca="1" si="300"/>
        <v>0</v>
      </c>
      <c r="J917" s="18">
        <f t="shared" ca="1" si="301"/>
        <v>30</v>
      </c>
      <c r="K917" s="17">
        <f t="shared" ca="1" si="302"/>
        <v>0</v>
      </c>
      <c r="L917" s="10" t="str">
        <f t="shared" ca="1" si="303"/>
        <v>—</v>
      </c>
      <c r="M917" s="17">
        <f t="shared" ca="1" si="304"/>
        <v>7</v>
      </c>
      <c r="N917" s="18" t="str">
        <f t="shared" ca="1" si="305"/>
        <v>—</v>
      </c>
      <c r="O917" s="17">
        <f t="shared" ca="1" si="306"/>
        <v>7</v>
      </c>
      <c r="P917" s="18" t="str">
        <f t="shared" ca="1" si="307"/>
        <v>—</v>
      </c>
      <c r="Q917" s="17">
        <f t="shared" ca="1" si="308"/>
        <v>7</v>
      </c>
      <c r="R917" s="10" t="str">
        <f t="shared" ca="1" si="309"/>
        <v>—</v>
      </c>
      <c r="S917" s="17">
        <f t="shared" ca="1" si="310"/>
        <v>7</v>
      </c>
      <c r="T917" s="70" t="str">
        <f t="shared" ca="1" si="311"/>
        <v>—</v>
      </c>
      <c r="U917" s="17">
        <f t="shared" ca="1" si="312"/>
        <v>7</v>
      </c>
      <c r="V917" s="71" t="str">
        <f t="shared" ca="1" si="313"/>
        <v>—</v>
      </c>
      <c r="W917" s="17">
        <f t="shared" ca="1" si="314"/>
        <v>7</v>
      </c>
    </row>
    <row r="918" spans="1:23" x14ac:dyDescent="0.25">
      <c r="A918" s="4">
        <f t="shared" si="294"/>
        <v>32</v>
      </c>
      <c r="B918" t="str">
        <f ca="1">TEXT(DATE(YEAR(Invoer!$A$6),1,1)+INT((ROWS(B$2:B918)-1)/4),"jjjjmmdd")</f>
        <v>19400817</v>
      </c>
      <c r="C918" s="64" t="str">
        <f>IF(MOD(ROWS(C$2:C918)-1,4)=3,"24.00",INDEX(Data,3,2+MOD(ROWS(C$2:C918)-1,4)))</f>
        <v>07.00</v>
      </c>
      <c r="D918" s="18">
        <f t="shared" ca="1" si="295"/>
        <v>758.5</v>
      </c>
      <c r="E918" s="17">
        <f t="shared" ca="1" si="296"/>
        <v>0</v>
      </c>
      <c r="F918" s="18">
        <f t="shared" ca="1" si="297"/>
        <v>27</v>
      </c>
      <c r="G918" s="17">
        <f t="shared" ca="1" si="298"/>
        <v>0</v>
      </c>
      <c r="H918" s="18" t="str">
        <f t="shared" ca="1" si="299"/>
        <v>—</v>
      </c>
      <c r="I918" s="17">
        <f t="shared" ca="1" si="300"/>
        <v>7</v>
      </c>
      <c r="J918" s="18" t="str">
        <f t="shared" ca="1" si="301"/>
        <v>—</v>
      </c>
      <c r="K918" s="17">
        <f t="shared" ca="1" si="302"/>
        <v>7</v>
      </c>
      <c r="L918" s="10">
        <f t="shared" ca="1" si="303"/>
        <v>79</v>
      </c>
      <c r="M918" s="17">
        <f t="shared" ca="1" si="304"/>
        <v>0</v>
      </c>
      <c r="N918" s="18">
        <f t="shared" ca="1" si="305"/>
        <v>21.2</v>
      </c>
      <c r="O918" s="17">
        <f t="shared" ca="1" si="306"/>
        <v>0</v>
      </c>
      <c r="P918" s="18">
        <f t="shared" ca="1" si="307"/>
        <v>24.2</v>
      </c>
      <c r="Q918" s="17">
        <f t="shared" ca="1" si="308"/>
        <v>0</v>
      </c>
      <c r="R918" s="10">
        <f t="shared" ca="1" si="309"/>
        <v>45</v>
      </c>
      <c r="S918" s="17">
        <f t="shared" ca="1" si="310"/>
        <v>0</v>
      </c>
      <c r="T918" s="70">
        <f t="shared" ca="1" si="311"/>
        <v>0.6</v>
      </c>
      <c r="U918" s="17">
        <f t="shared" ca="1" si="312"/>
        <v>0</v>
      </c>
      <c r="V918" s="71">
        <f t="shared" ca="1" si="313"/>
        <v>3</v>
      </c>
      <c r="W918" s="17">
        <f t="shared" ca="1" si="314"/>
        <v>0</v>
      </c>
    </row>
    <row r="919" spans="1:23" x14ac:dyDescent="0.25">
      <c r="A919" s="4">
        <f t="shared" si="294"/>
        <v>32</v>
      </c>
      <c r="B919" t="str">
        <f ca="1">TEXT(DATE(YEAR(Invoer!$A$6),1,1)+INT((ROWS(B$2:B919)-1)/4),"jjjjmmdd")</f>
        <v>19400817</v>
      </c>
      <c r="C919" s="64" t="str">
        <f>IF(MOD(ROWS(C$2:C919)-1,4)=3,"24.00",INDEX(Data,3,2+MOD(ROWS(C$2:C919)-1,4)))</f>
        <v>12.00</v>
      </c>
      <c r="D919" s="18">
        <f t="shared" ca="1" si="295"/>
        <v>761.2</v>
      </c>
      <c r="E919" s="17">
        <f t="shared" ca="1" si="296"/>
        <v>0</v>
      </c>
      <c r="F919" s="18">
        <f t="shared" ca="1" si="297"/>
        <v>28.7</v>
      </c>
      <c r="G919" s="17">
        <f t="shared" ca="1" si="298"/>
        <v>0</v>
      </c>
      <c r="H919" s="18" t="str">
        <f t="shared" ca="1" si="299"/>
        <v>—</v>
      </c>
      <c r="I919" s="17">
        <f t="shared" ca="1" si="300"/>
        <v>7</v>
      </c>
      <c r="J919" s="18" t="str">
        <f t="shared" ca="1" si="301"/>
        <v>—</v>
      </c>
      <c r="K919" s="17">
        <f t="shared" ca="1" si="302"/>
        <v>7</v>
      </c>
      <c r="L919" s="10">
        <f t="shared" ca="1" si="303"/>
        <v>90</v>
      </c>
      <c r="M919" s="17">
        <f t="shared" ca="1" si="304"/>
        <v>0</v>
      </c>
      <c r="N919" s="18">
        <f t="shared" ca="1" si="305"/>
        <v>26.7</v>
      </c>
      <c r="O919" s="17">
        <f t="shared" ca="1" si="306"/>
        <v>0</v>
      </c>
      <c r="P919" s="18">
        <f t="shared" ca="1" si="307"/>
        <v>27.4</v>
      </c>
      <c r="Q919" s="17">
        <f t="shared" ca="1" si="308"/>
        <v>0</v>
      </c>
      <c r="R919" s="10">
        <f t="shared" ca="1" si="309"/>
        <v>65</v>
      </c>
      <c r="S919" s="17">
        <f t="shared" ca="1" si="310"/>
        <v>0</v>
      </c>
      <c r="T919" s="70">
        <f t="shared" ca="1" si="311"/>
        <v>0.7</v>
      </c>
      <c r="U919" s="17">
        <f t="shared" ca="1" si="312"/>
        <v>0</v>
      </c>
      <c r="V919" s="71">
        <f t="shared" ca="1" si="313"/>
        <v>4</v>
      </c>
      <c r="W919" s="17">
        <f t="shared" ca="1" si="314"/>
        <v>0</v>
      </c>
    </row>
    <row r="920" spans="1:23" x14ac:dyDescent="0.25">
      <c r="A920" s="4">
        <f t="shared" si="294"/>
        <v>32</v>
      </c>
      <c r="B920" t="str">
        <f ca="1">TEXT(DATE(YEAR(Invoer!$A$6),1,1)+INT((ROWS(B$2:B920)-1)/4),"jjjjmmdd")</f>
        <v>19400817</v>
      </c>
      <c r="C920" s="64" t="str">
        <f>IF(MOD(ROWS(C$2:C920)-1,4)=3,"24.00",INDEX(Data,3,2+MOD(ROWS(C$2:C920)-1,4)))</f>
        <v>17.00</v>
      </c>
      <c r="D920" s="18">
        <f t="shared" ca="1" si="295"/>
        <v>759.5</v>
      </c>
      <c r="E920" s="17">
        <f t="shared" ca="1" si="296"/>
        <v>0</v>
      </c>
      <c r="F920" s="18">
        <f t="shared" ca="1" si="297"/>
        <v>27.9</v>
      </c>
      <c r="G920" s="17">
        <f t="shared" ca="1" si="298"/>
        <v>0</v>
      </c>
      <c r="H920" s="18" t="str">
        <f t="shared" ca="1" si="299"/>
        <v>—</v>
      </c>
      <c r="I920" s="17">
        <f t="shared" ca="1" si="300"/>
        <v>7</v>
      </c>
      <c r="J920" s="18" t="str">
        <f t="shared" ca="1" si="301"/>
        <v>—</v>
      </c>
      <c r="K920" s="17">
        <f t="shared" ca="1" si="302"/>
        <v>7</v>
      </c>
      <c r="L920" s="10">
        <f t="shared" ca="1" si="303"/>
        <v>93</v>
      </c>
      <c r="M920" s="17">
        <f t="shared" ca="1" si="304"/>
        <v>0</v>
      </c>
      <c r="N920" s="18">
        <f t="shared" ca="1" si="305"/>
        <v>26.3</v>
      </c>
      <c r="O920" s="17">
        <f t="shared" ca="1" si="306"/>
        <v>0</v>
      </c>
      <c r="P920" s="18">
        <f t="shared" ca="1" si="307"/>
        <v>27</v>
      </c>
      <c r="Q920" s="17">
        <f t="shared" ca="1" si="308"/>
        <v>0</v>
      </c>
      <c r="R920" s="10">
        <f t="shared" ca="1" si="309"/>
        <v>65</v>
      </c>
      <c r="S920" s="17">
        <f t="shared" ca="1" si="310"/>
        <v>0</v>
      </c>
      <c r="T920" s="70">
        <f t="shared" ca="1" si="311"/>
        <v>0.7</v>
      </c>
      <c r="U920" s="17">
        <f t="shared" ca="1" si="312"/>
        <v>0</v>
      </c>
      <c r="V920" s="71">
        <f t="shared" ca="1" si="313"/>
        <v>3</v>
      </c>
      <c r="W920" s="17">
        <f t="shared" ca="1" si="314"/>
        <v>0</v>
      </c>
    </row>
    <row r="921" spans="1:23" x14ac:dyDescent="0.25">
      <c r="A921" s="4">
        <f t="shared" si="294"/>
        <v>32</v>
      </c>
      <c r="B921" t="str">
        <f ca="1">TEXT(DATE(YEAR(Invoer!$A$6),1,1)+INT((ROWS(B$2:B921)-1)/4),"jjjjmmdd")</f>
        <v>19400817</v>
      </c>
      <c r="C921" s="64" t="str">
        <f>IF(MOD(ROWS(C$2:C921)-1,4)=3,"24.00",INDEX(Data,3,2+MOD(ROWS(C$2:C921)-1,4)))</f>
        <v>24.00</v>
      </c>
      <c r="D921" s="18" t="str">
        <f t="shared" ca="1" si="295"/>
        <v>—</v>
      </c>
      <c r="E921" s="17">
        <f t="shared" ca="1" si="296"/>
        <v>7</v>
      </c>
      <c r="F921" s="18" t="str">
        <f t="shared" ca="1" si="297"/>
        <v>—</v>
      </c>
      <c r="G921" s="17">
        <f t="shared" ca="1" si="298"/>
        <v>7</v>
      </c>
      <c r="H921" s="18">
        <f t="shared" ca="1" si="299"/>
        <v>29.6</v>
      </c>
      <c r="I921" s="17">
        <f t="shared" ca="1" si="300"/>
        <v>0</v>
      </c>
      <c r="J921" s="18">
        <f t="shared" ca="1" si="301"/>
        <v>31</v>
      </c>
      <c r="K921" s="17">
        <f t="shared" ca="1" si="302"/>
        <v>0</v>
      </c>
      <c r="L921" s="10" t="str">
        <f t="shared" ca="1" si="303"/>
        <v>—</v>
      </c>
      <c r="M921" s="17">
        <f t="shared" ca="1" si="304"/>
        <v>7</v>
      </c>
      <c r="N921" s="18" t="str">
        <f t="shared" ca="1" si="305"/>
        <v>—</v>
      </c>
      <c r="O921" s="17">
        <f t="shared" ca="1" si="306"/>
        <v>7</v>
      </c>
      <c r="P921" s="18" t="str">
        <f t="shared" ca="1" si="307"/>
        <v>—</v>
      </c>
      <c r="Q921" s="17">
        <f t="shared" ca="1" si="308"/>
        <v>7</v>
      </c>
      <c r="R921" s="10" t="str">
        <f t="shared" ca="1" si="309"/>
        <v>—</v>
      </c>
      <c r="S921" s="17">
        <f t="shared" ca="1" si="310"/>
        <v>7</v>
      </c>
      <c r="T921" s="70" t="str">
        <f t="shared" ca="1" si="311"/>
        <v>—</v>
      </c>
      <c r="U921" s="17">
        <f t="shared" ca="1" si="312"/>
        <v>7</v>
      </c>
      <c r="V921" s="71" t="str">
        <f t="shared" ca="1" si="313"/>
        <v>—</v>
      </c>
      <c r="W921" s="17">
        <f t="shared" ca="1" si="314"/>
        <v>7</v>
      </c>
    </row>
    <row r="922" spans="1:23" x14ac:dyDescent="0.25">
      <c r="A922" s="4">
        <f t="shared" si="294"/>
        <v>32</v>
      </c>
      <c r="B922" t="str">
        <f ca="1">TEXT(DATE(YEAR(Invoer!$A$6),1,1)+INT((ROWS(B$2:B922)-1)/4),"jjjjmmdd")</f>
        <v>19400818</v>
      </c>
      <c r="C922" s="64" t="str">
        <f>IF(MOD(ROWS(C$2:C922)-1,4)=3,"24.00",INDEX(Data,3,2+MOD(ROWS(C$2:C922)-1,4)))</f>
        <v>07.00</v>
      </c>
      <c r="D922" s="18">
        <f t="shared" ca="1" si="295"/>
        <v>759.5</v>
      </c>
      <c r="E922" s="17">
        <f t="shared" ca="1" si="296"/>
        <v>0</v>
      </c>
      <c r="F922" s="18">
        <f t="shared" ca="1" si="297"/>
        <v>27.1</v>
      </c>
      <c r="G922" s="17">
        <f t="shared" ca="1" si="298"/>
        <v>0</v>
      </c>
      <c r="H922" s="18" t="str">
        <f t="shared" ca="1" si="299"/>
        <v>—</v>
      </c>
      <c r="I922" s="17">
        <f t="shared" ca="1" si="300"/>
        <v>7</v>
      </c>
      <c r="J922" s="18" t="str">
        <f t="shared" ca="1" si="301"/>
        <v>—</v>
      </c>
      <c r="K922" s="17">
        <f t="shared" ca="1" si="302"/>
        <v>7</v>
      </c>
      <c r="L922" s="10">
        <f t="shared" ca="1" si="303"/>
        <v>77</v>
      </c>
      <c r="M922" s="17">
        <f t="shared" ca="1" si="304"/>
        <v>0</v>
      </c>
      <c r="N922" s="18">
        <f t="shared" ca="1" si="305"/>
        <v>20.8</v>
      </c>
      <c r="O922" s="17">
        <f t="shared" ca="1" si="306"/>
        <v>0</v>
      </c>
      <c r="P922" s="18">
        <f t="shared" ca="1" si="307"/>
        <v>24</v>
      </c>
      <c r="Q922" s="17">
        <f t="shared" ca="1" si="308"/>
        <v>0</v>
      </c>
      <c r="R922" s="10">
        <f t="shared" ca="1" si="309"/>
        <v>45</v>
      </c>
      <c r="S922" s="17">
        <f t="shared" ca="1" si="310"/>
        <v>0</v>
      </c>
      <c r="T922" s="70">
        <f t="shared" ca="1" si="311"/>
        <v>0.6</v>
      </c>
      <c r="U922" s="17">
        <f t="shared" ca="1" si="312"/>
        <v>0</v>
      </c>
      <c r="V922" s="71">
        <f t="shared" ca="1" si="313"/>
        <v>4</v>
      </c>
      <c r="W922" s="17">
        <f t="shared" ca="1" si="314"/>
        <v>0</v>
      </c>
    </row>
    <row r="923" spans="1:23" x14ac:dyDescent="0.25">
      <c r="A923" s="4">
        <f t="shared" si="294"/>
        <v>32</v>
      </c>
      <c r="B923" t="str">
        <f ca="1">TEXT(DATE(YEAR(Invoer!$A$6),1,1)+INT((ROWS(B$2:B923)-1)/4),"jjjjmmdd")</f>
        <v>19400818</v>
      </c>
      <c r="C923" s="64" t="str">
        <f>IF(MOD(ROWS(C$2:C923)-1,4)=3,"24.00",INDEX(Data,3,2+MOD(ROWS(C$2:C923)-1,4)))</f>
        <v>12.00</v>
      </c>
      <c r="D923" s="18">
        <f t="shared" ca="1" si="295"/>
        <v>761</v>
      </c>
      <c r="E923" s="17">
        <f t="shared" ca="1" si="296"/>
        <v>0</v>
      </c>
      <c r="F923" s="18">
        <f t="shared" ca="1" si="297"/>
        <v>28.5</v>
      </c>
      <c r="G923" s="17">
        <f t="shared" ca="1" si="298"/>
        <v>0</v>
      </c>
      <c r="H923" s="18" t="str">
        <f t="shared" ca="1" si="299"/>
        <v>—</v>
      </c>
      <c r="I923" s="17">
        <f t="shared" ca="1" si="300"/>
        <v>7</v>
      </c>
      <c r="J923" s="18" t="str">
        <f t="shared" ca="1" si="301"/>
        <v>—</v>
      </c>
      <c r="K923" s="17">
        <f t="shared" ca="1" si="302"/>
        <v>7</v>
      </c>
      <c r="L923" s="10">
        <f t="shared" ca="1" si="303"/>
        <v>89</v>
      </c>
      <c r="M923" s="17">
        <f t="shared" ca="1" si="304"/>
        <v>0</v>
      </c>
      <c r="N923" s="18">
        <f t="shared" ca="1" si="305"/>
        <v>26</v>
      </c>
      <c r="O923" s="17">
        <f t="shared" ca="1" si="306"/>
        <v>0</v>
      </c>
      <c r="P923" s="18">
        <f t="shared" ca="1" si="307"/>
        <v>27</v>
      </c>
      <c r="Q923" s="17">
        <f t="shared" ca="1" si="308"/>
        <v>0</v>
      </c>
      <c r="R923" s="10">
        <f t="shared" ca="1" si="309"/>
        <v>65</v>
      </c>
      <c r="S923" s="17">
        <f t="shared" ca="1" si="310"/>
        <v>0</v>
      </c>
      <c r="T923" s="70">
        <f t="shared" ca="1" si="311"/>
        <v>0.7</v>
      </c>
      <c r="U923" s="17">
        <f t="shared" ca="1" si="312"/>
        <v>0</v>
      </c>
      <c r="V923" s="71">
        <f t="shared" ca="1" si="313"/>
        <v>5</v>
      </c>
      <c r="W923" s="17">
        <f t="shared" ca="1" si="314"/>
        <v>0</v>
      </c>
    </row>
    <row r="924" spans="1:23" x14ac:dyDescent="0.25">
      <c r="A924" s="4">
        <f t="shared" si="294"/>
        <v>32</v>
      </c>
      <c r="B924" t="str">
        <f ca="1">TEXT(DATE(YEAR(Invoer!$A$6),1,1)+INT((ROWS(B$2:B924)-1)/4),"jjjjmmdd")</f>
        <v>19400818</v>
      </c>
      <c r="C924" s="64" t="str">
        <f>IF(MOD(ROWS(C$2:C924)-1,4)=3,"24.00",INDEX(Data,3,2+MOD(ROWS(C$2:C924)-1,4)))</f>
        <v>17.00</v>
      </c>
      <c r="D924" s="18">
        <f t="shared" ca="1" si="295"/>
        <v>758.9</v>
      </c>
      <c r="E924" s="17">
        <f t="shared" ca="1" si="296"/>
        <v>0</v>
      </c>
      <c r="F924" s="18">
        <f t="shared" ca="1" si="297"/>
        <v>28.1</v>
      </c>
      <c r="G924" s="17">
        <f t="shared" ca="1" si="298"/>
        <v>0</v>
      </c>
      <c r="H924" s="18" t="str">
        <f t="shared" ca="1" si="299"/>
        <v>—</v>
      </c>
      <c r="I924" s="17">
        <f t="shared" ca="1" si="300"/>
        <v>7</v>
      </c>
      <c r="J924" s="18" t="str">
        <f t="shared" ca="1" si="301"/>
        <v>—</v>
      </c>
      <c r="K924" s="17">
        <f t="shared" ca="1" si="302"/>
        <v>7</v>
      </c>
      <c r="L924" s="10">
        <f t="shared" ca="1" si="303"/>
        <v>90</v>
      </c>
      <c r="M924" s="17">
        <f t="shared" ca="1" si="304"/>
        <v>0</v>
      </c>
      <c r="N924" s="18">
        <f t="shared" ca="1" si="305"/>
        <v>25.8</v>
      </c>
      <c r="O924" s="17">
        <f t="shared" ca="1" si="306"/>
        <v>0</v>
      </c>
      <c r="P924" s="18">
        <f t="shared" ca="1" si="307"/>
        <v>26.8</v>
      </c>
      <c r="Q924" s="17">
        <f t="shared" ca="1" si="308"/>
        <v>0</v>
      </c>
      <c r="R924" s="10">
        <f t="shared" ca="1" si="309"/>
        <v>65</v>
      </c>
      <c r="S924" s="17">
        <f t="shared" ca="1" si="310"/>
        <v>0</v>
      </c>
      <c r="T924" s="70">
        <f t="shared" ca="1" si="311"/>
        <v>0.7</v>
      </c>
      <c r="U924" s="17">
        <f t="shared" ca="1" si="312"/>
        <v>0</v>
      </c>
      <c r="V924" s="71">
        <f t="shared" ca="1" si="313"/>
        <v>5</v>
      </c>
      <c r="W924" s="17">
        <f t="shared" ca="1" si="314"/>
        <v>0</v>
      </c>
    </row>
    <row r="925" spans="1:23" x14ac:dyDescent="0.25">
      <c r="A925" s="4">
        <f t="shared" si="294"/>
        <v>32</v>
      </c>
      <c r="B925" t="str">
        <f ca="1">TEXT(DATE(YEAR(Invoer!$A$6),1,1)+INT((ROWS(B$2:B925)-1)/4),"jjjjmmdd")</f>
        <v>19400818</v>
      </c>
      <c r="C925" s="64" t="str">
        <f>IF(MOD(ROWS(C$2:C925)-1,4)=3,"24.00",INDEX(Data,3,2+MOD(ROWS(C$2:C925)-1,4)))</f>
        <v>24.00</v>
      </c>
      <c r="D925" s="18" t="str">
        <f t="shared" ca="1" si="295"/>
        <v>—</v>
      </c>
      <c r="E925" s="17">
        <f t="shared" ca="1" si="296"/>
        <v>7</v>
      </c>
      <c r="F925" s="18" t="str">
        <f t="shared" ca="1" si="297"/>
        <v>—</v>
      </c>
      <c r="G925" s="17">
        <f t="shared" ca="1" si="298"/>
        <v>7</v>
      </c>
      <c r="H925" s="18">
        <f t="shared" ca="1" si="299"/>
        <v>29.4</v>
      </c>
      <c r="I925" s="17">
        <f t="shared" ca="1" si="300"/>
        <v>0</v>
      </c>
      <c r="J925" s="18">
        <f t="shared" ca="1" si="301"/>
        <v>31</v>
      </c>
      <c r="K925" s="17">
        <f t="shared" ca="1" si="302"/>
        <v>0</v>
      </c>
      <c r="L925" s="10" t="str">
        <f t="shared" ca="1" si="303"/>
        <v>—</v>
      </c>
      <c r="M925" s="17">
        <f t="shared" ca="1" si="304"/>
        <v>7</v>
      </c>
      <c r="N925" s="18" t="str">
        <f t="shared" ca="1" si="305"/>
        <v>—</v>
      </c>
      <c r="O925" s="17">
        <f t="shared" ca="1" si="306"/>
        <v>7</v>
      </c>
      <c r="P925" s="18" t="str">
        <f t="shared" ca="1" si="307"/>
        <v>—</v>
      </c>
      <c r="Q925" s="17">
        <f t="shared" ca="1" si="308"/>
        <v>7</v>
      </c>
      <c r="R925" s="10" t="str">
        <f t="shared" ca="1" si="309"/>
        <v>—</v>
      </c>
      <c r="S925" s="17">
        <f t="shared" ca="1" si="310"/>
        <v>7</v>
      </c>
      <c r="T925" s="70" t="str">
        <f t="shared" ca="1" si="311"/>
        <v>—</v>
      </c>
      <c r="U925" s="17">
        <f t="shared" ca="1" si="312"/>
        <v>7</v>
      </c>
      <c r="V925" s="71" t="str">
        <f t="shared" ca="1" si="313"/>
        <v>—</v>
      </c>
      <c r="W925" s="17">
        <f t="shared" ca="1" si="314"/>
        <v>7</v>
      </c>
    </row>
    <row r="926" spans="1:23" x14ac:dyDescent="0.25">
      <c r="A926" s="4">
        <f t="shared" si="294"/>
        <v>32</v>
      </c>
      <c r="B926" t="str">
        <f ca="1">TEXT(DATE(YEAR(Invoer!$A$6),1,1)+INT((ROWS(B$2:B926)-1)/4),"jjjjmmdd")</f>
        <v>19400819</v>
      </c>
      <c r="C926" s="64" t="str">
        <f>IF(MOD(ROWS(C$2:C926)-1,4)=3,"24.00",INDEX(Data,3,2+MOD(ROWS(C$2:C926)-1,4)))</f>
        <v>07.00</v>
      </c>
      <c r="D926" s="18">
        <f t="shared" ca="1" si="295"/>
        <v>758.9</v>
      </c>
      <c r="E926" s="17">
        <f t="shared" ca="1" si="296"/>
        <v>0</v>
      </c>
      <c r="F926" s="18">
        <f t="shared" ca="1" si="297"/>
        <v>27.5</v>
      </c>
      <c r="G926" s="17">
        <f t="shared" ca="1" si="298"/>
        <v>0</v>
      </c>
      <c r="H926" s="18" t="str">
        <f t="shared" ca="1" si="299"/>
        <v>—</v>
      </c>
      <c r="I926" s="17">
        <f t="shared" ca="1" si="300"/>
        <v>7</v>
      </c>
      <c r="J926" s="18" t="str">
        <f t="shared" ca="1" si="301"/>
        <v>—</v>
      </c>
      <c r="K926" s="17">
        <f t="shared" ca="1" si="302"/>
        <v>7</v>
      </c>
      <c r="L926" s="10">
        <f t="shared" ca="1" si="303"/>
        <v>76</v>
      </c>
      <c r="M926" s="17">
        <f t="shared" ca="1" si="304"/>
        <v>0</v>
      </c>
      <c r="N926" s="18">
        <f t="shared" ca="1" si="305"/>
        <v>21</v>
      </c>
      <c r="O926" s="17">
        <f t="shared" ca="1" si="306"/>
        <v>0</v>
      </c>
      <c r="P926" s="18">
        <f t="shared" ca="1" si="307"/>
        <v>24.2</v>
      </c>
      <c r="Q926" s="17">
        <f t="shared" ca="1" si="308"/>
        <v>0</v>
      </c>
      <c r="R926" s="10">
        <f t="shared" ca="1" si="309"/>
        <v>45</v>
      </c>
      <c r="S926" s="17">
        <f t="shared" ca="1" si="310"/>
        <v>0</v>
      </c>
      <c r="T926" s="70">
        <f t="shared" ca="1" si="311"/>
        <v>0.6</v>
      </c>
      <c r="U926" s="17">
        <f t="shared" ca="1" si="312"/>
        <v>0</v>
      </c>
      <c r="V926" s="71">
        <f t="shared" ca="1" si="313"/>
        <v>4</v>
      </c>
      <c r="W926" s="17">
        <f t="shared" ca="1" si="314"/>
        <v>0</v>
      </c>
    </row>
    <row r="927" spans="1:23" x14ac:dyDescent="0.25">
      <c r="A927" s="4">
        <f t="shared" si="294"/>
        <v>32</v>
      </c>
      <c r="B927" t="str">
        <f ca="1">TEXT(DATE(YEAR(Invoer!$A$6),1,1)+INT((ROWS(B$2:B927)-1)/4),"jjjjmmdd")</f>
        <v>19400819</v>
      </c>
      <c r="C927" s="64" t="str">
        <f>IF(MOD(ROWS(C$2:C927)-1,4)=3,"24.00",INDEX(Data,3,2+MOD(ROWS(C$2:C927)-1,4)))</f>
        <v>12.00</v>
      </c>
      <c r="D927" s="18">
        <f t="shared" ca="1" si="295"/>
        <v>760.2</v>
      </c>
      <c r="E927" s="17">
        <f t="shared" ca="1" si="296"/>
        <v>0</v>
      </c>
      <c r="F927" s="18">
        <f t="shared" ca="1" si="297"/>
        <v>28.3</v>
      </c>
      <c r="G927" s="17">
        <f t="shared" ca="1" si="298"/>
        <v>0</v>
      </c>
      <c r="H927" s="18" t="str">
        <f t="shared" ca="1" si="299"/>
        <v>—</v>
      </c>
      <c r="I927" s="17">
        <f t="shared" ca="1" si="300"/>
        <v>7</v>
      </c>
      <c r="J927" s="18" t="str">
        <f t="shared" ca="1" si="301"/>
        <v>—</v>
      </c>
      <c r="K927" s="17">
        <f t="shared" ca="1" si="302"/>
        <v>7</v>
      </c>
      <c r="L927" s="10">
        <f t="shared" ca="1" si="303"/>
        <v>96</v>
      </c>
      <c r="M927" s="17">
        <f t="shared" ca="1" si="304"/>
        <v>0</v>
      </c>
      <c r="N927" s="18">
        <f t="shared" ca="1" si="305"/>
        <v>27.6</v>
      </c>
      <c r="O927" s="17">
        <f t="shared" ca="1" si="306"/>
        <v>0</v>
      </c>
      <c r="P927" s="18">
        <f t="shared" ca="1" si="307"/>
        <v>27.7</v>
      </c>
      <c r="Q927" s="17">
        <f t="shared" ca="1" si="308"/>
        <v>0</v>
      </c>
      <c r="R927" s="10">
        <f t="shared" ca="1" si="309"/>
        <v>65</v>
      </c>
      <c r="S927" s="17">
        <f t="shared" ca="1" si="310"/>
        <v>0</v>
      </c>
      <c r="T927" s="70">
        <f t="shared" ca="1" si="311"/>
        <v>0.7</v>
      </c>
      <c r="U927" s="17">
        <f t="shared" ca="1" si="312"/>
        <v>0</v>
      </c>
      <c r="V927" s="71">
        <f t="shared" ca="1" si="313"/>
        <v>5</v>
      </c>
      <c r="W927" s="17">
        <f t="shared" ca="1" si="314"/>
        <v>0</v>
      </c>
    </row>
    <row r="928" spans="1:23" x14ac:dyDescent="0.25">
      <c r="A928" s="4">
        <f t="shared" si="294"/>
        <v>32</v>
      </c>
      <c r="B928" t="str">
        <f ca="1">TEXT(DATE(YEAR(Invoer!$A$6),1,1)+INT((ROWS(B$2:B928)-1)/4),"jjjjmmdd")</f>
        <v>19400819</v>
      </c>
      <c r="C928" s="64" t="str">
        <f>IF(MOD(ROWS(C$2:C928)-1,4)=3,"24.00",INDEX(Data,3,2+MOD(ROWS(C$2:C928)-1,4)))</f>
        <v>17.00</v>
      </c>
      <c r="D928" s="18">
        <f t="shared" ca="1" si="295"/>
        <v>760</v>
      </c>
      <c r="E928" s="17">
        <f t="shared" ca="1" si="296"/>
        <v>0</v>
      </c>
      <c r="F928" s="18">
        <f t="shared" ca="1" si="297"/>
        <v>28.1</v>
      </c>
      <c r="G928" s="17">
        <f t="shared" ca="1" si="298"/>
        <v>0</v>
      </c>
      <c r="H928" s="18" t="str">
        <f t="shared" ca="1" si="299"/>
        <v>—</v>
      </c>
      <c r="I928" s="17">
        <f t="shared" ca="1" si="300"/>
        <v>7</v>
      </c>
      <c r="J928" s="18" t="str">
        <f t="shared" ca="1" si="301"/>
        <v>—</v>
      </c>
      <c r="K928" s="17">
        <f t="shared" ca="1" si="302"/>
        <v>7</v>
      </c>
      <c r="L928" s="10">
        <f t="shared" ca="1" si="303"/>
        <v>92</v>
      </c>
      <c r="M928" s="17">
        <f t="shared" ca="1" si="304"/>
        <v>0</v>
      </c>
      <c r="N928" s="18">
        <f t="shared" ca="1" si="305"/>
        <v>26.2</v>
      </c>
      <c r="O928" s="17">
        <f t="shared" ca="1" si="306"/>
        <v>0</v>
      </c>
      <c r="P928" s="18">
        <f t="shared" ca="1" si="307"/>
        <v>27</v>
      </c>
      <c r="Q928" s="17">
        <f t="shared" ca="1" si="308"/>
        <v>0</v>
      </c>
      <c r="R928" s="10">
        <f t="shared" ca="1" si="309"/>
        <v>65</v>
      </c>
      <c r="S928" s="17">
        <f t="shared" ca="1" si="310"/>
        <v>0</v>
      </c>
      <c r="T928" s="70">
        <f t="shared" ca="1" si="311"/>
        <v>0.7</v>
      </c>
      <c r="U928" s="17">
        <f t="shared" ca="1" si="312"/>
        <v>0</v>
      </c>
      <c r="V928" s="71">
        <f t="shared" ca="1" si="313"/>
        <v>4</v>
      </c>
      <c r="W928" s="17">
        <f t="shared" ca="1" si="314"/>
        <v>0</v>
      </c>
    </row>
    <row r="929" spans="1:23" x14ac:dyDescent="0.25">
      <c r="A929" s="4">
        <f t="shared" si="294"/>
        <v>32</v>
      </c>
      <c r="B929" t="str">
        <f ca="1">TEXT(DATE(YEAR(Invoer!$A$6),1,1)+INT((ROWS(B$2:B929)-1)/4),"jjjjmmdd")</f>
        <v>19400819</v>
      </c>
      <c r="C929" s="64" t="str">
        <f>IF(MOD(ROWS(C$2:C929)-1,4)=3,"24.00",INDEX(Data,3,2+MOD(ROWS(C$2:C929)-1,4)))</f>
        <v>24.00</v>
      </c>
      <c r="D929" s="18" t="str">
        <f t="shared" ca="1" si="295"/>
        <v>—</v>
      </c>
      <c r="E929" s="17">
        <f t="shared" ca="1" si="296"/>
        <v>7</v>
      </c>
      <c r="F929" s="18" t="str">
        <f t="shared" ca="1" si="297"/>
        <v>—</v>
      </c>
      <c r="G929" s="17">
        <f t="shared" ca="1" si="298"/>
        <v>7</v>
      </c>
      <c r="H929" s="18">
        <f t="shared" ca="1" si="299"/>
        <v>29.2</v>
      </c>
      <c r="I929" s="17">
        <f t="shared" ca="1" si="300"/>
        <v>0</v>
      </c>
      <c r="J929" s="18">
        <f t="shared" ca="1" si="301"/>
        <v>31.5</v>
      </c>
      <c r="K929" s="17">
        <f t="shared" ca="1" si="302"/>
        <v>0</v>
      </c>
      <c r="L929" s="10" t="str">
        <f t="shared" ca="1" si="303"/>
        <v>—</v>
      </c>
      <c r="M929" s="17">
        <f t="shared" ca="1" si="304"/>
        <v>7</v>
      </c>
      <c r="N929" s="18" t="str">
        <f t="shared" ca="1" si="305"/>
        <v>—</v>
      </c>
      <c r="O929" s="17">
        <f t="shared" ca="1" si="306"/>
        <v>7</v>
      </c>
      <c r="P929" s="18" t="str">
        <f t="shared" ca="1" si="307"/>
        <v>—</v>
      </c>
      <c r="Q929" s="17">
        <f t="shared" ca="1" si="308"/>
        <v>7</v>
      </c>
      <c r="R929" s="10" t="str">
        <f t="shared" ca="1" si="309"/>
        <v>—</v>
      </c>
      <c r="S929" s="17">
        <f t="shared" ca="1" si="310"/>
        <v>7</v>
      </c>
      <c r="T929" s="70" t="str">
        <f t="shared" ca="1" si="311"/>
        <v>—</v>
      </c>
      <c r="U929" s="17">
        <f t="shared" ca="1" si="312"/>
        <v>7</v>
      </c>
      <c r="V929" s="71" t="str">
        <f t="shared" ca="1" si="313"/>
        <v>—</v>
      </c>
      <c r="W929" s="17">
        <f t="shared" ca="1" si="314"/>
        <v>7</v>
      </c>
    </row>
    <row r="930" spans="1:23" x14ac:dyDescent="0.25">
      <c r="A930" s="4">
        <f t="shared" si="294"/>
        <v>32</v>
      </c>
      <c r="B930" t="str">
        <f ca="1">TEXT(DATE(YEAR(Invoer!$A$6),1,1)+INT((ROWS(B$2:B930)-1)/4),"jjjjmmdd")</f>
        <v>19400820</v>
      </c>
      <c r="C930" s="64" t="str">
        <f>IF(MOD(ROWS(C$2:C930)-1,4)=3,"24.00",INDEX(Data,3,2+MOD(ROWS(C$2:C930)-1,4)))</f>
        <v>07.00</v>
      </c>
      <c r="D930" s="18">
        <f t="shared" ca="1" si="295"/>
        <v>757.2</v>
      </c>
      <c r="E930" s="17">
        <f t="shared" ca="1" si="296"/>
        <v>0</v>
      </c>
      <c r="F930" s="18">
        <f t="shared" ca="1" si="297"/>
        <v>27.3</v>
      </c>
      <c r="G930" s="17">
        <f t="shared" ca="1" si="298"/>
        <v>0</v>
      </c>
      <c r="H930" s="18" t="str">
        <f t="shared" ca="1" si="299"/>
        <v>—</v>
      </c>
      <c r="I930" s="17">
        <f t="shared" ca="1" si="300"/>
        <v>7</v>
      </c>
      <c r="J930" s="18" t="str">
        <f t="shared" ca="1" si="301"/>
        <v>—</v>
      </c>
      <c r="K930" s="17">
        <f t="shared" ca="1" si="302"/>
        <v>7</v>
      </c>
      <c r="L930" s="10">
        <f t="shared" ca="1" si="303"/>
        <v>76</v>
      </c>
      <c r="M930" s="17">
        <f t="shared" ca="1" si="304"/>
        <v>0</v>
      </c>
      <c r="N930" s="18">
        <f t="shared" ca="1" si="305"/>
        <v>20.7</v>
      </c>
      <c r="O930" s="17">
        <f t="shared" ca="1" si="306"/>
        <v>0</v>
      </c>
      <c r="P930" s="18">
        <f t="shared" ca="1" si="307"/>
        <v>24</v>
      </c>
      <c r="Q930" s="17">
        <f t="shared" ca="1" si="308"/>
        <v>0</v>
      </c>
      <c r="R930" s="10">
        <f t="shared" ca="1" si="309"/>
        <v>45</v>
      </c>
      <c r="S930" s="17">
        <f t="shared" ca="1" si="310"/>
        <v>0</v>
      </c>
      <c r="T930" s="70">
        <f t="shared" ca="1" si="311"/>
        <v>0.6</v>
      </c>
      <c r="U930" s="17">
        <f t="shared" ca="1" si="312"/>
        <v>0</v>
      </c>
      <c r="V930" s="71">
        <f t="shared" ca="1" si="313"/>
        <v>4</v>
      </c>
      <c r="W930" s="17">
        <f t="shared" ca="1" si="314"/>
        <v>0</v>
      </c>
    </row>
    <row r="931" spans="1:23" x14ac:dyDescent="0.25">
      <c r="A931" s="4">
        <f t="shared" si="294"/>
        <v>32</v>
      </c>
      <c r="B931" t="str">
        <f ca="1">TEXT(DATE(YEAR(Invoer!$A$6),1,1)+INT((ROWS(B$2:B931)-1)/4),"jjjjmmdd")</f>
        <v>19400820</v>
      </c>
      <c r="C931" s="64" t="str">
        <f>IF(MOD(ROWS(C$2:C931)-1,4)=3,"24.00",INDEX(Data,3,2+MOD(ROWS(C$2:C931)-1,4)))</f>
        <v>12.00</v>
      </c>
      <c r="D931" s="18">
        <f t="shared" ca="1" si="295"/>
        <v>760.5</v>
      </c>
      <c r="E931" s="17">
        <f t="shared" ca="1" si="296"/>
        <v>0</v>
      </c>
      <c r="F931" s="18">
        <f t="shared" ca="1" si="297"/>
        <v>28.1</v>
      </c>
      <c r="G931" s="17">
        <f t="shared" ca="1" si="298"/>
        <v>0</v>
      </c>
      <c r="H931" s="18" t="str">
        <f t="shared" ca="1" si="299"/>
        <v>—</v>
      </c>
      <c r="I931" s="17">
        <f t="shared" ca="1" si="300"/>
        <v>7</v>
      </c>
      <c r="J931" s="18" t="str">
        <f t="shared" ca="1" si="301"/>
        <v>—</v>
      </c>
      <c r="K931" s="17">
        <f t="shared" ca="1" si="302"/>
        <v>7</v>
      </c>
      <c r="L931" s="10">
        <f t="shared" ca="1" si="303"/>
        <v>94</v>
      </c>
      <c r="M931" s="17">
        <f t="shared" ca="1" si="304"/>
        <v>0</v>
      </c>
      <c r="N931" s="18">
        <f t="shared" ca="1" si="305"/>
        <v>26.8</v>
      </c>
      <c r="O931" s="17">
        <f t="shared" ca="1" si="306"/>
        <v>0</v>
      </c>
      <c r="P931" s="18">
        <f t="shared" ca="1" si="307"/>
        <v>27.3</v>
      </c>
      <c r="Q931" s="17">
        <f t="shared" ca="1" si="308"/>
        <v>0</v>
      </c>
      <c r="R931" s="10">
        <f t="shared" ca="1" si="309"/>
        <v>65</v>
      </c>
      <c r="S931" s="17">
        <f t="shared" ca="1" si="310"/>
        <v>0</v>
      </c>
      <c r="T931" s="70">
        <f t="shared" ca="1" si="311"/>
        <v>0.7</v>
      </c>
      <c r="U931" s="17">
        <f t="shared" ca="1" si="312"/>
        <v>0</v>
      </c>
      <c r="V931" s="71">
        <f t="shared" ca="1" si="313"/>
        <v>4</v>
      </c>
      <c r="W931" s="17">
        <f t="shared" ca="1" si="314"/>
        <v>0</v>
      </c>
    </row>
    <row r="932" spans="1:23" x14ac:dyDescent="0.25">
      <c r="A932" s="4">
        <f t="shared" si="294"/>
        <v>32</v>
      </c>
      <c r="B932" t="str">
        <f ca="1">TEXT(DATE(YEAR(Invoer!$A$6),1,1)+INT((ROWS(B$2:B932)-1)/4),"jjjjmmdd")</f>
        <v>19400820</v>
      </c>
      <c r="C932" s="64" t="str">
        <f>IF(MOD(ROWS(C$2:C932)-1,4)=3,"24.00",INDEX(Data,3,2+MOD(ROWS(C$2:C932)-1,4)))</f>
        <v>17.00</v>
      </c>
      <c r="D932" s="18">
        <f t="shared" ca="1" si="295"/>
        <v>759.7</v>
      </c>
      <c r="E932" s="17">
        <f t="shared" ca="1" si="296"/>
        <v>0</v>
      </c>
      <c r="F932" s="18">
        <f t="shared" ca="1" si="297"/>
        <v>27.9</v>
      </c>
      <c r="G932" s="17">
        <f t="shared" ca="1" si="298"/>
        <v>0</v>
      </c>
      <c r="H932" s="18" t="str">
        <f t="shared" ca="1" si="299"/>
        <v>—</v>
      </c>
      <c r="I932" s="17">
        <f t="shared" ca="1" si="300"/>
        <v>7</v>
      </c>
      <c r="J932" s="18" t="str">
        <f t="shared" ca="1" si="301"/>
        <v>—</v>
      </c>
      <c r="K932" s="17">
        <f t="shared" ca="1" si="302"/>
        <v>7</v>
      </c>
      <c r="L932" s="10">
        <f t="shared" ca="1" si="303"/>
        <v>92</v>
      </c>
      <c r="M932" s="17">
        <f t="shared" ca="1" si="304"/>
        <v>0</v>
      </c>
      <c r="N932" s="18">
        <f t="shared" ca="1" si="305"/>
        <v>25.9</v>
      </c>
      <c r="O932" s="17">
        <f t="shared" ca="1" si="306"/>
        <v>0</v>
      </c>
      <c r="P932" s="18">
        <f t="shared" ca="1" si="307"/>
        <v>26.8</v>
      </c>
      <c r="Q932" s="17">
        <f t="shared" ca="1" si="308"/>
        <v>0</v>
      </c>
      <c r="R932" s="10">
        <f t="shared" ca="1" si="309"/>
        <v>65</v>
      </c>
      <c r="S932" s="17">
        <f t="shared" ca="1" si="310"/>
        <v>0</v>
      </c>
      <c r="T932" s="70">
        <f t="shared" ca="1" si="311"/>
        <v>0.7</v>
      </c>
      <c r="U932" s="17">
        <f t="shared" ca="1" si="312"/>
        <v>0</v>
      </c>
      <c r="V932" s="71">
        <f t="shared" ca="1" si="313"/>
        <v>4</v>
      </c>
      <c r="W932" s="17">
        <f t="shared" ca="1" si="314"/>
        <v>0</v>
      </c>
    </row>
    <row r="933" spans="1:23" x14ac:dyDescent="0.25">
      <c r="A933" s="4">
        <f t="shared" si="294"/>
        <v>32</v>
      </c>
      <c r="B933" t="str">
        <f ca="1">TEXT(DATE(YEAR(Invoer!$A$6),1,1)+INT((ROWS(B$2:B933)-1)/4),"jjjjmmdd")</f>
        <v>19400820</v>
      </c>
      <c r="C933" s="64" t="str">
        <f>IF(MOD(ROWS(C$2:C933)-1,4)=3,"24.00",INDEX(Data,3,2+MOD(ROWS(C$2:C933)-1,4)))</f>
        <v>24.00</v>
      </c>
      <c r="D933" s="18" t="str">
        <f t="shared" ca="1" si="295"/>
        <v>—</v>
      </c>
      <c r="E933" s="17">
        <f t="shared" ca="1" si="296"/>
        <v>7</v>
      </c>
      <c r="F933" s="18" t="str">
        <f t="shared" ca="1" si="297"/>
        <v>—</v>
      </c>
      <c r="G933" s="17">
        <f t="shared" ca="1" si="298"/>
        <v>7</v>
      </c>
      <c r="H933" s="18">
        <f t="shared" ca="1" si="299"/>
        <v>30.2</v>
      </c>
      <c r="I933" s="17">
        <f t="shared" ca="1" si="300"/>
        <v>0</v>
      </c>
      <c r="J933" s="18">
        <f t="shared" ca="1" si="301"/>
        <v>31.6</v>
      </c>
      <c r="K933" s="17">
        <f t="shared" ca="1" si="302"/>
        <v>0</v>
      </c>
      <c r="L933" s="10" t="str">
        <f t="shared" ca="1" si="303"/>
        <v>—</v>
      </c>
      <c r="M933" s="17">
        <f t="shared" ca="1" si="304"/>
        <v>7</v>
      </c>
      <c r="N933" s="18" t="str">
        <f t="shared" ca="1" si="305"/>
        <v>—</v>
      </c>
      <c r="O933" s="17">
        <f t="shared" ca="1" si="306"/>
        <v>7</v>
      </c>
      <c r="P933" s="18" t="str">
        <f t="shared" ca="1" si="307"/>
        <v>—</v>
      </c>
      <c r="Q933" s="17">
        <f t="shared" ca="1" si="308"/>
        <v>7</v>
      </c>
      <c r="R933" s="10" t="str">
        <f t="shared" ca="1" si="309"/>
        <v>—</v>
      </c>
      <c r="S933" s="17">
        <f t="shared" ca="1" si="310"/>
        <v>7</v>
      </c>
      <c r="T933" s="70" t="str">
        <f t="shared" ca="1" si="311"/>
        <v>—</v>
      </c>
      <c r="U933" s="17">
        <f t="shared" ca="1" si="312"/>
        <v>7</v>
      </c>
      <c r="V933" s="71" t="str">
        <f t="shared" ca="1" si="313"/>
        <v>—</v>
      </c>
      <c r="W933" s="17">
        <f t="shared" ca="1" si="314"/>
        <v>7</v>
      </c>
    </row>
    <row r="934" spans="1:23" x14ac:dyDescent="0.25">
      <c r="A934" s="4">
        <f t="shared" si="294"/>
        <v>32</v>
      </c>
      <c r="B934" t="str">
        <f ca="1">TEXT(DATE(YEAR(Invoer!$A$6),1,1)+INT((ROWS(B$2:B934)-1)/4),"jjjjmmdd")</f>
        <v>19400821</v>
      </c>
      <c r="C934" s="64" t="str">
        <f>IF(MOD(ROWS(C$2:C934)-1,4)=3,"24.00",INDEX(Data,3,2+MOD(ROWS(C$2:C934)-1,4)))</f>
        <v>07.00</v>
      </c>
      <c r="D934" s="18">
        <f t="shared" ca="1" si="295"/>
        <v>758.2</v>
      </c>
      <c r="E934" s="17">
        <f t="shared" ca="1" si="296"/>
        <v>0</v>
      </c>
      <c r="F934" s="18">
        <f t="shared" ca="1" si="297"/>
        <v>28.5</v>
      </c>
      <c r="G934" s="17">
        <f t="shared" ca="1" si="298"/>
        <v>0</v>
      </c>
      <c r="H934" s="18" t="str">
        <f t="shared" ca="1" si="299"/>
        <v>—</v>
      </c>
      <c r="I934" s="17">
        <f t="shared" ca="1" si="300"/>
        <v>7</v>
      </c>
      <c r="J934" s="18" t="str">
        <f t="shared" ca="1" si="301"/>
        <v>—</v>
      </c>
      <c r="K934" s="17">
        <f t="shared" ca="1" si="302"/>
        <v>7</v>
      </c>
      <c r="L934" s="10">
        <f t="shared" ca="1" si="303"/>
        <v>92</v>
      </c>
      <c r="M934" s="17">
        <f t="shared" ca="1" si="304"/>
        <v>0</v>
      </c>
      <c r="N934" s="18">
        <f t="shared" ca="1" si="305"/>
        <v>26.8</v>
      </c>
      <c r="O934" s="17">
        <f t="shared" ca="1" si="306"/>
        <v>0</v>
      </c>
      <c r="P934" s="18">
        <f t="shared" ca="1" si="307"/>
        <v>27.4</v>
      </c>
      <c r="Q934" s="17">
        <f t="shared" ca="1" si="308"/>
        <v>0</v>
      </c>
      <c r="R934" s="10">
        <f t="shared" ca="1" si="309"/>
        <v>45</v>
      </c>
      <c r="S934" s="17">
        <f t="shared" ca="1" si="310"/>
        <v>0</v>
      </c>
      <c r="T934" s="70">
        <f t="shared" ca="1" si="311"/>
        <v>0.6</v>
      </c>
      <c r="U934" s="17">
        <f t="shared" ca="1" si="312"/>
        <v>0</v>
      </c>
      <c r="V934" s="71">
        <f t="shared" ca="1" si="313"/>
        <v>3</v>
      </c>
      <c r="W934" s="17">
        <f t="shared" ca="1" si="314"/>
        <v>0</v>
      </c>
    </row>
    <row r="935" spans="1:23" x14ac:dyDescent="0.25">
      <c r="A935" s="4">
        <f t="shared" si="294"/>
        <v>32</v>
      </c>
      <c r="B935" t="str">
        <f ca="1">TEXT(DATE(YEAR(Invoer!$A$6),1,1)+INT((ROWS(B$2:B935)-1)/4),"jjjjmmdd")</f>
        <v>19400821</v>
      </c>
      <c r="C935" s="64" t="str">
        <f>IF(MOD(ROWS(C$2:C935)-1,4)=3,"24.00",INDEX(Data,3,2+MOD(ROWS(C$2:C935)-1,4)))</f>
        <v>12.00</v>
      </c>
      <c r="D935" s="18">
        <f t="shared" ca="1" si="295"/>
        <v>760.2</v>
      </c>
      <c r="E935" s="17">
        <f t="shared" ca="1" si="296"/>
        <v>0</v>
      </c>
      <c r="F935" s="18">
        <f t="shared" ca="1" si="297"/>
        <v>28.9</v>
      </c>
      <c r="G935" s="17">
        <f t="shared" ca="1" si="298"/>
        <v>0</v>
      </c>
      <c r="H935" s="18" t="str">
        <f t="shared" ca="1" si="299"/>
        <v>—</v>
      </c>
      <c r="I935" s="17">
        <f t="shared" ca="1" si="300"/>
        <v>7</v>
      </c>
      <c r="J935" s="18" t="str">
        <f t="shared" ca="1" si="301"/>
        <v>—</v>
      </c>
      <c r="K935" s="17">
        <f t="shared" ca="1" si="302"/>
        <v>7</v>
      </c>
      <c r="L935" s="10">
        <f t="shared" ca="1" si="303"/>
        <v>91</v>
      </c>
      <c r="M935" s="17">
        <f t="shared" ca="1" si="304"/>
        <v>0</v>
      </c>
      <c r="N935" s="18">
        <f t="shared" ca="1" si="305"/>
        <v>27</v>
      </c>
      <c r="O935" s="17">
        <f t="shared" ca="1" si="306"/>
        <v>0</v>
      </c>
      <c r="P935" s="18">
        <f t="shared" ca="1" si="307"/>
        <v>27.6</v>
      </c>
      <c r="Q935" s="17">
        <f t="shared" ca="1" si="308"/>
        <v>0</v>
      </c>
      <c r="R935" s="10">
        <f t="shared" ca="1" si="309"/>
        <v>45</v>
      </c>
      <c r="S935" s="17">
        <f t="shared" ca="1" si="310"/>
        <v>0</v>
      </c>
      <c r="T935" s="70">
        <f t="shared" ca="1" si="311"/>
        <v>0.7</v>
      </c>
      <c r="U935" s="17">
        <f t="shared" ca="1" si="312"/>
        <v>0</v>
      </c>
      <c r="V935" s="71">
        <f t="shared" ca="1" si="313"/>
        <v>3</v>
      </c>
      <c r="W935" s="17">
        <f t="shared" ca="1" si="314"/>
        <v>0</v>
      </c>
    </row>
    <row r="936" spans="1:23" x14ac:dyDescent="0.25">
      <c r="A936" s="4">
        <f t="shared" si="294"/>
        <v>32</v>
      </c>
      <c r="B936" t="str">
        <f ca="1">TEXT(DATE(YEAR(Invoer!$A$6),1,1)+INT((ROWS(B$2:B936)-1)/4),"jjjjmmdd")</f>
        <v>19400821</v>
      </c>
      <c r="C936" s="64" t="str">
        <f>IF(MOD(ROWS(C$2:C936)-1,4)=3,"24.00",INDEX(Data,3,2+MOD(ROWS(C$2:C936)-1,4)))</f>
        <v>17.00</v>
      </c>
      <c r="D936" s="18">
        <f t="shared" ca="1" si="295"/>
        <v>757.2</v>
      </c>
      <c r="E936" s="17">
        <f t="shared" ca="1" si="296"/>
        <v>0</v>
      </c>
      <c r="F936" s="18">
        <f t="shared" ca="1" si="297"/>
        <v>28.5</v>
      </c>
      <c r="G936" s="17">
        <f t="shared" ca="1" si="298"/>
        <v>0</v>
      </c>
      <c r="H936" s="18" t="str">
        <f t="shared" ca="1" si="299"/>
        <v>—</v>
      </c>
      <c r="I936" s="17">
        <f t="shared" ca="1" si="300"/>
        <v>7</v>
      </c>
      <c r="J936" s="18" t="str">
        <f t="shared" ca="1" si="301"/>
        <v>—</v>
      </c>
      <c r="K936" s="17">
        <f t="shared" ca="1" si="302"/>
        <v>7</v>
      </c>
      <c r="L936" s="10">
        <f t="shared" ca="1" si="303"/>
        <v>89</v>
      </c>
      <c r="M936" s="17">
        <f t="shared" ca="1" si="304"/>
        <v>0</v>
      </c>
      <c r="N936" s="18">
        <f t="shared" ca="1" si="305"/>
        <v>26</v>
      </c>
      <c r="O936" s="17">
        <f t="shared" ca="1" si="306"/>
        <v>0</v>
      </c>
      <c r="P936" s="18">
        <f t="shared" ca="1" si="307"/>
        <v>27</v>
      </c>
      <c r="Q936" s="17">
        <f t="shared" ca="1" si="308"/>
        <v>0</v>
      </c>
      <c r="R936" s="10">
        <f t="shared" ca="1" si="309"/>
        <v>45</v>
      </c>
      <c r="S936" s="17">
        <f t="shared" ca="1" si="310"/>
        <v>0</v>
      </c>
      <c r="T936" s="70">
        <f t="shared" ca="1" si="311"/>
        <v>0.7</v>
      </c>
      <c r="U936" s="17">
        <f t="shared" ca="1" si="312"/>
        <v>0</v>
      </c>
      <c r="V936" s="71">
        <f t="shared" ca="1" si="313"/>
        <v>3</v>
      </c>
      <c r="W936" s="17">
        <f t="shared" ca="1" si="314"/>
        <v>0</v>
      </c>
    </row>
    <row r="937" spans="1:23" x14ac:dyDescent="0.25">
      <c r="A937" s="4">
        <f t="shared" si="294"/>
        <v>32</v>
      </c>
      <c r="B937" t="str">
        <f ca="1">TEXT(DATE(YEAR(Invoer!$A$6),1,1)+INT((ROWS(B$2:B937)-1)/4),"jjjjmmdd")</f>
        <v>19400821</v>
      </c>
      <c r="C937" s="64" t="str">
        <f>IF(MOD(ROWS(C$2:C937)-1,4)=3,"24.00",INDEX(Data,3,2+MOD(ROWS(C$2:C937)-1,4)))</f>
        <v>24.00</v>
      </c>
      <c r="D937" s="18" t="str">
        <f t="shared" ca="1" si="295"/>
        <v>—</v>
      </c>
      <c r="E937" s="17">
        <f t="shared" ca="1" si="296"/>
        <v>7</v>
      </c>
      <c r="F937" s="18" t="str">
        <f t="shared" ca="1" si="297"/>
        <v>—</v>
      </c>
      <c r="G937" s="17">
        <f t="shared" ca="1" si="298"/>
        <v>7</v>
      </c>
      <c r="H937" s="18">
        <f t="shared" ca="1" si="299"/>
        <v>30.4</v>
      </c>
      <c r="I937" s="17">
        <f t="shared" ca="1" si="300"/>
        <v>0</v>
      </c>
      <c r="J937" s="18">
        <f t="shared" ca="1" si="301"/>
        <v>31.8</v>
      </c>
      <c r="K937" s="17">
        <f t="shared" ca="1" si="302"/>
        <v>0</v>
      </c>
      <c r="L937" s="10" t="str">
        <f t="shared" ca="1" si="303"/>
        <v>—</v>
      </c>
      <c r="M937" s="17">
        <f t="shared" ca="1" si="304"/>
        <v>7</v>
      </c>
      <c r="N937" s="18" t="str">
        <f t="shared" ca="1" si="305"/>
        <v>—</v>
      </c>
      <c r="O937" s="17">
        <f t="shared" ca="1" si="306"/>
        <v>7</v>
      </c>
      <c r="P937" s="18" t="str">
        <f t="shared" ca="1" si="307"/>
        <v>—</v>
      </c>
      <c r="Q937" s="17">
        <f t="shared" ca="1" si="308"/>
        <v>7</v>
      </c>
      <c r="R937" s="10" t="str">
        <f t="shared" ca="1" si="309"/>
        <v>—</v>
      </c>
      <c r="S937" s="17">
        <f t="shared" ca="1" si="310"/>
        <v>7</v>
      </c>
      <c r="T937" s="70" t="str">
        <f t="shared" ca="1" si="311"/>
        <v>—</v>
      </c>
      <c r="U937" s="17">
        <f t="shared" ca="1" si="312"/>
        <v>7</v>
      </c>
      <c r="V937" s="71" t="str">
        <f t="shared" ca="1" si="313"/>
        <v>—</v>
      </c>
      <c r="W937" s="17">
        <f t="shared" ca="1" si="314"/>
        <v>7</v>
      </c>
    </row>
    <row r="938" spans="1:23" x14ac:dyDescent="0.25">
      <c r="A938" s="4">
        <f t="shared" si="294"/>
        <v>32</v>
      </c>
      <c r="B938" t="str">
        <f ca="1">TEXT(DATE(YEAR(Invoer!$A$6),1,1)+INT((ROWS(B$2:B938)-1)/4),"jjjjmmdd")</f>
        <v>19400822</v>
      </c>
      <c r="C938" s="64" t="str">
        <f>IF(MOD(ROWS(C$2:C938)-1,4)=3,"24.00",INDEX(Data,3,2+MOD(ROWS(C$2:C938)-1,4)))</f>
        <v>07.00</v>
      </c>
      <c r="D938" s="18">
        <f t="shared" ca="1" si="295"/>
        <v>758.2</v>
      </c>
      <c r="E938" s="17">
        <f t="shared" ca="1" si="296"/>
        <v>0</v>
      </c>
      <c r="F938" s="18">
        <f t="shared" ca="1" si="297"/>
        <v>28.5</v>
      </c>
      <c r="G938" s="17">
        <f t="shared" ca="1" si="298"/>
        <v>0</v>
      </c>
      <c r="H938" s="18" t="str">
        <f t="shared" ca="1" si="299"/>
        <v>—</v>
      </c>
      <c r="I938" s="17">
        <f t="shared" ca="1" si="300"/>
        <v>7</v>
      </c>
      <c r="J938" s="18" t="str">
        <f t="shared" ca="1" si="301"/>
        <v>—</v>
      </c>
      <c r="K938" s="17">
        <f t="shared" ca="1" si="302"/>
        <v>7</v>
      </c>
      <c r="L938" s="10">
        <f t="shared" ca="1" si="303"/>
        <v>90</v>
      </c>
      <c r="M938" s="17">
        <f t="shared" ca="1" si="304"/>
        <v>0</v>
      </c>
      <c r="N938" s="18">
        <f t="shared" ca="1" si="305"/>
        <v>26.4</v>
      </c>
      <c r="O938" s="17">
        <f t="shared" ca="1" si="306"/>
        <v>0</v>
      </c>
      <c r="P938" s="18">
        <f t="shared" ca="1" si="307"/>
        <v>27.2</v>
      </c>
      <c r="Q938" s="17">
        <f t="shared" ca="1" si="308"/>
        <v>0</v>
      </c>
      <c r="R938" s="10">
        <f t="shared" ca="1" si="309"/>
        <v>45</v>
      </c>
      <c r="S938" s="17">
        <f t="shared" ca="1" si="310"/>
        <v>0</v>
      </c>
      <c r="T938" s="70">
        <f t="shared" ca="1" si="311"/>
        <v>0.6</v>
      </c>
      <c r="U938" s="17">
        <f t="shared" ca="1" si="312"/>
        <v>0</v>
      </c>
      <c r="V938" s="71">
        <f t="shared" ca="1" si="313"/>
        <v>3</v>
      </c>
      <c r="W938" s="17">
        <f t="shared" ca="1" si="314"/>
        <v>0</v>
      </c>
    </row>
    <row r="939" spans="1:23" x14ac:dyDescent="0.25">
      <c r="A939" s="4">
        <f t="shared" si="294"/>
        <v>32</v>
      </c>
      <c r="B939" t="str">
        <f ca="1">TEXT(DATE(YEAR(Invoer!$A$6),1,1)+INT((ROWS(B$2:B939)-1)/4),"jjjjmmdd")</f>
        <v>19400822</v>
      </c>
      <c r="C939" s="64" t="str">
        <f>IF(MOD(ROWS(C$2:C939)-1,4)=3,"24.00",INDEX(Data,3,2+MOD(ROWS(C$2:C939)-1,4)))</f>
        <v>12.00</v>
      </c>
      <c r="D939" s="18">
        <f t="shared" ca="1" si="295"/>
        <v>758.2</v>
      </c>
      <c r="E939" s="17">
        <f t="shared" ca="1" si="296"/>
        <v>0</v>
      </c>
      <c r="F939" s="18">
        <f t="shared" ca="1" si="297"/>
        <v>29.1</v>
      </c>
      <c r="G939" s="17">
        <f t="shared" ca="1" si="298"/>
        <v>0</v>
      </c>
      <c r="H939" s="18" t="str">
        <f t="shared" ca="1" si="299"/>
        <v>—</v>
      </c>
      <c r="I939" s="17">
        <f t="shared" ca="1" si="300"/>
        <v>7</v>
      </c>
      <c r="J939" s="18" t="str">
        <f t="shared" ca="1" si="301"/>
        <v>—</v>
      </c>
      <c r="K939" s="17">
        <f t="shared" ca="1" si="302"/>
        <v>7</v>
      </c>
      <c r="L939" s="10">
        <f t="shared" ca="1" si="303"/>
        <v>89</v>
      </c>
      <c r="M939" s="17">
        <f t="shared" ca="1" si="304"/>
        <v>0</v>
      </c>
      <c r="N939" s="18">
        <f t="shared" ca="1" si="305"/>
        <v>26.9</v>
      </c>
      <c r="O939" s="17">
        <f t="shared" ca="1" si="306"/>
        <v>0</v>
      </c>
      <c r="P939" s="18">
        <f t="shared" ca="1" si="307"/>
        <v>27.6</v>
      </c>
      <c r="Q939" s="17">
        <f t="shared" ca="1" si="308"/>
        <v>0</v>
      </c>
      <c r="R939" s="10">
        <f t="shared" ca="1" si="309"/>
        <v>45</v>
      </c>
      <c r="S939" s="17">
        <f t="shared" ca="1" si="310"/>
        <v>0</v>
      </c>
      <c r="T939" s="70">
        <f t="shared" ca="1" si="311"/>
        <v>0.6</v>
      </c>
      <c r="U939" s="17">
        <f t="shared" ca="1" si="312"/>
        <v>0</v>
      </c>
      <c r="V939" s="71">
        <f t="shared" ca="1" si="313"/>
        <v>2</v>
      </c>
      <c r="W939" s="17">
        <f t="shared" ca="1" si="314"/>
        <v>0</v>
      </c>
    </row>
    <row r="940" spans="1:23" x14ac:dyDescent="0.25">
      <c r="A940" s="4">
        <f t="shared" si="294"/>
        <v>32</v>
      </c>
      <c r="B940" t="str">
        <f ca="1">TEXT(DATE(YEAR(Invoer!$A$6),1,1)+INT((ROWS(B$2:B940)-1)/4),"jjjjmmdd")</f>
        <v>19400822</v>
      </c>
      <c r="C940" s="64" t="str">
        <f>IF(MOD(ROWS(C$2:C940)-1,4)=3,"24.00",INDEX(Data,3,2+MOD(ROWS(C$2:C940)-1,4)))</f>
        <v>17.00</v>
      </c>
      <c r="D940" s="18">
        <f t="shared" ca="1" si="295"/>
        <v>758.5</v>
      </c>
      <c r="E940" s="17">
        <f t="shared" ca="1" si="296"/>
        <v>0</v>
      </c>
      <c r="F940" s="18">
        <f t="shared" ca="1" si="297"/>
        <v>28.9</v>
      </c>
      <c r="G940" s="17">
        <f t="shared" ca="1" si="298"/>
        <v>0</v>
      </c>
      <c r="H940" s="18" t="str">
        <f t="shared" ca="1" si="299"/>
        <v>—</v>
      </c>
      <c r="I940" s="17">
        <f t="shared" ca="1" si="300"/>
        <v>7</v>
      </c>
      <c r="J940" s="18" t="str">
        <f t="shared" ca="1" si="301"/>
        <v>—</v>
      </c>
      <c r="K940" s="17">
        <f t="shared" ca="1" si="302"/>
        <v>7</v>
      </c>
      <c r="L940" s="10">
        <f t="shared" ca="1" si="303"/>
        <v>85</v>
      </c>
      <c r="M940" s="17">
        <f t="shared" ca="1" si="304"/>
        <v>0</v>
      </c>
      <c r="N940" s="18">
        <f t="shared" ca="1" si="305"/>
        <v>25.4</v>
      </c>
      <c r="O940" s="17">
        <f t="shared" ca="1" si="306"/>
        <v>0</v>
      </c>
      <c r="P940" s="18">
        <f t="shared" ca="1" si="307"/>
        <v>26.8</v>
      </c>
      <c r="Q940" s="17">
        <f t="shared" ca="1" si="308"/>
        <v>0</v>
      </c>
      <c r="R940" s="10">
        <f t="shared" ca="1" si="309"/>
        <v>45</v>
      </c>
      <c r="S940" s="17">
        <f t="shared" ca="1" si="310"/>
        <v>0</v>
      </c>
      <c r="T940" s="70">
        <f t="shared" ca="1" si="311"/>
        <v>0.6</v>
      </c>
      <c r="U940" s="17">
        <f t="shared" ca="1" si="312"/>
        <v>0</v>
      </c>
      <c r="V940" s="71">
        <f t="shared" ca="1" si="313"/>
        <v>3</v>
      </c>
      <c r="W940" s="17">
        <f t="shared" ca="1" si="314"/>
        <v>0</v>
      </c>
    </row>
    <row r="941" spans="1:23" x14ac:dyDescent="0.25">
      <c r="A941" s="4">
        <f t="shared" si="294"/>
        <v>32</v>
      </c>
      <c r="B941" t="str">
        <f ca="1">TEXT(DATE(YEAR(Invoer!$A$6),1,1)+INT((ROWS(B$2:B941)-1)/4),"jjjjmmdd")</f>
        <v>19400822</v>
      </c>
      <c r="C941" s="64" t="str">
        <f>IF(MOD(ROWS(C$2:C941)-1,4)=3,"24.00",INDEX(Data,3,2+MOD(ROWS(C$2:C941)-1,4)))</f>
        <v>24.00</v>
      </c>
      <c r="D941" s="18" t="str">
        <f t="shared" ca="1" si="295"/>
        <v>—</v>
      </c>
      <c r="E941" s="17">
        <f t="shared" ca="1" si="296"/>
        <v>7</v>
      </c>
      <c r="F941" s="18" t="str">
        <f t="shared" ca="1" si="297"/>
        <v>—</v>
      </c>
      <c r="G941" s="17">
        <f t="shared" ca="1" si="298"/>
        <v>7</v>
      </c>
      <c r="H941" s="18">
        <f t="shared" ca="1" si="299"/>
        <v>30</v>
      </c>
      <c r="I941" s="17">
        <f t="shared" ca="1" si="300"/>
        <v>0</v>
      </c>
      <c r="J941" s="18">
        <f t="shared" ca="1" si="301"/>
        <v>31.4</v>
      </c>
      <c r="K941" s="17">
        <f t="shared" ca="1" si="302"/>
        <v>0</v>
      </c>
      <c r="L941" s="10" t="str">
        <f t="shared" ca="1" si="303"/>
        <v>—</v>
      </c>
      <c r="M941" s="17">
        <f t="shared" ca="1" si="304"/>
        <v>7</v>
      </c>
      <c r="N941" s="18" t="str">
        <f t="shared" ca="1" si="305"/>
        <v>—</v>
      </c>
      <c r="O941" s="17">
        <f t="shared" ca="1" si="306"/>
        <v>7</v>
      </c>
      <c r="P941" s="18" t="str">
        <f t="shared" ca="1" si="307"/>
        <v>—</v>
      </c>
      <c r="Q941" s="17">
        <f t="shared" ca="1" si="308"/>
        <v>7</v>
      </c>
      <c r="R941" s="10" t="str">
        <f t="shared" ca="1" si="309"/>
        <v>—</v>
      </c>
      <c r="S941" s="17">
        <f t="shared" ca="1" si="310"/>
        <v>7</v>
      </c>
      <c r="T941" s="70" t="str">
        <f t="shared" ca="1" si="311"/>
        <v>—</v>
      </c>
      <c r="U941" s="17">
        <f t="shared" ca="1" si="312"/>
        <v>7</v>
      </c>
      <c r="V941" s="71" t="str">
        <f t="shared" ca="1" si="313"/>
        <v>—</v>
      </c>
      <c r="W941" s="17">
        <f t="shared" ca="1" si="314"/>
        <v>7</v>
      </c>
    </row>
    <row r="942" spans="1:23" x14ac:dyDescent="0.25">
      <c r="A942" s="4">
        <f t="shared" si="294"/>
        <v>32</v>
      </c>
      <c r="B942" t="str">
        <f ca="1">TEXT(DATE(YEAR(Invoer!$A$6),1,1)+INT((ROWS(B$2:B942)-1)/4),"jjjjmmdd")</f>
        <v>19400823</v>
      </c>
      <c r="C942" s="64" t="str">
        <f>IF(MOD(ROWS(C$2:C942)-1,4)=3,"24.00",INDEX(Data,3,2+MOD(ROWS(C$2:C942)-1,4)))</f>
        <v>07.00</v>
      </c>
      <c r="D942" s="18">
        <f t="shared" ca="1" si="295"/>
        <v>759.2</v>
      </c>
      <c r="E942" s="17">
        <f t="shared" ca="1" si="296"/>
        <v>0</v>
      </c>
      <c r="F942" s="18">
        <f t="shared" ca="1" si="297"/>
        <v>27.1</v>
      </c>
      <c r="G942" s="17">
        <f t="shared" ca="1" si="298"/>
        <v>0</v>
      </c>
      <c r="H942" s="18" t="str">
        <f t="shared" ca="1" si="299"/>
        <v>—</v>
      </c>
      <c r="I942" s="17">
        <f t="shared" ca="1" si="300"/>
        <v>7</v>
      </c>
      <c r="J942" s="18" t="str">
        <f t="shared" ca="1" si="301"/>
        <v>—</v>
      </c>
      <c r="K942" s="17">
        <f t="shared" ca="1" si="302"/>
        <v>7</v>
      </c>
      <c r="L942" s="10">
        <f t="shared" ca="1" si="303"/>
        <v>95</v>
      </c>
      <c r="M942" s="17">
        <f t="shared" ca="1" si="304"/>
        <v>0</v>
      </c>
      <c r="N942" s="18">
        <f t="shared" ca="1" si="305"/>
        <v>25.5</v>
      </c>
      <c r="O942" s="17">
        <f t="shared" ca="1" si="306"/>
        <v>0</v>
      </c>
      <c r="P942" s="18">
        <f t="shared" ca="1" si="307"/>
        <v>26.4</v>
      </c>
      <c r="Q942" s="17">
        <f t="shared" ca="1" si="308"/>
        <v>0</v>
      </c>
      <c r="R942" s="10">
        <f t="shared" ca="1" si="309"/>
        <v>45</v>
      </c>
      <c r="S942" s="17">
        <f t="shared" ca="1" si="310"/>
        <v>0</v>
      </c>
      <c r="T942" s="70">
        <f t="shared" ca="1" si="311"/>
        <v>0.5</v>
      </c>
      <c r="U942" s="17">
        <f t="shared" ca="1" si="312"/>
        <v>0</v>
      </c>
      <c r="V942" s="71">
        <f t="shared" ca="1" si="313"/>
        <v>3</v>
      </c>
      <c r="W942" s="17">
        <f t="shared" ca="1" si="314"/>
        <v>0</v>
      </c>
    </row>
    <row r="943" spans="1:23" x14ac:dyDescent="0.25">
      <c r="A943" s="4">
        <f t="shared" si="294"/>
        <v>32</v>
      </c>
      <c r="B943" t="str">
        <f ca="1">TEXT(DATE(YEAR(Invoer!$A$6),1,1)+INT((ROWS(B$2:B943)-1)/4),"jjjjmmdd")</f>
        <v>19400823</v>
      </c>
      <c r="C943" s="64" t="str">
        <f>IF(MOD(ROWS(C$2:C943)-1,4)=3,"24.00",INDEX(Data,3,2+MOD(ROWS(C$2:C943)-1,4)))</f>
        <v>12.00</v>
      </c>
      <c r="D943" s="18">
        <f t="shared" ca="1" si="295"/>
        <v>761</v>
      </c>
      <c r="E943" s="17">
        <f t="shared" ca="1" si="296"/>
        <v>0</v>
      </c>
      <c r="F943" s="18">
        <f t="shared" ca="1" si="297"/>
        <v>28.1</v>
      </c>
      <c r="G943" s="17">
        <f t="shared" ca="1" si="298"/>
        <v>0</v>
      </c>
      <c r="H943" s="18" t="str">
        <f t="shared" ca="1" si="299"/>
        <v>—</v>
      </c>
      <c r="I943" s="17">
        <f t="shared" ca="1" si="300"/>
        <v>7</v>
      </c>
      <c r="J943" s="18" t="str">
        <f t="shared" ca="1" si="301"/>
        <v>—</v>
      </c>
      <c r="K943" s="17">
        <f t="shared" ca="1" si="302"/>
        <v>7</v>
      </c>
      <c r="L943" s="10">
        <f t="shared" ca="1" si="303"/>
        <v>90</v>
      </c>
      <c r="M943" s="17">
        <f t="shared" ca="1" si="304"/>
        <v>0</v>
      </c>
      <c r="N943" s="18">
        <f t="shared" ca="1" si="305"/>
        <v>25.8</v>
      </c>
      <c r="O943" s="17">
        <f t="shared" ca="1" si="306"/>
        <v>0</v>
      </c>
      <c r="P943" s="18">
        <f t="shared" ca="1" si="307"/>
        <v>26.8</v>
      </c>
      <c r="Q943" s="17">
        <f t="shared" ca="1" si="308"/>
        <v>0</v>
      </c>
      <c r="R943" s="10">
        <f t="shared" ca="1" si="309"/>
        <v>65</v>
      </c>
      <c r="S943" s="17">
        <f t="shared" ca="1" si="310"/>
        <v>0</v>
      </c>
      <c r="T943" s="70">
        <f t="shared" ca="1" si="311"/>
        <v>0.6</v>
      </c>
      <c r="U943" s="17">
        <f t="shared" ca="1" si="312"/>
        <v>0</v>
      </c>
      <c r="V943" s="71">
        <f t="shared" ca="1" si="313"/>
        <v>3</v>
      </c>
      <c r="W943" s="17">
        <f t="shared" ca="1" si="314"/>
        <v>0</v>
      </c>
    </row>
    <row r="944" spans="1:23" x14ac:dyDescent="0.25">
      <c r="A944" s="4">
        <f t="shared" si="294"/>
        <v>32</v>
      </c>
      <c r="B944" t="str">
        <f ca="1">TEXT(DATE(YEAR(Invoer!$A$6),1,1)+INT((ROWS(B$2:B944)-1)/4),"jjjjmmdd")</f>
        <v>19400823</v>
      </c>
      <c r="C944" s="64" t="str">
        <f>IF(MOD(ROWS(C$2:C944)-1,4)=3,"24.00",INDEX(Data,3,2+MOD(ROWS(C$2:C944)-1,4)))</f>
        <v>17.00</v>
      </c>
      <c r="D944" s="18">
        <f t="shared" ca="1" si="295"/>
        <v>759.7</v>
      </c>
      <c r="E944" s="17">
        <f t="shared" ca="1" si="296"/>
        <v>0</v>
      </c>
      <c r="F944" s="18">
        <f t="shared" ca="1" si="297"/>
        <v>26.9</v>
      </c>
      <c r="G944" s="17">
        <f t="shared" ca="1" si="298"/>
        <v>0</v>
      </c>
      <c r="H944" s="18" t="str">
        <f t="shared" ca="1" si="299"/>
        <v>—</v>
      </c>
      <c r="I944" s="17">
        <f t="shared" ca="1" si="300"/>
        <v>7</v>
      </c>
      <c r="J944" s="18" t="str">
        <f t="shared" ca="1" si="301"/>
        <v>—</v>
      </c>
      <c r="K944" s="17">
        <f t="shared" ca="1" si="302"/>
        <v>7</v>
      </c>
      <c r="L944" s="10">
        <f t="shared" ca="1" si="303"/>
        <v>95</v>
      </c>
      <c r="M944" s="17">
        <f t="shared" ca="1" si="304"/>
        <v>0</v>
      </c>
      <c r="N944" s="18">
        <f t="shared" ca="1" si="305"/>
        <v>25.2</v>
      </c>
      <c r="O944" s="17">
        <f t="shared" ca="1" si="306"/>
        <v>0</v>
      </c>
      <c r="P944" s="18">
        <f t="shared" ca="1" si="307"/>
        <v>26.2</v>
      </c>
      <c r="Q944" s="17">
        <f t="shared" ca="1" si="308"/>
        <v>0</v>
      </c>
      <c r="R944" s="10">
        <f t="shared" ca="1" si="309"/>
        <v>65</v>
      </c>
      <c r="S944" s="17">
        <f t="shared" ca="1" si="310"/>
        <v>0</v>
      </c>
      <c r="T944" s="70">
        <f t="shared" ca="1" si="311"/>
        <v>0.5</v>
      </c>
      <c r="U944" s="17">
        <f t="shared" ca="1" si="312"/>
        <v>0</v>
      </c>
      <c r="V944" s="71">
        <f t="shared" ca="1" si="313"/>
        <v>3</v>
      </c>
      <c r="W944" s="17">
        <f t="shared" ca="1" si="314"/>
        <v>0</v>
      </c>
    </row>
    <row r="945" spans="1:23" x14ac:dyDescent="0.25">
      <c r="A945" s="4">
        <f t="shared" si="294"/>
        <v>32</v>
      </c>
      <c r="B945" t="str">
        <f ca="1">TEXT(DATE(YEAR(Invoer!$A$6),1,1)+INT((ROWS(B$2:B945)-1)/4),"jjjjmmdd")</f>
        <v>19400823</v>
      </c>
      <c r="C945" s="64" t="str">
        <f>IF(MOD(ROWS(C$2:C945)-1,4)=3,"24.00",INDEX(Data,3,2+MOD(ROWS(C$2:C945)-1,4)))</f>
        <v>24.00</v>
      </c>
      <c r="D945" s="18" t="str">
        <f t="shared" ca="1" si="295"/>
        <v>—</v>
      </c>
      <c r="E945" s="17">
        <f t="shared" ca="1" si="296"/>
        <v>7</v>
      </c>
      <c r="F945" s="18" t="str">
        <f t="shared" ca="1" si="297"/>
        <v>—</v>
      </c>
      <c r="G945" s="17">
        <f t="shared" ca="1" si="298"/>
        <v>7</v>
      </c>
      <c r="H945" s="18">
        <f t="shared" ca="1" si="299"/>
        <v>28.9</v>
      </c>
      <c r="I945" s="17">
        <f t="shared" ca="1" si="300"/>
        <v>0</v>
      </c>
      <c r="J945" s="18">
        <f t="shared" ca="1" si="301"/>
        <v>30</v>
      </c>
      <c r="K945" s="17">
        <f t="shared" ca="1" si="302"/>
        <v>0</v>
      </c>
      <c r="L945" s="10" t="str">
        <f t="shared" ca="1" si="303"/>
        <v>—</v>
      </c>
      <c r="M945" s="17">
        <f t="shared" ca="1" si="304"/>
        <v>7</v>
      </c>
      <c r="N945" s="18" t="str">
        <f t="shared" ca="1" si="305"/>
        <v>—</v>
      </c>
      <c r="O945" s="17">
        <f t="shared" ca="1" si="306"/>
        <v>7</v>
      </c>
      <c r="P945" s="18" t="str">
        <f t="shared" ca="1" si="307"/>
        <v>—</v>
      </c>
      <c r="Q945" s="17">
        <f t="shared" ca="1" si="308"/>
        <v>7</v>
      </c>
      <c r="R945" s="10" t="str">
        <f t="shared" ca="1" si="309"/>
        <v>—</v>
      </c>
      <c r="S945" s="17">
        <f t="shared" ca="1" si="310"/>
        <v>7</v>
      </c>
      <c r="T945" s="70" t="str">
        <f t="shared" ca="1" si="311"/>
        <v>—</v>
      </c>
      <c r="U945" s="17">
        <f t="shared" ca="1" si="312"/>
        <v>7</v>
      </c>
      <c r="V945" s="71" t="str">
        <f t="shared" ca="1" si="313"/>
        <v>—</v>
      </c>
      <c r="W945" s="17">
        <f t="shared" ca="1" si="314"/>
        <v>7</v>
      </c>
    </row>
    <row r="946" spans="1:23" x14ac:dyDescent="0.25">
      <c r="A946" s="4">
        <f t="shared" si="294"/>
        <v>32</v>
      </c>
      <c r="B946" t="str">
        <f ca="1">TEXT(DATE(YEAR(Invoer!$A$6),1,1)+INT((ROWS(B$2:B946)-1)/4),"jjjjmmdd")</f>
        <v>19400824</v>
      </c>
      <c r="C946" s="64" t="str">
        <f>IF(MOD(ROWS(C$2:C946)-1,4)=3,"24.00",INDEX(Data,3,2+MOD(ROWS(C$2:C946)-1,4)))</f>
        <v>07.00</v>
      </c>
      <c r="D946" s="18">
        <f t="shared" ca="1" si="295"/>
        <v>760.7</v>
      </c>
      <c r="E946" s="17">
        <f t="shared" ca="1" si="296"/>
        <v>0</v>
      </c>
      <c r="F946" s="18">
        <f t="shared" ca="1" si="297"/>
        <v>27.1</v>
      </c>
      <c r="G946" s="17">
        <f t="shared" ca="1" si="298"/>
        <v>0</v>
      </c>
      <c r="H946" s="18" t="str">
        <f t="shared" ca="1" si="299"/>
        <v>—</v>
      </c>
      <c r="I946" s="17">
        <f t="shared" ca="1" si="300"/>
        <v>7</v>
      </c>
      <c r="J946" s="18" t="str">
        <f t="shared" ca="1" si="301"/>
        <v>—</v>
      </c>
      <c r="K946" s="17">
        <f t="shared" ca="1" si="302"/>
        <v>7</v>
      </c>
      <c r="L946" s="10">
        <f t="shared" ca="1" si="303"/>
        <v>93</v>
      </c>
      <c r="M946" s="17">
        <f t="shared" ca="1" si="304"/>
        <v>0</v>
      </c>
      <c r="N946" s="18">
        <f t="shared" ca="1" si="305"/>
        <v>25.1</v>
      </c>
      <c r="O946" s="17">
        <f t="shared" ca="1" si="306"/>
        <v>0</v>
      </c>
      <c r="P946" s="18">
        <f t="shared" ca="1" si="307"/>
        <v>26.2</v>
      </c>
      <c r="Q946" s="17">
        <f t="shared" ca="1" si="308"/>
        <v>0</v>
      </c>
      <c r="R946" s="10">
        <f t="shared" ca="1" si="309"/>
        <v>45</v>
      </c>
      <c r="S946" s="17">
        <f t="shared" ca="1" si="310"/>
        <v>0</v>
      </c>
      <c r="T946" s="70">
        <f t="shared" ca="1" si="311"/>
        <v>0.5</v>
      </c>
      <c r="U946" s="17">
        <f t="shared" ca="1" si="312"/>
        <v>0</v>
      </c>
      <c r="V946" s="71">
        <f t="shared" ca="1" si="313"/>
        <v>3</v>
      </c>
      <c r="W946" s="17">
        <f t="shared" ca="1" si="314"/>
        <v>0</v>
      </c>
    </row>
    <row r="947" spans="1:23" x14ac:dyDescent="0.25">
      <c r="A947" s="4">
        <f t="shared" si="294"/>
        <v>32</v>
      </c>
      <c r="B947" t="str">
        <f ca="1">TEXT(DATE(YEAR(Invoer!$A$6),1,1)+INT((ROWS(B$2:B947)-1)/4),"jjjjmmdd")</f>
        <v>19400824</v>
      </c>
      <c r="C947" s="64" t="str">
        <f>IF(MOD(ROWS(C$2:C947)-1,4)=3,"24.00",INDEX(Data,3,2+MOD(ROWS(C$2:C947)-1,4)))</f>
        <v>12.00</v>
      </c>
      <c r="D947" s="18">
        <f t="shared" ca="1" si="295"/>
        <v>760.5</v>
      </c>
      <c r="E947" s="17">
        <f t="shared" ca="1" si="296"/>
        <v>0</v>
      </c>
      <c r="F947" s="18">
        <f t="shared" ca="1" si="297"/>
        <v>27.9</v>
      </c>
      <c r="G947" s="17">
        <f t="shared" ca="1" si="298"/>
        <v>0</v>
      </c>
      <c r="H947" s="18" t="str">
        <f t="shared" ca="1" si="299"/>
        <v>—</v>
      </c>
      <c r="I947" s="17">
        <f t="shared" ca="1" si="300"/>
        <v>7</v>
      </c>
      <c r="J947" s="18" t="str">
        <f t="shared" ca="1" si="301"/>
        <v>—</v>
      </c>
      <c r="K947" s="17">
        <f t="shared" ca="1" si="302"/>
        <v>7</v>
      </c>
      <c r="L947" s="10">
        <f t="shared" ca="1" si="303"/>
        <v>92</v>
      </c>
      <c r="M947" s="17">
        <f t="shared" ca="1" si="304"/>
        <v>0</v>
      </c>
      <c r="N947" s="18">
        <f t="shared" ca="1" si="305"/>
        <v>25.9</v>
      </c>
      <c r="O947" s="17">
        <f t="shared" ca="1" si="306"/>
        <v>0</v>
      </c>
      <c r="P947" s="18">
        <f t="shared" ca="1" si="307"/>
        <v>26.8</v>
      </c>
      <c r="Q947" s="17">
        <f t="shared" ca="1" si="308"/>
        <v>0</v>
      </c>
      <c r="R947" s="10">
        <f t="shared" ca="1" si="309"/>
        <v>45</v>
      </c>
      <c r="S947" s="17">
        <f t="shared" ca="1" si="310"/>
        <v>0</v>
      </c>
      <c r="T947" s="70">
        <f t="shared" ca="1" si="311"/>
        <v>0.6</v>
      </c>
      <c r="U947" s="17">
        <f t="shared" ca="1" si="312"/>
        <v>0</v>
      </c>
      <c r="V947" s="71">
        <f t="shared" ca="1" si="313"/>
        <v>2</v>
      </c>
      <c r="W947" s="17">
        <f t="shared" ca="1" si="314"/>
        <v>0</v>
      </c>
    </row>
    <row r="948" spans="1:23" x14ac:dyDescent="0.25">
      <c r="A948" s="4">
        <f t="shared" si="294"/>
        <v>32</v>
      </c>
      <c r="B948" t="str">
        <f ca="1">TEXT(DATE(YEAR(Invoer!$A$6),1,1)+INT((ROWS(B$2:B948)-1)/4),"jjjjmmdd")</f>
        <v>19400824</v>
      </c>
      <c r="C948" s="64" t="str">
        <f>IF(MOD(ROWS(C$2:C948)-1,4)=3,"24.00",INDEX(Data,3,2+MOD(ROWS(C$2:C948)-1,4)))</f>
        <v>17.00</v>
      </c>
      <c r="D948" s="18">
        <f t="shared" ca="1" si="295"/>
        <v>760.2</v>
      </c>
      <c r="E948" s="17">
        <f t="shared" ca="1" si="296"/>
        <v>0</v>
      </c>
      <c r="F948" s="18">
        <f t="shared" ca="1" si="297"/>
        <v>26.9</v>
      </c>
      <c r="G948" s="17">
        <f t="shared" ca="1" si="298"/>
        <v>0</v>
      </c>
      <c r="H948" s="18" t="str">
        <f t="shared" ca="1" si="299"/>
        <v>—</v>
      </c>
      <c r="I948" s="17">
        <f t="shared" ca="1" si="300"/>
        <v>7</v>
      </c>
      <c r="J948" s="18" t="str">
        <f t="shared" ca="1" si="301"/>
        <v>—</v>
      </c>
      <c r="K948" s="17">
        <f t="shared" ca="1" si="302"/>
        <v>7</v>
      </c>
      <c r="L948" s="10">
        <f t="shared" ca="1" si="303"/>
        <v>95</v>
      </c>
      <c r="M948" s="17">
        <f t="shared" ca="1" si="304"/>
        <v>0</v>
      </c>
      <c r="N948" s="18">
        <f t="shared" ca="1" si="305"/>
        <v>25.2</v>
      </c>
      <c r="O948" s="17">
        <f t="shared" ca="1" si="306"/>
        <v>0</v>
      </c>
      <c r="P948" s="18">
        <f t="shared" ca="1" si="307"/>
        <v>26.2</v>
      </c>
      <c r="Q948" s="17">
        <f t="shared" ca="1" si="308"/>
        <v>0</v>
      </c>
      <c r="R948" s="10">
        <f t="shared" ca="1" si="309"/>
        <v>45</v>
      </c>
      <c r="S948" s="17">
        <f t="shared" ca="1" si="310"/>
        <v>0</v>
      </c>
      <c r="T948" s="70">
        <f t="shared" ca="1" si="311"/>
        <v>0.6</v>
      </c>
      <c r="U948" s="17">
        <f t="shared" ca="1" si="312"/>
        <v>0</v>
      </c>
      <c r="V948" s="71">
        <f t="shared" ca="1" si="313"/>
        <v>2</v>
      </c>
      <c r="W948" s="17">
        <f t="shared" ca="1" si="314"/>
        <v>0</v>
      </c>
    </row>
    <row r="949" spans="1:23" x14ac:dyDescent="0.25">
      <c r="A949" s="4">
        <f t="shared" si="294"/>
        <v>32</v>
      </c>
      <c r="B949" t="str">
        <f ca="1">TEXT(DATE(YEAR(Invoer!$A$6),1,1)+INT((ROWS(B$2:B949)-1)/4),"jjjjmmdd")</f>
        <v>19400824</v>
      </c>
      <c r="C949" s="64" t="str">
        <f>IF(MOD(ROWS(C$2:C949)-1,4)=3,"24.00",INDEX(Data,3,2+MOD(ROWS(C$2:C949)-1,4)))</f>
        <v>24.00</v>
      </c>
      <c r="D949" s="18" t="str">
        <f t="shared" ca="1" si="295"/>
        <v>—</v>
      </c>
      <c r="E949" s="17">
        <f t="shared" ca="1" si="296"/>
        <v>7</v>
      </c>
      <c r="F949" s="18" t="str">
        <f t="shared" ca="1" si="297"/>
        <v>—</v>
      </c>
      <c r="G949" s="17">
        <f t="shared" ca="1" si="298"/>
        <v>7</v>
      </c>
      <c r="H949" s="18">
        <f t="shared" ca="1" si="299"/>
        <v>29</v>
      </c>
      <c r="I949" s="17">
        <f t="shared" ca="1" si="300"/>
        <v>0</v>
      </c>
      <c r="J949" s="18">
        <f t="shared" ca="1" si="301"/>
        <v>30.5</v>
      </c>
      <c r="K949" s="17">
        <f t="shared" ca="1" si="302"/>
        <v>0</v>
      </c>
      <c r="L949" s="10" t="str">
        <f t="shared" ca="1" si="303"/>
        <v>—</v>
      </c>
      <c r="M949" s="17">
        <f t="shared" ca="1" si="304"/>
        <v>7</v>
      </c>
      <c r="N949" s="18" t="str">
        <f t="shared" ca="1" si="305"/>
        <v>—</v>
      </c>
      <c r="O949" s="17">
        <f t="shared" ca="1" si="306"/>
        <v>7</v>
      </c>
      <c r="P949" s="18" t="str">
        <f t="shared" ca="1" si="307"/>
        <v>—</v>
      </c>
      <c r="Q949" s="17">
        <f t="shared" ca="1" si="308"/>
        <v>7</v>
      </c>
      <c r="R949" s="10" t="str">
        <f t="shared" ca="1" si="309"/>
        <v>—</v>
      </c>
      <c r="S949" s="17">
        <f t="shared" ca="1" si="310"/>
        <v>7</v>
      </c>
      <c r="T949" s="70" t="str">
        <f t="shared" ca="1" si="311"/>
        <v>—</v>
      </c>
      <c r="U949" s="17">
        <f t="shared" ca="1" si="312"/>
        <v>7</v>
      </c>
      <c r="V949" s="71" t="str">
        <f t="shared" ca="1" si="313"/>
        <v>—</v>
      </c>
      <c r="W949" s="17">
        <f t="shared" ca="1" si="314"/>
        <v>7</v>
      </c>
    </row>
    <row r="950" spans="1:23" x14ac:dyDescent="0.25">
      <c r="A950" s="4">
        <f t="shared" si="294"/>
        <v>32</v>
      </c>
      <c r="B950" t="str">
        <f ca="1">TEXT(DATE(YEAR(Invoer!$A$6),1,1)+INT((ROWS(B$2:B950)-1)/4),"jjjjmmdd")</f>
        <v>19400825</v>
      </c>
      <c r="C950" s="64" t="str">
        <f>IF(MOD(ROWS(C$2:C950)-1,4)=3,"24.00",INDEX(Data,3,2+MOD(ROWS(C$2:C950)-1,4)))</f>
        <v>07.00</v>
      </c>
      <c r="D950" s="18">
        <f t="shared" ca="1" si="295"/>
        <v>757.2</v>
      </c>
      <c r="E950" s="17">
        <f t="shared" ca="1" si="296"/>
        <v>0</v>
      </c>
      <c r="F950" s="18">
        <f t="shared" ca="1" si="297"/>
        <v>27.1</v>
      </c>
      <c r="G950" s="17">
        <f t="shared" ca="1" si="298"/>
        <v>0</v>
      </c>
      <c r="H950" s="18" t="str">
        <f t="shared" ca="1" si="299"/>
        <v>—</v>
      </c>
      <c r="I950" s="17">
        <f t="shared" ca="1" si="300"/>
        <v>7</v>
      </c>
      <c r="J950" s="18" t="str">
        <f t="shared" ca="1" si="301"/>
        <v>—</v>
      </c>
      <c r="K950" s="17">
        <f t="shared" ca="1" si="302"/>
        <v>7</v>
      </c>
      <c r="L950" s="10">
        <f t="shared" ca="1" si="303"/>
        <v>93</v>
      </c>
      <c r="M950" s="17">
        <f t="shared" ca="1" si="304"/>
        <v>0</v>
      </c>
      <c r="N950" s="18">
        <f t="shared" ca="1" si="305"/>
        <v>25.1</v>
      </c>
      <c r="O950" s="17">
        <f t="shared" ca="1" si="306"/>
        <v>0</v>
      </c>
      <c r="P950" s="18">
        <f t="shared" ca="1" si="307"/>
        <v>26.2</v>
      </c>
      <c r="Q950" s="17">
        <f t="shared" ca="1" si="308"/>
        <v>0</v>
      </c>
      <c r="R950" s="10">
        <f t="shared" ca="1" si="309"/>
        <v>45</v>
      </c>
      <c r="S950" s="17">
        <f t="shared" ca="1" si="310"/>
        <v>0</v>
      </c>
      <c r="T950" s="70">
        <f t="shared" ca="1" si="311"/>
        <v>0.6</v>
      </c>
      <c r="U950" s="17">
        <f t="shared" ca="1" si="312"/>
        <v>0</v>
      </c>
      <c r="V950" s="71">
        <f t="shared" ca="1" si="313"/>
        <v>3</v>
      </c>
      <c r="W950" s="17">
        <f t="shared" ca="1" si="314"/>
        <v>0</v>
      </c>
    </row>
    <row r="951" spans="1:23" x14ac:dyDescent="0.25">
      <c r="A951" s="4">
        <f t="shared" si="294"/>
        <v>32</v>
      </c>
      <c r="B951" t="str">
        <f ca="1">TEXT(DATE(YEAR(Invoer!$A$6),1,1)+INT((ROWS(B$2:B951)-1)/4),"jjjjmmdd")</f>
        <v>19400825</v>
      </c>
      <c r="C951" s="64" t="str">
        <f>IF(MOD(ROWS(C$2:C951)-1,4)=3,"24.00",INDEX(Data,3,2+MOD(ROWS(C$2:C951)-1,4)))</f>
        <v>12.00</v>
      </c>
      <c r="D951" s="18">
        <f t="shared" ca="1" si="295"/>
        <v>760.5</v>
      </c>
      <c r="E951" s="17">
        <f t="shared" ca="1" si="296"/>
        <v>0</v>
      </c>
      <c r="F951" s="18">
        <f t="shared" ca="1" si="297"/>
        <v>28.1</v>
      </c>
      <c r="G951" s="17">
        <f t="shared" ca="1" si="298"/>
        <v>0</v>
      </c>
      <c r="H951" s="18" t="str">
        <f t="shared" ca="1" si="299"/>
        <v>—</v>
      </c>
      <c r="I951" s="17">
        <f t="shared" ca="1" si="300"/>
        <v>7</v>
      </c>
      <c r="J951" s="18" t="str">
        <f t="shared" ca="1" si="301"/>
        <v>—</v>
      </c>
      <c r="K951" s="17">
        <f t="shared" ca="1" si="302"/>
        <v>7</v>
      </c>
      <c r="L951" s="10">
        <f t="shared" ca="1" si="303"/>
        <v>96</v>
      </c>
      <c r="M951" s="17">
        <f t="shared" ca="1" si="304"/>
        <v>0</v>
      </c>
      <c r="N951" s="18">
        <f t="shared" ca="1" si="305"/>
        <v>27.4</v>
      </c>
      <c r="O951" s="17">
        <f t="shared" ca="1" si="306"/>
        <v>0</v>
      </c>
      <c r="P951" s="18">
        <f t="shared" ca="1" si="307"/>
        <v>27.6</v>
      </c>
      <c r="Q951" s="17">
        <f t="shared" ca="1" si="308"/>
        <v>0</v>
      </c>
      <c r="R951" s="10">
        <f t="shared" ca="1" si="309"/>
        <v>45</v>
      </c>
      <c r="S951" s="17">
        <f t="shared" ca="1" si="310"/>
        <v>0</v>
      </c>
      <c r="T951" s="70">
        <f t="shared" ca="1" si="311"/>
        <v>0.7</v>
      </c>
      <c r="U951" s="17">
        <f t="shared" ca="1" si="312"/>
        <v>0</v>
      </c>
      <c r="V951" s="71">
        <f t="shared" ca="1" si="313"/>
        <v>4</v>
      </c>
      <c r="W951" s="17">
        <f t="shared" ca="1" si="314"/>
        <v>0</v>
      </c>
    </row>
    <row r="952" spans="1:23" x14ac:dyDescent="0.25">
      <c r="A952" s="4">
        <f t="shared" si="294"/>
        <v>32</v>
      </c>
      <c r="B952" t="str">
        <f ca="1">TEXT(DATE(YEAR(Invoer!$A$6),1,1)+INT((ROWS(B$2:B952)-1)/4),"jjjjmmdd")</f>
        <v>19400825</v>
      </c>
      <c r="C952" s="64" t="str">
        <f>IF(MOD(ROWS(C$2:C952)-1,4)=3,"24.00",INDEX(Data,3,2+MOD(ROWS(C$2:C952)-1,4)))</f>
        <v>17.00</v>
      </c>
      <c r="D952" s="18">
        <f t="shared" ca="1" si="295"/>
        <v>759.7</v>
      </c>
      <c r="E952" s="17">
        <f t="shared" ca="1" si="296"/>
        <v>0</v>
      </c>
      <c r="F952" s="18">
        <f t="shared" ca="1" si="297"/>
        <v>27.9</v>
      </c>
      <c r="G952" s="17">
        <f t="shared" ca="1" si="298"/>
        <v>0</v>
      </c>
      <c r="H952" s="18" t="str">
        <f t="shared" ca="1" si="299"/>
        <v>—</v>
      </c>
      <c r="I952" s="17">
        <f t="shared" ca="1" si="300"/>
        <v>7</v>
      </c>
      <c r="J952" s="18" t="str">
        <f t="shared" ca="1" si="301"/>
        <v>—</v>
      </c>
      <c r="K952" s="17">
        <f t="shared" ca="1" si="302"/>
        <v>7</v>
      </c>
      <c r="L952" s="10">
        <f t="shared" ca="1" si="303"/>
        <v>86</v>
      </c>
      <c r="M952" s="17">
        <f t="shared" ca="1" si="304"/>
        <v>0</v>
      </c>
      <c r="N952" s="18">
        <f t="shared" ca="1" si="305"/>
        <v>24.3</v>
      </c>
      <c r="O952" s="17">
        <f t="shared" ca="1" si="306"/>
        <v>0</v>
      </c>
      <c r="P952" s="18">
        <f t="shared" ca="1" si="307"/>
        <v>26</v>
      </c>
      <c r="Q952" s="17">
        <f t="shared" ca="1" si="308"/>
        <v>0</v>
      </c>
      <c r="R952" s="10">
        <f t="shared" ca="1" si="309"/>
        <v>45</v>
      </c>
      <c r="S952" s="17">
        <f t="shared" ca="1" si="310"/>
        <v>0</v>
      </c>
      <c r="T952" s="70">
        <f t="shared" ca="1" si="311"/>
        <v>0.7</v>
      </c>
      <c r="U952" s="17">
        <f t="shared" ca="1" si="312"/>
        <v>0</v>
      </c>
      <c r="V952" s="71">
        <f t="shared" ca="1" si="313"/>
        <v>2</v>
      </c>
      <c r="W952" s="17">
        <f t="shared" ca="1" si="314"/>
        <v>0</v>
      </c>
    </row>
    <row r="953" spans="1:23" x14ac:dyDescent="0.25">
      <c r="A953" s="4">
        <f t="shared" si="294"/>
        <v>32</v>
      </c>
      <c r="B953" t="str">
        <f ca="1">TEXT(DATE(YEAR(Invoer!$A$6),1,1)+INT((ROWS(B$2:B953)-1)/4),"jjjjmmdd")</f>
        <v>19400825</v>
      </c>
      <c r="C953" s="64" t="str">
        <f>IF(MOD(ROWS(C$2:C953)-1,4)=3,"24.00",INDEX(Data,3,2+MOD(ROWS(C$2:C953)-1,4)))</f>
        <v>24.00</v>
      </c>
      <c r="D953" s="18" t="str">
        <f t="shared" ca="1" si="295"/>
        <v>—</v>
      </c>
      <c r="E953" s="17">
        <f t="shared" ca="1" si="296"/>
        <v>7</v>
      </c>
      <c r="F953" s="18" t="str">
        <f t="shared" ca="1" si="297"/>
        <v>—</v>
      </c>
      <c r="G953" s="17">
        <f t="shared" ca="1" si="298"/>
        <v>7</v>
      </c>
      <c r="H953" s="18">
        <f t="shared" ca="1" si="299"/>
        <v>28.5</v>
      </c>
      <c r="I953" s="17">
        <f t="shared" ca="1" si="300"/>
        <v>0</v>
      </c>
      <c r="J953" s="18">
        <f t="shared" ca="1" si="301"/>
        <v>30.6</v>
      </c>
      <c r="K953" s="17">
        <f t="shared" ca="1" si="302"/>
        <v>0</v>
      </c>
      <c r="L953" s="10" t="str">
        <f t="shared" ca="1" si="303"/>
        <v>—</v>
      </c>
      <c r="M953" s="17">
        <f t="shared" ca="1" si="304"/>
        <v>7</v>
      </c>
      <c r="N953" s="18" t="str">
        <f t="shared" ca="1" si="305"/>
        <v>—</v>
      </c>
      <c r="O953" s="17">
        <f t="shared" ca="1" si="306"/>
        <v>7</v>
      </c>
      <c r="P953" s="18" t="str">
        <f t="shared" ca="1" si="307"/>
        <v>—</v>
      </c>
      <c r="Q953" s="17">
        <f t="shared" ca="1" si="308"/>
        <v>7</v>
      </c>
      <c r="R953" s="10" t="str">
        <f t="shared" ca="1" si="309"/>
        <v>—</v>
      </c>
      <c r="S953" s="17">
        <f t="shared" ca="1" si="310"/>
        <v>7</v>
      </c>
      <c r="T953" s="70" t="str">
        <f t="shared" ca="1" si="311"/>
        <v>—</v>
      </c>
      <c r="U953" s="17">
        <f t="shared" ca="1" si="312"/>
        <v>7</v>
      </c>
      <c r="V953" s="71" t="str">
        <f t="shared" ca="1" si="313"/>
        <v>—</v>
      </c>
      <c r="W953" s="17">
        <f t="shared" ca="1" si="314"/>
        <v>7</v>
      </c>
    </row>
    <row r="954" spans="1:23" x14ac:dyDescent="0.25">
      <c r="A954" s="4">
        <f t="shared" si="294"/>
        <v>32</v>
      </c>
      <c r="B954" t="str">
        <f ca="1">TEXT(DATE(YEAR(Invoer!$A$6),1,1)+INT((ROWS(B$2:B954)-1)/4),"jjjjmmdd")</f>
        <v>19400826</v>
      </c>
      <c r="C954" s="64" t="str">
        <f>IF(MOD(ROWS(C$2:C954)-1,4)=3,"24.00",INDEX(Data,3,2+MOD(ROWS(C$2:C954)-1,4)))</f>
        <v>07.00</v>
      </c>
      <c r="D954" s="18">
        <f t="shared" ca="1" si="295"/>
        <v>760.7</v>
      </c>
      <c r="E954" s="17">
        <f t="shared" ca="1" si="296"/>
        <v>0</v>
      </c>
      <c r="F954" s="18">
        <f t="shared" ca="1" si="297"/>
        <v>27.2</v>
      </c>
      <c r="G954" s="17">
        <f t="shared" ca="1" si="298"/>
        <v>0</v>
      </c>
      <c r="H954" s="18" t="str">
        <f t="shared" ca="1" si="299"/>
        <v>—</v>
      </c>
      <c r="I954" s="17">
        <f t="shared" ca="1" si="300"/>
        <v>7</v>
      </c>
      <c r="J954" s="18" t="str">
        <f t="shared" ca="1" si="301"/>
        <v>—</v>
      </c>
      <c r="K954" s="17">
        <f t="shared" ca="1" si="302"/>
        <v>7</v>
      </c>
      <c r="L954" s="10">
        <f t="shared" ca="1" si="303"/>
        <v>94</v>
      </c>
      <c r="M954" s="17">
        <f t="shared" ca="1" si="304"/>
        <v>0</v>
      </c>
      <c r="N954" s="18">
        <f t="shared" ca="1" si="305"/>
        <v>25.4</v>
      </c>
      <c r="O954" s="17">
        <f t="shared" ca="1" si="306"/>
        <v>0</v>
      </c>
      <c r="P954" s="18">
        <f t="shared" ca="1" si="307"/>
        <v>26.4</v>
      </c>
      <c r="Q954" s="17">
        <f t="shared" ca="1" si="308"/>
        <v>0</v>
      </c>
      <c r="R954" s="10">
        <f t="shared" ca="1" si="309"/>
        <v>45</v>
      </c>
      <c r="S954" s="17">
        <f t="shared" ca="1" si="310"/>
        <v>0</v>
      </c>
      <c r="T954" s="70">
        <f t="shared" ca="1" si="311"/>
        <v>0.6</v>
      </c>
      <c r="U954" s="17">
        <f t="shared" ca="1" si="312"/>
        <v>0</v>
      </c>
      <c r="V954" s="71">
        <f t="shared" ca="1" si="313"/>
        <v>4</v>
      </c>
      <c r="W954" s="17">
        <f t="shared" ca="1" si="314"/>
        <v>0</v>
      </c>
    </row>
    <row r="955" spans="1:23" x14ac:dyDescent="0.25">
      <c r="A955" s="4">
        <f t="shared" si="294"/>
        <v>32</v>
      </c>
      <c r="B955" t="str">
        <f ca="1">TEXT(DATE(YEAR(Invoer!$A$6),1,1)+INT((ROWS(B$2:B955)-1)/4),"jjjjmmdd")</f>
        <v>19400826</v>
      </c>
      <c r="C955" s="64" t="str">
        <f>IF(MOD(ROWS(C$2:C955)-1,4)=3,"24.00",INDEX(Data,3,2+MOD(ROWS(C$2:C955)-1,4)))</f>
        <v>12.00</v>
      </c>
      <c r="D955" s="18">
        <f t="shared" ca="1" si="295"/>
        <v>760.7</v>
      </c>
      <c r="E955" s="17">
        <f t="shared" ca="1" si="296"/>
        <v>0</v>
      </c>
      <c r="F955" s="18">
        <f t="shared" ca="1" si="297"/>
        <v>27.9</v>
      </c>
      <c r="G955" s="17">
        <f t="shared" ca="1" si="298"/>
        <v>0</v>
      </c>
      <c r="H955" s="18" t="str">
        <f t="shared" ca="1" si="299"/>
        <v>—</v>
      </c>
      <c r="I955" s="17">
        <f t="shared" ca="1" si="300"/>
        <v>7</v>
      </c>
      <c r="J955" s="18" t="str">
        <f t="shared" ca="1" si="301"/>
        <v>—</v>
      </c>
      <c r="K955" s="17">
        <f t="shared" ca="1" si="302"/>
        <v>7</v>
      </c>
      <c r="L955" s="10">
        <f t="shared" ca="1" si="303"/>
        <v>95</v>
      </c>
      <c r="M955" s="17">
        <f t="shared" ca="1" si="304"/>
        <v>0</v>
      </c>
      <c r="N955" s="18">
        <f t="shared" ca="1" si="305"/>
        <v>26.9</v>
      </c>
      <c r="O955" s="17">
        <f t="shared" ca="1" si="306"/>
        <v>0</v>
      </c>
      <c r="P955" s="18">
        <f t="shared" ca="1" si="307"/>
        <v>27.3</v>
      </c>
      <c r="Q955" s="17">
        <f t="shared" ca="1" si="308"/>
        <v>0</v>
      </c>
      <c r="R955" s="10">
        <f t="shared" ca="1" si="309"/>
        <v>45</v>
      </c>
      <c r="S955" s="17">
        <f t="shared" ca="1" si="310"/>
        <v>0</v>
      </c>
      <c r="T955" s="70">
        <f t="shared" ca="1" si="311"/>
        <v>0.7</v>
      </c>
      <c r="U955" s="17">
        <f t="shared" ca="1" si="312"/>
        <v>0</v>
      </c>
      <c r="V955" s="71">
        <f t="shared" ca="1" si="313"/>
        <v>5</v>
      </c>
      <c r="W955" s="17">
        <f t="shared" ca="1" si="314"/>
        <v>0</v>
      </c>
    </row>
    <row r="956" spans="1:23" x14ac:dyDescent="0.25">
      <c r="A956" s="4">
        <f t="shared" si="294"/>
        <v>32</v>
      </c>
      <c r="B956" t="str">
        <f ca="1">TEXT(DATE(YEAR(Invoer!$A$6),1,1)+INT((ROWS(B$2:B956)-1)/4),"jjjjmmdd")</f>
        <v>19400826</v>
      </c>
      <c r="C956" s="64" t="str">
        <f>IF(MOD(ROWS(C$2:C956)-1,4)=3,"24.00",INDEX(Data,3,2+MOD(ROWS(C$2:C956)-1,4)))</f>
        <v>17.00</v>
      </c>
      <c r="D956" s="18">
        <f t="shared" ca="1" si="295"/>
        <v>759.7</v>
      </c>
      <c r="E956" s="17">
        <f t="shared" ca="1" si="296"/>
        <v>0</v>
      </c>
      <c r="F956" s="18">
        <f t="shared" ca="1" si="297"/>
        <v>27.7</v>
      </c>
      <c r="G956" s="17">
        <f t="shared" ca="1" si="298"/>
        <v>0</v>
      </c>
      <c r="H956" s="18" t="str">
        <f t="shared" ca="1" si="299"/>
        <v>—</v>
      </c>
      <c r="I956" s="17">
        <f t="shared" ca="1" si="300"/>
        <v>7</v>
      </c>
      <c r="J956" s="18" t="str">
        <f t="shared" ca="1" si="301"/>
        <v>—</v>
      </c>
      <c r="K956" s="17">
        <f t="shared" ca="1" si="302"/>
        <v>7</v>
      </c>
      <c r="L956" s="10">
        <f t="shared" ca="1" si="303"/>
        <v>87</v>
      </c>
      <c r="M956" s="17">
        <f t="shared" ca="1" si="304"/>
        <v>0</v>
      </c>
      <c r="N956" s="18">
        <f t="shared" ca="1" si="305"/>
        <v>24.4</v>
      </c>
      <c r="O956" s="17">
        <f t="shared" ca="1" si="306"/>
        <v>0</v>
      </c>
      <c r="P956" s="18">
        <f t="shared" ca="1" si="307"/>
        <v>26</v>
      </c>
      <c r="Q956" s="17">
        <f t="shared" ca="1" si="308"/>
        <v>0</v>
      </c>
      <c r="R956" s="10">
        <f t="shared" ca="1" si="309"/>
        <v>45</v>
      </c>
      <c r="S956" s="17">
        <f t="shared" ca="1" si="310"/>
        <v>0</v>
      </c>
      <c r="T956" s="70">
        <f t="shared" ca="1" si="311"/>
        <v>0.7</v>
      </c>
      <c r="U956" s="17">
        <f t="shared" ca="1" si="312"/>
        <v>0</v>
      </c>
      <c r="V956" s="71">
        <f t="shared" ca="1" si="313"/>
        <v>5</v>
      </c>
      <c r="W956" s="17">
        <f t="shared" ca="1" si="314"/>
        <v>0</v>
      </c>
    </row>
    <row r="957" spans="1:23" x14ac:dyDescent="0.25">
      <c r="A957" s="4">
        <f t="shared" si="294"/>
        <v>32</v>
      </c>
      <c r="B957" t="str">
        <f ca="1">TEXT(DATE(YEAR(Invoer!$A$6),1,1)+INT((ROWS(B$2:B957)-1)/4),"jjjjmmdd")</f>
        <v>19400826</v>
      </c>
      <c r="C957" s="64" t="str">
        <f>IF(MOD(ROWS(C$2:C957)-1,4)=3,"24.00",INDEX(Data,3,2+MOD(ROWS(C$2:C957)-1,4)))</f>
        <v>24.00</v>
      </c>
      <c r="D957" s="18" t="str">
        <f t="shared" ca="1" si="295"/>
        <v>—</v>
      </c>
      <c r="E957" s="17">
        <f t="shared" ca="1" si="296"/>
        <v>7</v>
      </c>
      <c r="F957" s="18" t="str">
        <f t="shared" ca="1" si="297"/>
        <v>—</v>
      </c>
      <c r="G957" s="17">
        <f t="shared" ca="1" si="298"/>
        <v>7</v>
      </c>
      <c r="H957" s="18">
        <f t="shared" ca="1" si="299"/>
        <v>29.2</v>
      </c>
      <c r="I957" s="17">
        <f t="shared" ca="1" si="300"/>
        <v>0</v>
      </c>
      <c r="J957" s="18">
        <f t="shared" ca="1" si="301"/>
        <v>30.4</v>
      </c>
      <c r="K957" s="17">
        <f t="shared" ca="1" si="302"/>
        <v>0</v>
      </c>
      <c r="L957" s="10" t="str">
        <f t="shared" ca="1" si="303"/>
        <v>—</v>
      </c>
      <c r="M957" s="17">
        <f t="shared" ca="1" si="304"/>
        <v>7</v>
      </c>
      <c r="N957" s="18" t="str">
        <f t="shared" ca="1" si="305"/>
        <v>—</v>
      </c>
      <c r="O957" s="17">
        <f t="shared" ca="1" si="306"/>
        <v>7</v>
      </c>
      <c r="P957" s="18" t="str">
        <f t="shared" ca="1" si="307"/>
        <v>—</v>
      </c>
      <c r="Q957" s="17">
        <f t="shared" ca="1" si="308"/>
        <v>7</v>
      </c>
      <c r="R957" s="10" t="str">
        <f t="shared" ca="1" si="309"/>
        <v>—</v>
      </c>
      <c r="S957" s="17">
        <f t="shared" ca="1" si="310"/>
        <v>7</v>
      </c>
      <c r="T957" s="70" t="str">
        <f t="shared" ca="1" si="311"/>
        <v>—</v>
      </c>
      <c r="U957" s="17">
        <f t="shared" ca="1" si="312"/>
        <v>7</v>
      </c>
      <c r="V957" s="71" t="str">
        <f t="shared" ca="1" si="313"/>
        <v>—</v>
      </c>
      <c r="W957" s="17">
        <f t="shared" ca="1" si="314"/>
        <v>7</v>
      </c>
    </row>
    <row r="958" spans="1:23" x14ac:dyDescent="0.25">
      <c r="A958" s="4">
        <f t="shared" si="294"/>
        <v>32</v>
      </c>
      <c r="B958" t="str">
        <f ca="1">TEXT(DATE(YEAR(Invoer!$A$6),1,1)+INT((ROWS(B$2:B958)-1)/4),"jjjjmmdd")</f>
        <v>19400827</v>
      </c>
      <c r="C958" s="64" t="str">
        <f>IF(MOD(ROWS(C$2:C958)-1,4)=3,"24.00",INDEX(Data,3,2+MOD(ROWS(C$2:C958)-1,4)))</f>
        <v>07.00</v>
      </c>
      <c r="D958" s="18">
        <f t="shared" ca="1" si="295"/>
        <v>760.7</v>
      </c>
      <c r="E958" s="17">
        <f t="shared" ca="1" si="296"/>
        <v>0</v>
      </c>
      <c r="F958" s="18">
        <f t="shared" ca="1" si="297"/>
        <v>27.3</v>
      </c>
      <c r="G958" s="17">
        <f t="shared" ca="1" si="298"/>
        <v>0</v>
      </c>
      <c r="H958" s="18" t="str">
        <f t="shared" ca="1" si="299"/>
        <v>—</v>
      </c>
      <c r="I958" s="17">
        <f t="shared" ca="1" si="300"/>
        <v>7</v>
      </c>
      <c r="J958" s="18" t="str">
        <f t="shared" ca="1" si="301"/>
        <v>—</v>
      </c>
      <c r="K958" s="17">
        <f t="shared" ca="1" si="302"/>
        <v>7</v>
      </c>
      <c r="L958" s="10">
        <f t="shared" ca="1" si="303"/>
        <v>95</v>
      </c>
      <c r="M958" s="17">
        <f t="shared" ca="1" si="304"/>
        <v>0</v>
      </c>
      <c r="N958" s="18">
        <f t="shared" ca="1" si="305"/>
        <v>25.8</v>
      </c>
      <c r="O958" s="17">
        <f t="shared" ca="1" si="306"/>
        <v>0</v>
      </c>
      <c r="P958" s="18">
        <f t="shared" ca="1" si="307"/>
        <v>26.6</v>
      </c>
      <c r="Q958" s="17">
        <f t="shared" ca="1" si="308"/>
        <v>0</v>
      </c>
      <c r="R958" s="10">
        <f t="shared" ca="1" si="309"/>
        <v>65</v>
      </c>
      <c r="S958" s="17">
        <f t="shared" ca="1" si="310"/>
        <v>0</v>
      </c>
      <c r="T958" s="70">
        <f t="shared" ca="1" si="311"/>
        <v>0.4</v>
      </c>
      <c r="U958" s="17">
        <f t="shared" ca="1" si="312"/>
        <v>0</v>
      </c>
      <c r="V958" s="71">
        <f t="shared" ca="1" si="313"/>
        <v>6</v>
      </c>
      <c r="W958" s="17">
        <f t="shared" ca="1" si="314"/>
        <v>0</v>
      </c>
    </row>
    <row r="959" spans="1:23" x14ac:dyDescent="0.25">
      <c r="A959" s="4">
        <f t="shared" si="294"/>
        <v>32</v>
      </c>
      <c r="B959" t="str">
        <f ca="1">TEXT(DATE(YEAR(Invoer!$A$6),1,1)+INT((ROWS(B$2:B959)-1)/4),"jjjjmmdd")</f>
        <v>19400827</v>
      </c>
      <c r="C959" s="64" t="str">
        <f>IF(MOD(ROWS(C$2:C959)-1,4)=3,"24.00",INDEX(Data,3,2+MOD(ROWS(C$2:C959)-1,4)))</f>
        <v>12.00</v>
      </c>
      <c r="D959" s="18">
        <f t="shared" ca="1" si="295"/>
        <v>761.2</v>
      </c>
      <c r="E959" s="17">
        <f t="shared" ca="1" si="296"/>
        <v>0</v>
      </c>
      <c r="F959" s="18">
        <f t="shared" ca="1" si="297"/>
        <v>27.7</v>
      </c>
      <c r="G959" s="17">
        <f t="shared" ca="1" si="298"/>
        <v>0</v>
      </c>
      <c r="H959" s="18" t="str">
        <f t="shared" ca="1" si="299"/>
        <v>—</v>
      </c>
      <c r="I959" s="17">
        <f t="shared" ca="1" si="300"/>
        <v>7</v>
      </c>
      <c r="J959" s="18" t="str">
        <f t="shared" ca="1" si="301"/>
        <v>—</v>
      </c>
      <c r="K959" s="17">
        <f t="shared" ca="1" si="302"/>
        <v>7</v>
      </c>
      <c r="L959" s="10">
        <f t="shared" ca="1" si="303"/>
        <v>93</v>
      </c>
      <c r="M959" s="17">
        <f t="shared" ca="1" si="304"/>
        <v>0</v>
      </c>
      <c r="N959" s="18">
        <f t="shared" ca="1" si="305"/>
        <v>26</v>
      </c>
      <c r="O959" s="17">
        <f t="shared" ca="1" si="306"/>
        <v>0</v>
      </c>
      <c r="P959" s="18">
        <f t="shared" ca="1" si="307"/>
        <v>26.8</v>
      </c>
      <c r="Q959" s="17">
        <f t="shared" ca="1" si="308"/>
        <v>0</v>
      </c>
      <c r="R959" s="10">
        <f t="shared" ca="1" si="309"/>
        <v>65</v>
      </c>
      <c r="S959" s="17">
        <f t="shared" ca="1" si="310"/>
        <v>0</v>
      </c>
      <c r="T959" s="70">
        <f t="shared" ca="1" si="311"/>
        <v>0.6</v>
      </c>
      <c r="U959" s="17">
        <f t="shared" ca="1" si="312"/>
        <v>0</v>
      </c>
      <c r="V959" s="71">
        <f t="shared" ca="1" si="313"/>
        <v>8</v>
      </c>
      <c r="W959" s="17">
        <f t="shared" ca="1" si="314"/>
        <v>0</v>
      </c>
    </row>
    <row r="960" spans="1:23" x14ac:dyDescent="0.25">
      <c r="A960" s="4">
        <f t="shared" si="294"/>
        <v>32</v>
      </c>
      <c r="B960" t="str">
        <f ca="1">TEXT(DATE(YEAR(Invoer!$A$6),1,1)+INT((ROWS(B$2:B960)-1)/4),"jjjjmmdd")</f>
        <v>19400827</v>
      </c>
      <c r="C960" s="64" t="str">
        <f>IF(MOD(ROWS(C$2:C960)-1,4)=3,"24.00",INDEX(Data,3,2+MOD(ROWS(C$2:C960)-1,4)))</f>
        <v>17.00</v>
      </c>
      <c r="D960" s="18">
        <f t="shared" ca="1" si="295"/>
        <v>760.2</v>
      </c>
      <c r="E960" s="17">
        <f t="shared" ca="1" si="296"/>
        <v>0</v>
      </c>
      <c r="F960" s="18">
        <f t="shared" ca="1" si="297"/>
        <v>27.5</v>
      </c>
      <c r="G960" s="17">
        <f t="shared" ca="1" si="298"/>
        <v>0</v>
      </c>
      <c r="H960" s="18" t="str">
        <f t="shared" ca="1" si="299"/>
        <v>—</v>
      </c>
      <c r="I960" s="17">
        <f t="shared" ca="1" si="300"/>
        <v>7</v>
      </c>
      <c r="J960" s="18" t="str">
        <f t="shared" ca="1" si="301"/>
        <v>—</v>
      </c>
      <c r="K960" s="17">
        <f t="shared" ca="1" si="302"/>
        <v>7</v>
      </c>
      <c r="L960" s="10">
        <f t="shared" ca="1" si="303"/>
        <v>94</v>
      </c>
      <c r="M960" s="17">
        <f t="shared" ca="1" si="304"/>
        <v>0</v>
      </c>
      <c r="N960" s="18">
        <f t="shared" ca="1" si="305"/>
        <v>25.9</v>
      </c>
      <c r="O960" s="17">
        <f t="shared" ca="1" si="306"/>
        <v>0</v>
      </c>
      <c r="P960" s="18">
        <f t="shared" ca="1" si="307"/>
        <v>26.7</v>
      </c>
      <c r="Q960" s="17">
        <f t="shared" ca="1" si="308"/>
        <v>0</v>
      </c>
      <c r="R960" s="10">
        <f t="shared" ca="1" si="309"/>
        <v>65</v>
      </c>
      <c r="S960" s="17">
        <f t="shared" ca="1" si="310"/>
        <v>0</v>
      </c>
      <c r="T960" s="70">
        <f t="shared" ca="1" si="311"/>
        <v>0.6</v>
      </c>
      <c r="U960" s="17">
        <f t="shared" ca="1" si="312"/>
        <v>0</v>
      </c>
      <c r="V960" s="71">
        <f t="shared" ca="1" si="313"/>
        <v>8</v>
      </c>
      <c r="W960" s="17">
        <f t="shared" ca="1" si="314"/>
        <v>0</v>
      </c>
    </row>
    <row r="961" spans="1:23" x14ac:dyDescent="0.25">
      <c r="A961" s="4">
        <f t="shared" si="294"/>
        <v>32</v>
      </c>
      <c r="B961" t="str">
        <f ca="1">TEXT(DATE(YEAR(Invoer!$A$6),1,1)+INT((ROWS(B$2:B961)-1)/4),"jjjjmmdd")</f>
        <v>19400827</v>
      </c>
      <c r="C961" s="64" t="str">
        <f>IF(MOD(ROWS(C$2:C961)-1,4)=3,"24.00",INDEX(Data,3,2+MOD(ROWS(C$2:C961)-1,4)))</f>
        <v>24.00</v>
      </c>
      <c r="D961" s="18" t="str">
        <f t="shared" ca="1" si="295"/>
        <v>—</v>
      </c>
      <c r="E961" s="17">
        <f t="shared" ca="1" si="296"/>
        <v>7</v>
      </c>
      <c r="F961" s="18" t="str">
        <f t="shared" ca="1" si="297"/>
        <v>—</v>
      </c>
      <c r="G961" s="17">
        <f t="shared" ca="1" si="298"/>
        <v>7</v>
      </c>
      <c r="H961" s="18">
        <f t="shared" ca="1" si="299"/>
        <v>29.1</v>
      </c>
      <c r="I961" s="17">
        <f t="shared" ca="1" si="300"/>
        <v>0</v>
      </c>
      <c r="J961" s="18">
        <f t="shared" ca="1" si="301"/>
        <v>30.4</v>
      </c>
      <c r="K961" s="17">
        <f t="shared" ca="1" si="302"/>
        <v>0</v>
      </c>
      <c r="L961" s="10" t="str">
        <f t="shared" ca="1" si="303"/>
        <v>—</v>
      </c>
      <c r="M961" s="17">
        <f t="shared" ca="1" si="304"/>
        <v>7</v>
      </c>
      <c r="N961" s="18" t="str">
        <f t="shared" ca="1" si="305"/>
        <v>—</v>
      </c>
      <c r="O961" s="17">
        <f t="shared" ca="1" si="306"/>
        <v>7</v>
      </c>
      <c r="P961" s="18" t="str">
        <f t="shared" ca="1" si="307"/>
        <v>—</v>
      </c>
      <c r="Q961" s="17">
        <f t="shared" ca="1" si="308"/>
        <v>7</v>
      </c>
      <c r="R961" s="10" t="str">
        <f t="shared" ca="1" si="309"/>
        <v>—</v>
      </c>
      <c r="S961" s="17">
        <f t="shared" ca="1" si="310"/>
        <v>7</v>
      </c>
      <c r="T961" s="70" t="str">
        <f t="shared" ca="1" si="311"/>
        <v>—</v>
      </c>
      <c r="U961" s="17">
        <f t="shared" ca="1" si="312"/>
        <v>7</v>
      </c>
      <c r="V961" s="71" t="str">
        <f t="shared" ca="1" si="313"/>
        <v>—</v>
      </c>
      <c r="W961" s="17">
        <f t="shared" ca="1" si="314"/>
        <v>7</v>
      </c>
    </row>
    <row r="962" spans="1:23" x14ac:dyDescent="0.25">
      <c r="A962" s="4">
        <f t="shared" ref="A962:A1025" si="315">INDEX(Stations,2,1)</f>
        <v>32</v>
      </c>
      <c r="B962" t="str">
        <f ca="1">TEXT(DATE(YEAR(Invoer!$A$6),1,1)+INT((ROWS(B$2:B962)-1)/4),"jjjjmmdd")</f>
        <v>19400828</v>
      </c>
      <c r="C962" s="64" t="str">
        <f>IF(MOD(ROWS(C$2:C962)-1,4)=3,"24.00",INDEX(Data,3,2+MOD(ROWS(C$2:C962)-1,4)))</f>
        <v>07.00</v>
      </c>
      <c r="D962" s="18">
        <f t="shared" ref="D962:D1025" ca="1" si="316">IF(OR(ISBLANK(VLOOKUP(DATEVALUE(LEFT($B962,4)&amp;"-"&amp;MID($B962,5,2)&amp;"-"&amp;RIGHT($B962,2)),Data,MATCH(LEFT(VLOOKUP(D$1,Parameters,2,FALSE()),4)&amp;"*",OFFSET(Data,0,0,1),0)+MATCH($C962,OFFSET(Data,2,0,1),0)-2,FALSE())),ISTEXT(VLOOKUP(DATEVALUE(LEFT($B962,4)&amp;"-"&amp;MID($B962,5,2)&amp;"-"&amp;RIGHT($B962,2)),Data,MATCH(LEFT(VLOOKUP(D$1,Parameters,2,FALSE()),4)&amp;"*",OFFSET(Data,0,0,1),0)+MATCH($C962,OFFSET(Data,2,0,1),0)-2,FALSE())),EXACT($C962,"24.00")),"—",VLOOKUP(DATEVALUE(LEFT($B962,4)&amp;"-"&amp;MID($B962,5,2)&amp;"-"&amp;RIGHT($B962,2)),Data,MATCH(LEFT(VLOOKUP(D$1,Parameters,2,FALSE()),4)&amp;"*",OFFSET(Data,0,0,1),0)+MATCH($C962,OFFSET(Data,2,0,1),0)-2,FALSE())/10)</f>
        <v>760</v>
      </c>
      <c r="E962" s="17">
        <f t="shared" ref="E962:E1025" ca="1" si="317">IF(OR(ISBLANK(VLOOKUP(DATEVALUE(LEFT($B962,4)&amp;"-"&amp;MID($B962,5,2)&amp;"-"&amp;RIGHT($B962,2)),Data,MATCH(LEFT(VLOOKUP(MID(E$1,2,LEN(E$1)-1),Parameters,2,FALSE()),4)&amp;"*",OFFSET(Data,0,0,1),0)+MATCH($C962,OFFSET(Data,2,0,1),0)-2,FALSE())),ISTEXT(VLOOKUP(DATEVALUE(LEFT($B962,4)&amp;"-"&amp;MID($B962,5,2)&amp;"-"&amp;RIGHT($B962,2)),Data,MATCH(LEFT(VLOOKUP(MID(E$1,2,LEN(E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Data,2,0,1),0)-2,FALSE())))</f>
        <v>0</v>
      </c>
      <c r="F962" s="18">
        <f t="shared" ref="F962:F1025" ca="1" si="318">IF(OR(ISBLANK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ISTEXT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EXACT($C962,"24.00")),"—",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/10)</f>
        <v>27.1</v>
      </c>
      <c r="G962" s="17">
        <f t="shared" ref="G962:G1025" ca="1" si="319">IF(OR(ISBLANK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ISTEXT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G$1,2,LEN(G$1)-1),Parameters,2,FALSE()),FIND(LOWER(MID(G$1,2,1)),VLOOKUP(MID(G$1,2,LEN(G$1)-1),Parameters,2,FALSE()),5),4)&amp;"*",OFFSET(Catalogus,0,0,1),0)+2*MATCH($C962,OFFSET(Catalogus,2,0,1),0)+MATCH(LEFT(VLOOKUP(MID(G$1,2,LEN(G$1)-1),Parameters,2,FALSE()),3)&amp;"*",OFFSET(Catalogus,2,4,1),0)-5,FALSE())))</f>
        <v>0</v>
      </c>
      <c r="H962" s="18" t="str">
        <f t="shared" ref="H962:H1025" ca="1" si="320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/10)</f>
        <v>—</v>
      </c>
      <c r="I962" s="17">
        <f t="shared" ref="I962:I1025" ca="1" si="321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  <c r="J962" s="18" t="str">
        <f t="shared" ref="J962:J1025" ca="1" si="322">IF(OR(ISBLANK(VLOOKUP(DATEVALUE(LEFT($B962,4)&amp;"-"&amp;MID($B962,5,2)&amp;"-"&amp;RIGHT($B962,2)),Data,MATCH(LEFT(VLOOKUP(J$1,Parameters,2,FALSE()),4)&amp;"*",OFFSET(Data,1,0,1),0),FALSE())),ISTEXT(VLOOKUP(DATEVALUE(LEFT($B962,4)&amp;"-"&amp;MID($B962,5,2)&amp;"-"&amp;RIGHT($B962,2)),Data,MATCH(LEFT(VLOOKUP(J$1,Parameters,2,FALSE()),4)&amp;"*",OFFSET(Data,1,0,1),0),FALSE())),NOT(EXACT($C962,"24.00"))),"—",VLOOKUP(DATEVALUE(LEFT($B962,4)&amp;"-"&amp;MID($B962,5,2)&amp;"-"&amp;RIGHT($B962,2)),Data,MATCH(LEFT(VLOOKUP(J$1,Parameters,2,FALSE()),4)&amp;"*",OFFSET(Data,1,0,1),0),FALSE())/10)</f>
        <v>—</v>
      </c>
      <c r="K962" s="17">
        <f t="shared" ref="K962:K1025" ca="1" si="323">IF(OR(ISBLANK(VLOOKUP(DATEVALUE(LEFT($B962,4)&amp;"-"&amp;MID($B962,5,2)&amp;"-"&amp;RIGHT($B962,2)),Data,MATCH(LEFT(VLOOKUP(MID(K$1,2,LEN(K$1)-1),Parameters,2,FALSE()),4)&amp;"*",OFFSET(Data,1,0,1),0),FALSE())),ISTEXT(VLOOKUP(DATEVALUE(LEFT($B962,4)&amp;"-"&amp;MID($B962,5,2)&amp;"-"&amp;RIGHT($B962,2)),Data,MATCH(LEFT(VLOOKUP(MID(K$1,2,LEN(K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K$1,2,LEN(K$1)-1),Parameters,2,FALSE()),4)&amp;"*",OFFSET(Catalogus,1,0,1),0),FALSE())))</f>
        <v>7</v>
      </c>
      <c r="L962" s="10">
        <f t="shared" ref="L962:L1025" ca="1" si="324">IF(OR(ISBLANK(VLOOKUP(DATEVALUE(LEFT($B962,4)&amp;"-"&amp;MID($B962,5,2)&amp;"-"&amp;RIGHT($B962,2)),Data,MATCH(LEFT(VLOOKUP(L$1,Parameters,2,FALSE()),4)&amp;"*",OFFSET(Data,0,0,1),0)+MATCH($C962,OFFSET(Data,2,0,1),0)-2,FALSE())),ISTEXT(VLOOKUP(DATEVALUE(LEFT($B962,4)&amp;"-"&amp;MID($B962,5,2)&amp;"-"&amp;RIGHT($B962,2)),Data,MATCH(LEFT(VLOOKUP(L$1,Parameters,2,FALSE()),4)&amp;"*",OFFSET(Data,0,0,1),0)+MATCH($C962,OFFSET(Data,2,0,1),0)-2,FALSE())),EXACT($C962,"24.00")),"—",VLOOKUP(DATEVALUE(LEFT($B962,4)&amp;"-"&amp;MID($B962,5,2)&amp;"-"&amp;RIGHT($B962,2)),Data,MATCH(LEFT(VLOOKUP(L$1,Parameters,2,FALSE()),4)&amp;"*",OFFSET(Data,0,0,1),0)+MATCH($C962,OFFSET(Data,2,0,1),0)-2,FALSE()))</f>
        <v>95</v>
      </c>
      <c r="M962" s="17">
        <f t="shared" ref="M962:M1025" ca="1" si="325">IF(OR(ISBLANK(VLOOKUP(DATEVALUE(LEFT($B962,4)&amp;"-"&amp;MID($B962,5,2)&amp;"-"&amp;RIGHT($B962,2)),Data,MATCH(LEFT(VLOOKUP(MID(M$1,2,LEN(M$1)-1),Parameters,2,FALSE()),4)&amp;"*",OFFSET(Data,0,0,1),0)+MATCH($C962,OFFSET(Data,2,0,1),0)-2,FALSE())),ISTEXT(VLOOKUP(DATEVALUE(LEFT($B962,4)&amp;"-"&amp;MID($B962,5,2)&amp;"-"&amp;RIGHT($B962,2)),Data,MATCH(LEFT(VLOOKUP(MID(M$1,2,LEN(M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M$1,2,LEN(M$1)-1),Parameters,2,FALSE()),4)&amp;"*",OFFSET(Catalogus,0,0,1),0)+MATCH($C962,OFFSET(Data,2,0,1),0)-2,FALSE())))</f>
        <v>0</v>
      </c>
      <c r="N962" s="18">
        <f t="shared" ref="N962:N1025" ca="1" si="326">IF(OR(ISBLANK(VLOOKUP(DATEVALUE(LEFT($B962,4)&amp;"-"&amp;MID($B962,5,2)&amp;"-"&amp;RIGHT($B962,2)),Data,MATCH(LEFT(VLOOKUP(N$1,Parameters,2,FALSE()),4)&amp;"*",OFFSET(Data,0,0,1),0)+MATCH($C962,OFFSET(Data,2,0,1),0)-2,FALSE())),ISTEXT(VLOOKUP(DATEVALUE(LEFT($B962,4)&amp;"-"&amp;MID($B962,5,2)&amp;"-"&amp;RIGHT($B962,2)),Data,MATCH(LEFT(VLOOKUP(N$1,Parameters,2,FALSE()),4)&amp;"*",OFFSET(Data,0,0,1),0)+MATCH($C962,OFFSET(Data,2,0,1),0)-2,FALSE())),EXACT($C962,"24.00")),"—",VLOOKUP(DATEVALUE(LEFT($B962,4)&amp;"-"&amp;MID($B962,5,2)&amp;"-"&amp;RIGHT($B962,2)),Data,MATCH(LEFT(VLOOKUP(N$1,Parameters,2,FALSE()),4)&amp;"*",OFFSET(Data,0,0,1),0)+MATCH($C962,OFFSET(Data,2,0,1),0)-2,FALSE())/10)</f>
        <v>25.5</v>
      </c>
      <c r="O962" s="17">
        <f t="shared" ref="O962:O1025" ca="1" si="327">IF(OR(ISBLANK(VLOOKUP(DATEVALUE(LEFT($B962,4)&amp;"-"&amp;MID($B962,5,2)&amp;"-"&amp;RIGHT($B962,2)),Data,MATCH(LEFT(VLOOKUP(MID(O$1,2,LEN(O$1)-1),Parameters,2,FALSE()),4)&amp;"*",OFFSET(Data,0,0,1),0)+MATCH($C962,OFFSET(Data,2,0,1),0)-2,FALSE())),ISTEXT(VLOOKUP(DATEVALUE(LEFT($B962,4)&amp;"-"&amp;MID($B962,5,2)&amp;"-"&amp;RIGHT($B962,2)),Data,MATCH(LEFT(VLOOKUP(MID(O$1,2,LEN(O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O$1,2,LEN(O$1)-1),Parameters,2,FALSE()),4)&amp;"*",OFFSET(Catalogus,0,0,1),0)+MATCH($C962,OFFSET(Data,2,0,1),0)-2,FALSE())))</f>
        <v>0</v>
      </c>
      <c r="P962" s="18">
        <f t="shared" ref="P962:P1025" ca="1" si="328">IF(OR(ISBLANK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ISTEXT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EXACT($C962,"24.00")),"—",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/10)</f>
        <v>26.4</v>
      </c>
      <c r="Q962" s="17">
        <f t="shared" ref="Q962:Q1025" ca="1" si="329">IF(OR(ISBLANK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ISTEXT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Q$1,2,LEN(Q$1)-1),Parameters,2,FALSE()),FIND(LOWER(MID(Q$1,2,1)),VLOOKUP(MID(Q$1,2,LEN(Q$1)-1),Parameters,2,FALSE()),5),4)&amp;"*",OFFSET(Catalogus,0,0,1),0)+2*MATCH($C962,OFFSET(Catalogus,2,0,1),0)+MATCH(LEFT(VLOOKUP(MID(Q$1,2,LEN(Q$1)-1),Parameters,2,FALSE()),3)&amp;"*",OFFSET(Catalogus,2,4,1),0)-5,FALSE())))</f>
        <v>0</v>
      </c>
      <c r="R962" s="10">
        <f t="shared" ref="R962:R1025" ca="1" si="330">IF(OR(ISBLANK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),ISNA(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1,1,,1),0)),EXACT($C962,"24.00")),"—",INDEX(Windrichting,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0,1,,1),0),1))</f>
        <v>45</v>
      </c>
      <c r="S962" s="17">
        <f t="shared" ref="S962:S1025" ca="1" si="331">IF(OR(ISBLANK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),ISNA(MATCH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,OFFSET(Windrichting,1,1,,1),0)),EXACT($C962,"24.00")),Lacking,IF(ISNA(MATCH(DATEVALUE(LEFT($B962,4)&amp;"-"&amp;MID($B962,5,2)&amp;"-"&amp;RIGHT($B962,2)),OFFSET(Catalogus,0,0,,1),0)),Ok,VLOOKUP(DATEVALUE(LEFT($B962,4)&amp;"-"&amp;MID($B962,5,2)&amp;"-"&amp;RIGHT($B962,2)),Catalogus,MATCH(LEFT(VLOOKUP(MID(S$1,2,LEN(S$1)-1),Parameters,2,FALSE()),4)&amp;"*",OFFSET(Catalogus,0,0,1),0)+2*MATCH($C962,OFFSET(Catalogus,2,0,1),0)+MATCH(MID(VLOOKUP(MID(S$1,2,LEN(S$1)-1),Parameters,2,FALSE()),5,LEN(VLOOKUP(MID(S$1,2,LEN(S$1)-1),Parameters,2,FALSE()))-4)&amp;"*",OFFSET(Catalogus,2,19,1),0)-5,FALSE())))</f>
        <v>0</v>
      </c>
      <c r="T962" s="70">
        <f t="shared" ref="T962:T1025" ca="1" si="332">IF(OR(ISBLANK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ISTEXT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EXACT($C962,"24.00")),"—",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/10)</f>
        <v>0.4</v>
      </c>
      <c r="U962" s="17">
        <f t="shared" ref="U962:U1025" ca="1" si="333">IF(OR(ISBLANK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ISTEXT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U$1,2,LEN(U$1)-1),Parameters,2,FALSE()),4)&amp;"*",OFFSET(Catalogus,0,0,1),0)+2*MATCH($C962,OFFSET(Catalogus,2,0,1),0)+MATCH(MID(VLOOKUP(MID(U$1,2,LEN(U$1)-1),Parameters,2,FALSE()),5,LEN(VLOOKUP(MID(U$1,2,LEN(U$1)-1),Parameters,2,FALSE()))-4)&amp;"*",OFFSET(Catalogus,2,19,1),0)-5,FALSE())))</f>
        <v>0</v>
      </c>
      <c r="V962" s="71">
        <f t="shared" ref="V962:V1025" ca="1" si="334">IF(OR(ISBLANK(VLOOKUP(DATEVALUE(LEFT($B962,4)&amp;"-"&amp;MID($B962,5,2)&amp;"-"&amp;RIGHT($B962,2)),Data,MATCH(LEFT(VLOOKUP(V$1,Parameters,2,FALSE()),4)&amp;"*",OFFSET(Data,0,0,1),0)+MATCH($C962,OFFSET(Data,2,0,1),0)-2,FALSE())),ISTEXT(VLOOKUP(DATEVALUE(LEFT($B962,4)&amp;"-"&amp;MID($B962,5,2)&amp;"-"&amp;RIGHT($B962,2)),Data,MATCH(LEFT(VLOOKUP(V$1,Parameters,2,FALSE()),4)&amp;"*",OFFSET(Data,0,0,1),0)+MATCH($C962,OFFSET(Data,2,0,1),0)-2,FALSE())),EXACT($C962,"24.00")),"—",VLOOKUP(DATEVALUE(LEFT($B962,4)&amp;"-"&amp;MID($B962,5,2)&amp;"-"&amp;RIGHT($B962,2)),Data,MATCH(LEFT(VLOOKUP(V$1,Parameters,2,FALSE()),4)&amp;"*",OFFSET(Data,0,0,1),0)+MATCH($C962,OFFSET(Data,2,0,1),0)-2,FALSE()))</f>
        <v>3</v>
      </c>
      <c r="W962" s="17">
        <f t="shared" ref="W962:W1025" ca="1" si="335">IF(OR(ISBLANK(VLOOKUP(DATEVALUE(LEFT($B962,4)&amp;"-"&amp;MID($B962,5,2)&amp;"-"&amp;RIGHT($B962,2)),Data,MATCH(LEFT(VLOOKUP(MID(W$1,2,LEN(W$1)-1),Parameters,2,FALSE()),4)&amp;"*",OFFSET(Data,0,0,1),0)+MATCH($C962,OFFSET(Data,2,0,1),0)-2,FALSE())),ISTEXT(VLOOKUP(DATEVALUE(LEFT($B962,4)&amp;"-"&amp;MID($B962,5,2)&amp;"-"&amp;RIGHT($B962,2)),Data,MATCH(LEFT(VLOOKUP(MID(W$1,2,LEN(W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W$1,2,LEN(W$1)-1),Parameters,2,FALSE()),4)&amp;"*",OFFSET(Catalogus,0,0,1),0)+MATCH($C962,OFFSET(Data,2,0,1),0)-2,FALSE())))</f>
        <v>0</v>
      </c>
    </row>
    <row r="963" spans="1:23" x14ac:dyDescent="0.25">
      <c r="A963" s="4">
        <f t="shared" si="315"/>
        <v>32</v>
      </c>
      <c r="B963" t="str">
        <f ca="1">TEXT(DATE(YEAR(Invoer!$A$6),1,1)+INT((ROWS(B$2:B963)-1)/4),"jjjjmmdd")</f>
        <v>19400828</v>
      </c>
      <c r="C963" s="64" t="str">
        <f>IF(MOD(ROWS(C$2:C963)-1,4)=3,"24.00",INDEX(Data,3,2+MOD(ROWS(C$2:C963)-1,4)))</f>
        <v>12.00</v>
      </c>
      <c r="D963" s="18">
        <f t="shared" ca="1" si="316"/>
        <v>761.2</v>
      </c>
      <c r="E963" s="17">
        <f t="shared" ca="1" si="317"/>
        <v>0</v>
      </c>
      <c r="F963" s="18">
        <f t="shared" ca="1" si="318"/>
        <v>27.7</v>
      </c>
      <c r="G963" s="17">
        <f t="shared" ca="1" si="319"/>
        <v>0</v>
      </c>
      <c r="H963" s="18" t="str">
        <f t="shared" ca="1" si="320"/>
        <v>—</v>
      </c>
      <c r="I963" s="17">
        <f t="shared" ca="1" si="321"/>
        <v>7</v>
      </c>
      <c r="J963" s="18" t="str">
        <f t="shared" ca="1" si="322"/>
        <v>—</v>
      </c>
      <c r="K963" s="17">
        <f t="shared" ca="1" si="323"/>
        <v>7</v>
      </c>
      <c r="L963" s="10">
        <f t="shared" ca="1" si="324"/>
        <v>93</v>
      </c>
      <c r="M963" s="17">
        <f t="shared" ca="1" si="325"/>
        <v>0</v>
      </c>
      <c r="N963" s="18">
        <f t="shared" ca="1" si="326"/>
        <v>26</v>
      </c>
      <c r="O963" s="17">
        <f t="shared" ca="1" si="327"/>
        <v>0</v>
      </c>
      <c r="P963" s="18">
        <f t="shared" ca="1" si="328"/>
        <v>26.8</v>
      </c>
      <c r="Q963" s="17">
        <f t="shared" ca="1" si="329"/>
        <v>0</v>
      </c>
      <c r="R963" s="10">
        <f t="shared" ca="1" si="330"/>
        <v>45</v>
      </c>
      <c r="S963" s="17">
        <f t="shared" ca="1" si="331"/>
        <v>0</v>
      </c>
      <c r="T963" s="70">
        <f t="shared" ca="1" si="332"/>
        <v>0.6</v>
      </c>
      <c r="U963" s="17">
        <f t="shared" ca="1" si="333"/>
        <v>0</v>
      </c>
      <c r="V963" s="71">
        <f t="shared" ca="1" si="334"/>
        <v>4</v>
      </c>
      <c r="W963" s="17">
        <f t="shared" ca="1" si="335"/>
        <v>0</v>
      </c>
    </row>
    <row r="964" spans="1:23" x14ac:dyDescent="0.25">
      <c r="A964" s="4">
        <f t="shared" si="315"/>
        <v>32</v>
      </c>
      <c r="B964" t="str">
        <f ca="1">TEXT(DATE(YEAR(Invoer!$A$6),1,1)+INT((ROWS(B$2:B964)-1)/4),"jjjjmmdd")</f>
        <v>19400828</v>
      </c>
      <c r="C964" s="64" t="str">
        <f>IF(MOD(ROWS(C$2:C964)-1,4)=3,"24.00",INDEX(Data,3,2+MOD(ROWS(C$2:C964)-1,4)))</f>
        <v>17.00</v>
      </c>
      <c r="D964" s="18">
        <f t="shared" ca="1" si="316"/>
        <v>759.2</v>
      </c>
      <c r="E964" s="17">
        <f t="shared" ca="1" si="317"/>
        <v>0</v>
      </c>
      <c r="F964" s="18">
        <f t="shared" ca="1" si="318"/>
        <v>26.9</v>
      </c>
      <c r="G964" s="17">
        <f t="shared" ca="1" si="319"/>
        <v>0</v>
      </c>
      <c r="H964" s="18" t="str">
        <f t="shared" ca="1" si="320"/>
        <v>—</v>
      </c>
      <c r="I964" s="17">
        <f t="shared" ca="1" si="321"/>
        <v>7</v>
      </c>
      <c r="J964" s="18" t="str">
        <f t="shared" ca="1" si="322"/>
        <v>—</v>
      </c>
      <c r="K964" s="17">
        <f t="shared" ca="1" si="323"/>
        <v>7</v>
      </c>
      <c r="L964" s="10">
        <f t="shared" ca="1" si="324"/>
        <v>96</v>
      </c>
      <c r="M964" s="17">
        <f t="shared" ca="1" si="325"/>
        <v>0</v>
      </c>
      <c r="N964" s="18">
        <f t="shared" ca="1" si="326"/>
        <v>25.6</v>
      </c>
      <c r="O964" s="17">
        <f t="shared" ca="1" si="327"/>
        <v>0</v>
      </c>
      <c r="P964" s="18">
        <f t="shared" ca="1" si="328"/>
        <v>26.4</v>
      </c>
      <c r="Q964" s="17">
        <f t="shared" ca="1" si="329"/>
        <v>0</v>
      </c>
      <c r="R964" s="10">
        <f t="shared" ca="1" si="330"/>
        <v>45</v>
      </c>
      <c r="S964" s="17">
        <f t="shared" ca="1" si="331"/>
        <v>0</v>
      </c>
      <c r="T964" s="70">
        <f t="shared" ca="1" si="332"/>
        <v>0.6</v>
      </c>
      <c r="U964" s="17">
        <f t="shared" ca="1" si="333"/>
        <v>0</v>
      </c>
      <c r="V964" s="71">
        <f t="shared" ca="1" si="334"/>
        <v>3</v>
      </c>
      <c r="W964" s="17">
        <f t="shared" ca="1" si="335"/>
        <v>0</v>
      </c>
    </row>
    <row r="965" spans="1:23" x14ac:dyDescent="0.25">
      <c r="A965" s="4">
        <f t="shared" si="315"/>
        <v>32</v>
      </c>
      <c r="B965" t="str">
        <f ca="1">TEXT(DATE(YEAR(Invoer!$A$6),1,1)+INT((ROWS(B$2:B965)-1)/4),"jjjjmmdd")</f>
        <v>19400828</v>
      </c>
      <c r="C965" s="64" t="str">
        <f>IF(MOD(ROWS(C$2:C965)-1,4)=3,"24.00",INDEX(Data,3,2+MOD(ROWS(C$2:C965)-1,4)))</f>
        <v>24.00</v>
      </c>
      <c r="D965" s="18" t="str">
        <f t="shared" ca="1" si="316"/>
        <v>—</v>
      </c>
      <c r="E965" s="17">
        <f t="shared" ca="1" si="317"/>
        <v>7</v>
      </c>
      <c r="F965" s="18" t="str">
        <f t="shared" ca="1" si="318"/>
        <v>—</v>
      </c>
      <c r="G965" s="17">
        <f t="shared" ca="1" si="319"/>
        <v>7</v>
      </c>
      <c r="H965" s="18">
        <f t="shared" ca="1" si="320"/>
        <v>29.4</v>
      </c>
      <c r="I965" s="17">
        <f t="shared" ca="1" si="321"/>
        <v>0</v>
      </c>
      <c r="J965" s="18">
        <f t="shared" ca="1" si="322"/>
        <v>31</v>
      </c>
      <c r="K965" s="17">
        <f t="shared" ca="1" si="323"/>
        <v>0</v>
      </c>
      <c r="L965" s="10" t="str">
        <f t="shared" ca="1" si="324"/>
        <v>—</v>
      </c>
      <c r="M965" s="17">
        <f t="shared" ca="1" si="325"/>
        <v>7</v>
      </c>
      <c r="N965" s="18" t="str">
        <f t="shared" ca="1" si="326"/>
        <v>—</v>
      </c>
      <c r="O965" s="17">
        <f t="shared" ca="1" si="327"/>
        <v>7</v>
      </c>
      <c r="P965" s="18" t="str">
        <f t="shared" ca="1" si="328"/>
        <v>—</v>
      </c>
      <c r="Q965" s="17">
        <f t="shared" ca="1" si="329"/>
        <v>7</v>
      </c>
      <c r="R965" s="10" t="str">
        <f t="shared" ca="1" si="330"/>
        <v>—</v>
      </c>
      <c r="S965" s="17">
        <f t="shared" ca="1" si="331"/>
        <v>7</v>
      </c>
      <c r="T965" s="70" t="str">
        <f t="shared" ca="1" si="332"/>
        <v>—</v>
      </c>
      <c r="U965" s="17">
        <f t="shared" ca="1" si="333"/>
        <v>7</v>
      </c>
      <c r="V965" s="71" t="str">
        <f t="shared" ca="1" si="334"/>
        <v>—</v>
      </c>
      <c r="W965" s="17">
        <f t="shared" ca="1" si="335"/>
        <v>7</v>
      </c>
    </row>
    <row r="966" spans="1:23" x14ac:dyDescent="0.25">
      <c r="A966" s="4">
        <f t="shared" si="315"/>
        <v>32</v>
      </c>
      <c r="B966" t="str">
        <f ca="1">TEXT(DATE(YEAR(Invoer!$A$6),1,1)+INT((ROWS(B$2:B966)-1)/4),"jjjjmmdd")</f>
        <v>19400829</v>
      </c>
      <c r="C966" s="64" t="str">
        <f>IF(MOD(ROWS(C$2:C966)-1,4)=3,"24.00",INDEX(Data,3,2+MOD(ROWS(C$2:C966)-1,4)))</f>
        <v>07.00</v>
      </c>
      <c r="D966" s="18">
        <f t="shared" ca="1" si="316"/>
        <v>758.2</v>
      </c>
      <c r="E966" s="17">
        <f t="shared" ca="1" si="317"/>
        <v>0</v>
      </c>
      <c r="F966" s="18">
        <f t="shared" ca="1" si="318"/>
        <v>28.9</v>
      </c>
      <c r="G966" s="17">
        <f t="shared" ca="1" si="319"/>
        <v>0</v>
      </c>
      <c r="H966" s="18" t="str">
        <f t="shared" ca="1" si="320"/>
        <v>—</v>
      </c>
      <c r="I966" s="17">
        <f t="shared" ca="1" si="321"/>
        <v>7</v>
      </c>
      <c r="J966" s="18" t="str">
        <f t="shared" ca="1" si="322"/>
        <v>—</v>
      </c>
      <c r="K966" s="17">
        <f t="shared" ca="1" si="323"/>
        <v>7</v>
      </c>
      <c r="L966" s="10">
        <f t="shared" ca="1" si="324"/>
        <v>84</v>
      </c>
      <c r="M966" s="17">
        <f t="shared" ca="1" si="325"/>
        <v>0</v>
      </c>
      <c r="N966" s="18">
        <f t="shared" ca="1" si="326"/>
        <v>25</v>
      </c>
      <c r="O966" s="17">
        <f t="shared" ca="1" si="327"/>
        <v>0</v>
      </c>
      <c r="P966" s="18">
        <f t="shared" ca="1" si="328"/>
        <v>26.6</v>
      </c>
      <c r="Q966" s="17">
        <f t="shared" ca="1" si="329"/>
        <v>0</v>
      </c>
      <c r="R966" s="10">
        <f t="shared" ca="1" si="330"/>
        <v>45</v>
      </c>
      <c r="S966" s="17">
        <f t="shared" ca="1" si="331"/>
        <v>0</v>
      </c>
      <c r="T966" s="70">
        <f t="shared" ca="1" si="332"/>
        <v>0.4</v>
      </c>
      <c r="U966" s="17">
        <f t="shared" ca="1" si="333"/>
        <v>0</v>
      </c>
      <c r="V966" s="71">
        <f t="shared" ca="1" si="334"/>
        <v>3</v>
      </c>
      <c r="W966" s="17">
        <f t="shared" ca="1" si="335"/>
        <v>0</v>
      </c>
    </row>
    <row r="967" spans="1:23" x14ac:dyDescent="0.25">
      <c r="A967" s="4">
        <f t="shared" si="315"/>
        <v>32</v>
      </c>
      <c r="B967" t="str">
        <f ca="1">TEXT(DATE(YEAR(Invoer!$A$6),1,1)+INT((ROWS(B$2:B967)-1)/4),"jjjjmmdd")</f>
        <v>19400829</v>
      </c>
      <c r="C967" s="64" t="str">
        <f>IF(MOD(ROWS(C$2:C967)-1,4)=3,"24.00",INDEX(Data,3,2+MOD(ROWS(C$2:C967)-1,4)))</f>
        <v>12.00</v>
      </c>
      <c r="D967" s="18">
        <f t="shared" ca="1" si="316"/>
        <v>758.7</v>
      </c>
      <c r="E967" s="17">
        <f t="shared" ca="1" si="317"/>
        <v>0</v>
      </c>
      <c r="F967" s="18">
        <f t="shared" ca="1" si="318"/>
        <v>28.1</v>
      </c>
      <c r="G967" s="17">
        <f t="shared" ca="1" si="319"/>
        <v>0</v>
      </c>
      <c r="H967" s="18" t="str">
        <f t="shared" ca="1" si="320"/>
        <v>—</v>
      </c>
      <c r="I967" s="17">
        <f t="shared" ca="1" si="321"/>
        <v>7</v>
      </c>
      <c r="J967" s="18" t="str">
        <f t="shared" ca="1" si="322"/>
        <v>—</v>
      </c>
      <c r="K967" s="17">
        <f t="shared" ca="1" si="323"/>
        <v>7</v>
      </c>
      <c r="L967" s="10">
        <f t="shared" ca="1" si="324"/>
        <v>90</v>
      </c>
      <c r="M967" s="17">
        <f t="shared" ca="1" si="325"/>
        <v>0</v>
      </c>
      <c r="N967" s="18">
        <f t="shared" ca="1" si="326"/>
        <v>25.8</v>
      </c>
      <c r="O967" s="17">
        <f t="shared" ca="1" si="327"/>
        <v>0</v>
      </c>
      <c r="P967" s="18">
        <f t="shared" ca="1" si="328"/>
        <v>26.8</v>
      </c>
      <c r="Q967" s="17">
        <f t="shared" ca="1" si="329"/>
        <v>0</v>
      </c>
      <c r="R967" s="10">
        <f t="shared" ca="1" si="330"/>
        <v>90</v>
      </c>
      <c r="S967" s="17">
        <f t="shared" ca="1" si="331"/>
        <v>0</v>
      </c>
      <c r="T967" s="70">
        <f t="shared" ca="1" si="332"/>
        <v>0.5</v>
      </c>
      <c r="U967" s="17">
        <f t="shared" ca="1" si="333"/>
        <v>0</v>
      </c>
      <c r="V967" s="71">
        <f t="shared" ca="1" si="334"/>
        <v>4</v>
      </c>
      <c r="W967" s="17">
        <f t="shared" ca="1" si="335"/>
        <v>0</v>
      </c>
    </row>
    <row r="968" spans="1:23" x14ac:dyDescent="0.25">
      <c r="A968" s="4">
        <f t="shared" si="315"/>
        <v>32</v>
      </c>
      <c r="B968" t="str">
        <f ca="1">TEXT(DATE(YEAR(Invoer!$A$6),1,1)+INT((ROWS(B$2:B968)-1)/4),"jjjjmmdd")</f>
        <v>19400829</v>
      </c>
      <c r="C968" s="64" t="str">
        <f>IF(MOD(ROWS(C$2:C968)-1,4)=3,"24.00",INDEX(Data,3,2+MOD(ROWS(C$2:C968)-1,4)))</f>
        <v>17.00</v>
      </c>
      <c r="D968" s="18">
        <f t="shared" ca="1" si="316"/>
        <v>758.2</v>
      </c>
      <c r="E968" s="17">
        <f t="shared" ca="1" si="317"/>
        <v>0</v>
      </c>
      <c r="F968" s="18">
        <f t="shared" ca="1" si="318"/>
        <v>27.1</v>
      </c>
      <c r="G968" s="17">
        <f t="shared" ca="1" si="319"/>
        <v>0</v>
      </c>
      <c r="H968" s="18" t="str">
        <f t="shared" ca="1" si="320"/>
        <v>—</v>
      </c>
      <c r="I968" s="17">
        <f t="shared" ca="1" si="321"/>
        <v>7</v>
      </c>
      <c r="J968" s="18" t="str">
        <f t="shared" ca="1" si="322"/>
        <v>—</v>
      </c>
      <c r="K968" s="17">
        <f t="shared" ca="1" si="323"/>
        <v>7</v>
      </c>
      <c r="L968" s="10">
        <f t="shared" ca="1" si="324"/>
        <v>96</v>
      </c>
      <c r="M968" s="17">
        <f t="shared" ca="1" si="325"/>
        <v>0</v>
      </c>
      <c r="N968" s="18">
        <f t="shared" ca="1" si="326"/>
        <v>25.9</v>
      </c>
      <c r="O968" s="17">
        <f t="shared" ca="1" si="327"/>
        <v>0</v>
      </c>
      <c r="P968" s="18">
        <f t="shared" ca="1" si="328"/>
        <v>26.6</v>
      </c>
      <c r="Q968" s="17">
        <f t="shared" ca="1" si="329"/>
        <v>0</v>
      </c>
      <c r="R968" s="10">
        <f t="shared" ca="1" si="330"/>
        <v>90</v>
      </c>
      <c r="S968" s="17">
        <f t="shared" ca="1" si="331"/>
        <v>0</v>
      </c>
      <c r="T968" s="70">
        <f t="shared" ca="1" si="332"/>
        <v>0.5</v>
      </c>
      <c r="U968" s="17">
        <f t="shared" ca="1" si="333"/>
        <v>0</v>
      </c>
      <c r="V968" s="71">
        <f t="shared" ca="1" si="334"/>
        <v>3</v>
      </c>
      <c r="W968" s="17">
        <f t="shared" ca="1" si="335"/>
        <v>0</v>
      </c>
    </row>
    <row r="969" spans="1:23" x14ac:dyDescent="0.25">
      <c r="A969" s="4">
        <f t="shared" si="315"/>
        <v>32</v>
      </c>
      <c r="B969" t="str">
        <f ca="1">TEXT(DATE(YEAR(Invoer!$A$6),1,1)+INT((ROWS(B$2:B969)-1)/4),"jjjjmmdd")</f>
        <v>19400829</v>
      </c>
      <c r="C969" s="64" t="str">
        <f>IF(MOD(ROWS(C$2:C969)-1,4)=3,"24.00",INDEX(Data,3,2+MOD(ROWS(C$2:C969)-1,4)))</f>
        <v>24.00</v>
      </c>
      <c r="D969" s="18" t="str">
        <f t="shared" ca="1" si="316"/>
        <v>—</v>
      </c>
      <c r="E969" s="17">
        <f t="shared" ca="1" si="317"/>
        <v>7</v>
      </c>
      <c r="F969" s="18" t="str">
        <f t="shared" ca="1" si="318"/>
        <v>—</v>
      </c>
      <c r="G969" s="17">
        <f t="shared" ca="1" si="319"/>
        <v>7</v>
      </c>
      <c r="H969" s="18">
        <f t="shared" ca="1" si="320"/>
        <v>29.4</v>
      </c>
      <c r="I969" s="17">
        <f t="shared" ca="1" si="321"/>
        <v>0</v>
      </c>
      <c r="J969" s="18">
        <f t="shared" ca="1" si="322"/>
        <v>31</v>
      </c>
      <c r="K969" s="17">
        <f t="shared" ca="1" si="323"/>
        <v>0</v>
      </c>
      <c r="L969" s="10" t="str">
        <f t="shared" ca="1" si="324"/>
        <v>—</v>
      </c>
      <c r="M969" s="17">
        <f t="shared" ca="1" si="325"/>
        <v>7</v>
      </c>
      <c r="N969" s="18" t="str">
        <f t="shared" ca="1" si="326"/>
        <v>—</v>
      </c>
      <c r="O969" s="17">
        <f t="shared" ca="1" si="327"/>
        <v>7</v>
      </c>
      <c r="P969" s="18" t="str">
        <f t="shared" ca="1" si="328"/>
        <v>—</v>
      </c>
      <c r="Q969" s="17">
        <f t="shared" ca="1" si="329"/>
        <v>7</v>
      </c>
      <c r="R969" s="10" t="str">
        <f t="shared" ca="1" si="330"/>
        <v>—</v>
      </c>
      <c r="S969" s="17">
        <f t="shared" ca="1" si="331"/>
        <v>7</v>
      </c>
      <c r="T969" s="70" t="str">
        <f t="shared" ca="1" si="332"/>
        <v>—</v>
      </c>
      <c r="U969" s="17">
        <f t="shared" ca="1" si="333"/>
        <v>7</v>
      </c>
      <c r="V969" s="71" t="str">
        <f t="shared" ca="1" si="334"/>
        <v>—</v>
      </c>
      <c r="W969" s="17">
        <f t="shared" ca="1" si="335"/>
        <v>7</v>
      </c>
    </row>
    <row r="970" spans="1:23" x14ac:dyDescent="0.25">
      <c r="A970" s="4">
        <f t="shared" si="315"/>
        <v>32</v>
      </c>
      <c r="B970" t="str">
        <f ca="1">TEXT(DATE(YEAR(Invoer!$A$6),1,1)+INT((ROWS(B$2:B970)-1)/4),"jjjjmmdd")</f>
        <v>19400830</v>
      </c>
      <c r="C970" s="64" t="str">
        <f>IF(MOD(ROWS(C$2:C970)-1,4)=3,"24.00",INDEX(Data,3,2+MOD(ROWS(C$2:C970)-1,4)))</f>
        <v>07.00</v>
      </c>
      <c r="D970" s="18">
        <f t="shared" ca="1" si="316"/>
        <v>757.9</v>
      </c>
      <c r="E970" s="17">
        <f t="shared" ca="1" si="317"/>
        <v>0</v>
      </c>
      <c r="F970" s="18">
        <f t="shared" ca="1" si="318"/>
        <v>27.7</v>
      </c>
      <c r="G970" s="17">
        <f t="shared" ca="1" si="319"/>
        <v>0</v>
      </c>
      <c r="H970" s="18" t="str">
        <f t="shared" ca="1" si="320"/>
        <v>—</v>
      </c>
      <c r="I970" s="17">
        <f t="shared" ca="1" si="321"/>
        <v>7</v>
      </c>
      <c r="J970" s="18" t="str">
        <f t="shared" ca="1" si="322"/>
        <v>—</v>
      </c>
      <c r="K970" s="17">
        <f t="shared" ca="1" si="323"/>
        <v>7</v>
      </c>
      <c r="L970" s="10">
        <f t="shared" ca="1" si="324"/>
        <v>92</v>
      </c>
      <c r="M970" s="17">
        <f t="shared" ca="1" si="325"/>
        <v>0</v>
      </c>
      <c r="N970" s="18">
        <f t="shared" ca="1" si="326"/>
        <v>25.6</v>
      </c>
      <c r="O970" s="17">
        <f t="shared" ca="1" si="327"/>
        <v>0</v>
      </c>
      <c r="P970" s="18">
        <f t="shared" ca="1" si="328"/>
        <v>26.6</v>
      </c>
      <c r="Q970" s="17">
        <f t="shared" ca="1" si="329"/>
        <v>0</v>
      </c>
      <c r="R970" s="10">
        <f t="shared" ca="1" si="330"/>
        <v>65</v>
      </c>
      <c r="S970" s="17">
        <f t="shared" ca="1" si="331"/>
        <v>0</v>
      </c>
      <c r="T970" s="70">
        <f t="shared" ca="1" si="332"/>
        <v>0.4</v>
      </c>
      <c r="U970" s="17">
        <f t="shared" ca="1" si="333"/>
        <v>0</v>
      </c>
      <c r="V970" s="71">
        <f t="shared" ca="1" si="334"/>
        <v>3</v>
      </c>
      <c r="W970" s="17">
        <f t="shared" ca="1" si="335"/>
        <v>0</v>
      </c>
    </row>
    <row r="971" spans="1:23" x14ac:dyDescent="0.25">
      <c r="A971" s="4">
        <f t="shared" si="315"/>
        <v>32</v>
      </c>
      <c r="B971" t="str">
        <f ca="1">TEXT(DATE(YEAR(Invoer!$A$6),1,1)+INT((ROWS(B$2:B971)-1)/4),"jjjjmmdd")</f>
        <v>19400830</v>
      </c>
      <c r="C971" s="64" t="str">
        <f>IF(MOD(ROWS(C$2:C971)-1,4)=3,"24.00",INDEX(Data,3,2+MOD(ROWS(C$2:C971)-1,4)))</f>
        <v>12.00</v>
      </c>
      <c r="D971" s="18">
        <f t="shared" ca="1" si="316"/>
        <v>761.2</v>
      </c>
      <c r="E971" s="17">
        <f t="shared" ca="1" si="317"/>
        <v>0</v>
      </c>
      <c r="F971" s="18">
        <f t="shared" ca="1" si="318"/>
        <v>27.9</v>
      </c>
      <c r="G971" s="17">
        <f t="shared" ca="1" si="319"/>
        <v>0</v>
      </c>
      <c r="H971" s="18" t="str">
        <f t="shared" ca="1" si="320"/>
        <v>—</v>
      </c>
      <c r="I971" s="17">
        <f t="shared" ca="1" si="321"/>
        <v>7</v>
      </c>
      <c r="J971" s="18" t="str">
        <f t="shared" ca="1" si="322"/>
        <v>—</v>
      </c>
      <c r="K971" s="17">
        <f t="shared" ca="1" si="323"/>
        <v>7</v>
      </c>
      <c r="L971" s="10">
        <f t="shared" ca="1" si="324"/>
        <v>92</v>
      </c>
      <c r="M971" s="17">
        <f t="shared" ca="1" si="325"/>
        <v>0</v>
      </c>
      <c r="N971" s="18">
        <f t="shared" ca="1" si="326"/>
        <v>25.9</v>
      </c>
      <c r="O971" s="17">
        <f t="shared" ca="1" si="327"/>
        <v>0</v>
      </c>
      <c r="P971" s="18">
        <f t="shared" ca="1" si="328"/>
        <v>26.8</v>
      </c>
      <c r="Q971" s="17">
        <f t="shared" ca="1" si="329"/>
        <v>0</v>
      </c>
      <c r="R971" s="10">
        <f t="shared" ca="1" si="330"/>
        <v>65</v>
      </c>
      <c r="S971" s="17">
        <f t="shared" ca="1" si="331"/>
        <v>0</v>
      </c>
      <c r="T971" s="70">
        <f t="shared" ca="1" si="332"/>
        <v>0.5</v>
      </c>
      <c r="U971" s="17">
        <f t="shared" ca="1" si="333"/>
        <v>0</v>
      </c>
      <c r="V971" s="71">
        <f t="shared" ca="1" si="334"/>
        <v>3</v>
      </c>
      <c r="W971" s="17">
        <f t="shared" ca="1" si="335"/>
        <v>0</v>
      </c>
    </row>
    <row r="972" spans="1:23" x14ac:dyDescent="0.25">
      <c r="A972" s="4">
        <f t="shared" si="315"/>
        <v>32</v>
      </c>
      <c r="B972" t="str">
        <f ca="1">TEXT(DATE(YEAR(Invoer!$A$6),1,1)+INT((ROWS(B$2:B972)-1)/4),"jjjjmmdd")</f>
        <v>19400830</v>
      </c>
      <c r="C972" s="64" t="str">
        <f>IF(MOD(ROWS(C$2:C972)-1,4)=3,"24.00",INDEX(Data,3,2+MOD(ROWS(C$2:C972)-1,4)))</f>
        <v>17.00</v>
      </c>
      <c r="D972" s="18">
        <f t="shared" ca="1" si="316"/>
        <v>758.2</v>
      </c>
      <c r="E972" s="17">
        <f t="shared" ca="1" si="317"/>
        <v>0</v>
      </c>
      <c r="F972" s="18">
        <f t="shared" ca="1" si="318"/>
        <v>27.1</v>
      </c>
      <c r="G972" s="17">
        <f t="shared" ca="1" si="319"/>
        <v>0</v>
      </c>
      <c r="H972" s="18" t="str">
        <f t="shared" ca="1" si="320"/>
        <v>—</v>
      </c>
      <c r="I972" s="17">
        <f t="shared" ca="1" si="321"/>
        <v>7</v>
      </c>
      <c r="J972" s="18" t="str">
        <f t="shared" ca="1" si="322"/>
        <v>—</v>
      </c>
      <c r="K972" s="17">
        <f t="shared" ca="1" si="323"/>
        <v>7</v>
      </c>
      <c r="L972" s="10">
        <f t="shared" ca="1" si="324"/>
        <v>96</v>
      </c>
      <c r="M972" s="17">
        <f t="shared" ca="1" si="325"/>
        <v>0</v>
      </c>
      <c r="N972" s="18">
        <f t="shared" ca="1" si="326"/>
        <v>25.9</v>
      </c>
      <c r="O972" s="17">
        <f t="shared" ca="1" si="327"/>
        <v>0</v>
      </c>
      <c r="P972" s="18">
        <f t="shared" ca="1" si="328"/>
        <v>26.6</v>
      </c>
      <c r="Q972" s="17">
        <f t="shared" ca="1" si="329"/>
        <v>0</v>
      </c>
      <c r="R972" s="10">
        <f t="shared" ca="1" si="330"/>
        <v>65</v>
      </c>
      <c r="S972" s="17">
        <f t="shared" ca="1" si="331"/>
        <v>0</v>
      </c>
      <c r="T972" s="70">
        <f t="shared" ca="1" si="332"/>
        <v>0.5</v>
      </c>
      <c r="U972" s="17">
        <f t="shared" ca="1" si="333"/>
        <v>0</v>
      </c>
      <c r="V972" s="71">
        <f t="shared" ca="1" si="334"/>
        <v>3</v>
      </c>
      <c r="W972" s="17">
        <f t="shared" ca="1" si="335"/>
        <v>0</v>
      </c>
    </row>
    <row r="973" spans="1:23" x14ac:dyDescent="0.25">
      <c r="A973" s="4">
        <f t="shared" si="315"/>
        <v>32</v>
      </c>
      <c r="B973" t="str">
        <f ca="1">TEXT(DATE(YEAR(Invoer!$A$6),1,1)+INT((ROWS(B$2:B973)-1)/4),"jjjjmmdd")</f>
        <v>19400830</v>
      </c>
      <c r="C973" s="64" t="str">
        <f>IF(MOD(ROWS(C$2:C973)-1,4)=3,"24.00",INDEX(Data,3,2+MOD(ROWS(C$2:C973)-1,4)))</f>
        <v>24.00</v>
      </c>
      <c r="D973" s="18" t="str">
        <f t="shared" ca="1" si="316"/>
        <v>—</v>
      </c>
      <c r="E973" s="17">
        <f t="shared" ca="1" si="317"/>
        <v>7</v>
      </c>
      <c r="F973" s="18" t="str">
        <f t="shared" ca="1" si="318"/>
        <v>—</v>
      </c>
      <c r="G973" s="17">
        <f t="shared" ca="1" si="319"/>
        <v>7</v>
      </c>
      <c r="H973" s="18">
        <f t="shared" ca="1" si="320"/>
        <v>28.8</v>
      </c>
      <c r="I973" s="17">
        <f t="shared" ca="1" si="321"/>
        <v>0</v>
      </c>
      <c r="J973" s="18">
        <f t="shared" ca="1" si="322"/>
        <v>30.6</v>
      </c>
      <c r="K973" s="17">
        <f t="shared" ca="1" si="323"/>
        <v>0</v>
      </c>
      <c r="L973" s="10" t="str">
        <f t="shared" ca="1" si="324"/>
        <v>—</v>
      </c>
      <c r="M973" s="17">
        <f t="shared" ca="1" si="325"/>
        <v>7</v>
      </c>
      <c r="N973" s="18" t="str">
        <f t="shared" ca="1" si="326"/>
        <v>—</v>
      </c>
      <c r="O973" s="17">
        <f t="shared" ca="1" si="327"/>
        <v>7</v>
      </c>
      <c r="P973" s="18" t="str">
        <f t="shared" ca="1" si="328"/>
        <v>—</v>
      </c>
      <c r="Q973" s="17">
        <f t="shared" ca="1" si="329"/>
        <v>7</v>
      </c>
      <c r="R973" s="10" t="str">
        <f t="shared" ca="1" si="330"/>
        <v>—</v>
      </c>
      <c r="S973" s="17">
        <f t="shared" ca="1" si="331"/>
        <v>7</v>
      </c>
      <c r="T973" s="70" t="str">
        <f t="shared" ca="1" si="332"/>
        <v>—</v>
      </c>
      <c r="U973" s="17">
        <f t="shared" ca="1" si="333"/>
        <v>7</v>
      </c>
      <c r="V973" s="71" t="str">
        <f t="shared" ca="1" si="334"/>
        <v>—</v>
      </c>
      <c r="W973" s="17">
        <f t="shared" ca="1" si="335"/>
        <v>7</v>
      </c>
    </row>
    <row r="974" spans="1:23" x14ac:dyDescent="0.25">
      <c r="A974" s="4">
        <f t="shared" si="315"/>
        <v>32</v>
      </c>
      <c r="B974" t="str">
        <f ca="1">TEXT(DATE(YEAR(Invoer!$A$6),1,1)+INT((ROWS(B$2:B974)-1)/4),"jjjjmmdd")</f>
        <v>19400831</v>
      </c>
      <c r="C974" s="64" t="str">
        <f>IF(MOD(ROWS(C$2:C974)-1,4)=3,"24.00",INDEX(Data,3,2+MOD(ROWS(C$2:C974)-1,4)))</f>
        <v>07.00</v>
      </c>
      <c r="D974" s="18">
        <f t="shared" ca="1" si="316"/>
        <v>758.5</v>
      </c>
      <c r="E974" s="17">
        <f t="shared" ca="1" si="317"/>
        <v>0</v>
      </c>
      <c r="F974" s="18">
        <f t="shared" ca="1" si="318"/>
        <v>27.5</v>
      </c>
      <c r="G974" s="17">
        <f t="shared" ca="1" si="319"/>
        <v>0</v>
      </c>
      <c r="H974" s="18" t="str">
        <f t="shared" ca="1" si="320"/>
        <v>—</v>
      </c>
      <c r="I974" s="17">
        <f t="shared" ca="1" si="321"/>
        <v>7</v>
      </c>
      <c r="J974" s="18" t="str">
        <f t="shared" ca="1" si="322"/>
        <v>—</v>
      </c>
      <c r="K974" s="17">
        <f t="shared" ca="1" si="323"/>
        <v>7</v>
      </c>
      <c r="L974" s="10">
        <f t="shared" ca="1" si="324"/>
        <v>92</v>
      </c>
      <c r="M974" s="17">
        <f t="shared" ca="1" si="325"/>
        <v>0</v>
      </c>
      <c r="N974" s="18">
        <f t="shared" ca="1" si="326"/>
        <v>25.3</v>
      </c>
      <c r="O974" s="17">
        <f t="shared" ca="1" si="327"/>
        <v>0</v>
      </c>
      <c r="P974" s="18">
        <f t="shared" ca="1" si="328"/>
        <v>26.4</v>
      </c>
      <c r="Q974" s="17">
        <f t="shared" ca="1" si="329"/>
        <v>0</v>
      </c>
      <c r="R974" s="10">
        <f t="shared" ca="1" si="330"/>
        <v>65</v>
      </c>
      <c r="S974" s="17">
        <f t="shared" ca="1" si="331"/>
        <v>0</v>
      </c>
      <c r="T974" s="70">
        <f t="shared" ca="1" si="332"/>
        <v>0.4</v>
      </c>
      <c r="U974" s="17">
        <f t="shared" ca="1" si="333"/>
        <v>0</v>
      </c>
      <c r="V974" s="71">
        <f t="shared" ca="1" si="334"/>
        <v>3</v>
      </c>
      <c r="W974" s="17">
        <f t="shared" ca="1" si="335"/>
        <v>0</v>
      </c>
    </row>
    <row r="975" spans="1:23" x14ac:dyDescent="0.25">
      <c r="A975" s="4">
        <f t="shared" si="315"/>
        <v>32</v>
      </c>
      <c r="B975" t="str">
        <f ca="1">TEXT(DATE(YEAR(Invoer!$A$6),1,1)+INT((ROWS(B$2:B975)-1)/4),"jjjjmmdd")</f>
        <v>19400831</v>
      </c>
      <c r="C975" s="64" t="str">
        <f>IF(MOD(ROWS(C$2:C975)-1,4)=3,"24.00",INDEX(Data,3,2+MOD(ROWS(C$2:C975)-1,4)))</f>
        <v>12.00</v>
      </c>
      <c r="D975" s="18">
        <f t="shared" ca="1" si="316"/>
        <v>760.5</v>
      </c>
      <c r="E975" s="17">
        <f t="shared" ca="1" si="317"/>
        <v>0</v>
      </c>
      <c r="F975" s="18">
        <f t="shared" ca="1" si="318"/>
        <v>27.9</v>
      </c>
      <c r="G975" s="17">
        <f t="shared" ca="1" si="319"/>
        <v>0</v>
      </c>
      <c r="H975" s="18" t="str">
        <f t="shared" ca="1" si="320"/>
        <v>—</v>
      </c>
      <c r="I975" s="17">
        <f t="shared" ca="1" si="321"/>
        <v>7</v>
      </c>
      <c r="J975" s="18" t="str">
        <f t="shared" ca="1" si="322"/>
        <v>—</v>
      </c>
      <c r="K975" s="17">
        <f t="shared" ca="1" si="323"/>
        <v>7</v>
      </c>
      <c r="L975" s="10">
        <f t="shared" ca="1" si="324"/>
        <v>92</v>
      </c>
      <c r="M975" s="17">
        <f t="shared" ca="1" si="325"/>
        <v>0</v>
      </c>
      <c r="N975" s="18">
        <f t="shared" ca="1" si="326"/>
        <v>25.9</v>
      </c>
      <c r="O975" s="17">
        <f t="shared" ca="1" si="327"/>
        <v>0</v>
      </c>
      <c r="P975" s="18">
        <f t="shared" ca="1" si="328"/>
        <v>26.8</v>
      </c>
      <c r="Q975" s="17">
        <f t="shared" ca="1" si="329"/>
        <v>0</v>
      </c>
      <c r="R975" s="10">
        <f t="shared" ca="1" si="330"/>
        <v>65</v>
      </c>
      <c r="S975" s="17">
        <f t="shared" ca="1" si="331"/>
        <v>0</v>
      </c>
      <c r="T975" s="70">
        <f t="shared" ca="1" si="332"/>
        <v>0.5</v>
      </c>
      <c r="U975" s="17">
        <f t="shared" ca="1" si="333"/>
        <v>0</v>
      </c>
      <c r="V975" s="71">
        <f t="shared" ca="1" si="334"/>
        <v>4</v>
      </c>
      <c r="W975" s="17">
        <f t="shared" ca="1" si="335"/>
        <v>0</v>
      </c>
    </row>
    <row r="976" spans="1:23" x14ac:dyDescent="0.25">
      <c r="A976" s="4">
        <f t="shared" si="315"/>
        <v>32</v>
      </c>
      <c r="B976" t="str">
        <f ca="1">TEXT(DATE(YEAR(Invoer!$A$6),1,1)+INT((ROWS(B$2:B976)-1)/4),"jjjjmmdd")</f>
        <v>19400831</v>
      </c>
      <c r="C976" s="64" t="str">
        <f>IF(MOD(ROWS(C$2:C976)-1,4)=3,"24.00",INDEX(Data,3,2+MOD(ROWS(C$2:C976)-1,4)))</f>
        <v>17.00</v>
      </c>
      <c r="D976" s="18">
        <f t="shared" ca="1" si="316"/>
        <v>758.2</v>
      </c>
      <c r="E976" s="17">
        <f t="shared" ca="1" si="317"/>
        <v>0</v>
      </c>
      <c r="F976" s="18">
        <f t="shared" ca="1" si="318"/>
        <v>27.3</v>
      </c>
      <c r="G976" s="17">
        <f t="shared" ca="1" si="319"/>
        <v>0</v>
      </c>
      <c r="H976" s="18" t="str">
        <f t="shared" ca="1" si="320"/>
        <v>—</v>
      </c>
      <c r="I976" s="17">
        <f t="shared" ca="1" si="321"/>
        <v>7</v>
      </c>
      <c r="J976" s="18" t="str">
        <f t="shared" ca="1" si="322"/>
        <v>—</v>
      </c>
      <c r="K976" s="17">
        <f t="shared" ca="1" si="323"/>
        <v>7</v>
      </c>
      <c r="L976" s="10">
        <f t="shared" ca="1" si="324"/>
        <v>93</v>
      </c>
      <c r="M976" s="17">
        <f t="shared" ca="1" si="325"/>
        <v>0</v>
      </c>
      <c r="N976" s="18">
        <f t="shared" ca="1" si="326"/>
        <v>25.4</v>
      </c>
      <c r="O976" s="17">
        <f t="shared" ca="1" si="327"/>
        <v>0</v>
      </c>
      <c r="P976" s="18">
        <f t="shared" ca="1" si="328"/>
        <v>26.4</v>
      </c>
      <c r="Q976" s="17">
        <f t="shared" ca="1" si="329"/>
        <v>0</v>
      </c>
      <c r="R976" s="10">
        <f t="shared" ca="1" si="330"/>
        <v>90</v>
      </c>
      <c r="S976" s="17">
        <f t="shared" ca="1" si="331"/>
        <v>0</v>
      </c>
      <c r="T976" s="70">
        <f t="shared" ca="1" si="332"/>
        <v>0.5</v>
      </c>
      <c r="U976" s="17">
        <f t="shared" ca="1" si="333"/>
        <v>0</v>
      </c>
      <c r="V976" s="71">
        <f t="shared" ca="1" si="334"/>
        <v>4</v>
      </c>
      <c r="W976" s="17">
        <f t="shared" ca="1" si="335"/>
        <v>0</v>
      </c>
    </row>
    <row r="977" spans="1:23" x14ac:dyDescent="0.25">
      <c r="A977" s="4">
        <f t="shared" si="315"/>
        <v>32</v>
      </c>
      <c r="B977" t="str">
        <f ca="1">TEXT(DATE(YEAR(Invoer!$A$6),1,1)+INT((ROWS(B$2:B977)-1)/4),"jjjjmmdd")</f>
        <v>19400831</v>
      </c>
      <c r="C977" s="64" t="str">
        <f>IF(MOD(ROWS(C$2:C977)-1,4)=3,"24.00",INDEX(Data,3,2+MOD(ROWS(C$2:C977)-1,4)))</f>
        <v>24.00</v>
      </c>
      <c r="D977" s="18" t="str">
        <f t="shared" ca="1" si="316"/>
        <v>—</v>
      </c>
      <c r="E977" s="17">
        <f t="shared" ca="1" si="317"/>
        <v>7</v>
      </c>
      <c r="F977" s="18" t="str">
        <f t="shared" ca="1" si="318"/>
        <v>—</v>
      </c>
      <c r="G977" s="17">
        <f t="shared" ca="1" si="319"/>
        <v>7</v>
      </c>
      <c r="H977" s="18">
        <f t="shared" ca="1" si="320"/>
        <v>29</v>
      </c>
      <c r="I977" s="17">
        <f t="shared" ca="1" si="321"/>
        <v>0</v>
      </c>
      <c r="J977" s="18">
        <f t="shared" ca="1" si="322"/>
        <v>30.6</v>
      </c>
      <c r="K977" s="17">
        <f t="shared" ca="1" si="323"/>
        <v>0</v>
      </c>
      <c r="L977" s="10" t="str">
        <f t="shared" ca="1" si="324"/>
        <v>—</v>
      </c>
      <c r="M977" s="17">
        <f t="shared" ca="1" si="325"/>
        <v>7</v>
      </c>
      <c r="N977" s="18" t="str">
        <f t="shared" ca="1" si="326"/>
        <v>—</v>
      </c>
      <c r="O977" s="17">
        <f t="shared" ca="1" si="327"/>
        <v>7</v>
      </c>
      <c r="P977" s="18" t="str">
        <f t="shared" ca="1" si="328"/>
        <v>—</v>
      </c>
      <c r="Q977" s="17">
        <f t="shared" ca="1" si="329"/>
        <v>7</v>
      </c>
      <c r="R977" s="10" t="str">
        <f t="shared" ca="1" si="330"/>
        <v>—</v>
      </c>
      <c r="S977" s="17">
        <f t="shared" ca="1" si="331"/>
        <v>7</v>
      </c>
      <c r="T977" s="70" t="str">
        <f t="shared" ca="1" si="332"/>
        <v>—</v>
      </c>
      <c r="U977" s="17">
        <f t="shared" ca="1" si="333"/>
        <v>7</v>
      </c>
      <c r="V977" s="71" t="str">
        <f t="shared" ca="1" si="334"/>
        <v>—</v>
      </c>
      <c r="W977" s="17">
        <f t="shared" ca="1" si="335"/>
        <v>7</v>
      </c>
    </row>
    <row r="978" spans="1:23" x14ac:dyDescent="0.25">
      <c r="A978" s="4">
        <f t="shared" si="315"/>
        <v>32</v>
      </c>
      <c r="B978" t="str">
        <f ca="1">TEXT(DATE(YEAR(Invoer!$A$6),1,1)+INT((ROWS(B$2:B978)-1)/4),"jjjjmmdd")</f>
        <v>19400901</v>
      </c>
      <c r="C978" s="64" t="str">
        <f>IF(MOD(ROWS(C$2:C978)-1,4)=3,"24.00",INDEX(Data,3,2+MOD(ROWS(C$2:C978)-1,4)))</f>
        <v>07.00</v>
      </c>
      <c r="D978" s="18">
        <f t="shared" ca="1" si="316"/>
        <v>758.2</v>
      </c>
      <c r="E978" s="17">
        <f t="shared" ca="1" si="317"/>
        <v>0</v>
      </c>
      <c r="F978" s="18">
        <f t="shared" ca="1" si="318"/>
        <v>27.1</v>
      </c>
      <c r="G978" s="17">
        <f t="shared" ca="1" si="319"/>
        <v>0</v>
      </c>
      <c r="H978" s="18" t="str">
        <f t="shared" ca="1" si="320"/>
        <v>—</v>
      </c>
      <c r="I978" s="17">
        <f t="shared" ca="1" si="321"/>
        <v>7</v>
      </c>
      <c r="J978" s="18" t="str">
        <f t="shared" ca="1" si="322"/>
        <v>—</v>
      </c>
      <c r="K978" s="17">
        <f t="shared" ca="1" si="323"/>
        <v>7</v>
      </c>
      <c r="L978" s="10">
        <f t="shared" ca="1" si="324"/>
        <v>92</v>
      </c>
      <c r="M978" s="17">
        <f t="shared" ca="1" si="325"/>
        <v>0</v>
      </c>
      <c r="N978" s="18">
        <f t="shared" ca="1" si="326"/>
        <v>24.7</v>
      </c>
      <c r="O978" s="17">
        <f t="shared" ca="1" si="327"/>
        <v>0</v>
      </c>
      <c r="P978" s="18">
        <f t="shared" ca="1" si="328"/>
        <v>26</v>
      </c>
      <c r="Q978" s="17">
        <f t="shared" ca="1" si="329"/>
        <v>0</v>
      </c>
      <c r="R978" s="10">
        <f t="shared" ca="1" si="330"/>
        <v>135</v>
      </c>
      <c r="S978" s="17">
        <f t="shared" ca="1" si="331"/>
        <v>0</v>
      </c>
      <c r="T978" s="70">
        <f t="shared" ca="1" si="332"/>
        <v>0.3</v>
      </c>
      <c r="U978" s="17">
        <f t="shared" ca="1" si="333"/>
        <v>0</v>
      </c>
      <c r="V978" s="71">
        <f t="shared" ca="1" si="334"/>
        <v>5</v>
      </c>
      <c r="W978" s="17">
        <f t="shared" ca="1" si="335"/>
        <v>0</v>
      </c>
    </row>
    <row r="979" spans="1:23" x14ac:dyDescent="0.25">
      <c r="A979" s="4">
        <f t="shared" si="315"/>
        <v>32</v>
      </c>
      <c r="B979" t="str">
        <f ca="1">TEXT(DATE(YEAR(Invoer!$A$6),1,1)+INT((ROWS(B$2:B979)-1)/4),"jjjjmmdd")</f>
        <v>19400901</v>
      </c>
      <c r="C979" s="64" t="str">
        <f>IF(MOD(ROWS(C$2:C979)-1,4)=3,"24.00",INDEX(Data,3,2+MOD(ROWS(C$2:C979)-1,4)))</f>
        <v>12.00</v>
      </c>
      <c r="D979" s="18">
        <f t="shared" ca="1" si="316"/>
        <v>759.7</v>
      </c>
      <c r="E979" s="17">
        <f t="shared" ca="1" si="317"/>
        <v>0</v>
      </c>
      <c r="F979" s="18">
        <f t="shared" ca="1" si="318"/>
        <v>27.9</v>
      </c>
      <c r="G979" s="17">
        <f t="shared" ca="1" si="319"/>
        <v>0</v>
      </c>
      <c r="H979" s="18" t="str">
        <f t="shared" ca="1" si="320"/>
        <v>—</v>
      </c>
      <c r="I979" s="17">
        <f t="shared" ca="1" si="321"/>
        <v>7</v>
      </c>
      <c r="J979" s="18" t="str">
        <f t="shared" ca="1" si="322"/>
        <v>—</v>
      </c>
      <c r="K979" s="17">
        <f t="shared" ca="1" si="323"/>
        <v>7</v>
      </c>
      <c r="L979" s="10">
        <f t="shared" ca="1" si="324"/>
        <v>92</v>
      </c>
      <c r="M979" s="17">
        <f t="shared" ca="1" si="325"/>
        <v>0</v>
      </c>
      <c r="N979" s="18">
        <f t="shared" ca="1" si="326"/>
        <v>25.9</v>
      </c>
      <c r="O979" s="17">
        <f t="shared" ca="1" si="327"/>
        <v>0</v>
      </c>
      <c r="P979" s="18">
        <f t="shared" ca="1" si="328"/>
        <v>26.8</v>
      </c>
      <c r="Q979" s="17">
        <f t="shared" ca="1" si="329"/>
        <v>0</v>
      </c>
      <c r="R979" s="10">
        <f t="shared" ca="1" si="330"/>
        <v>90</v>
      </c>
      <c r="S979" s="17">
        <f t="shared" ca="1" si="331"/>
        <v>0</v>
      </c>
      <c r="T979" s="70">
        <f t="shared" ca="1" si="332"/>
        <v>0.4</v>
      </c>
      <c r="U979" s="17">
        <f t="shared" ca="1" si="333"/>
        <v>0</v>
      </c>
      <c r="V979" s="71">
        <f t="shared" ca="1" si="334"/>
        <v>6</v>
      </c>
      <c r="W979" s="17">
        <f t="shared" ca="1" si="335"/>
        <v>0</v>
      </c>
    </row>
    <row r="980" spans="1:23" x14ac:dyDescent="0.25">
      <c r="A980" s="4">
        <f t="shared" si="315"/>
        <v>32</v>
      </c>
      <c r="B980" t="str">
        <f ca="1">TEXT(DATE(YEAR(Invoer!$A$6),1,1)+INT((ROWS(B$2:B980)-1)/4),"jjjjmmdd")</f>
        <v>19400901</v>
      </c>
      <c r="C980" s="64" t="str">
        <f>IF(MOD(ROWS(C$2:C980)-1,4)=3,"24.00",INDEX(Data,3,2+MOD(ROWS(C$2:C980)-1,4)))</f>
        <v>17.00</v>
      </c>
      <c r="D980" s="18">
        <f t="shared" ca="1" si="316"/>
        <v>759</v>
      </c>
      <c r="E980" s="17">
        <f t="shared" ca="1" si="317"/>
        <v>0</v>
      </c>
      <c r="F980" s="18">
        <f t="shared" ca="1" si="318"/>
        <v>27.6</v>
      </c>
      <c r="G980" s="17">
        <f t="shared" ca="1" si="319"/>
        <v>0</v>
      </c>
      <c r="H980" s="18" t="str">
        <f t="shared" ca="1" si="320"/>
        <v>—</v>
      </c>
      <c r="I980" s="17">
        <f t="shared" ca="1" si="321"/>
        <v>7</v>
      </c>
      <c r="J980" s="18" t="str">
        <f t="shared" ca="1" si="322"/>
        <v>—</v>
      </c>
      <c r="K980" s="17">
        <f t="shared" ca="1" si="323"/>
        <v>7</v>
      </c>
      <c r="L980" s="10">
        <f t="shared" ca="1" si="324"/>
        <v>87</v>
      </c>
      <c r="M980" s="17">
        <f t="shared" ca="1" si="325"/>
        <v>0</v>
      </c>
      <c r="N980" s="18">
        <f t="shared" ca="1" si="326"/>
        <v>24</v>
      </c>
      <c r="O980" s="17">
        <f t="shared" ca="1" si="327"/>
        <v>0</v>
      </c>
      <c r="P980" s="18">
        <f t="shared" ca="1" si="328"/>
        <v>25.8</v>
      </c>
      <c r="Q980" s="17">
        <f t="shared" ca="1" si="329"/>
        <v>0</v>
      </c>
      <c r="R980" s="10">
        <f t="shared" ca="1" si="330"/>
        <v>65</v>
      </c>
      <c r="S980" s="17">
        <f t="shared" ca="1" si="331"/>
        <v>0</v>
      </c>
      <c r="T980" s="70">
        <f t="shared" ca="1" si="332"/>
        <v>0.4</v>
      </c>
      <c r="U980" s="17">
        <f t="shared" ca="1" si="333"/>
        <v>0</v>
      </c>
      <c r="V980" s="71">
        <f t="shared" ca="1" si="334"/>
        <v>6</v>
      </c>
      <c r="W980" s="17">
        <f t="shared" ca="1" si="335"/>
        <v>0</v>
      </c>
    </row>
    <row r="981" spans="1:23" x14ac:dyDescent="0.25">
      <c r="A981" s="4">
        <f t="shared" si="315"/>
        <v>32</v>
      </c>
      <c r="B981" t="str">
        <f ca="1">TEXT(DATE(YEAR(Invoer!$A$6),1,1)+INT((ROWS(B$2:B981)-1)/4),"jjjjmmdd")</f>
        <v>19400901</v>
      </c>
      <c r="C981" s="64" t="str">
        <f>IF(MOD(ROWS(C$2:C981)-1,4)=3,"24.00",INDEX(Data,3,2+MOD(ROWS(C$2:C981)-1,4)))</f>
        <v>24.00</v>
      </c>
      <c r="D981" s="18" t="str">
        <f t="shared" ca="1" si="316"/>
        <v>—</v>
      </c>
      <c r="E981" s="17">
        <f t="shared" ca="1" si="317"/>
        <v>7</v>
      </c>
      <c r="F981" s="18" t="str">
        <f t="shared" ca="1" si="318"/>
        <v>—</v>
      </c>
      <c r="G981" s="17">
        <f t="shared" ca="1" si="319"/>
        <v>7</v>
      </c>
      <c r="H981" s="18">
        <f t="shared" ca="1" si="320"/>
        <v>29</v>
      </c>
      <c r="I981" s="17">
        <f t="shared" ca="1" si="321"/>
        <v>0</v>
      </c>
      <c r="J981" s="18">
        <f t="shared" ca="1" si="322"/>
        <v>30</v>
      </c>
      <c r="K981" s="17">
        <f t="shared" ca="1" si="323"/>
        <v>0</v>
      </c>
      <c r="L981" s="10" t="str">
        <f t="shared" ca="1" si="324"/>
        <v>—</v>
      </c>
      <c r="M981" s="17">
        <f t="shared" ca="1" si="325"/>
        <v>7</v>
      </c>
      <c r="N981" s="18" t="str">
        <f t="shared" ca="1" si="326"/>
        <v>—</v>
      </c>
      <c r="O981" s="17">
        <f t="shared" ca="1" si="327"/>
        <v>7</v>
      </c>
      <c r="P981" s="18" t="str">
        <f t="shared" ca="1" si="328"/>
        <v>—</v>
      </c>
      <c r="Q981" s="17">
        <f t="shared" ca="1" si="329"/>
        <v>7</v>
      </c>
      <c r="R981" s="10" t="str">
        <f t="shared" ca="1" si="330"/>
        <v>—</v>
      </c>
      <c r="S981" s="17">
        <f t="shared" ca="1" si="331"/>
        <v>7</v>
      </c>
      <c r="T981" s="70" t="str">
        <f t="shared" ca="1" si="332"/>
        <v>—</v>
      </c>
      <c r="U981" s="17">
        <f t="shared" ca="1" si="333"/>
        <v>7</v>
      </c>
      <c r="V981" s="71" t="str">
        <f t="shared" ca="1" si="334"/>
        <v>—</v>
      </c>
      <c r="W981" s="17">
        <f t="shared" ca="1" si="335"/>
        <v>7</v>
      </c>
    </row>
    <row r="982" spans="1:23" x14ac:dyDescent="0.25">
      <c r="A982" s="4">
        <f t="shared" si="315"/>
        <v>32</v>
      </c>
      <c r="B982" t="str">
        <f ca="1">TEXT(DATE(YEAR(Invoer!$A$6),1,1)+INT((ROWS(B$2:B982)-1)/4),"jjjjmmdd")</f>
        <v>19400902</v>
      </c>
      <c r="C982" s="64" t="str">
        <f>IF(MOD(ROWS(C$2:C982)-1,4)=3,"24.00",INDEX(Data,3,2+MOD(ROWS(C$2:C982)-1,4)))</f>
        <v>07.00</v>
      </c>
      <c r="D982" s="18">
        <f t="shared" ca="1" si="316"/>
        <v>758.5</v>
      </c>
      <c r="E982" s="17">
        <f t="shared" ca="1" si="317"/>
        <v>0</v>
      </c>
      <c r="F982" s="18">
        <f t="shared" ca="1" si="318"/>
        <v>27.1</v>
      </c>
      <c r="G982" s="17">
        <f t="shared" ca="1" si="319"/>
        <v>0</v>
      </c>
      <c r="H982" s="18" t="str">
        <f t="shared" ca="1" si="320"/>
        <v>—</v>
      </c>
      <c r="I982" s="17">
        <f t="shared" ca="1" si="321"/>
        <v>7</v>
      </c>
      <c r="J982" s="18" t="str">
        <f t="shared" ca="1" si="322"/>
        <v>—</v>
      </c>
      <c r="K982" s="17">
        <f t="shared" ca="1" si="323"/>
        <v>7</v>
      </c>
      <c r="L982" s="10">
        <f t="shared" ca="1" si="324"/>
        <v>94</v>
      </c>
      <c r="M982" s="17">
        <f t="shared" ca="1" si="325"/>
        <v>0</v>
      </c>
      <c r="N982" s="18">
        <f t="shared" ca="1" si="326"/>
        <v>25.1</v>
      </c>
      <c r="O982" s="17">
        <f t="shared" ca="1" si="327"/>
        <v>0</v>
      </c>
      <c r="P982" s="18">
        <f t="shared" ca="1" si="328"/>
        <v>26.2</v>
      </c>
      <c r="Q982" s="17">
        <f t="shared" ca="1" si="329"/>
        <v>0</v>
      </c>
      <c r="R982" s="10">
        <f t="shared" ca="1" si="330"/>
        <v>115</v>
      </c>
      <c r="S982" s="17">
        <f t="shared" ca="1" si="331"/>
        <v>0</v>
      </c>
      <c r="T982" s="70">
        <f t="shared" ca="1" si="332"/>
        <v>0.3</v>
      </c>
      <c r="U982" s="17">
        <f t="shared" ca="1" si="333"/>
        <v>0</v>
      </c>
      <c r="V982" s="71">
        <f t="shared" ca="1" si="334"/>
        <v>6</v>
      </c>
      <c r="W982" s="17">
        <f t="shared" ca="1" si="335"/>
        <v>0</v>
      </c>
    </row>
    <row r="983" spans="1:23" x14ac:dyDescent="0.25">
      <c r="A983" s="4">
        <f t="shared" si="315"/>
        <v>32</v>
      </c>
      <c r="B983" t="str">
        <f ca="1">TEXT(DATE(YEAR(Invoer!$A$6),1,1)+INT((ROWS(B$2:B983)-1)/4),"jjjjmmdd")</f>
        <v>19400902</v>
      </c>
      <c r="C983" s="64" t="str">
        <f>IF(MOD(ROWS(C$2:C983)-1,4)=3,"24.00",INDEX(Data,3,2+MOD(ROWS(C$2:C983)-1,4)))</f>
        <v>12.00</v>
      </c>
      <c r="D983" s="18">
        <f t="shared" ca="1" si="316"/>
        <v>759.5</v>
      </c>
      <c r="E983" s="17">
        <f t="shared" ca="1" si="317"/>
        <v>0</v>
      </c>
      <c r="F983" s="18">
        <f t="shared" ca="1" si="318"/>
        <v>27.9</v>
      </c>
      <c r="G983" s="17">
        <f t="shared" ca="1" si="319"/>
        <v>0</v>
      </c>
      <c r="H983" s="18" t="str">
        <f t="shared" ca="1" si="320"/>
        <v>—</v>
      </c>
      <c r="I983" s="17">
        <f t="shared" ca="1" si="321"/>
        <v>7</v>
      </c>
      <c r="J983" s="18" t="str">
        <f t="shared" ca="1" si="322"/>
        <v>—</v>
      </c>
      <c r="K983" s="17">
        <f t="shared" ca="1" si="323"/>
        <v>7</v>
      </c>
      <c r="L983" s="10">
        <f t="shared" ca="1" si="324"/>
        <v>90</v>
      </c>
      <c r="M983" s="17">
        <f t="shared" ca="1" si="325"/>
        <v>0</v>
      </c>
      <c r="N983" s="18">
        <f t="shared" ca="1" si="326"/>
        <v>25.5</v>
      </c>
      <c r="O983" s="17">
        <f t="shared" ca="1" si="327"/>
        <v>0</v>
      </c>
      <c r="P983" s="18">
        <f t="shared" ca="1" si="328"/>
        <v>26.6</v>
      </c>
      <c r="Q983" s="17">
        <f t="shared" ca="1" si="329"/>
        <v>0</v>
      </c>
      <c r="R983" s="10">
        <f t="shared" ca="1" si="330"/>
        <v>90</v>
      </c>
      <c r="S983" s="17">
        <f t="shared" ca="1" si="331"/>
        <v>0</v>
      </c>
      <c r="T983" s="70">
        <f t="shared" ca="1" si="332"/>
        <v>0.4</v>
      </c>
      <c r="U983" s="17">
        <f t="shared" ca="1" si="333"/>
        <v>0</v>
      </c>
      <c r="V983" s="71">
        <f t="shared" ca="1" si="334"/>
        <v>6</v>
      </c>
      <c r="W983" s="17">
        <f t="shared" ca="1" si="335"/>
        <v>0</v>
      </c>
    </row>
    <row r="984" spans="1:23" x14ac:dyDescent="0.25">
      <c r="A984" s="4">
        <f t="shared" si="315"/>
        <v>32</v>
      </c>
      <c r="B984" t="str">
        <f ca="1">TEXT(DATE(YEAR(Invoer!$A$6),1,1)+INT((ROWS(B$2:B984)-1)/4),"jjjjmmdd")</f>
        <v>19400902</v>
      </c>
      <c r="C984" s="64" t="str">
        <f>IF(MOD(ROWS(C$2:C984)-1,4)=3,"24.00",INDEX(Data,3,2+MOD(ROWS(C$2:C984)-1,4)))</f>
        <v>17.00</v>
      </c>
      <c r="D984" s="18">
        <f t="shared" ca="1" si="316"/>
        <v>759</v>
      </c>
      <c r="E984" s="17">
        <f t="shared" ca="1" si="317"/>
        <v>0</v>
      </c>
      <c r="F984" s="18">
        <f t="shared" ca="1" si="318"/>
        <v>27.7</v>
      </c>
      <c r="G984" s="17">
        <f t="shared" ca="1" si="319"/>
        <v>0</v>
      </c>
      <c r="H984" s="18" t="str">
        <f t="shared" ca="1" si="320"/>
        <v>—</v>
      </c>
      <c r="I984" s="17">
        <f t="shared" ca="1" si="321"/>
        <v>7</v>
      </c>
      <c r="J984" s="18" t="str">
        <f t="shared" ca="1" si="322"/>
        <v>—</v>
      </c>
      <c r="K984" s="17">
        <f t="shared" ca="1" si="323"/>
        <v>7</v>
      </c>
      <c r="L984" s="10">
        <f t="shared" ca="1" si="324"/>
        <v>87</v>
      </c>
      <c r="M984" s="17">
        <f t="shared" ca="1" si="325"/>
        <v>0</v>
      </c>
      <c r="N984" s="18">
        <f t="shared" ca="1" si="326"/>
        <v>24.4</v>
      </c>
      <c r="O984" s="17">
        <f t="shared" ca="1" si="327"/>
        <v>0</v>
      </c>
      <c r="P984" s="18">
        <f t="shared" ca="1" si="328"/>
        <v>26</v>
      </c>
      <c r="Q984" s="17">
        <f t="shared" ca="1" si="329"/>
        <v>0</v>
      </c>
      <c r="R984" s="10">
        <f t="shared" ca="1" si="330"/>
        <v>90</v>
      </c>
      <c r="S984" s="17">
        <f t="shared" ca="1" si="331"/>
        <v>0</v>
      </c>
      <c r="T984" s="70">
        <f t="shared" ca="1" si="332"/>
        <v>0.4</v>
      </c>
      <c r="U984" s="17">
        <f t="shared" ca="1" si="333"/>
        <v>0</v>
      </c>
      <c r="V984" s="71">
        <f t="shared" ca="1" si="334"/>
        <v>5</v>
      </c>
      <c r="W984" s="17">
        <f t="shared" ca="1" si="335"/>
        <v>0</v>
      </c>
    </row>
    <row r="985" spans="1:23" x14ac:dyDescent="0.25">
      <c r="A985" s="4">
        <f t="shared" si="315"/>
        <v>32</v>
      </c>
      <c r="B985" t="str">
        <f ca="1">TEXT(DATE(YEAR(Invoer!$A$6),1,1)+INT((ROWS(B$2:B985)-1)/4),"jjjjmmdd")</f>
        <v>19400902</v>
      </c>
      <c r="C985" s="64" t="str">
        <f>IF(MOD(ROWS(C$2:C985)-1,4)=3,"24.00",INDEX(Data,3,2+MOD(ROWS(C$2:C985)-1,4)))</f>
        <v>24.00</v>
      </c>
      <c r="D985" s="18" t="str">
        <f t="shared" ca="1" si="316"/>
        <v>—</v>
      </c>
      <c r="E985" s="17">
        <f t="shared" ca="1" si="317"/>
        <v>7</v>
      </c>
      <c r="F985" s="18" t="str">
        <f t="shared" ca="1" si="318"/>
        <v>—</v>
      </c>
      <c r="G985" s="17">
        <f t="shared" ca="1" si="319"/>
        <v>7</v>
      </c>
      <c r="H985" s="18">
        <f t="shared" ca="1" si="320"/>
        <v>28.8</v>
      </c>
      <c r="I985" s="17">
        <f t="shared" ca="1" si="321"/>
        <v>0</v>
      </c>
      <c r="J985" s="18">
        <f t="shared" ca="1" si="322"/>
        <v>30</v>
      </c>
      <c r="K985" s="17">
        <f t="shared" ca="1" si="323"/>
        <v>0</v>
      </c>
      <c r="L985" s="10" t="str">
        <f t="shared" ca="1" si="324"/>
        <v>—</v>
      </c>
      <c r="M985" s="17">
        <f t="shared" ca="1" si="325"/>
        <v>7</v>
      </c>
      <c r="N985" s="18" t="str">
        <f t="shared" ca="1" si="326"/>
        <v>—</v>
      </c>
      <c r="O985" s="17">
        <f t="shared" ca="1" si="327"/>
        <v>7</v>
      </c>
      <c r="P985" s="18" t="str">
        <f t="shared" ca="1" si="328"/>
        <v>—</v>
      </c>
      <c r="Q985" s="17">
        <f t="shared" ca="1" si="329"/>
        <v>7</v>
      </c>
      <c r="R985" s="10" t="str">
        <f t="shared" ca="1" si="330"/>
        <v>—</v>
      </c>
      <c r="S985" s="17">
        <f t="shared" ca="1" si="331"/>
        <v>7</v>
      </c>
      <c r="T985" s="70" t="str">
        <f t="shared" ca="1" si="332"/>
        <v>—</v>
      </c>
      <c r="U985" s="17">
        <f t="shared" ca="1" si="333"/>
        <v>7</v>
      </c>
      <c r="V985" s="71" t="str">
        <f t="shared" ca="1" si="334"/>
        <v>—</v>
      </c>
      <c r="W985" s="17">
        <f t="shared" ca="1" si="335"/>
        <v>7</v>
      </c>
    </row>
    <row r="986" spans="1:23" x14ac:dyDescent="0.25">
      <c r="A986" s="4">
        <f t="shared" si="315"/>
        <v>32</v>
      </c>
      <c r="B986" t="str">
        <f ca="1">TEXT(DATE(YEAR(Invoer!$A$6),1,1)+INT((ROWS(B$2:B986)-1)/4),"jjjjmmdd")</f>
        <v>19400903</v>
      </c>
      <c r="C986" s="64" t="str">
        <f>IF(MOD(ROWS(C$2:C986)-1,4)=3,"24.00",INDEX(Data,3,2+MOD(ROWS(C$2:C986)-1,4)))</f>
        <v>07.00</v>
      </c>
      <c r="D986" s="18">
        <f t="shared" ca="1" si="316"/>
        <v>758.2</v>
      </c>
      <c r="E986" s="17">
        <f t="shared" ca="1" si="317"/>
        <v>0</v>
      </c>
      <c r="F986" s="18">
        <f t="shared" ca="1" si="318"/>
        <v>28.9</v>
      </c>
      <c r="G986" s="17">
        <f t="shared" ca="1" si="319"/>
        <v>0</v>
      </c>
      <c r="H986" s="18" t="str">
        <f t="shared" ca="1" si="320"/>
        <v>—</v>
      </c>
      <c r="I986" s="17">
        <f t="shared" ca="1" si="321"/>
        <v>7</v>
      </c>
      <c r="J986" s="18" t="str">
        <f t="shared" ca="1" si="322"/>
        <v>—</v>
      </c>
      <c r="K986" s="17">
        <f t="shared" ca="1" si="323"/>
        <v>7</v>
      </c>
      <c r="L986" s="10">
        <f t="shared" ca="1" si="324"/>
        <v>80</v>
      </c>
      <c r="M986" s="17">
        <f t="shared" ca="1" si="325"/>
        <v>0</v>
      </c>
      <c r="N986" s="18">
        <f t="shared" ca="1" si="326"/>
        <v>23.8</v>
      </c>
      <c r="O986" s="17">
        <f t="shared" ca="1" si="327"/>
        <v>0</v>
      </c>
      <c r="P986" s="18">
        <f t="shared" ca="1" si="328"/>
        <v>26</v>
      </c>
      <c r="Q986" s="17">
        <f t="shared" ca="1" si="329"/>
        <v>0</v>
      </c>
      <c r="R986" s="10">
        <f t="shared" ca="1" si="330"/>
        <v>115</v>
      </c>
      <c r="S986" s="17">
        <f t="shared" ca="1" si="331"/>
        <v>0</v>
      </c>
      <c r="T986" s="70">
        <f t="shared" ca="1" si="332"/>
        <v>0.4</v>
      </c>
      <c r="U986" s="17">
        <f t="shared" ca="1" si="333"/>
        <v>0</v>
      </c>
      <c r="V986" s="71">
        <f t="shared" ca="1" si="334"/>
        <v>5</v>
      </c>
      <c r="W986" s="17">
        <f t="shared" ca="1" si="335"/>
        <v>0</v>
      </c>
    </row>
    <row r="987" spans="1:23" x14ac:dyDescent="0.25">
      <c r="A987" s="4">
        <f t="shared" si="315"/>
        <v>32</v>
      </c>
      <c r="B987" t="str">
        <f ca="1">TEXT(DATE(YEAR(Invoer!$A$6),1,1)+INT((ROWS(B$2:B987)-1)/4),"jjjjmmdd")</f>
        <v>19400903</v>
      </c>
      <c r="C987" s="64" t="str">
        <f>IF(MOD(ROWS(C$2:C987)-1,4)=3,"24.00",INDEX(Data,3,2+MOD(ROWS(C$2:C987)-1,4)))</f>
        <v>12.00</v>
      </c>
      <c r="D987" s="18">
        <f t="shared" ca="1" si="316"/>
        <v>758.7</v>
      </c>
      <c r="E987" s="17">
        <f t="shared" ca="1" si="317"/>
        <v>0</v>
      </c>
      <c r="F987" s="18">
        <f t="shared" ca="1" si="318"/>
        <v>28.1</v>
      </c>
      <c r="G987" s="17">
        <f t="shared" ca="1" si="319"/>
        <v>0</v>
      </c>
      <c r="H987" s="18" t="str">
        <f t="shared" ca="1" si="320"/>
        <v>—</v>
      </c>
      <c r="I987" s="17">
        <f t="shared" ca="1" si="321"/>
        <v>7</v>
      </c>
      <c r="J987" s="18" t="str">
        <f t="shared" ca="1" si="322"/>
        <v>—</v>
      </c>
      <c r="K987" s="17">
        <f t="shared" ca="1" si="323"/>
        <v>7</v>
      </c>
      <c r="L987" s="10">
        <f t="shared" ca="1" si="324"/>
        <v>89</v>
      </c>
      <c r="M987" s="17">
        <f t="shared" ca="1" si="325"/>
        <v>0</v>
      </c>
      <c r="N987" s="18">
        <f t="shared" ca="1" si="326"/>
        <v>25.4</v>
      </c>
      <c r="O987" s="17">
        <f t="shared" ca="1" si="327"/>
        <v>0</v>
      </c>
      <c r="P987" s="18">
        <f t="shared" ca="1" si="328"/>
        <v>26.6</v>
      </c>
      <c r="Q987" s="17">
        <f t="shared" ca="1" si="329"/>
        <v>0</v>
      </c>
      <c r="R987" s="10">
        <f t="shared" ca="1" si="330"/>
        <v>90</v>
      </c>
      <c r="S987" s="17">
        <f t="shared" ca="1" si="331"/>
        <v>0</v>
      </c>
      <c r="T987" s="70">
        <f t="shared" ca="1" si="332"/>
        <v>0.5</v>
      </c>
      <c r="U987" s="17">
        <f t="shared" ca="1" si="333"/>
        <v>0</v>
      </c>
      <c r="V987" s="71">
        <f t="shared" ca="1" si="334"/>
        <v>6</v>
      </c>
      <c r="W987" s="17">
        <f t="shared" ca="1" si="335"/>
        <v>0</v>
      </c>
    </row>
    <row r="988" spans="1:23" x14ac:dyDescent="0.25">
      <c r="A988" s="4">
        <f t="shared" si="315"/>
        <v>32</v>
      </c>
      <c r="B988" t="str">
        <f ca="1">TEXT(DATE(YEAR(Invoer!$A$6),1,1)+INT((ROWS(B$2:B988)-1)/4),"jjjjmmdd")</f>
        <v>19400903</v>
      </c>
      <c r="C988" s="64" t="str">
        <f>IF(MOD(ROWS(C$2:C988)-1,4)=3,"24.00",INDEX(Data,3,2+MOD(ROWS(C$2:C988)-1,4)))</f>
        <v>17.00</v>
      </c>
      <c r="D988" s="18">
        <f t="shared" ca="1" si="316"/>
        <v>758.2</v>
      </c>
      <c r="E988" s="17">
        <f t="shared" ca="1" si="317"/>
        <v>0</v>
      </c>
      <c r="F988" s="18">
        <f t="shared" ca="1" si="318"/>
        <v>27.1</v>
      </c>
      <c r="G988" s="17">
        <f t="shared" ca="1" si="319"/>
        <v>0</v>
      </c>
      <c r="H988" s="18" t="str">
        <f t="shared" ca="1" si="320"/>
        <v>—</v>
      </c>
      <c r="I988" s="17">
        <f t="shared" ca="1" si="321"/>
        <v>7</v>
      </c>
      <c r="J988" s="18" t="str">
        <f t="shared" ca="1" si="322"/>
        <v>—</v>
      </c>
      <c r="K988" s="17">
        <f t="shared" ca="1" si="323"/>
        <v>7</v>
      </c>
      <c r="L988" s="10">
        <f t="shared" ca="1" si="324"/>
        <v>92</v>
      </c>
      <c r="M988" s="17">
        <f t="shared" ca="1" si="325"/>
        <v>0</v>
      </c>
      <c r="N988" s="18">
        <f t="shared" ca="1" si="326"/>
        <v>24.7</v>
      </c>
      <c r="O988" s="17">
        <f t="shared" ca="1" si="327"/>
        <v>0</v>
      </c>
      <c r="P988" s="18">
        <f t="shared" ca="1" si="328"/>
        <v>26</v>
      </c>
      <c r="Q988" s="17">
        <f t="shared" ca="1" si="329"/>
        <v>0</v>
      </c>
      <c r="R988" s="10">
        <f t="shared" ca="1" si="330"/>
        <v>65</v>
      </c>
      <c r="S988" s="17">
        <f t="shared" ca="1" si="331"/>
        <v>0</v>
      </c>
      <c r="T988" s="70">
        <f t="shared" ca="1" si="332"/>
        <v>0.6</v>
      </c>
      <c r="U988" s="17">
        <f t="shared" ca="1" si="333"/>
        <v>0</v>
      </c>
      <c r="V988" s="71">
        <f t="shared" ca="1" si="334"/>
        <v>5</v>
      </c>
      <c r="W988" s="17">
        <f t="shared" ca="1" si="335"/>
        <v>0</v>
      </c>
    </row>
    <row r="989" spans="1:23" x14ac:dyDescent="0.25">
      <c r="A989" s="4">
        <f t="shared" si="315"/>
        <v>32</v>
      </c>
      <c r="B989" t="str">
        <f ca="1">TEXT(DATE(YEAR(Invoer!$A$6),1,1)+INT((ROWS(B$2:B989)-1)/4),"jjjjmmdd")</f>
        <v>19400903</v>
      </c>
      <c r="C989" s="64" t="str">
        <f>IF(MOD(ROWS(C$2:C989)-1,4)=3,"24.00",INDEX(Data,3,2+MOD(ROWS(C$2:C989)-1,4)))</f>
        <v>24.00</v>
      </c>
      <c r="D989" s="18" t="str">
        <f t="shared" ca="1" si="316"/>
        <v>—</v>
      </c>
      <c r="E989" s="17">
        <f t="shared" ca="1" si="317"/>
        <v>7</v>
      </c>
      <c r="F989" s="18" t="str">
        <f t="shared" ca="1" si="318"/>
        <v>—</v>
      </c>
      <c r="G989" s="17">
        <f t="shared" ca="1" si="319"/>
        <v>7</v>
      </c>
      <c r="H989" s="18">
        <f t="shared" ca="1" si="320"/>
        <v>29.4</v>
      </c>
      <c r="I989" s="17">
        <f t="shared" ca="1" si="321"/>
        <v>0</v>
      </c>
      <c r="J989" s="18">
        <f t="shared" ca="1" si="322"/>
        <v>31</v>
      </c>
      <c r="K989" s="17">
        <f t="shared" ca="1" si="323"/>
        <v>0</v>
      </c>
      <c r="L989" s="10" t="str">
        <f t="shared" ca="1" si="324"/>
        <v>—</v>
      </c>
      <c r="M989" s="17">
        <f t="shared" ca="1" si="325"/>
        <v>7</v>
      </c>
      <c r="N989" s="18" t="str">
        <f t="shared" ca="1" si="326"/>
        <v>—</v>
      </c>
      <c r="O989" s="17">
        <f t="shared" ca="1" si="327"/>
        <v>7</v>
      </c>
      <c r="P989" s="18" t="str">
        <f t="shared" ca="1" si="328"/>
        <v>—</v>
      </c>
      <c r="Q989" s="17">
        <f t="shared" ca="1" si="329"/>
        <v>7</v>
      </c>
      <c r="R989" s="10" t="str">
        <f t="shared" ca="1" si="330"/>
        <v>—</v>
      </c>
      <c r="S989" s="17">
        <f t="shared" ca="1" si="331"/>
        <v>7</v>
      </c>
      <c r="T989" s="70" t="str">
        <f t="shared" ca="1" si="332"/>
        <v>—</v>
      </c>
      <c r="U989" s="17">
        <f t="shared" ca="1" si="333"/>
        <v>7</v>
      </c>
      <c r="V989" s="71" t="str">
        <f t="shared" ca="1" si="334"/>
        <v>—</v>
      </c>
      <c r="W989" s="17">
        <f t="shared" ca="1" si="335"/>
        <v>7</v>
      </c>
    </row>
    <row r="990" spans="1:23" x14ac:dyDescent="0.25">
      <c r="A990" s="4">
        <f t="shared" si="315"/>
        <v>32</v>
      </c>
      <c r="B990" t="str">
        <f ca="1">TEXT(DATE(YEAR(Invoer!$A$6),1,1)+INT((ROWS(B$2:B990)-1)/4),"jjjjmmdd")</f>
        <v>19400904</v>
      </c>
      <c r="C990" s="64" t="str">
        <f>IF(MOD(ROWS(C$2:C990)-1,4)=3,"24.00",INDEX(Data,3,2+MOD(ROWS(C$2:C990)-1,4)))</f>
        <v>07.00</v>
      </c>
      <c r="D990" s="18">
        <f t="shared" ca="1" si="316"/>
        <v>757.7</v>
      </c>
      <c r="E990" s="17">
        <f t="shared" ca="1" si="317"/>
        <v>0</v>
      </c>
      <c r="F990" s="18">
        <f t="shared" ca="1" si="318"/>
        <v>26.9</v>
      </c>
      <c r="G990" s="17">
        <f t="shared" ca="1" si="319"/>
        <v>0</v>
      </c>
      <c r="H990" s="18" t="str">
        <f t="shared" ca="1" si="320"/>
        <v>—</v>
      </c>
      <c r="I990" s="17">
        <f t="shared" ca="1" si="321"/>
        <v>7</v>
      </c>
      <c r="J990" s="18" t="str">
        <f t="shared" ca="1" si="322"/>
        <v>—</v>
      </c>
      <c r="K990" s="17">
        <f t="shared" ca="1" si="323"/>
        <v>7</v>
      </c>
      <c r="L990" s="10">
        <f t="shared" ca="1" si="324"/>
        <v>86</v>
      </c>
      <c r="M990" s="17">
        <f t="shared" ca="1" si="325"/>
        <v>0</v>
      </c>
      <c r="N990" s="18">
        <f t="shared" ca="1" si="326"/>
        <v>22.8</v>
      </c>
      <c r="O990" s="17">
        <f t="shared" ca="1" si="327"/>
        <v>0</v>
      </c>
      <c r="P990" s="18">
        <f t="shared" ca="1" si="328"/>
        <v>25</v>
      </c>
      <c r="Q990" s="17">
        <f t="shared" ca="1" si="329"/>
        <v>0</v>
      </c>
      <c r="R990" s="10">
        <f t="shared" ca="1" si="330"/>
        <v>90</v>
      </c>
      <c r="S990" s="17">
        <f t="shared" ca="1" si="331"/>
        <v>0</v>
      </c>
      <c r="T990" s="70">
        <f t="shared" ca="1" si="332"/>
        <v>0.4</v>
      </c>
      <c r="U990" s="17">
        <f t="shared" ca="1" si="333"/>
        <v>0</v>
      </c>
      <c r="V990" s="71">
        <f t="shared" ca="1" si="334"/>
        <v>4</v>
      </c>
      <c r="W990" s="17">
        <f t="shared" ca="1" si="335"/>
        <v>0</v>
      </c>
    </row>
    <row r="991" spans="1:23" x14ac:dyDescent="0.25">
      <c r="A991" s="4">
        <f t="shared" si="315"/>
        <v>32</v>
      </c>
      <c r="B991" t="str">
        <f ca="1">TEXT(DATE(YEAR(Invoer!$A$6),1,1)+INT((ROWS(B$2:B991)-1)/4),"jjjjmmdd")</f>
        <v>19400904</v>
      </c>
      <c r="C991" s="64" t="str">
        <f>IF(MOD(ROWS(C$2:C991)-1,4)=3,"24.00",INDEX(Data,3,2+MOD(ROWS(C$2:C991)-1,4)))</f>
        <v>12.00</v>
      </c>
      <c r="D991" s="18">
        <f t="shared" ca="1" si="316"/>
        <v>759.7</v>
      </c>
      <c r="E991" s="17">
        <f t="shared" ca="1" si="317"/>
        <v>0</v>
      </c>
      <c r="F991" s="18">
        <f t="shared" ca="1" si="318"/>
        <v>28.3</v>
      </c>
      <c r="G991" s="17">
        <f t="shared" ca="1" si="319"/>
        <v>0</v>
      </c>
      <c r="H991" s="18" t="str">
        <f t="shared" ca="1" si="320"/>
        <v>—</v>
      </c>
      <c r="I991" s="17">
        <f t="shared" ca="1" si="321"/>
        <v>7</v>
      </c>
      <c r="J991" s="18" t="str">
        <f t="shared" ca="1" si="322"/>
        <v>—</v>
      </c>
      <c r="K991" s="17">
        <f t="shared" ca="1" si="323"/>
        <v>7</v>
      </c>
      <c r="L991" s="10">
        <f t="shared" ca="1" si="324"/>
        <v>83</v>
      </c>
      <c r="M991" s="17">
        <f t="shared" ca="1" si="325"/>
        <v>0</v>
      </c>
      <c r="N991" s="18">
        <f t="shared" ca="1" si="326"/>
        <v>24.1</v>
      </c>
      <c r="O991" s="17">
        <f t="shared" ca="1" si="327"/>
        <v>0</v>
      </c>
      <c r="P991" s="18">
        <f t="shared" ca="1" si="328"/>
        <v>26</v>
      </c>
      <c r="Q991" s="17">
        <f t="shared" ca="1" si="329"/>
        <v>0</v>
      </c>
      <c r="R991" s="10">
        <f t="shared" ca="1" si="330"/>
        <v>65</v>
      </c>
      <c r="S991" s="17">
        <f t="shared" ca="1" si="331"/>
        <v>0</v>
      </c>
      <c r="T991" s="70">
        <f t="shared" ca="1" si="332"/>
        <v>0.5</v>
      </c>
      <c r="U991" s="17">
        <f t="shared" ca="1" si="333"/>
        <v>0</v>
      </c>
      <c r="V991" s="71">
        <f t="shared" ca="1" si="334"/>
        <v>4</v>
      </c>
      <c r="W991" s="17">
        <f t="shared" ca="1" si="335"/>
        <v>0</v>
      </c>
    </row>
    <row r="992" spans="1:23" x14ac:dyDescent="0.25">
      <c r="A992" s="4">
        <f t="shared" si="315"/>
        <v>32</v>
      </c>
      <c r="B992" t="str">
        <f ca="1">TEXT(DATE(YEAR(Invoer!$A$6),1,1)+INT((ROWS(B$2:B992)-1)/4),"jjjjmmdd")</f>
        <v>19400904</v>
      </c>
      <c r="C992" s="64" t="str">
        <f>IF(MOD(ROWS(C$2:C992)-1,4)=3,"24.00",INDEX(Data,3,2+MOD(ROWS(C$2:C992)-1,4)))</f>
        <v>17.00</v>
      </c>
      <c r="D992" s="18">
        <f t="shared" ca="1" si="316"/>
        <v>759</v>
      </c>
      <c r="E992" s="17">
        <f t="shared" ca="1" si="317"/>
        <v>0</v>
      </c>
      <c r="F992" s="18">
        <f t="shared" ca="1" si="318"/>
        <v>27.1</v>
      </c>
      <c r="G992" s="17">
        <f t="shared" ca="1" si="319"/>
        <v>0</v>
      </c>
      <c r="H992" s="18" t="str">
        <f t="shared" ca="1" si="320"/>
        <v>—</v>
      </c>
      <c r="I992" s="17">
        <f t="shared" ca="1" si="321"/>
        <v>7</v>
      </c>
      <c r="J992" s="18" t="str">
        <f t="shared" ca="1" si="322"/>
        <v>—</v>
      </c>
      <c r="K992" s="17">
        <f t="shared" ca="1" si="323"/>
        <v>7</v>
      </c>
      <c r="L992" s="10">
        <f t="shared" ca="1" si="324"/>
        <v>89</v>
      </c>
      <c r="M992" s="17">
        <f t="shared" ca="1" si="325"/>
        <v>0</v>
      </c>
      <c r="N992" s="18">
        <f t="shared" ca="1" si="326"/>
        <v>23.9</v>
      </c>
      <c r="O992" s="17">
        <f t="shared" ca="1" si="327"/>
        <v>0</v>
      </c>
      <c r="P992" s="18">
        <f t="shared" ca="1" si="328"/>
        <v>25.6</v>
      </c>
      <c r="Q992" s="17">
        <f t="shared" ca="1" si="329"/>
        <v>0</v>
      </c>
      <c r="R992" s="10">
        <f t="shared" ca="1" si="330"/>
        <v>65</v>
      </c>
      <c r="S992" s="17">
        <f t="shared" ca="1" si="331"/>
        <v>0</v>
      </c>
      <c r="T992" s="70">
        <f t="shared" ca="1" si="332"/>
        <v>0.5</v>
      </c>
      <c r="U992" s="17">
        <f t="shared" ca="1" si="333"/>
        <v>0</v>
      </c>
      <c r="V992" s="71">
        <f t="shared" ca="1" si="334"/>
        <v>6</v>
      </c>
      <c r="W992" s="17">
        <f t="shared" ca="1" si="335"/>
        <v>0</v>
      </c>
    </row>
    <row r="993" spans="1:23" x14ac:dyDescent="0.25">
      <c r="A993" s="4">
        <f t="shared" si="315"/>
        <v>32</v>
      </c>
      <c r="B993" t="str">
        <f ca="1">TEXT(DATE(YEAR(Invoer!$A$6),1,1)+INT((ROWS(B$2:B993)-1)/4),"jjjjmmdd")</f>
        <v>19400904</v>
      </c>
      <c r="C993" s="64" t="str">
        <f>IF(MOD(ROWS(C$2:C993)-1,4)=3,"24.00",INDEX(Data,3,2+MOD(ROWS(C$2:C993)-1,4)))</f>
        <v>24.00</v>
      </c>
      <c r="D993" s="18" t="str">
        <f t="shared" ca="1" si="316"/>
        <v>—</v>
      </c>
      <c r="E993" s="17">
        <f t="shared" ca="1" si="317"/>
        <v>7</v>
      </c>
      <c r="F993" s="18" t="str">
        <f t="shared" ca="1" si="318"/>
        <v>—</v>
      </c>
      <c r="G993" s="17">
        <f t="shared" ca="1" si="319"/>
        <v>7</v>
      </c>
      <c r="H993" s="18">
        <f t="shared" ca="1" si="320"/>
        <v>28.4</v>
      </c>
      <c r="I993" s="17">
        <f t="shared" ca="1" si="321"/>
        <v>0</v>
      </c>
      <c r="J993" s="18">
        <f t="shared" ca="1" si="322"/>
        <v>31</v>
      </c>
      <c r="K993" s="17">
        <f t="shared" ca="1" si="323"/>
        <v>0</v>
      </c>
      <c r="L993" s="10" t="str">
        <f t="shared" ca="1" si="324"/>
        <v>—</v>
      </c>
      <c r="M993" s="17">
        <f t="shared" ca="1" si="325"/>
        <v>7</v>
      </c>
      <c r="N993" s="18" t="str">
        <f t="shared" ca="1" si="326"/>
        <v>—</v>
      </c>
      <c r="O993" s="17">
        <f t="shared" ca="1" si="327"/>
        <v>7</v>
      </c>
      <c r="P993" s="18" t="str">
        <f t="shared" ca="1" si="328"/>
        <v>—</v>
      </c>
      <c r="Q993" s="17">
        <f t="shared" ca="1" si="329"/>
        <v>7</v>
      </c>
      <c r="R993" s="10" t="str">
        <f t="shared" ca="1" si="330"/>
        <v>—</v>
      </c>
      <c r="S993" s="17">
        <f t="shared" ca="1" si="331"/>
        <v>7</v>
      </c>
      <c r="T993" s="70" t="str">
        <f t="shared" ca="1" si="332"/>
        <v>—</v>
      </c>
      <c r="U993" s="17">
        <f t="shared" ca="1" si="333"/>
        <v>7</v>
      </c>
      <c r="V993" s="71" t="str">
        <f t="shared" ca="1" si="334"/>
        <v>—</v>
      </c>
      <c r="W993" s="17">
        <f t="shared" ca="1" si="335"/>
        <v>7</v>
      </c>
    </row>
    <row r="994" spans="1:23" x14ac:dyDescent="0.25">
      <c r="A994" s="4">
        <f t="shared" si="315"/>
        <v>32</v>
      </c>
      <c r="B994" t="str">
        <f ca="1">TEXT(DATE(YEAR(Invoer!$A$6),1,1)+INT((ROWS(B$2:B994)-1)/4),"jjjjmmdd")</f>
        <v>19400905</v>
      </c>
      <c r="C994" s="64" t="str">
        <f>IF(MOD(ROWS(C$2:C994)-1,4)=3,"24.00",INDEX(Data,3,2+MOD(ROWS(C$2:C994)-1,4)))</f>
        <v>07.00</v>
      </c>
      <c r="D994" s="18">
        <f t="shared" ca="1" si="316"/>
        <v>757.4</v>
      </c>
      <c r="E994" s="17">
        <f t="shared" ca="1" si="317"/>
        <v>0</v>
      </c>
      <c r="F994" s="18">
        <f t="shared" ca="1" si="318"/>
        <v>28.7</v>
      </c>
      <c r="G994" s="17">
        <f t="shared" ca="1" si="319"/>
        <v>0</v>
      </c>
      <c r="H994" s="18" t="str">
        <f t="shared" ca="1" si="320"/>
        <v>—</v>
      </c>
      <c r="I994" s="17">
        <f t="shared" ca="1" si="321"/>
        <v>7</v>
      </c>
      <c r="J994" s="18" t="str">
        <f t="shared" ca="1" si="322"/>
        <v>—</v>
      </c>
      <c r="K994" s="17">
        <f t="shared" ca="1" si="323"/>
        <v>7</v>
      </c>
      <c r="L994" s="10">
        <f t="shared" ca="1" si="324"/>
        <v>77</v>
      </c>
      <c r="M994" s="17">
        <f t="shared" ca="1" si="325"/>
        <v>0</v>
      </c>
      <c r="N994" s="18">
        <f t="shared" ca="1" si="326"/>
        <v>22.7</v>
      </c>
      <c r="O994" s="17">
        <f t="shared" ca="1" si="327"/>
        <v>0</v>
      </c>
      <c r="P994" s="18">
        <f t="shared" ca="1" si="328"/>
        <v>25.4</v>
      </c>
      <c r="Q994" s="17">
        <f t="shared" ca="1" si="329"/>
        <v>0</v>
      </c>
      <c r="R994" s="10">
        <f t="shared" ca="1" si="330"/>
        <v>65</v>
      </c>
      <c r="S994" s="17">
        <f t="shared" ca="1" si="331"/>
        <v>0</v>
      </c>
      <c r="T994" s="70">
        <f t="shared" ca="1" si="332"/>
        <v>0.4</v>
      </c>
      <c r="U994" s="17">
        <f t="shared" ca="1" si="333"/>
        <v>0</v>
      </c>
      <c r="V994" s="71">
        <f t="shared" ca="1" si="334"/>
        <v>4</v>
      </c>
      <c r="W994" s="17">
        <f t="shared" ca="1" si="335"/>
        <v>0</v>
      </c>
    </row>
    <row r="995" spans="1:23" x14ac:dyDescent="0.25">
      <c r="A995" s="4">
        <f t="shared" si="315"/>
        <v>32</v>
      </c>
      <c r="B995" t="str">
        <f ca="1">TEXT(DATE(YEAR(Invoer!$A$6),1,1)+INT((ROWS(B$2:B995)-1)/4),"jjjjmmdd")</f>
        <v>19400905</v>
      </c>
      <c r="C995" s="64" t="str">
        <f>IF(MOD(ROWS(C$2:C995)-1,4)=3,"24.00",INDEX(Data,3,2+MOD(ROWS(C$2:C995)-1,4)))</f>
        <v>12.00</v>
      </c>
      <c r="D995" s="18">
        <f t="shared" ca="1" si="316"/>
        <v>757.9</v>
      </c>
      <c r="E995" s="17">
        <f t="shared" ca="1" si="317"/>
        <v>0</v>
      </c>
      <c r="F995" s="18">
        <f t="shared" ca="1" si="318"/>
        <v>28.7</v>
      </c>
      <c r="G995" s="17">
        <f t="shared" ca="1" si="319"/>
        <v>0</v>
      </c>
      <c r="H995" s="18" t="str">
        <f t="shared" ca="1" si="320"/>
        <v>—</v>
      </c>
      <c r="I995" s="17">
        <f t="shared" ca="1" si="321"/>
        <v>7</v>
      </c>
      <c r="J995" s="18" t="str">
        <f t="shared" ca="1" si="322"/>
        <v>—</v>
      </c>
      <c r="K995" s="17">
        <f t="shared" ca="1" si="323"/>
        <v>7</v>
      </c>
      <c r="L995" s="10">
        <f t="shared" ca="1" si="324"/>
        <v>66</v>
      </c>
      <c r="M995" s="17">
        <f t="shared" ca="1" si="325"/>
        <v>0</v>
      </c>
      <c r="N995" s="18">
        <f t="shared" ca="1" si="326"/>
        <v>19.7</v>
      </c>
      <c r="O995" s="17">
        <f t="shared" ca="1" si="327"/>
        <v>0</v>
      </c>
      <c r="P995" s="18">
        <f t="shared" ca="1" si="328"/>
        <v>23.8</v>
      </c>
      <c r="Q995" s="17">
        <f t="shared" ca="1" si="329"/>
        <v>0</v>
      </c>
      <c r="R995" s="10">
        <f t="shared" ca="1" si="330"/>
        <v>45</v>
      </c>
      <c r="S995" s="17">
        <f t="shared" ca="1" si="331"/>
        <v>0</v>
      </c>
      <c r="T995" s="70">
        <f t="shared" ca="1" si="332"/>
        <v>0.5</v>
      </c>
      <c r="U995" s="17">
        <f t="shared" ca="1" si="333"/>
        <v>0</v>
      </c>
      <c r="V995" s="71">
        <f t="shared" ca="1" si="334"/>
        <v>3</v>
      </c>
      <c r="W995" s="17">
        <f t="shared" ca="1" si="335"/>
        <v>0</v>
      </c>
    </row>
    <row r="996" spans="1:23" x14ac:dyDescent="0.25">
      <c r="A996" s="4">
        <f t="shared" si="315"/>
        <v>32</v>
      </c>
      <c r="B996" t="str">
        <f ca="1">TEXT(DATE(YEAR(Invoer!$A$6),1,1)+INT((ROWS(B$2:B996)-1)/4),"jjjjmmdd")</f>
        <v>19400905</v>
      </c>
      <c r="C996" s="64" t="str">
        <f>IF(MOD(ROWS(C$2:C996)-1,4)=3,"24.00",INDEX(Data,3,2+MOD(ROWS(C$2:C996)-1,4)))</f>
        <v>17.00</v>
      </c>
      <c r="D996" s="18">
        <f t="shared" ca="1" si="316"/>
        <v>757.4</v>
      </c>
      <c r="E996" s="17">
        <f t="shared" ca="1" si="317"/>
        <v>0</v>
      </c>
      <c r="F996" s="18">
        <f t="shared" ca="1" si="318"/>
        <v>27.9</v>
      </c>
      <c r="G996" s="17">
        <f t="shared" ca="1" si="319"/>
        <v>0</v>
      </c>
      <c r="H996" s="18" t="str">
        <f t="shared" ca="1" si="320"/>
        <v>—</v>
      </c>
      <c r="I996" s="17">
        <f t="shared" ca="1" si="321"/>
        <v>7</v>
      </c>
      <c r="J996" s="18" t="str">
        <f t="shared" ca="1" si="322"/>
        <v>—</v>
      </c>
      <c r="K996" s="17">
        <f t="shared" ca="1" si="323"/>
        <v>7</v>
      </c>
      <c r="L996" s="10">
        <f t="shared" ca="1" si="324"/>
        <v>85</v>
      </c>
      <c r="M996" s="17">
        <f t="shared" ca="1" si="325"/>
        <v>0</v>
      </c>
      <c r="N996" s="18">
        <f t="shared" ca="1" si="326"/>
        <v>23.9</v>
      </c>
      <c r="O996" s="17">
        <f t="shared" ca="1" si="327"/>
        <v>0</v>
      </c>
      <c r="P996" s="18">
        <f t="shared" ca="1" si="328"/>
        <v>25.8</v>
      </c>
      <c r="Q996" s="17">
        <f t="shared" ca="1" si="329"/>
        <v>0</v>
      </c>
      <c r="R996" s="10">
        <f t="shared" ca="1" si="330"/>
        <v>25</v>
      </c>
      <c r="S996" s="17">
        <f t="shared" ca="1" si="331"/>
        <v>0</v>
      </c>
      <c r="T996" s="70">
        <f t="shared" ca="1" si="332"/>
        <v>0.5</v>
      </c>
      <c r="U996" s="17">
        <f t="shared" ca="1" si="333"/>
        <v>0</v>
      </c>
      <c r="V996" s="71">
        <f t="shared" ca="1" si="334"/>
        <v>3</v>
      </c>
      <c r="W996" s="17">
        <f t="shared" ca="1" si="335"/>
        <v>0</v>
      </c>
    </row>
    <row r="997" spans="1:23" x14ac:dyDescent="0.25">
      <c r="A997" s="4">
        <f t="shared" si="315"/>
        <v>32</v>
      </c>
      <c r="B997" t="str">
        <f ca="1">TEXT(DATE(YEAR(Invoer!$A$6),1,1)+INT((ROWS(B$2:B997)-1)/4),"jjjjmmdd")</f>
        <v>19400905</v>
      </c>
      <c r="C997" s="64" t="str">
        <f>IF(MOD(ROWS(C$2:C997)-1,4)=3,"24.00",INDEX(Data,3,2+MOD(ROWS(C$2:C997)-1,4)))</f>
        <v>24.00</v>
      </c>
      <c r="D997" s="18" t="str">
        <f t="shared" ca="1" si="316"/>
        <v>—</v>
      </c>
      <c r="E997" s="17">
        <f t="shared" ca="1" si="317"/>
        <v>7</v>
      </c>
      <c r="F997" s="18" t="str">
        <f t="shared" ca="1" si="318"/>
        <v>—</v>
      </c>
      <c r="G997" s="17">
        <f t="shared" ca="1" si="319"/>
        <v>7</v>
      </c>
      <c r="H997" s="18">
        <f t="shared" ca="1" si="320"/>
        <v>29</v>
      </c>
      <c r="I997" s="17">
        <f t="shared" ca="1" si="321"/>
        <v>0</v>
      </c>
      <c r="J997" s="18">
        <f t="shared" ca="1" si="322"/>
        <v>30.4</v>
      </c>
      <c r="K997" s="17">
        <f t="shared" ca="1" si="323"/>
        <v>0</v>
      </c>
      <c r="L997" s="10" t="str">
        <f t="shared" ca="1" si="324"/>
        <v>—</v>
      </c>
      <c r="M997" s="17">
        <f t="shared" ca="1" si="325"/>
        <v>7</v>
      </c>
      <c r="N997" s="18" t="str">
        <f t="shared" ca="1" si="326"/>
        <v>—</v>
      </c>
      <c r="O997" s="17">
        <f t="shared" ca="1" si="327"/>
        <v>7</v>
      </c>
      <c r="P997" s="18" t="str">
        <f t="shared" ca="1" si="328"/>
        <v>—</v>
      </c>
      <c r="Q997" s="17">
        <f t="shared" ca="1" si="329"/>
        <v>7</v>
      </c>
      <c r="R997" s="10" t="str">
        <f t="shared" ca="1" si="330"/>
        <v>—</v>
      </c>
      <c r="S997" s="17">
        <f t="shared" ca="1" si="331"/>
        <v>7</v>
      </c>
      <c r="T997" s="70" t="str">
        <f t="shared" ca="1" si="332"/>
        <v>—</v>
      </c>
      <c r="U997" s="17">
        <f t="shared" ca="1" si="333"/>
        <v>7</v>
      </c>
      <c r="V997" s="71" t="str">
        <f t="shared" ca="1" si="334"/>
        <v>—</v>
      </c>
      <c r="W997" s="17">
        <f t="shared" ca="1" si="335"/>
        <v>7</v>
      </c>
    </row>
    <row r="998" spans="1:23" x14ac:dyDescent="0.25">
      <c r="A998" s="4">
        <f t="shared" si="315"/>
        <v>32</v>
      </c>
      <c r="B998" t="str">
        <f ca="1">TEXT(DATE(YEAR(Invoer!$A$6),1,1)+INT((ROWS(B$2:B998)-1)/4),"jjjjmmdd")</f>
        <v>19400906</v>
      </c>
      <c r="C998" s="64" t="str">
        <f>IF(MOD(ROWS(C$2:C998)-1,4)=3,"24.00",INDEX(Data,3,2+MOD(ROWS(C$2:C998)-1,4)))</f>
        <v>07.00</v>
      </c>
      <c r="D998" s="18">
        <f t="shared" ca="1" si="316"/>
        <v>758.2</v>
      </c>
      <c r="E998" s="17">
        <f t="shared" ca="1" si="317"/>
        <v>0</v>
      </c>
      <c r="F998" s="18">
        <f t="shared" ca="1" si="318"/>
        <v>26.9</v>
      </c>
      <c r="G998" s="17">
        <f t="shared" ca="1" si="319"/>
        <v>0</v>
      </c>
      <c r="H998" s="18" t="str">
        <f t="shared" ca="1" si="320"/>
        <v>—</v>
      </c>
      <c r="I998" s="17">
        <f t="shared" ca="1" si="321"/>
        <v>7</v>
      </c>
      <c r="J998" s="18" t="str">
        <f t="shared" ca="1" si="322"/>
        <v>—</v>
      </c>
      <c r="K998" s="17">
        <f t="shared" ca="1" si="323"/>
        <v>7</v>
      </c>
      <c r="L998" s="10">
        <f t="shared" ca="1" si="324"/>
        <v>93</v>
      </c>
      <c r="M998" s="17">
        <f t="shared" ca="1" si="325"/>
        <v>0</v>
      </c>
      <c r="N998" s="18">
        <f t="shared" ca="1" si="326"/>
        <v>24.8</v>
      </c>
      <c r="O998" s="17">
        <f t="shared" ca="1" si="327"/>
        <v>0</v>
      </c>
      <c r="P998" s="18">
        <f t="shared" ca="1" si="328"/>
        <v>26</v>
      </c>
      <c r="Q998" s="17">
        <f t="shared" ca="1" si="329"/>
        <v>0</v>
      </c>
      <c r="R998" s="10">
        <f t="shared" ca="1" si="330"/>
        <v>45</v>
      </c>
      <c r="S998" s="17">
        <f t="shared" ca="1" si="331"/>
        <v>0</v>
      </c>
      <c r="T998" s="70">
        <f t="shared" ca="1" si="332"/>
        <v>0.4</v>
      </c>
      <c r="U998" s="17">
        <f t="shared" ca="1" si="333"/>
        <v>0</v>
      </c>
      <c r="V998" s="71">
        <f t="shared" ca="1" si="334"/>
        <v>3</v>
      </c>
      <c r="W998" s="17">
        <f t="shared" ca="1" si="335"/>
        <v>0</v>
      </c>
    </row>
    <row r="999" spans="1:23" x14ac:dyDescent="0.25">
      <c r="A999" s="4">
        <f t="shared" si="315"/>
        <v>32</v>
      </c>
      <c r="B999" t="str">
        <f ca="1">TEXT(DATE(YEAR(Invoer!$A$6),1,1)+INT((ROWS(B$2:B999)-1)/4),"jjjjmmdd")</f>
        <v>19400906</v>
      </c>
      <c r="C999" s="64" t="str">
        <f>IF(MOD(ROWS(C$2:C999)-1,4)=3,"24.00",INDEX(Data,3,2+MOD(ROWS(C$2:C999)-1,4)))</f>
        <v>12.00</v>
      </c>
      <c r="D999" s="18">
        <f t="shared" ca="1" si="316"/>
        <v>758.2</v>
      </c>
      <c r="E999" s="17">
        <f t="shared" ca="1" si="317"/>
        <v>0</v>
      </c>
      <c r="F999" s="18">
        <f t="shared" ca="1" si="318"/>
        <v>28.7</v>
      </c>
      <c r="G999" s="17">
        <f t="shared" ca="1" si="319"/>
        <v>0</v>
      </c>
      <c r="H999" s="18" t="str">
        <f t="shared" ca="1" si="320"/>
        <v>—</v>
      </c>
      <c r="I999" s="17">
        <f t="shared" ca="1" si="321"/>
        <v>7</v>
      </c>
      <c r="J999" s="18" t="str">
        <f t="shared" ca="1" si="322"/>
        <v>—</v>
      </c>
      <c r="K999" s="17">
        <f t="shared" ca="1" si="323"/>
        <v>7</v>
      </c>
      <c r="L999" s="10">
        <f t="shared" ca="1" si="324"/>
        <v>84</v>
      </c>
      <c r="M999" s="17">
        <f t="shared" ca="1" si="325"/>
        <v>0</v>
      </c>
      <c r="N999" s="18">
        <f t="shared" ca="1" si="326"/>
        <v>24.7</v>
      </c>
      <c r="O999" s="17">
        <f t="shared" ca="1" si="327"/>
        <v>0</v>
      </c>
      <c r="P999" s="18">
        <f t="shared" ca="1" si="328"/>
        <v>26.4</v>
      </c>
      <c r="Q999" s="17">
        <f t="shared" ca="1" si="329"/>
        <v>0</v>
      </c>
      <c r="R999" s="10">
        <f t="shared" ca="1" si="330"/>
        <v>25</v>
      </c>
      <c r="S999" s="17">
        <f t="shared" ca="1" si="331"/>
        <v>0</v>
      </c>
      <c r="T999" s="70">
        <f t="shared" ca="1" si="332"/>
        <v>0.6</v>
      </c>
      <c r="U999" s="17">
        <f t="shared" ca="1" si="333"/>
        <v>0</v>
      </c>
      <c r="V999" s="71">
        <f t="shared" ca="1" si="334"/>
        <v>2</v>
      </c>
      <c r="W999" s="17">
        <f t="shared" ca="1" si="335"/>
        <v>0</v>
      </c>
    </row>
    <row r="1000" spans="1:23" x14ac:dyDescent="0.25">
      <c r="A1000" s="4">
        <f t="shared" si="315"/>
        <v>32</v>
      </c>
      <c r="B1000" t="str">
        <f ca="1">TEXT(DATE(YEAR(Invoer!$A$6),1,1)+INT((ROWS(B$2:B1000)-1)/4),"jjjjmmdd")</f>
        <v>19400906</v>
      </c>
      <c r="C1000" s="64" t="str">
        <f>IF(MOD(ROWS(C$2:C1000)-1,4)=3,"24.00",INDEX(Data,3,2+MOD(ROWS(C$2:C1000)-1,4)))</f>
        <v>17.00</v>
      </c>
      <c r="D1000" s="18">
        <f t="shared" ca="1" si="316"/>
        <v>758.2</v>
      </c>
      <c r="E1000" s="17">
        <f t="shared" ca="1" si="317"/>
        <v>0</v>
      </c>
      <c r="F1000" s="18">
        <f t="shared" ca="1" si="318"/>
        <v>27.9</v>
      </c>
      <c r="G1000" s="17">
        <f t="shared" ca="1" si="319"/>
        <v>0</v>
      </c>
      <c r="H1000" s="18" t="str">
        <f t="shared" ca="1" si="320"/>
        <v>—</v>
      </c>
      <c r="I1000" s="17">
        <f t="shared" ca="1" si="321"/>
        <v>7</v>
      </c>
      <c r="J1000" s="18" t="str">
        <f t="shared" ca="1" si="322"/>
        <v>—</v>
      </c>
      <c r="K1000" s="17">
        <f t="shared" ca="1" si="323"/>
        <v>7</v>
      </c>
      <c r="L1000" s="10">
        <f t="shared" ca="1" si="324"/>
        <v>86</v>
      </c>
      <c r="M1000" s="17">
        <f t="shared" ca="1" si="325"/>
        <v>0</v>
      </c>
      <c r="N1000" s="18">
        <f t="shared" ca="1" si="326"/>
        <v>24.3</v>
      </c>
      <c r="O1000" s="17">
        <f t="shared" ca="1" si="327"/>
        <v>0</v>
      </c>
      <c r="P1000" s="18">
        <f t="shared" ca="1" si="328"/>
        <v>26</v>
      </c>
      <c r="Q1000" s="17">
        <f t="shared" ca="1" si="329"/>
        <v>0</v>
      </c>
      <c r="R1000" s="10">
        <f t="shared" ca="1" si="330"/>
        <v>25</v>
      </c>
      <c r="S1000" s="17">
        <f t="shared" ca="1" si="331"/>
        <v>0</v>
      </c>
      <c r="T1000" s="70">
        <f t="shared" ca="1" si="332"/>
        <v>0.6</v>
      </c>
      <c r="U1000" s="17">
        <f t="shared" ca="1" si="333"/>
        <v>0</v>
      </c>
      <c r="V1000" s="71">
        <f t="shared" ca="1" si="334"/>
        <v>2</v>
      </c>
      <c r="W1000" s="17">
        <f t="shared" ca="1" si="335"/>
        <v>0</v>
      </c>
    </row>
    <row r="1001" spans="1:23" x14ac:dyDescent="0.25">
      <c r="A1001" s="4">
        <f t="shared" si="315"/>
        <v>32</v>
      </c>
      <c r="B1001" t="str">
        <f ca="1">TEXT(DATE(YEAR(Invoer!$A$6),1,1)+INT((ROWS(B$2:B1001)-1)/4),"jjjjmmdd")</f>
        <v>19400906</v>
      </c>
      <c r="C1001" s="64" t="str">
        <f>IF(MOD(ROWS(C$2:C1001)-1,4)=3,"24.00",INDEX(Data,3,2+MOD(ROWS(C$2:C1001)-1,4)))</f>
        <v>24.00</v>
      </c>
      <c r="D1001" s="18" t="str">
        <f t="shared" ca="1" si="316"/>
        <v>—</v>
      </c>
      <c r="E1001" s="17">
        <f t="shared" ca="1" si="317"/>
        <v>7</v>
      </c>
      <c r="F1001" s="18" t="str">
        <f t="shared" ca="1" si="318"/>
        <v>—</v>
      </c>
      <c r="G1001" s="17">
        <f t="shared" ca="1" si="319"/>
        <v>7</v>
      </c>
      <c r="H1001" s="18">
        <f t="shared" ca="1" si="320"/>
        <v>29</v>
      </c>
      <c r="I1001" s="17">
        <f t="shared" ca="1" si="321"/>
        <v>0</v>
      </c>
      <c r="J1001" s="18">
        <f t="shared" ca="1" si="322"/>
        <v>30</v>
      </c>
      <c r="K1001" s="17">
        <f t="shared" ca="1" si="323"/>
        <v>0</v>
      </c>
      <c r="L1001" s="10" t="str">
        <f t="shared" ca="1" si="324"/>
        <v>—</v>
      </c>
      <c r="M1001" s="17">
        <f t="shared" ca="1" si="325"/>
        <v>7</v>
      </c>
      <c r="N1001" s="18" t="str">
        <f t="shared" ca="1" si="326"/>
        <v>—</v>
      </c>
      <c r="O1001" s="17">
        <f t="shared" ca="1" si="327"/>
        <v>7</v>
      </c>
      <c r="P1001" s="18" t="str">
        <f t="shared" ca="1" si="328"/>
        <v>—</v>
      </c>
      <c r="Q1001" s="17">
        <f t="shared" ca="1" si="329"/>
        <v>7</v>
      </c>
      <c r="R1001" s="10" t="str">
        <f t="shared" ca="1" si="330"/>
        <v>—</v>
      </c>
      <c r="S1001" s="17">
        <f t="shared" ca="1" si="331"/>
        <v>7</v>
      </c>
      <c r="T1001" s="70" t="str">
        <f t="shared" ca="1" si="332"/>
        <v>—</v>
      </c>
      <c r="U1001" s="17">
        <f t="shared" ca="1" si="333"/>
        <v>7</v>
      </c>
      <c r="V1001" s="71" t="str">
        <f t="shared" ca="1" si="334"/>
        <v>—</v>
      </c>
      <c r="W1001" s="17">
        <f t="shared" ca="1" si="335"/>
        <v>7</v>
      </c>
    </row>
    <row r="1002" spans="1:23" x14ac:dyDescent="0.25">
      <c r="A1002" s="4">
        <f t="shared" si="315"/>
        <v>32</v>
      </c>
      <c r="B1002" t="str">
        <f ca="1">TEXT(DATE(YEAR(Invoer!$A$6),1,1)+INT((ROWS(B$2:B1002)-1)/4),"jjjjmmdd")</f>
        <v>19400907</v>
      </c>
      <c r="C1002" s="64" t="str">
        <f>IF(MOD(ROWS(C$2:C1002)-1,4)=3,"24.00",INDEX(Data,3,2+MOD(ROWS(C$2:C1002)-1,4)))</f>
        <v>07.00</v>
      </c>
      <c r="D1002" s="18">
        <f t="shared" ca="1" si="316"/>
        <v>758.2</v>
      </c>
      <c r="E1002" s="17">
        <f t="shared" ca="1" si="317"/>
        <v>0</v>
      </c>
      <c r="F1002" s="18">
        <f t="shared" ca="1" si="318"/>
        <v>27.4</v>
      </c>
      <c r="G1002" s="17">
        <f t="shared" ca="1" si="319"/>
        <v>0</v>
      </c>
      <c r="H1002" s="18" t="str">
        <f t="shared" ca="1" si="320"/>
        <v>—</v>
      </c>
      <c r="I1002" s="17">
        <f t="shared" ca="1" si="321"/>
        <v>7</v>
      </c>
      <c r="J1002" s="18" t="str">
        <f t="shared" ca="1" si="322"/>
        <v>—</v>
      </c>
      <c r="K1002" s="17">
        <f t="shared" ca="1" si="323"/>
        <v>7</v>
      </c>
      <c r="L1002" s="10">
        <f t="shared" ca="1" si="324"/>
        <v>88</v>
      </c>
      <c r="M1002" s="17">
        <f t="shared" ca="1" si="325"/>
        <v>0</v>
      </c>
      <c r="N1002" s="18">
        <f t="shared" ca="1" si="326"/>
        <v>24.1</v>
      </c>
      <c r="O1002" s="17">
        <f t="shared" ca="1" si="327"/>
        <v>0</v>
      </c>
      <c r="P1002" s="18">
        <f t="shared" ca="1" si="328"/>
        <v>25.8</v>
      </c>
      <c r="Q1002" s="17">
        <f t="shared" ca="1" si="329"/>
        <v>0</v>
      </c>
      <c r="R1002" s="10">
        <f t="shared" ca="1" si="330"/>
        <v>45</v>
      </c>
      <c r="S1002" s="17">
        <f t="shared" ca="1" si="331"/>
        <v>0</v>
      </c>
      <c r="T1002" s="70">
        <f t="shared" ca="1" si="332"/>
        <v>0.5</v>
      </c>
      <c r="U1002" s="17">
        <f t="shared" ca="1" si="333"/>
        <v>0</v>
      </c>
      <c r="V1002" s="71">
        <f t="shared" ca="1" si="334"/>
        <v>4</v>
      </c>
      <c r="W1002" s="17">
        <f t="shared" ca="1" si="335"/>
        <v>0</v>
      </c>
    </row>
    <row r="1003" spans="1:23" x14ac:dyDescent="0.25">
      <c r="A1003" s="4">
        <f t="shared" si="315"/>
        <v>32</v>
      </c>
      <c r="B1003" t="str">
        <f ca="1">TEXT(DATE(YEAR(Invoer!$A$6),1,1)+INT((ROWS(B$2:B1003)-1)/4),"jjjjmmdd")</f>
        <v>19400907</v>
      </c>
      <c r="C1003" s="64" t="str">
        <f>IF(MOD(ROWS(C$2:C1003)-1,4)=3,"24.00",INDEX(Data,3,2+MOD(ROWS(C$2:C1003)-1,4)))</f>
        <v>12.00</v>
      </c>
      <c r="D1003" s="18">
        <f t="shared" ca="1" si="316"/>
        <v>758.2</v>
      </c>
      <c r="E1003" s="17">
        <f t="shared" ca="1" si="317"/>
        <v>0</v>
      </c>
      <c r="F1003" s="18">
        <f t="shared" ca="1" si="318"/>
        <v>28.1</v>
      </c>
      <c r="G1003" s="17">
        <f t="shared" ca="1" si="319"/>
        <v>0</v>
      </c>
      <c r="H1003" s="18" t="str">
        <f t="shared" ca="1" si="320"/>
        <v>—</v>
      </c>
      <c r="I1003" s="17">
        <f t="shared" ca="1" si="321"/>
        <v>7</v>
      </c>
      <c r="J1003" s="18" t="str">
        <f t="shared" ca="1" si="322"/>
        <v>—</v>
      </c>
      <c r="K1003" s="17">
        <f t="shared" ca="1" si="323"/>
        <v>7</v>
      </c>
      <c r="L1003" s="10">
        <f t="shared" ca="1" si="324"/>
        <v>86</v>
      </c>
      <c r="M1003" s="17">
        <f t="shared" ca="1" si="325"/>
        <v>0</v>
      </c>
      <c r="N1003" s="18">
        <f t="shared" ca="1" si="326"/>
        <v>24.6</v>
      </c>
      <c r="O1003" s="17">
        <f t="shared" ca="1" si="327"/>
        <v>0</v>
      </c>
      <c r="P1003" s="18">
        <f t="shared" ca="1" si="328"/>
        <v>26.2</v>
      </c>
      <c r="Q1003" s="17">
        <f t="shared" ca="1" si="329"/>
        <v>0</v>
      </c>
      <c r="R1003" s="10">
        <f t="shared" ca="1" si="330"/>
        <v>45</v>
      </c>
      <c r="S1003" s="17">
        <f t="shared" ca="1" si="331"/>
        <v>0</v>
      </c>
      <c r="T1003" s="70">
        <f t="shared" ca="1" si="332"/>
        <v>0.6</v>
      </c>
      <c r="U1003" s="17">
        <f t="shared" ca="1" si="333"/>
        <v>0</v>
      </c>
      <c r="V1003" s="71">
        <f t="shared" ca="1" si="334"/>
        <v>5</v>
      </c>
      <c r="W1003" s="17">
        <f t="shared" ca="1" si="335"/>
        <v>0</v>
      </c>
    </row>
    <row r="1004" spans="1:23" x14ac:dyDescent="0.25">
      <c r="A1004" s="4">
        <f t="shared" si="315"/>
        <v>32</v>
      </c>
      <c r="B1004" t="str">
        <f ca="1">TEXT(DATE(YEAR(Invoer!$A$6),1,1)+INT((ROWS(B$2:B1004)-1)/4),"jjjjmmdd")</f>
        <v>19400907</v>
      </c>
      <c r="C1004" s="64" t="str">
        <f>IF(MOD(ROWS(C$2:C1004)-1,4)=3,"24.00",INDEX(Data,3,2+MOD(ROWS(C$2:C1004)-1,4)))</f>
        <v>17.00</v>
      </c>
      <c r="D1004" s="18">
        <f t="shared" ca="1" si="316"/>
        <v>757.7</v>
      </c>
      <c r="E1004" s="17">
        <f t="shared" ca="1" si="317"/>
        <v>0</v>
      </c>
      <c r="F1004" s="18">
        <f t="shared" ca="1" si="318"/>
        <v>27.5</v>
      </c>
      <c r="G1004" s="17">
        <f t="shared" ca="1" si="319"/>
        <v>0</v>
      </c>
      <c r="H1004" s="18" t="str">
        <f t="shared" ca="1" si="320"/>
        <v>—</v>
      </c>
      <c r="I1004" s="17">
        <f t="shared" ca="1" si="321"/>
        <v>7</v>
      </c>
      <c r="J1004" s="18" t="str">
        <f t="shared" ca="1" si="322"/>
        <v>—</v>
      </c>
      <c r="K1004" s="17">
        <f t="shared" ca="1" si="323"/>
        <v>7</v>
      </c>
      <c r="L1004" s="10">
        <f t="shared" ca="1" si="324"/>
        <v>87</v>
      </c>
      <c r="M1004" s="17">
        <f t="shared" ca="1" si="325"/>
        <v>0</v>
      </c>
      <c r="N1004" s="18">
        <f t="shared" ca="1" si="326"/>
        <v>24.1</v>
      </c>
      <c r="O1004" s="17">
        <f t="shared" ca="1" si="327"/>
        <v>0</v>
      </c>
      <c r="P1004" s="18">
        <f t="shared" ca="1" si="328"/>
        <v>25.8</v>
      </c>
      <c r="Q1004" s="17">
        <f t="shared" ca="1" si="329"/>
        <v>0</v>
      </c>
      <c r="R1004" s="10">
        <f t="shared" ca="1" si="330"/>
        <v>45</v>
      </c>
      <c r="S1004" s="17">
        <f t="shared" ca="1" si="331"/>
        <v>0</v>
      </c>
      <c r="T1004" s="70">
        <f t="shared" ca="1" si="332"/>
        <v>0.6</v>
      </c>
      <c r="U1004" s="17">
        <f t="shared" ca="1" si="333"/>
        <v>0</v>
      </c>
      <c r="V1004" s="71">
        <f t="shared" ca="1" si="334"/>
        <v>5</v>
      </c>
      <c r="W1004" s="17">
        <f t="shared" ca="1" si="335"/>
        <v>0</v>
      </c>
    </row>
    <row r="1005" spans="1:23" x14ac:dyDescent="0.25">
      <c r="A1005" s="4">
        <f t="shared" si="315"/>
        <v>32</v>
      </c>
      <c r="B1005" t="str">
        <f ca="1">TEXT(DATE(YEAR(Invoer!$A$6),1,1)+INT((ROWS(B$2:B1005)-1)/4),"jjjjmmdd")</f>
        <v>19400907</v>
      </c>
      <c r="C1005" s="64" t="str">
        <f>IF(MOD(ROWS(C$2:C1005)-1,4)=3,"24.00",INDEX(Data,3,2+MOD(ROWS(C$2:C1005)-1,4)))</f>
        <v>24.00</v>
      </c>
      <c r="D1005" s="18" t="str">
        <f t="shared" ca="1" si="316"/>
        <v>—</v>
      </c>
      <c r="E1005" s="17">
        <f t="shared" ca="1" si="317"/>
        <v>7</v>
      </c>
      <c r="F1005" s="18" t="str">
        <f t="shared" ca="1" si="318"/>
        <v>—</v>
      </c>
      <c r="G1005" s="17">
        <f t="shared" ca="1" si="319"/>
        <v>7</v>
      </c>
      <c r="H1005" s="18">
        <f t="shared" ca="1" si="320"/>
        <v>29</v>
      </c>
      <c r="I1005" s="17">
        <f t="shared" ca="1" si="321"/>
        <v>0</v>
      </c>
      <c r="J1005" s="18">
        <f t="shared" ca="1" si="322"/>
        <v>30.4</v>
      </c>
      <c r="K1005" s="17">
        <f t="shared" ca="1" si="323"/>
        <v>0</v>
      </c>
      <c r="L1005" s="10" t="str">
        <f t="shared" ca="1" si="324"/>
        <v>—</v>
      </c>
      <c r="M1005" s="17">
        <f t="shared" ca="1" si="325"/>
        <v>7</v>
      </c>
      <c r="N1005" s="18" t="str">
        <f t="shared" ca="1" si="326"/>
        <v>—</v>
      </c>
      <c r="O1005" s="17">
        <f t="shared" ca="1" si="327"/>
        <v>7</v>
      </c>
      <c r="P1005" s="18" t="str">
        <f t="shared" ca="1" si="328"/>
        <v>—</v>
      </c>
      <c r="Q1005" s="17">
        <f t="shared" ca="1" si="329"/>
        <v>7</v>
      </c>
      <c r="R1005" s="10" t="str">
        <f t="shared" ca="1" si="330"/>
        <v>—</v>
      </c>
      <c r="S1005" s="17">
        <f t="shared" ca="1" si="331"/>
        <v>7</v>
      </c>
      <c r="T1005" s="70" t="str">
        <f t="shared" ca="1" si="332"/>
        <v>—</v>
      </c>
      <c r="U1005" s="17">
        <f t="shared" ca="1" si="333"/>
        <v>7</v>
      </c>
      <c r="V1005" s="71" t="str">
        <f t="shared" ca="1" si="334"/>
        <v>—</v>
      </c>
      <c r="W1005" s="17">
        <f t="shared" ca="1" si="335"/>
        <v>7</v>
      </c>
    </row>
    <row r="1006" spans="1:23" x14ac:dyDescent="0.25">
      <c r="A1006" s="4">
        <f t="shared" si="315"/>
        <v>32</v>
      </c>
      <c r="B1006" t="str">
        <f ca="1">TEXT(DATE(YEAR(Invoer!$A$6),1,1)+INT((ROWS(B$2:B1006)-1)/4),"jjjjmmdd")</f>
        <v>19400908</v>
      </c>
      <c r="C1006" s="64" t="str">
        <f>IF(MOD(ROWS(C$2:C1006)-1,4)=3,"24.00",INDEX(Data,3,2+MOD(ROWS(C$2:C1006)-1,4)))</f>
        <v>07.00</v>
      </c>
      <c r="D1006" s="18">
        <f t="shared" ca="1" si="316"/>
        <v>756.9</v>
      </c>
      <c r="E1006" s="17">
        <f t="shared" ca="1" si="317"/>
        <v>0</v>
      </c>
      <c r="F1006" s="18">
        <f t="shared" ca="1" si="318"/>
        <v>26.3</v>
      </c>
      <c r="G1006" s="17">
        <f t="shared" ca="1" si="319"/>
        <v>0</v>
      </c>
      <c r="H1006" s="18" t="str">
        <f t="shared" ca="1" si="320"/>
        <v>—</v>
      </c>
      <c r="I1006" s="17">
        <f t="shared" ca="1" si="321"/>
        <v>7</v>
      </c>
      <c r="J1006" s="18" t="str">
        <f t="shared" ca="1" si="322"/>
        <v>—</v>
      </c>
      <c r="K1006" s="17">
        <f t="shared" ca="1" si="323"/>
        <v>7</v>
      </c>
      <c r="L1006" s="10">
        <f t="shared" ca="1" si="324"/>
        <v>95</v>
      </c>
      <c r="M1006" s="17">
        <f t="shared" ca="1" si="325"/>
        <v>0</v>
      </c>
      <c r="N1006" s="18">
        <f t="shared" ca="1" si="326"/>
        <v>24.3</v>
      </c>
      <c r="O1006" s="17">
        <f t="shared" ca="1" si="327"/>
        <v>0</v>
      </c>
      <c r="P1006" s="18">
        <f t="shared" ca="1" si="328"/>
        <v>25.6</v>
      </c>
      <c r="Q1006" s="17">
        <f t="shared" ca="1" si="329"/>
        <v>0</v>
      </c>
      <c r="R1006" s="10">
        <f t="shared" ca="1" si="330"/>
        <v>45</v>
      </c>
      <c r="S1006" s="17">
        <f t="shared" ca="1" si="331"/>
        <v>0</v>
      </c>
      <c r="T1006" s="70">
        <f t="shared" ca="1" si="332"/>
        <v>0.5</v>
      </c>
      <c r="U1006" s="17">
        <f t="shared" ca="1" si="333"/>
        <v>0</v>
      </c>
      <c r="V1006" s="71">
        <f t="shared" ca="1" si="334"/>
        <v>3</v>
      </c>
      <c r="W1006" s="17">
        <f t="shared" ca="1" si="335"/>
        <v>0</v>
      </c>
    </row>
    <row r="1007" spans="1:23" x14ac:dyDescent="0.25">
      <c r="A1007" s="4">
        <f t="shared" si="315"/>
        <v>32</v>
      </c>
      <c r="B1007" t="str">
        <f ca="1">TEXT(DATE(YEAR(Invoer!$A$6),1,1)+INT((ROWS(B$2:B1007)-1)/4),"jjjjmmdd")</f>
        <v>19400908</v>
      </c>
      <c r="C1007" s="64" t="str">
        <f>IF(MOD(ROWS(C$2:C1007)-1,4)=3,"24.00",INDEX(Data,3,2+MOD(ROWS(C$2:C1007)-1,4)))</f>
        <v>12.00</v>
      </c>
      <c r="D1007" s="18">
        <f t="shared" ca="1" si="316"/>
        <v>757.9</v>
      </c>
      <c r="E1007" s="17">
        <f t="shared" ca="1" si="317"/>
        <v>0</v>
      </c>
      <c r="F1007" s="18">
        <f t="shared" ca="1" si="318"/>
        <v>26.9</v>
      </c>
      <c r="G1007" s="17">
        <f t="shared" ca="1" si="319"/>
        <v>0</v>
      </c>
      <c r="H1007" s="18" t="str">
        <f t="shared" ca="1" si="320"/>
        <v>—</v>
      </c>
      <c r="I1007" s="17">
        <f t="shared" ca="1" si="321"/>
        <v>7</v>
      </c>
      <c r="J1007" s="18" t="str">
        <f t="shared" ca="1" si="322"/>
        <v>—</v>
      </c>
      <c r="K1007" s="17">
        <f t="shared" ca="1" si="323"/>
        <v>7</v>
      </c>
      <c r="L1007" s="10">
        <f t="shared" ca="1" si="324"/>
        <v>92</v>
      </c>
      <c r="M1007" s="17">
        <f t="shared" ca="1" si="325"/>
        <v>0</v>
      </c>
      <c r="N1007" s="18">
        <f t="shared" ca="1" si="326"/>
        <v>24.4</v>
      </c>
      <c r="O1007" s="17">
        <f t="shared" ca="1" si="327"/>
        <v>0</v>
      </c>
      <c r="P1007" s="18">
        <f t="shared" ca="1" si="328"/>
        <v>25.8</v>
      </c>
      <c r="Q1007" s="17">
        <f t="shared" ca="1" si="329"/>
        <v>0</v>
      </c>
      <c r="R1007" s="10">
        <f t="shared" ca="1" si="330"/>
        <v>45</v>
      </c>
      <c r="S1007" s="17">
        <f t="shared" ca="1" si="331"/>
        <v>0</v>
      </c>
      <c r="T1007" s="70">
        <f t="shared" ca="1" si="332"/>
        <v>0.6</v>
      </c>
      <c r="U1007" s="17">
        <f t="shared" ca="1" si="333"/>
        <v>0</v>
      </c>
      <c r="V1007" s="71">
        <f t="shared" ca="1" si="334"/>
        <v>4</v>
      </c>
      <c r="W1007" s="17">
        <f t="shared" ca="1" si="335"/>
        <v>0</v>
      </c>
    </row>
    <row r="1008" spans="1:23" x14ac:dyDescent="0.25">
      <c r="A1008" s="4">
        <f t="shared" si="315"/>
        <v>32</v>
      </c>
      <c r="B1008" t="str">
        <f ca="1">TEXT(DATE(YEAR(Invoer!$A$6),1,1)+INT((ROWS(B$2:B1008)-1)/4),"jjjjmmdd")</f>
        <v>19400908</v>
      </c>
      <c r="C1008" s="64" t="str">
        <f>IF(MOD(ROWS(C$2:C1008)-1,4)=3,"24.00",INDEX(Data,3,2+MOD(ROWS(C$2:C1008)-1,4)))</f>
        <v>17.00</v>
      </c>
      <c r="D1008" s="18">
        <f t="shared" ca="1" si="316"/>
        <v>756.9</v>
      </c>
      <c r="E1008" s="17">
        <f t="shared" ca="1" si="317"/>
        <v>0</v>
      </c>
      <c r="F1008" s="18">
        <f t="shared" ca="1" si="318"/>
        <v>26.1</v>
      </c>
      <c r="G1008" s="17">
        <f t="shared" ca="1" si="319"/>
        <v>0</v>
      </c>
      <c r="H1008" s="18" t="str">
        <f t="shared" ca="1" si="320"/>
        <v>—</v>
      </c>
      <c r="I1008" s="17">
        <f t="shared" ca="1" si="321"/>
        <v>7</v>
      </c>
      <c r="J1008" s="18" t="str">
        <f t="shared" ca="1" si="322"/>
        <v>—</v>
      </c>
      <c r="K1008" s="17">
        <f t="shared" ca="1" si="323"/>
        <v>7</v>
      </c>
      <c r="L1008" s="10">
        <f t="shared" ca="1" si="324"/>
        <v>95</v>
      </c>
      <c r="M1008" s="17">
        <f t="shared" ca="1" si="325"/>
        <v>0</v>
      </c>
      <c r="N1008" s="18">
        <f t="shared" ca="1" si="326"/>
        <v>24</v>
      </c>
      <c r="O1008" s="17">
        <f t="shared" ca="1" si="327"/>
        <v>0</v>
      </c>
      <c r="P1008" s="18">
        <f t="shared" ca="1" si="328"/>
        <v>25.4</v>
      </c>
      <c r="Q1008" s="17">
        <f t="shared" ca="1" si="329"/>
        <v>0</v>
      </c>
      <c r="R1008" s="10">
        <f t="shared" ca="1" si="330"/>
        <v>45</v>
      </c>
      <c r="S1008" s="17">
        <f t="shared" ca="1" si="331"/>
        <v>0</v>
      </c>
      <c r="T1008" s="70">
        <f t="shared" ca="1" si="332"/>
        <v>0.6</v>
      </c>
      <c r="U1008" s="17">
        <f t="shared" ca="1" si="333"/>
        <v>0</v>
      </c>
      <c r="V1008" s="71">
        <f t="shared" ca="1" si="334"/>
        <v>3</v>
      </c>
      <c r="W1008" s="17">
        <f t="shared" ca="1" si="335"/>
        <v>0</v>
      </c>
    </row>
    <row r="1009" spans="1:23" x14ac:dyDescent="0.25">
      <c r="A1009" s="4">
        <f t="shared" si="315"/>
        <v>32</v>
      </c>
      <c r="B1009" t="str">
        <f ca="1">TEXT(DATE(YEAR(Invoer!$A$6),1,1)+INT((ROWS(B$2:B1009)-1)/4),"jjjjmmdd")</f>
        <v>19400908</v>
      </c>
      <c r="C1009" s="64" t="str">
        <f>IF(MOD(ROWS(C$2:C1009)-1,4)=3,"24.00",INDEX(Data,3,2+MOD(ROWS(C$2:C1009)-1,4)))</f>
        <v>24.00</v>
      </c>
      <c r="D1009" s="18" t="str">
        <f t="shared" ca="1" si="316"/>
        <v>—</v>
      </c>
      <c r="E1009" s="17">
        <f t="shared" ca="1" si="317"/>
        <v>7</v>
      </c>
      <c r="F1009" s="18" t="str">
        <f t="shared" ca="1" si="318"/>
        <v>—</v>
      </c>
      <c r="G1009" s="17">
        <f t="shared" ca="1" si="319"/>
        <v>7</v>
      </c>
      <c r="H1009" s="18">
        <f t="shared" ca="1" si="320"/>
        <v>28.5</v>
      </c>
      <c r="I1009" s="17">
        <f t="shared" ca="1" si="321"/>
        <v>0</v>
      </c>
      <c r="J1009" s="18">
        <f t="shared" ca="1" si="322"/>
        <v>30</v>
      </c>
      <c r="K1009" s="17">
        <f t="shared" ca="1" si="323"/>
        <v>0</v>
      </c>
      <c r="L1009" s="10" t="str">
        <f t="shared" ca="1" si="324"/>
        <v>—</v>
      </c>
      <c r="M1009" s="17">
        <f t="shared" ca="1" si="325"/>
        <v>7</v>
      </c>
      <c r="N1009" s="18" t="str">
        <f t="shared" ca="1" si="326"/>
        <v>—</v>
      </c>
      <c r="O1009" s="17">
        <f t="shared" ca="1" si="327"/>
        <v>7</v>
      </c>
      <c r="P1009" s="18" t="str">
        <f t="shared" ca="1" si="328"/>
        <v>—</v>
      </c>
      <c r="Q1009" s="17">
        <f t="shared" ca="1" si="329"/>
        <v>7</v>
      </c>
      <c r="R1009" s="10" t="str">
        <f t="shared" ca="1" si="330"/>
        <v>—</v>
      </c>
      <c r="S1009" s="17">
        <f t="shared" ca="1" si="331"/>
        <v>7</v>
      </c>
      <c r="T1009" s="70" t="str">
        <f t="shared" ca="1" si="332"/>
        <v>—</v>
      </c>
      <c r="U1009" s="17">
        <f t="shared" ca="1" si="333"/>
        <v>7</v>
      </c>
      <c r="V1009" s="71" t="str">
        <f t="shared" ca="1" si="334"/>
        <v>—</v>
      </c>
      <c r="W1009" s="17">
        <f t="shared" ca="1" si="335"/>
        <v>7</v>
      </c>
    </row>
    <row r="1010" spans="1:23" x14ac:dyDescent="0.25">
      <c r="A1010" s="4">
        <f t="shared" si="315"/>
        <v>32</v>
      </c>
      <c r="B1010" t="str">
        <f ca="1">TEXT(DATE(YEAR(Invoer!$A$6),1,1)+INT((ROWS(B$2:B1010)-1)/4),"jjjjmmdd")</f>
        <v>19400909</v>
      </c>
      <c r="C1010" s="64" t="str">
        <f>IF(MOD(ROWS(C$2:C1010)-1,4)=3,"24.00",INDEX(Data,3,2+MOD(ROWS(C$2:C1010)-1,4)))</f>
        <v>07.00</v>
      </c>
      <c r="D1010" s="18">
        <f t="shared" ca="1" si="316"/>
        <v>756.9</v>
      </c>
      <c r="E1010" s="17">
        <f t="shared" ca="1" si="317"/>
        <v>0</v>
      </c>
      <c r="F1010" s="18">
        <f t="shared" ca="1" si="318"/>
        <v>26.9</v>
      </c>
      <c r="G1010" s="17">
        <f t="shared" ca="1" si="319"/>
        <v>0</v>
      </c>
      <c r="H1010" s="18" t="str">
        <f t="shared" ca="1" si="320"/>
        <v>—</v>
      </c>
      <c r="I1010" s="17">
        <f t="shared" ca="1" si="321"/>
        <v>7</v>
      </c>
      <c r="J1010" s="18" t="str">
        <f t="shared" ca="1" si="322"/>
        <v>—</v>
      </c>
      <c r="K1010" s="17">
        <f t="shared" ca="1" si="323"/>
        <v>7</v>
      </c>
      <c r="L1010" s="10">
        <f t="shared" ca="1" si="324"/>
        <v>87</v>
      </c>
      <c r="M1010" s="17">
        <f t="shared" ca="1" si="325"/>
        <v>0</v>
      </c>
      <c r="N1010" s="18">
        <f t="shared" ca="1" si="326"/>
        <v>23.2</v>
      </c>
      <c r="O1010" s="17">
        <f t="shared" ca="1" si="327"/>
        <v>0</v>
      </c>
      <c r="P1010" s="18">
        <f t="shared" ca="1" si="328"/>
        <v>25.2</v>
      </c>
      <c r="Q1010" s="17">
        <f t="shared" ca="1" si="329"/>
        <v>0</v>
      </c>
      <c r="R1010" s="10">
        <f t="shared" ca="1" si="330"/>
        <v>45</v>
      </c>
      <c r="S1010" s="17">
        <f t="shared" ca="1" si="331"/>
        <v>0</v>
      </c>
      <c r="T1010" s="70">
        <f t="shared" ca="1" si="332"/>
        <v>0.5</v>
      </c>
      <c r="U1010" s="17">
        <f t="shared" ca="1" si="333"/>
        <v>0</v>
      </c>
      <c r="V1010" s="71">
        <f t="shared" ca="1" si="334"/>
        <v>3</v>
      </c>
      <c r="W1010" s="17">
        <f t="shared" ca="1" si="335"/>
        <v>0</v>
      </c>
    </row>
    <row r="1011" spans="1:23" x14ac:dyDescent="0.25">
      <c r="A1011" s="4">
        <f t="shared" si="315"/>
        <v>32</v>
      </c>
      <c r="B1011" t="str">
        <f ca="1">TEXT(DATE(YEAR(Invoer!$A$6),1,1)+INT((ROWS(B$2:B1011)-1)/4),"jjjjmmdd")</f>
        <v>19400909</v>
      </c>
      <c r="C1011" s="64" t="str">
        <f>IF(MOD(ROWS(C$2:C1011)-1,4)=3,"24.00",INDEX(Data,3,2+MOD(ROWS(C$2:C1011)-1,4)))</f>
        <v>12.00</v>
      </c>
      <c r="D1011" s="18">
        <f t="shared" ca="1" si="316"/>
        <v>757.9</v>
      </c>
      <c r="E1011" s="17">
        <f t="shared" ca="1" si="317"/>
        <v>0</v>
      </c>
      <c r="F1011" s="18">
        <f t="shared" ca="1" si="318"/>
        <v>27.1</v>
      </c>
      <c r="G1011" s="17">
        <f t="shared" ca="1" si="319"/>
        <v>0</v>
      </c>
      <c r="H1011" s="18" t="str">
        <f t="shared" ca="1" si="320"/>
        <v>—</v>
      </c>
      <c r="I1011" s="17">
        <f t="shared" ca="1" si="321"/>
        <v>7</v>
      </c>
      <c r="J1011" s="18" t="str">
        <f t="shared" ca="1" si="322"/>
        <v>—</v>
      </c>
      <c r="K1011" s="17">
        <f t="shared" ca="1" si="323"/>
        <v>7</v>
      </c>
      <c r="L1011" s="10">
        <f t="shared" ca="1" si="324"/>
        <v>87</v>
      </c>
      <c r="M1011" s="17">
        <f t="shared" ca="1" si="325"/>
        <v>0</v>
      </c>
      <c r="N1011" s="18">
        <f t="shared" ca="1" si="326"/>
        <v>23.5</v>
      </c>
      <c r="O1011" s="17">
        <f t="shared" ca="1" si="327"/>
        <v>0</v>
      </c>
      <c r="P1011" s="18">
        <f t="shared" ca="1" si="328"/>
        <v>25.4</v>
      </c>
      <c r="Q1011" s="17">
        <f t="shared" ca="1" si="329"/>
        <v>0</v>
      </c>
      <c r="R1011" s="10">
        <f t="shared" ca="1" si="330"/>
        <v>45</v>
      </c>
      <c r="S1011" s="17">
        <f t="shared" ca="1" si="331"/>
        <v>0</v>
      </c>
      <c r="T1011" s="70">
        <f t="shared" ca="1" si="332"/>
        <v>0.6</v>
      </c>
      <c r="U1011" s="17">
        <f t="shared" ca="1" si="333"/>
        <v>0</v>
      </c>
      <c r="V1011" s="71">
        <f t="shared" ca="1" si="334"/>
        <v>4</v>
      </c>
      <c r="W1011" s="17">
        <f t="shared" ca="1" si="335"/>
        <v>0</v>
      </c>
    </row>
    <row r="1012" spans="1:23" x14ac:dyDescent="0.25">
      <c r="A1012" s="4">
        <f t="shared" si="315"/>
        <v>32</v>
      </c>
      <c r="B1012" t="str">
        <f ca="1">TEXT(DATE(YEAR(Invoer!$A$6),1,1)+INT((ROWS(B$2:B1012)-1)/4),"jjjjmmdd")</f>
        <v>19400909</v>
      </c>
      <c r="C1012" s="64" t="str">
        <f>IF(MOD(ROWS(C$2:C1012)-1,4)=3,"24.00",INDEX(Data,3,2+MOD(ROWS(C$2:C1012)-1,4)))</f>
        <v>17.00</v>
      </c>
      <c r="D1012" s="18">
        <f t="shared" ca="1" si="316"/>
        <v>756.9</v>
      </c>
      <c r="E1012" s="17">
        <f t="shared" ca="1" si="317"/>
        <v>0</v>
      </c>
      <c r="F1012" s="18">
        <f t="shared" ca="1" si="318"/>
        <v>26.7</v>
      </c>
      <c r="G1012" s="17">
        <f t="shared" ca="1" si="319"/>
        <v>0</v>
      </c>
      <c r="H1012" s="18" t="str">
        <f t="shared" ca="1" si="320"/>
        <v>—</v>
      </c>
      <c r="I1012" s="17">
        <f t="shared" ca="1" si="321"/>
        <v>7</v>
      </c>
      <c r="J1012" s="18" t="str">
        <f t="shared" ca="1" si="322"/>
        <v>—</v>
      </c>
      <c r="K1012" s="17">
        <f t="shared" ca="1" si="323"/>
        <v>7</v>
      </c>
      <c r="L1012" s="10">
        <f t="shared" ca="1" si="324"/>
        <v>87</v>
      </c>
      <c r="M1012" s="17">
        <f t="shared" ca="1" si="325"/>
        <v>0</v>
      </c>
      <c r="N1012" s="18">
        <f t="shared" ca="1" si="326"/>
        <v>22.9</v>
      </c>
      <c r="O1012" s="17">
        <f t="shared" ca="1" si="327"/>
        <v>0</v>
      </c>
      <c r="P1012" s="18">
        <f t="shared" ca="1" si="328"/>
        <v>25</v>
      </c>
      <c r="Q1012" s="17">
        <f t="shared" ca="1" si="329"/>
        <v>0</v>
      </c>
      <c r="R1012" s="10">
        <f t="shared" ca="1" si="330"/>
        <v>45</v>
      </c>
      <c r="S1012" s="17">
        <f t="shared" ca="1" si="331"/>
        <v>0</v>
      </c>
      <c r="T1012" s="70">
        <f t="shared" ca="1" si="332"/>
        <v>0.6</v>
      </c>
      <c r="U1012" s="17">
        <f t="shared" ca="1" si="333"/>
        <v>0</v>
      </c>
      <c r="V1012" s="71">
        <f t="shared" ca="1" si="334"/>
        <v>3</v>
      </c>
      <c r="W1012" s="17">
        <f t="shared" ca="1" si="335"/>
        <v>0</v>
      </c>
    </row>
    <row r="1013" spans="1:23" x14ac:dyDescent="0.25">
      <c r="A1013" s="4">
        <f t="shared" si="315"/>
        <v>32</v>
      </c>
      <c r="B1013" t="str">
        <f ca="1">TEXT(DATE(YEAR(Invoer!$A$6),1,1)+INT((ROWS(B$2:B1013)-1)/4),"jjjjmmdd")</f>
        <v>19400909</v>
      </c>
      <c r="C1013" s="64" t="str">
        <f>IF(MOD(ROWS(C$2:C1013)-1,4)=3,"24.00",INDEX(Data,3,2+MOD(ROWS(C$2:C1013)-1,4)))</f>
        <v>24.00</v>
      </c>
      <c r="D1013" s="18" t="str">
        <f t="shared" ca="1" si="316"/>
        <v>—</v>
      </c>
      <c r="E1013" s="17">
        <f t="shared" ca="1" si="317"/>
        <v>7</v>
      </c>
      <c r="F1013" s="18" t="str">
        <f t="shared" ca="1" si="318"/>
        <v>—</v>
      </c>
      <c r="G1013" s="17">
        <f t="shared" ca="1" si="319"/>
        <v>7</v>
      </c>
      <c r="H1013" s="18">
        <f t="shared" ca="1" si="320"/>
        <v>28.8</v>
      </c>
      <c r="I1013" s="17">
        <f t="shared" ca="1" si="321"/>
        <v>0</v>
      </c>
      <c r="J1013" s="18">
        <f t="shared" ca="1" si="322"/>
        <v>30</v>
      </c>
      <c r="K1013" s="17">
        <f t="shared" ca="1" si="323"/>
        <v>0</v>
      </c>
      <c r="L1013" s="10" t="str">
        <f t="shared" ca="1" si="324"/>
        <v>—</v>
      </c>
      <c r="M1013" s="17">
        <f t="shared" ca="1" si="325"/>
        <v>7</v>
      </c>
      <c r="N1013" s="18" t="str">
        <f t="shared" ca="1" si="326"/>
        <v>—</v>
      </c>
      <c r="O1013" s="17">
        <f t="shared" ca="1" si="327"/>
        <v>7</v>
      </c>
      <c r="P1013" s="18" t="str">
        <f t="shared" ca="1" si="328"/>
        <v>—</v>
      </c>
      <c r="Q1013" s="17">
        <f t="shared" ca="1" si="329"/>
        <v>7</v>
      </c>
      <c r="R1013" s="10" t="str">
        <f t="shared" ca="1" si="330"/>
        <v>—</v>
      </c>
      <c r="S1013" s="17">
        <f t="shared" ca="1" si="331"/>
        <v>7</v>
      </c>
      <c r="T1013" s="70" t="str">
        <f t="shared" ca="1" si="332"/>
        <v>—</v>
      </c>
      <c r="U1013" s="17">
        <f t="shared" ca="1" si="333"/>
        <v>7</v>
      </c>
      <c r="V1013" s="71" t="str">
        <f t="shared" ca="1" si="334"/>
        <v>—</v>
      </c>
      <c r="W1013" s="17">
        <f t="shared" ca="1" si="335"/>
        <v>7</v>
      </c>
    </row>
    <row r="1014" spans="1:23" x14ac:dyDescent="0.25">
      <c r="A1014" s="4">
        <f t="shared" si="315"/>
        <v>32</v>
      </c>
      <c r="B1014" t="str">
        <f ca="1">TEXT(DATE(YEAR(Invoer!$A$6),1,1)+INT((ROWS(B$2:B1014)-1)/4),"jjjjmmdd")</f>
        <v>19400910</v>
      </c>
      <c r="C1014" s="64" t="str">
        <f>IF(MOD(ROWS(C$2:C1014)-1,4)=3,"24.00",INDEX(Data,3,2+MOD(ROWS(C$2:C1014)-1,4)))</f>
        <v>07.00</v>
      </c>
      <c r="D1014" s="18">
        <f t="shared" ca="1" si="316"/>
        <v>757.7</v>
      </c>
      <c r="E1014" s="17">
        <f t="shared" ca="1" si="317"/>
        <v>0</v>
      </c>
      <c r="F1014" s="18">
        <f t="shared" ca="1" si="318"/>
        <v>28.3</v>
      </c>
      <c r="G1014" s="17">
        <f t="shared" ca="1" si="319"/>
        <v>0</v>
      </c>
      <c r="H1014" s="18" t="str">
        <f t="shared" ca="1" si="320"/>
        <v>—</v>
      </c>
      <c r="I1014" s="17">
        <f t="shared" ca="1" si="321"/>
        <v>7</v>
      </c>
      <c r="J1014" s="18" t="str">
        <f t="shared" ca="1" si="322"/>
        <v>—</v>
      </c>
      <c r="K1014" s="17">
        <f t="shared" ca="1" si="323"/>
        <v>7</v>
      </c>
      <c r="L1014" s="10">
        <f t="shared" ca="1" si="324"/>
        <v>78</v>
      </c>
      <c r="M1014" s="17">
        <f t="shared" ca="1" si="325"/>
        <v>0</v>
      </c>
      <c r="N1014" s="18">
        <f t="shared" ca="1" si="326"/>
        <v>22.5</v>
      </c>
      <c r="O1014" s="17">
        <f t="shared" ca="1" si="327"/>
        <v>0</v>
      </c>
      <c r="P1014" s="18">
        <f t="shared" ca="1" si="328"/>
        <v>25.2</v>
      </c>
      <c r="Q1014" s="17">
        <f t="shared" ca="1" si="329"/>
        <v>0</v>
      </c>
      <c r="R1014" s="10">
        <f t="shared" ca="1" si="330"/>
        <v>45</v>
      </c>
      <c r="S1014" s="17">
        <f t="shared" ca="1" si="331"/>
        <v>0</v>
      </c>
      <c r="T1014" s="70">
        <f t="shared" ca="1" si="332"/>
        <v>0.4</v>
      </c>
      <c r="U1014" s="17">
        <f t="shared" ca="1" si="333"/>
        <v>0</v>
      </c>
      <c r="V1014" s="71">
        <f t="shared" ca="1" si="334"/>
        <v>4</v>
      </c>
      <c r="W1014" s="17">
        <f t="shared" ca="1" si="335"/>
        <v>0</v>
      </c>
    </row>
    <row r="1015" spans="1:23" x14ac:dyDescent="0.25">
      <c r="A1015" s="4">
        <f t="shared" si="315"/>
        <v>32</v>
      </c>
      <c r="B1015" t="str">
        <f ca="1">TEXT(DATE(YEAR(Invoer!$A$6),1,1)+INT((ROWS(B$2:B1015)-1)/4),"jjjjmmdd")</f>
        <v>19400910</v>
      </c>
      <c r="C1015" s="64" t="str">
        <f>IF(MOD(ROWS(C$2:C1015)-1,4)=3,"24.00",INDEX(Data,3,2+MOD(ROWS(C$2:C1015)-1,4)))</f>
        <v>12.00</v>
      </c>
      <c r="D1015" s="18">
        <f t="shared" ca="1" si="316"/>
        <v>757.9</v>
      </c>
      <c r="E1015" s="17">
        <f t="shared" ca="1" si="317"/>
        <v>0</v>
      </c>
      <c r="F1015" s="18">
        <f t="shared" ca="1" si="318"/>
        <v>28.3</v>
      </c>
      <c r="G1015" s="17">
        <f t="shared" ca="1" si="319"/>
        <v>0</v>
      </c>
      <c r="H1015" s="18" t="str">
        <f t="shared" ca="1" si="320"/>
        <v>—</v>
      </c>
      <c r="I1015" s="17">
        <f t="shared" ca="1" si="321"/>
        <v>7</v>
      </c>
      <c r="J1015" s="18" t="str">
        <f t="shared" ca="1" si="322"/>
        <v>—</v>
      </c>
      <c r="K1015" s="17">
        <f t="shared" ca="1" si="323"/>
        <v>7</v>
      </c>
      <c r="L1015" s="10">
        <f t="shared" ca="1" si="324"/>
        <v>78</v>
      </c>
      <c r="M1015" s="17">
        <f t="shared" ca="1" si="325"/>
        <v>0</v>
      </c>
      <c r="N1015" s="18">
        <f t="shared" ca="1" si="326"/>
        <v>22.5</v>
      </c>
      <c r="O1015" s="17">
        <f t="shared" ca="1" si="327"/>
        <v>0</v>
      </c>
      <c r="P1015" s="18">
        <f t="shared" ca="1" si="328"/>
        <v>25.2</v>
      </c>
      <c r="Q1015" s="17">
        <f t="shared" ca="1" si="329"/>
        <v>0</v>
      </c>
      <c r="R1015" s="10">
        <f t="shared" ca="1" si="330"/>
        <v>45</v>
      </c>
      <c r="S1015" s="17">
        <f t="shared" ca="1" si="331"/>
        <v>0</v>
      </c>
      <c r="T1015" s="70">
        <f t="shared" ca="1" si="332"/>
        <v>0.5</v>
      </c>
      <c r="U1015" s="17">
        <f t="shared" ca="1" si="333"/>
        <v>0</v>
      </c>
      <c r="V1015" s="71">
        <f t="shared" ca="1" si="334"/>
        <v>5</v>
      </c>
      <c r="W1015" s="17">
        <f t="shared" ca="1" si="335"/>
        <v>0</v>
      </c>
    </row>
    <row r="1016" spans="1:23" x14ac:dyDescent="0.25">
      <c r="A1016" s="4">
        <f t="shared" si="315"/>
        <v>32</v>
      </c>
      <c r="B1016" t="str">
        <f ca="1">TEXT(DATE(YEAR(Invoer!$A$6),1,1)+INT((ROWS(B$2:B1016)-1)/4),"jjjjmmdd")</f>
        <v>19400910</v>
      </c>
      <c r="C1016" s="64" t="str">
        <f>IF(MOD(ROWS(C$2:C1016)-1,4)=3,"24.00",INDEX(Data,3,2+MOD(ROWS(C$2:C1016)-1,4)))</f>
        <v>17.00</v>
      </c>
      <c r="D1016" s="18">
        <f t="shared" ca="1" si="316"/>
        <v>757.7</v>
      </c>
      <c r="E1016" s="17">
        <f t="shared" ca="1" si="317"/>
        <v>0</v>
      </c>
      <c r="F1016" s="18">
        <f t="shared" ca="1" si="318"/>
        <v>26.9</v>
      </c>
      <c r="G1016" s="17">
        <f t="shared" ca="1" si="319"/>
        <v>0</v>
      </c>
      <c r="H1016" s="18" t="str">
        <f t="shared" ca="1" si="320"/>
        <v>—</v>
      </c>
      <c r="I1016" s="17">
        <f t="shared" ca="1" si="321"/>
        <v>7</v>
      </c>
      <c r="J1016" s="18" t="str">
        <f t="shared" ca="1" si="322"/>
        <v>—</v>
      </c>
      <c r="K1016" s="17">
        <f t="shared" ca="1" si="323"/>
        <v>7</v>
      </c>
      <c r="L1016" s="10">
        <f t="shared" ca="1" si="324"/>
        <v>84</v>
      </c>
      <c r="M1016" s="17">
        <f t="shared" ca="1" si="325"/>
        <v>0</v>
      </c>
      <c r="N1016" s="18">
        <f t="shared" ca="1" si="326"/>
        <v>22.4</v>
      </c>
      <c r="O1016" s="17">
        <f t="shared" ca="1" si="327"/>
        <v>0</v>
      </c>
      <c r="P1016" s="18">
        <f t="shared" ca="1" si="328"/>
        <v>24.8</v>
      </c>
      <c r="Q1016" s="17">
        <f t="shared" ca="1" si="329"/>
        <v>0</v>
      </c>
      <c r="R1016" s="10">
        <f t="shared" ca="1" si="330"/>
        <v>45</v>
      </c>
      <c r="S1016" s="17">
        <f t="shared" ca="1" si="331"/>
        <v>0</v>
      </c>
      <c r="T1016" s="70">
        <f t="shared" ca="1" si="332"/>
        <v>0.5</v>
      </c>
      <c r="U1016" s="17">
        <f t="shared" ca="1" si="333"/>
        <v>0</v>
      </c>
      <c r="V1016" s="71">
        <f t="shared" ca="1" si="334"/>
        <v>5</v>
      </c>
      <c r="W1016" s="17">
        <f t="shared" ca="1" si="335"/>
        <v>0</v>
      </c>
    </row>
    <row r="1017" spans="1:23" x14ac:dyDescent="0.25">
      <c r="A1017" s="4">
        <f t="shared" si="315"/>
        <v>32</v>
      </c>
      <c r="B1017" t="str">
        <f ca="1">TEXT(DATE(YEAR(Invoer!$A$6),1,1)+INT((ROWS(B$2:B1017)-1)/4),"jjjjmmdd")</f>
        <v>19400910</v>
      </c>
      <c r="C1017" s="64" t="str">
        <f>IF(MOD(ROWS(C$2:C1017)-1,4)=3,"24.00",INDEX(Data,3,2+MOD(ROWS(C$2:C1017)-1,4)))</f>
        <v>24.00</v>
      </c>
      <c r="D1017" s="18" t="str">
        <f t="shared" ca="1" si="316"/>
        <v>—</v>
      </c>
      <c r="E1017" s="17">
        <f t="shared" ca="1" si="317"/>
        <v>7</v>
      </c>
      <c r="F1017" s="18" t="str">
        <f t="shared" ca="1" si="318"/>
        <v>—</v>
      </c>
      <c r="G1017" s="17">
        <f t="shared" ca="1" si="319"/>
        <v>7</v>
      </c>
      <c r="H1017" s="18">
        <f t="shared" ca="1" si="320"/>
        <v>29</v>
      </c>
      <c r="I1017" s="17">
        <f t="shared" ca="1" si="321"/>
        <v>0</v>
      </c>
      <c r="J1017" s="18">
        <f t="shared" ca="1" si="322"/>
        <v>30.3</v>
      </c>
      <c r="K1017" s="17">
        <f t="shared" ca="1" si="323"/>
        <v>0</v>
      </c>
      <c r="L1017" s="10" t="str">
        <f t="shared" ca="1" si="324"/>
        <v>—</v>
      </c>
      <c r="M1017" s="17">
        <f t="shared" ca="1" si="325"/>
        <v>7</v>
      </c>
      <c r="N1017" s="18" t="str">
        <f t="shared" ca="1" si="326"/>
        <v>—</v>
      </c>
      <c r="O1017" s="17">
        <f t="shared" ca="1" si="327"/>
        <v>7</v>
      </c>
      <c r="P1017" s="18" t="str">
        <f t="shared" ca="1" si="328"/>
        <v>—</v>
      </c>
      <c r="Q1017" s="17">
        <f t="shared" ca="1" si="329"/>
        <v>7</v>
      </c>
      <c r="R1017" s="10" t="str">
        <f t="shared" ca="1" si="330"/>
        <v>—</v>
      </c>
      <c r="S1017" s="17">
        <f t="shared" ca="1" si="331"/>
        <v>7</v>
      </c>
      <c r="T1017" s="70" t="str">
        <f t="shared" ca="1" si="332"/>
        <v>—</v>
      </c>
      <c r="U1017" s="17">
        <f t="shared" ca="1" si="333"/>
        <v>7</v>
      </c>
      <c r="V1017" s="71" t="str">
        <f t="shared" ca="1" si="334"/>
        <v>—</v>
      </c>
      <c r="W1017" s="17">
        <f t="shared" ca="1" si="335"/>
        <v>7</v>
      </c>
    </row>
    <row r="1018" spans="1:23" x14ac:dyDescent="0.25">
      <c r="A1018" s="4">
        <f t="shared" si="315"/>
        <v>32</v>
      </c>
      <c r="B1018" t="str">
        <f ca="1">TEXT(DATE(YEAR(Invoer!$A$6),1,1)+INT((ROWS(B$2:B1018)-1)/4),"jjjjmmdd")</f>
        <v>19400911</v>
      </c>
      <c r="C1018" s="64" t="str">
        <f>IF(MOD(ROWS(C$2:C1018)-1,4)=3,"24.00",INDEX(Data,3,2+MOD(ROWS(C$2:C1018)-1,4)))</f>
        <v>07.00</v>
      </c>
      <c r="D1018" s="18">
        <f t="shared" ca="1" si="316"/>
        <v>758.5</v>
      </c>
      <c r="E1018" s="17">
        <f t="shared" ca="1" si="317"/>
        <v>0</v>
      </c>
      <c r="F1018" s="18">
        <f t="shared" ca="1" si="318"/>
        <v>26.7</v>
      </c>
      <c r="G1018" s="17">
        <f t="shared" ca="1" si="319"/>
        <v>0</v>
      </c>
      <c r="H1018" s="18" t="str">
        <f t="shared" ca="1" si="320"/>
        <v>—</v>
      </c>
      <c r="I1018" s="17">
        <f t="shared" ca="1" si="321"/>
        <v>7</v>
      </c>
      <c r="J1018" s="18" t="str">
        <f t="shared" ca="1" si="322"/>
        <v>—</v>
      </c>
      <c r="K1018" s="17">
        <f t="shared" ca="1" si="323"/>
        <v>7</v>
      </c>
      <c r="L1018" s="10">
        <f t="shared" ca="1" si="324"/>
        <v>83</v>
      </c>
      <c r="M1018" s="17">
        <f t="shared" ca="1" si="325"/>
        <v>0</v>
      </c>
      <c r="N1018" s="18">
        <f t="shared" ca="1" si="326"/>
        <v>21.8</v>
      </c>
      <c r="O1018" s="17">
        <f t="shared" ca="1" si="327"/>
        <v>0</v>
      </c>
      <c r="P1018" s="18">
        <f t="shared" ca="1" si="328"/>
        <v>24.4</v>
      </c>
      <c r="Q1018" s="17">
        <f t="shared" ca="1" si="329"/>
        <v>0</v>
      </c>
      <c r="R1018" s="10">
        <f t="shared" ca="1" si="330"/>
        <v>65</v>
      </c>
      <c r="S1018" s="17">
        <f t="shared" ca="1" si="331"/>
        <v>0</v>
      </c>
      <c r="T1018" s="70">
        <f t="shared" ca="1" si="332"/>
        <v>0.4</v>
      </c>
      <c r="U1018" s="17">
        <f t="shared" ca="1" si="333"/>
        <v>0</v>
      </c>
      <c r="V1018" s="71">
        <f t="shared" ca="1" si="334"/>
        <v>5</v>
      </c>
      <c r="W1018" s="17">
        <f t="shared" ca="1" si="335"/>
        <v>0</v>
      </c>
    </row>
    <row r="1019" spans="1:23" x14ac:dyDescent="0.25">
      <c r="A1019" s="4">
        <f t="shared" si="315"/>
        <v>32</v>
      </c>
      <c r="B1019" t="str">
        <f ca="1">TEXT(DATE(YEAR(Invoer!$A$6),1,1)+INT((ROWS(B$2:B1019)-1)/4),"jjjjmmdd")</f>
        <v>19400911</v>
      </c>
      <c r="C1019" s="64" t="str">
        <f>IF(MOD(ROWS(C$2:C1019)-1,4)=3,"24.00",INDEX(Data,3,2+MOD(ROWS(C$2:C1019)-1,4)))</f>
        <v>12.00</v>
      </c>
      <c r="D1019" s="18">
        <f t="shared" ca="1" si="316"/>
        <v>760</v>
      </c>
      <c r="E1019" s="17">
        <f t="shared" ca="1" si="317"/>
        <v>0</v>
      </c>
      <c r="F1019" s="18">
        <f t="shared" ca="1" si="318"/>
        <v>27.9</v>
      </c>
      <c r="G1019" s="17">
        <f t="shared" ca="1" si="319"/>
        <v>0</v>
      </c>
      <c r="H1019" s="18" t="str">
        <f t="shared" ca="1" si="320"/>
        <v>—</v>
      </c>
      <c r="I1019" s="17">
        <f t="shared" ca="1" si="321"/>
        <v>7</v>
      </c>
      <c r="J1019" s="18" t="str">
        <f t="shared" ca="1" si="322"/>
        <v>—</v>
      </c>
      <c r="K1019" s="17">
        <f t="shared" ca="1" si="323"/>
        <v>7</v>
      </c>
      <c r="L1019" s="10">
        <f t="shared" ca="1" si="324"/>
        <v>76</v>
      </c>
      <c r="M1019" s="17">
        <f t="shared" ca="1" si="325"/>
        <v>0</v>
      </c>
      <c r="N1019" s="18">
        <f t="shared" ca="1" si="326"/>
        <v>21.6</v>
      </c>
      <c r="O1019" s="17">
        <f t="shared" ca="1" si="327"/>
        <v>0</v>
      </c>
      <c r="P1019" s="18">
        <f t="shared" ca="1" si="328"/>
        <v>24.6</v>
      </c>
      <c r="Q1019" s="17">
        <f t="shared" ca="1" si="329"/>
        <v>0</v>
      </c>
      <c r="R1019" s="10">
        <f t="shared" ca="1" si="330"/>
        <v>65</v>
      </c>
      <c r="S1019" s="17">
        <f t="shared" ca="1" si="331"/>
        <v>0</v>
      </c>
      <c r="T1019" s="70">
        <f t="shared" ca="1" si="332"/>
        <v>0.4</v>
      </c>
      <c r="U1019" s="17">
        <f t="shared" ca="1" si="333"/>
        <v>0</v>
      </c>
      <c r="V1019" s="71">
        <f t="shared" ca="1" si="334"/>
        <v>4</v>
      </c>
      <c r="W1019" s="17">
        <f t="shared" ca="1" si="335"/>
        <v>0</v>
      </c>
    </row>
    <row r="1020" spans="1:23" x14ac:dyDescent="0.25">
      <c r="A1020" s="4">
        <f t="shared" si="315"/>
        <v>32</v>
      </c>
      <c r="B1020" t="str">
        <f ca="1">TEXT(DATE(YEAR(Invoer!$A$6),1,1)+INT((ROWS(B$2:B1020)-1)/4),"jjjjmmdd")</f>
        <v>19400911</v>
      </c>
      <c r="C1020" s="64" t="str">
        <f>IF(MOD(ROWS(C$2:C1020)-1,4)=3,"24.00",INDEX(Data,3,2+MOD(ROWS(C$2:C1020)-1,4)))</f>
        <v>17.00</v>
      </c>
      <c r="D1020" s="18">
        <f t="shared" ca="1" si="316"/>
        <v>758.4</v>
      </c>
      <c r="E1020" s="17">
        <f t="shared" ca="1" si="317"/>
        <v>0</v>
      </c>
      <c r="F1020" s="18">
        <f t="shared" ca="1" si="318"/>
        <v>26.9</v>
      </c>
      <c r="G1020" s="17">
        <f t="shared" ca="1" si="319"/>
        <v>0</v>
      </c>
      <c r="H1020" s="18" t="str">
        <f t="shared" ca="1" si="320"/>
        <v>—</v>
      </c>
      <c r="I1020" s="17">
        <f t="shared" ca="1" si="321"/>
        <v>7</v>
      </c>
      <c r="J1020" s="18" t="str">
        <f t="shared" ca="1" si="322"/>
        <v>—</v>
      </c>
      <c r="K1020" s="17">
        <f t="shared" ca="1" si="323"/>
        <v>7</v>
      </c>
      <c r="L1020" s="10">
        <f t="shared" ca="1" si="324"/>
        <v>84</v>
      </c>
      <c r="M1020" s="17">
        <f t="shared" ca="1" si="325"/>
        <v>0</v>
      </c>
      <c r="N1020" s="18">
        <f t="shared" ca="1" si="326"/>
        <v>22.4</v>
      </c>
      <c r="O1020" s="17">
        <f t="shared" ca="1" si="327"/>
        <v>0</v>
      </c>
      <c r="P1020" s="18">
        <f t="shared" ca="1" si="328"/>
        <v>24.8</v>
      </c>
      <c r="Q1020" s="17">
        <f t="shared" ca="1" si="329"/>
        <v>0</v>
      </c>
      <c r="R1020" s="10">
        <f t="shared" ca="1" si="330"/>
        <v>90</v>
      </c>
      <c r="S1020" s="17">
        <f t="shared" ca="1" si="331"/>
        <v>0</v>
      </c>
      <c r="T1020" s="70">
        <f t="shared" ca="1" si="332"/>
        <v>0.4</v>
      </c>
      <c r="U1020" s="17">
        <f t="shared" ca="1" si="333"/>
        <v>0</v>
      </c>
      <c r="V1020" s="71">
        <f t="shared" ca="1" si="334"/>
        <v>4</v>
      </c>
      <c r="W1020" s="17">
        <f t="shared" ca="1" si="335"/>
        <v>0</v>
      </c>
    </row>
    <row r="1021" spans="1:23" x14ac:dyDescent="0.25">
      <c r="A1021" s="4">
        <f t="shared" si="315"/>
        <v>32</v>
      </c>
      <c r="B1021" t="str">
        <f ca="1">TEXT(DATE(YEAR(Invoer!$A$6),1,1)+INT((ROWS(B$2:B1021)-1)/4),"jjjjmmdd")</f>
        <v>19400911</v>
      </c>
      <c r="C1021" s="64" t="str">
        <f>IF(MOD(ROWS(C$2:C1021)-1,4)=3,"24.00",INDEX(Data,3,2+MOD(ROWS(C$2:C1021)-1,4)))</f>
        <v>24.00</v>
      </c>
      <c r="D1021" s="18" t="str">
        <f t="shared" ca="1" si="316"/>
        <v>—</v>
      </c>
      <c r="E1021" s="17">
        <f t="shared" ca="1" si="317"/>
        <v>7</v>
      </c>
      <c r="F1021" s="18" t="str">
        <f t="shared" ca="1" si="318"/>
        <v>—</v>
      </c>
      <c r="G1021" s="17">
        <f t="shared" ca="1" si="319"/>
        <v>7</v>
      </c>
      <c r="H1021" s="18">
        <f t="shared" ca="1" si="320"/>
        <v>28.4</v>
      </c>
      <c r="I1021" s="17">
        <f t="shared" ca="1" si="321"/>
        <v>0</v>
      </c>
      <c r="J1021" s="18">
        <f t="shared" ca="1" si="322"/>
        <v>30</v>
      </c>
      <c r="K1021" s="17">
        <f t="shared" ca="1" si="323"/>
        <v>0</v>
      </c>
      <c r="L1021" s="10" t="str">
        <f t="shared" ca="1" si="324"/>
        <v>—</v>
      </c>
      <c r="M1021" s="17">
        <f t="shared" ca="1" si="325"/>
        <v>7</v>
      </c>
      <c r="N1021" s="18" t="str">
        <f t="shared" ca="1" si="326"/>
        <v>—</v>
      </c>
      <c r="O1021" s="17">
        <f t="shared" ca="1" si="327"/>
        <v>7</v>
      </c>
      <c r="P1021" s="18" t="str">
        <f t="shared" ca="1" si="328"/>
        <v>—</v>
      </c>
      <c r="Q1021" s="17">
        <f t="shared" ca="1" si="329"/>
        <v>7</v>
      </c>
      <c r="R1021" s="10" t="str">
        <f t="shared" ca="1" si="330"/>
        <v>—</v>
      </c>
      <c r="S1021" s="17">
        <f t="shared" ca="1" si="331"/>
        <v>7</v>
      </c>
      <c r="T1021" s="70" t="str">
        <f t="shared" ca="1" si="332"/>
        <v>—</v>
      </c>
      <c r="U1021" s="17">
        <f t="shared" ca="1" si="333"/>
        <v>7</v>
      </c>
      <c r="V1021" s="71" t="str">
        <f t="shared" ca="1" si="334"/>
        <v>—</v>
      </c>
      <c r="W1021" s="17">
        <f t="shared" ca="1" si="335"/>
        <v>7</v>
      </c>
    </row>
    <row r="1022" spans="1:23" x14ac:dyDescent="0.25">
      <c r="A1022" s="4">
        <f t="shared" si="315"/>
        <v>32</v>
      </c>
      <c r="B1022" t="str">
        <f ca="1">TEXT(DATE(YEAR(Invoer!$A$6),1,1)+INT((ROWS(B$2:B1022)-1)/4),"jjjjmmdd")</f>
        <v>19400912</v>
      </c>
      <c r="C1022" s="64" t="str">
        <f>IF(MOD(ROWS(C$2:C1022)-1,4)=3,"24.00",INDEX(Data,3,2+MOD(ROWS(C$2:C1022)-1,4)))</f>
        <v>07.00</v>
      </c>
      <c r="D1022" s="18">
        <f t="shared" ca="1" si="316"/>
        <v>758.2</v>
      </c>
      <c r="E1022" s="17">
        <f t="shared" ca="1" si="317"/>
        <v>0</v>
      </c>
      <c r="F1022" s="18">
        <f t="shared" ca="1" si="318"/>
        <v>26.9</v>
      </c>
      <c r="G1022" s="17">
        <f t="shared" ca="1" si="319"/>
        <v>0</v>
      </c>
      <c r="H1022" s="18" t="str">
        <f t="shared" ca="1" si="320"/>
        <v>—</v>
      </c>
      <c r="I1022" s="17">
        <f t="shared" ca="1" si="321"/>
        <v>7</v>
      </c>
      <c r="J1022" s="18" t="str">
        <f t="shared" ca="1" si="322"/>
        <v>—</v>
      </c>
      <c r="K1022" s="17">
        <f t="shared" ca="1" si="323"/>
        <v>7</v>
      </c>
      <c r="L1022" s="10">
        <f t="shared" ca="1" si="324"/>
        <v>86</v>
      </c>
      <c r="M1022" s="17">
        <f t="shared" ca="1" si="325"/>
        <v>0</v>
      </c>
      <c r="N1022" s="18">
        <f t="shared" ca="1" si="326"/>
        <v>22.8</v>
      </c>
      <c r="O1022" s="17">
        <f t="shared" ca="1" si="327"/>
        <v>0</v>
      </c>
      <c r="P1022" s="18">
        <f t="shared" ca="1" si="328"/>
        <v>25</v>
      </c>
      <c r="Q1022" s="17">
        <f t="shared" ca="1" si="329"/>
        <v>0</v>
      </c>
      <c r="R1022" s="10">
        <f t="shared" ca="1" si="330"/>
        <v>65</v>
      </c>
      <c r="S1022" s="17">
        <f t="shared" ca="1" si="331"/>
        <v>0</v>
      </c>
      <c r="T1022" s="70">
        <f t="shared" ca="1" si="332"/>
        <v>0.3</v>
      </c>
      <c r="U1022" s="17">
        <f t="shared" ca="1" si="333"/>
        <v>0</v>
      </c>
      <c r="V1022" s="71">
        <f t="shared" ca="1" si="334"/>
        <v>5</v>
      </c>
      <c r="W1022" s="17">
        <f t="shared" ca="1" si="335"/>
        <v>0</v>
      </c>
    </row>
    <row r="1023" spans="1:23" x14ac:dyDescent="0.25">
      <c r="A1023" s="4">
        <f t="shared" si="315"/>
        <v>32</v>
      </c>
      <c r="B1023" t="str">
        <f ca="1">TEXT(DATE(YEAR(Invoer!$A$6),1,1)+INT((ROWS(B$2:B1023)-1)/4),"jjjjmmdd")</f>
        <v>19400912</v>
      </c>
      <c r="C1023" s="64" t="str">
        <f>IF(MOD(ROWS(C$2:C1023)-1,4)=3,"24.00",INDEX(Data,3,2+MOD(ROWS(C$2:C1023)-1,4)))</f>
        <v>12.00</v>
      </c>
      <c r="D1023" s="18">
        <f t="shared" ca="1" si="316"/>
        <v>758.5</v>
      </c>
      <c r="E1023" s="17">
        <f t="shared" ca="1" si="317"/>
        <v>0</v>
      </c>
      <c r="F1023" s="18">
        <f t="shared" ca="1" si="318"/>
        <v>27.5</v>
      </c>
      <c r="G1023" s="17">
        <f t="shared" ca="1" si="319"/>
        <v>0</v>
      </c>
      <c r="H1023" s="18" t="str">
        <f t="shared" ca="1" si="320"/>
        <v>—</v>
      </c>
      <c r="I1023" s="17">
        <f t="shared" ca="1" si="321"/>
        <v>7</v>
      </c>
      <c r="J1023" s="18" t="str">
        <f t="shared" ca="1" si="322"/>
        <v>—</v>
      </c>
      <c r="K1023" s="17">
        <f t="shared" ca="1" si="323"/>
        <v>7</v>
      </c>
      <c r="L1023" s="10">
        <f t="shared" ca="1" si="324"/>
        <v>85</v>
      </c>
      <c r="M1023" s="17">
        <f t="shared" ca="1" si="325"/>
        <v>0</v>
      </c>
      <c r="N1023" s="18">
        <f t="shared" ca="1" si="326"/>
        <v>23.3</v>
      </c>
      <c r="O1023" s="17">
        <f t="shared" ca="1" si="327"/>
        <v>0</v>
      </c>
      <c r="P1023" s="18">
        <f t="shared" ca="1" si="328"/>
        <v>25.4</v>
      </c>
      <c r="Q1023" s="17">
        <f t="shared" ca="1" si="329"/>
        <v>0</v>
      </c>
      <c r="R1023" s="10">
        <f t="shared" ca="1" si="330"/>
        <v>90</v>
      </c>
      <c r="S1023" s="17">
        <f t="shared" ca="1" si="331"/>
        <v>0</v>
      </c>
      <c r="T1023" s="70">
        <f t="shared" ca="1" si="332"/>
        <v>0.3</v>
      </c>
      <c r="U1023" s="17">
        <f t="shared" ca="1" si="333"/>
        <v>0</v>
      </c>
      <c r="V1023" s="71">
        <f t="shared" ca="1" si="334"/>
        <v>5</v>
      </c>
      <c r="W1023" s="17">
        <f t="shared" ca="1" si="335"/>
        <v>0</v>
      </c>
    </row>
    <row r="1024" spans="1:23" x14ac:dyDescent="0.25">
      <c r="A1024" s="4">
        <f t="shared" si="315"/>
        <v>32</v>
      </c>
      <c r="B1024" t="str">
        <f ca="1">TEXT(DATE(YEAR(Invoer!$A$6),1,1)+INT((ROWS(B$2:B1024)-1)/4),"jjjjmmdd")</f>
        <v>19400912</v>
      </c>
      <c r="C1024" s="64" t="str">
        <f>IF(MOD(ROWS(C$2:C1024)-1,4)=3,"24.00",INDEX(Data,3,2+MOD(ROWS(C$2:C1024)-1,4)))</f>
        <v>17.00</v>
      </c>
      <c r="D1024" s="18">
        <f t="shared" ca="1" si="316"/>
        <v>757.9</v>
      </c>
      <c r="E1024" s="17">
        <f t="shared" ca="1" si="317"/>
        <v>0</v>
      </c>
      <c r="F1024" s="18">
        <f t="shared" ca="1" si="318"/>
        <v>26.9</v>
      </c>
      <c r="G1024" s="17">
        <f t="shared" ca="1" si="319"/>
        <v>0</v>
      </c>
      <c r="H1024" s="18" t="str">
        <f t="shared" ca="1" si="320"/>
        <v>—</v>
      </c>
      <c r="I1024" s="17">
        <f t="shared" ca="1" si="321"/>
        <v>7</v>
      </c>
      <c r="J1024" s="18" t="str">
        <f t="shared" ca="1" si="322"/>
        <v>—</v>
      </c>
      <c r="K1024" s="17">
        <f t="shared" ca="1" si="323"/>
        <v>7</v>
      </c>
      <c r="L1024" s="10">
        <f t="shared" ca="1" si="324"/>
        <v>86</v>
      </c>
      <c r="M1024" s="17">
        <f t="shared" ca="1" si="325"/>
        <v>0</v>
      </c>
      <c r="N1024" s="18">
        <f t="shared" ca="1" si="326"/>
        <v>22.8</v>
      </c>
      <c r="O1024" s="17">
        <f t="shared" ca="1" si="327"/>
        <v>0</v>
      </c>
      <c r="P1024" s="18">
        <f t="shared" ca="1" si="328"/>
        <v>25</v>
      </c>
      <c r="Q1024" s="17">
        <f t="shared" ca="1" si="329"/>
        <v>0</v>
      </c>
      <c r="R1024" s="10">
        <f t="shared" ca="1" si="330"/>
        <v>90</v>
      </c>
      <c r="S1024" s="17">
        <f t="shared" ca="1" si="331"/>
        <v>0</v>
      </c>
      <c r="T1024" s="70">
        <f t="shared" ca="1" si="332"/>
        <v>0.3</v>
      </c>
      <c r="U1024" s="17">
        <f t="shared" ca="1" si="333"/>
        <v>0</v>
      </c>
      <c r="V1024" s="71">
        <f t="shared" ca="1" si="334"/>
        <v>4</v>
      </c>
      <c r="W1024" s="17">
        <f t="shared" ca="1" si="335"/>
        <v>0</v>
      </c>
    </row>
    <row r="1025" spans="1:23" x14ac:dyDescent="0.25">
      <c r="A1025" s="4">
        <f t="shared" si="315"/>
        <v>32</v>
      </c>
      <c r="B1025" t="str">
        <f ca="1">TEXT(DATE(YEAR(Invoer!$A$6),1,1)+INT((ROWS(B$2:B1025)-1)/4),"jjjjmmdd")</f>
        <v>19400912</v>
      </c>
      <c r="C1025" s="64" t="str">
        <f>IF(MOD(ROWS(C$2:C1025)-1,4)=3,"24.00",INDEX(Data,3,2+MOD(ROWS(C$2:C1025)-1,4)))</f>
        <v>24.00</v>
      </c>
      <c r="D1025" s="18" t="str">
        <f t="shared" ca="1" si="316"/>
        <v>—</v>
      </c>
      <c r="E1025" s="17">
        <f t="shared" ca="1" si="317"/>
        <v>7</v>
      </c>
      <c r="F1025" s="18" t="str">
        <f t="shared" ca="1" si="318"/>
        <v>—</v>
      </c>
      <c r="G1025" s="17">
        <f t="shared" ca="1" si="319"/>
        <v>7</v>
      </c>
      <c r="H1025" s="18">
        <f t="shared" ca="1" si="320"/>
        <v>28.4</v>
      </c>
      <c r="I1025" s="17">
        <f t="shared" ca="1" si="321"/>
        <v>0</v>
      </c>
      <c r="J1025" s="18">
        <f t="shared" ca="1" si="322"/>
        <v>30</v>
      </c>
      <c r="K1025" s="17">
        <f t="shared" ca="1" si="323"/>
        <v>0</v>
      </c>
      <c r="L1025" s="10" t="str">
        <f t="shared" ca="1" si="324"/>
        <v>—</v>
      </c>
      <c r="M1025" s="17">
        <f t="shared" ca="1" si="325"/>
        <v>7</v>
      </c>
      <c r="N1025" s="18" t="str">
        <f t="shared" ca="1" si="326"/>
        <v>—</v>
      </c>
      <c r="O1025" s="17">
        <f t="shared" ca="1" si="327"/>
        <v>7</v>
      </c>
      <c r="P1025" s="18" t="str">
        <f t="shared" ca="1" si="328"/>
        <v>—</v>
      </c>
      <c r="Q1025" s="17">
        <f t="shared" ca="1" si="329"/>
        <v>7</v>
      </c>
      <c r="R1025" s="10" t="str">
        <f t="shared" ca="1" si="330"/>
        <v>—</v>
      </c>
      <c r="S1025" s="17">
        <f t="shared" ca="1" si="331"/>
        <v>7</v>
      </c>
      <c r="T1025" s="70" t="str">
        <f t="shared" ca="1" si="332"/>
        <v>—</v>
      </c>
      <c r="U1025" s="17">
        <f t="shared" ca="1" si="333"/>
        <v>7</v>
      </c>
      <c r="V1025" s="71" t="str">
        <f t="shared" ca="1" si="334"/>
        <v>—</v>
      </c>
      <c r="W1025" s="17">
        <f t="shared" ca="1" si="335"/>
        <v>7</v>
      </c>
    </row>
    <row r="1026" spans="1:23" x14ac:dyDescent="0.25">
      <c r="A1026" s="4">
        <f t="shared" ref="A1026:A1089" si="336">INDEX(Stations,2,1)</f>
        <v>32</v>
      </c>
      <c r="B1026" t="str">
        <f ca="1">TEXT(DATE(YEAR(Invoer!$A$6),1,1)+INT((ROWS(B$2:B1026)-1)/4),"jjjjmmdd")</f>
        <v>19400913</v>
      </c>
      <c r="C1026" s="64" t="str">
        <f>IF(MOD(ROWS(C$2:C1026)-1,4)=3,"24.00",INDEX(Data,3,2+MOD(ROWS(C$2:C1026)-1,4)))</f>
        <v>07.00</v>
      </c>
      <c r="D1026" s="18">
        <f t="shared" ref="D1026:D1089" ca="1" si="337">IF(OR(ISBLANK(VLOOKUP(DATEVALUE(LEFT($B1026,4)&amp;"-"&amp;MID($B1026,5,2)&amp;"-"&amp;RIGHT($B1026,2)),Data,MATCH(LEFT(VLOOKUP(D$1,Parameters,2,FALSE()),4)&amp;"*",OFFSET(Data,0,0,1),0)+MATCH($C1026,OFFSET(Data,2,0,1),0)-2,FALSE())),ISTEXT(VLOOKUP(DATEVALUE(LEFT($B1026,4)&amp;"-"&amp;MID($B1026,5,2)&amp;"-"&amp;RIGHT($B1026,2)),Data,MATCH(LEFT(VLOOKUP(D$1,Parameters,2,FALSE()),4)&amp;"*",OFFSET(Data,0,0,1),0)+MATCH($C1026,OFFSET(Data,2,0,1),0)-2,FALSE())),EXACT($C1026,"24.00")),"—",VLOOKUP(DATEVALUE(LEFT($B1026,4)&amp;"-"&amp;MID($B1026,5,2)&amp;"-"&amp;RIGHT($B1026,2)),Data,MATCH(LEFT(VLOOKUP(D$1,Parameters,2,FALSE()),4)&amp;"*",OFFSET(Data,0,0,1),0)+MATCH($C1026,OFFSET(Data,2,0,1),0)-2,FALSE())/10)</f>
        <v>756.9</v>
      </c>
      <c r="E1026" s="17">
        <f t="shared" ref="E1026:E1089" ca="1" si="338">IF(OR(ISBLANK(VLOOKUP(DATEVALUE(LEFT($B1026,4)&amp;"-"&amp;MID($B1026,5,2)&amp;"-"&amp;RIGHT($B1026,2)),Data,MATCH(LEFT(VLOOKUP(MID(E$1,2,LEN(E$1)-1),Parameters,2,FALSE()),4)&amp;"*",OFFSET(Data,0,0,1),0)+MATCH($C1026,OFFSET(Data,2,0,1),0)-2,FALSE())),ISTEXT(VLOOKUP(DATEVALUE(LEFT($B1026,4)&amp;"-"&amp;MID($B1026,5,2)&amp;"-"&amp;RIGHT($B1026,2)),Data,MATCH(LEFT(VLOOKUP(MID(E$1,2,LEN(E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Data,2,0,1),0)-2,FALSE())))</f>
        <v>0</v>
      </c>
      <c r="F1026" s="18">
        <f t="shared" ref="F1026:F1089" ca="1" si="339">IF(OR(ISBLANK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ISTEXT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EXACT($C1026,"24.00")),"—",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/10)</f>
        <v>25.7</v>
      </c>
      <c r="G1026" s="17">
        <f t="shared" ref="G1026:G1089" ca="1" si="340">IF(OR(ISBLANK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ISTEXT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G$1,2,LEN(G$1)-1),Parameters,2,FALSE()),FIND(LOWER(MID(G$1,2,1)),VLOOKUP(MID(G$1,2,LEN(G$1)-1),Parameters,2,FALSE()),5),4)&amp;"*",OFFSET(Catalogus,0,0,1),0)+2*MATCH($C1026,OFFSET(Catalogus,2,0,1),0)+MATCH(LEFT(VLOOKUP(MID(G$1,2,LEN(G$1)-1),Parameters,2,FALSE()),3)&amp;"*",OFFSET(Catalogus,2,4,1),0)-5,FALSE())))</f>
        <v>0</v>
      </c>
      <c r="H1026" s="18" t="str">
        <f t="shared" ref="H1026:H1089" ca="1" si="341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/10)</f>
        <v>—</v>
      </c>
      <c r="I1026" s="17">
        <f t="shared" ref="I1026:I1089" ca="1" si="342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  <c r="J1026" s="18" t="str">
        <f t="shared" ref="J1026:J1089" ca="1" si="343">IF(OR(ISBLANK(VLOOKUP(DATEVALUE(LEFT($B1026,4)&amp;"-"&amp;MID($B1026,5,2)&amp;"-"&amp;RIGHT($B1026,2)),Data,MATCH(LEFT(VLOOKUP(J$1,Parameters,2,FALSE()),4)&amp;"*",OFFSET(Data,1,0,1),0),FALSE())),ISTEXT(VLOOKUP(DATEVALUE(LEFT($B1026,4)&amp;"-"&amp;MID($B1026,5,2)&amp;"-"&amp;RIGHT($B1026,2)),Data,MATCH(LEFT(VLOOKUP(J$1,Parameters,2,FALSE()),4)&amp;"*",OFFSET(Data,1,0,1),0),FALSE())),NOT(EXACT($C1026,"24.00"))),"—",VLOOKUP(DATEVALUE(LEFT($B1026,4)&amp;"-"&amp;MID($B1026,5,2)&amp;"-"&amp;RIGHT($B1026,2)),Data,MATCH(LEFT(VLOOKUP(J$1,Parameters,2,FALSE()),4)&amp;"*",OFFSET(Data,1,0,1),0),FALSE())/10)</f>
        <v>—</v>
      </c>
      <c r="K1026" s="17">
        <f t="shared" ref="K1026:K1089" ca="1" si="344">IF(OR(ISBLANK(VLOOKUP(DATEVALUE(LEFT($B1026,4)&amp;"-"&amp;MID($B1026,5,2)&amp;"-"&amp;RIGHT($B1026,2)),Data,MATCH(LEFT(VLOOKUP(MID(K$1,2,LEN(K$1)-1),Parameters,2,FALSE()),4)&amp;"*",OFFSET(Data,1,0,1),0),FALSE())),ISTEXT(VLOOKUP(DATEVALUE(LEFT($B1026,4)&amp;"-"&amp;MID($B1026,5,2)&amp;"-"&amp;RIGHT($B1026,2)),Data,MATCH(LEFT(VLOOKUP(MID(K$1,2,LEN(K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K$1,2,LEN(K$1)-1),Parameters,2,FALSE()),4)&amp;"*",OFFSET(Catalogus,1,0,1),0),FALSE())))</f>
        <v>7</v>
      </c>
      <c r="L1026" s="10">
        <f t="shared" ref="L1026:L1089" ca="1" si="345">IF(OR(ISBLANK(VLOOKUP(DATEVALUE(LEFT($B1026,4)&amp;"-"&amp;MID($B1026,5,2)&amp;"-"&amp;RIGHT($B1026,2)),Data,MATCH(LEFT(VLOOKUP(L$1,Parameters,2,FALSE()),4)&amp;"*",OFFSET(Data,0,0,1),0)+MATCH($C1026,OFFSET(Data,2,0,1),0)-2,FALSE())),ISTEXT(VLOOKUP(DATEVALUE(LEFT($B1026,4)&amp;"-"&amp;MID($B1026,5,2)&amp;"-"&amp;RIGHT($B1026,2)),Data,MATCH(LEFT(VLOOKUP(L$1,Parameters,2,FALSE()),4)&amp;"*",OFFSET(Data,0,0,1),0)+MATCH($C1026,OFFSET(Data,2,0,1),0)-2,FALSE())),EXACT($C1026,"24.00")),"—",VLOOKUP(DATEVALUE(LEFT($B1026,4)&amp;"-"&amp;MID($B1026,5,2)&amp;"-"&amp;RIGHT($B1026,2)),Data,MATCH(LEFT(VLOOKUP(L$1,Parameters,2,FALSE()),4)&amp;"*",OFFSET(Data,0,0,1),0)+MATCH($C1026,OFFSET(Data,2,0,1),0)-2,FALSE()))</f>
        <v>90</v>
      </c>
      <c r="M1026" s="17">
        <f t="shared" ref="M1026:M1089" ca="1" si="346">IF(OR(ISBLANK(VLOOKUP(DATEVALUE(LEFT($B1026,4)&amp;"-"&amp;MID($B1026,5,2)&amp;"-"&amp;RIGHT($B1026,2)),Data,MATCH(LEFT(VLOOKUP(MID(M$1,2,LEN(M$1)-1),Parameters,2,FALSE()),4)&amp;"*",OFFSET(Data,0,0,1),0)+MATCH($C1026,OFFSET(Data,2,0,1),0)-2,FALSE())),ISTEXT(VLOOKUP(DATEVALUE(LEFT($B1026,4)&amp;"-"&amp;MID($B1026,5,2)&amp;"-"&amp;RIGHT($B1026,2)),Data,MATCH(LEFT(VLOOKUP(MID(M$1,2,LEN(M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M$1,2,LEN(M$1)-1),Parameters,2,FALSE()),4)&amp;"*",OFFSET(Catalogus,0,0,1),0)+MATCH($C1026,OFFSET(Data,2,0,1),0)-2,FALSE())))</f>
        <v>0</v>
      </c>
      <c r="N1026" s="18">
        <f t="shared" ref="N1026:N1089" ca="1" si="347">IF(OR(ISBLANK(VLOOKUP(DATEVALUE(LEFT($B1026,4)&amp;"-"&amp;MID($B1026,5,2)&amp;"-"&amp;RIGHT($B1026,2)),Data,MATCH(LEFT(VLOOKUP(N$1,Parameters,2,FALSE()),4)&amp;"*",OFFSET(Data,0,0,1),0)+MATCH($C1026,OFFSET(Data,2,0,1),0)-2,FALSE())),ISTEXT(VLOOKUP(DATEVALUE(LEFT($B1026,4)&amp;"-"&amp;MID($B1026,5,2)&amp;"-"&amp;RIGHT($B1026,2)),Data,MATCH(LEFT(VLOOKUP(N$1,Parameters,2,FALSE()),4)&amp;"*",OFFSET(Data,0,0,1),0)+MATCH($C1026,OFFSET(Data,2,0,1),0)-2,FALSE())),EXACT($C1026,"24.00")),"—",VLOOKUP(DATEVALUE(LEFT($B1026,4)&amp;"-"&amp;MID($B1026,5,2)&amp;"-"&amp;RIGHT($B1026,2)),Data,MATCH(LEFT(VLOOKUP(N$1,Parameters,2,FALSE()),4)&amp;"*",OFFSET(Data,0,0,1),0)+MATCH($C1026,OFFSET(Data,2,0,1),0)-2,FALSE())/10)</f>
        <v>22.3</v>
      </c>
      <c r="O1026" s="17">
        <f t="shared" ref="O1026:O1089" ca="1" si="348">IF(OR(ISBLANK(VLOOKUP(DATEVALUE(LEFT($B1026,4)&amp;"-"&amp;MID($B1026,5,2)&amp;"-"&amp;RIGHT($B1026,2)),Data,MATCH(LEFT(VLOOKUP(MID(O$1,2,LEN(O$1)-1),Parameters,2,FALSE()),4)&amp;"*",OFFSET(Data,0,0,1),0)+MATCH($C1026,OFFSET(Data,2,0,1),0)-2,FALSE())),ISTEXT(VLOOKUP(DATEVALUE(LEFT($B1026,4)&amp;"-"&amp;MID($B1026,5,2)&amp;"-"&amp;RIGHT($B1026,2)),Data,MATCH(LEFT(VLOOKUP(MID(O$1,2,LEN(O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O$1,2,LEN(O$1)-1),Parameters,2,FALSE()),4)&amp;"*",OFFSET(Catalogus,0,0,1),0)+MATCH($C1026,OFFSET(Data,2,0,1),0)-2,FALSE())))</f>
        <v>0</v>
      </c>
      <c r="P1026" s="18">
        <f t="shared" ref="P1026:P1089" ca="1" si="349">IF(OR(ISBLANK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ISTEXT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EXACT($C1026,"24.00")),"—",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/10)</f>
        <v>24.4</v>
      </c>
      <c r="Q1026" s="17">
        <f t="shared" ref="Q1026:Q1089" ca="1" si="350">IF(OR(ISBLANK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ISTEXT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Q$1,2,LEN(Q$1)-1),Parameters,2,FALSE()),FIND(LOWER(MID(Q$1,2,1)),VLOOKUP(MID(Q$1,2,LEN(Q$1)-1),Parameters,2,FALSE()),5),4)&amp;"*",OFFSET(Catalogus,0,0,1),0)+2*MATCH($C1026,OFFSET(Catalogus,2,0,1),0)+MATCH(LEFT(VLOOKUP(MID(Q$1,2,LEN(Q$1)-1),Parameters,2,FALSE()),3)&amp;"*",OFFSET(Catalogus,2,4,1),0)-5,FALSE())))</f>
        <v>0</v>
      </c>
      <c r="R1026" s="10">
        <f t="shared" ref="R1026:R1089" ca="1" si="351">IF(OR(ISBLANK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),ISNA(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1,1,,1),0)),EXACT($C1026,"24.00")),"—",INDEX(Windrichting,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0,1,,1),0),1))</f>
        <v>65</v>
      </c>
      <c r="S1026" s="17">
        <f t="shared" ref="S1026:S1089" ca="1" si="352">IF(OR(ISBLANK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),ISNA(MATCH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,OFFSET(Windrichting,1,1,,1),0)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S$1,2,LEN(S$1)-1),Parameters,2,FALSE()),4)&amp;"*",OFFSET(Catalogus,0,0,1),0)+2*MATCH($C1026,OFFSET(Catalogus,2,0,1),0)+MATCH(MID(VLOOKUP(MID(S$1,2,LEN(S$1)-1),Parameters,2,FALSE()),5,LEN(VLOOKUP(MID(S$1,2,LEN(S$1)-1),Parameters,2,FALSE()))-4)&amp;"*",OFFSET(Catalogus,2,19,1),0)-5,FALSE())))</f>
        <v>0</v>
      </c>
      <c r="T1026" s="70">
        <f t="shared" ref="T1026:T1089" ca="1" si="353">IF(OR(ISBLANK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ISTEXT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EXACT($C1026,"24.00")),"—",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/10)</f>
        <v>0.3</v>
      </c>
      <c r="U1026" s="17">
        <f t="shared" ref="U1026:U1089" ca="1" si="354">IF(OR(ISBLANK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ISTEXT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U$1,2,LEN(U$1)-1),Parameters,2,FALSE()),4)&amp;"*",OFFSET(Catalogus,0,0,1),0)+2*MATCH($C1026,OFFSET(Catalogus,2,0,1),0)+MATCH(MID(VLOOKUP(MID(U$1,2,LEN(U$1)-1),Parameters,2,FALSE()),5,LEN(VLOOKUP(MID(U$1,2,LEN(U$1)-1),Parameters,2,FALSE()))-4)&amp;"*",OFFSET(Catalogus,2,19,1),0)-5,FALSE())))</f>
        <v>0</v>
      </c>
      <c r="V1026" s="71">
        <f t="shared" ref="V1026:V1089" ca="1" si="355">IF(OR(ISBLANK(VLOOKUP(DATEVALUE(LEFT($B1026,4)&amp;"-"&amp;MID($B1026,5,2)&amp;"-"&amp;RIGHT($B1026,2)),Data,MATCH(LEFT(VLOOKUP(V$1,Parameters,2,FALSE()),4)&amp;"*",OFFSET(Data,0,0,1),0)+MATCH($C1026,OFFSET(Data,2,0,1),0)-2,FALSE())),ISTEXT(VLOOKUP(DATEVALUE(LEFT($B1026,4)&amp;"-"&amp;MID($B1026,5,2)&amp;"-"&amp;RIGHT($B1026,2)),Data,MATCH(LEFT(VLOOKUP(V$1,Parameters,2,FALSE()),4)&amp;"*",OFFSET(Data,0,0,1),0)+MATCH($C1026,OFFSET(Data,2,0,1),0)-2,FALSE())),EXACT($C1026,"24.00")),"—",VLOOKUP(DATEVALUE(LEFT($B1026,4)&amp;"-"&amp;MID($B1026,5,2)&amp;"-"&amp;RIGHT($B1026,2)),Data,MATCH(LEFT(VLOOKUP(V$1,Parameters,2,FALSE()),4)&amp;"*",OFFSET(Data,0,0,1),0)+MATCH($C1026,OFFSET(Data,2,0,1),0)-2,FALSE()))</f>
        <v>4</v>
      </c>
      <c r="W1026" s="17">
        <f t="shared" ref="W1026:W1089" ca="1" si="356">IF(OR(ISBLANK(VLOOKUP(DATEVALUE(LEFT($B1026,4)&amp;"-"&amp;MID($B1026,5,2)&amp;"-"&amp;RIGHT($B1026,2)),Data,MATCH(LEFT(VLOOKUP(MID(W$1,2,LEN(W$1)-1),Parameters,2,FALSE()),4)&amp;"*",OFFSET(Data,0,0,1),0)+MATCH($C1026,OFFSET(Data,2,0,1),0)-2,FALSE())),ISTEXT(VLOOKUP(DATEVALUE(LEFT($B1026,4)&amp;"-"&amp;MID($B1026,5,2)&amp;"-"&amp;RIGHT($B1026,2)),Data,MATCH(LEFT(VLOOKUP(MID(W$1,2,LEN(W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W$1,2,LEN(W$1)-1),Parameters,2,FALSE()),4)&amp;"*",OFFSET(Catalogus,0,0,1),0)+MATCH($C1026,OFFSET(Data,2,0,1),0)-2,FALSE())))</f>
        <v>0</v>
      </c>
    </row>
    <row r="1027" spans="1:23" x14ac:dyDescent="0.25">
      <c r="A1027" s="4">
        <f t="shared" si="336"/>
        <v>32</v>
      </c>
      <c r="B1027" t="str">
        <f ca="1">TEXT(DATE(YEAR(Invoer!$A$6),1,1)+INT((ROWS(B$2:B1027)-1)/4),"jjjjmmdd")</f>
        <v>19400913</v>
      </c>
      <c r="C1027" s="64" t="str">
        <f>IF(MOD(ROWS(C$2:C1027)-1,4)=3,"24.00",INDEX(Data,3,2+MOD(ROWS(C$2:C1027)-1,4)))</f>
        <v>12.00</v>
      </c>
      <c r="D1027" s="18">
        <f t="shared" ca="1" si="337"/>
        <v>759.2</v>
      </c>
      <c r="E1027" s="17">
        <f t="shared" ca="1" si="338"/>
        <v>0</v>
      </c>
      <c r="F1027" s="18">
        <f t="shared" ca="1" si="339"/>
        <v>26.7</v>
      </c>
      <c r="G1027" s="17">
        <f t="shared" ca="1" si="340"/>
        <v>0</v>
      </c>
      <c r="H1027" s="18" t="str">
        <f t="shared" ca="1" si="341"/>
        <v>—</v>
      </c>
      <c r="I1027" s="17">
        <f t="shared" ca="1" si="342"/>
        <v>7</v>
      </c>
      <c r="J1027" s="18" t="str">
        <f t="shared" ca="1" si="343"/>
        <v>—</v>
      </c>
      <c r="K1027" s="17">
        <f t="shared" ca="1" si="344"/>
        <v>7</v>
      </c>
      <c r="L1027" s="10">
        <f t="shared" ca="1" si="345"/>
        <v>87</v>
      </c>
      <c r="M1027" s="17">
        <f t="shared" ca="1" si="346"/>
        <v>0</v>
      </c>
      <c r="N1027" s="18">
        <f t="shared" ca="1" si="347"/>
        <v>22.9</v>
      </c>
      <c r="O1027" s="17">
        <f t="shared" ca="1" si="348"/>
        <v>0</v>
      </c>
      <c r="P1027" s="18">
        <f t="shared" ca="1" si="349"/>
        <v>25</v>
      </c>
      <c r="Q1027" s="17">
        <f t="shared" ca="1" si="350"/>
        <v>0</v>
      </c>
      <c r="R1027" s="10">
        <f t="shared" ca="1" si="351"/>
        <v>65</v>
      </c>
      <c r="S1027" s="17">
        <f t="shared" ca="1" si="352"/>
        <v>0</v>
      </c>
      <c r="T1027" s="70">
        <f t="shared" ca="1" si="353"/>
        <v>0.3</v>
      </c>
      <c r="U1027" s="17">
        <f t="shared" ca="1" si="354"/>
        <v>0</v>
      </c>
      <c r="V1027" s="71">
        <f t="shared" ca="1" si="355"/>
        <v>3</v>
      </c>
      <c r="W1027" s="17">
        <f t="shared" ca="1" si="356"/>
        <v>0</v>
      </c>
    </row>
    <row r="1028" spans="1:23" x14ac:dyDescent="0.25">
      <c r="A1028" s="4">
        <f t="shared" si="336"/>
        <v>32</v>
      </c>
      <c r="B1028" t="str">
        <f ca="1">TEXT(DATE(YEAR(Invoer!$A$6),1,1)+INT((ROWS(B$2:B1028)-1)/4),"jjjjmmdd")</f>
        <v>19400913</v>
      </c>
      <c r="C1028" s="64" t="str">
        <f>IF(MOD(ROWS(C$2:C1028)-1,4)=3,"24.00",INDEX(Data,3,2+MOD(ROWS(C$2:C1028)-1,4)))</f>
        <v>17.00</v>
      </c>
      <c r="D1028" s="18">
        <f t="shared" ca="1" si="337"/>
        <v>758.5</v>
      </c>
      <c r="E1028" s="17">
        <f t="shared" ca="1" si="338"/>
        <v>0</v>
      </c>
      <c r="F1028" s="18">
        <f t="shared" ca="1" si="339"/>
        <v>25.9</v>
      </c>
      <c r="G1028" s="17">
        <f t="shared" ca="1" si="340"/>
        <v>0</v>
      </c>
      <c r="H1028" s="18" t="str">
        <f t="shared" ca="1" si="341"/>
        <v>—</v>
      </c>
      <c r="I1028" s="17">
        <f t="shared" ca="1" si="342"/>
        <v>7</v>
      </c>
      <c r="J1028" s="18" t="str">
        <f t="shared" ca="1" si="343"/>
        <v>—</v>
      </c>
      <c r="K1028" s="17">
        <f t="shared" ca="1" si="344"/>
        <v>7</v>
      </c>
      <c r="L1028" s="10">
        <f t="shared" ca="1" si="345"/>
        <v>91</v>
      </c>
      <c r="M1028" s="17">
        <f t="shared" ca="1" si="346"/>
        <v>0</v>
      </c>
      <c r="N1028" s="18">
        <f t="shared" ca="1" si="347"/>
        <v>22.9</v>
      </c>
      <c r="O1028" s="17">
        <f t="shared" ca="1" si="348"/>
        <v>0</v>
      </c>
      <c r="P1028" s="18">
        <f t="shared" ca="1" si="349"/>
        <v>24.8</v>
      </c>
      <c r="Q1028" s="17">
        <f t="shared" ca="1" si="350"/>
        <v>0</v>
      </c>
      <c r="R1028" s="10">
        <f t="shared" ca="1" si="351"/>
        <v>65</v>
      </c>
      <c r="S1028" s="17">
        <f t="shared" ca="1" si="352"/>
        <v>0</v>
      </c>
      <c r="T1028" s="70">
        <f t="shared" ca="1" si="353"/>
        <v>0.3</v>
      </c>
      <c r="U1028" s="17">
        <f t="shared" ca="1" si="354"/>
        <v>0</v>
      </c>
      <c r="V1028" s="71">
        <f t="shared" ca="1" si="355"/>
        <v>3</v>
      </c>
      <c r="W1028" s="17">
        <f t="shared" ca="1" si="356"/>
        <v>0</v>
      </c>
    </row>
    <row r="1029" spans="1:23" x14ac:dyDescent="0.25">
      <c r="A1029" s="4">
        <f t="shared" si="336"/>
        <v>32</v>
      </c>
      <c r="B1029" t="str">
        <f ca="1">TEXT(DATE(YEAR(Invoer!$A$6),1,1)+INT((ROWS(B$2:B1029)-1)/4),"jjjjmmdd")</f>
        <v>19400913</v>
      </c>
      <c r="C1029" s="64" t="str">
        <f>IF(MOD(ROWS(C$2:C1029)-1,4)=3,"24.00",INDEX(Data,3,2+MOD(ROWS(C$2:C1029)-1,4)))</f>
        <v>24.00</v>
      </c>
      <c r="D1029" s="18" t="str">
        <f t="shared" ca="1" si="337"/>
        <v>—</v>
      </c>
      <c r="E1029" s="17">
        <f t="shared" ca="1" si="338"/>
        <v>7</v>
      </c>
      <c r="F1029" s="18" t="str">
        <f t="shared" ca="1" si="339"/>
        <v>—</v>
      </c>
      <c r="G1029" s="17">
        <f t="shared" ca="1" si="340"/>
        <v>7</v>
      </c>
      <c r="H1029" s="18">
        <f t="shared" ca="1" si="341"/>
        <v>28.2</v>
      </c>
      <c r="I1029" s="17">
        <f t="shared" ca="1" si="342"/>
        <v>0</v>
      </c>
      <c r="J1029" s="18">
        <f t="shared" ca="1" si="343"/>
        <v>29.5</v>
      </c>
      <c r="K1029" s="17">
        <f t="shared" ca="1" si="344"/>
        <v>0</v>
      </c>
      <c r="L1029" s="10" t="str">
        <f t="shared" ca="1" si="345"/>
        <v>—</v>
      </c>
      <c r="M1029" s="17">
        <f t="shared" ca="1" si="346"/>
        <v>7</v>
      </c>
      <c r="N1029" s="18" t="str">
        <f t="shared" ca="1" si="347"/>
        <v>—</v>
      </c>
      <c r="O1029" s="17">
        <f t="shared" ca="1" si="348"/>
        <v>7</v>
      </c>
      <c r="P1029" s="18" t="str">
        <f t="shared" ca="1" si="349"/>
        <v>—</v>
      </c>
      <c r="Q1029" s="17">
        <f t="shared" ca="1" si="350"/>
        <v>7</v>
      </c>
      <c r="R1029" s="10" t="str">
        <f t="shared" ca="1" si="351"/>
        <v>—</v>
      </c>
      <c r="S1029" s="17">
        <f t="shared" ca="1" si="352"/>
        <v>7</v>
      </c>
      <c r="T1029" s="70" t="str">
        <f t="shared" ca="1" si="353"/>
        <v>—</v>
      </c>
      <c r="U1029" s="17">
        <f t="shared" ca="1" si="354"/>
        <v>7</v>
      </c>
      <c r="V1029" s="71" t="str">
        <f t="shared" ca="1" si="355"/>
        <v>—</v>
      </c>
      <c r="W1029" s="17">
        <f t="shared" ca="1" si="356"/>
        <v>7</v>
      </c>
    </row>
    <row r="1030" spans="1:23" x14ac:dyDescent="0.25">
      <c r="A1030" s="4">
        <f t="shared" si="336"/>
        <v>32</v>
      </c>
      <c r="B1030" t="str">
        <f ca="1">TEXT(DATE(YEAR(Invoer!$A$6),1,1)+INT((ROWS(B$2:B1030)-1)/4),"jjjjmmdd")</f>
        <v>19400914</v>
      </c>
      <c r="C1030" s="64" t="str">
        <f>IF(MOD(ROWS(C$2:C1030)-1,4)=3,"24.00",INDEX(Data,3,2+MOD(ROWS(C$2:C1030)-1,4)))</f>
        <v>07.00</v>
      </c>
      <c r="D1030" s="18">
        <f t="shared" ca="1" si="337"/>
        <v>756.4</v>
      </c>
      <c r="E1030" s="17">
        <f t="shared" ca="1" si="338"/>
        <v>0</v>
      </c>
      <c r="F1030" s="18">
        <f t="shared" ca="1" si="339"/>
        <v>25.5</v>
      </c>
      <c r="G1030" s="17">
        <f t="shared" ca="1" si="340"/>
        <v>0</v>
      </c>
      <c r="H1030" s="18" t="str">
        <f t="shared" ca="1" si="341"/>
        <v>—</v>
      </c>
      <c r="I1030" s="17">
        <f t="shared" ca="1" si="342"/>
        <v>7</v>
      </c>
      <c r="J1030" s="18" t="str">
        <f t="shared" ca="1" si="343"/>
        <v>—</v>
      </c>
      <c r="K1030" s="17">
        <f t="shared" ca="1" si="344"/>
        <v>7</v>
      </c>
      <c r="L1030" s="10">
        <f t="shared" ca="1" si="345"/>
        <v>90</v>
      </c>
      <c r="M1030" s="17">
        <f t="shared" ca="1" si="346"/>
        <v>0</v>
      </c>
      <c r="N1030" s="18">
        <f t="shared" ca="1" si="347"/>
        <v>22</v>
      </c>
      <c r="O1030" s="17">
        <f t="shared" ca="1" si="348"/>
        <v>0</v>
      </c>
      <c r="P1030" s="18">
        <f t="shared" ca="1" si="349"/>
        <v>24.2</v>
      </c>
      <c r="Q1030" s="17">
        <f t="shared" ca="1" si="350"/>
        <v>0</v>
      </c>
      <c r="R1030" s="10">
        <f t="shared" ca="1" si="351"/>
        <v>65</v>
      </c>
      <c r="S1030" s="17">
        <f t="shared" ca="1" si="352"/>
        <v>0</v>
      </c>
      <c r="T1030" s="70">
        <f t="shared" ca="1" si="353"/>
        <v>0.3</v>
      </c>
      <c r="U1030" s="17">
        <f t="shared" ca="1" si="354"/>
        <v>0</v>
      </c>
      <c r="V1030" s="71">
        <f t="shared" ca="1" si="355"/>
        <v>4</v>
      </c>
      <c r="W1030" s="17">
        <f t="shared" ca="1" si="356"/>
        <v>0</v>
      </c>
    </row>
    <row r="1031" spans="1:23" x14ac:dyDescent="0.25">
      <c r="A1031" s="4">
        <f t="shared" si="336"/>
        <v>32</v>
      </c>
      <c r="B1031" t="str">
        <f ca="1">TEXT(DATE(YEAR(Invoer!$A$6),1,1)+INT((ROWS(B$2:B1031)-1)/4),"jjjjmmdd")</f>
        <v>19400914</v>
      </c>
      <c r="C1031" s="64" t="str">
        <f>IF(MOD(ROWS(C$2:C1031)-1,4)=3,"24.00",INDEX(Data,3,2+MOD(ROWS(C$2:C1031)-1,4)))</f>
        <v>12.00</v>
      </c>
      <c r="D1031" s="18">
        <f t="shared" ca="1" si="337"/>
        <v>757.7</v>
      </c>
      <c r="E1031" s="17">
        <f t="shared" ca="1" si="338"/>
        <v>0</v>
      </c>
      <c r="F1031" s="18">
        <f t="shared" ca="1" si="339"/>
        <v>26.5</v>
      </c>
      <c r="G1031" s="17">
        <f t="shared" ca="1" si="340"/>
        <v>0</v>
      </c>
      <c r="H1031" s="18" t="str">
        <f t="shared" ca="1" si="341"/>
        <v>—</v>
      </c>
      <c r="I1031" s="17">
        <f t="shared" ca="1" si="342"/>
        <v>7</v>
      </c>
      <c r="J1031" s="18" t="str">
        <f t="shared" ca="1" si="343"/>
        <v>—</v>
      </c>
      <c r="K1031" s="17">
        <f t="shared" ca="1" si="344"/>
        <v>7</v>
      </c>
      <c r="L1031" s="10">
        <f t="shared" ca="1" si="345"/>
        <v>87</v>
      </c>
      <c r="M1031" s="17">
        <f t="shared" ca="1" si="346"/>
        <v>0</v>
      </c>
      <c r="N1031" s="18">
        <f t="shared" ca="1" si="347"/>
        <v>22.6</v>
      </c>
      <c r="O1031" s="17">
        <f t="shared" ca="1" si="348"/>
        <v>0</v>
      </c>
      <c r="P1031" s="18">
        <f t="shared" ca="1" si="349"/>
        <v>24.8</v>
      </c>
      <c r="Q1031" s="17">
        <f t="shared" ca="1" si="350"/>
        <v>0</v>
      </c>
      <c r="R1031" s="10">
        <f t="shared" ca="1" si="351"/>
        <v>65</v>
      </c>
      <c r="S1031" s="17">
        <f t="shared" ca="1" si="352"/>
        <v>0</v>
      </c>
      <c r="T1031" s="70">
        <f t="shared" ca="1" si="353"/>
        <v>0.3</v>
      </c>
      <c r="U1031" s="17">
        <f t="shared" ca="1" si="354"/>
        <v>0</v>
      </c>
      <c r="V1031" s="71">
        <f t="shared" ca="1" si="355"/>
        <v>4</v>
      </c>
      <c r="W1031" s="17">
        <f t="shared" ca="1" si="356"/>
        <v>0</v>
      </c>
    </row>
    <row r="1032" spans="1:23" x14ac:dyDescent="0.25">
      <c r="A1032" s="4">
        <f t="shared" si="336"/>
        <v>32</v>
      </c>
      <c r="B1032" t="str">
        <f ca="1">TEXT(DATE(YEAR(Invoer!$A$6),1,1)+INT((ROWS(B$2:B1032)-1)/4),"jjjjmmdd")</f>
        <v>19400914</v>
      </c>
      <c r="C1032" s="64" t="str">
        <f>IF(MOD(ROWS(C$2:C1032)-1,4)=3,"24.00",INDEX(Data,3,2+MOD(ROWS(C$2:C1032)-1,4)))</f>
        <v>17.00</v>
      </c>
      <c r="D1032" s="18">
        <f t="shared" ca="1" si="337"/>
        <v>756.9</v>
      </c>
      <c r="E1032" s="17">
        <f t="shared" ca="1" si="338"/>
        <v>0</v>
      </c>
      <c r="F1032" s="18">
        <f t="shared" ca="1" si="339"/>
        <v>25.9</v>
      </c>
      <c r="G1032" s="17">
        <f t="shared" ca="1" si="340"/>
        <v>0</v>
      </c>
      <c r="H1032" s="18" t="str">
        <f t="shared" ca="1" si="341"/>
        <v>—</v>
      </c>
      <c r="I1032" s="17">
        <f t="shared" ca="1" si="342"/>
        <v>7</v>
      </c>
      <c r="J1032" s="18" t="str">
        <f t="shared" ca="1" si="343"/>
        <v>—</v>
      </c>
      <c r="K1032" s="17">
        <f t="shared" ca="1" si="344"/>
        <v>7</v>
      </c>
      <c r="L1032" s="10">
        <f t="shared" ca="1" si="345"/>
        <v>87</v>
      </c>
      <c r="M1032" s="17">
        <f t="shared" ca="1" si="346"/>
        <v>0</v>
      </c>
      <c r="N1032" s="18">
        <f t="shared" ca="1" si="347"/>
        <v>21.8</v>
      </c>
      <c r="O1032" s="17">
        <f t="shared" ca="1" si="348"/>
        <v>0</v>
      </c>
      <c r="P1032" s="18">
        <f t="shared" ca="1" si="349"/>
        <v>24.2</v>
      </c>
      <c r="Q1032" s="17">
        <f t="shared" ca="1" si="350"/>
        <v>0</v>
      </c>
      <c r="R1032" s="10">
        <f t="shared" ca="1" si="351"/>
        <v>65</v>
      </c>
      <c r="S1032" s="17">
        <f t="shared" ca="1" si="352"/>
        <v>0</v>
      </c>
      <c r="T1032" s="70">
        <f t="shared" ca="1" si="353"/>
        <v>0.3</v>
      </c>
      <c r="U1032" s="17">
        <f t="shared" ca="1" si="354"/>
        <v>0</v>
      </c>
      <c r="V1032" s="71">
        <f t="shared" ca="1" si="355"/>
        <v>4</v>
      </c>
      <c r="W1032" s="17">
        <f t="shared" ca="1" si="356"/>
        <v>0</v>
      </c>
    </row>
    <row r="1033" spans="1:23" x14ac:dyDescent="0.25">
      <c r="A1033" s="4">
        <f t="shared" si="336"/>
        <v>32</v>
      </c>
      <c r="B1033" t="str">
        <f ca="1">TEXT(DATE(YEAR(Invoer!$A$6),1,1)+INT((ROWS(B$2:B1033)-1)/4),"jjjjmmdd")</f>
        <v>19400914</v>
      </c>
      <c r="C1033" s="64" t="str">
        <f>IF(MOD(ROWS(C$2:C1033)-1,4)=3,"24.00",INDEX(Data,3,2+MOD(ROWS(C$2:C1033)-1,4)))</f>
        <v>24.00</v>
      </c>
      <c r="D1033" s="18" t="str">
        <f t="shared" ca="1" si="337"/>
        <v>—</v>
      </c>
      <c r="E1033" s="17">
        <f t="shared" ca="1" si="338"/>
        <v>7</v>
      </c>
      <c r="F1033" s="18" t="str">
        <f t="shared" ca="1" si="339"/>
        <v>—</v>
      </c>
      <c r="G1033" s="17">
        <f t="shared" ca="1" si="340"/>
        <v>7</v>
      </c>
      <c r="H1033" s="18">
        <f t="shared" ca="1" si="341"/>
        <v>27.6</v>
      </c>
      <c r="I1033" s="17">
        <f t="shared" ca="1" si="342"/>
        <v>0</v>
      </c>
      <c r="J1033" s="18">
        <f t="shared" ca="1" si="343"/>
        <v>29.4</v>
      </c>
      <c r="K1033" s="17">
        <f t="shared" ca="1" si="344"/>
        <v>0</v>
      </c>
      <c r="L1033" s="10" t="str">
        <f t="shared" ca="1" si="345"/>
        <v>—</v>
      </c>
      <c r="M1033" s="17">
        <f t="shared" ca="1" si="346"/>
        <v>7</v>
      </c>
      <c r="N1033" s="18" t="str">
        <f t="shared" ca="1" si="347"/>
        <v>—</v>
      </c>
      <c r="O1033" s="17">
        <f t="shared" ca="1" si="348"/>
        <v>7</v>
      </c>
      <c r="P1033" s="18" t="str">
        <f t="shared" ca="1" si="349"/>
        <v>—</v>
      </c>
      <c r="Q1033" s="17">
        <f t="shared" ca="1" si="350"/>
        <v>7</v>
      </c>
      <c r="R1033" s="10" t="str">
        <f t="shared" ca="1" si="351"/>
        <v>—</v>
      </c>
      <c r="S1033" s="17">
        <f t="shared" ca="1" si="352"/>
        <v>7</v>
      </c>
      <c r="T1033" s="70" t="str">
        <f t="shared" ca="1" si="353"/>
        <v>—</v>
      </c>
      <c r="U1033" s="17">
        <f t="shared" ca="1" si="354"/>
        <v>7</v>
      </c>
      <c r="V1033" s="71" t="str">
        <f t="shared" ca="1" si="355"/>
        <v>—</v>
      </c>
      <c r="W1033" s="17">
        <f t="shared" ca="1" si="356"/>
        <v>7</v>
      </c>
    </row>
    <row r="1034" spans="1:23" x14ac:dyDescent="0.25">
      <c r="A1034" s="4">
        <f t="shared" si="336"/>
        <v>32</v>
      </c>
      <c r="B1034" t="str">
        <f ca="1">TEXT(DATE(YEAR(Invoer!$A$6),1,1)+INT((ROWS(B$2:B1034)-1)/4),"jjjjmmdd")</f>
        <v>19400915</v>
      </c>
      <c r="C1034" s="64" t="str">
        <f>IF(MOD(ROWS(C$2:C1034)-1,4)=3,"24.00",INDEX(Data,3,2+MOD(ROWS(C$2:C1034)-1,4)))</f>
        <v>07.00</v>
      </c>
      <c r="D1034" s="18">
        <f t="shared" ca="1" si="337"/>
        <v>757.4</v>
      </c>
      <c r="E1034" s="17">
        <f t="shared" ca="1" si="338"/>
        <v>0</v>
      </c>
      <c r="F1034" s="18">
        <f t="shared" ca="1" si="339"/>
        <v>25.7</v>
      </c>
      <c r="G1034" s="17">
        <f t="shared" ca="1" si="340"/>
        <v>0</v>
      </c>
      <c r="H1034" s="18" t="str">
        <f t="shared" ca="1" si="341"/>
        <v>—</v>
      </c>
      <c r="I1034" s="17">
        <f t="shared" ca="1" si="342"/>
        <v>7</v>
      </c>
      <c r="J1034" s="18" t="str">
        <f t="shared" ca="1" si="343"/>
        <v>—</v>
      </c>
      <c r="K1034" s="17">
        <f t="shared" ca="1" si="344"/>
        <v>7</v>
      </c>
      <c r="L1034" s="10">
        <f t="shared" ca="1" si="345"/>
        <v>90</v>
      </c>
      <c r="M1034" s="17">
        <f t="shared" ca="1" si="346"/>
        <v>0</v>
      </c>
      <c r="N1034" s="18">
        <f t="shared" ca="1" si="347"/>
        <v>22.3</v>
      </c>
      <c r="O1034" s="17">
        <f t="shared" ca="1" si="348"/>
        <v>0</v>
      </c>
      <c r="P1034" s="18">
        <f t="shared" ca="1" si="349"/>
        <v>24.4</v>
      </c>
      <c r="Q1034" s="17">
        <f t="shared" ca="1" si="350"/>
        <v>0</v>
      </c>
      <c r="R1034" s="10">
        <f t="shared" ca="1" si="351"/>
        <v>65</v>
      </c>
      <c r="S1034" s="17">
        <f t="shared" ca="1" si="352"/>
        <v>0</v>
      </c>
      <c r="T1034" s="70">
        <f t="shared" ca="1" si="353"/>
        <v>0.3</v>
      </c>
      <c r="U1034" s="17">
        <f t="shared" ca="1" si="354"/>
        <v>0</v>
      </c>
      <c r="V1034" s="71">
        <f t="shared" ca="1" si="355"/>
        <v>5</v>
      </c>
      <c r="W1034" s="17">
        <f t="shared" ca="1" si="356"/>
        <v>0</v>
      </c>
    </row>
    <row r="1035" spans="1:23" x14ac:dyDescent="0.25">
      <c r="A1035" s="4">
        <f t="shared" si="336"/>
        <v>32</v>
      </c>
      <c r="B1035" t="str">
        <f ca="1">TEXT(DATE(YEAR(Invoer!$A$6),1,1)+INT((ROWS(B$2:B1035)-1)/4),"jjjjmmdd")</f>
        <v>19400915</v>
      </c>
      <c r="C1035" s="64" t="str">
        <f>IF(MOD(ROWS(C$2:C1035)-1,4)=3,"24.00",INDEX(Data,3,2+MOD(ROWS(C$2:C1035)-1,4)))</f>
        <v>12.00</v>
      </c>
      <c r="D1035" s="18">
        <f t="shared" ca="1" si="337"/>
        <v>757.2</v>
      </c>
      <c r="E1035" s="17">
        <f t="shared" ca="1" si="338"/>
        <v>0</v>
      </c>
      <c r="F1035" s="18">
        <f t="shared" ca="1" si="339"/>
        <v>26.7</v>
      </c>
      <c r="G1035" s="17">
        <f t="shared" ca="1" si="340"/>
        <v>0</v>
      </c>
      <c r="H1035" s="18" t="str">
        <f t="shared" ca="1" si="341"/>
        <v>—</v>
      </c>
      <c r="I1035" s="17">
        <f t="shared" ca="1" si="342"/>
        <v>7</v>
      </c>
      <c r="J1035" s="18" t="str">
        <f t="shared" ca="1" si="343"/>
        <v>—</v>
      </c>
      <c r="K1035" s="17">
        <f t="shared" ca="1" si="344"/>
        <v>7</v>
      </c>
      <c r="L1035" s="10">
        <f t="shared" ca="1" si="345"/>
        <v>87</v>
      </c>
      <c r="M1035" s="17">
        <f t="shared" ca="1" si="346"/>
        <v>0</v>
      </c>
      <c r="N1035" s="18">
        <f t="shared" ca="1" si="347"/>
        <v>22.9</v>
      </c>
      <c r="O1035" s="17">
        <f t="shared" ca="1" si="348"/>
        <v>0</v>
      </c>
      <c r="P1035" s="18">
        <f t="shared" ca="1" si="349"/>
        <v>25</v>
      </c>
      <c r="Q1035" s="17">
        <f t="shared" ca="1" si="350"/>
        <v>0</v>
      </c>
      <c r="R1035" s="10">
        <f t="shared" ca="1" si="351"/>
        <v>90</v>
      </c>
      <c r="S1035" s="17">
        <f t="shared" ca="1" si="352"/>
        <v>0</v>
      </c>
      <c r="T1035" s="70">
        <f t="shared" ca="1" si="353"/>
        <v>0.3</v>
      </c>
      <c r="U1035" s="17">
        <f t="shared" ca="1" si="354"/>
        <v>0</v>
      </c>
      <c r="V1035" s="71">
        <f t="shared" ca="1" si="355"/>
        <v>6</v>
      </c>
      <c r="W1035" s="17">
        <f t="shared" ca="1" si="356"/>
        <v>0</v>
      </c>
    </row>
    <row r="1036" spans="1:23" x14ac:dyDescent="0.25">
      <c r="A1036" s="4">
        <f t="shared" si="336"/>
        <v>32</v>
      </c>
      <c r="B1036" t="str">
        <f ca="1">TEXT(DATE(YEAR(Invoer!$A$6),1,1)+INT((ROWS(B$2:B1036)-1)/4),"jjjjmmdd")</f>
        <v>19400915</v>
      </c>
      <c r="C1036" s="64" t="str">
        <f>IF(MOD(ROWS(C$2:C1036)-1,4)=3,"24.00",INDEX(Data,3,2+MOD(ROWS(C$2:C1036)-1,4)))</f>
        <v>17.00</v>
      </c>
      <c r="D1036" s="18">
        <f t="shared" ca="1" si="337"/>
        <v>757.2</v>
      </c>
      <c r="E1036" s="17">
        <f t="shared" ca="1" si="338"/>
        <v>0</v>
      </c>
      <c r="F1036" s="18">
        <f t="shared" ca="1" si="339"/>
        <v>25.3</v>
      </c>
      <c r="G1036" s="17">
        <f t="shared" ca="1" si="340"/>
        <v>0</v>
      </c>
      <c r="H1036" s="18" t="str">
        <f t="shared" ca="1" si="341"/>
        <v>—</v>
      </c>
      <c r="I1036" s="17">
        <f t="shared" ca="1" si="342"/>
        <v>7</v>
      </c>
      <c r="J1036" s="18" t="str">
        <f t="shared" ca="1" si="343"/>
        <v>—</v>
      </c>
      <c r="K1036" s="17">
        <f t="shared" ca="1" si="344"/>
        <v>7</v>
      </c>
      <c r="L1036" s="10">
        <f t="shared" ca="1" si="345"/>
        <v>93</v>
      </c>
      <c r="M1036" s="17">
        <f t="shared" ca="1" si="346"/>
        <v>0</v>
      </c>
      <c r="N1036" s="18">
        <f t="shared" ca="1" si="347"/>
        <v>22.5</v>
      </c>
      <c r="O1036" s="17">
        <f t="shared" ca="1" si="348"/>
        <v>0</v>
      </c>
      <c r="P1036" s="18">
        <f t="shared" ca="1" si="349"/>
        <v>24.4</v>
      </c>
      <c r="Q1036" s="17">
        <f t="shared" ca="1" si="350"/>
        <v>0</v>
      </c>
      <c r="R1036" s="10">
        <f t="shared" ca="1" si="351"/>
        <v>90</v>
      </c>
      <c r="S1036" s="17">
        <f t="shared" ca="1" si="352"/>
        <v>0</v>
      </c>
      <c r="T1036" s="70">
        <f t="shared" ca="1" si="353"/>
        <v>0.3</v>
      </c>
      <c r="U1036" s="17">
        <f t="shared" ca="1" si="354"/>
        <v>0</v>
      </c>
      <c r="V1036" s="71">
        <f t="shared" ca="1" si="355"/>
        <v>6</v>
      </c>
      <c r="W1036" s="17">
        <f t="shared" ca="1" si="356"/>
        <v>0</v>
      </c>
    </row>
    <row r="1037" spans="1:23" x14ac:dyDescent="0.25">
      <c r="A1037" s="4">
        <f t="shared" si="336"/>
        <v>32</v>
      </c>
      <c r="B1037" t="str">
        <f ca="1">TEXT(DATE(YEAR(Invoer!$A$6),1,1)+INT((ROWS(B$2:B1037)-1)/4),"jjjjmmdd")</f>
        <v>19400915</v>
      </c>
      <c r="C1037" s="64" t="str">
        <f>IF(MOD(ROWS(C$2:C1037)-1,4)=3,"24.00",INDEX(Data,3,2+MOD(ROWS(C$2:C1037)-1,4)))</f>
        <v>24.00</v>
      </c>
      <c r="D1037" s="18" t="str">
        <f t="shared" ca="1" si="337"/>
        <v>—</v>
      </c>
      <c r="E1037" s="17">
        <f t="shared" ca="1" si="338"/>
        <v>7</v>
      </c>
      <c r="F1037" s="18" t="str">
        <f t="shared" ca="1" si="339"/>
        <v>—</v>
      </c>
      <c r="G1037" s="17">
        <f t="shared" ca="1" si="340"/>
        <v>7</v>
      </c>
      <c r="H1037" s="18">
        <f t="shared" ca="1" si="341"/>
        <v>28</v>
      </c>
      <c r="I1037" s="17">
        <f t="shared" ca="1" si="342"/>
        <v>0</v>
      </c>
      <c r="J1037" s="18">
        <f t="shared" ca="1" si="343"/>
        <v>29.4</v>
      </c>
      <c r="K1037" s="17">
        <f t="shared" ca="1" si="344"/>
        <v>0</v>
      </c>
      <c r="L1037" s="10" t="str">
        <f t="shared" ca="1" si="345"/>
        <v>—</v>
      </c>
      <c r="M1037" s="17">
        <f t="shared" ca="1" si="346"/>
        <v>7</v>
      </c>
      <c r="N1037" s="18" t="str">
        <f t="shared" ca="1" si="347"/>
        <v>—</v>
      </c>
      <c r="O1037" s="17">
        <f t="shared" ca="1" si="348"/>
        <v>7</v>
      </c>
      <c r="P1037" s="18" t="str">
        <f t="shared" ca="1" si="349"/>
        <v>—</v>
      </c>
      <c r="Q1037" s="17">
        <f t="shared" ca="1" si="350"/>
        <v>7</v>
      </c>
      <c r="R1037" s="10" t="str">
        <f t="shared" ca="1" si="351"/>
        <v>—</v>
      </c>
      <c r="S1037" s="17">
        <f t="shared" ca="1" si="352"/>
        <v>7</v>
      </c>
      <c r="T1037" s="70" t="str">
        <f t="shared" ca="1" si="353"/>
        <v>—</v>
      </c>
      <c r="U1037" s="17">
        <f t="shared" ca="1" si="354"/>
        <v>7</v>
      </c>
      <c r="V1037" s="71" t="str">
        <f t="shared" ca="1" si="355"/>
        <v>—</v>
      </c>
      <c r="W1037" s="17">
        <f t="shared" ca="1" si="356"/>
        <v>7</v>
      </c>
    </row>
    <row r="1038" spans="1:23" x14ac:dyDescent="0.25">
      <c r="A1038" s="4">
        <f t="shared" si="336"/>
        <v>32</v>
      </c>
      <c r="B1038" t="str">
        <f ca="1">TEXT(DATE(YEAR(Invoer!$A$6),1,1)+INT((ROWS(B$2:B1038)-1)/4),"jjjjmmdd")</f>
        <v>19400916</v>
      </c>
      <c r="C1038" s="64" t="str">
        <f>IF(MOD(ROWS(C$2:C1038)-1,4)=3,"24.00",INDEX(Data,3,2+MOD(ROWS(C$2:C1038)-1,4)))</f>
        <v>07.00</v>
      </c>
      <c r="D1038" s="18">
        <f t="shared" ca="1" si="337"/>
        <v>757.7</v>
      </c>
      <c r="E1038" s="17">
        <f t="shared" ca="1" si="338"/>
        <v>0</v>
      </c>
      <c r="F1038" s="18">
        <f t="shared" ca="1" si="339"/>
        <v>27.7</v>
      </c>
      <c r="G1038" s="17">
        <f t="shared" ca="1" si="340"/>
        <v>0</v>
      </c>
      <c r="H1038" s="18" t="str">
        <f t="shared" ca="1" si="341"/>
        <v>—</v>
      </c>
      <c r="I1038" s="17">
        <f t="shared" ca="1" si="342"/>
        <v>7</v>
      </c>
      <c r="J1038" s="18" t="str">
        <f t="shared" ca="1" si="343"/>
        <v>—</v>
      </c>
      <c r="K1038" s="17">
        <f t="shared" ca="1" si="344"/>
        <v>7</v>
      </c>
      <c r="L1038" s="10">
        <f t="shared" ca="1" si="345"/>
        <v>79</v>
      </c>
      <c r="M1038" s="17">
        <f t="shared" ca="1" si="346"/>
        <v>0</v>
      </c>
      <c r="N1038" s="18">
        <f t="shared" ca="1" si="347"/>
        <v>22</v>
      </c>
      <c r="O1038" s="17">
        <f t="shared" ca="1" si="348"/>
        <v>0</v>
      </c>
      <c r="P1038" s="18">
        <f t="shared" ca="1" si="349"/>
        <v>24.8</v>
      </c>
      <c r="Q1038" s="17">
        <f t="shared" ca="1" si="350"/>
        <v>0</v>
      </c>
      <c r="R1038" s="10">
        <f t="shared" ca="1" si="351"/>
        <v>90</v>
      </c>
      <c r="S1038" s="17">
        <f t="shared" ca="1" si="352"/>
        <v>0</v>
      </c>
      <c r="T1038" s="70">
        <f t="shared" ca="1" si="353"/>
        <v>0.3</v>
      </c>
      <c r="U1038" s="17">
        <f t="shared" ca="1" si="354"/>
        <v>0</v>
      </c>
      <c r="V1038" s="71">
        <f t="shared" ca="1" si="355"/>
        <v>3</v>
      </c>
      <c r="W1038" s="17">
        <f t="shared" ca="1" si="356"/>
        <v>0</v>
      </c>
    </row>
    <row r="1039" spans="1:23" x14ac:dyDescent="0.25">
      <c r="A1039" s="4">
        <f t="shared" si="336"/>
        <v>32</v>
      </c>
      <c r="B1039" t="str">
        <f ca="1">TEXT(DATE(YEAR(Invoer!$A$6),1,1)+INT((ROWS(B$2:B1039)-1)/4),"jjjjmmdd")</f>
        <v>19400916</v>
      </c>
      <c r="C1039" s="64" t="str">
        <f>IF(MOD(ROWS(C$2:C1039)-1,4)=3,"24.00",INDEX(Data,3,2+MOD(ROWS(C$2:C1039)-1,4)))</f>
        <v>12.00</v>
      </c>
      <c r="D1039" s="18">
        <f t="shared" ca="1" si="337"/>
        <v>757.9</v>
      </c>
      <c r="E1039" s="17">
        <f t="shared" ca="1" si="338"/>
        <v>0</v>
      </c>
      <c r="F1039" s="18">
        <f t="shared" ca="1" si="339"/>
        <v>28.1</v>
      </c>
      <c r="G1039" s="17">
        <f t="shared" ca="1" si="340"/>
        <v>0</v>
      </c>
      <c r="H1039" s="18" t="str">
        <f t="shared" ca="1" si="341"/>
        <v>—</v>
      </c>
      <c r="I1039" s="17">
        <f t="shared" ca="1" si="342"/>
        <v>7</v>
      </c>
      <c r="J1039" s="18" t="str">
        <f t="shared" ca="1" si="343"/>
        <v>—</v>
      </c>
      <c r="K1039" s="17">
        <f t="shared" ca="1" si="344"/>
        <v>7</v>
      </c>
      <c r="L1039" s="10">
        <f t="shared" ca="1" si="345"/>
        <v>79</v>
      </c>
      <c r="M1039" s="17">
        <f t="shared" ca="1" si="346"/>
        <v>0</v>
      </c>
      <c r="N1039" s="18">
        <f t="shared" ca="1" si="347"/>
        <v>22.6</v>
      </c>
      <c r="O1039" s="17">
        <f t="shared" ca="1" si="348"/>
        <v>0</v>
      </c>
      <c r="P1039" s="18">
        <f t="shared" ca="1" si="349"/>
        <v>25.2</v>
      </c>
      <c r="Q1039" s="17">
        <f t="shared" ca="1" si="350"/>
        <v>0</v>
      </c>
      <c r="R1039" s="10">
        <f t="shared" ca="1" si="351"/>
        <v>90</v>
      </c>
      <c r="S1039" s="17">
        <f t="shared" ca="1" si="352"/>
        <v>0</v>
      </c>
      <c r="T1039" s="70">
        <f t="shared" ca="1" si="353"/>
        <v>0.3</v>
      </c>
      <c r="U1039" s="17">
        <f t="shared" ca="1" si="354"/>
        <v>0</v>
      </c>
      <c r="V1039" s="71">
        <f t="shared" ca="1" si="355"/>
        <v>2</v>
      </c>
      <c r="W1039" s="17">
        <f t="shared" ca="1" si="356"/>
        <v>0</v>
      </c>
    </row>
    <row r="1040" spans="1:23" x14ac:dyDescent="0.25">
      <c r="A1040" s="4">
        <f t="shared" si="336"/>
        <v>32</v>
      </c>
      <c r="B1040" t="str">
        <f ca="1">TEXT(DATE(YEAR(Invoer!$A$6),1,1)+INT((ROWS(B$2:B1040)-1)/4),"jjjjmmdd")</f>
        <v>19400916</v>
      </c>
      <c r="C1040" s="64" t="str">
        <f>IF(MOD(ROWS(C$2:C1040)-1,4)=3,"24.00",INDEX(Data,3,2+MOD(ROWS(C$2:C1040)-1,4)))</f>
        <v>17.00</v>
      </c>
      <c r="D1040" s="18">
        <f t="shared" ca="1" si="337"/>
        <v>757.2</v>
      </c>
      <c r="E1040" s="17">
        <f t="shared" ca="1" si="338"/>
        <v>0</v>
      </c>
      <c r="F1040" s="18">
        <f t="shared" ca="1" si="339"/>
        <v>27.7</v>
      </c>
      <c r="G1040" s="17">
        <f t="shared" ca="1" si="340"/>
        <v>0</v>
      </c>
      <c r="H1040" s="18" t="str">
        <f t="shared" ca="1" si="341"/>
        <v>—</v>
      </c>
      <c r="I1040" s="17">
        <f t="shared" ca="1" si="342"/>
        <v>7</v>
      </c>
      <c r="J1040" s="18" t="str">
        <f t="shared" ca="1" si="343"/>
        <v>—</v>
      </c>
      <c r="K1040" s="17">
        <f t="shared" ca="1" si="344"/>
        <v>7</v>
      </c>
      <c r="L1040" s="10">
        <f t="shared" ca="1" si="345"/>
        <v>79</v>
      </c>
      <c r="M1040" s="17">
        <f t="shared" ca="1" si="346"/>
        <v>0</v>
      </c>
      <c r="N1040" s="18">
        <f t="shared" ca="1" si="347"/>
        <v>22</v>
      </c>
      <c r="O1040" s="17">
        <f t="shared" ca="1" si="348"/>
        <v>0</v>
      </c>
      <c r="P1040" s="18">
        <f t="shared" ca="1" si="349"/>
        <v>24.8</v>
      </c>
      <c r="Q1040" s="17">
        <f t="shared" ca="1" si="350"/>
        <v>0</v>
      </c>
      <c r="R1040" s="10">
        <f t="shared" ca="1" si="351"/>
        <v>90</v>
      </c>
      <c r="S1040" s="17">
        <f t="shared" ca="1" si="352"/>
        <v>0</v>
      </c>
      <c r="T1040" s="70">
        <f t="shared" ca="1" si="353"/>
        <v>0.3</v>
      </c>
      <c r="U1040" s="17">
        <f t="shared" ca="1" si="354"/>
        <v>0</v>
      </c>
      <c r="V1040" s="71">
        <f t="shared" ca="1" si="355"/>
        <v>3</v>
      </c>
      <c r="W1040" s="17">
        <f t="shared" ca="1" si="356"/>
        <v>0</v>
      </c>
    </row>
    <row r="1041" spans="1:23" x14ac:dyDescent="0.25">
      <c r="A1041" s="4">
        <f t="shared" si="336"/>
        <v>32</v>
      </c>
      <c r="B1041" t="str">
        <f ca="1">TEXT(DATE(YEAR(Invoer!$A$6),1,1)+INT((ROWS(B$2:B1041)-1)/4),"jjjjmmdd")</f>
        <v>19400916</v>
      </c>
      <c r="C1041" s="64" t="str">
        <f>IF(MOD(ROWS(C$2:C1041)-1,4)=3,"24.00",INDEX(Data,3,2+MOD(ROWS(C$2:C1041)-1,4)))</f>
        <v>24.00</v>
      </c>
      <c r="D1041" s="18" t="str">
        <f t="shared" ca="1" si="337"/>
        <v>—</v>
      </c>
      <c r="E1041" s="17">
        <f t="shared" ca="1" si="338"/>
        <v>7</v>
      </c>
      <c r="F1041" s="18" t="str">
        <f t="shared" ca="1" si="339"/>
        <v>—</v>
      </c>
      <c r="G1041" s="17">
        <f t="shared" ca="1" si="340"/>
        <v>7</v>
      </c>
      <c r="H1041" s="18">
        <f t="shared" ca="1" si="341"/>
        <v>28</v>
      </c>
      <c r="I1041" s="17">
        <f t="shared" ca="1" si="342"/>
        <v>0</v>
      </c>
      <c r="J1041" s="18">
        <f t="shared" ca="1" si="343"/>
        <v>29.4</v>
      </c>
      <c r="K1041" s="17">
        <f t="shared" ca="1" si="344"/>
        <v>0</v>
      </c>
      <c r="L1041" s="10" t="str">
        <f t="shared" ca="1" si="345"/>
        <v>—</v>
      </c>
      <c r="M1041" s="17">
        <f t="shared" ca="1" si="346"/>
        <v>7</v>
      </c>
      <c r="N1041" s="18" t="str">
        <f t="shared" ca="1" si="347"/>
        <v>—</v>
      </c>
      <c r="O1041" s="17">
        <f t="shared" ca="1" si="348"/>
        <v>7</v>
      </c>
      <c r="P1041" s="18" t="str">
        <f t="shared" ca="1" si="349"/>
        <v>—</v>
      </c>
      <c r="Q1041" s="17">
        <f t="shared" ca="1" si="350"/>
        <v>7</v>
      </c>
      <c r="R1041" s="10" t="str">
        <f t="shared" ca="1" si="351"/>
        <v>—</v>
      </c>
      <c r="S1041" s="17">
        <f t="shared" ca="1" si="352"/>
        <v>7</v>
      </c>
      <c r="T1041" s="70" t="str">
        <f t="shared" ca="1" si="353"/>
        <v>—</v>
      </c>
      <c r="U1041" s="17">
        <f t="shared" ca="1" si="354"/>
        <v>7</v>
      </c>
      <c r="V1041" s="71" t="str">
        <f t="shared" ca="1" si="355"/>
        <v>—</v>
      </c>
      <c r="W1041" s="17">
        <f t="shared" ca="1" si="356"/>
        <v>7</v>
      </c>
    </row>
    <row r="1042" spans="1:23" x14ac:dyDescent="0.25">
      <c r="A1042" s="4">
        <f t="shared" si="336"/>
        <v>32</v>
      </c>
      <c r="B1042" t="str">
        <f ca="1">TEXT(DATE(YEAR(Invoer!$A$6),1,1)+INT((ROWS(B$2:B1042)-1)/4),"jjjjmmdd")</f>
        <v>19400917</v>
      </c>
      <c r="C1042" s="64" t="str">
        <f>IF(MOD(ROWS(C$2:C1042)-1,4)=3,"24.00",INDEX(Data,3,2+MOD(ROWS(C$2:C1042)-1,4)))</f>
        <v>07.00</v>
      </c>
      <c r="D1042" s="18">
        <f t="shared" ca="1" si="337"/>
        <v>757.4</v>
      </c>
      <c r="E1042" s="17">
        <f t="shared" ca="1" si="338"/>
        <v>0</v>
      </c>
      <c r="F1042" s="18">
        <f t="shared" ca="1" si="339"/>
        <v>27.7</v>
      </c>
      <c r="G1042" s="17">
        <f t="shared" ca="1" si="340"/>
        <v>0</v>
      </c>
      <c r="H1042" s="18" t="str">
        <f t="shared" ca="1" si="341"/>
        <v>—</v>
      </c>
      <c r="I1042" s="17">
        <f t="shared" ca="1" si="342"/>
        <v>7</v>
      </c>
      <c r="J1042" s="18" t="str">
        <f t="shared" ca="1" si="343"/>
        <v>—</v>
      </c>
      <c r="K1042" s="17">
        <f t="shared" ca="1" si="344"/>
        <v>7</v>
      </c>
      <c r="L1042" s="10">
        <f t="shared" ca="1" si="345"/>
        <v>80</v>
      </c>
      <c r="M1042" s="17">
        <f t="shared" ca="1" si="346"/>
        <v>0</v>
      </c>
      <c r="N1042" s="18">
        <f t="shared" ca="1" si="347"/>
        <v>22.4</v>
      </c>
      <c r="O1042" s="17">
        <f t="shared" ca="1" si="348"/>
        <v>0</v>
      </c>
      <c r="P1042" s="18">
        <f t="shared" ca="1" si="349"/>
        <v>25</v>
      </c>
      <c r="Q1042" s="17">
        <f t="shared" ca="1" si="350"/>
        <v>0</v>
      </c>
      <c r="R1042" s="10">
        <f t="shared" ca="1" si="351"/>
        <v>90</v>
      </c>
      <c r="S1042" s="17">
        <f t="shared" ca="1" si="352"/>
        <v>0</v>
      </c>
      <c r="T1042" s="70">
        <f t="shared" ca="1" si="353"/>
        <v>0.3</v>
      </c>
      <c r="U1042" s="17">
        <f t="shared" ca="1" si="354"/>
        <v>0</v>
      </c>
      <c r="V1042" s="71">
        <f t="shared" ca="1" si="355"/>
        <v>4</v>
      </c>
      <c r="W1042" s="17">
        <f t="shared" ca="1" si="356"/>
        <v>0</v>
      </c>
    </row>
    <row r="1043" spans="1:23" x14ac:dyDescent="0.25">
      <c r="A1043" s="4">
        <f t="shared" si="336"/>
        <v>32</v>
      </c>
      <c r="B1043" t="str">
        <f ca="1">TEXT(DATE(YEAR(Invoer!$A$6),1,1)+INT((ROWS(B$2:B1043)-1)/4),"jjjjmmdd")</f>
        <v>19400917</v>
      </c>
      <c r="C1043" s="64" t="str">
        <f>IF(MOD(ROWS(C$2:C1043)-1,4)=3,"24.00",INDEX(Data,3,2+MOD(ROWS(C$2:C1043)-1,4)))</f>
        <v>12.00</v>
      </c>
      <c r="D1043" s="18">
        <f t="shared" ca="1" si="337"/>
        <v>757.4</v>
      </c>
      <c r="E1043" s="17">
        <f t="shared" ca="1" si="338"/>
        <v>0</v>
      </c>
      <c r="F1043" s="18">
        <f t="shared" ca="1" si="339"/>
        <v>27.9</v>
      </c>
      <c r="G1043" s="17">
        <f t="shared" ca="1" si="340"/>
        <v>0</v>
      </c>
      <c r="H1043" s="18" t="str">
        <f t="shared" ca="1" si="341"/>
        <v>—</v>
      </c>
      <c r="I1043" s="17">
        <f t="shared" ca="1" si="342"/>
        <v>7</v>
      </c>
      <c r="J1043" s="18" t="str">
        <f t="shared" ca="1" si="343"/>
        <v>—</v>
      </c>
      <c r="K1043" s="17">
        <f t="shared" ca="1" si="344"/>
        <v>7</v>
      </c>
      <c r="L1043" s="10">
        <f t="shared" ca="1" si="345"/>
        <v>82</v>
      </c>
      <c r="M1043" s="17">
        <f t="shared" ca="1" si="346"/>
        <v>0</v>
      </c>
      <c r="N1043" s="18">
        <f t="shared" ca="1" si="347"/>
        <v>23.1</v>
      </c>
      <c r="O1043" s="17">
        <f t="shared" ca="1" si="348"/>
        <v>0</v>
      </c>
      <c r="P1043" s="18">
        <f t="shared" ca="1" si="349"/>
        <v>25.4</v>
      </c>
      <c r="Q1043" s="17">
        <f t="shared" ca="1" si="350"/>
        <v>0</v>
      </c>
      <c r="R1043" s="10">
        <f t="shared" ca="1" si="351"/>
        <v>90</v>
      </c>
      <c r="S1043" s="17">
        <f t="shared" ca="1" si="352"/>
        <v>0</v>
      </c>
      <c r="T1043" s="70">
        <f t="shared" ca="1" si="353"/>
        <v>0.3</v>
      </c>
      <c r="U1043" s="17">
        <f t="shared" ca="1" si="354"/>
        <v>0</v>
      </c>
      <c r="V1043" s="71">
        <f t="shared" ca="1" si="355"/>
        <v>3</v>
      </c>
      <c r="W1043" s="17">
        <f t="shared" ca="1" si="356"/>
        <v>0</v>
      </c>
    </row>
    <row r="1044" spans="1:23" x14ac:dyDescent="0.25">
      <c r="A1044" s="4">
        <f t="shared" si="336"/>
        <v>32</v>
      </c>
      <c r="B1044" t="str">
        <f ca="1">TEXT(DATE(YEAR(Invoer!$A$6),1,1)+INT((ROWS(B$2:B1044)-1)/4),"jjjjmmdd")</f>
        <v>19400917</v>
      </c>
      <c r="C1044" s="64" t="str">
        <f>IF(MOD(ROWS(C$2:C1044)-1,4)=3,"24.00",INDEX(Data,3,2+MOD(ROWS(C$2:C1044)-1,4)))</f>
        <v>17.00</v>
      </c>
      <c r="D1044" s="18">
        <f t="shared" ca="1" si="337"/>
        <v>756.4</v>
      </c>
      <c r="E1044" s="17">
        <f t="shared" ca="1" si="338"/>
        <v>0</v>
      </c>
      <c r="F1044" s="18">
        <f t="shared" ca="1" si="339"/>
        <v>27.5</v>
      </c>
      <c r="G1044" s="17">
        <f t="shared" ca="1" si="340"/>
        <v>0</v>
      </c>
      <c r="H1044" s="18" t="str">
        <f t="shared" ca="1" si="341"/>
        <v>—</v>
      </c>
      <c r="I1044" s="17">
        <f t="shared" ca="1" si="342"/>
        <v>7</v>
      </c>
      <c r="J1044" s="18" t="str">
        <f t="shared" ca="1" si="343"/>
        <v>—</v>
      </c>
      <c r="K1044" s="17">
        <f t="shared" ca="1" si="344"/>
        <v>7</v>
      </c>
      <c r="L1044" s="10">
        <f t="shared" ca="1" si="345"/>
        <v>82</v>
      </c>
      <c r="M1044" s="17">
        <f t="shared" ca="1" si="346"/>
        <v>0</v>
      </c>
      <c r="N1044" s="18">
        <f t="shared" ca="1" si="347"/>
        <v>22.5</v>
      </c>
      <c r="O1044" s="17">
        <f t="shared" ca="1" si="348"/>
        <v>0</v>
      </c>
      <c r="P1044" s="18">
        <f t="shared" ca="1" si="349"/>
        <v>25</v>
      </c>
      <c r="Q1044" s="17">
        <f t="shared" ca="1" si="350"/>
        <v>0</v>
      </c>
      <c r="R1044" s="10">
        <f t="shared" ca="1" si="351"/>
        <v>90</v>
      </c>
      <c r="S1044" s="17">
        <f t="shared" ca="1" si="352"/>
        <v>0</v>
      </c>
      <c r="T1044" s="70">
        <f t="shared" ca="1" si="353"/>
        <v>0.3</v>
      </c>
      <c r="U1044" s="17">
        <f t="shared" ca="1" si="354"/>
        <v>0</v>
      </c>
      <c r="V1044" s="71">
        <f t="shared" ca="1" si="355"/>
        <v>3</v>
      </c>
      <c r="W1044" s="17">
        <f t="shared" ca="1" si="356"/>
        <v>0</v>
      </c>
    </row>
    <row r="1045" spans="1:23" x14ac:dyDescent="0.25">
      <c r="A1045" s="4">
        <f t="shared" si="336"/>
        <v>32</v>
      </c>
      <c r="B1045" t="str">
        <f ca="1">TEXT(DATE(YEAR(Invoer!$A$6),1,1)+INT((ROWS(B$2:B1045)-1)/4),"jjjjmmdd")</f>
        <v>19400917</v>
      </c>
      <c r="C1045" s="64" t="str">
        <f>IF(MOD(ROWS(C$2:C1045)-1,4)=3,"24.00",INDEX(Data,3,2+MOD(ROWS(C$2:C1045)-1,4)))</f>
        <v>24.00</v>
      </c>
      <c r="D1045" s="18" t="str">
        <f t="shared" ca="1" si="337"/>
        <v>—</v>
      </c>
      <c r="E1045" s="17">
        <f t="shared" ca="1" si="338"/>
        <v>7</v>
      </c>
      <c r="F1045" s="18" t="str">
        <f t="shared" ca="1" si="339"/>
        <v>—</v>
      </c>
      <c r="G1045" s="17">
        <f t="shared" ca="1" si="340"/>
        <v>7</v>
      </c>
      <c r="H1045" s="18">
        <f t="shared" ca="1" si="341"/>
        <v>28</v>
      </c>
      <c r="I1045" s="17">
        <f t="shared" ca="1" si="342"/>
        <v>0</v>
      </c>
      <c r="J1045" s="18">
        <f t="shared" ca="1" si="343"/>
        <v>29.4</v>
      </c>
      <c r="K1045" s="17">
        <f t="shared" ca="1" si="344"/>
        <v>0</v>
      </c>
      <c r="L1045" s="10" t="str">
        <f t="shared" ca="1" si="345"/>
        <v>—</v>
      </c>
      <c r="M1045" s="17">
        <f t="shared" ca="1" si="346"/>
        <v>7</v>
      </c>
      <c r="N1045" s="18" t="str">
        <f t="shared" ca="1" si="347"/>
        <v>—</v>
      </c>
      <c r="O1045" s="17">
        <f t="shared" ca="1" si="348"/>
        <v>7</v>
      </c>
      <c r="P1045" s="18" t="str">
        <f t="shared" ca="1" si="349"/>
        <v>—</v>
      </c>
      <c r="Q1045" s="17">
        <f t="shared" ca="1" si="350"/>
        <v>7</v>
      </c>
      <c r="R1045" s="10" t="str">
        <f t="shared" ca="1" si="351"/>
        <v>—</v>
      </c>
      <c r="S1045" s="17">
        <f t="shared" ca="1" si="352"/>
        <v>7</v>
      </c>
      <c r="T1045" s="70" t="str">
        <f t="shared" ca="1" si="353"/>
        <v>—</v>
      </c>
      <c r="U1045" s="17">
        <f t="shared" ca="1" si="354"/>
        <v>7</v>
      </c>
      <c r="V1045" s="71" t="str">
        <f t="shared" ca="1" si="355"/>
        <v>—</v>
      </c>
      <c r="W1045" s="17">
        <f t="shared" ca="1" si="356"/>
        <v>7</v>
      </c>
    </row>
    <row r="1046" spans="1:23" x14ac:dyDescent="0.25">
      <c r="A1046" s="4">
        <f t="shared" si="336"/>
        <v>32</v>
      </c>
      <c r="B1046" t="str">
        <f ca="1">TEXT(DATE(YEAR(Invoer!$A$6),1,1)+INT((ROWS(B$2:B1046)-1)/4),"jjjjmmdd")</f>
        <v>19400918</v>
      </c>
      <c r="C1046" s="64" t="str">
        <f>IF(MOD(ROWS(C$2:C1046)-1,4)=3,"24.00",INDEX(Data,3,2+MOD(ROWS(C$2:C1046)-1,4)))</f>
        <v>07.00</v>
      </c>
      <c r="D1046" s="18">
        <f t="shared" ca="1" si="337"/>
        <v>757.4</v>
      </c>
      <c r="E1046" s="17">
        <f t="shared" ca="1" si="338"/>
        <v>0</v>
      </c>
      <c r="F1046" s="18">
        <f t="shared" ca="1" si="339"/>
        <v>26.1</v>
      </c>
      <c r="G1046" s="17">
        <f t="shared" ca="1" si="340"/>
        <v>0</v>
      </c>
      <c r="H1046" s="18" t="str">
        <f t="shared" ca="1" si="341"/>
        <v>—</v>
      </c>
      <c r="I1046" s="17">
        <f t="shared" ca="1" si="342"/>
        <v>7</v>
      </c>
      <c r="J1046" s="18" t="str">
        <f t="shared" ca="1" si="343"/>
        <v>—</v>
      </c>
      <c r="K1046" s="17">
        <f t="shared" ca="1" si="344"/>
        <v>7</v>
      </c>
      <c r="L1046" s="10">
        <f t="shared" ca="1" si="345"/>
        <v>88</v>
      </c>
      <c r="M1046" s="17">
        <f t="shared" ca="1" si="346"/>
        <v>0</v>
      </c>
      <c r="N1046" s="18">
        <f t="shared" ca="1" si="347"/>
        <v>22.5</v>
      </c>
      <c r="O1046" s="17">
        <f t="shared" ca="1" si="348"/>
        <v>0</v>
      </c>
      <c r="P1046" s="18">
        <f t="shared" ca="1" si="349"/>
        <v>24.6</v>
      </c>
      <c r="Q1046" s="17">
        <f t="shared" ca="1" si="350"/>
        <v>0</v>
      </c>
      <c r="R1046" s="10">
        <f t="shared" ca="1" si="351"/>
        <v>90</v>
      </c>
      <c r="S1046" s="17">
        <f t="shared" ca="1" si="352"/>
        <v>0</v>
      </c>
      <c r="T1046" s="70">
        <f t="shared" ca="1" si="353"/>
        <v>0.3</v>
      </c>
      <c r="U1046" s="17">
        <f t="shared" ca="1" si="354"/>
        <v>0</v>
      </c>
      <c r="V1046" s="71">
        <f t="shared" ca="1" si="355"/>
        <v>5</v>
      </c>
      <c r="W1046" s="17">
        <f t="shared" ca="1" si="356"/>
        <v>0</v>
      </c>
    </row>
    <row r="1047" spans="1:23" x14ac:dyDescent="0.25">
      <c r="A1047" s="4">
        <f t="shared" si="336"/>
        <v>32</v>
      </c>
      <c r="B1047" t="str">
        <f ca="1">TEXT(DATE(YEAR(Invoer!$A$6),1,1)+INT((ROWS(B$2:B1047)-1)/4),"jjjjmmdd")</f>
        <v>19400918</v>
      </c>
      <c r="C1047" s="64" t="str">
        <f>IF(MOD(ROWS(C$2:C1047)-1,4)=3,"24.00",INDEX(Data,3,2+MOD(ROWS(C$2:C1047)-1,4)))</f>
        <v>12.00</v>
      </c>
      <c r="D1047" s="18">
        <f t="shared" ca="1" si="337"/>
        <v>757.2</v>
      </c>
      <c r="E1047" s="17">
        <f t="shared" ca="1" si="338"/>
        <v>0</v>
      </c>
      <c r="F1047" s="18">
        <f t="shared" ca="1" si="339"/>
        <v>27.1</v>
      </c>
      <c r="G1047" s="17">
        <f t="shared" ca="1" si="340"/>
        <v>0</v>
      </c>
      <c r="H1047" s="18" t="str">
        <f t="shared" ca="1" si="341"/>
        <v>—</v>
      </c>
      <c r="I1047" s="17">
        <f t="shared" ca="1" si="342"/>
        <v>7</v>
      </c>
      <c r="J1047" s="18" t="str">
        <f t="shared" ca="1" si="343"/>
        <v>—</v>
      </c>
      <c r="K1047" s="17">
        <f t="shared" ca="1" si="344"/>
        <v>7</v>
      </c>
      <c r="L1047" s="10">
        <f t="shared" ca="1" si="345"/>
        <v>84</v>
      </c>
      <c r="M1047" s="17">
        <f t="shared" ca="1" si="346"/>
        <v>0</v>
      </c>
      <c r="N1047" s="18">
        <f t="shared" ca="1" si="347"/>
        <v>22.7</v>
      </c>
      <c r="O1047" s="17">
        <f t="shared" ca="1" si="348"/>
        <v>0</v>
      </c>
      <c r="P1047" s="18">
        <f t="shared" ca="1" si="349"/>
        <v>25</v>
      </c>
      <c r="Q1047" s="17">
        <f t="shared" ca="1" si="350"/>
        <v>0</v>
      </c>
      <c r="R1047" s="10">
        <f t="shared" ca="1" si="351"/>
        <v>90</v>
      </c>
      <c r="S1047" s="17">
        <f t="shared" ca="1" si="352"/>
        <v>0</v>
      </c>
      <c r="T1047" s="70">
        <f t="shared" ca="1" si="353"/>
        <v>0.4</v>
      </c>
      <c r="U1047" s="17">
        <f t="shared" ca="1" si="354"/>
        <v>0</v>
      </c>
      <c r="V1047" s="71">
        <f t="shared" ca="1" si="355"/>
        <v>4</v>
      </c>
      <c r="W1047" s="17">
        <f t="shared" ca="1" si="356"/>
        <v>0</v>
      </c>
    </row>
    <row r="1048" spans="1:23" x14ac:dyDescent="0.25">
      <c r="A1048" s="4">
        <f t="shared" si="336"/>
        <v>32</v>
      </c>
      <c r="B1048" t="str">
        <f ca="1">TEXT(DATE(YEAR(Invoer!$A$6),1,1)+INT((ROWS(B$2:B1048)-1)/4),"jjjjmmdd")</f>
        <v>19400918</v>
      </c>
      <c r="C1048" s="64" t="str">
        <f>IF(MOD(ROWS(C$2:C1048)-1,4)=3,"24.00",INDEX(Data,3,2+MOD(ROWS(C$2:C1048)-1,4)))</f>
        <v>17.00</v>
      </c>
      <c r="D1048" s="18">
        <f t="shared" ca="1" si="337"/>
        <v>756.4</v>
      </c>
      <c r="E1048" s="17">
        <f t="shared" ca="1" si="338"/>
        <v>0</v>
      </c>
      <c r="F1048" s="18">
        <f t="shared" ca="1" si="339"/>
        <v>26.9</v>
      </c>
      <c r="G1048" s="17">
        <f t="shared" ca="1" si="340"/>
        <v>0</v>
      </c>
      <c r="H1048" s="18" t="str">
        <f t="shared" ca="1" si="341"/>
        <v>—</v>
      </c>
      <c r="I1048" s="17">
        <f t="shared" ca="1" si="342"/>
        <v>7</v>
      </c>
      <c r="J1048" s="18" t="str">
        <f t="shared" ca="1" si="343"/>
        <v>—</v>
      </c>
      <c r="K1048" s="17">
        <f t="shared" ca="1" si="344"/>
        <v>7</v>
      </c>
      <c r="L1048" s="10">
        <f t="shared" ca="1" si="345"/>
        <v>86</v>
      </c>
      <c r="M1048" s="17">
        <f t="shared" ca="1" si="346"/>
        <v>0</v>
      </c>
      <c r="N1048" s="18">
        <f t="shared" ca="1" si="347"/>
        <v>22.8</v>
      </c>
      <c r="O1048" s="17">
        <f t="shared" ca="1" si="348"/>
        <v>0</v>
      </c>
      <c r="P1048" s="18">
        <f t="shared" ca="1" si="349"/>
        <v>25</v>
      </c>
      <c r="Q1048" s="17">
        <f t="shared" ca="1" si="350"/>
        <v>0</v>
      </c>
      <c r="R1048" s="10">
        <f t="shared" ca="1" si="351"/>
        <v>90</v>
      </c>
      <c r="S1048" s="17">
        <f t="shared" ca="1" si="352"/>
        <v>0</v>
      </c>
      <c r="T1048" s="70">
        <f t="shared" ca="1" si="353"/>
        <v>0.4</v>
      </c>
      <c r="U1048" s="17">
        <f t="shared" ca="1" si="354"/>
        <v>0</v>
      </c>
      <c r="V1048" s="71">
        <f t="shared" ca="1" si="355"/>
        <v>4</v>
      </c>
      <c r="W1048" s="17">
        <f t="shared" ca="1" si="356"/>
        <v>0</v>
      </c>
    </row>
    <row r="1049" spans="1:23" x14ac:dyDescent="0.25">
      <c r="A1049" s="4">
        <f t="shared" si="336"/>
        <v>32</v>
      </c>
      <c r="B1049" t="str">
        <f ca="1">TEXT(DATE(YEAR(Invoer!$A$6),1,1)+INT((ROWS(B$2:B1049)-1)/4),"jjjjmmdd")</f>
        <v>19400918</v>
      </c>
      <c r="C1049" s="64" t="str">
        <f>IF(MOD(ROWS(C$2:C1049)-1,4)=3,"24.00",INDEX(Data,3,2+MOD(ROWS(C$2:C1049)-1,4)))</f>
        <v>24.00</v>
      </c>
      <c r="D1049" s="18" t="str">
        <f t="shared" ca="1" si="337"/>
        <v>—</v>
      </c>
      <c r="E1049" s="17">
        <f t="shared" ca="1" si="338"/>
        <v>7</v>
      </c>
      <c r="F1049" s="18" t="str">
        <f t="shared" ca="1" si="339"/>
        <v>—</v>
      </c>
      <c r="G1049" s="17">
        <f t="shared" ca="1" si="340"/>
        <v>7</v>
      </c>
      <c r="H1049" s="18">
        <f t="shared" ca="1" si="341"/>
        <v>28</v>
      </c>
      <c r="I1049" s="17">
        <f t="shared" ca="1" si="342"/>
        <v>0</v>
      </c>
      <c r="J1049" s="18">
        <f t="shared" ca="1" si="343"/>
        <v>29.4</v>
      </c>
      <c r="K1049" s="17">
        <f t="shared" ca="1" si="344"/>
        <v>0</v>
      </c>
      <c r="L1049" s="10" t="str">
        <f t="shared" ca="1" si="345"/>
        <v>—</v>
      </c>
      <c r="M1049" s="17">
        <f t="shared" ca="1" si="346"/>
        <v>7</v>
      </c>
      <c r="N1049" s="18" t="str">
        <f t="shared" ca="1" si="347"/>
        <v>—</v>
      </c>
      <c r="O1049" s="17">
        <f t="shared" ca="1" si="348"/>
        <v>7</v>
      </c>
      <c r="P1049" s="18" t="str">
        <f t="shared" ca="1" si="349"/>
        <v>—</v>
      </c>
      <c r="Q1049" s="17">
        <f t="shared" ca="1" si="350"/>
        <v>7</v>
      </c>
      <c r="R1049" s="10" t="str">
        <f t="shared" ca="1" si="351"/>
        <v>—</v>
      </c>
      <c r="S1049" s="17">
        <f t="shared" ca="1" si="352"/>
        <v>7</v>
      </c>
      <c r="T1049" s="70" t="str">
        <f t="shared" ca="1" si="353"/>
        <v>—</v>
      </c>
      <c r="U1049" s="17">
        <f t="shared" ca="1" si="354"/>
        <v>7</v>
      </c>
      <c r="V1049" s="71" t="str">
        <f t="shared" ca="1" si="355"/>
        <v>—</v>
      </c>
      <c r="W1049" s="17">
        <f t="shared" ca="1" si="356"/>
        <v>7</v>
      </c>
    </row>
    <row r="1050" spans="1:23" x14ac:dyDescent="0.25">
      <c r="A1050" s="4">
        <f t="shared" si="336"/>
        <v>32</v>
      </c>
      <c r="B1050" t="str">
        <f ca="1">TEXT(DATE(YEAR(Invoer!$A$6),1,1)+INT((ROWS(B$2:B1050)-1)/4),"jjjjmmdd")</f>
        <v>19400919</v>
      </c>
      <c r="C1050" s="64" t="str">
        <f>IF(MOD(ROWS(C$2:C1050)-1,4)=3,"24.00",INDEX(Data,3,2+MOD(ROWS(C$2:C1050)-1,4)))</f>
        <v>07.00</v>
      </c>
      <c r="D1050" s="18">
        <f t="shared" ca="1" si="337"/>
        <v>757.9</v>
      </c>
      <c r="E1050" s="17">
        <f t="shared" ca="1" si="338"/>
        <v>0</v>
      </c>
      <c r="F1050" s="18">
        <f t="shared" ca="1" si="339"/>
        <v>26.9</v>
      </c>
      <c r="G1050" s="17">
        <f t="shared" ca="1" si="340"/>
        <v>0</v>
      </c>
      <c r="H1050" s="18" t="str">
        <f t="shared" ca="1" si="341"/>
        <v>—</v>
      </c>
      <c r="I1050" s="17">
        <f t="shared" ca="1" si="342"/>
        <v>7</v>
      </c>
      <c r="J1050" s="18" t="str">
        <f t="shared" ca="1" si="343"/>
        <v>—</v>
      </c>
      <c r="K1050" s="17">
        <f t="shared" ca="1" si="344"/>
        <v>7</v>
      </c>
      <c r="L1050" s="10">
        <f t="shared" ca="1" si="345"/>
        <v>86</v>
      </c>
      <c r="M1050" s="17">
        <f t="shared" ca="1" si="346"/>
        <v>0</v>
      </c>
      <c r="N1050" s="18">
        <f t="shared" ca="1" si="347"/>
        <v>22.8</v>
      </c>
      <c r="O1050" s="17">
        <f t="shared" ca="1" si="348"/>
        <v>0</v>
      </c>
      <c r="P1050" s="18">
        <f t="shared" ca="1" si="349"/>
        <v>25</v>
      </c>
      <c r="Q1050" s="17">
        <f t="shared" ca="1" si="350"/>
        <v>0</v>
      </c>
      <c r="R1050" s="10">
        <f t="shared" ca="1" si="351"/>
        <v>90</v>
      </c>
      <c r="S1050" s="17">
        <f t="shared" ca="1" si="352"/>
        <v>0</v>
      </c>
      <c r="T1050" s="70">
        <f t="shared" ca="1" si="353"/>
        <v>0.4</v>
      </c>
      <c r="U1050" s="17">
        <f t="shared" ca="1" si="354"/>
        <v>0</v>
      </c>
      <c r="V1050" s="71">
        <f t="shared" ca="1" si="355"/>
        <v>4</v>
      </c>
      <c r="W1050" s="17">
        <f t="shared" ca="1" si="356"/>
        <v>0</v>
      </c>
    </row>
    <row r="1051" spans="1:23" x14ac:dyDescent="0.25">
      <c r="A1051" s="4">
        <f t="shared" si="336"/>
        <v>32</v>
      </c>
      <c r="B1051" t="str">
        <f ca="1">TEXT(DATE(YEAR(Invoer!$A$6),1,1)+INT((ROWS(B$2:B1051)-1)/4),"jjjjmmdd")</f>
        <v>19400919</v>
      </c>
      <c r="C1051" s="64" t="str">
        <f>IF(MOD(ROWS(C$2:C1051)-1,4)=3,"24.00",INDEX(Data,3,2+MOD(ROWS(C$2:C1051)-1,4)))</f>
        <v>12.00</v>
      </c>
      <c r="D1051" s="18">
        <f t="shared" ca="1" si="337"/>
        <v>757.9</v>
      </c>
      <c r="E1051" s="17">
        <f t="shared" ca="1" si="338"/>
        <v>0</v>
      </c>
      <c r="F1051" s="18">
        <f t="shared" ca="1" si="339"/>
        <v>27.7</v>
      </c>
      <c r="G1051" s="17">
        <f t="shared" ca="1" si="340"/>
        <v>0</v>
      </c>
      <c r="H1051" s="18" t="str">
        <f t="shared" ca="1" si="341"/>
        <v>—</v>
      </c>
      <c r="I1051" s="17">
        <f t="shared" ca="1" si="342"/>
        <v>7</v>
      </c>
      <c r="J1051" s="18" t="str">
        <f t="shared" ca="1" si="343"/>
        <v>—</v>
      </c>
      <c r="K1051" s="17">
        <f t="shared" ca="1" si="344"/>
        <v>7</v>
      </c>
      <c r="L1051" s="10">
        <f t="shared" ca="1" si="345"/>
        <v>83</v>
      </c>
      <c r="M1051" s="17">
        <f t="shared" ca="1" si="346"/>
        <v>0</v>
      </c>
      <c r="N1051" s="18">
        <f t="shared" ca="1" si="347"/>
        <v>23.2</v>
      </c>
      <c r="O1051" s="17">
        <f t="shared" ca="1" si="348"/>
        <v>0</v>
      </c>
      <c r="P1051" s="18">
        <f t="shared" ca="1" si="349"/>
        <v>25.4</v>
      </c>
      <c r="Q1051" s="17">
        <f t="shared" ca="1" si="350"/>
        <v>0</v>
      </c>
      <c r="R1051" s="10">
        <f t="shared" ca="1" si="351"/>
        <v>65</v>
      </c>
      <c r="S1051" s="17">
        <f t="shared" ca="1" si="352"/>
        <v>0</v>
      </c>
      <c r="T1051" s="70">
        <f t="shared" ca="1" si="353"/>
        <v>0.5</v>
      </c>
      <c r="U1051" s="17">
        <f t="shared" ca="1" si="354"/>
        <v>0</v>
      </c>
      <c r="V1051" s="71">
        <f t="shared" ca="1" si="355"/>
        <v>5</v>
      </c>
      <c r="W1051" s="17">
        <f t="shared" ca="1" si="356"/>
        <v>0</v>
      </c>
    </row>
    <row r="1052" spans="1:23" x14ac:dyDescent="0.25">
      <c r="A1052" s="4">
        <f t="shared" si="336"/>
        <v>32</v>
      </c>
      <c r="B1052" t="str">
        <f ca="1">TEXT(DATE(YEAR(Invoer!$A$6),1,1)+INT((ROWS(B$2:B1052)-1)/4),"jjjjmmdd")</f>
        <v>19400919</v>
      </c>
      <c r="C1052" s="64" t="str">
        <f>IF(MOD(ROWS(C$2:C1052)-1,4)=3,"24.00",INDEX(Data,3,2+MOD(ROWS(C$2:C1052)-1,4)))</f>
        <v>17.00</v>
      </c>
      <c r="D1052" s="18">
        <f t="shared" ca="1" si="337"/>
        <v>758.2</v>
      </c>
      <c r="E1052" s="17">
        <f t="shared" ca="1" si="338"/>
        <v>0</v>
      </c>
      <c r="F1052" s="18">
        <f t="shared" ca="1" si="339"/>
        <v>27.1</v>
      </c>
      <c r="G1052" s="17">
        <f t="shared" ca="1" si="340"/>
        <v>0</v>
      </c>
      <c r="H1052" s="18" t="str">
        <f t="shared" ca="1" si="341"/>
        <v>—</v>
      </c>
      <c r="I1052" s="17">
        <f t="shared" ca="1" si="342"/>
        <v>7</v>
      </c>
      <c r="J1052" s="18" t="str">
        <f t="shared" ca="1" si="343"/>
        <v>—</v>
      </c>
      <c r="K1052" s="17">
        <f t="shared" ca="1" si="344"/>
        <v>7</v>
      </c>
      <c r="L1052" s="10">
        <f t="shared" ca="1" si="345"/>
        <v>88</v>
      </c>
      <c r="M1052" s="17">
        <f t="shared" ca="1" si="346"/>
        <v>0</v>
      </c>
      <c r="N1052" s="18">
        <f t="shared" ca="1" si="347"/>
        <v>23.7</v>
      </c>
      <c r="O1052" s="17">
        <f t="shared" ca="1" si="348"/>
        <v>0</v>
      </c>
      <c r="P1052" s="18">
        <f t="shared" ca="1" si="349"/>
        <v>25.5</v>
      </c>
      <c r="Q1052" s="17">
        <f t="shared" ca="1" si="350"/>
        <v>0</v>
      </c>
      <c r="R1052" s="10">
        <f t="shared" ca="1" si="351"/>
        <v>90</v>
      </c>
      <c r="S1052" s="17">
        <f t="shared" ca="1" si="352"/>
        <v>0</v>
      </c>
      <c r="T1052" s="70">
        <f t="shared" ca="1" si="353"/>
        <v>0.4</v>
      </c>
      <c r="U1052" s="17">
        <f t="shared" ca="1" si="354"/>
        <v>0</v>
      </c>
      <c r="V1052" s="71">
        <f t="shared" ca="1" si="355"/>
        <v>4</v>
      </c>
      <c r="W1052" s="17">
        <f t="shared" ca="1" si="356"/>
        <v>0</v>
      </c>
    </row>
    <row r="1053" spans="1:23" x14ac:dyDescent="0.25">
      <c r="A1053" s="4">
        <f t="shared" si="336"/>
        <v>32</v>
      </c>
      <c r="B1053" t="str">
        <f ca="1">TEXT(DATE(YEAR(Invoer!$A$6),1,1)+INT((ROWS(B$2:B1053)-1)/4),"jjjjmmdd")</f>
        <v>19400919</v>
      </c>
      <c r="C1053" s="64" t="str">
        <f>IF(MOD(ROWS(C$2:C1053)-1,4)=3,"24.00",INDEX(Data,3,2+MOD(ROWS(C$2:C1053)-1,4)))</f>
        <v>24.00</v>
      </c>
      <c r="D1053" s="18" t="str">
        <f t="shared" ca="1" si="337"/>
        <v>—</v>
      </c>
      <c r="E1053" s="17">
        <f t="shared" ca="1" si="338"/>
        <v>7</v>
      </c>
      <c r="F1053" s="18" t="str">
        <f t="shared" ca="1" si="339"/>
        <v>—</v>
      </c>
      <c r="G1053" s="17">
        <f t="shared" ca="1" si="340"/>
        <v>7</v>
      </c>
      <c r="H1053" s="18">
        <f t="shared" ca="1" si="341"/>
        <v>29</v>
      </c>
      <c r="I1053" s="17">
        <f t="shared" ca="1" si="342"/>
        <v>0</v>
      </c>
      <c r="J1053" s="18">
        <f t="shared" ca="1" si="343"/>
        <v>30.5</v>
      </c>
      <c r="K1053" s="17">
        <f t="shared" ca="1" si="344"/>
        <v>0</v>
      </c>
      <c r="L1053" s="10" t="str">
        <f t="shared" ca="1" si="345"/>
        <v>—</v>
      </c>
      <c r="M1053" s="17">
        <f t="shared" ca="1" si="346"/>
        <v>7</v>
      </c>
      <c r="N1053" s="18" t="str">
        <f t="shared" ca="1" si="347"/>
        <v>—</v>
      </c>
      <c r="O1053" s="17">
        <f t="shared" ca="1" si="348"/>
        <v>7</v>
      </c>
      <c r="P1053" s="18" t="str">
        <f t="shared" ca="1" si="349"/>
        <v>—</v>
      </c>
      <c r="Q1053" s="17">
        <f t="shared" ca="1" si="350"/>
        <v>7</v>
      </c>
      <c r="R1053" s="10" t="str">
        <f t="shared" ca="1" si="351"/>
        <v>—</v>
      </c>
      <c r="S1053" s="17">
        <f t="shared" ca="1" si="352"/>
        <v>7</v>
      </c>
      <c r="T1053" s="70" t="str">
        <f t="shared" ca="1" si="353"/>
        <v>—</v>
      </c>
      <c r="U1053" s="17">
        <f t="shared" ca="1" si="354"/>
        <v>7</v>
      </c>
      <c r="V1053" s="71" t="str">
        <f t="shared" ca="1" si="355"/>
        <v>—</v>
      </c>
      <c r="W1053" s="17">
        <f t="shared" ca="1" si="356"/>
        <v>7</v>
      </c>
    </row>
    <row r="1054" spans="1:23" x14ac:dyDescent="0.25">
      <c r="A1054" s="4">
        <f t="shared" si="336"/>
        <v>32</v>
      </c>
      <c r="B1054" t="str">
        <f ca="1">TEXT(DATE(YEAR(Invoer!$A$6),1,1)+INT((ROWS(B$2:B1054)-1)/4),"jjjjmmdd")</f>
        <v>19400920</v>
      </c>
      <c r="C1054" s="64" t="str">
        <f>IF(MOD(ROWS(C$2:C1054)-1,4)=3,"24.00",INDEX(Data,3,2+MOD(ROWS(C$2:C1054)-1,4)))</f>
        <v>07.00</v>
      </c>
      <c r="D1054" s="18">
        <f t="shared" ca="1" si="337"/>
        <v>758.7</v>
      </c>
      <c r="E1054" s="17">
        <f t="shared" ca="1" si="338"/>
        <v>0</v>
      </c>
      <c r="F1054" s="18">
        <f t="shared" ca="1" si="339"/>
        <v>26.5</v>
      </c>
      <c r="G1054" s="17">
        <f t="shared" ca="1" si="340"/>
        <v>0</v>
      </c>
      <c r="H1054" s="18" t="str">
        <f t="shared" ca="1" si="341"/>
        <v>—</v>
      </c>
      <c r="I1054" s="17">
        <f t="shared" ca="1" si="342"/>
        <v>7</v>
      </c>
      <c r="J1054" s="18" t="str">
        <f t="shared" ca="1" si="343"/>
        <v>—</v>
      </c>
      <c r="K1054" s="17">
        <f t="shared" ca="1" si="344"/>
        <v>7</v>
      </c>
      <c r="L1054" s="10">
        <f t="shared" ca="1" si="345"/>
        <v>86</v>
      </c>
      <c r="M1054" s="17">
        <f t="shared" ca="1" si="346"/>
        <v>0</v>
      </c>
      <c r="N1054" s="18">
        <f t="shared" ca="1" si="347"/>
        <v>22.3</v>
      </c>
      <c r="O1054" s="17">
        <f t="shared" ca="1" si="348"/>
        <v>0</v>
      </c>
      <c r="P1054" s="18">
        <f t="shared" ca="1" si="349"/>
        <v>24.6</v>
      </c>
      <c r="Q1054" s="17">
        <f t="shared" ca="1" si="350"/>
        <v>0</v>
      </c>
      <c r="R1054" s="10">
        <f t="shared" ca="1" si="351"/>
        <v>90</v>
      </c>
      <c r="S1054" s="17">
        <f t="shared" ca="1" si="352"/>
        <v>0</v>
      </c>
      <c r="T1054" s="70">
        <f t="shared" ca="1" si="353"/>
        <v>0.4</v>
      </c>
      <c r="U1054" s="17">
        <f t="shared" ca="1" si="354"/>
        <v>0</v>
      </c>
      <c r="V1054" s="71">
        <f t="shared" ca="1" si="355"/>
        <v>3</v>
      </c>
      <c r="W1054" s="17">
        <f t="shared" ca="1" si="356"/>
        <v>0</v>
      </c>
    </row>
    <row r="1055" spans="1:23" x14ac:dyDescent="0.25">
      <c r="A1055" s="4">
        <f t="shared" si="336"/>
        <v>32</v>
      </c>
      <c r="B1055" t="str">
        <f ca="1">TEXT(DATE(YEAR(Invoer!$A$6),1,1)+INT((ROWS(B$2:B1055)-1)/4),"jjjjmmdd")</f>
        <v>19400920</v>
      </c>
      <c r="C1055" s="64" t="str">
        <f>IF(MOD(ROWS(C$2:C1055)-1,4)=3,"24.00",INDEX(Data,3,2+MOD(ROWS(C$2:C1055)-1,4)))</f>
        <v>12.00</v>
      </c>
      <c r="D1055" s="18">
        <f t="shared" ca="1" si="337"/>
        <v>757.9</v>
      </c>
      <c r="E1055" s="17">
        <f t="shared" ca="1" si="338"/>
        <v>0</v>
      </c>
      <c r="F1055" s="18">
        <f t="shared" ca="1" si="339"/>
        <v>27.1</v>
      </c>
      <c r="G1055" s="17">
        <f t="shared" ca="1" si="340"/>
        <v>0</v>
      </c>
      <c r="H1055" s="18" t="str">
        <f t="shared" ca="1" si="341"/>
        <v>—</v>
      </c>
      <c r="I1055" s="17">
        <f t="shared" ca="1" si="342"/>
        <v>7</v>
      </c>
      <c r="J1055" s="18" t="str">
        <f t="shared" ca="1" si="343"/>
        <v>—</v>
      </c>
      <c r="K1055" s="17">
        <f t="shared" ca="1" si="344"/>
        <v>7</v>
      </c>
      <c r="L1055" s="10">
        <f t="shared" ca="1" si="345"/>
        <v>83</v>
      </c>
      <c r="M1055" s="17">
        <f t="shared" ca="1" si="346"/>
        <v>0</v>
      </c>
      <c r="N1055" s="18">
        <f t="shared" ca="1" si="347"/>
        <v>22.3</v>
      </c>
      <c r="O1055" s="17">
        <f t="shared" ca="1" si="348"/>
        <v>0</v>
      </c>
      <c r="P1055" s="18">
        <f t="shared" ca="1" si="349"/>
        <v>24.8</v>
      </c>
      <c r="Q1055" s="17">
        <f t="shared" ca="1" si="350"/>
        <v>0</v>
      </c>
      <c r="R1055" s="10">
        <f t="shared" ca="1" si="351"/>
        <v>90</v>
      </c>
      <c r="S1055" s="17">
        <f t="shared" ca="1" si="352"/>
        <v>0</v>
      </c>
      <c r="T1055" s="70">
        <f t="shared" ca="1" si="353"/>
        <v>0.4</v>
      </c>
      <c r="U1055" s="17">
        <f t="shared" ca="1" si="354"/>
        <v>0</v>
      </c>
      <c r="V1055" s="71">
        <f t="shared" ca="1" si="355"/>
        <v>3</v>
      </c>
      <c r="W1055" s="17">
        <f t="shared" ca="1" si="356"/>
        <v>0</v>
      </c>
    </row>
    <row r="1056" spans="1:23" x14ac:dyDescent="0.25">
      <c r="A1056" s="4">
        <f t="shared" si="336"/>
        <v>32</v>
      </c>
      <c r="B1056" t="str">
        <f ca="1">TEXT(DATE(YEAR(Invoer!$A$6),1,1)+INT((ROWS(B$2:B1056)-1)/4),"jjjjmmdd")</f>
        <v>19400920</v>
      </c>
      <c r="C1056" s="64" t="str">
        <f>IF(MOD(ROWS(C$2:C1056)-1,4)=3,"24.00",INDEX(Data,3,2+MOD(ROWS(C$2:C1056)-1,4)))</f>
        <v>17.00</v>
      </c>
      <c r="D1056" s="18">
        <f t="shared" ca="1" si="337"/>
        <v>758.2</v>
      </c>
      <c r="E1056" s="17">
        <f t="shared" ca="1" si="338"/>
        <v>0</v>
      </c>
      <c r="F1056" s="18">
        <f t="shared" ca="1" si="339"/>
        <v>26.9</v>
      </c>
      <c r="G1056" s="17">
        <f t="shared" ca="1" si="340"/>
        <v>0</v>
      </c>
      <c r="H1056" s="18" t="str">
        <f t="shared" ca="1" si="341"/>
        <v>—</v>
      </c>
      <c r="I1056" s="17">
        <f t="shared" ca="1" si="342"/>
        <v>7</v>
      </c>
      <c r="J1056" s="18" t="str">
        <f t="shared" ca="1" si="343"/>
        <v>—</v>
      </c>
      <c r="K1056" s="17">
        <f t="shared" ca="1" si="344"/>
        <v>7</v>
      </c>
      <c r="L1056" s="10">
        <f t="shared" ca="1" si="345"/>
        <v>83</v>
      </c>
      <c r="M1056" s="17">
        <f t="shared" ca="1" si="346"/>
        <v>0</v>
      </c>
      <c r="N1056" s="18">
        <f t="shared" ca="1" si="347"/>
        <v>22.1</v>
      </c>
      <c r="O1056" s="17">
        <f t="shared" ca="1" si="348"/>
        <v>0</v>
      </c>
      <c r="P1056" s="18">
        <f t="shared" ca="1" si="349"/>
        <v>24.6</v>
      </c>
      <c r="Q1056" s="17">
        <f t="shared" ca="1" si="350"/>
        <v>0</v>
      </c>
      <c r="R1056" s="10">
        <f t="shared" ca="1" si="351"/>
        <v>90</v>
      </c>
      <c r="S1056" s="17">
        <f t="shared" ca="1" si="352"/>
        <v>0</v>
      </c>
      <c r="T1056" s="70">
        <f t="shared" ca="1" si="353"/>
        <v>0.4</v>
      </c>
      <c r="U1056" s="17">
        <f t="shared" ca="1" si="354"/>
        <v>0</v>
      </c>
      <c r="V1056" s="71">
        <f t="shared" ca="1" si="355"/>
        <v>3</v>
      </c>
      <c r="W1056" s="17">
        <f t="shared" ca="1" si="356"/>
        <v>0</v>
      </c>
    </row>
    <row r="1057" spans="1:23" x14ac:dyDescent="0.25">
      <c r="A1057" s="4">
        <f t="shared" si="336"/>
        <v>32</v>
      </c>
      <c r="B1057" t="str">
        <f ca="1">TEXT(DATE(YEAR(Invoer!$A$6),1,1)+INT((ROWS(B$2:B1057)-1)/4),"jjjjmmdd")</f>
        <v>19400920</v>
      </c>
      <c r="C1057" s="64" t="str">
        <f>IF(MOD(ROWS(C$2:C1057)-1,4)=3,"24.00",INDEX(Data,3,2+MOD(ROWS(C$2:C1057)-1,4)))</f>
        <v>24.00</v>
      </c>
      <c r="D1057" s="18" t="str">
        <f t="shared" ca="1" si="337"/>
        <v>—</v>
      </c>
      <c r="E1057" s="17">
        <f t="shared" ca="1" si="338"/>
        <v>7</v>
      </c>
      <c r="F1057" s="18" t="str">
        <f t="shared" ca="1" si="339"/>
        <v>—</v>
      </c>
      <c r="G1057" s="17">
        <f t="shared" ca="1" si="340"/>
        <v>7</v>
      </c>
      <c r="H1057" s="18">
        <f t="shared" ca="1" si="341"/>
        <v>28.2</v>
      </c>
      <c r="I1057" s="17">
        <f t="shared" ca="1" si="342"/>
        <v>0</v>
      </c>
      <c r="J1057" s="18">
        <f t="shared" ca="1" si="343"/>
        <v>29.6</v>
      </c>
      <c r="K1057" s="17">
        <f t="shared" ca="1" si="344"/>
        <v>0</v>
      </c>
      <c r="L1057" s="10" t="str">
        <f t="shared" ca="1" si="345"/>
        <v>—</v>
      </c>
      <c r="M1057" s="17">
        <f t="shared" ca="1" si="346"/>
        <v>7</v>
      </c>
      <c r="N1057" s="18" t="str">
        <f t="shared" ca="1" si="347"/>
        <v>—</v>
      </c>
      <c r="O1057" s="17">
        <f t="shared" ca="1" si="348"/>
        <v>7</v>
      </c>
      <c r="P1057" s="18" t="str">
        <f t="shared" ca="1" si="349"/>
        <v>—</v>
      </c>
      <c r="Q1057" s="17">
        <f t="shared" ca="1" si="350"/>
        <v>7</v>
      </c>
      <c r="R1057" s="10" t="str">
        <f t="shared" ca="1" si="351"/>
        <v>—</v>
      </c>
      <c r="S1057" s="17">
        <f t="shared" ca="1" si="352"/>
        <v>7</v>
      </c>
      <c r="T1057" s="70" t="str">
        <f t="shared" ca="1" si="353"/>
        <v>—</v>
      </c>
      <c r="U1057" s="17">
        <f t="shared" ca="1" si="354"/>
        <v>7</v>
      </c>
      <c r="V1057" s="71" t="str">
        <f t="shared" ca="1" si="355"/>
        <v>—</v>
      </c>
      <c r="W1057" s="17">
        <f t="shared" ca="1" si="356"/>
        <v>7</v>
      </c>
    </row>
    <row r="1058" spans="1:23" x14ac:dyDescent="0.25">
      <c r="A1058" s="4">
        <f t="shared" si="336"/>
        <v>32</v>
      </c>
      <c r="B1058" t="str">
        <f ca="1">TEXT(DATE(YEAR(Invoer!$A$6),1,1)+INT((ROWS(B$2:B1058)-1)/4),"jjjjmmdd")</f>
        <v>19400921</v>
      </c>
      <c r="C1058" s="64" t="str">
        <f>IF(MOD(ROWS(C$2:C1058)-1,4)=3,"24.00",INDEX(Data,3,2+MOD(ROWS(C$2:C1058)-1,4)))</f>
        <v>07.00</v>
      </c>
      <c r="D1058" s="18">
        <f t="shared" ca="1" si="337"/>
        <v>759.5</v>
      </c>
      <c r="E1058" s="17">
        <f t="shared" ca="1" si="338"/>
        <v>0</v>
      </c>
      <c r="F1058" s="18">
        <f t="shared" ca="1" si="339"/>
        <v>27.1</v>
      </c>
      <c r="G1058" s="17">
        <f t="shared" ca="1" si="340"/>
        <v>0</v>
      </c>
      <c r="H1058" s="18" t="str">
        <f t="shared" ca="1" si="341"/>
        <v>—</v>
      </c>
      <c r="I1058" s="17">
        <f t="shared" ca="1" si="342"/>
        <v>7</v>
      </c>
      <c r="J1058" s="18" t="str">
        <f t="shared" ca="1" si="343"/>
        <v>—</v>
      </c>
      <c r="K1058" s="17">
        <f t="shared" ca="1" si="344"/>
        <v>7</v>
      </c>
      <c r="L1058" s="10">
        <f t="shared" ca="1" si="345"/>
        <v>83</v>
      </c>
      <c r="M1058" s="17">
        <f t="shared" ca="1" si="346"/>
        <v>0</v>
      </c>
      <c r="N1058" s="18">
        <f t="shared" ca="1" si="347"/>
        <v>22.3</v>
      </c>
      <c r="O1058" s="17">
        <f t="shared" ca="1" si="348"/>
        <v>0</v>
      </c>
      <c r="P1058" s="18">
        <f t="shared" ca="1" si="349"/>
        <v>24.8</v>
      </c>
      <c r="Q1058" s="17">
        <f t="shared" ca="1" si="350"/>
        <v>0</v>
      </c>
      <c r="R1058" s="10">
        <f t="shared" ca="1" si="351"/>
        <v>90</v>
      </c>
      <c r="S1058" s="17">
        <f t="shared" ca="1" si="352"/>
        <v>0</v>
      </c>
      <c r="T1058" s="70">
        <f t="shared" ca="1" si="353"/>
        <v>0.3</v>
      </c>
      <c r="U1058" s="17">
        <f t="shared" ca="1" si="354"/>
        <v>0</v>
      </c>
      <c r="V1058" s="71">
        <f t="shared" ca="1" si="355"/>
        <v>4</v>
      </c>
      <c r="W1058" s="17">
        <f t="shared" ca="1" si="356"/>
        <v>0</v>
      </c>
    </row>
    <row r="1059" spans="1:23" x14ac:dyDescent="0.25">
      <c r="A1059" s="4">
        <f t="shared" si="336"/>
        <v>32</v>
      </c>
      <c r="B1059" t="str">
        <f ca="1">TEXT(DATE(YEAR(Invoer!$A$6),1,1)+INT((ROWS(B$2:B1059)-1)/4),"jjjjmmdd")</f>
        <v>19400921</v>
      </c>
      <c r="C1059" s="64" t="str">
        <f>IF(MOD(ROWS(C$2:C1059)-1,4)=3,"24.00",INDEX(Data,3,2+MOD(ROWS(C$2:C1059)-1,4)))</f>
        <v>12.00</v>
      </c>
      <c r="D1059" s="18">
        <f t="shared" ca="1" si="337"/>
        <v>759.5</v>
      </c>
      <c r="E1059" s="17">
        <f t="shared" ca="1" si="338"/>
        <v>0</v>
      </c>
      <c r="F1059" s="18">
        <f t="shared" ca="1" si="339"/>
        <v>28.1</v>
      </c>
      <c r="G1059" s="17">
        <f t="shared" ca="1" si="340"/>
        <v>0</v>
      </c>
      <c r="H1059" s="18" t="str">
        <f t="shared" ca="1" si="341"/>
        <v>—</v>
      </c>
      <c r="I1059" s="17">
        <f t="shared" ca="1" si="342"/>
        <v>7</v>
      </c>
      <c r="J1059" s="18" t="str">
        <f t="shared" ca="1" si="343"/>
        <v>—</v>
      </c>
      <c r="K1059" s="17">
        <f t="shared" ca="1" si="344"/>
        <v>7</v>
      </c>
      <c r="L1059" s="10">
        <f t="shared" ca="1" si="345"/>
        <v>79</v>
      </c>
      <c r="M1059" s="17">
        <f t="shared" ca="1" si="346"/>
        <v>0</v>
      </c>
      <c r="N1059" s="18">
        <f t="shared" ca="1" si="347"/>
        <v>22.6</v>
      </c>
      <c r="O1059" s="17">
        <f t="shared" ca="1" si="348"/>
        <v>0</v>
      </c>
      <c r="P1059" s="18">
        <f t="shared" ca="1" si="349"/>
        <v>25.2</v>
      </c>
      <c r="Q1059" s="17">
        <f t="shared" ca="1" si="350"/>
        <v>0</v>
      </c>
      <c r="R1059" s="10">
        <f t="shared" ca="1" si="351"/>
        <v>115</v>
      </c>
      <c r="S1059" s="17">
        <f t="shared" ca="1" si="352"/>
        <v>0</v>
      </c>
      <c r="T1059" s="70">
        <f t="shared" ca="1" si="353"/>
        <v>0.3</v>
      </c>
      <c r="U1059" s="17">
        <f t="shared" ca="1" si="354"/>
        <v>0</v>
      </c>
      <c r="V1059" s="71">
        <f t="shared" ca="1" si="355"/>
        <v>5</v>
      </c>
      <c r="W1059" s="17">
        <f t="shared" ca="1" si="356"/>
        <v>0</v>
      </c>
    </row>
    <row r="1060" spans="1:23" x14ac:dyDescent="0.25">
      <c r="A1060" s="4">
        <f t="shared" si="336"/>
        <v>32</v>
      </c>
      <c r="B1060" t="str">
        <f ca="1">TEXT(DATE(YEAR(Invoer!$A$6),1,1)+INT((ROWS(B$2:B1060)-1)/4),"jjjjmmdd")</f>
        <v>19400921</v>
      </c>
      <c r="C1060" s="64" t="str">
        <f>IF(MOD(ROWS(C$2:C1060)-1,4)=3,"24.00",INDEX(Data,3,2+MOD(ROWS(C$2:C1060)-1,4)))</f>
        <v>17.00</v>
      </c>
      <c r="D1060" s="18">
        <f t="shared" ca="1" si="337"/>
        <v>758.7</v>
      </c>
      <c r="E1060" s="17">
        <f t="shared" ca="1" si="338"/>
        <v>0</v>
      </c>
      <c r="F1060" s="18">
        <f t="shared" ca="1" si="339"/>
        <v>27.3</v>
      </c>
      <c r="G1060" s="17">
        <f t="shared" ca="1" si="340"/>
        <v>0</v>
      </c>
      <c r="H1060" s="18" t="str">
        <f t="shared" ca="1" si="341"/>
        <v>—</v>
      </c>
      <c r="I1060" s="17">
        <f t="shared" ca="1" si="342"/>
        <v>7</v>
      </c>
      <c r="J1060" s="18" t="str">
        <f t="shared" ca="1" si="343"/>
        <v>—</v>
      </c>
      <c r="K1060" s="17">
        <f t="shared" ca="1" si="344"/>
        <v>7</v>
      </c>
      <c r="L1060" s="10">
        <f t="shared" ca="1" si="345"/>
        <v>82</v>
      </c>
      <c r="M1060" s="17">
        <f t="shared" ca="1" si="346"/>
        <v>0</v>
      </c>
      <c r="N1060" s="18">
        <f t="shared" ca="1" si="347"/>
        <v>22.2</v>
      </c>
      <c r="O1060" s="17">
        <f t="shared" ca="1" si="348"/>
        <v>0</v>
      </c>
      <c r="P1060" s="18">
        <f t="shared" ca="1" si="349"/>
        <v>24.8</v>
      </c>
      <c r="Q1060" s="17">
        <f t="shared" ca="1" si="350"/>
        <v>0</v>
      </c>
      <c r="R1060" s="10">
        <f t="shared" ca="1" si="351"/>
        <v>115</v>
      </c>
      <c r="S1060" s="17">
        <f t="shared" ca="1" si="352"/>
        <v>0</v>
      </c>
      <c r="T1060" s="70">
        <f t="shared" ca="1" si="353"/>
        <v>0.3</v>
      </c>
      <c r="U1060" s="17">
        <f t="shared" ca="1" si="354"/>
        <v>0</v>
      </c>
      <c r="V1060" s="71">
        <f t="shared" ca="1" si="355"/>
        <v>5</v>
      </c>
      <c r="W1060" s="17">
        <f t="shared" ca="1" si="356"/>
        <v>0</v>
      </c>
    </row>
    <row r="1061" spans="1:23" x14ac:dyDescent="0.25">
      <c r="A1061" s="4">
        <f t="shared" si="336"/>
        <v>32</v>
      </c>
      <c r="B1061" t="str">
        <f ca="1">TEXT(DATE(YEAR(Invoer!$A$6),1,1)+INT((ROWS(B$2:B1061)-1)/4),"jjjjmmdd")</f>
        <v>19400921</v>
      </c>
      <c r="C1061" s="64" t="str">
        <f>IF(MOD(ROWS(C$2:C1061)-1,4)=3,"24.00",INDEX(Data,3,2+MOD(ROWS(C$2:C1061)-1,4)))</f>
        <v>24.00</v>
      </c>
      <c r="D1061" s="18" t="str">
        <f t="shared" ca="1" si="337"/>
        <v>—</v>
      </c>
      <c r="E1061" s="17">
        <f t="shared" ca="1" si="338"/>
        <v>7</v>
      </c>
      <c r="F1061" s="18" t="str">
        <f t="shared" ca="1" si="339"/>
        <v>—</v>
      </c>
      <c r="G1061" s="17">
        <f t="shared" ca="1" si="340"/>
        <v>7</v>
      </c>
      <c r="H1061" s="18">
        <f t="shared" ca="1" si="341"/>
        <v>29</v>
      </c>
      <c r="I1061" s="17">
        <f t="shared" ca="1" si="342"/>
        <v>0</v>
      </c>
      <c r="J1061" s="18">
        <f t="shared" ca="1" si="343"/>
        <v>30.4</v>
      </c>
      <c r="K1061" s="17">
        <f t="shared" ca="1" si="344"/>
        <v>0</v>
      </c>
      <c r="L1061" s="10" t="str">
        <f t="shared" ca="1" si="345"/>
        <v>—</v>
      </c>
      <c r="M1061" s="17">
        <f t="shared" ca="1" si="346"/>
        <v>7</v>
      </c>
      <c r="N1061" s="18" t="str">
        <f t="shared" ca="1" si="347"/>
        <v>—</v>
      </c>
      <c r="O1061" s="17">
        <f t="shared" ca="1" si="348"/>
        <v>7</v>
      </c>
      <c r="P1061" s="18" t="str">
        <f t="shared" ca="1" si="349"/>
        <v>—</v>
      </c>
      <c r="Q1061" s="17">
        <f t="shared" ca="1" si="350"/>
        <v>7</v>
      </c>
      <c r="R1061" s="10" t="str">
        <f t="shared" ca="1" si="351"/>
        <v>—</v>
      </c>
      <c r="S1061" s="17">
        <f t="shared" ca="1" si="352"/>
        <v>7</v>
      </c>
      <c r="T1061" s="70" t="str">
        <f t="shared" ca="1" si="353"/>
        <v>—</v>
      </c>
      <c r="U1061" s="17">
        <f t="shared" ca="1" si="354"/>
        <v>7</v>
      </c>
      <c r="V1061" s="71" t="str">
        <f t="shared" ca="1" si="355"/>
        <v>—</v>
      </c>
      <c r="W1061" s="17">
        <f t="shared" ca="1" si="356"/>
        <v>7</v>
      </c>
    </row>
    <row r="1062" spans="1:23" x14ac:dyDescent="0.25">
      <c r="A1062" s="4">
        <f t="shared" si="336"/>
        <v>32</v>
      </c>
      <c r="B1062" t="str">
        <f ca="1">TEXT(DATE(YEAR(Invoer!$A$6),1,1)+INT((ROWS(B$2:B1062)-1)/4),"jjjjmmdd")</f>
        <v>19400922</v>
      </c>
      <c r="C1062" s="64" t="str">
        <f>IF(MOD(ROWS(C$2:C1062)-1,4)=3,"24.00",INDEX(Data,3,2+MOD(ROWS(C$2:C1062)-1,4)))</f>
        <v>07.00</v>
      </c>
      <c r="D1062" s="18">
        <f t="shared" ca="1" si="337"/>
        <v>759.5</v>
      </c>
      <c r="E1062" s="17">
        <f t="shared" ca="1" si="338"/>
        <v>0</v>
      </c>
      <c r="F1062" s="18">
        <f t="shared" ca="1" si="339"/>
        <v>27.5</v>
      </c>
      <c r="G1062" s="17">
        <f t="shared" ca="1" si="340"/>
        <v>0</v>
      </c>
      <c r="H1062" s="18" t="str">
        <f t="shared" ca="1" si="341"/>
        <v>—</v>
      </c>
      <c r="I1062" s="17">
        <f t="shared" ca="1" si="342"/>
        <v>7</v>
      </c>
      <c r="J1062" s="18" t="str">
        <f t="shared" ca="1" si="343"/>
        <v>—</v>
      </c>
      <c r="K1062" s="17">
        <f t="shared" ca="1" si="344"/>
        <v>7</v>
      </c>
      <c r="L1062" s="10">
        <f t="shared" ca="1" si="345"/>
        <v>83</v>
      </c>
      <c r="M1062" s="17">
        <f t="shared" ca="1" si="346"/>
        <v>0</v>
      </c>
      <c r="N1062" s="18">
        <f t="shared" ca="1" si="347"/>
        <v>22.9</v>
      </c>
      <c r="O1062" s="17">
        <f t="shared" ca="1" si="348"/>
        <v>0</v>
      </c>
      <c r="P1062" s="18">
        <f t="shared" ca="1" si="349"/>
        <v>25.2</v>
      </c>
      <c r="Q1062" s="17">
        <f t="shared" ca="1" si="350"/>
        <v>0</v>
      </c>
      <c r="R1062" s="10">
        <f t="shared" ca="1" si="351"/>
        <v>90</v>
      </c>
      <c r="S1062" s="17">
        <f t="shared" ca="1" si="352"/>
        <v>0</v>
      </c>
      <c r="T1062" s="70">
        <f t="shared" ca="1" si="353"/>
        <v>0.3</v>
      </c>
      <c r="U1062" s="17">
        <f t="shared" ca="1" si="354"/>
        <v>0</v>
      </c>
      <c r="V1062" s="71">
        <f t="shared" ca="1" si="355"/>
        <v>5</v>
      </c>
      <c r="W1062" s="17">
        <f t="shared" ca="1" si="356"/>
        <v>0</v>
      </c>
    </row>
    <row r="1063" spans="1:23" x14ac:dyDescent="0.25">
      <c r="A1063" s="4">
        <f t="shared" si="336"/>
        <v>32</v>
      </c>
      <c r="B1063" t="str">
        <f ca="1">TEXT(DATE(YEAR(Invoer!$A$6),1,1)+INT((ROWS(B$2:B1063)-1)/4),"jjjjmmdd")</f>
        <v>19400922</v>
      </c>
      <c r="C1063" s="64" t="str">
        <f>IF(MOD(ROWS(C$2:C1063)-1,4)=3,"24.00",INDEX(Data,3,2+MOD(ROWS(C$2:C1063)-1,4)))</f>
        <v>12.00</v>
      </c>
      <c r="D1063" s="18">
        <f t="shared" ca="1" si="337"/>
        <v>760</v>
      </c>
      <c r="E1063" s="17">
        <f t="shared" ca="1" si="338"/>
        <v>0</v>
      </c>
      <c r="F1063" s="18">
        <f t="shared" ca="1" si="339"/>
        <v>28.1</v>
      </c>
      <c r="G1063" s="17">
        <f t="shared" ca="1" si="340"/>
        <v>0</v>
      </c>
      <c r="H1063" s="18" t="str">
        <f t="shared" ca="1" si="341"/>
        <v>—</v>
      </c>
      <c r="I1063" s="17">
        <f t="shared" ca="1" si="342"/>
        <v>7</v>
      </c>
      <c r="J1063" s="18" t="str">
        <f t="shared" ca="1" si="343"/>
        <v>—</v>
      </c>
      <c r="K1063" s="17">
        <f t="shared" ca="1" si="344"/>
        <v>7</v>
      </c>
      <c r="L1063" s="10">
        <f t="shared" ca="1" si="345"/>
        <v>83</v>
      </c>
      <c r="M1063" s="17">
        <f t="shared" ca="1" si="346"/>
        <v>0</v>
      </c>
      <c r="N1063" s="18">
        <f t="shared" ca="1" si="347"/>
        <v>23.8</v>
      </c>
      <c r="O1063" s="17">
        <f t="shared" ca="1" si="348"/>
        <v>0</v>
      </c>
      <c r="P1063" s="18">
        <f t="shared" ca="1" si="349"/>
        <v>25.8</v>
      </c>
      <c r="Q1063" s="17">
        <f t="shared" ca="1" si="350"/>
        <v>0</v>
      </c>
      <c r="R1063" s="10">
        <f t="shared" ca="1" si="351"/>
        <v>90</v>
      </c>
      <c r="S1063" s="17">
        <f t="shared" ca="1" si="352"/>
        <v>0</v>
      </c>
      <c r="T1063" s="70">
        <f t="shared" ca="1" si="353"/>
        <v>0.3</v>
      </c>
      <c r="U1063" s="17">
        <f t="shared" ca="1" si="354"/>
        <v>0</v>
      </c>
      <c r="V1063" s="71">
        <f t="shared" ca="1" si="355"/>
        <v>6</v>
      </c>
      <c r="W1063" s="17">
        <f t="shared" ca="1" si="356"/>
        <v>0</v>
      </c>
    </row>
    <row r="1064" spans="1:23" x14ac:dyDescent="0.25">
      <c r="A1064" s="4">
        <f t="shared" si="336"/>
        <v>32</v>
      </c>
      <c r="B1064" t="str">
        <f ca="1">TEXT(DATE(YEAR(Invoer!$A$6),1,1)+INT((ROWS(B$2:B1064)-1)/4),"jjjjmmdd")</f>
        <v>19400922</v>
      </c>
      <c r="C1064" s="64" t="str">
        <f>IF(MOD(ROWS(C$2:C1064)-1,4)=3,"24.00",INDEX(Data,3,2+MOD(ROWS(C$2:C1064)-1,4)))</f>
        <v>17.00</v>
      </c>
      <c r="D1064" s="18">
        <f t="shared" ca="1" si="337"/>
        <v>756.4</v>
      </c>
      <c r="E1064" s="17">
        <f t="shared" ca="1" si="338"/>
        <v>0</v>
      </c>
      <c r="F1064" s="18">
        <f t="shared" ca="1" si="339"/>
        <v>27.1</v>
      </c>
      <c r="G1064" s="17">
        <f t="shared" ca="1" si="340"/>
        <v>0</v>
      </c>
      <c r="H1064" s="18" t="str">
        <f t="shared" ca="1" si="341"/>
        <v>—</v>
      </c>
      <c r="I1064" s="17">
        <f t="shared" ca="1" si="342"/>
        <v>7</v>
      </c>
      <c r="J1064" s="18" t="str">
        <f t="shared" ca="1" si="343"/>
        <v>—</v>
      </c>
      <c r="K1064" s="17">
        <f t="shared" ca="1" si="344"/>
        <v>7</v>
      </c>
      <c r="L1064" s="10">
        <f t="shared" ca="1" si="345"/>
        <v>86</v>
      </c>
      <c r="M1064" s="17">
        <f t="shared" ca="1" si="346"/>
        <v>0</v>
      </c>
      <c r="N1064" s="18">
        <f t="shared" ca="1" si="347"/>
        <v>23.1</v>
      </c>
      <c r="O1064" s="17">
        <f t="shared" ca="1" si="348"/>
        <v>0</v>
      </c>
      <c r="P1064" s="18">
        <f t="shared" ca="1" si="349"/>
        <v>25.2</v>
      </c>
      <c r="Q1064" s="17">
        <f t="shared" ca="1" si="350"/>
        <v>0</v>
      </c>
      <c r="R1064" s="10">
        <f t="shared" ca="1" si="351"/>
        <v>90</v>
      </c>
      <c r="S1064" s="17">
        <f t="shared" ca="1" si="352"/>
        <v>0</v>
      </c>
      <c r="T1064" s="70">
        <f t="shared" ca="1" si="353"/>
        <v>0.3</v>
      </c>
      <c r="U1064" s="17">
        <f t="shared" ca="1" si="354"/>
        <v>0</v>
      </c>
      <c r="V1064" s="71">
        <f t="shared" ca="1" si="355"/>
        <v>6</v>
      </c>
      <c r="W1064" s="17">
        <f t="shared" ca="1" si="356"/>
        <v>0</v>
      </c>
    </row>
    <row r="1065" spans="1:23" x14ac:dyDescent="0.25">
      <c r="A1065" s="4">
        <f t="shared" si="336"/>
        <v>32</v>
      </c>
      <c r="B1065" t="str">
        <f ca="1">TEXT(DATE(YEAR(Invoer!$A$6),1,1)+INT((ROWS(B$2:B1065)-1)/4),"jjjjmmdd")</f>
        <v>19400922</v>
      </c>
      <c r="C1065" s="64" t="str">
        <f>IF(MOD(ROWS(C$2:C1065)-1,4)=3,"24.00",INDEX(Data,3,2+MOD(ROWS(C$2:C1065)-1,4)))</f>
        <v>24.00</v>
      </c>
      <c r="D1065" s="18" t="str">
        <f t="shared" ca="1" si="337"/>
        <v>—</v>
      </c>
      <c r="E1065" s="17">
        <f t="shared" ca="1" si="338"/>
        <v>7</v>
      </c>
      <c r="F1065" s="18" t="str">
        <f t="shared" ca="1" si="339"/>
        <v>—</v>
      </c>
      <c r="G1065" s="17">
        <f t="shared" ca="1" si="340"/>
        <v>7</v>
      </c>
      <c r="H1065" s="18">
        <f t="shared" ca="1" si="341"/>
        <v>28.7</v>
      </c>
      <c r="I1065" s="17">
        <f t="shared" ca="1" si="342"/>
        <v>0</v>
      </c>
      <c r="J1065" s="18">
        <f t="shared" ca="1" si="343"/>
        <v>30</v>
      </c>
      <c r="K1065" s="17">
        <f t="shared" ca="1" si="344"/>
        <v>0</v>
      </c>
      <c r="L1065" s="10" t="str">
        <f t="shared" ca="1" si="345"/>
        <v>—</v>
      </c>
      <c r="M1065" s="17">
        <f t="shared" ca="1" si="346"/>
        <v>7</v>
      </c>
      <c r="N1065" s="18" t="str">
        <f t="shared" ca="1" si="347"/>
        <v>—</v>
      </c>
      <c r="O1065" s="17">
        <f t="shared" ca="1" si="348"/>
        <v>7</v>
      </c>
      <c r="P1065" s="18" t="str">
        <f t="shared" ca="1" si="349"/>
        <v>—</v>
      </c>
      <c r="Q1065" s="17">
        <f t="shared" ca="1" si="350"/>
        <v>7</v>
      </c>
      <c r="R1065" s="10" t="str">
        <f t="shared" ca="1" si="351"/>
        <v>—</v>
      </c>
      <c r="S1065" s="17">
        <f t="shared" ca="1" si="352"/>
        <v>7</v>
      </c>
      <c r="T1065" s="70" t="str">
        <f t="shared" ca="1" si="353"/>
        <v>—</v>
      </c>
      <c r="U1065" s="17">
        <f t="shared" ca="1" si="354"/>
        <v>7</v>
      </c>
      <c r="V1065" s="71" t="str">
        <f t="shared" ca="1" si="355"/>
        <v>—</v>
      </c>
      <c r="W1065" s="17">
        <f t="shared" ca="1" si="356"/>
        <v>7</v>
      </c>
    </row>
    <row r="1066" spans="1:23" x14ac:dyDescent="0.25">
      <c r="A1066" s="4">
        <f t="shared" si="336"/>
        <v>32</v>
      </c>
      <c r="B1066" t="str">
        <f ca="1">TEXT(DATE(YEAR(Invoer!$A$6),1,1)+INT((ROWS(B$2:B1066)-1)/4),"jjjjmmdd")</f>
        <v>19400923</v>
      </c>
      <c r="C1066" s="64" t="str">
        <f>IF(MOD(ROWS(C$2:C1066)-1,4)=3,"24.00",INDEX(Data,3,2+MOD(ROWS(C$2:C1066)-1,4)))</f>
        <v>07.00</v>
      </c>
      <c r="D1066" s="18">
        <f t="shared" ca="1" si="337"/>
        <v>759.2</v>
      </c>
      <c r="E1066" s="17">
        <f t="shared" ca="1" si="338"/>
        <v>0</v>
      </c>
      <c r="F1066" s="18">
        <f t="shared" ca="1" si="339"/>
        <v>27.7</v>
      </c>
      <c r="G1066" s="17">
        <f t="shared" ca="1" si="340"/>
        <v>0</v>
      </c>
      <c r="H1066" s="18" t="str">
        <f t="shared" ca="1" si="341"/>
        <v>—</v>
      </c>
      <c r="I1066" s="17">
        <f t="shared" ca="1" si="342"/>
        <v>7</v>
      </c>
      <c r="J1066" s="18" t="str">
        <f t="shared" ca="1" si="343"/>
        <v>—</v>
      </c>
      <c r="K1066" s="17">
        <f t="shared" ca="1" si="344"/>
        <v>7</v>
      </c>
      <c r="L1066" s="10">
        <f t="shared" ca="1" si="345"/>
        <v>86</v>
      </c>
      <c r="M1066" s="17">
        <f t="shared" ca="1" si="346"/>
        <v>0</v>
      </c>
      <c r="N1066" s="18">
        <f t="shared" ca="1" si="347"/>
        <v>24</v>
      </c>
      <c r="O1066" s="17">
        <f t="shared" ca="1" si="348"/>
        <v>0</v>
      </c>
      <c r="P1066" s="18">
        <f t="shared" ca="1" si="349"/>
        <v>25.8</v>
      </c>
      <c r="Q1066" s="17">
        <f t="shared" ca="1" si="350"/>
        <v>0</v>
      </c>
      <c r="R1066" s="10">
        <f t="shared" ca="1" si="351"/>
        <v>90</v>
      </c>
      <c r="S1066" s="17">
        <f t="shared" ca="1" si="352"/>
        <v>0</v>
      </c>
      <c r="T1066" s="70">
        <f t="shared" ca="1" si="353"/>
        <v>0.3</v>
      </c>
      <c r="U1066" s="17">
        <f t="shared" ca="1" si="354"/>
        <v>0</v>
      </c>
      <c r="V1066" s="71">
        <f t="shared" ca="1" si="355"/>
        <v>4</v>
      </c>
      <c r="W1066" s="17">
        <f t="shared" ca="1" si="356"/>
        <v>0</v>
      </c>
    </row>
    <row r="1067" spans="1:23" x14ac:dyDescent="0.25">
      <c r="A1067" s="4">
        <f t="shared" si="336"/>
        <v>32</v>
      </c>
      <c r="B1067" t="str">
        <f ca="1">TEXT(DATE(YEAR(Invoer!$A$6),1,1)+INT((ROWS(B$2:B1067)-1)/4),"jjjjmmdd")</f>
        <v>19400923</v>
      </c>
      <c r="C1067" s="64" t="str">
        <f>IF(MOD(ROWS(C$2:C1067)-1,4)=3,"24.00",INDEX(Data,3,2+MOD(ROWS(C$2:C1067)-1,4)))</f>
        <v>12.00</v>
      </c>
      <c r="D1067" s="18">
        <f t="shared" ca="1" si="337"/>
        <v>760</v>
      </c>
      <c r="E1067" s="17">
        <f t="shared" ca="1" si="338"/>
        <v>0</v>
      </c>
      <c r="F1067" s="18">
        <f t="shared" ca="1" si="339"/>
        <v>28.1</v>
      </c>
      <c r="G1067" s="17">
        <f t="shared" ca="1" si="340"/>
        <v>0</v>
      </c>
      <c r="H1067" s="18" t="str">
        <f t="shared" ca="1" si="341"/>
        <v>—</v>
      </c>
      <c r="I1067" s="17">
        <f t="shared" ca="1" si="342"/>
        <v>7</v>
      </c>
      <c r="J1067" s="18" t="str">
        <f t="shared" ca="1" si="343"/>
        <v>—</v>
      </c>
      <c r="K1067" s="17">
        <f t="shared" ca="1" si="344"/>
        <v>7</v>
      </c>
      <c r="L1067" s="10">
        <f t="shared" ca="1" si="345"/>
        <v>88</v>
      </c>
      <c r="M1067" s="17">
        <f t="shared" ca="1" si="346"/>
        <v>0</v>
      </c>
      <c r="N1067" s="18">
        <f t="shared" ca="1" si="347"/>
        <v>25</v>
      </c>
      <c r="O1067" s="17">
        <f t="shared" ca="1" si="348"/>
        <v>0</v>
      </c>
      <c r="P1067" s="18">
        <f t="shared" ca="1" si="349"/>
        <v>26.4</v>
      </c>
      <c r="Q1067" s="17">
        <f t="shared" ca="1" si="350"/>
        <v>0</v>
      </c>
      <c r="R1067" s="10">
        <f t="shared" ca="1" si="351"/>
        <v>90</v>
      </c>
      <c r="S1067" s="17">
        <f t="shared" ca="1" si="352"/>
        <v>0</v>
      </c>
      <c r="T1067" s="70">
        <f t="shared" ca="1" si="353"/>
        <v>0.4</v>
      </c>
      <c r="U1067" s="17">
        <f t="shared" ca="1" si="354"/>
        <v>0</v>
      </c>
      <c r="V1067" s="71">
        <f t="shared" ca="1" si="355"/>
        <v>5</v>
      </c>
      <c r="W1067" s="17">
        <f t="shared" ca="1" si="356"/>
        <v>0</v>
      </c>
    </row>
    <row r="1068" spans="1:23" x14ac:dyDescent="0.25">
      <c r="A1068" s="4">
        <f t="shared" si="336"/>
        <v>32</v>
      </c>
      <c r="B1068" t="str">
        <f ca="1">TEXT(DATE(YEAR(Invoer!$A$6),1,1)+INT((ROWS(B$2:B1068)-1)/4),"jjjjmmdd")</f>
        <v>19400923</v>
      </c>
      <c r="C1068" s="64" t="str">
        <f>IF(MOD(ROWS(C$2:C1068)-1,4)=3,"24.00",INDEX(Data,3,2+MOD(ROWS(C$2:C1068)-1,4)))</f>
        <v>17.00</v>
      </c>
      <c r="D1068" s="18">
        <f t="shared" ca="1" si="337"/>
        <v>758.7</v>
      </c>
      <c r="E1068" s="17">
        <f t="shared" ca="1" si="338"/>
        <v>0</v>
      </c>
      <c r="F1068" s="18">
        <f t="shared" ca="1" si="339"/>
        <v>27.9</v>
      </c>
      <c r="G1068" s="17">
        <f t="shared" ca="1" si="340"/>
        <v>0</v>
      </c>
      <c r="H1068" s="18" t="str">
        <f t="shared" ca="1" si="341"/>
        <v>—</v>
      </c>
      <c r="I1068" s="17">
        <f t="shared" ca="1" si="342"/>
        <v>7</v>
      </c>
      <c r="J1068" s="18" t="str">
        <f t="shared" ca="1" si="343"/>
        <v>—</v>
      </c>
      <c r="K1068" s="17">
        <f t="shared" ca="1" si="344"/>
        <v>7</v>
      </c>
      <c r="L1068" s="10">
        <f t="shared" ca="1" si="345"/>
        <v>86</v>
      </c>
      <c r="M1068" s="17">
        <f t="shared" ca="1" si="346"/>
        <v>0</v>
      </c>
      <c r="N1068" s="18">
        <f t="shared" ca="1" si="347"/>
        <v>24.3</v>
      </c>
      <c r="O1068" s="17">
        <f t="shared" ca="1" si="348"/>
        <v>0</v>
      </c>
      <c r="P1068" s="18">
        <f t="shared" ca="1" si="349"/>
        <v>26</v>
      </c>
      <c r="Q1068" s="17">
        <f t="shared" ca="1" si="350"/>
        <v>0</v>
      </c>
      <c r="R1068" s="10">
        <f t="shared" ca="1" si="351"/>
        <v>90</v>
      </c>
      <c r="S1068" s="17">
        <f t="shared" ca="1" si="352"/>
        <v>0</v>
      </c>
      <c r="T1068" s="70">
        <f t="shared" ca="1" si="353"/>
        <v>0.4</v>
      </c>
      <c r="U1068" s="17">
        <f t="shared" ca="1" si="354"/>
        <v>0</v>
      </c>
      <c r="V1068" s="71">
        <f t="shared" ca="1" si="355"/>
        <v>4</v>
      </c>
      <c r="W1068" s="17">
        <f t="shared" ca="1" si="356"/>
        <v>0</v>
      </c>
    </row>
    <row r="1069" spans="1:23" x14ac:dyDescent="0.25">
      <c r="A1069" s="4">
        <f t="shared" si="336"/>
        <v>32</v>
      </c>
      <c r="B1069" t="str">
        <f ca="1">TEXT(DATE(YEAR(Invoer!$A$6),1,1)+INT((ROWS(B$2:B1069)-1)/4),"jjjjmmdd")</f>
        <v>19400923</v>
      </c>
      <c r="C1069" s="64" t="str">
        <f>IF(MOD(ROWS(C$2:C1069)-1,4)=3,"24.00",INDEX(Data,3,2+MOD(ROWS(C$2:C1069)-1,4)))</f>
        <v>24.00</v>
      </c>
      <c r="D1069" s="18" t="str">
        <f t="shared" ca="1" si="337"/>
        <v>—</v>
      </c>
      <c r="E1069" s="17">
        <f t="shared" ca="1" si="338"/>
        <v>7</v>
      </c>
      <c r="F1069" s="18" t="str">
        <f t="shared" ca="1" si="339"/>
        <v>—</v>
      </c>
      <c r="G1069" s="17">
        <f t="shared" ca="1" si="340"/>
        <v>7</v>
      </c>
      <c r="H1069" s="18">
        <f t="shared" ca="1" si="341"/>
        <v>28.4</v>
      </c>
      <c r="I1069" s="17">
        <f t="shared" ca="1" si="342"/>
        <v>0</v>
      </c>
      <c r="J1069" s="18">
        <f t="shared" ca="1" si="343"/>
        <v>30.6</v>
      </c>
      <c r="K1069" s="17">
        <f t="shared" ca="1" si="344"/>
        <v>0</v>
      </c>
      <c r="L1069" s="10" t="str">
        <f t="shared" ca="1" si="345"/>
        <v>—</v>
      </c>
      <c r="M1069" s="17">
        <f t="shared" ca="1" si="346"/>
        <v>7</v>
      </c>
      <c r="N1069" s="18" t="str">
        <f t="shared" ca="1" si="347"/>
        <v>—</v>
      </c>
      <c r="O1069" s="17">
        <f t="shared" ca="1" si="348"/>
        <v>7</v>
      </c>
      <c r="P1069" s="18" t="str">
        <f t="shared" ca="1" si="349"/>
        <v>—</v>
      </c>
      <c r="Q1069" s="17">
        <f t="shared" ca="1" si="350"/>
        <v>7</v>
      </c>
      <c r="R1069" s="10" t="str">
        <f t="shared" ca="1" si="351"/>
        <v>—</v>
      </c>
      <c r="S1069" s="17">
        <f t="shared" ca="1" si="352"/>
        <v>7</v>
      </c>
      <c r="T1069" s="70" t="str">
        <f t="shared" ca="1" si="353"/>
        <v>—</v>
      </c>
      <c r="U1069" s="17">
        <f t="shared" ca="1" si="354"/>
        <v>7</v>
      </c>
      <c r="V1069" s="71" t="str">
        <f t="shared" ca="1" si="355"/>
        <v>—</v>
      </c>
      <c r="W1069" s="17">
        <f t="shared" ca="1" si="356"/>
        <v>7</v>
      </c>
    </row>
    <row r="1070" spans="1:23" x14ac:dyDescent="0.25">
      <c r="A1070" s="4">
        <f t="shared" si="336"/>
        <v>32</v>
      </c>
      <c r="B1070" t="str">
        <f ca="1">TEXT(DATE(YEAR(Invoer!$A$6),1,1)+INT((ROWS(B$2:B1070)-1)/4),"jjjjmmdd")</f>
        <v>19400924</v>
      </c>
      <c r="C1070" s="64" t="str">
        <f>IF(MOD(ROWS(C$2:C1070)-1,4)=3,"24.00",INDEX(Data,3,2+MOD(ROWS(C$2:C1070)-1,4)))</f>
        <v>07.00</v>
      </c>
      <c r="D1070" s="18">
        <f t="shared" ca="1" si="337"/>
        <v>759.5</v>
      </c>
      <c r="E1070" s="17">
        <f t="shared" ca="1" si="338"/>
        <v>0</v>
      </c>
      <c r="F1070" s="18">
        <f t="shared" ca="1" si="339"/>
        <v>27.7</v>
      </c>
      <c r="G1070" s="17">
        <f t="shared" ca="1" si="340"/>
        <v>0</v>
      </c>
      <c r="H1070" s="18" t="str">
        <f t="shared" ca="1" si="341"/>
        <v>—</v>
      </c>
      <c r="I1070" s="17">
        <f t="shared" ca="1" si="342"/>
        <v>7</v>
      </c>
      <c r="J1070" s="18" t="str">
        <f t="shared" ca="1" si="343"/>
        <v>—</v>
      </c>
      <c r="K1070" s="17">
        <f t="shared" ca="1" si="344"/>
        <v>7</v>
      </c>
      <c r="L1070" s="10">
        <f t="shared" ca="1" si="345"/>
        <v>87</v>
      </c>
      <c r="M1070" s="17">
        <f t="shared" ca="1" si="346"/>
        <v>0</v>
      </c>
      <c r="N1070" s="18">
        <f t="shared" ca="1" si="347"/>
        <v>24.4</v>
      </c>
      <c r="O1070" s="17">
        <f t="shared" ca="1" si="348"/>
        <v>0</v>
      </c>
      <c r="P1070" s="18">
        <f t="shared" ca="1" si="349"/>
        <v>26</v>
      </c>
      <c r="Q1070" s="17">
        <f t="shared" ca="1" si="350"/>
        <v>0</v>
      </c>
      <c r="R1070" s="10">
        <f t="shared" ca="1" si="351"/>
        <v>65</v>
      </c>
      <c r="S1070" s="17">
        <f t="shared" ca="1" si="352"/>
        <v>0</v>
      </c>
      <c r="T1070" s="70">
        <f t="shared" ca="1" si="353"/>
        <v>0.3</v>
      </c>
      <c r="U1070" s="17">
        <f t="shared" ca="1" si="354"/>
        <v>0</v>
      </c>
      <c r="V1070" s="71">
        <f t="shared" ca="1" si="355"/>
        <v>4</v>
      </c>
      <c r="W1070" s="17">
        <f t="shared" ca="1" si="356"/>
        <v>0</v>
      </c>
    </row>
    <row r="1071" spans="1:23" x14ac:dyDescent="0.25">
      <c r="A1071" s="4">
        <f t="shared" si="336"/>
        <v>32</v>
      </c>
      <c r="B1071" t="str">
        <f ca="1">TEXT(DATE(YEAR(Invoer!$A$6),1,1)+INT((ROWS(B$2:B1071)-1)/4),"jjjjmmdd")</f>
        <v>19400924</v>
      </c>
      <c r="C1071" s="64" t="str">
        <f>IF(MOD(ROWS(C$2:C1071)-1,4)=3,"24.00",INDEX(Data,3,2+MOD(ROWS(C$2:C1071)-1,4)))</f>
        <v>12.00</v>
      </c>
      <c r="D1071" s="18">
        <f t="shared" ca="1" si="337"/>
        <v>757.7</v>
      </c>
      <c r="E1071" s="17">
        <f t="shared" ca="1" si="338"/>
        <v>0</v>
      </c>
      <c r="F1071" s="18">
        <f t="shared" ca="1" si="339"/>
        <v>27.9</v>
      </c>
      <c r="G1071" s="17">
        <f t="shared" ca="1" si="340"/>
        <v>0</v>
      </c>
      <c r="H1071" s="18" t="str">
        <f t="shared" ca="1" si="341"/>
        <v>—</v>
      </c>
      <c r="I1071" s="17">
        <f t="shared" ca="1" si="342"/>
        <v>7</v>
      </c>
      <c r="J1071" s="18" t="str">
        <f t="shared" ca="1" si="343"/>
        <v>—</v>
      </c>
      <c r="K1071" s="17">
        <f t="shared" ca="1" si="344"/>
        <v>7</v>
      </c>
      <c r="L1071" s="10">
        <f t="shared" ca="1" si="345"/>
        <v>88</v>
      </c>
      <c r="M1071" s="17">
        <f t="shared" ca="1" si="346"/>
        <v>0</v>
      </c>
      <c r="N1071" s="18">
        <f t="shared" ca="1" si="347"/>
        <v>24.7</v>
      </c>
      <c r="O1071" s="17">
        <f t="shared" ca="1" si="348"/>
        <v>0</v>
      </c>
      <c r="P1071" s="18">
        <f t="shared" ca="1" si="349"/>
        <v>26.2</v>
      </c>
      <c r="Q1071" s="17">
        <f t="shared" ca="1" si="350"/>
        <v>0</v>
      </c>
      <c r="R1071" s="10">
        <f t="shared" ca="1" si="351"/>
        <v>90</v>
      </c>
      <c r="S1071" s="17">
        <f t="shared" ca="1" si="352"/>
        <v>0</v>
      </c>
      <c r="T1071" s="70">
        <f t="shared" ca="1" si="353"/>
        <v>0.4</v>
      </c>
      <c r="U1071" s="17">
        <f t="shared" ca="1" si="354"/>
        <v>0</v>
      </c>
      <c r="V1071" s="71">
        <f t="shared" ca="1" si="355"/>
        <v>5</v>
      </c>
      <c r="W1071" s="17">
        <f t="shared" ca="1" si="356"/>
        <v>0</v>
      </c>
    </row>
    <row r="1072" spans="1:23" x14ac:dyDescent="0.25">
      <c r="A1072" s="4">
        <f t="shared" si="336"/>
        <v>32</v>
      </c>
      <c r="B1072" t="str">
        <f ca="1">TEXT(DATE(YEAR(Invoer!$A$6),1,1)+INT((ROWS(B$2:B1072)-1)/4),"jjjjmmdd")</f>
        <v>19400924</v>
      </c>
      <c r="C1072" s="64" t="str">
        <f>IF(MOD(ROWS(C$2:C1072)-1,4)=3,"24.00",INDEX(Data,3,2+MOD(ROWS(C$2:C1072)-1,4)))</f>
        <v>17.00</v>
      </c>
      <c r="D1072" s="18">
        <f t="shared" ca="1" si="337"/>
        <v>759.7</v>
      </c>
      <c r="E1072" s="17">
        <f t="shared" ca="1" si="338"/>
        <v>0</v>
      </c>
      <c r="F1072" s="18">
        <f t="shared" ca="1" si="339"/>
        <v>27.9</v>
      </c>
      <c r="G1072" s="17">
        <f t="shared" ca="1" si="340"/>
        <v>0</v>
      </c>
      <c r="H1072" s="18" t="str">
        <f t="shared" ca="1" si="341"/>
        <v>—</v>
      </c>
      <c r="I1072" s="17">
        <f t="shared" ca="1" si="342"/>
        <v>7</v>
      </c>
      <c r="J1072" s="18" t="str">
        <f t="shared" ca="1" si="343"/>
        <v>—</v>
      </c>
      <c r="K1072" s="17">
        <f t="shared" ca="1" si="344"/>
        <v>7</v>
      </c>
      <c r="L1072" s="10">
        <f t="shared" ca="1" si="345"/>
        <v>88</v>
      </c>
      <c r="M1072" s="17">
        <f t="shared" ca="1" si="346"/>
        <v>0</v>
      </c>
      <c r="N1072" s="18">
        <f t="shared" ca="1" si="347"/>
        <v>24.7</v>
      </c>
      <c r="O1072" s="17">
        <f t="shared" ca="1" si="348"/>
        <v>0</v>
      </c>
      <c r="P1072" s="18">
        <f t="shared" ca="1" si="349"/>
        <v>26.2</v>
      </c>
      <c r="Q1072" s="17">
        <f t="shared" ca="1" si="350"/>
        <v>0</v>
      </c>
      <c r="R1072" s="10">
        <f t="shared" ca="1" si="351"/>
        <v>115</v>
      </c>
      <c r="S1072" s="17">
        <f t="shared" ca="1" si="352"/>
        <v>0</v>
      </c>
      <c r="T1072" s="70">
        <f t="shared" ca="1" si="353"/>
        <v>0.4</v>
      </c>
      <c r="U1072" s="17">
        <f t="shared" ca="1" si="354"/>
        <v>0</v>
      </c>
      <c r="V1072" s="71">
        <f t="shared" ca="1" si="355"/>
        <v>5</v>
      </c>
      <c r="W1072" s="17">
        <f t="shared" ca="1" si="356"/>
        <v>0</v>
      </c>
    </row>
    <row r="1073" spans="1:23" x14ac:dyDescent="0.25">
      <c r="A1073" s="4">
        <f t="shared" si="336"/>
        <v>32</v>
      </c>
      <c r="B1073" t="str">
        <f ca="1">TEXT(DATE(YEAR(Invoer!$A$6),1,1)+INT((ROWS(B$2:B1073)-1)/4),"jjjjmmdd")</f>
        <v>19400924</v>
      </c>
      <c r="C1073" s="64" t="str">
        <f>IF(MOD(ROWS(C$2:C1073)-1,4)=3,"24.00",INDEX(Data,3,2+MOD(ROWS(C$2:C1073)-1,4)))</f>
        <v>24.00</v>
      </c>
      <c r="D1073" s="18" t="str">
        <f t="shared" ca="1" si="337"/>
        <v>—</v>
      </c>
      <c r="E1073" s="17">
        <f t="shared" ca="1" si="338"/>
        <v>7</v>
      </c>
      <c r="F1073" s="18" t="str">
        <f t="shared" ca="1" si="339"/>
        <v>—</v>
      </c>
      <c r="G1073" s="17">
        <f t="shared" ca="1" si="340"/>
        <v>7</v>
      </c>
      <c r="H1073" s="18">
        <f t="shared" ca="1" si="341"/>
        <v>29</v>
      </c>
      <c r="I1073" s="17">
        <f t="shared" ca="1" si="342"/>
        <v>0</v>
      </c>
      <c r="J1073" s="18">
        <f t="shared" ca="1" si="343"/>
        <v>30.4</v>
      </c>
      <c r="K1073" s="17">
        <f t="shared" ca="1" si="344"/>
        <v>0</v>
      </c>
      <c r="L1073" s="10" t="str">
        <f t="shared" ca="1" si="345"/>
        <v>—</v>
      </c>
      <c r="M1073" s="17">
        <f t="shared" ca="1" si="346"/>
        <v>7</v>
      </c>
      <c r="N1073" s="18" t="str">
        <f t="shared" ca="1" si="347"/>
        <v>—</v>
      </c>
      <c r="O1073" s="17">
        <f t="shared" ca="1" si="348"/>
        <v>7</v>
      </c>
      <c r="P1073" s="18" t="str">
        <f t="shared" ca="1" si="349"/>
        <v>—</v>
      </c>
      <c r="Q1073" s="17">
        <f t="shared" ca="1" si="350"/>
        <v>7</v>
      </c>
      <c r="R1073" s="10" t="str">
        <f t="shared" ca="1" si="351"/>
        <v>—</v>
      </c>
      <c r="S1073" s="17">
        <f t="shared" ca="1" si="352"/>
        <v>7</v>
      </c>
      <c r="T1073" s="70" t="str">
        <f t="shared" ca="1" si="353"/>
        <v>—</v>
      </c>
      <c r="U1073" s="17">
        <f t="shared" ca="1" si="354"/>
        <v>7</v>
      </c>
      <c r="V1073" s="71" t="str">
        <f t="shared" ca="1" si="355"/>
        <v>—</v>
      </c>
      <c r="W1073" s="17">
        <f t="shared" ca="1" si="356"/>
        <v>7</v>
      </c>
    </row>
    <row r="1074" spans="1:23" x14ac:dyDescent="0.25">
      <c r="A1074" s="4">
        <f t="shared" si="336"/>
        <v>32</v>
      </c>
      <c r="B1074" t="str">
        <f ca="1">TEXT(DATE(YEAR(Invoer!$A$6),1,1)+INT((ROWS(B$2:B1074)-1)/4),"jjjjmmdd")</f>
        <v>19400925</v>
      </c>
      <c r="C1074" s="64" t="str">
        <f>IF(MOD(ROWS(C$2:C1074)-1,4)=3,"24.00",INDEX(Data,3,2+MOD(ROWS(C$2:C1074)-1,4)))</f>
        <v>07.00</v>
      </c>
      <c r="D1074" s="18">
        <f t="shared" ca="1" si="337"/>
        <v>758.7</v>
      </c>
      <c r="E1074" s="17">
        <f t="shared" ca="1" si="338"/>
        <v>0</v>
      </c>
      <c r="F1074" s="18">
        <f t="shared" ca="1" si="339"/>
        <v>29.3</v>
      </c>
      <c r="G1074" s="17">
        <f t="shared" ca="1" si="340"/>
        <v>0</v>
      </c>
      <c r="H1074" s="18" t="str">
        <f t="shared" ca="1" si="341"/>
        <v>—</v>
      </c>
      <c r="I1074" s="17">
        <f t="shared" ca="1" si="342"/>
        <v>7</v>
      </c>
      <c r="J1074" s="18" t="str">
        <f t="shared" ca="1" si="343"/>
        <v>—</v>
      </c>
      <c r="K1074" s="17">
        <f t="shared" ca="1" si="344"/>
        <v>7</v>
      </c>
      <c r="L1074" s="10">
        <f t="shared" ca="1" si="345"/>
        <v>76</v>
      </c>
      <c r="M1074" s="17">
        <f t="shared" ca="1" si="346"/>
        <v>0</v>
      </c>
      <c r="N1074" s="18">
        <f t="shared" ca="1" si="347"/>
        <v>23.2</v>
      </c>
      <c r="O1074" s="17">
        <f t="shared" ca="1" si="348"/>
        <v>0</v>
      </c>
      <c r="P1074" s="18">
        <f t="shared" ca="1" si="349"/>
        <v>25.8</v>
      </c>
      <c r="Q1074" s="17">
        <f t="shared" ca="1" si="350"/>
        <v>0</v>
      </c>
      <c r="R1074" s="10">
        <f t="shared" ca="1" si="351"/>
        <v>65</v>
      </c>
      <c r="S1074" s="17">
        <f t="shared" ca="1" si="352"/>
        <v>0</v>
      </c>
      <c r="T1074" s="70">
        <f t="shared" ca="1" si="353"/>
        <v>0.4</v>
      </c>
      <c r="U1074" s="17">
        <f t="shared" ca="1" si="354"/>
        <v>0</v>
      </c>
      <c r="V1074" s="71">
        <f t="shared" ca="1" si="355"/>
        <v>3</v>
      </c>
      <c r="W1074" s="17">
        <f t="shared" ca="1" si="356"/>
        <v>0</v>
      </c>
    </row>
    <row r="1075" spans="1:23" x14ac:dyDescent="0.25">
      <c r="A1075" s="4">
        <f t="shared" si="336"/>
        <v>32</v>
      </c>
      <c r="B1075" t="str">
        <f ca="1">TEXT(DATE(YEAR(Invoer!$A$6),1,1)+INT((ROWS(B$2:B1075)-1)/4),"jjjjmmdd")</f>
        <v>19400925</v>
      </c>
      <c r="C1075" s="64" t="str">
        <f>IF(MOD(ROWS(C$2:C1075)-1,4)=3,"24.00",INDEX(Data,3,2+MOD(ROWS(C$2:C1075)-1,4)))</f>
        <v>12.00</v>
      </c>
      <c r="D1075" s="18">
        <f t="shared" ca="1" si="337"/>
        <v>759.2</v>
      </c>
      <c r="E1075" s="17">
        <f t="shared" ca="1" si="338"/>
        <v>0</v>
      </c>
      <c r="F1075" s="18">
        <f t="shared" ca="1" si="339"/>
        <v>29.5</v>
      </c>
      <c r="G1075" s="17">
        <f t="shared" ca="1" si="340"/>
        <v>0</v>
      </c>
      <c r="H1075" s="18" t="str">
        <f t="shared" ca="1" si="341"/>
        <v>—</v>
      </c>
      <c r="I1075" s="17">
        <f t="shared" ca="1" si="342"/>
        <v>7</v>
      </c>
      <c r="J1075" s="18" t="str">
        <f t="shared" ca="1" si="343"/>
        <v>—</v>
      </c>
      <c r="K1075" s="17">
        <f t="shared" ca="1" si="344"/>
        <v>7</v>
      </c>
      <c r="L1075" s="10">
        <f t="shared" ca="1" si="345"/>
        <v>82</v>
      </c>
      <c r="M1075" s="17">
        <f t="shared" ca="1" si="346"/>
        <v>0</v>
      </c>
      <c r="N1075" s="18">
        <f t="shared" ca="1" si="347"/>
        <v>25.5</v>
      </c>
      <c r="O1075" s="17">
        <f t="shared" ca="1" si="348"/>
        <v>0</v>
      </c>
      <c r="P1075" s="18">
        <f t="shared" ca="1" si="349"/>
        <v>27</v>
      </c>
      <c r="Q1075" s="17">
        <f t="shared" ca="1" si="350"/>
        <v>0</v>
      </c>
      <c r="R1075" s="10">
        <f t="shared" ca="1" si="351"/>
        <v>90</v>
      </c>
      <c r="S1075" s="17">
        <f t="shared" ca="1" si="352"/>
        <v>0</v>
      </c>
      <c r="T1075" s="70">
        <f t="shared" ca="1" si="353"/>
        <v>0.5</v>
      </c>
      <c r="U1075" s="17">
        <f t="shared" ca="1" si="354"/>
        <v>0</v>
      </c>
      <c r="V1075" s="71">
        <f t="shared" ca="1" si="355"/>
        <v>3</v>
      </c>
      <c r="W1075" s="17">
        <f t="shared" ca="1" si="356"/>
        <v>0</v>
      </c>
    </row>
    <row r="1076" spans="1:23" x14ac:dyDescent="0.25">
      <c r="A1076" s="4">
        <f t="shared" si="336"/>
        <v>32</v>
      </c>
      <c r="B1076" t="str">
        <f ca="1">TEXT(DATE(YEAR(Invoer!$A$6),1,1)+INT((ROWS(B$2:B1076)-1)/4),"jjjjmmdd")</f>
        <v>19400925</v>
      </c>
      <c r="C1076" s="64" t="str">
        <f>IF(MOD(ROWS(C$2:C1076)-1,4)=3,"24.00",INDEX(Data,3,2+MOD(ROWS(C$2:C1076)-1,4)))</f>
        <v>17.00</v>
      </c>
      <c r="D1076" s="18">
        <f t="shared" ca="1" si="337"/>
        <v>758.2</v>
      </c>
      <c r="E1076" s="17">
        <f t="shared" ca="1" si="338"/>
        <v>0</v>
      </c>
      <c r="F1076" s="18">
        <f t="shared" ca="1" si="339"/>
        <v>28.9</v>
      </c>
      <c r="G1076" s="17">
        <f t="shared" ca="1" si="340"/>
        <v>0</v>
      </c>
      <c r="H1076" s="18" t="str">
        <f t="shared" ca="1" si="341"/>
        <v>—</v>
      </c>
      <c r="I1076" s="17">
        <f t="shared" ca="1" si="342"/>
        <v>7</v>
      </c>
      <c r="J1076" s="18" t="str">
        <f t="shared" ca="1" si="343"/>
        <v>—</v>
      </c>
      <c r="K1076" s="17">
        <f t="shared" ca="1" si="344"/>
        <v>7</v>
      </c>
      <c r="L1076" s="10">
        <f t="shared" ca="1" si="345"/>
        <v>82</v>
      </c>
      <c r="M1076" s="17">
        <f t="shared" ca="1" si="346"/>
        <v>0</v>
      </c>
      <c r="N1076" s="18">
        <f t="shared" ca="1" si="347"/>
        <v>24.6</v>
      </c>
      <c r="O1076" s="17">
        <f t="shared" ca="1" si="348"/>
        <v>0</v>
      </c>
      <c r="P1076" s="18">
        <f t="shared" ca="1" si="349"/>
        <v>26.2</v>
      </c>
      <c r="Q1076" s="17">
        <f t="shared" ca="1" si="350"/>
        <v>0</v>
      </c>
      <c r="R1076" s="10">
        <f t="shared" ca="1" si="351"/>
        <v>90</v>
      </c>
      <c r="S1076" s="17">
        <f t="shared" ca="1" si="352"/>
        <v>0</v>
      </c>
      <c r="T1076" s="70">
        <f t="shared" ca="1" si="353"/>
        <v>0.4</v>
      </c>
      <c r="U1076" s="17">
        <f t="shared" ca="1" si="354"/>
        <v>0</v>
      </c>
      <c r="V1076" s="71">
        <f t="shared" ca="1" si="355"/>
        <v>3</v>
      </c>
      <c r="W1076" s="17">
        <f t="shared" ca="1" si="356"/>
        <v>0</v>
      </c>
    </row>
    <row r="1077" spans="1:23" x14ac:dyDescent="0.25">
      <c r="A1077" s="4">
        <f t="shared" si="336"/>
        <v>32</v>
      </c>
      <c r="B1077" t="str">
        <f ca="1">TEXT(DATE(YEAR(Invoer!$A$6),1,1)+INT((ROWS(B$2:B1077)-1)/4),"jjjjmmdd")</f>
        <v>19400925</v>
      </c>
      <c r="C1077" s="64" t="str">
        <f>IF(MOD(ROWS(C$2:C1077)-1,4)=3,"24.00",INDEX(Data,3,2+MOD(ROWS(C$2:C1077)-1,4)))</f>
        <v>24.00</v>
      </c>
      <c r="D1077" s="18" t="str">
        <f t="shared" ca="1" si="337"/>
        <v>—</v>
      </c>
      <c r="E1077" s="17">
        <f t="shared" ca="1" si="338"/>
        <v>7</v>
      </c>
      <c r="F1077" s="18" t="str">
        <f t="shared" ca="1" si="339"/>
        <v>—</v>
      </c>
      <c r="G1077" s="17">
        <f t="shared" ca="1" si="340"/>
        <v>7</v>
      </c>
      <c r="H1077" s="18">
        <f t="shared" ca="1" si="341"/>
        <v>30</v>
      </c>
      <c r="I1077" s="17">
        <f t="shared" ca="1" si="342"/>
        <v>0</v>
      </c>
      <c r="J1077" s="18">
        <f t="shared" ca="1" si="343"/>
        <v>31.4</v>
      </c>
      <c r="K1077" s="17">
        <f t="shared" ca="1" si="344"/>
        <v>0</v>
      </c>
      <c r="L1077" s="10" t="str">
        <f t="shared" ca="1" si="345"/>
        <v>—</v>
      </c>
      <c r="M1077" s="17">
        <f t="shared" ca="1" si="346"/>
        <v>7</v>
      </c>
      <c r="N1077" s="18" t="str">
        <f t="shared" ca="1" si="347"/>
        <v>—</v>
      </c>
      <c r="O1077" s="17">
        <f t="shared" ca="1" si="348"/>
        <v>7</v>
      </c>
      <c r="P1077" s="18" t="str">
        <f t="shared" ca="1" si="349"/>
        <v>—</v>
      </c>
      <c r="Q1077" s="17">
        <f t="shared" ca="1" si="350"/>
        <v>7</v>
      </c>
      <c r="R1077" s="10" t="str">
        <f t="shared" ca="1" si="351"/>
        <v>—</v>
      </c>
      <c r="S1077" s="17">
        <f t="shared" ca="1" si="352"/>
        <v>7</v>
      </c>
      <c r="T1077" s="70" t="str">
        <f t="shared" ca="1" si="353"/>
        <v>—</v>
      </c>
      <c r="U1077" s="17">
        <f t="shared" ca="1" si="354"/>
        <v>7</v>
      </c>
      <c r="V1077" s="71" t="str">
        <f t="shared" ca="1" si="355"/>
        <v>—</v>
      </c>
      <c r="W1077" s="17">
        <f t="shared" ca="1" si="356"/>
        <v>7</v>
      </c>
    </row>
    <row r="1078" spans="1:23" x14ac:dyDescent="0.25">
      <c r="A1078" s="4">
        <f t="shared" si="336"/>
        <v>32</v>
      </c>
      <c r="B1078" t="str">
        <f ca="1">TEXT(DATE(YEAR(Invoer!$A$6),1,1)+INT((ROWS(B$2:B1078)-1)/4),"jjjjmmdd")</f>
        <v>19400926</v>
      </c>
      <c r="C1078" s="64" t="str">
        <f>IF(MOD(ROWS(C$2:C1078)-1,4)=3,"24.00",INDEX(Data,3,2+MOD(ROWS(C$2:C1078)-1,4)))</f>
        <v>07.00</v>
      </c>
      <c r="D1078" s="18">
        <f t="shared" ca="1" si="337"/>
        <v>758.5</v>
      </c>
      <c r="E1078" s="17">
        <f t="shared" ca="1" si="338"/>
        <v>0</v>
      </c>
      <c r="F1078" s="18">
        <f t="shared" ca="1" si="339"/>
        <v>29</v>
      </c>
      <c r="G1078" s="17">
        <f t="shared" ca="1" si="340"/>
        <v>0</v>
      </c>
      <c r="H1078" s="18" t="str">
        <f t="shared" ca="1" si="341"/>
        <v>—</v>
      </c>
      <c r="I1078" s="17">
        <f t="shared" ca="1" si="342"/>
        <v>7</v>
      </c>
      <c r="J1078" s="18" t="str">
        <f t="shared" ca="1" si="343"/>
        <v>—</v>
      </c>
      <c r="K1078" s="17">
        <f t="shared" ca="1" si="344"/>
        <v>7</v>
      </c>
      <c r="L1078" s="10">
        <f t="shared" ca="1" si="345"/>
        <v>78</v>
      </c>
      <c r="M1078" s="17">
        <f t="shared" ca="1" si="346"/>
        <v>0</v>
      </c>
      <c r="N1078" s="18">
        <f t="shared" ca="1" si="347"/>
        <v>23.3</v>
      </c>
      <c r="O1078" s="17">
        <f t="shared" ca="1" si="348"/>
        <v>0</v>
      </c>
      <c r="P1078" s="18">
        <f t="shared" ca="1" si="349"/>
        <v>25.8</v>
      </c>
      <c r="Q1078" s="17">
        <f t="shared" ca="1" si="350"/>
        <v>0</v>
      </c>
      <c r="R1078" s="10">
        <f t="shared" ca="1" si="351"/>
        <v>65</v>
      </c>
      <c r="S1078" s="17">
        <f t="shared" ca="1" si="352"/>
        <v>0</v>
      </c>
      <c r="T1078" s="70">
        <f t="shared" ca="1" si="353"/>
        <v>0.3</v>
      </c>
      <c r="U1078" s="17">
        <f t="shared" ca="1" si="354"/>
        <v>0</v>
      </c>
      <c r="V1078" s="71">
        <f t="shared" ca="1" si="355"/>
        <v>2</v>
      </c>
      <c r="W1078" s="17">
        <f t="shared" ca="1" si="356"/>
        <v>0</v>
      </c>
    </row>
    <row r="1079" spans="1:23" x14ac:dyDescent="0.25">
      <c r="A1079" s="4">
        <f t="shared" si="336"/>
        <v>32</v>
      </c>
      <c r="B1079" t="str">
        <f ca="1">TEXT(DATE(YEAR(Invoer!$A$6),1,1)+INT((ROWS(B$2:B1079)-1)/4),"jjjjmmdd")</f>
        <v>19400926</v>
      </c>
      <c r="C1079" s="64" t="str">
        <f>IF(MOD(ROWS(C$2:C1079)-1,4)=3,"24.00",INDEX(Data,3,2+MOD(ROWS(C$2:C1079)-1,4)))</f>
        <v>12.00</v>
      </c>
      <c r="D1079" s="18">
        <f t="shared" ca="1" si="337"/>
        <v>758.7</v>
      </c>
      <c r="E1079" s="17">
        <f t="shared" ca="1" si="338"/>
        <v>0</v>
      </c>
      <c r="F1079" s="18">
        <f t="shared" ca="1" si="339"/>
        <v>29.3</v>
      </c>
      <c r="G1079" s="17">
        <f t="shared" ca="1" si="340"/>
        <v>0</v>
      </c>
      <c r="H1079" s="18" t="str">
        <f t="shared" ca="1" si="341"/>
        <v>—</v>
      </c>
      <c r="I1079" s="17">
        <f t="shared" ca="1" si="342"/>
        <v>7</v>
      </c>
      <c r="J1079" s="18" t="str">
        <f t="shared" ca="1" si="343"/>
        <v>—</v>
      </c>
      <c r="K1079" s="17">
        <f t="shared" ca="1" si="344"/>
        <v>7</v>
      </c>
      <c r="L1079" s="10">
        <f t="shared" ca="1" si="345"/>
        <v>83</v>
      </c>
      <c r="M1079" s="17">
        <f t="shared" ca="1" si="346"/>
        <v>0</v>
      </c>
      <c r="N1079" s="18">
        <f t="shared" ca="1" si="347"/>
        <v>25.4</v>
      </c>
      <c r="O1079" s="17">
        <f t="shared" ca="1" si="348"/>
        <v>0</v>
      </c>
      <c r="P1079" s="18">
        <f t="shared" ca="1" si="349"/>
        <v>26.9</v>
      </c>
      <c r="Q1079" s="17">
        <f t="shared" ca="1" si="350"/>
        <v>0</v>
      </c>
      <c r="R1079" s="10">
        <f t="shared" ca="1" si="351"/>
        <v>90</v>
      </c>
      <c r="S1079" s="17">
        <f t="shared" ca="1" si="352"/>
        <v>0</v>
      </c>
      <c r="T1079" s="70">
        <f t="shared" ca="1" si="353"/>
        <v>0.4</v>
      </c>
      <c r="U1079" s="17">
        <f t="shared" ca="1" si="354"/>
        <v>0</v>
      </c>
      <c r="V1079" s="71">
        <f t="shared" ca="1" si="355"/>
        <v>3</v>
      </c>
      <c r="W1079" s="17">
        <f t="shared" ca="1" si="356"/>
        <v>0</v>
      </c>
    </row>
    <row r="1080" spans="1:23" x14ac:dyDescent="0.25">
      <c r="A1080" s="4">
        <f t="shared" si="336"/>
        <v>32</v>
      </c>
      <c r="B1080" t="str">
        <f ca="1">TEXT(DATE(YEAR(Invoer!$A$6),1,1)+INT((ROWS(B$2:B1080)-1)/4),"jjjjmmdd")</f>
        <v>19400926</v>
      </c>
      <c r="C1080" s="64" t="str">
        <f>IF(MOD(ROWS(C$2:C1080)-1,4)=3,"24.00",INDEX(Data,3,2+MOD(ROWS(C$2:C1080)-1,4)))</f>
        <v>17.00</v>
      </c>
      <c r="D1080" s="18">
        <f t="shared" ca="1" si="337"/>
        <v>758.2</v>
      </c>
      <c r="E1080" s="17">
        <f t="shared" ca="1" si="338"/>
        <v>0</v>
      </c>
      <c r="F1080" s="18">
        <f t="shared" ca="1" si="339"/>
        <v>28.9</v>
      </c>
      <c r="G1080" s="17">
        <f t="shared" ca="1" si="340"/>
        <v>0</v>
      </c>
      <c r="H1080" s="18" t="str">
        <f t="shared" ca="1" si="341"/>
        <v>—</v>
      </c>
      <c r="I1080" s="17">
        <f t="shared" ca="1" si="342"/>
        <v>7</v>
      </c>
      <c r="J1080" s="18" t="str">
        <f t="shared" ca="1" si="343"/>
        <v>—</v>
      </c>
      <c r="K1080" s="17">
        <f t="shared" ca="1" si="344"/>
        <v>7</v>
      </c>
      <c r="L1080" s="10">
        <f t="shared" ca="1" si="345"/>
        <v>78</v>
      </c>
      <c r="M1080" s="17">
        <f t="shared" ca="1" si="346"/>
        <v>0</v>
      </c>
      <c r="N1080" s="18">
        <f t="shared" ca="1" si="347"/>
        <v>23.4</v>
      </c>
      <c r="O1080" s="17">
        <f t="shared" ca="1" si="348"/>
        <v>0</v>
      </c>
      <c r="P1080" s="18">
        <f t="shared" ca="1" si="349"/>
        <v>25.8</v>
      </c>
      <c r="Q1080" s="17">
        <f t="shared" ca="1" si="350"/>
        <v>0</v>
      </c>
      <c r="R1080" s="10">
        <f t="shared" ca="1" si="351"/>
        <v>90</v>
      </c>
      <c r="S1080" s="17">
        <f t="shared" ca="1" si="352"/>
        <v>0</v>
      </c>
      <c r="T1080" s="70">
        <f t="shared" ca="1" si="353"/>
        <v>0.4</v>
      </c>
      <c r="U1080" s="17">
        <f t="shared" ca="1" si="354"/>
        <v>0</v>
      </c>
      <c r="V1080" s="71">
        <f t="shared" ca="1" si="355"/>
        <v>3</v>
      </c>
      <c r="W1080" s="17">
        <f t="shared" ca="1" si="356"/>
        <v>0</v>
      </c>
    </row>
    <row r="1081" spans="1:23" x14ac:dyDescent="0.25">
      <c r="A1081" s="4">
        <f t="shared" si="336"/>
        <v>32</v>
      </c>
      <c r="B1081" t="str">
        <f ca="1">TEXT(DATE(YEAR(Invoer!$A$6),1,1)+INT((ROWS(B$2:B1081)-1)/4),"jjjjmmdd")</f>
        <v>19400926</v>
      </c>
      <c r="C1081" s="64" t="str">
        <f>IF(MOD(ROWS(C$2:C1081)-1,4)=3,"24.00",INDEX(Data,3,2+MOD(ROWS(C$2:C1081)-1,4)))</f>
        <v>24.00</v>
      </c>
      <c r="D1081" s="18" t="str">
        <f t="shared" ca="1" si="337"/>
        <v>—</v>
      </c>
      <c r="E1081" s="17">
        <f t="shared" ca="1" si="338"/>
        <v>7</v>
      </c>
      <c r="F1081" s="18" t="str">
        <f t="shared" ca="1" si="339"/>
        <v>—</v>
      </c>
      <c r="G1081" s="17">
        <f t="shared" ca="1" si="340"/>
        <v>7</v>
      </c>
      <c r="H1081" s="18">
        <f t="shared" ca="1" si="341"/>
        <v>29.3</v>
      </c>
      <c r="I1081" s="17">
        <f t="shared" ca="1" si="342"/>
        <v>0</v>
      </c>
      <c r="J1081" s="18">
        <f t="shared" ca="1" si="343"/>
        <v>30.8</v>
      </c>
      <c r="K1081" s="17">
        <f t="shared" ca="1" si="344"/>
        <v>0</v>
      </c>
      <c r="L1081" s="10" t="str">
        <f t="shared" ca="1" si="345"/>
        <v>—</v>
      </c>
      <c r="M1081" s="17">
        <f t="shared" ca="1" si="346"/>
        <v>7</v>
      </c>
      <c r="N1081" s="18" t="str">
        <f t="shared" ca="1" si="347"/>
        <v>—</v>
      </c>
      <c r="O1081" s="17">
        <f t="shared" ca="1" si="348"/>
        <v>7</v>
      </c>
      <c r="P1081" s="18" t="str">
        <f t="shared" ca="1" si="349"/>
        <v>—</v>
      </c>
      <c r="Q1081" s="17">
        <f t="shared" ca="1" si="350"/>
        <v>7</v>
      </c>
      <c r="R1081" s="10" t="str">
        <f t="shared" ca="1" si="351"/>
        <v>—</v>
      </c>
      <c r="S1081" s="17">
        <f t="shared" ca="1" si="352"/>
        <v>7</v>
      </c>
      <c r="T1081" s="70" t="str">
        <f t="shared" ca="1" si="353"/>
        <v>—</v>
      </c>
      <c r="U1081" s="17">
        <f t="shared" ca="1" si="354"/>
        <v>7</v>
      </c>
      <c r="V1081" s="71" t="str">
        <f t="shared" ca="1" si="355"/>
        <v>—</v>
      </c>
      <c r="W1081" s="17">
        <f t="shared" ca="1" si="356"/>
        <v>7</v>
      </c>
    </row>
    <row r="1082" spans="1:23" x14ac:dyDescent="0.25">
      <c r="A1082" s="4">
        <f t="shared" si="336"/>
        <v>32</v>
      </c>
      <c r="B1082" t="str">
        <f ca="1">TEXT(DATE(YEAR(Invoer!$A$6),1,1)+INT((ROWS(B$2:B1082)-1)/4),"jjjjmmdd")</f>
        <v>19400927</v>
      </c>
      <c r="C1082" s="64" t="str">
        <f>IF(MOD(ROWS(C$2:C1082)-1,4)=3,"24.00",INDEX(Data,3,2+MOD(ROWS(C$2:C1082)-1,4)))</f>
        <v>07.00</v>
      </c>
      <c r="D1082" s="18">
        <f t="shared" ca="1" si="337"/>
        <v>758.2</v>
      </c>
      <c r="E1082" s="17">
        <f t="shared" ca="1" si="338"/>
        <v>0</v>
      </c>
      <c r="F1082" s="18">
        <f t="shared" ca="1" si="339"/>
        <v>29.1</v>
      </c>
      <c r="G1082" s="17">
        <f t="shared" ca="1" si="340"/>
        <v>0</v>
      </c>
      <c r="H1082" s="18" t="str">
        <f t="shared" ca="1" si="341"/>
        <v>—</v>
      </c>
      <c r="I1082" s="17">
        <f t="shared" ca="1" si="342"/>
        <v>7</v>
      </c>
      <c r="J1082" s="18" t="str">
        <f t="shared" ca="1" si="343"/>
        <v>—</v>
      </c>
      <c r="K1082" s="17">
        <f t="shared" ca="1" si="344"/>
        <v>7</v>
      </c>
      <c r="L1082" s="10">
        <f t="shared" ca="1" si="345"/>
        <v>77</v>
      </c>
      <c r="M1082" s="17">
        <f t="shared" ca="1" si="346"/>
        <v>0</v>
      </c>
      <c r="N1082" s="18">
        <f t="shared" ca="1" si="347"/>
        <v>23.3</v>
      </c>
      <c r="O1082" s="17">
        <f t="shared" ca="1" si="348"/>
        <v>0</v>
      </c>
      <c r="P1082" s="18">
        <f t="shared" ca="1" si="349"/>
        <v>25.8</v>
      </c>
      <c r="Q1082" s="17">
        <f t="shared" ca="1" si="350"/>
        <v>0</v>
      </c>
      <c r="R1082" s="10">
        <f t="shared" ca="1" si="351"/>
        <v>90</v>
      </c>
      <c r="S1082" s="17">
        <f t="shared" ca="1" si="352"/>
        <v>0</v>
      </c>
      <c r="T1082" s="70">
        <f t="shared" ca="1" si="353"/>
        <v>0.3</v>
      </c>
      <c r="U1082" s="17">
        <f t="shared" ca="1" si="354"/>
        <v>0</v>
      </c>
      <c r="V1082" s="71">
        <f t="shared" ca="1" si="355"/>
        <v>3</v>
      </c>
      <c r="W1082" s="17">
        <f t="shared" ca="1" si="356"/>
        <v>0</v>
      </c>
    </row>
    <row r="1083" spans="1:23" x14ac:dyDescent="0.25">
      <c r="A1083" s="4">
        <f t="shared" si="336"/>
        <v>32</v>
      </c>
      <c r="B1083" t="str">
        <f ca="1">TEXT(DATE(YEAR(Invoer!$A$6),1,1)+INT((ROWS(B$2:B1083)-1)/4),"jjjjmmdd")</f>
        <v>19400927</v>
      </c>
      <c r="C1083" s="64" t="str">
        <f>IF(MOD(ROWS(C$2:C1083)-1,4)=3,"24.00",INDEX(Data,3,2+MOD(ROWS(C$2:C1083)-1,4)))</f>
        <v>12.00</v>
      </c>
      <c r="D1083" s="18">
        <f t="shared" ca="1" si="337"/>
        <v>758.7</v>
      </c>
      <c r="E1083" s="17">
        <f t="shared" ca="1" si="338"/>
        <v>0</v>
      </c>
      <c r="F1083" s="18">
        <f t="shared" ca="1" si="339"/>
        <v>29.5</v>
      </c>
      <c r="G1083" s="17">
        <f t="shared" ca="1" si="340"/>
        <v>0</v>
      </c>
      <c r="H1083" s="18" t="str">
        <f t="shared" ca="1" si="341"/>
        <v>—</v>
      </c>
      <c r="I1083" s="17">
        <f t="shared" ca="1" si="342"/>
        <v>7</v>
      </c>
      <c r="J1083" s="18" t="str">
        <f t="shared" ca="1" si="343"/>
        <v>—</v>
      </c>
      <c r="K1083" s="17">
        <f t="shared" ca="1" si="344"/>
        <v>7</v>
      </c>
      <c r="L1083" s="10">
        <f t="shared" ca="1" si="345"/>
        <v>89</v>
      </c>
      <c r="M1083" s="17">
        <f t="shared" ca="1" si="346"/>
        <v>0</v>
      </c>
      <c r="N1083" s="18">
        <f t="shared" ca="1" si="347"/>
        <v>25.1</v>
      </c>
      <c r="O1083" s="17">
        <f t="shared" ca="1" si="348"/>
        <v>0</v>
      </c>
      <c r="P1083" s="18">
        <f t="shared" ca="1" si="349"/>
        <v>26.8</v>
      </c>
      <c r="Q1083" s="17">
        <f t="shared" ca="1" si="350"/>
        <v>0</v>
      </c>
      <c r="R1083" s="10">
        <f t="shared" ca="1" si="351"/>
        <v>115</v>
      </c>
      <c r="S1083" s="17">
        <f t="shared" ca="1" si="352"/>
        <v>0</v>
      </c>
      <c r="T1083" s="70">
        <f t="shared" ca="1" si="353"/>
        <v>0.4</v>
      </c>
      <c r="U1083" s="17">
        <f t="shared" ca="1" si="354"/>
        <v>0</v>
      </c>
      <c r="V1083" s="71">
        <f t="shared" ca="1" si="355"/>
        <v>3</v>
      </c>
      <c r="W1083" s="17">
        <f t="shared" ca="1" si="356"/>
        <v>0</v>
      </c>
    </row>
    <row r="1084" spans="1:23" x14ac:dyDescent="0.25">
      <c r="A1084" s="4">
        <f t="shared" si="336"/>
        <v>32</v>
      </c>
      <c r="B1084" t="str">
        <f ca="1">TEXT(DATE(YEAR(Invoer!$A$6),1,1)+INT((ROWS(B$2:B1084)-1)/4),"jjjjmmdd")</f>
        <v>19400927</v>
      </c>
      <c r="C1084" s="64" t="str">
        <f>IF(MOD(ROWS(C$2:C1084)-1,4)=3,"24.00",INDEX(Data,3,2+MOD(ROWS(C$2:C1084)-1,4)))</f>
        <v>17.00</v>
      </c>
      <c r="D1084" s="18">
        <f t="shared" ca="1" si="337"/>
        <v>758.2</v>
      </c>
      <c r="E1084" s="17">
        <f t="shared" ca="1" si="338"/>
        <v>0</v>
      </c>
      <c r="F1084" s="18">
        <f t="shared" ca="1" si="339"/>
        <v>28.9</v>
      </c>
      <c r="G1084" s="17">
        <f t="shared" ca="1" si="340"/>
        <v>0</v>
      </c>
      <c r="H1084" s="18" t="str">
        <f t="shared" ca="1" si="341"/>
        <v>—</v>
      </c>
      <c r="I1084" s="17">
        <f t="shared" ca="1" si="342"/>
        <v>7</v>
      </c>
      <c r="J1084" s="18" t="str">
        <f t="shared" ca="1" si="343"/>
        <v>—</v>
      </c>
      <c r="K1084" s="17">
        <f t="shared" ca="1" si="344"/>
        <v>7</v>
      </c>
      <c r="L1084" s="10">
        <f t="shared" ca="1" si="345"/>
        <v>77</v>
      </c>
      <c r="M1084" s="17">
        <f t="shared" ca="1" si="346"/>
        <v>0</v>
      </c>
      <c r="N1084" s="18">
        <f t="shared" ca="1" si="347"/>
        <v>23</v>
      </c>
      <c r="O1084" s="17">
        <f t="shared" ca="1" si="348"/>
        <v>0</v>
      </c>
      <c r="P1084" s="18">
        <f t="shared" ca="1" si="349"/>
        <v>25.6</v>
      </c>
      <c r="Q1084" s="17">
        <f t="shared" ca="1" si="350"/>
        <v>0</v>
      </c>
      <c r="R1084" s="10">
        <f t="shared" ca="1" si="351"/>
        <v>115</v>
      </c>
      <c r="S1084" s="17">
        <f t="shared" ca="1" si="352"/>
        <v>0</v>
      </c>
      <c r="T1084" s="70">
        <f t="shared" ca="1" si="353"/>
        <v>0.4</v>
      </c>
      <c r="U1084" s="17">
        <f t="shared" ca="1" si="354"/>
        <v>0</v>
      </c>
      <c r="V1084" s="71">
        <f t="shared" ca="1" si="355"/>
        <v>3</v>
      </c>
      <c r="W1084" s="17">
        <f t="shared" ca="1" si="356"/>
        <v>0</v>
      </c>
    </row>
    <row r="1085" spans="1:23" x14ac:dyDescent="0.25">
      <c r="A1085" s="4">
        <f t="shared" si="336"/>
        <v>32</v>
      </c>
      <c r="B1085" t="str">
        <f ca="1">TEXT(DATE(YEAR(Invoer!$A$6),1,1)+INT((ROWS(B$2:B1085)-1)/4),"jjjjmmdd")</f>
        <v>19400927</v>
      </c>
      <c r="C1085" s="64" t="str">
        <f>IF(MOD(ROWS(C$2:C1085)-1,4)=3,"24.00",INDEX(Data,3,2+MOD(ROWS(C$2:C1085)-1,4)))</f>
        <v>24.00</v>
      </c>
      <c r="D1085" s="18" t="str">
        <f t="shared" ca="1" si="337"/>
        <v>—</v>
      </c>
      <c r="E1085" s="17">
        <f t="shared" ca="1" si="338"/>
        <v>7</v>
      </c>
      <c r="F1085" s="18" t="str">
        <f t="shared" ca="1" si="339"/>
        <v>—</v>
      </c>
      <c r="G1085" s="17">
        <f t="shared" ca="1" si="340"/>
        <v>7</v>
      </c>
      <c r="H1085" s="18">
        <f t="shared" ca="1" si="341"/>
        <v>29.3</v>
      </c>
      <c r="I1085" s="17">
        <f t="shared" ca="1" si="342"/>
        <v>0</v>
      </c>
      <c r="J1085" s="18">
        <f t="shared" ca="1" si="343"/>
        <v>31</v>
      </c>
      <c r="K1085" s="17">
        <f t="shared" ca="1" si="344"/>
        <v>0</v>
      </c>
      <c r="L1085" s="10" t="str">
        <f t="shared" ca="1" si="345"/>
        <v>—</v>
      </c>
      <c r="M1085" s="17">
        <f t="shared" ca="1" si="346"/>
        <v>7</v>
      </c>
      <c r="N1085" s="18" t="str">
        <f t="shared" ca="1" si="347"/>
        <v>—</v>
      </c>
      <c r="O1085" s="17">
        <f t="shared" ca="1" si="348"/>
        <v>7</v>
      </c>
      <c r="P1085" s="18" t="str">
        <f t="shared" ca="1" si="349"/>
        <v>—</v>
      </c>
      <c r="Q1085" s="17">
        <f t="shared" ca="1" si="350"/>
        <v>7</v>
      </c>
      <c r="R1085" s="10" t="str">
        <f t="shared" ca="1" si="351"/>
        <v>—</v>
      </c>
      <c r="S1085" s="17">
        <f t="shared" ca="1" si="352"/>
        <v>7</v>
      </c>
      <c r="T1085" s="70" t="str">
        <f t="shared" ca="1" si="353"/>
        <v>—</v>
      </c>
      <c r="U1085" s="17">
        <f t="shared" ca="1" si="354"/>
        <v>7</v>
      </c>
      <c r="V1085" s="71" t="str">
        <f t="shared" ca="1" si="355"/>
        <v>—</v>
      </c>
      <c r="W1085" s="17">
        <f t="shared" ca="1" si="356"/>
        <v>7</v>
      </c>
    </row>
    <row r="1086" spans="1:23" x14ac:dyDescent="0.25">
      <c r="A1086" s="4">
        <f t="shared" si="336"/>
        <v>32</v>
      </c>
      <c r="B1086" t="str">
        <f ca="1">TEXT(DATE(YEAR(Invoer!$A$6),1,1)+INT((ROWS(B$2:B1086)-1)/4),"jjjjmmdd")</f>
        <v>19400928</v>
      </c>
      <c r="C1086" s="64" t="str">
        <f>IF(MOD(ROWS(C$2:C1086)-1,4)=3,"24.00",INDEX(Data,3,2+MOD(ROWS(C$2:C1086)-1,4)))</f>
        <v>07.00</v>
      </c>
      <c r="D1086" s="18">
        <f t="shared" ca="1" si="337"/>
        <v>758.2</v>
      </c>
      <c r="E1086" s="17">
        <f t="shared" ca="1" si="338"/>
        <v>0</v>
      </c>
      <c r="F1086" s="18">
        <f t="shared" ca="1" si="339"/>
        <v>27.7</v>
      </c>
      <c r="G1086" s="17">
        <f t="shared" ca="1" si="340"/>
        <v>0</v>
      </c>
      <c r="H1086" s="18" t="str">
        <f t="shared" ca="1" si="341"/>
        <v>—</v>
      </c>
      <c r="I1086" s="17">
        <f t="shared" ca="1" si="342"/>
        <v>7</v>
      </c>
      <c r="J1086" s="18" t="str">
        <f t="shared" ca="1" si="343"/>
        <v>—</v>
      </c>
      <c r="K1086" s="17">
        <f t="shared" ca="1" si="344"/>
        <v>7</v>
      </c>
      <c r="L1086" s="10">
        <f t="shared" ca="1" si="345"/>
        <v>83</v>
      </c>
      <c r="M1086" s="17">
        <f t="shared" ca="1" si="346"/>
        <v>0</v>
      </c>
      <c r="N1086" s="18">
        <f t="shared" ca="1" si="347"/>
        <v>23.2</v>
      </c>
      <c r="O1086" s="17">
        <f t="shared" ca="1" si="348"/>
        <v>0</v>
      </c>
      <c r="P1086" s="18">
        <f t="shared" ca="1" si="349"/>
        <v>25.4</v>
      </c>
      <c r="Q1086" s="17">
        <f t="shared" ca="1" si="350"/>
        <v>0</v>
      </c>
      <c r="R1086" s="10">
        <f t="shared" ca="1" si="351"/>
        <v>90</v>
      </c>
      <c r="S1086" s="17">
        <f t="shared" ca="1" si="352"/>
        <v>0</v>
      </c>
      <c r="T1086" s="70">
        <f t="shared" ca="1" si="353"/>
        <v>0.3</v>
      </c>
      <c r="U1086" s="17">
        <f t="shared" ca="1" si="354"/>
        <v>0</v>
      </c>
      <c r="V1086" s="71">
        <f t="shared" ca="1" si="355"/>
        <v>2</v>
      </c>
      <c r="W1086" s="17">
        <f t="shared" ca="1" si="356"/>
        <v>0</v>
      </c>
    </row>
    <row r="1087" spans="1:23" x14ac:dyDescent="0.25">
      <c r="A1087" s="4">
        <f t="shared" si="336"/>
        <v>32</v>
      </c>
      <c r="B1087" t="str">
        <f ca="1">TEXT(DATE(YEAR(Invoer!$A$6),1,1)+INT((ROWS(B$2:B1087)-1)/4),"jjjjmmdd")</f>
        <v>19400928</v>
      </c>
      <c r="C1087" s="64" t="str">
        <f>IF(MOD(ROWS(C$2:C1087)-1,4)=3,"24.00",INDEX(Data,3,2+MOD(ROWS(C$2:C1087)-1,4)))</f>
        <v>12.00</v>
      </c>
      <c r="D1087" s="18">
        <f t="shared" ca="1" si="337"/>
        <v>758.2</v>
      </c>
      <c r="E1087" s="17">
        <f t="shared" ca="1" si="338"/>
        <v>0</v>
      </c>
      <c r="F1087" s="18">
        <f t="shared" ca="1" si="339"/>
        <v>29.1</v>
      </c>
      <c r="G1087" s="17">
        <f t="shared" ca="1" si="340"/>
        <v>0</v>
      </c>
      <c r="H1087" s="18" t="str">
        <f t="shared" ca="1" si="341"/>
        <v>—</v>
      </c>
      <c r="I1087" s="17">
        <f t="shared" ca="1" si="342"/>
        <v>7</v>
      </c>
      <c r="J1087" s="18" t="str">
        <f t="shared" ca="1" si="343"/>
        <v>—</v>
      </c>
      <c r="K1087" s="17">
        <f t="shared" ca="1" si="344"/>
        <v>7</v>
      </c>
      <c r="L1087" s="10">
        <f t="shared" ca="1" si="345"/>
        <v>81</v>
      </c>
      <c r="M1087" s="17">
        <f t="shared" ca="1" si="346"/>
        <v>0</v>
      </c>
      <c r="N1087" s="18">
        <f t="shared" ca="1" si="347"/>
        <v>24.5</v>
      </c>
      <c r="O1087" s="17">
        <f t="shared" ca="1" si="348"/>
        <v>0</v>
      </c>
      <c r="P1087" s="18">
        <f t="shared" ca="1" si="349"/>
        <v>26.4</v>
      </c>
      <c r="Q1087" s="17">
        <f t="shared" ca="1" si="350"/>
        <v>0</v>
      </c>
      <c r="R1087" s="10">
        <f t="shared" ca="1" si="351"/>
        <v>90</v>
      </c>
      <c r="S1087" s="17">
        <f t="shared" ca="1" si="352"/>
        <v>0</v>
      </c>
      <c r="T1087" s="70">
        <f t="shared" ca="1" si="353"/>
        <v>0.4</v>
      </c>
      <c r="U1087" s="17">
        <f t="shared" ca="1" si="354"/>
        <v>0</v>
      </c>
      <c r="V1087" s="71">
        <f t="shared" ca="1" si="355"/>
        <v>3</v>
      </c>
      <c r="W1087" s="17">
        <f t="shared" ca="1" si="356"/>
        <v>0</v>
      </c>
    </row>
    <row r="1088" spans="1:23" x14ac:dyDescent="0.25">
      <c r="A1088" s="4">
        <f t="shared" si="336"/>
        <v>32</v>
      </c>
      <c r="B1088" t="str">
        <f ca="1">TEXT(DATE(YEAR(Invoer!$A$6),1,1)+INT((ROWS(B$2:B1088)-1)/4),"jjjjmmdd")</f>
        <v>19400928</v>
      </c>
      <c r="C1088" s="64" t="str">
        <f>IF(MOD(ROWS(C$2:C1088)-1,4)=3,"24.00",INDEX(Data,3,2+MOD(ROWS(C$2:C1088)-1,4)))</f>
        <v>17.00</v>
      </c>
      <c r="D1088" s="18">
        <f t="shared" ca="1" si="337"/>
        <v>758.2</v>
      </c>
      <c r="E1088" s="17">
        <f t="shared" ca="1" si="338"/>
        <v>0</v>
      </c>
      <c r="F1088" s="18">
        <f t="shared" ca="1" si="339"/>
        <v>28.9</v>
      </c>
      <c r="G1088" s="17">
        <f t="shared" ca="1" si="340"/>
        <v>0</v>
      </c>
      <c r="H1088" s="18" t="str">
        <f t="shared" ca="1" si="341"/>
        <v>—</v>
      </c>
      <c r="I1088" s="17">
        <f t="shared" ca="1" si="342"/>
        <v>7</v>
      </c>
      <c r="J1088" s="18" t="str">
        <f t="shared" ca="1" si="343"/>
        <v>—</v>
      </c>
      <c r="K1088" s="17">
        <f t="shared" ca="1" si="344"/>
        <v>7</v>
      </c>
      <c r="L1088" s="10">
        <f t="shared" ca="1" si="345"/>
        <v>74</v>
      </c>
      <c r="M1088" s="17">
        <f t="shared" ca="1" si="346"/>
        <v>0</v>
      </c>
      <c r="N1088" s="18">
        <f t="shared" ca="1" si="347"/>
        <v>22.2</v>
      </c>
      <c r="O1088" s="17">
        <f t="shared" ca="1" si="348"/>
        <v>0</v>
      </c>
      <c r="P1088" s="18">
        <f t="shared" ca="1" si="349"/>
        <v>25.2</v>
      </c>
      <c r="Q1088" s="17">
        <f t="shared" ca="1" si="350"/>
        <v>0</v>
      </c>
      <c r="R1088" s="10">
        <f t="shared" ca="1" si="351"/>
        <v>90</v>
      </c>
      <c r="S1088" s="17">
        <f t="shared" ca="1" si="352"/>
        <v>0</v>
      </c>
      <c r="T1088" s="70">
        <f t="shared" ca="1" si="353"/>
        <v>0.5</v>
      </c>
      <c r="U1088" s="17">
        <f t="shared" ca="1" si="354"/>
        <v>0</v>
      </c>
      <c r="V1088" s="71">
        <f t="shared" ca="1" si="355"/>
        <v>2</v>
      </c>
      <c r="W1088" s="17">
        <f t="shared" ca="1" si="356"/>
        <v>0</v>
      </c>
    </row>
    <row r="1089" spans="1:23" x14ac:dyDescent="0.25">
      <c r="A1089" s="4">
        <f t="shared" si="336"/>
        <v>32</v>
      </c>
      <c r="B1089" t="str">
        <f ca="1">TEXT(DATE(YEAR(Invoer!$A$6),1,1)+INT((ROWS(B$2:B1089)-1)/4),"jjjjmmdd")</f>
        <v>19400928</v>
      </c>
      <c r="C1089" s="64" t="str">
        <f>IF(MOD(ROWS(C$2:C1089)-1,4)=3,"24.00",INDEX(Data,3,2+MOD(ROWS(C$2:C1089)-1,4)))</f>
        <v>24.00</v>
      </c>
      <c r="D1089" s="18" t="str">
        <f t="shared" ca="1" si="337"/>
        <v>—</v>
      </c>
      <c r="E1089" s="17">
        <f t="shared" ca="1" si="338"/>
        <v>7</v>
      </c>
      <c r="F1089" s="18" t="str">
        <f t="shared" ca="1" si="339"/>
        <v>—</v>
      </c>
      <c r="G1089" s="17">
        <f t="shared" ca="1" si="340"/>
        <v>7</v>
      </c>
      <c r="H1089" s="18">
        <f t="shared" ca="1" si="341"/>
        <v>29</v>
      </c>
      <c r="I1089" s="17">
        <f t="shared" ca="1" si="342"/>
        <v>0</v>
      </c>
      <c r="J1089" s="18">
        <f t="shared" ca="1" si="343"/>
        <v>30.4</v>
      </c>
      <c r="K1089" s="17">
        <f t="shared" ca="1" si="344"/>
        <v>0</v>
      </c>
      <c r="L1089" s="10" t="str">
        <f t="shared" ca="1" si="345"/>
        <v>—</v>
      </c>
      <c r="M1089" s="17">
        <f t="shared" ca="1" si="346"/>
        <v>7</v>
      </c>
      <c r="N1089" s="18" t="str">
        <f t="shared" ca="1" si="347"/>
        <v>—</v>
      </c>
      <c r="O1089" s="17">
        <f t="shared" ca="1" si="348"/>
        <v>7</v>
      </c>
      <c r="P1089" s="18" t="str">
        <f t="shared" ca="1" si="349"/>
        <v>—</v>
      </c>
      <c r="Q1089" s="17">
        <f t="shared" ca="1" si="350"/>
        <v>7</v>
      </c>
      <c r="R1089" s="10" t="str">
        <f t="shared" ca="1" si="351"/>
        <v>—</v>
      </c>
      <c r="S1089" s="17">
        <f t="shared" ca="1" si="352"/>
        <v>7</v>
      </c>
      <c r="T1089" s="70" t="str">
        <f t="shared" ca="1" si="353"/>
        <v>—</v>
      </c>
      <c r="U1089" s="17">
        <f t="shared" ca="1" si="354"/>
        <v>7</v>
      </c>
      <c r="V1089" s="71" t="str">
        <f t="shared" ca="1" si="355"/>
        <v>—</v>
      </c>
      <c r="W1089" s="17">
        <f t="shared" ca="1" si="356"/>
        <v>7</v>
      </c>
    </row>
    <row r="1090" spans="1:23" x14ac:dyDescent="0.25">
      <c r="A1090" s="4">
        <f t="shared" ref="A1090:A1153" si="357">INDEX(Stations,2,1)</f>
        <v>32</v>
      </c>
      <c r="B1090" t="str">
        <f ca="1">TEXT(DATE(YEAR(Invoer!$A$6),1,1)+INT((ROWS(B$2:B1090)-1)/4),"jjjjmmdd")</f>
        <v>19400929</v>
      </c>
      <c r="C1090" s="64" t="str">
        <f>IF(MOD(ROWS(C$2:C1090)-1,4)=3,"24.00",INDEX(Data,3,2+MOD(ROWS(C$2:C1090)-1,4)))</f>
        <v>07.00</v>
      </c>
      <c r="D1090" s="18">
        <f t="shared" ref="D1090:D1153" ca="1" si="358">IF(OR(ISBLANK(VLOOKUP(DATEVALUE(LEFT($B1090,4)&amp;"-"&amp;MID($B1090,5,2)&amp;"-"&amp;RIGHT($B1090,2)),Data,MATCH(LEFT(VLOOKUP(D$1,Parameters,2,FALSE()),4)&amp;"*",OFFSET(Data,0,0,1),0)+MATCH($C1090,OFFSET(Data,2,0,1),0)-2,FALSE())),ISTEXT(VLOOKUP(DATEVALUE(LEFT($B1090,4)&amp;"-"&amp;MID($B1090,5,2)&amp;"-"&amp;RIGHT($B1090,2)),Data,MATCH(LEFT(VLOOKUP(D$1,Parameters,2,FALSE()),4)&amp;"*",OFFSET(Data,0,0,1),0)+MATCH($C1090,OFFSET(Data,2,0,1),0)-2,FALSE())),EXACT($C1090,"24.00")),"—",VLOOKUP(DATEVALUE(LEFT($B1090,4)&amp;"-"&amp;MID($B1090,5,2)&amp;"-"&amp;RIGHT($B1090,2)),Data,MATCH(LEFT(VLOOKUP(D$1,Parameters,2,FALSE()),4)&amp;"*",OFFSET(Data,0,0,1),0)+MATCH($C1090,OFFSET(Data,2,0,1),0)-2,FALSE())/10)</f>
        <v>757.9</v>
      </c>
      <c r="E1090" s="17">
        <f t="shared" ref="E1090:E1153" ca="1" si="359">IF(OR(ISBLANK(VLOOKUP(DATEVALUE(LEFT($B1090,4)&amp;"-"&amp;MID($B1090,5,2)&amp;"-"&amp;RIGHT($B1090,2)),Data,MATCH(LEFT(VLOOKUP(MID(E$1,2,LEN(E$1)-1),Parameters,2,FALSE()),4)&amp;"*",OFFSET(Data,0,0,1),0)+MATCH($C1090,OFFSET(Data,2,0,1),0)-2,FALSE())),ISTEXT(VLOOKUP(DATEVALUE(LEFT($B1090,4)&amp;"-"&amp;MID($B1090,5,2)&amp;"-"&amp;RIGHT($B1090,2)),Data,MATCH(LEFT(VLOOKUP(MID(E$1,2,LEN(E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Data,2,0,1),0)-2,FALSE())))</f>
        <v>0</v>
      </c>
      <c r="F1090" s="18">
        <f t="shared" ref="F1090:F1153" ca="1" si="360">IF(OR(ISBLANK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ISTEXT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EXACT($C1090,"24.00")),"—",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/10)</f>
        <v>28.9</v>
      </c>
      <c r="G1090" s="17">
        <f t="shared" ref="G1090:G1153" ca="1" si="361">IF(OR(ISBLANK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ISTEXT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G$1,2,LEN(G$1)-1),Parameters,2,FALSE()),FIND(LOWER(MID(G$1,2,1)),VLOOKUP(MID(G$1,2,LEN(G$1)-1),Parameters,2,FALSE()),5),4)&amp;"*",OFFSET(Catalogus,0,0,1),0)+2*MATCH($C1090,OFFSET(Catalogus,2,0,1),0)+MATCH(LEFT(VLOOKUP(MID(G$1,2,LEN(G$1)-1),Parameters,2,FALSE()),3)&amp;"*",OFFSET(Catalogus,2,4,1),0)-5,FALSE())))</f>
        <v>0</v>
      </c>
      <c r="H1090" s="18" t="str">
        <f t="shared" ref="H1090:H1153" ca="1" si="362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/10)</f>
        <v>—</v>
      </c>
      <c r="I1090" s="17">
        <f t="shared" ref="I1090:I1153" ca="1" si="363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7</v>
      </c>
      <c r="J1090" s="18" t="str">
        <f t="shared" ref="J1090:J1153" ca="1" si="364">IF(OR(ISBLANK(VLOOKUP(DATEVALUE(LEFT($B1090,4)&amp;"-"&amp;MID($B1090,5,2)&amp;"-"&amp;RIGHT($B1090,2)),Data,MATCH(LEFT(VLOOKUP(J$1,Parameters,2,FALSE()),4)&amp;"*",OFFSET(Data,1,0,1),0),FALSE())),ISTEXT(VLOOKUP(DATEVALUE(LEFT($B1090,4)&amp;"-"&amp;MID($B1090,5,2)&amp;"-"&amp;RIGHT($B1090,2)),Data,MATCH(LEFT(VLOOKUP(J$1,Parameters,2,FALSE()),4)&amp;"*",OFFSET(Data,1,0,1),0),FALSE())),NOT(EXACT($C1090,"24.00"))),"—",VLOOKUP(DATEVALUE(LEFT($B1090,4)&amp;"-"&amp;MID($B1090,5,2)&amp;"-"&amp;RIGHT($B1090,2)),Data,MATCH(LEFT(VLOOKUP(J$1,Parameters,2,FALSE()),4)&amp;"*",OFFSET(Data,1,0,1),0),FALSE())/10)</f>
        <v>—</v>
      </c>
      <c r="K1090" s="17">
        <f t="shared" ref="K1090:K1153" ca="1" si="365">IF(OR(ISBLANK(VLOOKUP(DATEVALUE(LEFT($B1090,4)&amp;"-"&amp;MID($B1090,5,2)&amp;"-"&amp;RIGHT($B1090,2)),Data,MATCH(LEFT(VLOOKUP(MID(K$1,2,LEN(K$1)-1),Parameters,2,FALSE()),4)&amp;"*",OFFSET(Data,1,0,1),0),FALSE())),ISTEXT(VLOOKUP(DATEVALUE(LEFT($B1090,4)&amp;"-"&amp;MID($B1090,5,2)&amp;"-"&amp;RIGHT($B1090,2)),Data,MATCH(LEFT(VLOOKUP(MID(K$1,2,LEN(K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K$1,2,LEN(K$1)-1),Parameters,2,FALSE()),4)&amp;"*",OFFSET(Catalogus,1,0,1),0),FALSE())))</f>
        <v>7</v>
      </c>
      <c r="L1090" s="10">
        <f t="shared" ref="L1090:L1153" ca="1" si="366">IF(OR(ISBLANK(VLOOKUP(DATEVALUE(LEFT($B1090,4)&amp;"-"&amp;MID($B1090,5,2)&amp;"-"&amp;RIGHT($B1090,2)),Data,MATCH(LEFT(VLOOKUP(L$1,Parameters,2,FALSE()),4)&amp;"*",OFFSET(Data,0,0,1),0)+MATCH($C1090,OFFSET(Data,2,0,1),0)-2,FALSE())),ISTEXT(VLOOKUP(DATEVALUE(LEFT($B1090,4)&amp;"-"&amp;MID($B1090,5,2)&amp;"-"&amp;RIGHT($B1090,2)),Data,MATCH(LEFT(VLOOKUP(L$1,Parameters,2,FALSE()),4)&amp;"*",OFFSET(Data,0,0,1),0)+MATCH($C1090,OFFSET(Data,2,0,1),0)-2,FALSE())),EXACT($C1090,"24.00")),"—",VLOOKUP(DATEVALUE(LEFT($B1090,4)&amp;"-"&amp;MID($B1090,5,2)&amp;"-"&amp;RIGHT($B1090,2)),Data,MATCH(LEFT(VLOOKUP(L$1,Parameters,2,FALSE()),4)&amp;"*",OFFSET(Data,0,0,1),0)+MATCH($C1090,OFFSET(Data,2,0,1),0)-2,FALSE()))</f>
        <v>74</v>
      </c>
      <c r="M1090" s="17">
        <f t="shared" ref="M1090:M1153" ca="1" si="367">IF(OR(ISBLANK(VLOOKUP(DATEVALUE(LEFT($B1090,4)&amp;"-"&amp;MID($B1090,5,2)&amp;"-"&amp;RIGHT($B1090,2)),Data,MATCH(LEFT(VLOOKUP(MID(M$1,2,LEN(M$1)-1),Parameters,2,FALSE()),4)&amp;"*",OFFSET(Data,0,0,1),0)+MATCH($C1090,OFFSET(Data,2,0,1),0)-2,FALSE())),ISTEXT(VLOOKUP(DATEVALUE(LEFT($B1090,4)&amp;"-"&amp;MID($B1090,5,2)&amp;"-"&amp;RIGHT($B1090,2)),Data,MATCH(LEFT(VLOOKUP(MID(M$1,2,LEN(M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M$1,2,LEN(M$1)-1),Parameters,2,FALSE()),4)&amp;"*",OFFSET(Catalogus,0,0,1),0)+MATCH($C1090,OFFSET(Data,2,0,1),0)-2,FALSE())))</f>
        <v>0</v>
      </c>
      <c r="N1090" s="18">
        <f t="shared" ref="N1090:N1153" ca="1" si="368">IF(OR(ISBLANK(VLOOKUP(DATEVALUE(LEFT($B1090,4)&amp;"-"&amp;MID($B1090,5,2)&amp;"-"&amp;RIGHT($B1090,2)),Data,MATCH(LEFT(VLOOKUP(N$1,Parameters,2,FALSE()),4)&amp;"*",OFFSET(Data,0,0,1),0)+MATCH($C1090,OFFSET(Data,2,0,1),0)-2,FALSE())),ISTEXT(VLOOKUP(DATEVALUE(LEFT($B1090,4)&amp;"-"&amp;MID($B1090,5,2)&amp;"-"&amp;RIGHT($B1090,2)),Data,MATCH(LEFT(VLOOKUP(N$1,Parameters,2,FALSE()),4)&amp;"*",OFFSET(Data,0,0,1),0)+MATCH($C1090,OFFSET(Data,2,0,1),0)-2,FALSE())),EXACT($C1090,"24.00")),"—",VLOOKUP(DATEVALUE(LEFT($B1090,4)&amp;"-"&amp;MID($B1090,5,2)&amp;"-"&amp;RIGHT($B1090,2)),Data,MATCH(LEFT(VLOOKUP(N$1,Parameters,2,FALSE()),4)&amp;"*",OFFSET(Data,0,0,1),0)+MATCH($C1090,OFFSET(Data,2,0,1),0)-2,FALSE())/10)</f>
        <v>22.2</v>
      </c>
      <c r="O1090" s="17">
        <f t="shared" ref="O1090:O1153" ca="1" si="369">IF(OR(ISBLANK(VLOOKUP(DATEVALUE(LEFT($B1090,4)&amp;"-"&amp;MID($B1090,5,2)&amp;"-"&amp;RIGHT($B1090,2)),Data,MATCH(LEFT(VLOOKUP(MID(O$1,2,LEN(O$1)-1),Parameters,2,FALSE()),4)&amp;"*",OFFSET(Data,0,0,1),0)+MATCH($C1090,OFFSET(Data,2,0,1),0)-2,FALSE())),ISTEXT(VLOOKUP(DATEVALUE(LEFT($B1090,4)&amp;"-"&amp;MID($B1090,5,2)&amp;"-"&amp;RIGHT($B1090,2)),Data,MATCH(LEFT(VLOOKUP(MID(O$1,2,LEN(O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O$1,2,LEN(O$1)-1),Parameters,2,FALSE()),4)&amp;"*",OFFSET(Catalogus,0,0,1),0)+MATCH($C1090,OFFSET(Data,2,0,1),0)-2,FALSE())))</f>
        <v>0</v>
      </c>
      <c r="P1090" s="18">
        <f t="shared" ref="P1090:P1153" ca="1" si="370">IF(OR(ISBLANK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ISTEXT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EXACT($C1090,"24.00")),"—",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/10)</f>
        <v>25.2</v>
      </c>
      <c r="Q1090" s="17">
        <f t="shared" ref="Q1090:Q1153" ca="1" si="371">IF(OR(ISBLANK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ISTEXT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Q$1,2,LEN(Q$1)-1),Parameters,2,FALSE()),FIND(LOWER(MID(Q$1,2,1)),VLOOKUP(MID(Q$1,2,LEN(Q$1)-1),Parameters,2,FALSE()),5),4)&amp;"*",OFFSET(Catalogus,0,0,1),0)+2*MATCH($C1090,OFFSET(Catalogus,2,0,1),0)+MATCH(LEFT(VLOOKUP(MID(Q$1,2,LEN(Q$1)-1),Parameters,2,FALSE()),3)&amp;"*",OFFSET(Catalogus,2,4,1),0)-5,FALSE())))</f>
        <v>0</v>
      </c>
      <c r="R1090" s="10">
        <f t="shared" ref="R1090:R1153" ca="1" si="372">IF(OR(ISBLANK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),ISNA(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1,1,,1),0)),EXACT($C1090,"24.00")),"—",INDEX(Windrichting,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0,1,,1),0),1))</f>
        <v>115</v>
      </c>
      <c r="S1090" s="17">
        <f t="shared" ref="S1090:S1153" ca="1" si="373">IF(OR(ISBLANK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),ISNA(MATCH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,OFFSET(Windrichting,1,1,,1),0)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S$1,2,LEN(S$1)-1),Parameters,2,FALSE()),4)&amp;"*",OFFSET(Catalogus,0,0,1),0)+2*MATCH($C1090,OFFSET(Catalogus,2,0,1),0)+MATCH(MID(VLOOKUP(MID(S$1,2,LEN(S$1)-1),Parameters,2,FALSE()),5,LEN(VLOOKUP(MID(S$1,2,LEN(S$1)-1),Parameters,2,FALSE()))-4)&amp;"*",OFFSET(Catalogus,2,19,1),0)-5,FALSE())))</f>
        <v>0</v>
      </c>
      <c r="T1090" s="70">
        <f t="shared" ref="T1090:T1153" ca="1" si="374">IF(OR(ISBLANK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ISTEXT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EXACT($C1090,"24.00")),"—",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/10)</f>
        <v>0.4</v>
      </c>
      <c r="U1090" s="17">
        <f t="shared" ref="U1090:U1153" ca="1" si="375">IF(OR(ISBLANK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ISTEXT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U$1,2,LEN(U$1)-1),Parameters,2,FALSE()),4)&amp;"*",OFFSET(Catalogus,0,0,1),0)+2*MATCH($C1090,OFFSET(Catalogus,2,0,1),0)+MATCH(MID(VLOOKUP(MID(U$1,2,LEN(U$1)-1),Parameters,2,FALSE()),5,LEN(VLOOKUP(MID(U$1,2,LEN(U$1)-1),Parameters,2,FALSE()))-4)&amp;"*",OFFSET(Catalogus,2,19,1),0)-5,FALSE())))</f>
        <v>0</v>
      </c>
      <c r="V1090" s="71">
        <f t="shared" ref="V1090:V1153" ca="1" si="376">IF(OR(ISBLANK(VLOOKUP(DATEVALUE(LEFT($B1090,4)&amp;"-"&amp;MID($B1090,5,2)&amp;"-"&amp;RIGHT($B1090,2)),Data,MATCH(LEFT(VLOOKUP(V$1,Parameters,2,FALSE()),4)&amp;"*",OFFSET(Data,0,0,1),0)+MATCH($C1090,OFFSET(Data,2,0,1),0)-2,FALSE())),ISTEXT(VLOOKUP(DATEVALUE(LEFT($B1090,4)&amp;"-"&amp;MID($B1090,5,2)&amp;"-"&amp;RIGHT($B1090,2)),Data,MATCH(LEFT(VLOOKUP(V$1,Parameters,2,FALSE()),4)&amp;"*",OFFSET(Data,0,0,1),0)+MATCH($C1090,OFFSET(Data,2,0,1),0)-2,FALSE())),EXACT($C1090,"24.00")),"—",VLOOKUP(DATEVALUE(LEFT($B1090,4)&amp;"-"&amp;MID($B1090,5,2)&amp;"-"&amp;RIGHT($B1090,2)),Data,MATCH(LEFT(VLOOKUP(V$1,Parameters,2,FALSE()),4)&amp;"*",OFFSET(Data,0,0,1),0)+MATCH($C1090,OFFSET(Data,2,0,1),0)-2,FALSE()))</f>
        <v>2</v>
      </c>
      <c r="W1090" s="17">
        <f t="shared" ref="W1090:W1153" ca="1" si="377">IF(OR(ISBLANK(VLOOKUP(DATEVALUE(LEFT($B1090,4)&amp;"-"&amp;MID($B1090,5,2)&amp;"-"&amp;RIGHT($B1090,2)),Data,MATCH(LEFT(VLOOKUP(MID(W$1,2,LEN(W$1)-1),Parameters,2,FALSE()),4)&amp;"*",OFFSET(Data,0,0,1),0)+MATCH($C1090,OFFSET(Data,2,0,1),0)-2,FALSE())),ISTEXT(VLOOKUP(DATEVALUE(LEFT($B1090,4)&amp;"-"&amp;MID($B1090,5,2)&amp;"-"&amp;RIGHT($B1090,2)),Data,MATCH(LEFT(VLOOKUP(MID(W$1,2,LEN(W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W$1,2,LEN(W$1)-1),Parameters,2,FALSE()),4)&amp;"*",OFFSET(Catalogus,0,0,1),0)+MATCH($C1090,OFFSET(Data,2,0,1),0)-2,FALSE())))</f>
        <v>0</v>
      </c>
    </row>
    <row r="1091" spans="1:23" x14ac:dyDescent="0.25">
      <c r="A1091" s="4">
        <f t="shared" si="357"/>
        <v>32</v>
      </c>
      <c r="B1091" t="str">
        <f ca="1">TEXT(DATE(YEAR(Invoer!$A$6),1,1)+INT((ROWS(B$2:B1091)-1)/4),"jjjjmmdd")</f>
        <v>19400929</v>
      </c>
      <c r="C1091" s="64" t="str">
        <f>IF(MOD(ROWS(C$2:C1091)-1,4)=3,"24.00",INDEX(Data,3,2+MOD(ROWS(C$2:C1091)-1,4)))</f>
        <v>12.00</v>
      </c>
      <c r="D1091" s="18">
        <f t="shared" ca="1" si="358"/>
        <v>757.9</v>
      </c>
      <c r="E1091" s="17">
        <f t="shared" ca="1" si="359"/>
        <v>0</v>
      </c>
      <c r="F1091" s="18">
        <f t="shared" ca="1" si="360"/>
        <v>29.3</v>
      </c>
      <c r="G1091" s="17">
        <f t="shared" ca="1" si="361"/>
        <v>0</v>
      </c>
      <c r="H1091" s="18" t="str">
        <f t="shared" ca="1" si="362"/>
        <v>—</v>
      </c>
      <c r="I1091" s="17">
        <f t="shared" ca="1" si="363"/>
        <v>7</v>
      </c>
      <c r="J1091" s="18" t="str">
        <f t="shared" ca="1" si="364"/>
        <v>—</v>
      </c>
      <c r="K1091" s="17">
        <f t="shared" ca="1" si="365"/>
        <v>7</v>
      </c>
      <c r="L1091" s="10">
        <f t="shared" ca="1" si="366"/>
        <v>76</v>
      </c>
      <c r="M1091" s="17">
        <f t="shared" ca="1" si="367"/>
        <v>0</v>
      </c>
      <c r="N1091" s="18">
        <f t="shared" ca="1" si="368"/>
        <v>23.2</v>
      </c>
      <c r="O1091" s="17">
        <f t="shared" ca="1" si="369"/>
        <v>0</v>
      </c>
      <c r="P1091" s="18">
        <f t="shared" ca="1" si="370"/>
        <v>25.8</v>
      </c>
      <c r="Q1091" s="17">
        <f t="shared" ca="1" si="371"/>
        <v>0</v>
      </c>
      <c r="R1091" s="10">
        <f t="shared" ca="1" si="372"/>
        <v>90</v>
      </c>
      <c r="S1091" s="17">
        <f t="shared" ca="1" si="373"/>
        <v>0</v>
      </c>
      <c r="T1091" s="70">
        <f t="shared" ca="1" si="374"/>
        <v>0.5</v>
      </c>
      <c r="U1091" s="17">
        <f t="shared" ca="1" si="375"/>
        <v>0</v>
      </c>
      <c r="V1091" s="71">
        <f t="shared" ca="1" si="376"/>
        <v>3</v>
      </c>
      <c r="W1091" s="17">
        <f t="shared" ca="1" si="377"/>
        <v>0</v>
      </c>
    </row>
    <row r="1092" spans="1:23" x14ac:dyDescent="0.25">
      <c r="A1092" s="4">
        <f t="shared" si="357"/>
        <v>32</v>
      </c>
      <c r="B1092" t="str">
        <f ca="1">TEXT(DATE(YEAR(Invoer!$A$6),1,1)+INT((ROWS(B$2:B1092)-1)/4),"jjjjmmdd")</f>
        <v>19400929</v>
      </c>
      <c r="C1092" s="64" t="str">
        <f>IF(MOD(ROWS(C$2:C1092)-1,4)=3,"24.00",INDEX(Data,3,2+MOD(ROWS(C$2:C1092)-1,4)))</f>
        <v>17.00</v>
      </c>
      <c r="D1092" s="18">
        <f t="shared" ca="1" si="358"/>
        <v>757.9</v>
      </c>
      <c r="E1092" s="17">
        <f t="shared" ca="1" si="359"/>
        <v>0</v>
      </c>
      <c r="F1092" s="18">
        <f t="shared" ca="1" si="360"/>
        <v>28.9</v>
      </c>
      <c r="G1092" s="17">
        <f t="shared" ca="1" si="361"/>
        <v>0</v>
      </c>
      <c r="H1092" s="18" t="str">
        <f t="shared" ca="1" si="362"/>
        <v>—</v>
      </c>
      <c r="I1092" s="17">
        <f t="shared" ca="1" si="363"/>
        <v>7</v>
      </c>
      <c r="J1092" s="18" t="str">
        <f t="shared" ca="1" si="364"/>
        <v>—</v>
      </c>
      <c r="K1092" s="17">
        <f t="shared" ca="1" si="365"/>
        <v>7</v>
      </c>
      <c r="L1092" s="10">
        <f t="shared" ca="1" si="366"/>
        <v>77</v>
      </c>
      <c r="M1092" s="17">
        <f t="shared" ca="1" si="367"/>
        <v>0</v>
      </c>
      <c r="N1092" s="18">
        <f t="shared" ca="1" si="368"/>
        <v>23</v>
      </c>
      <c r="O1092" s="17">
        <f t="shared" ca="1" si="369"/>
        <v>0</v>
      </c>
      <c r="P1092" s="18">
        <f t="shared" ca="1" si="370"/>
        <v>25.6</v>
      </c>
      <c r="Q1092" s="17">
        <f t="shared" ca="1" si="371"/>
        <v>0</v>
      </c>
      <c r="R1092" s="10">
        <f t="shared" ca="1" si="372"/>
        <v>90</v>
      </c>
      <c r="S1092" s="17">
        <f t="shared" ca="1" si="373"/>
        <v>0</v>
      </c>
      <c r="T1092" s="70">
        <f t="shared" ca="1" si="374"/>
        <v>0.6</v>
      </c>
      <c r="U1092" s="17">
        <f t="shared" ca="1" si="375"/>
        <v>0</v>
      </c>
      <c r="V1092" s="71">
        <f t="shared" ca="1" si="376"/>
        <v>2</v>
      </c>
      <c r="W1092" s="17">
        <f t="shared" ca="1" si="377"/>
        <v>0</v>
      </c>
    </row>
    <row r="1093" spans="1:23" x14ac:dyDescent="0.25">
      <c r="A1093" s="4">
        <f t="shared" si="357"/>
        <v>32</v>
      </c>
      <c r="B1093" t="str">
        <f ca="1">TEXT(DATE(YEAR(Invoer!$A$6),1,1)+INT((ROWS(B$2:B1093)-1)/4),"jjjjmmdd")</f>
        <v>19400929</v>
      </c>
      <c r="C1093" s="64" t="str">
        <f>IF(MOD(ROWS(C$2:C1093)-1,4)=3,"24.00",INDEX(Data,3,2+MOD(ROWS(C$2:C1093)-1,4)))</f>
        <v>24.00</v>
      </c>
      <c r="D1093" s="18" t="str">
        <f t="shared" ca="1" si="358"/>
        <v>—</v>
      </c>
      <c r="E1093" s="17">
        <f t="shared" ca="1" si="359"/>
        <v>7</v>
      </c>
      <c r="F1093" s="18" t="str">
        <f t="shared" ca="1" si="360"/>
        <v>—</v>
      </c>
      <c r="G1093" s="17">
        <f t="shared" ca="1" si="361"/>
        <v>7</v>
      </c>
      <c r="H1093" s="18">
        <f t="shared" ca="1" si="362"/>
        <v>30</v>
      </c>
      <c r="I1093" s="17">
        <f t="shared" ca="1" si="363"/>
        <v>0</v>
      </c>
      <c r="J1093" s="18">
        <f t="shared" ca="1" si="364"/>
        <v>31</v>
      </c>
      <c r="K1093" s="17">
        <f t="shared" ca="1" si="365"/>
        <v>0</v>
      </c>
      <c r="L1093" s="10" t="str">
        <f t="shared" ca="1" si="366"/>
        <v>—</v>
      </c>
      <c r="M1093" s="17">
        <f t="shared" ca="1" si="367"/>
        <v>7</v>
      </c>
      <c r="N1093" s="18" t="str">
        <f t="shared" ca="1" si="368"/>
        <v>—</v>
      </c>
      <c r="O1093" s="17">
        <f t="shared" ca="1" si="369"/>
        <v>7</v>
      </c>
      <c r="P1093" s="18" t="str">
        <f t="shared" ca="1" si="370"/>
        <v>—</v>
      </c>
      <c r="Q1093" s="17">
        <f t="shared" ca="1" si="371"/>
        <v>7</v>
      </c>
      <c r="R1093" s="10" t="str">
        <f t="shared" ca="1" si="372"/>
        <v>—</v>
      </c>
      <c r="S1093" s="17">
        <f t="shared" ca="1" si="373"/>
        <v>7</v>
      </c>
      <c r="T1093" s="70" t="str">
        <f t="shared" ca="1" si="374"/>
        <v>—</v>
      </c>
      <c r="U1093" s="17">
        <f t="shared" ca="1" si="375"/>
        <v>7</v>
      </c>
      <c r="V1093" s="71" t="str">
        <f t="shared" ca="1" si="376"/>
        <v>—</v>
      </c>
      <c r="W1093" s="17">
        <f t="shared" ca="1" si="377"/>
        <v>7</v>
      </c>
    </row>
    <row r="1094" spans="1:23" x14ac:dyDescent="0.25">
      <c r="A1094" s="4">
        <f t="shared" si="357"/>
        <v>32</v>
      </c>
      <c r="B1094" t="str">
        <f ca="1">TEXT(DATE(YEAR(Invoer!$A$6),1,1)+INT((ROWS(B$2:B1094)-1)/4),"jjjjmmdd")</f>
        <v>19400930</v>
      </c>
      <c r="C1094" s="64" t="str">
        <f>IF(MOD(ROWS(C$2:C1094)-1,4)=3,"24.00",INDEX(Data,3,2+MOD(ROWS(C$2:C1094)-1,4)))</f>
        <v>07.00</v>
      </c>
      <c r="D1094" s="18">
        <f t="shared" ca="1" si="358"/>
        <v>757.7</v>
      </c>
      <c r="E1094" s="17">
        <f t="shared" ca="1" si="359"/>
        <v>0</v>
      </c>
      <c r="F1094" s="18">
        <f t="shared" ca="1" si="360"/>
        <v>26.9</v>
      </c>
      <c r="G1094" s="17">
        <f t="shared" ca="1" si="361"/>
        <v>0</v>
      </c>
      <c r="H1094" s="18" t="str">
        <f t="shared" ca="1" si="362"/>
        <v>—</v>
      </c>
      <c r="I1094" s="17">
        <f t="shared" ca="1" si="363"/>
        <v>7</v>
      </c>
      <c r="J1094" s="18" t="str">
        <f t="shared" ca="1" si="364"/>
        <v>—</v>
      </c>
      <c r="K1094" s="17">
        <f t="shared" ca="1" si="365"/>
        <v>7</v>
      </c>
      <c r="L1094" s="10">
        <f t="shared" ca="1" si="366"/>
        <v>93</v>
      </c>
      <c r="M1094" s="17">
        <f t="shared" ca="1" si="367"/>
        <v>0</v>
      </c>
      <c r="N1094" s="18">
        <f t="shared" ca="1" si="368"/>
        <v>24.8</v>
      </c>
      <c r="O1094" s="17">
        <f t="shared" ca="1" si="369"/>
        <v>0</v>
      </c>
      <c r="P1094" s="18">
        <f t="shared" ca="1" si="370"/>
        <v>26</v>
      </c>
      <c r="Q1094" s="17">
        <f t="shared" ca="1" si="371"/>
        <v>0</v>
      </c>
      <c r="R1094" s="10">
        <f t="shared" ca="1" si="372"/>
        <v>65</v>
      </c>
      <c r="S1094" s="17">
        <f t="shared" ca="1" si="373"/>
        <v>0</v>
      </c>
      <c r="T1094" s="70">
        <f t="shared" ca="1" si="374"/>
        <v>0.5</v>
      </c>
      <c r="U1094" s="17">
        <f t="shared" ca="1" si="375"/>
        <v>0</v>
      </c>
      <c r="V1094" s="71">
        <f t="shared" ca="1" si="376"/>
        <v>4</v>
      </c>
      <c r="W1094" s="17">
        <f t="shared" ca="1" si="377"/>
        <v>0</v>
      </c>
    </row>
    <row r="1095" spans="1:23" x14ac:dyDescent="0.25">
      <c r="A1095" s="4">
        <f t="shared" si="357"/>
        <v>32</v>
      </c>
      <c r="B1095" t="str">
        <f ca="1">TEXT(DATE(YEAR(Invoer!$A$6),1,1)+INT((ROWS(B$2:B1095)-1)/4),"jjjjmmdd")</f>
        <v>19400930</v>
      </c>
      <c r="C1095" s="64" t="str">
        <f>IF(MOD(ROWS(C$2:C1095)-1,4)=3,"24.00",INDEX(Data,3,2+MOD(ROWS(C$2:C1095)-1,4)))</f>
        <v>12.00</v>
      </c>
      <c r="D1095" s="18">
        <f t="shared" ca="1" si="358"/>
        <v>758.5</v>
      </c>
      <c r="E1095" s="17">
        <f t="shared" ca="1" si="359"/>
        <v>0</v>
      </c>
      <c r="F1095" s="18">
        <f t="shared" ca="1" si="360"/>
        <v>27.5</v>
      </c>
      <c r="G1095" s="17">
        <f t="shared" ca="1" si="361"/>
        <v>0</v>
      </c>
      <c r="H1095" s="18" t="str">
        <f t="shared" ca="1" si="362"/>
        <v>—</v>
      </c>
      <c r="I1095" s="17">
        <f t="shared" ca="1" si="363"/>
        <v>7</v>
      </c>
      <c r="J1095" s="18" t="str">
        <f t="shared" ca="1" si="364"/>
        <v>—</v>
      </c>
      <c r="K1095" s="17">
        <f t="shared" ca="1" si="365"/>
        <v>7</v>
      </c>
      <c r="L1095" s="10">
        <f t="shared" ca="1" si="366"/>
        <v>92</v>
      </c>
      <c r="M1095" s="17">
        <f t="shared" ca="1" si="367"/>
        <v>0</v>
      </c>
      <c r="N1095" s="18">
        <f t="shared" ca="1" si="368"/>
        <v>25.3</v>
      </c>
      <c r="O1095" s="17">
        <f t="shared" ca="1" si="369"/>
        <v>0</v>
      </c>
      <c r="P1095" s="18">
        <f t="shared" ca="1" si="370"/>
        <v>26.4</v>
      </c>
      <c r="Q1095" s="17">
        <f t="shared" ca="1" si="371"/>
        <v>0</v>
      </c>
      <c r="R1095" s="10">
        <f t="shared" ca="1" si="372"/>
        <v>65</v>
      </c>
      <c r="S1095" s="17">
        <f t="shared" ca="1" si="373"/>
        <v>0</v>
      </c>
      <c r="T1095" s="70">
        <f t="shared" ca="1" si="374"/>
        <v>0.6</v>
      </c>
      <c r="U1095" s="17">
        <f t="shared" ca="1" si="375"/>
        <v>0</v>
      </c>
      <c r="V1095" s="71">
        <f t="shared" ca="1" si="376"/>
        <v>5</v>
      </c>
      <c r="W1095" s="17">
        <f t="shared" ca="1" si="377"/>
        <v>0</v>
      </c>
    </row>
    <row r="1096" spans="1:23" x14ac:dyDescent="0.25">
      <c r="A1096" s="4">
        <f t="shared" si="357"/>
        <v>32</v>
      </c>
      <c r="B1096" t="str">
        <f ca="1">TEXT(DATE(YEAR(Invoer!$A$6),1,1)+INT((ROWS(B$2:B1096)-1)/4),"jjjjmmdd")</f>
        <v>19400930</v>
      </c>
      <c r="C1096" s="64" t="str">
        <f>IF(MOD(ROWS(C$2:C1096)-1,4)=3,"24.00",INDEX(Data,3,2+MOD(ROWS(C$2:C1096)-1,4)))</f>
        <v>17.00</v>
      </c>
      <c r="D1096" s="18">
        <f t="shared" ca="1" si="358"/>
        <v>757.9</v>
      </c>
      <c r="E1096" s="17">
        <f t="shared" ca="1" si="359"/>
        <v>0</v>
      </c>
      <c r="F1096" s="18">
        <f t="shared" ca="1" si="360"/>
        <v>27.1</v>
      </c>
      <c r="G1096" s="17">
        <f t="shared" ca="1" si="361"/>
        <v>0</v>
      </c>
      <c r="H1096" s="18" t="str">
        <f t="shared" ca="1" si="362"/>
        <v>—</v>
      </c>
      <c r="I1096" s="17">
        <f t="shared" ca="1" si="363"/>
        <v>7</v>
      </c>
      <c r="J1096" s="18" t="str">
        <f t="shared" ca="1" si="364"/>
        <v>—</v>
      </c>
      <c r="K1096" s="17">
        <f t="shared" ca="1" si="365"/>
        <v>7</v>
      </c>
      <c r="L1096" s="10">
        <f t="shared" ca="1" si="366"/>
        <v>90</v>
      </c>
      <c r="M1096" s="17">
        <f t="shared" ca="1" si="367"/>
        <v>0</v>
      </c>
      <c r="N1096" s="18">
        <f t="shared" ca="1" si="368"/>
        <v>24.3</v>
      </c>
      <c r="O1096" s="17">
        <f t="shared" ca="1" si="369"/>
        <v>0</v>
      </c>
      <c r="P1096" s="18">
        <f t="shared" ca="1" si="370"/>
        <v>25.8</v>
      </c>
      <c r="Q1096" s="17">
        <f t="shared" ca="1" si="371"/>
        <v>0</v>
      </c>
      <c r="R1096" s="10">
        <f t="shared" ca="1" si="372"/>
        <v>45</v>
      </c>
      <c r="S1096" s="17">
        <f t="shared" ca="1" si="373"/>
        <v>0</v>
      </c>
      <c r="T1096" s="70">
        <f t="shared" ca="1" si="374"/>
        <v>0.6</v>
      </c>
      <c r="U1096" s="17">
        <f t="shared" ca="1" si="375"/>
        <v>0</v>
      </c>
      <c r="V1096" s="71">
        <f t="shared" ca="1" si="376"/>
        <v>6</v>
      </c>
      <c r="W1096" s="17">
        <f t="shared" ca="1" si="377"/>
        <v>0</v>
      </c>
    </row>
    <row r="1097" spans="1:23" x14ac:dyDescent="0.25">
      <c r="A1097" s="4">
        <f t="shared" si="357"/>
        <v>32</v>
      </c>
      <c r="B1097" t="str">
        <f ca="1">TEXT(DATE(YEAR(Invoer!$A$6),1,1)+INT((ROWS(B$2:B1097)-1)/4),"jjjjmmdd")</f>
        <v>19400930</v>
      </c>
      <c r="C1097" s="64" t="str">
        <f>IF(MOD(ROWS(C$2:C1097)-1,4)=3,"24.00",INDEX(Data,3,2+MOD(ROWS(C$2:C1097)-1,4)))</f>
        <v>24.00</v>
      </c>
      <c r="D1097" s="18" t="str">
        <f t="shared" ca="1" si="358"/>
        <v>—</v>
      </c>
      <c r="E1097" s="17">
        <f t="shared" ca="1" si="359"/>
        <v>7</v>
      </c>
      <c r="F1097" s="18" t="str">
        <f t="shared" ca="1" si="360"/>
        <v>—</v>
      </c>
      <c r="G1097" s="17">
        <f t="shared" ca="1" si="361"/>
        <v>7</v>
      </c>
      <c r="H1097" s="18">
        <f t="shared" ca="1" si="362"/>
        <v>28.8</v>
      </c>
      <c r="I1097" s="17">
        <f t="shared" ca="1" si="363"/>
        <v>0</v>
      </c>
      <c r="J1097" s="18">
        <f t="shared" ca="1" si="364"/>
        <v>30</v>
      </c>
      <c r="K1097" s="17">
        <f t="shared" ca="1" si="365"/>
        <v>0</v>
      </c>
      <c r="L1097" s="10" t="str">
        <f t="shared" ca="1" si="366"/>
        <v>—</v>
      </c>
      <c r="M1097" s="17">
        <f t="shared" ca="1" si="367"/>
        <v>7</v>
      </c>
      <c r="N1097" s="18" t="str">
        <f t="shared" ca="1" si="368"/>
        <v>—</v>
      </c>
      <c r="O1097" s="17">
        <f t="shared" ca="1" si="369"/>
        <v>7</v>
      </c>
      <c r="P1097" s="18" t="str">
        <f t="shared" ca="1" si="370"/>
        <v>—</v>
      </c>
      <c r="Q1097" s="17">
        <f t="shared" ca="1" si="371"/>
        <v>7</v>
      </c>
      <c r="R1097" s="10" t="str">
        <f t="shared" ca="1" si="372"/>
        <v>—</v>
      </c>
      <c r="S1097" s="17">
        <f t="shared" ca="1" si="373"/>
        <v>7</v>
      </c>
      <c r="T1097" s="70" t="str">
        <f t="shared" ca="1" si="374"/>
        <v>—</v>
      </c>
      <c r="U1097" s="17">
        <f t="shared" ca="1" si="375"/>
        <v>7</v>
      </c>
      <c r="V1097" s="71" t="str">
        <f t="shared" ca="1" si="376"/>
        <v>—</v>
      </c>
      <c r="W1097" s="17">
        <f t="shared" ca="1" si="377"/>
        <v>7</v>
      </c>
    </row>
    <row r="1098" spans="1:23" x14ac:dyDescent="0.25">
      <c r="A1098" s="4">
        <f t="shared" si="357"/>
        <v>32</v>
      </c>
      <c r="B1098" t="str">
        <f ca="1">TEXT(DATE(YEAR(Invoer!$A$6),1,1)+INT((ROWS(B$2:B1098)-1)/4),"jjjjmmdd")</f>
        <v>19401001</v>
      </c>
      <c r="C1098" s="64" t="str">
        <f>IF(MOD(ROWS(C$2:C1098)-1,4)=3,"24.00",INDEX(Data,3,2+MOD(ROWS(C$2:C1098)-1,4)))</f>
        <v>07.00</v>
      </c>
      <c r="D1098" s="18" t="str">
        <f t="shared" ca="1" si="358"/>
        <v>—</v>
      </c>
      <c r="E1098" s="17">
        <f t="shared" ca="1" si="359"/>
        <v>7</v>
      </c>
      <c r="F1098" s="18" t="str">
        <f t="shared" ca="1" si="360"/>
        <v>—</v>
      </c>
      <c r="G1098" s="17">
        <f t="shared" ca="1" si="361"/>
        <v>7</v>
      </c>
      <c r="H1098" s="18" t="str">
        <f t="shared" ca="1" si="362"/>
        <v>—</v>
      </c>
      <c r="I1098" s="17">
        <f t="shared" ca="1" si="363"/>
        <v>7</v>
      </c>
      <c r="J1098" s="18" t="str">
        <f t="shared" ca="1" si="364"/>
        <v>—</v>
      </c>
      <c r="K1098" s="17">
        <f t="shared" ca="1" si="365"/>
        <v>7</v>
      </c>
      <c r="L1098" s="10" t="str">
        <f t="shared" ca="1" si="366"/>
        <v>—</v>
      </c>
      <c r="M1098" s="17">
        <f t="shared" ca="1" si="367"/>
        <v>7</v>
      </c>
      <c r="N1098" s="18" t="str">
        <f t="shared" ca="1" si="368"/>
        <v>—</v>
      </c>
      <c r="O1098" s="17">
        <f t="shared" ca="1" si="369"/>
        <v>7</v>
      </c>
      <c r="P1098" s="18" t="str">
        <f t="shared" ca="1" si="370"/>
        <v>—</v>
      </c>
      <c r="Q1098" s="17">
        <f t="shared" ca="1" si="371"/>
        <v>7</v>
      </c>
      <c r="R1098" s="10" t="str">
        <f t="shared" ca="1" si="372"/>
        <v>—</v>
      </c>
      <c r="S1098" s="17">
        <f t="shared" ca="1" si="373"/>
        <v>7</v>
      </c>
      <c r="T1098" s="70" t="str">
        <f t="shared" ca="1" si="374"/>
        <v>—</v>
      </c>
      <c r="U1098" s="17">
        <f t="shared" ca="1" si="375"/>
        <v>7</v>
      </c>
      <c r="V1098" s="71" t="str">
        <f t="shared" ca="1" si="376"/>
        <v>—</v>
      </c>
      <c r="W1098" s="17">
        <f t="shared" ca="1" si="377"/>
        <v>7</v>
      </c>
    </row>
    <row r="1099" spans="1:23" x14ac:dyDescent="0.25">
      <c r="A1099" s="4">
        <f t="shared" si="357"/>
        <v>32</v>
      </c>
      <c r="B1099" t="str">
        <f ca="1">TEXT(DATE(YEAR(Invoer!$A$6),1,1)+INT((ROWS(B$2:B1099)-1)/4),"jjjjmmdd")</f>
        <v>19401001</v>
      </c>
      <c r="C1099" s="64" t="str">
        <f>IF(MOD(ROWS(C$2:C1099)-1,4)=3,"24.00",INDEX(Data,3,2+MOD(ROWS(C$2:C1099)-1,4)))</f>
        <v>12.00</v>
      </c>
      <c r="D1099" s="18" t="str">
        <f t="shared" ca="1" si="358"/>
        <v>—</v>
      </c>
      <c r="E1099" s="17">
        <f t="shared" ca="1" si="359"/>
        <v>7</v>
      </c>
      <c r="F1099" s="18" t="str">
        <f t="shared" ca="1" si="360"/>
        <v>—</v>
      </c>
      <c r="G1099" s="17">
        <f t="shared" ca="1" si="361"/>
        <v>7</v>
      </c>
      <c r="H1099" s="18" t="str">
        <f t="shared" ca="1" si="362"/>
        <v>—</v>
      </c>
      <c r="I1099" s="17">
        <f t="shared" ca="1" si="363"/>
        <v>7</v>
      </c>
      <c r="J1099" s="18" t="str">
        <f t="shared" ca="1" si="364"/>
        <v>—</v>
      </c>
      <c r="K1099" s="17">
        <f t="shared" ca="1" si="365"/>
        <v>7</v>
      </c>
      <c r="L1099" s="10" t="str">
        <f t="shared" ca="1" si="366"/>
        <v>—</v>
      </c>
      <c r="M1099" s="17">
        <f t="shared" ca="1" si="367"/>
        <v>7</v>
      </c>
      <c r="N1099" s="18" t="str">
        <f t="shared" ca="1" si="368"/>
        <v>—</v>
      </c>
      <c r="O1099" s="17">
        <f t="shared" ca="1" si="369"/>
        <v>7</v>
      </c>
      <c r="P1099" s="18" t="str">
        <f t="shared" ca="1" si="370"/>
        <v>—</v>
      </c>
      <c r="Q1099" s="17">
        <f t="shared" ca="1" si="371"/>
        <v>7</v>
      </c>
      <c r="R1099" s="10" t="str">
        <f t="shared" ca="1" si="372"/>
        <v>—</v>
      </c>
      <c r="S1099" s="17">
        <f t="shared" ca="1" si="373"/>
        <v>7</v>
      </c>
      <c r="T1099" s="70" t="str">
        <f t="shared" ca="1" si="374"/>
        <v>—</v>
      </c>
      <c r="U1099" s="17">
        <f t="shared" ca="1" si="375"/>
        <v>7</v>
      </c>
      <c r="V1099" s="71" t="str">
        <f t="shared" ca="1" si="376"/>
        <v>—</v>
      </c>
      <c r="W1099" s="17">
        <f t="shared" ca="1" si="377"/>
        <v>7</v>
      </c>
    </row>
    <row r="1100" spans="1:23" x14ac:dyDescent="0.25">
      <c r="A1100" s="4">
        <f t="shared" si="357"/>
        <v>32</v>
      </c>
      <c r="B1100" t="str">
        <f ca="1">TEXT(DATE(YEAR(Invoer!$A$6),1,1)+INT((ROWS(B$2:B1100)-1)/4),"jjjjmmdd")</f>
        <v>19401001</v>
      </c>
      <c r="C1100" s="64" t="str">
        <f>IF(MOD(ROWS(C$2:C1100)-1,4)=3,"24.00",INDEX(Data,3,2+MOD(ROWS(C$2:C1100)-1,4)))</f>
        <v>17.00</v>
      </c>
      <c r="D1100" s="18" t="str">
        <f t="shared" ca="1" si="358"/>
        <v>—</v>
      </c>
      <c r="E1100" s="17">
        <f t="shared" ca="1" si="359"/>
        <v>7</v>
      </c>
      <c r="F1100" s="18" t="str">
        <f t="shared" ca="1" si="360"/>
        <v>—</v>
      </c>
      <c r="G1100" s="17">
        <f t="shared" ca="1" si="361"/>
        <v>7</v>
      </c>
      <c r="H1100" s="18" t="str">
        <f t="shared" ca="1" si="362"/>
        <v>—</v>
      </c>
      <c r="I1100" s="17">
        <f t="shared" ca="1" si="363"/>
        <v>7</v>
      </c>
      <c r="J1100" s="18" t="str">
        <f t="shared" ca="1" si="364"/>
        <v>—</v>
      </c>
      <c r="K1100" s="17">
        <f t="shared" ca="1" si="365"/>
        <v>7</v>
      </c>
      <c r="L1100" s="10" t="str">
        <f t="shared" ca="1" si="366"/>
        <v>—</v>
      </c>
      <c r="M1100" s="17">
        <f t="shared" ca="1" si="367"/>
        <v>7</v>
      </c>
      <c r="N1100" s="18" t="str">
        <f t="shared" ca="1" si="368"/>
        <v>—</v>
      </c>
      <c r="O1100" s="17">
        <f t="shared" ca="1" si="369"/>
        <v>7</v>
      </c>
      <c r="P1100" s="18" t="str">
        <f t="shared" ca="1" si="370"/>
        <v>—</v>
      </c>
      <c r="Q1100" s="17">
        <f t="shared" ca="1" si="371"/>
        <v>7</v>
      </c>
      <c r="R1100" s="10" t="str">
        <f t="shared" ca="1" si="372"/>
        <v>—</v>
      </c>
      <c r="S1100" s="17">
        <f t="shared" ca="1" si="373"/>
        <v>7</v>
      </c>
      <c r="T1100" s="70" t="str">
        <f t="shared" ca="1" si="374"/>
        <v>—</v>
      </c>
      <c r="U1100" s="17">
        <f t="shared" ca="1" si="375"/>
        <v>7</v>
      </c>
      <c r="V1100" s="71" t="str">
        <f t="shared" ca="1" si="376"/>
        <v>—</v>
      </c>
      <c r="W1100" s="17">
        <f t="shared" ca="1" si="377"/>
        <v>7</v>
      </c>
    </row>
    <row r="1101" spans="1:23" x14ac:dyDescent="0.25">
      <c r="A1101" s="4">
        <f t="shared" si="357"/>
        <v>32</v>
      </c>
      <c r="B1101" t="str">
        <f ca="1">TEXT(DATE(YEAR(Invoer!$A$6),1,1)+INT((ROWS(B$2:B1101)-1)/4),"jjjjmmdd")</f>
        <v>19401001</v>
      </c>
      <c r="C1101" s="64" t="str">
        <f>IF(MOD(ROWS(C$2:C1101)-1,4)=3,"24.00",INDEX(Data,3,2+MOD(ROWS(C$2:C1101)-1,4)))</f>
        <v>24.00</v>
      </c>
      <c r="D1101" s="18" t="str">
        <f t="shared" ca="1" si="358"/>
        <v>—</v>
      </c>
      <c r="E1101" s="17">
        <f t="shared" ca="1" si="359"/>
        <v>7</v>
      </c>
      <c r="F1101" s="18" t="str">
        <f t="shared" ca="1" si="360"/>
        <v>—</v>
      </c>
      <c r="G1101" s="17">
        <f t="shared" ca="1" si="361"/>
        <v>7</v>
      </c>
      <c r="H1101" s="18" t="str">
        <f t="shared" ca="1" si="362"/>
        <v>—</v>
      </c>
      <c r="I1101" s="17">
        <f t="shared" ca="1" si="363"/>
        <v>7</v>
      </c>
      <c r="J1101" s="18" t="str">
        <f t="shared" ca="1" si="364"/>
        <v>—</v>
      </c>
      <c r="K1101" s="17">
        <f t="shared" ca="1" si="365"/>
        <v>7</v>
      </c>
      <c r="L1101" s="10" t="str">
        <f t="shared" ca="1" si="366"/>
        <v>—</v>
      </c>
      <c r="M1101" s="17">
        <f t="shared" ca="1" si="367"/>
        <v>7</v>
      </c>
      <c r="N1101" s="18" t="str">
        <f t="shared" ca="1" si="368"/>
        <v>—</v>
      </c>
      <c r="O1101" s="17">
        <f t="shared" ca="1" si="369"/>
        <v>7</v>
      </c>
      <c r="P1101" s="18" t="str">
        <f t="shared" ca="1" si="370"/>
        <v>—</v>
      </c>
      <c r="Q1101" s="17">
        <f t="shared" ca="1" si="371"/>
        <v>7</v>
      </c>
      <c r="R1101" s="10" t="str">
        <f t="shared" ca="1" si="372"/>
        <v>—</v>
      </c>
      <c r="S1101" s="17">
        <f t="shared" ca="1" si="373"/>
        <v>7</v>
      </c>
      <c r="T1101" s="70" t="str">
        <f t="shared" ca="1" si="374"/>
        <v>—</v>
      </c>
      <c r="U1101" s="17">
        <f t="shared" ca="1" si="375"/>
        <v>7</v>
      </c>
      <c r="V1101" s="71" t="str">
        <f t="shared" ca="1" si="376"/>
        <v>—</v>
      </c>
      <c r="W1101" s="17">
        <f t="shared" ca="1" si="377"/>
        <v>7</v>
      </c>
    </row>
    <row r="1102" spans="1:23" x14ac:dyDescent="0.25">
      <c r="A1102" s="4">
        <f t="shared" si="357"/>
        <v>32</v>
      </c>
      <c r="B1102" t="str">
        <f ca="1">TEXT(DATE(YEAR(Invoer!$A$6),1,1)+INT((ROWS(B$2:B1102)-1)/4),"jjjjmmdd")</f>
        <v>19401002</v>
      </c>
      <c r="C1102" s="64" t="str">
        <f>IF(MOD(ROWS(C$2:C1102)-1,4)=3,"24.00",INDEX(Data,3,2+MOD(ROWS(C$2:C1102)-1,4)))</f>
        <v>07.00</v>
      </c>
      <c r="D1102" s="18" t="str">
        <f t="shared" ca="1" si="358"/>
        <v>—</v>
      </c>
      <c r="E1102" s="17">
        <f t="shared" ca="1" si="359"/>
        <v>7</v>
      </c>
      <c r="F1102" s="18" t="str">
        <f t="shared" ca="1" si="360"/>
        <v>—</v>
      </c>
      <c r="G1102" s="17">
        <f t="shared" ca="1" si="361"/>
        <v>7</v>
      </c>
      <c r="H1102" s="18" t="str">
        <f t="shared" ca="1" si="362"/>
        <v>—</v>
      </c>
      <c r="I1102" s="17">
        <f t="shared" ca="1" si="363"/>
        <v>7</v>
      </c>
      <c r="J1102" s="18" t="str">
        <f t="shared" ca="1" si="364"/>
        <v>—</v>
      </c>
      <c r="K1102" s="17">
        <f t="shared" ca="1" si="365"/>
        <v>7</v>
      </c>
      <c r="L1102" s="10" t="str">
        <f t="shared" ca="1" si="366"/>
        <v>—</v>
      </c>
      <c r="M1102" s="17">
        <f t="shared" ca="1" si="367"/>
        <v>7</v>
      </c>
      <c r="N1102" s="18" t="str">
        <f t="shared" ca="1" si="368"/>
        <v>—</v>
      </c>
      <c r="O1102" s="17">
        <f t="shared" ca="1" si="369"/>
        <v>7</v>
      </c>
      <c r="P1102" s="18" t="str">
        <f t="shared" ca="1" si="370"/>
        <v>—</v>
      </c>
      <c r="Q1102" s="17">
        <f t="shared" ca="1" si="371"/>
        <v>7</v>
      </c>
      <c r="R1102" s="10" t="str">
        <f t="shared" ca="1" si="372"/>
        <v>—</v>
      </c>
      <c r="S1102" s="17">
        <f t="shared" ca="1" si="373"/>
        <v>7</v>
      </c>
      <c r="T1102" s="70" t="str">
        <f t="shared" ca="1" si="374"/>
        <v>—</v>
      </c>
      <c r="U1102" s="17">
        <f t="shared" ca="1" si="375"/>
        <v>7</v>
      </c>
      <c r="V1102" s="71" t="str">
        <f t="shared" ca="1" si="376"/>
        <v>—</v>
      </c>
      <c r="W1102" s="17">
        <f t="shared" ca="1" si="377"/>
        <v>7</v>
      </c>
    </row>
    <row r="1103" spans="1:23" x14ac:dyDescent="0.25">
      <c r="A1103" s="4">
        <f t="shared" si="357"/>
        <v>32</v>
      </c>
      <c r="B1103" t="str">
        <f ca="1">TEXT(DATE(YEAR(Invoer!$A$6),1,1)+INT((ROWS(B$2:B1103)-1)/4),"jjjjmmdd")</f>
        <v>19401002</v>
      </c>
      <c r="C1103" s="64" t="str">
        <f>IF(MOD(ROWS(C$2:C1103)-1,4)=3,"24.00",INDEX(Data,3,2+MOD(ROWS(C$2:C1103)-1,4)))</f>
        <v>12.00</v>
      </c>
      <c r="D1103" s="18" t="str">
        <f t="shared" ca="1" si="358"/>
        <v>—</v>
      </c>
      <c r="E1103" s="17">
        <f t="shared" ca="1" si="359"/>
        <v>7</v>
      </c>
      <c r="F1103" s="18" t="str">
        <f t="shared" ca="1" si="360"/>
        <v>—</v>
      </c>
      <c r="G1103" s="17">
        <f t="shared" ca="1" si="361"/>
        <v>7</v>
      </c>
      <c r="H1103" s="18" t="str">
        <f t="shared" ca="1" si="362"/>
        <v>—</v>
      </c>
      <c r="I1103" s="17">
        <f t="shared" ca="1" si="363"/>
        <v>7</v>
      </c>
      <c r="J1103" s="18" t="str">
        <f t="shared" ca="1" si="364"/>
        <v>—</v>
      </c>
      <c r="K1103" s="17">
        <f t="shared" ca="1" si="365"/>
        <v>7</v>
      </c>
      <c r="L1103" s="10" t="str">
        <f t="shared" ca="1" si="366"/>
        <v>—</v>
      </c>
      <c r="M1103" s="17">
        <f t="shared" ca="1" si="367"/>
        <v>7</v>
      </c>
      <c r="N1103" s="18" t="str">
        <f t="shared" ca="1" si="368"/>
        <v>—</v>
      </c>
      <c r="O1103" s="17">
        <f t="shared" ca="1" si="369"/>
        <v>7</v>
      </c>
      <c r="P1103" s="18" t="str">
        <f t="shared" ca="1" si="370"/>
        <v>—</v>
      </c>
      <c r="Q1103" s="17">
        <f t="shared" ca="1" si="371"/>
        <v>7</v>
      </c>
      <c r="R1103" s="10" t="str">
        <f t="shared" ca="1" si="372"/>
        <v>—</v>
      </c>
      <c r="S1103" s="17">
        <f t="shared" ca="1" si="373"/>
        <v>7</v>
      </c>
      <c r="T1103" s="70" t="str">
        <f t="shared" ca="1" si="374"/>
        <v>—</v>
      </c>
      <c r="U1103" s="17">
        <f t="shared" ca="1" si="375"/>
        <v>7</v>
      </c>
      <c r="V1103" s="71" t="str">
        <f t="shared" ca="1" si="376"/>
        <v>—</v>
      </c>
      <c r="W1103" s="17">
        <f t="shared" ca="1" si="377"/>
        <v>7</v>
      </c>
    </row>
    <row r="1104" spans="1:23" x14ac:dyDescent="0.25">
      <c r="A1104" s="4">
        <f t="shared" si="357"/>
        <v>32</v>
      </c>
      <c r="B1104" t="str">
        <f ca="1">TEXT(DATE(YEAR(Invoer!$A$6),1,1)+INT((ROWS(B$2:B1104)-1)/4),"jjjjmmdd")</f>
        <v>19401002</v>
      </c>
      <c r="C1104" s="64" t="str">
        <f>IF(MOD(ROWS(C$2:C1104)-1,4)=3,"24.00",INDEX(Data,3,2+MOD(ROWS(C$2:C1104)-1,4)))</f>
        <v>17.00</v>
      </c>
      <c r="D1104" s="18" t="str">
        <f t="shared" ca="1" si="358"/>
        <v>—</v>
      </c>
      <c r="E1104" s="17">
        <f t="shared" ca="1" si="359"/>
        <v>7</v>
      </c>
      <c r="F1104" s="18" t="str">
        <f t="shared" ca="1" si="360"/>
        <v>—</v>
      </c>
      <c r="G1104" s="17">
        <f t="shared" ca="1" si="361"/>
        <v>7</v>
      </c>
      <c r="H1104" s="18" t="str">
        <f t="shared" ca="1" si="362"/>
        <v>—</v>
      </c>
      <c r="I1104" s="17">
        <f t="shared" ca="1" si="363"/>
        <v>7</v>
      </c>
      <c r="J1104" s="18" t="str">
        <f t="shared" ca="1" si="364"/>
        <v>—</v>
      </c>
      <c r="K1104" s="17">
        <f t="shared" ca="1" si="365"/>
        <v>7</v>
      </c>
      <c r="L1104" s="10" t="str">
        <f t="shared" ca="1" si="366"/>
        <v>—</v>
      </c>
      <c r="M1104" s="17">
        <f t="shared" ca="1" si="367"/>
        <v>7</v>
      </c>
      <c r="N1104" s="18" t="str">
        <f t="shared" ca="1" si="368"/>
        <v>—</v>
      </c>
      <c r="O1104" s="17">
        <f t="shared" ca="1" si="369"/>
        <v>7</v>
      </c>
      <c r="P1104" s="18" t="str">
        <f t="shared" ca="1" si="370"/>
        <v>—</v>
      </c>
      <c r="Q1104" s="17">
        <f t="shared" ca="1" si="371"/>
        <v>7</v>
      </c>
      <c r="R1104" s="10" t="str">
        <f t="shared" ca="1" si="372"/>
        <v>—</v>
      </c>
      <c r="S1104" s="17">
        <f t="shared" ca="1" si="373"/>
        <v>7</v>
      </c>
      <c r="T1104" s="70" t="str">
        <f t="shared" ca="1" si="374"/>
        <v>—</v>
      </c>
      <c r="U1104" s="17">
        <f t="shared" ca="1" si="375"/>
        <v>7</v>
      </c>
      <c r="V1104" s="71" t="str">
        <f t="shared" ca="1" si="376"/>
        <v>—</v>
      </c>
      <c r="W1104" s="17">
        <f t="shared" ca="1" si="377"/>
        <v>7</v>
      </c>
    </row>
    <row r="1105" spans="1:23" x14ac:dyDescent="0.25">
      <c r="A1105" s="4">
        <f t="shared" si="357"/>
        <v>32</v>
      </c>
      <c r="B1105" t="str">
        <f ca="1">TEXT(DATE(YEAR(Invoer!$A$6),1,1)+INT((ROWS(B$2:B1105)-1)/4),"jjjjmmdd")</f>
        <v>19401002</v>
      </c>
      <c r="C1105" s="64" t="str">
        <f>IF(MOD(ROWS(C$2:C1105)-1,4)=3,"24.00",INDEX(Data,3,2+MOD(ROWS(C$2:C1105)-1,4)))</f>
        <v>24.00</v>
      </c>
      <c r="D1105" s="18" t="str">
        <f t="shared" ca="1" si="358"/>
        <v>—</v>
      </c>
      <c r="E1105" s="17">
        <f t="shared" ca="1" si="359"/>
        <v>7</v>
      </c>
      <c r="F1105" s="18" t="str">
        <f t="shared" ca="1" si="360"/>
        <v>—</v>
      </c>
      <c r="G1105" s="17">
        <f t="shared" ca="1" si="361"/>
        <v>7</v>
      </c>
      <c r="H1105" s="18" t="str">
        <f t="shared" ca="1" si="362"/>
        <v>—</v>
      </c>
      <c r="I1105" s="17">
        <f t="shared" ca="1" si="363"/>
        <v>7</v>
      </c>
      <c r="J1105" s="18" t="str">
        <f t="shared" ca="1" si="364"/>
        <v>—</v>
      </c>
      <c r="K1105" s="17">
        <f t="shared" ca="1" si="365"/>
        <v>7</v>
      </c>
      <c r="L1105" s="10" t="str">
        <f t="shared" ca="1" si="366"/>
        <v>—</v>
      </c>
      <c r="M1105" s="17">
        <f t="shared" ca="1" si="367"/>
        <v>7</v>
      </c>
      <c r="N1105" s="18" t="str">
        <f t="shared" ca="1" si="368"/>
        <v>—</v>
      </c>
      <c r="O1105" s="17">
        <f t="shared" ca="1" si="369"/>
        <v>7</v>
      </c>
      <c r="P1105" s="18" t="str">
        <f t="shared" ca="1" si="370"/>
        <v>—</v>
      </c>
      <c r="Q1105" s="17">
        <f t="shared" ca="1" si="371"/>
        <v>7</v>
      </c>
      <c r="R1105" s="10" t="str">
        <f t="shared" ca="1" si="372"/>
        <v>—</v>
      </c>
      <c r="S1105" s="17">
        <f t="shared" ca="1" si="373"/>
        <v>7</v>
      </c>
      <c r="T1105" s="70" t="str">
        <f t="shared" ca="1" si="374"/>
        <v>—</v>
      </c>
      <c r="U1105" s="17">
        <f t="shared" ca="1" si="375"/>
        <v>7</v>
      </c>
      <c r="V1105" s="71" t="str">
        <f t="shared" ca="1" si="376"/>
        <v>—</v>
      </c>
      <c r="W1105" s="17">
        <f t="shared" ca="1" si="377"/>
        <v>7</v>
      </c>
    </row>
    <row r="1106" spans="1:23" x14ac:dyDescent="0.25">
      <c r="A1106" s="4">
        <f t="shared" si="357"/>
        <v>32</v>
      </c>
      <c r="B1106" t="str">
        <f ca="1">TEXT(DATE(YEAR(Invoer!$A$6),1,1)+INT((ROWS(B$2:B1106)-1)/4),"jjjjmmdd")</f>
        <v>19401003</v>
      </c>
      <c r="C1106" s="64" t="str">
        <f>IF(MOD(ROWS(C$2:C1106)-1,4)=3,"24.00",INDEX(Data,3,2+MOD(ROWS(C$2:C1106)-1,4)))</f>
        <v>07.00</v>
      </c>
      <c r="D1106" s="18" t="str">
        <f t="shared" ca="1" si="358"/>
        <v>—</v>
      </c>
      <c r="E1106" s="17">
        <f t="shared" ca="1" si="359"/>
        <v>7</v>
      </c>
      <c r="F1106" s="18" t="str">
        <f t="shared" ca="1" si="360"/>
        <v>—</v>
      </c>
      <c r="G1106" s="17">
        <f t="shared" ca="1" si="361"/>
        <v>7</v>
      </c>
      <c r="H1106" s="18" t="str">
        <f t="shared" ca="1" si="362"/>
        <v>—</v>
      </c>
      <c r="I1106" s="17">
        <f t="shared" ca="1" si="363"/>
        <v>7</v>
      </c>
      <c r="J1106" s="18" t="str">
        <f t="shared" ca="1" si="364"/>
        <v>—</v>
      </c>
      <c r="K1106" s="17">
        <f t="shared" ca="1" si="365"/>
        <v>7</v>
      </c>
      <c r="L1106" s="10" t="str">
        <f t="shared" ca="1" si="366"/>
        <v>—</v>
      </c>
      <c r="M1106" s="17">
        <f t="shared" ca="1" si="367"/>
        <v>7</v>
      </c>
      <c r="N1106" s="18" t="str">
        <f t="shared" ca="1" si="368"/>
        <v>—</v>
      </c>
      <c r="O1106" s="17">
        <f t="shared" ca="1" si="369"/>
        <v>7</v>
      </c>
      <c r="P1106" s="18" t="str">
        <f t="shared" ca="1" si="370"/>
        <v>—</v>
      </c>
      <c r="Q1106" s="17">
        <f t="shared" ca="1" si="371"/>
        <v>7</v>
      </c>
      <c r="R1106" s="10" t="str">
        <f t="shared" ca="1" si="372"/>
        <v>—</v>
      </c>
      <c r="S1106" s="17">
        <f t="shared" ca="1" si="373"/>
        <v>7</v>
      </c>
      <c r="T1106" s="70" t="str">
        <f t="shared" ca="1" si="374"/>
        <v>—</v>
      </c>
      <c r="U1106" s="17">
        <f t="shared" ca="1" si="375"/>
        <v>7</v>
      </c>
      <c r="V1106" s="71" t="str">
        <f t="shared" ca="1" si="376"/>
        <v>—</v>
      </c>
      <c r="W1106" s="17">
        <f t="shared" ca="1" si="377"/>
        <v>7</v>
      </c>
    </row>
    <row r="1107" spans="1:23" x14ac:dyDescent="0.25">
      <c r="A1107" s="4">
        <f t="shared" si="357"/>
        <v>32</v>
      </c>
      <c r="B1107" t="str">
        <f ca="1">TEXT(DATE(YEAR(Invoer!$A$6),1,1)+INT((ROWS(B$2:B1107)-1)/4),"jjjjmmdd")</f>
        <v>19401003</v>
      </c>
      <c r="C1107" s="64" t="str">
        <f>IF(MOD(ROWS(C$2:C1107)-1,4)=3,"24.00",INDEX(Data,3,2+MOD(ROWS(C$2:C1107)-1,4)))</f>
        <v>12.00</v>
      </c>
      <c r="D1107" s="18" t="str">
        <f t="shared" ca="1" si="358"/>
        <v>—</v>
      </c>
      <c r="E1107" s="17">
        <f t="shared" ca="1" si="359"/>
        <v>7</v>
      </c>
      <c r="F1107" s="18" t="str">
        <f t="shared" ca="1" si="360"/>
        <v>—</v>
      </c>
      <c r="G1107" s="17">
        <f t="shared" ca="1" si="361"/>
        <v>7</v>
      </c>
      <c r="H1107" s="18" t="str">
        <f t="shared" ca="1" si="362"/>
        <v>—</v>
      </c>
      <c r="I1107" s="17">
        <f t="shared" ca="1" si="363"/>
        <v>7</v>
      </c>
      <c r="J1107" s="18" t="str">
        <f t="shared" ca="1" si="364"/>
        <v>—</v>
      </c>
      <c r="K1107" s="17">
        <f t="shared" ca="1" si="365"/>
        <v>7</v>
      </c>
      <c r="L1107" s="10" t="str">
        <f t="shared" ca="1" si="366"/>
        <v>—</v>
      </c>
      <c r="M1107" s="17">
        <f t="shared" ca="1" si="367"/>
        <v>7</v>
      </c>
      <c r="N1107" s="18" t="str">
        <f t="shared" ca="1" si="368"/>
        <v>—</v>
      </c>
      <c r="O1107" s="17">
        <f t="shared" ca="1" si="369"/>
        <v>7</v>
      </c>
      <c r="P1107" s="18" t="str">
        <f t="shared" ca="1" si="370"/>
        <v>—</v>
      </c>
      <c r="Q1107" s="17">
        <f t="shared" ca="1" si="371"/>
        <v>7</v>
      </c>
      <c r="R1107" s="10" t="str">
        <f t="shared" ca="1" si="372"/>
        <v>—</v>
      </c>
      <c r="S1107" s="17">
        <f t="shared" ca="1" si="373"/>
        <v>7</v>
      </c>
      <c r="T1107" s="70" t="str">
        <f t="shared" ca="1" si="374"/>
        <v>—</v>
      </c>
      <c r="U1107" s="17">
        <f t="shared" ca="1" si="375"/>
        <v>7</v>
      </c>
      <c r="V1107" s="71" t="str">
        <f t="shared" ca="1" si="376"/>
        <v>—</v>
      </c>
      <c r="W1107" s="17">
        <f t="shared" ca="1" si="377"/>
        <v>7</v>
      </c>
    </row>
    <row r="1108" spans="1:23" x14ac:dyDescent="0.25">
      <c r="A1108" s="4">
        <f t="shared" si="357"/>
        <v>32</v>
      </c>
      <c r="B1108" t="str">
        <f ca="1">TEXT(DATE(YEAR(Invoer!$A$6),1,1)+INT((ROWS(B$2:B1108)-1)/4),"jjjjmmdd")</f>
        <v>19401003</v>
      </c>
      <c r="C1108" s="64" t="str">
        <f>IF(MOD(ROWS(C$2:C1108)-1,4)=3,"24.00",INDEX(Data,3,2+MOD(ROWS(C$2:C1108)-1,4)))</f>
        <v>17.00</v>
      </c>
      <c r="D1108" s="18" t="str">
        <f t="shared" ca="1" si="358"/>
        <v>—</v>
      </c>
      <c r="E1108" s="17">
        <f t="shared" ca="1" si="359"/>
        <v>7</v>
      </c>
      <c r="F1108" s="18" t="str">
        <f t="shared" ca="1" si="360"/>
        <v>—</v>
      </c>
      <c r="G1108" s="17">
        <f t="shared" ca="1" si="361"/>
        <v>7</v>
      </c>
      <c r="H1108" s="18" t="str">
        <f t="shared" ca="1" si="362"/>
        <v>—</v>
      </c>
      <c r="I1108" s="17">
        <f t="shared" ca="1" si="363"/>
        <v>7</v>
      </c>
      <c r="J1108" s="18" t="str">
        <f t="shared" ca="1" si="364"/>
        <v>—</v>
      </c>
      <c r="K1108" s="17">
        <f t="shared" ca="1" si="365"/>
        <v>7</v>
      </c>
      <c r="L1108" s="10" t="str">
        <f t="shared" ca="1" si="366"/>
        <v>—</v>
      </c>
      <c r="M1108" s="17">
        <f t="shared" ca="1" si="367"/>
        <v>7</v>
      </c>
      <c r="N1108" s="18" t="str">
        <f t="shared" ca="1" si="368"/>
        <v>—</v>
      </c>
      <c r="O1108" s="17">
        <f t="shared" ca="1" si="369"/>
        <v>7</v>
      </c>
      <c r="P1108" s="18" t="str">
        <f t="shared" ca="1" si="370"/>
        <v>—</v>
      </c>
      <c r="Q1108" s="17">
        <f t="shared" ca="1" si="371"/>
        <v>7</v>
      </c>
      <c r="R1108" s="10" t="str">
        <f t="shared" ca="1" si="372"/>
        <v>—</v>
      </c>
      <c r="S1108" s="17">
        <f t="shared" ca="1" si="373"/>
        <v>7</v>
      </c>
      <c r="T1108" s="70" t="str">
        <f t="shared" ca="1" si="374"/>
        <v>—</v>
      </c>
      <c r="U1108" s="17">
        <f t="shared" ca="1" si="375"/>
        <v>7</v>
      </c>
      <c r="V1108" s="71" t="str">
        <f t="shared" ca="1" si="376"/>
        <v>—</v>
      </c>
      <c r="W1108" s="17">
        <f t="shared" ca="1" si="377"/>
        <v>7</v>
      </c>
    </row>
    <row r="1109" spans="1:23" x14ac:dyDescent="0.25">
      <c r="A1109" s="4">
        <f t="shared" si="357"/>
        <v>32</v>
      </c>
      <c r="B1109" t="str">
        <f ca="1">TEXT(DATE(YEAR(Invoer!$A$6),1,1)+INT((ROWS(B$2:B1109)-1)/4),"jjjjmmdd")</f>
        <v>19401003</v>
      </c>
      <c r="C1109" s="64" t="str">
        <f>IF(MOD(ROWS(C$2:C1109)-1,4)=3,"24.00",INDEX(Data,3,2+MOD(ROWS(C$2:C1109)-1,4)))</f>
        <v>24.00</v>
      </c>
      <c r="D1109" s="18" t="str">
        <f t="shared" ca="1" si="358"/>
        <v>—</v>
      </c>
      <c r="E1109" s="17">
        <f t="shared" ca="1" si="359"/>
        <v>7</v>
      </c>
      <c r="F1109" s="18" t="str">
        <f t="shared" ca="1" si="360"/>
        <v>—</v>
      </c>
      <c r="G1109" s="17">
        <f t="shared" ca="1" si="361"/>
        <v>7</v>
      </c>
      <c r="H1109" s="18" t="str">
        <f t="shared" ca="1" si="362"/>
        <v>—</v>
      </c>
      <c r="I1109" s="17">
        <f t="shared" ca="1" si="363"/>
        <v>7</v>
      </c>
      <c r="J1109" s="18" t="str">
        <f t="shared" ca="1" si="364"/>
        <v>—</v>
      </c>
      <c r="K1109" s="17">
        <f t="shared" ca="1" si="365"/>
        <v>7</v>
      </c>
      <c r="L1109" s="10" t="str">
        <f t="shared" ca="1" si="366"/>
        <v>—</v>
      </c>
      <c r="M1109" s="17">
        <f t="shared" ca="1" si="367"/>
        <v>7</v>
      </c>
      <c r="N1109" s="18" t="str">
        <f t="shared" ca="1" si="368"/>
        <v>—</v>
      </c>
      <c r="O1109" s="17">
        <f t="shared" ca="1" si="369"/>
        <v>7</v>
      </c>
      <c r="P1109" s="18" t="str">
        <f t="shared" ca="1" si="370"/>
        <v>—</v>
      </c>
      <c r="Q1109" s="17">
        <f t="shared" ca="1" si="371"/>
        <v>7</v>
      </c>
      <c r="R1109" s="10" t="str">
        <f t="shared" ca="1" si="372"/>
        <v>—</v>
      </c>
      <c r="S1109" s="17">
        <f t="shared" ca="1" si="373"/>
        <v>7</v>
      </c>
      <c r="T1109" s="70" t="str">
        <f t="shared" ca="1" si="374"/>
        <v>—</v>
      </c>
      <c r="U1109" s="17">
        <f t="shared" ca="1" si="375"/>
        <v>7</v>
      </c>
      <c r="V1109" s="71" t="str">
        <f t="shared" ca="1" si="376"/>
        <v>—</v>
      </c>
      <c r="W1109" s="17">
        <f t="shared" ca="1" si="377"/>
        <v>7</v>
      </c>
    </row>
    <row r="1110" spans="1:23" x14ac:dyDescent="0.25">
      <c r="A1110" s="4">
        <f t="shared" si="357"/>
        <v>32</v>
      </c>
      <c r="B1110" t="str">
        <f ca="1">TEXT(DATE(YEAR(Invoer!$A$6),1,1)+INT((ROWS(B$2:B1110)-1)/4),"jjjjmmdd")</f>
        <v>19401004</v>
      </c>
      <c r="C1110" s="64" t="str">
        <f>IF(MOD(ROWS(C$2:C1110)-1,4)=3,"24.00",INDEX(Data,3,2+MOD(ROWS(C$2:C1110)-1,4)))</f>
        <v>07.00</v>
      </c>
      <c r="D1110" s="18" t="str">
        <f t="shared" ca="1" si="358"/>
        <v>—</v>
      </c>
      <c r="E1110" s="17">
        <f t="shared" ca="1" si="359"/>
        <v>7</v>
      </c>
      <c r="F1110" s="18" t="str">
        <f t="shared" ca="1" si="360"/>
        <v>—</v>
      </c>
      <c r="G1110" s="17">
        <f t="shared" ca="1" si="361"/>
        <v>7</v>
      </c>
      <c r="H1110" s="18" t="str">
        <f t="shared" ca="1" si="362"/>
        <v>—</v>
      </c>
      <c r="I1110" s="17">
        <f t="shared" ca="1" si="363"/>
        <v>7</v>
      </c>
      <c r="J1110" s="18" t="str">
        <f t="shared" ca="1" si="364"/>
        <v>—</v>
      </c>
      <c r="K1110" s="17">
        <f t="shared" ca="1" si="365"/>
        <v>7</v>
      </c>
      <c r="L1110" s="10" t="str">
        <f t="shared" ca="1" si="366"/>
        <v>—</v>
      </c>
      <c r="M1110" s="17">
        <f t="shared" ca="1" si="367"/>
        <v>7</v>
      </c>
      <c r="N1110" s="18" t="str">
        <f t="shared" ca="1" si="368"/>
        <v>—</v>
      </c>
      <c r="O1110" s="17">
        <f t="shared" ca="1" si="369"/>
        <v>7</v>
      </c>
      <c r="P1110" s="18" t="str">
        <f t="shared" ca="1" si="370"/>
        <v>—</v>
      </c>
      <c r="Q1110" s="17">
        <f t="shared" ca="1" si="371"/>
        <v>7</v>
      </c>
      <c r="R1110" s="10" t="str">
        <f t="shared" ca="1" si="372"/>
        <v>—</v>
      </c>
      <c r="S1110" s="17">
        <f t="shared" ca="1" si="373"/>
        <v>7</v>
      </c>
      <c r="T1110" s="70" t="str">
        <f t="shared" ca="1" si="374"/>
        <v>—</v>
      </c>
      <c r="U1110" s="17">
        <f t="shared" ca="1" si="375"/>
        <v>7</v>
      </c>
      <c r="V1110" s="71" t="str">
        <f t="shared" ca="1" si="376"/>
        <v>—</v>
      </c>
      <c r="W1110" s="17">
        <f t="shared" ca="1" si="377"/>
        <v>7</v>
      </c>
    </row>
    <row r="1111" spans="1:23" x14ac:dyDescent="0.25">
      <c r="A1111" s="4">
        <f t="shared" si="357"/>
        <v>32</v>
      </c>
      <c r="B1111" t="str">
        <f ca="1">TEXT(DATE(YEAR(Invoer!$A$6),1,1)+INT((ROWS(B$2:B1111)-1)/4),"jjjjmmdd")</f>
        <v>19401004</v>
      </c>
      <c r="C1111" s="64" t="str">
        <f>IF(MOD(ROWS(C$2:C1111)-1,4)=3,"24.00",INDEX(Data,3,2+MOD(ROWS(C$2:C1111)-1,4)))</f>
        <v>12.00</v>
      </c>
      <c r="D1111" s="18" t="str">
        <f t="shared" ca="1" si="358"/>
        <v>—</v>
      </c>
      <c r="E1111" s="17">
        <f t="shared" ca="1" si="359"/>
        <v>7</v>
      </c>
      <c r="F1111" s="18" t="str">
        <f t="shared" ca="1" si="360"/>
        <v>—</v>
      </c>
      <c r="G1111" s="17">
        <f t="shared" ca="1" si="361"/>
        <v>7</v>
      </c>
      <c r="H1111" s="18" t="str">
        <f t="shared" ca="1" si="362"/>
        <v>—</v>
      </c>
      <c r="I1111" s="17">
        <f t="shared" ca="1" si="363"/>
        <v>7</v>
      </c>
      <c r="J1111" s="18" t="str">
        <f t="shared" ca="1" si="364"/>
        <v>—</v>
      </c>
      <c r="K1111" s="17">
        <f t="shared" ca="1" si="365"/>
        <v>7</v>
      </c>
      <c r="L1111" s="10" t="str">
        <f t="shared" ca="1" si="366"/>
        <v>—</v>
      </c>
      <c r="M1111" s="17">
        <f t="shared" ca="1" si="367"/>
        <v>7</v>
      </c>
      <c r="N1111" s="18" t="str">
        <f t="shared" ca="1" si="368"/>
        <v>—</v>
      </c>
      <c r="O1111" s="17">
        <f t="shared" ca="1" si="369"/>
        <v>7</v>
      </c>
      <c r="P1111" s="18" t="str">
        <f t="shared" ca="1" si="370"/>
        <v>—</v>
      </c>
      <c r="Q1111" s="17">
        <f t="shared" ca="1" si="371"/>
        <v>7</v>
      </c>
      <c r="R1111" s="10" t="str">
        <f t="shared" ca="1" si="372"/>
        <v>—</v>
      </c>
      <c r="S1111" s="17">
        <f t="shared" ca="1" si="373"/>
        <v>7</v>
      </c>
      <c r="T1111" s="70" t="str">
        <f t="shared" ca="1" si="374"/>
        <v>—</v>
      </c>
      <c r="U1111" s="17">
        <f t="shared" ca="1" si="375"/>
        <v>7</v>
      </c>
      <c r="V1111" s="71" t="str">
        <f t="shared" ca="1" si="376"/>
        <v>—</v>
      </c>
      <c r="W1111" s="17">
        <f t="shared" ca="1" si="377"/>
        <v>7</v>
      </c>
    </row>
    <row r="1112" spans="1:23" x14ac:dyDescent="0.25">
      <c r="A1112" s="4">
        <f t="shared" si="357"/>
        <v>32</v>
      </c>
      <c r="B1112" t="str">
        <f ca="1">TEXT(DATE(YEAR(Invoer!$A$6),1,1)+INT((ROWS(B$2:B1112)-1)/4),"jjjjmmdd")</f>
        <v>19401004</v>
      </c>
      <c r="C1112" s="64" t="str">
        <f>IF(MOD(ROWS(C$2:C1112)-1,4)=3,"24.00",INDEX(Data,3,2+MOD(ROWS(C$2:C1112)-1,4)))</f>
        <v>17.00</v>
      </c>
      <c r="D1112" s="18" t="str">
        <f t="shared" ca="1" si="358"/>
        <v>—</v>
      </c>
      <c r="E1112" s="17">
        <f t="shared" ca="1" si="359"/>
        <v>7</v>
      </c>
      <c r="F1112" s="18" t="str">
        <f t="shared" ca="1" si="360"/>
        <v>—</v>
      </c>
      <c r="G1112" s="17">
        <f t="shared" ca="1" si="361"/>
        <v>7</v>
      </c>
      <c r="H1112" s="18" t="str">
        <f t="shared" ca="1" si="362"/>
        <v>—</v>
      </c>
      <c r="I1112" s="17">
        <f t="shared" ca="1" si="363"/>
        <v>7</v>
      </c>
      <c r="J1112" s="18" t="str">
        <f t="shared" ca="1" si="364"/>
        <v>—</v>
      </c>
      <c r="K1112" s="17">
        <f t="shared" ca="1" si="365"/>
        <v>7</v>
      </c>
      <c r="L1112" s="10" t="str">
        <f t="shared" ca="1" si="366"/>
        <v>—</v>
      </c>
      <c r="M1112" s="17">
        <f t="shared" ca="1" si="367"/>
        <v>7</v>
      </c>
      <c r="N1112" s="18" t="str">
        <f t="shared" ca="1" si="368"/>
        <v>—</v>
      </c>
      <c r="O1112" s="17">
        <f t="shared" ca="1" si="369"/>
        <v>7</v>
      </c>
      <c r="P1112" s="18" t="str">
        <f t="shared" ca="1" si="370"/>
        <v>—</v>
      </c>
      <c r="Q1112" s="17">
        <f t="shared" ca="1" si="371"/>
        <v>7</v>
      </c>
      <c r="R1112" s="10" t="str">
        <f t="shared" ca="1" si="372"/>
        <v>—</v>
      </c>
      <c r="S1112" s="17">
        <f t="shared" ca="1" si="373"/>
        <v>7</v>
      </c>
      <c r="T1112" s="70" t="str">
        <f t="shared" ca="1" si="374"/>
        <v>—</v>
      </c>
      <c r="U1112" s="17">
        <f t="shared" ca="1" si="375"/>
        <v>7</v>
      </c>
      <c r="V1112" s="71" t="str">
        <f t="shared" ca="1" si="376"/>
        <v>—</v>
      </c>
      <c r="W1112" s="17">
        <f t="shared" ca="1" si="377"/>
        <v>7</v>
      </c>
    </row>
    <row r="1113" spans="1:23" x14ac:dyDescent="0.25">
      <c r="A1113" s="4">
        <f t="shared" si="357"/>
        <v>32</v>
      </c>
      <c r="B1113" t="str">
        <f ca="1">TEXT(DATE(YEAR(Invoer!$A$6),1,1)+INT((ROWS(B$2:B1113)-1)/4),"jjjjmmdd")</f>
        <v>19401004</v>
      </c>
      <c r="C1113" s="64" t="str">
        <f>IF(MOD(ROWS(C$2:C1113)-1,4)=3,"24.00",INDEX(Data,3,2+MOD(ROWS(C$2:C1113)-1,4)))</f>
        <v>24.00</v>
      </c>
      <c r="D1113" s="18" t="str">
        <f t="shared" ca="1" si="358"/>
        <v>—</v>
      </c>
      <c r="E1113" s="17">
        <f t="shared" ca="1" si="359"/>
        <v>7</v>
      </c>
      <c r="F1113" s="18" t="str">
        <f t="shared" ca="1" si="360"/>
        <v>—</v>
      </c>
      <c r="G1113" s="17">
        <f t="shared" ca="1" si="361"/>
        <v>7</v>
      </c>
      <c r="H1113" s="18" t="str">
        <f t="shared" ca="1" si="362"/>
        <v>—</v>
      </c>
      <c r="I1113" s="17">
        <f t="shared" ca="1" si="363"/>
        <v>7</v>
      </c>
      <c r="J1113" s="18" t="str">
        <f t="shared" ca="1" si="364"/>
        <v>—</v>
      </c>
      <c r="K1113" s="17">
        <f t="shared" ca="1" si="365"/>
        <v>7</v>
      </c>
      <c r="L1113" s="10" t="str">
        <f t="shared" ca="1" si="366"/>
        <v>—</v>
      </c>
      <c r="M1113" s="17">
        <f t="shared" ca="1" si="367"/>
        <v>7</v>
      </c>
      <c r="N1113" s="18" t="str">
        <f t="shared" ca="1" si="368"/>
        <v>—</v>
      </c>
      <c r="O1113" s="17">
        <f t="shared" ca="1" si="369"/>
        <v>7</v>
      </c>
      <c r="P1113" s="18" t="str">
        <f t="shared" ca="1" si="370"/>
        <v>—</v>
      </c>
      <c r="Q1113" s="17">
        <f t="shared" ca="1" si="371"/>
        <v>7</v>
      </c>
      <c r="R1113" s="10" t="str">
        <f t="shared" ca="1" si="372"/>
        <v>—</v>
      </c>
      <c r="S1113" s="17">
        <f t="shared" ca="1" si="373"/>
        <v>7</v>
      </c>
      <c r="T1113" s="70" t="str">
        <f t="shared" ca="1" si="374"/>
        <v>—</v>
      </c>
      <c r="U1113" s="17">
        <f t="shared" ca="1" si="375"/>
        <v>7</v>
      </c>
      <c r="V1113" s="71" t="str">
        <f t="shared" ca="1" si="376"/>
        <v>—</v>
      </c>
      <c r="W1113" s="17">
        <f t="shared" ca="1" si="377"/>
        <v>7</v>
      </c>
    </row>
    <row r="1114" spans="1:23" x14ac:dyDescent="0.25">
      <c r="A1114" s="4">
        <f t="shared" si="357"/>
        <v>32</v>
      </c>
      <c r="B1114" t="str">
        <f ca="1">TEXT(DATE(YEAR(Invoer!$A$6),1,1)+INT((ROWS(B$2:B1114)-1)/4),"jjjjmmdd")</f>
        <v>19401005</v>
      </c>
      <c r="C1114" s="64" t="str">
        <f>IF(MOD(ROWS(C$2:C1114)-1,4)=3,"24.00",INDEX(Data,3,2+MOD(ROWS(C$2:C1114)-1,4)))</f>
        <v>07.00</v>
      </c>
      <c r="D1114" s="18" t="str">
        <f t="shared" ca="1" si="358"/>
        <v>—</v>
      </c>
      <c r="E1114" s="17">
        <f t="shared" ca="1" si="359"/>
        <v>7</v>
      </c>
      <c r="F1114" s="18" t="str">
        <f t="shared" ca="1" si="360"/>
        <v>—</v>
      </c>
      <c r="G1114" s="17">
        <f t="shared" ca="1" si="361"/>
        <v>7</v>
      </c>
      <c r="H1114" s="18" t="str">
        <f t="shared" ca="1" si="362"/>
        <v>—</v>
      </c>
      <c r="I1114" s="17">
        <f t="shared" ca="1" si="363"/>
        <v>7</v>
      </c>
      <c r="J1114" s="18" t="str">
        <f t="shared" ca="1" si="364"/>
        <v>—</v>
      </c>
      <c r="K1114" s="17">
        <f t="shared" ca="1" si="365"/>
        <v>7</v>
      </c>
      <c r="L1114" s="10" t="str">
        <f t="shared" ca="1" si="366"/>
        <v>—</v>
      </c>
      <c r="M1114" s="17">
        <f t="shared" ca="1" si="367"/>
        <v>7</v>
      </c>
      <c r="N1114" s="18" t="str">
        <f t="shared" ca="1" si="368"/>
        <v>—</v>
      </c>
      <c r="O1114" s="17">
        <f t="shared" ca="1" si="369"/>
        <v>7</v>
      </c>
      <c r="P1114" s="18" t="str">
        <f t="shared" ca="1" si="370"/>
        <v>—</v>
      </c>
      <c r="Q1114" s="17">
        <f t="shared" ca="1" si="371"/>
        <v>7</v>
      </c>
      <c r="R1114" s="10" t="str">
        <f t="shared" ca="1" si="372"/>
        <v>—</v>
      </c>
      <c r="S1114" s="17">
        <f t="shared" ca="1" si="373"/>
        <v>7</v>
      </c>
      <c r="T1114" s="70" t="str">
        <f t="shared" ca="1" si="374"/>
        <v>—</v>
      </c>
      <c r="U1114" s="17">
        <f t="shared" ca="1" si="375"/>
        <v>7</v>
      </c>
      <c r="V1114" s="71" t="str">
        <f t="shared" ca="1" si="376"/>
        <v>—</v>
      </c>
      <c r="W1114" s="17">
        <f t="shared" ca="1" si="377"/>
        <v>7</v>
      </c>
    </row>
    <row r="1115" spans="1:23" x14ac:dyDescent="0.25">
      <c r="A1115" s="4">
        <f t="shared" si="357"/>
        <v>32</v>
      </c>
      <c r="B1115" t="str">
        <f ca="1">TEXT(DATE(YEAR(Invoer!$A$6),1,1)+INT((ROWS(B$2:B1115)-1)/4),"jjjjmmdd")</f>
        <v>19401005</v>
      </c>
      <c r="C1115" s="64" t="str">
        <f>IF(MOD(ROWS(C$2:C1115)-1,4)=3,"24.00",INDEX(Data,3,2+MOD(ROWS(C$2:C1115)-1,4)))</f>
        <v>12.00</v>
      </c>
      <c r="D1115" s="18" t="str">
        <f t="shared" ca="1" si="358"/>
        <v>—</v>
      </c>
      <c r="E1115" s="17">
        <f t="shared" ca="1" si="359"/>
        <v>7</v>
      </c>
      <c r="F1115" s="18" t="str">
        <f t="shared" ca="1" si="360"/>
        <v>—</v>
      </c>
      <c r="G1115" s="17">
        <f t="shared" ca="1" si="361"/>
        <v>7</v>
      </c>
      <c r="H1115" s="18" t="str">
        <f t="shared" ca="1" si="362"/>
        <v>—</v>
      </c>
      <c r="I1115" s="17">
        <f t="shared" ca="1" si="363"/>
        <v>7</v>
      </c>
      <c r="J1115" s="18" t="str">
        <f t="shared" ca="1" si="364"/>
        <v>—</v>
      </c>
      <c r="K1115" s="17">
        <f t="shared" ca="1" si="365"/>
        <v>7</v>
      </c>
      <c r="L1115" s="10" t="str">
        <f t="shared" ca="1" si="366"/>
        <v>—</v>
      </c>
      <c r="M1115" s="17">
        <f t="shared" ca="1" si="367"/>
        <v>7</v>
      </c>
      <c r="N1115" s="18" t="str">
        <f t="shared" ca="1" si="368"/>
        <v>—</v>
      </c>
      <c r="O1115" s="17">
        <f t="shared" ca="1" si="369"/>
        <v>7</v>
      </c>
      <c r="P1115" s="18" t="str">
        <f t="shared" ca="1" si="370"/>
        <v>—</v>
      </c>
      <c r="Q1115" s="17">
        <f t="shared" ca="1" si="371"/>
        <v>7</v>
      </c>
      <c r="R1115" s="10" t="str">
        <f t="shared" ca="1" si="372"/>
        <v>—</v>
      </c>
      <c r="S1115" s="17">
        <f t="shared" ca="1" si="373"/>
        <v>7</v>
      </c>
      <c r="T1115" s="70" t="str">
        <f t="shared" ca="1" si="374"/>
        <v>—</v>
      </c>
      <c r="U1115" s="17">
        <f t="shared" ca="1" si="375"/>
        <v>7</v>
      </c>
      <c r="V1115" s="71" t="str">
        <f t="shared" ca="1" si="376"/>
        <v>—</v>
      </c>
      <c r="W1115" s="17">
        <f t="shared" ca="1" si="377"/>
        <v>7</v>
      </c>
    </row>
    <row r="1116" spans="1:23" x14ac:dyDescent="0.25">
      <c r="A1116" s="4">
        <f t="shared" si="357"/>
        <v>32</v>
      </c>
      <c r="B1116" t="str">
        <f ca="1">TEXT(DATE(YEAR(Invoer!$A$6),1,1)+INT((ROWS(B$2:B1116)-1)/4),"jjjjmmdd")</f>
        <v>19401005</v>
      </c>
      <c r="C1116" s="64" t="str">
        <f>IF(MOD(ROWS(C$2:C1116)-1,4)=3,"24.00",INDEX(Data,3,2+MOD(ROWS(C$2:C1116)-1,4)))</f>
        <v>17.00</v>
      </c>
      <c r="D1116" s="18" t="str">
        <f t="shared" ca="1" si="358"/>
        <v>—</v>
      </c>
      <c r="E1116" s="17">
        <f t="shared" ca="1" si="359"/>
        <v>7</v>
      </c>
      <c r="F1116" s="18" t="str">
        <f t="shared" ca="1" si="360"/>
        <v>—</v>
      </c>
      <c r="G1116" s="17">
        <f t="shared" ca="1" si="361"/>
        <v>7</v>
      </c>
      <c r="H1116" s="18" t="str">
        <f t="shared" ca="1" si="362"/>
        <v>—</v>
      </c>
      <c r="I1116" s="17">
        <f t="shared" ca="1" si="363"/>
        <v>7</v>
      </c>
      <c r="J1116" s="18" t="str">
        <f t="shared" ca="1" si="364"/>
        <v>—</v>
      </c>
      <c r="K1116" s="17">
        <f t="shared" ca="1" si="365"/>
        <v>7</v>
      </c>
      <c r="L1116" s="10" t="str">
        <f t="shared" ca="1" si="366"/>
        <v>—</v>
      </c>
      <c r="M1116" s="17">
        <f t="shared" ca="1" si="367"/>
        <v>7</v>
      </c>
      <c r="N1116" s="18" t="str">
        <f t="shared" ca="1" si="368"/>
        <v>—</v>
      </c>
      <c r="O1116" s="17">
        <f t="shared" ca="1" si="369"/>
        <v>7</v>
      </c>
      <c r="P1116" s="18" t="str">
        <f t="shared" ca="1" si="370"/>
        <v>—</v>
      </c>
      <c r="Q1116" s="17">
        <f t="shared" ca="1" si="371"/>
        <v>7</v>
      </c>
      <c r="R1116" s="10" t="str">
        <f t="shared" ca="1" si="372"/>
        <v>—</v>
      </c>
      <c r="S1116" s="17">
        <f t="shared" ca="1" si="373"/>
        <v>7</v>
      </c>
      <c r="T1116" s="70" t="str">
        <f t="shared" ca="1" si="374"/>
        <v>—</v>
      </c>
      <c r="U1116" s="17">
        <f t="shared" ca="1" si="375"/>
        <v>7</v>
      </c>
      <c r="V1116" s="71" t="str">
        <f t="shared" ca="1" si="376"/>
        <v>—</v>
      </c>
      <c r="W1116" s="17">
        <f t="shared" ca="1" si="377"/>
        <v>7</v>
      </c>
    </row>
    <row r="1117" spans="1:23" x14ac:dyDescent="0.25">
      <c r="A1117" s="4">
        <f t="shared" si="357"/>
        <v>32</v>
      </c>
      <c r="B1117" t="str">
        <f ca="1">TEXT(DATE(YEAR(Invoer!$A$6),1,1)+INT((ROWS(B$2:B1117)-1)/4),"jjjjmmdd")</f>
        <v>19401005</v>
      </c>
      <c r="C1117" s="64" t="str">
        <f>IF(MOD(ROWS(C$2:C1117)-1,4)=3,"24.00",INDEX(Data,3,2+MOD(ROWS(C$2:C1117)-1,4)))</f>
        <v>24.00</v>
      </c>
      <c r="D1117" s="18" t="str">
        <f t="shared" ca="1" si="358"/>
        <v>—</v>
      </c>
      <c r="E1117" s="17">
        <f t="shared" ca="1" si="359"/>
        <v>7</v>
      </c>
      <c r="F1117" s="18" t="str">
        <f t="shared" ca="1" si="360"/>
        <v>—</v>
      </c>
      <c r="G1117" s="17">
        <f t="shared" ca="1" si="361"/>
        <v>7</v>
      </c>
      <c r="H1117" s="18" t="str">
        <f t="shared" ca="1" si="362"/>
        <v>—</v>
      </c>
      <c r="I1117" s="17">
        <f t="shared" ca="1" si="363"/>
        <v>7</v>
      </c>
      <c r="J1117" s="18" t="str">
        <f t="shared" ca="1" si="364"/>
        <v>—</v>
      </c>
      <c r="K1117" s="17">
        <f t="shared" ca="1" si="365"/>
        <v>7</v>
      </c>
      <c r="L1117" s="10" t="str">
        <f t="shared" ca="1" si="366"/>
        <v>—</v>
      </c>
      <c r="M1117" s="17">
        <f t="shared" ca="1" si="367"/>
        <v>7</v>
      </c>
      <c r="N1117" s="18" t="str">
        <f t="shared" ca="1" si="368"/>
        <v>—</v>
      </c>
      <c r="O1117" s="17">
        <f t="shared" ca="1" si="369"/>
        <v>7</v>
      </c>
      <c r="P1117" s="18" t="str">
        <f t="shared" ca="1" si="370"/>
        <v>—</v>
      </c>
      <c r="Q1117" s="17">
        <f t="shared" ca="1" si="371"/>
        <v>7</v>
      </c>
      <c r="R1117" s="10" t="str">
        <f t="shared" ca="1" si="372"/>
        <v>—</v>
      </c>
      <c r="S1117" s="17">
        <f t="shared" ca="1" si="373"/>
        <v>7</v>
      </c>
      <c r="T1117" s="70" t="str">
        <f t="shared" ca="1" si="374"/>
        <v>—</v>
      </c>
      <c r="U1117" s="17">
        <f t="shared" ca="1" si="375"/>
        <v>7</v>
      </c>
      <c r="V1117" s="71" t="str">
        <f t="shared" ca="1" si="376"/>
        <v>—</v>
      </c>
      <c r="W1117" s="17">
        <f t="shared" ca="1" si="377"/>
        <v>7</v>
      </c>
    </row>
    <row r="1118" spans="1:23" x14ac:dyDescent="0.25">
      <c r="A1118" s="4">
        <f t="shared" si="357"/>
        <v>32</v>
      </c>
      <c r="B1118" t="str">
        <f ca="1">TEXT(DATE(YEAR(Invoer!$A$6),1,1)+INT((ROWS(B$2:B1118)-1)/4),"jjjjmmdd")</f>
        <v>19401006</v>
      </c>
      <c r="C1118" s="64" t="str">
        <f>IF(MOD(ROWS(C$2:C1118)-1,4)=3,"24.00",INDEX(Data,3,2+MOD(ROWS(C$2:C1118)-1,4)))</f>
        <v>07.00</v>
      </c>
      <c r="D1118" s="18" t="str">
        <f t="shared" ca="1" si="358"/>
        <v>—</v>
      </c>
      <c r="E1118" s="17">
        <f t="shared" ca="1" si="359"/>
        <v>7</v>
      </c>
      <c r="F1118" s="18" t="str">
        <f t="shared" ca="1" si="360"/>
        <v>—</v>
      </c>
      <c r="G1118" s="17">
        <f t="shared" ca="1" si="361"/>
        <v>7</v>
      </c>
      <c r="H1118" s="18" t="str">
        <f t="shared" ca="1" si="362"/>
        <v>—</v>
      </c>
      <c r="I1118" s="17">
        <f t="shared" ca="1" si="363"/>
        <v>7</v>
      </c>
      <c r="J1118" s="18" t="str">
        <f t="shared" ca="1" si="364"/>
        <v>—</v>
      </c>
      <c r="K1118" s="17">
        <f t="shared" ca="1" si="365"/>
        <v>7</v>
      </c>
      <c r="L1118" s="10" t="str">
        <f t="shared" ca="1" si="366"/>
        <v>—</v>
      </c>
      <c r="M1118" s="17">
        <f t="shared" ca="1" si="367"/>
        <v>7</v>
      </c>
      <c r="N1118" s="18" t="str">
        <f t="shared" ca="1" si="368"/>
        <v>—</v>
      </c>
      <c r="O1118" s="17">
        <f t="shared" ca="1" si="369"/>
        <v>7</v>
      </c>
      <c r="P1118" s="18" t="str">
        <f t="shared" ca="1" si="370"/>
        <v>—</v>
      </c>
      <c r="Q1118" s="17">
        <f t="shared" ca="1" si="371"/>
        <v>7</v>
      </c>
      <c r="R1118" s="10" t="str">
        <f t="shared" ca="1" si="372"/>
        <v>—</v>
      </c>
      <c r="S1118" s="17">
        <f t="shared" ca="1" si="373"/>
        <v>7</v>
      </c>
      <c r="T1118" s="70" t="str">
        <f t="shared" ca="1" si="374"/>
        <v>—</v>
      </c>
      <c r="U1118" s="17">
        <f t="shared" ca="1" si="375"/>
        <v>7</v>
      </c>
      <c r="V1118" s="71" t="str">
        <f t="shared" ca="1" si="376"/>
        <v>—</v>
      </c>
      <c r="W1118" s="17">
        <f t="shared" ca="1" si="377"/>
        <v>7</v>
      </c>
    </row>
    <row r="1119" spans="1:23" x14ac:dyDescent="0.25">
      <c r="A1119" s="4">
        <f t="shared" si="357"/>
        <v>32</v>
      </c>
      <c r="B1119" t="str">
        <f ca="1">TEXT(DATE(YEAR(Invoer!$A$6),1,1)+INT((ROWS(B$2:B1119)-1)/4),"jjjjmmdd")</f>
        <v>19401006</v>
      </c>
      <c r="C1119" s="64" t="str">
        <f>IF(MOD(ROWS(C$2:C1119)-1,4)=3,"24.00",INDEX(Data,3,2+MOD(ROWS(C$2:C1119)-1,4)))</f>
        <v>12.00</v>
      </c>
      <c r="D1119" s="18" t="str">
        <f t="shared" ca="1" si="358"/>
        <v>—</v>
      </c>
      <c r="E1119" s="17">
        <f t="shared" ca="1" si="359"/>
        <v>7</v>
      </c>
      <c r="F1119" s="18" t="str">
        <f t="shared" ca="1" si="360"/>
        <v>—</v>
      </c>
      <c r="G1119" s="17">
        <f t="shared" ca="1" si="361"/>
        <v>7</v>
      </c>
      <c r="H1119" s="18" t="str">
        <f t="shared" ca="1" si="362"/>
        <v>—</v>
      </c>
      <c r="I1119" s="17">
        <f t="shared" ca="1" si="363"/>
        <v>7</v>
      </c>
      <c r="J1119" s="18" t="str">
        <f t="shared" ca="1" si="364"/>
        <v>—</v>
      </c>
      <c r="K1119" s="17">
        <f t="shared" ca="1" si="365"/>
        <v>7</v>
      </c>
      <c r="L1119" s="10" t="str">
        <f t="shared" ca="1" si="366"/>
        <v>—</v>
      </c>
      <c r="M1119" s="17">
        <f t="shared" ca="1" si="367"/>
        <v>7</v>
      </c>
      <c r="N1119" s="18" t="str">
        <f t="shared" ca="1" si="368"/>
        <v>—</v>
      </c>
      <c r="O1119" s="17">
        <f t="shared" ca="1" si="369"/>
        <v>7</v>
      </c>
      <c r="P1119" s="18" t="str">
        <f t="shared" ca="1" si="370"/>
        <v>—</v>
      </c>
      <c r="Q1119" s="17">
        <f t="shared" ca="1" si="371"/>
        <v>7</v>
      </c>
      <c r="R1119" s="10" t="str">
        <f t="shared" ca="1" si="372"/>
        <v>—</v>
      </c>
      <c r="S1119" s="17">
        <f t="shared" ca="1" si="373"/>
        <v>7</v>
      </c>
      <c r="T1119" s="70" t="str">
        <f t="shared" ca="1" si="374"/>
        <v>—</v>
      </c>
      <c r="U1119" s="17">
        <f t="shared" ca="1" si="375"/>
        <v>7</v>
      </c>
      <c r="V1119" s="71" t="str">
        <f t="shared" ca="1" si="376"/>
        <v>—</v>
      </c>
      <c r="W1119" s="17">
        <f t="shared" ca="1" si="377"/>
        <v>7</v>
      </c>
    </row>
    <row r="1120" spans="1:23" x14ac:dyDescent="0.25">
      <c r="A1120" s="4">
        <f t="shared" si="357"/>
        <v>32</v>
      </c>
      <c r="B1120" t="str">
        <f ca="1">TEXT(DATE(YEAR(Invoer!$A$6),1,1)+INT((ROWS(B$2:B1120)-1)/4),"jjjjmmdd")</f>
        <v>19401006</v>
      </c>
      <c r="C1120" s="64" t="str">
        <f>IF(MOD(ROWS(C$2:C1120)-1,4)=3,"24.00",INDEX(Data,3,2+MOD(ROWS(C$2:C1120)-1,4)))</f>
        <v>17.00</v>
      </c>
      <c r="D1120" s="18" t="str">
        <f t="shared" ca="1" si="358"/>
        <v>—</v>
      </c>
      <c r="E1120" s="17">
        <f t="shared" ca="1" si="359"/>
        <v>7</v>
      </c>
      <c r="F1120" s="18" t="str">
        <f t="shared" ca="1" si="360"/>
        <v>—</v>
      </c>
      <c r="G1120" s="17">
        <f t="shared" ca="1" si="361"/>
        <v>7</v>
      </c>
      <c r="H1120" s="18" t="str">
        <f t="shared" ca="1" si="362"/>
        <v>—</v>
      </c>
      <c r="I1120" s="17">
        <f t="shared" ca="1" si="363"/>
        <v>7</v>
      </c>
      <c r="J1120" s="18" t="str">
        <f t="shared" ca="1" si="364"/>
        <v>—</v>
      </c>
      <c r="K1120" s="17">
        <f t="shared" ca="1" si="365"/>
        <v>7</v>
      </c>
      <c r="L1120" s="10" t="str">
        <f t="shared" ca="1" si="366"/>
        <v>—</v>
      </c>
      <c r="M1120" s="17">
        <f t="shared" ca="1" si="367"/>
        <v>7</v>
      </c>
      <c r="N1120" s="18" t="str">
        <f t="shared" ca="1" si="368"/>
        <v>—</v>
      </c>
      <c r="O1120" s="17">
        <f t="shared" ca="1" si="369"/>
        <v>7</v>
      </c>
      <c r="P1120" s="18" t="str">
        <f t="shared" ca="1" si="370"/>
        <v>—</v>
      </c>
      <c r="Q1120" s="17">
        <f t="shared" ca="1" si="371"/>
        <v>7</v>
      </c>
      <c r="R1120" s="10" t="str">
        <f t="shared" ca="1" si="372"/>
        <v>—</v>
      </c>
      <c r="S1120" s="17">
        <f t="shared" ca="1" si="373"/>
        <v>7</v>
      </c>
      <c r="T1120" s="70" t="str">
        <f t="shared" ca="1" si="374"/>
        <v>—</v>
      </c>
      <c r="U1120" s="17">
        <f t="shared" ca="1" si="375"/>
        <v>7</v>
      </c>
      <c r="V1120" s="71" t="str">
        <f t="shared" ca="1" si="376"/>
        <v>—</v>
      </c>
      <c r="W1120" s="17">
        <f t="shared" ca="1" si="377"/>
        <v>7</v>
      </c>
    </row>
    <row r="1121" spans="1:23" x14ac:dyDescent="0.25">
      <c r="A1121" s="4">
        <f t="shared" si="357"/>
        <v>32</v>
      </c>
      <c r="B1121" t="str">
        <f ca="1">TEXT(DATE(YEAR(Invoer!$A$6),1,1)+INT((ROWS(B$2:B1121)-1)/4),"jjjjmmdd")</f>
        <v>19401006</v>
      </c>
      <c r="C1121" s="64" t="str">
        <f>IF(MOD(ROWS(C$2:C1121)-1,4)=3,"24.00",INDEX(Data,3,2+MOD(ROWS(C$2:C1121)-1,4)))</f>
        <v>24.00</v>
      </c>
      <c r="D1121" s="18" t="str">
        <f t="shared" ca="1" si="358"/>
        <v>—</v>
      </c>
      <c r="E1121" s="17">
        <f t="shared" ca="1" si="359"/>
        <v>7</v>
      </c>
      <c r="F1121" s="18" t="str">
        <f t="shared" ca="1" si="360"/>
        <v>—</v>
      </c>
      <c r="G1121" s="17">
        <f t="shared" ca="1" si="361"/>
        <v>7</v>
      </c>
      <c r="H1121" s="18" t="str">
        <f t="shared" ca="1" si="362"/>
        <v>—</v>
      </c>
      <c r="I1121" s="17">
        <f t="shared" ca="1" si="363"/>
        <v>7</v>
      </c>
      <c r="J1121" s="18" t="str">
        <f t="shared" ca="1" si="364"/>
        <v>—</v>
      </c>
      <c r="K1121" s="17">
        <f t="shared" ca="1" si="365"/>
        <v>7</v>
      </c>
      <c r="L1121" s="10" t="str">
        <f t="shared" ca="1" si="366"/>
        <v>—</v>
      </c>
      <c r="M1121" s="17">
        <f t="shared" ca="1" si="367"/>
        <v>7</v>
      </c>
      <c r="N1121" s="18" t="str">
        <f t="shared" ca="1" si="368"/>
        <v>—</v>
      </c>
      <c r="O1121" s="17">
        <f t="shared" ca="1" si="369"/>
        <v>7</v>
      </c>
      <c r="P1121" s="18" t="str">
        <f t="shared" ca="1" si="370"/>
        <v>—</v>
      </c>
      <c r="Q1121" s="17">
        <f t="shared" ca="1" si="371"/>
        <v>7</v>
      </c>
      <c r="R1121" s="10" t="str">
        <f t="shared" ca="1" si="372"/>
        <v>—</v>
      </c>
      <c r="S1121" s="17">
        <f t="shared" ca="1" si="373"/>
        <v>7</v>
      </c>
      <c r="T1121" s="70" t="str">
        <f t="shared" ca="1" si="374"/>
        <v>—</v>
      </c>
      <c r="U1121" s="17">
        <f t="shared" ca="1" si="375"/>
        <v>7</v>
      </c>
      <c r="V1121" s="71" t="str">
        <f t="shared" ca="1" si="376"/>
        <v>—</v>
      </c>
      <c r="W1121" s="17">
        <f t="shared" ca="1" si="377"/>
        <v>7</v>
      </c>
    </row>
    <row r="1122" spans="1:23" x14ac:dyDescent="0.25">
      <c r="A1122" s="4">
        <f t="shared" si="357"/>
        <v>32</v>
      </c>
      <c r="B1122" t="str">
        <f ca="1">TEXT(DATE(YEAR(Invoer!$A$6),1,1)+INT((ROWS(B$2:B1122)-1)/4),"jjjjmmdd")</f>
        <v>19401007</v>
      </c>
      <c r="C1122" s="64" t="str">
        <f>IF(MOD(ROWS(C$2:C1122)-1,4)=3,"24.00",INDEX(Data,3,2+MOD(ROWS(C$2:C1122)-1,4)))</f>
        <v>07.00</v>
      </c>
      <c r="D1122" s="18" t="str">
        <f t="shared" ca="1" si="358"/>
        <v>—</v>
      </c>
      <c r="E1122" s="17">
        <f t="shared" ca="1" si="359"/>
        <v>7</v>
      </c>
      <c r="F1122" s="18" t="str">
        <f t="shared" ca="1" si="360"/>
        <v>—</v>
      </c>
      <c r="G1122" s="17">
        <f t="shared" ca="1" si="361"/>
        <v>7</v>
      </c>
      <c r="H1122" s="18" t="str">
        <f t="shared" ca="1" si="362"/>
        <v>—</v>
      </c>
      <c r="I1122" s="17">
        <f t="shared" ca="1" si="363"/>
        <v>7</v>
      </c>
      <c r="J1122" s="18" t="str">
        <f t="shared" ca="1" si="364"/>
        <v>—</v>
      </c>
      <c r="K1122" s="17">
        <f t="shared" ca="1" si="365"/>
        <v>7</v>
      </c>
      <c r="L1122" s="10" t="str">
        <f t="shared" ca="1" si="366"/>
        <v>—</v>
      </c>
      <c r="M1122" s="17">
        <f t="shared" ca="1" si="367"/>
        <v>7</v>
      </c>
      <c r="N1122" s="18" t="str">
        <f t="shared" ca="1" si="368"/>
        <v>—</v>
      </c>
      <c r="O1122" s="17">
        <f t="shared" ca="1" si="369"/>
        <v>7</v>
      </c>
      <c r="P1122" s="18" t="str">
        <f t="shared" ca="1" si="370"/>
        <v>—</v>
      </c>
      <c r="Q1122" s="17">
        <f t="shared" ca="1" si="371"/>
        <v>7</v>
      </c>
      <c r="R1122" s="10" t="str">
        <f t="shared" ca="1" si="372"/>
        <v>—</v>
      </c>
      <c r="S1122" s="17">
        <f t="shared" ca="1" si="373"/>
        <v>7</v>
      </c>
      <c r="T1122" s="70" t="str">
        <f t="shared" ca="1" si="374"/>
        <v>—</v>
      </c>
      <c r="U1122" s="17">
        <f t="shared" ca="1" si="375"/>
        <v>7</v>
      </c>
      <c r="V1122" s="71" t="str">
        <f t="shared" ca="1" si="376"/>
        <v>—</v>
      </c>
      <c r="W1122" s="17">
        <f t="shared" ca="1" si="377"/>
        <v>7</v>
      </c>
    </row>
    <row r="1123" spans="1:23" x14ac:dyDescent="0.25">
      <c r="A1123" s="4">
        <f t="shared" si="357"/>
        <v>32</v>
      </c>
      <c r="B1123" t="str">
        <f ca="1">TEXT(DATE(YEAR(Invoer!$A$6),1,1)+INT((ROWS(B$2:B1123)-1)/4),"jjjjmmdd")</f>
        <v>19401007</v>
      </c>
      <c r="C1123" s="64" t="str">
        <f>IF(MOD(ROWS(C$2:C1123)-1,4)=3,"24.00",INDEX(Data,3,2+MOD(ROWS(C$2:C1123)-1,4)))</f>
        <v>12.00</v>
      </c>
      <c r="D1123" s="18" t="str">
        <f t="shared" ca="1" si="358"/>
        <v>—</v>
      </c>
      <c r="E1123" s="17">
        <f t="shared" ca="1" si="359"/>
        <v>7</v>
      </c>
      <c r="F1123" s="18" t="str">
        <f t="shared" ca="1" si="360"/>
        <v>—</v>
      </c>
      <c r="G1123" s="17">
        <f t="shared" ca="1" si="361"/>
        <v>7</v>
      </c>
      <c r="H1123" s="18" t="str">
        <f t="shared" ca="1" si="362"/>
        <v>—</v>
      </c>
      <c r="I1123" s="17">
        <f t="shared" ca="1" si="363"/>
        <v>7</v>
      </c>
      <c r="J1123" s="18" t="str">
        <f t="shared" ca="1" si="364"/>
        <v>—</v>
      </c>
      <c r="K1123" s="17">
        <f t="shared" ca="1" si="365"/>
        <v>7</v>
      </c>
      <c r="L1123" s="10" t="str">
        <f t="shared" ca="1" si="366"/>
        <v>—</v>
      </c>
      <c r="M1123" s="17">
        <f t="shared" ca="1" si="367"/>
        <v>7</v>
      </c>
      <c r="N1123" s="18" t="str">
        <f t="shared" ca="1" si="368"/>
        <v>—</v>
      </c>
      <c r="O1123" s="17">
        <f t="shared" ca="1" si="369"/>
        <v>7</v>
      </c>
      <c r="P1123" s="18" t="str">
        <f t="shared" ca="1" si="370"/>
        <v>—</v>
      </c>
      <c r="Q1123" s="17">
        <f t="shared" ca="1" si="371"/>
        <v>7</v>
      </c>
      <c r="R1123" s="10" t="str">
        <f t="shared" ca="1" si="372"/>
        <v>—</v>
      </c>
      <c r="S1123" s="17">
        <f t="shared" ca="1" si="373"/>
        <v>7</v>
      </c>
      <c r="T1123" s="70" t="str">
        <f t="shared" ca="1" si="374"/>
        <v>—</v>
      </c>
      <c r="U1123" s="17">
        <f t="shared" ca="1" si="375"/>
        <v>7</v>
      </c>
      <c r="V1123" s="71" t="str">
        <f t="shared" ca="1" si="376"/>
        <v>—</v>
      </c>
      <c r="W1123" s="17">
        <f t="shared" ca="1" si="377"/>
        <v>7</v>
      </c>
    </row>
    <row r="1124" spans="1:23" x14ac:dyDescent="0.25">
      <c r="A1124" s="4">
        <f t="shared" si="357"/>
        <v>32</v>
      </c>
      <c r="B1124" t="str">
        <f ca="1">TEXT(DATE(YEAR(Invoer!$A$6),1,1)+INT((ROWS(B$2:B1124)-1)/4),"jjjjmmdd")</f>
        <v>19401007</v>
      </c>
      <c r="C1124" s="64" t="str">
        <f>IF(MOD(ROWS(C$2:C1124)-1,4)=3,"24.00",INDEX(Data,3,2+MOD(ROWS(C$2:C1124)-1,4)))</f>
        <v>17.00</v>
      </c>
      <c r="D1124" s="18" t="str">
        <f t="shared" ca="1" si="358"/>
        <v>—</v>
      </c>
      <c r="E1124" s="17">
        <f t="shared" ca="1" si="359"/>
        <v>7</v>
      </c>
      <c r="F1124" s="18" t="str">
        <f t="shared" ca="1" si="360"/>
        <v>—</v>
      </c>
      <c r="G1124" s="17">
        <f t="shared" ca="1" si="361"/>
        <v>7</v>
      </c>
      <c r="H1124" s="18" t="str">
        <f t="shared" ca="1" si="362"/>
        <v>—</v>
      </c>
      <c r="I1124" s="17">
        <f t="shared" ca="1" si="363"/>
        <v>7</v>
      </c>
      <c r="J1124" s="18" t="str">
        <f t="shared" ca="1" si="364"/>
        <v>—</v>
      </c>
      <c r="K1124" s="17">
        <f t="shared" ca="1" si="365"/>
        <v>7</v>
      </c>
      <c r="L1124" s="10" t="str">
        <f t="shared" ca="1" si="366"/>
        <v>—</v>
      </c>
      <c r="M1124" s="17">
        <f t="shared" ca="1" si="367"/>
        <v>7</v>
      </c>
      <c r="N1124" s="18" t="str">
        <f t="shared" ca="1" si="368"/>
        <v>—</v>
      </c>
      <c r="O1124" s="17">
        <f t="shared" ca="1" si="369"/>
        <v>7</v>
      </c>
      <c r="P1124" s="18" t="str">
        <f t="shared" ca="1" si="370"/>
        <v>—</v>
      </c>
      <c r="Q1124" s="17">
        <f t="shared" ca="1" si="371"/>
        <v>7</v>
      </c>
      <c r="R1124" s="10" t="str">
        <f t="shared" ca="1" si="372"/>
        <v>—</v>
      </c>
      <c r="S1124" s="17">
        <f t="shared" ca="1" si="373"/>
        <v>7</v>
      </c>
      <c r="T1124" s="70" t="str">
        <f t="shared" ca="1" si="374"/>
        <v>—</v>
      </c>
      <c r="U1124" s="17">
        <f t="shared" ca="1" si="375"/>
        <v>7</v>
      </c>
      <c r="V1124" s="71" t="str">
        <f t="shared" ca="1" si="376"/>
        <v>—</v>
      </c>
      <c r="W1124" s="17">
        <f t="shared" ca="1" si="377"/>
        <v>7</v>
      </c>
    </row>
    <row r="1125" spans="1:23" x14ac:dyDescent="0.25">
      <c r="A1125" s="4">
        <f t="shared" si="357"/>
        <v>32</v>
      </c>
      <c r="B1125" t="str">
        <f ca="1">TEXT(DATE(YEAR(Invoer!$A$6),1,1)+INT((ROWS(B$2:B1125)-1)/4),"jjjjmmdd")</f>
        <v>19401007</v>
      </c>
      <c r="C1125" s="64" t="str">
        <f>IF(MOD(ROWS(C$2:C1125)-1,4)=3,"24.00",INDEX(Data,3,2+MOD(ROWS(C$2:C1125)-1,4)))</f>
        <v>24.00</v>
      </c>
      <c r="D1125" s="18" t="str">
        <f t="shared" ca="1" si="358"/>
        <v>—</v>
      </c>
      <c r="E1125" s="17">
        <f t="shared" ca="1" si="359"/>
        <v>7</v>
      </c>
      <c r="F1125" s="18" t="str">
        <f t="shared" ca="1" si="360"/>
        <v>—</v>
      </c>
      <c r="G1125" s="17">
        <f t="shared" ca="1" si="361"/>
        <v>7</v>
      </c>
      <c r="H1125" s="18" t="str">
        <f t="shared" ca="1" si="362"/>
        <v>—</v>
      </c>
      <c r="I1125" s="17">
        <f t="shared" ca="1" si="363"/>
        <v>7</v>
      </c>
      <c r="J1125" s="18" t="str">
        <f t="shared" ca="1" si="364"/>
        <v>—</v>
      </c>
      <c r="K1125" s="17">
        <f t="shared" ca="1" si="365"/>
        <v>7</v>
      </c>
      <c r="L1125" s="10" t="str">
        <f t="shared" ca="1" si="366"/>
        <v>—</v>
      </c>
      <c r="M1125" s="17">
        <f t="shared" ca="1" si="367"/>
        <v>7</v>
      </c>
      <c r="N1125" s="18" t="str">
        <f t="shared" ca="1" si="368"/>
        <v>—</v>
      </c>
      <c r="O1125" s="17">
        <f t="shared" ca="1" si="369"/>
        <v>7</v>
      </c>
      <c r="P1125" s="18" t="str">
        <f t="shared" ca="1" si="370"/>
        <v>—</v>
      </c>
      <c r="Q1125" s="17">
        <f t="shared" ca="1" si="371"/>
        <v>7</v>
      </c>
      <c r="R1125" s="10" t="str">
        <f t="shared" ca="1" si="372"/>
        <v>—</v>
      </c>
      <c r="S1125" s="17">
        <f t="shared" ca="1" si="373"/>
        <v>7</v>
      </c>
      <c r="T1125" s="70" t="str">
        <f t="shared" ca="1" si="374"/>
        <v>—</v>
      </c>
      <c r="U1125" s="17">
        <f t="shared" ca="1" si="375"/>
        <v>7</v>
      </c>
      <c r="V1125" s="71" t="str">
        <f t="shared" ca="1" si="376"/>
        <v>—</v>
      </c>
      <c r="W1125" s="17">
        <f t="shared" ca="1" si="377"/>
        <v>7</v>
      </c>
    </row>
    <row r="1126" spans="1:23" x14ac:dyDescent="0.25">
      <c r="A1126" s="4">
        <f t="shared" si="357"/>
        <v>32</v>
      </c>
      <c r="B1126" t="str">
        <f ca="1">TEXT(DATE(YEAR(Invoer!$A$6),1,1)+INT((ROWS(B$2:B1126)-1)/4),"jjjjmmdd")</f>
        <v>19401008</v>
      </c>
      <c r="C1126" s="64" t="str">
        <f>IF(MOD(ROWS(C$2:C1126)-1,4)=3,"24.00",INDEX(Data,3,2+MOD(ROWS(C$2:C1126)-1,4)))</f>
        <v>07.00</v>
      </c>
      <c r="D1126" s="18" t="str">
        <f t="shared" ca="1" si="358"/>
        <v>—</v>
      </c>
      <c r="E1126" s="17">
        <f t="shared" ca="1" si="359"/>
        <v>7</v>
      </c>
      <c r="F1126" s="18" t="str">
        <f t="shared" ca="1" si="360"/>
        <v>—</v>
      </c>
      <c r="G1126" s="17">
        <f t="shared" ca="1" si="361"/>
        <v>7</v>
      </c>
      <c r="H1126" s="18" t="str">
        <f t="shared" ca="1" si="362"/>
        <v>—</v>
      </c>
      <c r="I1126" s="17">
        <f t="shared" ca="1" si="363"/>
        <v>7</v>
      </c>
      <c r="J1126" s="18" t="str">
        <f t="shared" ca="1" si="364"/>
        <v>—</v>
      </c>
      <c r="K1126" s="17">
        <f t="shared" ca="1" si="365"/>
        <v>7</v>
      </c>
      <c r="L1126" s="10" t="str">
        <f t="shared" ca="1" si="366"/>
        <v>—</v>
      </c>
      <c r="M1126" s="17">
        <f t="shared" ca="1" si="367"/>
        <v>7</v>
      </c>
      <c r="N1126" s="18" t="str">
        <f t="shared" ca="1" si="368"/>
        <v>—</v>
      </c>
      <c r="O1126" s="17">
        <f t="shared" ca="1" si="369"/>
        <v>7</v>
      </c>
      <c r="P1126" s="18" t="str">
        <f t="shared" ca="1" si="370"/>
        <v>—</v>
      </c>
      <c r="Q1126" s="17">
        <f t="shared" ca="1" si="371"/>
        <v>7</v>
      </c>
      <c r="R1126" s="10" t="str">
        <f t="shared" ca="1" si="372"/>
        <v>—</v>
      </c>
      <c r="S1126" s="17">
        <f t="shared" ca="1" si="373"/>
        <v>7</v>
      </c>
      <c r="T1126" s="70" t="str">
        <f t="shared" ca="1" si="374"/>
        <v>—</v>
      </c>
      <c r="U1126" s="17">
        <f t="shared" ca="1" si="375"/>
        <v>7</v>
      </c>
      <c r="V1126" s="71" t="str">
        <f t="shared" ca="1" si="376"/>
        <v>—</v>
      </c>
      <c r="W1126" s="17">
        <f t="shared" ca="1" si="377"/>
        <v>7</v>
      </c>
    </row>
    <row r="1127" spans="1:23" x14ac:dyDescent="0.25">
      <c r="A1127" s="4">
        <f t="shared" si="357"/>
        <v>32</v>
      </c>
      <c r="B1127" t="str">
        <f ca="1">TEXT(DATE(YEAR(Invoer!$A$6),1,1)+INT((ROWS(B$2:B1127)-1)/4),"jjjjmmdd")</f>
        <v>19401008</v>
      </c>
      <c r="C1127" s="64" t="str">
        <f>IF(MOD(ROWS(C$2:C1127)-1,4)=3,"24.00",INDEX(Data,3,2+MOD(ROWS(C$2:C1127)-1,4)))</f>
        <v>12.00</v>
      </c>
      <c r="D1127" s="18" t="str">
        <f t="shared" ca="1" si="358"/>
        <v>—</v>
      </c>
      <c r="E1127" s="17">
        <f t="shared" ca="1" si="359"/>
        <v>7</v>
      </c>
      <c r="F1127" s="18" t="str">
        <f t="shared" ca="1" si="360"/>
        <v>—</v>
      </c>
      <c r="G1127" s="17">
        <f t="shared" ca="1" si="361"/>
        <v>7</v>
      </c>
      <c r="H1127" s="18" t="str">
        <f t="shared" ca="1" si="362"/>
        <v>—</v>
      </c>
      <c r="I1127" s="17">
        <f t="shared" ca="1" si="363"/>
        <v>7</v>
      </c>
      <c r="J1127" s="18" t="str">
        <f t="shared" ca="1" si="364"/>
        <v>—</v>
      </c>
      <c r="K1127" s="17">
        <f t="shared" ca="1" si="365"/>
        <v>7</v>
      </c>
      <c r="L1127" s="10" t="str">
        <f t="shared" ca="1" si="366"/>
        <v>—</v>
      </c>
      <c r="M1127" s="17">
        <f t="shared" ca="1" si="367"/>
        <v>7</v>
      </c>
      <c r="N1127" s="18" t="str">
        <f t="shared" ca="1" si="368"/>
        <v>—</v>
      </c>
      <c r="O1127" s="17">
        <f t="shared" ca="1" si="369"/>
        <v>7</v>
      </c>
      <c r="P1127" s="18" t="str">
        <f t="shared" ca="1" si="370"/>
        <v>—</v>
      </c>
      <c r="Q1127" s="17">
        <f t="shared" ca="1" si="371"/>
        <v>7</v>
      </c>
      <c r="R1127" s="10" t="str">
        <f t="shared" ca="1" si="372"/>
        <v>—</v>
      </c>
      <c r="S1127" s="17">
        <f t="shared" ca="1" si="373"/>
        <v>7</v>
      </c>
      <c r="T1127" s="70" t="str">
        <f t="shared" ca="1" si="374"/>
        <v>—</v>
      </c>
      <c r="U1127" s="17">
        <f t="shared" ca="1" si="375"/>
        <v>7</v>
      </c>
      <c r="V1127" s="71" t="str">
        <f t="shared" ca="1" si="376"/>
        <v>—</v>
      </c>
      <c r="W1127" s="17">
        <f t="shared" ca="1" si="377"/>
        <v>7</v>
      </c>
    </row>
    <row r="1128" spans="1:23" x14ac:dyDescent="0.25">
      <c r="A1128" s="4">
        <f t="shared" si="357"/>
        <v>32</v>
      </c>
      <c r="B1128" t="str">
        <f ca="1">TEXT(DATE(YEAR(Invoer!$A$6),1,1)+INT((ROWS(B$2:B1128)-1)/4),"jjjjmmdd")</f>
        <v>19401008</v>
      </c>
      <c r="C1128" s="64" t="str">
        <f>IF(MOD(ROWS(C$2:C1128)-1,4)=3,"24.00",INDEX(Data,3,2+MOD(ROWS(C$2:C1128)-1,4)))</f>
        <v>17.00</v>
      </c>
      <c r="D1128" s="18" t="str">
        <f t="shared" ca="1" si="358"/>
        <v>—</v>
      </c>
      <c r="E1128" s="17">
        <f t="shared" ca="1" si="359"/>
        <v>7</v>
      </c>
      <c r="F1128" s="18" t="str">
        <f t="shared" ca="1" si="360"/>
        <v>—</v>
      </c>
      <c r="G1128" s="17">
        <f t="shared" ca="1" si="361"/>
        <v>7</v>
      </c>
      <c r="H1128" s="18" t="str">
        <f t="shared" ca="1" si="362"/>
        <v>—</v>
      </c>
      <c r="I1128" s="17">
        <f t="shared" ca="1" si="363"/>
        <v>7</v>
      </c>
      <c r="J1128" s="18" t="str">
        <f t="shared" ca="1" si="364"/>
        <v>—</v>
      </c>
      <c r="K1128" s="17">
        <f t="shared" ca="1" si="365"/>
        <v>7</v>
      </c>
      <c r="L1128" s="10" t="str">
        <f t="shared" ca="1" si="366"/>
        <v>—</v>
      </c>
      <c r="M1128" s="17">
        <f t="shared" ca="1" si="367"/>
        <v>7</v>
      </c>
      <c r="N1128" s="18" t="str">
        <f t="shared" ca="1" si="368"/>
        <v>—</v>
      </c>
      <c r="O1128" s="17">
        <f t="shared" ca="1" si="369"/>
        <v>7</v>
      </c>
      <c r="P1128" s="18" t="str">
        <f t="shared" ca="1" si="370"/>
        <v>—</v>
      </c>
      <c r="Q1128" s="17">
        <f t="shared" ca="1" si="371"/>
        <v>7</v>
      </c>
      <c r="R1128" s="10" t="str">
        <f t="shared" ca="1" si="372"/>
        <v>—</v>
      </c>
      <c r="S1128" s="17">
        <f t="shared" ca="1" si="373"/>
        <v>7</v>
      </c>
      <c r="T1128" s="70" t="str">
        <f t="shared" ca="1" si="374"/>
        <v>—</v>
      </c>
      <c r="U1128" s="17">
        <f t="shared" ca="1" si="375"/>
        <v>7</v>
      </c>
      <c r="V1128" s="71" t="str">
        <f t="shared" ca="1" si="376"/>
        <v>—</v>
      </c>
      <c r="W1128" s="17">
        <f t="shared" ca="1" si="377"/>
        <v>7</v>
      </c>
    </row>
    <row r="1129" spans="1:23" x14ac:dyDescent="0.25">
      <c r="A1129" s="4">
        <f t="shared" si="357"/>
        <v>32</v>
      </c>
      <c r="B1129" t="str">
        <f ca="1">TEXT(DATE(YEAR(Invoer!$A$6),1,1)+INT((ROWS(B$2:B1129)-1)/4),"jjjjmmdd")</f>
        <v>19401008</v>
      </c>
      <c r="C1129" s="64" t="str">
        <f>IF(MOD(ROWS(C$2:C1129)-1,4)=3,"24.00",INDEX(Data,3,2+MOD(ROWS(C$2:C1129)-1,4)))</f>
        <v>24.00</v>
      </c>
      <c r="D1129" s="18" t="str">
        <f t="shared" ca="1" si="358"/>
        <v>—</v>
      </c>
      <c r="E1129" s="17">
        <f t="shared" ca="1" si="359"/>
        <v>7</v>
      </c>
      <c r="F1129" s="18" t="str">
        <f t="shared" ca="1" si="360"/>
        <v>—</v>
      </c>
      <c r="G1129" s="17">
        <f t="shared" ca="1" si="361"/>
        <v>7</v>
      </c>
      <c r="H1129" s="18" t="str">
        <f t="shared" ca="1" si="362"/>
        <v>—</v>
      </c>
      <c r="I1129" s="17">
        <f t="shared" ca="1" si="363"/>
        <v>7</v>
      </c>
      <c r="J1129" s="18" t="str">
        <f t="shared" ca="1" si="364"/>
        <v>—</v>
      </c>
      <c r="K1129" s="17">
        <f t="shared" ca="1" si="365"/>
        <v>7</v>
      </c>
      <c r="L1129" s="10" t="str">
        <f t="shared" ca="1" si="366"/>
        <v>—</v>
      </c>
      <c r="M1129" s="17">
        <f t="shared" ca="1" si="367"/>
        <v>7</v>
      </c>
      <c r="N1129" s="18" t="str">
        <f t="shared" ca="1" si="368"/>
        <v>—</v>
      </c>
      <c r="O1129" s="17">
        <f t="shared" ca="1" si="369"/>
        <v>7</v>
      </c>
      <c r="P1129" s="18" t="str">
        <f t="shared" ca="1" si="370"/>
        <v>—</v>
      </c>
      <c r="Q1129" s="17">
        <f t="shared" ca="1" si="371"/>
        <v>7</v>
      </c>
      <c r="R1129" s="10" t="str">
        <f t="shared" ca="1" si="372"/>
        <v>—</v>
      </c>
      <c r="S1129" s="17">
        <f t="shared" ca="1" si="373"/>
        <v>7</v>
      </c>
      <c r="T1129" s="70" t="str">
        <f t="shared" ca="1" si="374"/>
        <v>—</v>
      </c>
      <c r="U1129" s="17">
        <f t="shared" ca="1" si="375"/>
        <v>7</v>
      </c>
      <c r="V1129" s="71" t="str">
        <f t="shared" ca="1" si="376"/>
        <v>—</v>
      </c>
      <c r="W1129" s="17">
        <f t="shared" ca="1" si="377"/>
        <v>7</v>
      </c>
    </row>
    <row r="1130" spans="1:23" x14ac:dyDescent="0.25">
      <c r="A1130" s="4">
        <f t="shared" si="357"/>
        <v>32</v>
      </c>
      <c r="B1130" t="str">
        <f ca="1">TEXT(DATE(YEAR(Invoer!$A$6),1,1)+INT((ROWS(B$2:B1130)-1)/4),"jjjjmmdd")</f>
        <v>19401009</v>
      </c>
      <c r="C1130" s="64" t="str">
        <f>IF(MOD(ROWS(C$2:C1130)-1,4)=3,"24.00",INDEX(Data,3,2+MOD(ROWS(C$2:C1130)-1,4)))</f>
        <v>07.00</v>
      </c>
      <c r="D1130" s="18" t="str">
        <f t="shared" ca="1" si="358"/>
        <v>—</v>
      </c>
      <c r="E1130" s="17">
        <f t="shared" ca="1" si="359"/>
        <v>7</v>
      </c>
      <c r="F1130" s="18" t="str">
        <f t="shared" ca="1" si="360"/>
        <v>—</v>
      </c>
      <c r="G1130" s="17">
        <f t="shared" ca="1" si="361"/>
        <v>7</v>
      </c>
      <c r="H1130" s="18" t="str">
        <f t="shared" ca="1" si="362"/>
        <v>—</v>
      </c>
      <c r="I1130" s="17">
        <f t="shared" ca="1" si="363"/>
        <v>7</v>
      </c>
      <c r="J1130" s="18" t="str">
        <f t="shared" ca="1" si="364"/>
        <v>—</v>
      </c>
      <c r="K1130" s="17">
        <f t="shared" ca="1" si="365"/>
        <v>7</v>
      </c>
      <c r="L1130" s="10" t="str">
        <f t="shared" ca="1" si="366"/>
        <v>—</v>
      </c>
      <c r="M1130" s="17">
        <f t="shared" ca="1" si="367"/>
        <v>7</v>
      </c>
      <c r="N1130" s="18" t="str">
        <f t="shared" ca="1" si="368"/>
        <v>—</v>
      </c>
      <c r="O1130" s="17">
        <f t="shared" ca="1" si="369"/>
        <v>7</v>
      </c>
      <c r="P1130" s="18" t="str">
        <f t="shared" ca="1" si="370"/>
        <v>—</v>
      </c>
      <c r="Q1130" s="17">
        <f t="shared" ca="1" si="371"/>
        <v>7</v>
      </c>
      <c r="R1130" s="10" t="str">
        <f t="shared" ca="1" si="372"/>
        <v>—</v>
      </c>
      <c r="S1130" s="17">
        <f t="shared" ca="1" si="373"/>
        <v>7</v>
      </c>
      <c r="T1130" s="70" t="str">
        <f t="shared" ca="1" si="374"/>
        <v>—</v>
      </c>
      <c r="U1130" s="17">
        <f t="shared" ca="1" si="375"/>
        <v>7</v>
      </c>
      <c r="V1130" s="71" t="str">
        <f t="shared" ca="1" si="376"/>
        <v>—</v>
      </c>
      <c r="W1130" s="17">
        <f t="shared" ca="1" si="377"/>
        <v>7</v>
      </c>
    </row>
    <row r="1131" spans="1:23" x14ac:dyDescent="0.25">
      <c r="A1131" s="4">
        <f t="shared" si="357"/>
        <v>32</v>
      </c>
      <c r="B1131" t="str">
        <f ca="1">TEXT(DATE(YEAR(Invoer!$A$6),1,1)+INT((ROWS(B$2:B1131)-1)/4),"jjjjmmdd")</f>
        <v>19401009</v>
      </c>
      <c r="C1131" s="64" t="str">
        <f>IF(MOD(ROWS(C$2:C1131)-1,4)=3,"24.00",INDEX(Data,3,2+MOD(ROWS(C$2:C1131)-1,4)))</f>
        <v>12.00</v>
      </c>
      <c r="D1131" s="18" t="str">
        <f t="shared" ca="1" si="358"/>
        <v>—</v>
      </c>
      <c r="E1131" s="17">
        <f t="shared" ca="1" si="359"/>
        <v>7</v>
      </c>
      <c r="F1131" s="18" t="str">
        <f t="shared" ca="1" si="360"/>
        <v>—</v>
      </c>
      <c r="G1131" s="17">
        <f t="shared" ca="1" si="361"/>
        <v>7</v>
      </c>
      <c r="H1131" s="18" t="str">
        <f t="shared" ca="1" si="362"/>
        <v>—</v>
      </c>
      <c r="I1131" s="17">
        <f t="shared" ca="1" si="363"/>
        <v>7</v>
      </c>
      <c r="J1131" s="18" t="str">
        <f t="shared" ca="1" si="364"/>
        <v>—</v>
      </c>
      <c r="K1131" s="17">
        <f t="shared" ca="1" si="365"/>
        <v>7</v>
      </c>
      <c r="L1131" s="10" t="str">
        <f t="shared" ca="1" si="366"/>
        <v>—</v>
      </c>
      <c r="M1131" s="17">
        <f t="shared" ca="1" si="367"/>
        <v>7</v>
      </c>
      <c r="N1131" s="18" t="str">
        <f t="shared" ca="1" si="368"/>
        <v>—</v>
      </c>
      <c r="O1131" s="17">
        <f t="shared" ca="1" si="369"/>
        <v>7</v>
      </c>
      <c r="P1131" s="18" t="str">
        <f t="shared" ca="1" si="370"/>
        <v>—</v>
      </c>
      <c r="Q1131" s="17">
        <f t="shared" ca="1" si="371"/>
        <v>7</v>
      </c>
      <c r="R1131" s="10" t="str">
        <f t="shared" ca="1" si="372"/>
        <v>—</v>
      </c>
      <c r="S1131" s="17">
        <f t="shared" ca="1" si="373"/>
        <v>7</v>
      </c>
      <c r="T1131" s="70" t="str">
        <f t="shared" ca="1" si="374"/>
        <v>—</v>
      </c>
      <c r="U1131" s="17">
        <f t="shared" ca="1" si="375"/>
        <v>7</v>
      </c>
      <c r="V1131" s="71" t="str">
        <f t="shared" ca="1" si="376"/>
        <v>—</v>
      </c>
      <c r="W1131" s="17">
        <f t="shared" ca="1" si="377"/>
        <v>7</v>
      </c>
    </row>
    <row r="1132" spans="1:23" x14ac:dyDescent="0.25">
      <c r="A1132" s="4">
        <f t="shared" si="357"/>
        <v>32</v>
      </c>
      <c r="B1132" t="str">
        <f ca="1">TEXT(DATE(YEAR(Invoer!$A$6),1,1)+INT((ROWS(B$2:B1132)-1)/4),"jjjjmmdd")</f>
        <v>19401009</v>
      </c>
      <c r="C1132" s="64" t="str">
        <f>IF(MOD(ROWS(C$2:C1132)-1,4)=3,"24.00",INDEX(Data,3,2+MOD(ROWS(C$2:C1132)-1,4)))</f>
        <v>17.00</v>
      </c>
      <c r="D1132" s="18" t="str">
        <f t="shared" ca="1" si="358"/>
        <v>—</v>
      </c>
      <c r="E1132" s="17">
        <f t="shared" ca="1" si="359"/>
        <v>7</v>
      </c>
      <c r="F1132" s="18" t="str">
        <f t="shared" ca="1" si="360"/>
        <v>—</v>
      </c>
      <c r="G1132" s="17">
        <f t="shared" ca="1" si="361"/>
        <v>7</v>
      </c>
      <c r="H1132" s="18" t="str">
        <f t="shared" ca="1" si="362"/>
        <v>—</v>
      </c>
      <c r="I1132" s="17">
        <f t="shared" ca="1" si="363"/>
        <v>7</v>
      </c>
      <c r="J1132" s="18" t="str">
        <f t="shared" ca="1" si="364"/>
        <v>—</v>
      </c>
      <c r="K1132" s="17">
        <f t="shared" ca="1" si="365"/>
        <v>7</v>
      </c>
      <c r="L1132" s="10" t="str">
        <f t="shared" ca="1" si="366"/>
        <v>—</v>
      </c>
      <c r="M1132" s="17">
        <f t="shared" ca="1" si="367"/>
        <v>7</v>
      </c>
      <c r="N1132" s="18" t="str">
        <f t="shared" ca="1" si="368"/>
        <v>—</v>
      </c>
      <c r="O1132" s="17">
        <f t="shared" ca="1" si="369"/>
        <v>7</v>
      </c>
      <c r="P1132" s="18" t="str">
        <f t="shared" ca="1" si="370"/>
        <v>—</v>
      </c>
      <c r="Q1132" s="17">
        <f t="shared" ca="1" si="371"/>
        <v>7</v>
      </c>
      <c r="R1132" s="10" t="str">
        <f t="shared" ca="1" si="372"/>
        <v>—</v>
      </c>
      <c r="S1132" s="17">
        <f t="shared" ca="1" si="373"/>
        <v>7</v>
      </c>
      <c r="T1132" s="70" t="str">
        <f t="shared" ca="1" si="374"/>
        <v>—</v>
      </c>
      <c r="U1132" s="17">
        <f t="shared" ca="1" si="375"/>
        <v>7</v>
      </c>
      <c r="V1132" s="71" t="str">
        <f t="shared" ca="1" si="376"/>
        <v>—</v>
      </c>
      <c r="W1132" s="17">
        <f t="shared" ca="1" si="377"/>
        <v>7</v>
      </c>
    </row>
    <row r="1133" spans="1:23" x14ac:dyDescent="0.25">
      <c r="A1133" s="4">
        <f t="shared" si="357"/>
        <v>32</v>
      </c>
      <c r="B1133" t="str">
        <f ca="1">TEXT(DATE(YEAR(Invoer!$A$6),1,1)+INT((ROWS(B$2:B1133)-1)/4),"jjjjmmdd")</f>
        <v>19401009</v>
      </c>
      <c r="C1133" s="64" t="str">
        <f>IF(MOD(ROWS(C$2:C1133)-1,4)=3,"24.00",INDEX(Data,3,2+MOD(ROWS(C$2:C1133)-1,4)))</f>
        <v>24.00</v>
      </c>
      <c r="D1133" s="18" t="str">
        <f t="shared" ca="1" si="358"/>
        <v>—</v>
      </c>
      <c r="E1133" s="17">
        <f t="shared" ca="1" si="359"/>
        <v>7</v>
      </c>
      <c r="F1133" s="18" t="str">
        <f t="shared" ca="1" si="360"/>
        <v>—</v>
      </c>
      <c r="G1133" s="17">
        <f t="shared" ca="1" si="361"/>
        <v>7</v>
      </c>
      <c r="H1133" s="18" t="str">
        <f t="shared" ca="1" si="362"/>
        <v>—</v>
      </c>
      <c r="I1133" s="17">
        <f t="shared" ca="1" si="363"/>
        <v>7</v>
      </c>
      <c r="J1133" s="18" t="str">
        <f t="shared" ca="1" si="364"/>
        <v>—</v>
      </c>
      <c r="K1133" s="17">
        <f t="shared" ca="1" si="365"/>
        <v>7</v>
      </c>
      <c r="L1133" s="10" t="str">
        <f t="shared" ca="1" si="366"/>
        <v>—</v>
      </c>
      <c r="M1133" s="17">
        <f t="shared" ca="1" si="367"/>
        <v>7</v>
      </c>
      <c r="N1133" s="18" t="str">
        <f t="shared" ca="1" si="368"/>
        <v>—</v>
      </c>
      <c r="O1133" s="17">
        <f t="shared" ca="1" si="369"/>
        <v>7</v>
      </c>
      <c r="P1133" s="18" t="str">
        <f t="shared" ca="1" si="370"/>
        <v>—</v>
      </c>
      <c r="Q1133" s="17">
        <f t="shared" ca="1" si="371"/>
        <v>7</v>
      </c>
      <c r="R1133" s="10" t="str">
        <f t="shared" ca="1" si="372"/>
        <v>—</v>
      </c>
      <c r="S1133" s="17">
        <f t="shared" ca="1" si="373"/>
        <v>7</v>
      </c>
      <c r="T1133" s="70" t="str">
        <f t="shared" ca="1" si="374"/>
        <v>—</v>
      </c>
      <c r="U1133" s="17">
        <f t="shared" ca="1" si="375"/>
        <v>7</v>
      </c>
      <c r="V1133" s="71" t="str">
        <f t="shared" ca="1" si="376"/>
        <v>—</v>
      </c>
      <c r="W1133" s="17">
        <f t="shared" ca="1" si="377"/>
        <v>7</v>
      </c>
    </row>
    <row r="1134" spans="1:23" x14ac:dyDescent="0.25">
      <c r="A1134" s="4">
        <f t="shared" si="357"/>
        <v>32</v>
      </c>
      <c r="B1134" t="str">
        <f ca="1">TEXT(DATE(YEAR(Invoer!$A$6),1,1)+INT((ROWS(B$2:B1134)-1)/4),"jjjjmmdd")</f>
        <v>19401010</v>
      </c>
      <c r="C1134" s="64" t="str">
        <f>IF(MOD(ROWS(C$2:C1134)-1,4)=3,"24.00",INDEX(Data,3,2+MOD(ROWS(C$2:C1134)-1,4)))</f>
        <v>07.00</v>
      </c>
      <c r="D1134" s="18" t="str">
        <f t="shared" ca="1" si="358"/>
        <v>—</v>
      </c>
      <c r="E1134" s="17">
        <f t="shared" ca="1" si="359"/>
        <v>7</v>
      </c>
      <c r="F1134" s="18" t="str">
        <f t="shared" ca="1" si="360"/>
        <v>—</v>
      </c>
      <c r="G1134" s="17">
        <f t="shared" ca="1" si="361"/>
        <v>7</v>
      </c>
      <c r="H1134" s="18" t="str">
        <f t="shared" ca="1" si="362"/>
        <v>—</v>
      </c>
      <c r="I1134" s="17">
        <f t="shared" ca="1" si="363"/>
        <v>7</v>
      </c>
      <c r="J1134" s="18" t="str">
        <f t="shared" ca="1" si="364"/>
        <v>—</v>
      </c>
      <c r="K1134" s="17">
        <f t="shared" ca="1" si="365"/>
        <v>7</v>
      </c>
      <c r="L1134" s="10" t="str">
        <f t="shared" ca="1" si="366"/>
        <v>—</v>
      </c>
      <c r="M1134" s="17">
        <f t="shared" ca="1" si="367"/>
        <v>7</v>
      </c>
      <c r="N1134" s="18" t="str">
        <f t="shared" ca="1" si="368"/>
        <v>—</v>
      </c>
      <c r="O1134" s="17">
        <f t="shared" ca="1" si="369"/>
        <v>7</v>
      </c>
      <c r="P1134" s="18" t="str">
        <f t="shared" ca="1" si="370"/>
        <v>—</v>
      </c>
      <c r="Q1134" s="17">
        <f t="shared" ca="1" si="371"/>
        <v>7</v>
      </c>
      <c r="R1134" s="10" t="str">
        <f t="shared" ca="1" si="372"/>
        <v>—</v>
      </c>
      <c r="S1134" s="17">
        <f t="shared" ca="1" si="373"/>
        <v>7</v>
      </c>
      <c r="T1134" s="70" t="str">
        <f t="shared" ca="1" si="374"/>
        <v>—</v>
      </c>
      <c r="U1134" s="17">
        <f t="shared" ca="1" si="375"/>
        <v>7</v>
      </c>
      <c r="V1134" s="71" t="str">
        <f t="shared" ca="1" si="376"/>
        <v>—</v>
      </c>
      <c r="W1134" s="17">
        <f t="shared" ca="1" si="377"/>
        <v>7</v>
      </c>
    </row>
    <row r="1135" spans="1:23" x14ac:dyDescent="0.25">
      <c r="A1135" s="4">
        <f t="shared" si="357"/>
        <v>32</v>
      </c>
      <c r="B1135" t="str">
        <f ca="1">TEXT(DATE(YEAR(Invoer!$A$6),1,1)+INT((ROWS(B$2:B1135)-1)/4),"jjjjmmdd")</f>
        <v>19401010</v>
      </c>
      <c r="C1135" s="64" t="str">
        <f>IF(MOD(ROWS(C$2:C1135)-1,4)=3,"24.00",INDEX(Data,3,2+MOD(ROWS(C$2:C1135)-1,4)))</f>
        <v>12.00</v>
      </c>
      <c r="D1135" s="18" t="str">
        <f t="shared" ca="1" si="358"/>
        <v>—</v>
      </c>
      <c r="E1135" s="17">
        <f t="shared" ca="1" si="359"/>
        <v>7</v>
      </c>
      <c r="F1135" s="18" t="str">
        <f t="shared" ca="1" si="360"/>
        <v>—</v>
      </c>
      <c r="G1135" s="17">
        <f t="shared" ca="1" si="361"/>
        <v>7</v>
      </c>
      <c r="H1135" s="18" t="str">
        <f t="shared" ca="1" si="362"/>
        <v>—</v>
      </c>
      <c r="I1135" s="17">
        <f t="shared" ca="1" si="363"/>
        <v>7</v>
      </c>
      <c r="J1135" s="18" t="str">
        <f t="shared" ca="1" si="364"/>
        <v>—</v>
      </c>
      <c r="K1135" s="17">
        <f t="shared" ca="1" si="365"/>
        <v>7</v>
      </c>
      <c r="L1135" s="10" t="str">
        <f t="shared" ca="1" si="366"/>
        <v>—</v>
      </c>
      <c r="M1135" s="17">
        <f t="shared" ca="1" si="367"/>
        <v>7</v>
      </c>
      <c r="N1135" s="18" t="str">
        <f t="shared" ca="1" si="368"/>
        <v>—</v>
      </c>
      <c r="O1135" s="17">
        <f t="shared" ca="1" si="369"/>
        <v>7</v>
      </c>
      <c r="P1135" s="18" t="str">
        <f t="shared" ca="1" si="370"/>
        <v>—</v>
      </c>
      <c r="Q1135" s="17">
        <f t="shared" ca="1" si="371"/>
        <v>7</v>
      </c>
      <c r="R1135" s="10" t="str">
        <f t="shared" ca="1" si="372"/>
        <v>—</v>
      </c>
      <c r="S1135" s="17">
        <f t="shared" ca="1" si="373"/>
        <v>7</v>
      </c>
      <c r="T1135" s="70" t="str">
        <f t="shared" ca="1" si="374"/>
        <v>—</v>
      </c>
      <c r="U1135" s="17">
        <f t="shared" ca="1" si="375"/>
        <v>7</v>
      </c>
      <c r="V1135" s="71" t="str">
        <f t="shared" ca="1" si="376"/>
        <v>—</v>
      </c>
      <c r="W1135" s="17">
        <f t="shared" ca="1" si="377"/>
        <v>7</v>
      </c>
    </row>
    <row r="1136" spans="1:23" x14ac:dyDescent="0.25">
      <c r="A1136" s="4">
        <f t="shared" si="357"/>
        <v>32</v>
      </c>
      <c r="B1136" t="str">
        <f ca="1">TEXT(DATE(YEAR(Invoer!$A$6),1,1)+INT((ROWS(B$2:B1136)-1)/4),"jjjjmmdd")</f>
        <v>19401010</v>
      </c>
      <c r="C1136" s="64" t="str">
        <f>IF(MOD(ROWS(C$2:C1136)-1,4)=3,"24.00",INDEX(Data,3,2+MOD(ROWS(C$2:C1136)-1,4)))</f>
        <v>17.00</v>
      </c>
      <c r="D1136" s="18" t="str">
        <f t="shared" ca="1" si="358"/>
        <v>—</v>
      </c>
      <c r="E1136" s="17">
        <f t="shared" ca="1" si="359"/>
        <v>7</v>
      </c>
      <c r="F1136" s="18" t="str">
        <f t="shared" ca="1" si="360"/>
        <v>—</v>
      </c>
      <c r="G1136" s="17">
        <f t="shared" ca="1" si="361"/>
        <v>7</v>
      </c>
      <c r="H1136" s="18" t="str">
        <f t="shared" ca="1" si="362"/>
        <v>—</v>
      </c>
      <c r="I1136" s="17">
        <f t="shared" ca="1" si="363"/>
        <v>7</v>
      </c>
      <c r="J1136" s="18" t="str">
        <f t="shared" ca="1" si="364"/>
        <v>—</v>
      </c>
      <c r="K1136" s="17">
        <f t="shared" ca="1" si="365"/>
        <v>7</v>
      </c>
      <c r="L1136" s="10" t="str">
        <f t="shared" ca="1" si="366"/>
        <v>—</v>
      </c>
      <c r="M1136" s="17">
        <f t="shared" ca="1" si="367"/>
        <v>7</v>
      </c>
      <c r="N1136" s="18" t="str">
        <f t="shared" ca="1" si="368"/>
        <v>—</v>
      </c>
      <c r="O1136" s="17">
        <f t="shared" ca="1" si="369"/>
        <v>7</v>
      </c>
      <c r="P1136" s="18" t="str">
        <f t="shared" ca="1" si="370"/>
        <v>—</v>
      </c>
      <c r="Q1136" s="17">
        <f t="shared" ca="1" si="371"/>
        <v>7</v>
      </c>
      <c r="R1136" s="10" t="str">
        <f t="shared" ca="1" si="372"/>
        <v>—</v>
      </c>
      <c r="S1136" s="17">
        <f t="shared" ca="1" si="373"/>
        <v>7</v>
      </c>
      <c r="T1136" s="70" t="str">
        <f t="shared" ca="1" si="374"/>
        <v>—</v>
      </c>
      <c r="U1136" s="17">
        <f t="shared" ca="1" si="375"/>
        <v>7</v>
      </c>
      <c r="V1136" s="71" t="str">
        <f t="shared" ca="1" si="376"/>
        <v>—</v>
      </c>
      <c r="W1136" s="17">
        <f t="shared" ca="1" si="377"/>
        <v>7</v>
      </c>
    </row>
    <row r="1137" spans="1:23" x14ac:dyDescent="0.25">
      <c r="A1137" s="4">
        <f t="shared" si="357"/>
        <v>32</v>
      </c>
      <c r="B1137" t="str">
        <f ca="1">TEXT(DATE(YEAR(Invoer!$A$6),1,1)+INT((ROWS(B$2:B1137)-1)/4),"jjjjmmdd")</f>
        <v>19401010</v>
      </c>
      <c r="C1137" s="64" t="str">
        <f>IF(MOD(ROWS(C$2:C1137)-1,4)=3,"24.00",INDEX(Data,3,2+MOD(ROWS(C$2:C1137)-1,4)))</f>
        <v>24.00</v>
      </c>
      <c r="D1137" s="18" t="str">
        <f t="shared" ca="1" si="358"/>
        <v>—</v>
      </c>
      <c r="E1137" s="17">
        <f t="shared" ca="1" si="359"/>
        <v>7</v>
      </c>
      <c r="F1137" s="18" t="str">
        <f t="shared" ca="1" si="360"/>
        <v>—</v>
      </c>
      <c r="G1137" s="17">
        <f t="shared" ca="1" si="361"/>
        <v>7</v>
      </c>
      <c r="H1137" s="18" t="str">
        <f t="shared" ca="1" si="362"/>
        <v>—</v>
      </c>
      <c r="I1137" s="17">
        <f t="shared" ca="1" si="363"/>
        <v>7</v>
      </c>
      <c r="J1137" s="18" t="str">
        <f t="shared" ca="1" si="364"/>
        <v>—</v>
      </c>
      <c r="K1137" s="17">
        <f t="shared" ca="1" si="365"/>
        <v>7</v>
      </c>
      <c r="L1137" s="10" t="str">
        <f t="shared" ca="1" si="366"/>
        <v>—</v>
      </c>
      <c r="M1137" s="17">
        <f t="shared" ca="1" si="367"/>
        <v>7</v>
      </c>
      <c r="N1137" s="18" t="str">
        <f t="shared" ca="1" si="368"/>
        <v>—</v>
      </c>
      <c r="O1137" s="17">
        <f t="shared" ca="1" si="369"/>
        <v>7</v>
      </c>
      <c r="P1137" s="18" t="str">
        <f t="shared" ca="1" si="370"/>
        <v>—</v>
      </c>
      <c r="Q1137" s="17">
        <f t="shared" ca="1" si="371"/>
        <v>7</v>
      </c>
      <c r="R1137" s="10" t="str">
        <f t="shared" ca="1" si="372"/>
        <v>—</v>
      </c>
      <c r="S1137" s="17">
        <f t="shared" ca="1" si="373"/>
        <v>7</v>
      </c>
      <c r="T1137" s="70" t="str">
        <f t="shared" ca="1" si="374"/>
        <v>—</v>
      </c>
      <c r="U1137" s="17">
        <f t="shared" ca="1" si="375"/>
        <v>7</v>
      </c>
      <c r="V1137" s="71" t="str">
        <f t="shared" ca="1" si="376"/>
        <v>—</v>
      </c>
      <c r="W1137" s="17">
        <f t="shared" ca="1" si="377"/>
        <v>7</v>
      </c>
    </row>
    <row r="1138" spans="1:23" x14ac:dyDescent="0.25">
      <c r="A1138" s="4">
        <f t="shared" si="357"/>
        <v>32</v>
      </c>
      <c r="B1138" t="str">
        <f ca="1">TEXT(DATE(YEAR(Invoer!$A$6),1,1)+INT((ROWS(B$2:B1138)-1)/4),"jjjjmmdd")</f>
        <v>19401011</v>
      </c>
      <c r="C1138" s="64" t="str">
        <f>IF(MOD(ROWS(C$2:C1138)-1,4)=3,"24.00",INDEX(Data,3,2+MOD(ROWS(C$2:C1138)-1,4)))</f>
        <v>07.00</v>
      </c>
      <c r="D1138" s="18" t="str">
        <f t="shared" ca="1" si="358"/>
        <v>—</v>
      </c>
      <c r="E1138" s="17">
        <f t="shared" ca="1" si="359"/>
        <v>7</v>
      </c>
      <c r="F1138" s="18" t="str">
        <f t="shared" ca="1" si="360"/>
        <v>—</v>
      </c>
      <c r="G1138" s="17">
        <f t="shared" ca="1" si="361"/>
        <v>7</v>
      </c>
      <c r="H1138" s="18" t="str">
        <f t="shared" ca="1" si="362"/>
        <v>—</v>
      </c>
      <c r="I1138" s="17">
        <f t="shared" ca="1" si="363"/>
        <v>7</v>
      </c>
      <c r="J1138" s="18" t="str">
        <f t="shared" ca="1" si="364"/>
        <v>—</v>
      </c>
      <c r="K1138" s="17">
        <f t="shared" ca="1" si="365"/>
        <v>7</v>
      </c>
      <c r="L1138" s="10" t="str">
        <f t="shared" ca="1" si="366"/>
        <v>—</v>
      </c>
      <c r="M1138" s="17">
        <f t="shared" ca="1" si="367"/>
        <v>7</v>
      </c>
      <c r="N1138" s="18" t="str">
        <f t="shared" ca="1" si="368"/>
        <v>—</v>
      </c>
      <c r="O1138" s="17">
        <f t="shared" ca="1" si="369"/>
        <v>7</v>
      </c>
      <c r="P1138" s="18" t="str">
        <f t="shared" ca="1" si="370"/>
        <v>—</v>
      </c>
      <c r="Q1138" s="17">
        <f t="shared" ca="1" si="371"/>
        <v>7</v>
      </c>
      <c r="R1138" s="10" t="str">
        <f t="shared" ca="1" si="372"/>
        <v>—</v>
      </c>
      <c r="S1138" s="17">
        <f t="shared" ca="1" si="373"/>
        <v>7</v>
      </c>
      <c r="T1138" s="70" t="str">
        <f t="shared" ca="1" si="374"/>
        <v>—</v>
      </c>
      <c r="U1138" s="17">
        <f t="shared" ca="1" si="375"/>
        <v>7</v>
      </c>
      <c r="V1138" s="71" t="str">
        <f t="shared" ca="1" si="376"/>
        <v>—</v>
      </c>
      <c r="W1138" s="17">
        <f t="shared" ca="1" si="377"/>
        <v>7</v>
      </c>
    </row>
    <row r="1139" spans="1:23" x14ac:dyDescent="0.25">
      <c r="A1139" s="4">
        <f t="shared" si="357"/>
        <v>32</v>
      </c>
      <c r="B1139" t="str">
        <f ca="1">TEXT(DATE(YEAR(Invoer!$A$6),1,1)+INT((ROWS(B$2:B1139)-1)/4),"jjjjmmdd")</f>
        <v>19401011</v>
      </c>
      <c r="C1139" s="64" t="str">
        <f>IF(MOD(ROWS(C$2:C1139)-1,4)=3,"24.00",INDEX(Data,3,2+MOD(ROWS(C$2:C1139)-1,4)))</f>
        <v>12.00</v>
      </c>
      <c r="D1139" s="18" t="str">
        <f t="shared" ca="1" si="358"/>
        <v>—</v>
      </c>
      <c r="E1139" s="17">
        <f t="shared" ca="1" si="359"/>
        <v>7</v>
      </c>
      <c r="F1139" s="18" t="str">
        <f t="shared" ca="1" si="360"/>
        <v>—</v>
      </c>
      <c r="G1139" s="17">
        <f t="shared" ca="1" si="361"/>
        <v>7</v>
      </c>
      <c r="H1139" s="18" t="str">
        <f t="shared" ca="1" si="362"/>
        <v>—</v>
      </c>
      <c r="I1139" s="17">
        <f t="shared" ca="1" si="363"/>
        <v>7</v>
      </c>
      <c r="J1139" s="18" t="str">
        <f t="shared" ca="1" si="364"/>
        <v>—</v>
      </c>
      <c r="K1139" s="17">
        <f t="shared" ca="1" si="365"/>
        <v>7</v>
      </c>
      <c r="L1139" s="10" t="str">
        <f t="shared" ca="1" si="366"/>
        <v>—</v>
      </c>
      <c r="M1139" s="17">
        <f t="shared" ca="1" si="367"/>
        <v>7</v>
      </c>
      <c r="N1139" s="18" t="str">
        <f t="shared" ca="1" si="368"/>
        <v>—</v>
      </c>
      <c r="O1139" s="17">
        <f t="shared" ca="1" si="369"/>
        <v>7</v>
      </c>
      <c r="P1139" s="18" t="str">
        <f t="shared" ca="1" si="370"/>
        <v>—</v>
      </c>
      <c r="Q1139" s="17">
        <f t="shared" ca="1" si="371"/>
        <v>7</v>
      </c>
      <c r="R1139" s="10" t="str">
        <f t="shared" ca="1" si="372"/>
        <v>—</v>
      </c>
      <c r="S1139" s="17">
        <f t="shared" ca="1" si="373"/>
        <v>7</v>
      </c>
      <c r="T1139" s="70" t="str">
        <f t="shared" ca="1" si="374"/>
        <v>—</v>
      </c>
      <c r="U1139" s="17">
        <f t="shared" ca="1" si="375"/>
        <v>7</v>
      </c>
      <c r="V1139" s="71" t="str">
        <f t="shared" ca="1" si="376"/>
        <v>—</v>
      </c>
      <c r="W1139" s="17">
        <f t="shared" ca="1" si="377"/>
        <v>7</v>
      </c>
    </row>
    <row r="1140" spans="1:23" x14ac:dyDescent="0.25">
      <c r="A1140" s="4">
        <f t="shared" si="357"/>
        <v>32</v>
      </c>
      <c r="B1140" t="str">
        <f ca="1">TEXT(DATE(YEAR(Invoer!$A$6),1,1)+INT((ROWS(B$2:B1140)-1)/4),"jjjjmmdd")</f>
        <v>19401011</v>
      </c>
      <c r="C1140" s="64" t="str">
        <f>IF(MOD(ROWS(C$2:C1140)-1,4)=3,"24.00",INDEX(Data,3,2+MOD(ROWS(C$2:C1140)-1,4)))</f>
        <v>17.00</v>
      </c>
      <c r="D1140" s="18" t="str">
        <f t="shared" ca="1" si="358"/>
        <v>—</v>
      </c>
      <c r="E1140" s="17">
        <f t="shared" ca="1" si="359"/>
        <v>7</v>
      </c>
      <c r="F1140" s="18" t="str">
        <f t="shared" ca="1" si="360"/>
        <v>—</v>
      </c>
      <c r="G1140" s="17">
        <f t="shared" ca="1" si="361"/>
        <v>7</v>
      </c>
      <c r="H1140" s="18" t="str">
        <f t="shared" ca="1" si="362"/>
        <v>—</v>
      </c>
      <c r="I1140" s="17">
        <f t="shared" ca="1" si="363"/>
        <v>7</v>
      </c>
      <c r="J1140" s="18" t="str">
        <f t="shared" ca="1" si="364"/>
        <v>—</v>
      </c>
      <c r="K1140" s="17">
        <f t="shared" ca="1" si="365"/>
        <v>7</v>
      </c>
      <c r="L1140" s="10" t="str">
        <f t="shared" ca="1" si="366"/>
        <v>—</v>
      </c>
      <c r="M1140" s="17">
        <f t="shared" ca="1" si="367"/>
        <v>7</v>
      </c>
      <c r="N1140" s="18" t="str">
        <f t="shared" ca="1" si="368"/>
        <v>—</v>
      </c>
      <c r="O1140" s="17">
        <f t="shared" ca="1" si="369"/>
        <v>7</v>
      </c>
      <c r="P1140" s="18" t="str">
        <f t="shared" ca="1" si="370"/>
        <v>—</v>
      </c>
      <c r="Q1140" s="17">
        <f t="shared" ca="1" si="371"/>
        <v>7</v>
      </c>
      <c r="R1140" s="10" t="str">
        <f t="shared" ca="1" si="372"/>
        <v>—</v>
      </c>
      <c r="S1140" s="17">
        <f t="shared" ca="1" si="373"/>
        <v>7</v>
      </c>
      <c r="T1140" s="70" t="str">
        <f t="shared" ca="1" si="374"/>
        <v>—</v>
      </c>
      <c r="U1140" s="17">
        <f t="shared" ca="1" si="375"/>
        <v>7</v>
      </c>
      <c r="V1140" s="71" t="str">
        <f t="shared" ca="1" si="376"/>
        <v>—</v>
      </c>
      <c r="W1140" s="17">
        <f t="shared" ca="1" si="377"/>
        <v>7</v>
      </c>
    </row>
    <row r="1141" spans="1:23" x14ac:dyDescent="0.25">
      <c r="A1141" s="4">
        <f t="shared" si="357"/>
        <v>32</v>
      </c>
      <c r="B1141" t="str">
        <f ca="1">TEXT(DATE(YEAR(Invoer!$A$6),1,1)+INT((ROWS(B$2:B1141)-1)/4),"jjjjmmdd")</f>
        <v>19401011</v>
      </c>
      <c r="C1141" s="64" t="str">
        <f>IF(MOD(ROWS(C$2:C1141)-1,4)=3,"24.00",INDEX(Data,3,2+MOD(ROWS(C$2:C1141)-1,4)))</f>
        <v>24.00</v>
      </c>
      <c r="D1141" s="18" t="str">
        <f t="shared" ca="1" si="358"/>
        <v>—</v>
      </c>
      <c r="E1141" s="17">
        <f t="shared" ca="1" si="359"/>
        <v>7</v>
      </c>
      <c r="F1141" s="18" t="str">
        <f t="shared" ca="1" si="360"/>
        <v>—</v>
      </c>
      <c r="G1141" s="17">
        <f t="shared" ca="1" si="361"/>
        <v>7</v>
      </c>
      <c r="H1141" s="18" t="str">
        <f t="shared" ca="1" si="362"/>
        <v>—</v>
      </c>
      <c r="I1141" s="17">
        <f t="shared" ca="1" si="363"/>
        <v>7</v>
      </c>
      <c r="J1141" s="18" t="str">
        <f t="shared" ca="1" si="364"/>
        <v>—</v>
      </c>
      <c r="K1141" s="17">
        <f t="shared" ca="1" si="365"/>
        <v>7</v>
      </c>
      <c r="L1141" s="10" t="str">
        <f t="shared" ca="1" si="366"/>
        <v>—</v>
      </c>
      <c r="M1141" s="17">
        <f t="shared" ca="1" si="367"/>
        <v>7</v>
      </c>
      <c r="N1141" s="18" t="str">
        <f t="shared" ca="1" si="368"/>
        <v>—</v>
      </c>
      <c r="O1141" s="17">
        <f t="shared" ca="1" si="369"/>
        <v>7</v>
      </c>
      <c r="P1141" s="18" t="str">
        <f t="shared" ca="1" si="370"/>
        <v>—</v>
      </c>
      <c r="Q1141" s="17">
        <f t="shared" ca="1" si="371"/>
        <v>7</v>
      </c>
      <c r="R1141" s="10" t="str">
        <f t="shared" ca="1" si="372"/>
        <v>—</v>
      </c>
      <c r="S1141" s="17">
        <f t="shared" ca="1" si="373"/>
        <v>7</v>
      </c>
      <c r="T1141" s="70" t="str">
        <f t="shared" ca="1" si="374"/>
        <v>—</v>
      </c>
      <c r="U1141" s="17">
        <f t="shared" ca="1" si="375"/>
        <v>7</v>
      </c>
      <c r="V1141" s="71" t="str">
        <f t="shared" ca="1" si="376"/>
        <v>—</v>
      </c>
      <c r="W1141" s="17">
        <f t="shared" ca="1" si="377"/>
        <v>7</v>
      </c>
    </row>
    <row r="1142" spans="1:23" x14ac:dyDescent="0.25">
      <c r="A1142" s="4">
        <f t="shared" si="357"/>
        <v>32</v>
      </c>
      <c r="B1142" t="str">
        <f ca="1">TEXT(DATE(YEAR(Invoer!$A$6),1,1)+INT((ROWS(B$2:B1142)-1)/4),"jjjjmmdd")</f>
        <v>19401012</v>
      </c>
      <c r="C1142" s="64" t="str">
        <f>IF(MOD(ROWS(C$2:C1142)-1,4)=3,"24.00",INDEX(Data,3,2+MOD(ROWS(C$2:C1142)-1,4)))</f>
        <v>07.00</v>
      </c>
      <c r="D1142" s="18" t="str">
        <f t="shared" ca="1" si="358"/>
        <v>—</v>
      </c>
      <c r="E1142" s="17">
        <f t="shared" ca="1" si="359"/>
        <v>7</v>
      </c>
      <c r="F1142" s="18" t="str">
        <f t="shared" ca="1" si="360"/>
        <v>—</v>
      </c>
      <c r="G1142" s="17">
        <f t="shared" ca="1" si="361"/>
        <v>7</v>
      </c>
      <c r="H1142" s="18" t="str">
        <f t="shared" ca="1" si="362"/>
        <v>—</v>
      </c>
      <c r="I1142" s="17">
        <f t="shared" ca="1" si="363"/>
        <v>7</v>
      </c>
      <c r="J1142" s="18" t="str">
        <f t="shared" ca="1" si="364"/>
        <v>—</v>
      </c>
      <c r="K1142" s="17">
        <f t="shared" ca="1" si="365"/>
        <v>7</v>
      </c>
      <c r="L1142" s="10" t="str">
        <f t="shared" ca="1" si="366"/>
        <v>—</v>
      </c>
      <c r="M1142" s="17">
        <f t="shared" ca="1" si="367"/>
        <v>7</v>
      </c>
      <c r="N1142" s="18" t="str">
        <f t="shared" ca="1" si="368"/>
        <v>—</v>
      </c>
      <c r="O1142" s="17">
        <f t="shared" ca="1" si="369"/>
        <v>7</v>
      </c>
      <c r="P1142" s="18" t="str">
        <f t="shared" ca="1" si="370"/>
        <v>—</v>
      </c>
      <c r="Q1142" s="17">
        <f t="shared" ca="1" si="371"/>
        <v>7</v>
      </c>
      <c r="R1142" s="10" t="str">
        <f t="shared" ca="1" si="372"/>
        <v>—</v>
      </c>
      <c r="S1142" s="17">
        <f t="shared" ca="1" si="373"/>
        <v>7</v>
      </c>
      <c r="T1142" s="70" t="str">
        <f t="shared" ca="1" si="374"/>
        <v>—</v>
      </c>
      <c r="U1142" s="17">
        <f t="shared" ca="1" si="375"/>
        <v>7</v>
      </c>
      <c r="V1142" s="71" t="str">
        <f t="shared" ca="1" si="376"/>
        <v>—</v>
      </c>
      <c r="W1142" s="17">
        <f t="shared" ca="1" si="377"/>
        <v>7</v>
      </c>
    </row>
    <row r="1143" spans="1:23" x14ac:dyDescent="0.25">
      <c r="A1143" s="4">
        <f t="shared" si="357"/>
        <v>32</v>
      </c>
      <c r="B1143" t="str">
        <f ca="1">TEXT(DATE(YEAR(Invoer!$A$6),1,1)+INT((ROWS(B$2:B1143)-1)/4),"jjjjmmdd")</f>
        <v>19401012</v>
      </c>
      <c r="C1143" s="64" t="str">
        <f>IF(MOD(ROWS(C$2:C1143)-1,4)=3,"24.00",INDEX(Data,3,2+MOD(ROWS(C$2:C1143)-1,4)))</f>
        <v>12.00</v>
      </c>
      <c r="D1143" s="18" t="str">
        <f t="shared" ca="1" si="358"/>
        <v>—</v>
      </c>
      <c r="E1143" s="17">
        <f t="shared" ca="1" si="359"/>
        <v>7</v>
      </c>
      <c r="F1143" s="18" t="str">
        <f t="shared" ca="1" si="360"/>
        <v>—</v>
      </c>
      <c r="G1143" s="17">
        <f t="shared" ca="1" si="361"/>
        <v>7</v>
      </c>
      <c r="H1143" s="18" t="str">
        <f t="shared" ca="1" si="362"/>
        <v>—</v>
      </c>
      <c r="I1143" s="17">
        <f t="shared" ca="1" si="363"/>
        <v>7</v>
      </c>
      <c r="J1143" s="18" t="str">
        <f t="shared" ca="1" si="364"/>
        <v>—</v>
      </c>
      <c r="K1143" s="17">
        <f t="shared" ca="1" si="365"/>
        <v>7</v>
      </c>
      <c r="L1143" s="10" t="str">
        <f t="shared" ca="1" si="366"/>
        <v>—</v>
      </c>
      <c r="M1143" s="17">
        <f t="shared" ca="1" si="367"/>
        <v>7</v>
      </c>
      <c r="N1143" s="18" t="str">
        <f t="shared" ca="1" si="368"/>
        <v>—</v>
      </c>
      <c r="O1143" s="17">
        <f t="shared" ca="1" si="369"/>
        <v>7</v>
      </c>
      <c r="P1143" s="18" t="str">
        <f t="shared" ca="1" si="370"/>
        <v>—</v>
      </c>
      <c r="Q1143" s="17">
        <f t="shared" ca="1" si="371"/>
        <v>7</v>
      </c>
      <c r="R1143" s="10" t="str">
        <f t="shared" ca="1" si="372"/>
        <v>—</v>
      </c>
      <c r="S1143" s="17">
        <f t="shared" ca="1" si="373"/>
        <v>7</v>
      </c>
      <c r="T1143" s="70" t="str">
        <f t="shared" ca="1" si="374"/>
        <v>—</v>
      </c>
      <c r="U1143" s="17">
        <f t="shared" ca="1" si="375"/>
        <v>7</v>
      </c>
      <c r="V1143" s="71" t="str">
        <f t="shared" ca="1" si="376"/>
        <v>—</v>
      </c>
      <c r="W1143" s="17">
        <f t="shared" ca="1" si="377"/>
        <v>7</v>
      </c>
    </row>
    <row r="1144" spans="1:23" x14ac:dyDescent="0.25">
      <c r="A1144" s="4">
        <f t="shared" si="357"/>
        <v>32</v>
      </c>
      <c r="B1144" t="str">
        <f ca="1">TEXT(DATE(YEAR(Invoer!$A$6),1,1)+INT((ROWS(B$2:B1144)-1)/4),"jjjjmmdd")</f>
        <v>19401012</v>
      </c>
      <c r="C1144" s="64" t="str">
        <f>IF(MOD(ROWS(C$2:C1144)-1,4)=3,"24.00",INDEX(Data,3,2+MOD(ROWS(C$2:C1144)-1,4)))</f>
        <v>17.00</v>
      </c>
      <c r="D1144" s="18" t="str">
        <f t="shared" ca="1" si="358"/>
        <v>—</v>
      </c>
      <c r="E1144" s="17">
        <f t="shared" ca="1" si="359"/>
        <v>7</v>
      </c>
      <c r="F1144" s="18" t="str">
        <f t="shared" ca="1" si="360"/>
        <v>—</v>
      </c>
      <c r="G1144" s="17">
        <f t="shared" ca="1" si="361"/>
        <v>7</v>
      </c>
      <c r="H1144" s="18" t="str">
        <f t="shared" ca="1" si="362"/>
        <v>—</v>
      </c>
      <c r="I1144" s="17">
        <f t="shared" ca="1" si="363"/>
        <v>7</v>
      </c>
      <c r="J1144" s="18" t="str">
        <f t="shared" ca="1" si="364"/>
        <v>—</v>
      </c>
      <c r="K1144" s="17">
        <f t="shared" ca="1" si="365"/>
        <v>7</v>
      </c>
      <c r="L1144" s="10" t="str">
        <f t="shared" ca="1" si="366"/>
        <v>—</v>
      </c>
      <c r="M1144" s="17">
        <f t="shared" ca="1" si="367"/>
        <v>7</v>
      </c>
      <c r="N1144" s="18" t="str">
        <f t="shared" ca="1" si="368"/>
        <v>—</v>
      </c>
      <c r="O1144" s="17">
        <f t="shared" ca="1" si="369"/>
        <v>7</v>
      </c>
      <c r="P1144" s="18" t="str">
        <f t="shared" ca="1" si="370"/>
        <v>—</v>
      </c>
      <c r="Q1144" s="17">
        <f t="shared" ca="1" si="371"/>
        <v>7</v>
      </c>
      <c r="R1144" s="10" t="str">
        <f t="shared" ca="1" si="372"/>
        <v>—</v>
      </c>
      <c r="S1144" s="17">
        <f t="shared" ca="1" si="373"/>
        <v>7</v>
      </c>
      <c r="T1144" s="70" t="str">
        <f t="shared" ca="1" si="374"/>
        <v>—</v>
      </c>
      <c r="U1144" s="17">
        <f t="shared" ca="1" si="375"/>
        <v>7</v>
      </c>
      <c r="V1144" s="71" t="str">
        <f t="shared" ca="1" si="376"/>
        <v>—</v>
      </c>
      <c r="W1144" s="17">
        <f t="shared" ca="1" si="377"/>
        <v>7</v>
      </c>
    </row>
    <row r="1145" spans="1:23" x14ac:dyDescent="0.25">
      <c r="A1145" s="4">
        <f t="shared" si="357"/>
        <v>32</v>
      </c>
      <c r="B1145" t="str">
        <f ca="1">TEXT(DATE(YEAR(Invoer!$A$6),1,1)+INT((ROWS(B$2:B1145)-1)/4),"jjjjmmdd")</f>
        <v>19401012</v>
      </c>
      <c r="C1145" s="64" t="str">
        <f>IF(MOD(ROWS(C$2:C1145)-1,4)=3,"24.00",INDEX(Data,3,2+MOD(ROWS(C$2:C1145)-1,4)))</f>
        <v>24.00</v>
      </c>
      <c r="D1145" s="18" t="str">
        <f t="shared" ca="1" si="358"/>
        <v>—</v>
      </c>
      <c r="E1145" s="17">
        <f t="shared" ca="1" si="359"/>
        <v>7</v>
      </c>
      <c r="F1145" s="18" t="str">
        <f t="shared" ca="1" si="360"/>
        <v>—</v>
      </c>
      <c r="G1145" s="17">
        <f t="shared" ca="1" si="361"/>
        <v>7</v>
      </c>
      <c r="H1145" s="18" t="str">
        <f t="shared" ca="1" si="362"/>
        <v>—</v>
      </c>
      <c r="I1145" s="17">
        <f t="shared" ca="1" si="363"/>
        <v>7</v>
      </c>
      <c r="J1145" s="18" t="str">
        <f t="shared" ca="1" si="364"/>
        <v>—</v>
      </c>
      <c r="K1145" s="17">
        <f t="shared" ca="1" si="365"/>
        <v>7</v>
      </c>
      <c r="L1145" s="10" t="str">
        <f t="shared" ca="1" si="366"/>
        <v>—</v>
      </c>
      <c r="M1145" s="17">
        <f t="shared" ca="1" si="367"/>
        <v>7</v>
      </c>
      <c r="N1145" s="18" t="str">
        <f t="shared" ca="1" si="368"/>
        <v>—</v>
      </c>
      <c r="O1145" s="17">
        <f t="shared" ca="1" si="369"/>
        <v>7</v>
      </c>
      <c r="P1145" s="18" t="str">
        <f t="shared" ca="1" si="370"/>
        <v>—</v>
      </c>
      <c r="Q1145" s="17">
        <f t="shared" ca="1" si="371"/>
        <v>7</v>
      </c>
      <c r="R1145" s="10" t="str">
        <f t="shared" ca="1" si="372"/>
        <v>—</v>
      </c>
      <c r="S1145" s="17">
        <f t="shared" ca="1" si="373"/>
        <v>7</v>
      </c>
      <c r="T1145" s="70" t="str">
        <f t="shared" ca="1" si="374"/>
        <v>—</v>
      </c>
      <c r="U1145" s="17">
        <f t="shared" ca="1" si="375"/>
        <v>7</v>
      </c>
      <c r="V1145" s="71" t="str">
        <f t="shared" ca="1" si="376"/>
        <v>—</v>
      </c>
      <c r="W1145" s="17">
        <f t="shared" ca="1" si="377"/>
        <v>7</v>
      </c>
    </row>
    <row r="1146" spans="1:23" x14ac:dyDescent="0.25">
      <c r="A1146" s="4">
        <f t="shared" si="357"/>
        <v>32</v>
      </c>
      <c r="B1146" t="str">
        <f ca="1">TEXT(DATE(YEAR(Invoer!$A$6),1,1)+INT((ROWS(B$2:B1146)-1)/4),"jjjjmmdd")</f>
        <v>19401013</v>
      </c>
      <c r="C1146" s="64" t="str">
        <f>IF(MOD(ROWS(C$2:C1146)-1,4)=3,"24.00",INDEX(Data,3,2+MOD(ROWS(C$2:C1146)-1,4)))</f>
        <v>07.00</v>
      </c>
      <c r="D1146" s="18" t="str">
        <f t="shared" ca="1" si="358"/>
        <v>—</v>
      </c>
      <c r="E1146" s="17">
        <f t="shared" ca="1" si="359"/>
        <v>7</v>
      </c>
      <c r="F1146" s="18" t="str">
        <f t="shared" ca="1" si="360"/>
        <v>—</v>
      </c>
      <c r="G1146" s="17">
        <f t="shared" ca="1" si="361"/>
        <v>7</v>
      </c>
      <c r="H1146" s="18" t="str">
        <f t="shared" ca="1" si="362"/>
        <v>—</v>
      </c>
      <c r="I1146" s="17">
        <f t="shared" ca="1" si="363"/>
        <v>7</v>
      </c>
      <c r="J1146" s="18" t="str">
        <f t="shared" ca="1" si="364"/>
        <v>—</v>
      </c>
      <c r="K1146" s="17">
        <f t="shared" ca="1" si="365"/>
        <v>7</v>
      </c>
      <c r="L1146" s="10" t="str">
        <f t="shared" ca="1" si="366"/>
        <v>—</v>
      </c>
      <c r="M1146" s="17">
        <f t="shared" ca="1" si="367"/>
        <v>7</v>
      </c>
      <c r="N1146" s="18" t="str">
        <f t="shared" ca="1" si="368"/>
        <v>—</v>
      </c>
      <c r="O1146" s="17">
        <f t="shared" ca="1" si="369"/>
        <v>7</v>
      </c>
      <c r="P1146" s="18" t="str">
        <f t="shared" ca="1" si="370"/>
        <v>—</v>
      </c>
      <c r="Q1146" s="17">
        <f t="shared" ca="1" si="371"/>
        <v>7</v>
      </c>
      <c r="R1146" s="10" t="str">
        <f t="shared" ca="1" si="372"/>
        <v>—</v>
      </c>
      <c r="S1146" s="17">
        <f t="shared" ca="1" si="373"/>
        <v>7</v>
      </c>
      <c r="T1146" s="70" t="str">
        <f t="shared" ca="1" si="374"/>
        <v>—</v>
      </c>
      <c r="U1146" s="17">
        <f t="shared" ca="1" si="375"/>
        <v>7</v>
      </c>
      <c r="V1146" s="71" t="str">
        <f t="shared" ca="1" si="376"/>
        <v>—</v>
      </c>
      <c r="W1146" s="17">
        <f t="shared" ca="1" si="377"/>
        <v>7</v>
      </c>
    </row>
    <row r="1147" spans="1:23" x14ac:dyDescent="0.25">
      <c r="A1147" s="4">
        <f t="shared" si="357"/>
        <v>32</v>
      </c>
      <c r="B1147" t="str">
        <f ca="1">TEXT(DATE(YEAR(Invoer!$A$6),1,1)+INT((ROWS(B$2:B1147)-1)/4),"jjjjmmdd")</f>
        <v>19401013</v>
      </c>
      <c r="C1147" s="64" t="str">
        <f>IF(MOD(ROWS(C$2:C1147)-1,4)=3,"24.00",INDEX(Data,3,2+MOD(ROWS(C$2:C1147)-1,4)))</f>
        <v>12.00</v>
      </c>
      <c r="D1147" s="18" t="str">
        <f t="shared" ca="1" si="358"/>
        <v>—</v>
      </c>
      <c r="E1147" s="17">
        <f t="shared" ca="1" si="359"/>
        <v>7</v>
      </c>
      <c r="F1147" s="18" t="str">
        <f t="shared" ca="1" si="360"/>
        <v>—</v>
      </c>
      <c r="G1147" s="17">
        <f t="shared" ca="1" si="361"/>
        <v>7</v>
      </c>
      <c r="H1147" s="18" t="str">
        <f t="shared" ca="1" si="362"/>
        <v>—</v>
      </c>
      <c r="I1147" s="17">
        <f t="shared" ca="1" si="363"/>
        <v>7</v>
      </c>
      <c r="J1147" s="18" t="str">
        <f t="shared" ca="1" si="364"/>
        <v>—</v>
      </c>
      <c r="K1147" s="17">
        <f t="shared" ca="1" si="365"/>
        <v>7</v>
      </c>
      <c r="L1147" s="10" t="str">
        <f t="shared" ca="1" si="366"/>
        <v>—</v>
      </c>
      <c r="M1147" s="17">
        <f t="shared" ca="1" si="367"/>
        <v>7</v>
      </c>
      <c r="N1147" s="18" t="str">
        <f t="shared" ca="1" si="368"/>
        <v>—</v>
      </c>
      <c r="O1147" s="17">
        <f t="shared" ca="1" si="369"/>
        <v>7</v>
      </c>
      <c r="P1147" s="18" t="str">
        <f t="shared" ca="1" si="370"/>
        <v>—</v>
      </c>
      <c r="Q1147" s="17">
        <f t="shared" ca="1" si="371"/>
        <v>7</v>
      </c>
      <c r="R1147" s="10" t="str">
        <f t="shared" ca="1" si="372"/>
        <v>—</v>
      </c>
      <c r="S1147" s="17">
        <f t="shared" ca="1" si="373"/>
        <v>7</v>
      </c>
      <c r="T1147" s="70" t="str">
        <f t="shared" ca="1" si="374"/>
        <v>—</v>
      </c>
      <c r="U1147" s="17">
        <f t="shared" ca="1" si="375"/>
        <v>7</v>
      </c>
      <c r="V1147" s="71" t="str">
        <f t="shared" ca="1" si="376"/>
        <v>—</v>
      </c>
      <c r="W1147" s="17">
        <f t="shared" ca="1" si="377"/>
        <v>7</v>
      </c>
    </row>
    <row r="1148" spans="1:23" x14ac:dyDescent="0.25">
      <c r="A1148" s="4">
        <f t="shared" si="357"/>
        <v>32</v>
      </c>
      <c r="B1148" t="str">
        <f ca="1">TEXT(DATE(YEAR(Invoer!$A$6),1,1)+INT((ROWS(B$2:B1148)-1)/4),"jjjjmmdd")</f>
        <v>19401013</v>
      </c>
      <c r="C1148" s="64" t="str">
        <f>IF(MOD(ROWS(C$2:C1148)-1,4)=3,"24.00",INDEX(Data,3,2+MOD(ROWS(C$2:C1148)-1,4)))</f>
        <v>17.00</v>
      </c>
      <c r="D1148" s="18" t="str">
        <f t="shared" ca="1" si="358"/>
        <v>—</v>
      </c>
      <c r="E1148" s="17">
        <f t="shared" ca="1" si="359"/>
        <v>7</v>
      </c>
      <c r="F1148" s="18" t="str">
        <f t="shared" ca="1" si="360"/>
        <v>—</v>
      </c>
      <c r="G1148" s="17">
        <f t="shared" ca="1" si="361"/>
        <v>7</v>
      </c>
      <c r="H1148" s="18" t="str">
        <f t="shared" ca="1" si="362"/>
        <v>—</v>
      </c>
      <c r="I1148" s="17">
        <f t="shared" ca="1" si="363"/>
        <v>7</v>
      </c>
      <c r="J1148" s="18" t="str">
        <f t="shared" ca="1" si="364"/>
        <v>—</v>
      </c>
      <c r="K1148" s="17">
        <f t="shared" ca="1" si="365"/>
        <v>7</v>
      </c>
      <c r="L1148" s="10" t="str">
        <f t="shared" ca="1" si="366"/>
        <v>—</v>
      </c>
      <c r="M1148" s="17">
        <f t="shared" ca="1" si="367"/>
        <v>7</v>
      </c>
      <c r="N1148" s="18" t="str">
        <f t="shared" ca="1" si="368"/>
        <v>—</v>
      </c>
      <c r="O1148" s="17">
        <f t="shared" ca="1" si="369"/>
        <v>7</v>
      </c>
      <c r="P1148" s="18" t="str">
        <f t="shared" ca="1" si="370"/>
        <v>—</v>
      </c>
      <c r="Q1148" s="17">
        <f t="shared" ca="1" si="371"/>
        <v>7</v>
      </c>
      <c r="R1148" s="10" t="str">
        <f t="shared" ca="1" si="372"/>
        <v>—</v>
      </c>
      <c r="S1148" s="17">
        <f t="shared" ca="1" si="373"/>
        <v>7</v>
      </c>
      <c r="T1148" s="70" t="str">
        <f t="shared" ca="1" si="374"/>
        <v>—</v>
      </c>
      <c r="U1148" s="17">
        <f t="shared" ca="1" si="375"/>
        <v>7</v>
      </c>
      <c r="V1148" s="71" t="str">
        <f t="shared" ca="1" si="376"/>
        <v>—</v>
      </c>
      <c r="W1148" s="17">
        <f t="shared" ca="1" si="377"/>
        <v>7</v>
      </c>
    </row>
    <row r="1149" spans="1:23" x14ac:dyDescent="0.25">
      <c r="A1149" s="4">
        <f t="shared" si="357"/>
        <v>32</v>
      </c>
      <c r="B1149" t="str">
        <f ca="1">TEXT(DATE(YEAR(Invoer!$A$6),1,1)+INT((ROWS(B$2:B1149)-1)/4),"jjjjmmdd")</f>
        <v>19401013</v>
      </c>
      <c r="C1149" s="64" t="str">
        <f>IF(MOD(ROWS(C$2:C1149)-1,4)=3,"24.00",INDEX(Data,3,2+MOD(ROWS(C$2:C1149)-1,4)))</f>
        <v>24.00</v>
      </c>
      <c r="D1149" s="18" t="str">
        <f t="shared" ca="1" si="358"/>
        <v>—</v>
      </c>
      <c r="E1149" s="17">
        <f t="shared" ca="1" si="359"/>
        <v>7</v>
      </c>
      <c r="F1149" s="18" t="str">
        <f t="shared" ca="1" si="360"/>
        <v>—</v>
      </c>
      <c r="G1149" s="17">
        <f t="shared" ca="1" si="361"/>
        <v>7</v>
      </c>
      <c r="H1149" s="18" t="str">
        <f t="shared" ca="1" si="362"/>
        <v>—</v>
      </c>
      <c r="I1149" s="17">
        <f t="shared" ca="1" si="363"/>
        <v>7</v>
      </c>
      <c r="J1149" s="18" t="str">
        <f t="shared" ca="1" si="364"/>
        <v>—</v>
      </c>
      <c r="K1149" s="17">
        <f t="shared" ca="1" si="365"/>
        <v>7</v>
      </c>
      <c r="L1149" s="10" t="str">
        <f t="shared" ca="1" si="366"/>
        <v>—</v>
      </c>
      <c r="M1149" s="17">
        <f t="shared" ca="1" si="367"/>
        <v>7</v>
      </c>
      <c r="N1149" s="18" t="str">
        <f t="shared" ca="1" si="368"/>
        <v>—</v>
      </c>
      <c r="O1149" s="17">
        <f t="shared" ca="1" si="369"/>
        <v>7</v>
      </c>
      <c r="P1149" s="18" t="str">
        <f t="shared" ca="1" si="370"/>
        <v>—</v>
      </c>
      <c r="Q1149" s="17">
        <f t="shared" ca="1" si="371"/>
        <v>7</v>
      </c>
      <c r="R1149" s="10" t="str">
        <f t="shared" ca="1" si="372"/>
        <v>—</v>
      </c>
      <c r="S1149" s="17">
        <f t="shared" ca="1" si="373"/>
        <v>7</v>
      </c>
      <c r="T1149" s="70" t="str">
        <f t="shared" ca="1" si="374"/>
        <v>—</v>
      </c>
      <c r="U1149" s="17">
        <f t="shared" ca="1" si="375"/>
        <v>7</v>
      </c>
      <c r="V1149" s="71" t="str">
        <f t="shared" ca="1" si="376"/>
        <v>—</v>
      </c>
      <c r="W1149" s="17">
        <f t="shared" ca="1" si="377"/>
        <v>7</v>
      </c>
    </row>
    <row r="1150" spans="1:23" x14ac:dyDescent="0.25">
      <c r="A1150" s="4">
        <f t="shared" si="357"/>
        <v>32</v>
      </c>
      <c r="B1150" t="str">
        <f ca="1">TEXT(DATE(YEAR(Invoer!$A$6),1,1)+INT((ROWS(B$2:B1150)-1)/4),"jjjjmmdd")</f>
        <v>19401014</v>
      </c>
      <c r="C1150" s="64" t="str">
        <f>IF(MOD(ROWS(C$2:C1150)-1,4)=3,"24.00",INDEX(Data,3,2+MOD(ROWS(C$2:C1150)-1,4)))</f>
        <v>07.00</v>
      </c>
      <c r="D1150" s="18" t="str">
        <f t="shared" ca="1" si="358"/>
        <v>—</v>
      </c>
      <c r="E1150" s="17">
        <f t="shared" ca="1" si="359"/>
        <v>7</v>
      </c>
      <c r="F1150" s="18" t="str">
        <f t="shared" ca="1" si="360"/>
        <v>—</v>
      </c>
      <c r="G1150" s="17">
        <f t="shared" ca="1" si="361"/>
        <v>7</v>
      </c>
      <c r="H1150" s="18" t="str">
        <f t="shared" ca="1" si="362"/>
        <v>—</v>
      </c>
      <c r="I1150" s="17">
        <f t="shared" ca="1" si="363"/>
        <v>7</v>
      </c>
      <c r="J1150" s="18" t="str">
        <f t="shared" ca="1" si="364"/>
        <v>—</v>
      </c>
      <c r="K1150" s="17">
        <f t="shared" ca="1" si="365"/>
        <v>7</v>
      </c>
      <c r="L1150" s="10" t="str">
        <f t="shared" ca="1" si="366"/>
        <v>—</v>
      </c>
      <c r="M1150" s="17">
        <f t="shared" ca="1" si="367"/>
        <v>7</v>
      </c>
      <c r="N1150" s="18" t="str">
        <f t="shared" ca="1" si="368"/>
        <v>—</v>
      </c>
      <c r="O1150" s="17">
        <f t="shared" ca="1" si="369"/>
        <v>7</v>
      </c>
      <c r="P1150" s="18" t="str">
        <f t="shared" ca="1" si="370"/>
        <v>—</v>
      </c>
      <c r="Q1150" s="17">
        <f t="shared" ca="1" si="371"/>
        <v>7</v>
      </c>
      <c r="R1150" s="10" t="str">
        <f t="shared" ca="1" si="372"/>
        <v>—</v>
      </c>
      <c r="S1150" s="17">
        <f t="shared" ca="1" si="373"/>
        <v>7</v>
      </c>
      <c r="T1150" s="70" t="str">
        <f t="shared" ca="1" si="374"/>
        <v>—</v>
      </c>
      <c r="U1150" s="17">
        <f t="shared" ca="1" si="375"/>
        <v>7</v>
      </c>
      <c r="V1150" s="71" t="str">
        <f t="shared" ca="1" si="376"/>
        <v>—</v>
      </c>
      <c r="W1150" s="17">
        <f t="shared" ca="1" si="377"/>
        <v>7</v>
      </c>
    </row>
    <row r="1151" spans="1:23" x14ac:dyDescent="0.25">
      <c r="A1151" s="4">
        <f t="shared" si="357"/>
        <v>32</v>
      </c>
      <c r="B1151" t="str">
        <f ca="1">TEXT(DATE(YEAR(Invoer!$A$6),1,1)+INT((ROWS(B$2:B1151)-1)/4),"jjjjmmdd")</f>
        <v>19401014</v>
      </c>
      <c r="C1151" s="64" t="str">
        <f>IF(MOD(ROWS(C$2:C1151)-1,4)=3,"24.00",INDEX(Data,3,2+MOD(ROWS(C$2:C1151)-1,4)))</f>
        <v>12.00</v>
      </c>
      <c r="D1151" s="18" t="str">
        <f t="shared" ca="1" si="358"/>
        <v>—</v>
      </c>
      <c r="E1151" s="17">
        <f t="shared" ca="1" si="359"/>
        <v>7</v>
      </c>
      <c r="F1151" s="18" t="str">
        <f t="shared" ca="1" si="360"/>
        <v>—</v>
      </c>
      <c r="G1151" s="17">
        <f t="shared" ca="1" si="361"/>
        <v>7</v>
      </c>
      <c r="H1151" s="18" t="str">
        <f t="shared" ca="1" si="362"/>
        <v>—</v>
      </c>
      <c r="I1151" s="17">
        <f t="shared" ca="1" si="363"/>
        <v>7</v>
      </c>
      <c r="J1151" s="18" t="str">
        <f t="shared" ca="1" si="364"/>
        <v>—</v>
      </c>
      <c r="K1151" s="17">
        <f t="shared" ca="1" si="365"/>
        <v>7</v>
      </c>
      <c r="L1151" s="10" t="str">
        <f t="shared" ca="1" si="366"/>
        <v>—</v>
      </c>
      <c r="M1151" s="17">
        <f t="shared" ca="1" si="367"/>
        <v>7</v>
      </c>
      <c r="N1151" s="18" t="str">
        <f t="shared" ca="1" si="368"/>
        <v>—</v>
      </c>
      <c r="O1151" s="17">
        <f t="shared" ca="1" si="369"/>
        <v>7</v>
      </c>
      <c r="P1151" s="18" t="str">
        <f t="shared" ca="1" si="370"/>
        <v>—</v>
      </c>
      <c r="Q1151" s="17">
        <f t="shared" ca="1" si="371"/>
        <v>7</v>
      </c>
      <c r="R1151" s="10" t="str">
        <f t="shared" ca="1" si="372"/>
        <v>—</v>
      </c>
      <c r="S1151" s="17">
        <f t="shared" ca="1" si="373"/>
        <v>7</v>
      </c>
      <c r="T1151" s="70" t="str">
        <f t="shared" ca="1" si="374"/>
        <v>—</v>
      </c>
      <c r="U1151" s="17">
        <f t="shared" ca="1" si="375"/>
        <v>7</v>
      </c>
      <c r="V1151" s="71" t="str">
        <f t="shared" ca="1" si="376"/>
        <v>—</v>
      </c>
      <c r="W1151" s="17">
        <f t="shared" ca="1" si="377"/>
        <v>7</v>
      </c>
    </row>
    <row r="1152" spans="1:23" x14ac:dyDescent="0.25">
      <c r="A1152" s="4">
        <f t="shared" si="357"/>
        <v>32</v>
      </c>
      <c r="B1152" t="str">
        <f ca="1">TEXT(DATE(YEAR(Invoer!$A$6),1,1)+INT((ROWS(B$2:B1152)-1)/4),"jjjjmmdd")</f>
        <v>19401014</v>
      </c>
      <c r="C1152" s="64" t="str">
        <f>IF(MOD(ROWS(C$2:C1152)-1,4)=3,"24.00",INDEX(Data,3,2+MOD(ROWS(C$2:C1152)-1,4)))</f>
        <v>17.00</v>
      </c>
      <c r="D1152" s="18" t="str">
        <f t="shared" ca="1" si="358"/>
        <v>—</v>
      </c>
      <c r="E1152" s="17">
        <f t="shared" ca="1" si="359"/>
        <v>7</v>
      </c>
      <c r="F1152" s="18" t="str">
        <f t="shared" ca="1" si="360"/>
        <v>—</v>
      </c>
      <c r="G1152" s="17">
        <f t="shared" ca="1" si="361"/>
        <v>7</v>
      </c>
      <c r="H1152" s="18" t="str">
        <f t="shared" ca="1" si="362"/>
        <v>—</v>
      </c>
      <c r="I1152" s="17">
        <f t="shared" ca="1" si="363"/>
        <v>7</v>
      </c>
      <c r="J1152" s="18" t="str">
        <f t="shared" ca="1" si="364"/>
        <v>—</v>
      </c>
      <c r="K1152" s="17">
        <f t="shared" ca="1" si="365"/>
        <v>7</v>
      </c>
      <c r="L1152" s="10" t="str">
        <f t="shared" ca="1" si="366"/>
        <v>—</v>
      </c>
      <c r="M1152" s="17">
        <f t="shared" ca="1" si="367"/>
        <v>7</v>
      </c>
      <c r="N1152" s="18" t="str">
        <f t="shared" ca="1" si="368"/>
        <v>—</v>
      </c>
      <c r="O1152" s="17">
        <f t="shared" ca="1" si="369"/>
        <v>7</v>
      </c>
      <c r="P1152" s="18" t="str">
        <f t="shared" ca="1" si="370"/>
        <v>—</v>
      </c>
      <c r="Q1152" s="17">
        <f t="shared" ca="1" si="371"/>
        <v>7</v>
      </c>
      <c r="R1152" s="10" t="str">
        <f t="shared" ca="1" si="372"/>
        <v>—</v>
      </c>
      <c r="S1152" s="17">
        <f t="shared" ca="1" si="373"/>
        <v>7</v>
      </c>
      <c r="T1152" s="70" t="str">
        <f t="shared" ca="1" si="374"/>
        <v>—</v>
      </c>
      <c r="U1152" s="17">
        <f t="shared" ca="1" si="375"/>
        <v>7</v>
      </c>
      <c r="V1152" s="71" t="str">
        <f t="shared" ca="1" si="376"/>
        <v>—</v>
      </c>
      <c r="W1152" s="17">
        <f t="shared" ca="1" si="377"/>
        <v>7</v>
      </c>
    </row>
    <row r="1153" spans="1:23" x14ac:dyDescent="0.25">
      <c r="A1153" s="4">
        <f t="shared" si="357"/>
        <v>32</v>
      </c>
      <c r="B1153" t="str">
        <f ca="1">TEXT(DATE(YEAR(Invoer!$A$6),1,1)+INT((ROWS(B$2:B1153)-1)/4),"jjjjmmdd")</f>
        <v>19401014</v>
      </c>
      <c r="C1153" s="64" t="str">
        <f>IF(MOD(ROWS(C$2:C1153)-1,4)=3,"24.00",INDEX(Data,3,2+MOD(ROWS(C$2:C1153)-1,4)))</f>
        <v>24.00</v>
      </c>
      <c r="D1153" s="18" t="str">
        <f t="shared" ca="1" si="358"/>
        <v>—</v>
      </c>
      <c r="E1153" s="17">
        <f t="shared" ca="1" si="359"/>
        <v>7</v>
      </c>
      <c r="F1153" s="18" t="str">
        <f t="shared" ca="1" si="360"/>
        <v>—</v>
      </c>
      <c r="G1153" s="17">
        <f t="shared" ca="1" si="361"/>
        <v>7</v>
      </c>
      <c r="H1153" s="18" t="str">
        <f t="shared" ca="1" si="362"/>
        <v>—</v>
      </c>
      <c r="I1153" s="17">
        <f t="shared" ca="1" si="363"/>
        <v>7</v>
      </c>
      <c r="J1153" s="18" t="str">
        <f t="shared" ca="1" si="364"/>
        <v>—</v>
      </c>
      <c r="K1153" s="17">
        <f t="shared" ca="1" si="365"/>
        <v>7</v>
      </c>
      <c r="L1153" s="10" t="str">
        <f t="shared" ca="1" si="366"/>
        <v>—</v>
      </c>
      <c r="M1153" s="17">
        <f t="shared" ca="1" si="367"/>
        <v>7</v>
      </c>
      <c r="N1153" s="18" t="str">
        <f t="shared" ca="1" si="368"/>
        <v>—</v>
      </c>
      <c r="O1153" s="17">
        <f t="shared" ca="1" si="369"/>
        <v>7</v>
      </c>
      <c r="P1153" s="18" t="str">
        <f t="shared" ca="1" si="370"/>
        <v>—</v>
      </c>
      <c r="Q1153" s="17">
        <f t="shared" ca="1" si="371"/>
        <v>7</v>
      </c>
      <c r="R1153" s="10" t="str">
        <f t="shared" ca="1" si="372"/>
        <v>—</v>
      </c>
      <c r="S1153" s="17">
        <f t="shared" ca="1" si="373"/>
        <v>7</v>
      </c>
      <c r="T1153" s="70" t="str">
        <f t="shared" ca="1" si="374"/>
        <v>—</v>
      </c>
      <c r="U1153" s="17">
        <f t="shared" ca="1" si="375"/>
        <v>7</v>
      </c>
      <c r="V1153" s="71" t="str">
        <f t="shared" ca="1" si="376"/>
        <v>—</v>
      </c>
      <c r="W1153" s="17">
        <f t="shared" ca="1" si="377"/>
        <v>7</v>
      </c>
    </row>
    <row r="1154" spans="1:23" x14ac:dyDescent="0.25">
      <c r="A1154" s="4">
        <f t="shared" ref="A1154:A1217" si="378">INDEX(Stations,2,1)</f>
        <v>32</v>
      </c>
      <c r="B1154" t="str">
        <f ca="1">TEXT(DATE(YEAR(Invoer!$A$6),1,1)+INT((ROWS(B$2:B1154)-1)/4),"jjjjmmdd")</f>
        <v>19401015</v>
      </c>
      <c r="C1154" s="64" t="str">
        <f>IF(MOD(ROWS(C$2:C1154)-1,4)=3,"24.00",INDEX(Data,3,2+MOD(ROWS(C$2:C1154)-1,4)))</f>
        <v>07.00</v>
      </c>
      <c r="D1154" s="18" t="str">
        <f t="shared" ref="D1154:D1217" ca="1" si="379">IF(OR(ISBLANK(VLOOKUP(DATEVALUE(LEFT($B1154,4)&amp;"-"&amp;MID($B1154,5,2)&amp;"-"&amp;RIGHT($B1154,2)),Data,MATCH(LEFT(VLOOKUP(D$1,Parameters,2,FALSE()),4)&amp;"*",OFFSET(Data,0,0,1),0)+MATCH($C1154,OFFSET(Data,2,0,1),0)-2,FALSE())),ISTEXT(VLOOKUP(DATEVALUE(LEFT($B1154,4)&amp;"-"&amp;MID($B1154,5,2)&amp;"-"&amp;RIGHT($B1154,2)),Data,MATCH(LEFT(VLOOKUP(D$1,Parameters,2,FALSE()),4)&amp;"*",OFFSET(Data,0,0,1),0)+MATCH($C1154,OFFSET(Data,2,0,1),0)-2,FALSE())),EXACT($C1154,"24.00")),"—",VLOOKUP(DATEVALUE(LEFT($B1154,4)&amp;"-"&amp;MID($B1154,5,2)&amp;"-"&amp;RIGHT($B1154,2)),Data,MATCH(LEFT(VLOOKUP(D$1,Parameters,2,FALSE()),4)&amp;"*",OFFSET(Data,0,0,1),0)+MATCH($C1154,OFFSET(Data,2,0,1),0)-2,FALSE())/10)</f>
        <v>—</v>
      </c>
      <c r="E1154" s="17">
        <f t="shared" ref="E1154:E1217" ca="1" si="380">IF(OR(ISBLANK(VLOOKUP(DATEVALUE(LEFT($B1154,4)&amp;"-"&amp;MID($B1154,5,2)&amp;"-"&amp;RIGHT($B1154,2)),Data,MATCH(LEFT(VLOOKUP(MID(E$1,2,LEN(E$1)-1),Parameters,2,FALSE()),4)&amp;"*",OFFSET(Data,0,0,1),0)+MATCH($C1154,OFFSET(Data,2,0,1),0)-2,FALSE())),ISTEXT(VLOOKUP(DATEVALUE(LEFT($B1154,4)&amp;"-"&amp;MID($B1154,5,2)&amp;"-"&amp;RIGHT($B1154,2)),Data,MATCH(LEFT(VLOOKUP(MID(E$1,2,LEN(E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Data,2,0,1),0)-2,FALSE())))</f>
        <v>7</v>
      </c>
      <c r="F1154" s="18" t="str">
        <f t="shared" ref="F1154:F1217" ca="1" si="381">IF(OR(ISBLANK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ISTEXT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EXACT($C1154,"24.00")),"—",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/10)</f>
        <v>—</v>
      </c>
      <c r="G1154" s="17">
        <f t="shared" ref="G1154:G1217" ca="1" si="382">IF(OR(ISBLANK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ISTEXT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G$1,2,LEN(G$1)-1),Parameters,2,FALSE()),FIND(LOWER(MID(G$1,2,1)),VLOOKUP(MID(G$1,2,LEN(G$1)-1),Parameters,2,FALSE()),5),4)&amp;"*",OFFSET(Catalogus,0,0,1),0)+2*MATCH($C1154,OFFSET(Catalogus,2,0,1),0)+MATCH(LEFT(VLOOKUP(MID(G$1,2,LEN(G$1)-1),Parameters,2,FALSE()),3)&amp;"*",OFFSET(Catalogus,2,4,1),0)-5,FALSE())))</f>
        <v>7</v>
      </c>
      <c r="H1154" s="18" t="str">
        <f t="shared" ref="H1154:H1217" ca="1" si="383">IF(OR(ISBLANK(VLOOKUP(DATEVALUE(LEFT($B1154,4)&amp;"-"&amp;MID($B1154,5,2)&amp;"-"&amp;RIGHT($B1154,2)),Data,MATCH(LEFT(VLOOKUP(H$1,Parameters,2,FALSE()),4)&amp;"*",OFFSET(Data,1,0,1),0),FALSE())),ISTEXT(VLOOKUP(DATEVALUE(LEFT($B1154,4)&amp;"-"&amp;MID($B1154,5,2)&amp;"-"&amp;RIGHT($B1154,2)),Data,MATCH(LEFT(VLOOKUP(H$1,Parameters,2,FALSE()),4)&amp;"*",OFFSET(Data,1,0,1),0),FALSE())),NOT(EXACT($C1154,"24.00"))),"—",VLOOKUP(DATEVALUE(LEFT($B1154,4)&amp;"-"&amp;MID($B1154,5,2)&amp;"-"&amp;RIGHT($B1154,2)),Data,MATCH(LEFT(VLOOKUP(H$1,Parameters,2,FALSE()),4)&amp;"*",OFFSET(Data,1,0,1),0),FALSE())/10)</f>
        <v>—</v>
      </c>
      <c r="I1154" s="17">
        <f t="shared" ref="I1154:I1217" ca="1" si="384">IF(OR(ISBLANK(VLOOKUP(DATEVALUE(LEFT($B1154,4)&amp;"-"&amp;MID($B1154,5,2)&amp;"-"&amp;RIGHT($B1154,2)),Data,MATCH(LEFT(VLOOKUP(MID(I$1,2,LEN(I$1)-1),Parameters,2,FALSE()),4)&amp;"*",OFFSET(Data,1,0,1),0),FALSE())),ISTEXT(VLOOKUP(DATEVALUE(LEFT($B1154,4)&amp;"-"&amp;MID($B1154,5,2)&amp;"-"&amp;RIGHT($B1154,2)),Data,MATCH(LEFT(VLOOKUP(MID(I$1,2,LEN(I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I$1,2,LEN(I$1)-1),Parameters,2,FALSE()),4)&amp;"*",OFFSET(Catalogus,1,0,1),0),FALSE())))</f>
        <v>7</v>
      </c>
      <c r="J1154" s="18" t="str">
        <f t="shared" ref="J1154:J1217" ca="1" si="385">IF(OR(ISBLANK(VLOOKUP(DATEVALUE(LEFT($B1154,4)&amp;"-"&amp;MID($B1154,5,2)&amp;"-"&amp;RIGHT($B1154,2)),Data,MATCH(LEFT(VLOOKUP(J$1,Parameters,2,FALSE()),4)&amp;"*",OFFSET(Data,1,0,1),0),FALSE())),ISTEXT(VLOOKUP(DATEVALUE(LEFT($B1154,4)&amp;"-"&amp;MID($B1154,5,2)&amp;"-"&amp;RIGHT($B1154,2)),Data,MATCH(LEFT(VLOOKUP(J$1,Parameters,2,FALSE()),4)&amp;"*",OFFSET(Data,1,0,1),0),FALSE())),NOT(EXACT($C1154,"24.00"))),"—",VLOOKUP(DATEVALUE(LEFT($B1154,4)&amp;"-"&amp;MID($B1154,5,2)&amp;"-"&amp;RIGHT($B1154,2)),Data,MATCH(LEFT(VLOOKUP(J$1,Parameters,2,FALSE()),4)&amp;"*",OFFSET(Data,1,0,1),0),FALSE())/10)</f>
        <v>—</v>
      </c>
      <c r="K1154" s="17">
        <f t="shared" ref="K1154:K1217" ca="1" si="386">IF(OR(ISBLANK(VLOOKUP(DATEVALUE(LEFT($B1154,4)&amp;"-"&amp;MID($B1154,5,2)&amp;"-"&amp;RIGHT($B1154,2)),Data,MATCH(LEFT(VLOOKUP(MID(K$1,2,LEN(K$1)-1),Parameters,2,FALSE()),4)&amp;"*",OFFSET(Data,1,0,1),0),FALSE())),ISTEXT(VLOOKUP(DATEVALUE(LEFT($B1154,4)&amp;"-"&amp;MID($B1154,5,2)&amp;"-"&amp;RIGHT($B1154,2)),Data,MATCH(LEFT(VLOOKUP(MID(K$1,2,LEN(K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K$1,2,LEN(K$1)-1),Parameters,2,FALSE()),4)&amp;"*",OFFSET(Catalogus,1,0,1),0),FALSE())))</f>
        <v>7</v>
      </c>
      <c r="L1154" s="10" t="str">
        <f t="shared" ref="L1154:L1217" ca="1" si="387">IF(OR(ISBLANK(VLOOKUP(DATEVALUE(LEFT($B1154,4)&amp;"-"&amp;MID($B1154,5,2)&amp;"-"&amp;RIGHT($B1154,2)),Data,MATCH(LEFT(VLOOKUP(L$1,Parameters,2,FALSE()),4)&amp;"*",OFFSET(Data,0,0,1),0)+MATCH($C1154,OFFSET(Data,2,0,1),0)-2,FALSE())),ISTEXT(VLOOKUP(DATEVALUE(LEFT($B1154,4)&amp;"-"&amp;MID($B1154,5,2)&amp;"-"&amp;RIGHT($B1154,2)),Data,MATCH(LEFT(VLOOKUP(L$1,Parameters,2,FALSE()),4)&amp;"*",OFFSET(Data,0,0,1),0)+MATCH($C1154,OFFSET(Data,2,0,1),0)-2,FALSE())),EXACT($C1154,"24.00")),"—",VLOOKUP(DATEVALUE(LEFT($B1154,4)&amp;"-"&amp;MID($B1154,5,2)&amp;"-"&amp;RIGHT($B1154,2)),Data,MATCH(LEFT(VLOOKUP(L$1,Parameters,2,FALSE()),4)&amp;"*",OFFSET(Data,0,0,1),0)+MATCH($C1154,OFFSET(Data,2,0,1),0)-2,FALSE()))</f>
        <v>—</v>
      </c>
      <c r="M1154" s="17">
        <f t="shared" ref="M1154:M1217" ca="1" si="388">IF(OR(ISBLANK(VLOOKUP(DATEVALUE(LEFT($B1154,4)&amp;"-"&amp;MID($B1154,5,2)&amp;"-"&amp;RIGHT($B1154,2)),Data,MATCH(LEFT(VLOOKUP(MID(M$1,2,LEN(M$1)-1),Parameters,2,FALSE()),4)&amp;"*",OFFSET(Data,0,0,1),0)+MATCH($C1154,OFFSET(Data,2,0,1),0)-2,FALSE())),ISTEXT(VLOOKUP(DATEVALUE(LEFT($B1154,4)&amp;"-"&amp;MID($B1154,5,2)&amp;"-"&amp;RIGHT($B1154,2)),Data,MATCH(LEFT(VLOOKUP(MID(M$1,2,LEN(M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M$1,2,LEN(M$1)-1),Parameters,2,FALSE()),4)&amp;"*",OFFSET(Catalogus,0,0,1),0)+MATCH($C1154,OFFSET(Data,2,0,1),0)-2,FALSE())))</f>
        <v>7</v>
      </c>
      <c r="N1154" s="18" t="str">
        <f t="shared" ref="N1154:N1217" ca="1" si="389">IF(OR(ISBLANK(VLOOKUP(DATEVALUE(LEFT($B1154,4)&amp;"-"&amp;MID($B1154,5,2)&amp;"-"&amp;RIGHT($B1154,2)),Data,MATCH(LEFT(VLOOKUP(N$1,Parameters,2,FALSE()),4)&amp;"*",OFFSET(Data,0,0,1),0)+MATCH($C1154,OFFSET(Data,2,0,1),0)-2,FALSE())),ISTEXT(VLOOKUP(DATEVALUE(LEFT($B1154,4)&amp;"-"&amp;MID($B1154,5,2)&amp;"-"&amp;RIGHT($B1154,2)),Data,MATCH(LEFT(VLOOKUP(N$1,Parameters,2,FALSE()),4)&amp;"*",OFFSET(Data,0,0,1),0)+MATCH($C1154,OFFSET(Data,2,0,1),0)-2,FALSE())),EXACT($C1154,"24.00")),"—",VLOOKUP(DATEVALUE(LEFT($B1154,4)&amp;"-"&amp;MID($B1154,5,2)&amp;"-"&amp;RIGHT($B1154,2)),Data,MATCH(LEFT(VLOOKUP(N$1,Parameters,2,FALSE()),4)&amp;"*",OFFSET(Data,0,0,1),0)+MATCH($C1154,OFFSET(Data,2,0,1),0)-2,FALSE())/10)</f>
        <v>—</v>
      </c>
      <c r="O1154" s="17">
        <f t="shared" ref="O1154:O1217" ca="1" si="390">IF(OR(ISBLANK(VLOOKUP(DATEVALUE(LEFT($B1154,4)&amp;"-"&amp;MID($B1154,5,2)&amp;"-"&amp;RIGHT($B1154,2)),Data,MATCH(LEFT(VLOOKUP(MID(O$1,2,LEN(O$1)-1),Parameters,2,FALSE()),4)&amp;"*",OFFSET(Data,0,0,1),0)+MATCH($C1154,OFFSET(Data,2,0,1),0)-2,FALSE())),ISTEXT(VLOOKUP(DATEVALUE(LEFT($B1154,4)&amp;"-"&amp;MID($B1154,5,2)&amp;"-"&amp;RIGHT($B1154,2)),Data,MATCH(LEFT(VLOOKUP(MID(O$1,2,LEN(O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O$1,2,LEN(O$1)-1),Parameters,2,FALSE()),4)&amp;"*",OFFSET(Catalogus,0,0,1),0)+MATCH($C1154,OFFSET(Data,2,0,1),0)-2,FALSE())))</f>
        <v>7</v>
      </c>
      <c r="P1154" s="18" t="str">
        <f t="shared" ref="P1154:P1217" ca="1" si="391">IF(OR(ISBLANK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ISTEXT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EXACT($C1154,"24.00")),"—",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/10)</f>
        <v>—</v>
      </c>
      <c r="Q1154" s="17">
        <f t="shared" ref="Q1154:Q1217" ca="1" si="392">IF(OR(ISBLANK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ISTEXT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Q$1,2,LEN(Q$1)-1),Parameters,2,FALSE()),FIND(LOWER(MID(Q$1,2,1)),VLOOKUP(MID(Q$1,2,LEN(Q$1)-1),Parameters,2,FALSE()),5),4)&amp;"*",OFFSET(Catalogus,0,0,1),0)+2*MATCH($C1154,OFFSET(Catalogus,2,0,1),0)+MATCH(LEFT(VLOOKUP(MID(Q$1,2,LEN(Q$1)-1),Parameters,2,FALSE()),3)&amp;"*",OFFSET(Catalogus,2,4,1),0)-5,FALSE())))</f>
        <v>7</v>
      </c>
      <c r="R1154" s="10" t="str">
        <f t="shared" ref="R1154:R1217" ca="1" si="393">IF(OR(ISBLANK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),ISNA(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1,1,,1),0)),EXACT($C1154,"24.00")),"—",INDEX(Windrichting,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0,1,,1),0),1))</f>
        <v>—</v>
      </c>
      <c r="S1154" s="17">
        <f t="shared" ref="S1154:S1217" ca="1" si="394">IF(OR(ISBLANK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),ISNA(MATCH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,OFFSET(Windrichting,1,1,,1),0)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S$1,2,LEN(S$1)-1),Parameters,2,FALSE()),4)&amp;"*",OFFSET(Catalogus,0,0,1),0)+2*MATCH($C1154,OFFSET(Catalogus,2,0,1),0)+MATCH(MID(VLOOKUP(MID(S$1,2,LEN(S$1)-1),Parameters,2,FALSE()),5,LEN(VLOOKUP(MID(S$1,2,LEN(S$1)-1),Parameters,2,FALSE()))-4)&amp;"*",OFFSET(Catalogus,2,19,1),0)-5,FALSE())))</f>
        <v>7</v>
      </c>
      <c r="T1154" s="70" t="str">
        <f t="shared" ref="T1154:T1217" ca="1" si="395">IF(OR(ISBLANK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ISTEXT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EXACT($C1154,"24.00")),"—",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/10)</f>
        <v>—</v>
      </c>
      <c r="U1154" s="17">
        <f t="shared" ref="U1154:U1217" ca="1" si="396">IF(OR(ISBLANK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ISTEXT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U$1,2,LEN(U$1)-1),Parameters,2,FALSE()),4)&amp;"*",OFFSET(Catalogus,0,0,1),0)+2*MATCH($C1154,OFFSET(Catalogus,2,0,1),0)+MATCH(MID(VLOOKUP(MID(U$1,2,LEN(U$1)-1),Parameters,2,FALSE()),5,LEN(VLOOKUP(MID(U$1,2,LEN(U$1)-1),Parameters,2,FALSE()))-4)&amp;"*",OFFSET(Catalogus,2,19,1),0)-5,FALSE())))</f>
        <v>7</v>
      </c>
      <c r="V1154" s="71" t="str">
        <f t="shared" ref="V1154:V1217" ca="1" si="397">IF(OR(ISBLANK(VLOOKUP(DATEVALUE(LEFT($B1154,4)&amp;"-"&amp;MID($B1154,5,2)&amp;"-"&amp;RIGHT($B1154,2)),Data,MATCH(LEFT(VLOOKUP(V$1,Parameters,2,FALSE()),4)&amp;"*",OFFSET(Data,0,0,1),0)+MATCH($C1154,OFFSET(Data,2,0,1),0)-2,FALSE())),ISTEXT(VLOOKUP(DATEVALUE(LEFT($B1154,4)&amp;"-"&amp;MID($B1154,5,2)&amp;"-"&amp;RIGHT($B1154,2)),Data,MATCH(LEFT(VLOOKUP(V$1,Parameters,2,FALSE()),4)&amp;"*",OFFSET(Data,0,0,1),0)+MATCH($C1154,OFFSET(Data,2,0,1),0)-2,FALSE())),EXACT($C1154,"24.00")),"—",VLOOKUP(DATEVALUE(LEFT($B1154,4)&amp;"-"&amp;MID($B1154,5,2)&amp;"-"&amp;RIGHT($B1154,2)),Data,MATCH(LEFT(VLOOKUP(V$1,Parameters,2,FALSE()),4)&amp;"*",OFFSET(Data,0,0,1),0)+MATCH($C1154,OFFSET(Data,2,0,1),0)-2,FALSE()))</f>
        <v>—</v>
      </c>
      <c r="W1154" s="17">
        <f t="shared" ref="W1154:W1217" ca="1" si="398">IF(OR(ISBLANK(VLOOKUP(DATEVALUE(LEFT($B1154,4)&amp;"-"&amp;MID($B1154,5,2)&amp;"-"&amp;RIGHT($B1154,2)),Data,MATCH(LEFT(VLOOKUP(MID(W$1,2,LEN(W$1)-1),Parameters,2,FALSE()),4)&amp;"*",OFFSET(Data,0,0,1),0)+MATCH($C1154,OFFSET(Data,2,0,1),0)-2,FALSE())),ISTEXT(VLOOKUP(DATEVALUE(LEFT($B1154,4)&amp;"-"&amp;MID($B1154,5,2)&amp;"-"&amp;RIGHT($B1154,2)),Data,MATCH(LEFT(VLOOKUP(MID(W$1,2,LEN(W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W$1,2,LEN(W$1)-1),Parameters,2,FALSE()),4)&amp;"*",OFFSET(Catalogus,0,0,1),0)+MATCH($C1154,OFFSET(Data,2,0,1),0)-2,FALSE())))</f>
        <v>7</v>
      </c>
    </row>
    <row r="1155" spans="1:23" x14ac:dyDescent="0.25">
      <c r="A1155" s="4">
        <f t="shared" si="378"/>
        <v>32</v>
      </c>
      <c r="B1155" t="str">
        <f ca="1">TEXT(DATE(YEAR(Invoer!$A$6),1,1)+INT((ROWS(B$2:B1155)-1)/4),"jjjjmmdd")</f>
        <v>19401015</v>
      </c>
      <c r="C1155" s="64" t="str">
        <f>IF(MOD(ROWS(C$2:C1155)-1,4)=3,"24.00",INDEX(Data,3,2+MOD(ROWS(C$2:C1155)-1,4)))</f>
        <v>12.00</v>
      </c>
      <c r="D1155" s="18" t="str">
        <f t="shared" ca="1" si="379"/>
        <v>—</v>
      </c>
      <c r="E1155" s="17">
        <f t="shared" ca="1" si="380"/>
        <v>7</v>
      </c>
      <c r="F1155" s="18" t="str">
        <f t="shared" ca="1" si="381"/>
        <v>—</v>
      </c>
      <c r="G1155" s="17">
        <f t="shared" ca="1" si="382"/>
        <v>7</v>
      </c>
      <c r="H1155" s="18" t="str">
        <f t="shared" ca="1" si="383"/>
        <v>—</v>
      </c>
      <c r="I1155" s="17">
        <f t="shared" ca="1" si="384"/>
        <v>7</v>
      </c>
      <c r="J1155" s="18" t="str">
        <f t="shared" ca="1" si="385"/>
        <v>—</v>
      </c>
      <c r="K1155" s="17">
        <f t="shared" ca="1" si="386"/>
        <v>7</v>
      </c>
      <c r="L1155" s="10" t="str">
        <f t="shared" ca="1" si="387"/>
        <v>—</v>
      </c>
      <c r="M1155" s="17">
        <f t="shared" ca="1" si="388"/>
        <v>7</v>
      </c>
      <c r="N1155" s="18" t="str">
        <f t="shared" ca="1" si="389"/>
        <v>—</v>
      </c>
      <c r="O1155" s="17">
        <f t="shared" ca="1" si="390"/>
        <v>7</v>
      </c>
      <c r="P1155" s="18" t="str">
        <f t="shared" ca="1" si="391"/>
        <v>—</v>
      </c>
      <c r="Q1155" s="17">
        <f t="shared" ca="1" si="392"/>
        <v>7</v>
      </c>
      <c r="R1155" s="10" t="str">
        <f t="shared" ca="1" si="393"/>
        <v>—</v>
      </c>
      <c r="S1155" s="17">
        <f t="shared" ca="1" si="394"/>
        <v>7</v>
      </c>
      <c r="T1155" s="70" t="str">
        <f t="shared" ca="1" si="395"/>
        <v>—</v>
      </c>
      <c r="U1155" s="17">
        <f t="shared" ca="1" si="396"/>
        <v>7</v>
      </c>
      <c r="V1155" s="71" t="str">
        <f t="shared" ca="1" si="397"/>
        <v>—</v>
      </c>
      <c r="W1155" s="17">
        <f t="shared" ca="1" si="398"/>
        <v>7</v>
      </c>
    </row>
    <row r="1156" spans="1:23" x14ac:dyDescent="0.25">
      <c r="A1156" s="4">
        <f t="shared" si="378"/>
        <v>32</v>
      </c>
      <c r="B1156" t="str">
        <f ca="1">TEXT(DATE(YEAR(Invoer!$A$6),1,1)+INT((ROWS(B$2:B1156)-1)/4),"jjjjmmdd")</f>
        <v>19401015</v>
      </c>
      <c r="C1156" s="64" t="str">
        <f>IF(MOD(ROWS(C$2:C1156)-1,4)=3,"24.00",INDEX(Data,3,2+MOD(ROWS(C$2:C1156)-1,4)))</f>
        <v>17.00</v>
      </c>
      <c r="D1156" s="18" t="str">
        <f t="shared" ca="1" si="379"/>
        <v>—</v>
      </c>
      <c r="E1156" s="17">
        <f t="shared" ca="1" si="380"/>
        <v>7</v>
      </c>
      <c r="F1156" s="18" t="str">
        <f t="shared" ca="1" si="381"/>
        <v>—</v>
      </c>
      <c r="G1156" s="17">
        <f t="shared" ca="1" si="382"/>
        <v>7</v>
      </c>
      <c r="H1156" s="18" t="str">
        <f t="shared" ca="1" si="383"/>
        <v>—</v>
      </c>
      <c r="I1156" s="17">
        <f t="shared" ca="1" si="384"/>
        <v>7</v>
      </c>
      <c r="J1156" s="18" t="str">
        <f t="shared" ca="1" si="385"/>
        <v>—</v>
      </c>
      <c r="K1156" s="17">
        <f t="shared" ca="1" si="386"/>
        <v>7</v>
      </c>
      <c r="L1156" s="10" t="str">
        <f t="shared" ca="1" si="387"/>
        <v>—</v>
      </c>
      <c r="M1156" s="17">
        <f t="shared" ca="1" si="388"/>
        <v>7</v>
      </c>
      <c r="N1156" s="18" t="str">
        <f t="shared" ca="1" si="389"/>
        <v>—</v>
      </c>
      <c r="O1156" s="17">
        <f t="shared" ca="1" si="390"/>
        <v>7</v>
      </c>
      <c r="P1156" s="18" t="str">
        <f t="shared" ca="1" si="391"/>
        <v>—</v>
      </c>
      <c r="Q1156" s="17">
        <f t="shared" ca="1" si="392"/>
        <v>7</v>
      </c>
      <c r="R1156" s="10" t="str">
        <f t="shared" ca="1" si="393"/>
        <v>—</v>
      </c>
      <c r="S1156" s="17">
        <f t="shared" ca="1" si="394"/>
        <v>7</v>
      </c>
      <c r="T1156" s="70" t="str">
        <f t="shared" ca="1" si="395"/>
        <v>—</v>
      </c>
      <c r="U1156" s="17">
        <f t="shared" ca="1" si="396"/>
        <v>7</v>
      </c>
      <c r="V1156" s="71" t="str">
        <f t="shared" ca="1" si="397"/>
        <v>—</v>
      </c>
      <c r="W1156" s="17">
        <f t="shared" ca="1" si="398"/>
        <v>7</v>
      </c>
    </row>
    <row r="1157" spans="1:23" x14ac:dyDescent="0.25">
      <c r="A1157" s="4">
        <f t="shared" si="378"/>
        <v>32</v>
      </c>
      <c r="B1157" t="str">
        <f ca="1">TEXT(DATE(YEAR(Invoer!$A$6),1,1)+INT((ROWS(B$2:B1157)-1)/4),"jjjjmmdd")</f>
        <v>19401015</v>
      </c>
      <c r="C1157" s="64" t="str">
        <f>IF(MOD(ROWS(C$2:C1157)-1,4)=3,"24.00",INDEX(Data,3,2+MOD(ROWS(C$2:C1157)-1,4)))</f>
        <v>24.00</v>
      </c>
      <c r="D1157" s="18" t="str">
        <f t="shared" ca="1" si="379"/>
        <v>—</v>
      </c>
      <c r="E1157" s="17">
        <f t="shared" ca="1" si="380"/>
        <v>7</v>
      </c>
      <c r="F1157" s="18" t="str">
        <f t="shared" ca="1" si="381"/>
        <v>—</v>
      </c>
      <c r="G1157" s="17">
        <f t="shared" ca="1" si="382"/>
        <v>7</v>
      </c>
      <c r="H1157" s="18" t="str">
        <f t="shared" ca="1" si="383"/>
        <v>—</v>
      </c>
      <c r="I1157" s="17">
        <f t="shared" ca="1" si="384"/>
        <v>7</v>
      </c>
      <c r="J1157" s="18" t="str">
        <f t="shared" ca="1" si="385"/>
        <v>—</v>
      </c>
      <c r="K1157" s="17">
        <f t="shared" ca="1" si="386"/>
        <v>7</v>
      </c>
      <c r="L1157" s="10" t="str">
        <f t="shared" ca="1" si="387"/>
        <v>—</v>
      </c>
      <c r="M1157" s="17">
        <f t="shared" ca="1" si="388"/>
        <v>7</v>
      </c>
      <c r="N1157" s="18" t="str">
        <f t="shared" ca="1" si="389"/>
        <v>—</v>
      </c>
      <c r="O1157" s="17">
        <f t="shared" ca="1" si="390"/>
        <v>7</v>
      </c>
      <c r="P1157" s="18" t="str">
        <f t="shared" ca="1" si="391"/>
        <v>—</v>
      </c>
      <c r="Q1157" s="17">
        <f t="shared" ca="1" si="392"/>
        <v>7</v>
      </c>
      <c r="R1157" s="10" t="str">
        <f t="shared" ca="1" si="393"/>
        <v>—</v>
      </c>
      <c r="S1157" s="17">
        <f t="shared" ca="1" si="394"/>
        <v>7</v>
      </c>
      <c r="T1157" s="70" t="str">
        <f t="shared" ca="1" si="395"/>
        <v>—</v>
      </c>
      <c r="U1157" s="17">
        <f t="shared" ca="1" si="396"/>
        <v>7</v>
      </c>
      <c r="V1157" s="71" t="str">
        <f t="shared" ca="1" si="397"/>
        <v>—</v>
      </c>
      <c r="W1157" s="17">
        <f t="shared" ca="1" si="398"/>
        <v>7</v>
      </c>
    </row>
    <row r="1158" spans="1:23" x14ac:dyDescent="0.25">
      <c r="A1158" s="4">
        <f t="shared" si="378"/>
        <v>32</v>
      </c>
      <c r="B1158" t="str">
        <f ca="1">TEXT(DATE(YEAR(Invoer!$A$6),1,1)+INT((ROWS(B$2:B1158)-1)/4),"jjjjmmdd")</f>
        <v>19401016</v>
      </c>
      <c r="C1158" s="64" t="str">
        <f>IF(MOD(ROWS(C$2:C1158)-1,4)=3,"24.00",INDEX(Data,3,2+MOD(ROWS(C$2:C1158)-1,4)))</f>
        <v>07.00</v>
      </c>
      <c r="D1158" s="18" t="str">
        <f t="shared" ca="1" si="379"/>
        <v>—</v>
      </c>
      <c r="E1158" s="17">
        <f t="shared" ca="1" si="380"/>
        <v>7</v>
      </c>
      <c r="F1158" s="18" t="str">
        <f t="shared" ca="1" si="381"/>
        <v>—</v>
      </c>
      <c r="G1158" s="17">
        <f t="shared" ca="1" si="382"/>
        <v>7</v>
      </c>
      <c r="H1158" s="18" t="str">
        <f t="shared" ca="1" si="383"/>
        <v>—</v>
      </c>
      <c r="I1158" s="17">
        <f t="shared" ca="1" si="384"/>
        <v>7</v>
      </c>
      <c r="J1158" s="18" t="str">
        <f t="shared" ca="1" si="385"/>
        <v>—</v>
      </c>
      <c r="K1158" s="17">
        <f t="shared" ca="1" si="386"/>
        <v>7</v>
      </c>
      <c r="L1158" s="10" t="str">
        <f t="shared" ca="1" si="387"/>
        <v>—</v>
      </c>
      <c r="M1158" s="17">
        <f t="shared" ca="1" si="388"/>
        <v>7</v>
      </c>
      <c r="N1158" s="18" t="str">
        <f t="shared" ca="1" si="389"/>
        <v>—</v>
      </c>
      <c r="O1158" s="17">
        <f t="shared" ca="1" si="390"/>
        <v>7</v>
      </c>
      <c r="P1158" s="18" t="str">
        <f t="shared" ca="1" si="391"/>
        <v>—</v>
      </c>
      <c r="Q1158" s="17">
        <f t="shared" ca="1" si="392"/>
        <v>7</v>
      </c>
      <c r="R1158" s="10" t="str">
        <f t="shared" ca="1" si="393"/>
        <v>—</v>
      </c>
      <c r="S1158" s="17">
        <f t="shared" ca="1" si="394"/>
        <v>7</v>
      </c>
      <c r="T1158" s="70" t="str">
        <f t="shared" ca="1" si="395"/>
        <v>—</v>
      </c>
      <c r="U1158" s="17">
        <f t="shared" ca="1" si="396"/>
        <v>7</v>
      </c>
      <c r="V1158" s="71" t="str">
        <f t="shared" ca="1" si="397"/>
        <v>—</v>
      </c>
      <c r="W1158" s="17">
        <f t="shared" ca="1" si="398"/>
        <v>7</v>
      </c>
    </row>
    <row r="1159" spans="1:23" x14ac:dyDescent="0.25">
      <c r="A1159" s="4">
        <f t="shared" si="378"/>
        <v>32</v>
      </c>
      <c r="B1159" t="str">
        <f ca="1">TEXT(DATE(YEAR(Invoer!$A$6),1,1)+INT((ROWS(B$2:B1159)-1)/4),"jjjjmmdd")</f>
        <v>19401016</v>
      </c>
      <c r="C1159" s="64" t="str">
        <f>IF(MOD(ROWS(C$2:C1159)-1,4)=3,"24.00",INDEX(Data,3,2+MOD(ROWS(C$2:C1159)-1,4)))</f>
        <v>12.00</v>
      </c>
      <c r="D1159" s="18" t="str">
        <f t="shared" ca="1" si="379"/>
        <v>—</v>
      </c>
      <c r="E1159" s="17">
        <f t="shared" ca="1" si="380"/>
        <v>7</v>
      </c>
      <c r="F1159" s="18" t="str">
        <f t="shared" ca="1" si="381"/>
        <v>—</v>
      </c>
      <c r="G1159" s="17">
        <f t="shared" ca="1" si="382"/>
        <v>7</v>
      </c>
      <c r="H1159" s="18" t="str">
        <f t="shared" ca="1" si="383"/>
        <v>—</v>
      </c>
      <c r="I1159" s="17">
        <f t="shared" ca="1" si="384"/>
        <v>7</v>
      </c>
      <c r="J1159" s="18" t="str">
        <f t="shared" ca="1" si="385"/>
        <v>—</v>
      </c>
      <c r="K1159" s="17">
        <f t="shared" ca="1" si="386"/>
        <v>7</v>
      </c>
      <c r="L1159" s="10" t="str">
        <f t="shared" ca="1" si="387"/>
        <v>—</v>
      </c>
      <c r="M1159" s="17">
        <f t="shared" ca="1" si="388"/>
        <v>7</v>
      </c>
      <c r="N1159" s="18" t="str">
        <f t="shared" ca="1" si="389"/>
        <v>—</v>
      </c>
      <c r="O1159" s="17">
        <f t="shared" ca="1" si="390"/>
        <v>7</v>
      </c>
      <c r="P1159" s="18" t="str">
        <f t="shared" ca="1" si="391"/>
        <v>—</v>
      </c>
      <c r="Q1159" s="17">
        <f t="shared" ca="1" si="392"/>
        <v>7</v>
      </c>
      <c r="R1159" s="10" t="str">
        <f t="shared" ca="1" si="393"/>
        <v>—</v>
      </c>
      <c r="S1159" s="17">
        <f t="shared" ca="1" si="394"/>
        <v>7</v>
      </c>
      <c r="T1159" s="70" t="str">
        <f t="shared" ca="1" si="395"/>
        <v>—</v>
      </c>
      <c r="U1159" s="17">
        <f t="shared" ca="1" si="396"/>
        <v>7</v>
      </c>
      <c r="V1159" s="71" t="str">
        <f t="shared" ca="1" si="397"/>
        <v>—</v>
      </c>
      <c r="W1159" s="17">
        <f t="shared" ca="1" si="398"/>
        <v>7</v>
      </c>
    </row>
    <row r="1160" spans="1:23" x14ac:dyDescent="0.25">
      <c r="A1160" s="4">
        <f t="shared" si="378"/>
        <v>32</v>
      </c>
      <c r="B1160" t="str">
        <f ca="1">TEXT(DATE(YEAR(Invoer!$A$6),1,1)+INT((ROWS(B$2:B1160)-1)/4),"jjjjmmdd")</f>
        <v>19401016</v>
      </c>
      <c r="C1160" s="64" t="str">
        <f>IF(MOD(ROWS(C$2:C1160)-1,4)=3,"24.00",INDEX(Data,3,2+MOD(ROWS(C$2:C1160)-1,4)))</f>
        <v>17.00</v>
      </c>
      <c r="D1160" s="18" t="str">
        <f t="shared" ca="1" si="379"/>
        <v>—</v>
      </c>
      <c r="E1160" s="17">
        <f t="shared" ca="1" si="380"/>
        <v>7</v>
      </c>
      <c r="F1160" s="18" t="str">
        <f t="shared" ca="1" si="381"/>
        <v>—</v>
      </c>
      <c r="G1160" s="17">
        <f t="shared" ca="1" si="382"/>
        <v>7</v>
      </c>
      <c r="H1160" s="18" t="str">
        <f t="shared" ca="1" si="383"/>
        <v>—</v>
      </c>
      <c r="I1160" s="17">
        <f t="shared" ca="1" si="384"/>
        <v>7</v>
      </c>
      <c r="J1160" s="18" t="str">
        <f t="shared" ca="1" si="385"/>
        <v>—</v>
      </c>
      <c r="K1160" s="17">
        <f t="shared" ca="1" si="386"/>
        <v>7</v>
      </c>
      <c r="L1160" s="10" t="str">
        <f t="shared" ca="1" si="387"/>
        <v>—</v>
      </c>
      <c r="M1160" s="17">
        <f t="shared" ca="1" si="388"/>
        <v>7</v>
      </c>
      <c r="N1160" s="18" t="str">
        <f t="shared" ca="1" si="389"/>
        <v>—</v>
      </c>
      <c r="O1160" s="17">
        <f t="shared" ca="1" si="390"/>
        <v>7</v>
      </c>
      <c r="P1160" s="18" t="str">
        <f t="shared" ca="1" si="391"/>
        <v>—</v>
      </c>
      <c r="Q1160" s="17">
        <f t="shared" ca="1" si="392"/>
        <v>7</v>
      </c>
      <c r="R1160" s="10" t="str">
        <f t="shared" ca="1" si="393"/>
        <v>—</v>
      </c>
      <c r="S1160" s="17">
        <f t="shared" ca="1" si="394"/>
        <v>7</v>
      </c>
      <c r="T1160" s="70" t="str">
        <f t="shared" ca="1" si="395"/>
        <v>—</v>
      </c>
      <c r="U1160" s="17">
        <f t="shared" ca="1" si="396"/>
        <v>7</v>
      </c>
      <c r="V1160" s="71" t="str">
        <f t="shared" ca="1" si="397"/>
        <v>—</v>
      </c>
      <c r="W1160" s="17">
        <f t="shared" ca="1" si="398"/>
        <v>7</v>
      </c>
    </row>
    <row r="1161" spans="1:23" x14ac:dyDescent="0.25">
      <c r="A1161" s="4">
        <f t="shared" si="378"/>
        <v>32</v>
      </c>
      <c r="B1161" t="str">
        <f ca="1">TEXT(DATE(YEAR(Invoer!$A$6),1,1)+INT((ROWS(B$2:B1161)-1)/4),"jjjjmmdd")</f>
        <v>19401016</v>
      </c>
      <c r="C1161" s="64" t="str">
        <f>IF(MOD(ROWS(C$2:C1161)-1,4)=3,"24.00",INDEX(Data,3,2+MOD(ROWS(C$2:C1161)-1,4)))</f>
        <v>24.00</v>
      </c>
      <c r="D1161" s="18" t="str">
        <f t="shared" ca="1" si="379"/>
        <v>—</v>
      </c>
      <c r="E1161" s="17">
        <f t="shared" ca="1" si="380"/>
        <v>7</v>
      </c>
      <c r="F1161" s="18" t="str">
        <f t="shared" ca="1" si="381"/>
        <v>—</v>
      </c>
      <c r="G1161" s="17">
        <f t="shared" ca="1" si="382"/>
        <v>7</v>
      </c>
      <c r="H1161" s="18" t="str">
        <f t="shared" ca="1" si="383"/>
        <v>—</v>
      </c>
      <c r="I1161" s="17">
        <f t="shared" ca="1" si="384"/>
        <v>7</v>
      </c>
      <c r="J1161" s="18" t="str">
        <f t="shared" ca="1" si="385"/>
        <v>—</v>
      </c>
      <c r="K1161" s="17">
        <f t="shared" ca="1" si="386"/>
        <v>7</v>
      </c>
      <c r="L1161" s="10" t="str">
        <f t="shared" ca="1" si="387"/>
        <v>—</v>
      </c>
      <c r="M1161" s="17">
        <f t="shared" ca="1" si="388"/>
        <v>7</v>
      </c>
      <c r="N1161" s="18" t="str">
        <f t="shared" ca="1" si="389"/>
        <v>—</v>
      </c>
      <c r="O1161" s="17">
        <f t="shared" ca="1" si="390"/>
        <v>7</v>
      </c>
      <c r="P1161" s="18" t="str">
        <f t="shared" ca="1" si="391"/>
        <v>—</v>
      </c>
      <c r="Q1161" s="17">
        <f t="shared" ca="1" si="392"/>
        <v>7</v>
      </c>
      <c r="R1161" s="10" t="str">
        <f t="shared" ca="1" si="393"/>
        <v>—</v>
      </c>
      <c r="S1161" s="17">
        <f t="shared" ca="1" si="394"/>
        <v>7</v>
      </c>
      <c r="T1161" s="70" t="str">
        <f t="shared" ca="1" si="395"/>
        <v>—</v>
      </c>
      <c r="U1161" s="17">
        <f t="shared" ca="1" si="396"/>
        <v>7</v>
      </c>
      <c r="V1161" s="71" t="str">
        <f t="shared" ca="1" si="397"/>
        <v>—</v>
      </c>
      <c r="W1161" s="17">
        <f t="shared" ca="1" si="398"/>
        <v>7</v>
      </c>
    </row>
    <row r="1162" spans="1:23" x14ac:dyDescent="0.25">
      <c r="A1162" s="4">
        <f t="shared" si="378"/>
        <v>32</v>
      </c>
      <c r="B1162" t="str">
        <f ca="1">TEXT(DATE(YEAR(Invoer!$A$6),1,1)+INT((ROWS(B$2:B1162)-1)/4),"jjjjmmdd")</f>
        <v>19401017</v>
      </c>
      <c r="C1162" s="64" t="str">
        <f>IF(MOD(ROWS(C$2:C1162)-1,4)=3,"24.00",INDEX(Data,3,2+MOD(ROWS(C$2:C1162)-1,4)))</f>
        <v>07.00</v>
      </c>
      <c r="D1162" s="18" t="str">
        <f t="shared" ca="1" si="379"/>
        <v>—</v>
      </c>
      <c r="E1162" s="17">
        <f t="shared" ca="1" si="380"/>
        <v>7</v>
      </c>
      <c r="F1162" s="18" t="str">
        <f t="shared" ca="1" si="381"/>
        <v>—</v>
      </c>
      <c r="G1162" s="17">
        <f t="shared" ca="1" si="382"/>
        <v>7</v>
      </c>
      <c r="H1162" s="18" t="str">
        <f t="shared" ca="1" si="383"/>
        <v>—</v>
      </c>
      <c r="I1162" s="17">
        <f t="shared" ca="1" si="384"/>
        <v>7</v>
      </c>
      <c r="J1162" s="18" t="str">
        <f t="shared" ca="1" si="385"/>
        <v>—</v>
      </c>
      <c r="K1162" s="17">
        <f t="shared" ca="1" si="386"/>
        <v>7</v>
      </c>
      <c r="L1162" s="10" t="str">
        <f t="shared" ca="1" si="387"/>
        <v>—</v>
      </c>
      <c r="M1162" s="17">
        <f t="shared" ca="1" si="388"/>
        <v>7</v>
      </c>
      <c r="N1162" s="18" t="str">
        <f t="shared" ca="1" si="389"/>
        <v>—</v>
      </c>
      <c r="O1162" s="17">
        <f t="shared" ca="1" si="390"/>
        <v>7</v>
      </c>
      <c r="P1162" s="18" t="str">
        <f t="shared" ca="1" si="391"/>
        <v>—</v>
      </c>
      <c r="Q1162" s="17">
        <f t="shared" ca="1" si="392"/>
        <v>7</v>
      </c>
      <c r="R1162" s="10" t="str">
        <f t="shared" ca="1" si="393"/>
        <v>—</v>
      </c>
      <c r="S1162" s="17">
        <f t="shared" ca="1" si="394"/>
        <v>7</v>
      </c>
      <c r="T1162" s="70" t="str">
        <f t="shared" ca="1" si="395"/>
        <v>—</v>
      </c>
      <c r="U1162" s="17">
        <f t="shared" ca="1" si="396"/>
        <v>7</v>
      </c>
      <c r="V1162" s="71" t="str">
        <f t="shared" ca="1" si="397"/>
        <v>—</v>
      </c>
      <c r="W1162" s="17">
        <f t="shared" ca="1" si="398"/>
        <v>7</v>
      </c>
    </row>
    <row r="1163" spans="1:23" x14ac:dyDescent="0.25">
      <c r="A1163" s="4">
        <f t="shared" si="378"/>
        <v>32</v>
      </c>
      <c r="B1163" t="str">
        <f ca="1">TEXT(DATE(YEAR(Invoer!$A$6),1,1)+INT((ROWS(B$2:B1163)-1)/4),"jjjjmmdd")</f>
        <v>19401017</v>
      </c>
      <c r="C1163" s="64" t="str">
        <f>IF(MOD(ROWS(C$2:C1163)-1,4)=3,"24.00",INDEX(Data,3,2+MOD(ROWS(C$2:C1163)-1,4)))</f>
        <v>12.00</v>
      </c>
      <c r="D1163" s="18" t="str">
        <f t="shared" ca="1" si="379"/>
        <v>—</v>
      </c>
      <c r="E1163" s="17">
        <f t="shared" ca="1" si="380"/>
        <v>7</v>
      </c>
      <c r="F1163" s="18" t="str">
        <f t="shared" ca="1" si="381"/>
        <v>—</v>
      </c>
      <c r="G1163" s="17">
        <f t="shared" ca="1" si="382"/>
        <v>7</v>
      </c>
      <c r="H1163" s="18" t="str">
        <f t="shared" ca="1" si="383"/>
        <v>—</v>
      </c>
      <c r="I1163" s="17">
        <f t="shared" ca="1" si="384"/>
        <v>7</v>
      </c>
      <c r="J1163" s="18" t="str">
        <f t="shared" ca="1" si="385"/>
        <v>—</v>
      </c>
      <c r="K1163" s="17">
        <f t="shared" ca="1" si="386"/>
        <v>7</v>
      </c>
      <c r="L1163" s="10" t="str">
        <f t="shared" ca="1" si="387"/>
        <v>—</v>
      </c>
      <c r="M1163" s="17">
        <f t="shared" ca="1" si="388"/>
        <v>7</v>
      </c>
      <c r="N1163" s="18" t="str">
        <f t="shared" ca="1" si="389"/>
        <v>—</v>
      </c>
      <c r="O1163" s="17">
        <f t="shared" ca="1" si="390"/>
        <v>7</v>
      </c>
      <c r="P1163" s="18" t="str">
        <f t="shared" ca="1" si="391"/>
        <v>—</v>
      </c>
      <c r="Q1163" s="17">
        <f t="shared" ca="1" si="392"/>
        <v>7</v>
      </c>
      <c r="R1163" s="10" t="str">
        <f t="shared" ca="1" si="393"/>
        <v>—</v>
      </c>
      <c r="S1163" s="17">
        <f t="shared" ca="1" si="394"/>
        <v>7</v>
      </c>
      <c r="T1163" s="70" t="str">
        <f t="shared" ca="1" si="395"/>
        <v>—</v>
      </c>
      <c r="U1163" s="17">
        <f t="shared" ca="1" si="396"/>
        <v>7</v>
      </c>
      <c r="V1163" s="71" t="str">
        <f t="shared" ca="1" si="397"/>
        <v>—</v>
      </c>
      <c r="W1163" s="17">
        <f t="shared" ca="1" si="398"/>
        <v>7</v>
      </c>
    </row>
    <row r="1164" spans="1:23" x14ac:dyDescent="0.25">
      <c r="A1164" s="4">
        <f t="shared" si="378"/>
        <v>32</v>
      </c>
      <c r="B1164" t="str">
        <f ca="1">TEXT(DATE(YEAR(Invoer!$A$6),1,1)+INT((ROWS(B$2:B1164)-1)/4),"jjjjmmdd")</f>
        <v>19401017</v>
      </c>
      <c r="C1164" s="64" t="str">
        <f>IF(MOD(ROWS(C$2:C1164)-1,4)=3,"24.00",INDEX(Data,3,2+MOD(ROWS(C$2:C1164)-1,4)))</f>
        <v>17.00</v>
      </c>
      <c r="D1164" s="18" t="str">
        <f t="shared" ca="1" si="379"/>
        <v>—</v>
      </c>
      <c r="E1164" s="17">
        <f t="shared" ca="1" si="380"/>
        <v>7</v>
      </c>
      <c r="F1164" s="18" t="str">
        <f t="shared" ca="1" si="381"/>
        <v>—</v>
      </c>
      <c r="G1164" s="17">
        <f t="shared" ca="1" si="382"/>
        <v>7</v>
      </c>
      <c r="H1164" s="18" t="str">
        <f t="shared" ca="1" si="383"/>
        <v>—</v>
      </c>
      <c r="I1164" s="17">
        <f t="shared" ca="1" si="384"/>
        <v>7</v>
      </c>
      <c r="J1164" s="18" t="str">
        <f t="shared" ca="1" si="385"/>
        <v>—</v>
      </c>
      <c r="K1164" s="17">
        <f t="shared" ca="1" si="386"/>
        <v>7</v>
      </c>
      <c r="L1164" s="10" t="str">
        <f t="shared" ca="1" si="387"/>
        <v>—</v>
      </c>
      <c r="M1164" s="17">
        <f t="shared" ca="1" si="388"/>
        <v>7</v>
      </c>
      <c r="N1164" s="18" t="str">
        <f t="shared" ca="1" si="389"/>
        <v>—</v>
      </c>
      <c r="O1164" s="17">
        <f t="shared" ca="1" si="390"/>
        <v>7</v>
      </c>
      <c r="P1164" s="18" t="str">
        <f t="shared" ca="1" si="391"/>
        <v>—</v>
      </c>
      <c r="Q1164" s="17">
        <f t="shared" ca="1" si="392"/>
        <v>7</v>
      </c>
      <c r="R1164" s="10" t="str">
        <f t="shared" ca="1" si="393"/>
        <v>—</v>
      </c>
      <c r="S1164" s="17">
        <f t="shared" ca="1" si="394"/>
        <v>7</v>
      </c>
      <c r="T1164" s="70" t="str">
        <f t="shared" ca="1" si="395"/>
        <v>—</v>
      </c>
      <c r="U1164" s="17">
        <f t="shared" ca="1" si="396"/>
        <v>7</v>
      </c>
      <c r="V1164" s="71" t="str">
        <f t="shared" ca="1" si="397"/>
        <v>—</v>
      </c>
      <c r="W1164" s="17">
        <f t="shared" ca="1" si="398"/>
        <v>7</v>
      </c>
    </row>
    <row r="1165" spans="1:23" x14ac:dyDescent="0.25">
      <c r="A1165" s="4">
        <f t="shared" si="378"/>
        <v>32</v>
      </c>
      <c r="B1165" t="str">
        <f ca="1">TEXT(DATE(YEAR(Invoer!$A$6),1,1)+INT((ROWS(B$2:B1165)-1)/4),"jjjjmmdd")</f>
        <v>19401017</v>
      </c>
      <c r="C1165" s="64" t="str">
        <f>IF(MOD(ROWS(C$2:C1165)-1,4)=3,"24.00",INDEX(Data,3,2+MOD(ROWS(C$2:C1165)-1,4)))</f>
        <v>24.00</v>
      </c>
      <c r="D1165" s="18" t="str">
        <f t="shared" ca="1" si="379"/>
        <v>—</v>
      </c>
      <c r="E1165" s="17">
        <f t="shared" ca="1" si="380"/>
        <v>7</v>
      </c>
      <c r="F1165" s="18" t="str">
        <f t="shared" ca="1" si="381"/>
        <v>—</v>
      </c>
      <c r="G1165" s="17">
        <f t="shared" ca="1" si="382"/>
        <v>7</v>
      </c>
      <c r="H1165" s="18" t="str">
        <f t="shared" ca="1" si="383"/>
        <v>—</v>
      </c>
      <c r="I1165" s="17">
        <f t="shared" ca="1" si="384"/>
        <v>7</v>
      </c>
      <c r="J1165" s="18" t="str">
        <f t="shared" ca="1" si="385"/>
        <v>—</v>
      </c>
      <c r="K1165" s="17">
        <f t="shared" ca="1" si="386"/>
        <v>7</v>
      </c>
      <c r="L1165" s="10" t="str">
        <f t="shared" ca="1" si="387"/>
        <v>—</v>
      </c>
      <c r="M1165" s="17">
        <f t="shared" ca="1" si="388"/>
        <v>7</v>
      </c>
      <c r="N1165" s="18" t="str">
        <f t="shared" ca="1" si="389"/>
        <v>—</v>
      </c>
      <c r="O1165" s="17">
        <f t="shared" ca="1" si="390"/>
        <v>7</v>
      </c>
      <c r="P1165" s="18" t="str">
        <f t="shared" ca="1" si="391"/>
        <v>—</v>
      </c>
      <c r="Q1165" s="17">
        <f t="shared" ca="1" si="392"/>
        <v>7</v>
      </c>
      <c r="R1165" s="10" t="str">
        <f t="shared" ca="1" si="393"/>
        <v>—</v>
      </c>
      <c r="S1165" s="17">
        <f t="shared" ca="1" si="394"/>
        <v>7</v>
      </c>
      <c r="T1165" s="70" t="str">
        <f t="shared" ca="1" si="395"/>
        <v>—</v>
      </c>
      <c r="U1165" s="17">
        <f t="shared" ca="1" si="396"/>
        <v>7</v>
      </c>
      <c r="V1165" s="71" t="str">
        <f t="shared" ca="1" si="397"/>
        <v>—</v>
      </c>
      <c r="W1165" s="17">
        <f t="shared" ca="1" si="398"/>
        <v>7</v>
      </c>
    </row>
    <row r="1166" spans="1:23" x14ac:dyDescent="0.25">
      <c r="A1166" s="4">
        <f t="shared" si="378"/>
        <v>32</v>
      </c>
      <c r="B1166" t="str">
        <f ca="1">TEXT(DATE(YEAR(Invoer!$A$6),1,1)+INT((ROWS(B$2:B1166)-1)/4),"jjjjmmdd")</f>
        <v>19401018</v>
      </c>
      <c r="C1166" s="64" t="str">
        <f>IF(MOD(ROWS(C$2:C1166)-1,4)=3,"24.00",INDEX(Data,3,2+MOD(ROWS(C$2:C1166)-1,4)))</f>
        <v>07.00</v>
      </c>
      <c r="D1166" s="18" t="str">
        <f t="shared" ca="1" si="379"/>
        <v>—</v>
      </c>
      <c r="E1166" s="17">
        <f t="shared" ca="1" si="380"/>
        <v>7</v>
      </c>
      <c r="F1166" s="18" t="str">
        <f t="shared" ca="1" si="381"/>
        <v>—</v>
      </c>
      <c r="G1166" s="17">
        <f t="shared" ca="1" si="382"/>
        <v>7</v>
      </c>
      <c r="H1166" s="18" t="str">
        <f t="shared" ca="1" si="383"/>
        <v>—</v>
      </c>
      <c r="I1166" s="17">
        <f t="shared" ca="1" si="384"/>
        <v>7</v>
      </c>
      <c r="J1166" s="18" t="str">
        <f t="shared" ca="1" si="385"/>
        <v>—</v>
      </c>
      <c r="K1166" s="17">
        <f t="shared" ca="1" si="386"/>
        <v>7</v>
      </c>
      <c r="L1166" s="10" t="str">
        <f t="shared" ca="1" si="387"/>
        <v>—</v>
      </c>
      <c r="M1166" s="17">
        <f t="shared" ca="1" si="388"/>
        <v>7</v>
      </c>
      <c r="N1166" s="18" t="str">
        <f t="shared" ca="1" si="389"/>
        <v>—</v>
      </c>
      <c r="O1166" s="17">
        <f t="shared" ca="1" si="390"/>
        <v>7</v>
      </c>
      <c r="P1166" s="18" t="str">
        <f t="shared" ca="1" si="391"/>
        <v>—</v>
      </c>
      <c r="Q1166" s="17">
        <f t="shared" ca="1" si="392"/>
        <v>7</v>
      </c>
      <c r="R1166" s="10" t="str">
        <f t="shared" ca="1" si="393"/>
        <v>—</v>
      </c>
      <c r="S1166" s="17">
        <f t="shared" ca="1" si="394"/>
        <v>7</v>
      </c>
      <c r="T1166" s="70" t="str">
        <f t="shared" ca="1" si="395"/>
        <v>—</v>
      </c>
      <c r="U1166" s="17">
        <f t="shared" ca="1" si="396"/>
        <v>7</v>
      </c>
      <c r="V1166" s="71" t="str">
        <f t="shared" ca="1" si="397"/>
        <v>—</v>
      </c>
      <c r="W1166" s="17">
        <f t="shared" ca="1" si="398"/>
        <v>7</v>
      </c>
    </row>
    <row r="1167" spans="1:23" x14ac:dyDescent="0.25">
      <c r="A1167" s="4">
        <f t="shared" si="378"/>
        <v>32</v>
      </c>
      <c r="B1167" t="str">
        <f ca="1">TEXT(DATE(YEAR(Invoer!$A$6),1,1)+INT((ROWS(B$2:B1167)-1)/4),"jjjjmmdd")</f>
        <v>19401018</v>
      </c>
      <c r="C1167" s="64" t="str">
        <f>IF(MOD(ROWS(C$2:C1167)-1,4)=3,"24.00",INDEX(Data,3,2+MOD(ROWS(C$2:C1167)-1,4)))</f>
        <v>12.00</v>
      </c>
      <c r="D1167" s="18" t="str">
        <f t="shared" ca="1" si="379"/>
        <v>—</v>
      </c>
      <c r="E1167" s="17">
        <f t="shared" ca="1" si="380"/>
        <v>7</v>
      </c>
      <c r="F1167" s="18" t="str">
        <f t="shared" ca="1" si="381"/>
        <v>—</v>
      </c>
      <c r="G1167" s="17">
        <f t="shared" ca="1" si="382"/>
        <v>7</v>
      </c>
      <c r="H1167" s="18" t="str">
        <f t="shared" ca="1" si="383"/>
        <v>—</v>
      </c>
      <c r="I1167" s="17">
        <f t="shared" ca="1" si="384"/>
        <v>7</v>
      </c>
      <c r="J1167" s="18" t="str">
        <f t="shared" ca="1" si="385"/>
        <v>—</v>
      </c>
      <c r="K1167" s="17">
        <f t="shared" ca="1" si="386"/>
        <v>7</v>
      </c>
      <c r="L1167" s="10" t="str">
        <f t="shared" ca="1" si="387"/>
        <v>—</v>
      </c>
      <c r="M1167" s="17">
        <f t="shared" ca="1" si="388"/>
        <v>7</v>
      </c>
      <c r="N1167" s="18" t="str">
        <f t="shared" ca="1" si="389"/>
        <v>—</v>
      </c>
      <c r="O1167" s="17">
        <f t="shared" ca="1" si="390"/>
        <v>7</v>
      </c>
      <c r="P1167" s="18" t="str">
        <f t="shared" ca="1" si="391"/>
        <v>—</v>
      </c>
      <c r="Q1167" s="17">
        <f t="shared" ca="1" si="392"/>
        <v>7</v>
      </c>
      <c r="R1167" s="10" t="str">
        <f t="shared" ca="1" si="393"/>
        <v>—</v>
      </c>
      <c r="S1167" s="17">
        <f t="shared" ca="1" si="394"/>
        <v>7</v>
      </c>
      <c r="T1167" s="70" t="str">
        <f t="shared" ca="1" si="395"/>
        <v>—</v>
      </c>
      <c r="U1167" s="17">
        <f t="shared" ca="1" si="396"/>
        <v>7</v>
      </c>
      <c r="V1167" s="71" t="str">
        <f t="shared" ca="1" si="397"/>
        <v>—</v>
      </c>
      <c r="W1167" s="17">
        <f t="shared" ca="1" si="398"/>
        <v>7</v>
      </c>
    </row>
    <row r="1168" spans="1:23" x14ac:dyDescent="0.25">
      <c r="A1168" s="4">
        <f t="shared" si="378"/>
        <v>32</v>
      </c>
      <c r="B1168" t="str">
        <f ca="1">TEXT(DATE(YEAR(Invoer!$A$6),1,1)+INT((ROWS(B$2:B1168)-1)/4),"jjjjmmdd")</f>
        <v>19401018</v>
      </c>
      <c r="C1168" s="64" t="str">
        <f>IF(MOD(ROWS(C$2:C1168)-1,4)=3,"24.00",INDEX(Data,3,2+MOD(ROWS(C$2:C1168)-1,4)))</f>
        <v>17.00</v>
      </c>
      <c r="D1168" s="18" t="str">
        <f t="shared" ca="1" si="379"/>
        <v>—</v>
      </c>
      <c r="E1168" s="17">
        <f t="shared" ca="1" si="380"/>
        <v>7</v>
      </c>
      <c r="F1168" s="18" t="str">
        <f t="shared" ca="1" si="381"/>
        <v>—</v>
      </c>
      <c r="G1168" s="17">
        <f t="shared" ca="1" si="382"/>
        <v>7</v>
      </c>
      <c r="H1168" s="18" t="str">
        <f t="shared" ca="1" si="383"/>
        <v>—</v>
      </c>
      <c r="I1168" s="17">
        <f t="shared" ca="1" si="384"/>
        <v>7</v>
      </c>
      <c r="J1168" s="18" t="str">
        <f t="shared" ca="1" si="385"/>
        <v>—</v>
      </c>
      <c r="K1168" s="17">
        <f t="shared" ca="1" si="386"/>
        <v>7</v>
      </c>
      <c r="L1168" s="10" t="str">
        <f t="shared" ca="1" si="387"/>
        <v>—</v>
      </c>
      <c r="M1168" s="17">
        <f t="shared" ca="1" si="388"/>
        <v>7</v>
      </c>
      <c r="N1168" s="18" t="str">
        <f t="shared" ca="1" si="389"/>
        <v>—</v>
      </c>
      <c r="O1168" s="17">
        <f t="shared" ca="1" si="390"/>
        <v>7</v>
      </c>
      <c r="P1168" s="18" t="str">
        <f t="shared" ca="1" si="391"/>
        <v>—</v>
      </c>
      <c r="Q1168" s="17">
        <f t="shared" ca="1" si="392"/>
        <v>7</v>
      </c>
      <c r="R1168" s="10" t="str">
        <f t="shared" ca="1" si="393"/>
        <v>—</v>
      </c>
      <c r="S1168" s="17">
        <f t="shared" ca="1" si="394"/>
        <v>7</v>
      </c>
      <c r="T1168" s="70" t="str">
        <f t="shared" ca="1" si="395"/>
        <v>—</v>
      </c>
      <c r="U1168" s="17">
        <f t="shared" ca="1" si="396"/>
        <v>7</v>
      </c>
      <c r="V1168" s="71" t="str">
        <f t="shared" ca="1" si="397"/>
        <v>—</v>
      </c>
      <c r="W1168" s="17">
        <f t="shared" ca="1" si="398"/>
        <v>7</v>
      </c>
    </row>
    <row r="1169" spans="1:23" x14ac:dyDescent="0.25">
      <c r="A1169" s="4">
        <f t="shared" si="378"/>
        <v>32</v>
      </c>
      <c r="B1169" t="str">
        <f ca="1">TEXT(DATE(YEAR(Invoer!$A$6),1,1)+INT((ROWS(B$2:B1169)-1)/4),"jjjjmmdd")</f>
        <v>19401018</v>
      </c>
      <c r="C1169" s="64" t="str">
        <f>IF(MOD(ROWS(C$2:C1169)-1,4)=3,"24.00",INDEX(Data,3,2+MOD(ROWS(C$2:C1169)-1,4)))</f>
        <v>24.00</v>
      </c>
      <c r="D1169" s="18" t="str">
        <f t="shared" ca="1" si="379"/>
        <v>—</v>
      </c>
      <c r="E1169" s="17">
        <f t="shared" ca="1" si="380"/>
        <v>7</v>
      </c>
      <c r="F1169" s="18" t="str">
        <f t="shared" ca="1" si="381"/>
        <v>—</v>
      </c>
      <c r="G1169" s="17">
        <f t="shared" ca="1" si="382"/>
        <v>7</v>
      </c>
      <c r="H1169" s="18" t="str">
        <f t="shared" ca="1" si="383"/>
        <v>—</v>
      </c>
      <c r="I1169" s="17">
        <f t="shared" ca="1" si="384"/>
        <v>7</v>
      </c>
      <c r="J1169" s="18" t="str">
        <f t="shared" ca="1" si="385"/>
        <v>—</v>
      </c>
      <c r="K1169" s="17">
        <f t="shared" ca="1" si="386"/>
        <v>7</v>
      </c>
      <c r="L1169" s="10" t="str">
        <f t="shared" ca="1" si="387"/>
        <v>—</v>
      </c>
      <c r="M1169" s="17">
        <f t="shared" ca="1" si="388"/>
        <v>7</v>
      </c>
      <c r="N1169" s="18" t="str">
        <f t="shared" ca="1" si="389"/>
        <v>—</v>
      </c>
      <c r="O1169" s="17">
        <f t="shared" ca="1" si="390"/>
        <v>7</v>
      </c>
      <c r="P1169" s="18" t="str">
        <f t="shared" ca="1" si="391"/>
        <v>—</v>
      </c>
      <c r="Q1169" s="17">
        <f t="shared" ca="1" si="392"/>
        <v>7</v>
      </c>
      <c r="R1169" s="10" t="str">
        <f t="shared" ca="1" si="393"/>
        <v>—</v>
      </c>
      <c r="S1169" s="17">
        <f t="shared" ca="1" si="394"/>
        <v>7</v>
      </c>
      <c r="T1169" s="70" t="str">
        <f t="shared" ca="1" si="395"/>
        <v>—</v>
      </c>
      <c r="U1169" s="17">
        <f t="shared" ca="1" si="396"/>
        <v>7</v>
      </c>
      <c r="V1169" s="71" t="str">
        <f t="shared" ca="1" si="397"/>
        <v>—</v>
      </c>
      <c r="W1169" s="17">
        <f t="shared" ca="1" si="398"/>
        <v>7</v>
      </c>
    </row>
    <row r="1170" spans="1:23" x14ac:dyDescent="0.25">
      <c r="A1170" s="4">
        <f t="shared" si="378"/>
        <v>32</v>
      </c>
      <c r="B1170" t="str">
        <f ca="1">TEXT(DATE(YEAR(Invoer!$A$6),1,1)+INT((ROWS(B$2:B1170)-1)/4),"jjjjmmdd")</f>
        <v>19401019</v>
      </c>
      <c r="C1170" s="64" t="str">
        <f>IF(MOD(ROWS(C$2:C1170)-1,4)=3,"24.00",INDEX(Data,3,2+MOD(ROWS(C$2:C1170)-1,4)))</f>
        <v>07.00</v>
      </c>
      <c r="D1170" s="18" t="str">
        <f t="shared" ca="1" si="379"/>
        <v>—</v>
      </c>
      <c r="E1170" s="17">
        <f t="shared" ca="1" si="380"/>
        <v>7</v>
      </c>
      <c r="F1170" s="18" t="str">
        <f t="shared" ca="1" si="381"/>
        <v>—</v>
      </c>
      <c r="G1170" s="17">
        <f t="shared" ca="1" si="382"/>
        <v>7</v>
      </c>
      <c r="H1170" s="18" t="str">
        <f t="shared" ca="1" si="383"/>
        <v>—</v>
      </c>
      <c r="I1170" s="17">
        <f t="shared" ca="1" si="384"/>
        <v>7</v>
      </c>
      <c r="J1170" s="18" t="str">
        <f t="shared" ca="1" si="385"/>
        <v>—</v>
      </c>
      <c r="K1170" s="17">
        <f t="shared" ca="1" si="386"/>
        <v>7</v>
      </c>
      <c r="L1170" s="10" t="str">
        <f t="shared" ca="1" si="387"/>
        <v>—</v>
      </c>
      <c r="M1170" s="17">
        <f t="shared" ca="1" si="388"/>
        <v>7</v>
      </c>
      <c r="N1170" s="18" t="str">
        <f t="shared" ca="1" si="389"/>
        <v>—</v>
      </c>
      <c r="O1170" s="17">
        <f t="shared" ca="1" si="390"/>
        <v>7</v>
      </c>
      <c r="P1170" s="18" t="str">
        <f t="shared" ca="1" si="391"/>
        <v>—</v>
      </c>
      <c r="Q1170" s="17">
        <f t="shared" ca="1" si="392"/>
        <v>7</v>
      </c>
      <c r="R1170" s="10" t="str">
        <f t="shared" ca="1" si="393"/>
        <v>—</v>
      </c>
      <c r="S1170" s="17">
        <f t="shared" ca="1" si="394"/>
        <v>7</v>
      </c>
      <c r="T1170" s="70" t="str">
        <f t="shared" ca="1" si="395"/>
        <v>—</v>
      </c>
      <c r="U1170" s="17">
        <f t="shared" ca="1" si="396"/>
        <v>7</v>
      </c>
      <c r="V1170" s="71" t="str">
        <f t="shared" ca="1" si="397"/>
        <v>—</v>
      </c>
      <c r="W1170" s="17">
        <f t="shared" ca="1" si="398"/>
        <v>7</v>
      </c>
    </row>
    <row r="1171" spans="1:23" x14ac:dyDescent="0.25">
      <c r="A1171" s="4">
        <f t="shared" si="378"/>
        <v>32</v>
      </c>
      <c r="B1171" t="str">
        <f ca="1">TEXT(DATE(YEAR(Invoer!$A$6),1,1)+INT((ROWS(B$2:B1171)-1)/4),"jjjjmmdd")</f>
        <v>19401019</v>
      </c>
      <c r="C1171" s="64" t="str">
        <f>IF(MOD(ROWS(C$2:C1171)-1,4)=3,"24.00",INDEX(Data,3,2+MOD(ROWS(C$2:C1171)-1,4)))</f>
        <v>12.00</v>
      </c>
      <c r="D1171" s="18" t="str">
        <f t="shared" ca="1" si="379"/>
        <v>—</v>
      </c>
      <c r="E1171" s="17">
        <f t="shared" ca="1" si="380"/>
        <v>7</v>
      </c>
      <c r="F1171" s="18" t="str">
        <f t="shared" ca="1" si="381"/>
        <v>—</v>
      </c>
      <c r="G1171" s="17">
        <f t="shared" ca="1" si="382"/>
        <v>7</v>
      </c>
      <c r="H1171" s="18" t="str">
        <f t="shared" ca="1" si="383"/>
        <v>—</v>
      </c>
      <c r="I1171" s="17">
        <f t="shared" ca="1" si="384"/>
        <v>7</v>
      </c>
      <c r="J1171" s="18" t="str">
        <f t="shared" ca="1" si="385"/>
        <v>—</v>
      </c>
      <c r="K1171" s="17">
        <f t="shared" ca="1" si="386"/>
        <v>7</v>
      </c>
      <c r="L1171" s="10" t="str">
        <f t="shared" ca="1" si="387"/>
        <v>—</v>
      </c>
      <c r="M1171" s="17">
        <f t="shared" ca="1" si="388"/>
        <v>7</v>
      </c>
      <c r="N1171" s="18" t="str">
        <f t="shared" ca="1" si="389"/>
        <v>—</v>
      </c>
      <c r="O1171" s="17">
        <f t="shared" ca="1" si="390"/>
        <v>7</v>
      </c>
      <c r="P1171" s="18" t="str">
        <f t="shared" ca="1" si="391"/>
        <v>—</v>
      </c>
      <c r="Q1171" s="17">
        <f t="shared" ca="1" si="392"/>
        <v>7</v>
      </c>
      <c r="R1171" s="10" t="str">
        <f t="shared" ca="1" si="393"/>
        <v>—</v>
      </c>
      <c r="S1171" s="17">
        <f t="shared" ca="1" si="394"/>
        <v>7</v>
      </c>
      <c r="T1171" s="70" t="str">
        <f t="shared" ca="1" si="395"/>
        <v>—</v>
      </c>
      <c r="U1171" s="17">
        <f t="shared" ca="1" si="396"/>
        <v>7</v>
      </c>
      <c r="V1171" s="71" t="str">
        <f t="shared" ca="1" si="397"/>
        <v>—</v>
      </c>
      <c r="W1171" s="17">
        <f t="shared" ca="1" si="398"/>
        <v>7</v>
      </c>
    </row>
    <row r="1172" spans="1:23" x14ac:dyDescent="0.25">
      <c r="A1172" s="4">
        <f t="shared" si="378"/>
        <v>32</v>
      </c>
      <c r="B1172" t="str">
        <f ca="1">TEXT(DATE(YEAR(Invoer!$A$6),1,1)+INT((ROWS(B$2:B1172)-1)/4),"jjjjmmdd")</f>
        <v>19401019</v>
      </c>
      <c r="C1172" s="64" t="str">
        <f>IF(MOD(ROWS(C$2:C1172)-1,4)=3,"24.00",INDEX(Data,3,2+MOD(ROWS(C$2:C1172)-1,4)))</f>
        <v>17.00</v>
      </c>
      <c r="D1172" s="18" t="str">
        <f t="shared" ca="1" si="379"/>
        <v>—</v>
      </c>
      <c r="E1172" s="17">
        <f t="shared" ca="1" si="380"/>
        <v>7</v>
      </c>
      <c r="F1172" s="18" t="str">
        <f t="shared" ca="1" si="381"/>
        <v>—</v>
      </c>
      <c r="G1172" s="17">
        <f t="shared" ca="1" si="382"/>
        <v>7</v>
      </c>
      <c r="H1172" s="18" t="str">
        <f t="shared" ca="1" si="383"/>
        <v>—</v>
      </c>
      <c r="I1172" s="17">
        <f t="shared" ca="1" si="384"/>
        <v>7</v>
      </c>
      <c r="J1172" s="18" t="str">
        <f t="shared" ca="1" si="385"/>
        <v>—</v>
      </c>
      <c r="K1172" s="17">
        <f t="shared" ca="1" si="386"/>
        <v>7</v>
      </c>
      <c r="L1172" s="10" t="str">
        <f t="shared" ca="1" si="387"/>
        <v>—</v>
      </c>
      <c r="M1172" s="17">
        <f t="shared" ca="1" si="388"/>
        <v>7</v>
      </c>
      <c r="N1172" s="18" t="str">
        <f t="shared" ca="1" si="389"/>
        <v>—</v>
      </c>
      <c r="O1172" s="17">
        <f t="shared" ca="1" si="390"/>
        <v>7</v>
      </c>
      <c r="P1172" s="18" t="str">
        <f t="shared" ca="1" si="391"/>
        <v>—</v>
      </c>
      <c r="Q1172" s="17">
        <f t="shared" ca="1" si="392"/>
        <v>7</v>
      </c>
      <c r="R1172" s="10" t="str">
        <f t="shared" ca="1" si="393"/>
        <v>—</v>
      </c>
      <c r="S1172" s="17">
        <f t="shared" ca="1" si="394"/>
        <v>7</v>
      </c>
      <c r="T1172" s="70" t="str">
        <f t="shared" ca="1" si="395"/>
        <v>—</v>
      </c>
      <c r="U1172" s="17">
        <f t="shared" ca="1" si="396"/>
        <v>7</v>
      </c>
      <c r="V1172" s="71" t="str">
        <f t="shared" ca="1" si="397"/>
        <v>—</v>
      </c>
      <c r="W1172" s="17">
        <f t="shared" ca="1" si="398"/>
        <v>7</v>
      </c>
    </row>
    <row r="1173" spans="1:23" x14ac:dyDescent="0.25">
      <c r="A1173" s="4">
        <f t="shared" si="378"/>
        <v>32</v>
      </c>
      <c r="B1173" t="str">
        <f ca="1">TEXT(DATE(YEAR(Invoer!$A$6),1,1)+INT((ROWS(B$2:B1173)-1)/4),"jjjjmmdd")</f>
        <v>19401019</v>
      </c>
      <c r="C1173" s="64" t="str">
        <f>IF(MOD(ROWS(C$2:C1173)-1,4)=3,"24.00",INDEX(Data,3,2+MOD(ROWS(C$2:C1173)-1,4)))</f>
        <v>24.00</v>
      </c>
      <c r="D1173" s="18" t="str">
        <f t="shared" ca="1" si="379"/>
        <v>—</v>
      </c>
      <c r="E1173" s="17">
        <f t="shared" ca="1" si="380"/>
        <v>7</v>
      </c>
      <c r="F1173" s="18" t="str">
        <f t="shared" ca="1" si="381"/>
        <v>—</v>
      </c>
      <c r="G1173" s="17">
        <f t="shared" ca="1" si="382"/>
        <v>7</v>
      </c>
      <c r="H1173" s="18" t="str">
        <f t="shared" ca="1" si="383"/>
        <v>—</v>
      </c>
      <c r="I1173" s="17">
        <f t="shared" ca="1" si="384"/>
        <v>7</v>
      </c>
      <c r="J1173" s="18" t="str">
        <f t="shared" ca="1" si="385"/>
        <v>—</v>
      </c>
      <c r="K1173" s="17">
        <f t="shared" ca="1" si="386"/>
        <v>7</v>
      </c>
      <c r="L1173" s="10" t="str">
        <f t="shared" ca="1" si="387"/>
        <v>—</v>
      </c>
      <c r="M1173" s="17">
        <f t="shared" ca="1" si="388"/>
        <v>7</v>
      </c>
      <c r="N1173" s="18" t="str">
        <f t="shared" ca="1" si="389"/>
        <v>—</v>
      </c>
      <c r="O1173" s="17">
        <f t="shared" ca="1" si="390"/>
        <v>7</v>
      </c>
      <c r="P1173" s="18" t="str">
        <f t="shared" ca="1" si="391"/>
        <v>—</v>
      </c>
      <c r="Q1173" s="17">
        <f t="shared" ca="1" si="392"/>
        <v>7</v>
      </c>
      <c r="R1173" s="10" t="str">
        <f t="shared" ca="1" si="393"/>
        <v>—</v>
      </c>
      <c r="S1173" s="17">
        <f t="shared" ca="1" si="394"/>
        <v>7</v>
      </c>
      <c r="T1173" s="70" t="str">
        <f t="shared" ca="1" si="395"/>
        <v>—</v>
      </c>
      <c r="U1173" s="17">
        <f t="shared" ca="1" si="396"/>
        <v>7</v>
      </c>
      <c r="V1173" s="71" t="str">
        <f t="shared" ca="1" si="397"/>
        <v>—</v>
      </c>
      <c r="W1173" s="17">
        <f t="shared" ca="1" si="398"/>
        <v>7</v>
      </c>
    </row>
    <row r="1174" spans="1:23" x14ac:dyDescent="0.25">
      <c r="A1174" s="4">
        <f t="shared" si="378"/>
        <v>32</v>
      </c>
      <c r="B1174" t="str">
        <f ca="1">TEXT(DATE(YEAR(Invoer!$A$6),1,1)+INT((ROWS(B$2:B1174)-1)/4),"jjjjmmdd")</f>
        <v>19401020</v>
      </c>
      <c r="C1174" s="64" t="str">
        <f>IF(MOD(ROWS(C$2:C1174)-1,4)=3,"24.00",INDEX(Data,3,2+MOD(ROWS(C$2:C1174)-1,4)))</f>
        <v>07.00</v>
      </c>
      <c r="D1174" s="18" t="str">
        <f t="shared" ca="1" si="379"/>
        <v>—</v>
      </c>
      <c r="E1174" s="17">
        <f t="shared" ca="1" si="380"/>
        <v>7</v>
      </c>
      <c r="F1174" s="18" t="str">
        <f t="shared" ca="1" si="381"/>
        <v>—</v>
      </c>
      <c r="G1174" s="17">
        <f t="shared" ca="1" si="382"/>
        <v>7</v>
      </c>
      <c r="H1174" s="18" t="str">
        <f t="shared" ca="1" si="383"/>
        <v>—</v>
      </c>
      <c r="I1174" s="17">
        <f t="shared" ca="1" si="384"/>
        <v>7</v>
      </c>
      <c r="J1174" s="18" t="str">
        <f t="shared" ca="1" si="385"/>
        <v>—</v>
      </c>
      <c r="K1174" s="17">
        <f t="shared" ca="1" si="386"/>
        <v>7</v>
      </c>
      <c r="L1174" s="10" t="str">
        <f t="shared" ca="1" si="387"/>
        <v>—</v>
      </c>
      <c r="M1174" s="17">
        <f t="shared" ca="1" si="388"/>
        <v>7</v>
      </c>
      <c r="N1174" s="18" t="str">
        <f t="shared" ca="1" si="389"/>
        <v>—</v>
      </c>
      <c r="O1174" s="17">
        <f t="shared" ca="1" si="390"/>
        <v>7</v>
      </c>
      <c r="P1174" s="18" t="str">
        <f t="shared" ca="1" si="391"/>
        <v>—</v>
      </c>
      <c r="Q1174" s="17">
        <f t="shared" ca="1" si="392"/>
        <v>7</v>
      </c>
      <c r="R1174" s="10" t="str">
        <f t="shared" ca="1" si="393"/>
        <v>—</v>
      </c>
      <c r="S1174" s="17">
        <f t="shared" ca="1" si="394"/>
        <v>7</v>
      </c>
      <c r="T1174" s="70" t="str">
        <f t="shared" ca="1" si="395"/>
        <v>—</v>
      </c>
      <c r="U1174" s="17">
        <f t="shared" ca="1" si="396"/>
        <v>7</v>
      </c>
      <c r="V1174" s="71" t="str">
        <f t="shared" ca="1" si="397"/>
        <v>—</v>
      </c>
      <c r="W1174" s="17">
        <f t="shared" ca="1" si="398"/>
        <v>7</v>
      </c>
    </row>
    <row r="1175" spans="1:23" x14ac:dyDescent="0.25">
      <c r="A1175" s="4">
        <f t="shared" si="378"/>
        <v>32</v>
      </c>
      <c r="B1175" t="str">
        <f ca="1">TEXT(DATE(YEAR(Invoer!$A$6),1,1)+INT((ROWS(B$2:B1175)-1)/4),"jjjjmmdd")</f>
        <v>19401020</v>
      </c>
      <c r="C1175" s="64" t="str">
        <f>IF(MOD(ROWS(C$2:C1175)-1,4)=3,"24.00",INDEX(Data,3,2+MOD(ROWS(C$2:C1175)-1,4)))</f>
        <v>12.00</v>
      </c>
      <c r="D1175" s="18" t="str">
        <f t="shared" ca="1" si="379"/>
        <v>—</v>
      </c>
      <c r="E1175" s="17">
        <f t="shared" ca="1" si="380"/>
        <v>7</v>
      </c>
      <c r="F1175" s="18" t="str">
        <f t="shared" ca="1" si="381"/>
        <v>—</v>
      </c>
      <c r="G1175" s="17">
        <f t="shared" ca="1" si="382"/>
        <v>7</v>
      </c>
      <c r="H1175" s="18" t="str">
        <f t="shared" ca="1" si="383"/>
        <v>—</v>
      </c>
      <c r="I1175" s="17">
        <f t="shared" ca="1" si="384"/>
        <v>7</v>
      </c>
      <c r="J1175" s="18" t="str">
        <f t="shared" ca="1" si="385"/>
        <v>—</v>
      </c>
      <c r="K1175" s="17">
        <f t="shared" ca="1" si="386"/>
        <v>7</v>
      </c>
      <c r="L1175" s="10" t="str">
        <f t="shared" ca="1" si="387"/>
        <v>—</v>
      </c>
      <c r="M1175" s="17">
        <f t="shared" ca="1" si="388"/>
        <v>7</v>
      </c>
      <c r="N1175" s="18" t="str">
        <f t="shared" ca="1" si="389"/>
        <v>—</v>
      </c>
      <c r="O1175" s="17">
        <f t="shared" ca="1" si="390"/>
        <v>7</v>
      </c>
      <c r="P1175" s="18" t="str">
        <f t="shared" ca="1" si="391"/>
        <v>—</v>
      </c>
      <c r="Q1175" s="17">
        <f t="shared" ca="1" si="392"/>
        <v>7</v>
      </c>
      <c r="R1175" s="10" t="str">
        <f t="shared" ca="1" si="393"/>
        <v>—</v>
      </c>
      <c r="S1175" s="17">
        <f t="shared" ca="1" si="394"/>
        <v>7</v>
      </c>
      <c r="T1175" s="70" t="str">
        <f t="shared" ca="1" si="395"/>
        <v>—</v>
      </c>
      <c r="U1175" s="17">
        <f t="shared" ca="1" si="396"/>
        <v>7</v>
      </c>
      <c r="V1175" s="71" t="str">
        <f t="shared" ca="1" si="397"/>
        <v>—</v>
      </c>
      <c r="W1175" s="17">
        <f t="shared" ca="1" si="398"/>
        <v>7</v>
      </c>
    </row>
    <row r="1176" spans="1:23" x14ac:dyDescent="0.25">
      <c r="A1176" s="4">
        <f t="shared" si="378"/>
        <v>32</v>
      </c>
      <c r="B1176" t="str">
        <f ca="1">TEXT(DATE(YEAR(Invoer!$A$6),1,1)+INT((ROWS(B$2:B1176)-1)/4),"jjjjmmdd")</f>
        <v>19401020</v>
      </c>
      <c r="C1176" s="64" t="str">
        <f>IF(MOD(ROWS(C$2:C1176)-1,4)=3,"24.00",INDEX(Data,3,2+MOD(ROWS(C$2:C1176)-1,4)))</f>
        <v>17.00</v>
      </c>
      <c r="D1176" s="18" t="str">
        <f t="shared" ca="1" si="379"/>
        <v>—</v>
      </c>
      <c r="E1176" s="17">
        <f t="shared" ca="1" si="380"/>
        <v>7</v>
      </c>
      <c r="F1176" s="18" t="str">
        <f t="shared" ca="1" si="381"/>
        <v>—</v>
      </c>
      <c r="G1176" s="17">
        <f t="shared" ca="1" si="382"/>
        <v>7</v>
      </c>
      <c r="H1176" s="18" t="str">
        <f t="shared" ca="1" si="383"/>
        <v>—</v>
      </c>
      <c r="I1176" s="17">
        <f t="shared" ca="1" si="384"/>
        <v>7</v>
      </c>
      <c r="J1176" s="18" t="str">
        <f t="shared" ca="1" si="385"/>
        <v>—</v>
      </c>
      <c r="K1176" s="17">
        <f t="shared" ca="1" si="386"/>
        <v>7</v>
      </c>
      <c r="L1176" s="10" t="str">
        <f t="shared" ca="1" si="387"/>
        <v>—</v>
      </c>
      <c r="M1176" s="17">
        <f t="shared" ca="1" si="388"/>
        <v>7</v>
      </c>
      <c r="N1176" s="18" t="str">
        <f t="shared" ca="1" si="389"/>
        <v>—</v>
      </c>
      <c r="O1176" s="17">
        <f t="shared" ca="1" si="390"/>
        <v>7</v>
      </c>
      <c r="P1176" s="18" t="str">
        <f t="shared" ca="1" si="391"/>
        <v>—</v>
      </c>
      <c r="Q1176" s="17">
        <f t="shared" ca="1" si="392"/>
        <v>7</v>
      </c>
      <c r="R1176" s="10" t="str">
        <f t="shared" ca="1" si="393"/>
        <v>—</v>
      </c>
      <c r="S1176" s="17">
        <f t="shared" ca="1" si="394"/>
        <v>7</v>
      </c>
      <c r="T1176" s="70" t="str">
        <f t="shared" ca="1" si="395"/>
        <v>—</v>
      </c>
      <c r="U1176" s="17">
        <f t="shared" ca="1" si="396"/>
        <v>7</v>
      </c>
      <c r="V1176" s="71" t="str">
        <f t="shared" ca="1" si="397"/>
        <v>—</v>
      </c>
      <c r="W1176" s="17">
        <f t="shared" ca="1" si="398"/>
        <v>7</v>
      </c>
    </row>
    <row r="1177" spans="1:23" x14ac:dyDescent="0.25">
      <c r="A1177" s="4">
        <f t="shared" si="378"/>
        <v>32</v>
      </c>
      <c r="B1177" t="str">
        <f ca="1">TEXT(DATE(YEAR(Invoer!$A$6),1,1)+INT((ROWS(B$2:B1177)-1)/4),"jjjjmmdd")</f>
        <v>19401020</v>
      </c>
      <c r="C1177" s="64" t="str">
        <f>IF(MOD(ROWS(C$2:C1177)-1,4)=3,"24.00",INDEX(Data,3,2+MOD(ROWS(C$2:C1177)-1,4)))</f>
        <v>24.00</v>
      </c>
      <c r="D1177" s="18" t="str">
        <f t="shared" ca="1" si="379"/>
        <v>—</v>
      </c>
      <c r="E1177" s="17">
        <f t="shared" ca="1" si="380"/>
        <v>7</v>
      </c>
      <c r="F1177" s="18" t="str">
        <f t="shared" ca="1" si="381"/>
        <v>—</v>
      </c>
      <c r="G1177" s="17">
        <f t="shared" ca="1" si="382"/>
        <v>7</v>
      </c>
      <c r="H1177" s="18" t="str">
        <f t="shared" ca="1" si="383"/>
        <v>—</v>
      </c>
      <c r="I1177" s="17">
        <f t="shared" ca="1" si="384"/>
        <v>7</v>
      </c>
      <c r="J1177" s="18" t="str">
        <f t="shared" ca="1" si="385"/>
        <v>—</v>
      </c>
      <c r="K1177" s="17">
        <f t="shared" ca="1" si="386"/>
        <v>7</v>
      </c>
      <c r="L1177" s="10" t="str">
        <f t="shared" ca="1" si="387"/>
        <v>—</v>
      </c>
      <c r="M1177" s="17">
        <f t="shared" ca="1" si="388"/>
        <v>7</v>
      </c>
      <c r="N1177" s="18" t="str">
        <f t="shared" ca="1" si="389"/>
        <v>—</v>
      </c>
      <c r="O1177" s="17">
        <f t="shared" ca="1" si="390"/>
        <v>7</v>
      </c>
      <c r="P1177" s="18" t="str">
        <f t="shared" ca="1" si="391"/>
        <v>—</v>
      </c>
      <c r="Q1177" s="17">
        <f t="shared" ca="1" si="392"/>
        <v>7</v>
      </c>
      <c r="R1177" s="10" t="str">
        <f t="shared" ca="1" si="393"/>
        <v>—</v>
      </c>
      <c r="S1177" s="17">
        <f t="shared" ca="1" si="394"/>
        <v>7</v>
      </c>
      <c r="T1177" s="70" t="str">
        <f t="shared" ca="1" si="395"/>
        <v>—</v>
      </c>
      <c r="U1177" s="17">
        <f t="shared" ca="1" si="396"/>
        <v>7</v>
      </c>
      <c r="V1177" s="71" t="str">
        <f t="shared" ca="1" si="397"/>
        <v>—</v>
      </c>
      <c r="W1177" s="17">
        <f t="shared" ca="1" si="398"/>
        <v>7</v>
      </c>
    </row>
    <row r="1178" spans="1:23" x14ac:dyDescent="0.25">
      <c r="A1178" s="4">
        <f t="shared" si="378"/>
        <v>32</v>
      </c>
      <c r="B1178" t="str">
        <f ca="1">TEXT(DATE(YEAR(Invoer!$A$6),1,1)+INT((ROWS(B$2:B1178)-1)/4),"jjjjmmdd")</f>
        <v>19401021</v>
      </c>
      <c r="C1178" s="64" t="str">
        <f>IF(MOD(ROWS(C$2:C1178)-1,4)=3,"24.00",INDEX(Data,3,2+MOD(ROWS(C$2:C1178)-1,4)))</f>
        <v>07.00</v>
      </c>
      <c r="D1178" s="18" t="str">
        <f t="shared" ca="1" si="379"/>
        <v>—</v>
      </c>
      <c r="E1178" s="17">
        <f t="shared" ca="1" si="380"/>
        <v>7</v>
      </c>
      <c r="F1178" s="18" t="str">
        <f t="shared" ca="1" si="381"/>
        <v>—</v>
      </c>
      <c r="G1178" s="17">
        <f t="shared" ca="1" si="382"/>
        <v>7</v>
      </c>
      <c r="H1178" s="18" t="str">
        <f t="shared" ca="1" si="383"/>
        <v>—</v>
      </c>
      <c r="I1178" s="17">
        <f t="shared" ca="1" si="384"/>
        <v>7</v>
      </c>
      <c r="J1178" s="18" t="str">
        <f t="shared" ca="1" si="385"/>
        <v>—</v>
      </c>
      <c r="K1178" s="17">
        <f t="shared" ca="1" si="386"/>
        <v>7</v>
      </c>
      <c r="L1178" s="10" t="str">
        <f t="shared" ca="1" si="387"/>
        <v>—</v>
      </c>
      <c r="M1178" s="17">
        <f t="shared" ca="1" si="388"/>
        <v>7</v>
      </c>
      <c r="N1178" s="18" t="str">
        <f t="shared" ca="1" si="389"/>
        <v>—</v>
      </c>
      <c r="O1178" s="17">
        <f t="shared" ca="1" si="390"/>
        <v>7</v>
      </c>
      <c r="P1178" s="18" t="str">
        <f t="shared" ca="1" si="391"/>
        <v>—</v>
      </c>
      <c r="Q1178" s="17">
        <f t="shared" ca="1" si="392"/>
        <v>7</v>
      </c>
      <c r="R1178" s="10" t="str">
        <f t="shared" ca="1" si="393"/>
        <v>—</v>
      </c>
      <c r="S1178" s="17">
        <f t="shared" ca="1" si="394"/>
        <v>7</v>
      </c>
      <c r="T1178" s="70" t="str">
        <f t="shared" ca="1" si="395"/>
        <v>—</v>
      </c>
      <c r="U1178" s="17">
        <f t="shared" ca="1" si="396"/>
        <v>7</v>
      </c>
      <c r="V1178" s="71" t="str">
        <f t="shared" ca="1" si="397"/>
        <v>—</v>
      </c>
      <c r="W1178" s="17">
        <f t="shared" ca="1" si="398"/>
        <v>7</v>
      </c>
    </row>
    <row r="1179" spans="1:23" x14ac:dyDescent="0.25">
      <c r="A1179" s="4">
        <f t="shared" si="378"/>
        <v>32</v>
      </c>
      <c r="B1179" t="str">
        <f ca="1">TEXT(DATE(YEAR(Invoer!$A$6),1,1)+INT((ROWS(B$2:B1179)-1)/4),"jjjjmmdd")</f>
        <v>19401021</v>
      </c>
      <c r="C1179" s="64" t="str">
        <f>IF(MOD(ROWS(C$2:C1179)-1,4)=3,"24.00",INDEX(Data,3,2+MOD(ROWS(C$2:C1179)-1,4)))</f>
        <v>12.00</v>
      </c>
      <c r="D1179" s="18" t="str">
        <f t="shared" ca="1" si="379"/>
        <v>—</v>
      </c>
      <c r="E1179" s="17">
        <f t="shared" ca="1" si="380"/>
        <v>7</v>
      </c>
      <c r="F1179" s="18" t="str">
        <f t="shared" ca="1" si="381"/>
        <v>—</v>
      </c>
      <c r="G1179" s="17">
        <f t="shared" ca="1" si="382"/>
        <v>7</v>
      </c>
      <c r="H1179" s="18" t="str">
        <f t="shared" ca="1" si="383"/>
        <v>—</v>
      </c>
      <c r="I1179" s="17">
        <f t="shared" ca="1" si="384"/>
        <v>7</v>
      </c>
      <c r="J1179" s="18" t="str">
        <f t="shared" ca="1" si="385"/>
        <v>—</v>
      </c>
      <c r="K1179" s="17">
        <f t="shared" ca="1" si="386"/>
        <v>7</v>
      </c>
      <c r="L1179" s="10" t="str">
        <f t="shared" ca="1" si="387"/>
        <v>—</v>
      </c>
      <c r="M1179" s="17">
        <f t="shared" ca="1" si="388"/>
        <v>7</v>
      </c>
      <c r="N1179" s="18" t="str">
        <f t="shared" ca="1" si="389"/>
        <v>—</v>
      </c>
      <c r="O1179" s="17">
        <f t="shared" ca="1" si="390"/>
        <v>7</v>
      </c>
      <c r="P1179" s="18" t="str">
        <f t="shared" ca="1" si="391"/>
        <v>—</v>
      </c>
      <c r="Q1179" s="17">
        <f t="shared" ca="1" si="392"/>
        <v>7</v>
      </c>
      <c r="R1179" s="10" t="str">
        <f t="shared" ca="1" si="393"/>
        <v>—</v>
      </c>
      <c r="S1179" s="17">
        <f t="shared" ca="1" si="394"/>
        <v>7</v>
      </c>
      <c r="T1179" s="70" t="str">
        <f t="shared" ca="1" si="395"/>
        <v>—</v>
      </c>
      <c r="U1179" s="17">
        <f t="shared" ca="1" si="396"/>
        <v>7</v>
      </c>
      <c r="V1179" s="71" t="str">
        <f t="shared" ca="1" si="397"/>
        <v>—</v>
      </c>
      <c r="W1179" s="17">
        <f t="shared" ca="1" si="398"/>
        <v>7</v>
      </c>
    </row>
    <row r="1180" spans="1:23" x14ac:dyDescent="0.25">
      <c r="A1180" s="4">
        <f t="shared" si="378"/>
        <v>32</v>
      </c>
      <c r="B1180" t="str">
        <f ca="1">TEXT(DATE(YEAR(Invoer!$A$6),1,1)+INT((ROWS(B$2:B1180)-1)/4),"jjjjmmdd")</f>
        <v>19401021</v>
      </c>
      <c r="C1180" s="64" t="str">
        <f>IF(MOD(ROWS(C$2:C1180)-1,4)=3,"24.00",INDEX(Data,3,2+MOD(ROWS(C$2:C1180)-1,4)))</f>
        <v>17.00</v>
      </c>
      <c r="D1180" s="18" t="str">
        <f t="shared" ca="1" si="379"/>
        <v>—</v>
      </c>
      <c r="E1180" s="17">
        <f t="shared" ca="1" si="380"/>
        <v>7</v>
      </c>
      <c r="F1180" s="18" t="str">
        <f t="shared" ca="1" si="381"/>
        <v>—</v>
      </c>
      <c r="G1180" s="17">
        <f t="shared" ca="1" si="382"/>
        <v>7</v>
      </c>
      <c r="H1180" s="18" t="str">
        <f t="shared" ca="1" si="383"/>
        <v>—</v>
      </c>
      <c r="I1180" s="17">
        <f t="shared" ca="1" si="384"/>
        <v>7</v>
      </c>
      <c r="J1180" s="18" t="str">
        <f t="shared" ca="1" si="385"/>
        <v>—</v>
      </c>
      <c r="K1180" s="17">
        <f t="shared" ca="1" si="386"/>
        <v>7</v>
      </c>
      <c r="L1180" s="10" t="str">
        <f t="shared" ca="1" si="387"/>
        <v>—</v>
      </c>
      <c r="M1180" s="17">
        <f t="shared" ca="1" si="388"/>
        <v>7</v>
      </c>
      <c r="N1180" s="18" t="str">
        <f t="shared" ca="1" si="389"/>
        <v>—</v>
      </c>
      <c r="O1180" s="17">
        <f t="shared" ca="1" si="390"/>
        <v>7</v>
      </c>
      <c r="P1180" s="18" t="str">
        <f t="shared" ca="1" si="391"/>
        <v>—</v>
      </c>
      <c r="Q1180" s="17">
        <f t="shared" ca="1" si="392"/>
        <v>7</v>
      </c>
      <c r="R1180" s="10" t="str">
        <f t="shared" ca="1" si="393"/>
        <v>—</v>
      </c>
      <c r="S1180" s="17">
        <f t="shared" ca="1" si="394"/>
        <v>7</v>
      </c>
      <c r="T1180" s="70" t="str">
        <f t="shared" ca="1" si="395"/>
        <v>—</v>
      </c>
      <c r="U1180" s="17">
        <f t="shared" ca="1" si="396"/>
        <v>7</v>
      </c>
      <c r="V1180" s="71" t="str">
        <f t="shared" ca="1" si="397"/>
        <v>—</v>
      </c>
      <c r="W1180" s="17">
        <f t="shared" ca="1" si="398"/>
        <v>7</v>
      </c>
    </row>
    <row r="1181" spans="1:23" x14ac:dyDescent="0.25">
      <c r="A1181" s="4">
        <f t="shared" si="378"/>
        <v>32</v>
      </c>
      <c r="B1181" t="str">
        <f ca="1">TEXT(DATE(YEAR(Invoer!$A$6),1,1)+INT((ROWS(B$2:B1181)-1)/4),"jjjjmmdd")</f>
        <v>19401021</v>
      </c>
      <c r="C1181" s="64" t="str">
        <f>IF(MOD(ROWS(C$2:C1181)-1,4)=3,"24.00",INDEX(Data,3,2+MOD(ROWS(C$2:C1181)-1,4)))</f>
        <v>24.00</v>
      </c>
      <c r="D1181" s="18" t="str">
        <f t="shared" ca="1" si="379"/>
        <v>—</v>
      </c>
      <c r="E1181" s="17">
        <f t="shared" ca="1" si="380"/>
        <v>7</v>
      </c>
      <c r="F1181" s="18" t="str">
        <f t="shared" ca="1" si="381"/>
        <v>—</v>
      </c>
      <c r="G1181" s="17">
        <f t="shared" ca="1" si="382"/>
        <v>7</v>
      </c>
      <c r="H1181" s="18" t="str">
        <f t="shared" ca="1" si="383"/>
        <v>—</v>
      </c>
      <c r="I1181" s="17">
        <f t="shared" ca="1" si="384"/>
        <v>7</v>
      </c>
      <c r="J1181" s="18" t="str">
        <f t="shared" ca="1" si="385"/>
        <v>—</v>
      </c>
      <c r="K1181" s="17">
        <f t="shared" ca="1" si="386"/>
        <v>7</v>
      </c>
      <c r="L1181" s="10" t="str">
        <f t="shared" ca="1" si="387"/>
        <v>—</v>
      </c>
      <c r="M1181" s="17">
        <f t="shared" ca="1" si="388"/>
        <v>7</v>
      </c>
      <c r="N1181" s="18" t="str">
        <f t="shared" ca="1" si="389"/>
        <v>—</v>
      </c>
      <c r="O1181" s="17">
        <f t="shared" ca="1" si="390"/>
        <v>7</v>
      </c>
      <c r="P1181" s="18" t="str">
        <f t="shared" ca="1" si="391"/>
        <v>—</v>
      </c>
      <c r="Q1181" s="17">
        <f t="shared" ca="1" si="392"/>
        <v>7</v>
      </c>
      <c r="R1181" s="10" t="str">
        <f t="shared" ca="1" si="393"/>
        <v>—</v>
      </c>
      <c r="S1181" s="17">
        <f t="shared" ca="1" si="394"/>
        <v>7</v>
      </c>
      <c r="T1181" s="70" t="str">
        <f t="shared" ca="1" si="395"/>
        <v>—</v>
      </c>
      <c r="U1181" s="17">
        <f t="shared" ca="1" si="396"/>
        <v>7</v>
      </c>
      <c r="V1181" s="71" t="str">
        <f t="shared" ca="1" si="397"/>
        <v>—</v>
      </c>
      <c r="W1181" s="17">
        <f t="shared" ca="1" si="398"/>
        <v>7</v>
      </c>
    </row>
    <row r="1182" spans="1:23" x14ac:dyDescent="0.25">
      <c r="A1182" s="4">
        <f t="shared" si="378"/>
        <v>32</v>
      </c>
      <c r="B1182" t="str">
        <f ca="1">TEXT(DATE(YEAR(Invoer!$A$6),1,1)+INT((ROWS(B$2:B1182)-1)/4),"jjjjmmdd")</f>
        <v>19401022</v>
      </c>
      <c r="C1182" s="64" t="str">
        <f>IF(MOD(ROWS(C$2:C1182)-1,4)=3,"24.00",INDEX(Data,3,2+MOD(ROWS(C$2:C1182)-1,4)))</f>
        <v>07.00</v>
      </c>
      <c r="D1182" s="18" t="str">
        <f t="shared" ca="1" si="379"/>
        <v>—</v>
      </c>
      <c r="E1182" s="17">
        <f t="shared" ca="1" si="380"/>
        <v>7</v>
      </c>
      <c r="F1182" s="18" t="str">
        <f t="shared" ca="1" si="381"/>
        <v>—</v>
      </c>
      <c r="G1182" s="17">
        <f t="shared" ca="1" si="382"/>
        <v>7</v>
      </c>
      <c r="H1182" s="18" t="str">
        <f t="shared" ca="1" si="383"/>
        <v>—</v>
      </c>
      <c r="I1182" s="17">
        <f t="shared" ca="1" si="384"/>
        <v>7</v>
      </c>
      <c r="J1182" s="18" t="str">
        <f t="shared" ca="1" si="385"/>
        <v>—</v>
      </c>
      <c r="K1182" s="17">
        <f t="shared" ca="1" si="386"/>
        <v>7</v>
      </c>
      <c r="L1182" s="10" t="str">
        <f t="shared" ca="1" si="387"/>
        <v>—</v>
      </c>
      <c r="M1182" s="17">
        <f t="shared" ca="1" si="388"/>
        <v>7</v>
      </c>
      <c r="N1182" s="18" t="str">
        <f t="shared" ca="1" si="389"/>
        <v>—</v>
      </c>
      <c r="O1182" s="17">
        <f t="shared" ca="1" si="390"/>
        <v>7</v>
      </c>
      <c r="P1182" s="18" t="str">
        <f t="shared" ca="1" si="391"/>
        <v>—</v>
      </c>
      <c r="Q1182" s="17">
        <f t="shared" ca="1" si="392"/>
        <v>7</v>
      </c>
      <c r="R1182" s="10" t="str">
        <f t="shared" ca="1" si="393"/>
        <v>—</v>
      </c>
      <c r="S1182" s="17">
        <f t="shared" ca="1" si="394"/>
        <v>7</v>
      </c>
      <c r="T1182" s="70" t="str">
        <f t="shared" ca="1" si="395"/>
        <v>—</v>
      </c>
      <c r="U1182" s="17">
        <f t="shared" ca="1" si="396"/>
        <v>7</v>
      </c>
      <c r="V1182" s="71" t="str">
        <f t="shared" ca="1" si="397"/>
        <v>—</v>
      </c>
      <c r="W1182" s="17">
        <f t="shared" ca="1" si="398"/>
        <v>7</v>
      </c>
    </row>
    <row r="1183" spans="1:23" x14ac:dyDescent="0.25">
      <c r="A1183" s="4">
        <f t="shared" si="378"/>
        <v>32</v>
      </c>
      <c r="B1183" t="str">
        <f ca="1">TEXT(DATE(YEAR(Invoer!$A$6),1,1)+INT((ROWS(B$2:B1183)-1)/4),"jjjjmmdd")</f>
        <v>19401022</v>
      </c>
      <c r="C1183" s="64" t="str">
        <f>IF(MOD(ROWS(C$2:C1183)-1,4)=3,"24.00",INDEX(Data,3,2+MOD(ROWS(C$2:C1183)-1,4)))</f>
        <v>12.00</v>
      </c>
      <c r="D1183" s="18" t="str">
        <f t="shared" ca="1" si="379"/>
        <v>—</v>
      </c>
      <c r="E1183" s="17">
        <f t="shared" ca="1" si="380"/>
        <v>7</v>
      </c>
      <c r="F1183" s="18" t="str">
        <f t="shared" ca="1" si="381"/>
        <v>—</v>
      </c>
      <c r="G1183" s="17">
        <f t="shared" ca="1" si="382"/>
        <v>7</v>
      </c>
      <c r="H1183" s="18" t="str">
        <f t="shared" ca="1" si="383"/>
        <v>—</v>
      </c>
      <c r="I1183" s="17">
        <f t="shared" ca="1" si="384"/>
        <v>7</v>
      </c>
      <c r="J1183" s="18" t="str">
        <f t="shared" ca="1" si="385"/>
        <v>—</v>
      </c>
      <c r="K1183" s="17">
        <f t="shared" ca="1" si="386"/>
        <v>7</v>
      </c>
      <c r="L1183" s="10" t="str">
        <f t="shared" ca="1" si="387"/>
        <v>—</v>
      </c>
      <c r="M1183" s="17">
        <f t="shared" ca="1" si="388"/>
        <v>7</v>
      </c>
      <c r="N1183" s="18" t="str">
        <f t="shared" ca="1" si="389"/>
        <v>—</v>
      </c>
      <c r="O1183" s="17">
        <f t="shared" ca="1" si="390"/>
        <v>7</v>
      </c>
      <c r="P1183" s="18" t="str">
        <f t="shared" ca="1" si="391"/>
        <v>—</v>
      </c>
      <c r="Q1183" s="17">
        <f t="shared" ca="1" si="392"/>
        <v>7</v>
      </c>
      <c r="R1183" s="10" t="str">
        <f t="shared" ca="1" si="393"/>
        <v>—</v>
      </c>
      <c r="S1183" s="17">
        <f t="shared" ca="1" si="394"/>
        <v>7</v>
      </c>
      <c r="T1183" s="70" t="str">
        <f t="shared" ca="1" si="395"/>
        <v>—</v>
      </c>
      <c r="U1183" s="17">
        <f t="shared" ca="1" si="396"/>
        <v>7</v>
      </c>
      <c r="V1183" s="71" t="str">
        <f t="shared" ca="1" si="397"/>
        <v>—</v>
      </c>
      <c r="W1183" s="17">
        <f t="shared" ca="1" si="398"/>
        <v>7</v>
      </c>
    </row>
    <row r="1184" spans="1:23" x14ac:dyDescent="0.25">
      <c r="A1184" s="4">
        <f t="shared" si="378"/>
        <v>32</v>
      </c>
      <c r="B1184" t="str">
        <f ca="1">TEXT(DATE(YEAR(Invoer!$A$6),1,1)+INT((ROWS(B$2:B1184)-1)/4),"jjjjmmdd")</f>
        <v>19401022</v>
      </c>
      <c r="C1184" s="64" t="str">
        <f>IF(MOD(ROWS(C$2:C1184)-1,4)=3,"24.00",INDEX(Data,3,2+MOD(ROWS(C$2:C1184)-1,4)))</f>
        <v>17.00</v>
      </c>
      <c r="D1184" s="18" t="str">
        <f t="shared" ca="1" si="379"/>
        <v>—</v>
      </c>
      <c r="E1184" s="17">
        <f t="shared" ca="1" si="380"/>
        <v>7</v>
      </c>
      <c r="F1184" s="18" t="str">
        <f t="shared" ca="1" si="381"/>
        <v>—</v>
      </c>
      <c r="G1184" s="17">
        <f t="shared" ca="1" si="382"/>
        <v>7</v>
      </c>
      <c r="H1184" s="18" t="str">
        <f t="shared" ca="1" si="383"/>
        <v>—</v>
      </c>
      <c r="I1184" s="17">
        <f t="shared" ca="1" si="384"/>
        <v>7</v>
      </c>
      <c r="J1184" s="18" t="str">
        <f t="shared" ca="1" si="385"/>
        <v>—</v>
      </c>
      <c r="K1184" s="17">
        <f t="shared" ca="1" si="386"/>
        <v>7</v>
      </c>
      <c r="L1184" s="10" t="str">
        <f t="shared" ca="1" si="387"/>
        <v>—</v>
      </c>
      <c r="M1184" s="17">
        <f t="shared" ca="1" si="388"/>
        <v>7</v>
      </c>
      <c r="N1184" s="18" t="str">
        <f t="shared" ca="1" si="389"/>
        <v>—</v>
      </c>
      <c r="O1184" s="17">
        <f t="shared" ca="1" si="390"/>
        <v>7</v>
      </c>
      <c r="P1184" s="18" t="str">
        <f t="shared" ca="1" si="391"/>
        <v>—</v>
      </c>
      <c r="Q1184" s="17">
        <f t="shared" ca="1" si="392"/>
        <v>7</v>
      </c>
      <c r="R1184" s="10" t="str">
        <f t="shared" ca="1" si="393"/>
        <v>—</v>
      </c>
      <c r="S1184" s="17">
        <f t="shared" ca="1" si="394"/>
        <v>7</v>
      </c>
      <c r="T1184" s="70" t="str">
        <f t="shared" ca="1" si="395"/>
        <v>—</v>
      </c>
      <c r="U1184" s="17">
        <f t="shared" ca="1" si="396"/>
        <v>7</v>
      </c>
      <c r="V1184" s="71" t="str">
        <f t="shared" ca="1" si="397"/>
        <v>—</v>
      </c>
      <c r="W1184" s="17">
        <f t="shared" ca="1" si="398"/>
        <v>7</v>
      </c>
    </row>
    <row r="1185" spans="1:23" x14ac:dyDescent="0.25">
      <c r="A1185" s="4">
        <f t="shared" si="378"/>
        <v>32</v>
      </c>
      <c r="B1185" t="str">
        <f ca="1">TEXT(DATE(YEAR(Invoer!$A$6),1,1)+INT((ROWS(B$2:B1185)-1)/4),"jjjjmmdd")</f>
        <v>19401022</v>
      </c>
      <c r="C1185" s="64" t="str">
        <f>IF(MOD(ROWS(C$2:C1185)-1,4)=3,"24.00",INDEX(Data,3,2+MOD(ROWS(C$2:C1185)-1,4)))</f>
        <v>24.00</v>
      </c>
      <c r="D1185" s="18" t="str">
        <f t="shared" ca="1" si="379"/>
        <v>—</v>
      </c>
      <c r="E1185" s="17">
        <f t="shared" ca="1" si="380"/>
        <v>7</v>
      </c>
      <c r="F1185" s="18" t="str">
        <f t="shared" ca="1" si="381"/>
        <v>—</v>
      </c>
      <c r="G1185" s="17">
        <f t="shared" ca="1" si="382"/>
        <v>7</v>
      </c>
      <c r="H1185" s="18" t="str">
        <f t="shared" ca="1" si="383"/>
        <v>—</v>
      </c>
      <c r="I1185" s="17">
        <f t="shared" ca="1" si="384"/>
        <v>7</v>
      </c>
      <c r="J1185" s="18" t="str">
        <f t="shared" ca="1" si="385"/>
        <v>—</v>
      </c>
      <c r="K1185" s="17">
        <f t="shared" ca="1" si="386"/>
        <v>7</v>
      </c>
      <c r="L1185" s="10" t="str">
        <f t="shared" ca="1" si="387"/>
        <v>—</v>
      </c>
      <c r="M1185" s="17">
        <f t="shared" ca="1" si="388"/>
        <v>7</v>
      </c>
      <c r="N1185" s="18" t="str">
        <f t="shared" ca="1" si="389"/>
        <v>—</v>
      </c>
      <c r="O1185" s="17">
        <f t="shared" ca="1" si="390"/>
        <v>7</v>
      </c>
      <c r="P1185" s="18" t="str">
        <f t="shared" ca="1" si="391"/>
        <v>—</v>
      </c>
      <c r="Q1185" s="17">
        <f t="shared" ca="1" si="392"/>
        <v>7</v>
      </c>
      <c r="R1185" s="10" t="str">
        <f t="shared" ca="1" si="393"/>
        <v>—</v>
      </c>
      <c r="S1185" s="17">
        <f t="shared" ca="1" si="394"/>
        <v>7</v>
      </c>
      <c r="T1185" s="70" t="str">
        <f t="shared" ca="1" si="395"/>
        <v>—</v>
      </c>
      <c r="U1185" s="17">
        <f t="shared" ca="1" si="396"/>
        <v>7</v>
      </c>
      <c r="V1185" s="71" t="str">
        <f t="shared" ca="1" si="397"/>
        <v>—</v>
      </c>
      <c r="W1185" s="17">
        <f t="shared" ca="1" si="398"/>
        <v>7</v>
      </c>
    </row>
    <row r="1186" spans="1:23" x14ac:dyDescent="0.25">
      <c r="A1186" s="4">
        <f t="shared" si="378"/>
        <v>32</v>
      </c>
      <c r="B1186" t="str">
        <f ca="1">TEXT(DATE(YEAR(Invoer!$A$6),1,1)+INT((ROWS(B$2:B1186)-1)/4),"jjjjmmdd")</f>
        <v>19401023</v>
      </c>
      <c r="C1186" s="64" t="str">
        <f>IF(MOD(ROWS(C$2:C1186)-1,4)=3,"24.00",INDEX(Data,3,2+MOD(ROWS(C$2:C1186)-1,4)))</f>
        <v>07.00</v>
      </c>
      <c r="D1186" s="18" t="str">
        <f t="shared" ca="1" si="379"/>
        <v>—</v>
      </c>
      <c r="E1186" s="17">
        <f t="shared" ca="1" si="380"/>
        <v>7</v>
      </c>
      <c r="F1186" s="18" t="str">
        <f t="shared" ca="1" si="381"/>
        <v>—</v>
      </c>
      <c r="G1186" s="17">
        <f t="shared" ca="1" si="382"/>
        <v>7</v>
      </c>
      <c r="H1186" s="18" t="str">
        <f t="shared" ca="1" si="383"/>
        <v>—</v>
      </c>
      <c r="I1186" s="17">
        <f t="shared" ca="1" si="384"/>
        <v>7</v>
      </c>
      <c r="J1186" s="18" t="str">
        <f t="shared" ca="1" si="385"/>
        <v>—</v>
      </c>
      <c r="K1186" s="17">
        <f t="shared" ca="1" si="386"/>
        <v>7</v>
      </c>
      <c r="L1186" s="10" t="str">
        <f t="shared" ca="1" si="387"/>
        <v>—</v>
      </c>
      <c r="M1186" s="17">
        <f t="shared" ca="1" si="388"/>
        <v>7</v>
      </c>
      <c r="N1186" s="18" t="str">
        <f t="shared" ca="1" si="389"/>
        <v>—</v>
      </c>
      <c r="O1186" s="17">
        <f t="shared" ca="1" si="390"/>
        <v>7</v>
      </c>
      <c r="P1186" s="18" t="str">
        <f t="shared" ca="1" si="391"/>
        <v>—</v>
      </c>
      <c r="Q1186" s="17">
        <f t="shared" ca="1" si="392"/>
        <v>7</v>
      </c>
      <c r="R1186" s="10" t="str">
        <f t="shared" ca="1" si="393"/>
        <v>—</v>
      </c>
      <c r="S1186" s="17">
        <f t="shared" ca="1" si="394"/>
        <v>7</v>
      </c>
      <c r="T1186" s="70" t="str">
        <f t="shared" ca="1" si="395"/>
        <v>—</v>
      </c>
      <c r="U1186" s="17">
        <f t="shared" ca="1" si="396"/>
        <v>7</v>
      </c>
      <c r="V1186" s="71" t="str">
        <f t="shared" ca="1" si="397"/>
        <v>—</v>
      </c>
      <c r="W1186" s="17">
        <f t="shared" ca="1" si="398"/>
        <v>7</v>
      </c>
    </row>
    <row r="1187" spans="1:23" x14ac:dyDescent="0.25">
      <c r="A1187" s="4">
        <f t="shared" si="378"/>
        <v>32</v>
      </c>
      <c r="B1187" t="str">
        <f ca="1">TEXT(DATE(YEAR(Invoer!$A$6),1,1)+INT((ROWS(B$2:B1187)-1)/4),"jjjjmmdd")</f>
        <v>19401023</v>
      </c>
      <c r="C1187" s="64" t="str">
        <f>IF(MOD(ROWS(C$2:C1187)-1,4)=3,"24.00",INDEX(Data,3,2+MOD(ROWS(C$2:C1187)-1,4)))</f>
        <v>12.00</v>
      </c>
      <c r="D1187" s="18" t="str">
        <f t="shared" ca="1" si="379"/>
        <v>—</v>
      </c>
      <c r="E1187" s="17">
        <f t="shared" ca="1" si="380"/>
        <v>7</v>
      </c>
      <c r="F1187" s="18" t="str">
        <f t="shared" ca="1" si="381"/>
        <v>—</v>
      </c>
      <c r="G1187" s="17">
        <f t="shared" ca="1" si="382"/>
        <v>7</v>
      </c>
      <c r="H1187" s="18" t="str">
        <f t="shared" ca="1" si="383"/>
        <v>—</v>
      </c>
      <c r="I1187" s="17">
        <f t="shared" ca="1" si="384"/>
        <v>7</v>
      </c>
      <c r="J1187" s="18" t="str">
        <f t="shared" ca="1" si="385"/>
        <v>—</v>
      </c>
      <c r="K1187" s="17">
        <f t="shared" ca="1" si="386"/>
        <v>7</v>
      </c>
      <c r="L1187" s="10" t="str">
        <f t="shared" ca="1" si="387"/>
        <v>—</v>
      </c>
      <c r="M1187" s="17">
        <f t="shared" ca="1" si="388"/>
        <v>7</v>
      </c>
      <c r="N1187" s="18" t="str">
        <f t="shared" ca="1" si="389"/>
        <v>—</v>
      </c>
      <c r="O1187" s="17">
        <f t="shared" ca="1" si="390"/>
        <v>7</v>
      </c>
      <c r="P1187" s="18" t="str">
        <f t="shared" ca="1" si="391"/>
        <v>—</v>
      </c>
      <c r="Q1187" s="17">
        <f t="shared" ca="1" si="392"/>
        <v>7</v>
      </c>
      <c r="R1187" s="10" t="str">
        <f t="shared" ca="1" si="393"/>
        <v>—</v>
      </c>
      <c r="S1187" s="17">
        <f t="shared" ca="1" si="394"/>
        <v>7</v>
      </c>
      <c r="T1187" s="70" t="str">
        <f t="shared" ca="1" si="395"/>
        <v>—</v>
      </c>
      <c r="U1187" s="17">
        <f t="shared" ca="1" si="396"/>
        <v>7</v>
      </c>
      <c r="V1187" s="71" t="str">
        <f t="shared" ca="1" si="397"/>
        <v>—</v>
      </c>
      <c r="W1187" s="17">
        <f t="shared" ca="1" si="398"/>
        <v>7</v>
      </c>
    </row>
    <row r="1188" spans="1:23" x14ac:dyDescent="0.25">
      <c r="A1188" s="4">
        <f t="shared" si="378"/>
        <v>32</v>
      </c>
      <c r="B1188" t="str">
        <f ca="1">TEXT(DATE(YEAR(Invoer!$A$6),1,1)+INT((ROWS(B$2:B1188)-1)/4),"jjjjmmdd")</f>
        <v>19401023</v>
      </c>
      <c r="C1188" s="64" t="str">
        <f>IF(MOD(ROWS(C$2:C1188)-1,4)=3,"24.00",INDEX(Data,3,2+MOD(ROWS(C$2:C1188)-1,4)))</f>
        <v>17.00</v>
      </c>
      <c r="D1188" s="18" t="str">
        <f t="shared" ca="1" si="379"/>
        <v>—</v>
      </c>
      <c r="E1188" s="17">
        <f t="shared" ca="1" si="380"/>
        <v>7</v>
      </c>
      <c r="F1188" s="18" t="str">
        <f t="shared" ca="1" si="381"/>
        <v>—</v>
      </c>
      <c r="G1188" s="17">
        <f t="shared" ca="1" si="382"/>
        <v>7</v>
      </c>
      <c r="H1188" s="18" t="str">
        <f t="shared" ca="1" si="383"/>
        <v>—</v>
      </c>
      <c r="I1188" s="17">
        <f t="shared" ca="1" si="384"/>
        <v>7</v>
      </c>
      <c r="J1188" s="18" t="str">
        <f t="shared" ca="1" si="385"/>
        <v>—</v>
      </c>
      <c r="K1188" s="17">
        <f t="shared" ca="1" si="386"/>
        <v>7</v>
      </c>
      <c r="L1188" s="10" t="str">
        <f t="shared" ca="1" si="387"/>
        <v>—</v>
      </c>
      <c r="M1188" s="17">
        <f t="shared" ca="1" si="388"/>
        <v>7</v>
      </c>
      <c r="N1188" s="18" t="str">
        <f t="shared" ca="1" si="389"/>
        <v>—</v>
      </c>
      <c r="O1188" s="17">
        <f t="shared" ca="1" si="390"/>
        <v>7</v>
      </c>
      <c r="P1188" s="18" t="str">
        <f t="shared" ca="1" si="391"/>
        <v>—</v>
      </c>
      <c r="Q1188" s="17">
        <f t="shared" ca="1" si="392"/>
        <v>7</v>
      </c>
      <c r="R1188" s="10" t="str">
        <f t="shared" ca="1" si="393"/>
        <v>—</v>
      </c>
      <c r="S1188" s="17">
        <f t="shared" ca="1" si="394"/>
        <v>7</v>
      </c>
      <c r="T1188" s="70" t="str">
        <f t="shared" ca="1" si="395"/>
        <v>—</v>
      </c>
      <c r="U1188" s="17">
        <f t="shared" ca="1" si="396"/>
        <v>7</v>
      </c>
      <c r="V1188" s="71" t="str">
        <f t="shared" ca="1" si="397"/>
        <v>—</v>
      </c>
      <c r="W1188" s="17">
        <f t="shared" ca="1" si="398"/>
        <v>7</v>
      </c>
    </row>
    <row r="1189" spans="1:23" x14ac:dyDescent="0.25">
      <c r="A1189" s="4">
        <f t="shared" si="378"/>
        <v>32</v>
      </c>
      <c r="B1189" t="str">
        <f ca="1">TEXT(DATE(YEAR(Invoer!$A$6),1,1)+INT((ROWS(B$2:B1189)-1)/4),"jjjjmmdd")</f>
        <v>19401023</v>
      </c>
      <c r="C1189" s="64" t="str">
        <f>IF(MOD(ROWS(C$2:C1189)-1,4)=3,"24.00",INDEX(Data,3,2+MOD(ROWS(C$2:C1189)-1,4)))</f>
        <v>24.00</v>
      </c>
      <c r="D1189" s="18" t="str">
        <f t="shared" ca="1" si="379"/>
        <v>—</v>
      </c>
      <c r="E1189" s="17">
        <f t="shared" ca="1" si="380"/>
        <v>7</v>
      </c>
      <c r="F1189" s="18" t="str">
        <f t="shared" ca="1" si="381"/>
        <v>—</v>
      </c>
      <c r="G1189" s="17">
        <f t="shared" ca="1" si="382"/>
        <v>7</v>
      </c>
      <c r="H1189" s="18" t="str">
        <f t="shared" ca="1" si="383"/>
        <v>—</v>
      </c>
      <c r="I1189" s="17">
        <f t="shared" ca="1" si="384"/>
        <v>7</v>
      </c>
      <c r="J1189" s="18" t="str">
        <f t="shared" ca="1" si="385"/>
        <v>—</v>
      </c>
      <c r="K1189" s="17">
        <f t="shared" ca="1" si="386"/>
        <v>7</v>
      </c>
      <c r="L1189" s="10" t="str">
        <f t="shared" ca="1" si="387"/>
        <v>—</v>
      </c>
      <c r="M1189" s="17">
        <f t="shared" ca="1" si="388"/>
        <v>7</v>
      </c>
      <c r="N1189" s="18" t="str">
        <f t="shared" ca="1" si="389"/>
        <v>—</v>
      </c>
      <c r="O1189" s="17">
        <f t="shared" ca="1" si="390"/>
        <v>7</v>
      </c>
      <c r="P1189" s="18" t="str">
        <f t="shared" ca="1" si="391"/>
        <v>—</v>
      </c>
      <c r="Q1189" s="17">
        <f t="shared" ca="1" si="392"/>
        <v>7</v>
      </c>
      <c r="R1189" s="10" t="str">
        <f t="shared" ca="1" si="393"/>
        <v>—</v>
      </c>
      <c r="S1189" s="17">
        <f t="shared" ca="1" si="394"/>
        <v>7</v>
      </c>
      <c r="T1189" s="70" t="str">
        <f t="shared" ca="1" si="395"/>
        <v>—</v>
      </c>
      <c r="U1189" s="17">
        <f t="shared" ca="1" si="396"/>
        <v>7</v>
      </c>
      <c r="V1189" s="71" t="str">
        <f t="shared" ca="1" si="397"/>
        <v>—</v>
      </c>
      <c r="W1189" s="17">
        <f t="shared" ca="1" si="398"/>
        <v>7</v>
      </c>
    </row>
    <row r="1190" spans="1:23" x14ac:dyDescent="0.25">
      <c r="A1190" s="4">
        <f t="shared" si="378"/>
        <v>32</v>
      </c>
      <c r="B1190" t="str">
        <f ca="1">TEXT(DATE(YEAR(Invoer!$A$6),1,1)+INT((ROWS(B$2:B1190)-1)/4),"jjjjmmdd")</f>
        <v>19401024</v>
      </c>
      <c r="C1190" s="64" t="str">
        <f>IF(MOD(ROWS(C$2:C1190)-1,4)=3,"24.00",INDEX(Data,3,2+MOD(ROWS(C$2:C1190)-1,4)))</f>
        <v>07.00</v>
      </c>
      <c r="D1190" s="18" t="str">
        <f t="shared" ca="1" si="379"/>
        <v>—</v>
      </c>
      <c r="E1190" s="17">
        <f t="shared" ca="1" si="380"/>
        <v>7</v>
      </c>
      <c r="F1190" s="18" t="str">
        <f t="shared" ca="1" si="381"/>
        <v>—</v>
      </c>
      <c r="G1190" s="17">
        <f t="shared" ca="1" si="382"/>
        <v>7</v>
      </c>
      <c r="H1190" s="18" t="str">
        <f t="shared" ca="1" si="383"/>
        <v>—</v>
      </c>
      <c r="I1190" s="17">
        <f t="shared" ca="1" si="384"/>
        <v>7</v>
      </c>
      <c r="J1190" s="18" t="str">
        <f t="shared" ca="1" si="385"/>
        <v>—</v>
      </c>
      <c r="K1190" s="17">
        <f t="shared" ca="1" si="386"/>
        <v>7</v>
      </c>
      <c r="L1190" s="10" t="str">
        <f t="shared" ca="1" si="387"/>
        <v>—</v>
      </c>
      <c r="M1190" s="17">
        <f t="shared" ca="1" si="388"/>
        <v>7</v>
      </c>
      <c r="N1190" s="18" t="str">
        <f t="shared" ca="1" si="389"/>
        <v>—</v>
      </c>
      <c r="O1190" s="17">
        <f t="shared" ca="1" si="390"/>
        <v>7</v>
      </c>
      <c r="P1190" s="18" t="str">
        <f t="shared" ca="1" si="391"/>
        <v>—</v>
      </c>
      <c r="Q1190" s="17">
        <f t="shared" ca="1" si="392"/>
        <v>7</v>
      </c>
      <c r="R1190" s="10" t="str">
        <f t="shared" ca="1" si="393"/>
        <v>—</v>
      </c>
      <c r="S1190" s="17">
        <f t="shared" ca="1" si="394"/>
        <v>7</v>
      </c>
      <c r="T1190" s="70" t="str">
        <f t="shared" ca="1" si="395"/>
        <v>—</v>
      </c>
      <c r="U1190" s="17">
        <f t="shared" ca="1" si="396"/>
        <v>7</v>
      </c>
      <c r="V1190" s="71" t="str">
        <f t="shared" ca="1" si="397"/>
        <v>—</v>
      </c>
      <c r="W1190" s="17">
        <f t="shared" ca="1" si="398"/>
        <v>7</v>
      </c>
    </row>
    <row r="1191" spans="1:23" x14ac:dyDescent="0.25">
      <c r="A1191" s="4">
        <f t="shared" si="378"/>
        <v>32</v>
      </c>
      <c r="B1191" t="str">
        <f ca="1">TEXT(DATE(YEAR(Invoer!$A$6),1,1)+INT((ROWS(B$2:B1191)-1)/4),"jjjjmmdd")</f>
        <v>19401024</v>
      </c>
      <c r="C1191" s="64" t="str">
        <f>IF(MOD(ROWS(C$2:C1191)-1,4)=3,"24.00",INDEX(Data,3,2+MOD(ROWS(C$2:C1191)-1,4)))</f>
        <v>12.00</v>
      </c>
      <c r="D1191" s="18" t="str">
        <f t="shared" ca="1" si="379"/>
        <v>—</v>
      </c>
      <c r="E1191" s="17">
        <f t="shared" ca="1" si="380"/>
        <v>7</v>
      </c>
      <c r="F1191" s="18" t="str">
        <f t="shared" ca="1" si="381"/>
        <v>—</v>
      </c>
      <c r="G1191" s="17">
        <f t="shared" ca="1" si="382"/>
        <v>7</v>
      </c>
      <c r="H1191" s="18" t="str">
        <f t="shared" ca="1" si="383"/>
        <v>—</v>
      </c>
      <c r="I1191" s="17">
        <f t="shared" ca="1" si="384"/>
        <v>7</v>
      </c>
      <c r="J1191" s="18" t="str">
        <f t="shared" ca="1" si="385"/>
        <v>—</v>
      </c>
      <c r="K1191" s="17">
        <f t="shared" ca="1" si="386"/>
        <v>7</v>
      </c>
      <c r="L1191" s="10" t="str">
        <f t="shared" ca="1" si="387"/>
        <v>—</v>
      </c>
      <c r="M1191" s="17">
        <f t="shared" ca="1" si="388"/>
        <v>7</v>
      </c>
      <c r="N1191" s="18" t="str">
        <f t="shared" ca="1" si="389"/>
        <v>—</v>
      </c>
      <c r="O1191" s="17">
        <f t="shared" ca="1" si="390"/>
        <v>7</v>
      </c>
      <c r="P1191" s="18" t="str">
        <f t="shared" ca="1" si="391"/>
        <v>—</v>
      </c>
      <c r="Q1191" s="17">
        <f t="shared" ca="1" si="392"/>
        <v>7</v>
      </c>
      <c r="R1191" s="10" t="str">
        <f t="shared" ca="1" si="393"/>
        <v>—</v>
      </c>
      <c r="S1191" s="17">
        <f t="shared" ca="1" si="394"/>
        <v>7</v>
      </c>
      <c r="T1191" s="70" t="str">
        <f t="shared" ca="1" si="395"/>
        <v>—</v>
      </c>
      <c r="U1191" s="17">
        <f t="shared" ca="1" si="396"/>
        <v>7</v>
      </c>
      <c r="V1191" s="71" t="str">
        <f t="shared" ca="1" si="397"/>
        <v>—</v>
      </c>
      <c r="W1191" s="17">
        <f t="shared" ca="1" si="398"/>
        <v>7</v>
      </c>
    </row>
    <row r="1192" spans="1:23" x14ac:dyDescent="0.25">
      <c r="A1192" s="4">
        <f t="shared" si="378"/>
        <v>32</v>
      </c>
      <c r="B1192" t="str">
        <f ca="1">TEXT(DATE(YEAR(Invoer!$A$6),1,1)+INT((ROWS(B$2:B1192)-1)/4),"jjjjmmdd")</f>
        <v>19401024</v>
      </c>
      <c r="C1192" s="64" t="str">
        <f>IF(MOD(ROWS(C$2:C1192)-1,4)=3,"24.00",INDEX(Data,3,2+MOD(ROWS(C$2:C1192)-1,4)))</f>
        <v>17.00</v>
      </c>
      <c r="D1192" s="18" t="str">
        <f t="shared" ca="1" si="379"/>
        <v>—</v>
      </c>
      <c r="E1192" s="17">
        <f t="shared" ca="1" si="380"/>
        <v>7</v>
      </c>
      <c r="F1192" s="18" t="str">
        <f t="shared" ca="1" si="381"/>
        <v>—</v>
      </c>
      <c r="G1192" s="17">
        <f t="shared" ca="1" si="382"/>
        <v>7</v>
      </c>
      <c r="H1192" s="18" t="str">
        <f t="shared" ca="1" si="383"/>
        <v>—</v>
      </c>
      <c r="I1192" s="17">
        <f t="shared" ca="1" si="384"/>
        <v>7</v>
      </c>
      <c r="J1192" s="18" t="str">
        <f t="shared" ca="1" si="385"/>
        <v>—</v>
      </c>
      <c r="K1192" s="17">
        <f t="shared" ca="1" si="386"/>
        <v>7</v>
      </c>
      <c r="L1192" s="10" t="str">
        <f t="shared" ca="1" si="387"/>
        <v>—</v>
      </c>
      <c r="M1192" s="17">
        <f t="shared" ca="1" si="388"/>
        <v>7</v>
      </c>
      <c r="N1192" s="18" t="str">
        <f t="shared" ca="1" si="389"/>
        <v>—</v>
      </c>
      <c r="O1192" s="17">
        <f t="shared" ca="1" si="390"/>
        <v>7</v>
      </c>
      <c r="P1192" s="18" t="str">
        <f t="shared" ca="1" si="391"/>
        <v>—</v>
      </c>
      <c r="Q1192" s="17">
        <f t="shared" ca="1" si="392"/>
        <v>7</v>
      </c>
      <c r="R1192" s="10" t="str">
        <f t="shared" ca="1" si="393"/>
        <v>—</v>
      </c>
      <c r="S1192" s="17">
        <f t="shared" ca="1" si="394"/>
        <v>7</v>
      </c>
      <c r="T1192" s="70" t="str">
        <f t="shared" ca="1" si="395"/>
        <v>—</v>
      </c>
      <c r="U1192" s="17">
        <f t="shared" ca="1" si="396"/>
        <v>7</v>
      </c>
      <c r="V1192" s="71" t="str">
        <f t="shared" ca="1" si="397"/>
        <v>—</v>
      </c>
      <c r="W1192" s="17">
        <f t="shared" ca="1" si="398"/>
        <v>7</v>
      </c>
    </row>
    <row r="1193" spans="1:23" x14ac:dyDescent="0.25">
      <c r="A1193" s="4">
        <f t="shared" si="378"/>
        <v>32</v>
      </c>
      <c r="B1193" t="str">
        <f ca="1">TEXT(DATE(YEAR(Invoer!$A$6),1,1)+INT((ROWS(B$2:B1193)-1)/4),"jjjjmmdd")</f>
        <v>19401024</v>
      </c>
      <c r="C1193" s="64" t="str">
        <f>IF(MOD(ROWS(C$2:C1193)-1,4)=3,"24.00",INDEX(Data,3,2+MOD(ROWS(C$2:C1193)-1,4)))</f>
        <v>24.00</v>
      </c>
      <c r="D1193" s="18" t="str">
        <f t="shared" ca="1" si="379"/>
        <v>—</v>
      </c>
      <c r="E1193" s="17">
        <f t="shared" ca="1" si="380"/>
        <v>7</v>
      </c>
      <c r="F1193" s="18" t="str">
        <f t="shared" ca="1" si="381"/>
        <v>—</v>
      </c>
      <c r="G1193" s="17">
        <f t="shared" ca="1" si="382"/>
        <v>7</v>
      </c>
      <c r="H1193" s="18" t="str">
        <f t="shared" ca="1" si="383"/>
        <v>—</v>
      </c>
      <c r="I1193" s="17">
        <f t="shared" ca="1" si="384"/>
        <v>7</v>
      </c>
      <c r="J1193" s="18" t="str">
        <f t="shared" ca="1" si="385"/>
        <v>—</v>
      </c>
      <c r="K1193" s="17">
        <f t="shared" ca="1" si="386"/>
        <v>7</v>
      </c>
      <c r="L1193" s="10" t="str">
        <f t="shared" ca="1" si="387"/>
        <v>—</v>
      </c>
      <c r="M1193" s="17">
        <f t="shared" ca="1" si="388"/>
        <v>7</v>
      </c>
      <c r="N1193" s="18" t="str">
        <f t="shared" ca="1" si="389"/>
        <v>—</v>
      </c>
      <c r="O1193" s="17">
        <f t="shared" ca="1" si="390"/>
        <v>7</v>
      </c>
      <c r="P1193" s="18" t="str">
        <f t="shared" ca="1" si="391"/>
        <v>—</v>
      </c>
      <c r="Q1193" s="17">
        <f t="shared" ca="1" si="392"/>
        <v>7</v>
      </c>
      <c r="R1193" s="10" t="str">
        <f t="shared" ca="1" si="393"/>
        <v>—</v>
      </c>
      <c r="S1193" s="17">
        <f t="shared" ca="1" si="394"/>
        <v>7</v>
      </c>
      <c r="T1193" s="70" t="str">
        <f t="shared" ca="1" si="395"/>
        <v>—</v>
      </c>
      <c r="U1193" s="17">
        <f t="shared" ca="1" si="396"/>
        <v>7</v>
      </c>
      <c r="V1193" s="71" t="str">
        <f t="shared" ca="1" si="397"/>
        <v>—</v>
      </c>
      <c r="W1193" s="17">
        <f t="shared" ca="1" si="398"/>
        <v>7</v>
      </c>
    </row>
    <row r="1194" spans="1:23" x14ac:dyDescent="0.25">
      <c r="A1194" s="4">
        <f t="shared" si="378"/>
        <v>32</v>
      </c>
      <c r="B1194" t="str">
        <f ca="1">TEXT(DATE(YEAR(Invoer!$A$6),1,1)+INT((ROWS(B$2:B1194)-1)/4),"jjjjmmdd")</f>
        <v>19401025</v>
      </c>
      <c r="C1194" s="64" t="str">
        <f>IF(MOD(ROWS(C$2:C1194)-1,4)=3,"24.00",INDEX(Data,3,2+MOD(ROWS(C$2:C1194)-1,4)))</f>
        <v>07.00</v>
      </c>
      <c r="D1194" s="18" t="str">
        <f t="shared" ca="1" si="379"/>
        <v>—</v>
      </c>
      <c r="E1194" s="17">
        <f t="shared" ca="1" si="380"/>
        <v>7</v>
      </c>
      <c r="F1194" s="18" t="str">
        <f t="shared" ca="1" si="381"/>
        <v>—</v>
      </c>
      <c r="G1194" s="17">
        <f t="shared" ca="1" si="382"/>
        <v>7</v>
      </c>
      <c r="H1194" s="18" t="str">
        <f t="shared" ca="1" si="383"/>
        <v>—</v>
      </c>
      <c r="I1194" s="17">
        <f t="shared" ca="1" si="384"/>
        <v>7</v>
      </c>
      <c r="J1194" s="18" t="str">
        <f t="shared" ca="1" si="385"/>
        <v>—</v>
      </c>
      <c r="K1194" s="17">
        <f t="shared" ca="1" si="386"/>
        <v>7</v>
      </c>
      <c r="L1194" s="10" t="str">
        <f t="shared" ca="1" si="387"/>
        <v>—</v>
      </c>
      <c r="M1194" s="17">
        <f t="shared" ca="1" si="388"/>
        <v>7</v>
      </c>
      <c r="N1194" s="18" t="str">
        <f t="shared" ca="1" si="389"/>
        <v>—</v>
      </c>
      <c r="O1194" s="17">
        <f t="shared" ca="1" si="390"/>
        <v>7</v>
      </c>
      <c r="P1194" s="18" t="str">
        <f t="shared" ca="1" si="391"/>
        <v>—</v>
      </c>
      <c r="Q1194" s="17">
        <f t="shared" ca="1" si="392"/>
        <v>7</v>
      </c>
      <c r="R1194" s="10" t="str">
        <f t="shared" ca="1" si="393"/>
        <v>—</v>
      </c>
      <c r="S1194" s="17">
        <f t="shared" ca="1" si="394"/>
        <v>7</v>
      </c>
      <c r="T1194" s="70" t="str">
        <f t="shared" ca="1" si="395"/>
        <v>—</v>
      </c>
      <c r="U1194" s="17">
        <f t="shared" ca="1" si="396"/>
        <v>7</v>
      </c>
      <c r="V1194" s="71" t="str">
        <f t="shared" ca="1" si="397"/>
        <v>—</v>
      </c>
      <c r="W1194" s="17">
        <f t="shared" ca="1" si="398"/>
        <v>7</v>
      </c>
    </row>
    <row r="1195" spans="1:23" x14ac:dyDescent="0.25">
      <c r="A1195" s="4">
        <f t="shared" si="378"/>
        <v>32</v>
      </c>
      <c r="B1195" t="str">
        <f ca="1">TEXT(DATE(YEAR(Invoer!$A$6),1,1)+INT((ROWS(B$2:B1195)-1)/4),"jjjjmmdd")</f>
        <v>19401025</v>
      </c>
      <c r="C1195" s="64" t="str">
        <f>IF(MOD(ROWS(C$2:C1195)-1,4)=3,"24.00",INDEX(Data,3,2+MOD(ROWS(C$2:C1195)-1,4)))</f>
        <v>12.00</v>
      </c>
      <c r="D1195" s="18" t="str">
        <f t="shared" ca="1" si="379"/>
        <v>—</v>
      </c>
      <c r="E1195" s="17">
        <f t="shared" ca="1" si="380"/>
        <v>7</v>
      </c>
      <c r="F1195" s="18" t="str">
        <f t="shared" ca="1" si="381"/>
        <v>—</v>
      </c>
      <c r="G1195" s="17">
        <f t="shared" ca="1" si="382"/>
        <v>7</v>
      </c>
      <c r="H1195" s="18" t="str">
        <f t="shared" ca="1" si="383"/>
        <v>—</v>
      </c>
      <c r="I1195" s="17">
        <f t="shared" ca="1" si="384"/>
        <v>7</v>
      </c>
      <c r="J1195" s="18" t="str">
        <f t="shared" ca="1" si="385"/>
        <v>—</v>
      </c>
      <c r="K1195" s="17">
        <f t="shared" ca="1" si="386"/>
        <v>7</v>
      </c>
      <c r="L1195" s="10" t="str">
        <f t="shared" ca="1" si="387"/>
        <v>—</v>
      </c>
      <c r="M1195" s="17">
        <f t="shared" ca="1" si="388"/>
        <v>7</v>
      </c>
      <c r="N1195" s="18" t="str">
        <f t="shared" ca="1" si="389"/>
        <v>—</v>
      </c>
      <c r="O1195" s="17">
        <f t="shared" ca="1" si="390"/>
        <v>7</v>
      </c>
      <c r="P1195" s="18" t="str">
        <f t="shared" ca="1" si="391"/>
        <v>—</v>
      </c>
      <c r="Q1195" s="17">
        <f t="shared" ca="1" si="392"/>
        <v>7</v>
      </c>
      <c r="R1195" s="10" t="str">
        <f t="shared" ca="1" si="393"/>
        <v>—</v>
      </c>
      <c r="S1195" s="17">
        <f t="shared" ca="1" si="394"/>
        <v>7</v>
      </c>
      <c r="T1195" s="70" t="str">
        <f t="shared" ca="1" si="395"/>
        <v>—</v>
      </c>
      <c r="U1195" s="17">
        <f t="shared" ca="1" si="396"/>
        <v>7</v>
      </c>
      <c r="V1195" s="71" t="str">
        <f t="shared" ca="1" si="397"/>
        <v>—</v>
      </c>
      <c r="W1195" s="17">
        <f t="shared" ca="1" si="398"/>
        <v>7</v>
      </c>
    </row>
    <row r="1196" spans="1:23" x14ac:dyDescent="0.25">
      <c r="A1196" s="4">
        <f t="shared" si="378"/>
        <v>32</v>
      </c>
      <c r="B1196" t="str">
        <f ca="1">TEXT(DATE(YEAR(Invoer!$A$6),1,1)+INT((ROWS(B$2:B1196)-1)/4),"jjjjmmdd")</f>
        <v>19401025</v>
      </c>
      <c r="C1196" s="64" t="str">
        <f>IF(MOD(ROWS(C$2:C1196)-1,4)=3,"24.00",INDEX(Data,3,2+MOD(ROWS(C$2:C1196)-1,4)))</f>
        <v>17.00</v>
      </c>
      <c r="D1196" s="18" t="str">
        <f t="shared" ca="1" si="379"/>
        <v>—</v>
      </c>
      <c r="E1196" s="17">
        <f t="shared" ca="1" si="380"/>
        <v>7</v>
      </c>
      <c r="F1196" s="18" t="str">
        <f t="shared" ca="1" si="381"/>
        <v>—</v>
      </c>
      <c r="G1196" s="17">
        <f t="shared" ca="1" si="382"/>
        <v>7</v>
      </c>
      <c r="H1196" s="18" t="str">
        <f t="shared" ca="1" si="383"/>
        <v>—</v>
      </c>
      <c r="I1196" s="17">
        <f t="shared" ca="1" si="384"/>
        <v>7</v>
      </c>
      <c r="J1196" s="18" t="str">
        <f t="shared" ca="1" si="385"/>
        <v>—</v>
      </c>
      <c r="K1196" s="17">
        <f t="shared" ca="1" si="386"/>
        <v>7</v>
      </c>
      <c r="L1196" s="10" t="str">
        <f t="shared" ca="1" si="387"/>
        <v>—</v>
      </c>
      <c r="M1196" s="17">
        <f t="shared" ca="1" si="388"/>
        <v>7</v>
      </c>
      <c r="N1196" s="18" t="str">
        <f t="shared" ca="1" si="389"/>
        <v>—</v>
      </c>
      <c r="O1196" s="17">
        <f t="shared" ca="1" si="390"/>
        <v>7</v>
      </c>
      <c r="P1196" s="18" t="str">
        <f t="shared" ca="1" si="391"/>
        <v>—</v>
      </c>
      <c r="Q1196" s="17">
        <f t="shared" ca="1" si="392"/>
        <v>7</v>
      </c>
      <c r="R1196" s="10" t="str">
        <f t="shared" ca="1" si="393"/>
        <v>—</v>
      </c>
      <c r="S1196" s="17">
        <f t="shared" ca="1" si="394"/>
        <v>7</v>
      </c>
      <c r="T1196" s="70" t="str">
        <f t="shared" ca="1" si="395"/>
        <v>—</v>
      </c>
      <c r="U1196" s="17">
        <f t="shared" ca="1" si="396"/>
        <v>7</v>
      </c>
      <c r="V1196" s="71" t="str">
        <f t="shared" ca="1" si="397"/>
        <v>—</v>
      </c>
      <c r="W1196" s="17">
        <f t="shared" ca="1" si="398"/>
        <v>7</v>
      </c>
    </row>
    <row r="1197" spans="1:23" x14ac:dyDescent="0.25">
      <c r="A1197" s="4">
        <f t="shared" si="378"/>
        <v>32</v>
      </c>
      <c r="B1197" t="str">
        <f ca="1">TEXT(DATE(YEAR(Invoer!$A$6),1,1)+INT((ROWS(B$2:B1197)-1)/4),"jjjjmmdd")</f>
        <v>19401025</v>
      </c>
      <c r="C1197" s="64" t="str">
        <f>IF(MOD(ROWS(C$2:C1197)-1,4)=3,"24.00",INDEX(Data,3,2+MOD(ROWS(C$2:C1197)-1,4)))</f>
        <v>24.00</v>
      </c>
      <c r="D1197" s="18" t="str">
        <f t="shared" ca="1" si="379"/>
        <v>—</v>
      </c>
      <c r="E1197" s="17">
        <f t="shared" ca="1" si="380"/>
        <v>7</v>
      </c>
      <c r="F1197" s="18" t="str">
        <f t="shared" ca="1" si="381"/>
        <v>—</v>
      </c>
      <c r="G1197" s="17">
        <f t="shared" ca="1" si="382"/>
        <v>7</v>
      </c>
      <c r="H1197" s="18" t="str">
        <f t="shared" ca="1" si="383"/>
        <v>—</v>
      </c>
      <c r="I1197" s="17">
        <f t="shared" ca="1" si="384"/>
        <v>7</v>
      </c>
      <c r="J1197" s="18" t="str">
        <f t="shared" ca="1" si="385"/>
        <v>—</v>
      </c>
      <c r="K1197" s="17">
        <f t="shared" ca="1" si="386"/>
        <v>7</v>
      </c>
      <c r="L1197" s="10" t="str">
        <f t="shared" ca="1" si="387"/>
        <v>—</v>
      </c>
      <c r="M1197" s="17">
        <f t="shared" ca="1" si="388"/>
        <v>7</v>
      </c>
      <c r="N1197" s="18" t="str">
        <f t="shared" ca="1" si="389"/>
        <v>—</v>
      </c>
      <c r="O1197" s="17">
        <f t="shared" ca="1" si="390"/>
        <v>7</v>
      </c>
      <c r="P1197" s="18" t="str">
        <f t="shared" ca="1" si="391"/>
        <v>—</v>
      </c>
      <c r="Q1197" s="17">
        <f t="shared" ca="1" si="392"/>
        <v>7</v>
      </c>
      <c r="R1197" s="10" t="str">
        <f t="shared" ca="1" si="393"/>
        <v>—</v>
      </c>
      <c r="S1197" s="17">
        <f t="shared" ca="1" si="394"/>
        <v>7</v>
      </c>
      <c r="T1197" s="70" t="str">
        <f t="shared" ca="1" si="395"/>
        <v>—</v>
      </c>
      <c r="U1197" s="17">
        <f t="shared" ca="1" si="396"/>
        <v>7</v>
      </c>
      <c r="V1197" s="71" t="str">
        <f t="shared" ca="1" si="397"/>
        <v>—</v>
      </c>
      <c r="W1197" s="17">
        <f t="shared" ca="1" si="398"/>
        <v>7</v>
      </c>
    </row>
    <row r="1198" spans="1:23" x14ac:dyDescent="0.25">
      <c r="A1198" s="4">
        <f t="shared" si="378"/>
        <v>32</v>
      </c>
      <c r="B1198" t="str">
        <f ca="1">TEXT(DATE(YEAR(Invoer!$A$6),1,1)+INT((ROWS(B$2:B1198)-1)/4),"jjjjmmdd")</f>
        <v>19401026</v>
      </c>
      <c r="C1198" s="64" t="str">
        <f>IF(MOD(ROWS(C$2:C1198)-1,4)=3,"24.00",INDEX(Data,3,2+MOD(ROWS(C$2:C1198)-1,4)))</f>
        <v>07.00</v>
      </c>
      <c r="D1198" s="18" t="str">
        <f t="shared" ca="1" si="379"/>
        <v>—</v>
      </c>
      <c r="E1198" s="17">
        <f t="shared" ca="1" si="380"/>
        <v>7</v>
      </c>
      <c r="F1198" s="18" t="str">
        <f t="shared" ca="1" si="381"/>
        <v>—</v>
      </c>
      <c r="G1198" s="17">
        <f t="shared" ca="1" si="382"/>
        <v>7</v>
      </c>
      <c r="H1198" s="18" t="str">
        <f t="shared" ca="1" si="383"/>
        <v>—</v>
      </c>
      <c r="I1198" s="17">
        <f t="shared" ca="1" si="384"/>
        <v>7</v>
      </c>
      <c r="J1198" s="18" t="str">
        <f t="shared" ca="1" si="385"/>
        <v>—</v>
      </c>
      <c r="K1198" s="17">
        <f t="shared" ca="1" si="386"/>
        <v>7</v>
      </c>
      <c r="L1198" s="10" t="str">
        <f t="shared" ca="1" si="387"/>
        <v>—</v>
      </c>
      <c r="M1198" s="17">
        <f t="shared" ca="1" si="388"/>
        <v>7</v>
      </c>
      <c r="N1198" s="18" t="str">
        <f t="shared" ca="1" si="389"/>
        <v>—</v>
      </c>
      <c r="O1198" s="17">
        <f t="shared" ca="1" si="390"/>
        <v>7</v>
      </c>
      <c r="P1198" s="18" t="str">
        <f t="shared" ca="1" si="391"/>
        <v>—</v>
      </c>
      <c r="Q1198" s="17">
        <f t="shared" ca="1" si="392"/>
        <v>7</v>
      </c>
      <c r="R1198" s="10" t="str">
        <f t="shared" ca="1" si="393"/>
        <v>—</v>
      </c>
      <c r="S1198" s="17">
        <f t="shared" ca="1" si="394"/>
        <v>7</v>
      </c>
      <c r="T1198" s="70" t="str">
        <f t="shared" ca="1" si="395"/>
        <v>—</v>
      </c>
      <c r="U1198" s="17">
        <f t="shared" ca="1" si="396"/>
        <v>7</v>
      </c>
      <c r="V1198" s="71" t="str">
        <f t="shared" ca="1" si="397"/>
        <v>—</v>
      </c>
      <c r="W1198" s="17">
        <f t="shared" ca="1" si="398"/>
        <v>7</v>
      </c>
    </row>
    <row r="1199" spans="1:23" x14ac:dyDescent="0.25">
      <c r="A1199" s="4">
        <f t="shared" si="378"/>
        <v>32</v>
      </c>
      <c r="B1199" t="str">
        <f ca="1">TEXT(DATE(YEAR(Invoer!$A$6),1,1)+INT((ROWS(B$2:B1199)-1)/4),"jjjjmmdd")</f>
        <v>19401026</v>
      </c>
      <c r="C1199" s="64" t="str">
        <f>IF(MOD(ROWS(C$2:C1199)-1,4)=3,"24.00",INDEX(Data,3,2+MOD(ROWS(C$2:C1199)-1,4)))</f>
        <v>12.00</v>
      </c>
      <c r="D1199" s="18" t="str">
        <f t="shared" ca="1" si="379"/>
        <v>—</v>
      </c>
      <c r="E1199" s="17">
        <f t="shared" ca="1" si="380"/>
        <v>7</v>
      </c>
      <c r="F1199" s="18" t="str">
        <f t="shared" ca="1" si="381"/>
        <v>—</v>
      </c>
      <c r="G1199" s="17">
        <f t="shared" ca="1" si="382"/>
        <v>7</v>
      </c>
      <c r="H1199" s="18" t="str">
        <f t="shared" ca="1" si="383"/>
        <v>—</v>
      </c>
      <c r="I1199" s="17">
        <f t="shared" ca="1" si="384"/>
        <v>7</v>
      </c>
      <c r="J1199" s="18" t="str">
        <f t="shared" ca="1" si="385"/>
        <v>—</v>
      </c>
      <c r="K1199" s="17">
        <f t="shared" ca="1" si="386"/>
        <v>7</v>
      </c>
      <c r="L1199" s="10" t="str">
        <f t="shared" ca="1" si="387"/>
        <v>—</v>
      </c>
      <c r="M1199" s="17">
        <f t="shared" ca="1" si="388"/>
        <v>7</v>
      </c>
      <c r="N1199" s="18" t="str">
        <f t="shared" ca="1" si="389"/>
        <v>—</v>
      </c>
      <c r="O1199" s="17">
        <f t="shared" ca="1" si="390"/>
        <v>7</v>
      </c>
      <c r="P1199" s="18" t="str">
        <f t="shared" ca="1" si="391"/>
        <v>—</v>
      </c>
      <c r="Q1199" s="17">
        <f t="shared" ca="1" si="392"/>
        <v>7</v>
      </c>
      <c r="R1199" s="10" t="str">
        <f t="shared" ca="1" si="393"/>
        <v>—</v>
      </c>
      <c r="S1199" s="17">
        <f t="shared" ca="1" si="394"/>
        <v>7</v>
      </c>
      <c r="T1199" s="70" t="str">
        <f t="shared" ca="1" si="395"/>
        <v>—</v>
      </c>
      <c r="U1199" s="17">
        <f t="shared" ca="1" si="396"/>
        <v>7</v>
      </c>
      <c r="V1199" s="71" t="str">
        <f t="shared" ca="1" si="397"/>
        <v>—</v>
      </c>
      <c r="W1199" s="17">
        <f t="shared" ca="1" si="398"/>
        <v>7</v>
      </c>
    </row>
    <row r="1200" spans="1:23" x14ac:dyDescent="0.25">
      <c r="A1200" s="4">
        <f t="shared" si="378"/>
        <v>32</v>
      </c>
      <c r="B1200" t="str">
        <f ca="1">TEXT(DATE(YEAR(Invoer!$A$6),1,1)+INT((ROWS(B$2:B1200)-1)/4),"jjjjmmdd")</f>
        <v>19401026</v>
      </c>
      <c r="C1200" s="64" t="str">
        <f>IF(MOD(ROWS(C$2:C1200)-1,4)=3,"24.00",INDEX(Data,3,2+MOD(ROWS(C$2:C1200)-1,4)))</f>
        <v>17.00</v>
      </c>
      <c r="D1200" s="18" t="str">
        <f t="shared" ca="1" si="379"/>
        <v>—</v>
      </c>
      <c r="E1200" s="17">
        <f t="shared" ca="1" si="380"/>
        <v>7</v>
      </c>
      <c r="F1200" s="18" t="str">
        <f t="shared" ca="1" si="381"/>
        <v>—</v>
      </c>
      <c r="G1200" s="17">
        <f t="shared" ca="1" si="382"/>
        <v>7</v>
      </c>
      <c r="H1200" s="18" t="str">
        <f t="shared" ca="1" si="383"/>
        <v>—</v>
      </c>
      <c r="I1200" s="17">
        <f t="shared" ca="1" si="384"/>
        <v>7</v>
      </c>
      <c r="J1200" s="18" t="str">
        <f t="shared" ca="1" si="385"/>
        <v>—</v>
      </c>
      <c r="K1200" s="17">
        <f t="shared" ca="1" si="386"/>
        <v>7</v>
      </c>
      <c r="L1200" s="10" t="str">
        <f t="shared" ca="1" si="387"/>
        <v>—</v>
      </c>
      <c r="M1200" s="17">
        <f t="shared" ca="1" si="388"/>
        <v>7</v>
      </c>
      <c r="N1200" s="18" t="str">
        <f t="shared" ca="1" si="389"/>
        <v>—</v>
      </c>
      <c r="O1200" s="17">
        <f t="shared" ca="1" si="390"/>
        <v>7</v>
      </c>
      <c r="P1200" s="18" t="str">
        <f t="shared" ca="1" si="391"/>
        <v>—</v>
      </c>
      <c r="Q1200" s="17">
        <f t="shared" ca="1" si="392"/>
        <v>7</v>
      </c>
      <c r="R1200" s="10" t="str">
        <f t="shared" ca="1" si="393"/>
        <v>—</v>
      </c>
      <c r="S1200" s="17">
        <f t="shared" ca="1" si="394"/>
        <v>7</v>
      </c>
      <c r="T1200" s="70" t="str">
        <f t="shared" ca="1" si="395"/>
        <v>—</v>
      </c>
      <c r="U1200" s="17">
        <f t="shared" ca="1" si="396"/>
        <v>7</v>
      </c>
      <c r="V1200" s="71" t="str">
        <f t="shared" ca="1" si="397"/>
        <v>—</v>
      </c>
      <c r="W1200" s="17">
        <f t="shared" ca="1" si="398"/>
        <v>7</v>
      </c>
    </row>
    <row r="1201" spans="1:23" x14ac:dyDescent="0.25">
      <c r="A1201" s="4">
        <f t="shared" si="378"/>
        <v>32</v>
      </c>
      <c r="B1201" t="str">
        <f ca="1">TEXT(DATE(YEAR(Invoer!$A$6),1,1)+INT((ROWS(B$2:B1201)-1)/4),"jjjjmmdd")</f>
        <v>19401026</v>
      </c>
      <c r="C1201" s="64" t="str">
        <f>IF(MOD(ROWS(C$2:C1201)-1,4)=3,"24.00",INDEX(Data,3,2+MOD(ROWS(C$2:C1201)-1,4)))</f>
        <v>24.00</v>
      </c>
      <c r="D1201" s="18" t="str">
        <f t="shared" ca="1" si="379"/>
        <v>—</v>
      </c>
      <c r="E1201" s="17">
        <f t="shared" ca="1" si="380"/>
        <v>7</v>
      </c>
      <c r="F1201" s="18" t="str">
        <f t="shared" ca="1" si="381"/>
        <v>—</v>
      </c>
      <c r="G1201" s="17">
        <f t="shared" ca="1" si="382"/>
        <v>7</v>
      </c>
      <c r="H1201" s="18" t="str">
        <f t="shared" ca="1" si="383"/>
        <v>—</v>
      </c>
      <c r="I1201" s="17">
        <f t="shared" ca="1" si="384"/>
        <v>7</v>
      </c>
      <c r="J1201" s="18" t="str">
        <f t="shared" ca="1" si="385"/>
        <v>—</v>
      </c>
      <c r="K1201" s="17">
        <f t="shared" ca="1" si="386"/>
        <v>7</v>
      </c>
      <c r="L1201" s="10" t="str">
        <f t="shared" ca="1" si="387"/>
        <v>—</v>
      </c>
      <c r="M1201" s="17">
        <f t="shared" ca="1" si="388"/>
        <v>7</v>
      </c>
      <c r="N1201" s="18" t="str">
        <f t="shared" ca="1" si="389"/>
        <v>—</v>
      </c>
      <c r="O1201" s="17">
        <f t="shared" ca="1" si="390"/>
        <v>7</v>
      </c>
      <c r="P1201" s="18" t="str">
        <f t="shared" ca="1" si="391"/>
        <v>—</v>
      </c>
      <c r="Q1201" s="17">
        <f t="shared" ca="1" si="392"/>
        <v>7</v>
      </c>
      <c r="R1201" s="10" t="str">
        <f t="shared" ca="1" si="393"/>
        <v>—</v>
      </c>
      <c r="S1201" s="17">
        <f t="shared" ca="1" si="394"/>
        <v>7</v>
      </c>
      <c r="T1201" s="70" t="str">
        <f t="shared" ca="1" si="395"/>
        <v>—</v>
      </c>
      <c r="U1201" s="17">
        <f t="shared" ca="1" si="396"/>
        <v>7</v>
      </c>
      <c r="V1201" s="71" t="str">
        <f t="shared" ca="1" si="397"/>
        <v>—</v>
      </c>
      <c r="W1201" s="17">
        <f t="shared" ca="1" si="398"/>
        <v>7</v>
      </c>
    </row>
    <row r="1202" spans="1:23" x14ac:dyDescent="0.25">
      <c r="A1202" s="4">
        <f t="shared" si="378"/>
        <v>32</v>
      </c>
      <c r="B1202" t="str">
        <f ca="1">TEXT(DATE(YEAR(Invoer!$A$6),1,1)+INT((ROWS(B$2:B1202)-1)/4),"jjjjmmdd")</f>
        <v>19401027</v>
      </c>
      <c r="C1202" s="64" t="str">
        <f>IF(MOD(ROWS(C$2:C1202)-1,4)=3,"24.00",INDEX(Data,3,2+MOD(ROWS(C$2:C1202)-1,4)))</f>
        <v>07.00</v>
      </c>
      <c r="D1202" s="18" t="str">
        <f t="shared" ca="1" si="379"/>
        <v>—</v>
      </c>
      <c r="E1202" s="17">
        <f t="shared" ca="1" si="380"/>
        <v>7</v>
      </c>
      <c r="F1202" s="18" t="str">
        <f t="shared" ca="1" si="381"/>
        <v>—</v>
      </c>
      <c r="G1202" s="17">
        <f t="shared" ca="1" si="382"/>
        <v>7</v>
      </c>
      <c r="H1202" s="18" t="str">
        <f t="shared" ca="1" si="383"/>
        <v>—</v>
      </c>
      <c r="I1202" s="17">
        <f t="shared" ca="1" si="384"/>
        <v>7</v>
      </c>
      <c r="J1202" s="18" t="str">
        <f t="shared" ca="1" si="385"/>
        <v>—</v>
      </c>
      <c r="K1202" s="17">
        <f t="shared" ca="1" si="386"/>
        <v>7</v>
      </c>
      <c r="L1202" s="10" t="str">
        <f t="shared" ca="1" si="387"/>
        <v>—</v>
      </c>
      <c r="M1202" s="17">
        <f t="shared" ca="1" si="388"/>
        <v>7</v>
      </c>
      <c r="N1202" s="18" t="str">
        <f t="shared" ca="1" si="389"/>
        <v>—</v>
      </c>
      <c r="O1202" s="17">
        <f t="shared" ca="1" si="390"/>
        <v>7</v>
      </c>
      <c r="P1202" s="18" t="str">
        <f t="shared" ca="1" si="391"/>
        <v>—</v>
      </c>
      <c r="Q1202" s="17">
        <f t="shared" ca="1" si="392"/>
        <v>7</v>
      </c>
      <c r="R1202" s="10" t="str">
        <f t="shared" ca="1" si="393"/>
        <v>—</v>
      </c>
      <c r="S1202" s="17">
        <f t="shared" ca="1" si="394"/>
        <v>7</v>
      </c>
      <c r="T1202" s="70" t="str">
        <f t="shared" ca="1" si="395"/>
        <v>—</v>
      </c>
      <c r="U1202" s="17">
        <f t="shared" ca="1" si="396"/>
        <v>7</v>
      </c>
      <c r="V1202" s="71" t="str">
        <f t="shared" ca="1" si="397"/>
        <v>—</v>
      </c>
      <c r="W1202" s="17">
        <f t="shared" ca="1" si="398"/>
        <v>7</v>
      </c>
    </row>
    <row r="1203" spans="1:23" x14ac:dyDescent="0.25">
      <c r="A1203" s="4">
        <f t="shared" si="378"/>
        <v>32</v>
      </c>
      <c r="B1203" t="str">
        <f ca="1">TEXT(DATE(YEAR(Invoer!$A$6),1,1)+INT((ROWS(B$2:B1203)-1)/4),"jjjjmmdd")</f>
        <v>19401027</v>
      </c>
      <c r="C1203" s="64" t="str">
        <f>IF(MOD(ROWS(C$2:C1203)-1,4)=3,"24.00",INDEX(Data,3,2+MOD(ROWS(C$2:C1203)-1,4)))</f>
        <v>12.00</v>
      </c>
      <c r="D1203" s="18" t="str">
        <f t="shared" ca="1" si="379"/>
        <v>—</v>
      </c>
      <c r="E1203" s="17">
        <f t="shared" ca="1" si="380"/>
        <v>7</v>
      </c>
      <c r="F1203" s="18" t="str">
        <f t="shared" ca="1" si="381"/>
        <v>—</v>
      </c>
      <c r="G1203" s="17">
        <f t="shared" ca="1" si="382"/>
        <v>7</v>
      </c>
      <c r="H1203" s="18" t="str">
        <f t="shared" ca="1" si="383"/>
        <v>—</v>
      </c>
      <c r="I1203" s="17">
        <f t="shared" ca="1" si="384"/>
        <v>7</v>
      </c>
      <c r="J1203" s="18" t="str">
        <f t="shared" ca="1" si="385"/>
        <v>—</v>
      </c>
      <c r="K1203" s="17">
        <f t="shared" ca="1" si="386"/>
        <v>7</v>
      </c>
      <c r="L1203" s="10" t="str">
        <f t="shared" ca="1" si="387"/>
        <v>—</v>
      </c>
      <c r="M1203" s="17">
        <f t="shared" ca="1" si="388"/>
        <v>7</v>
      </c>
      <c r="N1203" s="18" t="str">
        <f t="shared" ca="1" si="389"/>
        <v>—</v>
      </c>
      <c r="O1203" s="17">
        <f t="shared" ca="1" si="390"/>
        <v>7</v>
      </c>
      <c r="P1203" s="18" t="str">
        <f t="shared" ca="1" si="391"/>
        <v>—</v>
      </c>
      <c r="Q1203" s="17">
        <f t="shared" ca="1" si="392"/>
        <v>7</v>
      </c>
      <c r="R1203" s="10" t="str">
        <f t="shared" ca="1" si="393"/>
        <v>—</v>
      </c>
      <c r="S1203" s="17">
        <f t="shared" ca="1" si="394"/>
        <v>7</v>
      </c>
      <c r="T1203" s="70" t="str">
        <f t="shared" ca="1" si="395"/>
        <v>—</v>
      </c>
      <c r="U1203" s="17">
        <f t="shared" ca="1" si="396"/>
        <v>7</v>
      </c>
      <c r="V1203" s="71" t="str">
        <f t="shared" ca="1" si="397"/>
        <v>—</v>
      </c>
      <c r="W1203" s="17">
        <f t="shared" ca="1" si="398"/>
        <v>7</v>
      </c>
    </row>
    <row r="1204" spans="1:23" x14ac:dyDescent="0.25">
      <c r="A1204" s="4">
        <f t="shared" si="378"/>
        <v>32</v>
      </c>
      <c r="B1204" t="str">
        <f ca="1">TEXT(DATE(YEAR(Invoer!$A$6),1,1)+INT((ROWS(B$2:B1204)-1)/4),"jjjjmmdd")</f>
        <v>19401027</v>
      </c>
      <c r="C1204" s="64" t="str">
        <f>IF(MOD(ROWS(C$2:C1204)-1,4)=3,"24.00",INDEX(Data,3,2+MOD(ROWS(C$2:C1204)-1,4)))</f>
        <v>17.00</v>
      </c>
      <c r="D1204" s="18" t="str">
        <f t="shared" ca="1" si="379"/>
        <v>—</v>
      </c>
      <c r="E1204" s="17">
        <f t="shared" ca="1" si="380"/>
        <v>7</v>
      </c>
      <c r="F1204" s="18" t="str">
        <f t="shared" ca="1" si="381"/>
        <v>—</v>
      </c>
      <c r="G1204" s="17">
        <f t="shared" ca="1" si="382"/>
        <v>7</v>
      </c>
      <c r="H1204" s="18" t="str">
        <f t="shared" ca="1" si="383"/>
        <v>—</v>
      </c>
      <c r="I1204" s="17">
        <f t="shared" ca="1" si="384"/>
        <v>7</v>
      </c>
      <c r="J1204" s="18" t="str">
        <f t="shared" ca="1" si="385"/>
        <v>—</v>
      </c>
      <c r="K1204" s="17">
        <f t="shared" ca="1" si="386"/>
        <v>7</v>
      </c>
      <c r="L1204" s="10" t="str">
        <f t="shared" ca="1" si="387"/>
        <v>—</v>
      </c>
      <c r="M1204" s="17">
        <f t="shared" ca="1" si="388"/>
        <v>7</v>
      </c>
      <c r="N1204" s="18" t="str">
        <f t="shared" ca="1" si="389"/>
        <v>—</v>
      </c>
      <c r="O1204" s="17">
        <f t="shared" ca="1" si="390"/>
        <v>7</v>
      </c>
      <c r="P1204" s="18" t="str">
        <f t="shared" ca="1" si="391"/>
        <v>—</v>
      </c>
      <c r="Q1204" s="17">
        <f t="shared" ca="1" si="392"/>
        <v>7</v>
      </c>
      <c r="R1204" s="10" t="str">
        <f t="shared" ca="1" si="393"/>
        <v>—</v>
      </c>
      <c r="S1204" s="17">
        <f t="shared" ca="1" si="394"/>
        <v>7</v>
      </c>
      <c r="T1204" s="70" t="str">
        <f t="shared" ca="1" si="395"/>
        <v>—</v>
      </c>
      <c r="U1204" s="17">
        <f t="shared" ca="1" si="396"/>
        <v>7</v>
      </c>
      <c r="V1204" s="71" t="str">
        <f t="shared" ca="1" si="397"/>
        <v>—</v>
      </c>
      <c r="W1204" s="17">
        <f t="shared" ca="1" si="398"/>
        <v>7</v>
      </c>
    </row>
    <row r="1205" spans="1:23" x14ac:dyDescent="0.25">
      <c r="A1205" s="4">
        <f t="shared" si="378"/>
        <v>32</v>
      </c>
      <c r="B1205" t="str">
        <f ca="1">TEXT(DATE(YEAR(Invoer!$A$6),1,1)+INT((ROWS(B$2:B1205)-1)/4),"jjjjmmdd")</f>
        <v>19401027</v>
      </c>
      <c r="C1205" s="64" t="str">
        <f>IF(MOD(ROWS(C$2:C1205)-1,4)=3,"24.00",INDEX(Data,3,2+MOD(ROWS(C$2:C1205)-1,4)))</f>
        <v>24.00</v>
      </c>
      <c r="D1205" s="18" t="str">
        <f t="shared" ca="1" si="379"/>
        <v>—</v>
      </c>
      <c r="E1205" s="17">
        <f t="shared" ca="1" si="380"/>
        <v>7</v>
      </c>
      <c r="F1205" s="18" t="str">
        <f t="shared" ca="1" si="381"/>
        <v>—</v>
      </c>
      <c r="G1205" s="17">
        <f t="shared" ca="1" si="382"/>
        <v>7</v>
      </c>
      <c r="H1205" s="18" t="str">
        <f t="shared" ca="1" si="383"/>
        <v>—</v>
      </c>
      <c r="I1205" s="17">
        <f t="shared" ca="1" si="384"/>
        <v>7</v>
      </c>
      <c r="J1205" s="18" t="str">
        <f t="shared" ca="1" si="385"/>
        <v>—</v>
      </c>
      <c r="K1205" s="17">
        <f t="shared" ca="1" si="386"/>
        <v>7</v>
      </c>
      <c r="L1205" s="10" t="str">
        <f t="shared" ca="1" si="387"/>
        <v>—</v>
      </c>
      <c r="M1205" s="17">
        <f t="shared" ca="1" si="388"/>
        <v>7</v>
      </c>
      <c r="N1205" s="18" t="str">
        <f t="shared" ca="1" si="389"/>
        <v>—</v>
      </c>
      <c r="O1205" s="17">
        <f t="shared" ca="1" si="390"/>
        <v>7</v>
      </c>
      <c r="P1205" s="18" t="str">
        <f t="shared" ca="1" si="391"/>
        <v>—</v>
      </c>
      <c r="Q1205" s="17">
        <f t="shared" ca="1" si="392"/>
        <v>7</v>
      </c>
      <c r="R1205" s="10" t="str">
        <f t="shared" ca="1" si="393"/>
        <v>—</v>
      </c>
      <c r="S1205" s="17">
        <f t="shared" ca="1" si="394"/>
        <v>7</v>
      </c>
      <c r="T1205" s="70" t="str">
        <f t="shared" ca="1" si="395"/>
        <v>—</v>
      </c>
      <c r="U1205" s="17">
        <f t="shared" ca="1" si="396"/>
        <v>7</v>
      </c>
      <c r="V1205" s="71" t="str">
        <f t="shared" ca="1" si="397"/>
        <v>—</v>
      </c>
      <c r="W1205" s="17">
        <f t="shared" ca="1" si="398"/>
        <v>7</v>
      </c>
    </row>
    <row r="1206" spans="1:23" x14ac:dyDescent="0.25">
      <c r="A1206" s="4">
        <f t="shared" si="378"/>
        <v>32</v>
      </c>
      <c r="B1206" t="str">
        <f ca="1">TEXT(DATE(YEAR(Invoer!$A$6),1,1)+INT((ROWS(B$2:B1206)-1)/4),"jjjjmmdd")</f>
        <v>19401028</v>
      </c>
      <c r="C1206" s="64" t="str">
        <f>IF(MOD(ROWS(C$2:C1206)-1,4)=3,"24.00",INDEX(Data,3,2+MOD(ROWS(C$2:C1206)-1,4)))</f>
        <v>07.00</v>
      </c>
      <c r="D1206" s="18" t="str">
        <f t="shared" ca="1" si="379"/>
        <v>—</v>
      </c>
      <c r="E1206" s="17">
        <f t="shared" ca="1" si="380"/>
        <v>7</v>
      </c>
      <c r="F1206" s="18" t="str">
        <f t="shared" ca="1" si="381"/>
        <v>—</v>
      </c>
      <c r="G1206" s="17">
        <f t="shared" ca="1" si="382"/>
        <v>7</v>
      </c>
      <c r="H1206" s="18" t="str">
        <f t="shared" ca="1" si="383"/>
        <v>—</v>
      </c>
      <c r="I1206" s="17">
        <f t="shared" ca="1" si="384"/>
        <v>7</v>
      </c>
      <c r="J1206" s="18" t="str">
        <f t="shared" ca="1" si="385"/>
        <v>—</v>
      </c>
      <c r="K1206" s="17">
        <f t="shared" ca="1" si="386"/>
        <v>7</v>
      </c>
      <c r="L1206" s="10" t="str">
        <f t="shared" ca="1" si="387"/>
        <v>—</v>
      </c>
      <c r="M1206" s="17">
        <f t="shared" ca="1" si="388"/>
        <v>7</v>
      </c>
      <c r="N1206" s="18" t="str">
        <f t="shared" ca="1" si="389"/>
        <v>—</v>
      </c>
      <c r="O1206" s="17">
        <f t="shared" ca="1" si="390"/>
        <v>7</v>
      </c>
      <c r="P1206" s="18" t="str">
        <f t="shared" ca="1" si="391"/>
        <v>—</v>
      </c>
      <c r="Q1206" s="17">
        <f t="shared" ca="1" si="392"/>
        <v>7</v>
      </c>
      <c r="R1206" s="10" t="str">
        <f t="shared" ca="1" si="393"/>
        <v>—</v>
      </c>
      <c r="S1206" s="17">
        <f t="shared" ca="1" si="394"/>
        <v>7</v>
      </c>
      <c r="T1206" s="70" t="str">
        <f t="shared" ca="1" si="395"/>
        <v>—</v>
      </c>
      <c r="U1206" s="17">
        <f t="shared" ca="1" si="396"/>
        <v>7</v>
      </c>
      <c r="V1206" s="71" t="str">
        <f t="shared" ca="1" si="397"/>
        <v>—</v>
      </c>
      <c r="W1206" s="17">
        <f t="shared" ca="1" si="398"/>
        <v>7</v>
      </c>
    </row>
    <row r="1207" spans="1:23" x14ac:dyDescent="0.25">
      <c r="A1207" s="4">
        <f t="shared" si="378"/>
        <v>32</v>
      </c>
      <c r="B1207" t="str">
        <f ca="1">TEXT(DATE(YEAR(Invoer!$A$6),1,1)+INT((ROWS(B$2:B1207)-1)/4),"jjjjmmdd")</f>
        <v>19401028</v>
      </c>
      <c r="C1207" s="64" t="str">
        <f>IF(MOD(ROWS(C$2:C1207)-1,4)=3,"24.00",INDEX(Data,3,2+MOD(ROWS(C$2:C1207)-1,4)))</f>
        <v>12.00</v>
      </c>
      <c r="D1207" s="18" t="str">
        <f t="shared" ca="1" si="379"/>
        <v>—</v>
      </c>
      <c r="E1207" s="17">
        <f t="shared" ca="1" si="380"/>
        <v>7</v>
      </c>
      <c r="F1207" s="18" t="str">
        <f t="shared" ca="1" si="381"/>
        <v>—</v>
      </c>
      <c r="G1207" s="17">
        <f t="shared" ca="1" si="382"/>
        <v>7</v>
      </c>
      <c r="H1207" s="18" t="str">
        <f t="shared" ca="1" si="383"/>
        <v>—</v>
      </c>
      <c r="I1207" s="17">
        <f t="shared" ca="1" si="384"/>
        <v>7</v>
      </c>
      <c r="J1207" s="18" t="str">
        <f t="shared" ca="1" si="385"/>
        <v>—</v>
      </c>
      <c r="K1207" s="17">
        <f t="shared" ca="1" si="386"/>
        <v>7</v>
      </c>
      <c r="L1207" s="10" t="str">
        <f t="shared" ca="1" si="387"/>
        <v>—</v>
      </c>
      <c r="M1207" s="17">
        <f t="shared" ca="1" si="388"/>
        <v>7</v>
      </c>
      <c r="N1207" s="18" t="str">
        <f t="shared" ca="1" si="389"/>
        <v>—</v>
      </c>
      <c r="O1207" s="17">
        <f t="shared" ca="1" si="390"/>
        <v>7</v>
      </c>
      <c r="P1207" s="18" t="str">
        <f t="shared" ca="1" si="391"/>
        <v>—</v>
      </c>
      <c r="Q1207" s="17">
        <f t="shared" ca="1" si="392"/>
        <v>7</v>
      </c>
      <c r="R1207" s="10" t="str">
        <f t="shared" ca="1" si="393"/>
        <v>—</v>
      </c>
      <c r="S1207" s="17">
        <f t="shared" ca="1" si="394"/>
        <v>7</v>
      </c>
      <c r="T1207" s="70" t="str">
        <f t="shared" ca="1" si="395"/>
        <v>—</v>
      </c>
      <c r="U1207" s="17">
        <f t="shared" ca="1" si="396"/>
        <v>7</v>
      </c>
      <c r="V1207" s="71" t="str">
        <f t="shared" ca="1" si="397"/>
        <v>—</v>
      </c>
      <c r="W1207" s="17">
        <f t="shared" ca="1" si="398"/>
        <v>7</v>
      </c>
    </row>
    <row r="1208" spans="1:23" x14ac:dyDescent="0.25">
      <c r="A1208" s="4">
        <f t="shared" si="378"/>
        <v>32</v>
      </c>
      <c r="B1208" t="str">
        <f ca="1">TEXT(DATE(YEAR(Invoer!$A$6),1,1)+INT((ROWS(B$2:B1208)-1)/4),"jjjjmmdd")</f>
        <v>19401028</v>
      </c>
      <c r="C1208" s="64" t="str">
        <f>IF(MOD(ROWS(C$2:C1208)-1,4)=3,"24.00",INDEX(Data,3,2+MOD(ROWS(C$2:C1208)-1,4)))</f>
        <v>17.00</v>
      </c>
      <c r="D1208" s="18" t="str">
        <f t="shared" ca="1" si="379"/>
        <v>—</v>
      </c>
      <c r="E1208" s="17">
        <f t="shared" ca="1" si="380"/>
        <v>7</v>
      </c>
      <c r="F1208" s="18" t="str">
        <f t="shared" ca="1" si="381"/>
        <v>—</v>
      </c>
      <c r="G1208" s="17">
        <f t="shared" ca="1" si="382"/>
        <v>7</v>
      </c>
      <c r="H1208" s="18" t="str">
        <f t="shared" ca="1" si="383"/>
        <v>—</v>
      </c>
      <c r="I1208" s="17">
        <f t="shared" ca="1" si="384"/>
        <v>7</v>
      </c>
      <c r="J1208" s="18" t="str">
        <f t="shared" ca="1" si="385"/>
        <v>—</v>
      </c>
      <c r="K1208" s="17">
        <f t="shared" ca="1" si="386"/>
        <v>7</v>
      </c>
      <c r="L1208" s="10" t="str">
        <f t="shared" ca="1" si="387"/>
        <v>—</v>
      </c>
      <c r="M1208" s="17">
        <f t="shared" ca="1" si="388"/>
        <v>7</v>
      </c>
      <c r="N1208" s="18" t="str">
        <f t="shared" ca="1" si="389"/>
        <v>—</v>
      </c>
      <c r="O1208" s="17">
        <f t="shared" ca="1" si="390"/>
        <v>7</v>
      </c>
      <c r="P1208" s="18" t="str">
        <f t="shared" ca="1" si="391"/>
        <v>—</v>
      </c>
      <c r="Q1208" s="17">
        <f t="shared" ca="1" si="392"/>
        <v>7</v>
      </c>
      <c r="R1208" s="10" t="str">
        <f t="shared" ca="1" si="393"/>
        <v>—</v>
      </c>
      <c r="S1208" s="17">
        <f t="shared" ca="1" si="394"/>
        <v>7</v>
      </c>
      <c r="T1208" s="70" t="str">
        <f t="shared" ca="1" si="395"/>
        <v>—</v>
      </c>
      <c r="U1208" s="17">
        <f t="shared" ca="1" si="396"/>
        <v>7</v>
      </c>
      <c r="V1208" s="71" t="str">
        <f t="shared" ca="1" si="397"/>
        <v>—</v>
      </c>
      <c r="W1208" s="17">
        <f t="shared" ca="1" si="398"/>
        <v>7</v>
      </c>
    </row>
    <row r="1209" spans="1:23" x14ac:dyDescent="0.25">
      <c r="A1209" s="4">
        <f t="shared" si="378"/>
        <v>32</v>
      </c>
      <c r="B1209" t="str">
        <f ca="1">TEXT(DATE(YEAR(Invoer!$A$6),1,1)+INT((ROWS(B$2:B1209)-1)/4),"jjjjmmdd")</f>
        <v>19401028</v>
      </c>
      <c r="C1209" s="64" t="str">
        <f>IF(MOD(ROWS(C$2:C1209)-1,4)=3,"24.00",INDEX(Data,3,2+MOD(ROWS(C$2:C1209)-1,4)))</f>
        <v>24.00</v>
      </c>
      <c r="D1209" s="18" t="str">
        <f t="shared" ca="1" si="379"/>
        <v>—</v>
      </c>
      <c r="E1209" s="17">
        <f t="shared" ca="1" si="380"/>
        <v>7</v>
      </c>
      <c r="F1209" s="18" t="str">
        <f t="shared" ca="1" si="381"/>
        <v>—</v>
      </c>
      <c r="G1209" s="17">
        <f t="shared" ca="1" si="382"/>
        <v>7</v>
      </c>
      <c r="H1209" s="18" t="str">
        <f t="shared" ca="1" si="383"/>
        <v>—</v>
      </c>
      <c r="I1209" s="17">
        <f t="shared" ca="1" si="384"/>
        <v>7</v>
      </c>
      <c r="J1209" s="18" t="str">
        <f t="shared" ca="1" si="385"/>
        <v>—</v>
      </c>
      <c r="K1209" s="17">
        <f t="shared" ca="1" si="386"/>
        <v>7</v>
      </c>
      <c r="L1209" s="10" t="str">
        <f t="shared" ca="1" si="387"/>
        <v>—</v>
      </c>
      <c r="M1209" s="17">
        <f t="shared" ca="1" si="388"/>
        <v>7</v>
      </c>
      <c r="N1209" s="18" t="str">
        <f t="shared" ca="1" si="389"/>
        <v>—</v>
      </c>
      <c r="O1209" s="17">
        <f t="shared" ca="1" si="390"/>
        <v>7</v>
      </c>
      <c r="P1209" s="18" t="str">
        <f t="shared" ca="1" si="391"/>
        <v>—</v>
      </c>
      <c r="Q1209" s="17">
        <f t="shared" ca="1" si="392"/>
        <v>7</v>
      </c>
      <c r="R1209" s="10" t="str">
        <f t="shared" ca="1" si="393"/>
        <v>—</v>
      </c>
      <c r="S1209" s="17">
        <f t="shared" ca="1" si="394"/>
        <v>7</v>
      </c>
      <c r="T1209" s="70" t="str">
        <f t="shared" ca="1" si="395"/>
        <v>—</v>
      </c>
      <c r="U1209" s="17">
        <f t="shared" ca="1" si="396"/>
        <v>7</v>
      </c>
      <c r="V1209" s="71" t="str">
        <f t="shared" ca="1" si="397"/>
        <v>—</v>
      </c>
      <c r="W1209" s="17">
        <f t="shared" ca="1" si="398"/>
        <v>7</v>
      </c>
    </row>
    <row r="1210" spans="1:23" x14ac:dyDescent="0.25">
      <c r="A1210" s="4">
        <f t="shared" si="378"/>
        <v>32</v>
      </c>
      <c r="B1210" t="str">
        <f ca="1">TEXT(DATE(YEAR(Invoer!$A$6),1,1)+INT((ROWS(B$2:B1210)-1)/4),"jjjjmmdd")</f>
        <v>19401029</v>
      </c>
      <c r="C1210" s="64" t="str">
        <f>IF(MOD(ROWS(C$2:C1210)-1,4)=3,"24.00",INDEX(Data,3,2+MOD(ROWS(C$2:C1210)-1,4)))</f>
        <v>07.00</v>
      </c>
      <c r="D1210" s="18" t="str">
        <f t="shared" ca="1" si="379"/>
        <v>—</v>
      </c>
      <c r="E1210" s="17">
        <f t="shared" ca="1" si="380"/>
        <v>7</v>
      </c>
      <c r="F1210" s="18" t="str">
        <f t="shared" ca="1" si="381"/>
        <v>—</v>
      </c>
      <c r="G1210" s="17">
        <f t="shared" ca="1" si="382"/>
        <v>7</v>
      </c>
      <c r="H1210" s="18" t="str">
        <f t="shared" ca="1" si="383"/>
        <v>—</v>
      </c>
      <c r="I1210" s="17">
        <f t="shared" ca="1" si="384"/>
        <v>7</v>
      </c>
      <c r="J1210" s="18" t="str">
        <f t="shared" ca="1" si="385"/>
        <v>—</v>
      </c>
      <c r="K1210" s="17">
        <f t="shared" ca="1" si="386"/>
        <v>7</v>
      </c>
      <c r="L1210" s="10" t="str">
        <f t="shared" ca="1" si="387"/>
        <v>—</v>
      </c>
      <c r="M1210" s="17">
        <f t="shared" ca="1" si="388"/>
        <v>7</v>
      </c>
      <c r="N1210" s="18" t="str">
        <f t="shared" ca="1" si="389"/>
        <v>—</v>
      </c>
      <c r="O1210" s="17">
        <f t="shared" ca="1" si="390"/>
        <v>7</v>
      </c>
      <c r="P1210" s="18" t="str">
        <f t="shared" ca="1" si="391"/>
        <v>—</v>
      </c>
      <c r="Q1210" s="17">
        <f t="shared" ca="1" si="392"/>
        <v>7</v>
      </c>
      <c r="R1210" s="10" t="str">
        <f t="shared" ca="1" si="393"/>
        <v>—</v>
      </c>
      <c r="S1210" s="17">
        <f t="shared" ca="1" si="394"/>
        <v>7</v>
      </c>
      <c r="T1210" s="70" t="str">
        <f t="shared" ca="1" si="395"/>
        <v>—</v>
      </c>
      <c r="U1210" s="17">
        <f t="shared" ca="1" si="396"/>
        <v>7</v>
      </c>
      <c r="V1210" s="71" t="str">
        <f t="shared" ca="1" si="397"/>
        <v>—</v>
      </c>
      <c r="W1210" s="17">
        <f t="shared" ca="1" si="398"/>
        <v>7</v>
      </c>
    </row>
    <row r="1211" spans="1:23" x14ac:dyDescent="0.25">
      <c r="A1211" s="4">
        <f t="shared" si="378"/>
        <v>32</v>
      </c>
      <c r="B1211" t="str">
        <f ca="1">TEXT(DATE(YEAR(Invoer!$A$6),1,1)+INT((ROWS(B$2:B1211)-1)/4),"jjjjmmdd")</f>
        <v>19401029</v>
      </c>
      <c r="C1211" s="64" t="str">
        <f>IF(MOD(ROWS(C$2:C1211)-1,4)=3,"24.00",INDEX(Data,3,2+MOD(ROWS(C$2:C1211)-1,4)))</f>
        <v>12.00</v>
      </c>
      <c r="D1211" s="18" t="str">
        <f t="shared" ca="1" si="379"/>
        <v>—</v>
      </c>
      <c r="E1211" s="17">
        <f t="shared" ca="1" si="380"/>
        <v>7</v>
      </c>
      <c r="F1211" s="18" t="str">
        <f t="shared" ca="1" si="381"/>
        <v>—</v>
      </c>
      <c r="G1211" s="17">
        <f t="shared" ca="1" si="382"/>
        <v>7</v>
      </c>
      <c r="H1211" s="18" t="str">
        <f t="shared" ca="1" si="383"/>
        <v>—</v>
      </c>
      <c r="I1211" s="17">
        <f t="shared" ca="1" si="384"/>
        <v>7</v>
      </c>
      <c r="J1211" s="18" t="str">
        <f t="shared" ca="1" si="385"/>
        <v>—</v>
      </c>
      <c r="K1211" s="17">
        <f t="shared" ca="1" si="386"/>
        <v>7</v>
      </c>
      <c r="L1211" s="10" t="str">
        <f t="shared" ca="1" si="387"/>
        <v>—</v>
      </c>
      <c r="M1211" s="17">
        <f t="shared" ca="1" si="388"/>
        <v>7</v>
      </c>
      <c r="N1211" s="18" t="str">
        <f t="shared" ca="1" si="389"/>
        <v>—</v>
      </c>
      <c r="O1211" s="17">
        <f t="shared" ca="1" si="390"/>
        <v>7</v>
      </c>
      <c r="P1211" s="18" t="str">
        <f t="shared" ca="1" si="391"/>
        <v>—</v>
      </c>
      <c r="Q1211" s="17">
        <f t="shared" ca="1" si="392"/>
        <v>7</v>
      </c>
      <c r="R1211" s="10" t="str">
        <f t="shared" ca="1" si="393"/>
        <v>—</v>
      </c>
      <c r="S1211" s="17">
        <f t="shared" ca="1" si="394"/>
        <v>7</v>
      </c>
      <c r="T1211" s="70" t="str">
        <f t="shared" ca="1" si="395"/>
        <v>—</v>
      </c>
      <c r="U1211" s="17">
        <f t="shared" ca="1" si="396"/>
        <v>7</v>
      </c>
      <c r="V1211" s="71" t="str">
        <f t="shared" ca="1" si="397"/>
        <v>—</v>
      </c>
      <c r="W1211" s="17">
        <f t="shared" ca="1" si="398"/>
        <v>7</v>
      </c>
    </row>
    <row r="1212" spans="1:23" x14ac:dyDescent="0.25">
      <c r="A1212" s="4">
        <f t="shared" si="378"/>
        <v>32</v>
      </c>
      <c r="B1212" t="str">
        <f ca="1">TEXT(DATE(YEAR(Invoer!$A$6),1,1)+INT((ROWS(B$2:B1212)-1)/4),"jjjjmmdd")</f>
        <v>19401029</v>
      </c>
      <c r="C1212" s="64" t="str">
        <f>IF(MOD(ROWS(C$2:C1212)-1,4)=3,"24.00",INDEX(Data,3,2+MOD(ROWS(C$2:C1212)-1,4)))</f>
        <v>17.00</v>
      </c>
      <c r="D1212" s="18" t="str">
        <f t="shared" ca="1" si="379"/>
        <v>—</v>
      </c>
      <c r="E1212" s="17">
        <f t="shared" ca="1" si="380"/>
        <v>7</v>
      </c>
      <c r="F1212" s="18" t="str">
        <f t="shared" ca="1" si="381"/>
        <v>—</v>
      </c>
      <c r="G1212" s="17">
        <f t="shared" ca="1" si="382"/>
        <v>7</v>
      </c>
      <c r="H1212" s="18" t="str">
        <f t="shared" ca="1" si="383"/>
        <v>—</v>
      </c>
      <c r="I1212" s="17">
        <f t="shared" ca="1" si="384"/>
        <v>7</v>
      </c>
      <c r="J1212" s="18" t="str">
        <f t="shared" ca="1" si="385"/>
        <v>—</v>
      </c>
      <c r="K1212" s="17">
        <f t="shared" ca="1" si="386"/>
        <v>7</v>
      </c>
      <c r="L1212" s="10" t="str">
        <f t="shared" ca="1" si="387"/>
        <v>—</v>
      </c>
      <c r="M1212" s="17">
        <f t="shared" ca="1" si="388"/>
        <v>7</v>
      </c>
      <c r="N1212" s="18" t="str">
        <f t="shared" ca="1" si="389"/>
        <v>—</v>
      </c>
      <c r="O1212" s="17">
        <f t="shared" ca="1" si="390"/>
        <v>7</v>
      </c>
      <c r="P1212" s="18" t="str">
        <f t="shared" ca="1" si="391"/>
        <v>—</v>
      </c>
      <c r="Q1212" s="17">
        <f t="shared" ca="1" si="392"/>
        <v>7</v>
      </c>
      <c r="R1212" s="10" t="str">
        <f t="shared" ca="1" si="393"/>
        <v>—</v>
      </c>
      <c r="S1212" s="17">
        <f t="shared" ca="1" si="394"/>
        <v>7</v>
      </c>
      <c r="T1212" s="70" t="str">
        <f t="shared" ca="1" si="395"/>
        <v>—</v>
      </c>
      <c r="U1212" s="17">
        <f t="shared" ca="1" si="396"/>
        <v>7</v>
      </c>
      <c r="V1212" s="71" t="str">
        <f t="shared" ca="1" si="397"/>
        <v>—</v>
      </c>
      <c r="W1212" s="17">
        <f t="shared" ca="1" si="398"/>
        <v>7</v>
      </c>
    </row>
    <row r="1213" spans="1:23" x14ac:dyDescent="0.25">
      <c r="A1213" s="4">
        <f t="shared" si="378"/>
        <v>32</v>
      </c>
      <c r="B1213" t="str">
        <f ca="1">TEXT(DATE(YEAR(Invoer!$A$6),1,1)+INT((ROWS(B$2:B1213)-1)/4),"jjjjmmdd")</f>
        <v>19401029</v>
      </c>
      <c r="C1213" s="64" t="str">
        <f>IF(MOD(ROWS(C$2:C1213)-1,4)=3,"24.00",INDEX(Data,3,2+MOD(ROWS(C$2:C1213)-1,4)))</f>
        <v>24.00</v>
      </c>
      <c r="D1213" s="18" t="str">
        <f t="shared" ca="1" si="379"/>
        <v>—</v>
      </c>
      <c r="E1213" s="17">
        <f t="shared" ca="1" si="380"/>
        <v>7</v>
      </c>
      <c r="F1213" s="18" t="str">
        <f t="shared" ca="1" si="381"/>
        <v>—</v>
      </c>
      <c r="G1213" s="17">
        <f t="shared" ca="1" si="382"/>
        <v>7</v>
      </c>
      <c r="H1213" s="18" t="str">
        <f t="shared" ca="1" si="383"/>
        <v>—</v>
      </c>
      <c r="I1213" s="17">
        <f t="shared" ca="1" si="384"/>
        <v>7</v>
      </c>
      <c r="J1213" s="18" t="str">
        <f t="shared" ca="1" si="385"/>
        <v>—</v>
      </c>
      <c r="K1213" s="17">
        <f t="shared" ca="1" si="386"/>
        <v>7</v>
      </c>
      <c r="L1213" s="10" t="str">
        <f t="shared" ca="1" si="387"/>
        <v>—</v>
      </c>
      <c r="M1213" s="17">
        <f t="shared" ca="1" si="388"/>
        <v>7</v>
      </c>
      <c r="N1213" s="18" t="str">
        <f t="shared" ca="1" si="389"/>
        <v>—</v>
      </c>
      <c r="O1213" s="17">
        <f t="shared" ca="1" si="390"/>
        <v>7</v>
      </c>
      <c r="P1213" s="18" t="str">
        <f t="shared" ca="1" si="391"/>
        <v>—</v>
      </c>
      <c r="Q1213" s="17">
        <f t="shared" ca="1" si="392"/>
        <v>7</v>
      </c>
      <c r="R1213" s="10" t="str">
        <f t="shared" ca="1" si="393"/>
        <v>—</v>
      </c>
      <c r="S1213" s="17">
        <f t="shared" ca="1" si="394"/>
        <v>7</v>
      </c>
      <c r="T1213" s="70" t="str">
        <f t="shared" ca="1" si="395"/>
        <v>—</v>
      </c>
      <c r="U1213" s="17">
        <f t="shared" ca="1" si="396"/>
        <v>7</v>
      </c>
      <c r="V1213" s="71" t="str">
        <f t="shared" ca="1" si="397"/>
        <v>—</v>
      </c>
      <c r="W1213" s="17">
        <f t="shared" ca="1" si="398"/>
        <v>7</v>
      </c>
    </row>
    <row r="1214" spans="1:23" x14ac:dyDescent="0.25">
      <c r="A1214" s="4">
        <f t="shared" si="378"/>
        <v>32</v>
      </c>
      <c r="B1214" t="str">
        <f ca="1">TEXT(DATE(YEAR(Invoer!$A$6),1,1)+INT((ROWS(B$2:B1214)-1)/4),"jjjjmmdd")</f>
        <v>19401030</v>
      </c>
      <c r="C1214" s="64" t="str">
        <f>IF(MOD(ROWS(C$2:C1214)-1,4)=3,"24.00",INDEX(Data,3,2+MOD(ROWS(C$2:C1214)-1,4)))</f>
        <v>07.00</v>
      </c>
      <c r="D1214" s="18" t="str">
        <f t="shared" ca="1" si="379"/>
        <v>—</v>
      </c>
      <c r="E1214" s="17">
        <f t="shared" ca="1" si="380"/>
        <v>7</v>
      </c>
      <c r="F1214" s="18" t="str">
        <f t="shared" ca="1" si="381"/>
        <v>—</v>
      </c>
      <c r="G1214" s="17">
        <f t="shared" ca="1" si="382"/>
        <v>7</v>
      </c>
      <c r="H1214" s="18" t="str">
        <f t="shared" ca="1" si="383"/>
        <v>—</v>
      </c>
      <c r="I1214" s="17">
        <f t="shared" ca="1" si="384"/>
        <v>7</v>
      </c>
      <c r="J1214" s="18" t="str">
        <f t="shared" ca="1" si="385"/>
        <v>—</v>
      </c>
      <c r="K1214" s="17">
        <f t="shared" ca="1" si="386"/>
        <v>7</v>
      </c>
      <c r="L1214" s="10" t="str">
        <f t="shared" ca="1" si="387"/>
        <v>—</v>
      </c>
      <c r="M1214" s="17">
        <f t="shared" ca="1" si="388"/>
        <v>7</v>
      </c>
      <c r="N1214" s="18" t="str">
        <f t="shared" ca="1" si="389"/>
        <v>—</v>
      </c>
      <c r="O1214" s="17">
        <f t="shared" ca="1" si="390"/>
        <v>7</v>
      </c>
      <c r="P1214" s="18" t="str">
        <f t="shared" ca="1" si="391"/>
        <v>—</v>
      </c>
      <c r="Q1214" s="17">
        <f t="shared" ca="1" si="392"/>
        <v>7</v>
      </c>
      <c r="R1214" s="10" t="str">
        <f t="shared" ca="1" si="393"/>
        <v>—</v>
      </c>
      <c r="S1214" s="17">
        <f t="shared" ca="1" si="394"/>
        <v>7</v>
      </c>
      <c r="T1214" s="70" t="str">
        <f t="shared" ca="1" si="395"/>
        <v>—</v>
      </c>
      <c r="U1214" s="17">
        <f t="shared" ca="1" si="396"/>
        <v>7</v>
      </c>
      <c r="V1214" s="71" t="str">
        <f t="shared" ca="1" si="397"/>
        <v>—</v>
      </c>
      <c r="W1214" s="17">
        <f t="shared" ca="1" si="398"/>
        <v>7</v>
      </c>
    </row>
    <row r="1215" spans="1:23" x14ac:dyDescent="0.25">
      <c r="A1215" s="4">
        <f t="shared" si="378"/>
        <v>32</v>
      </c>
      <c r="B1215" t="str">
        <f ca="1">TEXT(DATE(YEAR(Invoer!$A$6),1,1)+INT((ROWS(B$2:B1215)-1)/4),"jjjjmmdd")</f>
        <v>19401030</v>
      </c>
      <c r="C1215" s="64" t="str">
        <f>IF(MOD(ROWS(C$2:C1215)-1,4)=3,"24.00",INDEX(Data,3,2+MOD(ROWS(C$2:C1215)-1,4)))</f>
        <v>12.00</v>
      </c>
      <c r="D1215" s="18" t="str">
        <f t="shared" ca="1" si="379"/>
        <v>—</v>
      </c>
      <c r="E1215" s="17">
        <f t="shared" ca="1" si="380"/>
        <v>7</v>
      </c>
      <c r="F1215" s="18" t="str">
        <f t="shared" ca="1" si="381"/>
        <v>—</v>
      </c>
      <c r="G1215" s="17">
        <f t="shared" ca="1" si="382"/>
        <v>7</v>
      </c>
      <c r="H1215" s="18" t="str">
        <f t="shared" ca="1" si="383"/>
        <v>—</v>
      </c>
      <c r="I1215" s="17">
        <f t="shared" ca="1" si="384"/>
        <v>7</v>
      </c>
      <c r="J1215" s="18" t="str">
        <f t="shared" ca="1" si="385"/>
        <v>—</v>
      </c>
      <c r="K1215" s="17">
        <f t="shared" ca="1" si="386"/>
        <v>7</v>
      </c>
      <c r="L1215" s="10" t="str">
        <f t="shared" ca="1" si="387"/>
        <v>—</v>
      </c>
      <c r="M1215" s="17">
        <f t="shared" ca="1" si="388"/>
        <v>7</v>
      </c>
      <c r="N1215" s="18" t="str">
        <f t="shared" ca="1" si="389"/>
        <v>—</v>
      </c>
      <c r="O1215" s="17">
        <f t="shared" ca="1" si="390"/>
        <v>7</v>
      </c>
      <c r="P1215" s="18" t="str">
        <f t="shared" ca="1" si="391"/>
        <v>—</v>
      </c>
      <c r="Q1215" s="17">
        <f t="shared" ca="1" si="392"/>
        <v>7</v>
      </c>
      <c r="R1215" s="10" t="str">
        <f t="shared" ca="1" si="393"/>
        <v>—</v>
      </c>
      <c r="S1215" s="17">
        <f t="shared" ca="1" si="394"/>
        <v>7</v>
      </c>
      <c r="T1215" s="70" t="str">
        <f t="shared" ca="1" si="395"/>
        <v>—</v>
      </c>
      <c r="U1215" s="17">
        <f t="shared" ca="1" si="396"/>
        <v>7</v>
      </c>
      <c r="V1215" s="71" t="str">
        <f t="shared" ca="1" si="397"/>
        <v>—</v>
      </c>
      <c r="W1215" s="17">
        <f t="shared" ca="1" si="398"/>
        <v>7</v>
      </c>
    </row>
    <row r="1216" spans="1:23" x14ac:dyDescent="0.25">
      <c r="A1216" s="4">
        <f t="shared" si="378"/>
        <v>32</v>
      </c>
      <c r="B1216" t="str">
        <f ca="1">TEXT(DATE(YEAR(Invoer!$A$6),1,1)+INT((ROWS(B$2:B1216)-1)/4),"jjjjmmdd")</f>
        <v>19401030</v>
      </c>
      <c r="C1216" s="64" t="str">
        <f>IF(MOD(ROWS(C$2:C1216)-1,4)=3,"24.00",INDEX(Data,3,2+MOD(ROWS(C$2:C1216)-1,4)))</f>
        <v>17.00</v>
      </c>
      <c r="D1216" s="18" t="str">
        <f t="shared" ca="1" si="379"/>
        <v>—</v>
      </c>
      <c r="E1216" s="17">
        <f t="shared" ca="1" si="380"/>
        <v>7</v>
      </c>
      <c r="F1216" s="18" t="str">
        <f t="shared" ca="1" si="381"/>
        <v>—</v>
      </c>
      <c r="G1216" s="17">
        <f t="shared" ca="1" si="382"/>
        <v>7</v>
      </c>
      <c r="H1216" s="18" t="str">
        <f t="shared" ca="1" si="383"/>
        <v>—</v>
      </c>
      <c r="I1216" s="17">
        <f t="shared" ca="1" si="384"/>
        <v>7</v>
      </c>
      <c r="J1216" s="18" t="str">
        <f t="shared" ca="1" si="385"/>
        <v>—</v>
      </c>
      <c r="K1216" s="17">
        <f t="shared" ca="1" si="386"/>
        <v>7</v>
      </c>
      <c r="L1216" s="10" t="str">
        <f t="shared" ca="1" si="387"/>
        <v>—</v>
      </c>
      <c r="M1216" s="17">
        <f t="shared" ca="1" si="388"/>
        <v>7</v>
      </c>
      <c r="N1216" s="18" t="str">
        <f t="shared" ca="1" si="389"/>
        <v>—</v>
      </c>
      <c r="O1216" s="17">
        <f t="shared" ca="1" si="390"/>
        <v>7</v>
      </c>
      <c r="P1216" s="18" t="str">
        <f t="shared" ca="1" si="391"/>
        <v>—</v>
      </c>
      <c r="Q1216" s="17">
        <f t="shared" ca="1" si="392"/>
        <v>7</v>
      </c>
      <c r="R1216" s="10" t="str">
        <f t="shared" ca="1" si="393"/>
        <v>—</v>
      </c>
      <c r="S1216" s="17">
        <f t="shared" ca="1" si="394"/>
        <v>7</v>
      </c>
      <c r="T1216" s="70" t="str">
        <f t="shared" ca="1" si="395"/>
        <v>—</v>
      </c>
      <c r="U1216" s="17">
        <f t="shared" ca="1" si="396"/>
        <v>7</v>
      </c>
      <c r="V1216" s="71" t="str">
        <f t="shared" ca="1" si="397"/>
        <v>—</v>
      </c>
      <c r="W1216" s="17">
        <f t="shared" ca="1" si="398"/>
        <v>7</v>
      </c>
    </row>
    <row r="1217" spans="1:23" x14ac:dyDescent="0.25">
      <c r="A1217" s="4">
        <f t="shared" si="378"/>
        <v>32</v>
      </c>
      <c r="B1217" t="str">
        <f ca="1">TEXT(DATE(YEAR(Invoer!$A$6),1,1)+INT((ROWS(B$2:B1217)-1)/4),"jjjjmmdd")</f>
        <v>19401030</v>
      </c>
      <c r="C1217" s="64" t="str">
        <f>IF(MOD(ROWS(C$2:C1217)-1,4)=3,"24.00",INDEX(Data,3,2+MOD(ROWS(C$2:C1217)-1,4)))</f>
        <v>24.00</v>
      </c>
      <c r="D1217" s="18" t="str">
        <f t="shared" ca="1" si="379"/>
        <v>—</v>
      </c>
      <c r="E1217" s="17">
        <f t="shared" ca="1" si="380"/>
        <v>7</v>
      </c>
      <c r="F1217" s="18" t="str">
        <f t="shared" ca="1" si="381"/>
        <v>—</v>
      </c>
      <c r="G1217" s="17">
        <f t="shared" ca="1" si="382"/>
        <v>7</v>
      </c>
      <c r="H1217" s="18" t="str">
        <f t="shared" ca="1" si="383"/>
        <v>—</v>
      </c>
      <c r="I1217" s="17">
        <f t="shared" ca="1" si="384"/>
        <v>7</v>
      </c>
      <c r="J1217" s="18" t="str">
        <f t="shared" ca="1" si="385"/>
        <v>—</v>
      </c>
      <c r="K1217" s="17">
        <f t="shared" ca="1" si="386"/>
        <v>7</v>
      </c>
      <c r="L1217" s="10" t="str">
        <f t="shared" ca="1" si="387"/>
        <v>—</v>
      </c>
      <c r="M1217" s="17">
        <f t="shared" ca="1" si="388"/>
        <v>7</v>
      </c>
      <c r="N1217" s="18" t="str">
        <f t="shared" ca="1" si="389"/>
        <v>—</v>
      </c>
      <c r="O1217" s="17">
        <f t="shared" ca="1" si="390"/>
        <v>7</v>
      </c>
      <c r="P1217" s="18" t="str">
        <f t="shared" ca="1" si="391"/>
        <v>—</v>
      </c>
      <c r="Q1217" s="17">
        <f t="shared" ca="1" si="392"/>
        <v>7</v>
      </c>
      <c r="R1217" s="10" t="str">
        <f t="shared" ca="1" si="393"/>
        <v>—</v>
      </c>
      <c r="S1217" s="17">
        <f t="shared" ca="1" si="394"/>
        <v>7</v>
      </c>
      <c r="T1217" s="70" t="str">
        <f t="shared" ca="1" si="395"/>
        <v>—</v>
      </c>
      <c r="U1217" s="17">
        <f t="shared" ca="1" si="396"/>
        <v>7</v>
      </c>
      <c r="V1217" s="71" t="str">
        <f t="shared" ca="1" si="397"/>
        <v>—</v>
      </c>
      <c r="W1217" s="17">
        <f t="shared" ca="1" si="398"/>
        <v>7</v>
      </c>
    </row>
    <row r="1218" spans="1:23" x14ac:dyDescent="0.25">
      <c r="A1218" s="4">
        <f t="shared" ref="A1218:A1281" si="399">INDEX(Stations,2,1)</f>
        <v>32</v>
      </c>
      <c r="B1218" t="str">
        <f ca="1">TEXT(DATE(YEAR(Invoer!$A$6),1,1)+INT((ROWS(B$2:B1218)-1)/4),"jjjjmmdd")</f>
        <v>19401031</v>
      </c>
      <c r="C1218" s="64" t="str">
        <f>IF(MOD(ROWS(C$2:C1218)-1,4)=3,"24.00",INDEX(Data,3,2+MOD(ROWS(C$2:C1218)-1,4)))</f>
        <v>07.00</v>
      </c>
      <c r="D1218" s="18" t="str">
        <f t="shared" ref="D1218:D1281" ca="1" si="400">IF(OR(ISBLANK(VLOOKUP(DATEVALUE(LEFT($B1218,4)&amp;"-"&amp;MID($B1218,5,2)&amp;"-"&amp;RIGHT($B1218,2)),Data,MATCH(LEFT(VLOOKUP(D$1,Parameters,2,FALSE()),4)&amp;"*",OFFSET(Data,0,0,1),0)+MATCH($C1218,OFFSET(Data,2,0,1),0)-2,FALSE())),ISTEXT(VLOOKUP(DATEVALUE(LEFT($B1218,4)&amp;"-"&amp;MID($B1218,5,2)&amp;"-"&amp;RIGHT($B1218,2)),Data,MATCH(LEFT(VLOOKUP(D$1,Parameters,2,FALSE()),4)&amp;"*",OFFSET(Data,0,0,1),0)+MATCH($C1218,OFFSET(Data,2,0,1),0)-2,FALSE())),EXACT($C1218,"24.00")),"—",VLOOKUP(DATEVALUE(LEFT($B1218,4)&amp;"-"&amp;MID($B1218,5,2)&amp;"-"&amp;RIGHT($B1218,2)),Data,MATCH(LEFT(VLOOKUP(D$1,Parameters,2,FALSE()),4)&amp;"*",OFFSET(Data,0,0,1),0)+MATCH($C1218,OFFSET(Data,2,0,1),0)-2,FALSE())/10)</f>
        <v>—</v>
      </c>
      <c r="E1218" s="17">
        <f t="shared" ref="E1218:E1281" ca="1" si="401">IF(OR(ISBLANK(VLOOKUP(DATEVALUE(LEFT($B1218,4)&amp;"-"&amp;MID($B1218,5,2)&amp;"-"&amp;RIGHT($B1218,2)),Data,MATCH(LEFT(VLOOKUP(MID(E$1,2,LEN(E$1)-1),Parameters,2,FALSE()),4)&amp;"*",OFFSET(Data,0,0,1),0)+MATCH($C1218,OFFSET(Data,2,0,1),0)-2,FALSE())),ISTEXT(VLOOKUP(DATEVALUE(LEFT($B1218,4)&amp;"-"&amp;MID($B1218,5,2)&amp;"-"&amp;RIGHT($B1218,2)),Data,MATCH(LEFT(VLOOKUP(MID(E$1,2,LEN(E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Data,2,0,1),0)-2,FALSE())))</f>
        <v>7</v>
      </c>
      <c r="F1218" s="18" t="str">
        <f t="shared" ref="F1218:F1281" ca="1" si="402">IF(OR(ISBLANK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ISTEXT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EXACT($C1218,"24.00")),"—",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/10)</f>
        <v>—</v>
      </c>
      <c r="G1218" s="17">
        <f t="shared" ref="G1218:G1281" ca="1" si="403">IF(OR(ISBLANK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ISTEXT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G$1,2,LEN(G$1)-1),Parameters,2,FALSE()),FIND(LOWER(MID(G$1,2,1)),VLOOKUP(MID(G$1,2,LEN(G$1)-1),Parameters,2,FALSE()),5),4)&amp;"*",OFFSET(Catalogus,0,0,1),0)+2*MATCH($C1218,OFFSET(Catalogus,2,0,1),0)+MATCH(LEFT(VLOOKUP(MID(G$1,2,LEN(G$1)-1),Parameters,2,FALSE()),3)&amp;"*",OFFSET(Catalogus,2,4,1),0)-5,FALSE())))</f>
        <v>7</v>
      </c>
      <c r="H1218" s="18" t="str">
        <f t="shared" ref="H1218:H1281" ca="1" si="404">IF(OR(ISBLANK(VLOOKUP(DATEVALUE(LEFT($B1218,4)&amp;"-"&amp;MID($B1218,5,2)&amp;"-"&amp;RIGHT($B1218,2)),Data,MATCH(LEFT(VLOOKUP(H$1,Parameters,2,FALSE()),4)&amp;"*",OFFSET(Data,1,0,1),0),FALSE())),ISTEXT(VLOOKUP(DATEVALUE(LEFT($B1218,4)&amp;"-"&amp;MID($B1218,5,2)&amp;"-"&amp;RIGHT($B1218,2)),Data,MATCH(LEFT(VLOOKUP(H$1,Parameters,2,FALSE()),4)&amp;"*",OFFSET(Data,1,0,1),0),FALSE())),NOT(EXACT($C1218,"24.00"))),"—",VLOOKUP(DATEVALUE(LEFT($B1218,4)&amp;"-"&amp;MID($B1218,5,2)&amp;"-"&amp;RIGHT($B1218,2)),Data,MATCH(LEFT(VLOOKUP(H$1,Parameters,2,FALSE()),4)&amp;"*",OFFSET(Data,1,0,1),0),FALSE())/10)</f>
        <v>—</v>
      </c>
      <c r="I1218" s="17">
        <f t="shared" ref="I1218:I1281" ca="1" si="405">IF(OR(ISBLANK(VLOOKUP(DATEVALUE(LEFT($B1218,4)&amp;"-"&amp;MID($B1218,5,2)&amp;"-"&amp;RIGHT($B1218,2)),Data,MATCH(LEFT(VLOOKUP(MID(I$1,2,LEN(I$1)-1),Parameters,2,FALSE()),4)&amp;"*",OFFSET(Data,1,0,1),0),FALSE())),ISTEXT(VLOOKUP(DATEVALUE(LEFT($B1218,4)&amp;"-"&amp;MID($B1218,5,2)&amp;"-"&amp;RIGHT($B1218,2)),Data,MATCH(LEFT(VLOOKUP(MID(I$1,2,LEN(I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I$1,2,LEN(I$1)-1),Parameters,2,FALSE()),4)&amp;"*",OFFSET(Catalogus,1,0,1),0),FALSE())))</f>
        <v>7</v>
      </c>
      <c r="J1218" s="18" t="str">
        <f t="shared" ref="J1218:J1281" ca="1" si="406">IF(OR(ISBLANK(VLOOKUP(DATEVALUE(LEFT($B1218,4)&amp;"-"&amp;MID($B1218,5,2)&amp;"-"&amp;RIGHT($B1218,2)),Data,MATCH(LEFT(VLOOKUP(J$1,Parameters,2,FALSE()),4)&amp;"*",OFFSET(Data,1,0,1),0),FALSE())),ISTEXT(VLOOKUP(DATEVALUE(LEFT($B1218,4)&amp;"-"&amp;MID($B1218,5,2)&amp;"-"&amp;RIGHT($B1218,2)),Data,MATCH(LEFT(VLOOKUP(J$1,Parameters,2,FALSE()),4)&amp;"*",OFFSET(Data,1,0,1),0),FALSE())),NOT(EXACT($C1218,"24.00"))),"—",VLOOKUP(DATEVALUE(LEFT($B1218,4)&amp;"-"&amp;MID($B1218,5,2)&amp;"-"&amp;RIGHT($B1218,2)),Data,MATCH(LEFT(VLOOKUP(J$1,Parameters,2,FALSE()),4)&amp;"*",OFFSET(Data,1,0,1),0),FALSE())/10)</f>
        <v>—</v>
      </c>
      <c r="K1218" s="17">
        <f t="shared" ref="K1218:K1281" ca="1" si="407">IF(OR(ISBLANK(VLOOKUP(DATEVALUE(LEFT($B1218,4)&amp;"-"&amp;MID($B1218,5,2)&amp;"-"&amp;RIGHT($B1218,2)),Data,MATCH(LEFT(VLOOKUP(MID(K$1,2,LEN(K$1)-1),Parameters,2,FALSE()),4)&amp;"*",OFFSET(Data,1,0,1),0),FALSE())),ISTEXT(VLOOKUP(DATEVALUE(LEFT($B1218,4)&amp;"-"&amp;MID($B1218,5,2)&amp;"-"&amp;RIGHT($B1218,2)),Data,MATCH(LEFT(VLOOKUP(MID(K$1,2,LEN(K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K$1,2,LEN(K$1)-1),Parameters,2,FALSE()),4)&amp;"*",OFFSET(Catalogus,1,0,1),0),FALSE())))</f>
        <v>7</v>
      </c>
      <c r="L1218" s="10" t="str">
        <f t="shared" ref="L1218:L1281" ca="1" si="408">IF(OR(ISBLANK(VLOOKUP(DATEVALUE(LEFT($B1218,4)&amp;"-"&amp;MID($B1218,5,2)&amp;"-"&amp;RIGHT($B1218,2)),Data,MATCH(LEFT(VLOOKUP(L$1,Parameters,2,FALSE()),4)&amp;"*",OFFSET(Data,0,0,1),0)+MATCH($C1218,OFFSET(Data,2,0,1),0)-2,FALSE())),ISTEXT(VLOOKUP(DATEVALUE(LEFT($B1218,4)&amp;"-"&amp;MID($B1218,5,2)&amp;"-"&amp;RIGHT($B1218,2)),Data,MATCH(LEFT(VLOOKUP(L$1,Parameters,2,FALSE()),4)&amp;"*",OFFSET(Data,0,0,1),0)+MATCH($C1218,OFFSET(Data,2,0,1),0)-2,FALSE())),EXACT($C1218,"24.00")),"—",VLOOKUP(DATEVALUE(LEFT($B1218,4)&amp;"-"&amp;MID($B1218,5,2)&amp;"-"&amp;RIGHT($B1218,2)),Data,MATCH(LEFT(VLOOKUP(L$1,Parameters,2,FALSE()),4)&amp;"*",OFFSET(Data,0,0,1),0)+MATCH($C1218,OFFSET(Data,2,0,1),0)-2,FALSE()))</f>
        <v>—</v>
      </c>
      <c r="M1218" s="17">
        <f t="shared" ref="M1218:M1281" ca="1" si="409">IF(OR(ISBLANK(VLOOKUP(DATEVALUE(LEFT($B1218,4)&amp;"-"&amp;MID($B1218,5,2)&amp;"-"&amp;RIGHT($B1218,2)),Data,MATCH(LEFT(VLOOKUP(MID(M$1,2,LEN(M$1)-1),Parameters,2,FALSE()),4)&amp;"*",OFFSET(Data,0,0,1),0)+MATCH($C1218,OFFSET(Data,2,0,1),0)-2,FALSE())),ISTEXT(VLOOKUP(DATEVALUE(LEFT($B1218,4)&amp;"-"&amp;MID($B1218,5,2)&amp;"-"&amp;RIGHT($B1218,2)),Data,MATCH(LEFT(VLOOKUP(MID(M$1,2,LEN(M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M$1,2,LEN(M$1)-1),Parameters,2,FALSE()),4)&amp;"*",OFFSET(Catalogus,0,0,1),0)+MATCH($C1218,OFFSET(Data,2,0,1),0)-2,FALSE())))</f>
        <v>7</v>
      </c>
      <c r="N1218" s="18" t="str">
        <f t="shared" ref="N1218:N1281" ca="1" si="410">IF(OR(ISBLANK(VLOOKUP(DATEVALUE(LEFT($B1218,4)&amp;"-"&amp;MID($B1218,5,2)&amp;"-"&amp;RIGHT($B1218,2)),Data,MATCH(LEFT(VLOOKUP(N$1,Parameters,2,FALSE()),4)&amp;"*",OFFSET(Data,0,0,1),0)+MATCH($C1218,OFFSET(Data,2,0,1),0)-2,FALSE())),ISTEXT(VLOOKUP(DATEVALUE(LEFT($B1218,4)&amp;"-"&amp;MID($B1218,5,2)&amp;"-"&amp;RIGHT($B1218,2)),Data,MATCH(LEFT(VLOOKUP(N$1,Parameters,2,FALSE()),4)&amp;"*",OFFSET(Data,0,0,1),0)+MATCH($C1218,OFFSET(Data,2,0,1),0)-2,FALSE())),EXACT($C1218,"24.00")),"—",VLOOKUP(DATEVALUE(LEFT($B1218,4)&amp;"-"&amp;MID($B1218,5,2)&amp;"-"&amp;RIGHT($B1218,2)),Data,MATCH(LEFT(VLOOKUP(N$1,Parameters,2,FALSE()),4)&amp;"*",OFFSET(Data,0,0,1),0)+MATCH($C1218,OFFSET(Data,2,0,1),0)-2,FALSE())/10)</f>
        <v>—</v>
      </c>
      <c r="O1218" s="17">
        <f t="shared" ref="O1218:O1281" ca="1" si="411">IF(OR(ISBLANK(VLOOKUP(DATEVALUE(LEFT($B1218,4)&amp;"-"&amp;MID($B1218,5,2)&amp;"-"&amp;RIGHT($B1218,2)),Data,MATCH(LEFT(VLOOKUP(MID(O$1,2,LEN(O$1)-1),Parameters,2,FALSE()),4)&amp;"*",OFFSET(Data,0,0,1),0)+MATCH($C1218,OFFSET(Data,2,0,1),0)-2,FALSE())),ISTEXT(VLOOKUP(DATEVALUE(LEFT($B1218,4)&amp;"-"&amp;MID($B1218,5,2)&amp;"-"&amp;RIGHT($B1218,2)),Data,MATCH(LEFT(VLOOKUP(MID(O$1,2,LEN(O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O$1,2,LEN(O$1)-1),Parameters,2,FALSE()),4)&amp;"*",OFFSET(Catalogus,0,0,1),0)+MATCH($C1218,OFFSET(Data,2,0,1),0)-2,FALSE())))</f>
        <v>7</v>
      </c>
      <c r="P1218" s="18" t="str">
        <f t="shared" ref="P1218:P1281" ca="1" si="412">IF(OR(ISBLANK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ISTEXT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EXACT($C1218,"24.00")),"—",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/10)</f>
        <v>—</v>
      </c>
      <c r="Q1218" s="17">
        <f t="shared" ref="Q1218:Q1281" ca="1" si="413">IF(OR(ISBLANK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ISTEXT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Q$1,2,LEN(Q$1)-1),Parameters,2,FALSE()),FIND(LOWER(MID(Q$1,2,1)),VLOOKUP(MID(Q$1,2,LEN(Q$1)-1),Parameters,2,FALSE()),5),4)&amp;"*",OFFSET(Catalogus,0,0,1),0)+2*MATCH($C1218,OFFSET(Catalogus,2,0,1),0)+MATCH(LEFT(VLOOKUP(MID(Q$1,2,LEN(Q$1)-1),Parameters,2,FALSE()),3)&amp;"*",OFFSET(Catalogus,2,4,1),0)-5,FALSE())))</f>
        <v>7</v>
      </c>
      <c r="R1218" s="10" t="str">
        <f t="shared" ref="R1218:R1281" ca="1" si="414">IF(OR(ISBLANK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),ISNA(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1,1,,1),0)),EXACT($C1218,"24.00")),"—",INDEX(Windrichting,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0,1,,1),0),1))</f>
        <v>—</v>
      </c>
      <c r="S1218" s="17">
        <f t="shared" ref="S1218:S1281" ca="1" si="415">IF(OR(ISBLANK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),ISNA(MATCH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,OFFSET(Windrichting,1,1,,1),0)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S$1,2,LEN(S$1)-1),Parameters,2,FALSE()),4)&amp;"*",OFFSET(Catalogus,0,0,1),0)+2*MATCH($C1218,OFFSET(Catalogus,2,0,1),0)+MATCH(MID(VLOOKUP(MID(S$1,2,LEN(S$1)-1),Parameters,2,FALSE()),5,LEN(VLOOKUP(MID(S$1,2,LEN(S$1)-1),Parameters,2,FALSE()))-4)&amp;"*",OFFSET(Catalogus,2,19,1),0)-5,FALSE())))</f>
        <v>7</v>
      </c>
      <c r="T1218" s="70" t="str">
        <f t="shared" ref="T1218:T1281" ca="1" si="416">IF(OR(ISBLANK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ISTEXT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EXACT($C1218,"24.00")),"—",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/10)</f>
        <v>—</v>
      </c>
      <c r="U1218" s="17">
        <f t="shared" ref="U1218:U1281" ca="1" si="417">IF(OR(ISBLANK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ISTEXT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U$1,2,LEN(U$1)-1),Parameters,2,FALSE()),4)&amp;"*",OFFSET(Catalogus,0,0,1),0)+2*MATCH($C1218,OFFSET(Catalogus,2,0,1),0)+MATCH(MID(VLOOKUP(MID(U$1,2,LEN(U$1)-1),Parameters,2,FALSE()),5,LEN(VLOOKUP(MID(U$1,2,LEN(U$1)-1),Parameters,2,FALSE()))-4)&amp;"*",OFFSET(Catalogus,2,19,1),0)-5,FALSE())))</f>
        <v>7</v>
      </c>
      <c r="V1218" s="71" t="str">
        <f t="shared" ref="V1218:V1281" ca="1" si="418">IF(OR(ISBLANK(VLOOKUP(DATEVALUE(LEFT($B1218,4)&amp;"-"&amp;MID($B1218,5,2)&amp;"-"&amp;RIGHT($B1218,2)),Data,MATCH(LEFT(VLOOKUP(V$1,Parameters,2,FALSE()),4)&amp;"*",OFFSET(Data,0,0,1),0)+MATCH($C1218,OFFSET(Data,2,0,1),0)-2,FALSE())),ISTEXT(VLOOKUP(DATEVALUE(LEFT($B1218,4)&amp;"-"&amp;MID($B1218,5,2)&amp;"-"&amp;RIGHT($B1218,2)),Data,MATCH(LEFT(VLOOKUP(V$1,Parameters,2,FALSE()),4)&amp;"*",OFFSET(Data,0,0,1),0)+MATCH($C1218,OFFSET(Data,2,0,1),0)-2,FALSE())),EXACT($C1218,"24.00")),"—",VLOOKUP(DATEVALUE(LEFT($B1218,4)&amp;"-"&amp;MID($B1218,5,2)&amp;"-"&amp;RIGHT($B1218,2)),Data,MATCH(LEFT(VLOOKUP(V$1,Parameters,2,FALSE()),4)&amp;"*",OFFSET(Data,0,0,1),0)+MATCH($C1218,OFFSET(Data,2,0,1),0)-2,FALSE()))</f>
        <v>—</v>
      </c>
      <c r="W1218" s="17">
        <f t="shared" ref="W1218:W1281" ca="1" si="419">IF(OR(ISBLANK(VLOOKUP(DATEVALUE(LEFT($B1218,4)&amp;"-"&amp;MID($B1218,5,2)&amp;"-"&amp;RIGHT($B1218,2)),Data,MATCH(LEFT(VLOOKUP(MID(W$1,2,LEN(W$1)-1),Parameters,2,FALSE()),4)&amp;"*",OFFSET(Data,0,0,1),0)+MATCH($C1218,OFFSET(Data,2,0,1),0)-2,FALSE())),ISTEXT(VLOOKUP(DATEVALUE(LEFT($B1218,4)&amp;"-"&amp;MID($B1218,5,2)&amp;"-"&amp;RIGHT($B1218,2)),Data,MATCH(LEFT(VLOOKUP(MID(W$1,2,LEN(W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W$1,2,LEN(W$1)-1),Parameters,2,FALSE()),4)&amp;"*",OFFSET(Catalogus,0,0,1),0)+MATCH($C1218,OFFSET(Data,2,0,1),0)-2,FALSE())))</f>
        <v>7</v>
      </c>
    </row>
    <row r="1219" spans="1:23" x14ac:dyDescent="0.25">
      <c r="A1219" s="4">
        <f t="shared" si="399"/>
        <v>32</v>
      </c>
      <c r="B1219" t="str">
        <f ca="1">TEXT(DATE(YEAR(Invoer!$A$6),1,1)+INT((ROWS(B$2:B1219)-1)/4),"jjjjmmdd")</f>
        <v>19401031</v>
      </c>
      <c r="C1219" s="64" t="str">
        <f>IF(MOD(ROWS(C$2:C1219)-1,4)=3,"24.00",INDEX(Data,3,2+MOD(ROWS(C$2:C1219)-1,4)))</f>
        <v>12.00</v>
      </c>
      <c r="D1219" s="18" t="str">
        <f t="shared" ca="1" si="400"/>
        <v>—</v>
      </c>
      <c r="E1219" s="17">
        <f t="shared" ca="1" si="401"/>
        <v>7</v>
      </c>
      <c r="F1219" s="18" t="str">
        <f t="shared" ca="1" si="402"/>
        <v>—</v>
      </c>
      <c r="G1219" s="17">
        <f t="shared" ca="1" si="403"/>
        <v>7</v>
      </c>
      <c r="H1219" s="18" t="str">
        <f t="shared" ca="1" si="404"/>
        <v>—</v>
      </c>
      <c r="I1219" s="17">
        <f t="shared" ca="1" si="405"/>
        <v>7</v>
      </c>
      <c r="J1219" s="18" t="str">
        <f t="shared" ca="1" si="406"/>
        <v>—</v>
      </c>
      <c r="K1219" s="17">
        <f t="shared" ca="1" si="407"/>
        <v>7</v>
      </c>
      <c r="L1219" s="10" t="str">
        <f t="shared" ca="1" si="408"/>
        <v>—</v>
      </c>
      <c r="M1219" s="17">
        <f t="shared" ca="1" si="409"/>
        <v>7</v>
      </c>
      <c r="N1219" s="18" t="str">
        <f t="shared" ca="1" si="410"/>
        <v>—</v>
      </c>
      <c r="O1219" s="17">
        <f t="shared" ca="1" si="411"/>
        <v>7</v>
      </c>
      <c r="P1219" s="18" t="str">
        <f t="shared" ca="1" si="412"/>
        <v>—</v>
      </c>
      <c r="Q1219" s="17">
        <f t="shared" ca="1" si="413"/>
        <v>7</v>
      </c>
      <c r="R1219" s="10" t="str">
        <f t="shared" ca="1" si="414"/>
        <v>—</v>
      </c>
      <c r="S1219" s="17">
        <f t="shared" ca="1" si="415"/>
        <v>7</v>
      </c>
      <c r="T1219" s="70" t="str">
        <f t="shared" ca="1" si="416"/>
        <v>—</v>
      </c>
      <c r="U1219" s="17">
        <f t="shared" ca="1" si="417"/>
        <v>7</v>
      </c>
      <c r="V1219" s="71" t="str">
        <f t="shared" ca="1" si="418"/>
        <v>—</v>
      </c>
      <c r="W1219" s="17">
        <f t="shared" ca="1" si="419"/>
        <v>7</v>
      </c>
    </row>
    <row r="1220" spans="1:23" x14ac:dyDescent="0.25">
      <c r="A1220" s="4">
        <f t="shared" si="399"/>
        <v>32</v>
      </c>
      <c r="B1220" t="str">
        <f ca="1">TEXT(DATE(YEAR(Invoer!$A$6),1,1)+INT((ROWS(B$2:B1220)-1)/4),"jjjjmmdd")</f>
        <v>19401031</v>
      </c>
      <c r="C1220" s="64" t="str">
        <f>IF(MOD(ROWS(C$2:C1220)-1,4)=3,"24.00",INDEX(Data,3,2+MOD(ROWS(C$2:C1220)-1,4)))</f>
        <v>17.00</v>
      </c>
      <c r="D1220" s="18" t="str">
        <f t="shared" ca="1" si="400"/>
        <v>—</v>
      </c>
      <c r="E1220" s="17">
        <f t="shared" ca="1" si="401"/>
        <v>7</v>
      </c>
      <c r="F1220" s="18" t="str">
        <f t="shared" ca="1" si="402"/>
        <v>—</v>
      </c>
      <c r="G1220" s="17">
        <f t="shared" ca="1" si="403"/>
        <v>7</v>
      </c>
      <c r="H1220" s="18" t="str">
        <f t="shared" ca="1" si="404"/>
        <v>—</v>
      </c>
      <c r="I1220" s="17">
        <f t="shared" ca="1" si="405"/>
        <v>7</v>
      </c>
      <c r="J1220" s="18" t="str">
        <f t="shared" ca="1" si="406"/>
        <v>—</v>
      </c>
      <c r="K1220" s="17">
        <f t="shared" ca="1" si="407"/>
        <v>7</v>
      </c>
      <c r="L1220" s="10" t="str">
        <f t="shared" ca="1" si="408"/>
        <v>—</v>
      </c>
      <c r="M1220" s="17">
        <f t="shared" ca="1" si="409"/>
        <v>7</v>
      </c>
      <c r="N1220" s="18" t="str">
        <f t="shared" ca="1" si="410"/>
        <v>—</v>
      </c>
      <c r="O1220" s="17">
        <f t="shared" ca="1" si="411"/>
        <v>7</v>
      </c>
      <c r="P1220" s="18" t="str">
        <f t="shared" ca="1" si="412"/>
        <v>—</v>
      </c>
      <c r="Q1220" s="17">
        <f t="shared" ca="1" si="413"/>
        <v>7</v>
      </c>
      <c r="R1220" s="10" t="str">
        <f t="shared" ca="1" si="414"/>
        <v>—</v>
      </c>
      <c r="S1220" s="17">
        <f t="shared" ca="1" si="415"/>
        <v>7</v>
      </c>
      <c r="T1220" s="70" t="str">
        <f t="shared" ca="1" si="416"/>
        <v>—</v>
      </c>
      <c r="U1220" s="17">
        <f t="shared" ca="1" si="417"/>
        <v>7</v>
      </c>
      <c r="V1220" s="71" t="str">
        <f t="shared" ca="1" si="418"/>
        <v>—</v>
      </c>
      <c r="W1220" s="17">
        <f t="shared" ca="1" si="419"/>
        <v>7</v>
      </c>
    </row>
    <row r="1221" spans="1:23" x14ac:dyDescent="0.25">
      <c r="A1221" s="4">
        <f t="shared" si="399"/>
        <v>32</v>
      </c>
      <c r="B1221" t="str">
        <f ca="1">TEXT(DATE(YEAR(Invoer!$A$6),1,1)+INT((ROWS(B$2:B1221)-1)/4),"jjjjmmdd")</f>
        <v>19401031</v>
      </c>
      <c r="C1221" s="64" t="str">
        <f>IF(MOD(ROWS(C$2:C1221)-1,4)=3,"24.00",INDEX(Data,3,2+MOD(ROWS(C$2:C1221)-1,4)))</f>
        <v>24.00</v>
      </c>
      <c r="D1221" s="18" t="str">
        <f t="shared" ca="1" si="400"/>
        <v>—</v>
      </c>
      <c r="E1221" s="17">
        <f t="shared" ca="1" si="401"/>
        <v>7</v>
      </c>
      <c r="F1221" s="18" t="str">
        <f t="shared" ca="1" si="402"/>
        <v>—</v>
      </c>
      <c r="G1221" s="17">
        <f t="shared" ca="1" si="403"/>
        <v>7</v>
      </c>
      <c r="H1221" s="18" t="str">
        <f t="shared" ca="1" si="404"/>
        <v>—</v>
      </c>
      <c r="I1221" s="17">
        <f t="shared" ca="1" si="405"/>
        <v>7</v>
      </c>
      <c r="J1221" s="18" t="str">
        <f t="shared" ca="1" si="406"/>
        <v>—</v>
      </c>
      <c r="K1221" s="17">
        <f t="shared" ca="1" si="407"/>
        <v>7</v>
      </c>
      <c r="L1221" s="10" t="str">
        <f t="shared" ca="1" si="408"/>
        <v>—</v>
      </c>
      <c r="M1221" s="17">
        <f t="shared" ca="1" si="409"/>
        <v>7</v>
      </c>
      <c r="N1221" s="18" t="str">
        <f t="shared" ca="1" si="410"/>
        <v>—</v>
      </c>
      <c r="O1221" s="17">
        <f t="shared" ca="1" si="411"/>
        <v>7</v>
      </c>
      <c r="P1221" s="18" t="str">
        <f t="shared" ca="1" si="412"/>
        <v>—</v>
      </c>
      <c r="Q1221" s="17">
        <f t="shared" ca="1" si="413"/>
        <v>7</v>
      </c>
      <c r="R1221" s="10" t="str">
        <f t="shared" ca="1" si="414"/>
        <v>—</v>
      </c>
      <c r="S1221" s="17">
        <f t="shared" ca="1" si="415"/>
        <v>7</v>
      </c>
      <c r="T1221" s="70" t="str">
        <f t="shared" ca="1" si="416"/>
        <v>—</v>
      </c>
      <c r="U1221" s="17">
        <f t="shared" ca="1" si="417"/>
        <v>7</v>
      </c>
      <c r="V1221" s="71" t="str">
        <f t="shared" ca="1" si="418"/>
        <v>—</v>
      </c>
      <c r="W1221" s="17">
        <f t="shared" ca="1" si="419"/>
        <v>7</v>
      </c>
    </row>
    <row r="1222" spans="1:23" x14ac:dyDescent="0.25">
      <c r="A1222" s="4">
        <f t="shared" si="399"/>
        <v>32</v>
      </c>
      <c r="B1222" t="str">
        <f ca="1">TEXT(DATE(YEAR(Invoer!$A$6),1,1)+INT((ROWS(B$2:B1222)-1)/4),"jjjjmmdd")</f>
        <v>19401101</v>
      </c>
      <c r="C1222" s="64" t="str">
        <f>IF(MOD(ROWS(C$2:C1222)-1,4)=3,"24.00",INDEX(Data,3,2+MOD(ROWS(C$2:C1222)-1,4)))</f>
        <v>07.00</v>
      </c>
      <c r="D1222" s="18" t="str">
        <f t="shared" ca="1" si="400"/>
        <v>—</v>
      </c>
      <c r="E1222" s="17">
        <f t="shared" ca="1" si="401"/>
        <v>7</v>
      </c>
      <c r="F1222" s="18" t="str">
        <f t="shared" ca="1" si="402"/>
        <v>—</v>
      </c>
      <c r="G1222" s="17">
        <f t="shared" ca="1" si="403"/>
        <v>7</v>
      </c>
      <c r="H1222" s="18" t="str">
        <f t="shared" ca="1" si="404"/>
        <v>—</v>
      </c>
      <c r="I1222" s="17">
        <f t="shared" ca="1" si="405"/>
        <v>7</v>
      </c>
      <c r="J1222" s="18" t="str">
        <f t="shared" ca="1" si="406"/>
        <v>—</v>
      </c>
      <c r="K1222" s="17">
        <f t="shared" ca="1" si="407"/>
        <v>7</v>
      </c>
      <c r="L1222" s="10" t="str">
        <f t="shared" ca="1" si="408"/>
        <v>—</v>
      </c>
      <c r="M1222" s="17">
        <f t="shared" ca="1" si="409"/>
        <v>7</v>
      </c>
      <c r="N1222" s="18" t="str">
        <f t="shared" ca="1" si="410"/>
        <v>—</v>
      </c>
      <c r="O1222" s="17">
        <f t="shared" ca="1" si="411"/>
        <v>7</v>
      </c>
      <c r="P1222" s="18" t="str">
        <f t="shared" ca="1" si="412"/>
        <v>—</v>
      </c>
      <c r="Q1222" s="17">
        <f t="shared" ca="1" si="413"/>
        <v>7</v>
      </c>
      <c r="R1222" s="10" t="str">
        <f t="shared" ca="1" si="414"/>
        <v>—</v>
      </c>
      <c r="S1222" s="17">
        <f t="shared" ca="1" si="415"/>
        <v>7</v>
      </c>
      <c r="T1222" s="70" t="str">
        <f t="shared" ca="1" si="416"/>
        <v>—</v>
      </c>
      <c r="U1222" s="17">
        <f t="shared" ca="1" si="417"/>
        <v>7</v>
      </c>
      <c r="V1222" s="71" t="str">
        <f t="shared" ca="1" si="418"/>
        <v>—</v>
      </c>
      <c r="W1222" s="17">
        <f t="shared" ca="1" si="419"/>
        <v>7</v>
      </c>
    </row>
    <row r="1223" spans="1:23" x14ac:dyDescent="0.25">
      <c r="A1223" s="4">
        <f t="shared" si="399"/>
        <v>32</v>
      </c>
      <c r="B1223" t="str">
        <f ca="1">TEXT(DATE(YEAR(Invoer!$A$6),1,1)+INT((ROWS(B$2:B1223)-1)/4),"jjjjmmdd")</f>
        <v>19401101</v>
      </c>
      <c r="C1223" s="64" t="str">
        <f>IF(MOD(ROWS(C$2:C1223)-1,4)=3,"24.00",INDEX(Data,3,2+MOD(ROWS(C$2:C1223)-1,4)))</f>
        <v>12.00</v>
      </c>
      <c r="D1223" s="18" t="str">
        <f t="shared" ca="1" si="400"/>
        <v>—</v>
      </c>
      <c r="E1223" s="17">
        <f t="shared" ca="1" si="401"/>
        <v>7</v>
      </c>
      <c r="F1223" s="18" t="str">
        <f t="shared" ca="1" si="402"/>
        <v>—</v>
      </c>
      <c r="G1223" s="17">
        <f t="shared" ca="1" si="403"/>
        <v>7</v>
      </c>
      <c r="H1223" s="18" t="str">
        <f t="shared" ca="1" si="404"/>
        <v>—</v>
      </c>
      <c r="I1223" s="17">
        <f t="shared" ca="1" si="405"/>
        <v>7</v>
      </c>
      <c r="J1223" s="18" t="str">
        <f t="shared" ca="1" si="406"/>
        <v>—</v>
      </c>
      <c r="K1223" s="17">
        <f t="shared" ca="1" si="407"/>
        <v>7</v>
      </c>
      <c r="L1223" s="10" t="str">
        <f t="shared" ca="1" si="408"/>
        <v>—</v>
      </c>
      <c r="M1223" s="17">
        <f t="shared" ca="1" si="409"/>
        <v>7</v>
      </c>
      <c r="N1223" s="18" t="str">
        <f t="shared" ca="1" si="410"/>
        <v>—</v>
      </c>
      <c r="O1223" s="17">
        <f t="shared" ca="1" si="411"/>
        <v>7</v>
      </c>
      <c r="P1223" s="18" t="str">
        <f t="shared" ca="1" si="412"/>
        <v>—</v>
      </c>
      <c r="Q1223" s="17">
        <f t="shared" ca="1" si="413"/>
        <v>7</v>
      </c>
      <c r="R1223" s="10" t="str">
        <f t="shared" ca="1" si="414"/>
        <v>—</v>
      </c>
      <c r="S1223" s="17">
        <f t="shared" ca="1" si="415"/>
        <v>7</v>
      </c>
      <c r="T1223" s="70" t="str">
        <f t="shared" ca="1" si="416"/>
        <v>—</v>
      </c>
      <c r="U1223" s="17">
        <f t="shared" ca="1" si="417"/>
        <v>7</v>
      </c>
      <c r="V1223" s="71" t="str">
        <f t="shared" ca="1" si="418"/>
        <v>—</v>
      </c>
      <c r="W1223" s="17">
        <f t="shared" ca="1" si="419"/>
        <v>7</v>
      </c>
    </row>
    <row r="1224" spans="1:23" x14ac:dyDescent="0.25">
      <c r="A1224" s="4">
        <f t="shared" si="399"/>
        <v>32</v>
      </c>
      <c r="B1224" t="str">
        <f ca="1">TEXT(DATE(YEAR(Invoer!$A$6),1,1)+INT((ROWS(B$2:B1224)-1)/4),"jjjjmmdd")</f>
        <v>19401101</v>
      </c>
      <c r="C1224" s="64" t="str">
        <f>IF(MOD(ROWS(C$2:C1224)-1,4)=3,"24.00",INDEX(Data,3,2+MOD(ROWS(C$2:C1224)-1,4)))</f>
        <v>17.00</v>
      </c>
      <c r="D1224" s="18" t="str">
        <f t="shared" ca="1" si="400"/>
        <v>—</v>
      </c>
      <c r="E1224" s="17">
        <f t="shared" ca="1" si="401"/>
        <v>7</v>
      </c>
      <c r="F1224" s="18" t="str">
        <f t="shared" ca="1" si="402"/>
        <v>—</v>
      </c>
      <c r="G1224" s="17">
        <f t="shared" ca="1" si="403"/>
        <v>7</v>
      </c>
      <c r="H1224" s="18" t="str">
        <f t="shared" ca="1" si="404"/>
        <v>—</v>
      </c>
      <c r="I1224" s="17">
        <f t="shared" ca="1" si="405"/>
        <v>7</v>
      </c>
      <c r="J1224" s="18" t="str">
        <f t="shared" ca="1" si="406"/>
        <v>—</v>
      </c>
      <c r="K1224" s="17">
        <f t="shared" ca="1" si="407"/>
        <v>7</v>
      </c>
      <c r="L1224" s="10" t="str">
        <f t="shared" ca="1" si="408"/>
        <v>—</v>
      </c>
      <c r="M1224" s="17">
        <f t="shared" ca="1" si="409"/>
        <v>7</v>
      </c>
      <c r="N1224" s="18" t="str">
        <f t="shared" ca="1" si="410"/>
        <v>—</v>
      </c>
      <c r="O1224" s="17">
        <f t="shared" ca="1" si="411"/>
        <v>7</v>
      </c>
      <c r="P1224" s="18" t="str">
        <f t="shared" ca="1" si="412"/>
        <v>—</v>
      </c>
      <c r="Q1224" s="17">
        <f t="shared" ca="1" si="413"/>
        <v>7</v>
      </c>
      <c r="R1224" s="10" t="str">
        <f t="shared" ca="1" si="414"/>
        <v>—</v>
      </c>
      <c r="S1224" s="17">
        <f t="shared" ca="1" si="415"/>
        <v>7</v>
      </c>
      <c r="T1224" s="70" t="str">
        <f t="shared" ca="1" si="416"/>
        <v>—</v>
      </c>
      <c r="U1224" s="17">
        <f t="shared" ca="1" si="417"/>
        <v>7</v>
      </c>
      <c r="V1224" s="71" t="str">
        <f t="shared" ca="1" si="418"/>
        <v>—</v>
      </c>
      <c r="W1224" s="17">
        <f t="shared" ca="1" si="419"/>
        <v>7</v>
      </c>
    </row>
    <row r="1225" spans="1:23" x14ac:dyDescent="0.25">
      <c r="A1225" s="4">
        <f t="shared" si="399"/>
        <v>32</v>
      </c>
      <c r="B1225" t="str">
        <f ca="1">TEXT(DATE(YEAR(Invoer!$A$6),1,1)+INT((ROWS(B$2:B1225)-1)/4),"jjjjmmdd")</f>
        <v>19401101</v>
      </c>
      <c r="C1225" s="64" t="str">
        <f>IF(MOD(ROWS(C$2:C1225)-1,4)=3,"24.00",INDEX(Data,3,2+MOD(ROWS(C$2:C1225)-1,4)))</f>
        <v>24.00</v>
      </c>
      <c r="D1225" s="18" t="str">
        <f t="shared" ca="1" si="400"/>
        <v>—</v>
      </c>
      <c r="E1225" s="17">
        <f t="shared" ca="1" si="401"/>
        <v>7</v>
      </c>
      <c r="F1225" s="18" t="str">
        <f t="shared" ca="1" si="402"/>
        <v>—</v>
      </c>
      <c r="G1225" s="17">
        <f t="shared" ca="1" si="403"/>
        <v>7</v>
      </c>
      <c r="H1225" s="18" t="str">
        <f t="shared" ca="1" si="404"/>
        <v>—</v>
      </c>
      <c r="I1225" s="17">
        <f t="shared" ca="1" si="405"/>
        <v>7</v>
      </c>
      <c r="J1225" s="18" t="str">
        <f t="shared" ca="1" si="406"/>
        <v>—</v>
      </c>
      <c r="K1225" s="17">
        <f t="shared" ca="1" si="407"/>
        <v>7</v>
      </c>
      <c r="L1225" s="10" t="str">
        <f t="shared" ca="1" si="408"/>
        <v>—</v>
      </c>
      <c r="M1225" s="17">
        <f t="shared" ca="1" si="409"/>
        <v>7</v>
      </c>
      <c r="N1225" s="18" t="str">
        <f t="shared" ca="1" si="410"/>
        <v>—</v>
      </c>
      <c r="O1225" s="17">
        <f t="shared" ca="1" si="411"/>
        <v>7</v>
      </c>
      <c r="P1225" s="18" t="str">
        <f t="shared" ca="1" si="412"/>
        <v>—</v>
      </c>
      <c r="Q1225" s="17">
        <f t="shared" ca="1" si="413"/>
        <v>7</v>
      </c>
      <c r="R1225" s="10" t="str">
        <f t="shared" ca="1" si="414"/>
        <v>—</v>
      </c>
      <c r="S1225" s="17">
        <f t="shared" ca="1" si="415"/>
        <v>7</v>
      </c>
      <c r="T1225" s="70" t="str">
        <f t="shared" ca="1" si="416"/>
        <v>—</v>
      </c>
      <c r="U1225" s="17">
        <f t="shared" ca="1" si="417"/>
        <v>7</v>
      </c>
      <c r="V1225" s="71" t="str">
        <f t="shared" ca="1" si="418"/>
        <v>—</v>
      </c>
      <c r="W1225" s="17">
        <f t="shared" ca="1" si="419"/>
        <v>7</v>
      </c>
    </row>
    <row r="1226" spans="1:23" x14ac:dyDescent="0.25">
      <c r="A1226" s="4">
        <f t="shared" si="399"/>
        <v>32</v>
      </c>
      <c r="B1226" t="str">
        <f ca="1">TEXT(DATE(YEAR(Invoer!$A$6),1,1)+INT((ROWS(B$2:B1226)-1)/4),"jjjjmmdd")</f>
        <v>19401102</v>
      </c>
      <c r="C1226" s="64" t="str">
        <f>IF(MOD(ROWS(C$2:C1226)-1,4)=3,"24.00",INDEX(Data,3,2+MOD(ROWS(C$2:C1226)-1,4)))</f>
        <v>07.00</v>
      </c>
      <c r="D1226" s="18" t="str">
        <f t="shared" ca="1" si="400"/>
        <v>—</v>
      </c>
      <c r="E1226" s="17">
        <f t="shared" ca="1" si="401"/>
        <v>7</v>
      </c>
      <c r="F1226" s="18" t="str">
        <f t="shared" ca="1" si="402"/>
        <v>—</v>
      </c>
      <c r="G1226" s="17">
        <f t="shared" ca="1" si="403"/>
        <v>7</v>
      </c>
      <c r="H1226" s="18" t="str">
        <f t="shared" ca="1" si="404"/>
        <v>—</v>
      </c>
      <c r="I1226" s="17">
        <f t="shared" ca="1" si="405"/>
        <v>7</v>
      </c>
      <c r="J1226" s="18" t="str">
        <f t="shared" ca="1" si="406"/>
        <v>—</v>
      </c>
      <c r="K1226" s="17">
        <f t="shared" ca="1" si="407"/>
        <v>7</v>
      </c>
      <c r="L1226" s="10" t="str">
        <f t="shared" ca="1" si="408"/>
        <v>—</v>
      </c>
      <c r="M1226" s="17">
        <f t="shared" ca="1" si="409"/>
        <v>7</v>
      </c>
      <c r="N1226" s="18" t="str">
        <f t="shared" ca="1" si="410"/>
        <v>—</v>
      </c>
      <c r="O1226" s="17">
        <f t="shared" ca="1" si="411"/>
        <v>7</v>
      </c>
      <c r="P1226" s="18" t="str">
        <f t="shared" ca="1" si="412"/>
        <v>—</v>
      </c>
      <c r="Q1226" s="17">
        <f t="shared" ca="1" si="413"/>
        <v>7</v>
      </c>
      <c r="R1226" s="10" t="str">
        <f t="shared" ca="1" si="414"/>
        <v>—</v>
      </c>
      <c r="S1226" s="17">
        <f t="shared" ca="1" si="415"/>
        <v>7</v>
      </c>
      <c r="T1226" s="70" t="str">
        <f t="shared" ca="1" si="416"/>
        <v>—</v>
      </c>
      <c r="U1226" s="17">
        <f t="shared" ca="1" si="417"/>
        <v>7</v>
      </c>
      <c r="V1226" s="71" t="str">
        <f t="shared" ca="1" si="418"/>
        <v>—</v>
      </c>
      <c r="W1226" s="17">
        <f t="shared" ca="1" si="419"/>
        <v>7</v>
      </c>
    </row>
    <row r="1227" spans="1:23" x14ac:dyDescent="0.25">
      <c r="A1227" s="4">
        <f t="shared" si="399"/>
        <v>32</v>
      </c>
      <c r="B1227" t="str">
        <f ca="1">TEXT(DATE(YEAR(Invoer!$A$6),1,1)+INT((ROWS(B$2:B1227)-1)/4),"jjjjmmdd")</f>
        <v>19401102</v>
      </c>
      <c r="C1227" s="64" t="str">
        <f>IF(MOD(ROWS(C$2:C1227)-1,4)=3,"24.00",INDEX(Data,3,2+MOD(ROWS(C$2:C1227)-1,4)))</f>
        <v>12.00</v>
      </c>
      <c r="D1227" s="18" t="str">
        <f t="shared" ca="1" si="400"/>
        <v>—</v>
      </c>
      <c r="E1227" s="17">
        <f t="shared" ca="1" si="401"/>
        <v>7</v>
      </c>
      <c r="F1227" s="18" t="str">
        <f t="shared" ca="1" si="402"/>
        <v>—</v>
      </c>
      <c r="G1227" s="17">
        <f t="shared" ca="1" si="403"/>
        <v>7</v>
      </c>
      <c r="H1227" s="18" t="str">
        <f t="shared" ca="1" si="404"/>
        <v>—</v>
      </c>
      <c r="I1227" s="17">
        <f t="shared" ca="1" si="405"/>
        <v>7</v>
      </c>
      <c r="J1227" s="18" t="str">
        <f t="shared" ca="1" si="406"/>
        <v>—</v>
      </c>
      <c r="K1227" s="17">
        <f t="shared" ca="1" si="407"/>
        <v>7</v>
      </c>
      <c r="L1227" s="10" t="str">
        <f t="shared" ca="1" si="408"/>
        <v>—</v>
      </c>
      <c r="M1227" s="17">
        <f t="shared" ca="1" si="409"/>
        <v>7</v>
      </c>
      <c r="N1227" s="18" t="str">
        <f t="shared" ca="1" si="410"/>
        <v>—</v>
      </c>
      <c r="O1227" s="17">
        <f t="shared" ca="1" si="411"/>
        <v>7</v>
      </c>
      <c r="P1227" s="18" t="str">
        <f t="shared" ca="1" si="412"/>
        <v>—</v>
      </c>
      <c r="Q1227" s="17">
        <f t="shared" ca="1" si="413"/>
        <v>7</v>
      </c>
      <c r="R1227" s="10" t="str">
        <f t="shared" ca="1" si="414"/>
        <v>—</v>
      </c>
      <c r="S1227" s="17">
        <f t="shared" ca="1" si="415"/>
        <v>7</v>
      </c>
      <c r="T1227" s="70" t="str">
        <f t="shared" ca="1" si="416"/>
        <v>—</v>
      </c>
      <c r="U1227" s="17">
        <f t="shared" ca="1" si="417"/>
        <v>7</v>
      </c>
      <c r="V1227" s="71" t="str">
        <f t="shared" ca="1" si="418"/>
        <v>—</v>
      </c>
      <c r="W1227" s="17">
        <f t="shared" ca="1" si="419"/>
        <v>7</v>
      </c>
    </row>
    <row r="1228" spans="1:23" x14ac:dyDescent="0.25">
      <c r="A1228" s="4">
        <f t="shared" si="399"/>
        <v>32</v>
      </c>
      <c r="B1228" t="str">
        <f ca="1">TEXT(DATE(YEAR(Invoer!$A$6),1,1)+INT((ROWS(B$2:B1228)-1)/4),"jjjjmmdd")</f>
        <v>19401102</v>
      </c>
      <c r="C1228" s="64" t="str">
        <f>IF(MOD(ROWS(C$2:C1228)-1,4)=3,"24.00",INDEX(Data,3,2+MOD(ROWS(C$2:C1228)-1,4)))</f>
        <v>17.00</v>
      </c>
      <c r="D1228" s="18" t="str">
        <f t="shared" ca="1" si="400"/>
        <v>—</v>
      </c>
      <c r="E1228" s="17">
        <f t="shared" ca="1" si="401"/>
        <v>7</v>
      </c>
      <c r="F1228" s="18" t="str">
        <f t="shared" ca="1" si="402"/>
        <v>—</v>
      </c>
      <c r="G1228" s="17">
        <f t="shared" ca="1" si="403"/>
        <v>7</v>
      </c>
      <c r="H1228" s="18" t="str">
        <f t="shared" ca="1" si="404"/>
        <v>—</v>
      </c>
      <c r="I1228" s="17">
        <f t="shared" ca="1" si="405"/>
        <v>7</v>
      </c>
      <c r="J1228" s="18" t="str">
        <f t="shared" ca="1" si="406"/>
        <v>—</v>
      </c>
      <c r="K1228" s="17">
        <f t="shared" ca="1" si="407"/>
        <v>7</v>
      </c>
      <c r="L1228" s="10" t="str">
        <f t="shared" ca="1" si="408"/>
        <v>—</v>
      </c>
      <c r="M1228" s="17">
        <f t="shared" ca="1" si="409"/>
        <v>7</v>
      </c>
      <c r="N1228" s="18" t="str">
        <f t="shared" ca="1" si="410"/>
        <v>—</v>
      </c>
      <c r="O1228" s="17">
        <f t="shared" ca="1" si="411"/>
        <v>7</v>
      </c>
      <c r="P1228" s="18" t="str">
        <f t="shared" ca="1" si="412"/>
        <v>—</v>
      </c>
      <c r="Q1228" s="17">
        <f t="shared" ca="1" si="413"/>
        <v>7</v>
      </c>
      <c r="R1228" s="10" t="str">
        <f t="shared" ca="1" si="414"/>
        <v>—</v>
      </c>
      <c r="S1228" s="17">
        <f t="shared" ca="1" si="415"/>
        <v>7</v>
      </c>
      <c r="T1228" s="70" t="str">
        <f t="shared" ca="1" si="416"/>
        <v>—</v>
      </c>
      <c r="U1228" s="17">
        <f t="shared" ca="1" si="417"/>
        <v>7</v>
      </c>
      <c r="V1228" s="71" t="str">
        <f t="shared" ca="1" si="418"/>
        <v>—</v>
      </c>
      <c r="W1228" s="17">
        <f t="shared" ca="1" si="419"/>
        <v>7</v>
      </c>
    </row>
    <row r="1229" spans="1:23" x14ac:dyDescent="0.25">
      <c r="A1229" s="4">
        <f t="shared" si="399"/>
        <v>32</v>
      </c>
      <c r="B1229" t="str">
        <f ca="1">TEXT(DATE(YEAR(Invoer!$A$6),1,1)+INT((ROWS(B$2:B1229)-1)/4),"jjjjmmdd")</f>
        <v>19401102</v>
      </c>
      <c r="C1229" s="64" t="str">
        <f>IF(MOD(ROWS(C$2:C1229)-1,4)=3,"24.00",INDEX(Data,3,2+MOD(ROWS(C$2:C1229)-1,4)))</f>
        <v>24.00</v>
      </c>
      <c r="D1229" s="18" t="str">
        <f t="shared" ca="1" si="400"/>
        <v>—</v>
      </c>
      <c r="E1229" s="17">
        <f t="shared" ca="1" si="401"/>
        <v>7</v>
      </c>
      <c r="F1229" s="18" t="str">
        <f t="shared" ca="1" si="402"/>
        <v>—</v>
      </c>
      <c r="G1229" s="17">
        <f t="shared" ca="1" si="403"/>
        <v>7</v>
      </c>
      <c r="H1229" s="18" t="str">
        <f t="shared" ca="1" si="404"/>
        <v>—</v>
      </c>
      <c r="I1229" s="17">
        <f t="shared" ca="1" si="405"/>
        <v>7</v>
      </c>
      <c r="J1229" s="18" t="str">
        <f t="shared" ca="1" si="406"/>
        <v>—</v>
      </c>
      <c r="K1229" s="17">
        <f t="shared" ca="1" si="407"/>
        <v>7</v>
      </c>
      <c r="L1229" s="10" t="str">
        <f t="shared" ca="1" si="408"/>
        <v>—</v>
      </c>
      <c r="M1229" s="17">
        <f t="shared" ca="1" si="409"/>
        <v>7</v>
      </c>
      <c r="N1229" s="18" t="str">
        <f t="shared" ca="1" si="410"/>
        <v>—</v>
      </c>
      <c r="O1229" s="17">
        <f t="shared" ca="1" si="411"/>
        <v>7</v>
      </c>
      <c r="P1229" s="18" t="str">
        <f t="shared" ca="1" si="412"/>
        <v>—</v>
      </c>
      <c r="Q1229" s="17">
        <f t="shared" ca="1" si="413"/>
        <v>7</v>
      </c>
      <c r="R1229" s="10" t="str">
        <f t="shared" ca="1" si="414"/>
        <v>—</v>
      </c>
      <c r="S1229" s="17">
        <f t="shared" ca="1" si="415"/>
        <v>7</v>
      </c>
      <c r="T1229" s="70" t="str">
        <f t="shared" ca="1" si="416"/>
        <v>—</v>
      </c>
      <c r="U1229" s="17">
        <f t="shared" ca="1" si="417"/>
        <v>7</v>
      </c>
      <c r="V1229" s="71" t="str">
        <f t="shared" ca="1" si="418"/>
        <v>—</v>
      </c>
      <c r="W1229" s="17">
        <f t="shared" ca="1" si="419"/>
        <v>7</v>
      </c>
    </row>
    <row r="1230" spans="1:23" x14ac:dyDescent="0.25">
      <c r="A1230" s="4">
        <f t="shared" si="399"/>
        <v>32</v>
      </c>
      <c r="B1230" t="str">
        <f ca="1">TEXT(DATE(YEAR(Invoer!$A$6),1,1)+INT((ROWS(B$2:B1230)-1)/4),"jjjjmmdd")</f>
        <v>19401103</v>
      </c>
      <c r="C1230" s="64" t="str">
        <f>IF(MOD(ROWS(C$2:C1230)-1,4)=3,"24.00",INDEX(Data,3,2+MOD(ROWS(C$2:C1230)-1,4)))</f>
        <v>07.00</v>
      </c>
      <c r="D1230" s="18" t="str">
        <f t="shared" ca="1" si="400"/>
        <v>—</v>
      </c>
      <c r="E1230" s="17">
        <f t="shared" ca="1" si="401"/>
        <v>7</v>
      </c>
      <c r="F1230" s="18" t="str">
        <f t="shared" ca="1" si="402"/>
        <v>—</v>
      </c>
      <c r="G1230" s="17">
        <f t="shared" ca="1" si="403"/>
        <v>7</v>
      </c>
      <c r="H1230" s="18" t="str">
        <f t="shared" ca="1" si="404"/>
        <v>—</v>
      </c>
      <c r="I1230" s="17">
        <f t="shared" ca="1" si="405"/>
        <v>7</v>
      </c>
      <c r="J1230" s="18" t="str">
        <f t="shared" ca="1" si="406"/>
        <v>—</v>
      </c>
      <c r="K1230" s="17">
        <f t="shared" ca="1" si="407"/>
        <v>7</v>
      </c>
      <c r="L1230" s="10" t="str">
        <f t="shared" ca="1" si="408"/>
        <v>—</v>
      </c>
      <c r="M1230" s="17">
        <f t="shared" ca="1" si="409"/>
        <v>7</v>
      </c>
      <c r="N1230" s="18" t="str">
        <f t="shared" ca="1" si="410"/>
        <v>—</v>
      </c>
      <c r="O1230" s="17">
        <f t="shared" ca="1" si="411"/>
        <v>7</v>
      </c>
      <c r="P1230" s="18" t="str">
        <f t="shared" ca="1" si="412"/>
        <v>—</v>
      </c>
      <c r="Q1230" s="17">
        <f t="shared" ca="1" si="413"/>
        <v>7</v>
      </c>
      <c r="R1230" s="10" t="str">
        <f t="shared" ca="1" si="414"/>
        <v>—</v>
      </c>
      <c r="S1230" s="17">
        <f t="shared" ca="1" si="415"/>
        <v>7</v>
      </c>
      <c r="T1230" s="70" t="str">
        <f t="shared" ca="1" si="416"/>
        <v>—</v>
      </c>
      <c r="U1230" s="17">
        <f t="shared" ca="1" si="417"/>
        <v>7</v>
      </c>
      <c r="V1230" s="71" t="str">
        <f t="shared" ca="1" si="418"/>
        <v>—</v>
      </c>
      <c r="W1230" s="17">
        <f t="shared" ca="1" si="419"/>
        <v>7</v>
      </c>
    </row>
    <row r="1231" spans="1:23" x14ac:dyDescent="0.25">
      <c r="A1231" s="4">
        <f t="shared" si="399"/>
        <v>32</v>
      </c>
      <c r="B1231" t="str">
        <f ca="1">TEXT(DATE(YEAR(Invoer!$A$6),1,1)+INT((ROWS(B$2:B1231)-1)/4),"jjjjmmdd")</f>
        <v>19401103</v>
      </c>
      <c r="C1231" s="64" t="str">
        <f>IF(MOD(ROWS(C$2:C1231)-1,4)=3,"24.00",INDEX(Data,3,2+MOD(ROWS(C$2:C1231)-1,4)))</f>
        <v>12.00</v>
      </c>
      <c r="D1231" s="18" t="str">
        <f t="shared" ca="1" si="400"/>
        <v>—</v>
      </c>
      <c r="E1231" s="17">
        <f t="shared" ca="1" si="401"/>
        <v>7</v>
      </c>
      <c r="F1231" s="18" t="str">
        <f t="shared" ca="1" si="402"/>
        <v>—</v>
      </c>
      <c r="G1231" s="17">
        <f t="shared" ca="1" si="403"/>
        <v>7</v>
      </c>
      <c r="H1231" s="18" t="str">
        <f t="shared" ca="1" si="404"/>
        <v>—</v>
      </c>
      <c r="I1231" s="17">
        <f t="shared" ca="1" si="405"/>
        <v>7</v>
      </c>
      <c r="J1231" s="18" t="str">
        <f t="shared" ca="1" si="406"/>
        <v>—</v>
      </c>
      <c r="K1231" s="17">
        <f t="shared" ca="1" si="407"/>
        <v>7</v>
      </c>
      <c r="L1231" s="10" t="str">
        <f t="shared" ca="1" si="408"/>
        <v>—</v>
      </c>
      <c r="M1231" s="17">
        <f t="shared" ca="1" si="409"/>
        <v>7</v>
      </c>
      <c r="N1231" s="18" t="str">
        <f t="shared" ca="1" si="410"/>
        <v>—</v>
      </c>
      <c r="O1231" s="17">
        <f t="shared" ca="1" si="411"/>
        <v>7</v>
      </c>
      <c r="P1231" s="18" t="str">
        <f t="shared" ca="1" si="412"/>
        <v>—</v>
      </c>
      <c r="Q1231" s="17">
        <f t="shared" ca="1" si="413"/>
        <v>7</v>
      </c>
      <c r="R1231" s="10" t="str">
        <f t="shared" ca="1" si="414"/>
        <v>—</v>
      </c>
      <c r="S1231" s="17">
        <f t="shared" ca="1" si="415"/>
        <v>7</v>
      </c>
      <c r="T1231" s="70" t="str">
        <f t="shared" ca="1" si="416"/>
        <v>—</v>
      </c>
      <c r="U1231" s="17">
        <f t="shared" ca="1" si="417"/>
        <v>7</v>
      </c>
      <c r="V1231" s="71" t="str">
        <f t="shared" ca="1" si="418"/>
        <v>—</v>
      </c>
      <c r="W1231" s="17">
        <f t="shared" ca="1" si="419"/>
        <v>7</v>
      </c>
    </row>
    <row r="1232" spans="1:23" x14ac:dyDescent="0.25">
      <c r="A1232" s="4">
        <f t="shared" si="399"/>
        <v>32</v>
      </c>
      <c r="B1232" t="str">
        <f ca="1">TEXT(DATE(YEAR(Invoer!$A$6),1,1)+INT((ROWS(B$2:B1232)-1)/4),"jjjjmmdd")</f>
        <v>19401103</v>
      </c>
      <c r="C1232" s="64" t="str">
        <f>IF(MOD(ROWS(C$2:C1232)-1,4)=3,"24.00",INDEX(Data,3,2+MOD(ROWS(C$2:C1232)-1,4)))</f>
        <v>17.00</v>
      </c>
      <c r="D1232" s="18" t="str">
        <f t="shared" ca="1" si="400"/>
        <v>—</v>
      </c>
      <c r="E1232" s="17">
        <f t="shared" ca="1" si="401"/>
        <v>7</v>
      </c>
      <c r="F1232" s="18" t="str">
        <f t="shared" ca="1" si="402"/>
        <v>—</v>
      </c>
      <c r="G1232" s="17">
        <f t="shared" ca="1" si="403"/>
        <v>7</v>
      </c>
      <c r="H1232" s="18" t="str">
        <f t="shared" ca="1" si="404"/>
        <v>—</v>
      </c>
      <c r="I1232" s="17">
        <f t="shared" ca="1" si="405"/>
        <v>7</v>
      </c>
      <c r="J1232" s="18" t="str">
        <f t="shared" ca="1" si="406"/>
        <v>—</v>
      </c>
      <c r="K1232" s="17">
        <f t="shared" ca="1" si="407"/>
        <v>7</v>
      </c>
      <c r="L1232" s="10" t="str">
        <f t="shared" ca="1" si="408"/>
        <v>—</v>
      </c>
      <c r="M1232" s="17">
        <f t="shared" ca="1" si="409"/>
        <v>7</v>
      </c>
      <c r="N1232" s="18" t="str">
        <f t="shared" ca="1" si="410"/>
        <v>—</v>
      </c>
      <c r="O1232" s="17">
        <f t="shared" ca="1" si="411"/>
        <v>7</v>
      </c>
      <c r="P1232" s="18" t="str">
        <f t="shared" ca="1" si="412"/>
        <v>—</v>
      </c>
      <c r="Q1232" s="17">
        <f t="shared" ca="1" si="413"/>
        <v>7</v>
      </c>
      <c r="R1232" s="10" t="str">
        <f t="shared" ca="1" si="414"/>
        <v>—</v>
      </c>
      <c r="S1232" s="17">
        <f t="shared" ca="1" si="415"/>
        <v>7</v>
      </c>
      <c r="T1232" s="70" t="str">
        <f t="shared" ca="1" si="416"/>
        <v>—</v>
      </c>
      <c r="U1232" s="17">
        <f t="shared" ca="1" si="417"/>
        <v>7</v>
      </c>
      <c r="V1232" s="71" t="str">
        <f t="shared" ca="1" si="418"/>
        <v>—</v>
      </c>
      <c r="W1232" s="17">
        <f t="shared" ca="1" si="419"/>
        <v>7</v>
      </c>
    </row>
    <row r="1233" spans="1:23" x14ac:dyDescent="0.25">
      <c r="A1233" s="4">
        <f t="shared" si="399"/>
        <v>32</v>
      </c>
      <c r="B1233" t="str">
        <f ca="1">TEXT(DATE(YEAR(Invoer!$A$6),1,1)+INT((ROWS(B$2:B1233)-1)/4),"jjjjmmdd")</f>
        <v>19401103</v>
      </c>
      <c r="C1233" s="64" t="str">
        <f>IF(MOD(ROWS(C$2:C1233)-1,4)=3,"24.00",INDEX(Data,3,2+MOD(ROWS(C$2:C1233)-1,4)))</f>
        <v>24.00</v>
      </c>
      <c r="D1233" s="18" t="str">
        <f t="shared" ca="1" si="400"/>
        <v>—</v>
      </c>
      <c r="E1233" s="17">
        <f t="shared" ca="1" si="401"/>
        <v>7</v>
      </c>
      <c r="F1233" s="18" t="str">
        <f t="shared" ca="1" si="402"/>
        <v>—</v>
      </c>
      <c r="G1233" s="17">
        <f t="shared" ca="1" si="403"/>
        <v>7</v>
      </c>
      <c r="H1233" s="18" t="str">
        <f t="shared" ca="1" si="404"/>
        <v>—</v>
      </c>
      <c r="I1233" s="17">
        <f t="shared" ca="1" si="405"/>
        <v>7</v>
      </c>
      <c r="J1233" s="18" t="str">
        <f t="shared" ca="1" si="406"/>
        <v>—</v>
      </c>
      <c r="K1233" s="17">
        <f t="shared" ca="1" si="407"/>
        <v>7</v>
      </c>
      <c r="L1233" s="10" t="str">
        <f t="shared" ca="1" si="408"/>
        <v>—</v>
      </c>
      <c r="M1233" s="17">
        <f t="shared" ca="1" si="409"/>
        <v>7</v>
      </c>
      <c r="N1233" s="18" t="str">
        <f t="shared" ca="1" si="410"/>
        <v>—</v>
      </c>
      <c r="O1233" s="17">
        <f t="shared" ca="1" si="411"/>
        <v>7</v>
      </c>
      <c r="P1233" s="18" t="str">
        <f t="shared" ca="1" si="412"/>
        <v>—</v>
      </c>
      <c r="Q1233" s="17">
        <f t="shared" ca="1" si="413"/>
        <v>7</v>
      </c>
      <c r="R1233" s="10" t="str">
        <f t="shared" ca="1" si="414"/>
        <v>—</v>
      </c>
      <c r="S1233" s="17">
        <f t="shared" ca="1" si="415"/>
        <v>7</v>
      </c>
      <c r="T1233" s="70" t="str">
        <f t="shared" ca="1" si="416"/>
        <v>—</v>
      </c>
      <c r="U1233" s="17">
        <f t="shared" ca="1" si="417"/>
        <v>7</v>
      </c>
      <c r="V1233" s="71" t="str">
        <f t="shared" ca="1" si="418"/>
        <v>—</v>
      </c>
      <c r="W1233" s="17">
        <f t="shared" ca="1" si="419"/>
        <v>7</v>
      </c>
    </row>
    <row r="1234" spans="1:23" x14ac:dyDescent="0.25">
      <c r="A1234" s="4">
        <f t="shared" si="399"/>
        <v>32</v>
      </c>
      <c r="B1234" t="str">
        <f ca="1">TEXT(DATE(YEAR(Invoer!$A$6),1,1)+INT((ROWS(B$2:B1234)-1)/4),"jjjjmmdd")</f>
        <v>19401104</v>
      </c>
      <c r="C1234" s="64" t="str">
        <f>IF(MOD(ROWS(C$2:C1234)-1,4)=3,"24.00",INDEX(Data,3,2+MOD(ROWS(C$2:C1234)-1,4)))</f>
        <v>07.00</v>
      </c>
      <c r="D1234" s="18" t="str">
        <f t="shared" ca="1" si="400"/>
        <v>—</v>
      </c>
      <c r="E1234" s="17">
        <f t="shared" ca="1" si="401"/>
        <v>7</v>
      </c>
      <c r="F1234" s="18" t="str">
        <f t="shared" ca="1" si="402"/>
        <v>—</v>
      </c>
      <c r="G1234" s="17">
        <f t="shared" ca="1" si="403"/>
        <v>7</v>
      </c>
      <c r="H1234" s="18" t="str">
        <f t="shared" ca="1" si="404"/>
        <v>—</v>
      </c>
      <c r="I1234" s="17">
        <f t="shared" ca="1" si="405"/>
        <v>7</v>
      </c>
      <c r="J1234" s="18" t="str">
        <f t="shared" ca="1" si="406"/>
        <v>—</v>
      </c>
      <c r="K1234" s="17">
        <f t="shared" ca="1" si="407"/>
        <v>7</v>
      </c>
      <c r="L1234" s="10" t="str">
        <f t="shared" ca="1" si="408"/>
        <v>—</v>
      </c>
      <c r="M1234" s="17">
        <f t="shared" ca="1" si="409"/>
        <v>7</v>
      </c>
      <c r="N1234" s="18" t="str">
        <f t="shared" ca="1" si="410"/>
        <v>—</v>
      </c>
      <c r="O1234" s="17">
        <f t="shared" ca="1" si="411"/>
        <v>7</v>
      </c>
      <c r="P1234" s="18" t="str">
        <f t="shared" ca="1" si="412"/>
        <v>—</v>
      </c>
      <c r="Q1234" s="17">
        <f t="shared" ca="1" si="413"/>
        <v>7</v>
      </c>
      <c r="R1234" s="10" t="str">
        <f t="shared" ca="1" si="414"/>
        <v>—</v>
      </c>
      <c r="S1234" s="17">
        <f t="shared" ca="1" si="415"/>
        <v>7</v>
      </c>
      <c r="T1234" s="70" t="str">
        <f t="shared" ca="1" si="416"/>
        <v>—</v>
      </c>
      <c r="U1234" s="17">
        <f t="shared" ca="1" si="417"/>
        <v>7</v>
      </c>
      <c r="V1234" s="71" t="str">
        <f t="shared" ca="1" si="418"/>
        <v>—</v>
      </c>
      <c r="W1234" s="17">
        <f t="shared" ca="1" si="419"/>
        <v>7</v>
      </c>
    </row>
    <row r="1235" spans="1:23" x14ac:dyDescent="0.25">
      <c r="A1235" s="4">
        <f t="shared" si="399"/>
        <v>32</v>
      </c>
      <c r="B1235" t="str">
        <f ca="1">TEXT(DATE(YEAR(Invoer!$A$6),1,1)+INT((ROWS(B$2:B1235)-1)/4),"jjjjmmdd")</f>
        <v>19401104</v>
      </c>
      <c r="C1235" s="64" t="str">
        <f>IF(MOD(ROWS(C$2:C1235)-1,4)=3,"24.00",INDEX(Data,3,2+MOD(ROWS(C$2:C1235)-1,4)))</f>
        <v>12.00</v>
      </c>
      <c r="D1235" s="18" t="str">
        <f t="shared" ca="1" si="400"/>
        <v>—</v>
      </c>
      <c r="E1235" s="17">
        <f t="shared" ca="1" si="401"/>
        <v>7</v>
      </c>
      <c r="F1235" s="18" t="str">
        <f t="shared" ca="1" si="402"/>
        <v>—</v>
      </c>
      <c r="G1235" s="17">
        <f t="shared" ca="1" si="403"/>
        <v>7</v>
      </c>
      <c r="H1235" s="18" t="str">
        <f t="shared" ca="1" si="404"/>
        <v>—</v>
      </c>
      <c r="I1235" s="17">
        <f t="shared" ca="1" si="405"/>
        <v>7</v>
      </c>
      <c r="J1235" s="18" t="str">
        <f t="shared" ca="1" si="406"/>
        <v>—</v>
      </c>
      <c r="K1235" s="17">
        <f t="shared" ca="1" si="407"/>
        <v>7</v>
      </c>
      <c r="L1235" s="10" t="str">
        <f t="shared" ca="1" si="408"/>
        <v>—</v>
      </c>
      <c r="M1235" s="17">
        <f t="shared" ca="1" si="409"/>
        <v>7</v>
      </c>
      <c r="N1235" s="18" t="str">
        <f t="shared" ca="1" si="410"/>
        <v>—</v>
      </c>
      <c r="O1235" s="17">
        <f t="shared" ca="1" si="411"/>
        <v>7</v>
      </c>
      <c r="P1235" s="18" t="str">
        <f t="shared" ca="1" si="412"/>
        <v>—</v>
      </c>
      <c r="Q1235" s="17">
        <f t="shared" ca="1" si="413"/>
        <v>7</v>
      </c>
      <c r="R1235" s="10" t="str">
        <f t="shared" ca="1" si="414"/>
        <v>—</v>
      </c>
      <c r="S1235" s="17">
        <f t="shared" ca="1" si="415"/>
        <v>7</v>
      </c>
      <c r="T1235" s="70" t="str">
        <f t="shared" ca="1" si="416"/>
        <v>—</v>
      </c>
      <c r="U1235" s="17">
        <f t="shared" ca="1" si="417"/>
        <v>7</v>
      </c>
      <c r="V1235" s="71" t="str">
        <f t="shared" ca="1" si="418"/>
        <v>—</v>
      </c>
      <c r="W1235" s="17">
        <f t="shared" ca="1" si="419"/>
        <v>7</v>
      </c>
    </row>
    <row r="1236" spans="1:23" x14ac:dyDescent="0.25">
      <c r="A1236" s="4">
        <f t="shared" si="399"/>
        <v>32</v>
      </c>
      <c r="B1236" t="str">
        <f ca="1">TEXT(DATE(YEAR(Invoer!$A$6),1,1)+INT((ROWS(B$2:B1236)-1)/4),"jjjjmmdd")</f>
        <v>19401104</v>
      </c>
      <c r="C1236" s="64" t="str">
        <f>IF(MOD(ROWS(C$2:C1236)-1,4)=3,"24.00",INDEX(Data,3,2+MOD(ROWS(C$2:C1236)-1,4)))</f>
        <v>17.00</v>
      </c>
      <c r="D1236" s="18" t="str">
        <f t="shared" ca="1" si="400"/>
        <v>—</v>
      </c>
      <c r="E1236" s="17">
        <f t="shared" ca="1" si="401"/>
        <v>7</v>
      </c>
      <c r="F1236" s="18" t="str">
        <f t="shared" ca="1" si="402"/>
        <v>—</v>
      </c>
      <c r="G1236" s="17">
        <f t="shared" ca="1" si="403"/>
        <v>7</v>
      </c>
      <c r="H1236" s="18" t="str">
        <f t="shared" ca="1" si="404"/>
        <v>—</v>
      </c>
      <c r="I1236" s="17">
        <f t="shared" ca="1" si="405"/>
        <v>7</v>
      </c>
      <c r="J1236" s="18" t="str">
        <f t="shared" ca="1" si="406"/>
        <v>—</v>
      </c>
      <c r="K1236" s="17">
        <f t="shared" ca="1" si="407"/>
        <v>7</v>
      </c>
      <c r="L1236" s="10" t="str">
        <f t="shared" ca="1" si="408"/>
        <v>—</v>
      </c>
      <c r="M1236" s="17">
        <f t="shared" ca="1" si="409"/>
        <v>7</v>
      </c>
      <c r="N1236" s="18" t="str">
        <f t="shared" ca="1" si="410"/>
        <v>—</v>
      </c>
      <c r="O1236" s="17">
        <f t="shared" ca="1" si="411"/>
        <v>7</v>
      </c>
      <c r="P1236" s="18" t="str">
        <f t="shared" ca="1" si="412"/>
        <v>—</v>
      </c>
      <c r="Q1236" s="17">
        <f t="shared" ca="1" si="413"/>
        <v>7</v>
      </c>
      <c r="R1236" s="10" t="str">
        <f t="shared" ca="1" si="414"/>
        <v>—</v>
      </c>
      <c r="S1236" s="17">
        <f t="shared" ca="1" si="415"/>
        <v>7</v>
      </c>
      <c r="T1236" s="70" t="str">
        <f t="shared" ca="1" si="416"/>
        <v>—</v>
      </c>
      <c r="U1236" s="17">
        <f t="shared" ca="1" si="417"/>
        <v>7</v>
      </c>
      <c r="V1236" s="71" t="str">
        <f t="shared" ca="1" si="418"/>
        <v>—</v>
      </c>
      <c r="W1236" s="17">
        <f t="shared" ca="1" si="419"/>
        <v>7</v>
      </c>
    </row>
    <row r="1237" spans="1:23" x14ac:dyDescent="0.25">
      <c r="A1237" s="4">
        <f t="shared" si="399"/>
        <v>32</v>
      </c>
      <c r="B1237" t="str">
        <f ca="1">TEXT(DATE(YEAR(Invoer!$A$6),1,1)+INT((ROWS(B$2:B1237)-1)/4),"jjjjmmdd")</f>
        <v>19401104</v>
      </c>
      <c r="C1237" s="64" t="str">
        <f>IF(MOD(ROWS(C$2:C1237)-1,4)=3,"24.00",INDEX(Data,3,2+MOD(ROWS(C$2:C1237)-1,4)))</f>
        <v>24.00</v>
      </c>
      <c r="D1237" s="18" t="str">
        <f t="shared" ca="1" si="400"/>
        <v>—</v>
      </c>
      <c r="E1237" s="17">
        <f t="shared" ca="1" si="401"/>
        <v>7</v>
      </c>
      <c r="F1237" s="18" t="str">
        <f t="shared" ca="1" si="402"/>
        <v>—</v>
      </c>
      <c r="G1237" s="17">
        <f t="shared" ca="1" si="403"/>
        <v>7</v>
      </c>
      <c r="H1237" s="18" t="str">
        <f t="shared" ca="1" si="404"/>
        <v>—</v>
      </c>
      <c r="I1237" s="17">
        <f t="shared" ca="1" si="405"/>
        <v>7</v>
      </c>
      <c r="J1237" s="18" t="str">
        <f t="shared" ca="1" si="406"/>
        <v>—</v>
      </c>
      <c r="K1237" s="17">
        <f t="shared" ca="1" si="407"/>
        <v>7</v>
      </c>
      <c r="L1237" s="10" t="str">
        <f t="shared" ca="1" si="408"/>
        <v>—</v>
      </c>
      <c r="M1237" s="17">
        <f t="shared" ca="1" si="409"/>
        <v>7</v>
      </c>
      <c r="N1237" s="18" t="str">
        <f t="shared" ca="1" si="410"/>
        <v>—</v>
      </c>
      <c r="O1237" s="17">
        <f t="shared" ca="1" si="411"/>
        <v>7</v>
      </c>
      <c r="P1237" s="18" t="str">
        <f t="shared" ca="1" si="412"/>
        <v>—</v>
      </c>
      <c r="Q1237" s="17">
        <f t="shared" ca="1" si="413"/>
        <v>7</v>
      </c>
      <c r="R1237" s="10" t="str">
        <f t="shared" ca="1" si="414"/>
        <v>—</v>
      </c>
      <c r="S1237" s="17">
        <f t="shared" ca="1" si="415"/>
        <v>7</v>
      </c>
      <c r="T1237" s="70" t="str">
        <f t="shared" ca="1" si="416"/>
        <v>—</v>
      </c>
      <c r="U1237" s="17">
        <f t="shared" ca="1" si="417"/>
        <v>7</v>
      </c>
      <c r="V1237" s="71" t="str">
        <f t="shared" ca="1" si="418"/>
        <v>—</v>
      </c>
      <c r="W1237" s="17">
        <f t="shared" ca="1" si="419"/>
        <v>7</v>
      </c>
    </row>
    <row r="1238" spans="1:23" x14ac:dyDescent="0.25">
      <c r="A1238" s="4">
        <f t="shared" si="399"/>
        <v>32</v>
      </c>
      <c r="B1238" t="str">
        <f ca="1">TEXT(DATE(YEAR(Invoer!$A$6),1,1)+INT((ROWS(B$2:B1238)-1)/4),"jjjjmmdd")</f>
        <v>19401105</v>
      </c>
      <c r="C1238" s="64" t="str">
        <f>IF(MOD(ROWS(C$2:C1238)-1,4)=3,"24.00",INDEX(Data,3,2+MOD(ROWS(C$2:C1238)-1,4)))</f>
        <v>07.00</v>
      </c>
      <c r="D1238" s="18" t="str">
        <f t="shared" ca="1" si="400"/>
        <v>—</v>
      </c>
      <c r="E1238" s="17">
        <f t="shared" ca="1" si="401"/>
        <v>7</v>
      </c>
      <c r="F1238" s="18" t="str">
        <f t="shared" ca="1" si="402"/>
        <v>—</v>
      </c>
      <c r="G1238" s="17">
        <f t="shared" ca="1" si="403"/>
        <v>7</v>
      </c>
      <c r="H1238" s="18" t="str">
        <f t="shared" ca="1" si="404"/>
        <v>—</v>
      </c>
      <c r="I1238" s="17">
        <f t="shared" ca="1" si="405"/>
        <v>7</v>
      </c>
      <c r="J1238" s="18" t="str">
        <f t="shared" ca="1" si="406"/>
        <v>—</v>
      </c>
      <c r="K1238" s="17">
        <f t="shared" ca="1" si="407"/>
        <v>7</v>
      </c>
      <c r="L1238" s="10" t="str">
        <f t="shared" ca="1" si="408"/>
        <v>—</v>
      </c>
      <c r="M1238" s="17">
        <f t="shared" ca="1" si="409"/>
        <v>7</v>
      </c>
      <c r="N1238" s="18" t="str">
        <f t="shared" ca="1" si="410"/>
        <v>—</v>
      </c>
      <c r="O1238" s="17">
        <f t="shared" ca="1" si="411"/>
        <v>7</v>
      </c>
      <c r="P1238" s="18" t="str">
        <f t="shared" ca="1" si="412"/>
        <v>—</v>
      </c>
      <c r="Q1238" s="17">
        <f t="shared" ca="1" si="413"/>
        <v>7</v>
      </c>
      <c r="R1238" s="10" t="str">
        <f t="shared" ca="1" si="414"/>
        <v>—</v>
      </c>
      <c r="S1238" s="17">
        <f t="shared" ca="1" si="415"/>
        <v>7</v>
      </c>
      <c r="T1238" s="70" t="str">
        <f t="shared" ca="1" si="416"/>
        <v>—</v>
      </c>
      <c r="U1238" s="17">
        <f t="shared" ca="1" si="417"/>
        <v>7</v>
      </c>
      <c r="V1238" s="71" t="str">
        <f t="shared" ca="1" si="418"/>
        <v>—</v>
      </c>
      <c r="W1238" s="17">
        <f t="shared" ca="1" si="419"/>
        <v>7</v>
      </c>
    </row>
    <row r="1239" spans="1:23" x14ac:dyDescent="0.25">
      <c r="A1239" s="4">
        <f t="shared" si="399"/>
        <v>32</v>
      </c>
      <c r="B1239" t="str">
        <f ca="1">TEXT(DATE(YEAR(Invoer!$A$6),1,1)+INT((ROWS(B$2:B1239)-1)/4),"jjjjmmdd")</f>
        <v>19401105</v>
      </c>
      <c r="C1239" s="64" t="str">
        <f>IF(MOD(ROWS(C$2:C1239)-1,4)=3,"24.00",INDEX(Data,3,2+MOD(ROWS(C$2:C1239)-1,4)))</f>
        <v>12.00</v>
      </c>
      <c r="D1239" s="18" t="str">
        <f t="shared" ca="1" si="400"/>
        <v>—</v>
      </c>
      <c r="E1239" s="17">
        <f t="shared" ca="1" si="401"/>
        <v>7</v>
      </c>
      <c r="F1239" s="18" t="str">
        <f t="shared" ca="1" si="402"/>
        <v>—</v>
      </c>
      <c r="G1239" s="17">
        <f t="shared" ca="1" si="403"/>
        <v>7</v>
      </c>
      <c r="H1239" s="18" t="str">
        <f t="shared" ca="1" si="404"/>
        <v>—</v>
      </c>
      <c r="I1239" s="17">
        <f t="shared" ca="1" si="405"/>
        <v>7</v>
      </c>
      <c r="J1239" s="18" t="str">
        <f t="shared" ca="1" si="406"/>
        <v>—</v>
      </c>
      <c r="K1239" s="17">
        <f t="shared" ca="1" si="407"/>
        <v>7</v>
      </c>
      <c r="L1239" s="10" t="str">
        <f t="shared" ca="1" si="408"/>
        <v>—</v>
      </c>
      <c r="M1239" s="17">
        <f t="shared" ca="1" si="409"/>
        <v>7</v>
      </c>
      <c r="N1239" s="18" t="str">
        <f t="shared" ca="1" si="410"/>
        <v>—</v>
      </c>
      <c r="O1239" s="17">
        <f t="shared" ca="1" si="411"/>
        <v>7</v>
      </c>
      <c r="P1239" s="18" t="str">
        <f t="shared" ca="1" si="412"/>
        <v>—</v>
      </c>
      <c r="Q1239" s="17">
        <f t="shared" ca="1" si="413"/>
        <v>7</v>
      </c>
      <c r="R1239" s="10" t="str">
        <f t="shared" ca="1" si="414"/>
        <v>—</v>
      </c>
      <c r="S1239" s="17">
        <f t="shared" ca="1" si="415"/>
        <v>7</v>
      </c>
      <c r="T1239" s="70" t="str">
        <f t="shared" ca="1" si="416"/>
        <v>—</v>
      </c>
      <c r="U1239" s="17">
        <f t="shared" ca="1" si="417"/>
        <v>7</v>
      </c>
      <c r="V1239" s="71" t="str">
        <f t="shared" ca="1" si="418"/>
        <v>—</v>
      </c>
      <c r="W1239" s="17">
        <f t="shared" ca="1" si="419"/>
        <v>7</v>
      </c>
    </row>
    <row r="1240" spans="1:23" x14ac:dyDescent="0.25">
      <c r="A1240" s="4">
        <f t="shared" si="399"/>
        <v>32</v>
      </c>
      <c r="B1240" t="str">
        <f ca="1">TEXT(DATE(YEAR(Invoer!$A$6),1,1)+INT((ROWS(B$2:B1240)-1)/4),"jjjjmmdd")</f>
        <v>19401105</v>
      </c>
      <c r="C1240" s="64" t="str">
        <f>IF(MOD(ROWS(C$2:C1240)-1,4)=3,"24.00",INDEX(Data,3,2+MOD(ROWS(C$2:C1240)-1,4)))</f>
        <v>17.00</v>
      </c>
      <c r="D1240" s="18" t="str">
        <f t="shared" ca="1" si="400"/>
        <v>—</v>
      </c>
      <c r="E1240" s="17">
        <f t="shared" ca="1" si="401"/>
        <v>7</v>
      </c>
      <c r="F1240" s="18" t="str">
        <f t="shared" ca="1" si="402"/>
        <v>—</v>
      </c>
      <c r="G1240" s="17">
        <f t="shared" ca="1" si="403"/>
        <v>7</v>
      </c>
      <c r="H1240" s="18" t="str">
        <f t="shared" ca="1" si="404"/>
        <v>—</v>
      </c>
      <c r="I1240" s="17">
        <f t="shared" ca="1" si="405"/>
        <v>7</v>
      </c>
      <c r="J1240" s="18" t="str">
        <f t="shared" ca="1" si="406"/>
        <v>—</v>
      </c>
      <c r="K1240" s="17">
        <f t="shared" ca="1" si="407"/>
        <v>7</v>
      </c>
      <c r="L1240" s="10" t="str">
        <f t="shared" ca="1" si="408"/>
        <v>—</v>
      </c>
      <c r="M1240" s="17">
        <f t="shared" ca="1" si="409"/>
        <v>7</v>
      </c>
      <c r="N1240" s="18" t="str">
        <f t="shared" ca="1" si="410"/>
        <v>—</v>
      </c>
      <c r="O1240" s="17">
        <f t="shared" ca="1" si="411"/>
        <v>7</v>
      </c>
      <c r="P1240" s="18" t="str">
        <f t="shared" ca="1" si="412"/>
        <v>—</v>
      </c>
      <c r="Q1240" s="17">
        <f t="shared" ca="1" si="413"/>
        <v>7</v>
      </c>
      <c r="R1240" s="10" t="str">
        <f t="shared" ca="1" si="414"/>
        <v>—</v>
      </c>
      <c r="S1240" s="17">
        <f t="shared" ca="1" si="415"/>
        <v>7</v>
      </c>
      <c r="T1240" s="70" t="str">
        <f t="shared" ca="1" si="416"/>
        <v>—</v>
      </c>
      <c r="U1240" s="17">
        <f t="shared" ca="1" si="417"/>
        <v>7</v>
      </c>
      <c r="V1240" s="71" t="str">
        <f t="shared" ca="1" si="418"/>
        <v>—</v>
      </c>
      <c r="W1240" s="17">
        <f t="shared" ca="1" si="419"/>
        <v>7</v>
      </c>
    </row>
    <row r="1241" spans="1:23" x14ac:dyDescent="0.25">
      <c r="A1241" s="4">
        <f t="shared" si="399"/>
        <v>32</v>
      </c>
      <c r="B1241" t="str">
        <f ca="1">TEXT(DATE(YEAR(Invoer!$A$6),1,1)+INT((ROWS(B$2:B1241)-1)/4),"jjjjmmdd")</f>
        <v>19401105</v>
      </c>
      <c r="C1241" s="64" t="str">
        <f>IF(MOD(ROWS(C$2:C1241)-1,4)=3,"24.00",INDEX(Data,3,2+MOD(ROWS(C$2:C1241)-1,4)))</f>
        <v>24.00</v>
      </c>
      <c r="D1241" s="18" t="str">
        <f t="shared" ca="1" si="400"/>
        <v>—</v>
      </c>
      <c r="E1241" s="17">
        <f t="shared" ca="1" si="401"/>
        <v>7</v>
      </c>
      <c r="F1241" s="18" t="str">
        <f t="shared" ca="1" si="402"/>
        <v>—</v>
      </c>
      <c r="G1241" s="17">
        <f t="shared" ca="1" si="403"/>
        <v>7</v>
      </c>
      <c r="H1241" s="18" t="str">
        <f t="shared" ca="1" si="404"/>
        <v>—</v>
      </c>
      <c r="I1241" s="17">
        <f t="shared" ca="1" si="405"/>
        <v>7</v>
      </c>
      <c r="J1241" s="18" t="str">
        <f t="shared" ca="1" si="406"/>
        <v>—</v>
      </c>
      <c r="K1241" s="17">
        <f t="shared" ca="1" si="407"/>
        <v>7</v>
      </c>
      <c r="L1241" s="10" t="str">
        <f t="shared" ca="1" si="408"/>
        <v>—</v>
      </c>
      <c r="M1241" s="17">
        <f t="shared" ca="1" si="409"/>
        <v>7</v>
      </c>
      <c r="N1241" s="18" t="str">
        <f t="shared" ca="1" si="410"/>
        <v>—</v>
      </c>
      <c r="O1241" s="17">
        <f t="shared" ca="1" si="411"/>
        <v>7</v>
      </c>
      <c r="P1241" s="18" t="str">
        <f t="shared" ca="1" si="412"/>
        <v>—</v>
      </c>
      <c r="Q1241" s="17">
        <f t="shared" ca="1" si="413"/>
        <v>7</v>
      </c>
      <c r="R1241" s="10" t="str">
        <f t="shared" ca="1" si="414"/>
        <v>—</v>
      </c>
      <c r="S1241" s="17">
        <f t="shared" ca="1" si="415"/>
        <v>7</v>
      </c>
      <c r="T1241" s="70" t="str">
        <f t="shared" ca="1" si="416"/>
        <v>—</v>
      </c>
      <c r="U1241" s="17">
        <f t="shared" ca="1" si="417"/>
        <v>7</v>
      </c>
      <c r="V1241" s="71" t="str">
        <f t="shared" ca="1" si="418"/>
        <v>—</v>
      </c>
      <c r="W1241" s="17">
        <f t="shared" ca="1" si="419"/>
        <v>7</v>
      </c>
    </row>
    <row r="1242" spans="1:23" x14ac:dyDescent="0.25">
      <c r="A1242" s="4">
        <f t="shared" si="399"/>
        <v>32</v>
      </c>
      <c r="B1242" t="str">
        <f ca="1">TEXT(DATE(YEAR(Invoer!$A$6),1,1)+INT((ROWS(B$2:B1242)-1)/4),"jjjjmmdd")</f>
        <v>19401106</v>
      </c>
      <c r="C1242" s="64" t="str">
        <f>IF(MOD(ROWS(C$2:C1242)-1,4)=3,"24.00",INDEX(Data,3,2+MOD(ROWS(C$2:C1242)-1,4)))</f>
        <v>07.00</v>
      </c>
      <c r="D1242" s="18" t="str">
        <f t="shared" ca="1" si="400"/>
        <v>—</v>
      </c>
      <c r="E1242" s="17">
        <f t="shared" ca="1" si="401"/>
        <v>7</v>
      </c>
      <c r="F1242" s="18" t="str">
        <f t="shared" ca="1" si="402"/>
        <v>—</v>
      </c>
      <c r="G1242" s="17">
        <f t="shared" ca="1" si="403"/>
        <v>7</v>
      </c>
      <c r="H1242" s="18" t="str">
        <f t="shared" ca="1" si="404"/>
        <v>—</v>
      </c>
      <c r="I1242" s="17">
        <f t="shared" ca="1" si="405"/>
        <v>7</v>
      </c>
      <c r="J1242" s="18" t="str">
        <f t="shared" ca="1" si="406"/>
        <v>—</v>
      </c>
      <c r="K1242" s="17">
        <f t="shared" ca="1" si="407"/>
        <v>7</v>
      </c>
      <c r="L1242" s="10" t="str">
        <f t="shared" ca="1" si="408"/>
        <v>—</v>
      </c>
      <c r="M1242" s="17">
        <f t="shared" ca="1" si="409"/>
        <v>7</v>
      </c>
      <c r="N1242" s="18" t="str">
        <f t="shared" ca="1" si="410"/>
        <v>—</v>
      </c>
      <c r="O1242" s="17">
        <f t="shared" ca="1" si="411"/>
        <v>7</v>
      </c>
      <c r="P1242" s="18" t="str">
        <f t="shared" ca="1" si="412"/>
        <v>—</v>
      </c>
      <c r="Q1242" s="17">
        <f t="shared" ca="1" si="413"/>
        <v>7</v>
      </c>
      <c r="R1242" s="10" t="str">
        <f t="shared" ca="1" si="414"/>
        <v>—</v>
      </c>
      <c r="S1242" s="17">
        <f t="shared" ca="1" si="415"/>
        <v>7</v>
      </c>
      <c r="T1242" s="70" t="str">
        <f t="shared" ca="1" si="416"/>
        <v>—</v>
      </c>
      <c r="U1242" s="17">
        <f t="shared" ca="1" si="417"/>
        <v>7</v>
      </c>
      <c r="V1242" s="71" t="str">
        <f t="shared" ca="1" si="418"/>
        <v>—</v>
      </c>
      <c r="W1242" s="17">
        <f t="shared" ca="1" si="419"/>
        <v>7</v>
      </c>
    </row>
    <row r="1243" spans="1:23" x14ac:dyDescent="0.25">
      <c r="A1243" s="4">
        <f t="shared" si="399"/>
        <v>32</v>
      </c>
      <c r="B1243" t="str">
        <f ca="1">TEXT(DATE(YEAR(Invoer!$A$6),1,1)+INT((ROWS(B$2:B1243)-1)/4),"jjjjmmdd")</f>
        <v>19401106</v>
      </c>
      <c r="C1243" s="64" t="str">
        <f>IF(MOD(ROWS(C$2:C1243)-1,4)=3,"24.00",INDEX(Data,3,2+MOD(ROWS(C$2:C1243)-1,4)))</f>
        <v>12.00</v>
      </c>
      <c r="D1243" s="18" t="str">
        <f t="shared" ca="1" si="400"/>
        <v>—</v>
      </c>
      <c r="E1243" s="17">
        <f t="shared" ca="1" si="401"/>
        <v>7</v>
      </c>
      <c r="F1243" s="18" t="str">
        <f t="shared" ca="1" si="402"/>
        <v>—</v>
      </c>
      <c r="G1243" s="17">
        <f t="shared" ca="1" si="403"/>
        <v>7</v>
      </c>
      <c r="H1243" s="18" t="str">
        <f t="shared" ca="1" si="404"/>
        <v>—</v>
      </c>
      <c r="I1243" s="17">
        <f t="shared" ca="1" si="405"/>
        <v>7</v>
      </c>
      <c r="J1243" s="18" t="str">
        <f t="shared" ca="1" si="406"/>
        <v>—</v>
      </c>
      <c r="K1243" s="17">
        <f t="shared" ca="1" si="407"/>
        <v>7</v>
      </c>
      <c r="L1243" s="10" t="str">
        <f t="shared" ca="1" si="408"/>
        <v>—</v>
      </c>
      <c r="M1243" s="17">
        <f t="shared" ca="1" si="409"/>
        <v>7</v>
      </c>
      <c r="N1243" s="18" t="str">
        <f t="shared" ca="1" si="410"/>
        <v>—</v>
      </c>
      <c r="O1243" s="17">
        <f t="shared" ca="1" si="411"/>
        <v>7</v>
      </c>
      <c r="P1243" s="18" t="str">
        <f t="shared" ca="1" si="412"/>
        <v>—</v>
      </c>
      <c r="Q1243" s="17">
        <f t="shared" ca="1" si="413"/>
        <v>7</v>
      </c>
      <c r="R1243" s="10" t="str">
        <f t="shared" ca="1" si="414"/>
        <v>—</v>
      </c>
      <c r="S1243" s="17">
        <f t="shared" ca="1" si="415"/>
        <v>7</v>
      </c>
      <c r="T1243" s="70" t="str">
        <f t="shared" ca="1" si="416"/>
        <v>—</v>
      </c>
      <c r="U1243" s="17">
        <f t="shared" ca="1" si="417"/>
        <v>7</v>
      </c>
      <c r="V1243" s="71" t="str">
        <f t="shared" ca="1" si="418"/>
        <v>—</v>
      </c>
      <c r="W1243" s="17">
        <f t="shared" ca="1" si="419"/>
        <v>7</v>
      </c>
    </row>
    <row r="1244" spans="1:23" x14ac:dyDescent="0.25">
      <c r="A1244" s="4">
        <f t="shared" si="399"/>
        <v>32</v>
      </c>
      <c r="B1244" t="str">
        <f ca="1">TEXT(DATE(YEAR(Invoer!$A$6),1,1)+INT((ROWS(B$2:B1244)-1)/4),"jjjjmmdd")</f>
        <v>19401106</v>
      </c>
      <c r="C1244" s="64" t="str">
        <f>IF(MOD(ROWS(C$2:C1244)-1,4)=3,"24.00",INDEX(Data,3,2+MOD(ROWS(C$2:C1244)-1,4)))</f>
        <v>17.00</v>
      </c>
      <c r="D1244" s="18" t="str">
        <f t="shared" ca="1" si="400"/>
        <v>—</v>
      </c>
      <c r="E1244" s="17">
        <f t="shared" ca="1" si="401"/>
        <v>7</v>
      </c>
      <c r="F1244" s="18" t="str">
        <f t="shared" ca="1" si="402"/>
        <v>—</v>
      </c>
      <c r="G1244" s="17">
        <f t="shared" ca="1" si="403"/>
        <v>7</v>
      </c>
      <c r="H1244" s="18" t="str">
        <f t="shared" ca="1" si="404"/>
        <v>—</v>
      </c>
      <c r="I1244" s="17">
        <f t="shared" ca="1" si="405"/>
        <v>7</v>
      </c>
      <c r="J1244" s="18" t="str">
        <f t="shared" ca="1" si="406"/>
        <v>—</v>
      </c>
      <c r="K1244" s="17">
        <f t="shared" ca="1" si="407"/>
        <v>7</v>
      </c>
      <c r="L1244" s="10" t="str">
        <f t="shared" ca="1" si="408"/>
        <v>—</v>
      </c>
      <c r="M1244" s="17">
        <f t="shared" ca="1" si="409"/>
        <v>7</v>
      </c>
      <c r="N1244" s="18" t="str">
        <f t="shared" ca="1" si="410"/>
        <v>—</v>
      </c>
      <c r="O1244" s="17">
        <f t="shared" ca="1" si="411"/>
        <v>7</v>
      </c>
      <c r="P1244" s="18" t="str">
        <f t="shared" ca="1" si="412"/>
        <v>—</v>
      </c>
      <c r="Q1244" s="17">
        <f t="shared" ca="1" si="413"/>
        <v>7</v>
      </c>
      <c r="R1244" s="10" t="str">
        <f t="shared" ca="1" si="414"/>
        <v>—</v>
      </c>
      <c r="S1244" s="17">
        <f t="shared" ca="1" si="415"/>
        <v>7</v>
      </c>
      <c r="T1244" s="70" t="str">
        <f t="shared" ca="1" si="416"/>
        <v>—</v>
      </c>
      <c r="U1244" s="17">
        <f t="shared" ca="1" si="417"/>
        <v>7</v>
      </c>
      <c r="V1244" s="71" t="str">
        <f t="shared" ca="1" si="418"/>
        <v>—</v>
      </c>
      <c r="W1244" s="17">
        <f t="shared" ca="1" si="419"/>
        <v>7</v>
      </c>
    </row>
    <row r="1245" spans="1:23" x14ac:dyDescent="0.25">
      <c r="A1245" s="4">
        <f t="shared" si="399"/>
        <v>32</v>
      </c>
      <c r="B1245" t="str">
        <f ca="1">TEXT(DATE(YEAR(Invoer!$A$6),1,1)+INT((ROWS(B$2:B1245)-1)/4),"jjjjmmdd")</f>
        <v>19401106</v>
      </c>
      <c r="C1245" s="64" t="str">
        <f>IF(MOD(ROWS(C$2:C1245)-1,4)=3,"24.00",INDEX(Data,3,2+MOD(ROWS(C$2:C1245)-1,4)))</f>
        <v>24.00</v>
      </c>
      <c r="D1245" s="18" t="str">
        <f t="shared" ca="1" si="400"/>
        <v>—</v>
      </c>
      <c r="E1245" s="17">
        <f t="shared" ca="1" si="401"/>
        <v>7</v>
      </c>
      <c r="F1245" s="18" t="str">
        <f t="shared" ca="1" si="402"/>
        <v>—</v>
      </c>
      <c r="G1245" s="17">
        <f t="shared" ca="1" si="403"/>
        <v>7</v>
      </c>
      <c r="H1245" s="18" t="str">
        <f t="shared" ca="1" si="404"/>
        <v>—</v>
      </c>
      <c r="I1245" s="17">
        <f t="shared" ca="1" si="405"/>
        <v>7</v>
      </c>
      <c r="J1245" s="18" t="str">
        <f t="shared" ca="1" si="406"/>
        <v>—</v>
      </c>
      <c r="K1245" s="17">
        <f t="shared" ca="1" si="407"/>
        <v>7</v>
      </c>
      <c r="L1245" s="10" t="str">
        <f t="shared" ca="1" si="408"/>
        <v>—</v>
      </c>
      <c r="M1245" s="17">
        <f t="shared" ca="1" si="409"/>
        <v>7</v>
      </c>
      <c r="N1245" s="18" t="str">
        <f t="shared" ca="1" si="410"/>
        <v>—</v>
      </c>
      <c r="O1245" s="17">
        <f t="shared" ca="1" si="411"/>
        <v>7</v>
      </c>
      <c r="P1245" s="18" t="str">
        <f t="shared" ca="1" si="412"/>
        <v>—</v>
      </c>
      <c r="Q1245" s="17">
        <f t="shared" ca="1" si="413"/>
        <v>7</v>
      </c>
      <c r="R1245" s="10" t="str">
        <f t="shared" ca="1" si="414"/>
        <v>—</v>
      </c>
      <c r="S1245" s="17">
        <f t="shared" ca="1" si="415"/>
        <v>7</v>
      </c>
      <c r="T1245" s="70" t="str">
        <f t="shared" ca="1" si="416"/>
        <v>—</v>
      </c>
      <c r="U1245" s="17">
        <f t="shared" ca="1" si="417"/>
        <v>7</v>
      </c>
      <c r="V1245" s="71" t="str">
        <f t="shared" ca="1" si="418"/>
        <v>—</v>
      </c>
      <c r="W1245" s="17">
        <f t="shared" ca="1" si="419"/>
        <v>7</v>
      </c>
    </row>
    <row r="1246" spans="1:23" x14ac:dyDescent="0.25">
      <c r="A1246" s="4">
        <f t="shared" si="399"/>
        <v>32</v>
      </c>
      <c r="B1246" t="str">
        <f ca="1">TEXT(DATE(YEAR(Invoer!$A$6),1,1)+INT((ROWS(B$2:B1246)-1)/4),"jjjjmmdd")</f>
        <v>19401107</v>
      </c>
      <c r="C1246" s="64" t="str">
        <f>IF(MOD(ROWS(C$2:C1246)-1,4)=3,"24.00",INDEX(Data,3,2+MOD(ROWS(C$2:C1246)-1,4)))</f>
        <v>07.00</v>
      </c>
      <c r="D1246" s="18" t="str">
        <f t="shared" ca="1" si="400"/>
        <v>—</v>
      </c>
      <c r="E1246" s="17">
        <f t="shared" ca="1" si="401"/>
        <v>7</v>
      </c>
      <c r="F1246" s="18" t="str">
        <f t="shared" ca="1" si="402"/>
        <v>—</v>
      </c>
      <c r="G1246" s="17">
        <f t="shared" ca="1" si="403"/>
        <v>7</v>
      </c>
      <c r="H1246" s="18" t="str">
        <f t="shared" ca="1" si="404"/>
        <v>—</v>
      </c>
      <c r="I1246" s="17">
        <f t="shared" ca="1" si="405"/>
        <v>7</v>
      </c>
      <c r="J1246" s="18" t="str">
        <f t="shared" ca="1" si="406"/>
        <v>—</v>
      </c>
      <c r="K1246" s="17">
        <f t="shared" ca="1" si="407"/>
        <v>7</v>
      </c>
      <c r="L1246" s="10" t="str">
        <f t="shared" ca="1" si="408"/>
        <v>—</v>
      </c>
      <c r="M1246" s="17">
        <f t="shared" ca="1" si="409"/>
        <v>7</v>
      </c>
      <c r="N1246" s="18" t="str">
        <f t="shared" ca="1" si="410"/>
        <v>—</v>
      </c>
      <c r="O1246" s="17">
        <f t="shared" ca="1" si="411"/>
        <v>7</v>
      </c>
      <c r="P1246" s="18" t="str">
        <f t="shared" ca="1" si="412"/>
        <v>—</v>
      </c>
      <c r="Q1246" s="17">
        <f t="shared" ca="1" si="413"/>
        <v>7</v>
      </c>
      <c r="R1246" s="10" t="str">
        <f t="shared" ca="1" si="414"/>
        <v>—</v>
      </c>
      <c r="S1246" s="17">
        <f t="shared" ca="1" si="415"/>
        <v>7</v>
      </c>
      <c r="T1246" s="70" t="str">
        <f t="shared" ca="1" si="416"/>
        <v>—</v>
      </c>
      <c r="U1246" s="17">
        <f t="shared" ca="1" si="417"/>
        <v>7</v>
      </c>
      <c r="V1246" s="71" t="str">
        <f t="shared" ca="1" si="418"/>
        <v>—</v>
      </c>
      <c r="W1246" s="17">
        <f t="shared" ca="1" si="419"/>
        <v>7</v>
      </c>
    </row>
    <row r="1247" spans="1:23" x14ac:dyDescent="0.25">
      <c r="A1247" s="4">
        <f t="shared" si="399"/>
        <v>32</v>
      </c>
      <c r="B1247" t="str">
        <f ca="1">TEXT(DATE(YEAR(Invoer!$A$6),1,1)+INT((ROWS(B$2:B1247)-1)/4),"jjjjmmdd")</f>
        <v>19401107</v>
      </c>
      <c r="C1247" s="64" t="str">
        <f>IF(MOD(ROWS(C$2:C1247)-1,4)=3,"24.00",INDEX(Data,3,2+MOD(ROWS(C$2:C1247)-1,4)))</f>
        <v>12.00</v>
      </c>
      <c r="D1247" s="18" t="str">
        <f t="shared" ca="1" si="400"/>
        <v>—</v>
      </c>
      <c r="E1247" s="17">
        <f t="shared" ca="1" si="401"/>
        <v>7</v>
      </c>
      <c r="F1247" s="18" t="str">
        <f t="shared" ca="1" si="402"/>
        <v>—</v>
      </c>
      <c r="G1247" s="17">
        <f t="shared" ca="1" si="403"/>
        <v>7</v>
      </c>
      <c r="H1247" s="18" t="str">
        <f t="shared" ca="1" si="404"/>
        <v>—</v>
      </c>
      <c r="I1247" s="17">
        <f t="shared" ca="1" si="405"/>
        <v>7</v>
      </c>
      <c r="J1247" s="18" t="str">
        <f t="shared" ca="1" si="406"/>
        <v>—</v>
      </c>
      <c r="K1247" s="17">
        <f t="shared" ca="1" si="407"/>
        <v>7</v>
      </c>
      <c r="L1247" s="10" t="str">
        <f t="shared" ca="1" si="408"/>
        <v>—</v>
      </c>
      <c r="M1247" s="17">
        <f t="shared" ca="1" si="409"/>
        <v>7</v>
      </c>
      <c r="N1247" s="18" t="str">
        <f t="shared" ca="1" si="410"/>
        <v>—</v>
      </c>
      <c r="O1247" s="17">
        <f t="shared" ca="1" si="411"/>
        <v>7</v>
      </c>
      <c r="P1247" s="18" t="str">
        <f t="shared" ca="1" si="412"/>
        <v>—</v>
      </c>
      <c r="Q1247" s="17">
        <f t="shared" ca="1" si="413"/>
        <v>7</v>
      </c>
      <c r="R1247" s="10" t="str">
        <f t="shared" ca="1" si="414"/>
        <v>—</v>
      </c>
      <c r="S1247" s="17">
        <f t="shared" ca="1" si="415"/>
        <v>7</v>
      </c>
      <c r="T1247" s="70" t="str">
        <f t="shared" ca="1" si="416"/>
        <v>—</v>
      </c>
      <c r="U1247" s="17">
        <f t="shared" ca="1" si="417"/>
        <v>7</v>
      </c>
      <c r="V1247" s="71" t="str">
        <f t="shared" ca="1" si="418"/>
        <v>—</v>
      </c>
      <c r="W1247" s="17">
        <f t="shared" ca="1" si="419"/>
        <v>7</v>
      </c>
    </row>
    <row r="1248" spans="1:23" x14ac:dyDescent="0.25">
      <c r="A1248" s="4">
        <f t="shared" si="399"/>
        <v>32</v>
      </c>
      <c r="B1248" t="str">
        <f ca="1">TEXT(DATE(YEAR(Invoer!$A$6),1,1)+INT((ROWS(B$2:B1248)-1)/4),"jjjjmmdd")</f>
        <v>19401107</v>
      </c>
      <c r="C1248" s="64" t="str">
        <f>IF(MOD(ROWS(C$2:C1248)-1,4)=3,"24.00",INDEX(Data,3,2+MOD(ROWS(C$2:C1248)-1,4)))</f>
        <v>17.00</v>
      </c>
      <c r="D1248" s="18" t="str">
        <f t="shared" ca="1" si="400"/>
        <v>—</v>
      </c>
      <c r="E1248" s="17">
        <f t="shared" ca="1" si="401"/>
        <v>7</v>
      </c>
      <c r="F1248" s="18" t="str">
        <f t="shared" ca="1" si="402"/>
        <v>—</v>
      </c>
      <c r="G1248" s="17">
        <f t="shared" ca="1" si="403"/>
        <v>7</v>
      </c>
      <c r="H1248" s="18" t="str">
        <f t="shared" ca="1" si="404"/>
        <v>—</v>
      </c>
      <c r="I1248" s="17">
        <f t="shared" ca="1" si="405"/>
        <v>7</v>
      </c>
      <c r="J1248" s="18" t="str">
        <f t="shared" ca="1" si="406"/>
        <v>—</v>
      </c>
      <c r="K1248" s="17">
        <f t="shared" ca="1" si="407"/>
        <v>7</v>
      </c>
      <c r="L1248" s="10" t="str">
        <f t="shared" ca="1" si="408"/>
        <v>—</v>
      </c>
      <c r="M1248" s="17">
        <f t="shared" ca="1" si="409"/>
        <v>7</v>
      </c>
      <c r="N1248" s="18" t="str">
        <f t="shared" ca="1" si="410"/>
        <v>—</v>
      </c>
      <c r="O1248" s="17">
        <f t="shared" ca="1" si="411"/>
        <v>7</v>
      </c>
      <c r="P1248" s="18" t="str">
        <f t="shared" ca="1" si="412"/>
        <v>—</v>
      </c>
      <c r="Q1248" s="17">
        <f t="shared" ca="1" si="413"/>
        <v>7</v>
      </c>
      <c r="R1248" s="10" t="str">
        <f t="shared" ca="1" si="414"/>
        <v>—</v>
      </c>
      <c r="S1248" s="17">
        <f t="shared" ca="1" si="415"/>
        <v>7</v>
      </c>
      <c r="T1248" s="70" t="str">
        <f t="shared" ca="1" si="416"/>
        <v>—</v>
      </c>
      <c r="U1248" s="17">
        <f t="shared" ca="1" si="417"/>
        <v>7</v>
      </c>
      <c r="V1248" s="71" t="str">
        <f t="shared" ca="1" si="418"/>
        <v>—</v>
      </c>
      <c r="W1248" s="17">
        <f t="shared" ca="1" si="419"/>
        <v>7</v>
      </c>
    </row>
    <row r="1249" spans="1:23" x14ac:dyDescent="0.25">
      <c r="A1249" s="4">
        <f t="shared" si="399"/>
        <v>32</v>
      </c>
      <c r="B1249" t="str">
        <f ca="1">TEXT(DATE(YEAR(Invoer!$A$6),1,1)+INT((ROWS(B$2:B1249)-1)/4),"jjjjmmdd")</f>
        <v>19401107</v>
      </c>
      <c r="C1249" s="64" t="str">
        <f>IF(MOD(ROWS(C$2:C1249)-1,4)=3,"24.00",INDEX(Data,3,2+MOD(ROWS(C$2:C1249)-1,4)))</f>
        <v>24.00</v>
      </c>
      <c r="D1249" s="18" t="str">
        <f t="shared" ca="1" si="400"/>
        <v>—</v>
      </c>
      <c r="E1249" s="17">
        <f t="shared" ca="1" si="401"/>
        <v>7</v>
      </c>
      <c r="F1249" s="18" t="str">
        <f t="shared" ca="1" si="402"/>
        <v>—</v>
      </c>
      <c r="G1249" s="17">
        <f t="shared" ca="1" si="403"/>
        <v>7</v>
      </c>
      <c r="H1249" s="18" t="str">
        <f t="shared" ca="1" si="404"/>
        <v>—</v>
      </c>
      <c r="I1249" s="17">
        <f t="shared" ca="1" si="405"/>
        <v>7</v>
      </c>
      <c r="J1249" s="18" t="str">
        <f t="shared" ca="1" si="406"/>
        <v>—</v>
      </c>
      <c r="K1249" s="17">
        <f t="shared" ca="1" si="407"/>
        <v>7</v>
      </c>
      <c r="L1249" s="10" t="str">
        <f t="shared" ca="1" si="408"/>
        <v>—</v>
      </c>
      <c r="M1249" s="17">
        <f t="shared" ca="1" si="409"/>
        <v>7</v>
      </c>
      <c r="N1249" s="18" t="str">
        <f t="shared" ca="1" si="410"/>
        <v>—</v>
      </c>
      <c r="O1249" s="17">
        <f t="shared" ca="1" si="411"/>
        <v>7</v>
      </c>
      <c r="P1249" s="18" t="str">
        <f t="shared" ca="1" si="412"/>
        <v>—</v>
      </c>
      <c r="Q1249" s="17">
        <f t="shared" ca="1" si="413"/>
        <v>7</v>
      </c>
      <c r="R1249" s="10" t="str">
        <f t="shared" ca="1" si="414"/>
        <v>—</v>
      </c>
      <c r="S1249" s="17">
        <f t="shared" ca="1" si="415"/>
        <v>7</v>
      </c>
      <c r="T1249" s="70" t="str">
        <f t="shared" ca="1" si="416"/>
        <v>—</v>
      </c>
      <c r="U1249" s="17">
        <f t="shared" ca="1" si="417"/>
        <v>7</v>
      </c>
      <c r="V1249" s="71" t="str">
        <f t="shared" ca="1" si="418"/>
        <v>—</v>
      </c>
      <c r="W1249" s="17">
        <f t="shared" ca="1" si="419"/>
        <v>7</v>
      </c>
    </row>
    <row r="1250" spans="1:23" x14ac:dyDescent="0.25">
      <c r="A1250" s="4">
        <f t="shared" si="399"/>
        <v>32</v>
      </c>
      <c r="B1250" t="str">
        <f ca="1">TEXT(DATE(YEAR(Invoer!$A$6),1,1)+INT((ROWS(B$2:B1250)-1)/4),"jjjjmmdd")</f>
        <v>19401108</v>
      </c>
      <c r="C1250" s="64" t="str">
        <f>IF(MOD(ROWS(C$2:C1250)-1,4)=3,"24.00",INDEX(Data,3,2+MOD(ROWS(C$2:C1250)-1,4)))</f>
        <v>07.00</v>
      </c>
      <c r="D1250" s="18" t="str">
        <f t="shared" ca="1" si="400"/>
        <v>—</v>
      </c>
      <c r="E1250" s="17">
        <f t="shared" ca="1" si="401"/>
        <v>7</v>
      </c>
      <c r="F1250" s="18" t="str">
        <f t="shared" ca="1" si="402"/>
        <v>—</v>
      </c>
      <c r="G1250" s="17">
        <f t="shared" ca="1" si="403"/>
        <v>7</v>
      </c>
      <c r="H1250" s="18" t="str">
        <f t="shared" ca="1" si="404"/>
        <v>—</v>
      </c>
      <c r="I1250" s="17">
        <f t="shared" ca="1" si="405"/>
        <v>7</v>
      </c>
      <c r="J1250" s="18" t="str">
        <f t="shared" ca="1" si="406"/>
        <v>—</v>
      </c>
      <c r="K1250" s="17">
        <f t="shared" ca="1" si="407"/>
        <v>7</v>
      </c>
      <c r="L1250" s="10" t="str">
        <f t="shared" ca="1" si="408"/>
        <v>—</v>
      </c>
      <c r="M1250" s="17">
        <f t="shared" ca="1" si="409"/>
        <v>7</v>
      </c>
      <c r="N1250" s="18" t="str">
        <f t="shared" ca="1" si="410"/>
        <v>—</v>
      </c>
      <c r="O1250" s="17">
        <f t="shared" ca="1" si="411"/>
        <v>7</v>
      </c>
      <c r="P1250" s="18" t="str">
        <f t="shared" ca="1" si="412"/>
        <v>—</v>
      </c>
      <c r="Q1250" s="17">
        <f t="shared" ca="1" si="413"/>
        <v>7</v>
      </c>
      <c r="R1250" s="10" t="str">
        <f t="shared" ca="1" si="414"/>
        <v>—</v>
      </c>
      <c r="S1250" s="17">
        <f t="shared" ca="1" si="415"/>
        <v>7</v>
      </c>
      <c r="T1250" s="70" t="str">
        <f t="shared" ca="1" si="416"/>
        <v>—</v>
      </c>
      <c r="U1250" s="17">
        <f t="shared" ca="1" si="417"/>
        <v>7</v>
      </c>
      <c r="V1250" s="71" t="str">
        <f t="shared" ca="1" si="418"/>
        <v>—</v>
      </c>
      <c r="W1250" s="17">
        <f t="shared" ca="1" si="419"/>
        <v>7</v>
      </c>
    </row>
    <row r="1251" spans="1:23" x14ac:dyDescent="0.25">
      <c r="A1251" s="4">
        <f t="shared" si="399"/>
        <v>32</v>
      </c>
      <c r="B1251" t="str">
        <f ca="1">TEXT(DATE(YEAR(Invoer!$A$6),1,1)+INT((ROWS(B$2:B1251)-1)/4),"jjjjmmdd")</f>
        <v>19401108</v>
      </c>
      <c r="C1251" s="64" t="str">
        <f>IF(MOD(ROWS(C$2:C1251)-1,4)=3,"24.00",INDEX(Data,3,2+MOD(ROWS(C$2:C1251)-1,4)))</f>
        <v>12.00</v>
      </c>
      <c r="D1251" s="18" t="str">
        <f t="shared" ca="1" si="400"/>
        <v>—</v>
      </c>
      <c r="E1251" s="17">
        <f t="shared" ca="1" si="401"/>
        <v>7</v>
      </c>
      <c r="F1251" s="18" t="str">
        <f t="shared" ca="1" si="402"/>
        <v>—</v>
      </c>
      <c r="G1251" s="17">
        <f t="shared" ca="1" si="403"/>
        <v>7</v>
      </c>
      <c r="H1251" s="18" t="str">
        <f t="shared" ca="1" si="404"/>
        <v>—</v>
      </c>
      <c r="I1251" s="17">
        <f t="shared" ca="1" si="405"/>
        <v>7</v>
      </c>
      <c r="J1251" s="18" t="str">
        <f t="shared" ca="1" si="406"/>
        <v>—</v>
      </c>
      <c r="K1251" s="17">
        <f t="shared" ca="1" si="407"/>
        <v>7</v>
      </c>
      <c r="L1251" s="10" t="str">
        <f t="shared" ca="1" si="408"/>
        <v>—</v>
      </c>
      <c r="M1251" s="17">
        <f t="shared" ca="1" si="409"/>
        <v>7</v>
      </c>
      <c r="N1251" s="18" t="str">
        <f t="shared" ca="1" si="410"/>
        <v>—</v>
      </c>
      <c r="O1251" s="17">
        <f t="shared" ca="1" si="411"/>
        <v>7</v>
      </c>
      <c r="P1251" s="18" t="str">
        <f t="shared" ca="1" si="412"/>
        <v>—</v>
      </c>
      <c r="Q1251" s="17">
        <f t="shared" ca="1" si="413"/>
        <v>7</v>
      </c>
      <c r="R1251" s="10" t="str">
        <f t="shared" ca="1" si="414"/>
        <v>—</v>
      </c>
      <c r="S1251" s="17">
        <f t="shared" ca="1" si="415"/>
        <v>7</v>
      </c>
      <c r="T1251" s="70" t="str">
        <f t="shared" ca="1" si="416"/>
        <v>—</v>
      </c>
      <c r="U1251" s="17">
        <f t="shared" ca="1" si="417"/>
        <v>7</v>
      </c>
      <c r="V1251" s="71" t="str">
        <f t="shared" ca="1" si="418"/>
        <v>—</v>
      </c>
      <c r="W1251" s="17">
        <f t="shared" ca="1" si="419"/>
        <v>7</v>
      </c>
    </row>
    <row r="1252" spans="1:23" x14ac:dyDescent="0.25">
      <c r="A1252" s="4">
        <f t="shared" si="399"/>
        <v>32</v>
      </c>
      <c r="B1252" t="str">
        <f ca="1">TEXT(DATE(YEAR(Invoer!$A$6),1,1)+INT((ROWS(B$2:B1252)-1)/4),"jjjjmmdd")</f>
        <v>19401108</v>
      </c>
      <c r="C1252" s="64" t="str">
        <f>IF(MOD(ROWS(C$2:C1252)-1,4)=3,"24.00",INDEX(Data,3,2+MOD(ROWS(C$2:C1252)-1,4)))</f>
        <v>17.00</v>
      </c>
      <c r="D1252" s="18" t="str">
        <f t="shared" ca="1" si="400"/>
        <v>—</v>
      </c>
      <c r="E1252" s="17">
        <f t="shared" ca="1" si="401"/>
        <v>7</v>
      </c>
      <c r="F1252" s="18" t="str">
        <f t="shared" ca="1" si="402"/>
        <v>—</v>
      </c>
      <c r="G1252" s="17">
        <f t="shared" ca="1" si="403"/>
        <v>7</v>
      </c>
      <c r="H1252" s="18" t="str">
        <f t="shared" ca="1" si="404"/>
        <v>—</v>
      </c>
      <c r="I1252" s="17">
        <f t="shared" ca="1" si="405"/>
        <v>7</v>
      </c>
      <c r="J1252" s="18" t="str">
        <f t="shared" ca="1" si="406"/>
        <v>—</v>
      </c>
      <c r="K1252" s="17">
        <f t="shared" ca="1" si="407"/>
        <v>7</v>
      </c>
      <c r="L1252" s="10" t="str">
        <f t="shared" ca="1" si="408"/>
        <v>—</v>
      </c>
      <c r="M1252" s="17">
        <f t="shared" ca="1" si="409"/>
        <v>7</v>
      </c>
      <c r="N1252" s="18" t="str">
        <f t="shared" ca="1" si="410"/>
        <v>—</v>
      </c>
      <c r="O1252" s="17">
        <f t="shared" ca="1" si="411"/>
        <v>7</v>
      </c>
      <c r="P1252" s="18" t="str">
        <f t="shared" ca="1" si="412"/>
        <v>—</v>
      </c>
      <c r="Q1252" s="17">
        <f t="shared" ca="1" si="413"/>
        <v>7</v>
      </c>
      <c r="R1252" s="10" t="str">
        <f t="shared" ca="1" si="414"/>
        <v>—</v>
      </c>
      <c r="S1252" s="17">
        <f t="shared" ca="1" si="415"/>
        <v>7</v>
      </c>
      <c r="T1252" s="70" t="str">
        <f t="shared" ca="1" si="416"/>
        <v>—</v>
      </c>
      <c r="U1252" s="17">
        <f t="shared" ca="1" si="417"/>
        <v>7</v>
      </c>
      <c r="V1252" s="71" t="str">
        <f t="shared" ca="1" si="418"/>
        <v>—</v>
      </c>
      <c r="W1252" s="17">
        <f t="shared" ca="1" si="419"/>
        <v>7</v>
      </c>
    </row>
    <row r="1253" spans="1:23" x14ac:dyDescent="0.25">
      <c r="A1253" s="4">
        <f t="shared" si="399"/>
        <v>32</v>
      </c>
      <c r="B1253" t="str">
        <f ca="1">TEXT(DATE(YEAR(Invoer!$A$6),1,1)+INT((ROWS(B$2:B1253)-1)/4),"jjjjmmdd")</f>
        <v>19401108</v>
      </c>
      <c r="C1253" s="64" t="str">
        <f>IF(MOD(ROWS(C$2:C1253)-1,4)=3,"24.00",INDEX(Data,3,2+MOD(ROWS(C$2:C1253)-1,4)))</f>
        <v>24.00</v>
      </c>
      <c r="D1253" s="18" t="str">
        <f t="shared" ca="1" si="400"/>
        <v>—</v>
      </c>
      <c r="E1253" s="17">
        <f t="shared" ca="1" si="401"/>
        <v>7</v>
      </c>
      <c r="F1253" s="18" t="str">
        <f t="shared" ca="1" si="402"/>
        <v>—</v>
      </c>
      <c r="G1253" s="17">
        <f t="shared" ca="1" si="403"/>
        <v>7</v>
      </c>
      <c r="H1253" s="18" t="str">
        <f t="shared" ca="1" si="404"/>
        <v>—</v>
      </c>
      <c r="I1253" s="17">
        <f t="shared" ca="1" si="405"/>
        <v>7</v>
      </c>
      <c r="J1253" s="18" t="str">
        <f t="shared" ca="1" si="406"/>
        <v>—</v>
      </c>
      <c r="K1253" s="17">
        <f t="shared" ca="1" si="407"/>
        <v>7</v>
      </c>
      <c r="L1253" s="10" t="str">
        <f t="shared" ca="1" si="408"/>
        <v>—</v>
      </c>
      <c r="M1253" s="17">
        <f t="shared" ca="1" si="409"/>
        <v>7</v>
      </c>
      <c r="N1253" s="18" t="str">
        <f t="shared" ca="1" si="410"/>
        <v>—</v>
      </c>
      <c r="O1253" s="17">
        <f t="shared" ca="1" si="411"/>
        <v>7</v>
      </c>
      <c r="P1253" s="18" t="str">
        <f t="shared" ca="1" si="412"/>
        <v>—</v>
      </c>
      <c r="Q1253" s="17">
        <f t="shared" ca="1" si="413"/>
        <v>7</v>
      </c>
      <c r="R1253" s="10" t="str">
        <f t="shared" ca="1" si="414"/>
        <v>—</v>
      </c>
      <c r="S1253" s="17">
        <f t="shared" ca="1" si="415"/>
        <v>7</v>
      </c>
      <c r="T1253" s="70" t="str">
        <f t="shared" ca="1" si="416"/>
        <v>—</v>
      </c>
      <c r="U1253" s="17">
        <f t="shared" ca="1" si="417"/>
        <v>7</v>
      </c>
      <c r="V1253" s="71" t="str">
        <f t="shared" ca="1" si="418"/>
        <v>—</v>
      </c>
      <c r="W1253" s="17">
        <f t="shared" ca="1" si="419"/>
        <v>7</v>
      </c>
    </row>
    <row r="1254" spans="1:23" x14ac:dyDescent="0.25">
      <c r="A1254" s="4">
        <f t="shared" si="399"/>
        <v>32</v>
      </c>
      <c r="B1254" t="str">
        <f ca="1">TEXT(DATE(YEAR(Invoer!$A$6),1,1)+INT((ROWS(B$2:B1254)-1)/4),"jjjjmmdd")</f>
        <v>19401109</v>
      </c>
      <c r="C1254" s="64" t="str">
        <f>IF(MOD(ROWS(C$2:C1254)-1,4)=3,"24.00",INDEX(Data,3,2+MOD(ROWS(C$2:C1254)-1,4)))</f>
        <v>07.00</v>
      </c>
      <c r="D1254" s="18" t="str">
        <f t="shared" ca="1" si="400"/>
        <v>—</v>
      </c>
      <c r="E1254" s="17">
        <f t="shared" ca="1" si="401"/>
        <v>7</v>
      </c>
      <c r="F1254" s="18" t="str">
        <f t="shared" ca="1" si="402"/>
        <v>—</v>
      </c>
      <c r="G1254" s="17">
        <f t="shared" ca="1" si="403"/>
        <v>7</v>
      </c>
      <c r="H1254" s="18" t="str">
        <f t="shared" ca="1" si="404"/>
        <v>—</v>
      </c>
      <c r="I1254" s="17">
        <f t="shared" ca="1" si="405"/>
        <v>7</v>
      </c>
      <c r="J1254" s="18" t="str">
        <f t="shared" ca="1" si="406"/>
        <v>—</v>
      </c>
      <c r="K1254" s="17">
        <f t="shared" ca="1" si="407"/>
        <v>7</v>
      </c>
      <c r="L1254" s="10" t="str">
        <f t="shared" ca="1" si="408"/>
        <v>—</v>
      </c>
      <c r="M1254" s="17">
        <f t="shared" ca="1" si="409"/>
        <v>7</v>
      </c>
      <c r="N1254" s="18" t="str">
        <f t="shared" ca="1" si="410"/>
        <v>—</v>
      </c>
      <c r="O1254" s="17">
        <f t="shared" ca="1" si="411"/>
        <v>7</v>
      </c>
      <c r="P1254" s="18" t="str">
        <f t="shared" ca="1" si="412"/>
        <v>—</v>
      </c>
      <c r="Q1254" s="17">
        <f t="shared" ca="1" si="413"/>
        <v>7</v>
      </c>
      <c r="R1254" s="10" t="str">
        <f t="shared" ca="1" si="414"/>
        <v>—</v>
      </c>
      <c r="S1254" s="17">
        <f t="shared" ca="1" si="415"/>
        <v>7</v>
      </c>
      <c r="T1254" s="70" t="str">
        <f t="shared" ca="1" si="416"/>
        <v>—</v>
      </c>
      <c r="U1254" s="17">
        <f t="shared" ca="1" si="417"/>
        <v>7</v>
      </c>
      <c r="V1254" s="71" t="str">
        <f t="shared" ca="1" si="418"/>
        <v>—</v>
      </c>
      <c r="W1254" s="17">
        <f t="shared" ca="1" si="419"/>
        <v>7</v>
      </c>
    </row>
    <row r="1255" spans="1:23" x14ac:dyDescent="0.25">
      <c r="A1255" s="4">
        <f t="shared" si="399"/>
        <v>32</v>
      </c>
      <c r="B1255" t="str">
        <f ca="1">TEXT(DATE(YEAR(Invoer!$A$6),1,1)+INT((ROWS(B$2:B1255)-1)/4),"jjjjmmdd")</f>
        <v>19401109</v>
      </c>
      <c r="C1255" s="64" t="str">
        <f>IF(MOD(ROWS(C$2:C1255)-1,4)=3,"24.00",INDEX(Data,3,2+MOD(ROWS(C$2:C1255)-1,4)))</f>
        <v>12.00</v>
      </c>
      <c r="D1255" s="18" t="str">
        <f t="shared" ca="1" si="400"/>
        <v>—</v>
      </c>
      <c r="E1255" s="17">
        <f t="shared" ca="1" si="401"/>
        <v>7</v>
      </c>
      <c r="F1255" s="18" t="str">
        <f t="shared" ca="1" si="402"/>
        <v>—</v>
      </c>
      <c r="G1255" s="17">
        <f t="shared" ca="1" si="403"/>
        <v>7</v>
      </c>
      <c r="H1255" s="18" t="str">
        <f t="shared" ca="1" si="404"/>
        <v>—</v>
      </c>
      <c r="I1255" s="17">
        <f t="shared" ca="1" si="405"/>
        <v>7</v>
      </c>
      <c r="J1255" s="18" t="str">
        <f t="shared" ca="1" si="406"/>
        <v>—</v>
      </c>
      <c r="K1255" s="17">
        <f t="shared" ca="1" si="407"/>
        <v>7</v>
      </c>
      <c r="L1255" s="10" t="str">
        <f t="shared" ca="1" si="408"/>
        <v>—</v>
      </c>
      <c r="M1255" s="17">
        <f t="shared" ca="1" si="409"/>
        <v>7</v>
      </c>
      <c r="N1255" s="18" t="str">
        <f t="shared" ca="1" si="410"/>
        <v>—</v>
      </c>
      <c r="O1255" s="17">
        <f t="shared" ca="1" si="411"/>
        <v>7</v>
      </c>
      <c r="P1255" s="18" t="str">
        <f t="shared" ca="1" si="412"/>
        <v>—</v>
      </c>
      <c r="Q1255" s="17">
        <f t="shared" ca="1" si="413"/>
        <v>7</v>
      </c>
      <c r="R1255" s="10" t="str">
        <f t="shared" ca="1" si="414"/>
        <v>—</v>
      </c>
      <c r="S1255" s="17">
        <f t="shared" ca="1" si="415"/>
        <v>7</v>
      </c>
      <c r="T1255" s="70" t="str">
        <f t="shared" ca="1" si="416"/>
        <v>—</v>
      </c>
      <c r="U1255" s="17">
        <f t="shared" ca="1" si="417"/>
        <v>7</v>
      </c>
      <c r="V1255" s="71" t="str">
        <f t="shared" ca="1" si="418"/>
        <v>—</v>
      </c>
      <c r="W1255" s="17">
        <f t="shared" ca="1" si="419"/>
        <v>7</v>
      </c>
    </row>
    <row r="1256" spans="1:23" x14ac:dyDescent="0.25">
      <c r="A1256" s="4">
        <f t="shared" si="399"/>
        <v>32</v>
      </c>
      <c r="B1256" t="str">
        <f ca="1">TEXT(DATE(YEAR(Invoer!$A$6),1,1)+INT((ROWS(B$2:B1256)-1)/4),"jjjjmmdd")</f>
        <v>19401109</v>
      </c>
      <c r="C1256" s="64" t="str">
        <f>IF(MOD(ROWS(C$2:C1256)-1,4)=3,"24.00",INDEX(Data,3,2+MOD(ROWS(C$2:C1256)-1,4)))</f>
        <v>17.00</v>
      </c>
      <c r="D1256" s="18" t="str">
        <f t="shared" ca="1" si="400"/>
        <v>—</v>
      </c>
      <c r="E1256" s="17">
        <f t="shared" ca="1" si="401"/>
        <v>7</v>
      </c>
      <c r="F1256" s="18" t="str">
        <f t="shared" ca="1" si="402"/>
        <v>—</v>
      </c>
      <c r="G1256" s="17">
        <f t="shared" ca="1" si="403"/>
        <v>7</v>
      </c>
      <c r="H1256" s="18" t="str">
        <f t="shared" ca="1" si="404"/>
        <v>—</v>
      </c>
      <c r="I1256" s="17">
        <f t="shared" ca="1" si="405"/>
        <v>7</v>
      </c>
      <c r="J1256" s="18" t="str">
        <f t="shared" ca="1" si="406"/>
        <v>—</v>
      </c>
      <c r="K1256" s="17">
        <f t="shared" ca="1" si="407"/>
        <v>7</v>
      </c>
      <c r="L1256" s="10" t="str">
        <f t="shared" ca="1" si="408"/>
        <v>—</v>
      </c>
      <c r="M1256" s="17">
        <f t="shared" ca="1" si="409"/>
        <v>7</v>
      </c>
      <c r="N1256" s="18" t="str">
        <f t="shared" ca="1" si="410"/>
        <v>—</v>
      </c>
      <c r="O1256" s="17">
        <f t="shared" ca="1" si="411"/>
        <v>7</v>
      </c>
      <c r="P1256" s="18" t="str">
        <f t="shared" ca="1" si="412"/>
        <v>—</v>
      </c>
      <c r="Q1256" s="17">
        <f t="shared" ca="1" si="413"/>
        <v>7</v>
      </c>
      <c r="R1256" s="10" t="str">
        <f t="shared" ca="1" si="414"/>
        <v>—</v>
      </c>
      <c r="S1256" s="17">
        <f t="shared" ca="1" si="415"/>
        <v>7</v>
      </c>
      <c r="T1256" s="70" t="str">
        <f t="shared" ca="1" si="416"/>
        <v>—</v>
      </c>
      <c r="U1256" s="17">
        <f t="shared" ca="1" si="417"/>
        <v>7</v>
      </c>
      <c r="V1256" s="71" t="str">
        <f t="shared" ca="1" si="418"/>
        <v>—</v>
      </c>
      <c r="W1256" s="17">
        <f t="shared" ca="1" si="419"/>
        <v>7</v>
      </c>
    </row>
    <row r="1257" spans="1:23" x14ac:dyDescent="0.25">
      <c r="A1257" s="4">
        <f t="shared" si="399"/>
        <v>32</v>
      </c>
      <c r="B1257" t="str">
        <f ca="1">TEXT(DATE(YEAR(Invoer!$A$6),1,1)+INT((ROWS(B$2:B1257)-1)/4),"jjjjmmdd")</f>
        <v>19401109</v>
      </c>
      <c r="C1257" s="64" t="str">
        <f>IF(MOD(ROWS(C$2:C1257)-1,4)=3,"24.00",INDEX(Data,3,2+MOD(ROWS(C$2:C1257)-1,4)))</f>
        <v>24.00</v>
      </c>
      <c r="D1257" s="18" t="str">
        <f t="shared" ca="1" si="400"/>
        <v>—</v>
      </c>
      <c r="E1257" s="17">
        <f t="shared" ca="1" si="401"/>
        <v>7</v>
      </c>
      <c r="F1257" s="18" t="str">
        <f t="shared" ca="1" si="402"/>
        <v>—</v>
      </c>
      <c r="G1257" s="17">
        <f t="shared" ca="1" si="403"/>
        <v>7</v>
      </c>
      <c r="H1257" s="18" t="str">
        <f t="shared" ca="1" si="404"/>
        <v>—</v>
      </c>
      <c r="I1257" s="17">
        <f t="shared" ca="1" si="405"/>
        <v>7</v>
      </c>
      <c r="J1257" s="18" t="str">
        <f t="shared" ca="1" si="406"/>
        <v>—</v>
      </c>
      <c r="K1257" s="17">
        <f t="shared" ca="1" si="407"/>
        <v>7</v>
      </c>
      <c r="L1257" s="10" t="str">
        <f t="shared" ca="1" si="408"/>
        <v>—</v>
      </c>
      <c r="M1257" s="17">
        <f t="shared" ca="1" si="409"/>
        <v>7</v>
      </c>
      <c r="N1257" s="18" t="str">
        <f t="shared" ca="1" si="410"/>
        <v>—</v>
      </c>
      <c r="O1257" s="17">
        <f t="shared" ca="1" si="411"/>
        <v>7</v>
      </c>
      <c r="P1257" s="18" t="str">
        <f t="shared" ca="1" si="412"/>
        <v>—</v>
      </c>
      <c r="Q1257" s="17">
        <f t="shared" ca="1" si="413"/>
        <v>7</v>
      </c>
      <c r="R1257" s="10" t="str">
        <f t="shared" ca="1" si="414"/>
        <v>—</v>
      </c>
      <c r="S1257" s="17">
        <f t="shared" ca="1" si="415"/>
        <v>7</v>
      </c>
      <c r="T1257" s="70" t="str">
        <f t="shared" ca="1" si="416"/>
        <v>—</v>
      </c>
      <c r="U1257" s="17">
        <f t="shared" ca="1" si="417"/>
        <v>7</v>
      </c>
      <c r="V1257" s="71" t="str">
        <f t="shared" ca="1" si="418"/>
        <v>—</v>
      </c>
      <c r="W1257" s="17">
        <f t="shared" ca="1" si="419"/>
        <v>7</v>
      </c>
    </row>
    <row r="1258" spans="1:23" x14ac:dyDescent="0.25">
      <c r="A1258" s="4">
        <f t="shared" si="399"/>
        <v>32</v>
      </c>
      <c r="B1258" t="str">
        <f ca="1">TEXT(DATE(YEAR(Invoer!$A$6),1,1)+INT((ROWS(B$2:B1258)-1)/4),"jjjjmmdd")</f>
        <v>19401110</v>
      </c>
      <c r="C1258" s="64" t="str">
        <f>IF(MOD(ROWS(C$2:C1258)-1,4)=3,"24.00",INDEX(Data,3,2+MOD(ROWS(C$2:C1258)-1,4)))</f>
        <v>07.00</v>
      </c>
      <c r="D1258" s="18" t="str">
        <f t="shared" ca="1" si="400"/>
        <v>—</v>
      </c>
      <c r="E1258" s="17">
        <f t="shared" ca="1" si="401"/>
        <v>7</v>
      </c>
      <c r="F1258" s="18" t="str">
        <f t="shared" ca="1" si="402"/>
        <v>—</v>
      </c>
      <c r="G1258" s="17">
        <f t="shared" ca="1" si="403"/>
        <v>7</v>
      </c>
      <c r="H1258" s="18" t="str">
        <f t="shared" ca="1" si="404"/>
        <v>—</v>
      </c>
      <c r="I1258" s="17">
        <f t="shared" ca="1" si="405"/>
        <v>7</v>
      </c>
      <c r="J1258" s="18" t="str">
        <f t="shared" ca="1" si="406"/>
        <v>—</v>
      </c>
      <c r="K1258" s="17">
        <f t="shared" ca="1" si="407"/>
        <v>7</v>
      </c>
      <c r="L1258" s="10" t="str">
        <f t="shared" ca="1" si="408"/>
        <v>—</v>
      </c>
      <c r="M1258" s="17">
        <f t="shared" ca="1" si="409"/>
        <v>7</v>
      </c>
      <c r="N1258" s="18" t="str">
        <f t="shared" ca="1" si="410"/>
        <v>—</v>
      </c>
      <c r="O1258" s="17">
        <f t="shared" ca="1" si="411"/>
        <v>7</v>
      </c>
      <c r="P1258" s="18" t="str">
        <f t="shared" ca="1" si="412"/>
        <v>—</v>
      </c>
      <c r="Q1258" s="17">
        <f t="shared" ca="1" si="413"/>
        <v>7</v>
      </c>
      <c r="R1258" s="10" t="str">
        <f t="shared" ca="1" si="414"/>
        <v>—</v>
      </c>
      <c r="S1258" s="17">
        <f t="shared" ca="1" si="415"/>
        <v>7</v>
      </c>
      <c r="T1258" s="70" t="str">
        <f t="shared" ca="1" si="416"/>
        <v>—</v>
      </c>
      <c r="U1258" s="17">
        <f t="shared" ca="1" si="417"/>
        <v>7</v>
      </c>
      <c r="V1258" s="71" t="str">
        <f t="shared" ca="1" si="418"/>
        <v>—</v>
      </c>
      <c r="W1258" s="17">
        <f t="shared" ca="1" si="419"/>
        <v>7</v>
      </c>
    </row>
    <row r="1259" spans="1:23" x14ac:dyDescent="0.25">
      <c r="A1259" s="4">
        <f t="shared" si="399"/>
        <v>32</v>
      </c>
      <c r="B1259" t="str">
        <f ca="1">TEXT(DATE(YEAR(Invoer!$A$6),1,1)+INT((ROWS(B$2:B1259)-1)/4),"jjjjmmdd")</f>
        <v>19401110</v>
      </c>
      <c r="C1259" s="64" t="str">
        <f>IF(MOD(ROWS(C$2:C1259)-1,4)=3,"24.00",INDEX(Data,3,2+MOD(ROWS(C$2:C1259)-1,4)))</f>
        <v>12.00</v>
      </c>
      <c r="D1259" s="18" t="str">
        <f t="shared" ca="1" si="400"/>
        <v>—</v>
      </c>
      <c r="E1259" s="17">
        <f t="shared" ca="1" si="401"/>
        <v>7</v>
      </c>
      <c r="F1259" s="18" t="str">
        <f t="shared" ca="1" si="402"/>
        <v>—</v>
      </c>
      <c r="G1259" s="17">
        <f t="shared" ca="1" si="403"/>
        <v>7</v>
      </c>
      <c r="H1259" s="18" t="str">
        <f t="shared" ca="1" si="404"/>
        <v>—</v>
      </c>
      <c r="I1259" s="17">
        <f t="shared" ca="1" si="405"/>
        <v>7</v>
      </c>
      <c r="J1259" s="18" t="str">
        <f t="shared" ca="1" si="406"/>
        <v>—</v>
      </c>
      <c r="K1259" s="17">
        <f t="shared" ca="1" si="407"/>
        <v>7</v>
      </c>
      <c r="L1259" s="10" t="str">
        <f t="shared" ca="1" si="408"/>
        <v>—</v>
      </c>
      <c r="M1259" s="17">
        <f t="shared" ca="1" si="409"/>
        <v>7</v>
      </c>
      <c r="N1259" s="18" t="str">
        <f t="shared" ca="1" si="410"/>
        <v>—</v>
      </c>
      <c r="O1259" s="17">
        <f t="shared" ca="1" si="411"/>
        <v>7</v>
      </c>
      <c r="P1259" s="18" t="str">
        <f t="shared" ca="1" si="412"/>
        <v>—</v>
      </c>
      <c r="Q1259" s="17">
        <f t="shared" ca="1" si="413"/>
        <v>7</v>
      </c>
      <c r="R1259" s="10" t="str">
        <f t="shared" ca="1" si="414"/>
        <v>—</v>
      </c>
      <c r="S1259" s="17">
        <f t="shared" ca="1" si="415"/>
        <v>7</v>
      </c>
      <c r="T1259" s="70" t="str">
        <f t="shared" ca="1" si="416"/>
        <v>—</v>
      </c>
      <c r="U1259" s="17">
        <f t="shared" ca="1" si="417"/>
        <v>7</v>
      </c>
      <c r="V1259" s="71" t="str">
        <f t="shared" ca="1" si="418"/>
        <v>—</v>
      </c>
      <c r="W1259" s="17">
        <f t="shared" ca="1" si="419"/>
        <v>7</v>
      </c>
    </row>
    <row r="1260" spans="1:23" x14ac:dyDescent="0.25">
      <c r="A1260" s="4">
        <f t="shared" si="399"/>
        <v>32</v>
      </c>
      <c r="B1260" t="str">
        <f ca="1">TEXT(DATE(YEAR(Invoer!$A$6),1,1)+INT((ROWS(B$2:B1260)-1)/4),"jjjjmmdd")</f>
        <v>19401110</v>
      </c>
      <c r="C1260" s="64" t="str">
        <f>IF(MOD(ROWS(C$2:C1260)-1,4)=3,"24.00",INDEX(Data,3,2+MOD(ROWS(C$2:C1260)-1,4)))</f>
        <v>17.00</v>
      </c>
      <c r="D1260" s="18" t="str">
        <f t="shared" ca="1" si="400"/>
        <v>—</v>
      </c>
      <c r="E1260" s="17">
        <f t="shared" ca="1" si="401"/>
        <v>7</v>
      </c>
      <c r="F1260" s="18" t="str">
        <f t="shared" ca="1" si="402"/>
        <v>—</v>
      </c>
      <c r="G1260" s="17">
        <f t="shared" ca="1" si="403"/>
        <v>7</v>
      </c>
      <c r="H1260" s="18" t="str">
        <f t="shared" ca="1" si="404"/>
        <v>—</v>
      </c>
      <c r="I1260" s="17">
        <f t="shared" ca="1" si="405"/>
        <v>7</v>
      </c>
      <c r="J1260" s="18" t="str">
        <f t="shared" ca="1" si="406"/>
        <v>—</v>
      </c>
      <c r="K1260" s="17">
        <f t="shared" ca="1" si="407"/>
        <v>7</v>
      </c>
      <c r="L1260" s="10" t="str">
        <f t="shared" ca="1" si="408"/>
        <v>—</v>
      </c>
      <c r="M1260" s="17">
        <f t="shared" ca="1" si="409"/>
        <v>7</v>
      </c>
      <c r="N1260" s="18" t="str">
        <f t="shared" ca="1" si="410"/>
        <v>—</v>
      </c>
      <c r="O1260" s="17">
        <f t="shared" ca="1" si="411"/>
        <v>7</v>
      </c>
      <c r="P1260" s="18" t="str">
        <f t="shared" ca="1" si="412"/>
        <v>—</v>
      </c>
      <c r="Q1260" s="17">
        <f t="shared" ca="1" si="413"/>
        <v>7</v>
      </c>
      <c r="R1260" s="10" t="str">
        <f t="shared" ca="1" si="414"/>
        <v>—</v>
      </c>
      <c r="S1260" s="17">
        <f t="shared" ca="1" si="415"/>
        <v>7</v>
      </c>
      <c r="T1260" s="70" t="str">
        <f t="shared" ca="1" si="416"/>
        <v>—</v>
      </c>
      <c r="U1260" s="17">
        <f t="shared" ca="1" si="417"/>
        <v>7</v>
      </c>
      <c r="V1260" s="71" t="str">
        <f t="shared" ca="1" si="418"/>
        <v>—</v>
      </c>
      <c r="W1260" s="17">
        <f t="shared" ca="1" si="419"/>
        <v>7</v>
      </c>
    </row>
    <row r="1261" spans="1:23" x14ac:dyDescent="0.25">
      <c r="A1261" s="4">
        <f t="shared" si="399"/>
        <v>32</v>
      </c>
      <c r="B1261" t="str">
        <f ca="1">TEXT(DATE(YEAR(Invoer!$A$6),1,1)+INT((ROWS(B$2:B1261)-1)/4),"jjjjmmdd")</f>
        <v>19401110</v>
      </c>
      <c r="C1261" s="64" t="str">
        <f>IF(MOD(ROWS(C$2:C1261)-1,4)=3,"24.00",INDEX(Data,3,2+MOD(ROWS(C$2:C1261)-1,4)))</f>
        <v>24.00</v>
      </c>
      <c r="D1261" s="18" t="str">
        <f t="shared" ca="1" si="400"/>
        <v>—</v>
      </c>
      <c r="E1261" s="17">
        <f t="shared" ca="1" si="401"/>
        <v>7</v>
      </c>
      <c r="F1261" s="18" t="str">
        <f t="shared" ca="1" si="402"/>
        <v>—</v>
      </c>
      <c r="G1261" s="17">
        <f t="shared" ca="1" si="403"/>
        <v>7</v>
      </c>
      <c r="H1261" s="18" t="str">
        <f t="shared" ca="1" si="404"/>
        <v>—</v>
      </c>
      <c r="I1261" s="17">
        <f t="shared" ca="1" si="405"/>
        <v>7</v>
      </c>
      <c r="J1261" s="18" t="str">
        <f t="shared" ca="1" si="406"/>
        <v>—</v>
      </c>
      <c r="K1261" s="17">
        <f t="shared" ca="1" si="407"/>
        <v>7</v>
      </c>
      <c r="L1261" s="10" t="str">
        <f t="shared" ca="1" si="408"/>
        <v>—</v>
      </c>
      <c r="M1261" s="17">
        <f t="shared" ca="1" si="409"/>
        <v>7</v>
      </c>
      <c r="N1261" s="18" t="str">
        <f t="shared" ca="1" si="410"/>
        <v>—</v>
      </c>
      <c r="O1261" s="17">
        <f t="shared" ca="1" si="411"/>
        <v>7</v>
      </c>
      <c r="P1261" s="18" t="str">
        <f t="shared" ca="1" si="412"/>
        <v>—</v>
      </c>
      <c r="Q1261" s="17">
        <f t="shared" ca="1" si="413"/>
        <v>7</v>
      </c>
      <c r="R1261" s="10" t="str">
        <f t="shared" ca="1" si="414"/>
        <v>—</v>
      </c>
      <c r="S1261" s="17">
        <f t="shared" ca="1" si="415"/>
        <v>7</v>
      </c>
      <c r="T1261" s="70" t="str">
        <f t="shared" ca="1" si="416"/>
        <v>—</v>
      </c>
      <c r="U1261" s="17">
        <f t="shared" ca="1" si="417"/>
        <v>7</v>
      </c>
      <c r="V1261" s="71" t="str">
        <f t="shared" ca="1" si="418"/>
        <v>—</v>
      </c>
      <c r="W1261" s="17">
        <f t="shared" ca="1" si="419"/>
        <v>7</v>
      </c>
    </row>
    <row r="1262" spans="1:23" x14ac:dyDescent="0.25">
      <c r="A1262" s="4">
        <f t="shared" si="399"/>
        <v>32</v>
      </c>
      <c r="B1262" t="str">
        <f ca="1">TEXT(DATE(YEAR(Invoer!$A$6),1,1)+INT((ROWS(B$2:B1262)-1)/4),"jjjjmmdd")</f>
        <v>19401111</v>
      </c>
      <c r="C1262" s="64" t="str">
        <f>IF(MOD(ROWS(C$2:C1262)-1,4)=3,"24.00",INDEX(Data,3,2+MOD(ROWS(C$2:C1262)-1,4)))</f>
        <v>07.00</v>
      </c>
      <c r="D1262" s="18" t="str">
        <f t="shared" ca="1" si="400"/>
        <v>—</v>
      </c>
      <c r="E1262" s="17">
        <f t="shared" ca="1" si="401"/>
        <v>7</v>
      </c>
      <c r="F1262" s="18" t="str">
        <f t="shared" ca="1" si="402"/>
        <v>—</v>
      </c>
      <c r="G1262" s="17">
        <f t="shared" ca="1" si="403"/>
        <v>7</v>
      </c>
      <c r="H1262" s="18" t="str">
        <f t="shared" ca="1" si="404"/>
        <v>—</v>
      </c>
      <c r="I1262" s="17">
        <f t="shared" ca="1" si="405"/>
        <v>7</v>
      </c>
      <c r="J1262" s="18" t="str">
        <f t="shared" ca="1" si="406"/>
        <v>—</v>
      </c>
      <c r="K1262" s="17">
        <f t="shared" ca="1" si="407"/>
        <v>7</v>
      </c>
      <c r="L1262" s="10" t="str">
        <f t="shared" ca="1" si="408"/>
        <v>—</v>
      </c>
      <c r="M1262" s="17">
        <f t="shared" ca="1" si="409"/>
        <v>7</v>
      </c>
      <c r="N1262" s="18" t="str">
        <f t="shared" ca="1" si="410"/>
        <v>—</v>
      </c>
      <c r="O1262" s="17">
        <f t="shared" ca="1" si="411"/>
        <v>7</v>
      </c>
      <c r="P1262" s="18" t="str">
        <f t="shared" ca="1" si="412"/>
        <v>—</v>
      </c>
      <c r="Q1262" s="17">
        <f t="shared" ca="1" si="413"/>
        <v>7</v>
      </c>
      <c r="R1262" s="10" t="str">
        <f t="shared" ca="1" si="414"/>
        <v>—</v>
      </c>
      <c r="S1262" s="17">
        <f t="shared" ca="1" si="415"/>
        <v>7</v>
      </c>
      <c r="T1262" s="70" t="str">
        <f t="shared" ca="1" si="416"/>
        <v>—</v>
      </c>
      <c r="U1262" s="17">
        <f t="shared" ca="1" si="417"/>
        <v>7</v>
      </c>
      <c r="V1262" s="71" t="str">
        <f t="shared" ca="1" si="418"/>
        <v>—</v>
      </c>
      <c r="W1262" s="17">
        <f t="shared" ca="1" si="419"/>
        <v>7</v>
      </c>
    </row>
    <row r="1263" spans="1:23" x14ac:dyDescent="0.25">
      <c r="A1263" s="4">
        <f t="shared" si="399"/>
        <v>32</v>
      </c>
      <c r="B1263" t="str">
        <f ca="1">TEXT(DATE(YEAR(Invoer!$A$6),1,1)+INT((ROWS(B$2:B1263)-1)/4),"jjjjmmdd")</f>
        <v>19401111</v>
      </c>
      <c r="C1263" s="64" t="str">
        <f>IF(MOD(ROWS(C$2:C1263)-1,4)=3,"24.00",INDEX(Data,3,2+MOD(ROWS(C$2:C1263)-1,4)))</f>
        <v>12.00</v>
      </c>
      <c r="D1263" s="18" t="str">
        <f t="shared" ca="1" si="400"/>
        <v>—</v>
      </c>
      <c r="E1263" s="17">
        <f t="shared" ca="1" si="401"/>
        <v>7</v>
      </c>
      <c r="F1263" s="18" t="str">
        <f t="shared" ca="1" si="402"/>
        <v>—</v>
      </c>
      <c r="G1263" s="17">
        <f t="shared" ca="1" si="403"/>
        <v>7</v>
      </c>
      <c r="H1263" s="18" t="str">
        <f t="shared" ca="1" si="404"/>
        <v>—</v>
      </c>
      <c r="I1263" s="17">
        <f t="shared" ca="1" si="405"/>
        <v>7</v>
      </c>
      <c r="J1263" s="18" t="str">
        <f t="shared" ca="1" si="406"/>
        <v>—</v>
      </c>
      <c r="K1263" s="17">
        <f t="shared" ca="1" si="407"/>
        <v>7</v>
      </c>
      <c r="L1263" s="10" t="str">
        <f t="shared" ca="1" si="408"/>
        <v>—</v>
      </c>
      <c r="M1263" s="17">
        <f t="shared" ca="1" si="409"/>
        <v>7</v>
      </c>
      <c r="N1263" s="18" t="str">
        <f t="shared" ca="1" si="410"/>
        <v>—</v>
      </c>
      <c r="O1263" s="17">
        <f t="shared" ca="1" si="411"/>
        <v>7</v>
      </c>
      <c r="P1263" s="18" t="str">
        <f t="shared" ca="1" si="412"/>
        <v>—</v>
      </c>
      <c r="Q1263" s="17">
        <f t="shared" ca="1" si="413"/>
        <v>7</v>
      </c>
      <c r="R1263" s="10" t="str">
        <f t="shared" ca="1" si="414"/>
        <v>—</v>
      </c>
      <c r="S1263" s="17">
        <f t="shared" ca="1" si="415"/>
        <v>7</v>
      </c>
      <c r="T1263" s="70" t="str">
        <f t="shared" ca="1" si="416"/>
        <v>—</v>
      </c>
      <c r="U1263" s="17">
        <f t="shared" ca="1" si="417"/>
        <v>7</v>
      </c>
      <c r="V1263" s="71" t="str">
        <f t="shared" ca="1" si="418"/>
        <v>—</v>
      </c>
      <c r="W1263" s="17">
        <f t="shared" ca="1" si="419"/>
        <v>7</v>
      </c>
    </row>
    <row r="1264" spans="1:23" x14ac:dyDescent="0.25">
      <c r="A1264" s="4">
        <f t="shared" si="399"/>
        <v>32</v>
      </c>
      <c r="B1264" t="str">
        <f ca="1">TEXT(DATE(YEAR(Invoer!$A$6),1,1)+INT((ROWS(B$2:B1264)-1)/4),"jjjjmmdd")</f>
        <v>19401111</v>
      </c>
      <c r="C1264" s="64" t="str">
        <f>IF(MOD(ROWS(C$2:C1264)-1,4)=3,"24.00",INDEX(Data,3,2+MOD(ROWS(C$2:C1264)-1,4)))</f>
        <v>17.00</v>
      </c>
      <c r="D1264" s="18" t="str">
        <f t="shared" ca="1" si="400"/>
        <v>—</v>
      </c>
      <c r="E1264" s="17">
        <f t="shared" ca="1" si="401"/>
        <v>7</v>
      </c>
      <c r="F1264" s="18" t="str">
        <f t="shared" ca="1" si="402"/>
        <v>—</v>
      </c>
      <c r="G1264" s="17">
        <f t="shared" ca="1" si="403"/>
        <v>7</v>
      </c>
      <c r="H1264" s="18" t="str">
        <f t="shared" ca="1" si="404"/>
        <v>—</v>
      </c>
      <c r="I1264" s="17">
        <f t="shared" ca="1" si="405"/>
        <v>7</v>
      </c>
      <c r="J1264" s="18" t="str">
        <f t="shared" ca="1" si="406"/>
        <v>—</v>
      </c>
      <c r="K1264" s="17">
        <f t="shared" ca="1" si="407"/>
        <v>7</v>
      </c>
      <c r="L1264" s="10" t="str">
        <f t="shared" ca="1" si="408"/>
        <v>—</v>
      </c>
      <c r="M1264" s="17">
        <f t="shared" ca="1" si="409"/>
        <v>7</v>
      </c>
      <c r="N1264" s="18" t="str">
        <f t="shared" ca="1" si="410"/>
        <v>—</v>
      </c>
      <c r="O1264" s="17">
        <f t="shared" ca="1" si="411"/>
        <v>7</v>
      </c>
      <c r="P1264" s="18" t="str">
        <f t="shared" ca="1" si="412"/>
        <v>—</v>
      </c>
      <c r="Q1264" s="17">
        <f t="shared" ca="1" si="413"/>
        <v>7</v>
      </c>
      <c r="R1264" s="10" t="str">
        <f t="shared" ca="1" si="414"/>
        <v>—</v>
      </c>
      <c r="S1264" s="17">
        <f t="shared" ca="1" si="415"/>
        <v>7</v>
      </c>
      <c r="T1264" s="70" t="str">
        <f t="shared" ca="1" si="416"/>
        <v>—</v>
      </c>
      <c r="U1264" s="17">
        <f t="shared" ca="1" si="417"/>
        <v>7</v>
      </c>
      <c r="V1264" s="71" t="str">
        <f t="shared" ca="1" si="418"/>
        <v>—</v>
      </c>
      <c r="W1264" s="17">
        <f t="shared" ca="1" si="419"/>
        <v>7</v>
      </c>
    </row>
    <row r="1265" spans="1:23" x14ac:dyDescent="0.25">
      <c r="A1265" s="4">
        <f t="shared" si="399"/>
        <v>32</v>
      </c>
      <c r="B1265" t="str">
        <f ca="1">TEXT(DATE(YEAR(Invoer!$A$6),1,1)+INT((ROWS(B$2:B1265)-1)/4),"jjjjmmdd")</f>
        <v>19401111</v>
      </c>
      <c r="C1265" s="64" t="str">
        <f>IF(MOD(ROWS(C$2:C1265)-1,4)=3,"24.00",INDEX(Data,3,2+MOD(ROWS(C$2:C1265)-1,4)))</f>
        <v>24.00</v>
      </c>
      <c r="D1265" s="18" t="str">
        <f t="shared" ca="1" si="400"/>
        <v>—</v>
      </c>
      <c r="E1265" s="17">
        <f t="shared" ca="1" si="401"/>
        <v>7</v>
      </c>
      <c r="F1265" s="18" t="str">
        <f t="shared" ca="1" si="402"/>
        <v>—</v>
      </c>
      <c r="G1265" s="17">
        <f t="shared" ca="1" si="403"/>
        <v>7</v>
      </c>
      <c r="H1265" s="18" t="str">
        <f t="shared" ca="1" si="404"/>
        <v>—</v>
      </c>
      <c r="I1265" s="17">
        <f t="shared" ca="1" si="405"/>
        <v>7</v>
      </c>
      <c r="J1265" s="18" t="str">
        <f t="shared" ca="1" si="406"/>
        <v>—</v>
      </c>
      <c r="K1265" s="17">
        <f t="shared" ca="1" si="407"/>
        <v>7</v>
      </c>
      <c r="L1265" s="10" t="str">
        <f t="shared" ca="1" si="408"/>
        <v>—</v>
      </c>
      <c r="M1265" s="17">
        <f t="shared" ca="1" si="409"/>
        <v>7</v>
      </c>
      <c r="N1265" s="18" t="str">
        <f t="shared" ca="1" si="410"/>
        <v>—</v>
      </c>
      <c r="O1265" s="17">
        <f t="shared" ca="1" si="411"/>
        <v>7</v>
      </c>
      <c r="P1265" s="18" t="str">
        <f t="shared" ca="1" si="412"/>
        <v>—</v>
      </c>
      <c r="Q1265" s="17">
        <f t="shared" ca="1" si="413"/>
        <v>7</v>
      </c>
      <c r="R1265" s="10" t="str">
        <f t="shared" ca="1" si="414"/>
        <v>—</v>
      </c>
      <c r="S1265" s="17">
        <f t="shared" ca="1" si="415"/>
        <v>7</v>
      </c>
      <c r="T1265" s="70" t="str">
        <f t="shared" ca="1" si="416"/>
        <v>—</v>
      </c>
      <c r="U1265" s="17">
        <f t="shared" ca="1" si="417"/>
        <v>7</v>
      </c>
      <c r="V1265" s="71" t="str">
        <f t="shared" ca="1" si="418"/>
        <v>—</v>
      </c>
      <c r="W1265" s="17">
        <f t="shared" ca="1" si="419"/>
        <v>7</v>
      </c>
    </row>
    <row r="1266" spans="1:23" x14ac:dyDescent="0.25">
      <c r="A1266" s="4">
        <f t="shared" si="399"/>
        <v>32</v>
      </c>
      <c r="B1266" t="str">
        <f ca="1">TEXT(DATE(YEAR(Invoer!$A$6),1,1)+INT((ROWS(B$2:B1266)-1)/4),"jjjjmmdd")</f>
        <v>19401112</v>
      </c>
      <c r="C1266" s="64" t="str">
        <f>IF(MOD(ROWS(C$2:C1266)-1,4)=3,"24.00",INDEX(Data,3,2+MOD(ROWS(C$2:C1266)-1,4)))</f>
        <v>07.00</v>
      </c>
      <c r="D1266" s="18" t="str">
        <f t="shared" ca="1" si="400"/>
        <v>—</v>
      </c>
      <c r="E1266" s="17">
        <f t="shared" ca="1" si="401"/>
        <v>7</v>
      </c>
      <c r="F1266" s="18" t="str">
        <f t="shared" ca="1" si="402"/>
        <v>—</v>
      </c>
      <c r="G1266" s="17">
        <f t="shared" ca="1" si="403"/>
        <v>7</v>
      </c>
      <c r="H1266" s="18" t="str">
        <f t="shared" ca="1" si="404"/>
        <v>—</v>
      </c>
      <c r="I1266" s="17">
        <f t="shared" ca="1" si="405"/>
        <v>7</v>
      </c>
      <c r="J1266" s="18" t="str">
        <f t="shared" ca="1" si="406"/>
        <v>—</v>
      </c>
      <c r="K1266" s="17">
        <f t="shared" ca="1" si="407"/>
        <v>7</v>
      </c>
      <c r="L1266" s="10" t="str">
        <f t="shared" ca="1" si="408"/>
        <v>—</v>
      </c>
      <c r="M1266" s="17">
        <f t="shared" ca="1" si="409"/>
        <v>7</v>
      </c>
      <c r="N1266" s="18" t="str">
        <f t="shared" ca="1" si="410"/>
        <v>—</v>
      </c>
      <c r="O1266" s="17">
        <f t="shared" ca="1" si="411"/>
        <v>7</v>
      </c>
      <c r="P1266" s="18" t="str">
        <f t="shared" ca="1" si="412"/>
        <v>—</v>
      </c>
      <c r="Q1266" s="17">
        <f t="shared" ca="1" si="413"/>
        <v>7</v>
      </c>
      <c r="R1266" s="10" t="str">
        <f t="shared" ca="1" si="414"/>
        <v>—</v>
      </c>
      <c r="S1266" s="17">
        <f t="shared" ca="1" si="415"/>
        <v>7</v>
      </c>
      <c r="T1266" s="70" t="str">
        <f t="shared" ca="1" si="416"/>
        <v>—</v>
      </c>
      <c r="U1266" s="17">
        <f t="shared" ca="1" si="417"/>
        <v>7</v>
      </c>
      <c r="V1266" s="71" t="str">
        <f t="shared" ca="1" si="418"/>
        <v>—</v>
      </c>
      <c r="W1266" s="17">
        <f t="shared" ca="1" si="419"/>
        <v>7</v>
      </c>
    </row>
    <row r="1267" spans="1:23" x14ac:dyDescent="0.25">
      <c r="A1267" s="4">
        <f t="shared" si="399"/>
        <v>32</v>
      </c>
      <c r="B1267" t="str">
        <f ca="1">TEXT(DATE(YEAR(Invoer!$A$6),1,1)+INT((ROWS(B$2:B1267)-1)/4),"jjjjmmdd")</f>
        <v>19401112</v>
      </c>
      <c r="C1267" s="64" t="str">
        <f>IF(MOD(ROWS(C$2:C1267)-1,4)=3,"24.00",INDEX(Data,3,2+MOD(ROWS(C$2:C1267)-1,4)))</f>
        <v>12.00</v>
      </c>
      <c r="D1267" s="18" t="str">
        <f t="shared" ca="1" si="400"/>
        <v>—</v>
      </c>
      <c r="E1267" s="17">
        <f t="shared" ca="1" si="401"/>
        <v>7</v>
      </c>
      <c r="F1267" s="18" t="str">
        <f t="shared" ca="1" si="402"/>
        <v>—</v>
      </c>
      <c r="G1267" s="17">
        <f t="shared" ca="1" si="403"/>
        <v>7</v>
      </c>
      <c r="H1267" s="18" t="str">
        <f t="shared" ca="1" si="404"/>
        <v>—</v>
      </c>
      <c r="I1267" s="17">
        <f t="shared" ca="1" si="405"/>
        <v>7</v>
      </c>
      <c r="J1267" s="18" t="str">
        <f t="shared" ca="1" si="406"/>
        <v>—</v>
      </c>
      <c r="K1267" s="17">
        <f t="shared" ca="1" si="407"/>
        <v>7</v>
      </c>
      <c r="L1267" s="10" t="str">
        <f t="shared" ca="1" si="408"/>
        <v>—</v>
      </c>
      <c r="M1267" s="17">
        <f t="shared" ca="1" si="409"/>
        <v>7</v>
      </c>
      <c r="N1267" s="18" t="str">
        <f t="shared" ca="1" si="410"/>
        <v>—</v>
      </c>
      <c r="O1267" s="17">
        <f t="shared" ca="1" si="411"/>
        <v>7</v>
      </c>
      <c r="P1267" s="18" t="str">
        <f t="shared" ca="1" si="412"/>
        <v>—</v>
      </c>
      <c r="Q1267" s="17">
        <f t="shared" ca="1" si="413"/>
        <v>7</v>
      </c>
      <c r="R1267" s="10" t="str">
        <f t="shared" ca="1" si="414"/>
        <v>—</v>
      </c>
      <c r="S1267" s="17">
        <f t="shared" ca="1" si="415"/>
        <v>7</v>
      </c>
      <c r="T1267" s="70" t="str">
        <f t="shared" ca="1" si="416"/>
        <v>—</v>
      </c>
      <c r="U1267" s="17">
        <f t="shared" ca="1" si="417"/>
        <v>7</v>
      </c>
      <c r="V1267" s="71" t="str">
        <f t="shared" ca="1" si="418"/>
        <v>—</v>
      </c>
      <c r="W1267" s="17">
        <f t="shared" ca="1" si="419"/>
        <v>7</v>
      </c>
    </row>
    <row r="1268" spans="1:23" x14ac:dyDescent="0.25">
      <c r="A1268" s="4">
        <f t="shared" si="399"/>
        <v>32</v>
      </c>
      <c r="B1268" t="str">
        <f ca="1">TEXT(DATE(YEAR(Invoer!$A$6),1,1)+INT((ROWS(B$2:B1268)-1)/4),"jjjjmmdd")</f>
        <v>19401112</v>
      </c>
      <c r="C1268" s="64" t="str">
        <f>IF(MOD(ROWS(C$2:C1268)-1,4)=3,"24.00",INDEX(Data,3,2+MOD(ROWS(C$2:C1268)-1,4)))</f>
        <v>17.00</v>
      </c>
      <c r="D1268" s="18" t="str">
        <f t="shared" ca="1" si="400"/>
        <v>—</v>
      </c>
      <c r="E1268" s="17">
        <f t="shared" ca="1" si="401"/>
        <v>7</v>
      </c>
      <c r="F1268" s="18" t="str">
        <f t="shared" ca="1" si="402"/>
        <v>—</v>
      </c>
      <c r="G1268" s="17">
        <f t="shared" ca="1" si="403"/>
        <v>7</v>
      </c>
      <c r="H1268" s="18" t="str">
        <f t="shared" ca="1" si="404"/>
        <v>—</v>
      </c>
      <c r="I1268" s="17">
        <f t="shared" ca="1" si="405"/>
        <v>7</v>
      </c>
      <c r="J1268" s="18" t="str">
        <f t="shared" ca="1" si="406"/>
        <v>—</v>
      </c>
      <c r="K1268" s="17">
        <f t="shared" ca="1" si="407"/>
        <v>7</v>
      </c>
      <c r="L1268" s="10" t="str">
        <f t="shared" ca="1" si="408"/>
        <v>—</v>
      </c>
      <c r="M1268" s="17">
        <f t="shared" ca="1" si="409"/>
        <v>7</v>
      </c>
      <c r="N1268" s="18" t="str">
        <f t="shared" ca="1" si="410"/>
        <v>—</v>
      </c>
      <c r="O1268" s="17">
        <f t="shared" ca="1" si="411"/>
        <v>7</v>
      </c>
      <c r="P1268" s="18" t="str">
        <f t="shared" ca="1" si="412"/>
        <v>—</v>
      </c>
      <c r="Q1268" s="17">
        <f t="shared" ca="1" si="413"/>
        <v>7</v>
      </c>
      <c r="R1268" s="10" t="str">
        <f t="shared" ca="1" si="414"/>
        <v>—</v>
      </c>
      <c r="S1268" s="17">
        <f t="shared" ca="1" si="415"/>
        <v>7</v>
      </c>
      <c r="T1268" s="70" t="str">
        <f t="shared" ca="1" si="416"/>
        <v>—</v>
      </c>
      <c r="U1268" s="17">
        <f t="shared" ca="1" si="417"/>
        <v>7</v>
      </c>
      <c r="V1268" s="71" t="str">
        <f t="shared" ca="1" si="418"/>
        <v>—</v>
      </c>
      <c r="W1268" s="17">
        <f t="shared" ca="1" si="419"/>
        <v>7</v>
      </c>
    </row>
    <row r="1269" spans="1:23" x14ac:dyDescent="0.25">
      <c r="A1269" s="4">
        <f t="shared" si="399"/>
        <v>32</v>
      </c>
      <c r="B1269" t="str">
        <f ca="1">TEXT(DATE(YEAR(Invoer!$A$6),1,1)+INT((ROWS(B$2:B1269)-1)/4),"jjjjmmdd")</f>
        <v>19401112</v>
      </c>
      <c r="C1269" s="64" t="str">
        <f>IF(MOD(ROWS(C$2:C1269)-1,4)=3,"24.00",INDEX(Data,3,2+MOD(ROWS(C$2:C1269)-1,4)))</f>
        <v>24.00</v>
      </c>
      <c r="D1269" s="18" t="str">
        <f t="shared" ca="1" si="400"/>
        <v>—</v>
      </c>
      <c r="E1269" s="17">
        <f t="shared" ca="1" si="401"/>
        <v>7</v>
      </c>
      <c r="F1269" s="18" t="str">
        <f t="shared" ca="1" si="402"/>
        <v>—</v>
      </c>
      <c r="G1269" s="17">
        <f t="shared" ca="1" si="403"/>
        <v>7</v>
      </c>
      <c r="H1269" s="18" t="str">
        <f t="shared" ca="1" si="404"/>
        <v>—</v>
      </c>
      <c r="I1269" s="17">
        <f t="shared" ca="1" si="405"/>
        <v>7</v>
      </c>
      <c r="J1269" s="18" t="str">
        <f t="shared" ca="1" si="406"/>
        <v>—</v>
      </c>
      <c r="K1269" s="17">
        <f t="shared" ca="1" si="407"/>
        <v>7</v>
      </c>
      <c r="L1269" s="10" t="str">
        <f t="shared" ca="1" si="408"/>
        <v>—</v>
      </c>
      <c r="M1269" s="17">
        <f t="shared" ca="1" si="409"/>
        <v>7</v>
      </c>
      <c r="N1269" s="18" t="str">
        <f t="shared" ca="1" si="410"/>
        <v>—</v>
      </c>
      <c r="O1269" s="17">
        <f t="shared" ca="1" si="411"/>
        <v>7</v>
      </c>
      <c r="P1269" s="18" t="str">
        <f t="shared" ca="1" si="412"/>
        <v>—</v>
      </c>
      <c r="Q1269" s="17">
        <f t="shared" ca="1" si="413"/>
        <v>7</v>
      </c>
      <c r="R1269" s="10" t="str">
        <f t="shared" ca="1" si="414"/>
        <v>—</v>
      </c>
      <c r="S1269" s="17">
        <f t="shared" ca="1" si="415"/>
        <v>7</v>
      </c>
      <c r="T1269" s="70" t="str">
        <f t="shared" ca="1" si="416"/>
        <v>—</v>
      </c>
      <c r="U1269" s="17">
        <f t="shared" ca="1" si="417"/>
        <v>7</v>
      </c>
      <c r="V1269" s="71" t="str">
        <f t="shared" ca="1" si="418"/>
        <v>—</v>
      </c>
      <c r="W1269" s="17">
        <f t="shared" ca="1" si="419"/>
        <v>7</v>
      </c>
    </row>
    <row r="1270" spans="1:23" x14ac:dyDescent="0.25">
      <c r="A1270" s="4">
        <f t="shared" si="399"/>
        <v>32</v>
      </c>
      <c r="B1270" t="str">
        <f ca="1">TEXT(DATE(YEAR(Invoer!$A$6),1,1)+INT((ROWS(B$2:B1270)-1)/4),"jjjjmmdd")</f>
        <v>19401113</v>
      </c>
      <c r="C1270" s="64" t="str">
        <f>IF(MOD(ROWS(C$2:C1270)-1,4)=3,"24.00",INDEX(Data,3,2+MOD(ROWS(C$2:C1270)-1,4)))</f>
        <v>07.00</v>
      </c>
      <c r="D1270" s="18" t="str">
        <f t="shared" ca="1" si="400"/>
        <v>—</v>
      </c>
      <c r="E1270" s="17">
        <f t="shared" ca="1" si="401"/>
        <v>7</v>
      </c>
      <c r="F1270" s="18" t="str">
        <f t="shared" ca="1" si="402"/>
        <v>—</v>
      </c>
      <c r="G1270" s="17">
        <f t="shared" ca="1" si="403"/>
        <v>7</v>
      </c>
      <c r="H1270" s="18" t="str">
        <f t="shared" ca="1" si="404"/>
        <v>—</v>
      </c>
      <c r="I1270" s="17">
        <f t="shared" ca="1" si="405"/>
        <v>7</v>
      </c>
      <c r="J1270" s="18" t="str">
        <f t="shared" ca="1" si="406"/>
        <v>—</v>
      </c>
      <c r="K1270" s="17">
        <f t="shared" ca="1" si="407"/>
        <v>7</v>
      </c>
      <c r="L1270" s="10" t="str">
        <f t="shared" ca="1" si="408"/>
        <v>—</v>
      </c>
      <c r="M1270" s="17">
        <f t="shared" ca="1" si="409"/>
        <v>7</v>
      </c>
      <c r="N1270" s="18" t="str">
        <f t="shared" ca="1" si="410"/>
        <v>—</v>
      </c>
      <c r="O1270" s="17">
        <f t="shared" ca="1" si="411"/>
        <v>7</v>
      </c>
      <c r="P1270" s="18" t="str">
        <f t="shared" ca="1" si="412"/>
        <v>—</v>
      </c>
      <c r="Q1270" s="17">
        <f t="shared" ca="1" si="413"/>
        <v>7</v>
      </c>
      <c r="R1270" s="10" t="str">
        <f t="shared" ca="1" si="414"/>
        <v>—</v>
      </c>
      <c r="S1270" s="17">
        <f t="shared" ca="1" si="415"/>
        <v>7</v>
      </c>
      <c r="T1270" s="70" t="str">
        <f t="shared" ca="1" si="416"/>
        <v>—</v>
      </c>
      <c r="U1270" s="17">
        <f t="shared" ca="1" si="417"/>
        <v>7</v>
      </c>
      <c r="V1270" s="71" t="str">
        <f t="shared" ca="1" si="418"/>
        <v>—</v>
      </c>
      <c r="W1270" s="17">
        <f t="shared" ca="1" si="419"/>
        <v>7</v>
      </c>
    </row>
    <row r="1271" spans="1:23" x14ac:dyDescent="0.25">
      <c r="A1271" s="4">
        <f t="shared" si="399"/>
        <v>32</v>
      </c>
      <c r="B1271" t="str">
        <f ca="1">TEXT(DATE(YEAR(Invoer!$A$6),1,1)+INT((ROWS(B$2:B1271)-1)/4),"jjjjmmdd")</f>
        <v>19401113</v>
      </c>
      <c r="C1271" s="64" t="str">
        <f>IF(MOD(ROWS(C$2:C1271)-1,4)=3,"24.00",INDEX(Data,3,2+MOD(ROWS(C$2:C1271)-1,4)))</f>
        <v>12.00</v>
      </c>
      <c r="D1271" s="18" t="str">
        <f t="shared" ca="1" si="400"/>
        <v>—</v>
      </c>
      <c r="E1271" s="17">
        <f t="shared" ca="1" si="401"/>
        <v>7</v>
      </c>
      <c r="F1271" s="18" t="str">
        <f t="shared" ca="1" si="402"/>
        <v>—</v>
      </c>
      <c r="G1271" s="17">
        <f t="shared" ca="1" si="403"/>
        <v>7</v>
      </c>
      <c r="H1271" s="18" t="str">
        <f t="shared" ca="1" si="404"/>
        <v>—</v>
      </c>
      <c r="I1271" s="17">
        <f t="shared" ca="1" si="405"/>
        <v>7</v>
      </c>
      <c r="J1271" s="18" t="str">
        <f t="shared" ca="1" si="406"/>
        <v>—</v>
      </c>
      <c r="K1271" s="17">
        <f t="shared" ca="1" si="407"/>
        <v>7</v>
      </c>
      <c r="L1271" s="10" t="str">
        <f t="shared" ca="1" si="408"/>
        <v>—</v>
      </c>
      <c r="M1271" s="17">
        <f t="shared" ca="1" si="409"/>
        <v>7</v>
      </c>
      <c r="N1271" s="18" t="str">
        <f t="shared" ca="1" si="410"/>
        <v>—</v>
      </c>
      <c r="O1271" s="17">
        <f t="shared" ca="1" si="411"/>
        <v>7</v>
      </c>
      <c r="P1271" s="18" t="str">
        <f t="shared" ca="1" si="412"/>
        <v>—</v>
      </c>
      <c r="Q1271" s="17">
        <f t="shared" ca="1" si="413"/>
        <v>7</v>
      </c>
      <c r="R1271" s="10" t="str">
        <f t="shared" ca="1" si="414"/>
        <v>—</v>
      </c>
      <c r="S1271" s="17">
        <f t="shared" ca="1" si="415"/>
        <v>7</v>
      </c>
      <c r="T1271" s="70" t="str">
        <f t="shared" ca="1" si="416"/>
        <v>—</v>
      </c>
      <c r="U1271" s="17">
        <f t="shared" ca="1" si="417"/>
        <v>7</v>
      </c>
      <c r="V1271" s="71" t="str">
        <f t="shared" ca="1" si="418"/>
        <v>—</v>
      </c>
      <c r="W1271" s="17">
        <f t="shared" ca="1" si="419"/>
        <v>7</v>
      </c>
    </row>
    <row r="1272" spans="1:23" x14ac:dyDescent="0.25">
      <c r="A1272" s="4">
        <f t="shared" si="399"/>
        <v>32</v>
      </c>
      <c r="B1272" t="str">
        <f ca="1">TEXT(DATE(YEAR(Invoer!$A$6),1,1)+INT((ROWS(B$2:B1272)-1)/4),"jjjjmmdd")</f>
        <v>19401113</v>
      </c>
      <c r="C1272" s="64" t="str">
        <f>IF(MOD(ROWS(C$2:C1272)-1,4)=3,"24.00",INDEX(Data,3,2+MOD(ROWS(C$2:C1272)-1,4)))</f>
        <v>17.00</v>
      </c>
      <c r="D1272" s="18" t="str">
        <f t="shared" ca="1" si="400"/>
        <v>—</v>
      </c>
      <c r="E1272" s="17">
        <f t="shared" ca="1" si="401"/>
        <v>7</v>
      </c>
      <c r="F1272" s="18" t="str">
        <f t="shared" ca="1" si="402"/>
        <v>—</v>
      </c>
      <c r="G1272" s="17">
        <f t="shared" ca="1" si="403"/>
        <v>7</v>
      </c>
      <c r="H1272" s="18" t="str">
        <f t="shared" ca="1" si="404"/>
        <v>—</v>
      </c>
      <c r="I1272" s="17">
        <f t="shared" ca="1" si="405"/>
        <v>7</v>
      </c>
      <c r="J1272" s="18" t="str">
        <f t="shared" ca="1" si="406"/>
        <v>—</v>
      </c>
      <c r="K1272" s="17">
        <f t="shared" ca="1" si="407"/>
        <v>7</v>
      </c>
      <c r="L1272" s="10" t="str">
        <f t="shared" ca="1" si="408"/>
        <v>—</v>
      </c>
      <c r="M1272" s="17">
        <f t="shared" ca="1" si="409"/>
        <v>7</v>
      </c>
      <c r="N1272" s="18" t="str">
        <f t="shared" ca="1" si="410"/>
        <v>—</v>
      </c>
      <c r="O1272" s="17">
        <f t="shared" ca="1" si="411"/>
        <v>7</v>
      </c>
      <c r="P1272" s="18" t="str">
        <f t="shared" ca="1" si="412"/>
        <v>—</v>
      </c>
      <c r="Q1272" s="17">
        <f t="shared" ca="1" si="413"/>
        <v>7</v>
      </c>
      <c r="R1272" s="10" t="str">
        <f t="shared" ca="1" si="414"/>
        <v>—</v>
      </c>
      <c r="S1272" s="17">
        <f t="shared" ca="1" si="415"/>
        <v>7</v>
      </c>
      <c r="T1272" s="70" t="str">
        <f t="shared" ca="1" si="416"/>
        <v>—</v>
      </c>
      <c r="U1272" s="17">
        <f t="shared" ca="1" si="417"/>
        <v>7</v>
      </c>
      <c r="V1272" s="71" t="str">
        <f t="shared" ca="1" si="418"/>
        <v>—</v>
      </c>
      <c r="W1272" s="17">
        <f t="shared" ca="1" si="419"/>
        <v>7</v>
      </c>
    </row>
    <row r="1273" spans="1:23" x14ac:dyDescent="0.25">
      <c r="A1273" s="4">
        <f t="shared" si="399"/>
        <v>32</v>
      </c>
      <c r="B1273" t="str">
        <f ca="1">TEXT(DATE(YEAR(Invoer!$A$6),1,1)+INT((ROWS(B$2:B1273)-1)/4),"jjjjmmdd")</f>
        <v>19401113</v>
      </c>
      <c r="C1273" s="64" t="str">
        <f>IF(MOD(ROWS(C$2:C1273)-1,4)=3,"24.00",INDEX(Data,3,2+MOD(ROWS(C$2:C1273)-1,4)))</f>
        <v>24.00</v>
      </c>
      <c r="D1273" s="18" t="str">
        <f t="shared" ca="1" si="400"/>
        <v>—</v>
      </c>
      <c r="E1273" s="17">
        <f t="shared" ca="1" si="401"/>
        <v>7</v>
      </c>
      <c r="F1273" s="18" t="str">
        <f t="shared" ca="1" si="402"/>
        <v>—</v>
      </c>
      <c r="G1273" s="17">
        <f t="shared" ca="1" si="403"/>
        <v>7</v>
      </c>
      <c r="H1273" s="18" t="str">
        <f t="shared" ca="1" si="404"/>
        <v>—</v>
      </c>
      <c r="I1273" s="17">
        <f t="shared" ca="1" si="405"/>
        <v>7</v>
      </c>
      <c r="J1273" s="18" t="str">
        <f t="shared" ca="1" si="406"/>
        <v>—</v>
      </c>
      <c r="K1273" s="17">
        <f t="shared" ca="1" si="407"/>
        <v>7</v>
      </c>
      <c r="L1273" s="10" t="str">
        <f t="shared" ca="1" si="408"/>
        <v>—</v>
      </c>
      <c r="M1273" s="17">
        <f t="shared" ca="1" si="409"/>
        <v>7</v>
      </c>
      <c r="N1273" s="18" t="str">
        <f t="shared" ca="1" si="410"/>
        <v>—</v>
      </c>
      <c r="O1273" s="17">
        <f t="shared" ca="1" si="411"/>
        <v>7</v>
      </c>
      <c r="P1273" s="18" t="str">
        <f t="shared" ca="1" si="412"/>
        <v>—</v>
      </c>
      <c r="Q1273" s="17">
        <f t="shared" ca="1" si="413"/>
        <v>7</v>
      </c>
      <c r="R1273" s="10" t="str">
        <f t="shared" ca="1" si="414"/>
        <v>—</v>
      </c>
      <c r="S1273" s="17">
        <f t="shared" ca="1" si="415"/>
        <v>7</v>
      </c>
      <c r="T1273" s="70" t="str">
        <f t="shared" ca="1" si="416"/>
        <v>—</v>
      </c>
      <c r="U1273" s="17">
        <f t="shared" ca="1" si="417"/>
        <v>7</v>
      </c>
      <c r="V1273" s="71" t="str">
        <f t="shared" ca="1" si="418"/>
        <v>—</v>
      </c>
      <c r="W1273" s="17">
        <f t="shared" ca="1" si="419"/>
        <v>7</v>
      </c>
    </row>
    <row r="1274" spans="1:23" x14ac:dyDescent="0.25">
      <c r="A1274" s="4">
        <f t="shared" si="399"/>
        <v>32</v>
      </c>
      <c r="B1274" t="str">
        <f ca="1">TEXT(DATE(YEAR(Invoer!$A$6),1,1)+INT((ROWS(B$2:B1274)-1)/4),"jjjjmmdd")</f>
        <v>19401114</v>
      </c>
      <c r="C1274" s="64" t="str">
        <f>IF(MOD(ROWS(C$2:C1274)-1,4)=3,"24.00",INDEX(Data,3,2+MOD(ROWS(C$2:C1274)-1,4)))</f>
        <v>07.00</v>
      </c>
      <c r="D1274" s="18" t="str">
        <f t="shared" ca="1" si="400"/>
        <v>—</v>
      </c>
      <c r="E1274" s="17">
        <f t="shared" ca="1" si="401"/>
        <v>7</v>
      </c>
      <c r="F1274" s="18" t="str">
        <f t="shared" ca="1" si="402"/>
        <v>—</v>
      </c>
      <c r="G1274" s="17">
        <f t="shared" ca="1" si="403"/>
        <v>7</v>
      </c>
      <c r="H1274" s="18" t="str">
        <f t="shared" ca="1" si="404"/>
        <v>—</v>
      </c>
      <c r="I1274" s="17">
        <f t="shared" ca="1" si="405"/>
        <v>7</v>
      </c>
      <c r="J1274" s="18" t="str">
        <f t="shared" ca="1" si="406"/>
        <v>—</v>
      </c>
      <c r="K1274" s="17">
        <f t="shared" ca="1" si="407"/>
        <v>7</v>
      </c>
      <c r="L1274" s="10" t="str">
        <f t="shared" ca="1" si="408"/>
        <v>—</v>
      </c>
      <c r="M1274" s="17">
        <f t="shared" ca="1" si="409"/>
        <v>7</v>
      </c>
      <c r="N1274" s="18" t="str">
        <f t="shared" ca="1" si="410"/>
        <v>—</v>
      </c>
      <c r="O1274" s="17">
        <f t="shared" ca="1" si="411"/>
        <v>7</v>
      </c>
      <c r="P1274" s="18" t="str">
        <f t="shared" ca="1" si="412"/>
        <v>—</v>
      </c>
      <c r="Q1274" s="17">
        <f t="shared" ca="1" si="413"/>
        <v>7</v>
      </c>
      <c r="R1274" s="10" t="str">
        <f t="shared" ca="1" si="414"/>
        <v>—</v>
      </c>
      <c r="S1274" s="17">
        <f t="shared" ca="1" si="415"/>
        <v>7</v>
      </c>
      <c r="T1274" s="70" t="str">
        <f t="shared" ca="1" si="416"/>
        <v>—</v>
      </c>
      <c r="U1274" s="17">
        <f t="shared" ca="1" si="417"/>
        <v>7</v>
      </c>
      <c r="V1274" s="71" t="str">
        <f t="shared" ca="1" si="418"/>
        <v>—</v>
      </c>
      <c r="W1274" s="17">
        <f t="shared" ca="1" si="419"/>
        <v>7</v>
      </c>
    </row>
    <row r="1275" spans="1:23" x14ac:dyDescent="0.25">
      <c r="A1275" s="4">
        <f t="shared" si="399"/>
        <v>32</v>
      </c>
      <c r="B1275" t="str">
        <f ca="1">TEXT(DATE(YEAR(Invoer!$A$6),1,1)+INT((ROWS(B$2:B1275)-1)/4),"jjjjmmdd")</f>
        <v>19401114</v>
      </c>
      <c r="C1275" s="64" t="str">
        <f>IF(MOD(ROWS(C$2:C1275)-1,4)=3,"24.00",INDEX(Data,3,2+MOD(ROWS(C$2:C1275)-1,4)))</f>
        <v>12.00</v>
      </c>
      <c r="D1275" s="18" t="str">
        <f t="shared" ca="1" si="400"/>
        <v>—</v>
      </c>
      <c r="E1275" s="17">
        <f t="shared" ca="1" si="401"/>
        <v>7</v>
      </c>
      <c r="F1275" s="18" t="str">
        <f t="shared" ca="1" si="402"/>
        <v>—</v>
      </c>
      <c r="G1275" s="17">
        <f t="shared" ca="1" si="403"/>
        <v>7</v>
      </c>
      <c r="H1275" s="18" t="str">
        <f t="shared" ca="1" si="404"/>
        <v>—</v>
      </c>
      <c r="I1275" s="17">
        <f t="shared" ca="1" si="405"/>
        <v>7</v>
      </c>
      <c r="J1275" s="18" t="str">
        <f t="shared" ca="1" si="406"/>
        <v>—</v>
      </c>
      <c r="K1275" s="17">
        <f t="shared" ca="1" si="407"/>
        <v>7</v>
      </c>
      <c r="L1275" s="10" t="str">
        <f t="shared" ca="1" si="408"/>
        <v>—</v>
      </c>
      <c r="M1275" s="17">
        <f t="shared" ca="1" si="409"/>
        <v>7</v>
      </c>
      <c r="N1275" s="18" t="str">
        <f t="shared" ca="1" si="410"/>
        <v>—</v>
      </c>
      <c r="O1275" s="17">
        <f t="shared" ca="1" si="411"/>
        <v>7</v>
      </c>
      <c r="P1275" s="18" t="str">
        <f t="shared" ca="1" si="412"/>
        <v>—</v>
      </c>
      <c r="Q1275" s="17">
        <f t="shared" ca="1" si="413"/>
        <v>7</v>
      </c>
      <c r="R1275" s="10" t="str">
        <f t="shared" ca="1" si="414"/>
        <v>—</v>
      </c>
      <c r="S1275" s="17">
        <f t="shared" ca="1" si="415"/>
        <v>7</v>
      </c>
      <c r="T1275" s="70" t="str">
        <f t="shared" ca="1" si="416"/>
        <v>—</v>
      </c>
      <c r="U1275" s="17">
        <f t="shared" ca="1" si="417"/>
        <v>7</v>
      </c>
      <c r="V1275" s="71" t="str">
        <f t="shared" ca="1" si="418"/>
        <v>—</v>
      </c>
      <c r="W1275" s="17">
        <f t="shared" ca="1" si="419"/>
        <v>7</v>
      </c>
    </row>
    <row r="1276" spans="1:23" x14ac:dyDescent="0.25">
      <c r="A1276" s="4">
        <f t="shared" si="399"/>
        <v>32</v>
      </c>
      <c r="B1276" t="str">
        <f ca="1">TEXT(DATE(YEAR(Invoer!$A$6),1,1)+INT((ROWS(B$2:B1276)-1)/4),"jjjjmmdd")</f>
        <v>19401114</v>
      </c>
      <c r="C1276" s="64" t="str">
        <f>IF(MOD(ROWS(C$2:C1276)-1,4)=3,"24.00",INDEX(Data,3,2+MOD(ROWS(C$2:C1276)-1,4)))</f>
        <v>17.00</v>
      </c>
      <c r="D1276" s="18" t="str">
        <f t="shared" ca="1" si="400"/>
        <v>—</v>
      </c>
      <c r="E1276" s="17">
        <f t="shared" ca="1" si="401"/>
        <v>7</v>
      </c>
      <c r="F1276" s="18" t="str">
        <f t="shared" ca="1" si="402"/>
        <v>—</v>
      </c>
      <c r="G1276" s="17">
        <f t="shared" ca="1" si="403"/>
        <v>7</v>
      </c>
      <c r="H1276" s="18" t="str">
        <f t="shared" ca="1" si="404"/>
        <v>—</v>
      </c>
      <c r="I1276" s="17">
        <f t="shared" ca="1" si="405"/>
        <v>7</v>
      </c>
      <c r="J1276" s="18" t="str">
        <f t="shared" ca="1" si="406"/>
        <v>—</v>
      </c>
      <c r="K1276" s="17">
        <f t="shared" ca="1" si="407"/>
        <v>7</v>
      </c>
      <c r="L1276" s="10" t="str">
        <f t="shared" ca="1" si="408"/>
        <v>—</v>
      </c>
      <c r="M1276" s="17">
        <f t="shared" ca="1" si="409"/>
        <v>7</v>
      </c>
      <c r="N1276" s="18" t="str">
        <f t="shared" ca="1" si="410"/>
        <v>—</v>
      </c>
      <c r="O1276" s="17">
        <f t="shared" ca="1" si="411"/>
        <v>7</v>
      </c>
      <c r="P1276" s="18" t="str">
        <f t="shared" ca="1" si="412"/>
        <v>—</v>
      </c>
      <c r="Q1276" s="17">
        <f t="shared" ca="1" si="413"/>
        <v>7</v>
      </c>
      <c r="R1276" s="10" t="str">
        <f t="shared" ca="1" si="414"/>
        <v>—</v>
      </c>
      <c r="S1276" s="17">
        <f t="shared" ca="1" si="415"/>
        <v>7</v>
      </c>
      <c r="T1276" s="70" t="str">
        <f t="shared" ca="1" si="416"/>
        <v>—</v>
      </c>
      <c r="U1276" s="17">
        <f t="shared" ca="1" si="417"/>
        <v>7</v>
      </c>
      <c r="V1276" s="71" t="str">
        <f t="shared" ca="1" si="418"/>
        <v>—</v>
      </c>
      <c r="W1276" s="17">
        <f t="shared" ca="1" si="419"/>
        <v>7</v>
      </c>
    </row>
    <row r="1277" spans="1:23" x14ac:dyDescent="0.25">
      <c r="A1277" s="4">
        <f t="shared" si="399"/>
        <v>32</v>
      </c>
      <c r="B1277" t="str">
        <f ca="1">TEXT(DATE(YEAR(Invoer!$A$6),1,1)+INT((ROWS(B$2:B1277)-1)/4),"jjjjmmdd")</f>
        <v>19401114</v>
      </c>
      <c r="C1277" s="64" t="str">
        <f>IF(MOD(ROWS(C$2:C1277)-1,4)=3,"24.00",INDEX(Data,3,2+MOD(ROWS(C$2:C1277)-1,4)))</f>
        <v>24.00</v>
      </c>
      <c r="D1277" s="18" t="str">
        <f t="shared" ca="1" si="400"/>
        <v>—</v>
      </c>
      <c r="E1277" s="17">
        <f t="shared" ca="1" si="401"/>
        <v>7</v>
      </c>
      <c r="F1277" s="18" t="str">
        <f t="shared" ca="1" si="402"/>
        <v>—</v>
      </c>
      <c r="G1277" s="17">
        <f t="shared" ca="1" si="403"/>
        <v>7</v>
      </c>
      <c r="H1277" s="18" t="str">
        <f t="shared" ca="1" si="404"/>
        <v>—</v>
      </c>
      <c r="I1277" s="17">
        <f t="shared" ca="1" si="405"/>
        <v>7</v>
      </c>
      <c r="J1277" s="18" t="str">
        <f t="shared" ca="1" si="406"/>
        <v>—</v>
      </c>
      <c r="K1277" s="17">
        <f t="shared" ca="1" si="407"/>
        <v>7</v>
      </c>
      <c r="L1277" s="10" t="str">
        <f t="shared" ca="1" si="408"/>
        <v>—</v>
      </c>
      <c r="M1277" s="17">
        <f t="shared" ca="1" si="409"/>
        <v>7</v>
      </c>
      <c r="N1277" s="18" t="str">
        <f t="shared" ca="1" si="410"/>
        <v>—</v>
      </c>
      <c r="O1277" s="17">
        <f t="shared" ca="1" si="411"/>
        <v>7</v>
      </c>
      <c r="P1277" s="18" t="str">
        <f t="shared" ca="1" si="412"/>
        <v>—</v>
      </c>
      <c r="Q1277" s="17">
        <f t="shared" ca="1" si="413"/>
        <v>7</v>
      </c>
      <c r="R1277" s="10" t="str">
        <f t="shared" ca="1" si="414"/>
        <v>—</v>
      </c>
      <c r="S1277" s="17">
        <f t="shared" ca="1" si="415"/>
        <v>7</v>
      </c>
      <c r="T1277" s="70" t="str">
        <f t="shared" ca="1" si="416"/>
        <v>—</v>
      </c>
      <c r="U1277" s="17">
        <f t="shared" ca="1" si="417"/>
        <v>7</v>
      </c>
      <c r="V1277" s="71" t="str">
        <f t="shared" ca="1" si="418"/>
        <v>—</v>
      </c>
      <c r="W1277" s="17">
        <f t="shared" ca="1" si="419"/>
        <v>7</v>
      </c>
    </row>
    <row r="1278" spans="1:23" x14ac:dyDescent="0.25">
      <c r="A1278" s="4">
        <f t="shared" si="399"/>
        <v>32</v>
      </c>
      <c r="B1278" t="str">
        <f ca="1">TEXT(DATE(YEAR(Invoer!$A$6),1,1)+INT((ROWS(B$2:B1278)-1)/4),"jjjjmmdd")</f>
        <v>19401115</v>
      </c>
      <c r="C1278" s="64" t="str">
        <f>IF(MOD(ROWS(C$2:C1278)-1,4)=3,"24.00",INDEX(Data,3,2+MOD(ROWS(C$2:C1278)-1,4)))</f>
        <v>07.00</v>
      </c>
      <c r="D1278" s="18" t="str">
        <f t="shared" ca="1" si="400"/>
        <v>—</v>
      </c>
      <c r="E1278" s="17">
        <f t="shared" ca="1" si="401"/>
        <v>7</v>
      </c>
      <c r="F1278" s="18" t="str">
        <f t="shared" ca="1" si="402"/>
        <v>—</v>
      </c>
      <c r="G1278" s="17">
        <f t="shared" ca="1" si="403"/>
        <v>7</v>
      </c>
      <c r="H1278" s="18" t="str">
        <f t="shared" ca="1" si="404"/>
        <v>—</v>
      </c>
      <c r="I1278" s="17">
        <f t="shared" ca="1" si="405"/>
        <v>7</v>
      </c>
      <c r="J1278" s="18" t="str">
        <f t="shared" ca="1" si="406"/>
        <v>—</v>
      </c>
      <c r="K1278" s="17">
        <f t="shared" ca="1" si="407"/>
        <v>7</v>
      </c>
      <c r="L1278" s="10" t="str">
        <f t="shared" ca="1" si="408"/>
        <v>—</v>
      </c>
      <c r="M1278" s="17">
        <f t="shared" ca="1" si="409"/>
        <v>7</v>
      </c>
      <c r="N1278" s="18" t="str">
        <f t="shared" ca="1" si="410"/>
        <v>—</v>
      </c>
      <c r="O1278" s="17">
        <f t="shared" ca="1" si="411"/>
        <v>7</v>
      </c>
      <c r="P1278" s="18" t="str">
        <f t="shared" ca="1" si="412"/>
        <v>—</v>
      </c>
      <c r="Q1278" s="17">
        <f t="shared" ca="1" si="413"/>
        <v>7</v>
      </c>
      <c r="R1278" s="10" t="str">
        <f t="shared" ca="1" si="414"/>
        <v>—</v>
      </c>
      <c r="S1278" s="17">
        <f t="shared" ca="1" si="415"/>
        <v>7</v>
      </c>
      <c r="T1278" s="70" t="str">
        <f t="shared" ca="1" si="416"/>
        <v>—</v>
      </c>
      <c r="U1278" s="17">
        <f t="shared" ca="1" si="417"/>
        <v>7</v>
      </c>
      <c r="V1278" s="71" t="str">
        <f t="shared" ca="1" si="418"/>
        <v>—</v>
      </c>
      <c r="W1278" s="17">
        <f t="shared" ca="1" si="419"/>
        <v>7</v>
      </c>
    </row>
    <row r="1279" spans="1:23" x14ac:dyDescent="0.25">
      <c r="A1279" s="4">
        <f t="shared" si="399"/>
        <v>32</v>
      </c>
      <c r="B1279" t="str">
        <f ca="1">TEXT(DATE(YEAR(Invoer!$A$6),1,1)+INT((ROWS(B$2:B1279)-1)/4),"jjjjmmdd")</f>
        <v>19401115</v>
      </c>
      <c r="C1279" s="64" t="str">
        <f>IF(MOD(ROWS(C$2:C1279)-1,4)=3,"24.00",INDEX(Data,3,2+MOD(ROWS(C$2:C1279)-1,4)))</f>
        <v>12.00</v>
      </c>
      <c r="D1279" s="18" t="str">
        <f t="shared" ca="1" si="400"/>
        <v>—</v>
      </c>
      <c r="E1279" s="17">
        <f t="shared" ca="1" si="401"/>
        <v>7</v>
      </c>
      <c r="F1279" s="18" t="str">
        <f t="shared" ca="1" si="402"/>
        <v>—</v>
      </c>
      <c r="G1279" s="17">
        <f t="shared" ca="1" si="403"/>
        <v>7</v>
      </c>
      <c r="H1279" s="18" t="str">
        <f t="shared" ca="1" si="404"/>
        <v>—</v>
      </c>
      <c r="I1279" s="17">
        <f t="shared" ca="1" si="405"/>
        <v>7</v>
      </c>
      <c r="J1279" s="18" t="str">
        <f t="shared" ca="1" si="406"/>
        <v>—</v>
      </c>
      <c r="K1279" s="17">
        <f t="shared" ca="1" si="407"/>
        <v>7</v>
      </c>
      <c r="L1279" s="10" t="str">
        <f t="shared" ca="1" si="408"/>
        <v>—</v>
      </c>
      <c r="M1279" s="17">
        <f t="shared" ca="1" si="409"/>
        <v>7</v>
      </c>
      <c r="N1279" s="18" t="str">
        <f t="shared" ca="1" si="410"/>
        <v>—</v>
      </c>
      <c r="O1279" s="17">
        <f t="shared" ca="1" si="411"/>
        <v>7</v>
      </c>
      <c r="P1279" s="18" t="str">
        <f t="shared" ca="1" si="412"/>
        <v>—</v>
      </c>
      <c r="Q1279" s="17">
        <f t="shared" ca="1" si="413"/>
        <v>7</v>
      </c>
      <c r="R1279" s="10" t="str">
        <f t="shared" ca="1" si="414"/>
        <v>—</v>
      </c>
      <c r="S1279" s="17">
        <f t="shared" ca="1" si="415"/>
        <v>7</v>
      </c>
      <c r="T1279" s="70" t="str">
        <f t="shared" ca="1" si="416"/>
        <v>—</v>
      </c>
      <c r="U1279" s="17">
        <f t="shared" ca="1" si="417"/>
        <v>7</v>
      </c>
      <c r="V1279" s="71" t="str">
        <f t="shared" ca="1" si="418"/>
        <v>—</v>
      </c>
      <c r="W1279" s="17">
        <f t="shared" ca="1" si="419"/>
        <v>7</v>
      </c>
    </row>
    <row r="1280" spans="1:23" x14ac:dyDescent="0.25">
      <c r="A1280" s="4">
        <f t="shared" si="399"/>
        <v>32</v>
      </c>
      <c r="B1280" t="str">
        <f ca="1">TEXT(DATE(YEAR(Invoer!$A$6),1,1)+INT((ROWS(B$2:B1280)-1)/4),"jjjjmmdd")</f>
        <v>19401115</v>
      </c>
      <c r="C1280" s="64" t="str">
        <f>IF(MOD(ROWS(C$2:C1280)-1,4)=3,"24.00",INDEX(Data,3,2+MOD(ROWS(C$2:C1280)-1,4)))</f>
        <v>17.00</v>
      </c>
      <c r="D1280" s="18" t="str">
        <f t="shared" ca="1" si="400"/>
        <v>—</v>
      </c>
      <c r="E1280" s="17">
        <f t="shared" ca="1" si="401"/>
        <v>7</v>
      </c>
      <c r="F1280" s="18" t="str">
        <f t="shared" ca="1" si="402"/>
        <v>—</v>
      </c>
      <c r="G1280" s="17">
        <f t="shared" ca="1" si="403"/>
        <v>7</v>
      </c>
      <c r="H1280" s="18" t="str">
        <f t="shared" ca="1" si="404"/>
        <v>—</v>
      </c>
      <c r="I1280" s="17">
        <f t="shared" ca="1" si="405"/>
        <v>7</v>
      </c>
      <c r="J1280" s="18" t="str">
        <f t="shared" ca="1" si="406"/>
        <v>—</v>
      </c>
      <c r="K1280" s="17">
        <f t="shared" ca="1" si="407"/>
        <v>7</v>
      </c>
      <c r="L1280" s="10" t="str">
        <f t="shared" ca="1" si="408"/>
        <v>—</v>
      </c>
      <c r="M1280" s="17">
        <f t="shared" ca="1" si="409"/>
        <v>7</v>
      </c>
      <c r="N1280" s="18" t="str">
        <f t="shared" ca="1" si="410"/>
        <v>—</v>
      </c>
      <c r="O1280" s="17">
        <f t="shared" ca="1" si="411"/>
        <v>7</v>
      </c>
      <c r="P1280" s="18" t="str">
        <f t="shared" ca="1" si="412"/>
        <v>—</v>
      </c>
      <c r="Q1280" s="17">
        <f t="shared" ca="1" si="413"/>
        <v>7</v>
      </c>
      <c r="R1280" s="10" t="str">
        <f t="shared" ca="1" si="414"/>
        <v>—</v>
      </c>
      <c r="S1280" s="17">
        <f t="shared" ca="1" si="415"/>
        <v>7</v>
      </c>
      <c r="T1280" s="70" t="str">
        <f t="shared" ca="1" si="416"/>
        <v>—</v>
      </c>
      <c r="U1280" s="17">
        <f t="shared" ca="1" si="417"/>
        <v>7</v>
      </c>
      <c r="V1280" s="71" t="str">
        <f t="shared" ca="1" si="418"/>
        <v>—</v>
      </c>
      <c r="W1280" s="17">
        <f t="shared" ca="1" si="419"/>
        <v>7</v>
      </c>
    </row>
    <row r="1281" spans="1:23" x14ac:dyDescent="0.25">
      <c r="A1281" s="4">
        <f t="shared" si="399"/>
        <v>32</v>
      </c>
      <c r="B1281" t="str">
        <f ca="1">TEXT(DATE(YEAR(Invoer!$A$6),1,1)+INT((ROWS(B$2:B1281)-1)/4),"jjjjmmdd")</f>
        <v>19401115</v>
      </c>
      <c r="C1281" s="64" t="str">
        <f>IF(MOD(ROWS(C$2:C1281)-1,4)=3,"24.00",INDEX(Data,3,2+MOD(ROWS(C$2:C1281)-1,4)))</f>
        <v>24.00</v>
      </c>
      <c r="D1281" s="18" t="str">
        <f t="shared" ca="1" si="400"/>
        <v>—</v>
      </c>
      <c r="E1281" s="17">
        <f t="shared" ca="1" si="401"/>
        <v>7</v>
      </c>
      <c r="F1281" s="18" t="str">
        <f t="shared" ca="1" si="402"/>
        <v>—</v>
      </c>
      <c r="G1281" s="17">
        <f t="shared" ca="1" si="403"/>
        <v>7</v>
      </c>
      <c r="H1281" s="18" t="str">
        <f t="shared" ca="1" si="404"/>
        <v>—</v>
      </c>
      <c r="I1281" s="17">
        <f t="shared" ca="1" si="405"/>
        <v>7</v>
      </c>
      <c r="J1281" s="18" t="str">
        <f t="shared" ca="1" si="406"/>
        <v>—</v>
      </c>
      <c r="K1281" s="17">
        <f t="shared" ca="1" si="407"/>
        <v>7</v>
      </c>
      <c r="L1281" s="10" t="str">
        <f t="shared" ca="1" si="408"/>
        <v>—</v>
      </c>
      <c r="M1281" s="17">
        <f t="shared" ca="1" si="409"/>
        <v>7</v>
      </c>
      <c r="N1281" s="18" t="str">
        <f t="shared" ca="1" si="410"/>
        <v>—</v>
      </c>
      <c r="O1281" s="17">
        <f t="shared" ca="1" si="411"/>
        <v>7</v>
      </c>
      <c r="P1281" s="18" t="str">
        <f t="shared" ca="1" si="412"/>
        <v>—</v>
      </c>
      <c r="Q1281" s="17">
        <f t="shared" ca="1" si="413"/>
        <v>7</v>
      </c>
      <c r="R1281" s="10" t="str">
        <f t="shared" ca="1" si="414"/>
        <v>—</v>
      </c>
      <c r="S1281" s="17">
        <f t="shared" ca="1" si="415"/>
        <v>7</v>
      </c>
      <c r="T1281" s="70" t="str">
        <f t="shared" ca="1" si="416"/>
        <v>—</v>
      </c>
      <c r="U1281" s="17">
        <f t="shared" ca="1" si="417"/>
        <v>7</v>
      </c>
      <c r="V1281" s="71" t="str">
        <f t="shared" ca="1" si="418"/>
        <v>—</v>
      </c>
      <c r="W1281" s="17">
        <f t="shared" ca="1" si="419"/>
        <v>7</v>
      </c>
    </row>
    <row r="1282" spans="1:23" x14ac:dyDescent="0.25">
      <c r="A1282" s="4">
        <f t="shared" ref="A1282:A1345" si="420">INDEX(Stations,2,1)</f>
        <v>32</v>
      </c>
      <c r="B1282" t="str">
        <f ca="1">TEXT(DATE(YEAR(Invoer!$A$6),1,1)+INT((ROWS(B$2:B1282)-1)/4),"jjjjmmdd")</f>
        <v>19401116</v>
      </c>
      <c r="C1282" s="64" t="str">
        <f>IF(MOD(ROWS(C$2:C1282)-1,4)=3,"24.00",INDEX(Data,3,2+MOD(ROWS(C$2:C1282)-1,4)))</f>
        <v>07.00</v>
      </c>
      <c r="D1282" s="18" t="str">
        <f t="shared" ref="D1282:D1345" ca="1" si="421">IF(OR(ISBLANK(VLOOKUP(DATEVALUE(LEFT($B1282,4)&amp;"-"&amp;MID($B1282,5,2)&amp;"-"&amp;RIGHT($B1282,2)),Data,MATCH(LEFT(VLOOKUP(D$1,Parameters,2,FALSE()),4)&amp;"*",OFFSET(Data,0,0,1),0)+MATCH($C1282,OFFSET(Data,2,0,1),0)-2,FALSE())),ISTEXT(VLOOKUP(DATEVALUE(LEFT($B1282,4)&amp;"-"&amp;MID($B1282,5,2)&amp;"-"&amp;RIGHT($B1282,2)),Data,MATCH(LEFT(VLOOKUP(D$1,Parameters,2,FALSE()),4)&amp;"*",OFFSET(Data,0,0,1),0)+MATCH($C1282,OFFSET(Data,2,0,1),0)-2,FALSE())),EXACT($C1282,"24.00")),"—",VLOOKUP(DATEVALUE(LEFT($B1282,4)&amp;"-"&amp;MID($B1282,5,2)&amp;"-"&amp;RIGHT($B1282,2)),Data,MATCH(LEFT(VLOOKUP(D$1,Parameters,2,FALSE()),4)&amp;"*",OFFSET(Data,0,0,1),0)+MATCH($C1282,OFFSET(Data,2,0,1),0)-2,FALSE())/10)</f>
        <v>—</v>
      </c>
      <c r="E1282" s="17">
        <f t="shared" ref="E1282:E1345" ca="1" si="422">IF(OR(ISBLANK(VLOOKUP(DATEVALUE(LEFT($B1282,4)&amp;"-"&amp;MID($B1282,5,2)&amp;"-"&amp;RIGHT($B1282,2)),Data,MATCH(LEFT(VLOOKUP(MID(E$1,2,LEN(E$1)-1),Parameters,2,FALSE()),4)&amp;"*",OFFSET(Data,0,0,1),0)+MATCH($C1282,OFFSET(Data,2,0,1),0)-2,FALSE())),ISTEXT(VLOOKUP(DATEVALUE(LEFT($B1282,4)&amp;"-"&amp;MID($B1282,5,2)&amp;"-"&amp;RIGHT($B1282,2)),Data,MATCH(LEFT(VLOOKUP(MID(E$1,2,LEN(E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Data,2,0,1),0)-2,FALSE())))</f>
        <v>7</v>
      </c>
      <c r="F1282" s="18" t="str">
        <f t="shared" ref="F1282:F1345" ca="1" si="423">IF(OR(ISBLANK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ISTEXT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EXACT($C1282,"24.00")),"—",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/10)</f>
        <v>—</v>
      </c>
      <c r="G1282" s="17">
        <f t="shared" ref="G1282:G1345" ca="1" si="424">IF(OR(ISBLANK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ISTEXT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G$1,2,LEN(G$1)-1),Parameters,2,FALSE()),FIND(LOWER(MID(G$1,2,1)),VLOOKUP(MID(G$1,2,LEN(G$1)-1),Parameters,2,FALSE()),5),4)&amp;"*",OFFSET(Catalogus,0,0,1),0)+2*MATCH($C1282,OFFSET(Catalogus,2,0,1),0)+MATCH(LEFT(VLOOKUP(MID(G$1,2,LEN(G$1)-1),Parameters,2,FALSE()),3)&amp;"*",OFFSET(Catalogus,2,4,1),0)-5,FALSE())))</f>
        <v>7</v>
      </c>
      <c r="H1282" s="18" t="str">
        <f t="shared" ref="H1282:H1345" ca="1" si="425">IF(OR(ISBLANK(VLOOKUP(DATEVALUE(LEFT($B1282,4)&amp;"-"&amp;MID($B1282,5,2)&amp;"-"&amp;RIGHT($B1282,2)),Data,MATCH(LEFT(VLOOKUP(H$1,Parameters,2,FALSE()),4)&amp;"*",OFFSET(Data,1,0,1),0),FALSE())),ISTEXT(VLOOKUP(DATEVALUE(LEFT($B1282,4)&amp;"-"&amp;MID($B1282,5,2)&amp;"-"&amp;RIGHT($B1282,2)),Data,MATCH(LEFT(VLOOKUP(H$1,Parameters,2,FALSE()),4)&amp;"*",OFFSET(Data,1,0,1),0),FALSE())),NOT(EXACT($C1282,"24.00"))),"—",VLOOKUP(DATEVALUE(LEFT($B1282,4)&amp;"-"&amp;MID($B1282,5,2)&amp;"-"&amp;RIGHT($B1282,2)),Data,MATCH(LEFT(VLOOKUP(H$1,Parameters,2,FALSE()),4)&amp;"*",OFFSET(Data,1,0,1),0),FALSE())/10)</f>
        <v>—</v>
      </c>
      <c r="I1282" s="17">
        <f t="shared" ref="I1282:I1345" ca="1" si="426">IF(OR(ISBLANK(VLOOKUP(DATEVALUE(LEFT($B1282,4)&amp;"-"&amp;MID($B1282,5,2)&amp;"-"&amp;RIGHT($B1282,2)),Data,MATCH(LEFT(VLOOKUP(MID(I$1,2,LEN(I$1)-1),Parameters,2,FALSE()),4)&amp;"*",OFFSET(Data,1,0,1),0),FALSE())),ISTEXT(VLOOKUP(DATEVALUE(LEFT($B1282,4)&amp;"-"&amp;MID($B1282,5,2)&amp;"-"&amp;RIGHT($B1282,2)),Data,MATCH(LEFT(VLOOKUP(MID(I$1,2,LEN(I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I$1,2,LEN(I$1)-1),Parameters,2,FALSE()),4)&amp;"*",OFFSET(Catalogus,1,0,1),0),FALSE())))</f>
        <v>7</v>
      </c>
      <c r="J1282" s="18" t="str">
        <f t="shared" ref="J1282:J1345" ca="1" si="427">IF(OR(ISBLANK(VLOOKUP(DATEVALUE(LEFT($B1282,4)&amp;"-"&amp;MID($B1282,5,2)&amp;"-"&amp;RIGHT($B1282,2)),Data,MATCH(LEFT(VLOOKUP(J$1,Parameters,2,FALSE()),4)&amp;"*",OFFSET(Data,1,0,1),0),FALSE())),ISTEXT(VLOOKUP(DATEVALUE(LEFT($B1282,4)&amp;"-"&amp;MID($B1282,5,2)&amp;"-"&amp;RIGHT($B1282,2)),Data,MATCH(LEFT(VLOOKUP(J$1,Parameters,2,FALSE()),4)&amp;"*",OFFSET(Data,1,0,1),0),FALSE())),NOT(EXACT($C1282,"24.00"))),"—",VLOOKUP(DATEVALUE(LEFT($B1282,4)&amp;"-"&amp;MID($B1282,5,2)&amp;"-"&amp;RIGHT($B1282,2)),Data,MATCH(LEFT(VLOOKUP(J$1,Parameters,2,FALSE()),4)&amp;"*",OFFSET(Data,1,0,1),0),FALSE())/10)</f>
        <v>—</v>
      </c>
      <c r="K1282" s="17">
        <f t="shared" ref="K1282:K1345" ca="1" si="428">IF(OR(ISBLANK(VLOOKUP(DATEVALUE(LEFT($B1282,4)&amp;"-"&amp;MID($B1282,5,2)&amp;"-"&amp;RIGHT($B1282,2)),Data,MATCH(LEFT(VLOOKUP(MID(K$1,2,LEN(K$1)-1),Parameters,2,FALSE()),4)&amp;"*",OFFSET(Data,1,0,1),0),FALSE())),ISTEXT(VLOOKUP(DATEVALUE(LEFT($B1282,4)&amp;"-"&amp;MID($B1282,5,2)&amp;"-"&amp;RIGHT($B1282,2)),Data,MATCH(LEFT(VLOOKUP(MID(K$1,2,LEN(K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K$1,2,LEN(K$1)-1),Parameters,2,FALSE()),4)&amp;"*",OFFSET(Catalogus,1,0,1),0),FALSE())))</f>
        <v>7</v>
      </c>
      <c r="L1282" s="10" t="str">
        <f t="shared" ref="L1282:L1345" ca="1" si="429">IF(OR(ISBLANK(VLOOKUP(DATEVALUE(LEFT($B1282,4)&amp;"-"&amp;MID($B1282,5,2)&amp;"-"&amp;RIGHT($B1282,2)),Data,MATCH(LEFT(VLOOKUP(L$1,Parameters,2,FALSE()),4)&amp;"*",OFFSET(Data,0,0,1),0)+MATCH($C1282,OFFSET(Data,2,0,1),0)-2,FALSE())),ISTEXT(VLOOKUP(DATEVALUE(LEFT($B1282,4)&amp;"-"&amp;MID($B1282,5,2)&amp;"-"&amp;RIGHT($B1282,2)),Data,MATCH(LEFT(VLOOKUP(L$1,Parameters,2,FALSE()),4)&amp;"*",OFFSET(Data,0,0,1),0)+MATCH($C1282,OFFSET(Data,2,0,1),0)-2,FALSE())),EXACT($C1282,"24.00")),"—",VLOOKUP(DATEVALUE(LEFT($B1282,4)&amp;"-"&amp;MID($B1282,5,2)&amp;"-"&amp;RIGHT($B1282,2)),Data,MATCH(LEFT(VLOOKUP(L$1,Parameters,2,FALSE()),4)&amp;"*",OFFSET(Data,0,0,1),0)+MATCH($C1282,OFFSET(Data,2,0,1),0)-2,FALSE()))</f>
        <v>—</v>
      </c>
      <c r="M1282" s="17">
        <f t="shared" ref="M1282:M1345" ca="1" si="430">IF(OR(ISBLANK(VLOOKUP(DATEVALUE(LEFT($B1282,4)&amp;"-"&amp;MID($B1282,5,2)&amp;"-"&amp;RIGHT($B1282,2)),Data,MATCH(LEFT(VLOOKUP(MID(M$1,2,LEN(M$1)-1),Parameters,2,FALSE()),4)&amp;"*",OFFSET(Data,0,0,1),0)+MATCH($C1282,OFFSET(Data,2,0,1),0)-2,FALSE())),ISTEXT(VLOOKUP(DATEVALUE(LEFT($B1282,4)&amp;"-"&amp;MID($B1282,5,2)&amp;"-"&amp;RIGHT($B1282,2)),Data,MATCH(LEFT(VLOOKUP(MID(M$1,2,LEN(M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M$1,2,LEN(M$1)-1),Parameters,2,FALSE()),4)&amp;"*",OFFSET(Catalogus,0,0,1),0)+MATCH($C1282,OFFSET(Data,2,0,1),0)-2,FALSE())))</f>
        <v>7</v>
      </c>
      <c r="N1282" s="18" t="str">
        <f t="shared" ref="N1282:N1345" ca="1" si="431">IF(OR(ISBLANK(VLOOKUP(DATEVALUE(LEFT($B1282,4)&amp;"-"&amp;MID($B1282,5,2)&amp;"-"&amp;RIGHT($B1282,2)),Data,MATCH(LEFT(VLOOKUP(N$1,Parameters,2,FALSE()),4)&amp;"*",OFFSET(Data,0,0,1),0)+MATCH($C1282,OFFSET(Data,2,0,1),0)-2,FALSE())),ISTEXT(VLOOKUP(DATEVALUE(LEFT($B1282,4)&amp;"-"&amp;MID($B1282,5,2)&amp;"-"&amp;RIGHT($B1282,2)),Data,MATCH(LEFT(VLOOKUP(N$1,Parameters,2,FALSE()),4)&amp;"*",OFFSET(Data,0,0,1),0)+MATCH($C1282,OFFSET(Data,2,0,1),0)-2,FALSE())),EXACT($C1282,"24.00")),"—",VLOOKUP(DATEVALUE(LEFT($B1282,4)&amp;"-"&amp;MID($B1282,5,2)&amp;"-"&amp;RIGHT($B1282,2)),Data,MATCH(LEFT(VLOOKUP(N$1,Parameters,2,FALSE()),4)&amp;"*",OFFSET(Data,0,0,1),0)+MATCH($C1282,OFFSET(Data,2,0,1),0)-2,FALSE())/10)</f>
        <v>—</v>
      </c>
      <c r="O1282" s="17">
        <f t="shared" ref="O1282:O1345" ca="1" si="432">IF(OR(ISBLANK(VLOOKUP(DATEVALUE(LEFT($B1282,4)&amp;"-"&amp;MID($B1282,5,2)&amp;"-"&amp;RIGHT($B1282,2)),Data,MATCH(LEFT(VLOOKUP(MID(O$1,2,LEN(O$1)-1),Parameters,2,FALSE()),4)&amp;"*",OFFSET(Data,0,0,1),0)+MATCH($C1282,OFFSET(Data,2,0,1),0)-2,FALSE())),ISTEXT(VLOOKUP(DATEVALUE(LEFT($B1282,4)&amp;"-"&amp;MID($B1282,5,2)&amp;"-"&amp;RIGHT($B1282,2)),Data,MATCH(LEFT(VLOOKUP(MID(O$1,2,LEN(O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O$1,2,LEN(O$1)-1),Parameters,2,FALSE()),4)&amp;"*",OFFSET(Catalogus,0,0,1),0)+MATCH($C1282,OFFSET(Data,2,0,1),0)-2,FALSE())))</f>
        <v>7</v>
      </c>
      <c r="P1282" s="18" t="str">
        <f t="shared" ref="P1282:P1345" ca="1" si="433">IF(OR(ISBLANK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ISTEXT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EXACT($C1282,"24.00")),"—",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/10)</f>
        <v>—</v>
      </c>
      <c r="Q1282" s="17">
        <f t="shared" ref="Q1282:Q1345" ca="1" si="434">IF(OR(ISBLANK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ISTEXT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Q$1,2,LEN(Q$1)-1),Parameters,2,FALSE()),FIND(LOWER(MID(Q$1,2,1)),VLOOKUP(MID(Q$1,2,LEN(Q$1)-1),Parameters,2,FALSE()),5),4)&amp;"*",OFFSET(Catalogus,0,0,1),0)+2*MATCH($C1282,OFFSET(Catalogus,2,0,1),0)+MATCH(LEFT(VLOOKUP(MID(Q$1,2,LEN(Q$1)-1),Parameters,2,FALSE()),3)&amp;"*",OFFSET(Catalogus,2,4,1),0)-5,FALSE())))</f>
        <v>7</v>
      </c>
      <c r="R1282" s="10" t="str">
        <f t="shared" ref="R1282:R1345" ca="1" si="435">IF(OR(ISBLANK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),ISNA(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1,1,,1),0)),EXACT($C1282,"24.00")),"—",INDEX(Windrichting,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0,1,,1),0),1))</f>
        <v>—</v>
      </c>
      <c r="S1282" s="17">
        <f t="shared" ref="S1282:S1345" ca="1" si="436">IF(OR(ISBLANK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),ISNA(MATCH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,OFFSET(Windrichting,1,1,,1),0)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S$1,2,LEN(S$1)-1),Parameters,2,FALSE()),4)&amp;"*",OFFSET(Catalogus,0,0,1),0)+2*MATCH($C1282,OFFSET(Catalogus,2,0,1),0)+MATCH(MID(VLOOKUP(MID(S$1,2,LEN(S$1)-1),Parameters,2,FALSE()),5,LEN(VLOOKUP(MID(S$1,2,LEN(S$1)-1),Parameters,2,FALSE()))-4)&amp;"*",OFFSET(Catalogus,2,19,1),0)-5,FALSE())))</f>
        <v>7</v>
      </c>
      <c r="T1282" s="70" t="str">
        <f t="shared" ref="T1282:T1345" ca="1" si="437">IF(OR(ISBLANK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ISTEXT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EXACT($C1282,"24.00")),"—",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/10)</f>
        <v>—</v>
      </c>
      <c r="U1282" s="17">
        <f t="shared" ref="U1282:U1345" ca="1" si="438">IF(OR(ISBLANK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ISTEXT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U$1,2,LEN(U$1)-1),Parameters,2,FALSE()),4)&amp;"*",OFFSET(Catalogus,0,0,1),0)+2*MATCH($C1282,OFFSET(Catalogus,2,0,1),0)+MATCH(MID(VLOOKUP(MID(U$1,2,LEN(U$1)-1),Parameters,2,FALSE()),5,LEN(VLOOKUP(MID(U$1,2,LEN(U$1)-1),Parameters,2,FALSE()))-4)&amp;"*",OFFSET(Catalogus,2,19,1),0)-5,FALSE())))</f>
        <v>7</v>
      </c>
      <c r="V1282" s="71" t="str">
        <f t="shared" ref="V1282:V1345" ca="1" si="439">IF(OR(ISBLANK(VLOOKUP(DATEVALUE(LEFT($B1282,4)&amp;"-"&amp;MID($B1282,5,2)&amp;"-"&amp;RIGHT($B1282,2)),Data,MATCH(LEFT(VLOOKUP(V$1,Parameters,2,FALSE()),4)&amp;"*",OFFSET(Data,0,0,1),0)+MATCH($C1282,OFFSET(Data,2,0,1),0)-2,FALSE())),ISTEXT(VLOOKUP(DATEVALUE(LEFT($B1282,4)&amp;"-"&amp;MID($B1282,5,2)&amp;"-"&amp;RIGHT($B1282,2)),Data,MATCH(LEFT(VLOOKUP(V$1,Parameters,2,FALSE()),4)&amp;"*",OFFSET(Data,0,0,1),0)+MATCH($C1282,OFFSET(Data,2,0,1),0)-2,FALSE())),EXACT($C1282,"24.00")),"—",VLOOKUP(DATEVALUE(LEFT($B1282,4)&amp;"-"&amp;MID($B1282,5,2)&amp;"-"&amp;RIGHT($B1282,2)),Data,MATCH(LEFT(VLOOKUP(V$1,Parameters,2,FALSE()),4)&amp;"*",OFFSET(Data,0,0,1),0)+MATCH($C1282,OFFSET(Data,2,0,1),0)-2,FALSE()))</f>
        <v>—</v>
      </c>
      <c r="W1282" s="17">
        <f t="shared" ref="W1282:W1345" ca="1" si="440">IF(OR(ISBLANK(VLOOKUP(DATEVALUE(LEFT($B1282,4)&amp;"-"&amp;MID($B1282,5,2)&amp;"-"&amp;RIGHT($B1282,2)),Data,MATCH(LEFT(VLOOKUP(MID(W$1,2,LEN(W$1)-1),Parameters,2,FALSE()),4)&amp;"*",OFFSET(Data,0,0,1),0)+MATCH($C1282,OFFSET(Data,2,0,1),0)-2,FALSE())),ISTEXT(VLOOKUP(DATEVALUE(LEFT($B1282,4)&amp;"-"&amp;MID($B1282,5,2)&amp;"-"&amp;RIGHT($B1282,2)),Data,MATCH(LEFT(VLOOKUP(MID(W$1,2,LEN(W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W$1,2,LEN(W$1)-1),Parameters,2,FALSE()),4)&amp;"*",OFFSET(Catalogus,0,0,1),0)+MATCH($C1282,OFFSET(Data,2,0,1),0)-2,FALSE())))</f>
        <v>7</v>
      </c>
    </row>
    <row r="1283" spans="1:23" x14ac:dyDescent="0.25">
      <c r="A1283" s="4">
        <f t="shared" si="420"/>
        <v>32</v>
      </c>
      <c r="B1283" t="str">
        <f ca="1">TEXT(DATE(YEAR(Invoer!$A$6),1,1)+INT((ROWS(B$2:B1283)-1)/4),"jjjjmmdd")</f>
        <v>19401116</v>
      </c>
      <c r="C1283" s="64" t="str">
        <f>IF(MOD(ROWS(C$2:C1283)-1,4)=3,"24.00",INDEX(Data,3,2+MOD(ROWS(C$2:C1283)-1,4)))</f>
        <v>12.00</v>
      </c>
      <c r="D1283" s="18" t="str">
        <f t="shared" ca="1" si="421"/>
        <v>—</v>
      </c>
      <c r="E1283" s="17">
        <f t="shared" ca="1" si="422"/>
        <v>7</v>
      </c>
      <c r="F1283" s="18" t="str">
        <f t="shared" ca="1" si="423"/>
        <v>—</v>
      </c>
      <c r="G1283" s="17">
        <f t="shared" ca="1" si="424"/>
        <v>7</v>
      </c>
      <c r="H1283" s="18" t="str">
        <f t="shared" ca="1" si="425"/>
        <v>—</v>
      </c>
      <c r="I1283" s="17">
        <f t="shared" ca="1" si="426"/>
        <v>7</v>
      </c>
      <c r="J1283" s="18" t="str">
        <f t="shared" ca="1" si="427"/>
        <v>—</v>
      </c>
      <c r="K1283" s="17">
        <f t="shared" ca="1" si="428"/>
        <v>7</v>
      </c>
      <c r="L1283" s="10" t="str">
        <f t="shared" ca="1" si="429"/>
        <v>—</v>
      </c>
      <c r="M1283" s="17">
        <f t="shared" ca="1" si="430"/>
        <v>7</v>
      </c>
      <c r="N1283" s="18" t="str">
        <f t="shared" ca="1" si="431"/>
        <v>—</v>
      </c>
      <c r="O1283" s="17">
        <f t="shared" ca="1" si="432"/>
        <v>7</v>
      </c>
      <c r="P1283" s="18" t="str">
        <f t="shared" ca="1" si="433"/>
        <v>—</v>
      </c>
      <c r="Q1283" s="17">
        <f t="shared" ca="1" si="434"/>
        <v>7</v>
      </c>
      <c r="R1283" s="10" t="str">
        <f t="shared" ca="1" si="435"/>
        <v>—</v>
      </c>
      <c r="S1283" s="17">
        <f t="shared" ca="1" si="436"/>
        <v>7</v>
      </c>
      <c r="T1283" s="70" t="str">
        <f t="shared" ca="1" si="437"/>
        <v>—</v>
      </c>
      <c r="U1283" s="17">
        <f t="shared" ca="1" si="438"/>
        <v>7</v>
      </c>
      <c r="V1283" s="71" t="str">
        <f t="shared" ca="1" si="439"/>
        <v>—</v>
      </c>
      <c r="W1283" s="17">
        <f t="shared" ca="1" si="440"/>
        <v>7</v>
      </c>
    </row>
    <row r="1284" spans="1:23" x14ac:dyDescent="0.25">
      <c r="A1284" s="4">
        <f t="shared" si="420"/>
        <v>32</v>
      </c>
      <c r="B1284" t="str">
        <f ca="1">TEXT(DATE(YEAR(Invoer!$A$6),1,1)+INT((ROWS(B$2:B1284)-1)/4),"jjjjmmdd")</f>
        <v>19401116</v>
      </c>
      <c r="C1284" s="64" t="str">
        <f>IF(MOD(ROWS(C$2:C1284)-1,4)=3,"24.00",INDEX(Data,3,2+MOD(ROWS(C$2:C1284)-1,4)))</f>
        <v>17.00</v>
      </c>
      <c r="D1284" s="18" t="str">
        <f t="shared" ca="1" si="421"/>
        <v>—</v>
      </c>
      <c r="E1284" s="17">
        <f t="shared" ca="1" si="422"/>
        <v>7</v>
      </c>
      <c r="F1284" s="18" t="str">
        <f t="shared" ca="1" si="423"/>
        <v>—</v>
      </c>
      <c r="G1284" s="17">
        <f t="shared" ca="1" si="424"/>
        <v>7</v>
      </c>
      <c r="H1284" s="18" t="str">
        <f t="shared" ca="1" si="425"/>
        <v>—</v>
      </c>
      <c r="I1284" s="17">
        <f t="shared" ca="1" si="426"/>
        <v>7</v>
      </c>
      <c r="J1284" s="18" t="str">
        <f t="shared" ca="1" si="427"/>
        <v>—</v>
      </c>
      <c r="K1284" s="17">
        <f t="shared" ca="1" si="428"/>
        <v>7</v>
      </c>
      <c r="L1284" s="10" t="str">
        <f t="shared" ca="1" si="429"/>
        <v>—</v>
      </c>
      <c r="M1284" s="17">
        <f t="shared" ca="1" si="430"/>
        <v>7</v>
      </c>
      <c r="N1284" s="18" t="str">
        <f t="shared" ca="1" si="431"/>
        <v>—</v>
      </c>
      <c r="O1284" s="17">
        <f t="shared" ca="1" si="432"/>
        <v>7</v>
      </c>
      <c r="P1284" s="18" t="str">
        <f t="shared" ca="1" si="433"/>
        <v>—</v>
      </c>
      <c r="Q1284" s="17">
        <f t="shared" ca="1" si="434"/>
        <v>7</v>
      </c>
      <c r="R1284" s="10" t="str">
        <f t="shared" ca="1" si="435"/>
        <v>—</v>
      </c>
      <c r="S1284" s="17">
        <f t="shared" ca="1" si="436"/>
        <v>7</v>
      </c>
      <c r="T1284" s="70" t="str">
        <f t="shared" ca="1" si="437"/>
        <v>—</v>
      </c>
      <c r="U1284" s="17">
        <f t="shared" ca="1" si="438"/>
        <v>7</v>
      </c>
      <c r="V1284" s="71" t="str">
        <f t="shared" ca="1" si="439"/>
        <v>—</v>
      </c>
      <c r="W1284" s="17">
        <f t="shared" ca="1" si="440"/>
        <v>7</v>
      </c>
    </row>
    <row r="1285" spans="1:23" x14ac:dyDescent="0.25">
      <c r="A1285" s="4">
        <f t="shared" si="420"/>
        <v>32</v>
      </c>
      <c r="B1285" t="str">
        <f ca="1">TEXT(DATE(YEAR(Invoer!$A$6),1,1)+INT((ROWS(B$2:B1285)-1)/4),"jjjjmmdd")</f>
        <v>19401116</v>
      </c>
      <c r="C1285" s="64" t="str">
        <f>IF(MOD(ROWS(C$2:C1285)-1,4)=3,"24.00",INDEX(Data,3,2+MOD(ROWS(C$2:C1285)-1,4)))</f>
        <v>24.00</v>
      </c>
      <c r="D1285" s="18" t="str">
        <f t="shared" ca="1" si="421"/>
        <v>—</v>
      </c>
      <c r="E1285" s="17">
        <f t="shared" ca="1" si="422"/>
        <v>7</v>
      </c>
      <c r="F1285" s="18" t="str">
        <f t="shared" ca="1" si="423"/>
        <v>—</v>
      </c>
      <c r="G1285" s="17">
        <f t="shared" ca="1" si="424"/>
        <v>7</v>
      </c>
      <c r="H1285" s="18" t="str">
        <f t="shared" ca="1" si="425"/>
        <v>—</v>
      </c>
      <c r="I1285" s="17">
        <f t="shared" ca="1" si="426"/>
        <v>7</v>
      </c>
      <c r="J1285" s="18" t="str">
        <f t="shared" ca="1" si="427"/>
        <v>—</v>
      </c>
      <c r="K1285" s="17">
        <f t="shared" ca="1" si="428"/>
        <v>7</v>
      </c>
      <c r="L1285" s="10" t="str">
        <f t="shared" ca="1" si="429"/>
        <v>—</v>
      </c>
      <c r="M1285" s="17">
        <f t="shared" ca="1" si="430"/>
        <v>7</v>
      </c>
      <c r="N1285" s="18" t="str">
        <f t="shared" ca="1" si="431"/>
        <v>—</v>
      </c>
      <c r="O1285" s="17">
        <f t="shared" ca="1" si="432"/>
        <v>7</v>
      </c>
      <c r="P1285" s="18" t="str">
        <f t="shared" ca="1" si="433"/>
        <v>—</v>
      </c>
      <c r="Q1285" s="17">
        <f t="shared" ca="1" si="434"/>
        <v>7</v>
      </c>
      <c r="R1285" s="10" t="str">
        <f t="shared" ca="1" si="435"/>
        <v>—</v>
      </c>
      <c r="S1285" s="17">
        <f t="shared" ca="1" si="436"/>
        <v>7</v>
      </c>
      <c r="T1285" s="70" t="str">
        <f t="shared" ca="1" si="437"/>
        <v>—</v>
      </c>
      <c r="U1285" s="17">
        <f t="shared" ca="1" si="438"/>
        <v>7</v>
      </c>
      <c r="V1285" s="71" t="str">
        <f t="shared" ca="1" si="439"/>
        <v>—</v>
      </c>
      <c r="W1285" s="17">
        <f t="shared" ca="1" si="440"/>
        <v>7</v>
      </c>
    </row>
    <row r="1286" spans="1:23" x14ac:dyDescent="0.25">
      <c r="A1286" s="4">
        <f t="shared" si="420"/>
        <v>32</v>
      </c>
      <c r="B1286" t="str">
        <f ca="1">TEXT(DATE(YEAR(Invoer!$A$6),1,1)+INT((ROWS(B$2:B1286)-1)/4),"jjjjmmdd")</f>
        <v>19401117</v>
      </c>
      <c r="C1286" s="64" t="str">
        <f>IF(MOD(ROWS(C$2:C1286)-1,4)=3,"24.00",INDEX(Data,3,2+MOD(ROWS(C$2:C1286)-1,4)))</f>
        <v>07.00</v>
      </c>
      <c r="D1286" s="18" t="str">
        <f t="shared" ca="1" si="421"/>
        <v>—</v>
      </c>
      <c r="E1286" s="17">
        <f t="shared" ca="1" si="422"/>
        <v>7</v>
      </c>
      <c r="F1286" s="18" t="str">
        <f t="shared" ca="1" si="423"/>
        <v>—</v>
      </c>
      <c r="G1286" s="17">
        <f t="shared" ca="1" si="424"/>
        <v>7</v>
      </c>
      <c r="H1286" s="18" t="str">
        <f t="shared" ca="1" si="425"/>
        <v>—</v>
      </c>
      <c r="I1286" s="17">
        <f t="shared" ca="1" si="426"/>
        <v>7</v>
      </c>
      <c r="J1286" s="18" t="str">
        <f t="shared" ca="1" si="427"/>
        <v>—</v>
      </c>
      <c r="K1286" s="17">
        <f t="shared" ca="1" si="428"/>
        <v>7</v>
      </c>
      <c r="L1286" s="10" t="str">
        <f t="shared" ca="1" si="429"/>
        <v>—</v>
      </c>
      <c r="M1286" s="17">
        <f t="shared" ca="1" si="430"/>
        <v>7</v>
      </c>
      <c r="N1286" s="18" t="str">
        <f t="shared" ca="1" si="431"/>
        <v>—</v>
      </c>
      <c r="O1286" s="17">
        <f t="shared" ca="1" si="432"/>
        <v>7</v>
      </c>
      <c r="P1286" s="18" t="str">
        <f t="shared" ca="1" si="433"/>
        <v>—</v>
      </c>
      <c r="Q1286" s="17">
        <f t="shared" ca="1" si="434"/>
        <v>7</v>
      </c>
      <c r="R1286" s="10" t="str">
        <f t="shared" ca="1" si="435"/>
        <v>—</v>
      </c>
      <c r="S1286" s="17">
        <f t="shared" ca="1" si="436"/>
        <v>7</v>
      </c>
      <c r="T1286" s="70" t="str">
        <f t="shared" ca="1" si="437"/>
        <v>—</v>
      </c>
      <c r="U1286" s="17">
        <f t="shared" ca="1" si="438"/>
        <v>7</v>
      </c>
      <c r="V1286" s="71" t="str">
        <f t="shared" ca="1" si="439"/>
        <v>—</v>
      </c>
      <c r="W1286" s="17">
        <f t="shared" ca="1" si="440"/>
        <v>7</v>
      </c>
    </row>
    <row r="1287" spans="1:23" x14ac:dyDescent="0.25">
      <c r="A1287" s="4">
        <f t="shared" si="420"/>
        <v>32</v>
      </c>
      <c r="B1287" t="str">
        <f ca="1">TEXT(DATE(YEAR(Invoer!$A$6),1,1)+INT((ROWS(B$2:B1287)-1)/4),"jjjjmmdd")</f>
        <v>19401117</v>
      </c>
      <c r="C1287" s="64" t="str">
        <f>IF(MOD(ROWS(C$2:C1287)-1,4)=3,"24.00",INDEX(Data,3,2+MOD(ROWS(C$2:C1287)-1,4)))</f>
        <v>12.00</v>
      </c>
      <c r="D1287" s="18" t="str">
        <f t="shared" ca="1" si="421"/>
        <v>—</v>
      </c>
      <c r="E1287" s="17">
        <f t="shared" ca="1" si="422"/>
        <v>7</v>
      </c>
      <c r="F1287" s="18" t="str">
        <f t="shared" ca="1" si="423"/>
        <v>—</v>
      </c>
      <c r="G1287" s="17">
        <f t="shared" ca="1" si="424"/>
        <v>7</v>
      </c>
      <c r="H1287" s="18" t="str">
        <f t="shared" ca="1" si="425"/>
        <v>—</v>
      </c>
      <c r="I1287" s="17">
        <f t="shared" ca="1" si="426"/>
        <v>7</v>
      </c>
      <c r="J1287" s="18" t="str">
        <f t="shared" ca="1" si="427"/>
        <v>—</v>
      </c>
      <c r="K1287" s="17">
        <f t="shared" ca="1" si="428"/>
        <v>7</v>
      </c>
      <c r="L1287" s="10" t="str">
        <f t="shared" ca="1" si="429"/>
        <v>—</v>
      </c>
      <c r="M1287" s="17">
        <f t="shared" ca="1" si="430"/>
        <v>7</v>
      </c>
      <c r="N1287" s="18" t="str">
        <f t="shared" ca="1" si="431"/>
        <v>—</v>
      </c>
      <c r="O1287" s="17">
        <f t="shared" ca="1" si="432"/>
        <v>7</v>
      </c>
      <c r="P1287" s="18" t="str">
        <f t="shared" ca="1" si="433"/>
        <v>—</v>
      </c>
      <c r="Q1287" s="17">
        <f t="shared" ca="1" si="434"/>
        <v>7</v>
      </c>
      <c r="R1287" s="10" t="str">
        <f t="shared" ca="1" si="435"/>
        <v>—</v>
      </c>
      <c r="S1287" s="17">
        <f t="shared" ca="1" si="436"/>
        <v>7</v>
      </c>
      <c r="T1287" s="70" t="str">
        <f t="shared" ca="1" si="437"/>
        <v>—</v>
      </c>
      <c r="U1287" s="17">
        <f t="shared" ca="1" si="438"/>
        <v>7</v>
      </c>
      <c r="V1287" s="71" t="str">
        <f t="shared" ca="1" si="439"/>
        <v>—</v>
      </c>
      <c r="W1287" s="17">
        <f t="shared" ca="1" si="440"/>
        <v>7</v>
      </c>
    </row>
    <row r="1288" spans="1:23" x14ac:dyDescent="0.25">
      <c r="A1288" s="4">
        <f t="shared" si="420"/>
        <v>32</v>
      </c>
      <c r="B1288" t="str">
        <f ca="1">TEXT(DATE(YEAR(Invoer!$A$6),1,1)+INT((ROWS(B$2:B1288)-1)/4),"jjjjmmdd")</f>
        <v>19401117</v>
      </c>
      <c r="C1288" s="64" t="str">
        <f>IF(MOD(ROWS(C$2:C1288)-1,4)=3,"24.00",INDEX(Data,3,2+MOD(ROWS(C$2:C1288)-1,4)))</f>
        <v>17.00</v>
      </c>
      <c r="D1288" s="18" t="str">
        <f t="shared" ca="1" si="421"/>
        <v>—</v>
      </c>
      <c r="E1288" s="17">
        <f t="shared" ca="1" si="422"/>
        <v>7</v>
      </c>
      <c r="F1288" s="18" t="str">
        <f t="shared" ca="1" si="423"/>
        <v>—</v>
      </c>
      <c r="G1288" s="17">
        <f t="shared" ca="1" si="424"/>
        <v>7</v>
      </c>
      <c r="H1288" s="18" t="str">
        <f t="shared" ca="1" si="425"/>
        <v>—</v>
      </c>
      <c r="I1288" s="17">
        <f t="shared" ca="1" si="426"/>
        <v>7</v>
      </c>
      <c r="J1288" s="18" t="str">
        <f t="shared" ca="1" si="427"/>
        <v>—</v>
      </c>
      <c r="K1288" s="17">
        <f t="shared" ca="1" si="428"/>
        <v>7</v>
      </c>
      <c r="L1288" s="10" t="str">
        <f t="shared" ca="1" si="429"/>
        <v>—</v>
      </c>
      <c r="M1288" s="17">
        <f t="shared" ca="1" si="430"/>
        <v>7</v>
      </c>
      <c r="N1288" s="18" t="str">
        <f t="shared" ca="1" si="431"/>
        <v>—</v>
      </c>
      <c r="O1288" s="17">
        <f t="shared" ca="1" si="432"/>
        <v>7</v>
      </c>
      <c r="P1288" s="18" t="str">
        <f t="shared" ca="1" si="433"/>
        <v>—</v>
      </c>
      <c r="Q1288" s="17">
        <f t="shared" ca="1" si="434"/>
        <v>7</v>
      </c>
      <c r="R1288" s="10" t="str">
        <f t="shared" ca="1" si="435"/>
        <v>—</v>
      </c>
      <c r="S1288" s="17">
        <f t="shared" ca="1" si="436"/>
        <v>7</v>
      </c>
      <c r="T1288" s="70" t="str">
        <f t="shared" ca="1" si="437"/>
        <v>—</v>
      </c>
      <c r="U1288" s="17">
        <f t="shared" ca="1" si="438"/>
        <v>7</v>
      </c>
      <c r="V1288" s="71" t="str">
        <f t="shared" ca="1" si="439"/>
        <v>—</v>
      </c>
      <c r="W1288" s="17">
        <f t="shared" ca="1" si="440"/>
        <v>7</v>
      </c>
    </row>
    <row r="1289" spans="1:23" x14ac:dyDescent="0.25">
      <c r="A1289" s="4">
        <f t="shared" si="420"/>
        <v>32</v>
      </c>
      <c r="B1289" t="str">
        <f ca="1">TEXT(DATE(YEAR(Invoer!$A$6),1,1)+INT((ROWS(B$2:B1289)-1)/4),"jjjjmmdd")</f>
        <v>19401117</v>
      </c>
      <c r="C1289" s="64" t="str">
        <f>IF(MOD(ROWS(C$2:C1289)-1,4)=3,"24.00",INDEX(Data,3,2+MOD(ROWS(C$2:C1289)-1,4)))</f>
        <v>24.00</v>
      </c>
      <c r="D1289" s="18" t="str">
        <f t="shared" ca="1" si="421"/>
        <v>—</v>
      </c>
      <c r="E1289" s="17">
        <f t="shared" ca="1" si="422"/>
        <v>7</v>
      </c>
      <c r="F1289" s="18" t="str">
        <f t="shared" ca="1" si="423"/>
        <v>—</v>
      </c>
      <c r="G1289" s="17">
        <f t="shared" ca="1" si="424"/>
        <v>7</v>
      </c>
      <c r="H1289" s="18" t="str">
        <f t="shared" ca="1" si="425"/>
        <v>—</v>
      </c>
      <c r="I1289" s="17">
        <f t="shared" ca="1" si="426"/>
        <v>7</v>
      </c>
      <c r="J1289" s="18" t="str">
        <f t="shared" ca="1" si="427"/>
        <v>—</v>
      </c>
      <c r="K1289" s="17">
        <f t="shared" ca="1" si="428"/>
        <v>7</v>
      </c>
      <c r="L1289" s="10" t="str">
        <f t="shared" ca="1" si="429"/>
        <v>—</v>
      </c>
      <c r="M1289" s="17">
        <f t="shared" ca="1" si="430"/>
        <v>7</v>
      </c>
      <c r="N1289" s="18" t="str">
        <f t="shared" ca="1" si="431"/>
        <v>—</v>
      </c>
      <c r="O1289" s="17">
        <f t="shared" ca="1" si="432"/>
        <v>7</v>
      </c>
      <c r="P1289" s="18" t="str">
        <f t="shared" ca="1" si="433"/>
        <v>—</v>
      </c>
      <c r="Q1289" s="17">
        <f t="shared" ca="1" si="434"/>
        <v>7</v>
      </c>
      <c r="R1289" s="10" t="str">
        <f t="shared" ca="1" si="435"/>
        <v>—</v>
      </c>
      <c r="S1289" s="17">
        <f t="shared" ca="1" si="436"/>
        <v>7</v>
      </c>
      <c r="T1289" s="70" t="str">
        <f t="shared" ca="1" si="437"/>
        <v>—</v>
      </c>
      <c r="U1289" s="17">
        <f t="shared" ca="1" si="438"/>
        <v>7</v>
      </c>
      <c r="V1289" s="71" t="str">
        <f t="shared" ca="1" si="439"/>
        <v>—</v>
      </c>
      <c r="W1289" s="17">
        <f t="shared" ca="1" si="440"/>
        <v>7</v>
      </c>
    </row>
    <row r="1290" spans="1:23" x14ac:dyDescent="0.25">
      <c r="A1290" s="4">
        <f t="shared" si="420"/>
        <v>32</v>
      </c>
      <c r="B1290" t="str">
        <f ca="1">TEXT(DATE(YEAR(Invoer!$A$6),1,1)+INT((ROWS(B$2:B1290)-1)/4),"jjjjmmdd")</f>
        <v>19401118</v>
      </c>
      <c r="C1290" s="64" t="str">
        <f>IF(MOD(ROWS(C$2:C1290)-1,4)=3,"24.00",INDEX(Data,3,2+MOD(ROWS(C$2:C1290)-1,4)))</f>
        <v>07.00</v>
      </c>
      <c r="D1290" s="18" t="str">
        <f t="shared" ca="1" si="421"/>
        <v>—</v>
      </c>
      <c r="E1290" s="17">
        <f t="shared" ca="1" si="422"/>
        <v>7</v>
      </c>
      <c r="F1290" s="18" t="str">
        <f t="shared" ca="1" si="423"/>
        <v>—</v>
      </c>
      <c r="G1290" s="17">
        <f t="shared" ca="1" si="424"/>
        <v>7</v>
      </c>
      <c r="H1290" s="18" t="str">
        <f t="shared" ca="1" si="425"/>
        <v>—</v>
      </c>
      <c r="I1290" s="17">
        <f t="shared" ca="1" si="426"/>
        <v>7</v>
      </c>
      <c r="J1290" s="18" t="str">
        <f t="shared" ca="1" si="427"/>
        <v>—</v>
      </c>
      <c r="K1290" s="17">
        <f t="shared" ca="1" si="428"/>
        <v>7</v>
      </c>
      <c r="L1290" s="10" t="str">
        <f t="shared" ca="1" si="429"/>
        <v>—</v>
      </c>
      <c r="M1290" s="17">
        <f t="shared" ca="1" si="430"/>
        <v>7</v>
      </c>
      <c r="N1290" s="18" t="str">
        <f t="shared" ca="1" si="431"/>
        <v>—</v>
      </c>
      <c r="O1290" s="17">
        <f t="shared" ca="1" si="432"/>
        <v>7</v>
      </c>
      <c r="P1290" s="18" t="str">
        <f t="shared" ca="1" si="433"/>
        <v>—</v>
      </c>
      <c r="Q1290" s="17">
        <f t="shared" ca="1" si="434"/>
        <v>7</v>
      </c>
      <c r="R1290" s="10" t="str">
        <f t="shared" ca="1" si="435"/>
        <v>—</v>
      </c>
      <c r="S1290" s="17">
        <f t="shared" ca="1" si="436"/>
        <v>7</v>
      </c>
      <c r="T1290" s="70" t="str">
        <f t="shared" ca="1" si="437"/>
        <v>—</v>
      </c>
      <c r="U1290" s="17">
        <f t="shared" ca="1" si="438"/>
        <v>7</v>
      </c>
      <c r="V1290" s="71" t="str">
        <f t="shared" ca="1" si="439"/>
        <v>—</v>
      </c>
      <c r="W1290" s="17">
        <f t="shared" ca="1" si="440"/>
        <v>7</v>
      </c>
    </row>
    <row r="1291" spans="1:23" x14ac:dyDescent="0.25">
      <c r="A1291" s="4">
        <f t="shared" si="420"/>
        <v>32</v>
      </c>
      <c r="B1291" t="str">
        <f ca="1">TEXT(DATE(YEAR(Invoer!$A$6),1,1)+INT((ROWS(B$2:B1291)-1)/4),"jjjjmmdd")</f>
        <v>19401118</v>
      </c>
      <c r="C1291" s="64" t="str">
        <f>IF(MOD(ROWS(C$2:C1291)-1,4)=3,"24.00",INDEX(Data,3,2+MOD(ROWS(C$2:C1291)-1,4)))</f>
        <v>12.00</v>
      </c>
      <c r="D1291" s="18" t="str">
        <f t="shared" ca="1" si="421"/>
        <v>—</v>
      </c>
      <c r="E1291" s="17">
        <f t="shared" ca="1" si="422"/>
        <v>7</v>
      </c>
      <c r="F1291" s="18" t="str">
        <f t="shared" ca="1" si="423"/>
        <v>—</v>
      </c>
      <c r="G1291" s="17">
        <f t="shared" ca="1" si="424"/>
        <v>7</v>
      </c>
      <c r="H1291" s="18" t="str">
        <f t="shared" ca="1" si="425"/>
        <v>—</v>
      </c>
      <c r="I1291" s="17">
        <f t="shared" ca="1" si="426"/>
        <v>7</v>
      </c>
      <c r="J1291" s="18" t="str">
        <f t="shared" ca="1" si="427"/>
        <v>—</v>
      </c>
      <c r="K1291" s="17">
        <f t="shared" ca="1" si="428"/>
        <v>7</v>
      </c>
      <c r="L1291" s="10" t="str">
        <f t="shared" ca="1" si="429"/>
        <v>—</v>
      </c>
      <c r="M1291" s="17">
        <f t="shared" ca="1" si="430"/>
        <v>7</v>
      </c>
      <c r="N1291" s="18" t="str">
        <f t="shared" ca="1" si="431"/>
        <v>—</v>
      </c>
      <c r="O1291" s="17">
        <f t="shared" ca="1" si="432"/>
        <v>7</v>
      </c>
      <c r="P1291" s="18" t="str">
        <f t="shared" ca="1" si="433"/>
        <v>—</v>
      </c>
      <c r="Q1291" s="17">
        <f t="shared" ca="1" si="434"/>
        <v>7</v>
      </c>
      <c r="R1291" s="10" t="str">
        <f t="shared" ca="1" si="435"/>
        <v>—</v>
      </c>
      <c r="S1291" s="17">
        <f t="shared" ca="1" si="436"/>
        <v>7</v>
      </c>
      <c r="T1291" s="70" t="str">
        <f t="shared" ca="1" si="437"/>
        <v>—</v>
      </c>
      <c r="U1291" s="17">
        <f t="shared" ca="1" si="438"/>
        <v>7</v>
      </c>
      <c r="V1291" s="71" t="str">
        <f t="shared" ca="1" si="439"/>
        <v>—</v>
      </c>
      <c r="W1291" s="17">
        <f t="shared" ca="1" si="440"/>
        <v>7</v>
      </c>
    </row>
    <row r="1292" spans="1:23" x14ac:dyDescent="0.25">
      <c r="A1292" s="4">
        <f t="shared" si="420"/>
        <v>32</v>
      </c>
      <c r="B1292" t="str">
        <f ca="1">TEXT(DATE(YEAR(Invoer!$A$6),1,1)+INT((ROWS(B$2:B1292)-1)/4),"jjjjmmdd")</f>
        <v>19401118</v>
      </c>
      <c r="C1292" s="64" t="str">
        <f>IF(MOD(ROWS(C$2:C1292)-1,4)=3,"24.00",INDEX(Data,3,2+MOD(ROWS(C$2:C1292)-1,4)))</f>
        <v>17.00</v>
      </c>
      <c r="D1292" s="18" t="str">
        <f t="shared" ca="1" si="421"/>
        <v>—</v>
      </c>
      <c r="E1292" s="17">
        <f t="shared" ca="1" si="422"/>
        <v>7</v>
      </c>
      <c r="F1292" s="18" t="str">
        <f t="shared" ca="1" si="423"/>
        <v>—</v>
      </c>
      <c r="G1292" s="17">
        <f t="shared" ca="1" si="424"/>
        <v>7</v>
      </c>
      <c r="H1292" s="18" t="str">
        <f t="shared" ca="1" si="425"/>
        <v>—</v>
      </c>
      <c r="I1292" s="17">
        <f t="shared" ca="1" si="426"/>
        <v>7</v>
      </c>
      <c r="J1292" s="18" t="str">
        <f t="shared" ca="1" si="427"/>
        <v>—</v>
      </c>
      <c r="K1292" s="17">
        <f t="shared" ca="1" si="428"/>
        <v>7</v>
      </c>
      <c r="L1292" s="10" t="str">
        <f t="shared" ca="1" si="429"/>
        <v>—</v>
      </c>
      <c r="M1292" s="17">
        <f t="shared" ca="1" si="430"/>
        <v>7</v>
      </c>
      <c r="N1292" s="18" t="str">
        <f t="shared" ca="1" si="431"/>
        <v>—</v>
      </c>
      <c r="O1292" s="17">
        <f t="shared" ca="1" si="432"/>
        <v>7</v>
      </c>
      <c r="P1292" s="18" t="str">
        <f t="shared" ca="1" si="433"/>
        <v>—</v>
      </c>
      <c r="Q1292" s="17">
        <f t="shared" ca="1" si="434"/>
        <v>7</v>
      </c>
      <c r="R1292" s="10" t="str">
        <f t="shared" ca="1" si="435"/>
        <v>—</v>
      </c>
      <c r="S1292" s="17">
        <f t="shared" ca="1" si="436"/>
        <v>7</v>
      </c>
      <c r="T1292" s="70" t="str">
        <f t="shared" ca="1" si="437"/>
        <v>—</v>
      </c>
      <c r="U1292" s="17">
        <f t="shared" ca="1" si="438"/>
        <v>7</v>
      </c>
      <c r="V1292" s="71" t="str">
        <f t="shared" ca="1" si="439"/>
        <v>—</v>
      </c>
      <c r="W1292" s="17">
        <f t="shared" ca="1" si="440"/>
        <v>7</v>
      </c>
    </row>
    <row r="1293" spans="1:23" x14ac:dyDescent="0.25">
      <c r="A1293" s="4">
        <f t="shared" si="420"/>
        <v>32</v>
      </c>
      <c r="B1293" t="str">
        <f ca="1">TEXT(DATE(YEAR(Invoer!$A$6),1,1)+INT((ROWS(B$2:B1293)-1)/4),"jjjjmmdd")</f>
        <v>19401118</v>
      </c>
      <c r="C1293" s="64" t="str">
        <f>IF(MOD(ROWS(C$2:C1293)-1,4)=3,"24.00",INDEX(Data,3,2+MOD(ROWS(C$2:C1293)-1,4)))</f>
        <v>24.00</v>
      </c>
      <c r="D1293" s="18" t="str">
        <f t="shared" ca="1" si="421"/>
        <v>—</v>
      </c>
      <c r="E1293" s="17">
        <f t="shared" ca="1" si="422"/>
        <v>7</v>
      </c>
      <c r="F1293" s="18" t="str">
        <f t="shared" ca="1" si="423"/>
        <v>—</v>
      </c>
      <c r="G1293" s="17">
        <f t="shared" ca="1" si="424"/>
        <v>7</v>
      </c>
      <c r="H1293" s="18" t="str">
        <f t="shared" ca="1" si="425"/>
        <v>—</v>
      </c>
      <c r="I1293" s="17">
        <f t="shared" ca="1" si="426"/>
        <v>7</v>
      </c>
      <c r="J1293" s="18" t="str">
        <f t="shared" ca="1" si="427"/>
        <v>—</v>
      </c>
      <c r="K1293" s="17">
        <f t="shared" ca="1" si="428"/>
        <v>7</v>
      </c>
      <c r="L1293" s="10" t="str">
        <f t="shared" ca="1" si="429"/>
        <v>—</v>
      </c>
      <c r="M1293" s="17">
        <f t="shared" ca="1" si="430"/>
        <v>7</v>
      </c>
      <c r="N1293" s="18" t="str">
        <f t="shared" ca="1" si="431"/>
        <v>—</v>
      </c>
      <c r="O1293" s="17">
        <f t="shared" ca="1" si="432"/>
        <v>7</v>
      </c>
      <c r="P1293" s="18" t="str">
        <f t="shared" ca="1" si="433"/>
        <v>—</v>
      </c>
      <c r="Q1293" s="17">
        <f t="shared" ca="1" si="434"/>
        <v>7</v>
      </c>
      <c r="R1293" s="10" t="str">
        <f t="shared" ca="1" si="435"/>
        <v>—</v>
      </c>
      <c r="S1293" s="17">
        <f t="shared" ca="1" si="436"/>
        <v>7</v>
      </c>
      <c r="T1293" s="70" t="str">
        <f t="shared" ca="1" si="437"/>
        <v>—</v>
      </c>
      <c r="U1293" s="17">
        <f t="shared" ca="1" si="438"/>
        <v>7</v>
      </c>
      <c r="V1293" s="71" t="str">
        <f t="shared" ca="1" si="439"/>
        <v>—</v>
      </c>
      <c r="W1293" s="17">
        <f t="shared" ca="1" si="440"/>
        <v>7</v>
      </c>
    </row>
    <row r="1294" spans="1:23" x14ac:dyDescent="0.25">
      <c r="A1294" s="4">
        <f t="shared" si="420"/>
        <v>32</v>
      </c>
      <c r="B1294" t="str">
        <f ca="1">TEXT(DATE(YEAR(Invoer!$A$6),1,1)+INT((ROWS(B$2:B1294)-1)/4),"jjjjmmdd")</f>
        <v>19401119</v>
      </c>
      <c r="C1294" s="64" t="str">
        <f>IF(MOD(ROWS(C$2:C1294)-1,4)=3,"24.00",INDEX(Data,3,2+MOD(ROWS(C$2:C1294)-1,4)))</f>
        <v>07.00</v>
      </c>
      <c r="D1294" s="18" t="str">
        <f t="shared" ca="1" si="421"/>
        <v>—</v>
      </c>
      <c r="E1294" s="17">
        <f t="shared" ca="1" si="422"/>
        <v>7</v>
      </c>
      <c r="F1294" s="18" t="str">
        <f t="shared" ca="1" si="423"/>
        <v>—</v>
      </c>
      <c r="G1294" s="17">
        <f t="shared" ca="1" si="424"/>
        <v>7</v>
      </c>
      <c r="H1294" s="18" t="str">
        <f t="shared" ca="1" si="425"/>
        <v>—</v>
      </c>
      <c r="I1294" s="17">
        <f t="shared" ca="1" si="426"/>
        <v>7</v>
      </c>
      <c r="J1294" s="18" t="str">
        <f t="shared" ca="1" si="427"/>
        <v>—</v>
      </c>
      <c r="K1294" s="17">
        <f t="shared" ca="1" si="428"/>
        <v>7</v>
      </c>
      <c r="L1294" s="10" t="str">
        <f t="shared" ca="1" si="429"/>
        <v>—</v>
      </c>
      <c r="M1294" s="17">
        <f t="shared" ca="1" si="430"/>
        <v>7</v>
      </c>
      <c r="N1294" s="18" t="str">
        <f t="shared" ca="1" si="431"/>
        <v>—</v>
      </c>
      <c r="O1294" s="17">
        <f t="shared" ca="1" si="432"/>
        <v>7</v>
      </c>
      <c r="P1294" s="18" t="str">
        <f t="shared" ca="1" si="433"/>
        <v>—</v>
      </c>
      <c r="Q1294" s="17">
        <f t="shared" ca="1" si="434"/>
        <v>7</v>
      </c>
      <c r="R1294" s="10" t="str">
        <f t="shared" ca="1" si="435"/>
        <v>—</v>
      </c>
      <c r="S1294" s="17">
        <f t="shared" ca="1" si="436"/>
        <v>7</v>
      </c>
      <c r="T1294" s="70" t="str">
        <f t="shared" ca="1" si="437"/>
        <v>—</v>
      </c>
      <c r="U1294" s="17">
        <f t="shared" ca="1" si="438"/>
        <v>7</v>
      </c>
      <c r="V1294" s="71" t="str">
        <f t="shared" ca="1" si="439"/>
        <v>—</v>
      </c>
      <c r="W1294" s="17">
        <f t="shared" ca="1" si="440"/>
        <v>7</v>
      </c>
    </row>
    <row r="1295" spans="1:23" x14ac:dyDescent="0.25">
      <c r="A1295" s="4">
        <f t="shared" si="420"/>
        <v>32</v>
      </c>
      <c r="B1295" t="str">
        <f ca="1">TEXT(DATE(YEAR(Invoer!$A$6),1,1)+INT((ROWS(B$2:B1295)-1)/4),"jjjjmmdd")</f>
        <v>19401119</v>
      </c>
      <c r="C1295" s="64" t="str">
        <f>IF(MOD(ROWS(C$2:C1295)-1,4)=3,"24.00",INDEX(Data,3,2+MOD(ROWS(C$2:C1295)-1,4)))</f>
        <v>12.00</v>
      </c>
      <c r="D1295" s="18" t="str">
        <f t="shared" ca="1" si="421"/>
        <v>—</v>
      </c>
      <c r="E1295" s="17">
        <f t="shared" ca="1" si="422"/>
        <v>7</v>
      </c>
      <c r="F1295" s="18" t="str">
        <f t="shared" ca="1" si="423"/>
        <v>—</v>
      </c>
      <c r="G1295" s="17">
        <f t="shared" ca="1" si="424"/>
        <v>7</v>
      </c>
      <c r="H1295" s="18" t="str">
        <f t="shared" ca="1" si="425"/>
        <v>—</v>
      </c>
      <c r="I1295" s="17">
        <f t="shared" ca="1" si="426"/>
        <v>7</v>
      </c>
      <c r="J1295" s="18" t="str">
        <f t="shared" ca="1" si="427"/>
        <v>—</v>
      </c>
      <c r="K1295" s="17">
        <f t="shared" ca="1" si="428"/>
        <v>7</v>
      </c>
      <c r="L1295" s="10" t="str">
        <f t="shared" ca="1" si="429"/>
        <v>—</v>
      </c>
      <c r="M1295" s="17">
        <f t="shared" ca="1" si="430"/>
        <v>7</v>
      </c>
      <c r="N1295" s="18" t="str">
        <f t="shared" ca="1" si="431"/>
        <v>—</v>
      </c>
      <c r="O1295" s="17">
        <f t="shared" ca="1" si="432"/>
        <v>7</v>
      </c>
      <c r="P1295" s="18" t="str">
        <f t="shared" ca="1" si="433"/>
        <v>—</v>
      </c>
      <c r="Q1295" s="17">
        <f t="shared" ca="1" si="434"/>
        <v>7</v>
      </c>
      <c r="R1295" s="10" t="str">
        <f t="shared" ca="1" si="435"/>
        <v>—</v>
      </c>
      <c r="S1295" s="17">
        <f t="shared" ca="1" si="436"/>
        <v>7</v>
      </c>
      <c r="T1295" s="70" t="str">
        <f t="shared" ca="1" si="437"/>
        <v>—</v>
      </c>
      <c r="U1295" s="17">
        <f t="shared" ca="1" si="438"/>
        <v>7</v>
      </c>
      <c r="V1295" s="71" t="str">
        <f t="shared" ca="1" si="439"/>
        <v>—</v>
      </c>
      <c r="W1295" s="17">
        <f t="shared" ca="1" si="440"/>
        <v>7</v>
      </c>
    </row>
    <row r="1296" spans="1:23" x14ac:dyDescent="0.25">
      <c r="A1296" s="4">
        <f t="shared" si="420"/>
        <v>32</v>
      </c>
      <c r="B1296" t="str">
        <f ca="1">TEXT(DATE(YEAR(Invoer!$A$6),1,1)+INT((ROWS(B$2:B1296)-1)/4),"jjjjmmdd")</f>
        <v>19401119</v>
      </c>
      <c r="C1296" s="64" t="str">
        <f>IF(MOD(ROWS(C$2:C1296)-1,4)=3,"24.00",INDEX(Data,3,2+MOD(ROWS(C$2:C1296)-1,4)))</f>
        <v>17.00</v>
      </c>
      <c r="D1296" s="18" t="str">
        <f t="shared" ca="1" si="421"/>
        <v>—</v>
      </c>
      <c r="E1296" s="17">
        <f t="shared" ca="1" si="422"/>
        <v>7</v>
      </c>
      <c r="F1296" s="18" t="str">
        <f t="shared" ca="1" si="423"/>
        <v>—</v>
      </c>
      <c r="G1296" s="17">
        <f t="shared" ca="1" si="424"/>
        <v>7</v>
      </c>
      <c r="H1296" s="18" t="str">
        <f t="shared" ca="1" si="425"/>
        <v>—</v>
      </c>
      <c r="I1296" s="17">
        <f t="shared" ca="1" si="426"/>
        <v>7</v>
      </c>
      <c r="J1296" s="18" t="str">
        <f t="shared" ca="1" si="427"/>
        <v>—</v>
      </c>
      <c r="K1296" s="17">
        <f t="shared" ca="1" si="428"/>
        <v>7</v>
      </c>
      <c r="L1296" s="10" t="str">
        <f t="shared" ca="1" si="429"/>
        <v>—</v>
      </c>
      <c r="M1296" s="17">
        <f t="shared" ca="1" si="430"/>
        <v>7</v>
      </c>
      <c r="N1296" s="18" t="str">
        <f t="shared" ca="1" si="431"/>
        <v>—</v>
      </c>
      <c r="O1296" s="17">
        <f t="shared" ca="1" si="432"/>
        <v>7</v>
      </c>
      <c r="P1296" s="18" t="str">
        <f t="shared" ca="1" si="433"/>
        <v>—</v>
      </c>
      <c r="Q1296" s="17">
        <f t="shared" ca="1" si="434"/>
        <v>7</v>
      </c>
      <c r="R1296" s="10" t="str">
        <f t="shared" ca="1" si="435"/>
        <v>—</v>
      </c>
      <c r="S1296" s="17">
        <f t="shared" ca="1" si="436"/>
        <v>7</v>
      </c>
      <c r="T1296" s="70" t="str">
        <f t="shared" ca="1" si="437"/>
        <v>—</v>
      </c>
      <c r="U1296" s="17">
        <f t="shared" ca="1" si="438"/>
        <v>7</v>
      </c>
      <c r="V1296" s="71" t="str">
        <f t="shared" ca="1" si="439"/>
        <v>—</v>
      </c>
      <c r="W1296" s="17">
        <f t="shared" ca="1" si="440"/>
        <v>7</v>
      </c>
    </row>
    <row r="1297" spans="1:23" x14ac:dyDescent="0.25">
      <c r="A1297" s="4">
        <f t="shared" si="420"/>
        <v>32</v>
      </c>
      <c r="B1297" t="str">
        <f ca="1">TEXT(DATE(YEAR(Invoer!$A$6),1,1)+INT((ROWS(B$2:B1297)-1)/4),"jjjjmmdd")</f>
        <v>19401119</v>
      </c>
      <c r="C1297" s="64" t="str">
        <f>IF(MOD(ROWS(C$2:C1297)-1,4)=3,"24.00",INDEX(Data,3,2+MOD(ROWS(C$2:C1297)-1,4)))</f>
        <v>24.00</v>
      </c>
      <c r="D1297" s="18" t="str">
        <f t="shared" ca="1" si="421"/>
        <v>—</v>
      </c>
      <c r="E1297" s="17">
        <f t="shared" ca="1" si="422"/>
        <v>7</v>
      </c>
      <c r="F1297" s="18" t="str">
        <f t="shared" ca="1" si="423"/>
        <v>—</v>
      </c>
      <c r="G1297" s="17">
        <f t="shared" ca="1" si="424"/>
        <v>7</v>
      </c>
      <c r="H1297" s="18" t="str">
        <f t="shared" ca="1" si="425"/>
        <v>—</v>
      </c>
      <c r="I1297" s="17">
        <f t="shared" ca="1" si="426"/>
        <v>7</v>
      </c>
      <c r="J1297" s="18" t="str">
        <f t="shared" ca="1" si="427"/>
        <v>—</v>
      </c>
      <c r="K1297" s="17">
        <f t="shared" ca="1" si="428"/>
        <v>7</v>
      </c>
      <c r="L1297" s="10" t="str">
        <f t="shared" ca="1" si="429"/>
        <v>—</v>
      </c>
      <c r="M1297" s="17">
        <f t="shared" ca="1" si="430"/>
        <v>7</v>
      </c>
      <c r="N1297" s="18" t="str">
        <f t="shared" ca="1" si="431"/>
        <v>—</v>
      </c>
      <c r="O1297" s="17">
        <f t="shared" ca="1" si="432"/>
        <v>7</v>
      </c>
      <c r="P1297" s="18" t="str">
        <f t="shared" ca="1" si="433"/>
        <v>—</v>
      </c>
      <c r="Q1297" s="17">
        <f t="shared" ca="1" si="434"/>
        <v>7</v>
      </c>
      <c r="R1297" s="10" t="str">
        <f t="shared" ca="1" si="435"/>
        <v>—</v>
      </c>
      <c r="S1297" s="17">
        <f t="shared" ca="1" si="436"/>
        <v>7</v>
      </c>
      <c r="T1297" s="70" t="str">
        <f t="shared" ca="1" si="437"/>
        <v>—</v>
      </c>
      <c r="U1297" s="17">
        <f t="shared" ca="1" si="438"/>
        <v>7</v>
      </c>
      <c r="V1297" s="71" t="str">
        <f t="shared" ca="1" si="439"/>
        <v>—</v>
      </c>
      <c r="W1297" s="17">
        <f t="shared" ca="1" si="440"/>
        <v>7</v>
      </c>
    </row>
    <row r="1298" spans="1:23" x14ac:dyDescent="0.25">
      <c r="A1298" s="4">
        <f t="shared" si="420"/>
        <v>32</v>
      </c>
      <c r="B1298" t="str">
        <f ca="1">TEXT(DATE(YEAR(Invoer!$A$6),1,1)+INT((ROWS(B$2:B1298)-1)/4),"jjjjmmdd")</f>
        <v>19401120</v>
      </c>
      <c r="C1298" s="64" t="str">
        <f>IF(MOD(ROWS(C$2:C1298)-1,4)=3,"24.00",INDEX(Data,3,2+MOD(ROWS(C$2:C1298)-1,4)))</f>
        <v>07.00</v>
      </c>
      <c r="D1298" s="18" t="str">
        <f t="shared" ca="1" si="421"/>
        <v>—</v>
      </c>
      <c r="E1298" s="17">
        <f t="shared" ca="1" si="422"/>
        <v>7</v>
      </c>
      <c r="F1298" s="18" t="str">
        <f t="shared" ca="1" si="423"/>
        <v>—</v>
      </c>
      <c r="G1298" s="17">
        <f t="shared" ca="1" si="424"/>
        <v>7</v>
      </c>
      <c r="H1298" s="18" t="str">
        <f t="shared" ca="1" si="425"/>
        <v>—</v>
      </c>
      <c r="I1298" s="17">
        <f t="shared" ca="1" si="426"/>
        <v>7</v>
      </c>
      <c r="J1298" s="18" t="str">
        <f t="shared" ca="1" si="427"/>
        <v>—</v>
      </c>
      <c r="K1298" s="17">
        <f t="shared" ca="1" si="428"/>
        <v>7</v>
      </c>
      <c r="L1298" s="10" t="str">
        <f t="shared" ca="1" si="429"/>
        <v>—</v>
      </c>
      <c r="M1298" s="17">
        <f t="shared" ca="1" si="430"/>
        <v>7</v>
      </c>
      <c r="N1298" s="18" t="str">
        <f t="shared" ca="1" si="431"/>
        <v>—</v>
      </c>
      <c r="O1298" s="17">
        <f t="shared" ca="1" si="432"/>
        <v>7</v>
      </c>
      <c r="P1298" s="18" t="str">
        <f t="shared" ca="1" si="433"/>
        <v>—</v>
      </c>
      <c r="Q1298" s="17">
        <f t="shared" ca="1" si="434"/>
        <v>7</v>
      </c>
      <c r="R1298" s="10" t="str">
        <f t="shared" ca="1" si="435"/>
        <v>—</v>
      </c>
      <c r="S1298" s="17">
        <f t="shared" ca="1" si="436"/>
        <v>7</v>
      </c>
      <c r="T1298" s="70" t="str">
        <f t="shared" ca="1" si="437"/>
        <v>—</v>
      </c>
      <c r="U1298" s="17">
        <f t="shared" ca="1" si="438"/>
        <v>7</v>
      </c>
      <c r="V1298" s="71" t="str">
        <f t="shared" ca="1" si="439"/>
        <v>—</v>
      </c>
      <c r="W1298" s="17">
        <f t="shared" ca="1" si="440"/>
        <v>7</v>
      </c>
    </row>
    <row r="1299" spans="1:23" x14ac:dyDescent="0.25">
      <c r="A1299" s="4">
        <f t="shared" si="420"/>
        <v>32</v>
      </c>
      <c r="B1299" t="str">
        <f ca="1">TEXT(DATE(YEAR(Invoer!$A$6),1,1)+INT((ROWS(B$2:B1299)-1)/4),"jjjjmmdd")</f>
        <v>19401120</v>
      </c>
      <c r="C1299" s="64" t="str">
        <f>IF(MOD(ROWS(C$2:C1299)-1,4)=3,"24.00",INDEX(Data,3,2+MOD(ROWS(C$2:C1299)-1,4)))</f>
        <v>12.00</v>
      </c>
      <c r="D1299" s="18" t="str">
        <f t="shared" ca="1" si="421"/>
        <v>—</v>
      </c>
      <c r="E1299" s="17">
        <f t="shared" ca="1" si="422"/>
        <v>7</v>
      </c>
      <c r="F1299" s="18" t="str">
        <f t="shared" ca="1" si="423"/>
        <v>—</v>
      </c>
      <c r="G1299" s="17">
        <f t="shared" ca="1" si="424"/>
        <v>7</v>
      </c>
      <c r="H1299" s="18" t="str">
        <f t="shared" ca="1" si="425"/>
        <v>—</v>
      </c>
      <c r="I1299" s="17">
        <f t="shared" ca="1" si="426"/>
        <v>7</v>
      </c>
      <c r="J1299" s="18" t="str">
        <f t="shared" ca="1" si="427"/>
        <v>—</v>
      </c>
      <c r="K1299" s="17">
        <f t="shared" ca="1" si="428"/>
        <v>7</v>
      </c>
      <c r="L1299" s="10" t="str">
        <f t="shared" ca="1" si="429"/>
        <v>—</v>
      </c>
      <c r="M1299" s="17">
        <f t="shared" ca="1" si="430"/>
        <v>7</v>
      </c>
      <c r="N1299" s="18" t="str">
        <f t="shared" ca="1" si="431"/>
        <v>—</v>
      </c>
      <c r="O1299" s="17">
        <f t="shared" ca="1" si="432"/>
        <v>7</v>
      </c>
      <c r="P1299" s="18" t="str">
        <f t="shared" ca="1" si="433"/>
        <v>—</v>
      </c>
      <c r="Q1299" s="17">
        <f t="shared" ca="1" si="434"/>
        <v>7</v>
      </c>
      <c r="R1299" s="10" t="str">
        <f t="shared" ca="1" si="435"/>
        <v>—</v>
      </c>
      <c r="S1299" s="17">
        <f t="shared" ca="1" si="436"/>
        <v>7</v>
      </c>
      <c r="T1299" s="70" t="str">
        <f t="shared" ca="1" si="437"/>
        <v>—</v>
      </c>
      <c r="U1299" s="17">
        <f t="shared" ca="1" si="438"/>
        <v>7</v>
      </c>
      <c r="V1299" s="71" t="str">
        <f t="shared" ca="1" si="439"/>
        <v>—</v>
      </c>
      <c r="W1299" s="17">
        <f t="shared" ca="1" si="440"/>
        <v>7</v>
      </c>
    </row>
    <row r="1300" spans="1:23" x14ac:dyDescent="0.25">
      <c r="A1300" s="4">
        <f t="shared" si="420"/>
        <v>32</v>
      </c>
      <c r="B1300" t="str">
        <f ca="1">TEXT(DATE(YEAR(Invoer!$A$6),1,1)+INT((ROWS(B$2:B1300)-1)/4),"jjjjmmdd")</f>
        <v>19401120</v>
      </c>
      <c r="C1300" s="64" t="str">
        <f>IF(MOD(ROWS(C$2:C1300)-1,4)=3,"24.00",INDEX(Data,3,2+MOD(ROWS(C$2:C1300)-1,4)))</f>
        <v>17.00</v>
      </c>
      <c r="D1300" s="18" t="str">
        <f t="shared" ca="1" si="421"/>
        <v>—</v>
      </c>
      <c r="E1300" s="17">
        <f t="shared" ca="1" si="422"/>
        <v>7</v>
      </c>
      <c r="F1300" s="18" t="str">
        <f t="shared" ca="1" si="423"/>
        <v>—</v>
      </c>
      <c r="G1300" s="17">
        <f t="shared" ca="1" si="424"/>
        <v>7</v>
      </c>
      <c r="H1300" s="18" t="str">
        <f t="shared" ca="1" si="425"/>
        <v>—</v>
      </c>
      <c r="I1300" s="17">
        <f t="shared" ca="1" si="426"/>
        <v>7</v>
      </c>
      <c r="J1300" s="18" t="str">
        <f t="shared" ca="1" si="427"/>
        <v>—</v>
      </c>
      <c r="K1300" s="17">
        <f t="shared" ca="1" si="428"/>
        <v>7</v>
      </c>
      <c r="L1300" s="10" t="str">
        <f t="shared" ca="1" si="429"/>
        <v>—</v>
      </c>
      <c r="M1300" s="17">
        <f t="shared" ca="1" si="430"/>
        <v>7</v>
      </c>
      <c r="N1300" s="18" t="str">
        <f t="shared" ca="1" si="431"/>
        <v>—</v>
      </c>
      <c r="O1300" s="17">
        <f t="shared" ca="1" si="432"/>
        <v>7</v>
      </c>
      <c r="P1300" s="18" t="str">
        <f t="shared" ca="1" si="433"/>
        <v>—</v>
      </c>
      <c r="Q1300" s="17">
        <f t="shared" ca="1" si="434"/>
        <v>7</v>
      </c>
      <c r="R1300" s="10" t="str">
        <f t="shared" ca="1" si="435"/>
        <v>—</v>
      </c>
      <c r="S1300" s="17">
        <f t="shared" ca="1" si="436"/>
        <v>7</v>
      </c>
      <c r="T1300" s="70" t="str">
        <f t="shared" ca="1" si="437"/>
        <v>—</v>
      </c>
      <c r="U1300" s="17">
        <f t="shared" ca="1" si="438"/>
        <v>7</v>
      </c>
      <c r="V1300" s="71" t="str">
        <f t="shared" ca="1" si="439"/>
        <v>—</v>
      </c>
      <c r="W1300" s="17">
        <f t="shared" ca="1" si="440"/>
        <v>7</v>
      </c>
    </row>
    <row r="1301" spans="1:23" x14ac:dyDescent="0.25">
      <c r="A1301" s="4">
        <f t="shared" si="420"/>
        <v>32</v>
      </c>
      <c r="B1301" t="str">
        <f ca="1">TEXT(DATE(YEAR(Invoer!$A$6),1,1)+INT((ROWS(B$2:B1301)-1)/4),"jjjjmmdd")</f>
        <v>19401120</v>
      </c>
      <c r="C1301" s="64" t="str">
        <f>IF(MOD(ROWS(C$2:C1301)-1,4)=3,"24.00",INDEX(Data,3,2+MOD(ROWS(C$2:C1301)-1,4)))</f>
        <v>24.00</v>
      </c>
      <c r="D1301" s="18" t="str">
        <f t="shared" ca="1" si="421"/>
        <v>—</v>
      </c>
      <c r="E1301" s="17">
        <f t="shared" ca="1" si="422"/>
        <v>7</v>
      </c>
      <c r="F1301" s="18" t="str">
        <f t="shared" ca="1" si="423"/>
        <v>—</v>
      </c>
      <c r="G1301" s="17">
        <f t="shared" ca="1" si="424"/>
        <v>7</v>
      </c>
      <c r="H1301" s="18" t="str">
        <f t="shared" ca="1" si="425"/>
        <v>—</v>
      </c>
      <c r="I1301" s="17">
        <f t="shared" ca="1" si="426"/>
        <v>7</v>
      </c>
      <c r="J1301" s="18" t="str">
        <f t="shared" ca="1" si="427"/>
        <v>—</v>
      </c>
      <c r="K1301" s="17">
        <f t="shared" ca="1" si="428"/>
        <v>7</v>
      </c>
      <c r="L1301" s="10" t="str">
        <f t="shared" ca="1" si="429"/>
        <v>—</v>
      </c>
      <c r="M1301" s="17">
        <f t="shared" ca="1" si="430"/>
        <v>7</v>
      </c>
      <c r="N1301" s="18" t="str">
        <f t="shared" ca="1" si="431"/>
        <v>—</v>
      </c>
      <c r="O1301" s="17">
        <f t="shared" ca="1" si="432"/>
        <v>7</v>
      </c>
      <c r="P1301" s="18" t="str">
        <f t="shared" ca="1" si="433"/>
        <v>—</v>
      </c>
      <c r="Q1301" s="17">
        <f t="shared" ca="1" si="434"/>
        <v>7</v>
      </c>
      <c r="R1301" s="10" t="str">
        <f t="shared" ca="1" si="435"/>
        <v>—</v>
      </c>
      <c r="S1301" s="17">
        <f t="shared" ca="1" si="436"/>
        <v>7</v>
      </c>
      <c r="T1301" s="70" t="str">
        <f t="shared" ca="1" si="437"/>
        <v>—</v>
      </c>
      <c r="U1301" s="17">
        <f t="shared" ca="1" si="438"/>
        <v>7</v>
      </c>
      <c r="V1301" s="71" t="str">
        <f t="shared" ca="1" si="439"/>
        <v>—</v>
      </c>
      <c r="W1301" s="17">
        <f t="shared" ca="1" si="440"/>
        <v>7</v>
      </c>
    </row>
    <row r="1302" spans="1:23" x14ac:dyDescent="0.25">
      <c r="A1302" s="4">
        <f t="shared" si="420"/>
        <v>32</v>
      </c>
      <c r="B1302" t="str">
        <f ca="1">TEXT(DATE(YEAR(Invoer!$A$6),1,1)+INT((ROWS(B$2:B1302)-1)/4),"jjjjmmdd")</f>
        <v>19401121</v>
      </c>
      <c r="C1302" s="64" t="str">
        <f>IF(MOD(ROWS(C$2:C1302)-1,4)=3,"24.00",INDEX(Data,3,2+MOD(ROWS(C$2:C1302)-1,4)))</f>
        <v>07.00</v>
      </c>
      <c r="D1302" s="18" t="str">
        <f t="shared" ca="1" si="421"/>
        <v>—</v>
      </c>
      <c r="E1302" s="17">
        <f t="shared" ca="1" si="422"/>
        <v>7</v>
      </c>
      <c r="F1302" s="18" t="str">
        <f t="shared" ca="1" si="423"/>
        <v>—</v>
      </c>
      <c r="G1302" s="17">
        <f t="shared" ca="1" si="424"/>
        <v>7</v>
      </c>
      <c r="H1302" s="18" t="str">
        <f t="shared" ca="1" si="425"/>
        <v>—</v>
      </c>
      <c r="I1302" s="17">
        <f t="shared" ca="1" si="426"/>
        <v>7</v>
      </c>
      <c r="J1302" s="18" t="str">
        <f t="shared" ca="1" si="427"/>
        <v>—</v>
      </c>
      <c r="K1302" s="17">
        <f t="shared" ca="1" si="428"/>
        <v>7</v>
      </c>
      <c r="L1302" s="10" t="str">
        <f t="shared" ca="1" si="429"/>
        <v>—</v>
      </c>
      <c r="M1302" s="17">
        <f t="shared" ca="1" si="430"/>
        <v>7</v>
      </c>
      <c r="N1302" s="18" t="str">
        <f t="shared" ca="1" si="431"/>
        <v>—</v>
      </c>
      <c r="O1302" s="17">
        <f t="shared" ca="1" si="432"/>
        <v>7</v>
      </c>
      <c r="P1302" s="18" t="str">
        <f t="shared" ca="1" si="433"/>
        <v>—</v>
      </c>
      <c r="Q1302" s="17">
        <f t="shared" ca="1" si="434"/>
        <v>7</v>
      </c>
      <c r="R1302" s="10" t="str">
        <f t="shared" ca="1" si="435"/>
        <v>—</v>
      </c>
      <c r="S1302" s="17">
        <f t="shared" ca="1" si="436"/>
        <v>7</v>
      </c>
      <c r="T1302" s="70" t="str">
        <f t="shared" ca="1" si="437"/>
        <v>—</v>
      </c>
      <c r="U1302" s="17">
        <f t="shared" ca="1" si="438"/>
        <v>7</v>
      </c>
      <c r="V1302" s="71" t="str">
        <f t="shared" ca="1" si="439"/>
        <v>—</v>
      </c>
      <c r="W1302" s="17">
        <f t="shared" ca="1" si="440"/>
        <v>7</v>
      </c>
    </row>
    <row r="1303" spans="1:23" x14ac:dyDescent="0.25">
      <c r="A1303" s="4">
        <f t="shared" si="420"/>
        <v>32</v>
      </c>
      <c r="B1303" t="str">
        <f ca="1">TEXT(DATE(YEAR(Invoer!$A$6),1,1)+INT((ROWS(B$2:B1303)-1)/4),"jjjjmmdd")</f>
        <v>19401121</v>
      </c>
      <c r="C1303" s="64" t="str">
        <f>IF(MOD(ROWS(C$2:C1303)-1,4)=3,"24.00",INDEX(Data,3,2+MOD(ROWS(C$2:C1303)-1,4)))</f>
        <v>12.00</v>
      </c>
      <c r="D1303" s="18" t="str">
        <f t="shared" ca="1" si="421"/>
        <v>—</v>
      </c>
      <c r="E1303" s="17">
        <f t="shared" ca="1" si="422"/>
        <v>7</v>
      </c>
      <c r="F1303" s="18" t="str">
        <f t="shared" ca="1" si="423"/>
        <v>—</v>
      </c>
      <c r="G1303" s="17">
        <f t="shared" ca="1" si="424"/>
        <v>7</v>
      </c>
      <c r="H1303" s="18" t="str">
        <f t="shared" ca="1" si="425"/>
        <v>—</v>
      </c>
      <c r="I1303" s="17">
        <f t="shared" ca="1" si="426"/>
        <v>7</v>
      </c>
      <c r="J1303" s="18" t="str">
        <f t="shared" ca="1" si="427"/>
        <v>—</v>
      </c>
      <c r="K1303" s="17">
        <f t="shared" ca="1" si="428"/>
        <v>7</v>
      </c>
      <c r="L1303" s="10" t="str">
        <f t="shared" ca="1" si="429"/>
        <v>—</v>
      </c>
      <c r="M1303" s="17">
        <f t="shared" ca="1" si="430"/>
        <v>7</v>
      </c>
      <c r="N1303" s="18" t="str">
        <f t="shared" ca="1" si="431"/>
        <v>—</v>
      </c>
      <c r="O1303" s="17">
        <f t="shared" ca="1" si="432"/>
        <v>7</v>
      </c>
      <c r="P1303" s="18" t="str">
        <f t="shared" ca="1" si="433"/>
        <v>—</v>
      </c>
      <c r="Q1303" s="17">
        <f t="shared" ca="1" si="434"/>
        <v>7</v>
      </c>
      <c r="R1303" s="10" t="str">
        <f t="shared" ca="1" si="435"/>
        <v>—</v>
      </c>
      <c r="S1303" s="17">
        <f t="shared" ca="1" si="436"/>
        <v>7</v>
      </c>
      <c r="T1303" s="70" t="str">
        <f t="shared" ca="1" si="437"/>
        <v>—</v>
      </c>
      <c r="U1303" s="17">
        <f t="shared" ca="1" si="438"/>
        <v>7</v>
      </c>
      <c r="V1303" s="71" t="str">
        <f t="shared" ca="1" si="439"/>
        <v>—</v>
      </c>
      <c r="W1303" s="17">
        <f t="shared" ca="1" si="440"/>
        <v>7</v>
      </c>
    </row>
    <row r="1304" spans="1:23" x14ac:dyDescent="0.25">
      <c r="A1304" s="4">
        <f t="shared" si="420"/>
        <v>32</v>
      </c>
      <c r="B1304" t="str">
        <f ca="1">TEXT(DATE(YEAR(Invoer!$A$6),1,1)+INT((ROWS(B$2:B1304)-1)/4),"jjjjmmdd")</f>
        <v>19401121</v>
      </c>
      <c r="C1304" s="64" t="str">
        <f>IF(MOD(ROWS(C$2:C1304)-1,4)=3,"24.00",INDEX(Data,3,2+MOD(ROWS(C$2:C1304)-1,4)))</f>
        <v>17.00</v>
      </c>
      <c r="D1304" s="18" t="str">
        <f t="shared" ca="1" si="421"/>
        <v>—</v>
      </c>
      <c r="E1304" s="17">
        <f t="shared" ca="1" si="422"/>
        <v>7</v>
      </c>
      <c r="F1304" s="18" t="str">
        <f t="shared" ca="1" si="423"/>
        <v>—</v>
      </c>
      <c r="G1304" s="17">
        <f t="shared" ca="1" si="424"/>
        <v>7</v>
      </c>
      <c r="H1304" s="18" t="str">
        <f t="shared" ca="1" si="425"/>
        <v>—</v>
      </c>
      <c r="I1304" s="17">
        <f t="shared" ca="1" si="426"/>
        <v>7</v>
      </c>
      <c r="J1304" s="18" t="str">
        <f t="shared" ca="1" si="427"/>
        <v>—</v>
      </c>
      <c r="K1304" s="17">
        <f t="shared" ca="1" si="428"/>
        <v>7</v>
      </c>
      <c r="L1304" s="10" t="str">
        <f t="shared" ca="1" si="429"/>
        <v>—</v>
      </c>
      <c r="M1304" s="17">
        <f t="shared" ca="1" si="430"/>
        <v>7</v>
      </c>
      <c r="N1304" s="18" t="str">
        <f t="shared" ca="1" si="431"/>
        <v>—</v>
      </c>
      <c r="O1304" s="17">
        <f t="shared" ca="1" si="432"/>
        <v>7</v>
      </c>
      <c r="P1304" s="18" t="str">
        <f t="shared" ca="1" si="433"/>
        <v>—</v>
      </c>
      <c r="Q1304" s="17">
        <f t="shared" ca="1" si="434"/>
        <v>7</v>
      </c>
      <c r="R1304" s="10" t="str">
        <f t="shared" ca="1" si="435"/>
        <v>—</v>
      </c>
      <c r="S1304" s="17">
        <f t="shared" ca="1" si="436"/>
        <v>7</v>
      </c>
      <c r="T1304" s="70" t="str">
        <f t="shared" ca="1" si="437"/>
        <v>—</v>
      </c>
      <c r="U1304" s="17">
        <f t="shared" ca="1" si="438"/>
        <v>7</v>
      </c>
      <c r="V1304" s="71" t="str">
        <f t="shared" ca="1" si="439"/>
        <v>—</v>
      </c>
      <c r="W1304" s="17">
        <f t="shared" ca="1" si="440"/>
        <v>7</v>
      </c>
    </row>
    <row r="1305" spans="1:23" x14ac:dyDescent="0.25">
      <c r="A1305" s="4">
        <f t="shared" si="420"/>
        <v>32</v>
      </c>
      <c r="B1305" t="str">
        <f ca="1">TEXT(DATE(YEAR(Invoer!$A$6),1,1)+INT((ROWS(B$2:B1305)-1)/4),"jjjjmmdd")</f>
        <v>19401121</v>
      </c>
      <c r="C1305" s="64" t="str">
        <f>IF(MOD(ROWS(C$2:C1305)-1,4)=3,"24.00",INDEX(Data,3,2+MOD(ROWS(C$2:C1305)-1,4)))</f>
        <v>24.00</v>
      </c>
      <c r="D1305" s="18" t="str">
        <f t="shared" ca="1" si="421"/>
        <v>—</v>
      </c>
      <c r="E1305" s="17">
        <f t="shared" ca="1" si="422"/>
        <v>7</v>
      </c>
      <c r="F1305" s="18" t="str">
        <f t="shared" ca="1" si="423"/>
        <v>—</v>
      </c>
      <c r="G1305" s="17">
        <f t="shared" ca="1" si="424"/>
        <v>7</v>
      </c>
      <c r="H1305" s="18" t="str">
        <f t="shared" ca="1" si="425"/>
        <v>—</v>
      </c>
      <c r="I1305" s="17">
        <f t="shared" ca="1" si="426"/>
        <v>7</v>
      </c>
      <c r="J1305" s="18" t="str">
        <f t="shared" ca="1" si="427"/>
        <v>—</v>
      </c>
      <c r="K1305" s="17">
        <f t="shared" ca="1" si="428"/>
        <v>7</v>
      </c>
      <c r="L1305" s="10" t="str">
        <f t="shared" ca="1" si="429"/>
        <v>—</v>
      </c>
      <c r="M1305" s="17">
        <f t="shared" ca="1" si="430"/>
        <v>7</v>
      </c>
      <c r="N1305" s="18" t="str">
        <f t="shared" ca="1" si="431"/>
        <v>—</v>
      </c>
      <c r="O1305" s="17">
        <f t="shared" ca="1" si="432"/>
        <v>7</v>
      </c>
      <c r="P1305" s="18" t="str">
        <f t="shared" ca="1" si="433"/>
        <v>—</v>
      </c>
      <c r="Q1305" s="17">
        <f t="shared" ca="1" si="434"/>
        <v>7</v>
      </c>
      <c r="R1305" s="10" t="str">
        <f t="shared" ca="1" si="435"/>
        <v>—</v>
      </c>
      <c r="S1305" s="17">
        <f t="shared" ca="1" si="436"/>
        <v>7</v>
      </c>
      <c r="T1305" s="70" t="str">
        <f t="shared" ca="1" si="437"/>
        <v>—</v>
      </c>
      <c r="U1305" s="17">
        <f t="shared" ca="1" si="438"/>
        <v>7</v>
      </c>
      <c r="V1305" s="71" t="str">
        <f t="shared" ca="1" si="439"/>
        <v>—</v>
      </c>
      <c r="W1305" s="17">
        <f t="shared" ca="1" si="440"/>
        <v>7</v>
      </c>
    </row>
    <row r="1306" spans="1:23" x14ac:dyDescent="0.25">
      <c r="A1306" s="4">
        <f t="shared" si="420"/>
        <v>32</v>
      </c>
      <c r="B1306" t="str">
        <f ca="1">TEXT(DATE(YEAR(Invoer!$A$6),1,1)+INT((ROWS(B$2:B1306)-1)/4),"jjjjmmdd")</f>
        <v>19401122</v>
      </c>
      <c r="C1306" s="64" t="str">
        <f>IF(MOD(ROWS(C$2:C1306)-1,4)=3,"24.00",INDEX(Data,3,2+MOD(ROWS(C$2:C1306)-1,4)))</f>
        <v>07.00</v>
      </c>
      <c r="D1306" s="18" t="str">
        <f t="shared" ca="1" si="421"/>
        <v>—</v>
      </c>
      <c r="E1306" s="17">
        <f t="shared" ca="1" si="422"/>
        <v>7</v>
      </c>
      <c r="F1306" s="18" t="str">
        <f t="shared" ca="1" si="423"/>
        <v>—</v>
      </c>
      <c r="G1306" s="17">
        <f t="shared" ca="1" si="424"/>
        <v>7</v>
      </c>
      <c r="H1306" s="18" t="str">
        <f t="shared" ca="1" si="425"/>
        <v>—</v>
      </c>
      <c r="I1306" s="17">
        <f t="shared" ca="1" si="426"/>
        <v>7</v>
      </c>
      <c r="J1306" s="18" t="str">
        <f t="shared" ca="1" si="427"/>
        <v>—</v>
      </c>
      <c r="K1306" s="17">
        <f t="shared" ca="1" si="428"/>
        <v>7</v>
      </c>
      <c r="L1306" s="10" t="str">
        <f t="shared" ca="1" si="429"/>
        <v>—</v>
      </c>
      <c r="M1306" s="17">
        <f t="shared" ca="1" si="430"/>
        <v>7</v>
      </c>
      <c r="N1306" s="18" t="str">
        <f t="shared" ca="1" si="431"/>
        <v>—</v>
      </c>
      <c r="O1306" s="17">
        <f t="shared" ca="1" si="432"/>
        <v>7</v>
      </c>
      <c r="P1306" s="18" t="str">
        <f t="shared" ca="1" si="433"/>
        <v>—</v>
      </c>
      <c r="Q1306" s="17">
        <f t="shared" ca="1" si="434"/>
        <v>7</v>
      </c>
      <c r="R1306" s="10" t="str">
        <f t="shared" ca="1" si="435"/>
        <v>—</v>
      </c>
      <c r="S1306" s="17">
        <f t="shared" ca="1" si="436"/>
        <v>7</v>
      </c>
      <c r="T1306" s="70" t="str">
        <f t="shared" ca="1" si="437"/>
        <v>—</v>
      </c>
      <c r="U1306" s="17">
        <f t="shared" ca="1" si="438"/>
        <v>7</v>
      </c>
      <c r="V1306" s="71" t="str">
        <f t="shared" ca="1" si="439"/>
        <v>—</v>
      </c>
      <c r="W1306" s="17">
        <f t="shared" ca="1" si="440"/>
        <v>7</v>
      </c>
    </row>
    <row r="1307" spans="1:23" x14ac:dyDescent="0.25">
      <c r="A1307" s="4">
        <f t="shared" si="420"/>
        <v>32</v>
      </c>
      <c r="B1307" t="str">
        <f ca="1">TEXT(DATE(YEAR(Invoer!$A$6),1,1)+INT((ROWS(B$2:B1307)-1)/4),"jjjjmmdd")</f>
        <v>19401122</v>
      </c>
      <c r="C1307" s="64" t="str">
        <f>IF(MOD(ROWS(C$2:C1307)-1,4)=3,"24.00",INDEX(Data,3,2+MOD(ROWS(C$2:C1307)-1,4)))</f>
        <v>12.00</v>
      </c>
      <c r="D1307" s="18" t="str">
        <f t="shared" ca="1" si="421"/>
        <v>—</v>
      </c>
      <c r="E1307" s="17">
        <f t="shared" ca="1" si="422"/>
        <v>7</v>
      </c>
      <c r="F1307" s="18" t="str">
        <f t="shared" ca="1" si="423"/>
        <v>—</v>
      </c>
      <c r="G1307" s="17">
        <f t="shared" ca="1" si="424"/>
        <v>7</v>
      </c>
      <c r="H1307" s="18" t="str">
        <f t="shared" ca="1" si="425"/>
        <v>—</v>
      </c>
      <c r="I1307" s="17">
        <f t="shared" ca="1" si="426"/>
        <v>7</v>
      </c>
      <c r="J1307" s="18" t="str">
        <f t="shared" ca="1" si="427"/>
        <v>—</v>
      </c>
      <c r="K1307" s="17">
        <f t="shared" ca="1" si="428"/>
        <v>7</v>
      </c>
      <c r="L1307" s="10" t="str">
        <f t="shared" ca="1" si="429"/>
        <v>—</v>
      </c>
      <c r="M1307" s="17">
        <f t="shared" ca="1" si="430"/>
        <v>7</v>
      </c>
      <c r="N1307" s="18" t="str">
        <f t="shared" ca="1" si="431"/>
        <v>—</v>
      </c>
      <c r="O1307" s="17">
        <f t="shared" ca="1" si="432"/>
        <v>7</v>
      </c>
      <c r="P1307" s="18" t="str">
        <f t="shared" ca="1" si="433"/>
        <v>—</v>
      </c>
      <c r="Q1307" s="17">
        <f t="shared" ca="1" si="434"/>
        <v>7</v>
      </c>
      <c r="R1307" s="10" t="str">
        <f t="shared" ca="1" si="435"/>
        <v>—</v>
      </c>
      <c r="S1307" s="17">
        <f t="shared" ca="1" si="436"/>
        <v>7</v>
      </c>
      <c r="T1307" s="70" t="str">
        <f t="shared" ca="1" si="437"/>
        <v>—</v>
      </c>
      <c r="U1307" s="17">
        <f t="shared" ca="1" si="438"/>
        <v>7</v>
      </c>
      <c r="V1307" s="71" t="str">
        <f t="shared" ca="1" si="439"/>
        <v>—</v>
      </c>
      <c r="W1307" s="17">
        <f t="shared" ca="1" si="440"/>
        <v>7</v>
      </c>
    </row>
    <row r="1308" spans="1:23" x14ac:dyDescent="0.25">
      <c r="A1308" s="4">
        <f t="shared" si="420"/>
        <v>32</v>
      </c>
      <c r="B1308" t="str">
        <f ca="1">TEXT(DATE(YEAR(Invoer!$A$6),1,1)+INT((ROWS(B$2:B1308)-1)/4),"jjjjmmdd")</f>
        <v>19401122</v>
      </c>
      <c r="C1308" s="64" t="str">
        <f>IF(MOD(ROWS(C$2:C1308)-1,4)=3,"24.00",INDEX(Data,3,2+MOD(ROWS(C$2:C1308)-1,4)))</f>
        <v>17.00</v>
      </c>
      <c r="D1308" s="18" t="str">
        <f t="shared" ca="1" si="421"/>
        <v>—</v>
      </c>
      <c r="E1308" s="17">
        <f t="shared" ca="1" si="422"/>
        <v>7</v>
      </c>
      <c r="F1308" s="18" t="str">
        <f t="shared" ca="1" si="423"/>
        <v>—</v>
      </c>
      <c r="G1308" s="17">
        <f t="shared" ca="1" si="424"/>
        <v>7</v>
      </c>
      <c r="H1308" s="18" t="str">
        <f t="shared" ca="1" si="425"/>
        <v>—</v>
      </c>
      <c r="I1308" s="17">
        <f t="shared" ca="1" si="426"/>
        <v>7</v>
      </c>
      <c r="J1308" s="18" t="str">
        <f t="shared" ca="1" si="427"/>
        <v>—</v>
      </c>
      <c r="K1308" s="17">
        <f t="shared" ca="1" si="428"/>
        <v>7</v>
      </c>
      <c r="L1308" s="10" t="str">
        <f t="shared" ca="1" si="429"/>
        <v>—</v>
      </c>
      <c r="M1308" s="17">
        <f t="shared" ca="1" si="430"/>
        <v>7</v>
      </c>
      <c r="N1308" s="18" t="str">
        <f t="shared" ca="1" si="431"/>
        <v>—</v>
      </c>
      <c r="O1308" s="17">
        <f t="shared" ca="1" si="432"/>
        <v>7</v>
      </c>
      <c r="P1308" s="18" t="str">
        <f t="shared" ca="1" si="433"/>
        <v>—</v>
      </c>
      <c r="Q1308" s="17">
        <f t="shared" ca="1" si="434"/>
        <v>7</v>
      </c>
      <c r="R1308" s="10" t="str">
        <f t="shared" ca="1" si="435"/>
        <v>—</v>
      </c>
      <c r="S1308" s="17">
        <f t="shared" ca="1" si="436"/>
        <v>7</v>
      </c>
      <c r="T1308" s="70" t="str">
        <f t="shared" ca="1" si="437"/>
        <v>—</v>
      </c>
      <c r="U1308" s="17">
        <f t="shared" ca="1" si="438"/>
        <v>7</v>
      </c>
      <c r="V1308" s="71" t="str">
        <f t="shared" ca="1" si="439"/>
        <v>—</v>
      </c>
      <c r="W1308" s="17">
        <f t="shared" ca="1" si="440"/>
        <v>7</v>
      </c>
    </row>
    <row r="1309" spans="1:23" x14ac:dyDescent="0.25">
      <c r="A1309" s="4">
        <f t="shared" si="420"/>
        <v>32</v>
      </c>
      <c r="B1309" t="str">
        <f ca="1">TEXT(DATE(YEAR(Invoer!$A$6),1,1)+INT((ROWS(B$2:B1309)-1)/4),"jjjjmmdd")</f>
        <v>19401122</v>
      </c>
      <c r="C1309" s="64" t="str">
        <f>IF(MOD(ROWS(C$2:C1309)-1,4)=3,"24.00",INDEX(Data,3,2+MOD(ROWS(C$2:C1309)-1,4)))</f>
        <v>24.00</v>
      </c>
      <c r="D1309" s="18" t="str">
        <f t="shared" ca="1" si="421"/>
        <v>—</v>
      </c>
      <c r="E1309" s="17">
        <f t="shared" ca="1" si="422"/>
        <v>7</v>
      </c>
      <c r="F1309" s="18" t="str">
        <f t="shared" ca="1" si="423"/>
        <v>—</v>
      </c>
      <c r="G1309" s="17">
        <f t="shared" ca="1" si="424"/>
        <v>7</v>
      </c>
      <c r="H1309" s="18" t="str">
        <f t="shared" ca="1" si="425"/>
        <v>—</v>
      </c>
      <c r="I1309" s="17">
        <f t="shared" ca="1" si="426"/>
        <v>7</v>
      </c>
      <c r="J1309" s="18" t="str">
        <f t="shared" ca="1" si="427"/>
        <v>—</v>
      </c>
      <c r="K1309" s="17">
        <f t="shared" ca="1" si="428"/>
        <v>7</v>
      </c>
      <c r="L1309" s="10" t="str">
        <f t="shared" ca="1" si="429"/>
        <v>—</v>
      </c>
      <c r="M1309" s="17">
        <f t="shared" ca="1" si="430"/>
        <v>7</v>
      </c>
      <c r="N1309" s="18" t="str">
        <f t="shared" ca="1" si="431"/>
        <v>—</v>
      </c>
      <c r="O1309" s="17">
        <f t="shared" ca="1" si="432"/>
        <v>7</v>
      </c>
      <c r="P1309" s="18" t="str">
        <f t="shared" ca="1" si="433"/>
        <v>—</v>
      </c>
      <c r="Q1309" s="17">
        <f t="shared" ca="1" si="434"/>
        <v>7</v>
      </c>
      <c r="R1309" s="10" t="str">
        <f t="shared" ca="1" si="435"/>
        <v>—</v>
      </c>
      <c r="S1309" s="17">
        <f t="shared" ca="1" si="436"/>
        <v>7</v>
      </c>
      <c r="T1309" s="70" t="str">
        <f t="shared" ca="1" si="437"/>
        <v>—</v>
      </c>
      <c r="U1309" s="17">
        <f t="shared" ca="1" si="438"/>
        <v>7</v>
      </c>
      <c r="V1309" s="71" t="str">
        <f t="shared" ca="1" si="439"/>
        <v>—</v>
      </c>
      <c r="W1309" s="17">
        <f t="shared" ca="1" si="440"/>
        <v>7</v>
      </c>
    </row>
    <row r="1310" spans="1:23" x14ac:dyDescent="0.25">
      <c r="A1310" s="4">
        <f t="shared" si="420"/>
        <v>32</v>
      </c>
      <c r="B1310" t="str">
        <f ca="1">TEXT(DATE(YEAR(Invoer!$A$6),1,1)+INT((ROWS(B$2:B1310)-1)/4),"jjjjmmdd")</f>
        <v>19401123</v>
      </c>
      <c r="C1310" s="64" t="str">
        <f>IF(MOD(ROWS(C$2:C1310)-1,4)=3,"24.00",INDEX(Data,3,2+MOD(ROWS(C$2:C1310)-1,4)))</f>
        <v>07.00</v>
      </c>
      <c r="D1310" s="18" t="str">
        <f t="shared" ca="1" si="421"/>
        <v>—</v>
      </c>
      <c r="E1310" s="17">
        <f t="shared" ca="1" si="422"/>
        <v>7</v>
      </c>
      <c r="F1310" s="18" t="str">
        <f t="shared" ca="1" si="423"/>
        <v>—</v>
      </c>
      <c r="G1310" s="17">
        <f t="shared" ca="1" si="424"/>
        <v>7</v>
      </c>
      <c r="H1310" s="18" t="str">
        <f t="shared" ca="1" si="425"/>
        <v>—</v>
      </c>
      <c r="I1310" s="17">
        <f t="shared" ca="1" si="426"/>
        <v>7</v>
      </c>
      <c r="J1310" s="18" t="str">
        <f t="shared" ca="1" si="427"/>
        <v>—</v>
      </c>
      <c r="K1310" s="17">
        <f t="shared" ca="1" si="428"/>
        <v>7</v>
      </c>
      <c r="L1310" s="10" t="str">
        <f t="shared" ca="1" si="429"/>
        <v>—</v>
      </c>
      <c r="M1310" s="17">
        <f t="shared" ca="1" si="430"/>
        <v>7</v>
      </c>
      <c r="N1310" s="18" t="str">
        <f t="shared" ca="1" si="431"/>
        <v>—</v>
      </c>
      <c r="O1310" s="17">
        <f t="shared" ca="1" si="432"/>
        <v>7</v>
      </c>
      <c r="P1310" s="18" t="str">
        <f t="shared" ca="1" si="433"/>
        <v>—</v>
      </c>
      <c r="Q1310" s="17">
        <f t="shared" ca="1" si="434"/>
        <v>7</v>
      </c>
      <c r="R1310" s="10" t="str">
        <f t="shared" ca="1" si="435"/>
        <v>—</v>
      </c>
      <c r="S1310" s="17">
        <f t="shared" ca="1" si="436"/>
        <v>7</v>
      </c>
      <c r="T1310" s="70" t="str">
        <f t="shared" ca="1" si="437"/>
        <v>—</v>
      </c>
      <c r="U1310" s="17">
        <f t="shared" ca="1" si="438"/>
        <v>7</v>
      </c>
      <c r="V1310" s="71" t="str">
        <f t="shared" ca="1" si="439"/>
        <v>—</v>
      </c>
      <c r="W1310" s="17">
        <f t="shared" ca="1" si="440"/>
        <v>7</v>
      </c>
    </row>
    <row r="1311" spans="1:23" x14ac:dyDescent="0.25">
      <c r="A1311" s="4">
        <f t="shared" si="420"/>
        <v>32</v>
      </c>
      <c r="B1311" t="str">
        <f ca="1">TEXT(DATE(YEAR(Invoer!$A$6),1,1)+INT((ROWS(B$2:B1311)-1)/4),"jjjjmmdd")</f>
        <v>19401123</v>
      </c>
      <c r="C1311" s="64" t="str">
        <f>IF(MOD(ROWS(C$2:C1311)-1,4)=3,"24.00",INDEX(Data,3,2+MOD(ROWS(C$2:C1311)-1,4)))</f>
        <v>12.00</v>
      </c>
      <c r="D1311" s="18" t="str">
        <f t="shared" ca="1" si="421"/>
        <v>—</v>
      </c>
      <c r="E1311" s="17">
        <f t="shared" ca="1" si="422"/>
        <v>7</v>
      </c>
      <c r="F1311" s="18" t="str">
        <f t="shared" ca="1" si="423"/>
        <v>—</v>
      </c>
      <c r="G1311" s="17">
        <f t="shared" ca="1" si="424"/>
        <v>7</v>
      </c>
      <c r="H1311" s="18" t="str">
        <f t="shared" ca="1" si="425"/>
        <v>—</v>
      </c>
      <c r="I1311" s="17">
        <f t="shared" ca="1" si="426"/>
        <v>7</v>
      </c>
      <c r="J1311" s="18" t="str">
        <f t="shared" ca="1" si="427"/>
        <v>—</v>
      </c>
      <c r="K1311" s="17">
        <f t="shared" ca="1" si="428"/>
        <v>7</v>
      </c>
      <c r="L1311" s="10" t="str">
        <f t="shared" ca="1" si="429"/>
        <v>—</v>
      </c>
      <c r="M1311" s="17">
        <f t="shared" ca="1" si="430"/>
        <v>7</v>
      </c>
      <c r="N1311" s="18" t="str">
        <f t="shared" ca="1" si="431"/>
        <v>—</v>
      </c>
      <c r="O1311" s="17">
        <f t="shared" ca="1" si="432"/>
        <v>7</v>
      </c>
      <c r="P1311" s="18" t="str">
        <f t="shared" ca="1" si="433"/>
        <v>—</v>
      </c>
      <c r="Q1311" s="17">
        <f t="shared" ca="1" si="434"/>
        <v>7</v>
      </c>
      <c r="R1311" s="10" t="str">
        <f t="shared" ca="1" si="435"/>
        <v>—</v>
      </c>
      <c r="S1311" s="17">
        <f t="shared" ca="1" si="436"/>
        <v>7</v>
      </c>
      <c r="T1311" s="70" t="str">
        <f t="shared" ca="1" si="437"/>
        <v>—</v>
      </c>
      <c r="U1311" s="17">
        <f t="shared" ca="1" si="438"/>
        <v>7</v>
      </c>
      <c r="V1311" s="71" t="str">
        <f t="shared" ca="1" si="439"/>
        <v>—</v>
      </c>
      <c r="W1311" s="17">
        <f t="shared" ca="1" si="440"/>
        <v>7</v>
      </c>
    </row>
    <row r="1312" spans="1:23" x14ac:dyDescent="0.25">
      <c r="A1312" s="4">
        <f t="shared" si="420"/>
        <v>32</v>
      </c>
      <c r="B1312" t="str">
        <f ca="1">TEXT(DATE(YEAR(Invoer!$A$6),1,1)+INT((ROWS(B$2:B1312)-1)/4),"jjjjmmdd")</f>
        <v>19401123</v>
      </c>
      <c r="C1312" s="64" t="str">
        <f>IF(MOD(ROWS(C$2:C1312)-1,4)=3,"24.00",INDEX(Data,3,2+MOD(ROWS(C$2:C1312)-1,4)))</f>
        <v>17.00</v>
      </c>
      <c r="D1312" s="18" t="str">
        <f t="shared" ca="1" si="421"/>
        <v>—</v>
      </c>
      <c r="E1312" s="17">
        <f t="shared" ca="1" si="422"/>
        <v>7</v>
      </c>
      <c r="F1312" s="18" t="str">
        <f t="shared" ca="1" si="423"/>
        <v>—</v>
      </c>
      <c r="G1312" s="17">
        <f t="shared" ca="1" si="424"/>
        <v>7</v>
      </c>
      <c r="H1312" s="18" t="str">
        <f t="shared" ca="1" si="425"/>
        <v>—</v>
      </c>
      <c r="I1312" s="17">
        <f t="shared" ca="1" si="426"/>
        <v>7</v>
      </c>
      <c r="J1312" s="18" t="str">
        <f t="shared" ca="1" si="427"/>
        <v>—</v>
      </c>
      <c r="K1312" s="17">
        <f t="shared" ca="1" si="428"/>
        <v>7</v>
      </c>
      <c r="L1312" s="10" t="str">
        <f t="shared" ca="1" si="429"/>
        <v>—</v>
      </c>
      <c r="M1312" s="17">
        <f t="shared" ca="1" si="430"/>
        <v>7</v>
      </c>
      <c r="N1312" s="18" t="str">
        <f t="shared" ca="1" si="431"/>
        <v>—</v>
      </c>
      <c r="O1312" s="17">
        <f t="shared" ca="1" si="432"/>
        <v>7</v>
      </c>
      <c r="P1312" s="18" t="str">
        <f t="shared" ca="1" si="433"/>
        <v>—</v>
      </c>
      <c r="Q1312" s="17">
        <f t="shared" ca="1" si="434"/>
        <v>7</v>
      </c>
      <c r="R1312" s="10" t="str">
        <f t="shared" ca="1" si="435"/>
        <v>—</v>
      </c>
      <c r="S1312" s="17">
        <f t="shared" ca="1" si="436"/>
        <v>7</v>
      </c>
      <c r="T1312" s="70" t="str">
        <f t="shared" ca="1" si="437"/>
        <v>—</v>
      </c>
      <c r="U1312" s="17">
        <f t="shared" ca="1" si="438"/>
        <v>7</v>
      </c>
      <c r="V1312" s="71" t="str">
        <f t="shared" ca="1" si="439"/>
        <v>—</v>
      </c>
      <c r="W1312" s="17">
        <f t="shared" ca="1" si="440"/>
        <v>7</v>
      </c>
    </row>
    <row r="1313" spans="1:23" x14ac:dyDescent="0.25">
      <c r="A1313" s="4">
        <f t="shared" si="420"/>
        <v>32</v>
      </c>
      <c r="B1313" t="str">
        <f ca="1">TEXT(DATE(YEAR(Invoer!$A$6),1,1)+INT((ROWS(B$2:B1313)-1)/4),"jjjjmmdd")</f>
        <v>19401123</v>
      </c>
      <c r="C1313" s="64" t="str">
        <f>IF(MOD(ROWS(C$2:C1313)-1,4)=3,"24.00",INDEX(Data,3,2+MOD(ROWS(C$2:C1313)-1,4)))</f>
        <v>24.00</v>
      </c>
      <c r="D1313" s="18" t="str">
        <f t="shared" ca="1" si="421"/>
        <v>—</v>
      </c>
      <c r="E1313" s="17">
        <f t="shared" ca="1" si="422"/>
        <v>7</v>
      </c>
      <c r="F1313" s="18" t="str">
        <f t="shared" ca="1" si="423"/>
        <v>—</v>
      </c>
      <c r="G1313" s="17">
        <f t="shared" ca="1" si="424"/>
        <v>7</v>
      </c>
      <c r="H1313" s="18" t="str">
        <f t="shared" ca="1" si="425"/>
        <v>—</v>
      </c>
      <c r="I1313" s="17">
        <f t="shared" ca="1" si="426"/>
        <v>7</v>
      </c>
      <c r="J1313" s="18" t="str">
        <f t="shared" ca="1" si="427"/>
        <v>—</v>
      </c>
      <c r="K1313" s="17">
        <f t="shared" ca="1" si="428"/>
        <v>7</v>
      </c>
      <c r="L1313" s="10" t="str">
        <f t="shared" ca="1" si="429"/>
        <v>—</v>
      </c>
      <c r="M1313" s="17">
        <f t="shared" ca="1" si="430"/>
        <v>7</v>
      </c>
      <c r="N1313" s="18" t="str">
        <f t="shared" ca="1" si="431"/>
        <v>—</v>
      </c>
      <c r="O1313" s="17">
        <f t="shared" ca="1" si="432"/>
        <v>7</v>
      </c>
      <c r="P1313" s="18" t="str">
        <f t="shared" ca="1" si="433"/>
        <v>—</v>
      </c>
      <c r="Q1313" s="17">
        <f t="shared" ca="1" si="434"/>
        <v>7</v>
      </c>
      <c r="R1313" s="10" t="str">
        <f t="shared" ca="1" si="435"/>
        <v>—</v>
      </c>
      <c r="S1313" s="17">
        <f t="shared" ca="1" si="436"/>
        <v>7</v>
      </c>
      <c r="T1313" s="70" t="str">
        <f t="shared" ca="1" si="437"/>
        <v>—</v>
      </c>
      <c r="U1313" s="17">
        <f t="shared" ca="1" si="438"/>
        <v>7</v>
      </c>
      <c r="V1313" s="71" t="str">
        <f t="shared" ca="1" si="439"/>
        <v>—</v>
      </c>
      <c r="W1313" s="17">
        <f t="shared" ca="1" si="440"/>
        <v>7</v>
      </c>
    </row>
    <row r="1314" spans="1:23" x14ac:dyDescent="0.25">
      <c r="A1314" s="4">
        <f t="shared" si="420"/>
        <v>32</v>
      </c>
      <c r="B1314" t="str">
        <f ca="1">TEXT(DATE(YEAR(Invoer!$A$6),1,1)+INT((ROWS(B$2:B1314)-1)/4),"jjjjmmdd")</f>
        <v>19401124</v>
      </c>
      <c r="C1314" s="64" t="str">
        <f>IF(MOD(ROWS(C$2:C1314)-1,4)=3,"24.00",INDEX(Data,3,2+MOD(ROWS(C$2:C1314)-1,4)))</f>
        <v>07.00</v>
      </c>
      <c r="D1314" s="18" t="str">
        <f t="shared" ca="1" si="421"/>
        <v>—</v>
      </c>
      <c r="E1314" s="17">
        <f t="shared" ca="1" si="422"/>
        <v>7</v>
      </c>
      <c r="F1314" s="18" t="str">
        <f t="shared" ca="1" si="423"/>
        <v>—</v>
      </c>
      <c r="G1314" s="17">
        <f t="shared" ca="1" si="424"/>
        <v>7</v>
      </c>
      <c r="H1314" s="18" t="str">
        <f t="shared" ca="1" si="425"/>
        <v>—</v>
      </c>
      <c r="I1314" s="17">
        <f t="shared" ca="1" si="426"/>
        <v>7</v>
      </c>
      <c r="J1314" s="18" t="str">
        <f t="shared" ca="1" si="427"/>
        <v>—</v>
      </c>
      <c r="K1314" s="17">
        <f t="shared" ca="1" si="428"/>
        <v>7</v>
      </c>
      <c r="L1314" s="10" t="str">
        <f t="shared" ca="1" si="429"/>
        <v>—</v>
      </c>
      <c r="M1314" s="17">
        <f t="shared" ca="1" si="430"/>
        <v>7</v>
      </c>
      <c r="N1314" s="18" t="str">
        <f t="shared" ca="1" si="431"/>
        <v>—</v>
      </c>
      <c r="O1314" s="17">
        <f t="shared" ca="1" si="432"/>
        <v>7</v>
      </c>
      <c r="P1314" s="18" t="str">
        <f t="shared" ca="1" si="433"/>
        <v>—</v>
      </c>
      <c r="Q1314" s="17">
        <f t="shared" ca="1" si="434"/>
        <v>7</v>
      </c>
      <c r="R1314" s="10" t="str">
        <f t="shared" ca="1" si="435"/>
        <v>—</v>
      </c>
      <c r="S1314" s="17">
        <f t="shared" ca="1" si="436"/>
        <v>7</v>
      </c>
      <c r="T1314" s="70" t="str">
        <f t="shared" ca="1" si="437"/>
        <v>—</v>
      </c>
      <c r="U1314" s="17">
        <f t="shared" ca="1" si="438"/>
        <v>7</v>
      </c>
      <c r="V1314" s="71" t="str">
        <f t="shared" ca="1" si="439"/>
        <v>—</v>
      </c>
      <c r="W1314" s="17">
        <f t="shared" ca="1" si="440"/>
        <v>7</v>
      </c>
    </row>
    <row r="1315" spans="1:23" x14ac:dyDescent="0.25">
      <c r="A1315" s="4">
        <f t="shared" si="420"/>
        <v>32</v>
      </c>
      <c r="B1315" t="str">
        <f ca="1">TEXT(DATE(YEAR(Invoer!$A$6),1,1)+INT((ROWS(B$2:B1315)-1)/4),"jjjjmmdd")</f>
        <v>19401124</v>
      </c>
      <c r="C1315" s="64" t="str">
        <f>IF(MOD(ROWS(C$2:C1315)-1,4)=3,"24.00",INDEX(Data,3,2+MOD(ROWS(C$2:C1315)-1,4)))</f>
        <v>12.00</v>
      </c>
      <c r="D1315" s="18" t="str">
        <f t="shared" ca="1" si="421"/>
        <v>—</v>
      </c>
      <c r="E1315" s="17">
        <f t="shared" ca="1" si="422"/>
        <v>7</v>
      </c>
      <c r="F1315" s="18" t="str">
        <f t="shared" ca="1" si="423"/>
        <v>—</v>
      </c>
      <c r="G1315" s="17">
        <f t="shared" ca="1" si="424"/>
        <v>7</v>
      </c>
      <c r="H1315" s="18" t="str">
        <f t="shared" ca="1" si="425"/>
        <v>—</v>
      </c>
      <c r="I1315" s="17">
        <f t="shared" ca="1" si="426"/>
        <v>7</v>
      </c>
      <c r="J1315" s="18" t="str">
        <f t="shared" ca="1" si="427"/>
        <v>—</v>
      </c>
      <c r="K1315" s="17">
        <f t="shared" ca="1" si="428"/>
        <v>7</v>
      </c>
      <c r="L1315" s="10" t="str">
        <f t="shared" ca="1" si="429"/>
        <v>—</v>
      </c>
      <c r="M1315" s="17">
        <f t="shared" ca="1" si="430"/>
        <v>7</v>
      </c>
      <c r="N1315" s="18" t="str">
        <f t="shared" ca="1" si="431"/>
        <v>—</v>
      </c>
      <c r="O1315" s="17">
        <f t="shared" ca="1" si="432"/>
        <v>7</v>
      </c>
      <c r="P1315" s="18" t="str">
        <f t="shared" ca="1" si="433"/>
        <v>—</v>
      </c>
      <c r="Q1315" s="17">
        <f t="shared" ca="1" si="434"/>
        <v>7</v>
      </c>
      <c r="R1315" s="10" t="str">
        <f t="shared" ca="1" si="435"/>
        <v>—</v>
      </c>
      <c r="S1315" s="17">
        <f t="shared" ca="1" si="436"/>
        <v>7</v>
      </c>
      <c r="T1315" s="70" t="str">
        <f t="shared" ca="1" si="437"/>
        <v>—</v>
      </c>
      <c r="U1315" s="17">
        <f t="shared" ca="1" si="438"/>
        <v>7</v>
      </c>
      <c r="V1315" s="71" t="str">
        <f t="shared" ca="1" si="439"/>
        <v>—</v>
      </c>
      <c r="W1315" s="17">
        <f t="shared" ca="1" si="440"/>
        <v>7</v>
      </c>
    </row>
    <row r="1316" spans="1:23" x14ac:dyDescent="0.25">
      <c r="A1316" s="4">
        <f t="shared" si="420"/>
        <v>32</v>
      </c>
      <c r="B1316" t="str">
        <f ca="1">TEXT(DATE(YEAR(Invoer!$A$6),1,1)+INT((ROWS(B$2:B1316)-1)/4),"jjjjmmdd")</f>
        <v>19401124</v>
      </c>
      <c r="C1316" s="64" t="str">
        <f>IF(MOD(ROWS(C$2:C1316)-1,4)=3,"24.00",INDEX(Data,3,2+MOD(ROWS(C$2:C1316)-1,4)))</f>
        <v>17.00</v>
      </c>
      <c r="D1316" s="18" t="str">
        <f t="shared" ca="1" si="421"/>
        <v>—</v>
      </c>
      <c r="E1316" s="17">
        <f t="shared" ca="1" si="422"/>
        <v>7</v>
      </c>
      <c r="F1316" s="18" t="str">
        <f t="shared" ca="1" si="423"/>
        <v>—</v>
      </c>
      <c r="G1316" s="17">
        <f t="shared" ca="1" si="424"/>
        <v>7</v>
      </c>
      <c r="H1316" s="18" t="str">
        <f t="shared" ca="1" si="425"/>
        <v>—</v>
      </c>
      <c r="I1316" s="17">
        <f t="shared" ca="1" si="426"/>
        <v>7</v>
      </c>
      <c r="J1316" s="18" t="str">
        <f t="shared" ca="1" si="427"/>
        <v>—</v>
      </c>
      <c r="K1316" s="17">
        <f t="shared" ca="1" si="428"/>
        <v>7</v>
      </c>
      <c r="L1316" s="10" t="str">
        <f t="shared" ca="1" si="429"/>
        <v>—</v>
      </c>
      <c r="M1316" s="17">
        <f t="shared" ca="1" si="430"/>
        <v>7</v>
      </c>
      <c r="N1316" s="18" t="str">
        <f t="shared" ca="1" si="431"/>
        <v>—</v>
      </c>
      <c r="O1316" s="17">
        <f t="shared" ca="1" si="432"/>
        <v>7</v>
      </c>
      <c r="P1316" s="18" t="str">
        <f t="shared" ca="1" si="433"/>
        <v>—</v>
      </c>
      <c r="Q1316" s="17">
        <f t="shared" ca="1" si="434"/>
        <v>7</v>
      </c>
      <c r="R1316" s="10" t="str">
        <f t="shared" ca="1" si="435"/>
        <v>—</v>
      </c>
      <c r="S1316" s="17">
        <f t="shared" ca="1" si="436"/>
        <v>7</v>
      </c>
      <c r="T1316" s="70" t="str">
        <f t="shared" ca="1" si="437"/>
        <v>—</v>
      </c>
      <c r="U1316" s="17">
        <f t="shared" ca="1" si="438"/>
        <v>7</v>
      </c>
      <c r="V1316" s="71" t="str">
        <f t="shared" ca="1" si="439"/>
        <v>—</v>
      </c>
      <c r="W1316" s="17">
        <f t="shared" ca="1" si="440"/>
        <v>7</v>
      </c>
    </row>
    <row r="1317" spans="1:23" x14ac:dyDescent="0.25">
      <c r="A1317" s="4">
        <f t="shared" si="420"/>
        <v>32</v>
      </c>
      <c r="B1317" t="str">
        <f ca="1">TEXT(DATE(YEAR(Invoer!$A$6),1,1)+INT((ROWS(B$2:B1317)-1)/4),"jjjjmmdd")</f>
        <v>19401124</v>
      </c>
      <c r="C1317" s="64" t="str">
        <f>IF(MOD(ROWS(C$2:C1317)-1,4)=3,"24.00",INDEX(Data,3,2+MOD(ROWS(C$2:C1317)-1,4)))</f>
        <v>24.00</v>
      </c>
      <c r="D1317" s="18" t="str">
        <f t="shared" ca="1" si="421"/>
        <v>—</v>
      </c>
      <c r="E1317" s="17">
        <f t="shared" ca="1" si="422"/>
        <v>7</v>
      </c>
      <c r="F1317" s="18" t="str">
        <f t="shared" ca="1" si="423"/>
        <v>—</v>
      </c>
      <c r="G1317" s="17">
        <f t="shared" ca="1" si="424"/>
        <v>7</v>
      </c>
      <c r="H1317" s="18" t="str">
        <f t="shared" ca="1" si="425"/>
        <v>—</v>
      </c>
      <c r="I1317" s="17">
        <f t="shared" ca="1" si="426"/>
        <v>7</v>
      </c>
      <c r="J1317" s="18" t="str">
        <f t="shared" ca="1" si="427"/>
        <v>—</v>
      </c>
      <c r="K1317" s="17">
        <f t="shared" ca="1" si="428"/>
        <v>7</v>
      </c>
      <c r="L1317" s="10" t="str">
        <f t="shared" ca="1" si="429"/>
        <v>—</v>
      </c>
      <c r="M1317" s="17">
        <f t="shared" ca="1" si="430"/>
        <v>7</v>
      </c>
      <c r="N1317" s="18" t="str">
        <f t="shared" ca="1" si="431"/>
        <v>—</v>
      </c>
      <c r="O1317" s="17">
        <f t="shared" ca="1" si="432"/>
        <v>7</v>
      </c>
      <c r="P1317" s="18" t="str">
        <f t="shared" ca="1" si="433"/>
        <v>—</v>
      </c>
      <c r="Q1317" s="17">
        <f t="shared" ca="1" si="434"/>
        <v>7</v>
      </c>
      <c r="R1317" s="10" t="str">
        <f t="shared" ca="1" si="435"/>
        <v>—</v>
      </c>
      <c r="S1317" s="17">
        <f t="shared" ca="1" si="436"/>
        <v>7</v>
      </c>
      <c r="T1317" s="70" t="str">
        <f t="shared" ca="1" si="437"/>
        <v>—</v>
      </c>
      <c r="U1317" s="17">
        <f t="shared" ca="1" si="438"/>
        <v>7</v>
      </c>
      <c r="V1317" s="71" t="str">
        <f t="shared" ca="1" si="439"/>
        <v>—</v>
      </c>
      <c r="W1317" s="17">
        <f t="shared" ca="1" si="440"/>
        <v>7</v>
      </c>
    </row>
    <row r="1318" spans="1:23" x14ac:dyDescent="0.25">
      <c r="A1318" s="4">
        <f t="shared" si="420"/>
        <v>32</v>
      </c>
      <c r="B1318" t="str">
        <f ca="1">TEXT(DATE(YEAR(Invoer!$A$6),1,1)+INT((ROWS(B$2:B1318)-1)/4),"jjjjmmdd")</f>
        <v>19401125</v>
      </c>
      <c r="C1318" s="64" t="str">
        <f>IF(MOD(ROWS(C$2:C1318)-1,4)=3,"24.00",INDEX(Data,3,2+MOD(ROWS(C$2:C1318)-1,4)))</f>
        <v>07.00</v>
      </c>
      <c r="D1318" s="18" t="str">
        <f t="shared" ca="1" si="421"/>
        <v>—</v>
      </c>
      <c r="E1318" s="17">
        <f t="shared" ca="1" si="422"/>
        <v>7</v>
      </c>
      <c r="F1318" s="18" t="str">
        <f t="shared" ca="1" si="423"/>
        <v>—</v>
      </c>
      <c r="G1318" s="17">
        <f t="shared" ca="1" si="424"/>
        <v>7</v>
      </c>
      <c r="H1318" s="18" t="str">
        <f t="shared" ca="1" si="425"/>
        <v>—</v>
      </c>
      <c r="I1318" s="17">
        <f t="shared" ca="1" si="426"/>
        <v>7</v>
      </c>
      <c r="J1318" s="18" t="str">
        <f t="shared" ca="1" si="427"/>
        <v>—</v>
      </c>
      <c r="K1318" s="17">
        <f t="shared" ca="1" si="428"/>
        <v>7</v>
      </c>
      <c r="L1318" s="10" t="str">
        <f t="shared" ca="1" si="429"/>
        <v>—</v>
      </c>
      <c r="M1318" s="17">
        <f t="shared" ca="1" si="430"/>
        <v>7</v>
      </c>
      <c r="N1318" s="18" t="str">
        <f t="shared" ca="1" si="431"/>
        <v>—</v>
      </c>
      <c r="O1318" s="17">
        <f t="shared" ca="1" si="432"/>
        <v>7</v>
      </c>
      <c r="P1318" s="18" t="str">
        <f t="shared" ca="1" si="433"/>
        <v>—</v>
      </c>
      <c r="Q1318" s="17">
        <f t="shared" ca="1" si="434"/>
        <v>7</v>
      </c>
      <c r="R1318" s="10" t="str">
        <f t="shared" ca="1" si="435"/>
        <v>—</v>
      </c>
      <c r="S1318" s="17">
        <f t="shared" ca="1" si="436"/>
        <v>7</v>
      </c>
      <c r="T1318" s="70" t="str">
        <f t="shared" ca="1" si="437"/>
        <v>—</v>
      </c>
      <c r="U1318" s="17">
        <f t="shared" ca="1" si="438"/>
        <v>7</v>
      </c>
      <c r="V1318" s="71" t="str">
        <f t="shared" ca="1" si="439"/>
        <v>—</v>
      </c>
      <c r="W1318" s="17">
        <f t="shared" ca="1" si="440"/>
        <v>7</v>
      </c>
    </row>
    <row r="1319" spans="1:23" x14ac:dyDescent="0.25">
      <c r="A1319" s="4">
        <f t="shared" si="420"/>
        <v>32</v>
      </c>
      <c r="B1319" t="str">
        <f ca="1">TEXT(DATE(YEAR(Invoer!$A$6),1,1)+INT((ROWS(B$2:B1319)-1)/4),"jjjjmmdd")</f>
        <v>19401125</v>
      </c>
      <c r="C1319" s="64" t="str">
        <f>IF(MOD(ROWS(C$2:C1319)-1,4)=3,"24.00",INDEX(Data,3,2+MOD(ROWS(C$2:C1319)-1,4)))</f>
        <v>12.00</v>
      </c>
      <c r="D1319" s="18" t="str">
        <f t="shared" ca="1" si="421"/>
        <v>—</v>
      </c>
      <c r="E1319" s="17">
        <f t="shared" ca="1" si="422"/>
        <v>7</v>
      </c>
      <c r="F1319" s="18" t="str">
        <f t="shared" ca="1" si="423"/>
        <v>—</v>
      </c>
      <c r="G1319" s="17">
        <f t="shared" ca="1" si="424"/>
        <v>7</v>
      </c>
      <c r="H1319" s="18" t="str">
        <f t="shared" ca="1" si="425"/>
        <v>—</v>
      </c>
      <c r="I1319" s="17">
        <f t="shared" ca="1" si="426"/>
        <v>7</v>
      </c>
      <c r="J1319" s="18" t="str">
        <f t="shared" ca="1" si="427"/>
        <v>—</v>
      </c>
      <c r="K1319" s="17">
        <f t="shared" ca="1" si="428"/>
        <v>7</v>
      </c>
      <c r="L1319" s="10" t="str">
        <f t="shared" ca="1" si="429"/>
        <v>—</v>
      </c>
      <c r="M1319" s="17">
        <f t="shared" ca="1" si="430"/>
        <v>7</v>
      </c>
      <c r="N1319" s="18" t="str">
        <f t="shared" ca="1" si="431"/>
        <v>—</v>
      </c>
      <c r="O1319" s="17">
        <f t="shared" ca="1" si="432"/>
        <v>7</v>
      </c>
      <c r="P1319" s="18" t="str">
        <f t="shared" ca="1" si="433"/>
        <v>—</v>
      </c>
      <c r="Q1319" s="17">
        <f t="shared" ca="1" si="434"/>
        <v>7</v>
      </c>
      <c r="R1319" s="10" t="str">
        <f t="shared" ca="1" si="435"/>
        <v>—</v>
      </c>
      <c r="S1319" s="17">
        <f t="shared" ca="1" si="436"/>
        <v>7</v>
      </c>
      <c r="T1319" s="70" t="str">
        <f t="shared" ca="1" si="437"/>
        <v>—</v>
      </c>
      <c r="U1319" s="17">
        <f t="shared" ca="1" si="438"/>
        <v>7</v>
      </c>
      <c r="V1319" s="71" t="str">
        <f t="shared" ca="1" si="439"/>
        <v>—</v>
      </c>
      <c r="W1319" s="17">
        <f t="shared" ca="1" si="440"/>
        <v>7</v>
      </c>
    </row>
    <row r="1320" spans="1:23" x14ac:dyDescent="0.25">
      <c r="A1320" s="4">
        <f t="shared" si="420"/>
        <v>32</v>
      </c>
      <c r="B1320" t="str">
        <f ca="1">TEXT(DATE(YEAR(Invoer!$A$6),1,1)+INT((ROWS(B$2:B1320)-1)/4),"jjjjmmdd")</f>
        <v>19401125</v>
      </c>
      <c r="C1320" s="64" t="str">
        <f>IF(MOD(ROWS(C$2:C1320)-1,4)=3,"24.00",INDEX(Data,3,2+MOD(ROWS(C$2:C1320)-1,4)))</f>
        <v>17.00</v>
      </c>
      <c r="D1320" s="18" t="str">
        <f t="shared" ca="1" si="421"/>
        <v>—</v>
      </c>
      <c r="E1320" s="17">
        <f t="shared" ca="1" si="422"/>
        <v>7</v>
      </c>
      <c r="F1320" s="18" t="str">
        <f t="shared" ca="1" si="423"/>
        <v>—</v>
      </c>
      <c r="G1320" s="17">
        <f t="shared" ca="1" si="424"/>
        <v>7</v>
      </c>
      <c r="H1320" s="18" t="str">
        <f t="shared" ca="1" si="425"/>
        <v>—</v>
      </c>
      <c r="I1320" s="17">
        <f t="shared" ca="1" si="426"/>
        <v>7</v>
      </c>
      <c r="J1320" s="18" t="str">
        <f t="shared" ca="1" si="427"/>
        <v>—</v>
      </c>
      <c r="K1320" s="17">
        <f t="shared" ca="1" si="428"/>
        <v>7</v>
      </c>
      <c r="L1320" s="10" t="str">
        <f t="shared" ca="1" si="429"/>
        <v>—</v>
      </c>
      <c r="M1320" s="17">
        <f t="shared" ca="1" si="430"/>
        <v>7</v>
      </c>
      <c r="N1320" s="18" t="str">
        <f t="shared" ca="1" si="431"/>
        <v>—</v>
      </c>
      <c r="O1320" s="17">
        <f t="shared" ca="1" si="432"/>
        <v>7</v>
      </c>
      <c r="P1320" s="18" t="str">
        <f t="shared" ca="1" si="433"/>
        <v>—</v>
      </c>
      <c r="Q1320" s="17">
        <f t="shared" ca="1" si="434"/>
        <v>7</v>
      </c>
      <c r="R1320" s="10" t="str">
        <f t="shared" ca="1" si="435"/>
        <v>—</v>
      </c>
      <c r="S1320" s="17">
        <f t="shared" ca="1" si="436"/>
        <v>7</v>
      </c>
      <c r="T1320" s="70" t="str">
        <f t="shared" ca="1" si="437"/>
        <v>—</v>
      </c>
      <c r="U1320" s="17">
        <f t="shared" ca="1" si="438"/>
        <v>7</v>
      </c>
      <c r="V1320" s="71" t="str">
        <f t="shared" ca="1" si="439"/>
        <v>—</v>
      </c>
      <c r="W1320" s="17">
        <f t="shared" ca="1" si="440"/>
        <v>7</v>
      </c>
    </row>
    <row r="1321" spans="1:23" x14ac:dyDescent="0.25">
      <c r="A1321" s="4">
        <f t="shared" si="420"/>
        <v>32</v>
      </c>
      <c r="B1321" t="str">
        <f ca="1">TEXT(DATE(YEAR(Invoer!$A$6),1,1)+INT((ROWS(B$2:B1321)-1)/4),"jjjjmmdd")</f>
        <v>19401125</v>
      </c>
      <c r="C1321" s="64" t="str">
        <f>IF(MOD(ROWS(C$2:C1321)-1,4)=3,"24.00",INDEX(Data,3,2+MOD(ROWS(C$2:C1321)-1,4)))</f>
        <v>24.00</v>
      </c>
      <c r="D1321" s="18" t="str">
        <f t="shared" ca="1" si="421"/>
        <v>—</v>
      </c>
      <c r="E1321" s="17">
        <f t="shared" ca="1" si="422"/>
        <v>7</v>
      </c>
      <c r="F1321" s="18" t="str">
        <f t="shared" ca="1" si="423"/>
        <v>—</v>
      </c>
      <c r="G1321" s="17">
        <f t="shared" ca="1" si="424"/>
        <v>7</v>
      </c>
      <c r="H1321" s="18" t="str">
        <f t="shared" ca="1" si="425"/>
        <v>—</v>
      </c>
      <c r="I1321" s="17">
        <f t="shared" ca="1" si="426"/>
        <v>7</v>
      </c>
      <c r="J1321" s="18" t="str">
        <f t="shared" ca="1" si="427"/>
        <v>—</v>
      </c>
      <c r="K1321" s="17">
        <f t="shared" ca="1" si="428"/>
        <v>7</v>
      </c>
      <c r="L1321" s="10" t="str">
        <f t="shared" ca="1" si="429"/>
        <v>—</v>
      </c>
      <c r="M1321" s="17">
        <f t="shared" ca="1" si="430"/>
        <v>7</v>
      </c>
      <c r="N1321" s="18" t="str">
        <f t="shared" ca="1" si="431"/>
        <v>—</v>
      </c>
      <c r="O1321" s="17">
        <f t="shared" ca="1" si="432"/>
        <v>7</v>
      </c>
      <c r="P1321" s="18" t="str">
        <f t="shared" ca="1" si="433"/>
        <v>—</v>
      </c>
      <c r="Q1321" s="17">
        <f t="shared" ca="1" si="434"/>
        <v>7</v>
      </c>
      <c r="R1321" s="10" t="str">
        <f t="shared" ca="1" si="435"/>
        <v>—</v>
      </c>
      <c r="S1321" s="17">
        <f t="shared" ca="1" si="436"/>
        <v>7</v>
      </c>
      <c r="T1321" s="70" t="str">
        <f t="shared" ca="1" si="437"/>
        <v>—</v>
      </c>
      <c r="U1321" s="17">
        <f t="shared" ca="1" si="438"/>
        <v>7</v>
      </c>
      <c r="V1321" s="71" t="str">
        <f t="shared" ca="1" si="439"/>
        <v>—</v>
      </c>
      <c r="W1321" s="17">
        <f t="shared" ca="1" si="440"/>
        <v>7</v>
      </c>
    </row>
    <row r="1322" spans="1:23" x14ac:dyDescent="0.25">
      <c r="A1322" s="4">
        <f t="shared" si="420"/>
        <v>32</v>
      </c>
      <c r="B1322" t="str">
        <f ca="1">TEXT(DATE(YEAR(Invoer!$A$6),1,1)+INT((ROWS(B$2:B1322)-1)/4),"jjjjmmdd")</f>
        <v>19401126</v>
      </c>
      <c r="C1322" s="64" t="str">
        <f>IF(MOD(ROWS(C$2:C1322)-1,4)=3,"24.00",INDEX(Data,3,2+MOD(ROWS(C$2:C1322)-1,4)))</f>
        <v>07.00</v>
      </c>
      <c r="D1322" s="18" t="str">
        <f t="shared" ca="1" si="421"/>
        <v>—</v>
      </c>
      <c r="E1322" s="17">
        <f t="shared" ca="1" si="422"/>
        <v>7</v>
      </c>
      <c r="F1322" s="18" t="str">
        <f t="shared" ca="1" si="423"/>
        <v>—</v>
      </c>
      <c r="G1322" s="17">
        <f t="shared" ca="1" si="424"/>
        <v>7</v>
      </c>
      <c r="H1322" s="18" t="str">
        <f t="shared" ca="1" si="425"/>
        <v>—</v>
      </c>
      <c r="I1322" s="17">
        <f t="shared" ca="1" si="426"/>
        <v>7</v>
      </c>
      <c r="J1322" s="18" t="str">
        <f t="shared" ca="1" si="427"/>
        <v>—</v>
      </c>
      <c r="K1322" s="17">
        <f t="shared" ca="1" si="428"/>
        <v>7</v>
      </c>
      <c r="L1322" s="10" t="str">
        <f t="shared" ca="1" si="429"/>
        <v>—</v>
      </c>
      <c r="M1322" s="17">
        <f t="shared" ca="1" si="430"/>
        <v>7</v>
      </c>
      <c r="N1322" s="18" t="str">
        <f t="shared" ca="1" si="431"/>
        <v>—</v>
      </c>
      <c r="O1322" s="17">
        <f t="shared" ca="1" si="432"/>
        <v>7</v>
      </c>
      <c r="P1322" s="18" t="str">
        <f t="shared" ca="1" si="433"/>
        <v>—</v>
      </c>
      <c r="Q1322" s="17">
        <f t="shared" ca="1" si="434"/>
        <v>7</v>
      </c>
      <c r="R1322" s="10" t="str">
        <f t="shared" ca="1" si="435"/>
        <v>—</v>
      </c>
      <c r="S1322" s="17">
        <f t="shared" ca="1" si="436"/>
        <v>7</v>
      </c>
      <c r="T1322" s="70" t="str">
        <f t="shared" ca="1" si="437"/>
        <v>—</v>
      </c>
      <c r="U1322" s="17">
        <f t="shared" ca="1" si="438"/>
        <v>7</v>
      </c>
      <c r="V1322" s="71" t="str">
        <f t="shared" ca="1" si="439"/>
        <v>—</v>
      </c>
      <c r="W1322" s="17">
        <f t="shared" ca="1" si="440"/>
        <v>7</v>
      </c>
    </row>
    <row r="1323" spans="1:23" x14ac:dyDescent="0.25">
      <c r="A1323" s="4">
        <f t="shared" si="420"/>
        <v>32</v>
      </c>
      <c r="B1323" t="str">
        <f ca="1">TEXT(DATE(YEAR(Invoer!$A$6),1,1)+INT((ROWS(B$2:B1323)-1)/4),"jjjjmmdd")</f>
        <v>19401126</v>
      </c>
      <c r="C1323" s="64" t="str">
        <f>IF(MOD(ROWS(C$2:C1323)-1,4)=3,"24.00",INDEX(Data,3,2+MOD(ROWS(C$2:C1323)-1,4)))</f>
        <v>12.00</v>
      </c>
      <c r="D1323" s="18" t="str">
        <f t="shared" ca="1" si="421"/>
        <v>—</v>
      </c>
      <c r="E1323" s="17">
        <f t="shared" ca="1" si="422"/>
        <v>7</v>
      </c>
      <c r="F1323" s="18" t="str">
        <f t="shared" ca="1" si="423"/>
        <v>—</v>
      </c>
      <c r="G1323" s="17">
        <f t="shared" ca="1" si="424"/>
        <v>7</v>
      </c>
      <c r="H1323" s="18" t="str">
        <f t="shared" ca="1" si="425"/>
        <v>—</v>
      </c>
      <c r="I1323" s="17">
        <f t="shared" ca="1" si="426"/>
        <v>7</v>
      </c>
      <c r="J1323" s="18" t="str">
        <f t="shared" ca="1" si="427"/>
        <v>—</v>
      </c>
      <c r="K1323" s="17">
        <f t="shared" ca="1" si="428"/>
        <v>7</v>
      </c>
      <c r="L1323" s="10" t="str">
        <f t="shared" ca="1" si="429"/>
        <v>—</v>
      </c>
      <c r="M1323" s="17">
        <f t="shared" ca="1" si="430"/>
        <v>7</v>
      </c>
      <c r="N1323" s="18" t="str">
        <f t="shared" ca="1" si="431"/>
        <v>—</v>
      </c>
      <c r="O1323" s="17">
        <f t="shared" ca="1" si="432"/>
        <v>7</v>
      </c>
      <c r="P1323" s="18" t="str">
        <f t="shared" ca="1" si="433"/>
        <v>—</v>
      </c>
      <c r="Q1323" s="17">
        <f t="shared" ca="1" si="434"/>
        <v>7</v>
      </c>
      <c r="R1323" s="10" t="str">
        <f t="shared" ca="1" si="435"/>
        <v>—</v>
      </c>
      <c r="S1323" s="17">
        <f t="shared" ca="1" si="436"/>
        <v>7</v>
      </c>
      <c r="T1323" s="70" t="str">
        <f t="shared" ca="1" si="437"/>
        <v>—</v>
      </c>
      <c r="U1323" s="17">
        <f t="shared" ca="1" si="438"/>
        <v>7</v>
      </c>
      <c r="V1323" s="71" t="str">
        <f t="shared" ca="1" si="439"/>
        <v>—</v>
      </c>
      <c r="W1323" s="17">
        <f t="shared" ca="1" si="440"/>
        <v>7</v>
      </c>
    </row>
    <row r="1324" spans="1:23" x14ac:dyDescent="0.25">
      <c r="A1324" s="4">
        <f t="shared" si="420"/>
        <v>32</v>
      </c>
      <c r="B1324" t="str">
        <f ca="1">TEXT(DATE(YEAR(Invoer!$A$6),1,1)+INT((ROWS(B$2:B1324)-1)/4),"jjjjmmdd")</f>
        <v>19401126</v>
      </c>
      <c r="C1324" s="64" t="str">
        <f>IF(MOD(ROWS(C$2:C1324)-1,4)=3,"24.00",INDEX(Data,3,2+MOD(ROWS(C$2:C1324)-1,4)))</f>
        <v>17.00</v>
      </c>
      <c r="D1324" s="18" t="str">
        <f t="shared" ca="1" si="421"/>
        <v>—</v>
      </c>
      <c r="E1324" s="17">
        <f t="shared" ca="1" si="422"/>
        <v>7</v>
      </c>
      <c r="F1324" s="18" t="str">
        <f t="shared" ca="1" si="423"/>
        <v>—</v>
      </c>
      <c r="G1324" s="17">
        <f t="shared" ca="1" si="424"/>
        <v>7</v>
      </c>
      <c r="H1324" s="18" t="str">
        <f t="shared" ca="1" si="425"/>
        <v>—</v>
      </c>
      <c r="I1324" s="17">
        <f t="shared" ca="1" si="426"/>
        <v>7</v>
      </c>
      <c r="J1324" s="18" t="str">
        <f t="shared" ca="1" si="427"/>
        <v>—</v>
      </c>
      <c r="K1324" s="17">
        <f t="shared" ca="1" si="428"/>
        <v>7</v>
      </c>
      <c r="L1324" s="10" t="str">
        <f t="shared" ca="1" si="429"/>
        <v>—</v>
      </c>
      <c r="M1324" s="17">
        <f t="shared" ca="1" si="430"/>
        <v>7</v>
      </c>
      <c r="N1324" s="18" t="str">
        <f t="shared" ca="1" si="431"/>
        <v>—</v>
      </c>
      <c r="O1324" s="17">
        <f t="shared" ca="1" si="432"/>
        <v>7</v>
      </c>
      <c r="P1324" s="18" t="str">
        <f t="shared" ca="1" si="433"/>
        <v>—</v>
      </c>
      <c r="Q1324" s="17">
        <f t="shared" ca="1" si="434"/>
        <v>7</v>
      </c>
      <c r="R1324" s="10" t="str">
        <f t="shared" ca="1" si="435"/>
        <v>—</v>
      </c>
      <c r="S1324" s="17">
        <f t="shared" ca="1" si="436"/>
        <v>7</v>
      </c>
      <c r="T1324" s="70" t="str">
        <f t="shared" ca="1" si="437"/>
        <v>—</v>
      </c>
      <c r="U1324" s="17">
        <f t="shared" ca="1" si="438"/>
        <v>7</v>
      </c>
      <c r="V1324" s="71" t="str">
        <f t="shared" ca="1" si="439"/>
        <v>—</v>
      </c>
      <c r="W1324" s="17">
        <f t="shared" ca="1" si="440"/>
        <v>7</v>
      </c>
    </row>
    <row r="1325" spans="1:23" x14ac:dyDescent="0.25">
      <c r="A1325" s="4">
        <f t="shared" si="420"/>
        <v>32</v>
      </c>
      <c r="B1325" t="str">
        <f ca="1">TEXT(DATE(YEAR(Invoer!$A$6),1,1)+INT((ROWS(B$2:B1325)-1)/4),"jjjjmmdd")</f>
        <v>19401126</v>
      </c>
      <c r="C1325" s="64" t="str">
        <f>IF(MOD(ROWS(C$2:C1325)-1,4)=3,"24.00",INDEX(Data,3,2+MOD(ROWS(C$2:C1325)-1,4)))</f>
        <v>24.00</v>
      </c>
      <c r="D1325" s="18" t="str">
        <f t="shared" ca="1" si="421"/>
        <v>—</v>
      </c>
      <c r="E1325" s="17">
        <f t="shared" ca="1" si="422"/>
        <v>7</v>
      </c>
      <c r="F1325" s="18" t="str">
        <f t="shared" ca="1" si="423"/>
        <v>—</v>
      </c>
      <c r="G1325" s="17">
        <f t="shared" ca="1" si="424"/>
        <v>7</v>
      </c>
      <c r="H1325" s="18" t="str">
        <f t="shared" ca="1" si="425"/>
        <v>—</v>
      </c>
      <c r="I1325" s="17">
        <f t="shared" ca="1" si="426"/>
        <v>7</v>
      </c>
      <c r="J1325" s="18" t="str">
        <f t="shared" ca="1" si="427"/>
        <v>—</v>
      </c>
      <c r="K1325" s="17">
        <f t="shared" ca="1" si="428"/>
        <v>7</v>
      </c>
      <c r="L1325" s="10" t="str">
        <f t="shared" ca="1" si="429"/>
        <v>—</v>
      </c>
      <c r="M1325" s="17">
        <f t="shared" ca="1" si="430"/>
        <v>7</v>
      </c>
      <c r="N1325" s="18" t="str">
        <f t="shared" ca="1" si="431"/>
        <v>—</v>
      </c>
      <c r="O1325" s="17">
        <f t="shared" ca="1" si="432"/>
        <v>7</v>
      </c>
      <c r="P1325" s="18" t="str">
        <f t="shared" ca="1" si="433"/>
        <v>—</v>
      </c>
      <c r="Q1325" s="17">
        <f t="shared" ca="1" si="434"/>
        <v>7</v>
      </c>
      <c r="R1325" s="10" t="str">
        <f t="shared" ca="1" si="435"/>
        <v>—</v>
      </c>
      <c r="S1325" s="17">
        <f t="shared" ca="1" si="436"/>
        <v>7</v>
      </c>
      <c r="T1325" s="70" t="str">
        <f t="shared" ca="1" si="437"/>
        <v>—</v>
      </c>
      <c r="U1325" s="17">
        <f t="shared" ca="1" si="438"/>
        <v>7</v>
      </c>
      <c r="V1325" s="71" t="str">
        <f t="shared" ca="1" si="439"/>
        <v>—</v>
      </c>
      <c r="W1325" s="17">
        <f t="shared" ca="1" si="440"/>
        <v>7</v>
      </c>
    </row>
    <row r="1326" spans="1:23" x14ac:dyDescent="0.25">
      <c r="A1326" s="4">
        <f t="shared" si="420"/>
        <v>32</v>
      </c>
      <c r="B1326" t="str">
        <f ca="1">TEXT(DATE(YEAR(Invoer!$A$6),1,1)+INT((ROWS(B$2:B1326)-1)/4),"jjjjmmdd")</f>
        <v>19401127</v>
      </c>
      <c r="C1326" s="64" t="str">
        <f>IF(MOD(ROWS(C$2:C1326)-1,4)=3,"24.00",INDEX(Data,3,2+MOD(ROWS(C$2:C1326)-1,4)))</f>
        <v>07.00</v>
      </c>
      <c r="D1326" s="18" t="str">
        <f t="shared" ca="1" si="421"/>
        <v>—</v>
      </c>
      <c r="E1326" s="17">
        <f t="shared" ca="1" si="422"/>
        <v>7</v>
      </c>
      <c r="F1326" s="18" t="str">
        <f t="shared" ca="1" si="423"/>
        <v>—</v>
      </c>
      <c r="G1326" s="17">
        <f t="shared" ca="1" si="424"/>
        <v>7</v>
      </c>
      <c r="H1326" s="18" t="str">
        <f t="shared" ca="1" si="425"/>
        <v>—</v>
      </c>
      <c r="I1326" s="17">
        <f t="shared" ca="1" si="426"/>
        <v>7</v>
      </c>
      <c r="J1326" s="18" t="str">
        <f t="shared" ca="1" si="427"/>
        <v>—</v>
      </c>
      <c r="K1326" s="17">
        <f t="shared" ca="1" si="428"/>
        <v>7</v>
      </c>
      <c r="L1326" s="10" t="str">
        <f t="shared" ca="1" si="429"/>
        <v>—</v>
      </c>
      <c r="M1326" s="17">
        <f t="shared" ca="1" si="430"/>
        <v>7</v>
      </c>
      <c r="N1326" s="18" t="str">
        <f t="shared" ca="1" si="431"/>
        <v>—</v>
      </c>
      <c r="O1326" s="17">
        <f t="shared" ca="1" si="432"/>
        <v>7</v>
      </c>
      <c r="P1326" s="18" t="str">
        <f t="shared" ca="1" si="433"/>
        <v>—</v>
      </c>
      <c r="Q1326" s="17">
        <f t="shared" ca="1" si="434"/>
        <v>7</v>
      </c>
      <c r="R1326" s="10" t="str">
        <f t="shared" ca="1" si="435"/>
        <v>—</v>
      </c>
      <c r="S1326" s="17">
        <f t="shared" ca="1" si="436"/>
        <v>7</v>
      </c>
      <c r="T1326" s="70" t="str">
        <f t="shared" ca="1" si="437"/>
        <v>—</v>
      </c>
      <c r="U1326" s="17">
        <f t="shared" ca="1" si="438"/>
        <v>7</v>
      </c>
      <c r="V1326" s="71" t="str">
        <f t="shared" ca="1" si="439"/>
        <v>—</v>
      </c>
      <c r="W1326" s="17">
        <f t="shared" ca="1" si="440"/>
        <v>7</v>
      </c>
    </row>
    <row r="1327" spans="1:23" x14ac:dyDescent="0.25">
      <c r="A1327" s="4">
        <f t="shared" si="420"/>
        <v>32</v>
      </c>
      <c r="B1327" t="str">
        <f ca="1">TEXT(DATE(YEAR(Invoer!$A$6),1,1)+INT((ROWS(B$2:B1327)-1)/4),"jjjjmmdd")</f>
        <v>19401127</v>
      </c>
      <c r="C1327" s="64" t="str">
        <f>IF(MOD(ROWS(C$2:C1327)-1,4)=3,"24.00",INDEX(Data,3,2+MOD(ROWS(C$2:C1327)-1,4)))</f>
        <v>12.00</v>
      </c>
      <c r="D1327" s="18" t="str">
        <f t="shared" ca="1" si="421"/>
        <v>—</v>
      </c>
      <c r="E1327" s="17">
        <f t="shared" ca="1" si="422"/>
        <v>7</v>
      </c>
      <c r="F1327" s="18" t="str">
        <f t="shared" ca="1" si="423"/>
        <v>—</v>
      </c>
      <c r="G1327" s="17">
        <f t="shared" ca="1" si="424"/>
        <v>7</v>
      </c>
      <c r="H1327" s="18" t="str">
        <f t="shared" ca="1" si="425"/>
        <v>—</v>
      </c>
      <c r="I1327" s="17">
        <f t="shared" ca="1" si="426"/>
        <v>7</v>
      </c>
      <c r="J1327" s="18" t="str">
        <f t="shared" ca="1" si="427"/>
        <v>—</v>
      </c>
      <c r="K1327" s="17">
        <f t="shared" ca="1" si="428"/>
        <v>7</v>
      </c>
      <c r="L1327" s="10" t="str">
        <f t="shared" ca="1" si="429"/>
        <v>—</v>
      </c>
      <c r="M1327" s="17">
        <f t="shared" ca="1" si="430"/>
        <v>7</v>
      </c>
      <c r="N1327" s="18" t="str">
        <f t="shared" ca="1" si="431"/>
        <v>—</v>
      </c>
      <c r="O1327" s="17">
        <f t="shared" ca="1" si="432"/>
        <v>7</v>
      </c>
      <c r="P1327" s="18" t="str">
        <f t="shared" ca="1" si="433"/>
        <v>—</v>
      </c>
      <c r="Q1327" s="17">
        <f t="shared" ca="1" si="434"/>
        <v>7</v>
      </c>
      <c r="R1327" s="10" t="str">
        <f t="shared" ca="1" si="435"/>
        <v>—</v>
      </c>
      <c r="S1327" s="17">
        <f t="shared" ca="1" si="436"/>
        <v>7</v>
      </c>
      <c r="T1327" s="70" t="str">
        <f t="shared" ca="1" si="437"/>
        <v>—</v>
      </c>
      <c r="U1327" s="17">
        <f t="shared" ca="1" si="438"/>
        <v>7</v>
      </c>
      <c r="V1327" s="71" t="str">
        <f t="shared" ca="1" si="439"/>
        <v>—</v>
      </c>
      <c r="W1327" s="17">
        <f t="shared" ca="1" si="440"/>
        <v>7</v>
      </c>
    </row>
    <row r="1328" spans="1:23" x14ac:dyDescent="0.25">
      <c r="A1328" s="4">
        <f t="shared" si="420"/>
        <v>32</v>
      </c>
      <c r="B1328" t="str">
        <f ca="1">TEXT(DATE(YEAR(Invoer!$A$6),1,1)+INT((ROWS(B$2:B1328)-1)/4),"jjjjmmdd")</f>
        <v>19401127</v>
      </c>
      <c r="C1328" s="64" t="str">
        <f>IF(MOD(ROWS(C$2:C1328)-1,4)=3,"24.00",INDEX(Data,3,2+MOD(ROWS(C$2:C1328)-1,4)))</f>
        <v>17.00</v>
      </c>
      <c r="D1328" s="18" t="str">
        <f t="shared" ca="1" si="421"/>
        <v>—</v>
      </c>
      <c r="E1328" s="17">
        <f t="shared" ca="1" si="422"/>
        <v>7</v>
      </c>
      <c r="F1328" s="18" t="str">
        <f t="shared" ca="1" si="423"/>
        <v>—</v>
      </c>
      <c r="G1328" s="17">
        <f t="shared" ca="1" si="424"/>
        <v>7</v>
      </c>
      <c r="H1328" s="18" t="str">
        <f t="shared" ca="1" si="425"/>
        <v>—</v>
      </c>
      <c r="I1328" s="17">
        <f t="shared" ca="1" si="426"/>
        <v>7</v>
      </c>
      <c r="J1328" s="18" t="str">
        <f t="shared" ca="1" si="427"/>
        <v>—</v>
      </c>
      <c r="K1328" s="17">
        <f t="shared" ca="1" si="428"/>
        <v>7</v>
      </c>
      <c r="L1328" s="10" t="str">
        <f t="shared" ca="1" si="429"/>
        <v>—</v>
      </c>
      <c r="M1328" s="17">
        <f t="shared" ca="1" si="430"/>
        <v>7</v>
      </c>
      <c r="N1328" s="18" t="str">
        <f t="shared" ca="1" si="431"/>
        <v>—</v>
      </c>
      <c r="O1328" s="17">
        <f t="shared" ca="1" si="432"/>
        <v>7</v>
      </c>
      <c r="P1328" s="18" t="str">
        <f t="shared" ca="1" si="433"/>
        <v>—</v>
      </c>
      <c r="Q1328" s="17">
        <f t="shared" ca="1" si="434"/>
        <v>7</v>
      </c>
      <c r="R1328" s="10" t="str">
        <f t="shared" ca="1" si="435"/>
        <v>—</v>
      </c>
      <c r="S1328" s="17">
        <f t="shared" ca="1" si="436"/>
        <v>7</v>
      </c>
      <c r="T1328" s="70" t="str">
        <f t="shared" ca="1" si="437"/>
        <v>—</v>
      </c>
      <c r="U1328" s="17">
        <f t="shared" ca="1" si="438"/>
        <v>7</v>
      </c>
      <c r="V1328" s="71" t="str">
        <f t="shared" ca="1" si="439"/>
        <v>—</v>
      </c>
      <c r="W1328" s="17">
        <f t="shared" ca="1" si="440"/>
        <v>7</v>
      </c>
    </row>
    <row r="1329" spans="1:23" x14ac:dyDescent="0.25">
      <c r="A1329" s="4">
        <f t="shared" si="420"/>
        <v>32</v>
      </c>
      <c r="B1329" t="str">
        <f ca="1">TEXT(DATE(YEAR(Invoer!$A$6),1,1)+INT((ROWS(B$2:B1329)-1)/4),"jjjjmmdd")</f>
        <v>19401127</v>
      </c>
      <c r="C1329" s="64" t="str">
        <f>IF(MOD(ROWS(C$2:C1329)-1,4)=3,"24.00",INDEX(Data,3,2+MOD(ROWS(C$2:C1329)-1,4)))</f>
        <v>24.00</v>
      </c>
      <c r="D1329" s="18" t="str">
        <f t="shared" ca="1" si="421"/>
        <v>—</v>
      </c>
      <c r="E1329" s="17">
        <f t="shared" ca="1" si="422"/>
        <v>7</v>
      </c>
      <c r="F1329" s="18" t="str">
        <f t="shared" ca="1" si="423"/>
        <v>—</v>
      </c>
      <c r="G1329" s="17">
        <f t="shared" ca="1" si="424"/>
        <v>7</v>
      </c>
      <c r="H1329" s="18" t="str">
        <f t="shared" ca="1" si="425"/>
        <v>—</v>
      </c>
      <c r="I1329" s="17">
        <f t="shared" ca="1" si="426"/>
        <v>7</v>
      </c>
      <c r="J1329" s="18" t="str">
        <f t="shared" ca="1" si="427"/>
        <v>—</v>
      </c>
      <c r="K1329" s="17">
        <f t="shared" ca="1" si="428"/>
        <v>7</v>
      </c>
      <c r="L1329" s="10" t="str">
        <f t="shared" ca="1" si="429"/>
        <v>—</v>
      </c>
      <c r="M1329" s="17">
        <f t="shared" ca="1" si="430"/>
        <v>7</v>
      </c>
      <c r="N1329" s="18" t="str">
        <f t="shared" ca="1" si="431"/>
        <v>—</v>
      </c>
      <c r="O1329" s="17">
        <f t="shared" ca="1" si="432"/>
        <v>7</v>
      </c>
      <c r="P1329" s="18" t="str">
        <f t="shared" ca="1" si="433"/>
        <v>—</v>
      </c>
      <c r="Q1329" s="17">
        <f t="shared" ca="1" si="434"/>
        <v>7</v>
      </c>
      <c r="R1329" s="10" t="str">
        <f t="shared" ca="1" si="435"/>
        <v>—</v>
      </c>
      <c r="S1329" s="17">
        <f t="shared" ca="1" si="436"/>
        <v>7</v>
      </c>
      <c r="T1329" s="70" t="str">
        <f t="shared" ca="1" si="437"/>
        <v>—</v>
      </c>
      <c r="U1329" s="17">
        <f t="shared" ca="1" si="438"/>
        <v>7</v>
      </c>
      <c r="V1329" s="71" t="str">
        <f t="shared" ca="1" si="439"/>
        <v>—</v>
      </c>
      <c r="W1329" s="17">
        <f t="shared" ca="1" si="440"/>
        <v>7</v>
      </c>
    </row>
    <row r="1330" spans="1:23" x14ac:dyDescent="0.25">
      <c r="A1330" s="4">
        <f t="shared" si="420"/>
        <v>32</v>
      </c>
      <c r="B1330" t="str">
        <f ca="1">TEXT(DATE(YEAR(Invoer!$A$6),1,1)+INT((ROWS(B$2:B1330)-1)/4),"jjjjmmdd")</f>
        <v>19401128</v>
      </c>
      <c r="C1330" s="64" t="str">
        <f>IF(MOD(ROWS(C$2:C1330)-1,4)=3,"24.00",INDEX(Data,3,2+MOD(ROWS(C$2:C1330)-1,4)))</f>
        <v>07.00</v>
      </c>
      <c r="D1330" s="18" t="str">
        <f t="shared" ca="1" si="421"/>
        <v>—</v>
      </c>
      <c r="E1330" s="17">
        <f t="shared" ca="1" si="422"/>
        <v>7</v>
      </c>
      <c r="F1330" s="18" t="str">
        <f t="shared" ca="1" si="423"/>
        <v>—</v>
      </c>
      <c r="G1330" s="17">
        <f t="shared" ca="1" si="424"/>
        <v>7</v>
      </c>
      <c r="H1330" s="18" t="str">
        <f t="shared" ca="1" si="425"/>
        <v>—</v>
      </c>
      <c r="I1330" s="17">
        <f t="shared" ca="1" si="426"/>
        <v>7</v>
      </c>
      <c r="J1330" s="18" t="str">
        <f t="shared" ca="1" si="427"/>
        <v>—</v>
      </c>
      <c r="K1330" s="17">
        <f t="shared" ca="1" si="428"/>
        <v>7</v>
      </c>
      <c r="L1330" s="10" t="str">
        <f t="shared" ca="1" si="429"/>
        <v>—</v>
      </c>
      <c r="M1330" s="17">
        <f t="shared" ca="1" si="430"/>
        <v>7</v>
      </c>
      <c r="N1330" s="18" t="str">
        <f t="shared" ca="1" si="431"/>
        <v>—</v>
      </c>
      <c r="O1330" s="17">
        <f t="shared" ca="1" si="432"/>
        <v>7</v>
      </c>
      <c r="P1330" s="18" t="str">
        <f t="shared" ca="1" si="433"/>
        <v>—</v>
      </c>
      <c r="Q1330" s="17">
        <f t="shared" ca="1" si="434"/>
        <v>7</v>
      </c>
      <c r="R1330" s="10" t="str">
        <f t="shared" ca="1" si="435"/>
        <v>—</v>
      </c>
      <c r="S1330" s="17">
        <f t="shared" ca="1" si="436"/>
        <v>7</v>
      </c>
      <c r="T1330" s="70" t="str">
        <f t="shared" ca="1" si="437"/>
        <v>—</v>
      </c>
      <c r="U1330" s="17">
        <f t="shared" ca="1" si="438"/>
        <v>7</v>
      </c>
      <c r="V1330" s="71" t="str">
        <f t="shared" ca="1" si="439"/>
        <v>—</v>
      </c>
      <c r="W1330" s="17">
        <f t="shared" ca="1" si="440"/>
        <v>7</v>
      </c>
    </row>
    <row r="1331" spans="1:23" x14ac:dyDescent="0.25">
      <c r="A1331" s="4">
        <f t="shared" si="420"/>
        <v>32</v>
      </c>
      <c r="B1331" t="str">
        <f ca="1">TEXT(DATE(YEAR(Invoer!$A$6),1,1)+INT((ROWS(B$2:B1331)-1)/4),"jjjjmmdd")</f>
        <v>19401128</v>
      </c>
      <c r="C1331" s="64" t="str">
        <f>IF(MOD(ROWS(C$2:C1331)-1,4)=3,"24.00",INDEX(Data,3,2+MOD(ROWS(C$2:C1331)-1,4)))</f>
        <v>12.00</v>
      </c>
      <c r="D1331" s="18" t="str">
        <f t="shared" ca="1" si="421"/>
        <v>—</v>
      </c>
      <c r="E1331" s="17">
        <f t="shared" ca="1" si="422"/>
        <v>7</v>
      </c>
      <c r="F1331" s="18" t="str">
        <f t="shared" ca="1" si="423"/>
        <v>—</v>
      </c>
      <c r="G1331" s="17">
        <f t="shared" ca="1" si="424"/>
        <v>7</v>
      </c>
      <c r="H1331" s="18" t="str">
        <f t="shared" ca="1" si="425"/>
        <v>—</v>
      </c>
      <c r="I1331" s="17">
        <f t="shared" ca="1" si="426"/>
        <v>7</v>
      </c>
      <c r="J1331" s="18" t="str">
        <f t="shared" ca="1" si="427"/>
        <v>—</v>
      </c>
      <c r="K1331" s="17">
        <f t="shared" ca="1" si="428"/>
        <v>7</v>
      </c>
      <c r="L1331" s="10" t="str">
        <f t="shared" ca="1" si="429"/>
        <v>—</v>
      </c>
      <c r="M1331" s="17">
        <f t="shared" ca="1" si="430"/>
        <v>7</v>
      </c>
      <c r="N1331" s="18" t="str">
        <f t="shared" ca="1" si="431"/>
        <v>—</v>
      </c>
      <c r="O1331" s="17">
        <f t="shared" ca="1" si="432"/>
        <v>7</v>
      </c>
      <c r="P1331" s="18" t="str">
        <f t="shared" ca="1" si="433"/>
        <v>—</v>
      </c>
      <c r="Q1331" s="17">
        <f t="shared" ca="1" si="434"/>
        <v>7</v>
      </c>
      <c r="R1331" s="10" t="str">
        <f t="shared" ca="1" si="435"/>
        <v>—</v>
      </c>
      <c r="S1331" s="17">
        <f t="shared" ca="1" si="436"/>
        <v>7</v>
      </c>
      <c r="T1331" s="70" t="str">
        <f t="shared" ca="1" si="437"/>
        <v>—</v>
      </c>
      <c r="U1331" s="17">
        <f t="shared" ca="1" si="438"/>
        <v>7</v>
      </c>
      <c r="V1331" s="71" t="str">
        <f t="shared" ca="1" si="439"/>
        <v>—</v>
      </c>
      <c r="W1331" s="17">
        <f t="shared" ca="1" si="440"/>
        <v>7</v>
      </c>
    </row>
    <row r="1332" spans="1:23" x14ac:dyDescent="0.25">
      <c r="A1332" s="4">
        <f t="shared" si="420"/>
        <v>32</v>
      </c>
      <c r="B1332" t="str">
        <f ca="1">TEXT(DATE(YEAR(Invoer!$A$6),1,1)+INT((ROWS(B$2:B1332)-1)/4),"jjjjmmdd")</f>
        <v>19401128</v>
      </c>
      <c r="C1332" s="64" t="str">
        <f>IF(MOD(ROWS(C$2:C1332)-1,4)=3,"24.00",INDEX(Data,3,2+MOD(ROWS(C$2:C1332)-1,4)))</f>
        <v>17.00</v>
      </c>
      <c r="D1332" s="18" t="str">
        <f t="shared" ca="1" si="421"/>
        <v>—</v>
      </c>
      <c r="E1332" s="17">
        <f t="shared" ca="1" si="422"/>
        <v>7</v>
      </c>
      <c r="F1332" s="18" t="str">
        <f t="shared" ca="1" si="423"/>
        <v>—</v>
      </c>
      <c r="G1332" s="17">
        <f t="shared" ca="1" si="424"/>
        <v>7</v>
      </c>
      <c r="H1332" s="18" t="str">
        <f t="shared" ca="1" si="425"/>
        <v>—</v>
      </c>
      <c r="I1332" s="17">
        <f t="shared" ca="1" si="426"/>
        <v>7</v>
      </c>
      <c r="J1332" s="18" t="str">
        <f t="shared" ca="1" si="427"/>
        <v>—</v>
      </c>
      <c r="K1332" s="17">
        <f t="shared" ca="1" si="428"/>
        <v>7</v>
      </c>
      <c r="L1332" s="10" t="str">
        <f t="shared" ca="1" si="429"/>
        <v>—</v>
      </c>
      <c r="M1332" s="17">
        <f t="shared" ca="1" si="430"/>
        <v>7</v>
      </c>
      <c r="N1332" s="18" t="str">
        <f t="shared" ca="1" si="431"/>
        <v>—</v>
      </c>
      <c r="O1332" s="17">
        <f t="shared" ca="1" si="432"/>
        <v>7</v>
      </c>
      <c r="P1332" s="18" t="str">
        <f t="shared" ca="1" si="433"/>
        <v>—</v>
      </c>
      <c r="Q1332" s="17">
        <f t="shared" ca="1" si="434"/>
        <v>7</v>
      </c>
      <c r="R1332" s="10" t="str">
        <f t="shared" ca="1" si="435"/>
        <v>—</v>
      </c>
      <c r="S1332" s="17">
        <f t="shared" ca="1" si="436"/>
        <v>7</v>
      </c>
      <c r="T1332" s="70" t="str">
        <f t="shared" ca="1" si="437"/>
        <v>—</v>
      </c>
      <c r="U1332" s="17">
        <f t="shared" ca="1" si="438"/>
        <v>7</v>
      </c>
      <c r="V1332" s="71" t="str">
        <f t="shared" ca="1" si="439"/>
        <v>—</v>
      </c>
      <c r="W1332" s="17">
        <f t="shared" ca="1" si="440"/>
        <v>7</v>
      </c>
    </row>
    <row r="1333" spans="1:23" x14ac:dyDescent="0.25">
      <c r="A1333" s="4">
        <f t="shared" si="420"/>
        <v>32</v>
      </c>
      <c r="B1333" t="str">
        <f ca="1">TEXT(DATE(YEAR(Invoer!$A$6),1,1)+INT((ROWS(B$2:B1333)-1)/4),"jjjjmmdd")</f>
        <v>19401128</v>
      </c>
      <c r="C1333" s="64" t="str">
        <f>IF(MOD(ROWS(C$2:C1333)-1,4)=3,"24.00",INDEX(Data,3,2+MOD(ROWS(C$2:C1333)-1,4)))</f>
        <v>24.00</v>
      </c>
      <c r="D1333" s="18" t="str">
        <f t="shared" ca="1" si="421"/>
        <v>—</v>
      </c>
      <c r="E1333" s="17">
        <f t="shared" ca="1" si="422"/>
        <v>7</v>
      </c>
      <c r="F1333" s="18" t="str">
        <f t="shared" ca="1" si="423"/>
        <v>—</v>
      </c>
      <c r="G1333" s="17">
        <f t="shared" ca="1" si="424"/>
        <v>7</v>
      </c>
      <c r="H1333" s="18" t="str">
        <f t="shared" ca="1" si="425"/>
        <v>—</v>
      </c>
      <c r="I1333" s="17">
        <f t="shared" ca="1" si="426"/>
        <v>7</v>
      </c>
      <c r="J1333" s="18" t="str">
        <f t="shared" ca="1" si="427"/>
        <v>—</v>
      </c>
      <c r="K1333" s="17">
        <f t="shared" ca="1" si="428"/>
        <v>7</v>
      </c>
      <c r="L1333" s="10" t="str">
        <f t="shared" ca="1" si="429"/>
        <v>—</v>
      </c>
      <c r="M1333" s="17">
        <f t="shared" ca="1" si="430"/>
        <v>7</v>
      </c>
      <c r="N1333" s="18" t="str">
        <f t="shared" ca="1" si="431"/>
        <v>—</v>
      </c>
      <c r="O1333" s="17">
        <f t="shared" ca="1" si="432"/>
        <v>7</v>
      </c>
      <c r="P1333" s="18" t="str">
        <f t="shared" ca="1" si="433"/>
        <v>—</v>
      </c>
      <c r="Q1333" s="17">
        <f t="shared" ca="1" si="434"/>
        <v>7</v>
      </c>
      <c r="R1333" s="10" t="str">
        <f t="shared" ca="1" si="435"/>
        <v>—</v>
      </c>
      <c r="S1333" s="17">
        <f t="shared" ca="1" si="436"/>
        <v>7</v>
      </c>
      <c r="T1333" s="70" t="str">
        <f t="shared" ca="1" si="437"/>
        <v>—</v>
      </c>
      <c r="U1333" s="17">
        <f t="shared" ca="1" si="438"/>
        <v>7</v>
      </c>
      <c r="V1333" s="71" t="str">
        <f t="shared" ca="1" si="439"/>
        <v>—</v>
      </c>
      <c r="W1333" s="17">
        <f t="shared" ca="1" si="440"/>
        <v>7</v>
      </c>
    </row>
    <row r="1334" spans="1:23" x14ac:dyDescent="0.25">
      <c r="A1334" s="4">
        <f t="shared" si="420"/>
        <v>32</v>
      </c>
      <c r="B1334" t="str">
        <f ca="1">TEXT(DATE(YEAR(Invoer!$A$6),1,1)+INT((ROWS(B$2:B1334)-1)/4),"jjjjmmdd")</f>
        <v>19401129</v>
      </c>
      <c r="C1334" s="64" t="str">
        <f>IF(MOD(ROWS(C$2:C1334)-1,4)=3,"24.00",INDEX(Data,3,2+MOD(ROWS(C$2:C1334)-1,4)))</f>
        <v>07.00</v>
      </c>
      <c r="D1334" s="18" t="str">
        <f t="shared" ca="1" si="421"/>
        <v>—</v>
      </c>
      <c r="E1334" s="17">
        <f t="shared" ca="1" si="422"/>
        <v>7</v>
      </c>
      <c r="F1334" s="18" t="str">
        <f t="shared" ca="1" si="423"/>
        <v>—</v>
      </c>
      <c r="G1334" s="17">
        <f t="shared" ca="1" si="424"/>
        <v>7</v>
      </c>
      <c r="H1334" s="18" t="str">
        <f t="shared" ca="1" si="425"/>
        <v>—</v>
      </c>
      <c r="I1334" s="17">
        <f t="shared" ca="1" si="426"/>
        <v>7</v>
      </c>
      <c r="J1334" s="18" t="str">
        <f t="shared" ca="1" si="427"/>
        <v>—</v>
      </c>
      <c r="K1334" s="17">
        <f t="shared" ca="1" si="428"/>
        <v>7</v>
      </c>
      <c r="L1334" s="10" t="str">
        <f t="shared" ca="1" si="429"/>
        <v>—</v>
      </c>
      <c r="M1334" s="17">
        <f t="shared" ca="1" si="430"/>
        <v>7</v>
      </c>
      <c r="N1334" s="18" t="str">
        <f t="shared" ca="1" si="431"/>
        <v>—</v>
      </c>
      <c r="O1334" s="17">
        <f t="shared" ca="1" si="432"/>
        <v>7</v>
      </c>
      <c r="P1334" s="18" t="str">
        <f t="shared" ca="1" si="433"/>
        <v>—</v>
      </c>
      <c r="Q1334" s="17">
        <f t="shared" ca="1" si="434"/>
        <v>7</v>
      </c>
      <c r="R1334" s="10" t="str">
        <f t="shared" ca="1" si="435"/>
        <v>—</v>
      </c>
      <c r="S1334" s="17">
        <f t="shared" ca="1" si="436"/>
        <v>7</v>
      </c>
      <c r="T1334" s="70" t="str">
        <f t="shared" ca="1" si="437"/>
        <v>—</v>
      </c>
      <c r="U1334" s="17">
        <f t="shared" ca="1" si="438"/>
        <v>7</v>
      </c>
      <c r="V1334" s="71" t="str">
        <f t="shared" ca="1" si="439"/>
        <v>—</v>
      </c>
      <c r="W1334" s="17">
        <f t="shared" ca="1" si="440"/>
        <v>7</v>
      </c>
    </row>
    <row r="1335" spans="1:23" x14ac:dyDescent="0.25">
      <c r="A1335" s="4">
        <f t="shared" si="420"/>
        <v>32</v>
      </c>
      <c r="B1335" t="str">
        <f ca="1">TEXT(DATE(YEAR(Invoer!$A$6),1,1)+INT((ROWS(B$2:B1335)-1)/4),"jjjjmmdd")</f>
        <v>19401129</v>
      </c>
      <c r="C1335" s="64" t="str">
        <f>IF(MOD(ROWS(C$2:C1335)-1,4)=3,"24.00",INDEX(Data,3,2+MOD(ROWS(C$2:C1335)-1,4)))</f>
        <v>12.00</v>
      </c>
      <c r="D1335" s="18" t="str">
        <f t="shared" ca="1" si="421"/>
        <v>—</v>
      </c>
      <c r="E1335" s="17">
        <f t="shared" ca="1" si="422"/>
        <v>7</v>
      </c>
      <c r="F1335" s="18" t="str">
        <f t="shared" ca="1" si="423"/>
        <v>—</v>
      </c>
      <c r="G1335" s="17">
        <f t="shared" ca="1" si="424"/>
        <v>7</v>
      </c>
      <c r="H1335" s="18" t="str">
        <f t="shared" ca="1" si="425"/>
        <v>—</v>
      </c>
      <c r="I1335" s="17">
        <f t="shared" ca="1" si="426"/>
        <v>7</v>
      </c>
      <c r="J1335" s="18" t="str">
        <f t="shared" ca="1" si="427"/>
        <v>—</v>
      </c>
      <c r="K1335" s="17">
        <f t="shared" ca="1" si="428"/>
        <v>7</v>
      </c>
      <c r="L1335" s="10" t="str">
        <f t="shared" ca="1" si="429"/>
        <v>—</v>
      </c>
      <c r="M1335" s="17">
        <f t="shared" ca="1" si="430"/>
        <v>7</v>
      </c>
      <c r="N1335" s="18" t="str">
        <f t="shared" ca="1" si="431"/>
        <v>—</v>
      </c>
      <c r="O1335" s="17">
        <f t="shared" ca="1" si="432"/>
        <v>7</v>
      </c>
      <c r="P1335" s="18" t="str">
        <f t="shared" ca="1" si="433"/>
        <v>—</v>
      </c>
      <c r="Q1335" s="17">
        <f t="shared" ca="1" si="434"/>
        <v>7</v>
      </c>
      <c r="R1335" s="10" t="str">
        <f t="shared" ca="1" si="435"/>
        <v>—</v>
      </c>
      <c r="S1335" s="17">
        <f t="shared" ca="1" si="436"/>
        <v>7</v>
      </c>
      <c r="T1335" s="70" t="str">
        <f t="shared" ca="1" si="437"/>
        <v>—</v>
      </c>
      <c r="U1335" s="17">
        <f t="shared" ca="1" si="438"/>
        <v>7</v>
      </c>
      <c r="V1335" s="71" t="str">
        <f t="shared" ca="1" si="439"/>
        <v>—</v>
      </c>
      <c r="W1335" s="17">
        <f t="shared" ca="1" si="440"/>
        <v>7</v>
      </c>
    </row>
    <row r="1336" spans="1:23" x14ac:dyDescent="0.25">
      <c r="A1336" s="4">
        <f t="shared" si="420"/>
        <v>32</v>
      </c>
      <c r="B1336" t="str">
        <f ca="1">TEXT(DATE(YEAR(Invoer!$A$6),1,1)+INT((ROWS(B$2:B1336)-1)/4),"jjjjmmdd")</f>
        <v>19401129</v>
      </c>
      <c r="C1336" s="64" t="str">
        <f>IF(MOD(ROWS(C$2:C1336)-1,4)=3,"24.00",INDEX(Data,3,2+MOD(ROWS(C$2:C1336)-1,4)))</f>
        <v>17.00</v>
      </c>
      <c r="D1336" s="18" t="str">
        <f t="shared" ca="1" si="421"/>
        <v>—</v>
      </c>
      <c r="E1336" s="17">
        <f t="shared" ca="1" si="422"/>
        <v>7</v>
      </c>
      <c r="F1336" s="18" t="str">
        <f t="shared" ca="1" si="423"/>
        <v>—</v>
      </c>
      <c r="G1336" s="17">
        <f t="shared" ca="1" si="424"/>
        <v>7</v>
      </c>
      <c r="H1336" s="18" t="str">
        <f t="shared" ca="1" si="425"/>
        <v>—</v>
      </c>
      <c r="I1336" s="17">
        <f t="shared" ca="1" si="426"/>
        <v>7</v>
      </c>
      <c r="J1336" s="18" t="str">
        <f t="shared" ca="1" si="427"/>
        <v>—</v>
      </c>
      <c r="K1336" s="17">
        <f t="shared" ca="1" si="428"/>
        <v>7</v>
      </c>
      <c r="L1336" s="10" t="str">
        <f t="shared" ca="1" si="429"/>
        <v>—</v>
      </c>
      <c r="M1336" s="17">
        <f t="shared" ca="1" si="430"/>
        <v>7</v>
      </c>
      <c r="N1336" s="18" t="str">
        <f t="shared" ca="1" si="431"/>
        <v>—</v>
      </c>
      <c r="O1336" s="17">
        <f t="shared" ca="1" si="432"/>
        <v>7</v>
      </c>
      <c r="P1336" s="18" t="str">
        <f t="shared" ca="1" si="433"/>
        <v>—</v>
      </c>
      <c r="Q1336" s="17">
        <f t="shared" ca="1" si="434"/>
        <v>7</v>
      </c>
      <c r="R1336" s="10" t="str">
        <f t="shared" ca="1" si="435"/>
        <v>—</v>
      </c>
      <c r="S1336" s="17">
        <f t="shared" ca="1" si="436"/>
        <v>7</v>
      </c>
      <c r="T1336" s="70" t="str">
        <f t="shared" ca="1" si="437"/>
        <v>—</v>
      </c>
      <c r="U1336" s="17">
        <f t="shared" ca="1" si="438"/>
        <v>7</v>
      </c>
      <c r="V1336" s="71" t="str">
        <f t="shared" ca="1" si="439"/>
        <v>—</v>
      </c>
      <c r="W1336" s="17">
        <f t="shared" ca="1" si="440"/>
        <v>7</v>
      </c>
    </row>
    <row r="1337" spans="1:23" x14ac:dyDescent="0.25">
      <c r="A1337" s="4">
        <f t="shared" si="420"/>
        <v>32</v>
      </c>
      <c r="B1337" t="str">
        <f ca="1">TEXT(DATE(YEAR(Invoer!$A$6),1,1)+INT((ROWS(B$2:B1337)-1)/4),"jjjjmmdd")</f>
        <v>19401129</v>
      </c>
      <c r="C1337" s="64" t="str">
        <f>IF(MOD(ROWS(C$2:C1337)-1,4)=3,"24.00",INDEX(Data,3,2+MOD(ROWS(C$2:C1337)-1,4)))</f>
        <v>24.00</v>
      </c>
      <c r="D1337" s="18" t="str">
        <f t="shared" ca="1" si="421"/>
        <v>—</v>
      </c>
      <c r="E1337" s="17">
        <f t="shared" ca="1" si="422"/>
        <v>7</v>
      </c>
      <c r="F1337" s="18" t="str">
        <f t="shared" ca="1" si="423"/>
        <v>—</v>
      </c>
      <c r="G1337" s="17">
        <f t="shared" ca="1" si="424"/>
        <v>7</v>
      </c>
      <c r="H1337" s="18" t="str">
        <f t="shared" ca="1" si="425"/>
        <v>—</v>
      </c>
      <c r="I1337" s="17">
        <f t="shared" ca="1" si="426"/>
        <v>7</v>
      </c>
      <c r="J1337" s="18" t="str">
        <f t="shared" ca="1" si="427"/>
        <v>—</v>
      </c>
      <c r="K1337" s="17">
        <f t="shared" ca="1" si="428"/>
        <v>7</v>
      </c>
      <c r="L1337" s="10" t="str">
        <f t="shared" ca="1" si="429"/>
        <v>—</v>
      </c>
      <c r="M1337" s="17">
        <f t="shared" ca="1" si="430"/>
        <v>7</v>
      </c>
      <c r="N1337" s="18" t="str">
        <f t="shared" ca="1" si="431"/>
        <v>—</v>
      </c>
      <c r="O1337" s="17">
        <f t="shared" ca="1" si="432"/>
        <v>7</v>
      </c>
      <c r="P1337" s="18" t="str">
        <f t="shared" ca="1" si="433"/>
        <v>—</v>
      </c>
      <c r="Q1337" s="17">
        <f t="shared" ca="1" si="434"/>
        <v>7</v>
      </c>
      <c r="R1337" s="10" t="str">
        <f t="shared" ca="1" si="435"/>
        <v>—</v>
      </c>
      <c r="S1337" s="17">
        <f t="shared" ca="1" si="436"/>
        <v>7</v>
      </c>
      <c r="T1337" s="70" t="str">
        <f t="shared" ca="1" si="437"/>
        <v>—</v>
      </c>
      <c r="U1337" s="17">
        <f t="shared" ca="1" si="438"/>
        <v>7</v>
      </c>
      <c r="V1337" s="71" t="str">
        <f t="shared" ca="1" si="439"/>
        <v>—</v>
      </c>
      <c r="W1337" s="17">
        <f t="shared" ca="1" si="440"/>
        <v>7</v>
      </c>
    </row>
    <row r="1338" spans="1:23" x14ac:dyDescent="0.25">
      <c r="A1338" s="4">
        <f t="shared" si="420"/>
        <v>32</v>
      </c>
      <c r="B1338" t="str">
        <f ca="1">TEXT(DATE(YEAR(Invoer!$A$6),1,1)+INT((ROWS(B$2:B1338)-1)/4),"jjjjmmdd")</f>
        <v>19401130</v>
      </c>
      <c r="C1338" s="64" t="str">
        <f>IF(MOD(ROWS(C$2:C1338)-1,4)=3,"24.00",INDEX(Data,3,2+MOD(ROWS(C$2:C1338)-1,4)))</f>
        <v>07.00</v>
      </c>
      <c r="D1338" s="18" t="str">
        <f t="shared" ca="1" si="421"/>
        <v>—</v>
      </c>
      <c r="E1338" s="17">
        <f t="shared" ca="1" si="422"/>
        <v>7</v>
      </c>
      <c r="F1338" s="18" t="str">
        <f t="shared" ca="1" si="423"/>
        <v>—</v>
      </c>
      <c r="G1338" s="17">
        <f t="shared" ca="1" si="424"/>
        <v>7</v>
      </c>
      <c r="H1338" s="18" t="str">
        <f t="shared" ca="1" si="425"/>
        <v>—</v>
      </c>
      <c r="I1338" s="17">
        <f t="shared" ca="1" si="426"/>
        <v>7</v>
      </c>
      <c r="J1338" s="18" t="str">
        <f t="shared" ca="1" si="427"/>
        <v>—</v>
      </c>
      <c r="K1338" s="17">
        <f t="shared" ca="1" si="428"/>
        <v>7</v>
      </c>
      <c r="L1338" s="10" t="str">
        <f t="shared" ca="1" si="429"/>
        <v>—</v>
      </c>
      <c r="M1338" s="17">
        <f t="shared" ca="1" si="430"/>
        <v>7</v>
      </c>
      <c r="N1338" s="18" t="str">
        <f t="shared" ca="1" si="431"/>
        <v>—</v>
      </c>
      <c r="O1338" s="17">
        <f t="shared" ca="1" si="432"/>
        <v>7</v>
      </c>
      <c r="P1338" s="18" t="str">
        <f t="shared" ca="1" si="433"/>
        <v>—</v>
      </c>
      <c r="Q1338" s="17">
        <f t="shared" ca="1" si="434"/>
        <v>7</v>
      </c>
      <c r="R1338" s="10" t="str">
        <f t="shared" ca="1" si="435"/>
        <v>—</v>
      </c>
      <c r="S1338" s="17">
        <f t="shared" ca="1" si="436"/>
        <v>7</v>
      </c>
      <c r="T1338" s="70" t="str">
        <f t="shared" ca="1" si="437"/>
        <v>—</v>
      </c>
      <c r="U1338" s="17">
        <f t="shared" ca="1" si="438"/>
        <v>7</v>
      </c>
      <c r="V1338" s="71" t="str">
        <f t="shared" ca="1" si="439"/>
        <v>—</v>
      </c>
      <c r="W1338" s="17">
        <f t="shared" ca="1" si="440"/>
        <v>7</v>
      </c>
    </row>
    <row r="1339" spans="1:23" x14ac:dyDescent="0.25">
      <c r="A1339" s="4">
        <f t="shared" si="420"/>
        <v>32</v>
      </c>
      <c r="B1339" t="str">
        <f ca="1">TEXT(DATE(YEAR(Invoer!$A$6),1,1)+INT((ROWS(B$2:B1339)-1)/4),"jjjjmmdd")</f>
        <v>19401130</v>
      </c>
      <c r="C1339" s="64" t="str">
        <f>IF(MOD(ROWS(C$2:C1339)-1,4)=3,"24.00",INDEX(Data,3,2+MOD(ROWS(C$2:C1339)-1,4)))</f>
        <v>12.00</v>
      </c>
      <c r="D1339" s="18" t="str">
        <f t="shared" ca="1" si="421"/>
        <v>—</v>
      </c>
      <c r="E1339" s="17">
        <f t="shared" ca="1" si="422"/>
        <v>7</v>
      </c>
      <c r="F1339" s="18" t="str">
        <f t="shared" ca="1" si="423"/>
        <v>—</v>
      </c>
      <c r="G1339" s="17">
        <f t="shared" ca="1" si="424"/>
        <v>7</v>
      </c>
      <c r="H1339" s="18" t="str">
        <f t="shared" ca="1" si="425"/>
        <v>—</v>
      </c>
      <c r="I1339" s="17">
        <f t="shared" ca="1" si="426"/>
        <v>7</v>
      </c>
      <c r="J1339" s="18" t="str">
        <f t="shared" ca="1" si="427"/>
        <v>—</v>
      </c>
      <c r="K1339" s="17">
        <f t="shared" ca="1" si="428"/>
        <v>7</v>
      </c>
      <c r="L1339" s="10" t="str">
        <f t="shared" ca="1" si="429"/>
        <v>—</v>
      </c>
      <c r="M1339" s="17">
        <f t="shared" ca="1" si="430"/>
        <v>7</v>
      </c>
      <c r="N1339" s="18" t="str">
        <f t="shared" ca="1" si="431"/>
        <v>—</v>
      </c>
      <c r="O1339" s="17">
        <f t="shared" ca="1" si="432"/>
        <v>7</v>
      </c>
      <c r="P1339" s="18" t="str">
        <f t="shared" ca="1" si="433"/>
        <v>—</v>
      </c>
      <c r="Q1339" s="17">
        <f t="shared" ca="1" si="434"/>
        <v>7</v>
      </c>
      <c r="R1339" s="10" t="str">
        <f t="shared" ca="1" si="435"/>
        <v>—</v>
      </c>
      <c r="S1339" s="17">
        <f t="shared" ca="1" si="436"/>
        <v>7</v>
      </c>
      <c r="T1339" s="70" t="str">
        <f t="shared" ca="1" si="437"/>
        <v>—</v>
      </c>
      <c r="U1339" s="17">
        <f t="shared" ca="1" si="438"/>
        <v>7</v>
      </c>
      <c r="V1339" s="71" t="str">
        <f t="shared" ca="1" si="439"/>
        <v>—</v>
      </c>
      <c r="W1339" s="17">
        <f t="shared" ca="1" si="440"/>
        <v>7</v>
      </c>
    </row>
    <row r="1340" spans="1:23" x14ac:dyDescent="0.25">
      <c r="A1340" s="4">
        <f t="shared" si="420"/>
        <v>32</v>
      </c>
      <c r="B1340" t="str">
        <f ca="1">TEXT(DATE(YEAR(Invoer!$A$6),1,1)+INT((ROWS(B$2:B1340)-1)/4),"jjjjmmdd")</f>
        <v>19401130</v>
      </c>
      <c r="C1340" s="64" t="str">
        <f>IF(MOD(ROWS(C$2:C1340)-1,4)=3,"24.00",INDEX(Data,3,2+MOD(ROWS(C$2:C1340)-1,4)))</f>
        <v>17.00</v>
      </c>
      <c r="D1340" s="18" t="str">
        <f t="shared" ca="1" si="421"/>
        <v>—</v>
      </c>
      <c r="E1340" s="17">
        <f t="shared" ca="1" si="422"/>
        <v>7</v>
      </c>
      <c r="F1340" s="18" t="str">
        <f t="shared" ca="1" si="423"/>
        <v>—</v>
      </c>
      <c r="G1340" s="17">
        <f t="shared" ca="1" si="424"/>
        <v>7</v>
      </c>
      <c r="H1340" s="18" t="str">
        <f t="shared" ca="1" si="425"/>
        <v>—</v>
      </c>
      <c r="I1340" s="17">
        <f t="shared" ca="1" si="426"/>
        <v>7</v>
      </c>
      <c r="J1340" s="18" t="str">
        <f t="shared" ca="1" si="427"/>
        <v>—</v>
      </c>
      <c r="K1340" s="17">
        <f t="shared" ca="1" si="428"/>
        <v>7</v>
      </c>
      <c r="L1340" s="10" t="str">
        <f t="shared" ca="1" si="429"/>
        <v>—</v>
      </c>
      <c r="M1340" s="17">
        <f t="shared" ca="1" si="430"/>
        <v>7</v>
      </c>
      <c r="N1340" s="18" t="str">
        <f t="shared" ca="1" si="431"/>
        <v>—</v>
      </c>
      <c r="O1340" s="17">
        <f t="shared" ca="1" si="432"/>
        <v>7</v>
      </c>
      <c r="P1340" s="18" t="str">
        <f t="shared" ca="1" si="433"/>
        <v>—</v>
      </c>
      <c r="Q1340" s="17">
        <f t="shared" ca="1" si="434"/>
        <v>7</v>
      </c>
      <c r="R1340" s="10" t="str">
        <f t="shared" ca="1" si="435"/>
        <v>—</v>
      </c>
      <c r="S1340" s="17">
        <f t="shared" ca="1" si="436"/>
        <v>7</v>
      </c>
      <c r="T1340" s="70" t="str">
        <f t="shared" ca="1" si="437"/>
        <v>—</v>
      </c>
      <c r="U1340" s="17">
        <f t="shared" ca="1" si="438"/>
        <v>7</v>
      </c>
      <c r="V1340" s="71" t="str">
        <f t="shared" ca="1" si="439"/>
        <v>—</v>
      </c>
      <c r="W1340" s="17">
        <f t="shared" ca="1" si="440"/>
        <v>7</v>
      </c>
    </row>
    <row r="1341" spans="1:23" x14ac:dyDescent="0.25">
      <c r="A1341" s="4">
        <f t="shared" si="420"/>
        <v>32</v>
      </c>
      <c r="B1341" t="str">
        <f ca="1">TEXT(DATE(YEAR(Invoer!$A$6),1,1)+INT((ROWS(B$2:B1341)-1)/4),"jjjjmmdd")</f>
        <v>19401130</v>
      </c>
      <c r="C1341" s="64" t="str">
        <f>IF(MOD(ROWS(C$2:C1341)-1,4)=3,"24.00",INDEX(Data,3,2+MOD(ROWS(C$2:C1341)-1,4)))</f>
        <v>24.00</v>
      </c>
      <c r="D1341" s="18" t="str">
        <f t="shared" ca="1" si="421"/>
        <v>—</v>
      </c>
      <c r="E1341" s="17">
        <f t="shared" ca="1" si="422"/>
        <v>7</v>
      </c>
      <c r="F1341" s="18" t="str">
        <f t="shared" ca="1" si="423"/>
        <v>—</v>
      </c>
      <c r="G1341" s="17">
        <f t="shared" ca="1" si="424"/>
        <v>7</v>
      </c>
      <c r="H1341" s="18" t="str">
        <f t="shared" ca="1" si="425"/>
        <v>—</v>
      </c>
      <c r="I1341" s="17">
        <f t="shared" ca="1" si="426"/>
        <v>7</v>
      </c>
      <c r="J1341" s="18" t="str">
        <f t="shared" ca="1" si="427"/>
        <v>—</v>
      </c>
      <c r="K1341" s="17">
        <f t="shared" ca="1" si="428"/>
        <v>7</v>
      </c>
      <c r="L1341" s="10" t="str">
        <f t="shared" ca="1" si="429"/>
        <v>—</v>
      </c>
      <c r="M1341" s="17">
        <f t="shared" ca="1" si="430"/>
        <v>7</v>
      </c>
      <c r="N1341" s="18" t="str">
        <f t="shared" ca="1" si="431"/>
        <v>—</v>
      </c>
      <c r="O1341" s="17">
        <f t="shared" ca="1" si="432"/>
        <v>7</v>
      </c>
      <c r="P1341" s="18" t="str">
        <f t="shared" ca="1" si="433"/>
        <v>—</v>
      </c>
      <c r="Q1341" s="17">
        <f t="shared" ca="1" si="434"/>
        <v>7</v>
      </c>
      <c r="R1341" s="10" t="str">
        <f t="shared" ca="1" si="435"/>
        <v>—</v>
      </c>
      <c r="S1341" s="17">
        <f t="shared" ca="1" si="436"/>
        <v>7</v>
      </c>
      <c r="T1341" s="70" t="str">
        <f t="shared" ca="1" si="437"/>
        <v>—</v>
      </c>
      <c r="U1341" s="17">
        <f t="shared" ca="1" si="438"/>
        <v>7</v>
      </c>
      <c r="V1341" s="71" t="str">
        <f t="shared" ca="1" si="439"/>
        <v>—</v>
      </c>
      <c r="W1341" s="17">
        <f t="shared" ca="1" si="440"/>
        <v>7</v>
      </c>
    </row>
    <row r="1342" spans="1:23" x14ac:dyDescent="0.25">
      <c r="A1342" s="4">
        <f t="shared" si="420"/>
        <v>32</v>
      </c>
      <c r="B1342" t="str">
        <f ca="1">TEXT(DATE(YEAR(Invoer!$A$6),1,1)+INT((ROWS(B$2:B1342)-1)/4),"jjjjmmdd")</f>
        <v>19401201</v>
      </c>
      <c r="C1342" s="64" t="str">
        <f>IF(MOD(ROWS(C$2:C1342)-1,4)=3,"24.00",INDEX(Data,3,2+MOD(ROWS(C$2:C1342)-1,4)))</f>
        <v>07.00</v>
      </c>
      <c r="D1342" s="18" t="str">
        <f t="shared" ca="1" si="421"/>
        <v>—</v>
      </c>
      <c r="E1342" s="17">
        <f t="shared" ca="1" si="422"/>
        <v>7</v>
      </c>
      <c r="F1342" s="18" t="str">
        <f t="shared" ca="1" si="423"/>
        <v>—</v>
      </c>
      <c r="G1342" s="17">
        <f t="shared" ca="1" si="424"/>
        <v>7</v>
      </c>
      <c r="H1342" s="18" t="str">
        <f t="shared" ca="1" si="425"/>
        <v>—</v>
      </c>
      <c r="I1342" s="17">
        <f t="shared" ca="1" si="426"/>
        <v>7</v>
      </c>
      <c r="J1342" s="18" t="str">
        <f t="shared" ca="1" si="427"/>
        <v>—</v>
      </c>
      <c r="K1342" s="17">
        <f t="shared" ca="1" si="428"/>
        <v>7</v>
      </c>
      <c r="L1342" s="10" t="str">
        <f t="shared" ca="1" si="429"/>
        <v>—</v>
      </c>
      <c r="M1342" s="17">
        <f t="shared" ca="1" si="430"/>
        <v>7</v>
      </c>
      <c r="N1342" s="18" t="str">
        <f t="shared" ca="1" si="431"/>
        <v>—</v>
      </c>
      <c r="O1342" s="17">
        <f t="shared" ca="1" si="432"/>
        <v>7</v>
      </c>
      <c r="P1342" s="18" t="str">
        <f t="shared" ca="1" si="433"/>
        <v>—</v>
      </c>
      <c r="Q1342" s="17">
        <f t="shared" ca="1" si="434"/>
        <v>7</v>
      </c>
      <c r="R1342" s="10" t="str">
        <f t="shared" ca="1" si="435"/>
        <v>—</v>
      </c>
      <c r="S1342" s="17">
        <f t="shared" ca="1" si="436"/>
        <v>7</v>
      </c>
      <c r="T1342" s="70" t="str">
        <f t="shared" ca="1" si="437"/>
        <v>—</v>
      </c>
      <c r="U1342" s="17">
        <f t="shared" ca="1" si="438"/>
        <v>7</v>
      </c>
      <c r="V1342" s="71" t="str">
        <f t="shared" ca="1" si="439"/>
        <v>—</v>
      </c>
      <c r="W1342" s="17">
        <f t="shared" ca="1" si="440"/>
        <v>7</v>
      </c>
    </row>
    <row r="1343" spans="1:23" x14ac:dyDescent="0.25">
      <c r="A1343" s="4">
        <f t="shared" si="420"/>
        <v>32</v>
      </c>
      <c r="B1343" t="str">
        <f ca="1">TEXT(DATE(YEAR(Invoer!$A$6),1,1)+INT((ROWS(B$2:B1343)-1)/4),"jjjjmmdd")</f>
        <v>19401201</v>
      </c>
      <c r="C1343" s="64" t="str">
        <f>IF(MOD(ROWS(C$2:C1343)-1,4)=3,"24.00",INDEX(Data,3,2+MOD(ROWS(C$2:C1343)-1,4)))</f>
        <v>12.00</v>
      </c>
      <c r="D1343" s="18" t="str">
        <f t="shared" ca="1" si="421"/>
        <v>—</v>
      </c>
      <c r="E1343" s="17">
        <f t="shared" ca="1" si="422"/>
        <v>7</v>
      </c>
      <c r="F1343" s="18" t="str">
        <f t="shared" ca="1" si="423"/>
        <v>—</v>
      </c>
      <c r="G1343" s="17">
        <f t="shared" ca="1" si="424"/>
        <v>7</v>
      </c>
      <c r="H1343" s="18" t="str">
        <f t="shared" ca="1" si="425"/>
        <v>—</v>
      </c>
      <c r="I1343" s="17">
        <f t="shared" ca="1" si="426"/>
        <v>7</v>
      </c>
      <c r="J1343" s="18" t="str">
        <f t="shared" ca="1" si="427"/>
        <v>—</v>
      </c>
      <c r="K1343" s="17">
        <f t="shared" ca="1" si="428"/>
        <v>7</v>
      </c>
      <c r="L1343" s="10" t="str">
        <f t="shared" ca="1" si="429"/>
        <v>—</v>
      </c>
      <c r="M1343" s="17">
        <f t="shared" ca="1" si="430"/>
        <v>7</v>
      </c>
      <c r="N1343" s="18" t="str">
        <f t="shared" ca="1" si="431"/>
        <v>—</v>
      </c>
      <c r="O1343" s="17">
        <f t="shared" ca="1" si="432"/>
        <v>7</v>
      </c>
      <c r="P1343" s="18" t="str">
        <f t="shared" ca="1" si="433"/>
        <v>—</v>
      </c>
      <c r="Q1343" s="17">
        <f t="shared" ca="1" si="434"/>
        <v>7</v>
      </c>
      <c r="R1343" s="10" t="str">
        <f t="shared" ca="1" si="435"/>
        <v>—</v>
      </c>
      <c r="S1343" s="17">
        <f t="shared" ca="1" si="436"/>
        <v>7</v>
      </c>
      <c r="T1343" s="70" t="str">
        <f t="shared" ca="1" si="437"/>
        <v>—</v>
      </c>
      <c r="U1343" s="17">
        <f t="shared" ca="1" si="438"/>
        <v>7</v>
      </c>
      <c r="V1343" s="71" t="str">
        <f t="shared" ca="1" si="439"/>
        <v>—</v>
      </c>
      <c r="W1343" s="17">
        <f t="shared" ca="1" si="440"/>
        <v>7</v>
      </c>
    </row>
    <row r="1344" spans="1:23" x14ac:dyDescent="0.25">
      <c r="A1344" s="4">
        <f t="shared" si="420"/>
        <v>32</v>
      </c>
      <c r="B1344" t="str">
        <f ca="1">TEXT(DATE(YEAR(Invoer!$A$6),1,1)+INT((ROWS(B$2:B1344)-1)/4),"jjjjmmdd")</f>
        <v>19401201</v>
      </c>
      <c r="C1344" s="64" t="str">
        <f>IF(MOD(ROWS(C$2:C1344)-1,4)=3,"24.00",INDEX(Data,3,2+MOD(ROWS(C$2:C1344)-1,4)))</f>
        <v>17.00</v>
      </c>
      <c r="D1344" s="18" t="str">
        <f t="shared" ca="1" si="421"/>
        <v>—</v>
      </c>
      <c r="E1344" s="17">
        <f t="shared" ca="1" si="422"/>
        <v>7</v>
      </c>
      <c r="F1344" s="18" t="str">
        <f t="shared" ca="1" si="423"/>
        <v>—</v>
      </c>
      <c r="G1344" s="17">
        <f t="shared" ca="1" si="424"/>
        <v>7</v>
      </c>
      <c r="H1344" s="18" t="str">
        <f t="shared" ca="1" si="425"/>
        <v>—</v>
      </c>
      <c r="I1344" s="17">
        <f t="shared" ca="1" si="426"/>
        <v>7</v>
      </c>
      <c r="J1344" s="18" t="str">
        <f t="shared" ca="1" si="427"/>
        <v>—</v>
      </c>
      <c r="K1344" s="17">
        <f t="shared" ca="1" si="428"/>
        <v>7</v>
      </c>
      <c r="L1344" s="10" t="str">
        <f t="shared" ca="1" si="429"/>
        <v>—</v>
      </c>
      <c r="M1344" s="17">
        <f t="shared" ca="1" si="430"/>
        <v>7</v>
      </c>
      <c r="N1344" s="18" t="str">
        <f t="shared" ca="1" si="431"/>
        <v>—</v>
      </c>
      <c r="O1344" s="17">
        <f t="shared" ca="1" si="432"/>
        <v>7</v>
      </c>
      <c r="P1344" s="18" t="str">
        <f t="shared" ca="1" si="433"/>
        <v>—</v>
      </c>
      <c r="Q1344" s="17">
        <f t="shared" ca="1" si="434"/>
        <v>7</v>
      </c>
      <c r="R1344" s="10" t="str">
        <f t="shared" ca="1" si="435"/>
        <v>—</v>
      </c>
      <c r="S1344" s="17">
        <f t="shared" ca="1" si="436"/>
        <v>7</v>
      </c>
      <c r="T1344" s="70" t="str">
        <f t="shared" ca="1" si="437"/>
        <v>—</v>
      </c>
      <c r="U1344" s="17">
        <f t="shared" ca="1" si="438"/>
        <v>7</v>
      </c>
      <c r="V1344" s="71" t="str">
        <f t="shared" ca="1" si="439"/>
        <v>—</v>
      </c>
      <c r="W1344" s="17">
        <f t="shared" ca="1" si="440"/>
        <v>7</v>
      </c>
    </row>
    <row r="1345" spans="1:23" x14ac:dyDescent="0.25">
      <c r="A1345" s="4">
        <f t="shared" si="420"/>
        <v>32</v>
      </c>
      <c r="B1345" t="str">
        <f ca="1">TEXT(DATE(YEAR(Invoer!$A$6),1,1)+INT((ROWS(B$2:B1345)-1)/4),"jjjjmmdd")</f>
        <v>19401201</v>
      </c>
      <c r="C1345" s="64" t="str">
        <f>IF(MOD(ROWS(C$2:C1345)-1,4)=3,"24.00",INDEX(Data,3,2+MOD(ROWS(C$2:C1345)-1,4)))</f>
        <v>24.00</v>
      </c>
      <c r="D1345" s="18" t="str">
        <f t="shared" ca="1" si="421"/>
        <v>—</v>
      </c>
      <c r="E1345" s="17">
        <f t="shared" ca="1" si="422"/>
        <v>7</v>
      </c>
      <c r="F1345" s="18" t="str">
        <f t="shared" ca="1" si="423"/>
        <v>—</v>
      </c>
      <c r="G1345" s="17">
        <f t="shared" ca="1" si="424"/>
        <v>7</v>
      </c>
      <c r="H1345" s="18" t="str">
        <f t="shared" ca="1" si="425"/>
        <v>—</v>
      </c>
      <c r="I1345" s="17">
        <f t="shared" ca="1" si="426"/>
        <v>7</v>
      </c>
      <c r="J1345" s="18" t="str">
        <f t="shared" ca="1" si="427"/>
        <v>—</v>
      </c>
      <c r="K1345" s="17">
        <f t="shared" ca="1" si="428"/>
        <v>7</v>
      </c>
      <c r="L1345" s="10" t="str">
        <f t="shared" ca="1" si="429"/>
        <v>—</v>
      </c>
      <c r="M1345" s="17">
        <f t="shared" ca="1" si="430"/>
        <v>7</v>
      </c>
      <c r="N1345" s="18" t="str">
        <f t="shared" ca="1" si="431"/>
        <v>—</v>
      </c>
      <c r="O1345" s="17">
        <f t="shared" ca="1" si="432"/>
        <v>7</v>
      </c>
      <c r="P1345" s="18" t="str">
        <f t="shared" ca="1" si="433"/>
        <v>—</v>
      </c>
      <c r="Q1345" s="17">
        <f t="shared" ca="1" si="434"/>
        <v>7</v>
      </c>
      <c r="R1345" s="10" t="str">
        <f t="shared" ca="1" si="435"/>
        <v>—</v>
      </c>
      <c r="S1345" s="17">
        <f t="shared" ca="1" si="436"/>
        <v>7</v>
      </c>
      <c r="T1345" s="70" t="str">
        <f t="shared" ca="1" si="437"/>
        <v>—</v>
      </c>
      <c r="U1345" s="17">
        <f t="shared" ca="1" si="438"/>
        <v>7</v>
      </c>
      <c r="V1345" s="71" t="str">
        <f t="shared" ca="1" si="439"/>
        <v>—</v>
      </c>
      <c r="W1345" s="17">
        <f t="shared" ca="1" si="440"/>
        <v>7</v>
      </c>
    </row>
    <row r="1346" spans="1:23" x14ac:dyDescent="0.25">
      <c r="A1346" s="4">
        <f t="shared" ref="A1346:A1409" si="441">INDEX(Stations,2,1)</f>
        <v>32</v>
      </c>
      <c r="B1346" t="str">
        <f ca="1">TEXT(DATE(YEAR(Invoer!$A$6),1,1)+INT((ROWS(B$2:B1346)-1)/4),"jjjjmmdd")</f>
        <v>19401202</v>
      </c>
      <c r="C1346" s="64" t="str">
        <f>IF(MOD(ROWS(C$2:C1346)-1,4)=3,"24.00",INDEX(Data,3,2+MOD(ROWS(C$2:C1346)-1,4)))</f>
        <v>07.00</v>
      </c>
      <c r="D1346" s="18" t="str">
        <f t="shared" ref="D1346:D1409" ca="1" si="442">IF(OR(ISBLANK(VLOOKUP(DATEVALUE(LEFT($B1346,4)&amp;"-"&amp;MID($B1346,5,2)&amp;"-"&amp;RIGHT($B1346,2)),Data,MATCH(LEFT(VLOOKUP(D$1,Parameters,2,FALSE()),4)&amp;"*",OFFSET(Data,0,0,1),0)+MATCH($C1346,OFFSET(Data,2,0,1),0)-2,FALSE())),ISTEXT(VLOOKUP(DATEVALUE(LEFT($B1346,4)&amp;"-"&amp;MID($B1346,5,2)&amp;"-"&amp;RIGHT($B1346,2)),Data,MATCH(LEFT(VLOOKUP(D$1,Parameters,2,FALSE()),4)&amp;"*",OFFSET(Data,0,0,1),0)+MATCH($C1346,OFFSET(Data,2,0,1),0)-2,FALSE())),EXACT($C1346,"24.00")),"—",VLOOKUP(DATEVALUE(LEFT($B1346,4)&amp;"-"&amp;MID($B1346,5,2)&amp;"-"&amp;RIGHT($B1346,2)),Data,MATCH(LEFT(VLOOKUP(D$1,Parameters,2,FALSE()),4)&amp;"*",OFFSET(Data,0,0,1),0)+MATCH($C1346,OFFSET(Data,2,0,1),0)-2,FALSE())/10)</f>
        <v>—</v>
      </c>
      <c r="E1346" s="17">
        <f t="shared" ref="E1346:E1409" ca="1" si="443">IF(OR(ISBLANK(VLOOKUP(DATEVALUE(LEFT($B1346,4)&amp;"-"&amp;MID($B1346,5,2)&amp;"-"&amp;RIGHT($B1346,2)),Data,MATCH(LEFT(VLOOKUP(MID(E$1,2,LEN(E$1)-1),Parameters,2,FALSE()),4)&amp;"*",OFFSET(Data,0,0,1),0)+MATCH($C1346,OFFSET(Data,2,0,1),0)-2,FALSE())),ISTEXT(VLOOKUP(DATEVALUE(LEFT($B1346,4)&amp;"-"&amp;MID($B1346,5,2)&amp;"-"&amp;RIGHT($B1346,2)),Data,MATCH(LEFT(VLOOKUP(MID(E$1,2,LEN(E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Data,2,0,1),0)-2,FALSE())))</f>
        <v>7</v>
      </c>
      <c r="F1346" s="18" t="str">
        <f t="shared" ref="F1346:F1409" ca="1" si="444">IF(OR(ISBLANK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ISTEXT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EXACT($C1346,"24.00")),"—",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/10)</f>
        <v>—</v>
      </c>
      <c r="G1346" s="17">
        <f t="shared" ref="G1346:G1409" ca="1" si="445">IF(OR(ISBLANK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ISTEXT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G$1,2,LEN(G$1)-1),Parameters,2,FALSE()),FIND(LOWER(MID(G$1,2,1)),VLOOKUP(MID(G$1,2,LEN(G$1)-1),Parameters,2,FALSE()),5),4)&amp;"*",OFFSET(Catalogus,0,0,1),0)+2*MATCH($C1346,OFFSET(Catalogus,2,0,1),0)+MATCH(LEFT(VLOOKUP(MID(G$1,2,LEN(G$1)-1),Parameters,2,FALSE()),3)&amp;"*",OFFSET(Catalogus,2,4,1),0)-5,FALSE())))</f>
        <v>7</v>
      </c>
      <c r="H1346" s="18" t="str">
        <f t="shared" ref="H1346:H1409" ca="1" si="446">IF(OR(ISBLANK(VLOOKUP(DATEVALUE(LEFT($B1346,4)&amp;"-"&amp;MID($B1346,5,2)&amp;"-"&amp;RIGHT($B1346,2)),Data,MATCH(LEFT(VLOOKUP(H$1,Parameters,2,FALSE()),4)&amp;"*",OFFSET(Data,1,0,1),0),FALSE())),ISTEXT(VLOOKUP(DATEVALUE(LEFT($B1346,4)&amp;"-"&amp;MID($B1346,5,2)&amp;"-"&amp;RIGHT($B1346,2)),Data,MATCH(LEFT(VLOOKUP(H$1,Parameters,2,FALSE()),4)&amp;"*",OFFSET(Data,1,0,1),0),FALSE())),NOT(EXACT($C1346,"24.00"))),"—",VLOOKUP(DATEVALUE(LEFT($B1346,4)&amp;"-"&amp;MID($B1346,5,2)&amp;"-"&amp;RIGHT($B1346,2)),Data,MATCH(LEFT(VLOOKUP(H$1,Parameters,2,FALSE()),4)&amp;"*",OFFSET(Data,1,0,1),0),FALSE())/10)</f>
        <v>—</v>
      </c>
      <c r="I1346" s="17">
        <f t="shared" ref="I1346:I1409" ca="1" si="447">IF(OR(ISBLANK(VLOOKUP(DATEVALUE(LEFT($B1346,4)&amp;"-"&amp;MID($B1346,5,2)&amp;"-"&amp;RIGHT($B1346,2)),Data,MATCH(LEFT(VLOOKUP(MID(I$1,2,LEN(I$1)-1),Parameters,2,FALSE()),4)&amp;"*",OFFSET(Data,1,0,1),0),FALSE())),ISTEXT(VLOOKUP(DATEVALUE(LEFT($B1346,4)&amp;"-"&amp;MID($B1346,5,2)&amp;"-"&amp;RIGHT($B1346,2)),Data,MATCH(LEFT(VLOOKUP(MID(I$1,2,LEN(I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I$1,2,LEN(I$1)-1),Parameters,2,FALSE()),4)&amp;"*",OFFSET(Catalogus,1,0,1),0),FALSE())))</f>
        <v>7</v>
      </c>
      <c r="J1346" s="18" t="str">
        <f t="shared" ref="J1346:J1409" ca="1" si="448">IF(OR(ISBLANK(VLOOKUP(DATEVALUE(LEFT($B1346,4)&amp;"-"&amp;MID($B1346,5,2)&amp;"-"&amp;RIGHT($B1346,2)),Data,MATCH(LEFT(VLOOKUP(J$1,Parameters,2,FALSE()),4)&amp;"*",OFFSET(Data,1,0,1),0),FALSE())),ISTEXT(VLOOKUP(DATEVALUE(LEFT($B1346,4)&amp;"-"&amp;MID($B1346,5,2)&amp;"-"&amp;RIGHT($B1346,2)),Data,MATCH(LEFT(VLOOKUP(J$1,Parameters,2,FALSE()),4)&amp;"*",OFFSET(Data,1,0,1),0),FALSE())),NOT(EXACT($C1346,"24.00"))),"—",VLOOKUP(DATEVALUE(LEFT($B1346,4)&amp;"-"&amp;MID($B1346,5,2)&amp;"-"&amp;RIGHT($B1346,2)),Data,MATCH(LEFT(VLOOKUP(J$1,Parameters,2,FALSE()),4)&amp;"*",OFFSET(Data,1,0,1),0),FALSE())/10)</f>
        <v>—</v>
      </c>
      <c r="K1346" s="17">
        <f t="shared" ref="K1346:K1409" ca="1" si="449">IF(OR(ISBLANK(VLOOKUP(DATEVALUE(LEFT($B1346,4)&amp;"-"&amp;MID($B1346,5,2)&amp;"-"&amp;RIGHT($B1346,2)),Data,MATCH(LEFT(VLOOKUP(MID(K$1,2,LEN(K$1)-1),Parameters,2,FALSE()),4)&amp;"*",OFFSET(Data,1,0,1),0),FALSE())),ISTEXT(VLOOKUP(DATEVALUE(LEFT($B1346,4)&amp;"-"&amp;MID($B1346,5,2)&amp;"-"&amp;RIGHT($B1346,2)),Data,MATCH(LEFT(VLOOKUP(MID(K$1,2,LEN(K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K$1,2,LEN(K$1)-1),Parameters,2,FALSE()),4)&amp;"*",OFFSET(Catalogus,1,0,1),0),FALSE())))</f>
        <v>7</v>
      </c>
      <c r="L1346" s="10" t="str">
        <f t="shared" ref="L1346:L1409" ca="1" si="450">IF(OR(ISBLANK(VLOOKUP(DATEVALUE(LEFT($B1346,4)&amp;"-"&amp;MID($B1346,5,2)&amp;"-"&amp;RIGHT($B1346,2)),Data,MATCH(LEFT(VLOOKUP(L$1,Parameters,2,FALSE()),4)&amp;"*",OFFSET(Data,0,0,1),0)+MATCH($C1346,OFFSET(Data,2,0,1),0)-2,FALSE())),ISTEXT(VLOOKUP(DATEVALUE(LEFT($B1346,4)&amp;"-"&amp;MID($B1346,5,2)&amp;"-"&amp;RIGHT($B1346,2)),Data,MATCH(LEFT(VLOOKUP(L$1,Parameters,2,FALSE()),4)&amp;"*",OFFSET(Data,0,0,1),0)+MATCH($C1346,OFFSET(Data,2,0,1),0)-2,FALSE())),EXACT($C1346,"24.00")),"—",VLOOKUP(DATEVALUE(LEFT($B1346,4)&amp;"-"&amp;MID($B1346,5,2)&amp;"-"&amp;RIGHT($B1346,2)),Data,MATCH(LEFT(VLOOKUP(L$1,Parameters,2,FALSE()),4)&amp;"*",OFFSET(Data,0,0,1),0)+MATCH($C1346,OFFSET(Data,2,0,1),0)-2,FALSE()))</f>
        <v>—</v>
      </c>
      <c r="M1346" s="17">
        <f t="shared" ref="M1346:M1409" ca="1" si="451">IF(OR(ISBLANK(VLOOKUP(DATEVALUE(LEFT($B1346,4)&amp;"-"&amp;MID($B1346,5,2)&amp;"-"&amp;RIGHT($B1346,2)),Data,MATCH(LEFT(VLOOKUP(MID(M$1,2,LEN(M$1)-1),Parameters,2,FALSE()),4)&amp;"*",OFFSET(Data,0,0,1),0)+MATCH($C1346,OFFSET(Data,2,0,1),0)-2,FALSE())),ISTEXT(VLOOKUP(DATEVALUE(LEFT($B1346,4)&amp;"-"&amp;MID($B1346,5,2)&amp;"-"&amp;RIGHT($B1346,2)),Data,MATCH(LEFT(VLOOKUP(MID(M$1,2,LEN(M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M$1,2,LEN(M$1)-1),Parameters,2,FALSE()),4)&amp;"*",OFFSET(Catalogus,0,0,1),0)+MATCH($C1346,OFFSET(Data,2,0,1),0)-2,FALSE())))</f>
        <v>7</v>
      </c>
      <c r="N1346" s="18" t="str">
        <f t="shared" ref="N1346:N1409" ca="1" si="452">IF(OR(ISBLANK(VLOOKUP(DATEVALUE(LEFT($B1346,4)&amp;"-"&amp;MID($B1346,5,2)&amp;"-"&amp;RIGHT($B1346,2)),Data,MATCH(LEFT(VLOOKUP(N$1,Parameters,2,FALSE()),4)&amp;"*",OFFSET(Data,0,0,1),0)+MATCH($C1346,OFFSET(Data,2,0,1),0)-2,FALSE())),ISTEXT(VLOOKUP(DATEVALUE(LEFT($B1346,4)&amp;"-"&amp;MID($B1346,5,2)&amp;"-"&amp;RIGHT($B1346,2)),Data,MATCH(LEFT(VLOOKUP(N$1,Parameters,2,FALSE()),4)&amp;"*",OFFSET(Data,0,0,1),0)+MATCH($C1346,OFFSET(Data,2,0,1),0)-2,FALSE())),EXACT($C1346,"24.00")),"—",VLOOKUP(DATEVALUE(LEFT($B1346,4)&amp;"-"&amp;MID($B1346,5,2)&amp;"-"&amp;RIGHT($B1346,2)),Data,MATCH(LEFT(VLOOKUP(N$1,Parameters,2,FALSE()),4)&amp;"*",OFFSET(Data,0,0,1),0)+MATCH($C1346,OFFSET(Data,2,0,1),0)-2,FALSE())/10)</f>
        <v>—</v>
      </c>
      <c r="O1346" s="17">
        <f t="shared" ref="O1346:O1409" ca="1" si="453">IF(OR(ISBLANK(VLOOKUP(DATEVALUE(LEFT($B1346,4)&amp;"-"&amp;MID($B1346,5,2)&amp;"-"&amp;RIGHT($B1346,2)),Data,MATCH(LEFT(VLOOKUP(MID(O$1,2,LEN(O$1)-1),Parameters,2,FALSE()),4)&amp;"*",OFFSET(Data,0,0,1),0)+MATCH($C1346,OFFSET(Data,2,0,1),0)-2,FALSE())),ISTEXT(VLOOKUP(DATEVALUE(LEFT($B1346,4)&amp;"-"&amp;MID($B1346,5,2)&amp;"-"&amp;RIGHT($B1346,2)),Data,MATCH(LEFT(VLOOKUP(MID(O$1,2,LEN(O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O$1,2,LEN(O$1)-1),Parameters,2,FALSE()),4)&amp;"*",OFFSET(Catalogus,0,0,1),0)+MATCH($C1346,OFFSET(Data,2,0,1),0)-2,FALSE())))</f>
        <v>7</v>
      </c>
      <c r="P1346" s="18" t="str">
        <f t="shared" ref="P1346:P1409" ca="1" si="454">IF(OR(ISBLANK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ISTEXT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EXACT($C1346,"24.00")),"—",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/10)</f>
        <v>—</v>
      </c>
      <c r="Q1346" s="17">
        <f t="shared" ref="Q1346:Q1409" ca="1" si="455">IF(OR(ISBLANK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ISTEXT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Q$1,2,LEN(Q$1)-1),Parameters,2,FALSE()),FIND(LOWER(MID(Q$1,2,1)),VLOOKUP(MID(Q$1,2,LEN(Q$1)-1),Parameters,2,FALSE()),5),4)&amp;"*",OFFSET(Catalogus,0,0,1),0)+2*MATCH($C1346,OFFSET(Catalogus,2,0,1),0)+MATCH(LEFT(VLOOKUP(MID(Q$1,2,LEN(Q$1)-1),Parameters,2,FALSE()),3)&amp;"*",OFFSET(Catalogus,2,4,1),0)-5,FALSE())))</f>
        <v>7</v>
      </c>
      <c r="R1346" s="10" t="str">
        <f t="shared" ref="R1346:R1409" ca="1" si="456">IF(OR(ISBLANK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),ISNA(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1,1,,1),0)),EXACT($C1346,"24.00")),"—",INDEX(Windrichting,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0,1,,1),0),1))</f>
        <v>—</v>
      </c>
      <c r="S1346" s="17">
        <f t="shared" ref="S1346:S1409" ca="1" si="457">IF(OR(ISBLANK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),ISNA(MATCH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,OFFSET(Windrichting,1,1,,1),0)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S$1,2,LEN(S$1)-1),Parameters,2,FALSE()),4)&amp;"*",OFFSET(Catalogus,0,0,1),0)+2*MATCH($C1346,OFFSET(Catalogus,2,0,1),0)+MATCH(MID(VLOOKUP(MID(S$1,2,LEN(S$1)-1),Parameters,2,FALSE()),5,LEN(VLOOKUP(MID(S$1,2,LEN(S$1)-1),Parameters,2,FALSE()))-4)&amp;"*",OFFSET(Catalogus,2,19,1),0)-5,FALSE())))</f>
        <v>7</v>
      </c>
      <c r="T1346" s="70" t="str">
        <f t="shared" ref="T1346:T1409" ca="1" si="458">IF(OR(ISBLANK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ISTEXT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EXACT($C1346,"24.00")),"—",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/10)</f>
        <v>—</v>
      </c>
      <c r="U1346" s="17">
        <f t="shared" ref="U1346:U1409" ca="1" si="459">IF(OR(ISBLANK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ISTEXT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U$1,2,LEN(U$1)-1),Parameters,2,FALSE()),4)&amp;"*",OFFSET(Catalogus,0,0,1),0)+2*MATCH($C1346,OFFSET(Catalogus,2,0,1),0)+MATCH(MID(VLOOKUP(MID(U$1,2,LEN(U$1)-1),Parameters,2,FALSE()),5,LEN(VLOOKUP(MID(U$1,2,LEN(U$1)-1),Parameters,2,FALSE()))-4)&amp;"*",OFFSET(Catalogus,2,19,1),0)-5,FALSE())))</f>
        <v>7</v>
      </c>
      <c r="V1346" s="71" t="str">
        <f t="shared" ref="V1346:V1409" ca="1" si="460">IF(OR(ISBLANK(VLOOKUP(DATEVALUE(LEFT($B1346,4)&amp;"-"&amp;MID($B1346,5,2)&amp;"-"&amp;RIGHT($B1346,2)),Data,MATCH(LEFT(VLOOKUP(V$1,Parameters,2,FALSE()),4)&amp;"*",OFFSET(Data,0,0,1),0)+MATCH($C1346,OFFSET(Data,2,0,1),0)-2,FALSE())),ISTEXT(VLOOKUP(DATEVALUE(LEFT($B1346,4)&amp;"-"&amp;MID($B1346,5,2)&amp;"-"&amp;RIGHT($B1346,2)),Data,MATCH(LEFT(VLOOKUP(V$1,Parameters,2,FALSE()),4)&amp;"*",OFFSET(Data,0,0,1),0)+MATCH($C1346,OFFSET(Data,2,0,1),0)-2,FALSE())),EXACT($C1346,"24.00")),"—",VLOOKUP(DATEVALUE(LEFT($B1346,4)&amp;"-"&amp;MID($B1346,5,2)&amp;"-"&amp;RIGHT($B1346,2)),Data,MATCH(LEFT(VLOOKUP(V$1,Parameters,2,FALSE()),4)&amp;"*",OFFSET(Data,0,0,1),0)+MATCH($C1346,OFFSET(Data,2,0,1),0)-2,FALSE()))</f>
        <v>—</v>
      </c>
      <c r="W1346" s="17">
        <f t="shared" ref="W1346:W1409" ca="1" si="461">IF(OR(ISBLANK(VLOOKUP(DATEVALUE(LEFT($B1346,4)&amp;"-"&amp;MID($B1346,5,2)&amp;"-"&amp;RIGHT($B1346,2)),Data,MATCH(LEFT(VLOOKUP(MID(W$1,2,LEN(W$1)-1),Parameters,2,FALSE()),4)&amp;"*",OFFSET(Data,0,0,1),0)+MATCH($C1346,OFFSET(Data,2,0,1),0)-2,FALSE())),ISTEXT(VLOOKUP(DATEVALUE(LEFT($B1346,4)&amp;"-"&amp;MID($B1346,5,2)&amp;"-"&amp;RIGHT($B1346,2)),Data,MATCH(LEFT(VLOOKUP(MID(W$1,2,LEN(W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W$1,2,LEN(W$1)-1),Parameters,2,FALSE()),4)&amp;"*",OFFSET(Catalogus,0,0,1),0)+MATCH($C1346,OFFSET(Data,2,0,1),0)-2,FALSE())))</f>
        <v>7</v>
      </c>
    </row>
    <row r="1347" spans="1:23" x14ac:dyDescent="0.25">
      <c r="A1347" s="4">
        <f t="shared" si="441"/>
        <v>32</v>
      </c>
      <c r="B1347" t="str">
        <f ca="1">TEXT(DATE(YEAR(Invoer!$A$6),1,1)+INT((ROWS(B$2:B1347)-1)/4),"jjjjmmdd")</f>
        <v>19401202</v>
      </c>
      <c r="C1347" s="64" t="str">
        <f>IF(MOD(ROWS(C$2:C1347)-1,4)=3,"24.00",INDEX(Data,3,2+MOD(ROWS(C$2:C1347)-1,4)))</f>
        <v>12.00</v>
      </c>
      <c r="D1347" s="18" t="str">
        <f t="shared" ca="1" si="442"/>
        <v>—</v>
      </c>
      <c r="E1347" s="17">
        <f t="shared" ca="1" si="443"/>
        <v>7</v>
      </c>
      <c r="F1347" s="18" t="str">
        <f t="shared" ca="1" si="444"/>
        <v>—</v>
      </c>
      <c r="G1347" s="17">
        <f t="shared" ca="1" si="445"/>
        <v>7</v>
      </c>
      <c r="H1347" s="18" t="str">
        <f t="shared" ca="1" si="446"/>
        <v>—</v>
      </c>
      <c r="I1347" s="17">
        <f t="shared" ca="1" si="447"/>
        <v>7</v>
      </c>
      <c r="J1347" s="18" t="str">
        <f t="shared" ca="1" si="448"/>
        <v>—</v>
      </c>
      <c r="K1347" s="17">
        <f t="shared" ca="1" si="449"/>
        <v>7</v>
      </c>
      <c r="L1347" s="10" t="str">
        <f t="shared" ca="1" si="450"/>
        <v>—</v>
      </c>
      <c r="M1347" s="17">
        <f t="shared" ca="1" si="451"/>
        <v>7</v>
      </c>
      <c r="N1347" s="18" t="str">
        <f t="shared" ca="1" si="452"/>
        <v>—</v>
      </c>
      <c r="O1347" s="17">
        <f t="shared" ca="1" si="453"/>
        <v>7</v>
      </c>
      <c r="P1347" s="18" t="str">
        <f t="shared" ca="1" si="454"/>
        <v>—</v>
      </c>
      <c r="Q1347" s="17">
        <f t="shared" ca="1" si="455"/>
        <v>7</v>
      </c>
      <c r="R1347" s="10" t="str">
        <f t="shared" ca="1" si="456"/>
        <v>—</v>
      </c>
      <c r="S1347" s="17">
        <f t="shared" ca="1" si="457"/>
        <v>7</v>
      </c>
      <c r="T1347" s="70" t="str">
        <f t="shared" ca="1" si="458"/>
        <v>—</v>
      </c>
      <c r="U1347" s="17">
        <f t="shared" ca="1" si="459"/>
        <v>7</v>
      </c>
      <c r="V1347" s="71" t="str">
        <f t="shared" ca="1" si="460"/>
        <v>—</v>
      </c>
      <c r="W1347" s="17">
        <f t="shared" ca="1" si="461"/>
        <v>7</v>
      </c>
    </row>
    <row r="1348" spans="1:23" x14ac:dyDescent="0.25">
      <c r="A1348" s="4">
        <f t="shared" si="441"/>
        <v>32</v>
      </c>
      <c r="B1348" t="str">
        <f ca="1">TEXT(DATE(YEAR(Invoer!$A$6),1,1)+INT((ROWS(B$2:B1348)-1)/4),"jjjjmmdd")</f>
        <v>19401202</v>
      </c>
      <c r="C1348" s="64" t="str">
        <f>IF(MOD(ROWS(C$2:C1348)-1,4)=3,"24.00",INDEX(Data,3,2+MOD(ROWS(C$2:C1348)-1,4)))</f>
        <v>17.00</v>
      </c>
      <c r="D1348" s="18" t="str">
        <f t="shared" ca="1" si="442"/>
        <v>—</v>
      </c>
      <c r="E1348" s="17">
        <f t="shared" ca="1" si="443"/>
        <v>7</v>
      </c>
      <c r="F1348" s="18" t="str">
        <f t="shared" ca="1" si="444"/>
        <v>—</v>
      </c>
      <c r="G1348" s="17">
        <f t="shared" ca="1" si="445"/>
        <v>7</v>
      </c>
      <c r="H1348" s="18" t="str">
        <f t="shared" ca="1" si="446"/>
        <v>—</v>
      </c>
      <c r="I1348" s="17">
        <f t="shared" ca="1" si="447"/>
        <v>7</v>
      </c>
      <c r="J1348" s="18" t="str">
        <f t="shared" ca="1" si="448"/>
        <v>—</v>
      </c>
      <c r="K1348" s="17">
        <f t="shared" ca="1" si="449"/>
        <v>7</v>
      </c>
      <c r="L1348" s="10" t="str">
        <f t="shared" ca="1" si="450"/>
        <v>—</v>
      </c>
      <c r="M1348" s="17">
        <f t="shared" ca="1" si="451"/>
        <v>7</v>
      </c>
      <c r="N1348" s="18" t="str">
        <f t="shared" ca="1" si="452"/>
        <v>—</v>
      </c>
      <c r="O1348" s="17">
        <f t="shared" ca="1" si="453"/>
        <v>7</v>
      </c>
      <c r="P1348" s="18" t="str">
        <f t="shared" ca="1" si="454"/>
        <v>—</v>
      </c>
      <c r="Q1348" s="17">
        <f t="shared" ca="1" si="455"/>
        <v>7</v>
      </c>
      <c r="R1348" s="10" t="str">
        <f t="shared" ca="1" si="456"/>
        <v>—</v>
      </c>
      <c r="S1348" s="17">
        <f t="shared" ca="1" si="457"/>
        <v>7</v>
      </c>
      <c r="T1348" s="70" t="str">
        <f t="shared" ca="1" si="458"/>
        <v>—</v>
      </c>
      <c r="U1348" s="17">
        <f t="shared" ca="1" si="459"/>
        <v>7</v>
      </c>
      <c r="V1348" s="71" t="str">
        <f t="shared" ca="1" si="460"/>
        <v>—</v>
      </c>
      <c r="W1348" s="17">
        <f t="shared" ca="1" si="461"/>
        <v>7</v>
      </c>
    </row>
    <row r="1349" spans="1:23" x14ac:dyDescent="0.25">
      <c r="A1349" s="4">
        <f t="shared" si="441"/>
        <v>32</v>
      </c>
      <c r="B1349" t="str">
        <f ca="1">TEXT(DATE(YEAR(Invoer!$A$6),1,1)+INT((ROWS(B$2:B1349)-1)/4),"jjjjmmdd")</f>
        <v>19401202</v>
      </c>
      <c r="C1349" s="64" t="str">
        <f>IF(MOD(ROWS(C$2:C1349)-1,4)=3,"24.00",INDEX(Data,3,2+MOD(ROWS(C$2:C1349)-1,4)))</f>
        <v>24.00</v>
      </c>
      <c r="D1349" s="18" t="str">
        <f t="shared" ca="1" si="442"/>
        <v>—</v>
      </c>
      <c r="E1349" s="17">
        <f t="shared" ca="1" si="443"/>
        <v>7</v>
      </c>
      <c r="F1349" s="18" t="str">
        <f t="shared" ca="1" si="444"/>
        <v>—</v>
      </c>
      <c r="G1349" s="17">
        <f t="shared" ca="1" si="445"/>
        <v>7</v>
      </c>
      <c r="H1349" s="18" t="str">
        <f t="shared" ca="1" si="446"/>
        <v>—</v>
      </c>
      <c r="I1349" s="17">
        <f t="shared" ca="1" si="447"/>
        <v>7</v>
      </c>
      <c r="J1349" s="18" t="str">
        <f t="shared" ca="1" si="448"/>
        <v>—</v>
      </c>
      <c r="K1349" s="17">
        <f t="shared" ca="1" si="449"/>
        <v>7</v>
      </c>
      <c r="L1349" s="10" t="str">
        <f t="shared" ca="1" si="450"/>
        <v>—</v>
      </c>
      <c r="M1349" s="17">
        <f t="shared" ca="1" si="451"/>
        <v>7</v>
      </c>
      <c r="N1349" s="18" t="str">
        <f t="shared" ca="1" si="452"/>
        <v>—</v>
      </c>
      <c r="O1349" s="17">
        <f t="shared" ca="1" si="453"/>
        <v>7</v>
      </c>
      <c r="P1349" s="18" t="str">
        <f t="shared" ca="1" si="454"/>
        <v>—</v>
      </c>
      <c r="Q1349" s="17">
        <f t="shared" ca="1" si="455"/>
        <v>7</v>
      </c>
      <c r="R1349" s="10" t="str">
        <f t="shared" ca="1" si="456"/>
        <v>—</v>
      </c>
      <c r="S1349" s="17">
        <f t="shared" ca="1" si="457"/>
        <v>7</v>
      </c>
      <c r="T1349" s="70" t="str">
        <f t="shared" ca="1" si="458"/>
        <v>—</v>
      </c>
      <c r="U1349" s="17">
        <f t="shared" ca="1" si="459"/>
        <v>7</v>
      </c>
      <c r="V1349" s="71" t="str">
        <f t="shared" ca="1" si="460"/>
        <v>—</v>
      </c>
      <c r="W1349" s="17">
        <f t="shared" ca="1" si="461"/>
        <v>7</v>
      </c>
    </row>
    <row r="1350" spans="1:23" x14ac:dyDescent="0.25">
      <c r="A1350" s="4">
        <f t="shared" si="441"/>
        <v>32</v>
      </c>
      <c r="B1350" t="str">
        <f ca="1">TEXT(DATE(YEAR(Invoer!$A$6),1,1)+INT((ROWS(B$2:B1350)-1)/4),"jjjjmmdd")</f>
        <v>19401203</v>
      </c>
      <c r="C1350" s="64" t="str">
        <f>IF(MOD(ROWS(C$2:C1350)-1,4)=3,"24.00",INDEX(Data,3,2+MOD(ROWS(C$2:C1350)-1,4)))</f>
        <v>07.00</v>
      </c>
      <c r="D1350" s="18" t="str">
        <f t="shared" ca="1" si="442"/>
        <v>—</v>
      </c>
      <c r="E1350" s="17">
        <f t="shared" ca="1" si="443"/>
        <v>7</v>
      </c>
      <c r="F1350" s="18" t="str">
        <f t="shared" ca="1" si="444"/>
        <v>—</v>
      </c>
      <c r="G1350" s="17">
        <f t="shared" ca="1" si="445"/>
        <v>7</v>
      </c>
      <c r="H1350" s="18" t="str">
        <f t="shared" ca="1" si="446"/>
        <v>—</v>
      </c>
      <c r="I1350" s="17">
        <f t="shared" ca="1" si="447"/>
        <v>7</v>
      </c>
      <c r="J1350" s="18" t="str">
        <f t="shared" ca="1" si="448"/>
        <v>—</v>
      </c>
      <c r="K1350" s="17">
        <f t="shared" ca="1" si="449"/>
        <v>7</v>
      </c>
      <c r="L1350" s="10" t="str">
        <f t="shared" ca="1" si="450"/>
        <v>—</v>
      </c>
      <c r="M1350" s="17">
        <f t="shared" ca="1" si="451"/>
        <v>7</v>
      </c>
      <c r="N1350" s="18" t="str">
        <f t="shared" ca="1" si="452"/>
        <v>—</v>
      </c>
      <c r="O1350" s="17">
        <f t="shared" ca="1" si="453"/>
        <v>7</v>
      </c>
      <c r="P1350" s="18" t="str">
        <f t="shared" ca="1" si="454"/>
        <v>—</v>
      </c>
      <c r="Q1350" s="17">
        <f t="shared" ca="1" si="455"/>
        <v>7</v>
      </c>
      <c r="R1350" s="10" t="str">
        <f t="shared" ca="1" si="456"/>
        <v>—</v>
      </c>
      <c r="S1350" s="17">
        <f t="shared" ca="1" si="457"/>
        <v>7</v>
      </c>
      <c r="T1350" s="70" t="str">
        <f t="shared" ca="1" si="458"/>
        <v>—</v>
      </c>
      <c r="U1350" s="17">
        <f t="shared" ca="1" si="459"/>
        <v>7</v>
      </c>
      <c r="V1350" s="71" t="str">
        <f t="shared" ca="1" si="460"/>
        <v>—</v>
      </c>
      <c r="W1350" s="17">
        <f t="shared" ca="1" si="461"/>
        <v>7</v>
      </c>
    </row>
    <row r="1351" spans="1:23" x14ac:dyDescent="0.25">
      <c r="A1351" s="4">
        <f t="shared" si="441"/>
        <v>32</v>
      </c>
      <c r="B1351" t="str">
        <f ca="1">TEXT(DATE(YEAR(Invoer!$A$6),1,1)+INT((ROWS(B$2:B1351)-1)/4),"jjjjmmdd")</f>
        <v>19401203</v>
      </c>
      <c r="C1351" s="64" t="str">
        <f>IF(MOD(ROWS(C$2:C1351)-1,4)=3,"24.00",INDEX(Data,3,2+MOD(ROWS(C$2:C1351)-1,4)))</f>
        <v>12.00</v>
      </c>
      <c r="D1351" s="18" t="str">
        <f t="shared" ca="1" si="442"/>
        <v>—</v>
      </c>
      <c r="E1351" s="17">
        <f t="shared" ca="1" si="443"/>
        <v>7</v>
      </c>
      <c r="F1351" s="18" t="str">
        <f t="shared" ca="1" si="444"/>
        <v>—</v>
      </c>
      <c r="G1351" s="17">
        <f t="shared" ca="1" si="445"/>
        <v>7</v>
      </c>
      <c r="H1351" s="18" t="str">
        <f t="shared" ca="1" si="446"/>
        <v>—</v>
      </c>
      <c r="I1351" s="17">
        <f t="shared" ca="1" si="447"/>
        <v>7</v>
      </c>
      <c r="J1351" s="18" t="str">
        <f t="shared" ca="1" si="448"/>
        <v>—</v>
      </c>
      <c r="K1351" s="17">
        <f t="shared" ca="1" si="449"/>
        <v>7</v>
      </c>
      <c r="L1351" s="10" t="str">
        <f t="shared" ca="1" si="450"/>
        <v>—</v>
      </c>
      <c r="M1351" s="17">
        <f t="shared" ca="1" si="451"/>
        <v>7</v>
      </c>
      <c r="N1351" s="18" t="str">
        <f t="shared" ca="1" si="452"/>
        <v>—</v>
      </c>
      <c r="O1351" s="17">
        <f t="shared" ca="1" si="453"/>
        <v>7</v>
      </c>
      <c r="P1351" s="18" t="str">
        <f t="shared" ca="1" si="454"/>
        <v>—</v>
      </c>
      <c r="Q1351" s="17">
        <f t="shared" ca="1" si="455"/>
        <v>7</v>
      </c>
      <c r="R1351" s="10" t="str">
        <f t="shared" ca="1" si="456"/>
        <v>—</v>
      </c>
      <c r="S1351" s="17">
        <f t="shared" ca="1" si="457"/>
        <v>7</v>
      </c>
      <c r="T1351" s="70" t="str">
        <f t="shared" ca="1" si="458"/>
        <v>—</v>
      </c>
      <c r="U1351" s="17">
        <f t="shared" ca="1" si="459"/>
        <v>7</v>
      </c>
      <c r="V1351" s="71" t="str">
        <f t="shared" ca="1" si="460"/>
        <v>—</v>
      </c>
      <c r="W1351" s="17">
        <f t="shared" ca="1" si="461"/>
        <v>7</v>
      </c>
    </row>
    <row r="1352" spans="1:23" x14ac:dyDescent="0.25">
      <c r="A1352" s="4">
        <f t="shared" si="441"/>
        <v>32</v>
      </c>
      <c r="B1352" t="str">
        <f ca="1">TEXT(DATE(YEAR(Invoer!$A$6),1,1)+INT((ROWS(B$2:B1352)-1)/4),"jjjjmmdd")</f>
        <v>19401203</v>
      </c>
      <c r="C1352" s="64" t="str">
        <f>IF(MOD(ROWS(C$2:C1352)-1,4)=3,"24.00",INDEX(Data,3,2+MOD(ROWS(C$2:C1352)-1,4)))</f>
        <v>17.00</v>
      </c>
      <c r="D1352" s="18" t="str">
        <f t="shared" ca="1" si="442"/>
        <v>—</v>
      </c>
      <c r="E1352" s="17">
        <f t="shared" ca="1" si="443"/>
        <v>7</v>
      </c>
      <c r="F1352" s="18" t="str">
        <f t="shared" ca="1" si="444"/>
        <v>—</v>
      </c>
      <c r="G1352" s="17">
        <f t="shared" ca="1" si="445"/>
        <v>7</v>
      </c>
      <c r="H1352" s="18" t="str">
        <f t="shared" ca="1" si="446"/>
        <v>—</v>
      </c>
      <c r="I1352" s="17">
        <f t="shared" ca="1" si="447"/>
        <v>7</v>
      </c>
      <c r="J1352" s="18" t="str">
        <f t="shared" ca="1" si="448"/>
        <v>—</v>
      </c>
      <c r="K1352" s="17">
        <f t="shared" ca="1" si="449"/>
        <v>7</v>
      </c>
      <c r="L1352" s="10" t="str">
        <f t="shared" ca="1" si="450"/>
        <v>—</v>
      </c>
      <c r="M1352" s="17">
        <f t="shared" ca="1" si="451"/>
        <v>7</v>
      </c>
      <c r="N1352" s="18" t="str">
        <f t="shared" ca="1" si="452"/>
        <v>—</v>
      </c>
      <c r="O1352" s="17">
        <f t="shared" ca="1" si="453"/>
        <v>7</v>
      </c>
      <c r="P1352" s="18" t="str">
        <f t="shared" ca="1" si="454"/>
        <v>—</v>
      </c>
      <c r="Q1352" s="17">
        <f t="shared" ca="1" si="455"/>
        <v>7</v>
      </c>
      <c r="R1352" s="10" t="str">
        <f t="shared" ca="1" si="456"/>
        <v>—</v>
      </c>
      <c r="S1352" s="17">
        <f t="shared" ca="1" si="457"/>
        <v>7</v>
      </c>
      <c r="T1352" s="70" t="str">
        <f t="shared" ca="1" si="458"/>
        <v>—</v>
      </c>
      <c r="U1352" s="17">
        <f t="shared" ca="1" si="459"/>
        <v>7</v>
      </c>
      <c r="V1352" s="71" t="str">
        <f t="shared" ca="1" si="460"/>
        <v>—</v>
      </c>
      <c r="W1352" s="17">
        <f t="shared" ca="1" si="461"/>
        <v>7</v>
      </c>
    </row>
    <row r="1353" spans="1:23" x14ac:dyDescent="0.25">
      <c r="A1353" s="4">
        <f t="shared" si="441"/>
        <v>32</v>
      </c>
      <c r="B1353" t="str">
        <f ca="1">TEXT(DATE(YEAR(Invoer!$A$6),1,1)+INT((ROWS(B$2:B1353)-1)/4),"jjjjmmdd")</f>
        <v>19401203</v>
      </c>
      <c r="C1353" s="64" t="str">
        <f>IF(MOD(ROWS(C$2:C1353)-1,4)=3,"24.00",INDEX(Data,3,2+MOD(ROWS(C$2:C1353)-1,4)))</f>
        <v>24.00</v>
      </c>
      <c r="D1353" s="18" t="str">
        <f t="shared" ca="1" si="442"/>
        <v>—</v>
      </c>
      <c r="E1353" s="17">
        <f t="shared" ca="1" si="443"/>
        <v>7</v>
      </c>
      <c r="F1353" s="18" t="str">
        <f t="shared" ca="1" si="444"/>
        <v>—</v>
      </c>
      <c r="G1353" s="17">
        <f t="shared" ca="1" si="445"/>
        <v>7</v>
      </c>
      <c r="H1353" s="18" t="str">
        <f t="shared" ca="1" si="446"/>
        <v>—</v>
      </c>
      <c r="I1353" s="17">
        <f t="shared" ca="1" si="447"/>
        <v>7</v>
      </c>
      <c r="J1353" s="18" t="str">
        <f t="shared" ca="1" si="448"/>
        <v>—</v>
      </c>
      <c r="K1353" s="17">
        <f t="shared" ca="1" si="449"/>
        <v>7</v>
      </c>
      <c r="L1353" s="10" t="str">
        <f t="shared" ca="1" si="450"/>
        <v>—</v>
      </c>
      <c r="M1353" s="17">
        <f t="shared" ca="1" si="451"/>
        <v>7</v>
      </c>
      <c r="N1353" s="18" t="str">
        <f t="shared" ca="1" si="452"/>
        <v>—</v>
      </c>
      <c r="O1353" s="17">
        <f t="shared" ca="1" si="453"/>
        <v>7</v>
      </c>
      <c r="P1353" s="18" t="str">
        <f t="shared" ca="1" si="454"/>
        <v>—</v>
      </c>
      <c r="Q1353" s="17">
        <f t="shared" ca="1" si="455"/>
        <v>7</v>
      </c>
      <c r="R1353" s="10" t="str">
        <f t="shared" ca="1" si="456"/>
        <v>—</v>
      </c>
      <c r="S1353" s="17">
        <f t="shared" ca="1" si="457"/>
        <v>7</v>
      </c>
      <c r="T1353" s="70" t="str">
        <f t="shared" ca="1" si="458"/>
        <v>—</v>
      </c>
      <c r="U1353" s="17">
        <f t="shared" ca="1" si="459"/>
        <v>7</v>
      </c>
      <c r="V1353" s="71" t="str">
        <f t="shared" ca="1" si="460"/>
        <v>—</v>
      </c>
      <c r="W1353" s="17">
        <f t="shared" ca="1" si="461"/>
        <v>7</v>
      </c>
    </row>
    <row r="1354" spans="1:23" x14ac:dyDescent="0.25">
      <c r="A1354" s="4">
        <f t="shared" si="441"/>
        <v>32</v>
      </c>
      <c r="B1354" t="str">
        <f ca="1">TEXT(DATE(YEAR(Invoer!$A$6),1,1)+INT((ROWS(B$2:B1354)-1)/4),"jjjjmmdd")</f>
        <v>19401204</v>
      </c>
      <c r="C1354" s="64" t="str">
        <f>IF(MOD(ROWS(C$2:C1354)-1,4)=3,"24.00",INDEX(Data,3,2+MOD(ROWS(C$2:C1354)-1,4)))</f>
        <v>07.00</v>
      </c>
      <c r="D1354" s="18" t="str">
        <f t="shared" ca="1" si="442"/>
        <v>—</v>
      </c>
      <c r="E1354" s="17">
        <f t="shared" ca="1" si="443"/>
        <v>7</v>
      </c>
      <c r="F1354" s="18" t="str">
        <f t="shared" ca="1" si="444"/>
        <v>—</v>
      </c>
      <c r="G1354" s="17">
        <f t="shared" ca="1" si="445"/>
        <v>7</v>
      </c>
      <c r="H1354" s="18" t="str">
        <f t="shared" ca="1" si="446"/>
        <v>—</v>
      </c>
      <c r="I1354" s="17">
        <f t="shared" ca="1" si="447"/>
        <v>7</v>
      </c>
      <c r="J1354" s="18" t="str">
        <f t="shared" ca="1" si="448"/>
        <v>—</v>
      </c>
      <c r="K1354" s="17">
        <f t="shared" ca="1" si="449"/>
        <v>7</v>
      </c>
      <c r="L1354" s="10" t="str">
        <f t="shared" ca="1" si="450"/>
        <v>—</v>
      </c>
      <c r="M1354" s="17">
        <f t="shared" ca="1" si="451"/>
        <v>7</v>
      </c>
      <c r="N1354" s="18" t="str">
        <f t="shared" ca="1" si="452"/>
        <v>—</v>
      </c>
      <c r="O1354" s="17">
        <f t="shared" ca="1" si="453"/>
        <v>7</v>
      </c>
      <c r="P1354" s="18" t="str">
        <f t="shared" ca="1" si="454"/>
        <v>—</v>
      </c>
      <c r="Q1354" s="17">
        <f t="shared" ca="1" si="455"/>
        <v>7</v>
      </c>
      <c r="R1354" s="10" t="str">
        <f t="shared" ca="1" si="456"/>
        <v>—</v>
      </c>
      <c r="S1354" s="17">
        <f t="shared" ca="1" si="457"/>
        <v>7</v>
      </c>
      <c r="T1354" s="70" t="str">
        <f t="shared" ca="1" si="458"/>
        <v>—</v>
      </c>
      <c r="U1354" s="17">
        <f t="shared" ca="1" si="459"/>
        <v>7</v>
      </c>
      <c r="V1354" s="71" t="str">
        <f t="shared" ca="1" si="460"/>
        <v>—</v>
      </c>
      <c r="W1354" s="17">
        <f t="shared" ca="1" si="461"/>
        <v>7</v>
      </c>
    </row>
    <row r="1355" spans="1:23" x14ac:dyDescent="0.25">
      <c r="A1355" s="4">
        <f t="shared" si="441"/>
        <v>32</v>
      </c>
      <c r="B1355" t="str">
        <f ca="1">TEXT(DATE(YEAR(Invoer!$A$6),1,1)+INT((ROWS(B$2:B1355)-1)/4),"jjjjmmdd")</f>
        <v>19401204</v>
      </c>
      <c r="C1355" s="64" t="str">
        <f>IF(MOD(ROWS(C$2:C1355)-1,4)=3,"24.00",INDEX(Data,3,2+MOD(ROWS(C$2:C1355)-1,4)))</f>
        <v>12.00</v>
      </c>
      <c r="D1355" s="18" t="str">
        <f t="shared" ca="1" si="442"/>
        <v>—</v>
      </c>
      <c r="E1355" s="17">
        <f t="shared" ca="1" si="443"/>
        <v>7</v>
      </c>
      <c r="F1355" s="18" t="str">
        <f t="shared" ca="1" si="444"/>
        <v>—</v>
      </c>
      <c r="G1355" s="17">
        <f t="shared" ca="1" si="445"/>
        <v>7</v>
      </c>
      <c r="H1355" s="18" t="str">
        <f t="shared" ca="1" si="446"/>
        <v>—</v>
      </c>
      <c r="I1355" s="17">
        <f t="shared" ca="1" si="447"/>
        <v>7</v>
      </c>
      <c r="J1355" s="18" t="str">
        <f t="shared" ca="1" si="448"/>
        <v>—</v>
      </c>
      <c r="K1355" s="17">
        <f t="shared" ca="1" si="449"/>
        <v>7</v>
      </c>
      <c r="L1355" s="10" t="str">
        <f t="shared" ca="1" si="450"/>
        <v>—</v>
      </c>
      <c r="M1355" s="17">
        <f t="shared" ca="1" si="451"/>
        <v>7</v>
      </c>
      <c r="N1355" s="18" t="str">
        <f t="shared" ca="1" si="452"/>
        <v>—</v>
      </c>
      <c r="O1355" s="17">
        <f t="shared" ca="1" si="453"/>
        <v>7</v>
      </c>
      <c r="P1355" s="18" t="str">
        <f t="shared" ca="1" si="454"/>
        <v>—</v>
      </c>
      <c r="Q1355" s="17">
        <f t="shared" ca="1" si="455"/>
        <v>7</v>
      </c>
      <c r="R1355" s="10" t="str">
        <f t="shared" ca="1" si="456"/>
        <v>—</v>
      </c>
      <c r="S1355" s="17">
        <f t="shared" ca="1" si="457"/>
        <v>7</v>
      </c>
      <c r="T1355" s="70" t="str">
        <f t="shared" ca="1" si="458"/>
        <v>—</v>
      </c>
      <c r="U1355" s="17">
        <f t="shared" ca="1" si="459"/>
        <v>7</v>
      </c>
      <c r="V1355" s="71" t="str">
        <f t="shared" ca="1" si="460"/>
        <v>—</v>
      </c>
      <c r="W1355" s="17">
        <f t="shared" ca="1" si="461"/>
        <v>7</v>
      </c>
    </row>
    <row r="1356" spans="1:23" x14ac:dyDescent="0.25">
      <c r="A1356" s="4">
        <f t="shared" si="441"/>
        <v>32</v>
      </c>
      <c r="B1356" t="str">
        <f ca="1">TEXT(DATE(YEAR(Invoer!$A$6),1,1)+INT((ROWS(B$2:B1356)-1)/4),"jjjjmmdd")</f>
        <v>19401204</v>
      </c>
      <c r="C1356" s="64" t="str">
        <f>IF(MOD(ROWS(C$2:C1356)-1,4)=3,"24.00",INDEX(Data,3,2+MOD(ROWS(C$2:C1356)-1,4)))</f>
        <v>17.00</v>
      </c>
      <c r="D1356" s="18" t="str">
        <f t="shared" ca="1" si="442"/>
        <v>—</v>
      </c>
      <c r="E1356" s="17">
        <f t="shared" ca="1" si="443"/>
        <v>7</v>
      </c>
      <c r="F1356" s="18" t="str">
        <f t="shared" ca="1" si="444"/>
        <v>—</v>
      </c>
      <c r="G1356" s="17">
        <f t="shared" ca="1" si="445"/>
        <v>7</v>
      </c>
      <c r="H1356" s="18" t="str">
        <f t="shared" ca="1" si="446"/>
        <v>—</v>
      </c>
      <c r="I1356" s="17">
        <f t="shared" ca="1" si="447"/>
        <v>7</v>
      </c>
      <c r="J1356" s="18" t="str">
        <f t="shared" ca="1" si="448"/>
        <v>—</v>
      </c>
      <c r="K1356" s="17">
        <f t="shared" ca="1" si="449"/>
        <v>7</v>
      </c>
      <c r="L1356" s="10" t="str">
        <f t="shared" ca="1" si="450"/>
        <v>—</v>
      </c>
      <c r="M1356" s="17">
        <f t="shared" ca="1" si="451"/>
        <v>7</v>
      </c>
      <c r="N1356" s="18" t="str">
        <f t="shared" ca="1" si="452"/>
        <v>—</v>
      </c>
      <c r="O1356" s="17">
        <f t="shared" ca="1" si="453"/>
        <v>7</v>
      </c>
      <c r="P1356" s="18" t="str">
        <f t="shared" ca="1" si="454"/>
        <v>—</v>
      </c>
      <c r="Q1356" s="17">
        <f t="shared" ca="1" si="455"/>
        <v>7</v>
      </c>
      <c r="R1356" s="10" t="str">
        <f t="shared" ca="1" si="456"/>
        <v>—</v>
      </c>
      <c r="S1356" s="17">
        <f t="shared" ca="1" si="457"/>
        <v>7</v>
      </c>
      <c r="T1356" s="70" t="str">
        <f t="shared" ca="1" si="458"/>
        <v>—</v>
      </c>
      <c r="U1356" s="17">
        <f t="shared" ca="1" si="459"/>
        <v>7</v>
      </c>
      <c r="V1356" s="71" t="str">
        <f t="shared" ca="1" si="460"/>
        <v>—</v>
      </c>
      <c r="W1356" s="17">
        <f t="shared" ca="1" si="461"/>
        <v>7</v>
      </c>
    </row>
    <row r="1357" spans="1:23" x14ac:dyDescent="0.25">
      <c r="A1357" s="4">
        <f t="shared" si="441"/>
        <v>32</v>
      </c>
      <c r="B1357" t="str">
        <f ca="1">TEXT(DATE(YEAR(Invoer!$A$6),1,1)+INT((ROWS(B$2:B1357)-1)/4),"jjjjmmdd")</f>
        <v>19401204</v>
      </c>
      <c r="C1357" s="64" t="str">
        <f>IF(MOD(ROWS(C$2:C1357)-1,4)=3,"24.00",INDEX(Data,3,2+MOD(ROWS(C$2:C1357)-1,4)))</f>
        <v>24.00</v>
      </c>
      <c r="D1357" s="18" t="str">
        <f t="shared" ca="1" si="442"/>
        <v>—</v>
      </c>
      <c r="E1357" s="17">
        <f t="shared" ca="1" si="443"/>
        <v>7</v>
      </c>
      <c r="F1357" s="18" t="str">
        <f t="shared" ca="1" si="444"/>
        <v>—</v>
      </c>
      <c r="G1357" s="17">
        <f t="shared" ca="1" si="445"/>
        <v>7</v>
      </c>
      <c r="H1357" s="18" t="str">
        <f t="shared" ca="1" si="446"/>
        <v>—</v>
      </c>
      <c r="I1357" s="17">
        <f t="shared" ca="1" si="447"/>
        <v>7</v>
      </c>
      <c r="J1357" s="18" t="str">
        <f t="shared" ca="1" si="448"/>
        <v>—</v>
      </c>
      <c r="K1357" s="17">
        <f t="shared" ca="1" si="449"/>
        <v>7</v>
      </c>
      <c r="L1357" s="10" t="str">
        <f t="shared" ca="1" si="450"/>
        <v>—</v>
      </c>
      <c r="M1357" s="17">
        <f t="shared" ca="1" si="451"/>
        <v>7</v>
      </c>
      <c r="N1357" s="18" t="str">
        <f t="shared" ca="1" si="452"/>
        <v>—</v>
      </c>
      <c r="O1357" s="17">
        <f t="shared" ca="1" si="453"/>
        <v>7</v>
      </c>
      <c r="P1357" s="18" t="str">
        <f t="shared" ca="1" si="454"/>
        <v>—</v>
      </c>
      <c r="Q1357" s="17">
        <f t="shared" ca="1" si="455"/>
        <v>7</v>
      </c>
      <c r="R1357" s="10" t="str">
        <f t="shared" ca="1" si="456"/>
        <v>—</v>
      </c>
      <c r="S1357" s="17">
        <f t="shared" ca="1" si="457"/>
        <v>7</v>
      </c>
      <c r="T1357" s="70" t="str">
        <f t="shared" ca="1" si="458"/>
        <v>—</v>
      </c>
      <c r="U1357" s="17">
        <f t="shared" ca="1" si="459"/>
        <v>7</v>
      </c>
      <c r="V1357" s="71" t="str">
        <f t="shared" ca="1" si="460"/>
        <v>—</v>
      </c>
      <c r="W1357" s="17">
        <f t="shared" ca="1" si="461"/>
        <v>7</v>
      </c>
    </row>
    <row r="1358" spans="1:23" x14ac:dyDescent="0.25">
      <c r="A1358" s="4">
        <f t="shared" si="441"/>
        <v>32</v>
      </c>
      <c r="B1358" t="str">
        <f ca="1">TEXT(DATE(YEAR(Invoer!$A$6),1,1)+INT((ROWS(B$2:B1358)-1)/4),"jjjjmmdd")</f>
        <v>19401205</v>
      </c>
      <c r="C1358" s="64" t="str">
        <f>IF(MOD(ROWS(C$2:C1358)-1,4)=3,"24.00",INDEX(Data,3,2+MOD(ROWS(C$2:C1358)-1,4)))</f>
        <v>07.00</v>
      </c>
      <c r="D1358" s="18" t="str">
        <f t="shared" ca="1" si="442"/>
        <v>—</v>
      </c>
      <c r="E1358" s="17">
        <f t="shared" ca="1" si="443"/>
        <v>7</v>
      </c>
      <c r="F1358" s="18" t="str">
        <f t="shared" ca="1" si="444"/>
        <v>—</v>
      </c>
      <c r="G1358" s="17">
        <f t="shared" ca="1" si="445"/>
        <v>7</v>
      </c>
      <c r="H1358" s="18" t="str">
        <f t="shared" ca="1" si="446"/>
        <v>—</v>
      </c>
      <c r="I1358" s="17">
        <f t="shared" ca="1" si="447"/>
        <v>7</v>
      </c>
      <c r="J1358" s="18" t="str">
        <f t="shared" ca="1" si="448"/>
        <v>—</v>
      </c>
      <c r="K1358" s="17">
        <f t="shared" ca="1" si="449"/>
        <v>7</v>
      </c>
      <c r="L1358" s="10" t="str">
        <f t="shared" ca="1" si="450"/>
        <v>—</v>
      </c>
      <c r="M1358" s="17">
        <f t="shared" ca="1" si="451"/>
        <v>7</v>
      </c>
      <c r="N1358" s="18" t="str">
        <f t="shared" ca="1" si="452"/>
        <v>—</v>
      </c>
      <c r="O1358" s="17">
        <f t="shared" ca="1" si="453"/>
        <v>7</v>
      </c>
      <c r="P1358" s="18" t="str">
        <f t="shared" ca="1" si="454"/>
        <v>—</v>
      </c>
      <c r="Q1358" s="17">
        <f t="shared" ca="1" si="455"/>
        <v>7</v>
      </c>
      <c r="R1358" s="10" t="str">
        <f t="shared" ca="1" si="456"/>
        <v>—</v>
      </c>
      <c r="S1358" s="17">
        <f t="shared" ca="1" si="457"/>
        <v>7</v>
      </c>
      <c r="T1358" s="70" t="str">
        <f t="shared" ca="1" si="458"/>
        <v>—</v>
      </c>
      <c r="U1358" s="17">
        <f t="shared" ca="1" si="459"/>
        <v>7</v>
      </c>
      <c r="V1358" s="71" t="str">
        <f t="shared" ca="1" si="460"/>
        <v>—</v>
      </c>
      <c r="W1358" s="17">
        <f t="shared" ca="1" si="461"/>
        <v>7</v>
      </c>
    </row>
    <row r="1359" spans="1:23" x14ac:dyDescent="0.25">
      <c r="A1359" s="4">
        <f t="shared" si="441"/>
        <v>32</v>
      </c>
      <c r="B1359" t="str">
        <f ca="1">TEXT(DATE(YEAR(Invoer!$A$6),1,1)+INT((ROWS(B$2:B1359)-1)/4),"jjjjmmdd")</f>
        <v>19401205</v>
      </c>
      <c r="C1359" s="64" t="str">
        <f>IF(MOD(ROWS(C$2:C1359)-1,4)=3,"24.00",INDEX(Data,3,2+MOD(ROWS(C$2:C1359)-1,4)))</f>
        <v>12.00</v>
      </c>
      <c r="D1359" s="18" t="str">
        <f t="shared" ca="1" si="442"/>
        <v>—</v>
      </c>
      <c r="E1359" s="17">
        <f t="shared" ca="1" si="443"/>
        <v>7</v>
      </c>
      <c r="F1359" s="18" t="str">
        <f t="shared" ca="1" si="444"/>
        <v>—</v>
      </c>
      <c r="G1359" s="17">
        <f t="shared" ca="1" si="445"/>
        <v>7</v>
      </c>
      <c r="H1359" s="18" t="str">
        <f t="shared" ca="1" si="446"/>
        <v>—</v>
      </c>
      <c r="I1359" s="17">
        <f t="shared" ca="1" si="447"/>
        <v>7</v>
      </c>
      <c r="J1359" s="18" t="str">
        <f t="shared" ca="1" si="448"/>
        <v>—</v>
      </c>
      <c r="K1359" s="17">
        <f t="shared" ca="1" si="449"/>
        <v>7</v>
      </c>
      <c r="L1359" s="10" t="str">
        <f t="shared" ca="1" si="450"/>
        <v>—</v>
      </c>
      <c r="M1359" s="17">
        <f t="shared" ca="1" si="451"/>
        <v>7</v>
      </c>
      <c r="N1359" s="18" t="str">
        <f t="shared" ca="1" si="452"/>
        <v>—</v>
      </c>
      <c r="O1359" s="17">
        <f t="shared" ca="1" si="453"/>
        <v>7</v>
      </c>
      <c r="P1359" s="18" t="str">
        <f t="shared" ca="1" si="454"/>
        <v>—</v>
      </c>
      <c r="Q1359" s="17">
        <f t="shared" ca="1" si="455"/>
        <v>7</v>
      </c>
      <c r="R1359" s="10" t="str">
        <f t="shared" ca="1" si="456"/>
        <v>—</v>
      </c>
      <c r="S1359" s="17">
        <f t="shared" ca="1" si="457"/>
        <v>7</v>
      </c>
      <c r="T1359" s="70" t="str">
        <f t="shared" ca="1" si="458"/>
        <v>—</v>
      </c>
      <c r="U1359" s="17">
        <f t="shared" ca="1" si="459"/>
        <v>7</v>
      </c>
      <c r="V1359" s="71" t="str">
        <f t="shared" ca="1" si="460"/>
        <v>—</v>
      </c>
      <c r="W1359" s="17">
        <f t="shared" ca="1" si="461"/>
        <v>7</v>
      </c>
    </row>
    <row r="1360" spans="1:23" x14ac:dyDescent="0.25">
      <c r="A1360" s="4">
        <f t="shared" si="441"/>
        <v>32</v>
      </c>
      <c r="B1360" t="str">
        <f ca="1">TEXT(DATE(YEAR(Invoer!$A$6),1,1)+INT((ROWS(B$2:B1360)-1)/4),"jjjjmmdd")</f>
        <v>19401205</v>
      </c>
      <c r="C1360" s="64" t="str">
        <f>IF(MOD(ROWS(C$2:C1360)-1,4)=3,"24.00",INDEX(Data,3,2+MOD(ROWS(C$2:C1360)-1,4)))</f>
        <v>17.00</v>
      </c>
      <c r="D1360" s="18" t="str">
        <f t="shared" ca="1" si="442"/>
        <v>—</v>
      </c>
      <c r="E1360" s="17">
        <f t="shared" ca="1" si="443"/>
        <v>7</v>
      </c>
      <c r="F1360" s="18" t="str">
        <f t="shared" ca="1" si="444"/>
        <v>—</v>
      </c>
      <c r="G1360" s="17">
        <f t="shared" ca="1" si="445"/>
        <v>7</v>
      </c>
      <c r="H1360" s="18" t="str">
        <f t="shared" ca="1" si="446"/>
        <v>—</v>
      </c>
      <c r="I1360" s="17">
        <f t="shared" ca="1" si="447"/>
        <v>7</v>
      </c>
      <c r="J1360" s="18" t="str">
        <f t="shared" ca="1" si="448"/>
        <v>—</v>
      </c>
      <c r="K1360" s="17">
        <f t="shared" ca="1" si="449"/>
        <v>7</v>
      </c>
      <c r="L1360" s="10" t="str">
        <f t="shared" ca="1" si="450"/>
        <v>—</v>
      </c>
      <c r="M1360" s="17">
        <f t="shared" ca="1" si="451"/>
        <v>7</v>
      </c>
      <c r="N1360" s="18" t="str">
        <f t="shared" ca="1" si="452"/>
        <v>—</v>
      </c>
      <c r="O1360" s="17">
        <f t="shared" ca="1" si="453"/>
        <v>7</v>
      </c>
      <c r="P1360" s="18" t="str">
        <f t="shared" ca="1" si="454"/>
        <v>—</v>
      </c>
      <c r="Q1360" s="17">
        <f t="shared" ca="1" si="455"/>
        <v>7</v>
      </c>
      <c r="R1360" s="10" t="str">
        <f t="shared" ca="1" si="456"/>
        <v>—</v>
      </c>
      <c r="S1360" s="17">
        <f t="shared" ca="1" si="457"/>
        <v>7</v>
      </c>
      <c r="T1360" s="70" t="str">
        <f t="shared" ca="1" si="458"/>
        <v>—</v>
      </c>
      <c r="U1360" s="17">
        <f t="shared" ca="1" si="459"/>
        <v>7</v>
      </c>
      <c r="V1360" s="71" t="str">
        <f t="shared" ca="1" si="460"/>
        <v>—</v>
      </c>
      <c r="W1360" s="17">
        <f t="shared" ca="1" si="461"/>
        <v>7</v>
      </c>
    </row>
    <row r="1361" spans="1:23" x14ac:dyDescent="0.25">
      <c r="A1361" s="4">
        <f t="shared" si="441"/>
        <v>32</v>
      </c>
      <c r="B1361" t="str">
        <f ca="1">TEXT(DATE(YEAR(Invoer!$A$6),1,1)+INT((ROWS(B$2:B1361)-1)/4),"jjjjmmdd")</f>
        <v>19401205</v>
      </c>
      <c r="C1361" s="64" t="str">
        <f>IF(MOD(ROWS(C$2:C1361)-1,4)=3,"24.00",INDEX(Data,3,2+MOD(ROWS(C$2:C1361)-1,4)))</f>
        <v>24.00</v>
      </c>
      <c r="D1361" s="18" t="str">
        <f t="shared" ca="1" si="442"/>
        <v>—</v>
      </c>
      <c r="E1361" s="17">
        <f t="shared" ca="1" si="443"/>
        <v>7</v>
      </c>
      <c r="F1361" s="18" t="str">
        <f t="shared" ca="1" si="444"/>
        <v>—</v>
      </c>
      <c r="G1361" s="17">
        <f t="shared" ca="1" si="445"/>
        <v>7</v>
      </c>
      <c r="H1361" s="18" t="str">
        <f t="shared" ca="1" si="446"/>
        <v>—</v>
      </c>
      <c r="I1361" s="17">
        <f t="shared" ca="1" si="447"/>
        <v>7</v>
      </c>
      <c r="J1361" s="18" t="str">
        <f t="shared" ca="1" si="448"/>
        <v>—</v>
      </c>
      <c r="K1361" s="17">
        <f t="shared" ca="1" si="449"/>
        <v>7</v>
      </c>
      <c r="L1361" s="10" t="str">
        <f t="shared" ca="1" si="450"/>
        <v>—</v>
      </c>
      <c r="M1361" s="17">
        <f t="shared" ca="1" si="451"/>
        <v>7</v>
      </c>
      <c r="N1361" s="18" t="str">
        <f t="shared" ca="1" si="452"/>
        <v>—</v>
      </c>
      <c r="O1361" s="17">
        <f t="shared" ca="1" si="453"/>
        <v>7</v>
      </c>
      <c r="P1361" s="18" t="str">
        <f t="shared" ca="1" si="454"/>
        <v>—</v>
      </c>
      <c r="Q1361" s="17">
        <f t="shared" ca="1" si="455"/>
        <v>7</v>
      </c>
      <c r="R1361" s="10" t="str">
        <f t="shared" ca="1" si="456"/>
        <v>—</v>
      </c>
      <c r="S1361" s="17">
        <f t="shared" ca="1" si="457"/>
        <v>7</v>
      </c>
      <c r="T1361" s="70" t="str">
        <f t="shared" ca="1" si="458"/>
        <v>—</v>
      </c>
      <c r="U1361" s="17">
        <f t="shared" ca="1" si="459"/>
        <v>7</v>
      </c>
      <c r="V1361" s="71" t="str">
        <f t="shared" ca="1" si="460"/>
        <v>—</v>
      </c>
      <c r="W1361" s="17">
        <f t="shared" ca="1" si="461"/>
        <v>7</v>
      </c>
    </row>
    <row r="1362" spans="1:23" x14ac:dyDescent="0.25">
      <c r="A1362" s="4">
        <f t="shared" si="441"/>
        <v>32</v>
      </c>
      <c r="B1362" t="str">
        <f ca="1">TEXT(DATE(YEAR(Invoer!$A$6),1,1)+INT((ROWS(B$2:B1362)-1)/4),"jjjjmmdd")</f>
        <v>19401206</v>
      </c>
      <c r="C1362" s="64" t="str">
        <f>IF(MOD(ROWS(C$2:C1362)-1,4)=3,"24.00",INDEX(Data,3,2+MOD(ROWS(C$2:C1362)-1,4)))</f>
        <v>07.00</v>
      </c>
      <c r="D1362" s="18" t="str">
        <f t="shared" ca="1" si="442"/>
        <v>—</v>
      </c>
      <c r="E1362" s="17">
        <f t="shared" ca="1" si="443"/>
        <v>7</v>
      </c>
      <c r="F1362" s="18" t="str">
        <f t="shared" ca="1" si="444"/>
        <v>—</v>
      </c>
      <c r="G1362" s="17">
        <f t="shared" ca="1" si="445"/>
        <v>7</v>
      </c>
      <c r="H1362" s="18" t="str">
        <f t="shared" ca="1" si="446"/>
        <v>—</v>
      </c>
      <c r="I1362" s="17">
        <f t="shared" ca="1" si="447"/>
        <v>7</v>
      </c>
      <c r="J1362" s="18" t="str">
        <f t="shared" ca="1" si="448"/>
        <v>—</v>
      </c>
      <c r="K1362" s="17">
        <f t="shared" ca="1" si="449"/>
        <v>7</v>
      </c>
      <c r="L1362" s="10" t="str">
        <f t="shared" ca="1" si="450"/>
        <v>—</v>
      </c>
      <c r="M1362" s="17">
        <f t="shared" ca="1" si="451"/>
        <v>7</v>
      </c>
      <c r="N1362" s="18" t="str">
        <f t="shared" ca="1" si="452"/>
        <v>—</v>
      </c>
      <c r="O1362" s="17">
        <f t="shared" ca="1" si="453"/>
        <v>7</v>
      </c>
      <c r="P1362" s="18" t="str">
        <f t="shared" ca="1" si="454"/>
        <v>—</v>
      </c>
      <c r="Q1362" s="17">
        <f t="shared" ca="1" si="455"/>
        <v>7</v>
      </c>
      <c r="R1362" s="10" t="str">
        <f t="shared" ca="1" si="456"/>
        <v>—</v>
      </c>
      <c r="S1362" s="17">
        <f t="shared" ca="1" si="457"/>
        <v>7</v>
      </c>
      <c r="T1362" s="70" t="str">
        <f t="shared" ca="1" si="458"/>
        <v>—</v>
      </c>
      <c r="U1362" s="17">
        <f t="shared" ca="1" si="459"/>
        <v>7</v>
      </c>
      <c r="V1362" s="71" t="str">
        <f t="shared" ca="1" si="460"/>
        <v>—</v>
      </c>
      <c r="W1362" s="17">
        <f t="shared" ca="1" si="461"/>
        <v>7</v>
      </c>
    </row>
    <row r="1363" spans="1:23" x14ac:dyDescent="0.25">
      <c r="A1363" s="4">
        <f t="shared" si="441"/>
        <v>32</v>
      </c>
      <c r="B1363" t="str">
        <f ca="1">TEXT(DATE(YEAR(Invoer!$A$6),1,1)+INT((ROWS(B$2:B1363)-1)/4),"jjjjmmdd")</f>
        <v>19401206</v>
      </c>
      <c r="C1363" s="64" t="str">
        <f>IF(MOD(ROWS(C$2:C1363)-1,4)=3,"24.00",INDEX(Data,3,2+MOD(ROWS(C$2:C1363)-1,4)))</f>
        <v>12.00</v>
      </c>
      <c r="D1363" s="18" t="str">
        <f t="shared" ca="1" si="442"/>
        <v>—</v>
      </c>
      <c r="E1363" s="17">
        <f t="shared" ca="1" si="443"/>
        <v>7</v>
      </c>
      <c r="F1363" s="18" t="str">
        <f t="shared" ca="1" si="444"/>
        <v>—</v>
      </c>
      <c r="G1363" s="17">
        <f t="shared" ca="1" si="445"/>
        <v>7</v>
      </c>
      <c r="H1363" s="18" t="str">
        <f t="shared" ca="1" si="446"/>
        <v>—</v>
      </c>
      <c r="I1363" s="17">
        <f t="shared" ca="1" si="447"/>
        <v>7</v>
      </c>
      <c r="J1363" s="18" t="str">
        <f t="shared" ca="1" si="448"/>
        <v>—</v>
      </c>
      <c r="K1363" s="17">
        <f t="shared" ca="1" si="449"/>
        <v>7</v>
      </c>
      <c r="L1363" s="10" t="str">
        <f t="shared" ca="1" si="450"/>
        <v>—</v>
      </c>
      <c r="M1363" s="17">
        <f t="shared" ca="1" si="451"/>
        <v>7</v>
      </c>
      <c r="N1363" s="18" t="str">
        <f t="shared" ca="1" si="452"/>
        <v>—</v>
      </c>
      <c r="O1363" s="17">
        <f t="shared" ca="1" si="453"/>
        <v>7</v>
      </c>
      <c r="P1363" s="18" t="str">
        <f t="shared" ca="1" si="454"/>
        <v>—</v>
      </c>
      <c r="Q1363" s="17">
        <f t="shared" ca="1" si="455"/>
        <v>7</v>
      </c>
      <c r="R1363" s="10" t="str">
        <f t="shared" ca="1" si="456"/>
        <v>—</v>
      </c>
      <c r="S1363" s="17">
        <f t="shared" ca="1" si="457"/>
        <v>7</v>
      </c>
      <c r="T1363" s="70" t="str">
        <f t="shared" ca="1" si="458"/>
        <v>—</v>
      </c>
      <c r="U1363" s="17">
        <f t="shared" ca="1" si="459"/>
        <v>7</v>
      </c>
      <c r="V1363" s="71" t="str">
        <f t="shared" ca="1" si="460"/>
        <v>—</v>
      </c>
      <c r="W1363" s="17">
        <f t="shared" ca="1" si="461"/>
        <v>7</v>
      </c>
    </row>
    <row r="1364" spans="1:23" x14ac:dyDescent="0.25">
      <c r="A1364" s="4">
        <f t="shared" si="441"/>
        <v>32</v>
      </c>
      <c r="B1364" t="str">
        <f ca="1">TEXT(DATE(YEAR(Invoer!$A$6),1,1)+INT((ROWS(B$2:B1364)-1)/4),"jjjjmmdd")</f>
        <v>19401206</v>
      </c>
      <c r="C1364" s="64" t="str">
        <f>IF(MOD(ROWS(C$2:C1364)-1,4)=3,"24.00",INDEX(Data,3,2+MOD(ROWS(C$2:C1364)-1,4)))</f>
        <v>17.00</v>
      </c>
      <c r="D1364" s="18" t="str">
        <f t="shared" ca="1" si="442"/>
        <v>—</v>
      </c>
      <c r="E1364" s="17">
        <f t="shared" ca="1" si="443"/>
        <v>7</v>
      </c>
      <c r="F1364" s="18" t="str">
        <f t="shared" ca="1" si="444"/>
        <v>—</v>
      </c>
      <c r="G1364" s="17">
        <f t="shared" ca="1" si="445"/>
        <v>7</v>
      </c>
      <c r="H1364" s="18" t="str">
        <f t="shared" ca="1" si="446"/>
        <v>—</v>
      </c>
      <c r="I1364" s="17">
        <f t="shared" ca="1" si="447"/>
        <v>7</v>
      </c>
      <c r="J1364" s="18" t="str">
        <f t="shared" ca="1" si="448"/>
        <v>—</v>
      </c>
      <c r="K1364" s="17">
        <f t="shared" ca="1" si="449"/>
        <v>7</v>
      </c>
      <c r="L1364" s="10" t="str">
        <f t="shared" ca="1" si="450"/>
        <v>—</v>
      </c>
      <c r="M1364" s="17">
        <f t="shared" ca="1" si="451"/>
        <v>7</v>
      </c>
      <c r="N1364" s="18" t="str">
        <f t="shared" ca="1" si="452"/>
        <v>—</v>
      </c>
      <c r="O1364" s="17">
        <f t="shared" ca="1" si="453"/>
        <v>7</v>
      </c>
      <c r="P1364" s="18" t="str">
        <f t="shared" ca="1" si="454"/>
        <v>—</v>
      </c>
      <c r="Q1364" s="17">
        <f t="shared" ca="1" si="455"/>
        <v>7</v>
      </c>
      <c r="R1364" s="10" t="str">
        <f t="shared" ca="1" si="456"/>
        <v>—</v>
      </c>
      <c r="S1364" s="17">
        <f t="shared" ca="1" si="457"/>
        <v>7</v>
      </c>
      <c r="T1364" s="70" t="str">
        <f t="shared" ca="1" si="458"/>
        <v>—</v>
      </c>
      <c r="U1364" s="17">
        <f t="shared" ca="1" si="459"/>
        <v>7</v>
      </c>
      <c r="V1364" s="71" t="str">
        <f t="shared" ca="1" si="460"/>
        <v>—</v>
      </c>
      <c r="W1364" s="17">
        <f t="shared" ca="1" si="461"/>
        <v>7</v>
      </c>
    </row>
    <row r="1365" spans="1:23" x14ac:dyDescent="0.25">
      <c r="A1365" s="4">
        <f t="shared" si="441"/>
        <v>32</v>
      </c>
      <c r="B1365" t="str">
        <f ca="1">TEXT(DATE(YEAR(Invoer!$A$6),1,1)+INT((ROWS(B$2:B1365)-1)/4),"jjjjmmdd")</f>
        <v>19401206</v>
      </c>
      <c r="C1365" s="64" t="str">
        <f>IF(MOD(ROWS(C$2:C1365)-1,4)=3,"24.00",INDEX(Data,3,2+MOD(ROWS(C$2:C1365)-1,4)))</f>
        <v>24.00</v>
      </c>
      <c r="D1365" s="18" t="str">
        <f t="shared" ca="1" si="442"/>
        <v>—</v>
      </c>
      <c r="E1365" s="17">
        <f t="shared" ca="1" si="443"/>
        <v>7</v>
      </c>
      <c r="F1365" s="18" t="str">
        <f t="shared" ca="1" si="444"/>
        <v>—</v>
      </c>
      <c r="G1365" s="17">
        <f t="shared" ca="1" si="445"/>
        <v>7</v>
      </c>
      <c r="H1365" s="18" t="str">
        <f t="shared" ca="1" si="446"/>
        <v>—</v>
      </c>
      <c r="I1365" s="17">
        <f t="shared" ca="1" si="447"/>
        <v>7</v>
      </c>
      <c r="J1365" s="18" t="str">
        <f t="shared" ca="1" si="448"/>
        <v>—</v>
      </c>
      <c r="K1365" s="17">
        <f t="shared" ca="1" si="449"/>
        <v>7</v>
      </c>
      <c r="L1365" s="10" t="str">
        <f t="shared" ca="1" si="450"/>
        <v>—</v>
      </c>
      <c r="M1365" s="17">
        <f t="shared" ca="1" si="451"/>
        <v>7</v>
      </c>
      <c r="N1365" s="18" t="str">
        <f t="shared" ca="1" si="452"/>
        <v>—</v>
      </c>
      <c r="O1365" s="17">
        <f t="shared" ca="1" si="453"/>
        <v>7</v>
      </c>
      <c r="P1365" s="18" t="str">
        <f t="shared" ca="1" si="454"/>
        <v>—</v>
      </c>
      <c r="Q1365" s="17">
        <f t="shared" ca="1" si="455"/>
        <v>7</v>
      </c>
      <c r="R1365" s="10" t="str">
        <f t="shared" ca="1" si="456"/>
        <v>—</v>
      </c>
      <c r="S1365" s="17">
        <f t="shared" ca="1" si="457"/>
        <v>7</v>
      </c>
      <c r="T1365" s="70" t="str">
        <f t="shared" ca="1" si="458"/>
        <v>—</v>
      </c>
      <c r="U1365" s="17">
        <f t="shared" ca="1" si="459"/>
        <v>7</v>
      </c>
      <c r="V1365" s="71" t="str">
        <f t="shared" ca="1" si="460"/>
        <v>—</v>
      </c>
      <c r="W1365" s="17">
        <f t="shared" ca="1" si="461"/>
        <v>7</v>
      </c>
    </row>
    <row r="1366" spans="1:23" x14ac:dyDescent="0.25">
      <c r="A1366" s="4">
        <f t="shared" si="441"/>
        <v>32</v>
      </c>
      <c r="B1366" t="str">
        <f ca="1">TEXT(DATE(YEAR(Invoer!$A$6),1,1)+INT((ROWS(B$2:B1366)-1)/4),"jjjjmmdd")</f>
        <v>19401207</v>
      </c>
      <c r="C1366" s="64" t="str">
        <f>IF(MOD(ROWS(C$2:C1366)-1,4)=3,"24.00",INDEX(Data,3,2+MOD(ROWS(C$2:C1366)-1,4)))</f>
        <v>07.00</v>
      </c>
      <c r="D1366" s="18" t="str">
        <f t="shared" ca="1" si="442"/>
        <v>—</v>
      </c>
      <c r="E1366" s="17">
        <f t="shared" ca="1" si="443"/>
        <v>7</v>
      </c>
      <c r="F1366" s="18" t="str">
        <f t="shared" ca="1" si="444"/>
        <v>—</v>
      </c>
      <c r="G1366" s="17">
        <f t="shared" ca="1" si="445"/>
        <v>7</v>
      </c>
      <c r="H1366" s="18" t="str">
        <f t="shared" ca="1" si="446"/>
        <v>—</v>
      </c>
      <c r="I1366" s="17">
        <f t="shared" ca="1" si="447"/>
        <v>7</v>
      </c>
      <c r="J1366" s="18" t="str">
        <f t="shared" ca="1" si="448"/>
        <v>—</v>
      </c>
      <c r="K1366" s="17">
        <f t="shared" ca="1" si="449"/>
        <v>7</v>
      </c>
      <c r="L1366" s="10" t="str">
        <f t="shared" ca="1" si="450"/>
        <v>—</v>
      </c>
      <c r="M1366" s="17">
        <f t="shared" ca="1" si="451"/>
        <v>7</v>
      </c>
      <c r="N1366" s="18" t="str">
        <f t="shared" ca="1" si="452"/>
        <v>—</v>
      </c>
      <c r="O1366" s="17">
        <f t="shared" ca="1" si="453"/>
        <v>7</v>
      </c>
      <c r="P1366" s="18" t="str">
        <f t="shared" ca="1" si="454"/>
        <v>—</v>
      </c>
      <c r="Q1366" s="17">
        <f t="shared" ca="1" si="455"/>
        <v>7</v>
      </c>
      <c r="R1366" s="10" t="str">
        <f t="shared" ca="1" si="456"/>
        <v>—</v>
      </c>
      <c r="S1366" s="17">
        <f t="shared" ca="1" si="457"/>
        <v>7</v>
      </c>
      <c r="T1366" s="70" t="str">
        <f t="shared" ca="1" si="458"/>
        <v>—</v>
      </c>
      <c r="U1366" s="17">
        <f t="shared" ca="1" si="459"/>
        <v>7</v>
      </c>
      <c r="V1366" s="71" t="str">
        <f t="shared" ca="1" si="460"/>
        <v>—</v>
      </c>
      <c r="W1366" s="17">
        <f t="shared" ca="1" si="461"/>
        <v>7</v>
      </c>
    </row>
    <row r="1367" spans="1:23" x14ac:dyDescent="0.25">
      <c r="A1367" s="4">
        <f t="shared" si="441"/>
        <v>32</v>
      </c>
      <c r="B1367" t="str">
        <f ca="1">TEXT(DATE(YEAR(Invoer!$A$6),1,1)+INT((ROWS(B$2:B1367)-1)/4),"jjjjmmdd")</f>
        <v>19401207</v>
      </c>
      <c r="C1367" s="64" t="str">
        <f>IF(MOD(ROWS(C$2:C1367)-1,4)=3,"24.00",INDEX(Data,3,2+MOD(ROWS(C$2:C1367)-1,4)))</f>
        <v>12.00</v>
      </c>
      <c r="D1367" s="18" t="str">
        <f t="shared" ca="1" si="442"/>
        <v>—</v>
      </c>
      <c r="E1367" s="17">
        <f t="shared" ca="1" si="443"/>
        <v>7</v>
      </c>
      <c r="F1367" s="18" t="str">
        <f t="shared" ca="1" si="444"/>
        <v>—</v>
      </c>
      <c r="G1367" s="17">
        <f t="shared" ca="1" si="445"/>
        <v>7</v>
      </c>
      <c r="H1367" s="18" t="str">
        <f t="shared" ca="1" si="446"/>
        <v>—</v>
      </c>
      <c r="I1367" s="17">
        <f t="shared" ca="1" si="447"/>
        <v>7</v>
      </c>
      <c r="J1367" s="18" t="str">
        <f t="shared" ca="1" si="448"/>
        <v>—</v>
      </c>
      <c r="K1367" s="17">
        <f t="shared" ca="1" si="449"/>
        <v>7</v>
      </c>
      <c r="L1367" s="10" t="str">
        <f t="shared" ca="1" si="450"/>
        <v>—</v>
      </c>
      <c r="M1367" s="17">
        <f t="shared" ca="1" si="451"/>
        <v>7</v>
      </c>
      <c r="N1367" s="18" t="str">
        <f t="shared" ca="1" si="452"/>
        <v>—</v>
      </c>
      <c r="O1367" s="17">
        <f t="shared" ca="1" si="453"/>
        <v>7</v>
      </c>
      <c r="P1367" s="18" t="str">
        <f t="shared" ca="1" si="454"/>
        <v>—</v>
      </c>
      <c r="Q1367" s="17">
        <f t="shared" ca="1" si="455"/>
        <v>7</v>
      </c>
      <c r="R1367" s="10" t="str">
        <f t="shared" ca="1" si="456"/>
        <v>—</v>
      </c>
      <c r="S1367" s="17">
        <f t="shared" ca="1" si="457"/>
        <v>7</v>
      </c>
      <c r="T1367" s="70" t="str">
        <f t="shared" ca="1" si="458"/>
        <v>—</v>
      </c>
      <c r="U1367" s="17">
        <f t="shared" ca="1" si="459"/>
        <v>7</v>
      </c>
      <c r="V1367" s="71" t="str">
        <f t="shared" ca="1" si="460"/>
        <v>—</v>
      </c>
      <c r="W1367" s="17">
        <f t="shared" ca="1" si="461"/>
        <v>7</v>
      </c>
    </row>
    <row r="1368" spans="1:23" x14ac:dyDescent="0.25">
      <c r="A1368" s="4">
        <f t="shared" si="441"/>
        <v>32</v>
      </c>
      <c r="B1368" t="str">
        <f ca="1">TEXT(DATE(YEAR(Invoer!$A$6),1,1)+INT((ROWS(B$2:B1368)-1)/4),"jjjjmmdd")</f>
        <v>19401207</v>
      </c>
      <c r="C1368" s="64" t="str">
        <f>IF(MOD(ROWS(C$2:C1368)-1,4)=3,"24.00",INDEX(Data,3,2+MOD(ROWS(C$2:C1368)-1,4)))</f>
        <v>17.00</v>
      </c>
      <c r="D1368" s="18" t="str">
        <f t="shared" ca="1" si="442"/>
        <v>—</v>
      </c>
      <c r="E1368" s="17">
        <f t="shared" ca="1" si="443"/>
        <v>7</v>
      </c>
      <c r="F1368" s="18" t="str">
        <f t="shared" ca="1" si="444"/>
        <v>—</v>
      </c>
      <c r="G1368" s="17">
        <f t="shared" ca="1" si="445"/>
        <v>7</v>
      </c>
      <c r="H1368" s="18" t="str">
        <f t="shared" ca="1" si="446"/>
        <v>—</v>
      </c>
      <c r="I1368" s="17">
        <f t="shared" ca="1" si="447"/>
        <v>7</v>
      </c>
      <c r="J1368" s="18" t="str">
        <f t="shared" ca="1" si="448"/>
        <v>—</v>
      </c>
      <c r="K1368" s="17">
        <f t="shared" ca="1" si="449"/>
        <v>7</v>
      </c>
      <c r="L1368" s="10" t="str">
        <f t="shared" ca="1" si="450"/>
        <v>—</v>
      </c>
      <c r="M1368" s="17">
        <f t="shared" ca="1" si="451"/>
        <v>7</v>
      </c>
      <c r="N1368" s="18" t="str">
        <f t="shared" ca="1" si="452"/>
        <v>—</v>
      </c>
      <c r="O1368" s="17">
        <f t="shared" ca="1" si="453"/>
        <v>7</v>
      </c>
      <c r="P1368" s="18" t="str">
        <f t="shared" ca="1" si="454"/>
        <v>—</v>
      </c>
      <c r="Q1368" s="17">
        <f t="shared" ca="1" si="455"/>
        <v>7</v>
      </c>
      <c r="R1368" s="10" t="str">
        <f t="shared" ca="1" si="456"/>
        <v>—</v>
      </c>
      <c r="S1368" s="17">
        <f t="shared" ca="1" si="457"/>
        <v>7</v>
      </c>
      <c r="T1368" s="70" t="str">
        <f t="shared" ca="1" si="458"/>
        <v>—</v>
      </c>
      <c r="U1368" s="17">
        <f t="shared" ca="1" si="459"/>
        <v>7</v>
      </c>
      <c r="V1368" s="71" t="str">
        <f t="shared" ca="1" si="460"/>
        <v>—</v>
      </c>
      <c r="W1368" s="17">
        <f t="shared" ca="1" si="461"/>
        <v>7</v>
      </c>
    </row>
    <row r="1369" spans="1:23" x14ac:dyDescent="0.25">
      <c r="A1369" s="4">
        <f t="shared" si="441"/>
        <v>32</v>
      </c>
      <c r="B1369" t="str">
        <f ca="1">TEXT(DATE(YEAR(Invoer!$A$6),1,1)+INT((ROWS(B$2:B1369)-1)/4),"jjjjmmdd")</f>
        <v>19401207</v>
      </c>
      <c r="C1369" s="64" t="str">
        <f>IF(MOD(ROWS(C$2:C1369)-1,4)=3,"24.00",INDEX(Data,3,2+MOD(ROWS(C$2:C1369)-1,4)))</f>
        <v>24.00</v>
      </c>
      <c r="D1369" s="18" t="str">
        <f t="shared" ca="1" si="442"/>
        <v>—</v>
      </c>
      <c r="E1369" s="17">
        <f t="shared" ca="1" si="443"/>
        <v>7</v>
      </c>
      <c r="F1369" s="18" t="str">
        <f t="shared" ca="1" si="444"/>
        <v>—</v>
      </c>
      <c r="G1369" s="17">
        <f t="shared" ca="1" si="445"/>
        <v>7</v>
      </c>
      <c r="H1369" s="18" t="str">
        <f t="shared" ca="1" si="446"/>
        <v>—</v>
      </c>
      <c r="I1369" s="17">
        <f t="shared" ca="1" si="447"/>
        <v>7</v>
      </c>
      <c r="J1369" s="18" t="str">
        <f t="shared" ca="1" si="448"/>
        <v>—</v>
      </c>
      <c r="K1369" s="17">
        <f t="shared" ca="1" si="449"/>
        <v>7</v>
      </c>
      <c r="L1369" s="10" t="str">
        <f t="shared" ca="1" si="450"/>
        <v>—</v>
      </c>
      <c r="M1369" s="17">
        <f t="shared" ca="1" si="451"/>
        <v>7</v>
      </c>
      <c r="N1369" s="18" t="str">
        <f t="shared" ca="1" si="452"/>
        <v>—</v>
      </c>
      <c r="O1369" s="17">
        <f t="shared" ca="1" si="453"/>
        <v>7</v>
      </c>
      <c r="P1369" s="18" t="str">
        <f t="shared" ca="1" si="454"/>
        <v>—</v>
      </c>
      <c r="Q1369" s="17">
        <f t="shared" ca="1" si="455"/>
        <v>7</v>
      </c>
      <c r="R1369" s="10" t="str">
        <f t="shared" ca="1" si="456"/>
        <v>—</v>
      </c>
      <c r="S1369" s="17">
        <f t="shared" ca="1" si="457"/>
        <v>7</v>
      </c>
      <c r="T1369" s="70" t="str">
        <f t="shared" ca="1" si="458"/>
        <v>—</v>
      </c>
      <c r="U1369" s="17">
        <f t="shared" ca="1" si="459"/>
        <v>7</v>
      </c>
      <c r="V1369" s="71" t="str">
        <f t="shared" ca="1" si="460"/>
        <v>—</v>
      </c>
      <c r="W1369" s="17">
        <f t="shared" ca="1" si="461"/>
        <v>7</v>
      </c>
    </row>
    <row r="1370" spans="1:23" x14ac:dyDescent="0.25">
      <c r="A1370" s="4">
        <f t="shared" si="441"/>
        <v>32</v>
      </c>
      <c r="B1370" t="str">
        <f ca="1">TEXT(DATE(YEAR(Invoer!$A$6),1,1)+INT((ROWS(B$2:B1370)-1)/4),"jjjjmmdd")</f>
        <v>19401208</v>
      </c>
      <c r="C1370" s="64" t="str">
        <f>IF(MOD(ROWS(C$2:C1370)-1,4)=3,"24.00",INDEX(Data,3,2+MOD(ROWS(C$2:C1370)-1,4)))</f>
        <v>07.00</v>
      </c>
      <c r="D1370" s="18" t="str">
        <f t="shared" ca="1" si="442"/>
        <v>—</v>
      </c>
      <c r="E1370" s="17">
        <f t="shared" ca="1" si="443"/>
        <v>7</v>
      </c>
      <c r="F1370" s="18" t="str">
        <f t="shared" ca="1" si="444"/>
        <v>—</v>
      </c>
      <c r="G1370" s="17">
        <f t="shared" ca="1" si="445"/>
        <v>7</v>
      </c>
      <c r="H1370" s="18" t="str">
        <f t="shared" ca="1" si="446"/>
        <v>—</v>
      </c>
      <c r="I1370" s="17">
        <f t="shared" ca="1" si="447"/>
        <v>7</v>
      </c>
      <c r="J1370" s="18" t="str">
        <f t="shared" ca="1" si="448"/>
        <v>—</v>
      </c>
      <c r="K1370" s="17">
        <f t="shared" ca="1" si="449"/>
        <v>7</v>
      </c>
      <c r="L1370" s="10" t="str">
        <f t="shared" ca="1" si="450"/>
        <v>—</v>
      </c>
      <c r="M1370" s="17">
        <f t="shared" ca="1" si="451"/>
        <v>7</v>
      </c>
      <c r="N1370" s="18" t="str">
        <f t="shared" ca="1" si="452"/>
        <v>—</v>
      </c>
      <c r="O1370" s="17">
        <f t="shared" ca="1" si="453"/>
        <v>7</v>
      </c>
      <c r="P1370" s="18" t="str">
        <f t="shared" ca="1" si="454"/>
        <v>—</v>
      </c>
      <c r="Q1370" s="17">
        <f t="shared" ca="1" si="455"/>
        <v>7</v>
      </c>
      <c r="R1370" s="10" t="str">
        <f t="shared" ca="1" si="456"/>
        <v>—</v>
      </c>
      <c r="S1370" s="17">
        <f t="shared" ca="1" si="457"/>
        <v>7</v>
      </c>
      <c r="T1370" s="70" t="str">
        <f t="shared" ca="1" si="458"/>
        <v>—</v>
      </c>
      <c r="U1370" s="17">
        <f t="shared" ca="1" si="459"/>
        <v>7</v>
      </c>
      <c r="V1370" s="71" t="str">
        <f t="shared" ca="1" si="460"/>
        <v>—</v>
      </c>
      <c r="W1370" s="17">
        <f t="shared" ca="1" si="461"/>
        <v>7</v>
      </c>
    </row>
    <row r="1371" spans="1:23" x14ac:dyDescent="0.25">
      <c r="A1371" s="4">
        <f t="shared" si="441"/>
        <v>32</v>
      </c>
      <c r="B1371" t="str">
        <f ca="1">TEXT(DATE(YEAR(Invoer!$A$6),1,1)+INT((ROWS(B$2:B1371)-1)/4),"jjjjmmdd")</f>
        <v>19401208</v>
      </c>
      <c r="C1371" s="64" t="str">
        <f>IF(MOD(ROWS(C$2:C1371)-1,4)=3,"24.00",INDEX(Data,3,2+MOD(ROWS(C$2:C1371)-1,4)))</f>
        <v>12.00</v>
      </c>
      <c r="D1371" s="18" t="str">
        <f t="shared" ca="1" si="442"/>
        <v>—</v>
      </c>
      <c r="E1371" s="17">
        <f t="shared" ca="1" si="443"/>
        <v>7</v>
      </c>
      <c r="F1371" s="18" t="str">
        <f t="shared" ca="1" si="444"/>
        <v>—</v>
      </c>
      <c r="G1371" s="17">
        <f t="shared" ca="1" si="445"/>
        <v>7</v>
      </c>
      <c r="H1371" s="18" t="str">
        <f t="shared" ca="1" si="446"/>
        <v>—</v>
      </c>
      <c r="I1371" s="17">
        <f t="shared" ca="1" si="447"/>
        <v>7</v>
      </c>
      <c r="J1371" s="18" t="str">
        <f t="shared" ca="1" si="448"/>
        <v>—</v>
      </c>
      <c r="K1371" s="17">
        <f t="shared" ca="1" si="449"/>
        <v>7</v>
      </c>
      <c r="L1371" s="10" t="str">
        <f t="shared" ca="1" si="450"/>
        <v>—</v>
      </c>
      <c r="M1371" s="17">
        <f t="shared" ca="1" si="451"/>
        <v>7</v>
      </c>
      <c r="N1371" s="18" t="str">
        <f t="shared" ca="1" si="452"/>
        <v>—</v>
      </c>
      <c r="O1371" s="17">
        <f t="shared" ca="1" si="453"/>
        <v>7</v>
      </c>
      <c r="P1371" s="18" t="str">
        <f t="shared" ca="1" si="454"/>
        <v>—</v>
      </c>
      <c r="Q1371" s="17">
        <f t="shared" ca="1" si="455"/>
        <v>7</v>
      </c>
      <c r="R1371" s="10" t="str">
        <f t="shared" ca="1" si="456"/>
        <v>—</v>
      </c>
      <c r="S1371" s="17">
        <f t="shared" ca="1" si="457"/>
        <v>7</v>
      </c>
      <c r="T1371" s="70" t="str">
        <f t="shared" ca="1" si="458"/>
        <v>—</v>
      </c>
      <c r="U1371" s="17">
        <f t="shared" ca="1" si="459"/>
        <v>7</v>
      </c>
      <c r="V1371" s="71" t="str">
        <f t="shared" ca="1" si="460"/>
        <v>—</v>
      </c>
      <c r="W1371" s="17">
        <f t="shared" ca="1" si="461"/>
        <v>7</v>
      </c>
    </row>
    <row r="1372" spans="1:23" x14ac:dyDescent="0.25">
      <c r="A1372" s="4">
        <f t="shared" si="441"/>
        <v>32</v>
      </c>
      <c r="B1372" t="str">
        <f ca="1">TEXT(DATE(YEAR(Invoer!$A$6),1,1)+INT((ROWS(B$2:B1372)-1)/4),"jjjjmmdd")</f>
        <v>19401208</v>
      </c>
      <c r="C1372" s="64" t="str">
        <f>IF(MOD(ROWS(C$2:C1372)-1,4)=3,"24.00",INDEX(Data,3,2+MOD(ROWS(C$2:C1372)-1,4)))</f>
        <v>17.00</v>
      </c>
      <c r="D1372" s="18" t="str">
        <f t="shared" ca="1" si="442"/>
        <v>—</v>
      </c>
      <c r="E1372" s="17">
        <f t="shared" ca="1" si="443"/>
        <v>7</v>
      </c>
      <c r="F1372" s="18" t="str">
        <f t="shared" ca="1" si="444"/>
        <v>—</v>
      </c>
      <c r="G1372" s="17">
        <f t="shared" ca="1" si="445"/>
        <v>7</v>
      </c>
      <c r="H1372" s="18" t="str">
        <f t="shared" ca="1" si="446"/>
        <v>—</v>
      </c>
      <c r="I1372" s="17">
        <f t="shared" ca="1" si="447"/>
        <v>7</v>
      </c>
      <c r="J1372" s="18" t="str">
        <f t="shared" ca="1" si="448"/>
        <v>—</v>
      </c>
      <c r="K1372" s="17">
        <f t="shared" ca="1" si="449"/>
        <v>7</v>
      </c>
      <c r="L1372" s="10" t="str">
        <f t="shared" ca="1" si="450"/>
        <v>—</v>
      </c>
      <c r="M1372" s="17">
        <f t="shared" ca="1" si="451"/>
        <v>7</v>
      </c>
      <c r="N1372" s="18" t="str">
        <f t="shared" ca="1" si="452"/>
        <v>—</v>
      </c>
      <c r="O1372" s="17">
        <f t="shared" ca="1" si="453"/>
        <v>7</v>
      </c>
      <c r="P1372" s="18" t="str">
        <f t="shared" ca="1" si="454"/>
        <v>—</v>
      </c>
      <c r="Q1372" s="17">
        <f t="shared" ca="1" si="455"/>
        <v>7</v>
      </c>
      <c r="R1372" s="10" t="str">
        <f t="shared" ca="1" si="456"/>
        <v>—</v>
      </c>
      <c r="S1372" s="17">
        <f t="shared" ca="1" si="457"/>
        <v>7</v>
      </c>
      <c r="T1372" s="70" t="str">
        <f t="shared" ca="1" si="458"/>
        <v>—</v>
      </c>
      <c r="U1372" s="17">
        <f t="shared" ca="1" si="459"/>
        <v>7</v>
      </c>
      <c r="V1372" s="71" t="str">
        <f t="shared" ca="1" si="460"/>
        <v>—</v>
      </c>
      <c r="W1372" s="17">
        <f t="shared" ca="1" si="461"/>
        <v>7</v>
      </c>
    </row>
    <row r="1373" spans="1:23" x14ac:dyDescent="0.25">
      <c r="A1373" s="4">
        <f t="shared" si="441"/>
        <v>32</v>
      </c>
      <c r="B1373" t="str">
        <f ca="1">TEXT(DATE(YEAR(Invoer!$A$6),1,1)+INT((ROWS(B$2:B1373)-1)/4),"jjjjmmdd")</f>
        <v>19401208</v>
      </c>
      <c r="C1373" s="64" t="str">
        <f>IF(MOD(ROWS(C$2:C1373)-1,4)=3,"24.00",INDEX(Data,3,2+MOD(ROWS(C$2:C1373)-1,4)))</f>
        <v>24.00</v>
      </c>
      <c r="D1373" s="18" t="str">
        <f t="shared" ca="1" si="442"/>
        <v>—</v>
      </c>
      <c r="E1373" s="17">
        <f t="shared" ca="1" si="443"/>
        <v>7</v>
      </c>
      <c r="F1373" s="18" t="str">
        <f t="shared" ca="1" si="444"/>
        <v>—</v>
      </c>
      <c r="G1373" s="17">
        <f t="shared" ca="1" si="445"/>
        <v>7</v>
      </c>
      <c r="H1373" s="18" t="str">
        <f t="shared" ca="1" si="446"/>
        <v>—</v>
      </c>
      <c r="I1373" s="17">
        <f t="shared" ca="1" si="447"/>
        <v>7</v>
      </c>
      <c r="J1373" s="18" t="str">
        <f t="shared" ca="1" si="448"/>
        <v>—</v>
      </c>
      <c r="K1373" s="17">
        <f t="shared" ca="1" si="449"/>
        <v>7</v>
      </c>
      <c r="L1373" s="10" t="str">
        <f t="shared" ca="1" si="450"/>
        <v>—</v>
      </c>
      <c r="M1373" s="17">
        <f t="shared" ca="1" si="451"/>
        <v>7</v>
      </c>
      <c r="N1373" s="18" t="str">
        <f t="shared" ca="1" si="452"/>
        <v>—</v>
      </c>
      <c r="O1373" s="17">
        <f t="shared" ca="1" si="453"/>
        <v>7</v>
      </c>
      <c r="P1373" s="18" t="str">
        <f t="shared" ca="1" si="454"/>
        <v>—</v>
      </c>
      <c r="Q1373" s="17">
        <f t="shared" ca="1" si="455"/>
        <v>7</v>
      </c>
      <c r="R1373" s="10" t="str">
        <f t="shared" ca="1" si="456"/>
        <v>—</v>
      </c>
      <c r="S1373" s="17">
        <f t="shared" ca="1" si="457"/>
        <v>7</v>
      </c>
      <c r="T1373" s="70" t="str">
        <f t="shared" ca="1" si="458"/>
        <v>—</v>
      </c>
      <c r="U1373" s="17">
        <f t="shared" ca="1" si="459"/>
        <v>7</v>
      </c>
      <c r="V1373" s="71" t="str">
        <f t="shared" ca="1" si="460"/>
        <v>—</v>
      </c>
      <c r="W1373" s="17">
        <f t="shared" ca="1" si="461"/>
        <v>7</v>
      </c>
    </row>
    <row r="1374" spans="1:23" x14ac:dyDescent="0.25">
      <c r="A1374" s="4">
        <f t="shared" si="441"/>
        <v>32</v>
      </c>
      <c r="B1374" t="str">
        <f ca="1">TEXT(DATE(YEAR(Invoer!$A$6),1,1)+INT((ROWS(B$2:B1374)-1)/4),"jjjjmmdd")</f>
        <v>19401209</v>
      </c>
      <c r="C1374" s="64" t="str">
        <f>IF(MOD(ROWS(C$2:C1374)-1,4)=3,"24.00",INDEX(Data,3,2+MOD(ROWS(C$2:C1374)-1,4)))</f>
        <v>07.00</v>
      </c>
      <c r="D1374" s="18" t="str">
        <f t="shared" ca="1" si="442"/>
        <v>—</v>
      </c>
      <c r="E1374" s="17">
        <f t="shared" ca="1" si="443"/>
        <v>7</v>
      </c>
      <c r="F1374" s="18" t="str">
        <f t="shared" ca="1" si="444"/>
        <v>—</v>
      </c>
      <c r="G1374" s="17">
        <f t="shared" ca="1" si="445"/>
        <v>7</v>
      </c>
      <c r="H1374" s="18" t="str">
        <f t="shared" ca="1" si="446"/>
        <v>—</v>
      </c>
      <c r="I1374" s="17">
        <f t="shared" ca="1" si="447"/>
        <v>7</v>
      </c>
      <c r="J1374" s="18" t="str">
        <f t="shared" ca="1" si="448"/>
        <v>—</v>
      </c>
      <c r="K1374" s="17">
        <f t="shared" ca="1" si="449"/>
        <v>7</v>
      </c>
      <c r="L1374" s="10" t="str">
        <f t="shared" ca="1" si="450"/>
        <v>—</v>
      </c>
      <c r="M1374" s="17">
        <f t="shared" ca="1" si="451"/>
        <v>7</v>
      </c>
      <c r="N1374" s="18" t="str">
        <f t="shared" ca="1" si="452"/>
        <v>—</v>
      </c>
      <c r="O1374" s="17">
        <f t="shared" ca="1" si="453"/>
        <v>7</v>
      </c>
      <c r="P1374" s="18" t="str">
        <f t="shared" ca="1" si="454"/>
        <v>—</v>
      </c>
      <c r="Q1374" s="17">
        <f t="shared" ca="1" si="455"/>
        <v>7</v>
      </c>
      <c r="R1374" s="10" t="str">
        <f t="shared" ca="1" si="456"/>
        <v>—</v>
      </c>
      <c r="S1374" s="17">
        <f t="shared" ca="1" si="457"/>
        <v>7</v>
      </c>
      <c r="T1374" s="70" t="str">
        <f t="shared" ca="1" si="458"/>
        <v>—</v>
      </c>
      <c r="U1374" s="17">
        <f t="shared" ca="1" si="459"/>
        <v>7</v>
      </c>
      <c r="V1374" s="71" t="str">
        <f t="shared" ca="1" si="460"/>
        <v>—</v>
      </c>
      <c r="W1374" s="17">
        <f t="shared" ca="1" si="461"/>
        <v>7</v>
      </c>
    </row>
    <row r="1375" spans="1:23" x14ac:dyDescent="0.25">
      <c r="A1375" s="4">
        <f t="shared" si="441"/>
        <v>32</v>
      </c>
      <c r="B1375" t="str">
        <f ca="1">TEXT(DATE(YEAR(Invoer!$A$6),1,1)+INT((ROWS(B$2:B1375)-1)/4),"jjjjmmdd")</f>
        <v>19401209</v>
      </c>
      <c r="C1375" s="64" t="str">
        <f>IF(MOD(ROWS(C$2:C1375)-1,4)=3,"24.00",INDEX(Data,3,2+MOD(ROWS(C$2:C1375)-1,4)))</f>
        <v>12.00</v>
      </c>
      <c r="D1375" s="18" t="str">
        <f t="shared" ca="1" si="442"/>
        <v>—</v>
      </c>
      <c r="E1375" s="17">
        <f t="shared" ca="1" si="443"/>
        <v>7</v>
      </c>
      <c r="F1375" s="18" t="str">
        <f t="shared" ca="1" si="444"/>
        <v>—</v>
      </c>
      <c r="G1375" s="17">
        <f t="shared" ca="1" si="445"/>
        <v>7</v>
      </c>
      <c r="H1375" s="18" t="str">
        <f t="shared" ca="1" si="446"/>
        <v>—</v>
      </c>
      <c r="I1375" s="17">
        <f t="shared" ca="1" si="447"/>
        <v>7</v>
      </c>
      <c r="J1375" s="18" t="str">
        <f t="shared" ca="1" si="448"/>
        <v>—</v>
      </c>
      <c r="K1375" s="17">
        <f t="shared" ca="1" si="449"/>
        <v>7</v>
      </c>
      <c r="L1375" s="10" t="str">
        <f t="shared" ca="1" si="450"/>
        <v>—</v>
      </c>
      <c r="M1375" s="17">
        <f t="shared" ca="1" si="451"/>
        <v>7</v>
      </c>
      <c r="N1375" s="18" t="str">
        <f t="shared" ca="1" si="452"/>
        <v>—</v>
      </c>
      <c r="O1375" s="17">
        <f t="shared" ca="1" si="453"/>
        <v>7</v>
      </c>
      <c r="P1375" s="18" t="str">
        <f t="shared" ca="1" si="454"/>
        <v>—</v>
      </c>
      <c r="Q1375" s="17">
        <f t="shared" ca="1" si="455"/>
        <v>7</v>
      </c>
      <c r="R1375" s="10" t="str">
        <f t="shared" ca="1" si="456"/>
        <v>—</v>
      </c>
      <c r="S1375" s="17">
        <f t="shared" ca="1" si="457"/>
        <v>7</v>
      </c>
      <c r="T1375" s="70" t="str">
        <f t="shared" ca="1" si="458"/>
        <v>—</v>
      </c>
      <c r="U1375" s="17">
        <f t="shared" ca="1" si="459"/>
        <v>7</v>
      </c>
      <c r="V1375" s="71" t="str">
        <f t="shared" ca="1" si="460"/>
        <v>—</v>
      </c>
      <c r="W1375" s="17">
        <f t="shared" ca="1" si="461"/>
        <v>7</v>
      </c>
    </row>
    <row r="1376" spans="1:23" x14ac:dyDescent="0.25">
      <c r="A1376" s="4">
        <f t="shared" si="441"/>
        <v>32</v>
      </c>
      <c r="B1376" t="str">
        <f ca="1">TEXT(DATE(YEAR(Invoer!$A$6),1,1)+INT((ROWS(B$2:B1376)-1)/4),"jjjjmmdd")</f>
        <v>19401209</v>
      </c>
      <c r="C1376" s="64" t="str">
        <f>IF(MOD(ROWS(C$2:C1376)-1,4)=3,"24.00",INDEX(Data,3,2+MOD(ROWS(C$2:C1376)-1,4)))</f>
        <v>17.00</v>
      </c>
      <c r="D1376" s="18" t="str">
        <f t="shared" ca="1" si="442"/>
        <v>—</v>
      </c>
      <c r="E1376" s="17">
        <f t="shared" ca="1" si="443"/>
        <v>7</v>
      </c>
      <c r="F1376" s="18" t="str">
        <f t="shared" ca="1" si="444"/>
        <v>—</v>
      </c>
      <c r="G1376" s="17">
        <f t="shared" ca="1" si="445"/>
        <v>7</v>
      </c>
      <c r="H1376" s="18" t="str">
        <f t="shared" ca="1" si="446"/>
        <v>—</v>
      </c>
      <c r="I1376" s="17">
        <f t="shared" ca="1" si="447"/>
        <v>7</v>
      </c>
      <c r="J1376" s="18" t="str">
        <f t="shared" ca="1" si="448"/>
        <v>—</v>
      </c>
      <c r="K1376" s="17">
        <f t="shared" ca="1" si="449"/>
        <v>7</v>
      </c>
      <c r="L1376" s="10" t="str">
        <f t="shared" ca="1" si="450"/>
        <v>—</v>
      </c>
      <c r="M1376" s="17">
        <f t="shared" ca="1" si="451"/>
        <v>7</v>
      </c>
      <c r="N1376" s="18" t="str">
        <f t="shared" ca="1" si="452"/>
        <v>—</v>
      </c>
      <c r="O1376" s="17">
        <f t="shared" ca="1" si="453"/>
        <v>7</v>
      </c>
      <c r="P1376" s="18" t="str">
        <f t="shared" ca="1" si="454"/>
        <v>—</v>
      </c>
      <c r="Q1376" s="17">
        <f t="shared" ca="1" si="455"/>
        <v>7</v>
      </c>
      <c r="R1376" s="10" t="str">
        <f t="shared" ca="1" si="456"/>
        <v>—</v>
      </c>
      <c r="S1376" s="17">
        <f t="shared" ca="1" si="457"/>
        <v>7</v>
      </c>
      <c r="T1376" s="70" t="str">
        <f t="shared" ca="1" si="458"/>
        <v>—</v>
      </c>
      <c r="U1376" s="17">
        <f t="shared" ca="1" si="459"/>
        <v>7</v>
      </c>
      <c r="V1376" s="71" t="str">
        <f t="shared" ca="1" si="460"/>
        <v>—</v>
      </c>
      <c r="W1376" s="17">
        <f t="shared" ca="1" si="461"/>
        <v>7</v>
      </c>
    </row>
    <row r="1377" spans="1:23" x14ac:dyDescent="0.25">
      <c r="A1377" s="4">
        <f t="shared" si="441"/>
        <v>32</v>
      </c>
      <c r="B1377" t="str">
        <f ca="1">TEXT(DATE(YEAR(Invoer!$A$6),1,1)+INT((ROWS(B$2:B1377)-1)/4),"jjjjmmdd")</f>
        <v>19401209</v>
      </c>
      <c r="C1377" s="64" t="str">
        <f>IF(MOD(ROWS(C$2:C1377)-1,4)=3,"24.00",INDEX(Data,3,2+MOD(ROWS(C$2:C1377)-1,4)))</f>
        <v>24.00</v>
      </c>
      <c r="D1377" s="18" t="str">
        <f t="shared" ca="1" si="442"/>
        <v>—</v>
      </c>
      <c r="E1377" s="17">
        <f t="shared" ca="1" si="443"/>
        <v>7</v>
      </c>
      <c r="F1377" s="18" t="str">
        <f t="shared" ca="1" si="444"/>
        <v>—</v>
      </c>
      <c r="G1377" s="17">
        <f t="shared" ca="1" si="445"/>
        <v>7</v>
      </c>
      <c r="H1377" s="18" t="str">
        <f t="shared" ca="1" si="446"/>
        <v>—</v>
      </c>
      <c r="I1377" s="17">
        <f t="shared" ca="1" si="447"/>
        <v>7</v>
      </c>
      <c r="J1377" s="18" t="str">
        <f t="shared" ca="1" si="448"/>
        <v>—</v>
      </c>
      <c r="K1377" s="17">
        <f t="shared" ca="1" si="449"/>
        <v>7</v>
      </c>
      <c r="L1377" s="10" t="str">
        <f t="shared" ca="1" si="450"/>
        <v>—</v>
      </c>
      <c r="M1377" s="17">
        <f t="shared" ca="1" si="451"/>
        <v>7</v>
      </c>
      <c r="N1377" s="18" t="str">
        <f t="shared" ca="1" si="452"/>
        <v>—</v>
      </c>
      <c r="O1377" s="17">
        <f t="shared" ca="1" si="453"/>
        <v>7</v>
      </c>
      <c r="P1377" s="18" t="str">
        <f t="shared" ca="1" si="454"/>
        <v>—</v>
      </c>
      <c r="Q1377" s="17">
        <f t="shared" ca="1" si="455"/>
        <v>7</v>
      </c>
      <c r="R1377" s="10" t="str">
        <f t="shared" ca="1" si="456"/>
        <v>—</v>
      </c>
      <c r="S1377" s="17">
        <f t="shared" ca="1" si="457"/>
        <v>7</v>
      </c>
      <c r="T1377" s="70" t="str">
        <f t="shared" ca="1" si="458"/>
        <v>—</v>
      </c>
      <c r="U1377" s="17">
        <f t="shared" ca="1" si="459"/>
        <v>7</v>
      </c>
      <c r="V1377" s="71" t="str">
        <f t="shared" ca="1" si="460"/>
        <v>—</v>
      </c>
      <c r="W1377" s="17">
        <f t="shared" ca="1" si="461"/>
        <v>7</v>
      </c>
    </row>
    <row r="1378" spans="1:23" x14ac:dyDescent="0.25">
      <c r="A1378" s="4">
        <f t="shared" si="441"/>
        <v>32</v>
      </c>
      <c r="B1378" t="str">
        <f ca="1">TEXT(DATE(YEAR(Invoer!$A$6),1,1)+INT((ROWS(B$2:B1378)-1)/4),"jjjjmmdd")</f>
        <v>19401210</v>
      </c>
      <c r="C1378" s="64" t="str">
        <f>IF(MOD(ROWS(C$2:C1378)-1,4)=3,"24.00",INDEX(Data,3,2+MOD(ROWS(C$2:C1378)-1,4)))</f>
        <v>07.00</v>
      </c>
      <c r="D1378" s="18" t="str">
        <f t="shared" ca="1" si="442"/>
        <v>—</v>
      </c>
      <c r="E1378" s="17">
        <f t="shared" ca="1" si="443"/>
        <v>7</v>
      </c>
      <c r="F1378" s="18" t="str">
        <f t="shared" ca="1" si="444"/>
        <v>—</v>
      </c>
      <c r="G1378" s="17">
        <f t="shared" ca="1" si="445"/>
        <v>7</v>
      </c>
      <c r="H1378" s="18" t="str">
        <f t="shared" ca="1" si="446"/>
        <v>—</v>
      </c>
      <c r="I1378" s="17">
        <f t="shared" ca="1" si="447"/>
        <v>7</v>
      </c>
      <c r="J1378" s="18" t="str">
        <f t="shared" ca="1" si="448"/>
        <v>—</v>
      </c>
      <c r="K1378" s="17">
        <f t="shared" ca="1" si="449"/>
        <v>7</v>
      </c>
      <c r="L1378" s="10" t="str">
        <f t="shared" ca="1" si="450"/>
        <v>—</v>
      </c>
      <c r="M1378" s="17">
        <f t="shared" ca="1" si="451"/>
        <v>7</v>
      </c>
      <c r="N1378" s="18" t="str">
        <f t="shared" ca="1" si="452"/>
        <v>—</v>
      </c>
      <c r="O1378" s="17">
        <f t="shared" ca="1" si="453"/>
        <v>7</v>
      </c>
      <c r="P1378" s="18" t="str">
        <f t="shared" ca="1" si="454"/>
        <v>—</v>
      </c>
      <c r="Q1378" s="17">
        <f t="shared" ca="1" si="455"/>
        <v>7</v>
      </c>
      <c r="R1378" s="10" t="str">
        <f t="shared" ca="1" si="456"/>
        <v>—</v>
      </c>
      <c r="S1378" s="17">
        <f t="shared" ca="1" si="457"/>
        <v>7</v>
      </c>
      <c r="T1378" s="70" t="str">
        <f t="shared" ca="1" si="458"/>
        <v>—</v>
      </c>
      <c r="U1378" s="17">
        <f t="shared" ca="1" si="459"/>
        <v>7</v>
      </c>
      <c r="V1378" s="71" t="str">
        <f t="shared" ca="1" si="460"/>
        <v>—</v>
      </c>
      <c r="W1378" s="17">
        <f t="shared" ca="1" si="461"/>
        <v>7</v>
      </c>
    </row>
    <row r="1379" spans="1:23" x14ac:dyDescent="0.25">
      <c r="A1379" s="4">
        <f t="shared" si="441"/>
        <v>32</v>
      </c>
      <c r="B1379" t="str">
        <f ca="1">TEXT(DATE(YEAR(Invoer!$A$6),1,1)+INT((ROWS(B$2:B1379)-1)/4),"jjjjmmdd")</f>
        <v>19401210</v>
      </c>
      <c r="C1379" s="64" t="str">
        <f>IF(MOD(ROWS(C$2:C1379)-1,4)=3,"24.00",INDEX(Data,3,2+MOD(ROWS(C$2:C1379)-1,4)))</f>
        <v>12.00</v>
      </c>
      <c r="D1379" s="18" t="str">
        <f t="shared" ca="1" si="442"/>
        <v>—</v>
      </c>
      <c r="E1379" s="17">
        <f t="shared" ca="1" si="443"/>
        <v>7</v>
      </c>
      <c r="F1379" s="18" t="str">
        <f t="shared" ca="1" si="444"/>
        <v>—</v>
      </c>
      <c r="G1379" s="17">
        <f t="shared" ca="1" si="445"/>
        <v>7</v>
      </c>
      <c r="H1379" s="18" t="str">
        <f t="shared" ca="1" si="446"/>
        <v>—</v>
      </c>
      <c r="I1379" s="17">
        <f t="shared" ca="1" si="447"/>
        <v>7</v>
      </c>
      <c r="J1379" s="18" t="str">
        <f t="shared" ca="1" si="448"/>
        <v>—</v>
      </c>
      <c r="K1379" s="17">
        <f t="shared" ca="1" si="449"/>
        <v>7</v>
      </c>
      <c r="L1379" s="10" t="str">
        <f t="shared" ca="1" si="450"/>
        <v>—</v>
      </c>
      <c r="M1379" s="17">
        <f t="shared" ca="1" si="451"/>
        <v>7</v>
      </c>
      <c r="N1379" s="18" t="str">
        <f t="shared" ca="1" si="452"/>
        <v>—</v>
      </c>
      <c r="O1379" s="17">
        <f t="shared" ca="1" si="453"/>
        <v>7</v>
      </c>
      <c r="P1379" s="18" t="str">
        <f t="shared" ca="1" si="454"/>
        <v>—</v>
      </c>
      <c r="Q1379" s="17">
        <f t="shared" ca="1" si="455"/>
        <v>7</v>
      </c>
      <c r="R1379" s="10" t="str">
        <f t="shared" ca="1" si="456"/>
        <v>—</v>
      </c>
      <c r="S1379" s="17">
        <f t="shared" ca="1" si="457"/>
        <v>7</v>
      </c>
      <c r="T1379" s="70" t="str">
        <f t="shared" ca="1" si="458"/>
        <v>—</v>
      </c>
      <c r="U1379" s="17">
        <f t="shared" ca="1" si="459"/>
        <v>7</v>
      </c>
      <c r="V1379" s="71" t="str">
        <f t="shared" ca="1" si="460"/>
        <v>—</v>
      </c>
      <c r="W1379" s="17">
        <f t="shared" ca="1" si="461"/>
        <v>7</v>
      </c>
    </row>
    <row r="1380" spans="1:23" x14ac:dyDescent="0.25">
      <c r="A1380" s="4">
        <f t="shared" si="441"/>
        <v>32</v>
      </c>
      <c r="B1380" t="str">
        <f ca="1">TEXT(DATE(YEAR(Invoer!$A$6),1,1)+INT((ROWS(B$2:B1380)-1)/4),"jjjjmmdd")</f>
        <v>19401210</v>
      </c>
      <c r="C1380" s="64" t="str">
        <f>IF(MOD(ROWS(C$2:C1380)-1,4)=3,"24.00",INDEX(Data,3,2+MOD(ROWS(C$2:C1380)-1,4)))</f>
        <v>17.00</v>
      </c>
      <c r="D1380" s="18" t="str">
        <f t="shared" ca="1" si="442"/>
        <v>—</v>
      </c>
      <c r="E1380" s="17">
        <f t="shared" ca="1" si="443"/>
        <v>7</v>
      </c>
      <c r="F1380" s="18" t="str">
        <f t="shared" ca="1" si="444"/>
        <v>—</v>
      </c>
      <c r="G1380" s="17">
        <f t="shared" ca="1" si="445"/>
        <v>7</v>
      </c>
      <c r="H1380" s="18" t="str">
        <f t="shared" ca="1" si="446"/>
        <v>—</v>
      </c>
      <c r="I1380" s="17">
        <f t="shared" ca="1" si="447"/>
        <v>7</v>
      </c>
      <c r="J1380" s="18" t="str">
        <f t="shared" ca="1" si="448"/>
        <v>—</v>
      </c>
      <c r="K1380" s="17">
        <f t="shared" ca="1" si="449"/>
        <v>7</v>
      </c>
      <c r="L1380" s="10" t="str">
        <f t="shared" ca="1" si="450"/>
        <v>—</v>
      </c>
      <c r="M1380" s="17">
        <f t="shared" ca="1" si="451"/>
        <v>7</v>
      </c>
      <c r="N1380" s="18" t="str">
        <f t="shared" ca="1" si="452"/>
        <v>—</v>
      </c>
      <c r="O1380" s="17">
        <f t="shared" ca="1" si="453"/>
        <v>7</v>
      </c>
      <c r="P1380" s="18" t="str">
        <f t="shared" ca="1" si="454"/>
        <v>—</v>
      </c>
      <c r="Q1380" s="17">
        <f t="shared" ca="1" si="455"/>
        <v>7</v>
      </c>
      <c r="R1380" s="10" t="str">
        <f t="shared" ca="1" si="456"/>
        <v>—</v>
      </c>
      <c r="S1380" s="17">
        <f t="shared" ca="1" si="457"/>
        <v>7</v>
      </c>
      <c r="T1380" s="70" t="str">
        <f t="shared" ca="1" si="458"/>
        <v>—</v>
      </c>
      <c r="U1380" s="17">
        <f t="shared" ca="1" si="459"/>
        <v>7</v>
      </c>
      <c r="V1380" s="71" t="str">
        <f t="shared" ca="1" si="460"/>
        <v>—</v>
      </c>
      <c r="W1380" s="17">
        <f t="shared" ca="1" si="461"/>
        <v>7</v>
      </c>
    </row>
    <row r="1381" spans="1:23" x14ac:dyDescent="0.25">
      <c r="A1381" s="4">
        <f t="shared" si="441"/>
        <v>32</v>
      </c>
      <c r="B1381" t="str">
        <f ca="1">TEXT(DATE(YEAR(Invoer!$A$6),1,1)+INT((ROWS(B$2:B1381)-1)/4),"jjjjmmdd")</f>
        <v>19401210</v>
      </c>
      <c r="C1381" s="64" t="str">
        <f>IF(MOD(ROWS(C$2:C1381)-1,4)=3,"24.00",INDEX(Data,3,2+MOD(ROWS(C$2:C1381)-1,4)))</f>
        <v>24.00</v>
      </c>
      <c r="D1381" s="18" t="str">
        <f t="shared" ca="1" si="442"/>
        <v>—</v>
      </c>
      <c r="E1381" s="17">
        <f t="shared" ca="1" si="443"/>
        <v>7</v>
      </c>
      <c r="F1381" s="18" t="str">
        <f t="shared" ca="1" si="444"/>
        <v>—</v>
      </c>
      <c r="G1381" s="17">
        <f t="shared" ca="1" si="445"/>
        <v>7</v>
      </c>
      <c r="H1381" s="18" t="str">
        <f t="shared" ca="1" si="446"/>
        <v>—</v>
      </c>
      <c r="I1381" s="17">
        <f t="shared" ca="1" si="447"/>
        <v>7</v>
      </c>
      <c r="J1381" s="18" t="str">
        <f t="shared" ca="1" si="448"/>
        <v>—</v>
      </c>
      <c r="K1381" s="17">
        <f t="shared" ca="1" si="449"/>
        <v>7</v>
      </c>
      <c r="L1381" s="10" t="str">
        <f t="shared" ca="1" si="450"/>
        <v>—</v>
      </c>
      <c r="M1381" s="17">
        <f t="shared" ca="1" si="451"/>
        <v>7</v>
      </c>
      <c r="N1381" s="18" t="str">
        <f t="shared" ca="1" si="452"/>
        <v>—</v>
      </c>
      <c r="O1381" s="17">
        <f t="shared" ca="1" si="453"/>
        <v>7</v>
      </c>
      <c r="P1381" s="18" t="str">
        <f t="shared" ca="1" si="454"/>
        <v>—</v>
      </c>
      <c r="Q1381" s="17">
        <f t="shared" ca="1" si="455"/>
        <v>7</v>
      </c>
      <c r="R1381" s="10" t="str">
        <f t="shared" ca="1" si="456"/>
        <v>—</v>
      </c>
      <c r="S1381" s="17">
        <f t="shared" ca="1" si="457"/>
        <v>7</v>
      </c>
      <c r="T1381" s="70" t="str">
        <f t="shared" ca="1" si="458"/>
        <v>—</v>
      </c>
      <c r="U1381" s="17">
        <f t="shared" ca="1" si="459"/>
        <v>7</v>
      </c>
      <c r="V1381" s="71" t="str">
        <f t="shared" ca="1" si="460"/>
        <v>—</v>
      </c>
      <c r="W1381" s="17">
        <f t="shared" ca="1" si="461"/>
        <v>7</v>
      </c>
    </row>
    <row r="1382" spans="1:23" x14ac:dyDescent="0.25">
      <c r="A1382" s="4">
        <f t="shared" si="441"/>
        <v>32</v>
      </c>
      <c r="B1382" t="str">
        <f ca="1">TEXT(DATE(YEAR(Invoer!$A$6),1,1)+INT((ROWS(B$2:B1382)-1)/4),"jjjjmmdd")</f>
        <v>19401211</v>
      </c>
      <c r="C1382" s="64" t="str">
        <f>IF(MOD(ROWS(C$2:C1382)-1,4)=3,"24.00",INDEX(Data,3,2+MOD(ROWS(C$2:C1382)-1,4)))</f>
        <v>07.00</v>
      </c>
      <c r="D1382" s="18" t="str">
        <f t="shared" ca="1" si="442"/>
        <v>—</v>
      </c>
      <c r="E1382" s="17">
        <f t="shared" ca="1" si="443"/>
        <v>7</v>
      </c>
      <c r="F1382" s="18" t="str">
        <f t="shared" ca="1" si="444"/>
        <v>—</v>
      </c>
      <c r="G1382" s="17">
        <f t="shared" ca="1" si="445"/>
        <v>7</v>
      </c>
      <c r="H1382" s="18" t="str">
        <f t="shared" ca="1" si="446"/>
        <v>—</v>
      </c>
      <c r="I1382" s="17">
        <f t="shared" ca="1" si="447"/>
        <v>7</v>
      </c>
      <c r="J1382" s="18" t="str">
        <f t="shared" ca="1" si="448"/>
        <v>—</v>
      </c>
      <c r="K1382" s="17">
        <f t="shared" ca="1" si="449"/>
        <v>7</v>
      </c>
      <c r="L1382" s="10" t="str">
        <f t="shared" ca="1" si="450"/>
        <v>—</v>
      </c>
      <c r="M1382" s="17">
        <f t="shared" ca="1" si="451"/>
        <v>7</v>
      </c>
      <c r="N1382" s="18" t="str">
        <f t="shared" ca="1" si="452"/>
        <v>—</v>
      </c>
      <c r="O1382" s="17">
        <f t="shared" ca="1" si="453"/>
        <v>7</v>
      </c>
      <c r="P1382" s="18" t="str">
        <f t="shared" ca="1" si="454"/>
        <v>—</v>
      </c>
      <c r="Q1382" s="17">
        <f t="shared" ca="1" si="455"/>
        <v>7</v>
      </c>
      <c r="R1382" s="10" t="str">
        <f t="shared" ca="1" si="456"/>
        <v>—</v>
      </c>
      <c r="S1382" s="17">
        <f t="shared" ca="1" si="457"/>
        <v>7</v>
      </c>
      <c r="T1382" s="70" t="str">
        <f t="shared" ca="1" si="458"/>
        <v>—</v>
      </c>
      <c r="U1382" s="17">
        <f t="shared" ca="1" si="459"/>
        <v>7</v>
      </c>
      <c r="V1382" s="71" t="str">
        <f t="shared" ca="1" si="460"/>
        <v>—</v>
      </c>
      <c r="W1382" s="17">
        <f t="shared" ca="1" si="461"/>
        <v>7</v>
      </c>
    </row>
    <row r="1383" spans="1:23" x14ac:dyDescent="0.25">
      <c r="A1383" s="4">
        <f t="shared" si="441"/>
        <v>32</v>
      </c>
      <c r="B1383" t="str">
        <f ca="1">TEXT(DATE(YEAR(Invoer!$A$6),1,1)+INT((ROWS(B$2:B1383)-1)/4),"jjjjmmdd")</f>
        <v>19401211</v>
      </c>
      <c r="C1383" s="64" t="str">
        <f>IF(MOD(ROWS(C$2:C1383)-1,4)=3,"24.00",INDEX(Data,3,2+MOD(ROWS(C$2:C1383)-1,4)))</f>
        <v>12.00</v>
      </c>
      <c r="D1383" s="18" t="str">
        <f t="shared" ca="1" si="442"/>
        <v>—</v>
      </c>
      <c r="E1383" s="17">
        <f t="shared" ca="1" si="443"/>
        <v>7</v>
      </c>
      <c r="F1383" s="18" t="str">
        <f t="shared" ca="1" si="444"/>
        <v>—</v>
      </c>
      <c r="G1383" s="17">
        <f t="shared" ca="1" si="445"/>
        <v>7</v>
      </c>
      <c r="H1383" s="18" t="str">
        <f t="shared" ca="1" si="446"/>
        <v>—</v>
      </c>
      <c r="I1383" s="17">
        <f t="shared" ca="1" si="447"/>
        <v>7</v>
      </c>
      <c r="J1383" s="18" t="str">
        <f t="shared" ca="1" si="448"/>
        <v>—</v>
      </c>
      <c r="K1383" s="17">
        <f t="shared" ca="1" si="449"/>
        <v>7</v>
      </c>
      <c r="L1383" s="10" t="str">
        <f t="shared" ca="1" si="450"/>
        <v>—</v>
      </c>
      <c r="M1383" s="17">
        <f t="shared" ca="1" si="451"/>
        <v>7</v>
      </c>
      <c r="N1383" s="18" t="str">
        <f t="shared" ca="1" si="452"/>
        <v>—</v>
      </c>
      <c r="O1383" s="17">
        <f t="shared" ca="1" si="453"/>
        <v>7</v>
      </c>
      <c r="P1383" s="18" t="str">
        <f t="shared" ca="1" si="454"/>
        <v>—</v>
      </c>
      <c r="Q1383" s="17">
        <f t="shared" ca="1" si="455"/>
        <v>7</v>
      </c>
      <c r="R1383" s="10" t="str">
        <f t="shared" ca="1" si="456"/>
        <v>—</v>
      </c>
      <c r="S1383" s="17">
        <f t="shared" ca="1" si="457"/>
        <v>7</v>
      </c>
      <c r="T1383" s="70" t="str">
        <f t="shared" ca="1" si="458"/>
        <v>—</v>
      </c>
      <c r="U1383" s="17">
        <f t="shared" ca="1" si="459"/>
        <v>7</v>
      </c>
      <c r="V1383" s="71" t="str">
        <f t="shared" ca="1" si="460"/>
        <v>—</v>
      </c>
      <c r="W1383" s="17">
        <f t="shared" ca="1" si="461"/>
        <v>7</v>
      </c>
    </row>
    <row r="1384" spans="1:23" x14ac:dyDescent="0.25">
      <c r="A1384" s="4">
        <f t="shared" si="441"/>
        <v>32</v>
      </c>
      <c r="B1384" t="str">
        <f ca="1">TEXT(DATE(YEAR(Invoer!$A$6),1,1)+INT((ROWS(B$2:B1384)-1)/4),"jjjjmmdd")</f>
        <v>19401211</v>
      </c>
      <c r="C1384" s="64" t="str">
        <f>IF(MOD(ROWS(C$2:C1384)-1,4)=3,"24.00",INDEX(Data,3,2+MOD(ROWS(C$2:C1384)-1,4)))</f>
        <v>17.00</v>
      </c>
      <c r="D1384" s="18" t="str">
        <f t="shared" ca="1" si="442"/>
        <v>—</v>
      </c>
      <c r="E1384" s="17">
        <f t="shared" ca="1" si="443"/>
        <v>7</v>
      </c>
      <c r="F1384" s="18" t="str">
        <f t="shared" ca="1" si="444"/>
        <v>—</v>
      </c>
      <c r="G1384" s="17">
        <f t="shared" ca="1" si="445"/>
        <v>7</v>
      </c>
      <c r="H1384" s="18" t="str">
        <f t="shared" ca="1" si="446"/>
        <v>—</v>
      </c>
      <c r="I1384" s="17">
        <f t="shared" ca="1" si="447"/>
        <v>7</v>
      </c>
      <c r="J1384" s="18" t="str">
        <f t="shared" ca="1" si="448"/>
        <v>—</v>
      </c>
      <c r="K1384" s="17">
        <f t="shared" ca="1" si="449"/>
        <v>7</v>
      </c>
      <c r="L1384" s="10" t="str">
        <f t="shared" ca="1" si="450"/>
        <v>—</v>
      </c>
      <c r="M1384" s="17">
        <f t="shared" ca="1" si="451"/>
        <v>7</v>
      </c>
      <c r="N1384" s="18" t="str">
        <f t="shared" ca="1" si="452"/>
        <v>—</v>
      </c>
      <c r="O1384" s="17">
        <f t="shared" ca="1" si="453"/>
        <v>7</v>
      </c>
      <c r="P1384" s="18" t="str">
        <f t="shared" ca="1" si="454"/>
        <v>—</v>
      </c>
      <c r="Q1384" s="17">
        <f t="shared" ca="1" si="455"/>
        <v>7</v>
      </c>
      <c r="R1384" s="10" t="str">
        <f t="shared" ca="1" si="456"/>
        <v>—</v>
      </c>
      <c r="S1384" s="17">
        <f t="shared" ca="1" si="457"/>
        <v>7</v>
      </c>
      <c r="T1384" s="70" t="str">
        <f t="shared" ca="1" si="458"/>
        <v>—</v>
      </c>
      <c r="U1384" s="17">
        <f t="shared" ca="1" si="459"/>
        <v>7</v>
      </c>
      <c r="V1384" s="71" t="str">
        <f t="shared" ca="1" si="460"/>
        <v>—</v>
      </c>
      <c r="W1384" s="17">
        <f t="shared" ca="1" si="461"/>
        <v>7</v>
      </c>
    </row>
    <row r="1385" spans="1:23" x14ac:dyDescent="0.25">
      <c r="A1385" s="4">
        <f t="shared" si="441"/>
        <v>32</v>
      </c>
      <c r="B1385" t="str">
        <f ca="1">TEXT(DATE(YEAR(Invoer!$A$6),1,1)+INT((ROWS(B$2:B1385)-1)/4),"jjjjmmdd")</f>
        <v>19401211</v>
      </c>
      <c r="C1385" s="64" t="str">
        <f>IF(MOD(ROWS(C$2:C1385)-1,4)=3,"24.00",INDEX(Data,3,2+MOD(ROWS(C$2:C1385)-1,4)))</f>
        <v>24.00</v>
      </c>
      <c r="D1385" s="18" t="str">
        <f t="shared" ca="1" si="442"/>
        <v>—</v>
      </c>
      <c r="E1385" s="17">
        <f t="shared" ca="1" si="443"/>
        <v>7</v>
      </c>
      <c r="F1385" s="18" t="str">
        <f t="shared" ca="1" si="444"/>
        <v>—</v>
      </c>
      <c r="G1385" s="17">
        <f t="shared" ca="1" si="445"/>
        <v>7</v>
      </c>
      <c r="H1385" s="18" t="str">
        <f t="shared" ca="1" si="446"/>
        <v>—</v>
      </c>
      <c r="I1385" s="17">
        <f t="shared" ca="1" si="447"/>
        <v>7</v>
      </c>
      <c r="J1385" s="18" t="str">
        <f t="shared" ca="1" si="448"/>
        <v>—</v>
      </c>
      <c r="K1385" s="17">
        <f t="shared" ca="1" si="449"/>
        <v>7</v>
      </c>
      <c r="L1385" s="10" t="str">
        <f t="shared" ca="1" si="450"/>
        <v>—</v>
      </c>
      <c r="M1385" s="17">
        <f t="shared" ca="1" si="451"/>
        <v>7</v>
      </c>
      <c r="N1385" s="18" t="str">
        <f t="shared" ca="1" si="452"/>
        <v>—</v>
      </c>
      <c r="O1385" s="17">
        <f t="shared" ca="1" si="453"/>
        <v>7</v>
      </c>
      <c r="P1385" s="18" t="str">
        <f t="shared" ca="1" si="454"/>
        <v>—</v>
      </c>
      <c r="Q1385" s="17">
        <f t="shared" ca="1" si="455"/>
        <v>7</v>
      </c>
      <c r="R1385" s="10" t="str">
        <f t="shared" ca="1" si="456"/>
        <v>—</v>
      </c>
      <c r="S1385" s="17">
        <f t="shared" ca="1" si="457"/>
        <v>7</v>
      </c>
      <c r="T1385" s="70" t="str">
        <f t="shared" ca="1" si="458"/>
        <v>—</v>
      </c>
      <c r="U1385" s="17">
        <f t="shared" ca="1" si="459"/>
        <v>7</v>
      </c>
      <c r="V1385" s="71" t="str">
        <f t="shared" ca="1" si="460"/>
        <v>—</v>
      </c>
      <c r="W1385" s="17">
        <f t="shared" ca="1" si="461"/>
        <v>7</v>
      </c>
    </row>
    <row r="1386" spans="1:23" x14ac:dyDescent="0.25">
      <c r="A1386" s="4">
        <f t="shared" si="441"/>
        <v>32</v>
      </c>
      <c r="B1386" t="str">
        <f ca="1">TEXT(DATE(YEAR(Invoer!$A$6),1,1)+INT((ROWS(B$2:B1386)-1)/4),"jjjjmmdd")</f>
        <v>19401212</v>
      </c>
      <c r="C1386" s="64" t="str">
        <f>IF(MOD(ROWS(C$2:C1386)-1,4)=3,"24.00",INDEX(Data,3,2+MOD(ROWS(C$2:C1386)-1,4)))</f>
        <v>07.00</v>
      </c>
      <c r="D1386" s="18" t="str">
        <f t="shared" ca="1" si="442"/>
        <v>—</v>
      </c>
      <c r="E1386" s="17">
        <f t="shared" ca="1" si="443"/>
        <v>7</v>
      </c>
      <c r="F1386" s="18" t="str">
        <f t="shared" ca="1" si="444"/>
        <v>—</v>
      </c>
      <c r="G1386" s="17">
        <f t="shared" ca="1" si="445"/>
        <v>7</v>
      </c>
      <c r="H1386" s="18" t="str">
        <f t="shared" ca="1" si="446"/>
        <v>—</v>
      </c>
      <c r="I1386" s="17">
        <f t="shared" ca="1" si="447"/>
        <v>7</v>
      </c>
      <c r="J1386" s="18" t="str">
        <f t="shared" ca="1" si="448"/>
        <v>—</v>
      </c>
      <c r="K1386" s="17">
        <f t="shared" ca="1" si="449"/>
        <v>7</v>
      </c>
      <c r="L1386" s="10" t="str">
        <f t="shared" ca="1" si="450"/>
        <v>—</v>
      </c>
      <c r="M1386" s="17">
        <f t="shared" ca="1" si="451"/>
        <v>7</v>
      </c>
      <c r="N1386" s="18" t="str">
        <f t="shared" ca="1" si="452"/>
        <v>—</v>
      </c>
      <c r="O1386" s="17">
        <f t="shared" ca="1" si="453"/>
        <v>7</v>
      </c>
      <c r="P1386" s="18" t="str">
        <f t="shared" ca="1" si="454"/>
        <v>—</v>
      </c>
      <c r="Q1386" s="17">
        <f t="shared" ca="1" si="455"/>
        <v>7</v>
      </c>
      <c r="R1386" s="10" t="str">
        <f t="shared" ca="1" si="456"/>
        <v>—</v>
      </c>
      <c r="S1386" s="17">
        <f t="shared" ca="1" si="457"/>
        <v>7</v>
      </c>
      <c r="T1386" s="70" t="str">
        <f t="shared" ca="1" si="458"/>
        <v>—</v>
      </c>
      <c r="U1386" s="17">
        <f t="shared" ca="1" si="459"/>
        <v>7</v>
      </c>
      <c r="V1386" s="71" t="str">
        <f t="shared" ca="1" si="460"/>
        <v>—</v>
      </c>
      <c r="W1386" s="17">
        <f t="shared" ca="1" si="461"/>
        <v>7</v>
      </c>
    </row>
    <row r="1387" spans="1:23" x14ac:dyDescent="0.25">
      <c r="A1387" s="4">
        <f t="shared" si="441"/>
        <v>32</v>
      </c>
      <c r="B1387" t="str">
        <f ca="1">TEXT(DATE(YEAR(Invoer!$A$6),1,1)+INT((ROWS(B$2:B1387)-1)/4),"jjjjmmdd")</f>
        <v>19401212</v>
      </c>
      <c r="C1387" s="64" t="str">
        <f>IF(MOD(ROWS(C$2:C1387)-1,4)=3,"24.00",INDEX(Data,3,2+MOD(ROWS(C$2:C1387)-1,4)))</f>
        <v>12.00</v>
      </c>
      <c r="D1387" s="18" t="str">
        <f t="shared" ca="1" si="442"/>
        <v>—</v>
      </c>
      <c r="E1387" s="17">
        <f t="shared" ca="1" si="443"/>
        <v>7</v>
      </c>
      <c r="F1387" s="18" t="str">
        <f t="shared" ca="1" si="444"/>
        <v>—</v>
      </c>
      <c r="G1387" s="17">
        <f t="shared" ca="1" si="445"/>
        <v>7</v>
      </c>
      <c r="H1387" s="18" t="str">
        <f t="shared" ca="1" si="446"/>
        <v>—</v>
      </c>
      <c r="I1387" s="17">
        <f t="shared" ca="1" si="447"/>
        <v>7</v>
      </c>
      <c r="J1387" s="18" t="str">
        <f t="shared" ca="1" si="448"/>
        <v>—</v>
      </c>
      <c r="K1387" s="17">
        <f t="shared" ca="1" si="449"/>
        <v>7</v>
      </c>
      <c r="L1387" s="10" t="str">
        <f t="shared" ca="1" si="450"/>
        <v>—</v>
      </c>
      <c r="M1387" s="17">
        <f t="shared" ca="1" si="451"/>
        <v>7</v>
      </c>
      <c r="N1387" s="18" t="str">
        <f t="shared" ca="1" si="452"/>
        <v>—</v>
      </c>
      <c r="O1387" s="17">
        <f t="shared" ca="1" si="453"/>
        <v>7</v>
      </c>
      <c r="P1387" s="18" t="str">
        <f t="shared" ca="1" si="454"/>
        <v>—</v>
      </c>
      <c r="Q1387" s="17">
        <f t="shared" ca="1" si="455"/>
        <v>7</v>
      </c>
      <c r="R1387" s="10" t="str">
        <f t="shared" ca="1" si="456"/>
        <v>—</v>
      </c>
      <c r="S1387" s="17">
        <f t="shared" ca="1" si="457"/>
        <v>7</v>
      </c>
      <c r="T1387" s="70" t="str">
        <f t="shared" ca="1" si="458"/>
        <v>—</v>
      </c>
      <c r="U1387" s="17">
        <f t="shared" ca="1" si="459"/>
        <v>7</v>
      </c>
      <c r="V1387" s="71" t="str">
        <f t="shared" ca="1" si="460"/>
        <v>—</v>
      </c>
      <c r="W1387" s="17">
        <f t="shared" ca="1" si="461"/>
        <v>7</v>
      </c>
    </row>
    <row r="1388" spans="1:23" x14ac:dyDescent="0.25">
      <c r="A1388" s="4">
        <f t="shared" si="441"/>
        <v>32</v>
      </c>
      <c r="B1388" t="str">
        <f ca="1">TEXT(DATE(YEAR(Invoer!$A$6),1,1)+INT((ROWS(B$2:B1388)-1)/4),"jjjjmmdd")</f>
        <v>19401212</v>
      </c>
      <c r="C1388" s="64" t="str">
        <f>IF(MOD(ROWS(C$2:C1388)-1,4)=3,"24.00",INDEX(Data,3,2+MOD(ROWS(C$2:C1388)-1,4)))</f>
        <v>17.00</v>
      </c>
      <c r="D1388" s="18" t="str">
        <f t="shared" ca="1" si="442"/>
        <v>—</v>
      </c>
      <c r="E1388" s="17">
        <f t="shared" ca="1" si="443"/>
        <v>7</v>
      </c>
      <c r="F1388" s="18" t="str">
        <f t="shared" ca="1" si="444"/>
        <v>—</v>
      </c>
      <c r="G1388" s="17">
        <f t="shared" ca="1" si="445"/>
        <v>7</v>
      </c>
      <c r="H1388" s="18" t="str">
        <f t="shared" ca="1" si="446"/>
        <v>—</v>
      </c>
      <c r="I1388" s="17">
        <f t="shared" ca="1" si="447"/>
        <v>7</v>
      </c>
      <c r="J1388" s="18" t="str">
        <f t="shared" ca="1" si="448"/>
        <v>—</v>
      </c>
      <c r="K1388" s="17">
        <f t="shared" ca="1" si="449"/>
        <v>7</v>
      </c>
      <c r="L1388" s="10" t="str">
        <f t="shared" ca="1" si="450"/>
        <v>—</v>
      </c>
      <c r="M1388" s="17">
        <f t="shared" ca="1" si="451"/>
        <v>7</v>
      </c>
      <c r="N1388" s="18" t="str">
        <f t="shared" ca="1" si="452"/>
        <v>—</v>
      </c>
      <c r="O1388" s="17">
        <f t="shared" ca="1" si="453"/>
        <v>7</v>
      </c>
      <c r="P1388" s="18" t="str">
        <f t="shared" ca="1" si="454"/>
        <v>—</v>
      </c>
      <c r="Q1388" s="17">
        <f t="shared" ca="1" si="455"/>
        <v>7</v>
      </c>
      <c r="R1388" s="10" t="str">
        <f t="shared" ca="1" si="456"/>
        <v>—</v>
      </c>
      <c r="S1388" s="17">
        <f t="shared" ca="1" si="457"/>
        <v>7</v>
      </c>
      <c r="T1388" s="70" t="str">
        <f t="shared" ca="1" si="458"/>
        <v>—</v>
      </c>
      <c r="U1388" s="17">
        <f t="shared" ca="1" si="459"/>
        <v>7</v>
      </c>
      <c r="V1388" s="71" t="str">
        <f t="shared" ca="1" si="460"/>
        <v>—</v>
      </c>
      <c r="W1388" s="17">
        <f t="shared" ca="1" si="461"/>
        <v>7</v>
      </c>
    </row>
    <row r="1389" spans="1:23" x14ac:dyDescent="0.25">
      <c r="A1389" s="4">
        <f t="shared" si="441"/>
        <v>32</v>
      </c>
      <c r="B1389" t="str">
        <f ca="1">TEXT(DATE(YEAR(Invoer!$A$6),1,1)+INT((ROWS(B$2:B1389)-1)/4),"jjjjmmdd")</f>
        <v>19401212</v>
      </c>
      <c r="C1389" s="64" t="str">
        <f>IF(MOD(ROWS(C$2:C1389)-1,4)=3,"24.00",INDEX(Data,3,2+MOD(ROWS(C$2:C1389)-1,4)))</f>
        <v>24.00</v>
      </c>
      <c r="D1389" s="18" t="str">
        <f t="shared" ca="1" si="442"/>
        <v>—</v>
      </c>
      <c r="E1389" s="17">
        <f t="shared" ca="1" si="443"/>
        <v>7</v>
      </c>
      <c r="F1389" s="18" t="str">
        <f t="shared" ca="1" si="444"/>
        <v>—</v>
      </c>
      <c r="G1389" s="17">
        <f t="shared" ca="1" si="445"/>
        <v>7</v>
      </c>
      <c r="H1389" s="18" t="str">
        <f t="shared" ca="1" si="446"/>
        <v>—</v>
      </c>
      <c r="I1389" s="17">
        <f t="shared" ca="1" si="447"/>
        <v>7</v>
      </c>
      <c r="J1389" s="18" t="str">
        <f t="shared" ca="1" si="448"/>
        <v>—</v>
      </c>
      <c r="K1389" s="17">
        <f t="shared" ca="1" si="449"/>
        <v>7</v>
      </c>
      <c r="L1389" s="10" t="str">
        <f t="shared" ca="1" si="450"/>
        <v>—</v>
      </c>
      <c r="M1389" s="17">
        <f t="shared" ca="1" si="451"/>
        <v>7</v>
      </c>
      <c r="N1389" s="18" t="str">
        <f t="shared" ca="1" si="452"/>
        <v>—</v>
      </c>
      <c r="O1389" s="17">
        <f t="shared" ca="1" si="453"/>
        <v>7</v>
      </c>
      <c r="P1389" s="18" t="str">
        <f t="shared" ca="1" si="454"/>
        <v>—</v>
      </c>
      <c r="Q1389" s="17">
        <f t="shared" ca="1" si="455"/>
        <v>7</v>
      </c>
      <c r="R1389" s="10" t="str">
        <f t="shared" ca="1" si="456"/>
        <v>—</v>
      </c>
      <c r="S1389" s="17">
        <f t="shared" ca="1" si="457"/>
        <v>7</v>
      </c>
      <c r="T1389" s="70" t="str">
        <f t="shared" ca="1" si="458"/>
        <v>—</v>
      </c>
      <c r="U1389" s="17">
        <f t="shared" ca="1" si="459"/>
        <v>7</v>
      </c>
      <c r="V1389" s="71" t="str">
        <f t="shared" ca="1" si="460"/>
        <v>—</v>
      </c>
      <c r="W1389" s="17">
        <f t="shared" ca="1" si="461"/>
        <v>7</v>
      </c>
    </row>
    <row r="1390" spans="1:23" x14ac:dyDescent="0.25">
      <c r="A1390" s="4">
        <f t="shared" si="441"/>
        <v>32</v>
      </c>
      <c r="B1390" t="str">
        <f ca="1">TEXT(DATE(YEAR(Invoer!$A$6),1,1)+INT((ROWS(B$2:B1390)-1)/4),"jjjjmmdd")</f>
        <v>19401213</v>
      </c>
      <c r="C1390" s="64" t="str">
        <f>IF(MOD(ROWS(C$2:C1390)-1,4)=3,"24.00",INDEX(Data,3,2+MOD(ROWS(C$2:C1390)-1,4)))</f>
        <v>07.00</v>
      </c>
      <c r="D1390" s="18" t="str">
        <f t="shared" ca="1" si="442"/>
        <v>—</v>
      </c>
      <c r="E1390" s="17">
        <f t="shared" ca="1" si="443"/>
        <v>7</v>
      </c>
      <c r="F1390" s="18" t="str">
        <f t="shared" ca="1" si="444"/>
        <v>—</v>
      </c>
      <c r="G1390" s="17">
        <f t="shared" ca="1" si="445"/>
        <v>7</v>
      </c>
      <c r="H1390" s="18" t="str">
        <f t="shared" ca="1" si="446"/>
        <v>—</v>
      </c>
      <c r="I1390" s="17">
        <f t="shared" ca="1" si="447"/>
        <v>7</v>
      </c>
      <c r="J1390" s="18" t="str">
        <f t="shared" ca="1" si="448"/>
        <v>—</v>
      </c>
      <c r="K1390" s="17">
        <f t="shared" ca="1" si="449"/>
        <v>7</v>
      </c>
      <c r="L1390" s="10" t="str">
        <f t="shared" ca="1" si="450"/>
        <v>—</v>
      </c>
      <c r="M1390" s="17">
        <f t="shared" ca="1" si="451"/>
        <v>7</v>
      </c>
      <c r="N1390" s="18" t="str">
        <f t="shared" ca="1" si="452"/>
        <v>—</v>
      </c>
      <c r="O1390" s="17">
        <f t="shared" ca="1" si="453"/>
        <v>7</v>
      </c>
      <c r="P1390" s="18" t="str">
        <f t="shared" ca="1" si="454"/>
        <v>—</v>
      </c>
      <c r="Q1390" s="17">
        <f t="shared" ca="1" si="455"/>
        <v>7</v>
      </c>
      <c r="R1390" s="10" t="str">
        <f t="shared" ca="1" si="456"/>
        <v>—</v>
      </c>
      <c r="S1390" s="17">
        <f t="shared" ca="1" si="457"/>
        <v>7</v>
      </c>
      <c r="T1390" s="70" t="str">
        <f t="shared" ca="1" si="458"/>
        <v>—</v>
      </c>
      <c r="U1390" s="17">
        <f t="shared" ca="1" si="459"/>
        <v>7</v>
      </c>
      <c r="V1390" s="71" t="str">
        <f t="shared" ca="1" si="460"/>
        <v>—</v>
      </c>
      <c r="W1390" s="17">
        <f t="shared" ca="1" si="461"/>
        <v>7</v>
      </c>
    </row>
    <row r="1391" spans="1:23" x14ac:dyDescent="0.25">
      <c r="A1391" s="4">
        <f t="shared" si="441"/>
        <v>32</v>
      </c>
      <c r="B1391" t="str">
        <f ca="1">TEXT(DATE(YEAR(Invoer!$A$6),1,1)+INT((ROWS(B$2:B1391)-1)/4),"jjjjmmdd")</f>
        <v>19401213</v>
      </c>
      <c r="C1391" s="64" t="str">
        <f>IF(MOD(ROWS(C$2:C1391)-1,4)=3,"24.00",INDEX(Data,3,2+MOD(ROWS(C$2:C1391)-1,4)))</f>
        <v>12.00</v>
      </c>
      <c r="D1391" s="18" t="str">
        <f t="shared" ca="1" si="442"/>
        <v>—</v>
      </c>
      <c r="E1391" s="17">
        <f t="shared" ca="1" si="443"/>
        <v>7</v>
      </c>
      <c r="F1391" s="18" t="str">
        <f t="shared" ca="1" si="444"/>
        <v>—</v>
      </c>
      <c r="G1391" s="17">
        <f t="shared" ca="1" si="445"/>
        <v>7</v>
      </c>
      <c r="H1391" s="18" t="str">
        <f t="shared" ca="1" si="446"/>
        <v>—</v>
      </c>
      <c r="I1391" s="17">
        <f t="shared" ca="1" si="447"/>
        <v>7</v>
      </c>
      <c r="J1391" s="18" t="str">
        <f t="shared" ca="1" si="448"/>
        <v>—</v>
      </c>
      <c r="K1391" s="17">
        <f t="shared" ca="1" si="449"/>
        <v>7</v>
      </c>
      <c r="L1391" s="10" t="str">
        <f t="shared" ca="1" si="450"/>
        <v>—</v>
      </c>
      <c r="M1391" s="17">
        <f t="shared" ca="1" si="451"/>
        <v>7</v>
      </c>
      <c r="N1391" s="18" t="str">
        <f t="shared" ca="1" si="452"/>
        <v>—</v>
      </c>
      <c r="O1391" s="17">
        <f t="shared" ca="1" si="453"/>
        <v>7</v>
      </c>
      <c r="P1391" s="18" t="str">
        <f t="shared" ca="1" si="454"/>
        <v>—</v>
      </c>
      <c r="Q1391" s="17">
        <f t="shared" ca="1" si="455"/>
        <v>7</v>
      </c>
      <c r="R1391" s="10" t="str">
        <f t="shared" ca="1" si="456"/>
        <v>—</v>
      </c>
      <c r="S1391" s="17">
        <f t="shared" ca="1" si="457"/>
        <v>7</v>
      </c>
      <c r="T1391" s="70" t="str">
        <f t="shared" ca="1" si="458"/>
        <v>—</v>
      </c>
      <c r="U1391" s="17">
        <f t="shared" ca="1" si="459"/>
        <v>7</v>
      </c>
      <c r="V1391" s="71" t="str">
        <f t="shared" ca="1" si="460"/>
        <v>—</v>
      </c>
      <c r="W1391" s="17">
        <f t="shared" ca="1" si="461"/>
        <v>7</v>
      </c>
    </row>
    <row r="1392" spans="1:23" x14ac:dyDescent="0.25">
      <c r="A1392" s="4">
        <f t="shared" si="441"/>
        <v>32</v>
      </c>
      <c r="B1392" t="str">
        <f ca="1">TEXT(DATE(YEAR(Invoer!$A$6),1,1)+INT((ROWS(B$2:B1392)-1)/4),"jjjjmmdd")</f>
        <v>19401213</v>
      </c>
      <c r="C1392" s="64" t="str">
        <f>IF(MOD(ROWS(C$2:C1392)-1,4)=3,"24.00",INDEX(Data,3,2+MOD(ROWS(C$2:C1392)-1,4)))</f>
        <v>17.00</v>
      </c>
      <c r="D1392" s="18" t="str">
        <f t="shared" ca="1" si="442"/>
        <v>—</v>
      </c>
      <c r="E1392" s="17">
        <f t="shared" ca="1" si="443"/>
        <v>7</v>
      </c>
      <c r="F1392" s="18" t="str">
        <f t="shared" ca="1" si="444"/>
        <v>—</v>
      </c>
      <c r="G1392" s="17">
        <f t="shared" ca="1" si="445"/>
        <v>7</v>
      </c>
      <c r="H1392" s="18" t="str">
        <f t="shared" ca="1" si="446"/>
        <v>—</v>
      </c>
      <c r="I1392" s="17">
        <f t="shared" ca="1" si="447"/>
        <v>7</v>
      </c>
      <c r="J1392" s="18" t="str">
        <f t="shared" ca="1" si="448"/>
        <v>—</v>
      </c>
      <c r="K1392" s="17">
        <f t="shared" ca="1" si="449"/>
        <v>7</v>
      </c>
      <c r="L1392" s="10" t="str">
        <f t="shared" ca="1" si="450"/>
        <v>—</v>
      </c>
      <c r="M1392" s="17">
        <f t="shared" ca="1" si="451"/>
        <v>7</v>
      </c>
      <c r="N1392" s="18" t="str">
        <f t="shared" ca="1" si="452"/>
        <v>—</v>
      </c>
      <c r="O1392" s="17">
        <f t="shared" ca="1" si="453"/>
        <v>7</v>
      </c>
      <c r="P1392" s="18" t="str">
        <f t="shared" ca="1" si="454"/>
        <v>—</v>
      </c>
      <c r="Q1392" s="17">
        <f t="shared" ca="1" si="455"/>
        <v>7</v>
      </c>
      <c r="R1392" s="10" t="str">
        <f t="shared" ca="1" si="456"/>
        <v>—</v>
      </c>
      <c r="S1392" s="17">
        <f t="shared" ca="1" si="457"/>
        <v>7</v>
      </c>
      <c r="T1392" s="70" t="str">
        <f t="shared" ca="1" si="458"/>
        <v>—</v>
      </c>
      <c r="U1392" s="17">
        <f t="shared" ca="1" si="459"/>
        <v>7</v>
      </c>
      <c r="V1392" s="71" t="str">
        <f t="shared" ca="1" si="460"/>
        <v>—</v>
      </c>
      <c r="W1392" s="17">
        <f t="shared" ca="1" si="461"/>
        <v>7</v>
      </c>
    </row>
    <row r="1393" spans="1:23" x14ac:dyDescent="0.25">
      <c r="A1393" s="4">
        <f t="shared" si="441"/>
        <v>32</v>
      </c>
      <c r="B1393" t="str">
        <f ca="1">TEXT(DATE(YEAR(Invoer!$A$6),1,1)+INT((ROWS(B$2:B1393)-1)/4),"jjjjmmdd")</f>
        <v>19401213</v>
      </c>
      <c r="C1393" s="64" t="str">
        <f>IF(MOD(ROWS(C$2:C1393)-1,4)=3,"24.00",INDEX(Data,3,2+MOD(ROWS(C$2:C1393)-1,4)))</f>
        <v>24.00</v>
      </c>
      <c r="D1393" s="18" t="str">
        <f t="shared" ca="1" si="442"/>
        <v>—</v>
      </c>
      <c r="E1393" s="17">
        <f t="shared" ca="1" si="443"/>
        <v>7</v>
      </c>
      <c r="F1393" s="18" t="str">
        <f t="shared" ca="1" si="444"/>
        <v>—</v>
      </c>
      <c r="G1393" s="17">
        <f t="shared" ca="1" si="445"/>
        <v>7</v>
      </c>
      <c r="H1393" s="18" t="str">
        <f t="shared" ca="1" si="446"/>
        <v>—</v>
      </c>
      <c r="I1393" s="17">
        <f t="shared" ca="1" si="447"/>
        <v>7</v>
      </c>
      <c r="J1393" s="18" t="str">
        <f t="shared" ca="1" si="448"/>
        <v>—</v>
      </c>
      <c r="K1393" s="17">
        <f t="shared" ca="1" si="449"/>
        <v>7</v>
      </c>
      <c r="L1393" s="10" t="str">
        <f t="shared" ca="1" si="450"/>
        <v>—</v>
      </c>
      <c r="M1393" s="17">
        <f t="shared" ca="1" si="451"/>
        <v>7</v>
      </c>
      <c r="N1393" s="18" t="str">
        <f t="shared" ca="1" si="452"/>
        <v>—</v>
      </c>
      <c r="O1393" s="17">
        <f t="shared" ca="1" si="453"/>
        <v>7</v>
      </c>
      <c r="P1393" s="18" t="str">
        <f t="shared" ca="1" si="454"/>
        <v>—</v>
      </c>
      <c r="Q1393" s="17">
        <f t="shared" ca="1" si="455"/>
        <v>7</v>
      </c>
      <c r="R1393" s="10" t="str">
        <f t="shared" ca="1" si="456"/>
        <v>—</v>
      </c>
      <c r="S1393" s="17">
        <f t="shared" ca="1" si="457"/>
        <v>7</v>
      </c>
      <c r="T1393" s="70" t="str">
        <f t="shared" ca="1" si="458"/>
        <v>—</v>
      </c>
      <c r="U1393" s="17">
        <f t="shared" ca="1" si="459"/>
        <v>7</v>
      </c>
      <c r="V1393" s="71" t="str">
        <f t="shared" ca="1" si="460"/>
        <v>—</v>
      </c>
      <c r="W1393" s="17">
        <f t="shared" ca="1" si="461"/>
        <v>7</v>
      </c>
    </row>
    <row r="1394" spans="1:23" x14ac:dyDescent="0.25">
      <c r="A1394" s="4">
        <f t="shared" si="441"/>
        <v>32</v>
      </c>
      <c r="B1394" t="str">
        <f ca="1">TEXT(DATE(YEAR(Invoer!$A$6),1,1)+INT((ROWS(B$2:B1394)-1)/4),"jjjjmmdd")</f>
        <v>19401214</v>
      </c>
      <c r="C1394" s="64" t="str">
        <f>IF(MOD(ROWS(C$2:C1394)-1,4)=3,"24.00",INDEX(Data,3,2+MOD(ROWS(C$2:C1394)-1,4)))</f>
        <v>07.00</v>
      </c>
      <c r="D1394" s="18" t="str">
        <f t="shared" ca="1" si="442"/>
        <v>—</v>
      </c>
      <c r="E1394" s="17">
        <f t="shared" ca="1" si="443"/>
        <v>7</v>
      </c>
      <c r="F1394" s="18" t="str">
        <f t="shared" ca="1" si="444"/>
        <v>—</v>
      </c>
      <c r="G1394" s="17">
        <f t="shared" ca="1" si="445"/>
        <v>7</v>
      </c>
      <c r="H1394" s="18" t="str">
        <f t="shared" ca="1" si="446"/>
        <v>—</v>
      </c>
      <c r="I1394" s="17">
        <f t="shared" ca="1" si="447"/>
        <v>7</v>
      </c>
      <c r="J1394" s="18" t="str">
        <f t="shared" ca="1" si="448"/>
        <v>—</v>
      </c>
      <c r="K1394" s="17">
        <f t="shared" ca="1" si="449"/>
        <v>7</v>
      </c>
      <c r="L1394" s="10" t="str">
        <f t="shared" ca="1" si="450"/>
        <v>—</v>
      </c>
      <c r="M1394" s="17">
        <f t="shared" ca="1" si="451"/>
        <v>7</v>
      </c>
      <c r="N1394" s="18" t="str">
        <f t="shared" ca="1" si="452"/>
        <v>—</v>
      </c>
      <c r="O1394" s="17">
        <f t="shared" ca="1" si="453"/>
        <v>7</v>
      </c>
      <c r="P1394" s="18" t="str">
        <f t="shared" ca="1" si="454"/>
        <v>—</v>
      </c>
      <c r="Q1394" s="17">
        <f t="shared" ca="1" si="455"/>
        <v>7</v>
      </c>
      <c r="R1394" s="10" t="str">
        <f t="shared" ca="1" si="456"/>
        <v>—</v>
      </c>
      <c r="S1394" s="17">
        <f t="shared" ca="1" si="457"/>
        <v>7</v>
      </c>
      <c r="T1394" s="70" t="str">
        <f t="shared" ca="1" si="458"/>
        <v>—</v>
      </c>
      <c r="U1394" s="17">
        <f t="shared" ca="1" si="459"/>
        <v>7</v>
      </c>
      <c r="V1394" s="71" t="str">
        <f t="shared" ca="1" si="460"/>
        <v>—</v>
      </c>
      <c r="W1394" s="17">
        <f t="shared" ca="1" si="461"/>
        <v>7</v>
      </c>
    </row>
    <row r="1395" spans="1:23" x14ac:dyDescent="0.25">
      <c r="A1395" s="4">
        <f t="shared" si="441"/>
        <v>32</v>
      </c>
      <c r="B1395" t="str">
        <f ca="1">TEXT(DATE(YEAR(Invoer!$A$6),1,1)+INT((ROWS(B$2:B1395)-1)/4),"jjjjmmdd")</f>
        <v>19401214</v>
      </c>
      <c r="C1395" s="64" t="str">
        <f>IF(MOD(ROWS(C$2:C1395)-1,4)=3,"24.00",INDEX(Data,3,2+MOD(ROWS(C$2:C1395)-1,4)))</f>
        <v>12.00</v>
      </c>
      <c r="D1395" s="18" t="str">
        <f t="shared" ca="1" si="442"/>
        <v>—</v>
      </c>
      <c r="E1395" s="17">
        <f t="shared" ca="1" si="443"/>
        <v>7</v>
      </c>
      <c r="F1395" s="18" t="str">
        <f t="shared" ca="1" si="444"/>
        <v>—</v>
      </c>
      <c r="G1395" s="17">
        <f t="shared" ca="1" si="445"/>
        <v>7</v>
      </c>
      <c r="H1395" s="18" t="str">
        <f t="shared" ca="1" si="446"/>
        <v>—</v>
      </c>
      <c r="I1395" s="17">
        <f t="shared" ca="1" si="447"/>
        <v>7</v>
      </c>
      <c r="J1395" s="18" t="str">
        <f t="shared" ca="1" si="448"/>
        <v>—</v>
      </c>
      <c r="K1395" s="17">
        <f t="shared" ca="1" si="449"/>
        <v>7</v>
      </c>
      <c r="L1395" s="10" t="str">
        <f t="shared" ca="1" si="450"/>
        <v>—</v>
      </c>
      <c r="M1395" s="17">
        <f t="shared" ca="1" si="451"/>
        <v>7</v>
      </c>
      <c r="N1395" s="18" t="str">
        <f t="shared" ca="1" si="452"/>
        <v>—</v>
      </c>
      <c r="O1395" s="17">
        <f t="shared" ca="1" si="453"/>
        <v>7</v>
      </c>
      <c r="P1395" s="18" t="str">
        <f t="shared" ca="1" si="454"/>
        <v>—</v>
      </c>
      <c r="Q1395" s="17">
        <f t="shared" ca="1" si="455"/>
        <v>7</v>
      </c>
      <c r="R1395" s="10" t="str">
        <f t="shared" ca="1" si="456"/>
        <v>—</v>
      </c>
      <c r="S1395" s="17">
        <f t="shared" ca="1" si="457"/>
        <v>7</v>
      </c>
      <c r="T1395" s="70" t="str">
        <f t="shared" ca="1" si="458"/>
        <v>—</v>
      </c>
      <c r="U1395" s="17">
        <f t="shared" ca="1" si="459"/>
        <v>7</v>
      </c>
      <c r="V1395" s="71" t="str">
        <f t="shared" ca="1" si="460"/>
        <v>—</v>
      </c>
      <c r="W1395" s="17">
        <f t="shared" ca="1" si="461"/>
        <v>7</v>
      </c>
    </row>
    <row r="1396" spans="1:23" x14ac:dyDescent="0.25">
      <c r="A1396" s="4">
        <f t="shared" si="441"/>
        <v>32</v>
      </c>
      <c r="B1396" t="str">
        <f ca="1">TEXT(DATE(YEAR(Invoer!$A$6),1,1)+INT((ROWS(B$2:B1396)-1)/4),"jjjjmmdd")</f>
        <v>19401214</v>
      </c>
      <c r="C1396" s="64" t="str">
        <f>IF(MOD(ROWS(C$2:C1396)-1,4)=3,"24.00",INDEX(Data,3,2+MOD(ROWS(C$2:C1396)-1,4)))</f>
        <v>17.00</v>
      </c>
      <c r="D1396" s="18" t="str">
        <f t="shared" ca="1" si="442"/>
        <v>—</v>
      </c>
      <c r="E1396" s="17">
        <f t="shared" ca="1" si="443"/>
        <v>7</v>
      </c>
      <c r="F1396" s="18" t="str">
        <f t="shared" ca="1" si="444"/>
        <v>—</v>
      </c>
      <c r="G1396" s="17">
        <f t="shared" ca="1" si="445"/>
        <v>7</v>
      </c>
      <c r="H1396" s="18" t="str">
        <f t="shared" ca="1" si="446"/>
        <v>—</v>
      </c>
      <c r="I1396" s="17">
        <f t="shared" ca="1" si="447"/>
        <v>7</v>
      </c>
      <c r="J1396" s="18" t="str">
        <f t="shared" ca="1" si="448"/>
        <v>—</v>
      </c>
      <c r="K1396" s="17">
        <f t="shared" ca="1" si="449"/>
        <v>7</v>
      </c>
      <c r="L1396" s="10" t="str">
        <f t="shared" ca="1" si="450"/>
        <v>—</v>
      </c>
      <c r="M1396" s="17">
        <f t="shared" ca="1" si="451"/>
        <v>7</v>
      </c>
      <c r="N1396" s="18" t="str">
        <f t="shared" ca="1" si="452"/>
        <v>—</v>
      </c>
      <c r="O1396" s="17">
        <f t="shared" ca="1" si="453"/>
        <v>7</v>
      </c>
      <c r="P1396" s="18" t="str">
        <f t="shared" ca="1" si="454"/>
        <v>—</v>
      </c>
      <c r="Q1396" s="17">
        <f t="shared" ca="1" si="455"/>
        <v>7</v>
      </c>
      <c r="R1396" s="10" t="str">
        <f t="shared" ca="1" si="456"/>
        <v>—</v>
      </c>
      <c r="S1396" s="17">
        <f t="shared" ca="1" si="457"/>
        <v>7</v>
      </c>
      <c r="T1396" s="70" t="str">
        <f t="shared" ca="1" si="458"/>
        <v>—</v>
      </c>
      <c r="U1396" s="17">
        <f t="shared" ca="1" si="459"/>
        <v>7</v>
      </c>
      <c r="V1396" s="71" t="str">
        <f t="shared" ca="1" si="460"/>
        <v>—</v>
      </c>
      <c r="W1396" s="17">
        <f t="shared" ca="1" si="461"/>
        <v>7</v>
      </c>
    </row>
    <row r="1397" spans="1:23" x14ac:dyDescent="0.25">
      <c r="A1397" s="4">
        <f t="shared" si="441"/>
        <v>32</v>
      </c>
      <c r="B1397" t="str">
        <f ca="1">TEXT(DATE(YEAR(Invoer!$A$6),1,1)+INT((ROWS(B$2:B1397)-1)/4),"jjjjmmdd")</f>
        <v>19401214</v>
      </c>
      <c r="C1397" s="64" t="str">
        <f>IF(MOD(ROWS(C$2:C1397)-1,4)=3,"24.00",INDEX(Data,3,2+MOD(ROWS(C$2:C1397)-1,4)))</f>
        <v>24.00</v>
      </c>
      <c r="D1397" s="18" t="str">
        <f t="shared" ca="1" si="442"/>
        <v>—</v>
      </c>
      <c r="E1397" s="17">
        <f t="shared" ca="1" si="443"/>
        <v>7</v>
      </c>
      <c r="F1397" s="18" t="str">
        <f t="shared" ca="1" si="444"/>
        <v>—</v>
      </c>
      <c r="G1397" s="17">
        <f t="shared" ca="1" si="445"/>
        <v>7</v>
      </c>
      <c r="H1397" s="18" t="str">
        <f t="shared" ca="1" si="446"/>
        <v>—</v>
      </c>
      <c r="I1397" s="17">
        <f t="shared" ca="1" si="447"/>
        <v>7</v>
      </c>
      <c r="J1397" s="18" t="str">
        <f t="shared" ca="1" si="448"/>
        <v>—</v>
      </c>
      <c r="K1397" s="17">
        <f t="shared" ca="1" si="449"/>
        <v>7</v>
      </c>
      <c r="L1397" s="10" t="str">
        <f t="shared" ca="1" si="450"/>
        <v>—</v>
      </c>
      <c r="M1397" s="17">
        <f t="shared" ca="1" si="451"/>
        <v>7</v>
      </c>
      <c r="N1397" s="18" t="str">
        <f t="shared" ca="1" si="452"/>
        <v>—</v>
      </c>
      <c r="O1397" s="17">
        <f t="shared" ca="1" si="453"/>
        <v>7</v>
      </c>
      <c r="P1397" s="18" t="str">
        <f t="shared" ca="1" si="454"/>
        <v>—</v>
      </c>
      <c r="Q1397" s="17">
        <f t="shared" ca="1" si="455"/>
        <v>7</v>
      </c>
      <c r="R1397" s="10" t="str">
        <f t="shared" ca="1" si="456"/>
        <v>—</v>
      </c>
      <c r="S1397" s="17">
        <f t="shared" ca="1" si="457"/>
        <v>7</v>
      </c>
      <c r="T1397" s="70" t="str">
        <f t="shared" ca="1" si="458"/>
        <v>—</v>
      </c>
      <c r="U1397" s="17">
        <f t="shared" ca="1" si="459"/>
        <v>7</v>
      </c>
      <c r="V1397" s="71" t="str">
        <f t="shared" ca="1" si="460"/>
        <v>—</v>
      </c>
      <c r="W1397" s="17">
        <f t="shared" ca="1" si="461"/>
        <v>7</v>
      </c>
    </row>
    <row r="1398" spans="1:23" x14ac:dyDescent="0.25">
      <c r="A1398" s="4">
        <f t="shared" si="441"/>
        <v>32</v>
      </c>
      <c r="B1398" t="str">
        <f ca="1">TEXT(DATE(YEAR(Invoer!$A$6),1,1)+INT((ROWS(B$2:B1398)-1)/4),"jjjjmmdd")</f>
        <v>19401215</v>
      </c>
      <c r="C1398" s="64" t="str">
        <f>IF(MOD(ROWS(C$2:C1398)-1,4)=3,"24.00",INDEX(Data,3,2+MOD(ROWS(C$2:C1398)-1,4)))</f>
        <v>07.00</v>
      </c>
      <c r="D1398" s="18" t="str">
        <f t="shared" ca="1" si="442"/>
        <v>—</v>
      </c>
      <c r="E1398" s="17">
        <f t="shared" ca="1" si="443"/>
        <v>7</v>
      </c>
      <c r="F1398" s="18" t="str">
        <f t="shared" ca="1" si="444"/>
        <v>—</v>
      </c>
      <c r="G1398" s="17">
        <f t="shared" ca="1" si="445"/>
        <v>7</v>
      </c>
      <c r="H1398" s="18" t="str">
        <f t="shared" ca="1" si="446"/>
        <v>—</v>
      </c>
      <c r="I1398" s="17">
        <f t="shared" ca="1" si="447"/>
        <v>7</v>
      </c>
      <c r="J1398" s="18" t="str">
        <f t="shared" ca="1" si="448"/>
        <v>—</v>
      </c>
      <c r="K1398" s="17">
        <f t="shared" ca="1" si="449"/>
        <v>7</v>
      </c>
      <c r="L1398" s="10" t="str">
        <f t="shared" ca="1" si="450"/>
        <v>—</v>
      </c>
      <c r="M1398" s="17">
        <f t="shared" ca="1" si="451"/>
        <v>7</v>
      </c>
      <c r="N1398" s="18" t="str">
        <f t="shared" ca="1" si="452"/>
        <v>—</v>
      </c>
      <c r="O1398" s="17">
        <f t="shared" ca="1" si="453"/>
        <v>7</v>
      </c>
      <c r="P1398" s="18" t="str">
        <f t="shared" ca="1" si="454"/>
        <v>—</v>
      </c>
      <c r="Q1398" s="17">
        <f t="shared" ca="1" si="455"/>
        <v>7</v>
      </c>
      <c r="R1398" s="10" t="str">
        <f t="shared" ca="1" si="456"/>
        <v>—</v>
      </c>
      <c r="S1398" s="17">
        <f t="shared" ca="1" si="457"/>
        <v>7</v>
      </c>
      <c r="T1398" s="70" t="str">
        <f t="shared" ca="1" si="458"/>
        <v>—</v>
      </c>
      <c r="U1398" s="17">
        <f t="shared" ca="1" si="459"/>
        <v>7</v>
      </c>
      <c r="V1398" s="71" t="str">
        <f t="shared" ca="1" si="460"/>
        <v>—</v>
      </c>
      <c r="W1398" s="17">
        <f t="shared" ca="1" si="461"/>
        <v>7</v>
      </c>
    </row>
    <row r="1399" spans="1:23" x14ac:dyDescent="0.25">
      <c r="A1399" s="4">
        <f t="shared" si="441"/>
        <v>32</v>
      </c>
      <c r="B1399" t="str">
        <f ca="1">TEXT(DATE(YEAR(Invoer!$A$6),1,1)+INT((ROWS(B$2:B1399)-1)/4),"jjjjmmdd")</f>
        <v>19401215</v>
      </c>
      <c r="C1399" s="64" t="str">
        <f>IF(MOD(ROWS(C$2:C1399)-1,4)=3,"24.00",INDEX(Data,3,2+MOD(ROWS(C$2:C1399)-1,4)))</f>
        <v>12.00</v>
      </c>
      <c r="D1399" s="18" t="str">
        <f t="shared" ca="1" si="442"/>
        <v>—</v>
      </c>
      <c r="E1399" s="17">
        <f t="shared" ca="1" si="443"/>
        <v>7</v>
      </c>
      <c r="F1399" s="18" t="str">
        <f t="shared" ca="1" si="444"/>
        <v>—</v>
      </c>
      <c r="G1399" s="17">
        <f t="shared" ca="1" si="445"/>
        <v>7</v>
      </c>
      <c r="H1399" s="18" t="str">
        <f t="shared" ca="1" si="446"/>
        <v>—</v>
      </c>
      <c r="I1399" s="17">
        <f t="shared" ca="1" si="447"/>
        <v>7</v>
      </c>
      <c r="J1399" s="18" t="str">
        <f t="shared" ca="1" si="448"/>
        <v>—</v>
      </c>
      <c r="K1399" s="17">
        <f t="shared" ca="1" si="449"/>
        <v>7</v>
      </c>
      <c r="L1399" s="10" t="str">
        <f t="shared" ca="1" si="450"/>
        <v>—</v>
      </c>
      <c r="M1399" s="17">
        <f t="shared" ca="1" si="451"/>
        <v>7</v>
      </c>
      <c r="N1399" s="18" t="str">
        <f t="shared" ca="1" si="452"/>
        <v>—</v>
      </c>
      <c r="O1399" s="17">
        <f t="shared" ca="1" si="453"/>
        <v>7</v>
      </c>
      <c r="P1399" s="18" t="str">
        <f t="shared" ca="1" si="454"/>
        <v>—</v>
      </c>
      <c r="Q1399" s="17">
        <f t="shared" ca="1" si="455"/>
        <v>7</v>
      </c>
      <c r="R1399" s="10" t="str">
        <f t="shared" ca="1" si="456"/>
        <v>—</v>
      </c>
      <c r="S1399" s="17">
        <f t="shared" ca="1" si="457"/>
        <v>7</v>
      </c>
      <c r="T1399" s="70" t="str">
        <f t="shared" ca="1" si="458"/>
        <v>—</v>
      </c>
      <c r="U1399" s="17">
        <f t="shared" ca="1" si="459"/>
        <v>7</v>
      </c>
      <c r="V1399" s="71" t="str">
        <f t="shared" ca="1" si="460"/>
        <v>—</v>
      </c>
      <c r="W1399" s="17">
        <f t="shared" ca="1" si="461"/>
        <v>7</v>
      </c>
    </row>
    <row r="1400" spans="1:23" x14ac:dyDescent="0.25">
      <c r="A1400" s="4">
        <f t="shared" si="441"/>
        <v>32</v>
      </c>
      <c r="B1400" t="str">
        <f ca="1">TEXT(DATE(YEAR(Invoer!$A$6),1,1)+INT((ROWS(B$2:B1400)-1)/4),"jjjjmmdd")</f>
        <v>19401215</v>
      </c>
      <c r="C1400" s="64" t="str">
        <f>IF(MOD(ROWS(C$2:C1400)-1,4)=3,"24.00",INDEX(Data,3,2+MOD(ROWS(C$2:C1400)-1,4)))</f>
        <v>17.00</v>
      </c>
      <c r="D1400" s="18" t="str">
        <f t="shared" ca="1" si="442"/>
        <v>—</v>
      </c>
      <c r="E1400" s="17">
        <f t="shared" ca="1" si="443"/>
        <v>7</v>
      </c>
      <c r="F1400" s="18" t="str">
        <f t="shared" ca="1" si="444"/>
        <v>—</v>
      </c>
      <c r="G1400" s="17">
        <f t="shared" ca="1" si="445"/>
        <v>7</v>
      </c>
      <c r="H1400" s="18" t="str">
        <f t="shared" ca="1" si="446"/>
        <v>—</v>
      </c>
      <c r="I1400" s="17">
        <f t="shared" ca="1" si="447"/>
        <v>7</v>
      </c>
      <c r="J1400" s="18" t="str">
        <f t="shared" ca="1" si="448"/>
        <v>—</v>
      </c>
      <c r="K1400" s="17">
        <f t="shared" ca="1" si="449"/>
        <v>7</v>
      </c>
      <c r="L1400" s="10" t="str">
        <f t="shared" ca="1" si="450"/>
        <v>—</v>
      </c>
      <c r="M1400" s="17">
        <f t="shared" ca="1" si="451"/>
        <v>7</v>
      </c>
      <c r="N1400" s="18" t="str">
        <f t="shared" ca="1" si="452"/>
        <v>—</v>
      </c>
      <c r="O1400" s="17">
        <f t="shared" ca="1" si="453"/>
        <v>7</v>
      </c>
      <c r="P1400" s="18" t="str">
        <f t="shared" ca="1" si="454"/>
        <v>—</v>
      </c>
      <c r="Q1400" s="17">
        <f t="shared" ca="1" si="455"/>
        <v>7</v>
      </c>
      <c r="R1400" s="10" t="str">
        <f t="shared" ca="1" si="456"/>
        <v>—</v>
      </c>
      <c r="S1400" s="17">
        <f t="shared" ca="1" si="457"/>
        <v>7</v>
      </c>
      <c r="T1400" s="70" t="str">
        <f t="shared" ca="1" si="458"/>
        <v>—</v>
      </c>
      <c r="U1400" s="17">
        <f t="shared" ca="1" si="459"/>
        <v>7</v>
      </c>
      <c r="V1400" s="71" t="str">
        <f t="shared" ca="1" si="460"/>
        <v>—</v>
      </c>
      <c r="W1400" s="17">
        <f t="shared" ca="1" si="461"/>
        <v>7</v>
      </c>
    </row>
    <row r="1401" spans="1:23" x14ac:dyDescent="0.25">
      <c r="A1401" s="4">
        <f t="shared" si="441"/>
        <v>32</v>
      </c>
      <c r="B1401" t="str">
        <f ca="1">TEXT(DATE(YEAR(Invoer!$A$6),1,1)+INT((ROWS(B$2:B1401)-1)/4),"jjjjmmdd")</f>
        <v>19401215</v>
      </c>
      <c r="C1401" s="64" t="str">
        <f>IF(MOD(ROWS(C$2:C1401)-1,4)=3,"24.00",INDEX(Data,3,2+MOD(ROWS(C$2:C1401)-1,4)))</f>
        <v>24.00</v>
      </c>
      <c r="D1401" s="18" t="str">
        <f t="shared" ca="1" si="442"/>
        <v>—</v>
      </c>
      <c r="E1401" s="17">
        <f t="shared" ca="1" si="443"/>
        <v>7</v>
      </c>
      <c r="F1401" s="18" t="str">
        <f t="shared" ca="1" si="444"/>
        <v>—</v>
      </c>
      <c r="G1401" s="17">
        <f t="shared" ca="1" si="445"/>
        <v>7</v>
      </c>
      <c r="H1401" s="18" t="str">
        <f t="shared" ca="1" si="446"/>
        <v>—</v>
      </c>
      <c r="I1401" s="17">
        <f t="shared" ca="1" si="447"/>
        <v>7</v>
      </c>
      <c r="J1401" s="18" t="str">
        <f t="shared" ca="1" si="448"/>
        <v>—</v>
      </c>
      <c r="K1401" s="17">
        <f t="shared" ca="1" si="449"/>
        <v>7</v>
      </c>
      <c r="L1401" s="10" t="str">
        <f t="shared" ca="1" si="450"/>
        <v>—</v>
      </c>
      <c r="M1401" s="17">
        <f t="shared" ca="1" si="451"/>
        <v>7</v>
      </c>
      <c r="N1401" s="18" t="str">
        <f t="shared" ca="1" si="452"/>
        <v>—</v>
      </c>
      <c r="O1401" s="17">
        <f t="shared" ca="1" si="453"/>
        <v>7</v>
      </c>
      <c r="P1401" s="18" t="str">
        <f t="shared" ca="1" si="454"/>
        <v>—</v>
      </c>
      <c r="Q1401" s="17">
        <f t="shared" ca="1" si="455"/>
        <v>7</v>
      </c>
      <c r="R1401" s="10" t="str">
        <f t="shared" ca="1" si="456"/>
        <v>—</v>
      </c>
      <c r="S1401" s="17">
        <f t="shared" ca="1" si="457"/>
        <v>7</v>
      </c>
      <c r="T1401" s="70" t="str">
        <f t="shared" ca="1" si="458"/>
        <v>—</v>
      </c>
      <c r="U1401" s="17">
        <f t="shared" ca="1" si="459"/>
        <v>7</v>
      </c>
      <c r="V1401" s="71" t="str">
        <f t="shared" ca="1" si="460"/>
        <v>—</v>
      </c>
      <c r="W1401" s="17">
        <f t="shared" ca="1" si="461"/>
        <v>7</v>
      </c>
    </row>
    <row r="1402" spans="1:23" x14ac:dyDescent="0.25">
      <c r="A1402" s="4">
        <f t="shared" si="441"/>
        <v>32</v>
      </c>
      <c r="B1402" t="str">
        <f ca="1">TEXT(DATE(YEAR(Invoer!$A$6),1,1)+INT((ROWS(B$2:B1402)-1)/4),"jjjjmmdd")</f>
        <v>19401216</v>
      </c>
      <c r="C1402" s="64" t="str">
        <f>IF(MOD(ROWS(C$2:C1402)-1,4)=3,"24.00",INDEX(Data,3,2+MOD(ROWS(C$2:C1402)-1,4)))</f>
        <v>07.00</v>
      </c>
      <c r="D1402" s="18" t="str">
        <f t="shared" ca="1" si="442"/>
        <v>—</v>
      </c>
      <c r="E1402" s="17">
        <f t="shared" ca="1" si="443"/>
        <v>7</v>
      </c>
      <c r="F1402" s="18" t="str">
        <f t="shared" ca="1" si="444"/>
        <v>—</v>
      </c>
      <c r="G1402" s="17">
        <f t="shared" ca="1" si="445"/>
        <v>7</v>
      </c>
      <c r="H1402" s="18" t="str">
        <f t="shared" ca="1" si="446"/>
        <v>—</v>
      </c>
      <c r="I1402" s="17">
        <f t="shared" ca="1" si="447"/>
        <v>7</v>
      </c>
      <c r="J1402" s="18" t="str">
        <f t="shared" ca="1" si="448"/>
        <v>—</v>
      </c>
      <c r="K1402" s="17">
        <f t="shared" ca="1" si="449"/>
        <v>7</v>
      </c>
      <c r="L1402" s="10" t="str">
        <f t="shared" ca="1" si="450"/>
        <v>—</v>
      </c>
      <c r="M1402" s="17">
        <f t="shared" ca="1" si="451"/>
        <v>7</v>
      </c>
      <c r="N1402" s="18" t="str">
        <f t="shared" ca="1" si="452"/>
        <v>—</v>
      </c>
      <c r="O1402" s="17">
        <f t="shared" ca="1" si="453"/>
        <v>7</v>
      </c>
      <c r="P1402" s="18" t="str">
        <f t="shared" ca="1" si="454"/>
        <v>—</v>
      </c>
      <c r="Q1402" s="17">
        <f t="shared" ca="1" si="455"/>
        <v>7</v>
      </c>
      <c r="R1402" s="10" t="str">
        <f t="shared" ca="1" si="456"/>
        <v>—</v>
      </c>
      <c r="S1402" s="17">
        <f t="shared" ca="1" si="457"/>
        <v>7</v>
      </c>
      <c r="T1402" s="70" t="str">
        <f t="shared" ca="1" si="458"/>
        <v>—</v>
      </c>
      <c r="U1402" s="17">
        <f t="shared" ca="1" si="459"/>
        <v>7</v>
      </c>
      <c r="V1402" s="71" t="str">
        <f t="shared" ca="1" si="460"/>
        <v>—</v>
      </c>
      <c r="W1402" s="17">
        <f t="shared" ca="1" si="461"/>
        <v>7</v>
      </c>
    </row>
    <row r="1403" spans="1:23" x14ac:dyDescent="0.25">
      <c r="A1403" s="4">
        <f t="shared" si="441"/>
        <v>32</v>
      </c>
      <c r="B1403" t="str">
        <f ca="1">TEXT(DATE(YEAR(Invoer!$A$6),1,1)+INT((ROWS(B$2:B1403)-1)/4),"jjjjmmdd")</f>
        <v>19401216</v>
      </c>
      <c r="C1403" s="64" t="str">
        <f>IF(MOD(ROWS(C$2:C1403)-1,4)=3,"24.00",INDEX(Data,3,2+MOD(ROWS(C$2:C1403)-1,4)))</f>
        <v>12.00</v>
      </c>
      <c r="D1403" s="18" t="str">
        <f t="shared" ca="1" si="442"/>
        <v>—</v>
      </c>
      <c r="E1403" s="17">
        <f t="shared" ca="1" si="443"/>
        <v>7</v>
      </c>
      <c r="F1403" s="18" t="str">
        <f t="shared" ca="1" si="444"/>
        <v>—</v>
      </c>
      <c r="G1403" s="17">
        <f t="shared" ca="1" si="445"/>
        <v>7</v>
      </c>
      <c r="H1403" s="18" t="str">
        <f t="shared" ca="1" si="446"/>
        <v>—</v>
      </c>
      <c r="I1403" s="17">
        <f t="shared" ca="1" si="447"/>
        <v>7</v>
      </c>
      <c r="J1403" s="18" t="str">
        <f t="shared" ca="1" si="448"/>
        <v>—</v>
      </c>
      <c r="K1403" s="17">
        <f t="shared" ca="1" si="449"/>
        <v>7</v>
      </c>
      <c r="L1403" s="10" t="str">
        <f t="shared" ca="1" si="450"/>
        <v>—</v>
      </c>
      <c r="M1403" s="17">
        <f t="shared" ca="1" si="451"/>
        <v>7</v>
      </c>
      <c r="N1403" s="18" t="str">
        <f t="shared" ca="1" si="452"/>
        <v>—</v>
      </c>
      <c r="O1403" s="17">
        <f t="shared" ca="1" si="453"/>
        <v>7</v>
      </c>
      <c r="P1403" s="18" t="str">
        <f t="shared" ca="1" si="454"/>
        <v>—</v>
      </c>
      <c r="Q1403" s="17">
        <f t="shared" ca="1" si="455"/>
        <v>7</v>
      </c>
      <c r="R1403" s="10" t="str">
        <f t="shared" ca="1" si="456"/>
        <v>—</v>
      </c>
      <c r="S1403" s="17">
        <f t="shared" ca="1" si="457"/>
        <v>7</v>
      </c>
      <c r="T1403" s="70" t="str">
        <f t="shared" ca="1" si="458"/>
        <v>—</v>
      </c>
      <c r="U1403" s="17">
        <f t="shared" ca="1" si="459"/>
        <v>7</v>
      </c>
      <c r="V1403" s="71" t="str">
        <f t="shared" ca="1" si="460"/>
        <v>—</v>
      </c>
      <c r="W1403" s="17">
        <f t="shared" ca="1" si="461"/>
        <v>7</v>
      </c>
    </row>
    <row r="1404" spans="1:23" x14ac:dyDescent="0.25">
      <c r="A1404" s="4">
        <f t="shared" si="441"/>
        <v>32</v>
      </c>
      <c r="B1404" t="str">
        <f ca="1">TEXT(DATE(YEAR(Invoer!$A$6),1,1)+INT((ROWS(B$2:B1404)-1)/4),"jjjjmmdd")</f>
        <v>19401216</v>
      </c>
      <c r="C1404" s="64" t="str">
        <f>IF(MOD(ROWS(C$2:C1404)-1,4)=3,"24.00",INDEX(Data,3,2+MOD(ROWS(C$2:C1404)-1,4)))</f>
        <v>17.00</v>
      </c>
      <c r="D1404" s="18" t="str">
        <f t="shared" ca="1" si="442"/>
        <v>—</v>
      </c>
      <c r="E1404" s="17">
        <f t="shared" ca="1" si="443"/>
        <v>7</v>
      </c>
      <c r="F1404" s="18" t="str">
        <f t="shared" ca="1" si="444"/>
        <v>—</v>
      </c>
      <c r="G1404" s="17">
        <f t="shared" ca="1" si="445"/>
        <v>7</v>
      </c>
      <c r="H1404" s="18" t="str">
        <f t="shared" ca="1" si="446"/>
        <v>—</v>
      </c>
      <c r="I1404" s="17">
        <f t="shared" ca="1" si="447"/>
        <v>7</v>
      </c>
      <c r="J1404" s="18" t="str">
        <f t="shared" ca="1" si="448"/>
        <v>—</v>
      </c>
      <c r="K1404" s="17">
        <f t="shared" ca="1" si="449"/>
        <v>7</v>
      </c>
      <c r="L1404" s="10" t="str">
        <f t="shared" ca="1" si="450"/>
        <v>—</v>
      </c>
      <c r="M1404" s="17">
        <f t="shared" ca="1" si="451"/>
        <v>7</v>
      </c>
      <c r="N1404" s="18" t="str">
        <f t="shared" ca="1" si="452"/>
        <v>—</v>
      </c>
      <c r="O1404" s="17">
        <f t="shared" ca="1" si="453"/>
        <v>7</v>
      </c>
      <c r="P1404" s="18" t="str">
        <f t="shared" ca="1" si="454"/>
        <v>—</v>
      </c>
      <c r="Q1404" s="17">
        <f t="shared" ca="1" si="455"/>
        <v>7</v>
      </c>
      <c r="R1404" s="10" t="str">
        <f t="shared" ca="1" si="456"/>
        <v>—</v>
      </c>
      <c r="S1404" s="17">
        <f t="shared" ca="1" si="457"/>
        <v>7</v>
      </c>
      <c r="T1404" s="70" t="str">
        <f t="shared" ca="1" si="458"/>
        <v>—</v>
      </c>
      <c r="U1404" s="17">
        <f t="shared" ca="1" si="459"/>
        <v>7</v>
      </c>
      <c r="V1404" s="71" t="str">
        <f t="shared" ca="1" si="460"/>
        <v>—</v>
      </c>
      <c r="W1404" s="17">
        <f t="shared" ca="1" si="461"/>
        <v>7</v>
      </c>
    </row>
    <row r="1405" spans="1:23" x14ac:dyDescent="0.25">
      <c r="A1405" s="4">
        <f t="shared" si="441"/>
        <v>32</v>
      </c>
      <c r="B1405" t="str">
        <f ca="1">TEXT(DATE(YEAR(Invoer!$A$6),1,1)+INT((ROWS(B$2:B1405)-1)/4),"jjjjmmdd")</f>
        <v>19401216</v>
      </c>
      <c r="C1405" s="64" t="str">
        <f>IF(MOD(ROWS(C$2:C1405)-1,4)=3,"24.00",INDEX(Data,3,2+MOD(ROWS(C$2:C1405)-1,4)))</f>
        <v>24.00</v>
      </c>
      <c r="D1405" s="18" t="str">
        <f t="shared" ca="1" si="442"/>
        <v>—</v>
      </c>
      <c r="E1405" s="17">
        <f t="shared" ca="1" si="443"/>
        <v>7</v>
      </c>
      <c r="F1405" s="18" t="str">
        <f t="shared" ca="1" si="444"/>
        <v>—</v>
      </c>
      <c r="G1405" s="17">
        <f t="shared" ca="1" si="445"/>
        <v>7</v>
      </c>
      <c r="H1405" s="18" t="str">
        <f t="shared" ca="1" si="446"/>
        <v>—</v>
      </c>
      <c r="I1405" s="17">
        <f t="shared" ca="1" si="447"/>
        <v>7</v>
      </c>
      <c r="J1405" s="18" t="str">
        <f t="shared" ca="1" si="448"/>
        <v>—</v>
      </c>
      <c r="K1405" s="17">
        <f t="shared" ca="1" si="449"/>
        <v>7</v>
      </c>
      <c r="L1405" s="10" t="str">
        <f t="shared" ca="1" si="450"/>
        <v>—</v>
      </c>
      <c r="M1405" s="17">
        <f t="shared" ca="1" si="451"/>
        <v>7</v>
      </c>
      <c r="N1405" s="18" t="str">
        <f t="shared" ca="1" si="452"/>
        <v>—</v>
      </c>
      <c r="O1405" s="17">
        <f t="shared" ca="1" si="453"/>
        <v>7</v>
      </c>
      <c r="P1405" s="18" t="str">
        <f t="shared" ca="1" si="454"/>
        <v>—</v>
      </c>
      <c r="Q1405" s="17">
        <f t="shared" ca="1" si="455"/>
        <v>7</v>
      </c>
      <c r="R1405" s="10" t="str">
        <f t="shared" ca="1" si="456"/>
        <v>—</v>
      </c>
      <c r="S1405" s="17">
        <f t="shared" ca="1" si="457"/>
        <v>7</v>
      </c>
      <c r="T1405" s="70" t="str">
        <f t="shared" ca="1" si="458"/>
        <v>—</v>
      </c>
      <c r="U1405" s="17">
        <f t="shared" ca="1" si="459"/>
        <v>7</v>
      </c>
      <c r="V1405" s="71" t="str">
        <f t="shared" ca="1" si="460"/>
        <v>—</v>
      </c>
      <c r="W1405" s="17">
        <f t="shared" ca="1" si="461"/>
        <v>7</v>
      </c>
    </row>
    <row r="1406" spans="1:23" x14ac:dyDescent="0.25">
      <c r="A1406" s="4">
        <f t="shared" si="441"/>
        <v>32</v>
      </c>
      <c r="B1406" t="str">
        <f ca="1">TEXT(DATE(YEAR(Invoer!$A$6),1,1)+INT((ROWS(B$2:B1406)-1)/4),"jjjjmmdd")</f>
        <v>19401217</v>
      </c>
      <c r="C1406" s="64" t="str">
        <f>IF(MOD(ROWS(C$2:C1406)-1,4)=3,"24.00",INDEX(Data,3,2+MOD(ROWS(C$2:C1406)-1,4)))</f>
        <v>07.00</v>
      </c>
      <c r="D1406" s="18" t="str">
        <f t="shared" ca="1" si="442"/>
        <v>—</v>
      </c>
      <c r="E1406" s="17">
        <f t="shared" ca="1" si="443"/>
        <v>7</v>
      </c>
      <c r="F1406" s="18" t="str">
        <f t="shared" ca="1" si="444"/>
        <v>—</v>
      </c>
      <c r="G1406" s="17">
        <f t="shared" ca="1" si="445"/>
        <v>7</v>
      </c>
      <c r="H1406" s="18" t="str">
        <f t="shared" ca="1" si="446"/>
        <v>—</v>
      </c>
      <c r="I1406" s="17">
        <f t="shared" ca="1" si="447"/>
        <v>7</v>
      </c>
      <c r="J1406" s="18" t="str">
        <f t="shared" ca="1" si="448"/>
        <v>—</v>
      </c>
      <c r="K1406" s="17">
        <f t="shared" ca="1" si="449"/>
        <v>7</v>
      </c>
      <c r="L1406" s="10" t="str">
        <f t="shared" ca="1" si="450"/>
        <v>—</v>
      </c>
      <c r="M1406" s="17">
        <f t="shared" ca="1" si="451"/>
        <v>7</v>
      </c>
      <c r="N1406" s="18" t="str">
        <f t="shared" ca="1" si="452"/>
        <v>—</v>
      </c>
      <c r="O1406" s="17">
        <f t="shared" ca="1" si="453"/>
        <v>7</v>
      </c>
      <c r="P1406" s="18" t="str">
        <f t="shared" ca="1" si="454"/>
        <v>—</v>
      </c>
      <c r="Q1406" s="17">
        <f t="shared" ca="1" si="455"/>
        <v>7</v>
      </c>
      <c r="R1406" s="10" t="str">
        <f t="shared" ca="1" si="456"/>
        <v>—</v>
      </c>
      <c r="S1406" s="17">
        <f t="shared" ca="1" si="457"/>
        <v>7</v>
      </c>
      <c r="T1406" s="70" t="str">
        <f t="shared" ca="1" si="458"/>
        <v>—</v>
      </c>
      <c r="U1406" s="17">
        <f t="shared" ca="1" si="459"/>
        <v>7</v>
      </c>
      <c r="V1406" s="71" t="str">
        <f t="shared" ca="1" si="460"/>
        <v>—</v>
      </c>
      <c r="W1406" s="17">
        <f t="shared" ca="1" si="461"/>
        <v>7</v>
      </c>
    </row>
    <row r="1407" spans="1:23" x14ac:dyDescent="0.25">
      <c r="A1407" s="4">
        <f t="shared" si="441"/>
        <v>32</v>
      </c>
      <c r="B1407" t="str">
        <f ca="1">TEXT(DATE(YEAR(Invoer!$A$6),1,1)+INT((ROWS(B$2:B1407)-1)/4),"jjjjmmdd")</f>
        <v>19401217</v>
      </c>
      <c r="C1407" s="64" t="str">
        <f>IF(MOD(ROWS(C$2:C1407)-1,4)=3,"24.00",INDEX(Data,3,2+MOD(ROWS(C$2:C1407)-1,4)))</f>
        <v>12.00</v>
      </c>
      <c r="D1407" s="18" t="str">
        <f t="shared" ca="1" si="442"/>
        <v>—</v>
      </c>
      <c r="E1407" s="17">
        <f t="shared" ca="1" si="443"/>
        <v>7</v>
      </c>
      <c r="F1407" s="18" t="str">
        <f t="shared" ca="1" si="444"/>
        <v>—</v>
      </c>
      <c r="G1407" s="17">
        <f t="shared" ca="1" si="445"/>
        <v>7</v>
      </c>
      <c r="H1407" s="18" t="str">
        <f t="shared" ca="1" si="446"/>
        <v>—</v>
      </c>
      <c r="I1407" s="17">
        <f t="shared" ca="1" si="447"/>
        <v>7</v>
      </c>
      <c r="J1407" s="18" t="str">
        <f t="shared" ca="1" si="448"/>
        <v>—</v>
      </c>
      <c r="K1407" s="17">
        <f t="shared" ca="1" si="449"/>
        <v>7</v>
      </c>
      <c r="L1407" s="10" t="str">
        <f t="shared" ca="1" si="450"/>
        <v>—</v>
      </c>
      <c r="M1407" s="17">
        <f t="shared" ca="1" si="451"/>
        <v>7</v>
      </c>
      <c r="N1407" s="18" t="str">
        <f t="shared" ca="1" si="452"/>
        <v>—</v>
      </c>
      <c r="O1407" s="17">
        <f t="shared" ca="1" si="453"/>
        <v>7</v>
      </c>
      <c r="P1407" s="18" t="str">
        <f t="shared" ca="1" si="454"/>
        <v>—</v>
      </c>
      <c r="Q1407" s="17">
        <f t="shared" ca="1" si="455"/>
        <v>7</v>
      </c>
      <c r="R1407" s="10" t="str">
        <f t="shared" ca="1" si="456"/>
        <v>—</v>
      </c>
      <c r="S1407" s="17">
        <f t="shared" ca="1" si="457"/>
        <v>7</v>
      </c>
      <c r="T1407" s="70" t="str">
        <f t="shared" ca="1" si="458"/>
        <v>—</v>
      </c>
      <c r="U1407" s="17">
        <f t="shared" ca="1" si="459"/>
        <v>7</v>
      </c>
      <c r="V1407" s="71" t="str">
        <f t="shared" ca="1" si="460"/>
        <v>—</v>
      </c>
      <c r="W1407" s="17">
        <f t="shared" ca="1" si="461"/>
        <v>7</v>
      </c>
    </row>
    <row r="1408" spans="1:23" x14ac:dyDescent="0.25">
      <c r="A1408" s="4">
        <f t="shared" si="441"/>
        <v>32</v>
      </c>
      <c r="B1408" t="str">
        <f ca="1">TEXT(DATE(YEAR(Invoer!$A$6),1,1)+INT((ROWS(B$2:B1408)-1)/4),"jjjjmmdd")</f>
        <v>19401217</v>
      </c>
      <c r="C1408" s="64" t="str">
        <f>IF(MOD(ROWS(C$2:C1408)-1,4)=3,"24.00",INDEX(Data,3,2+MOD(ROWS(C$2:C1408)-1,4)))</f>
        <v>17.00</v>
      </c>
      <c r="D1408" s="18" t="str">
        <f t="shared" ca="1" si="442"/>
        <v>—</v>
      </c>
      <c r="E1408" s="17">
        <f t="shared" ca="1" si="443"/>
        <v>7</v>
      </c>
      <c r="F1408" s="18" t="str">
        <f t="shared" ca="1" si="444"/>
        <v>—</v>
      </c>
      <c r="G1408" s="17">
        <f t="shared" ca="1" si="445"/>
        <v>7</v>
      </c>
      <c r="H1408" s="18" t="str">
        <f t="shared" ca="1" si="446"/>
        <v>—</v>
      </c>
      <c r="I1408" s="17">
        <f t="shared" ca="1" si="447"/>
        <v>7</v>
      </c>
      <c r="J1408" s="18" t="str">
        <f t="shared" ca="1" si="448"/>
        <v>—</v>
      </c>
      <c r="K1408" s="17">
        <f t="shared" ca="1" si="449"/>
        <v>7</v>
      </c>
      <c r="L1408" s="10" t="str">
        <f t="shared" ca="1" si="450"/>
        <v>—</v>
      </c>
      <c r="M1408" s="17">
        <f t="shared" ca="1" si="451"/>
        <v>7</v>
      </c>
      <c r="N1408" s="18" t="str">
        <f t="shared" ca="1" si="452"/>
        <v>—</v>
      </c>
      <c r="O1408" s="17">
        <f t="shared" ca="1" si="453"/>
        <v>7</v>
      </c>
      <c r="P1408" s="18" t="str">
        <f t="shared" ca="1" si="454"/>
        <v>—</v>
      </c>
      <c r="Q1408" s="17">
        <f t="shared" ca="1" si="455"/>
        <v>7</v>
      </c>
      <c r="R1408" s="10" t="str">
        <f t="shared" ca="1" si="456"/>
        <v>—</v>
      </c>
      <c r="S1408" s="17">
        <f t="shared" ca="1" si="457"/>
        <v>7</v>
      </c>
      <c r="T1408" s="70" t="str">
        <f t="shared" ca="1" si="458"/>
        <v>—</v>
      </c>
      <c r="U1408" s="17">
        <f t="shared" ca="1" si="459"/>
        <v>7</v>
      </c>
      <c r="V1408" s="71" t="str">
        <f t="shared" ca="1" si="460"/>
        <v>—</v>
      </c>
      <c r="W1408" s="17">
        <f t="shared" ca="1" si="461"/>
        <v>7</v>
      </c>
    </row>
    <row r="1409" spans="1:23" x14ac:dyDescent="0.25">
      <c r="A1409" s="4">
        <f t="shared" si="441"/>
        <v>32</v>
      </c>
      <c r="B1409" t="str">
        <f ca="1">TEXT(DATE(YEAR(Invoer!$A$6),1,1)+INT((ROWS(B$2:B1409)-1)/4),"jjjjmmdd")</f>
        <v>19401217</v>
      </c>
      <c r="C1409" s="64" t="str">
        <f>IF(MOD(ROWS(C$2:C1409)-1,4)=3,"24.00",INDEX(Data,3,2+MOD(ROWS(C$2:C1409)-1,4)))</f>
        <v>24.00</v>
      </c>
      <c r="D1409" s="18" t="str">
        <f t="shared" ca="1" si="442"/>
        <v>—</v>
      </c>
      <c r="E1409" s="17">
        <f t="shared" ca="1" si="443"/>
        <v>7</v>
      </c>
      <c r="F1409" s="18" t="str">
        <f t="shared" ca="1" si="444"/>
        <v>—</v>
      </c>
      <c r="G1409" s="17">
        <f t="shared" ca="1" si="445"/>
        <v>7</v>
      </c>
      <c r="H1409" s="18" t="str">
        <f t="shared" ca="1" si="446"/>
        <v>—</v>
      </c>
      <c r="I1409" s="17">
        <f t="shared" ca="1" si="447"/>
        <v>7</v>
      </c>
      <c r="J1409" s="18" t="str">
        <f t="shared" ca="1" si="448"/>
        <v>—</v>
      </c>
      <c r="K1409" s="17">
        <f t="shared" ca="1" si="449"/>
        <v>7</v>
      </c>
      <c r="L1409" s="10" t="str">
        <f t="shared" ca="1" si="450"/>
        <v>—</v>
      </c>
      <c r="M1409" s="17">
        <f t="shared" ca="1" si="451"/>
        <v>7</v>
      </c>
      <c r="N1409" s="18" t="str">
        <f t="shared" ca="1" si="452"/>
        <v>—</v>
      </c>
      <c r="O1409" s="17">
        <f t="shared" ca="1" si="453"/>
        <v>7</v>
      </c>
      <c r="P1409" s="18" t="str">
        <f t="shared" ca="1" si="454"/>
        <v>—</v>
      </c>
      <c r="Q1409" s="17">
        <f t="shared" ca="1" si="455"/>
        <v>7</v>
      </c>
      <c r="R1409" s="10" t="str">
        <f t="shared" ca="1" si="456"/>
        <v>—</v>
      </c>
      <c r="S1409" s="17">
        <f t="shared" ca="1" si="457"/>
        <v>7</v>
      </c>
      <c r="T1409" s="70" t="str">
        <f t="shared" ca="1" si="458"/>
        <v>—</v>
      </c>
      <c r="U1409" s="17">
        <f t="shared" ca="1" si="459"/>
        <v>7</v>
      </c>
      <c r="V1409" s="71" t="str">
        <f t="shared" ca="1" si="460"/>
        <v>—</v>
      </c>
      <c r="W1409" s="17">
        <f t="shared" ca="1" si="461"/>
        <v>7</v>
      </c>
    </row>
    <row r="1410" spans="1:23" x14ac:dyDescent="0.25">
      <c r="A1410" s="4">
        <f t="shared" ref="A1410:A1465" si="462">INDEX(Stations,2,1)</f>
        <v>32</v>
      </c>
      <c r="B1410" t="str">
        <f ca="1">TEXT(DATE(YEAR(Invoer!$A$6),1,1)+INT((ROWS(B$2:B1410)-1)/4),"jjjjmmdd")</f>
        <v>19401218</v>
      </c>
      <c r="C1410" s="64" t="str">
        <f>IF(MOD(ROWS(C$2:C1410)-1,4)=3,"24.00",INDEX(Data,3,2+MOD(ROWS(C$2:C1410)-1,4)))</f>
        <v>07.00</v>
      </c>
      <c r="D1410" s="18" t="str">
        <f t="shared" ref="D1410:D1465" ca="1" si="463">IF(OR(ISBLANK(VLOOKUP(DATEVALUE(LEFT($B1410,4)&amp;"-"&amp;MID($B1410,5,2)&amp;"-"&amp;RIGHT($B1410,2)),Data,MATCH(LEFT(VLOOKUP(D$1,Parameters,2,FALSE()),4)&amp;"*",OFFSET(Data,0,0,1),0)+MATCH($C1410,OFFSET(Data,2,0,1),0)-2,FALSE())),ISTEXT(VLOOKUP(DATEVALUE(LEFT($B1410,4)&amp;"-"&amp;MID($B1410,5,2)&amp;"-"&amp;RIGHT($B1410,2)),Data,MATCH(LEFT(VLOOKUP(D$1,Parameters,2,FALSE()),4)&amp;"*",OFFSET(Data,0,0,1),0)+MATCH($C1410,OFFSET(Data,2,0,1),0)-2,FALSE())),EXACT($C1410,"24.00")),"—",VLOOKUP(DATEVALUE(LEFT($B1410,4)&amp;"-"&amp;MID($B1410,5,2)&amp;"-"&amp;RIGHT($B1410,2)),Data,MATCH(LEFT(VLOOKUP(D$1,Parameters,2,FALSE()),4)&amp;"*",OFFSET(Data,0,0,1),0)+MATCH($C1410,OFFSET(Data,2,0,1),0)-2,FALSE())/10)</f>
        <v>—</v>
      </c>
      <c r="E1410" s="17">
        <f t="shared" ref="E1410:E1465" ca="1" si="464">IF(OR(ISBLANK(VLOOKUP(DATEVALUE(LEFT($B1410,4)&amp;"-"&amp;MID($B1410,5,2)&amp;"-"&amp;RIGHT($B1410,2)),Data,MATCH(LEFT(VLOOKUP(MID(E$1,2,LEN(E$1)-1),Parameters,2,FALSE()),4)&amp;"*",OFFSET(Data,0,0,1),0)+MATCH($C1410,OFFSET(Data,2,0,1),0)-2,FALSE())),ISTEXT(VLOOKUP(DATEVALUE(LEFT($B1410,4)&amp;"-"&amp;MID($B1410,5,2)&amp;"-"&amp;RIGHT($B1410,2)),Data,MATCH(LEFT(VLOOKUP(MID(E$1,2,LEN(E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Data,2,0,1),0)-2,FALSE())))</f>
        <v>7</v>
      </c>
      <c r="F1410" s="18" t="str">
        <f t="shared" ref="F1410:F1465" ca="1" si="465">IF(OR(ISBLANK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ISTEXT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EXACT($C1410,"24.00")),"—",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/10)</f>
        <v>—</v>
      </c>
      <c r="G1410" s="17">
        <f t="shared" ref="G1410:G1465" ca="1" si="466">IF(OR(ISBLANK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ISTEXT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G$1,2,LEN(G$1)-1),Parameters,2,FALSE()),FIND(LOWER(MID(G$1,2,1)),VLOOKUP(MID(G$1,2,LEN(G$1)-1),Parameters,2,FALSE()),5),4)&amp;"*",OFFSET(Catalogus,0,0,1),0)+2*MATCH($C1410,OFFSET(Catalogus,2,0,1),0)+MATCH(LEFT(VLOOKUP(MID(G$1,2,LEN(G$1)-1),Parameters,2,FALSE()),3)&amp;"*",OFFSET(Catalogus,2,4,1),0)-5,FALSE())))</f>
        <v>7</v>
      </c>
      <c r="H1410" s="18" t="str">
        <f t="shared" ref="H1410:H1465" ca="1" si="467">IF(OR(ISBLANK(VLOOKUP(DATEVALUE(LEFT($B1410,4)&amp;"-"&amp;MID($B1410,5,2)&amp;"-"&amp;RIGHT($B1410,2)),Data,MATCH(LEFT(VLOOKUP(H$1,Parameters,2,FALSE()),4)&amp;"*",OFFSET(Data,1,0,1),0),FALSE())),ISTEXT(VLOOKUP(DATEVALUE(LEFT($B1410,4)&amp;"-"&amp;MID($B1410,5,2)&amp;"-"&amp;RIGHT($B1410,2)),Data,MATCH(LEFT(VLOOKUP(H$1,Parameters,2,FALSE()),4)&amp;"*",OFFSET(Data,1,0,1),0),FALSE())),NOT(EXACT($C1410,"24.00"))),"—",VLOOKUP(DATEVALUE(LEFT($B1410,4)&amp;"-"&amp;MID($B1410,5,2)&amp;"-"&amp;RIGHT($B1410,2)),Data,MATCH(LEFT(VLOOKUP(H$1,Parameters,2,FALSE()),4)&amp;"*",OFFSET(Data,1,0,1),0),FALSE())/10)</f>
        <v>—</v>
      </c>
      <c r="I1410" s="17">
        <f t="shared" ref="I1410:I1465" ca="1" si="468">IF(OR(ISBLANK(VLOOKUP(DATEVALUE(LEFT($B1410,4)&amp;"-"&amp;MID($B1410,5,2)&amp;"-"&amp;RIGHT($B1410,2)),Data,MATCH(LEFT(VLOOKUP(MID(I$1,2,LEN(I$1)-1),Parameters,2,FALSE()),4)&amp;"*",OFFSET(Data,1,0,1),0),FALSE())),ISTEXT(VLOOKUP(DATEVALUE(LEFT($B1410,4)&amp;"-"&amp;MID($B1410,5,2)&amp;"-"&amp;RIGHT($B1410,2)),Data,MATCH(LEFT(VLOOKUP(MID(I$1,2,LEN(I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I$1,2,LEN(I$1)-1),Parameters,2,FALSE()),4)&amp;"*",OFFSET(Catalogus,1,0,1),0),FALSE())))</f>
        <v>7</v>
      </c>
      <c r="J1410" s="18" t="str">
        <f t="shared" ref="J1410:J1465" ca="1" si="469">IF(OR(ISBLANK(VLOOKUP(DATEVALUE(LEFT($B1410,4)&amp;"-"&amp;MID($B1410,5,2)&amp;"-"&amp;RIGHT($B1410,2)),Data,MATCH(LEFT(VLOOKUP(J$1,Parameters,2,FALSE()),4)&amp;"*",OFFSET(Data,1,0,1),0),FALSE())),ISTEXT(VLOOKUP(DATEVALUE(LEFT($B1410,4)&amp;"-"&amp;MID($B1410,5,2)&amp;"-"&amp;RIGHT($B1410,2)),Data,MATCH(LEFT(VLOOKUP(J$1,Parameters,2,FALSE()),4)&amp;"*",OFFSET(Data,1,0,1),0),FALSE())),NOT(EXACT($C1410,"24.00"))),"—",VLOOKUP(DATEVALUE(LEFT($B1410,4)&amp;"-"&amp;MID($B1410,5,2)&amp;"-"&amp;RIGHT($B1410,2)),Data,MATCH(LEFT(VLOOKUP(J$1,Parameters,2,FALSE()),4)&amp;"*",OFFSET(Data,1,0,1),0),FALSE())/10)</f>
        <v>—</v>
      </c>
      <c r="K1410" s="17">
        <f t="shared" ref="K1410:K1465" ca="1" si="470">IF(OR(ISBLANK(VLOOKUP(DATEVALUE(LEFT($B1410,4)&amp;"-"&amp;MID($B1410,5,2)&amp;"-"&amp;RIGHT($B1410,2)),Data,MATCH(LEFT(VLOOKUP(MID(K$1,2,LEN(K$1)-1),Parameters,2,FALSE()),4)&amp;"*",OFFSET(Data,1,0,1),0),FALSE())),ISTEXT(VLOOKUP(DATEVALUE(LEFT($B1410,4)&amp;"-"&amp;MID($B1410,5,2)&amp;"-"&amp;RIGHT($B1410,2)),Data,MATCH(LEFT(VLOOKUP(MID(K$1,2,LEN(K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K$1,2,LEN(K$1)-1),Parameters,2,FALSE()),4)&amp;"*",OFFSET(Catalogus,1,0,1),0),FALSE())))</f>
        <v>7</v>
      </c>
      <c r="L1410" s="10" t="str">
        <f t="shared" ref="L1410:L1465" ca="1" si="471">IF(OR(ISBLANK(VLOOKUP(DATEVALUE(LEFT($B1410,4)&amp;"-"&amp;MID($B1410,5,2)&amp;"-"&amp;RIGHT($B1410,2)),Data,MATCH(LEFT(VLOOKUP(L$1,Parameters,2,FALSE()),4)&amp;"*",OFFSET(Data,0,0,1),0)+MATCH($C1410,OFFSET(Data,2,0,1),0)-2,FALSE())),ISTEXT(VLOOKUP(DATEVALUE(LEFT($B1410,4)&amp;"-"&amp;MID($B1410,5,2)&amp;"-"&amp;RIGHT($B1410,2)),Data,MATCH(LEFT(VLOOKUP(L$1,Parameters,2,FALSE()),4)&amp;"*",OFFSET(Data,0,0,1),0)+MATCH($C1410,OFFSET(Data,2,0,1),0)-2,FALSE())),EXACT($C1410,"24.00")),"—",VLOOKUP(DATEVALUE(LEFT($B1410,4)&amp;"-"&amp;MID($B1410,5,2)&amp;"-"&amp;RIGHT($B1410,2)),Data,MATCH(LEFT(VLOOKUP(L$1,Parameters,2,FALSE()),4)&amp;"*",OFFSET(Data,0,0,1),0)+MATCH($C1410,OFFSET(Data,2,0,1),0)-2,FALSE()))</f>
        <v>—</v>
      </c>
      <c r="M1410" s="17">
        <f t="shared" ref="M1410:M1465" ca="1" si="472">IF(OR(ISBLANK(VLOOKUP(DATEVALUE(LEFT($B1410,4)&amp;"-"&amp;MID($B1410,5,2)&amp;"-"&amp;RIGHT($B1410,2)),Data,MATCH(LEFT(VLOOKUP(MID(M$1,2,LEN(M$1)-1),Parameters,2,FALSE()),4)&amp;"*",OFFSET(Data,0,0,1),0)+MATCH($C1410,OFFSET(Data,2,0,1),0)-2,FALSE())),ISTEXT(VLOOKUP(DATEVALUE(LEFT($B1410,4)&amp;"-"&amp;MID($B1410,5,2)&amp;"-"&amp;RIGHT($B1410,2)),Data,MATCH(LEFT(VLOOKUP(MID(M$1,2,LEN(M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M$1,2,LEN(M$1)-1),Parameters,2,FALSE()),4)&amp;"*",OFFSET(Catalogus,0,0,1),0)+MATCH($C1410,OFFSET(Data,2,0,1),0)-2,FALSE())))</f>
        <v>7</v>
      </c>
      <c r="N1410" s="18" t="str">
        <f t="shared" ref="N1410:N1465" ca="1" si="473">IF(OR(ISBLANK(VLOOKUP(DATEVALUE(LEFT($B1410,4)&amp;"-"&amp;MID($B1410,5,2)&amp;"-"&amp;RIGHT($B1410,2)),Data,MATCH(LEFT(VLOOKUP(N$1,Parameters,2,FALSE()),4)&amp;"*",OFFSET(Data,0,0,1),0)+MATCH($C1410,OFFSET(Data,2,0,1),0)-2,FALSE())),ISTEXT(VLOOKUP(DATEVALUE(LEFT($B1410,4)&amp;"-"&amp;MID($B1410,5,2)&amp;"-"&amp;RIGHT($B1410,2)),Data,MATCH(LEFT(VLOOKUP(N$1,Parameters,2,FALSE()),4)&amp;"*",OFFSET(Data,0,0,1),0)+MATCH($C1410,OFFSET(Data,2,0,1),0)-2,FALSE())),EXACT($C1410,"24.00")),"—",VLOOKUP(DATEVALUE(LEFT($B1410,4)&amp;"-"&amp;MID($B1410,5,2)&amp;"-"&amp;RIGHT($B1410,2)),Data,MATCH(LEFT(VLOOKUP(N$1,Parameters,2,FALSE()),4)&amp;"*",OFFSET(Data,0,0,1),0)+MATCH($C1410,OFFSET(Data,2,0,1),0)-2,FALSE())/10)</f>
        <v>—</v>
      </c>
      <c r="O1410" s="17">
        <f t="shared" ref="O1410:O1465" ca="1" si="474">IF(OR(ISBLANK(VLOOKUP(DATEVALUE(LEFT($B1410,4)&amp;"-"&amp;MID($B1410,5,2)&amp;"-"&amp;RIGHT($B1410,2)),Data,MATCH(LEFT(VLOOKUP(MID(O$1,2,LEN(O$1)-1),Parameters,2,FALSE()),4)&amp;"*",OFFSET(Data,0,0,1),0)+MATCH($C1410,OFFSET(Data,2,0,1),0)-2,FALSE())),ISTEXT(VLOOKUP(DATEVALUE(LEFT($B1410,4)&amp;"-"&amp;MID($B1410,5,2)&amp;"-"&amp;RIGHT($B1410,2)),Data,MATCH(LEFT(VLOOKUP(MID(O$1,2,LEN(O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O$1,2,LEN(O$1)-1),Parameters,2,FALSE()),4)&amp;"*",OFFSET(Catalogus,0,0,1),0)+MATCH($C1410,OFFSET(Data,2,0,1),0)-2,FALSE())))</f>
        <v>7</v>
      </c>
      <c r="P1410" s="18" t="str">
        <f t="shared" ref="P1410:P1465" ca="1" si="475">IF(OR(ISBLANK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ISTEXT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EXACT($C1410,"24.00")),"—",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/10)</f>
        <v>—</v>
      </c>
      <c r="Q1410" s="17">
        <f t="shared" ref="Q1410:Q1465" ca="1" si="476">IF(OR(ISBLANK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ISTEXT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Q$1,2,LEN(Q$1)-1),Parameters,2,FALSE()),FIND(LOWER(MID(Q$1,2,1)),VLOOKUP(MID(Q$1,2,LEN(Q$1)-1),Parameters,2,FALSE()),5),4)&amp;"*",OFFSET(Catalogus,0,0,1),0)+2*MATCH($C1410,OFFSET(Catalogus,2,0,1),0)+MATCH(LEFT(VLOOKUP(MID(Q$1,2,LEN(Q$1)-1),Parameters,2,FALSE()),3)&amp;"*",OFFSET(Catalogus,2,4,1),0)-5,FALSE())))</f>
        <v>7</v>
      </c>
      <c r="R1410" s="10" t="str">
        <f t="shared" ref="R1410:R1465" ca="1" si="477">IF(OR(ISBLANK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),ISNA(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1,1,,1),0)),EXACT($C1410,"24.00")),"—",INDEX(Windrichting,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0,1,,1),0),1))</f>
        <v>—</v>
      </c>
      <c r="S1410" s="17">
        <f t="shared" ref="S1410:S1465" ca="1" si="478">IF(OR(ISBLANK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),ISNA(MATCH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,OFFSET(Windrichting,1,1,,1),0)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S$1,2,LEN(S$1)-1),Parameters,2,FALSE()),4)&amp;"*",OFFSET(Catalogus,0,0,1),0)+2*MATCH($C1410,OFFSET(Catalogus,2,0,1),0)+MATCH(MID(VLOOKUP(MID(S$1,2,LEN(S$1)-1),Parameters,2,FALSE()),5,LEN(VLOOKUP(MID(S$1,2,LEN(S$1)-1),Parameters,2,FALSE()))-4)&amp;"*",OFFSET(Catalogus,2,19,1),0)-5,FALSE())))</f>
        <v>7</v>
      </c>
      <c r="T1410" s="70" t="str">
        <f t="shared" ref="T1410:T1465" ca="1" si="479">IF(OR(ISBLANK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ISTEXT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EXACT($C1410,"24.00")),"—",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/10)</f>
        <v>—</v>
      </c>
      <c r="U1410" s="17">
        <f t="shared" ref="U1410:U1465" ca="1" si="480">IF(OR(ISBLANK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ISTEXT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U$1,2,LEN(U$1)-1),Parameters,2,FALSE()),4)&amp;"*",OFFSET(Catalogus,0,0,1),0)+2*MATCH($C1410,OFFSET(Catalogus,2,0,1),0)+MATCH(MID(VLOOKUP(MID(U$1,2,LEN(U$1)-1),Parameters,2,FALSE()),5,LEN(VLOOKUP(MID(U$1,2,LEN(U$1)-1),Parameters,2,FALSE()))-4)&amp;"*",OFFSET(Catalogus,2,19,1),0)-5,FALSE())))</f>
        <v>7</v>
      </c>
      <c r="V1410" s="71" t="str">
        <f t="shared" ref="V1410:V1465" ca="1" si="481">IF(OR(ISBLANK(VLOOKUP(DATEVALUE(LEFT($B1410,4)&amp;"-"&amp;MID($B1410,5,2)&amp;"-"&amp;RIGHT($B1410,2)),Data,MATCH(LEFT(VLOOKUP(V$1,Parameters,2,FALSE()),4)&amp;"*",OFFSET(Data,0,0,1),0)+MATCH($C1410,OFFSET(Data,2,0,1),0)-2,FALSE())),ISTEXT(VLOOKUP(DATEVALUE(LEFT($B1410,4)&amp;"-"&amp;MID($B1410,5,2)&amp;"-"&amp;RIGHT($B1410,2)),Data,MATCH(LEFT(VLOOKUP(V$1,Parameters,2,FALSE()),4)&amp;"*",OFFSET(Data,0,0,1),0)+MATCH($C1410,OFFSET(Data,2,0,1),0)-2,FALSE())),EXACT($C1410,"24.00")),"—",VLOOKUP(DATEVALUE(LEFT($B1410,4)&amp;"-"&amp;MID($B1410,5,2)&amp;"-"&amp;RIGHT($B1410,2)),Data,MATCH(LEFT(VLOOKUP(V$1,Parameters,2,FALSE()),4)&amp;"*",OFFSET(Data,0,0,1),0)+MATCH($C1410,OFFSET(Data,2,0,1),0)-2,FALSE()))</f>
        <v>—</v>
      </c>
      <c r="W1410" s="17">
        <f t="shared" ref="W1410:W1465" ca="1" si="482">IF(OR(ISBLANK(VLOOKUP(DATEVALUE(LEFT($B1410,4)&amp;"-"&amp;MID($B1410,5,2)&amp;"-"&amp;RIGHT($B1410,2)),Data,MATCH(LEFT(VLOOKUP(MID(W$1,2,LEN(W$1)-1),Parameters,2,FALSE()),4)&amp;"*",OFFSET(Data,0,0,1),0)+MATCH($C1410,OFFSET(Data,2,0,1),0)-2,FALSE())),ISTEXT(VLOOKUP(DATEVALUE(LEFT($B1410,4)&amp;"-"&amp;MID($B1410,5,2)&amp;"-"&amp;RIGHT($B1410,2)),Data,MATCH(LEFT(VLOOKUP(MID(W$1,2,LEN(W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W$1,2,LEN(W$1)-1),Parameters,2,FALSE()),4)&amp;"*",OFFSET(Catalogus,0,0,1),0)+MATCH($C1410,OFFSET(Data,2,0,1),0)-2,FALSE())))</f>
        <v>7</v>
      </c>
    </row>
    <row r="1411" spans="1:23" x14ac:dyDescent="0.25">
      <c r="A1411" s="4">
        <f t="shared" si="462"/>
        <v>32</v>
      </c>
      <c r="B1411" t="str">
        <f ca="1">TEXT(DATE(YEAR(Invoer!$A$6),1,1)+INT((ROWS(B$2:B1411)-1)/4),"jjjjmmdd")</f>
        <v>19401218</v>
      </c>
      <c r="C1411" s="64" t="str">
        <f>IF(MOD(ROWS(C$2:C1411)-1,4)=3,"24.00",INDEX(Data,3,2+MOD(ROWS(C$2:C1411)-1,4)))</f>
        <v>12.00</v>
      </c>
      <c r="D1411" s="18" t="str">
        <f t="shared" ca="1" si="463"/>
        <v>—</v>
      </c>
      <c r="E1411" s="17">
        <f t="shared" ca="1" si="464"/>
        <v>7</v>
      </c>
      <c r="F1411" s="18" t="str">
        <f t="shared" ca="1" si="465"/>
        <v>—</v>
      </c>
      <c r="G1411" s="17">
        <f t="shared" ca="1" si="466"/>
        <v>7</v>
      </c>
      <c r="H1411" s="18" t="str">
        <f t="shared" ca="1" si="467"/>
        <v>—</v>
      </c>
      <c r="I1411" s="17">
        <f t="shared" ca="1" si="468"/>
        <v>7</v>
      </c>
      <c r="J1411" s="18" t="str">
        <f t="shared" ca="1" si="469"/>
        <v>—</v>
      </c>
      <c r="K1411" s="17">
        <f t="shared" ca="1" si="470"/>
        <v>7</v>
      </c>
      <c r="L1411" s="10" t="str">
        <f t="shared" ca="1" si="471"/>
        <v>—</v>
      </c>
      <c r="M1411" s="17">
        <f t="shared" ca="1" si="472"/>
        <v>7</v>
      </c>
      <c r="N1411" s="18" t="str">
        <f t="shared" ca="1" si="473"/>
        <v>—</v>
      </c>
      <c r="O1411" s="17">
        <f t="shared" ca="1" si="474"/>
        <v>7</v>
      </c>
      <c r="P1411" s="18" t="str">
        <f t="shared" ca="1" si="475"/>
        <v>—</v>
      </c>
      <c r="Q1411" s="17">
        <f t="shared" ca="1" si="476"/>
        <v>7</v>
      </c>
      <c r="R1411" s="10" t="str">
        <f t="shared" ca="1" si="477"/>
        <v>—</v>
      </c>
      <c r="S1411" s="17">
        <f t="shared" ca="1" si="478"/>
        <v>7</v>
      </c>
      <c r="T1411" s="70" t="str">
        <f t="shared" ca="1" si="479"/>
        <v>—</v>
      </c>
      <c r="U1411" s="17">
        <f t="shared" ca="1" si="480"/>
        <v>7</v>
      </c>
      <c r="V1411" s="71" t="str">
        <f t="shared" ca="1" si="481"/>
        <v>—</v>
      </c>
      <c r="W1411" s="17">
        <f t="shared" ca="1" si="482"/>
        <v>7</v>
      </c>
    </row>
    <row r="1412" spans="1:23" x14ac:dyDescent="0.25">
      <c r="A1412" s="4">
        <f t="shared" si="462"/>
        <v>32</v>
      </c>
      <c r="B1412" t="str">
        <f ca="1">TEXT(DATE(YEAR(Invoer!$A$6),1,1)+INT((ROWS(B$2:B1412)-1)/4),"jjjjmmdd")</f>
        <v>19401218</v>
      </c>
      <c r="C1412" s="64" t="str">
        <f>IF(MOD(ROWS(C$2:C1412)-1,4)=3,"24.00",INDEX(Data,3,2+MOD(ROWS(C$2:C1412)-1,4)))</f>
        <v>17.00</v>
      </c>
      <c r="D1412" s="18" t="str">
        <f t="shared" ca="1" si="463"/>
        <v>—</v>
      </c>
      <c r="E1412" s="17">
        <f t="shared" ca="1" si="464"/>
        <v>7</v>
      </c>
      <c r="F1412" s="18" t="str">
        <f t="shared" ca="1" si="465"/>
        <v>—</v>
      </c>
      <c r="G1412" s="17">
        <f t="shared" ca="1" si="466"/>
        <v>7</v>
      </c>
      <c r="H1412" s="18" t="str">
        <f t="shared" ca="1" si="467"/>
        <v>—</v>
      </c>
      <c r="I1412" s="17">
        <f t="shared" ca="1" si="468"/>
        <v>7</v>
      </c>
      <c r="J1412" s="18" t="str">
        <f t="shared" ca="1" si="469"/>
        <v>—</v>
      </c>
      <c r="K1412" s="17">
        <f t="shared" ca="1" si="470"/>
        <v>7</v>
      </c>
      <c r="L1412" s="10" t="str">
        <f t="shared" ca="1" si="471"/>
        <v>—</v>
      </c>
      <c r="M1412" s="17">
        <f t="shared" ca="1" si="472"/>
        <v>7</v>
      </c>
      <c r="N1412" s="18" t="str">
        <f t="shared" ca="1" si="473"/>
        <v>—</v>
      </c>
      <c r="O1412" s="17">
        <f t="shared" ca="1" si="474"/>
        <v>7</v>
      </c>
      <c r="P1412" s="18" t="str">
        <f t="shared" ca="1" si="475"/>
        <v>—</v>
      </c>
      <c r="Q1412" s="17">
        <f t="shared" ca="1" si="476"/>
        <v>7</v>
      </c>
      <c r="R1412" s="10" t="str">
        <f t="shared" ca="1" si="477"/>
        <v>—</v>
      </c>
      <c r="S1412" s="17">
        <f t="shared" ca="1" si="478"/>
        <v>7</v>
      </c>
      <c r="T1412" s="70" t="str">
        <f t="shared" ca="1" si="479"/>
        <v>—</v>
      </c>
      <c r="U1412" s="17">
        <f t="shared" ca="1" si="480"/>
        <v>7</v>
      </c>
      <c r="V1412" s="71" t="str">
        <f t="shared" ca="1" si="481"/>
        <v>—</v>
      </c>
      <c r="W1412" s="17">
        <f t="shared" ca="1" si="482"/>
        <v>7</v>
      </c>
    </row>
    <row r="1413" spans="1:23" x14ac:dyDescent="0.25">
      <c r="A1413" s="4">
        <f t="shared" si="462"/>
        <v>32</v>
      </c>
      <c r="B1413" t="str">
        <f ca="1">TEXT(DATE(YEAR(Invoer!$A$6),1,1)+INT((ROWS(B$2:B1413)-1)/4),"jjjjmmdd")</f>
        <v>19401218</v>
      </c>
      <c r="C1413" s="64" t="str">
        <f>IF(MOD(ROWS(C$2:C1413)-1,4)=3,"24.00",INDEX(Data,3,2+MOD(ROWS(C$2:C1413)-1,4)))</f>
        <v>24.00</v>
      </c>
      <c r="D1413" s="18" t="str">
        <f t="shared" ca="1" si="463"/>
        <v>—</v>
      </c>
      <c r="E1413" s="17">
        <f t="shared" ca="1" si="464"/>
        <v>7</v>
      </c>
      <c r="F1413" s="18" t="str">
        <f t="shared" ca="1" si="465"/>
        <v>—</v>
      </c>
      <c r="G1413" s="17">
        <f t="shared" ca="1" si="466"/>
        <v>7</v>
      </c>
      <c r="H1413" s="18" t="str">
        <f t="shared" ca="1" si="467"/>
        <v>—</v>
      </c>
      <c r="I1413" s="17">
        <f t="shared" ca="1" si="468"/>
        <v>7</v>
      </c>
      <c r="J1413" s="18" t="str">
        <f t="shared" ca="1" si="469"/>
        <v>—</v>
      </c>
      <c r="K1413" s="17">
        <f t="shared" ca="1" si="470"/>
        <v>7</v>
      </c>
      <c r="L1413" s="10" t="str">
        <f t="shared" ca="1" si="471"/>
        <v>—</v>
      </c>
      <c r="M1413" s="17">
        <f t="shared" ca="1" si="472"/>
        <v>7</v>
      </c>
      <c r="N1413" s="18" t="str">
        <f t="shared" ca="1" si="473"/>
        <v>—</v>
      </c>
      <c r="O1413" s="17">
        <f t="shared" ca="1" si="474"/>
        <v>7</v>
      </c>
      <c r="P1413" s="18" t="str">
        <f t="shared" ca="1" si="475"/>
        <v>—</v>
      </c>
      <c r="Q1413" s="17">
        <f t="shared" ca="1" si="476"/>
        <v>7</v>
      </c>
      <c r="R1413" s="10" t="str">
        <f t="shared" ca="1" si="477"/>
        <v>—</v>
      </c>
      <c r="S1413" s="17">
        <f t="shared" ca="1" si="478"/>
        <v>7</v>
      </c>
      <c r="T1413" s="70" t="str">
        <f t="shared" ca="1" si="479"/>
        <v>—</v>
      </c>
      <c r="U1413" s="17">
        <f t="shared" ca="1" si="480"/>
        <v>7</v>
      </c>
      <c r="V1413" s="71" t="str">
        <f t="shared" ca="1" si="481"/>
        <v>—</v>
      </c>
      <c r="W1413" s="17">
        <f t="shared" ca="1" si="482"/>
        <v>7</v>
      </c>
    </row>
    <row r="1414" spans="1:23" x14ac:dyDescent="0.25">
      <c r="A1414" s="4">
        <f t="shared" si="462"/>
        <v>32</v>
      </c>
      <c r="B1414" t="str">
        <f ca="1">TEXT(DATE(YEAR(Invoer!$A$6),1,1)+INT((ROWS(B$2:B1414)-1)/4),"jjjjmmdd")</f>
        <v>19401219</v>
      </c>
      <c r="C1414" s="64" t="str">
        <f>IF(MOD(ROWS(C$2:C1414)-1,4)=3,"24.00",INDEX(Data,3,2+MOD(ROWS(C$2:C1414)-1,4)))</f>
        <v>07.00</v>
      </c>
      <c r="D1414" s="18" t="str">
        <f t="shared" ca="1" si="463"/>
        <v>—</v>
      </c>
      <c r="E1414" s="17">
        <f t="shared" ca="1" si="464"/>
        <v>7</v>
      </c>
      <c r="F1414" s="18" t="str">
        <f t="shared" ca="1" si="465"/>
        <v>—</v>
      </c>
      <c r="G1414" s="17">
        <f t="shared" ca="1" si="466"/>
        <v>7</v>
      </c>
      <c r="H1414" s="18" t="str">
        <f t="shared" ca="1" si="467"/>
        <v>—</v>
      </c>
      <c r="I1414" s="17">
        <f t="shared" ca="1" si="468"/>
        <v>7</v>
      </c>
      <c r="J1414" s="18" t="str">
        <f t="shared" ca="1" si="469"/>
        <v>—</v>
      </c>
      <c r="K1414" s="17">
        <f t="shared" ca="1" si="470"/>
        <v>7</v>
      </c>
      <c r="L1414" s="10" t="str">
        <f t="shared" ca="1" si="471"/>
        <v>—</v>
      </c>
      <c r="M1414" s="17">
        <f t="shared" ca="1" si="472"/>
        <v>7</v>
      </c>
      <c r="N1414" s="18" t="str">
        <f t="shared" ca="1" si="473"/>
        <v>—</v>
      </c>
      <c r="O1414" s="17">
        <f t="shared" ca="1" si="474"/>
        <v>7</v>
      </c>
      <c r="P1414" s="18" t="str">
        <f t="shared" ca="1" si="475"/>
        <v>—</v>
      </c>
      <c r="Q1414" s="17">
        <f t="shared" ca="1" si="476"/>
        <v>7</v>
      </c>
      <c r="R1414" s="10" t="str">
        <f t="shared" ca="1" si="477"/>
        <v>—</v>
      </c>
      <c r="S1414" s="17">
        <f t="shared" ca="1" si="478"/>
        <v>7</v>
      </c>
      <c r="T1414" s="70" t="str">
        <f t="shared" ca="1" si="479"/>
        <v>—</v>
      </c>
      <c r="U1414" s="17">
        <f t="shared" ca="1" si="480"/>
        <v>7</v>
      </c>
      <c r="V1414" s="71" t="str">
        <f t="shared" ca="1" si="481"/>
        <v>—</v>
      </c>
      <c r="W1414" s="17">
        <f t="shared" ca="1" si="482"/>
        <v>7</v>
      </c>
    </row>
    <row r="1415" spans="1:23" x14ac:dyDescent="0.25">
      <c r="A1415" s="4">
        <f t="shared" si="462"/>
        <v>32</v>
      </c>
      <c r="B1415" t="str">
        <f ca="1">TEXT(DATE(YEAR(Invoer!$A$6),1,1)+INT((ROWS(B$2:B1415)-1)/4),"jjjjmmdd")</f>
        <v>19401219</v>
      </c>
      <c r="C1415" s="64" t="str">
        <f>IF(MOD(ROWS(C$2:C1415)-1,4)=3,"24.00",INDEX(Data,3,2+MOD(ROWS(C$2:C1415)-1,4)))</f>
        <v>12.00</v>
      </c>
      <c r="D1415" s="18" t="str">
        <f t="shared" ca="1" si="463"/>
        <v>—</v>
      </c>
      <c r="E1415" s="17">
        <f t="shared" ca="1" si="464"/>
        <v>7</v>
      </c>
      <c r="F1415" s="18" t="str">
        <f t="shared" ca="1" si="465"/>
        <v>—</v>
      </c>
      <c r="G1415" s="17">
        <f t="shared" ca="1" si="466"/>
        <v>7</v>
      </c>
      <c r="H1415" s="18" t="str">
        <f t="shared" ca="1" si="467"/>
        <v>—</v>
      </c>
      <c r="I1415" s="17">
        <f t="shared" ca="1" si="468"/>
        <v>7</v>
      </c>
      <c r="J1415" s="18" t="str">
        <f t="shared" ca="1" si="469"/>
        <v>—</v>
      </c>
      <c r="K1415" s="17">
        <f t="shared" ca="1" si="470"/>
        <v>7</v>
      </c>
      <c r="L1415" s="10" t="str">
        <f t="shared" ca="1" si="471"/>
        <v>—</v>
      </c>
      <c r="M1415" s="17">
        <f t="shared" ca="1" si="472"/>
        <v>7</v>
      </c>
      <c r="N1415" s="18" t="str">
        <f t="shared" ca="1" si="473"/>
        <v>—</v>
      </c>
      <c r="O1415" s="17">
        <f t="shared" ca="1" si="474"/>
        <v>7</v>
      </c>
      <c r="P1415" s="18" t="str">
        <f t="shared" ca="1" si="475"/>
        <v>—</v>
      </c>
      <c r="Q1415" s="17">
        <f t="shared" ca="1" si="476"/>
        <v>7</v>
      </c>
      <c r="R1415" s="10" t="str">
        <f t="shared" ca="1" si="477"/>
        <v>—</v>
      </c>
      <c r="S1415" s="17">
        <f t="shared" ca="1" si="478"/>
        <v>7</v>
      </c>
      <c r="T1415" s="70" t="str">
        <f t="shared" ca="1" si="479"/>
        <v>—</v>
      </c>
      <c r="U1415" s="17">
        <f t="shared" ca="1" si="480"/>
        <v>7</v>
      </c>
      <c r="V1415" s="71" t="str">
        <f t="shared" ca="1" si="481"/>
        <v>—</v>
      </c>
      <c r="W1415" s="17">
        <f t="shared" ca="1" si="482"/>
        <v>7</v>
      </c>
    </row>
    <row r="1416" spans="1:23" x14ac:dyDescent="0.25">
      <c r="A1416" s="4">
        <f t="shared" si="462"/>
        <v>32</v>
      </c>
      <c r="B1416" t="str">
        <f ca="1">TEXT(DATE(YEAR(Invoer!$A$6),1,1)+INT((ROWS(B$2:B1416)-1)/4),"jjjjmmdd")</f>
        <v>19401219</v>
      </c>
      <c r="C1416" s="64" t="str">
        <f>IF(MOD(ROWS(C$2:C1416)-1,4)=3,"24.00",INDEX(Data,3,2+MOD(ROWS(C$2:C1416)-1,4)))</f>
        <v>17.00</v>
      </c>
      <c r="D1416" s="18" t="str">
        <f t="shared" ca="1" si="463"/>
        <v>—</v>
      </c>
      <c r="E1416" s="17">
        <f t="shared" ca="1" si="464"/>
        <v>7</v>
      </c>
      <c r="F1416" s="18" t="str">
        <f t="shared" ca="1" si="465"/>
        <v>—</v>
      </c>
      <c r="G1416" s="17">
        <f t="shared" ca="1" si="466"/>
        <v>7</v>
      </c>
      <c r="H1416" s="18" t="str">
        <f t="shared" ca="1" si="467"/>
        <v>—</v>
      </c>
      <c r="I1416" s="17">
        <f t="shared" ca="1" si="468"/>
        <v>7</v>
      </c>
      <c r="J1416" s="18" t="str">
        <f t="shared" ca="1" si="469"/>
        <v>—</v>
      </c>
      <c r="K1416" s="17">
        <f t="shared" ca="1" si="470"/>
        <v>7</v>
      </c>
      <c r="L1416" s="10" t="str">
        <f t="shared" ca="1" si="471"/>
        <v>—</v>
      </c>
      <c r="M1416" s="17">
        <f t="shared" ca="1" si="472"/>
        <v>7</v>
      </c>
      <c r="N1416" s="18" t="str">
        <f t="shared" ca="1" si="473"/>
        <v>—</v>
      </c>
      <c r="O1416" s="17">
        <f t="shared" ca="1" si="474"/>
        <v>7</v>
      </c>
      <c r="P1416" s="18" t="str">
        <f t="shared" ca="1" si="475"/>
        <v>—</v>
      </c>
      <c r="Q1416" s="17">
        <f t="shared" ca="1" si="476"/>
        <v>7</v>
      </c>
      <c r="R1416" s="10" t="str">
        <f t="shared" ca="1" si="477"/>
        <v>—</v>
      </c>
      <c r="S1416" s="17">
        <f t="shared" ca="1" si="478"/>
        <v>7</v>
      </c>
      <c r="T1416" s="70" t="str">
        <f t="shared" ca="1" si="479"/>
        <v>—</v>
      </c>
      <c r="U1416" s="17">
        <f t="shared" ca="1" si="480"/>
        <v>7</v>
      </c>
      <c r="V1416" s="71" t="str">
        <f t="shared" ca="1" si="481"/>
        <v>—</v>
      </c>
      <c r="W1416" s="17">
        <f t="shared" ca="1" si="482"/>
        <v>7</v>
      </c>
    </row>
    <row r="1417" spans="1:23" x14ac:dyDescent="0.25">
      <c r="A1417" s="4">
        <f t="shared" si="462"/>
        <v>32</v>
      </c>
      <c r="B1417" t="str">
        <f ca="1">TEXT(DATE(YEAR(Invoer!$A$6),1,1)+INT((ROWS(B$2:B1417)-1)/4),"jjjjmmdd")</f>
        <v>19401219</v>
      </c>
      <c r="C1417" s="64" t="str">
        <f>IF(MOD(ROWS(C$2:C1417)-1,4)=3,"24.00",INDEX(Data,3,2+MOD(ROWS(C$2:C1417)-1,4)))</f>
        <v>24.00</v>
      </c>
      <c r="D1417" s="18" t="str">
        <f t="shared" ca="1" si="463"/>
        <v>—</v>
      </c>
      <c r="E1417" s="17">
        <f t="shared" ca="1" si="464"/>
        <v>7</v>
      </c>
      <c r="F1417" s="18" t="str">
        <f t="shared" ca="1" si="465"/>
        <v>—</v>
      </c>
      <c r="G1417" s="17">
        <f t="shared" ca="1" si="466"/>
        <v>7</v>
      </c>
      <c r="H1417" s="18" t="str">
        <f t="shared" ca="1" si="467"/>
        <v>—</v>
      </c>
      <c r="I1417" s="17">
        <f t="shared" ca="1" si="468"/>
        <v>7</v>
      </c>
      <c r="J1417" s="18" t="str">
        <f t="shared" ca="1" si="469"/>
        <v>—</v>
      </c>
      <c r="K1417" s="17">
        <f t="shared" ca="1" si="470"/>
        <v>7</v>
      </c>
      <c r="L1417" s="10" t="str">
        <f t="shared" ca="1" si="471"/>
        <v>—</v>
      </c>
      <c r="M1417" s="17">
        <f t="shared" ca="1" si="472"/>
        <v>7</v>
      </c>
      <c r="N1417" s="18" t="str">
        <f t="shared" ca="1" si="473"/>
        <v>—</v>
      </c>
      <c r="O1417" s="17">
        <f t="shared" ca="1" si="474"/>
        <v>7</v>
      </c>
      <c r="P1417" s="18" t="str">
        <f t="shared" ca="1" si="475"/>
        <v>—</v>
      </c>
      <c r="Q1417" s="17">
        <f t="shared" ca="1" si="476"/>
        <v>7</v>
      </c>
      <c r="R1417" s="10" t="str">
        <f t="shared" ca="1" si="477"/>
        <v>—</v>
      </c>
      <c r="S1417" s="17">
        <f t="shared" ca="1" si="478"/>
        <v>7</v>
      </c>
      <c r="T1417" s="70" t="str">
        <f t="shared" ca="1" si="479"/>
        <v>—</v>
      </c>
      <c r="U1417" s="17">
        <f t="shared" ca="1" si="480"/>
        <v>7</v>
      </c>
      <c r="V1417" s="71" t="str">
        <f t="shared" ca="1" si="481"/>
        <v>—</v>
      </c>
      <c r="W1417" s="17">
        <f t="shared" ca="1" si="482"/>
        <v>7</v>
      </c>
    </row>
    <row r="1418" spans="1:23" x14ac:dyDescent="0.25">
      <c r="A1418" s="4">
        <f t="shared" si="462"/>
        <v>32</v>
      </c>
      <c r="B1418" t="str">
        <f ca="1">TEXT(DATE(YEAR(Invoer!$A$6),1,1)+INT((ROWS(B$2:B1418)-1)/4),"jjjjmmdd")</f>
        <v>19401220</v>
      </c>
      <c r="C1418" s="64" t="str">
        <f>IF(MOD(ROWS(C$2:C1418)-1,4)=3,"24.00",INDEX(Data,3,2+MOD(ROWS(C$2:C1418)-1,4)))</f>
        <v>07.00</v>
      </c>
      <c r="D1418" s="18" t="str">
        <f t="shared" ca="1" si="463"/>
        <v>—</v>
      </c>
      <c r="E1418" s="17">
        <f t="shared" ca="1" si="464"/>
        <v>7</v>
      </c>
      <c r="F1418" s="18" t="str">
        <f t="shared" ca="1" si="465"/>
        <v>—</v>
      </c>
      <c r="G1418" s="17">
        <f t="shared" ca="1" si="466"/>
        <v>7</v>
      </c>
      <c r="H1418" s="18" t="str">
        <f t="shared" ca="1" si="467"/>
        <v>—</v>
      </c>
      <c r="I1418" s="17">
        <f t="shared" ca="1" si="468"/>
        <v>7</v>
      </c>
      <c r="J1418" s="18" t="str">
        <f t="shared" ca="1" si="469"/>
        <v>—</v>
      </c>
      <c r="K1418" s="17">
        <f t="shared" ca="1" si="470"/>
        <v>7</v>
      </c>
      <c r="L1418" s="10" t="str">
        <f t="shared" ca="1" si="471"/>
        <v>—</v>
      </c>
      <c r="M1418" s="17">
        <f t="shared" ca="1" si="472"/>
        <v>7</v>
      </c>
      <c r="N1418" s="18" t="str">
        <f t="shared" ca="1" si="473"/>
        <v>—</v>
      </c>
      <c r="O1418" s="17">
        <f t="shared" ca="1" si="474"/>
        <v>7</v>
      </c>
      <c r="P1418" s="18" t="str">
        <f t="shared" ca="1" si="475"/>
        <v>—</v>
      </c>
      <c r="Q1418" s="17">
        <f t="shared" ca="1" si="476"/>
        <v>7</v>
      </c>
      <c r="R1418" s="10" t="str">
        <f t="shared" ca="1" si="477"/>
        <v>—</v>
      </c>
      <c r="S1418" s="17">
        <f t="shared" ca="1" si="478"/>
        <v>7</v>
      </c>
      <c r="T1418" s="70" t="str">
        <f t="shared" ca="1" si="479"/>
        <v>—</v>
      </c>
      <c r="U1418" s="17">
        <f t="shared" ca="1" si="480"/>
        <v>7</v>
      </c>
      <c r="V1418" s="71" t="str">
        <f t="shared" ca="1" si="481"/>
        <v>—</v>
      </c>
      <c r="W1418" s="17">
        <f t="shared" ca="1" si="482"/>
        <v>7</v>
      </c>
    </row>
    <row r="1419" spans="1:23" x14ac:dyDescent="0.25">
      <c r="A1419" s="4">
        <f t="shared" si="462"/>
        <v>32</v>
      </c>
      <c r="B1419" t="str">
        <f ca="1">TEXT(DATE(YEAR(Invoer!$A$6),1,1)+INT((ROWS(B$2:B1419)-1)/4),"jjjjmmdd")</f>
        <v>19401220</v>
      </c>
      <c r="C1419" s="64" t="str">
        <f>IF(MOD(ROWS(C$2:C1419)-1,4)=3,"24.00",INDEX(Data,3,2+MOD(ROWS(C$2:C1419)-1,4)))</f>
        <v>12.00</v>
      </c>
      <c r="D1419" s="18" t="str">
        <f t="shared" ca="1" si="463"/>
        <v>—</v>
      </c>
      <c r="E1419" s="17">
        <f t="shared" ca="1" si="464"/>
        <v>7</v>
      </c>
      <c r="F1419" s="18" t="str">
        <f t="shared" ca="1" si="465"/>
        <v>—</v>
      </c>
      <c r="G1419" s="17">
        <f t="shared" ca="1" si="466"/>
        <v>7</v>
      </c>
      <c r="H1419" s="18" t="str">
        <f t="shared" ca="1" si="467"/>
        <v>—</v>
      </c>
      <c r="I1419" s="17">
        <f t="shared" ca="1" si="468"/>
        <v>7</v>
      </c>
      <c r="J1419" s="18" t="str">
        <f t="shared" ca="1" si="469"/>
        <v>—</v>
      </c>
      <c r="K1419" s="17">
        <f t="shared" ca="1" si="470"/>
        <v>7</v>
      </c>
      <c r="L1419" s="10" t="str">
        <f t="shared" ca="1" si="471"/>
        <v>—</v>
      </c>
      <c r="M1419" s="17">
        <f t="shared" ca="1" si="472"/>
        <v>7</v>
      </c>
      <c r="N1419" s="18" t="str">
        <f t="shared" ca="1" si="473"/>
        <v>—</v>
      </c>
      <c r="O1419" s="17">
        <f t="shared" ca="1" si="474"/>
        <v>7</v>
      </c>
      <c r="P1419" s="18" t="str">
        <f t="shared" ca="1" si="475"/>
        <v>—</v>
      </c>
      <c r="Q1419" s="17">
        <f t="shared" ca="1" si="476"/>
        <v>7</v>
      </c>
      <c r="R1419" s="10" t="str">
        <f t="shared" ca="1" si="477"/>
        <v>—</v>
      </c>
      <c r="S1419" s="17">
        <f t="shared" ca="1" si="478"/>
        <v>7</v>
      </c>
      <c r="T1419" s="70" t="str">
        <f t="shared" ca="1" si="479"/>
        <v>—</v>
      </c>
      <c r="U1419" s="17">
        <f t="shared" ca="1" si="480"/>
        <v>7</v>
      </c>
      <c r="V1419" s="71" t="str">
        <f t="shared" ca="1" si="481"/>
        <v>—</v>
      </c>
      <c r="W1419" s="17">
        <f t="shared" ca="1" si="482"/>
        <v>7</v>
      </c>
    </row>
    <row r="1420" spans="1:23" x14ac:dyDescent="0.25">
      <c r="A1420" s="4">
        <f t="shared" si="462"/>
        <v>32</v>
      </c>
      <c r="B1420" t="str">
        <f ca="1">TEXT(DATE(YEAR(Invoer!$A$6),1,1)+INT((ROWS(B$2:B1420)-1)/4),"jjjjmmdd")</f>
        <v>19401220</v>
      </c>
      <c r="C1420" s="64" t="str">
        <f>IF(MOD(ROWS(C$2:C1420)-1,4)=3,"24.00",INDEX(Data,3,2+MOD(ROWS(C$2:C1420)-1,4)))</f>
        <v>17.00</v>
      </c>
      <c r="D1420" s="18" t="str">
        <f t="shared" ca="1" si="463"/>
        <v>—</v>
      </c>
      <c r="E1420" s="17">
        <f t="shared" ca="1" si="464"/>
        <v>7</v>
      </c>
      <c r="F1420" s="18" t="str">
        <f t="shared" ca="1" si="465"/>
        <v>—</v>
      </c>
      <c r="G1420" s="17">
        <f t="shared" ca="1" si="466"/>
        <v>7</v>
      </c>
      <c r="H1420" s="18" t="str">
        <f t="shared" ca="1" si="467"/>
        <v>—</v>
      </c>
      <c r="I1420" s="17">
        <f t="shared" ca="1" si="468"/>
        <v>7</v>
      </c>
      <c r="J1420" s="18" t="str">
        <f t="shared" ca="1" si="469"/>
        <v>—</v>
      </c>
      <c r="K1420" s="17">
        <f t="shared" ca="1" si="470"/>
        <v>7</v>
      </c>
      <c r="L1420" s="10" t="str">
        <f t="shared" ca="1" si="471"/>
        <v>—</v>
      </c>
      <c r="M1420" s="17">
        <f t="shared" ca="1" si="472"/>
        <v>7</v>
      </c>
      <c r="N1420" s="18" t="str">
        <f t="shared" ca="1" si="473"/>
        <v>—</v>
      </c>
      <c r="O1420" s="17">
        <f t="shared" ca="1" si="474"/>
        <v>7</v>
      </c>
      <c r="P1420" s="18" t="str">
        <f t="shared" ca="1" si="475"/>
        <v>—</v>
      </c>
      <c r="Q1420" s="17">
        <f t="shared" ca="1" si="476"/>
        <v>7</v>
      </c>
      <c r="R1420" s="10" t="str">
        <f t="shared" ca="1" si="477"/>
        <v>—</v>
      </c>
      <c r="S1420" s="17">
        <f t="shared" ca="1" si="478"/>
        <v>7</v>
      </c>
      <c r="T1420" s="70" t="str">
        <f t="shared" ca="1" si="479"/>
        <v>—</v>
      </c>
      <c r="U1420" s="17">
        <f t="shared" ca="1" si="480"/>
        <v>7</v>
      </c>
      <c r="V1420" s="71" t="str">
        <f t="shared" ca="1" si="481"/>
        <v>—</v>
      </c>
      <c r="W1420" s="17">
        <f t="shared" ca="1" si="482"/>
        <v>7</v>
      </c>
    </row>
    <row r="1421" spans="1:23" x14ac:dyDescent="0.25">
      <c r="A1421" s="4">
        <f t="shared" si="462"/>
        <v>32</v>
      </c>
      <c r="B1421" t="str">
        <f ca="1">TEXT(DATE(YEAR(Invoer!$A$6),1,1)+INT((ROWS(B$2:B1421)-1)/4),"jjjjmmdd")</f>
        <v>19401220</v>
      </c>
      <c r="C1421" s="64" t="str">
        <f>IF(MOD(ROWS(C$2:C1421)-1,4)=3,"24.00",INDEX(Data,3,2+MOD(ROWS(C$2:C1421)-1,4)))</f>
        <v>24.00</v>
      </c>
      <c r="D1421" s="18" t="str">
        <f t="shared" ca="1" si="463"/>
        <v>—</v>
      </c>
      <c r="E1421" s="17">
        <f t="shared" ca="1" si="464"/>
        <v>7</v>
      </c>
      <c r="F1421" s="18" t="str">
        <f t="shared" ca="1" si="465"/>
        <v>—</v>
      </c>
      <c r="G1421" s="17">
        <f t="shared" ca="1" si="466"/>
        <v>7</v>
      </c>
      <c r="H1421" s="18" t="str">
        <f t="shared" ca="1" si="467"/>
        <v>—</v>
      </c>
      <c r="I1421" s="17">
        <f t="shared" ca="1" si="468"/>
        <v>7</v>
      </c>
      <c r="J1421" s="18" t="str">
        <f t="shared" ca="1" si="469"/>
        <v>—</v>
      </c>
      <c r="K1421" s="17">
        <f t="shared" ca="1" si="470"/>
        <v>7</v>
      </c>
      <c r="L1421" s="10" t="str">
        <f t="shared" ca="1" si="471"/>
        <v>—</v>
      </c>
      <c r="M1421" s="17">
        <f t="shared" ca="1" si="472"/>
        <v>7</v>
      </c>
      <c r="N1421" s="18" t="str">
        <f t="shared" ca="1" si="473"/>
        <v>—</v>
      </c>
      <c r="O1421" s="17">
        <f t="shared" ca="1" si="474"/>
        <v>7</v>
      </c>
      <c r="P1421" s="18" t="str">
        <f t="shared" ca="1" si="475"/>
        <v>—</v>
      </c>
      <c r="Q1421" s="17">
        <f t="shared" ca="1" si="476"/>
        <v>7</v>
      </c>
      <c r="R1421" s="10" t="str">
        <f t="shared" ca="1" si="477"/>
        <v>—</v>
      </c>
      <c r="S1421" s="17">
        <f t="shared" ca="1" si="478"/>
        <v>7</v>
      </c>
      <c r="T1421" s="70" t="str">
        <f t="shared" ca="1" si="479"/>
        <v>—</v>
      </c>
      <c r="U1421" s="17">
        <f t="shared" ca="1" si="480"/>
        <v>7</v>
      </c>
      <c r="V1421" s="71" t="str">
        <f t="shared" ca="1" si="481"/>
        <v>—</v>
      </c>
      <c r="W1421" s="17">
        <f t="shared" ca="1" si="482"/>
        <v>7</v>
      </c>
    </row>
    <row r="1422" spans="1:23" x14ac:dyDescent="0.25">
      <c r="A1422" s="4">
        <f t="shared" si="462"/>
        <v>32</v>
      </c>
      <c r="B1422" t="str">
        <f ca="1">TEXT(DATE(YEAR(Invoer!$A$6),1,1)+INT((ROWS(B$2:B1422)-1)/4),"jjjjmmdd")</f>
        <v>19401221</v>
      </c>
      <c r="C1422" s="64" t="str">
        <f>IF(MOD(ROWS(C$2:C1422)-1,4)=3,"24.00",INDEX(Data,3,2+MOD(ROWS(C$2:C1422)-1,4)))</f>
        <v>07.00</v>
      </c>
      <c r="D1422" s="18" t="str">
        <f t="shared" ca="1" si="463"/>
        <v>—</v>
      </c>
      <c r="E1422" s="17">
        <f t="shared" ca="1" si="464"/>
        <v>7</v>
      </c>
      <c r="F1422" s="18" t="str">
        <f t="shared" ca="1" si="465"/>
        <v>—</v>
      </c>
      <c r="G1422" s="17">
        <f t="shared" ca="1" si="466"/>
        <v>7</v>
      </c>
      <c r="H1422" s="18" t="str">
        <f t="shared" ca="1" si="467"/>
        <v>—</v>
      </c>
      <c r="I1422" s="17">
        <f t="shared" ca="1" si="468"/>
        <v>7</v>
      </c>
      <c r="J1422" s="18" t="str">
        <f t="shared" ca="1" si="469"/>
        <v>—</v>
      </c>
      <c r="K1422" s="17">
        <f t="shared" ca="1" si="470"/>
        <v>7</v>
      </c>
      <c r="L1422" s="10" t="str">
        <f t="shared" ca="1" si="471"/>
        <v>—</v>
      </c>
      <c r="M1422" s="17">
        <f t="shared" ca="1" si="472"/>
        <v>7</v>
      </c>
      <c r="N1422" s="18" t="str">
        <f t="shared" ca="1" si="473"/>
        <v>—</v>
      </c>
      <c r="O1422" s="17">
        <f t="shared" ca="1" si="474"/>
        <v>7</v>
      </c>
      <c r="P1422" s="18" t="str">
        <f t="shared" ca="1" si="475"/>
        <v>—</v>
      </c>
      <c r="Q1422" s="17">
        <f t="shared" ca="1" si="476"/>
        <v>7</v>
      </c>
      <c r="R1422" s="10" t="str">
        <f t="shared" ca="1" si="477"/>
        <v>—</v>
      </c>
      <c r="S1422" s="17">
        <f t="shared" ca="1" si="478"/>
        <v>7</v>
      </c>
      <c r="T1422" s="70" t="str">
        <f t="shared" ca="1" si="479"/>
        <v>—</v>
      </c>
      <c r="U1422" s="17">
        <f t="shared" ca="1" si="480"/>
        <v>7</v>
      </c>
      <c r="V1422" s="71" t="str">
        <f t="shared" ca="1" si="481"/>
        <v>—</v>
      </c>
      <c r="W1422" s="17">
        <f t="shared" ca="1" si="482"/>
        <v>7</v>
      </c>
    </row>
    <row r="1423" spans="1:23" x14ac:dyDescent="0.25">
      <c r="A1423" s="4">
        <f t="shared" si="462"/>
        <v>32</v>
      </c>
      <c r="B1423" t="str">
        <f ca="1">TEXT(DATE(YEAR(Invoer!$A$6),1,1)+INT((ROWS(B$2:B1423)-1)/4),"jjjjmmdd")</f>
        <v>19401221</v>
      </c>
      <c r="C1423" s="64" t="str">
        <f>IF(MOD(ROWS(C$2:C1423)-1,4)=3,"24.00",INDEX(Data,3,2+MOD(ROWS(C$2:C1423)-1,4)))</f>
        <v>12.00</v>
      </c>
      <c r="D1423" s="18" t="str">
        <f t="shared" ca="1" si="463"/>
        <v>—</v>
      </c>
      <c r="E1423" s="17">
        <f t="shared" ca="1" si="464"/>
        <v>7</v>
      </c>
      <c r="F1423" s="18" t="str">
        <f t="shared" ca="1" si="465"/>
        <v>—</v>
      </c>
      <c r="G1423" s="17">
        <f t="shared" ca="1" si="466"/>
        <v>7</v>
      </c>
      <c r="H1423" s="18" t="str">
        <f t="shared" ca="1" si="467"/>
        <v>—</v>
      </c>
      <c r="I1423" s="17">
        <f t="shared" ca="1" si="468"/>
        <v>7</v>
      </c>
      <c r="J1423" s="18" t="str">
        <f t="shared" ca="1" si="469"/>
        <v>—</v>
      </c>
      <c r="K1423" s="17">
        <f t="shared" ca="1" si="470"/>
        <v>7</v>
      </c>
      <c r="L1423" s="10" t="str">
        <f t="shared" ca="1" si="471"/>
        <v>—</v>
      </c>
      <c r="M1423" s="17">
        <f t="shared" ca="1" si="472"/>
        <v>7</v>
      </c>
      <c r="N1423" s="18" t="str">
        <f t="shared" ca="1" si="473"/>
        <v>—</v>
      </c>
      <c r="O1423" s="17">
        <f t="shared" ca="1" si="474"/>
        <v>7</v>
      </c>
      <c r="P1423" s="18" t="str">
        <f t="shared" ca="1" si="475"/>
        <v>—</v>
      </c>
      <c r="Q1423" s="17">
        <f t="shared" ca="1" si="476"/>
        <v>7</v>
      </c>
      <c r="R1423" s="10" t="str">
        <f t="shared" ca="1" si="477"/>
        <v>—</v>
      </c>
      <c r="S1423" s="17">
        <f t="shared" ca="1" si="478"/>
        <v>7</v>
      </c>
      <c r="T1423" s="70" t="str">
        <f t="shared" ca="1" si="479"/>
        <v>—</v>
      </c>
      <c r="U1423" s="17">
        <f t="shared" ca="1" si="480"/>
        <v>7</v>
      </c>
      <c r="V1423" s="71" t="str">
        <f t="shared" ca="1" si="481"/>
        <v>—</v>
      </c>
      <c r="W1423" s="17">
        <f t="shared" ca="1" si="482"/>
        <v>7</v>
      </c>
    </row>
    <row r="1424" spans="1:23" x14ac:dyDescent="0.25">
      <c r="A1424" s="4">
        <f t="shared" si="462"/>
        <v>32</v>
      </c>
      <c r="B1424" t="str">
        <f ca="1">TEXT(DATE(YEAR(Invoer!$A$6),1,1)+INT((ROWS(B$2:B1424)-1)/4),"jjjjmmdd")</f>
        <v>19401221</v>
      </c>
      <c r="C1424" s="64" t="str">
        <f>IF(MOD(ROWS(C$2:C1424)-1,4)=3,"24.00",INDEX(Data,3,2+MOD(ROWS(C$2:C1424)-1,4)))</f>
        <v>17.00</v>
      </c>
      <c r="D1424" s="18" t="str">
        <f t="shared" ca="1" si="463"/>
        <v>—</v>
      </c>
      <c r="E1424" s="17">
        <f t="shared" ca="1" si="464"/>
        <v>7</v>
      </c>
      <c r="F1424" s="18" t="str">
        <f t="shared" ca="1" si="465"/>
        <v>—</v>
      </c>
      <c r="G1424" s="17">
        <f t="shared" ca="1" si="466"/>
        <v>7</v>
      </c>
      <c r="H1424" s="18" t="str">
        <f t="shared" ca="1" si="467"/>
        <v>—</v>
      </c>
      <c r="I1424" s="17">
        <f t="shared" ca="1" si="468"/>
        <v>7</v>
      </c>
      <c r="J1424" s="18" t="str">
        <f t="shared" ca="1" si="469"/>
        <v>—</v>
      </c>
      <c r="K1424" s="17">
        <f t="shared" ca="1" si="470"/>
        <v>7</v>
      </c>
      <c r="L1424" s="10" t="str">
        <f t="shared" ca="1" si="471"/>
        <v>—</v>
      </c>
      <c r="M1424" s="17">
        <f t="shared" ca="1" si="472"/>
        <v>7</v>
      </c>
      <c r="N1424" s="18" t="str">
        <f t="shared" ca="1" si="473"/>
        <v>—</v>
      </c>
      <c r="O1424" s="17">
        <f t="shared" ca="1" si="474"/>
        <v>7</v>
      </c>
      <c r="P1424" s="18" t="str">
        <f t="shared" ca="1" si="475"/>
        <v>—</v>
      </c>
      <c r="Q1424" s="17">
        <f t="shared" ca="1" si="476"/>
        <v>7</v>
      </c>
      <c r="R1424" s="10" t="str">
        <f t="shared" ca="1" si="477"/>
        <v>—</v>
      </c>
      <c r="S1424" s="17">
        <f t="shared" ca="1" si="478"/>
        <v>7</v>
      </c>
      <c r="T1424" s="70" t="str">
        <f t="shared" ca="1" si="479"/>
        <v>—</v>
      </c>
      <c r="U1424" s="17">
        <f t="shared" ca="1" si="480"/>
        <v>7</v>
      </c>
      <c r="V1424" s="71" t="str">
        <f t="shared" ca="1" si="481"/>
        <v>—</v>
      </c>
      <c r="W1424" s="17">
        <f t="shared" ca="1" si="482"/>
        <v>7</v>
      </c>
    </row>
    <row r="1425" spans="1:23" x14ac:dyDescent="0.25">
      <c r="A1425" s="4">
        <f t="shared" si="462"/>
        <v>32</v>
      </c>
      <c r="B1425" t="str">
        <f ca="1">TEXT(DATE(YEAR(Invoer!$A$6),1,1)+INT((ROWS(B$2:B1425)-1)/4),"jjjjmmdd")</f>
        <v>19401221</v>
      </c>
      <c r="C1425" s="64" t="str">
        <f>IF(MOD(ROWS(C$2:C1425)-1,4)=3,"24.00",INDEX(Data,3,2+MOD(ROWS(C$2:C1425)-1,4)))</f>
        <v>24.00</v>
      </c>
      <c r="D1425" s="18" t="str">
        <f t="shared" ca="1" si="463"/>
        <v>—</v>
      </c>
      <c r="E1425" s="17">
        <f t="shared" ca="1" si="464"/>
        <v>7</v>
      </c>
      <c r="F1425" s="18" t="str">
        <f t="shared" ca="1" si="465"/>
        <v>—</v>
      </c>
      <c r="G1425" s="17">
        <f t="shared" ca="1" si="466"/>
        <v>7</v>
      </c>
      <c r="H1425" s="18" t="str">
        <f t="shared" ca="1" si="467"/>
        <v>—</v>
      </c>
      <c r="I1425" s="17">
        <f t="shared" ca="1" si="468"/>
        <v>7</v>
      </c>
      <c r="J1425" s="18" t="str">
        <f t="shared" ca="1" si="469"/>
        <v>—</v>
      </c>
      <c r="K1425" s="17">
        <f t="shared" ca="1" si="470"/>
        <v>7</v>
      </c>
      <c r="L1425" s="10" t="str">
        <f t="shared" ca="1" si="471"/>
        <v>—</v>
      </c>
      <c r="M1425" s="17">
        <f t="shared" ca="1" si="472"/>
        <v>7</v>
      </c>
      <c r="N1425" s="18" t="str">
        <f t="shared" ca="1" si="473"/>
        <v>—</v>
      </c>
      <c r="O1425" s="17">
        <f t="shared" ca="1" si="474"/>
        <v>7</v>
      </c>
      <c r="P1425" s="18" t="str">
        <f t="shared" ca="1" si="475"/>
        <v>—</v>
      </c>
      <c r="Q1425" s="17">
        <f t="shared" ca="1" si="476"/>
        <v>7</v>
      </c>
      <c r="R1425" s="10" t="str">
        <f t="shared" ca="1" si="477"/>
        <v>—</v>
      </c>
      <c r="S1425" s="17">
        <f t="shared" ca="1" si="478"/>
        <v>7</v>
      </c>
      <c r="T1425" s="70" t="str">
        <f t="shared" ca="1" si="479"/>
        <v>—</v>
      </c>
      <c r="U1425" s="17">
        <f t="shared" ca="1" si="480"/>
        <v>7</v>
      </c>
      <c r="V1425" s="71" t="str">
        <f t="shared" ca="1" si="481"/>
        <v>—</v>
      </c>
      <c r="W1425" s="17">
        <f t="shared" ca="1" si="482"/>
        <v>7</v>
      </c>
    </row>
    <row r="1426" spans="1:23" x14ac:dyDescent="0.25">
      <c r="A1426" s="4">
        <f t="shared" si="462"/>
        <v>32</v>
      </c>
      <c r="B1426" t="str">
        <f ca="1">TEXT(DATE(YEAR(Invoer!$A$6),1,1)+INT((ROWS(B$2:B1426)-1)/4),"jjjjmmdd")</f>
        <v>19401222</v>
      </c>
      <c r="C1426" s="64" t="str">
        <f>IF(MOD(ROWS(C$2:C1426)-1,4)=3,"24.00",INDEX(Data,3,2+MOD(ROWS(C$2:C1426)-1,4)))</f>
        <v>07.00</v>
      </c>
      <c r="D1426" s="18" t="str">
        <f t="shared" ca="1" si="463"/>
        <v>—</v>
      </c>
      <c r="E1426" s="17">
        <f t="shared" ca="1" si="464"/>
        <v>7</v>
      </c>
      <c r="F1426" s="18" t="str">
        <f t="shared" ca="1" si="465"/>
        <v>—</v>
      </c>
      <c r="G1426" s="17">
        <f t="shared" ca="1" si="466"/>
        <v>7</v>
      </c>
      <c r="H1426" s="18" t="str">
        <f t="shared" ca="1" si="467"/>
        <v>—</v>
      </c>
      <c r="I1426" s="17">
        <f t="shared" ca="1" si="468"/>
        <v>7</v>
      </c>
      <c r="J1426" s="18" t="str">
        <f t="shared" ca="1" si="469"/>
        <v>—</v>
      </c>
      <c r="K1426" s="17">
        <f t="shared" ca="1" si="470"/>
        <v>7</v>
      </c>
      <c r="L1426" s="10" t="str">
        <f t="shared" ca="1" si="471"/>
        <v>—</v>
      </c>
      <c r="M1426" s="17">
        <f t="shared" ca="1" si="472"/>
        <v>7</v>
      </c>
      <c r="N1426" s="18" t="str">
        <f t="shared" ca="1" si="473"/>
        <v>—</v>
      </c>
      <c r="O1426" s="17">
        <f t="shared" ca="1" si="474"/>
        <v>7</v>
      </c>
      <c r="P1426" s="18" t="str">
        <f t="shared" ca="1" si="475"/>
        <v>—</v>
      </c>
      <c r="Q1426" s="17">
        <f t="shared" ca="1" si="476"/>
        <v>7</v>
      </c>
      <c r="R1426" s="10" t="str">
        <f t="shared" ca="1" si="477"/>
        <v>—</v>
      </c>
      <c r="S1426" s="17">
        <f t="shared" ca="1" si="478"/>
        <v>7</v>
      </c>
      <c r="T1426" s="70" t="str">
        <f t="shared" ca="1" si="479"/>
        <v>—</v>
      </c>
      <c r="U1426" s="17">
        <f t="shared" ca="1" si="480"/>
        <v>7</v>
      </c>
      <c r="V1426" s="71" t="str">
        <f t="shared" ca="1" si="481"/>
        <v>—</v>
      </c>
      <c r="W1426" s="17">
        <f t="shared" ca="1" si="482"/>
        <v>7</v>
      </c>
    </row>
    <row r="1427" spans="1:23" x14ac:dyDescent="0.25">
      <c r="A1427" s="4">
        <f t="shared" si="462"/>
        <v>32</v>
      </c>
      <c r="B1427" t="str">
        <f ca="1">TEXT(DATE(YEAR(Invoer!$A$6),1,1)+INT((ROWS(B$2:B1427)-1)/4),"jjjjmmdd")</f>
        <v>19401222</v>
      </c>
      <c r="C1427" s="64" t="str">
        <f>IF(MOD(ROWS(C$2:C1427)-1,4)=3,"24.00",INDEX(Data,3,2+MOD(ROWS(C$2:C1427)-1,4)))</f>
        <v>12.00</v>
      </c>
      <c r="D1427" s="18" t="str">
        <f t="shared" ca="1" si="463"/>
        <v>—</v>
      </c>
      <c r="E1427" s="17">
        <f t="shared" ca="1" si="464"/>
        <v>7</v>
      </c>
      <c r="F1427" s="18" t="str">
        <f t="shared" ca="1" si="465"/>
        <v>—</v>
      </c>
      <c r="G1427" s="17">
        <f t="shared" ca="1" si="466"/>
        <v>7</v>
      </c>
      <c r="H1427" s="18" t="str">
        <f t="shared" ca="1" si="467"/>
        <v>—</v>
      </c>
      <c r="I1427" s="17">
        <f t="shared" ca="1" si="468"/>
        <v>7</v>
      </c>
      <c r="J1427" s="18" t="str">
        <f t="shared" ca="1" si="469"/>
        <v>—</v>
      </c>
      <c r="K1427" s="17">
        <f t="shared" ca="1" si="470"/>
        <v>7</v>
      </c>
      <c r="L1427" s="10" t="str">
        <f t="shared" ca="1" si="471"/>
        <v>—</v>
      </c>
      <c r="M1427" s="17">
        <f t="shared" ca="1" si="472"/>
        <v>7</v>
      </c>
      <c r="N1427" s="18" t="str">
        <f t="shared" ca="1" si="473"/>
        <v>—</v>
      </c>
      <c r="O1427" s="17">
        <f t="shared" ca="1" si="474"/>
        <v>7</v>
      </c>
      <c r="P1427" s="18" t="str">
        <f t="shared" ca="1" si="475"/>
        <v>—</v>
      </c>
      <c r="Q1427" s="17">
        <f t="shared" ca="1" si="476"/>
        <v>7</v>
      </c>
      <c r="R1427" s="10" t="str">
        <f t="shared" ca="1" si="477"/>
        <v>—</v>
      </c>
      <c r="S1427" s="17">
        <f t="shared" ca="1" si="478"/>
        <v>7</v>
      </c>
      <c r="T1427" s="70" t="str">
        <f t="shared" ca="1" si="479"/>
        <v>—</v>
      </c>
      <c r="U1427" s="17">
        <f t="shared" ca="1" si="480"/>
        <v>7</v>
      </c>
      <c r="V1427" s="71" t="str">
        <f t="shared" ca="1" si="481"/>
        <v>—</v>
      </c>
      <c r="W1427" s="17">
        <f t="shared" ca="1" si="482"/>
        <v>7</v>
      </c>
    </row>
    <row r="1428" spans="1:23" x14ac:dyDescent="0.25">
      <c r="A1428" s="4">
        <f t="shared" si="462"/>
        <v>32</v>
      </c>
      <c r="B1428" t="str">
        <f ca="1">TEXT(DATE(YEAR(Invoer!$A$6),1,1)+INT((ROWS(B$2:B1428)-1)/4),"jjjjmmdd")</f>
        <v>19401222</v>
      </c>
      <c r="C1428" s="64" t="str">
        <f>IF(MOD(ROWS(C$2:C1428)-1,4)=3,"24.00",INDEX(Data,3,2+MOD(ROWS(C$2:C1428)-1,4)))</f>
        <v>17.00</v>
      </c>
      <c r="D1428" s="18" t="str">
        <f t="shared" ca="1" si="463"/>
        <v>—</v>
      </c>
      <c r="E1428" s="17">
        <f t="shared" ca="1" si="464"/>
        <v>7</v>
      </c>
      <c r="F1428" s="18" t="str">
        <f t="shared" ca="1" si="465"/>
        <v>—</v>
      </c>
      <c r="G1428" s="17">
        <f t="shared" ca="1" si="466"/>
        <v>7</v>
      </c>
      <c r="H1428" s="18" t="str">
        <f t="shared" ca="1" si="467"/>
        <v>—</v>
      </c>
      <c r="I1428" s="17">
        <f t="shared" ca="1" si="468"/>
        <v>7</v>
      </c>
      <c r="J1428" s="18" t="str">
        <f t="shared" ca="1" si="469"/>
        <v>—</v>
      </c>
      <c r="K1428" s="17">
        <f t="shared" ca="1" si="470"/>
        <v>7</v>
      </c>
      <c r="L1428" s="10" t="str">
        <f t="shared" ca="1" si="471"/>
        <v>—</v>
      </c>
      <c r="M1428" s="17">
        <f t="shared" ca="1" si="472"/>
        <v>7</v>
      </c>
      <c r="N1428" s="18" t="str">
        <f t="shared" ca="1" si="473"/>
        <v>—</v>
      </c>
      <c r="O1428" s="17">
        <f t="shared" ca="1" si="474"/>
        <v>7</v>
      </c>
      <c r="P1428" s="18" t="str">
        <f t="shared" ca="1" si="475"/>
        <v>—</v>
      </c>
      <c r="Q1428" s="17">
        <f t="shared" ca="1" si="476"/>
        <v>7</v>
      </c>
      <c r="R1428" s="10" t="str">
        <f t="shared" ca="1" si="477"/>
        <v>—</v>
      </c>
      <c r="S1428" s="17">
        <f t="shared" ca="1" si="478"/>
        <v>7</v>
      </c>
      <c r="T1428" s="70" t="str">
        <f t="shared" ca="1" si="479"/>
        <v>—</v>
      </c>
      <c r="U1428" s="17">
        <f t="shared" ca="1" si="480"/>
        <v>7</v>
      </c>
      <c r="V1428" s="71" t="str">
        <f t="shared" ca="1" si="481"/>
        <v>—</v>
      </c>
      <c r="W1428" s="17">
        <f t="shared" ca="1" si="482"/>
        <v>7</v>
      </c>
    </row>
    <row r="1429" spans="1:23" x14ac:dyDescent="0.25">
      <c r="A1429" s="4">
        <f t="shared" si="462"/>
        <v>32</v>
      </c>
      <c r="B1429" t="str">
        <f ca="1">TEXT(DATE(YEAR(Invoer!$A$6),1,1)+INT((ROWS(B$2:B1429)-1)/4),"jjjjmmdd")</f>
        <v>19401222</v>
      </c>
      <c r="C1429" s="64" t="str">
        <f>IF(MOD(ROWS(C$2:C1429)-1,4)=3,"24.00",INDEX(Data,3,2+MOD(ROWS(C$2:C1429)-1,4)))</f>
        <v>24.00</v>
      </c>
      <c r="D1429" s="18" t="str">
        <f t="shared" ca="1" si="463"/>
        <v>—</v>
      </c>
      <c r="E1429" s="17">
        <f t="shared" ca="1" si="464"/>
        <v>7</v>
      </c>
      <c r="F1429" s="18" t="str">
        <f t="shared" ca="1" si="465"/>
        <v>—</v>
      </c>
      <c r="G1429" s="17">
        <f t="shared" ca="1" si="466"/>
        <v>7</v>
      </c>
      <c r="H1429" s="18" t="str">
        <f t="shared" ca="1" si="467"/>
        <v>—</v>
      </c>
      <c r="I1429" s="17">
        <f t="shared" ca="1" si="468"/>
        <v>7</v>
      </c>
      <c r="J1429" s="18" t="str">
        <f t="shared" ca="1" si="469"/>
        <v>—</v>
      </c>
      <c r="K1429" s="17">
        <f t="shared" ca="1" si="470"/>
        <v>7</v>
      </c>
      <c r="L1429" s="10" t="str">
        <f t="shared" ca="1" si="471"/>
        <v>—</v>
      </c>
      <c r="M1429" s="17">
        <f t="shared" ca="1" si="472"/>
        <v>7</v>
      </c>
      <c r="N1429" s="18" t="str">
        <f t="shared" ca="1" si="473"/>
        <v>—</v>
      </c>
      <c r="O1429" s="17">
        <f t="shared" ca="1" si="474"/>
        <v>7</v>
      </c>
      <c r="P1429" s="18" t="str">
        <f t="shared" ca="1" si="475"/>
        <v>—</v>
      </c>
      <c r="Q1429" s="17">
        <f t="shared" ca="1" si="476"/>
        <v>7</v>
      </c>
      <c r="R1429" s="10" t="str">
        <f t="shared" ca="1" si="477"/>
        <v>—</v>
      </c>
      <c r="S1429" s="17">
        <f t="shared" ca="1" si="478"/>
        <v>7</v>
      </c>
      <c r="T1429" s="70" t="str">
        <f t="shared" ca="1" si="479"/>
        <v>—</v>
      </c>
      <c r="U1429" s="17">
        <f t="shared" ca="1" si="480"/>
        <v>7</v>
      </c>
      <c r="V1429" s="71" t="str">
        <f t="shared" ca="1" si="481"/>
        <v>—</v>
      </c>
      <c r="W1429" s="17">
        <f t="shared" ca="1" si="482"/>
        <v>7</v>
      </c>
    </row>
    <row r="1430" spans="1:23" x14ac:dyDescent="0.25">
      <c r="A1430" s="4">
        <f t="shared" si="462"/>
        <v>32</v>
      </c>
      <c r="B1430" t="str">
        <f ca="1">TEXT(DATE(YEAR(Invoer!$A$6),1,1)+INT((ROWS(B$2:B1430)-1)/4),"jjjjmmdd")</f>
        <v>19401223</v>
      </c>
      <c r="C1430" s="64" t="str">
        <f>IF(MOD(ROWS(C$2:C1430)-1,4)=3,"24.00",INDEX(Data,3,2+MOD(ROWS(C$2:C1430)-1,4)))</f>
        <v>07.00</v>
      </c>
      <c r="D1430" s="18" t="str">
        <f t="shared" ca="1" si="463"/>
        <v>—</v>
      </c>
      <c r="E1430" s="17">
        <f t="shared" ca="1" si="464"/>
        <v>7</v>
      </c>
      <c r="F1430" s="18" t="str">
        <f t="shared" ca="1" si="465"/>
        <v>—</v>
      </c>
      <c r="G1430" s="17">
        <f t="shared" ca="1" si="466"/>
        <v>7</v>
      </c>
      <c r="H1430" s="18" t="str">
        <f t="shared" ca="1" si="467"/>
        <v>—</v>
      </c>
      <c r="I1430" s="17">
        <f t="shared" ca="1" si="468"/>
        <v>7</v>
      </c>
      <c r="J1430" s="18" t="str">
        <f t="shared" ca="1" si="469"/>
        <v>—</v>
      </c>
      <c r="K1430" s="17">
        <f t="shared" ca="1" si="470"/>
        <v>7</v>
      </c>
      <c r="L1430" s="10" t="str">
        <f t="shared" ca="1" si="471"/>
        <v>—</v>
      </c>
      <c r="M1430" s="17">
        <f t="shared" ca="1" si="472"/>
        <v>7</v>
      </c>
      <c r="N1430" s="18" t="str">
        <f t="shared" ca="1" si="473"/>
        <v>—</v>
      </c>
      <c r="O1430" s="17">
        <f t="shared" ca="1" si="474"/>
        <v>7</v>
      </c>
      <c r="P1430" s="18" t="str">
        <f t="shared" ca="1" si="475"/>
        <v>—</v>
      </c>
      <c r="Q1430" s="17">
        <f t="shared" ca="1" si="476"/>
        <v>7</v>
      </c>
      <c r="R1430" s="10" t="str">
        <f t="shared" ca="1" si="477"/>
        <v>—</v>
      </c>
      <c r="S1430" s="17">
        <f t="shared" ca="1" si="478"/>
        <v>7</v>
      </c>
      <c r="T1430" s="70" t="str">
        <f t="shared" ca="1" si="479"/>
        <v>—</v>
      </c>
      <c r="U1430" s="17">
        <f t="shared" ca="1" si="480"/>
        <v>7</v>
      </c>
      <c r="V1430" s="71" t="str">
        <f t="shared" ca="1" si="481"/>
        <v>—</v>
      </c>
      <c r="W1430" s="17">
        <f t="shared" ca="1" si="482"/>
        <v>7</v>
      </c>
    </row>
    <row r="1431" spans="1:23" x14ac:dyDescent="0.25">
      <c r="A1431" s="4">
        <f t="shared" si="462"/>
        <v>32</v>
      </c>
      <c r="B1431" t="str">
        <f ca="1">TEXT(DATE(YEAR(Invoer!$A$6),1,1)+INT((ROWS(B$2:B1431)-1)/4),"jjjjmmdd")</f>
        <v>19401223</v>
      </c>
      <c r="C1431" s="64" t="str">
        <f>IF(MOD(ROWS(C$2:C1431)-1,4)=3,"24.00",INDEX(Data,3,2+MOD(ROWS(C$2:C1431)-1,4)))</f>
        <v>12.00</v>
      </c>
      <c r="D1431" s="18" t="str">
        <f t="shared" ca="1" si="463"/>
        <v>—</v>
      </c>
      <c r="E1431" s="17">
        <f t="shared" ca="1" si="464"/>
        <v>7</v>
      </c>
      <c r="F1431" s="18" t="str">
        <f t="shared" ca="1" si="465"/>
        <v>—</v>
      </c>
      <c r="G1431" s="17">
        <f t="shared" ca="1" si="466"/>
        <v>7</v>
      </c>
      <c r="H1431" s="18" t="str">
        <f t="shared" ca="1" si="467"/>
        <v>—</v>
      </c>
      <c r="I1431" s="17">
        <f t="shared" ca="1" si="468"/>
        <v>7</v>
      </c>
      <c r="J1431" s="18" t="str">
        <f t="shared" ca="1" si="469"/>
        <v>—</v>
      </c>
      <c r="K1431" s="17">
        <f t="shared" ca="1" si="470"/>
        <v>7</v>
      </c>
      <c r="L1431" s="10" t="str">
        <f t="shared" ca="1" si="471"/>
        <v>—</v>
      </c>
      <c r="M1431" s="17">
        <f t="shared" ca="1" si="472"/>
        <v>7</v>
      </c>
      <c r="N1431" s="18" t="str">
        <f t="shared" ca="1" si="473"/>
        <v>—</v>
      </c>
      <c r="O1431" s="17">
        <f t="shared" ca="1" si="474"/>
        <v>7</v>
      </c>
      <c r="P1431" s="18" t="str">
        <f t="shared" ca="1" si="475"/>
        <v>—</v>
      </c>
      <c r="Q1431" s="17">
        <f t="shared" ca="1" si="476"/>
        <v>7</v>
      </c>
      <c r="R1431" s="10" t="str">
        <f t="shared" ca="1" si="477"/>
        <v>—</v>
      </c>
      <c r="S1431" s="17">
        <f t="shared" ca="1" si="478"/>
        <v>7</v>
      </c>
      <c r="T1431" s="70" t="str">
        <f t="shared" ca="1" si="479"/>
        <v>—</v>
      </c>
      <c r="U1431" s="17">
        <f t="shared" ca="1" si="480"/>
        <v>7</v>
      </c>
      <c r="V1431" s="71" t="str">
        <f t="shared" ca="1" si="481"/>
        <v>—</v>
      </c>
      <c r="W1431" s="17">
        <f t="shared" ca="1" si="482"/>
        <v>7</v>
      </c>
    </row>
    <row r="1432" spans="1:23" x14ac:dyDescent="0.25">
      <c r="A1432" s="4">
        <f t="shared" si="462"/>
        <v>32</v>
      </c>
      <c r="B1432" t="str">
        <f ca="1">TEXT(DATE(YEAR(Invoer!$A$6),1,1)+INT((ROWS(B$2:B1432)-1)/4),"jjjjmmdd")</f>
        <v>19401223</v>
      </c>
      <c r="C1432" s="64" t="str">
        <f>IF(MOD(ROWS(C$2:C1432)-1,4)=3,"24.00",INDEX(Data,3,2+MOD(ROWS(C$2:C1432)-1,4)))</f>
        <v>17.00</v>
      </c>
      <c r="D1432" s="18" t="str">
        <f t="shared" ca="1" si="463"/>
        <v>—</v>
      </c>
      <c r="E1432" s="17">
        <f t="shared" ca="1" si="464"/>
        <v>7</v>
      </c>
      <c r="F1432" s="18" t="str">
        <f t="shared" ca="1" si="465"/>
        <v>—</v>
      </c>
      <c r="G1432" s="17">
        <f t="shared" ca="1" si="466"/>
        <v>7</v>
      </c>
      <c r="H1432" s="18" t="str">
        <f t="shared" ca="1" si="467"/>
        <v>—</v>
      </c>
      <c r="I1432" s="17">
        <f t="shared" ca="1" si="468"/>
        <v>7</v>
      </c>
      <c r="J1432" s="18" t="str">
        <f t="shared" ca="1" si="469"/>
        <v>—</v>
      </c>
      <c r="K1432" s="17">
        <f t="shared" ca="1" si="470"/>
        <v>7</v>
      </c>
      <c r="L1432" s="10" t="str">
        <f t="shared" ca="1" si="471"/>
        <v>—</v>
      </c>
      <c r="M1432" s="17">
        <f t="shared" ca="1" si="472"/>
        <v>7</v>
      </c>
      <c r="N1432" s="18" t="str">
        <f t="shared" ca="1" si="473"/>
        <v>—</v>
      </c>
      <c r="O1432" s="17">
        <f t="shared" ca="1" si="474"/>
        <v>7</v>
      </c>
      <c r="P1432" s="18" t="str">
        <f t="shared" ca="1" si="475"/>
        <v>—</v>
      </c>
      <c r="Q1432" s="17">
        <f t="shared" ca="1" si="476"/>
        <v>7</v>
      </c>
      <c r="R1432" s="10" t="str">
        <f t="shared" ca="1" si="477"/>
        <v>—</v>
      </c>
      <c r="S1432" s="17">
        <f t="shared" ca="1" si="478"/>
        <v>7</v>
      </c>
      <c r="T1432" s="70" t="str">
        <f t="shared" ca="1" si="479"/>
        <v>—</v>
      </c>
      <c r="U1432" s="17">
        <f t="shared" ca="1" si="480"/>
        <v>7</v>
      </c>
      <c r="V1432" s="71" t="str">
        <f t="shared" ca="1" si="481"/>
        <v>—</v>
      </c>
      <c r="W1432" s="17">
        <f t="shared" ca="1" si="482"/>
        <v>7</v>
      </c>
    </row>
    <row r="1433" spans="1:23" x14ac:dyDescent="0.25">
      <c r="A1433" s="4">
        <f t="shared" si="462"/>
        <v>32</v>
      </c>
      <c r="B1433" t="str">
        <f ca="1">TEXT(DATE(YEAR(Invoer!$A$6),1,1)+INT((ROWS(B$2:B1433)-1)/4),"jjjjmmdd")</f>
        <v>19401223</v>
      </c>
      <c r="C1433" s="64" t="str">
        <f>IF(MOD(ROWS(C$2:C1433)-1,4)=3,"24.00",INDEX(Data,3,2+MOD(ROWS(C$2:C1433)-1,4)))</f>
        <v>24.00</v>
      </c>
      <c r="D1433" s="18" t="str">
        <f t="shared" ca="1" si="463"/>
        <v>—</v>
      </c>
      <c r="E1433" s="17">
        <f t="shared" ca="1" si="464"/>
        <v>7</v>
      </c>
      <c r="F1433" s="18" t="str">
        <f t="shared" ca="1" si="465"/>
        <v>—</v>
      </c>
      <c r="G1433" s="17">
        <f t="shared" ca="1" si="466"/>
        <v>7</v>
      </c>
      <c r="H1433" s="18" t="str">
        <f t="shared" ca="1" si="467"/>
        <v>—</v>
      </c>
      <c r="I1433" s="17">
        <f t="shared" ca="1" si="468"/>
        <v>7</v>
      </c>
      <c r="J1433" s="18" t="str">
        <f t="shared" ca="1" si="469"/>
        <v>—</v>
      </c>
      <c r="K1433" s="17">
        <f t="shared" ca="1" si="470"/>
        <v>7</v>
      </c>
      <c r="L1433" s="10" t="str">
        <f t="shared" ca="1" si="471"/>
        <v>—</v>
      </c>
      <c r="M1433" s="17">
        <f t="shared" ca="1" si="472"/>
        <v>7</v>
      </c>
      <c r="N1433" s="18" t="str">
        <f t="shared" ca="1" si="473"/>
        <v>—</v>
      </c>
      <c r="O1433" s="17">
        <f t="shared" ca="1" si="474"/>
        <v>7</v>
      </c>
      <c r="P1433" s="18" t="str">
        <f t="shared" ca="1" si="475"/>
        <v>—</v>
      </c>
      <c r="Q1433" s="17">
        <f t="shared" ca="1" si="476"/>
        <v>7</v>
      </c>
      <c r="R1433" s="10" t="str">
        <f t="shared" ca="1" si="477"/>
        <v>—</v>
      </c>
      <c r="S1433" s="17">
        <f t="shared" ca="1" si="478"/>
        <v>7</v>
      </c>
      <c r="T1433" s="70" t="str">
        <f t="shared" ca="1" si="479"/>
        <v>—</v>
      </c>
      <c r="U1433" s="17">
        <f t="shared" ca="1" si="480"/>
        <v>7</v>
      </c>
      <c r="V1433" s="71" t="str">
        <f t="shared" ca="1" si="481"/>
        <v>—</v>
      </c>
      <c r="W1433" s="17">
        <f t="shared" ca="1" si="482"/>
        <v>7</v>
      </c>
    </row>
    <row r="1434" spans="1:23" x14ac:dyDescent="0.25">
      <c r="A1434" s="4">
        <f t="shared" si="462"/>
        <v>32</v>
      </c>
      <c r="B1434" t="str">
        <f ca="1">TEXT(DATE(YEAR(Invoer!$A$6),1,1)+INT((ROWS(B$2:B1434)-1)/4),"jjjjmmdd")</f>
        <v>19401224</v>
      </c>
      <c r="C1434" s="64" t="str">
        <f>IF(MOD(ROWS(C$2:C1434)-1,4)=3,"24.00",INDEX(Data,3,2+MOD(ROWS(C$2:C1434)-1,4)))</f>
        <v>07.00</v>
      </c>
      <c r="D1434" s="18" t="str">
        <f t="shared" ca="1" si="463"/>
        <v>—</v>
      </c>
      <c r="E1434" s="17">
        <f t="shared" ca="1" si="464"/>
        <v>7</v>
      </c>
      <c r="F1434" s="18" t="str">
        <f t="shared" ca="1" si="465"/>
        <v>—</v>
      </c>
      <c r="G1434" s="17">
        <f t="shared" ca="1" si="466"/>
        <v>7</v>
      </c>
      <c r="H1434" s="18" t="str">
        <f t="shared" ca="1" si="467"/>
        <v>—</v>
      </c>
      <c r="I1434" s="17">
        <f t="shared" ca="1" si="468"/>
        <v>7</v>
      </c>
      <c r="J1434" s="18" t="str">
        <f t="shared" ca="1" si="469"/>
        <v>—</v>
      </c>
      <c r="K1434" s="17">
        <f t="shared" ca="1" si="470"/>
        <v>7</v>
      </c>
      <c r="L1434" s="10" t="str">
        <f t="shared" ca="1" si="471"/>
        <v>—</v>
      </c>
      <c r="M1434" s="17">
        <f t="shared" ca="1" si="472"/>
        <v>7</v>
      </c>
      <c r="N1434" s="18" t="str">
        <f t="shared" ca="1" si="473"/>
        <v>—</v>
      </c>
      <c r="O1434" s="17">
        <f t="shared" ca="1" si="474"/>
        <v>7</v>
      </c>
      <c r="P1434" s="18" t="str">
        <f t="shared" ca="1" si="475"/>
        <v>—</v>
      </c>
      <c r="Q1434" s="17">
        <f t="shared" ca="1" si="476"/>
        <v>7</v>
      </c>
      <c r="R1434" s="10" t="str">
        <f t="shared" ca="1" si="477"/>
        <v>—</v>
      </c>
      <c r="S1434" s="17">
        <f t="shared" ca="1" si="478"/>
        <v>7</v>
      </c>
      <c r="T1434" s="70" t="str">
        <f t="shared" ca="1" si="479"/>
        <v>—</v>
      </c>
      <c r="U1434" s="17">
        <f t="shared" ca="1" si="480"/>
        <v>7</v>
      </c>
      <c r="V1434" s="71" t="str">
        <f t="shared" ca="1" si="481"/>
        <v>—</v>
      </c>
      <c r="W1434" s="17">
        <f t="shared" ca="1" si="482"/>
        <v>7</v>
      </c>
    </row>
    <row r="1435" spans="1:23" x14ac:dyDescent="0.25">
      <c r="A1435" s="4">
        <f t="shared" si="462"/>
        <v>32</v>
      </c>
      <c r="B1435" t="str">
        <f ca="1">TEXT(DATE(YEAR(Invoer!$A$6),1,1)+INT((ROWS(B$2:B1435)-1)/4),"jjjjmmdd")</f>
        <v>19401224</v>
      </c>
      <c r="C1435" s="64" t="str">
        <f>IF(MOD(ROWS(C$2:C1435)-1,4)=3,"24.00",INDEX(Data,3,2+MOD(ROWS(C$2:C1435)-1,4)))</f>
        <v>12.00</v>
      </c>
      <c r="D1435" s="18" t="str">
        <f t="shared" ca="1" si="463"/>
        <v>—</v>
      </c>
      <c r="E1435" s="17">
        <f t="shared" ca="1" si="464"/>
        <v>7</v>
      </c>
      <c r="F1435" s="18" t="str">
        <f t="shared" ca="1" si="465"/>
        <v>—</v>
      </c>
      <c r="G1435" s="17">
        <f t="shared" ca="1" si="466"/>
        <v>7</v>
      </c>
      <c r="H1435" s="18" t="str">
        <f t="shared" ca="1" si="467"/>
        <v>—</v>
      </c>
      <c r="I1435" s="17">
        <f t="shared" ca="1" si="468"/>
        <v>7</v>
      </c>
      <c r="J1435" s="18" t="str">
        <f t="shared" ca="1" si="469"/>
        <v>—</v>
      </c>
      <c r="K1435" s="17">
        <f t="shared" ca="1" si="470"/>
        <v>7</v>
      </c>
      <c r="L1435" s="10" t="str">
        <f t="shared" ca="1" si="471"/>
        <v>—</v>
      </c>
      <c r="M1435" s="17">
        <f t="shared" ca="1" si="472"/>
        <v>7</v>
      </c>
      <c r="N1435" s="18" t="str">
        <f t="shared" ca="1" si="473"/>
        <v>—</v>
      </c>
      <c r="O1435" s="17">
        <f t="shared" ca="1" si="474"/>
        <v>7</v>
      </c>
      <c r="P1435" s="18" t="str">
        <f t="shared" ca="1" si="475"/>
        <v>—</v>
      </c>
      <c r="Q1435" s="17">
        <f t="shared" ca="1" si="476"/>
        <v>7</v>
      </c>
      <c r="R1435" s="10" t="str">
        <f t="shared" ca="1" si="477"/>
        <v>—</v>
      </c>
      <c r="S1435" s="17">
        <f t="shared" ca="1" si="478"/>
        <v>7</v>
      </c>
      <c r="T1435" s="70" t="str">
        <f t="shared" ca="1" si="479"/>
        <v>—</v>
      </c>
      <c r="U1435" s="17">
        <f t="shared" ca="1" si="480"/>
        <v>7</v>
      </c>
      <c r="V1435" s="71" t="str">
        <f t="shared" ca="1" si="481"/>
        <v>—</v>
      </c>
      <c r="W1435" s="17">
        <f t="shared" ca="1" si="482"/>
        <v>7</v>
      </c>
    </row>
    <row r="1436" spans="1:23" x14ac:dyDescent="0.25">
      <c r="A1436" s="4">
        <f t="shared" si="462"/>
        <v>32</v>
      </c>
      <c r="B1436" t="str">
        <f ca="1">TEXT(DATE(YEAR(Invoer!$A$6),1,1)+INT((ROWS(B$2:B1436)-1)/4),"jjjjmmdd")</f>
        <v>19401224</v>
      </c>
      <c r="C1436" s="64" t="str">
        <f>IF(MOD(ROWS(C$2:C1436)-1,4)=3,"24.00",INDEX(Data,3,2+MOD(ROWS(C$2:C1436)-1,4)))</f>
        <v>17.00</v>
      </c>
      <c r="D1436" s="18" t="str">
        <f t="shared" ca="1" si="463"/>
        <v>—</v>
      </c>
      <c r="E1436" s="17">
        <f t="shared" ca="1" si="464"/>
        <v>7</v>
      </c>
      <c r="F1436" s="18" t="str">
        <f t="shared" ca="1" si="465"/>
        <v>—</v>
      </c>
      <c r="G1436" s="17">
        <f t="shared" ca="1" si="466"/>
        <v>7</v>
      </c>
      <c r="H1436" s="18" t="str">
        <f t="shared" ca="1" si="467"/>
        <v>—</v>
      </c>
      <c r="I1436" s="17">
        <f t="shared" ca="1" si="468"/>
        <v>7</v>
      </c>
      <c r="J1436" s="18" t="str">
        <f t="shared" ca="1" si="469"/>
        <v>—</v>
      </c>
      <c r="K1436" s="17">
        <f t="shared" ca="1" si="470"/>
        <v>7</v>
      </c>
      <c r="L1436" s="10" t="str">
        <f t="shared" ca="1" si="471"/>
        <v>—</v>
      </c>
      <c r="M1436" s="17">
        <f t="shared" ca="1" si="472"/>
        <v>7</v>
      </c>
      <c r="N1436" s="18" t="str">
        <f t="shared" ca="1" si="473"/>
        <v>—</v>
      </c>
      <c r="O1436" s="17">
        <f t="shared" ca="1" si="474"/>
        <v>7</v>
      </c>
      <c r="P1436" s="18" t="str">
        <f t="shared" ca="1" si="475"/>
        <v>—</v>
      </c>
      <c r="Q1436" s="17">
        <f t="shared" ca="1" si="476"/>
        <v>7</v>
      </c>
      <c r="R1436" s="10" t="str">
        <f t="shared" ca="1" si="477"/>
        <v>—</v>
      </c>
      <c r="S1436" s="17">
        <f t="shared" ca="1" si="478"/>
        <v>7</v>
      </c>
      <c r="T1436" s="70" t="str">
        <f t="shared" ca="1" si="479"/>
        <v>—</v>
      </c>
      <c r="U1436" s="17">
        <f t="shared" ca="1" si="480"/>
        <v>7</v>
      </c>
      <c r="V1436" s="71" t="str">
        <f t="shared" ca="1" si="481"/>
        <v>—</v>
      </c>
      <c r="W1436" s="17">
        <f t="shared" ca="1" si="482"/>
        <v>7</v>
      </c>
    </row>
    <row r="1437" spans="1:23" x14ac:dyDescent="0.25">
      <c r="A1437" s="4">
        <f t="shared" si="462"/>
        <v>32</v>
      </c>
      <c r="B1437" t="str">
        <f ca="1">TEXT(DATE(YEAR(Invoer!$A$6),1,1)+INT((ROWS(B$2:B1437)-1)/4),"jjjjmmdd")</f>
        <v>19401224</v>
      </c>
      <c r="C1437" s="64" t="str">
        <f>IF(MOD(ROWS(C$2:C1437)-1,4)=3,"24.00",INDEX(Data,3,2+MOD(ROWS(C$2:C1437)-1,4)))</f>
        <v>24.00</v>
      </c>
      <c r="D1437" s="18" t="str">
        <f t="shared" ca="1" si="463"/>
        <v>—</v>
      </c>
      <c r="E1437" s="17">
        <f t="shared" ca="1" si="464"/>
        <v>7</v>
      </c>
      <c r="F1437" s="18" t="str">
        <f t="shared" ca="1" si="465"/>
        <v>—</v>
      </c>
      <c r="G1437" s="17">
        <f t="shared" ca="1" si="466"/>
        <v>7</v>
      </c>
      <c r="H1437" s="18" t="str">
        <f t="shared" ca="1" si="467"/>
        <v>—</v>
      </c>
      <c r="I1437" s="17">
        <f t="shared" ca="1" si="468"/>
        <v>7</v>
      </c>
      <c r="J1437" s="18" t="str">
        <f t="shared" ca="1" si="469"/>
        <v>—</v>
      </c>
      <c r="K1437" s="17">
        <f t="shared" ca="1" si="470"/>
        <v>7</v>
      </c>
      <c r="L1437" s="10" t="str">
        <f t="shared" ca="1" si="471"/>
        <v>—</v>
      </c>
      <c r="M1437" s="17">
        <f t="shared" ca="1" si="472"/>
        <v>7</v>
      </c>
      <c r="N1437" s="18" t="str">
        <f t="shared" ca="1" si="473"/>
        <v>—</v>
      </c>
      <c r="O1437" s="17">
        <f t="shared" ca="1" si="474"/>
        <v>7</v>
      </c>
      <c r="P1437" s="18" t="str">
        <f t="shared" ca="1" si="475"/>
        <v>—</v>
      </c>
      <c r="Q1437" s="17">
        <f t="shared" ca="1" si="476"/>
        <v>7</v>
      </c>
      <c r="R1437" s="10" t="str">
        <f t="shared" ca="1" si="477"/>
        <v>—</v>
      </c>
      <c r="S1437" s="17">
        <f t="shared" ca="1" si="478"/>
        <v>7</v>
      </c>
      <c r="T1437" s="70" t="str">
        <f t="shared" ca="1" si="479"/>
        <v>—</v>
      </c>
      <c r="U1437" s="17">
        <f t="shared" ca="1" si="480"/>
        <v>7</v>
      </c>
      <c r="V1437" s="71" t="str">
        <f t="shared" ca="1" si="481"/>
        <v>—</v>
      </c>
      <c r="W1437" s="17">
        <f t="shared" ca="1" si="482"/>
        <v>7</v>
      </c>
    </row>
    <row r="1438" spans="1:23" x14ac:dyDescent="0.25">
      <c r="A1438" s="4">
        <f t="shared" si="462"/>
        <v>32</v>
      </c>
      <c r="B1438" t="str">
        <f ca="1">TEXT(DATE(YEAR(Invoer!$A$6),1,1)+INT((ROWS(B$2:B1438)-1)/4),"jjjjmmdd")</f>
        <v>19401225</v>
      </c>
      <c r="C1438" s="64" t="str">
        <f>IF(MOD(ROWS(C$2:C1438)-1,4)=3,"24.00",INDEX(Data,3,2+MOD(ROWS(C$2:C1438)-1,4)))</f>
        <v>07.00</v>
      </c>
      <c r="D1438" s="18" t="str">
        <f t="shared" ca="1" si="463"/>
        <v>—</v>
      </c>
      <c r="E1438" s="17">
        <f t="shared" ca="1" si="464"/>
        <v>7</v>
      </c>
      <c r="F1438" s="18" t="str">
        <f t="shared" ca="1" si="465"/>
        <v>—</v>
      </c>
      <c r="G1438" s="17">
        <f t="shared" ca="1" si="466"/>
        <v>7</v>
      </c>
      <c r="H1438" s="18" t="str">
        <f t="shared" ca="1" si="467"/>
        <v>—</v>
      </c>
      <c r="I1438" s="17">
        <f t="shared" ca="1" si="468"/>
        <v>7</v>
      </c>
      <c r="J1438" s="18" t="str">
        <f t="shared" ca="1" si="469"/>
        <v>—</v>
      </c>
      <c r="K1438" s="17">
        <f t="shared" ca="1" si="470"/>
        <v>7</v>
      </c>
      <c r="L1438" s="10" t="str">
        <f t="shared" ca="1" si="471"/>
        <v>—</v>
      </c>
      <c r="M1438" s="17">
        <f t="shared" ca="1" si="472"/>
        <v>7</v>
      </c>
      <c r="N1438" s="18" t="str">
        <f t="shared" ca="1" si="473"/>
        <v>—</v>
      </c>
      <c r="O1438" s="17">
        <f t="shared" ca="1" si="474"/>
        <v>7</v>
      </c>
      <c r="P1438" s="18" t="str">
        <f t="shared" ca="1" si="475"/>
        <v>—</v>
      </c>
      <c r="Q1438" s="17">
        <f t="shared" ca="1" si="476"/>
        <v>7</v>
      </c>
      <c r="R1438" s="10" t="str">
        <f t="shared" ca="1" si="477"/>
        <v>—</v>
      </c>
      <c r="S1438" s="17">
        <f t="shared" ca="1" si="478"/>
        <v>7</v>
      </c>
      <c r="T1438" s="70" t="str">
        <f t="shared" ca="1" si="479"/>
        <v>—</v>
      </c>
      <c r="U1438" s="17">
        <f t="shared" ca="1" si="480"/>
        <v>7</v>
      </c>
      <c r="V1438" s="71" t="str">
        <f t="shared" ca="1" si="481"/>
        <v>—</v>
      </c>
      <c r="W1438" s="17">
        <f t="shared" ca="1" si="482"/>
        <v>7</v>
      </c>
    </row>
    <row r="1439" spans="1:23" x14ac:dyDescent="0.25">
      <c r="A1439" s="4">
        <f t="shared" si="462"/>
        <v>32</v>
      </c>
      <c r="B1439" t="str">
        <f ca="1">TEXT(DATE(YEAR(Invoer!$A$6),1,1)+INT((ROWS(B$2:B1439)-1)/4),"jjjjmmdd")</f>
        <v>19401225</v>
      </c>
      <c r="C1439" s="64" t="str">
        <f>IF(MOD(ROWS(C$2:C1439)-1,4)=3,"24.00",INDEX(Data,3,2+MOD(ROWS(C$2:C1439)-1,4)))</f>
        <v>12.00</v>
      </c>
      <c r="D1439" s="18" t="str">
        <f t="shared" ca="1" si="463"/>
        <v>—</v>
      </c>
      <c r="E1439" s="17">
        <f t="shared" ca="1" si="464"/>
        <v>7</v>
      </c>
      <c r="F1439" s="18" t="str">
        <f t="shared" ca="1" si="465"/>
        <v>—</v>
      </c>
      <c r="G1439" s="17">
        <f t="shared" ca="1" si="466"/>
        <v>7</v>
      </c>
      <c r="H1439" s="18" t="str">
        <f t="shared" ca="1" si="467"/>
        <v>—</v>
      </c>
      <c r="I1439" s="17">
        <f t="shared" ca="1" si="468"/>
        <v>7</v>
      </c>
      <c r="J1439" s="18" t="str">
        <f t="shared" ca="1" si="469"/>
        <v>—</v>
      </c>
      <c r="K1439" s="17">
        <f t="shared" ca="1" si="470"/>
        <v>7</v>
      </c>
      <c r="L1439" s="10" t="str">
        <f t="shared" ca="1" si="471"/>
        <v>—</v>
      </c>
      <c r="M1439" s="17">
        <f t="shared" ca="1" si="472"/>
        <v>7</v>
      </c>
      <c r="N1439" s="18" t="str">
        <f t="shared" ca="1" si="473"/>
        <v>—</v>
      </c>
      <c r="O1439" s="17">
        <f t="shared" ca="1" si="474"/>
        <v>7</v>
      </c>
      <c r="P1439" s="18" t="str">
        <f t="shared" ca="1" si="475"/>
        <v>—</v>
      </c>
      <c r="Q1439" s="17">
        <f t="shared" ca="1" si="476"/>
        <v>7</v>
      </c>
      <c r="R1439" s="10" t="str">
        <f t="shared" ca="1" si="477"/>
        <v>—</v>
      </c>
      <c r="S1439" s="17">
        <f t="shared" ca="1" si="478"/>
        <v>7</v>
      </c>
      <c r="T1439" s="70" t="str">
        <f t="shared" ca="1" si="479"/>
        <v>—</v>
      </c>
      <c r="U1439" s="17">
        <f t="shared" ca="1" si="480"/>
        <v>7</v>
      </c>
      <c r="V1439" s="71" t="str">
        <f t="shared" ca="1" si="481"/>
        <v>—</v>
      </c>
      <c r="W1439" s="17">
        <f t="shared" ca="1" si="482"/>
        <v>7</v>
      </c>
    </row>
    <row r="1440" spans="1:23" x14ac:dyDescent="0.25">
      <c r="A1440" s="4">
        <f t="shared" si="462"/>
        <v>32</v>
      </c>
      <c r="B1440" t="str">
        <f ca="1">TEXT(DATE(YEAR(Invoer!$A$6),1,1)+INT((ROWS(B$2:B1440)-1)/4),"jjjjmmdd")</f>
        <v>19401225</v>
      </c>
      <c r="C1440" s="64" t="str">
        <f>IF(MOD(ROWS(C$2:C1440)-1,4)=3,"24.00",INDEX(Data,3,2+MOD(ROWS(C$2:C1440)-1,4)))</f>
        <v>17.00</v>
      </c>
      <c r="D1440" s="18" t="str">
        <f t="shared" ca="1" si="463"/>
        <v>—</v>
      </c>
      <c r="E1440" s="17">
        <f t="shared" ca="1" si="464"/>
        <v>7</v>
      </c>
      <c r="F1440" s="18" t="str">
        <f t="shared" ca="1" si="465"/>
        <v>—</v>
      </c>
      <c r="G1440" s="17">
        <f t="shared" ca="1" si="466"/>
        <v>7</v>
      </c>
      <c r="H1440" s="18" t="str">
        <f t="shared" ca="1" si="467"/>
        <v>—</v>
      </c>
      <c r="I1440" s="17">
        <f t="shared" ca="1" si="468"/>
        <v>7</v>
      </c>
      <c r="J1440" s="18" t="str">
        <f t="shared" ca="1" si="469"/>
        <v>—</v>
      </c>
      <c r="K1440" s="17">
        <f t="shared" ca="1" si="470"/>
        <v>7</v>
      </c>
      <c r="L1440" s="10" t="str">
        <f t="shared" ca="1" si="471"/>
        <v>—</v>
      </c>
      <c r="M1440" s="17">
        <f t="shared" ca="1" si="472"/>
        <v>7</v>
      </c>
      <c r="N1440" s="18" t="str">
        <f t="shared" ca="1" si="473"/>
        <v>—</v>
      </c>
      <c r="O1440" s="17">
        <f t="shared" ca="1" si="474"/>
        <v>7</v>
      </c>
      <c r="P1440" s="18" t="str">
        <f t="shared" ca="1" si="475"/>
        <v>—</v>
      </c>
      <c r="Q1440" s="17">
        <f t="shared" ca="1" si="476"/>
        <v>7</v>
      </c>
      <c r="R1440" s="10" t="str">
        <f t="shared" ca="1" si="477"/>
        <v>—</v>
      </c>
      <c r="S1440" s="17">
        <f t="shared" ca="1" si="478"/>
        <v>7</v>
      </c>
      <c r="T1440" s="70" t="str">
        <f t="shared" ca="1" si="479"/>
        <v>—</v>
      </c>
      <c r="U1440" s="17">
        <f t="shared" ca="1" si="480"/>
        <v>7</v>
      </c>
      <c r="V1440" s="71" t="str">
        <f t="shared" ca="1" si="481"/>
        <v>—</v>
      </c>
      <c r="W1440" s="17">
        <f t="shared" ca="1" si="482"/>
        <v>7</v>
      </c>
    </row>
    <row r="1441" spans="1:23" x14ac:dyDescent="0.25">
      <c r="A1441" s="4">
        <f t="shared" si="462"/>
        <v>32</v>
      </c>
      <c r="B1441" t="str">
        <f ca="1">TEXT(DATE(YEAR(Invoer!$A$6),1,1)+INT((ROWS(B$2:B1441)-1)/4),"jjjjmmdd")</f>
        <v>19401225</v>
      </c>
      <c r="C1441" s="64" t="str">
        <f>IF(MOD(ROWS(C$2:C1441)-1,4)=3,"24.00",INDEX(Data,3,2+MOD(ROWS(C$2:C1441)-1,4)))</f>
        <v>24.00</v>
      </c>
      <c r="D1441" s="18" t="str">
        <f t="shared" ca="1" si="463"/>
        <v>—</v>
      </c>
      <c r="E1441" s="17">
        <f t="shared" ca="1" si="464"/>
        <v>7</v>
      </c>
      <c r="F1441" s="18" t="str">
        <f t="shared" ca="1" si="465"/>
        <v>—</v>
      </c>
      <c r="G1441" s="17">
        <f t="shared" ca="1" si="466"/>
        <v>7</v>
      </c>
      <c r="H1441" s="18" t="str">
        <f t="shared" ca="1" si="467"/>
        <v>—</v>
      </c>
      <c r="I1441" s="17">
        <f t="shared" ca="1" si="468"/>
        <v>7</v>
      </c>
      <c r="J1441" s="18" t="str">
        <f t="shared" ca="1" si="469"/>
        <v>—</v>
      </c>
      <c r="K1441" s="17">
        <f t="shared" ca="1" si="470"/>
        <v>7</v>
      </c>
      <c r="L1441" s="10" t="str">
        <f t="shared" ca="1" si="471"/>
        <v>—</v>
      </c>
      <c r="M1441" s="17">
        <f t="shared" ca="1" si="472"/>
        <v>7</v>
      </c>
      <c r="N1441" s="18" t="str">
        <f t="shared" ca="1" si="473"/>
        <v>—</v>
      </c>
      <c r="O1441" s="17">
        <f t="shared" ca="1" si="474"/>
        <v>7</v>
      </c>
      <c r="P1441" s="18" t="str">
        <f t="shared" ca="1" si="475"/>
        <v>—</v>
      </c>
      <c r="Q1441" s="17">
        <f t="shared" ca="1" si="476"/>
        <v>7</v>
      </c>
      <c r="R1441" s="10" t="str">
        <f t="shared" ca="1" si="477"/>
        <v>—</v>
      </c>
      <c r="S1441" s="17">
        <f t="shared" ca="1" si="478"/>
        <v>7</v>
      </c>
      <c r="T1441" s="70" t="str">
        <f t="shared" ca="1" si="479"/>
        <v>—</v>
      </c>
      <c r="U1441" s="17">
        <f t="shared" ca="1" si="480"/>
        <v>7</v>
      </c>
      <c r="V1441" s="71" t="str">
        <f t="shared" ca="1" si="481"/>
        <v>—</v>
      </c>
      <c r="W1441" s="17">
        <f t="shared" ca="1" si="482"/>
        <v>7</v>
      </c>
    </row>
    <row r="1442" spans="1:23" x14ac:dyDescent="0.25">
      <c r="A1442" s="4">
        <f t="shared" si="462"/>
        <v>32</v>
      </c>
      <c r="B1442" t="str">
        <f ca="1">TEXT(DATE(YEAR(Invoer!$A$6),1,1)+INT((ROWS(B$2:B1442)-1)/4),"jjjjmmdd")</f>
        <v>19401226</v>
      </c>
      <c r="C1442" s="64" t="str">
        <f>IF(MOD(ROWS(C$2:C1442)-1,4)=3,"24.00",INDEX(Data,3,2+MOD(ROWS(C$2:C1442)-1,4)))</f>
        <v>07.00</v>
      </c>
      <c r="D1442" s="18" t="str">
        <f t="shared" ca="1" si="463"/>
        <v>—</v>
      </c>
      <c r="E1442" s="17">
        <f t="shared" ca="1" si="464"/>
        <v>7</v>
      </c>
      <c r="F1442" s="18" t="str">
        <f t="shared" ca="1" si="465"/>
        <v>—</v>
      </c>
      <c r="G1442" s="17">
        <f t="shared" ca="1" si="466"/>
        <v>7</v>
      </c>
      <c r="H1442" s="18" t="str">
        <f t="shared" ca="1" si="467"/>
        <v>—</v>
      </c>
      <c r="I1442" s="17">
        <f t="shared" ca="1" si="468"/>
        <v>7</v>
      </c>
      <c r="J1442" s="18" t="str">
        <f t="shared" ca="1" si="469"/>
        <v>—</v>
      </c>
      <c r="K1442" s="17">
        <f t="shared" ca="1" si="470"/>
        <v>7</v>
      </c>
      <c r="L1442" s="10" t="str">
        <f t="shared" ca="1" si="471"/>
        <v>—</v>
      </c>
      <c r="M1442" s="17">
        <f t="shared" ca="1" si="472"/>
        <v>7</v>
      </c>
      <c r="N1442" s="18" t="str">
        <f t="shared" ca="1" si="473"/>
        <v>—</v>
      </c>
      <c r="O1442" s="17">
        <f t="shared" ca="1" si="474"/>
        <v>7</v>
      </c>
      <c r="P1442" s="18" t="str">
        <f t="shared" ca="1" si="475"/>
        <v>—</v>
      </c>
      <c r="Q1442" s="17">
        <f t="shared" ca="1" si="476"/>
        <v>7</v>
      </c>
      <c r="R1442" s="10" t="str">
        <f t="shared" ca="1" si="477"/>
        <v>—</v>
      </c>
      <c r="S1442" s="17">
        <f t="shared" ca="1" si="478"/>
        <v>7</v>
      </c>
      <c r="T1442" s="70" t="str">
        <f t="shared" ca="1" si="479"/>
        <v>—</v>
      </c>
      <c r="U1442" s="17">
        <f t="shared" ca="1" si="480"/>
        <v>7</v>
      </c>
      <c r="V1442" s="71" t="str">
        <f t="shared" ca="1" si="481"/>
        <v>—</v>
      </c>
      <c r="W1442" s="17">
        <f t="shared" ca="1" si="482"/>
        <v>7</v>
      </c>
    </row>
    <row r="1443" spans="1:23" x14ac:dyDescent="0.25">
      <c r="A1443" s="4">
        <f t="shared" si="462"/>
        <v>32</v>
      </c>
      <c r="B1443" t="str">
        <f ca="1">TEXT(DATE(YEAR(Invoer!$A$6),1,1)+INT((ROWS(B$2:B1443)-1)/4),"jjjjmmdd")</f>
        <v>19401226</v>
      </c>
      <c r="C1443" s="64" t="str">
        <f>IF(MOD(ROWS(C$2:C1443)-1,4)=3,"24.00",INDEX(Data,3,2+MOD(ROWS(C$2:C1443)-1,4)))</f>
        <v>12.00</v>
      </c>
      <c r="D1443" s="18" t="str">
        <f t="shared" ca="1" si="463"/>
        <v>—</v>
      </c>
      <c r="E1443" s="17">
        <f t="shared" ca="1" si="464"/>
        <v>7</v>
      </c>
      <c r="F1443" s="18" t="str">
        <f t="shared" ca="1" si="465"/>
        <v>—</v>
      </c>
      <c r="G1443" s="17">
        <f t="shared" ca="1" si="466"/>
        <v>7</v>
      </c>
      <c r="H1443" s="18" t="str">
        <f t="shared" ca="1" si="467"/>
        <v>—</v>
      </c>
      <c r="I1443" s="17">
        <f t="shared" ca="1" si="468"/>
        <v>7</v>
      </c>
      <c r="J1443" s="18" t="str">
        <f t="shared" ca="1" si="469"/>
        <v>—</v>
      </c>
      <c r="K1443" s="17">
        <f t="shared" ca="1" si="470"/>
        <v>7</v>
      </c>
      <c r="L1443" s="10" t="str">
        <f t="shared" ca="1" si="471"/>
        <v>—</v>
      </c>
      <c r="M1443" s="17">
        <f t="shared" ca="1" si="472"/>
        <v>7</v>
      </c>
      <c r="N1443" s="18" t="str">
        <f t="shared" ca="1" si="473"/>
        <v>—</v>
      </c>
      <c r="O1443" s="17">
        <f t="shared" ca="1" si="474"/>
        <v>7</v>
      </c>
      <c r="P1443" s="18" t="str">
        <f t="shared" ca="1" si="475"/>
        <v>—</v>
      </c>
      <c r="Q1443" s="17">
        <f t="shared" ca="1" si="476"/>
        <v>7</v>
      </c>
      <c r="R1443" s="10" t="str">
        <f t="shared" ca="1" si="477"/>
        <v>—</v>
      </c>
      <c r="S1443" s="17">
        <f t="shared" ca="1" si="478"/>
        <v>7</v>
      </c>
      <c r="T1443" s="70" t="str">
        <f t="shared" ca="1" si="479"/>
        <v>—</v>
      </c>
      <c r="U1443" s="17">
        <f t="shared" ca="1" si="480"/>
        <v>7</v>
      </c>
      <c r="V1443" s="71" t="str">
        <f t="shared" ca="1" si="481"/>
        <v>—</v>
      </c>
      <c r="W1443" s="17">
        <f t="shared" ca="1" si="482"/>
        <v>7</v>
      </c>
    </row>
    <row r="1444" spans="1:23" x14ac:dyDescent="0.25">
      <c r="A1444" s="4">
        <f t="shared" si="462"/>
        <v>32</v>
      </c>
      <c r="B1444" t="str">
        <f ca="1">TEXT(DATE(YEAR(Invoer!$A$6),1,1)+INT((ROWS(B$2:B1444)-1)/4),"jjjjmmdd")</f>
        <v>19401226</v>
      </c>
      <c r="C1444" s="64" t="str">
        <f>IF(MOD(ROWS(C$2:C1444)-1,4)=3,"24.00",INDEX(Data,3,2+MOD(ROWS(C$2:C1444)-1,4)))</f>
        <v>17.00</v>
      </c>
      <c r="D1444" s="18" t="str">
        <f t="shared" ca="1" si="463"/>
        <v>—</v>
      </c>
      <c r="E1444" s="17">
        <f t="shared" ca="1" si="464"/>
        <v>7</v>
      </c>
      <c r="F1444" s="18" t="str">
        <f t="shared" ca="1" si="465"/>
        <v>—</v>
      </c>
      <c r="G1444" s="17">
        <f t="shared" ca="1" si="466"/>
        <v>7</v>
      </c>
      <c r="H1444" s="18" t="str">
        <f t="shared" ca="1" si="467"/>
        <v>—</v>
      </c>
      <c r="I1444" s="17">
        <f t="shared" ca="1" si="468"/>
        <v>7</v>
      </c>
      <c r="J1444" s="18" t="str">
        <f t="shared" ca="1" si="469"/>
        <v>—</v>
      </c>
      <c r="K1444" s="17">
        <f t="shared" ca="1" si="470"/>
        <v>7</v>
      </c>
      <c r="L1444" s="10" t="str">
        <f t="shared" ca="1" si="471"/>
        <v>—</v>
      </c>
      <c r="M1444" s="17">
        <f t="shared" ca="1" si="472"/>
        <v>7</v>
      </c>
      <c r="N1444" s="18" t="str">
        <f t="shared" ca="1" si="473"/>
        <v>—</v>
      </c>
      <c r="O1444" s="17">
        <f t="shared" ca="1" si="474"/>
        <v>7</v>
      </c>
      <c r="P1444" s="18" t="str">
        <f t="shared" ca="1" si="475"/>
        <v>—</v>
      </c>
      <c r="Q1444" s="17">
        <f t="shared" ca="1" si="476"/>
        <v>7</v>
      </c>
      <c r="R1444" s="10" t="str">
        <f t="shared" ca="1" si="477"/>
        <v>—</v>
      </c>
      <c r="S1444" s="17">
        <f t="shared" ca="1" si="478"/>
        <v>7</v>
      </c>
      <c r="T1444" s="70" t="str">
        <f t="shared" ca="1" si="479"/>
        <v>—</v>
      </c>
      <c r="U1444" s="17">
        <f t="shared" ca="1" si="480"/>
        <v>7</v>
      </c>
      <c r="V1444" s="71" t="str">
        <f t="shared" ca="1" si="481"/>
        <v>—</v>
      </c>
      <c r="W1444" s="17">
        <f t="shared" ca="1" si="482"/>
        <v>7</v>
      </c>
    </row>
    <row r="1445" spans="1:23" x14ac:dyDescent="0.25">
      <c r="A1445" s="4">
        <f t="shared" si="462"/>
        <v>32</v>
      </c>
      <c r="B1445" t="str">
        <f ca="1">TEXT(DATE(YEAR(Invoer!$A$6),1,1)+INT((ROWS(B$2:B1445)-1)/4),"jjjjmmdd")</f>
        <v>19401226</v>
      </c>
      <c r="C1445" s="64" t="str">
        <f>IF(MOD(ROWS(C$2:C1445)-1,4)=3,"24.00",INDEX(Data,3,2+MOD(ROWS(C$2:C1445)-1,4)))</f>
        <v>24.00</v>
      </c>
      <c r="D1445" s="18" t="str">
        <f t="shared" ca="1" si="463"/>
        <v>—</v>
      </c>
      <c r="E1445" s="17">
        <f t="shared" ca="1" si="464"/>
        <v>7</v>
      </c>
      <c r="F1445" s="18" t="str">
        <f t="shared" ca="1" si="465"/>
        <v>—</v>
      </c>
      <c r="G1445" s="17">
        <f t="shared" ca="1" si="466"/>
        <v>7</v>
      </c>
      <c r="H1445" s="18" t="str">
        <f t="shared" ca="1" si="467"/>
        <v>—</v>
      </c>
      <c r="I1445" s="17">
        <f t="shared" ca="1" si="468"/>
        <v>7</v>
      </c>
      <c r="J1445" s="18" t="str">
        <f t="shared" ca="1" si="469"/>
        <v>—</v>
      </c>
      <c r="K1445" s="17">
        <f t="shared" ca="1" si="470"/>
        <v>7</v>
      </c>
      <c r="L1445" s="10" t="str">
        <f t="shared" ca="1" si="471"/>
        <v>—</v>
      </c>
      <c r="M1445" s="17">
        <f t="shared" ca="1" si="472"/>
        <v>7</v>
      </c>
      <c r="N1445" s="18" t="str">
        <f t="shared" ca="1" si="473"/>
        <v>—</v>
      </c>
      <c r="O1445" s="17">
        <f t="shared" ca="1" si="474"/>
        <v>7</v>
      </c>
      <c r="P1445" s="18" t="str">
        <f t="shared" ca="1" si="475"/>
        <v>—</v>
      </c>
      <c r="Q1445" s="17">
        <f t="shared" ca="1" si="476"/>
        <v>7</v>
      </c>
      <c r="R1445" s="10" t="str">
        <f t="shared" ca="1" si="477"/>
        <v>—</v>
      </c>
      <c r="S1445" s="17">
        <f t="shared" ca="1" si="478"/>
        <v>7</v>
      </c>
      <c r="T1445" s="70" t="str">
        <f t="shared" ca="1" si="479"/>
        <v>—</v>
      </c>
      <c r="U1445" s="17">
        <f t="shared" ca="1" si="480"/>
        <v>7</v>
      </c>
      <c r="V1445" s="71" t="str">
        <f t="shared" ca="1" si="481"/>
        <v>—</v>
      </c>
      <c r="W1445" s="17">
        <f t="shared" ca="1" si="482"/>
        <v>7</v>
      </c>
    </row>
    <row r="1446" spans="1:23" x14ac:dyDescent="0.25">
      <c r="A1446" s="4">
        <f t="shared" si="462"/>
        <v>32</v>
      </c>
      <c r="B1446" t="str">
        <f ca="1">TEXT(DATE(YEAR(Invoer!$A$6),1,1)+INT((ROWS(B$2:B1446)-1)/4),"jjjjmmdd")</f>
        <v>19401227</v>
      </c>
      <c r="C1446" s="64" t="str">
        <f>IF(MOD(ROWS(C$2:C1446)-1,4)=3,"24.00",INDEX(Data,3,2+MOD(ROWS(C$2:C1446)-1,4)))</f>
        <v>07.00</v>
      </c>
      <c r="D1446" s="18" t="str">
        <f t="shared" ca="1" si="463"/>
        <v>—</v>
      </c>
      <c r="E1446" s="17">
        <f t="shared" ca="1" si="464"/>
        <v>7</v>
      </c>
      <c r="F1446" s="18" t="str">
        <f t="shared" ca="1" si="465"/>
        <v>—</v>
      </c>
      <c r="G1446" s="17">
        <f t="shared" ca="1" si="466"/>
        <v>7</v>
      </c>
      <c r="H1446" s="18" t="str">
        <f t="shared" ca="1" si="467"/>
        <v>—</v>
      </c>
      <c r="I1446" s="17">
        <f t="shared" ca="1" si="468"/>
        <v>7</v>
      </c>
      <c r="J1446" s="18" t="str">
        <f t="shared" ca="1" si="469"/>
        <v>—</v>
      </c>
      <c r="K1446" s="17">
        <f t="shared" ca="1" si="470"/>
        <v>7</v>
      </c>
      <c r="L1446" s="10" t="str">
        <f t="shared" ca="1" si="471"/>
        <v>—</v>
      </c>
      <c r="M1446" s="17">
        <f t="shared" ca="1" si="472"/>
        <v>7</v>
      </c>
      <c r="N1446" s="18" t="str">
        <f t="shared" ca="1" si="473"/>
        <v>—</v>
      </c>
      <c r="O1446" s="17">
        <f t="shared" ca="1" si="474"/>
        <v>7</v>
      </c>
      <c r="P1446" s="18" t="str">
        <f t="shared" ca="1" si="475"/>
        <v>—</v>
      </c>
      <c r="Q1446" s="17">
        <f t="shared" ca="1" si="476"/>
        <v>7</v>
      </c>
      <c r="R1446" s="10" t="str">
        <f t="shared" ca="1" si="477"/>
        <v>—</v>
      </c>
      <c r="S1446" s="17">
        <f t="shared" ca="1" si="478"/>
        <v>7</v>
      </c>
      <c r="T1446" s="70" t="str">
        <f t="shared" ca="1" si="479"/>
        <v>—</v>
      </c>
      <c r="U1446" s="17">
        <f t="shared" ca="1" si="480"/>
        <v>7</v>
      </c>
      <c r="V1446" s="71" t="str">
        <f t="shared" ca="1" si="481"/>
        <v>—</v>
      </c>
      <c r="W1446" s="17">
        <f t="shared" ca="1" si="482"/>
        <v>7</v>
      </c>
    </row>
    <row r="1447" spans="1:23" x14ac:dyDescent="0.25">
      <c r="A1447" s="4">
        <f t="shared" si="462"/>
        <v>32</v>
      </c>
      <c r="B1447" t="str">
        <f ca="1">TEXT(DATE(YEAR(Invoer!$A$6),1,1)+INT((ROWS(B$2:B1447)-1)/4),"jjjjmmdd")</f>
        <v>19401227</v>
      </c>
      <c r="C1447" s="64" t="str">
        <f>IF(MOD(ROWS(C$2:C1447)-1,4)=3,"24.00",INDEX(Data,3,2+MOD(ROWS(C$2:C1447)-1,4)))</f>
        <v>12.00</v>
      </c>
      <c r="D1447" s="18" t="str">
        <f t="shared" ca="1" si="463"/>
        <v>—</v>
      </c>
      <c r="E1447" s="17">
        <f t="shared" ca="1" si="464"/>
        <v>7</v>
      </c>
      <c r="F1447" s="18" t="str">
        <f t="shared" ca="1" si="465"/>
        <v>—</v>
      </c>
      <c r="G1447" s="17">
        <f t="shared" ca="1" si="466"/>
        <v>7</v>
      </c>
      <c r="H1447" s="18" t="str">
        <f t="shared" ca="1" si="467"/>
        <v>—</v>
      </c>
      <c r="I1447" s="17">
        <f t="shared" ca="1" si="468"/>
        <v>7</v>
      </c>
      <c r="J1447" s="18" t="str">
        <f t="shared" ca="1" si="469"/>
        <v>—</v>
      </c>
      <c r="K1447" s="17">
        <f t="shared" ca="1" si="470"/>
        <v>7</v>
      </c>
      <c r="L1447" s="10" t="str">
        <f t="shared" ca="1" si="471"/>
        <v>—</v>
      </c>
      <c r="M1447" s="17">
        <f t="shared" ca="1" si="472"/>
        <v>7</v>
      </c>
      <c r="N1447" s="18" t="str">
        <f t="shared" ca="1" si="473"/>
        <v>—</v>
      </c>
      <c r="O1447" s="17">
        <f t="shared" ca="1" si="474"/>
        <v>7</v>
      </c>
      <c r="P1447" s="18" t="str">
        <f t="shared" ca="1" si="475"/>
        <v>—</v>
      </c>
      <c r="Q1447" s="17">
        <f t="shared" ca="1" si="476"/>
        <v>7</v>
      </c>
      <c r="R1447" s="10" t="str">
        <f t="shared" ca="1" si="477"/>
        <v>—</v>
      </c>
      <c r="S1447" s="17">
        <f t="shared" ca="1" si="478"/>
        <v>7</v>
      </c>
      <c r="T1447" s="70" t="str">
        <f t="shared" ca="1" si="479"/>
        <v>—</v>
      </c>
      <c r="U1447" s="17">
        <f t="shared" ca="1" si="480"/>
        <v>7</v>
      </c>
      <c r="V1447" s="71" t="str">
        <f t="shared" ca="1" si="481"/>
        <v>—</v>
      </c>
      <c r="W1447" s="17">
        <f t="shared" ca="1" si="482"/>
        <v>7</v>
      </c>
    </row>
    <row r="1448" spans="1:23" x14ac:dyDescent="0.25">
      <c r="A1448" s="4">
        <f t="shared" si="462"/>
        <v>32</v>
      </c>
      <c r="B1448" t="str">
        <f ca="1">TEXT(DATE(YEAR(Invoer!$A$6),1,1)+INT((ROWS(B$2:B1448)-1)/4),"jjjjmmdd")</f>
        <v>19401227</v>
      </c>
      <c r="C1448" s="64" t="str">
        <f>IF(MOD(ROWS(C$2:C1448)-1,4)=3,"24.00",INDEX(Data,3,2+MOD(ROWS(C$2:C1448)-1,4)))</f>
        <v>17.00</v>
      </c>
      <c r="D1448" s="18" t="str">
        <f t="shared" ca="1" si="463"/>
        <v>—</v>
      </c>
      <c r="E1448" s="17">
        <f t="shared" ca="1" si="464"/>
        <v>7</v>
      </c>
      <c r="F1448" s="18" t="str">
        <f t="shared" ca="1" si="465"/>
        <v>—</v>
      </c>
      <c r="G1448" s="17">
        <f t="shared" ca="1" si="466"/>
        <v>7</v>
      </c>
      <c r="H1448" s="18" t="str">
        <f t="shared" ca="1" si="467"/>
        <v>—</v>
      </c>
      <c r="I1448" s="17">
        <f t="shared" ca="1" si="468"/>
        <v>7</v>
      </c>
      <c r="J1448" s="18" t="str">
        <f t="shared" ca="1" si="469"/>
        <v>—</v>
      </c>
      <c r="K1448" s="17">
        <f t="shared" ca="1" si="470"/>
        <v>7</v>
      </c>
      <c r="L1448" s="10" t="str">
        <f t="shared" ca="1" si="471"/>
        <v>—</v>
      </c>
      <c r="M1448" s="17">
        <f t="shared" ca="1" si="472"/>
        <v>7</v>
      </c>
      <c r="N1448" s="18" t="str">
        <f t="shared" ca="1" si="473"/>
        <v>—</v>
      </c>
      <c r="O1448" s="17">
        <f t="shared" ca="1" si="474"/>
        <v>7</v>
      </c>
      <c r="P1448" s="18" t="str">
        <f t="shared" ca="1" si="475"/>
        <v>—</v>
      </c>
      <c r="Q1448" s="17">
        <f t="shared" ca="1" si="476"/>
        <v>7</v>
      </c>
      <c r="R1448" s="10" t="str">
        <f t="shared" ca="1" si="477"/>
        <v>—</v>
      </c>
      <c r="S1448" s="17">
        <f t="shared" ca="1" si="478"/>
        <v>7</v>
      </c>
      <c r="T1448" s="70" t="str">
        <f t="shared" ca="1" si="479"/>
        <v>—</v>
      </c>
      <c r="U1448" s="17">
        <f t="shared" ca="1" si="480"/>
        <v>7</v>
      </c>
      <c r="V1448" s="71" t="str">
        <f t="shared" ca="1" si="481"/>
        <v>—</v>
      </c>
      <c r="W1448" s="17">
        <f t="shared" ca="1" si="482"/>
        <v>7</v>
      </c>
    </row>
    <row r="1449" spans="1:23" x14ac:dyDescent="0.25">
      <c r="A1449" s="4">
        <f t="shared" si="462"/>
        <v>32</v>
      </c>
      <c r="B1449" t="str">
        <f ca="1">TEXT(DATE(YEAR(Invoer!$A$6),1,1)+INT((ROWS(B$2:B1449)-1)/4),"jjjjmmdd")</f>
        <v>19401227</v>
      </c>
      <c r="C1449" s="64" t="str">
        <f>IF(MOD(ROWS(C$2:C1449)-1,4)=3,"24.00",INDEX(Data,3,2+MOD(ROWS(C$2:C1449)-1,4)))</f>
        <v>24.00</v>
      </c>
      <c r="D1449" s="18" t="str">
        <f t="shared" ca="1" si="463"/>
        <v>—</v>
      </c>
      <c r="E1449" s="17">
        <f t="shared" ca="1" si="464"/>
        <v>7</v>
      </c>
      <c r="F1449" s="18" t="str">
        <f t="shared" ca="1" si="465"/>
        <v>—</v>
      </c>
      <c r="G1449" s="17">
        <f t="shared" ca="1" si="466"/>
        <v>7</v>
      </c>
      <c r="H1449" s="18" t="str">
        <f t="shared" ca="1" si="467"/>
        <v>—</v>
      </c>
      <c r="I1449" s="17">
        <f t="shared" ca="1" si="468"/>
        <v>7</v>
      </c>
      <c r="J1449" s="18" t="str">
        <f t="shared" ca="1" si="469"/>
        <v>—</v>
      </c>
      <c r="K1449" s="17">
        <f t="shared" ca="1" si="470"/>
        <v>7</v>
      </c>
      <c r="L1449" s="10" t="str">
        <f t="shared" ca="1" si="471"/>
        <v>—</v>
      </c>
      <c r="M1449" s="17">
        <f t="shared" ca="1" si="472"/>
        <v>7</v>
      </c>
      <c r="N1449" s="18" t="str">
        <f t="shared" ca="1" si="473"/>
        <v>—</v>
      </c>
      <c r="O1449" s="17">
        <f t="shared" ca="1" si="474"/>
        <v>7</v>
      </c>
      <c r="P1449" s="18" t="str">
        <f t="shared" ca="1" si="475"/>
        <v>—</v>
      </c>
      <c r="Q1449" s="17">
        <f t="shared" ca="1" si="476"/>
        <v>7</v>
      </c>
      <c r="R1449" s="10" t="str">
        <f t="shared" ca="1" si="477"/>
        <v>—</v>
      </c>
      <c r="S1449" s="17">
        <f t="shared" ca="1" si="478"/>
        <v>7</v>
      </c>
      <c r="T1449" s="70" t="str">
        <f t="shared" ca="1" si="479"/>
        <v>—</v>
      </c>
      <c r="U1449" s="17">
        <f t="shared" ca="1" si="480"/>
        <v>7</v>
      </c>
      <c r="V1449" s="71" t="str">
        <f t="shared" ca="1" si="481"/>
        <v>—</v>
      </c>
      <c r="W1449" s="17">
        <f t="shared" ca="1" si="482"/>
        <v>7</v>
      </c>
    </row>
    <row r="1450" spans="1:23" x14ac:dyDescent="0.25">
      <c r="A1450" s="4">
        <f t="shared" si="462"/>
        <v>32</v>
      </c>
      <c r="B1450" t="str">
        <f ca="1">TEXT(DATE(YEAR(Invoer!$A$6),1,1)+INT((ROWS(B$2:B1450)-1)/4),"jjjjmmdd")</f>
        <v>19401228</v>
      </c>
      <c r="C1450" s="64" t="str">
        <f>IF(MOD(ROWS(C$2:C1450)-1,4)=3,"24.00",INDEX(Data,3,2+MOD(ROWS(C$2:C1450)-1,4)))</f>
        <v>07.00</v>
      </c>
      <c r="D1450" s="18" t="str">
        <f t="shared" ca="1" si="463"/>
        <v>—</v>
      </c>
      <c r="E1450" s="17">
        <f t="shared" ca="1" si="464"/>
        <v>7</v>
      </c>
      <c r="F1450" s="18" t="str">
        <f t="shared" ca="1" si="465"/>
        <v>—</v>
      </c>
      <c r="G1450" s="17">
        <f t="shared" ca="1" si="466"/>
        <v>7</v>
      </c>
      <c r="H1450" s="18" t="str">
        <f t="shared" ca="1" si="467"/>
        <v>—</v>
      </c>
      <c r="I1450" s="17">
        <f t="shared" ca="1" si="468"/>
        <v>7</v>
      </c>
      <c r="J1450" s="18" t="str">
        <f t="shared" ca="1" si="469"/>
        <v>—</v>
      </c>
      <c r="K1450" s="17">
        <f t="shared" ca="1" si="470"/>
        <v>7</v>
      </c>
      <c r="L1450" s="10" t="str">
        <f t="shared" ca="1" si="471"/>
        <v>—</v>
      </c>
      <c r="M1450" s="17">
        <f t="shared" ca="1" si="472"/>
        <v>7</v>
      </c>
      <c r="N1450" s="18" t="str">
        <f t="shared" ca="1" si="473"/>
        <v>—</v>
      </c>
      <c r="O1450" s="17">
        <f t="shared" ca="1" si="474"/>
        <v>7</v>
      </c>
      <c r="P1450" s="18" t="str">
        <f t="shared" ca="1" si="475"/>
        <v>—</v>
      </c>
      <c r="Q1450" s="17">
        <f t="shared" ca="1" si="476"/>
        <v>7</v>
      </c>
      <c r="R1450" s="10" t="str">
        <f t="shared" ca="1" si="477"/>
        <v>—</v>
      </c>
      <c r="S1450" s="17">
        <f t="shared" ca="1" si="478"/>
        <v>7</v>
      </c>
      <c r="T1450" s="70" t="str">
        <f t="shared" ca="1" si="479"/>
        <v>—</v>
      </c>
      <c r="U1450" s="17">
        <f t="shared" ca="1" si="480"/>
        <v>7</v>
      </c>
      <c r="V1450" s="71" t="str">
        <f t="shared" ca="1" si="481"/>
        <v>—</v>
      </c>
      <c r="W1450" s="17">
        <f t="shared" ca="1" si="482"/>
        <v>7</v>
      </c>
    </row>
    <row r="1451" spans="1:23" x14ac:dyDescent="0.25">
      <c r="A1451" s="4">
        <f t="shared" si="462"/>
        <v>32</v>
      </c>
      <c r="B1451" t="str">
        <f ca="1">TEXT(DATE(YEAR(Invoer!$A$6),1,1)+INT((ROWS(B$2:B1451)-1)/4),"jjjjmmdd")</f>
        <v>19401228</v>
      </c>
      <c r="C1451" s="64" t="str">
        <f>IF(MOD(ROWS(C$2:C1451)-1,4)=3,"24.00",INDEX(Data,3,2+MOD(ROWS(C$2:C1451)-1,4)))</f>
        <v>12.00</v>
      </c>
      <c r="D1451" s="18" t="str">
        <f t="shared" ca="1" si="463"/>
        <v>—</v>
      </c>
      <c r="E1451" s="17">
        <f t="shared" ca="1" si="464"/>
        <v>7</v>
      </c>
      <c r="F1451" s="18" t="str">
        <f t="shared" ca="1" si="465"/>
        <v>—</v>
      </c>
      <c r="G1451" s="17">
        <f t="shared" ca="1" si="466"/>
        <v>7</v>
      </c>
      <c r="H1451" s="18" t="str">
        <f t="shared" ca="1" si="467"/>
        <v>—</v>
      </c>
      <c r="I1451" s="17">
        <f t="shared" ca="1" si="468"/>
        <v>7</v>
      </c>
      <c r="J1451" s="18" t="str">
        <f t="shared" ca="1" si="469"/>
        <v>—</v>
      </c>
      <c r="K1451" s="17">
        <f t="shared" ca="1" si="470"/>
        <v>7</v>
      </c>
      <c r="L1451" s="10" t="str">
        <f t="shared" ca="1" si="471"/>
        <v>—</v>
      </c>
      <c r="M1451" s="17">
        <f t="shared" ca="1" si="472"/>
        <v>7</v>
      </c>
      <c r="N1451" s="18" t="str">
        <f t="shared" ca="1" si="473"/>
        <v>—</v>
      </c>
      <c r="O1451" s="17">
        <f t="shared" ca="1" si="474"/>
        <v>7</v>
      </c>
      <c r="P1451" s="18" t="str">
        <f t="shared" ca="1" si="475"/>
        <v>—</v>
      </c>
      <c r="Q1451" s="17">
        <f t="shared" ca="1" si="476"/>
        <v>7</v>
      </c>
      <c r="R1451" s="10" t="str">
        <f t="shared" ca="1" si="477"/>
        <v>—</v>
      </c>
      <c r="S1451" s="17">
        <f t="shared" ca="1" si="478"/>
        <v>7</v>
      </c>
      <c r="T1451" s="70" t="str">
        <f t="shared" ca="1" si="479"/>
        <v>—</v>
      </c>
      <c r="U1451" s="17">
        <f t="shared" ca="1" si="480"/>
        <v>7</v>
      </c>
      <c r="V1451" s="71" t="str">
        <f t="shared" ca="1" si="481"/>
        <v>—</v>
      </c>
      <c r="W1451" s="17">
        <f t="shared" ca="1" si="482"/>
        <v>7</v>
      </c>
    </row>
    <row r="1452" spans="1:23" x14ac:dyDescent="0.25">
      <c r="A1452" s="4">
        <f t="shared" si="462"/>
        <v>32</v>
      </c>
      <c r="B1452" t="str">
        <f ca="1">TEXT(DATE(YEAR(Invoer!$A$6),1,1)+INT((ROWS(B$2:B1452)-1)/4),"jjjjmmdd")</f>
        <v>19401228</v>
      </c>
      <c r="C1452" s="64" t="str">
        <f>IF(MOD(ROWS(C$2:C1452)-1,4)=3,"24.00",INDEX(Data,3,2+MOD(ROWS(C$2:C1452)-1,4)))</f>
        <v>17.00</v>
      </c>
      <c r="D1452" s="18" t="str">
        <f t="shared" ca="1" si="463"/>
        <v>—</v>
      </c>
      <c r="E1452" s="17">
        <f t="shared" ca="1" si="464"/>
        <v>7</v>
      </c>
      <c r="F1452" s="18" t="str">
        <f t="shared" ca="1" si="465"/>
        <v>—</v>
      </c>
      <c r="G1452" s="17">
        <f t="shared" ca="1" si="466"/>
        <v>7</v>
      </c>
      <c r="H1452" s="18" t="str">
        <f t="shared" ca="1" si="467"/>
        <v>—</v>
      </c>
      <c r="I1452" s="17">
        <f t="shared" ca="1" si="468"/>
        <v>7</v>
      </c>
      <c r="J1452" s="18" t="str">
        <f t="shared" ca="1" si="469"/>
        <v>—</v>
      </c>
      <c r="K1452" s="17">
        <f t="shared" ca="1" si="470"/>
        <v>7</v>
      </c>
      <c r="L1452" s="10" t="str">
        <f t="shared" ca="1" si="471"/>
        <v>—</v>
      </c>
      <c r="M1452" s="17">
        <f t="shared" ca="1" si="472"/>
        <v>7</v>
      </c>
      <c r="N1452" s="18" t="str">
        <f t="shared" ca="1" si="473"/>
        <v>—</v>
      </c>
      <c r="O1452" s="17">
        <f t="shared" ca="1" si="474"/>
        <v>7</v>
      </c>
      <c r="P1452" s="18" t="str">
        <f t="shared" ca="1" si="475"/>
        <v>—</v>
      </c>
      <c r="Q1452" s="17">
        <f t="shared" ca="1" si="476"/>
        <v>7</v>
      </c>
      <c r="R1452" s="10" t="str">
        <f t="shared" ca="1" si="477"/>
        <v>—</v>
      </c>
      <c r="S1452" s="17">
        <f t="shared" ca="1" si="478"/>
        <v>7</v>
      </c>
      <c r="T1452" s="70" t="str">
        <f t="shared" ca="1" si="479"/>
        <v>—</v>
      </c>
      <c r="U1452" s="17">
        <f t="shared" ca="1" si="480"/>
        <v>7</v>
      </c>
      <c r="V1452" s="71" t="str">
        <f t="shared" ca="1" si="481"/>
        <v>—</v>
      </c>
      <c r="W1452" s="17">
        <f t="shared" ca="1" si="482"/>
        <v>7</v>
      </c>
    </row>
    <row r="1453" spans="1:23" x14ac:dyDescent="0.25">
      <c r="A1453" s="4">
        <f t="shared" si="462"/>
        <v>32</v>
      </c>
      <c r="B1453" t="str">
        <f ca="1">TEXT(DATE(YEAR(Invoer!$A$6),1,1)+INT((ROWS(B$2:B1453)-1)/4),"jjjjmmdd")</f>
        <v>19401228</v>
      </c>
      <c r="C1453" s="64" t="str">
        <f>IF(MOD(ROWS(C$2:C1453)-1,4)=3,"24.00",INDEX(Data,3,2+MOD(ROWS(C$2:C1453)-1,4)))</f>
        <v>24.00</v>
      </c>
      <c r="D1453" s="18" t="str">
        <f t="shared" ca="1" si="463"/>
        <v>—</v>
      </c>
      <c r="E1453" s="17">
        <f t="shared" ca="1" si="464"/>
        <v>7</v>
      </c>
      <c r="F1453" s="18" t="str">
        <f t="shared" ca="1" si="465"/>
        <v>—</v>
      </c>
      <c r="G1453" s="17">
        <f t="shared" ca="1" si="466"/>
        <v>7</v>
      </c>
      <c r="H1453" s="18" t="str">
        <f t="shared" ca="1" si="467"/>
        <v>—</v>
      </c>
      <c r="I1453" s="17">
        <f t="shared" ca="1" si="468"/>
        <v>7</v>
      </c>
      <c r="J1453" s="18" t="str">
        <f t="shared" ca="1" si="469"/>
        <v>—</v>
      </c>
      <c r="K1453" s="17">
        <f t="shared" ca="1" si="470"/>
        <v>7</v>
      </c>
      <c r="L1453" s="10" t="str">
        <f t="shared" ca="1" si="471"/>
        <v>—</v>
      </c>
      <c r="M1453" s="17">
        <f t="shared" ca="1" si="472"/>
        <v>7</v>
      </c>
      <c r="N1453" s="18" t="str">
        <f t="shared" ca="1" si="473"/>
        <v>—</v>
      </c>
      <c r="O1453" s="17">
        <f t="shared" ca="1" si="474"/>
        <v>7</v>
      </c>
      <c r="P1453" s="18" t="str">
        <f t="shared" ca="1" si="475"/>
        <v>—</v>
      </c>
      <c r="Q1453" s="17">
        <f t="shared" ca="1" si="476"/>
        <v>7</v>
      </c>
      <c r="R1453" s="10" t="str">
        <f t="shared" ca="1" si="477"/>
        <v>—</v>
      </c>
      <c r="S1453" s="17">
        <f t="shared" ca="1" si="478"/>
        <v>7</v>
      </c>
      <c r="T1453" s="70" t="str">
        <f t="shared" ca="1" si="479"/>
        <v>—</v>
      </c>
      <c r="U1453" s="17">
        <f t="shared" ca="1" si="480"/>
        <v>7</v>
      </c>
      <c r="V1453" s="71" t="str">
        <f t="shared" ca="1" si="481"/>
        <v>—</v>
      </c>
      <c r="W1453" s="17">
        <f t="shared" ca="1" si="482"/>
        <v>7</v>
      </c>
    </row>
    <row r="1454" spans="1:23" x14ac:dyDescent="0.25">
      <c r="A1454" s="4">
        <f t="shared" si="462"/>
        <v>32</v>
      </c>
      <c r="B1454" t="str">
        <f ca="1">TEXT(DATE(YEAR(Invoer!$A$6),1,1)+INT((ROWS(B$2:B1454)-1)/4),"jjjjmmdd")</f>
        <v>19401229</v>
      </c>
      <c r="C1454" s="64" t="str">
        <f>IF(MOD(ROWS(C$2:C1454)-1,4)=3,"24.00",INDEX(Data,3,2+MOD(ROWS(C$2:C1454)-1,4)))</f>
        <v>07.00</v>
      </c>
      <c r="D1454" s="18" t="str">
        <f t="shared" ca="1" si="463"/>
        <v>—</v>
      </c>
      <c r="E1454" s="17">
        <f t="shared" ca="1" si="464"/>
        <v>7</v>
      </c>
      <c r="F1454" s="18" t="str">
        <f t="shared" ca="1" si="465"/>
        <v>—</v>
      </c>
      <c r="G1454" s="17">
        <f t="shared" ca="1" si="466"/>
        <v>7</v>
      </c>
      <c r="H1454" s="18" t="str">
        <f t="shared" ca="1" si="467"/>
        <v>—</v>
      </c>
      <c r="I1454" s="17">
        <f t="shared" ca="1" si="468"/>
        <v>7</v>
      </c>
      <c r="J1454" s="18" t="str">
        <f t="shared" ca="1" si="469"/>
        <v>—</v>
      </c>
      <c r="K1454" s="17">
        <f t="shared" ca="1" si="470"/>
        <v>7</v>
      </c>
      <c r="L1454" s="10" t="str">
        <f t="shared" ca="1" si="471"/>
        <v>—</v>
      </c>
      <c r="M1454" s="17">
        <f t="shared" ca="1" si="472"/>
        <v>7</v>
      </c>
      <c r="N1454" s="18" t="str">
        <f t="shared" ca="1" si="473"/>
        <v>—</v>
      </c>
      <c r="O1454" s="17">
        <f t="shared" ca="1" si="474"/>
        <v>7</v>
      </c>
      <c r="P1454" s="18" t="str">
        <f t="shared" ca="1" si="475"/>
        <v>—</v>
      </c>
      <c r="Q1454" s="17">
        <f t="shared" ca="1" si="476"/>
        <v>7</v>
      </c>
      <c r="R1454" s="10" t="str">
        <f t="shared" ca="1" si="477"/>
        <v>—</v>
      </c>
      <c r="S1454" s="17">
        <f t="shared" ca="1" si="478"/>
        <v>7</v>
      </c>
      <c r="T1454" s="70" t="str">
        <f t="shared" ca="1" si="479"/>
        <v>—</v>
      </c>
      <c r="U1454" s="17">
        <f t="shared" ca="1" si="480"/>
        <v>7</v>
      </c>
      <c r="V1454" s="71" t="str">
        <f t="shared" ca="1" si="481"/>
        <v>—</v>
      </c>
      <c r="W1454" s="17">
        <f t="shared" ca="1" si="482"/>
        <v>7</v>
      </c>
    </row>
    <row r="1455" spans="1:23" x14ac:dyDescent="0.25">
      <c r="A1455" s="4">
        <f t="shared" si="462"/>
        <v>32</v>
      </c>
      <c r="B1455" t="str">
        <f ca="1">TEXT(DATE(YEAR(Invoer!$A$6),1,1)+INT((ROWS(B$2:B1455)-1)/4),"jjjjmmdd")</f>
        <v>19401229</v>
      </c>
      <c r="C1455" s="64" t="str">
        <f>IF(MOD(ROWS(C$2:C1455)-1,4)=3,"24.00",INDEX(Data,3,2+MOD(ROWS(C$2:C1455)-1,4)))</f>
        <v>12.00</v>
      </c>
      <c r="D1455" s="18" t="str">
        <f t="shared" ca="1" si="463"/>
        <v>—</v>
      </c>
      <c r="E1455" s="17">
        <f t="shared" ca="1" si="464"/>
        <v>7</v>
      </c>
      <c r="F1455" s="18" t="str">
        <f t="shared" ca="1" si="465"/>
        <v>—</v>
      </c>
      <c r="G1455" s="17">
        <f t="shared" ca="1" si="466"/>
        <v>7</v>
      </c>
      <c r="H1455" s="18" t="str">
        <f t="shared" ca="1" si="467"/>
        <v>—</v>
      </c>
      <c r="I1455" s="17">
        <f t="shared" ca="1" si="468"/>
        <v>7</v>
      </c>
      <c r="J1455" s="18" t="str">
        <f t="shared" ca="1" si="469"/>
        <v>—</v>
      </c>
      <c r="K1455" s="17">
        <f t="shared" ca="1" si="470"/>
        <v>7</v>
      </c>
      <c r="L1455" s="10" t="str">
        <f t="shared" ca="1" si="471"/>
        <v>—</v>
      </c>
      <c r="M1455" s="17">
        <f t="shared" ca="1" si="472"/>
        <v>7</v>
      </c>
      <c r="N1455" s="18" t="str">
        <f t="shared" ca="1" si="473"/>
        <v>—</v>
      </c>
      <c r="O1455" s="17">
        <f t="shared" ca="1" si="474"/>
        <v>7</v>
      </c>
      <c r="P1455" s="18" t="str">
        <f t="shared" ca="1" si="475"/>
        <v>—</v>
      </c>
      <c r="Q1455" s="17">
        <f t="shared" ca="1" si="476"/>
        <v>7</v>
      </c>
      <c r="R1455" s="10" t="str">
        <f t="shared" ca="1" si="477"/>
        <v>—</v>
      </c>
      <c r="S1455" s="17">
        <f t="shared" ca="1" si="478"/>
        <v>7</v>
      </c>
      <c r="T1455" s="70" t="str">
        <f t="shared" ca="1" si="479"/>
        <v>—</v>
      </c>
      <c r="U1455" s="17">
        <f t="shared" ca="1" si="480"/>
        <v>7</v>
      </c>
      <c r="V1455" s="71" t="str">
        <f t="shared" ca="1" si="481"/>
        <v>—</v>
      </c>
      <c r="W1455" s="17">
        <f t="shared" ca="1" si="482"/>
        <v>7</v>
      </c>
    </row>
    <row r="1456" spans="1:23" x14ac:dyDescent="0.25">
      <c r="A1456" s="4">
        <f t="shared" si="462"/>
        <v>32</v>
      </c>
      <c r="B1456" t="str">
        <f ca="1">TEXT(DATE(YEAR(Invoer!$A$6),1,1)+INT((ROWS(B$2:B1456)-1)/4),"jjjjmmdd")</f>
        <v>19401229</v>
      </c>
      <c r="C1456" s="64" t="str">
        <f>IF(MOD(ROWS(C$2:C1456)-1,4)=3,"24.00",INDEX(Data,3,2+MOD(ROWS(C$2:C1456)-1,4)))</f>
        <v>17.00</v>
      </c>
      <c r="D1456" s="18" t="str">
        <f t="shared" ca="1" si="463"/>
        <v>—</v>
      </c>
      <c r="E1456" s="17">
        <f t="shared" ca="1" si="464"/>
        <v>7</v>
      </c>
      <c r="F1456" s="18" t="str">
        <f t="shared" ca="1" si="465"/>
        <v>—</v>
      </c>
      <c r="G1456" s="17">
        <f t="shared" ca="1" si="466"/>
        <v>7</v>
      </c>
      <c r="H1456" s="18" t="str">
        <f t="shared" ca="1" si="467"/>
        <v>—</v>
      </c>
      <c r="I1456" s="17">
        <f t="shared" ca="1" si="468"/>
        <v>7</v>
      </c>
      <c r="J1456" s="18" t="str">
        <f t="shared" ca="1" si="469"/>
        <v>—</v>
      </c>
      <c r="K1456" s="17">
        <f t="shared" ca="1" si="470"/>
        <v>7</v>
      </c>
      <c r="L1456" s="10" t="str">
        <f t="shared" ca="1" si="471"/>
        <v>—</v>
      </c>
      <c r="M1456" s="17">
        <f t="shared" ca="1" si="472"/>
        <v>7</v>
      </c>
      <c r="N1456" s="18" t="str">
        <f t="shared" ca="1" si="473"/>
        <v>—</v>
      </c>
      <c r="O1456" s="17">
        <f t="shared" ca="1" si="474"/>
        <v>7</v>
      </c>
      <c r="P1456" s="18" t="str">
        <f t="shared" ca="1" si="475"/>
        <v>—</v>
      </c>
      <c r="Q1456" s="17">
        <f t="shared" ca="1" si="476"/>
        <v>7</v>
      </c>
      <c r="R1456" s="10" t="str">
        <f t="shared" ca="1" si="477"/>
        <v>—</v>
      </c>
      <c r="S1456" s="17">
        <f t="shared" ca="1" si="478"/>
        <v>7</v>
      </c>
      <c r="T1456" s="70" t="str">
        <f t="shared" ca="1" si="479"/>
        <v>—</v>
      </c>
      <c r="U1456" s="17">
        <f t="shared" ca="1" si="480"/>
        <v>7</v>
      </c>
      <c r="V1456" s="71" t="str">
        <f t="shared" ca="1" si="481"/>
        <v>—</v>
      </c>
      <c r="W1456" s="17">
        <f t="shared" ca="1" si="482"/>
        <v>7</v>
      </c>
    </row>
    <row r="1457" spans="1:23" x14ac:dyDescent="0.25">
      <c r="A1457" s="4">
        <f t="shared" si="462"/>
        <v>32</v>
      </c>
      <c r="B1457" t="str">
        <f ca="1">TEXT(DATE(YEAR(Invoer!$A$6),1,1)+INT((ROWS(B$2:B1457)-1)/4),"jjjjmmdd")</f>
        <v>19401229</v>
      </c>
      <c r="C1457" s="64" t="str">
        <f>IF(MOD(ROWS(C$2:C1457)-1,4)=3,"24.00",INDEX(Data,3,2+MOD(ROWS(C$2:C1457)-1,4)))</f>
        <v>24.00</v>
      </c>
      <c r="D1457" s="18" t="str">
        <f t="shared" ca="1" si="463"/>
        <v>—</v>
      </c>
      <c r="E1457" s="17">
        <f t="shared" ca="1" si="464"/>
        <v>7</v>
      </c>
      <c r="F1457" s="18" t="str">
        <f t="shared" ca="1" si="465"/>
        <v>—</v>
      </c>
      <c r="G1457" s="17">
        <f t="shared" ca="1" si="466"/>
        <v>7</v>
      </c>
      <c r="H1457" s="18" t="str">
        <f t="shared" ca="1" si="467"/>
        <v>—</v>
      </c>
      <c r="I1457" s="17">
        <f t="shared" ca="1" si="468"/>
        <v>7</v>
      </c>
      <c r="J1457" s="18" t="str">
        <f t="shared" ca="1" si="469"/>
        <v>—</v>
      </c>
      <c r="K1457" s="17">
        <f t="shared" ca="1" si="470"/>
        <v>7</v>
      </c>
      <c r="L1457" s="10" t="str">
        <f t="shared" ca="1" si="471"/>
        <v>—</v>
      </c>
      <c r="M1457" s="17">
        <f t="shared" ca="1" si="472"/>
        <v>7</v>
      </c>
      <c r="N1457" s="18" t="str">
        <f t="shared" ca="1" si="473"/>
        <v>—</v>
      </c>
      <c r="O1457" s="17">
        <f t="shared" ca="1" si="474"/>
        <v>7</v>
      </c>
      <c r="P1457" s="18" t="str">
        <f t="shared" ca="1" si="475"/>
        <v>—</v>
      </c>
      <c r="Q1457" s="17">
        <f t="shared" ca="1" si="476"/>
        <v>7</v>
      </c>
      <c r="R1457" s="10" t="str">
        <f t="shared" ca="1" si="477"/>
        <v>—</v>
      </c>
      <c r="S1457" s="17">
        <f t="shared" ca="1" si="478"/>
        <v>7</v>
      </c>
      <c r="T1457" s="70" t="str">
        <f t="shared" ca="1" si="479"/>
        <v>—</v>
      </c>
      <c r="U1457" s="17">
        <f t="shared" ca="1" si="480"/>
        <v>7</v>
      </c>
      <c r="V1457" s="71" t="str">
        <f t="shared" ca="1" si="481"/>
        <v>—</v>
      </c>
      <c r="W1457" s="17">
        <f t="shared" ca="1" si="482"/>
        <v>7</v>
      </c>
    </row>
    <row r="1458" spans="1:23" x14ac:dyDescent="0.25">
      <c r="A1458" s="4">
        <f t="shared" si="462"/>
        <v>32</v>
      </c>
      <c r="B1458" t="str">
        <f ca="1">TEXT(DATE(YEAR(Invoer!$A$6),1,1)+INT((ROWS(B$2:B1458)-1)/4),"jjjjmmdd")</f>
        <v>19401230</v>
      </c>
      <c r="C1458" s="64" t="str">
        <f>IF(MOD(ROWS(C$2:C1458)-1,4)=3,"24.00",INDEX(Data,3,2+MOD(ROWS(C$2:C1458)-1,4)))</f>
        <v>07.00</v>
      </c>
      <c r="D1458" s="18" t="str">
        <f t="shared" ca="1" si="463"/>
        <v>—</v>
      </c>
      <c r="E1458" s="17">
        <f t="shared" ca="1" si="464"/>
        <v>7</v>
      </c>
      <c r="F1458" s="18" t="str">
        <f t="shared" ca="1" si="465"/>
        <v>—</v>
      </c>
      <c r="G1458" s="17">
        <f t="shared" ca="1" si="466"/>
        <v>7</v>
      </c>
      <c r="H1458" s="18" t="str">
        <f t="shared" ca="1" si="467"/>
        <v>—</v>
      </c>
      <c r="I1458" s="17">
        <f t="shared" ca="1" si="468"/>
        <v>7</v>
      </c>
      <c r="J1458" s="18" t="str">
        <f t="shared" ca="1" si="469"/>
        <v>—</v>
      </c>
      <c r="K1458" s="17">
        <f t="shared" ca="1" si="470"/>
        <v>7</v>
      </c>
      <c r="L1458" s="10" t="str">
        <f t="shared" ca="1" si="471"/>
        <v>—</v>
      </c>
      <c r="M1458" s="17">
        <f t="shared" ca="1" si="472"/>
        <v>7</v>
      </c>
      <c r="N1458" s="18" t="str">
        <f t="shared" ca="1" si="473"/>
        <v>—</v>
      </c>
      <c r="O1458" s="17">
        <f t="shared" ca="1" si="474"/>
        <v>7</v>
      </c>
      <c r="P1458" s="18" t="str">
        <f t="shared" ca="1" si="475"/>
        <v>—</v>
      </c>
      <c r="Q1458" s="17">
        <f t="shared" ca="1" si="476"/>
        <v>7</v>
      </c>
      <c r="R1458" s="10" t="str">
        <f t="shared" ca="1" si="477"/>
        <v>—</v>
      </c>
      <c r="S1458" s="17">
        <f t="shared" ca="1" si="478"/>
        <v>7</v>
      </c>
      <c r="T1458" s="70" t="str">
        <f t="shared" ca="1" si="479"/>
        <v>—</v>
      </c>
      <c r="U1458" s="17">
        <f t="shared" ca="1" si="480"/>
        <v>7</v>
      </c>
      <c r="V1458" s="71" t="str">
        <f t="shared" ca="1" si="481"/>
        <v>—</v>
      </c>
      <c r="W1458" s="17">
        <f t="shared" ca="1" si="482"/>
        <v>7</v>
      </c>
    </row>
    <row r="1459" spans="1:23" x14ac:dyDescent="0.25">
      <c r="A1459" s="4">
        <f t="shared" si="462"/>
        <v>32</v>
      </c>
      <c r="B1459" t="str">
        <f ca="1">TEXT(DATE(YEAR(Invoer!$A$6),1,1)+INT((ROWS(B$2:B1459)-1)/4),"jjjjmmdd")</f>
        <v>19401230</v>
      </c>
      <c r="C1459" s="64" t="str">
        <f>IF(MOD(ROWS(C$2:C1459)-1,4)=3,"24.00",INDEX(Data,3,2+MOD(ROWS(C$2:C1459)-1,4)))</f>
        <v>12.00</v>
      </c>
      <c r="D1459" s="18" t="str">
        <f t="shared" ca="1" si="463"/>
        <v>—</v>
      </c>
      <c r="E1459" s="17">
        <f t="shared" ca="1" si="464"/>
        <v>7</v>
      </c>
      <c r="F1459" s="18" t="str">
        <f t="shared" ca="1" si="465"/>
        <v>—</v>
      </c>
      <c r="G1459" s="17">
        <f t="shared" ca="1" si="466"/>
        <v>7</v>
      </c>
      <c r="H1459" s="18" t="str">
        <f t="shared" ca="1" si="467"/>
        <v>—</v>
      </c>
      <c r="I1459" s="17">
        <f t="shared" ca="1" si="468"/>
        <v>7</v>
      </c>
      <c r="J1459" s="18" t="str">
        <f t="shared" ca="1" si="469"/>
        <v>—</v>
      </c>
      <c r="K1459" s="17">
        <f t="shared" ca="1" si="470"/>
        <v>7</v>
      </c>
      <c r="L1459" s="10" t="str">
        <f t="shared" ca="1" si="471"/>
        <v>—</v>
      </c>
      <c r="M1459" s="17">
        <f t="shared" ca="1" si="472"/>
        <v>7</v>
      </c>
      <c r="N1459" s="18" t="str">
        <f t="shared" ca="1" si="473"/>
        <v>—</v>
      </c>
      <c r="O1459" s="17">
        <f t="shared" ca="1" si="474"/>
        <v>7</v>
      </c>
      <c r="P1459" s="18" t="str">
        <f t="shared" ca="1" si="475"/>
        <v>—</v>
      </c>
      <c r="Q1459" s="17">
        <f t="shared" ca="1" si="476"/>
        <v>7</v>
      </c>
      <c r="R1459" s="10" t="str">
        <f t="shared" ca="1" si="477"/>
        <v>—</v>
      </c>
      <c r="S1459" s="17">
        <f t="shared" ca="1" si="478"/>
        <v>7</v>
      </c>
      <c r="T1459" s="70" t="str">
        <f t="shared" ca="1" si="479"/>
        <v>—</v>
      </c>
      <c r="U1459" s="17">
        <f t="shared" ca="1" si="480"/>
        <v>7</v>
      </c>
      <c r="V1459" s="71" t="str">
        <f t="shared" ca="1" si="481"/>
        <v>—</v>
      </c>
      <c r="W1459" s="17">
        <f t="shared" ca="1" si="482"/>
        <v>7</v>
      </c>
    </row>
    <row r="1460" spans="1:23" x14ac:dyDescent="0.25">
      <c r="A1460" s="4">
        <f t="shared" si="462"/>
        <v>32</v>
      </c>
      <c r="B1460" t="str">
        <f ca="1">TEXT(DATE(YEAR(Invoer!$A$6),1,1)+INT((ROWS(B$2:B1460)-1)/4),"jjjjmmdd")</f>
        <v>19401230</v>
      </c>
      <c r="C1460" s="64" t="str">
        <f>IF(MOD(ROWS(C$2:C1460)-1,4)=3,"24.00",INDEX(Data,3,2+MOD(ROWS(C$2:C1460)-1,4)))</f>
        <v>17.00</v>
      </c>
      <c r="D1460" s="18" t="str">
        <f t="shared" ca="1" si="463"/>
        <v>—</v>
      </c>
      <c r="E1460" s="17">
        <f t="shared" ca="1" si="464"/>
        <v>7</v>
      </c>
      <c r="F1460" s="18" t="str">
        <f t="shared" ca="1" si="465"/>
        <v>—</v>
      </c>
      <c r="G1460" s="17">
        <f t="shared" ca="1" si="466"/>
        <v>7</v>
      </c>
      <c r="H1460" s="18" t="str">
        <f t="shared" ca="1" si="467"/>
        <v>—</v>
      </c>
      <c r="I1460" s="17">
        <f t="shared" ca="1" si="468"/>
        <v>7</v>
      </c>
      <c r="J1460" s="18" t="str">
        <f t="shared" ca="1" si="469"/>
        <v>—</v>
      </c>
      <c r="K1460" s="17">
        <f t="shared" ca="1" si="470"/>
        <v>7</v>
      </c>
      <c r="L1460" s="10" t="str">
        <f t="shared" ca="1" si="471"/>
        <v>—</v>
      </c>
      <c r="M1460" s="17">
        <f t="shared" ca="1" si="472"/>
        <v>7</v>
      </c>
      <c r="N1460" s="18" t="str">
        <f t="shared" ca="1" si="473"/>
        <v>—</v>
      </c>
      <c r="O1460" s="17">
        <f t="shared" ca="1" si="474"/>
        <v>7</v>
      </c>
      <c r="P1460" s="18" t="str">
        <f t="shared" ca="1" si="475"/>
        <v>—</v>
      </c>
      <c r="Q1460" s="17">
        <f t="shared" ca="1" si="476"/>
        <v>7</v>
      </c>
      <c r="R1460" s="10" t="str">
        <f t="shared" ca="1" si="477"/>
        <v>—</v>
      </c>
      <c r="S1460" s="17">
        <f t="shared" ca="1" si="478"/>
        <v>7</v>
      </c>
      <c r="T1460" s="70" t="str">
        <f t="shared" ca="1" si="479"/>
        <v>—</v>
      </c>
      <c r="U1460" s="17">
        <f t="shared" ca="1" si="480"/>
        <v>7</v>
      </c>
      <c r="V1460" s="71" t="str">
        <f t="shared" ca="1" si="481"/>
        <v>—</v>
      </c>
      <c r="W1460" s="17">
        <f t="shared" ca="1" si="482"/>
        <v>7</v>
      </c>
    </row>
    <row r="1461" spans="1:23" x14ac:dyDescent="0.25">
      <c r="A1461" s="4">
        <f t="shared" si="462"/>
        <v>32</v>
      </c>
      <c r="B1461" t="str">
        <f ca="1">TEXT(DATE(YEAR(Invoer!$A$6),1,1)+INT((ROWS(B$2:B1461)-1)/4),"jjjjmmdd")</f>
        <v>19401230</v>
      </c>
      <c r="C1461" s="64" t="str">
        <f>IF(MOD(ROWS(C$2:C1461)-1,4)=3,"24.00",INDEX(Data,3,2+MOD(ROWS(C$2:C1461)-1,4)))</f>
        <v>24.00</v>
      </c>
      <c r="D1461" s="18" t="str">
        <f t="shared" ca="1" si="463"/>
        <v>—</v>
      </c>
      <c r="E1461" s="17">
        <f t="shared" ca="1" si="464"/>
        <v>7</v>
      </c>
      <c r="F1461" s="18" t="str">
        <f t="shared" ca="1" si="465"/>
        <v>—</v>
      </c>
      <c r="G1461" s="17">
        <f t="shared" ca="1" si="466"/>
        <v>7</v>
      </c>
      <c r="H1461" s="18" t="str">
        <f t="shared" ca="1" si="467"/>
        <v>—</v>
      </c>
      <c r="I1461" s="17">
        <f t="shared" ca="1" si="468"/>
        <v>7</v>
      </c>
      <c r="J1461" s="18" t="str">
        <f t="shared" ca="1" si="469"/>
        <v>—</v>
      </c>
      <c r="K1461" s="17">
        <f t="shared" ca="1" si="470"/>
        <v>7</v>
      </c>
      <c r="L1461" s="10" t="str">
        <f t="shared" ca="1" si="471"/>
        <v>—</v>
      </c>
      <c r="M1461" s="17">
        <f t="shared" ca="1" si="472"/>
        <v>7</v>
      </c>
      <c r="N1461" s="18" t="str">
        <f t="shared" ca="1" si="473"/>
        <v>—</v>
      </c>
      <c r="O1461" s="17">
        <f t="shared" ca="1" si="474"/>
        <v>7</v>
      </c>
      <c r="P1461" s="18" t="str">
        <f t="shared" ca="1" si="475"/>
        <v>—</v>
      </c>
      <c r="Q1461" s="17">
        <f t="shared" ca="1" si="476"/>
        <v>7</v>
      </c>
      <c r="R1461" s="10" t="str">
        <f t="shared" ca="1" si="477"/>
        <v>—</v>
      </c>
      <c r="S1461" s="17">
        <f t="shared" ca="1" si="478"/>
        <v>7</v>
      </c>
      <c r="T1461" s="70" t="str">
        <f t="shared" ca="1" si="479"/>
        <v>—</v>
      </c>
      <c r="U1461" s="17">
        <f t="shared" ca="1" si="480"/>
        <v>7</v>
      </c>
      <c r="V1461" s="71" t="str">
        <f t="shared" ca="1" si="481"/>
        <v>—</v>
      </c>
      <c r="W1461" s="17">
        <f t="shared" ca="1" si="482"/>
        <v>7</v>
      </c>
    </row>
    <row r="1462" spans="1:23" x14ac:dyDescent="0.25">
      <c r="A1462" s="4">
        <f t="shared" si="462"/>
        <v>32</v>
      </c>
      <c r="B1462" t="str">
        <f ca="1">TEXT(DATE(YEAR(Invoer!$A$6),1,1)+INT((ROWS(B$2:B1462)-1)/4),"jjjjmmdd")</f>
        <v>19401231</v>
      </c>
      <c r="C1462" s="64" t="str">
        <f>IF(MOD(ROWS(C$2:C1462)-1,4)=3,"24.00",INDEX(Data,3,2+MOD(ROWS(C$2:C1462)-1,4)))</f>
        <v>07.00</v>
      </c>
      <c r="D1462" s="18" t="str">
        <f t="shared" ca="1" si="463"/>
        <v>—</v>
      </c>
      <c r="E1462" s="17">
        <f t="shared" ca="1" si="464"/>
        <v>7</v>
      </c>
      <c r="F1462" s="18" t="str">
        <f t="shared" ca="1" si="465"/>
        <v>—</v>
      </c>
      <c r="G1462" s="17">
        <f t="shared" ca="1" si="466"/>
        <v>7</v>
      </c>
      <c r="H1462" s="18" t="str">
        <f t="shared" ca="1" si="467"/>
        <v>—</v>
      </c>
      <c r="I1462" s="17">
        <f t="shared" ca="1" si="468"/>
        <v>7</v>
      </c>
      <c r="J1462" s="18" t="str">
        <f t="shared" ca="1" si="469"/>
        <v>—</v>
      </c>
      <c r="K1462" s="17">
        <f t="shared" ca="1" si="470"/>
        <v>7</v>
      </c>
      <c r="L1462" s="10" t="str">
        <f t="shared" ca="1" si="471"/>
        <v>—</v>
      </c>
      <c r="M1462" s="17">
        <f t="shared" ca="1" si="472"/>
        <v>7</v>
      </c>
      <c r="N1462" s="18" t="str">
        <f t="shared" ca="1" si="473"/>
        <v>—</v>
      </c>
      <c r="O1462" s="17">
        <f t="shared" ca="1" si="474"/>
        <v>7</v>
      </c>
      <c r="P1462" s="18" t="str">
        <f t="shared" ca="1" si="475"/>
        <v>—</v>
      </c>
      <c r="Q1462" s="17">
        <f t="shared" ca="1" si="476"/>
        <v>7</v>
      </c>
      <c r="R1462" s="10" t="str">
        <f t="shared" ca="1" si="477"/>
        <v>—</v>
      </c>
      <c r="S1462" s="17">
        <f t="shared" ca="1" si="478"/>
        <v>7</v>
      </c>
      <c r="T1462" s="70" t="str">
        <f t="shared" ca="1" si="479"/>
        <v>—</v>
      </c>
      <c r="U1462" s="17">
        <f t="shared" ca="1" si="480"/>
        <v>7</v>
      </c>
      <c r="V1462" s="71" t="str">
        <f t="shared" ca="1" si="481"/>
        <v>—</v>
      </c>
      <c r="W1462" s="17">
        <f t="shared" ca="1" si="482"/>
        <v>7</v>
      </c>
    </row>
    <row r="1463" spans="1:23" x14ac:dyDescent="0.25">
      <c r="A1463" s="4">
        <f t="shared" si="462"/>
        <v>32</v>
      </c>
      <c r="B1463" t="str">
        <f ca="1">TEXT(DATE(YEAR(Invoer!$A$6),1,1)+INT((ROWS(B$2:B1463)-1)/4),"jjjjmmdd")</f>
        <v>19401231</v>
      </c>
      <c r="C1463" s="64" t="str">
        <f>IF(MOD(ROWS(C$2:C1463)-1,4)=3,"24.00",INDEX(Data,3,2+MOD(ROWS(C$2:C1463)-1,4)))</f>
        <v>12.00</v>
      </c>
      <c r="D1463" s="18" t="str">
        <f t="shared" ca="1" si="463"/>
        <v>—</v>
      </c>
      <c r="E1463" s="17">
        <f t="shared" ca="1" si="464"/>
        <v>7</v>
      </c>
      <c r="F1463" s="18" t="str">
        <f t="shared" ca="1" si="465"/>
        <v>—</v>
      </c>
      <c r="G1463" s="17">
        <f t="shared" ca="1" si="466"/>
        <v>7</v>
      </c>
      <c r="H1463" s="18" t="str">
        <f t="shared" ca="1" si="467"/>
        <v>—</v>
      </c>
      <c r="I1463" s="17">
        <f t="shared" ca="1" si="468"/>
        <v>7</v>
      </c>
      <c r="J1463" s="18" t="str">
        <f t="shared" ca="1" si="469"/>
        <v>—</v>
      </c>
      <c r="K1463" s="17">
        <f t="shared" ca="1" si="470"/>
        <v>7</v>
      </c>
      <c r="L1463" s="10" t="str">
        <f t="shared" ca="1" si="471"/>
        <v>—</v>
      </c>
      <c r="M1463" s="17">
        <f t="shared" ca="1" si="472"/>
        <v>7</v>
      </c>
      <c r="N1463" s="18" t="str">
        <f t="shared" ca="1" si="473"/>
        <v>—</v>
      </c>
      <c r="O1463" s="17">
        <f t="shared" ca="1" si="474"/>
        <v>7</v>
      </c>
      <c r="P1463" s="18" t="str">
        <f t="shared" ca="1" si="475"/>
        <v>—</v>
      </c>
      <c r="Q1463" s="17">
        <f t="shared" ca="1" si="476"/>
        <v>7</v>
      </c>
      <c r="R1463" s="10" t="str">
        <f t="shared" ca="1" si="477"/>
        <v>—</v>
      </c>
      <c r="S1463" s="17">
        <f t="shared" ca="1" si="478"/>
        <v>7</v>
      </c>
      <c r="T1463" s="70" t="str">
        <f t="shared" ca="1" si="479"/>
        <v>—</v>
      </c>
      <c r="U1463" s="17">
        <f t="shared" ca="1" si="480"/>
        <v>7</v>
      </c>
      <c r="V1463" s="71" t="str">
        <f t="shared" ca="1" si="481"/>
        <v>—</v>
      </c>
      <c r="W1463" s="17">
        <f t="shared" ca="1" si="482"/>
        <v>7</v>
      </c>
    </row>
    <row r="1464" spans="1:23" x14ac:dyDescent="0.25">
      <c r="A1464" s="4">
        <f t="shared" si="462"/>
        <v>32</v>
      </c>
      <c r="B1464" t="str">
        <f ca="1">TEXT(DATE(YEAR(Invoer!$A$6),1,1)+INT((ROWS(B$2:B1464)-1)/4),"jjjjmmdd")</f>
        <v>19401231</v>
      </c>
      <c r="C1464" s="64" t="str">
        <f>IF(MOD(ROWS(C$2:C1464)-1,4)=3,"24.00",INDEX(Data,3,2+MOD(ROWS(C$2:C1464)-1,4)))</f>
        <v>17.00</v>
      </c>
      <c r="D1464" s="18" t="str">
        <f t="shared" ca="1" si="463"/>
        <v>—</v>
      </c>
      <c r="E1464" s="17">
        <f t="shared" ca="1" si="464"/>
        <v>7</v>
      </c>
      <c r="F1464" s="18" t="str">
        <f t="shared" ca="1" si="465"/>
        <v>—</v>
      </c>
      <c r="G1464" s="17">
        <f t="shared" ca="1" si="466"/>
        <v>7</v>
      </c>
      <c r="H1464" s="18" t="str">
        <f t="shared" ca="1" si="467"/>
        <v>—</v>
      </c>
      <c r="I1464" s="17">
        <f t="shared" ca="1" si="468"/>
        <v>7</v>
      </c>
      <c r="J1464" s="18" t="str">
        <f t="shared" ca="1" si="469"/>
        <v>—</v>
      </c>
      <c r="K1464" s="17">
        <f t="shared" ca="1" si="470"/>
        <v>7</v>
      </c>
      <c r="L1464" s="10" t="str">
        <f t="shared" ca="1" si="471"/>
        <v>—</v>
      </c>
      <c r="M1464" s="17">
        <f t="shared" ca="1" si="472"/>
        <v>7</v>
      </c>
      <c r="N1464" s="18" t="str">
        <f t="shared" ca="1" si="473"/>
        <v>—</v>
      </c>
      <c r="O1464" s="17">
        <f t="shared" ca="1" si="474"/>
        <v>7</v>
      </c>
      <c r="P1464" s="18" t="str">
        <f t="shared" ca="1" si="475"/>
        <v>—</v>
      </c>
      <c r="Q1464" s="17">
        <f t="shared" ca="1" si="476"/>
        <v>7</v>
      </c>
      <c r="R1464" s="10" t="str">
        <f t="shared" ca="1" si="477"/>
        <v>—</v>
      </c>
      <c r="S1464" s="17">
        <f t="shared" ca="1" si="478"/>
        <v>7</v>
      </c>
      <c r="T1464" s="70" t="str">
        <f t="shared" ca="1" si="479"/>
        <v>—</v>
      </c>
      <c r="U1464" s="17">
        <f t="shared" ca="1" si="480"/>
        <v>7</v>
      </c>
      <c r="V1464" s="71" t="str">
        <f t="shared" ca="1" si="481"/>
        <v>—</v>
      </c>
      <c r="W1464" s="17">
        <f t="shared" ca="1" si="482"/>
        <v>7</v>
      </c>
    </row>
    <row r="1465" spans="1:23" x14ac:dyDescent="0.25">
      <c r="A1465" s="4">
        <f t="shared" si="462"/>
        <v>32</v>
      </c>
      <c r="B1465" t="str">
        <f ca="1">TEXT(DATE(YEAR(Invoer!$A$6),1,1)+INT((ROWS(B$2:B1465)-1)/4),"jjjjmmdd")</f>
        <v>19401231</v>
      </c>
      <c r="C1465" s="64" t="str">
        <f>IF(MOD(ROWS(C$2:C1465)-1,4)=3,"24.00",INDEX(Data,3,2+MOD(ROWS(C$2:C1465)-1,4)))</f>
        <v>24.00</v>
      </c>
      <c r="D1465" s="18" t="str">
        <f t="shared" ca="1" si="463"/>
        <v>—</v>
      </c>
      <c r="E1465" s="17">
        <f t="shared" ca="1" si="464"/>
        <v>7</v>
      </c>
      <c r="F1465" s="18" t="str">
        <f t="shared" ca="1" si="465"/>
        <v>—</v>
      </c>
      <c r="G1465" s="17">
        <f t="shared" ca="1" si="466"/>
        <v>7</v>
      </c>
      <c r="H1465" s="18" t="str">
        <f t="shared" ca="1" si="467"/>
        <v>—</v>
      </c>
      <c r="I1465" s="17">
        <f t="shared" ca="1" si="468"/>
        <v>7</v>
      </c>
      <c r="J1465" s="18" t="str">
        <f t="shared" ca="1" si="469"/>
        <v>—</v>
      </c>
      <c r="K1465" s="17">
        <f t="shared" ca="1" si="470"/>
        <v>7</v>
      </c>
      <c r="L1465" s="10" t="str">
        <f t="shared" ca="1" si="471"/>
        <v>—</v>
      </c>
      <c r="M1465" s="17">
        <f t="shared" ca="1" si="472"/>
        <v>7</v>
      </c>
      <c r="N1465" s="18" t="str">
        <f t="shared" ca="1" si="473"/>
        <v>—</v>
      </c>
      <c r="O1465" s="17">
        <f t="shared" ca="1" si="474"/>
        <v>7</v>
      </c>
      <c r="P1465" s="18" t="str">
        <f t="shared" ca="1" si="475"/>
        <v>—</v>
      </c>
      <c r="Q1465" s="17">
        <f t="shared" ca="1" si="476"/>
        <v>7</v>
      </c>
      <c r="R1465" s="10" t="str">
        <f t="shared" ca="1" si="477"/>
        <v>—</v>
      </c>
      <c r="S1465" s="17">
        <f t="shared" ca="1" si="478"/>
        <v>7</v>
      </c>
      <c r="T1465" s="70" t="str">
        <f t="shared" ca="1" si="479"/>
        <v>—</v>
      </c>
      <c r="U1465" s="17">
        <f t="shared" ca="1" si="480"/>
        <v>7</v>
      </c>
      <c r="V1465" s="71" t="str">
        <f t="shared" ca="1" si="481"/>
        <v>—</v>
      </c>
      <c r="W1465" s="17">
        <f t="shared" ca="1" si="482"/>
        <v>7</v>
      </c>
    </row>
  </sheetData>
  <pageMargins left="0.7" right="0.7" top="0.75" bottom="0.75" header="0.3" footer="0.3"/>
  <pageSetup paperSize="9" orientation="portrait" r:id="rId1"/>
  <ignoredErrors>
    <ignoredError sqref="I2:J2 N2 I3:R1461 T3:W1461 I1462:W146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032, 19400101, 1,    0, 00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032, 19400102, 1,    0, 00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032, 19400103, 1,    0, 00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032, 19400104, 1,    0, 00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032, 19400105, 1,    0, 00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032, 19400106, 1,    0, 00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032, 19400107, 1,    0, 00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032, 19400108, 1,    0, 00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032, 19400109, 1,   17, 00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032, 19400110, 1,    0, 00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032, 19400111, 1,    5, 00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032, 19400112, 1,    0, 00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032, 19400113, 1,    0, 00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032, 19400114, 1,    0, 00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032, 19400115, 1,    0, 00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032, 19400116, 1,    0, 00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032, 19400117, 1,    0, 00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032, 19400118, 1,    0, 00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032, 19400119, 1,    0, 00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032, 19400120, 1,    0, 00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032, 19400121, 1,    0, 00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032, 19400122, 1,    0, 00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032, 19400123, 1,    0, 00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032, 19400124, 1,    0, 00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032, 19400125, 1,    0, 00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032, 19400126, 1,    0, 00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032, 19400127, 1,    0, 00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032, 19400128, 1,    0, 00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032, 19400129, 1,    0, 00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032, 19400130, 1,    0, 00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032, 19400131, 1,    0, 00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032, 19400201, 1,    0, 00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032, 19400202, 1,    0, 00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032, 19400203, 1,    0, 00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032, 19400204, 1,    0, 00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032, 19400205, 1,    0, 00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032, 19400206, 1,    0, 00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032, 19400207, 1,   15, 00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032, 19400208, 1,    0, 00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032, 19400209, 1,    0, 00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032, 19400210, 1,    0, 00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032, 19400211, 1,    0, 00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032, 19400212, 1,    0, 00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032, 19400213, 1,    0, 00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032, 19400214, 1,    0, 00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032, 19400215, 1,    0, 00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032, 19400216, 1,    0, 00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032, 19400217, 1,    0, 00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032, 19400218, 1,    0, 00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032, 19400219, 1,    0, 00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032, 19400220, 1,    0, 00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032, 19400221, 1,    0, 00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032, 19400222, 1,    0, 00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032, 19400223, 1,    0, 00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032, 19400224, 1,    0, 00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032, 19400225, 1,    0, 00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032, 19400226, 1,    0, 00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032, 19400227, 1,    0, 00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032, 19400228, 1,    0, 00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032, 19400229, 1,    0, 00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032, 19400301, 1,    0, 00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032, 19400302, 1,    0, 00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032, 19400303, 1,   30, 00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032, 19400304, 1,   15, 00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032, 19400305, 1,    0, 00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032, 19400306, 1,    0, 00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032, 19400307, 1,    0, 00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032, 19400308, 1,    0, 00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032, 19400309, 1,    0, 00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032, 19400310, 1,    0, 00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032, 19400311, 1,    0, 00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032, 19400312, 1,    0, 00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032, 19400313, 1,    0, 00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032, 19400314, 1,    0, 00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032, 19400315, 1,    0, 00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032, 19400316, 1,    0, 00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032, 19400317, 1,    0, 00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032, 19400318, 1,    0, 00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032, 19400319, 1,    0, 00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032, 19400320, 1,    0, 00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032, 19400321, 1,    0, 00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032, 19400322, 1,    0, 00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032, 19400323, 1,    0, 00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032, 19400324, 1,    0, 00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032, 19400325, 1,    0, 00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032, 19400326, 1,    0, 00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032, 19400327, 1,    0, 00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032, 19400328, 1,    0, 00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032, 19400329, 1,    0, 00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032, 19400330, 1,    0, 00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032, 19400331, 1,    0, 00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032, 19400401, 1,    0, 00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032, 19400402, 1,    0, 00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032, 19400403, 1,    0, 00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032, 19400404, 1,    0, 00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032, 19400405, 1,    0, 00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032, 19400406, 1,    0, 00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032, 19400407, 1,    0, 00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032, 19400408, 1,    0, 00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032, 19400409, 1,    0, 00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032, 19400410, 1,    0, 00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032, 19400411, 1,    0, 00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032, 19400412, 1,    0, 00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032, 19400413, 1,    0, 00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032, 19400414, 1,    0, 00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032, 19400415, 1,    0, 00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032, 19400416, 1,    0, 00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032, 19400417, 1,    0, 00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032, 19400418, 1,    0, 00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032, 19400419, 1,    0, 00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032, 19400420, 1,    0, 00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032, 19400421, 1,    0, 00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032, 19400422, 1,    0, 00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032, 19400423, 1,    0, 00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032, 19400424, 1,    0, 00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032, 19400425, 1,    0, 00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032, 19400426, 1,    0, 00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032, 19400427, 1,    0, 00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032, 19400428, 1,    0, 00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032, 19400429, 1,    0, 00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032, 19400430, 1,    0, 00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032, 19400501, 1,    0, 00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032, 19400502, 1,    0, 00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032, 19400503, 1,    0, 00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032, 19400504, 1,    0, 00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032, 19400505, 1,    0, 00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032, 19400506, 1,    0, 00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032, 19400507, 1,    0, 00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032, 19400508, 1,    0, 00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032, 19400509, 1,    0, 00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032, 19400510, 1,    0, 00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032, 19400511, 1,    0, 00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032, 19400512, 1,    0, 00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032, 19400513, 1,    0, 00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032, 19400514, 1,    0, 00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032, 19400515, 1,    0, 00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032, 19400516, 1,    0, 00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032, 19400517, 1,    0, 00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032, 19400518, 1,    0, 00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032, 19400519, 1,    0, 00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032, 19400520, 1,   45, 00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032, 19400521, 1,   15, 00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032, 19400522, 1,    0, 00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032, 19400523, 1,    0, 00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032, 19400524, 1,    0, 00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032, 19400525, 1,    0, 00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032, 19400526, 1,    0, 00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032, 19400527, 1,    0, 00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032, 19400528, 1,    0, 00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032, 19400529, 1,    0, 00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032, 19400530, 1,    0, 00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032, 19400531, 1,    0, 00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032, 19400601, 1,    0, 00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032, 19400602, 1,    0, 00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032, 19400603, 1,    0, 00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032, 19400604, 1,    0, 00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032, 19400605, 1,    0, 00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032, 19400606, 1,    0, 00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032, 19400607, 1,    0, 00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032, 19400608, 1,    0, 00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032, 19400609, 1,    0, 00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032, 19400610, 1,    0, 00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032, 19400611, 1,    0, 00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032, 19400612, 1,   20, 00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032, 19400613, 1,   10, 00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032, 19400614, 1,    0, 00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032, 19400615, 1,    0, 00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032, 19400616, 1,    0, 00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032, 19400617, 1,   17, 00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032, 19400618, 1,    0, 00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032, 19400619, 1,    0, 00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032, 19400620, 1,    0, 00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032, 19400621, 1,    0, 00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032, 19400622, 1,    0, 00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032, 19400623, 1,    0, 00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032, 19400624, 1,    0, 00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032, 19400625, 1,    0, 00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032, 19400626, 1,    0, 00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032, 19400627, 1,    0, 00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032, 19400628, 1,    0, 00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032, 19400629, 1,    0, 00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032, 19400630, 1,    0, 00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032, 19400701, 1,    0, 00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032, 19400702, 1,   15, 00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032, 19400703, 1,   40, 00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032, 19400704, 1,   25, 00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032, 19400705, 1,    0, 00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032, 19400706, 1,    0, 00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032, 19400707, 1,    0, 00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032, 19400708, 1,    0, 00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032, 19400709, 1,    0, 00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032, 19400710, 1,    0, 00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032, 19400711, 1,    0, 00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032, 19400712, 1,   20, 00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032, 19400713, 1,   17, 00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032, 19400714, 1,    0, 00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032, 19400715, 1,    0, 00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032, 19400716, 1,    0, 00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032, 19400717, 1,   10, 00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032, 19400718, 1,    0, 00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032, 19400719, 1,    0, 00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032, 19400720, 1,    0, 00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032, 19400721, 1,    0, 00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032, 19400722, 1,    0, 00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032, 19400723, 1,    0, 00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032, 19400724, 1,    0, 00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032, 19400725, 1,   20, 00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032, 19400726, 1,    0, 00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032, 19400727, 1,    0, 00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032, 19400728, 1,    0, 00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032, 19400729, 1,    0, 00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032, 19400730, 1,    0, 00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032, 19400731, 1,    0, 00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032, 19400801, 1,    0, 00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032, 19400802, 1,    0, 00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032, 19400803, 1,    0, 00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032, 19400804, 1,    0, 00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032, 19400805, 1,    0, 00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032, 19400806, 1,    0, 00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032, 19400807, 1,    0, 00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032, 19400808, 1,    0, 00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032, 19400809, 1,    0, 00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032, 19400810, 1,    0, 00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032, 19400811, 1,    0, 00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032, 19400812, 1,    0, 00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032, 19400813, 1,    0, 00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032, 19400814, 1,    0, 00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032, 19400815, 1,    0, 00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032, 19400816, 1,    0, 00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032, 19400817, 1,    0, 00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032, 19400818, 1,    0, 00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032, 19400819, 1,    0, 00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032, 19400820, 1,    0, 00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032, 19400821, 1,    0, 00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032, 19400822, 1,    0, 00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032, 19400823, 1,    0, 00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032, 19400824, 1,    0, 00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032, 19400825, 1,    0, 00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032, 19400826, 1,    0, 00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032, 19400827, 1,   95, 00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032, 19400828, 1,    0, 00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032, 19400829, 1,    0, 00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032, 19400830, 1,    0, 00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032, 19400831, 1,    0, 00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032, 19400901, 1,    0, 00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032, 19400902, 1,    0, 00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032, 19400903, 1,    0, 00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032, 19400904, 1,    0, 00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032, 19400905, 1,    0, 00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032, 19400906, 1,    0, 00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032, 19400907, 1,    0, 00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032, 19400908, 1,    0, 00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032, 19400909, 1,    0, 00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032, 19400910, 1,    0, 00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032, 19400911, 1,    0, 00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032, 19400912, 1,    0, 00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032, 19400913, 1,    0, 00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032, 19400914, 1,    0, 00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032, 19400915, 1,    0, 00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032, 19400916, 1,    0, 00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032, 19400917, 1,    0, 00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032, 19400918, 1,    0, 00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032, 19400919, 1,    0, 00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032, 19400920, 1,    0, 00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032, 19400921, 1,    0, 00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032, 19400922, 1,    0, 00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032, 19400923, 1,    0, 00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032, 19400924, 1,    0, 00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032, 19400925, 1,    0, 00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032, 19400926, 1,    0, 00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032, 19400927, 1,    0, 00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032, 19400928, 1,    0, 00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032, 19400929, 1,    0, 00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032, 19400930, 1,    0, 00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19401001, 1, ////, 07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19401002, 1, ////, 07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19401003, 1, ////, 07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19401004, 1, ////, 07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19401005, 1, ////, 07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19401006, 1, ////, 07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19401007, 1, ////, 07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19401008, 1, ////, 07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19401009, 1, ////, 07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19401010, 1, ////, 07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19401011, 1, ////, 07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19401012, 1, ////, 07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19401013, 1, ////, 07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19401014, 1, ////, 07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19401015, 1, ////, 07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19401016, 1, ////, 07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19401017, 1, ////, 07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19401018, 1, ////, 07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19401019, 1, ////, 07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19401020, 1, ////, 07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19401021, 1, ////, 07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19401022, 1, ////, 07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19401023, 1, ////, 07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19401024, 1, ////, 07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19401025, 1, ////, 07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19401026, 1, ////, 07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19401027, 1, ////, 07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19401028, 1, ////, 07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19401029, 1, ////, 07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19401030, 1, ////, 07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19401031, 1, ////, 07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19401101, 1, ////, 07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19401102, 1, ////, 07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19401103, 1, ////, 07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19401104, 1, ////, 07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19401105, 1, ////, 07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19401106, 1, ////, 07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19401107, 1, ////, 07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19401108, 1, ////, 07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19401109, 1, ////, 07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19401110, 1, ////, 07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19401111, 1, ////, 07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19401112, 1, ////, 07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19401113, 1, ////, 07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19401114, 1, ////, 07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19401115, 1, ////, 07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19401116, 1, ////, 07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19401117, 1, ////, 07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19401118, 1, ////, 07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19401119, 1, ////, 07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19401120, 1, ////, 07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19401121, 1, ////, 07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19401122, 1, ////, 07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19401123, 1, ////, 07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19401124, 1, ////, 07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19401125, 1, ////, 07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19401126, 1, ////, 07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19401127, 1, ////, 07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19401128, 1, ////, 07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19401129, 1, ////, 07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19401130, 1, ////, 07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19401201, 1, ////, 07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19401202, 1, ////, 07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19401203, 1, ////, 07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19401204, 1, ////, 07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19401205, 1, ////, 07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19401206, 1, ////, 07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19401207, 1, ////, 07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19401208, 1, ////, 07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19401209, 1, ////, 07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19401210, 1, ////, 07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19401211, 1, ////, 07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19401212, 1, ////, 07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19401213, 1, ////, 07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19401214, 1, ////, 07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19401215, 1, ////, 07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19401216, 1, ////, 07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19401217, 1, ////, 07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19401218, 1, ////, 07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19401219, 1, ////, 07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19401220, 1, ////, 07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19401221, 1, ////, 07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19401222, 1, ////, 07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19401223, 1, ////, 07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19401224, 1, ////, 07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19401225, 1, ////, 07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19401226, 1, ////, 07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19401227, 1, ////, 07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19401228, 1, ////, 07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19401229, 1, ////, 07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19401230, 1, ////, 07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19401231,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465"/>
  <sheetViews>
    <sheetView workbookViewId="0"/>
  </sheetViews>
  <sheetFormatPr defaultRowHeight="15" x14ac:dyDescent="0.25"/>
  <cols>
    <col min="1" max="1" width="162.7109375" customWidth="1"/>
  </cols>
  <sheetData>
    <row r="1" spans="1:1" x14ac:dyDescent="0.25">
      <c r="A1" s="12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"""&amp;Overig!W1&amp;""""</f>
        <v>"Stn", "Datum", "Tijd", "P", "qP", "T", "qT", "Tn", "qTn", "Tx", "qTx", "U", "qU", "Ed", "qEd", "Tw", "qTw", "D", "qD", "F", "qF", "N", "qN"</v>
      </c>
    </row>
    <row r="2" spans="1:1" x14ac:dyDescent="0.25">
      <c r="A2" s="12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//"""),"'","""")&amp;SUBSTITUTE(TEXT(Overig!L2,""",""???0;"",""??-0;"",""???0;"", 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//"""),"'","""")&amp;SUBSTITUTE(TEXT(Overig!R2,""",""????0;"",""???-0;"",""????0;"", ////"""),"'","""")&amp;SUBSTITUTE(TEXT(Overig!S2,""",""?00;"",""?-00;"",""?00;"", //"""),"'","""")&amp;SUBSTITUTE(TEXT(IF(ISTEXT(Overig!T2),Overig!T2,10*Overig!T2),""",""????0;"",""???-0;"",""????0;"", ////"""),"'","""")&amp;SUBSTITUTE(TEXT(Overig!U2,""",""?00;"",""?-00;"",""?00;"", //"""),"'","""")&amp;SUBSTITUTE(TEXT(Overig!V2,""",""???0;"",""??-0;"",""???0;"", ///"""),"'","""")&amp;SUBSTITUTE(TEXT(Overig!W2,""",""?00;"",""?-00;"",""?00;"", //"""),"'","""")</f>
        <v>032, 19400101, 07.00, 7597, 00,  271, 00, ////, 07, ////, 07,  76, 00,  205, 00,  238, 00,   90, 00,    3, 00,   4, 00</v>
      </c>
    </row>
    <row r="3" spans="1:1" x14ac:dyDescent="0.25">
      <c r="A3" s="12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//"""),"'","""")&amp;SUBSTITUTE(TEXT(Overig!L3,""",""???0;"",""??-0;"",""???0;"", 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//"""),"'","""")&amp;SUBSTITUTE(TEXT(Overig!R3,""",""????0;"",""???-0;"",""????0;"", ////"""),"'","""")&amp;SUBSTITUTE(TEXT(Overig!S3,""",""?00;"",""?-00;"",""?00;"", //"""),"'","""")&amp;SUBSTITUTE(TEXT(IF(ISTEXT(Overig!T3),Overig!T3,10*Overig!T3),""",""????0;"",""???-0;"",""????0;"", ////"""),"'","""")&amp;SUBSTITUTE(TEXT(Overig!U3,""",""?00;"",""?-00;"",""?00;"", //"""),"'","""")&amp;SUBSTITUTE(TEXT(Overig!V3,""",""???0;"",""??-0;"",""???0;"", ///"""),"'","""")&amp;SUBSTITUTE(TEXT(Overig!W3,""",""?00;"",""?-00;"",""?00;"", //"""),"'","""")</f>
        <v>032, 19400101, 12.00, 7592, 00,  273, 00, ////, 07, ////, 07,  73, 00,  200, 00,  236, 00,   90, 00,    4, 00,   3, 00</v>
      </c>
    </row>
    <row r="4" spans="1:1" x14ac:dyDescent="0.25">
      <c r="A4" s="12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//"""),"'","""")&amp;SUBSTITUTE(TEXT(Overig!L4,""",""???0;"",""??-0;"",""???0;"", 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//"""),"'","""")&amp;SUBSTITUTE(TEXT(Overig!R4,""",""????0;"",""???-0;"",""????0;"", ////"""),"'","""")&amp;SUBSTITUTE(TEXT(Overig!S4,""",""?00;"",""?-00;"",""?00;"", //"""),"'","""")&amp;SUBSTITUTE(TEXT(IF(ISTEXT(Overig!T4),Overig!T4,10*Overig!T4),""",""????0;"",""???-0;"",""????0;"", ////"""),"'","""")&amp;SUBSTITUTE(TEXT(Overig!U4,""",""?00;"",""?-00;"",""?00;"", //"""),"'","""")&amp;SUBSTITUTE(TEXT(Overig!V4,""",""???0;"",""??-0;"",""???0;"", ///"""),"'","""")&amp;SUBSTITUTE(TEXT(Overig!W4,""",""?00;"",""?-00;"",""?00;"", //"""),"'","""")</f>
        <v>032, 19400101, 17.00, 7582, 00,  269, 00, ////, 07, ////, 07,  76, 00,  202, 00,  236, 00,   90, 00,    4, 00,   3, 00</v>
      </c>
    </row>
    <row r="5" spans="1:1" x14ac:dyDescent="0.25">
      <c r="A5" s="12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//"""),"'","""")&amp;SUBSTITUTE(TEXT(Overig!L5,""",""???0;"",""??-0;"",""???0;"", 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//"""),"'","""")&amp;SUBSTITUTE(TEXT(Overig!R5,""",""????0;"",""???-0;"",""????0;"", ////"""),"'","""")&amp;SUBSTITUTE(TEXT(Overig!S5,""",""?00;"",""?-00;"",""?00;"", //"""),"'","""")&amp;SUBSTITUTE(TEXT(IF(ISTEXT(Overig!T5),Overig!T5,10*Overig!T5),""",""????0;"",""???-0;"",""????0;"", ////"""),"'","""")&amp;SUBSTITUTE(TEXT(Overig!U5,""",""?00;"",""?-00;"",""?00;"", //"""),"'","""")&amp;SUBSTITUTE(TEXT(Overig!V5,""",""???0;"",""??-0;"",""???0;"", ///"""),"'","""")&amp;SUBSTITUTE(TEXT(Overig!W5,""",""?00;"",""?-00;"",""?00;"", //"""),"'","""")</f>
        <v>032, 19400101, 24.00, ////, 07, ////, 07,  280, 00,  295, 00, ///, 07, ////, 07, ////, 07, ////, 07, ////, 07, ///, 07</v>
      </c>
    </row>
    <row r="6" spans="1:1" x14ac:dyDescent="0.25">
      <c r="A6" s="12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//"""),"'","""")&amp;SUBSTITUTE(TEXT(Overig!L6,""",""???0;"",""??-0;"",""???0;"", 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//"""),"'","""")&amp;SUBSTITUTE(TEXT(Overig!R6,""",""????0;"",""???-0;"",""????0;"", ////"""),"'","""")&amp;SUBSTITUTE(TEXT(Overig!S6,""",""?00;"",""?-00;"",""?00;"", //"""),"'","""")&amp;SUBSTITUTE(TEXT(IF(ISTEXT(Overig!T6),Overig!T6,10*Overig!T6),""",""????0;"",""???-0;"",""????0;"", ////"""),"'","""")&amp;SUBSTITUTE(TEXT(Overig!U6,""",""?00;"",""?-00;"",""?00;"", //"""),"'","""")&amp;SUBSTITUTE(TEXT(Overig!V6,""",""???0;"",""??-0;"",""???0;"", ///"""),"'","""")&amp;SUBSTITUTE(TEXT(Overig!W6,""",""?00;"",""?-00;"",""?00;"", //"""),"'","""")</f>
        <v>032, 19400102, 07.00, 7592, 00,  261, 00, ////, 07, ////, 07,  80, 00,  202, 00,  234, 00,   65, 00,    3, 00,   3, 00</v>
      </c>
    </row>
    <row r="7" spans="1:1" x14ac:dyDescent="0.25">
      <c r="A7" s="12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//"""),"'","""")&amp;SUBSTITUTE(TEXT(Overig!L7,""",""???0;"",""??-0;"",""???0;"", 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//"""),"'","""")&amp;SUBSTITUTE(TEXT(Overig!R7,""",""????0;"",""???-0;"",""????0;"", ////"""),"'","""")&amp;SUBSTITUTE(TEXT(Overig!S7,""",""?00;"",""?-00;"",""?00;"", //"""),"'","""")&amp;SUBSTITUTE(TEXT(IF(ISTEXT(Overig!T7),Overig!T7,10*Overig!T7),""",""????0;"",""???-0;"",""????0;"", ////"""),"'","""")&amp;SUBSTITUTE(TEXT(Overig!U7,""",""?00;"",""?-00;"",""?00;"", //"""),"'","""")&amp;SUBSTITUTE(TEXT(Overig!V7,""",""???0;"",""??-0;"",""???0;"", ///"""),"'","""")&amp;SUBSTITUTE(TEXT(Overig!W7,""",""?00;"",""?-00;"",""?00;"", //"""),"'","""")</f>
        <v>032, 19400102, 12.00, 7597, 00,  271, 00, ////, 07, ////, 07,  77, 00,  208, 00,  240, 00,   65, 00,    4, 00,   2, 00</v>
      </c>
    </row>
    <row r="8" spans="1:1" x14ac:dyDescent="0.25">
      <c r="A8" s="12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//"""),"'","""")&amp;SUBSTITUTE(TEXT(Overig!L8,""",""???0;"",""??-0;"",""???0;"", 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//"""),"'","""")&amp;SUBSTITUTE(TEXT(Overig!R8,""",""????0;"",""???-0;"",""????0;"", ////"""),"'","""")&amp;SUBSTITUTE(TEXT(Overig!S8,""",""?00;"",""?-00;"",""?00;"", //"""),"'","""")&amp;SUBSTITUTE(TEXT(IF(ISTEXT(Overig!T8),Overig!T8,10*Overig!T8),""",""????0;"",""???-0;"",""????0;"", ////"""),"'","""")&amp;SUBSTITUTE(TEXT(Overig!U8,""",""?00;"",""?-00;"",""?00;"", //"""),"'","""")&amp;SUBSTITUTE(TEXT(Overig!V8,""",""???0;"",""??-0;"",""???0;"", ///"""),"'","""")&amp;SUBSTITUTE(TEXT(Overig!W8,""",""?00;"",""?-00;"",""?00;"", //"""),"'","""")</f>
        <v>032, 19400102, 17.00, 7587, 00,  267, 00, ////, 07, ////, 07,  78, 00,  205, 00,  237, 00,   45, 00,    5, 00,   4, 00</v>
      </c>
    </row>
    <row r="9" spans="1:1" x14ac:dyDescent="0.25">
      <c r="A9" s="12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//"""),"'","""")&amp;SUBSTITUTE(TEXT(Overig!L9,""",""???0;"",""??-0;"",""???0;"", 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//"""),"'","""")&amp;SUBSTITUTE(TEXT(Overig!R9,""",""????0;"",""???-0;"",""????0;"", ////"""),"'","""")&amp;SUBSTITUTE(TEXT(Overig!S9,""",""?00;"",""?-00;"",""?00;"", //"""),"'","""")&amp;SUBSTITUTE(TEXT(IF(ISTEXT(Overig!T9),Overig!T9,10*Overig!T9),""",""????0;"",""???-0;"",""????0;"", ////"""),"'","""")&amp;SUBSTITUTE(TEXT(Overig!U9,""",""?00;"",""?-00;"",""?00;"", //"""),"'","""")&amp;SUBSTITUTE(TEXT(Overig!V9,""",""???0;"",""??-0;"",""???0;"", ///"""),"'","""")&amp;SUBSTITUTE(TEXT(Overig!W9,""",""?00;"",""?-00;"",""?00;"", //"""),"'","""")</f>
        <v>032, 19400102, 24.00, ////, 07, ////, 07,  269, 00,  288, 00, ///, 07, ////, 07, ////, 07, ////, 07, ////, 07, ///, 07</v>
      </c>
    </row>
    <row r="10" spans="1:1" x14ac:dyDescent="0.25">
      <c r="A10" s="12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//"""),"'","""")&amp;SUBSTITUTE(TEXT(Overig!L10,""",""???0;"",""??-0;"",""???0;"", 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//"""),"'","""")&amp;SUBSTITUTE(TEXT(Overig!R10,""",""????0;"",""???-0;"",""????0;"", ////"""),"'","""")&amp;SUBSTITUTE(TEXT(Overig!S10,""",""?00;"",""?-00;"",""?00;"", //"""),"'","""")&amp;SUBSTITUTE(TEXT(IF(ISTEXT(Overig!T10),Overig!T10,10*Overig!T10),""",""????0;"",""???-0;"",""????0;"", ////"""),"'","""")&amp;SUBSTITUTE(TEXT(Overig!U10,""",""?00;"",""?-00;"",""?00;"", //"""),"'","""")&amp;SUBSTITUTE(TEXT(Overig!V10,""",""???0;"",""??-0;"",""???0;"", ///"""),"'","""")&amp;SUBSTITUTE(TEXT(Overig!W10,""",""?00;"",""?-00;"",""?00;"", //"""),"'","""")</f>
        <v>032, 19400103, 07.00, 7607, 00,  261, 00, ////, 07, ////, 07,  81, 00,  206, 00,  236, 00,   65, 00,    3, 00,   3, 00</v>
      </c>
    </row>
    <row r="11" spans="1:1" x14ac:dyDescent="0.25">
      <c r="A11" s="12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//"""),"'","""")&amp;SUBSTITUTE(TEXT(Overig!L11,""",""???0;"",""??-0;"",""???0;"", 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//"""),"'","""")&amp;SUBSTITUTE(TEXT(Overig!R11,""",""????0;"",""???-0;"",""????0;"", ////"""),"'","""")&amp;SUBSTITUTE(TEXT(Overig!S11,""",""?00;"",""?-00;"",""?00;"", //"""),"'","""")&amp;SUBSTITUTE(TEXT(IF(ISTEXT(Overig!T11),Overig!T11,10*Overig!T11),""",""????0;"",""???-0;"",""????0;"", ////"""),"'","""")&amp;SUBSTITUTE(TEXT(Overig!U11,""",""?00;"",""?-00;"",""?00;"", //"""),"'","""")&amp;SUBSTITUTE(TEXT(Overig!V11,""",""???0;"",""??-0;"",""???0;"", ///"""),"'","""")&amp;SUBSTITUTE(TEXT(Overig!W11,""",""?00;"",""?-00;"",""?00;"", //"""),"'","""")</f>
        <v>032, 19400103, 12.00, 7605, 00,  295, 00, ////, 07, ////, 07,  67, 00,  208, 00,  246, 00,   65, 00,    4, 00,   2, 00</v>
      </c>
    </row>
    <row r="12" spans="1:1" x14ac:dyDescent="0.25">
      <c r="A12" s="12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//"""),"'","""")&amp;SUBSTITUTE(TEXT(Overig!L12,""",""???0;"",""??-0;"",""???0;"", 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//"""),"'","""")&amp;SUBSTITUTE(TEXT(Overig!R12,""",""????0;"",""???-0;"",""????0;"", ////"""),"'","""")&amp;SUBSTITUTE(TEXT(Overig!S12,""",""?00;"",""?-00;"",""?00;"", //"""),"'","""")&amp;SUBSTITUTE(TEXT(IF(ISTEXT(Overig!T12),Overig!T12,10*Overig!T12),""",""????0;"",""???-0;"",""????0;"", ////"""),"'","""")&amp;SUBSTITUTE(TEXT(Overig!U12,""",""?00;"",""?-00;"",""?00;"", //"""),"'","""")&amp;SUBSTITUTE(TEXT(Overig!V12,""",""???0;"",""??-0;"",""???0;"", ///"""),"'","""")&amp;SUBSTITUTE(TEXT(Overig!W12,""",""?00;"",""?-00;"",""?00;"", //"""),"'","""")</f>
        <v>032, 19400103, 17.00, 7595, 00,  285, 00, ////, 07, ////, 07,  68, 00,  198, 00,  238, 00,   65, 00,    5, 00,   4, 00</v>
      </c>
    </row>
    <row r="13" spans="1:1" x14ac:dyDescent="0.25">
      <c r="A13" s="12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//"""),"'","""")&amp;SUBSTITUTE(TEXT(Overig!L13,""",""???0;"",""??-0;"",""???0;"", 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//"""),"'","""")&amp;SUBSTITUTE(TEXT(Overig!R13,""",""????0;"",""???-0;"",""????0;"", ////"""),"'","""")&amp;SUBSTITUTE(TEXT(Overig!S13,""",""?00;"",""?-00;"",""?00;"", //"""),"'","""")&amp;SUBSTITUTE(TEXT(IF(ISTEXT(Overig!T13),Overig!T13,10*Overig!T13),""",""????0;"",""???-0;"",""????0;"", ////"""),"'","""")&amp;SUBSTITUTE(TEXT(Overig!U13,""",""?00;"",""?-00;"",""?00;"", //"""),"'","""")&amp;SUBSTITUTE(TEXT(Overig!V13,""",""???0;"",""??-0;"",""???0;"", ///"""),"'","""")&amp;SUBSTITUTE(TEXT(Overig!W13,""",""?00;"",""?-00;"",""?00;"", //"""),"'","""")</f>
        <v>032, 19400103, 24.00, ////, 07, ////, 07,  270, 00,  308, 00, ///, 07, ////, 07, ////, 07, ////, 07, ////, 07, ///, 07</v>
      </c>
    </row>
    <row r="14" spans="1:1" x14ac:dyDescent="0.25">
      <c r="A14" s="12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//"""),"'","""")&amp;SUBSTITUTE(TEXT(Overig!L14,""",""???0;"",""??-0;"",""???0;"", 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//"""),"'","""")&amp;SUBSTITUTE(TEXT(Overig!R14,""",""????0;"",""???-0;"",""????0;"", ////"""),"'","""")&amp;SUBSTITUTE(TEXT(Overig!S14,""",""?00;"",""?-00;"",""?00;"", //"""),"'","""")&amp;SUBSTITUTE(TEXT(IF(ISTEXT(Overig!T14),Overig!T14,10*Overig!T14),""",""????0;"",""???-0;"",""????0;"", ////"""),"'","""")&amp;SUBSTITUTE(TEXT(Overig!U14,""",""?00;"",""?-00;"",""?00;"", //"""),"'","""")&amp;SUBSTITUTE(TEXT(Overig!V14,""",""???0;"",""??-0;"",""???0;"", ///"""),"'","""")&amp;SUBSTITUTE(TEXT(Overig!W14,""",""?00;"",""?-00;"",""?00;"", //"""),"'","""")</f>
        <v>032, 19400104, 07.00, 7605, 00,  263, 00, ////, 07, ////, 07,  82, 00,  210, 00,  239, 00,   65, 00,    3, 00,   2, 00</v>
      </c>
    </row>
    <row r="15" spans="1:1" x14ac:dyDescent="0.25">
      <c r="A15" s="12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//"""),"'","""")&amp;SUBSTITUTE(TEXT(Overig!L15,""",""???0;"",""??-0;"",""???0;"", 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//"""),"'","""")&amp;SUBSTITUTE(TEXT(Overig!R15,""",""????0;"",""???-0;"",""????0;"", ////"""),"'","""")&amp;SUBSTITUTE(TEXT(Overig!S15,""",""?00;"",""?-00;"",""?00;"", //"""),"'","""")&amp;SUBSTITUTE(TEXT(IF(ISTEXT(Overig!T15),Overig!T15,10*Overig!T15),""",""????0;"",""???-0;"",""????0;"", ////"""),"'","""")&amp;SUBSTITUTE(TEXT(Overig!U15,""",""?00;"",""?-00;"",""?00;"", //"""),"'","""")&amp;SUBSTITUTE(TEXT(Overig!V15,""",""???0;"",""??-0;"",""???0;"", ///"""),"'","""")&amp;SUBSTITUTE(TEXT(Overig!W15,""",""?00;"",""?-00;"",""?00;"", //"""),"'","""")</f>
        <v>032, 19400104, 12.00, 7582, 00,  281, 00, ////, 07, ////, 07,  72, 00,  207, 00,  242, 00,   65, 00,    5, 00,   4, 00</v>
      </c>
    </row>
    <row r="16" spans="1:1" x14ac:dyDescent="0.25">
      <c r="A16" s="12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//"""),"'","""")&amp;SUBSTITUTE(TEXT(Overig!L16,""",""???0;"",""??-0;"",""???0;"", 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//"""),"'","""")&amp;SUBSTITUTE(TEXT(Overig!R16,""",""????0;"",""???-0;"",""????0;"", ////"""),"'","""")&amp;SUBSTITUTE(TEXT(Overig!S16,""",""?00;"",""?-00;"",""?00;"", //"""),"'","""")&amp;SUBSTITUTE(TEXT(IF(ISTEXT(Overig!T16),Overig!T16,10*Overig!T16),""",""????0;"",""???-0;"",""????0;"", ////"""),"'","""")&amp;SUBSTITUTE(TEXT(Overig!U16,""",""?00;"",""?-00;"",""?00;"", //"""),"'","""")&amp;SUBSTITUTE(TEXT(Overig!V16,""",""???0;"",""??-0;"",""???0;"", ///"""),"'","""")&amp;SUBSTITUTE(TEXT(Overig!W16,""",""?00;"",""?-00;"",""?00;"", //"""),"'","""")</f>
        <v>032, 19400104, 17.00, 7582, 00,  273, 00, ////, 07, ////, 07,  75, 00,  204, 00,  238, 00,   65, 00,    5, 00,   4, 00</v>
      </c>
    </row>
    <row r="17" spans="1:1" x14ac:dyDescent="0.25">
      <c r="A17" s="12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//"""),"'","""")&amp;SUBSTITUTE(TEXT(Overig!L17,""",""???0;"",""??-0;"",""???0;"", 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//"""),"'","""")&amp;SUBSTITUTE(TEXT(Overig!R17,""",""????0;"",""???-0;"",""????0;"", ////"""),"'","""")&amp;SUBSTITUTE(TEXT(Overig!S17,""",""?00;"",""?-00;"",""?00;"", //"""),"'","""")&amp;SUBSTITUTE(TEXT(IF(ISTEXT(Overig!T17),Overig!T17,10*Overig!T17),""",""????0;"",""???-0;"",""????0;"", ////"""),"'","""")&amp;SUBSTITUTE(TEXT(Overig!U17,""",""?00;"",""?-00;"",""?00;"", //"""),"'","""")&amp;SUBSTITUTE(TEXT(Overig!V17,""",""???0;"",""??-0;"",""???0;"", ///"""),"'","""")&amp;SUBSTITUTE(TEXT(Overig!W17,""",""?00;"",""?-00;"",""?00;"", //"""),"'","""")</f>
        <v>032, 19400104, 24.00, ////, 07, ////, 07,  274, 00,  294, 00, ///, 07, ////, 07, ////, 07, ////, 07, ////, 07, ///, 07</v>
      </c>
    </row>
    <row r="18" spans="1:1" x14ac:dyDescent="0.25">
      <c r="A18" s="12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//"""),"'","""")&amp;SUBSTITUTE(TEXT(Overig!L18,""",""???0;"",""??-0;"",""???0;"", 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//"""),"'","""")&amp;SUBSTITUTE(TEXT(Overig!R18,""",""????0;"",""???-0;"",""????0;"", ////"""),"'","""")&amp;SUBSTITUTE(TEXT(Overig!S18,""",""?00;"",""?-00;"",""?00;"", //"""),"'","""")&amp;SUBSTITUTE(TEXT(IF(ISTEXT(Overig!T18),Overig!T18,10*Overig!T18),""",""????0;"",""???-0;"",""????0;"", ////"""),"'","""")&amp;SUBSTITUTE(TEXT(Overig!U18,""",""?00;"",""?-00;"",""?00;"", //"""),"'","""")&amp;SUBSTITUTE(TEXT(Overig!V18,""",""???0;"",""??-0;"",""???0;"", ///"""),"'","""")&amp;SUBSTITUTE(TEXT(Overig!W18,""",""?00;"",""?-00;"",""?00;"", //"""),"'","""")</f>
        <v>032, 19400105, 07.00, 7610, 00,  267, 00, ////, 07, ////, 07,  77, 00,  203, 00,  236, 00,   65, 00,    4, 00,   3, 00</v>
      </c>
    </row>
    <row r="19" spans="1:1" x14ac:dyDescent="0.25">
      <c r="A19" s="12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//"""),"'","""")&amp;SUBSTITUTE(TEXT(Overig!L19,""",""???0;"",""??-0;"",""???0;"", 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//"""),"'","""")&amp;SUBSTITUTE(TEXT(Overig!R19,""",""????0;"",""???-0;"",""????0;"", ////"""),"'","""")&amp;SUBSTITUTE(TEXT(Overig!S19,""",""?00;"",""?-00;"",""?00;"", //"""),"'","""")&amp;SUBSTITUTE(TEXT(IF(ISTEXT(Overig!T19),Overig!T19,10*Overig!T19),""",""????0;"",""???-0;"",""????0;"", ////"""),"'","""")&amp;SUBSTITUTE(TEXT(Overig!U19,""",""?00;"",""?-00;"",""?00;"", //"""),"'","""")&amp;SUBSTITUTE(TEXT(Overig!V19,""",""???0;"",""??-0;"",""???0;"", ///"""),"'","""")&amp;SUBSTITUTE(TEXT(Overig!W19,""",""?00;"",""?-00;"",""?00;"", //"""),"'","""")</f>
        <v>032, 19400105, 12.00, 7612, 00,  295, 00, ////, 07, ////, 07,  68, 00,  211, 00,  248, 00,   65, 00,    4, 00,   5, 00</v>
      </c>
    </row>
    <row r="20" spans="1:1" x14ac:dyDescent="0.25">
      <c r="A20" s="12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//"""),"'","""")&amp;SUBSTITUTE(TEXT(Overig!L20,""",""???0;"",""??-0;"",""???0;"", 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//"""),"'","""")&amp;SUBSTITUTE(TEXT(Overig!R20,""",""????0;"",""???-0;"",""????0;"", ////"""),"'","""")&amp;SUBSTITUTE(TEXT(Overig!S20,""",""?00;"",""?-00;"",""?00;"", //"""),"'","""")&amp;SUBSTITUTE(TEXT(IF(ISTEXT(Overig!T20),Overig!T20,10*Overig!T20),""",""????0;"",""???-0;"",""????0;"", ////"""),"'","""")&amp;SUBSTITUTE(TEXT(Overig!U20,""",""?00;"",""?-00;"",""?00;"", //"""),"'","""")&amp;SUBSTITUTE(TEXT(Overig!V20,""",""???0;"",""??-0;"",""???0;"", ///"""),"'","""")&amp;SUBSTITUTE(TEXT(Overig!W20,""",""?00;"",""?-00;"",""?00;"", //"""),"'","""")</f>
        <v>032, 19400105, 17.00, 7597, 00,  279, 00, ////, 07, ////, 07,  72, 00,  202, 00,  239, 00,   65, 00,    5, 00,   4, 00</v>
      </c>
    </row>
    <row r="21" spans="1:1" x14ac:dyDescent="0.25">
      <c r="A21" s="12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//"""),"'","""")&amp;SUBSTITUTE(TEXT(Overig!L21,""",""???0;"",""??-0;"",""???0;"", 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//"""),"'","""")&amp;SUBSTITUTE(TEXT(Overig!R21,""",""????0;"",""???-0;"",""????0;"", ////"""),"'","""")&amp;SUBSTITUTE(TEXT(Overig!S21,""",""?00;"",""?-00;"",""?00;"", //"""),"'","""")&amp;SUBSTITUTE(TEXT(IF(ISTEXT(Overig!T21),Overig!T21,10*Overig!T21),""",""????0;"",""???-0;"",""????0;"", ////"""),"'","""")&amp;SUBSTITUTE(TEXT(Overig!U21,""",""?00;"",""?-00;"",""?00;"", //"""),"'","""")&amp;SUBSTITUTE(TEXT(Overig!V21,""",""???0;"",""??-0;"",""???0;"", ///"""),"'","""")&amp;SUBSTITUTE(TEXT(Overig!W21,""",""?00;"",""?-00;"",""?00;"", //"""),"'","""")</f>
        <v>032, 19400105, 24.00, ////, 07, ////, 07,  272, 00,  314, 00, ///, 07, ////, 07, ////, 07, ////, 07, ////, 07, ///, 07</v>
      </c>
    </row>
    <row r="22" spans="1:1" x14ac:dyDescent="0.25">
      <c r="A22" s="12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//"""),"'","""")&amp;SUBSTITUTE(TEXT(Overig!L22,""",""???0;"",""??-0;"",""???0;"", 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//"""),"'","""")&amp;SUBSTITUTE(TEXT(Overig!R22,""",""????0;"",""???-0;"",""????0;"", ////"""),"'","""")&amp;SUBSTITUTE(TEXT(Overig!S22,""",""?00;"",""?-00;"",""?00;"", //"""),"'","""")&amp;SUBSTITUTE(TEXT(IF(ISTEXT(Overig!T22),Overig!T22,10*Overig!T22),""",""????0;"",""???-0;"",""????0;"", ////"""),"'","""")&amp;SUBSTITUTE(TEXT(Overig!U22,""",""?00;"",""?-00;"",""?00;"", //"""),"'","""")&amp;SUBSTITUTE(TEXT(Overig!V22,""",""???0;"",""??-0;"",""???0;"", ///"""),"'","""")&amp;SUBSTITUTE(TEXT(Overig!W22,""",""?00;"",""?-00;"",""?00;"", //"""),"'","""")</f>
        <v>032, 19400106, 07.00, 7605, 00,  269, 00, ////, 07, ////, 07,  77, 00,  206, 00,  238, 00,   65, 00,    4, 00,   4, 00</v>
      </c>
    </row>
    <row r="23" spans="1:1" x14ac:dyDescent="0.25">
      <c r="A23" s="12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//"""),"'","""")&amp;SUBSTITUTE(TEXT(Overig!L23,""",""???0;"",""??-0;"",""???0;"", 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//"""),"'","""")&amp;SUBSTITUTE(TEXT(Overig!R23,""",""????0;"",""???-0;"",""????0;"", ////"""),"'","""")&amp;SUBSTITUTE(TEXT(Overig!S23,""",""?00;"",""?-00;"",""?00;"", //"""),"'","""")&amp;SUBSTITUTE(TEXT(IF(ISTEXT(Overig!T23),Overig!T23,10*Overig!T23),""",""????0;"",""???-0;"",""????0;"", ////"""),"'","""")&amp;SUBSTITUTE(TEXT(Overig!U23,""",""?00;"",""?-00;"",""?00;"", //"""),"'","""")&amp;SUBSTITUTE(TEXT(Overig!V23,""",""???0;"",""??-0;"",""???0;"", ///"""),"'","""")&amp;SUBSTITUTE(TEXT(Overig!W23,""",""?00;"",""?-00;"",""?00;"", //"""),"'","""")</f>
        <v>032, 19400106, 12.00, 7600, 00,  293, 00, ////, 07, ////, 07,  68, 00,  209, 00,  246, 00,   65, 00,    5, 00,   5, 00</v>
      </c>
    </row>
    <row r="24" spans="1:1" x14ac:dyDescent="0.25">
      <c r="A24" s="12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//"""),"'","""")&amp;SUBSTITUTE(TEXT(Overig!L24,""",""???0;"",""??-0;"",""???0;"", 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//"""),"'","""")&amp;SUBSTITUTE(TEXT(Overig!R24,""",""????0;"",""???-0;"",""????0;"", ////"""),"'","""")&amp;SUBSTITUTE(TEXT(Overig!S24,""",""?00;"",""?-00;"",""?00;"", //"""),"'","""")&amp;SUBSTITUTE(TEXT(IF(ISTEXT(Overig!T24),Overig!T24,10*Overig!T24),""",""????0;"",""???-0;"",""????0;"", ////"""),"'","""")&amp;SUBSTITUTE(TEXT(Overig!U24,""",""?00;"",""?-00;"",""?00;"", //"""),"'","""")&amp;SUBSTITUTE(TEXT(Overig!V24,""",""???0;"",""??-0;"",""???0;"", ///"""),"'","""")&amp;SUBSTITUTE(TEXT(Overig!W24,""",""?00;"",""?-00;"",""?00;"", //"""),"'","""")</f>
        <v>032, 19400106, 17.00, 7592, 00,  284, 00, ////, 07, ////, 07,  71, 00,  207, 00,  243, 00,   65, 00,    5, 00,   4, 00</v>
      </c>
    </row>
    <row r="25" spans="1:1" x14ac:dyDescent="0.25">
      <c r="A25" s="12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//"""),"'","""")&amp;SUBSTITUTE(TEXT(Overig!L25,""",""???0;"",""??-0;"",""???0;"", 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//"""),"'","""")&amp;SUBSTITUTE(TEXT(Overig!R25,""",""????0;"",""???-0;"",""????0;"", ////"""),"'","""")&amp;SUBSTITUTE(TEXT(Overig!S25,""",""?00;"",""?-00;"",""?00;"", //"""),"'","""")&amp;SUBSTITUTE(TEXT(IF(ISTEXT(Overig!T25),Overig!T25,10*Overig!T25),""",""????0;"",""???-0;"",""????0;"", ////"""),"'","""")&amp;SUBSTITUTE(TEXT(Overig!U25,""",""?00;"",""?-00;"",""?00;"", //"""),"'","""")&amp;SUBSTITUTE(TEXT(Overig!V25,""",""???0;"",""??-0;"",""???0;"", ///"""),"'","""")&amp;SUBSTITUTE(TEXT(Overig!W25,""",""?00;"",""?-00;"",""?00;"", //"""),"'","""")</f>
        <v>032, 19400106, 24.00, ////, 07, ////, 07,  274, 00,  314, 00, ///, 07, ////, 07, ////, 07, ////, 07, ////, 07, ///, 07</v>
      </c>
    </row>
    <row r="26" spans="1:1" x14ac:dyDescent="0.25">
      <c r="A26" s="12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//"""),"'","""")&amp;SUBSTITUTE(TEXT(Overig!L26,""",""???0;"",""??-0;"",""???0;"", 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//"""),"'","""")&amp;SUBSTITUTE(TEXT(Overig!R26,""",""????0;"",""???-0;"",""????0;"", ////"""),"'","""")&amp;SUBSTITUTE(TEXT(Overig!S26,""",""?00;"",""?-00;"",""?00;"", //"""),"'","""")&amp;SUBSTITUTE(TEXT(IF(ISTEXT(Overig!T26),Overig!T26,10*Overig!T26),""",""????0;"",""???-0;"",""????0;"", ////"""),"'","""")&amp;SUBSTITUTE(TEXT(Overig!U26,""",""?00;"",""?-00;"",""?00;"", //"""),"'","""")&amp;SUBSTITUTE(TEXT(Overig!V26,""",""???0;"",""??-0;"",""???0;"", ///"""),"'","""")&amp;SUBSTITUTE(TEXT(Overig!W26,""",""?00;"",""?-00;"",""?00;"", //"""),"'","""")</f>
        <v>032, 19400107, 07.00, 7610, 00,  267, 00, ////, 07, ////, 07,  69, 00,  182, 00,  224, 00,   65, 00,    3, 00,   2, 00</v>
      </c>
    </row>
    <row r="27" spans="1:1" x14ac:dyDescent="0.25">
      <c r="A27" s="12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//"""),"'","""")&amp;SUBSTITUTE(TEXT(Overig!L27,""",""???0;"",""??-0;"",""???0;"", 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//"""),"'","""")&amp;SUBSTITUTE(TEXT(Overig!R27,""",""????0;"",""???-0;"",""????0;"", ////"""),"'","""")&amp;SUBSTITUTE(TEXT(Overig!S27,""",""?00;"",""?-00;"",""?00;"", //"""),"'","""")&amp;SUBSTITUTE(TEXT(IF(ISTEXT(Overig!T27),Overig!T27,10*Overig!T27),""",""????0;"",""???-0;"",""????0;"", ////"""),"'","""")&amp;SUBSTITUTE(TEXT(Overig!U27,""",""?00;"",""?-00;"",""?00;"", //"""),"'","""")&amp;SUBSTITUTE(TEXT(Overig!V27,""",""???0;"",""??-0;"",""???0;"", ///"""),"'","""")&amp;SUBSTITUTE(TEXT(Overig!W27,""",""?00;"",""?-00;"",""?00;"", //"""),"'","""")</f>
        <v>032, 19400107, 12.00, 7612, 00,  293, 00, ////, 07, ////, 07,  64, 00,  197, 00,  240, 00,   65, 00,    4, 00,   3, 00</v>
      </c>
    </row>
    <row r="28" spans="1:1" x14ac:dyDescent="0.25">
      <c r="A28" s="12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//"""),"'","""")&amp;SUBSTITUTE(TEXT(Overig!L28,""",""???0;"",""??-0;"",""???0;"", 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//"""),"'","""")&amp;SUBSTITUTE(TEXT(Overig!R28,""",""????0;"",""???-0;"",""????0;"", ////"""),"'","""")&amp;SUBSTITUTE(TEXT(Overig!S28,""",""?00;"",""?-00;"",""?00;"", //"""),"'","""")&amp;SUBSTITUTE(TEXT(IF(ISTEXT(Overig!T28),Overig!T28,10*Overig!T28),""",""????0;"",""???-0;"",""????0;"", ////"""),"'","""")&amp;SUBSTITUTE(TEXT(Overig!U28,""",""?00;"",""?-00;"",""?00;"", //"""),"'","""")&amp;SUBSTITUTE(TEXT(Overig!V28,""",""???0;"",""??-0;"",""???0;"", ///"""),"'","""")&amp;SUBSTITUTE(TEXT(Overig!W28,""",""?00;"",""?-00;"",""?00;"", //"""),"'","""")</f>
        <v>032, 19400107, 17.00, 7612, 00,  289, 00, ////, 07, ////, 07,  65, 00,  196, 00,  238, 00,   65, 00,    5, 00,   3, 00</v>
      </c>
    </row>
    <row r="29" spans="1:1" x14ac:dyDescent="0.25">
      <c r="A29" s="12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//"""),"'","""")&amp;SUBSTITUTE(TEXT(Overig!L29,""",""???0;"",""??-0;"",""???0;"", 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//"""),"'","""")&amp;SUBSTITUTE(TEXT(Overig!R29,""",""????0;"",""???-0;"",""????0;"", ////"""),"'","""")&amp;SUBSTITUTE(TEXT(Overig!S29,""",""?00;"",""?-00;"",""?00;"", //"""),"'","""")&amp;SUBSTITUTE(TEXT(IF(ISTEXT(Overig!T29),Overig!T29,10*Overig!T29),""",""????0;"",""???-0;"",""????0;"", ////"""),"'","""")&amp;SUBSTITUTE(TEXT(Overig!U29,""",""?00;"",""?-00;"",""?00;"", //"""),"'","""")&amp;SUBSTITUTE(TEXT(Overig!V29,""",""???0;"",""??-0;"",""???0;"", ///"""),"'","""")&amp;SUBSTITUTE(TEXT(Overig!W29,""",""?00;"",""?-00;"",""?00;"", //"""),"'","""")</f>
        <v>032, 19400107, 24.00, ////, 07, ////, 07,  279, 00,  310, 00, ///, 07, ////, 07, ////, 07, ////, 07, ////, 07, ///, 07</v>
      </c>
    </row>
    <row r="30" spans="1:1" x14ac:dyDescent="0.25">
      <c r="A30" s="12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//"""),"'","""")&amp;SUBSTITUTE(TEXT(Overig!L30,""",""???0;"",""??-0;"",""???0;"", 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//"""),"'","""")&amp;SUBSTITUTE(TEXT(Overig!R30,""",""????0;"",""???-0;"",""????0;"", ////"""),"'","""")&amp;SUBSTITUTE(TEXT(Overig!S30,""",""?00;"",""?-00;"",""?00;"", //"""),"'","""")&amp;SUBSTITUTE(TEXT(IF(ISTEXT(Overig!T30),Overig!T30,10*Overig!T30),""",""????0;"",""???-0;"",""????0;"", ////"""),"'","""")&amp;SUBSTITUTE(TEXT(Overig!U30,""",""?00;"",""?-00;"",""?00;"", //"""),"'","""")&amp;SUBSTITUTE(TEXT(Overig!V30,""",""???0;"",""??-0;"",""???0;"", ///"""),"'","""")&amp;SUBSTITUTE(TEXT(Overig!W30,""",""?00;"",""?-00;"",""?00;"", //"""),"'","""")</f>
        <v>032, 19400108, 07.00, 7612, 00,  269, 00, ////, 07, ////, 07,  72, 00,  191, 00,  230, 00,   65, 00,    3, 00,   2, 00</v>
      </c>
    </row>
    <row r="31" spans="1:1" x14ac:dyDescent="0.25">
      <c r="A31" s="12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//"""),"'","""")&amp;SUBSTITUTE(TEXT(Overig!L31,""",""???0;"",""??-0;"",""???0;"", 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//"""),"'","""")&amp;SUBSTITUTE(TEXT(Overig!R31,""",""????0;"",""???-0;"",""????0;"", ////"""),"'","""")&amp;SUBSTITUTE(TEXT(Overig!S31,""",""?00;"",""?-00;"",""?00;"", //"""),"'","""")&amp;SUBSTITUTE(TEXT(IF(ISTEXT(Overig!T31),Overig!T31,10*Overig!T31),""",""????0;"",""???-0;"",""????0;"", ////"""),"'","""")&amp;SUBSTITUTE(TEXT(Overig!U31,""",""?00;"",""?-00;"",""?00;"", //"""),"'","""")&amp;SUBSTITUTE(TEXT(Overig!V31,""",""???0;"",""??-0;"",""???0;"", ///"""),"'","""")&amp;SUBSTITUTE(TEXT(Overig!W31,""",""?00;"",""?-00;"",""?00;"", //"""),"'","""")</f>
        <v>032, 19400108, 12.00, 7612, 00,  287, 00, ////, 07, ////, 07,  66, 00,  197, 00,  238, 00,   65, 00,    4, 00,   4, 00</v>
      </c>
    </row>
    <row r="32" spans="1:1" x14ac:dyDescent="0.25">
      <c r="A32" s="12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//"""),"'","""")&amp;SUBSTITUTE(TEXT(Overig!L32,""",""???0;"",""??-0;"",""???0;"", 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//"""),"'","""")&amp;SUBSTITUTE(TEXT(Overig!R32,""",""????0;"",""???-0;"",""????0;"", ////"""),"'","""")&amp;SUBSTITUTE(TEXT(Overig!S32,""",""?00;"",""?-00;"",""?00;"", //"""),"'","""")&amp;SUBSTITUTE(TEXT(IF(ISTEXT(Overig!T32),Overig!T32,10*Overig!T32),""",""????0;"",""???-0;"",""????0;"", ////"""),"'","""")&amp;SUBSTITUTE(TEXT(Overig!U32,""",""?00;"",""?-00;"",""?00;"", //"""),"'","""")&amp;SUBSTITUTE(TEXT(Overig!V32,""",""???0;"",""??-0;"",""???0;"", ///"""),"'","""")&amp;SUBSTITUTE(TEXT(Overig!W32,""",""?00;"",""?-00;"",""?00;"", //"""),"'","""")</f>
        <v>032, 19400108, 17.00, 7612, 00,  285, 00, ////, 07, ////, 07,  68, 00,  198, 00,  238, 00,   65, 00,    4, 00,   3, 00</v>
      </c>
    </row>
    <row r="33" spans="1:1" x14ac:dyDescent="0.25">
      <c r="A33" s="12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//"""),"'","""")&amp;SUBSTITUTE(TEXT(Overig!L33,""",""???0;"",""??-0;"",""???0;"", 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//"""),"'","""")&amp;SUBSTITUTE(TEXT(Overig!R33,""",""????0;"",""???-0;"",""????0;"", ////"""),"'","""")&amp;SUBSTITUTE(TEXT(Overig!S33,""",""?00;"",""?-00;"",""?00;"", //"""),"'","""")&amp;SUBSTITUTE(TEXT(IF(ISTEXT(Overig!T33),Overig!T33,10*Overig!T33),""",""????0;"",""???-0;"",""????0;"", ////"""),"'","""")&amp;SUBSTITUTE(TEXT(Overig!U33,""",""?00;"",""?-00;"",""?00;"", //"""),"'","""")&amp;SUBSTITUTE(TEXT(Overig!V33,""",""???0;"",""??-0;"",""???0;"", ///"""),"'","""")&amp;SUBSTITUTE(TEXT(Overig!W33,""",""?00;"",""?-00;"",""?00;"", //"""),"'","""")</f>
        <v>032, 19400108, 24.00, ////, 07, ////, 07,  290, 00,  304, 00, ///, 07, ////, 07, ////, 07, ////, 07, ////, 07, ///, 07</v>
      </c>
    </row>
    <row r="34" spans="1:1" x14ac:dyDescent="0.25">
      <c r="A34" s="12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//"""),"'","""")&amp;SUBSTITUTE(TEXT(Overig!L34,""",""???0;"",""??-0;"",""???0;"", 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//"""),"'","""")&amp;SUBSTITUTE(TEXT(Overig!R34,""",""????0;"",""???-0;"",""????0;"", ////"""),"'","""")&amp;SUBSTITUTE(TEXT(Overig!S34,""",""?00;"",""?-00;"",""?00;"", //"""),"'","""")&amp;SUBSTITUTE(TEXT(IF(ISTEXT(Overig!T34),Overig!T34,10*Overig!T34),""",""????0;"",""???-0;"",""????0;"", ////"""),"'","""")&amp;SUBSTITUTE(TEXT(Overig!U34,""",""?00;"",""?-00;"",""?00;"", //"""),"'","""")&amp;SUBSTITUTE(TEXT(Overig!V34,""",""???0;"",""??-0;"",""???0;"", ///"""),"'","""")&amp;SUBSTITUTE(TEXT(Overig!W34,""",""?00;"",""?-00;"",""?00;"", //"""),"'","""")</f>
        <v>032, 19400109, 07.00, 7620, 00,  271, 00, ////, 07, ////, 07,  77, 00,  208, 00,  240, 00,   65, 00,    3, 00,   2, 00</v>
      </c>
    </row>
    <row r="35" spans="1:1" x14ac:dyDescent="0.25">
      <c r="A35" s="12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//"""),"'","""")&amp;SUBSTITUTE(TEXT(Overig!L35,""",""???0;"",""??-0;"",""???0;"", 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//"""),"'","""")&amp;SUBSTITUTE(TEXT(Overig!R35,""",""????0;"",""???-0;"",""????0;"", ////"""),"'","""")&amp;SUBSTITUTE(TEXT(Overig!S35,""",""?00;"",""?-00;"",""?00;"", //"""),"'","""")&amp;SUBSTITUTE(TEXT(IF(ISTEXT(Overig!T35),Overig!T35,10*Overig!T35),""",""????0;"",""???-0;"",""????0;"", ////"""),"'","""")&amp;SUBSTITUTE(TEXT(Overig!U35,""",""?00;"",""?-00;"",""?00;"", //"""),"'","""")&amp;SUBSTITUTE(TEXT(Overig!V35,""",""???0;"",""??-0;"",""???0;"", ///"""),"'","""")&amp;SUBSTITUTE(TEXT(Overig!W35,""",""?00;"",""?-00;"",""?00;"", //"""),"'","""")</f>
        <v>032, 19400109, 12.00, 7617, 00,  279, 00, ////, 07, ////, 07,  74, 00,  219, 00,  243, 00,   65, 00,    4, 00,   3, 00</v>
      </c>
    </row>
    <row r="36" spans="1:1" x14ac:dyDescent="0.25">
      <c r="A36" s="12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//"""),"'","""")&amp;SUBSTITUTE(TEXT(Overig!L36,""",""???0;"",""??-0;"",""???0;"", 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//"""),"'","""")&amp;SUBSTITUTE(TEXT(Overig!R36,""",""????0;"",""???-0;"",""????0;"", ////"""),"'","""")&amp;SUBSTITUTE(TEXT(Overig!S36,""",""?00;"",""?-00;"",""?00;"", //"""),"'","""")&amp;SUBSTITUTE(TEXT(IF(ISTEXT(Overig!T36),Overig!T36,10*Overig!T36),""",""????0;"",""???-0;"",""????0;"", ////"""),"'","""")&amp;SUBSTITUTE(TEXT(Overig!U36,""",""?00;"",""?-00;"",""?00;"", //"""),"'","""")&amp;SUBSTITUTE(TEXT(Overig!V36,""",""???0;"",""??-0;"",""???0;"", ///"""),"'","""")&amp;SUBSTITUTE(TEXT(Overig!W36,""",""?00;"",""?-00;"",""?00;"", //"""),"'","""")</f>
        <v>032, 19400109, 17.00, 7602, 00,  275, 00, ////, 07, ////, 07,  74, 00,  204, 00,  239, 00,   65, 00,    4, 00,   4, 00</v>
      </c>
    </row>
    <row r="37" spans="1:1" x14ac:dyDescent="0.25">
      <c r="A37" s="12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//"""),"'","""")&amp;SUBSTITUTE(TEXT(Overig!L37,""",""???0;"",""??-0;"",""???0;"", 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//"""),"'","""")&amp;SUBSTITUTE(TEXT(Overig!R37,""",""????0;"",""???-0;"",""????0;"", ////"""),"'","""")&amp;SUBSTITUTE(TEXT(Overig!S37,""",""?00;"",""?-00;"",""?00;"", //"""),"'","""")&amp;SUBSTITUTE(TEXT(IF(ISTEXT(Overig!T37),Overig!T37,10*Overig!T37),""",""????0;"",""???-0;"",""????0;"", ////"""),"'","""")&amp;SUBSTITUTE(TEXT(Overig!U37,""",""?00;"",""?-00;"",""?00;"", //"""),"'","""")&amp;SUBSTITUTE(TEXT(Overig!V37,""",""???0;"",""??-0;"",""???0;"", ///"""),"'","""")&amp;SUBSTITUTE(TEXT(Overig!W37,""",""?00;"",""?-00;"",""?00;"", //"""),"'","""")</f>
        <v>032, 19400109, 24.00, ////, 07, ////, 07,  279, 00,  295, 00, ///, 07, ////, 07, ////, 07, ////, 07, ////, 07, ///, 07</v>
      </c>
    </row>
    <row r="38" spans="1:1" x14ac:dyDescent="0.25">
      <c r="A38" s="12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//"""),"'","""")&amp;SUBSTITUTE(TEXT(Overig!L38,""",""???0;"",""??-0;"",""???0;"", 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//"""),"'","""")&amp;SUBSTITUTE(TEXT(Overig!R38,""",""????0;"",""???-0;"",""????0;"", ////"""),"'","""")&amp;SUBSTITUTE(TEXT(Overig!S38,""",""?00;"",""?-00;"",""?00;"", //"""),"'","""")&amp;SUBSTITUTE(TEXT(IF(ISTEXT(Overig!T38),Overig!T38,10*Overig!T38),""",""????0;"",""???-0;"",""????0;"", ////"""),"'","""")&amp;SUBSTITUTE(TEXT(Overig!U38,""",""?00;"",""?-00;"",""?00;"", //"""),"'","""")&amp;SUBSTITUTE(TEXT(Overig!V38,""",""???0;"",""??-0;"",""???0;"", ///"""),"'","""")&amp;SUBSTITUTE(TEXT(Overig!W38,""",""?00;"",""?-00;"",""?00;"", //"""),"'","""")</f>
        <v>032, 19400110, 07.00, 7623, 00,  269, 00, ////, 07, ////, 07,  79, 00,  209, 00,  240, 00,   65, 00,    3, 00,   1, 00</v>
      </c>
    </row>
    <row r="39" spans="1:1" x14ac:dyDescent="0.25">
      <c r="A39" s="12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//"""),"'","""")&amp;SUBSTITUTE(TEXT(Overig!L39,""",""???0;"",""??-0;"",""???0;"", 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//"""),"'","""")&amp;SUBSTITUTE(TEXT(Overig!R39,""",""????0;"",""???-0;"",""????0;"", ////"""),"'","""")&amp;SUBSTITUTE(TEXT(Overig!S39,""",""?00;"",""?-00;"",""?00;"", //"""),"'","""")&amp;SUBSTITUTE(TEXT(IF(ISTEXT(Overig!T39),Overig!T39,10*Overig!T39),""",""????0;"",""???-0;"",""????0;"", ////"""),"'","""")&amp;SUBSTITUTE(TEXT(Overig!U39,""",""?00;"",""?-00;"",""?00;"", //"""),"'","""")&amp;SUBSTITUTE(TEXT(Overig!V39,""",""???0;"",""??-0;"",""???0;"", ///"""),"'","""")&amp;SUBSTITUTE(TEXT(Overig!W39,""",""?00;"",""?-00;"",""?00;"", //"""),"'","""")</f>
        <v>032, 19400110, 12.00, 7607, 00,  285, 00, ////, 07, ////, 07,  70, 00,  205, 00,  242, 00,   65, 00,    4, 00,   3, 00</v>
      </c>
    </row>
    <row r="40" spans="1:1" x14ac:dyDescent="0.25">
      <c r="A40" s="12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//"""),"'","""")&amp;SUBSTITUTE(TEXT(Overig!L40,""",""???0;"",""??-0;"",""???0;"", 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//"""),"'","""")&amp;SUBSTITUTE(TEXT(Overig!R40,""",""????0;"",""???-0;"",""????0;"", ////"""),"'","""")&amp;SUBSTITUTE(TEXT(Overig!S40,""",""?00;"",""?-00;"",""?00;"", //"""),"'","""")&amp;SUBSTITUTE(TEXT(IF(ISTEXT(Overig!T40),Overig!T40,10*Overig!T40),""",""????0;"",""???-0;"",""????0;"", ////"""),"'","""")&amp;SUBSTITUTE(TEXT(Overig!U40,""",""?00;"",""?-00;"",""?00;"", //"""),"'","""")&amp;SUBSTITUTE(TEXT(Overig!V40,""",""???0;"",""??-0;"",""???0;"", ///"""),"'","""")&amp;SUBSTITUTE(TEXT(Overig!W40,""",""?00;"",""?-00;"",""?00;"", //"""),"'","""")</f>
        <v>032, 19400110, 17.00, 7607, 00,  279, 00, ////, 07, ////, 07,  72, 00,  202, 00,  239, 00,   65, 00,    5, 00,   4, 00</v>
      </c>
    </row>
    <row r="41" spans="1:1" x14ac:dyDescent="0.25">
      <c r="A41" s="12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//"""),"'","""")&amp;SUBSTITUTE(TEXT(Overig!L41,""",""???0;"",""??-0;"",""???0;"", 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//"""),"'","""")&amp;SUBSTITUTE(TEXT(Overig!R41,""",""????0;"",""???-0;"",""????0;"", ////"""),"'","""")&amp;SUBSTITUTE(TEXT(Overig!S41,""",""?00;"",""?-00;"",""?00;"", //"""),"'","""")&amp;SUBSTITUTE(TEXT(IF(ISTEXT(Overig!T41),Overig!T41,10*Overig!T41),""",""????0;"",""???-0;"",""????0;"", ////"""),"'","""")&amp;SUBSTITUTE(TEXT(Overig!U41,""",""?00;"",""?-00;"",""?00;"", //"""),"'","""")&amp;SUBSTITUTE(TEXT(Overig!V41,""",""???0;"",""??-0;"",""???0;"", ///"""),"'","""")&amp;SUBSTITUTE(TEXT(Overig!W41,""",""?00;"",""?-00;"",""?00;"", //"""),"'","""")</f>
        <v>032, 19400110, 24.00, ////, 07, ////, 07,  285, 00,  305, 00, ///, 07, ////, 07, ////, 07, ////, 07, ////, 07, ///, 07</v>
      </c>
    </row>
    <row r="42" spans="1:1" x14ac:dyDescent="0.25">
      <c r="A42" s="12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//"""),"'","""")&amp;SUBSTITUTE(TEXT(Overig!L42,""",""???0;"",""??-0;"",""???0;"", 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//"""),"'","""")&amp;SUBSTITUTE(TEXT(Overig!R42,""",""????0;"",""???-0;"",""????0;"", ////"""),"'","""")&amp;SUBSTITUTE(TEXT(Overig!S42,""",""?00;"",""?-00;"",""?00;"", //"""),"'","""")&amp;SUBSTITUTE(TEXT(IF(ISTEXT(Overig!T42),Overig!T42,10*Overig!T42),""",""????0;"",""???-0;"",""????0;"", ////"""),"'","""")&amp;SUBSTITUTE(TEXT(Overig!U42,""",""?00;"",""?-00;"",""?00;"", //"""),"'","""")&amp;SUBSTITUTE(TEXT(Overig!V42,""",""???0;"",""??-0;"",""???0;"", ///"""),"'","""")&amp;SUBSTITUTE(TEXT(Overig!W42,""",""?00;"",""?-00;"",""?00;"", //"""),"'","""")</f>
        <v>032, 19400111, 07.00, 7602, 00,  251, 00, ////, 07, ////, 07,  82, 00,  197, 00,  228, 00,   45, 00,    3, 00,   2, 00</v>
      </c>
    </row>
    <row r="43" spans="1:1" x14ac:dyDescent="0.25">
      <c r="A43" s="12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//"""),"'","""")&amp;SUBSTITUTE(TEXT(Overig!L43,""",""???0;"",""??-0;"",""???0;"", 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//"""),"'","""")&amp;SUBSTITUTE(TEXT(Overig!R43,""",""????0;"",""???-0;"",""????0;"", ////"""),"'","""")&amp;SUBSTITUTE(TEXT(Overig!S43,""",""?00;"",""?-00;"",""?00;"", //"""),"'","""")&amp;SUBSTITUTE(TEXT(IF(ISTEXT(Overig!T43),Overig!T43,10*Overig!T43),""",""????0;"",""???-0;"",""????0;"", ////"""),"'","""")&amp;SUBSTITUTE(TEXT(Overig!U43,""",""?00;"",""?-00;"",""?00;"", //"""),"'","""")&amp;SUBSTITUTE(TEXT(Overig!V43,""",""???0;"",""??-0;"",""???0;"", ///"""),"'","""")&amp;SUBSTITUTE(TEXT(Overig!W43,""",""?00;"",""?-00;"",""?00;"", //"""),"'","""")</f>
        <v>032, 19400111, 12.00, 7595, 00,  265, 00, ////, 07, ////, 07,  77, 00,  200, 00,  234, 00,   45, 00,    4, 00,   4, 00</v>
      </c>
    </row>
    <row r="44" spans="1:1" x14ac:dyDescent="0.25">
      <c r="A44" s="12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//"""),"'","""")&amp;SUBSTITUTE(TEXT(Overig!L44,""",""???0;"",""??-0;"",""???0;"", 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//"""),"'","""")&amp;SUBSTITUTE(TEXT(Overig!R44,""",""????0;"",""???-0;"",""????0;"", ////"""),"'","""")&amp;SUBSTITUTE(TEXT(Overig!S44,""",""?00;"",""?-00;"",""?00;"", //"""),"'","""")&amp;SUBSTITUTE(TEXT(IF(ISTEXT(Overig!T44),Overig!T44,10*Overig!T44),""",""????0;"",""???-0;"",""????0;"", ////"""),"'","""")&amp;SUBSTITUTE(TEXT(Overig!U44,""",""?00;"",""?-00;"",""?00;"", //"""),"'","""")&amp;SUBSTITUTE(TEXT(Overig!V44,""",""???0;"",""??-0;"",""???0;"", ///"""),"'","""")&amp;SUBSTITUTE(TEXT(Overig!W44,""",""?00;"",""?-00;"",""?00;"", //"""),"'","""")</f>
        <v>032, 19400111, 17.00, 7607, 00,  265, 00, ////, 07, ////, 07,  76, 00,  199, 00,  233, 00,   45, 00,    5, 00,   4, 00</v>
      </c>
    </row>
    <row r="45" spans="1:1" x14ac:dyDescent="0.25">
      <c r="A45" s="12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//"""),"'","""")&amp;SUBSTITUTE(TEXT(Overig!L45,""",""???0;"",""??-0;"",""???0;"", 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//"""),"'","""")&amp;SUBSTITUTE(TEXT(Overig!R45,""",""????0;"",""???-0;"",""????0;"", ////"""),"'","""")&amp;SUBSTITUTE(TEXT(Overig!S45,""",""?00;"",""?-00;"",""?00;"", //"""),"'","""")&amp;SUBSTITUTE(TEXT(IF(ISTEXT(Overig!T45),Overig!T45,10*Overig!T45),""",""????0;"",""???-0;"",""????0;"", ////"""),"'","""")&amp;SUBSTITUTE(TEXT(Overig!U45,""",""?00;"",""?-00;"",""?00;"", //"""),"'","""")&amp;SUBSTITUTE(TEXT(Overig!V45,""",""???0;"",""??-0;"",""???0;"", ///"""),"'","""")&amp;SUBSTITUTE(TEXT(Overig!W45,""",""?00;"",""?-00;"",""?00;"", //"""),"'","""")</f>
        <v>032, 19400111, 24.00, ////, 07, ////, 07,  260, 00,  295, 00, ///, 07, ////, 07, ////, 07, ////, 07, ////, 07, ///, 07</v>
      </c>
    </row>
    <row r="46" spans="1:1" x14ac:dyDescent="0.25">
      <c r="A46" s="12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//"""),"'","""")&amp;SUBSTITUTE(TEXT(Overig!L46,""",""???0;"",""??-0;"",""???0;"", 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//"""),"'","""")&amp;SUBSTITUTE(TEXT(Overig!R46,""",""????0;"",""???-0;"",""????0;"", ////"""),"'","""")&amp;SUBSTITUTE(TEXT(Overig!S46,""",""?00;"",""?-00;"",""?00;"", //"""),"'","""")&amp;SUBSTITUTE(TEXT(IF(ISTEXT(Overig!T46),Overig!T46,10*Overig!T46),""",""????0;"",""???-0;"",""????0;"", ////"""),"'","""")&amp;SUBSTITUTE(TEXT(Overig!U46,""",""?00;"",""?-00;"",""?00;"", //"""),"'","""")&amp;SUBSTITUTE(TEXT(Overig!V46,""",""???0;"",""??-0;"",""???0;"", ///"""),"'","""")&amp;SUBSTITUTE(TEXT(Overig!W46,""",""?00;"",""?-00;"",""?00;"", //"""),"'","""")</f>
        <v>032, 19400112, 07.00, 7623, 00,  275, 00, ////, 07, ////, 07,  68, 00,  188, 00,  230, 00,   65, 00,    3, 00,   2, 00</v>
      </c>
    </row>
    <row r="47" spans="1:1" x14ac:dyDescent="0.25">
      <c r="A47" s="12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//"""),"'","""")&amp;SUBSTITUTE(TEXT(Overig!L47,""",""???0;"",""??-0;"",""???0;"", 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//"""),"'","""")&amp;SUBSTITUTE(TEXT(Overig!R47,""",""????0;"",""???-0;"",""????0;"", ////"""),"'","""")&amp;SUBSTITUTE(TEXT(Overig!S47,""",""?00;"",""?-00;"",""?00;"", //"""),"'","""")&amp;SUBSTITUTE(TEXT(IF(ISTEXT(Overig!T47),Overig!T47,10*Overig!T47),""",""????0;"",""???-0;"",""????0;"", ////"""),"'","""")&amp;SUBSTITUTE(TEXT(Overig!U47,""",""?00;"",""?-00;"",""?00;"", //"""),"'","""")&amp;SUBSTITUTE(TEXT(Overig!V47,""",""???0;"",""??-0;"",""???0;"", ///"""),"'","""")&amp;SUBSTITUTE(TEXT(Overig!W47,""",""?00;"",""?-00;"",""?00;"", //"""),"'","""")</f>
        <v>032, 19400112, 12.00, 7620, 00,  287, 00, ////, 07, ////, 07,  65, 00,  193, 00,  236, 00,   65, 00,    4, 00,   3, 00</v>
      </c>
    </row>
    <row r="48" spans="1:1" x14ac:dyDescent="0.25">
      <c r="A48" s="12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//"""),"'","""")&amp;SUBSTITUTE(TEXT(Overig!L48,""",""???0;"",""??-0;"",""???0;"", 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//"""),"'","""")&amp;SUBSTITUTE(TEXT(Overig!R48,""",""????0;"",""???-0;"",""????0;"", ////"""),"'","""")&amp;SUBSTITUTE(TEXT(Overig!S48,""",""?00;"",""?-00;"",""?00;"", //"""),"'","""")&amp;SUBSTITUTE(TEXT(IF(ISTEXT(Overig!T48),Overig!T48,10*Overig!T48),""",""????0;"",""???-0;"",""????0;"", ////"""),"'","""")&amp;SUBSTITUTE(TEXT(Overig!U48,""",""?00;"",""?-00;"",""?00;"", //"""),"'","""")&amp;SUBSTITUTE(TEXT(Overig!V48,""",""???0;"",""??-0;"",""???0;"", ///"""),"'","""")&amp;SUBSTITUTE(TEXT(Overig!W48,""",""?00;"",""?-00;"",""?00;"", //"""),"'","""")</f>
        <v>032, 19400112, 17.00, 7620, 00,  281, 00, ////, 07, ////, 07,  67, 00,  192, 00,  234, 00,   45, 00,    4, 00,   3, 00</v>
      </c>
    </row>
    <row r="49" spans="1:1" x14ac:dyDescent="0.25">
      <c r="A49" s="12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//"""),"'","""")&amp;SUBSTITUTE(TEXT(Overig!L49,""",""???0;"",""??-0;"",""???0;"", 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//"""),"'","""")&amp;SUBSTITUTE(TEXT(Overig!R49,""",""????0;"",""???-0;"",""????0;"", ////"""),"'","""")&amp;SUBSTITUTE(TEXT(Overig!S49,""",""?00;"",""?-00;"",""?00;"", //"""),"'","""")&amp;SUBSTITUTE(TEXT(IF(ISTEXT(Overig!T49),Overig!T49,10*Overig!T49),""",""????0;"",""???-0;"",""????0;"", ////"""),"'","""")&amp;SUBSTITUTE(TEXT(Overig!U49,""",""?00;"",""?-00;"",""?00;"", //"""),"'","""")&amp;SUBSTITUTE(TEXT(Overig!V49,""",""???0;"",""??-0;"",""???0;"", ///"""),"'","""")&amp;SUBSTITUTE(TEXT(Overig!W49,""",""?00;"",""?-00;"",""?00;"", //"""),"'","""")</f>
        <v>032, 19400112, 24.00, ////, 07, ////, 07,  254, 00,  299, 00, ///, 07, ////, 07, ////, 07, ////, 07, ////, 07, ///, 07</v>
      </c>
    </row>
    <row r="50" spans="1:1" x14ac:dyDescent="0.25">
      <c r="A50" s="12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//"""),"'","""")&amp;SUBSTITUTE(TEXT(Overig!L50,""",""???0;"",""??-0;"",""???0;"", 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//"""),"'","""")&amp;SUBSTITUTE(TEXT(Overig!R50,""",""????0;"",""???-0;"",""????0;"", ////"""),"'","""")&amp;SUBSTITUTE(TEXT(Overig!S50,""",""?00;"",""?-00;"",""?00;"", //"""),"'","""")&amp;SUBSTITUTE(TEXT(IF(ISTEXT(Overig!T50),Overig!T50,10*Overig!T50),""",""????0;"",""???-0;"",""????0;"", ////"""),"'","""")&amp;SUBSTITUTE(TEXT(Overig!U50,""",""?00;"",""?-00;"",""?00;"", //"""),"'","""")&amp;SUBSTITUTE(TEXT(Overig!V50,""",""???0;"",""??-0;"",""???0;"", ///"""),"'","""")&amp;SUBSTITUTE(TEXT(Overig!W50,""",""?00;"",""?-00;"",""?00;"", //"""),"'","""")</f>
        <v>032, 19400113, 07.00, 7612, 00,  255, 00, ////, 07, ////, 07,  72, 00,  177, 00,  218, 00,   90, 00,    3, 00,   2, 00</v>
      </c>
    </row>
    <row r="51" spans="1:1" x14ac:dyDescent="0.25">
      <c r="A51" s="12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//"""),"'","""")&amp;SUBSTITUTE(TEXT(Overig!L51,""",""???0;"",""??-0;"",""???0;"", 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//"""),"'","""")&amp;SUBSTITUTE(TEXT(Overig!R51,""",""????0;"",""???-0;"",""????0;"", ////"""),"'","""")&amp;SUBSTITUTE(TEXT(Overig!S51,""",""?00;"",""?-00;"",""?00;"", //"""),"'","""")&amp;SUBSTITUTE(TEXT(IF(ISTEXT(Overig!T51),Overig!T51,10*Overig!T51),""",""????0;"",""???-0;"",""????0;"", ////"""),"'","""")&amp;SUBSTITUTE(TEXT(Overig!U51,""",""?00;"",""?-00;"",""?00;"", //"""),"'","""")&amp;SUBSTITUTE(TEXT(Overig!V51,""",""???0;"",""??-0;"",""???0;"", ///"""),"'","""")&amp;SUBSTITUTE(TEXT(Overig!W51,""",""?00;"",""?-00;"",""?00;"", //"""),"'","""")</f>
        <v>032, 19400113, 12.00, 7595, 00,  287, 00, ////, 07, ////, 07,  63, 00,  186, 00,  232, 00,   90, 00,    3, 00,   3, 00</v>
      </c>
    </row>
    <row r="52" spans="1:1" x14ac:dyDescent="0.25">
      <c r="A52" s="12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//"""),"'","""")&amp;SUBSTITUTE(TEXT(Overig!L52,""",""???0;"",""??-0;"",""???0;"", 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//"""),"'","""")&amp;SUBSTITUTE(TEXT(Overig!R52,""",""????0;"",""???-0;"",""????0;"", ////"""),"'","""")&amp;SUBSTITUTE(TEXT(Overig!S52,""",""?00;"",""?-00;"",""?00;"", //"""),"'","""")&amp;SUBSTITUTE(TEXT(IF(ISTEXT(Overig!T52),Overig!T52,10*Overig!T52),""",""????0;"",""???-0;"",""????0;"", ////"""),"'","""")&amp;SUBSTITUTE(TEXT(Overig!U52,""",""?00;"",""?-00;"",""?00;"", //"""),"'","""")&amp;SUBSTITUTE(TEXT(Overig!V52,""",""???0;"",""??-0;"",""???0;"", ///"""),"'","""")&amp;SUBSTITUTE(TEXT(Overig!W52,""",""?00;"",""?-00;"",""?00;"", //"""),"'","""")</f>
        <v>032, 19400113, 17.00, 7595, 00,  287, 00, ////, 07, ////, 07,  62, 00,  182, 00,  230, 00,  115, 00,    3, 00,   3, 00</v>
      </c>
    </row>
    <row r="53" spans="1:1" x14ac:dyDescent="0.25">
      <c r="A53" s="12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//"""),"'","""")&amp;SUBSTITUTE(TEXT(Overig!L53,""",""???0;"",""??-0;"",""???0;"", 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//"""),"'","""")&amp;SUBSTITUTE(TEXT(Overig!R53,""",""????0;"",""???-0;"",""????0;"", ////"""),"'","""")&amp;SUBSTITUTE(TEXT(Overig!S53,""",""?00;"",""?-00;"",""?00;"", //"""),"'","""")&amp;SUBSTITUTE(TEXT(IF(ISTEXT(Overig!T53),Overig!T53,10*Overig!T53),""",""????0;"",""???-0;"",""????0;"", ////"""),"'","""")&amp;SUBSTITUTE(TEXT(Overig!U53,""",""?00;"",""?-00;"",""?00;"", //"""),"'","""")&amp;SUBSTITUTE(TEXT(Overig!V53,""",""???0;"",""??-0;"",""???0;"", ///"""),"'","""")&amp;SUBSTITUTE(TEXT(Overig!W53,""",""?00;"",""?-00;"",""?00;"", //"""),"'","""")</f>
        <v>032, 19400113, 24.00, ////, 07, ////, 07,  265, 00,  305, 00, ///, 07, ////, 07, ////, 07, ////, 07, ////, 07, ///, 07</v>
      </c>
    </row>
    <row r="54" spans="1:1" x14ac:dyDescent="0.25">
      <c r="A54" s="12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//"""),"'","""")&amp;SUBSTITUTE(TEXT(Overig!L54,""",""???0;"",""??-0;"",""???0;"", 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//"""),"'","""")&amp;SUBSTITUTE(TEXT(Overig!R54,""",""????0;"",""???-0;"",""????0;"", ////"""),"'","""")&amp;SUBSTITUTE(TEXT(Overig!S54,""",""?00;"",""?-00;"",""?00;"", //"""),"'","""")&amp;SUBSTITUTE(TEXT(IF(ISTEXT(Overig!T54),Overig!T54,10*Overig!T54),""",""????0;"",""???-0;"",""????0;"", ////"""),"'","""")&amp;SUBSTITUTE(TEXT(Overig!U54,""",""?00;"",""?-00;"",""?00;"", //"""),"'","""")&amp;SUBSTITUTE(TEXT(Overig!V54,""",""???0;"",""??-0;"",""???0;"", ///"""),"'","""")&amp;SUBSTITUTE(TEXT(Overig!W54,""",""?00;"",""?-00;"",""?00;"", //"""),"'","""")</f>
        <v>032, 19400114, 07.00, 7612, 00,  253, 00, ////, 07, ////, 07,  81, 00,  196, 00,  228, 00,   65, 00,    3, 00,   2, 00</v>
      </c>
    </row>
    <row r="55" spans="1:1" x14ac:dyDescent="0.25">
      <c r="A55" s="12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//"""),"'","""")&amp;SUBSTITUTE(TEXT(Overig!L55,""",""???0;"",""??-0;"",""???0;"", 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//"""),"'","""")&amp;SUBSTITUTE(TEXT(Overig!R55,""",""????0;"",""???-0;"",""????0;"", ////"""),"'","""")&amp;SUBSTITUTE(TEXT(Overig!S55,""",""?00;"",""?-00;"",""?00;"", //"""),"'","""")&amp;SUBSTITUTE(TEXT(IF(ISTEXT(Overig!T55),Overig!T55,10*Overig!T55),""",""????0;"",""???-0;"",""????0;"", ////"""),"'","""")&amp;SUBSTITUTE(TEXT(Overig!U55,""",""?00;"",""?-00;"",""?00;"", //"""),"'","""")&amp;SUBSTITUTE(TEXT(Overig!V55,""",""???0;"",""??-0;"",""???0;"", ///"""),"'","""")&amp;SUBSTITUTE(TEXT(Overig!W55,""",""?00;"",""?-00;"",""?00;"", //"""),"'","""")</f>
        <v>032, 19400114, 12.00, 7607, 00,  285, 00, ////, 07, ////, 07,  66, 00,  194, 00,  236, 00,   65, 00,    4, 00,   4, 00</v>
      </c>
    </row>
    <row r="56" spans="1:1" x14ac:dyDescent="0.25">
      <c r="A56" s="12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//"""),"'","""")&amp;SUBSTITUTE(TEXT(Overig!L56,""",""???0;"",""??-0;"",""???0;"", 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//"""),"'","""")&amp;SUBSTITUTE(TEXT(Overig!R56,""",""????0;"",""???-0;"",""????0;"", ////"""),"'","""")&amp;SUBSTITUTE(TEXT(Overig!S56,""",""?00;"",""?-00;"",""?00;"", //"""),"'","""")&amp;SUBSTITUTE(TEXT(IF(ISTEXT(Overig!T56),Overig!T56,10*Overig!T56),""",""????0;"",""???-0;"",""????0;"", ////"""),"'","""")&amp;SUBSTITUTE(TEXT(Overig!U56,""",""?00;"",""?-00;"",""?00;"", //"""),"'","""")&amp;SUBSTITUTE(TEXT(Overig!V56,""",""???0;"",""??-0;"",""???0;"", ///"""),"'","""")&amp;SUBSTITUTE(TEXT(Overig!W56,""",""?00;"",""?-00;"",""?00;"", //"""),"'","""")</f>
        <v>032, 19400114, 17.00, 7592, 00,  283, 00, ////, 07, ////, 07,  66, 00,  191, 00,  234, 00,   65, 00,    4, 00,   4, 00</v>
      </c>
    </row>
    <row r="57" spans="1:1" x14ac:dyDescent="0.25">
      <c r="A57" s="12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//"""),"'","""")&amp;SUBSTITUTE(TEXT(Overig!L57,""",""???0;"",""??-0;"",""???0;"", 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//"""),"'","""")&amp;SUBSTITUTE(TEXT(Overig!R57,""",""????0;"",""???-0;"",""????0;"", ////"""),"'","""")&amp;SUBSTITUTE(TEXT(Overig!S57,""",""?00;"",""?-00;"",""?00;"", //"""),"'","""")&amp;SUBSTITUTE(TEXT(IF(ISTEXT(Overig!T57),Overig!T57,10*Overig!T57),""",""????0;"",""???-0;"",""????0;"", ////"""),"'","""")&amp;SUBSTITUTE(TEXT(Overig!U57,""",""?00;"",""?-00;"",""?00;"", //"""),"'","""")&amp;SUBSTITUTE(TEXT(Overig!V57,""",""???0;"",""??-0;"",""???0;"", ///"""),"'","""")&amp;SUBSTITUTE(TEXT(Overig!W57,""",""?00;"",""?-00;"",""?00;"", //"""),"'","""")</f>
        <v>032, 19400114, 24.00, ////, 07, ////, 07,  265, 00,  293, 00, ///, 07, ////, 07, ////, 07, ////, 07, ////, 07, ///, 07</v>
      </c>
    </row>
    <row r="58" spans="1:1" x14ac:dyDescent="0.25">
      <c r="A58" s="12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//"""),"'","""")&amp;SUBSTITUTE(TEXT(Overig!L58,""",""???0;"",""??-0;"",""???0;"", 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//"""),"'","""")&amp;SUBSTITUTE(TEXT(Overig!R58,""",""????0;"",""???-0;"",""????0;"", ////"""),"'","""")&amp;SUBSTITUTE(TEXT(Overig!S58,""",""?00;"",""?-00;"",""?00;"", //"""),"'","""")&amp;SUBSTITUTE(TEXT(IF(ISTEXT(Overig!T58),Overig!T58,10*Overig!T58),""",""????0;"",""???-0;"",""????0;"", ////"""),"'","""")&amp;SUBSTITUTE(TEXT(Overig!U58,""",""?00;"",""?-00;"",""?00;"", //"""),"'","""")&amp;SUBSTITUTE(TEXT(Overig!V58,""",""???0;"",""??-0;"",""???0;"", ///"""),"'","""")&amp;SUBSTITUTE(TEXT(Overig!W58,""",""?00;"",""?-00;"",""?00;"", //"""),"'","""")</f>
        <v>032, 19400115, 07.00, 7597, 00,  259, 00, ////, 07, ////, 07,  78, 00,  196, 00,  230, 00,   65, 00,    2, 00,   3, 00</v>
      </c>
    </row>
    <row r="59" spans="1:1" x14ac:dyDescent="0.25">
      <c r="A59" s="12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//"""),"'","""")&amp;SUBSTITUTE(TEXT(Overig!L59,""",""???0;"",""??-0;"",""???0;"", 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//"""),"'","""")&amp;SUBSTITUTE(TEXT(Overig!R59,""",""????0;"",""???-0;"",""????0;"", ////"""),"'","""")&amp;SUBSTITUTE(TEXT(Overig!S59,""",""?00;"",""?-00;"",""?00;"", //"""),"'","""")&amp;SUBSTITUTE(TEXT(IF(ISTEXT(Overig!T59),Overig!T59,10*Overig!T59),""",""????0;"",""???-0;"",""????0;"", ////"""),"'","""")&amp;SUBSTITUTE(TEXT(Overig!U59,""",""?00;"",""?-00;"",""?00;"", //"""),"'","""")&amp;SUBSTITUTE(TEXT(Overig!V59,""",""???0;"",""??-0;"",""???0;"", ///"""),"'","""")&amp;SUBSTITUTE(TEXT(Overig!W59,""",""?00;"",""?-00;"",""?00;"", //"""),"'","""")</f>
        <v>032, 19400115, 12.00, 7595, 00,  281, 00, ////, 07, ////, 07,  66, 00,  189, 00,  232, 00,   65, 00,    3, 00,   4, 00</v>
      </c>
    </row>
    <row r="60" spans="1:1" x14ac:dyDescent="0.25">
      <c r="A60" s="12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//"""),"'","""")&amp;SUBSTITUTE(TEXT(Overig!L60,""",""???0;"",""??-0;"",""???0;"", 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//"""),"'","""")&amp;SUBSTITUTE(TEXT(Overig!R60,""",""????0;"",""???-0;"",""????0;"", ////"""),"'","""")&amp;SUBSTITUTE(TEXT(Overig!S60,""",""?00;"",""?-00;"",""?00;"", //"""),"'","""")&amp;SUBSTITUTE(TEXT(IF(ISTEXT(Overig!T60),Overig!T60,10*Overig!T60),""",""????0;"",""???-0;"",""????0;"", ////"""),"'","""")&amp;SUBSTITUTE(TEXT(Overig!U60,""",""?00;"",""?-00;"",""?00;"", //"""),"'","""")&amp;SUBSTITUTE(TEXT(Overig!V60,""",""???0;"",""??-0;"",""???0;"", ///"""),"'","""")&amp;SUBSTITUTE(TEXT(Overig!W60,""",""?00;"",""?-00;"",""?00;"", //"""),"'","""")</f>
        <v>032, 19400115, 17.00, 7592, 00,  281, 00, ////, 07, ////, 07,  66, 00,  189, 00,  232, 00,   65, 00,    3, 00,   4, 00</v>
      </c>
    </row>
    <row r="61" spans="1:1" x14ac:dyDescent="0.25">
      <c r="A61" s="12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//"""),"'","""")&amp;SUBSTITUTE(TEXT(Overig!L61,""",""???0;"",""??-0;"",""???0;"", 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//"""),"'","""")&amp;SUBSTITUTE(TEXT(Overig!R61,""",""????0;"",""???-0;"",""????0;"", ////"""),"'","""")&amp;SUBSTITUTE(TEXT(Overig!S61,""",""?00;"",""?-00;"",""?00;"", //"""),"'","""")&amp;SUBSTITUTE(TEXT(IF(ISTEXT(Overig!T61),Overig!T61,10*Overig!T61),""",""????0;"",""???-0;"",""????0;"", ////"""),"'","""")&amp;SUBSTITUTE(TEXT(Overig!U61,""",""?00;"",""?-00;"",""?00;"", //"""),"'","""")&amp;SUBSTITUTE(TEXT(Overig!V61,""",""???0;"",""??-0;"",""???0;"", ///"""),"'","""")&amp;SUBSTITUTE(TEXT(Overig!W61,""",""?00;"",""?-00;"",""?00;"", //"""),"'","""")</f>
        <v>032, 19400115, 24.00, ////, 07, ////, 07,  265, 00,  292, 00, ///, 07, ////, 07, ////, 07, ////, 07, ////, 07, ///, 07</v>
      </c>
    </row>
    <row r="62" spans="1:1" x14ac:dyDescent="0.25">
      <c r="A62" s="12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//"""),"'","""")&amp;SUBSTITUTE(TEXT(Overig!L62,""",""???0;"",""??-0;"",""???0;"", 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//"""),"'","""")&amp;SUBSTITUTE(TEXT(Overig!R62,""",""????0;"",""???-0;"",""????0;"", ////"""),"'","""")&amp;SUBSTITUTE(TEXT(Overig!S62,""",""?00;"",""?-00;"",""?00;"", //"""),"'","""")&amp;SUBSTITUTE(TEXT(IF(ISTEXT(Overig!T62),Overig!T62,10*Overig!T62),""",""????0;"",""???-0;"",""????0;"", ////"""),"'","""")&amp;SUBSTITUTE(TEXT(Overig!U62,""",""?00;"",""?-00;"",""?00;"", //"""),"'","""")&amp;SUBSTITUTE(TEXT(Overig!V62,""",""???0;"",""??-0;"",""???0;"", ///"""),"'","""")&amp;SUBSTITUTE(TEXT(Overig!W62,""",""?00;"",""?-00;"",""?00;"", //"""),"'","""")</f>
        <v>032, 19400116, 07.00, 7585, 00,  261, 00, ////, 07, ////, 07,  77, 00,  195, 00,  230, 00,   65, 00,    2, 00,   2, 00</v>
      </c>
    </row>
    <row r="63" spans="1:1" x14ac:dyDescent="0.25">
      <c r="A63" s="12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//"""),"'","""")&amp;SUBSTITUTE(TEXT(Overig!L63,""",""???0;"",""??-0;"",""???0;"", 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//"""),"'","""")&amp;SUBSTITUTE(TEXT(Overig!R63,""",""????0;"",""???-0;"",""????0;"", ////"""),"'","""")&amp;SUBSTITUTE(TEXT(Overig!S63,""",""?00;"",""?-00;"",""?00;"", //"""),"'","""")&amp;SUBSTITUTE(TEXT(IF(ISTEXT(Overig!T63),Overig!T63,10*Overig!T63),""",""????0;"",""???-0;"",""????0;"", ////"""),"'","""")&amp;SUBSTITUTE(TEXT(Overig!U63,""",""?00;"",""?-00;"",""?00;"", //"""),"'","""")&amp;SUBSTITUTE(TEXT(Overig!V63,""",""???0;"",""??-0;"",""???0;"", ///"""),"'","""")&amp;SUBSTITUTE(TEXT(Overig!W63,""",""?00;"",""?-00;"",""?00;"", //"""),"'","""")</f>
        <v>032, 19400116, 12.00, 7569, 00,  263, 00, ////, 07, ////, 07,  77, 00,  198, 00,  232, 00,   65, 00,    3, 00,   3, 00</v>
      </c>
    </row>
    <row r="64" spans="1:1" x14ac:dyDescent="0.25">
      <c r="A64" s="12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//"""),"'","""")&amp;SUBSTITUTE(TEXT(Overig!L64,""",""???0;"",""??-0;"",""???0;"", 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//"""),"'","""")&amp;SUBSTITUTE(TEXT(Overig!R64,""",""????0;"",""???-0;"",""????0;"", ////"""),"'","""")&amp;SUBSTITUTE(TEXT(Overig!S64,""",""?00;"",""?-00;"",""?00;"", //"""),"'","""")&amp;SUBSTITUTE(TEXT(IF(ISTEXT(Overig!T64),Overig!T64,10*Overig!T64),""",""????0;"",""???-0;"",""????0;"", ////"""),"'","""")&amp;SUBSTITUTE(TEXT(Overig!U64,""",""?00;"",""?-00;"",""?00;"", //"""),"'","""")&amp;SUBSTITUTE(TEXT(Overig!V64,""",""???0;"",""??-0;"",""???0;"", ///"""),"'","""")&amp;SUBSTITUTE(TEXT(Overig!W64,""",""?00;"",""?-00;"",""?00;"", //"""),"'","""")</f>
        <v>032, 19400116, 17.00, 7567, 00,  259, 00, ////, 07, ////, 07,  77, 00,  193, 00,  228, 00,   65, 00,    3, 00,   2, 00</v>
      </c>
    </row>
    <row r="65" spans="1:1" x14ac:dyDescent="0.25">
      <c r="A65" s="12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//"""),"'","""")&amp;SUBSTITUTE(TEXT(Overig!L65,""",""???0;"",""??-0;"",""???0;"", 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//"""),"'","""")&amp;SUBSTITUTE(TEXT(Overig!R65,""",""????0;"",""???-0;"",""????0;"", ////"""),"'","""")&amp;SUBSTITUTE(TEXT(Overig!S65,""",""?00;"",""?-00;"",""?00;"", //"""),"'","""")&amp;SUBSTITUTE(TEXT(IF(ISTEXT(Overig!T65),Overig!T65,10*Overig!T65),""",""????0;"",""???-0;"",""????0;"", ////"""),"'","""")&amp;SUBSTITUTE(TEXT(Overig!U65,""",""?00;"",""?-00;"",""?00;"", //"""),"'","""")&amp;SUBSTITUTE(TEXT(Overig!V65,""",""???0;"",""??-0;"",""???0;"", ///"""),"'","""")&amp;SUBSTITUTE(TEXT(Overig!W65,""",""?00;"",""?-00;"",""?00;"", //"""),"'","""")</f>
        <v>032, 19400116, 24.00, ////, 07, ////, 07,  274, 00,  285, 00, ///, 07, ////, 07, ////, 07, ////, 07, ////, 07, ///, 07</v>
      </c>
    </row>
    <row r="66" spans="1:1" x14ac:dyDescent="0.25">
      <c r="A66" s="12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//"""),"'","""")&amp;SUBSTITUTE(TEXT(Overig!L66,""",""???0;"",""??-0;"",""???0;"", 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//"""),"'","""")&amp;SUBSTITUTE(TEXT(Overig!R66,""",""????0;"",""???-0;"",""????0;"", ////"""),"'","""")&amp;SUBSTITUTE(TEXT(Overig!S66,""",""?00;"",""?-00;"",""?00;"", //"""),"'","""")&amp;SUBSTITUTE(TEXT(IF(ISTEXT(Overig!T66),Overig!T66,10*Overig!T66),""",""????0;"",""???-0;"",""????0;"", ////"""),"'","""")&amp;SUBSTITUTE(TEXT(Overig!U66,""",""?00;"",""?-00;"",""?00;"", //"""),"'","""")&amp;SUBSTITUTE(TEXT(Overig!V66,""",""???0;"",""??-0;"",""???0;"", ///"""),"'","""")&amp;SUBSTITUTE(TEXT(Overig!W66,""",""?00;"",""?-00;"",""?00;"", //"""),"'","""")</f>
        <v>032, 19400117, 07.00, 7610, 00,  253, 00, ////, 07, ////, 07,  78, 00,  189, 00,  224, 00,   65, 00,    3, 00,   2, 00</v>
      </c>
    </row>
    <row r="67" spans="1:1" x14ac:dyDescent="0.25">
      <c r="A67" s="12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//"""),"'","""")&amp;SUBSTITUTE(TEXT(Overig!L67,""",""???0;"",""??-0;"",""???0;"", 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//"""),"'","""")&amp;SUBSTITUTE(TEXT(Overig!R67,""",""????0;"",""???-0;"",""????0;"", ////"""),"'","""")&amp;SUBSTITUTE(TEXT(Overig!S67,""",""?00;"",""?-00;"",""?00;"", //"""),"'","""")&amp;SUBSTITUTE(TEXT(IF(ISTEXT(Overig!T67),Overig!T67,10*Overig!T67),""",""????0;"",""???-0;"",""????0;"", ////"""),"'","""")&amp;SUBSTITUTE(TEXT(Overig!U67,""",""?00;"",""?-00;"",""?00;"", //"""),"'","""")&amp;SUBSTITUTE(TEXT(Overig!V67,""",""???0;"",""??-0;"",""???0;"", ///"""),"'","""")&amp;SUBSTITUTE(TEXT(Overig!W67,""",""?00;"",""?-00;"",""?00;"", //"""),"'","""")</f>
        <v>032, 19400117, 12.00, 7607, 00,  261, 00, ////, 07, ////, 07,  77, 00,  195, 00,  230, 00,   65, 00,    4, 00,   3, 00</v>
      </c>
    </row>
    <row r="68" spans="1:1" x14ac:dyDescent="0.25">
      <c r="A68" s="12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//"""),"'","""")&amp;SUBSTITUTE(TEXT(Overig!L68,""",""???0;"",""??-0;"",""???0;"", 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//"""),"'","""")&amp;SUBSTITUTE(TEXT(Overig!R68,""",""????0;"",""???-0;"",""????0;"", ////"""),"'","""")&amp;SUBSTITUTE(TEXT(Overig!S68,""",""?00;"",""?-00;"",""?00;"", //"""),"'","""")&amp;SUBSTITUTE(TEXT(IF(ISTEXT(Overig!T68),Overig!T68,10*Overig!T68),""",""????0;"",""???-0;"",""????0;"", ////"""),"'","""")&amp;SUBSTITUTE(TEXT(Overig!U68,""",""?00;"",""?-00;"",""?00;"", //"""),"'","""")&amp;SUBSTITUTE(TEXT(Overig!V68,""",""???0;"",""??-0;"",""???0;"", ///"""),"'","""")&amp;SUBSTITUTE(TEXT(Overig!W68,""",""?00;"",""?-00;"",""?00;"", //"""),"'","""")</f>
        <v>032, 19400117, 17.00, 7582, 00,  259, 00, ////, 07, ////, 07,  77, 00,  193, 00,  228, 00,   65, 00,    4, 00,   3, 00</v>
      </c>
    </row>
    <row r="69" spans="1:1" x14ac:dyDescent="0.25">
      <c r="A69" s="12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//"""),"'","""")&amp;SUBSTITUTE(TEXT(Overig!L69,""",""???0;"",""??-0;"",""???0;"", 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//"""),"'","""")&amp;SUBSTITUTE(TEXT(Overig!R69,""",""????0;"",""???-0;"",""????0;"", ////"""),"'","""")&amp;SUBSTITUTE(TEXT(Overig!S69,""",""?00;"",""?-00;"",""?00;"", //"""),"'","""")&amp;SUBSTITUTE(TEXT(IF(ISTEXT(Overig!T69),Overig!T69,10*Overig!T69),""",""????0;"",""???-0;"",""????0;"", ////"""),"'","""")&amp;SUBSTITUTE(TEXT(Overig!U69,""",""?00;"",""?-00;"",""?00;"", //"""),"'","""")&amp;SUBSTITUTE(TEXT(Overig!V69,""",""???0;"",""??-0;"",""???0;"", ///"""),"'","""")&amp;SUBSTITUTE(TEXT(Overig!W69,""",""?00;"",""?-00;"",""?00;"", //"""),"'","""")</f>
        <v>032, 19400117, 24.00, ////, 07, ////, 07,  265, 00,  284, 00, ///, 07, ////, 07, ////, 07, ////, 07, ////, 07, ///, 07</v>
      </c>
    </row>
    <row r="70" spans="1:1" x14ac:dyDescent="0.25">
      <c r="A70" s="12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//"""),"'","""")&amp;SUBSTITUTE(TEXT(Overig!L70,""",""???0;"",""??-0;"",""???0;"", 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//"""),"'","""")&amp;SUBSTITUTE(TEXT(Overig!R70,""",""????0;"",""???-0;"",""????0;"", ////"""),"'","""")&amp;SUBSTITUTE(TEXT(Overig!S70,""",""?00;"",""?-00;"",""?00;"", //"""),"'","""")&amp;SUBSTITUTE(TEXT(IF(ISTEXT(Overig!T70),Overig!T70,10*Overig!T70),""",""????0;"",""???-0;"",""????0;"", ////"""),"'","""")&amp;SUBSTITUTE(TEXT(Overig!U70,""",""?00;"",""?-00;"",""?00;"", //"""),"'","""")&amp;SUBSTITUTE(TEXT(Overig!V70,""",""???0;"",""??-0;"",""???0;"", ///"""),"'","""")&amp;SUBSTITUTE(TEXT(Overig!W70,""",""?00;"",""?-00;"",""?00;"", //"""),"'","""")</f>
        <v>032, 19400118, 07.00, 7585, 00,  261, 00, ////, 07, ////, 07,  78, 00,  199, 00,  232, 00,   65, 00,    3, 00,   3, 00</v>
      </c>
    </row>
    <row r="71" spans="1:1" x14ac:dyDescent="0.25">
      <c r="A71" s="12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//"""),"'","""")&amp;SUBSTITUTE(TEXT(Overig!L71,""",""???0;"",""??-0;"",""???0;"", 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//"""),"'","""")&amp;SUBSTITUTE(TEXT(Overig!R71,""",""????0;"",""???-0;"",""????0;"", ////"""),"'","""")&amp;SUBSTITUTE(TEXT(Overig!S71,""",""?00;"",""?-00;"",""?00;"", //"""),"'","""")&amp;SUBSTITUTE(TEXT(IF(ISTEXT(Overig!T71),Overig!T71,10*Overig!T71),""",""????0;"",""???-0;"",""????0;"", ////"""),"'","""")&amp;SUBSTITUTE(TEXT(Overig!U71,""",""?00;"",""?-00;"",""?00;"", //"""),"'","""")&amp;SUBSTITUTE(TEXT(Overig!V71,""",""???0;"",""??-0;"",""???0;"", ///"""),"'","""")&amp;SUBSTITUTE(TEXT(Overig!W71,""",""?00;"",""?-00;"",""?00;"", //"""),"'","""")</f>
        <v>032, 19400118, 12.00, 7589, 00,  283, 00, ////, 07, ////, 07,  65, 00,  188, 00,  232, 00,   65, 00,    3, 00,   3, 00</v>
      </c>
    </row>
    <row r="72" spans="1:1" x14ac:dyDescent="0.25">
      <c r="A72" s="12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//"""),"'","""")&amp;SUBSTITUTE(TEXT(Overig!L72,""",""???0;"",""??-0;"",""???0;"", 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//"""),"'","""")&amp;SUBSTITUTE(TEXT(Overig!R72,""",""????0;"",""???-0;"",""????0;"", ////"""),"'","""")&amp;SUBSTITUTE(TEXT(Overig!S72,""",""?00;"",""?-00;"",""?00;"", //"""),"'","""")&amp;SUBSTITUTE(TEXT(IF(ISTEXT(Overig!T72),Overig!T72,10*Overig!T72),""",""????0;"",""???-0;"",""????0;"", ////"""),"'","""")&amp;SUBSTITUTE(TEXT(Overig!U72,""",""?00;"",""?-00;"",""?00;"", //"""),"'","""")&amp;SUBSTITUTE(TEXT(Overig!V72,""",""???0;"",""??-0;"",""???0;"", ///"""),"'","""")&amp;SUBSTITUTE(TEXT(Overig!W72,""",""?00;"",""?-00;"",""?00;"", //"""),"'","""")</f>
        <v>032, 19400118, 17.00, 7582, 00,  277, 00, ////, 07, ////, 07,  74, 00,  205, 00,  240, 00,   65, 00,    5, 00,   4, 00</v>
      </c>
    </row>
    <row r="73" spans="1:1" x14ac:dyDescent="0.25">
      <c r="A73" s="12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//"""),"'","""")&amp;SUBSTITUTE(TEXT(Overig!L73,""",""???0;"",""??-0;"",""???0;"", 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//"""),"'","""")&amp;SUBSTITUTE(TEXT(Overig!R73,""",""????0;"",""???-0;"",""????0;"", ////"""),"'","""")&amp;SUBSTITUTE(TEXT(Overig!S73,""",""?00;"",""?-00;"",""?00;"", //"""),"'","""")&amp;SUBSTITUTE(TEXT(IF(ISTEXT(Overig!T73),Overig!T73,10*Overig!T73),""",""????0;"",""???-0;"",""????0;"", ////"""),"'","""")&amp;SUBSTITUTE(TEXT(Overig!U73,""",""?00;"",""?-00;"",""?00;"", //"""),"'","""")&amp;SUBSTITUTE(TEXT(Overig!V73,""",""???0;"",""??-0;"",""???0;"", ///"""),"'","""")&amp;SUBSTITUTE(TEXT(Overig!W73,""",""?00;"",""?-00;"",""?00;"", //"""),"'","""")</f>
        <v>032, 19400118, 24.00, ////, 07, ////, 07,  273, 00,  287, 00, ///, 07, ////, 07, ////, 07, ////, 07, ////, 07, ///, 07</v>
      </c>
    </row>
    <row r="74" spans="1:1" x14ac:dyDescent="0.25">
      <c r="A74" s="12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//"""),"'","""")&amp;SUBSTITUTE(TEXT(Overig!L74,""",""???0;"",""??-0;"",""???0;"", 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//"""),"'","""")&amp;SUBSTITUTE(TEXT(Overig!R74,""",""????0;"",""???-0;"",""????0;"", ////"""),"'","""")&amp;SUBSTITUTE(TEXT(Overig!S74,""",""?00;"",""?-00;"",""?00;"", //"""),"'","""")&amp;SUBSTITUTE(TEXT(IF(ISTEXT(Overig!T74),Overig!T74,10*Overig!T74),""",""????0;"",""???-0;"",""????0;"", ////"""),"'","""")&amp;SUBSTITUTE(TEXT(Overig!U74,""",""?00;"",""?-00;"",""?00;"", //"""),"'","""")&amp;SUBSTITUTE(TEXT(Overig!V74,""",""???0;"",""??-0;"",""???0;"", ///"""),"'","""")&amp;SUBSTITUTE(TEXT(Overig!W74,""",""?00;"",""?-00;"",""?00;"", //"""),"'","""")</f>
        <v>032, 19400119, 07.00, 7597, 00,  251, 00, ////, 07, ////, 07,  85, 00,  204, 00,  232, 00,   65, 00,    4, 00,   2, 00</v>
      </c>
    </row>
    <row r="75" spans="1:1" x14ac:dyDescent="0.25">
      <c r="A75" s="12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//"""),"'","""")&amp;SUBSTITUTE(TEXT(Overig!L75,""",""???0;"",""??-0;"",""???0;"", 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//"""),"'","""")&amp;SUBSTITUTE(TEXT(Overig!R75,""",""????0;"",""???-0;"",""????0;"", ////"""),"'","""")&amp;SUBSTITUTE(TEXT(Overig!S75,""",""?00;"",""?-00;"",""?00;"", //"""),"'","""")&amp;SUBSTITUTE(TEXT(IF(ISTEXT(Overig!T75),Overig!T75,10*Overig!T75),""",""????0;"",""???-0;"",""????0;"", ////"""),"'","""")&amp;SUBSTITUTE(TEXT(Overig!U75,""",""?00;"",""?-00;"",""?00;"", //"""),"'","""")&amp;SUBSTITUTE(TEXT(Overig!V75,""",""???0;"",""??-0;"",""???0;"", ///"""),"'","""")&amp;SUBSTITUTE(TEXT(Overig!W75,""",""?00;"",""?-00;"",""?00;"", //"""),"'","""")</f>
        <v>032, 19400119, 12.00, 7592, 00,  263, 00, ////, 07, ////, 07,  78, 00,  201, 00,  234, 00,   65, 00,    5, 00,   4, 00</v>
      </c>
    </row>
    <row r="76" spans="1:1" x14ac:dyDescent="0.25">
      <c r="A76" s="12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//"""),"'","""")&amp;SUBSTITUTE(TEXT(Overig!L76,""",""???0;"",""??-0;"",""???0;"", 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//"""),"'","""")&amp;SUBSTITUTE(TEXT(Overig!R76,""",""????0;"",""???-0;"",""????0;"", ////"""),"'","""")&amp;SUBSTITUTE(TEXT(Overig!S76,""",""?00;"",""?-00;"",""?00;"", //"""),"'","""")&amp;SUBSTITUTE(TEXT(IF(ISTEXT(Overig!T76),Overig!T76,10*Overig!T76),""",""????0;"",""???-0;"",""????0;"", ////"""),"'","""")&amp;SUBSTITUTE(TEXT(Overig!U76,""",""?00;"",""?-00;"",""?00;"", //"""),"'","""")&amp;SUBSTITUTE(TEXT(Overig!V76,""",""???0;"",""??-0;"",""???0;"", ///"""),"'","""")&amp;SUBSTITUTE(TEXT(Overig!W76,""",""?00;"",""?-00;"",""?00;"", //"""),"'","""")</f>
        <v>032, 19400119, 17.00, 7589, 00,  261, 00, ////, 07, ////, 07,  87, 00,  221, 00,  244, 00,   65, 00,    5, 00,   4, 00</v>
      </c>
    </row>
    <row r="77" spans="1:1" x14ac:dyDescent="0.25">
      <c r="A77" s="12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//"""),"'","""")&amp;SUBSTITUTE(TEXT(Overig!L77,""",""???0;"",""??-0;"",""???0;"", 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//"""),"'","""")&amp;SUBSTITUTE(TEXT(Overig!R77,""",""????0;"",""???-0;"",""????0;"", ////"""),"'","""")&amp;SUBSTITUTE(TEXT(Overig!S77,""",""?00;"",""?-00;"",""?00;"", //"""),"'","""")&amp;SUBSTITUTE(TEXT(IF(ISTEXT(Overig!T77),Overig!T77,10*Overig!T77),""",""????0;"",""???-0;"",""????0;"", ////"""),"'","""")&amp;SUBSTITUTE(TEXT(Overig!U77,""",""?00;"",""?-00;"",""?00;"", //"""),"'","""")&amp;SUBSTITUTE(TEXT(Overig!V77,""",""???0;"",""??-0;"",""???0;"", ///"""),"'","""")&amp;SUBSTITUTE(TEXT(Overig!W77,""",""?00;"",""?-00;"",""?00;"", //"""),"'","""")</f>
        <v>032, 19400119, 24.00, ////, 07, ////, 07,  270, 00,  295, 00, ///, 07, ////, 07, ////, 07, ////, 07, ////, 07, ///, 07</v>
      </c>
    </row>
    <row r="78" spans="1:1" x14ac:dyDescent="0.25">
      <c r="A78" s="12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//"""),"'","""")&amp;SUBSTITUTE(TEXT(Overig!L78,""",""???0;"",""??-0;"",""???0;"", 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//"""),"'","""")&amp;SUBSTITUTE(TEXT(Overig!R78,""",""????0;"",""???-0;"",""????0;"", ////"""),"'","""")&amp;SUBSTITUTE(TEXT(Overig!S78,""",""?00;"",""?-00;"",""?00;"", //"""),"'","""")&amp;SUBSTITUTE(TEXT(IF(ISTEXT(Overig!T78),Overig!T78,10*Overig!T78),""",""????0;"",""???-0;"",""????0;"", ////"""),"'","""")&amp;SUBSTITUTE(TEXT(Overig!U78,""",""?00;"",""?-00;"",""?00;"", //"""),"'","""")&amp;SUBSTITUTE(TEXT(Overig!V78,""",""???0;"",""??-0;"",""???0;"", ///"""),"'","""")&amp;SUBSTITUTE(TEXT(Overig!W78,""",""?00;"",""?-00;"",""?00;"", //"""),"'","""")</f>
        <v>032, 19400120, 07.00, 7595, 00,  273, 00, ////, 07, ////, 07,  77, 00,  211, 00,  242, 00,   65, 00,    3, 00,   3, 00</v>
      </c>
    </row>
    <row r="79" spans="1:1" x14ac:dyDescent="0.25">
      <c r="A79" s="12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//"""),"'","""")&amp;SUBSTITUTE(TEXT(Overig!L79,""",""???0;"",""??-0;"",""???0;"", 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//"""),"'","""")&amp;SUBSTITUTE(TEXT(Overig!R79,""",""????0;"",""???-0;"",""????0;"", ////"""),"'","""")&amp;SUBSTITUTE(TEXT(Overig!S79,""",""?00;"",""?-00;"",""?00;"", //"""),"'","""")&amp;SUBSTITUTE(TEXT(IF(ISTEXT(Overig!T79),Overig!T79,10*Overig!T79),""",""????0;"",""???-0;"",""????0;"", ////"""),"'","""")&amp;SUBSTITUTE(TEXT(Overig!U79,""",""?00;"",""?-00;"",""?00;"", //"""),"'","""")&amp;SUBSTITUTE(TEXT(Overig!V79,""",""???0;"",""??-0;"",""???0;"", ///"""),"'","""")&amp;SUBSTITUTE(TEXT(Overig!W79,""",""?00;"",""?-00;"",""?00;"", //"""),"'","""")</f>
        <v>032, 19400120, 12.00, 7600, 00,  299, 00, ////, 07, ////, 07,  66, 00,  209, 00,  248, 00,   45, 00,    4, 00,   4, 00</v>
      </c>
    </row>
    <row r="80" spans="1:1" x14ac:dyDescent="0.25">
      <c r="A80" s="12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//"""),"'","""")&amp;SUBSTITUTE(TEXT(Overig!L80,""",""???0;"",""??-0;"",""???0;"", 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//"""),"'","""")&amp;SUBSTITUTE(TEXT(Overig!R80,""",""????0;"",""???-0;"",""????0;"", ////"""),"'","""")&amp;SUBSTITUTE(TEXT(Overig!S80,""",""?00;"",""?-00;"",""?00;"", //"""),"'","""")&amp;SUBSTITUTE(TEXT(IF(ISTEXT(Overig!T80),Overig!T80,10*Overig!T80),""",""????0;"",""???-0;"",""????0;"", ////"""),"'","""")&amp;SUBSTITUTE(TEXT(Overig!U80,""",""?00;"",""?-00;"",""?00;"", //"""),"'","""")&amp;SUBSTITUTE(TEXT(Overig!V80,""",""???0;"",""??-0;"",""???0;"", ///"""),"'","""")&amp;SUBSTITUTE(TEXT(Overig!W80,""",""?00;"",""?-00;"",""?00;"", //"""),"'","""")</f>
        <v>032, 19400120, 17.00, 7597, 00,  289, 00, ////, 07, ////, 07,  72, 00,  214, 00,  248, 00,   45, 00,    5, 00,   3, 00</v>
      </c>
    </row>
    <row r="81" spans="1:1" x14ac:dyDescent="0.25">
      <c r="A81" s="12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//"""),"'","""")&amp;SUBSTITUTE(TEXT(Overig!L81,""",""???0;"",""??-0;"",""???0;"", 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//"""),"'","""")&amp;SUBSTITUTE(TEXT(Overig!R81,""",""????0;"",""???-0;"",""????0;"", ////"""),"'","""")&amp;SUBSTITUTE(TEXT(Overig!S81,""",""?00;"",""?-00;"",""?00;"", //"""),"'","""")&amp;SUBSTITUTE(TEXT(IF(ISTEXT(Overig!T81),Overig!T81,10*Overig!T81),""",""????0;"",""???-0;"",""????0;"", ////"""),"'","""")&amp;SUBSTITUTE(TEXT(Overig!U81,""",""?00;"",""?-00;"",""?00;"", //"""),"'","""")&amp;SUBSTITUTE(TEXT(Overig!V81,""",""???0;"",""??-0;"",""???0;"", ///"""),"'","""")&amp;SUBSTITUTE(TEXT(Overig!W81,""",""?00;"",""?-00;"",""?00;"", //"""),"'","""")</f>
        <v>032, 19400120, 24.00, ////, 07, ////, 07,  285, 00,  314, 00, ///, 07, ////, 07, ////, 07, ////, 07, ////, 07, ///, 07</v>
      </c>
    </row>
    <row r="82" spans="1:1" x14ac:dyDescent="0.25">
      <c r="A82" s="12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//"""),"'","""")&amp;SUBSTITUTE(TEXT(Overig!L82,""",""???0;"",""??-0;"",""???0;"", 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//"""),"'","""")&amp;SUBSTITUTE(TEXT(Overig!R82,""",""????0;"",""???-0;"",""????0;"", ////"""),"'","""")&amp;SUBSTITUTE(TEXT(Overig!S82,""",""?00;"",""?-00;"",""?00;"", //"""),"'","""")&amp;SUBSTITUTE(TEXT(IF(ISTEXT(Overig!T82),Overig!T82,10*Overig!T82),""",""????0;"",""???-0;"",""????0;"", ////"""),"'","""")&amp;SUBSTITUTE(TEXT(Overig!U82,""",""?00;"",""?-00;"",""?00;"", //"""),"'","""")&amp;SUBSTITUTE(TEXT(Overig!V82,""",""???0;"",""??-0;"",""???0;"", ///"""),"'","""")&amp;SUBSTITUTE(TEXT(Overig!W82,""",""?00;"",""?-00;"",""?00;"", //"""),"'","""")</f>
        <v>032, 19400121, 07.00, 7597, 00,  257, 00, ////, 07, ////, 07,  80, 00,  197, 00,  230, 00,   45, 00,    4, 00,   2, 00</v>
      </c>
    </row>
    <row r="83" spans="1:1" x14ac:dyDescent="0.25">
      <c r="A83" s="12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//"""),"'","""")&amp;SUBSTITUTE(TEXT(Overig!L83,""",""???0;"",""??-0;"",""???0;"", 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//"""),"'","""")&amp;SUBSTITUTE(TEXT(Overig!R83,""",""????0;"",""???-0;"",""????0;"", ////"""),"'","""")&amp;SUBSTITUTE(TEXT(Overig!S83,""",""?00;"",""?-00;"",""?00;"", //"""),"'","""")&amp;SUBSTITUTE(TEXT(IF(ISTEXT(Overig!T83),Overig!T83,10*Overig!T83),""",""????0;"",""???-0;"",""????0;"", ////"""),"'","""")&amp;SUBSTITUTE(TEXT(Overig!U83,""",""?00;"",""?-00;"",""?00;"", //"""),"'","""")&amp;SUBSTITUTE(TEXT(Overig!V83,""",""???0;"",""??-0;"",""???0;"", ///"""),"'","""")&amp;SUBSTITUTE(TEXT(Overig!W83,""",""?00;"",""?-00;"",""?00;"", //"""),"'","""")</f>
        <v>032, 19400121, 12.00, 7602, 00,  274, 00, ////, 07, ////, 07,  80, 00,  218, 00,  246, 00,   45, 00,    5, 00,   3, 00</v>
      </c>
    </row>
    <row r="84" spans="1:1" x14ac:dyDescent="0.25">
      <c r="A84" s="12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//"""),"'","""")&amp;SUBSTITUTE(TEXT(Overig!L84,""",""???0;"",""??-0;"",""???0;"", 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//"""),"'","""")&amp;SUBSTITUTE(TEXT(Overig!R84,""",""????0;"",""???-0;"",""????0;"", ////"""),"'","""")&amp;SUBSTITUTE(TEXT(Overig!S84,""",""?00;"",""?-00;"",""?00;"", //"""),"'","""")&amp;SUBSTITUTE(TEXT(IF(ISTEXT(Overig!T84),Overig!T84,10*Overig!T84),""",""????0;"",""???-0;"",""????0;"", ////"""),"'","""")&amp;SUBSTITUTE(TEXT(Overig!U84,""",""?00;"",""?-00;"",""?00;"", //"""),"'","""")&amp;SUBSTITUTE(TEXT(Overig!V84,""",""???0;"",""??-0;"",""???0;"", ///"""),"'","""")&amp;SUBSTITUTE(TEXT(Overig!W84,""",""?00;"",""?-00;"",""?00;"", //"""),"'","""")</f>
        <v>032, 19400121, 17.00, 7600, 00,  257, 00, ////, 07, ////, 07,  81, 00,  201, 00,  232, 00,   65, 00,    6, 00,   3, 00</v>
      </c>
    </row>
    <row r="85" spans="1:1" x14ac:dyDescent="0.25">
      <c r="A85" s="12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//"""),"'","""")&amp;SUBSTITUTE(TEXT(Overig!L85,""",""???0;"",""??-0;"",""???0;"", 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//"""),"'","""")&amp;SUBSTITUTE(TEXT(Overig!R85,""",""????0;"",""???-0;"",""????0;"", ////"""),"'","""")&amp;SUBSTITUTE(TEXT(Overig!S85,""",""?00;"",""?-00;"",""?00;"", //"""),"'","""")&amp;SUBSTITUTE(TEXT(IF(ISTEXT(Overig!T85),Overig!T85,10*Overig!T85),""",""????0;"",""???-0;"",""????0;"", ////"""),"'","""")&amp;SUBSTITUTE(TEXT(Overig!U85,""",""?00;"",""?-00;"",""?00;"", //"""),"'","""")&amp;SUBSTITUTE(TEXT(Overig!V85,""",""???0;"",""??-0;"",""???0;"", ///"""),"'","""")&amp;SUBSTITUTE(TEXT(Overig!W85,""",""?00;"",""?-00;"",""?00;"", //"""),"'","""")</f>
        <v>032, 19400121, 24.00, ////, 07, ////, 07,  270, 00,  301, 00, ///, 07, ////, 07, ////, 07, ////, 07, ////, 07, ///, 07</v>
      </c>
    </row>
    <row r="86" spans="1:1" x14ac:dyDescent="0.25">
      <c r="A86" s="12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//"""),"'","""")&amp;SUBSTITUTE(TEXT(Overig!L86,""",""???0;"",""??-0;"",""???0;"", 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//"""),"'","""")&amp;SUBSTITUTE(TEXT(Overig!R86,""",""????0;"",""???-0;"",""????0;"", ////"""),"'","""")&amp;SUBSTITUTE(TEXT(Overig!S86,""",""?00;"",""?-00;"",""?00;"", //"""),"'","""")&amp;SUBSTITUTE(TEXT(IF(ISTEXT(Overig!T86),Overig!T86,10*Overig!T86),""",""????0;"",""???-0;"",""????0;"", ////"""),"'","""")&amp;SUBSTITUTE(TEXT(Overig!U86,""",""?00;"",""?-00;"",""?00;"", //"""),"'","""")&amp;SUBSTITUTE(TEXT(Overig!V86,""",""???0;"",""??-0;"",""???0;"", ///"""),"'","""")&amp;SUBSTITUTE(TEXT(Overig!W86,""",""?00;"",""?-00;"",""?00;"", //"""),"'","""")</f>
        <v>032, 19400122, 07.00, 7600, 00,  273, 00, ////, 07, ////, 07,  77, 00,  211, 00,  242, 00,   45, 00,    3, 00,   2, 00</v>
      </c>
    </row>
    <row r="87" spans="1:1" x14ac:dyDescent="0.25">
      <c r="A87" s="12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//"""),"'","""")&amp;SUBSTITUTE(TEXT(Overig!L87,""",""???0;"",""??-0;"",""???0;"", 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//"""),"'","""")&amp;SUBSTITUTE(TEXT(Overig!R87,""",""????0;"",""???-0;"",""????0;"", ////"""),"'","""")&amp;SUBSTITUTE(TEXT(Overig!S87,""",""?00;"",""?-00;"",""?00;"", //"""),"'","""")&amp;SUBSTITUTE(TEXT(IF(ISTEXT(Overig!T87),Overig!T87,10*Overig!T87),""",""????0;"",""???-0;"",""????0;"", ////"""),"'","""")&amp;SUBSTITUTE(TEXT(Overig!U87,""",""?00;"",""?-00;"",""?00;"", //"""),"'","""")&amp;SUBSTITUTE(TEXT(Overig!V87,""",""???0;"",""??-0;"",""???0;"", ///"""),"'","""")&amp;SUBSTITUTE(TEXT(Overig!W87,""",""?00;"",""?-00;"",""?00;"", //"""),"'","""")</f>
        <v>032, 19400122, 12.00, 7597, 00,  299, 00, ////, 07, ////, 07,  64, 00,  202, 00,  244, 00,   45, 00,    5, 00,   4, 00</v>
      </c>
    </row>
    <row r="88" spans="1:1" x14ac:dyDescent="0.25">
      <c r="A88" s="12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//"""),"'","""")&amp;SUBSTITUTE(TEXT(Overig!L88,""",""???0;"",""??-0;"",""???0;"", 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//"""),"'","""")&amp;SUBSTITUTE(TEXT(Overig!R88,""",""????0;"",""???-0;"",""????0;"", ////"""),"'","""")&amp;SUBSTITUTE(TEXT(Overig!S88,""",""?00;"",""?-00;"",""?00;"", //"""),"'","""")&amp;SUBSTITUTE(TEXT(IF(ISTEXT(Overig!T88),Overig!T88,10*Overig!T88),""",""????0;"",""???-0;"",""????0;"", ////"""),"'","""")&amp;SUBSTITUTE(TEXT(Overig!U88,""",""?00;"",""?-00;"",""?00;"", //"""),"'","""")&amp;SUBSTITUTE(TEXT(Overig!V88,""",""???0;"",""??-0;"",""???0;"", ///"""),"'","""")&amp;SUBSTITUTE(TEXT(Overig!W88,""",""?00;"",""?-00;"",""?00;"", //"""),"'","""")</f>
        <v>032, 19400122, 17.00, 7597, 00,  299, 00, ////, 07, ////, 07,  62, 00,  198, 00,  242, 00,   45, 00,    6, 00,   4, 00</v>
      </c>
    </row>
    <row r="89" spans="1:1" x14ac:dyDescent="0.25">
      <c r="A89" s="12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//"""),"'","""")&amp;SUBSTITUTE(TEXT(Overig!L89,""",""???0;"",""??-0;"",""???0;"", 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//"""),"'","""")&amp;SUBSTITUTE(TEXT(Overig!R89,""",""????0;"",""???-0;"",""????0;"", ////"""),"'","""")&amp;SUBSTITUTE(TEXT(Overig!S89,""",""?00;"",""?-00;"",""?00;"", //"""),"'","""")&amp;SUBSTITUTE(TEXT(IF(ISTEXT(Overig!T89),Overig!T89,10*Overig!T89),""",""????0;"",""???-0;"",""????0;"", ////"""),"'","""")&amp;SUBSTITUTE(TEXT(Overig!U89,""",""?00;"",""?-00;"",""?00;"", //"""),"'","""")&amp;SUBSTITUTE(TEXT(Overig!V89,""",""???0;"",""??-0;"",""???0;"", ///"""),"'","""")&amp;SUBSTITUTE(TEXT(Overig!W89,""",""?00;"",""?-00;"",""?00;"", //"""),"'","""")</f>
        <v>032, 19400122, 24.00, ////, 07, ////, 07,  284, 00,  314, 00, ///, 07, ////, 07, ////, 07, ////, 07, ////, 07, ///, 07</v>
      </c>
    </row>
    <row r="90" spans="1:1" x14ac:dyDescent="0.25">
      <c r="A90" s="12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//"""),"'","""")&amp;SUBSTITUTE(TEXT(Overig!L90,""",""???0;"",""??-0;"",""???0;"", 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//"""),"'","""")&amp;SUBSTITUTE(TEXT(Overig!R90,""",""????0;"",""???-0;"",""????0;"", ////"""),"'","""")&amp;SUBSTITUTE(TEXT(Overig!S90,""",""?00;"",""?-00;"",""?00;"", //"""),"'","""")&amp;SUBSTITUTE(TEXT(IF(ISTEXT(Overig!T90),Overig!T90,10*Overig!T90),""",""????0;"",""???-0;"",""????0;"", ////"""),"'","""")&amp;SUBSTITUTE(TEXT(Overig!U90,""",""?00;"",""?-00;"",""?00;"", //"""),"'","""")&amp;SUBSTITUTE(TEXT(Overig!V90,""",""???0;"",""??-0;"",""???0;"", ///"""),"'","""")&amp;SUBSTITUTE(TEXT(Overig!W90,""",""?00;"",""?-00;"",""?00;"", //"""),"'","""")</f>
        <v>032, 19400123, 07.00, 7597, 00,  261, 00, ////, 07, ////, 07,  77, 00,  195, 00,  230, 00,   65, 00,    2, 00,   1, 00</v>
      </c>
    </row>
    <row r="91" spans="1:1" x14ac:dyDescent="0.25">
      <c r="A91" s="12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//"""),"'","""")&amp;SUBSTITUTE(TEXT(Overig!L91,""",""???0;"",""??-0;"",""???0;"", 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//"""),"'","""")&amp;SUBSTITUTE(TEXT(Overig!R91,""",""????0;"",""???-0;"",""????0;"", ////"""),"'","""")&amp;SUBSTITUTE(TEXT(Overig!S91,""",""?00;"",""?-00;"",""?00;"", //"""),"'","""")&amp;SUBSTITUTE(TEXT(IF(ISTEXT(Overig!T91),Overig!T91,10*Overig!T91),""",""????0;"",""???-0;"",""????0;"", ////"""),"'","""")&amp;SUBSTITUTE(TEXT(Overig!U91,""",""?00;"",""?-00;"",""?00;"", //"""),"'","""")&amp;SUBSTITUTE(TEXT(Overig!V91,""",""???0;"",""??-0;"",""???0;"", ///"""),"'","""")&amp;SUBSTITUTE(TEXT(Overig!W91,""",""?00;"",""?-00;"",""?00;"", //"""),"'","""")</f>
        <v>032, 19400123, 12.00, 7600, 00,  299, 00, ////, 07, ////, 07,  62, 00,  198, 00,  242, 00,   90, 00,    4, 00,   3, 00</v>
      </c>
    </row>
    <row r="92" spans="1:1" x14ac:dyDescent="0.25">
      <c r="A92" s="12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//"""),"'","""")&amp;SUBSTITUTE(TEXT(Overig!L92,""",""???0;"",""??-0;"",""???0;"", 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//"""),"'","""")&amp;SUBSTITUTE(TEXT(Overig!R92,""",""????0;"",""???-0;"",""????0;"", ////"""),"'","""")&amp;SUBSTITUTE(TEXT(Overig!S92,""",""?00;"",""?-00;"",""?00;"", //"""),"'","""")&amp;SUBSTITUTE(TEXT(IF(ISTEXT(Overig!T92),Overig!T92,10*Overig!T92),""",""????0;"",""???-0;"",""????0;"", ////"""),"'","""")&amp;SUBSTITUTE(TEXT(Overig!U92,""",""?00;"",""?-00;"",""?00;"", //"""),"'","""")&amp;SUBSTITUTE(TEXT(Overig!V92,""",""???0;"",""??-0;"",""???0;"", ///"""),"'","""")&amp;SUBSTITUTE(TEXT(Overig!W92,""",""?00;"",""?-00;"",""?00;"", //"""),"'","""")</f>
        <v>032, 19400123, 17.00, 7587, 00,  294, 00, ////, 07, ////, 07,  63, 00,  193, 00,  238, 00,   90, 00,    5, 00,   3, 00</v>
      </c>
    </row>
    <row r="93" spans="1:1" x14ac:dyDescent="0.25">
      <c r="A93" s="12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//"""),"'","""")&amp;SUBSTITUTE(TEXT(Overig!L93,""",""???0;"",""??-0;"",""???0;"", 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//"""),"'","""")&amp;SUBSTITUTE(TEXT(Overig!R93,""",""????0;"",""???-0;"",""????0;"", ////"""),"'","""")&amp;SUBSTITUTE(TEXT(Overig!S93,""",""?00;"",""?-00;"",""?00;"", //"""),"'","""")&amp;SUBSTITUTE(TEXT(IF(ISTEXT(Overig!T93),Overig!T93,10*Overig!T93),""",""????0;"",""???-0;"",""????0;"", ////"""),"'","""")&amp;SUBSTITUTE(TEXT(Overig!U93,""",""?00;"",""?-00;"",""?00;"", //"""),"'","""")&amp;SUBSTITUTE(TEXT(Overig!V93,""",""???0;"",""??-0;"",""???0;"", ///"""),"'","""")&amp;SUBSTITUTE(TEXT(Overig!W93,""",""?00;"",""?-00;"",""?00;"", //"""),"'","""")</f>
        <v>032, 19400123, 24.00, ////, 07, ////, 07,  271, 00,  314, 00, ///, 07, ////, 07, ////, 07, ////, 07, ////, 07, ///, 07</v>
      </c>
    </row>
    <row r="94" spans="1:1" x14ac:dyDescent="0.25">
      <c r="A94" s="12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//"""),"'","""")&amp;SUBSTITUTE(TEXT(Overig!L94,""",""???0;"",""??-0;"",""???0;"", 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//"""),"'","""")&amp;SUBSTITUTE(TEXT(Overig!R94,""",""????0;"",""???-0;"",""????0;"", ////"""),"'","""")&amp;SUBSTITUTE(TEXT(Overig!S94,""",""?00;"",""?-00;"",""?00;"", //"""),"'","""")&amp;SUBSTITUTE(TEXT(IF(ISTEXT(Overig!T94),Overig!T94,10*Overig!T94),""",""????0;"",""???-0;"",""????0;"", ////"""),"'","""")&amp;SUBSTITUTE(TEXT(Overig!U94,""",""?00;"",""?-00;"",""?00;"", //"""),"'","""")&amp;SUBSTITUTE(TEXT(Overig!V94,""",""???0;"",""??-0;"",""???0;"", ///"""),"'","""")&amp;SUBSTITUTE(TEXT(Overig!W94,""",""?00;"",""?-00;"",""?00;"", //"""),"'","""")</f>
        <v>032, 19400124, 07.00, 7605, 00,  259, 00, ////, 07, ////, 07,  75, 00,  189, 00,  226, 00,   65, 00,    3, 00,   2, 00</v>
      </c>
    </row>
    <row r="95" spans="1:1" x14ac:dyDescent="0.25">
      <c r="A95" s="12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//"""),"'","""")&amp;SUBSTITUTE(TEXT(Overig!L95,""",""???0;"",""??-0;"",""???0;"", 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//"""),"'","""")&amp;SUBSTITUTE(TEXT(Overig!R95,""",""????0;"",""???-0;"",""????0;"", ////"""),"'","""")&amp;SUBSTITUTE(TEXT(Overig!S95,""",""?00;"",""?-00;"",""?00;"", //"""),"'","""")&amp;SUBSTITUTE(TEXT(IF(ISTEXT(Overig!T95),Overig!T95,10*Overig!T95),""",""????0;"",""???-0;"",""????0;"", ////"""),"'","""")&amp;SUBSTITUTE(TEXT(Overig!U95,""",""?00;"",""?-00;"",""?00;"", //"""),"'","""")&amp;SUBSTITUTE(TEXT(Overig!V95,""",""???0;"",""??-0;"",""???0;"", ///"""),"'","""")&amp;SUBSTITUTE(TEXT(Overig!W95,""",""?00;"",""?-00;"",""?00;"", //"""),"'","""")</f>
        <v>032, 19400124, 12.00, 7607, 00,  273, 00, ////, 07, ////, 07,  76, 00,  207, 00,  240, 00,   45, 00,    4, 00,   4, 00</v>
      </c>
    </row>
    <row r="96" spans="1:1" x14ac:dyDescent="0.25">
      <c r="A96" s="12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//"""),"'","""")&amp;SUBSTITUTE(TEXT(Overig!L96,""",""???0;"",""??-0;"",""???0;"", 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//"""),"'","""")&amp;SUBSTITUTE(TEXT(Overig!R96,""",""????0;"",""???-0;"",""????0;"", ////"""),"'","""")&amp;SUBSTITUTE(TEXT(Overig!S96,""",""?00;"",""?-00;"",""?00;"", //"""),"'","""")&amp;SUBSTITUTE(TEXT(IF(ISTEXT(Overig!T96),Overig!T96,10*Overig!T96),""",""????0;"",""???-0;"",""????0;"", ////"""),"'","""")&amp;SUBSTITUTE(TEXT(Overig!U96,""",""?00;"",""?-00;"",""?00;"", //"""),"'","""")&amp;SUBSTITUTE(TEXT(Overig!V96,""",""???0;"",""??-0;"",""???0;"", ///"""),"'","""")&amp;SUBSTITUTE(TEXT(Overig!W96,""",""?00;"",""?-00;"",""?00;"", //"""),"'","""")</f>
        <v>032, 19400124, 17.00, 7597, 00,  267, 00, ////, 07, ////, 07,  76, 00,  199, 00,  234, 00,   45, 00,    5, 00,   4, 00</v>
      </c>
    </row>
    <row r="97" spans="1:1" x14ac:dyDescent="0.25">
      <c r="A97" s="12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//"""),"'","""")&amp;SUBSTITUTE(TEXT(Overig!L97,""",""???0;"",""??-0;"",""???0;"", 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//"""),"'","""")&amp;SUBSTITUTE(TEXT(Overig!R97,""",""????0;"",""???-0;"",""????0;"", ////"""),"'","""")&amp;SUBSTITUTE(TEXT(Overig!S97,""",""?00;"",""?-00;"",""?00;"", //"""),"'","""")&amp;SUBSTITUTE(TEXT(IF(ISTEXT(Overig!T97),Overig!T97,10*Overig!T97),""",""????0;"",""???-0;"",""????0;"", ////"""),"'","""")&amp;SUBSTITUTE(TEXT(Overig!U97,""",""?00;"",""?-00;"",""?00;"", //"""),"'","""")&amp;SUBSTITUTE(TEXT(Overig!V97,""",""???0;"",""??-0;"",""???0;"", ///"""),"'","""")&amp;SUBSTITUTE(TEXT(Overig!W97,""",""?00;"",""?-00;"",""?00;"", //"""),"'","""")</f>
        <v>032, 19400124, 24.00, ////, 07, ////, 07,  274, 00,  311, 00, ///, 07, ////, 07, ////, 07, ////, 07, ////, 07, ///, 07</v>
      </c>
    </row>
    <row r="98" spans="1:1" x14ac:dyDescent="0.25">
      <c r="A98" s="12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//"""),"'","""")&amp;SUBSTITUTE(TEXT(Overig!L98,""",""???0;"",""??-0;"",""???0;"", 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//"""),"'","""")&amp;SUBSTITUTE(TEXT(Overig!R98,""",""????0;"",""???-0;"",""????0;"", ////"""),"'","""")&amp;SUBSTITUTE(TEXT(Overig!S98,""",""?00;"",""?-00;"",""?00;"", //"""),"'","""")&amp;SUBSTITUTE(TEXT(IF(ISTEXT(Overig!T98),Overig!T98,10*Overig!T98),""",""????0;"",""???-0;"",""????0;"", ////"""),"'","""")&amp;SUBSTITUTE(TEXT(Overig!U98,""",""?00;"",""?-00;"",""?00;"", //"""),"'","""")&amp;SUBSTITUTE(TEXT(Overig!V98,""",""???0;"",""??-0;"",""???0;"", ///"""),"'","""")&amp;SUBSTITUTE(TEXT(Overig!W98,""",""?00;"",""?-00;"",""?00;"", //"""),"'","""")</f>
        <v>032, 19400125, 07.00, 7602, 00,  257, 00, ////, 07, ////, 07,  77, 00,  190, 00,  226, 00,   45, 00,    2, 00,   1, 00</v>
      </c>
    </row>
    <row r="99" spans="1:1" x14ac:dyDescent="0.25">
      <c r="A99" s="12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//"""),"'","""")&amp;SUBSTITUTE(TEXT(Overig!L99,""",""???0;"",""??-0;"",""???0;"", 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//"""),"'","""")&amp;SUBSTITUTE(TEXT(Overig!R99,""",""????0;"",""???-0;"",""????0;"", ////"""),"'","""")&amp;SUBSTITUTE(TEXT(Overig!S99,""",""?00;"",""?-00;"",""?00;"", //"""),"'","""")&amp;SUBSTITUTE(TEXT(IF(ISTEXT(Overig!T99),Overig!T99,10*Overig!T99),""",""????0;"",""???-0;"",""????0;"", ////"""),"'","""")&amp;SUBSTITUTE(TEXT(Overig!U99,""",""?00;"",""?-00;"",""?00;"", //"""),"'","""")&amp;SUBSTITUTE(TEXT(Overig!V99,""",""???0;"",""??-0;"",""???0;"", ///"""),"'","""")&amp;SUBSTITUTE(TEXT(Overig!W99,""",""?00;"",""?-00;"",""?00;"", //"""),"'","""")</f>
        <v>032, 19400125, 12.00, 7600, 00,  267, 00, ////, 07, ////, 07,  74, 00,  196, 00,  232, 00,   45, 00,    3, 00,   1, 00</v>
      </c>
    </row>
    <row r="100" spans="1:1" x14ac:dyDescent="0.25">
      <c r="A100" s="12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//"""),"'","""")&amp;SUBSTITUTE(TEXT(Overig!L100,""",""???0;"",""??-0;"",""???0;"", 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//"""),"'","""")&amp;SUBSTITUTE(TEXT(Overig!R100,""",""????0;"",""???-0;"",""????0;"", ////"""),"'","""")&amp;SUBSTITUTE(TEXT(Overig!S100,""",""?00;"",""?-00;"",""?00;"", //"""),"'","""")&amp;SUBSTITUTE(TEXT(IF(ISTEXT(Overig!T100),Overig!T100,10*Overig!T100),""",""????0;"",""???-0;"",""????0;"", ////"""),"'","""")&amp;SUBSTITUTE(TEXT(Overig!U100,""",""?00;"",""?-00;"",""?00;"", //"""),"'","""")&amp;SUBSTITUTE(TEXT(Overig!V100,""",""???0;"",""??-0;"",""???0;"", ///"""),"'","""")&amp;SUBSTITUTE(TEXT(Overig!W100,""",""?00;"",""?-00;"",""?00;"", //"""),"'","""")</f>
        <v>032, 19400125, 17.00, 7589, 00,  261, 00, ////, 07, ////, 07,  76, 00,  192, 00,  228, 00,   45, 00,    3, 00,   2, 00</v>
      </c>
    </row>
    <row r="101" spans="1:1" x14ac:dyDescent="0.25">
      <c r="A101" s="12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//"""),"'","""")&amp;SUBSTITUTE(TEXT(Overig!L101,""",""???0;"",""??-0;"",""???0;"", 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//"""),"'","""")&amp;SUBSTITUTE(TEXT(Overig!R101,""",""????0;"",""???-0;"",""????0;"", ////"""),"'","""")&amp;SUBSTITUTE(TEXT(Overig!S101,""",""?00;"",""?-00;"",""?00;"", //"""),"'","""")&amp;SUBSTITUTE(TEXT(IF(ISTEXT(Overig!T101),Overig!T101,10*Overig!T101),""",""????0;"",""???-0;"",""????0;"", ////"""),"'","""")&amp;SUBSTITUTE(TEXT(Overig!U101,""",""?00;"",""?-00;"",""?00;"", //"""),"'","""")&amp;SUBSTITUTE(TEXT(Overig!V101,""",""???0;"",""??-0;"",""???0;"", ///"""),"'","""")&amp;SUBSTITUTE(TEXT(Overig!W101,""",""?00;"",""?-00;"",""?00;"", //"""),"'","""")</f>
        <v>032, 19400125, 24.00, ////, 07, ////, 07,  264, 00,  295, 00, ///, 07, ////, 07, ////, 07, ////, 07, ////, 07, ///, 07</v>
      </c>
    </row>
    <row r="102" spans="1:1" x14ac:dyDescent="0.25">
      <c r="A102" s="12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//"""),"'","""")&amp;SUBSTITUTE(TEXT(Overig!L102,""",""???0;"",""??-0;"",""???0;"", 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//"""),"'","""")&amp;SUBSTITUTE(TEXT(Overig!R102,""",""????0;"",""???-0;"",""????0;"", ////"""),"'","""")&amp;SUBSTITUTE(TEXT(Overig!S102,""",""?00;"",""?-00;"",""?00;"", //"""),"'","""")&amp;SUBSTITUTE(TEXT(IF(ISTEXT(Overig!T102),Overig!T102,10*Overig!T102),""",""????0;"",""???-0;"",""????0;"", ////"""),"'","""")&amp;SUBSTITUTE(TEXT(Overig!U102,""",""?00;"",""?-00;"",""?00;"", //"""),"'","""")&amp;SUBSTITUTE(TEXT(Overig!V102,""",""???0;"",""??-0;"",""???0;"", ///"""),"'","""")&amp;SUBSTITUTE(TEXT(Overig!W102,""",""?00;"",""?-00;"",""?00;"", //"""),"'","""")</f>
        <v>032, 19400126, 07.00, 7612, 00,  255, 00, ////, 07, ////, 07,  75, 00,  184, 00,  222, 00,   45, 00,    2, 00,   2, 00</v>
      </c>
    </row>
    <row r="103" spans="1:1" x14ac:dyDescent="0.25">
      <c r="A103" s="12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//"""),"'","""")&amp;SUBSTITUTE(TEXT(Overig!L103,""",""???0;"",""??-0;"",""???0;"", 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//"""),"'","""")&amp;SUBSTITUTE(TEXT(Overig!R103,""",""????0;"",""???-0;"",""????0;"", ////"""),"'","""")&amp;SUBSTITUTE(TEXT(Overig!S103,""",""?00;"",""?-00;"",""?00;"", //"""),"'","""")&amp;SUBSTITUTE(TEXT(IF(ISTEXT(Overig!T103),Overig!T103,10*Overig!T103),""",""????0;"",""???-0;"",""????0;"", ////"""),"'","""")&amp;SUBSTITUTE(TEXT(Overig!U103,""",""?00;"",""?-00;"",""?00;"", //"""),"'","""")&amp;SUBSTITUTE(TEXT(Overig!V103,""",""???0;"",""??-0;"",""???0;"", ///"""),"'","""")&amp;SUBSTITUTE(TEXT(Overig!W103,""",""?00;"",""?-00;"",""?00;"", //"""),"'","""")</f>
        <v>032, 19400126, 12.00, 7612, 00,  257, 00, ////, 07, ////, 07,  75, 00,  187, 00,  224, 00,   45, 00,    2, 00,   4, 00</v>
      </c>
    </row>
    <row r="104" spans="1:1" x14ac:dyDescent="0.25">
      <c r="A104" s="12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//"""),"'","""")&amp;SUBSTITUTE(TEXT(Overig!L104,""",""???0;"",""??-0;"",""???0;"", 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//"""),"'","""")&amp;SUBSTITUTE(TEXT(Overig!R104,""",""????0;"",""???-0;"",""????0;"", ////"""),"'","""")&amp;SUBSTITUTE(TEXT(Overig!S104,""",""?00;"",""?-00;"",""?00;"", //"""),"'","""")&amp;SUBSTITUTE(TEXT(IF(ISTEXT(Overig!T104),Overig!T104,10*Overig!T104),""",""????0;"",""???-0;"",""????0;"", ////"""),"'","""")&amp;SUBSTITUTE(TEXT(Overig!U104,""",""?00;"",""?-00;"",""?00;"", //"""),"'","""")&amp;SUBSTITUTE(TEXT(Overig!V104,""",""???0;"",""??-0;"",""???0;"", ///"""),"'","""")&amp;SUBSTITUTE(TEXT(Overig!W104,""",""?00;"",""?-00;"",""?00;"", //"""),"'","""")</f>
        <v>032, 19400126, 17.00, 7597, 00,  253, 00, ////, 07, ////, 07,  77, 00,  185, 00,  222, 00,   45, 00,    3, 00,   3, 00</v>
      </c>
    </row>
    <row r="105" spans="1:1" x14ac:dyDescent="0.25">
      <c r="A105" s="12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//"""),"'","""")&amp;SUBSTITUTE(TEXT(Overig!L105,""",""???0;"",""??-0;"",""???0;"", 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//"""),"'","""")&amp;SUBSTITUTE(TEXT(Overig!R105,""",""????0;"",""???-0;"",""????0;"", ////"""),"'","""")&amp;SUBSTITUTE(TEXT(Overig!S105,""",""?00;"",""?-00;"",""?00;"", //"""),"'","""")&amp;SUBSTITUTE(TEXT(IF(ISTEXT(Overig!T105),Overig!T105,10*Overig!T105),""",""????0;"",""???-0;"",""????0;"", ////"""),"'","""")&amp;SUBSTITUTE(TEXT(Overig!U105,""",""?00;"",""?-00;"",""?00;"", //"""),"'","""")&amp;SUBSTITUTE(TEXT(Overig!V105,""",""???0;"",""??-0;"",""???0;"", ///"""),"'","""")&amp;SUBSTITUTE(TEXT(Overig!W105,""",""?00;"",""?-00;"",""?00;"", //"""),"'","""")</f>
        <v>032, 19400126, 24.00, ////, 07, ////, 07,  265, 00,  285, 00, ///, 07, ////, 07, ////, 07, ////, 07, ////, 07, ///, 07</v>
      </c>
    </row>
    <row r="106" spans="1:1" x14ac:dyDescent="0.25">
      <c r="A106" s="12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//"""),"'","""")&amp;SUBSTITUTE(TEXT(Overig!L106,""",""???0;"",""??-0;"",""???0;"", 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//"""),"'","""")&amp;SUBSTITUTE(TEXT(Overig!R106,""",""????0;"",""???-0;"",""????0;"", ////"""),"'","""")&amp;SUBSTITUTE(TEXT(Overig!S106,""",""?00;"",""?-00;"",""?00;"", //"""),"'","""")&amp;SUBSTITUTE(TEXT(IF(ISTEXT(Overig!T106),Overig!T106,10*Overig!T106),""",""????0;"",""???-0;"",""????0;"", ////"""),"'","""")&amp;SUBSTITUTE(TEXT(Overig!U106,""",""?00;"",""?-00;"",""?00;"", //"""),"'","""")&amp;SUBSTITUTE(TEXT(Overig!V106,""",""???0;"",""??-0;"",""???0;"", ///"""),"'","""")&amp;SUBSTITUTE(TEXT(Overig!W106,""",""?00;"",""?-00;"",""?00;"", //"""),"'","""")</f>
        <v>032, 19400127, 07.00, 7607, 00,  273, 00, ////, 07, ////, 07,  66, 00,  179, 00,  224, 00,   65, 00,    3, 00,   2, 00</v>
      </c>
    </row>
    <row r="107" spans="1:1" x14ac:dyDescent="0.25">
      <c r="A107" s="12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//"""),"'","""")&amp;SUBSTITUTE(TEXT(Overig!L107,""",""???0;"",""??-0;"",""???0;"", 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//"""),"'","""")&amp;SUBSTITUTE(TEXT(Overig!R107,""",""????0;"",""???-0;"",""????0;"", ////"""),"'","""")&amp;SUBSTITUTE(TEXT(Overig!S107,""",""?00;"",""?-00;"",""?00;"", //"""),"'","""")&amp;SUBSTITUTE(TEXT(IF(ISTEXT(Overig!T107),Overig!T107,10*Overig!T107),""",""????0;"",""???-0;"",""????0;"", ////"""),"'","""")&amp;SUBSTITUTE(TEXT(Overig!U107,""",""?00;"",""?-00;"",""?00;"", //"""),"'","""")&amp;SUBSTITUTE(TEXT(Overig!V107,""",""???0;"",""??-0;"",""???0;"", ///"""),"'","""")&amp;SUBSTITUTE(TEXT(Overig!W107,""",""?00;"",""?-00;"",""?00;"", //"""),"'","""")</f>
        <v>032, 19400127, 12.00, 7607, 00,  279, 00, ////, 07, ////, 07,  63, 00,  179, 00,  226, 00,   45, 00,    4, 00,   4, 00</v>
      </c>
    </row>
    <row r="108" spans="1:1" x14ac:dyDescent="0.25">
      <c r="A108" s="12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//"""),"'","""")&amp;SUBSTITUTE(TEXT(Overig!L108,""",""???0;"",""??-0;"",""???0;"", 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//"""),"'","""")&amp;SUBSTITUTE(TEXT(Overig!R108,""",""????0;"",""???-0;"",""????0;"", ////"""),"'","""")&amp;SUBSTITUTE(TEXT(Overig!S108,""",""?00;"",""?-00;"",""?00;"", //"""),"'","""")&amp;SUBSTITUTE(TEXT(IF(ISTEXT(Overig!T108),Overig!T108,10*Overig!T108),""",""????0;"",""???-0;"",""????0;"", ////"""),"'","""")&amp;SUBSTITUTE(TEXT(Overig!U108,""",""?00;"",""?-00;"",""?00;"", //"""),"'","""")&amp;SUBSTITUTE(TEXT(Overig!V108,""",""???0;"",""??-0;"",""???0;"", ///"""),"'","""")&amp;SUBSTITUTE(TEXT(Overig!W108,""",""?00;"",""?-00;"",""?00;"", //"""),"'","""")</f>
        <v>032, 19400127, 17.00, 7607, 00,  275, 00, ////, 07, ////, 07,  64, 00,  178, 00,  224, 00,   45, 00,    4, 00,   3, 00</v>
      </c>
    </row>
    <row r="109" spans="1:1" x14ac:dyDescent="0.25">
      <c r="A109" s="12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//"""),"'","""")&amp;SUBSTITUTE(TEXT(Overig!L109,""",""???0;"",""??-0;"",""???0;"", 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//"""),"'","""")&amp;SUBSTITUTE(TEXT(Overig!R109,""",""????0;"",""???-0;"",""????0;"", ////"""),"'","""")&amp;SUBSTITUTE(TEXT(Overig!S109,""",""?00;"",""?-00;"",""?00;"", //"""),"'","""")&amp;SUBSTITUTE(TEXT(IF(ISTEXT(Overig!T109),Overig!T109,10*Overig!T109),""",""????0;"",""???-0;"",""????0;"", ////"""),"'","""")&amp;SUBSTITUTE(TEXT(Overig!U109,""",""?00;"",""?-00;"",""?00;"", //"""),"'","""")&amp;SUBSTITUTE(TEXT(Overig!V109,""",""???0;"",""??-0;"",""???0;"", ///"""),"'","""")&amp;SUBSTITUTE(TEXT(Overig!W109,""",""?00;"",""?-00;"",""?00;"", //"""),"'","""")</f>
        <v>032, 19400127, 24.00, ////, 07, ////, 07,  283, 00,  295, 00, ///, 07, ////, 07, ////, 07, ////, 07, ////, 07, ///, 07</v>
      </c>
    </row>
    <row r="110" spans="1:1" x14ac:dyDescent="0.25">
      <c r="A110" s="12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//"""),"'","""")&amp;SUBSTITUTE(TEXT(Overig!L110,""",""???0;"",""??-0;"",""???0;"", 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//"""),"'","""")&amp;SUBSTITUTE(TEXT(Overig!R110,""",""????0;"",""???-0;"",""????0;"", ////"""),"'","""")&amp;SUBSTITUTE(TEXT(Overig!S110,""",""?00;"",""?-00;"",""?00;"", //"""),"'","""")&amp;SUBSTITUTE(TEXT(IF(ISTEXT(Overig!T110),Overig!T110,10*Overig!T110),""",""????0;"",""???-0;"",""????0;"", ////"""),"'","""")&amp;SUBSTITUTE(TEXT(Overig!U110,""",""?00;"",""?-00;"",""?00;"", //"""),"'","""")&amp;SUBSTITUTE(TEXT(Overig!V110,""",""???0;"",""??-0;"",""???0;"", ///"""),"'","""")&amp;SUBSTITUTE(TEXT(Overig!W110,""",""?00;"",""?-00;"",""?00;"", //"""),"'","""")</f>
        <v>032, 19400128, 07.00, 7602, 00,  257, 00, ////, 07, ////, 07,  75, 00,  187, 00,  224, 00,   45, 00,    3, 00,   2, 00</v>
      </c>
    </row>
    <row r="111" spans="1:1" x14ac:dyDescent="0.25">
      <c r="A111" s="12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//"""),"'","""")&amp;SUBSTITUTE(TEXT(Overig!L111,""",""???0;"",""??-0;"",""???0;"", 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//"""),"'","""")&amp;SUBSTITUTE(TEXT(Overig!R111,""",""????0;"",""???-0;"",""????0;"", ////"""),"'","""")&amp;SUBSTITUTE(TEXT(Overig!S111,""",""?00;"",""?-00;"",""?00;"", //"""),"'","""")&amp;SUBSTITUTE(TEXT(IF(ISTEXT(Overig!T111),Overig!T111,10*Overig!T111),""",""????0;"",""???-0;"",""????0;"", ////"""),"'","""")&amp;SUBSTITUTE(TEXT(Overig!U111,""",""?00;"",""?-00;"",""?00;"", //"""),"'","""")&amp;SUBSTITUTE(TEXT(Overig!V111,""",""???0;"",""??-0;"",""???0;"", ///"""),"'","""")&amp;SUBSTITUTE(TEXT(Overig!W111,""",""?00;"",""?-00;"",""?00;"", //"""),"'","""")</f>
        <v>032, 19400128, 12.00, 7600, 00,  283, 00, ////, 07, ////, 07,  61, 00,  177, 00,  226, 00,   45, 00,    4, 00,   3, 00</v>
      </c>
    </row>
    <row r="112" spans="1:1" x14ac:dyDescent="0.25">
      <c r="A112" s="12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//"""),"'","""")&amp;SUBSTITUTE(TEXT(Overig!L112,""",""???0;"",""??-0;"",""???0;"", 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//"""),"'","""")&amp;SUBSTITUTE(TEXT(Overig!R112,""",""????0;"",""???-0;"",""????0;"", ////"""),"'","""")&amp;SUBSTITUTE(TEXT(Overig!S112,""",""?00;"",""?-00;"",""?00;"", //"""),"'","""")&amp;SUBSTITUTE(TEXT(IF(ISTEXT(Overig!T112),Overig!T112,10*Overig!T112),""",""????0;"",""???-0;"",""????0;"", ////"""),"'","""")&amp;SUBSTITUTE(TEXT(Overig!U112,""",""?00;"",""?-00;"",""?00;"", //"""),"'","""")&amp;SUBSTITUTE(TEXT(Overig!V112,""",""???0;"",""??-0;"",""???0;"", ///"""),"'","""")&amp;SUBSTITUTE(TEXT(Overig!W112,""",""?00;"",""?-00;"",""?00;"", //"""),"'","""")</f>
        <v>032, 19400128, 17.00, 7595, 00,  281, 00, ////, 07, ////, 07,  61, 00,  175, 00,  224, 00,   45, 00,    4, 00,   3, 00</v>
      </c>
    </row>
    <row r="113" spans="1:1" x14ac:dyDescent="0.25">
      <c r="A113" s="12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//"""),"'","""")&amp;SUBSTITUTE(TEXT(Overig!L113,""",""???0;"",""??-0;"",""???0;"", 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//"""),"'","""")&amp;SUBSTITUTE(TEXT(Overig!R113,""",""????0;"",""???-0;"",""????0;"", ////"""),"'","""")&amp;SUBSTITUTE(TEXT(Overig!S113,""",""?00;"",""?-00;"",""?00;"", //"""),"'","""")&amp;SUBSTITUTE(TEXT(IF(ISTEXT(Overig!T113),Overig!T113,10*Overig!T113),""",""????0;"",""???-0;"",""????0;"", ////"""),"'","""")&amp;SUBSTITUTE(TEXT(Overig!U113,""",""?00;"",""?-00;"",""?00;"", //"""),"'","""")&amp;SUBSTITUTE(TEXT(Overig!V113,""",""???0;"",""??-0;"",""???0;"", ///"""),"'","""")&amp;SUBSTITUTE(TEXT(Overig!W113,""",""?00;"",""?-00;"",""?00;"", //"""),"'","""")</f>
        <v>032, 19400128, 24.00, ////, 07, ////, 07,  263, 00,  294, 00, ///, 07, ////, 07, ////, 07, ////, 07, ////, 07, ///, 07</v>
      </c>
    </row>
    <row r="114" spans="1:1" x14ac:dyDescent="0.25">
      <c r="A114" s="12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//"""),"'","""")&amp;SUBSTITUTE(TEXT(Overig!L114,""",""???0;"",""??-0;"",""???0;"", 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//"""),"'","""")&amp;SUBSTITUTE(TEXT(Overig!R114,""",""????0;"",""???-0;"",""????0;"", ////"""),"'","""")&amp;SUBSTITUTE(TEXT(Overig!S114,""",""?00;"",""?-00;"",""?00;"", //"""),"'","""")&amp;SUBSTITUTE(TEXT(IF(ISTEXT(Overig!T114),Overig!T114,10*Overig!T114),""",""????0;"",""???-0;"",""????0;"", ////"""),"'","""")&amp;SUBSTITUTE(TEXT(Overig!U114,""",""?00;"",""?-00;"",""?00;"", //"""),"'","""")&amp;SUBSTITUTE(TEXT(Overig!V114,""",""???0;"",""??-0;"",""???0;"", ///"""),"'","""")&amp;SUBSTITUTE(TEXT(Overig!W114,""",""?00;"",""?-00;"",""?00;"", //"""),"'","""")</f>
        <v>032, 19400129, 07.00, 7602, 00,  255, 00, ////, 07, ////, 07,  78, 00,  191, 00,  226, 00,   65, 00,    3, 00,   2, 00</v>
      </c>
    </row>
    <row r="115" spans="1:1" x14ac:dyDescent="0.25">
      <c r="A115" s="12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//"""),"'","""")&amp;SUBSTITUTE(TEXT(Overig!L115,""",""???0;"",""??-0;"",""???0;"", 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//"""),"'","""")&amp;SUBSTITUTE(TEXT(Overig!R115,""",""????0;"",""???-0;"",""????0;"", ////"""),"'","""")&amp;SUBSTITUTE(TEXT(Overig!S115,""",""?00;"",""?-00;"",""?00;"", //"""),"'","""")&amp;SUBSTITUTE(TEXT(IF(ISTEXT(Overig!T115),Overig!T115,10*Overig!T115),""",""????0;"",""???-0;"",""????0;"", ////"""),"'","""")&amp;SUBSTITUTE(TEXT(Overig!U115,""",""?00;"",""?-00;"",""?00;"", //"""),"'","""")&amp;SUBSTITUTE(TEXT(Overig!V115,""",""???0;"",""??-0;"",""???0;"", ///"""),"'","""")&amp;SUBSTITUTE(TEXT(Overig!W115,""",""?00;"",""?-00;"",""?00;"", //"""),"'","""")</f>
        <v>032, 19400129, 12.00, 7602, 00,  280, 00, ////, 07, ////, 07,  67, 00,  189, 00,  232, 00,   65, 00,    4, 00,   3, 00</v>
      </c>
    </row>
    <row r="116" spans="1:1" x14ac:dyDescent="0.25">
      <c r="A116" s="12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//"""),"'","""")&amp;SUBSTITUTE(TEXT(Overig!L116,""",""???0;"",""??-0;"",""???0;"", 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//"""),"'","""")&amp;SUBSTITUTE(TEXT(Overig!R116,""",""????0;"",""???-0;"",""????0;"", ////"""),"'","""")&amp;SUBSTITUTE(TEXT(Overig!S116,""",""?00;"",""?-00;"",""?00;"", //"""),"'","""")&amp;SUBSTITUTE(TEXT(IF(ISTEXT(Overig!T116),Overig!T116,10*Overig!T116),""",""????0;"",""???-0;"",""????0;"", ////"""),"'","""")&amp;SUBSTITUTE(TEXT(Overig!U116,""",""?00;"",""?-00;"",""?00;"", //"""),"'","""")&amp;SUBSTITUTE(TEXT(Overig!V116,""",""???0;"",""??-0;"",""???0;"", ///"""),"'","""")&amp;SUBSTITUTE(TEXT(Overig!W116,""",""?00;"",""?-00;"",""?00;"", //"""),"'","""")</f>
        <v>032, 19400129, 17.00, 7585, 00,  273, 00, ////, 07, ////, 07,  68, 00,  184, 00,  227, 00,   45, 00,    4, 00,   3, 00</v>
      </c>
    </row>
    <row r="117" spans="1:1" x14ac:dyDescent="0.25">
      <c r="A117" s="12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//"""),"'","""")&amp;SUBSTITUTE(TEXT(Overig!L117,""",""???0;"",""??-0;"",""???0;"", 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//"""),"'","""")&amp;SUBSTITUTE(TEXT(Overig!R117,""",""????0;"",""???-0;"",""????0;"", ////"""),"'","""")&amp;SUBSTITUTE(TEXT(Overig!S117,""",""?00;"",""?-00;"",""?00;"", //"""),"'","""")&amp;SUBSTITUTE(TEXT(IF(ISTEXT(Overig!T117),Overig!T117,10*Overig!T117),""",""????0;"",""???-0;"",""????0;"", ////"""),"'","""")&amp;SUBSTITUTE(TEXT(Overig!U117,""",""?00;"",""?-00;"",""?00;"", //"""),"'","""")&amp;SUBSTITUTE(TEXT(Overig!V117,""",""???0;"",""??-0;"",""???0;"", ///"""),"'","""")&amp;SUBSTITUTE(TEXT(Overig!W117,""",""?00;"",""?-00;"",""?00;"", //"""),"'","""")</f>
        <v>032, 19400129, 24.00, ////, 07, ////, 07,  265, 00,  294, 00, ///, 07, ////, 07, ////, 07, ////, 07, ////, 07, ///, 07</v>
      </c>
    </row>
    <row r="118" spans="1:1" x14ac:dyDescent="0.25">
      <c r="A118" s="12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//"""),"'","""")&amp;SUBSTITUTE(TEXT(Overig!L118,""",""???0;"",""??-0;"",""???0;"", 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//"""),"'","""")&amp;SUBSTITUTE(TEXT(Overig!R118,""",""????0;"",""???-0;"",""????0;"", ////"""),"'","""")&amp;SUBSTITUTE(TEXT(Overig!S118,""",""?00;"",""?-00;"",""?00;"", //"""),"'","""")&amp;SUBSTITUTE(TEXT(IF(ISTEXT(Overig!T118),Overig!T118,10*Overig!T118),""",""????0;"",""???-0;"",""????0;"", ////"""),"'","""")&amp;SUBSTITUTE(TEXT(Overig!U118,""",""?00;"",""?-00;"",""?00;"", //"""),"'","""")&amp;SUBSTITUTE(TEXT(Overig!V118,""",""???0;"",""??-0;"",""???0;"", ///"""),"'","""")&amp;SUBSTITUTE(TEXT(Overig!W118,""",""?00;"",""?-00;"",""?00;"", //"""),"'","""")</f>
        <v>032, 19400130, 07.00, 7610, 00,  271, 00, ////, 07, ////, 07,  69, 00,  187, 00,  228, 00,   65, 00,    2, 00,   2, 00</v>
      </c>
    </row>
    <row r="119" spans="1:1" x14ac:dyDescent="0.25">
      <c r="A119" s="12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//"""),"'","""")&amp;SUBSTITUTE(TEXT(Overig!L119,""",""???0;"",""??-0;"",""???0;"", 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//"""),"'","""")&amp;SUBSTITUTE(TEXT(Overig!R119,""",""????0;"",""???-0;"",""????0;"", ////"""),"'","""")&amp;SUBSTITUTE(TEXT(Overig!S119,""",""?00;"",""?-00;"",""?00;"", //"""),"'","""")&amp;SUBSTITUTE(TEXT(IF(ISTEXT(Overig!T119),Overig!T119,10*Overig!T119),""",""????0;"",""???-0;"",""????0;"", ////"""),"'","""")&amp;SUBSTITUTE(TEXT(Overig!U119,""",""?00;"",""?-00;"",""?00;"", //"""),"'","""")&amp;SUBSTITUTE(TEXT(Overig!V119,""",""???0;"",""??-0;"",""???0;"", ///"""),"'","""")&amp;SUBSTITUTE(TEXT(Overig!W119,""",""?00;"",""?-00;"",""?00;"", //"""),"'","""")</f>
        <v>032, 19400130, 12.00, 7610, 00,  289, 00, ////, 07, ////, 07,  63, 00,  188, 00,  234, 00,   65, 00,    3, 00,   3, 00</v>
      </c>
    </row>
    <row r="120" spans="1:1" x14ac:dyDescent="0.25">
      <c r="A120" s="12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//"""),"'","""")&amp;SUBSTITUTE(TEXT(Overig!L120,""",""???0;"",""??-0;"",""???0;"", 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//"""),"'","""")&amp;SUBSTITUTE(TEXT(Overig!R120,""",""????0;"",""???-0;"",""????0;"", ////"""),"'","""")&amp;SUBSTITUTE(TEXT(Overig!S120,""",""?00;"",""?-00;"",""?00;"", //"""),"'","""")&amp;SUBSTITUTE(TEXT(IF(ISTEXT(Overig!T120),Overig!T120,10*Overig!T120),""",""????0;"",""???-0;"",""????0;"", ////"""),"'","""")&amp;SUBSTITUTE(TEXT(Overig!U120,""",""?00;"",""?-00;"",""?00;"", //"""),"'","""")&amp;SUBSTITUTE(TEXT(Overig!V120,""",""???0;"",""??-0;"",""???0;"", ///"""),"'","""")&amp;SUBSTITUTE(TEXT(Overig!W120,""",""?00;"",""?-00;"",""?00;"", //"""),"'","""")</f>
        <v>032, 19400130, 17.00, 7600, 00,  269, 00, ////, 07, ////, 07,  69, 00,  184, 00,  226, 00,   65, 00,    4, 00,   2, 00</v>
      </c>
    </row>
    <row r="121" spans="1:1" x14ac:dyDescent="0.25">
      <c r="A121" s="12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//"""),"'","""")&amp;SUBSTITUTE(TEXT(Overig!L121,""",""???0;"",""??-0;"",""???0;"", 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//"""),"'","""")&amp;SUBSTITUTE(TEXT(Overig!R121,""",""????0;"",""???-0;"",""????0;"", ////"""),"'","""")&amp;SUBSTITUTE(TEXT(Overig!S121,""",""?00;"",""?-00;"",""?00;"", //"""),"'","""")&amp;SUBSTITUTE(TEXT(IF(ISTEXT(Overig!T121),Overig!T121,10*Overig!T121),""",""????0;"",""???-0;"",""????0;"", ////"""),"'","""")&amp;SUBSTITUTE(TEXT(Overig!U121,""",""?00;"",""?-00;"",""?00;"", //"""),"'","""")&amp;SUBSTITUTE(TEXT(Overig!V121,""",""???0;"",""??-0;"",""???0;"", ///"""),"'","""")&amp;SUBSTITUTE(TEXT(Overig!W121,""",""?00;"",""?-00;"",""?00;"", //"""),"'","""")</f>
        <v>032, 19400130, 24.00, ////, 07, ////, 07,  278, 00,  306, 00, ///, 07, ////, 07, ////, 07, ////, 07, ////, 07, ///, 07</v>
      </c>
    </row>
    <row r="122" spans="1:1" x14ac:dyDescent="0.25">
      <c r="A122" s="12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//"""),"'","""")&amp;SUBSTITUTE(TEXT(Overig!L122,""",""???0;"",""??-0;"",""???0;"", 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//"""),"'","""")&amp;SUBSTITUTE(TEXT(Overig!R122,""",""????0;"",""???-0;"",""????0;"", ////"""),"'","""")&amp;SUBSTITUTE(TEXT(Overig!S122,""",""?00;"",""?-00;"",""?00;"", //"""),"'","""")&amp;SUBSTITUTE(TEXT(IF(ISTEXT(Overig!T122),Overig!T122,10*Overig!T122),""",""????0;"",""???-0;"",""????0;"", ////"""),"'","""")&amp;SUBSTITUTE(TEXT(Overig!U122,""",""?00;"",""?-00;"",""?00;"", //"""),"'","""")&amp;SUBSTITUTE(TEXT(Overig!V122,""",""???0;"",""??-0;"",""???0;"", ///"""),"'","""")&amp;SUBSTITUTE(TEXT(Overig!W122,""",""?00;"",""?-00;"",""?00;"", //"""),"'","""")</f>
        <v>032, 19400131, 07.00, 7602, 00,  274, 00, ////, 07, ////, 07,  75, 00,  207, 00,  240, 00,   65, 00,    3, 00,   1, 00</v>
      </c>
    </row>
    <row r="123" spans="1:1" x14ac:dyDescent="0.25">
      <c r="A123" s="12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//"""),"'","""")&amp;SUBSTITUTE(TEXT(Overig!L123,""",""???0;"",""??-0;"",""???0;"", 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//"""),"'","""")&amp;SUBSTITUTE(TEXT(Overig!R123,""",""????0;"",""???-0;"",""????0;"", ////"""),"'","""")&amp;SUBSTITUTE(TEXT(Overig!S123,""",""?00;"",""?-00;"",""?00;"", //"""),"'","""")&amp;SUBSTITUTE(TEXT(IF(ISTEXT(Overig!T123),Overig!T123,10*Overig!T123),""",""????0;"",""???-0;"",""????0;"", ////"""),"'","""")&amp;SUBSTITUTE(TEXT(Overig!U123,""",""?00;"",""?-00;"",""?00;"", //"""),"'","""")&amp;SUBSTITUTE(TEXT(Overig!V123,""",""???0;"",""??-0;"",""???0;"", ///"""),"'","""")&amp;SUBSTITUTE(TEXT(Overig!W123,""",""?00;"",""?-00;"",""?00;"", //"""),"'","""")</f>
        <v>032, 19400131, 12.00, 7597, 00,  289, 00, ////, 07, ////, 07,  70, 00,  211, 00,  246, 00,   65, 00,    3, 00,   2, 00</v>
      </c>
    </row>
    <row r="124" spans="1:1" x14ac:dyDescent="0.25">
      <c r="A124" s="12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//"""),"'","""")&amp;SUBSTITUTE(TEXT(Overig!L124,""",""???0;"",""??-0;"",""???0;"", 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//"""),"'","""")&amp;SUBSTITUTE(TEXT(Overig!R124,""",""????0;"",""???-0;"",""????0;"", ////"""),"'","""")&amp;SUBSTITUTE(TEXT(Overig!S124,""",""?00;"",""?-00;"",""?00;"", //"""),"'","""")&amp;SUBSTITUTE(TEXT(IF(ISTEXT(Overig!T124),Overig!T124,10*Overig!T124),""",""????0;"",""???-0;"",""????0;"", ////"""),"'","""")&amp;SUBSTITUTE(TEXT(Overig!U124,""",""?00;"",""?-00;"",""?00;"", //"""),"'","""")&amp;SUBSTITUTE(TEXT(Overig!V124,""",""???0;"",""??-0;"",""???0;"", ///"""),"'","""")&amp;SUBSTITUTE(TEXT(Overig!W124,""",""?00;"",""?-00;"",""?00;"", //"""),"'","""")</f>
        <v>032, 19400131, 17.00, 7595, 00,  281, 00, ////, 07, ////, 07,  71, 00,  203, 00,  240, 00,   65, 00,    4, 00,   2, 00</v>
      </c>
    </row>
    <row r="125" spans="1:1" x14ac:dyDescent="0.25">
      <c r="A125" s="12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//"""),"'","""")&amp;SUBSTITUTE(TEXT(Overig!L125,""",""???0;"",""??-0;"",""???0;"", 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//"""),"'","""")&amp;SUBSTITUTE(TEXT(Overig!R125,""",""????0;"",""???-0;"",""????0;"", ////"""),"'","""")&amp;SUBSTITUTE(TEXT(Overig!S125,""",""?00;"",""?-00;"",""?00;"", //"""),"'","""")&amp;SUBSTITUTE(TEXT(IF(ISTEXT(Overig!T125),Overig!T125,10*Overig!T125),""",""????0;"",""???-0;"",""????0;"", ////"""),"'","""")&amp;SUBSTITUTE(TEXT(Overig!U125,""",""?00;"",""?-00;"",""?00;"", //"""),"'","""")&amp;SUBSTITUTE(TEXT(Overig!V125,""",""???0;"",""??-0;"",""???0;"", ///"""),"'","""")&amp;SUBSTITUTE(TEXT(Overig!W125,""",""?00;"",""?-00;"",""?00;"", //"""),"'","""")</f>
        <v>032, 19400131, 24.00, ////, 07, ////, 07,  283, 00,  306, 00, ///, 07, ////, 07, ////, 07, ////, 07, ////, 07, ///, 07</v>
      </c>
    </row>
    <row r="126" spans="1:1" x14ac:dyDescent="0.25">
      <c r="A126" s="12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//"""),"'","""")&amp;SUBSTITUTE(TEXT(Overig!L126,""",""???0;"",""??-0;"",""???0;"", 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//"""),"'","""")&amp;SUBSTITUTE(TEXT(Overig!R126,""",""????0;"",""???-0;"",""????0;"", ////"""),"'","""")&amp;SUBSTITUTE(TEXT(Overig!S126,""",""?00;"",""?-00;"",""?00;"", //"""),"'","""")&amp;SUBSTITUTE(TEXT(IF(ISTEXT(Overig!T126),Overig!T126,10*Overig!T126),""",""????0;"",""???-0;"",""????0;"", ////"""),"'","""")&amp;SUBSTITUTE(TEXT(Overig!U126,""",""?00;"",""?-00;"",""?00;"", //"""),"'","""")&amp;SUBSTITUTE(TEXT(Overig!V126,""",""???0;"",""??-0;"",""???0;"", ///"""),"'","""")&amp;SUBSTITUTE(TEXT(Overig!W126,""",""?00;"",""?-00;"",""?00;"", //"""),"'","""")</f>
        <v>032, 19400201, 07.00, 7592, 00,  267, 00, ////, 07, ////, 07,  79, 00,  208, 00,  239, 00,   45, 00,    2, 00,   2, 00</v>
      </c>
    </row>
    <row r="127" spans="1:1" x14ac:dyDescent="0.25">
      <c r="A127" s="12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//"""),"'","""")&amp;SUBSTITUTE(TEXT(Overig!L127,""",""???0;"",""??-0;"",""???0;"", 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//"""),"'","""")&amp;SUBSTITUTE(TEXT(Overig!R127,""",""????0;"",""???-0;"",""????0;"", ////"""),"'","""")&amp;SUBSTITUTE(TEXT(Overig!S127,""",""?00;"",""?-00;"",""?00;"", //"""),"'","""")&amp;SUBSTITUTE(TEXT(IF(ISTEXT(Overig!T127),Overig!T127,10*Overig!T127),""",""????0;"",""???-0;"",""????0;"", ////"""),"'","""")&amp;SUBSTITUTE(TEXT(Overig!U127,""",""?00;"",""?-00;"",""?00;"", //"""),"'","""")&amp;SUBSTITUTE(TEXT(Overig!V127,""",""???0;"",""??-0;"",""???0;"", ///"""),"'","""")&amp;SUBSTITUTE(TEXT(Overig!W127,""",""?00;"",""?-00;"",""?00;"", //"""),"'","""")</f>
        <v>032, 19400201, 12.00, 7595, 00,  269, 00, ////, 07, ////, 07,  79, 00,  209, 00,  240, 00,   45, 00,    3, 00,   3, 00</v>
      </c>
    </row>
    <row r="128" spans="1:1" x14ac:dyDescent="0.25">
      <c r="A128" s="12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//"""),"'","""")&amp;SUBSTITUTE(TEXT(Overig!L128,""",""???0;"",""??-0;"",""???0;"", 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//"""),"'","""")&amp;SUBSTITUTE(TEXT(Overig!R128,""",""????0;"",""???-0;"",""????0;"", ////"""),"'","""")&amp;SUBSTITUTE(TEXT(Overig!S128,""",""?00;"",""?-00;"",""?00;"", //"""),"'","""")&amp;SUBSTITUTE(TEXT(IF(ISTEXT(Overig!T128),Overig!T128,10*Overig!T128),""",""????0;"",""???-0;"",""????0;"", ////"""),"'","""")&amp;SUBSTITUTE(TEXT(Overig!U128,""",""?00;"",""?-00;"",""?00;"", //"""),"'","""")&amp;SUBSTITUTE(TEXT(Overig!V128,""",""???0;"",""??-0;"",""???0;"", ///"""),"'","""")&amp;SUBSTITUTE(TEXT(Overig!W128,""",""?00;"",""?-00;"",""?00;"", //"""),"'","""")</f>
        <v>032, 19400201, 17.00, 7595, 00,  274, 00, ////, 07, ////, 07,  74, 00,  203, 00,  238, 00,   45, 00,    4, 00,   3, 00</v>
      </c>
    </row>
    <row r="129" spans="1:1" x14ac:dyDescent="0.25">
      <c r="A129" s="12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//"""),"'","""")&amp;SUBSTITUTE(TEXT(Overig!L129,""",""???0;"",""??-0;"",""???0;"", 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//"""),"'","""")&amp;SUBSTITUTE(TEXT(Overig!R129,""",""????0;"",""???-0;"",""????0;"", ////"""),"'","""")&amp;SUBSTITUTE(TEXT(Overig!S129,""",""?00;"",""?-00;"",""?00;"", //"""),"'","""")&amp;SUBSTITUTE(TEXT(IF(ISTEXT(Overig!T129),Overig!T129,10*Overig!T129),""",""????0;"",""???-0;"",""????0;"", ////"""),"'","""")&amp;SUBSTITUTE(TEXT(Overig!U129,""",""?00;"",""?-00;"",""?00;"", //"""),"'","""")&amp;SUBSTITUTE(TEXT(Overig!V129,""",""???0;"",""??-0;"",""???0;"", ///"""),"'","""")&amp;SUBSTITUTE(TEXT(Overig!W129,""",""?00;"",""?-00;"",""?00;"", //"""),"'","""")</f>
        <v>032, 19400201, 24.00, ////, 07, ////, 07,  285, 00,  300, 00, ///, 07, ////, 07, ////, 07, ////, 07, ////, 07, ///, 07</v>
      </c>
    </row>
    <row r="130" spans="1:1" x14ac:dyDescent="0.25">
      <c r="A130" s="12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//"""),"'","""")&amp;SUBSTITUTE(TEXT(Overig!L130,""",""???0;"",""??-0;"",""???0;"", 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//"""),"'","""")&amp;SUBSTITUTE(TEXT(Overig!R130,""",""????0;"",""???-0;"",""????0;"", ////"""),"'","""")&amp;SUBSTITUTE(TEXT(Overig!S130,""",""?00;"",""?-00;"",""?00;"", //"""),"'","""")&amp;SUBSTITUTE(TEXT(IF(ISTEXT(Overig!T130),Overig!T130,10*Overig!T130),""",""????0;"",""???-0;"",""????0;"", ////"""),"'","""")&amp;SUBSTITUTE(TEXT(Overig!U130,""",""?00;"",""?-00;"",""?00;"", //"""),"'","""")&amp;SUBSTITUTE(TEXT(Overig!V130,""",""???0;"",""??-0;"",""???0;"", ///"""),"'","""")&amp;SUBSTITUTE(TEXT(Overig!W130,""",""?00;"",""?-00;"",""?00;"", //"""),"'","""")</f>
        <v>032, 19400202, 07.00, 7595, 00,  259, 00, ////, 07, ////, 07,  85, 00,  214, 00,  240, 00,   45, 00,    3, 00,   3, 00</v>
      </c>
    </row>
    <row r="131" spans="1:1" x14ac:dyDescent="0.25">
      <c r="A131" s="12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//"""),"'","""")&amp;SUBSTITUTE(TEXT(Overig!L131,""",""???0;"",""??-0;"",""???0;"", 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//"""),"'","""")&amp;SUBSTITUTE(TEXT(Overig!R131,""",""????0;"",""???-0;"",""????0;"", ////"""),"'","""")&amp;SUBSTITUTE(TEXT(Overig!S131,""",""?00;"",""?-00;"",""?00;"", //"""),"'","""")&amp;SUBSTITUTE(TEXT(IF(ISTEXT(Overig!T131),Overig!T131,10*Overig!T131),""",""????0;"",""???-0;"",""????0;"", ////"""),"'","""")&amp;SUBSTITUTE(TEXT(Overig!U131,""",""?00;"",""?-00;"",""?00;"", //"""),"'","""")&amp;SUBSTITUTE(TEXT(Overig!V131,""",""???0;"",""??-0;"",""???0;"", ///"""),"'","""")&amp;SUBSTITUTE(TEXT(Overig!W131,""",""?00;"",""?-00;"",""?00;"", //"""),"'","""")</f>
        <v>032, 19400202, 12.00, 7597, 00,  280, 00, ////, 07, ////, 07,  73, 00,  207, 00,  242, 00,   45, 00,    4, 00,   2, 00</v>
      </c>
    </row>
    <row r="132" spans="1:1" x14ac:dyDescent="0.25">
      <c r="A132" s="12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//"""),"'","""")&amp;SUBSTITUTE(TEXT(Overig!L132,""",""???0;"",""??-0;"",""???0;"", 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//"""),"'","""")&amp;SUBSTITUTE(TEXT(Overig!R132,""",""????0;"",""???-0;"",""????0;"", ////"""),"'","""")&amp;SUBSTITUTE(TEXT(Overig!S132,""",""?00;"",""?-00;"",""?00;"", //"""),"'","""")&amp;SUBSTITUTE(TEXT(IF(ISTEXT(Overig!T132),Overig!T132,10*Overig!T132),""",""????0;"",""???-0;"",""????0;"", ////"""),"'","""")&amp;SUBSTITUTE(TEXT(Overig!U132,""",""?00;"",""?-00;"",""?00;"", //"""),"'","""")&amp;SUBSTITUTE(TEXT(Overig!V132,""",""???0;"",""??-0;"",""???0;"", ///"""),"'","""")&amp;SUBSTITUTE(TEXT(Overig!W132,""",""?00;"",""?-00;"",""?00;"", //"""),"'","""")</f>
        <v>032, 19400202, 17.00, 7600, 00,  277, 00, ////, 07, ////, 07,  74, 00,  205, 00,  240, 00,   45, 00,    4, 00,   2, 00</v>
      </c>
    </row>
    <row r="133" spans="1:1" x14ac:dyDescent="0.25">
      <c r="A133" s="12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//"""),"'","""")&amp;SUBSTITUTE(TEXT(Overig!L133,""",""???0;"",""??-0;"",""???0;"", 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//"""),"'","""")&amp;SUBSTITUTE(TEXT(Overig!R133,""",""????0;"",""???-0;"",""????0;"", ////"""),"'","""")&amp;SUBSTITUTE(TEXT(Overig!S133,""",""?00;"",""?-00;"",""?00;"", //"""),"'","""")&amp;SUBSTITUTE(TEXT(IF(ISTEXT(Overig!T133),Overig!T133,10*Overig!T133),""",""????0;"",""???-0;"",""????0;"", ////"""),"'","""")&amp;SUBSTITUTE(TEXT(Overig!U133,""",""?00;"",""?-00;"",""?00;"", //"""),"'","""")&amp;SUBSTITUTE(TEXT(Overig!V133,""",""???0;"",""??-0;"",""???0;"", ///"""),"'","""")&amp;SUBSTITUTE(TEXT(Overig!W133,""",""?00;"",""?-00;"",""?00;"", //"""),"'","""")</f>
        <v>032, 19400202, 24.00, ////, 07, ////, 07,  270, 00,  288, 00, ///, 07, ////, 07, ////, 07, ////, 07, ////, 07, ///, 07</v>
      </c>
    </row>
    <row r="134" spans="1:1" x14ac:dyDescent="0.25">
      <c r="A134" s="12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//"""),"'","""")&amp;SUBSTITUTE(TEXT(Overig!L134,""",""???0;"",""??-0;"",""???0;"", 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//"""),"'","""")&amp;SUBSTITUTE(TEXT(Overig!R134,""",""????0;"",""???-0;"",""????0;"", ////"""),"'","""")&amp;SUBSTITUTE(TEXT(Overig!S134,""",""?00;"",""?-00;"",""?00;"", //"""),"'","""")&amp;SUBSTITUTE(TEXT(IF(ISTEXT(Overig!T134),Overig!T134,10*Overig!T134),""",""????0;"",""???-0;"",""????0;"", ////"""),"'","""")&amp;SUBSTITUTE(TEXT(Overig!U134,""",""?00;"",""?-00;"",""?00;"", //"""),"'","""")&amp;SUBSTITUTE(TEXT(Overig!V134,""",""???0;"",""??-0;"",""???0;"", ///"""),"'","""")&amp;SUBSTITUTE(TEXT(Overig!W134,""",""?00;"",""?-00;"",""?00;"", //"""),"'","""")</f>
        <v>032, 19400203, 07.00, 7589, 00,  259, 00, ////, 07, ////, 07,  85, 00,  214, 00,  240, 00,   45, 00,    3, 00,   3, 00</v>
      </c>
    </row>
    <row r="135" spans="1:1" x14ac:dyDescent="0.25">
      <c r="A135" s="12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//"""),"'","""")&amp;SUBSTITUTE(TEXT(Overig!L135,""",""???0;"",""??-0;"",""???0;"", 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//"""),"'","""")&amp;SUBSTITUTE(TEXT(Overig!R135,""",""????0;"",""???-0;"",""????0;"", ////"""),"'","""")&amp;SUBSTITUTE(TEXT(Overig!S135,""",""?00;"",""?-00;"",""?00;"", //"""),"'","""")&amp;SUBSTITUTE(TEXT(IF(ISTEXT(Overig!T135),Overig!T135,10*Overig!T135),""",""????0;"",""???-0;"",""????0;"", ////"""),"'","""")&amp;SUBSTITUTE(TEXT(Overig!U135,""",""?00;"",""?-00;"",""?00;"", //"""),"'","""")&amp;SUBSTITUTE(TEXT(Overig!V135,""",""???0;"",""??-0;"",""???0;"", ///"""),"'","""")&amp;SUBSTITUTE(TEXT(Overig!W135,""",""?00;"",""?-00;"",""?00;"", //"""),"'","""")</f>
        <v>032, 19400203, 12.00, 7597, 00,  274, 00, ////, 07, ////, 07,  77, 00,  210, 00,  242, 00,   45, 00,    4, 00,   3, 00</v>
      </c>
    </row>
    <row r="136" spans="1:1" x14ac:dyDescent="0.25">
      <c r="A136" s="12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//"""),"'","""")&amp;SUBSTITUTE(TEXT(Overig!L136,""",""???0;"",""??-0;"",""???0;"", 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//"""),"'","""")&amp;SUBSTITUTE(TEXT(Overig!R136,""",""????0;"",""???-0;"",""????0;"", ////"""),"'","""")&amp;SUBSTITUTE(TEXT(Overig!S136,""",""?00;"",""?-00;"",""?00;"", //"""),"'","""")&amp;SUBSTITUTE(TEXT(IF(ISTEXT(Overig!T136),Overig!T136,10*Overig!T136),""",""????0;"",""???-0;"",""????0;"", ////"""),"'","""")&amp;SUBSTITUTE(TEXT(Overig!U136,""",""?00;"",""?-00;"",""?00;"", //"""),"'","""")&amp;SUBSTITUTE(TEXT(Overig!V136,""",""???0;"",""??-0;"",""???0;"", ///"""),"'","""")&amp;SUBSTITUTE(TEXT(Overig!W136,""",""?00;"",""?-00;"",""?00;"", //"""),"'","""")</f>
        <v>032, 19400203, 17.00, 7600, 00,  269, 00, ////, 07, ////, 07,  79, 00,  211, 00,  241, 00,   45, 00,    4, 00,   3, 00</v>
      </c>
    </row>
    <row r="137" spans="1:1" x14ac:dyDescent="0.25">
      <c r="A137" s="12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//"""),"'","""")&amp;SUBSTITUTE(TEXT(Overig!L137,""",""???0;"",""??-0;"",""???0;"", 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//"""),"'","""")&amp;SUBSTITUTE(TEXT(Overig!R137,""",""????0;"",""???-0;"",""????0;"", ////"""),"'","""")&amp;SUBSTITUTE(TEXT(Overig!S137,""",""?00;"",""?-00;"",""?00;"", //"""),"'","""")&amp;SUBSTITUTE(TEXT(IF(ISTEXT(Overig!T137),Overig!T137,10*Overig!T137),""",""????0;"",""???-0;"",""????0;"", ////"""),"'","""")&amp;SUBSTITUTE(TEXT(Overig!U137,""",""?00;"",""?-00;"",""?00;"", //"""),"'","""")&amp;SUBSTITUTE(TEXT(Overig!V137,""",""???0;"",""??-0;"",""???0;"", ///"""),"'","""")&amp;SUBSTITUTE(TEXT(Overig!W137,""",""?00;"",""?-00;"",""?00;"", //"""),"'","""")</f>
        <v>032, 19400203, 24.00, ////, 07, ////, 07,  278, 00,  290, 00, ///, 07, ////, 07, ////, 07, ////, 07, ////, 07, ///, 07</v>
      </c>
    </row>
    <row r="138" spans="1:1" x14ac:dyDescent="0.25">
      <c r="A138" s="12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//"""),"'","""")&amp;SUBSTITUTE(TEXT(Overig!L138,""",""???0;"",""??-0;"",""???0;"", 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//"""),"'","""")&amp;SUBSTITUTE(TEXT(Overig!R138,""",""????0;"",""???-0;"",""????0;"", ////"""),"'","""")&amp;SUBSTITUTE(TEXT(Overig!S138,""",""?00;"",""?-00;"",""?00;"", //"""),"'","""")&amp;SUBSTITUTE(TEXT(IF(ISTEXT(Overig!T138),Overig!T138,10*Overig!T138),""",""????0;"",""???-0;"",""????0;"", ////"""),"'","""")&amp;SUBSTITUTE(TEXT(Overig!U138,""",""?00;"",""?-00;"",""?00;"", //"""),"'","""")&amp;SUBSTITUTE(TEXT(Overig!V138,""",""???0;"",""??-0;"",""???0;"", ///"""),"'","""")&amp;SUBSTITUTE(TEXT(Overig!W138,""",""?00;"",""?-00;"",""?00;"", //"""),"'","""")</f>
        <v>032, 19400204, 07.00, 7587, 00,  273, 00, ////, 07, ////, 07,  69, 00,  189, 00,  230, 00,   45, 00,    3, 00,   2, 00</v>
      </c>
    </row>
    <row r="139" spans="1:1" x14ac:dyDescent="0.25">
      <c r="A139" s="12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//"""),"'","""")&amp;SUBSTITUTE(TEXT(Overig!L139,""",""???0;"",""??-0;"",""???0;"", 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//"""),"'","""")&amp;SUBSTITUTE(TEXT(Overig!R139,""",""????0;"",""???-0;"",""????0;"", ////"""),"'","""")&amp;SUBSTITUTE(TEXT(Overig!S139,""",""?00;"",""?-00;"",""?00;"", //"""),"'","""")&amp;SUBSTITUTE(TEXT(IF(ISTEXT(Overig!T139),Overig!T139,10*Overig!T139),""",""????0;"",""???-0;"",""????0;"", ////"""),"'","""")&amp;SUBSTITUTE(TEXT(Overig!U139,""",""?00;"",""?-00;"",""?00;"", //"""),"'","""")&amp;SUBSTITUTE(TEXT(Overig!V139,""",""???0;"",""??-0;"",""???0;"", ///"""),"'","""")&amp;SUBSTITUTE(TEXT(Overig!W139,""",""?00;"",""?-00;"",""?00;"", //"""),"'","""")</f>
        <v>032, 19400204, 12.00, 7595, 00,  279, 00, ////, 07, ////, 07,  70, 00,  197, 00,  236, 00,   45, 00,    4, 00,   3, 00</v>
      </c>
    </row>
    <row r="140" spans="1:1" x14ac:dyDescent="0.25">
      <c r="A140" s="12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//"""),"'","""")&amp;SUBSTITUTE(TEXT(Overig!L140,""",""???0;"",""??-0;"",""???0;"", 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//"""),"'","""")&amp;SUBSTITUTE(TEXT(Overig!R140,""",""????0;"",""???-0;"",""????0;"", ////"""),"'","""")&amp;SUBSTITUTE(TEXT(Overig!S140,""",""?00;"",""?-00;"",""?00;"", //"""),"'","""")&amp;SUBSTITUTE(TEXT(IF(ISTEXT(Overig!T140),Overig!T140,10*Overig!T140),""",""????0;"",""???-0;"",""????0;"", ////"""),"'","""")&amp;SUBSTITUTE(TEXT(Overig!U140,""",""?00;"",""?-00;"",""?00;"", //"""),"'","""")&amp;SUBSTITUTE(TEXT(Overig!V140,""",""???0;"",""??-0;"",""???0;"", ///"""),"'","""")&amp;SUBSTITUTE(TEXT(Overig!W140,""",""?00;"",""?-00;"",""?00;"", //"""),"'","""")</f>
        <v>032, 19400204, 17.00, 7590, 00,  273, 00, ////, 07, ////, 07,  71, 00,  193, 00,  232, 00,   45, 00,    5, 00,   4, 00</v>
      </c>
    </row>
    <row r="141" spans="1:1" x14ac:dyDescent="0.25">
      <c r="A141" s="12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//"""),"'","""")&amp;SUBSTITUTE(TEXT(Overig!L141,""",""???0;"",""??-0;"",""???0;"", 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//"""),"'","""")&amp;SUBSTITUTE(TEXT(Overig!R141,""",""????0;"",""???-0;"",""????0;"", ////"""),"'","""")&amp;SUBSTITUTE(TEXT(Overig!S141,""",""?00;"",""?-00;"",""?00;"", //"""),"'","""")&amp;SUBSTITUTE(TEXT(IF(ISTEXT(Overig!T141),Overig!T141,10*Overig!T141),""",""????0;"",""???-0;"",""????0;"", ////"""),"'","""")&amp;SUBSTITUTE(TEXT(Overig!U141,""",""?00;"",""?-00;"",""?00;"", //"""),"'","""")&amp;SUBSTITUTE(TEXT(Overig!V141,""",""???0;"",""??-0;"",""???0;"", ///"""),"'","""")&amp;SUBSTITUTE(TEXT(Overig!W141,""",""?00;"",""?-00;"",""?00;"", //"""),"'","""")</f>
        <v>032, 19400204, 24.00, ////, 07, ////, 07,  280, 00,  290, 00, ///, 07, ////, 07, ////, 07, ////, 07, ////, 07, ///, 07</v>
      </c>
    </row>
    <row r="142" spans="1:1" x14ac:dyDescent="0.25">
      <c r="A142" s="12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//"""),"'","""")&amp;SUBSTITUTE(TEXT(Overig!L142,""",""???0;"",""??-0;"",""???0;"", 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//"""),"'","""")&amp;SUBSTITUTE(TEXT(Overig!R142,""",""????0;"",""???-0;"",""????0;"", ////"""),"'","""")&amp;SUBSTITUTE(TEXT(Overig!S142,""",""?00;"",""?-00;"",""?00;"", //"""),"'","""")&amp;SUBSTITUTE(TEXT(IF(ISTEXT(Overig!T142),Overig!T142,10*Overig!T142),""",""????0;"",""???-0;"",""????0;"", ////"""),"'","""")&amp;SUBSTITUTE(TEXT(Overig!U142,""",""?00;"",""?-00;"",""?00;"", //"""),"'","""")&amp;SUBSTITUTE(TEXT(Overig!V142,""",""???0;"",""??-0;"",""???0;"", ///"""),"'","""")&amp;SUBSTITUTE(TEXT(Overig!W142,""",""?00;"",""?-00;"",""?00;"", //"""),"'","""")</f>
        <v>032, 19400205, 07.00, 7597, 00,  259, 00, ////, 07, ////, 07,  78, 00,  196, 00,  230, 00,   65, 00,    3, 00,   3, 00</v>
      </c>
    </row>
    <row r="143" spans="1:1" x14ac:dyDescent="0.25">
      <c r="A143" s="12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//"""),"'","""")&amp;SUBSTITUTE(TEXT(Overig!L143,""",""???0;"",""??-0;"",""???0;"", 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//"""),"'","""")&amp;SUBSTITUTE(TEXT(Overig!R143,""",""????0;"",""???-0;"",""????0;"", ////"""),"'","""")&amp;SUBSTITUTE(TEXT(Overig!S143,""",""?00;"",""?-00;"",""?00;"", //"""),"'","""")&amp;SUBSTITUTE(TEXT(IF(ISTEXT(Overig!T143),Overig!T143,10*Overig!T143),""",""????0;"",""???-0;"",""????0;"", ////"""),"'","""")&amp;SUBSTITUTE(TEXT(Overig!U143,""",""?00;"",""?-00;"",""?00;"", //"""),"'","""")&amp;SUBSTITUTE(TEXT(Overig!V143,""",""???0;"",""??-0;"",""???0;"", ///"""),"'","""")&amp;SUBSTITUTE(TEXT(Overig!W143,""",""?00;"",""?-00;"",""?00;"", //"""),"'","""")</f>
        <v>032, 19400205, 12.00, 7592, 00,  281, 00, ////, 07, ////, 07,  67, 00,  192, 00,  234, 00,   65, 00,    4, 00,   3, 00</v>
      </c>
    </row>
    <row r="144" spans="1:1" x14ac:dyDescent="0.25">
      <c r="A144" s="12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//"""),"'","""")&amp;SUBSTITUTE(TEXT(Overig!L144,""",""???0;"",""??-0;"",""???0;"", 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//"""),"'","""")&amp;SUBSTITUTE(TEXT(Overig!R144,""",""????0;"",""???-0;"",""????0;"", ////"""),"'","""")&amp;SUBSTITUTE(TEXT(Overig!S144,""",""?00;"",""?-00;"",""?00;"", //"""),"'","""")&amp;SUBSTITUTE(TEXT(IF(ISTEXT(Overig!T144),Overig!T144,10*Overig!T144),""",""????0;"",""???-0;"",""????0;"", ////"""),"'","""")&amp;SUBSTITUTE(TEXT(Overig!U144,""",""?00;"",""?-00;"",""?00;"", //"""),"'","""")&amp;SUBSTITUTE(TEXT(Overig!V144,""",""???0;"",""??-0;"",""???0;"", ///"""),"'","""")&amp;SUBSTITUTE(TEXT(Overig!W144,""",""?00;"",""?-00;"",""?00;"", //"""),"'","""")</f>
        <v>032, 19400205, 17.00, 7589, 00,  272, 00, ////, 07, ////, 07,  70, 00,  190, 00,  230, 00,   65, 00,    4, 00,   3, 00</v>
      </c>
    </row>
    <row r="145" spans="1:1" x14ac:dyDescent="0.25">
      <c r="A145" s="12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//"""),"'","""")&amp;SUBSTITUTE(TEXT(Overig!L145,""",""???0;"",""??-0;"",""???0;"", 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//"""),"'","""")&amp;SUBSTITUTE(TEXT(Overig!R145,""",""????0;"",""???-0;"",""????0;"", ////"""),"'","""")&amp;SUBSTITUTE(TEXT(Overig!S145,""",""?00;"",""?-00;"",""?00;"", //"""),"'","""")&amp;SUBSTITUTE(TEXT(IF(ISTEXT(Overig!T145),Overig!T145,10*Overig!T145),""",""????0;"",""???-0;"",""????0;"", ////"""),"'","""")&amp;SUBSTITUTE(TEXT(Overig!U145,""",""?00;"",""?-00;"",""?00;"", //"""),"'","""")&amp;SUBSTITUTE(TEXT(Overig!V145,""",""???0;"",""??-0;"",""???0;"", ///"""),"'","""")&amp;SUBSTITUTE(TEXT(Overig!W145,""",""?00;"",""?-00;"",""?00;"", //"""),"'","""")</f>
        <v>032, 19400205, 24.00, ////, 07, ////, 07,  278, 00,  294, 00, ///, 07, ////, 07, ////, 07, ////, 07, ////, 07, ///, 07</v>
      </c>
    </row>
    <row r="146" spans="1:1" x14ac:dyDescent="0.25">
      <c r="A146" s="12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//"""),"'","""")&amp;SUBSTITUTE(TEXT(Overig!L146,""",""???0;"",""??-0;"",""???0;"", 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//"""),"'","""")&amp;SUBSTITUTE(TEXT(Overig!R146,""",""????0;"",""???-0;"",""????0;"", ////"""),"'","""")&amp;SUBSTITUTE(TEXT(Overig!S146,""",""?00;"",""?-00;"",""?00;"", //"""),"'","""")&amp;SUBSTITUTE(TEXT(IF(ISTEXT(Overig!T146),Overig!T146,10*Overig!T146),""",""????0;"",""???-0;"",""????0;"", ////"""),"'","""")&amp;SUBSTITUTE(TEXT(Overig!U146,""",""?00;"",""?-00;"",""?00;"", //"""),"'","""")&amp;SUBSTITUTE(TEXT(Overig!V146,""",""???0;"",""??-0;"",""???0;"", ///"""),"'","""")&amp;SUBSTITUTE(TEXT(Overig!W146,""",""?00;"",""?-00;"",""?00;"", //"""),"'","""")</f>
        <v>032, 19400206, 07.00, 7589, 00,  257, 00, ////, 07, ////, 07,  80, 00,  197, 00,  230, 00,   65, 00,    4, 00,   2, 00</v>
      </c>
    </row>
    <row r="147" spans="1:1" x14ac:dyDescent="0.25">
      <c r="A147" s="12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//"""),"'","""")&amp;SUBSTITUTE(TEXT(Overig!L147,""",""???0;"",""??-0;"",""???0;"", 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//"""),"'","""")&amp;SUBSTITUTE(TEXT(Overig!R147,""",""????0;"",""???-0;"",""????0;"", ////"""),"'","""")&amp;SUBSTITUTE(TEXT(Overig!S147,""",""?00;"",""?-00;"",""?00;"", //"""),"'","""")&amp;SUBSTITUTE(TEXT(IF(ISTEXT(Overig!T147),Overig!T147,10*Overig!T147),""",""????0;"",""???-0;"",""????0;"", ////"""),"'","""")&amp;SUBSTITUTE(TEXT(Overig!U147,""",""?00;"",""?-00;"",""?00;"", //"""),"'","""")&amp;SUBSTITUTE(TEXT(Overig!V147,""",""???0;"",""??-0;"",""???0;"", ///"""),"'","""")&amp;SUBSTITUTE(TEXT(Overig!W147,""",""?00;"",""?-00;"",""?00;"", //"""),"'","""")</f>
        <v>032, 19400206, 12.00, 7597, 00,  280, 00, ////, 07, ////, 07,  67, 00,  189, 00,  232, 00,   65, 00,    5, 00,   3, 00</v>
      </c>
    </row>
    <row r="148" spans="1:1" x14ac:dyDescent="0.25">
      <c r="A148" s="12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//"""),"'","""")&amp;SUBSTITUTE(TEXT(Overig!L148,""",""???0;"",""??-0;"",""???0;"", 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//"""),"'","""")&amp;SUBSTITUTE(TEXT(Overig!R148,""",""????0;"",""???-0;"",""????0;"", ////"""),"'","""")&amp;SUBSTITUTE(TEXT(Overig!S148,""",""?00;"",""?-00;"",""?00;"", //"""),"'","""")&amp;SUBSTITUTE(TEXT(IF(ISTEXT(Overig!T148),Overig!T148,10*Overig!T148),""",""????0;"",""???-0;"",""????0;"", ////"""),"'","""")&amp;SUBSTITUTE(TEXT(Overig!U148,""",""?00;"",""?-00;"",""?00;"", //"""),"'","""")&amp;SUBSTITUTE(TEXT(Overig!V148,""",""???0;"",""??-0;"",""???0;"", ///"""),"'","""")&amp;SUBSTITUTE(TEXT(Overig!W148,""",""?00;"",""?-00;"",""?00;"", //"""),"'","""")</f>
        <v>032, 19400206, 17.00, 7595, 00,  271, 00, ////, 07, ////, 07,  71, 00,  190, 00,  230, 00,   65, 00,    5, 00,   3, 00</v>
      </c>
    </row>
    <row r="149" spans="1:1" x14ac:dyDescent="0.25">
      <c r="A149" s="12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//"""),"'","""")&amp;SUBSTITUTE(TEXT(Overig!L149,""",""???0;"",""??-0;"",""???0;"", 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//"""),"'","""")&amp;SUBSTITUTE(TEXT(Overig!R149,""",""????0;"",""???-0;"",""????0;"", ////"""),"'","""")&amp;SUBSTITUTE(TEXT(Overig!S149,""",""?00;"",""?-00;"",""?00;"", //"""),"'","""")&amp;SUBSTITUTE(TEXT(IF(ISTEXT(Overig!T149),Overig!T149,10*Overig!T149),""",""????0;"",""???-0;"",""????0;"", ////"""),"'","""")&amp;SUBSTITUTE(TEXT(Overig!U149,""",""?00;"",""?-00;"",""?00;"", //"""),"'","""")&amp;SUBSTITUTE(TEXT(Overig!V149,""",""???0;"",""??-0;"",""???0;"", ///"""),"'","""")&amp;SUBSTITUTE(TEXT(Overig!W149,""",""?00;"",""?-00;"",""?00;"", //"""),"'","""")</f>
        <v>032, 19400206, 24.00, ////, 07, ////, 07,  270, 00,  296, 00, ///, 07, ////, 07, ////, 07, ////, 07, ////, 07, ///, 07</v>
      </c>
    </row>
    <row r="150" spans="1:1" x14ac:dyDescent="0.25">
      <c r="A150" s="12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//"""),"'","""")&amp;SUBSTITUTE(TEXT(Overig!L150,""",""???0;"",""??-0;"",""???0;"", 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//"""),"'","""")&amp;SUBSTITUTE(TEXT(Overig!R150,""",""????0;"",""???-0;"",""????0;"", ////"""),"'","""")&amp;SUBSTITUTE(TEXT(Overig!S150,""",""?00;"",""?-00;"",""?00;"", //"""),"'","""")&amp;SUBSTITUTE(TEXT(IF(ISTEXT(Overig!T150),Overig!T150,10*Overig!T150),""",""????0;"",""???-0;"",""????0;"", ////"""),"'","""")&amp;SUBSTITUTE(TEXT(Overig!U150,""",""?00;"",""?-00;"",""?00;"", //"""),"'","""")&amp;SUBSTITUTE(TEXT(Overig!V150,""",""???0;"",""??-0;"",""???0;"", ///"""),"'","""")&amp;SUBSTITUTE(TEXT(Overig!W150,""",""?00;"",""?-00;"",""?00;"", //"""),"'","""")</f>
        <v>032, 19400207, 07.00, 7597, 00,  280, 00, ////, 07, ////, 07,  68, 00,  193, 00,  234, 00,   65, 00,    4, 00,   3, 00</v>
      </c>
    </row>
    <row r="151" spans="1:1" x14ac:dyDescent="0.25">
      <c r="A151" s="12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//"""),"'","""")&amp;SUBSTITUTE(TEXT(Overig!L151,""",""???0;"",""??-0;"",""???0;"", 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//"""),"'","""")&amp;SUBSTITUTE(TEXT(Overig!R151,""",""????0;"",""???-0;"",""????0;"", ////"""),"'","""")&amp;SUBSTITUTE(TEXT(Overig!S151,""",""?00;"",""?-00;"",""?00;"", //"""),"'","""")&amp;SUBSTITUTE(TEXT(IF(ISTEXT(Overig!T151),Overig!T151,10*Overig!T151),""",""????0;"",""???-0;"",""????0;"", ////"""),"'","""")&amp;SUBSTITUTE(TEXT(Overig!U151,""",""?00;"",""?-00;"",""?00;"", //"""),"'","""")&amp;SUBSTITUTE(TEXT(Overig!V151,""",""???0;"",""??-0;"",""???0;"", ///"""),"'","""")&amp;SUBSTITUTE(TEXT(Overig!W151,""",""?00;"",""?-00;"",""?00;"", //"""),"'","""")</f>
        <v>032, 19400207, 12.00, 7597, 00,  285, 00, ////, 07, ////, 07,  67, 00,  196, 00,  237, 00,   65, 00,    6, 00,   4, 00</v>
      </c>
    </row>
    <row r="152" spans="1:1" x14ac:dyDescent="0.25">
      <c r="A152" s="12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//"""),"'","""")&amp;SUBSTITUTE(TEXT(Overig!L152,""",""???0;"",""??-0;"",""???0;"", 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//"""),"'","""")&amp;SUBSTITUTE(TEXT(Overig!R152,""",""????0;"",""???-0;"",""????0;"", ////"""),"'","""")&amp;SUBSTITUTE(TEXT(Overig!S152,""",""?00;"",""?-00;"",""?00;"", //"""),"'","""")&amp;SUBSTITUTE(TEXT(IF(ISTEXT(Overig!T152),Overig!T152,10*Overig!T152),""",""????0;"",""???-0;"",""????0;"", ////"""),"'","""")&amp;SUBSTITUTE(TEXT(Overig!U152,""",""?00;"",""?-00;"",""?00;"", //"""),"'","""")&amp;SUBSTITUTE(TEXT(Overig!V152,""",""???0;"",""??-0;"",""???0;"", ///"""),"'","""")&amp;SUBSTITUTE(TEXT(Overig!W152,""",""?00;"",""?-00;"",""?00;"", //"""),"'","""")</f>
        <v>032, 19400207, 17.00, 7595, 00,  279, 00, ////, 07, ////, 07,  68, 00,  192, 00,  233, 00,   65, 00,    6, 00,   3, 00</v>
      </c>
    </row>
    <row r="153" spans="1:1" x14ac:dyDescent="0.25">
      <c r="A153" s="12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//"""),"'","""")&amp;SUBSTITUTE(TEXT(Overig!L153,""",""???0;"",""??-0;"",""???0;"", 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//"""),"'","""")&amp;SUBSTITUTE(TEXT(Overig!R153,""",""????0;"",""???-0;"",""????0;"", ////"""),"'","""")&amp;SUBSTITUTE(TEXT(Overig!S153,""",""?00;"",""?-00;"",""?00;"", //"""),"'","""")&amp;SUBSTITUTE(TEXT(IF(ISTEXT(Overig!T153),Overig!T153,10*Overig!T153),""",""????0;"",""???-0;"",""????0;"", ////"""),"'","""")&amp;SUBSTITUTE(TEXT(Overig!U153,""",""?00;"",""?-00;"",""?00;"", //"""),"'","""")&amp;SUBSTITUTE(TEXT(Overig!V153,""",""???0;"",""??-0;"",""???0;"", ///"""),"'","""")&amp;SUBSTITUTE(TEXT(Overig!W153,""",""?00;"",""?-00;"",""?00;"", //"""),"'","""")</f>
        <v>032, 19400207, 24.00, ////, 07, ////, 07,  288, 00,  298, 00, ///, 07, ////, 07, ////, 07, ////, 07, ////, 07, ///, 07</v>
      </c>
    </row>
    <row r="154" spans="1:1" x14ac:dyDescent="0.25">
      <c r="A154" s="12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//"""),"'","""")&amp;SUBSTITUTE(TEXT(Overig!L154,""",""???0;"",""??-0;"",""???0;"", 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//"""),"'","""")&amp;SUBSTITUTE(TEXT(Overig!R154,""",""????0;"",""???-0;"",""????0;"", ////"""),"'","""")&amp;SUBSTITUTE(TEXT(Overig!S154,""",""?00;"",""?-00;"",""?00;"", //"""),"'","""")&amp;SUBSTITUTE(TEXT(IF(ISTEXT(Overig!T154),Overig!T154,10*Overig!T154),""",""????0;"",""???-0;"",""????0;"", ////"""),"'","""")&amp;SUBSTITUTE(TEXT(Overig!U154,""",""?00;"",""?-00;"",""?00;"", //"""),"'","""")&amp;SUBSTITUTE(TEXT(Overig!V154,""",""???0;"",""??-0;"",""???0;"", ///"""),"'","""")&amp;SUBSTITUTE(TEXT(Overig!W154,""",""?00;"",""?-00;"",""?00;"", //"""),"'","""")</f>
        <v>032, 19400208, 07.00, 7610, 00,  267, 00, ////, 07, ////, 07,  72, 00,  189, 00,  228, 00,   65, 00,    4, 00,   2, 00</v>
      </c>
    </row>
    <row r="155" spans="1:1" x14ac:dyDescent="0.25">
      <c r="A155" s="12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//"""),"'","""")&amp;SUBSTITUTE(TEXT(Overig!L155,""",""???0;"",""??-0;"",""???0;"", 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//"""),"'","""")&amp;SUBSTITUTE(TEXT(Overig!R155,""",""????0;"",""???-0;"",""????0;"", ////"""),"'","""")&amp;SUBSTITUTE(TEXT(Overig!S155,""",""?00;"",""?-00;"",""?00;"", //"""),"'","""")&amp;SUBSTITUTE(TEXT(IF(ISTEXT(Overig!T155),Overig!T155,10*Overig!T155),""",""????0;"",""???-0;"",""????0;"", ////"""),"'","""")&amp;SUBSTITUTE(TEXT(Overig!U155,""",""?00;"",""?-00;"",""?00;"", //"""),"'","""")&amp;SUBSTITUTE(TEXT(Overig!V155,""",""???0;"",""??-0;"",""???0;"", ///"""),"'","""")&amp;SUBSTITUTE(TEXT(Overig!W155,""",""?00;"",""?-00;"",""?00;"", //"""),"'","""")</f>
        <v>032, 19400208, 12.00, 7595, 00,  269, 00, ////, 07, ////, 07,  73, 00,  195, 00,  232, 00,   65, 00,    5, 00,   3, 00</v>
      </c>
    </row>
    <row r="156" spans="1:1" x14ac:dyDescent="0.25">
      <c r="A156" s="12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//"""),"'","""")&amp;SUBSTITUTE(TEXT(Overig!L156,""",""???0;"",""??-0;"",""???0;"", 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//"""),"'","""")&amp;SUBSTITUTE(TEXT(Overig!R156,""",""????0;"",""???-0;"",""????0;"", ////"""),"'","""")&amp;SUBSTITUTE(TEXT(Overig!S156,""",""?00;"",""?-00;"",""?00;"", //"""),"'","""")&amp;SUBSTITUTE(TEXT(IF(ISTEXT(Overig!T156),Overig!T156,10*Overig!T156),""",""????0;"",""???-0;"",""????0;"", ////"""),"'","""")&amp;SUBSTITUTE(TEXT(Overig!U156,""",""?00;"",""?-00;"",""?00;"", //"""),"'","""")&amp;SUBSTITUTE(TEXT(Overig!V156,""",""???0;"",""??-0;"",""???0;"", ///"""),"'","""")&amp;SUBSTITUTE(TEXT(Overig!W156,""",""?00;"",""?-00;"",""?00;"", //"""),"'","""")</f>
        <v>032, 19400208, 17.00, 7595, 00,  269, 00, ////, 07, ////, 07,  71, 00,  190, 00,  229, 00,   65, 00,    6, 00,   2, 00</v>
      </c>
    </row>
    <row r="157" spans="1:1" x14ac:dyDescent="0.25">
      <c r="A157" s="12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//"""),"'","""")&amp;SUBSTITUTE(TEXT(Overig!L157,""",""???0;"",""??-0;"",""???0;"", 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//"""),"'","""")&amp;SUBSTITUTE(TEXT(Overig!R157,""",""????0;"",""???-0;"",""????0;"", ////"""),"'","""")&amp;SUBSTITUTE(TEXT(Overig!S157,""",""?00;"",""?-00;"",""?00;"", //"""),"'","""")&amp;SUBSTITUTE(TEXT(IF(ISTEXT(Overig!T157),Overig!T157,10*Overig!T157),""",""????0;"",""???-0;"",""????0;"", ////"""),"'","""")&amp;SUBSTITUTE(TEXT(Overig!U157,""",""?00;"",""?-00;"",""?00;"", //"""),"'","""")&amp;SUBSTITUTE(TEXT(Overig!V157,""",""???0;"",""??-0;"",""???0;"", ///"""),"'","""")&amp;SUBSTITUTE(TEXT(Overig!W157,""",""?00;"",""?-00;"",""?00;"", //"""),"'","""")</f>
        <v>032, 19400208, 24.00, ////, 07, ////, 07,  283, 00,  296, 00, ///, 07, ////, 07, ////, 07, ////, 07, ////, 07, ///, 07</v>
      </c>
    </row>
    <row r="158" spans="1:1" x14ac:dyDescent="0.25">
      <c r="A158" s="12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//"""),"'","""")&amp;SUBSTITUTE(TEXT(Overig!L158,""",""???0;"",""??-0;"",""???0;"", 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//"""),"'","""")&amp;SUBSTITUTE(TEXT(Overig!R158,""",""????0;"",""???-0;"",""????0;"", ////"""),"'","""")&amp;SUBSTITUTE(TEXT(Overig!S158,""",""?00;"",""?-00;"",""?00;"", //"""),"'","""")&amp;SUBSTITUTE(TEXT(IF(ISTEXT(Overig!T158),Overig!T158,10*Overig!T158),""",""????0;"",""???-0;"",""????0;"", ////"""),"'","""")&amp;SUBSTITUTE(TEXT(Overig!U158,""",""?00;"",""?-00;"",""?00;"", //"""),"'","""")&amp;SUBSTITUTE(TEXT(Overig!V158,""",""???0;"",""??-0;"",""???0;"", ///"""),"'","""")&amp;SUBSTITUTE(TEXT(Overig!W158,""",""?00;"",""?-00;"",""?00;"", //"""),"'","""")</f>
        <v>032, 19400209, 07.00, 7597, 00,  277, 00, ////, 07, ////, 07,  72, 00,  202, 00,  238, 00,   65, 00,    4, 00,   3, 00</v>
      </c>
    </row>
    <row r="159" spans="1:1" x14ac:dyDescent="0.25">
      <c r="A159" s="12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//"""),"'","""")&amp;SUBSTITUTE(TEXT(Overig!L159,""",""???0;"",""??-0;"",""???0;"", 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//"""),"'","""")&amp;SUBSTITUTE(TEXT(Overig!R159,""",""????0;"",""???-0;"",""????0;"", ////"""),"'","""")&amp;SUBSTITUTE(TEXT(Overig!S159,""",""?00;"",""?-00;"",""?00;"", //"""),"'","""")&amp;SUBSTITUTE(TEXT(IF(ISTEXT(Overig!T159),Overig!T159,10*Overig!T159),""",""????0;"",""???-0;"",""????0;"", ////"""),"'","""")&amp;SUBSTITUTE(TEXT(Overig!U159,""",""?00;"",""?-00;"",""?00;"", //"""),"'","""")&amp;SUBSTITUTE(TEXT(Overig!V159,""",""???0;"",""??-0;"",""???0;"", ///"""),"'","""")&amp;SUBSTITUTE(TEXT(Overig!W159,""",""?00;"",""?-00;"",""?00;"", //"""),"'","""")</f>
        <v>032, 19400209, 12.00, 7600, 00,  297, 00, ////, 07, ////, 07,  66, 00,  207, 00,  246, 00,   65, 00,    6, 00,   2, 00</v>
      </c>
    </row>
    <row r="160" spans="1:1" x14ac:dyDescent="0.25">
      <c r="A160" s="12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//"""),"'","""")&amp;SUBSTITUTE(TEXT(Overig!L160,""",""???0;"",""??-0;"",""???0;"", 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//"""),"'","""")&amp;SUBSTITUTE(TEXT(Overig!R160,""",""????0;"",""???-0;"",""????0;"", ////"""),"'","""")&amp;SUBSTITUTE(TEXT(Overig!S160,""",""?00;"",""?-00;"",""?00;"", //"""),"'","""")&amp;SUBSTITUTE(TEXT(IF(ISTEXT(Overig!T160),Overig!T160,10*Overig!T160),""",""????0;"",""???-0;"",""????0;"", ////"""),"'","""")&amp;SUBSTITUTE(TEXT(Overig!U160,""",""?00;"",""?-00;"",""?00;"", //"""),"'","""")&amp;SUBSTITUTE(TEXT(Overig!V160,""",""???0;"",""??-0;"",""???0;"", ///"""),"'","""")&amp;SUBSTITUTE(TEXT(Overig!W160,""",""?00;"",""?-00;"",""?00;"", //"""),"'","""")</f>
        <v>032, 19400209, 17.00, 7602, 00,  281, 00, ////, 07, ////, 07,  71, 00,  203, 00,  240, 00,   65, 00,    6, 00,   3, 00</v>
      </c>
    </row>
    <row r="161" spans="1:1" x14ac:dyDescent="0.25">
      <c r="A161" s="12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//"""),"'","""")&amp;SUBSTITUTE(TEXT(Overig!L161,""",""???0;"",""??-0;"",""???0;"", 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//"""),"'","""")&amp;SUBSTITUTE(TEXT(Overig!R161,""",""????0;"",""???-0;"",""????0;"", ////"""),"'","""")&amp;SUBSTITUTE(TEXT(Overig!S161,""",""?00;"",""?-00;"",""?00;"", //"""),"'","""")&amp;SUBSTITUTE(TEXT(IF(ISTEXT(Overig!T161),Overig!T161,10*Overig!T161),""",""????0;"",""???-0;"",""????0;"", ////"""),"'","""")&amp;SUBSTITUTE(TEXT(Overig!U161,""",""?00;"",""?-00;"",""?00;"", //"""),"'","""")&amp;SUBSTITUTE(TEXT(Overig!V161,""",""???0;"",""??-0;"",""???0;"", ///"""),"'","""")&amp;SUBSTITUTE(TEXT(Overig!W161,""",""?00;"",""?-00;"",""?00;"", //"""),"'","""")</f>
        <v>032, 19400209, 24.00, ////, 07, ////, 07,  290, 00,  311, 00, ///, 07, ////, 07, ////, 07, ////, 07, ////, 07, ///, 07</v>
      </c>
    </row>
    <row r="162" spans="1:1" x14ac:dyDescent="0.25">
      <c r="A162" s="12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//"""),"'","""")&amp;SUBSTITUTE(TEXT(Overig!L162,""",""???0;"",""??-0;"",""???0;"", 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//"""),"'","""")&amp;SUBSTITUTE(TEXT(Overig!R162,""",""????0;"",""???-0;"",""????0;"", ////"""),"'","""")&amp;SUBSTITUTE(TEXT(Overig!S162,""",""?00;"",""?-00;"",""?00;"", //"""),"'","""")&amp;SUBSTITUTE(TEXT(IF(ISTEXT(Overig!T162),Overig!T162,10*Overig!T162),""",""????0;"",""???-0;"",""????0;"", ////"""),"'","""")&amp;SUBSTITUTE(TEXT(Overig!U162,""",""?00;"",""?-00;"",""?00;"", //"""),"'","""")&amp;SUBSTITUTE(TEXT(Overig!V162,""",""???0;"",""??-0;"",""???0;"", ///"""),"'","""")&amp;SUBSTITUTE(TEXT(Overig!W162,""",""?00;"",""?-00;"",""?00;"", //"""),"'","""")</f>
        <v>032, 19400210, 07.00, 7595, 00,  275, 00, ////, 07, ////, 07,  75, 00,  206, 00,  240, 00,   90, 00,    4, 00,   3, 00</v>
      </c>
    </row>
    <row r="163" spans="1:1" x14ac:dyDescent="0.25">
      <c r="A163" s="12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//"""),"'","""")&amp;SUBSTITUTE(TEXT(Overig!L163,""",""???0;"",""??-0;"",""???0;"", 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//"""),"'","""")&amp;SUBSTITUTE(TEXT(Overig!R163,""",""????0;"",""???-0;"",""????0;"", ////"""),"'","""")&amp;SUBSTITUTE(TEXT(Overig!S163,""",""?00;"",""?-00;"",""?00;"", //"""),"'","""")&amp;SUBSTITUTE(TEXT(IF(ISTEXT(Overig!T163),Overig!T163,10*Overig!T163),""",""????0;"",""???-0;"",""????0;"", ////"""),"'","""")&amp;SUBSTITUTE(TEXT(Overig!U163,""",""?00;"",""?-00;"",""?00;"", //"""),"'","""")&amp;SUBSTITUTE(TEXT(Overig!V163,""",""???0;"",""??-0;"",""???0;"", ///"""),"'","""")&amp;SUBSTITUTE(TEXT(Overig!W163,""",""?00;"",""?-00;"",""?00;"", //"""),"'","""")</f>
        <v>032, 19400210, 12.00, 7597, 00,  291, 00, ////, 07, ////, 07,  69, 00,  210, 00,  246, 00,   90, 00,    5, 00,   3, 00</v>
      </c>
    </row>
    <row r="164" spans="1:1" x14ac:dyDescent="0.25">
      <c r="A164" s="12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//"""),"'","""")&amp;SUBSTITUTE(TEXT(Overig!L164,""",""???0;"",""??-0;"",""???0;"", 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//"""),"'","""")&amp;SUBSTITUTE(TEXT(Overig!R164,""",""????0;"",""???-0;"",""????0;"", ////"""),"'","""")&amp;SUBSTITUTE(TEXT(Overig!S164,""",""?00;"",""?-00;"",""?00;"", //"""),"'","""")&amp;SUBSTITUTE(TEXT(IF(ISTEXT(Overig!T164),Overig!T164,10*Overig!T164),""",""????0;"",""???-0;"",""????0;"", ////"""),"'","""")&amp;SUBSTITUTE(TEXT(Overig!U164,""",""?00;"",""?-00;"",""?00;"", //"""),"'","""")&amp;SUBSTITUTE(TEXT(Overig!V164,""",""???0;"",""??-0;"",""???0;"", ///"""),"'","""")&amp;SUBSTITUTE(TEXT(Overig!W164,""",""?00;"",""?-00;"",""?00;"", //"""),"'","""")</f>
        <v>032, 19400210, 17.00, 7597, 00,  279, 00, ////, 07, ////, 07,  74, 00,  208, 00,  242, 00,   65, 00,    6, 00,   3, 00</v>
      </c>
    </row>
    <row r="165" spans="1:1" x14ac:dyDescent="0.25">
      <c r="A165" s="12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//"""),"'","""")&amp;SUBSTITUTE(TEXT(Overig!L165,""",""???0;"",""??-0;"",""???0;"", 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//"""),"'","""")&amp;SUBSTITUTE(TEXT(Overig!R165,""",""????0;"",""???-0;"",""????0;"", ////"""),"'","""")&amp;SUBSTITUTE(TEXT(Overig!S165,""",""?00;"",""?-00;"",""?00;"", //"""),"'","""")&amp;SUBSTITUTE(TEXT(IF(ISTEXT(Overig!T165),Overig!T165,10*Overig!T165),""",""????0;"",""???-0;"",""????0;"", ////"""),"'","""")&amp;SUBSTITUTE(TEXT(Overig!U165,""",""?00;"",""?-00;"",""?00;"", //"""),"'","""")&amp;SUBSTITUTE(TEXT(Overig!V165,""",""???0;"",""??-0;"",""???0;"", ///"""),"'","""")&amp;SUBSTITUTE(TEXT(Overig!W165,""",""?00;"",""?-00;"",""?00;"", //"""),"'","""")</f>
        <v>032, 19400210, 24.00, ////, 07, ////, 07,  291, 00,  314, 00, ///, 07, ////, 07, ////, 07, ////, 07, ////, 07, ///, 07</v>
      </c>
    </row>
    <row r="166" spans="1:1" x14ac:dyDescent="0.25">
      <c r="A166" s="12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//"""),"'","""")&amp;SUBSTITUTE(TEXT(Overig!L166,""",""???0;"",""??-0;"",""???0;"", 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//"""),"'","""")&amp;SUBSTITUTE(TEXT(Overig!R166,""",""????0;"",""???-0;"",""????0;"", ////"""),"'","""")&amp;SUBSTITUTE(TEXT(Overig!S166,""",""?00;"",""?-00;"",""?00;"", //"""),"'","""")&amp;SUBSTITUTE(TEXT(IF(ISTEXT(Overig!T166),Overig!T166,10*Overig!T166),""",""????0;"",""???-0;"",""????0;"", ////"""),"'","""")&amp;SUBSTITUTE(TEXT(Overig!U166,""",""?00;"",""?-00;"",""?00;"", //"""),"'","""")&amp;SUBSTITUTE(TEXT(Overig!V166,""",""???0;"",""??-0;"",""???0;"", ///"""),"'","""")&amp;SUBSTITUTE(TEXT(Overig!W166,""",""?00;"",""?-00;"",""?00;"", //"""),"'","""")</f>
        <v>032, 19400211, 07.00, 7585, 00,  270, 00, ////, 07, ////, 07,  77, 00,  205, 00,  238, 00,   65, 00,    5, 00,   2, 00</v>
      </c>
    </row>
    <row r="167" spans="1:1" x14ac:dyDescent="0.25">
      <c r="A167" s="12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//"""),"'","""")&amp;SUBSTITUTE(TEXT(Overig!L167,""",""???0;"",""??-0;"",""???0;"", 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//"""),"'","""")&amp;SUBSTITUTE(TEXT(Overig!R167,""",""????0;"",""???-0;"",""????0;"", ////"""),"'","""")&amp;SUBSTITUTE(TEXT(Overig!S167,""",""?00;"",""?-00;"",""?00;"", //"""),"'","""")&amp;SUBSTITUTE(TEXT(IF(ISTEXT(Overig!T167),Overig!T167,10*Overig!T167),""",""????0;"",""???-0;"",""????0;"", ////"""),"'","""")&amp;SUBSTITUTE(TEXT(Overig!U167,""",""?00;"",""?-00;"",""?00;"", //"""),"'","""")&amp;SUBSTITUTE(TEXT(Overig!V167,""",""???0;"",""??-0;"",""???0;"", ///"""),"'","""")&amp;SUBSTITUTE(TEXT(Overig!W167,""",""?00;"",""?-00;"",""?00;"", //"""),"'","""")</f>
        <v>032, 19400211, 12.00, 7597, 00,  287, 00, ////, 07, ////, 07,  68, 00,  200, 00,  240, 00,   65, 00,    6, 00,   2, 00</v>
      </c>
    </row>
    <row r="168" spans="1:1" x14ac:dyDescent="0.25">
      <c r="A168" s="12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//"""),"'","""")&amp;SUBSTITUTE(TEXT(Overig!L168,""",""???0;"",""??-0;"",""???0;"", 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//"""),"'","""")&amp;SUBSTITUTE(TEXT(Overig!R168,""",""????0;"",""???-0;"",""????0;"", ////"""),"'","""")&amp;SUBSTITUTE(TEXT(Overig!S168,""",""?00;"",""?-00;"",""?00;"", //"""),"'","""")&amp;SUBSTITUTE(TEXT(IF(ISTEXT(Overig!T168),Overig!T168,10*Overig!T168),""",""????0;"",""???-0;"",""????0;"", ////"""),"'","""")&amp;SUBSTITUTE(TEXT(Overig!U168,""",""?00;"",""?-00;"",""?00;"", //"""),"'","""")&amp;SUBSTITUTE(TEXT(Overig!V168,""",""???0;"",""??-0;"",""???0;"", ///"""),"'","""")&amp;SUBSTITUTE(TEXT(Overig!W168,""",""?00;"",""?-00;"",""?00;"", //"""),"'","""")</f>
        <v>032, 19400211, 17.00, 7592, 00,  271, 00, ////, 07, ////, 07,  76, 00,  205, 00,  238, 00,   90, 00,    5, 00,   2, 00</v>
      </c>
    </row>
    <row r="169" spans="1:1" x14ac:dyDescent="0.25">
      <c r="A169" s="12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//"""),"'","""")&amp;SUBSTITUTE(TEXT(Overig!L169,""",""???0;"",""??-0;"",""???0;"", 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//"""),"'","""")&amp;SUBSTITUTE(TEXT(Overig!R169,""",""????0;"",""???-0;"",""????0;"", ////"""),"'","""")&amp;SUBSTITUTE(TEXT(Overig!S169,""",""?00;"",""?-00;"",""?00;"", //"""),"'","""")&amp;SUBSTITUTE(TEXT(IF(ISTEXT(Overig!T169),Overig!T169,10*Overig!T169),""",""????0;"",""???-0;"",""????0;"", ////"""),"'","""")&amp;SUBSTITUTE(TEXT(Overig!U169,""",""?00;"",""?-00;"",""?00;"", //"""),"'","""")&amp;SUBSTITUTE(TEXT(Overig!V169,""",""???0;"",""??-0;"",""???0;"", ///"""),"'","""")&amp;SUBSTITUTE(TEXT(Overig!W169,""",""?00;"",""?-00;"",""?00;"", //"""),"'","""")</f>
        <v>032, 19400211, 24.00, ////, 07, ////, 07,  294, 00,  308, 00, ///, 07, ////, 07, ////, 07, ////, 07, ////, 07, ///, 07</v>
      </c>
    </row>
    <row r="170" spans="1:1" x14ac:dyDescent="0.25">
      <c r="A170" s="12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//"""),"'","""")&amp;SUBSTITUTE(TEXT(Overig!L170,""",""???0;"",""??-0;"",""???0;"", 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//"""),"'","""")&amp;SUBSTITUTE(TEXT(Overig!R170,""",""????0;"",""???-0;"",""????0;"", ////"""),"'","""")&amp;SUBSTITUTE(TEXT(Overig!S170,""",""?00;"",""?-00;"",""?00;"", //"""),"'","""")&amp;SUBSTITUTE(TEXT(IF(ISTEXT(Overig!T170),Overig!T170,10*Overig!T170),""",""????0;"",""???-0;"",""????0;"", ////"""),"'","""")&amp;SUBSTITUTE(TEXT(Overig!U170,""",""?00;"",""?-00;"",""?00;"", //"""),"'","""")&amp;SUBSTITUTE(TEXT(Overig!V170,""",""???0;"",""??-0;"",""???0;"", ///"""),"'","""")&amp;SUBSTITUTE(TEXT(Overig!W170,""",""?00;"",""?-00;"",""?00;"", //"""),"'","""")</f>
        <v>032, 19400212, 07.00, 7595, 00,  263, 00, ////, 07, ////, 07,  78, 00,  201, 00,  234, 00,   65, 00,    5, 00,   2, 00</v>
      </c>
    </row>
    <row r="171" spans="1:1" x14ac:dyDescent="0.25">
      <c r="A171" s="12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//"""),"'","""")&amp;SUBSTITUTE(TEXT(Overig!L171,""",""???0;"",""??-0;"",""???0;"", 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//"""),"'","""")&amp;SUBSTITUTE(TEXT(Overig!R171,""",""????0;"",""???-0;"",""????0;"", ////"""),"'","""")&amp;SUBSTITUTE(TEXT(Overig!S171,""",""?00;"",""?-00;"",""?00;"", //"""),"'","""")&amp;SUBSTITUTE(TEXT(IF(ISTEXT(Overig!T171),Overig!T171,10*Overig!T171),""",""????0;"",""???-0;"",""????0;"", ////"""),"'","""")&amp;SUBSTITUTE(TEXT(Overig!U171,""",""?00;"",""?-00;"",""?00;"", //"""),"'","""")&amp;SUBSTITUTE(TEXT(Overig!V171,""",""???0;"",""??-0;"",""???0;"", ///"""),"'","""")&amp;SUBSTITUTE(TEXT(Overig!W171,""",""?00;"",""?-00;"",""?00;"", //"""),"'","""")</f>
        <v>032, 19400212, 12.00, 7597, 00,  284, 00, ////, 07, ////, 07,  68, 00,  198, 00,  238, 00,   65, 00,    6, 00,   3, 00</v>
      </c>
    </row>
    <row r="172" spans="1:1" x14ac:dyDescent="0.25">
      <c r="A172" s="12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//"""),"'","""")&amp;SUBSTITUTE(TEXT(Overig!L172,""",""???0;"",""??-0;"",""???0;"", 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//"""),"'","""")&amp;SUBSTITUTE(TEXT(Overig!R172,""",""????0;"",""???-0;"",""????0;"", ////"""),"'","""")&amp;SUBSTITUTE(TEXT(Overig!S172,""",""?00;"",""?-00;"",""?00;"", //"""),"'","""")&amp;SUBSTITUTE(TEXT(IF(ISTEXT(Overig!T172),Overig!T172,10*Overig!T172),""",""????0;"",""???-0;"",""????0;"", ////"""),"'","""")&amp;SUBSTITUTE(TEXT(Overig!U172,""",""?00;"",""?-00;"",""?00;"", //"""),"'","""")&amp;SUBSTITUTE(TEXT(Overig!V172,""",""???0;"",""??-0;"",""???0;"", ///"""),"'","""")&amp;SUBSTITUTE(TEXT(Overig!W172,""",""?00;"",""?-00;"",""?00;"", //"""),"'","""")</f>
        <v>032, 19400212, 17.00, 7592, 00,  279, 00, ////, 07, ////, 07,  70, 00,  197, 00,  236, 00,   65, 00,    6, 00,   3, 00</v>
      </c>
    </row>
    <row r="173" spans="1:1" x14ac:dyDescent="0.25">
      <c r="A173" s="12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//"""),"'","""")&amp;SUBSTITUTE(TEXT(Overig!L173,""",""???0;"",""??-0;"",""???0;"", 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//"""),"'","""")&amp;SUBSTITUTE(TEXT(Overig!R173,""",""????0;"",""???-0;"",""????0;"", ////"""),"'","""")&amp;SUBSTITUTE(TEXT(Overig!S173,""",""?00;"",""?-00;"",""?00;"", //"""),"'","""")&amp;SUBSTITUTE(TEXT(IF(ISTEXT(Overig!T173),Overig!T173,10*Overig!T173),""",""????0;"",""???-0;"",""????0;"", ////"""),"'","""")&amp;SUBSTITUTE(TEXT(Overig!U173,""",""?00;"",""?-00;"",""?00;"", //"""),"'","""")&amp;SUBSTITUTE(TEXT(Overig!V173,""",""???0;"",""??-0;"",""???0;"", ///"""),"'","""")&amp;SUBSTITUTE(TEXT(Overig!W173,""",""?00;"",""?-00;"",""?00;"", //"""),"'","""")</f>
        <v>032, 19400212, 24.00, ////, 07, ////, 07,  280, 00,  304, 00, ///, 07, ////, 07, ////, 07, ////, 07, ////, 07, ///, 07</v>
      </c>
    </row>
    <row r="174" spans="1:1" x14ac:dyDescent="0.25">
      <c r="A174" s="12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//"""),"'","""")&amp;SUBSTITUTE(TEXT(Overig!L174,""",""???0;"",""??-0;"",""???0;"", 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//"""),"'","""")&amp;SUBSTITUTE(TEXT(Overig!R174,""",""????0;"",""???-0;"",""????0;"", ////"""),"'","""")&amp;SUBSTITUTE(TEXT(Overig!S174,""",""?00;"",""?-00;"",""?00;"", //"""),"'","""")&amp;SUBSTITUTE(TEXT(IF(ISTEXT(Overig!T174),Overig!T174,10*Overig!T174),""",""????0;"",""???-0;"",""????0;"", ////"""),"'","""")&amp;SUBSTITUTE(TEXT(Overig!U174,""",""?00;"",""?-00;"",""?00;"", //"""),"'","""")&amp;SUBSTITUTE(TEXT(Overig!V174,""",""???0;"",""??-0;"",""???0;"", ///"""),"'","""")&amp;SUBSTITUTE(TEXT(Overig!W174,""",""?00;"",""?-00;"",""?00;"", //"""),"'","""")</f>
        <v>032, 19400213, 07.00, 7592, 00,  259, 00, ////, 07, ////, 07,  78, 00,  196, 00,  230, 00,   65, 00,    5, 00,   2, 00</v>
      </c>
    </row>
    <row r="175" spans="1:1" x14ac:dyDescent="0.25">
      <c r="A175" s="12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//"""),"'","""")&amp;SUBSTITUTE(TEXT(Overig!L175,""",""???0;"",""??-0;"",""???0;"", 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//"""),"'","""")&amp;SUBSTITUTE(TEXT(Overig!R175,""",""????0;"",""???-0;"",""????0;"", ////"""),"'","""")&amp;SUBSTITUTE(TEXT(Overig!S175,""",""?00;"",""?-00;"",""?00;"", //"""),"'","""")&amp;SUBSTITUTE(TEXT(IF(ISTEXT(Overig!T175),Overig!T175,10*Overig!T175),""",""????0;"",""???-0;"",""????0;"", ////"""),"'","""")&amp;SUBSTITUTE(TEXT(Overig!U175,""",""?00;"",""?-00;"",""?00;"", //"""),"'","""")&amp;SUBSTITUTE(TEXT(Overig!V175,""",""???0;"",""??-0;"",""???0;"", ///"""),"'","""")&amp;SUBSTITUTE(TEXT(Overig!W175,""",""?00;"",""?-00;"",""?00;"", //"""),"'","""")</f>
        <v>032, 19400213, 12.00, 7600, 00,  284, 00, ////, 07, ////, 07,  64, 00,  187, 00,  232, 00,   65, 00,    7, 00,   3, 00</v>
      </c>
    </row>
    <row r="176" spans="1:1" x14ac:dyDescent="0.25">
      <c r="A176" s="12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//"""),"'","""")&amp;SUBSTITUTE(TEXT(Overig!L176,""",""???0;"",""??-0;"",""???0;"", 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//"""),"'","""")&amp;SUBSTITUTE(TEXT(Overig!R176,""",""????0;"",""???-0;"",""????0;"", ////"""),"'","""")&amp;SUBSTITUTE(TEXT(Overig!S176,""",""?00;"",""?-00;"",""?00;"", //"""),"'","""")&amp;SUBSTITUTE(TEXT(IF(ISTEXT(Overig!T176),Overig!T176,10*Overig!T176),""",""????0;"",""???-0;"",""????0;"", ////"""),"'","""")&amp;SUBSTITUTE(TEXT(Overig!U176,""",""?00;"",""?-00;"",""?00;"", //"""),"'","""")&amp;SUBSTITUTE(TEXT(Overig!V176,""",""???0;"",""??-0;"",""???0;"", ///"""),"'","""")&amp;SUBSTITUTE(TEXT(Overig!W176,""",""?00;"",""?-00;"",""?00;"", //"""),"'","""")</f>
        <v>032, 19400213, 17.00, 7595, 00,  261, 00, ////, 07, ////, 07,  77, 00,  195, 00,  230, 00,   65, 00,    7, 00,   3, 00</v>
      </c>
    </row>
    <row r="177" spans="1:1" x14ac:dyDescent="0.25">
      <c r="A177" s="12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//"""),"'","""")&amp;SUBSTITUTE(TEXT(Overig!L177,""",""???0;"",""??-0;"",""???0;"", 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//"""),"'","""")&amp;SUBSTITUTE(TEXT(Overig!R177,""",""????0;"",""???-0;"",""????0;"", ////"""),"'","""")&amp;SUBSTITUTE(TEXT(Overig!S177,""",""?00;"",""?-00;"",""?00;"", //"""),"'","""")&amp;SUBSTITUTE(TEXT(IF(ISTEXT(Overig!T177),Overig!T177,10*Overig!T177),""",""????0;"",""???-0;"",""????0;"", ////"""),"'","""")&amp;SUBSTITUTE(TEXT(Overig!U177,""",""?00;"",""?-00;"",""?00;"", //"""),"'","""")&amp;SUBSTITUTE(TEXT(Overig!V177,""",""???0;"",""??-0;"",""???0;"", ///"""),"'","""")&amp;SUBSTITUTE(TEXT(Overig!W177,""",""?00;"",""?-00;"",""?00;"", //"""),"'","""")</f>
        <v>032, 19400213, 24.00, ////, 07, ////, 07,  270, 00,  305, 00, ///, 07, ////, 07, ////, 07, ////, 07, ////, 07, ///, 07</v>
      </c>
    </row>
    <row r="178" spans="1:1" x14ac:dyDescent="0.25">
      <c r="A178" s="12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//"""),"'","""")&amp;SUBSTITUTE(TEXT(Overig!L178,""",""???0;"",""??-0;"",""???0;"", 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//"""),"'","""")&amp;SUBSTITUTE(TEXT(Overig!R178,""",""????0;"",""???-0;"",""????0;"", ////"""),"'","""")&amp;SUBSTITUTE(TEXT(Overig!S178,""",""?00;"",""?-00;"",""?00;"", //"""),"'","""")&amp;SUBSTITUTE(TEXT(IF(ISTEXT(Overig!T178),Overig!T178,10*Overig!T178),""",""????0;"",""???-0;"",""????0;"", ////"""),"'","""")&amp;SUBSTITUTE(TEXT(Overig!U178,""",""?00;"",""?-00;"",""?00;"", //"""),"'","""")&amp;SUBSTITUTE(TEXT(Overig!V178,""",""???0;"",""??-0;"",""???0;"", ///"""),"'","""")&amp;SUBSTITUTE(TEXT(Overig!W178,""",""?00;"",""?-00;"",""?00;"", //"""),"'","""")</f>
        <v>032, 19400214, 07.00, 7585, 00,  261, 00, ////, 07, ////, 07,  76, 00,  192, 00,  228, 00,   65, 00,    5, 00,   3, 00</v>
      </c>
    </row>
    <row r="179" spans="1:1" x14ac:dyDescent="0.25">
      <c r="A179" s="12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//"""),"'","""")&amp;SUBSTITUTE(TEXT(Overig!L179,""",""???0;"",""??-0;"",""???0;"", 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//"""),"'","""")&amp;SUBSTITUTE(TEXT(Overig!R179,""",""????0;"",""???-0;"",""????0;"", ////"""),"'","""")&amp;SUBSTITUTE(TEXT(Overig!S179,""",""?00;"",""?-00;"",""?00;"", //"""),"'","""")&amp;SUBSTITUTE(TEXT(IF(ISTEXT(Overig!T179),Overig!T179,10*Overig!T179),""",""????0;"",""???-0;"",""????0;"", ////"""),"'","""")&amp;SUBSTITUTE(TEXT(Overig!U179,""",""?00;"",""?-00;"",""?00;"", //"""),"'","""")&amp;SUBSTITUTE(TEXT(Overig!V179,""",""???0;"",""??-0;"",""???0;"", ///"""),"'","""")&amp;SUBSTITUTE(TEXT(Overig!W179,""",""?00;"",""?-00;"",""?00;"", //"""),"'","""")</f>
        <v>032, 19400214, 12.00, 7595, 00,  265, 00, ////, 07, ////, 07,  74, 00,  193, 00,  230, 00,   65, 00,    7, 00,   2, 00</v>
      </c>
    </row>
    <row r="180" spans="1:1" x14ac:dyDescent="0.25">
      <c r="A180" s="12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//"""),"'","""")&amp;SUBSTITUTE(TEXT(Overig!L180,""",""???0;"",""??-0;"",""???0;"", 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//"""),"'","""")&amp;SUBSTITUTE(TEXT(Overig!R180,""",""????0;"",""???-0;"",""????0;"", ////"""),"'","""")&amp;SUBSTITUTE(TEXT(Overig!S180,""",""?00;"",""?-00;"",""?00;"", //"""),"'","""")&amp;SUBSTITUTE(TEXT(IF(ISTEXT(Overig!T180),Overig!T180,10*Overig!T180),""",""????0;"",""???-0;"",""????0;"", ////"""),"'","""")&amp;SUBSTITUTE(TEXT(Overig!U180,""",""?00;"",""?-00;"",""?00;"", //"""),"'","""")&amp;SUBSTITUTE(TEXT(Overig!V180,""",""???0;"",""??-0;"",""???0;"", ///"""),"'","""")&amp;SUBSTITUTE(TEXT(Overig!W180,""",""?00;"",""?-00;"",""?00;"", //"""),"'","""")</f>
        <v>032, 19400214, 17.00, 7595, 00,  263, 00, ////, 07, ////, 07,  75, 00,  193, 00,  229, 00,   45, 00,    6, 00,   2, 00</v>
      </c>
    </row>
    <row r="181" spans="1:1" x14ac:dyDescent="0.25">
      <c r="A181" s="12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//"""),"'","""")&amp;SUBSTITUTE(TEXT(Overig!L181,""",""???0;"",""??-0;"",""???0;"", 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//"""),"'","""")&amp;SUBSTITUTE(TEXT(Overig!R181,""",""????0;"",""???-0;"",""????0;"", ////"""),"'","""")&amp;SUBSTITUTE(TEXT(Overig!S181,""",""?00;"",""?-00;"",""?00;"", //"""),"'","""")&amp;SUBSTITUTE(TEXT(IF(ISTEXT(Overig!T181),Overig!T181,10*Overig!T181),""",""????0;"",""???-0;"",""????0;"", ////"""),"'","""")&amp;SUBSTITUTE(TEXT(Overig!U181,""",""?00;"",""?-00;"",""?00;"", //"""),"'","""")&amp;SUBSTITUTE(TEXT(Overig!V181,""",""???0;"",""??-0;"",""???0;"", ///"""),"'","""")&amp;SUBSTITUTE(TEXT(Overig!W181,""",""?00;"",""?-00;"",""?00;"", //"""),"'","""")</f>
        <v>032, 19400214, 24.00, ////, 07, ////, 07,  274, 00,  285, 00, ///, 07, ////, 07, ////, 07, ////, 07, ////, 07, ///, 07</v>
      </c>
    </row>
    <row r="182" spans="1:1" x14ac:dyDescent="0.25">
      <c r="A182" s="12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//"""),"'","""")&amp;SUBSTITUTE(TEXT(Overig!L182,""",""???0;"",""??-0;"",""???0;"", 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//"""),"'","""")&amp;SUBSTITUTE(TEXT(Overig!R182,""",""????0;"",""???-0;"",""????0;"", ////"""),"'","""")&amp;SUBSTITUTE(TEXT(Overig!S182,""",""?00;"",""?-00;"",""?00;"", //"""),"'","""")&amp;SUBSTITUTE(TEXT(IF(ISTEXT(Overig!T182),Overig!T182,10*Overig!T182),""",""????0;"",""???-0;"",""????0;"", ////"""),"'","""")&amp;SUBSTITUTE(TEXT(Overig!U182,""",""?00;"",""?-00;"",""?00;"", //"""),"'","""")&amp;SUBSTITUTE(TEXT(Overig!V182,""",""???0;"",""??-0;"",""???0;"", ///"""),"'","""")&amp;SUBSTITUTE(TEXT(Overig!W182,""",""?00;"",""?-00;"",""?00;"", //"""),"'","""")</f>
        <v>032, 19400215, 07.00, 7587, 00,  259, 00, ////, 07, ////, 07,  77, 00,  193, 00,  228, 00,   65, 00,    5, 00,   3, 00</v>
      </c>
    </row>
    <row r="183" spans="1:1" x14ac:dyDescent="0.25">
      <c r="A183" s="12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//"""),"'","""")&amp;SUBSTITUTE(TEXT(Overig!L183,""",""???0;"",""??-0;"",""???0;"", 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//"""),"'","""")&amp;SUBSTITUTE(TEXT(Overig!R183,""",""????0;"",""???-0;"",""????0;"", ////"""),"'","""")&amp;SUBSTITUTE(TEXT(Overig!S183,""",""?00;"",""?-00;"",""?00;"", //"""),"'","""")&amp;SUBSTITUTE(TEXT(IF(ISTEXT(Overig!T183),Overig!T183,10*Overig!T183),""",""????0;"",""???-0;"",""????0;"", ////"""),"'","""")&amp;SUBSTITUTE(TEXT(Overig!U183,""",""?00;"",""?-00;"",""?00;"", //"""),"'","""")&amp;SUBSTITUTE(TEXT(Overig!V183,""",""???0;"",""??-0;"",""???0;"", ///"""),"'","""")&amp;SUBSTITUTE(TEXT(Overig!W183,""",""?00;"",""?-00;"",""?00;"", //"""),"'","""")</f>
        <v>032, 19400215, 12.00, 7600, 00,  274, 00, ////, 07, ////, 07,  70, 00,  192, 00,  232, 00,   65, 00,    6, 00,   2, 00</v>
      </c>
    </row>
    <row r="184" spans="1:1" x14ac:dyDescent="0.25">
      <c r="A184" s="12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//"""),"'","""")&amp;SUBSTITUTE(TEXT(Overig!L184,""",""???0;"",""??-0;"",""???0;"", 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//"""),"'","""")&amp;SUBSTITUTE(TEXT(Overig!R184,""",""????0;"",""???-0;"",""????0;"", ////"""),"'","""")&amp;SUBSTITUTE(TEXT(Overig!S184,""",""?00;"",""?-00;"",""?00;"", //"""),"'","""")&amp;SUBSTITUTE(TEXT(IF(ISTEXT(Overig!T184),Overig!T184,10*Overig!T184),""",""????0;"",""???-0;"",""????0;"", ////"""),"'","""")&amp;SUBSTITUTE(TEXT(Overig!U184,""",""?00;"",""?-00;"",""?00;"", //"""),"'","""")&amp;SUBSTITUTE(TEXT(Overig!V184,""",""???0;"",""??-0;"",""???0;"", ///"""),"'","""")&amp;SUBSTITUTE(TEXT(Overig!W184,""",""?00;"",""?-00;"",""?00;"", //"""),"'","""")</f>
        <v>032, 19400215, 17.00, 7597, 00,  269, 00, ////, 07, ////, 07,  72, 00,  191, 00,  230, 00,   65, 00,    6, 00,   3, 00</v>
      </c>
    </row>
    <row r="185" spans="1:1" x14ac:dyDescent="0.25">
      <c r="A185" s="12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//"""),"'","""")&amp;SUBSTITUTE(TEXT(Overig!L185,""",""???0;"",""??-0;"",""???0;"", 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//"""),"'","""")&amp;SUBSTITUTE(TEXT(Overig!R185,""",""????0;"",""???-0;"",""????0;"", ////"""),"'","""")&amp;SUBSTITUTE(TEXT(Overig!S185,""",""?00;"",""?-00;"",""?00;"", //"""),"'","""")&amp;SUBSTITUTE(TEXT(IF(ISTEXT(Overig!T185),Overig!T185,10*Overig!T185),""",""????0;"",""???-0;"",""????0;"", ////"""),"'","""")&amp;SUBSTITUTE(TEXT(Overig!U185,""",""?00;"",""?-00;"",""?00;"", //"""),"'","""")&amp;SUBSTITUTE(TEXT(Overig!V185,""",""???0;"",""??-0;"",""???0;"", ///"""),"'","""")&amp;SUBSTITUTE(TEXT(Overig!W185,""",""?00;"",""?-00;"",""?00;"", //"""),"'","""")</f>
        <v>032, 19400215, 24.00, ////, 07, ////, 07,  270, 00,  298, 00, ///, 07, ////, 07, ////, 07, ////, 07, ////, 07, ///, 07</v>
      </c>
    </row>
    <row r="186" spans="1:1" x14ac:dyDescent="0.25">
      <c r="A186" s="12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//"""),"'","""")&amp;SUBSTITUTE(TEXT(Overig!L186,""",""???0;"",""??-0;"",""???0;"", 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//"""),"'","""")&amp;SUBSTITUTE(TEXT(Overig!R186,""",""????0;"",""???-0;"",""????0;"", ////"""),"'","""")&amp;SUBSTITUTE(TEXT(Overig!S186,""",""?00;"",""?-00;"",""?00;"", //"""),"'","""")&amp;SUBSTITUTE(TEXT(IF(ISTEXT(Overig!T186),Overig!T186,10*Overig!T186),""",""????0;"",""???-0;"",""????0;"", ////"""),"'","""")&amp;SUBSTITUTE(TEXT(Overig!U186,""",""?00;"",""?-00;"",""?00;"", //"""),"'","""")&amp;SUBSTITUTE(TEXT(Overig!V186,""",""???0;"",""??-0;"",""???0;"", ///"""),"'","""")&amp;SUBSTITUTE(TEXT(Overig!W186,""",""?00;"",""?-00;"",""?00;"", //"""),"'","""")</f>
        <v>032, 19400216, 07.00, 7597, 00,  274, 00, ////, 07, ////, 07,  69, 00,  189, 00,  230, 00,   65, 00,    5, 00,   2, 00</v>
      </c>
    </row>
    <row r="187" spans="1:1" x14ac:dyDescent="0.25">
      <c r="A187" s="12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//"""),"'","""")&amp;SUBSTITUTE(TEXT(Overig!L187,""",""???0;"",""??-0;"",""???0;"", 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//"""),"'","""")&amp;SUBSTITUTE(TEXT(Overig!R187,""",""????0;"",""???-0;"",""????0;"", ////"""),"'","""")&amp;SUBSTITUTE(TEXT(Overig!S187,""",""?00;"",""?-00;"",""?00;"", //"""),"'","""")&amp;SUBSTITUTE(TEXT(IF(ISTEXT(Overig!T187),Overig!T187,10*Overig!T187),""",""????0;"",""???-0;"",""????0;"", ////"""),"'","""")&amp;SUBSTITUTE(TEXT(Overig!U187,""",""?00;"",""?-00;"",""?00;"", //"""),"'","""")&amp;SUBSTITUTE(TEXT(Overig!V187,""",""???0;"",""??-0;"",""???0;"", ///"""),"'","""")&amp;SUBSTITUTE(TEXT(Overig!W187,""",""?00;"",""?-00;"",""?00;"", //"""),"'","""")</f>
        <v>032, 19400216, 12.00, 7597, 00,  280, 00, ////, 07, ////, 07,  67, 00,  189, 00,  232, 00,   65, 00,    7, 00,   1, 00</v>
      </c>
    </row>
    <row r="188" spans="1:1" x14ac:dyDescent="0.25">
      <c r="A188" s="12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//"""),"'","""")&amp;SUBSTITUTE(TEXT(Overig!L188,""",""???0;"",""??-0;"",""???0;"", 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//"""),"'","""")&amp;SUBSTITUTE(TEXT(Overig!R188,""",""????0;"",""???-0;"",""????0;"", ////"""),"'","""")&amp;SUBSTITUTE(TEXT(Overig!S188,""",""?00;"",""?-00;"",""?00;"", //"""),"'","""")&amp;SUBSTITUTE(TEXT(IF(ISTEXT(Overig!T188),Overig!T188,10*Overig!T188),""",""????0;"",""???-0;"",""????0;"", ////"""),"'","""")&amp;SUBSTITUTE(TEXT(Overig!U188,""",""?00;"",""?-00;"",""?00;"", //"""),"'","""")&amp;SUBSTITUTE(TEXT(Overig!V188,""",""???0;"",""??-0;"",""???0;"", ///"""),"'","""")&amp;SUBSTITUTE(TEXT(Overig!W188,""",""?00;"",""?-00;"",""?00;"", //"""),"'","""")</f>
        <v>032, 19400216, 17.00, 7589, 00,  275, 00, ////, 07, ////, 07,  67, 00,  185, 00,  228, 00,   45, 00,    7, 00,   1, 00</v>
      </c>
    </row>
    <row r="189" spans="1:1" x14ac:dyDescent="0.25">
      <c r="A189" s="12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//"""),"'","""")&amp;SUBSTITUTE(TEXT(Overig!L189,""",""???0;"",""??-0;"",""???0;"", 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//"""),"'","""")&amp;SUBSTITUTE(TEXT(Overig!R189,""",""????0;"",""???-0;"",""????0;"", ////"""),"'","""")&amp;SUBSTITUTE(TEXT(Overig!S189,""",""?00;"",""?-00;"",""?00;"", //"""),"'","""")&amp;SUBSTITUTE(TEXT(IF(ISTEXT(Overig!T189),Overig!T189,10*Overig!T189),""",""????0;"",""???-0;"",""????0;"", ////"""),"'","""")&amp;SUBSTITUTE(TEXT(Overig!U189,""",""?00;"",""?-00;"",""?00;"", //"""),"'","""")&amp;SUBSTITUTE(TEXT(Overig!V189,""",""???0;"",""??-0;"",""???0;"", ///"""),"'","""")&amp;SUBSTITUTE(TEXT(Overig!W189,""",""?00;"",""?-00;"",""?00;"", //"""),"'","""")</f>
        <v>032, 19400216, 24.00, ////, 07, ////, 07,  287, 00,  300, 00, ///, 07, ////, 07, ////, 07, ////, 07, ////, 07, ///, 07</v>
      </c>
    </row>
    <row r="190" spans="1:1" x14ac:dyDescent="0.25">
      <c r="A190" s="12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//"""),"'","""")&amp;SUBSTITUTE(TEXT(Overig!L190,""",""???0;"",""??-0;"",""???0;"", 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//"""),"'","""")&amp;SUBSTITUTE(TEXT(Overig!R190,""",""????0;"",""???-0;"",""????0;"", ////"""),"'","""")&amp;SUBSTITUTE(TEXT(Overig!S190,""",""?00;"",""?-00;"",""?00;"", //"""),"'","""")&amp;SUBSTITUTE(TEXT(IF(ISTEXT(Overig!T190),Overig!T190,10*Overig!T190),""",""????0;"",""???-0;"",""????0;"", ////"""),"'","""")&amp;SUBSTITUTE(TEXT(Overig!U190,""",""?00;"",""?-00;"",""?00;"", //"""),"'","""")&amp;SUBSTITUTE(TEXT(Overig!V190,""",""???0;"",""??-0;"",""???0;"", ///"""),"'","""")&amp;SUBSTITUTE(TEXT(Overig!W190,""",""?00;"",""?-00;"",""?00;"", //"""),"'","""")</f>
        <v>032, 19400217, 07.00, 7585, 00,  274, 00, ////, 07, ////, 07,  68, 00,  185, 00,  228, 00,   65, 00,    6, 00,   1, 00</v>
      </c>
    </row>
    <row r="191" spans="1:1" x14ac:dyDescent="0.25">
      <c r="A191" s="12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//"""),"'","""")&amp;SUBSTITUTE(TEXT(Overig!L191,""",""???0;"",""??-0;"",""???0;"", 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//"""),"'","""")&amp;SUBSTITUTE(TEXT(Overig!R191,""",""????0;"",""???-0;"",""????0;"", ////"""),"'","""")&amp;SUBSTITUTE(TEXT(Overig!S191,""",""?00;"",""?-00;"",""?00;"", //"""),"'","""")&amp;SUBSTITUTE(TEXT(IF(ISTEXT(Overig!T191),Overig!T191,10*Overig!T191),""",""????0;"",""???-0;"",""????0;"", ////"""),"'","""")&amp;SUBSTITUTE(TEXT(Overig!U191,""",""?00;"",""?-00;"",""?00;"", //"""),"'","""")&amp;SUBSTITUTE(TEXT(Overig!V191,""",""???0;"",""??-0;"",""???0;"", ///"""),"'","""")&amp;SUBSTITUTE(TEXT(Overig!W191,""",""?00;"",""?-00;"",""?00;"", //"""),"'","""")</f>
        <v>032, 19400217, 12.00, 7592, 00,  279, 00, ////, 07, ////, 07,  67, 00,  190, 00,  232, 00,   65, 00,    7, 00,   0, 00</v>
      </c>
    </row>
    <row r="192" spans="1:1" x14ac:dyDescent="0.25">
      <c r="A192" s="12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//"""),"'","""")&amp;SUBSTITUTE(TEXT(Overig!L192,""",""???0;"",""??-0;"",""???0;"", 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//"""),"'","""")&amp;SUBSTITUTE(TEXT(Overig!R192,""",""????0;"",""???-0;"",""????0;"", ////"""),"'","""")&amp;SUBSTITUTE(TEXT(Overig!S192,""",""?00;"",""?-00;"",""?00;"", //"""),"'","""")&amp;SUBSTITUTE(TEXT(IF(ISTEXT(Overig!T192),Overig!T192,10*Overig!T192),""",""????0;"",""???-0;"",""????0;"", ////"""),"'","""")&amp;SUBSTITUTE(TEXT(Overig!U192,""",""?00;"",""?-00;"",""?00;"", //"""),"'","""")&amp;SUBSTITUTE(TEXT(Overig!V192,""",""???0;"",""??-0;"",""???0;"", ///"""),"'","""")&amp;SUBSTITUTE(TEXT(Overig!W192,""",""?00;"",""?-00;"",""?00;"", //"""),"'","""")</f>
        <v>032, 19400217, 17.00, 7589, 00,  279, 00, ////, 07, ////, 07,  65, 00,  183, 00,  228, 00,   45, 00,    6, 00,   0, 00</v>
      </c>
    </row>
    <row r="193" spans="1:1" x14ac:dyDescent="0.25">
      <c r="A193" s="12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//"""),"'","""")&amp;SUBSTITUTE(TEXT(Overig!L193,""",""???0;"",""??-0;"",""???0;"", 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//"""),"'","""")&amp;SUBSTITUTE(TEXT(Overig!R193,""",""????0;"",""???-0;"",""????0;"", ////"""),"'","""")&amp;SUBSTITUTE(TEXT(Overig!S193,""",""?00;"",""?-00;"",""?00;"", //"""),"'","""")&amp;SUBSTITUTE(TEXT(IF(ISTEXT(Overig!T193),Overig!T193,10*Overig!T193),""",""????0;"",""???-0;"",""????0;"", ////"""),"'","""")&amp;SUBSTITUTE(TEXT(Overig!U193,""",""?00;"",""?-00;"",""?00;"", //"""),"'","""")&amp;SUBSTITUTE(TEXT(Overig!V193,""",""???0;"",""??-0;"",""???0;"", ///"""),"'","""")&amp;SUBSTITUTE(TEXT(Overig!W193,""",""?00;"",""?-00;"",""?00;"", //"""),"'","""")</f>
        <v>032, 19400217, 24.00, ////, 07, ////, 07,  290, 00,  300, 00, ///, 07, ////, 07, ////, 07, ////, 07, ////, 07, ///, 07</v>
      </c>
    </row>
    <row r="194" spans="1:1" x14ac:dyDescent="0.25">
      <c r="A194" s="12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//"""),"'","""")&amp;SUBSTITUTE(TEXT(Overig!L194,""",""???0;"",""??-0;"",""???0;"", 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//"""),"'","""")&amp;SUBSTITUTE(TEXT(Overig!R194,""",""????0;"",""???-0;"",""????0;"", ////"""),"'","""")&amp;SUBSTITUTE(TEXT(Overig!S194,""",""?00;"",""?-00;"",""?00;"", //"""),"'","""")&amp;SUBSTITUTE(TEXT(IF(ISTEXT(Overig!T194),Overig!T194,10*Overig!T194),""",""????0;"",""???-0;"",""????0;"", ////"""),"'","""")&amp;SUBSTITUTE(TEXT(Overig!U194,""",""?00;"",""?-00;"",""?00;"", //"""),"'","""")&amp;SUBSTITUTE(TEXT(Overig!V194,""",""???0;"",""??-0;"",""???0;"", ///"""),"'","""")&amp;SUBSTITUTE(TEXT(Overig!W194,""",""?00;"",""?-00;"",""?00;"", //"""),"'","""")</f>
        <v>032, 19400218, 07.00, 7584, 00,  253, 00, ////, 07, ////, 07,  81, 00,  196, 00,  228, 00,   65, 00,    5, 00,   1, 00</v>
      </c>
    </row>
    <row r="195" spans="1:1" x14ac:dyDescent="0.25">
      <c r="A195" s="12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//"""),"'","""")&amp;SUBSTITUTE(TEXT(Overig!L195,""",""???0;"",""??-0;"",""???0;"", 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//"""),"'","""")&amp;SUBSTITUTE(TEXT(Overig!R195,""",""????0;"",""???-0;"",""????0;"", ////"""),"'","""")&amp;SUBSTITUTE(TEXT(Overig!S195,""",""?00;"",""?-00;"",""?00;"", //"""),"'","""")&amp;SUBSTITUTE(TEXT(IF(ISTEXT(Overig!T195),Overig!T195,10*Overig!T195),""",""????0;"",""???-0;"",""????0;"", ////"""),"'","""")&amp;SUBSTITUTE(TEXT(Overig!U195,""",""?00;"",""?-00;"",""?00;"", //"""),"'","""")&amp;SUBSTITUTE(TEXT(Overig!V195,""",""???0;"",""??-0;"",""???0;"", ///"""),"'","""")&amp;SUBSTITUTE(TEXT(Overig!W195,""",""?00;"",""?-00;"",""?00;"", //"""),"'","""")</f>
        <v>032, 19400218, 12.00, 7592, 00,  279, 00, ////, 07, ////, 07,  66, 00,  186, 00,  230, 00,   65, 00,    7, 00,   0, 00</v>
      </c>
    </row>
    <row r="196" spans="1:1" x14ac:dyDescent="0.25">
      <c r="A196" s="12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//"""),"'","""")&amp;SUBSTITUTE(TEXT(Overig!L196,""",""???0;"",""??-0;"",""???0;"", 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//"""),"'","""")&amp;SUBSTITUTE(TEXT(Overig!R196,""",""????0;"",""???-0;"",""????0;"", ////"""),"'","""")&amp;SUBSTITUTE(TEXT(Overig!S196,""",""?00;"",""?-00;"",""?00;"", //"""),"'","""")&amp;SUBSTITUTE(TEXT(IF(ISTEXT(Overig!T196),Overig!T196,10*Overig!T196),""",""????0;"",""???-0;"",""????0;"", ////"""),"'","""")&amp;SUBSTITUTE(TEXT(Overig!U196,""",""?00;"",""?-00;"",""?00;"", //"""),"'","""")&amp;SUBSTITUTE(TEXT(Overig!V196,""",""???0;"",""??-0;"",""???0;"", ///"""),"'","""")&amp;SUBSTITUTE(TEXT(Overig!W196,""",""?00;"",""?-00;"",""?00;"", //"""),"'","""")</f>
        <v>032, 19400218, 17.00, 7589, 00,  277, 00, ////, 07, ////, 07,  66, 00,  186, 00,  229, 00,   65, 00,    6, 00,   1, 00</v>
      </c>
    </row>
    <row r="197" spans="1:1" x14ac:dyDescent="0.25">
      <c r="A197" s="12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//"""),"'","""")&amp;SUBSTITUTE(TEXT(Overig!L197,""",""???0;"",""??-0;"",""???0;"", 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//"""),"'","""")&amp;SUBSTITUTE(TEXT(Overig!R197,""",""????0;"",""???-0;"",""????0;"", ////"""),"'","""")&amp;SUBSTITUTE(TEXT(Overig!S197,""",""?00;"",""?-00;"",""?00;"", //"""),"'","""")&amp;SUBSTITUTE(TEXT(IF(ISTEXT(Overig!T197),Overig!T197,10*Overig!T197),""",""????0;"",""???-0;"",""????0;"", ////"""),"'","""")&amp;SUBSTITUTE(TEXT(Overig!U197,""",""?00;"",""?-00;"",""?00;"", //"""),"'","""")&amp;SUBSTITUTE(TEXT(Overig!V197,""",""???0;"",""??-0;"",""???0;"", ///"""),"'","""")&amp;SUBSTITUTE(TEXT(Overig!W197,""",""?00;"",""?-00;"",""?00;"", //"""),"'","""")</f>
        <v>032, 19400218, 24.00, ////, 07, ////, 07,  264, 00,  300, 00, ///, 07, ////, 07, ////, 07, ////, 07, ////, 07, ///, 07</v>
      </c>
    </row>
    <row r="198" spans="1:1" x14ac:dyDescent="0.25">
      <c r="A198" s="12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//"""),"'","""")&amp;SUBSTITUTE(TEXT(Overig!L198,""",""???0;"",""??-0;"",""???0;"", 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//"""),"'","""")&amp;SUBSTITUTE(TEXT(Overig!R198,""",""????0;"",""???-0;"",""????0;"", ////"""),"'","""")&amp;SUBSTITUTE(TEXT(Overig!S198,""",""?00;"",""?-00;"",""?00;"", //"""),"'","""")&amp;SUBSTITUTE(TEXT(IF(ISTEXT(Overig!T198),Overig!T198,10*Overig!T198),""",""????0;"",""???-0;"",""????0;"", ////"""),"'","""")&amp;SUBSTITUTE(TEXT(Overig!U198,""",""?00;"",""?-00;"",""?00;"", //"""),"'","""")&amp;SUBSTITUTE(TEXT(Overig!V198,""",""???0;"",""??-0;"",""???0;"", ///"""),"'","""")&amp;SUBSTITUTE(TEXT(Overig!W198,""",""?00;"",""?-00;"",""?00;"", //"""),"'","""")</f>
        <v>032, 19400219, 07.00, 7587, 00,  259, 00, ////, 07, ////, 07,  77, 00,  193, 00,  228, 00,   90, 00,    5, 00,   1, 00</v>
      </c>
    </row>
    <row r="199" spans="1:1" x14ac:dyDescent="0.25">
      <c r="A199" s="12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//"""),"'","""")&amp;SUBSTITUTE(TEXT(Overig!L199,""",""???0;"",""??-0;"",""???0;"", 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//"""),"'","""")&amp;SUBSTITUTE(TEXT(Overig!R199,""",""????0;"",""???-0;"",""????0;"", ////"""),"'","""")&amp;SUBSTITUTE(TEXT(Overig!S199,""",""?00;"",""?-00;"",""?00;"", //"""),"'","""")&amp;SUBSTITUTE(TEXT(IF(ISTEXT(Overig!T199),Overig!T199,10*Overig!T199),""",""????0;"",""???-0;"",""????0;"", ////"""),"'","""")&amp;SUBSTITUTE(TEXT(Overig!U199,""",""?00;"",""?-00;"",""?00;"", //"""),"'","""")&amp;SUBSTITUTE(TEXT(Overig!V199,""",""???0;"",""??-0;"",""???0;"", ///"""),"'","""")&amp;SUBSTITUTE(TEXT(Overig!W199,""",""?00;"",""?-00;"",""?00;"", //"""),"'","""")</f>
        <v>032, 19400219, 12.00, 7592, 00,  287, 00, ////, 07, ////, 07,  67, 00,  198, 00,  239, 00,   90, 00,    7, 00,   0, 00</v>
      </c>
    </row>
    <row r="200" spans="1:1" x14ac:dyDescent="0.25">
      <c r="A200" s="12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//"""),"'","""")&amp;SUBSTITUTE(TEXT(Overig!L200,""",""???0;"",""??-0;"",""???0;"", 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//"""),"'","""")&amp;SUBSTITUTE(TEXT(Overig!R200,""",""????0;"",""???-0;"",""????0;"", ////"""),"'","""")&amp;SUBSTITUTE(TEXT(Overig!S200,""",""?00;"",""?-00;"",""?00;"", //"""),"'","""")&amp;SUBSTITUTE(TEXT(IF(ISTEXT(Overig!T200),Overig!T200,10*Overig!T200),""",""????0;"",""???-0;"",""????0;"", ////"""),"'","""")&amp;SUBSTITUTE(TEXT(Overig!U200,""",""?00;"",""?-00;"",""?00;"", //"""),"'","""")&amp;SUBSTITUTE(TEXT(Overig!V200,""",""???0;"",""??-0;"",""???0;"", ///"""),"'","""")&amp;SUBSTITUTE(TEXT(Overig!W200,""",""?00;"",""?-00;"",""?00;"", //"""),"'","""")</f>
        <v>032, 19400219, 17.00, 7589, 00,  279, 00, ////, 07, ////, 07,  67, 00,  188, 00,  231, 00,   90, 00,    7, 00,   1, 00</v>
      </c>
    </row>
    <row r="201" spans="1:1" x14ac:dyDescent="0.25">
      <c r="A201" s="12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//"""),"'","""")&amp;SUBSTITUTE(TEXT(Overig!L201,""",""???0;"",""??-0;"",""???0;"", 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//"""),"'","""")&amp;SUBSTITUTE(TEXT(Overig!R201,""",""????0;"",""???-0;"",""????0;"", ////"""),"'","""")&amp;SUBSTITUTE(TEXT(Overig!S201,""",""?00;"",""?-00;"",""?00;"", //"""),"'","""")&amp;SUBSTITUTE(TEXT(IF(ISTEXT(Overig!T201),Overig!T201,10*Overig!T201),""",""????0;"",""???-0;"",""????0;"", ////"""),"'","""")&amp;SUBSTITUTE(TEXT(Overig!U201,""",""?00;"",""?-00;"",""?00;"", //"""),"'","""")&amp;SUBSTITUTE(TEXT(Overig!V201,""",""???0;"",""??-0;"",""???0;"", ///"""),"'","""")&amp;SUBSTITUTE(TEXT(Overig!W201,""",""?00;"",""?-00;"",""?00;"", //"""),"'","""")</f>
        <v>032, 19400219, 24.00, ////, 07, ////, 07,  270, 00,  314, 00, ///, 07, ////, 07, ////, 07, ////, 07, ////, 07, ///, 07</v>
      </c>
    </row>
    <row r="202" spans="1:1" x14ac:dyDescent="0.25">
      <c r="A202" s="12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//"""),"'","""")&amp;SUBSTITUTE(TEXT(Overig!L202,""",""???0;"",""??-0;"",""???0;"", 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//"""),"'","""")&amp;SUBSTITUTE(TEXT(Overig!R202,""",""????0;"",""???-0;"",""????0;"", ////"""),"'","""")&amp;SUBSTITUTE(TEXT(Overig!S202,""",""?00;"",""?-00;"",""?00;"", //"""),"'","""")&amp;SUBSTITUTE(TEXT(IF(ISTEXT(Overig!T202),Overig!T202,10*Overig!T202),""",""????0;"",""???-0;"",""????0;"", ////"""),"'","""")&amp;SUBSTITUTE(TEXT(Overig!U202,""",""?00;"",""?-00;"",""?00;"", //"""),"'","""")&amp;SUBSTITUTE(TEXT(Overig!V202,""",""???0;"",""??-0;"",""???0;"", ///"""),"'","""")&amp;SUBSTITUTE(TEXT(Overig!W202,""",""?00;"",""?-00;"",""?00;"", //"""),"'","""")</f>
        <v>032, 19400220, 07.00, 7585, 00,  273, 00, ////, 07, ////, 07,  69, 00,  189, 00,  230, 00,   65, 00,    5, 00,   6, 00</v>
      </c>
    </row>
    <row r="203" spans="1:1" x14ac:dyDescent="0.25">
      <c r="A203" s="12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//"""),"'","""")&amp;SUBSTITUTE(TEXT(Overig!L203,""",""???0;"",""??-0;"",""???0;"", 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//"""),"'","""")&amp;SUBSTITUTE(TEXT(Overig!R203,""",""????0;"",""???-0;"",""????0;"", ////"""),"'","""")&amp;SUBSTITUTE(TEXT(Overig!S203,""",""?00;"",""?-00;"",""?00;"", //"""),"'","""")&amp;SUBSTITUTE(TEXT(IF(ISTEXT(Overig!T203),Overig!T203,10*Overig!T203),""",""????0;"",""???-0;"",""????0;"", ////"""),"'","""")&amp;SUBSTITUTE(TEXT(Overig!U203,""",""?00;"",""?-00;"",""?00;"", //"""),"'","""")&amp;SUBSTITUTE(TEXT(Overig!V203,""",""???0;"",""??-0;"",""???0;"", ///"""),"'","""")&amp;SUBSTITUTE(TEXT(Overig!W203,""",""?00;"",""?-00;"",""?00;"", //"""),"'","""")</f>
        <v>032, 19400220, 12.00, 7592, 00,  281, 00, ////, 07, ////, 07,  66, 00,  189, 00,  232, 00,   65, 00,    5, 00,   7, 00</v>
      </c>
    </row>
    <row r="204" spans="1:1" x14ac:dyDescent="0.25">
      <c r="A204" s="12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//"""),"'","""")&amp;SUBSTITUTE(TEXT(Overig!L204,""",""???0;"",""??-0;"",""???0;"", 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//"""),"'","""")&amp;SUBSTITUTE(TEXT(Overig!R204,""",""????0;"",""???-0;"",""????0;"", ////"""),"'","""")&amp;SUBSTITUTE(TEXT(Overig!S204,""",""?00;"",""?-00;"",""?00;"", //"""),"'","""")&amp;SUBSTITUTE(TEXT(IF(ISTEXT(Overig!T204),Overig!T204,10*Overig!T204),""",""????0;"",""???-0;"",""????0;"", ////"""),"'","""")&amp;SUBSTITUTE(TEXT(Overig!U204,""",""?00;"",""?-00;"",""?00;"", //"""),"'","""")&amp;SUBSTITUTE(TEXT(Overig!V204,""",""???0;"",""??-0;"",""???0;"", ///"""),"'","""")&amp;SUBSTITUTE(TEXT(Overig!W204,""",""?00;"",""?-00;"",""?00;"", //"""),"'","""")</f>
        <v>032, 19400220, 17.00, 7585, 00,  279, 00, ////, 07, ////, 07,  66, 00,  186, 00,  230, 00,   45, 00,    6, 00,   7, 00</v>
      </c>
    </row>
    <row r="205" spans="1:1" x14ac:dyDescent="0.25">
      <c r="A205" s="12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//"""),"'","""")&amp;SUBSTITUTE(TEXT(Overig!L205,""",""???0;"",""??-0;"",""???0;"", 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//"""),"'","""")&amp;SUBSTITUTE(TEXT(Overig!R205,""",""????0;"",""???-0;"",""????0;"", ////"""),"'","""")&amp;SUBSTITUTE(TEXT(Overig!S205,""",""?00;"",""?-00;"",""?00;"", //"""),"'","""")&amp;SUBSTITUTE(TEXT(IF(ISTEXT(Overig!T205),Overig!T205,10*Overig!T205),""",""????0;"",""???-0;"",""????0;"", ////"""),"'","""")&amp;SUBSTITUTE(TEXT(Overig!U205,""",""?00;"",""?-00;"",""?00;"", //"""),"'","""")&amp;SUBSTITUTE(TEXT(Overig!V205,""",""???0;"",""??-0;"",""???0;"", ///"""),"'","""")&amp;SUBSTITUTE(TEXT(Overig!W205,""",""?00;"",""?-00;"",""?00;"", //"""),"'","""")</f>
        <v>032, 19400220, 24.00, ////, 07, ////, 07,  290, 00,  306, 00, ///, 07, ////, 07, ////, 07, ////, 07, ////, 07, ///, 07</v>
      </c>
    </row>
    <row r="206" spans="1:1" x14ac:dyDescent="0.25">
      <c r="A206" s="12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//"""),"'","""")&amp;SUBSTITUTE(TEXT(Overig!L206,""",""???0;"",""??-0;"",""???0;"", 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//"""),"'","""")&amp;SUBSTITUTE(TEXT(Overig!R206,""",""????0;"",""???-0;"",""????0;"", ////"""),"'","""")&amp;SUBSTITUTE(TEXT(Overig!S206,""",""?00;"",""?-00;"",""?00;"", //"""),"'","""")&amp;SUBSTITUTE(TEXT(IF(ISTEXT(Overig!T206),Overig!T206,10*Overig!T206),""",""????0;"",""???-0;"",""????0;"", ////"""),"'","""")&amp;SUBSTITUTE(TEXT(Overig!U206,""",""?00;"",""?-00;"",""?00;"", //"""),"'","""")&amp;SUBSTITUTE(TEXT(Overig!V206,""",""???0;"",""??-0;"",""???0;"", ///"""),"'","""")&amp;SUBSTITUTE(TEXT(Overig!W206,""",""?00;"",""?-00;"",""?00;"", //"""),"'","""")</f>
        <v>032, 19400221, 07.00, 7585, 00,  275, 00, ////, 07, ////, 07,  68, 00,  188, 00,  230, 00,   65, 00,    5, 00,   5, 00</v>
      </c>
    </row>
    <row r="207" spans="1:1" x14ac:dyDescent="0.25">
      <c r="A207" s="12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//"""),"'","""")&amp;SUBSTITUTE(TEXT(Overig!L207,""",""???0;"",""??-0;"",""???0;"", 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//"""),"'","""")&amp;SUBSTITUTE(TEXT(Overig!R207,""",""????0;"",""???-0;"",""????0;"", ////"""),"'","""")&amp;SUBSTITUTE(TEXT(Overig!S207,""",""?00;"",""?-00;"",""?00;"", //"""),"'","""")&amp;SUBSTITUTE(TEXT(IF(ISTEXT(Overig!T207),Overig!T207,10*Overig!T207),""",""????0;"",""???-0;"",""????0;"", ////"""),"'","""")&amp;SUBSTITUTE(TEXT(Overig!U207,""",""?00;"",""?-00;"",""?00;"", //"""),"'","""")&amp;SUBSTITUTE(TEXT(Overig!V207,""",""???0;"",""??-0;"",""???0;"", ///"""),"'","""")&amp;SUBSTITUTE(TEXT(Overig!W207,""",""?00;"",""?-00;"",""?00;"", //"""),"'","""")</f>
        <v>032, 19400221, 12.00, 7587, 00,  277, 00, ////, 07, ////, 07,  68, 00,  191, 00,  232, 00,   65, 00,    6, 00,   6, 00</v>
      </c>
    </row>
    <row r="208" spans="1:1" x14ac:dyDescent="0.25">
      <c r="A208" s="12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//"""),"'","""")&amp;SUBSTITUTE(TEXT(Overig!L208,""",""???0;"",""??-0;"",""???0;"", 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//"""),"'","""")&amp;SUBSTITUTE(TEXT(Overig!R208,""",""????0;"",""???-0;"",""????0;"", ////"""),"'","""")&amp;SUBSTITUTE(TEXT(Overig!S208,""",""?00;"",""?-00;"",""?00;"", //"""),"'","""")&amp;SUBSTITUTE(TEXT(IF(ISTEXT(Overig!T208),Overig!T208,10*Overig!T208),""",""????0;"",""???-0;"",""????0;"", ////"""),"'","""")&amp;SUBSTITUTE(TEXT(Overig!U208,""",""?00;"",""?-00;"",""?00;"", //"""),"'","""")&amp;SUBSTITUTE(TEXT(Overig!V208,""",""???0;"",""??-0;"",""???0;"", ///"""),"'","""")&amp;SUBSTITUTE(TEXT(Overig!W208,""",""?00;"",""?-00;"",""?00;"", //"""),"'","""")</f>
        <v>032, 19400221, 17.00, 7582, 00,  268, 00, ////, 07, ////, 07,  71, 00,  188, 00,  228, 00,   65, 00,    5, 00,   5, 00</v>
      </c>
    </row>
    <row r="209" spans="1:1" x14ac:dyDescent="0.25">
      <c r="A209" s="12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//"""),"'","""")&amp;SUBSTITUTE(TEXT(Overig!L209,""",""???0;"",""??-0;"",""???0;"", 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//"""),"'","""")&amp;SUBSTITUTE(TEXT(Overig!R209,""",""????0;"",""???-0;"",""????0;"", ////"""),"'","""")&amp;SUBSTITUTE(TEXT(Overig!S209,""",""?00;"",""?-00;"",""?00;"", //"""),"'","""")&amp;SUBSTITUTE(TEXT(IF(ISTEXT(Overig!T209),Overig!T209,10*Overig!T209),""",""????0;"",""???-0;"",""????0;"", ////"""),"'","""")&amp;SUBSTITUTE(TEXT(Overig!U209,""",""?00;"",""?-00;"",""?00;"", //"""),"'","""")&amp;SUBSTITUTE(TEXT(Overig!V209,""",""???0;"",""??-0;"",""???0;"", ///"""),"'","""")&amp;SUBSTITUTE(TEXT(Overig!W209,""",""?00;"",""?-00;"",""?00;"", //"""),"'","""")</f>
        <v>032, 19400221, 24.00, ////, 07, ////, 07,  285, 00,  294, 00, ///, 07, ////, 07, ////, 07, ////, 07, ////, 07, ///, 07</v>
      </c>
    </row>
    <row r="210" spans="1:1" x14ac:dyDescent="0.25">
      <c r="A210" s="12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//"""),"'","""")&amp;SUBSTITUTE(TEXT(Overig!L210,""",""???0;"",""??-0;"",""???0;"", 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//"""),"'","""")&amp;SUBSTITUTE(TEXT(Overig!R210,""",""????0;"",""???-0;"",""????0;"", ////"""),"'","""")&amp;SUBSTITUTE(TEXT(Overig!S210,""",""?00;"",""?-00;"",""?00;"", //"""),"'","""")&amp;SUBSTITUTE(TEXT(IF(ISTEXT(Overig!T210),Overig!T210,10*Overig!T210),""",""????0;"",""???-0;"",""????0;"", ////"""),"'","""")&amp;SUBSTITUTE(TEXT(Overig!U210,""",""?00;"",""?-00;"",""?00;"", //"""),"'","""")&amp;SUBSTITUTE(TEXT(Overig!V210,""",""???0;"",""??-0;"",""???0;"", ///"""),"'","""")&amp;SUBSTITUTE(TEXT(Overig!W210,""",""?00;"",""?-00;"",""?00;"", //"""),"'","""")</f>
        <v>032, 19400222, 07.00, 7585, 00,  265, 00, ////, 07, ////, 07,  72, 00,  186, 00,  226, 00,   65, 00,    4, 00,   4, 00</v>
      </c>
    </row>
    <row r="211" spans="1:1" x14ac:dyDescent="0.25">
      <c r="A211" s="12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//"""),"'","""")&amp;SUBSTITUTE(TEXT(Overig!L211,""",""???0;"",""??-0;"",""???0;"", 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//"""),"'","""")&amp;SUBSTITUTE(TEXT(Overig!R211,""",""????0;"",""???-0;"",""????0;"", ////"""),"'","""")&amp;SUBSTITUTE(TEXT(Overig!S211,""",""?00;"",""?-00;"",""?00;"", //"""),"'","""")&amp;SUBSTITUTE(TEXT(IF(ISTEXT(Overig!T211),Overig!T211,10*Overig!T211),""",""????0;"",""???-0;"",""????0;"", ////"""),"'","""")&amp;SUBSTITUTE(TEXT(Overig!U211,""",""?00;"",""?-00;"",""?00;"", //"""),"'","""")&amp;SUBSTITUTE(TEXT(Overig!V211,""",""???0;"",""??-0;"",""???0;"", ///"""),"'","""")&amp;SUBSTITUTE(TEXT(Overig!W211,""",""?00;"",""?-00;"",""?00;"", //"""),"'","""")</f>
        <v>032, 19400222, 12.00, 7582, 00,  277, 00, ////, 07, ////, 07,  68, 00,  191, 00,  232, 00,   65, 00,    5, 00,   5, 00</v>
      </c>
    </row>
    <row r="212" spans="1:1" x14ac:dyDescent="0.25">
      <c r="A212" s="12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//"""),"'","""")&amp;SUBSTITUTE(TEXT(Overig!L212,""",""???0;"",""??-0;"",""???0;"", 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//"""),"'","""")&amp;SUBSTITUTE(TEXT(Overig!R212,""",""????0;"",""???-0;"",""????0;"", ////"""),"'","""")&amp;SUBSTITUTE(TEXT(Overig!S212,""",""?00;"",""?-00;"",""?00;"", //"""),"'","""")&amp;SUBSTITUTE(TEXT(IF(ISTEXT(Overig!T212),Overig!T212,10*Overig!T212),""",""????0;"",""???-0;"",""????0;"", ////"""),"'","""")&amp;SUBSTITUTE(TEXT(Overig!U212,""",""?00;"",""?-00;"",""?00;"", //"""),"'","""")&amp;SUBSTITUTE(TEXT(Overig!V212,""",""???0;"",""??-0;"",""???0;"", ///"""),"'","""")&amp;SUBSTITUTE(TEXT(Overig!W212,""",""?00;"",""?-00;"",""?00;"", //"""),"'","""")</f>
        <v>032, 19400222, 17.00, 7600, 00,  269, 00, ////, 07, ////, 07,  71, 00,  188, 00,  228, 00,   45, 00,    5, 00,   5, 00</v>
      </c>
    </row>
    <row r="213" spans="1:1" x14ac:dyDescent="0.25">
      <c r="A213" s="12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//"""),"'","""")&amp;SUBSTITUTE(TEXT(Overig!L213,""",""???0;"",""??-0;"",""???0;"", 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//"""),"'","""")&amp;SUBSTITUTE(TEXT(Overig!R213,""",""????0;"",""???-0;"",""????0;"", ////"""),"'","""")&amp;SUBSTITUTE(TEXT(Overig!S213,""",""?00;"",""?-00;"",""?00;"", //"""),"'","""")&amp;SUBSTITUTE(TEXT(IF(ISTEXT(Overig!T213),Overig!T213,10*Overig!T213),""",""????0;"",""???-0;"",""????0;"", ////"""),"'","""")&amp;SUBSTITUTE(TEXT(Overig!U213,""",""?00;"",""?-00;"",""?00;"", //"""),"'","""")&amp;SUBSTITUTE(TEXT(Overig!V213,""",""???0;"",""??-0;"",""???0;"", ///"""),"'","""")&amp;SUBSTITUTE(TEXT(Overig!W213,""",""?00;"",""?-00;"",""?00;"", //"""),"'","""")</f>
        <v>032, 19400222, 24.00, ////, 07, ////, 07,  280, 00,  295, 00, ///, 07, ////, 07, ////, 07, ////, 07, ////, 07, ///, 07</v>
      </c>
    </row>
    <row r="214" spans="1:1" x14ac:dyDescent="0.25">
      <c r="A214" s="12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//"""),"'","""")&amp;SUBSTITUTE(TEXT(Overig!L214,""",""???0;"",""??-0;"",""???0;"", 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//"""),"'","""")&amp;SUBSTITUTE(TEXT(Overig!R214,""",""????0;"",""???-0;"",""????0;"", ////"""),"'","""")&amp;SUBSTITUTE(TEXT(Overig!S214,""",""?00;"",""?-00;"",""?00;"", //"""),"'","""")&amp;SUBSTITUTE(TEXT(IF(ISTEXT(Overig!T214),Overig!T214,10*Overig!T214),""",""????0;"",""???-0;"",""????0;"", ////"""),"'","""")&amp;SUBSTITUTE(TEXT(Overig!U214,""",""?00;"",""?-00;"",""?00;"", //"""),"'","""")&amp;SUBSTITUTE(TEXT(Overig!V214,""",""???0;"",""??-0;"",""???0;"", ///"""),"'","""")&amp;SUBSTITUTE(TEXT(Overig!W214,""",""?00;"",""?-00;"",""?00;"", //"""),"'","""")</f>
        <v>032, 19400223, 07.00, 7610, 00,  251, 00, ////, 07, ////, 07,  79, 00,  192, 00,  226, 00,   65, 00,    4, 00,   3, 00</v>
      </c>
    </row>
    <row r="215" spans="1:1" x14ac:dyDescent="0.25">
      <c r="A215" s="12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//"""),"'","""")&amp;SUBSTITUTE(TEXT(Overig!L215,""",""???0;"",""??-0;"",""???0;"", 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//"""),"'","""")&amp;SUBSTITUTE(TEXT(Overig!R215,""",""????0;"",""???-0;"",""????0;"", ////"""),"'","""")&amp;SUBSTITUTE(TEXT(Overig!S215,""",""?00;"",""?-00;"",""?00;"", //"""),"'","""")&amp;SUBSTITUTE(TEXT(IF(ISTEXT(Overig!T215),Overig!T215,10*Overig!T215),""",""????0;"",""???-0;"",""????0;"", ////"""),"'","""")&amp;SUBSTITUTE(TEXT(Overig!U215,""",""?00;"",""?-00;"",""?00;"", //"""),"'","""")&amp;SUBSTITUTE(TEXT(Overig!V215,""",""???0;"",""??-0;"",""???0;"", ///"""),"'","""")&amp;SUBSTITUTE(TEXT(Overig!W215,""",""?00;"",""?-00;"",""?00;"", //"""),"'","""")</f>
        <v>032, 19400223, 12.00, 7605, 00,  275, 00, ////, 07, ////, 07,  67, 00,  185, 00,  228, 00,   65, 00,    5, 00,   3, 00</v>
      </c>
    </row>
    <row r="216" spans="1:1" x14ac:dyDescent="0.25">
      <c r="A216" s="12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//"""),"'","""")&amp;SUBSTITUTE(TEXT(Overig!L216,""",""???0;"",""??-0;"",""???0;"", 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//"""),"'","""")&amp;SUBSTITUTE(TEXT(Overig!R216,""",""????0;"",""???-0;"",""????0;"", ////"""),"'","""")&amp;SUBSTITUTE(TEXT(Overig!S216,""",""?00;"",""?-00;"",""?00;"", //"""),"'","""")&amp;SUBSTITUTE(TEXT(IF(ISTEXT(Overig!T216),Overig!T216,10*Overig!T216),""",""????0;"",""???-0;"",""????0;"", ////"""),"'","""")&amp;SUBSTITUTE(TEXT(Overig!U216,""",""?00;"",""?-00;"",""?00;"", //"""),"'","""")&amp;SUBSTITUTE(TEXT(Overig!V216,""",""???0;"",""??-0;"",""???0;"", ///"""),"'","""")&amp;SUBSTITUTE(TEXT(Overig!W216,""",""?00;"",""?-00;"",""?00;"", //"""),"'","""")</f>
        <v>032, 19400223, 17.00, 7607, 00,  273, 00, ////, 07, ////, 07,  68, 00,  186, 00,  228, 00,   45, 00,    5, 00,   3, 00</v>
      </c>
    </row>
    <row r="217" spans="1:1" x14ac:dyDescent="0.25">
      <c r="A217" s="12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//"""),"'","""")&amp;SUBSTITUTE(TEXT(Overig!L217,""",""???0;"",""??-0;"",""???0;"", 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//"""),"'","""")&amp;SUBSTITUTE(TEXT(Overig!R217,""",""????0;"",""???-0;"",""????0;"", ////"""),"'","""")&amp;SUBSTITUTE(TEXT(Overig!S217,""",""?00;"",""?-00;"",""?00;"", //"""),"'","""")&amp;SUBSTITUTE(TEXT(IF(ISTEXT(Overig!T217),Overig!T217,10*Overig!T217),""",""????0;"",""???-0;"",""????0;"", ////"""),"'","""")&amp;SUBSTITUTE(TEXT(Overig!U217,""",""?00;"",""?-00;"",""?00;"", //"""),"'","""")&amp;SUBSTITUTE(TEXT(Overig!V217,""",""???0;"",""??-0;"",""???0;"", ///"""),"'","""")&amp;SUBSTITUTE(TEXT(Overig!W217,""",""?00;"",""?-00;"",""?00;"", //"""),"'","""")</f>
        <v>032, 19400223, 24.00, ////, 07, ////, 07,  280, 00,  295, 00, ///, 07, ////, 07, ////, 07, ////, 07, ////, 07, ///, 07</v>
      </c>
    </row>
    <row r="218" spans="1:1" x14ac:dyDescent="0.25">
      <c r="A218" s="12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//"""),"'","""")&amp;SUBSTITUTE(TEXT(Overig!L218,""",""???0;"",""??-0;"",""???0;"", 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//"""),"'","""")&amp;SUBSTITUTE(TEXT(Overig!R218,""",""????0;"",""???-0;"",""????0;"", ////"""),"'","""")&amp;SUBSTITUTE(TEXT(Overig!S218,""",""?00;"",""?-00;"",""?00;"", //"""),"'","""")&amp;SUBSTITUTE(TEXT(IF(ISTEXT(Overig!T218),Overig!T218,10*Overig!T218),""",""????0;"",""???-0;"",""????0;"", ////"""),"'","""")&amp;SUBSTITUTE(TEXT(Overig!U218,""",""?00;"",""?-00;"",""?00;"", //"""),"'","""")&amp;SUBSTITUTE(TEXT(Overig!V218,""",""???0;"",""??-0;"",""???0;"", ///"""),"'","""")&amp;SUBSTITUTE(TEXT(Overig!W218,""",""?00;"",""?-00;"",""?00;"", //"""),"'","""")</f>
        <v>032, 19400224, 07.00, 7602, 00,  255, 00, ////, 07, ////, 07,  79, 00,  195, 00,  228, 00,   65, 00,    4, 00,   5, 00</v>
      </c>
    </row>
    <row r="219" spans="1:1" x14ac:dyDescent="0.25">
      <c r="A219" s="12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//"""),"'","""")&amp;SUBSTITUTE(TEXT(Overig!L219,""",""???0;"",""??-0;"",""???0;"", 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//"""),"'","""")&amp;SUBSTITUTE(TEXT(Overig!R219,""",""????0;"",""???-0;"",""????0;"", ////"""),"'","""")&amp;SUBSTITUTE(TEXT(Overig!S219,""",""?00;"",""?-00;"",""?00;"", //"""),"'","""")&amp;SUBSTITUTE(TEXT(IF(ISTEXT(Overig!T219),Overig!T219,10*Overig!T219),""",""????0;"",""???-0;"",""????0;"", ////"""),"'","""")&amp;SUBSTITUTE(TEXT(Overig!U219,""",""?00;"",""?-00;"",""?00;"", //"""),"'","""")&amp;SUBSTITUTE(TEXT(Overig!V219,""",""???0;"",""??-0;"",""???0;"", ///"""),"'","""")&amp;SUBSTITUTE(TEXT(Overig!W219,""",""?00;"",""?-00;"",""?00;"", //"""),"'","""")</f>
        <v>032, 19400224, 12.00, 7607, 00,  275, 00, ////, 07, ////, 07,  68, 00,  188, 00,  230, 00,   65, 00,    5, 00,   3, 00</v>
      </c>
    </row>
    <row r="220" spans="1:1" x14ac:dyDescent="0.25">
      <c r="A220" s="12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//"""),"'","""")&amp;SUBSTITUTE(TEXT(Overig!L220,""",""???0;"",""??-0;"",""???0;"", 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//"""),"'","""")&amp;SUBSTITUTE(TEXT(Overig!R220,""",""????0;"",""???-0;"",""????0;"", ////"""),"'","""")&amp;SUBSTITUTE(TEXT(Overig!S220,""",""?00;"",""?-00;"",""?00;"", //"""),"'","""")&amp;SUBSTITUTE(TEXT(IF(ISTEXT(Overig!T220),Overig!T220,10*Overig!T220),""",""????0;"",""???-0;"",""????0;"", ////"""),"'","""")&amp;SUBSTITUTE(TEXT(Overig!U220,""",""?00;"",""?-00;"",""?00;"", //"""),"'","""")&amp;SUBSTITUTE(TEXT(Overig!V220,""",""???0;"",""??-0;"",""???0;"", ///"""),"'","""")&amp;SUBSTITUTE(TEXT(Overig!W220,""",""?00;"",""?-00;"",""?00;"", //"""),"'","""")</f>
        <v>032, 19400224, 17.00, 7595, 00,  273, 00, ////, 07, ////, 07,  68, 00,  186, 00,  228, 00,   65, 00,    5, 00,   3, 00</v>
      </c>
    </row>
    <row r="221" spans="1:1" x14ac:dyDescent="0.25">
      <c r="A221" s="12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//"""),"'","""")&amp;SUBSTITUTE(TEXT(Overig!L221,""",""???0;"",""??-0;"",""???0;"", 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//"""),"'","""")&amp;SUBSTITUTE(TEXT(Overig!R221,""",""????0;"",""???-0;"",""????0;"", ////"""),"'","""")&amp;SUBSTITUTE(TEXT(Overig!S221,""",""?00;"",""?-00;"",""?00;"", //"""),"'","""")&amp;SUBSTITUTE(TEXT(IF(ISTEXT(Overig!T221),Overig!T221,10*Overig!T221),""",""????0;"",""???-0;"",""????0;"", ////"""),"'","""")&amp;SUBSTITUTE(TEXT(Overig!U221,""",""?00;"",""?-00;"",""?00;"", //"""),"'","""")&amp;SUBSTITUTE(TEXT(Overig!V221,""",""???0;"",""??-0;"",""???0;"", ///"""),"'","""")&amp;SUBSTITUTE(TEXT(Overig!W221,""",""?00;"",""?-00;"",""?00;"", //"""),"'","""")</f>
        <v>032, 19400224, 24.00, ////, 07, ////, 07,  270, 00,  290, 00, ///, 07, ////, 07, ////, 07, ////, 07, ////, 07, ///, 07</v>
      </c>
    </row>
    <row r="222" spans="1:1" x14ac:dyDescent="0.25">
      <c r="A222" s="12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//"""),"'","""")&amp;SUBSTITUTE(TEXT(Overig!L222,""",""???0;"",""??-0;"",""???0;"", 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//"""),"'","""")&amp;SUBSTITUTE(TEXT(Overig!R222,""",""????0;"",""???-0;"",""????0;"", ////"""),"'","""")&amp;SUBSTITUTE(TEXT(Overig!S222,""",""?00;"",""?-00;"",""?00;"", //"""),"'","""")&amp;SUBSTITUTE(TEXT(IF(ISTEXT(Overig!T222),Overig!T222,10*Overig!T222),""",""????0;"",""???-0;"",""????0;"", ////"""),"'","""")&amp;SUBSTITUTE(TEXT(Overig!U222,""",""?00;"",""?-00;"",""?00;"", //"""),"'","""")&amp;SUBSTITUTE(TEXT(Overig!V222,""",""???0;"",""??-0;"",""???0;"", ///"""),"'","""")&amp;SUBSTITUTE(TEXT(Overig!W222,""",""?00;"",""?-00;"",""?00;"", //"""),"'","""")</f>
        <v>032, 19400225, 07.00, 7612, 00,  251, 00, ////, 07, ////, 07,  82, 00,  197, 00,  228, 00,   65, 00,    2, 00,   4, 00</v>
      </c>
    </row>
    <row r="223" spans="1:1" x14ac:dyDescent="0.25">
      <c r="A223" s="12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//"""),"'","""")&amp;SUBSTITUTE(TEXT(Overig!L223,""",""???0;"",""??-0;"",""???0;"", 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//"""),"'","""")&amp;SUBSTITUTE(TEXT(Overig!R223,""",""????0;"",""???-0;"",""????0;"", ////"""),"'","""")&amp;SUBSTITUTE(TEXT(Overig!S223,""",""?00;"",""?-00;"",""?00;"", //"""),"'","""")&amp;SUBSTITUTE(TEXT(IF(ISTEXT(Overig!T223),Overig!T223,10*Overig!T223),""",""????0;"",""???-0;"",""????0;"", ////"""),"'","""")&amp;SUBSTITUTE(TEXT(Overig!U223,""",""?00;"",""?-00;"",""?00;"", //"""),"'","""")&amp;SUBSTITUTE(TEXT(Overig!V223,""",""???0;"",""??-0;"",""???0;"", ///"""),"'","""")&amp;SUBSTITUTE(TEXT(Overig!W223,""",""?00;"",""?-00;"",""?00;"", //"""),"'","""")</f>
        <v>032, 19400225, 12.00, 7607, 00,  273, 00, ////, 07, ////, 07,  69, 00,  189, 00,  230, 00,   65, 00,    4, 00,   3, 00</v>
      </c>
    </row>
    <row r="224" spans="1:1" x14ac:dyDescent="0.25">
      <c r="A224" s="12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//"""),"'","""")&amp;SUBSTITUTE(TEXT(Overig!L224,""",""???0;"",""??-0;"",""???0;"", 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//"""),"'","""")&amp;SUBSTITUTE(TEXT(Overig!R224,""",""????0;"",""???-0;"",""????0;"", ////"""),"'","""")&amp;SUBSTITUTE(TEXT(Overig!S224,""",""?00;"",""?-00;"",""?00;"", //"""),"'","""")&amp;SUBSTITUTE(TEXT(IF(ISTEXT(Overig!T224),Overig!T224,10*Overig!T224),""",""????0;"",""???-0;"",""????0;"", ////"""),"'","""")&amp;SUBSTITUTE(TEXT(Overig!U224,""",""?00;"",""?-00;"",""?00;"", //"""),"'","""")&amp;SUBSTITUTE(TEXT(Overig!V224,""",""???0;"",""??-0;"",""???0;"", ///"""),"'","""")&amp;SUBSTITUTE(TEXT(Overig!W224,""",""?00;"",""?-00;"",""?00;"", //"""),"'","""")</f>
        <v>032, 19400225, 17.00, 7607, 00,  269, 00, ////, 07, ////, 07,  71, 00,  188, 00,  228, 00,   65, 00,    5, 00,   3, 00</v>
      </c>
    </row>
    <row r="225" spans="1:1" x14ac:dyDescent="0.25">
      <c r="A225" s="12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//"""),"'","""")&amp;SUBSTITUTE(TEXT(Overig!L225,""",""???0;"",""??-0;"",""???0;"", 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//"""),"'","""")&amp;SUBSTITUTE(TEXT(Overig!R225,""",""????0;"",""???-0;"",""????0;"", ////"""),"'","""")&amp;SUBSTITUTE(TEXT(Overig!S225,""",""?00;"",""?-00;"",""?00;"", //"""),"'","""")&amp;SUBSTITUTE(TEXT(IF(ISTEXT(Overig!T225),Overig!T225,10*Overig!T225),""",""????0;"",""???-0;"",""????0;"", ////"""),"'","""")&amp;SUBSTITUTE(TEXT(Overig!U225,""",""?00;"",""?-00;"",""?00;"", //"""),"'","""")&amp;SUBSTITUTE(TEXT(Overig!V225,""",""???0;"",""??-0;"",""???0;"", ///"""),"'","""")&amp;SUBSTITUTE(TEXT(Overig!W225,""",""?00;"",""?-00;"",""?00;"", //"""),"'","""")</f>
        <v>032, 19400225, 24.00, ////, 07, ////, 07,  260, 00,  284, 00, ///, 07, ////, 07, ////, 07, ////, 07, ////, 07, ///, 07</v>
      </c>
    </row>
    <row r="226" spans="1:1" x14ac:dyDescent="0.25">
      <c r="A226" s="12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//"""),"'","""")&amp;SUBSTITUTE(TEXT(Overig!L226,""",""???0;"",""??-0;"",""???0;"", 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//"""),"'","""")&amp;SUBSTITUTE(TEXT(Overig!R226,""",""????0;"",""???-0;"",""????0;"", ////"""),"'","""")&amp;SUBSTITUTE(TEXT(Overig!S226,""",""?00;"",""?-00;"",""?00;"", //"""),"'","""")&amp;SUBSTITUTE(TEXT(IF(ISTEXT(Overig!T226),Overig!T226,10*Overig!T226),""",""????0;"",""???-0;"",""????0;"", ////"""),"'","""")&amp;SUBSTITUTE(TEXT(Overig!U226,""",""?00;"",""?-00;"",""?00;"", //"""),"'","""")&amp;SUBSTITUTE(TEXT(Overig!V226,""",""???0;"",""??-0;"",""???0;"", ///"""),"'","""")&amp;SUBSTITUTE(TEXT(Overig!W226,""",""?00;"",""?-00;"",""?00;"", //"""),"'","""")</f>
        <v>032, 19400226, 07.00, 7602, 00,  250, 00, ////, 07, ////, 07,  80, 00,  190, 00,  224, 00,   90, 00,    2, 00,   8, 00</v>
      </c>
    </row>
    <row r="227" spans="1:1" x14ac:dyDescent="0.25">
      <c r="A227" s="12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//"""),"'","""")&amp;SUBSTITUTE(TEXT(Overig!L227,""",""???0;"",""??-0;"",""???0;"", 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//"""),"'","""")&amp;SUBSTITUTE(TEXT(Overig!R227,""",""????0;"",""???-0;"",""????0;"", ////"""),"'","""")&amp;SUBSTITUTE(TEXT(Overig!S227,""",""?00;"",""?-00;"",""?00;"", //"""),"'","""")&amp;SUBSTITUTE(TEXT(IF(ISTEXT(Overig!T227),Overig!T227,10*Overig!T227),""",""????0;"",""???-0;"",""????0;"", ////"""),"'","""")&amp;SUBSTITUTE(TEXT(Overig!U227,""",""?00;"",""?-00;"",""?00;"", //"""),"'","""")&amp;SUBSTITUTE(TEXT(Overig!V227,""",""???0;"",""??-0;"",""???0;"", ///"""),"'","""")&amp;SUBSTITUTE(TEXT(Overig!W227,""",""?00;"",""?-00;"",""?00;"", //"""),"'","""")</f>
        <v>032, 19400226, 12.00, 7610, 00,  295, 00, ////, 07, ////, 07,  63, 00,  196, 00,  240, 00,   65, 00,    3, 00,   5, 00</v>
      </c>
    </row>
    <row r="228" spans="1:1" x14ac:dyDescent="0.25">
      <c r="A228" s="12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//"""),"'","""")&amp;SUBSTITUTE(TEXT(Overig!L228,""",""???0;"",""??-0;"",""???0;"", 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//"""),"'","""")&amp;SUBSTITUTE(TEXT(Overig!R228,""",""????0;"",""???-0;"",""????0;"", ////"""),"'","""")&amp;SUBSTITUTE(TEXT(Overig!S228,""",""?00;"",""?-00;"",""?00;"", //"""),"'","""")&amp;SUBSTITUTE(TEXT(IF(ISTEXT(Overig!T228),Overig!T228,10*Overig!T228),""",""????0;"",""???-0;"",""????0;"", ////"""),"'","""")&amp;SUBSTITUTE(TEXT(Overig!U228,""",""?00;"",""?-00;"",""?00;"", //"""),"'","""")&amp;SUBSTITUTE(TEXT(Overig!V228,""",""???0;"",""??-0;"",""???0;"", ///"""),"'","""")&amp;SUBSTITUTE(TEXT(Overig!W228,""",""?00;"",""?-00;"",""?00;"", //"""),"'","""")</f>
        <v>032, 19400226, 17.00, 7612, 00,  291, 00, ////, 07, ////, 07,  66, 00,  198, 00,  240, 00,   25, 00,    1, 00,   8, 00</v>
      </c>
    </row>
    <row r="229" spans="1:1" x14ac:dyDescent="0.25">
      <c r="A229" s="12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//"""),"'","""")&amp;SUBSTITUTE(TEXT(Overig!L229,""",""???0;"",""??-0;"",""???0;"", 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//"""),"'","""")&amp;SUBSTITUTE(TEXT(Overig!R229,""",""????0;"",""???-0;"",""????0;"", ////"""),"'","""")&amp;SUBSTITUTE(TEXT(Overig!S229,""",""?00;"",""?-00;"",""?00;"", //"""),"'","""")&amp;SUBSTITUTE(TEXT(IF(ISTEXT(Overig!T229),Overig!T229,10*Overig!T229),""",""????0;"",""???-0;"",""????0;"", ////"""),"'","""")&amp;SUBSTITUTE(TEXT(Overig!U229,""",""?00;"",""?-00;"",""?00;"", //"""),"'","""")&amp;SUBSTITUTE(TEXT(Overig!V229,""",""???0;"",""??-0;"",""???0;"", ///"""),"'","""")&amp;SUBSTITUTE(TEXT(Overig!W229,""",""?00;"",""?-00;"",""?00;"", //"""),"'","""")</f>
        <v>032, 19400226, 24.00, ////, 07, ////, 07,  258, 00,  308, 00, ///, 07, ////, 07, ////, 07, ////, 07, ////, 07, ///, 07</v>
      </c>
    </row>
    <row r="230" spans="1:1" x14ac:dyDescent="0.25">
      <c r="A230" s="12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//"""),"'","""")&amp;SUBSTITUTE(TEXT(Overig!L230,""",""???0;"",""??-0;"",""???0;"", 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//"""),"'","""")&amp;SUBSTITUTE(TEXT(Overig!R230,""",""????0;"",""???-0;"",""????0;"", ////"""),"'","""")&amp;SUBSTITUTE(TEXT(Overig!S230,""",""?00;"",""?-00;"",""?00;"", //"""),"'","""")&amp;SUBSTITUTE(TEXT(IF(ISTEXT(Overig!T230),Overig!T230,10*Overig!T230),""",""????0;"",""???-0;"",""????0;"", ////"""),"'","""")&amp;SUBSTITUTE(TEXT(Overig!U230,""",""?00;"",""?-00;"",""?00;"", //"""),"'","""")&amp;SUBSTITUTE(TEXT(Overig!V230,""",""???0;"",""??-0;"",""???0;"", ///"""),"'","""")&amp;SUBSTITUTE(TEXT(Overig!W230,""",""?00;"",""?-00;"",""?00;"", //"""),"'","""")</f>
        <v>032, 19400227, 07.00, 7587, 00,  259, 00, ////, 07, ////, 07,  82, 00,  207, 00,  236, 00,   45, 00,    3, 00,   3, 00</v>
      </c>
    </row>
    <row r="231" spans="1:1" x14ac:dyDescent="0.25">
      <c r="A231" s="12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//"""),"'","""")&amp;SUBSTITUTE(TEXT(Overig!L231,""",""???0;"",""??-0;"",""???0;"", 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//"""),"'","""")&amp;SUBSTITUTE(TEXT(Overig!R231,""",""????0;"",""???-0;"",""????0;"", ////"""),"'","""")&amp;SUBSTITUTE(TEXT(Overig!S231,""",""?00;"",""?-00;"",""?00;"", //"""),"'","""")&amp;SUBSTITUTE(TEXT(IF(ISTEXT(Overig!T231),Overig!T231,10*Overig!T231),""",""????0;"",""???-0;"",""????0;"", ////"""),"'","""")&amp;SUBSTITUTE(TEXT(Overig!U231,""",""?00;"",""?-00;"",""?00;"", //"""),"'","""")&amp;SUBSTITUTE(TEXT(Overig!V231,""",""???0;"",""??-0;"",""???0;"", ///"""),"'","""")&amp;SUBSTITUTE(TEXT(Overig!W231,""",""?00;"",""?-00;"",""?00;"", //"""),"'","""")</f>
        <v>032, 19400227, 12.00, 7585, 00,  275, 00, ////, 07, ////, 07,  72, 00,  199, 00,  236, 00,   45, 00,    4, 00,   5, 00</v>
      </c>
    </row>
    <row r="232" spans="1:1" x14ac:dyDescent="0.25">
      <c r="A232" s="12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//"""),"'","""")&amp;SUBSTITUTE(TEXT(Overig!L232,""",""???0;"",""??-0;"",""???0;"", 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//"""),"'","""")&amp;SUBSTITUTE(TEXT(Overig!R232,""",""????0;"",""???-0;"",""????0;"", ////"""),"'","""")&amp;SUBSTITUTE(TEXT(Overig!S232,""",""?00;"",""?-00;"",""?00;"", //"""),"'","""")&amp;SUBSTITUTE(TEXT(IF(ISTEXT(Overig!T232),Overig!T232,10*Overig!T232),""",""????0;"",""???-0;"",""????0;"", ////"""),"'","""")&amp;SUBSTITUTE(TEXT(Overig!U232,""",""?00;"",""?-00;"",""?00;"", //"""),"'","""")&amp;SUBSTITUTE(TEXT(Overig!V232,""",""???0;"",""??-0;"",""???0;"", ///"""),"'","""")&amp;SUBSTITUTE(TEXT(Overig!W232,""",""?00;"",""?-00;"",""?00;"", //"""),"'","""")</f>
        <v>032, 19400227, 17.00, 7585, 00,  273, 00, ////, 07, ////, 07,  72, 00,  196, 00,  234, 00,   45, 00,    3, 00,   3, 00</v>
      </c>
    </row>
    <row r="233" spans="1:1" x14ac:dyDescent="0.25">
      <c r="A233" s="12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//"""),"'","""")&amp;SUBSTITUTE(TEXT(Overig!L233,""",""???0;"",""??-0;"",""???0;"", 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//"""),"'","""")&amp;SUBSTITUTE(TEXT(Overig!R233,""",""????0;"",""???-0;"",""????0;"", ////"""),"'","""")&amp;SUBSTITUTE(TEXT(Overig!S233,""",""?00;"",""?-00;"",""?00;"", //"""),"'","""")&amp;SUBSTITUTE(TEXT(IF(ISTEXT(Overig!T233),Overig!T233,10*Overig!T233),""",""????0;"",""???-0;"",""????0;"", ////"""),"'","""")&amp;SUBSTITUTE(TEXT(Overig!U233,""",""?00;"",""?-00;"",""?00;"", //"""),"'","""")&amp;SUBSTITUTE(TEXT(Overig!V233,""",""???0;"",""??-0;"",""???0;"", ///"""),"'","""")&amp;SUBSTITUTE(TEXT(Overig!W233,""",""?00;"",""?-00;"",""?00;"", //"""),"'","""")</f>
        <v>032, 19400227, 24.00, ////, 07, ////, 07,  268, 00,  298, 00, ///, 07, ////, 07, ////, 07, ////, 07, ////, 07, ///, 07</v>
      </c>
    </row>
    <row r="234" spans="1:1" x14ac:dyDescent="0.25">
      <c r="A234" s="12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//"""),"'","""")&amp;SUBSTITUTE(TEXT(Overig!L234,""",""???0;"",""??-0;"",""???0;"", 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//"""),"'","""")&amp;SUBSTITUTE(TEXT(Overig!R234,""",""????0;"",""???-0;"",""????0;"", ////"""),"'","""")&amp;SUBSTITUTE(TEXT(Overig!S234,""",""?00;"",""?-00;"",""?00;"", //"""),"'","""")&amp;SUBSTITUTE(TEXT(IF(ISTEXT(Overig!T234),Overig!T234,10*Overig!T234),""",""????0;"",""???-0;"",""????0;"", ////"""),"'","""")&amp;SUBSTITUTE(TEXT(Overig!U234,""",""?00;"",""?-00;"",""?00;"", //"""),"'","""")&amp;SUBSTITUTE(TEXT(Overig!V234,""",""???0;"",""??-0;"",""???0;"", ///"""),"'","""")&amp;SUBSTITUTE(TEXT(Overig!W234,""",""?00;"",""?-00;"",""?00;"", //"""),"'","""")</f>
        <v>032, 19400228, 07.00, 7597, 00,  270, 00, ////, 07, ////, 07,  71, 00,  191, 00,  230, 00,   45, 00,    3, 00,   5, 00</v>
      </c>
    </row>
    <row r="235" spans="1:1" x14ac:dyDescent="0.25">
      <c r="A235" s="12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//"""),"'","""")&amp;SUBSTITUTE(TEXT(Overig!L235,""",""???0;"",""??-0;"",""???0;"", 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//"""),"'","""")&amp;SUBSTITUTE(TEXT(Overig!R235,""",""????0;"",""???-0;"",""????0;"", ////"""),"'","""")&amp;SUBSTITUTE(TEXT(Overig!S235,""",""?00;"",""?-00;"",""?00;"", //"""),"'","""")&amp;SUBSTITUTE(TEXT(IF(ISTEXT(Overig!T235),Overig!T235,10*Overig!T235),""",""????0;"",""???-0;"",""????0;"", ////"""),"'","""")&amp;SUBSTITUTE(TEXT(Overig!U235,""",""?00;"",""?-00;"",""?00;"", //"""),"'","""")&amp;SUBSTITUTE(TEXT(Overig!V235,""",""???0;"",""??-0;"",""???0;"", ///"""),"'","""")&amp;SUBSTITUTE(TEXT(Overig!W235,""",""?00;"",""?-00;"",""?00;"", //"""),"'","""")</f>
        <v>032, 19400228, 12.00, 7589, 00,  279, 00, ////, 07, ////, 07,  67, 00,  188, 00,  231, 00,   45, 00,    5, 00,   5, 00</v>
      </c>
    </row>
    <row r="236" spans="1:1" x14ac:dyDescent="0.25">
      <c r="A236" s="12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//"""),"'","""")&amp;SUBSTITUTE(TEXT(Overig!L236,""",""???0;"",""??-0;"",""???0;"", 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//"""),"'","""")&amp;SUBSTITUTE(TEXT(Overig!R236,""",""????0;"",""???-0;"",""????0;"", ////"""),"'","""")&amp;SUBSTITUTE(TEXT(Overig!S236,""",""?00;"",""?-00;"",""?00;"", //"""),"'","""")&amp;SUBSTITUTE(TEXT(IF(ISTEXT(Overig!T236),Overig!T236,10*Overig!T236),""",""????0;"",""???-0;"",""????0;"", ////"""),"'","""")&amp;SUBSTITUTE(TEXT(Overig!U236,""",""?00;"",""?-00;"",""?00;"", //"""),"'","""")&amp;SUBSTITUTE(TEXT(Overig!V236,""",""???0;"",""??-0;"",""???0;"", ///"""),"'","""")&amp;SUBSTITUTE(TEXT(Overig!W236,""",""?00;"",""?-00;"",""?00;"", //"""),"'","""")</f>
        <v>032, 19400228, 17.00, 7582, 00,  274, 00, ////, 07, ////, 07,  68, 00,  185, 00,  228, 00,   45, 00,    4, 00,   2, 00</v>
      </c>
    </row>
    <row r="237" spans="1:1" x14ac:dyDescent="0.25">
      <c r="A237" s="12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//"""),"'","""")&amp;SUBSTITUTE(TEXT(Overig!L237,""",""???0;"",""??-0;"",""???0;"", 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//"""),"'","""")&amp;SUBSTITUTE(TEXT(Overig!R237,""",""????0;"",""???-0;"",""????0;"", ////"""),"'","""")&amp;SUBSTITUTE(TEXT(Overig!S237,""",""?00;"",""?-00;"",""?00;"", //"""),"'","""")&amp;SUBSTITUTE(TEXT(IF(ISTEXT(Overig!T237),Overig!T237,10*Overig!T237),""",""????0;"",""???-0;"",""????0;"", ////"""),"'","""")&amp;SUBSTITUTE(TEXT(Overig!U237,""",""?00;"",""?-00;"",""?00;"", //"""),"'","""")&amp;SUBSTITUTE(TEXT(Overig!V237,""",""???0;"",""??-0;"",""???0;"", ///"""),"'","""")&amp;SUBSTITUTE(TEXT(Overig!W237,""",""?00;"",""?-00;"",""?00;"", //"""),"'","""")</f>
        <v>032, 19400228, 24.00, ////, 07, ////, 07,  284, 00,  294, 00, ///, 07, ////, 07, ////, 07, ////, 07, ////, 07, ///, 07</v>
      </c>
    </row>
    <row r="238" spans="1:1" x14ac:dyDescent="0.25">
      <c r="A238" s="12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//"""),"'","""")&amp;SUBSTITUTE(TEXT(Overig!L238,""",""???0;"",""??-0;"",""???0;"", 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//"""),"'","""")&amp;SUBSTITUTE(TEXT(Overig!R238,""",""????0;"",""???-0;"",""????0;"", ////"""),"'","""")&amp;SUBSTITUTE(TEXT(Overig!S238,""",""?00;"",""?-00;"",""?00;"", //"""),"'","""")&amp;SUBSTITUTE(TEXT(IF(ISTEXT(Overig!T238),Overig!T238,10*Overig!T238),""",""????0;"",""???-0;"",""????0;"", ////"""),"'","""")&amp;SUBSTITUTE(TEXT(Overig!U238,""",""?00;"",""?-00;"",""?00;"", //"""),"'","""")&amp;SUBSTITUTE(TEXT(Overig!V238,""",""???0;"",""??-0;"",""???0;"", ///"""),"'","""")&amp;SUBSTITUTE(TEXT(Overig!W238,""",""?00;"",""?-00;"",""?00;"", //"""),"'","""")</f>
        <v>032, 19400229, 07.00, 7597, 00,  265, 00, ////, 07, ////, 07,  73, 00,  190, 00,  228, 00,   65, 00,    4, 00,   2, 00</v>
      </c>
    </row>
    <row r="239" spans="1:1" x14ac:dyDescent="0.25">
      <c r="A239" s="12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//"""),"'","""")&amp;SUBSTITUTE(TEXT(Overig!L239,""",""???0;"",""??-0;"",""???0;"", 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//"""),"'","""")&amp;SUBSTITUTE(TEXT(Overig!R239,""",""????0;"",""???-0;"",""????0;"", ////"""),"'","""")&amp;SUBSTITUTE(TEXT(Overig!S239,""",""?00;"",""?-00;"",""?00;"", //"""),"'","""")&amp;SUBSTITUTE(TEXT(IF(ISTEXT(Overig!T239),Overig!T239,10*Overig!T239),""",""????0;"",""???-0;"",""????0;"", ////"""),"'","""")&amp;SUBSTITUTE(TEXT(Overig!U239,""",""?00;"",""?-00;"",""?00;"", //"""),"'","""")&amp;SUBSTITUTE(TEXT(Overig!V239,""",""???0;"",""??-0;"",""???0;"", ///"""),"'","""")&amp;SUBSTITUTE(TEXT(Overig!W239,""",""?00;"",""?-00;"",""?00;"", //"""),"'","""")</f>
        <v>032, 19400229, 12.00, 7607, 00,  269, 00, ////, 07, ////, 07,  73, 00,  195, 00,  232, 00,   65, 00,    5, 00,   3, 00</v>
      </c>
    </row>
    <row r="240" spans="1:1" x14ac:dyDescent="0.25">
      <c r="A240" s="12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//"""),"'","""")&amp;SUBSTITUTE(TEXT(Overig!L240,""",""???0;"",""??-0;"",""???0;"", 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//"""),"'","""")&amp;SUBSTITUTE(TEXT(Overig!R240,""",""????0;"",""???-0;"",""????0;"", ////"""),"'","""")&amp;SUBSTITUTE(TEXT(Overig!S240,""",""?00;"",""?-00;"",""?00;"", //"""),"'","""")&amp;SUBSTITUTE(TEXT(IF(ISTEXT(Overig!T240),Overig!T240,10*Overig!T240),""",""????0;"",""???-0;"",""????0;"", ////"""),"'","""")&amp;SUBSTITUTE(TEXT(Overig!U240,""",""?00;"",""?-00;"",""?00;"", //"""),"'","""")&amp;SUBSTITUTE(TEXT(Overig!V240,""",""???0;"",""??-0;"",""???0;"", ///"""),"'","""")&amp;SUBSTITUTE(TEXT(Overig!W240,""",""?00;"",""?-00;"",""?00;"", //"""),"'","""")</f>
        <v>032, 19400229, 17.00, 7610, 00,  261, 00, ////, 07, ////, 07,  77, 00,  195, 00,  230, 00,   45, 00,    5, 00,   3, 00</v>
      </c>
    </row>
    <row r="241" spans="1:1" x14ac:dyDescent="0.25">
      <c r="A241" s="12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//"""),"'","""")&amp;SUBSTITUTE(TEXT(Overig!L241,""",""???0;"",""??-0;"",""???0;"", 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//"""),"'","""")&amp;SUBSTITUTE(TEXT(Overig!R241,""",""????0;"",""???-0;"",""????0;"", ////"""),"'","""")&amp;SUBSTITUTE(TEXT(Overig!S241,""",""?00;"",""?-00;"",""?00;"", //"""),"'","""")&amp;SUBSTITUTE(TEXT(IF(ISTEXT(Overig!T241),Overig!T241,10*Overig!T241),""",""????0;"",""???-0;"",""????0;"", ////"""),"'","""")&amp;SUBSTITUTE(TEXT(Overig!U241,""",""?00;"",""?-00;"",""?00;"", //"""),"'","""")&amp;SUBSTITUTE(TEXT(Overig!V241,""",""???0;"",""??-0;"",""???0;"", ///"""),"'","""")&amp;SUBSTITUTE(TEXT(Overig!W241,""",""?00;"",""?-00;"",""?00;"", //"""),"'","""")</f>
        <v>032, 19400229, 24.00, ////, 07, ////, 07,  280, 00,  290, 00, ///, 07, ////, 07, ////, 07, ////, 07, ////, 07, ///, 07</v>
      </c>
    </row>
    <row r="242" spans="1:1" x14ac:dyDescent="0.25">
      <c r="A242" s="12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//"""),"'","""")&amp;SUBSTITUTE(TEXT(Overig!L242,""",""???0;"",""??-0;"",""???0;"", 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//"""),"'","""")&amp;SUBSTITUTE(TEXT(Overig!R242,""",""????0;"",""???-0;"",""????0;"", ////"""),"'","""")&amp;SUBSTITUTE(TEXT(Overig!S242,""",""?00;"",""?-00;"",""?00;"", //"""),"'","""")&amp;SUBSTITUTE(TEXT(IF(ISTEXT(Overig!T242),Overig!T242,10*Overig!T242),""",""????0;"",""???-0;"",""????0;"", ////"""),"'","""")&amp;SUBSTITUTE(TEXT(Overig!U242,""",""?00;"",""?-00;"",""?00;"", //"""),"'","""")&amp;SUBSTITUTE(TEXT(Overig!V242,""",""???0;"",""??-0;"",""???0;"", ///"""),"'","""")&amp;SUBSTITUTE(TEXT(Overig!W242,""",""?00;"",""?-00;"",""?00;"", //"""),"'","""")</f>
        <v>032, 19400301, 07.00, 7610, 00,  260, 00, ////, 07, ////, 07,  75, 00,  189, 00,  226, 00,   65, 00,    3, 00,   3, 00</v>
      </c>
    </row>
    <row r="243" spans="1:1" x14ac:dyDescent="0.25">
      <c r="A243" s="12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//"""),"'","""")&amp;SUBSTITUTE(TEXT(Overig!L243,""",""???0;"",""??-0;"",""???0;"", 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//"""),"'","""")&amp;SUBSTITUTE(TEXT(Overig!R243,""",""????0;"",""???-0;"",""????0;"", ////"""),"'","""")&amp;SUBSTITUTE(TEXT(Overig!S243,""",""?00;"",""?-00;"",""?00;"", //"""),"'","""")&amp;SUBSTITUTE(TEXT(IF(ISTEXT(Overig!T243),Overig!T243,10*Overig!T243),""",""????0;"",""???-0;"",""????0;"", ////"""),"'","""")&amp;SUBSTITUTE(TEXT(Overig!U243,""",""?00;"",""?-00;"",""?00;"", //"""),"'","""")&amp;SUBSTITUTE(TEXT(Overig!V243,""",""???0;"",""??-0;"",""???0;"", ///"""),"'","""")&amp;SUBSTITUTE(TEXT(Overig!W243,""",""?00;"",""?-00;"",""?00;"", //"""),"'","""")</f>
        <v>032, 19400301, 12.00, 7612, 00,  269, 00, ////, 07, ////, 07,  72, 00,  193, 00,  231, 00,   65, 00,    4, 00,   3, 00</v>
      </c>
    </row>
    <row r="244" spans="1:1" x14ac:dyDescent="0.25">
      <c r="A244" s="12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//"""),"'","""")&amp;SUBSTITUTE(TEXT(Overig!L244,""",""???0;"",""??-0;"",""???0;"", 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//"""),"'","""")&amp;SUBSTITUTE(TEXT(Overig!R244,""",""????0;"",""???-0;"",""????0;"", ////"""),"'","""")&amp;SUBSTITUTE(TEXT(Overig!S244,""",""?00;"",""?-00;"",""?00;"", //"""),"'","""")&amp;SUBSTITUTE(TEXT(IF(ISTEXT(Overig!T244),Overig!T244,10*Overig!T244),""",""????0;"",""???-0;"",""????0;"", ////"""),"'","""")&amp;SUBSTITUTE(TEXT(Overig!U244,""",""?00;"",""?-00;"",""?00;"", //"""),"'","""")&amp;SUBSTITUTE(TEXT(Overig!V244,""",""???0;"",""??-0;"",""???0;"", ///"""),"'","""")&amp;SUBSTITUTE(TEXT(Overig!W244,""",""?00;"",""?-00;"",""?00;"", //"""),"'","""")</f>
        <v>032, 19400301, 17.00, 7602, 00,  265, 00, ////, 07, ////, 07,  73, 00,  190, 00,  228, 00,   45, 00,    4, 00,   3, 00</v>
      </c>
    </row>
    <row r="245" spans="1:1" x14ac:dyDescent="0.25">
      <c r="A245" s="12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//"""),"'","""")&amp;SUBSTITUTE(TEXT(Overig!L245,""",""???0;"",""??-0;"",""???0;"", 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//"""),"'","""")&amp;SUBSTITUTE(TEXT(Overig!R245,""",""????0;"",""???-0;"",""????0;"", ////"""),"'","""")&amp;SUBSTITUTE(TEXT(Overig!S245,""",""?00;"",""?-00;"",""?00;"", //"""),"'","""")&amp;SUBSTITUTE(TEXT(IF(ISTEXT(Overig!T245),Overig!T245,10*Overig!T245),""",""????0;"",""???-0;"",""????0;"", ////"""),"'","""")&amp;SUBSTITUTE(TEXT(Overig!U245,""",""?00;"",""?-00;"",""?00;"", //"""),"'","""")&amp;SUBSTITUTE(TEXT(Overig!V245,""",""???0;"",""??-0;"",""???0;"", ///"""),"'","""")&amp;SUBSTITUTE(TEXT(Overig!W245,""",""?00;"",""?-00;"",""?00;"", //"""),"'","""")</f>
        <v>032, 19400301, 24.00, ////, 07, ////, 07,  274, 00,  286, 00, ///, 07, ////, 07, ////, 07, ////, 07, ////, 07, ///, 07</v>
      </c>
    </row>
    <row r="246" spans="1:1" x14ac:dyDescent="0.25">
      <c r="A246" s="12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//"""),"'","""")&amp;SUBSTITUTE(TEXT(Overig!L246,""",""???0;"",""??-0;"",""???0;"", 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//"""),"'","""")&amp;SUBSTITUTE(TEXT(Overig!R246,""",""????0;"",""???-0;"",""????0;"", ////"""),"'","""")&amp;SUBSTITUTE(TEXT(Overig!S246,""",""?00;"",""?-00;"",""?00;"", //"""),"'","""")&amp;SUBSTITUTE(TEXT(IF(ISTEXT(Overig!T246),Overig!T246,10*Overig!T246),""",""????0;"",""???-0;"",""????0;"", ////"""),"'","""")&amp;SUBSTITUTE(TEXT(Overig!U246,""",""?00;"",""?-00;"",""?00;"", //"""),"'","""")&amp;SUBSTITUTE(TEXT(Overig!V246,""",""???0;"",""??-0;"",""???0;"", ///"""),"'","""")&amp;SUBSTITUTE(TEXT(Overig!W246,""",""?00;"",""?-00;"",""?00;"", //"""),"'","""")</f>
        <v>032, 19400302, 07.00, 7610, 00,  263, 00, ////, 07, ////, 07,  73, 00,  187, 00,  226, 00,   25, 00,    3, 00,   2, 00</v>
      </c>
    </row>
    <row r="247" spans="1:1" x14ac:dyDescent="0.25">
      <c r="A247" s="12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//"""),"'","""")&amp;SUBSTITUTE(TEXT(Overig!L247,""",""???0;"",""??-0;"",""???0;"", 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//"""),"'","""")&amp;SUBSTITUTE(TEXT(Overig!R247,""",""????0;"",""???-0;"",""????0;"", ////"""),"'","""")&amp;SUBSTITUTE(TEXT(Overig!S247,""",""?00;"",""?-00;"",""?00;"", //"""),"'","""")&amp;SUBSTITUTE(TEXT(IF(ISTEXT(Overig!T247),Overig!T247,10*Overig!T247),""",""????0;"",""???-0;"",""????0;"", ////"""),"'","""")&amp;SUBSTITUTE(TEXT(Overig!U247,""",""?00;"",""?-00;"",""?00;"", //"""),"'","""")&amp;SUBSTITUTE(TEXT(Overig!V247,""",""???0;"",""??-0;"",""???0;"", ///"""),"'","""")&amp;SUBSTITUTE(TEXT(Overig!W247,""",""?00;"",""?-00;"",""?00;"", //"""),"'","""")</f>
        <v>032, 19400302, 12.00, 7595, 00,  269, 00, ////, 07, ////, 07,  72, 00,  191, 00,  230, 00,   25, 00,    5, 00,   2, 00</v>
      </c>
    </row>
    <row r="248" spans="1:1" x14ac:dyDescent="0.25">
      <c r="A248" s="12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//"""),"'","""")&amp;SUBSTITUTE(TEXT(Overig!L248,""",""???0;"",""??-0;"",""???0;"", 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//"""),"'","""")&amp;SUBSTITUTE(TEXT(Overig!R248,""",""????0;"",""???-0;"",""????0;"", ////"""),"'","""")&amp;SUBSTITUTE(TEXT(Overig!S248,""",""?00;"",""?-00;"",""?00;"", //"""),"'","""")&amp;SUBSTITUTE(TEXT(IF(ISTEXT(Overig!T248),Overig!T248,10*Overig!T248),""",""????0;"",""???-0;"",""????0;"", ////"""),"'","""")&amp;SUBSTITUTE(TEXT(Overig!U248,""",""?00;"",""?-00;"",""?00;"", //"""),"'","""")&amp;SUBSTITUTE(TEXT(Overig!V248,""",""???0;"",""??-0;"",""???0;"", ///"""),"'","""")&amp;SUBSTITUTE(TEXT(Overig!W248,""",""?00;"",""?-00;"",""?00;"", //"""),"'","""")</f>
        <v>032, 19400302, 17.00, 7595, 00,  261, 00, ////, 07, ////, 07,  76, 00,  192, 00,  228, 00,   25, 00,    5, 00,   1, 00</v>
      </c>
    </row>
    <row r="249" spans="1:1" x14ac:dyDescent="0.25">
      <c r="A249" s="12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//"""),"'","""")&amp;SUBSTITUTE(TEXT(Overig!L249,""",""???0;"",""??-0;"",""???0;"", 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//"""),"'","""")&amp;SUBSTITUTE(TEXT(Overig!R249,""",""????0;"",""???-0;"",""????0;"", ////"""),"'","""")&amp;SUBSTITUTE(TEXT(Overig!S249,""",""?00;"",""?-00;"",""?00;"", //"""),"'","""")&amp;SUBSTITUTE(TEXT(IF(ISTEXT(Overig!T249),Overig!T249,10*Overig!T249),""",""????0;"",""???-0;"",""????0;"", ////"""),"'","""")&amp;SUBSTITUTE(TEXT(Overig!U249,""",""?00;"",""?-00;"",""?00;"", //"""),"'","""")&amp;SUBSTITUTE(TEXT(Overig!V249,""",""???0;"",""??-0;"",""???0;"", ///"""),"'","""")&amp;SUBSTITUTE(TEXT(Overig!W249,""",""?00;"",""?-00;"",""?00;"", //"""),"'","""")</f>
        <v>032, 19400302, 24.00, ////, 07, ////, 07,  278, 00,  295, 00, ///, 07, ////, 07, ////, 07, ////, 07, ////, 07, ///, 07</v>
      </c>
    </row>
    <row r="250" spans="1:1" x14ac:dyDescent="0.25">
      <c r="A250" s="12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//"""),"'","""")&amp;SUBSTITUTE(TEXT(Overig!L250,""",""???0;"",""??-0;"",""???0;"", 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//"""),"'","""")&amp;SUBSTITUTE(TEXT(Overig!R250,""",""????0;"",""???-0;"",""????0;"", ////"""),"'","""")&amp;SUBSTITUTE(TEXT(Overig!S250,""",""?00;"",""?-00;"",""?00;"", //"""),"'","""")&amp;SUBSTITUTE(TEXT(IF(ISTEXT(Overig!T250),Overig!T250,10*Overig!T250),""",""????0;"",""???-0;"",""????0;"", ////"""),"'","""")&amp;SUBSTITUTE(TEXT(Overig!U250,""",""?00;"",""?-00;"",""?00;"", //"""),"'","""")&amp;SUBSTITUTE(TEXT(Overig!V250,""",""???0;"",""??-0;"",""???0;"", ///"""),"'","""")&amp;SUBSTITUTE(TEXT(Overig!W250,""",""?00;"",""?-00;"",""?00;"", //"""),"'","""")</f>
        <v>032, 19400303, 07.00, 7597, 00,  263, 00, ////, 07, ////, 07,  73, 00,  187, 00,  226, 00,   45, 00,    3, 00,   2, 00</v>
      </c>
    </row>
    <row r="251" spans="1:1" x14ac:dyDescent="0.25">
      <c r="A251" s="12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//"""),"'","""")&amp;SUBSTITUTE(TEXT(Overig!L251,""",""???0;"",""??-0;"",""???0;"", 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//"""),"'","""")&amp;SUBSTITUTE(TEXT(Overig!R251,""",""????0;"",""???-0;"",""????0;"", ////"""),"'","""")&amp;SUBSTITUTE(TEXT(Overig!S251,""",""?00;"",""?-00;"",""?00;"", //"""),"'","""")&amp;SUBSTITUTE(TEXT(IF(ISTEXT(Overig!T251),Overig!T251,10*Overig!T251),""",""????0;"",""???-0;"",""????0;"", ////"""),"'","""")&amp;SUBSTITUTE(TEXT(Overig!U251,""",""?00;"",""?-00;"",""?00;"", //"""),"'","""")&amp;SUBSTITUTE(TEXT(Overig!V251,""",""???0;"",""??-0;"",""???0;"", ///"""),"'","""")&amp;SUBSTITUTE(TEXT(Overig!W251,""",""?00;"",""?-00;"",""?00;"", //"""),"'","""")</f>
        <v>032, 19400303, 12.00, 7595, 00,  269, 00, ////, 07, ////, 07,  72, 00,  191, 00,  230, 00,   45, 00,    4, 00,   3, 00</v>
      </c>
    </row>
    <row r="252" spans="1:1" x14ac:dyDescent="0.25">
      <c r="A252" s="12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//"""),"'","""")&amp;SUBSTITUTE(TEXT(Overig!L252,""",""???0;"",""??-0;"",""???0;"", 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//"""),"'","""")&amp;SUBSTITUTE(TEXT(Overig!R252,""",""????0;"",""???-0;"",""????0;"", ////"""),"'","""")&amp;SUBSTITUTE(TEXT(Overig!S252,""",""?00;"",""?-00;"",""?00;"", //"""),"'","""")&amp;SUBSTITUTE(TEXT(IF(ISTEXT(Overig!T252),Overig!T252,10*Overig!T252),""",""????0;"",""???-0;"",""????0;"", ////"""),"'","""")&amp;SUBSTITUTE(TEXT(Overig!U252,""",""?00;"",""?-00;"",""?00;"", //"""),"'","""")&amp;SUBSTITUTE(TEXT(Overig!V252,""",""???0;"",""??-0;"",""???0;"", ///"""),"'","""")&amp;SUBSTITUTE(TEXT(Overig!W252,""",""?00;"",""?-00;"",""?00;"", //"""),"'","""")</f>
        <v>032, 19400303, 17.00, 7589, 00,  259, 00, ////, 07, ////, 07,  77, 00,  193, 00,  228, 00,   45, 00,    4, 00,   3, 00</v>
      </c>
    </row>
    <row r="253" spans="1:1" x14ac:dyDescent="0.25">
      <c r="A253" s="12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//"""),"'","""")&amp;SUBSTITUTE(TEXT(Overig!L253,""",""???0;"",""??-0;"",""???0;"", 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//"""),"'","""")&amp;SUBSTITUTE(TEXT(Overig!R253,""",""????0;"",""???-0;"",""????0;"", ////"""),"'","""")&amp;SUBSTITUTE(TEXT(Overig!S253,""",""?00;"",""?-00;"",""?00;"", //"""),"'","""")&amp;SUBSTITUTE(TEXT(IF(ISTEXT(Overig!T253),Overig!T253,10*Overig!T253),""",""????0;"",""???-0;"",""????0;"", ////"""),"'","""")&amp;SUBSTITUTE(TEXT(Overig!U253,""",""?00;"",""?-00;"",""?00;"", //"""),"'","""")&amp;SUBSTITUTE(TEXT(Overig!V253,""",""???0;"",""??-0;"",""???0;"", ///"""),"'","""")&amp;SUBSTITUTE(TEXT(Overig!W253,""",""?00;"",""?-00;"",""?00;"", //"""),"'","""")</f>
        <v>032, 19400303, 24.00, ////, 07, ////, 07,  274, 00,  286, 00, ///, 07, ////, 07, ////, 07, ////, 07, ////, 07, ///, 07</v>
      </c>
    </row>
    <row r="254" spans="1:1" x14ac:dyDescent="0.25">
      <c r="A254" s="12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//"""),"'","""")&amp;SUBSTITUTE(TEXT(Overig!L254,""",""???0;"",""??-0;"",""???0;"", 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//"""),"'","""")&amp;SUBSTITUTE(TEXT(Overig!R254,""",""????0;"",""???-0;"",""????0;"", ////"""),"'","""")&amp;SUBSTITUTE(TEXT(Overig!S254,""",""?00;"",""?-00;"",""?00;"", //"""),"'","""")&amp;SUBSTITUTE(TEXT(IF(ISTEXT(Overig!T254),Overig!T254,10*Overig!T254),""",""????0;"",""???-0;"",""????0;"", ////"""),"'","""")&amp;SUBSTITUTE(TEXT(Overig!U254,""",""?00;"",""?-00;"",""?00;"", //"""),"'","""")&amp;SUBSTITUTE(TEXT(Overig!V254,""",""???0;"",""??-0;"",""???0;"", ///"""),"'","""")&amp;SUBSTITUTE(TEXT(Overig!W254,""",""?00;"",""?-00;"",""?00;"", //"""),"'","""")</f>
        <v>032, 19400304, 07.00, 7585, 00,  269, 00, ////, 07, ////, 07,  71, 00,  188, 00,  228, 00,   45, 00,    3, 00,   2, 00</v>
      </c>
    </row>
    <row r="255" spans="1:1" x14ac:dyDescent="0.25">
      <c r="A255" s="12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//"""),"'","""")&amp;SUBSTITUTE(TEXT(Overig!L255,""",""???0;"",""??-0;"",""???0;"", 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//"""),"'","""")&amp;SUBSTITUTE(TEXT(Overig!R255,""",""????0;"",""???-0;"",""????0;"", ////"""),"'","""")&amp;SUBSTITUTE(TEXT(Overig!S255,""",""?00;"",""?-00;"",""?00;"", //"""),"'","""")&amp;SUBSTITUTE(TEXT(IF(ISTEXT(Overig!T255),Overig!T255,10*Overig!T255),""",""????0;"",""???-0;"",""????0;"", ////"""),"'","""")&amp;SUBSTITUTE(TEXT(Overig!U255,""",""?00;"",""?-00;"",""?00;"", //"""),"'","""")&amp;SUBSTITUTE(TEXT(Overig!V255,""",""???0;"",""??-0;"",""???0;"", ///"""),"'","""")&amp;SUBSTITUTE(TEXT(Overig!W255,""",""?00;"",""?-00;"",""?00;"", //"""),"'","""")</f>
        <v>032, 19400304, 12.00, 7595, 00,  274, 00, ////, 07, ////, 07,  69, 00,  189, 00,  230, 00,   45, 00,    5, 00,   1, 00</v>
      </c>
    </row>
    <row r="256" spans="1:1" x14ac:dyDescent="0.25">
      <c r="A256" s="12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//"""),"'","""")&amp;SUBSTITUTE(TEXT(Overig!L256,""",""???0;"",""??-0;"",""???0;"", 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//"""),"'","""")&amp;SUBSTITUTE(TEXT(Overig!R256,""",""????0;"",""???-0;"",""????0;"", ////"""),"'","""")&amp;SUBSTITUTE(TEXT(Overig!S256,""",""?00;"",""?-00;"",""?00;"", //"""),"'","""")&amp;SUBSTITUTE(TEXT(IF(ISTEXT(Overig!T256),Overig!T256,10*Overig!T256),""",""????0;"",""???-0;"",""????0;"", ////"""),"'","""")&amp;SUBSTITUTE(TEXT(Overig!U256,""",""?00;"",""?-00;"",""?00;"", //"""),"'","""")&amp;SUBSTITUTE(TEXT(Overig!V256,""",""???0;"",""??-0;"",""???0;"", ///"""),"'","""")&amp;SUBSTITUTE(TEXT(Overig!W256,""",""?00;"",""?-00;"",""?00;"", //"""),"'","""")</f>
        <v>032, 19400304, 17.00, 7595, 00,  269, 00, ////, 07, ////, 07,  71, 00,  188, 00,  228, 00,   45, 00,    4, 00,   1, 00</v>
      </c>
    </row>
    <row r="257" spans="1:1" x14ac:dyDescent="0.25">
      <c r="A257" s="12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//"""),"'","""")&amp;SUBSTITUTE(TEXT(Overig!L257,""",""???0;"",""??-0;"",""???0;"", 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//"""),"'","""")&amp;SUBSTITUTE(TEXT(Overig!R257,""",""????0;"",""???-0;"",""????0;"", ////"""),"'","""")&amp;SUBSTITUTE(TEXT(Overig!S257,""",""?00;"",""?-00;"",""?00;"", //"""),"'","""")&amp;SUBSTITUTE(TEXT(IF(ISTEXT(Overig!T257),Overig!T257,10*Overig!T257),""",""????0;"",""???-0;"",""????0;"", ////"""),"'","""")&amp;SUBSTITUTE(TEXT(Overig!U257,""",""?00;"",""?-00;"",""?00;"", //"""),"'","""")&amp;SUBSTITUTE(TEXT(Overig!V257,""",""???0;"",""??-0;"",""???0;"", ///"""),"'","""")&amp;SUBSTITUTE(TEXT(Overig!W257,""",""?00;"",""?-00;"",""?00;"", //"""),"'","""")</f>
        <v>032, 19400304, 24.00, ////, 07, ////, 07,  291, 00,  304, 00, ///, 07, ////, 07, ////, 07, ////, 07, ////, 07, ///, 07</v>
      </c>
    </row>
    <row r="258" spans="1:1" x14ac:dyDescent="0.25">
      <c r="A258" s="12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//"""),"'","""")&amp;SUBSTITUTE(TEXT(Overig!L258,""",""???0;"",""??-0;"",""???0;"", 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//"""),"'","""")&amp;SUBSTITUTE(TEXT(Overig!R258,""",""????0;"",""???-0;"",""????0;"", ////"""),"'","""")&amp;SUBSTITUTE(TEXT(Overig!S258,""",""?00;"",""?-00;"",""?00;"", //"""),"'","""")&amp;SUBSTITUTE(TEXT(IF(ISTEXT(Overig!T258),Overig!T258,10*Overig!T258),""",""????0;"",""???-0;"",""????0;"", ////"""),"'","""")&amp;SUBSTITUTE(TEXT(Overig!U258,""",""?00;"",""?-00;"",""?00;"", //"""),"'","""")&amp;SUBSTITUTE(TEXT(Overig!V258,""",""???0;"",""??-0;"",""???0;"", ///"""),"'","""")&amp;SUBSTITUTE(TEXT(Overig!W258,""",""?00;"",""?-00;"",""?00;"", //"""),"'","""")</f>
        <v>032, 19400305, 07.00, 7585, 00,  263, 00, ////, 07, ////, 07,  74, 00,  191, 00,  228, 00,   65, 00,    3, 00,   4, 00</v>
      </c>
    </row>
    <row r="259" spans="1:1" x14ac:dyDescent="0.25">
      <c r="A259" s="12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//"""),"'","""")&amp;SUBSTITUTE(TEXT(Overig!L259,""",""???0;"",""??-0;"",""???0;"", 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//"""),"'","""")&amp;SUBSTITUTE(TEXT(Overig!R259,""",""????0;"",""???-0;"",""????0;"", ////"""),"'","""")&amp;SUBSTITUTE(TEXT(Overig!S259,""",""?00;"",""?-00;"",""?00;"", //"""),"'","""")&amp;SUBSTITUTE(TEXT(IF(ISTEXT(Overig!T259),Overig!T259,10*Overig!T259),""",""????0;"",""???-0;"",""????0;"", ////"""),"'","""")&amp;SUBSTITUTE(TEXT(Overig!U259,""",""?00;"",""?-00;"",""?00;"", //"""),"'","""")&amp;SUBSTITUTE(TEXT(Overig!V259,""",""???0;"",""??-0;"",""???0;"", ///"""),"'","""")&amp;SUBSTITUTE(TEXT(Overig!W259,""",""?00;"",""?-00;"",""?00;"", //"""),"'","""")</f>
        <v>032, 19400305, 12.00, 7589, 00,  269, 00, ////, 07, ////, 07,  72, 00,  191, 00,  230, 00,   65, 00,    4, 00,   4, 00</v>
      </c>
    </row>
    <row r="260" spans="1:1" x14ac:dyDescent="0.25">
      <c r="A260" s="12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//"""),"'","""")&amp;SUBSTITUTE(TEXT(Overig!L260,""",""???0;"",""??-0;"",""???0;"", 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//"""),"'","""")&amp;SUBSTITUTE(TEXT(Overig!R260,""",""????0;"",""???-0;"",""????0;"", ////"""),"'","""")&amp;SUBSTITUTE(TEXT(Overig!S260,""",""?00;"",""?-00;"",""?00;"", //"""),"'","""")&amp;SUBSTITUTE(TEXT(IF(ISTEXT(Overig!T260),Overig!T260,10*Overig!T260),""",""????0;"",""???-0;"",""????0;"", ////"""),"'","""")&amp;SUBSTITUTE(TEXT(Overig!U260,""",""?00;"",""?-00;"",""?00;"", //"""),"'","""")&amp;SUBSTITUTE(TEXT(Overig!V260,""",""???0;"",""??-0;"",""???0;"", ///"""),"'","""")&amp;SUBSTITUTE(TEXT(Overig!W260,""",""?00;"",""?-00;"",""?00;"", //"""),"'","""")</f>
        <v>032, 19400305, 17.00, 7582, 00,  269, 00, ////, 07, ////, 07,  71, 00,  188, 00,  228, 00,   45, 00,    4, 00,   4, 00</v>
      </c>
    </row>
    <row r="261" spans="1:1" x14ac:dyDescent="0.25">
      <c r="A261" s="12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//"""),"'","""")&amp;SUBSTITUTE(TEXT(Overig!L261,""",""???0;"",""??-0;"",""???0;"", 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//"""),"'","""")&amp;SUBSTITUTE(TEXT(Overig!R261,""",""????0;"",""???-0;"",""????0;"", ////"""),"'","""")&amp;SUBSTITUTE(TEXT(Overig!S261,""",""?00;"",""?-00;"",""?00;"", //"""),"'","""")&amp;SUBSTITUTE(TEXT(IF(ISTEXT(Overig!T261),Overig!T261,10*Overig!T261),""",""????0;"",""???-0;"",""????0;"", ////"""),"'","""")&amp;SUBSTITUTE(TEXT(Overig!U261,""",""?00;"",""?-00;"",""?00;"", //"""),"'","""")&amp;SUBSTITUTE(TEXT(Overig!V261,""",""???0;"",""??-0;"",""???0;"", ///"""),"'","""")&amp;SUBSTITUTE(TEXT(Overig!W261,""",""?00;"",""?-00;"",""?00;"", //"""),"'","""")</f>
        <v>032, 19400305, 24.00, ////, 07, ////, 07,  274, 00,  284, 00, ///, 07, ////, 07, ////, 07, ////, 07, ////, 07, ///, 07</v>
      </c>
    </row>
    <row r="262" spans="1:1" x14ac:dyDescent="0.25">
      <c r="A262" s="12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//"""),"'","""")&amp;SUBSTITUTE(TEXT(Overig!L262,""",""???0;"",""??-0;"",""???0;"", 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//"""),"'","""")&amp;SUBSTITUTE(TEXT(Overig!R262,""",""????0;"",""???-0;"",""????0;"", ////"""),"'","""")&amp;SUBSTITUTE(TEXT(Overig!S262,""",""?00;"",""?-00;"",""?00;"", //"""),"'","""")&amp;SUBSTITUTE(TEXT(IF(ISTEXT(Overig!T262),Overig!T262,10*Overig!T262),""",""????0;"",""???-0;"",""????0;"", ////"""),"'","""")&amp;SUBSTITUTE(TEXT(Overig!U262,""",""?00;"",""?-00;"",""?00;"", //"""),"'","""")&amp;SUBSTITUTE(TEXT(Overig!V262,""",""???0;"",""??-0;"",""???0;"", ///"""),"'","""")&amp;SUBSTITUTE(TEXT(Overig!W262,""",""?00;"",""?-00;"",""?00;"", //"""),"'","""")</f>
        <v>032, 19400306, 07.00, 7585, 00,  282, 00, ////, 07, ////, 07,  63, 00,  181, 00,  228, 00,   65, 00,    3, 00,   3, 00</v>
      </c>
    </row>
    <row r="263" spans="1:1" x14ac:dyDescent="0.25">
      <c r="A263" s="12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//"""),"'","""")&amp;SUBSTITUTE(TEXT(Overig!L263,""",""???0;"",""??-0;"",""???0;"", 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//"""),"'","""")&amp;SUBSTITUTE(TEXT(Overig!R263,""",""????0;"",""???-0;"",""????0;"", ////"""),"'","""")&amp;SUBSTITUTE(TEXT(Overig!S263,""",""?00;"",""?-00;"",""?00;"", //"""),"'","""")&amp;SUBSTITUTE(TEXT(IF(ISTEXT(Overig!T263),Overig!T263,10*Overig!T263),""",""????0;"",""???-0;"",""????0;"", ////"""),"'","""")&amp;SUBSTITUTE(TEXT(Overig!U263,""",""?00;"",""?-00;"",""?00;"", //"""),"'","""")&amp;SUBSTITUTE(TEXT(Overig!V263,""",""???0;"",""??-0;"",""???0;"", ///"""),"'","""")&amp;SUBSTITUTE(TEXT(Overig!W263,""",""?00;"",""?-00;"",""?00;"", //"""),"'","""")</f>
        <v>032, 19400306, 12.00, 7569, 00,  293, 00, ////, 07, ////, 07,  63, 00,  194, 00,  238, 00,   45, 00,    2, 00,   2, 00</v>
      </c>
    </row>
    <row r="264" spans="1:1" x14ac:dyDescent="0.25">
      <c r="A264" s="12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//"""),"'","""")&amp;SUBSTITUTE(TEXT(Overig!L264,""",""???0;"",""??-0;"",""???0;"", 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//"""),"'","""")&amp;SUBSTITUTE(TEXT(Overig!R264,""",""????0;"",""???-0;"",""????0;"", ////"""),"'","""")&amp;SUBSTITUTE(TEXT(Overig!S264,""",""?00;"",""?-00;"",""?00;"", //"""),"'","""")&amp;SUBSTITUTE(TEXT(IF(ISTEXT(Overig!T264),Overig!T264,10*Overig!T264),""",""????0;"",""???-0;"",""????0;"", ////"""),"'","""")&amp;SUBSTITUTE(TEXT(Overig!U264,""",""?00;"",""?-00;"",""?00;"", //"""),"'","""")&amp;SUBSTITUTE(TEXT(Overig!V264,""",""???0;"",""??-0;"",""???0;"", ///"""),"'","""")&amp;SUBSTITUTE(TEXT(Overig!W264,""",""?00;"",""?-00;"",""?00;"", //"""),"'","""")</f>
        <v>032, 19400306, 17.00, 7572, 00,  289, 00, ////, 07, ////, 07,  63, 00,  188, 00,  234, 00,   25, 00,    5, 00,   2, 00</v>
      </c>
    </row>
    <row r="265" spans="1:1" x14ac:dyDescent="0.25">
      <c r="A265" s="12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//"""),"'","""")&amp;SUBSTITUTE(TEXT(Overig!L265,""",""???0;"",""??-0;"",""???0;"", 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//"""),"'","""")&amp;SUBSTITUTE(TEXT(Overig!R265,""",""????0;"",""???-0;"",""????0;"", ////"""),"'","""")&amp;SUBSTITUTE(TEXT(Overig!S265,""",""?00;"",""?-00;"",""?00;"", //"""),"'","""")&amp;SUBSTITUTE(TEXT(IF(ISTEXT(Overig!T265),Overig!T265,10*Overig!T265),""",""????0;"",""???-0;"",""????0;"", ////"""),"'","""")&amp;SUBSTITUTE(TEXT(Overig!U265,""",""?00;"",""?-00;"",""?00;"", //"""),"'","""")&amp;SUBSTITUTE(TEXT(Overig!V265,""",""???0;"",""??-0;"",""???0;"", ///"""),"'","""")&amp;SUBSTITUTE(TEXT(Overig!W265,""",""?00;"",""?-00;"",""?00;"", //"""),"'","""")</f>
        <v>032, 19400306, 24.00, ////, 07, ////, 07,  293, 00,  308, 00, ///, 07, ////, 07, ////, 07, ////, 07, ////, 07, ///, 07</v>
      </c>
    </row>
    <row r="266" spans="1:1" x14ac:dyDescent="0.25">
      <c r="A266" s="12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//"""),"'","""")&amp;SUBSTITUTE(TEXT(Overig!L266,""",""???0;"",""??-0;"",""???0;"", 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//"""),"'","""")&amp;SUBSTITUTE(TEXT(Overig!R266,""",""????0;"",""???-0;"",""????0;"", ////"""),"'","""")&amp;SUBSTITUTE(TEXT(Overig!S266,""",""?00;"",""?-00;"",""?00;"", //"""),"'","""")&amp;SUBSTITUTE(TEXT(IF(ISTEXT(Overig!T266),Overig!T266,10*Overig!T266),""",""????0;"",""???-0;"",""????0;"", ////"""),"'","""")&amp;SUBSTITUTE(TEXT(Overig!U266,""",""?00;"",""?-00;"",""?00;"", //"""),"'","""")&amp;SUBSTITUTE(TEXT(Overig!V266,""",""???0;"",""??-0;"",""???0;"", ///"""),"'","""")&amp;SUBSTITUTE(TEXT(Overig!W266,""",""?00;"",""?-00;"",""?00;"", //"""),"'","""")</f>
        <v>032, 19400307, 07.00, 7569, 00,  260, 00, ////, 07, ////, 07,  82, 00,  206, 00,  236, 00,   65, 00,    3, 00,   4, 00</v>
      </c>
    </row>
    <row r="267" spans="1:1" x14ac:dyDescent="0.25">
      <c r="A267" s="12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//"""),"'","""")&amp;SUBSTITUTE(TEXT(Overig!L267,""",""???0;"",""??-0;"",""???0;"", 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//"""),"'","""")&amp;SUBSTITUTE(TEXT(Overig!R267,""",""????0;"",""???-0;"",""????0;"", ////"""),"'","""")&amp;SUBSTITUTE(TEXT(Overig!S267,""",""?00;"",""?-00;"",""?00;"", //"""),"'","""")&amp;SUBSTITUTE(TEXT(IF(ISTEXT(Overig!T267),Overig!T267,10*Overig!T267),""",""????0;"",""???-0;"",""????0;"", ////"""),"'","""")&amp;SUBSTITUTE(TEXT(Overig!U267,""",""?00;"",""?-00;"",""?00;"", //"""),"'","""")&amp;SUBSTITUTE(TEXT(Overig!V267,""",""???0;"",""??-0;"",""???0;"", ///"""),"'","""")&amp;SUBSTITUTE(TEXT(Overig!W267,""",""?00;"",""?-00;"",""?00;"", //"""),"'","""")</f>
        <v>032, 19400307, 12.00, 7579, 00,  267, 00, ////, 07, ////, 07,  84, 00,  222, 00,  246, 00,   45, 00,    3, 00,   3, 00</v>
      </c>
    </row>
    <row r="268" spans="1:1" x14ac:dyDescent="0.25">
      <c r="A268" s="12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//"""),"'","""")&amp;SUBSTITUTE(TEXT(Overig!L268,""",""???0;"",""??-0;"",""???0;"", 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//"""),"'","""")&amp;SUBSTITUTE(TEXT(Overig!R268,""",""????0;"",""???-0;"",""????0;"", ////"""),"'","""")&amp;SUBSTITUTE(TEXT(Overig!S268,""",""?00;"",""?-00;"",""?00;"", //"""),"'","""")&amp;SUBSTITUTE(TEXT(IF(ISTEXT(Overig!T268),Overig!T268,10*Overig!T268),""",""????0;"",""???-0;"",""????0;"", ////"""),"'","""")&amp;SUBSTITUTE(TEXT(Overig!U268,""",""?00;"",""?-00;"",""?00;"", //"""),"'","""")&amp;SUBSTITUTE(TEXT(Overig!V268,""",""???0;"",""??-0;"",""???0;"", ///"""),"'","""")&amp;SUBSTITUTE(TEXT(Overig!W268,""",""?00;"",""?-00;"",""?00;"", //"""),"'","""")</f>
        <v>032, 19400307, 17.00, 7577, 00,  266, 00, ////, 07, ////, 07,  79, 00,  207, 00,  238, 00,   25, 00,    5, 00,   4, 00</v>
      </c>
    </row>
    <row r="269" spans="1:1" x14ac:dyDescent="0.25">
      <c r="A269" s="12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//"""),"'","""")&amp;SUBSTITUTE(TEXT(Overig!L269,""",""???0;"",""??-0;"",""???0;"", 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//"""),"'","""")&amp;SUBSTITUTE(TEXT(Overig!R269,""",""????0;"",""???-0;"",""????0;"", ////"""),"'","""")&amp;SUBSTITUTE(TEXT(Overig!S269,""",""?00;"",""?-00;"",""?00;"", //"""),"'","""")&amp;SUBSTITUTE(TEXT(IF(ISTEXT(Overig!T269),Overig!T269,10*Overig!T269),""",""????0;"",""???-0;"",""????0;"", ////"""),"'","""")&amp;SUBSTITUTE(TEXT(Overig!U269,""",""?00;"",""?-00;"",""?00;"", //"""),"'","""")&amp;SUBSTITUTE(TEXT(Overig!V269,""",""???0;"",""??-0;"",""???0;"", ///"""),"'","""")&amp;SUBSTITUTE(TEXT(Overig!W269,""",""?00;"",""?-00;"",""?00;"", //"""),"'","""")</f>
        <v>032, 19400307, 24.00, ////, 07, ////, 07,  278, 00,  293, 00, ///, 07, ////, 07, ////, 07, ////, 07, ////, 07, ///, 07</v>
      </c>
    </row>
    <row r="270" spans="1:1" x14ac:dyDescent="0.25">
      <c r="A270" s="12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//"""),"'","""")&amp;SUBSTITUTE(TEXT(Overig!L270,""",""???0;"",""??-0;"",""???0;"", 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//"""),"'","""")&amp;SUBSTITUTE(TEXT(Overig!R270,""",""????0;"",""???-0;"",""????0;"", ////"""),"'","""")&amp;SUBSTITUTE(TEXT(Overig!S270,""",""?00;"",""?-00;"",""?00;"", //"""),"'","""")&amp;SUBSTITUTE(TEXT(IF(ISTEXT(Overig!T270),Overig!T270,10*Overig!T270),""",""????0;"",""???-0;"",""????0;"", ////"""),"'","""")&amp;SUBSTITUTE(TEXT(Overig!U270,""",""?00;"",""?-00;"",""?00;"", //"""),"'","""")&amp;SUBSTITUTE(TEXT(Overig!V270,""",""???0;"",""??-0;"",""???0;"", ///"""),"'","""")&amp;SUBSTITUTE(TEXT(Overig!W270,""",""?00;"",""?-00;"",""?00;"", //"""),"'","""")</f>
        <v>032, 19400308, 07.00, 7557, 00,  260, 00, ////, 07, ////, 07,  74, 00,  187, 00,  225, 00,   45, 00,    1, 00,   7, 00</v>
      </c>
    </row>
    <row r="271" spans="1:1" x14ac:dyDescent="0.25">
      <c r="A271" s="12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//"""),"'","""")&amp;SUBSTITUTE(TEXT(Overig!L271,""",""???0;"",""??-0;"",""???0;"", 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//"""),"'","""")&amp;SUBSTITUTE(TEXT(Overig!R271,""",""????0;"",""???-0;"",""????0;"", ////"""),"'","""")&amp;SUBSTITUTE(TEXT(Overig!S271,""",""?00;"",""?-00;"",""?00;"", //"""),"'","""")&amp;SUBSTITUTE(TEXT(IF(ISTEXT(Overig!T271),Overig!T271,10*Overig!T271),""",""????0;"",""???-0;"",""????0;"", ////"""),"'","""")&amp;SUBSTITUTE(TEXT(Overig!U271,""",""?00;"",""?-00;"",""?00;"", //"""),"'","""")&amp;SUBSTITUTE(TEXT(Overig!V271,""",""???0;"",""??-0;"",""???0;"", ///"""),"'","""")&amp;SUBSTITUTE(TEXT(Overig!W271,""",""?00;"",""?-00;"",""?00;"", //"""),"'","""")</f>
        <v>032, 19400308, 12.00, 7557, 00,  267, 00, ////, 07, ////, 07,  79, 00,  207, 00,  238, 00,  180, 00,    1, 00,   8, 00</v>
      </c>
    </row>
    <row r="272" spans="1:1" x14ac:dyDescent="0.25">
      <c r="A272" s="12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//"""),"'","""")&amp;SUBSTITUTE(TEXT(Overig!L272,""",""???0;"",""??-0;"",""???0;"", 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//"""),"'","""")&amp;SUBSTITUTE(TEXT(Overig!R272,""",""????0;"",""???-0;"",""????0;"", ////"""),"'","""")&amp;SUBSTITUTE(TEXT(Overig!S272,""",""?00;"",""?-00;"",""?00;"", //"""),"'","""")&amp;SUBSTITUTE(TEXT(IF(ISTEXT(Overig!T272),Overig!T272,10*Overig!T272),""",""????0;"",""???-0;"",""????0;"", ////"""),"'","""")&amp;SUBSTITUTE(TEXT(Overig!U272,""",""?00;"",""?-00;"",""?00;"", //"""),"'","""")&amp;SUBSTITUTE(TEXT(Overig!V272,""",""???0;"",""??-0;"",""???0;"", ///"""),"'","""")&amp;SUBSTITUTE(TEXT(Overig!W272,""",""?00;"",""?-00;"",""?00;"", //"""),"'","""")</f>
        <v>032, 19400308, 17.00, 7557, 00,  265, 00, ////, 07, ////, 07,  78, 00,  204, 00,  236, 00,  360, 00,    1, 00,   7, 00</v>
      </c>
    </row>
    <row r="273" spans="1:1" x14ac:dyDescent="0.25">
      <c r="A273" s="12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//"""),"'","""")&amp;SUBSTITUTE(TEXT(Overig!L273,""",""???0;"",""??-0;"",""???0;"", 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//"""),"'","""")&amp;SUBSTITUTE(TEXT(Overig!R273,""",""????0;"",""???-0;"",""????0;"", ////"""),"'","""")&amp;SUBSTITUTE(TEXT(Overig!S273,""",""?00;"",""?-00;"",""?00;"", //"""),"'","""")&amp;SUBSTITUTE(TEXT(IF(ISTEXT(Overig!T273),Overig!T273,10*Overig!T273),""",""????0;"",""???-0;"",""????0;"", ////"""),"'","""")&amp;SUBSTITUTE(TEXT(Overig!U273,""",""?00;"",""?-00;"",""?00;"", //"""),"'","""")&amp;SUBSTITUTE(TEXT(Overig!V273,""",""???0;"",""??-0;"",""???0;"", ///"""),"'","""")&amp;SUBSTITUTE(TEXT(Overig!W273,""",""?00;"",""?-00;"",""?00;"", //"""),"'","""")</f>
        <v>032, 19400308, 24.00, ////, 07, ////, 07,  274, 00,  285, 00, ///, 07, ////, 07, ////, 07, ////, 07, ////, 07, ///, 07</v>
      </c>
    </row>
    <row r="274" spans="1:1" x14ac:dyDescent="0.25">
      <c r="A274" s="12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//"""),"'","""")&amp;SUBSTITUTE(TEXT(Overig!L274,""",""???0;"",""??-0;"",""???0;"", 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//"""),"'","""")&amp;SUBSTITUTE(TEXT(Overig!R274,""",""????0;"",""???-0;"",""????0;"", ////"""),"'","""")&amp;SUBSTITUTE(TEXT(Overig!S274,""",""?00;"",""?-00;"",""?00;"", //"""),"'","""")&amp;SUBSTITUTE(TEXT(IF(ISTEXT(Overig!T274),Overig!T274,10*Overig!T274),""",""????0;"",""???-0;"",""????0;"", ////"""),"'","""")&amp;SUBSTITUTE(TEXT(Overig!U274,""",""?00;"",""?-00;"",""?00;"", //"""),"'","""")&amp;SUBSTITUTE(TEXT(Overig!V274,""",""???0;"",""??-0;"",""???0;"", ///"""),"'","""")&amp;SUBSTITUTE(TEXT(Overig!W274,""",""?00;"",""?-00;"",""?00;"", //"""),"'","""")</f>
        <v>032, 19400309, 07.00, 7577, 00,  253, 00, ////, 07, ////, 07,  81, 00,  196, 00,  228, 00,  360, 00,    1, 00,  10, 00</v>
      </c>
    </row>
    <row r="275" spans="1:1" x14ac:dyDescent="0.25">
      <c r="A275" s="12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//"""),"'","""")&amp;SUBSTITUTE(TEXT(Overig!L275,""",""???0;"",""??-0;"",""???0;"", 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//"""),"'","""")&amp;SUBSTITUTE(TEXT(Overig!R275,""",""????0;"",""???-0;"",""????0;"", ////"""),"'","""")&amp;SUBSTITUTE(TEXT(Overig!S275,""",""?00;"",""?-00;"",""?00;"", //"""),"'","""")&amp;SUBSTITUTE(TEXT(IF(ISTEXT(Overig!T275),Overig!T275,10*Overig!T275),""",""????0;"",""???-0;"",""????0;"", ////"""),"'","""")&amp;SUBSTITUTE(TEXT(Overig!U275,""",""?00;"",""?-00;"",""?00;"", //"""),"'","""")&amp;SUBSTITUTE(TEXT(Overig!V275,""",""???0;"",""??-0;"",""???0;"", ///"""),"'","""")&amp;SUBSTITUTE(TEXT(Overig!W275,""",""?00;"",""?-00;"",""?00;"", //"""),"'","""")</f>
        <v>032, 19400309, 12.00, 7572, 00,  263, 00, ////, 07, ////, 07,  78, 00,  201, 00,  234, 00,  360, 00,    1, 00,   9, 00</v>
      </c>
    </row>
    <row r="276" spans="1:1" x14ac:dyDescent="0.25">
      <c r="A276" s="12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//"""),"'","""")&amp;SUBSTITUTE(TEXT(Overig!L276,""",""???0;"",""??-0;"",""???0;"", 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//"""),"'","""")&amp;SUBSTITUTE(TEXT(Overig!R276,""",""????0;"",""???-0;"",""????0;"", ////"""),"'","""")&amp;SUBSTITUTE(TEXT(Overig!S276,""",""?00;"",""?-00;"",""?00;"", //"""),"'","""")&amp;SUBSTITUTE(TEXT(IF(ISTEXT(Overig!T276),Overig!T276,10*Overig!T276),""",""????0;"",""???-0;"",""????0;"", ////"""),"'","""")&amp;SUBSTITUTE(TEXT(Overig!U276,""",""?00;"",""?-00;"",""?00;"", //"""),"'","""")&amp;SUBSTITUTE(TEXT(Overig!V276,""",""???0;"",""??-0;"",""???0;"", ///"""),"'","""")&amp;SUBSTITUTE(TEXT(Overig!W276,""",""?00;"",""?-00;"",""?00;"", //"""),"'","""")</f>
        <v>032, 19400309, 17.00, 7572, 00,  261, 00, ////, 07, ////, 07,  78, 00,  199, 00,  232, 00,  360, 00,    1, 00,   9, 00</v>
      </c>
    </row>
    <row r="277" spans="1:1" x14ac:dyDescent="0.25">
      <c r="A277" s="12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//"""),"'","""")&amp;SUBSTITUTE(TEXT(Overig!L277,""",""???0;"",""??-0;"",""???0;"", 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//"""),"'","""")&amp;SUBSTITUTE(TEXT(Overig!R277,""",""????0;"",""???-0;"",""????0;"", ////"""),"'","""")&amp;SUBSTITUTE(TEXT(Overig!S277,""",""?00;"",""?-00;"",""?00;"", //"""),"'","""")&amp;SUBSTITUTE(TEXT(IF(ISTEXT(Overig!T277),Overig!T277,10*Overig!T277),""",""????0;"",""???-0;"",""????0;"", ////"""),"'","""")&amp;SUBSTITUTE(TEXT(Overig!U277,""",""?00;"",""?-00;"",""?00;"", //"""),"'","""")&amp;SUBSTITUTE(TEXT(Overig!V277,""",""???0;"",""??-0;"",""???0;"", ///"""),"'","""")&amp;SUBSTITUTE(TEXT(Overig!W277,""",""?00;"",""?-00;"",""?00;"", //"""),"'","""")</f>
        <v>032, 19400309, 24.00, ////, 07, ////, 07,  270, 00,  285, 00, ///, 07, ////, 07, ////, 07, ////, 07, ////, 07, ///, 07</v>
      </c>
    </row>
    <row r="278" spans="1:1" x14ac:dyDescent="0.25">
      <c r="A278" s="12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//"""),"'","""")&amp;SUBSTITUTE(TEXT(Overig!L278,""",""???0;"",""??-0;"",""???0;"", 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//"""),"'","""")&amp;SUBSTITUTE(TEXT(Overig!R278,""",""????0;"",""???-0;"",""????0;"", ////"""),"'","""")&amp;SUBSTITUTE(TEXT(Overig!S278,""",""?00;"",""?-00;"",""?00;"", //"""),"'","""")&amp;SUBSTITUTE(TEXT(IF(ISTEXT(Overig!T278),Overig!T278,10*Overig!T278),""",""????0;"",""???-0;"",""????0;"", ////"""),"'","""")&amp;SUBSTITUTE(TEXT(Overig!U278,""",""?00;"",""?-00;"",""?00;"", //"""),"'","""")&amp;SUBSTITUTE(TEXT(Overig!V278,""",""???0;"",""??-0;"",""???0;"", ///"""),"'","""")&amp;SUBSTITUTE(TEXT(Overig!W278,""",""?00;"",""?-00;"",""?00;"", //"""),"'","""")</f>
        <v>032, 19400310, 07.00, 7585, 00,  265, 00, ////, 07, ////, 07,  81, 00,  211, 00,  240, 00,   25, 00,    1, 00,   6, 00</v>
      </c>
    </row>
    <row r="279" spans="1:1" x14ac:dyDescent="0.25">
      <c r="A279" s="12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//"""),"'","""")&amp;SUBSTITUTE(TEXT(Overig!L279,""",""???0;"",""??-0;"",""???0;"", 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//"""),"'","""")&amp;SUBSTITUTE(TEXT(Overig!R279,""",""????0;"",""???-0;"",""????0;"", ////"""),"'","""")&amp;SUBSTITUTE(TEXT(Overig!S279,""",""?00;"",""?-00;"",""?00;"", //"""),"'","""")&amp;SUBSTITUTE(TEXT(IF(ISTEXT(Overig!T279),Overig!T279,10*Overig!T279),""",""????0;"",""???-0;"",""????0;"", ////"""),"'","""")&amp;SUBSTITUTE(TEXT(Overig!U279,""",""?00;"",""?-00;"",""?00;"", //"""),"'","""")&amp;SUBSTITUTE(TEXT(Overig!V279,""",""???0;"",""??-0;"",""???0;"", ///"""),"'","""")&amp;SUBSTITUTE(TEXT(Overig!W279,""",""?00;"",""?-00;"",""?00;"", //"""),"'","""")</f>
        <v>032, 19400310, 12.00, 7582, 00,  265, 00, ////, 07, ////, 07,  84, 00,  219, 00,  244, 00,   25, 00,    1, 00,   5, 00</v>
      </c>
    </row>
    <row r="280" spans="1:1" x14ac:dyDescent="0.25">
      <c r="A280" s="12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//"""),"'","""")&amp;SUBSTITUTE(TEXT(Overig!L280,""",""???0;"",""??-0;"",""???0;"", 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//"""),"'","""")&amp;SUBSTITUTE(TEXT(Overig!R280,""",""????0;"",""???-0;"",""????0;"", ////"""),"'","""")&amp;SUBSTITUTE(TEXT(Overig!S280,""",""?00;"",""?-00;"",""?00;"", //"""),"'","""")&amp;SUBSTITUTE(TEXT(IF(ISTEXT(Overig!T280),Overig!T280,10*Overig!T280),""",""????0;"",""???-0;"",""????0;"", ////"""),"'","""")&amp;SUBSTITUTE(TEXT(Overig!U280,""",""?00;"",""?-00;"",""?00;"", //"""),"'","""")&amp;SUBSTITUTE(TEXT(Overig!V280,""",""???0;"",""??-0;"",""???0;"", ///"""),"'","""")&amp;SUBSTITUTE(TEXT(Overig!W280,""",""?00;"",""?-00;"",""?00;"", //"""),"'","""")</f>
        <v>032, 19400310, 17.00, 7579, 00,  261, 00, ////, 07, ////, 07,  83, 00,  210, 00,  238, 00,   25, 00,    1, 00,   5, 00</v>
      </c>
    </row>
    <row r="281" spans="1:1" x14ac:dyDescent="0.25">
      <c r="A281" s="12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//"""),"'","""")&amp;SUBSTITUTE(TEXT(Overig!L281,""",""???0;"",""??-0;"",""???0;"", 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//"""),"'","""")&amp;SUBSTITUTE(TEXT(Overig!R281,""",""????0;"",""???-0;"",""????0;"", ////"""),"'","""")&amp;SUBSTITUTE(TEXT(Overig!S281,""",""?00;"",""?-00;"",""?00;"", //"""),"'","""")&amp;SUBSTITUTE(TEXT(IF(ISTEXT(Overig!T281),Overig!T281,10*Overig!T281),""",""????0;"",""???-0;"",""????0;"", ////"""),"'","""")&amp;SUBSTITUTE(TEXT(Overig!U281,""",""?00;"",""?-00;"",""?00;"", //"""),"'","""")&amp;SUBSTITUTE(TEXT(Overig!V281,""",""???0;"",""??-0;"",""???0;"", ///"""),"'","""")&amp;SUBSTITUTE(TEXT(Overig!W281,""",""?00;"",""?-00;"",""?00;"", //"""),"'","""")</f>
        <v>032, 19400310, 24.00, ////, 07, ////, 07,  274, 00,  287, 00, ///, 07, ////, 07, ////, 07, ////, 07, ////, 07, ///, 07</v>
      </c>
    </row>
    <row r="282" spans="1:1" x14ac:dyDescent="0.25">
      <c r="A282" s="12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//"""),"'","""")&amp;SUBSTITUTE(TEXT(Overig!L282,""",""???0;"",""??-0;"",""???0;"", 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//"""),"'","""")&amp;SUBSTITUTE(TEXT(Overig!R282,""",""????0;"",""???-0;"",""????0;"", ////"""),"'","""")&amp;SUBSTITUTE(TEXT(Overig!S282,""",""?00;"",""?-00;"",""?00;"", //"""),"'","""")&amp;SUBSTITUTE(TEXT(IF(ISTEXT(Overig!T282),Overig!T282,10*Overig!T282),""",""????0;"",""???-0;"",""????0;"", ////"""),"'","""")&amp;SUBSTITUTE(TEXT(Overig!U282,""",""?00;"",""?-00;"",""?00;"", //"""),"'","""")&amp;SUBSTITUTE(TEXT(Overig!V282,""",""???0;"",""??-0;"",""???0;"", ///"""),"'","""")&amp;SUBSTITUTE(TEXT(Overig!W282,""",""?00;"",""?-00;"",""?00;"", //"""),"'","""")</f>
        <v>032, 19400311, 07.00, 7587, 00,  269, 00, ////, 07, ////, 07,  77, 00,  206, 00,  238, 00,   65, 00,    3, 00,   3, 00</v>
      </c>
    </row>
    <row r="283" spans="1:1" x14ac:dyDescent="0.25">
      <c r="A283" s="12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//"""),"'","""")&amp;SUBSTITUTE(TEXT(Overig!L283,""",""???0;"",""??-0;"",""???0;"", 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//"""),"'","""")&amp;SUBSTITUTE(TEXT(Overig!R283,""",""????0;"",""???-0;"",""????0;"", ////"""),"'","""")&amp;SUBSTITUTE(TEXT(Overig!S283,""",""?00;"",""?-00;"",""?00;"", //"""),"'","""")&amp;SUBSTITUTE(TEXT(IF(ISTEXT(Overig!T283),Overig!T283,10*Overig!T283),""",""????0;"",""???-0;"",""????0;"", ////"""),"'","""")&amp;SUBSTITUTE(TEXT(Overig!U283,""",""?00;"",""?-00;"",""?00;"", //"""),"'","""")&amp;SUBSTITUTE(TEXT(Overig!V283,""",""???0;"",""??-0;"",""???0;"", ///"""),"'","""")&amp;SUBSTITUTE(TEXT(Overig!W283,""",""?00;"",""?-00;"",""?00;"", //"""),"'","""")</f>
        <v>032, 19400311, 12.00, 7582, 00,  273, 00, ////, 07, ////, 07,  72, 00,  196, 00,  234, 00,   65, 00,    4, 00,   4, 00</v>
      </c>
    </row>
    <row r="284" spans="1:1" x14ac:dyDescent="0.25">
      <c r="A284" s="12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//"""),"'","""")&amp;SUBSTITUTE(TEXT(Overig!L284,""",""???0;"",""??-0;"",""???0;"", 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//"""),"'","""")&amp;SUBSTITUTE(TEXT(Overig!R284,""",""????0;"",""???-0;"",""????0;"", ////"""),"'","""")&amp;SUBSTITUTE(TEXT(Overig!S284,""",""?00;"",""?-00;"",""?00;"", //"""),"'","""")&amp;SUBSTITUTE(TEXT(IF(ISTEXT(Overig!T284),Overig!T284,10*Overig!T284),""",""????0;"",""???-0;"",""????0;"", ////"""),"'","""")&amp;SUBSTITUTE(TEXT(Overig!U284,""",""?00;"",""?-00;"",""?00;"", //"""),"'","""")&amp;SUBSTITUTE(TEXT(Overig!V284,""",""???0;"",""??-0;"",""???0;"", ///"""),"'","""")&amp;SUBSTITUTE(TEXT(Overig!W284,""",""?00;"",""?-00;"",""?00;"", //"""),"'","""")</f>
        <v>032, 19400311, 17.00, 7582, 00,  270, 00, ////, 07, ////, 07,  73, 00,  194, 00,  232, 00,   45, 00,    4, 00,   3, 00</v>
      </c>
    </row>
    <row r="285" spans="1:1" x14ac:dyDescent="0.25">
      <c r="A285" s="12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//"""),"'","""")&amp;SUBSTITUTE(TEXT(Overig!L285,""",""???0;"",""??-0;"",""???0;"", 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//"""),"'","""")&amp;SUBSTITUTE(TEXT(Overig!R285,""",""????0;"",""???-0;"",""????0;"", ////"""),"'","""")&amp;SUBSTITUTE(TEXT(Overig!S285,""",""?00;"",""?-00;"",""?00;"", //"""),"'","""")&amp;SUBSTITUTE(TEXT(IF(ISTEXT(Overig!T285),Overig!T285,10*Overig!T285),""",""????0;"",""???-0;"",""????0;"", ////"""),"'","""")&amp;SUBSTITUTE(TEXT(Overig!U285,""",""?00;"",""?-00;"",""?00;"", //"""),"'","""")&amp;SUBSTITUTE(TEXT(Overig!V285,""",""???0;"",""??-0;"",""???0;"", ///"""),"'","""")&amp;SUBSTITUTE(TEXT(Overig!W285,""",""?00;"",""?-00;"",""?00;"", //"""),"'","""")</f>
        <v>032, 19400311, 24.00, ////, 07, ////, 07,  278, 00,  294, 00, ///, 07, ////, 07, ////, 07, ////, 07, ////, 07, ///, 07</v>
      </c>
    </row>
    <row r="286" spans="1:1" x14ac:dyDescent="0.25">
      <c r="A286" s="12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//"""),"'","""")&amp;SUBSTITUTE(TEXT(Overig!L286,""",""???0;"",""??-0;"",""???0;"", 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//"""),"'","""")&amp;SUBSTITUTE(TEXT(Overig!R286,""",""????0;"",""???-0;"",""????0;"", ////"""),"'","""")&amp;SUBSTITUTE(TEXT(Overig!S286,""",""?00;"",""?-00;"",""?00;"", //"""),"'","""")&amp;SUBSTITUTE(TEXT(IF(ISTEXT(Overig!T286),Overig!T286,10*Overig!T286),""",""????0;"",""???-0;"",""????0;"", ////"""),"'","""")&amp;SUBSTITUTE(TEXT(Overig!U286,""",""?00;"",""?-00;"",""?00;"", //"""),"'","""")&amp;SUBSTITUTE(TEXT(Overig!V286,""",""???0;"",""??-0;"",""???0;"", ///"""),"'","""")&amp;SUBSTITUTE(TEXT(Overig!W286,""",""?00;"",""?-00;"",""?00;"", //"""),"'","""")</f>
        <v>032, 19400312, 07.00, 7587, 00,  280, 00, ////, 07, ////, 07,  66, 00,  188, 00,  231, 00,   65, 00,    3, 00,   2, 00</v>
      </c>
    </row>
    <row r="287" spans="1:1" x14ac:dyDescent="0.25">
      <c r="A287" s="12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//"""),"'","""")&amp;SUBSTITUTE(TEXT(Overig!L287,""",""???0;"",""??-0;"",""???0;"", 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//"""),"'","""")&amp;SUBSTITUTE(TEXT(Overig!R287,""",""????0;"",""???-0;"",""????0;"", ////"""),"'","""")&amp;SUBSTITUTE(TEXT(Overig!S287,""",""?00;"",""?-00;"",""?00;"", //"""),"'","""")&amp;SUBSTITUTE(TEXT(IF(ISTEXT(Overig!T287),Overig!T287,10*Overig!T287),""",""????0;"",""???-0;"",""????0;"", ////"""),"'","""")&amp;SUBSTITUTE(TEXT(Overig!U287,""",""?00;"",""?-00;"",""?00;"", //"""),"'","""")&amp;SUBSTITUTE(TEXT(Overig!V287,""",""???0;"",""??-0;"",""???0;"", ///"""),"'","""")&amp;SUBSTITUTE(TEXT(Overig!W287,""",""?00;"",""?-00;"",""?00;"", //"""),"'","""")</f>
        <v>032, 19400312, 12.00, 7592, 00,  285, 00, ////, 07, ////, 07,  65, 00,  190, 00,  234, 00,   45, 00,    4, 00,   3, 00</v>
      </c>
    </row>
    <row r="288" spans="1:1" x14ac:dyDescent="0.25">
      <c r="A288" s="12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//"""),"'","""")&amp;SUBSTITUTE(TEXT(Overig!L288,""",""???0;"",""??-0;"",""???0;"", 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//"""),"'","""")&amp;SUBSTITUTE(TEXT(Overig!R288,""",""????0;"",""???-0;"",""????0;"", ////"""),"'","""")&amp;SUBSTITUTE(TEXT(Overig!S288,""",""?00;"",""?-00;"",""?00;"", //"""),"'","""")&amp;SUBSTITUTE(TEXT(IF(ISTEXT(Overig!T288),Overig!T288,10*Overig!T288),""",""????0;"",""???-0;"",""????0;"", ////"""),"'","""")&amp;SUBSTITUTE(TEXT(Overig!U288,""",""?00;"",""?-00;"",""?00;"", //"""),"'","""")&amp;SUBSTITUTE(TEXT(Overig!V288,""",""???0;"",""??-0;"",""???0;"", ///"""),"'","""")&amp;SUBSTITUTE(TEXT(Overig!W288,""",""?00;"",""?-00;"",""?00;"", //"""),"'","""")</f>
        <v>032, 19400312, 17.00, 7585, 00,  279, 00, ////, 07, ////, 07,  67, 00,  190, 00,  232, 00,   45, 00,    5, 00,   3, 00</v>
      </c>
    </row>
    <row r="289" spans="1:1" x14ac:dyDescent="0.25">
      <c r="A289" s="12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//"""),"'","""")&amp;SUBSTITUTE(TEXT(Overig!L289,""",""???0;"",""??-0;"",""???0;"", 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//"""),"'","""")&amp;SUBSTITUTE(TEXT(Overig!R289,""",""????0;"",""???-0;"",""????0;"", ////"""),"'","""")&amp;SUBSTITUTE(TEXT(Overig!S289,""",""?00;"",""?-00;"",""?00;"", //"""),"'","""")&amp;SUBSTITUTE(TEXT(IF(ISTEXT(Overig!T289),Overig!T289,10*Overig!T289),""",""????0;"",""???-0;"",""????0;"", ////"""),"'","""")&amp;SUBSTITUTE(TEXT(Overig!U289,""",""?00;"",""?-00;"",""?00;"", //"""),"'","""")&amp;SUBSTITUTE(TEXT(Overig!V289,""",""???0;"",""??-0;"",""???0;"", ///"""),"'","""")&amp;SUBSTITUTE(TEXT(Overig!W289,""",""?00;"",""?-00;"",""?00;"", //"""),"'","""")</f>
        <v>032, 19400312, 24.00, ////, 07, ////, 07,  296, 00,  308, 00, ///, 07, ////, 07, ////, 07, ////, 07, ////, 07, ///, 07</v>
      </c>
    </row>
    <row r="290" spans="1:1" x14ac:dyDescent="0.25">
      <c r="A290" s="12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//"""),"'","""")&amp;SUBSTITUTE(TEXT(Overig!L290,""",""???0;"",""??-0;"",""???0;"", 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//"""),"'","""")&amp;SUBSTITUTE(TEXT(Overig!R290,""",""????0;"",""???-0;"",""????0;"", ////"""),"'","""")&amp;SUBSTITUTE(TEXT(Overig!S290,""",""?00;"",""?-00;"",""?00;"", //"""),"'","""")&amp;SUBSTITUTE(TEXT(IF(ISTEXT(Overig!T290),Overig!T290,10*Overig!T290),""",""????0;"",""???-0;"",""????0;"", ////"""),"'","""")&amp;SUBSTITUTE(TEXT(Overig!U290,""",""?00;"",""?-00;"",""?00;"", //"""),"'","""")&amp;SUBSTITUTE(TEXT(Overig!V290,""",""???0;"",""??-0;"",""???0;"", ///"""),"'","""")&amp;SUBSTITUTE(TEXT(Overig!W290,""",""?00;"",""?-00;"",""?00;"", //"""),"'","""")</f>
        <v>032, 19400313, 07.00, 7597, 00,  261, 00, ////, 07, ////, 07,  81, 00,  206, 00,  236, 00,   45, 00,    4, 00,   2, 00</v>
      </c>
    </row>
    <row r="291" spans="1:1" x14ac:dyDescent="0.25">
      <c r="A291" s="12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//"""),"'","""")&amp;SUBSTITUTE(TEXT(Overig!L291,""",""???0;"",""??-0;"",""???0;"", 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//"""),"'","""")&amp;SUBSTITUTE(TEXT(Overig!R291,""",""????0;"",""???-0;"",""????0;"", ////"""),"'","""")&amp;SUBSTITUTE(TEXT(Overig!S291,""",""?00;"",""?-00;"",""?00;"", //"""),"'","""")&amp;SUBSTITUTE(TEXT(IF(ISTEXT(Overig!T291),Overig!T291,10*Overig!T291),""",""????0;"",""???-0;"",""????0;"", ////"""),"'","""")&amp;SUBSTITUTE(TEXT(Overig!U291,""",""?00;"",""?-00;"",""?00;"", //"""),"'","""")&amp;SUBSTITUTE(TEXT(Overig!V291,""",""???0;"",""??-0;"",""???0;"", ///"""),"'","""")&amp;SUBSTITUTE(TEXT(Overig!W291,""",""?00;"",""?-00;"",""?00;"", //"""),"'","""")</f>
        <v>032, 19400313, 12.00, 7592, 00,  274, 00, ////, 07, ////, 07,  74, 00,  203, 00,  238, 00,   45, 00,    5, 00,   3, 00</v>
      </c>
    </row>
    <row r="292" spans="1:1" x14ac:dyDescent="0.25">
      <c r="A292" s="12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//"""),"'","""")&amp;SUBSTITUTE(TEXT(Overig!L292,""",""???0;"",""??-0;"",""???0;"", 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//"""),"'","""")&amp;SUBSTITUTE(TEXT(Overig!R292,""",""????0;"",""???-0;"",""????0;"", ////"""),"'","""")&amp;SUBSTITUTE(TEXT(Overig!S292,""",""?00;"",""?-00;"",""?00;"", //"""),"'","""")&amp;SUBSTITUTE(TEXT(IF(ISTEXT(Overig!T292),Overig!T292,10*Overig!T292),""",""????0;"",""???-0;"",""????0;"", ////"""),"'","""")&amp;SUBSTITUTE(TEXT(Overig!U292,""",""?00;"",""?-00;"",""?00;"", //"""),"'","""")&amp;SUBSTITUTE(TEXT(Overig!V292,""",""???0;"",""??-0;"",""???0;"", ///"""),"'","""")&amp;SUBSTITUTE(TEXT(Overig!W292,""",""?00;"",""?-00;"",""?00;"", //"""),"'","""")</f>
        <v>032, 19400313, 17.00, 7582, 00,  274, 00, ////, 07, ////, 07,  73, 00,  199, 00,  236, 00,   45, 00,    5, 00,   4, 00</v>
      </c>
    </row>
    <row r="293" spans="1:1" x14ac:dyDescent="0.25">
      <c r="A293" s="12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//"""),"'","""")&amp;SUBSTITUTE(TEXT(Overig!L293,""",""???0;"",""??-0;"",""???0;"", 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//"""),"'","""")&amp;SUBSTITUTE(TEXT(Overig!R293,""",""????0;"",""???-0;"",""????0;"", ////"""),"'","""")&amp;SUBSTITUTE(TEXT(Overig!S293,""",""?00;"",""?-00;"",""?00;"", //"""),"'","""")&amp;SUBSTITUTE(TEXT(IF(ISTEXT(Overig!T293),Overig!T293,10*Overig!T293),""",""????0;"",""???-0;"",""????0;"", ////"""),"'","""")&amp;SUBSTITUTE(TEXT(Overig!U293,""",""?00;"",""?-00;"",""?00;"", //"""),"'","""")&amp;SUBSTITUTE(TEXT(Overig!V293,""",""???0;"",""??-0;"",""???0;"", ///"""),"'","""")&amp;SUBSTITUTE(TEXT(Overig!W293,""",""?00;"",""?-00;"",""?00;"", //"""),"'","""")</f>
        <v>032, 19400313, 24.00, ////, 07, ////, 07,  274, 00,  310, 00, ///, 07, ////, 07, ////, 07, ////, 07, ////, 07, ///, 07</v>
      </c>
    </row>
    <row r="294" spans="1:1" x14ac:dyDescent="0.25">
      <c r="A294" s="12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//"""),"'","""")&amp;SUBSTITUTE(TEXT(Overig!L294,""",""???0;"",""??-0;"",""???0;"", 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//"""),"'","""")&amp;SUBSTITUTE(TEXT(Overig!R294,""",""????0;"",""???-0;"",""????0;"", ////"""),"'","""")&amp;SUBSTITUTE(TEXT(Overig!S294,""",""?00;"",""?-00;"",""?00;"", //"""),"'","""")&amp;SUBSTITUTE(TEXT(IF(ISTEXT(Overig!T294),Overig!T294,10*Overig!T294),""",""????0;"",""???-0;"",""????0;"", ////"""),"'","""")&amp;SUBSTITUTE(TEXT(Overig!U294,""",""?00;"",""?-00;"",""?00;"", //"""),"'","""")&amp;SUBSTITUTE(TEXT(Overig!V294,""",""???0;"",""??-0;"",""???0;"", ///"""),"'","""")&amp;SUBSTITUTE(TEXT(Overig!W294,""",""?00;"",""?-00;"",""?00;"", //"""),"'","""")</f>
        <v>032, 19400314, 07.00, 7600, 00,  261, 00, ////, 07, ////, 07,  77, 00,  195, 00,  230, 00,   65, 00,    3, 00,   3, 00</v>
      </c>
    </row>
    <row r="295" spans="1:1" x14ac:dyDescent="0.25">
      <c r="A295" s="12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//"""),"'","""")&amp;SUBSTITUTE(TEXT(Overig!L295,""",""???0;"",""??-0;"",""???0;"", 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//"""),"'","""")&amp;SUBSTITUTE(TEXT(Overig!R295,""",""????0;"",""???-0;"",""????0;"", ////"""),"'","""")&amp;SUBSTITUTE(TEXT(Overig!S295,""",""?00;"",""?-00;"",""?00;"", //"""),"'","""")&amp;SUBSTITUTE(TEXT(IF(ISTEXT(Overig!T295),Overig!T295,10*Overig!T295),""",""????0;"",""???-0;"",""????0;"", ////"""),"'","""")&amp;SUBSTITUTE(TEXT(Overig!U295,""",""?00;"",""?-00;"",""?00;"", //"""),"'","""")&amp;SUBSTITUTE(TEXT(Overig!V295,""",""???0;"",""??-0;"",""???0;"", ///"""),"'","""")&amp;SUBSTITUTE(TEXT(Overig!W295,""",""?00;"",""?-00;"",""?00;"", //"""),"'","""")</f>
        <v>032, 19400314, 12.00, 7597, 00,  274, 00, ////, 07, ////, 07,  73, 00,  199, 00,  236, 00,   45, 00,    5, 00,   3, 00</v>
      </c>
    </row>
    <row r="296" spans="1:1" x14ac:dyDescent="0.25">
      <c r="A296" s="12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//"""),"'","""")&amp;SUBSTITUTE(TEXT(Overig!L296,""",""???0;"",""??-0;"",""???0;"", 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//"""),"'","""")&amp;SUBSTITUTE(TEXT(Overig!R296,""",""????0;"",""???-0;"",""????0;"", ////"""),"'","""")&amp;SUBSTITUTE(TEXT(Overig!S296,""",""?00;"",""?-00;"",""?00;"", //"""),"'","""")&amp;SUBSTITUTE(TEXT(IF(ISTEXT(Overig!T296),Overig!T296,10*Overig!T296),""",""????0;"",""???-0;"",""????0;"", ////"""),"'","""")&amp;SUBSTITUTE(TEXT(Overig!U296,""",""?00;"",""?-00;"",""?00;"", //"""),"'","""")&amp;SUBSTITUTE(TEXT(Overig!V296,""",""???0;"",""??-0;"",""???0;"", ///"""),"'","""")&amp;SUBSTITUTE(TEXT(Overig!W296,""",""?00;"",""?-00;"",""?00;"", //"""),"'","""")</f>
        <v>032, 19400314, 17.00, 7595, 00,  269, 00, ////, 07, ////, 07,  72, 00,  191, 00,  230, 00,   45, 00,    5, 00,   2, 00</v>
      </c>
    </row>
    <row r="297" spans="1:1" x14ac:dyDescent="0.25">
      <c r="A297" s="12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//"""),"'","""")&amp;SUBSTITUTE(TEXT(Overig!L297,""",""???0;"",""??-0;"",""???0;"", 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//"""),"'","""")&amp;SUBSTITUTE(TEXT(Overig!R297,""",""????0;"",""???-0;"",""????0;"", ////"""),"'","""")&amp;SUBSTITUTE(TEXT(Overig!S297,""",""?00;"",""?-00;"",""?00;"", //"""),"'","""")&amp;SUBSTITUTE(TEXT(IF(ISTEXT(Overig!T297),Overig!T297,10*Overig!T297),""",""????0;"",""???-0;"",""????0;"", ////"""),"'","""")&amp;SUBSTITUTE(TEXT(Overig!U297,""",""?00;"",""?-00;"",""?00;"", //"""),"'","""")&amp;SUBSTITUTE(TEXT(Overig!V297,""",""???0;"",""??-0;"",""???0;"", ///"""),"'","""")&amp;SUBSTITUTE(TEXT(Overig!W297,""",""?00;"",""?-00;"",""?00;"", //"""),"'","""")</f>
        <v>032, 19400314, 24.00, ////, 07, ////, 07,  280, 00,  306, 00, ///, 07, ////, 07, ////, 07, ////, 07, ////, 07, ///, 07</v>
      </c>
    </row>
    <row r="298" spans="1:1" x14ac:dyDescent="0.25">
      <c r="A298" s="12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//"""),"'","""")&amp;SUBSTITUTE(TEXT(Overig!L298,""",""???0;"",""??-0;"",""???0;"", 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//"""),"'","""")&amp;SUBSTITUTE(TEXT(Overig!R298,""",""????0;"",""???-0;"",""????0;"", ////"""),"'","""")&amp;SUBSTITUTE(TEXT(Overig!S298,""",""?00;"",""?-00;"",""?00;"", //"""),"'","""")&amp;SUBSTITUTE(TEXT(IF(ISTEXT(Overig!T298),Overig!T298,10*Overig!T298),""",""????0;"",""???-0;"",""????0;"", ////"""),"'","""")&amp;SUBSTITUTE(TEXT(Overig!U298,""",""?00;"",""?-00;"",""?00;"", //"""),"'","""")&amp;SUBSTITUTE(TEXT(Overig!V298,""",""???0;"",""??-0;"",""???0;"", ///"""),"'","""")&amp;SUBSTITUTE(TEXT(Overig!W298,""",""?00;"",""?-00;"",""?00;"", //"""),"'","""")</f>
        <v>032, 19400315, 07.00, 7595, 00,  259, 00, ////, 07, ////, 07,  77, 00,  193, 00,  228, 00,   45, 00,    4, 00,   3, 00</v>
      </c>
    </row>
    <row r="299" spans="1:1" x14ac:dyDescent="0.25">
      <c r="A299" s="12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//"""),"'","""")&amp;SUBSTITUTE(TEXT(Overig!L299,""",""???0;"",""??-0;"",""???0;"", 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//"""),"'","""")&amp;SUBSTITUTE(TEXT(Overig!R299,""",""????0;"",""???-0;"",""????0;"", ////"""),"'","""")&amp;SUBSTITUTE(TEXT(Overig!S299,""",""?00;"",""?-00;"",""?00;"", //"""),"'","""")&amp;SUBSTITUTE(TEXT(IF(ISTEXT(Overig!T299),Overig!T299,10*Overig!T299),""",""????0;"",""???-0;"",""????0;"", ////"""),"'","""")&amp;SUBSTITUTE(TEXT(Overig!U299,""",""?00;"",""?-00;"",""?00;"", //"""),"'","""")&amp;SUBSTITUTE(TEXT(Overig!V299,""",""???0;"",""??-0;"",""???0;"", ///"""),"'","""")&amp;SUBSTITUTE(TEXT(Overig!W299,""",""?00;"",""?-00;"",""?00;"", //"""),"'","""")</f>
        <v>032, 19400315, 12.00, 7595, 00,  280, 00, ////, 07, ////, 07,  69, 00,  196, 00,  236, 00,   45, 00,    6, 00,   3, 00</v>
      </c>
    </row>
    <row r="300" spans="1:1" x14ac:dyDescent="0.25">
      <c r="A300" s="12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//"""),"'","""")&amp;SUBSTITUTE(TEXT(Overig!L300,""",""???0;"",""??-0;"",""???0;"", 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//"""),"'","""")&amp;SUBSTITUTE(TEXT(Overig!R300,""",""????0;"",""???-0;"",""????0;"", ////"""),"'","""")&amp;SUBSTITUTE(TEXT(Overig!S300,""",""?00;"",""?-00;"",""?00;"", //"""),"'","""")&amp;SUBSTITUTE(TEXT(IF(ISTEXT(Overig!T300),Overig!T300,10*Overig!T300),""",""????0;"",""???-0;"",""????0;"", ////"""),"'","""")&amp;SUBSTITUTE(TEXT(Overig!U300,""",""?00;"",""?-00;"",""?00;"", //"""),"'","""")&amp;SUBSTITUTE(TEXT(Overig!V300,""",""???0;"",""??-0;"",""???0;"", ///"""),"'","""")&amp;SUBSTITUTE(TEXT(Overig!W300,""",""?00;"",""?-00;"",""?00;"", //"""),"'","""")</f>
        <v>032, 19400315, 17.00, 7592, 00,  273, 00, ////, 07, ////, 07,  73, 00,  198, 00,  235, 00,   45, 00,    6, 00,   4, 00</v>
      </c>
    </row>
    <row r="301" spans="1:1" x14ac:dyDescent="0.25">
      <c r="A301" s="12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//"""),"'","""")&amp;SUBSTITUTE(TEXT(Overig!L301,""",""???0;"",""??-0;"",""???0;"", 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//"""),"'","""")&amp;SUBSTITUTE(TEXT(Overig!R301,""",""????0;"",""???-0;"",""????0;"", ////"""),"'","""")&amp;SUBSTITUTE(TEXT(Overig!S301,""",""?00;"",""?-00;"",""?00;"", //"""),"'","""")&amp;SUBSTITUTE(TEXT(IF(ISTEXT(Overig!T301),Overig!T301,10*Overig!T301),""",""????0;"",""???-0;"",""????0;"", ////"""),"'","""")&amp;SUBSTITUTE(TEXT(Overig!U301,""",""?00;"",""?-00;"",""?00;"", //"""),"'","""")&amp;SUBSTITUTE(TEXT(Overig!V301,""",""???0;"",""??-0;"",""???0;"", ///"""),"'","""")&amp;SUBSTITUTE(TEXT(Overig!W301,""",""?00;"",""?-00;"",""?00;"", //"""),"'","""")</f>
        <v>032, 19400315, 24.00, ////, 07, ////, 07,  291, 00,  306, 00, ///, 07, ////, 07, ////, 07, ////, 07, ////, 07, ///, 07</v>
      </c>
    </row>
    <row r="302" spans="1:1" x14ac:dyDescent="0.25">
      <c r="A302" s="12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//"""),"'","""")&amp;SUBSTITUTE(TEXT(Overig!L302,""",""???0;"",""??-0;"",""???0;"", 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//"""),"'","""")&amp;SUBSTITUTE(TEXT(Overig!R302,""",""????0;"",""???-0;"",""????0;"", ////"""),"'","""")&amp;SUBSTITUTE(TEXT(Overig!S302,""",""?00;"",""?-00;"",""?00;"", //"""),"'","""")&amp;SUBSTITUTE(TEXT(IF(ISTEXT(Overig!T302),Overig!T302,10*Overig!T302),""",""????0;"",""???-0;"",""????0;"", ////"""),"'","""")&amp;SUBSTITUTE(TEXT(Overig!U302,""",""?00;"",""?-00;"",""?00;"", //"""),"'","""")&amp;SUBSTITUTE(TEXT(Overig!V302,""",""???0;"",""??-0;"",""???0;"", ///"""),"'","""")&amp;SUBSTITUTE(TEXT(Overig!W302,""",""?00;"",""?-00;"",""?00;"", //"""),"'","""")</f>
        <v>032, 19400316, 07.00, 7589, 00,  261, 00, ////, 07, ////, 07,  76, 00,  194, 00,  229, 00,   45, 00,    4, 00,   2, 00</v>
      </c>
    </row>
    <row r="303" spans="1:1" x14ac:dyDescent="0.25">
      <c r="A303" s="12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//"""),"'","""")&amp;SUBSTITUTE(TEXT(Overig!L303,""",""???0;"",""??-0;"",""???0;"", 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//"""),"'","""")&amp;SUBSTITUTE(TEXT(Overig!R303,""",""????0;"",""???-0;"",""????0;"", ////"""),"'","""")&amp;SUBSTITUTE(TEXT(Overig!S303,""",""?00;"",""?-00;"",""?00;"", //"""),"'","""")&amp;SUBSTITUTE(TEXT(IF(ISTEXT(Overig!T303),Overig!T303,10*Overig!T303),""",""????0;"",""???-0;"",""????0;"", ////"""),"'","""")&amp;SUBSTITUTE(TEXT(Overig!U303,""",""?00;"",""?-00;"",""?00;"", //"""),"'","""")&amp;SUBSTITUTE(TEXT(Overig!V303,""",""???0;"",""??-0;"",""???0;"", ///"""),"'","""")&amp;SUBSTITUTE(TEXT(Overig!W303,""",""?00;"",""?-00;"",""?00;"", //"""),"'","""")</f>
        <v>032, 19400316, 12.00, 7597, 00,  289, 00, ////, 07, ////, 07,  63, 00,  188, 00,  234, 00,   45, 00,    6, 00,   3, 00</v>
      </c>
    </row>
    <row r="304" spans="1:1" x14ac:dyDescent="0.25">
      <c r="A304" s="12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//"""),"'","""")&amp;SUBSTITUTE(TEXT(Overig!L304,""",""???0;"",""??-0;"",""???0;"", 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//"""),"'","""")&amp;SUBSTITUTE(TEXT(Overig!R304,""",""????0;"",""???-0;"",""????0;"", ////"""),"'","""")&amp;SUBSTITUTE(TEXT(Overig!S304,""",""?00;"",""?-00;"",""?00;"", //"""),"'","""")&amp;SUBSTITUTE(TEXT(IF(ISTEXT(Overig!T304),Overig!T304,10*Overig!T304),""",""????0;"",""???-0;"",""????0;"", ////"""),"'","""")&amp;SUBSTITUTE(TEXT(Overig!U304,""",""?00;"",""?-00;"",""?00;"", //"""),"'","""")&amp;SUBSTITUTE(TEXT(Overig!V304,""",""???0;"",""??-0;"",""???0;"", ///"""),"'","""")&amp;SUBSTITUTE(TEXT(Overig!W304,""",""?00;"",""?-00;"",""?00;"", //"""),"'","""")</f>
        <v>032, 19400316, 17.00, 7597, 00,  283, 00, ////, 07, ////, 07,  64, 00,  184, 00,  230, 00,   45, 00,    5, 00,   3, 00</v>
      </c>
    </row>
    <row r="305" spans="1:1" x14ac:dyDescent="0.25">
      <c r="A305" s="12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//"""),"'","""")&amp;SUBSTITUTE(TEXT(Overig!L305,""",""???0;"",""??-0;"",""???0;"", 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//"""),"'","""")&amp;SUBSTITUTE(TEXT(Overig!R305,""",""????0;"",""???-0;"",""????0;"", ////"""),"'","""")&amp;SUBSTITUTE(TEXT(Overig!S305,""",""?00;"",""?-00;"",""?00;"", //"""),"'","""")&amp;SUBSTITUTE(TEXT(IF(ISTEXT(Overig!T305),Overig!T305,10*Overig!T305),""",""????0;"",""???-0;"",""????0;"", ////"""),"'","""")&amp;SUBSTITUTE(TEXT(Overig!U305,""",""?00;"",""?-00;"",""?00;"", //"""),"'","""")&amp;SUBSTITUTE(TEXT(Overig!V305,""",""???0;"",""??-0;"",""???0;"", ///"""),"'","""")&amp;SUBSTITUTE(TEXT(Overig!W305,""",""?00;"",""?-00;"",""?00;"", //"""),"'","""")</f>
        <v>032, 19400316, 24.00, ////, 07, ////, 07,  268, 00,  316, 00, ///, 07, ////, 07, ////, 07, ////, 07, ////, 07, ///, 07</v>
      </c>
    </row>
    <row r="306" spans="1:1" x14ac:dyDescent="0.25">
      <c r="A306" s="12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//"""),"'","""")&amp;SUBSTITUTE(TEXT(Overig!L306,""",""???0;"",""??-0;"",""???0;"", 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//"""),"'","""")&amp;SUBSTITUTE(TEXT(Overig!R306,""",""????0;"",""???-0;"",""????0;"", ////"""),"'","""")&amp;SUBSTITUTE(TEXT(Overig!S306,""",""?00;"",""?-00;"",""?00;"", //"""),"'","""")&amp;SUBSTITUTE(TEXT(IF(ISTEXT(Overig!T306),Overig!T306,10*Overig!T306),""",""????0;"",""???-0;"",""????0;"", ////"""),"'","""")&amp;SUBSTITUTE(TEXT(Overig!U306,""",""?00;"",""?-00;"",""?00;"", //"""),"'","""")&amp;SUBSTITUTE(TEXT(Overig!V306,""",""???0;"",""??-0;"",""???0;"", ///"""),"'","""")&amp;SUBSTITUTE(TEXT(Overig!W306,""",""?00;"",""?-00;"",""?00;"", //"""),"'","""")</f>
        <v>032, 19400317, 07.00, 7595, 00,  269, 00, ////, 07, ////, 07,  73, 00,  195, 00,  232, 00,   65, 00,    4, 00,   3, 00</v>
      </c>
    </row>
    <row r="307" spans="1:1" x14ac:dyDescent="0.25">
      <c r="A307" s="12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//"""),"'","""")&amp;SUBSTITUTE(TEXT(Overig!L307,""",""???0;"",""??-0;"",""???0;"", 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//"""),"'","""")&amp;SUBSTITUTE(TEXT(Overig!R307,""",""????0;"",""???-0;"",""????0;"", ////"""),"'","""")&amp;SUBSTITUTE(TEXT(Overig!S307,""",""?00;"",""?-00;"",""?00;"", //"""),"'","""")&amp;SUBSTITUTE(TEXT(IF(ISTEXT(Overig!T307),Overig!T307,10*Overig!T307),""",""????0;"",""???-0;"",""????0;"", ////"""),"'","""")&amp;SUBSTITUTE(TEXT(Overig!U307,""",""?00;"",""?-00;"",""?00;"", //"""),"'","""")&amp;SUBSTITUTE(TEXT(Overig!V307,""",""???0;"",""??-0;"",""???0;"", ///"""),"'","""")&amp;SUBSTITUTE(TEXT(Overig!W307,""",""?00;"",""?-00;"",""?00;"", //"""),"'","""")</f>
        <v>032, 19400317, 12.00, 7595, 00,  289, 00, ////, 07, ////, 07,  64, 00,  192, 00,  236, 00,   65, 00,    6, 00,   4, 00</v>
      </c>
    </row>
    <row r="308" spans="1:1" x14ac:dyDescent="0.25">
      <c r="A308" s="12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//"""),"'","""")&amp;SUBSTITUTE(TEXT(Overig!L308,""",""???0;"",""??-0;"",""???0;"", 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//"""),"'","""")&amp;SUBSTITUTE(TEXT(Overig!R308,""",""????0;"",""???-0;"",""????0;"", ////"""),"'","""")&amp;SUBSTITUTE(TEXT(Overig!S308,""",""?00;"",""?-00;"",""?00;"", //"""),"'","""")&amp;SUBSTITUTE(TEXT(IF(ISTEXT(Overig!T308),Overig!T308,10*Overig!T308),""",""????0;"",""???-0;"",""????0;"", ////"""),"'","""")&amp;SUBSTITUTE(TEXT(Overig!U308,""",""?00;"",""?-00;"",""?00;"", //"""),"'","""")&amp;SUBSTITUTE(TEXT(Overig!V308,""",""???0;"",""??-0;"",""???0;"", ///"""),"'","""")&amp;SUBSTITUTE(TEXT(Overig!W308,""",""?00;"",""?-00;"",""?00;"", //"""),"'","""")</f>
        <v>032, 19400317, 17.00, 7592, 00,  285, 00, ////, 07, ////, 07,  66, 00,  192, 00,  235, 00,   45, 00,    6, 00,   4, 00</v>
      </c>
    </row>
    <row r="309" spans="1:1" x14ac:dyDescent="0.25">
      <c r="A309" s="12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//"""),"'","""")&amp;SUBSTITUTE(TEXT(Overig!L309,""",""???0;"",""??-0;"",""???0;"", 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//"""),"'","""")&amp;SUBSTITUTE(TEXT(Overig!R309,""",""????0;"",""???-0;"",""????0;"", ////"""),"'","""")&amp;SUBSTITUTE(TEXT(Overig!S309,""",""?00;"",""?-00;"",""?00;"", //"""),"'","""")&amp;SUBSTITUTE(TEXT(IF(ISTEXT(Overig!T309),Overig!T309,10*Overig!T309),""",""????0;"",""???-0;"",""????0;"", ////"""),"'","""")&amp;SUBSTITUTE(TEXT(Overig!U309,""",""?00;"",""?-00;"",""?00;"", //"""),"'","""")&amp;SUBSTITUTE(TEXT(Overig!V309,""",""???0;"",""??-0;"",""???0;"", ///"""),"'","""")&amp;SUBSTITUTE(TEXT(Overig!W309,""",""?00;"",""?-00;"",""?00;"", //"""),"'","""")</f>
        <v>032, 19400317, 24.00, ////, 07, ////, 07,  275, 00,  315, 00, ///, 07, ////, 07, ////, 07, ////, 07, ////, 07, ///, 07</v>
      </c>
    </row>
    <row r="310" spans="1:1" x14ac:dyDescent="0.25">
      <c r="A310" s="12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//"""),"'","""")&amp;SUBSTITUTE(TEXT(Overig!L310,""",""???0;"",""??-0;"",""???0;"", 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//"""),"'","""")&amp;SUBSTITUTE(TEXT(Overig!R310,""",""????0;"",""???-0;"",""????0;"", ////"""),"'","""")&amp;SUBSTITUTE(TEXT(Overig!S310,""",""?00;"",""?-00;"",""?00;"", //"""),"'","""")&amp;SUBSTITUTE(TEXT(IF(ISTEXT(Overig!T310),Overig!T310,10*Overig!T310),""",""????0;"",""???-0;"",""????0;"", ////"""),"'","""")&amp;SUBSTITUTE(TEXT(Overig!U310,""",""?00;"",""?-00;"",""?00;"", //"""),"'","""")&amp;SUBSTITUTE(TEXT(Overig!V310,""",""???0;"",""??-0;"",""???0;"", ///"""),"'","""")&amp;SUBSTITUTE(TEXT(Overig!W310,""",""?00;"",""?-00;"",""?00;"", //"""),"'","""")</f>
        <v>032, 19400318, 07.00, 7589, 00,  261, 00, ////, 07, ////, 07,  76, 00,  194, 00,  229, 00,   65, 00,    5, 00,   2, 00</v>
      </c>
    </row>
    <row r="311" spans="1:1" x14ac:dyDescent="0.25">
      <c r="A311" s="12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//"""),"'","""")&amp;SUBSTITUTE(TEXT(Overig!L311,""",""???0;"",""??-0;"",""???0;"", 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//"""),"'","""")&amp;SUBSTITUTE(TEXT(Overig!R311,""",""????0;"",""???-0;"",""????0;"", ////"""),"'","""")&amp;SUBSTITUTE(TEXT(Overig!S311,""",""?00;"",""?-00;"",""?00;"", //"""),"'","""")&amp;SUBSTITUTE(TEXT(IF(ISTEXT(Overig!T311),Overig!T311,10*Overig!T311),""",""????0;"",""???-0;"",""????0;"", ////"""),"'","""")&amp;SUBSTITUTE(TEXT(Overig!U311,""",""?00;"",""?-00;"",""?00;"", //"""),"'","""")&amp;SUBSTITUTE(TEXT(Overig!V311,""",""???0;"",""??-0;"",""???0;"", ///"""),"'","""")&amp;SUBSTITUTE(TEXT(Overig!W311,""",""?00;"",""?-00;"",""?00;"", //"""),"'","""")</f>
        <v>032, 19400318, 12.00, 7595, 00,  290, 00, ////, 07, ////, 07,  62, 00,  188, 00,  234, 00,   65, 00,    6, 00,   2, 00</v>
      </c>
    </row>
    <row r="312" spans="1:1" x14ac:dyDescent="0.25">
      <c r="A312" s="12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//"""),"'","""")&amp;SUBSTITUTE(TEXT(Overig!L312,""",""???0;"",""??-0;"",""???0;"", 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//"""),"'","""")&amp;SUBSTITUTE(TEXT(Overig!R312,""",""????0;"",""???-0;"",""????0;"", ////"""),"'","""")&amp;SUBSTITUTE(TEXT(Overig!S312,""",""?00;"",""?-00;"",""?00;"", //"""),"'","""")&amp;SUBSTITUTE(TEXT(IF(ISTEXT(Overig!T312),Overig!T312,10*Overig!T312),""",""????0;"",""???-0;"",""????0;"", ////"""),"'","""")&amp;SUBSTITUTE(TEXT(Overig!U312,""",""?00;"",""?-00;"",""?00;"", //"""),"'","""")&amp;SUBSTITUTE(TEXT(Overig!V312,""",""???0;"",""??-0;"",""???0;"", ///"""),"'","""")&amp;SUBSTITUTE(TEXT(Overig!W312,""",""?00;"",""?-00;"",""?00;"", //"""),"'","""")</f>
        <v>032, 19400318, 17.00, 7587, 00,  284, 00, ////, 07, ////, 07,  64, 00,  186, 00,  231, 00,   65, 00,    6, 00,   2, 00</v>
      </c>
    </row>
    <row r="313" spans="1:1" x14ac:dyDescent="0.25">
      <c r="A313" s="12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//"""),"'","""")&amp;SUBSTITUTE(TEXT(Overig!L313,""",""???0;"",""??-0;"",""???0;"", 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//"""),"'","""")&amp;SUBSTITUTE(TEXT(Overig!R313,""",""????0;"",""???-0;"",""????0;"", ////"""),"'","""")&amp;SUBSTITUTE(TEXT(Overig!S313,""",""?00;"",""?-00;"",""?00;"", //"""),"'","""")&amp;SUBSTITUTE(TEXT(IF(ISTEXT(Overig!T313),Overig!T313,10*Overig!T313),""",""????0;"",""???-0;"",""????0;"", ////"""),"'","""")&amp;SUBSTITUTE(TEXT(Overig!U313,""",""?00;"",""?-00;"",""?00;"", //"""),"'","""")&amp;SUBSTITUTE(TEXT(Overig!V313,""",""???0;"",""??-0;"",""???0;"", ///"""),"'","""")&amp;SUBSTITUTE(TEXT(Overig!W313,""",""?00;"",""?-00;"",""?00;"", //"""),"'","""")</f>
        <v>032, 19400318, 24.00, ////, 07, ////, 07,  278, 00,  298, 00, ///, 07, ////, 07, ////, 07, ////, 07, ////, 07, ///, 07</v>
      </c>
    </row>
    <row r="314" spans="1:1" x14ac:dyDescent="0.25">
      <c r="A314" s="12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//"""),"'","""")&amp;SUBSTITUTE(TEXT(Overig!L314,""",""???0;"",""??-0;"",""???0;"", 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//"""),"'","""")&amp;SUBSTITUTE(TEXT(Overig!R314,""",""????0;"",""???-0;"",""????0;"", ////"""),"'","""")&amp;SUBSTITUTE(TEXT(Overig!S314,""",""?00;"",""?-00;"",""?00;"", //"""),"'","""")&amp;SUBSTITUTE(TEXT(IF(ISTEXT(Overig!T314),Overig!T314,10*Overig!T314),""",""????0;"",""???-0;"",""????0;"", ////"""),"'","""")&amp;SUBSTITUTE(TEXT(Overig!U314,""",""?00;"",""?-00;"",""?00;"", //"""),"'","""")&amp;SUBSTITUTE(TEXT(Overig!V314,""",""???0;"",""??-0;"",""???0;"", ///"""),"'","""")&amp;SUBSTITUTE(TEXT(Overig!W314,""",""?00;"",""?-00;"",""?00;"", //"""),"'","""")</f>
        <v>032, 19400319, 07.00, 7597, 00,  269, 00, ////, 07, ////, 07,  72, 00,  191, 00,  230, 00,   45, 00,    5, 00,   1, 00</v>
      </c>
    </row>
    <row r="315" spans="1:1" x14ac:dyDescent="0.25">
      <c r="A315" s="12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//"""),"'","""")&amp;SUBSTITUTE(TEXT(Overig!L315,""",""???0;"",""??-0;"",""???0;"", 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//"""),"'","""")&amp;SUBSTITUTE(TEXT(Overig!R315,""",""????0;"",""???-0;"",""????0;"", ////"""),"'","""")&amp;SUBSTITUTE(TEXT(Overig!S315,""",""?00;"",""?-00;"",""?00;"", //"""),"'","""")&amp;SUBSTITUTE(TEXT(IF(ISTEXT(Overig!T315),Overig!T315,10*Overig!T315),""",""????0;"",""???-0;"",""????0;"", ////"""),"'","""")&amp;SUBSTITUTE(TEXT(Overig!U315,""",""?00;"",""?-00;"",""?00;"", //"""),"'","""")&amp;SUBSTITUTE(TEXT(Overig!V315,""",""???0;"",""??-0;"",""???0;"", ///"""),"'","""")&amp;SUBSTITUTE(TEXT(Overig!W315,""",""?00;"",""?-00;"",""?00;"", //"""),"'","""")</f>
        <v>032, 19400319, 12.00, 7579, 00,  285, 00, ////, 07, ////, 07,  64, 00,  187, 00,  232, 00,   45, 00,    6, 00,   1, 00</v>
      </c>
    </row>
    <row r="316" spans="1:1" x14ac:dyDescent="0.25">
      <c r="A316" s="12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//"""),"'","""")&amp;SUBSTITUTE(TEXT(Overig!L316,""",""???0;"",""??-0;"",""???0;"", 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//"""),"'","""")&amp;SUBSTITUTE(TEXT(Overig!R316,""",""????0;"",""???-0;"",""????0;"", ////"""),"'","""")&amp;SUBSTITUTE(TEXT(Overig!S316,""",""?00;"",""?-00;"",""?00;"", //"""),"'","""")&amp;SUBSTITUTE(TEXT(IF(ISTEXT(Overig!T316),Overig!T316,10*Overig!T316),""",""????0;"",""???-0;"",""????0;"", ////"""),"'","""")&amp;SUBSTITUTE(TEXT(Overig!U316,""",""?00;"",""?-00;"",""?00;"", //"""),"'","""")&amp;SUBSTITUTE(TEXT(Overig!V316,""",""???0;"",""??-0;"",""???0;"", ///"""),"'","""")&amp;SUBSTITUTE(TEXT(Overig!W316,""",""?00;"",""?-00;"",""?00;"", //"""),"'","""")</f>
        <v>032, 19400319, 17.00, 7562, 00,  280, 00, ////, 07, ////, 07,  65, 00,  184, 00,  229, 00,   45, 00,    6, 00,   1, 00</v>
      </c>
    </row>
    <row r="317" spans="1:1" x14ac:dyDescent="0.25">
      <c r="A317" s="12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//"""),"'","""")&amp;SUBSTITUTE(TEXT(Overig!L317,""",""???0;"",""??-0;"",""???0;"", 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//"""),"'","""")&amp;SUBSTITUTE(TEXT(Overig!R317,""",""????0;"",""???-0;"",""????0;"", ////"""),"'","""")&amp;SUBSTITUTE(TEXT(Overig!S317,""",""?00;"",""?-00;"",""?00;"", //"""),"'","""")&amp;SUBSTITUTE(TEXT(IF(ISTEXT(Overig!T317),Overig!T317,10*Overig!T317),""",""????0;"",""???-0;"",""????0;"", ////"""),"'","""")&amp;SUBSTITUTE(TEXT(Overig!U317,""",""?00;"",""?-00;"",""?00;"", //"""),"'","""")&amp;SUBSTITUTE(TEXT(Overig!V317,""",""???0;"",""??-0;"",""???0;"", ///"""),"'","""")&amp;SUBSTITUTE(TEXT(Overig!W317,""",""?00;"",""?-00;"",""?00;"", //"""),"'","""")</f>
        <v>032, 19400319, 24.00, ////, 07, ////, 07,  280, 00,  310, 00, ///, 07, ////, 07, ////, 07, ////, 07, ////, 07, ///, 07</v>
      </c>
    </row>
    <row r="318" spans="1:1" x14ac:dyDescent="0.25">
      <c r="A318" s="12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//"""),"'","""")&amp;SUBSTITUTE(TEXT(Overig!L318,""",""???0;"",""??-0;"",""???0;"", 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//"""),"'","""")&amp;SUBSTITUTE(TEXT(Overig!R318,""",""????0;"",""???-0;"",""????0;"", ////"""),"'","""")&amp;SUBSTITUTE(TEXT(Overig!S318,""",""?00;"",""?-00;"",""?00;"", //"""),"'","""")&amp;SUBSTITUTE(TEXT(IF(ISTEXT(Overig!T318),Overig!T318,10*Overig!T318),""",""????0;"",""???-0;"",""????0;"", ////"""),"'","""")&amp;SUBSTITUTE(TEXT(Overig!U318,""",""?00;"",""?-00;"",""?00;"", //"""),"'","""")&amp;SUBSTITUTE(TEXT(Overig!V318,""",""???0;"",""??-0;"",""???0;"", ///"""),"'","""")&amp;SUBSTITUTE(TEXT(Overig!W318,""",""?00;"",""?-00;"",""?00;"", //"""),"'","""")</f>
        <v>032, 19400320, 07.00, 7597, 00,  273, 00, ////, 07, ////, 07,  73, 00,  198, 00,  205, 00,   65, 00,    6, 00,   2, 00</v>
      </c>
    </row>
    <row r="319" spans="1:1" x14ac:dyDescent="0.25">
      <c r="A319" s="12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//"""),"'","""")&amp;SUBSTITUTE(TEXT(Overig!L319,""",""???0;"",""??-0;"",""???0;"", 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//"""),"'","""")&amp;SUBSTITUTE(TEXT(Overig!R319,""",""????0;"",""???-0;"",""????0;"", ////"""),"'","""")&amp;SUBSTITUTE(TEXT(Overig!S319,""",""?00;"",""?-00;"",""?00;"", //"""),"'","""")&amp;SUBSTITUTE(TEXT(IF(ISTEXT(Overig!T319),Overig!T319,10*Overig!T319),""",""????0;"",""???-0;"",""????0;"", ////"""),"'","""")&amp;SUBSTITUTE(TEXT(Overig!U319,""",""?00;"",""?-00;"",""?00;"", //"""),"'","""")&amp;SUBSTITUTE(TEXT(Overig!V319,""",""???0;"",""??-0;"",""???0;"", ///"""),"'","""")&amp;SUBSTITUTE(TEXT(Overig!W319,""",""?00;"",""?-00;"",""?00;"", //"""),"'","""")</f>
        <v>032, 19400320, 12.00, 7600, 00,  287, 00, ////, 07, ////, 07,  66, 00,  197, 00,  238, 00,   65, 00,    7, 00,   1, 00</v>
      </c>
    </row>
    <row r="320" spans="1:1" x14ac:dyDescent="0.25">
      <c r="A320" s="12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//"""),"'","""")&amp;SUBSTITUTE(TEXT(Overig!L320,""",""???0;"",""??-0;"",""???0;"", 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//"""),"'","""")&amp;SUBSTITUTE(TEXT(Overig!R320,""",""????0;"",""???-0;"",""????0;"", ////"""),"'","""")&amp;SUBSTITUTE(TEXT(Overig!S320,""",""?00;"",""?-00;"",""?00;"", //"""),"'","""")&amp;SUBSTITUTE(TEXT(IF(ISTEXT(Overig!T320),Overig!T320,10*Overig!T320),""",""????0;"",""???-0;"",""????0;"", ////"""),"'","""")&amp;SUBSTITUTE(TEXT(Overig!U320,""",""?00;"",""?-00;"",""?00;"", //"""),"'","""")&amp;SUBSTITUTE(TEXT(Overig!V320,""",""???0;"",""??-0;"",""???0;"", ///"""),"'","""")&amp;SUBSTITUTE(TEXT(Overig!W320,""",""?00;"",""?-00;"",""?00;"", //"""),"'","""")</f>
        <v>032, 19400320, 17.00, 7592, 00,  283, 00, ////, 07, ////, 07,  66, 00,  190, 00,  233, 00,   45, 00,    7, 00,   1, 00</v>
      </c>
    </row>
    <row r="321" spans="1:1" x14ac:dyDescent="0.25">
      <c r="A321" s="12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//"""),"'","""")&amp;SUBSTITUTE(TEXT(Overig!L321,""",""???0;"",""??-0;"",""???0;"", 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//"""),"'","""")&amp;SUBSTITUTE(TEXT(Overig!R321,""",""????0;"",""???-0;"",""????0;"", ////"""),"'","""")&amp;SUBSTITUTE(TEXT(Overig!S321,""",""?00;"",""?-00;"",""?00;"", //"""),"'","""")&amp;SUBSTITUTE(TEXT(IF(ISTEXT(Overig!T321),Overig!T321,10*Overig!T321),""",""????0;"",""???-0;"",""????0;"", ////"""),"'","""")&amp;SUBSTITUTE(TEXT(Overig!U321,""",""?00;"",""?-00;"",""?00;"", //"""),"'","""")&amp;SUBSTITUTE(TEXT(Overig!V321,""",""???0;"",""??-0;"",""???0;"", ///"""),"'","""")&amp;SUBSTITUTE(TEXT(Overig!W321,""",""?00;"",""?-00;"",""?00;"", //"""),"'","""")</f>
        <v>032, 19400320, 24.00, ////, 07, ////, 07,  280, 00,  316, 00, ///, 07, ////, 07, ////, 07, ////, 07, ////, 07, ///, 07</v>
      </c>
    </row>
    <row r="322" spans="1:1" x14ac:dyDescent="0.25">
      <c r="A322" s="12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//"""),"'","""")&amp;SUBSTITUTE(TEXT(Overig!L322,""",""???0;"",""??-0;"",""???0;"", 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//"""),"'","""")&amp;SUBSTITUTE(TEXT(Overig!R322,""",""????0;"",""???-0;"",""????0;"", ////"""),"'","""")&amp;SUBSTITUTE(TEXT(Overig!S322,""",""?00;"",""?-00;"",""?00;"", //"""),"'","""")&amp;SUBSTITUTE(TEXT(IF(ISTEXT(Overig!T322),Overig!T322,10*Overig!T322),""",""????0;"",""???-0;"",""????0;"", ////"""),"'","""")&amp;SUBSTITUTE(TEXT(Overig!U322,""",""?00;"",""?-00;"",""?00;"", //"""),"'","""")&amp;SUBSTITUTE(TEXT(Overig!V322,""",""???0;"",""??-0;"",""???0;"", ///"""),"'","""")&amp;SUBSTITUTE(TEXT(Overig!W322,""",""?00;"",""?-00;"",""?00;"", //"""),"'","""")</f>
        <v>032, 19400321, 07.00, 7585, 00,  269, 00, ////, 07, ////, 07,  72, 00,  191, 00,  230, 00,   65, 00,    6, 00,   2, 00</v>
      </c>
    </row>
    <row r="323" spans="1:1" x14ac:dyDescent="0.25">
      <c r="A323" s="12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//"""),"'","""")&amp;SUBSTITUTE(TEXT(Overig!L323,""",""???0;"",""??-0;"",""???0;"", 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//"""),"'","""")&amp;SUBSTITUTE(TEXT(Overig!R323,""",""????0;"",""???-0;"",""????0;"", ////"""),"'","""")&amp;SUBSTITUTE(TEXT(Overig!S323,""",""?00;"",""?-00;"",""?00;"", //"""),"'","""")&amp;SUBSTITUTE(TEXT(IF(ISTEXT(Overig!T323),Overig!T323,10*Overig!T323),""",""????0;"",""???-0;"",""????0;"", ////"""),"'","""")&amp;SUBSTITUTE(TEXT(Overig!U323,""",""?00;"",""?-00;"",""?00;"", //"""),"'","""")&amp;SUBSTITUTE(TEXT(Overig!V323,""",""???0;"",""??-0;"",""???0;"", ///"""),"'","""")&amp;SUBSTITUTE(TEXT(Overig!W323,""",""?00;"",""?-00;"",""?00;"", //"""),"'","""")</f>
        <v>032, 19400321, 12.00, 7597, 00,  291, 00, ////, 07, ////, 07,  64, 00,  195, 00,  238, 00,   65, 00,    7, 00,   2, 00</v>
      </c>
    </row>
    <row r="324" spans="1:1" x14ac:dyDescent="0.25">
      <c r="A324" s="12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//"""),"'","""")&amp;SUBSTITUTE(TEXT(Overig!L324,""",""???0;"",""??-0;"",""???0;"", 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//"""),"'","""")&amp;SUBSTITUTE(TEXT(Overig!R324,""",""????0;"",""???-0;"",""????0;"", ////"""),"'","""")&amp;SUBSTITUTE(TEXT(Overig!S324,""",""?00;"",""?-00;"",""?00;"", //"""),"'","""")&amp;SUBSTITUTE(TEXT(IF(ISTEXT(Overig!T324),Overig!T324,10*Overig!T324),""",""????0;"",""???-0;"",""????0;"", ////"""),"'","""")&amp;SUBSTITUTE(TEXT(Overig!U324,""",""?00;"",""?-00;"",""?00;"", //"""),"'","""")&amp;SUBSTITUTE(TEXT(Overig!V324,""",""???0;"",""??-0;"",""???0;"", ///"""),"'","""")&amp;SUBSTITUTE(TEXT(Overig!W324,""",""?00;"",""?-00;"",""?00;"", //"""),"'","""")</f>
        <v>032, 19400321, 17.00, 7592, 00,  287, 00, ////, 07, ////, 07,  65, 00,  193, 00,  236, 00,   45, 00,    7, 00,   1, 00</v>
      </c>
    </row>
    <row r="325" spans="1:1" x14ac:dyDescent="0.25">
      <c r="A325" s="12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//"""),"'","""")&amp;SUBSTITUTE(TEXT(Overig!L325,""",""???0;"",""??-0;"",""???0;"", 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//"""),"'","""")&amp;SUBSTITUTE(TEXT(Overig!R325,""",""????0;"",""???-0;"",""????0;"", ////"""),"'","""")&amp;SUBSTITUTE(TEXT(Overig!S325,""",""?00;"",""?-00;"",""?00;"", //"""),"'","""")&amp;SUBSTITUTE(TEXT(IF(ISTEXT(Overig!T325),Overig!T325,10*Overig!T325),""",""????0;"",""???-0;"",""????0;"", ////"""),"'","""")&amp;SUBSTITUTE(TEXT(Overig!U325,""",""?00;"",""?-00;"",""?00;"", //"""),"'","""")&amp;SUBSTITUTE(TEXT(Overig!V325,""",""???0;"",""??-0;"",""???0;"", ///"""),"'","""")&amp;SUBSTITUTE(TEXT(Overig!W325,""",""?00;"",""?-00;"",""?00;"", //"""),"'","""")</f>
        <v>032, 19400321, 24.00, ////, 07, ////, 07,  284, 00,  315, 00, ///, 07, ////, 07, ////, 07, ////, 07, ////, 07, ///, 07</v>
      </c>
    </row>
    <row r="326" spans="1:1" x14ac:dyDescent="0.25">
      <c r="A326" s="12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//"""),"'","""")&amp;SUBSTITUTE(TEXT(Overig!L326,""",""???0;"",""??-0;"",""???0;"", 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//"""),"'","""")&amp;SUBSTITUTE(TEXT(Overig!R326,""",""????0;"",""???-0;"",""????0;"", ////"""),"'","""")&amp;SUBSTITUTE(TEXT(Overig!S326,""",""?00;"",""?-00;"",""?00;"", //"""),"'","""")&amp;SUBSTITUTE(TEXT(IF(ISTEXT(Overig!T326),Overig!T326,10*Overig!T326),""",""????0;"",""???-0;"",""????0;"", ////"""),"'","""")&amp;SUBSTITUTE(TEXT(Overig!U326,""",""?00;"",""?-00;"",""?00;"", //"""),"'","""")&amp;SUBSTITUTE(TEXT(Overig!V326,""",""???0;"",""??-0;"",""???0;"", ///"""),"'","""")&amp;SUBSTITUTE(TEXT(Overig!W326,""",""?00;"",""?-00;"",""?00;"", //"""),"'","""")</f>
        <v>032, 19400322, 07.00, 7572, 00,  275, 00, ////, 07, ////, 07,  66, 00,  183, 00,  227, 00,   65, 00,    6, 00,   2, 00</v>
      </c>
    </row>
    <row r="327" spans="1:1" x14ac:dyDescent="0.25">
      <c r="A327" s="12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//"""),"'","""")&amp;SUBSTITUTE(TEXT(Overig!L327,""",""???0;"",""??-0;"",""???0;"", 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//"""),"'","""")&amp;SUBSTITUTE(TEXT(Overig!R327,""",""????0;"",""???-0;"",""????0;"", ////"""),"'","""")&amp;SUBSTITUTE(TEXT(Overig!S327,""",""?00;"",""?-00;"",""?00;"", //"""),"'","""")&amp;SUBSTITUTE(TEXT(IF(ISTEXT(Overig!T327),Overig!T327,10*Overig!T327),""",""????0;"",""???-0;"",""????0;"", ////"""),"'","""")&amp;SUBSTITUTE(TEXT(Overig!U327,""",""?00;"",""?-00;"",""?00;"", //"""),"'","""")&amp;SUBSTITUTE(TEXT(Overig!V327,""",""???0;"",""??-0;"",""???0;"", ///"""),"'","""")&amp;SUBSTITUTE(TEXT(Overig!W327,""",""?00;"",""?-00;"",""?00;"", //"""),"'","""")</f>
        <v>032, 19400322, 12.00, 7600, 00,  289, 00, ////, 07, ////, 07,  64, 00,  192, 00,  236, 00,   65, 00,    6, 00,   3, 00</v>
      </c>
    </row>
    <row r="328" spans="1:1" x14ac:dyDescent="0.25">
      <c r="A328" s="12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//"""),"'","""")&amp;SUBSTITUTE(TEXT(Overig!L328,""",""???0;"",""??-0;"",""???0;"", 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//"""),"'","""")&amp;SUBSTITUTE(TEXT(Overig!R328,""",""????0;"",""???-0;"",""????0;"", ////"""),"'","""")&amp;SUBSTITUTE(TEXT(Overig!S328,""",""?00;"",""?-00;"",""?00;"", //"""),"'","""")&amp;SUBSTITUTE(TEXT(IF(ISTEXT(Overig!T328),Overig!T328,10*Overig!T328),""",""????0;"",""???-0;"",""????0;"", ////"""),"'","""")&amp;SUBSTITUTE(TEXT(Overig!U328,""",""?00;"",""?-00;"",""?00;"", //"""),"'","""")&amp;SUBSTITUTE(TEXT(Overig!V328,""",""???0;"",""??-0;"",""???0;"", ///"""),"'","""")&amp;SUBSTITUTE(TEXT(Overig!W328,""",""?00;"",""?-00;"",""?00;"", //"""),"'","""")</f>
        <v>032, 19400322, 17.00, 7600, 00,  289, 00, ////, 07, ////, 07,  65, 00,  196, 00,  238, 00,   45, 00,    6, 00,   3, 00</v>
      </c>
    </row>
    <row r="329" spans="1:1" x14ac:dyDescent="0.25">
      <c r="A329" s="12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//"""),"'","""")&amp;SUBSTITUTE(TEXT(Overig!L329,""",""???0;"",""??-0;"",""???0;"", 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//"""),"'","""")&amp;SUBSTITUTE(TEXT(Overig!R329,""",""????0;"",""???-0;"",""????0;"", ////"""),"'","""")&amp;SUBSTITUTE(TEXT(Overig!S329,""",""?00;"",""?-00;"",""?00;"", //"""),"'","""")&amp;SUBSTITUTE(TEXT(IF(ISTEXT(Overig!T329),Overig!T329,10*Overig!T329),""",""????0;"",""???-0;"",""????0;"", ////"""),"'","""")&amp;SUBSTITUTE(TEXT(Overig!U329,""",""?00;"",""?-00;"",""?00;"", //"""),"'","""")&amp;SUBSTITUTE(TEXT(Overig!V329,""",""???0;"",""??-0;"",""???0;"", ///"""),"'","""")&amp;SUBSTITUTE(TEXT(Overig!W329,""",""?00;"",""?-00;"",""?00;"", //"""),"'","""")</f>
        <v>032, 19400322, 24.00, ////, 07, ////, 07,  292, 00,  318, 00, ///, 07, ////, 07, ////, 07, ////, 07, ////, 07, ///, 07</v>
      </c>
    </row>
    <row r="330" spans="1:1" x14ac:dyDescent="0.25">
      <c r="A330" s="12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//"""),"'","""")&amp;SUBSTITUTE(TEXT(Overig!L330,""",""???0;"",""??-0;"",""???0;"", 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//"""),"'","""")&amp;SUBSTITUTE(TEXT(Overig!R330,""",""????0;"",""???-0;"",""????0;"", ////"""),"'","""")&amp;SUBSTITUTE(TEXT(Overig!S330,""",""?00;"",""?-00;"",""?00;"", //"""),"'","""")&amp;SUBSTITUTE(TEXT(IF(ISTEXT(Overig!T330),Overig!T330,10*Overig!T330),""",""????0;"",""???-0;"",""????0;"", ////"""),"'","""")&amp;SUBSTITUTE(TEXT(Overig!U330,""",""?00;"",""?-00;"",""?00;"", //"""),"'","""")&amp;SUBSTITUTE(TEXT(Overig!V330,""",""???0;"",""??-0;"",""???0;"", ///"""),"'","""")&amp;SUBSTITUTE(TEXT(Overig!W330,""",""?00;"",""?-00;"",""?00;"", //"""),"'","""")</f>
        <v>032, 19400323, 07.00, 7572, 00,  261, 00, ////, 07, ////, 07,  76, 00,  192, 00,  228, 00,   65, 00,    5, 00,   1, 00</v>
      </c>
    </row>
    <row r="331" spans="1:1" x14ac:dyDescent="0.25">
      <c r="A331" s="12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//"""),"'","""")&amp;SUBSTITUTE(TEXT(Overig!L331,""",""???0;"",""??-0;"",""???0;"", 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//"""),"'","""")&amp;SUBSTITUTE(TEXT(Overig!R331,""",""????0;"",""???-0;"",""????0;"", ////"""),"'","""")&amp;SUBSTITUTE(TEXT(Overig!S331,""",""?00;"",""?-00;"",""?00;"", //"""),"'","""")&amp;SUBSTITUTE(TEXT(IF(ISTEXT(Overig!T331),Overig!T331,10*Overig!T331),""",""????0;"",""???-0;"",""????0;"", ////"""),"'","""")&amp;SUBSTITUTE(TEXT(Overig!U331,""",""?00;"",""?-00;"",""?00;"", //"""),"'","""")&amp;SUBSTITUTE(TEXT(Overig!V331,""",""???0;"",""??-0;"",""???0;"", ///"""),"'","""")&amp;SUBSTITUTE(TEXT(Overig!W331,""",""?00;"",""?-00;"",""?00;"", //"""),"'","""")</f>
        <v>032, 19400323, 12.00, 7592, 00,  271, 00, ////, 07, ////, 07,  73, 00,  197, 00,  234, 00,   65, 00,    6, 00,   2, 00</v>
      </c>
    </row>
    <row r="332" spans="1:1" x14ac:dyDescent="0.25">
      <c r="A332" s="12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//"""),"'","""")&amp;SUBSTITUTE(TEXT(Overig!L332,""",""???0;"",""??-0;"",""???0;"", 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//"""),"'","""")&amp;SUBSTITUTE(TEXT(Overig!R332,""",""????0;"",""???-0;"",""????0;"", ////"""),"'","""")&amp;SUBSTITUTE(TEXT(Overig!S332,""",""?00;"",""?-00;"",""?00;"", //"""),"'","""")&amp;SUBSTITUTE(TEXT(IF(ISTEXT(Overig!T332),Overig!T332,10*Overig!T332),""",""????0;"",""???-0;"",""????0;"", ////"""),"'","""")&amp;SUBSTITUTE(TEXT(Overig!U332,""",""?00;"",""?-00;"",""?00;"", //"""),"'","""")&amp;SUBSTITUTE(TEXT(Overig!V332,""",""???0;"",""??-0;"",""???0;"", ///"""),"'","""")&amp;SUBSTITUTE(TEXT(Overig!W332,""",""?00;"",""?-00;"",""?00;"", //"""),"'","""")</f>
        <v>032, 19400323, 17.00, 7579, 00,  269, 00, ////, 07, ////, 07,  72, 00,  191, 00,  230, 00,   65, 00,    6, 00,   2, 00</v>
      </c>
    </row>
    <row r="333" spans="1:1" x14ac:dyDescent="0.25">
      <c r="A333" s="12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//"""),"'","""")&amp;SUBSTITUTE(TEXT(Overig!L333,""",""???0;"",""??-0;"",""???0;"", 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//"""),"'","""")&amp;SUBSTITUTE(TEXT(Overig!R333,""",""????0;"",""???-0;"",""????0;"", ////"""),"'","""")&amp;SUBSTITUTE(TEXT(Overig!S333,""",""?00;"",""?-00;"",""?00;"", //"""),"'","""")&amp;SUBSTITUTE(TEXT(IF(ISTEXT(Overig!T333),Overig!T333,10*Overig!T333),""",""????0;"",""???-0;"",""????0;"", ////"""),"'","""")&amp;SUBSTITUTE(TEXT(Overig!U333,""",""?00;"",""?-00;"",""?00;"", //"""),"'","""")&amp;SUBSTITUTE(TEXT(Overig!V333,""",""???0;"",""??-0;"",""???0;"", ///"""),"'","""")&amp;SUBSTITUTE(TEXT(Overig!W333,""",""?00;"",""?-00;"",""?00;"", //"""),"'","""")</f>
        <v>032, 19400323, 24.00, ////, 07, ////, 07,  274, 00,  295, 00, ///, 07, ////, 07, ////, 07, ////, 07, ////, 07, ///, 07</v>
      </c>
    </row>
    <row r="334" spans="1:1" x14ac:dyDescent="0.25">
      <c r="A334" s="12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//"""),"'","""")&amp;SUBSTITUTE(TEXT(Overig!L334,""",""???0;"",""??-0;"",""???0;"", 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//"""),"'","""")&amp;SUBSTITUTE(TEXT(Overig!R334,""",""????0;"",""???-0;"",""????0;"", ////"""),"'","""")&amp;SUBSTITUTE(TEXT(Overig!S334,""",""?00;"",""?-00;"",""?00;"", //"""),"'","""")&amp;SUBSTITUTE(TEXT(IF(ISTEXT(Overig!T334),Overig!T334,10*Overig!T334),""",""????0;"",""???-0;"",""????0;"", ////"""),"'","""")&amp;SUBSTITUTE(TEXT(Overig!U334,""",""?00;"",""?-00;"",""?00;"", //"""),"'","""")&amp;SUBSTITUTE(TEXT(Overig!V334,""",""???0;"",""??-0;"",""???0;"", ///"""),"'","""")&amp;SUBSTITUTE(TEXT(Overig!W334,""",""?00;"",""?-00;"",""?00;"", //"""),"'","""")</f>
        <v>032, 19400324, 07.00, 7585, 00,  265, 00, ////, 07, ////, 07,  72, 00,  186, 00,  226, 00,   65, 00,    5, 00,   2, 00</v>
      </c>
    </row>
    <row r="335" spans="1:1" x14ac:dyDescent="0.25">
      <c r="A335" s="12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//"""),"'","""")&amp;SUBSTITUTE(TEXT(Overig!L335,""",""???0;"",""??-0;"",""???0;"", 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//"""),"'","""")&amp;SUBSTITUTE(TEXT(Overig!R335,""",""????0;"",""???-0;"",""????0;"", ////"""),"'","""")&amp;SUBSTITUTE(TEXT(Overig!S335,""",""?00;"",""?-00;"",""?00;"", //"""),"'","""")&amp;SUBSTITUTE(TEXT(IF(ISTEXT(Overig!T335),Overig!T335,10*Overig!T335),""",""????0;"",""???-0;"",""????0;"", ////"""),"'","""")&amp;SUBSTITUTE(TEXT(Overig!U335,""",""?00;"",""?-00;"",""?00;"", //"""),"'","""")&amp;SUBSTITUTE(TEXT(Overig!V335,""",""???0;"",""??-0;"",""???0;"", ///"""),"'","""")&amp;SUBSTITUTE(TEXT(Overig!W335,""",""?00;"",""?-00;"",""?00;"", //"""),"'","""")</f>
        <v>032, 19400324, 12.00, 7597, 00,  285, 00, ////, 07, ////, 07,  61, 00,  180, 00,  228, 00,   65, 00,    6, 00,   3, 00</v>
      </c>
    </row>
    <row r="336" spans="1:1" x14ac:dyDescent="0.25">
      <c r="A336" s="12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//"""),"'","""")&amp;SUBSTITUTE(TEXT(Overig!L336,""",""???0;"",""??-0;"",""???0;"", 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//"""),"'","""")&amp;SUBSTITUTE(TEXT(Overig!R336,""",""????0;"",""???-0;"",""????0;"", ////"""),"'","""")&amp;SUBSTITUTE(TEXT(Overig!S336,""",""?00;"",""?-00;"",""?00;"", //"""),"'","""")&amp;SUBSTITUTE(TEXT(IF(ISTEXT(Overig!T336),Overig!T336,10*Overig!T336),""",""????0;"",""???-0;"",""????0;"", ////"""),"'","""")&amp;SUBSTITUTE(TEXT(Overig!U336,""",""?00;"",""?-00;"",""?00;"", //"""),"'","""")&amp;SUBSTITUTE(TEXT(Overig!V336,""",""???0;"",""??-0;"",""???0;"", ///"""),"'","""")&amp;SUBSTITUTE(TEXT(Overig!W336,""",""?00;"",""?-00;"",""?00;"", //"""),"'","""")</f>
        <v>032, 19400324, 17.00, 7597, 00,  279, 00, ////, 07, ////, 07,  66, 00,  186, 00,  230, 00,   45, 00,    5, 00,   2, 00</v>
      </c>
    </row>
    <row r="337" spans="1:1" x14ac:dyDescent="0.25">
      <c r="A337" s="12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//"""),"'","""")&amp;SUBSTITUTE(TEXT(Overig!L337,""",""???0;"",""??-0;"",""???0;"", 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//"""),"'","""")&amp;SUBSTITUTE(TEXT(Overig!R337,""",""????0;"",""???-0;"",""????0;"", ////"""),"'","""")&amp;SUBSTITUTE(TEXT(Overig!S337,""",""?00;"",""?-00;"",""?00;"", //"""),"'","""")&amp;SUBSTITUTE(TEXT(IF(ISTEXT(Overig!T337),Overig!T337,10*Overig!T337),""",""????0;"",""???-0;"",""????0;"", ////"""),"'","""")&amp;SUBSTITUTE(TEXT(Overig!U337,""",""?00;"",""?-00;"",""?00;"", //"""),"'","""")&amp;SUBSTITUTE(TEXT(Overig!V337,""",""???0;"",""??-0;"",""???0;"", ///"""),"'","""")&amp;SUBSTITUTE(TEXT(Overig!W337,""",""?00;"",""?-00;"",""?00;"", //"""),"'","""")</f>
        <v>032, 19400324, 24.00, ////, 07, ////, 07,  270, 00,  310, 00, ///, 07, ////, 07, ////, 07, ////, 07, ////, 07, ///, 07</v>
      </c>
    </row>
    <row r="338" spans="1:1" x14ac:dyDescent="0.25">
      <c r="A338" s="12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//"""),"'","""")&amp;SUBSTITUTE(TEXT(Overig!L338,""",""???0;"",""??-0;"",""???0;"", 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//"""),"'","""")&amp;SUBSTITUTE(TEXT(Overig!R338,""",""????0;"",""???-0;"",""????0;"", ////"""),"'","""")&amp;SUBSTITUTE(TEXT(Overig!S338,""",""?00;"",""?-00;"",""?00;"", //"""),"'","""")&amp;SUBSTITUTE(TEXT(IF(ISTEXT(Overig!T338),Overig!T338,10*Overig!T338),""",""????0;"",""???-0;"",""????0;"", ////"""),"'","""")&amp;SUBSTITUTE(TEXT(Overig!U338,""",""?00;"",""?-00;"",""?00;"", //"""),"'","""")&amp;SUBSTITUTE(TEXT(Overig!V338,""",""???0;"",""??-0;"",""???0;"", ///"""),"'","""")&amp;SUBSTITUTE(TEXT(Overig!W338,""",""?00;"",""?-00;"",""?00;"", //"""),"'","""")</f>
        <v>032, 19400325, 07.00, 7585, 00,  261, 00, ////, 07, ////, 07,  76, 00,  192, 00,  228, 00,   65, 00,    4, 00,   2, 00</v>
      </c>
    </row>
    <row r="339" spans="1:1" x14ac:dyDescent="0.25">
      <c r="A339" s="12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//"""),"'","""")&amp;SUBSTITUTE(TEXT(Overig!L339,""",""???0;"",""??-0;"",""???0;"", 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//"""),"'","""")&amp;SUBSTITUTE(TEXT(Overig!R339,""",""????0;"",""???-0;"",""????0;"", ////"""),"'","""")&amp;SUBSTITUTE(TEXT(Overig!S339,""",""?00;"",""?-00;"",""?00;"", //"""),"'","""")&amp;SUBSTITUTE(TEXT(IF(ISTEXT(Overig!T339),Overig!T339,10*Overig!T339),""",""????0;"",""???-0;"",""????0;"", ////"""),"'","""")&amp;SUBSTITUTE(TEXT(Overig!U339,""",""?00;"",""?-00;"",""?00;"", //"""),"'","""")&amp;SUBSTITUTE(TEXT(Overig!V339,""",""???0;"",""??-0;"",""???0;"", ///"""),"'","""")&amp;SUBSTITUTE(TEXT(Overig!W339,""",""?00;"",""?-00;"",""?00;"", //"""),"'","""")</f>
        <v>032, 19400325, 12.00, 7587, 00,  269, 00, ////, 07, ////, 07,  72, 00,  191, 00,  230, 00,   65, 00,    6, 00,   2, 00</v>
      </c>
    </row>
    <row r="340" spans="1:1" x14ac:dyDescent="0.25">
      <c r="A340" s="12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//"""),"'","""")&amp;SUBSTITUTE(TEXT(Overig!L340,""",""???0;"",""??-0;"",""???0;"", 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//"""),"'","""")&amp;SUBSTITUTE(TEXT(Overig!R340,""",""????0;"",""???-0;"",""????0;"", ////"""),"'","""")&amp;SUBSTITUTE(TEXT(Overig!S340,""",""?00;"",""?-00;"",""?00;"", //"""),"'","""")&amp;SUBSTITUTE(TEXT(IF(ISTEXT(Overig!T340),Overig!T340,10*Overig!T340),""",""????0;"",""???-0;"",""????0;"", ////"""),"'","""")&amp;SUBSTITUTE(TEXT(Overig!U340,""",""?00;"",""?-00;"",""?00;"", //"""),"'","""")&amp;SUBSTITUTE(TEXT(Overig!V340,""",""???0;"",""??-0;"",""???0;"", ///"""),"'","""")&amp;SUBSTITUTE(TEXT(Overig!W340,""",""?00;"",""?-00;"",""?00;"", //"""),"'","""")</f>
        <v>032, 19400325, 17.00, 7582, 00,  263, 00, ////, 07, ////, 07,  74, 00,  191, 00,  228, 00,   45, 00,    5, 00,   1, 00</v>
      </c>
    </row>
    <row r="341" spans="1:1" x14ac:dyDescent="0.25">
      <c r="A341" s="12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//"""),"'","""")&amp;SUBSTITUTE(TEXT(Overig!L341,""",""???0;"",""??-0;"",""???0;"", 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//"""),"'","""")&amp;SUBSTITUTE(TEXT(Overig!R341,""",""????0;"",""???-0;"",""????0;"", ////"""),"'","""")&amp;SUBSTITUTE(TEXT(Overig!S341,""",""?00;"",""?-00;"",""?00;"", //"""),"'","""")&amp;SUBSTITUTE(TEXT(IF(ISTEXT(Overig!T341),Overig!T341,10*Overig!T341),""",""????0;"",""???-0;"",""????0;"", ////"""),"'","""")&amp;SUBSTITUTE(TEXT(Overig!U341,""",""?00;"",""?-00;"",""?00;"", //"""),"'","""")&amp;SUBSTITUTE(TEXT(Overig!V341,""",""???0;"",""??-0;"",""???0;"", ///"""),"'","""")&amp;SUBSTITUTE(TEXT(Overig!W341,""",""?00;"",""?-00;"",""?00;"", //"""),"'","""")</f>
        <v>032, 19400325, 24.00, ////, 07, ////, 07,  274, 00,  295, 00, ///, 07, ////, 07, ////, 07, ////, 07, ////, 07, ///, 07</v>
      </c>
    </row>
    <row r="342" spans="1:1" x14ac:dyDescent="0.25">
      <c r="A342" s="12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//"""),"'","""")&amp;SUBSTITUTE(TEXT(Overig!L342,""",""???0;"",""??-0;"",""???0;"", 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//"""),"'","""")&amp;SUBSTITUTE(TEXT(Overig!R342,""",""????0;"",""???-0;"",""????0;"", ////"""),"'","""")&amp;SUBSTITUTE(TEXT(Overig!S342,""",""?00;"",""?-00;"",""?00;"", //"""),"'","""")&amp;SUBSTITUTE(TEXT(IF(ISTEXT(Overig!T342),Overig!T342,10*Overig!T342),""",""????0;"",""???-0;"",""????0;"", ////"""),"'","""")&amp;SUBSTITUTE(TEXT(Overig!U342,""",""?00;"",""?-00;"",""?00;"", //"""),"'","""")&amp;SUBSTITUTE(TEXT(Overig!V342,""",""???0;"",""??-0;"",""???0;"", ///"""),"'","""")&amp;SUBSTITUTE(TEXT(Overig!W342,""",""?00;"",""?-00;"",""?00;"", //"""),"'","""")</f>
        <v>032, 19400326, 07.00, 7585, 00,  261, 00, ////, 07, ////, 07,  77, 00,  195, 00,  230, 00,   65, 00,    5, 00,   1, 00</v>
      </c>
    </row>
    <row r="343" spans="1:1" x14ac:dyDescent="0.25">
      <c r="A343" s="12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//"""),"'","""")&amp;SUBSTITUTE(TEXT(Overig!L343,""",""???0;"",""??-0;"",""???0;"", 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//"""),"'","""")&amp;SUBSTITUTE(TEXT(Overig!R343,""",""????0;"",""???-0;"",""????0;"", ////"""),"'","""")&amp;SUBSTITUTE(TEXT(Overig!S343,""",""?00;"",""?-00;"",""?00;"", //"""),"'","""")&amp;SUBSTITUTE(TEXT(IF(ISTEXT(Overig!T343),Overig!T343,10*Overig!T343),""",""????0;"",""???-0;"",""????0;"", ////"""),"'","""")&amp;SUBSTITUTE(TEXT(Overig!U343,""",""?00;"",""?-00;"",""?00;"", //"""),"'","""")&amp;SUBSTITUTE(TEXT(Overig!V343,""",""???0;"",""??-0;"",""???0;"", ///"""),"'","""")&amp;SUBSTITUTE(TEXT(Overig!W343,""",""?00;"",""?-00;"",""?00;"", //"""),"'","""")</f>
        <v>032, 19400326, 12.00, 7587, 00,  269, 00, ////, 07, ////, 07,  75, 00,  200, 00,  235, 00,   65, 00,    6, 00,   2, 00</v>
      </c>
    </row>
    <row r="344" spans="1:1" x14ac:dyDescent="0.25">
      <c r="A344" s="12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//"""),"'","""")&amp;SUBSTITUTE(TEXT(Overig!L344,""",""???0;"",""??-0;"",""???0;"", 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//"""),"'","""")&amp;SUBSTITUTE(TEXT(Overig!R344,""",""????0;"",""???-0;"",""????0;"", ////"""),"'","""")&amp;SUBSTITUTE(TEXT(Overig!S344,""",""?00;"",""?-00;"",""?00;"", //"""),"'","""")&amp;SUBSTITUTE(TEXT(IF(ISTEXT(Overig!T344),Overig!T344,10*Overig!T344),""",""????0;"",""???-0;"",""????0;"", ////"""),"'","""")&amp;SUBSTITUTE(TEXT(Overig!U344,""",""?00;"",""?-00;"",""?00;"", //"""),"'","""")&amp;SUBSTITUTE(TEXT(Overig!V344,""",""???0;"",""??-0;"",""???0;"", ///"""),"'","""")&amp;SUBSTITUTE(TEXT(Overig!W344,""",""?00;"",""?-00;"",""?00;"", //"""),"'","""")</f>
        <v>032, 19400326, 17.00, 7585, 00,  261, 00, ////, 07, ////, 07,  77, 00,  195, 00,  230, 00,   65, 00,    6, 00,   2, 00</v>
      </c>
    </row>
    <row r="345" spans="1:1" x14ac:dyDescent="0.25">
      <c r="A345" s="12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//"""),"'","""")&amp;SUBSTITUTE(TEXT(Overig!L345,""",""???0;"",""??-0;"",""???0;"", 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//"""),"'","""")&amp;SUBSTITUTE(TEXT(Overig!R345,""",""????0;"",""???-0;"",""????0;"", ////"""),"'","""")&amp;SUBSTITUTE(TEXT(Overig!S345,""",""?00;"",""?-00;"",""?00;"", //"""),"'","""")&amp;SUBSTITUTE(TEXT(IF(ISTEXT(Overig!T345),Overig!T345,10*Overig!T345),""",""????0;"",""???-0;"",""????0;"", ////"""),"'","""")&amp;SUBSTITUTE(TEXT(Overig!U345,""",""?00;"",""?-00;"",""?00;"", //"""),"'","""")&amp;SUBSTITUTE(TEXT(Overig!V345,""",""???0;"",""??-0;"",""???0;"", ///"""),"'","""")&amp;SUBSTITUTE(TEXT(Overig!W345,""",""?00;"",""?-00;"",""?00;"", //"""),"'","""")</f>
        <v>032, 19400326, 24.00, ////, 07, ////, 07,  270, 00,  290, 00, ///, 07, ////, 07, ////, 07, ////, 07, ////, 07, ///, 07</v>
      </c>
    </row>
    <row r="346" spans="1:1" x14ac:dyDescent="0.25">
      <c r="A346" s="12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//"""),"'","""")&amp;SUBSTITUTE(TEXT(Overig!L346,""",""???0;"",""??-0;"",""???0;"", 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//"""),"'","""")&amp;SUBSTITUTE(TEXT(Overig!R346,""",""????0;"",""???-0;"",""????0;"", ////"""),"'","""")&amp;SUBSTITUTE(TEXT(Overig!S346,""",""?00;"",""?-00;"",""?00;"", //"""),"'","""")&amp;SUBSTITUTE(TEXT(IF(ISTEXT(Overig!T346),Overig!T346,10*Overig!T346),""",""????0;"",""???-0;"",""????0;"", ////"""),"'","""")&amp;SUBSTITUTE(TEXT(Overig!U346,""",""?00;"",""?-00;"",""?00;"", //"""),"'","""")&amp;SUBSTITUTE(TEXT(Overig!V346,""",""???0;"",""??-0;"",""???0;"", ///"""),"'","""")&amp;SUBSTITUTE(TEXT(Overig!W346,""",""?00;"",""?-00;"",""?00;"", //"""),"'","""")</f>
        <v>032, 19400327, 07.00, 7585, 00,  259, 00, ////, 07, ////, 07,  75, 00,  189, 00,  226, 00,   65, 00,    5, 00,   2, 00</v>
      </c>
    </row>
    <row r="347" spans="1:1" x14ac:dyDescent="0.25">
      <c r="A347" s="12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//"""),"'","""")&amp;SUBSTITUTE(TEXT(Overig!L347,""",""???0;"",""??-0;"",""???0;"", 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//"""),"'","""")&amp;SUBSTITUTE(TEXT(Overig!R347,""",""????0;"",""???-0;"",""????0;"", ////"""),"'","""")&amp;SUBSTITUTE(TEXT(Overig!S347,""",""?00;"",""?-00;"",""?00;"", //"""),"'","""")&amp;SUBSTITUTE(TEXT(IF(ISTEXT(Overig!T347),Overig!T347,10*Overig!T347),""",""????0;"",""???-0;"",""????0;"", ////"""),"'","""")&amp;SUBSTITUTE(TEXT(Overig!U347,""",""?00;"",""?-00;"",""?00;"", //"""),"'","""")&amp;SUBSTITUTE(TEXT(Overig!V347,""",""???0;"",""??-0;"",""???0;"", ///"""),"'","""")&amp;SUBSTITUTE(TEXT(Overig!W347,""",""?00;"",""?-00;"",""?00;"", //"""),"'","""")</f>
        <v>032, 19400327, 12.00, 7589, 00,  271, 00, ////, 07, ////, 07,  71, 00,  190, 00,  230, 00,   65, 00,    6, 00,   1, 00</v>
      </c>
    </row>
    <row r="348" spans="1:1" x14ac:dyDescent="0.25">
      <c r="A348" s="12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//"""),"'","""")&amp;SUBSTITUTE(TEXT(Overig!L348,""",""???0;"",""??-0;"",""???0;"", 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//"""),"'","""")&amp;SUBSTITUTE(TEXT(Overig!R348,""",""????0;"",""???-0;"",""????0;"", ////"""),"'","""")&amp;SUBSTITUTE(TEXT(Overig!S348,""",""?00;"",""?-00;"",""?00;"", //"""),"'","""")&amp;SUBSTITUTE(TEXT(IF(ISTEXT(Overig!T348),Overig!T348,10*Overig!T348),""",""????0;"",""???-0;"",""????0;"", ////"""),"'","""")&amp;SUBSTITUTE(TEXT(Overig!U348,""",""?00;"",""?-00;"",""?00;"", //"""),"'","""")&amp;SUBSTITUTE(TEXT(Overig!V348,""",""???0;"",""??-0;"",""???0;"", ///"""),"'","""")&amp;SUBSTITUTE(TEXT(Overig!W348,""",""?00;"",""?-00;"",""?00;"", //"""),"'","""")</f>
        <v>032, 19400327, 17.00, 7582, 00,  259, 00, ////, 07, ////, 07,  77, 00,  193, 00,  228, 00,   45, 00,    5, 00,   2, 00</v>
      </c>
    </row>
    <row r="349" spans="1:1" x14ac:dyDescent="0.25">
      <c r="A349" s="12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//"""),"'","""")&amp;SUBSTITUTE(TEXT(Overig!L349,""",""???0;"",""??-0;"",""???0;"", 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//"""),"'","""")&amp;SUBSTITUTE(TEXT(Overig!R349,""",""????0;"",""???-0;"",""????0;"", ////"""),"'","""")&amp;SUBSTITUTE(TEXT(Overig!S349,""",""?00;"",""?-00;"",""?00;"", //"""),"'","""")&amp;SUBSTITUTE(TEXT(IF(ISTEXT(Overig!T349),Overig!T349,10*Overig!T349),""",""????0;"",""???-0;"",""????0;"", ////"""),"'","""")&amp;SUBSTITUTE(TEXT(Overig!U349,""",""?00;"",""?-00;"",""?00;"", //"""),"'","""")&amp;SUBSTITUTE(TEXT(Overig!V349,""",""???0;"",""??-0;"",""???0;"", ///"""),"'","""")&amp;SUBSTITUTE(TEXT(Overig!W349,""",""?00;"",""?-00;"",""?00;"", //"""),"'","""")</f>
        <v>032, 19400327, 24.00, ////, 07, ////, 07,  275, 00,  296, 00, ///, 07, ////, 07, ////, 07, ////, 07, ////, 07, ///, 07</v>
      </c>
    </row>
    <row r="350" spans="1:1" x14ac:dyDescent="0.25">
      <c r="A350" s="12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//"""),"'","""")&amp;SUBSTITUTE(TEXT(Overig!L350,""",""???0;"",""??-0;"",""???0;"", 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//"""),"'","""")&amp;SUBSTITUTE(TEXT(Overig!R350,""",""????0;"",""???-0;"",""????0;"", ////"""),"'","""")&amp;SUBSTITUTE(TEXT(Overig!S350,""",""?00;"",""?-00;"",""?00;"", //"""),"'","""")&amp;SUBSTITUTE(TEXT(IF(ISTEXT(Overig!T350),Overig!T350,10*Overig!T350),""",""????0;"",""???-0;"",""????0;"", ////"""),"'","""")&amp;SUBSTITUTE(TEXT(Overig!U350,""",""?00;"",""?-00;"",""?00;"", //"""),"'","""")&amp;SUBSTITUTE(TEXT(Overig!V350,""",""???0;"",""??-0;"",""???0;"", ///"""),"'","""")&amp;SUBSTITUTE(TEXT(Overig!W350,""",""?00;"",""?-00;"",""?00;"", //"""),"'","""")</f>
        <v>032, 19400328, 07.00, 7572, 00,  261, 00, ////, 07, ////, 07,  76, 00,  192, 00,  228, 00,   65, 00,    5, 00,   2, 00</v>
      </c>
    </row>
    <row r="351" spans="1:1" x14ac:dyDescent="0.25">
      <c r="A351" s="12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//"""),"'","""")&amp;SUBSTITUTE(TEXT(Overig!L351,""",""???0;"",""??-0;"",""???0;"", 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//"""),"'","""")&amp;SUBSTITUTE(TEXT(Overig!R351,""",""????0;"",""???-0;"",""????0;"", ////"""),"'","""")&amp;SUBSTITUTE(TEXT(Overig!S351,""",""?00;"",""?-00;"",""?00;"", //"""),"'","""")&amp;SUBSTITUTE(TEXT(IF(ISTEXT(Overig!T351),Overig!T351,10*Overig!T351),""",""????0;"",""???-0;"",""????0;"", ////"""),"'","""")&amp;SUBSTITUTE(TEXT(Overig!U351,""",""?00;"",""?-00;"",""?00;"", //"""),"'","""")&amp;SUBSTITUTE(TEXT(Overig!V351,""",""???0;"",""??-0;"",""???0;"", ///"""),"'","""")&amp;SUBSTITUTE(TEXT(Overig!W351,""",""?00;"",""?-00;"",""?00;"", //"""),"'","""")</f>
        <v>032, 19400328, 12.00, 7592, 00,  271, 00, ////, 07, ////, 07,  73, 00,  197, 00,  234, 00,   65, 00,    6, 00,   1, 00</v>
      </c>
    </row>
    <row r="352" spans="1:1" x14ac:dyDescent="0.25">
      <c r="A352" s="12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//"""),"'","""")&amp;SUBSTITUTE(TEXT(Overig!L352,""",""???0;"",""??-0;"",""???0;"", 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//"""),"'","""")&amp;SUBSTITUTE(TEXT(Overig!R352,""",""????0;"",""???-0;"",""????0;"", ////"""),"'","""")&amp;SUBSTITUTE(TEXT(Overig!S352,""",""?00;"",""?-00;"",""?00;"", //"""),"'","""")&amp;SUBSTITUTE(TEXT(IF(ISTEXT(Overig!T352),Overig!T352,10*Overig!T352),""",""????0;"",""???-0;"",""????0;"", ////"""),"'","""")&amp;SUBSTITUTE(TEXT(Overig!U352,""",""?00;"",""?-00;"",""?00;"", //"""),"'","""")&amp;SUBSTITUTE(TEXT(Overig!V352,""",""???0;"",""??-0;"",""???0;"", ///"""),"'","""")&amp;SUBSTITUTE(TEXT(Overig!W352,""",""?00;"",""?-00;"",""?00;"", //"""),"'","""")</f>
        <v>032, 19400328, 17.00, 7582, 00,  269, 00, ////, 07, ////, 07,  72, 00,  191, 00,  230, 00,   65, 00,    6, 00,   1, 00</v>
      </c>
    </row>
    <row r="353" spans="1:1" x14ac:dyDescent="0.25">
      <c r="A353" s="12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//"""),"'","""")&amp;SUBSTITUTE(TEXT(Overig!L353,""",""???0;"",""??-0;"",""???0;"", 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//"""),"'","""")&amp;SUBSTITUTE(TEXT(Overig!R353,""",""????0;"",""???-0;"",""????0;"", ////"""),"'","""")&amp;SUBSTITUTE(TEXT(Overig!S353,""",""?00;"",""?-00;"",""?00;"", //"""),"'","""")&amp;SUBSTITUTE(TEXT(IF(ISTEXT(Overig!T353),Overig!T353,10*Overig!T353),""",""????0;"",""???-0;"",""????0;"", ////"""),"'","""")&amp;SUBSTITUTE(TEXT(Overig!U353,""",""?00;"",""?-00;"",""?00;"", //"""),"'","""")&amp;SUBSTITUTE(TEXT(Overig!V353,""",""???0;"",""??-0;"",""???0;"", ///"""),"'","""")&amp;SUBSTITUTE(TEXT(Overig!W353,""",""?00;"",""?-00;"",""?00;"", //"""),"'","""")</f>
        <v>032, 19400328, 24.00, ////, 07, ////, 07,  274, 00,  295, 00, ///, 07, ////, 07, ////, 07, ////, 07, ////, 07, ///, 07</v>
      </c>
    </row>
    <row r="354" spans="1:1" x14ac:dyDescent="0.25">
      <c r="A354" s="12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//"""),"'","""")&amp;SUBSTITUTE(TEXT(Overig!L354,""",""???0;"",""??-0;"",""???0;"", 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//"""),"'","""")&amp;SUBSTITUTE(TEXT(Overig!R354,""",""????0;"",""???-0;"",""????0;"", ////"""),"'","""")&amp;SUBSTITUTE(TEXT(Overig!S354,""",""?00;"",""?-00;"",""?00;"", //"""),"'","""")&amp;SUBSTITUTE(TEXT(IF(ISTEXT(Overig!T354),Overig!T354,10*Overig!T354),""",""????0;"",""???-0;"",""????0;"", ////"""),"'","""")&amp;SUBSTITUTE(TEXT(Overig!U354,""",""?00;"",""?-00;"",""?00;"", //"""),"'","""")&amp;SUBSTITUTE(TEXT(Overig!V354,""",""???0;"",""??-0;"",""???0;"", ///"""),"'","""")&amp;SUBSTITUTE(TEXT(Overig!W354,""",""?00;"",""?-00;"",""?00;"", //"""),"'","""")</f>
        <v>032, 19400329, 07.00, 7572, 00,  261, 00, ////, 07, ////, 07,  76, 00,  192, 00,  228, 00,   65, 00,    4, 00,   2, 00</v>
      </c>
    </row>
    <row r="355" spans="1:1" x14ac:dyDescent="0.25">
      <c r="A355" s="12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//"""),"'","""")&amp;SUBSTITUTE(TEXT(Overig!L355,""",""???0;"",""??-0;"",""???0;"", 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//"""),"'","""")&amp;SUBSTITUTE(TEXT(Overig!R355,""",""????0;"",""???-0;"",""????0;"", ////"""),"'","""")&amp;SUBSTITUTE(TEXT(Overig!S355,""",""?00;"",""?-00;"",""?00;"", //"""),"'","""")&amp;SUBSTITUTE(TEXT(IF(ISTEXT(Overig!T355),Overig!T355,10*Overig!T355),""",""????0;"",""???-0;"",""????0;"", ////"""),"'","""")&amp;SUBSTITUTE(TEXT(Overig!U355,""",""?00;"",""?-00;"",""?00;"", //"""),"'","""")&amp;SUBSTITUTE(TEXT(Overig!V355,""",""???0;"",""??-0;"",""???0;"", ///"""),"'","""")&amp;SUBSTITUTE(TEXT(Overig!W355,""",""?00;"",""?-00;"",""?00;"", //"""),"'","""")</f>
        <v>032, 19400329, 12.00, 7587, 00,  269, 00, ////, 07, ////, 07,  73, 00,  195, 00,  232, 00,   65, 00,    6, 00,   2, 00</v>
      </c>
    </row>
    <row r="356" spans="1:1" x14ac:dyDescent="0.25">
      <c r="A356" s="12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//"""),"'","""")&amp;SUBSTITUTE(TEXT(Overig!L356,""",""???0;"",""??-0;"",""???0;"", 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//"""),"'","""")&amp;SUBSTITUTE(TEXT(Overig!R356,""",""????0;"",""???-0;"",""????0;"", ////"""),"'","""")&amp;SUBSTITUTE(TEXT(Overig!S356,""",""?00;"",""?-00;"",""?00;"", //"""),"'","""")&amp;SUBSTITUTE(TEXT(IF(ISTEXT(Overig!T356),Overig!T356,10*Overig!T356),""",""????0;"",""???-0;"",""????0;"", ////"""),"'","""")&amp;SUBSTITUTE(TEXT(Overig!U356,""",""?00;"",""?-00;"",""?00;"", //"""),"'","""")&amp;SUBSTITUTE(TEXT(Overig!V356,""",""???0;"",""??-0;"",""???0;"", ///"""),"'","""")&amp;SUBSTITUTE(TEXT(Overig!W356,""",""?00;"",""?-00;"",""?00;"", //"""),"'","""")</f>
        <v>032, 19400329, 17.00, 7582, 00,  261, 00, ////, 07, ////, 07,  76, 00,  192, 00,  228, 00,   65, 00,    5, 00,   1, 00</v>
      </c>
    </row>
    <row r="357" spans="1:1" x14ac:dyDescent="0.25">
      <c r="A357" s="12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//"""),"'","""")&amp;SUBSTITUTE(TEXT(Overig!L357,""",""???0;"",""??-0;"",""???0;"", 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//"""),"'","""")&amp;SUBSTITUTE(TEXT(Overig!R357,""",""????0;"",""???-0;"",""????0;"", ////"""),"'","""")&amp;SUBSTITUTE(TEXT(Overig!S357,""",""?00;"",""?-00;"",""?00;"", //"""),"'","""")&amp;SUBSTITUTE(TEXT(IF(ISTEXT(Overig!T357),Overig!T357,10*Overig!T357),""",""????0;"",""???-0;"",""????0;"", ////"""),"'","""")&amp;SUBSTITUTE(TEXT(Overig!U357,""",""?00;"",""?-00;"",""?00;"", //"""),"'","""")&amp;SUBSTITUTE(TEXT(Overig!V357,""",""???0;"",""??-0;"",""???0;"", ///"""),"'","""")&amp;SUBSTITUTE(TEXT(Overig!W357,""",""?00;"",""?-00;"",""?00;"", //"""),"'","""")</f>
        <v>032, 19400329, 24.00, ////, 07, ////, 07,  270, 00,  285, 00, ///, 07, ////, 07, ////, 07, ////, 07, ////, 07, ///, 07</v>
      </c>
    </row>
    <row r="358" spans="1:1" x14ac:dyDescent="0.25">
      <c r="A358" s="12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//"""),"'","""")&amp;SUBSTITUTE(TEXT(Overig!L358,""",""???0;"",""??-0;"",""???0;"", 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//"""),"'","""")&amp;SUBSTITUTE(TEXT(Overig!R358,""",""????0;"",""???-0;"",""????0;"", ////"""),"'","""")&amp;SUBSTITUTE(TEXT(Overig!S358,""",""?00;"",""?-00;"",""?00;"", //"""),"'","""")&amp;SUBSTITUTE(TEXT(IF(ISTEXT(Overig!T358),Overig!T358,10*Overig!T358),""",""????0;"",""???-0;"",""????0;"", ////"""),"'","""")&amp;SUBSTITUTE(TEXT(Overig!U358,""",""?00;"",""?-00;"",""?00;"", //"""),"'","""")&amp;SUBSTITUTE(TEXT(Overig!V358,""",""???0;"",""??-0;"",""???0;"", ///"""),"'","""")&amp;SUBSTITUTE(TEXT(Overig!W358,""",""?00;"",""?-00;"",""?00;"", //"""),"'","""")</f>
        <v>032, 19400330, 07.00, 7597, 00,  259, 00, ////, 07, ////, 07,  78, 00,  196, 00,  230, 00,   45, 00,    5, 00,   3, 00</v>
      </c>
    </row>
    <row r="359" spans="1:1" x14ac:dyDescent="0.25">
      <c r="A359" s="12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//"""),"'","""")&amp;SUBSTITUTE(TEXT(Overig!L359,""",""???0;"",""??-0;"",""???0;"", 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//"""),"'","""")&amp;SUBSTITUTE(TEXT(Overig!R359,""",""????0;"",""???-0;"",""????0;"", ////"""),"'","""")&amp;SUBSTITUTE(TEXT(Overig!S359,""",""?00;"",""?-00;"",""?00;"", //"""),"'","""")&amp;SUBSTITUTE(TEXT(IF(ISTEXT(Overig!T359),Overig!T359,10*Overig!T359),""",""????0;"",""???-0;"",""????0;"", ////"""),"'","""")&amp;SUBSTITUTE(TEXT(Overig!U359,""",""?00;"",""?-00;"",""?00;"", //"""),"'","""")&amp;SUBSTITUTE(TEXT(Overig!V359,""",""???0;"",""??-0;"",""???0;"", ///"""),"'","""")&amp;SUBSTITUTE(TEXT(Overig!W359,""",""?00;"",""?-00;"",""?00;"", //"""),"'","""")</f>
        <v>032, 19400330, 12.00, 7587, 00,  269, 00, ////, 07, ////, 07,  75, 00,  200, 00,  235, 00,   45, 00,    6, 00,   2, 00</v>
      </c>
    </row>
    <row r="360" spans="1:1" x14ac:dyDescent="0.25">
      <c r="A360" s="12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//"""),"'","""")&amp;SUBSTITUTE(TEXT(Overig!L360,""",""???0;"",""??-0;"",""???0;"", 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//"""),"'","""")&amp;SUBSTITUTE(TEXT(Overig!R360,""",""????0;"",""???-0;"",""????0;"", ////"""),"'","""")&amp;SUBSTITUTE(TEXT(Overig!S360,""",""?00;"",""?-00;"",""?00;"", //"""),"'","""")&amp;SUBSTITUTE(TEXT(IF(ISTEXT(Overig!T360),Overig!T360,10*Overig!T360),""",""????0;"",""???-0;"",""????0;"", ////"""),"'","""")&amp;SUBSTITUTE(TEXT(Overig!U360,""",""?00;"",""?-00;"",""?00;"", //"""),"'","""")&amp;SUBSTITUTE(TEXT(Overig!V360,""",""???0;"",""??-0;"",""???0;"", ///"""),"'","""")&amp;SUBSTITUTE(TEXT(Overig!W360,""",""?00;"",""?-00;"",""?00;"", //"""),"'","""")</f>
        <v>032, 19400330, 17.00, 7582, 00,  263, 00, ////, 07, ////, 07,  74, 00,  191, 00,  228, 00,   45, 00,    6, 00,   3, 00</v>
      </c>
    </row>
    <row r="361" spans="1:1" x14ac:dyDescent="0.25">
      <c r="A361" s="12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//"""),"'","""")&amp;SUBSTITUTE(TEXT(Overig!L361,""",""???0;"",""??-0;"",""???0;"", 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//"""),"'","""")&amp;SUBSTITUTE(TEXT(Overig!R361,""",""????0;"",""???-0;"",""????0;"", ////"""),"'","""")&amp;SUBSTITUTE(TEXT(Overig!S361,""",""?00;"",""?-00;"",""?00;"", //"""),"'","""")&amp;SUBSTITUTE(TEXT(IF(ISTEXT(Overig!T361),Overig!T361,10*Overig!T361),""",""????0;"",""???-0;"",""????0;"", ////"""),"'","""")&amp;SUBSTITUTE(TEXT(Overig!U361,""",""?00;"",""?-00;"",""?00;"", //"""),"'","""")&amp;SUBSTITUTE(TEXT(Overig!V361,""",""???0;"",""??-0;"",""???0;"", ///"""),"'","""")&amp;SUBSTITUTE(TEXT(Overig!W361,""",""?00;"",""?-00;"",""?00;"", //"""),"'","""")</f>
        <v>032, 19400330, 24.00, ////, 07, ////, 07,  270, 00,  290, 00, ///, 07, ////, 07, ////, 07, ////, 07, ////, 07, ///, 07</v>
      </c>
    </row>
    <row r="362" spans="1:1" x14ac:dyDescent="0.25">
      <c r="A362" s="12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//"""),"'","""")&amp;SUBSTITUTE(TEXT(Overig!L362,""",""???0;"",""??-0;"",""???0;"", 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//"""),"'","""")&amp;SUBSTITUTE(TEXT(Overig!R362,""",""????0;"",""???-0;"",""????0;"", ////"""),"'","""")&amp;SUBSTITUTE(TEXT(Overig!S362,""",""?00;"",""?-00;"",""?00;"", //"""),"'","""")&amp;SUBSTITUTE(TEXT(IF(ISTEXT(Overig!T362),Overig!T362,10*Overig!T362),""",""????0;"",""???-0;"",""????0;"", ////"""),"'","""")&amp;SUBSTITUTE(TEXT(Overig!U362,""",""?00;"",""?-00;"",""?00;"", //"""),"'","""")&amp;SUBSTITUTE(TEXT(Overig!V362,""",""???0;"",""??-0;"",""???0;"", ///"""),"'","""")&amp;SUBSTITUTE(TEXT(Overig!W362,""",""?00;"",""?-00;"",""?00;"", //"""),"'","""")</f>
        <v>032, 19400331, 07.00, 7592, 00,  261, 00, ////, 07, ////, 07,  76, 00,  192, 00,  228, 00,   65, 00,    4, 00,   3, 00</v>
      </c>
    </row>
    <row r="363" spans="1:1" x14ac:dyDescent="0.25">
      <c r="A363" s="12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//"""),"'","""")&amp;SUBSTITUTE(TEXT(Overig!L363,""",""???0;"",""??-0;"",""???0;"", 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//"""),"'","""")&amp;SUBSTITUTE(TEXT(Overig!R363,""",""????0;"",""???-0;"",""????0;"", ////"""),"'","""")&amp;SUBSTITUTE(TEXT(Overig!S363,""",""?00;"",""?-00;"",""?00;"", //"""),"'","""")&amp;SUBSTITUTE(TEXT(IF(ISTEXT(Overig!T363),Overig!T363,10*Overig!T363),""",""????0;"",""???-0;"",""????0;"", ////"""),"'","""")&amp;SUBSTITUTE(TEXT(Overig!U363,""",""?00;"",""?-00;"",""?00;"", //"""),"'","""")&amp;SUBSTITUTE(TEXT(Overig!V363,""",""???0;"",""??-0;"",""???0;"", ///"""),"'","""")&amp;SUBSTITUTE(TEXT(Overig!W363,""",""?00;"",""?-00;"",""?00;"", //"""),"'","""")</f>
        <v>032, 19400331, 12.00, 7592, 00,  269, 00, ////, 07, ////, 07,  72, 00,  191, 00,  230, 00,   65, 00,    6, 00,   2, 00</v>
      </c>
    </row>
    <row r="364" spans="1:1" x14ac:dyDescent="0.25">
      <c r="A364" s="12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//"""),"'","""")&amp;SUBSTITUTE(TEXT(Overig!L364,""",""???0;"",""??-0;"",""???0;"", 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//"""),"'","""")&amp;SUBSTITUTE(TEXT(Overig!R364,""",""????0;"",""???-0;"",""????0;"", ////"""),"'","""")&amp;SUBSTITUTE(TEXT(Overig!S364,""",""?00;"",""?-00;"",""?00;"", //"""),"'","""")&amp;SUBSTITUTE(TEXT(IF(ISTEXT(Overig!T364),Overig!T364,10*Overig!T364),""",""????0;"",""???-0;"",""????0;"", ////"""),"'","""")&amp;SUBSTITUTE(TEXT(Overig!U364,""",""?00;"",""?-00;"",""?00;"", //"""),"'","""")&amp;SUBSTITUTE(TEXT(Overig!V364,""",""???0;"",""??-0;"",""???0;"", ///"""),"'","""")&amp;SUBSTITUTE(TEXT(Overig!W364,""",""?00;"",""?-00;"",""?00;"", //"""),"'","""")</f>
        <v>032, 19400331, 17.00, 7589, 00,  261, 00, ////, 07, ////, 07,  76, 00,  192, 00,  228, 00,   65, 00,    6, 00,   2, 00</v>
      </c>
    </row>
    <row r="365" spans="1:1" x14ac:dyDescent="0.25">
      <c r="A365" s="12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//"""),"'","""")&amp;SUBSTITUTE(TEXT(Overig!L365,""",""???0;"",""??-0;"",""???0;"", 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//"""),"'","""")&amp;SUBSTITUTE(TEXT(Overig!R365,""",""????0;"",""???-0;"",""????0;"", ////"""),"'","""")&amp;SUBSTITUTE(TEXT(Overig!S365,""",""?00;"",""?-00;"",""?00;"", //"""),"'","""")&amp;SUBSTITUTE(TEXT(IF(ISTEXT(Overig!T365),Overig!T365,10*Overig!T365),""",""????0;"",""???-0;"",""????0;"", ////"""),"'","""")&amp;SUBSTITUTE(TEXT(Overig!U365,""",""?00;"",""?-00;"",""?00;"", //"""),"'","""")&amp;SUBSTITUTE(TEXT(Overig!V365,""",""???0;"",""??-0;"",""???0;"", ///"""),"'","""")&amp;SUBSTITUTE(TEXT(Overig!W365,""",""?00;"",""?-00;"",""?00;"", //"""),"'","""")</f>
        <v>032, 19400331, 24.00, ////, 07, ////, 07,  215, 00,  305, 00, ///, 07, ////, 07, ////, 07, ////, 07, ////, 07, ///, 07</v>
      </c>
    </row>
    <row r="366" spans="1:1" x14ac:dyDescent="0.25">
      <c r="A366" s="12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//"""),"'","""")&amp;SUBSTITUTE(TEXT(Overig!L366,""",""???0;"",""??-0;"",""???0;"", 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//"""),"'","""")&amp;SUBSTITUTE(TEXT(Overig!R366,""",""????0;"",""???-0;"",""????0;"", ////"""),"'","""")&amp;SUBSTITUTE(TEXT(Overig!S366,""",""?00;"",""?-00;"",""?00;"", //"""),"'","""")&amp;SUBSTITUTE(TEXT(IF(ISTEXT(Overig!T366),Overig!T366,10*Overig!T366),""",""????0;"",""???-0;"",""????0;"", ////"""),"'","""")&amp;SUBSTITUTE(TEXT(Overig!U366,""",""?00;"",""?-00;"",""?00;"", //"""),"'","""")&amp;SUBSTITUTE(TEXT(Overig!V366,""",""???0;"",""??-0;"",""???0;"", ///"""),"'","""")&amp;SUBSTITUTE(TEXT(Overig!W366,""",""?00;"",""?-00;"",""?00;"", //"""),"'","""")</f>
        <v>032, 19400401, 07.00, 7585, 00,  257, 00, ////, 07, ////, 07,  81, 00,  201, 00,  232, 00,   65, 00,    5, 00,   2, 00</v>
      </c>
    </row>
    <row r="367" spans="1:1" x14ac:dyDescent="0.25">
      <c r="A367" s="12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//"""),"'","""")&amp;SUBSTITUTE(TEXT(Overig!L367,""",""???0;"",""??-0;"",""???0;"", 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//"""),"'","""")&amp;SUBSTITUTE(TEXT(Overig!R367,""",""????0;"",""???-0;"",""????0;"", ////"""),"'","""")&amp;SUBSTITUTE(TEXT(Overig!S367,""",""?00;"",""?-00;"",""?00;"", //"""),"'","""")&amp;SUBSTITUTE(TEXT(IF(ISTEXT(Overig!T367),Overig!T367,10*Overig!T367),""",""????0;"",""???-0;"",""????0;"", ////"""),"'","""")&amp;SUBSTITUTE(TEXT(Overig!U367,""",""?00;"",""?-00;"",""?00;"", //"""),"'","""")&amp;SUBSTITUTE(TEXT(Overig!V367,""",""???0;"",""??-0;"",""???0;"", ///"""),"'","""")&amp;SUBSTITUTE(TEXT(Overig!W367,""",""?00;"",""?-00;"",""?00;"", //"""),"'","""")</f>
        <v>032, 19400401, 12.00, 7585, 00,  259, 00, ////, 07, ////, 07,  82, 00,  207, 00,  236, 00,   65, 00,    6, 00,   3, 00</v>
      </c>
    </row>
    <row r="368" spans="1:1" x14ac:dyDescent="0.25">
      <c r="A368" s="12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//"""),"'","""")&amp;SUBSTITUTE(TEXT(IF(ISTEXT(Overig!J368),Overig!J368,10*Overig!J368),""",""????0;"",""???-0;"",""????0;"", ////"""),"'","""")&amp;SUBSTITUTE(TEXT(Overig!K368,""",""?00;"",""?-00;"",""?00;"", //"""),"'","""")&amp;SUBSTITUTE(TEXT(Overig!L368,""",""???0;"",""??-0;"",""???0;"", ///"""),"'","""")&amp;SUBSTITUTE(TEXT(Overig!M368,""",""?00;"",""?-00;"",""?00;"", //"""),"'","""")&amp;SUBSTITUTE(TEXT(IF(ISTEXT(Overig!N368),Overig!N368,10*Overig!N368),""",""????0;"",""???-0;"",""????0;"", ////"""),"'","""")&amp;SUBSTITUTE(TEXT(Overig!O368,""",""?00;"",""?-00;"",""?00;"", //"""),"'","""")&amp;SUBSTITUTE(TEXT(IF(ISTEXT(Overig!P368),Overig!P368,10*Overig!P368),""",""????0;"",""???-0;"",""????0;"", ////"""),"'","""")&amp;SUBSTITUTE(TEXT(Overig!Q368,""",""?00;"",""?-00;"",""?00;"", //"""),"'","""")&amp;SUBSTITUTE(TEXT(Overig!R368,""",""????0;"",""???-0;"",""????0;"", ////"""),"'","""")&amp;SUBSTITUTE(TEXT(Overig!S368,""",""?00;"",""?-00;"",""?00;"", //"""),"'","""")&amp;SUBSTITUTE(TEXT(IF(ISTEXT(Overig!T368),Overig!T368,10*Overig!T368),""",""????0;"",""???-0;"",""????0;"", ////"""),"'","""")&amp;SUBSTITUTE(TEXT(Overig!U368,""",""?00;"",""?-00;"",""?00;"", //"""),"'","""")&amp;SUBSTITUTE(TEXT(Overig!V368,""",""???0;"",""??-0;"",""???0;"", ///"""),"'","""")&amp;SUBSTITUTE(TEXT(Overig!W368,""",""?00;"",""?-00;"",""?00;"", //"""),"'","""")</f>
        <v>032, 19400401, 17.00, 7585, 00,  257, 00, ////, 07, ////, 07,  82, 00,  204, 00,  234, 00,   65, 00,    6, 00,   2, 00</v>
      </c>
    </row>
    <row r="369" spans="1:1" x14ac:dyDescent="0.25">
      <c r="A369" s="12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//"""),"'","""")&amp;SUBSTITUTE(TEXT(IF(ISTEXT(Overig!J369),Overig!J369,10*Overig!J369),""",""????0;"",""???-0;"",""????0;"", ////"""),"'","""")&amp;SUBSTITUTE(TEXT(Overig!K369,""",""?00;"",""?-00;"",""?00;"", //"""),"'","""")&amp;SUBSTITUTE(TEXT(Overig!L369,""",""???0;"",""??-0;"",""???0;"", ///"""),"'","""")&amp;SUBSTITUTE(TEXT(Overig!M369,""",""?00;"",""?-00;"",""?00;"", //"""),"'","""")&amp;SUBSTITUTE(TEXT(IF(ISTEXT(Overig!N369),Overig!N369,10*Overig!N369),""",""????0;"",""???-0;"",""????0;"", ////"""),"'","""")&amp;SUBSTITUTE(TEXT(Overig!O369,""",""?00;"",""?-00;"",""?00;"", //"""),"'","""")&amp;SUBSTITUTE(TEXT(IF(ISTEXT(Overig!P369),Overig!P369,10*Overig!P369),""",""????0;"",""???-0;"",""????0;"", ////"""),"'","""")&amp;SUBSTITUTE(TEXT(Overig!Q369,""",""?00;"",""?-00;"",""?00;"", //"""),"'","""")&amp;SUBSTITUTE(TEXT(Overig!R369,""",""????0;"",""???-0;"",""????0;"", ////"""),"'","""")&amp;SUBSTITUTE(TEXT(Overig!S369,""",""?00;"",""?-00;"",""?00;"", //"""),"'","""")&amp;SUBSTITUTE(TEXT(IF(ISTEXT(Overig!T369),Overig!T369,10*Overig!T369),""",""????0;"",""???-0;"",""????0;"", ////"""),"'","""")&amp;SUBSTITUTE(TEXT(Overig!U369,""",""?00;"",""?-00;"",""?00;"", //"""),"'","""")&amp;SUBSTITUTE(TEXT(Overig!V369,""",""???0;"",""??-0;"",""???0;"", ///"""),"'","""")&amp;SUBSTITUTE(TEXT(Overig!W369,""",""?00;"",""?-00;"",""?00;"", //"""),"'","""")</f>
        <v>032, 19400401, 24.00, ////, 07, ////, 07,  270, 00,  285, 00, ///, 07, ////, 07, ////, 07, ////, 07, ////, 07, ///, 07</v>
      </c>
    </row>
    <row r="370" spans="1:1" x14ac:dyDescent="0.25">
      <c r="A370" s="12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//"""),"'","""")&amp;SUBSTITUTE(TEXT(IF(ISTEXT(Overig!J370),Overig!J370,10*Overig!J370),""",""????0;"",""???-0;"",""????0;"", ////"""),"'","""")&amp;SUBSTITUTE(TEXT(Overig!K370,""",""?00;"",""?-00;"",""?00;"", //"""),"'","""")&amp;SUBSTITUTE(TEXT(Overig!L370,""",""???0;"",""??-0;"",""???0;"", ///"""),"'","""")&amp;SUBSTITUTE(TEXT(Overig!M370,""",""?00;"",""?-00;"",""?00;"", //"""),"'","""")&amp;SUBSTITUTE(TEXT(IF(ISTEXT(Overig!N370),Overig!N370,10*Overig!N370),""",""????0;"",""???-0;"",""????0;"", ////"""),"'","""")&amp;SUBSTITUTE(TEXT(Overig!O370,""",""?00;"",""?-00;"",""?00;"", //"""),"'","""")&amp;SUBSTITUTE(TEXT(IF(ISTEXT(Overig!P370),Overig!P370,10*Overig!P370),""",""????0;"",""???-0;"",""????0;"", ////"""),"'","""")&amp;SUBSTITUTE(TEXT(Overig!Q370,""",""?00;"",""?-00;"",""?00;"", //"""),"'","""")&amp;SUBSTITUTE(TEXT(Overig!R370,""",""????0;"",""???-0;"",""????0;"", ////"""),"'","""")&amp;SUBSTITUTE(TEXT(Overig!S370,""",""?00;"",""?-00;"",""?00;"", //"""),"'","""")&amp;SUBSTITUTE(TEXT(IF(ISTEXT(Overig!T370),Overig!T370,10*Overig!T370),""",""????0;"",""???-0;"",""????0;"", ////"""),"'","""")&amp;SUBSTITUTE(TEXT(Overig!U370,""",""?00;"",""?-00;"",""?00;"", //"""),"'","""")&amp;SUBSTITUTE(TEXT(Overig!V370,""",""???0;"",""??-0;"",""???0;"", ///"""),"'","""")&amp;SUBSTITUTE(TEXT(Overig!W370,""",""?00;"",""?-00;"",""?00;"", //"""),"'","""")</f>
        <v>032, 19400402, 07.00, 7585, 00,  247, 00, ////, 07, ////, 07,  99, 00,  232, 00,  246, 00,   65, 00,    6, 00,   1, 00</v>
      </c>
    </row>
    <row r="371" spans="1:1" x14ac:dyDescent="0.25">
      <c r="A371" s="12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//"""),"'","""")&amp;SUBSTITUTE(TEXT(IF(ISTEXT(Overig!J371),Overig!J371,10*Overig!J371),""",""????0;"",""???-0;"",""????0;"", ////"""),"'","""")&amp;SUBSTITUTE(TEXT(Overig!K371,""",""?00;"",""?-00;"",""?00;"", //"""),"'","""")&amp;SUBSTITUTE(TEXT(Overig!L371,""",""???0;"",""??-0;"",""???0;"", ///"""),"'","""")&amp;SUBSTITUTE(TEXT(Overig!M371,""",""?00;"",""?-00;"",""?00;"", //"""),"'","""")&amp;SUBSTITUTE(TEXT(IF(ISTEXT(Overig!N371),Overig!N371,10*Overig!N371),""",""????0;"",""???-0;"",""????0;"", ////"""),"'","""")&amp;SUBSTITUTE(TEXT(Overig!O371,""",""?00;"",""?-00;"",""?00;"", //"""),"'","""")&amp;SUBSTITUTE(TEXT(IF(ISTEXT(Overig!P371),Overig!P371,10*Overig!P371),""",""????0;"",""???-0;"",""????0;"", ////"""),"'","""")&amp;SUBSTITUTE(TEXT(Overig!Q371,""",""?00;"",""?-00;"",""?00;"", //"""),"'","""")&amp;SUBSTITUTE(TEXT(Overig!R371,""",""????0;"",""???-0;"",""????0;"", ////"""),"'","""")&amp;SUBSTITUTE(TEXT(Overig!S371,""",""?00;"",""?-00;"",""?00;"", //"""),"'","""")&amp;SUBSTITUTE(TEXT(IF(ISTEXT(Overig!T371),Overig!T371,10*Overig!T371),""",""????0;"",""???-0;"",""????0;"", ////"""),"'","""")&amp;SUBSTITUTE(TEXT(Overig!U371,""",""?00;"",""?-00;"",""?00;"", //"""),"'","""")&amp;SUBSTITUTE(TEXT(Overig!V371,""",""???0;"",""??-0;"",""???0;"", ///"""),"'","""")&amp;SUBSTITUTE(TEXT(Overig!W371,""",""?00;"",""?-00;"",""?00;"", //"""),"'","""")</f>
        <v>032, 19400402, 12.00, 7600, 00,  257, 00, ////, 07, ////, 07,  93, 00,  230, 00,  248, 00,   65, 00,    7, 00,   2, 00</v>
      </c>
    </row>
    <row r="372" spans="1:1" x14ac:dyDescent="0.25">
      <c r="A372" s="12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//"""),"'","""")&amp;SUBSTITUTE(TEXT(IF(ISTEXT(Overig!J372),Overig!J372,10*Overig!J372),""",""????0;"",""???-0;"",""????0;"", ////"""),"'","""")&amp;SUBSTITUTE(TEXT(Overig!K372,""",""?00;"",""?-00;"",""?00;"", //"""),"'","""")&amp;SUBSTITUTE(TEXT(Overig!L372,""",""???0;"",""??-0;"",""???0;"", ///"""),"'","""")&amp;SUBSTITUTE(TEXT(Overig!M372,""",""?00;"",""?-00;"",""?00;"", //"""),"'","""")&amp;SUBSTITUTE(TEXT(IF(ISTEXT(Overig!N372),Overig!N372,10*Overig!N372),""",""????0;"",""???-0;"",""????0;"", ////"""),"'","""")&amp;SUBSTITUTE(TEXT(Overig!O372,""",""?00;"",""?-00;"",""?00;"", //"""),"'","""")&amp;SUBSTITUTE(TEXT(IF(ISTEXT(Overig!P372),Overig!P372,10*Overig!P372),""",""????0;"",""???-0;"",""????0;"", ////"""),"'","""")&amp;SUBSTITUTE(TEXT(Overig!Q372,""",""?00;"",""?-00;"",""?00;"", //"""),"'","""")&amp;SUBSTITUTE(TEXT(Overig!R372,""",""????0;"",""???-0;"",""????0;"", ////"""),"'","""")&amp;SUBSTITUTE(TEXT(Overig!S372,""",""?00;"",""?-00;"",""?00;"", //"""),"'","""")&amp;SUBSTITUTE(TEXT(IF(ISTEXT(Overig!T372),Overig!T372,10*Overig!T372),""",""????0;"",""???-0;"",""????0;"", ////"""),"'","""")&amp;SUBSTITUTE(TEXT(Overig!U372,""",""?00;"",""?-00;"",""?00;"", //"""),"'","""")&amp;SUBSTITUTE(TEXT(Overig!V372,""",""???0;"",""??-0;"",""???0;"", ///"""),"'","""")&amp;SUBSTITUTE(TEXT(Overig!W372,""",""?00;"",""?-00;"",""?00;"", //"""),"'","""")</f>
        <v>032, 19400402, 17.00, 7595, 00,  255, 00, ////, 07, ////, 07,  88, 00,  214, 00,  239, 00,   65, 00,    6, 00,   2, 00</v>
      </c>
    </row>
    <row r="373" spans="1:1" x14ac:dyDescent="0.25">
      <c r="A373" s="12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//"""),"'","""")&amp;SUBSTITUTE(TEXT(IF(ISTEXT(Overig!J373),Overig!J373,10*Overig!J373),""",""????0;"",""???-0;"",""????0;"", ////"""),"'","""")&amp;SUBSTITUTE(TEXT(Overig!K373,""",""?00;"",""?-00;"",""?00;"", //"""),"'","""")&amp;SUBSTITUTE(TEXT(Overig!L373,""",""???0;"",""??-0;"",""???0;"", ///"""),"'","""")&amp;SUBSTITUTE(TEXT(Overig!M373,""",""?00;"",""?-00;"",""?00;"", //"""),"'","""")&amp;SUBSTITUTE(TEXT(IF(ISTEXT(Overig!N373),Overig!N373,10*Overig!N373),""",""????0;"",""???-0;"",""????0;"", ////"""),"'","""")&amp;SUBSTITUTE(TEXT(Overig!O373,""",""?00;"",""?-00;"",""?00;"", //"""),"'","""")&amp;SUBSTITUTE(TEXT(IF(ISTEXT(Overig!P373),Overig!P373,10*Overig!P373),""",""????0;"",""???-0;"",""????0;"", ////"""),"'","""")&amp;SUBSTITUTE(TEXT(Overig!Q373,""",""?00;"",""?-00;"",""?00;"", //"""),"'","""")&amp;SUBSTITUTE(TEXT(Overig!R373,""",""????0;"",""???-0;"",""????0;"", ////"""),"'","""")&amp;SUBSTITUTE(TEXT(Overig!S373,""",""?00;"",""?-00;"",""?00;"", //"""),"'","""")&amp;SUBSTITUTE(TEXT(IF(ISTEXT(Overig!T373),Overig!T373,10*Overig!T373),""",""????0;"",""???-0;"",""????0;"", ////"""),"'","""")&amp;SUBSTITUTE(TEXT(Overig!U373,""",""?00;"",""?-00;"",""?00;"", //"""),"'","""")&amp;SUBSTITUTE(TEXT(Overig!V373,""",""???0;"",""??-0;"",""???0;"", ///"""),"'","""")&amp;SUBSTITUTE(TEXT(Overig!W373,""",""?00;"",""?-00;"",""?00;"", //"""),"'","""")</f>
        <v>032, 19400402, 24.00, ////, 07, ////, 07,  260, 00,  295, 00, ///, 07, ////, 07, ////, 07, ////, 07, ////, 07, ///, 07</v>
      </c>
    </row>
    <row r="374" spans="1:1" x14ac:dyDescent="0.25">
      <c r="A374" s="12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//"""),"'","""")&amp;SUBSTITUTE(TEXT(IF(ISTEXT(Overig!J374),Overig!J374,10*Overig!J374),""",""????0;"",""???-0;"",""????0;"", ////"""),"'","""")&amp;SUBSTITUTE(TEXT(Overig!K374,""",""?00;"",""?-00;"",""?00;"", //"""),"'","""")&amp;SUBSTITUTE(TEXT(Overig!L374,""",""???0;"",""??-0;"",""???0;"", ///"""),"'","""")&amp;SUBSTITUTE(TEXT(Overig!M374,""",""?00;"",""?-00;"",""?00;"", //"""),"'","""")&amp;SUBSTITUTE(TEXT(IF(ISTEXT(Overig!N374),Overig!N374,10*Overig!N374),""",""????0;"",""???-0;"",""????0;"", ////"""),"'","""")&amp;SUBSTITUTE(TEXT(Overig!O374,""",""?00;"",""?-00;"",""?00;"", //"""),"'","""")&amp;SUBSTITUTE(TEXT(IF(ISTEXT(Overig!P374),Overig!P374,10*Overig!P374),""",""????0;"",""???-0;"",""????0;"", ////"""),"'","""")&amp;SUBSTITUTE(TEXT(Overig!Q374,""",""?00;"",""?-00;"",""?00;"", //"""),"'","""")&amp;SUBSTITUTE(TEXT(Overig!R374,""",""????0;"",""???-0;"",""????0;"", ////"""),"'","""")&amp;SUBSTITUTE(TEXT(Overig!S374,""",""?00;"",""?-00;"",""?00;"", //"""),"'","""")&amp;SUBSTITUTE(TEXT(IF(ISTEXT(Overig!T374),Overig!T374,10*Overig!T374),""",""????0;"",""???-0;"",""????0;"", ////"""),"'","""")&amp;SUBSTITUTE(TEXT(Overig!U374,""",""?00;"",""?-00;"",""?00;"", //"""),"'","""")&amp;SUBSTITUTE(TEXT(Overig!V374,""",""???0;"",""??-0;"",""???0;"", ///"""),"'","""")&amp;SUBSTITUTE(TEXT(Overig!W374,""",""?00;"",""?-00;"",""?00;"", //"""),"'","""")</f>
        <v>032, 19400403, 07.00, 7585, 00,  281, 00, ////, 07, ////, 07,  76, 00,  218, 00,  248, 00,   45, 00,    5, 00,   3, 00</v>
      </c>
    </row>
    <row r="375" spans="1:1" x14ac:dyDescent="0.25">
      <c r="A375" s="12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//"""),"'","""")&amp;SUBSTITUTE(TEXT(IF(ISTEXT(Overig!J375),Overig!J375,10*Overig!J375),""",""????0;"",""???-0;"",""????0;"", ////"""),"'","""")&amp;SUBSTITUTE(TEXT(Overig!K375,""",""?00;"",""?-00;"",""?00;"", //"""),"'","""")&amp;SUBSTITUTE(TEXT(Overig!L375,""",""???0;"",""??-0;"",""???0;"", ///"""),"'","""")&amp;SUBSTITUTE(TEXT(Overig!M375,""",""?00;"",""?-00;"",""?00;"", //"""),"'","""")&amp;SUBSTITUTE(TEXT(IF(ISTEXT(Overig!N375),Overig!N375,10*Overig!N375),""",""????0;"",""???-0;"",""????0;"", ////"""),"'","""")&amp;SUBSTITUTE(TEXT(Overig!O375,""",""?00;"",""?-00;"",""?00;"", //"""),"'","""")&amp;SUBSTITUTE(TEXT(IF(ISTEXT(Overig!P375),Overig!P375,10*Overig!P375),""",""????0;"",""???-0;"",""????0;"", ////"""),"'","""")&amp;SUBSTITUTE(TEXT(Overig!Q375,""",""?00;"",""?-00;"",""?00;"", //"""),"'","""")&amp;SUBSTITUTE(TEXT(Overig!R375,""",""????0;"",""???-0;"",""????0;"", ////"""),"'","""")&amp;SUBSTITUTE(TEXT(Overig!S375,""",""?00;"",""?-00;"",""?00;"", //"""),"'","""")&amp;SUBSTITUTE(TEXT(IF(ISTEXT(Overig!T375),Overig!T375,10*Overig!T375),""",""????0;"",""???-0;"",""????0;"", ////"""),"'","""")&amp;SUBSTITUTE(TEXT(Overig!U375,""",""?00;"",""?-00;"",""?00;"", //"""),"'","""")&amp;SUBSTITUTE(TEXT(Overig!V375,""",""???0;"",""??-0;"",""???0;"", ///"""),"'","""")&amp;SUBSTITUTE(TEXT(Overig!W375,""",""?00;"",""?-00;"",""?00;"", //"""),"'","""")</f>
        <v>032, 19400403, 12.00, 7582, 00,  285, 00, ////, 07, ////, 07,  76, 00,  222, 00,  251, 00,   45, 00,    7, 00,   2, 00</v>
      </c>
    </row>
    <row r="376" spans="1:1" x14ac:dyDescent="0.25">
      <c r="A376" s="12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//"""),"'","""")&amp;SUBSTITUTE(TEXT(IF(ISTEXT(Overig!J376),Overig!J376,10*Overig!J376),""",""????0;"",""???-0;"",""????0;"", ////"""),"'","""")&amp;SUBSTITUTE(TEXT(Overig!K376,""",""?00;"",""?-00;"",""?00;"", //"""),"'","""")&amp;SUBSTITUTE(TEXT(Overig!L376,""",""???0;"",""??-0;"",""???0;"", ///"""),"'","""")&amp;SUBSTITUTE(TEXT(Overig!M376,""",""?00;"",""?-00;"",""?00;"", //"""),"'","""")&amp;SUBSTITUTE(TEXT(IF(ISTEXT(Overig!N376),Overig!N376,10*Overig!N376),""",""????0;"",""???-0;"",""????0;"", ////"""),"'","""")&amp;SUBSTITUTE(TEXT(Overig!O376,""",""?00;"",""?-00;"",""?00;"", //"""),"'","""")&amp;SUBSTITUTE(TEXT(IF(ISTEXT(Overig!P376),Overig!P376,10*Overig!P376),""",""????0;"",""???-0;"",""????0;"", ////"""),"'","""")&amp;SUBSTITUTE(TEXT(Overig!Q376,""",""?00;"",""?-00;"",""?00;"", //"""),"'","""")&amp;SUBSTITUTE(TEXT(Overig!R376,""",""????0;"",""???-0;"",""????0;"", ////"""),"'","""")&amp;SUBSTITUTE(TEXT(Overig!S376,""",""?00;"",""?-00;"",""?00;"", //"""),"'","""")&amp;SUBSTITUTE(TEXT(IF(ISTEXT(Overig!T376),Overig!T376,10*Overig!T376),""",""????0;"",""???-0;"",""????0;"", ////"""),"'","""")&amp;SUBSTITUTE(TEXT(Overig!U376,""",""?00;"",""?-00;"",""?00;"", //"""),"'","""")&amp;SUBSTITUTE(TEXT(Overig!V376,""",""???0;"",""??-0;"",""???0;"", ///"""),"'","""")&amp;SUBSTITUTE(TEXT(Overig!W376,""",""?00;"",""?-00;"",""?00;"", //"""),"'","""")</f>
        <v>032, 19400403, 17.00, 7587, 00,  281, 00, ////, 07, ////, 07,  76, 00,  218, 00,  248, 00,   45, 00,    6, 00,   2, 00</v>
      </c>
    </row>
    <row r="377" spans="1:1" x14ac:dyDescent="0.25">
      <c r="A377" s="12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//"""),"'","""")&amp;SUBSTITUTE(TEXT(IF(ISTEXT(Overig!J377),Overig!J377,10*Overig!J377),""",""????0;"",""???-0;"",""????0;"", ////"""),"'","""")&amp;SUBSTITUTE(TEXT(Overig!K377,""",""?00;"",""?-00;"",""?00;"", //"""),"'","""")&amp;SUBSTITUTE(TEXT(Overig!L377,""",""???0;"",""??-0;"",""???0;"", ///"""),"'","""")&amp;SUBSTITUTE(TEXT(Overig!M377,""",""?00;"",""?-00;"",""?00;"", //"""),"'","""")&amp;SUBSTITUTE(TEXT(IF(ISTEXT(Overig!N377),Overig!N377,10*Overig!N377),""",""????0;"",""???-0;"",""????0;"", ////"""),"'","""")&amp;SUBSTITUTE(TEXT(Overig!O377,""",""?00;"",""?-00;"",""?00;"", //"""),"'","""")&amp;SUBSTITUTE(TEXT(IF(ISTEXT(Overig!P377),Overig!P377,10*Overig!P377),""",""????0;"",""???-0;"",""????0;"", ////"""),"'","""")&amp;SUBSTITUTE(TEXT(Overig!Q377,""",""?00;"",""?-00;"",""?00;"", //"""),"'","""")&amp;SUBSTITUTE(TEXT(Overig!R377,""",""????0;"",""???-0;"",""????0;"", ////"""),"'","""")&amp;SUBSTITUTE(TEXT(Overig!S377,""",""?00;"",""?-00;"",""?00;"", //"""),"'","""")&amp;SUBSTITUTE(TEXT(IF(ISTEXT(Overig!T377),Overig!T377,10*Overig!T377),""",""????0;"",""???-0;"",""????0;"", ////"""),"'","""")&amp;SUBSTITUTE(TEXT(Overig!U377,""",""?00;"",""?-00;"",""?00;"", //"""),"'","""")&amp;SUBSTITUTE(TEXT(Overig!V377,""",""???0;"",""??-0;"",""???0;"", ///"""),"'","""")&amp;SUBSTITUTE(TEXT(Overig!W377,""",""?00;"",""?-00;"",""?00;"", //"""),"'","""")</f>
        <v>032, 19400403, 24.00, ////, 07, ////, 07,  282, 00,  304, 00, ///, 07, ////, 07, ////, 07, ////, 07, ////, 07, ///, 07</v>
      </c>
    </row>
    <row r="378" spans="1:1" x14ac:dyDescent="0.25">
      <c r="A378" s="12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//"""),"'","""")&amp;SUBSTITUTE(TEXT(IF(ISTEXT(Overig!J378),Overig!J378,10*Overig!J378),""",""????0;"",""???-0;"",""????0;"", ////"""),"'","""")&amp;SUBSTITUTE(TEXT(Overig!K378,""",""?00;"",""?-00;"",""?00;"", //"""),"'","""")&amp;SUBSTITUTE(TEXT(Overig!L378,""",""???0;"",""??-0;"",""???0;"", ///"""),"'","""")&amp;SUBSTITUTE(TEXT(Overig!M378,""",""?00;"",""?-00;"",""?00;"", //"""),"'","""")&amp;SUBSTITUTE(TEXT(IF(ISTEXT(Overig!N378),Overig!N378,10*Overig!N378),""",""????0;"",""???-0;"",""????0;"", ////"""),"'","""")&amp;SUBSTITUTE(TEXT(Overig!O378,""",""?00;"",""?-00;"",""?00;"", //"""),"'","""")&amp;SUBSTITUTE(TEXT(IF(ISTEXT(Overig!P378),Overig!P378,10*Overig!P378),""",""????0;"",""???-0;"",""????0;"", ////"""),"'","""")&amp;SUBSTITUTE(TEXT(Overig!Q378,""",""?00;"",""?-00;"",""?00;"", //"""),"'","""")&amp;SUBSTITUTE(TEXT(Overig!R378,""",""????0;"",""???-0;"",""????0;"", ////"""),"'","""")&amp;SUBSTITUTE(TEXT(Overig!S378,""",""?00;"",""?-00;"",""?00;"", //"""),"'","""")&amp;SUBSTITUTE(TEXT(IF(ISTEXT(Overig!T378),Overig!T378,10*Overig!T378),""",""????0;"",""???-0;"",""????0;"", ////"""),"'","""")&amp;SUBSTITUTE(TEXT(Overig!U378,""",""?00;"",""?-00;"",""?00;"", //"""),"'","""")&amp;SUBSTITUTE(TEXT(Overig!V378,""",""???0;"",""??-0;"",""???0;"", ///"""),"'","""")&amp;SUBSTITUTE(TEXT(Overig!W378,""",""?00;"",""?-00;"",""?00;"", //"""),"'","""")</f>
        <v>032, 19400404, 07.00, 7595, 00,  275, 00, ////, 07, ////, 07,  75, 00,  206, 00,  240, 00,   45, 00,    5, 00,   2, 00</v>
      </c>
    </row>
    <row r="379" spans="1:1" x14ac:dyDescent="0.25">
      <c r="A379" s="12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//"""),"'","""")&amp;SUBSTITUTE(TEXT(IF(ISTEXT(Overig!J379),Overig!J379,10*Overig!J379),""",""????0;"",""???-0;"",""????0;"", ////"""),"'","""")&amp;SUBSTITUTE(TEXT(Overig!K379,""",""?00;"",""?-00;"",""?00;"", //"""),"'","""")&amp;SUBSTITUTE(TEXT(Overig!L379,""",""???0;"",""??-0;"",""???0;"", ///"""),"'","""")&amp;SUBSTITUTE(TEXT(Overig!M379,""",""?00;"",""?-00;"",""?00;"", //"""),"'","""")&amp;SUBSTITUTE(TEXT(IF(ISTEXT(Overig!N379),Overig!N379,10*Overig!N379),""",""????0;"",""???-0;"",""????0;"", ////"""),"'","""")&amp;SUBSTITUTE(TEXT(Overig!O379,""",""?00;"",""?-00;"",""?00;"", //"""),"'","""")&amp;SUBSTITUTE(TEXT(IF(ISTEXT(Overig!P379),Overig!P379,10*Overig!P379),""",""????0;"",""???-0;"",""????0;"", ////"""),"'","""")&amp;SUBSTITUTE(TEXT(Overig!Q379,""",""?00;"",""?-00;"",""?00;"", //"""),"'","""")&amp;SUBSTITUTE(TEXT(Overig!R379,""",""????0;"",""???-0;"",""????0;"", ////"""),"'","""")&amp;SUBSTITUTE(TEXT(Overig!S379,""",""?00;"",""?-00;"",""?00;"", //"""),"'","""")&amp;SUBSTITUTE(TEXT(IF(ISTEXT(Overig!T379),Overig!T379,10*Overig!T379),""",""????0;"",""???-0;"",""????0;"", ////"""),"'","""")&amp;SUBSTITUTE(TEXT(Overig!U379,""",""?00;"",""?-00;"",""?00;"", //"""),"'","""")&amp;SUBSTITUTE(TEXT(Overig!V379,""",""???0;"",""??-0;"",""???0;"", ///"""),"'","""")&amp;SUBSTITUTE(TEXT(Overig!W379,""",""?00;"",""?-00;"",""?00;"", //"""),"'","""")</f>
        <v>032, 19400404, 12.00, 7605, 00,  295, 00, ////, 07, ////, 07,  68, 00,  211, 00,  248, 00,   45, 00,    7, 00,   3, 00</v>
      </c>
    </row>
    <row r="380" spans="1:1" x14ac:dyDescent="0.25">
      <c r="A380" s="12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//"""),"'","""")&amp;SUBSTITUTE(TEXT(IF(ISTEXT(Overig!J380),Overig!J380,10*Overig!J380),""",""????0;"",""???-0;"",""????0;"", ////"""),"'","""")&amp;SUBSTITUTE(TEXT(Overig!K380,""",""?00;"",""?-00;"",""?00;"", //"""),"'","""")&amp;SUBSTITUTE(TEXT(Overig!L380,""",""???0;"",""??-0;"",""???0;"", ///"""),"'","""")&amp;SUBSTITUTE(TEXT(Overig!M380,""",""?00;"",""?-00;"",""?00;"", //"""),"'","""")&amp;SUBSTITUTE(TEXT(IF(ISTEXT(Overig!N380),Overig!N380,10*Overig!N380),""",""????0;"",""???-0;"",""????0;"", ////"""),"'","""")&amp;SUBSTITUTE(TEXT(Overig!O380,""",""?00;"",""?-00;"",""?00;"", //"""),"'","""")&amp;SUBSTITUTE(TEXT(IF(ISTEXT(Overig!P380),Overig!P380,10*Overig!P380),""",""????0;"",""???-0;"",""????0;"", ////"""),"'","""")&amp;SUBSTITUTE(TEXT(Overig!Q380,""",""?00;"",""?-00;"",""?00;"", //"""),"'","""")&amp;SUBSTITUTE(TEXT(Overig!R380,""",""????0;"",""???-0;"",""????0;"", ////"""),"'","""")&amp;SUBSTITUTE(TEXT(Overig!S380,""",""?00;"",""?-00;"",""?00;"", //"""),"'","""")&amp;SUBSTITUTE(TEXT(IF(ISTEXT(Overig!T380),Overig!T380,10*Overig!T380),""",""????0;"",""???-0;"",""????0;"", ////"""),"'","""")&amp;SUBSTITUTE(TEXT(Overig!U380,""",""?00;"",""?-00;"",""?00;"", //"""),"'","""")&amp;SUBSTITUTE(TEXT(Overig!V380,""",""???0;"",""??-0;"",""???0;"", ///"""),"'","""")&amp;SUBSTITUTE(TEXT(Overig!W380,""",""?00;"",""?-00;"",""?00;"", //"""),"'","""")</f>
        <v>032, 19400404, 17.00, 7607, 00,  279, 00, ////, 07, ////, 07,  74, 00,  208, 00,  242, 00,   45, 00,    7, 00,   2, 00</v>
      </c>
    </row>
    <row r="381" spans="1:1" x14ac:dyDescent="0.25">
      <c r="A381" s="12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//"""),"'","""")&amp;SUBSTITUTE(TEXT(IF(ISTEXT(Overig!J381),Overig!J381,10*Overig!J381),""",""????0;"",""???-0;"",""????0;"", ////"""),"'","""")&amp;SUBSTITUTE(TEXT(Overig!K381,""",""?00;"",""?-00;"",""?00;"", //"""),"'","""")&amp;SUBSTITUTE(TEXT(Overig!L381,""",""???0;"",""??-0;"",""???0;"", ///"""),"'","""")&amp;SUBSTITUTE(TEXT(Overig!M381,""",""?00;"",""?-00;"",""?00;"", //"""),"'","""")&amp;SUBSTITUTE(TEXT(IF(ISTEXT(Overig!N381),Overig!N381,10*Overig!N381),""",""????0;"",""???-0;"",""????0;"", ////"""),"'","""")&amp;SUBSTITUTE(TEXT(Overig!O381,""",""?00;"",""?-00;"",""?00;"", //"""),"'","""")&amp;SUBSTITUTE(TEXT(IF(ISTEXT(Overig!P381),Overig!P381,10*Overig!P381),""",""????0;"",""???-0;"",""????0;"", ////"""),"'","""")&amp;SUBSTITUTE(TEXT(Overig!Q381,""",""?00;"",""?-00;"",""?00;"", //"""),"'","""")&amp;SUBSTITUTE(TEXT(Overig!R381,""",""????0;"",""???-0;"",""????0;"", ////"""),"'","""")&amp;SUBSTITUTE(TEXT(Overig!S381,""",""?00;"",""?-00;"",""?00;"", //"""),"'","""")&amp;SUBSTITUTE(TEXT(IF(ISTEXT(Overig!T381),Overig!T381,10*Overig!T381),""",""????0;"",""???-0;"",""????0;"", ////"""),"'","""")&amp;SUBSTITUTE(TEXT(Overig!U381,""",""?00;"",""?-00;"",""?00;"", //"""),"'","""")&amp;SUBSTITUTE(TEXT(Overig!V381,""",""???0;"",""??-0;"",""???0;"", ///"""),"'","""")&amp;SUBSTITUTE(TEXT(Overig!W381,""",""?00;"",""?-00;"",""?00;"", //"""),"'","""")</f>
        <v>032, 19400404, 24.00, ////, 07, ////, 07,  283, 00,  307, 00, ///, 07, ////, 07, ////, 07, ////, 07, ////, 07, ///, 07</v>
      </c>
    </row>
    <row r="382" spans="1:1" x14ac:dyDescent="0.25">
      <c r="A382" s="12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//"""),"'","""")&amp;SUBSTITUTE(TEXT(IF(ISTEXT(Overig!J382),Overig!J382,10*Overig!J382),""",""????0;"",""???-0;"",""????0;"", ////"""),"'","""")&amp;SUBSTITUTE(TEXT(Overig!K382,""",""?00;"",""?-00;"",""?00;"", //"""),"'","""")&amp;SUBSTITUTE(TEXT(Overig!L382,""",""???0;"",""??-0;"",""???0;"", ///"""),"'","""")&amp;SUBSTITUTE(TEXT(Overig!M382,""",""?00;"",""?-00;"",""?00;"", //"""),"'","""")&amp;SUBSTITUTE(TEXT(IF(ISTEXT(Overig!N382),Overig!N382,10*Overig!N382),""",""????0;"",""???-0;"",""????0;"", ////"""),"'","""")&amp;SUBSTITUTE(TEXT(Overig!O382,""",""?00;"",""?-00;"",""?00;"", //"""),"'","""")&amp;SUBSTITUTE(TEXT(IF(ISTEXT(Overig!P382),Overig!P382,10*Overig!P382),""",""????0;"",""???-0;"",""????0;"", ////"""),"'","""")&amp;SUBSTITUTE(TEXT(Overig!Q382,""",""?00;"",""?-00;"",""?00;"", //"""),"'","""")&amp;SUBSTITUTE(TEXT(Overig!R382,""",""????0;"",""???-0;"",""????0;"", ////"""),"'","""")&amp;SUBSTITUTE(TEXT(Overig!S382,""",""?00;"",""?-00;"",""?00;"", //"""),"'","""")&amp;SUBSTITUTE(TEXT(IF(ISTEXT(Overig!T382),Overig!T382,10*Overig!T382),""",""????0;"",""???-0;"",""????0;"", ////"""),"'","""")&amp;SUBSTITUTE(TEXT(Overig!U382,""",""?00;"",""?-00;"",""?00;"", //"""),"'","""")&amp;SUBSTITUTE(TEXT(Overig!V382,""",""???0;"",""??-0;"",""???0;"", ///"""),"'","""")&amp;SUBSTITUTE(TEXT(Overig!W382,""",""?00;"",""?-00;"",""?00;"", //"""),"'","""")</f>
        <v>032, 19400405, 07.00, 7597, 00,  265, 00, ////, 07, ////, 07,  77, 00,  200, 00,  234, 00,   65, 00,    6, 00,   3, 00</v>
      </c>
    </row>
    <row r="383" spans="1:1" x14ac:dyDescent="0.25">
      <c r="A383" s="12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//"""),"'","""")&amp;SUBSTITUTE(TEXT(IF(ISTEXT(Overig!J383),Overig!J383,10*Overig!J383),""",""????0;"",""???-0;"",""????0;"", ////"""),"'","""")&amp;SUBSTITUTE(TEXT(Overig!K383,""",""?00;"",""?-00;"",""?00;"", //"""),"'","""")&amp;SUBSTITUTE(TEXT(Overig!L383,""",""???0;"",""??-0;"",""???0;"", ///"""),"'","""")&amp;SUBSTITUTE(TEXT(Overig!M383,""",""?00;"",""?-00;"",""?00;"", //"""),"'","""")&amp;SUBSTITUTE(TEXT(IF(ISTEXT(Overig!N383),Overig!N383,10*Overig!N383),""",""????0;"",""???-0;"",""????0;"", ////"""),"'","""")&amp;SUBSTITUTE(TEXT(Overig!O383,""",""?00;"",""?-00;"",""?00;"", //"""),"'","""")&amp;SUBSTITUTE(TEXT(IF(ISTEXT(Overig!P383),Overig!P383,10*Overig!P383),""",""????0;"",""???-0;"",""????0;"", ////"""),"'","""")&amp;SUBSTITUTE(TEXT(Overig!Q383,""",""?00;"",""?-00;"",""?00;"", //"""),"'","""")&amp;SUBSTITUTE(TEXT(Overig!R383,""",""????0;"",""???-0;"",""????0;"", ////"""),"'","""")&amp;SUBSTITUTE(TEXT(Overig!S383,""",""?00;"",""?-00;"",""?00;"", //"""),"'","""")&amp;SUBSTITUTE(TEXT(IF(ISTEXT(Overig!T383),Overig!T383,10*Overig!T383),""",""????0;"",""???-0;"",""????0;"", ////"""),"'","""")&amp;SUBSTITUTE(TEXT(Overig!U383,""",""?00;"",""?-00;"",""?00;"", //"""),"'","""")&amp;SUBSTITUTE(TEXT(Overig!V383,""",""???0;"",""??-0;"",""???0;"", ///"""),"'","""")&amp;SUBSTITUTE(TEXT(Overig!W383,""",""?00;"",""?-00;"",""?00;"", //"""),"'","""")</f>
        <v>032, 19400405, 12.00, 7618, 00,  289, 00, ////, 07, ////, 07,  67, 00,  199, 00,  240, 00,   65, 00,    7, 00,   2, 00</v>
      </c>
    </row>
    <row r="384" spans="1:1" x14ac:dyDescent="0.25">
      <c r="A384" s="12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//"""),"'","""")&amp;SUBSTITUTE(TEXT(IF(ISTEXT(Overig!J384),Overig!J384,10*Overig!J384),""",""????0;"",""???-0;"",""????0;"", ////"""),"'","""")&amp;SUBSTITUTE(TEXT(Overig!K384,""",""?00;"",""?-00;"",""?00;"", //"""),"'","""")&amp;SUBSTITUTE(TEXT(Overig!L384,""",""???0;"",""??-0;"",""???0;"", ///"""),"'","""")&amp;SUBSTITUTE(TEXT(Overig!M384,""",""?00;"",""?-00;"",""?00;"", //"""),"'","""")&amp;SUBSTITUTE(TEXT(IF(ISTEXT(Overig!N384),Overig!N384,10*Overig!N384),""",""????0;"",""???-0;"",""????0;"", ////"""),"'","""")&amp;SUBSTITUTE(TEXT(Overig!O384,""",""?00;"",""?-00;"",""?00;"", //"""),"'","""")&amp;SUBSTITUTE(TEXT(IF(ISTEXT(Overig!P384),Overig!P384,10*Overig!P384),""",""????0;"",""???-0;"",""????0;"", ////"""),"'","""")&amp;SUBSTITUTE(TEXT(Overig!Q384,""",""?00;"",""?-00;"",""?00;"", //"""),"'","""")&amp;SUBSTITUTE(TEXT(Overig!R384,""",""????0;"",""???-0;"",""????0;"", ////"""),"'","""")&amp;SUBSTITUTE(TEXT(Overig!S384,""",""?00;"",""?-00;"",""?00;"", //"""),"'","""")&amp;SUBSTITUTE(TEXT(IF(ISTEXT(Overig!T384),Overig!T384,10*Overig!T384),""",""????0;"",""???-0;"",""????0;"", ////"""),"'","""")&amp;SUBSTITUTE(TEXT(Overig!U384,""",""?00;"",""?-00;"",""?00;"", //"""),"'","""")&amp;SUBSTITUTE(TEXT(Overig!V384,""",""???0;"",""??-0;"",""???0;"", ///"""),"'","""")&amp;SUBSTITUTE(TEXT(Overig!W384,""",""?00;"",""?-00;"",""?00;"", //"""),"'","""")</f>
        <v>032, 19400405, 17.00, 7618, 00,  274, 00, ////, 07, ////, 07,  74, 00,  203, 00,  238, 00,   45, 00,    7, 00,   2, 00</v>
      </c>
    </row>
    <row r="385" spans="1:1" x14ac:dyDescent="0.25">
      <c r="A385" s="12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//"""),"'","""")&amp;SUBSTITUTE(TEXT(IF(ISTEXT(Overig!J385),Overig!J385,10*Overig!J385),""",""????0;"",""???-0;"",""????0;"", ////"""),"'","""")&amp;SUBSTITUTE(TEXT(Overig!K385,""",""?00;"",""?-00;"",""?00;"", //"""),"'","""")&amp;SUBSTITUTE(TEXT(Overig!L385,""",""???0;"",""??-0;"",""???0;"", ///"""),"'","""")&amp;SUBSTITUTE(TEXT(Overig!M385,""",""?00;"",""?-00;"",""?00;"", //"""),"'","""")&amp;SUBSTITUTE(TEXT(IF(ISTEXT(Overig!N385),Overig!N385,10*Overig!N385),""",""????0;"",""???-0;"",""????0;"", ////"""),"'","""")&amp;SUBSTITUTE(TEXT(Overig!O385,""",""?00;"",""?-00;"",""?00;"", //"""),"'","""")&amp;SUBSTITUTE(TEXT(IF(ISTEXT(Overig!P385),Overig!P385,10*Overig!P385),""",""????0;"",""???-0;"",""????0;"", ////"""),"'","""")&amp;SUBSTITUTE(TEXT(Overig!Q385,""",""?00;"",""?-00;"",""?00;"", //"""),"'","""")&amp;SUBSTITUTE(TEXT(Overig!R385,""",""????0;"",""???-0;"",""????0;"", ////"""),"'","""")&amp;SUBSTITUTE(TEXT(Overig!S385,""",""?00;"",""?-00;"",""?00;"", //"""),"'","""")&amp;SUBSTITUTE(TEXT(IF(ISTEXT(Overig!T385),Overig!T385,10*Overig!T385),""",""????0;"",""???-0;"",""????0;"", ////"""),"'","""")&amp;SUBSTITUTE(TEXT(Overig!U385,""",""?00;"",""?-00;"",""?00;"", //"""),"'","""")&amp;SUBSTITUTE(TEXT(Overig!V385,""",""???0;"",""??-0;"",""???0;"", ///"""),"'","""")&amp;SUBSTITUTE(TEXT(Overig!W385,""",""?00;"",""?-00;"",""?00;"", //"""),"'","""")</f>
        <v>032, 19400405, 24.00, ////, 07, ////, 07,  265, 00,  310, 00, ///, 07, ////, 07, ////, 07, ////, 07, ////, 07, ///, 07</v>
      </c>
    </row>
    <row r="386" spans="1:1" x14ac:dyDescent="0.25">
      <c r="A386" s="12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//"""),"'","""")&amp;SUBSTITUTE(TEXT(IF(ISTEXT(Overig!J386),Overig!J386,10*Overig!J386),""",""????0;"",""???-0;"",""????0;"", ////"""),"'","""")&amp;SUBSTITUTE(TEXT(Overig!K386,""",""?00;"",""?-00;"",""?00;"", //"""),"'","""")&amp;SUBSTITUTE(TEXT(Overig!L386,""",""???0;"",""??-0;"",""???0;"", ///"""),"'","""")&amp;SUBSTITUTE(TEXT(Overig!M386,""",""?00;"",""?-00;"",""?00;"", //"""),"'","""")&amp;SUBSTITUTE(TEXT(IF(ISTEXT(Overig!N386),Overig!N386,10*Overig!N386),""",""????0;"",""???-0;"",""????0;"", ////"""),"'","""")&amp;SUBSTITUTE(TEXT(Overig!O386,""",""?00;"",""?-00;"",""?00;"", //"""),"'","""")&amp;SUBSTITUTE(TEXT(IF(ISTEXT(Overig!P386),Overig!P386,10*Overig!P386),""",""????0;"",""???-0;"",""????0;"", ////"""),"'","""")&amp;SUBSTITUTE(TEXT(Overig!Q386,""",""?00;"",""?-00;"",""?00;"", //"""),"'","""")&amp;SUBSTITUTE(TEXT(Overig!R386,""",""????0;"",""???-0;"",""????0;"", ////"""),"'","""")&amp;SUBSTITUTE(TEXT(Overig!S386,""",""?00;"",""?-00;"",""?00;"", //"""),"'","""")&amp;SUBSTITUTE(TEXT(IF(ISTEXT(Overig!T386),Overig!T386,10*Overig!T386),""",""????0;"",""???-0;"",""????0;"", ////"""),"'","""")&amp;SUBSTITUTE(TEXT(Overig!U386,""",""?00;"",""?-00;"",""?00;"", //"""),"'","""")&amp;SUBSTITUTE(TEXT(Overig!V386,""",""???0;"",""??-0;"",""???0;"", ///"""),"'","""")&amp;SUBSTITUTE(TEXT(Overig!W386,""",""?00;"",""?-00;"",""?00;"", //"""),"'","""")</f>
        <v>032, 19400406, 07.00, 7585, 00,  263, 00, ////, 07, ////, 07,  77, 00,  198, 00,  232, 00,   65, 00,    6, 00,   2, 00</v>
      </c>
    </row>
    <row r="387" spans="1:1" x14ac:dyDescent="0.25">
      <c r="A387" s="12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//"""),"'","""")&amp;SUBSTITUTE(TEXT(IF(ISTEXT(Overig!J387),Overig!J387,10*Overig!J387),""",""????0;"",""???-0;"",""????0;"", ////"""),"'","""")&amp;SUBSTITUTE(TEXT(Overig!K387,""",""?00;"",""?-00;"",""?00;"", //"""),"'","""")&amp;SUBSTITUTE(TEXT(Overig!L387,""",""???0;"",""??-0;"",""???0;"", ///"""),"'","""")&amp;SUBSTITUTE(TEXT(Overig!M387,""",""?00;"",""?-00;"",""?00;"", //"""),"'","""")&amp;SUBSTITUTE(TEXT(IF(ISTEXT(Overig!N387),Overig!N387,10*Overig!N387),""",""????0;"",""???-0;"",""????0;"", ////"""),"'","""")&amp;SUBSTITUTE(TEXT(Overig!O387,""",""?00;"",""?-00;"",""?00;"", //"""),"'","""")&amp;SUBSTITUTE(TEXT(IF(ISTEXT(Overig!P387),Overig!P387,10*Overig!P387),""",""????0;"",""???-0;"",""????0;"", ////"""),"'","""")&amp;SUBSTITUTE(TEXT(Overig!Q387,""",""?00;"",""?-00;"",""?00;"", //"""),"'","""")&amp;SUBSTITUTE(TEXT(Overig!R387,""",""????0;"",""???-0;"",""????0;"", ////"""),"'","""")&amp;SUBSTITUTE(TEXT(Overig!S387,""",""?00;"",""?-00;"",""?00;"", //"""),"'","""")&amp;SUBSTITUTE(TEXT(IF(ISTEXT(Overig!T387),Overig!T387,10*Overig!T387),""",""????0;"",""???-0;"",""????0;"", ////"""),"'","""")&amp;SUBSTITUTE(TEXT(Overig!U387,""",""?00;"",""?-00;"",""?00;"", //"""),"'","""")&amp;SUBSTITUTE(TEXT(Overig!V387,""",""???0;"",""??-0;"",""???0;"", ///"""),"'","""")&amp;SUBSTITUTE(TEXT(Overig!W387,""",""?00;"",""?-00;"",""?00;"", //"""),"'","""")</f>
        <v>032, 19400406, 12.00, 7605, 00,  289, 00, ////, 07, ////, 07,  65, 00,  196, 00,  238, 00,   65, 00,    7, 00,   1, 00</v>
      </c>
    </row>
    <row r="388" spans="1:1" x14ac:dyDescent="0.25">
      <c r="A388" s="12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//"""),"'","""")&amp;SUBSTITUTE(TEXT(IF(ISTEXT(Overig!J388),Overig!J388,10*Overig!J388),""",""????0;"",""???-0;"",""????0;"", ////"""),"'","""")&amp;SUBSTITUTE(TEXT(Overig!K388,""",""?00;"",""?-00;"",""?00;"", //"""),"'","""")&amp;SUBSTITUTE(TEXT(Overig!L388,""",""???0;"",""??-0;"",""???0;"", ///"""),"'","""")&amp;SUBSTITUTE(TEXT(Overig!M388,""",""?00;"",""?-00;"",""?00;"", //"""),"'","""")&amp;SUBSTITUTE(TEXT(IF(ISTEXT(Overig!N388),Overig!N388,10*Overig!N388),""",""????0;"",""???-0;"",""????0;"", ////"""),"'","""")&amp;SUBSTITUTE(TEXT(Overig!O388,""",""?00;"",""?-00;"",""?00;"", //"""),"'","""")&amp;SUBSTITUTE(TEXT(IF(ISTEXT(Overig!P388),Overig!P388,10*Overig!P388),""",""????0;"",""???-0;"",""????0;"", ////"""),"'","""")&amp;SUBSTITUTE(TEXT(Overig!Q388,""",""?00;"",""?-00;"",""?00;"", //"""),"'","""")&amp;SUBSTITUTE(TEXT(Overig!R388,""",""????0;"",""???-0;"",""????0;"", ////"""),"'","""")&amp;SUBSTITUTE(TEXT(Overig!S388,""",""?00;"",""?-00;"",""?00;"", //"""),"'","""")&amp;SUBSTITUTE(TEXT(IF(ISTEXT(Overig!T388),Overig!T388,10*Overig!T388),""",""????0;"",""???-0;"",""????0;"", ////"""),"'","""")&amp;SUBSTITUTE(TEXT(Overig!U388,""",""?00;"",""?-00;"",""?00;"", //"""),"'","""")&amp;SUBSTITUTE(TEXT(Overig!V388,""",""???0;"",""??-0;"",""???0;"", ///"""),"'","""")&amp;SUBSTITUTE(TEXT(Overig!W388,""",""?00;"",""?-00;"",""?00;"", //"""),"'","""")</f>
        <v>032, 19400406, 17.00, 7607, 00,  274, 00, ////, 07, ////, 07,  71, 00,  196, 00,  234, 00,   65, 00,    7, 00,   3, 00</v>
      </c>
    </row>
    <row r="389" spans="1:1" x14ac:dyDescent="0.25">
      <c r="A389" s="12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//"""),"'","""")&amp;SUBSTITUTE(TEXT(IF(ISTEXT(Overig!J389),Overig!J389,10*Overig!J389),""",""????0;"",""???-0;"",""????0;"", ////"""),"'","""")&amp;SUBSTITUTE(TEXT(Overig!K389,""",""?00;"",""?-00;"",""?00;"", //"""),"'","""")&amp;SUBSTITUTE(TEXT(Overig!L389,""",""???0;"",""??-0;"",""???0;"", ///"""),"'","""")&amp;SUBSTITUTE(TEXT(Overig!M389,""",""?00;"",""?-00;"",""?00;"", //"""),"'","""")&amp;SUBSTITUTE(TEXT(IF(ISTEXT(Overig!N389),Overig!N389,10*Overig!N389),""",""????0;"",""???-0;"",""????0;"", ////"""),"'","""")&amp;SUBSTITUTE(TEXT(Overig!O389,""",""?00;"",""?-00;"",""?00;"", //"""),"'","""")&amp;SUBSTITUTE(TEXT(IF(ISTEXT(Overig!P389),Overig!P389,10*Overig!P389),""",""????0;"",""???-0;"",""????0;"", ////"""),"'","""")&amp;SUBSTITUTE(TEXT(Overig!Q389,""",""?00;"",""?-00;"",""?00;"", //"""),"'","""")&amp;SUBSTITUTE(TEXT(Overig!R389,""",""????0;"",""???-0;"",""????0;"", ////"""),"'","""")&amp;SUBSTITUTE(TEXT(Overig!S389,""",""?00;"",""?-00;"",""?00;"", //"""),"'","""")&amp;SUBSTITUTE(TEXT(IF(ISTEXT(Overig!T389),Overig!T389,10*Overig!T389),""",""????0;"",""???-0;"",""????0;"", ////"""),"'","""")&amp;SUBSTITUTE(TEXT(Overig!U389,""",""?00;"",""?-00;"",""?00;"", //"""),"'","""")&amp;SUBSTITUTE(TEXT(Overig!V389,""",""???0;"",""??-0;"",""???0;"", ///"""),"'","""")&amp;SUBSTITUTE(TEXT(Overig!W389,""",""?00;"",""?-00;"",""?00;"", //"""),"'","""")</f>
        <v>032, 19400406, 24.00, ////, 07, ////, 07,  272, 00,  304, 00, ///, 07, ////, 07, ////, 07, ////, 07, ////, 07, ///, 07</v>
      </c>
    </row>
    <row r="390" spans="1:1" x14ac:dyDescent="0.25">
      <c r="A390" s="12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//"""),"'","""")&amp;SUBSTITUTE(TEXT(IF(ISTEXT(Overig!J390),Overig!J390,10*Overig!J390),""",""????0;"",""???-0;"",""????0;"", ////"""),"'","""")&amp;SUBSTITUTE(TEXT(Overig!K390,""",""?00;"",""?-00;"",""?00;"", //"""),"'","""")&amp;SUBSTITUTE(TEXT(Overig!L390,""",""???0;"",""??-0;"",""???0;"", ///"""),"'","""")&amp;SUBSTITUTE(TEXT(Overig!M390,""",""?00;"",""?-00;"",""?00;"", //"""),"'","""")&amp;SUBSTITUTE(TEXT(IF(ISTEXT(Overig!N390),Overig!N390,10*Overig!N390),""",""????0;"",""???-0;"",""????0;"", ////"""),"'","""")&amp;SUBSTITUTE(TEXT(Overig!O390,""",""?00;"",""?-00;"",""?00;"", //"""),"'","""")&amp;SUBSTITUTE(TEXT(IF(ISTEXT(Overig!P390),Overig!P390,10*Overig!P390),""",""????0;"",""???-0;"",""????0;"", ////"""),"'","""")&amp;SUBSTITUTE(TEXT(Overig!Q390,""",""?00;"",""?-00;"",""?00;"", //"""),"'","""")&amp;SUBSTITUTE(TEXT(Overig!R390,""",""????0;"",""???-0;"",""????0;"", ////"""),"'","""")&amp;SUBSTITUTE(TEXT(Overig!S390,""",""?00;"",""?-00;"",""?00;"", //"""),"'","""")&amp;SUBSTITUTE(TEXT(IF(ISTEXT(Overig!T390),Overig!T390,10*Overig!T390),""",""????0;"",""???-0;"",""????0;"", ////"""),"'","""")&amp;SUBSTITUTE(TEXT(Overig!U390,""",""?00;"",""?-00;"",""?00;"", //"""),"'","""")&amp;SUBSTITUTE(TEXT(Overig!V390,""",""???0;"",""??-0;"",""???0;"", ///"""),"'","""")&amp;SUBSTITUTE(TEXT(Overig!W390,""",""?00;"",""?-00;"",""?00;"", //"""),"'","""")</f>
        <v>032, 19400407, 07.00, 7585, 00,  263, 00, ////, 07, ////, 07,  77, 00,  198, 00,  232, 00,   65, 00,    5, 00,   3, 00</v>
      </c>
    </row>
    <row r="391" spans="1:1" x14ac:dyDescent="0.25">
      <c r="A391" s="12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//"""),"'","""")&amp;SUBSTITUTE(TEXT(IF(ISTEXT(Overig!J391),Overig!J391,10*Overig!J391),""",""????0;"",""???-0;"",""????0;"", ////"""),"'","""")&amp;SUBSTITUTE(TEXT(Overig!K391,""",""?00;"",""?-00;"",""?00;"", //"""),"'","""")&amp;SUBSTITUTE(TEXT(Overig!L391,""",""???0;"",""??-0;"",""???0;"", ///"""),"'","""")&amp;SUBSTITUTE(TEXT(Overig!M391,""",""?00;"",""?-00;"",""?00;"", //"""),"'","""")&amp;SUBSTITUTE(TEXT(IF(ISTEXT(Overig!N391),Overig!N391,10*Overig!N391),""",""????0;"",""???-0;"",""????0;"", ////"""),"'","""")&amp;SUBSTITUTE(TEXT(Overig!O391,""",""?00;"",""?-00;"",""?00;"", //"""),"'","""")&amp;SUBSTITUTE(TEXT(IF(ISTEXT(Overig!P391),Overig!P391,10*Overig!P391),""",""????0;"",""???-0;"",""????0;"", ////"""),"'","""")&amp;SUBSTITUTE(TEXT(Overig!Q391,""",""?00;"",""?-00;"",""?00;"", //"""),"'","""")&amp;SUBSTITUTE(TEXT(Overig!R391,""",""????0;"",""???-0;"",""????0;"", ////"""),"'","""")&amp;SUBSTITUTE(TEXT(Overig!S391,""",""?00;"",""?-00;"",""?00;"", //"""),"'","""")&amp;SUBSTITUTE(TEXT(IF(ISTEXT(Overig!T391),Overig!T391,10*Overig!T391),""",""????0;"",""???-0;"",""????0;"", ////"""),"'","""")&amp;SUBSTITUTE(TEXT(Overig!U391,""",""?00;"",""?-00;"",""?00;"", //"""),"'","""")&amp;SUBSTITUTE(TEXT(Overig!V391,""",""???0;"",""??-0;"",""???0;"", ///"""),"'","""")&amp;SUBSTITUTE(TEXT(Overig!W391,""",""?00;"",""?-00;"",""?00;"", //"""),"'","""")</f>
        <v>032, 19400407, 12.00, 7610, 00,  287, 00, ////, 07, ////, 07,  68, 00,  200, 00,  240, 00,   65, 00,    7, 00,   3, 00</v>
      </c>
    </row>
    <row r="392" spans="1:1" x14ac:dyDescent="0.25">
      <c r="A392" s="12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//"""),"'","""")&amp;SUBSTITUTE(TEXT(IF(ISTEXT(Overig!J392),Overig!J392,10*Overig!J392),""",""????0;"",""???-0;"",""????0;"", ////"""),"'","""")&amp;SUBSTITUTE(TEXT(Overig!K392,""",""?00;"",""?-00;"",""?00;"", //"""),"'","""")&amp;SUBSTITUTE(TEXT(Overig!L392,""",""???0;"",""??-0;"",""???0;"", ///"""),"'","""")&amp;SUBSTITUTE(TEXT(Overig!M392,""",""?00;"",""?-00;"",""?00;"", //"""),"'","""")&amp;SUBSTITUTE(TEXT(IF(ISTEXT(Overig!N392),Overig!N392,10*Overig!N392),""",""????0;"",""???-0;"",""????0;"", ////"""),"'","""")&amp;SUBSTITUTE(TEXT(Overig!O392,""",""?00;"",""?-00;"",""?00;"", //"""),"'","""")&amp;SUBSTITUTE(TEXT(IF(ISTEXT(Overig!P392),Overig!P392,10*Overig!P392),""",""????0;"",""???-0;"",""????0;"", ////"""),"'","""")&amp;SUBSTITUTE(TEXT(Overig!Q392,""",""?00;"",""?-00;"",""?00;"", //"""),"'","""")&amp;SUBSTITUTE(TEXT(Overig!R392,""",""????0;"",""???-0;"",""????0;"", ////"""),"'","""")&amp;SUBSTITUTE(TEXT(Overig!S392,""",""?00;"",""?-00;"",""?00;"", //"""),"'","""")&amp;SUBSTITUTE(TEXT(IF(ISTEXT(Overig!T392),Overig!T392,10*Overig!T392),""",""????0;"",""???-0;"",""????0;"", ////"""),"'","""")&amp;SUBSTITUTE(TEXT(Overig!U392,""",""?00;"",""?-00;"",""?00;"", //"""),"'","""")&amp;SUBSTITUTE(TEXT(Overig!V392,""",""???0;"",""??-0;"",""???0;"", ///"""),"'","""")&amp;SUBSTITUTE(TEXT(Overig!W392,""",""?00;"",""?-00;"",""?00;"", //"""),"'","""")</f>
        <v>032, 19400407, 17.00, 7607, 00,  274, 00, ////, 07, ////, 07,  74, 00,  203, 00,  238, 00,   45, 00,    6, 00,   4, 00</v>
      </c>
    </row>
    <row r="393" spans="1:1" x14ac:dyDescent="0.25">
      <c r="A393" s="12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//"""),"'","""")&amp;SUBSTITUTE(TEXT(IF(ISTEXT(Overig!J393),Overig!J393,10*Overig!J393),""",""????0;"",""???-0;"",""????0;"", ////"""),"'","""")&amp;SUBSTITUTE(TEXT(Overig!K393,""",""?00;"",""?-00;"",""?00;"", //"""),"'","""")&amp;SUBSTITUTE(TEXT(Overig!L393,""",""???0;"",""??-0;"",""???0;"", ///"""),"'","""")&amp;SUBSTITUTE(TEXT(Overig!M393,""",""?00;"",""?-00;"",""?00;"", //"""),"'","""")&amp;SUBSTITUTE(TEXT(IF(ISTEXT(Overig!N393),Overig!N393,10*Overig!N393),""",""????0;"",""???-0;"",""????0;"", ////"""),"'","""")&amp;SUBSTITUTE(TEXT(Overig!O393,""",""?00;"",""?-00;"",""?00;"", //"""),"'","""")&amp;SUBSTITUTE(TEXT(IF(ISTEXT(Overig!P393),Overig!P393,10*Overig!P393),""",""????0;"",""???-0;"",""????0;"", ////"""),"'","""")&amp;SUBSTITUTE(TEXT(Overig!Q393,""",""?00;"",""?-00;"",""?00;"", //"""),"'","""")&amp;SUBSTITUTE(TEXT(Overig!R393,""",""????0;"",""???-0;"",""????0;"", ////"""),"'","""")&amp;SUBSTITUTE(TEXT(Overig!S393,""",""?00;"",""?-00;"",""?00;"", //"""),"'","""")&amp;SUBSTITUTE(TEXT(IF(ISTEXT(Overig!T393),Overig!T393,10*Overig!T393),""",""????0;"",""???-0;"",""????0;"", ////"""),"'","""")&amp;SUBSTITUTE(TEXT(Overig!U393,""",""?00;"",""?-00;"",""?00;"", //"""),"'","""")&amp;SUBSTITUTE(TEXT(Overig!V393,""",""???0;"",""??-0;"",""???0;"", ///"""),"'","""")&amp;SUBSTITUTE(TEXT(Overig!W393,""",""?00;"",""?-00;"",""?00;"", //"""),"'","""")</f>
        <v>032, 19400407, 24.00, ////, 07, ////, 07,  270, 00,  304, 00, ///, 07, ////, 07, ////, 07, ////, 07, ////, 07, ///, 07</v>
      </c>
    </row>
    <row r="394" spans="1:1" x14ac:dyDescent="0.25">
      <c r="A394" s="12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//"""),"'","""")&amp;SUBSTITUTE(TEXT(IF(ISTEXT(Overig!J394),Overig!J394,10*Overig!J394),""",""????0;"",""???-0;"",""????0;"", ////"""),"'","""")&amp;SUBSTITUTE(TEXT(Overig!K394,""",""?00;"",""?-00;"",""?00;"", //"""),"'","""")&amp;SUBSTITUTE(TEXT(Overig!L394,""",""???0;"",""??-0;"",""???0;"", ///"""),"'","""")&amp;SUBSTITUTE(TEXT(Overig!M394,""",""?00;"",""?-00;"",""?00;"", //"""),"'","""")&amp;SUBSTITUTE(TEXT(IF(ISTEXT(Overig!N394),Overig!N394,10*Overig!N394),""",""????0;"",""???-0;"",""????0;"", ////"""),"'","""")&amp;SUBSTITUTE(TEXT(Overig!O394,""",""?00;"",""?-00;"",""?00;"", //"""),"'","""")&amp;SUBSTITUTE(TEXT(IF(ISTEXT(Overig!P394),Overig!P394,10*Overig!P394),""",""????0;"",""???-0;"",""????0;"", ////"""),"'","""")&amp;SUBSTITUTE(TEXT(Overig!Q394,""",""?00;"",""?-00;"",""?00;"", //"""),"'","""")&amp;SUBSTITUTE(TEXT(Overig!R394,""",""????0;"",""???-0;"",""????0;"", ////"""),"'","""")&amp;SUBSTITUTE(TEXT(Overig!S394,""",""?00;"",""?-00;"",""?00;"", //"""),"'","""")&amp;SUBSTITUTE(TEXT(IF(ISTEXT(Overig!T394),Overig!T394,10*Overig!T394),""",""????0;"",""???-0;"",""????0;"", ////"""),"'","""")&amp;SUBSTITUTE(TEXT(Overig!U394,""",""?00;"",""?-00;"",""?00;"", //"""),"'","""")&amp;SUBSTITUTE(TEXT(Overig!V394,""",""???0;"",""??-0;"",""???0;"", ///"""),"'","""")&amp;SUBSTITUTE(TEXT(Overig!W394,""",""?00;"",""?-00;"",""?00;"", //"""),"'","""")</f>
        <v>032, 19400408, 07.00, 7600, 00,  262, 00, ////, 07, ////, 07,  80, 00,  205, 00,  236, 00,   65, 00,    5, 00,   3, 00</v>
      </c>
    </row>
    <row r="395" spans="1:1" x14ac:dyDescent="0.25">
      <c r="A395" s="12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//"""),"'","""")&amp;SUBSTITUTE(TEXT(IF(ISTEXT(Overig!J395),Overig!J395,10*Overig!J395),""",""????0;"",""???-0;"",""????0;"", ////"""),"'","""")&amp;SUBSTITUTE(TEXT(Overig!K395,""",""?00;"",""?-00;"",""?00;"", //"""),"'","""")&amp;SUBSTITUTE(TEXT(Overig!L395,""",""???0;"",""??-0;"",""???0;"", ///"""),"'","""")&amp;SUBSTITUTE(TEXT(Overig!M395,""",""?00;"",""?-00;"",""?00;"", //"""),"'","""")&amp;SUBSTITUTE(TEXT(IF(ISTEXT(Overig!N395),Overig!N395,10*Overig!N395),""",""????0;"",""???-0;"",""????0;"", ////"""),"'","""")&amp;SUBSTITUTE(TEXT(Overig!O395,""",""?00;"",""?-00;"",""?00;"", //"""),"'","""")&amp;SUBSTITUTE(TEXT(IF(ISTEXT(Overig!P395),Overig!P395,10*Overig!P395),""",""????0;"",""???-0;"",""????0;"", ////"""),"'","""")&amp;SUBSTITUTE(TEXT(Overig!Q395,""",""?00;"",""?-00;"",""?00;"", //"""),"'","""")&amp;SUBSTITUTE(TEXT(Overig!R395,""",""????0;"",""???-0;"",""????0;"", ////"""),"'","""")&amp;SUBSTITUTE(TEXT(Overig!S395,""",""?00;"",""?-00;"",""?00;"", //"""),"'","""")&amp;SUBSTITUTE(TEXT(IF(ISTEXT(Overig!T395),Overig!T395,10*Overig!T395),""",""????0;"",""???-0;"",""????0;"", ////"""),"'","""")&amp;SUBSTITUTE(TEXT(Overig!U395,""",""?00;"",""?-00;"",""?00;"", //"""),"'","""")&amp;SUBSTITUTE(TEXT(Overig!V395,""",""???0;"",""??-0;"",""???0;"", ///"""),"'","""")&amp;SUBSTITUTE(TEXT(Overig!W395,""",""?00;"",""?-00;"",""?00;"", //"""),"'","""")</f>
        <v>032, 19400408, 12.00, 7595, 00,  281, 00, ////, 07, ////, 07,  70, 00,  200, 00,  238, 00,   65, 00,    6, 00,   2, 00</v>
      </c>
    </row>
    <row r="396" spans="1:1" x14ac:dyDescent="0.25">
      <c r="A396" s="12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//"""),"'","""")&amp;SUBSTITUTE(TEXT(IF(ISTEXT(Overig!J396),Overig!J396,10*Overig!J396),""",""????0;"",""???-0;"",""????0;"", ////"""),"'","""")&amp;SUBSTITUTE(TEXT(Overig!K396,""",""?00;"",""?-00;"",""?00;"", //"""),"'","""")&amp;SUBSTITUTE(TEXT(Overig!L396,""",""???0;"",""??-0;"",""???0;"", ///"""),"'","""")&amp;SUBSTITUTE(TEXT(Overig!M396,""",""?00;"",""?-00;"",""?00;"", //"""),"'","""")&amp;SUBSTITUTE(TEXT(IF(ISTEXT(Overig!N396),Overig!N396,10*Overig!N396),""",""????0;"",""???-0;"",""????0;"", ////"""),"'","""")&amp;SUBSTITUTE(TEXT(Overig!O396,""",""?00;"",""?-00;"",""?00;"", //"""),"'","""")&amp;SUBSTITUTE(TEXT(IF(ISTEXT(Overig!P396),Overig!P396,10*Overig!P396),""",""????0;"",""???-0;"",""????0;"", ////"""),"'","""")&amp;SUBSTITUTE(TEXT(Overig!Q396,""",""?00;"",""?-00;"",""?00;"", //"""),"'","""")&amp;SUBSTITUTE(TEXT(Overig!R396,""",""????0;"",""???-0;"",""????0;"", ////"""),"'","""")&amp;SUBSTITUTE(TEXT(Overig!S396,""",""?00;"",""?-00;"",""?00;"", //"""),"'","""")&amp;SUBSTITUTE(TEXT(IF(ISTEXT(Overig!T396),Overig!T396,10*Overig!T396),""",""????0;"",""???-0;"",""????0;"", ////"""),"'","""")&amp;SUBSTITUTE(TEXT(Overig!U396,""",""?00;"",""?-00;"",""?00;"", //"""),"'","""")&amp;SUBSTITUTE(TEXT(Overig!V396,""",""???0;"",""??-0;"",""???0;"", ///"""),"'","""")&amp;SUBSTITUTE(TEXT(Overig!W396,""",""?00;"",""?-00;"",""?00;"", //"""),"'","""")</f>
        <v>032, 19400408, 17.00, 7592, 00,  269, 00, ////, 07, ////, 07,  74, 00,  198, 00,  234, 00,   65, 00,    6, 00,   2, 00</v>
      </c>
    </row>
    <row r="397" spans="1:1" x14ac:dyDescent="0.25">
      <c r="A397" s="12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//"""),"'","""")&amp;SUBSTITUTE(TEXT(IF(ISTEXT(Overig!J397),Overig!J397,10*Overig!J397),""",""????0;"",""???-0;"",""????0;"", ////"""),"'","""")&amp;SUBSTITUTE(TEXT(Overig!K397,""",""?00;"",""?-00;"",""?00;"", //"""),"'","""")&amp;SUBSTITUTE(TEXT(Overig!L397,""",""???0;"",""??-0;"",""???0;"", ///"""),"'","""")&amp;SUBSTITUTE(TEXT(Overig!M397,""",""?00;"",""?-00;"",""?00;"", //"""),"'","""")&amp;SUBSTITUTE(TEXT(IF(ISTEXT(Overig!N397),Overig!N397,10*Overig!N397),""",""????0;"",""???-0;"",""????0;"", ////"""),"'","""")&amp;SUBSTITUTE(TEXT(Overig!O397,""",""?00;"",""?-00;"",""?00;"", //"""),"'","""")&amp;SUBSTITUTE(TEXT(IF(ISTEXT(Overig!P397),Overig!P397,10*Overig!P397),""",""????0;"",""???-0;"",""????0;"", ////"""),"'","""")&amp;SUBSTITUTE(TEXT(Overig!Q397,""",""?00;"",""?-00;"",""?00;"", //"""),"'","""")&amp;SUBSTITUTE(TEXT(Overig!R397,""",""????0;"",""???-0;"",""????0;"", ////"""),"'","""")&amp;SUBSTITUTE(TEXT(Overig!S397,""",""?00;"",""?-00;"",""?00;"", //"""),"'","""")&amp;SUBSTITUTE(TEXT(IF(ISTEXT(Overig!T397),Overig!T397,10*Overig!T397),""",""????0;"",""???-0;"",""????0;"", ////"""),"'","""")&amp;SUBSTITUTE(TEXT(Overig!U397,""",""?00;"",""?-00;"",""?00;"", //"""),"'","""")&amp;SUBSTITUTE(TEXT(Overig!V397,""",""???0;"",""??-0;"",""???0;"", ///"""),"'","""")&amp;SUBSTITUTE(TEXT(Overig!W397,""",""?00;"",""?-00;"",""?00;"", //"""),"'","""")</f>
        <v>032, 19400408, 24.00, ////, 07, ////, 07,  281, 00,  305, 00, ///, 07, ////, 07, ////, 07, ////, 07, ////, 07, ///, 07</v>
      </c>
    </row>
    <row r="398" spans="1:1" x14ac:dyDescent="0.25">
      <c r="A398" s="12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//"""),"'","""")&amp;SUBSTITUTE(TEXT(IF(ISTEXT(Overig!J398),Overig!J398,10*Overig!J398),""",""????0;"",""???-0;"",""????0;"", ////"""),"'","""")&amp;SUBSTITUTE(TEXT(Overig!K398,""",""?00;"",""?-00;"",""?00;"", //"""),"'","""")&amp;SUBSTITUTE(TEXT(Overig!L398,""",""???0;"",""??-0;"",""???0;"", ///"""),"'","""")&amp;SUBSTITUTE(TEXT(Overig!M398,""",""?00;"",""?-00;"",""?00;"", //"""),"'","""")&amp;SUBSTITUTE(TEXT(IF(ISTEXT(Overig!N398),Overig!N398,10*Overig!N398),""",""????0;"",""???-0;"",""????0;"", ////"""),"'","""")&amp;SUBSTITUTE(TEXT(Overig!O398,""",""?00;"",""?-00;"",""?00;"", //"""),"'","""")&amp;SUBSTITUTE(TEXT(IF(ISTEXT(Overig!P398),Overig!P398,10*Overig!P398),""",""????0;"",""???-0;"",""????0;"", ////"""),"'","""")&amp;SUBSTITUTE(TEXT(Overig!Q398,""",""?00;"",""?-00;"",""?00;"", //"""),"'","""")&amp;SUBSTITUTE(TEXT(Overig!R398,""",""????0;"",""???-0;"",""????0;"", ////"""),"'","""")&amp;SUBSTITUTE(TEXT(Overig!S398,""",""?00;"",""?-00;"",""?00;"", //"""),"'","""")&amp;SUBSTITUTE(TEXT(IF(ISTEXT(Overig!T398),Overig!T398,10*Overig!T398),""",""????0;"",""???-0;"",""????0;"", ////"""),"'","""")&amp;SUBSTITUTE(TEXT(Overig!U398,""",""?00;"",""?-00;"",""?00;"", //"""),"'","""")&amp;SUBSTITUTE(TEXT(Overig!V398,""",""???0;"",""??-0;"",""???0;"", ///"""),"'","""")&amp;SUBSTITUTE(TEXT(Overig!W398,""",""?00;"",""?-00;"",""?00;"", //"""),"'","""")</f>
        <v>032, 19400409, 07.00, 7585, 00,  265, 00, ////, 07, ////, 07,  76, 00,  197, 00,  232, 00,   65, 00,    5, 00,   2, 00</v>
      </c>
    </row>
    <row r="399" spans="1:1" x14ac:dyDescent="0.25">
      <c r="A399" s="12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//"""),"'","""")&amp;SUBSTITUTE(TEXT(IF(ISTEXT(Overig!J399),Overig!J399,10*Overig!J399),""",""????0;"",""???-0;"",""????0;"", ////"""),"'","""")&amp;SUBSTITUTE(TEXT(Overig!K399,""",""?00;"",""?-00;"",""?00;"", //"""),"'","""")&amp;SUBSTITUTE(TEXT(Overig!L399,""",""???0;"",""??-0;"",""???0;"", ///"""),"'","""")&amp;SUBSTITUTE(TEXT(Overig!M399,""",""?00;"",""?-00;"",""?00;"", //"""),"'","""")&amp;SUBSTITUTE(TEXT(IF(ISTEXT(Overig!N399),Overig!N399,10*Overig!N399),""",""????0;"",""???-0;"",""????0;"", ////"""),"'","""")&amp;SUBSTITUTE(TEXT(Overig!O399,""",""?00;"",""?-00;"",""?00;"", //"""),"'","""")&amp;SUBSTITUTE(TEXT(IF(ISTEXT(Overig!P399),Overig!P399,10*Overig!P399),""",""????0;"",""???-0;"",""????0;"", ////"""),"'","""")&amp;SUBSTITUTE(TEXT(Overig!Q399,""",""?00;"",""?-00;"",""?00;"", //"""),"'","""")&amp;SUBSTITUTE(TEXT(Overig!R399,""",""????0;"",""???-0;"",""????0;"", ////"""),"'","""")&amp;SUBSTITUTE(TEXT(Overig!S399,""",""?00;"",""?-00;"",""?00;"", //"""),"'","""")&amp;SUBSTITUTE(TEXT(IF(ISTEXT(Overig!T399),Overig!T399,10*Overig!T399),""",""????0;"",""???-0;"",""????0;"", ////"""),"'","""")&amp;SUBSTITUTE(TEXT(Overig!U399,""",""?00;"",""?-00;"",""?00;"", //"""),"'","""")&amp;SUBSTITUTE(TEXT(Overig!V399,""",""???0;"",""??-0;"",""???0;"", ///"""),"'","""")&amp;SUBSTITUTE(TEXT(Overig!W399,""",""?00;"",""?-00;"",""?00;"", //"""),"'","""")</f>
        <v>032, 19400409, 12.00, 7605, 00,  279, 00, ////, 07, ////, 07,  71, 00,  201, 00,  238, 00,   65, 00,    6, 00,   1, 00</v>
      </c>
    </row>
    <row r="400" spans="1:1" x14ac:dyDescent="0.25">
      <c r="A400" s="12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//"""),"'","""")&amp;SUBSTITUTE(TEXT(IF(ISTEXT(Overig!J400),Overig!J400,10*Overig!J400),""",""????0;"",""???-0;"",""????0;"", ////"""),"'","""")&amp;SUBSTITUTE(TEXT(Overig!K400,""",""?00;"",""?-00;"",""?00;"", //"""),"'","""")&amp;SUBSTITUTE(TEXT(Overig!L400,""",""???0;"",""??-0;"",""???0;"", ///"""),"'","""")&amp;SUBSTITUTE(TEXT(Overig!M400,""",""?00;"",""?-00;"",""?00;"", //"""),"'","""")&amp;SUBSTITUTE(TEXT(IF(ISTEXT(Overig!N400),Overig!N400,10*Overig!N400),""",""????0;"",""???-0;"",""????0;"", ////"""),"'","""")&amp;SUBSTITUTE(TEXT(Overig!O400,""",""?00;"",""?-00;"",""?00;"", //"""),"'","""")&amp;SUBSTITUTE(TEXT(IF(ISTEXT(Overig!P400),Overig!P400,10*Overig!P400),""",""????0;"",""???-0;"",""????0;"", ////"""),"'","""")&amp;SUBSTITUTE(TEXT(Overig!Q400,""",""?00;"",""?-00;"",""?00;"", //"""),"'","""")&amp;SUBSTITUTE(TEXT(Overig!R400,""",""????0;"",""???-0;"",""????0;"", ////"""),"'","""")&amp;SUBSTITUTE(TEXT(Overig!S400,""",""?00;"",""?-00;"",""?00;"", //"""),"'","""")&amp;SUBSTITUTE(TEXT(IF(ISTEXT(Overig!T400),Overig!T400,10*Overig!T400),""",""????0;"",""???-0;"",""????0;"", ////"""),"'","""")&amp;SUBSTITUTE(TEXT(Overig!U400,""",""?00;"",""?-00;"",""?00;"", //"""),"'","""")&amp;SUBSTITUTE(TEXT(Overig!V400,""",""???0;"",""??-0;"",""???0;"", ///"""),"'","""")&amp;SUBSTITUTE(TEXT(Overig!W400,""",""?00;"",""?-00;"",""?00;"", //"""),"'","""")</f>
        <v>032, 19400409, 17.00, 7582, 00,  269, 00, ////, 07, ////, 07,  73, 00,  195, 00,  232, 00,   65, 00,    6, 00,   1, 00</v>
      </c>
    </row>
    <row r="401" spans="1:1" x14ac:dyDescent="0.25">
      <c r="A401" s="12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//"""),"'","""")&amp;SUBSTITUTE(TEXT(IF(ISTEXT(Overig!J401),Overig!J401,10*Overig!J401),""",""????0;"",""???-0;"",""????0;"", ////"""),"'","""")&amp;SUBSTITUTE(TEXT(Overig!K401,""",""?00;"",""?-00;"",""?00;"", //"""),"'","""")&amp;SUBSTITUTE(TEXT(Overig!L401,""",""???0;"",""??-0;"",""???0;"", ///"""),"'","""")&amp;SUBSTITUTE(TEXT(Overig!M401,""",""?00;"",""?-00;"",""?00;"", //"""),"'","""")&amp;SUBSTITUTE(TEXT(IF(ISTEXT(Overig!N401),Overig!N401,10*Overig!N401),""",""????0;"",""???-0;"",""????0;"", ////"""),"'","""")&amp;SUBSTITUTE(TEXT(Overig!O401,""",""?00;"",""?-00;"",""?00;"", //"""),"'","""")&amp;SUBSTITUTE(TEXT(IF(ISTEXT(Overig!P401),Overig!P401,10*Overig!P401),""",""????0;"",""???-0;"",""????0;"", ////"""),"'","""")&amp;SUBSTITUTE(TEXT(Overig!Q401,""",""?00;"",""?-00;"",""?00;"", //"""),"'","""")&amp;SUBSTITUTE(TEXT(Overig!R401,""",""????0;"",""???-0;"",""????0;"", ////"""),"'","""")&amp;SUBSTITUTE(TEXT(Overig!S401,""",""?00;"",""?-00;"",""?00;"", //"""),"'","""")&amp;SUBSTITUTE(TEXT(IF(ISTEXT(Overig!T401),Overig!T401,10*Overig!T401),""",""????0;"",""???-0;"",""????0;"", ////"""),"'","""")&amp;SUBSTITUTE(TEXT(Overig!U401,""",""?00;"",""?-00;"",""?00;"", //"""),"'","""")&amp;SUBSTITUTE(TEXT(Overig!V401,""",""???0;"",""??-0;"",""???0;"", ///"""),"'","""")&amp;SUBSTITUTE(TEXT(Overig!W401,""",""?00;"",""?-00;"",""?00;"", //"""),"'","""")</f>
        <v>032, 19400409, 24.00, ////, 07, ////, 07,  274, 00,  308, 00, ///, 07, ////, 07, ////, 07, ////, 07, ////, 07, ///, 07</v>
      </c>
    </row>
    <row r="402" spans="1:1" x14ac:dyDescent="0.25">
      <c r="A402" s="12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//"""),"'","""")&amp;SUBSTITUTE(TEXT(IF(ISTEXT(Overig!J402),Overig!J402,10*Overig!J402),""",""????0;"",""???-0;"",""????0;"", ////"""),"'","""")&amp;SUBSTITUTE(TEXT(Overig!K402,""",""?00;"",""?-00;"",""?00;"", //"""),"'","""")&amp;SUBSTITUTE(TEXT(Overig!L402,""",""???0;"",""??-0;"",""???0;"", ///"""),"'","""")&amp;SUBSTITUTE(TEXT(Overig!M402,""",""?00;"",""?-00;"",""?00;"", //"""),"'","""")&amp;SUBSTITUTE(TEXT(IF(ISTEXT(Overig!N402),Overig!N402,10*Overig!N402),""",""????0;"",""???-0;"",""????0;"", ////"""),"'","""")&amp;SUBSTITUTE(TEXT(Overig!O402,""",""?00;"",""?-00;"",""?00;"", //"""),"'","""")&amp;SUBSTITUTE(TEXT(IF(ISTEXT(Overig!P402),Overig!P402,10*Overig!P402),""",""????0;"",""???-0;"",""????0;"", ////"""),"'","""")&amp;SUBSTITUTE(TEXT(Overig!Q402,""",""?00;"",""?-00;"",""?00;"", //"""),"'","""")&amp;SUBSTITUTE(TEXT(Overig!R402,""",""????0;"",""???-0;"",""????0;"", ////"""),"'","""")&amp;SUBSTITUTE(TEXT(Overig!S402,""",""?00;"",""?-00;"",""?00;"", //"""),"'","""")&amp;SUBSTITUTE(TEXT(IF(ISTEXT(Overig!T402),Overig!T402,10*Overig!T402),""",""????0;"",""???-0;"",""????0;"", ////"""),"'","""")&amp;SUBSTITUTE(TEXT(Overig!U402,""",""?00;"",""?-00;"",""?00;"", //"""),"'","""")&amp;SUBSTITUTE(TEXT(Overig!V402,""",""???0;"",""??-0;"",""???0;"", ///"""),"'","""")&amp;SUBSTITUTE(TEXT(Overig!W402,""",""?00;"",""?-00;"",""?00;"", //"""),"'","""")</f>
        <v>032, 19400410, 07.00, 7602, 00,  277, 00, ////, 07, ////, 07,  67, 00,  187, 00,  230, 00,   65, 00,    5, 00,   3, 00</v>
      </c>
    </row>
    <row r="403" spans="1:1" x14ac:dyDescent="0.25">
      <c r="A403" s="12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//"""),"'","""")&amp;SUBSTITUTE(TEXT(IF(ISTEXT(Overig!J403),Overig!J403,10*Overig!J403),""",""????0;"",""???-0;"",""????0;"", ////"""),"'","""")&amp;SUBSTITUTE(TEXT(Overig!K403,""",""?00;"",""?-00;"",""?00;"", //"""),"'","""")&amp;SUBSTITUTE(TEXT(Overig!L403,""",""???0;"",""??-0;"",""???0;"", ///"""),"'","""")&amp;SUBSTITUTE(TEXT(Overig!M403,""",""?00;"",""?-00;"",""?00;"", //"""),"'","""")&amp;SUBSTITUTE(TEXT(IF(ISTEXT(Overig!N403),Overig!N403,10*Overig!N403),""",""????0;"",""???-0;"",""????0;"", ////"""),"'","""")&amp;SUBSTITUTE(TEXT(Overig!O403,""",""?00;"",""?-00;"",""?00;"", //"""),"'","""")&amp;SUBSTITUTE(TEXT(IF(ISTEXT(Overig!P403),Overig!P403,10*Overig!P403),""",""????0;"",""???-0;"",""????0;"", ////"""),"'","""")&amp;SUBSTITUTE(TEXT(Overig!Q403,""",""?00;"",""?-00;"",""?00;"", //"""),"'","""")&amp;SUBSTITUTE(TEXT(Overig!R403,""",""????0;"",""???-0;"",""????0;"", ////"""),"'","""")&amp;SUBSTITUTE(TEXT(Overig!S403,""",""?00;"",""?-00;"",""?00;"", //"""),"'","""")&amp;SUBSTITUTE(TEXT(IF(ISTEXT(Overig!T403),Overig!T403,10*Overig!T403),""",""????0;"",""???-0;"",""????0;"", ////"""),"'","""")&amp;SUBSTITUTE(TEXT(Overig!U403,""",""?00;"",""?-00;"",""?00;"", //"""),"'","""")&amp;SUBSTITUTE(TEXT(Overig!V403,""",""???0;"",""??-0;"",""???0;"", ///"""),"'","""")&amp;SUBSTITUTE(TEXT(Overig!W403,""",""?00;"",""?-00;"",""?00;"", //"""),"'","""")</f>
        <v>032, 19400410, 12.00, 7589, 00,  279, 00, ////, 07, ////, 07,  68, 00,  193, 00,  234, 00,   45, 00,    6, 00,   2, 00</v>
      </c>
    </row>
    <row r="404" spans="1:1" x14ac:dyDescent="0.25">
      <c r="A404" s="12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//"""),"'","""")&amp;SUBSTITUTE(TEXT(IF(ISTEXT(Overig!J404),Overig!J404,10*Overig!J404),""",""????0;"",""???-0;"",""????0;"", ////"""),"'","""")&amp;SUBSTITUTE(TEXT(Overig!K404,""",""?00;"",""?-00;"",""?00;"", //"""),"'","""")&amp;SUBSTITUTE(TEXT(Overig!L404,""",""???0;"",""??-0;"",""???0;"", ///"""),"'","""")&amp;SUBSTITUTE(TEXT(Overig!M404,""",""?00;"",""?-00;"",""?00;"", //"""),"'","""")&amp;SUBSTITUTE(TEXT(IF(ISTEXT(Overig!N404),Overig!N404,10*Overig!N404),""",""????0;"",""???-0;"",""????0;"", ////"""),"'","""")&amp;SUBSTITUTE(TEXT(Overig!O404,""",""?00;"",""?-00;"",""?00;"", //"""),"'","""")&amp;SUBSTITUTE(TEXT(IF(ISTEXT(Overig!P404),Overig!P404,10*Overig!P404),""",""????0;"",""???-0;"",""????0;"", ////"""),"'","""")&amp;SUBSTITUTE(TEXT(Overig!Q404,""",""?00;"",""?-00;"",""?00;"", //"""),"'","""")&amp;SUBSTITUTE(TEXT(Overig!R404,""",""????0;"",""???-0;"",""????0;"", ////"""),"'","""")&amp;SUBSTITUTE(TEXT(Overig!S404,""",""?00;"",""?-00;"",""?00;"", //"""),"'","""")&amp;SUBSTITUTE(TEXT(IF(ISTEXT(Overig!T404),Overig!T404,10*Overig!T404),""",""????0;"",""???-0;"",""????0;"", ////"""),"'","""")&amp;SUBSTITUTE(TEXT(Overig!U404,""",""?00;"",""?-00;"",""?00;"", //"""),"'","""")&amp;SUBSTITUTE(TEXT(Overig!V404,""",""???0;"",""??-0;"",""???0;"", ///"""),"'","""")&amp;SUBSTITUTE(TEXT(Overig!W404,""",""?00;"",""?-00;"",""?00;"", //"""),"'","""")</f>
        <v>032, 19400410, 17.00, 7589, 00,  275, 00, ////, 07, ////, 07,  71, 00,  195, 00,  234, 00,   45, 00,    6, 00,   2, 00</v>
      </c>
    </row>
    <row r="405" spans="1:1" x14ac:dyDescent="0.25">
      <c r="A405" s="12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//"""),"'","""")&amp;SUBSTITUTE(TEXT(IF(ISTEXT(Overig!J405),Overig!J405,10*Overig!J405),""",""????0;"",""???-0;"",""????0;"", ////"""),"'","""")&amp;SUBSTITUTE(TEXT(Overig!K405,""",""?00;"",""?-00;"",""?00;"", //"""),"'","""")&amp;SUBSTITUTE(TEXT(Overig!L405,""",""???0;"",""??-0;"",""???0;"", ///"""),"'","""")&amp;SUBSTITUTE(TEXT(Overig!M405,""",""?00;"",""?-00;"",""?00;"", //"""),"'","""")&amp;SUBSTITUTE(TEXT(IF(ISTEXT(Overig!N405),Overig!N405,10*Overig!N405),""",""????0;"",""???-0;"",""????0;"", ////"""),"'","""")&amp;SUBSTITUTE(TEXT(Overig!O405,""",""?00;"",""?-00;"",""?00;"", //"""),"'","""")&amp;SUBSTITUTE(TEXT(IF(ISTEXT(Overig!P405),Overig!P405,10*Overig!P405),""",""????0;"",""???-0;"",""????0;"", ////"""),"'","""")&amp;SUBSTITUTE(TEXT(Overig!Q405,""",""?00;"",""?-00;"",""?00;"", //"""),"'","""")&amp;SUBSTITUTE(TEXT(Overig!R405,""",""????0;"",""???-0;"",""????0;"", ////"""),"'","""")&amp;SUBSTITUTE(TEXT(Overig!S405,""",""?00;"",""?-00;"",""?00;"", //"""),"'","""")&amp;SUBSTITUTE(TEXT(IF(ISTEXT(Overig!T405),Overig!T405,10*Overig!T405),""",""????0;"",""???-0;"",""????0;"", ////"""),"'","""")&amp;SUBSTITUTE(TEXT(Overig!U405,""",""?00;"",""?-00;"",""?00;"", //"""),"'","""")&amp;SUBSTITUTE(TEXT(Overig!V405,""",""???0;"",""??-0;"",""???0;"", ///"""),"'","""")&amp;SUBSTITUTE(TEXT(Overig!W405,""",""?00;"",""?-00;"",""?00;"", //"""),"'","""")</f>
        <v>032, 19400410, 24.00, ////, 07, ////, 07,  277, 00,  302, 00, ///, 07, ////, 07, ////, 07, ////, 07, ////, 07, ///, 07</v>
      </c>
    </row>
    <row r="406" spans="1:1" x14ac:dyDescent="0.25">
      <c r="A406" s="12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//"""),"'","""")&amp;SUBSTITUTE(TEXT(IF(ISTEXT(Overig!J406),Overig!J406,10*Overig!J406),""",""????0;"",""???-0;"",""????0;"", ////"""),"'","""")&amp;SUBSTITUTE(TEXT(Overig!K406,""",""?00;"",""?-00;"",""?00;"", //"""),"'","""")&amp;SUBSTITUTE(TEXT(Overig!L406,""",""???0;"",""??-0;"",""???0;"", ///"""),"'","""")&amp;SUBSTITUTE(TEXT(Overig!M406,""",""?00;"",""?-00;"",""?00;"", //"""),"'","""")&amp;SUBSTITUTE(TEXT(IF(ISTEXT(Overig!N406),Overig!N406,10*Overig!N406),""",""????0;"",""???-0;"",""????0;"", ////"""),"'","""")&amp;SUBSTITUTE(TEXT(Overig!O406,""",""?00;"",""?-00;"",""?00;"", //"""),"'","""")&amp;SUBSTITUTE(TEXT(IF(ISTEXT(Overig!P406),Overig!P406,10*Overig!P406),""",""????0;"",""???-0;"",""????0;"", ////"""),"'","""")&amp;SUBSTITUTE(TEXT(Overig!Q406,""",""?00;"",""?-00;"",""?00;"", //"""),"'","""")&amp;SUBSTITUTE(TEXT(Overig!R406,""",""????0;"",""???-0;"",""????0;"", ////"""),"'","""")&amp;SUBSTITUTE(TEXT(Overig!S406,""",""?00;"",""?-00;"",""?00;"", //"""),"'","""")&amp;SUBSTITUTE(TEXT(IF(ISTEXT(Overig!T406),Overig!T406,10*Overig!T406),""",""????0;"",""???-0;"",""????0;"", ////"""),"'","""")&amp;SUBSTITUTE(TEXT(Overig!U406,""",""?00;"",""?-00;"",""?00;"", //"""),"'","""")&amp;SUBSTITUTE(TEXT(Overig!V406,""",""???0;"",""??-0;"",""???0;"", ///"""),"'","""")&amp;SUBSTITUTE(TEXT(Overig!W406,""",""?00;"",""?-00;"",""?00;"", //"""),"'","""")</f>
        <v>032, 19400411, 07.00, 7595, 00,  275, 00, ////, 07, ////, 07,  70, 00,  192, 00,  232, 00,   45, 00,    4, 00,   2, 00</v>
      </c>
    </row>
    <row r="407" spans="1:1" x14ac:dyDescent="0.25">
      <c r="A407" s="12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//"""),"'","""")&amp;SUBSTITUTE(TEXT(IF(ISTEXT(Overig!J407),Overig!J407,10*Overig!J407),""",""????0;"",""???-0;"",""????0;"", ////"""),"'","""")&amp;SUBSTITUTE(TEXT(Overig!K407,""",""?00;"",""?-00;"",""?00;"", //"""),"'","""")&amp;SUBSTITUTE(TEXT(Overig!L407,""",""???0;"",""??-0;"",""???0;"", ///"""),"'","""")&amp;SUBSTITUTE(TEXT(Overig!M407,""",""?00;"",""?-00;"",""?00;"", //"""),"'","""")&amp;SUBSTITUTE(TEXT(IF(ISTEXT(Overig!N407),Overig!N407,10*Overig!N407),""",""????0;"",""???-0;"",""????0;"", ////"""),"'","""")&amp;SUBSTITUTE(TEXT(Overig!O407,""",""?00;"",""?-00;"",""?00;"", //"""),"'","""")&amp;SUBSTITUTE(TEXT(IF(ISTEXT(Overig!P407),Overig!P407,10*Overig!P407),""",""????0;"",""???-0;"",""????0;"", ////"""),"'","""")&amp;SUBSTITUTE(TEXT(Overig!Q407,""",""?00;"",""?-00;"",""?00;"", //"""),"'","""")&amp;SUBSTITUTE(TEXT(Overig!R407,""",""????0;"",""???-0;"",""????0;"", ////"""),"'","""")&amp;SUBSTITUTE(TEXT(Overig!S407,""",""?00;"",""?-00;"",""?00;"", //"""),"'","""")&amp;SUBSTITUTE(TEXT(IF(ISTEXT(Overig!T407),Overig!T407,10*Overig!T407),""",""????0;"",""???-0;"",""????0;"", ////"""),"'","""")&amp;SUBSTITUTE(TEXT(Overig!U407,""",""?00;"",""?-00;"",""?00;"", //"""),"'","""")&amp;SUBSTITUTE(TEXT(Overig!V407,""",""???0;"",""??-0;"",""???0;"", ///"""),"'","""")&amp;SUBSTITUTE(TEXT(Overig!W407,""",""?00;"",""?-00;"",""?00;"", //"""),"'","""")</f>
        <v>032, 19400411, 12.00, 7592, 00,  301, 00, ////, 07, ////, 07,  58, 00,  186, 00,  236, 00,   45, 00,    5, 00,   2, 00</v>
      </c>
    </row>
    <row r="408" spans="1:1" x14ac:dyDescent="0.25">
      <c r="A408" s="12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//"""),"'","""")&amp;SUBSTITUTE(TEXT(IF(ISTEXT(Overig!J408),Overig!J408,10*Overig!J408),""",""????0;"",""???-0;"",""????0;"", ////"""),"'","""")&amp;SUBSTITUTE(TEXT(Overig!K408,""",""?00;"",""?-00;"",""?00;"", //"""),"'","""")&amp;SUBSTITUTE(TEXT(Overig!L408,""",""???0;"",""??-0;"",""???0;"", ///"""),"'","""")&amp;SUBSTITUTE(TEXT(Overig!M408,""",""?00;"",""?-00;"",""?00;"", //"""),"'","""")&amp;SUBSTITUTE(TEXT(IF(ISTEXT(Overig!N408),Overig!N408,10*Overig!N408),""",""????0;"",""???-0;"",""????0;"", ////"""),"'","""")&amp;SUBSTITUTE(TEXT(Overig!O408,""",""?00;"",""?-00;"",""?00;"", //"""),"'","""")&amp;SUBSTITUTE(TEXT(IF(ISTEXT(Overig!P408),Overig!P408,10*Overig!P408),""",""????0;"",""???-0;"",""????0;"", ////"""),"'","""")&amp;SUBSTITUTE(TEXT(Overig!Q408,""",""?00;"",""?-00;"",""?00;"", //"""),"'","""")&amp;SUBSTITUTE(TEXT(Overig!R408,""",""????0;"",""???-0;"",""????0;"", ////"""),"'","""")&amp;SUBSTITUTE(TEXT(Overig!S408,""",""?00;"",""?-00;"",""?00;"", //"""),"'","""")&amp;SUBSTITUTE(TEXT(IF(ISTEXT(Overig!T408),Overig!T408,10*Overig!T408),""",""????0;"",""???-0;"",""????0;"", ////"""),"'","""")&amp;SUBSTITUTE(TEXT(Overig!U408,""",""?00;"",""?-00;"",""?00;"", //"""),"'","""")&amp;SUBSTITUTE(TEXT(Overig!V408,""",""???0;"",""??-0;"",""???0;"", ///"""),"'","""")&amp;SUBSTITUTE(TEXT(Overig!W408,""",""?00;"",""?-00;"",""?00;"", //"""),"'","""")</f>
        <v>032, 19400411, 17.00, 7587, 00,  279, 00, ////, 07, ////, 07,  67, 00,  190, 00,  232, 00,   45, 00,    5, 00,   3, 00</v>
      </c>
    </row>
    <row r="409" spans="1:1" x14ac:dyDescent="0.25">
      <c r="A409" s="12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//"""),"'","""")&amp;SUBSTITUTE(TEXT(IF(ISTEXT(Overig!J409),Overig!J409,10*Overig!J409),""",""????0;"",""???-0;"",""????0;"", ////"""),"'","""")&amp;SUBSTITUTE(TEXT(Overig!K409,""",""?00;"",""?-00;"",""?00;"", //"""),"'","""")&amp;SUBSTITUTE(TEXT(Overig!L409,""",""???0;"",""??-0;"",""???0;"", ///"""),"'","""")&amp;SUBSTITUTE(TEXT(Overig!M409,""",""?00;"",""?-00;"",""?00;"", //"""),"'","""")&amp;SUBSTITUTE(TEXT(IF(ISTEXT(Overig!N409),Overig!N409,10*Overig!N409),""",""????0;"",""???-0;"",""????0;"", ////"""),"'","""")&amp;SUBSTITUTE(TEXT(Overig!O409,""",""?00;"",""?-00;"",""?00;"", //"""),"'","""")&amp;SUBSTITUTE(TEXT(IF(ISTEXT(Overig!P409),Overig!P409,10*Overig!P409),""",""????0;"",""???-0;"",""????0;"", ////"""),"'","""")&amp;SUBSTITUTE(TEXT(Overig!Q409,""",""?00;"",""?-00;"",""?00;"", //"""),"'","""")&amp;SUBSTITUTE(TEXT(Overig!R409,""",""????0;"",""???-0;"",""????0;"", ////"""),"'","""")&amp;SUBSTITUTE(TEXT(Overig!S409,""",""?00;"",""?-00;"",""?00;"", //"""),"'","""")&amp;SUBSTITUTE(TEXT(IF(ISTEXT(Overig!T409),Overig!T409,10*Overig!T409),""",""????0;"",""???-0;"",""????0;"", ////"""),"'","""")&amp;SUBSTITUTE(TEXT(Overig!U409,""",""?00;"",""?-00;"",""?00;"", //"""),"'","""")&amp;SUBSTITUTE(TEXT(Overig!V409,""",""???0;"",""??-0;"",""???0;"", ///"""),"'","""")&amp;SUBSTITUTE(TEXT(Overig!W409,""",""?00;"",""?-00;"",""?00;"", //"""),"'","""")</f>
        <v>032, 19400411, 24.00, ////, 07, ////, 07,  294, 00,  318, 00, ///, 07, ////, 07, ////, 07, ////, 07, ////, 07, ///, 07</v>
      </c>
    </row>
    <row r="410" spans="1:1" x14ac:dyDescent="0.25">
      <c r="A410" s="12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//"""),"'","""")&amp;SUBSTITUTE(TEXT(IF(ISTEXT(Overig!J410),Overig!J410,10*Overig!J410),""",""????0;"",""???-0;"",""????0;"", ////"""),"'","""")&amp;SUBSTITUTE(TEXT(Overig!K410,""",""?00;"",""?-00;"",""?00;"", //"""),"'","""")&amp;SUBSTITUTE(TEXT(Overig!L410,""",""???0;"",""??-0;"",""???0;"", ///"""),"'","""")&amp;SUBSTITUTE(TEXT(Overig!M410,""",""?00;"",""?-00;"",""?00;"", //"""),"'","""")&amp;SUBSTITUTE(TEXT(IF(ISTEXT(Overig!N410),Overig!N410,10*Overig!N410),""",""????0;"",""???-0;"",""????0;"", ////"""),"'","""")&amp;SUBSTITUTE(TEXT(Overig!O410,""",""?00;"",""?-00;"",""?00;"", //"""),"'","""")&amp;SUBSTITUTE(TEXT(IF(ISTEXT(Overig!P410),Overig!P410,10*Overig!P410),""",""????0;"",""???-0;"",""????0;"", ////"""),"'","""")&amp;SUBSTITUTE(TEXT(Overig!Q410,""",""?00;"",""?-00;"",""?00;"", //"""),"'","""")&amp;SUBSTITUTE(TEXT(Overig!R410,""",""????0;"",""???-0;"",""????0;"", ////"""),"'","""")&amp;SUBSTITUTE(TEXT(Overig!S410,""",""?00;"",""?-00;"",""?00;"", //"""),"'","""")&amp;SUBSTITUTE(TEXT(IF(ISTEXT(Overig!T410),Overig!T410,10*Overig!T410),""",""????0;"",""???-0;"",""????0;"", ////"""),"'","""")&amp;SUBSTITUTE(TEXT(Overig!U410,""",""?00;"",""?-00;"",""?00;"", //"""),"'","""")&amp;SUBSTITUTE(TEXT(Overig!V410,""",""???0;"",""??-0;"",""???0;"", ///"""),"'","""")&amp;SUBSTITUTE(TEXT(Overig!W410,""",""?00;"",""?-00;"",""?00;"", //"""),"'","""")</f>
        <v>032, 19400412, 07.00, 7597, 00,  269, 00, ////, 07, ////, 07,  77, 00,  206, 00,  238, 00,   65, 00,    4, 00,   3, 00</v>
      </c>
    </row>
    <row r="411" spans="1:1" x14ac:dyDescent="0.25">
      <c r="A411" s="12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//"""),"'","""")&amp;SUBSTITUTE(TEXT(IF(ISTEXT(Overig!J411),Overig!J411,10*Overig!J411),""",""????0;"",""???-0;"",""????0;"", ////"""),"'","""")&amp;SUBSTITUTE(TEXT(Overig!K411,""",""?00;"",""?-00;"",""?00;"", //"""),"'","""")&amp;SUBSTITUTE(TEXT(Overig!L411,""",""???0;"",""??-0;"",""???0;"", ///"""),"'","""")&amp;SUBSTITUTE(TEXT(Overig!M411,""",""?00;"",""?-00;"",""?00;"", //"""),"'","""")&amp;SUBSTITUTE(TEXT(IF(ISTEXT(Overig!N411),Overig!N411,10*Overig!N411),""",""????0;"",""???-0;"",""????0;"", ////"""),"'","""")&amp;SUBSTITUTE(TEXT(Overig!O411,""",""?00;"",""?-00;"",""?00;"", //"""),"'","""")&amp;SUBSTITUTE(TEXT(IF(ISTEXT(Overig!P411),Overig!P411,10*Overig!P411),""",""????0;"",""???-0;"",""????0;"", ////"""),"'","""")&amp;SUBSTITUTE(TEXT(Overig!Q411,""",""?00;"",""?-00;"",""?00;"", //"""),"'","""")&amp;SUBSTITUTE(TEXT(Overig!R411,""",""????0;"",""???-0;"",""????0;"", ////"""),"'","""")&amp;SUBSTITUTE(TEXT(Overig!S411,""",""?00;"",""?-00;"",""?00;"", //"""),"'","""")&amp;SUBSTITUTE(TEXT(IF(ISTEXT(Overig!T411),Overig!T411,10*Overig!T411),""",""????0;"",""???-0;"",""????0;"", ////"""),"'","""")&amp;SUBSTITUTE(TEXT(Overig!U411,""",""?00;"",""?-00;"",""?00;"", //"""),"'","""")&amp;SUBSTITUTE(TEXT(Overig!V411,""",""???0;"",""??-0;"",""???0;"", ///"""),"'","""")&amp;SUBSTITUTE(TEXT(Overig!W411,""",""?00;"",""?-00;"",""?00;"", //"""),"'","""")</f>
        <v>032, 19400412, 12.00, 7579, 00,  284, 00, ////, 07, ////, 07,  66, 00,  191, 00,  234, 00,   45, 00,    6, 00,   2, 00</v>
      </c>
    </row>
    <row r="412" spans="1:1" x14ac:dyDescent="0.25">
      <c r="A412" s="12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//"""),"'","""")&amp;SUBSTITUTE(TEXT(IF(ISTEXT(Overig!J412),Overig!J412,10*Overig!J412),""",""????0;"",""???-0;"",""????0;"", ////"""),"'","""")&amp;SUBSTITUTE(TEXT(Overig!K412,""",""?00;"",""?-00;"",""?00;"", //"""),"'","""")&amp;SUBSTITUTE(TEXT(Overig!L412,""",""???0;"",""??-0;"",""???0;"", ///"""),"'","""")&amp;SUBSTITUTE(TEXT(Overig!M412,""",""?00;"",""?-00;"",""?00;"", //"""),"'","""")&amp;SUBSTITUTE(TEXT(IF(ISTEXT(Overig!N412),Overig!N412,10*Overig!N412),""",""????0;"",""???-0;"",""????0;"", ////"""),"'","""")&amp;SUBSTITUTE(TEXT(Overig!O412,""",""?00;"",""?-00;"",""?00;"", //"""),"'","""")&amp;SUBSTITUTE(TEXT(IF(ISTEXT(Overig!P412),Overig!P412,10*Overig!P412),""",""????0;"",""???-0;"",""????0;"", ////"""),"'","""")&amp;SUBSTITUTE(TEXT(Overig!Q412,""",""?00;"",""?-00;"",""?00;"", //"""),"'","""")&amp;SUBSTITUTE(TEXT(Overig!R412,""",""????0;"",""???-0;"",""????0;"", ////"""),"'","""")&amp;SUBSTITUTE(TEXT(Overig!S412,""",""?00;"",""?-00;"",""?00;"", //"""),"'","""")&amp;SUBSTITUTE(TEXT(IF(ISTEXT(Overig!T412),Overig!T412,10*Overig!T412),""",""????0;"",""???-0;"",""????0;"", ////"""),"'","""")&amp;SUBSTITUTE(TEXT(Overig!U412,""",""?00;"",""?-00;"",""?00;"", //"""),"'","""")&amp;SUBSTITUTE(TEXT(Overig!V412,""",""???0;"",""??-0;"",""???0;"", ///"""),"'","""")&amp;SUBSTITUTE(TEXT(Overig!W412,""",""?00;"",""?-00;"",""?00;"", //"""),"'","""")</f>
        <v>032, 19400412, 17.00, 7582, 00,  269, 00, ////, 07, ////, 07,  71, 00,  181, 00,  228, 00,   45, 00,    5, 00,   3, 00</v>
      </c>
    </row>
    <row r="413" spans="1:1" x14ac:dyDescent="0.25">
      <c r="A413" s="12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//"""),"'","""")&amp;SUBSTITUTE(TEXT(IF(ISTEXT(Overig!J413),Overig!J413,10*Overig!J413),""",""????0;"",""???-0;"",""????0;"", ////"""),"'","""")&amp;SUBSTITUTE(TEXT(Overig!K413,""",""?00;"",""?-00;"",""?00;"", //"""),"'","""")&amp;SUBSTITUTE(TEXT(Overig!L413,""",""???0;"",""??-0;"",""???0;"", ///"""),"'","""")&amp;SUBSTITUTE(TEXT(Overig!M413,""",""?00;"",""?-00;"",""?00;"", //"""),"'","""")&amp;SUBSTITUTE(TEXT(IF(ISTEXT(Overig!N413),Overig!N413,10*Overig!N413),""",""????0;"",""???-0;"",""????0;"", ////"""),"'","""")&amp;SUBSTITUTE(TEXT(Overig!O413,""",""?00;"",""?-00;"",""?00;"", //"""),"'","""")&amp;SUBSTITUTE(TEXT(IF(ISTEXT(Overig!P413),Overig!P413,10*Overig!P413),""",""????0;"",""???-0;"",""????0;"", ////"""),"'","""")&amp;SUBSTITUTE(TEXT(Overig!Q413,""",""?00;"",""?-00;"",""?00;"", //"""),"'","""")&amp;SUBSTITUTE(TEXT(Overig!R413,""",""????0;"",""???-0;"",""????0;"", ////"""),"'","""")&amp;SUBSTITUTE(TEXT(Overig!S413,""",""?00;"",""?-00;"",""?00;"", //"""),"'","""")&amp;SUBSTITUTE(TEXT(IF(ISTEXT(Overig!T413),Overig!T413,10*Overig!T413),""",""????0;"",""???-0;"",""????0;"", ////"""),"'","""")&amp;SUBSTITUTE(TEXT(Overig!U413,""",""?00;"",""?-00;"",""?00;"", //"""),"'","""")&amp;SUBSTITUTE(TEXT(Overig!V413,""",""???0;"",""??-0;"",""???0;"", ///"""),"'","""")&amp;SUBSTITUTE(TEXT(Overig!W413,""",""?00;"",""?-00;"",""?00;"", //"""),"'","""")</f>
        <v>032, 19400412, 24.00, ////, 07, ////, 07,  270, 00,  310, 00, ///, 07, ////, 07, ////, 07, ////, 07, ////, 07, ///, 07</v>
      </c>
    </row>
    <row r="414" spans="1:1" x14ac:dyDescent="0.25">
      <c r="A414" s="12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//"""),"'","""")&amp;SUBSTITUTE(TEXT(IF(ISTEXT(Overig!J414),Overig!J414,10*Overig!J414),""",""????0;"",""???-0;"",""????0;"", ////"""),"'","""")&amp;SUBSTITUTE(TEXT(Overig!K414,""",""?00;"",""?-00;"",""?00;"", //"""),"'","""")&amp;SUBSTITUTE(TEXT(Overig!L414,""",""???0;"",""??-0;"",""???0;"", ///"""),"'","""")&amp;SUBSTITUTE(TEXT(Overig!M414,""",""?00;"",""?-00;"",""?00;"", //"""),"'","""")&amp;SUBSTITUTE(TEXT(IF(ISTEXT(Overig!N414),Overig!N414,10*Overig!N414),""",""????0;"",""???-0;"",""????0;"", ////"""),"'","""")&amp;SUBSTITUTE(TEXT(Overig!O414,""",""?00;"",""?-00;"",""?00;"", //"""),"'","""")&amp;SUBSTITUTE(TEXT(IF(ISTEXT(Overig!P414),Overig!P414,10*Overig!P414),""",""????0;"",""???-0;"",""????0;"", ////"""),"'","""")&amp;SUBSTITUTE(TEXT(Overig!Q414,""",""?00;"",""?-00;"",""?00;"", //"""),"'","""")&amp;SUBSTITUTE(TEXT(Overig!R414,""",""????0;"",""???-0;"",""????0;"", ////"""),"'","""")&amp;SUBSTITUTE(TEXT(Overig!S414,""",""?00;"",""?-00;"",""?00;"", //"""),"'","""")&amp;SUBSTITUTE(TEXT(IF(ISTEXT(Overig!T414),Overig!T414,10*Overig!T414),""",""????0;"",""???-0;"",""????0;"", ////"""),"'","""")&amp;SUBSTITUTE(TEXT(Overig!U414,""",""?00;"",""?-00;"",""?00;"", //"""),"'","""")&amp;SUBSTITUTE(TEXT(Overig!V414,""",""???0;"",""??-0;"",""???0;"", ///"""),"'","""")&amp;SUBSTITUTE(TEXT(Overig!W414,""",""?00;"",""?-00;"",""?00;"", //"""),"'","""")</f>
        <v>032, 19400413, 07.00, 7585, 00,  259, 00, ////, 07, ////, 07,  77, 00,  193, 00,  228, 00,   65, 00,    4, 00,   3, 00</v>
      </c>
    </row>
    <row r="415" spans="1:1" x14ac:dyDescent="0.25">
      <c r="A415" s="12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//"""),"'","""")&amp;SUBSTITUTE(TEXT(IF(ISTEXT(Overig!J415),Overig!J415,10*Overig!J415),""",""????0;"",""???-0;"",""????0;"", ////"""),"'","""")&amp;SUBSTITUTE(TEXT(Overig!K415,""",""?00;"",""?-00;"",""?00;"", //"""),"'","""")&amp;SUBSTITUTE(TEXT(Overig!L415,""",""???0;"",""??-0;"",""???0;"", ///"""),"'","""")&amp;SUBSTITUTE(TEXT(Overig!M415,""",""?00;"",""?-00;"",""?00;"", //"""),"'","""")&amp;SUBSTITUTE(TEXT(IF(ISTEXT(Overig!N415),Overig!N415,10*Overig!N415),""",""????0;"",""???-0;"",""????0;"", ////"""),"'","""")&amp;SUBSTITUTE(TEXT(Overig!O415,""",""?00;"",""?-00;"",""?00;"", //"""),"'","""")&amp;SUBSTITUTE(TEXT(IF(ISTEXT(Overig!P415),Overig!P415,10*Overig!P415),""",""????0;"",""???-0;"",""????0;"", ////"""),"'","""")&amp;SUBSTITUTE(TEXT(Overig!Q415,""",""?00;"",""?-00;"",""?00;"", //"""),"'","""")&amp;SUBSTITUTE(TEXT(Overig!R415,""",""????0;"",""???-0;"",""????0;"", ////"""),"'","""")&amp;SUBSTITUTE(TEXT(Overig!S415,""",""?00;"",""?-00;"",""?00;"", //"""),"'","""")&amp;SUBSTITUTE(TEXT(IF(ISTEXT(Overig!T415),Overig!T415,10*Overig!T415),""",""????0;"",""???-0;"",""????0;"", ////"""),"'","""")&amp;SUBSTITUTE(TEXT(Overig!U415,""",""?00;"",""?-00;"",""?00;"", //"""),"'","""")&amp;SUBSTITUTE(TEXT(Overig!V415,""",""???0;"",""??-0;"",""???0;"", ///"""),"'","""")&amp;SUBSTITUTE(TEXT(Overig!W415,""",""?00;"",""?-00;"",""?00;"", //"""),"'","""")</f>
        <v>032, 19400413, 12.00, 7589, 00,  281, 00, ////, 07, ////, 07,  67, 00,  192, 00,  234, 00,   65, 00,    5, 00,   3, 00</v>
      </c>
    </row>
    <row r="416" spans="1:1" x14ac:dyDescent="0.25">
      <c r="A416" s="12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//"""),"'","""")&amp;SUBSTITUTE(TEXT(IF(ISTEXT(Overig!J416),Overig!J416,10*Overig!J416),""",""????0;"",""???-0;"",""????0;"", ////"""),"'","""")&amp;SUBSTITUTE(TEXT(Overig!K416,""",""?00;"",""?-00;"",""?00;"", //"""),"'","""")&amp;SUBSTITUTE(TEXT(Overig!L416,""",""???0;"",""??-0;"",""???0;"", ///"""),"'","""")&amp;SUBSTITUTE(TEXT(Overig!M416,""",""?00;"",""?-00;"",""?00;"", //"""),"'","""")&amp;SUBSTITUTE(TEXT(IF(ISTEXT(Overig!N416),Overig!N416,10*Overig!N416),""",""????0;"",""???-0;"",""????0;"", ////"""),"'","""")&amp;SUBSTITUTE(TEXT(Overig!O416,""",""?00;"",""?-00;"",""?00;"", //"""),"'","""")&amp;SUBSTITUTE(TEXT(IF(ISTEXT(Overig!P416),Overig!P416,10*Overig!P416),""",""????0;"",""???-0;"",""????0;"", ////"""),"'","""")&amp;SUBSTITUTE(TEXT(Overig!Q416,""",""?00;"",""?-00;"",""?00;"", //"""),"'","""")&amp;SUBSTITUTE(TEXT(Overig!R416,""",""????0;"",""???-0;"",""????0;"", ////"""),"'","""")&amp;SUBSTITUTE(TEXT(Overig!S416,""",""?00;"",""?-00;"",""?00;"", //"""),"'","""")&amp;SUBSTITUTE(TEXT(IF(ISTEXT(Overig!T416),Overig!T416,10*Overig!T416),""",""????0;"",""???-0;"",""????0;"", ////"""),"'","""")&amp;SUBSTITUTE(TEXT(Overig!U416,""",""?00;"",""?-00;"",""?00;"", //"""),"'","""")&amp;SUBSTITUTE(TEXT(Overig!V416,""",""???0;"",""??-0;"",""???0;"", ///"""),"'","""")&amp;SUBSTITUTE(TEXT(Overig!W416,""",""?00;"",""?-00;"",""?00;"", //"""),"'","""")</f>
        <v>032, 19400413, 17.00, 7582, 00,  269, 00, ////, 07, ////, 07,  77, 00,  206, 00,  238, 00,   45, 00,    5, 00,   3, 00</v>
      </c>
    </row>
    <row r="417" spans="1:1" x14ac:dyDescent="0.25">
      <c r="A417" s="12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//"""),"'","""")&amp;SUBSTITUTE(TEXT(IF(ISTEXT(Overig!J417),Overig!J417,10*Overig!J417),""",""????0;"",""???-0;"",""????0;"", ////"""),"'","""")&amp;SUBSTITUTE(TEXT(Overig!K417,""",""?00;"",""?-00;"",""?00;"", //"""),"'","""")&amp;SUBSTITUTE(TEXT(Overig!L417,""",""???0;"",""??-0;"",""???0;"", ///"""),"'","""")&amp;SUBSTITUTE(TEXT(Overig!M417,""",""?00;"",""?-00;"",""?00;"", //"""),"'","""")&amp;SUBSTITUTE(TEXT(IF(ISTEXT(Overig!N417),Overig!N417,10*Overig!N417),""",""????0;"",""???-0;"",""????0;"", ////"""),"'","""")&amp;SUBSTITUTE(TEXT(Overig!O417,""",""?00;"",""?-00;"",""?00;"", //"""),"'","""")&amp;SUBSTITUTE(TEXT(IF(ISTEXT(Overig!P417),Overig!P417,10*Overig!P417),""",""????0;"",""???-0;"",""????0;"", ////"""),"'","""")&amp;SUBSTITUTE(TEXT(Overig!Q417,""",""?00;"",""?-00;"",""?00;"", //"""),"'","""")&amp;SUBSTITUTE(TEXT(Overig!R417,""",""????0;"",""???-0;"",""????0;"", ////"""),"'","""")&amp;SUBSTITUTE(TEXT(Overig!S417,""",""?00;"",""?-00;"",""?00;"", //"""),"'","""")&amp;SUBSTITUTE(TEXT(IF(ISTEXT(Overig!T417),Overig!T417,10*Overig!T417),""",""????0;"",""???-0;"",""????0;"", ////"""),"'","""")&amp;SUBSTITUTE(TEXT(Overig!U417,""",""?00;"",""?-00;"",""?00;"", //"""),"'","""")&amp;SUBSTITUTE(TEXT(Overig!V417,""",""???0;"",""??-0;"",""???0;"", ///"""),"'","""")&amp;SUBSTITUTE(TEXT(Overig!W417,""",""?00;"",""?-00;"",""?00;"", //"""),"'","""")</f>
        <v>032, 19400413, 24.00, ////, 07, ////, 07,  275, 00,  292, 00, ///, 07, ////, 07, ////, 07, ////, 07, ////, 07, ///, 07</v>
      </c>
    </row>
    <row r="418" spans="1:1" x14ac:dyDescent="0.25">
      <c r="A418" s="12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//"""),"'","""")&amp;SUBSTITUTE(TEXT(IF(ISTEXT(Overig!J418),Overig!J418,10*Overig!J418),""",""????0;"",""???-0;"",""????0;"", ////"""),"'","""")&amp;SUBSTITUTE(TEXT(Overig!K418,""",""?00;"",""?-00;"",""?00;"", //"""),"'","""")&amp;SUBSTITUTE(TEXT(Overig!L418,""",""???0;"",""??-0;"",""???0;"", ///"""),"'","""")&amp;SUBSTITUTE(TEXT(Overig!M418,""",""?00;"",""?-00;"",""?00;"", //"""),"'","""")&amp;SUBSTITUTE(TEXT(IF(ISTEXT(Overig!N418),Overig!N418,10*Overig!N418),""",""????0;"",""???-0;"",""????0;"", ////"""),"'","""")&amp;SUBSTITUTE(TEXT(Overig!O418,""",""?00;"",""?-00;"",""?00;"", //"""),"'","""")&amp;SUBSTITUTE(TEXT(IF(ISTEXT(Overig!P418),Overig!P418,10*Overig!P418),""",""????0;"",""???-0;"",""????0;"", ////"""),"'","""")&amp;SUBSTITUTE(TEXT(Overig!Q418,""",""?00;"",""?-00;"",""?00;"", //"""),"'","""")&amp;SUBSTITUTE(TEXT(Overig!R418,""",""????0;"",""???-0;"",""????0;"", ////"""),"'","""")&amp;SUBSTITUTE(TEXT(Overig!S418,""",""?00;"",""?-00;"",""?00;"", //"""),"'","""")&amp;SUBSTITUTE(TEXT(IF(ISTEXT(Overig!T418),Overig!T418,10*Overig!T418),""",""????0;"",""???-0;"",""????0;"", ////"""),"'","""")&amp;SUBSTITUTE(TEXT(Overig!U418,""",""?00;"",""?-00;"",""?00;"", //"""),"'","""")&amp;SUBSTITUTE(TEXT(Overig!V418,""",""???0;"",""??-0;"",""???0;"", ///"""),"'","""")&amp;SUBSTITUTE(TEXT(Overig!W418,""",""?00;"",""?-00;"",""?00;"", //"""),"'","""")</f>
        <v>032, 19400414, 07.00, 7585, 00,  259, 00, ////, 07, ////, 07,  71, 00,  193, 00,  228, 00,   45, 00,    4, 00,   4, 00</v>
      </c>
    </row>
    <row r="419" spans="1:1" x14ac:dyDescent="0.25">
      <c r="A419" s="12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//"""),"'","""")&amp;SUBSTITUTE(TEXT(IF(ISTEXT(Overig!J419),Overig!J419,10*Overig!J419),""",""????0;"",""???-0;"",""????0;"", ////"""),"'","""")&amp;SUBSTITUTE(TEXT(Overig!K419,""",""?00;"",""?-00;"",""?00;"", //"""),"'","""")&amp;SUBSTITUTE(TEXT(Overig!L419,""",""???0;"",""??-0;"",""???0;"", ///"""),"'","""")&amp;SUBSTITUTE(TEXT(Overig!M419,""",""?00;"",""?-00;"",""?00;"", //"""),"'","""")&amp;SUBSTITUTE(TEXT(IF(ISTEXT(Overig!N419),Overig!N419,10*Overig!N419),""",""????0;"",""???-0;"",""????0;"", ////"""),"'","""")&amp;SUBSTITUTE(TEXT(Overig!O419,""",""?00;"",""?-00;"",""?00;"", //"""),"'","""")&amp;SUBSTITUTE(TEXT(IF(ISTEXT(Overig!P419),Overig!P419,10*Overig!P419),""",""????0;"",""???-0;"",""????0;"", ////"""),"'","""")&amp;SUBSTITUTE(TEXT(Overig!Q419,""",""?00;"",""?-00;"",""?00;"", //"""),"'","""")&amp;SUBSTITUTE(TEXT(Overig!R419,""",""????0;"",""???-0;"",""????0;"", ////"""),"'","""")&amp;SUBSTITUTE(TEXT(Overig!S419,""",""?00;"",""?-00;"",""?00;"", //"""),"'","""")&amp;SUBSTITUTE(TEXT(IF(ISTEXT(Overig!T419),Overig!T419,10*Overig!T419),""",""????0;"",""???-0;"",""????0;"", ////"""),"'","""")&amp;SUBSTITUTE(TEXT(Overig!U419,""",""?00;"",""?-00;"",""?00;"", //"""),"'","""")&amp;SUBSTITUTE(TEXT(Overig!V419,""",""???0;"",""??-0;"",""???0;"", ///"""),"'","""")&amp;SUBSTITUTE(TEXT(Overig!W419,""",""?00;"",""?-00;"",""?00;"", //"""),"'","""")</f>
        <v>032, 19400414, 12.00, 7592, 00,  271, 00, ////, 07, ////, 07,  72, 00,  194, 00,  232, 00,   45, 00,    5, 00,   3, 00</v>
      </c>
    </row>
    <row r="420" spans="1:1" x14ac:dyDescent="0.25">
      <c r="A420" s="12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//"""),"'","""")&amp;SUBSTITUTE(TEXT(IF(ISTEXT(Overig!J420),Overig!J420,10*Overig!J420),""",""????0;"",""???-0;"",""????0;"", ////"""),"'","""")&amp;SUBSTITUTE(TEXT(Overig!K420,""",""?00;"",""?-00;"",""?00;"", //"""),"'","""")&amp;SUBSTITUTE(TEXT(Overig!L420,""",""???0;"",""??-0;"",""???0;"", ///"""),"'","""")&amp;SUBSTITUTE(TEXT(Overig!M420,""",""?00;"",""?-00;"",""?00;"", //"""),"'","""")&amp;SUBSTITUTE(TEXT(IF(ISTEXT(Overig!N420),Overig!N420,10*Overig!N420),""",""????0;"",""???-0;"",""????0;"", ////"""),"'","""")&amp;SUBSTITUTE(TEXT(Overig!O420,""",""?00;"",""?-00;"",""?00;"", //"""),"'","""")&amp;SUBSTITUTE(TEXT(IF(ISTEXT(Overig!P420),Overig!P420,10*Overig!P420),""",""????0;"",""???-0;"",""????0;"", ////"""),"'","""")&amp;SUBSTITUTE(TEXT(Overig!Q420,""",""?00;"",""?-00;"",""?00;"", //"""),"'","""")&amp;SUBSTITUTE(TEXT(Overig!R420,""",""????0;"",""???-0;"",""????0;"", ////"""),"'","""")&amp;SUBSTITUTE(TEXT(Overig!S420,""",""?00;"",""?-00;"",""?00;"", //"""),"'","""")&amp;SUBSTITUTE(TEXT(IF(ISTEXT(Overig!T420),Overig!T420,10*Overig!T420),""",""????0;"",""???-0;"",""????0;"", ////"""),"'","""")&amp;SUBSTITUTE(TEXT(Overig!U420,""",""?00;"",""?-00;"",""?00;"", //"""),"'","""")&amp;SUBSTITUTE(TEXT(Overig!V420,""",""???0;"",""??-0;"",""???0;"", ///"""),"'","""")&amp;SUBSTITUTE(TEXT(Overig!W420,""",""?00;"",""?-00;"",""?00;"", //"""),"'","""")</f>
        <v>032, 19400414, 17.00, 7585, 00,  259, 00, ////, 07, ////, 07,  80, 00,  200, 00,  232, 00,   45, 00,    5, 00,   2, 00</v>
      </c>
    </row>
    <row r="421" spans="1:1" x14ac:dyDescent="0.25">
      <c r="A421" s="12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//"""),"'","""")&amp;SUBSTITUTE(TEXT(IF(ISTEXT(Overig!J421),Overig!J421,10*Overig!J421),""",""????0;"",""???-0;"",""????0;"", ////"""),"'","""")&amp;SUBSTITUTE(TEXT(Overig!K421,""",""?00;"",""?-00;"",""?00;"", //"""),"'","""")&amp;SUBSTITUTE(TEXT(Overig!L421,""",""???0;"",""??-0;"",""???0;"", ///"""),"'","""")&amp;SUBSTITUTE(TEXT(Overig!M421,""",""?00;"",""?-00;"",""?00;"", //"""),"'","""")&amp;SUBSTITUTE(TEXT(IF(ISTEXT(Overig!N421),Overig!N421,10*Overig!N421),""",""????0;"",""???-0;"",""????0;"", ////"""),"'","""")&amp;SUBSTITUTE(TEXT(Overig!O421,""",""?00;"",""?-00;"",""?00;"", //"""),"'","""")&amp;SUBSTITUTE(TEXT(IF(ISTEXT(Overig!P421),Overig!P421,10*Overig!P421),""",""????0;"",""???-0;"",""????0;"", ////"""),"'","""")&amp;SUBSTITUTE(TEXT(Overig!Q421,""",""?00;"",""?-00;"",""?00;"", //"""),"'","""")&amp;SUBSTITUTE(TEXT(Overig!R421,""",""????0;"",""???-0;"",""????0;"", ////"""),"'","""")&amp;SUBSTITUTE(TEXT(Overig!S421,""",""?00;"",""?-00;"",""?00;"", //"""),"'","""")&amp;SUBSTITUTE(TEXT(IF(ISTEXT(Overig!T421),Overig!T421,10*Overig!T421),""",""????0;"",""???-0;"",""????0;"", ////"""),"'","""")&amp;SUBSTITUTE(TEXT(Overig!U421,""",""?00;"",""?-00;"",""?00;"", //"""),"'","""")&amp;SUBSTITUTE(TEXT(Overig!V421,""",""???0;"",""??-0;"",""???0;"", ///"""),"'","""")&amp;SUBSTITUTE(TEXT(Overig!W421,""",""?00;"",""?-00;"",""?00;"", //"""),"'","""")</f>
        <v>032, 19400414, 24.00, ////, 07, ////, 07,  274, 00,  295, 00, ///, 07, ////, 07, ////, 07, ////, 07, ////, 07, ///, 07</v>
      </c>
    </row>
    <row r="422" spans="1:1" x14ac:dyDescent="0.25">
      <c r="A422" s="12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//"""),"'","""")&amp;SUBSTITUTE(TEXT(IF(ISTEXT(Overig!J422),Overig!J422,10*Overig!J422),""",""????0;"",""???-0;"",""????0;"", ////"""),"'","""")&amp;SUBSTITUTE(TEXT(Overig!K422,""",""?00;"",""?-00;"",""?00;"", //"""),"'","""")&amp;SUBSTITUTE(TEXT(Overig!L422,""",""???0;"",""??-0;"",""???0;"", ///"""),"'","""")&amp;SUBSTITUTE(TEXT(Overig!M422,""",""?00;"",""?-00;"",""?00;"", //"""),"'","""")&amp;SUBSTITUTE(TEXT(IF(ISTEXT(Overig!N422),Overig!N422,10*Overig!N422),""",""????0;"",""???-0;"",""????0;"", ////"""),"'","""")&amp;SUBSTITUTE(TEXT(Overig!O422,""",""?00;"",""?-00;"",""?00;"", //"""),"'","""")&amp;SUBSTITUTE(TEXT(IF(ISTEXT(Overig!P422),Overig!P422,10*Overig!P422),""",""????0;"",""???-0;"",""????0;"", ////"""),"'","""")&amp;SUBSTITUTE(TEXT(Overig!Q422,""",""?00;"",""?-00;"",""?00;"", //"""),"'","""")&amp;SUBSTITUTE(TEXT(Overig!R422,""",""????0;"",""???-0;"",""????0;"", ////"""),"'","""")&amp;SUBSTITUTE(TEXT(Overig!S422,""",""?00;"",""?-00;"",""?00;"", //"""),"'","""")&amp;SUBSTITUTE(TEXT(IF(ISTEXT(Overig!T422),Overig!T422,10*Overig!T422),""",""????0;"",""???-0;"",""????0;"", ////"""),"'","""")&amp;SUBSTITUTE(TEXT(Overig!U422,""",""?00;"",""?-00;"",""?00;"", //"""),"'","""")&amp;SUBSTITUTE(TEXT(Overig!V422,""",""???0;"",""??-0;"",""???0;"", ///"""),"'","""")&amp;SUBSTITUTE(TEXT(Overig!W422,""",""?00;"",""?-00;"",""?00;"", //"""),"'","""")</f>
        <v>032, 19400415, 07.00, 7600, 00,  269, 00, ////, 07, ////, 07,  74, 00,  198, 00,  234, 00,   65, 00,    3, 00,   3, 00</v>
      </c>
    </row>
    <row r="423" spans="1:1" x14ac:dyDescent="0.25">
      <c r="A423" s="12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//"""),"'","""")&amp;SUBSTITUTE(TEXT(IF(ISTEXT(Overig!J423),Overig!J423,10*Overig!J423),""",""????0;"",""???-0;"",""????0;"", ////"""),"'","""")&amp;SUBSTITUTE(TEXT(Overig!K423,""",""?00;"",""?-00;"",""?00;"", //"""),"'","""")&amp;SUBSTITUTE(TEXT(Overig!L423,""",""???0;"",""??-0;"",""???0;"", ///"""),"'","""")&amp;SUBSTITUTE(TEXT(Overig!M423,""",""?00;"",""?-00;"",""?00;"", //"""),"'","""")&amp;SUBSTITUTE(TEXT(IF(ISTEXT(Overig!N423),Overig!N423,10*Overig!N423),""",""????0;"",""???-0;"",""????0;"", ////"""),"'","""")&amp;SUBSTITUTE(TEXT(Overig!O423,""",""?00;"",""?-00;"",""?00;"", //"""),"'","""")&amp;SUBSTITUTE(TEXT(IF(ISTEXT(Overig!P423),Overig!P423,10*Overig!P423),""",""????0;"",""???-0;"",""????0;"", ////"""),"'","""")&amp;SUBSTITUTE(TEXT(Overig!Q423,""",""?00;"",""?-00;"",""?00;"", //"""),"'","""")&amp;SUBSTITUTE(TEXT(Overig!R423,""",""????0;"",""???-0;"",""????0;"", ////"""),"'","""")&amp;SUBSTITUTE(TEXT(Overig!S423,""",""?00;"",""?-00;"",""?00;"", //"""),"'","""")&amp;SUBSTITUTE(TEXT(IF(ISTEXT(Overig!T423),Overig!T423,10*Overig!T423),""",""????0;"",""???-0;"",""????0;"", ////"""),"'","""")&amp;SUBSTITUTE(TEXT(Overig!U423,""",""?00;"",""?-00;"",""?00;"", //"""),"'","""")&amp;SUBSTITUTE(TEXT(Overig!V423,""",""???0;"",""??-0;"",""???0;"", ///"""),"'","""")&amp;SUBSTITUTE(TEXT(Overig!W423,""",""?00;"",""?-00;"",""?00;"", //"""),"'","""")</f>
        <v>032, 19400415, 12.00, 7592, 00,  271, 00, ////, 07, ////, 07,  73, 00,  197, 00,  234, 00,   45, 00,    4, 00,   3, 00</v>
      </c>
    </row>
    <row r="424" spans="1:1" x14ac:dyDescent="0.25">
      <c r="A424" s="12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//"""),"'","""")&amp;SUBSTITUTE(TEXT(IF(ISTEXT(Overig!J424),Overig!J424,10*Overig!J424),""",""????0;"",""???-0;"",""????0;"", ////"""),"'","""")&amp;SUBSTITUTE(TEXT(Overig!K424,""",""?00;"",""?-00;"",""?00;"", //"""),"'","""")&amp;SUBSTITUTE(TEXT(Overig!L424,""",""???0;"",""??-0;"",""???0;"", ///"""),"'","""")&amp;SUBSTITUTE(TEXT(Overig!M424,""",""?00;"",""?-00;"",""?00;"", //"""),"'","""")&amp;SUBSTITUTE(TEXT(IF(ISTEXT(Overig!N424),Overig!N424,10*Overig!N424),""",""????0;"",""???-0;"",""????0;"", ////"""),"'","""")&amp;SUBSTITUTE(TEXT(Overig!O424,""",""?00;"",""?-00;"",""?00;"", //"""),"'","""")&amp;SUBSTITUTE(TEXT(IF(ISTEXT(Overig!P424),Overig!P424,10*Overig!P424),""",""????0;"",""???-0;"",""????0;"", ////"""),"'","""")&amp;SUBSTITUTE(TEXT(Overig!Q424,""",""?00;"",""?-00;"",""?00;"", //"""),"'","""")&amp;SUBSTITUTE(TEXT(Overig!R424,""",""????0;"",""???-0;"",""????0;"", ////"""),"'","""")&amp;SUBSTITUTE(TEXT(Overig!S424,""",""?00;"",""?-00;"",""?00;"", //"""),"'","""")&amp;SUBSTITUTE(TEXT(IF(ISTEXT(Overig!T424),Overig!T424,10*Overig!T424),""",""????0;"",""???-0;"",""????0;"", ////"""),"'","""")&amp;SUBSTITUTE(TEXT(Overig!U424,""",""?00;"",""?-00;"",""?00;"", //"""),"'","""")&amp;SUBSTITUTE(TEXT(Overig!V424,""",""???0;"",""??-0;"",""???0;"", ///"""),"'","""")&amp;SUBSTITUTE(TEXT(Overig!W424,""",""?00;"",""?-00;"",""?00;"", //"""),"'","""")</f>
        <v>032, 19400415, 17.00, 7587, 00,  261, 00, ////, 07, ////, 07,  77, 00,  195, 00,  230, 00,   45, 00,    4, 00,   4, 00</v>
      </c>
    </row>
    <row r="425" spans="1:1" x14ac:dyDescent="0.25">
      <c r="A425" s="12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//"""),"'","""")&amp;SUBSTITUTE(TEXT(IF(ISTEXT(Overig!J425),Overig!J425,10*Overig!J425),""",""????0;"",""???-0;"",""????0;"", ////"""),"'","""")&amp;SUBSTITUTE(TEXT(Overig!K425,""",""?00;"",""?-00;"",""?00;"", //"""),"'","""")&amp;SUBSTITUTE(TEXT(Overig!L425,""",""???0;"",""??-0;"",""???0;"", ///"""),"'","""")&amp;SUBSTITUTE(TEXT(Overig!M425,""",""?00;"",""?-00;"",""?00;"", //"""),"'","""")&amp;SUBSTITUTE(TEXT(IF(ISTEXT(Overig!N425),Overig!N425,10*Overig!N425),""",""????0;"",""???-0;"",""????0;"", ////"""),"'","""")&amp;SUBSTITUTE(TEXT(Overig!O425,""",""?00;"",""?-00;"",""?00;"", //"""),"'","""")&amp;SUBSTITUTE(TEXT(IF(ISTEXT(Overig!P425),Overig!P425,10*Overig!P425),""",""????0;"",""???-0;"",""????0;"", ////"""),"'","""")&amp;SUBSTITUTE(TEXT(Overig!Q425,""",""?00;"",""?-00;"",""?00;"", //"""),"'","""")&amp;SUBSTITUTE(TEXT(Overig!R425,""",""????0;"",""???-0;"",""????0;"", ////"""),"'","""")&amp;SUBSTITUTE(TEXT(Overig!S425,""",""?00;"",""?-00;"",""?00;"", //"""),"'","""")&amp;SUBSTITUTE(TEXT(IF(ISTEXT(Overig!T425),Overig!T425,10*Overig!T425),""",""????0;"",""???-0;"",""????0;"", ////"""),"'","""")&amp;SUBSTITUTE(TEXT(Overig!U425,""",""?00;"",""?-00;"",""?00;"", //"""),"'","""")&amp;SUBSTITUTE(TEXT(Overig!V425,""",""???0;"",""??-0;"",""???0;"", ///"""),"'","""")&amp;SUBSTITUTE(TEXT(Overig!W425,""",""?00;"",""?-00;"",""?00;"", //"""),"'","""")</f>
        <v>032, 19400415, 24.00, ////, 07, ////, 07,  278, 00,  290, 00, ///, 07, ////, 07, ////, 07, ////, 07, ////, 07, ///, 07</v>
      </c>
    </row>
    <row r="426" spans="1:1" x14ac:dyDescent="0.25">
      <c r="A426" s="12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//"""),"'","""")&amp;SUBSTITUTE(TEXT(IF(ISTEXT(Overig!J426),Overig!J426,10*Overig!J426),""",""????0;"",""???-0;"",""????0;"", ////"""),"'","""")&amp;SUBSTITUTE(TEXT(Overig!K426,""",""?00;"",""?-00;"",""?00;"", //"""),"'","""")&amp;SUBSTITUTE(TEXT(Overig!L426,""",""???0;"",""??-0;"",""???0;"", ///"""),"'","""")&amp;SUBSTITUTE(TEXT(Overig!M426,""",""?00;"",""?-00;"",""?00;"", //"""),"'","""")&amp;SUBSTITUTE(TEXT(IF(ISTEXT(Overig!N426),Overig!N426,10*Overig!N426),""",""????0;"",""???-0;"",""????0;"", ////"""),"'","""")&amp;SUBSTITUTE(TEXT(Overig!O426,""",""?00;"",""?-00;"",""?00;"", //"""),"'","""")&amp;SUBSTITUTE(TEXT(IF(ISTEXT(Overig!P426),Overig!P426,10*Overig!P426),""",""????0;"",""???-0;"",""????0;"", ////"""),"'","""")&amp;SUBSTITUTE(TEXT(Overig!Q426,""",""?00;"",""?-00;"",""?00;"", //"""),"'","""")&amp;SUBSTITUTE(TEXT(Overig!R426,""",""????0;"",""???-0;"",""????0;"", ////"""),"'","""")&amp;SUBSTITUTE(TEXT(Overig!S426,""",""?00;"",""?-00;"",""?00;"", //"""),"'","""")&amp;SUBSTITUTE(TEXT(IF(ISTEXT(Overig!T426),Overig!T426,10*Overig!T426),""",""????0;"",""???-0;"",""????0;"", ////"""),"'","""")&amp;SUBSTITUTE(TEXT(Overig!U426,""",""?00;"",""?-00;"",""?00;"", //"""),"'","""")&amp;SUBSTITUTE(TEXT(Overig!V426,""",""???0;"",""??-0;"",""???0;"", ///"""),"'","""")&amp;SUBSTITUTE(TEXT(Overig!W426,""",""?00;"",""?-00;"",""?00;"", //"""),"'","""")</f>
        <v>032, 19400416, 07.00, 7597, 00,  265, 00, ////, 07, ////, 07,  70, 00,  183, 00,  224, 00,   45, 00,    3, 00,   4, 00</v>
      </c>
    </row>
    <row r="427" spans="1:1" x14ac:dyDescent="0.25">
      <c r="A427" s="12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//"""),"'","""")&amp;SUBSTITUTE(TEXT(IF(ISTEXT(Overig!J427),Overig!J427,10*Overig!J427),""",""????0;"",""???-0;"",""????0;"", ////"""),"'","""")&amp;SUBSTITUTE(TEXT(Overig!K427,""",""?00;"",""?-00;"",""?00;"", //"""),"'","""")&amp;SUBSTITUTE(TEXT(Overig!L427,""",""???0;"",""??-0;"",""???0;"", ///"""),"'","""")&amp;SUBSTITUTE(TEXT(Overig!M427,""",""?00;"",""?-00;"",""?00;"", //"""),"'","""")&amp;SUBSTITUTE(TEXT(IF(ISTEXT(Overig!N427),Overig!N427,10*Overig!N427),""",""????0;"",""???-0;"",""????0;"", ////"""),"'","""")&amp;SUBSTITUTE(TEXT(Overig!O427,""",""?00;"",""?-00;"",""?00;"", //"""),"'","""")&amp;SUBSTITUTE(TEXT(IF(ISTEXT(Overig!P427),Overig!P427,10*Overig!P427),""",""????0;"",""???-0;"",""????0;"", ////"""),"'","""")&amp;SUBSTITUTE(TEXT(Overig!Q427,""",""?00;"",""?-00;"",""?00;"", //"""),"'","""")&amp;SUBSTITUTE(TEXT(Overig!R427,""",""????0;"",""???-0;"",""????0;"", ////"""),"'","""")&amp;SUBSTITUTE(TEXT(Overig!S427,""",""?00;"",""?-00;"",""?00;"", //"""),"'","""")&amp;SUBSTITUTE(TEXT(IF(ISTEXT(Overig!T427),Overig!T427,10*Overig!T427),""",""????0;"",""???-0;"",""????0;"", ////"""),"'","""")&amp;SUBSTITUTE(TEXT(Overig!U427,""",""?00;"",""?-00;"",""?00;"", //"""),"'","""")&amp;SUBSTITUTE(TEXT(Overig!V427,""",""???0;"",""??-0;"",""???0;"", ///"""),"'","""")&amp;SUBSTITUTE(TEXT(Overig!W427,""",""?00;"",""?-00;"",""?00;"", //"""),"'","""")</f>
        <v>032, 19400416, 12.00, 7587, 00,  269, 00, ////, 07, ////, 07,  71, 00,  188, 00,  228, 00,   45, 00,    4, 00,   3, 00</v>
      </c>
    </row>
    <row r="428" spans="1:1" x14ac:dyDescent="0.25">
      <c r="A428" s="12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//"""),"'","""")&amp;SUBSTITUTE(TEXT(IF(ISTEXT(Overig!J428),Overig!J428,10*Overig!J428),""",""????0;"",""???-0;"",""????0;"", ////"""),"'","""")&amp;SUBSTITUTE(TEXT(Overig!K428,""",""?00;"",""?-00;"",""?00;"", //"""),"'","""")&amp;SUBSTITUTE(TEXT(Overig!L428,""",""???0;"",""??-0;"",""???0;"", ///"""),"'","""")&amp;SUBSTITUTE(TEXT(Overig!M428,""",""?00;"",""?-00;"",""?00;"", //"""),"'","""")&amp;SUBSTITUTE(TEXT(IF(ISTEXT(Overig!N428),Overig!N428,10*Overig!N428),""",""????0;"",""???-0;"",""????0;"", ////"""),"'","""")&amp;SUBSTITUTE(TEXT(Overig!O428,""",""?00;"",""?-00;"",""?00;"", //"""),"'","""")&amp;SUBSTITUTE(TEXT(IF(ISTEXT(Overig!P428),Overig!P428,10*Overig!P428),""",""????0;"",""???-0;"",""????0;"", ////"""),"'","""")&amp;SUBSTITUTE(TEXT(Overig!Q428,""",""?00;"",""?-00;"",""?00;"", //"""),"'","""")&amp;SUBSTITUTE(TEXT(Overig!R428,""",""????0;"",""???-0;"",""????0;"", ////"""),"'","""")&amp;SUBSTITUTE(TEXT(Overig!S428,""",""?00;"",""?-00;"",""?00;"", //"""),"'","""")&amp;SUBSTITUTE(TEXT(IF(ISTEXT(Overig!T428),Overig!T428,10*Overig!T428),""",""????0;"",""???-0;"",""????0;"", ////"""),"'","""")&amp;SUBSTITUTE(TEXT(Overig!U428,""",""?00;"",""?-00;"",""?00;"", //"""),"'","""")&amp;SUBSTITUTE(TEXT(Overig!V428,""",""???0;"",""??-0;"",""???0;"", ///"""),"'","""")&amp;SUBSTITUTE(TEXT(Overig!W428,""",""?00;"",""?-00;"",""?00;"", //"""),"'","""")</f>
        <v>032, 19400416, 17.00, 7582, 00,  269, 00, ////, 07, ////, 07,  71, 00,  188, 00,  228, 00,   45, 00,    4, 00,   2, 00</v>
      </c>
    </row>
    <row r="429" spans="1:1" x14ac:dyDescent="0.25">
      <c r="A429" s="12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//"""),"'","""")&amp;SUBSTITUTE(TEXT(IF(ISTEXT(Overig!J429),Overig!J429,10*Overig!J429),""",""????0;"",""???-0;"",""????0;"", ////"""),"'","""")&amp;SUBSTITUTE(TEXT(Overig!K429,""",""?00;"",""?-00;"",""?00;"", //"""),"'","""")&amp;SUBSTITUTE(TEXT(Overig!L429,""",""???0;"",""??-0;"",""???0;"", ///"""),"'","""")&amp;SUBSTITUTE(TEXT(Overig!M429,""",""?00;"",""?-00;"",""?00;"", //"""),"'","""")&amp;SUBSTITUTE(TEXT(IF(ISTEXT(Overig!N429),Overig!N429,10*Overig!N429),""",""????0;"",""???-0;"",""????0;"", ////"""),"'","""")&amp;SUBSTITUTE(TEXT(Overig!O429,""",""?00;"",""?-00;"",""?00;"", //"""),"'","""")&amp;SUBSTITUTE(TEXT(IF(ISTEXT(Overig!P429),Overig!P429,10*Overig!P429),""",""????0;"",""???-0;"",""????0;"", ////"""),"'","""")&amp;SUBSTITUTE(TEXT(Overig!Q429,""",""?00;"",""?-00;"",""?00;"", //"""),"'","""")&amp;SUBSTITUTE(TEXT(Overig!R429,""",""????0;"",""???-0;"",""????0;"", ////"""),"'","""")&amp;SUBSTITUTE(TEXT(Overig!S429,""",""?00;"",""?-00;"",""?00;"", //"""),"'","""")&amp;SUBSTITUTE(TEXT(IF(ISTEXT(Overig!T429),Overig!T429,10*Overig!T429),""",""????0;"",""???-0;"",""????0;"", ////"""),"'","""")&amp;SUBSTITUTE(TEXT(Overig!U429,""",""?00;"",""?-00;"",""?00;"", //"""),"'","""")&amp;SUBSTITUTE(TEXT(Overig!V429,""",""???0;"",""??-0;"",""???0;"", ///"""),"'","""")&amp;SUBSTITUTE(TEXT(Overig!W429,""",""?00;"",""?-00;"",""?00;"", //"""),"'","""")</f>
        <v>032, 19400416, 24.00, ////, 07, ////, 07,  274, 00,  296, 00, ///, 07, ////, 07, ////, 07, ////, 07, ////, 07, ///, 07</v>
      </c>
    </row>
    <row r="430" spans="1:1" x14ac:dyDescent="0.25">
      <c r="A430" s="12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//"""),"'","""")&amp;SUBSTITUTE(TEXT(IF(ISTEXT(Overig!J430),Overig!J430,10*Overig!J430),""",""????0;"",""???-0;"",""????0;"", ////"""),"'","""")&amp;SUBSTITUTE(TEXT(Overig!K430,""",""?00;"",""?-00;"",""?00;"", //"""),"'","""")&amp;SUBSTITUTE(TEXT(Overig!L430,""",""???0;"",""??-0;"",""???0;"", ///"""),"'","""")&amp;SUBSTITUTE(TEXT(Overig!M430,""",""?00;"",""?-00;"",""?00;"", //"""),"'","""")&amp;SUBSTITUTE(TEXT(IF(ISTEXT(Overig!N430),Overig!N430,10*Overig!N430),""",""????0;"",""???-0;"",""????0;"", ////"""),"'","""")&amp;SUBSTITUTE(TEXT(Overig!O430,""",""?00;"",""?-00;"",""?00;"", //"""),"'","""")&amp;SUBSTITUTE(TEXT(IF(ISTEXT(Overig!P430),Overig!P430,10*Overig!P430),""",""????0;"",""???-0;"",""????0;"", ////"""),"'","""")&amp;SUBSTITUTE(TEXT(Overig!Q430,""",""?00;"",""?-00;"",""?00;"", //"""),"'","""")&amp;SUBSTITUTE(TEXT(Overig!R430,""",""????0;"",""???-0;"",""????0;"", ////"""),"'","""")&amp;SUBSTITUTE(TEXT(Overig!S430,""",""?00;"",""?-00;"",""?00;"", //"""),"'","""")&amp;SUBSTITUTE(TEXT(IF(ISTEXT(Overig!T430),Overig!T430,10*Overig!T430),""",""????0;"",""???-0;"",""????0;"", ////"""),"'","""")&amp;SUBSTITUTE(TEXT(Overig!U430,""",""?00;"",""?-00;"",""?00;"", //"""),"'","""")&amp;SUBSTITUTE(TEXT(Overig!V430,""",""???0;"",""??-0;"",""???0;"", ///"""),"'","""")&amp;SUBSTITUTE(TEXT(Overig!W430,""",""?00;"",""?-00;"",""?00;"", //"""),"'","""")</f>
        <v>032, 19400417, 07.00, 7587, 00,  261, 00, ////, 07, ////, 07,  71, 00,  181, 00,  222, 00,   45, 00,    4, 00,   4, 00</v>
      </c>
    </row>
    <row r="431" spans="1:1" x14ac:dyDescent="0.25">
      <c r="A431" s="12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//"""),"'","""")&amp;SUBSTITUTE(TEXT(IF(ISTEXT(Overig!J431),Overig!J431,10*Overig!J431),""",""????0;"",""???-0;"",""????0;"", ////"""),"'","""")&amp;SUBSTITUTE(TEXT(Overig!K431,""",""?00;"",""?-00;"",""?00;"", //"""),"'","""")&amp;SUBSTITUTE(TEXT(Overig!L431,""",""???0;"",""??-0;"",""???0;"", ///"""),"'","""")&amp;SUBSTITUTE(TEXT(Overig!M431,""",""?00;"",""?-00;"",""?00;"", //"""),"'","""")&amp;SUBSTITUTE(TEXT(IF(ISTEXT(Overig!N431),Overig!N431,10*Overig!N431),""",""????0;"",""???-0;"",""????0;"", ////"""),"'","""")&amp;SUBSTITUTE(TEXT(Overig!O431,""",""?00;"",""?-00;"",""?00;"", //"""),"'","""")&amp;SUBSTITUTE(TEXT(IF(ISTEXT(Overig!P431),Overig!P431,10*Overig!P431),""",""????0;"",""???-0;"",""????0;"", ////"""),"'","""")&amp;SUBSTITUTE(TEXT(Overig!Q431,""",""?00;"",""?-00;"",""?00;"", //"""),"'","""")&amp;SUBSTITUTE(TEXT(Overig!R431,""",""????0;"",""???-0;"",""????0;"", ////"""),"'","""")&amp;SUBSTITUTE(TEXT(Overig!S431,""",""?00;"",""?-00;"",""?00;"", //"""),"'","""")&amp;SUBSTITUTE(TEXT(IF(ISTEXT(Overig!T431),Overig!T431,10*Overig!T431),""",""????0;"",""???-0;"",""????0;"", ////"""),"'","""")&amp;SUBSTITUTE(TEXT(Overig!U431,""",""?00;"",""?-00;"",""?00;"", //"""),"'","""")&amp;SUBSTITUTE(TEXT(Overig!V431,""",""???0;"",""??-0;"",""???0;"", ///"""),"'","""")&amp;SUBSTITUTE(TEXT(Overig!W431,""",""?00;"",""?-00;"",""?00;"", //"""),"'","""")</f>
        <v>032, 19400417, 12.00, 7582, 00,  267, 00, ////, 07, ////, 07,  72, 00,  189, 00,  228, 00,   45, 00,    5, 00,   5, 00</v>
      </c>
    </row>
    <row r="432" spans="1:1" x14ac:dyDescent="0.25">
      <c r="A432" s="12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//"""),"'","""")&amp;SUBSTITUTE(TEXT(IF(ISTEXT(Overig!J432),Overig!J432,10*Overig!J432),""",""????0;"",""???-0;"",""????0;"", ////"""),"'","""")&amp;SUBSTITUTE(TEXT(Overig!K432,""",""?00;"",""?-00;"",""?00;"", //"""),"'","""")&amp;SUBSTITUTE(TEXT(Overig!L432,""",""???0;"",""??-0;"",""???0;"", ///"""),"'","""")&amp;SUBSTITUTE(TEXT(Overig!M432,""",""?00;"",""?-00;"",""?00;"", //"""),"'","""")&amp;SUBSTITUTE(TEXT(IF(ISTEXT(Overig!N432),Overig!N432,10*Overig!N432),""",""????0;"",""???-0;"",""????0;"", ////"""),"'","""")&amp;SUBSTITUTE(TEXT(Overig!O432,""",""?00;"",""?-00;"",""?00;"", //"""),"'","""")&amp;SUBSTITUTE(TEXT(IF(ISTEXT(Overig!P432),Overig!P432,10*Overig!P432),""",""????0;"",""???-0;"",""????0;"", ////"""),"'","""")&amp;SUBSTITUTE(TEXT(Overig!Q432,""",""?00;"",""?-00;"",""?00;"", //"""),"'","""")&amp;SUBSTITUTE(TEXT(Overig!R432,""",""????0;"",""???-0;"",""????0;"", ////"""),"'","""")&amp;SUBSTITUTE(TEXT(Overig!S432,""",""?00;"",""?-00;"",""?00;"", //"""),"'","""")&amp;SUBSTITUTE(TEXT(IF(ISTEXT(Overig!T432),Overig!T432,10*Overig!T432),""",""????0;"",""???-0;"",""????0;"", ////"""),"'","""")&amp;SUBSTITUTE(TEXT(Overig!U432,""",""?00;"",""?-00;"",""?00;"", //"""),"'","""")&amp;SUBSTITUTE(TEXT(Overig!V432,""",""???0;"",""??-0;"",""???0;"", ///"""),"'","""")&amp;SUBSTITUTE(TEXT(Overig!W432,""",""?00;"",""?-00;"",""?00;"", //"""),"'","""")</f>
        <v>032, 19400417, 17.00, 7582, 00,  263, 00, ////, 07, ////, 07,  74, 00,  191, 00,  228, 00,   45, 00,    4, 00,   4, 00</v>
      </c>
    </row>
    <row r="433" spans="1:1" x14ac:dyDescent="0.25">
      <c r="A433" s="12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//"""),"'","""")&amp;SUBSTITUTE(TEXT(IF(ISTEXT(Overig!J433),Overig!J433,10*Overig!J433),""",""????0;"",""???-0;"",""????0;"", ////"""),"'","""")&amp;SUBSTITUTE(TEXT(Overig!K433,""",""?00;"",""?-00;"",""?00;"", //"""),"'","""")&amp;SUBSTITUTE(TEXT(Overig!L433,""",""???0;"",""??-0;"",""???0;"", ///"""),"'","""")&amp;SUBSTITUTE(TEXT(Overig!M433,""",""?00;"",""?-00;"",""?00;"", //"""),"'","""")&amp;SUBSTITUTE(TEXT(IF(ISTEXT(Overig!N433),Overig!N433,10*Overig!N433),""",""????0;"",""???-0;"",""????0;"", ////"""),"'","""")&amp;SUBSTITUTE(TEXT(Overig!O433,""",""?00;"",""?-00;"",""?00;"", //"""),"'","""")&amp;SUBSTITUTE(TEXT(IF(ISTEXT(Overig!P433),Overig!P433,10*Overig!P433),""",""????0;"",""???-0;"",""????0;"", ////"""),"'","""")&amp;SUBSTITUTE(TEXT(Overig!Q433,""",""?00;"",""?-00;"",""?00;"", //"""),"'","""")&amp;SUBSTITUTE(TEXT(Overig!R433,""",""????0;"",""???-0;"",""????0;"", ////"""),"'","""")&amp;SUBSTITUTE(TEXT(Overig!S433,""",""?00;"",""?-00;"",""?00;"", //"""),"'","""")&amp;SUBSTITUTE(TEXT(IF(ISTEXT(Overig!T433),Overig!T433,10*Overig!T433),""",""????0;"",""???-0;"",""????0;"", ////"""),"'","""")&amp;SUBSTITUTE(TEXT(Overig!U433,""",""?00;"",""?-00;"",""?00;"", //"""),"'","""")&amp;SUBSTITUTE(TEXT(Overig!V433,""",""???0;"",""??-0;"",""???0;"", ///"""),"'","""")&amp;SUBSTITUTE(TEXT(Overig!W433,""",""?00;"",""?-00;"",""?00;"", //"""),"'","""")</f>
        <v>032, 19400417, 24.00, ////, 07, ////, 07,  263, 00,  286, 00, ///, 07, ////, 07, ////, 07, ////, 07, ////, 07, ///, 07</v>
      </c>
    </row>
    <row r="434" spans="1:1" x14ac:dyDescent="0.25">
      <c r="A434" s="12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//"""),"'","""")&amp;SUBSTITUTE(TEXT(IF(ISTEXT(Overig!J434),Overig!J434,10*Overig!J434),""",""????0;"",""???-0;"",""????0;"", ////"""),"'","""")&amp;SUBSTITUTE(TEXT(Overig!K434,""",""?00;"",""?-00;"",""?00;"", //"""),"'","""")&amp;SUBSTITUTE(TEXT(Overig!L434,""",""???0;"",""??-0;"",""???0;"", ///"""),"'","""")&amp;SUBSTITUTE(TEXT(Overig!M434,""",""?00;"",""?-00;"",""?00;"", //"""),"'","""")&amp;SUBSTITUTE(TEXT(IF(ISTEXT(Overig!N434),Overig!N434,10*Overig!N434),""",""????0;"",""???-0;"",""????0;"", ////"""),"'","""")&amp;SUBSTITUTE(TEXT(Overig!O434,""",""?00;"",""?-00;"",""?00;"", //"""),"'","""")&amp;SUBSTITUTE(TEXT(IF(ISTEXT(Overig!P434),Overig!P434,10*Overig!P434),""",""????0;"",""???-0;"",""????0;"", ////"""),"'","""")&amp;SUBSTITUTE(TEXT(Overig!Q434,""",""?00;"",""?-00;"",""?00;"", //"""),"'","""")&amp;SUBSTITUTE(TEXT(Overig!R434,""",""????0;"",""???-0;"",""????0;"", ////"""),"'","""")&amp;SUBSTITUTE(TEXT(Overig!S434,""",""?00;"",""?-00;"",""?00;"", //"""),"'","""")&amp;SUBSTITUTE(TEXT(IF(ISTEXT(Overig!T434),Overig!T434,10*Overig!T434),""",""????0;"",""???-0;"",""????0;"", ////"""),"'","""")&amp;SUBSTITUTE(TEXT(Overig!U434,""",""?00;"",""?-00;"",""?00;"", //"""),"'","""")&amp;SUBSTITUTE(TEXT(Overig!V434,""",""???0;"",""??-0;"",""???0;"", ///"""),"'","""")&amp;SUBSTITUTE(TEXT(Overig!W434,""",""?00;"",""?-00;"",""?00;"", //"""),"'","""")</f>
        <v>032, 19400418, 07.00, 7574, 00,  267, 00, ////, 07, ////, 07,  73, 00,  192, 00,  230, 00,   65, 00,    3, 00,   3, 00</v>
      </c>
    </row>
    <row r="435" spans="1:1" x14ac:dyDescent="0.25">
      <c r="A435" s="12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//"""),"'","""")&amp;SUBSTITUTE(TEXT(IF(ISTEXT(Overig!J435),Overig!J435,10*Overig!J435),""",""????0;"",""???-0;"",""????0;"", ////"""),"'","""")&amp;SUBSTITUTE(TEXT(Overig!K435,""",""?00;"",""?-00;"",""?00;"", //"""),"'","""")&amp;SUBSTITUTE(TEXT(Overig!L435,""",""???0;"",""??-0;"",""???0;"", ///"""),"'","""")&amp;SUBSTITUTE(TEXT(Overig!M435,""",""?00;"",""?-00;"",""?00;"", //"""),"'","""")&amp;SUBSTITUTE(TEXT(IF(ISTEXT(Overig!N435),Overig!N435,10*Overig!N435),""",""????0;"",""???-0;"",""????0;"", ////"""),"'","""")&amp;SUBSTITUTE(TEXT(Overig!O435,""",""?00;"",""?-00;"",""?00;"", //"""),"'","""")&amp;SUBSTITUTE(TEXT(IF(ISTEXT(Overig!P435),Overig!P435,10*Overig!P435),""",""????0;"",""???-0;"",""????0;"", ////"""),"'","""")&amp;SUBSTITUTE(TEXT(Overig!Q435,""",""?00;"",""?-00;"",""?00;"", //"""),"'","""")&amp;SUBSTITUTE(TEXT(Overig!R435,""",""????0;"",""???-0;"",""????0;"", ////"""),"'","""")&amp;SUBSTITUTE(TEXT(Overig!S435,""",""?00;"",""?-00;"",""?00;"", //"""),"'","""")&amp;SUBSTITUTE(TEXT(IF(ISTEXT(Overig!T435),Overig!T435,10*Overig!T435),""",""????0;"",""???-0;"",""????0;"", ////"""),"'","""")&amp;SUBSTITUTE(TEXT(Overig!U435,""",""?00;"",""?-00;"",""?00;"", //"""),"'","""")&amp;SUBSTITUTE(TEXT(Overig!V435,""",""???0;"",""??-0;"",""???0;"", ///"""),"'","""")&amp;SUBSTITUTE(TEXT(Overig!W435,""",""?00;"",""?-00;"",""?00;"", //"""),"'","""")</f>
        <v>032, 19400418, 12.00, 7556, 00,  271, 00, ////, 07, ////, 07,  73, 00,  197, 00,  234, 00,   65, 00,    4, 00,   2, 00</v>
      </c>
    </row>
    <row r="436" spans="1:1" x14ac:dyDescent="0.25">
      <c r="A436" s="12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//"""),"'","""")&amp;SUBSTITUTE(TEXT(IF(ISTEXT(Overig!J436),Overig!J436,10*Overig!J436),""",""????0;"",""???-0;"",""????0;"", ////"""),"'","""")&amp;SUBSTITUTE(TEXT(Overig!K436,""",""?00;"",""?-00;"",""?00;"", //"""),"'","""")&amp;SUBSTITUTE(TEXT(Overig!L436,""",""???0;"",""??-0;"",""???0;"", ///"""),"'","""")&amp;SUBSTITUTE(TEXT(Overig!M436,""",""?00;"",""?-00;"",""?00;"", //"""),"'","""")&amp;SUBSTITUTE(TEXT(IF(ISTEXT(Overig!N436),Overig!N436,10*Overig!N436),""",""????0;"",""???-0;"",""????0;"", ////"""),"'","""")&amp;SUBSTITUTE(TEXT(Overig!O436,""",""?00;"",""?-00;"",""?00;"", //"""),"'","""")&amp;SUBSTITUTE(TEXT(IF(ISTEXT(Overig!P436),Overig!P436,10*Overig!P436),""",""????0;"",""???-0;"",""????0;"", ////"""),"'","""")&amp;SUBSTITUTE(TEXT(Overig!Q436,""",""?00;"",""?-00;"",""?00;"", //"""),"'","""")&amp;SUBSTITUTE(TEXT(Overig!R436,""",""????0;"",""???-0;"",""????0;"", ////"""),"'","""")&amp;SUBSTITUTE(TEXT(Overig!S436,""",""?00;"",""?-00;"",""?00;"", //"""),"'","""")&amp;SUBSTITUTE(TEXT(IF(ISTEXT(Overig!T436),Overig!T436,10*Overig!T436),""",""????0;"",""???-0;"",""????0;"", ////"""),"'","""")&amp;SUBSTITUTE(TEXT(Overig!U436,""",""?00;"",""?-00;"",""?00;"", //"""),"'","""")&amp;SUBSTITUTE(TEXT(Overig!V436,""",""???0;"",""??-0;"",""???0;"", ///"""),"'","""")&amp;SUBSTITUTE(TEXT(Overig!W436,""",""?00;"",""?-00;"",""?00;"", //"""),"'","""")</f>
        <v>032, 19400418, 17.00, 7556, 00,  275, 00, ////, 07, ////, 07,  68, 00,  188, 00,  230, 00,   45, 00,    4, 00,   2, 00</v>
      </c>
    </row>
    <row r="437" spans="1:1" x14ac:dyDescent="0.25">
      <c r="A437" s="12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//"""),"'","""")&amp;SUBSTITUTE(TEXT(IF(ISTEXT(Overig!J437),Overig!J437,10*Overig!J437),""",""????0;"",""???-0;"",""????0;"", ////"""),"'","""")&amp;SUBSTITUTE(TEXT(Overig!K437,""",""?00;"",""?-00;"",""?00;"", //"""),"'","""")&amp;SUBSTITUTE(TEXT(Overig!L437,""",""???0;"",""??-0;"",""???0;"", ///"""),"'","""")&amp;SUBSTITUTE(TEXT(Overig!M437,""",""?00;"",""?-00;"",""?00;"", //"""),"'","""")&amp;SUBSTITUTE(TEXT(IF(ISTEXT(Overig!N437),Overig!N437,10*Overig!N437),""",""????0;"",""???-0;"",""????0;"", ////"""),"'","""")&amp;SUBSTITUTE(TEXT(Overig!O437,""",""?00;"",""?-00;"",""?00;"", //"""),"'","""")&amp;SUBSTITUTE(TEXT(IF(ISTEXT(Overig!P437),Overig!P437,10*Overig!P437),""",""????0;"",""???-0;"",""????0;"", ////"""),"'","""")&amp;SUBSTITUTE(TEXT(Overig!Q437,""",""?00;"",""?-00;"",""?00;"", //"""),"'","""")&amp;SUBSTITUTE(TEXT(Overig!R437,""",""????0;"",""???-0;"",""????0;"", ////"""),"'","""")&amp;SUBSTITUTE(TEXT(Overig!S437,""",""?00;"",""?-00;"",""?00;"", //"""),"'","""")&amp;SUBSTITUTE(TEXT(IF(ISTEXT(Overig!T437),Overig!T437,10*Overig!T437),""",""????0;"",""???-0;"",""????0;"", ////"""),"'","""")&amp;SUBSTITUTE(TEXT(Overig!U437,""",""?00;"",""?-00;"",""?00;"", //"""),"'","""")&amp;SUBSTITUTE(TEXT(Overig!V437,""",""???0;"",""??-0;"",""???0;"", ///"""),"'","""")&amp;SUBSTITUTE(TEXT(Overig!W437,""",""?00;"",""?-00;"",""?00;"", //"""),"'","""")</f>
        <v>032, 19400418, 24.00, ////, 07, ////, 07,  274, 00,  294, 00, ///, 07, ////, 07, ////, 07, ////, 07, ////, 07, ///, 07</v>
      </c>
    </row>
    <row r="438" spans="1:1" x14ac:dyDescent="0.25">
      <c r="A438" s="12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//"""),"'","""")&amp;SUBSTITUTE(TEXT(IF(ISTEXT(Overig!J438),Overig!J438,10*Overig!J438),""",""????0;"",""???-0;"",""????0;"", ////"""),"'","""")&amp;SUBSTITUTE(TEXT(Overig!K438,""",""?00;"",""?-00;"",""?00;"", //"""),"'","""")&amp;SUBSTITUTE(TEXT(Overig!L438,""",""???0;"",""??-0;"",""???0;"", ///"""),"'","""")&amp;SUBSTITUTE(TEXT(Overig!M438,""",""?00;"",""?-00;"",""?00;"", //"""),"'","""")&amp;SUBSTITUTE(TEXT(IF(ISTEXT(Overig!N438),Overig!N438,10*Overig!N438),""",""????0;"",""???-0;"",""????0;"", ////"""),"'","""")&amp;SUBSTITUTE(TEXT(Overig!O438,""",""?00;"",""?-00;"",""?00;"", //"""),"'","""")&amp;SUBSTITUTE(TEXT(IF(ISTEXT(Overig!P438),Overig!P438,10*Overig!P438),""",""????0;"",""???-0;"",""????0;"", ////"""),"'","""")&amp;SUBSTITUTE(TEXT(Overig!Q438,""",""?00;"",""?-00;"",""?00;"", //"""),"'","""")&amp;SUBSTITUTE(TEXT(Overig!R438,""",""????0;"",""???-0;"",""????0;"", ////"""),"'","""")&amp;SUBSTITUTE(TEXT(Overig!S438,""",""?00;"",""?-00;"",""?00;"", //"""),"'","""")&amp;SUBSTITUTE(TEXT(IF(ISTEXT(Overig!T438),Overig!T438,10*Overig!T438),""",""????0;"",""???-0;"",""????0;"", ////"""),"'","""")&amp;SUBSTITUTE(TEXT(Overig!U438,""",""?00;"",""?-00;"",""?00;"", //"""),"'","""")&amp;SUBSTITUTE(TEXT(Overig!V438,""",""???0;"",""??-0;"",""???0;"", ///"""),"'","""")&amp;SUBSTITUTE(TEXT(Overig!W438,""",""?00;"",""?-00;"",""?00;"", //"""),"'","""")</f>
        <v>032, 19400419, 07.00, 7585, 00,  273, 00, ////, 07, ////, 07,  75, 00,  204, 00,  238, 00,   45, 00,    2, 00,   5, 00</v>
      </c>
    </row>
    <row r="439" spans="1:1" x14ac:dyDescent="0.25">
      <c r="A439" s="12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//"""),"'","""")&amp;SUBSTITUTE(TEXT(IF(ISTEXT(Overig!J439),Overig!J439,10*Overig!J439),""",""????0;"",""???-0;"",""????0;"", ////"""),"'","""")&amp;SUBSTITUTE(TEXT(Overig!K439,""",""?00;"",""?-00;"",""?00;"", //"""),"'","""")&amp;SUBSTITUTE(TEXT(Overig!L439,""",""???0;"",""??-0;"",""???0;"", ///"""),"'","""")&amp;SUBSTITUTE(TEXT(Overig!M439,""",""?00;"",""?-00;"",""?00;"", //"""),"'","""")&amp;SUBSTITUTE(TEXT(IF(ISTEXT(Overig!N439),Overig!N439,10*Overig!N439),""",""????0;"",""???-0;"",""????0;"", ////"""),"'","""")&amp;SUBSTITUTE(TEXT(Overig!O439,""",""?00;"",""?-00;"",""?00;"", //"""),"'","""")&amp;SUBSTITUTE(TEXT(IF(ISTEXT(Overig!P439),Overig!P439,10*Overig!P439),""",""????0;"",""???-0;"",""????0;"", ////"""),"'","""")&amp;SUBSTITUTE(TEXT(Overig!Q439,""",""?00;"",""?-00;"",""?00;"", //"""),"'","""")&amp;SUBSTITUTE(TEXT(Overig!R439,""",""????0;"",""???-0;"",""????0;"", ////"""),"'","""")&amp;SUBSTITUTE(TEXT(Overig!S439,""",""?00;"",""?-00;"",""?00;"", //"""),"'","""")&amp;SUBSTITUTE(TEXT(IF(ISTEXT(Overig!T439),Overig!T439,10*Overig!T439),""",""????0;"",""???-0;"",""????0;"", ////"""),"'","""")&amp;SUBSTITUTE(TEXT(Overig!U439,""",""?00;"",""?-00;"",""?00;"", //"""),"'","""")&amp;SUBSTITUTE(TEXT(Overig!V439,""",""???0;"",""??-0;"",""???0;"", ///"""),"'","""")&amp;SUBSTITUTE(TEXT(Overig!W439,""",""?00;"",""?-00;"",""?00;"", //"""),"'","""")</f>
        <v>032, 19400419, 12.00, 7582, 00,  275, 00, ////, 07, ////, 07,  70, 00,  192, 00,  232, 00,   25, 00,    3, 00,   6, 00</v>
      </c>
    </row>
    <row r="440" spans="1:1" x14ac:dyDescent="0.25">
      <c r="A440" s="12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//"""),"'","""")&amp;SUBSTITUTE(TEXT(IF(ISTEXT(Overig!J440),Overig!J440,10*Overig!J440),""",""????0;"",""???-0;"",""????0;"", ////"""),"'","""")&amp;SUBSTITUTE(TEXT(Overig!K440,""",""?00;"",""?-00;"",""?00;"", //"""),"'","""")&amp;SUBSTITUTE(TEXT(Overig!L440,""",""???0;"",""??-0;"",""???0;"", ///"""),"'","""")&amp;SUBSTITUTE(TEXT(Overig!M440,""",""?00;"",""?-00;"",""?00;"", //"""),"'","""")&amp;SUBSTITUTE(TEXT(IF(ISTEXT(Overig!N440),Overig!N440,10*Overig!N440),""",""????0;"",""???-0;"",""????0;"", ////"""),"'","""")&amp;SUBSTITUTE(TEXT(Overig!O440,""",""?00;"",""?-00;"",""?00;"", //"""),"'","""")&amp;SUBSTITUTE(TEXT(IF(ISTEXT(Overig!P440),Overig!P440,10*Overig!P440),""",""????0;"",""???-0;"",""????0;"", ////"""),"'","""")&amp;SUBSTITUTE(TEXT(Overig!Q440,""",""?00;"",""?-00;"",""?00;"", //"""),"'","""")&amp;SUBSTITUTE(TEXT(Overig!R440,""",""????0;"",""???-0;"",""????0;"", ////"""),"'","""")&amp;SUBSTITUTE(TEXT(Overig!S440,""",""?00;"",""?-00;"",""?00;"", //"""),"'","""")&amp;SUBSTITUTE(TEXT(IF(ISTEXT(Overig!T440),Overig!T440,10*Overig!T440),""",""????0;"",""???-0;"",""????0;"", ////"""),"'","""")&amp;SUBSTITUTE(TEXT(Overig!U440,""",""?00;"",""?-00;"",""?00;"", //"""),"'","""")&amp;SUBSTITUTE(TEXT(Overig!V440,""",""???0;"",""??-0;"",""???0;"", ///"""),"'","""")&amp;SUBSTITUTE(TEXT(Overig!W440,""",""?00;"",""?-00;"",""?00;"", //"""),"'","""")</f>
        <v>032, 19400419, 17.00, 7585, 00,  275, 00, ////, 07, ////, 07,  67, 00,  185, 00,  228, 00,   25, 00,    2, 00,   6, 00</v>
      </c>
    </row>
    <row r="441" spans="1:1" x14ac:dyDescent="0.25">
      <c r="A441" s="12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//"""),"'","""")&amp;SUBSTITUTE(TEXT(IF(ISTEXT(Overig!J441),Overig!J441,10*Overig!J441),""",""????0;"",""???-0;"",""????0;"", ////"""),"'","""")&amp;SUBSTITUTE(TEXT(Overig!K441,""",""?00;"",""?-00;"",""?00;"", //"""),"'","""")&amp;SUBSTITUTE(TEXT(Overig!L441,""",""???0;"",""??-0;"",""???0;"", ///"""),"'","""")&amp;SUBSTITUTE(TEXT(Overig!M441,""",""?00;"",""?-00;"",""?00;"", //"""),"'","""")&amp;SUBSTITUTE(TEXT(IF(ISTEXT(Overig!N441),Overig!N441,10*Overig!N441),""",""????0;"",""???-0;"",""????0;"", ////"""),"'","""")&amp;SUBSTITUTE(TEXT(Overig!O441,""",""?00;"",""?-00;"",""?00;"", //"""),"'","""")&amp;SUBSTITUTE(TEXT(IF(ISTEXT(Overig!P441),Overig!P441,10*Overig!P441),""",""????0;"",""???-0;"",""????0;"", ////"""),"'","""")&amp;SUBSTITUTE(TEXT(Overig!Q441,""",""?00;"",""?-00;"",""?00;"", //"""),"'","""")&amp;SUBSTITUTE(TEXT(Overig!R441,""",""????0;"",""???-0;"",""????0;"", ////"""),"'","""")&amp;SUBSTITUTE(TEXT(Overig!S441,""",""?00;"",""?-00;"",""?00;"", //"""),"'","""")&amp;SUBSTITUTE(TEXT(IF(ISTEXT(Overig!T441),Overig!T441,10*Overig!T441),""",""????0;"",""???-0;"",""????0;"", ////"""),"'","""")&amp;SUBSTITUTE(TEXT(Overig!U441,""",""?00;"",""?-00;"",""?00;"", //"""),"'","""")&amp;SUBSTITUTE(TEXT(Overig!V441,""",""???0;"",""??-0;"",""???0;"", ///"""),"'","""")&amp;SUBSTITUTE(TEXT(Overig!W441,""",""?00;"",""?-00;"",""?00;"", //"""),"'","""")</f>
        <v>032, 19400419, 24.00, ////, 07, ////, 07,  280, 00,  296, 00, ///, 07, ////, 07, ////, 07, ////, 07, ////, 07, ///, 07</v>
      </c>
    </row>
    <row r="442" spans="1:1" x14ac:dyDescent="0.25">
      <c r="A442" s="12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//"""),"'","""")&amp;SUBSTITUTE(TEXT(IF(ISTEXT(Overig!J442),Overig!J442,10*Overig!J442),""",""????0;"",""???-0;"",""????0;"", ////"""),"'","""")&amp;SUBSTITUTE(TEXT(Overig!K442,""",""?00;"",""?-00;"",""?00;"", //"""),"'","""")&amp;SUBSTITUTE(TEXT(Overig!L442,""",""???0;"",""??-0;"",""???0;"", ///"""),"'","""")&amp;SUBSTITUTE(TEXT(Overig!M442,""",""?00;"",""?-00;"",""?00;"", //"""),"'","""")&amp;SUBSTITUTE(TEXT(IF(ISTEXT(Overig!N442),Overig!N442,10*Overig!N442),""",""????0;"",""???-0;"",""????0;"", ////"""),"'","""")&amp;SUBSTITUTE(TEXT(Overig!O442,""",""?00;"",""?-00;"",""?00;"", //"""),"'","""")&amp;SUBSTITUTE(TEXT(IF(ISTEXT(Overig!P442),Overig!P442,10*Overig!P442),""",""????0;"",""???-0;"",""????0;"", ////"""),"'","""")&amp;SUBSTITUTE(TEXT(Overig!Q442,""",""?00;"",""?-00;"",""?00;"", //"""),"'","""")&amp;SUBSTITUTE(TEXT(Overig!R442,""",""????0;"",""???-0;"",""????0;"", ////"""),"'","""")&amp;SUBSTITUTE(TEXT(Overig!S442,""",""?00;"",""?-00;"",""?00;"", //"""),"'","""")&amp;SUBSTITUTE(TEXT(IF(ISTEXT(Overig!T442),Overig!T442,10*Overig!T442),""",""????0;"",""???-0;"",""????0;"", ////"""),"'","""")&amp;SUBSTITUTE(TEXT(Overig!U442,""",""?00;"",""?-00;"",""?00;"", //"""),"'","""")&amp;SUBSTITUTE(TEXT(Overig!V442,""",""???0;"",""??-0;"",""???0;"", ///"""),"'","""")&amp;SUBSTITUTE(TEXT(Overig!W442,""",""?00;"",""?-00;"",""?00;"", //"""),"'","""")</f>
        <v>032, 19400420, 07.00, 7595, 00,  277, 00, ////, 07, ////, 07,  82, 00,  228, 00,  252, 00,   45, 00,    1, 00,   5, 00</v>
      </c>
    </row>
    <row r="443" spans="1:1" x14ac:dyDescent="0.25">
      <c r="A443" s="12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//"""),"'","""")&amp;SUBSTITUTE(TEXT(IF(ISTEXT(Overig!J443),Overig!J443,10*Overig!J443),""",""????0;"",""???-0;"",""????0;"", ////"""),"'","""")&amp;SUBSTITUTE(TEXT(Overig!K443,""",""?00;"",""?-00;"",""?00;"", //"""),"'","""")&amp;SUBSTITUTE(TEXT(Overig!L443,""",""???0;"",""??-0;"",""???0;"", ///"""),"'","""")&amp;SUBSTITUTE(TEXT(Overig!M443,""",""?00;"",""?-00;"",""?00;"", //"""),"'","""")&amp;SUBSTITUTE(TEXT(IF(ISTEXT(Overig!N443),Overig!N443,10*Overig!N443),""",""????0;"",""???-0;"",""????0;"", ////"""),"'","""")&amp;SUBSTITUTE(TEXT(Overig!O443,""",""?00;"",""?-00;"",""?00;"", //"""),"'","""")&amp;SUBSTITUTE(TEXT(IF(ISTEXT(Overig!P443),Overig!P443,10*Overig!P443),""",""????0;"",""???-0;"",""????0;"", ////"""),"'","""")&amp;SUBSTITUTE(TEXT(Overig!Q443,""",""?00;"",""?-00;"",""?00;"", //"""),"'","""")&amp;SUBSTITUTE(TEXT(Overig!R443,""",""????0;"",""???-0;"",""????0;"", ////"""),"'","""")&amp;SUBSTITUTE(TEXT(Overig!S443,""",""?00;"",""?-00;"",""?00;"", //"""),"'","""")&amp;SUBSTITUTE(TEXT(IF(ISTEXT(Overig!T443),Overig!T443,10*Overig!T443),""",""????0;"",""???-0;"",""????0;"", ////"""),"'","""")&amp;SUBSTITUTE(TEXT(Overig!U443,""",""?00;"",""?-00;"",""?00;"", //"""),"'","""")&amp;SUBSTITUTE(TEXT(Overig!V443,""",""???0;"",""??-0;"",""???0;"", ///"""),"'","""")&amp;SUBSTITUTE(TEXT(Overig!W443,""",""?00;"",""?-00;"",""?00;"", //"""),"'","""")</f>
        <v>032, 19400420, 12.00, 7592, 00,  275, 00, ////, 07, ////, 07,  78, 00,  214, 00,  244, 00,   45, 00,    1, 00,   6, 00</v>
      </c>
    </row>
    <row r="444" spans="1:1" x14ac:dyDescent="0.25">
      <c r="A444" s="12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//"""),"'","""")&amp;SUBSTITUTE(TEXT(IF(ISTEXT(Overig!J444),Overig!J444,10*Overig!J444),""",""????0;"",""???-0;"",""????0;"", ////"""),"'","""")&amp;SUBSTITUTE(TEXT(Overig!K444,""",""?00;"",""?-00;"",""?00;"", //"""),"'","""")&amp;SUBSTITUTE(TEXT(Overig!L444,""",""???0;"",""??-0;"",""???0;"", ///"""),"'","""")&amp;SUBSTITUTE(TEXT(Overig!M444,""",""?00;"",""?-00;"",""?00;"", //"""),"'","""")&amp;SUBSTITUTE(TEXT(IF(ISTEXT(Overig!N444),Overig!N444,10*Overig!N444),""",""????0;"",""???-0;"",""????0;"", ////"""),"'","""")&amp;SUBSTITUTE(TEXT(Overig!O444,""",""?00;"",""?-00;"",""?00;"", //"""),"'","""")&amp;SUBSTITUTE(TEXT(IF(ISTEXT(Overig!P444),Overig!P444,10*Overig!P444),""",""????0;"",""???-0;"",""????0;"", ////"""),"'","""")&amp;SUBSTITUTE(TEXT(Overig!Q444,""",""?00;"",""?-00;"",""?00;"", //"""),"'","""")&amp;SUBSTITUTE(TEXT(Overig!R444,""",""????0;"",""???-0;"",""????0;"", ////"""),"'","""")&amp;SUBSTITUTE(TEXT(Overig!S444,""",""?00;"",""?-00;"",""?00;"", //"""),"'","""")&amp;SUBSTITUTE(TEXT(IF(ISTEXT(Overig!T444),Overig!T444,10*Overig!T444),""",""????0;"",""???-0;"",""????0;"", ////"""),"'","""")&amp;SUBSTITUTE(TEXT(Overig!U444,""",""?00;"",""?-00;"",""?00;"", //"""),"'","""")&amp;SUBSTITUTE(TEXT(Overig!V444,""",""???0;"",""??-0;"",""???0;"", ///"""),"'","""")&amp;SUBSTITUTE(TEXT(Overig!W444,""",""?00;"",""?-00;"",""?00;"", //"""),"'","""")</f>
        <v>032, 19400420, 17.00, 7587, 00,  271, 00, ////, 07, ////, 07,  80, 00,  216, 00,  244, 00,   25, 00,    2, 00,   5, 00</v>
      </c>
    </row>
    <row r="445" spans="1:1" x14ac:dyDescent="0.25">
      <c r="A445" s="12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//"""),"'","""")&amp;SUBSTITUTE(TEXT(IF(ISTEXT(Overig!J445),Overig!J445,10*Overig!J445),""",""????0;"",""???-0;"",""????0;"", ////"""),"'","""")&amp;SUBSTITUTE(TEXT(Overig!K445,""",""?00;"",""?-00;"",""?00;"", //"""),"'","""")&amp;SUBSTITUTE(TEXT(Overig!L445,""",""???0;"",""??-0;"",""???0;"", ///"""),"'","""")&amp;SUBSTITUTE(TEXT(Overig!M445,""",""?00;"",""?-00;"",""?00;"", //"""),"'","""")&amp;SUBSTITUTE(TEXT(IF(ISTEXT(Overig!N445),Overig!N445,10*Overig!N445),""",""????0;"",""???-0;"",""????0;"", ////"""),"'","""")&amp;SUBSTITUTE(TEXT(Overig!O445,""",""?00;"",""?-00;"",""?00;"", //"""),"'","""")&amp;SUBSTITUTE(TEXT(IF(ISTEXT(Overig!P445),Overig!P445,10*Overig!P445),""",""????0;"",""???-0;"",""????0;"", ////"""),"'","""")&amp;SUBSTITUTE(TEXT(Overig!Q445,""",""?00;"",""?-00;"",""?00;"", //"""),"'","""")&amp;SUBSTITUTE(TEXT(Overig!R445,""",""????0;"",""???-0;"",""????0;"", ////"""),"'","""")&amp;SUBSTITUTE(TEXT(Overig!S445,""",""?00;"",""?-00;"",""?00;"", //"""),"'","""")&amp;SUBSTITUTE(TEXT(IF(ISTEXT(Overig!T445),Overig!T445,10*Overig!T445),""",""????0;"",""???-0;"",""????0;"", ////"""),"'","""")&amp;SUBSTITUTE(TEXT(Overig!U445,""",""?00;"",""?-00;"",""?00;"", //"""),"'","""")&amp;SUBSTITUTE(TEXT(Overig!V445,""",""???0;"",""??-0;"",""???0;"", ///"""),"'","""")&amp;SUBSTITUTE(TEXT(Overig!W445,""",""?00;"",""?-00;"",""?00;"", //"""),"'","""")</f>
        <v>032, 19400420, 24.00, ////, 07, ////, 07,  282, 00,  298, 00, ///, 07, ////, 07, ////, 07, ////, 07, ////, 07, ///, 07</v>
      </c>
    </row>
    <row r="446" spans="1:1" x14ac:dyDescent="0.25">
      <c r="A446" s="12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//"""),"'","""")&amp;SUBSTITUTE(TEXT(IF(ISTEXT(Overig!J446),Overig!J446,10*Overig!J446),""",""????0;"",""???-0;"",""????0;"", ////"""),"'","""")&amp;SUBSTITUTE(TEXT(Overig!K446,""",""?00;"",""?-00;"",""?00;"", //"""),"'","""")&amp;SUBSTITUTE(TEXT(Overig!L446,""",""???0;"",""??-0;"",""???0;"", ///"""),"'","""")&amp;SUBSTITUTE(TEXT(Overig!M446,""",""?00;"",""?-00;"",""?00;"", //"""),"'","""")&amp;SUBSTITUTE(TEXT(IF(ISTEXT(Overig!N446),Overig!N446,10*Overig!N446),""",""????0;"",""???-0;"",""????0;"", ////"""),"'","""")&amp;SUBSTITUTE(TEXT(Overig!O446,""",""?00;"",""?-00;"",""?00;"", //"""),"'","""")&amp;SUBSTITUTE(TEXT(IF(ISTEXT(Overig!P446),Overig!P446,10*Overig!P446),""",""????0;"",""???-0;"",""????0;"", ////"""),"'","""")&amp;SUBSTITUTE(TEXT(Overig!Q446,""",""?00;"",""?-00;"",""?00;"", //"""),"'","""")&amp;SUBSTITUTE(TEXT(Overig!R446,""",""????0;"",""???-0;"",""????0;"", ////"""),"'","""")&amp;SUBSTITUTE(TEXT(Overig!S446,""",""?00;"",""?-00;"",""?00;"", //"""),"'","""")&amp;SUBSTITUTE(TEXT(IF(ISTEXT(Overig!T446),Overig!T446,10*Overig!T446),""",""????0;"",""???-0;"",""????0;"", ////"""),"'","""")&amp;SUBSTITUTE(TEXT(Overig!U446,""",""?00;"",""?-00;"",""?00;"", //"""),"'","""")&amp;SUBSTITUTE(TEXT(Overig!V446,""",""???0;"",""??-0;"",""???0;"", ///"""),"'","""")&amp;SUBSTITUTE(TEXT(Overig!W446,""",""?00;"",""?-00;"",""?00;"", //"""),"'","""")</f>
        <v>032, 19400421, 07.00, 7585, 00,  271, 00, ////, 07, ////, 07,  83, 00,  223, 00,  248, 00,   45, 00,    1, 00,   4, 00</v>
      </c>
    </row>
    <row r="447" spans="1:1" x14ac:dyDescent="0.25">
      <c r="A447" s="12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//"""),"'","""")&amp;SUBSTITUTE(TEXT(IF(ISTEXT(Overig!J447),Overig!J447,10*Overig!J447),""",""????0;"",""???-0;"",""????0;"", ////"""),"'","""")&amp;SUBSTITUTE(TEXT(Overig!K447,""",""?00;"",""?-00;"",""?00;"", //"""),"'","""")&amp;SUBSTITUTE(TEXT(Overig!L447,""",""???0;"",""??-0;"",""???0;"", ///"""),"'","""")&amp;SUBSTITUTE(TEXT(Overig!M447,""",""?00;"",""?-00;"",""?00;"", //"""),"'","""")&amp;SUBSTITUTE(TEXT(IF(ISTEXT(Overig!N447),Overig!N447,10*Overig!N447),""",""????0;"",""???-0;"",""????0;"", ////"""),"'","""")&amp;SUBSTITUTE(TEXT(Overig!O447,""",""?00;"",""?-00;"",""?00;"", //"""),"'","""")&amp;SUBSTITUTE(TEXT(IF(ISTEXT(Overig!P447),Overig!P447,10*Overig!P447),""",""????0;"",""???-0;"",""????0;"", ////"""),"'","""")&amp;SUBSTITUTE(TEXT(Overig!Q447,""",""?00;"",""?-00;"",""?00;"", //"""),"'","""")&amp;SUBSTITUTE(TEXT(Overig!R447,""",""????0;"",""???-0;"",""????0;"", ////"""),"'","""")&amp;SUBSTITUTE(TEXT(Overig!S447,""",""?00;"",""?-00;"",""?00;"", //"""),"'","""")&amp;SUBSTITUTE(TEXT(IF(ISTEXT(Overig!T447),Overig!T447,10*Overig!T447),""",""????0;"",""???-0;"",""????0;"", ////"""),"'","""")&amp;SUBSTITUTE(TEXT(Overig!U447,""",""?00;"",""?-00;"",""?00;"", //"""),"'","""")&amp;SUBSTITUTE(TEXT(Overig!V447,""",""???0;"",""??-0;"",""???0;"", ///"""),"'","""")&amp;SUBSTITUTE(TEXT(Overig!W447,""",""?00;"",""?-00;"",""?00;"", //"""),"'","""")</f>
        <v>032, 19400421, 12.00, 7589, 00,  295, 00, ////, 07, ////, 07,  67, 00,  208, 00,  246, 00,  135, 00,    1, 00,   6, 00</v>
      </c>
    </row>
    <row r="448" spans="1:1" x14ac:dyDescent="0.25">
      <c r="A448" s="12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//"""),"'","""")&amp;SUBSTITUTE(TEXT(IF(ISTEXT(Overig!J448),Overig!J448,10*Overig!J448),""",""????0;"",""???-0;"",""????0;"", ////"""),"'","""")&amp;SUBSTITUTE(TEXT(Overig!K448,""",""?00;"",""?-00;"",""?00;"", //"""),"'","""")&amp;SUBSTITUTE(TEXT(Overig!L448,""",""???0;"",""??-0;"",""???0;"", ///"""),"'","""")&amp;SUBSTITUTE(TEXT(Overig!M448,""",""?00;"",""?-00;"",""?00;"", //"""),"'","""")&amp;SUBSTITUTE(TEXT(IF(ISTEXT(Overig!N448),Overig!N448,10*Overig!N448),""",""????0;"",""???-0;"",""????0;"", ////"""),"'","""")&amp;SUBSTITUTE(TEXT(Overig!O448,""",""?00;"",""?-00;"",""?00;"", //"""),"'","""")&amp;SUBSTITUTE(TEXT(IF(ISTEXT(Overig!P448),Overig!P448,10*Overig!P448),""",""????0;"",""???-0;"",""????0;"", ////"""),"'","""")&amp;SUBSTITUTE(TEXT(Overig!Q448,""",""?00;"",""?-00;"",""?00;"", //"""),"'","""")&amp;SUBSTITUTE(TEXT(Overig!R448,""",""????0;"",""???-0;"",""????0;"", ////"""),"'","""")&amp;SUBSTITUTE(TEXT(Overig!S448,""",""?00;"",""?-00;"",""?00;"", //"""),"'","""")&amp;SUBSTITUTE(TEXT(IF(ISTEXT(Overig!T448),Overig!T448,10*Overig!T448),""",""????0;"",""???-0;"",""????0;"", ////"""),"'","""")&amp;SUBSTITUTE(TEXT(Overig!U448,""",""?00;"",""?-00;"",""?00;"", //"""),"'","""")&amp;SUBSTITUTE(TEXT(Overig!V448,""",""???0;"",""??-0;"",""???0;"", ///"""),"'","""")&amp;SUBSTITUTE(TEXT(Overig!W448,""",""?00;"",""?-00;"",""?00;"", //"""),"'","""")</f>
        <v>032, 19400421, 17.00, 7587, 00,  287, 00, ////, 07, ////, 07,  71, 00,  210, 00,  245, 00,   25, 00,    2, 00,   5, 00</v>
      </c>
    </row>
    <row r="449" spans="1:1" x14ac:dyDescent="0.25">
      <c r="A449" s="12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//"""),"'","""")&amp;SUBSTITUTE(TEXT(IF(ISTEXT(Overig!J449),Overig!J449,10*Overig!J449),""",""????0;"",""???-0;"",""????0;"", ////"""),"'","""")&amp;SUBSTITUTE(TEXT(Overig!K449,""",""?00;"",""?-00;"",""?00;"", //"""),"'","""")&amp;SUBSTITUTE(TEXT(Overig!L449,""",""???0;"",""??-0;"",""???0;"", ///"""),"'","""")&amp;SUBSTITUTE(TEXT(Overig!M449,""",""?00;"",""?-00;"",""?00;"", //"""),"'","""")&amp;SUBSTITUTE(TEXT(IF(ISTEXT(Overig!N449),Overig!N449,10*Overig!N449),""",""????0;"",""???-0;"",""????0;"", ////"""),"'","""")&amp;SUBSTITUTE(TEXT(Overig!O449,""",""?00;"",""?-00;"",""?00;"", //"""),"'","""")&amp;SUBSTITUTE(TEXT(IF(ISTEXT(Overig!P449),Overig!P449,10*Overig!P449),""",""????0;"",""???-0;"",""????0;"", ////"""),"'","""")&amp;SUBSTITUTE(TEXT(Overig!Q449,""",""?00;"",""?-00;"",""?00;"", //"""),"'","""")&amp;SUBSTITUTE(TEXT(Overig!R449,""",""????0;"",""???-0;"",""????0;"", ////"""),"'","""")&amp;SUBSTITUTE(TEXT(Overig!S449,""",""?00;"",""?-00;"",""?00;"", //"""),"'","""")&amp;SUBSTITUTE(TEXT(IF(ISTEXT(Overig!T449),Overig!T449,10*Overig!T449),""",""????0;"",""???-0;"",""????0;"", ////"""),"'","""")&amp;SUBSTITUTE(TEXT(Overig!U449,""",""?00;"",""?-00;"",""?00;"", //"""),"'","""")&amp;SUBSTITUTE(TEXT(Overig!V449,""",""???0;"",""??-0;"",""???0;"", ///"""),"'","""")&amp;SUBSTITUTE(TEXT(Overig!W449,""",""?00;"",""?-00;"",""?00;"", //"""),"'","""")</f>
        <v>032, 19400421, 24.00, ////, 07, ////, 07,  290, 00,  300, 00, ///, 07, ////, 07, ////, 07, ////, 07, ////, 07, ///, 07</v>
      </c>
    </row>
    <row r="450" spans="1:1" x14ac:dyDescent="0.25">
      <c r="A450" s="12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//"""),"'","""")&amp;SUBSTITUTE(TEXT(IF(ISTEXT(Overig!J450),Overig!J450,10*Overig!J450),""",""????0;"",""???-0;"",""????0;"", ////"""),"'","""")&amp;SUBSTITUTE(TEXT(Overig!K450,""",""?00;"",""?-00;"",""?00;"", //"""),"'","""")&amp;SUBSTITUTE(TEXT(Overig!L450,""",""???0;"",""??-0;"",""???0;"", ///"""),"'","""")&amp;SUBSTITUTE(TEXT(Overig!M450,""",""?00;"",""?-00;"",""?00;"", //"""),"'","""")&amp;SUBSTITUTE(TEXT(IF(ISTEXT(Overig!N450),Overig!N450,10*Overig!N450),""",""????0;"",""???-0;"",""????0;"", ////"""),"'","""")&amp;SUBSTITUTE(TEXT(Overig!O450,""",""?00;"",""?-00;"",""?00;"", //"""),"'","""")&amp;SUBSTITUTE(TEXT(IF(ISTEXT(Overig!P450),Overig!P450,10*Overig!P450),""",""????0;"",""???-0;"",""????0;"", ////"""),"'","""")&amp;SUBSTITUTE(TEXT(Overig!Q450,""",""?00;"",""?-00;"",""?00;"", //"""),"'","""")&amp;SUBSTITUTE(TEXT(Overig!R450,""",""????0;"",""???-0;"",""????0;"", ////"""),"'","""")&amp;SUBSTITUTE(TEXT(Overig!S450,""",""?00;"",""?-00;"",""?00;"", //"""),"'","""")&amp;SUBSTITUTE(TEXT(IF(ISTEXT(Overig!T450),Overig!T450,10*Overig!T450),""",""????0;"",""???-0;"",""????0;"", ////"""),"'","""")&amp;SUBSTITUTE(TEXT(Overig!U450,""",""?00;"",""?-00;"",""?00;"", //"""),"'","""")&amp;SUBSTITUTE(TEXT(Overig!V450,""",""???0;"",""??-0;"",""???0;"", ///"""),"'","""")&amp;SUBSTITUTE(TEXT(Overig!W450,""",""?00;"",""?-00;"",""?00;"", //"""),"'","""")</f>
        <v>032, 19400422, 07.00, 7585, 00,  271, 00, ////, 07, ////, 07,  83, 00,  223, 00,  248, 00,   45, 00,    2, 00,   4, 00</v>
      </c>
    </row>
    <row r="451" spans="1:1" x14ac:dyDescent="0.25">
      <c r="A451" s="12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//"""),"'","""")&amp;SUBSTITUTE(TEXT(IF(ISTEXT(Overig!J451),Overig!J451,10*Overig!J451),""",""????0;"",""???-0;"",""????0;"", ////"""),"'","""")&amp;SUBSTITUTE(TEXT(Overig!K451,""",""?00;"",""?-00;"",""?00;"", //"""),"'","""")&amp;SUBSTITUTE(TEXT(Overig!L451,""",""???0;"",""??-0;"",""???0;"", ///"""),"'","""")&amp;SUBSTITUTE(TEXT(Overig!M451,""",""?00;"",""?-00;"",""?00;"", //"""),"'","""")&amp;SUBSTITUTE(TEXT(IF(ISTEXT(Overig!N451),Overig!N451,10*Overig!N451),""",""????0;"",""???-0;"",""????0;"", ////"""),"'","""")&amp;SUBSTITUTE(TEXT(Overig!O451,""",""?00;"",""?-00;"",""?00;"", //"""),"'","""")&amp;SUBSTITUTE(TEXT(IF(ISTEXT(Overig!P451),Overig!P451,10*Overig!P451),""",""????0;"",""???-0;"",""????0;"", ////"""),"'","""")&amp;SUBSTITUTE(TEXT(Overig!Q451,""",""?00;"",""?-00;"",""?00;"", //"""),"'","""")&amp;SUBSTITUTE(TEXT(Overig!R451,""",""????0;"",""???-0;"",""????0;"", ////"""),"'","""")&amp;SUBSTITUTE(TEXT(Overig!S451,""",""?00;"",""?-00;"",""?00;"", //"""),"'","""")&amp;SUBSTITUTE(TEXT(IF(ISTEXT(Overig!T451),Overig!T451,10*Overig!T451),""",""????0;"",""???-0;"",""????0;"", ////"""),"'","""")&amp;SUBSTITUTE(TEXT(Overig!U451,""",""?00;"",""?-00;"",""?00;"", //"""),"'","""")&amp;SUBSTITUTE(TEXT(Overig!V451,""",""???0;"",""??-0;"",""???0;"", ///"""),"'","""")&amp;SUBSTITUTE(TEXT(Overig!W451,""",""?00;"",""?-00;"",""?00;"", //"""),"'","""")</f>
        <v>032, 19400422, 12.00, 7589, 00,  295, 00, ////, 07, ////, 07,  67, 00,  208, 00,  246, 00,   45, 00,    3, 00,   5, 00</v>
      </c>
    </row>
    <row r="452" spans="1:1" x14ac:dyDescent="0.25">
      <c r="A452" s="12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//"""),"'","""")&amp;SUBSTITUTE(TEXT(IF(ISTEXT(Overig!J452),Overig!J452,10*Overig!J452),""",""????0;"",""???-0;"",""????0;"", ////"""),"'","""")&amp;SUBSTITUTE(TEXT(Overig!K452,""",""?00;"",""?-00;"",""?00;"", //"""),"'","""")&amp;SUBSTITUTE(TEXT(Overig!L452,""",""???0;"",""??-0;"",""???0;"", ///"""),"'","""")&amp;SUBSTITUTE(TEXT(Overig!M452,""",""?00;"",""?-00;"",""?00;"", //"""),"'","""")&amp;SUBSTITUTE(TEXT(IF(ISTEXT(Overig!N452),Overig!N452,10*Overig!N452),""",""????0;"",""???-0;"",""????0;"", ////"""),"'","""")&amp;SUBSTITUTE(TEXT(Overig!O452,""",""?00;"",""?-00;"",""?00;"", //"""),"'","""")&amp;SUBSTITUTE(TEXT(IF(ISTEXT(Overig!P452),Overig!P452,10*Overig!P452),""",""????0;"",""???-0;"",""????0;"", ////"""),"'","""")&amp;SUBSTITUTE(TEXT(Overig!Q452,""",""?00;"",""?-00;"",""?00;"", //"""),"'","""")&amp;SUBSTITUTE(TEXT(Overig!R452,""",""????0;"",""???-0;"",""????0;"", ////"""),"'","""")&amp;SUBSTITUTE(TEXT(Overig!S452,""",""?00;"",""?-00;"",""?00;"", //"""),"'","""")&amp;SUBSTITUTE(TEXT(IF(ISTEXT(Overig!T452),Overig!T452,10*Overig!T452),""",""????0;"",""???-0;"",""????0;"", ////"""),"'","""")&amp;SUBSTITUTE(TEXT(Overig!U452,""",""?00;"",""?-00;"",""?00;"", //"""),"'","""")&amp;SUBSTITUTE(TEXT(Overig!V452,""",""???0;"",""??-0;"",""???0;"", ///"""),"'","""")&amp;SUBSTITUTE(TEXT(Overig!W452,""",""?00;"",""?-00;"",""?00;"", //"""),"'","""")</f>
        <v>032, 19400422, 17.00, 7587, 00,  287, 00, ////, 07, ////, 07,  71, 00,  210, 00,  245, 00,   45, 00,    3, 00,   4, 00</v>
      </c>
    </row>
    <row r="453" spans="1:1" x14ac:dyDescent="0.25">
      <c r="A453" s="12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//"""),"'","""")&amp;SUBSTITUTE(TEXT(IF(ISTEXT(Overig!J453),Overig!J453,10*Overig!J453),""",""????0;"",""???-0;"",""????0;"", ////"""),"'","""")&amp;SUBSTITUTE(TEXT(Overig!K453,""",""?00;"",""?-00;"",""?00;"", //"""),"'","""")&amp;SUBSTITUTE(TEXT(Overig!L453,""",""???0;"",""??-0;"",""???0;"", ///"""),"'","""")&amp;SUBSTITUTE(TEXT(Overig!M453,""",""?00;"",""?-00;"",""?00;"", //"""),"'","""")&amp;SUBSTITUTE(TEXT(IF(ISTEXT(Overig!N453),Overig!N453,10*Overig!N453),""",""????0;"",""???-0;"",""????0;"", ////"""),"'","""")&amp;SUBSTITUTE(TEXT(Overig!O453,""",""?00;"",""?-00;"",""?00;"", //"""),"'","""")&amp;SUBSTITUTE(TEXT(IF(ISTEXT(Overig!P453),Overig!P453,10*Overig!P453),""",""????0;"",""???-0;"",""????0;"", ////"""),"'","""")&amp;SUBSTITUTE(TEXT(Overig!Q453,""",""?00;"",""?-00;"",""?00;"", //"""),"'","""")&amp;SUBSTITUTE(TEXT(Overig!R453,""",""????0;"",""???-0;"",""????0;"", ////"""),"'","""")&amp;SUBSTITUTE(TEXT(Overig!S453,""",""?00;"",""?-00;"",""?00;"", //"""),"'","""")&amp;SUBSTITUTE(TEXT(IF(ISTEXT(Overig!T453),Overig!T453,10*Overig!T453),""",""????0;"",""???-0;"",""????0;"", ////"""),"'","""")&amp;SUBSTITUTE(TEXT(Overig!U453,""",""?00;"",""?-00;"",""?00;"", //"""),"'","""")&amp;SUBSTITUTE(TEXT(Overig!V453,""",""???0;"",""??-0;"",""???0;"", ///"""),"'","""")&amp;SUBSTITUTE(TEXT(Overig!W453,""",""?00;"",""?-00;"",""?00;"", //"""),"'","""")</f>
        <v>032, 19400422, 24.00, ////, 07, ////, 07,  290, 00,  315, 00, ///, 07, ////, 07, ////, 07, ////, 07, ////, 07, ///, 07</v>
      </c>
    </row>
    <row r="454" spans="1:1" x14ac:dyDescent="0.25">
      <c r="A454" s="12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//"""),"'","""")&amp;SUBSTITUTE(TEXT(IF(ISTEXT(Overig!J454),Overig!J454,10*Overig!J454),""",""????0;"",""???-0;"",""????0;"", ////"""),"'","""")&amp;SUBSTITUTE(TEXT(Overig!K454,""",""?00;"",""?-00;"",""?00;"", //"""),"'","""")&amp;SUBSTITUTE(TEXT(Overig!L454,""",""???0;"",""??-0;"",""???0;"", ///"""),"'","""")&amp;SUBSTITUTE(TEXT(Overig!M454,""",""?00;"",""?-00;"",""?00;"", //"""),"'","""")&amp;SUBSTITUTE(TEXT(IF(ISTEXT(Overig!N454),Overig!N454,10*Overig!N454),""",""????0;"",""???-0;"",""????0;"", ////"""),"'","""")&amp;SUBSTITUTE(TEXT(Overig!O454,""",""?00;"",""?-00;"",""?00;"", //"""),"'","""")&amp;SUBSTITUTE(TEXT(IF(ISTEXT(Overig!P454),Overig!P454,10*Overig!P454),""",""????0;"",""???-0;"",""????0;"", ////"""),"'","""")&amp;SUBSTITUTE(TEXT(Overig!Q454,""",""?00;"",""?-00;"",""?00;"", //"""),"'","""")&amp;SUBSTITUTE(TEXT(Overig!R454,""",""????0;"",""???-0;"",""????0;"", ////"""),"'","""")&amp;SUBSTITUTE(TEXT(Overig!S454,""",""?00;"",""?-00;"",""?00;"", //"""),"'","""")&amp;SUBSTITUTE(TEXT(IF(ISTEXT(Overig!T454),Overig!T454,10*Overig!T454),""",""????0;"",""???-0;"",""????0;"", ////"""),"'","""")&amp;SUBSTITUTE(TEXT(Overig!U454,""",""?00;"",""?-00;"",""?00;"", //"""),"'","""")&amp;SUBSTITUTE(TEXT(Overig!V454,""",""???0;"",""??-0;"",""???0;"", ///"""),"'","""")&amp;SUBSTITUTE(TEXT(Overig!W454,""",""?00;"",""?-00;"",""?00;"", //"""),"'","""")</f>
        <v>032, 19400423, 07.00, 7577, 00,  261, 00, ////, 07, ////, 07,  84, 00,  213, 00,  240, 00,   45, 00,    2, 00,   4, 00</v>
      </c>
    </row>
    <row r="455" spans="1:1" x14ac:dyDescent="0.25">
      <c r="A455" s="12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//"""),"'","""")&amp;SUBSTITUTE(TEXT(IF(ISTEXT(Overig!J455),Overig!J455,10*Overig!J455),""",""????0;"",""???-0;"",""????0;"", ////"""),"'","""")&amp;SUBSTITUTE(TEXT(Overig!K455,""",""?00;"",""?-00;"",""?00;"", //"""),"'","""")&amp;SUBSTITUTE(TEXT(Overig!L455,""",""???0;"",""??-0;"",""???0;"", ///"""),"'","""")&amp;SUBSTITUTE(TEXT(Overig!M455,""",""?00;"",""?-00;"",""?00;"", //"""),"'","""")&amp;SUBSTITUTE(TEXT(IF(ISTEXT(Overig!N455),Overig!N455,10*Overig!N455),""",""????0;"",""???-0;"",""????0;"", ////"""),"'","""")&amp;SUBSTITUTE(TEXT(Overig!O455,""",""?00;"",""?-00;"",""?00;"", //"""),"'","""")&amp;SUBSTITUTE(TEXT(IF(ISTEXT(Overig!P455),Overig!P455,10*Overig!P455),""",""????0;"",""???-0;"",""????0;"", ////"""),"'","""")&amp;SUBSTITUTE(TEXT(Overig!Q455,""",""?00;"",""?-00;"",""?00;"", //"""),"'","""")&amp;SUBSTITUTE(TEXT(Overig!R455,""",""????0;"",""???-0;"",""????0;"", ////"""),"'","""")&amp;SUBSTITUTE(TEXT(Overig!S455,""",""?00;"",""?-00;"",""?00;"", //"""),"'","""")&amp;SUBSTITUTE(TEXT(IF(ISTEXT(Overig!T455),Overig!T455,10*Overig!T455),""",""????0;"",""???-0;"",""????0;"", ////"""),"'","""")&amp;SUBSTITUTE(TEXT(Overig!U455,""",""?00;"",""?-00;"",""?00;"", //"""),"'","""")&amp;SUBSTITUTE(TEXT(Overig!V455,""",""???0;"",""??-0;"",""???0;"", ///"""),"'","""")&amp;SUBSTITUTE(TEXT(Overig!W455,""",""?00;"",""?-00;"",""?00;"", //"""),"'","""")</f>
        <v>032, 19400423, 12.00, 7564, 00,  271, 00, ////, 07, ////, 07,  76, 00,  205, 00,  238, 00,   45, 00,    3, 00,   5, 00</v>
      </c>
    </row>
    <row r="456" spans="1:1" x14ac:dyDescent="0.25">
      <c r="A456" s="12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//"""),"'","""")&amp;SUBSTITUTE(TEXT(IF(ISTEXT(Overig!J456),Overig!J456,10*Overig!J456),""",""????0;"",""???-0;"",""????0;"", ////"""),"'","""")&amp;SUBSTITUTE(TEXT(Overig!K456,""",""?00;"",""?-00;"",""?00;"", //"""),"'","""")&amp;SUBSTITUTE(TEXT(Overig!L456,""",""???0;"",""??-0;"",""???0;"", ///"""),"'","""")&amp;SUBSTITUTE(TEXT(Overig!M456,""",""?00;"",""?-00;"",""?00;"", //"""),"'","""")&amp;SUBSTITUTE(TEXT(IF(ISTEXT(Overig!N456),Overig!N456,10*Overig!N456),""",""????0;"",""???-0;"",""????0;"", ////"""),"'","""")&amp;SUBSTITUTE(TEXT(Overig!O456,""",""?00;"",""?-00;"",""?00;"", //"""),"'","""")&amp;SUBSTITUTE(TEXT(IF(ISTEXT(Overig!P456),Overig!P456,10*Overig!P456),""",""????0;"",""???-0;"",""????0;"", ////"""),"'","""")&amp;SUBSTITUTE(TEXT(Overig!Q456,""",""?00;"",""?-00;"",""?00;"", //"""),"'","""")&amp;SUBSTITUTE(TEXT(Overig!R456,""",""????0;"",""???-0;"",""????0;"", ////"""),"'","""")&amp;SUBSTITUTE(TEXT(Overig!S456,""",""?00;"",""?-00;"",""?00;"", //"""),"'","""")&amp;SUBSTITUTE(TEXT(IF(ISTEXT(Overig!T456),Overig!T456,10*Overig!T456),""",""????0;"",""???-0;"",""????0;"", ////"""),"'","""")&amp;SUBSTITUTE(TEXT(Overig!U456,""",""?00;"",""?-00;"",""?00;"", //"""),"'","""")&amp;SUBSTITUTE(TEXT(Overig!V456,""",""???0;"",""??-0;"",""???0;"", ///"""),"'","""")&amp;SUBSTITUTE(TEXT(Overig!W456,""",""?00;"",""?-00;"",""?00;"", //"""),"'","""")</f>
        <v>032, 19400423, 17.00, 7554, 00,  269, 00, ////, 07, ////, 07,  77, 00,  206, 00,  238, 00,   45, 00,    4, 00,   5, 00</v>
      </c>
    </row>
    <row r="457" spans="1:1" x14ac:dyDescent="0.25">
      <c r="A457" s="12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//"""),"'","""")&amp;SUBSTITUTE(TEXT(IF(ISTEXT(Overig!J457),Overig!J457,10*Overig!J457),""",""????0;"",""???-0;"",""????0;"", ////"""),"'","""")&amp;SUBSTITUTE(TEXT(Overig!K457,""",""?00;"",""?-00;"",""?00;"", //"""),"'","""")&amp;SUBSTITUTE(TEXT(Overig!L457,""",""???0;"",""??-0;"",""???0;"", ///"""),"'","""")&amp;SUBSTITUTE(TEXT(Overig!M457,""",""?00;"",""?-00;"",""?00;"", //"""),"'","""")&amp;SUBSTITUTE(TEXT(IF(ISTEXT(Overig!N457),Overig!N457,10*Overig!N457),""",""????0;"",""???-0;"",""????0;"", ////"""),"'","""")&amp;SUBSTITUTE(TEXT(Overig!O457,""",""?00;"",""?-00;"",""?00;"", //"""),"'","""")&amp;SUBSTITUTE(TEXT(IF(ISTEXT(Overig!P457),Overig!P457,10*Overig!P457),""",""????0;"",""???-0;"",""????0;"", ////"""),"'","""")&amp;SUBSTITUTE(TEXT(Overig!Q457,""",""?00;"",""?-00;"",""?00;"", //"""),"'","""")&amp;SUBSTITUTE(TEXT(Overig!R457,""",""????0;"",""???-0;"",""????0;"", ////"""),"'","""")&amp;SUBSTITUTE(TEXT(Overig!S457,""",""?00;"",""?-00;"",""?00;"", //"""),"'","""")&amp;SUBSTITUTE(TEXT(IF(ISTEXT(Overig!T457),Overig!T457,10*Overig!T457),""",""????0;"",""???-0;"",""????0;"", ////"""),"'","""")&amp;SUBSTITUTE(TEXT(Overig!U457,""",""?00;"",""?-00;"",""?00;"", //"""),"'","""")&amp;SUBSTITUTE(TEXT(Overig!V457,""",""???0;"",""??-0;"",""???0;"", ///"""),"'","""")&amp;SUBSTITUTE(TEXT(Overig!W457,""",""?00;"",""?-00;"",""?00;"", //"""),"'","""")</f>
        <v>032, 19400423, 24.00, ////, 07, ////, 07,  280, 00,  290, 00, ///, 07, ////, 07, ////, 07, ////, 07, ////, 07, ///, 07</v>
      </c>
    </row>
    <row r="458" spans="1:1" x14ac:dyDescent="0.25">
      <c r="A458" s="12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//"""),"'","""")&amp;SUBSTITUTE(TEXT(IF(ISTEXT(Overig!J458),Overig!J458,10*Overig!J458),""",""????0;"",""???-0;"",""????0;"", ////"""),"'","""")&amp;SUBSTITUTE(TEXT(Overig!K458,""",""?00;"",""?-00;"",""?00;"", //"""),"'","""")&amp;SUBSTITUTE(TEXT(Overig!L458,""",""???0;"",""??-0;"",""???0;"", ///"""),"'","""")&amp;SUBSTITUTE(TEXT(Overig!M458,""",""?00;"",""?-00;"",""?00;"", //"""),"'","""")&amp;SUBSTITUTE(TEXT(IF(ISTEXT(Overig!N458),Overig!N458,10*Overig!N458),""",""????0;"",""???-0;"",""????0;"", ////"""),"'","""")&amp;SUBSTITUTE(TEXT(Overig!O458,""",""?00;"",""?-00;"",""?00;"", //"""),"'","""")&amp;SUBSTITUTE(TEXT(IF(ISTEXT(Overig!P458),Overig!P458,10*Overig!P458),""",""????0;"",""???-0;"",""????0;"", ////"""),"'","""")&amp;SUBSTITUTE(TEXT(Overig!Q458,""",""?00;"",""?-00;"",""?00;"", //"""),"'","""")&amp;SUBSTITUTE(TEXT(Overig!R458,""",""????0;"",""???-0;"",""????0;"", ////"""),"'","""")&amp;SUBSTITUTE(TEXT(Overig!S458,""",""?00;"",""?-00;"",""?00;"", //"""),"'","""")&amp;SUBSTITUTE(TEXT(IF(ISTEXT(Overig!T458),Overig!T458,10*Overig!T458),""",""????0;"",""???-0;"",""????0;"", ////"""),"'","""")&amp;SUBSTITUTE(TEXT(Overig!U458,""",""?00;"",""?-00;"",""?00;"", //"""),"'","""")&amp;SUBSTITUTE(TEXT(Overig!V458,""",""???0;"",""??-0;"",""???0;"", ///"""),"'","""")&amp;SUBSTITUTE(TEXT(Overig!W458,""",""?00;"",""?-00;"",""?00;"", //"""),"'","""")</f>
        <v>032, 19400424, 07.00, 7582, 00,  259, 00, ////, 07, ////, 07,  82, 00,  207, 00,  236, 00,   65, 00,    4, 00,   2, 00</v>
      </c>
    </row>
    <row r="459" spans="1:1" x14ac:dyDescent="0.25">
      <c r="A459" s="12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//"""),"'","""")&amp;SUBSTITUTE(TEXT(IF(ISTEXT(Overig!J459),Overig!J459,10*Overig!J459),""",""????0;"",""???-0;"",""????0;"", ////"""),"'","""")&amp;SUBSTITUTE(TEXT(Overig!K459,""",""?00;"",""?-00;"",""?00;"", //"""),"'","""")&amp;SUBSTITUTE(TEXT(Overig!L459,""",""???0;"",""??-0;"",""???0;"", ///"""),"'","""")&amp;SUBSTITUTE(TEXT(Overig!M459,""",""?00;"",""?-00;"",""?00;"", //"""),"'","""")&amp;SUBSTITUTE(TEXT(IF(ISTEXT(Overig!N459),Overig!N459,10*Overig!N459),""",""????0;"",""???-0;"",""????0;"", ////"""),"'","""")&amp;SUBSTITUTE(TEXT(Overig!O459,""",""?00;"",""?-00;"",""?00;"", //"""),"'","""")&amp;SUBSTITUTE(TEXT(IF(ISTEXT(Overig!P459),Overig!P459,10*Overig!P459),""",""????0;"",""???-0;"",""????0;"", ////"""),"'","""")&amp;SUBSTITUTE(TEXT(Overig!Q459,""",""?00;"",""?-00;"",""?00;"", //"""),"'","""")&amp;SUBSTITUTE(TEXT(Overig!R459,""",""????0;"",""???-0;"",""????0;"", ////"""),"'","""")&amp;SUBSTITUTE(TEXT(Overig!S459,""",""?00;"",""?-00;"",""?00;"", //"""),"'","""")&amp;SUBSTITUTE(TEXT(IF(ISTEXT(Overig!T459),Overig!T459,10*Overig!T459),""",""????0;"",""???-0;"",""????0;"", ////"""),"'","""")&amp;SUBSTITUTE(TEXT(Overig!U459,""",""?00;"",""?-00;"",""?00;"", //"""),"'","""")&amp;SUBSTITUTE(TEXT(Overig!V459,""",""???0;"",""??-0;"",""???0;"", ///"""),"'","""")&amp;SUBSTITUTE(TEXT(Overig!W459,""",""?00;"",""?-00;"",""?00;"", //"""),"'","""")</f>
        <v>032, 19400424, 12.00, 7572, 00,  272, 00, ////, 07, ////, 07,  75, 00,  204, 00,  238, 00,   65, 00,    5, 00,   2, 00</v>
      </c>
    </row>
    <row r="460" spans="1:1" x14ac:dyDescent="0.25">
      <c r="A460" s="12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//"""),"'","""")&amp;SUBSTITUTE(TEXT(IF(ISTEXT(Overig!J460),Overig!J460,10*Overig!J460),""",""????0;"",""???-0;"",""????0;"", ////"""),"'","""")&amp;SUBSTITUTE(TEXT(Overig!K460,""",""?00;"",""?-00;"",""?00;"", //"""),"'","""")&amp;SUBSTITUTE(TEXT(Overig!L460,""",""???0;"",""??-0;"",""???0;"", ///"""),"'","""")&amp;SUBSTITUTE(TEXT(Overig!M460,""",""?00;"",""?-00;"",""?00;"", //"""),"'","""")&amp;SUBSTITUTE(TEXT(IF(ISTEXT(Overig!N460),Overig!N460,10*Overig!N460),""",""????0;"",""???-0;"",""????0;"", ////"""),"'","""")&amp;SUBSTITUTE(TEXT(Overig!O460,""",""?00;"",""?-00;"",""?00;"", //"""),"'","""")&amp;SUBSTITUTE(TEXT(IF(ISTEXT(Overig!P460),Overig!P460,10*Overig!P460),""",""????0;"",""???-0;"",""????0;"", ////"""),"'","""")&amp;SUBSTITUTE(TEXT(Overig!Q460,""",""?00;"",""?-00;"",""?00;"", //"""),"'","""")&amp;SUBSTITUTE(TEXT(Overig!R460,""",""????0;"",""???-0;"",""????0;"", ////"""),"'","""")&amp;SUBSTITUTE(TEXT(Overig!S460,""",""?00;"",""?-00;"",""?00;"", //"""),"'","""")&amp;SUBSTITUTE(TEXT(IF(ISTEXT(Overig!T460),Overig!T460,10*Overig!T460),""",""????0;"",""???-0;"",""????0;"", ////"""),"'","""")&amp;SUBSTITUTE(TEXT(Overig!U460,""",""?00;"",""?-00;"",""?00;"", //"""),"'","""")&amp;SUBSTITUTE(TEXT(Overig!V460,""",""???0;"",""??-0;"",""???0;"", ///"""),"'","""")&amp;SUBSTITUTE(TEXT(Overig!W460,""",""?00;"",""?-00;"",""?00;"", //"""),"'","""")</f>
        <v>032, 19400424, 17.00, 7572, 00,  269, 00, ////, 07, ////, 07,  76, 00,  202, 00,  236, 00,   45, 00,    5, 00,   2, 00</v>
      </c>
    </row>
    <row r="461" spans="1:1" x14ac:dyDescent="0.25">
      <c r="A461" s="12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//"""),"'","""")&amp;SUBSTITUTE(TEXT(IF(ISTEXT(Overig!J461),Overig!J461,10*Overig!J461),""",""????0;"",""???-0;"",""????0;"", ////"""),"'","""")&amp;SUBSTITUTE(TEXT(Overig!K461,""",""?00;"",""?-00;"",""?00;"", //"""),"'","""")&amp;SUBSTITUTE(TEXT(Overig!L461,""",""???0;"",""??-0;"",""???0;"", ///"""),"'","""")&amp;SUBSTITUTE(TEXT(Overig!M461,""",""?00;"",""?-00;"",""?00;"", //"""),"'","""")&amp;SUBSTITUTE(TEXT(IF(ISTEXT(Overig!N461),Overig!N461,10*Overig!N461),""",""????0;"",""???-0;"",""????0;"", ////"""),"'","""")&amp;SUBSTITUTE(TEXT(Overig!O461,""",""?00;"",""?-00;"",""?00;"", //"""),"'","""")&amp;SUBSTITUTE(TEXT(IF(ISTEXT(Overig!P461),Overig!P461,10*Overig!P461),""",""????0;"",""???-0;"",""????0;"", ////"""),"'","""")&amp;SUBSTITUTE(TEXT(Overig!Q461,""",""?00;"",""?-00;"",""?00;"", //"""),"'","""")&amp;SUBSTITUTE(TEXT(Overig!R461,""",""????0;"",""???-0;"",""????0;"", ////"""),"'","""")&amp;SUBSTITUTE(TEXT(Overig!S461,""",""?00;"",""?-00;"",""?00;"", //"""),"'","""")&amp;SUBSTITUTE(TEXT(IF(ISTEXT(Overig!T461),Overig!T461,10*Overig!T461),""",""????0;"",""???-0;"",""????0;"", ////"""),"'","""")&amp;SUBSTITUTE(TEXT(Overig!U461,""",""?00;"",""?-00;"",""?00;"", //"""),"'","""")&amp;SUBSTITUTE(TEXT(Overig!V461,""",""???0;"",""??-0;"",""???0;"", ///"""),"'","""")&amp;SUBSTITUTE(TEXT(Overig!W461,""",""?00;"",""?-00;"",""?00;"", //"""),"'","""")</f>
        <v>032, 19400424, 24.00, ////, 07, ////, 07,  282, 00,  316, 00, ///, 07, ////, 07, ////, 07, ////, 07, ////, 07, ///, 07</v>
      </c>
    </row>
    <row r="462" spans="1:1" x14ac:dyDescent="0.25">
      <c r="A462" s="12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//"""),"'","""")&amp;SUBSTITUTE(TEXT(IF(ISTEXT(Overig!J462),Overig!J462,10*Overig!J462),""",""????0;"",""???-0;"",""????0;"", ////"""),"'","""")&amp;SUBSTITUTE(TEXT(Overig!K462,""",""?00;"",""?-00;"",""?00;"", //"""),"'","""")&amp;SUBSTITUTE(TEXT(Overig!L462,""",""???0;"",""??-0;"",""???0;"", ///"""),"'","""")&amp;SUBSTITUTE(TEXT(Overig!M462,""",""?00;"",""?-00;"",""?00;"", //"""),"'","""")&amp;SUBSTITUTE(TEXT(IF(ISTEXT(Overig!N462),Overig!N462,10*Overig!N462),""",""????0;"",""???-0;"",""????0;"", ////"""),"'","""")&amp;SUBSTITUTE(TEXT(Overig!O462,""",""?00;"",""?-00;"",""?00;"", //"""),"'","""")&amp;SUBSTITUTE(TEXT(IF(ISTEXT(Overig!P462),Overig!P462,10*Overig!P462),""",""????0;"",""???-0;"",""????0;"", ////"""),"'","""")&amp;SUBSTITUTE(TEXT(Overig!Q462,""",""?00;"",""?-00;"",""?00;"", //"""),"'","""")&amp;SUBSTITUTE(TEXT(Overig!R462,""",""????0;"",""???-0;"",""????0;"", ////"""),"'","""")&amp;SUBSTITUTE(TEXT(Overig!S462,""",""?00;"",""?-00;"",""?00;"", //"""),"'","""")&amp;SUBSTITUTE(TEXT(IF(ISTEXT(Overig!T462),Overig!T462,10*Overig!T462),""",""????0;"",""???-0;"",""????0;"", ////"""),"'","""")&amp;SUBSTITUTE(TEXT(Overig!U462,""",""?00;"",""?-00;"",""?00;"", //"""),"'","""")&amp;SUBSTITUTE(TEXT(Overig!V462,""",""???0;"",""??-0;"",""???0;"", ///"""),"'","""")&amp;SUBSTITUTE(TEXT(Overig!W462,""",""?00;"",""?-00;"",""?00;"", //"""),"'","""")</f>
        <v>032, 19400425, 07.00, 7587, 00,  267, 00, ////, 07, ////, 07,  77, 00,  203, 00,  236, 00,   65, 00,    6, 00,   3, 00</v>
      </c>
    </row>
    <row r="463" spans="1:1" x14ac:dyDescent="0.25">
      <c r="A463" s="12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//"""),"'","""")&amp;SUBSTITUTE(TEXT(IF(ISTEXT(Overig!J463),Overig!J463,10*Overig!J463),""",""????0;"",""???-0;"",""????0;"", ////"""),"'","""")&amp;SUBSTITUTE(TEXT(Overig!K463,""",""?00;"",""?-00;"",""?00;"", //"""),"'","""")&amp;SUBSTITUTE(TEXT(Overig!L463,""",""???0;"",""??-0;"",""???0;"", ///"""),"'","""")&amp;SUBSTITUTE(TEXT(Overig!M463,""",""?00;"",""?-00;"",""?00;"", //"""),"'","""")&amp;SUBSTITUTE(TEXT(IF(ISTEXT(Overig!N463),Overig!N463,10*Overig!N463),""",""????0;"",""???-0;"",""????0;"", ////"""),"'","""")&amp;SUBSTITUTE(TEXT(Overig!O463,""",""?00;"",""?-00;"",""?00;"", //"""),"'","""")&amp;SUBSTITUTE(TEXT(IF(ISTEXT(Overig!P463),Overig!P463,10*Overig!P463),""",""????0;"",""???-0;"",""????0;"", ////"""),"'","""")&amp;SUBSTITUTE(TEXT(Overig!Q463,""",""?00;"",""?-00;"",""?00;"", //"""),"'","""")&amp;SUBSTITUTE(TEXT(Overig!R463,""",""????0;"",""???-0;"",""????0;"", ////"""),"'","""")&amp;SUBSTITUTE(TEXT(Overig!S463,""",""?00;"",""?-00;"",""?00;"", //"""),"'","""")&amp;SUBSTITUTE(TEXT(IF(ISTEXT(Overig!T463),Overig!T463,10*Overig!T463),""",""????0;"",""???-0;"",""????0;"", ////"""),"'","""")&amp;SUBSTITUTE(TEXT(Overig!U463,""",""?00;"",""?-00;"",""?00;"", //"""),"'","""")&amp;SUBSTITUTE(TEXT(Overig!V463,""",""???0;"",""??-0;"",""???0;"", ///"""),"'","""")&amp;SUBSTITUTE(TEXT(Overig!W463,""",""?00;"",""?-00;"",""?00;"", //"""),"'","""")</f>
        <v>032, 19400425, 12.00, 7592, 00,  279, 00, ////, 07, ////, 07,  76, 00,  216, 00,  246, 00,   65, 00,    7, 00,   4, 00</v>
      </c>
    </row>
    <row r="464" spans="1:1" x14ac:dyDescent="0.25">
      <c r="A464" s="12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//"""),"'","""")&amp;SUBSTITUTE(TEXT(IF(ISTEXT(Overig!J464),Overig!J464,10*Overig!J464),""",""????0;"",""???-0;"",""????0;"", ////"""),"'","""")&amp;SUBSTITUTE(TEXT(Overig!K464,""",""?00;"",""?-00;"",""?00;"", //"""),"'","""")&amp;SUBSTITUTE(TEXT(Overig!L464,""",""???0;"",""??-0;"",""???0;"", ///"""),"'","""")&amp;SUBSTITUTE(TEXT(Overig!M464,""",""?00;"",""?-00;"",""?00;"", //"""),"'","""")&amp;SUBSTITUTE(TEXT(IF(ISTEXT(Overig!N464),Overig!N464,10*Overig!N464),""",""????0;"",""???-0;"",""????0;"", ////"""),"'","""")&amp;SUBSTITUTE(TEXT(Overig!O464,""",""?00;"",""?-00;"",""?00;"", //"""),"'","""")&amp;SUBSTITUTE(TEXT(IF(ISTEXT(Overig!P464),Overig!P464,10*Overig!P464),""",""????0;"",""???-0;"",""????0;"", ////"""),"'","""")&amp;SUBSTITUTE(TEXT(Overig!Q464,""",""?00;"",""?-00;"",""?00;"", //"""),"'","""")&amp;SUBSTITUTE(TEXT(Overig!R464,""",""????0;"",""???-0;"",""????0;"", ////"""),"'","""")&amp;SUBSTITUTE(TEXT(Overig!S464,""",""?00;"",""?-00;"",""?00;"", //"""),"'","""")&amp;SUBSTITUTE(TEXT(IF(ISTEXT(Overig!T464),Overig!T464,10*Overig!T464),""",""????0;"",""???-0;"",""????0;"", ////"""),"'","""")&amp;SUBSTITUTE(TEXT(Overig!U464,""",""?00;"",""?-00;"",""?00;"", //"""),"'","""")&amp;SUBSTITUTE(TEXT(Overig!V464,""",""???0;"",""??-0;"",""???0;"", ///"""),"'","""")&amp;SUBSTITUTE(TEXT(Overig!W464,""",""?00;"",""?-00;"",""?00;"", //"""),"'","""")</f>
        <v>032, 19400425, 17.00, 7585, 00,  269, 00, ////, 07, ////, 07,  77, 00,  206, 00,  238, 00,   65, 00,    7, 00,   3, 00</v>
      </c>
    </row>
    <row r="465" spans="1:1" x14ac:dyDescent="0.25">
      <c r="A465" s="12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//"""),"'","""")&amp;SUBSTITUTE(TEXT(IF(ISTEXT(Overig!J465),Overig!J465,10*Overig!J465),""",""????0;"",""???-0;"",""????0;"", ////"""),"'","""")&amp;SUBSTITUTE(TEXT(Overig!K465,""",""?00;"",""?-00;"",""?00;"", //"""),"'","""")&amp;SUBSTITUTE(TEXT(Overig!L465,""",""???0;"",""??-0;"",""???0;"", ///"""),"'","""")&amp;SUBSTITUTE(TEXT(Overig!M465,""",""?00;"",""?-00;"",""?00;"", //"""),"'","""")&amp;SUBSTITUTE(TEXT(IF(ISTEXT(Overig!N465),Overig!N465,10*Overig!N465),""",""????0;"",""???-0;"",""????0;"", ////"""),"'","""")&amp;SUBSTITUTE(TEXT(Overig!O465,""",""?00;"",""?-00;"",""?00;"", //"""),"'","""")&amp;SUBSTITUTE(TEXT(IF(ISTEXT(Overig!P465),Overig!P465,10*Overig!P465),""",""????0;"",""???-0;"",""????0;"", ////"""),"'","""")&amp;SUBSTITUTE(TEXT(Overig!Q465,""",""?00;"",""?-00;"",""?00;"", //"""),"'","""")&amp;SUBSTITUTE(TEXT(Overig!R465,""",""????0;"",""???-0;"",""????0;"", ////"""),"'","""")&amp;SUBSTITUTE(TEXT(Overig!S465,""",""?00;"",""?-00;"",""?00;"", //"""),"'","""")&amp;SUBSTITUTE(TEXT(IF(ISTEXT(Overig!T465),Overig!T465,10*Overig!T465),""",""????0;"",""???-0;"",""????0;"", ////"""),"'","""")&amp;SUBSTITUTE(TEXT(Overig!U465,""",""?00;"",""?-00;"",""?00;"", //"""),"'","""")&amp;SUBSTITUTE(TEXT(Overig!V465,""",""???0;"",""??-0;"",""???0;"", ///"""),"'","""")&amp;SUBSTITUTE(TEXT(Overig!W465,""",""?00;"",""?-00;"",""?00;"", //"""),"'","""")</f>
        <v>032, 19400425, 24.00, ////, 07, ////, 07,  281, 00,  314, 00, ///, 07, ////, 07, ////, 07, ////, 07, ////, 07, ///, 07</v>
      </c>
    </row>
    <row r="466" spans="1:1" x14ac:dyDescent="0.25">
      <c r="A466" s="12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//"""),"'","""")&amp;SUBSTITUTE(TEXT(IF(ISTEXT(Overig!J466),Overig!J466,10*Overig!J466),""",""????0;"",""???-0;"",""????0;"", ////"""),"'","""")&amp;SUBSTITUTE(TEXT(Overig!K466,""",""?00;"",""?-00;"",""?00;"", //"""),"'","""")&amp;SUBSTITUTE(TEXT(Overig!L466,""",""???0;"",""??-0;"",""???0;"", ///"""),"'","""")&amp;SUBSTITUTE(TEXT(Overig!M466,""",""?00;"",""?-00;"",""?00;"", //"""),"'","""")&amp;SUBSTITUTE(TEXT(IF(ISTEXT(Overig!N466),Overig!N466,10*Overig!N466),""",""????0;"",""???-0;"",""????0;"", ////"""),"'","""")&amp;SUBSTITUTE(TEXT(Overig!O466,""",""?00;"",""?-00;"",""?00;"", //"""),"'","""")&amp;SUBSTITUTE(TEXT(IF(ISTEXT(Overig!P466),Overig!P466,10*Overig!P466),""",""????0;"",""???-0;"",""????0;"", ////"""),"'","""")&amp;SUBSTITUTE(TEXT(Overig!Q466,""",""?00;"",""?-00;"",""?00;"", //"""),"'","""")&amp;SUBSTITUTE(TEXT(Overig!R466,""",""????0;"",""???-0;"",""????0;"", ////"""),"'","""")&amp;SUBSTITUTE(TEXT(Overig!S466,""",""?00;"",""?-00;"",""?00;"", //"""),"'","""")&amp;SUBSTITUTE(TEXT(IF(ISTEXT(Overig!T466),Overig!T466,10*Overig!T466),""",""????0;"",""???-0;"",""????0;"", ////"""),"'","""")&amp;SUBSTITUTE(TEXT(Overig!U466,""",""?00;"",""?-00;"",""?00;"", //"""),"'","""")&amp;SUBSTITUTE(TEXT(Overig!V466,""",""???0;"",""??-0;"",""???0;"", ///"""),"'","""")&amp;SUBSTITUTE(TEXT(Overig!W466,""",""?00;"",""?-00;"",""?00;"", //"""),"'","""")</f>
        <v>032, 19400426, 07.00, 7595, 00,  263, 00, ////, 07, ////, 07,  78, 00,  201, 00,  234, 00,   65, 00,    6, 00,   3, 00</v>
      </c>
    </row>
    <row r="467" spans="1:1" x14ac:dyDescent="0.25">
      <c r="A467" s="12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//"""),"'","""")&amp;SUBSTITUTE(TEXT(IF(ISTEXT(Overig!J467),Overig!J467,10*Overig!J467),""",""????0;"",""???-0;"",""????0;"", ////"""),"'","""")&amp;SUBSTITUTE(TEXT(Overig!K467,""",""?00;"",""?-00;"",""?00;"", //"""),"'","""")&amp;SUBSTITUTE(TEXT(Overig!L467,""",""???0;"",""??-0;"",""???0;"", ///"""),"'","""")&amp;SUBSTITUTE(TEXT(Overig!M467,""",""?00;"",""?-00;"",""?00;"", //"""),"'","""")&amp;SUBSTITUTE(TEXT(IF(ISTEXT(Overig!N467),Overig!N467,10*Overig!N467),""",""????0;"",""???-0;"",""????0;"", ////"""),"'","""")&amp;SUBSTITUTE(TEXT(Overig!O467,""",""?00;"",""?-00;"",""?00;"", //"""),"'","""")&amp;SUBSTITUTE(TEXT(IF(ISTEXT(Overig!P467),Overig!P467,10*Overig!P467),""",""????0;"",""???-0;"",""????0;"", ////"""),"'","""")&amp;SUBSTITUTE(TEXT(Overig!Q467,""",""?00;"",""?-00;"",""?00;"", //"""),"'","""")&amp;SUBSTITUTE(TEXT(Overig!R467,""",""????0;"",""???-0;"",""????0;"", ////"""),"'","""")&amp;SUBSTITUTE(TEXT(Overig!S467,""",""?00;"",""?-00;"",""?00;"", //"""),"'","""")&amp;SUBSTITUTE(TEXT(IF(ISTEXT(Overig!T467),Overig!T467,10*Overig!T467),""",""????0;"",""???-0;"",""????0;"", ////"""),"'","""")&amp;SUBSTITUTE(TEXT(Overig!U467,""",""?00;"",""?-00;"",""?00;"", //"""),"'","""")&amp;SUBSTITUTE(TEXT(Overig!V467,""",""???0;"",""??-0;"",""???0;"", ///"""),"'","""")&amp;SUBSTITUTE(TEXT(Overig!W467,""",""?00;"",""?-00;"",""?00;"", //"""),"'","""")</f>
        <v>032, 19400426, 12.00, 7597, 00,  269, 00, ////, 07, ////, 07,  79, 00,  209, 00,  240, 00,   65, 00,    7, 00,   4, 00</v>
      </c>
    </row>
    <row r="468" spans="1:1" x14ac:dyDescent="0.25">
      <c r="A468" s="12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//"""),"'","""")&amp;SUBSTITUTE(TEXT(IF(ISTEXT(Overig!J468),Overig!J468,10*Overig!J468),""",""????0;"",""???-0;"",""????0;"", ////"""),"'","""")&amp;SUBSTITUTE(TEXT(Overig!K468,""",""?00;"",""?-00;"",""?00;"", //"""),"'","""")&amp;SUBSTITUTE(TEXT(Overig!L468,""",""???0;"",""??-0;"",""???0;"", ///"""),"'","""")&amp;SUBSTITUTE(TEXT(Overig!M468,""",""?00;"",""?-00;"",""?00;"", //"""),"'","""")&amp;SUBSTITUTE(TEXT(IF(ISTEXT(Overig!N468),Overig!N468,10*Overig!N468),""",""????0;"",""???-0;"",""????0;"", ////"""),"'","""")&amp;SUBSTITUTE(TEXT(Overig!O468,""",""?00;"",""?-00;"",""?00;"", //"""),"'","""")&amp;SUBSTITUTE(TEXT(IF(ISTEXT(Overig!P468),Overig!P468,10*Overig!P468),""",""????0;"",""???-0;"",""????0;"", ////"""),"'","""")&amp;SUBSTITUTE(TEXT(Overig!Q468,""",""?00;"",""?-00;"",""?00;"", //"""),"'","""")&amp;SUBSTITUTE(TEXT(Overig!R468,""",""????0;"",""???-0;"",""????0;"", ////"""),"'","""")&amp;SUBSTITUTE(TEXT(Overig!S468,""",""?00;"",""?-00;"",""?00;"", //"""),"'","""")&amp;SUBSTITUTE(TEXT(IF(ISTEXT(Overig!T468),Overig!T468,10*Overig!T468),""",""????0;"",""???-0;"",""????0;"", ////"""),"'","""")&amp;SUBSTITUTE(TEXT(Overig!U468,""",""?00;"",""?-00;"",""?00;"", //"""),"'","""")&amp;SUBSTITUTE(TEXT(Overig!V468,""",""???0;"",""??-0;"",""???0;"", ///"""),"'","""")&amp;SUBSTITUTE(TEXT(Overig!W468,""",""?00;"",""?-00;"",""?00;"", //"""),"'","""")</f>
        <v>032, 19400426, 17.00, 7589, 00,  269, 00, ////, 07, ////, 07,  77, 00,  206, 00,  238, 00,   65, 00,    6, 00,   4, 00</v>
      </c>
    </row>
    <row r="469" spans="1:1" x14ac:dyDescent="0.25">
      <c r="A469" s="12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//"""),"'","""")&amp;SUBSTITUTE(TEXT(IF(ISTEXT(Overig!J469),Overig!J469,10*Overig!J469),""",""????0;"",""???-0;"",""????0;"", ////"""),"'","""")&amp;SUBSTITUTE(TEXT(Overig!K469,""",""?00;"",""?-00;"",""?00;"", //"""),"'","""")&amp;SUBSTITUTE(TEXT(Overig!L469,""",""???0;"",""??-0;"",""???0;"", ///"""),"'","""")&amp;SUBSTITUTE(TEXT(Overig!M469,""",""?00;"",""?-00;"",""?00;"", //"""),"'","""")&amp;SUBSTITUTE(TEXT(IF(ISTEXT(Overig!N469),Overig!N469,10*Overig!N469),""",""????0;"",""???-0;"",""????0;"", ////"""),"'","""")&amp;SUBSTITUTE(TEXT(Overig!O469,""",""?00;"",""?-00;"",""?00;"", //"""),"'","""")&amp;SUBSTITUTE(TEXT(IF(ISTEXT(Overig!P469),Overig!P469,10*Overig!P469),""",""????0;"",""???-0;"",""????0;"", ////"""),"'","""")&amp;SUBSTITUTE(TEXT(Overig!Q469,""",""?00;"",""?-00;"",""?00;"", //"""),"'","""")&amp;SUBSTITUTE(TEXT(Overig!R469,""",""????0;"",""???-0;"",""????0;"", ////"""),"'","""")&amp;SUBSTITUTE(TEXT(Overig!S469,""",""?00;"",""?-00;"",""?00;"", //"""),"'","""")&amp;SUBSTITUTE(TEXT(IF(ISTEXT(Overig!T469),Overig!T469,10*Overig!T469),""",""????0;"",""???-0;"",""????0;"", ////"""),"'","""")&amp;SUBSTITUTE(TEXT(Overig!U469,""",""?00;"",""?-00;"",""?00;"", //"""),"'","""")&amp;SUBSTITUTE(TEXT(Overig!V469,""",""???0;"",""??-0;"",""???0;"", ///"""),"'","""")&amp;SUBSTITUTE(TEXT(Overig!W469,""",""?00;"",""?-00;"",""?00;"", //"""),"'","""")</f>
        <v>032, 19400426, 24.00, ////, 07, ////, 07,  290, 00,  306, 00, ///, 07, ////, 07, ////, 07, ////, 07, ////, 07, ///, 07</v>
      </c>
    </row>
    <row r="470" spans="1:1" x14ac:dyDescent="0.25">
      <c r="A470" s="12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//"""),"'","""")&amp;SUBSTITUTE(TEXT(IF(ISTEXT(Overig!J470),Overig!J470,10*Overig!J470),""",""????0;"",""???-0;"",""????0;"", ////"""),"'","""")&amp;SUBSTITUTE(TEXT(Overig!K470,""",""?00;"",""?-00;"",""?00;"", //"""),"'","""")&amp;SUBSTITUTE(TEXT(Overig!L470,""",""???0;"",""??-0;"",""???0;"", ///"""),"'","""")&amp;SUBSTITUTE(TEXT(Overig!M470,""",""?00;"",""?-00;"",""?00;"", //"""),"'","""")&amp;SUBSTITUTE(TEXT(IF(ISTEXT(Overig!N470),Overig!N470,10*Overig!N470),""",""????0;"",""???-0;"",""????0;"", ////"""),"'","""")&amp;SUBSTITUTE(TEXT(Overig!O470,""",""?00;"",""?-00;"",""?00;"", //"""),"'","""")&amp;SUBSTITUTE(TEXT(IF(ISTEXT(Overig!P470),Overig!P470,10*Overig!P470),""",""????0;"",""???-0;"",""????0;"", ////"""),"'","""")&amp;SUBSTITUTE(TEXT(Overig!Q470,""",""?00;"",""?-00;"",""?00;"", //"""),"'","""")&amp;SUBSTITUTE(TEXT(Overig!R470,""",""????0;"",""???-0;"",""????0;"", ////"""),"'","""")&amp;SUBSTITUTE(TEXT(Overig!S470,""",""?00;"",""?-00;"",""?00;"", //"""),"'","""")&amp;SUBSTITUTE(TEXT(IF(ISTEXT(Overig!T470),Overig!T470,10*Overig!T470),""",""????0;"",""???-0;"",""????0;"", ////"""),"'","""")&amp;SUBSTITUTE(TEXT(Overig!U470,""",""?00;"",""?-00;"",""?00;"", //"""),"'","""")&amp;SUBSTITUTE(TEXT(Overig!V470,""",""???0;"",""??-0;"",""???0;"", ///"""),"'","""")&amp;SUBSTITUTE(TEXT(Overig!W470,""",""?00;"",""?-00;"",""?00;"", //"""),"'","""")</f>
        <v>032, 19400427, 07.00, 7585, 00,  265, 00, ////, 07, ////, 07,  77, 00,  200, 00,  234, 00,   65, 00,    6, 00,   2, 00</v>
      </c>
    </row>
    <row r="471" spans="1:1" x14ac:dyDescent="0.25">
      <c r="A471" s="12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//"""),"'","""")&amp;SUBSTITUTE(TEXT(IF(ISTEXT(Overig!J471),Overig!J471,10*Overig!J471),""",""????0;"",""???-0;"",""????0;"", ////"""),"'","""")&amp;SUBSTITUTE(TEXT(Overig!K471,""",""?00;"",""?-00;"",""?00;"", //"""),"'","""")&amp;SUBSTITUTE(TEXT(Overig!L471,""",""???0;"",""??-0;"",""???0;"", ///"""),"'","""")&amp;SUBSTITUTE(TEXT(Overig!M471,""",""?00;"",""?-00;"",""?00;"", //"""),"'","""")&amp;SUBSTITUTE(TEXT(IF(ISTEXT(Overig!N471),Overig!N471,10*Overig!N471),""",""????0;"",""???-0;"",""????0;"", ////"""),"'","""")&amp;SUBSTITUTE(TEXT(Overig!O471,""",""?00;"",""?-00;"",""?00;"", //"""),"'","""")&amp;SUBSTITUTE(TEXT(IF(ISTEXT(Overig!P471),Overig!P471,10*Overig!P471),""",""????0;"",""???-0;"",""????0;"", ////"""),"'","""")&amp;SUBSTITUTE(TEXT(Overig!Q471,""",""?00;"",""?-00;"",""?00;"", //"""),"'","""")&amp;SUBSTITUTE(TEXT(Overig!R471,""",""????0;"",""???-0;"",""????0;"", ////"""),"'","""")&amp;SUBSTITUTE(TEXT(Overig!S471,""",""?00;"",""?-00;"",""?00;"", //"""),"'","""")&amp;SUBSTITUTE(TEXT(IF(ISTEXT(Overig!T471),Overig!T471,10*Overig!T471),""",""????0;"",""???-0;"",""????0;"", ////"""),"'","""")&amp;SUBSTITUTE(TEXT(Overig!U471,""",""?00;"",""?-00;"",""?00;"", //"""),"'","""")&amp;SUBSTITUTE(TEXT(Overig!V471,""",""???0;"",""??-0;"",""???0;"", ///"""),"'","""")&amp;SUBSTITUTE(TEXT(Overig!W471,""",""?00;"",""?-00;"",""?00;"", //"""),"'","""")</f>
        <v>032, 19400427, 12.00, 7595, 00,  267, 00, ////, 07, ////, 07,  77, 00,  203, 00,  236, 00,   65, 00,    7, 00,   3, 00</v>
      </c>
    </row>
    <row r="472" spans="1:1" x14ac:dyDescent="0.25">
      <c r="A472" s="12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//"""),"'","""")&amp;SUBSTITUTE(TEXT(IF(ISTEXT(Overig!J472),Overig!J472,10*Overig!J472),""",""????0;"",""???-0;"",""????0;"", ////"""),"'","""")&amp;SUBSTITUTE(TEXT(Overig!K472,""",""?00;"",""?-00;"",""?00;"", //"""),"'","""")&amp;SUBSTITUTE(TEXT(Overig!L472,""",""???0;"",""??-0;"",""???0;"", ///"""),"'","""")&amp;SUBSTITUTE(TEXT(Overig!M472,""",""?00;"",""?-00;"",""?00;"", //"""),"'","""")&amp;SUBSTITUTE(TEXT(IF(ISTEXT(Overig!N472),Overig!N472,10*Overig!N472),""",""????0;"",""???-0;"",""????0;"", ////"""),"'","""")&amp;SUBSTITUTE(TEXT(Overig!O472,""",""?00;"",""?-00;"",""?00;"", //"""),"'","""")&amp;SUBSTITUTE(TEXT(IF(ISTEXT(Overig!P472),Overig!P472,10*Overig!P472),""",""????0;"",""???-0;"",""????0;"", ////"""),"'","""")&amp;SUBSTITUTE(TEXT(Overig!Q472,""",""?00;"",""?-00;"",""?00;"", //"""),"'","""")&amp;SUBSTITUTE(TEXT(Overig!R472,""",""????0;"",""???-0;"",""????0;"", ////"""),"'","""")&amp;SUBSTITUTE(TEXT(Overig!S472,""",""?00;"",""?-00;"",""?00;"", //"""),"'","""")&amp;SUBSTITUTE(TEXT(IF(ISTEXT(Overig!T472),Overig!T472,10*Overig!T472),""",""????0;"",""???-0;"",""????0;"", ////"""),"'","""")&amp;SUBSTITUTE(TEXT(Overig!U472,""",""?00;"",""?-00;"",""?00;"", //"""),"'","""")&amp;SUBSTITUTE(TEXT(Overig!V472,""",""???0;"",""??-0;"",""???0;"", ///"""),"'","""")&amp;SUBSTITUTE(TEXT(Overig!W472,""",""?00;"",""?-00;"",""?00;"", //"""),"'","""")</f>
        <v>032, 19400427, 17.00, 7589, 00,  265, 00, ////, 07, ////, 07,  76, 00,  197, 00,  232, 00,   65, 00,    7, 00,   3, 00</v>
      </c>
    </row>
    <row r="473" spans="1:1" x14ac:dyDescent="0.25">
      <c r="A473" s="12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//"""),"'","""")&amp;SUBSTITUTE(TEXT(IF(ISTEXT(Overig!J473),Overig!J473,10*Overig!J473),""",""????0;"",""???-0;"",""????0;"", ////"""),"'","""")&amp;SUBSTITUTE(TEXT(Overig!K473,""",""?00;"",""?-00;"",""?00;"", //"""),"'","""")&amp;SUBSTITUTE(TEXT(Overig!L473,""",""???0;"",""??-0;"",""???0;"", ///"""),"'","""")&amp;SUBSTITUTE(TEXT(Overig!M473,""",""?00;"",""?-00;"",""?00;"", //"""),"'","""")&amp;SUBSTITUTE(TEXT(IF(ISTEXT(Overig!N473),Overig!N473,10*Overig!N473),""",""????0;"",""???-0;"",""????0;"", ////"""),"'","""")&amp;SUBSTITUTE(TEXT(Overig!O473,""",""?00;"",""?-00;"",""?00;"", //"""),"'","""")&amp;SUBSTITUTE(TEXT(IF(ISTEXT(Overig!P473),Overig!P473,10*Overig!P473),""",""????0;"",""???-0;"",""????0;"", ////"""),"'","""")&amp;SUBSTITUTE(TEXT(Overig!Q473,""",""?00;"",""?-00;"",""?00;"", //"""),"'","""")&amp;SUBSTITUTE(TEXT(Overig!R473,""",""????0;"",""???-0;"",""????0;"", ////"""),"'","""")&amp;SUBSTITUTE(TEXT(Overig!S473,""",""?00;"",""?-00;"",""?00;"", //"""),"'","""")&amp;SUBSTITUTE(TEXT(IF(ISTEXT(Overig!T473),Overig!T473,10*Overig!T473),""",""????0;"",""???-0;"",""????0;"", ////"""),"'","""")&amp;SUBSTITUTE(TEXT(Overig!U473,""",""?00;"",""?-00;"",""?00;"", //"""),"'","""")&amp;SUBSTITUTE(TEXT(Overig!V473,""",""???0;"",""??-0;"",""???0;"", ///"""),"'","""")&amp;SUBSTITUTE(TEXT(Overig!W473,""",""?00;"",""?-00;"",""?00;"", //"""),"'","""")</f>
        <v>032, 19400427, 24.00, ////, 07, ////, 07,  274, 00,  300, 00, ///, 07, ////, 07, ////, 07, ////, 07, ////, 07, ///, 07</v>
      </c>
    </row>
    <row r="474" spans="1:1" x14ac:dyDescent="0.25">
      <c r="A474" s="12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//"""),"'","""")&amp;SUBSTITUTE(TEXT(IF(ISTEXT(Overig!J474),Overig!J474,10*Overig!J474),""",""????0;"",""???-0;"",""????0;"", ////"""),"'","""")&amp;SUBSTITUTE(TEXT(Overig!K474,""",""?00;"",""?-00;"",""?00;"", //"""),"'","""")&amp;SUBSTITUTE(TEXT(Overig!L474,""",""???0;"",""??-0;"",""???0;"", ///"""),"'","""")&amp;SUBSTITUTE(TEXT(Overig!M474,""",""?00;"",""?-00;"",""?00;"", //"""),"'","""")&amp;SUBSTITUTE(TEXT(IF(ISTEXT(Overig!N474),Overig!N474,10*Overig!N474),""",""????0;"",""???-0;"",""????0;"", ////"""),"'","""")&amp;SUBSTITUTE(TEXT(Overig!O474,""",""?00;"",""?-00;"",""?00;"", //"""),"'","""")&amp;SUBSTITUTE(TEXT(IF(ISTEXT(Overig!P474),Overig!P474,10*Overig!P474),""",""????0;"",""???-0;"",""????0;"", ////"""),"'","""")&amp;SUBSTITUTE(TEXT(Overig!Q474,""",""?00;"",""?-00;"",""?00;"", //"""),"'","""")&amp;SUBSTITUTE(TEXT(Overig!R474,""",""????0;"",""???-0;"",""????0;"", ////"""),"'","""")&amp;SUBSTITUTE(TEXT(Overig!S474,""",""?00;"",""?-00;"",""?00;"", //"""),"'","""")&amp;SUBSTITUTE(TEXT(IF(ISTEXT(Overig!T474),Overig!T474,10*Overig!T474),""",""????0;"",""???-0;"",""????0;"", ////"""),"'","""")&amp;SUBSTITUTE(TEXT(Overig!U474,""",""?00;"",""?-00;"",""?00;"", //"""),"'","""")&amp;SUBSTITUTE(TEXT(Overig!V474,""",""???0;"",""??-0;"",""???0;"", ///"""),"'","""")&amp;SUBSTITUTE(TEXT(Overig!W474,""",""?00;"",""?-00;"",""?00;"", //"""),"'","""")</f>
        <v>032, 19400428, 07.00, 7582, 00,  259, 00, ////, 07, ////, 07,  84, 00,  211, 00,  238, 00,   65, 00,    5, 00,   2, 00</v>
      </c>
    </row>
    <row r="475" spans="1:1" x14ac:dyDescent="0.25">
      <c r="A475" s="12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//"""),"'","""")&amp;SUBSTITUTE(TEXT(IF(ISTEXT(Overig!J475),Overig!J475,10*Overig!J475),""",""????0;"",""???-0;"",""????0;"", ////"""),"'","""")&amp;SUBSTITUTE(TEXT(Overig!K475,""",""?00;"",""?-00;"",""?00;"", //"""),"'","""")&amp;SUBSTITUTE(TEXT(Overig!L475,""",""???0;"",""??-0;"",""???0;"", ///"""),"'","""")&amp;SUBSTITUTE(TEXT(Overig!M475,""",""?00;"",""?-00;"",""?00;"", //"""),"'","""")&amp;SUBSTITUTE(TEXT(IF(ISTEXT(Overig!N475),Overig!N475,10*Overig!N475),""",""????0;"",""???-0;"",""????0;"", ////"""),"'","""")&amp;SUBSTITUTE(TEXT(Overig!O475,""",""?00;"",""?-00;"",""?00;"", //"""),"'","""")&amp;SUBSTITUTE(TEXT(IF(ISTEXT(Overig!P475),Overig!P475,10*Overig!P475),""",""????0;"",""???-0;"",""????0;"", ////"""),"'","""")&amp;SUBSTITUTE(TEXT(Overig!Q475,""",""?00;"",""?-00;"",""?00;"", //"""),"'","""")&amp;SUBSTITUTE(TEXT(Overig!R475,""",""????0;"",""???-0;"",""????0;"", ////"""),"'","""")&amp;SUBSTITUTE(TEXT(Overig!S475,""",""?00;"",""?-00;"",""?00;"", //"""),"'","""")&amp;SUBSTITUTE(TEXT(IF(ISTEXT(Overig!T475),Overig!T475,10*Overig!T475),""",""????0;"",""???-0;"",""????0;"", ////"""),"'","""")&amp;SUBSTITUTE(TEXT(Overig!U475,""",""?00;"",""?-00;"",""?00;"", //"""),"'","""")&amp;SUBSTITUTE(TEXT(Overig!V475,""",""???0;"",""??-0;"",""???0;"", ///"""),"'","""")&amp;SUBSTITUTE(TEXT(Overig!W475,""",""?00;"",""?-00;"",""?00;"", //"""),"'","""")</f>
        <v>032, 19400428, 12.00, 7557, 00,  267, 00, ////, 07, ////, 07,  77, 00,  203, 00,  236, 00,   45, 00,    6, 00,   2, 00</v>
      </c>
    </row>
    <row r="476" spans="1:1" x14ac:dyDescent="0.25">
      <c r="A476" s="12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//"""),"'","""")&amp;SUBSTITUTE(TEXT(IF(ISTEXT(Overig!J476),Overig!J476,10*Overig!J476),""",""????0;"",""???-0;"",""????0;"", ////"""),"'","""")&amp;SUBSTITUTE(TEXT(Overig!K476,""",""?00;"",""?-00;"",""?00;"", //"""),"'","""")&amp;SUBSTITUTE(TEXT(Overig!L476,""",""???0;"",""??-0;"",""???0;"", ///"""),"'","""")&amp;SUBSTITUTE(TEXT(Overig!M476,""",""?00;"",""?-00;"",""?00;"", //"""),"'","""")&amp;SUBSTITUTE(TEXT(IF(ISTEXT(Overig!N476),Overig!N476,10*Overig!N476),""",""????0;"",""???-0;"",""????0;"", ////"""),"'","""")&amp;SUBSTITUTE(TEXT(Overig!O476,""",""?00;"",""?-00;"",""?00;"", //"""),"'","""")&amp;SUBSTITUTE(TEXT(IF(ISTEXT(Overig!P476),Overig!P476,10*Overig!P476),""",""????0;"",""???-0;"",""????0;"", ////"""),"'","""")&amp;SUBSTITUTE(TEXT(Overig!Q476,""",""?00;"",""?-00;"",""?00;"", //"""),"'","""")&amp;SUBSTITUTE(TEXT(Overig!R476,""",""????0;"",""???-0;"",""????0;"", ////"""),"'","""")&amp;SUBSTITUTE(TEXT(Overig!S476,""",""?00;"",""?-00;"",""?00;"", //"""),"'","""")&amp;SUBSTITUTE(TEXT(IF(ISTEXT(Overig!T476),Overig!T476,10*Overig!T476),""",""????0;"",""???-0;"",""????0;"", ////"""),"'","""")&amp;SUBSTITUTE(TEXT(Overig!U476,""",""?00;"",""?-00;"",""?00;"", //"""),"'","""")&amp;SUBSTITUTE(TEXT(Overig!V476,""",""???0;"",""??-0;"",""???0;"", ///"""),"'","""")&amp;SUBSTITUTE(TEXT(Overig!W476,""",""?00;"",""?-00;"",""?00;"", //"""),"'","""")</f>
        <v>032, 19400428, 17.00, 7557, 00,  261, 00, ////, 07, ////, 07,  79, 00,  201, 00,  232, 00,   45, 00,    6, 00,   2, 00</v>
      </c>
    </row>
    <row r="477" spans="1:1" x14ac:dyDescent="0.25">
      <c r="A477" s="12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//"""),"'","""")&amp;SUBSTITUTE(TEXT(IF(ISTEXT(Overig!J477),Overig!J477,10*Overig!J477),""",""????0;"",""???-0;"",""????0;"", ////"""),"'","""")&amp;SUBSTITUTE(TEXT(Overig!K477,""",""?00;"",""?-00;"",""?00;"", //"""),"'","""")&amp;SUBSTITUTE(TEXT(Overig!L477,""",""???0;"",""??-0;"",""???0;"", ///"""),"'","""")&amp;SUBSTITUTE(TEXT(Overig!M477,""",""?00;"",""?-00;"",""?00;"", //"""),"'","""")&amp;SUBSTITUTE(TEXT(IF(ISTEXT(Overig!N477),Overig!N477,10*Overig!N477),""",""????0;"",""???-0;"",""????0;"", ////"""),"'","""")&amp;SUBSTITUTE(TEXT(Overig!O477,""",""?00;"",""?-00;"",""?00;"", //"""),"'","""")&amp;SUBSTITUTE(TEXT(IF(ISTEXT(Overig!P477),Overig!P477,10*Overig!P477),""",""????0;"",""???-0;"",""????0;"", ////"""),"'","""")&amp;SUBSTITUTE(TEXT(Overig!Q477,""",""?00;"",""?-00;"",""?00;"", //"""),"'","""")&amp;SUBSTITUTE(TEXT(Overig!R477,""",""????0;"",""???-0;"",""????0;"", ////"""),"'","""")&amp;SUBSTITUTE(TEXT(Overig!S477,""",""?00;"",""?-00;"",""?00;"", //"""),"'","""")&amp;SUBSTITUTE(TEXT(IF(ISTEXT(Overig!T477),Overig!T477,10*Overig!T477),""",""????0;"",""???-0;"",""????0;"", ////"""),"'","""")&amp;SUBSTITUTE(TEXT(Overig!U477,""",""?00;"",""?-00;"",""?00;"", //"""),"'","""")&amp;SUBSTITUTE(TEXT(Overig!V477,""",""???0;"",""??-0;"",""???0;"", ///"""),"'","""")&amp;SUBSTITUTE(TEXT(Overig!W477,""",""?00;"",""?-00;"",""?00;"", //"""),"'","""")</f>
        <v>032, 19400428, 24.00, ////, 07, ////, 07,  282, 00,  310, 00, ///, 07, ////, 07, ////, 07, ////, 07, ////, 07, ///, 07</v>
      </c>
    </row>
    <row r="478" spans="1:1" x14ac:dyDescent="0.25">
      <c r="A478" s="12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//"""),"'","""")&amp;SUBSTITUTE(TEXT(IF(ISTEXT(Overig!J478),Overig!J478,10*Overig!J478),""",""????0;"",""???-0;"",""????0;"", ////"""),"'","""")&amp;SUBSTITUTE(TEXT(Overig!K478,""",""?00;"",""?-00;"",""?00;"", //"""),"'","""")&amp;SUBSTITUTE(TEXT(Overig!L478,""",""???0;"",""??-0;"",""???0;"", ///"""),"'","""")&amp;SUBSTITUTE(TEXT(Overig!M478,""",""?00;"",""?-00;"",""?00;"", //"""),"'","""")&amp;SUBSTITUTE(TEXT(IF(ISTEXT(Overig!N478),Overig!N478,10*Overig!N478),""",""????0;"",""???-0;"",""????0;"", ////"""),"'","""")&amp;SUBSTITUTE(TEXT(Overig!O478,""",""?00;"",""?-00;"",""?00;"", //"""),"'","""")&amp;SUBSTITUTE(TEXT(IF(ISTEXT(Overig!P478),Overig!P478,10*Overig!P478),""",""????0;"",""???-0;"",""????0;"", ////"""),"'","""")&amp;SUBSTITUTE(TEXT(Overig!Q478,""",""?00;"",""?-00;"",""?00;"", //"""),"'","""")&amp;SUBSTITUTE(TEXT(Overig!R478,""",""????0;"",""???-0;"",""????0;"", ////"""),"'","""")&amp;SUBSTITUTE(TEXT(Overig!S478,""",""?00;"",""?-00;"",""?00;"", //"""),"'","""")&amp;SUBSTITUTE(TEXT(IF(ISTEXT(Overig!T478),Overig!T478,10*Overig!T478),""",""????0;"",""???-0;"",""????0;"", ////"""),"'","""")&amp;SUBSTITUTE(TEXT(Overig!U478,""",""?00;"",""?-00;"",""?00;"", //"""),"'","""")&amp;SUBSTITUTE(TEXT(Overig!V478,""",""???0;"",""??-0;"",""???0;"", ///"""),"'","""")&amp;SUBSTITUTE(TEXT(Overig!W478,""",""?00;"",""?-00;"",""?00;"", //"""),"'","""")</f>
        <v>032, 19400429, 07.00, 7585, 00,  259, 00, ////, 07, ////, 07,  80, 00,  202, 00,  233, 00,   65, 00,    4, 00,   3, 00</v>
      </c>
    </row>
    <row r="479" spans="1:1" x14ac:dyDescent="0.25">
      <c r="A479" s="12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//"""),"'","""")&amp;SUBSTITUTE(TEXT(IF(ISTEXT(Overig!J479),Overig!J479,10*Overig!J479),""",""????0;"",""???-0;"",""????0;"", ////"""),"'","""")&amp;SUBSTITUTE(TEXT(Overig!K479,""",""?00;"",""?-00;"",""?00;"", //"""),"'","""")&amp;SUBSTITUTE(TEXT(Overig!L479,""",""???0;"",""??-0;"",""???0;"", ///"""),"'","""")&amp;SUBSTITUTE(TEXT(Overig!M479,""",""?00;"",""?-00;"",""?00;"", //"""),"'","""")&amp;SUBSTITUTE(TEXT(IF(ISTEXT(Overig!N479),Overig!N479,10*Overig!N479),""",""????0;"",""???-0;"",""????0;"", ////"""),"'","""")&amp;SUBSTITUTE(TEXT(Overig!O479,""",""?00;"",""?-00;"",""?00;"", //"""),"'","""")&amp;SUBSTITUTE(TEXT(IF(ISTEXT(Overig!P479),Overig!P479,10*Overig!P479),""",""????0;"",""???-0;"",""????0;"", ////"""),"'","""")&amp;SUBSTITUTE(TEXT(Overig!Q479,""",""?00;"",""?-00;"",""?00;"", //"""),"'","""")&amp;SUBSTITUTE(TEXT(Overig!R479,""",""????0;"",""???-0;"",""????0;"", ////"""),"'","""")&amp;SUBSTITUTE(TEXT(Overig!S479,""",""?00;"",""?-00;"",""?00;"", //"""),"'","""")&amp;SUBSTITUTE(TEXT(IF(ISTEXT(Overig!T479),Overig!T479,10*Overig!T479),""",""????0;"",""???-0;"",""????0;"", ////"""),"'","""")&amp;SUBSTITUTE(TEXT(Overig!U479,""",""?00;"",""?-00;"",""?00;"", //"""),"'","""")&amp;SUBSTITUTE(TEXT(Overig!V479,""",""???0;"",""??-0;"",""???0;"", ///"""),"'","""")&amp;SUBSTITUTE(TEXT(Overig!W479,""",""?00;"",""?-00;"",""?00;"", //"""),"'","""")</f>
        <v>032, 19400429, 12.00, 7579, 00,  267, 00, ////, 07, ////, 07,  77, 00,  203, 00,  236, 00,   45, 00,    5, 00,   4, 00</v>
      </c>
    </row>
    <row r="480" spans="1:1" x14ac:dyDescent="0.25">
      <c r="A480" s="12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//"""),"'","""")&amp;SUBSTITUTE(TEXT(IF(ISTEXT(Overig!J480),Overig!J480,10*Overig!J480),""",""????0;"",""???-0;"",""????0;"", ////"""),"'","""")&amp;SUBSTITUTE(TEXT(Overig!K480,""",""?00;"",""?-00;"",""?00;"", //"""),"'","""")&amp;SUBSTITUTE(TEXT(Overig!L480,""",""???0;"",""??-0;"",""???0;"", ///"""),"'","""")&amp;SUBSTITUTE(TEXT(Overig!M480,""",""?00;"",""?-00;"",""?00;"", //"""),"'","""")&amp;SUBSTITUTE(TEXT(IF(ISTEXT(Overig!N480),Overig!N480,10*Overig!N480),""",""????0;"",""???-0;"",""????0;"", ////"""),"'","""")&amp;SUBSTITUTE(TEXT(Overig!O480,""",""?00;"",""?-00;"",""?00;"", //"""),"'","""")&amp;SUBSTITUTE(TEXT(IF(ISTEXT(Overig!P480),Overig!P480,10*Overig!P480),""",""????0;"",""???-0;"",""????0;"", ////"""),"'","""")&amp;SUBSTITUTE(TEXT(Overig!Q480,""",""?00;"",""?-00;"",""?00;"", //"""),"'","""")&amp;SUBSTITUTE(TEXT(Overig!R480,""",""????0;"",""???-0;"",""????0;"", ////"""),"'","""")&amp;SUBSTITUTE(TEXT(Overig!S480,""",""?00;"",""?-00;"",""?00;"", //"""),"'","""")&amp;SUBSTITUTE(TEXT(IF(ISTEXT(Overig!T480),Overig!T480,10*Overig!T480),""",""????0;"",""???-0;"",""????0;"", ////"""),"'","""")&amp;SUBSTITUTE(TEXT(Overig!U480,""",""?00;"",""?-00;"",""?00;"", //"""),"'","""")&amp;SUBSTITUTE(TEXT(Overig!V480,""",""???0;"",""??-0;"",""???0;"", ///"""),"'","""")&amp;SUBSTITUTE(TEXT(Overig!W480,""",""?00;"",""?-00;"",""?00;"", //"""),"'","""")</f>
        <v>032, 19400429, 17.00, 7567, 00,  263, 00, ////, 07, ////, 07,  78, 00,  201, 00,  234, 00,   45, 00,    5, 00,   2, 00</v>
      </c>
    </row>
    <row r="481" spans="1:1" x14ac:dyDescent="0.25">
      <c r="A481" s="12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//"""),"'","""")&amp;SUBSTITUTE(TEXT(IF(ISTEXT(Overig!J481),Overig!J481,10*Overig!J481),""",""????0;"",""???-0;"",""????0;"", ////"""),"'","""")&amp;SUBSTITUTE(TEXT(Overig!K481,""",""?00;"",""?-00;"",""?00;"", //"""),"'","""")&amp;SUBSTITUTE(TEXT(Overig!L481,""",""???0;"",""??-0;"",""???0;"", ///"""),"'","""")&amp;SUBSTITUTE(TEXT(Overig!M481,""",""?00;"",""?-00;"",""?00;"", //"""),"'","""")&amp;SUBSTITUTE(TEXT(IF(ISTEXT(Overig!N481),Overig!N481,10*Overig!N481),""",""????0;"",""???-0;"",""????0;"", ////"""),"'","""")&amp;SUBSTITUTE(TEXT(Overig!O481,""",""?00;"",""?-00;"",""?00;"", //"""),"'","""")&amp;SUBSTITUTE(TEXT(IF(ISTEXT(Overig!P481),Overig!P481,10*Overig!P481),""",""????0;"",""???-0;"",""????0;"", ////"""),"'","""")&amp;SUBSTITUTE(TEXT(Overig!Q481,""",""?00;"",""?-00;"",""?00;"", //"""),"'","""")&amp;SUBSTITUTE(TEXT(Overig!R481,""",""????0;"",""???-0;"",""????0;"", ////"""),"'","""")&amp;SUBSTITUTE(TEXT(Overig!S481,""",""?00;"",""?-00;"",""?00;"", //"""),"'","""")&amp;SUBSTITUTE(TEXT(IF(ISTEXT(Overig!T481),Overig!T481,10*Overig!T481),""",""????0;"",""???-0;"",""????0;"", ////"""),"'","""")&amp;SUBSTITUTE(TEXT(Overig!U481,""",""?00;"",""?-00;"",""?00;"", //"""),"'","""")&amp;SUBSTITUTE(TEXT(Overig!V481,""",""???0;"",""??-0;"",""???0;"", ///"""),"'","""")&amp;SUBSTITUTE(TEXT(Overig!W481,""",""?00;"",""?-00;"",""?00;"", //"""),"'","""")</f>
        <v>032, 19400429, 24.00, ////, 07, ////, 07,  284, 00,  308, 00, ///, 07, ////, 07, ////, 07, ////, 07, ////, 07, ///, 07</v>
      </c>
    </row>
    <row r="482" spans="1:1" x14ac:dyDescent="0.25">
      <c r="A482" s="12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//"""),"'","""")&amp;SUBSTITUTE(TEXT(IF(ISTEXT(Overig!J482),Overig!J482,10*Overig!J482),""",""????0;"",""???-0;"",""????0;"", ////"""),"'","""")&amp;SUBSTITUTE(TEXT(Overig!K482,""",""?00;"",""?-00;"",""?00;"", //"""),"'","""")&amp;SUBSTITUTE(TEXT(Overig!L482,""",""???0;"",""??-0;"",""???0;"", ///"""),"'","""")&amp;SUBSTITUTE(TEXT(Overig!M482,""",""?00;"",""?-00;"",""?00;"", //"""),"'","""")&amp;SUBSTITUTE(TEXT(IF(ISTEXT(Overig!N482),Overig!N482,10*Overig!N482),""",""????0;"",""???-0;"",""????0;"", ////"""),"'","""")&amp;SUBSTITUTE(TEXT(Overig!O482,""",""?00;"",""?-00;"",""?00;"", //"""),"'","""")&amp;SUBSTITUTE(TEXT(IF(ISTEXT(Overig!P482),Overig!P482,10*Overig!P482),""",""????0;"",""???-0;"",""????0;"", ////"""),"'","""")&amp;SUBSTITUTE(TEXT(Overig!Q482,""",""?00;"",""?-00;"",""?00;"", //"""),"'","""")&amp;SUBSTITUTE(TEXT(Overig!R482,""",""????0;"",""???-0;"",""????0;"", ////"""),"'","""")&amp;SUBSTITUTE(TEXT(Overig!S482,""",""?00;"",""?-00;"",""?00;"", //"""),"'","""")&amp;SUBSTITUTE(TEXT(IF(ISTEXT(Overig!T482),Overig!T482,10*Overig!T482),""",""????0;"",""???-0;"",""????0;"", ////"""),"'","""")&amp;SUBSTITUTE(TEXT(Overig!U482,""",""?00;"",""?-00;"",""?00;"", //"""),"'","""")&amp;SUBSTITUTE(TEXT(Overig!V482,""",""???0;"",""??-0;"",""???0;"", ///"""),"'","""")&amp;SUBSTITUTE(TEXT(Overig!W482,""",""?00;"",""?-00;"",""?00;"", //"""),"'","""")</f>
        <v>032, 19400430, 07.00, 7582, 00,  263, 00, ////, 07, ////, 07,  76, 00,  194, 00,  230, 00,   65, 00,    4, 00,   3, 00</v>
      </c>
    </row>
    <row r="483" spans="1:1" x14ac:dyDescent="0.25">
      <c r="A483" s="12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//"""),"'","""")&amp;SUBSTITUTE(TEXT(IF(ISTEXT(Overig!J483),Overig!J483,10*Overig!J483),""",""????0;"",""???-0;"",""????0;"", ////"""),"'","""")&amp;SUBSTITUTE(TEXT(Overig!K483,""",""?00;"",""?-00;"",""?00;"", //"""),"'","""")&amp;SUBSTITUTE(TEXT(Overig!L483,""",""???0;"",""??-0;"",""???0;"", ///"""),"'","""")&amp;SUBSTITUTE(TEXT(Overig!M483,""",""?00;"",""?-00;"",""?00;"", //"""),"'","""")&amp;SUBSTITUTE(TEXT(IF(ISTEXT(Overig!N483),Overig!N483,10*Overig!N483),""",""????0;"",""???-0;"",""????0;"", ////"""),"'","""")&amp;SUBSTITUTE(TEXT(Overig!O483,""",""?00;"",""?-00;"",""?00;"", //"""),"'","""")&amp;SUBSTITUTE(TEXT(IF(ISTEXT(Overig!P483),Overig!P483,10*Overig!P483),""",""????0;"",""???-0;"",""????0;"", ////"""),"'","""")&amp;SUBSTITUTE(TEXT(Overig!Q483,""",""?00;"",""?-00;"",""?00;"", //"""),"'","""")&amp;SUBSTITUTE(TEXT(Overig!R483,""",""????0;"",""???-0;"",""????0;"", ////"""),"'","""")&amp;SUBSTITUTE(TEXT(Overig!S483,""",""?00;"",""?-00;"",""?00;"", //"""),"'","""")&amp;SUBSTITUTE(TEXT(IF(ISTEXT(Overig!T483),Overig!T483,10*Overig!T483),""",""????0;"",""???-0;"",""????0;"", ////"""),"'","""")&amp;SUBSTITUTE(TEXT(Overig!U483,""",""?00;"",""?-00;"",""?00;"", //"""),"'","""")&amp;SUBSTITUTE(TEXT(Overig!V483,""",""???0;"",""??-0;"",""???0;"", ///"""),"'","""")&amp;SUBSTITUTE(TEXT(Overig!W483,""",""?00;"",""?-00;"",""?00;"", //"""),"'","""")</f>
        <v>032, 19400430, 12.00, 7592, 00,  269, 00, ////, 07, ////, 07,  74, 00,  198, 00,  234, 00,   45, 00,    6, 00,   2, 00</v>
      </c>
    </row>
    <row r="484" spans="1:1" x14ac:dyDescent="0.25">
      <c r="A484" s="12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//"""),"'","""")&amp;SUBSTITUTE(TEXT(IF(ISTEXT(Overig!J484),Overig!J484,10*Overig!J484),""",""????0;"",""???-0;"",""????0;"", ////"""),"'","""")&amp;SUBSTITUTE(TEXT(Overig!K484,""",""?00;"",""?-00;"",""?00;"", //"""),"'","""")&amp;SUBSTITUTE(TEXT(Overig!L484,""",""???0;"",""??-0;"",""???0;"", ///"""),"'","""")&amp;SUBSTITUTE(TEXT(Overig!M484,""",""?00;"",""?-00;"",""?00;"", //"""),"'","""")&amp;SUBSTITUTE(TEXT(IF(ISTEXT(Overig!N484),Overig!N484,10*Overig!N484),""",""????0;"",""???-0;"",""????0;"", ////"""),"'","""")&amp;SUBSTITUTE(TEXT(Overig!O484,""",""?00;"",""?-00;"",""?00;"", //"""),"'","""")&amp;SUBSTITUTE(TEXT(IF(ISTEXT(Overig!P484),Overig!P484,10*Overig!P484),""",""????0;"",""???-0;"",""????0;"", ////"""),"'","""")&amp;SUBSTITUTE(TEXT(Overig!Q484,""",""?00;"",""?-00;"",""?00;"", //"""),"'","""")&amp;SUBSTITUTE(TEXT(Overig!R484,""",""????0;"",""???-0;"",""????0;"", ////"""),"'","""")&amp;SUBSTITUTE(TEXT(Overig!S484,""",""?00;"",""?-00;"",""?00;"", //"""),"'","""")&amp;SUBSTITUTE(TEXT(IF(ISTEXT(Overig!T484),Overig!T484,10*Overig!T484),""",""????0;"",""???-0;"",""????0;"", ////"""),"'","""")&amp;SUBSTITUTE(TEXT(Overig!U484,""",""?00;"",""?-00;"",""?00;"", //"""),"'","""")&amp;SUBSTITUTE(TEXT(Overig!V484,""",""???0;"",""??-0;"",""???0;"", ///"""),"'","""")&amp;SUBSTITUTE(TEXT(Overig!W484,""",""?00;"",""?-00;"",""?00;"", //"""),"'","""")</f>
        <v>032, 19400430, 17.00, 7587, 00,  261, 00, ////, 07, ////, 07,  78, 00,  199, 00,  232, 00,   45, 00,    5, 00,   2, 00</v>
      </c>
    </row>
    <row r="485" spans="1:1" x14ac:dyDescent="0.25">
      <c r="A485" s="12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//"""),"'","""")&amp;SUBSTITUTE(TEXT(IF(ISTEXT(Overig!J485),Overig!J485,10*Overig!J485),""",""????0;"",""???-0;"",""????0;"", ////"""),"'","""")&amp;SUBSTITUTE(TEXT(Overig!K485,""",""?00;"",""?-00;"",""?00;"", //"""),"'","""")&amp;SUBSTITUTE(TEXT(Overig!L485,""",""???0;"",""??-0;"",""???0;"", ///"""),"'","""")&amp;SUBSTITUTE(TEXT(Overig!M485,""",""?00;"",""?-00;"",""?00;"", //"""),"'","""")&amp;SUBSTITUTE(TEXT(IF(ISTEXT(Overig!N485),Overig!N485,10*Overig!N485),""",""????0;"",""???-0;"",""????0;"", ////"""),"'","""")&amp;SUBSTITUTE(TEXT(Overig!O485,""",""?00;"",""?-00;"",""?00;"", //"""),"'","""")&amp;SUBSTITUTE(TEXT(IF(ISTEXT(Overig!P485),Overig!P485,10*Overig!P485),""",""????0;"",""???-0;"",""????0;"", ////"""),"'","""")&amp;SUBSTITUTE(TEXT(Overig!Q485,""",""?00;"",""?-00;"",""?00;"", //"""),"'","""")&amp;SUBSTITUTE(TEXT(Overig!R485,""",""????0;"",""???-0;"",""????0;"", ////"""),"'","""")&amp;SUBSTITUTE(TEXT(Overig!S485,""",""?00;"",""?-00;"",""?00;"", //"""),"'","""")&amp;SUBSTITUTE(TEXT(IF(ISTEXT(Overig!T485),Overig!T485,10*Overig!T485),""",""????0;"",""???-0;"",""????0;"", ////"""),"'","""")&amp;SUBSTITUTE(TEXT(Overig!U485,""",""?00;"",""?-00;"",""?00;"", //"""),"'","""")&amp;SUBSTITUTE(TEXT(Overig!V485,""",""???0;"",""??-0;"",""???0;"", ///"""),"'","""")&amp;SUBSTITUTE(TEXT(Overig!W485,""",""?00;"",""?-00;"",""?00;"", //"""),"'","""")</f>
        <v>032, 19400430, 24.00, ////, 07, ////, 07,  284, 00,  317, 00, ///, 07, ////, 07, ////, 07, ////, 07, ////, 07, ///, 07</v>
      </c>
    </row>
    <row r="486" spans="1:1" x14ac:dyDescent="0.25">
      <c r="A486" s="12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//"""),"'","""")&amp;SUBSTITUTE(TEXT(IF(ISTEXT(Overig!J486),Overig!J486,10*Overig!J486),""",""????0;"",""???-0;"",""????0;"", ////"""),"'","""")&amp;SUBSTITUTE(TEXT(Overig!K486,""",""?00;"",""?-00;"",""?00;"", //"""),"'","""")&amp;SUBSTITUTE(TEXT(Overig!L486,""",""???0;"",""??-0;"",""???0;"", ///"""),"'","""")&amp;SUBSTITUTE(TEXT(Overig!M486,""",""?00;"",""?-00;"",""?00;"", //"""),"'","""")&amp;SUBSTITUTE(TEXT(IF(ISTEXT(Overig!N486),Overig!N486,10*Overig!N486),""",""????0;"",""???-0;"",""????0;"", ////"""),"'","""")&amp;SUBSTITUTE(TEXT(Overig!O486,""",""?00;"",""?-00;"",""?00;"", //"""),"'","""")&amp;SUBSTITUTE(TEXT(IF(ISTEXT(Overig!P486),Overig!P486,10*Overig!P486),""",""????0;"",""???-0;"",""????0;"", ////"""),"'","""")&amp;SUBSTITUTE(TEXT(Overig!Q486,""",""?00;"",""?-00;"",""?00;"", //"""),"'","""")&amp;SUBSTITUTE(TEXT(Overig!R486,""",""????0;"",""???-0;"",""????0;"", ////"""),"'","""")&amp;SUBSTITUTE(TEXT(Overig!S486,""",""?00;"",""?-00;"",""?00;"", //"""),"'","""")&amp;SUBSTITUTE(TEXT(IF(ISTEXT(Overig!T486),Overig!T486,10*Overig!T486),""",""????0;"",""???-0;"",""????0;"", ////"""),"'","""")&amp;SUBSTITUTE(TEXT(Overig!U486,""",""?00;"",""?-00;"",""?00;"", //"""),"'","""")&amp;SUBSTITUTE(TEXT(Overig!V486,""",""???0;"",""??-0;"",""???0;"", ///"""),"'","""")&amp;SUBSTITUTE(TEXT(Overig!W486,""",""?00;"",""?-00;"",""?00;"", //"""),"'","""")</f>
        <v>032, 19400501, 07.00, 7595, 00,  271, 00, ////, 07, ////, 07,  75, 00,  201, 00,  236, 00,   65, 00,    5, 00,   3, 00</v>
      </c>
    </row>
    <row r="487" spans="1:1" x14ac:dyDescent="0.25">
      <c r="A487" s="12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//"""),"'","""")&amp;SUBSTITUTE(TEXT(IF(ISTEXT(Overig!J487),Overig!J487,10*Overig!J487),""",""????0;"",""???-0;"",""????0;"", ////"""),"'","""")&amp;SUBSTITUTE(TEXT(Overig!K487,""",""?00;"",""?-00;"",""?00;"", //"""),"'","""")&amp;SUBSTITUTE(TEXT(Overig!L487,""",""???0;"",""??-0;"",""???0;"", ///"""),"'","""")&amp;SUBSTITUTE(TEXT(Overig!M487,""",""?00;"",""?-00;"",""?00;"", //"""),"'","""")&amp;SUBSTITUTE(TEXT(IF(ISTEXT(Overig!N487),Overig!N487,10*Overig!N487),""",""????0;"",""???-0;"",""????0;"", ////"""),"'","""")&amp;SUBSTITUTE(TEXT(Overig!O487,""",""?00;"",""?-00;"",""?00;"", //"""),"'","""")&amp;SUBSTITUTE(TEXT(IF(ISTEXT(Overig!P487),Overig!P487,10*Overig!P487),""",""????0;"",""???-0;"",""????0;"", ////"""),"'","""")&amp;SUBSTITUTE(TEXT(Overig!Q487,""",""?00;"",""?-00;"",""?00;"", //"""),"'","""")&amp;SUBSTITUTE(TEXT(Overig!R487,""",""????0;"",""???-0;"",""????0;"", ////"""),"'","""")&amp;SUBSTITUTE(TEXT(Overig!S487,""",""?00;"",""?-00;"",""?00;"", //"""),"'","""")&amp;SUBSTITUTE(TEXT(IF(ISTEXT(Overig!T487),Overig!T487,10*Overig!T487),""",""????0;"",""???-0;"",""????0;"", ////"""),"'","""")&amp;SUBSTITUTE(TEXT(Overig!U487,""",""?00;"",""?-00;"",""?00;"", //"""),"'","""")&amp;SUBSTITUTE(TEXT(Overig!V487,""",""???0;"",""??-0;"",""???0;"", ///"""),"'","""")&amp;SUBSTITUTE(TEXT(Overig!W487,""",""?00;"",""?-00;"",""?00;"", //"""),"'","""")</f>
        <v>032, 19400501, 12.00, 7600, 00,  297, 00, ////, 07, ////, 07,  67, 00,  210, 00,  248, 00,   65, 00,    6, 00,   2, 00</v>
      </c>
    </row>
    <row r="488" spans="1:1" x14ac:dyDescent="0.25">
      <c r="A488" s="12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//"""),"'","""")&amp;SUBSTITUTE(TEXT(IF(ISTEXT(Overig!J488),Overig!J488,10*Overig!J488),""",""????0;"",""???-0;"",""????0;"", ////"""),"'","""")&amp;SUBSTITUTE(TEXT(Overig!K488,""",""?00;"",""?-00;"",""?00;"", //"""),"'","""")&amp;SUBSTITUTE(TEXT(Overig!L488,""",""???0;"",""??-0;"",""???0;"", ///"""),"'","""")&amp;SUBSTITUTE(TEXT(Overig!M488,""",""?00;"",""?-00;"",""?00;"", //"""),"'","""")&amp;SUBSTITUTE(TEXT(IF(ISTEXT(Overig!N488),Overig!N488,10*Overig!N488),""",""????0;"",""???-0;"",""????0;"", ////"""),"'","""")&amp;SUBSTITUTE(TEXT(Overig!O488,""",""?00;"",""?-00;"",""?00;"", //"""),"'","""")&amp;SUBSTITUTE(TEXT(IF(ISTEXT(Overig!P488),Overig!P488,10*Overig!P488),""",""????0;"",""???-0;"",""????0;"", ////"""),"'","""")&amp;SUBSTITUTE(TEXT(Overig!Q488,""",""?00;"",""?-00;"",""?00;"", //"""),"'","""")&amp;SUBSTITUTE(TEXT(Overig!R488,""",""????0;"",""???-0;"",""????0;"", ////"""),"'","""")&amp;SUBSTITUTE(TEXT(Overig!S488,""",""?00;"",""?-00;"",""?00;"", //"""),"'","""")&amp;SUBSTITUTE(TEXT(IF(ISTEXT(Overig!T488),Overig!T488,10*Overig!T488),""",""????0;"",""???-0;"",""????0;"", ////"""),"'","""")&amp;SUBSTITUTE(TEXT(Overig!U488,""",""?00;"",""?-00;"",""?00;"", //"""),"'","""")&amp;SUBSTITUTE(TEXT(Overig!V488,""",""???0;"",""??-0;"",""???0;"", ///"""),"'","""")&amp;SUBSTITUTE(TEXT(Overig!W488,""",""?00;"",""?-00;"",""?00;"", //"""),"'","""")</f>
        <v>032, 19400501, 17.00, 7589, 00,  265, 00, ////, 07, ////, 07,  80, 00,  208, 00,  238, 00,   45, 00,    6, 00,   3, 00</v>
      </c>
    </row>
    <row r="489" spans="1:1" x14ac:dyDescent="0.25">
      <c r="A489" s="12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//"""),"'","""")&amp;SUBSTITUTE(TEXT(IF(ISTEXT(Overig!J489),Overig!J489,10*Overig!J489),""",""????0;"",""???-0;"",""????0;"", ////"""),"'","""")&amp;SUBSTITUTE(TEXT(Overig!K489,""",""?00;"",""?-00;"",""?00;"", //"""),"'","""")&amp;SUBSTITUTE(TEXT(Overig!L489,""",""???0;"",""??-0;"",""???0;"", ///"""),"'","""")&amp;SUBSTITUTE(TEXT(Overig!M489,""",""?00;"",""?-00;"",""?00;"", //"""),"'","""")&amp;SUBSTITUTE(TEXT(IF(ISTEXT(Overig!N489),Overig!N489,10*Overig!N489),""",""????0;"",""???-0;"",""????0;"", ////"""),"'","""")&amp;SUBSTITUTE(TEXT(Overig!O489,""",""?00;"",""?-00;"",""?00;"", //"""),"'","""")&amp;SUBSTITUTE(TEXT(IF(ISTEXT(Overig!P489),Overig!P489,10*Overig!P489),""",""????0;"",""???-0;"",""????0;"", ////"""),"'","""")&amp;SUBSTITUTE(TEXT(Overig!Q489,""",""?00;"",""?-00;"",""?00;"", //"""),"'","""")&amp;SUBSTITUTE(TEXT(Overig!R489,""",""????0;"",""???-0;"",""????0;"", ////"""),"'","""")&amp;SUBSTITUTE(TEXT(Overig!S489,""",""?00;"",""?-00;"",""?00;"", //"""),"'","""")&amp;SUBSTITUTE(TEXT(IF(ISTEXT(Overig!T489),Overig!T489,10*Overig!T489),""",""????0;"",""???-0;"",""????0;"", ////"""),"'","""")&amp;SUBSTITUTE(TEXT(Overig!U489,""",""?00;"",""?-00;"",""?00;"", //"""),"'","""")&amp;SUBSTITUTE(TEXT(Overig!V489,""",""???0;"",""??-0;"",""???0;"", ///"""),"'","""")&amp;SUBSTITUTE(TEXT(Overig!W489,""",""?00;"",""?-00;"",""?00;"", //"""),"'","""")</f>
        <v>032, 19400501, 24.00, ////, 07, ////, 07,  290, 00,  324, 00, ///, 07, ////, 07, ////, 07, ////, 07, ////, 07, ///, 07</v>
      </c>
    </row>
    <row r="490" spans="1:1" x14ac:dyDescent="0.25">
      <c r="A490" s="12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//"""),"'","""")&amp;SUBSTITUTE(TEXT(IF(ISTEXT(Overig!J490),Overig!J490,10*Overig!J490),""",""????0;"",""???-0;"",""????0;"", ////"""),"'","""")&amp;SUBSTITUTE(TEXT(Overig!K490,""",""?00;"",""?-00;"",""?00;"", //"""),"'","""")&amp;SUBSTITUTE(TEXT(Overig!L490,""",""???0;"",""??-0;"",""???0;"", ///"""),"'","""")&amp;SUBSTITUTE(TEXT(Overig!M490,""",""?00;"",""?-00;"",""?00;"", //"""),"'","""")&amp;SUBSTITUTE(TEXT(IF(ISTEXT(Overig!N490),Overig!N490,10*Overig!N490),""",""????0;"",""???-0;"",""????0;"", ////"""),"'","""")&amp;SUBSTITUTE(TEXT(Overig!O490,""",""?00;"",""?-00;"",""?00;"", //"""),"'","""")&amp;SUBSTITUTE(TEXT(IF(ISTEXT(Overig!P490),Overig!P490,10*Overig!P490),""",""????0;"",""???-0;"",""????0;"", ////"""),"'","""")&amp;SUBSTITUTE(TEXT(Overig!Q490,""",""?00;"",""?-00;"",""?00;"", //"""),"'","""")&amp;SUBSTITUTE(TEXT(Overig!R490,""",""????0;"",""???-0;"",""????0;"", ////"""),"'","""")&amp;SUBSTITUTE(TEXT(Overig!S490,""",""?00;"",""?-00;"",""?00;"", //"""),"'","""")&amp;SUBSTITUTE(TEXT(IF(ISTEXT(Overig!T490),Overig!T490,10*Overig!T490),""",""????0;"",""???-0;"",""????0;"", ////"""),"'","""")&amp;SUBSTITUTE(TEXT(Overig!U490,""",""?00;"",""?-00;"",""?00;"", //"""),"'","""")&amp;SUBSTITUTE(TEXT(Overig!V490,""",""???0;"",""??-0;"",""???0;"", ///"""),"'","""")&amp;SUBSTITUTE(TEXT(Overig!W490,""",""?00;"",""?-00;"",""?00;"", //"""),"'","""")</f>
        <v>032, 19400502, 07.00, 7605, 00,  259, 00, ////, 07, ////, 07,  82, 00,  207, 00,  236, 00,   65, 00,    5, 00,   2, 00</v>
      </c>
    </row>
    <row r="491" spans="1:1" x14ac:dyDescent="0.25">
      <c r="A491" s="12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//"""),"'","""")&amp;SUBSTITUTE(TEXT(IF(ISTEXT(Overig!J491),Overig!J491,10*Overig!J491),""",""????0;"",""???-0;"",""????0;"", ////"""),"'","""")&amp;SUBSTITUTE(TEXT(Overig!K491,""",""?00;"",""?-00;"",""?00;"", //"""),"'","""")&amp;SUBSTITUTE(TEXT(Overig!L491,""",""???0;"",""??-0;"",""???0;"", ///"""),"'","""")&amp;SUBSTITUTE(TEXT(Overig!M491,""",""?00;"",""?-00;"",""?00;"", //"""),"'","""")&amp;SUBSTITUTE(TEXT(IF(ISTEXT(Overig!N491),Overig!N491,10*Overig!N491),""",""????0;"",""???-0;"",""????0;"", ////"""),"'","""")&amp;SUBSTITUTE(TEXT(Overig!O491,""",""?00;"",""?-00;"",""?00;"", //"""),"'","""")&amp;SUBSTITUTE(TEXT(IF(ISTEXT(Overig!P491),Overig!P491,10*Overig!P491),""",""????0;"",""???-0;"",""????0;"", ////"""),"'","""")&amp;SUBSTITUTE(TEXT(Overig!Q491,""",""?00;"",""?-00;"",""?00;"", //"""),"'","""")&amp;SUBSTITUTE(TEXT(Overig!R491,""",""????0;"",""???-0;"",""????0;"", ////"""),"'","""")&amp;SUBSTITUTE(TEXT(Overig!S491,""",""?00;"",""?-00;"",""?00;"", //"""),"'","""")&amp;SUBSTITUTE(TEXT(IF(ISTEXT(Overig!T491),Overig!T491,10*Overig!T491),""",""????0;"",""???-0;"",""????0;"", ////"""),"'","""")&amp;SUBSTITUTE(TEXT(Overig!U491,""",""?00;"",""?-00;"",""?00;"", //"""),"'","""")&amp;SUBSTITUTE(TEXT(Overig!V491,""",""???0;"",""??-0;"",""???0;"", ///"""),"'","""")&amp;SUBSTITUTE(TEXT(Overig!W491,""",""?00;"",""?-00;"",""?00;"", //"""),"'","""")</f>
        <v>032, 19400502, 12.00, 7605, 00,  261, 00, ////, 07, ////, 07,  81, 00,  206, 00,  236, 00,   65, 00,    6, 00,   2, 00</v>
      </c>
    </row>
    <row r="492" spans="1:1" x14ac:dyDescent="0.25">
      <c r="A492" s="12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//"""),"'","""")&amp;SUBSTITUTE(TEXT(IF(ISTEXT(Overig!J492),Overig!J492,10*Overig!J492),""",""????0;"",""???-0;"",""????0;"", ////"""),"'","""")&amp;SUBSTITUTE(TEXT(Overig!K492,""",""?00;"",""?-00;"",""?00;"", //"""),"'","""")&amp;SUBSTITUTE(TEXT(Overig!L492,""",""???0;"",""??-0;"",""???0;"", ///"""),"'","""")&amp;SUBSTITUTE(TEXT(Overig!M492,""",""?00;"",""?-00;"",""?00;"", //"""),"'","""")&amp;SUBSTITUTE(TEXT(IF(ISTEXT(Overig!N492),Overig!N492,10*Overig!N492),""",""????0;"",""???-0;"",""????0;"", ////"""),"'","""")&amp;SUBSTITUTE(TEXT(Overig!O492,""",""?00;"",""?-00;"",""?00;"", //"""),"'","""")&amp;SUBSTITUTE(TEXT(IF(ISTEXT(Overig!P492),Overig!P492,10*Overig!P492),""",""????0;"",""???-0;"",""????0;"", ////"""),"'","""")&amp;SUBSTITUTE(TEXT(Overig!Q492,""",""?00;"",""?-00;"",""?00;"", //"""),"'","""")&amp;SUBSTITUTE(TEXT(Overig!R492,""",""????0;"",""???-0;"",""????0;"", ////"""),"'","""")&amp;SUBSTITUTE(TEXT(Overig!S492,""",""?00;"",""?-00;"",""?00;"", //"""),"'","""")&amp;SUBSTITUTE(TEXT(IF(ISTEXT(Overig!T492),Overig!T492,10*Overig!T492),""",""????0;"",""???-0;"",""????0;"", ////"""),"'","""")&amp;SUBSTITUTE(TEXT(Overig!U492,""",""?00;"",""?-00;"",""?00;"", //"""),"'","""")&amp;SUBSTITUTE(TEXT(Overig!V492,""",""???0;"",""??-0;"",""???0;"", ///"""),"'","""")&amp;SUBSTITUTE(TEXT(Overig!W492,""",""?00;"",""?-00;"",""?00;"", //"""),"'","""")</f>
        <v>032, 19400502, 17.00, 7602, 00,  259, 00, ////, 07, ////, 07,  81, 00,  203, 00,  234, 00,   45, 00,    6, 00,   2, 00</v>
      </c>
    </row>
    <row r="493" spans="1:1" x14ac:dyDescent="0.25">
      <c r="A493" s="12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//"""),"'","""")&amp;SUBSTITUTE(TEXT(IF(ISTEXT(Overig!J493),Overig!J493,10*Overig!J493),""",""????0;"",""???-0;"",""????0;"", ////"""),"'","""")&amp;SUBSTITUTE(TEXT(Overig!K493,""",""?00;"",""?-00;"",""?00;"", //"""),"'","""")&amp;SUBSTITUTE(TEXT(Overig!L493,""",""???0;"",""??-0;"",""???0;"", ///"""),"'","""")&amp;SUBSTITUTE(TEXT(Overig!M493,""",""?00;"",""?-00;"",""?00;"", //"""),"'","""")&amp;SUBSTITUTE(TEXT(IF(ISTEXT(Overig!N493),Overig!N493,10*Overig!N493),""",""????0;"",""???-0;"",""????0;"", ////"""),"'","""")&amp;SUBSTITUTE(TEXT(Overig!O493,""",""?00;"",""?-00;"",""?00;"", //"""),"'","""")&amp;SUBSTITUTE(TEXT(IF(ISTEXT(Overig!P493),Overig!P493,10*Overig!P493),""",""????0;"",""???-0;"",""????0;"", ////"""),"'","""")&amp;SUBSTITUTE(TEXT(Overig!Q493,""",""?00;"",""?-00;"",""?00;"", //"""),"'","""")&amp;SUBSTITUTE(TEXT(Overig!R493,""",""????0;"",""???-0;"",""????0;"", ////"""),"'","""")&amp;SUBSTITUTE(TEXT(Overig!S493,""",""?00;"",""?-00;"",""?00;"", //"""),"'","""")&amp;SUBSTITUTE(TEXT(IF(ISTEXT(Overig!T493),Overig!T493,10*Overig!T493),""",""????0;"",""???-0;"",""????0;"", ////"""),"'","""")&amp;SUBSTITUTE(TEXT(Overig!U493,""",""?00;"",""?-00;"",""?00;"", //"""),"'","""")&amp;SUBSTITUTE(TEXT(Overig!V493,""",""???0;"",""??-0;"",""???0;"", ///"""),"'","""")&amp;SUBSTITUTE(TEXT(Overig!W493,""",""?00;"",""?-00;"",""?00;"", //"""),"'","""")</f>
        <v>032, 19400502, 24.00, ////, 07, ////, 07,  276, 00,  296, 00, ///, 07, ////, 07, ////, 07, ////, 07, ////, 07, ///, 07</v>
      </c>
    </row>
    <row r="494" spans="1:1" x14ac:dyDescent="0.25">
      <c r="A494" s="12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//"""),"'","""")&amp;SUBSTITUTE(TEXT(IF(ISTEXT(Overig!J494),Overig!J494,10*Overig!J494),""",""????0;"",""???-0;"",""????0;"", ////"""),"'","""")&amp;SUBSTITUTE(TEXT(Overig!K494,""",""?00;"",""?-00;"",""?00;"", //"""),"'","""")&amp;SUBSTITUTE(TEXT(Overig!L494,""",""???0;"",""??-0;"",""???0;"", ///"""),"'","""")&amp;SUBSTITUTE(TEXT(Overig!M494,""",""?00;"",""?-00;"",""?00;"", //"""),"'","""")&amp;SUBSTITUTE(TEXT(IF(ISTEXT(Overig!N494),Overig!N494,10*Overig!N494),""",""????0;"",""???-0;"",""????0;"", ////"""),"'","""")&amp;SUBSTITUTE(TEXT(Overig!O494,""",""?00;"",""?-00;"",""?00;"", //"""),"'","""")&amp;SUBSTITUTE(TEXT(IF(ISTEXT(Overig!P494),Overig!P494,10*Overig!P494),""",""????0;"",""???-0;"",""????0;"", ////"""),"'","""")&amp;SUBSTITUTE(TEXT(Overig!Q494,""",""?00;"",""?-00;"",""?00;"", //"""),"'","""")&amp;SUBSTITUTE(TEXT(Overig!R494,""",""????0;"",""???-0;"",""????0;"", ////"""),"'","""")&amp;SUBSTITUTE(TEXT(Overig!S494,""",""?00;"",""?-00;"",""?00;"", //"""),"'","""")&amp;SUBSTITUTE(TEXT(IF(ISTEXT(Overig!T494),Overig!T494,10*Overig!T494),""",""????0;"",""???-0;"",""????0;"", ////"""),"'","""")&amp;SUBSTITUTE(TEXT(Overig!U494,""",""?00;"",""?-00;"",""?00;"", //"""),"'","""")&amp;SUBSTITUTE(TEXT(Overig!V494,""",""???0;"",""??-0;"",""???0;"", ///"""),"'","""")&amp;SUBSTITUTE(TEXT(Overig!W494,""",""?00;"",""?-00;"",""?00;"", //"""),"'","""")</f>
        <v>032, 19400503, 07.00, 7585, 00,  263, 00, ////, 07, ////, 07,  78, 00,  201, 00,  234, 00,   65, 00,    4, 00,   2, 00</v>
      </c>
    </row>
    <row r="495" spans="1:1" x14ac:dyDescent="0.25">
      <c r="A495" s="12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//"""),"'","""")&amp;SUBSTITUTE(TEXT(IF(ISTEXT(Overig!J495),Overig!J495,10*Overig!J495),""",""????0;"",""???-0;"",""????0;"", ////"""),"'","""")&amp;SUBSTITUTE(TEXT(Overig!K495,""",""?00;"",""?-00;"",""?00;"", //"""),"'","""")&amp;SUBSTITUTE(TEXT(Overig!L495,""",""???0;"",""??-0;"",""???0;"", ///"""),"'","""")&amp;SUBSTITUTE(TEXT(Overig!M495,""",""?00;"",""?-00;"",""?00;"", //"""),"'","""")&amp;SUBSTITUTE(TEXT(IF(ISTEXT(Overig!N495),Overig!N495,10*Overig!N495),""",""????0;"",""???-0;"",""????0;"", ////"""),"'","""")&amp;SUBSTITUTE(TEXT(Overig!O495,""",""?00;"",""?-00;"",""?00;"", //"""),"'","""")&amp;SUBSTITUTE(TEXT(IF(ISTEXT(Overig!P495),Overig!P495,10*Overig!P495),""",""????0;"",""???-0;"",""????0;"", ////"""),"'","""")&amp;SUBSTITUTE(TEXT(Overig!Q495,""",""?00;"",""?-00;"",""?00;"", //"""),"'","""")&amp;SUBSTITUTE(TEXT(Overig!R495,""",""????0;"",""???-0;"",""????0;"", ////"""),"'","""")&amp;SUBSTITUTE(TEXT(Overig!S495,""",""?00;"",""?-00;"",""?00;"", //"""),"'","""")&amp;SUBSTITUTE(TEXT(IF(ISTEXT(Overig!T495),Overig!T495,10*Overig!T495),""",""????0;"",""???-0;"",""????0;"", ////"""),"'","""")&amp;SUBSTITUTE(TEXT(Overig!U495,""",""?00;"",""?-00;"",""?00;"", //"""),"'","""")&amp;SUBSTITUTE(TEXT(Overig!V495,""",""???0;"",""??-0;"",""???0;"", ///"""),"'","""")&amp;SUBSTITUTE(TEXT(Overig!W495,""",""?00;"",""?-00;"",""?00;"", //"""),"'","""")</f>
        <v>032, 19400503, 12.00, 7567, 00,  267, 00, ////, 07, ////, 07,  79, 00,  207, 00,  238, 00,   65, 00,    6, 00,   3, 00</v>
      </c>
    </row>
    <row r="496" spans="1:1" x14ac:dyDescent="0.25">
      <c r="A496" s="12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//"""),"'","""")&amp;SUBSTITUTE(TEXT(IF(ISTEXT(Overig!J496),Overig!J496,10*Overig!J496),""",""????0;"",""???-0;"",""????0;"", ////"""),"'","""")&amp;SUBSTITUTE(TEXT(Overig!K496,""",""?00;"",""?-00;"",""?00;"", //"""),"'","""")&amp;SUBSTITUTE(TEXT(Overig!L496,""",""???0;"",""??-0;"",""???0;"", ///"""),"'","""")&amp;SUBSTITUTE(TEXT(Overig!M496,""",""?00;"",""?-00;"",""?00;"", //"""),"'","""")&amp;SUBSTITUTE(TEXT(IF(ISTEXT(Overig!N496),Overig!N496,10*Overig!N496),""",""????0;"",""???-0;"",""????0;"", ////"""),"'","""")&amp;SUBSTITUTE(TEXT(Overig!O496,""",""?00;"",""?-00;"",""?00;"", //"""),"'","""")&amp;SUBSTITUTE(TEXT(IF(ISTEXT(Overig!P496),Overig!P496,10*Overig!P496),""",""????0;"",""???-0;"",""????0;"", ////"""),"'","""")&amp;SUBSTITUTE(TEXT(Overig!Q496,""",""?00;"",""?-00;"",""?00;"", //"""),"'","""")&amp;SUBSTITUTE(TEXT(Overig!R496,""",""????0;"",""???-0;"",""????0;"", ////"""),"'","""")&amp;SUBSTITUTE(TEXT(Overig!S496,""",""?00;"",""?-00;"",""?00;"", //"""),"'","""")&amp;SUBSTITUTE(TEXT(IF(ISTEXT(Overig!T496),Overig!T496,10*Overig!T496),""",""????0;"",""???-0;"",""????0;"", ////"""),"'","""")&amp;SUBSTITUTE(TEXT(Overig!U496,""",""?00;"",""?-00;"",""?00;"", //"""),"'","""")&amp;SUBSTITUTE(TEXT(Overig!V496,""",""???0;"",""??-0;"",""???0;"", ///"""),"'","""")&amp;SUBSTITUTE(TEXT(Overig!W496,""",""?00;"",""?-00;"",""?00;"", //"""),"'","""")</f>
        <v>032, 19400503, 17.00, 7562, 00,  259, 00, ////, 07, ////, 07,  95, 00,  207, 00,  252, 00,   65, 00,    5, 00,   3, 00</v>
      </c>
    </row>
    <row r="497" spans="1:1" x14ac:dyDescent="0.25">
      <c r="A497" s="12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//"""),"'","""")&amp;SUBSTITUTE(TEXT(IF(ISTEXT(Overig!J497),Overig!J497,10*Overig!J497),""",""????0;"",""???-0;"",""????0;"", ////"""),"'","""")&amp;SUBSTITUTE(TEXT(Overig!K497,""",""?00;"",""?-00;"",""?00;"", //"""),"'","""")&amp;SUBSTITUTE(TEXT(Overig!L497,""",""???0;"",""??-0;"",""???0;"", ///"""),"'","""")&amp;SUBSTITUTE(TEXT(Overig!M497,""",""?00;"",""?-00;"",""?00;"", //"""),"'","""")&amp;SUBSTITUTE(TEXT(IF(ISTEXT(Overig!N497),Overig!N497,10*Overig!N497),""",""????0;"",""???-0;"",""????0;"", ////"""),"'","""")&amp;SUBSTITUTE(TEXT(Overig!O497,""",""?00;"",""?-00;"",""?00;"", //"""),"'","""")&amp;SUBSTITUTE(TEXT(IF(ISTEXT(Overig!P497),Overig!P497,10*Overig!P497),""",""????0;"",""???-0;"",""????0;"", ////"""),"'","""")&amp;SUBSTITUTE(TEXT(Overig!Q497,""",""?00;"",""?-00;"",""?00;"", //"""),"'","""")&amp;SUBSTITUTE(TEXT(Overig!R497,""",""????0;"",""???-0;"",""????0;"", ////"""),"'","""")&amp;SUBSTITUTE(TEXT(Overig!S497,""",""?00;"",""?-00;"",""?00;"", //"""),"'","""")&amp;SUBSTITUTE(TEXT(IF(ISTEXT(Overig!T497),Overig!T497,10*Overig!T497),""",""????0;"",""???-0;"",""????0;"", ////"""),"'","""")&amp;SUBSTITUTE(TEXT(Overig!U497,""",""?00;"",""?-00;"",""?00;"", //"""),"'","""")&amp;SUBSTITUTE(TEXT(Overig!V497,""",""???0;"",""??-0;"",""???0;"", ///"""),"'","""")&amp;SUBSTITUTE(TEXT(Overig!W497,""",""?00;"",""?-00;"",""?00;"", //"""),"'","""")</f>
        <v>032, 19400503, 24.00, ////, 07, ////, 07,  282, 00,  300, 00, ///, 07, ////, 07, ////, 07, ////, 07, ////, 07, ///, 07</v>
      </c>
    </row>
    <row r="498" spans="1:1" x14ac:dyDescent="0.25">
      <c r="A498" s="12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//"""),"'","""")&amp;SUBSTITUTE(TEXT(IF(ISTEXT(Overig!J498),Overig!J498,10*Overig!J498),""",""????0;"",""???-0;"",""????0;"", ////"""),"'","""")&amp;SUBSTITUTE(TEXT(Overig!K498,""",""?00;"",""?-00;"",""?00;"", //"""),"'","""")&amp;SUBSTITUTE(TEXT(Overig!L498,""",""???0;"",""??-0;"",""???0;"", ///"""),"'","""")&amp;SUBSTITUTE(TEXT(Overig!M498,""",""?00;"",""?-00;"",""?00;"", //"""),"'","""")&amp;SUBSTITUTE(TEXT(IF(ISTEXT(Overig!N498),Overig!N498,10*Overig!N498),""",""????0;"",""???-0;"",""????0;"", ////"""),"'","""")&amp;SUBSTITUTE(TEXT(Overig!O498,""",""?00;"",""?-00;"",""?00;"", //"""),"'","""")&amp;SUBSTITUTE(TEXT(IF(ISTEXT(Overig!P498),Overig!P498,10*Overig!P498),""",""????0;"",""???-0;"",""????0;"", ////"""),"'","""")&amp;SUBSTITUTE(TEXT(Overig!Q498,""",""?00;"",""?-00;"",""?00;"", //"""),"'","""")&amp;SUBSTITUTE(TEXT(Overig!R498,""",""????0;"",""???-0;"",""????0;"", ////"""),"'","""")&amp;SUBSTITUTE(TEXT(Overig!S498,""",""?00;"",""?-00;"",""?00;"", //"""),"'","""")&amp;SUBSTITUTE(TEXT(IF(ISTEXT(Overig!T498),Overig!T498,10*Overig!T498),""",""????0;"",""???-0;"",""????0;"", ////"""),"'","""")&amp;SUBSTITUTE(TEXT(Overig!U498,""",""?00;"",""?-00;"",""?00;"", //"""),"'","""")&amp;SUBSTITUTE(TEXT(Overig!V498,""",""???0;"",""??-0;"",""???0;"", ///"""),"'","""")&amp;SUBSTITUTE(TEXT(Overig!W498,""",""?00;"",""?-00;"",""?00;"", //"""),"'","""")</f>
        <v>032, 19400504, 07.00, 7585, 00,  273, 00, ////, 07, ////, 07,  71, 00,  195, 00,  236, 00,   65, 00,    4, 00,   3, 00</v>
      </c>
    </row>
    <row r="499" spans="1:1" x14ac:dyDescent="0.25">
      <c r="A499" s="12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//"""),"'","""")&amp;SUBSTITUTE(TEXT(IF(ISTEXT(Overig!J499),Overig!J499,10*Overig!J499),""",""????0;"",""???-0;"",""????0;"", ////"""),"'","""")&amp;SUBSTITUTE(TEXT(Overig!K499,""",""?00;"",""?-00;"",""?00;"", //"""),"'","""")&amp;SUBSTITUTE(TEXT(Overig!L499,""",""???0;"",""??-0;"",""???0;"", ///"""),"'","""")&amp;SUBSTITUTE(TEXT(Overig!M499,""",""?00;"",""?-00;"",""?00;"", //"""),"'","""")&amp;SUBSTITUTE(TEXT(IF(ISTEXT(Overig!N499),Overig!N499,10*Overig!N499),""",""????0;"",""???-0;"",""????0;"", ////"""),"'","""")&amp;SUBSTITUTE(TEXT(Overig!O499,""",""?00;"",""?-00;"",""?00;"", //"""),"'","""")&amp;SUBSTITUTE(TEXT(IF(ISTEXT(Overig!P499),Overig!P499,10*Overig!P499),""",""????0;"",""???-0;"",""????0;"", ////"""),"'","""")&amp;SUBSTITUTE(TEXT(Overig!Q499,""",""?00;"",""?-00;"",""?00;"", //"""),"'","""")&amp;SUBSTITUTE(TEXT(Overig!R499,""",""????0;"",""???-0;"",""????0;"", ////"""),"'","""")&amp;SUBSTITUTE(TEXT(Overig!S499,""",""?00;"",""?-00;"",""?00;"", //"""),"'","""")&amp;SUBSTITUTE(TEXT(IF(ISTEXT(Overig!T499),Overig!T499,10*Overig!T499),""",""????0;"",""???-0;"",""????0;"", ////"""),"'","""")&amp;SUBSTITUTE(TEXT(Overig!U499,""",""?00;"",""?-00;"",""?00;"", //"""),"'","""")&amp;SUBSTITUTE(TEXT(Overig!V499,""",""???0;"",""??-0;"",""???0;"", ///"""),"'","""")&amp;SUBSTITUTE(TEXT(Overig!W499,""",""?00;"",""?-00;"",""?00;"", //"""),"'","""")</f>
        <v>032, 19400504, 12.00, 7592, 00,  277, 00, ////, 07, ////, 07,  72, 00,  202, 00,  238, 00,   65, 00,    5, 00,   3, 00</v>
      </c>
    </row>
    <row r="500" spans="1:1" x14ac:dyDescent="0.25">
      <c r="A500" s="12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//"""),"'","""")&amp;SUBSTITUTE(TEXT(IF(ISTEXT(Overig!J500),Overig!J500,10*Overig!J500),""",""????0;"",""???-0;"",""????0;"", ////"""),"'","""")&amp;SUBSTITUTE(TEXT(Overig!K500,""",""?00;"",""?-00;"",""?00;"", //"""),"'","""")&amp;SUBSTITUTE(TEXT(Overig!L500,""",""???0;"",""??-0;"",""???0;"", ///"""),"'","""")&amp;SUBSTITUTE(TEXT(Overig!M500,""",""?00;"",""?-00;"",""?00;"", //"""),"'","""")&amp;SUBSTITUTE(TEXT(IF(ISTEXT(Overig!N500),Overig!N500,10*Overig!N500),""",""????0;"",""???-0;"",""????0;"", ////"""),"'","""")&amp;SUBSTITUTE(TEXT(Overig!O500,""",""?00;"",""?-00;"",""?00;"", //"""),"'","""")&amp;SUBSTITUTE(TEXT(IF(ISTEXT(Overig!P500),Overig!P500,10*Overig!P500),""",""????0;"",""???-0;"",""????0;"", ////"""),"'","""")&amp;SUBSTITUTE(TEXT(Overig!Q500,""",""?00;"",""?-00;"",""?00;"", //"""),"'","""")&amp;SUBSTITUTE(TEXT(Overig!R500,""",""????0;"",""???-0;"",""????0;"", ////"""),"'","""")&amp;SUBSTITUTE(TEXT(Overig!S500,""",""?00;"",""?-00;"",""?00;"", //"""),"'","""")&amp;SUBSTITUTE(TEXT(IF(ISTEXT(Overig!T500),Overig!T500,10*Overig!T500),""",""????0;"",""???-0;"",""????0;"", ////"""),"'","""")&amp;SUBSTITUTE(TEXT(Overig!U500,""",""?00;"",""?-00;"",""?00;"", //"""),"'","""")&amp;SUBSTITUTE(TEXT(Overig!V500,""",""???0;"",""??-0;"",""???0;"", ///"""),"'","""")&amp;SUBSTITUTE(TEXT(Overig!W500,""",""?00;"",""?-00;"",""?00;"", //"""),"'","""")</f>
        <v>032, 19400504, 17.00, 7582, 00,  261, 00, ////, 07, ////, 07,  78, 00,  199, 00,  232, 00,   45, 00,    4, 00,   2, 00</v>
      </c>
    </row>
    <row r="501" spans="1:1" x14ac:dyDescent="0.25">
      <c r="A501" s="12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//"""),"'","""")&amp;SUBSTITUTE(TEXT(IF(ISTEXT(Overig!J501),Overig!J501,10*Overig!J501),""",""????0;"",""???-0;"",""????0;"", ////"""),"'","""")&amp;SUBSTITUTE(TEXT(Overig!K501,""",""?00;"",""?-00;"",""?00;"", //"""),"'","""")&amp;SUBSTITUTE(TEXT(Overig!L501,""",""???0;"",""??-0;"",""???0;"", ///"""),"'","""")&amp;SUBSTITUTE(TEXT(Overig!M501,""",""?00;"",""?-00;"",""?00;"", //"""),"'","""")&amp;SUBSTITUTE(TEXT(IF(ISTEXT(Overig!N501),Overig!N501,10*Overig!N501),""",""????0;"",""???-0;"",""????0;"", ////"""),"'","""")&amp;SUBSTITUTE(TEXT(Overig!O501,""",""?00;"",""?-00;"",""?00;"", //"""),"'","""")&amp;SUBSTITUTE(TEXT(IF(ISTEXT(Overig!P501),Overig!P501,10*Overig!P501),""",""????0;"",""???-0;"",""????0;"", ////"""),"'","""")&amp;SUBSTITUTE(TEXT(Overig!Q501,""",""?00;"",""?-00;"",""?00;"", //"""),"'","""")&amp;SUBSTITUTE(TEXT(Overig!R501,""",""????0;"",""???-0;"",""????0;"", ////"""),"'","""")&amp;SUBSTITUTE(TEXT(Overig!S501,""",""?00;"",""?-00;"",""?00;"", //"""),"'","""")&amp;SUBSTITUTE(TEXT(IF(ISTEXT(Overig!T501),Overig!T501,10*Overig!T501),""",""????0;"",""???-0;"",""????0;"", ////"""),"'","""")&amp;SUBSTITUTE(TEXT(Overig!U501,""",""?00;"",""?-00;"",""?00;"", //"""),"'","""")&amp;SUBSTITUTE(TEXT(Overig!V501,""",""???0;"",""??-0;"",""???0;"", ///"""),"'","""")&amp;SUBSTITUTE(TEXT(Overig!W501,""",""?00;"",""?-00;"",""?00;"", //"""),"'","""")</f>
        <v>032, 19400504, 24.00, ////, 07, ////, 07,  290, 00,  305, 00, ///, 07, ////, 07, ////, 07, ////, 07, ////, 07, ///, 07</v>
      </c>
    </row>
    <row r="502" spans="1:1" x14ac:dyDescent="0.25">
      <c r="A502" s="12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//"""),"'","""")&amp;SUBSTITUTE(TEXT(IF(ISTEXT(Overig!J502),Overig!J502,10*Overig!J502),""",""????0;"",""???-0;"",""????0;"", ////"""),"'","""")&amp;SUBSTITUTE(TEXT(Overig!K502,""",""?00;"",""?-00;"",""?00;"", //"""),"'","""")&amp;SUBSTITUTE(TEXT(Overig!L502,""",""???0;"",""??-0;"",""???0;"", ///"""),"'","""")&amp;SUBSTITUTE(TEXT(Overig!M502,""",""?00;"",""?-00;"",""?00;"", //"""),"'","""")&amp;SUBSTITUTE(TEXT(IF(ISTEXT(Overig!N502),Overig!N502,10*Overig!N502),""",""????0;"",""???-0;"",""????0;"", ////"""),"'","""")&amp;SUBSTITUTE(TEXT(Overig!O502,""",""?00;"",""?-00;"",""?00;"", //"""),"'","""")&amp;SUBSTITUTE(TEXT(IF(ISTEXT(Overig!P502),Overig!P502,10*Overig!P502),""",""????0;"",""???-0;"",""????0;"", ////"""),"'","""")&amp;SUBSTITUTE(TEXT(Overig!Q502,""",""?00;"",""?-00;"",""?00;"", //"""),"'","""")&amp;SUBSTITUTE(TEXT(Overig!R502,""",""????0;"",""???-0;"",""????0;"", ////"""),"'","""")&amp;SUBSTITUTE(TEXT(Overig!S502,""",""?00;"",""?-00;"",""?00;"", //"""),"'","""")&amp;SUBSTITUTE(TEXT(IF(ISTEXT(Overig!T502),Overig!T502,10*Overig!T502),""",""????0;"",""???-0;"",""????0;"", ////"""),"'","""")&amp;SUBSTITUTE(TEXT(Overig!U502,""",""?00;"",""?-00;"",""?00;"", //"""),"'","""")&amp;SUBSTITUTE(TEXT(Overig!V502,""",""???0;"",""??-0;"",""???0;"", ///"""),"'","""")&amp;SUBSTITUTE(TEXT(Overig!W502,""",""?00;"",""?-00;"",""?00;"", //"""),"'","""")</f>
        <v>032, 19400505, 07.00, 7590, 00,  270, 00, ////, 07, ////, 07,  74, 00,  198, 00,  234, 00,   65, 00,    5, 00,   3, 00</v>
      </c>
    </row>
    <row r="503" spans="1:1" x14ac:dyDescent="0.25">
      <c r="A503" s="12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//"""),"'","""")&amp;SUBSTITUTE(TEXT(IF(ISTEXT(Overig!J503),Overig!J503,10*Overig!J503),""",""????0;"",""???-0;"",""????0;"", ////"""),"'","""")&amp;SUBSTITUTE(TEXT(Overig!K503,""",""?00;"",""?-00;"",""?00;"", //"""),"'","""")&amp;SUBSTITUTE(TEXT(Overig!L503,""",""???0;"",""??-0;"",""???0;"", ///"""),"'","""")&amp;SUBSTITUTE(TEXT(Overig!M503,""",""?00;"",""?-00;"",""?00;"", //"""),"'","""")&amp;SUBSTITUTE(TEXT(IF(ISTEXT(Overig!N503),Overig!N503,10*Overig!N503),""",""????0;"",""???-0;"",""????0;"", ////"""),"'","""")&amp;SUBSTITUTE(TEXT(Overig!O503,""",""?00;"",""?-00;"",""?00;"", //"""),"'","""")&amp;SUBSTITUTE(TEXT(IF(ISTEXT(Overig!P503),Overig!P503,10*Overig!P503),""",""????0;"",""???-0;"",""????0;"", ////"""),"'","""")&amp;SUBSTITUTE(TEXT(Overig!Q503,""",""?00;"",""?-00;"",""?00;"", //"""),"'","""")&amp;SUBSTITUTE(TEXT(Overig!R503,""",""????0;"",""???-0;"",""????0;"", ////"""),"'","""")&amp;SUBSTITUTE(TEXT(Overig!S503,""",""?00;"",""?-00;"",""?00;"", //"""),"'","""")&amp;SUBSTITUTE(TEXT(IF(ISTEXT(Overig!T503),Overig!T503,10*Overig!T503),""",""????0;"",""???-0;"",""????0;"", ////"""),"'","""")&amp;SUBSTITUTE(TEXT(Overig!U503,""",""?00;"",""?-00;"",""?00;"", //"""),"'","""")&amp;SUBSTITUTE(TEXT(Overig!V503,""",""???0;"",""??-0;"",""???0;"", ///"""),"'","""")&amp;SUBSTITUTE(TEXT(Overig!W503,""",""?00;"",""?-00;"",""?00;"", //"""),"'","""")</f>
        <v>032, 19400505, 12.00, 7585, 00,  275, 00, ////, 07, ////, 07,  73, 00,  203, 00,  238, 00,   65, 00,    6, 00,   2, 00</v>
      </c>
    </row>
    <row r="504" spans="1:1" x14ac:dyDescent="0.25">
      <c r="A504" s="12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//"""),"'","""")&amp;SUBSTITUTE(TEXT(IF(ISTEXT(Overig!J504),Overig!J504,10*Overig!J504),""",""????0;"",""???-0;"",""????0;"", ////"""),"'","""")&amp;SUBSTITUTE(TEXT(Overig!K504,""",""?00;"",""?-00;"",""?00;"", //"""),"'","""")&amp;SUBSTITUTE(TEXT(Overig!L504,""",""???0;"",""??-0;"",""???0;"", ///"""),"'","""")&amp;SUBSTITUTE(TEXT(Overig!M504,""",""?00;"",""?-00;"",""?00;"", //"""),"'","""")&amp;SUBSTITUTE(TEXT(IF(ISTEXT(Overig!N504),Overig!N504,10*Overig!N504),""",""????0;"",""???-0;"",""????0;"", ////"""),"'","""")&amp;SUBSTITUTE(TEXT(Overig!O504,""",""?00;"",""?-00;"",""?00;"", //"""),"'","""")&amp;SUBSTITUTE(TEXT(IF(ISTEXT(Overig!P504),Overig!P504,10*Overig!P504),""",""????0;"",""???-0;"",""????0;"", ////"""),"'","""")&amp;SUBSTITUTE(TEXT(Overig!Q504,""",""?00;"",""?-00;"",""?00;"", //"""),"'","""")&amp;SUBSTITUTE(TEXT(Overig!R504,""",""????0;"",""???-0;"",""????0;"", ////"""),"'","""")&amp;SUBSTITUTE(TEXT(Overig!S504,""",""?00;"",""?-00;"",""?00;"", //"""),"'","""")&amp;SUBSTITUTE(TEXT(IF(ISTEXT(Overig!T504),Overig!T504,10*Overig!T504),""",""????0;"",""???-0;"",""????0;"", ////"""),"'","""")&amp;SUBSTITUTE(TEXT(Overig!U504,""",""?00;"",""?-00;"",""?00;"", //"""),"'","""")&amp;SUBSTITUTE(TEXT(Overig!V504,""",""???0;"",""??-0;"",""???0;"", ///"""),"'","""")&amp;SUBSTITUTE(TEXT(Overig!W504,""",""?00;"",""?-00;"",""?00;"", //"""),"'","""")</f>
        <v>032, 19400505, 17.00, 7582, 00,  267, 00, ////, 07, ////, 07,  77, 00,  203, 00,  236, 00,   65, 00,    5, 00,   3, 00</v>
      </c>
    </row>
    <row r="505" spans="1:1" x14ac:dyDescent="0.25">
      <c r="A505" s="12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//"""),"'","""")&amp;SUBSTITUTE(TEXT(IF(ISTEXT(Overig!J505),Overig!J505,10*Overig!J505),""",""????0;"",""???-0;"",""????0;"", ////"""),"'","""")&amp;SUBSTITUTE(TEXT(Overig!K505,""",""?00;"",""?-00;"",""?00;"", //"""),"'","""")&amp;SUBSTITUTE(TEXT(Overig!L505,""",""???0;"",""??-0;"",""???0;"", ///"""),"'","""")&amp;SUBSTITUTE(TEXT(Overig!M505,""",""?00;"",""?-00;"",""?00;"", //"""),"'","""")&amp;SUBSTITUTE(TEXT(IF(ISTEXT(Overig!N505),Overig!N505,10*Overig!N505),""",""????0;"",""???-0;"",""????0;"", ////"""),"'","""")&amp;SUBSTITUTE(TEXT(Overig!O505,""",""?00;"",""?-00;"",""?00;"", //"""),"'","""")&amp;SUBSTITUTE(TEXT(IF(ISTEXT(Overig!P505),Overig!P505,10*Overig!P505),""",""????0;"",""???-0;"",""????0;"", ////"""),"'","""")&amp;SUBSTITUTE(TEXT(Overig!Q505,""",""?00;"",""?-00;"",""?00;"", //"""),"'","""")&amp;SUBSTITUTE(TEXT(Overig!R505,""",""????0;"",""???-0;"",""????0;"", ////"""),"'","""")&amp;SUBSTITUTE(TEXT(Overig!S505,""",""?00;"",""?-00;"",""?00;"", //"""),"'","""")&amp;SUBSTITUTE(TEXT(IF(ISTEXT(Overig!T505),Overig!T505,10*Overig!T505),""",""????0;"",""???-0;"",""????0;"", ////"""),"'","""")&amp;SUBSTITUTE(TEXT(Overig!U505,""",""?00;"",""?-00;"",""?00;"", //"""),"'","""")&amp;SUBSTITUTE(TEXT(Overig!V505,""",""???0;"",""??-0;"",""???0;"", ///"""),"'","""")&amp;SUBSTITUTE(TEXT(Overig!W505,""",""?00;"",""?-00;"",""?00;"", //"""),"'","""")</f>
        <v>032, 19400505, 24.00, ////, 07, ////, 07,  284, 00,  300, 00, ///, 07, ////, 07, ////, 07, ////, 07, ////, 07, ///, 07</v>
      </c>
    </row>
    <row r="506" spans="1:1" x14ac:dyDescent="0.25">
      <c r="A506" s="12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//"""),"'","""")&amp;SUBSTITUTE(TEXT(IF(ISTEXT(Overig!J506),Overig!J506,10*Overig!J506),""",""????0;"",""???-0;"",""????0;"", ////"""),"'","""")&amp;SUBSTITUTE(TEXT(Overig!K506,""",""?00;"",""?-00;"",""?00;"", //"""),"'","""")&amp;SUBSTITUTE(TEXT(Overig!L506,""",""???0;"",""??-0;"",""???0;"", ///"""),"'","""")&amp;SUBSTITUTE(TEXT(Overig!M506,""",""?00;"",""?-00;"",""?00;"", //"""),"'","""")&amp;SUBSTITUTE(TEXT(IF(ISTEXT(Overig!N506),Overig!N506,10*Overig!N506),""",""????0;"",""???-0;"",""????0;"", ////"""),"'","""")&amp;SUBSTITUTE(TEXT(Overig!O506,""",""?00;"",""?-00;"",""?00;"", //"""),"'","""")&amp;SUBSTITUTE(TEXT(IF(ISTEXT(Overig!P506),Overig!P506,10*Overig!P506),""",""????0;"",""???-0;"",""????0;"", ////"""),"'","""")&amp;SUBSTITUTE(TEXT(Overig!Q506,""",""?00;"",""?-00;"",""?00;"", //"""),"'","""")&amp;SUBSTITUTE(TEXT(Overig!R506,""",""????0;"",""???-0;"",""????0;"", ////"""),"'","""")&amp;SUBSTITUTE(TEXT(Overig!S506,""",""?00;"",""?-00;"",""?00;"", //"""),"'","""")&amp;SUBSTITUTE(TEXT(IF(ISTEXT(Overig!T506),Overig!T506,10*Overig!T506),""",""????0;"",""???-0;"",""????0;"", ////"""),"'","""")&amp;SUBSTITUTE(TEXT(Overig!U506,""",""?00;"",""?-00;"",""?00;"", //"""),"'","""")&amp;SUBSTITUTE(TEXT(Overig!V506,""",""???0;"",""??-0;"",""???0;"", ///"""),"'","""")&amp;SUBSTITUTE(TEXT(Overig!W506,""",""?00;"",""?-00;"",""?00;"", //"""),"'","""")</f>
        <v>032, 19400506, 07.00, 7585, 00,  267, 00, ////, 07, ////, 07,  72, 00,  189, 00,  228, 00,   65, 00,    4, 00,   3, 00</v>
      </c>
    </row>
    <row r="507" spans="1:1" x14ac:dyDescent="0.25">
      <c r="A507" s="12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//"""),"'","""")&amp;SUBSTITUTE(TEXT(IF(ISTEXT(Overig!J507),Overig!J507,10*Overig!J507),""",""????0;"",""???-0;"",""????0;"", ////"""),"'","""")&amp;SUBSTITUTE(TEXT(Overig!K507,""",""?00;"",""?-00;"",""?00;"", //"""),"'","""")&amp;SUBSTITUTE(TEXT(Overig!L507,""",""???0;"",""??-0;"",""???0;"", ///"""),"'","""")&amp;SUBSTITUTE(TEXT(Overig!M507,""",""?00;"",""?-00;"",""?00;"", //"""),"'","""")&amp;SUBSTITUTE(TEXT(IF(ISTEXT(Overig!N507),Overig!N507,10*Overig!N507),""",""????0;"",""???-0;"",""????0;"", ////"""),"'","""")&amp;SUBSTITUTE(TEXT(Overig!O507,""",""?00;"",""?-00;"",""?00;"", //"""),"'","""")&amp;SUBSTITUTE(TEXT(IF(ISTEXT(Overig!P507),Overig!P507,10*Overig!P507),""",""????0;"",""???-0;"",""????0;"", ////"""),"'","""")&amp;SUBSTITUTE(TEXT(Overig!Q507,""",""?00;"",""?-00;"",""?00;"", //"""),"'","""")&amp;SUBSTITUTE(TEXT(Overig!R507,""",""????0;"",""???-0;"",""????0;"", ////"""),"'","""")&amp;SUBSTITUTE(TEXT(Overig!S507,""",""?00;"",""?-00;"",""?00;"", //"""),"'","""")&amp;SUBSTITUTE(TEXT(IF(ISTEXT(Overig!T507),Overig!T507,10*Overig!T507),""",""????0;"",""???-0;"",""????0;"", ////"""),"'","""")&amp;SUBSTITUTE(TEXT(Overig!U507,""",""?00;"",""?-00;"",""?00;"", //"""),"'","""")&amp;SUBSTITUTE(TEXT(Overig!V507,""",""???0;"",""??-0;"",""???0;"", ///"""),"'","""")&amp;SUBSTITUTE(TEXT(Overig!W507,""",""?00;"",""?-00;"",""?00;"", //"""),"'","""")</f>
        <v>032, 19400506, 12.00, 7595, 00,  271, 00, ////, 07, ////, 07,  73, 00,  197, 00,  234, 00,   65, 00,    5, 00,   2, 00</v>
      </c>
    </row>
    <row r="508" spans="1:1" x14ac:dyDescent="0.25">
      <c r="A508" s="12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//"""),"'","""")&amp;SUBSTITUTE(TEXT(IF(ISTEXT(Overig!J508),Overig!J508,10*Overig!J508),""",""????0;"",""???-0;"",""????0;"", ////"""),"'","""")&amp;SUBSTITUTE(TEXT(Overig!K508,""",""?00;"",""?-00;"",""?00;"", //"""),"'","""")&amp;SUBSTITUTE(TEXT(Overig!L508,""",""???0;"",""??-0;"",""???0;"", ///"""),"'","""")&amp;SUBSTITUTE(TEXT(Overig!M508,""",""?00;"",""?-00;"",""?00;"", //"""),"'","""")&amp;SUBSTITUTE(TEXT(IF(ISTEXT(Overig!N508),Overig!N508,10*Overig!N508),""",""????0;"",""???-0;"",""????0;"", ////"""),"'","""")&amp;SUBSTITUTE(TEXT(Overig!O508,""",""?00;"",""?-00;"",""?00;"", //"""),"'","""")&amp;SUBSTITUTE(TEXT(IF(ISTEXT(Overig!P508),Overig!P508,10*Overig!P508),""",""????0;"",""???-0;"",""????0;"", ////"""),"'","""")&amp;SUBSTITUTE(TEXT(Overig!Q508,""",""?00;"",""?-00;"",""?00;"", //"""),"'","""")&amp;SUBSTITUTE(TEXT(Overig!R508,""",""????0;"",""???-0;"",""????0;"", ////"""),"'","""")&amp;SUBSTITUTE(TEXT(Overig!S508,""",""?00;"",""?-00;"",""?00;"", //"""),"'","""")&amp;SUBSTITUTE(TEXT(IF(ISTEXT(Overig!T508),Overig!T508,10*Overig!T508),""",""????0;"",""???-0;"",""????0;"", ////"""),"'","""")&amp;SUBSTITUTE(TEXT(Overig!U508,""",""?00;"",""?-00;"",""?00;"", //"""),"'","""")&amp;SUBSTITUTE(TEXT(Overig!V508,""",""???0;"",""??-0;"",""???0;"", ///"""),"'","""")&amp;SUBSTITUTE(TEXT(Overig!W508,""",""?00;"",""?-00;"",""?00;"", //"""),"'","""")</f>
        <v>032, 19400506, 17.00, 7589, 00,  263, 00, ////, 07, ////, 07,  76, 00,  194, 00,  230, 00,   45, 00,    4, 00,   2, 00</v>
      </c>
    </row>
    <row r="509" spans="1:1" x14ac:dyDescent="0.25">
      <c r="A509" s="12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//"""),"'","""")&amp;SUBSTITUTE(TEXT(IF(ISTEXT(Overig!J509),Overig!J509,10*Overig!J509),""",""????0;"",""???-0;"",""????0;"", ////"""),"'","""")&amp;SUBSTITUTE(TEXT(Overig!K509,""",""?00;"",""?-00;"",""?00;"", //"""),"'","""")&amp;SUBSTITUTE(TEXT(Overig!L509,""",""???0;"",""??-0;"",""???0;"", ///"""),"'","""")&amp;SUBSTITUTE(TEXT(Overig!M509,""",""?00;"",""?-00;"",""?00;"", //"""),"'","""")&amp;SUBSTITUTE(TEXT(IF(ISTEXT(Overig!N509),Overig!N509,10*Overig!N509),""",""????0;"",""???-0;"",""????0;"", ////"""),"'","""")&amp;SUBSTITUTE(TEXT(Overig!O509,""",""?00;"",""?-00;"",""?00;"", //"""),"'","""")&amp;SUBSTITUTE(TEXT(IF(ISTEXT(Overig!P509),Overig!P509,10*Overig!P509),""",""????0;"",""???-0;"",""????0;"", ////"""),"'","""")&amp;SUBSTITUTE(TEXT(Overig!Q509,""",""?00;"",""?-00;"",""?00;"", //"""),"'","""")&amp;SUBSTITUTE(TEXT(Overig!R509,""",""????0;"",""???-0;"",""????0;"", ////"""),"'","""")&amp;SUBSTITUTE(TEXT(Overig!S509,""",""?00;"",""?-00;"",""?00;"", //"""),"'","""")&amp;SUBSTITUTE(TEXT(IF(ISTEXT(Overig!T509),Overig!T509,10*Overig!T509),""",""????0;"",""???-0;"",""????0;"", ////"""),"'","""")&amp;SUBSTITUTE(TEXT(Overig!U509,""",""?00;"",""?-00;"",""?00;"", //"""),"'","""")&amp;SUBSTITUTE(TEXT(Overig!V509,""",""???0;"",""??-0;"",""???0;"", ///"""),"'","""")&amp;SUBSTITUTE(TEXT(Overig!W509,""",""?00;"",""?-00;"",""?00;"", //"""),"'","""")</f>
        <v>032, 19400506, 24.00, ////, 07, ////, 07,  282, 00,  294, 00, ///, 07, ////, 07, ////, 07, ////, 07, ////, 07, ///, 07</v>
      </c>
    </row>
    <row r="510" spans="1:1" x14ac:dyDescent="0.25">
      <c r="A510" s="12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//"""),"'","""")&amp;SUBSTITUTE(TEXT(IF(ISTEXT(Overig!J510),Overig!J510,10*Overig!J510),""",""????0;"",""???-0;"",""????0;"", ////"""),"'","""")&amp;SUBSTITUTE(TEXT(Overig!K510,""",""?00;"",""?-00;"",""?00;"", //"""),"'","""")&amp;SUBSTITUTE(TEXT(Overig!L510,""",""???0;"",""??-0;"",""???0;"", ///"""),"'","""")&amp;SUBSTITUTE(TEXT(Overig!M510,""",""?00;"",""?-00;"",""?00;"", //"""),"'","""")&amp;SUBSTITUTE(TEXT(IF(ISTEXT(Overig!N510),Overig!N510,10*Overig!N510),""",""????0;"",""???-0;"",""????0;"", ////"""),"'","""")&amp;SUBSTITUTE(TEXT(Overig!O510,""",""?00;"",""?-00;"",""?00;"", //"""),"'","""")&amp;SUBSTITUTE(TEXT(IF(ISTEXT(Overig!P510),Overig!P510,10*Overig!P510),""",""????0;"",""???-0;"",""????0;"", ////"""),"'","""")&amp;SUBSTITUTE(TEXT(Overig!Q510,""",""?00;"",""?-00;"",""?00;"", //"""),"'","""")&amp;SUBSTITUTE(TEXT(Overig!R510,""",""????0;"",""???-0;"",""????0;"", ////"""),"'","""")&amp;SUBSTITUTE(TEXT(Overig!S510,""",""?00;"",""?-00;"",""?00;"", //"""),"'","""")&amp;SUBSTITUTE(TEXT(IF(ISTEXT(Overig!T510),Overig!T510,10*Overig!T510),""",""????0;"",""???-0;"",""????0;"", ////"""),"'","""")&amp;SUBSTITUTE(TEXT(Overig!U510,""",""?00;"",""?-00;"",""?00;"", //"""),"'","""")&amp;SUBSTITUTE(TEXT(Overig!V510,""",""???0;"",""??-0;"",""???0;"", ///"""),"'","""")&amp;SUBSTITUTE(TEXT(Overig!W510,""",""?00;"",""?-00;"",""?00;"", //"""),"'","""")</f>
        <v>032, 19400507, 07.00, 7595, 00,  263, 00, ////, 07, ////, 07,  77, 00,  198, 00,  232, 00,   65, 00,    4, 00,   4, 00</v>
      </c>
    </row>
    <row r="511" spans="1:1" x14ac:dyDescent="0.25">
      <c r="A511" s="12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//"""),"'","""")&amp;SUBSTITUTE(TEXT(IF(ISTEXT(Overig!J511),Overig!J511,10*Overig!J511),""",""????0;"",""???-0;"",""????0;"", ////"""),"'","""")&amp;SUBSTITUTE(TEXT(Overig!K511,""",""?00;"",""?-00;"",""?00;"", //"""),"'","""")&amp;SUBSTITUTE(TEXT(Overig!L511,""",""???0;"",""??-0;"",""???0;"", ///"""),"'","""")&amp;SUBSTITUTE(TEXT(Overig!M511,""",""?00;"",""?-00;"",""?00;"", //"""),"'","""")&amp;SUBSTITUTE(TEXT(IF(ISTEXT(Overig!N511),Overig!N511,10*Overig!N511),""",""????0;"",""???-0;"",""????0;"", ////"""),"'","""")&amp;SUBSTITUTE(TEXT(Overig!O511,""",""?00;"",""?-00;"",""?00;"", //"""),"'","""")&amp;SUBSTITUTE(TEXT(IF(ISTEXT(Overig!P511),Overig!P511,10*Overig!P511),""",""????0;"",""???-0;"",""????0;"", ////"""),"'","""")&amp;SUBSTITUTE(TEXT(Overig!Q511,""",""?00;"",""?-00;"",""?00;"", //"""),"'","""")&amp;SUBSTITUTE(TEXT(Overig!R511,""",""????0;"",""???-0;"",""????0;"", ////"""),"'","""")&amp;SUBSTITUTE(TEXT(Overig!S511,""",""?00;"",""?-00;"",""?00;"", //"""),"'","""")&amp;SUBSTITUTE(TEXT(IF(ISTEXT(Overig!T511),Overig!T511,10*Overig!T511),""",""????0;"",""???-0;"",""????0;"", ////"""),"'","""")&amp;SUBSTITUTE(TEXT(Overig!U511,""",""?00;"",""?-00;"",""?00;"", //"""),"'","""")&amp;SUBSTITUTE(TEXT(Overig!V511,""",""???0;"",""??-0;"",""???0;"", ///"""),"'","""")&amp;SUBSTITUTE(TEXT(Overig!W511,""",""?00;"",""?-00;"",""?00;"", //"""),"'","""")</f>
        <v>032, 19400507, 12.00, 7590, 00,  269, 00, ////, 07, ////, 07,  73, 00,  195, 00,  232, 00,   65, 00,    5, 00,   2, 00</v>
      </c>
    </row>
    <row r="512" spans="1:1" x14ac:dyDescent="0.25">
      <c r="A512" s="12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//"""),"'","""")&amp;SUBSTITUTE(TEXT(IF(ISTEXT(Overig!J512),Overig!J512,10*Overig!J512),""",""????0;"",""???-0;"",""????0;"", ////"""),"'","""")&amp;SUBSTITUTE(TEXT(Overig!K512,""",""?00;"",""?-00;"",""?00;"", //"""),"'","""")&amp;SUBSTITUTE(TEXT(Overig!L512,""",""???0;"",""??-0;"",""???0;"", ///"""),"'","""")&amp;SUBSTITUTE(TEXT(Overig!M512,""",""?00;"",""?-00;"",""?00;"", //"""),"'","""")&amp;SUBSTITUTE(TEXT(IF(ISTEXT(Overig!N512),Overig!N512,10*Overig!N512),""",""????0;"",""???-0;"",""????0;"", ////"""),"'","""")&amp;SUBSTITUTE(TEXT(Overig!O512,""",""?00;"",""?-00;"",""?00;"", //"""),"'","""")&amp;SUBSTITUTE(TEXT(IF(ISTEXT(Overig!P512),Overig!P512,10*Overig!P512),""",""????0;"",""???-0;"",""????0;"", ////"""),"'","""")&amp;SUBSTITUTE(TEXT(Overig!Q512,""",""?00;"",""?-00;"",""?00;"", //"""),"'","""")&amp;SUBSTITUTE(TEXT(Overig!R512,""",""????0;"",""???-0;"",""????0;"", ////"""),"'","""")&amp;SUBSTITUTE(TEXT(Overig!S512,""",""?00;"",""?-00;"",""?00;"", //"""),"'","""")&amp;SUBSTITUTE(TEXT(IF(ISTEXT(Overig!T512),Overig!T512,10*Overig!T512),""",""????0;"",""???-0;"",""????0;"", ////"""),"'","""")&amp;SUBSTITUTE(TEXT(Overig!U512,""",""?00;"",""?-00;"",""?00;"", //"""),"'","""")&amp;SUBSTITUTE(TEXT(Overig!V512,""",""???0;"",""??-0;"",""???0;"", ///"""),"'","""")&amp;SUBSTITUTE(TEXT(Overig!W512,""",""?00;"",""?-00;"",""?00;"", //"""),"'","""")</f>
        <v>032, 19400507, 17.00, 7590, 00,  261, 00, ////, 07, ////, 07,  77, 00,  195, 00,  230, 00,   45, 00,    5, 00,   2, 00</v>
      </c>
    </row>
    <row r="513" spans="1:1" x14ac:dyDescent="0.25">
      <c r="A513" s="12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//"""),"'","""")&amp;SUBSTITUTE(TEXT(IF(ISTEXT(Overig!J513),Overig!J513,10*Overig!J513),""",""????0;"",""???-0;"",""????0;"", ////"""),"'","""")&amp;SUBSTITUTE(TEXT(Overig!K513,""",""?00;"",""?-00;"",""?00;"", //"""),"'","""")&amp;SUBSTITUTE(TEXT(Overig!L513,""",""???0;"",""??-0;"",""???0;"", ///"""),"'","""")&amp;SUBSTITUTE(TEXT(Overig!M513,""",""?00;"",""?-00;"",""?00;"", //"""),"'","""")&amp;SUBSTITUTE(TEXT(IF(ISTEXT(Overig!N513),Overig!N513,10*Overig!N513),""",""????0;"",""???-0;"",""????0;"", ////"""),"'","""")&amp;SUBSTITUTE(TEXT(Overig!O513,""",""?00;"",""?-00;"",""?00;"", //"""),"'","""")&amp;SUBSTITUTE(TEXT(IF(ISTEXT(Overig!P513),Overig!P513,10*Overig!P513),""",""????0;"",""???-0;"",""????0;"", ////"""),"'","""")&amp;SUBSTITUTE(TEXT(Overig!Q513,""",""?00;"",""?-00;"",""?00;"", //"""),"'","""")&amp;SUBSTITUTE(TEXT(Overig!R513,""",""????0;"",""???-0;"",""????0;"", ////"""),"'","""")&amp;SUBSTITUTE(TEXT(Overig!S513,""",""?00;"",""?-00;"",""?00;"", //"""),"'","""")&amp;SUBSTITUTE(TEXT(IF(ISTEXT(Overig!T513),Overig!T513,10*Overig!T513),""",""????0;"",""???-0;"",""????0;"", ////"""),"'","""")&amp;SUBSTITUTE(TEXT(Overig!U513,""",""?00;"",""?-00;"",""?00;"", //"""),"'","""")&amp;SUBSTITUTE(TEXT(Overig!V513,""",""???0;"",""??-0;"",""???0;"", ///"""),"'","""")&amp;SUBSTITUTE(TEXT(Overig!W513,""",""?00;"",""?-00;"",""?00;"", //"""),"'","""")</f>
        <v>032, 19400507, 24.00, ////, 07, ////, 07,  280, 00,  298, 00, ///, 07, ////, 07, ////, 07, ////, 07, ////, 07, ///, 07</v>
      </c>
    </row>
    <row r="514" spans="1:1" x14ac:dyDescent="0.25">
      <c r="A514" s="12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//"""),"'","""")&amp;SUBSTITUTE(TEXT(IF(ISTEXT(Overig!J514),Overig!J514,10*Overig!J514),""",""????0;"",""???-0;"",""????0;"", ////"""),"'","""")&amp;SUBSTITUTE(TEXT(Overig!K514,""",""?00;"",""?-00;"",""?00;"", //"""),"'","""")&amp;SUBSTITUTE(TEXT(Overig!L514,""",""???0;"",""??-0;"",""???0;"", ///"""),"'","""")&amp;SUBSTITUTE(TEXT(Overig!M514,""",""?00;"",""?-00;"",""?00;"", //"""),"'","""")&amp;SUBSTITUTE(TEXT(IF(ISTEXT(Overig!N514),Overig!N514,10*Overig!N514),""",""????0;"",""???-0;"",""????0;"", ////"""),"'","""")&amp;SUBSTITUTE(TEXT(Overig!O514,""",""?00;"",""?-00;"",""?00;"", //"""),"'","""")&amp;SUBSTITUTE(TEXT(IF(ISTEXT(Overig!P514),Overig!P514,10*Overig!P514),""",""????0;"",""???-0;"",""????0;"", ////"""),"'","""")&amp;SUBSTITUTE(TEXT(Overig!Q514,""",""?00;"",""?-00;"",""?00;"", //"""),"'","""")&amp;SUBSTITUTE(TEXT(Overig!R514,""",""????0;"",""???-0;"",""????0;"", ////"""),"'","""")&amp;SUBSTITUTE(TEXT(Overig!S514,""",""?00;"",""?-00;"",""?00;"", //"""),"'","""")&amp;SUBSTITUTE(TEXT(IF(ISTEXT(Overig!T514),Overig!T514,10*Overig!T514),""",""????0;"",""???-0;"",""????0;"", ////"""),"'","""")&amp;SUBSTITUTE(TEXT(Overig!U514,""",""?00;"",""?-00;"",""?00;"", //"""),"'","""")&amp;SUBSTITUTE(TEXT(Overig!V514,""",""???0;"",""??-0;"",""???0;"", ///"""),"'","""")&amp;SUBSTITUTE(TEXT(Overig!W514,""",""?00;"",""?-00;"",""?00;"", //"""),"'","""")</f>
        <v>032, 19400508, 07.00, 7592, 00,  257, 00, ////, 07, ////, 07,  82, 00,  204, 00,  234, 00,   65, 00,    5, 00,   3, 00</v>
      </c>
    </row>
    <row r="515" spans="1:1" x14ac:dyDescent="0.25">
      <c r="A515" s="12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//"""),"'","""")&amp;SUBSTITUTE(TEXT(IF(ISTEXT(Overig!J515),Overig!J515,10*Overig!J515),""",""????0;"",""???-0;"",""????0;"", ////"""),"'","""")&amp;SUBSTITUTE(TEXT(Overig!K515,""",""?00;"",""?-00;"",""?00;"", //"""),"'","""")&amp;SUBSTITUTE(TEXT(Overig!L515,""",""???0;"",""??-0;"",""???0;"", ///"""),"'","""")&amp;SUBSTITUTE(TEXT(Overig!M515,""",""?00;"",""?-00;"",""?00;"", //"""),"'","""")&amp;SUBSTITUTE(TEXT(IF(ISTEXT(Overig!N515),Overig!N515,10*Overig!N515),""",""????0;"",""???-0;"",""????0;"", ////"""),"'","""")&amp;SUBSTITUTE(TEXT(Overig!O515,""",""?00;"",""?-00;"",""?00;"", //"""),"'","""")&amp;SUBSTITUTE(TEXT(IF(ISTEXT(Overig!P515),Overig!P515,10*Overig!P515),""",""????0;"",""???-0;"",""????0;"", ////"""),"'","""")&amp;SUBSTITUTE(TEXT(Overig!Q515,""",""?00;"",""?-00;"",""?00;"", //"""),"'","""")&amp;SUBSTITUTE(TEXT(Overig!R515,""",""????0;"",""???-0;"",""????0;"", ////"""),"'","""")&amp;SUBSTITUTE(TEXT(Overig!S515,""",""?00;"",""?-00;"",""?00;"", //"""),"'","""")&amp;SUBSTITUTE(TEXT(IF(ISTEXT(Overig!T515),Overig!T515,10*Overig!T515),""",""????0;"",""???-0;"",""????0;"", ////"""),"'","""")&amp;SUBSTITUTE(TEXT(Overig!U515,""",""?00;"",""?-00;"",""?00;"", //"""),"'","""")&amp;SUBSTITUTE(TEXT(Overig!V515,""",""???0;"",""??-0;"",""???0;"", ///"""),"'","""")&amp;SUBSTITUTE(TEXT(Overig!W515,""",""?00;"",""?-00;"",""?00;"", //"""),"'","""")</f>
        <v>032, 19400508, 12.00, 7577, 00,  267, 00, ////, 07, ////, 07,  79, 00,  207, 00,  238, 00,   65, 00,    6, 00,   4, 00</v>
      </c>
    </row>
    <row r="516" spans="1:1" x14ac:dyDescent="0.25">
      <c r="A516" s="12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//"""),"'","""")&amp;SUBSTITUTE(TEXT(IF(ISTEXT(Overig!J516),Overig!J516,10*Overig!J516),""",""????0;"",""???-0;"",""????0;"", ////"""),"'","""")&amp;SUBSTITUTE(TEXT(Overig!K516,""",""?00;"",""?-00;"",""?00;"", //"""),"'","""")&amp;SUBSTITUTE(TEXT(Overig!L516,""",""???0;"",""??-0;"",""???0;"", ///"""),"'","""")&amp;SUBSTITUTE(TEXT(Overig!M516,""",""?00;"",""?-00;"",""?00;"", //"""),"'","""")&amp;SUBSTITUTE(TEXT(IF(ISTEXT(Overig!N516),Overig!N516,10*Overig!N516),""",""????0;"",""???-0;"",""????0;"", ////"""),"'","""")&amp;SUBSTITUTE(TEXT(Overig!O516,""",""?00;"",""?-00;"",""?00;"", //"""),"'","""")&amp;SUBSTITUTE(TEXT(IF(ISTEXT(Overig!P516),Overig!P516,10*Overig!P516),""",""????0;"",""???-0;"",""????0;"", ////"""),"'","""")&amp;SUBSTITUTE(TEXT(Overig!Q516,""",""?00;"",""?-00;"",""?00;"", //"""),"'","""")&amp;SUBSTITUTE(TEXT(Overig!R516,""",""????0;"",""???-0;"",""????0;"", ////"""),"'","""")&amp;SUBSTITUTE(TEXT(Overig!S516,""",""?00;"",""?-00;"",""?00;"", //"""),"'","""")&amp;SUBSTITUTE(TEXT(IF(ISTEXT(Overig!T516),Overig!T516,10*Overig!T516),""",""????0;"",""???-0;"",""????0;"", ////"""),"'","""")&amp;SUBSTITUTE(TEXT(Overig!U516,""",""?00;"",""?-00;"",""?00;"", //"""),"'","""")&amp;SUBSTITUTE(TEXT(Overig!V516,""",""???0;"",""??-0;"",""???0;"", ///"""),"'","""")&amp;SUBSTITUTE(TEXT(Overig!W516,""",""?00;"",""?-00;"",""?00;"", //"""),"'","""")</f>
        <v>032, 19400508, 17.00, 7567, 00,  261, 00, ////, 07, ////, 07,  78, 00,  199, 00,  232, 00,   45, 00,    6, 00,   3, 00</v>
      </c>
    </row>
    <row r="517" spans="1:1" x14ac:dyDescent="0.25">
      <c r="A517" s="12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//"""),"'","""")&amp;SUBSTITUTE(TEXT(IF(ISTEXT(Overig!J517),Overig!J517,10*Overig!J517),""",""????0;"",""???-0;"",""????0;"", ////"""),"'","""")&amp;SUBSTITUTE(TEXT(Overig!K517,""",""?00;"",""?-00;"",""?00;"", //"""),"'","""")&amp;SUBSTITUTE(TEXT(Overig!L517,""",""???0;"",""??-0;"",""???0;"", ///"""),"'","""")&amp;SUBSTITUTE(TEXT(Overig!M517,""",""?00;"",""?-00;"",""?00;"", //"""),"'","""")&amp;SUBSTITUTE(TEXT(IF(ISTEXT(Overig!N517),Overig!N517,10*Overig!N517),""",""????0;"",""???-0;"",""????0;"", ////"""),"'","""")&amp;SUBSTITUTE(TEXT(Overig!O517,""",""?00;"",""?-00;"",""?00;"", //"""),"'","""")&amp;SUBSTITUTE(TEXT(IF(ISTEXT(Overig!P517),Overig!P517,10*Overig!P517),""",""????0;"",""???-0;"",""????0;"", ////"""),"'","""")&amp;SUBSTITUTE(TEXT(Overig!Q517,""",""?00;"",""?-00;"",""?00;"", //"""),"'","""")&amp;SUBSTITUTE(TEXT(Overig!R517,""",""????0;"",""???-0;"",""????0;"", ////"""),"'","""")&amp;SUBSTITUTE(TEXT(Overig!S517,""",""?00;"",""?-00;"",""?00;"", //"""),"'","""")&amp;SUBSTITUTE(TEXT(IF(ISTEXT(Overig!T517),Overig!T517,10*Overig!T517),""",""????0;"",""???-0;"",""????0;"", ////"""),"'","""")&amp;SUBSTITUTE(TEXT(Overig!U517,""",""?00;"",""?-00;"",""?00;"", //"""),"'","""")&amp;SUBSTITUTE(TEXT(Overig!V517,""",""???0;"",""??-0;"",""???0;"", ///"""),"'","""")&amp;SUBSTITUTE(TEXT(Overig!W517,""",""?00;"",""?-00;"",""?00;"", //"""),"'","""")</f>
        <v>032, 19400508, 24.00, ////, 07, ////, 07,  275, 00,  305, 00, ///, 07, ////, 07, ////, 07, ////, 07, ////, 07, ///, 07</v>
      </c>
    </row>
    <row r="518" spans="1:1" x14ac:dyDescent="0.25">
      <c r="A518" s="12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//"""),"'","""")&amp;SUBSTITUTE(TEXT(IF(ISTEXT(Overig!J518),Overig!J518,10*Overig!J518),""",""????0;"",""???-0;"",""????0;"", ////"""),"'","""")&amp;SUBSTITUTE(TEXT(Overig!K518,""",""?00;"",""?-00;"",""?00;"", //"""),"'","""")&amp;SUBSTITUTE(TEXT(Overig!L518,""",""???0;"",""??-0;"",""???0;"", ///"""),"'","""")&amp;SUBSTITUTE(TEXT(Overig!M518,""",""?00;"",""?-00;"",""?00;"", //"""),"'","""")&amp;SUBSTITUTE(TEXT(IF(ISTEXT(Overig!N518),Overig!N518,10*Overig!N518),""",""????0;"",""???-0;"",""????0;"", ////"""),"'","""")&amp;SUBSTITUTE(TEXT(Overig!O518,""",""?00;"",""?-00;"",""?00;"", //"""),"'","""")&amp;SUBSTITUTE(TEXT(IF(ISTEXT(Overig!P518),Overig!P518,10*Overig!P518),""",""????0;"",""???-0;"",""????0;"", ////"""),"'","""")&amp;SUBSTITUTE(TEXT(Overig!Q518,""",""?00;"",""?-00;"",""?00;"", //"""),"'","""")&amp;SUBSTITUTE(TEXT(Overig!R518,""",""????0;"",""???-0;"",""????0;"", ////"""),"'","""")&amp;SUBSTITUTE(TEXT(Overig!S518,""",""?00;"",""?-00;"",""?00;"", //"""),"'","""")&amp;SUBSTITUTE(TEXT(IF(ISTEXT(Overig!T518),Overig!T518,10*Overig!T518),""",""????0;"",""???-0;"",""????0;"", ////"""),"'","""")&amp;SUBSTITUTE(TEXT(Overig!U518,""",""?00;"",""?-00;"",""?00;"", //"""),"'","""")&amp;SUBSTITUTE(TEXT(Overig!V518,""",""???0;"",""??-0;"",""???0;"", ///"""),"'","""")&amp;SUBSTITUTE(TEXT(Overig!W518,""",""?00;"",""?-00;"",""?00;"", //"""),"'","""")</f>
        <v>032, 19400509, 07.00, 7585, 00,  273, 00, ////, 07, ////, 07,  73, 00,  200, 00,  236, 00,   65, 00,    5, 00,   3, 00</v>
      </c>
    </row>
    <row r="519" spans="1:1" x14ac:dyDescent="0.25">
      <c r="A519" s="12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//"""),"'","""")&amp;SUBSTITUTE(TEXT(IF(ISTEXT(Overig!J519),Overig!J519,10*Overig!J519),""",""????0;"",""???-0;"",""????0;"", ////"""),"'","""")&amp;SUBSTITUTE(TEXT(Overig!K519,""",""?00;"",""?-00;"",""?00;"", //"""),"'","""")&amp;SUBSTITUTE(TEXT(Overig!L519,""",""???0;"",""??-0;"",""???0;"", ///"""),"'","""")&amp;SUBSTITUTE(TEXT(Overig!M519,""",""?00;"",""?-00;"",""?00;"", //"""),"'","""")&amp;SUBSTITUTE(TEXT(IF(ISTEXT(Overig!N519),Overig!N519,10*Overig!N519),""",""????0;"",""???-0;"",""????0;"", ////"""),"'","""")&amp;SUBSTITUTE(TEXT(Overig!O519,""",""?00;"",""?-00;"",""?00;"", //"""),"'","""")&amp;SUBSTITUTE(TEXT(IF(ISTEXT(Overig!P519),Overig!P519,10*Overig!P519),""",""????0;"",""???-0;"",""????0;"", ////"""),"'","""")&amp;SUBSTITUTE(TEXT(Overig!Q519,""",""?00;"",""?-00;"",""?00;"", //"""),"'","""")&amp;SUBSTITUTE(TEXT(Overig!R519,""",""????0;"",""???-0;"",""????0;"", ////"""),"'","""")&amp;SUBSTITUTE(TEXT(Overig!S519,""",""?00;"",""?-00;"",""?00;"", //"""),"'","""")&amp;SUBSTITUTE(TEXT(IF(ISTEXT(Overig!T519),Overig!T519,10*Overig!T519),""",""????0;"",""???-0;"",""????0;"", ////"""),"'","""")&amp;SUBSTITUTE(TEXT(Overig!U519,""",""?00;"",""?-00;"",""?00;"", //"""),"'","""")&amp;SUBSTITUTE(TEXT(Overig!V519,""",""???0;"",""??-0;"",""???0;"", ///"""),"'","""")&amp;SUBSTITUTE(TEXT(Overig!W519,""",""?00;"",""?-00;"",""?00;"", //"""),"'","""")</f>
        <v>032, 19400509, 12.00, 7590, 00,  265, 00, ////, 07, ////, 07,  80, 00,  208, 00,  238, 00,   65, 00,    6, 00,   3, 00</v>
      </c>
    </row>
    <row r="520" spans="1:1" x14ac:dyDescent="0.25">
      <c r="A520" s="12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//"""),"'","""")&amp;SUBSTITUTE(TEXT(IF(ISTEXT(Overig!J520),Overig!J520,10*Overig!J520),""",""????0;"",""???-0;"",""????0;"", ////"""),"'","""")&amp;SUBSTITUTE(TEXT(Overig!K520,""",""?00;"",""?-00;"",""?00;"", //"""),"'","""")&amp;SUBSTITUTE(TEXT(Overig!L520,""",""???0;"",""??-0;"",""???0;"", ///"""),"'","""")&amp;SUBSTITUTE(TEXT(Overig!M520,""",""?00;"",""?-00;"",""?00;"", //"""),"'","""")&amp;SUBSTITUTE(TEXT(IF(ISTEXT(Overig!N520),Overig!N520,10*Overig!N520),""",""????0;"",""???-0;"",""????0;"", ////"""),"'","""")&amp;SUBSTITUTE(TEXT(Overig!O520,""",""?00;"",""?-00;"",""?00;"", //"""),"'","""")&amp;SUBSTITUTE(TEXT(IF(ISTEXT(Overig!P520),Overig!P520,10*Overig!P520),""",""????0;"",""???-0;"",""????0;"", ////"""),"'","""")&amp;SUBSTITUTE(TEXT(Overig!Q520,""",""?00;"",""?-00;"",""?00;"", //"""),"'","""")&amp;SUBSTITUTE(TEXT(Overig!R520,""",""????0;"",""???-0;"",""????0;"", ////"""),"'","""")&amp;SUBSTITUTE(TEXT(Overig!S520,""",""?00;"",""?-00;"",""?00;"", //"""),"'","""")&amp;SUBSTITUTE(TEXT(IF(ISTEXT(Overig!T520),Overig!T520,10*Overig!T520),""",""????0;"",""???-0;"",""????0;"", ////"""),"'","""")&amp;SUBSTITUTE(TEXT(Overig!U520,""",""?00;"",""?-00;"",""?00;"", //"""),"'","""")&amp;SUBSTITUTE(TEXT(Overig!V520,""",""???0;"",""??-0;"",""???0;"", ///"""),"'","""")&amp;SUBSTITUTE(TEXT(Overig!W520,""",""?00;"",""?-00;"",""?00;"", //"""),"'","""")</f>
        <v>032, 19400509, 17.00, 7590, 00,  259, 00, ////, 07, ////, 07,  80, 00,  200, 00,  232, 00,   45, 00,    6, 00,   3, 00</v>
      </c>
    </row>
    <row r="521" spans="1:1" x14ac:dyDescent="0.25">
      <c r="A521" s="12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//"""),"'","""")&amp;SUBSTITUTE(TEXT(IF(ISTEXT(Overig!J521),Overig!J521,10*Overig!J521),""",""????0;"",""???-0;"",""????0;"", ////"""),"'","""")&amp;SUBSTITUTE(TEXT(Overig!K521,""",""?00;"",""?-00;"",""?00;"", //"""),"'","""")&amp;SUBSTITUTE(TEXT(Overig!L521,""",""???0;"",""??-0;"",""???0;"", ///"""),"'","""")&amp;SUBSTITUTE(TEXT(Overig!M521,""",""?00;"",""?-00;"",""?00;"", //"""),"'","""")&amp;SUBSTITUTE(TEXT(IF(ISTEXT(Overig!N521),Overig!N521,10*Overig!N521),""",""????0;"",""???-0;"",""????0;"", ////"""),"'","""")&amp;SUBSTITUTE(TEXT(Overig!O521,""",""?00;"",""?-00;"",""?00;"", //"""),"'","""")&amp;SUBSTITUTE(TEXT(IF(ISTEXT(Overig!P521),Overig!P521,10*Overig!P521),""",""????0;"",""???-0;"",""????0;"", ////"""),"'","""")&amp;SUBSTITUTE(TEXT(Overig!Q521,""",""?00;"",""?-00;"",""?00;"", //"""),"'","""")&amp;SUBSTITUTE(TEXT(Overig!R521,""",""????0;"",""???-0;"",""????0;"", ////"""),"'","""")&amp;SUBSTITUTE(TEXT(Overig!S521,""",""?00;"",""?-00;"",""?00;"", //"""),"'","""")&amp;SUBSTITUTE(TEXT(IF(ISTEXT(Overig!T521),Overig!T521,10*Overig!T521),""",""????0;"",""???-0;"",""????0;"", ////"""),"'","""")&amp;SUBSTITUTE(TEXT(Overig!U521,""",""?00;"",""?-00;"",""?00;"", //"""),"'","""")&amp;SUBSTITUTE(TEXT(Overig!V521,""",""???0;"",""??-0;"",""???0;"", ///"""),"'","""")&amp;SUBSTITUTE(TEXT(Overig!W521,""",""?00;"",""?-00;"",""?00;"", //"""),"'","""")</f>
        <v>032, 19400509, 24.00, ////, 07, ////, 07,  280, 00,  295, 00, ///, 07, ////, 07, ////, 07, ////, 07, ////, 07, ///, 07</v>
      </c>
    </row>
    <row r="522" spans="1:1" x14ac:dyDescent="0.25">
      <c r="A522" s="12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//"""),"'","""")&amp;SUBSTITUTE(TEXT(IF(ISTEXT(Overig!J522),Overig!J522,10*Overig!J522),""",""????0;"",""???-0;"",""????0;"", ////"""),"'","""")&amp;SUBSTITUTE(TEXT(Overig!K522,""",""?00;"",""?-00;"",""?00;"", //"""),"'","""")&amp;SUBSTITUTE(TEXT(Overig!L522,""",""???0;"",""??-0;"",""???0;"", ///"""),"'","""")&amp;SUBSTITUTE(TEXT(Overig!M522,""",""?00;"",""?-00;"",""?00;"", //"""),"'","""")&amp;SUBSTITUTE(TEXT(IF(ISTEXT(Overig!N522),Overig!N522,10*Overig!N522),""",""????0;"",""???-0;"",""????0;"", ////"""),"'","""")&amp;SUBSTITUTE(TEXT(Overig!O522,""",""?00;"",""?-00;"",""?00;"", //"""),"'","""")&amp;SUBSTITUTE(TEXT(IF(ISTEXT(Overig!P522),Overig!P522,10*Overig!P522),""",""????0;"",""???-0;"",""????0;"", ////"""),"'","""")&amp;SUBSTITUTE(TEXT(Overig!Q522,""",""?00;"",""?-00;"",""?00;"", //"""),"'","""")&amp;SUBSTITUTE(TEXT(Overig!R522,""",""????0;"",""???-0;"",""????0;"", ////"""),"'","""")&amp;SUBSTITUTE(TEXT(Overig!S522,""",""?00;"",""?-00;"",""?00;"", //"""),"'","""")&amp;SUBSTITUTE(TEXT(IF(ISTEXT(Overig!T522),Overig!T522,10*Overig!T522),""",""????0;"",""???-0;"",""????0;"", ////"""),"'","""")&amp;SUBSTITUTE(TEXT(Overig!U522,""",""?00;"",""?-00;"",""?00;"", //"""),"'","""")&amp;SUBSTITUTE(TEXT(Overig!V522,""",""???0;"",""??-0;"",""???0;"", ///"""),"'","""")&amp;SUBSTITUTE(TEXT(Overig!W522,""",""?00;"",""?-00;"",""?00;"", //"""),"'","""")</f>
        <v>032, 19400510, 07.00, 7572, 00,  257, 00, ////, 07, ////, 07,  82, 00,  204, 00,  234, 00,   65, 00,    5, 00,   3, 00</v>
      </c>
    </row>
    <row r="523" spans="1:1" x14ac:dyDescent="0.25">
      <c r="A523" s="12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//"""),"'","""")&amp;SUBSTITUTE(TEXT(IF(ISTEXT(Overig!J523),Overig!J523,10*Overig!J523),""",""????0;"",""???-0;"",""????0;"", ////"""),"'","""")&amp;SUBSTITUTE(TEXT(Overig!K523,""",""?00;"",""?-00;"",""?00;"", //"""),"'","""")&amp;SUBSTITUTE(TEXT(Overig!L523,""",""???0;"",""??-0;"",""???0;"", ///"""),"'","""")&amp;SUBSTITUTE(TEXT(Overig!M523,""",""?00;"",""?-00;"",""?00;"", //"""),"'","""")&amp;SUBSTITUTE(TEXT(IF(ISTEXT(Overig!N523),Overig!N523,10*Overig!N523),""",""????0;"",""???-0;"",""????0;"", ////"""),"'","""")&amp;SUBSTITUTE(TEXT(Overig!O523,""",""?00;"",""?-00;"",""?00;"", //"""),"'","""")&amp;SUBSTITUTE(TEXT(IF(ISTEXT(Overig!P523),Overig!P523,10*Overig!P523),""",""????0;"",""???-0;"",""????0;"", ////"""),"'","""")&amp;SUBSTITUTE(TEXT(Overig!Q523,""",""?00;"",""?-00;"",""?00;"", //"""),"'","""")&amp;SUBSTITUTE(TEXT(Overig!R523,""",""????0;"",""???-0;"",""????0;"", ////"""),"'","""")&amp;SUBSTITUTE(TEXT(Overig!S523,""",""?00;"",""?-00;"",""?00;"", //"""),"'","""")&amp;SUBSTITUTE(TEXT(IF(ISTEXT(Overig!T523),Overig!T523,10*Overig!T523),""",""????0;"",""???-0;"",""????0;"", ////"""),"'","""")&amp;SUBSTITUTE(TEXT(Overig!U523,""",""?00;"",""?-00;"",""?00;"", //"""),"'","""")&amp;SUBSTITUTE(TEXT(Overig!V523,""",""???0;"",""??-0;"",""???0;"", ///"""),"'","""")&amp;SUBSTITUTE(TEXT(Overig!W523,""",""?00;"",""?-00;"",""?00;"", //"""),"'","""")</f>
        <v>032, 19400510, 12.00, 7577, 00,  265, 00, ////, 07, ////, 07,  80, 00,  208, 00,  238, 00,   65, 00,    6, 00,   2, 00</v>
      </c>
    </row>
    <row r="524" spans="1:1" x14ac:dyDescent="0.25">
      <c r="A524" s="12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//"""),"'","""")&amp;SUBSTITUTE(TEXT(IF(ISTEXT(Overig!J524),Overig!J524,10*Overig!J524),""",""????0;"",""???-0;"",""????0;"", ////"""),"'","""")&amp;SUBSTITUTE(TEXT(Overig!K524,""",""?00;"",""?-00;"",""?00;"", //"""),"'","""")&amp;SUBSTITUTE(TEXT(Overig!L524,""",""???0;"",""??-0;"",""???0;"", ///"""),"'","""")&amp;SUBSTITUTE(TEXT(Overig!M524,""",""?00;"",""?-00;"",""?00;"", //"""),"'","""")&amp;SUBSTITUTE(TEXT(IF(ISTEXT(Overig!N524),Overig!N524,10*Overig!N524),""",""????0;"",""???-0;"",""????0;"", ////"""),"'","""")&amp;SUBSTITUTE(TEXT(Overig!O524,""",""?00;"",""?-00;"",""?00;"", //"""),"'","""")&amp;SUBSTITUTE(TEXT(IF(ISTEXT(Overig!P524),Overig!P524,10*Overig!P524),""",""????0;"",""???-0;"",""????0;"", ////"""),"'","""")&amp;SUBSTITUTE(TEXT(Overig!Q524,""",""?00;"",""?-00;"",""?00;"", //"""),"'","""")&amp;SUBSTITUTE(TEXT(Overig!R524,""",""????0;"",""???-0;"",""????0;"", ////"""),"'","""")&amp;SUBSTITUTE(TEXT(Overig!S524,""",""?00;"",""?-00;"",""?00;"", //"""),"'","""")&amp;SUBSTITUTE(TEXT(IF(ISTEXT(Overig!T524),Overig!T524,10*Overig!T524),""",""????0;"",""???-0;"",""????0;"", ////"""),"'","""")&amp;SUBSTITUTE(TEXT(Overig!U524,""",""?00;"",""?-00;"",""?00;"", //"""),"'","""")&amp;SUBSTITUTE(TEXT(Overig!V524,""",""???0;"",""??-0;"",""???0;"", ///"""),"'","""")&amp;SUBSTITUTE(TEXT(Overig!W524,""",""?00;"",""?-00;"",""?00;"", //"""),"'","""")</f>
        <v>032, 19400510, 17.00, 7567, 00,  261, 00, ////, 07, ////, 07,  78, 00,  199, 00,  232, 00,   45, 00,    5, 00,   3, 00</v>
      </c>
    </row>
    <row r="525" spans="1:1" x14ac:dyDescent="0.25">
      <c r="A525" s="12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//"""),"'","""")&amp;SUBSTITUTE(TEXT(IF(ISTEXT(Overig!J525),Overig!J525,10*Overig!J525),""",""????0;"",""???-0;"",""????0;"", ////"""),"'","""")&amp;SUBSTITUTE(TEXT(Overig!K525,""",""?00;"",""?-00;"",""?00;"", //"""),"'","""")&amp;SUBSTITUTE(TEXT(Overig!L525,""",""???0;"",""??-0;"",""???0;"", ///"""),"'","""")&amp;SUBSTITUTE(TEXT(Overig!M525,""",""?00;"",""?-00;"",""?00;"", //"""),"'","""")&amp;SUBSTITUTE(TEXT(IF(ISTEXT(Overig!N525),Overig!N525,10*Overig!N525),""",""????0;"",""???-0;"",""????0;"", ////"""),"'","""")&amp;SUBSTITUTE(TEXT(Overig!O525,""",""?00;"",""?-00;"",""?00;"", //"""),"'","""")&amp;SUBSTITUTE(TEXT(IF(ISTEXT(Overig!P525),Overig!P525,10*Overig!P525),""",""????0;"",""???-0;"",""????0;"", ////"""),"'","""")&amp;SUBSTITUTE(TEXT(Overig!Q525,""",""?00;"",""?-00;"",""?00;"", //"""),"'","""")&amp;SUBSTITUTE(TEXT(Overig!R525,""",""????0;"",""???-0;"",""????0;"", ////"""),"'","""")&amp;SUBSTITUTE(TEXT(Overig!S525,""",""?00;"",""?-00;"",""?00;"", //"""),"'","""")&amp;SUBSTITUTE(TEXT(IF(ISTEXT(Overig!T525),Overig!T525,10*Overig!T525),""",""????0;"",""???-0;"",""????0;"", ////"""),"'","""")&amp;SUBSTITUTE(TEXT(Overig!U525,""",""?00;"",""?-00;"",""?00;"", //"""),"'","""")&amp;SUBSTITUTE(TEXT(Overig!V525,""",""???0;"",""??-0;"",""???0;"", ///"""),"'","""")&amp;SUBSTITUTE(TEXT(Overig!W525,""",""?00;"",""?-00;"",""?00;"", //"""),"'","""")</f>
        <v>032, 19400510, 24.00, ////, 07, ////, 07,  275, 00,  300, 00, ///, 07, ////, 07, ////, 07, ////, 07, ////, 07, ///, 07</v>
      </c>
    </row>
    <row r="526" spans="1:1" x14ac:dyDescent="0.25">
      <c r="A526" s="12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//"""),"'","""")&amp;SUBSTITUTE(TEXT(IF(ISTEXT(Overig!J526),Overig!J526,10*Overig!J526),""",""????0;"",""???-0;"",""????0;"", ////"""),"'","""")&amp;SUBSTITUTE(TEXT(Overig!K526,""",""?00;"",""?-00;"",""?00;"", //"""),"'","""")&amp;SUBSTITUTE(TEXT(Overig!L526,""",""???0;"",""??-0;"",""???0;"", ///"""),"'","""")&amp;SUBSTITUTE(TEXT(Overig!M526,""",""?00;"",""?-00;"",""?00;"", //"""),"'","""")&amp;SUBSTITUTE(TEXT(IF(ISTEXT(Overig!N526),Overig!N526,10*Overig!N526),""",""????0;"",""???-0;"",""????0;"", ////"""),"'","""")&amp;SUBSTITUTE(TEXT(Overig!O526,""",""?00;"",""?-00;"",""?00;"", //"""),"'","""")&amp;SUBSTITUTE(TEXT(IF(ISTEXT(Overig!P526),Overig!P526,10*Overig!P526),""",""????0;"",""???-0;"",""????0;"", ////"""),"'","""")&amp;SUBSTITUTE(TEXT(Overig!Q526,""",""?00;"",""?-00;"",""?00;"", //"""),"'","""")&amp;SUBSTITUTE(TEXT(Overig!R526,""",""????0;"",""???-0;"",""????0;"", ////"""),"'","""")&amp;SUBSTITUTE(TEXT(Overig!S526,""",""?00;"",""?-00;"",""?00;"", //"""),"'","""")&amp;SUBSTITUTE(TEXT(IF(ISTEXT(Overig!T526),Overig!T526,10*Overig!T526),""",""????0;"",""???-0;"",""????0;"", ////"""),"'","""")&amp;SUBSTITUTE(TEXT(Overig!U526,""",""?00;"",""?-00;"",""?00;"", //"""),"'","""")&amp;SUBSTITUTE(TEXT(Overig!V526,""",""???0;"",""??-0;"",""???0;"", ///"""),"'","""")&amp;SUBSTITUTE(TEXT(Overig!W526,""",""?00;"",""?-00;"",""?00;"", //"""),"'","""")</f>
        <v>032, 19400511, 07.00, 7574, 00,  267, 00, ////, 07, ////, 07,  81, 00,  214, 00,  242, 00,   65, 00,    4, 00,   2, 00</v>
      </c>
    </row>
    <row r="527" spans="1:1" x14ac:dyDescent="0.25">
      <c r="A527" s="12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//"""),"'","""")&amp;SUBSTITUTE(TEXT(IF(ISTEXT(Overig!J527),Overig!J527,10*Overig!J527),""",""????0;"",""???-0;"",""????0;"", ////"""),"'","""")&amp;SUBSTITUTE(TEXT(Overig!K527,""",""?00;"",""?-00;"",""?00;"", //"""),"'","""")&amp;SUBSTITUTE(TEXT(Overig!L527,""",""???0;"",""??-0;"",""???0;"", ///"""),"'","""")&amp;SUBSTITUTE(TEXT(Overig!M527,""",""?00;"",""?-00;"",""?00;"", //"""),"'","""")&amp;SUBSTITUTE(TEXT(IF(ISTEXT(Overig!N527),Overig!N527,10*Overig!N527),""",""????0;"",""???-0;"",""????0;"", ////"""),"'","""")&amp;SUBSTITUTE(TEXT(Overig!O527,""",""?00;"",""?-00;"",""?00;"", //"""),"'","""")&amp;SUBSTITUTE(TEXT(IF(ISTEXT(Overig!P527),Overig!P527,10*Overig!P527),""",""????0;"",""???-0;"",""????0;"", ////"""),"'","""")&amp;SUBSTITUTE(TEXT(Overig!Q527,""",""?00;"",""?-00;"",""?00;"", //"""),"'","""")&amp;SUBSTITUTE(TEXT(Overig!R527,""",""????0;"",""???-0;"",""????0;"", ////"""),"'","""")&amp;SUBSTITUTE(TEXT(Overig!S527,""",""?00;"",""?-00;"",""?00;"", //"""),"'","""")&amp;SUBSTITUTE(TEXT(IF(ISTEXT(Overig!T527),Overig!T527,10*Overig!T527),""",""????0;"",""???-0;"",""????0;"", ////"""),"'","""")&amp;SUBSTITUTE(TEXT(Overig!U527,""",""?00;"",""?-00;"",""?00;"", //"""),"'","""")&amp;SUBSTITUTE(TEXT(Overig!V527,""",""???0;"",""??-0;"",""???0;"", ///"""),"'","""")&amp;SUBSTITUTE(TEXT(Overig!W527,""",""?00;"",""?-00;"",""?00;"", //"""),"'","""")</f>
        <v>032, 19400511, 12.00, 7567, 00,  269, 00, ////, 07, ////, 07,  82, 00,  219, 00,  245, 00,   65, 00,    6, 00,   3, 00</v>
      </c>
    </row>
    <row r="528" spans="1:1" x14ac:dyDescent="0.25">
      <c r="A528" s="12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//"""),"'","""")&amp;SUBSTITUTE(TEXT(IF(ISTEXT(Overig!J528),Overig!J528,10*Overig!J528),""",""????0;"",""???-0;"",""????0;"", ////"""),"'","""")&amp;SUBSTITUTE(TEXT(Overig!K528,""",""?00;"",""?-00;"",""?00;"", //"""),"'","""")&amp;SUBSTITUTE(TEXT(Overig!L528,""",""???0;"",""??-0;"",""???0;"", ///"""),"'","""")&amp;SUBSTITUTE(TEXT(Overig!M528,""",""?00;"",""?-00;"",""?00;"", //"""),"'","""")&amp;SUBSTITUTE(TEXT(IF(ISTEXT(Overig!N528),Overig!N528,10*Overig!N528),""",""????0;"",""???-0;"",""????0;"", ////"""),"'","""")&amp;SUBSTITUTE(TEXT(Overig!O528,""",""?00;"",""?-00;"",""?00;"", //"""),"'","""")&amp;SUBSTITUTE(TEXT(IF(ISTEXT(Overig!P528),Overig!P528,10*Overig!P528),""",""????0;"",""???-0;"",""????0;"", ////"""),"'","""")&amp;SUBSTITUTE(TEXT(Overig!Q528,""",""?00;"",""?-00;"",""?00;"", //"""),"'","""")&amp;SUBSTITUTE(TEXT(Overig!R528,""",""????0;"",""???-0;"",""????0;"", ////"""),"'","""")&amp;SUBSTITUTE(TEXT(Overig!S528,""",""?00;"",""?-00;"",""?00;"", //"""),"'","""")&amp;SUBSTITUTE(TEXT(IF(ISTEXT(Overig!T528),Overig!T528,10*Overig!T528),""",""????0;"",""???-0;"",""????0;"", ////"""),"'","""")&amp;SUBSTITUTE(TEXT(Overig!U528,""",""?00;"",""?-00;"",""?00;"", //"""),"'","""")&amp;SUBSTITUTE(TEXT(Overig!V528,""",""???0;"",""??-0;"",""???0;"", ///"""),"'","""")&amp;SUBSTITUTE(TEXT(Overig!W528,""",""?00;"",""?-00;"",""?00;"", //"""),"'","""")</f>
        <v>032, 19400511, 17.00, 7564, 00,  261, 00, ////, 07, ////, 07,  80, 00,  202, 00,  234, 00,   45, 00,    5, 00,   2, 00</v>
      </c>
    </row>
    <row r="529" spans="1:1" x14ac:dyDescent="0.25">
      <c r="A529" s="12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//"""),"'","""")&amp;SUBSTITUTE(TEXT(IF(ISTEXT(Overig!J529),Overig!J529,10*Overig!J529),""",""????0;"",""???-0;"",""????0;"", ////"""),"'","""")&amp;SUBSTITUTE(TEXT(Overig!K529,""",""?00;"",""?-00;"",""?00;"", //"""),"'","""")&amp;SUBSTITUTE(TEXT(Overig!L529,""",""???0;"",""??-0;"",""???0;"", ///"""),"'","""")&amp;SUBSTITUTE(TEXT(Overig!M529,""",""?00;"",""?-00;"",""?00;"", //"""),"'","""")&amp;SUBSTITUTE(TEXT(IF(ISTEXT(Overig!N529),Overig!N529,10*Overig!N529),""",""????0;"",""???-0;"",""????0;"", ////"""),"'","""")&amp;SUBSTITUTE(TEXT(Overig!O529,""",""?00;"",""?-00;"",""?00;"", //"""),"'","""")&amp;SUBSTITUTE(TEXT(IF(ISTEXT(Overig!P529),Overig!P529,10*Overig!P529),""",""????0;"",""???-0;"",""????0;"", ////"""),"'","""")&amp;SUBSTITUTE(TEXT(Overig!Q529,""",""?00;"",""?-00;"",""?00;"", //"""),"'","""")&amp;SUBSTITUTE(TEXT(Overig!R529,""",""????0;"",""???-0;"",""????0;"", ////"""),"'","""")&amp;SUBSTITUTE(TEXT(Overig!S529,""",""?00;"",""?-00;"",""?00;"", //"""),"'","""")&amp;SUBSTITUTE(TEXT(IF(ISTEXT(Overig!T529),Overig!T529,10*Overig!T529),""",""????0;"",""???-0;"",""????0;"", ////"""),"'","""")&amp;SUBSTITUTE(TEXT(Overig!U529,""",""?00;"",""?-00;"",""?00;"", //"""),"'","""")&amp;SUBSTITUTE(TEXT(Overig!V529,""",""???0;"",""??-0;"",""???0;"", ///"""),"'","""")&amp;SUBSTITUTE(TEXT(Overig!W529,""",""?00;"",""?-00;"",""?00;"", //"""),"'","""")</f>
        <v>032, 19400511, 24.00, ////, 07, ////, 07,  280, 00,  300, 00, ///, 07, ////, 07, ////, 07, ////, 07, ////, 07, ///, 07</v>
      </c>
    </row>
    <row r="530" spans="1:1" x14ac:dyDescent="0.25">
      <c r="A530" s="12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//"""),"'","""")&amp;SUBSTITUTE(TEXT(IF(ISTEXT(Overig!J530),Overig!J530,10*Overig!J530),""",""????0;"",""???-0;"",""????0;"", ////"""),"'","""")&amp;SUBSTITUTE(TEXT(Overig!K530,""",""?00;"",""?-00;"",""?00;"", //"""),"'","""")&amp;SUBSTITUTE(TEXT(Overig!L530,""",""???0;"",""??-0;"",""???0;"", ///"""),"'","""")&amp;SUBSTITUTE(TEXT(Overig!M530,""",""?00;"",""?-00;"",""?00;"", //"""),"'","""")&amp;SUBSTITUTE(TEXT(IF(ISTEXT(Overig!N530),Overig!N530,10*Overig!N530),""",""????0;"",""???-0;"",""????0;"", ////"""),"'","""")&amp;SUBSTITUTE(TEXT(Overig!O530,""",""?00;"",""?-00;"",""?00;"", //"""),"'","""")&amp;SUBSTITUTE(TEXT(IF(ISTEXT(Overig!P530),Overig!P530,10*Overig!P530),""",""????0;"",""???-0;"",""????0;"", ////"""),"'","""")&amp;SUBSTITUTE(TEXT(Overig!Q530,""",""?00;"",""?-00;"",""?00;"", //"""),"'","""")&amp;SUBSTITUTE(TEXT(Overig!R530,""",""????0;"",""???-0;"",""????0;"", ////"""),"'","""")&amp;SUBSTITUTE(TEXT(Overig!S530,""",""?00;"",""?-00;"",""?00;"", //"""),"'","""")&amp;SUBSTITUTE(TEXT(IF(ISTEXT(Overig!T530),Overig!T530,10*Overig!T530),""",""????0;"",""???-0;"",""????0;"", ////"""),"'","""")&amp;SUBSTITUTE(TEXT(Overig!U530,""",""?00;"",""?-00;"",""?00;"", //"""),"'","""")&amp;SUBSTITUTE(TEXT(Overig!V530,""",""???0;"",""??-0;"",""???0;"", ///"""),"'","""")&amp;SUBSTITUTE(TEXT(Overig!W530,""",""?00;"",""?-00;"",""?00;"", //"""),"'","""")</f>
        <v>032, 19400512, 07.00, 7582, 00,  261, 00, ////, 07, ////, 07,  80, 00,  202, 00,  234, 00,   90, 00,    4, 00,   3, 00</v>
      </c>
    </row>
    <row r="531" spans="1:1" x14ac:dyDescent="0.25">
      <c r="A531" s="12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//"""),"'","""")&amp;SUBSTITUTE(TEXT(IF(ISTEXT(Overig!J531),Overig!J531,10*Overig!J531),""",""????0;"",""???-0;"",""????0;"", ////"""),"'","""")&amp;SUBSTITUTE(TEXT(Overig!K531,""",""?00;"",""?-00;"",""?00;"", //"""),"'","""")&amp;SUBSTITUTE(TEXT(Overig!L531,""",""???0;"",""??-0;"",""???0;"", ///"""),"'","""")&amp;SUBSTITUTE(TEXT(Overig!M531,""",""?00;"",""?-00;"",""?00;"", //"""),"'","""")&amp;SUBSTITUTE(TEXT(IF(ISTEXT(Overig!N531),Overig!N531,10*Overig!N531),""",""????0;"",""???-0;"",""????0;"", ////"""),"'","""")&amp;SUBSTITUTE(TEXT(Overig!O531,""",""?00;"",""?-00;"",""?00;"", //"""),"'","""")&amp;SUBSTITUTE(TEXT(IF(ISTEXT(Overig!P531),Overig!P531,10*Overig!P531),""",""????0;"",""???-0;"",""????0;"", ////"""),"'","""")&amp;SUBSTITUTE(TEXT(Overig!Q531,""",""?00;"",""?-00;"",""?00;"", //"""),"'","""")&amp;SUBSTITUTE(TEXT(Overig!R531,""",""????0;"",""???-0;"",""????0;"", ////"""),"'","""")&amp;SUBSTITUTE(TEXT(Overig!S531,""",""?00;"",""?-00;"",""?00;"", //"""),"'","""")&amp;SUBSTITUTE(TEXT(IF(ISTEXT(Overig!T531),Overig!T531,10*Overig!T531),""",""????0;"",""???-0;"",""????0;"", ////"""),"'","""")&amp;SUBSTITUTE(TEXT(Overig!U531,""",""?00;"",""?-00;"",""?00;"", //"""),"'","""")&amp;SUBSTITUTE(TEXT(Overig!V531,""",""???0;"",""??-0;"",""???0;"", ///"""),"'","""")&amp;SUBSTITUTE(TEXT(Overig!W531,""",""?00;"",""?-00;"",""?00;"", //"""),"'","""")</f>
        <v>032, 19400512, 12.00, 7582, 00,  271, 00, ////, 07, ////, 07,  76, 00,  205, 00,  238, 00,   65, 00,    6, 00,   2, 00</v>
      </c>
    </row>
    <row r="532" spans="1:1" x14ac:dyDescent="0.25">
      <c r="A532" s="12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//"""),"'","""")&amp;SUBSTITUTE(TEXT(IF(ISTEXT(Overig!J532),Overig!J532,10*Overig!J532),""",""????0;"",""???-0;"",""????0;"", ////"""),"'","""")&amp;SUBSTITUTE(TEXT(Overig!K532,""",""?00;"",""?-00;"",""?00;"", //"""),"'","""")&amp;SUBSTITUTE(TEXT(Overig!L532,""",""???0;"",""??-0;"",""???0;"", ///"""),"'","""")&amp;SUBSTITUTE(TEXT(Overig!M532,""",""?00;"",""?-00;"",""?00;"", //"""),"'","""")&amp;SUBSTITUTE(TEXT(IF(ISTEXT(Overig!N532),Overig!N532,10*Overig!N532),""",""????0;"",""???-0;"",""????0;"", ////"""),"'","""")&amp;SUBSTITUTE(TEXT(Overig!O532,""",""?00;"",""?-00;"",""?00;"", //"""),"'","""")&amp;SUBSTITUTE(TEXT(IF(ISTEXT(Overig!P532),Overig!P532,10*Overig!P532),""",""????0;"",""???-0;"",""????0;"", ////"""),"'","""")&amp;SUBSTITUTE(TEXT(Overig!Q532,""",""?00;"",""?-00;"",""?00;"", //"""),"'","""")&amp;SUBSTITUTE(TEXT(Overig!R532,""",""????0;"",""???-0;"",""????0;"", ////"""),"'","""")&amp;SUBSTITUTE(TEXT(Overig!S532,""",""?00;"",""?-00;"",""?00;"", //"""),"'","""")&amp;SUBSTITUTE(TEXT(IF(ISTEXT(Overig!T532),Overig!T532,10*Overig!T532),""",""????0;"",""???-0;"",""????0;"", ////"""),"'","""")&amp;SUBSTITUTE(TEXT(Overig!U532,""",""?00;"",""?-00;"",""?00;"", //"""),"'","""")&amp;SUBSTITUTE(TEXT(Overig!V532,""",""???0;"",""??-0;"",""???0;"", ///"""),"'","""")&amp;SUBSTITUTE(TEXT(Overig!W532,""",""?00;"",""?-00;"",""?00;"", //"""),"'","""")</f>
        <v>032, 19400512, 17.00, 7582, 00,  261, 00, ////, 07, ////, 07,  78, 00,  199, 00,  232, 00,   45, 00,    5, 00,   3, 00</v>
      </c>
    </row>
    <row r="533" spans="1:1" x14ac:dyDescent="0.25">
      <c r="A533" s="12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//"""),"'","""")&amp;SUBSTITUTE(TEXT(IF(ISTEXT(Overig!J533),Overig!J533,10*Overig!J533),""",""????0;"",""???-0;"",""????0;"", ////"""),"'","""")&amp;SUBSTITUTE(TEXT(Overig!K533,""",""?00;"",""?-00;"",""?00;"", //"""),"'","""")&amp;SUBSTITUTE(TEXT(Overig!L533,""",""???0;"",""??-0;"",""???0;"", ///"""),"'","""")&amp;SUBSTITUTE(TEXT(Overig!M533,""",""?00;"",""?-00;"",""?00;"", //"""),"'","""")&amp;SUBSTITUTE(TEXT(IF(ISTEXT(Overig!N533),Overig!N533,10*Overig!N533),""",""????0;"",""???-0;"",""????0;"", ////"""),"'","""")&amp;SUBSTITUTE(TEXT(Overig!O533,""",""?00;"",""?-00;"",""?00;"", //"""),"'","""")&amp;SUBSTITUTE(TEXT(IF(ISTEXT(Overig!P533),Overig!P533,10*Overig!P533),""",""????0;"",""???-0;"",""????0;"", ////"""),"'","""")&amp;SUBSTITUTE(TEXT(Overig!Q533,""",""?00;"",""?-00;"",""?00;"", //"""),"'","""")&amp;SUBSTITUTE(TEXT(Overig!R533,""",""????0;"",""???-0;"",""????0;"", ////"""),"'","""")&amp;SUBSTITUTE(TEXT(Overig!S533,""",""?00;"",""?-00;"",""?00;"", //"""),"'","""")&amp;SUBSTITUTE(TEXT(IF(ISTEXT(Overig!T533),Overig!T533,10*Overig!T533),""",""????0;"",""???-0;"",""????0;"", ////"""),"'","""")&amp;SUBSTITUTE(TEXT(Overig!U533,""",""?00;"",""?-00;"",""?00;"", //"""),"'","""")&amp;SUBSTITUTE(TEXT(Overig!V533,""",""???0;"",""??-0;"",""???0;"", ///"""),"'","""")&amp;SUBSTITUTE(TEXT(Overig!W533,""",""?00;"",""?-00;"",""?00;"", //"""),"'","""")</f>
        <v>032, 19400512, 24.00, ////, 07, ////, 07,  284, 00,  300, 00, ///, 07, ////, 07, ////, 07, ////, 07, ////, 07, ///, 07</v>
      </c>
    </row>
    <row r="534" spans="1:1" x14ac:dyDescent="0.25">
      <c r="A534" s="12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//"""),"'","""")&amp;SUBSTITUTE(TEXT(IF(ISTEXT(Overig!J534),Overig!J534,10*Overig!J534),""",""????0;"",""???-0;"",""????0;"", ////"""),"'","""")&amp;SUBSTITUTE(TEXT(Overig!K534,""",""?00;"",""?-00;"",""?00;"", //"""),"'","""")&amp;SUBSTITUTE(TEXT(Overig!L534,""",""???0;"",""??-0;"",""???0;"", ///"""),"'","""")&amp;SUBSTITUTE(TEXT(Overig!M534,""",""?00;"",""?-00;"",""?00;"", //"""),"'","""")&amp;SUBSTITUTE(TEXT(IF(ISTEXT(Overig!N534),Overig!N534,10*Overig!N534),""",""????0;"",""???-0;"",""????0;"", ////"""),"'","""")&amp;SUBSTITUTE(TEXT(Overig!O534,""",""?00;"",""?-00;"",""?00;"", //"""),"'","""")&amp;SUBSTITUTE(TEXT(IF(ISTEXT(Overig!P534),Overig!P534,10*Overig!P534),""",""????0;"",""???-0;"",""????0;"", ////"""),"'","""")&amp;SUBSTITUTE(TEXT(Overig!Q534,""",""?00;"",""?-00;"",""?00;"", //"""),"'","""")&amp;SUBSTITUTE(TEXT(Overig!R534,""",""????0;"",""???-0;"",""????0;"", ////"""),"'","""")&amp;SUBSTITUTE(TEXT(Overig!S534,""",""?00;"",""?-00;"",""?00;"", //"""),"'","""")&amp;SUBSTITUTE(TEXT(IF(ISTEXT(Overig!T534),Overig!T534,10*Overig!T534),""",""????0;"",""???-0;"",""????0;"", ////"""),"'","""")&amp;SUBSTITUTE(TEXT(Overig!U534,""",""?00;"",""?-00;"",""?00;"", //"""),"'","""")&amp;SUBSTITUTE(TEXT(Overig!V534,""",""???0;"",""??-0;"",""???0;"", ///"""),"'","""")&amp;SUBSTITUTE(TEXT(Overig!W534,""",""?00;"",""?-00;"",""?00;"", //"""),"'","""")</f>
        <v>032, 19400513, 07.00, 7582, 00,  263, 00, ////, 07, ////, 07,  80, 00,  205, 00,  236, 00,   65, 00,    4, 00,   2, 00</v>
      </c>
    </row>
    <row r="535" spans="1:1" x14ac:dyDescent="0.25">
      <c r="A535" s="12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//"""),"'","""")&amp;SUBSTITUTE(TEXT(IF(ISTEXT(Overig!J535),Overig!J535,10*Overig!J535),""",""????0;"",""???-0;"",""????0;"", ////"""),"'","""")&amp;SUBSTITUTE(TEXT(Overig!K535,""",""?00;"",""?-00;"",""?00;"", //"""),"'","""")&amp;SUBSTITUTE(TEXT(Overig!L535,""",""???0;"",""??-0;"",""???0;"", ///"""),"'","""")&amp;SUBSTITUTE(TEXT(Overig!M535,""",""?00;"",""?-00;"",""?00;"", //"""),"'","""")&amp;SUBSTITUTE(TEXT(IF(ISTEXT(Overig!N535),Overig!N535,10*Overig!N535),""",""????0;"",""???-0;"",""????0;"", ////"""),"'","""")&amp;SUBSTITUTE(TEXT(Overig!O535,""",""?00;"",""?-00;"",""?00;"", //"""),"'","""")&amp;SUBSTITUTE(TEXT(IF(ISTEXT(Overig!P535),Overig!P535,10*Overig!P535),""",""????0;"",""???-0;"",""????0;"", ////"""),"'","""")&amp;SUBSTITUTE(TEXT(Overig!Q535,""",""?00;"",""?-00;"",""?00;"", //"""),"'","""")&amp;SUBSTITUTE(TEXT(Overig!R535,""",""????0;"",""???-0;"",""????0;"", ////"""),"'","""")&amp;SUBSTITUTE(TEXT(Overig!S535,""",""?00;"",""?-00;"",""?00;"", //"""),"'","""")&amp;SUBSTITUTE(TEXT(IF(ISTEXT(Overig!T535),Overig!T535,10*Overig!T535),""",""????0;"",""???-0;"",""????0;"", ////"""),"'","""")&amp;SUBSTITUTE(TEXT(Overig!U535,""",""?00;"",""?-00;"",""?00;"", //"""),"'","""")&amp;SUBSTITUTE(TEXT(Overig!V535,""",""???0;"",""??-0;"",""???0;"", ///"""),"'","""")&amp;SUBSTITUTE(TEXT(Overig!W535,""",""?00;"",""?-00;"",""?00;"", //"""),"'","""")</f>
        <v>032, 19400513, 12.00, 7577, 00,  277, 00, ////, 07, ////, 07,  74, 00,  207, 00,  241, 00,   65, 00,    5, 00,   3, 00</v>
      </c>
    </row>
    <row r="536" spans="1:1" x14ac:dyDescent="0.25">
      <c r="A536" s="12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//"""),"'","""")&amp;SUBSTITUTE(TEXT(IF(ISTEXT(Overig!J536),Overig!J536,10*Overig!J536),""",""????0;"",""???-0;"",""????0;"", ////"""),"'","""")&amp;SUBSTITUTE(TEXT(Overig!K536,""",""?00;"",""?-00;"",""?00;"", //"""),"'","""")&amp;SUBSTITUTE(TEXT(Overig!L536,""",""???0;"",""??-0;"",""???0;"", ///"""),"'","""")&amp;SUBSTITUTE(TEXT(Overig!M536,""",""?00;"",""?-00;"",""?00;"", //"""),"'","""")&amp;SUBSTITUTE(TEXT(IF(ISTEXT(Overig!N536),Overig!N536,10*Overig!N536),""",""????0;"",""???-0;"",""????0;"", ////"""),"'","""")&amp;SUBSTITUTE(TEXT(Overig!O536,""",""?00;"",""?-00;"",""?00;"", //"""),"'","""")&amp;SUBSTITUTE(TEXT(IF(ISTEXT(Overig!P536),Overig!P536,10*Overig!P536),""",""????0;"",""???-0;"",""????0;"", ////"""),"'","""")&amp;SUBSTITUTE(TEXT(Overig!Q536,""",""?00;"",""?-00;"",""?00;"", //"""),"'","""")&amp;SUBSTITUTE(TEXT(Overig!R536,""",""????0;"",""???-0;"",""????0;"", ////"""),"'","""")&amp;SUBSTITUTE(TEXT(Overig!S536,""",""?00;"",""?-00;"",""?00;"", //"""),"'","""")&amp;SUBSTITUTE(TEXT(IF(ISTEXT(Overig!T536),Overig!T536,10*Overig!T536),""",""????0;"",""???-0;"",""????0;"", ////"""),"'","""")&amp;SUBSTITUTE(TEXT(Overig!U536,""",""?00;"",""?-00;"",""?00;"", //"""),"'","""")&amp;SUBSTITUTE(TEXT(Overig!V536,""",""???0;"",""??-0;"",""???0;"", ///"""),"'","""")&amp;SUBSTITUTE(TEXT(Overig!W536,""",""?00;"",""?-00;"",""?00;"", //"""),"'","""")</f>
        <v>032, 19400513, 17.00, 7579, 00,  268, 00, ////, 07, ////, 07,  75, 00,  199, 00,  234, 00,   45, 00,    6, 00,   2, 00</v>
      </c>
    </row>
    <row r="537" spans="1:1" x14ac:dyDescent="0.25">
      <c r="A537" s="12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//"""),"'","""")&amp;SUBSTITUTE(TEXT(IF(ISTEXT(Overig!J537),Overig!J537,10*Overig!J537),""",""????0;"",""???-0;"",""????0;"", ////"""),"'","""")&amp;SUBSTITUTE(TEXT(Overig!K537,""",""?00;"",""?-00;"",""?00;"", //"""),"'","""")&amp;SUBSTITUTE(TEXT(Overig!L537,""",""???0;"",""??-0;"",""???0;"", ///"""),"'","""")&amp;SUBSTITUTE(TEXT(Overig!M537,""",""?00;"",""?-00;"",""?00;"", //"""),"'","""")&amp;SUBSTITUTE(TEXT(IF(ISTEXT(Overig!N537),Overig!N537,10*Overig!N537),""",""????0;"",""???-0;"",""????0;"", ////"""),"'","""")&amp;SUBSTITUTE(TEXT(Overig!O537,""",""?00;"",""?-00;"",""?00;"", //"""),"'","""")&amp;SUBSTITUTE(TEXT(IF(ISTEXT(Overig!P537),Overig!P537,10*Overig!P537),""",""????0;"",""???-0;"",""????0;"", ////"""),"'","""")&amp;SUBSTITUTE(TEXT(Overig!Q537,""",""?00;"",""?-00;"",""?00;"", //"""),"'","""")&amp;SUBSTITUTE(TEXT(Overig!R537,""",""????0;"",""???-0;"",""????0;"", ////"""),"'","""")&amp;SUBSTITUTE(TEXT(Overig!S537,""",""?00;"",""?-00;"",""?00;"", //"""),"'","""")&amp;SUBSTITUTE(TEXT(IF(ISTEXT(Overig!T537),Overig!T537,10*Overig!T537),""",""????0;"",""???-0;"",""????0;"", ////"""),"'","""")&amp;SUBSTITUTE(TEXT(Overig!U537,""",""?00;"",""?-00;"",""?00;"", //"""),"'","""")&amp;SUBSTITUTE(TEXT(Overig!V537,""",""???0;"",""??-0;"",""???0;"", ///"""),"'","""")&amp;SUBSTITUTE(TEXT(Overig!W537,""",""?00;"",""?-00;"",""?00;"", //"""),"'","""")</f>
        <v>032, 19400513, 24.00, ////, 07, ////, 07,  294, 00,  314, 00, ///, 07, ////, 07, ////, 07, ////, 07, ////, 07, ///, 07</v>
      </c>
    </row>
    <row r="538" spans="1:1" x14ac:dyDescent="0.25">
      <c r="A538" s="12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//"""),"'","""")&amp;SUBSTITUTE(TEXT(IF(ISTEXT(Overig!J538),Overig!J538,10*Overig!J538),""",""????0;"",""???-0;"",""????0;"", ////"""),"'","""")&amp;SUBSTITUTE(TEXT(Overig!K538,""",""?00;"",""?-00;"",""?00;"", //"""),"'","""")&amp;SUBSTITUTE(TEXT(Overig!L538,""",""???0;"",""??-0;"",""???0;"", ///"""),"'","""")&amp;SUBSTITUTE(TEXT(Overig!M538,""",""?00;"",""?-00;"",""?00;"", //"""),"'","""")&amp;SUBSTITUTE(TEXT(IF(ISTEXT(Overig!N538),Overig!N538,10*Overig!N538),""",""????0;"",""???-0;"",""????0;"", ////"""),"'","""")&amp;SUBSTITUTE(TEXT(Overig!O538,""",""?00;"",""?-00;"",""?00;"", //"""),"'","""")&amp;SUBSTITUTE(TEXT(IF(ISTEXT(Overig!P538),Overig!P538,10*Overig!P538),""",""????0;"",""???-0;"",""????0;"", ////"""),"'","""")&amp;SUBSTITUTE(TEXT(Overig!Q538,""",""?00;"",""?-00;"",""?00;"", //"""),"'","""")&amp;SUBSTITUTE(TEXT(Overig!R538,""",""????0;"",""???-0;"",""????0;"", ////"""),"'","""")&amp;SUBSTITUTE(TEXT(Overig!S538,""",""?00;"",""?-00;"",""?00;"", //"""),"'","""")&amp;SUBSTITUTE(TEXT(IF(ISTEXT(Overig!T538),Overig!T538,10*Overig!T538),""",""????0;"",""???-0;"",""????0;"", ////"""),"'","""")&amp;SUBSTITUTE(TEXT(Overig!U538,""",""?00;"",""?-00;"",""?00;"", //"""),"'","""")&amp;SUBSTITUTE(TEXT(Overig!V538,""",""???0;"",""??-0;"",""???0;"", ///"""),"'","""")&amp;SUBSTITUTE(TEXT(Overig!W538,""",""?00;"",""?-00;"",""?00;"", //"""),"'","""")</f>
        <v>032, 19400514, 07.00, 7574, 00,  259, 00, ////, 07, ////, 07,  80, 00,  200, 00,  232, 00,   65, 00,    5, 00,   4, 00</v>
      </c>
    </row>
    <row r="539" spans="1:1" x14ac:dyDescent="0.25">
      <c r="A539" s="12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//"""),"'","""")&amp;SUBSTITUTE(TEXT(IF(ISTEXT(Overig!J539),Overig!J539,10*Overig!J539),""",""????0;"",""???-0;"",""????0;"", ////"""),"'","""")&amp;SUBSTITUTE(TEXT(Overig!K539,""",""?00;"",""?-00;"",""?00;"", //"""),"'","""")&amp;SUBSTITUTE(TEXT(Overig!L539,""",""???0;"",""??-0;"",""???0;"", ///"""),"'","""")&amp;SUBSTITUTE(TEXT(Overig!M539,""",""?00;"",""?-00;"",""?00;"", //"""),"'","""")&amp;SUBSTITUTE(TEXT(IF(ISTEXT(Overig!N539),Overig!N539,10*Overig!N539),""",""????0;"",""???-0;"",""????0;"", ////"""),"'","""")&amp;SUBSTITUTE(TEXT(Overig!O539,""",""?00;"",""?-00;"",""?00;"", //"""),"'","""")&amp;SUBSTITUTE(TEXT(IF(ISTEXT(Overig!P539),Overig!P539,10*Overig!P539),""",""????0;"",""???-0;"",""????0;"", ////"""),"'","""")&amp;SUBSTITUTE(TEXT(Overig!Q539,""",""?00;"",""?-00;"",""?00;"", //"""),"'","""")&amp;SUBSTITUTE(TEXT(Overig!R539,""",""????0;"",""???-0;"",""????0;"", ////"""),"'","""")&amp;SUBSTITUTE(TEXT(Overig!S539,""",""?00;"",""?-00;"",""?00;"", //"""),"'","""")&amp;SUBSTITUTE(TEXT(IF(ISTEXT(Overig!T539),Overig!T539,10*Overig!T539),""",""????0;"",""???-0;"",""????0;"", ////"""),"'","""")&amp;SUBSTITUTE(TEXT(Overig!U539,""",""?00;"",""?-00;"",""?00;"", //"""),"'","""")&amp;SUBSTITUTE(TEXT(Overig!V539,""",""???0;"",""??-0;"",""???0;"", ///"""),"'","""")&amp;SUBSTITUTE(TEXT(Overig!W539,""",""?00;"",""?-00;"",""?00;"", //"""),"'","""")</f>
        <v>032, 19400514, 12.00, 7567, 00,  269, 00, ////, 07, ////, 07,  77, 00,  206, 00,  238, 00,   65, 00,    6, 00,   5, 00</v>
      </c>
    </row>
    <row r="540" spans="1:1" x14ac:dyDescent="0.25">
      <c r="A540" s="12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//"""),"'","""")&amp;SUBSTITUTE(TEXT(IF(ISTEXT(Overig!J540),Overig!J540,10*Overig!J540),""",""????0;"",""???-0;"",""????0;"", ////"""),"'","""")&amp;SUBSTITUTE(TEXT(Overig!K540,""",""?00;"",""?-00;"",""?00;"", //"""),"'","""")&amp;SUBSTITUTE(TEXT(Overig!L540,""",""???0;"",""??-0;"",""???0;"", ///"""),"'","""")&amp;SUBSTITUTE(TEXT(Overig!M540,""",""?00;"",""?-00;"",""?00;"", //"""),"'","""")&amp;SUBSTITUTE(TEXT(IF(ISTEXT(Overig!N540),Overig!N540,10*Overig!N540),""",""????0;"",""???-0;"",""????0;"", ////"""),"'","""")&amp;SUBSTITUTE(TEXT(Overig!O540,""",""?00;"",""?-00;"",""?00;"", //"""),"'","""")&amp;SUBSTITUTE(TEXT(IF(ISTEXT(Overig!P540),Overig!P540,10*Overig!P540),""",""????0;"",""???-0;"",""????0;"", ////"""),"'","""")&amp;SUBSTITUTE(TEXT(Overig!Q540,""",""?00;"",""?-00;"",""?00;"", //"""),"'","""")&amp;SUBSTITUTE(TEXT(Overig!R540,""",""????0;"",""???-0;"",""????0;"", ////"""),"'","""")&amp;SUBSTITUTE(TEXT(Overig!S540,""",""?00;"",""?-00;"",""?00;"", //"""),"'","""")&amp;SUBSTITUTE(TEXT(IF(ISTEXT(Overig!T540),Overig!T540,10*Overig!T540),""",""????0;"",""???-0;"",""????0;"", ////"""),"'","""")&amp;SUBSTITUTE(TEXT(Overig!U540,""",""?00;"",""?-00;"",""?00;"", //"""),"'","""")&amp;SUBSTITUTE(TEXT(Overig!V540,""",""???0;"",""??-0;"",""???0;"", ///"""),"'","""")&amp;SUBSTITUTE(TEXT(Overig!W540,""",""?00;"",""?-00;"",""?00;"", //"""),"'","""")</f>
        <v>032, 19400514, 17.00, 7564, 00,  261, 00, ////, 07, ////, 07,  77, 00,  195, 00,  230, 00,   45, 00,    6, 00,   4, 00</v>
      </c>
    </row>
    <row r="541" spans="1:1" x14ac:dyDescent="0.25">
      <c r="A541" s="12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//"""),"'","""")&amp;SUBSTITUTE(TEXT(IF(ISTEXT(Overig!J541),Overig!J541,10*Overig!J541),""",""????0;"",""???-0;"",""????0;"", ////"""),"'","""")&amp;SUBSTITUTE(TEXT(Overig!K541,""",""?00;"",""?-00;"",""?00;"", //"""),"'","""")&amp;SUBSTITUTE(TEXT(Overig!L541,""",""???0;"",""??-0;"",""???0;"", ///"""),"'","""")&amp;SUBSTITUTE(TEXT(Overig!M541,""",""?00;"",""?-00;"",""?00;"", //"""),"'","""")&amp;SUBSTITUTE(TEXT(IF(ISTEXT(Overig!N541),Overig!N541,10*Overig!N541),""",""????0;"",""???-0;"",""????0;"", ////"""),"'","""")&amp;SUBSTITUTE(TEXT(Overig!O541,""",""?00;"",""?-00;"",""?00;"", //"""),"'","""")&amp;SUBSTITUTE(TEXT(IF(ISTEXT(Overig!P541),Overig!P541,10*Overig!P541),""",""????0;"",""???-0;"",""????0;"", ////"""),"'","""")&amp;SUBSTITUTE(TEXT(Overig!Q541,""",""?00;"",""?-00;"",""?00;"", //"""),"'","""")&amp;SUBSTITUTE(TEXT(Overig!R541,""",""????0;"",""???-0;"",""????0;"", ////"""),"'","""")&amp;SUBSTITUTE(TEXT(Overig!S541,""",""?00;"",""?-00;"",""?00;"", //"""),"'","""")&amp;SUBSTITUTE(TEXT(IF(ISTEXT(Overig!T541),Overig!T541,10*Overig!T541),""",""????0;"",""???-0;"",""????0;"", ////"""),"'","""")&amp;SUBSTITUTE(TEXT(Overig!U541,""",""?00;"",""?-00;"",""?00;"", //"""),"'","""")&amp;SUBSTITUTE(TEXT(Overig!V541,""",""???0;"",""??-0;"",""???0;"", ///"""),"'","""")&amp;SUBSTITUTE(TEXT(Overig!W541,""",""?00;"",""?-00;"",""?00;"", //"""),"'","""")</f>
        <v>032, 19400514, 24.00, ////, 07, ////, 07,  284, 00,  304, 00, ///, 07, ////, 07, ////, 07, ////, 07, ////, 07, ///, 07</v>
      </c>
    </row>
    <row r="542" spans="1:1" x14ac:dyDescent="0.25">
      <c r="A542" s="12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//"""),"'","""")&amp;SUBSTITUTE(TEXT(IF(ISTEXT(Overig!J542),Overig!J542,10*Overig!J542),""",""????0;"",""???-0;"",""????0;"", ////"""),"'","""")&amp;SUBSTITUTE(TEXT(Overig!K542,""",""?00;"",""?-00;"",""?00;"", //"""),"'","""")&amp;SUBSTITUTE(TEXT(Overig!L542,""",""???0;"",""??-0;"",""???0;"", ///"""),"'","""")&amp;SUBSTITUTE(TEXT(Overig!M542,""",""?00;"",""?-00;"",""?00;"", //"""),"'","""")&amp;SUBSTITUTE(TEXT(IF(ISTEXT(Overig!N542),Overig!N542,10*Overig!N542),""",""????0;"",""???-0;"",""????0;"", ////"""),"'","""")&amp;SUBSTITUTE(TEXT(Overig!O542,""",""?00;"",""?-00;"",""?00;"", //"""),"'","""")&amp;SUBSTITUTE(TEXT(IF(ISTEXT(Overig!P542),Overig!P542,10*Overig!P542),""",""????0;"",""???-0;"",""????0;"", ////"""),"'","""")&amp;SUBSTITUTE(TEXT(Overig!Q542,""",""?00;"",""?-00;"",""?00;"", //"""),"'","""")&amp;SUBSTITUTE(TEXT(Overig!R542,""",""????0;"",""???-0;"",""????0;"", ////"""),"'","""")&amp;SUBSTITUTE(TEXT(Overig!S542,""",""?00;"",""?-00;"",""?00;"", //"""),"'","""")&amp;SUBSTITUTE(TEXT(IF(ISTEXT(Overig!T542),Overig!T542,10*Overig!T542),""",""????0;"",""???-0;"",""????0;"", ////"""),"'","""")&amp;SUBSTITUTE(TEXT(Overig!U542,""",""?00;"",""?-00;"",""?00;"", //"""),"'","""")&amp;SUBSTITUTE(TEXT(Overig!V542,""",""???0;"",""??-0;"",""???0;"", ///"""),"'","""")&amp;SUBSTITUTE(TEXT(Overig!W542,""",""?00;"",""?-00;"",""?00;"", //"""),"'","""")</f>
        <v>032, 19400515, 07.00, 7582, 00,  273, 00, ////, 07, ////, 07,  71, 00,  193, 00,  232, 00,   65, 00,    5, 00,   3, 00</v>
      </c>
    </row>
    <row r="543" spans="1:1" x14ac:dyDescent="0.25">
      <c r="A543" s="12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//"""),"'","""")&amp;SUBSTITUTE(TEXT(IF(ISTEXT(Overig!J543),Overig!J543,10*Overig!J543),""",""????0;"",""???-0;"",""????0;"", ////"""),"'","""")&amp;SUBSTITUTE(TEXT(Overig!K543,""",""?00;"",""?-00;"",""?00;"", //"""),"'","""")&amp;SUBSTITUTE(TEXT(Overig!L543,""",""???0;"",""??-0;"",""???0;"", ///"""),"'","""")&amp;SUBSTITUTE(TEXT(Overig!M543,""",""?00;"",""?-00;"",""?00;"", //"""),"'","""")&amp;SUBSTITUTE(TEXT(IF(ISTEXT(Overig!N543),Overig!N543,10*Overig!N543),""",""????0;"",""???-0;"",""????0;"", ////"""),"'","""")&amp;SUBSTITUTE(TEXT(Overig!O543,""",""?00;"",""?-00;"",""?00;"", //"""),"'","""")&amp;SUBSTITUTE(TEXT(IF(ISTEXT(Overig!P543),Overig!P543,10*Overig!P543),""",""????0;"",""???-0;"",""????0;"", ////"""),"'","""")&amp;SUBSTITUTE(TEXT(Overig!Q543,""",""?00;"",""?-00;"",""?00;"", //"""),"'","""")&amp;SUBSTITUTE(TEXT(Overig!R543,""",""????0;"",""???-0;"",""????0;"", ////"""),"'","""")&amp;SUBSTITUTE(TEXT(Overig!S543,""",""?00;"",""?-00;"",""?00;"", //"""),"'","""")&amp;SUBSTITUTE(TEXT(IF(ISTEXT(Overig!T543),Overig!T543,10*Overig!T543),""",""????0;"",""???-0;"",""????0;"", ////"""),"'","""")&amp;SUBSTITUTE(TEXT(Overig!U543,""",""?00;"",""?-00;"",""?00;"", //"""),"'","""")&amp;SUBSTITUTE(TEXT(Overig!V543,""",""???0;"",""??-0;"",""???0;"", ///"""),"'","""")&amp;SUBSTITUTE(TEXT(Overig!W543,""",""?00;"",""?-00;"",""?00;"", //"""),"'","""")</f>
        <v>032, 19400515, 12.00, 7579, 00,  276, 00, ////, 07, ////, 07,  72, 00,  198, 00,  236, 00,   65, 00,    6, 00,   4, 00</v>
      </c>
    </row>
    <row r="544" spans="1:1" x14ac:dyDescent="0.25">
      <c r="A544" s="12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//"""),"'","""")&amp;SUBSTITUTE(TEXT(IF(ISTEXT(Overig!J544),Overig!J544,10*Overig!J544),""",""????0;"",""???-0;"",""????0;"", ////"""),"'","""")&amp;SUBSTITUTE(TEXT(Overig!K544,""",""?00;"",""?-00;"",""?00;"", //"""),"'","""")&amp;SUBSTITUTE(TEXT(Overig!L544,""",""???0;"",""??-0;"",""???0;"", ///"""),"'","""")&amp;SUBSTITUTE(TEXT(Overig!M544,""",""?00;"",""?-00;"",""?00;"", //"""),"'","""")&amp;SUBSTITUTE(TEXT(IF(ISTEXT(Overig!N544),Overig!N544,10*Overig!N544),""",""????0;"",""???-0;"",""????0;"", ////"""),"'","""")&amp;SUBSTITUTE(TEXT(Overig!O544,""",""?00;"",""?-00;"",""?00;"", //"""),"'","""")&amp;SUBSTITUTE(TEXT(IF(ISTEXT(Overig!P544),Overig!P544,10*Overig!P544),""",""????0;"",""???-0;"",""????0;"", ////"""),"'","""")&amp;SUBSTITUTE(TEXT(Overig!Q544,""",""?00;"",""?-00;"",""?00;"", //"""),"'","""")&amp;SUBSTITUTE(TEXT(Overig!R544,""",""????0;"",""???-0;"",""????0;"", ////"""),"'","""")&amp;SUBSTITUTE(TEXT(Overig!S544,""",""?00;"",""?-00;"",""?00;"", //"""),"'","""")&amp;SUBSTITUTE(TEXT(IF(ISTEXT(Overig!T544),Overig!T544,10*Overig!T544),""",""????0;"",""???-0;"",""????0;"", ////"""),"'","""")&amp;SUBSTITUTE(TEXT(Overig!U544,""",""?00;"",""?-00;"",""?00;"", //"""),"'","""")&amp;SUBSTITUTE(TEXT(Overig!V544,""",""???0;"",""??-0;"",""???0;"", ///"""),"'","""")&amp;SUBSTITUTE(TEXT(Overig!W544,""",""?00;"",""?-00;"",""?00;"", //"""),"'","""")</f>
        <v>032, 19400515, 17.00, 7577, 00,  269, 00, ////, 07, ////, 07,  72, 00,  191, 00,  230, 00,   45, 00,    6, 00,   3, 00</v>
      </c>
    </row>
    <row r="545" spans="1:1" x14ac:dyDescent="0.25">
      <c r="A545" s="12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//"""),"'","""")&amp;SUBSTITUTE(TEXT(IF(ISTEXT(Overig!J545),Overig!J545,10*Overig!J545),""",""????0;"",""???-0;"",""????0;"", ////"""),"'","""")&amp;SUBSTITUTE(TEXT(Overig!K545,""",""?00;"",""?-00;"",""?00;"", //"""),"'","""")&amp;SUBSTITUTE(TEXT(Overig!L545,""",""???0;"",""??-0;"",""???0;"", ///"""),"'","""")&amp;SUBSTITUTE(TEXT(Overig!M545,""",""?00;"",""?-00;"",""?00;"", //"""),"'","""")&amp;SUBSTITUTE(TEXT(IF(ISTEXT(Overig!N545),Overig!N545,10*Overig!N545),""",""????0;"",""???-0;"",""????0;"", ////"""),"'","""")&amp;SUBSTITUTE(TEXT(Overig!O545,""",""?00;"",""?-00;"",""?00;"", //"""),"'","""")&amp;SUBSTITUTE(TEXT(IF(ISTEXT(Overig!P545),Overig!P545,10*Overig!P545),""",""????0;"",""???-0;"",""????0;"", ////"""),"'","""")&amp;SUBSTITUTE(TEXT(Overig!Q545,""",""?00;"",""?-00;"",""?00;"", //"""),"'","""")&amp;SUBSTITUTE(TEXT(Overig!R545,""",""????0;"",""???-0;"",""????0;"", ////"""),"'","""")&amp;SUBSTITUTE(TEXT(Overig!S545,""",""?00;"",""?-00;"",""?00;"", //"""),"'","""")&amp;SUBSTITUTE(TEXT(IF(ISTEXT(Overig!T545),Overig!T545,10*Overig!T545),""",""????0;"",""???-0;"",""????0;"", ////"""),"'","""")&amp;SUBSTITUTE(TEXT(Overig!U545,""",""?00;"",""?-00;"",""?00;"", //"""),"'","""")&amp;SUBSTITUTE(TEXT(Overig!V545,""",""???0;"",""??-0;"",""???0;"", ///"""),"'","""")&amp;SUBSTITUTE(TEXT(Overig!W545,""",""?00;"",""?-00;"",""?00;"", //"""),"'","""")</f>
        <v>032, 19400515, 24.00, ////, 07, ////, 07,  284, 00,  295, 00, ///, 07, ////, 07, ////, 07, ////, 07, ////, 07, ///, 07</v>
      </c>
    </row>
    <row r="546" spans="1:1" x14ac:dyDescent="0.25">
      <c r="A546" s="12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//"""),"'","""")&amp;SUBSTITUTE(TEXT(IF(ISTEXT(Overig!J546),Overig!J546,10*Overig!J546),""",""????0;"",""???-0;"",""????0;"", ////"""),"'","""")&amp;SUBSTITUTE(TEXT(Overig!K546,""",""?00;"",""?-00;"",""?00;"", //"""),"'","""")&amp;SUBSTITUTE(TEXT(Overig!L546,""",""???0;"",""??-0;"",""???0;"", ///"""),"'","""")&amp;SUBSTITUTE(TEXT(Overig!M546,""",""?00;"",""?-00;"",""?00;"", //"""),"'","""")&amp;SUBSTITUTE(TEXT(IF(ISTEXT(Overig!N546),Overig!N546,10*Overig!N546),""",""????0;"",""???-0;"",""????0;"", ////"""),"'","""")&amp;SUBSTITUTE(TEXT(Overig!O546,""",""?00;"",""?-00;"",""?00;"", //"""),"'","""")&amp;SUBSTITUTE(TEXT(IF(ISTEXT(Overig!P546),Overig!P546,10*Overig!P546),""",""????0;"",""???-0;"",""????0;"", ////"""),"'","""")&amp;SUBSTITUTE(TEXT(Overig!Q546,""",""?00;"",""?-00;"",""?00;"", //"""),"'","""")&amp;SUBSTITUTE(TEXT(Overig!R546,""",""????0;"",""???-0;"",""????0;"", ////"""),"'","""")&amp;SUBSTITUTE(TEXT(Overig!S546,""",""?00;"",""?-00;"",""?00;"", //"""),"'","""")&amp;SUBSTITUTE(TEXT(IF(ISTEXT(Overig!T546),Overig!T546,10*Overig!T546),""",""????0;"",""???-0;"",""????0;"", ////"""),"'","""")&amp;SUBSTITUTE(TEXT(Overig!U546,""",""?00;"",""?-00;"",""?00;"", //"""),"'","""")&amp;SUBSTITUTE(TEXT(Overig!V546,""",""???0;"",""??-0;"",""???0;"", ///"""),"'","""")&amp;SUBSTITUTE(TEXT(Overig!W546,""",""?00;"",""?-00;"",""?00;"", //"""),"'","""")</f>
        <v>032, 19400516, 07.00, 7585, 00,  271, 00, ////, 07, ////, 07,  76, 00,  205, 00,  238, 00,   65, 00,    5, 00,   4, 00</v>
      </c>
    </row>
    <row r="547" spans="1:1" x14ac:dyDescent="0.25">
      <c r="A547" s="12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//"""),"'","""")&amp;SUBSTITUTE(TEXT(IF(ISTEXT(Overig!J547),Overig!J547,10*Overig!J547),""",""????0;"",""???-0;"",""????0;"", ////"""),"'","""")&amp;SUBSTITUTE(TEXT(Overig!K547,""",""?00;"",""?-00;"",""?00;"", //"""),"'","""")&amp;SUBSTITUTE(TEXT(Overig!L547,""",""???0;"",""??-0;"",""???0;"", ///"""),"'","""")&amp;SUBSTITUTE(TEXT(Overig!M547,""",""?00;"",""?-00;"",""?00;"", //"""),"'","""")&amp;SUBSTITUTE(TEXT(IF(ISTEXT(Overig!N547),Overig!N547,10*Overig!N547),""",""????0;"",""???-0;"",""????0;"", ////"""),"'","""")&amp;SUBSTITUTE(TEXT(Overig!O547,""",""?00;"",""?-00;"",""?00;"", //"""),"'","""")&amp;SUBSTITUTE(TEXT(IF(ISTEXT(Overig!P547),Overig!P547,10*Overig!P547),""",""????0;"",""???-0;"",""????0;"", ////"""),"'","""")&amp;SUBSTITUTE(TEXT(Overig!Q547,""",""?00;"",""?-00;"",""?00;"", //"""),"'","""")&amp;SUBSTITUTE(TEXT(Overig!R547,""",""????0;"",""???-0;"",""????0;"", ////"""),"'","""")&amp;SUBSTITUTE(TEXT(Overig!S547,""",""?00;"",""?-00;"",""?00;"", //"""),"'","""")&amp;SUBSTITUTE(TEXT(IF(ISTEXT(Overig!T547),Overig!T547,10*Overig!T547),""",""????0;"",""???-0;"",""????0;"", ////"""),"'","""")&amp;SUBSTITUTE(TEXT(Overig!U547,""",""?00;"",""?-00;"",""?00;"", //"""),"'","""")&amp;SUBSTITUTE(TEXT(Overig!V547,""",""???0;"",""??-0;"",""???0;"", ///"""),"'","""")&amp;SUBSTITUTE(TEXT(Overig!W547,""",""?00;"",""?-00;"",""?00;"", //"""),"'","""")</f>
        <v>032, 19400516, 12.00, 7579, 00,  305, 00, ////, 07, ////, 07,  64, 00,  210, 00,  250, 00,   65, 00,    6, 00,   3, 00</v>
      </c>
    </row>
    <row r="548" spans="1:1" x14ac:dyDescent="0.25">
      <c r="A548" s="12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//"""),"'","""")&amp;SUBSTITUTE(TEXT(IF(ISTEXT(Overig!J548),Overig!J548,10*Overig!J548),""",""????0;"",""???-0;"",""????0;"", ////"""),"'","""")&amp;SUBSTITUTE(TEXT(Overig!K548,""",""?00;"",""?-00;"",""?00;"", //"""),"'","""")&amp;SUBSTITUTE(TEXT(Overig!L548,""",""???0;"",""??-0;"",""???0;"", ///"""),"'","""")&amp;SUBSTITUTE(TEXT(Overig!M548,""",""?00;"",""?-00;"",""?00;"", //"""),"'","""")&amp;SUBSTITUTE(TEXT(IF(ISTEXT(Overig!N548),Overig!N548,10*Overig!N548),""",""????0;"",""???-0;"",""????0;"", ////"""),"'","""")&amp;SUBSTITUTE(TEXT(Overig!O548,""",""?00;"",""?-00;"",""?00;"", //"""),"'","""")&amp;SUBSTITUTE(TEXT(IF(ISTEXT(Overig!P548),Overig!P548,10*Overig!P548),""",""????0;"",""???-0;"",""????0;"", ////"""),"'","""")&amp;SUBSTITUTE(TEXT(Overig!Q548,""",""?00;"",""?-00;"",""?00;"", //"""),"'","""")&amp;SUBSTITUTE(TEXT(Overig!R548,""",""????0;"",""???-0;"",""????0;"", ////"""),"'","""")&amp;SUBSTITUTE(TEXT(Overig!S548,""",""?00;"",""?-00;"",""?00;"", //"""),"'","""")&amp;SUBSTITUTE(TEXT(IF(ISTEXT(Overig!T548),Overig!T548,10*Overig!T548),""",""????0;"",""???-0;"",""????0;"", ////"""),"'","""")&amp;SUBSTITUTE(TEXT(Overig!U548,""",""?00;"",""?-00;"",""?00;"", //"""),"'","""")&amp;SUBSTITUTE(TEXT(Overig!V548,""",""???0;"",""??-0;"",""???0;"", ///"""),"'","""")&amp;SUBSTITUTE(TEXT(Overig!W548,""",""?00;"",""?-00;"",""?00;"", //"""),"'","""")</f>
        <v>032, 19400516, 17.00, 7577, 00,  275, 00, ////, 07, ////, 07,  75, 00,  206, 00,  240, 00,   65, 00,    6, 00,   4, 00</v>
      </c>
    </row>
    <row r="549" spans="1:1" x14ac:dyDescent="0.25">
      <c r="A549" s="12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//"""),"'","""")&amp;SUBSTITUTE(TEXT(IF(ISTEXT(Overig!J549),Overig!J549,10*Overig!J549),""",""????0;"",""???-0;"",""????0;"", ////"""),"'","""")&amp;SUBSTITUTE(TEXT(Overig!K549,""",""?00;"",""?-00;"",""?00;"", //"""),"'","""")&amp;SUBSTITUTE(TEXT(Overig!L549,""",""???0;"",""??-0;"",""???0;"", ///"""),"'","""")&amp;SUBSTITUTE(TEXT(Overig!M549,""",""?00;"",""?-00;"",""?00;"", //"""),"'","""")&amp;SUBSTITUTE(TEXT(IF(ISTEXT(Overig!N549),Overig!N549,10*Overig!N549),""",""????0;"",""???-0;"",""????0;"", ////"""),"'","""")&amp;SUBSTITUTE(TEXT(Overig!O549,""",""?00;"",""?-00;"",""?00;"", //"""),"'","""")&amp;SUBSTITUTE(TEXT(IF(ISTEXT(Overig!P549),Overig!P549,10*Overig!P549),""",""????0;"",""???-0;"",""????0;"", ////"""),"'","""")&amp;SUBSTITUTE(TEXT(Overig!Q549,""",""?00;"",""?-00;"",""?00;"", //"""),"'","""")&amp;SUBSTITUTE(TEXT(Overig!R549,""",""????0;"",""???-0;"",""????0;"", ////"""),"'","""")&amp;SUBSTITUTE(TEXT(Overig!S549,""",""?00;"",""?-00;"",""?00;"", //"""),"'","""")&amp;SUBSTITUTE(TEXT(IF(ISTEXT(Overig!T549),Overig!T549,10*Overig!T549),""",""????0;"",""???-0;"",""????0;"", ////"""),"'","""")&amp;SUBSTITUTE(TEXT(Overig!U549,""",""?00;"",""?-00;"",""?00;"", //"""),"'","""")&amp;SUBSTITUTE(TEXT(Overig!V549,""",""???0;"",""??-0;"",""???0;"", ///"""),"'","""")&amp;SUBSTITUTE(TEXT(Overig!W549,""",""?00;"",""?-00;"",""?00;"", //"""),"'","""")</f>
        <v>032, 19400516, 24.00, ////, 07, ////, 07,  315, 00,  321, 00, ///, 07, ////, 07, ////, 07, ////, 07, ////, 07, ///, 07</v>
      </c>
    </row>
    <row r="550" spans="1:1" x14ac:dyDescent="0.25">
      <c r="A550" s="12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//"""),"'","""")&amp;SUBSTITUTE(TEXT(IF(ISTEXT(Overig!J550),Overig!J550,10*Overig!J550),""",""????0;"",""???-0;"",""????0;"", ////"""),"'","""")&amp;SUBSTITUTE(TEXT(Overig!K550,""",""?00;"",""?-00;"",""?00;"", //"""),"'","""")&amp;SUBSTITUTE(TEXT(Overig!L550,""",""???0;"",""??-0;"",""???0;"", ///"""),"'","""")&amp;SUBSTITUTE(TEXT(Overig!M550,""",""?00;"",""?-00;"",""?00;"", //"""),"'","""")&amp;SUBSTITUTE(TEXT(IF(ISTEXT(Overig!N550),Overig!N550,10*Overig!N550),""",""????0;"",""???-0;"",""????0;"", ////"""),"'","""")&amp;SUBSTITUTE(TEXT(Overig!O550,""",""?00;"",""?-00;"",""?00;"", //"""),"'","""")&amp;SUBSTITUTE(TEXT(IF(ISTEXT(Overig!P550),Overig!P550,10*Overig!P550),""",""????0;"",""???-0;"",""????0;"", ////"""),"'","""")&amp;SUBSTITUTE(TEXT(Overig!Q550,""",""?00;"",""?-00;"",""?00;"", //"""),"'","""")&amp;SUBSTITUTE(TEXT(Overig!R550,""",""????0;"",""???-0;"",""????0;"", ////"""),"'","""")&amp;SUBSTITUTE(TEXT(Overig!S550,""",""?00;"",""?-00;"",""?00;"", //"""),"'","""")&amp;SUBSTITUTE(TEXT(IF(ISTEXT(Overig!T550),Overig!T550,10*Overig!T550),""",""????0;"",""???-0;"",""????0;"", ////"""),"'","""")&amp;SUBSTITUTE(TEXT(Overig!U550,""",""?00;"",""?-00;"",""?00;"", //"""),"'","""")&amp;SUBSTITUTE(TEXT(Overig!V550,""",""???0;"",""??-0;"",""???0;"", ///"""),"'","""")&amp;SUBSTITUTE(TEXT(Overig!W550,""",""?00;"",""?-00;"",""?00;"", //"""),"'","""")</f>
        <v>032, 19400517, 07.00, 7577, 00,  285, 00, ////, 07, ////, 07,  65, 00,  190, 00,  234, 00,   65, 00,    4, 00,   3, 00</v>
      </c>
    </row>
    <row r="551" spans="1:1" x14ac:dyDescent="0.25">
      <c r="A551" s="12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//"""),"'","""")&amp;SUBSTITUTE(TEXT(IF(ISTEXT(Overig!J551),Overig!J551,10*Overig!J551),""",""????0;"",""???-0;"",""????0;"", ////"""),"'","""")&amp;SUBSTITUTE(TEXT(Overig!K551,""",""?00;"",""?-00;"",""?00;"", //"""),"'","""")&amp;SUBSTITUTE(TEXT(Overig!L551,""",""???0;"",""??-0;"",""???0;"", ///"""),"'","""")&amp;SUBSTITUTE(TEXT(Overig!M551,""",""?00;"",""?-00;"",""?00;"", //"""),"'","""")&amp;SUBSTITUTE(TEXT(IF(ISTEXT(Overig!N551),Overig!N551,10*Overig!N551),""",""????0;"",""???-0;"",""????0;"", ////"""),"'","""")&amp;SUBSTITUTE(TEXT(Overig!O551,""",""?00;"",""?-00;"",""?00;"", //"""),"'","""")&amp;SUBSTITUTE(TEXT(IF(ISTEXT(Overig!P551),Overig!P551,10*Overig!P551),""",""????0;"",""???-0;"",""????0;"", ////"""),"'","""")&amp;SUBSTITUTE(TEXT(Overig!Q551,""",""?00;"",""?-00;"",""?00;"", //"""),"'","""")&amp;SUBSTITUTE(TEXT(Overig!R551,""",""????0;"",""???-0;"",""????0;"", ////"""),"'","""")&amp;SUBSTITUTE(TEXT(Overig!S551,""",""?00;"",""?-00;"",""?00;"", //"""),"'","""")&amp;SUBSTITUTE(TEXT(IF(ISTEXT(Overig!T551),Overig!T551,10*Overig!T551),""",""????0;"",""???-0;"",""????0;"", ////"""),"'","""")&amp;SUBSTITUTE(TEXT(Overig!U551,""",""?00;"",""?-00;"",""?00;"", //"""),"'","""")&amp;SUBSTITUTE(TEXT(Overig!V551,""",""???0;"",""??-0;"",""???0;"", ///"""),"'","""")&amp;SUBSTITUTE(TEXT(Overig!W551,""",""?00;"",""?-00;"",""?00;"", //"""),"'","""")</f>
        <v>032, 19400517, 12.00, 7554, 00,  289, 00, ////, 07, ////, 07,  64, 00,  192, 00,  236, 00,   65, 00,    5, 00,   3, 00</v>
      </c>
    </row>
    <row r="552" spans="1:1" x14ac:dyDescent="0.25">
      <c r="A552" s="12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//"""),"'","""")&amp;SUBSTITUTE(TEXT(IF(ISTEXT(Overig!J552),Overig!J552,10*Overig!J552),""",""????0;"",""???-0;"",""????0;"", ////"""),"'","""")&amp;SUBSTITUTE(TEXT(Overig!K552,""",""?00;"",""?-00;"",""?00;"", //"""),"'","""")&amp;SUBSTITUTE(TEXT(Overig!L552,""",""???0;"",""??-0;"",""???0;"", ///"""),"'","""")&amp;SUBSTITUTE(TEXT(Overig!M552,""",""?00;"",""?-00;"",""?00;"", //"""),"'","""")&amp;SUBSTITUTE(TEXT(IF(ISTEXT(Overig!N552),Overig!N552,10*Overig!N552),""",""????0;"",""???-0;"",""????0;"", ////"""),"'","""")&amp;SUBSTITUTE(TEXT(Overig!O552,""",""?00;"",""?-00;"",""?00;"", //"""),"'","""")&amp;SUBSTITUTE(TEXT(IF(ISTEXT(Overig!P552),Overig!P552,10*Overig!P552),""",""????0;"",""???-0;"",""????0;"", ////"""),"'","""")&amp;SUBSTITUTE(TEXT(Overig!Q552,""",""?00;"",""?-00;"",""?00;"", //"""),"'","""")&amp;SUBSTITUTE(TEXT(Overig!R552,""",""????0;"",""???-0;"",""????0;"", ////"""),"'","""")&amp;SUBSTITUTE(TEXT(Overig!S552,""",""?00;"",""?-00;"",""?00;"", //"""),"'","""")&amp;SUBSTITUTE(TEXT(IF(ISTEXT(Overig!T552),Overig!T552,10*Overig!T552),""",""????0;"",""???-0;"",""????0;"", ////"""),"'","""")&amp;SUBSTITUTE(TEXT(Overig!U552,""",""?00;"",""?-00;"",""?00;"", //"""),"'","""")&amp;SUBSTITUTE(TEXT(Overig!V552,""",""???0;"",""??-0;"",""???0;"", ///"""),"'","""")&amp;SUBSTITUTE(TEXT(Overig!W552,""",""?00;"",""?-00;"",""?00;"", //"""),"'","""")</f>
        <v>032, 19400517, 17.00, 7557, 00,  273, 00, ////, 07, ////, 07,  69, 00,  189, 00,  230, 00,   65, 00,    5, 00,   4, 00</v>
      </c>
    </row>
    <row r="553" spans="1:1" x14ac:dyDescent="0.25">
      <c r="A553" s="12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//"""),"'","""")&amp;SUBSTITUTE(TEXT(IF(ISTEXT(Overig!J553),Overig!J553,10*Overig!J553),""",""????0;"",""???-0;"",""????0;"", ////"""),"'","""")&amp;SUBSTITUTE(TEXT(Overig!K553,""",""?00;"",""?-00;"",""?00;"", //"""),"'","""")&amp;SUBSTITUTE(TEXT(Overig!L553,""",""???0;"",""??-0;"",""???0;"", ///"""),"'","""")&amp;SUBSTITUTE(TEXT(Overig!M553,""",""?00;"",""?-00;"",""?00;"", //"""),"'","""")&amp;SUBSTITUTE(TEXT(IF(ISTEXT(Overig!N553),Overig!N553,10*Overig!N553),""",""????0;"",""???-0;"",""????0;"", ////"""),"'","""")&amp;SUBSTITUTE(TEXT(Overig!O553,""",""?00;"",""?-00;"",""?00;"", //"""),"'","""")&amp;SUBSTITUTE(TEXT(IF(ISTEXT(Overig!P553),Overig!P553,10*Overig!P553),""",""????0;"",""???-0;"",""????0;"", ////"""),"'","""")&amp;SUBSTITUTE(TEXT(Overig!Q553,""",""?00;"",""?-00;"",""?00;"", //"""),"'","""")&amp;SUBSTITUTE(TEXT(Overig!R553,""",""????0;"",""???-0;"",""????0;"", ////"""),"'","""")&amp;SUBSTITUTE(TEXT(Overig!S553,""",""?00;"",""?-00;"",""?00;"", //"""),"'","""")&amp;SUBSTITUTE(TEXT(IF(ISTEXT(Overig!T553),Overig!T553,10*Overig!T553),""",""????0;"",""???-0;"",""????0;"", ////"""),"'","""")&amp;SUBSTITUTE(TEXT(Overig!U553,""",""?00;"",""?-00;"",""?00;"", //"""),"'","""")&amp;SUBSTITUTE(TEXT(Overig!V553,""",""???0;"",""??-0;"",""???0;"", ///"""),"'","""")&amp;SUBSTITUTE(TEXT(Overig!W553,""",""?00;"",""?-00;"",""?00;"", //"""),"'","""")</f>
        <v>032, 19400517, 24.00, ////, 07, ////, 07,  298, 00,  314, 00, ///, 07, ////, 07, ////, 07, ////, 07, ////, 07, ///, 07</v>
      </c>
    </row>
    <row r="554" spans="1:1" x14ac:dyDescent="0.25">
      <c r="A554" s="12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//"""),"'","""")&amp;SUBSTITUTE(TEXT(IF(ISTEXT(Overig!J554),Overig!J554,10*Overig!J554),""",""????0;"",""???-0;"",""????0;"", ////"""),"'","""")&amp;SUBSTITUTE(TEXT(Overig!K554,""",""?00;"",""?-00;"",""?00;"", //"""),"'","""")&amp;SUBSTITUTE(TEXT(Overig!L554,""",""???0;"",""??-0;"",""???0;"", ///"""),"'","""")&amp;SUBSTITUTE(TEXT(Overig!M554,""",""?00;"",""?-00;"",""?00;"", //"""),"'","""")&amp;SUBSTITUTE(TEXT(IF(ISTEXT(Overig!N554),Overig!N554,10*Overig!N554),""",""????0;"",""???-0;"",""????0;"", ////"""),"'","""")&amp;SUBSTITUTE(TEXT(Overig!O554,""",""?00;"",""?-00;"",""?00;"", //"""),"'","""")&amp;SUBSTITUTE(TEXT(IF(ISTEXT(Overig!P554),Overig!P554,10*Overig!P554),""",""????0;"",""???-0;"",""????0;"", ////"""),"'","""")&amp;SUBSTITUTE(TEXT(Overig!Q554,""",""?00;"",""?-00;"",""?00;"", //"""),"'","""")&amp;SUBSTITUTE(TEXT(Overig!R554,""",""????0;"",""???-0;"",""????0;"", ////"""),"'","""")&amp;SUBSTITUTE(TEXT(Overig!S554,""",""?00;"",""?-00;"",""?00;"", //"""),"'","""")&amp;SUBSTITUTE(TEXT(IF(ISTEXT(Overig!T554),Overig!T554,10*Overig!T554),""",""????0;"",""???-0;"",""????0;"", ////"""),"'","""")&amp;SUBSTITUTE(TEXT(Overig!U554,""",""?00;"",""?-00;"",""?00;"", //"""),"'","""")&amp;SUBSTITUTE(TEXT(Overig!V554,""",""???0;"",""??-0;"",""???0;"", ///"""),"'","""")&amp;SUBSTITUTE(TEXT(Overig!W554,""",""?00;"",""?-00;"",""?00;"", //"""),"'","""")</f>
        <v>032, 19400518, 07.00, 7572, 00,  291, 00, ////, 07, ////, 07,  72, 00,  217, 00,  250, 00,   65, 00,    3, 00,   3, 00</v>
      </c>
    </row>
    <row r="555" spans="1:1" x14ac:dyDescent="0.25">
      <c r="A555" s="12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//"""),"'","""")&amp;SUBSTITUTE(TEXT(IF(ISTEXT(Overig!J555),Overig!J555,10*Overig!J555),""",""????0;"",""???-0;"",""????0;"", ////"""),"'","""")&amp;SUBSTITUTE(TEXT(Overig!K555,""",""?00;"",""?-00;"",""?00;"", //"""),"'","""")&amp;SUBSTITUTE(TEXT(Overig!L555,""",""???0;"",""??-0;"",""???0;"", ///"""),"'","""")&amp;SUBSTITUTE(TEXT(Overig!M555,""",""?00;"",""?-00;"",""?00;"", //"""),"'","""")&amp;SUBSTITUTE(TEXT(IF(ISTEXT(Overig!N555),Overig!N555,10*Overig!N555),""",""????0;"",""???-0;"",""????0;"", ////"""),"'","""")&amp;SUBSTITUTE(TEXT(Overig!O555,""",""?00;"",""?-00;"",""?00;"", //"""),"'","""")&amp;SUBSTITUTE(TEXT(IF(ISTEXT(Overig!P555),Overig!P555,10*Overig!P555),""",""????0;"",""???-0;"",""????0;"", ////"""),"'","""")&amp;SUBSTITUTE(TEXT(Overig!Q555,""",""?00;"",""?-00;"",""?00;"", //"""),"'","""")&amp;SUBSTITUTE(TEXT(Overig!R555,""",""????0;"",""???-0;"",""????0;"", ////"""),"'","""")&amp;SUBSTITUTE(TEXT(Overig!S555,""",""?00;"",""?-00;"",""?00;"", //"""),"'","""")&amp;SUBSTITUTE(TEXT(IF(ISTEXT(Overig!T555),Overig!T555,10*Overig!T555),""",""????0;"",""???-0;"",""????0;"", ////"""),"'","""")&amp;SUBSTITUTE(TEXT(Overig!U555,""",""?00;"",""?-00;"",""?00;"", //"""),"'","""")&amp;SUBSTITUTE(TEXT(Overig!V555,""",""???0;"",""??-0;"",""???0;"", ///"""),"'","""")&amp;SUBSTITUTE(TEXT(Overig!W555,""",""?00;"",""?-00;"",""?00;"", //"""),"'","""")</f>
        <v>032, 19400518, 12.00, 7579, 00,  293, 00, ////, 07, ////, 07,  62, 00,  190, 00,  236, 00,   65, 00,    4, 00,   4, 00</v>
      </c>
    </row>
    <row r="556" spans="1:1" x14ac:dyDescent="0.25">
      <c r="A556" s="12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//"""),"'","""")&amp;SUBSTITUTE(TEXT(IF(ISTEXT(Overig!J556),Overig!J556,10*Overig!J556),""",""????0;"",""???-0;"",""????0;"", ////"""),"'","""")&amp;SUBSTITUTE(TEXT(Overig!K556,""",""?00;"",""?-00;"",""?00;"", //"""),"'","""")&amp;SUBSTITUTE(TEXT(Overig!L556,""",""???0;"",""??-0;"",""???0;"", ///"""),"'","""")&amp;SUBSTITUTE(TEXT(Overig!M556,""",""?00;"",""?-00;"",""?00;"", //"""),"'","""")&amp;SUBSTITUTE(TEXT(IF(ISTEXT(Overig!N556),Overig!N556,10*Overig!N556),""",""????0;"",""???-0;"",""????0;"", ////"""),"'","""")&amp;SUBSTITUTE(TEXT(Overig!O556,""",""?00;"",""?-00;"",""?00;"", //"""),"'","""")&amp;SUBSTITUTE(TEXT(IF(ISTEXT(Overig!P556),Overig!P556,10*Overig!P556),""",""????0;"",""???-0;"",""????0;"", ////"""),"'","""")&amp;SUBSTITUTE(TEXT(Overig!Q556,""",""?00;"",""?-00;"",""?00;"", //"""),"'","""")&amp;SUBSTITUTE(TEXT(Overig!R556,""",""????0;"",""???-0;"",""????0;"", ////"""),"'","""")&amp;SUBSTITUTE(TEXT(Overig!S556,""",""?00;"",""?-00;"",""?00;"", //"""),"'","""")&amp;SUBSTITUTE(TEXT(IF(ISTEXT(Overig!T556),Overig!T556,10*Overig!T556),""",""????0;"",""???-0;"",""????0;"", ////"""),"'","""")&amp;SUBSTITUTE(TEXT(Overig!U556,""",""?00;"",""?-00;"",""?00;"", //"""),"'","""")&amp;SUBSTITUTE(TEXT(Overig!V556,""",""???0;"",""??-0;"",""???0;"", ///"""),"'","""")&amp;SUBSTITUTE(TEXT(Overig!W556,""",""?00;"",""?-00;"",""?00;"", //"""),"'","""")</f>
        <v>032, 19400518, 17.00, 7574, 00,  289, 00, ////, 07, ////, 07,  60, 00,  181, 00,  230, 00,   65, 00,    4, 00,   3, 00</v>
      </c>
    </row>
    <row r="557" spans="1:1" x14ac:dyDescent="0.25">
      <c r="A557" s="12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//"""),"'","""")&amp;SUBSTITUTE(TEXT(IF(ISTEXT(Overig!J557),Overig!J557,10*Overig!J557),""",""????0;"",""???-0;"",""????0;"", ////"""),"'","""")&amp;SUBSTITUTE(TEXT(Overig!K557,""",""?00;"",""?-00;"",""?00;"", //"""),"'","""")&amp;SUBSTITUTE(TEXT(Overig!L557,""",""???0;"",""??-0;"",""???0;"", ///"""),"'","""")&amp;SUBSTITUTE(TEXT(Overig!M557,""",""?00;"",""?-00;"",""?00;"", //"""),"'","""")&amp;SUBSTITUTE(TEXT(IF(ISTEXT(Overig!N557),Overig!N557,10*Overig!N557),""",""????0;"",""???-0;"",""????0;"", ////"""),"'","""")&amp;SUBSTITUTE(TEXT(Overig!O557,""",""?00;"",""?-00;"",""?00;"", //"""),"'","""")&amp;SUBSTITUTE(TEXT(IF(ISTEXT(Overig!P557),Overig!P557,10*Overig!P557),""",""????0;"",""???-0;"",""????0;"", ////"""),"'","""")&amp;SUBSTITUTE(TEXT(Overig!Q557,""",""?00;"",""?-00;"",""?00;"", //"""),"'","""")&amp;SUBSTITUTE(TEXT(Overig!R557,""",""????0;"",""???-0;"",""????0;"", ////"""),"'","""")&amp;SUBSTITUTE(TEXT(Overig!S557,""",""?00;"",""?-00;"",""?00;"", //"""),"'","""")&amp;SUBSTITUTE(TEXT(IF(ISTEXT(Overig!T557),Overig!T557,10*Overig!T557),""",""????0;"",""???-0;"",""????0;"", ////"""),"'","""")&amp;SUBSTITUTE(TEXT(Overig!U557,""",""?00;"",""?-00;"",""?00;"", //"""),"'","""")&amp;SUBSTITUTE(TEXT(Overig!V557,""",""???0;"",""??-0;"",""???0;"", ///"""),"'","""")&amp;SUBSTITUTE(TEXT(Overig!W557,""",""?00;"",""?-00;"",""?00;"", //"""),"'","""")</f>
        <v>032, 19400518, 24.00, ////, 07, ////, 07,  293, 00,  305, 00, ///, 07, ////, 07, ////, 07, ////, 07, ////, 07, ///, 07</v>
      </c>
    </row>
    <row r="558" spans="1:1" x14ac:dyDescent="0.25">
      <c r="A558" s="12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//"""),"'","""")&amp;SUBSTITUTE(TEXT(IF(ISTEXT(Overig!J558),Overig!J558,10*Overig!J558),""",""????0;"",""???-0;"",""????0;"", ////"""),"'","""")&amp;SUBSTITUTE(TEXT(Overig!K558,""",""?00;"",""?-00;"",""?00;"", //"""),"'","""")&amp;SUBSTITUTE(TEXT(Overig!L558,""",""???0;"",""??-0;"",""???0;"", ///"""),"'","""")&amp;SUBSTITUTE(TEXT(Overig!M558,""",""?00;"",""?-00;"",""?00;"", //"""),"'","""")&amp;SUBSTITUTE(TEXT(IF(ISTEXT(Overig!N558),Overig!N558,10*Overig!N558),""",""????0;"",""???-0;"",""????0;"", ////"""),"'","""")&amp;SUBSTITUTE(TEXT(Overig!O558,""",""?00;"",""?-00;"",""?00;"", //"""),"'","""")&amp;SUBSTITUTE(TEXT(IF(ISTEXT(Overig!P558),Overig!P558,10*Overig!P558),""",""????0;"",""???-0;"",""????0;"", ////"""),"'","""")&amp;SUBSTITUTE(TEXT(Overig!Q558,""",""?00;"",""?-00;"",""?00;"", //"""),"'","""")&amp;SUBSTITUTE(TEXT(Overig!R558,""",""????0;"",""???-0;"",""????0;"", ////"""),"'","""")&amp;SUBSTITUTE(TEXT(Overig!S558,""",""?00;"",""?-00;"",""?00;"", //"""),"'","""")&amp;SUBSTITUTE(TEXT(IF(ISTEXT(Overig!T558),Overig!T558,10*Overig!T558),""",""????0;"",""???-0;"",""????0;"", ////"""),"'","""")&amp;SUBSTITUTE(TEXT(Overig!U558,""",""?00;"",""?-00;"",""?00;"", //"""),"'","""")&amp;SUBSTITUTE(TEXT(Overig!V558,""",""???0;"",""??-0;"",""???0;"", ///"""),"'","""")&amp;SUBSTITUTE(TEXT(Overig!W558,""",""?00;"",""?-00;"",""?00;"", //"""),"'","""")</f>
        <v>032, 19400519, 07.00, 7569, 00,  267, 00, ////, 07, ////, 07,  79, 00,  207, 00,  238, 00,   65, 00,    2, 00,   3, 00</v>
      </c>
    </row>
    <row r="559" spans="1:1" x14ac:dyDescent="0.25">
      <c r="A559" s="12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//"""),"'","""")&amp;SUBSTITUTE(TEXT(IF(ISTEXT(Overig!J559),Overig!J559,10*Overig!J559),""",""????0;"",""???-0;"",""????0;"", ////"""),"'","""")&amp;SUBSTITUTE(TEXT(Overig!K559,""",""?00;"",""?-00;"",""?00;"", //"""),"'","""")&amp;SUBSTITUTE(TEXT(Overig!L559,""",""???0;"",""??-0;"",""???0;"", ///"""),"'","""")&amp;SUBSTITUTE(TEXT(Overig!M559,""",""?00;"",""?-00;"",""?00;"", //"""),"'","""")&amp;SUBSTITUTE(TEXT(IF(ISTEXT(Overig!N559),Overig!N559,10*Overig!N559),""",""????0;"",""???-0;"",""????0;"", ////"""),"'","""")&amp;SUBSTITUTE(TEXT(Overig!O559,""",""?00;"",""?-00;"",""?00;"", //"""),"'","""")&amp;SUBSTITUTE(TEXT(IF(ISTEXT(Overig!P559),Overig!P559,10*Overig!P559),""",""????0;"",""???-0;"",""????0;"", ////"""),"'","""")&amp;SUBSTITUTE(TEXT(Overig!Q559,""",""?00;"",""?-00;"",""?00;"", //"""),"'","""")&amp;SUBSTITUTE(TEXT(Overig!R559,""",""????0;"",""???-0;"",""????0;"", ////"""),"'","""")&amp;SUBSTITUTE(TEXT(Overig!S559,""",""?00;"",""?-00;"",""?00;"", //"""),"'","""")&amp;SUBSTITUTE(TEXT(IF(ISTEXT(Overig!T559),Overig!T559,10*Overig!T559),""",""????0;"",""???-0;"",""????0;"", ////"""),"'","""")&amp;SUBSTITUTE(TEXT(Overig!U559,""",""?00;"",""?-00;"",""?00;"", //"""),"'","""")&amp;SUBSTITUTE(TEXT(Overig!V559,""",""???0;"",""??-0;"",""???0;"", ///"""),"'","""")&amp;SUBSTITUTE(TEXT(Overig!W559,""",""?00;"",""?-00;"",""?00;"", //"""),"'","""")</f>
        <v>032, 19400519, 12.00, 7567, 00,  273, 00, ////, 07, ////, 07,  79, 00,  215, 00,  244, 00,   65, 00,    3, 00,   2, 00</v>
      </c>
    </row>
    <row r="560" spans="1:1" x14ac:dyDescent="0.25">
      <c r="A560" s="12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//"""),"'","""")&amp;SUBSTITUTE(TEXT(IF(ISTEXT(Overig!J560),Overig!J560,10*Overig!J560),""",""????0;"",""???-0;"",""????0;"", ////"""),"'","""")&amp;SUBSTITUTE(TEXT(Overig!K560,""",""?00;"",""?-00;"",""?00;"", //"""),"'","""")&amp;SUBSTITUTE(TEXT(Overig!L560,""",""???0;"",""??-0;"",""???0;"", ///"""),"'","""")&amp;SUBSTITUTE(TEXT(Overig!M560,""",""?00;"",""?-00;"",""?00;"", //"""),"'","""")&amp;SUBSTITUTE(TEXT(IF(ISTEXT(Overig!N560),Overig!N560,10*Overig!N560),""",""????0;"",""???-0;"",""????0;"", ////"""),"'","""")&amp;SUBSTITUTE(TEXT(Overig!O560,""",""?00;"",""?-00;"",""?00;"", //"""),"'","""")&amp;SUBSTITUTE(TEXT(IF(ISTEXT(Overig!P560),Overig!P560,10*Overig!P560),""",""????0;"",""???-0;"",""????0;"", ////"""),"'","""")&amp;SUBSTITUTE(TEXT(Overig!Q560,""",""?00;"",""?-00;"",""?00;"", //"""),"'","""")&amp;SUBSTITUTE(TEXT(Overig!R560,""",""????0;"",""???-0;"",""????0;"", ////"""),"'","""")&amp;SUBSTITUTE(TEXT(Overig!S560,""",""?00;"",""?-00;"",""?00;"", //"""),"'","""")&amp;SUBSTITUTE(TEXT(IF(ISTEXT(Overig!T560),Overig!T560,10*Overig!T560),""",""????0;"",""???-0;"",""????0;"", ////"""),"'","""")&amp;SUBSTITUTE(TEXT(Overig!U560,""",""?00;"",""?-00;"",""?00;"", //"""),"'","""")&amp;SUBSTITUTE(TEXT(Overig!V560,""",""???0;"",""??-0;"",""???0;"", ///"""),"'","""")&amp;SUBSTITUTE(TEXT(Overig!W560,""",""?00;"",""?-00;"",""?00;"", //"""),"'","""")</f>
        <v>032, 19400519, 17.00, 7544, 00,  270, 00, ////, 07, ////, 07,  75, 00,  201, 00,  236, 00,   65, 00,    3, 00,   4, 00</v>
      </c>
    </row>
    <row r="561" spans="1:1" x14ac:dyDescent="0.25">
      <c r="A561" s="12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//"""),"'","""")&amp;SUBSTITUTE(TEXT(IF(ISTEXT(Overig!J561),Overig!J561,10*Overig!J561),""",""????0;"",""???-0;"",""????0;"", ////"""),"'","""")&amp;SUBSTITUTE(TEXT(Overig!K561,""",""?00;"",""?-00;"",""?00;"", //"""),"'","""")&amp;SUBSTITUTE(TEXT(Overig!L561,""",""???0;"",""??-0;"",""???0;"", ///"""),"'","""")&amp;SUBSTITUTE(TEXT(Overig!M561,""",""?00;"",""?-00;"",""?00;"", //"""),"'","""")&amp;SUBSTITUTE(TEXT(IF(ISTEXT(Overig!N561),Overig!N561,10*Overig!N561),""",""????0;"",""???-0;"",""????0;"", ////"""),"'","""")&amp;SUBSTITUTE(TEXT(Overig!O561,""",""?00;"",""?-00;"",""?00;"", //"""),"'","""")&amp;SUBSTITUTE(TEXT(IF(ISTEXT(Overig!P561),Overig!P561,10*Overig!P561),""",""????0;"",""???-0;"",""????0;"", ////"""),"'","""")&amp;SUBSTITUTE(TEXT(Overig!Q561,""",""?00;"",""?-00;"",""?00;"", //"""),"'","""")&amp;SUBSTITUTE(TEXT(Overig!R561,""",""????0;"",""???-0;"",""????0;"", ////"""),"'","""")&amp;SUBSTITUTE(TEXT(Overig!S561,""",""?00;"",""?-00;"",""?00;"", //"""),"'","""")&amp;SUBSTITUTE(TEXT(IF(ISTEXT(Overig!T561),Overig!T561,10*Overig!T561),""",""????0;"",""???-0;"",""????0;"", ////"""),"'","""")&amp;SUBSTITUTE(TEXT(Overig!U561,""",""?00;"",""?-00;"",""?00;"", //"""),"'","""")&amp;SUBSTITUTE(TEXT(Overig!V561,""",""???0;"",""??-0;"",""???0;"", ///"""),"'","""")&amp;SUBSTITUTE(TEXT(Overig!W561,""",""?00;"",""?-00;"",""?00;"", //"""),"'","""")</f>
        <v>032, 19400519, 24.00, ////, 07, ////, 07,  258, 00,  270, 00, ///, 07, ////, 07, ////, 07, ////, 07, ////, 07, ///, 07</v>
      </c>
    </row>
    <row r="562" spans="1:1" x14ac:dyDescent="0.25">
      <c r="A562" s="12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//"""),"'","""")&amp;SUBSTITUTE(TEXT(IF(ISTEXT(Overig!J562),Overig!J562,10*Overig!J562),""",""????0;"",""???-0;"",""????0;"", ////"""),"'","""")&amp;SUBSTITUTE(TEXT(Overig!K562,""",""?00;"",""?-00;"",""?00;"", //"""),"'","""")&amp;SUBSTITUTE(TEXT(Overig!L562,""",""???0;"",""??-0;"",""???0;"", ///"""),"'","""")&amp;SUBSTITUTE(TEXT(Overig!M562,""",""?00;"",""?-00;"",""?00;"", //"""),"'","""")&amp;SUBSTITUTE(TEXT(IF(ISTEXT(Overig!N562),Overig!N562,10*Overig!N562),""",""????0;"",""???-0;"",""????0;"", ////"""),"'","""")&amp;SUBSTITUTE(TEXT(Overig!O562,""",""?00;"",""?-00;"",""?00;"", //"""),"'","""")&amp;SUBSTITUTE(TEXT(IF(ISTEXT(Overig!P562),Overig!P562,10*Overig!P562),""",""????0;"",""???-0;"",""????0;"", ////"""),"'","""")&amp;SUBSTITUTE(TEXT(Overig!Q562,""",""?00;"",""?-00;"",""?00;"", //"""),"'","""")&amp;SUBSTITUTE(TEXT(Overig!R562,""",""????0;"",""???-0;"",""????0;"", ////"""),"'","""")&amp;SUBSTITUTE(TEXT(Overig!S562,""",""?00;"",""?-00;"",""?00;"", //"""),"'","""")&amp;SUBSTITUTE(TEXT(IF(ISTEXT(Overig!T562),Overig!T562,10*Overig!T562),""",""????0;"",""???-0;"",""????0;"", ////"""),"'","""")&amp;SUBSTITUTE(TEXT(Overig!U562,""",""?00;"",""?-00;"",""?00;"", //"""),"'","""")&amp;SUBSTITUTE(TEXT(Overig!V562,""",""???0;"",""??-0;"",""???0;"", ///"""),"'","""")&amp;SUBSTITUTE(TEXT(Overig!W562,""",""?00;"",""?-00;"",""?00;"", //"""),"'","""")</f>
        <v>032, 19400520, 07.00, 7569, 00,  270, 00, ////, 07, ////, 07,  87, 00,  231, 00,  252, 00,    0, 00,    1, 00,   8, 00</v>
      </c>
    </row>
    <row r="563" spans="1:1" x14ac:dyDescent="0.25">
      <c r="A563" s="12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//"""),"'","""")&amp;SUBSTITUTE(TEXT(IF(ISTEXT(Overig!J563),Overig!J563,10*Overig!J563),""",""????0;"",""???-0;"",""????0;"", ////"""),"'","""")&amp;SUBSTITUTE(TEXT(Overig!K563,""",""?00;"",""?-00;"",""?00;"", //"""),"'","""")&amp;SUBSTITUTE(TEXT(Overig!L563,""",""???0;"",""??-0;"",""???0;"", ///"""),"'","""")&amp;SUBSTITUTE(TEXT(Overig!M563,""",""?00;"",""?-00;"",""?00;"", //"""),"'","""")&amp;SUBSTITUTE(TEXT(IF(ISTEXT(Overig!N563),Overig!N563,10*Overig!N563),""",""????0;"",""???-0;"",""????0;"", ////"""),"'","""")&amp;SUBSTITUTE(TEXT(Overig!O563,""",""?00;"",""?-00;"",""?00;"", //"""),"'","""")&amp;SUBSTITUTE(TEXT(IF(ISTEXT(Overig!P563),Overig!P563,10*Overig!P563),""",""????0;"",""???-0;"",""????0;"", ////"""),"'","""")&amp;SUBSTITUTE(TEXT(Overig!Q563,""",""?00;"",""?-00;"",""?00;"", //"""),"'","""")&amp;SUBSTITUTE(TEXT(Overig!R563,""",""????0;"",""???-0;"",""????0;"", ////"""),"'","""")&amp;SUBSTITUTE(TEXT(Overig!S563,""",""?00;"",""?-00;"",""?00;"", //"""),"'","""")&amp;SUBSTITUTE(TEXT(IF(ISTEXT(Overig!T563),Overig!T563,10*Overig!T563),""",""????0;"",""???-0;"",""????0;"", ////"""),"'","""")&amp;SUBSTITUTE(TEXT(Overig!U563,""",""?00;"",""?-00;"",""?00;"", //"""),"'","""")&amp;SUBSTITUTE(TEXT(Overig!V563,""",""???0;"",""??-0;"",""???0;"", ///"""),"'","""")&amp;SUBSTITUTE(TEXT(Overig!W563,""",""?00;"",""?-00;"",""?00;"", //"""),"'","""")</f>
        <v>032, 19400520, 12.00, 7574, 00,  276, 00, ////, 07, ////, 07,  87, 00,  240, 00,  258, 00,    0, 00,    1, 00,   9, 00</v>
      </c>
    </row>
    <row r="564" spans="1:1" x14ac:dyDescent="0.25">
      <c r="A564" s="12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//"""),"'","""")&amp;SUBSTITUTE(TEXT(IF(ISTEXT(Overig!J564),Overig!J564,10*Overig!J564),""",""????0;"",""???-0;"",""????0;"", ////"""),"'","""")&amp;SUBSTITUTE(TEXT(Overig!K564,""",""?00;"",""?-00;"",""?00;"", //"""),"'","""")&amp;SUBSTITUTE(TEXT(Overig!L564,""",""???0;"",""??-0;"",""???0;"", ///"""),"'","""")&amp;SUBSTITUTE(TEXT(Overig!M564,""",""?00;"",""?-00;"",""?00;"", //"""),"'","""")&amp;SUBSTITUTE(TEXT(IF(ISTEXT(Overig!N564),Overig!N564,10*Overig!N564),""",""????0;"",""???-0;"",""????0;"", ////"""),"'","""")&amp;SUBSTITUTE(TEXT(Overig!O564,""",""?00;"",""?-00;"",""?00;"", //"""),"'","""")&amp;SUBSTITUTE(TEXT(IF(ISTEXT(Overig!P564),Overig!P564,10*Overig!P564),""",""????0;"",""???-0;"",""????0;"", ////"""),"'","""")&amp;SUBSTITUTE(TEXT(Overig!Q564,""",""?00;"",""?-00;"",""?00;"", //"""),"'","""")&amp;SUBSTITUTE(TEXT(Overig!R564,""",""????0;"",""???-0;"",""????0;"", ////"""),"'","""")&amp;SUBSTITUTE(TEXT(Overig!S564,""",""?00;"",""?-00;"",""?00;"", //"""),"'","""")&amp;SUBSTITUTE(TEXT(IF(ISTEXT(Overig!T564),Overig!T564,10*Overig!T564),""",""????0;"",""???-0;"",""????0;"", ////"""),"'","""")&amp;SUBSTITUTE(TEXT(Overig!U564,""",""?00;"",""?-00;"",""?00;"", //"""),"'","""")&amp;SUBSTITUTE(TEXT(Overig!V564,""",""???0;"",""??-0;"",""???0;"", ///"""),"'","""")&amp;SUBSTITUTE(TEXT(Overig!W564,""",""?00;"",""?-00;"",""?00;"", //"""),"'","""")</f>
        <v>032, 19400520, 17.00, 7569, 00,  268, 00, ////, 07, ////, 07,  82, 00,  217, 00,  244, 00,    0, 00,    1, 00,   9, 00</v>
      </c>
    </row>
    <row r="565" spans="1:1" x14ac:dyDescent="0.25">
      <c r="A565" s="12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//"""),"'","""")&amp;SUBSTITUTE(TEXT(IF(ISTEXT(Overig!J565),Overig!J565,10*Overig!J565),""",""????0;"",""???-0;"",""????0;"", ////"""),"'","""")&amp;SUBSTITUTE(TEXT(Overig!K565,""",""?00;"",""?-00;"",""?00;"", //"""),"'","""")&amp;SUBSTITUTE(TEXT(Overig!L565,""",""???0;"",""??-0;"",""???0;"", ///"""),"'","""")&amp;SUBSTITUTE(TEXT(Overig!M565,""",""?00;"",""?-00;"",""?00;"", //"""),"'","""")&amp;SUBSTITUTE(TEXT(IF(ISTEXT(Overig!N565),Overig!N565,10*Overig!N565),""",""????0;"",""???-0;"",""????0;"", ////"""),"'","""")&amp;SUBSTITUTE(TEXT(Overig!O565,""",""?00;"",""?-00;"",""?00;"", //"""),"'","""")&amp;SUBSTITUTE(TEXT(IF(ISTEXT(Overig!P565),Overig!P565,10*Overig!P565),""",""????0;"",""???-0;"",""????0;"", ////"""),"'","""")&amp;SUBSTITUTE(TEXT(Overig!Q565,""",""?00;"",""?-00;"",""?00;"", //"""),"'","""")&amp;SUBSTITUTE(TEXT(Overig!R565,""",""????0;"",""???-0;"",""????0;"", ////"""),"'","""")&amp;SUBSTITUTE(TEXT(Overig!S565,""",""?00;"",""?-00;"",""?00;"", //"""),"'","""")&amp;SUBSTITUTE(TEXT(IF(ISTEXT(Overig!T565),Overig!T565,10*Overig!T565),""",""????0;"",""???-0;"",""????0;"", ////"""),"'","""")&amp;SUBSTITUTE(TEXT(Overig!U565,""",""?00;"",""?-00;"",""?00;"", //"""),"'","""")&amp;SUBSTITUTE(TEXT(Overig!V565,""",""???0;"",""??-0;"",""???0;"", ///"""),"'","""")&amp;SUBSTITUTE(TEXT(Overig!W565,""",""?00;"",""?-00;"",""?00;"", //"""),"'","""")</f>
        <v>032, 19400520, 24.00, ////, 07, ////, 07,  284, 00,  294, 00, ///, 07, ////, 07, ////, 07, ////, 07, ////, 07, ///, 07</v>
      </c>
    </row>
    <row r="566" spans="1:1" x14ac:dyDescent="0.25">
      <c r="A566" s="12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//"""),"'","""")&amp;SUBSTITUTE(TEXT(IF(ISTEXT(Overig!J566),Overig!J566,10*Overig!J566),""",""????0;"",""???-0;"",""????0;"", ////"""),"'","""")&amp;SUBSTITUTE(TEXT(Overig!K566,""",""?00;"",""?-00;"",""?00;"", //"""),"'","""")&amp;SUBSTITUTE(TEXT(Overig!L566,""",""???0;"",""??-0;"",""???0;"", ///"""),"'","""")&amp;SUBSTITUTE(TEXT(Overig!M566,""",""?00;"",""?-00;"",""?00;"", //"""),"'","""")&amp;SUBSTITUTE(TEXT(IF(ISTEXT(Overig!N566),Overig!N566,10*Overig!N566),""",""????0;"",""???-0;"",""????0;"", ////"""),"'","""")&amp;SUBSTITUTE(TEXT(Overig!O566,""",""?00;"",""?-00;"",""?00;"", //"""),"'","""")&amp;SUBSTITUTE(TEXT(IF(ISTEXT(Overig!P566),Overig!P566,10*Overig!P566),""",""????0;"",""???-0;"",""????0;"", ////"""),"'","""")&amp;SUBSTITUTE(TEXT(Overig!Q566,""",""?00;"",""?-00;"",""?00;"", //"""),"'","""")&amp;SUBSTITUTE(TEXT(Overig!R566,""",""????0;"",""???-0;"",""????0;"", ////"""),"'","""")&amp;SUBSTITUTE(TEXT(Overig!S566,""",""?00;"",""?-00;"",""?00;"", //"""),"'","""")&amp;SUBSTITUTE(TEXT(IF(ISTEXT(Overig!T566),Overig!T566,10*Overig!T566),""",""????0;"",""???-0;"",""????0;"", ////"""),"'","""")&amp;SUBSTITUTE(TEXT(Overig!U566,""",""?00;"",""?-00;"",""?00;"", //"""),"'","""")&amp;SUBSTITUTE(TEXT(Overig!V566,""",""???0;"",""??-0;"",""???0;"", ///"""),"'","""")&amp;SUBSTITUTE(TEXT(Overig!W566,""",""?00;"",""?-00;"",""?00;"", //"""),"'","""")</f>
        <v>032, 19400521, 07.00, 7582, 00,  271, 00, ////, 07, ////, 07,  83, 00,  223, 00,  248, 00,   45, 00,    1, 00,   7, 00</v>
      </c>
    </row>
    <row r="567" spans="1:1" x14ac:dyDescent="0.25">
      <c r="A567" s="12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//"""),"'","""")&amp;SUBSTITUTE(TEXT(IF(ISTEXT(Overig!J567),Overig!J567,10*Overig!J567),""",""????0;"",""???-0;"",""????0;"", ////"""),"'","""")&amp;SUBSTITUTE(TEXT(Overig!K567,""",""?00;"",""?-00;"",""?00;"", //"""),"'","""")&amp;SUBSTITUTE(TEXT(Overig!L567,""",""???0;"",""??-0;"",""???0;"", ///"""),"'","""")&amp;SUBSTITUTE(TEXT(Overig!M567,""",""?00;"",""?-00;"",""?00;"", //"""),"'","""")&amp;SUBSTITUTE(TEXT(IF(ISTEXT(Overig!N567),Overig!N567,10*Overig!N567),""",""????0;"",""???-0;"",""????0;"", ////"""),"'","""")&amp;SUBSTITUTE(TEXT(Overig!O567,""",""?00;"",""?-00;"",""?00;"", //"""),"'","""")&amp;SUBSTITUTE(TEXT(IF(ISTEXT(Overig!P567),Overig!P567,10*Overig!P567),""",""????0;"",""???-0;"",""????0;"", ////"""),"'","""")&amp;SUBSTITUTE(TEXT(Overig!Q567,""",""?00;"",""?-00;"",""?00;"", //"""),"'","""")&amp;SUBSTITUTE(TEXT(Overig!R567,""",""????0;"",""???-0;"",""????0;"", ////"""),"'","""")&amp;SUBSTITUTE(TEXT(Overig!S567,""",""?00;"",""?-00;"",""?00;"", //"""),"'","""")&amp;SUBSTITUTE(TEXT(IF(ISTEXT(Overig!T567),Overig!T567,10*Overig!T567),""",""????0;"",""???-0;"",""????0;"", ////"""),"'","""")&amp;SUBSTITUTE(TEXT(Overig!U567,""",""?00;"",""?-00;"",""?00;"", //"""),"'","""")&amp;SUBSTITUTE(TEXT(Overig!V567,""",""???0;"",""??-0;"",""???0;"", ///"""),"'","""")&amp;SUBSTITUTE(TEXT(Overig!W567,""",""?00;"",""?-00;"",""?00;"", //"""),"'","""")</f>
        <v>032, 19400521, 12.00, 7582, 00,  271, 00, ////, 07, ////, 07,  84, 00,  227, 00,  250, 00,  135, 00,    1, 00,   8, 00</v>
      </c>
    </row>
    <row r="568" spans="1:1" x14ac:dyDescent="0.25">
      <c r="A568" s="12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//"""),"'","""")&amp;SUBSTITUTE(TEXT(IF(ISTEXT(Overig!J568),Overig!J568,10*Overig!J568),""",""????0;"",""???-0;"",""????0;"", ////"""),"'","""")&amp;SUBSTITUTE(TEXT(Overig!K568,""",""?00;"",""?-00;"",""?00;"", //"""),"'","""")&amp;SUBSTITUTE(TEXT(Overig!L568,""",""???0;"",""??-0;"",""???0;"", ///"""),"'","""")&amp;SUBSTITUTE(TEXT(Overig!M568,""",""?00;"",""?-00;"",""?00;"", //"""),"'","""")&amp;SUBSTITUTE(TEXT(IF(ISTEXT(Overig!N568),Overig!N568,10*Overig!N568),""",""????0;"",""???-0;"",""????0;"", ////"""),"'","""")&amp;SUBSTITUTE(TEXT(Overig!O568,""",""?00;"",""?-00;"",""?00;"", //"""),"'","""")&amp;SUBSTITUTE(TEXT(IF(ISTEXT(Overig!P568),Overig!P568,10*Overig!P568),""",""????0;"",""???-0;"",""????0;"", ////"""),"'","""")&amp;SUBSTITUTE(TEXT(Overig!Q568,""",""?00;"",""?-00;"",""?00;"", //"""),"'","""")&amp;SUBSTITUTE(TEXT(Overig!R568,""",""????0;"",""???-0;"",""????0;"", ////"""),"'","""")&amp;SUBSTITUTE(TEXT(Overig!S568,""",""?00;"",""?-00;"",""?00;"", //"""),"'","""")&amp;SUBSTITUTE(TEXT(IF(ISTEXT(Overig!T568),Overig!T568,10*Overig!T568),""",""????0;"",""???-0;"",""????0;"", ////"""),"'","""")&amp;SUBSTITUTE(TEXT(Overig!U568,""",""?00;"",""?-00;"",""?00;"", //"""),"'","""")&amp;SUBSTITUTE(TEXT(Overig!V568,""",""???0;"",""??-0;"",""???0;"", ///"""),"'","""")&amp;SUBSTITUTE(TEXT(Overig!W568,""",""?00;"",""?-00;"",""?00;"", //"""),"'","""")</f>
        <v>032, 19400521, 17.00, 7582, 00,  267, 00, ////, 07, ////, 07,  86, 00,  225, 00,  248, 00,  135, 00,    1, 00,   7, 00</v>
      </c>
    </row>
    <row r="569" spans="1:1" x14ac:dyDescent="0.25">
      <c r="A569" s="12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//"""),"'","""")&amp;SUBSTITUTE(TEXT(IF(ISTEXT(Overig!J569),Overig!J569,10*Overig!J569),""",""????0;"",""???-0;"",""????0;"", ////"""),"'","""")&amp;SUBSTITUTE(TEXT(Overig!K569,""",""?00;"",""?-00;"",""?00;"", //"""),"'","""")&amp;SUBSTITUTE(TEXT(Overig!L569,""",""???0;"",""??-0;"",""???0;"", ///"""),"'","""")&amp;SUBSTITUTE(TEXT(Overig!M569,""",""?00;"",""?-00;"",""?00;"", //"""),"'","""")&amp;SUBSTITUTE(TEXT(IF(ISTEXT(Overig!N569),Overig!N569,10*Overig!N569),""",""????0;"",""???-0;"",""????0;"", ////"""),"'","""")&amp;SUBSTITUTE(TEXT(Overig!O569,""",""?00;"",""?-00;"",""?00;"", //"""),"'","""")&amp;SUBSTITUTE(TEXT(IF(ISTEXT(Overig!P569),Overig!P569,10*Overig!P569),""",""????0;"",""???-0;"",""????0;"", ////"""),"'","""")&amp;SUBSTITUTE(TEXT(Overig!Q569,""",""?00;"",""?-00;"",""?00;"", //"""),"'","""")&amp;SUBSTITUTE(TEXT(Overig!R569,""",""????0;"",""???-0;"",""????0;"", ////"""),"'","""")&amp;SUBSTITUTE(TEXT(Overig!S569,""",""?00;"",""?-00;"",""?00;"", //"""),"'","""")&amp;SUBSTITUTE(TEXT(IF(ISTEXT(Overig!T569),Overig!T569,10*Overig!T569),""",""????0;"",""???-0;"",""????0;"", ////"""),"'","""")&amp;SUBSTITUTE(TEXT(Overig!U569,""",""?00;"",""?-00;"",""?00;"", //"""),"'","""")&amp;SUBSTITUTE(TEXT(Overig!V569,""",""???0;"",""??-0;"",""???0;"", ///"""),"'","""")&amp;SUBSTITUTE(TEXT(Overig!W569,""",""?00;"",""?-00;"",""?00;"", //"""),"'","""")</f>
        <v>032, 19400521, 24.00, ////, 07, ////, 07,  280, 00,  294, 00, ///, 07, ////, 07, ////, 07, ////, 07, ////, 07, ///, 07</v>
      </c>
    </row>
    <row r="570" spans="1:1" x14ac:dyDescent="0.25">
      <c r="A570" s="12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//"""),"'","""")&amp;SUBSTITUTE(TEXT(IF(ISTEXT(Overig!J570),Overig!J570,10*Overig!J570),""",""????0;"",""???-0;"",""????0;"", ////"""),"'","""")&amp;SUBSTITUTE(TEXT(Overig!K570,""",""?00;"",""?-00;"",""?00;"", //"""),"'","""")&amp;SUBSTITUTE(TEXT(Overig!L570,""",""???0;"",""??-0;"",""???0;"", ///"""),"'","""")&amp;SUBSTITUTE(TEXT(Overig!M570,""",""?00;"",""?-00;"",""?00;"", //"""),"'","""")&amp;SUBSTITUTE(TEXT(IF(ISTEXT(Overig!N570),Overig!N570,10*Overig!N570),""",""????0;"",""???-0;"",""????0;"", ////"""),"'","""")&amp;SUBSTITUTE(TEXT(Overig!O570,""",""?00;"",""?-00;"",""?00;"", //"""),"'","""")&amp;SUBSTITUTE(TEXT(IF(ISTEXT(Overig!P570),Overig!P570,10*Overig!P570),""",""????0;"",""???-0;"",""????0;"", ////"""),"'","""")&amp;SUBSTITUTE(TEXT(Overig!Q570,""",""?00;"",""?-00;"",""?00;"", //"""),"'","""")&amp;SUBSTITUTE(TEXT(Overig!R570,""",""????0;"",""???-0;"",""????0;"", ////"""),"'","""")&amp;SUBSTITUTE(TEXT(Overig!S570,""",""?00;"",""?-00;"",""?00;"", //"""),"'","""")&amp;SUBSTITUTE(TEXT(IF(ISTEXT(Overig!T570),Overig!T570,10*Overig!T570),""",""????0;"",""???-0;"",""????0;"", ////"""),"'","""")&amp;SUBSTITUTE(TEXT(Overig!U570,""",""?00;"",""?-00;"",""?00;"", //"""),"'","""")&amp;SUBSTITUTE(TEXT(Overig!V570,""",""???0;"",""??-0;"",""???0;"", ///"""),"'","""")&amp;SUBSTITUTE(TEXT(Overig!W570,""",""?00;"",""?-00;"",""?00;"", //"""),"'","""")</f>
        <v>032, 19400522, 07.00, 7595, 00,  271, 00, ////, 07, ////, 07,  82, 00,  220, 00,  246, 00,   65, 00,    3, 00,   3, 00</v>
      </c>
    </row>
    <row r="571" spans="1:1" x14ac:dyDescent="0.25">
      <c r="A571" s="12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//"""),"'","""")&amp;SUBSTITUTE(TEXT(IF(ISTEXT(Overig!J571),Overig!J571,10*Overig!J571),""",""????0;"",""???-0;"",""????0;"", ////"""),"'","""")&amp;SUBSTITUTE(TEXT(Overig!K571,""",""?00;"",""?-00;"",""?00;"", //"""),"'","""")&amp;SUBSTITUTE(TEXT(Overig!L571,""",""???0;"",""??-0;"",""???0;"", ///"""),"'","""")&amp;SUBSTITUTE(TEXT(Overig!M571,""",""?00;"",""?-00;"",""?00;"", //"""),"'","""")&amp;SUBSTITUTE(TEXT(IF(ISTEXT(Overig!N571),Overig!N571,10*Overig!N571),""",""????0;"",""???-0;"",""????0;"", ////"""),"'","""")&amp;SUBSTITUTE(TEXT(Overig!O571,""",""?00;"",""?-00;"",""?00;"", //"""),"'","""")&amp;SUBSTITUTE(TEXT(IF(ISTEXT(Overig!P571),Overig!P571,10*Overig!P571),""",""????0;"",""???-0;"",""????0;"", ////"""),"'","""")&amp;SUBSTITUTE(TEXT(Overig!Q571,""",""?00;"",""?-00;"",""?00;"", //"""),"'","""")&amp;SUBSTITUTE(TEXT(Overig!R571,""",""????0;"",""???-0;"",""????0;"", ////"""),"'","""")&amp;SUBSTITUTE(TEXT(Overig!S571,""",""?00;"",""?-00;"",""?00;"", //"""),"'","""")&amp;SUBSTITUTE(TEXT(IF(ISTEXT(Overig!T571),Overig!T571,10*Overig!T571),""",""????0;"",""???-0;"",""????0;"", ////"""),"'","""")&amp;SUBSTITUTE(TEXT(Overig!U571,""",""?00;"",""?-00;"",""?00;"", //"""),"'","""")&amp;SUBSTITUTE(TEXT(Overig!V571,""",""???0;"",""??-0;"",""???0;"", ///"""),"'","""")&amp;SUBSTITUTE(TEXT(Overig!W571,""",""?00;"",""?-00;"",""?00;"", //"""),"'","""")</f>
        <v>032, 19400522, 12.00, 7592, 00,  301, 00, ////, 07, ////, 07,  67, 00,  216, 00,  252, 00,   65, 00,    4, 00,   3, 00</v>
      </c>
    </row>
    <row r="572" spans="1:1" x14ac:dyDescent="0.25">
      <c r="A572" s="12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//"""),"'","""")&amp;SUBSTITUTE(TEXT(IF(ISTEXT(Overig!J572),Overig!J572,10*Overig!J572),""",""????0;"",""???-0;"",""????0;"", ////"""),"'","""")&amp;SUBSTITUTE(TEXT(Overig!K572,""",""?00;"",""?-00;"",""?00;"", //"""),"'","""")&amp;SUBSTITUTE(TEXT(Overig!L572,""",""???0;"",""??-0;"",""???0;"", ///"""),"'","""")&amp;SUBSTITUTE(TEXT(Overig!M572,""",""?00;"",""?-00;"",""?00;"", //"""),"'","""")&amp;SUBSTITUTE(TEXT(IF(ISTEXT(Overig!N572),Overig!N572,10*Overig!N572),""",""????0;"",""???-0;"",""????0;"", ////"""),"'","""")&amp;SUBSTITUTE(TEXT(Overig!O572,""",""?00;"",""?-00;"",""?00;"", //"""),"'","""")&amp;SUBSTITUTE(TEXT(IF(ISTEXT(Overig!P572),Overig!P572,10*Overig!P572),""",""????0;"",""???-0;"",""????0;"", ////"""),"'","""")&amp;SUBSTITUTE(TEXT(Overig!Q572,""",""?00;"",""?-00;"",""?00;"", //"""),"'","""")&amp;SUBSTITUTE(TEXT(Overig!R572,""",""????0;"",""???-0;"",""????0;"", ////"""),"'","""")&amp;SUBSTITUTE(TEXT(Overig!S572,""",""?00;"",""?-00;"",""?00;"", //"""),"'","""")&amp;SUBSTITUTE(TEXT(IF(ISTEXT(Overig!T572),Overig!T572,10*Overig!T572),""",""????0;"",""???-0;"",""????0;"", ////"""),"'","""")&amp;SUBSTITUTE(TEXT(Overig!U572,""",""?00;"",""?-00;"",""?00;"", //"""),"'","""")&amp;SUBSTITUTE(TEXT(Overig!V572,""",""???0;"",""??-0;"",""???0;"", ///"""),"'","""")&amp;SUBSTITUTE(TEXT(Overig!W572,""",""?00;"",""?-00;"",""?00;"", //"""),"'","""")</f>
        <v>032, 19400522, 17.00, 7579, 00,  266, 00, ////, 07, ////, 07,  85, 00,  222, 00,  246, 00,   65, 00,    4, 00,   3, 00</v>
      </c>
    </row>
    <row r="573" spans="1:1" x14ac:dyDescent="0.25">
      <c r="A573" s="12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//"""),"'","""")&amp;SUBSTITUTE(TEXT(IF(ISTEXT(Overig!J573),Overig!J573,10*Overig!J573),""",""????0;"",""???-0;"",""????0;"", ////"""),"'","""")&amp;SUBSTITUTE(TEXT(Overig!K573,""",""?00;"",""?-00;"",""?00;"", //"""),"'","""")&amp;SUBSTITUTE(TEXT(Overig!L573,""",""???0;"",""??-0;"",""???0;"", ///"""),"'","""")&amp;SUBSTITUTE(TEXT(Overig!M573,""",""?00;"",""?-00;"",""?00;"", //"""),"'","""")&amp;SUBSTITUTE(TEXT(IF(ISTEXT(Overig!N573),Overig!N573,10*Overig!N573),""",""????0;"",""???-0;"",""????0;"", ////"""),"'","""")&amp;SUBSTITUTE(TEXT(Overig!O573,""",""?00;"",""?-00;"",""?00;"", //"""),"'","""")&amp;SUBSTITUTE(TEXT(IF(ISTEXT(Overig!P573),Overig!P573,10*Overig!P573),""",""????0;"",""???-0;"",""????0;"", ////"""),"'","""")&amp;SUBSTITUTE(TEXT(Overig!Q573,""",""?00;"",""?-00;"",""?00;"", //"""),"'","""")&amp;SUBSTITUTE(TEXT(Overig!R573,""",""????0;"",""???-0;"",""????0;"", ////"""),"'","""")&amp;SUBSTITUTE(TEXT(Overig!S573,""",""?00;"",""?-00;"",""?00;"", //"""),"'","""")&amp;SUBSTITUTE(TEXT(IF(ISTEXT(Overig!T573),Overig!T573,10*Overig!T573),""",""????0;"",""???-0;"",""????0;"", ////"""),"'","""")&amp;SUBSTITUTE(TEXT(Overig!U573,""",""?00;"",""?-00;"",""?00;"", //"""),"'","""")&amp;SUBSTITUTE(TEXT(Overig!V573,""",""???0;"",""??-0;"",""???0;"", ///"""),"'","""")&amp;SUBSTITUTE(TEXT(Overig!W573,""",""?00;"",""?-00;"",""?00;"", //"""),"'","""")</f>
        <v>032, 19400522, 24.00, ////, 07, ////, 07,  280, 00,  315, 00, ///, 07, ////, 07, ////, 07, ////, 07, ////, 07, ///, 07</v>
      </c>
    </row>
    <row r="574" spans="1:1" x14ac:dyDescent="0.25">
      <c r="A574" s="12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//"""),"'","""")&amp;SUBSTITUTE(TEXT(IF(ISTEXT(Overig!J574),Overig!J574,10*Overig!J574),""",""????0;"",""???-0;"",""????0;"", ////"""),"'","""")&amp;SUBSTITUTE(TEXT(Overig!K574,""",""?00;"",""?-00;"",""?00;"", //"""),"'","""")&amp;SUBSTITUTE(TEXT(Overig!L574,""",""???0;"",""??-0;"",""???0;"", ///"""),"'","""")&amp;SUBSTITUTE(TEXT(Overig!M574,""",""?00;"",""?-00;"",""?00;"", //"""),"'","""")&amp;SUBSTITUTE(TEXT(IF(ISTEXT(Overig!N574),Overig!N574,10*Overig!N574),""",""????0;"",""???-0;"",""????0;"", ////"""),"'","""")&amp;SUBSTITUTE(TEXT(Overig!O574,""",""?00;"",""?-00;"",""?00;"", //"""),"'","""")&amp;SUBSTITUTE(TEXT(IF(ISTEXT(Overig!P574),Overig!P574,10*Overig!P574),""",""????0;"",""???-0;"",""????0;"", ////"""),"'","""")&amp;SUBSTITUTE(TEXT(Overig!Q574,""",""?00;"",""?-00;"",""?00;"", //"""),"'","""")&amp;SUBSTITUTE(TEXT(Overig!R574,""",""????0;"",""???-0;"",""????0;"", ////"""),"'","""")&amp;SUBSTITUTE(TEXT(Overig!S574,""",""?00;"",""?-00;"",""?00;"", //"""),"'","""")&amp;SUBSTITUTE(TEXT(IF(ISTEXT(Overig!T574),Overig!T574,10*Overig!T574),""",""????0;"",""???-0;"",""????0;"", ////"""),"'","""")&amp;SUBSTITUTE(TEXT(Overig!U574,""",""?00;"",""?-00;"",""?00;"", //"""),"'","""")&amp;SUBSTITUTE(TEXT(Overig!V574,""",""???0;"",""??-0;"",""???0;"", ///"""),"'","""")&amp;SUBSTITUTE(TEXT(Overig!W574,""",""?00;"",""?-00;"",""?00;"", //"""),"'","""")</f>
        <v>032, 19400523, 07.00, 7582, 00,  261, 00, ////, 07, ////, 07,  81, 00,  206, 00,  236, 00,   65, 00,    3, 00,   3, 00</v>
      </c>
    </row>
    <row r="575" spans="1:1" x14ac:dyDescent="0.25">
      <c r="A575" s="12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//"""),"'","""")&amp;SUBSTITUTE(TEXT(IF(ISTEXT(Overig!J575),Overig!J575,10*Overig!J575),""",""????0;"",""???-0;"",""????0;"", ////"""),"'","""")&amp;SUBSTITUTE(TEXT(Overig!K575,""",""?00;"",""?-00;"",""?00;"", //"""),"'","""")&amp;SUBSTITUTE(TEXT(Overig!L575,""",""???0;"",""??-0;"",""???0;"", ///"""),"'","""")&amp;SUBSTITUTE(TEXT(Overig!M575,""",""?00;"",""?-00;"",""?00;"", //"""),"'","""")&amp;SUBSTITUTE(TEXT(IF(ISTEXT(Overig!N575),Overig!N575,10*Overig!N575),""",""????0;"",""???-0;"",""????0;"", ////"""),"'","""")&amp;SUBSTITUTE(TEXT(Overig!O575,""",""?00;"",""?-00;"",""?00;"", //"""),"'","""")&amp;SUBSTITUTE(TEXT(IF(ISTEXT(Overig!P575),Overig!P575,10*Overig!P575),""",""????0;"",""???-0;"",""????0;"", ////"""),"'","""")&amp;SUBSTITUTE(TEXT(Overig!Q575,""",""?00;"",""?-00;"",""?00;"", //"""),"'","""")&amp;SUBSTITUTE(TEXT(Overig!R575,""",""????0;"",""???-0;"",""????0;"", ////"""),"'","""")&amp;SUBSTITUTE(TEXT(Overig!S575,""",""?00;"",""?-00;"",""?00;"", //"""),"'","""")&amp;SUBSTITUTE(TEXT(IF(ISTEXT(Overig!T575),Overig!T575,10*Overig!T575),""",""????0;"",""???-0;"",""????0;"", ////"""),"'","""")&amp;SUBSTITUTE(TEXT(Overig!U575,""",""?00;"",""?-00;"",""?00;"", //"""),"'","""")&amp;SUBSTITUTE(TEXT(Overig!V575,""",""???0;"",""??-0;"",""???0;"", ///"""),"'","""")&amp;SUBSTITUTE(TEXT(Overig!W575,""",""?00;"",""?-00;"",""?00;"", //"""),"'","""")</f>
        <v>032, 19400523, 12.00, 7592, 00,  263, 00, ////, 07, ////, 07,  80, 00,  205, 00,  236, 00,   65, 00,    5, 00,   2, 00</v>
      </c>
    </row>
    <row r="576" spans="1:1" x14ac:dyDescent="0.25">
      <c r="A576" s="12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//"""),"'","""")&amp;SUBSTITUTE(TEXT(IF(ISTEXT(Overig!J576),Overig!J576,10*Overig!J576),""",""????0;"",""???-0;"",""????0;"", ////"""),"'","""")&amp;SUBSTITUTE(TEXT(Overig!K576,""",""?00;"",""?-00;"",""?00;"", //"""),"'","""")&amp;SUBSTITUTE(TEXT(Overig!L576,""",""???0;"",""??-0;"",""???0;"", ///"""),"'","""")&amp;SUBSTITUTE(TEXT(Overig!M576,""",""?00;"",""?-00;"",""?00;"", //"""),"'","""")&amp;SUBSTITUTE(TEXT(IF(ISTEXT(Overig!N576),Overig!N576,10*Overig!N576),""",""????0;"",""???-0;"",""????0;"", ////"""),"'","""")&amp;SUBSTITUTE(TEXT(Overig!O576,""",""?00;"",""?-00;"",""?00;"", //"""),"'","""")&amp;SUBSTITUTE(TEXT(IF(ISTEXT(Overig!P576),Overig!P576,10*Overig!P576),""",""????0;"",""???-0;"",""????0;"", ////"""),"'","""")&amp;SUBSTITUTE(TEXT(Overig!Q576,""",""?00;"",""?-00;"",""?00;"", //"""),"'","""")&amp;SUBSTITUTE(TEXT(Overig!R576,""",""????0;"",""???-0;"",""????0;"", ////"""),"'","""")&amp;SUBSTITUTE(TEXT(Overig!S576,""",""?00;"",""?-00;"",""?00;"", //"""),"'","""")&amp;SUBSTITUTE(TEXT(IF(ISTEXT(Overig!T576),Overig!T576,10*Overig!T576),""",""????0;"",""???-0;"",""????0;"", ////"""),"'","""")&amp;SUBSTITUTE(TEXT(Overig!U576,""",""?00;"",""?-00;"",""?00;"", //"""),"'","""")&amp;SUBSTITUTE(TEXT(Overig!V576,""",""???0;"",""??-0;"",""???0;"", ///"""),"'","""")&amp;SUBSTITUTE(TEXT(Overig!W576,""",""?00;"",""?-00;"",""?00;"", //"""),"'","""")</f>
        <v>032, 19400523, 17.00, 7582, 00,  259, 00, ////, 07, ////, 07,  78, 00,  196, 00,  230, 00,   65, 00,    5, 00,   2, 00</v>
      </c>
    </row>
    <row r="577" spans="1:1" x14ac:dyDescent="0.25">
      <c r="A577" s="12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//"""),"'","""")&amp;SUBSTITUTE(TEXT(IF(ISTEXT(Overig!J577),Overig!J577,10*Overig!J577),""",""????0;"",""???-0;"",""????0;"", ////"""),"'","""")&amp;SUBSTITUTE(TEXT(Overig!K577,""",""?00;"",""?-00;"",""?00;"", //"""),"'","""")&amp;SUBSTITUTE(TEXT(Overig!L577,""",""???0;"",""??-0;"",""???0;"", ///"""),"'","""")&amp;SUBSTITUTE(TEXT(Overig!M577,""",""?00;"",""?-00;"",""?00;"", //"""),"'","""")&amp;SUBSTITUTE(TEXT(IF(ISTEXT(Overig!N577),Overig!N577,10*Overig!N577),""",""????0;"",""???-0;"",""????0;"", ////"""),"'","""")&amp;SUBSTITUTE(TEXT(Overig!O577,""",""?00;"",""?-00;"",""?00;"", //"""),"'","""")&amp;SUBSTITUTE(TEXT(IF(ISTEXT(Overig!P577),Overig!P577,10*Overig!P577),""",""????0;"",""???-0;"",""????0;"", ////"""),"'","""")&amp;SUBSTITUTE(TEXT(Overig!Q577,""",""?00;"",""?-00;"",""?00;"", //"""),"'","""")&amp;SUBSTITUTE(TEXT(Overig!R577,""",""????0;"",""???-0;"",""????0;"", ////"""),"'","""")&amp;SUBSTITUTE(TEXT(Overig!S577,""",""?00;"",""?-00;"",""?00;"", //"""),"'","""")&amp;SUBSTITUTE(TEXT(IF(ISTEXT(Overig!T577),Overig!T577,10*Overig!T577),""",""????0;"",""???-0;"",""????0;"", ////"""),"'","""")&amp;SUBSTITUTE(TEXT(Overig!U577,""",""?00;"",""?-00;"",""?00;"", //"""),"'","""")&amp;SUBSTITUTE(TEXT(Overig!V577,""",""???0;"",""??-0;"",""???0;"", ///"""),"'","""")&amp;SUBSTITUTE(TEXT(Overig!W577,""",""?00;"",""?-00;"",""?00;"", //"""),"'","""")</f>
        <v>032, 19400523, 24.00, ////, 07, ////, 07,  284, 00,  315, 00, ///, 07, ////, 07, ////, 07, ////, 07, ////, 07, ///, 07</v>
      </c>
    </row>
    <row r="578" spans="1:1" x14ac:dyDescent="0.25">
      <c r="A578" s="12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//"""),"'","""")&amp;SUBSTITUTE(TEXT(IF(ISTEXT(Overig!J578),Overig!J578,10*Overig!J578),""",""????0;"",""???-0;"",""????0;"", ////"""),"'","""")&amp;SUBSTITUTE(TEXT(Overig!K578,""",""?00;"",""?-00;"",""?00;"", //"""),"'","""")&amp;SUBSTITUTE(TEXT(Overig!L578,""",""???0;"",""??-0;"",""???0;"", ///"""),"'","""")&amp;SUBSTITUTE(TEXT(Overig!M578,""",""?00;"",""?-00;"",""?00;"", //"""),"'","""")&amp;SUBSTITUTE(TEXT(IF(ISTEXT(Overig!N578),Overig!N578,10*Overig!N578),""",""????0;"",""???-0;"",""????0;"", ////"""),"'","""")&amp;SUBSTITUTE(TEXT(Overig!O578,""",""?00;"",""?-00;"",""?00;"", //"""),"'","""")&amp;SUBSTITUTE(TEXT(IF(ISTEXT(Overig!P578),Overig!P578,10*Overig!P578),""",""????0;"",""???-0;"",""????0;"", ////"""),"'","""")&amp;SUBSTITUTE(TEXT(Overig!Q578,""",""?00;"",""?-00;"",""?00;"", //"""),"'","""")&amp;SUBSTITUTE(TEXT(Overig!R578,""",""????0;"",""???-0;"",""????0;"", ////"""),"'","""")&amp;SUBSTITUTE(TEXT(Overig!S578,""",""?00;"",""?-00;"",""?00;"", //"""),"'","""")&amp;SUBSTITUTE(TEXT(IF(ISTEXT(Overig!T578),Overig!T578,10*Overig!T578),""",""????0;"",""???-0;"",""????0;"", ////"""),"'","""")&amp;SUBSTITUTE(TEXT(Overig!U578,""",""?00;"",""?-00;"",""?00;"", //"""),"'","""")&amp;SUBSTITUTE(TEXT(Overig!V578,""",""???0;"",""??-0;"",""???0;"", ///"""),"'","""")&amp;SUBSTITUTE(TEXT(Overig!W578,""",""?00;"",""?-00;"",""?00;"", //"""),"'","""")</f>
        <v>032, 19400524, 07.00, 7569, 00,  255, 00, ////, 07, ////, 07,  84, 00,  205, 00,  234, 00,   90, 00,    3, 00,   4, 00</v>
      </c>
    </row>
    <row r="579" spans="1:1" x14ac:dyDescent="0.25">
      <c r="A579" s="12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//"""),"'","""")&amp;SUBSTITUTE(TEXT(IF(ISTEXT(Overig!J579),Overig!J579,10*Overig!J579),""",""????0;"",""???-0;"",""????0;"", ////"""),"'","""")&amp;SUBSTITUTE(TEXT(Overig!K579,""",""?00;"",""?-00;"",""?00;"", //"""),"'","""")&amp;SUBSTITUTE(TEXT(Overig!L579,""",""???0;"",""??-0;"",""???0;"", ///"""),"'","""")&amp;SUBSTITUTE(TEXT(Overig!M579,""",""?00;"",""?-00;"",""?00;"", //"""),"'","""")&amp;SUBSTITUTE(TEXT(IF(ISTEXT(Overig!N579),Overig!N579,10*Overig!N579),""",""????0;"",""???-0;"",""????0;"", ////"""),"'","""")&amp;SUBSTITUTE(TEXT(Overig!O579,""",""?00;"",""?-00;"",""?00;"", //"""),"'","""")&amp;SUBSTITUTE(TEXT(IF(ISTEXT(Overig!P579),Overig!P579,10*Overig!P579),""",""????0;"",""???-0;"",""????0;"", ////"""),"'","""")&amp;SUBSTITUTE(TEXT(Overig!Q579,""",""?00;"",""?-00;"",""?00;"", //"""),"'","""")&amp;SUBSTITUTE(TEXT(Overig!R579,""",""????0;"",""???-0;"",""????0;"", ////"""),"'","""")&amp;SUBSTITUTE(TEXT(Overig!S579,""",""?00;"",""?-00;"",""?00;"", //"""),"'","""")&amp;SUBSTITUTE(TEXT(IF(ISTEXT(Overig!T579),Overig!T579,10*Overig!T579),""",""????0;"",""???-0;"",""????0;"", ////"""),"'","""")&amp;SUBSTITUTE(TEXT(Overig!U579,""",""?00;"",""?-00;"",""?00;"", //"""),"'","""")&amp;SUBSTITUTE(TEXT(Overig!V579,""",""???0;"",""??-0;"",""???0;"", ///"""),"'","""")&amp;SUBSTITUTE(TEXT(Overig!W579,""",""?00;"",""?-00;"",""?00;"", //"""),"'","""")</f>
        <v>032, 19400524, 12.00, 7569, 00,  259, 00, ////, 07, ////, 07,  81, 00,  203, 00,  234, 00,   65, 00,    4, 00,   3, 00</v>
      </c>
    </row>
    <row r="580" spans="1:1" x14ac:dyDescent="0.25">
      <c r="A580" s="12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//"""),"'","""")&amp;SUBSTITUTE(TEXT(IF(ISTEXT(Overig!J580),Overig!J580,10*Overig!J580),""",""????0;"",""???-0;"",""????0;"", ////"""),"'","""")&amp;SUBSTITUTE(TEXT(Overig!K580,""",""?00;"",""?-00;"",""?00;"", //"""),"'","""")&amp;SUBSTITUTE(TEXT(Overig!L580,""",""???0;"",""??-0;"",""???0;"", ///"""),"'","""")&amp;SUBSTITUTE(TEXT(Overig!M580,""",""?00;"",""?-00;"",""?00;"", //"""),"'","""")&amp;SUBSTITUTE(TEXT(IF(ISTEXT(Overig!N580),Overig!N580,10*Overig!N580),""",""????0;"",""???-0;"",""????0;"", ////"""),"'","""")&amp;SUBSTITUTE(TEXT(Overig!O580,""",""?00;"",""?-00;"",""?00;"", //"""),"'","""")&amp;SUBSTITUTE(TEXT(IF(ISTEXT(Overig!P580),Overig!P580,10*Overig!P580),""",""????0;"",""???-0;"",""????0;"", ////"""),"'","""")&amp;SUBSTITUTE(TEXT(Overig!Q580,""",""?00;"",""?-00;"",""?00;"", //"""),"'","""")&amp;SUBSTITUTE(TEXT(Overig!R580,""",""????0;"",""???-0;"",""????0;"", ////"""),"'","""")&amp;SUBSTITUTE(TEXT(Overig!S580,""",""?00;"",""?-00;"",""?00;"", //"""),"'","""")&amp;SUBSTITUTE(TEXT(IF(ISTEXT(Overig!T580),Overig!T580,10*Overig!T580),""",""????0;"",""???-0;"",""????0;"", ////"""),"'","""")&amp;SUBSTITUTE(TEXT(Overig!U580,""",""?00;"",""?-00;"",""?00;"", //"""),"'","""")&amp;SUBSTITUTE(TEXT(Overig!V580,""",""???0;"",""??-0;"",""???0;"", ///"""),"'","""")&amp;SUBSTITUTE(TEXT(Overig!W580,""",""?00;"",""?-00;"",""?00;"", //"""),"'","""")</f>
        <v>032, 19400524, 17.00, 7569, 00,  255, 00, ////, 07, ////, 07,  81, 00,  198, 00,  230, 00,   65, 00,    4, 00,   3, 00</v>
      </c>
    </row>
    <row r="581" spans="1:1" x14ac:dyDescent="0.25">
      <c r="A581" s="12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//"""),"'","""")&amp;SUBSTITUTE(TEXT(IF(ISTEXT(Overig!J581),Overig!J581,10*Overig!J581),""",""????0;"",""???-0;"",""????0;"", ////"""),"'","""")&amp;SUBSTITUTE(TEXT(Overig!K581,""",""?00;"",""?-00;"",""?00;"", //"""),"'","""")&amp;SUBSTITUTE(TEXT(Overig!L581,""",""???0;"",""??-0;"",""???0;"", ///"""),"'","""")&amp;SUBSTITUTE(TEXT(Overig!M581,""",""?00;"",""?-00;"",""?00;"", //"""),"'","""")&amp;SUBSTITUTE(TEXT(IF(ISTEXT(Overig!N581),Overig!N581,10*Overig!N581),""",""????0;"",""???-0;"",""????0;"", ////"""),"'","""")&amp;SUBSTITUTE(TEXT(Overig!O581,""",""?00;"",""?-00;"",""?00;"", //"""),"'","""")&amp;SUBSTITUTE(TEXT(IF(ISTEXT(Overig!P581),Overig!P581,10*Overig!P581),""",""????0;"",""???-0;"",""????0;"", ////"""),"'","""")&amp;SUBSTITUTE(TEXT(Overig!Q581,""",""?00;"",""?-00;"",""?00;"", //"""),"'","""")&amp;SUBSTITUTE(TEXT(Overig!R581,""",""????0;"",""???-0;"",""????0;"", ////"""),"'","""")&amp;SUBSTITUTE(TEXT(Overig!S581,""",""?00;"",""?-00;"",""?00;"", //"""),"'","""")&amp;SUBSTITUTE(TEXT(IF(ISTEXT(Overig!T581),Overig!T581,10*Overig!T581),""",""????0;"",""???-0;"",""????0;"", ////"""),"'","""")&amp;SUBSTITUTE(TEXT(Overig!U581,""",""?00;"",""?-00;"",""?00;"", //"""),"'","""")&amp;SUBSTITUTE(TEXT(Overig!V581,""",""???0;"",""??-0;"",""???0;"", ///"""),"'","""")&amp;SUBSTITUTE(TEXT(Overig!W581,""",""?00;"",""?-00;"",""?00;"", //"""),"'","""")</f>
        <v>032, 19400524, 24.00, ////, 07, ////, 07,  287, 00,  300, 00, ///, 07, ////, 07, ////, 07, ////, 07, ////, 07, ///, 07</v>
      </c>
    </row>
    <row r="582" spans="1:1" x14ac:dyDescent="0.25">
      <c r="A582" s="12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//"""),"'","""")&amp;SUBSTITUTE(TEXT(IF(ISTEXT(Overig!J582),Overig!J582,10*Overig!J582),""",""????0;"",""???-0;"",""????0;"", ////"""),"'","""")&amp;SUBSTITUTE(TEXT(Overig!K582,""",""?00;"",""?-00;"",""?00;"", //"""),"'","""")&amp;SUBSTITUTE(TEXT(Overig!L582,""",""???0;"",""??-0;"",""???0;"", ///"""),"'","""")&amp;SUBSTITUTE(TEXT(Overig!M582,""",""?00;"",""?-00;"",""?00;"", //"""),"'","""")&amp;SUBSTITUTE(TEXT(IF(ISTEXT(Overig!N582),Overig!N582,10*Overig!N582),""",""????0;"",""???-0;"",""????0;"", ////"""),"'","""")&amp;SUBSTITUTE(TEXT(Overig!O582,""",""?00;"",""?-00;"",""?00;"", //"""),"'","""")&amp;SUBSTITUTE(TEXT(IF(ISTEXT(Overig!P582),Overig!P582,10*Overig!P582),""",""????0;"",""???-0;"",""????0;"", ////"""),"'","""")&amp;SUBSTITUTE(TEXT(Overig!Q582,""",""?00;"",""?-00;"",""?00;"", //"""),"'","""")&amp;SUBSTITUTE(TEXT(Overig!R582,""",""????0;"",""???-0;"",""????0;"", ////"""),"'","""")&amp;SUBSTITUTE(TEXT(Overig!S582,""",""?00;"",""?-00;"",""?00;"", //"""),"'","""")&amp;SUBSTITUTE(TEXT(IF(ISTEXT(Overig!T582),Overig!T582,10*Overig!T582),""",""????0;"",""???-0;"",""????0;"", ////"""),"'","""")&amp;SUBSTITUTE(TEXT(Overig!U582,""",""?00;"",""?-00;"",""?00;"", //"""),"'","""")&amp;SUBSTITUTE(TEXT(Overig!V582,""",""???0;"",""??-0;"",""???0;"", ///"""),"'","""")&amp;SUBSTITUTE(TEXT(Overig!W582,""",""?00;"",""?-00;"",""?00;"", //"""),"'","""")</f>
        <v>032, 19400525, 07.00, 7574, 00,  266, 00, ////, 07, ////, 07,  76, 00,  198, 00,  233, 00,   90, 00,    4, 00,   3, 00</v>
      </c>
    </row>
    <row r="583" spans="1:1" x14ac:dyDescent="0.25">
      <c r="A583" s="12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//"""),"'","""")&amp;SUBSTITUTE(TEXT(IF(ISTEXT(Overig!J583),Overig!J583,10*Overig!J583),""",""????0;"",""???-0;"",""????0;"", ////"""),"'","""")&amp;SUBSTITUTE(TEXT(Overig!K583,""",""?00;"",""?-00;"",""?00;"", //"""),"'","""")&amp;SUBSTITUTE(TEXT(Overig!L583,""",""???0;"",""??-0;"",""???0;"", ///"""),"'","""")&amp;SUBSTITUTE(TEXT(Overig!M583,""",""?00;"",""?-00;"",""?00;"", //"""),"'","""")&amp;SUBSTITUTE(TEXT(IF(ISTEXT(Overig!N583),Overig!N583,10*Overig!N583),""",""????0;"",""???-0;"",""????0;"", ////"""),"'","""")&amp;SUBSTITUTE(TEXT(Overig!O583,""",""?00;"",""?-00;"",""?00;"", //"""),"'","""")&amp;SUBSTITUTE(TEXT(IF(ISTEXT(Overig!P583),Overig!P583,10*Overig!P583),""",""????0;"",""???-0;"",""????0;"", ////"""),"'","""")&amp;SUBSTITUTE(TEXT(Overig!Q583,""",""?00;"",""?-00;"",""?00;"", //"""),"'","""")&amp;SUBSTITUTE(TEXT(Overig!R583,""",""????0;"",""???-0;"",""????0;"", ////"""),"'","""")&amp;SUBSTITUTE(TEXT(Overig!S583,""",""?00;"",""?-00;"",""?00;"", //"""),"'","""")&amp;SUBSTITUTE(TEXT(IF(ISTEXT(Overig!T583),Overig!T583,10*Overig!T583),""",""????0;"",""???-0;"",""????0;"", ////"""),"'","""")&amp;SUBSTITUTE(TEXT(Overig!U583,""",""?00;"",""?-00;"",""?00;"", //"""),"'","""")&amp;SUBSTITUTE(TEXT(Overig!V583,""",""???0;"",""??-0;"",""???0;"", ///"""),"'","""")&amp;SUBSTITUTE(TEXT(Overig!W583,""",""?00;"",""?-00;"",""?00;"", //"""),"'","""")</f>
        <v>032, 19400525, 12.00, 7579, 00,  273, 00, ////, 07, ////, 07,  75, 00,  204, 00,  238, 00,   90, 00,    5, 00,   2, 00</v>
      </c>
    </row>
    <row r="584" spans="1:1" x14ac:dyDescent="0.25">
      <c r="A584" s="12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//"""),"'","""")&amp;SUBSTITUTE(TEXT(IF(ISTEXT(Overig!J584),Overig!J584,10*Overig!J584),""",""????0;"",""???-0;"",""????0;"", ////"""),"'","""")&amp;SUBSTITUTE(TEXT(Overig!K584,""",""?00;"",""?-00;"",""?00;"", //"""),"'","""")&amp;SUBSTITUTE(TEXT(Overig!L584,""",""???0;"",""??-0;"",""???0;"", ///"""),"'","""")&amp;SUBSTITUTE(TEXT(Overig!M584,""",""?00;"",""?-00;"",""?00;"", //"""),"'","""")&amp;SUBSTITUTE(TEXT(IF(ISTEXT(Overig!N584),Overig!N584,10*Overig!N584),""",""????0;"",""???-0;"",""????0;"", ////"""),"'","""")&amp;SUBSTITUTE(TEXT(Overig!O584,""",""?00;"",""?-00;"",""?00;"", //"""),"'","""")&amp;SUBSTITUTE(TEXT(IF(ISTEXT(Overig!P584),Overig!P584,10*Overig!P584),""",""????0;"",""???-0;"",""????0;"", ////"""),"'","""")&amp;SUBSTITUTE(TEXT(Overig!Q584,""",""?00;"",""?-00;"",""?00;"", //"""),"'","""")&amp;SUBSTITUTE(TEXT(Overig!R584,""",""????0;"",""???-0;"",""????0;"", ////"""),"'","""")&amp;SUBSTITUTE(TEXT(Overig!S584,""",""?00;"",""?-00;"",""?00;"", //"""),"'","""")&amp;SUBSTITUTE(TEXT(IF(ISTEXT(Overig!T584),Overig!T584,10*Overig!T584),""",""????0;"",""???-0;"",""????0;"", ////"""),"'","""")&amp;SUBSTITUTE(TEXT(Overig!U584,""",""?00;"",""?-00;"",""?00;"", //"""),"'","""")&amp;SUBSTITUTE(TEXT(Overig!V584,""",""???0;"",""??-0;"",""???0;"", ///"""),"'","""")&amp;SUBSTITUTE(TEXT(Overig!W584,""",""?00;"",""?-00;"",""?00;"", //"""),"'","""")</f>
        <v>032, 19400525, 17.00, 7579, 00,  251, 00, ////, 07, ////, 07,  82, 00,  197, 00,  228, 00,   90, 00,    5, 00,   3, 00</v>
      </c>
    </row>
    <row r="585" spans="1:1" x14ac:dyDescent="0.25">
      <c r="A585" s="12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//"""),"'","""")&amp;SUBSTITUTE(TEXT(IF(ISTEXT(Overig!J585),Overig!J585,10*Overig!J585),""",""????0;"",""???-0;"",""????0;"", ////"""),"'","""")&amp;SUBSTITUTE(TEXT(Overig!K585,""",""?00;"",""?-00;"",""?00;"", //"""),"'","""")&amp;SUBSTITUTE(TEXT(Overig!L585,""",""???0;"",""??-0;"",""???0;"", ///"""),"'","""")&amp;SUBSTITUTE(TEXT(Overig!M585,""",""?00;"",""?-00;"",""?00;"", //"""),"'","""")&amp;SUBSTITUTE(TEXT(IF(ISTEXT(Overig!N585),Overig!N585,10*Overig!N585),""",""????0;"",""???-0;"",""????0;"", ////"""),"'","""")&amp;SUBSTITUTE(TEXT(Overig!O585,""",""?00;"",""?-00;"",""?00;"", //"""),"'","""")&amp;SUBSTITUTE(TEXT(IF(ISTEXT(Overig!P585),Overig!P585,10*Overig!P585),""",""????0;"",""???-0;"",""????0;"", ////"""),"'","""")&amp;SUBSTITUTE(TEXT(Overig!Q585,""",""?00;"",""?-00;"",""?00;"", //"""),"'","""")&amp;SUBSTITUTE(TEXT(Overig!R585,""",""????0;"",""???-0;"",""????0;"", ////"""),"'","""")&amp;SUBSTITUTE(TEXT(Overig!S585,""",""?00;"",""?-00;"",""?00;"", //"""),"'","""")&amp;SUBSTITUTE(TEXT(IF(ISTEXT(Overig!T585),Overig!T585,10*Overig!T585),""",""????0;"",""???-0;"",""????0;"", ////"""),"'","""")&amp;SUBSTITUTE(TEXT(Overig!U585,""",""?00;"",""?-00;"",""?00;"", //"""),"'","""")&amp;SUBSTITUTE(TEXT(Overig!V585,""",""???0;"",""??-0;"",""???0;"", ///"""),"'","""")&amp;SUBSTITUTE(TEXT(Overig!W585,""",""?00;"",""?-00;"",""?00;"", //"""),"'","""")</f>
        <v>032, 19400525, 24.00, ////, 07, ////, 07,  287, 00,  308, 00, ///, 07, ////, 07, ////, 07, ////, 07, ////, 07, ///, 07</v>
      </c>
    </row>
    <row r="586" spans="1:1" x14ac:dyDescent="0.25">
      <c r="A586" s="12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//"""),"'","""")&amp;SUBSTITUTE(TEXT(IF(ISTEXT(Overig!J586),Overig!J586,10*Overig!J586),""",""????0;"",""???-0;"",""????0;"", ////"""),"'","""")&amp;SUBSTITUTE(TEXT(Overig!K586,""",""?00;"",""?-00;"",""?00;"", //"""),"'","""")&amp;SUBSTITUTE(TEXT(Overig!L586,""",""???0;"",""??-0;"",""???0;"", ///"""),"'","""")&amp;SUBSTITUTE(TEXT(Overig!M586,""",""?00;"",""?-00;"",""?00;"", //"""),"'","""")&amp;SUBSTITUTE(TEXT(IF(ISTEXT(Overig!N586),Overig!N586,10*Overig!N586),""",""????0;"",""???-0;"",""????0;"", ////"""),"'","""")&amp;SUBSTITUTE(TEXT(Overig!O586,""",""?00;"",""?-00;"",""?00;"", //"""),"'","""")&amp;SUBSTITUTE(TEXT(IF(ISTEXT(Overig!P586),Overig!P586,10*Overig!P586),""",""????0;"",""???-0;"",""????0;"", ////"""),"'","""")&amp;SUBSTITUTE(TEXT(Overig!Q586,""",""?00;"",""?-00;"",""?00;"", //"""),"'","""")&amp;SUBSTITUTE(TEXT(Overig!R586,""",""????0;"",""???-0;"",""????0;"", ////"""),"'","""")&amp;SUBSTITUTE(TEXT(Overig!S586,""",""?00;"",""?-00;"",""?00;"", //"""),"'","""")&amp;SUBSTITUTE(TEXT(IF(ISTEXT(Overig!T586),Overig!T586,10*Overig!T586),""",""????0;"",""???-0;"",""????0;"", ////"""),"'","""")&amp;SUBSTITUTE(TEXT(Overig!U586,""",""?00;"",""?-00;"",""?00;"", //"""),"'","""")&amp;SUBSTITUTE(TEXT(Overig!V586,""",""???0;"",""??-0;"",""???0;"", ///"""),"'","""")&amp;SUBSTITUTE(TEXT(Overig!W586,""",""?00;"",""?-00;"",""?00;"", //"""),"'","""")</f>
        <v>032, 19400526, 07.00, 7582, 00,  257, 00, ////, 07, ////, 07,  82, 00,  204, 00,  234, 00,   90, 00,    4, 00,   3, 00</v>
      </c>
    </row>
    <row r="587" spans="1:1" x14ac:dyDescent="0.25">
      <c r="A587" s="12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//"""),"'","""")&amp;SUBSTITUTE(TEXT(IF(ISTEXT(Overig!J587),Overig!J587,10*Overig!J587),""",""????0;"",""???-0;"",""????0;"", ////"""),"'","""")&amp;SUBSTITUTE(TEXT(Overig!K587,""",""?00;"",""?-00;"",""?00;"", //"""),"'","""")&amp;SUBSTITUTE(TEXT(Overig!L587,""",""???0;"",""??-0;"",""???0;"", ///"""),"'","""")&amp;SUBSTITUTE(TEXT(Overig!M587,""",""?00;"",""?-00;"",""?00;"", //"""),"'","""")&amp;SUBSTITUTE(TEXT(IF(ISTEXT(Overig!N587),Overig!N587,10*Overig!N587),""",""????0;"",""???-0;"",""????0;"", ////"""),"'","""")&amp;SUBSTITUTE(TEXT(Overig!O587,""",""?00;"",""?-00;"",""?00;"", //"""),"'","""")&amp;SUBSTITUTE(TEXT(IF(ISTEXT(Overig!P587),Overig!P587,10*Overig!P587),""",""????0;"",""???-0;"",""????0;"", ////"""),"'","""")&amp;SUBSTITUTE(TEXT(Overig!Q587,""",""?00;"",""?-00;"",""?00;"", //"""),"'","""")&amp;SUBSTITUTE(TEXT(Overig!R587,""",""????0;"",""???-0;"",""????0;"", ////"""),"'","""")&amp;SUBSTITUTE(TEXT(Overig!S587,""",""?00;"",""?-00;"",""?00;"", //"""),"'","""")&amp;SUBSTITUTE(TEXT(IF(ISTEXT(Overig!T587),Overig!T587,10*Overig!T587),""",""????0;"",""???-0;"",""????0;"", ////"""),"'","""")&amp;SUBSTITUTE(TEXT(Overig!U587,""",""?00;"",""?-00;"",""?00;"", //"""),"'","""")&amp;SUBSTITUTE(TEXT(Overig!V587,""",""???0;"",""??-0;"",""???0;"", ///"""),"'","""")&amp;SUBSTITUTE(TEXT(Overig!W587,""",""?00;"",""?-00;"",""?00;"", //"""),"'","""")</f>
        <v>032, 19400526, 12.00, 7587, 00,  259, 00, ////, 07, ////, 07,  82, 00,  207, 00,  236, 00,   65, 00,    5, 00,   3, 00</v>
      </c>
    </row>
    <row r="588" spans="1:1" x14ac:dyDescent="0.25">
      <c r="A588" s="12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//"""),"'","""")&amp;SUBSTITUTE(TEXT(IF(ISTEXT(Overig!J588),Overig!J588,10*Overig!J588),""",""????0;"",""???-0;"",""????0;"", ////"""),"'","""")&amp;SUBSTITUTE(TEXT(Overig!K588,""",""?00;"",""?-00;"",""?00;"", //"""),"'","""")&amp;SUBSTITUTE(TEXT(Overig!L588,""",""???0;"",""??-0;"",""???0;"", ///"""),"'","""")&amp;SUBSTITUTE(TEXT(Overig!M588,""",""?00;"",""?-00;"",""?00;"", //"""),"'","""")&amp;SUBSTITUTE(TEXT(IF(ISTEXT(Overig!N588),Overig!N588,10*Overig!N588),""",""????0;"",""???-0;"",""????0;"", ////"""),"'","""")&amp;SUBSTITUTE(TEXT(Overig!O588,""",""?00;"",""?-00;"",""?00;"", //"""),"'","""")&amp;SUBSTITUTE(TEXT(IF(ISTEXT(Overig!P588),Overig!P588,10*Overig!P588),""",""????0;"",""???-0;"",""????0;"", ////"""),"'","""")&amp;SUBSTITUTE(TEXT(Overig!Q588,""",""?00;"",""?-00;"",""?00;"", //"""),"'","""")&amp;SUBSTITUTE(TEXT(Overig!R588,""",""????0;"",""???-0;"",""????0;"", ////"""),"'","""")&amp;SUBSTITUTE(TEXT(Overig!S588,""",""?00;"",""?-00;"",""?00;"", //"""),"'","""")&amp;SUBSTITUTE(TEXT(IF(ISTEXT(Overig!T588),Overig!T588,10*Overig!T588),""",""????0;"",""???-0;"",""????0;"", ////"""),"'","""")&amp;SUBSTITUTE(TEXT(Overig!U588,""",""?00;"",""?-00;"",""?00;"", //"""),"'","""")&amp;SUBSTITUTE(TEXT(Overig!V588,""",""???0;"",""??-0;"",""???0;"", ///"""),"'","""")&amp;SUBSTITUTE(TEXT(Overig!W588,""",""?00;"",""?-00;"",""?00;"", //"""),"'","""")</f>
        <v>032, 19400526, 17.00, 7582, 00,  258, 00, ////, 07, ////, 07,  78, 00,  195, 00,  229, 00,   65, 00,    5, 00,   3, 00</v>
      </c>
    </row>
    <row r="589" spans="1:1" x14ac:dyDescent="0.25">
      <c r="A589" s="12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//"""),"'","""")&amp;SUBSTITUTE(TEXT(IF(ISTEXT(Overig!J589),Overig!J589,10*Overig!J589),""",""????0;"",""???-0;"",""????0;"", ////"""),"'","""")&amp;SUBSTITUTE(TEXT(Overig!K589,""",""?00;"",""?-00;"",""?00;"", //"""),"'","""")&amp;SUBSTITUTE(TEXT(Overig!L589,""",""???0;"",""??-0;"",""???0;"", ///"""),"'","""")&amp;SUBSTITUTE(TEXT(Overig!M589,""",""?00;"",""?-00;"",""?00;"", //"""),"'","""")&amp;SUBSTITUTE(TEXT(IF(ISTEXT(Overig!N589),Overig!N589,10*Overig!N589),""",""????0;"",""???-0;"",""????0;"", ////"""),"'","""")&amp;SUBSTITUTE(TEXT(Overig!O589,""",""?00;"",""?-00;"",""?00;"", //"""),"'","""")&amp;SUBSTITUTE(TEXT(IF(ISTEXT(Overig!P589),Overig!P589,10*Overig!P589),""",""????0;"",""???-0;"",""????0;"", ////"""),"'","""")&amp;SUBSTITUTE(TEXT(Overig!Q589,""",""?00;"",""?-00;"",""?00;"", //"""),"'","""")&amp;SUBSTITUTE(TEXT(Overig!R589,""",""????0;"",""???-0;"",""????0;"", ////"""),"'","""")&amp;SUBSTITUTE(TEXT(Overig!S589,""",""?00;"",""?-00;"",""?00;"", //"""),"'","""")&amp;SUBSTITUTE(TEXT(IF(ISTEXT(Overig!T589),Overig!T589,10*Overig!T589),""",""????0;"",""???-0;"",""????0;"", ////"""),"'","""")&amp;SUBSTITUTE(TEXT(Overig!U589,""",""?00;"",""?-00;"",""?00;"", //"""),"'","""")&amp;SUBSTITUTE(TEXT(Overig!V589,""",""???0;"",""??-0;"",""???0;"", ///"""),"'","""")&amp;SUBSTITUTE(TEXT(Overig!W589,""",""?00;"",""?-00;"",""?00;"", //"""),"'","""")</f>
        <v>032, 19400526, 24.00, ////, 07, ////, 07,  284, 00,  300, 00, ///, 07, ////, 07, ////, 07, ////, 07, ////, 07, ///, 07</v>
      </c>
    </row>
    <row r="590" spans="1:1" x14ac:dyDescent="0.25">
      <c r="A590" s="12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//"""),"'","""")&amp;SUBSTITUTE(TEXT(IF(ISTEXT(Overig!J590),Overig!J590,10*Overig!J590),""",""????0;"",""???-0;"",""????0;"", ////"""),"'","""")&amp;SUBSTITUTE(TEXT(Overig!K590,""",""?00;"",""?-00;"",""?00;"", //"""),"'","""")&amp;SUBSTITUTE(TEXT(Overig!L590,""",""???0;"",""??-0;"",""???0;"", ///"""),"'","""")&amp;SUBSTITUTE(TEXT(Overig!M590,""",""?00;"",""?-00;"",""?00;"", //"""),"'","""")&amp;SUBSTITUTE(TEXT(IF(ISTEXT(Overig!N590),Overig!N590,10*Overig!N590),""",""????0;"",""???-0;"",""????0;"", ////"""),"'","""")&amp;SUBSTITUTE(TEXT(Overig!O590,""",""?00;"",""?-00;"",""?00;"", //"""),"'","""")&amp;SUBSTITUTE(TEXT(IF(ISTEXT(Overig!P590),Overig!P590,10*Overig!P590),""",""????0;"",""???-0;"",""????0;"", ////"""),"'","""")&amp;SUBSTITUTE(TEXT(Overig!Q590,""",""?00;"",""?-00;"",""?00;"", //"""),"'","""")&amp;SUBSTITUTE(TEXT(Overig!R590,""",""????0;"",""???-0;"",""????0;"", ////"""),"'","""")&amp;SUBSTITUTE(TEXT(Overig!S590,""",""?00;"",""?-00;"",""?00;"", //"""),"'","""")&amp;SUBSTITUTE(TEXT(IF(ISTEXT(Overig!T590),Overig!T590,10*Overig!T590),""",""????0;"",""???-0;"",""????0;"", ////"""),"'","""")&amp;SUBSTITUTE(TEXT(Overig!U590,""",""?00;"",""?-00;"",""?00;"", //"""),"'","""")&amp;SUBSTITUTE(TEXT(Overig!V590,""",""???0;"",""??-0;"",""???0;"", ///"""),"'","""")&amp;SUBSTITUTE(TEXT(Overig!W590,""",""?00;"",""?-00;"",""?00;"", //"""),"'","""")</f>
        <v>032, 19400527, 07.00, 7587, 00,  273, 00, ////, 07, ////, 07,  72, 00,  196, 00,  234, 00,   90, 00,    4, 00,   3, 00</v>
      </c>
    </row>
    <row r="591" spans="1:1" x14ac:dyDescent="0.25">
      <c r="A591" s="12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//"""),"'","""")&amp;SUBSTITUTE(TEXT(IF(ISTEXT(Overig!J591),Overig!J591,10*Overig!J591),""",""????0;"",""???-0;"",""????0;"", ////"""),"'","""")&amp;SUBSTITUTE(TEXT(Overig!K591,""",""?00;"",""?-00;"",""?00;"", //"""),"'","""")&amp;SUBSTITUTE(TEXT(Overig!L591,""",""???0;"",""??-0;"",""???0;"", ///"""),"'","""")&amp;SUBSTITUTE(TEXT(Overig!M591,""",""?00;"",""?-00;"",""?00;"", //"""),"'","""")&amp;SUBSTITUTE(TEXT(IF(ISTEXT(Overig!N591),Overig!N591,10*Overig!N591),""",""????0;"",""???-0;"",""????0;"", ////"""),"'","""")&amp;SUBSTITUTE(TEXT(Overig!O591,""",""?00;"",""?-00;"",""?00;"", //"""),"'","""")&amp;SUBSTITUTE(TEXT(IF(ISTEXT(Overig!P591),Overig!P591,10*Overig!P591),""",""????0;"",""???-0;"",""????0;"", ////"""),"'","""")&amp;SUBSTITUTE(TEXT(Overig!Q591,""",""?00;"",""?-00;"",""?00;"", //"""),"'","""")&amp;SUBSTITUTE(TEXT(Overig!R591,""",""????0;"",""???-0;"",""????0;"", ////"""),"'","""")&amp;SUBSTITUTE(TEXT(Overig!S591,""",""?00;"",""?-00;"",""?00;"", //"""),"'","""")&amp;SUBSTITUTE(TEXT(IF(ISTEXT(Overig!T591),Overig!T591,10*Overig!T591),""",""????0;"",""???-0;"",""????0;"", ////"""),"'","""")&amp;SUBSTITUTE(TEXT(Overig!U591,""",""?00;"",""?-00;"",""?00;"", //"""),"'","""")&amp;SUBSTITUTE(TEXT(Overig!V591,""",""???0;"",""??-0;"",""???0;"", ///"""),"'","""")&amp;SUBSTITUTE(TEXT(Overig!W591,""",""?00;"",""?-00;"",""?00;"", //"""),"'","""")</f>
        <v>032, 19400527, 12.00, 7592, 00,  285, 00, ////, 07, ////, 07,  68, 00,  198, 00,  238, 00,   65, 00,    6, 00,   3, 00</v>
      </c>
    </row>
    <row r="592" spans="1:1" x14ac:dyDescent="0.25">
      <c r="A592" s="12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//"""),"'","""")&amp;SUBSTITUTE(TEXT(IF(ISTEXT(Overig!J592),Overig!J592,10*Overig!J592),""",""????0;"",""???-0;"",""????0;"", ////"""),"'","""")&amp;SUBSTITUTE(TEXT(Overig!K592,""",""?00;"",""?-00;"",""?00;"", //"""),"'","""")&amp;SUBSTITUTE(TEXT(Overig!L592,""",""???0;"",""??-0;"",""???0;"", ///"""),"'","""")&amp;SUBSTITUTE(TEXT(Overig!M592,""",""?00;"",""?-00;"",""?00;"", //"""),"'","""")&amp;SUBSTITUTE(TEXT(IF(ISTEXT(Overig!N592),Overig!N592,10*Overig!N592),""",""????0;"",""???-0;"",""????0;"", ////"""),"'","""")&amp;SUBSTITUTE(TEXT(Overig!O592,""",""?00;"",""?-00;"",""?00;"", //"""),"'","""")&amp;SUBSTITUTE(TEXT(IF(ISTEXT(Overig!P592),Overig!P592,10*Overig!P592),""",""????0;"",""???-0;"",""????0;"", ////"""),"'","""")&amp;SUBSTITUTE(TEXT(Overig!Q592,""",""?00;"",""?-00;"",""?00;"", //"""),"'","""")&amp;SUBSTITUTE(TEXT(Overig!R592,""",""????0;"",""???-0;"",""????0;"", ////"""),"'","""")&amp;SUBSTITUTE(TEXT(Overig!S592,""",""?00;"",""?-00;"",""?00;"", //"""),"'","""")&amp;SUBSTITUTE(TEXT(IF(ISTEXT(Overig!T592),Overig!T592,10*Overig!T592),""",""????0;"",""???-0;"",""????0;"", ////"""),"'","""")&amp;SUBSTITUTE(TEXT(Overig!U592,""",""?00;"",""?-00;"",""?00;"", //"""),"'","""")&amp;SUBSTITUTE(TEXT(Overig!V592,""",""???0;"",""??-0;"",""???0;"", ///"""),"'","""")&amp;SUBSTITUTE(TEXT(Overig!W592,""",""?00;"",""?-00;"",""?00;"", //"""),"'","""")</f>
        <v>032, 19400527, 17.00, 7589, 00,  275, 00, ////, 07, ////, 07,  72, 00,  199, 00,  236, 00,   65, 00,    5, 00,   2, 00</v>
      </c>
    </row>
    <row r="593" spans="1:1" x14ac:dyDescent="0.25">
      <c r="A593" s="12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//"""),"'","""")&amp;SUBSTITUTE(TEXT(IF(ISTEXT(Overig!J593),Overig!J593,10*Overig!J593),""",""????0;"",""???-0;"",""????0;"", ////"""),"'","""")&amp;SUBSTITUTE(TEXT(Overig!K593,""",""?00;"",""?-00;"",""?00;"", //"""),"'","""")&amp;SUBSTITUTE(TEXT(Overig!L593,""",""???0;"",""??-0;"",""???0;"", ///"""),"'","""")&amp;SUBSTITUTE(TEXT(Overig!M593,""",""?00;"",""?-00;"",""?00;"", //"""),"'","""")&amp;SUBSTITUTE(TEXT(IF(ISTEXT(Overig!N593),Overig!N593,10*Overig!N593),""",""????0;"",""???-0;"",""????0;"", ////"""),"'","""")&amp;SUBSTITUTE(TEXT(Overig!O593,""",""?00;"",""?-00;"",""?00;"", //"""),"'","""")&amp;SUBSTITUTE(TEXT(IF(ISTEXT(Overig!P593),Overig!P593,10*Overig!P593),""",""????0;"",""???-0;"",""????0;"", ////"""),"'","""")&amp;SUBSTITUTE(TEXT(Overig!Q593,""",""?00;"",""?-00;"",""?00;"", //"""),"'","""")&amp;SUBSTITUTE(TEXT(Overig!R593,""",""????0;"",""???-0;"",""????0;"", ////"""),"'","""")&amp;SUBSTITUTE(TEXT(Overig!S593,""",""?00;"",""?-00;"",""?00;"", //"""),"'","""")&amp;SUBSTITUTE(TEXT(IF(ISTEXT(Overig!T593),Overig!T593,10*Overig!T593),""",""????0;"",""???-0;"",""????0;"", ////"""),"'","""")&amp;SUBSTITUTE(TEXT(Overig!U593,""",""?00;"",""?-00;"",""?00;"", //"""),"'","""")&amp;SUBSTITUTE(TEXT(Overig!V593,""",""???0;"",""??-0;"",""???0;"", ///"""),"'","""")&amp;SUBSTITUTE(TEXT(Overig!W593,""",""?00;"",""?-00;"",""?00;"", //"""),"'","""")</f>
        <v>032, 19400527, 24.00, ////, 07, ////, 07,  295, 00,  315, 00, ///, 07, ////, 07, ////, 07, ////, 07, ////, 07, ///, 07</v>
      </c>
    </row>
    <row r="594" spans="1:1" x14ac:dyDescent="0.25">
      <c r="A594" s="12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//"""),"'","""")&amp;SUBSTITUTE(TEXT(IF(ISTEXT(Overig!J594),Overig!J594,10*Overig!J594),""",""????0;"",""???-0;"",""????0;"", ////"""),"'","""")&amp;SUBSTITUTE(TEXT(Overig!K594,""",""?00;"",""?-00;"",""?00;"", //"""),"'","""")&amp;SUBSTITUTE(TEXT(Overig!L594,""",""???0;"",""??-0;"",""???0;"", ///"""),"'","""")&amp;SUBSTITUTE(TEXT(Overig!M594,""",""?00;"",""?-00;"",""?00;"", //"""),"'","""")&amp;SUBSTITUTE(TEXT(IF(ISTEXT(Overig!N594),Overig!N594,10*Overig!N594),""",""????0;"",""???-0;"",""????0;"", ////"""),"'","""")&amp;SUBSTITUTE(TEXT(Overig!O594,""",""?00;"",""?-00;"",""?00;"", //"""),"'","""")&amp;SUBSTITUTE(TEXT(IF(ISTEXT(Overig!P594),Overig!P594,10*Overig!P594),""",""????0;"",""???-0;"",""????0;"", ////"""),"'","""")&amp;SUBSTITUTE(TEXT(Overig!Q594,""",""?00;"",""?-00;"",""?00;"", //"""),"'","""")&amp;SUBSTITUTE(TEXT(Overig!R594,""",""????0;"",""???-0;"",""????0;"", ////"""),"'","""")&amp;SUBSTITUTE(TEXT(Overig!S594,""",""?00;"",""?-00;"",""?00;"", //"""),"'","""")&amp;SUBSTITUTE(TEXT(IF(ISTEXT(Overig!T594),Overig!T594,10*Overig!T594),""",""????0;"",""???-0;"",""????0;"", ////"""),"'","""")&amp;SUBSTITUTE(TEXT(Overig!U594,""",""?00;"",""?-00;"",""?00;"", //"""),"'","""")&amp;SUBSTITUTE(TEXT(Overig!V594,""",""???0;"",""??-0;"",""???0;"", ///"""),"'","""")&amp;SUBSTITUTE(TEXT(Overig!W594,""",""?00;"",""?-00;"",""?00;"", //"""),"'","""")</f>
        <v>032, 19400528, 07.00, 7582, 00,  265, 00, ////, 07, ////, 07,  78, 00,  204, 00,  236, 00,   90, 00,    4, 00,   3, 00</v>
      </c>
    </row>
    <row r="595" spans="1:1" x14ac:dyDescent="0.25">
      <c r="A595" s="12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//"""),"'","""")&amp;SUBSTITUTE(TEXT(IF(ISTEXT(Overig!J595),Overig!J595,10*Overig!J595),""",""????0;"",""???-0;"",""????0;"", ////"""),"'","""")&amp;SUBSTITUTE(TEXT(Overig!K595,""",""?00;"",""?-00;"",""?00;"", //"""),"'","""")&amp;SUBSTITUTE(TEXT(Overig!L595,""",""???0;"",""??-0;"",""???0;"", ///"""),"'","""")&amp;SUBSTITUTE(TEXT(Overig!M595,""",""?00;"",""?-00;"",""?00;"", //"""),"'","""")&amp;SUBSTITUTE(TEXT(IF(ISTEXT(Overig!N595),Overig!N595,10*Overig!N595),""",""????0;"",""???-0;"",""????0;"", ////"""),"'","""")&amp;SUBSTITUTE(TEXT(Overig!O595,""",""?00;"",""?-00;"",""?00;"", //"""),"'","""")&amp;SUBSTITUTE(TEXT(IF(ISTEXT(Overig!P595),Overig!P595,10*Overig!P595),""",""????0;"",""???-0;"",""????0;"", ////"""),"'","""")&amp;SUBSTITUTE(TEXT(Overig!Q595,""",""?00;"",""?-00;"",""?00;"", //"""),"'","""")&amp;SUBSTITUTE(TEXT(Overig!R595,""",""????0;"",""???-0;"",""????0;"", ////"""),"'","""")&amp;SUBSTITUTE(TEXT(Overig!S595,""",""?00;"",""?-00;"",""?00;"", //"""),"'","""")&amp;SUBSTITUTE(TEXT(IF(ISTEXT(Overig!T595),Overig!T595,10*Overig!T595),""",""????0;"",""???-0;"",""????0;"", ////"""),"'","""")&amp;SUBSTITUTE(TEXT(Overig!U595,""",""?00;"",""?-00;"",""?00;"", //"""),"'","""")&amp;SUBSTITUTE(TEXT(Overig!V595,""",""???0;"",""??-0;"",""???0;"", ///"""),"'","""")&amp;SUBSTITUTE(TEXT(Overig!W595,""",""?00;"",""?-00;"",""?00;"", //"""),"'","""")</f>
        <v>032, 19400528, 12.00, 7579, 00,  275, 00, ////, 07, ////, 07,  73, 00,  203, 00,  238, 00,   90, 00,    6, 00,   4, 00</v>
      </c>
    </row>
    <row r="596" spans="1:1" x14ac:dyDescent="0.25">
      <c r="A596" s="12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//"""),"'","""")&amp;SUBSTITUTE(TEXT(IF(ISTEXT(Overig!J596),Overig!J596,10*Overig!J596),""",""????0;"",""???-0;"",""????0;"", ////"""),"'","""")&amp;SUBSTITUTE(TEXT(Overig!K596,""",""?00;"",""?-00;"",""?00;"", //"""),"'","""")&amp;SUBSTITUTE(TEXT(Overig!L596,""",""???0;"",""??-0;"",""???0;"", ///"""),"'","""")&amp;SUBSTITUTE(TEXT(Overig!M596,""",""?00;"",""?-00;"",""?00;"", //"""),"'","""")&amp;SUBSTITUTE(TEXT(IF(ISTEXT(Overig!N596),Overig!N596,10*Overig!N596),""",""????0;"",""???-0;"",""????0;"", ////"""),"'","""")&amp;SUBSTITUTE(TEXT(Overig!O596,""",""?00;"",""?-00;"",""?00;"", //"""),"'","""")&amp;SUBSTITUTE(TEXT(IF(ISTEXT(Overig!P596),Overig!P596,10*Overig!P596),""",""????0;"",""???-0;"",""????0;"", ////"""),"'","""")&amp;SUBSTITUTE(TEXT(Overig!Q596,""",""?00;"",""?-00;"",""?00;"", //"""),"'","""")&amp;SUBSTITUTE(TEXT(Overig!R596,""",""????0;"",""???-0;"",""????0;"", ////"""),"'","""")&amp;SUBSTITUTE(TEXT(Overig!S596,""",""?00;"",""?-00;"",""?00;"", //"""),"'","""")&amp;SUBSTITUTE(TEXT(IF(ISTEXT(Overig!T596),Overig!T596,10*Overig!T596),""",""????0;"",""???-0;"",""????0;"", ////"""),"'","""")&amp;SUBSTITUTE(TEXT(Overig!U596,""",""?00;"",""?-00;"",""?00;"", //"""),"'","""")&amp;SUBSTITUTE(TEXT(Overig!V596,""",""???0;"",""??-0;"",""???0;"", ///"""),"'","""")&amp;SUBSTITUTE(TEXT(Overig!W596,""",""?00;"",""?-00;"",""?00;"", //"""),"'","""")</f>
        <v>032, 19400528, 17.00, 7567, 00,  267, 00, ////, 07, ////, 07,  76, 00,  199, 00,  234, 00,   65, 00,    6, 00,   4, 00</v>
      </c>
    </row>
    <row r="597" spans="1:1" x14ac:dyDescent="0.25">
      <c r="A597" s="12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//"""),"'","""")&amp;SUBSTITUTE(TEXT(IF(ISTEXT(Overig!J597),Overig!J597,10*Overig!J597),""",""????0;"",""???-0;"",""????0;"", ////"""),"'","""")&amp;SUBSTITUTE(TEXT(Overig!K597,""",""?00;"",""?-00;"",""?00;"", //"""),"'","""")&amp;SUBSTITUTE(TEXT(Overig!L597,""",""???0;"",""??-0;"",""???0;"", ///"""),"'","""")&amp;SUBSTITUTE(TEXT(Overig!M597,""",""?00;"",""?-00;"",""?00;"", //"""),"'","""")&amp;SUBSTITUTE(TEXT(IF(ISTEXT(Overig!N597),Overig!N597,10*Overig!N597),""",""????0;"",""???-0;"",""????0;"", ////"""),"'","""")&amp;SUBSTITUTE(TEXT(Overig!O597,""",""?00;"",""?-00;"",""?00;"", //"""),"'","""")&amp;SUBSTITUTE(TEXT(IF(ISTEXT(Overig!P597),Overig!P597,10*Overig!P597),""",""????0;"",""???-0;"",""????0;"", ////"""),"'","""")&amp;SUBSTITUTE(TEXT(Overig!Q597,""",""?00;"",""?-00;"",""?00;"", //"""),"'","""")&amp;SUBSTITUTE(TEXT(Overig!R597,""",""????0;"",""???-0;"",""????0;"", ////"""),"'","""")&amp;SUBSTITUTE(TEXT(Overig!S597,""",""?00;"",""?-00;"",""?00;"", //"""),"'","""")&amp;SUBSTITUTE(TEXT(IF(ISTEXT(Overig!T597),Overig!T597,10*Overig!T597),""",""????0;"",""???-0;"",""????0;"", ////"""),"'","""")&amp;SUBSTITUTE(TEXT(Overig!U597,""",""?00;"",""?-00;"",""?00;"", //"""),"'","""")&amp;SUBSTITUTE(TEXT(Overig!V597,""",""???0;"",""??-0;"",""???0;"", ///"""),"'","""")&amp;SUBSTITUTE(TEXT(Overig!W597,""",""?00;"",""?-00;"",""?00;"", //"""),"'","""")</f>
        <v>032, 19400528, 24.00, ////, 07, ////, 07,  290, 00,  300, 00, ///, 07, ////, 07, ////, 07, ////, 07, ////, 07, ///, 07</v>
      </c>
    </row>
    <row r="598" spans="1:1" x14ac:dyDescent="0.25">
      <c r="A598" s="12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//"""),"'","""")&amp;SUBSTITUTE(TEXT(IF(ISTEXT(Overig!J598),Overig!J598,10*Overig!J598),""",""????0;"",""???-0;"",""????0;"", ////"""),"'","""")&amp;SUBSTITUTE(TEXT(Overig!K598,""",""?00;"",""?-00;"",""?00;"", //"""),"'","""")&amp;SUBSTITUTE(TEXT(Overig!L598,""",""???0;"",""??-0;"",""???0;"", ///"""),"'","""")&amp;SUBSTITUTE(TEXT(Overig!M598,""",""?00;"",""?-00;"",""?00;"", //"""),"'","""")&amp;SUBSTITUTE(TEXT(IF(ISTEXT(Overig!N598),Overig!N598,10*Overig!N598),""",""????0;"",""???-0;"",""????0;"", ////"""),"'","""")&amp;SUBSTITUTE(TEXT(Overig!O598,""",""?00;"",""?-00;"",""?00;"", //"""),"'","""")&amp;SUBSTITUTE(TEXT(IF(ISTEXT(Overig!P598),Overig!P598,10*Overig!P598),""",""????0;"",""???-0;"",""????0;"", ////"""),"'","""")&amp;SUBSTITUTE(TEXT(Overig!Q598,""",""?00;"",""?-00;"",""?00;"", //"""),"'","""")&amp;SUBSTITUTE(TEXT(Overig!R598,""",""????0;"",""???-0;"",""????0;"", ////"""),"'","""")&amp;SUBSTITUTE(TEXT(Overig!S598,""",""?00;"",""?-00;"",""?00;"", //"""),"'","""")&amp;SUBSTITUTE(TEXT(IF(ISTEXT(Overig!T598),Overig!T598,10*Overig!T598),""",""????0;"",""???-0;"",""????0;"", ////"""),"'","""")&amp;SUBSTITUTE(TEXT(Overig!U598,""",""?00;"",""?-00;"",""?00;"", //"""),"'","""")&amp;SUBSTITUTE(TEXT(Overig!V598,""",""???0;"",""??-0;"",""???0;"", ///"""),"'","""")&amp;SUBSTITUTE(TEXT(Overig!W598,""",""?00;"",""?-00;"",""?00;"", //"""),"'","""")</f>
        <v>032, 19400529, 07.00, 7582, 00,  281, 00, ////, 07, ////, 07,  70, 00,  200, 00,  238, 00,   90, 00,    5, 00,   5, 00</v>
      </c>
    </row>
    <row r="599" spans="1:1" x14ac:dyDescent="0.25">
      <c r="A599" s="12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//"""),"'","""")&amp;SUBSTITUTE(TEXT(IF(ISTEXT(Overig!J599),Overig!J599,10*Overig!J599),""",""????0;"",""???-0;"",""????0;"", ////"""),"'","""")&amp;SUBSTITUTE(TEXT(Overig!K599,""",""?00;"",""?-00;"",""?00;"", //"""),"'","""")&amp;SUBSTITUTE(TEXT(Overig!L599,""",""???0;"",""??-0;"",""???0;"", ///"""),"'","""")&amp;SUBSTITUTE(TEXT(Overig!M599,""",""?00;"",""?-00;"",""?00;"", //"""),"'","""")&amp;SUBSTITUTE(TEXT(IF(ISTEXT(Overig!N599),Overig!N599,10*Overig!N599),""",""????0;"",""???-0;"",""????0;"", ////"""),"'","""")&amp;SUBSTITUTE(TEXT(Overig!O599,""",""?00;"",""?-00;"",""?00;"", //"""),"'","""")&amp;SUBSTITUTE(TEXT(IF(ISTEXT(Overig!P599),Overig!P599,10*Overig!P599),""",""????0;"",""???-0;"",""????0;"", ////"""),"'","""")&amp;SUBSTITUTE(TEXT(Overig!Q599,""",""?00;"",""?-00;"",""?00;"", //"""),"'","""")&amp;SUBSTITUTE(TEXT(Overig!R599,""",""????0;"",""???-0;"",""????0;"", ////"""),"'","""")&amp;SUBSTITUTE(TEXT(Overig!S599,""",""?00;"",""?-00;"",""?00;"", //"""),"'","""")&amp;SUBSTITUTE(TEXT(IF(ISTEXT(Overig!T599),Overig!T599,10*Overig!T599),""",""????0;"",""???-0;"",""????0;"", ////"""),"'","""")&amp;SUBSTITUTE(TEXT(Overig!U599,""",""?00;"",""?-00;"",""?00;"", //"""),"'","""")&amp;SUBSTITUTE(TEXT(Overig!V599,""",""???0;"",""??-0;"",""???0;"", ///"""),"'","""")&amp;SUBSTITUTE(TEXT(Overig!W599,""",""?00;"",""?-00;"",""?00;"", //"""),"'","""")</f>
        <v>032, 19400529, 12.00, 7587, 00,  285, 00, ////, 07, ////, 07,  69, 00,  201, 00,  240, 00,   90, 00,    6, 00,   4, 00</v>
      </c>
    </row>
    <row r="600" spans="1:1" x14ac:dyDescent="0.25">
      <c r="A600" s="12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//"""),"'","""")&amp;SUBSTITUTE(TEXT(IF(ISTEXT(Overig!J600),Overig!J600,10*Overig!J600),""",""????0;"",""???-0;"",""????0;"", ////"""),"'","""")&amp;SUBSTITUTE(TEXT(Overig!K600,""",""?00;"",""?-00;"",""?00;"", //"""),"'","""")&amp;SUBSTITUTE(TEXT(Overig!L600,""",""???0;"",""??-0;"",""???0;"", ///"""),"'","""")&amp;SUBSTITUTE(TEXT(Overig!M600,""",""?00;"",""?-00;"",""?00;"", //"""),"'","""")&amp;SUBSTITUTE(TEXT(IF(ISTEXT(Overig!N600),Overig!N600,10*Overig!N600),""",""????0;"",""???-0;"",""????0;"", ////"""),"'","""")&amp;SUBSTITUTE(TEXT(Overig!O600,""",""?00;"",""?-00;"",""?00;"", //"""),"'","""")&amp;SUBSTITUTE(TEXT(IF(ISTEXT(Overig!P600),Overig!P600,10*Overig!P600),""",""????0;"",""???-0;"",""????0;"", ////"""),"'","""")&amp;SUBSTITUTE(TEXT(Overig!Q600,""",""?00;"",""?-00;"",""?00;"", //"""),"'","""")&amp;SUBSTITUTE(TEXT(Overig!R600,""",""????0;"",""???-0;"",""????0;"", ////"""),"'","""")&amp;SUBSTITUTE(TEXT(Overig!S600,""",""?00;"",""?-00;"",""?00;"", //"""),"'","""")&amp;SUBSTITUTE(TEXT(IF(ISTEXT(Overig!T600),Overig!T600,10*Overig!T600),""",""????0;"",""???-0;"",""????0;"", ////"""),"'","""")&amp;SUBSTITUTE(TEXT(Overig!U600,""",""?00;"",""?-00;"",""?00;"", //"""),"'","""")&amp;SUBSTITUTE(TEXT(Overig!V600,""",""???0;"",""??-0;"",""???0;"", ///"""),"'","""")&amp;SUBSTITUTE(TEXT(Overig!W600,""",""?00;"",""?-00;"",""?00;"", //"""),"'","""")</f>
        <v>032, 19400529, 17.00, 7582, 00,  271, 00, ////, 07, ////, 07,  75, 00,  201, 00,  236, 00,   65, 00,    6, 00,   4, 00</v>
      </c>
    </row>
    <row r="601" spans="1:1" x14ac:dyDescent="0.25">
      <c r="A601" s="12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//"""),"'","""")&amp;SUBSTITUTE(TEXT(IF(ISTEXT(Overig!J601),Overig!J601,10*Overig!J601),""",""????0;"",""???-0;"",""????0;"", ////"""),"'","""")&amp;SUBSTITUTE(TEXT(Overig!K601,""",""?00;"",""?-00;"",""?00;"", //"""),"'","""")&amp;SUBSTITUTE(TEXT(Overig!L601,""",""???0;"",""??-0;"",""???0;"", ///"""),"'","""")&amp;SUBSTITUTE(TEXT(Overig!M601,""",""?00;"",""?-00;"",""?00;"", //"""),"'","""")&amp;SUBSTITUTE(TEXT(IF(ISTEXT(Overig!N601),Overig!N601,10*Overig!N601),""",""????0;"",""???-0;"",""????0;"", ////"""),"'","""")&amp;SUBSTITUTE(TEXT(Overig!O601,""",""?00;"",""?-00;"",""?00;"", //"""),"'","""")&amp;SUBSTITUTE(TEXT(IF(ISTEXT(Overig!P601),Overig!P601,10*Overig!P601),""",""????0;"",""???-0;"",""????0;"", ////"""),"'","""")&amp;SUBSTITUTE(TEXT(Overig!Q601,""",""?00;"",""?-00;"",""?00;"", //"""),"'","""")&amp;SUBSTITUTE(TEXT(Overig!R601,""",""????0;"",""???-0;"",""????0;"", ////"""),"'","""")&amp;SUBSTITUTE(TEXT(Overig!S601,""",""?00;"",""?-00;"",""?00;"", //"""),"'","""")&amp;SUBSTITUTE(TEXT(IF(ISTEXT(Overig!T601),Overig!T601,10*Overig!T601),""",""????0;"",""???-0;"",""????0;"", ////"""),"'","""")&amp;SUBSTITUTE(TEXT(Overig!U601,""",""?00;"",""?-00;"",""?00;"", //"""),"'","""")&amp;SUBSTITUTE(TEXT(Overig!V601,""",""???0;"",""??-0;"",""???0;"", ///"""),"'","""")&amp;SUBSTITUTE(TEXT(Overig!W601,""",""?00;"",""?-00;"",""?00;"", //"""),"'","""")</f>
        <v>032, 19400529, 24.00, ////, 07, ////, 07,  288, 00,  315, 00, ///, 07, ////, 07, ////, 07, ////, 07, ////, 07, ///, 07</v>
      </c>
    </row>
    <row r="602" spans="1:1" x14ac:dyDescent="0.25">
      <c r="A602" s="12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//"""),"'","""")&amp;SUBSTITUTE(TEXT(IF(ISTEXT(Overig!J602),Overig!J602,10*Overig!J602),""",""????0;"",""???-0;"",""????0;"", ////"""),"'","""")&amp;SUBSTITUTE(TEXT(Overig!K602,""",""?00;"",""?-00;"",""?00;"", //"""),"'","""")&amp;SUBSTITUTE(TEXT(Overig!L602,""",""???0;"",""??-0;"",""???0;"", ///"""),"'","""")&amp;SUBSTITUTE(TEXT(Overig!M602,""",""?00;"",""?-00;"",""?00;"", //"""),"'","""")&amp;SUBSTITUTE(TEXT(IF(ISTEXT(Overig!N602),Overig!N602,10*Overig!N602),""",""????0;"",""???-0;"",""????0;"", ////"""),"'","""")&amp;SUBSTITUTE(TEXT(Overig!O602,""",""?00;"",""?-00;"",""?00;"", //"""),"'","""")&amp;SUBSTITUTE(TEXT(IF(ISTEXT(Overig!P602),Overig!P602,10*Overig!P602),""",""????0;"",""???-0;"",""????0;"", ////"""),"'","""")&amp;SUBSTITUTE(TEXT(Overig!Q602,""",""?00;"",""?-00;"",""?00;"", //"""),"'","""")&amp;SUBSTITUTE(TEXT(Overig!R602,""",""????0;"",""???-0;"",""????0;"", ////"""),"'","""")&amp;SUBSTITUTE(TEXT(Overig!S602,""",""?00;"",""?-00;"",""?00;"", //"""),"'","""")&amp;SUBSTITUTE(TEXT(IF(ISTEXT(Overig!T602),Overig!T602,10*Overig!T602),""",""????0;"",""???-0;"",""????0;"", ////"""),"'","""")&amp;SUBSTITUTE(TEXT(Overig!U602,""",""?00;"",""?-00;"",""?00;"", //"""),"'","""")&amp;SUBSTITUTE(TEXT(Overig!V602,""",""???0;"",""??-0;"",""???0;"", ///"""),"'","""")&amp;SUBSTITUTE(TEXT(Overig!W602,""",""?00;"",""?-00;"",""?00;"", //"""),"'","""")</f>
        <v>032, 19400530, 07.00, 7595, 00,  285, 00, ////, 07, ////, 07,  68, 00,  198, 00,  238, 00,   90, 00,    6, 00,   5, 00</v>
      </c>
    </row>
    <row r="603" spans="1:1" x14ac:dyDescent="0.25">
      <c r="A603" s="12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//"""),"'","""")&amp;SUBSTITUTE(TEXT(IF(ISTEXT(Overig!J603),Overig!J603,10*Overig!J603),""",""????0;"",""???-0;"",""????0;"", ////"""),"'","""")&amp;SUBSTITUTE(TEXT(Overig!K603,""",""?00;"",""?-00;"",""?00;"", //"""),"'","""")&amp;SUBSTITUTE(TEXT(Overig!L603,""",""???0;"",""??-0;"",""???0;"", ///"""),"'","""")&amp;SUBSTITUTE(TEXT(Overig!M603,""",""?00;"",""?-00;"",""?00;"", //"""),"'","""")&amp;SUBSTITUTE(TEXT(IF(ISTEXT(Overig!N603),Overig!N603,10*Overig!N603),""",""????0;"",""???-0;"",""????0;"", ////"""),"'","""")&amp;SUBSTITUTE(TEXT(Overig!O603,""",""?00;"",""?-00;"",""?00;"", //"""),"'","""")&amp;SUBSTITUTE(TEXT(IF(ISTEXT(Overig!P603),Overig!P603,10*Overig!P603),""",""????0;"",""???-0;"",""????0;"", ////"""),"'","""")&amp;SUBSTITUTE(TEXT(Overig!Q603,""",""?00;"",""?-00;"",""?00;"", //"""),"'","""")&amp;SUBSTITUTE(TEXT(Overig!R603,""",""????0;"",""???-0;"",""????0;"", ////"""),"'","""")&amp;SUBSTITUTE(TEXT(Overig!S603,""",""?00;"",""?-00;"",""?00;"", //"""),"'","""")&amp;SUBSTITUTE(TEXT(IF(ISTEXT(Overig!T603),Overig!T603,10*Overig!T603),""",""????0;"",""???-0;"",""????0;"", ////"""),"'","""")&amp;SUBSTITUTE(TEXT(Overig!U603,""",""?00;"",""?-00;"",""?00;"", //"""),"'","""")&amp;SUBSTITUTE(TEXT(Overig!V603,""",""???0;"",""??-0;"",""???0;"", ///"""),"'","""")&amp;SUBSTITUTE(TEXT(Overig!W603,""",""?00;"",""?-00;"",""?00;"", //"""),"'","""")</f>
        <v>032, 19400530, 12.00, 7579, 00,  287, 00, ////, 07, ////, 07,  68, 00,  200, 00,  240, 00,   90, 00,    6, 00,   5, 00</v>
      </c>
    </row>
    <row r="604" spans="1:1" x14ac:dyDescent="0.25">
      <c r="A604" s="12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//"""),"'","""")&amp;SUBSTITUTE(TEXT(IF(ISTEXT(Overig!J604),Overig!J604,10*Overig!J604),""",""????0;"",""???-0;"",""????0;"", ////"""),"'","""")&amp;SUBSTITUTE(TEXT(Overig!K604,""",""?00;"",""?-00;"",""?00;"", //"""),"'","""")&amp;SUBSTITUTE(TEXT(Overig!L604,""",""???0;"",""??-0;"",""???0;"", ///"""),"'","""")&amp;SUBSTITUTE(TEXT(Overig!M604,""",""?00;"",""?-00;"",""?00;"", //"""),"'","""")&amp;SUBSTITUTE(TEXT(IF(ISTEXT(Overig!N604),Overig!N604,10*Overig!N604),""",""????0;"",""???-0;"",""????0;"", ////"""),"'","""")&amp;SUBSTITUTE(TEXT(Overig!O604,""",""?00;"",""?-00;"",""?00;"", //"""),"'","""")&amp;SUBSTITUTE(TEXT(IF(ISTEXT(Overig!P604),Overig!P604,10*Overig!P604),""",""????0;"",""???-0;"",""????0;"", ////"""),"'","""")&amp;SUBSTITUTE(TEXT(Overig!Q604,""",""?00;"",""?-00;"",""?00;"", //"""),"'","""")&amp;SUBSTITUTE(TEXT(Overig!R604,""",""????0;"",""???-0;"",""????0;"", ////"""),"'","""")&amp;SUBSTITUTE(TEXT(Overig!S604,""",""?00;"",""?-00;"",""?00;"", //"""),"'","""")&amp;SUBSTITUTE(TEXT(IF(ISTEXT(Overig!T604),Overig!T604,10*Overig!T604),""",""????0;"",""???-0;"",""????0;"", ////"""),"'","""")&amp;SUBSTITUTE(TEXT(Overig!U604,""",""?00;"",""?-00;"",""?00;"", //"""),"'","""")&amp;SUBSTITUTE(TEXT(Overig!V604,""",""???0;"",""??-0;"",""???0;"", ///"""),"'","""")&amp;SUBSTITUTE(TEXT(Overig!W604,""",""?00;"",""?-00;"",""?00;"", //"""),"'","""")</f>
        <v>032, 19400530, 17.00, 7579, 00,  287, 00, ////, 07, ////, 07,  68, 00,  200, 00,  240, 00,   65, 00,    6, 00,   4, 00</v>
      </c>
    </row>
    <row r="605" spans="1:1" x14ac:dyDescent="0.25">
      <c r="A605" s="12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//"""),"'","""")&amp;SUBSTITUTE(TEXT(IF(ISTEXT(Overig!J605),Overig!J605,10*Overig!J605),""",""????0;"",""???-0;"",""????0;"", ////"""),"'","""")&amp;SUBSTITUTE(TEXT(Overig!K605,""",""?00;"",""?-00;"",""?00;"", //"""),"'","""")&amp;SUBSTITUTE(TEXT(Overig!L605,""",""???0;"",""??-0;"",""???0;"", ///"""),"'","""")&amp;SUBSTITUTE(TEXT(Overig!M605,""",""?00;"",""?-00;"",""?00;"", //"""),"'","""")&amp;SUBSTITUTE(TEXT(IF(ISTEXT(Overig!N605),Overig!N605,10*Overig!N605),""",""????0;"",""???-0;"",""????0;"", ////"""),"'","""")&amp;SUBSTITUTE(TEXT(Overig!O605,""",""?00;"",""?-00;"",""?00;"", //"""),"'","""")&amp;SUBSTITUTE(TEXT(IF(ISTEXT(Overig!P605),Overig!P605,10*Overig!P605),""",""????0;"",""???-0;"",""????0;"", ////"""),"'","""")&amp;SUBSTITUTE(TEXT(Overig!Q605,""",""?00;"",""?-00;"",""?00;"", //"""),"'","""")&amp;SUBSTITUTE(TEXT(Overig!R605,""",""????0;"",""???-0;"",""????0;"", ////"""),"'","""")&amp;SUBSTITUTE(TEXT(Overig!S605,""",""?00;"",""?-00;"",""?00;"", //"""),"'","""")&amp;SUBSTITUTE(TEXT(IF(ISTEXT(Overig!T605),Overig!T605,10*Overig!T605),""",""????0;"",""???-0;"",""????0;"", ////"""),"'","""")&amp;SUBSTITUTE(TEXT(Overig!U605,""",""?00;"",""?-00;"",""?00;"", //"""),"'","""")&amp;SUBSTITUTE(TEXT(Overig!V605,""",""???0;"",""??-0;"",""???0;"", ///"""),"'","""")&amp;SUBSTITUTE(TEXT(Overig!W605,""",""?00;"",""?-00;"",""?00;"", //"""),"'","""")</f>
        <v>032, 19400530, 24.00, ////, 07, ////, 07,  303, 00,  316, 00, ///, 07, ////, 07, ////, 07, ////, 07, ////, 07, ///, 07</v>
      </c>
    </row>
    <row r="606" spans="1:1" x14ac:dyDescent="0.25">
      <c r="A606" s="12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//"""),"'","""")&amp;SUBSTITUTE(TEXT(IF(ISTEXT(Overig!J606),Overig!J606,10*Overig!J606),""",""????0;"",""???-0;"",""????0;"", ////"""),"'","""")&amp;SUBSTITUTE(TEXT(Overig!K606,""",""?00;"",""?-00;"",""?00;"", //"""),"'","""")&amp;SUBSTITUTE(TEXT(Overig!L606,""",""???0;"",""??-0;"",""???0;"", ///"""),"'","""")&amp;SUBSTITUTE(TEXT(Overig!M606,""",""?00;"",""?-00;"",""?00;"", //"""),"'","""")&amp;SUBSTITUTE(TEXT(IF(ISTEXT(Overig!N606),Overig!N606,10*Overig!N606),""",""????0;"",""???-0;"",""????0;"", ////"""),"'","""")&amp;SUBSTITUTE(TEXT(Overig!O606,""",""?00;"",""?-00;"",""?00;"", //"""),"'","""")&amp;SUBSTITUTE(TEXT(IF(ISTEXT(Overig!P606),Overig!P606,10*Overig!P606),""",""????0;"",""???-0;"",""????0;"", ////"""),"'","""")&amp;SUBSTITUTE(TEXT(Overig!Q606,""",""?00;"",""?-00;"",""?00;"", //"""),"'","""")&amp;SUBSTITUTE(TEXT(Overig!R606,""",""????0;"",""???-0;"",""????0;"", ////"""),"'","""")&amp;SUBSTITUTE(TEXT(Overig!S606,""",""?00;"",""?-00;"",""?00;"", //"""),"'","""")&amp;SUBSTITUTE(TEXT(IF(ISTEXT(Overig!T606),Overig!T606,10*Overig!T606),""",""????0;"",""???-0;"",""????0;"", ////"""),"'","""")&amp;SUBSTITUTE(TEXT(Overig!U606,""",""?00;"",""?-00;"",""?00;"", //"""),"'","""")&amp;SUBSTITUTE(TEXT(Overig!V606,""",""???0;"",""??-0;"",""???0;"", ///"""),"'","""")&amp;SUBSTITUTE(TEXT(Overig!W606,""",""?00;"",""?-00;"",""?00;"", //"""),"'","""")</f>
        <v>032, 19400531, 07.00, 7587, 00,  263, 00, ////, 07, ////, 07,  74, 00,  191, 00,  228, 00,   90, 00,    5, 00,   3, 00</v>
      </c>
    </row>
    <row r="607" spans="1:1" x14ac:dyDescent="0.25">
      <c r="A607" s="12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//"""),"'","""")&amp;SUBSTITUTE(TEXT(IF(ISTEXT(Overig!J607),Overig!J607,10*Overig!J607),""",""????0;"",""???-0;"",""????0;"", ////"""),"'","""")&amp;SUBSTITUTE(TEXT(Overig!K607,""",""?00;"",""?-00;"",""?00;"", //"""),"'","""")&amp;SUBSTITUTE(TEXT(Overig!L607,""",""???0;"",""??-0;"",""???0;"", ///"""),"'","""")&amp;SUBSTITUTE(TEXT(Overig!M607,""",""?00;"",""?-00;"",""?00;"", //"""),"'","""")&amp;SUBSTITUTE(TEXT(IF(ISTEXT(Overig!N607),Overig!N607,10*Overig!N607),""",""????0;"",""???-0;"",""????0;"", ////"""),"'","""")&amp;SUBSTITUTE(TEXT(Overig!O607,""",""?00;"",""?-00;"",""?00;"", //"""),"'","""")&amp;SUBSTITUTE(TEXT(IF(ISTEXT(Overig!P607),Overig!P607,10*Overig!P607),""",""????0;"",""???-0;"",""????0;"", ////"""),"'","""")&amp;SUBSTITUTE(TEXT(Overig!Q607,""",""?00;"",""?-00;"",""?00;"", //"""),"'","""")&amp;SUBSTITUTE(TEXT(Overig!R607,""",""????0;"",""???-0;"",""????0;"", ////"""),"'","""")&amp;SUBSTITUTE(TEXT(Overig!S607,""",""?00;"",""?-00;"",""?00;"", //"""),"'","""")&amp;SUBSTITUTE(TEXT(IF(ISTEXT(Overig!T607),Overig!T607,10*Overig!T607),""",""????0;"",""???-0;"",""????0;"", ////"""),"'","""")&amp;SUBSTITUTE(TEXT(Overig!U607,""",""?00;"",""?-00;"",""?00;"", //"""),"'","""")&amp;SUBSTITUTE(TEXT(Overig!V607,""",""???0;"",""??-0;"",""???0;"", ///"""),"'","""")&amp;SUBSTITUTE(TEXT(Overig!W607,""",""?00;"",""?-00;"",""?00;"", //"""),"'","""")</f>
        <v>032, 19400531, 12.00, 7595, 00,  285, 00, ////, 07, ////, 07,  66, 00,  194, 00,  236, 00,   90, 00,    6, 00,   2, 00</v>
      </c>
    </row>
    <row r="608" spans="1:1" x14ac:dyDescent="0.25">
      <c r="A608" s="12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//"""),"'","""")&amp;SUBSTITUTE(TEXT(IF(ISTEXT(Overig!J608),Overig!J608,10*Overig!J608),""",""????0;"",""???-0;"",""????0;"", ////"""),"'","""")&amp;SUBSTITUTE(TEXT(Overig!K608,""",""?00;"",""?-00;"",""?00;"", //"""),"'","""")&amp;SUBSTITUTE(TEXT(Overig!L608,""",""???0;"",""??-0;"",""???0;"", ///"""),"'","""")&amp;SUBSTITUTE(TEXT(Overig!M608,""",""?00;"",""?-00;"",""?00;"", //"""),"'","""")&amp;SUBSTITUTE(TEXT(IF(ISTEXT(Overig!N608),Overig!N608,10*Overig!N608),""",""????0;"",""???-0;"",""????0;"", ////"""),"'","""")&amp;SUBSTITUTE(TEXT(Overig!O608,""",""?00;"",""?-00;"",""?00;"", //"""),"'","""")&amp;SUBSTITUTE(TEXT(IF(ISTEXT(Overig!P608),Overig!P608,10*Overig!P608),""",""????0;"",""???-0;"",""????0;"", ////"""),"'","""")&amp;SUBSTITUTE(TEXT(Overig!Q608,""",""?00;"",""?-00;"",""?00;"", //"""),"'","""")&amp;SUBSTITUTE(TEXT(Overig!R608,""",""????0;"",""???-0;"",""????0;"", ////"""),"'","""")&amp;SUBSTITUTE(TEXT(Overig!S608,""",""?00;"",""?-00;"",""?00;"", //"""),"'","""")&amp;SUBSTITUTE(TEXT(IF(ISTEXT(Overig!T608),Overig!T608,10*Overig!T608),""",""????0;"",""???-0;"",""????0;"", ////"""),"'","""")&amp;SUBSTITUTE(TEXT(Overig!U608,""",""?00;"",""?-00;"",""?00;"", //"""),"'","""")&amp;SUBSTITUTE(TEXT(Overig!V608,""",""???0;"",""??-0;"",""???0;"", ///"""),"'","""")&amp;SUBSTITUTE(TEXT(Overig!W608,""",""?00;"",""?-00;"",""?00;"", //"""),"'","""")</f>
        <v>032, 19400531, 17.00, 7582, 00,  275, 00, ////, 07, ////, 07,  70, 00,  194, 00,  232, 00,   65, 00,    6, 00,   3, 00</v>
      </c>
    </row>
    <row r="609" spans="1:1" x14ac:dyDescent="0.25">
      <c r="A609" s="12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//"""),"'","""")&amp;SUBSTITUTE(TEXT(IF(ISTEXT(Overig!J609),Overig!J609,10*Overig!J609),""",""????0;"",""???-0;"",""????0;"", ////"""),"'","""")&amp;SUBSTITUTE(TEXT(Overig!K609,""",""?00;"",""?-00;"",""?00;"", //"""),"'","""")&amp;SUBSTITUTE(TEXT(Overig!L609,""",""???0;"",""??-0;"",""???0;"", ///"""),"'","""")&amp;SUBSTITUTE(TEXT(Overig!M609,""",""?00;"",""?-00;"",""?00;"", //"""),"'","""")&amp;SUBSTITUTE(TEXT(IF(ISTEXT(Overig!N609),Overig!N609,10*Overig!N609),""",""????0;"",""???-0;"",""????0;"", ////"""),"'","""")&amp;SUBSTITUTE(TEXT(Overig!O609,""",""?00;"",""?-00;"",""?00;"", //"""),"'","""")&amp;SUBSTITUTE(TEXT(IF(ISTEXT(Overig!P609),Overig!P609,10*Overig!P609),""",""????0;"",""???-0;"",""????0;"", ////"""),"'","""")&amp;SUBSTITUTE(TEXT(Overig!Q609,""",""?00;"",""?-00;"",""?00;"", //"""),"'","""")&amp;SUBSTITUTE(TEXT(Overig!R609,""",""????0;"",""???-0;"",""????0;"", ////"""),"'","""")&amp;SUBSTITUTE(TEXT(Overig!S609,""",""?00;"",""?-00;"",""?00;"", //"""),"'","""")&amp;SUBSTITUTE(TEXT(IF(ISTEXT(Overig!T609),Overig!T609,10*Overig!T609),""",""????0;"",""???-0;"",""????0;"", ////"""),"'","""")&amp;SUBSTITUTE(TEXT(Overig!U609,""",""?00;"",""?-00;"",""?00;"", //"""),"'","""")&amp;SUBSTITUTE(TEXT(Overig!V609,""",""???0;"",""??-0;"",""???0;"", ///"""),"'","""")&amp;SUBSTITUTE(TEXT(Overig!W609,""",""?00;"",""?-00;"",""?00;"", //"""),"'","""")</f>
        <v>032, 19400531, 24.00, ////, 07, ////, 07,  285, 00,  300, 00, ///, 07, ////, 07, ////, 07, ////, 07, ////, 07, ///, 07</v>
      </c>
    </row>
    <row r="610" spans="1:1" x14ac:dyDescent="0.25">
      <c r="A610" s="12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//"""),"'","""")&amp;SUBSTITUTE(TEXT(IF(ISTEXT(Overig!J610),Overig!J610,10*Overig!J610),""",""????0;"",""???-0;"",""????0;"", ////"""),"'","""")&amp;SUBSTITUTE(TEXT(Overig!K610,""",""?00;"",""?-00;"",""?00;"", //"""),"'","""")&amp;SUBSTITUTE(TEXT(Overig!L610,""",""???0;"",""??-0;"",""???0;"", ///"""),"'","""")&amp;SUBSTITUTE(TEXT(Overig!M610,""",""?00;"",""?-00;"",""?00;"", //"""),"'","""")&amp;SUBSTITUTE(TEXT(IF(ISTEXT(Overig!N610),Overig!N610,10*Overig!N610),""",""????0;"",""???-0;"",""????0;"", ////"""),"'","""")&amp;SUBSTITUTE(TEXT(Overig!O610,""",""?00;"",""?-00;"",""?00;"", //"""),"'","""")&amp;SUBSTITUTE(TEXT(IF(ISTEXT(Overig!P610),Overig!P610,10*Overig!P610),""",""????0;"",""???-0;"",""????0;"", ////"""),"'","""")&amp;SUBSTITUTE(TEXT(Overig!Q610,""",""?00;"",""?-00;"",""?00;"", //"""),"'","""")&amp;SUBSTITUTE(TEXT(Overig!R610,""",""????0;"",""???-0;"",""????0;"", ////"""),"'","""")&amp;SUBSTITUTE(TEXT(Overig!S610,""",""?00;"",""?-00;"",""?00;"", //"""),"'","""")&amp;SUBSTITUTE(TEXT(IF(ISTEXT(Overig!T610),Overig!T610,10*Overig!T610),""",""????0;"",""???-0;"",""????0;"", ////"""),"'","""")&amp;SUBSTITUTE(TEXT(Overig!U610,""",""?00;"",""?-00;"",""?00;"", //"""),"'","""")&amp;SUBSTITUTE(TEXT(Overig!V610,""",""???0;"",""??-0;"",""???0;"", ///"""),"'","""")&amp;SUBSTITUTE(TEXT(Overig!W610,""",""?00;"",""?-00;"",""?00;"", //"""),"'","""")</f>
        <v>032, 19400601, 07.00, 7592, 00,  261, 00, ////, 07, ////, 07,  77, 00,  195, 00,  230, 00,   65, 00,    5, 00,   4, 00</v>
      </c>
    </row>
    <row r="611" spans="1:1" x14ac:dyDescent="0.25">
      <c r="A611" s="12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//"""),"'","""")&amp;SUBSTITUTE(TEXT(IF(ISTEXT(Overig!J611),Overig!J611,10*Overig!J611),""",""????0;"",""???-0;"",""????0;"", ////"""),"'","""")&amp;SUBSTITUTE(TEXT(Overig!K611,""",""?00;"",""?-00;"",""?00;"", //"""),"'","""")&amp;SUBSTITUTE(TEXT(Overig!L611,""",""???0;"",""??-0;"",""???0;"", ///"""),"'","""")&amp;SUBSTITUTE(TEXT(Overig!M611,""",""?00;"",""?-00;"",""?00;"", //"""),"'","""")&amp;SUBSTITUTE(TEXT(IF(ISTEXT(Overig!N611),Overig!N611,10*Overig!N611),""",""????0;"",""???-0;"",""????0;"", ////"""),"'","""")&amp;SUBSTITUTE(TEXT(Overig!O611,""",""?00;"",""?-00;"",""?00;"", //"""),"'","""")&amp;SUBSTITUTE(TEXT(IF(ISTEXT(Overig!P611),Overig!P611,10*Overig!P611),""",""????0;"",""???-0;"",""????0;"", ////"""),"'","""")&amp;SUBSTITUTE(TEXT(Overig!Q611,""",""?00;"",""?-00;"",""?00;"", //"""),"'","""")&amp;SUBSTITUTE(TEXT(Overig!R611,""",""????0;"",""???-0;"",""????0;"", ////"""),"'","""")&amp;SUBSTITUTE(TEXT(Overig!S611,""",""?00;"",""?-00;"",""?00;"", //"""),"'","""")&amp;SUBSTITUTE(TEXT(IF(ISTEXT(Overig!T611),Overig!T611,10*Overig!T611),""",""????0;"",""???-0;"",""????0;"", ////"""),"'","""")&amp;SUBSTITUTE(TEXT(Overig!U611,""",""?00;"",""?-00;"",""?00;"", //"""),"'","""")&amp;SUBSTITUTE(TEXT(Overig!V611,""",""???0;"",""??-0;"",""???0;"", ///"""),"'","""")&amp;SUBSTITUTE(TEXT(Overig!W611,""",""?00;"",""?-00;"",""?00;"", //"""),"'","""")</f>
        <v>032, 19400601, 12.00, 7600, 00,  279, 00, ////, 07, ////, 07,  68, 00,  193, 00,  234, 00,   65, 00,    7, 00,   3, 00</v>
      </c>
    </row>
    <row r="612" spans="1:1" x14ac:dyDescent="0.25">
      <c r="A612" s="12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//"""),"'","""")&amp;SUBSTITUTE(TEXT(IF(ISTEXT(Overig!J612),Overig!J612,10*Overig!J612),""",""????0;"",""???-0;"",""????0;"", ////"""),"'","""")&amp;SUBSTITUTE(TEXT(Overig!K612,""",""?00;"",""?-00;"",""?00;"", //"""),"'","""")&amp;SUBSTITUTE(TEXT(Overig!L612,""",""???0;"",""??-0;"",""???0;"", ///"""),"'","""")&amp;SUBSTITUTE(TEXT(Overig!M612,""",""?00;"",""?-00;"",""?00;"", //"""),"'","""")&amp;SUBSTITUTE(TEXT(IF(ISTEXT(Overig!N612),Overig!N612,10*Overig!N612),""",""????0;"",""???-0;"",""????0;"", ////"""),"'","""")&amp;SUBSTITUTE(TEXT(Overig!O612,""",""?00;"",""?-00;"",""?00;"", //"""),"'","""")&amp;SUBSTITUTE(TEXT(IF(ISTEXT(Overig!P612),Overig!P612,10*Overig!P612),""",""????0;"",""???-0;"",""????0;"", ////"""),"'","""")&amp;SUBSTITUTE(TEXT(Overig!Q612,""",""?00;"",""?-00;"",""?00;"", //"""),"'","""")&amp;SUBSTITUTE(TEXT(Overig!R612,""",""????0;"",""???-0;"",""????0;"", ////"""),"'","""")&amp;SUBSTITUTE(TEXT(Overig!S612,""",""?00;"",""?-00;"",""?00;"", //"""),"'","""")&amp;SUBSTITUTE(TEXT(IF(ISTEXT(Overig!T612),Overig!T612,10*Overig!T612),""",""????0;"",""???-0;"",""????0;"", ////"""),"'","""")&amp;SUBSTITUTE(TEXT(Overig!U612,""",""?00;"",""?-00;"",""?00;"", //"""),"'","""")&amp;SUBSTITUTE(TEXT(Overig!V612,""",""???0;"",""??-0;"",""???0;"", ///"""),"'","""")&amp;SUBSTITUTE(TEXT(Overig!W612,""",""?00;"",""?-00;"",""?00;"", //"""),"'","""")</f>
        <v>032, 19400601, 17.00, 7582, 00,  275, 00, ////, 07, ////, 07,  68, 00,  188, 00,  230, 00,   45, 00,    6, 00,   3, 00</v>
      </c>
    </row>
    <row r="613" spans="1:1" x14ac:dyDescent="0.25">
      <c r="A613" s="12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//"""),"'","""")&amp;SUBSTITUTE(TEXT(IF(ISTEXT(Overig!J613),Overig!J613,10*Overig!J613),""",""????0;"",""???-0;"",""????0;"", ////"""),"'","""")&amp;SUBSTITUTE(TEXT(Overig!K613,""",""?00;"",""?-00;"",""?00;"", //"""),"'","""")&amp;SUBSTITUTE(TEXT(Overig!L613,""",""???0;"",""??-0;"",""???0;"", ///"""),"'","""")&amp;SUBSTITUTE(TEXT(Overig!M613,""",""?00;"",""?-00;"",""?00;"", //"""),"'","""")&amp;SUBSTITUTE(TEXT(IF(ISTEXT(Overig!N613),Overig!N613,10*Overig!N613),""",""????0;"",""???-0;"",""????0;"", ////"""),"'","""")&amp;SUBSTITUTE(TEXT(Overig!O613,""",""?00;"",""?-00;"",""?00;"", //"""),"'","""")&amp;SUBSTITUTE(TEXT(IF(ISTEXT(Overig!P613),Overig!P613,10*Overig!P613),""",""????0;"",""???-0;"",""????0;"", ////"""),"'","""")&amp;SUBSTITUTE(TEXT(Overig!Q613,""",""?00;"",""?-00;"",""?00;"", //"""),"'","""")&amp;SUBSTITUTE(TEXT(Overig!R613,""",""????0;"",""???-0;"",""????0;"", ////"""),"'","""")&amp;SUBSTITUTE(TEXT(Overig!S613,""",""?00;"",""?-00;"",""?00;"", //"""),"'","""")&amp;SUBSTITUTE(TEXT(IF(ISTEXT(Overig!T613),Overig!T613,10*Overig!T613),""",""????0;"",""???-0;"",""????0;"", ////"""),"'","""")&amp;SUBSTITUTE(TEXT(Overig!U613,""",""?00;"",""?-00;"",""?00;"", //"""),"'","""")&amp;SUBSTITUTE(TEXT(Overig!V613,""",""???0;"",""??-0;"",""???0;"", ///"""),"'","""")&amp;SUBSTITUTE(TEXT(Overig!W613,""",""?00;"",""?-00;"",""?00;"", //"""),"'","""")</f>
        <v>032, 19400601, 24.00, ////, 07, ////, 07,  283, 00,  315, 00, ///, 07, ////, 07, ////, 07, ////, 07, ////, 07, ///, 07</v>
      </c>
    </row>
    <row r="614" spans="1:1" x14ac:dyDescent="0.25">
      <c r="A614" s="12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//"""),"'","""")&amp;SUBSTITUTE(TEXT(IF(ISTEXT(Overig!J614),Overig!J614,10*Overig!J614),""",""????0;"",""???-0;"",""????0;"", ////"""),"'","""")&amp;SUBSTITUTE(TEXT(Overig!K614,""",""?00;"",""?-00;"",""?00;"", //"""),"'","""")&amp;SUBSTITUTE(TEXT(Overig!L614,""",""???0;"",""??-0;"",""???0;"", ///"""),"'","""")&amp;SUBSTITUTE(TEXT(Overig!M614,""",""?00;"",""?-00;"",""?00;"", //"""),"'","""")&amp;SUBSTITUTE(TEXT(IF(ISTEXT(Overig!N614),Overig!N614,10*Overig!N614),""",""????0;"",""???-0;"",""????0;"", ////"""),"'","""")&amp;SUBSTITUTE(TEXT(Overig!O614,""",""?00;"",""?-00;"",""?00;"", //"""),"'","""")&amp;SUBSTITUTE(TEXT(IF(ISTEXT(Overig!P614),Overig!P614,10*Overig!P614),""",""????0;"",""???-0;"",""????0;"", ////"""),"'","""")&amp;SUBSTITUTE(TEXT(Overig!Q614,""",""?00;"",""?-00;"",""?00;"", //"""),"'","""")&amp;SUBSTITUTE(TEXT(Overig!R614,""",""????0;"",""???-0;"",""????0;"", ////"""),"'","""")&amp;SUBSTITUTE(TEXT(Overig!S614,""",""?00;"",""?-00;"",""?00;"", //"""),"'","""")&amp;SUBSTITUTE(TEXT(IF(ISTEXT(Overig!T614),Overig!T614,10*Overig!T614),""",""????0;"",""???-0;"",""????0;"", ////"""),"'","""")&amp;SUBSTITUTE(TEXT(Overig!U614,""",""?00;"",""?-00;"",""?00;"", //"""),"'","""")&amp;SUBSTITUTE(TEXT(Overig!V614,""",""???0;"",""??-0;"",""???0;"", ///"""),"'","""")&amp;SUBSTITUTE(TEXT(Overig!W614,""",""?00;"",""?-00;"",""?00;"", //"""),"'","""")</f>
        <v>032, 19400602, 07.00, 7597, 00,  259, 00, ////, 07, ////, 07,  77, 00,  193, 00,  228, 00,   65, 00,    5, 00,   4, 00</v>
      </c>
    </row>
    <row r="615" spans="1:1" x14ac:dyDescent="0.25">
      <c r="A615" s="12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//"""),"'","""")&amp;SUBSTITUTE(TEXT(IF(ISTEXT(Overig!J615),Overig!J615,10*Overig!J615),""",""????0;"",""???-0;"",""????0;"", ////"""),"'","""")&amp;SUBSTITUTE(TEXT(Overig!K615,""",""?00;"",""?-00;"",""?00;"", //"""),"'","""")&amp;SUBSTITUTE(TEXT(Overig!L615,""",""???0;"",""??-0;"",""???0;"", ///"""),"'","""")&amp;SUBSTITUTE(TEXT(Overig!M615,""",""?00;"",""?-00;"",""?00;"", //"""),"'","""")&amp;SUBSTITUTE(TEXT(IF(ISTEXT(Overig!N615),Overig!N615,10*Overig!N615),""",""????0;"",""???-0;"",""????0;"", ////"""),"'","""")&amp;SUBSTITUTE(TEXT(Overig!O615,""",""?00;"",""?-00;"",""?00;"", //"""),"'","""")&amp;SUBSTITUTE(TEXT(IF(ISTEXT(Overig!P615),Overig!P615,10*Overig!P615),""",""????0;"",""???-0;"",""????0;"", ////"""),"'","""")&amp;SUBSTITUTE(TEXT(Overig!Q615,""",""?00;"",""?-00;"",""?00;"", //"""),"'","""")&amp;SUBSTITUTE(TEXT(Overig!R615,""",""????0;"",""???-0;"",""????0;"", ////"""),"'","""")&amp;SUBSTITUTE(TEXT(Overig!S615,""",""?00;"",""?-00;"",""?00;"", //"""),"'","""")&amp;SUBSTITUTE(TEXT(IF(ISTEXT(Overig!T615),Overig!T615,10*Overig!T615),""",""????0;"",""???-0;"",""????0;"", ////"""),"'","""")&amp;SUBSTITUTE(TEXT(Overig!U615,""",""?00;"",""?-00;"",""?00;"", //"""),"'","""")&amp;SUBSTITUTE(TEXT(Overig!V615,""",""???0;"",""??-0;"",""???0;"", ///"""),"'","""")&amp;SUBSTITUTE(TEXT(Overig!W615,""",""?00;"",""?-00;"",""?00;"", //"""),"'","""")</f>
        <v>032, 19400602, 12.00, 7595, 00,  279, 00, ////, 07, ////, 07,  68, 00,  193, 00,  234, 00,   65, 00,    7, 00,   4, 00</v>
      </c>
    </row>
    <row r="616" spans="1:1" x14ac:dyDescent="0.25">
      <c r="A616" s="12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//"""),"'","""")&amp;SUBSTITUTE(TEXT(IF(ISTEXT(Overig!J616),Overig!J616,10*Overig!J616),""",""????0;"",""???-0;"",""????0;"", ////"""),"'","""")&amp;SUBSTITUTE(TEXT(Overig!K616,""",""?00;"",""?-00;"",""?00;"", //"""),"'","""")&amp;SUBSTITUTE(TEXT(Overig!L616,""",""???0;"",""??-0;"",""???0;"", ///"""),"'","""")&amp;SUBSTITUTE(TEXT(Overig!M616,""",""?00;"",""?-00;"",""?00;"", //"""),"'","""")&amp;SUBSTITUTE(TEXT(IF(ISTEXT(Overig!N616),Overig!N616,10*Overig!N616),""",""????0;"",""???-0;"",""????0;"", ////"""),"'","""")&amp;SUBSTITUTE(TEXT(Overig!O616,""",""?00;"",""?-00;"",""?00;"", //"""),"'","""")&amp;SUBSTITUTE(TEXT(IF(ISTEXT(Overig!P616),Overig!P616,10*Overig!P616),""",""????0;"",""???-0;"",""????0;"", ////"""),"'","""")&amp;SUBSTITUTE(TEXT(Overig!Q616,""",""?00;"",""?-00;"",""?00;"", //"""),"'","""")&amp;SUBSTITUTE(TEXT(Overig!R616,""",""????0;"",""???-0;"",""????0;"", ////"""),"'","""")&amp;SUBSTITUTE(TEXT(Overig!S616,""",""?00;"",""?-00;"",""?00;"", //"""),"'","""")&amp;SUBSTITUTE(TEXT(IF(ISTEXT(Overig!T616),Overig!T616,10*Overig!T616),""",""????0;"",""???-0;"",""????0;"", ////"""),"'","""")&amp;SUBSTITUTE(TEXT(Overig!U616,""",""?00;"",""?-00;"",""?00;"", //"""),"'","""")&amp;SUBSTITUTE(TEXT(Overig!V616,""",""???0;"",""??-0;"",""???0;"", ///"""),"'","""")&amp;SUBSTITUTE(TEXT(Overig!W616,""",""?00;"",""?-00;"",""?00;"", //"""),"'","""")</f>
        <v>032, 19400602, 17.00, 7592, 00,  275, 00, ////, 07, ////, 07,  68, 00,  188, 00,  230, 00,   65, 00,    7, 00,   4, 00</v>
      </c>
    </row>
    <row r="617" spans="1:1" x14ac:dyDescent="0.25">
      <c r="A617" s="12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//"""),"'","""")&amp;SUBSTITUTE(TEXT(IF(ISTEXT(Overig!J617),Overig!J617,10*Overig!J617),""",""????0;"",""???-0;"",""????0;"", ////"""),"'","""")&amp;SUBSTITUTE(TEXT(Overig!K617,""",""?00;"",""?-00;"",""?00;"", //"""),"'","""")&amp;SUBSTITUTE(TEXT(Overig!L617,""",""???0;"",""??-0;"",""???0;"", ///"""),"'","""")&amp;SUBSTITUTE(TEXT(Overig!M617,""",""?00;"",""?-00;"",""?00;"", //"""),"'","""")&amp;SUBSTITUTE(TEXT(IF(ISTEXT(Overig!N617),Overig!N617,10*Overig!N617),""",""????0;"",""???-0;"",""????0;"", ////"""),"'","""")&amp;SUBSTITUTE(TEXT(Overig!O617,""",""?00;"",""?-00;"",""?00;"", //"""),"'","""")&amp;SUBSTITUTE(TEXT(IF(ISTEXT(Overig!P617),Overig!P617,10*Overig!P617),""",""????0;"",""???-0;"",""????0;"", ////"""),"'","""")&amp;SUBSTITUTE(TEXT(Overig!Q617,""",""?00;"",""?-00;"",""?00;"", //"""),"'","""")&amp;SUBSTITUTE(TEXT(Overig!R617,""",""????0;"",""???-0;"",""????0;"", ////"""),"'","""")&amp;SUBSTITUTE(TEXT(Overig!S617,""",""?00;"",""?-00;"",""?00;"", //"""),"'","""")&amp;SUBSTITUTE(TEXT(IF(ISTEXT(Overig!T617),Overig!T617,10*Overig!T617),""",""????0;"",""???-0;"",""????0;"", ////"""),"'","""")&amp;SUBSTITUTE(TEXT(Overig!U617,""",""?00;"",""?-00;"",""?00;"", //"""),"'","""")&amp;SUBSTITUTE(TEXT(Overig!V617,""",""???0;"",""??-0;"",""???0;"", ///"""),"'","""")&amp;SUBSTITUTE(TEXT(Overig!W617,""",""?00;"",""?-00;"",""?00;"", //"""),"'","""")</f>
        <v>032, 19400602, 24.00, ////, 07, ////, 07,  284, 00,  310, 00, ///, 07, ////, 07, ////, 07, ////, 07, ////, 07, ///, 07</v>
      </c>
    </row>
    <row r="618" spans="1:1" x14ac:dyDescent="0.25">
      <c r="A618" s="12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//"""),"'","""")&amp;SUBSTITUTE(TEXT(IF(ISTEXT(Overig!J618),Overig!J618,10*Overig!J618),""",""????0;"",""???-0;"",""????0;"", ////"""),"'","""")&amp;SUBSTITUTE(TEXT(Overig!K618,""",""?00;"",""?-00;"",""?00;"", //"""),"'","""")&amp;SUBSTITUTE(TEXT(Overig!L618,""",""???0;"",""??-0;"",""???0;"", ///"""),"'","""")&amp;SUBSTITUTE(TEXT(Overig!M618,""",""?00;"",""?-00;"",""?00;"", //"""),"'","""")&amp;SUBSTITUTE(TEXT(IF(ISTEXT(Overig!N618),Overig!N618,10*Overig!N618),""",""????0;"",""???-0;"",""????0;"", ////"""),"'","""")&amp;SUBSTITUTE(TEXT(Overig!O618,""",""?00;"",""?-00;"",""?00;"", //"""),"'","""")&amp;SUBSTITUTE(TEXT(IF(ISTEXT(Overig!P618),Overig!P618,10*Overig!P618),""",""????0;"",""???-0;"",""????0;"", ////"""),"'","""")&amp;SUBSTITUTE(TEXT(Overig!Q618,""",""?00;"",""?-00;"",""?00;"", //"""),"'","""")&amp;SUBSTITUTE(TEXT(Overig!R618,""",""????0;"",""???-0;"",""????0;"", ////"""),"'","""")&amp;SUBSTITUTE(TEXT(Overig!S618,""",""?00;"",""?-00;"",""?00;"", //"""),"'","""")&amp;SUBSTITUTE(TEXT(IF(ISTEXT(Overig!T618),Overig!T618,10*Overig!T618),""",""????0;"",""???-0;"",""????0;"", ////"""),"'","""")&amp;SUBSTITUTE(TEXT(Overig!U618,""",""?00;"",""?-00;"",""?00;"", //"""),"'","""")&amp;SUBSTITUTE(TEXT(Overig!V618,""",""???0;"",""??-0;"",""???0;"", ///"""),"'","""")&amp;SUBSTITUTE(TEXT(Overig!W618,""",""?00;"",""?-00;"",""?00;"", //"""),"'","""")</f>
        <v>032, 19400603, 07.00, 7602, 00,  257, 00, ////, 07, ////, 07,  78, 00,  194, 00,  228, 00,   65, 00,    5, 00,   3, 00</v>
      </c>
    </row>
    <row r="619" spans="1:1" x14ac:dyDescent="0.25">
      <c r="A619" s="12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//"""),"'","""")&amp;SUBSTITUTE(TEXT(IF(ISTEXT(Overig!J619),Overig!J619,10*Overig!J619),""",""????0;"",""???-0;"",""????0;"", ////"""),"'","""")&amp;SUBSTITUTE(TEXT(Overig!K619,""",""?00;"",""?-00;"",""?00;"", //"""),"'","""")&amp;SUBSTITUTE(TEXT(Overig!L619,""",""???0;"",""??-0;"",""???0;"", ///"""),"'","""")&amp;SUBSTITUTE(TEXT(Overig!M619,""",""?00;"",""?-00;"",""?00;"", //"""),"'","""")&amp;SUBSTITUTE(TEXT(IF(ISTEXT(Overig!N619),Overig!N619,10*Overig!N619),""",""????0;"",""???-0;"",""????0;"", ////"""),"'","""")&amp;SUBSTITUTE(TEXT(Overig!O619,""",""?00;"",""?-00;"",""?00;"", //"""),"'","""")&amp;SUBSTITUTE(TEXT(IF(ISTEXT(Overig!P619),Overig!P619,10*Overig!P619),""",""????0;"",""???-0;"",""????0;"", ////"""),"'","""")&amp;SUBSTITUTE(TEXT(Overig!Q619,""",""?00;"",""?-00;"",""?00;"", //"""),"'","""")&amp;SUBSTITUTE(TEXT(Overig!R619,""",""????0;"",""???-0;"",""????0;"", ////"""),"'","""")&amp;SUBSTITUTE(TEXT(Overig!S619,""",""?00;"",""?-00;"",""?00;"", //"""),"'","""")&amp;SUBSTITUTE(TEXT(IF(ISTEXT(Overig!T619),Overig!T619,10*Overig!T619),""",""????0;"",""???-0;"",""????0;"", ////"""),"'","""")&amp;SUBSTITUTE(TEXT(Overig!U619,""",""?00;"",""?-00;"",""?00;"", //"""),"'","""")&amp;SUBSTITUTE(TEXT(Overig!V619,""",""???0;"",""??-0;"",""???0;"", ///"""),"'","""")&amp;SUBSTITUTE(TEXT(Overig!W619,""",""?00;"",""?-00;"",""?00;"", //"""),"'","""")</f>
        <v>032, 19400603, 12.00, 7602, 00,  265, 00, ////, 07, ////, 07,  80, 00,  208, 00,  238, 00,   65, 00,    7, 00,   3, 00</v>
      </c>
    </row>
    <row r="620" spans="1:1" x14ac:dyDescent="0.25">
      <c r="A620" s="12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//"""),"'","""")&amp;SUBSTITUTE(TEXT(IF(ISTEXT(Overig!J620),Overig!J620,10*Overig!J620),""",""????0;"",""???-0;"",""????0;"", ////"""),"'","""")&amp;SUBSTITUTE(TEXT(Overig!K620,""",""?00;"",""?-00;"",""?00;"", //"""),"'","""")&amp;SUBSTITUTE(TEXT(Overig!L620,""",""???0;"",""??-0;"",""???0;"", ///"""),"'","""")&amp;SUBSTITUTE(TEXT(Overig!M620,""",""?00;"",""?-00;"",""?00;"", //"""),"'","""")&amp;SUBSTITUTE(TEXT(IF(ISTEXT(Overig!N620),Overig!N620,10*Overig!N620),""",""????0;"",""???-0;"",""????0;"", ////"""),"'","""")&amp;SUBSTITUTE(TEXT(Overig!O620,""",""?00;"",""?-00;"",""?00;"", //"""),"'","""")&amp;SUBSTITUTE(TEXT(IF(ISTEXT(Overig!P620),Overig!P620,10*Overig!P620),""",""????0;"",""???-0;"",""????0;"", ////"""),"'","""")&amp;SUBSTITUTE(TEXT(Overig!Q620,""",""?00;"",""?-00;"",""?00;"", //"""),"'","""")&amp;SUBSTITUTE(TEXT(Overig!R620,""",""????0;"",""???-0;"",""????0;"", ////"""),"'","""")&amp;SUBSTITUTE(TEXT(Overig!S620,""",""?00;"",""?-00;"",""?00;"", //"""),"'","""")&amp;SUBSTITUTE(TEXT(IF(ISTEXT(Overig!T620),Overig!T620,10*Overig!T620),""",""????0;"",""???-0;"",""????0;"", ////"""),"'","""")&amp;SUBSTITUTE(TEXT(Overig!U620,""",""?00;"",""?-00;"",""?00;"", //"""),"'","""")&amp;SUBSTITUTE(TEXT(Overig!V620,""",""???0;"",""??-0;"",""???0;"", ///"""),"'","""")&amp;SUBSTITUTE(TEXT(Overig!W620,""",""?00;"",""?-00;"",""?00;"", //"""),"'","""")</f>
        <v>032, 19400603, 17.00, 7597, 00,  261, 00, ////, 07, ////, 07,  78, 00,  199, 00,  232, 00,   45, 00,    6, 00,   3, 00</v>
      </c>
    </row>
    <row r="621" spans="1:1" x14ac:dyDescent="0.25">
      <c r="A621" s="12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//"""),"'","""")&amp;SUBSTITUTE(TEXT(IF(ISTEXT(Overig!J621),Overig!J621,10*Overig!J621),""",""????0;"",""???-0;"",""????0;"", ////"""),"'","""")&amp;SUBSTITUTE(TEXT(Overig!K621,""",""?00;"",""?-00;"",""?00;"", //"""),"'","""")&amp;SUBSTITUTE(TEXT(Overig!L621,""",""???0;"",""??-0;"",""???0;"", ///"""),"'","""")&amp;SUBSTITUTE(TEXT(Overig!M621,""",""?00;"",""?-00;"",""?00;"", //"""),"'","""")&amp;SUBSTITUTE(TEXT(IF(ISTEXT(Overig!N621),Overig!N621,10*Overig!N621),""",""????0;"",""???-0;"",""????0;"", ////"""),"'","""")&amp;SUBSTITUTE(TEXT(Overig!O621,""",""?00;"",""?-00;"",""?00;"", //"""),"'","""")&amp;SUBSTITUTE(TEXT(IF(ISTEXT(Overig!P621),Overig!P621,10*Overig!P621),""",""????0;"",""???-0;"",""????0;"", ////"""),"'","""")&amp;SUBSTITUTE(TEXT(Overig!Q621,""",""?00;"",""?-00;"",""?00;"", //"""),"'","""")&amp;SUBSTITUTE(TEXT(Overig!R621,""",""????0;"",""???-0;"",""????0;"", ////"""),"'","""")&amp;SUBSTITUTE(TEXT(Overig!S621,""",""?00;"",""?-00;"",""?00;"", //"""),"'","""")&amp;SUBSTITUTE(TEXT(IF(ISTEXT(Overig!T621),Overig!T621,10*Overig!T621),""",""????0;"",""???-0;"",""????0;"", ////"""),"'","""")&amp;SUBSTITUTE(TEXT(Overig!U621,""",""?00;"",""?-00;"",""?00;"", //"""),"'","""")&amp;SUBSTITUTE(TEXT(Overig!V621,""",""???0;"",""??-0;"",""???0;"", ///"""),"'","""")&amp;SUBSTITUTE(TEXT(Overig!W621,""",""?00;"",""?-00;"",""?00;"", //"""),"'","""")</f>
        <v>032, 19400603, 24.00, ////, 07, ////, 07,  290, 00,  305, 00, ///, 07, ////, 07, ////, 07, ////, 07, ////, 07, ///, 07</v>
      </c>
    </row>
    <row r="622" spans="1:1" x14ac:dyDescent="0.25">
      <c r="A622" s="12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//"""),"'","""")&amp;SUBSTITUTE(TEXT(IF(ISTEXT(Overig!J622),Overig!J622,10*Overig!J622),""",""????0;"",""???-0;"",""????0;"", ////"""),"'","""")&amp;SUBSTITUTE(TEXT(Overig!K622,""",""?00;"",""?-00;"",""?00;"", //"""),"'","""")&amp;SUBSTITUTE(TEXT(Overig!L622,""",""???0;"",""??-0;"",""???0;"", ///"""),"'","""")&amp;SUBSTITUTE(TEXT(Overig!M622,""",""?00;"",""?-00;"",""?00;"", //"""),"'","""")&amp;SUBSTITUTE(TEXT(IF(ISTEXT(Overig!N622),Overig!N622,10*Overig!N622),""",""????0;"",""???-0;"",""????0;"", ////"""),"'","""")&amp;SUBSTITUTE(TEXT(Overig!O622,""",""?00;"",""?-00;"",""?00;"", //"""),"'","""")&amp;SUBSTITUTE(TEXT(IF(ISTEXT(Overig!P622),Overig!P622,10*Overig!P622),""",""????0;"",""???-0;"",""????0;"", ////"""),"'","""")&amp;SUBSTITUTE(TEXT(Overig!Q622,""",""?00;"",""?-00;"",""?00;"", //"""),"'","""")&amp;SUBSTITUTE(TEXT(Overig!R622,""",""????0;"",""???-0;"",""????0;"", ////"""),"'","""")&amp;SUBSTITUTE(TEXT(Overig!S622,""",""?00;"",""?-00;"",""?00;"", //"""),"'","""")&amp;SUBSTITUTE(TEXT(IF(ISTEXT(Overig!T622),Overig!T622,10*Overig!T622),""",""????0;"",""???-0;"",""????0;"", ////"""),"'","""")&amp;SUBSTITUTE(TEXT(Overig!U622,""",""?00;"",""?-00;"",""?00;"", //"""),"'","""")&amp;SUBSTITUTE(TEXT(Overig!V622,""",""???0;"",""??-0;"",""???0;"", ///"""),"'","""")&amp;SUBSTITUTE(TEXT(Overig!W622,""",""?00;"",""?-00;"",""?00;"", //"""),"'","""")</f>
        <v>032, 19400604, 07.00, 7582, 00,  277, 00, ////, 07, ////, 07,  72, 00,  202, 00,  238, 00,   65, 00,    5, 00,   4, 00</v>
      </c>
    </row>
    <row r="623" spans="1:1" x14ac:dyDescent="0.25">
      <c r="A623" s="12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//"""),"'","""")&amp;SUBSTITUTE(TEXT(IF(ISTEXT(Overig!J623),Overig!J623,10*Overig!J623),""",""????0;"",""???-0;"",""????0;"", ////"""),"'","""")&amp;SUBSTITUTE(TEXT(Overig!K623,""",""?00;"",""?-00;"",""?00;"", //"""),"'","""")&amp;SUBSTITUTE(TEXT(Overig!L623,""",""???0;"",""??-0;"",""???0;"", ///"""),"'","""")&amp;SUBSTITUTE(TEXT(Overig!M623,""",""?00;"",""?-00;"",""?00;"", //"""),"'","""")&amp;SUBSTITUTE(TEXT(IF(ISTEXT(Overig!N623),Overig!N623,10*Overig!N623),""",""????0;"",""???-0;"",""????0;"", ////"""),"'","""")&amp;SUBSTITUTE(TEXT(Overig!O623,""",""?00;"",""?-00;"",""?00;"", //"""),"'","""")&amp;SUBSTITUTE(TEXT(IF(ISTEXT(Overig!P623),Overig!P623,10*Overig!P623),""",""????0;"",""???-0;"",""????0;"", ////"""),"'","""")&amp;SUBSTITUTE(TEXT(Overig!Q623,""",""?00;"",""?-00;"",""?00;"", //"""),"'","""")&amp;SUBSTITUTE(TEXT(Overig!R623,""",""????0;"",""???-0;"",""????0;"", ////"""),"'","""")&amp;SUBSTITUTE(TEXT(Overig!S623,""",""?00;"",""?-00;"",""?00;"", //"""),"'","""")&amp;SUBSTITUTE(TEXT(IF(ISTEXT(Overig!T623),Overig!T623,10*Overig!T623),""",""????0;"",""???-0;"",""????0;"", ////"""),"'","""")&amp;SUBSTITUTE(TEXT(Overig!U623,""",""?00;"",""?-00;"",""?00;"", //"""),"'","""")&amp;SUBSTITUTE(TEXT(Overig!V623,""",""???0;"",""??-0;"",""???0;"", ///"""),"'","""")&amp;SUBSTITUTE(TEXT(Overig!W623,""",""?00;"",""?-00;"",""?00;"", //"""),"'","""")</f>
        <v>032, 19400604, 12.00, 7597, 00,  278, 00, ////, 07, ////, 07,  73, 00,  205, 00,  240, 00,   65, 00,    6, 00,   4, 00</v>
      </c>
    </row>
    <row r="624" spans="1:1" x14ac:dyDescent="0.25">
      <c r="A624" s="12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//"""),"'","""")&amp;SUBSTITUTE(TEXT(IF(ISTEXT(Overig!J624),Overig!J624,10*Overig!J624),""",""????0;"",""???-0;"",""????0;"", ////"""),"'","""")&amp;SUBSTITUTE(TEXT(Overig!K624,""",""?00;"",""?-00;"",""?00;"", //"""),"'","""")&amp;SUBSTITUTE(TEXT(Overig!L624,""",""???0;"",""??-0;"",""???0;"", ///"""),"'","""")&amp;SUBSTITUTE(TEXT(Overig!M624,""",""?00;"",""?-00;"",""?00;"", //"""),"'","""")&amp;SUBSTITUTE(TEXT(IF(ISTEXT(Overig!N624),Overig!N624,10*Overig!N624),""",""????0;"",""???-0;"",""????0;"", ////"""),"'","""")&amp;SUBSTITUTE(TEXT(Overig!O624,""",""?00;"",""?-00;"",""?00;"", //"""),"'","""")&amp;SUBSTITUTE(TEXT(IF(ISTEXT(Overig!P624),Overig!P624,10*Overig!P624),""",""????0;"",""???-0;"",""????0;"", ////"""),"'","""")&amp;SUBSTITUTE(TEXT(Overig!Q624,""",""?00;"",""?-00;"",""?00;"", //"""),"'","""")&amp;SUBSTITUTE(TEXT(Overig!R624,""",""????0;"",""???-0;"",""????0;"", ////"""),"'","""")&amp;SUBSTITUTE(TEXT(Overig!S624,""",""?00;"",""?-00;"",""?00;"", //"""),"'","""")&amp;SUBSTITUTE(TEXT(IF(ISTEXT(Overig!T624),Overig!T624,10*Overig!T624),""",""????0;"",""???-0;"",""????0;"", ////"""),"'","""")&amp;SUBSTITUTE(TEXT(Overig!U624,""",""?00;"",""?-00;"",""?00;"", //"""),"'","""")&amp;SUBSTITUTE(TEXT(Overig!V624,""",""???0;"",""??-0;"",""???0;"", ///"""),"'","""")&amp;SUBSTITUTE(TEXT(Overig!W624,""",""?00;"",""?-00;"",""?00;"", //"""),"'","""")</f>
        <v>032, 19400604, 17.00, 7592, 00,  271, 00, ////, 07, ////, 07,  73, 00,  197, 00,  234, 00,   65, 00,    5, 00,   3, 00</v>
      </c>
    </row>
    <row r="625" spans="1:1" x14ac:dyDescent="0.25">
      <c r="A625" s="12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//"""),"'","""")&amp;SUBSTITUTE(TEXT(IF(ISTEXT(Overig!J625),Overig!J625,10*Overig!J625),""",""????0;"",""???-0;"",""????0;"", ////"""),"'","""")&amp;SUBSTITUTE(TEXT(Overig!K625,""",""?00;"",""?-00;"",""?00;"", //"""),"'","""")&amp;SUBSTITUTE(TEXT(Overig!L625,""",""???0;"",""??-0;"",""???0;"", ///"""),"'","""")&amp;SUBSTITUTE(TEXT(Overig!M625,""",""?00;"",""?-00;"",""?00;"", //"""),"'","""")&amp;SUBSTITUTE(TEXT(IF(ISTEXT(Overig!N625),Overig!N625,10*Overig!N625),""",""????0;"",""???-0;"",""????0;"", ////"""),"'","""")&amp;SUBSTITUTE(TEXT(Overig!O625,""",""?00;"",""?-00;"",""?00;"", //"""),"'","""")&amp;SUBSTITUTE(TEXT(IF(ISTEXT(Overig!P625),Overig!P625,10*Overig!P625),""",""????0;"",""???-0;"",""????0;"", ////"""),"'","""")&amp;SUBSTITUTE(TEXT(Overig!Q625,""",""?00;"",""?-00;"",""?00;"", //"""),"'","""")&amp;SUBSTITUTE(TEXT(Overig!R625,""",""????0;"",""???-0;"",""????0;"", ////"""),"'","""")&amp;SUBSTITUTE(TEXT(Overig!S625,""",""?00;"",""?-00;"",""?00;"", //"""),"'","""")&amp;SUBSTITUTE(TEXT(IF(ISTEXT(Overig!T625),Overig!T625,10*Overig!T625),""",""????0;"",""???-0;"",""????0;"", ////"""),"'","""")&amp;SUBSTITUTE(TEXT(Overig!U625,""",""?00;"",""?-00;"",""?00;"", //"""),"'","""")&amp;SUBSTITUTE(TEXT(Overig!V625,""",""???0;"",""??-0;"",""???0;"", ///"""),"'","""")&amp;SUBSTITUTE(TEXT(Overig!W625,""",""?00;"",""?-00;"",""?00;"", //"""),"'","""")</f>
        <v>032, 19400604, 24.00, ////, 07, ////, 07,  284, 00,  296, 00, ///, 07, ////, 07, ////, 07, ////, 07, ////, 07, ///, 07</v>
      </c>
    </row>
    <row r="626" spans="1:1" x14ac:dyDescent="0.25">
      <c r="A626" s="12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//"""),"'","""")&amp;SUBSTITUTE(TEXT(IF(ISTEXT(Overig!J626),Overig!J626,10*Overig!J626),""",""????0;"",""???-0;"",""????0;"", ////"""),"'","""")&amp;SUBSTITUTE(TEXT(Overig!K626,""",""?00;"",""?-00;"",""?00;"", //"""),"'","""")&amp;SUBSTITUTE(TEXT(Overig!L626,""",""???0;"",""??-0;"",""???0;"", ///"""),"'","""")&amp;SUBSTITUTE(TEXT(Overig!M626,""",""?00;"",""?-00;"",""?00;"", //"""),"'","""")&amp;SUBSTITUTE(TEXT(IF(ISTEXT(Overig!N626),Overig!N626,10*Overig!N626),""",""????0;"",""???-0;"",""????0;"", ////"""),"'","""")&amp;SUBSTITUTE(TEXT(Overig!O626,""",""?00;"",""?-00;"",""?00;"", //"""),"'","""")&amp;SUBSTITUTE(TEXT(IF(ISTEXT(Overig!P626),Overig!P626,10*Overig!P626),""",""????0;"",""???-0;"",""????0;"", ////"""),"'","""")&amp;SUBSTITUTE(TEXT(Overig!Q626,""",""?00;"",""?-00;"",""?00;"", //"""),"'","""")&amp;SUBSTITUTE(TEXT(Overig!R626,""",""????0;"",""???-0;"",""????0;"", ////"""),"'","""")&amp;SUBSTITUTE(TEXT(Overig!S626,""",""?00;"",""?-00;"",""?00;"", //"""),"'","""")&amp;SUBSTITUTE(TEXT(IF(ISTEXT(Overig!T626),Overig!T626,10*Overig!T626),""",""????0;"",""???-0;"",""????0;"", ////"""),"'","""")&amp;SUBSTITUTE(TEXT(Overig!U626,""",""?00;"",""?-00;"",""?00;"", //"""),"'","""")&amp;SUBSTITUTE(TEXT(Overig!V626,""",""???0;"",""??-0;"",""???0;"", ///"""),"'","""")&amp;SUBSTITUTE(TEXT(Overig!W626,""",""?00;"",""?-00;"",""?00;"", //"""),"'","""")</f>
        <v>032, 19400605, 07.00, 7607, 00,  252, 00, ////, 07, ////, 07,  82, 00,  196, 00,  228, 00,   65, 00,    3, 00,   6, 00</v>
      </c>
    </row>
    <row r="627" spans="1:1" x14ac:dyDescent="0.25">
      <c r="A627" s="12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//"""),"'","""")&amp;SUBSTITUTE(TEXT(IF(ISTEXT(Overig!J627),Overig!J627,10*Overig!J627),""",""????0;"",""???-0;"",""????0;"", ////"""),"'","""")&amp;SUBSTITUTE(TEXT(Overig!K627,""",""?00;"",""?-00;"",""?00;"", //"""),"'","""")&amp;SUBSTITUTE(TEXT(Overig!L627,""",""???0;"",""??-0;"",""???0;"", ///"""),"'","""")&amp;SUBSTITUTE(TEXT(Overig!M627,""",""?00;"",""?-00;"",""?00;"", //"""),"'","""")&amp;SUBSTITUTE(TEXT(IF(ISTEXT(Overig!N627),Overig!N627,10*Overig!N627),""",""????0;"",""???-0;"",""????0;"", ////"""),"'","""")&amp;SUBSTITUTE(TEXT(Overig!O627,""",""?00;"",""?-00;"",""?00;"", //"""),"'","""")&amp;SUBSTITUTE(TEXT(IF(ISTEXT(Overig!P627),Overig!P627,10*Overig!P627),""",""????0;"",""???-0;"",""????0;"", ////"""),"'","""")&amp;SUBSTITUTE(TEXT(Overig!Q627,""",""?00;"",""?-00;"",""?00;"", //"""),"'","""")&amp;SUBSTITUTE(TEXT(Overig!R627,""",""????0;"",""???-0;"",""????0;"", ////"""),"'","""")&amp;SUBSTITUTE(TEXT(Overig!S627,""",""?00;"",""?-00;"",""?00;"", //"""),"'","""")&amp;SUBSTITUTE(TEXT(IF(ISTEXT(Overig!T627),Overig!T627,10*Overig!T627),""",""????0;"",""???-0;"",""????0;"", ////"""),"'","""")&amp;SUBSTITUTE(TEXT(Overig!U627,""",""?00;"",""?-00;"",""?00;"", //"""),"'","""")&amp;SUBSTITUTE(TEXT(Overig!V627,""",""???0;"",""??-0;"",""???0;"", ///"""),"'","""")&amp;SUBSTITUTE(TEXT(Overig!W627,""",""?00;"",""?-00;"",""?00;"", //"""),"'","""")</f>
        <v>032, 19400605, 12.00, 7605, 00,  275, 00, ////, 07, ////, 07,  72, 00,  199, 00,  236, 00,   65, 00,    4, 00,   7, 00</v>
      </c>
    </row>
    <row r="628" spans="1:1" x14ac:dyDescent="0.25">
      <c r="A628" s="12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//"""),"'","""")&amp;SUBSTITUTE(TEXT(IF(ISTEXT(Overig!J628),Overig!J628,10*Overig!J628),""",""????0;"",""???-0;"",""????0;"", ////"""),"'","""")&amp;SUBSTITUTE(TEXT(Overig!K628,""",""?00;"",""?-00;"",""?00;"", //"""),"'","""")&amp;SUBSTITUTE(TEXT(Overig!L628,""",""???0;"",""??-0;"",""???0;"", ///"""),"'","""")&amp;SUBSTITUTE(TEXT(Overig!M628,""",""?00;"",""?-00;"",""?00;"", //"""),"'","""")&amp;SUBSTITUTE(TEXT(IF(ISTEXT(Overig!N628),Overig!N628,10*Overig!N628),""",""????0;"",""???-0;"",""????0;"", ////"""),"'","""")&amp;SUBSTITUTE(TEXT(Overig!O628,""",""?00;"",""?-00;"",""?00;"", //"""),"'","""")&amp;SUBSTITUTE(TEXT(IF(ISTEXT(Overig!P628),Overig!P628,10*Overig!P628),""",""????0;"",""???-0;"",""????0;"", ////"""),"'","""")&amp;SUBSTITUTE(TEXT(Overig!Q628,""",""?00;"",""?-00;"",""?00;"", //"""),"'","""")&amp;SUBSTITUTE(TEXT(Overig!R628,""",""????0;"",""???-0;"",""????0;"", ////"""),"'","""")&amp;SUBSTITUTE(TEXT(Overig!S628,""",""?00;"",""?-00;"",""?00;"", //"""),"'","""")&amp;SUBSTITUTE(TEXT(IF(ISTEXT(Overig!T628),Overig!T628,10*Overig!T628),""",""????0;"",""???-0;"",""????0;"", ////"""),"'","""")&amp;SUBSTITUTE(TEXT(Overig!U628,""",""?00;"",""?-00;"",""?00;"", //"""),"'","""")&amp;SUBSTITUTE(TEXT(Overig!V628,""",""???0;"",""??-0;"",""???0;"", ///"""),"'","""")&amp;SUBSTITUTE(TEXT(Overig!W628,""",""?00;"",""?-00;"",""?00;"", //"""),"'","""")</f>
        <v>032, 19400605, 17.00, 7589, 00,  270, 00, ////, 07, ////, 07,  74, 00,  198, 00,  234, 00,   45, 00,    4, 00,   7, 00</v>
      </c>
    </row>
    <row r="629" spans="1:1" x14ac:dyDescent="0.25">
      <c r="A629" s="12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//"""),"'","""")&amp;SUBSTITUTE(TEXT(IF(ISTEXT(Overig!J629),Overig!J629,10*Overig!J629),""",""????0;"",""???-0;"",""????0;"", ////"""),"'","""")&amp;SUBSTITUTE(TEXT(Overig!K629,""",""?00;"",""?-00;"",""?00;"", //"""),"'","""")&amp;SUBSTITUTE(TEXT(Overig!L629,""",""???0;"",""??-0;"",""???0;"", ///"""),"'","""")&amp;SUBSTITUTE(TEXT(Overig!M629,""",""?00;"",""?-00;"",""?00;"", //"""),"'","""")&amp;SUBSTITUTE(TEXT(IF(ISTEXT(Overig!N629),Overig!N629,10*Overig!N629),""",""????0;"",""???-0;"",""????0;"", ////"""),"'","""")&amp;SUBSTITUTE(TEXT(Overig!O629,""",""?00;"",""?-00;"",""?00;"", //"""),"'","""")&amp;SUBSTITUTE(TEXT(IF(ISTEXT(Overig!P629),Overig!P629,10*Overig!P629),""",""????0;"",""???-0;"",""????0;"", ////"""),"'","""")&amp;SUBSTITUTE(TEXT(Overig!Q629,""",""?00;"",""?-00;"",""?00;"", //"""),"'","""")&amp;SUBSTITUTE(TEXT(Overig!R629,""",""????0;"",""???-0;"",""????0;"", ////"""),"'","""")&amp;SUBSTITUTE(TEXT(Overig!S629,""",""?00;"",""?-00;"",""?00;"", //"""),"'","""")&amp;SUBSTITUTE(TEXT(IF(ISTEXT(Overig!T629),Overig!T629,10*Overig!T629),""",""????0;"",""???-0;"",""????0;"", ////"""),"'","""")&amp;SUBSTITUTE(TEXT(Overig!U629,""",""?00;"",""?-00;"",""?00;"", //"""),"'","""")&amp;SUBSTITUTE(TEXT(Overig!V629,""",""???0;"",""??-0;"",""???0;"", ///"""),"'","""")&amp;SUBSTITUTE(TEXT(Overig!W629,""",""?00;"",""?-00;"",""?00;"", //"""),"'","""")</f>
        <v>032, 19400605, 24.00, ////, 07, ////, 07,  290, 00,  300, 00, ///, 07, ////, 07, ////, 07, ////, 07, ////, 07, ///, 07</v>
      </c>
    </row>
    <row r="630" spans="1:1" x14ac:dyDescent="0.25">
      <c r="A630" s="12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//"""),"'","""")&amp;SUBSTITUTE(TEXT(IF(ISTEXT(Overig!J630),Overig!J630,10*Overig!J630),""",""????0;"",""???-0;"",""????0;"", ////"""),"'","""")&amp;SUBSTITUTE(TEXT(Overig!K630,""",""?00;"",""?-00;"",""?00;"", //"""),"'","""")&amp;SUBSTITUTE(TEXT(Overig!L630,""",""???0;"",""??-0;"",""???0;"", ///"""),"'","""")&amp;SUBSTITUTE(TEXT(Overig!M630,""",""?00;"",""?-00;"",""?00;"", //"""),"'","""")&amp;SUBSTITUTE(TEXT(IF(ISTEXT(Overig!N630),Overig!N630,10*Overig!N630),""",""????0;"",""???-0;"",""????0;"", ////"""),"'","""")&amp;SUBSTITUTE(TEXT(Overig!O630,""",""?00;"",""?-00;"",""?00;"", //"""),"'","""")&amp;SUBSTITUTE(TEXT(IF(ISTEXT(Overig!P630),Overig!P630,10*Overig!P630),""",""????0;"",""???-0;"",""????0;"", ////"""),"'","""")&amp;SUBSTITUTE(TEXT(Overig!Q630,""",""?00;"",""?-00;"",""?00;"", //"""),"'","""")&amp;SUBSTITUTE(TEXT(Overig!R630,""",""????0;"",""???-0;"",""????0;"", ////"""),"'","""")&amp;SUBSTITUTE(TEXT(Overig!S630,""",""?00;"",""?-00;"",""?00;"", //"""),"'","""")&amp;SUBSTITUTE(TEXT(IF(ISTEXT(Overig!T630),Overig!T630,10*Overig!T630),""",""????0;"",""???-0;"",""????0;"", ////"""),"'","""")&amp;SUBSTITUTE(TEXT(Overig!U630,""",""?00;"",""?-00;"",""?00;"", //"""),"'","""")&amp;SUBSTITUTE(TEXT(Overig!V630,""",""???0;"",""??-0;"",""???0;"", ///"""),"'","""")&amp;SUBSTITUTE(TEXT(Overig!W630,""",""?00;"",""?-00;"",""?00;"", //"""),"'","""")</f>
        <v>032, 19400606, 07.00, 7585, 00,  277, 00, ////, 07, ////, 07,  70, 00,  194, 00,  234, 00,   65, 00,    2, 00,   5, 00</v>
      </c>
    </row>
    <row r="631" spans="1:1" x14ac:dyDescent="0.25">
      <c r="A631" s="12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//"""),"'","""")&amp;SUBSTITUTE(TEXT(IF(ISTEXT(Overig!J631),Overig!J631,10*Overig!J631),""",""????0;"",""???-0;"",""????0;"", ////"""),"'","""")&amp;SUBSTITUTE(TEXT(Overig!K631,""",""?00;"",""?-00;"",""?00;"", //"""),"'","""")&amp;SUBSTITUTE(TEXT(Overig!L631,""",""???0;"",""??-0;"",""???0;"", ///"""),"'","""")&amp;SUBSTITUTE(TEXT(Overig!M631,""",""?00;"",""?-00;"",""?00;"", //"""),"'","""")&amp;SUBSTITUTE(TEXT(IF(ISTEXT(Overig!N631),Overig!N631,10*Overig!N631),""",""????0;"",""???-0;"",""????0;"", ////"""),"'","""")&amp;SUBSTITUTE(TEXT(Overig!O631,""",""?00;"",""?-00;"",""?00;"", //"""),"'","""")&amp;SUBSTITUTE(TEXT(IF(ISTEXT(Overig!P631),Overig!P631,10*Overig!P631),""",""????0;"",""???-0;"",""????0;"", ////"""),"'","""")&amp;SUBSTITUTE(TEXT(Overig!Q631,""",""?00;"",""?-00;"",""?00;"", //"""),"'","""")&amp;SUBSTITUTE(TEXT(Overig!R631,""",""????0;"",""???-0;"",""????0;"", ////"""),"'","""")&amp;SUBSTITUTE(TEXT(Overig!S631,""",""?00;"",""?-00;"",""?00;"", //"""),"'","""")&amp;SUBSTITUTE(TEXT(IF(ISTEXT(Overig!T631),Overig!T631,10*Overig!T631),""",""????0;"",""???-0;"",""????0;"", ////"""),"'","""")&amp;SUBSTITUTE(TEXT(Overig!U631,""",""?00;"",""?-00;"",""?00;"", //"""),"'","""")&amp;SUBSTITUTE(TEXT(Overig!V631,""",""???0;"",""??-0;"",""???0;"", ///"""),"'","""")&amp;SUBSTITUTE(TEXT(Overig!W631,""",""?00;"",""?-00;"",""?00;"", //"""),"'","""")</f>
        <v>032, 19400606, 12.00, 7597, 00,  279, 00, ////, 07, ////, 07,  70, 00,  197, 00,  236, 00,   65, 00,    4, 00,   7, 00</v>
      </c>
    </row>
    <row r="632" spans="1:1" x14ac:dyDescent="0.25">
      <c r="A632" s="12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//"""),"'","""")&amp;SUBSTITUTE(TEXT(IF(ISTEXT(Overig!J632),Overig!J632,10*Overig!J632),""",""????0;"",""???-0;"",""????0;"", ////"""),"'","""")&amp;SUBSTITUTE(TEXT(Overig!K632,""",""?00;"",""?-00;"",""?00;"", //"""),"'","""")&amp;SUBSTITUTE(TEXT(Overig!L632,""",""???0;"",""??-0;"",""???0;"", ///"""),"'","""")&amp;SUBSTITUTE(TEXT(Overig!M632,""",""?00;"",""?-00;"",""?00;"", //"""),"'","""")&amp;SUBSTITUTE(TEXT(IF(ISTEXT(Overig!N632),Overig!N632,10*Overig!N632),""",""????0;"",""???-0;"",""????0;"", ////"""),"'","""")&amp;SUBSTITUTE(TEXT(Overig!O632,""",""?00;"",""?-00;"",""?00;"", //"""),"'","""")&amp;SUBSTITUTE(TEXT(IF(ISTEXT(Overig!P632),Overig!P632,10*Overig!P632),""",""????0;"",""???-0;"",""????0;"", ////"""),"'","""")&amp;SUBSTITUTE(TEXT(Overig!Q632,""",""?00;"",""?-00;"",""?00;"", //"""),"'","""")&amp;SUBSTITUTE(TEXT(Overig!R632,""",""????0;"",""???-0;"",""????0;"", ////"""),"'","""")&amp;SUBSTITUTE(TEXT(Overig!S632,""",""?00;"",""?-00;"",""?00;"", //"""),"'","""")&amp;SUBSTITUTE(TEXT(IF(ISTEXT(Overig!T632),Overig!T632,10*Overig!T632),""",""????0;"",""???-0;"",""????0;"", ////"""),"'","""")&amp;SUBSTITUTE(TEXT(Overig!U632,""",""?00;"",""?-00;"",""?00;"", //"""),"'","""")&amp;SUBSTITUTE(TEXT(Overig!V632,""",""???0;"",""??-0;"",""???0;"", ///"""),"'","""")&amp;SUBSTITUTE(TEXT(Overig!W632,""",""?00;"",""?-00;"",""?00;"", //"""),"'","""")</f>
        <v>032, 19400606, 17.00, 7592, 00,  277, 00, ////, 07, ////, 07,  69, 00,  193, 00,  233, 00,   65, 00,    3, 00,   7, 00</v>
      </c>
    </row>
    <row r="633" spans="1:1" x14ac:dyDescent="0.25">
      <c r="A633" s="12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//"""),"'","""")&amp;SUBSTITUTE(TEXT(IF(ISTEXT(Overig!J633),Overig!J633,10*Overig!J633),""",""????0;"",""???-0;"",""????0;"", ////"""),"'","""")&amp;SUBSTITUTE(TEXT(Overig!K633,""",""?00;"",""?-00;"",""?00;"", //"""),"'","""")&amp;SUBSTITUTE(TEXT(Overig!L633,""",""???0;"",""??-0;"",""???0;"", ///"""),"'","""")&amp;SUBSTITUTE(TEXT(Overig!M633,""",""?00;"",""?-00;"",""?00;"", //"""),"'","""")&amp;SUBSTITUTE(TEXT(IF(ISTEXT(Overig!N633),Overig!N633,10*Overig!N633),""",""????0;"",""???-0;"",""????0;"", ////"""),"'","""")&amp;SUBSTITUTE(TEXT(Overig!O633,""",""?00;"",""?-00;"",""?00;"", //"""),"'","""")&amp;SUBSTITUTE(TEXT(IF(ISTEXT(Overig!P633),Overig!P633,10*Overig!P633),""",""????0;"",""???-0;"",""????0;"", ////"""),"'","""")&amp;SUBSTITUTE(TEXT(Overig!Q633,""",""?00;"",""?-00;"",""?00;"", //"""),"'","""")&amp;SUBSTITUTE(TEXT(Overig!R633,""",""????0;"",""???-0;"",""????0;"", ////"""),"'","""")&amp;SUBSTITUTE(TEXT(Overig!S633,""",""?00;"",""?-00;"",""?00;"", //"""),"'","""")&amp;SUBSTITUTE(TEXT(IF(ISTEXT(Overig!T633),Overig!T633,10*Overig!T633),""",""????0;"",""???-0;"",""????0;"", ////"""),"'","""")&amp;SUBSTITUTE(TEXT(Overig!U633,""",""?00;"",""?-00;"",""?00;"", //"""),"'","""")&amp;SUBSTITUTE(TEXT(Overig!V633,""",""???0;"",""??-0;"",""???0;"", ///"""),"'","""")&amp;SUBSTITUTE(TEXT(Overig!W633,""",""?00;"",""?-00;"",""?00;"", //"""),"'","""")</f>
        <v>032, 19400606, 24.00, ////, 07, ////, 07,  288, 00,  300, 00, ///, 07, ////, 07, ////, 07, ////, 07, ////, 07, ///, 07</v>
      </c>
    </row>
    <row r="634" spans="1:1" x14ac:dyDescent="0.25">
      <c r="A634" s="12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//"""),"'","""")&amp;SUBSTITUTE(TEXT(IF(ISTEXT(Overig!J634),Overig!J634,10*Overig!J634),""",""????0;"",""???-0;"",""????0;"", ////"""),"'","""")&amp;SUBSTITUTE(TEXT(Overig!K634,""",""?00;"",""?-00;"",""?00;"", //"""),"'","""")&amp;SUBSTITUTE(TEXT(Overig!L634,""",""???0;"",""??-0;"",""???0;"", ///"""),"'","""")&amp;SUBSTITUTE(TEXT(Overig!M634,""",""?00;"",""?-00;"",""?00;"", //"""),"'","""")&amp;SUBSTITUTE(TEXT(IF(ISTEXT(Overig!N634),Overig!N634,10*Overig!N634),""",""????0;"",""???-0;"",""????0;"", ////"""),"'","""")&amp;SUBSTITUTE(TEXT(Overig!O634,""",""?00;"",""?-00;"",""?00;"", //"""),"'","""")&amp;SUBSTITUTE(TEXT(IF(ISTEXT(Overig!P634),Overig!P634,10*Overig!P634),""",""????0;"",""???-0;"",""????0;"", ////"""),"'","""")&amp;SUBSTITUTE(TEXT(Overig!Q634,""",""?00;"",""?-00;"",""?00;"", //"""),"'","""")&amp;SUBSTITUTE(TEXT(Overig!R634,""",""????0;"",""???-0;"",""????0;"", ////"""),"'","""")&amp;SUBSTITUTE(TEXT(Overig!S634,""",""?00;"",""?-00;"",""?00;"", //"""),"'","""")&amp;SUBSTITUTE(TEXT(IF(ISTEXT(Overig!T634),Overig!T634,10*Overig!T634),""",""????0;"",""???-0;"",""????0;"", ////"""),"'","""")&amp;SUBSTITUTE(TEXT(Overig!U634,""",""?00;"",""?-00;"",""?00;"", //"""),"'","""")&amp;SUBSTITUTE(TEXT(Overig!V634,""",""???0;"",""??-0;"",""???0;"", ///"""),"'","""")&amp;SUBSTITUTE(TEXT(Overig!W634,""",""?00;"",""?-00;"",""?00;"", //"""),"'","""")</f>
        <v>032, 19400607, 07.00, 7592, 00,  265, 00, ////, 07, ////, 07,  74, 00,  193, 00,  230, 00,   65, 00,    4, 00,   4, 00</v>
      </c>
    </row>
    <row r="635" spans="1:1" x14ac:dyDescent="0.25">
      <c r="A635" s="12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//"""),"'","""")&amp;SUBSTITUTE(TEXT(IF(ISTEXT(Overig!J635),Overig!J635,10*Overig!J635),""",""????0;"",""???-0;"",""????0;"", ////"""),"'","""")&amp;SUBSTITUTE(TEXT(Overig!K635,""",""?00;"",""?-00;"",""?00;"", //"""),"'","""")&amp;SUBSTITUTE(TEXT(Overig!L635,""",""???0;"",""??-0;"",""???0;"", ///"""),"'","""")&amp;SUBSTITUTE(TEXT(Overig!M635,""",""?00;"",""?-00;"",""?00;"", //"""),"'","""")&amp;SUBSTITUTE(TEXT(IF(ISTEXT(Overig!N635),Overig!N635,10*Overig!N635),""",""????0;"",""???-0;"",""????0;"", ////"""),"'","""")&amp;SUBSTITUTE(TEXT(Overig!O635,""",""?00;"",""?-00;"",""?00;"", //"""),"'","""")&amp;SUBSTITUTE(TEXT(IF(ISTEXT(Overig!P635),Overig!P635,10*Overig!P635),""",""????0;"",""???-0;"",""????0;"", ////"""),"'","""")&amp;SUBSTITUTE(TEXT(Overig!Q635,""",""?00;"",""?-00;"",""?00;"", //"""),"'","""")&amp;SUBSTITUTE(TEXT(Overig!R635,""",""????0;"",""???-0;"",""????0;"", ////"""),"'","""")&amp;SUBSTITUTE(TEXT(Overig!S635,""",""?00;"",""?-00;"",""?00;"", //"""),"'","""")&amp;SUBSTITUTE(TEXT(IF(ISTEXT(Overig!T635),Overig!T635,10*Overig!T635),""",""????0;"",""???-0;"",""????0;"", ////"""),"'","""")&amp;SUBSTITUTE(TEXT(Overig!U635,""",""?00;"",""?-00;"",""?00;"", //"""),"'","""")&amp;SUBSTITUTE(TEXT(Overig!V635,""",""???0;"",""??-0;"",""???0;"", ///"""),"'","""")&amp;SUBSTITUTE(TEXT(Overig!W635,""",""?00;"",""?-00;"",""?00;"", //"""),"'","""")</f>
        <v>032, 19400607, 12.00, 7579, 00,  267, 00, ////, 07, ////, 07,  76, 00,  199, 00,  234, 00,   65, 00,    6, 00,   3, 00</v>
      </c>
    </row>
    <row r="636" spans="1:1" x14ac:dyDescent="0.25">
      <c r="A636" s="12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//"""),"'","""")&amp;SUBSTITUTE(TEXT(IF(ISTEXT(Overig!J636),Overig!J636,10*Overig!J636),""",""????0;"",""???-0;"",""????0;"", ////"""),"'","""")&amp;SUBSTITUTE(TEXT(Overig!K636,""",""?00;"",""?-00;"",""?00;"", //"""),"'","""")&amp;SUBSTITUTE(TEXT(Overig!L636,""",""???0;"",""??-0;"",""???0;"", ///"""),"'","""")&amp;SUBSTITUTE(TEXT(Overig!M636,""",""?00;"",""?-00;"",""?00;"", //"""),"'","""")&amp;SUBSTITUTE(TEXT(IF(ISTEXT(Overig!N636),Overig!N636,10*Overig!N636),""",""????0;"",""???-0;"",""????0;"", ////"""),"'","""")&amp;SUBSTITUTE(TEXT(Overig!O636,""",""?00;"",""?-00;"",""?00;"", //"""),"'","""")&amp;SUBSTITUTE(TEXT(IF(ISTEXT(Overig!P636),Overig!P636,10*Overig!P636),""",""????0;"",""???-0;"",""????0;"", ////"""),"'","""")&amp;SUBSTITUTE(TEXT(Overig!Q636,""",""?00;"",""?-00;"",""?00;"", //"""),"'","""")&amp;SUBSTITUTE(TEXT(Overig!R636,""",""????0;"",""???-0;"",""????0;"", ////"""),"'","""")&amp;SUBSTITUTE(TEXT(Overig!S636,""",""?00;"",""?-00;"",""?00;"", //"""),"'","""")&amp;SUBSTITUTE(TEXT(IF(ISTEXT(Overig!T636),Overig!T636,10*Overig!T636),""",""????0;"",""???-0;"",""????0;"", ////"""),"'","""")&amp;SUBSTITUTE(TEXT(Overig!U636,""",""?00;"",""?-00;"",""?00;"", //"""),"'","""")&amp;SUBSTITUTE(TEXT(Overig!V636,""",""???0;"",""??-0;"",""???0;"", ///"""),"'","""")&amp;SUBSTITUTE(TEXT(Overig!W636,""",""?00;"",""?-00;"",""?00;"", //"""),"'","""")</f>
        <v>032, 19400607, 17.00, 7569, 00,  263, 00, ////, 07, ////, 07,  76, 00,  194, 00,  230, 00,   65, 00,    6, 00,   3, 00</v>
      </c>
    </row>
    <row r="637" spans="1:1" x14ac:dyDescent="0.25">
      <c r="A637" s="12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//"""),"'","""")&amp;SUBSTITUTE(TEXT(IF(ISTEXT(Overig!J637),Overig!J637,10*Overig!J637),""",""????0;"",""???-0;"",""????0;"", ////"""),"'","""")&amp;SUBSTITUTE(TEXT(Overig!K637,""",""?00;"",""?-00;"",""?00;"", //"""),"'","""")&amp;SUBSTITUTE(TEXT(Overig!L637,""",""???0;"",""??-0;"",""???0;"", ///"""),"'","""")&amp;SUBSTITUTE(TEXT(Overig!M637,""",""?00;"",""?-00;"",""?00;"", //"""),"'","""")&amp;SUBSTITUTE(TEXT(IF(ISTEXT(Overig!N637),Overig!N637,10*Overig!N637),""",""????0;"",""???-0;"",""????0;"", ////"""),"'","""")&amp;SUBSTITUTE(TEXT(Overig!O637,""",""?00;"",""?-00;"",""?00;"", //"""),"'","""")&amp;SUBSTITUTE(TEXT(IF(ISTEXT(Overig!P637),Overig!P637,10*Overig!P637),""",""????0;"",""???-0;"",""????0;"", ////"""),"'","""")&amp;SUBSTITUTE(TEXT(Overig!Q637,""",""?00;"",""?-00;"",""?00;"", //"""),"'","""")&amp;SUBSTITUTE(TEXT(Overig!R637,""",""????0;"",""???-0;"",""????0;"", ////"""),"'","""")&amp;SUBSTITUTE(TEXT(Overig!S637,""",""?00;"",""?-00;"",""?00;"", //"""),"'","""")&amp;SUBSTITUTE(TEXT(IF(ISTEXT(Overig!T637),Overig!T637,10*Overig!T637),""",""????0;"",""???-0;"",""????0;"", ////"""),"'","""")&amp;SUBSTITUTE(TEXT(Overig!U637,""",""?00;"",""?-00;"",""?00;"", //"""),"'","""")&amp;SUBSTITUTE(TEXT(Overig!V637,""",""???0;"",""??-0;"",""???0;"", ///"""),"'","""")&amp;SUBSTITUTE(TEXT(Overig!W637,""",""?00;"",""?-00;"",""?00;"", //"""),"'","""")</f>
        <v>032, 19400607, 24.00, ////, 07, ////, 07,  280, 00,  295, 00, ///, 07, ////, 07, ////, 07, ////, 07, ////, 07, ///, 07</v>
      </c>
    </row>
    <row r="638" spans="1:1" x14ac:dyDescent="0.25">
      <c r="A638" s="12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//"""),"'","""")&amp;SUBSTITUTE(TEXT(IF(ISTEXT(Overig!J638),Overig!J638,10*Overig!J638),""",""????0;"",""???-0;"",""????0;"", ////"""),"'","""")&amp;SUBSTITUTE(TEXT(Overig!K638,""",""?00;"",""?-00;"",""?00;"", //"""),"'","""")&amp;SUBSTITUTE(TEXT(Overig!L638,""",""???0;"",""??-0;"",""???0;"", ///"""),"'","""")&amp;SUBSTITUTE(TEXT(Overig!M638,""",""?00;"",""?-00;"",""?00;"", //"""),"'","""")&amp;SUBSTITUTE(TEXT(IF(ISTEXT(Overig!N638),Overig!N638,10*Overig!N638),""",""????0;"",""???-0;"",""????0;"", ////"""),"'","""")&amp;SUBSTITUTE(TEXT(Overig!O638,""",""?00;"",""?-00;"",""?00;"", //"""),"'","""")&amp;SUBSTITUTE(TEXT(IF(ISTEXT(Overig!P638),Overig!P638,10*Overig!P638),""",""????0;"",""???-0;"",""????0;"", ////"""),"'","""")&amp;SUBSTITUTE(TEXT(Overig!Q638,""",""?00;"",""?-00;"",""?00;"", //"""),"'","""")&amp;SUBSTITUTE(TEXT(Overig!R638,""",""????0;"",""???-0;"",""????0;"", ////"""),"'","""")&amp;SUBSTITUTE(TEXT(Overig!S638,""",""?00;"",""?-00;"",""?00;"", //"""),"'","""")&amp;SUBSTITUTE(TEXT(IF(ISTEXT(Overig!T638),Overig!T638,10*Overig!T638),""",""????0;"",""???-0;"",""????0;"", ////"""),"'","""")&amp;SUBSTITUTE(TEXT(Overig!U638,""",""?00;"",""?-00;"",""?00;"", //"""),"'","""")&amp;SUBSTITUTE(TEXT(Overig!V638,""",""???0;"",""??-0;"",""???0;"", ///"""),"'","""")&amp;SUBSTITUTE(TEXT(Overig!W638,""",""?00;"",""?-00;"",""?00;"", //"""),"'","""")</f>
        <v>032, 19400608, 07.00, 7574, 00,  277, 00, ////, 07, ////, 07,  72, 00,  202, 00,  238, 00,   65, 00,    5, 00,   3, 00</v>
      </c>
    </row>
    <row r="639" spans="1:1" x14ac:dyDescent="0.25">
      <c r="A639" s="12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//"""),"'","""")&amp;SUBSTITUTE(TEXT(IF(ISTEXT(Overig!J639),Overig!J639,10*Overig!J639),""",""????0;"",""???-0;"",""????0;"", ////"""),"'","""")&amp;SUBSTITUTE(TEXT(Overig!K639,""",""?00;"",""?-00;"",""?00;"", //"""),"'","""")&amp;SUBSTITUTE(TEXT(Overig!L639,""",""???0;"",""??-0;"",""???0;"", ///"""),"'","""")&amp;SUBSTITUTE(TEXT(Overig!M639,""",""?00;"",""?-00;"",""?00;"", //"""),"'","""")&amp;SUBSTITUTE(TEXT(IF(ISTEXT(Overig!N639),Overig!N639,10*Overig!N639),""",""????0;"",""???-0;"",""????0;"", ////"""),"'","""")&amp;SUBSTITUTE(TEXT(Overig!O639,""",""?00;"",""?-00;"",""?00;"", //"""),"'","""")&amp;SUBSTITUTE(TEXT(IF(ISTEXT(Overig!P639),Overig!P639,10*Overig!P639),""",""????0;"",""???-0;"",""????0;"", ////"""),"'","""")&amp;SUBSTITUTE(TEXT(Overig!Q639,""",""?00;"",""?-00;"",""?00;"", //"""),"'","""")&amp;SUBSTITUTE(TEXT(Overig!R639,""",""????0;"",""???-0;"",""????0;"", ////"""),"'","""")&amp;SUBSTITUTE(TEXT(Overig!S639,""",""?00;"",""?-00;"",""?00;"", //"""),"'","""")&amp;SUBSTITUTE(TEXT(IF(ISTEXT(Overig!T639),Overig!T639,10*Overig!T639),""",""????0;"",""???-0;"",""????0;"", ////"""),"'","""")&amp;SUBSTITUTE(TEXT(Overig!U639,""",""?00;"",""?-00;"",""?00;"", //"""),"'","""")&amp;SUBSTITUTE(TEXT(Overig!V639,""",""???0;"",""??-0;"",""???0;"", ///"""),"'","""")&amp;SUBSTITUTE(TEXT(Overig!W639,""",""?00;"",""?-00;"",""?00;"", //"""),"'","""")</f>
        <v>032, 19400608, 12.00, 7579, 00,  289, 00, ////, 07, ////, 07,  68, 00,  203, 00,  242, 00,   65, 00,    6, 00,   4, 00</v>
      </c>
    </row>
    <row r="640" spans="1:1" x14ac:dyDescent="0.25">
      <c r="A640" s="12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//"""),"'","""")&amp;SUBSTITUTE(TEXT(IF(ISTEXT(Overig!J640),Overig!J640,10*Overig!J640),""",""????0;"",""???-0;"",""????0;"", ////"""),"'","""")&amp;SUBSTITUTE(TEXT(Overig!K640,""",""?00;"",""?-00;"",""?00;"", //"""),"'","""")&amp;SUBSTITUTE(TEXT(Overig!L640,""",""???0;"",""??-0;"",""???0;"", ///"""),"'","""")&amp;SUBSTITUTE(TEXT(Overig!M640,""",""?00;"",""?-00;"",""?00;"", //"""),"'","""")&amp;SUBSTITUTE(TEXT(IF(ISTEXT(Overig!N640),Overig!N640,10*Overig!N640),""",""????0;"",""???-0;"",""????0;"", ////"""),"'","""")&amp;SUBSTITUTE(TEXT(Overig!O640,""",""?00;"",""?-00;"",""?00;"", //"""),"'","""")&amp;SUBSTITUTE(TEXT(IF(ISTEXT(Overig!P640),Overig!P640,10*Overig!P640),""",""????0;"",""???-0;"",""????0;"", ////"""),"'","""")&amp;SUBSTITUTE(TEXT(Overig!Q640,""",""?00;"",""?-00;"",""?00;"", //"""),"'","""")&amp;SUBSTITUTE(TEXT(Overig!R640,""",""????0;"",""???-0;"",""????0;"", ////"""),"'","""")&amp;SUBSTITUTE(TEXT(Overig!S640,""",""?00;"",""?-00;"",""?00;"", //"""),"'","""")&amp;SUBSTITUTE(TEXT(IF(ISTEXT(Overig!T640),Overig!T640,10*Overig!T640),""",""????0;"",""???-0;"",""????0;"", ////"""),"'","""")&amp;SUBSTITUTE(TEXT(Overig!U640,""",""?00;"",""?-00;"",""?00;"", //"""),"'","""")&amp;SUBSTITUTE(TEXT(Overig!V640,""",""???0;"",""??-0;"",""???0;"", ///"""),"'","""")&amp;SUBSTITUTE(TEXT(Overig!W640,""",""?00;"",""?-00;"",""?00;"", //"""),"'","""")</f>
        <v>032, 19400608, 17.00, 7574, 00,  279, 00, ////, 07, ////, 07,  71, 00,  201, 00,  238, 00,   45, 00,    6, 00,   3, 00</v>
      </c>
    </row>
    <row r="641" spans="1:1" x14ac:dyDescent="0.25">
      <c r="A641" s="12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//"""),"'","""")&amp;SUBSTITUTE(TEXT(IF(ISTEXT(Overig!J641),Overig!J641,10*Overig!J641),""",""????0;"",""???-0;"",""????0;"", ////"""),"'","""")&amp;SUBSTITUTE(TEXT(Overig!K641,""",""?00;"",""?-00;"",""?00;"", //"""),"'","""")&amp;SUBSTITUTE(TEXT(Overig!L641,""",""???0;"",""??-0;"",""???0;"", ///"""),"'","""")&amp;SUBSTITUTE(TEXT(Overig!M641,""",""?00;"",""?-00;"",""?00;"", //"""),"'","""")&amp;SUBSTITUTE(TEXT(IF(ISTEXT(Overig!N641),Overig!N641,10*Overig!N641),""",""????0;"",""???-0;"",""????0;"", ////"""),"'","""")&amp;SUBSTITUTE(TEXT(Overig!O641,""",""?00;"",""?-00;"",""?00;"", //"""),"'","""")&amp;SUBSTITUTE(TEXT(IF(ISTEXT(Overig!P641),Overig!P641,10*Overig!P641),""",""????0;"",""???-0;"",""????0;"", ////"""),"'","""")&amp;SUBSTITUTE(TEXT(Overig!Q641,""",""?00;"",""?-00;"",""?00;"", //"""),"'","""")&amp;SUBSTITUTE(TEXT(Overig!R641,""",""????0;"",""???-0;"",""????0;"", ////"""),"'","""")&amp;SUBSTITUTE(TEXT(Overig!S641,""",""?00;"",""?-00;"",""?00;"", //"""),"'","""")&amp;SUBSTITUTE(TEXT(IF(ISTEXT(Overig!T641),Overig!T641,10*Overig!T641),""",""????0;"",""???-0;"",""????0;"", ////"""),"'","""")&amp;SUBSTITUTE(TEXT(Overig!U641,""",""?00;"",""?-00;"",""?00;"", //"""),"'","""")&amp;SUBSTITUTE(TEXT(Overig!V641,""",""???0;"",""??-0;"",""???0;"", ///"""),"'","""")&amp;SUBSTITUTE(TEXT(Overig!W641,""",""?00;"",""?-00;"",""?00;"", //"""),"'","""")</f>
        <v>032, 19400608, 24.00, ////, 07, ////, 07,  290, 00,  300, 00, ///, 07, ////, 07, ////, 07, ////, 07, ////, 07, ///, 07</v>
      </c>
    </row>
    <row r="642" spans="1:1" x14ac:dyDescent="0.25">
      <c r="A642" s="12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//"""),"'","""")&amp;SUBSTITUTE(TEXT(IF(ISTEXT(Overig!J642),Overig!J642,10*Overig!J642),""",""????0;"",""???-0;"",""????0;"", ////"""),"'","""")&amp;SUBSTITUTE(TEXT(Overig!K642,""",""?00;"",""?-00;"",""?00;"", //"""),"'","""")&amp;SUBSTITUTE(TEXT(Overig!L642,""",""???0;"",""??-0;"",""???0;"", ///"""),"'","""")&amp;SUBSTITUTE(TEXT(Overig!M642,""",""?00;"",""?-00;"",""?00;"", //"""),"'","""")&amp;SUBSTITUTE(TEXT(IF(ISTEXT(Overig!N642),Overig!N642,10*Overig!N642),""",""????0;"",""???-0;"",""????0;"", ////"""),"'","""")&amp;SUBSTITUTE(TEXT(Overig!O642,""",""?00;"",""?-00;"",""?00;"", //"""),"'","""")&amp;SUBSTITUTE(TEXT(IF(ISTEXT(Overig!P642),Overig!P642,10*Overig!P642),""",""????0;"",""???-0;"",""????0;"", ////"""),"'","""")&amp;SUBSTITUTE(TEXT(Overig!Q642,""",""?00;"",""?-00;"",""?00;"", //"""),"'","""")&amp;SUBSTITUTE(TEXT(Overig!R642,""",""????0;"",""???-0;"",""????0;"", ////"""),"'","""")&amp;SUBSTITUTE(TEXT(Overig!S642,""",""?00;"",""?-00;"",""?00;"", //"""),"'","""")&amp;SUBSTITUTE(TEXT(IF(ISTEXT(Overig!T642),Overig!T642,10*Overig!T642),""",""????0;"",""???-0;"",""????0;"", ////"""),"'","""")&amp;SUBSTITUTE(TEXT(Overig!U642,""",""?00;"",""?-00;"",""?00;"", //"""),"'","""")&amp;SUBSTITUTE(TEXT(Overig!V642,""",""???0;"",""??-0;"",""???0;"", ///"""),"'","""")&amp;SUBSTITUTE(TEXT(Overig!W642,""",""?00;"",""?-00;"",""?00;"", //"""),"'","""")</f>
        <v>032, 19400609, 07.00, 7567, 00,  275, 00, ////, 07, ////, 07,  70, 00,  192, 00,  232, 00,   65, 00,    5, 00,   3, 00</v>
      </c>
    </row>
    <row r="643" spans="1:1" x14ac:dyDescent="0.25">
      <c r="A643" s="12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//"""),"'","""")&amp;SUBSTITUTE(TEXT(IF(ISTEXT(Overig!J643),Overig!J643,10*Overig!J643),""",""????0;"",""???-0;"",""????0;"", ////"""),"'","""")&amp;SUBSTITUTE(TEXT(Overig!K643,""",""?00;"",""?-00;"",""?00;"", //"""),"'","""")&amp;SUBSTITUTE(TEXT(Overig!L643,""",""???0;"",""??-0;"",""???0;"", ///"""),"'","""")&amp;SUBSTITUTE(TEXT(Overig!M643,""",""?00;"",""?-00;"",""?00;"", //"""),"'","""")&amp;SUBSTITUTE(TEXT(IF(ISTEXT(Overig!N643),Overig!N643,10*Overig!N643),""",""????0;"",""???-0;"",""????0;"", ////"""),"'","""")&amp;SUBSTITUTE(TEXT(Overig!O643,""",""?00;"",""?-00;"",""?00;"", //"""),"'","""")&amp;SUBSTITUTE(TEXT(IF(ISTEXT(Overig!P643),Overig!P643,10*Overig!P643),""",""????0;"",""???-0;"",""????0;"", ////"""),"'","""")&amp;SUBSTITUTE(TEXT(Overig!Q643,""",""?00;"",""?-00;"",""?00;"", //"""),"'","""")&amp;SUBSTITUTE(TEXT(Overig!R643,""",""????0;"",""???-0;"",""????0;"", ////"""),"'","""")&amp;SUBSTITUTE(TEXT(Overig!S643,""",""?00;"",""?-00;"",""?00;"", //"""),"'","""")&amp;SUBSTITUTE(TEXT(IF(ISTEXT(Overig!T643),Overig!T643,10*Overig!T643),""",""????0;"",""???-0;"",""????0;"", ////"""),"'","""")&amp;SUBSTITUTE(TEXT(Overig!U643,""",""?00;"",""?-00;"",""?00;"", //"""),"'","""")&amp;SUBSTITUTE(TEXT(Overig!V643,""",""???0;"",""??-0;"",""???0;"", ///"""),"'","""")&amp;SUBSTITUTE(TEXT(Overig!W643,""",""?00;"",""?-00;"",""?00;"", //"""),"'","""")</f>
        <v>032, 19400609, 12.00, 7556, 00,  279, 00, ////, 07, ////, 07,  70, 00,  197, 00,  236, 00,   65, 00,    6, 00,   4, 00</v>
      </c>
    </row>
    <row r="644" spans="1:1" x14ac:dyDescent="0.25">
      <c r="A644" s="12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//"""),"'","""")&amp;SUBSTITUTE(TEXT(IF(ISTEXT(Overig!J644),Overig!J644,10*Overig!J644),""",""????0;"",""???-0;"",""????0;"", ////"""),"'","""")&amp;SUBSTITUTE(TEXT(Overig!K644,""",""?00;"",""?-00;"",""?00;"", //"""),"'","""")&amp;SUBSTITUTE(TEXT(Overig!L644,""",""???0;"",""??-0;"",""???0;"", ///"""),"'","""")&amp;SUBSTITUTE(TEXT(Overig!M644,""",""?00;"",""?-00;"",""?00;"", //"""),"'","""")&amp;SUBSTITUTE(TEXT(IF(ISTEXT(Overig!N644),Overig!N644,10*Overig!N644),""",""????0;"",""???-0;"",""????0;"", ////"""),"'","""")&amp;SUBSTITUTE(TEXT(Overig!O644,""",""?00;"",""?-00;"",""?00;"", //"""),"'","""")&amp;SUBSTITUTE(TEXT(IF(ISTEXT(Overig!P644),Overig!P644,10*Overig!P644),""",""????0;"",""???-0;"",""????0;"", ////"""),"'","""")&amp;SUBSTITUTE(TEXT(Overig!Q644,""",""?00;"",""?-00;"",""?00;"", //"""),"'","""")&amp;SUBSTITUTE(TEXT(Overig!R644,""",""????0;"",""???-0;"",""????0;"", ////"""),"'","""")&amp;SUBSTITUTE(TEXT(Overig!S644,""",""?00;"",""?-00;"",""?00;"", //"""),"'","""")&amp;SUBSTITUTE(TEXT(IF(ISTEXT(Overig!T644),Overig!T644,10*Overig!T644),""",""????0;"",""???-0;"",""????0;"", ////"""),"'","""")&amp;SUBSTITUTE(TEXT(Overig!U644,""",""?00;"",""?-00;"",""?00;"", //"""),"'","""")&amp;SUBSTITUTE(TEXT(Overig!V644,""",""???0;"",""??-0;"",""???0;"", ///"""),"'","""")&amp;SUBSTITUTE(TEXT(Overig!W644,""",""?00;"",""?-00;"",""?00;"", //"""),"'","""")</f>
        <v>032, 19400609, 17.00, 7572, 00,  281, 00, ////, 07, ////, 07,  67, 00,  192, 00,  234, 00,   45, 00,    6, 00,   3, 00</v>
      </c>
    </row>
    <row r="645" spans="1:1" x14ac:dyDescent="0.25">
      <c r="A645" s="12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//"""),"'","""")&amp;SUBSTITUTE(TEXT(IF(ISTEXT(Overig!J645),Overig!J645,10*Overig!J645),""",""????0;"",""???-0;"",""????0;"", ////"""),"'","""")&amp;SUBSTITUTE(TEXT(Overig!K645,""",""?00;"",""?-00;"",""?00;"", //"""),"'","""")&amp;SUBSTITUTE(TEXT(Overig!L645,""",""???0;"",""??-0;"",""???0;"", ///"""),"'","""")&amp;SUBSTITUTE(TEXT(Overig!M645,""",""?00;"",""?-00;"",""?00;"", //"""),"'","""")&amp;SUBSTITUTE(TEXT(IF(ISTEXT(Overig!N645),Overig!N645,10*Overig!N645),""",""????0;"",""???-0;"",""????0;"", ////"""),"'","""")&amp;SUBSTITUTE(TEXT(Overig!O645,""",""?00;"",""?-00;"",""?00;"", //"""),"'","""")&amp;SUBSTITUTE(TEXT(IF(ISTEXT(Overig!P645),Overig!P645,10*Overig!P645),""",""????0;"",""???-0;"",""????0;"", ////"""),"'","""")&amp;SUBSTITUTE(TEXT(Overig!Q645,""",""?00;"",""?-00;"",""?00;"", //"""),"'","""")&amp;SUBSTITUTE(TEXT(Overig!R645,""",""????0;"",""???-0;"",""????0;"", ////"""),"'","""")&amp;SUBSTITUTE(TEXT(Overig!S645,""",""?00;"",""?-00;"",""?00;"", //"""),"'","""")&amp;SUBSTITUTE(TEXT(IF(ISTEXT(Overig!T645),Overig!T645,10*Overig!T645),""",""????0;"",""???-0;"",""????0;"", ////"""),"'","""")&amp;SUBSTITUTE(TEXT(Overig!U645,""",""?00;"",""?-00;"",""?00;"", //"""),"'","""")&amp;SUBSTITUTE(TEXT(Overig!V645,""",""???0;"",""??-0;"",""???0;"", ///"""),"'","""")&amp;SUBSTITUTE(TEXT(Overig!W645,""",""?00;"",""?-00;"",""?00;"", //"""),"'","""")</f>
        <v>032, 19400609, 24.00, ////, 07, ////, 07,  285, 00,  300, 00, ///, 07, ////, 07, ////, 07, ////, 07, ////, 07, ///, 07</v>
      </c>
    </row>
    <row r="646" spans="1:1" x14ac:dyDescent="0.25">
      <c r="A646" s="12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//"""),"'","""")&amp;SUBSTITUTE(TEXT(IF(ISTEXT(Overig!J646),Overig!J646,10*Overig!J646),""",""????0;"",""???-0;"",""????0;"", ////"""),"'","""")&amp;SUBSTITUTE(TEXT(Overig!K646,""",""?00;"",""?-00;"",""?00;"", //"""),"'","""")&amp;SUBSTITUTE(TEXT(Overig!L646,""",""???0;"",""??-0;"",""???0;"", ///"""),"'","""")&amp;SUBSTITUTE(TEXT(Overig!M646,""",""?00;"",""?-00;"",""?00;"", //"""),"'","""")&amp;SUBSTITUTE(TEXT(IF(ISTEXT(Overig!N646),Overig!N646,10*Overig!N646),""",""????0;"",""???-0;"",""????0;"", ////"""),"'","""")&amp;SUBSTITUTE(TEXT(Overig!O646,""",""?00;"",""?-00;"",""?00;"", //"""),"'","""")&amp;SUBSTITUTE(TEXT(IF(ISTEXT(Overig!P646),Overig!P646,10*Overig!P646),""",""????0;"",""???-0;"",""????0;"", ////"""),"'","""")&amp;SUBSTITUTE(TEXT(Overig!Q646,""",""?00;"",""?-00;"",""?00;"", //"""),"'","""")&amp;SUBSTITUTE(TEXT(Overig!R646,""",""????0;"",""???-0;"",""????0;"", ////"""),"'","""")&amp;SUBSTITUTE(TEXT(Overig!S646,""",""?00;"",""?-00;"",""?00;"", //"""),"'","""")&amp;SUBSTITUTE(TEXT(IF(ISTEXT(Overig!T646),Overig!T646,10*Overig!T646),""",""????0;"",""???-0;"",""????0;"", ////"""),"'","""")&amp;SUBSTITUTE(TEXT(Overig!U646,""",""?00;"",""?-00;"",""?00;"", //"""),"'","""")&amp;SUBSTITUTE(TEXT(Overig!V646,""",""???0;"",""??-0;"",""???0;"", ///"""),"'","""")&amp;SUBSTITUTE(TEXT(Overig!W646,""",""?00;"",""?-00;"",""?00;"", //"""),"'","""")</f>
        <v>032, 19400610, 07.00, 7562, 00,  277, 00, ////, 07, ////, 07,  72, 00,  202, 00,  238, 00,   65, 00,    5, 00,   4, 00</v>
      </c>
    </row>
    <row r="647" spans="1:1" x14ac:dyDescent="0.25">
      <c r="A647" s="12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//"""),"'","""")&amp;SUBSTITUTE(TEXT(IF(ISTEXT(Overig!J647),Overig!J647,10*Overig!J647),""",""????0;"",""???-0;"",""????0;"", ////"""),"'","""")&amp;SUBSTITUTE(TEXT(Overig!K647,""",""?00;"",""?-00;"",""?00;"", //"""),"'","""")&amp;SUBSTITUTE(TEXT(Overig!L647,""",""???0;"",""??-0;"",""???0;"", ///"""),"'","""")&amp;SUBSTITUTE(TEXT(Overig!M647,""",""?00;"",""?-00;"",""?00;"", //"""),"'","""")&amp;SUBSTITUTE(TEXT(IF(ISTEXT(Overig!N647),Overig!N647,10*Overig!N647),""",""????0;"",""???-0;"",""????0;"", ////"""),"'","""")&amp;SUBSTITUTE(TEXT(Overig!O647,""",""?00;"",""?-00;"",""?00;"", //"""),"'","""")&amp;SUBSTITUTE(TEXT(IF(ISTEXT(Overig!P647),Overig!P647,10*Overig!P647),""",""????0;"",""???-0;"",""????0;"", ////"""),"'","""")&amp;SUBSTITUTE(TEXT(Overig!Q647,""",""?00;"",""?-00;"",""?00;"", //"""),"'","""")&amp;SUBSTITUTE(TEXT(Overig!R647,""",""????0;"",""???-0;"",""????0;"", ////"""),"'","""")&amp;SUBSTITUTE(TEXT(Overig!S647,""",""?00;"",""?-00;"",""?00;"", //"""),"'","""")&amp;SUBSTITUTE(TEXT(IF(ISTEXT(Overig!T647),Overig!T647,10*Overig!T647),""",""????0;"",""???-0;"",""????0;"", ////"""),"'","""")&amp;SUBSTITUTE(TEXT(Overig!U647,""",""?00;"",""?-00;"",""?00;"", //"""),"'","""")&amp;SUBSTITUTE(TEXT(Overig!V647,""",""???0;"",""??-0;"",""???0;"", ///"""),"'","""")&amp;SUBSTITUTE(TEXT(Overig!W647,""",""?00;"",""?-00;"",""?00;"", //"""),"'","""")</f>
        <v>032, 19400610, 12.00, 7579, 00,  279, 00, ////, 07, ////, 07,  74, 00,  208, 00,  242, 00,   65, 00,    7, 00,   5, 00</v>
      </c>
    </row>
    <row r="648" spans="1:1" x14ac:dyDescent="0.25">
      <c r="A648" s="12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//"""),"'","""")&amp;SUBSTITUTE(TEXT(IF(ISTEXT(Overig!J648),Overig!J648,10*Overig!J648),""",""????0;"",""???-0;"",""????0;"", ////"""),"'","""")&amp;SUBSTITUTE(TEXT(Overig!K648,""",""?00;"",""?-00;"",""?00;"", //"""),"'","""")&amp;SUBSTITUTE(TEXT(Overig!L648,""",""???0;"",""??-0;"",""???0;"", ///"""),"'","""")&amp;SUBSTITUTE(TEXT(Overig!M648,""",""?00;"",""?-00;"",""?00;"", //"""),"'","""")&amp;SUBSTITUTE(TEXT(IF(ISTEXT(Overig!N648),Overig!N648,10*Overig!N648),""",""????0;"",""???-0;"",""????0;"", ////"""),"'","""")&amp;SUBSTITUTE(TEXT(Overig!O648,""",""?00;"",""?-00;"",""?00;"", //"""),"'","""")&amp;SUBSTITUTE(TEXT(IF(ISTEXT(Overig!P648),Overig!P648,10*Overig!P648),""",""????0;"",""???-0;"",""????0;"", ////"""),"'","""")&amp;SUBSTITUTE(TEXT(Overig!Q648,""",""?00;"",""?-00;"",""?00;"", //"""),"'","""")&amp;SUBSTITUTE(TEXT(Overig!R648,""",""????0;"",""???-0;"",""????0;"", ////"""),"'","""")&amp;SUBSTITUTE(TEXT(Overig!S648,""",""?00;"",""?-00;"",""?00;"", //"""),"'","""")&amp;SUBSTITUTE(TEXT(IF(ISTEXT(Overig!T648),Overig!T648,10*Overig!T648),""",""????0;"",""???-0;"",""????0;"", ////"""),"'","""")&amp;SUBSTITUTE(TEXT(Overig!U648,""",""?00;"",""?-00;"",""?00;"", //"""),"'","""")&amp;SUBSTITUTE(TEXT(Overig!V648,""",""???0;"",""??-0;"",""???0;"", ///"""),"'","""")&amp;SUBSTITUTE(TEXT(Overig!W648,""",""?00;"",""?-00;"",""?00;"", //"""),"'","""")</f>
        <v>032, 19400610, 17.00, 7574, 00,  279, 00, ////, 07, ////, 07,  71, 00,  201, 00,  238, 00,   45, 00,    6, 00,   3, 00</v>
      </c>
    </row>
    <row r="649" spans="1:1" x14ac:dyDescent="0.25">
      <c r="A649" s="12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//"""),"'","""")&amp;SUBSTITUTE(TEXT(IF(ISTEXT(Overig!J649),Overig!J649,10*Overig!J649),""",""????0;"",""???-0;"",""????0;"", ////"""),"'","""")&amp;SUBSTITUTE(TEXT(Overig!K649,""",""?00;"",""?-00;"",""?00;"", //"""),"'","""")&amp;SUBSTITUTE(TEXT(Overig!L649,""",""???0;"",""??-0;"",""???0;"", ///"""),"'","""")&amp;SUBSTITUTE(TEXT(Overig!M649,""",""?00;"",""?-00;"",""?00;"", //"""),"'","""")&amp;SUBSTITUTE(TEXT(IF(ISTEXT(Overig!N649),Overig!N649,10*Overig!N649),""",""????0;"",""???-0;"",""????0;"", ////"""),"'","""")&amp;SUBSTITUTE(TEXT(Overig!O649,""",""?00;"",""?-00;"",""?00;"", //"""),"'","""")&amp;SUBSTITUTE(TEXT(IF(ISTEXT(Overig!P649),Overig!P649,10*Overig!P649),""",""????0;"",""???-0;"",""????0;"", ////"""),"'","""")&amp;SUBSTITUTE(TEXT(Overig!Q649,""",""?00;"",""?-00;"",""?00;"", //"""),"'","""")&amp;SUBSTITUTE(TEXT(Overig!R649,""",""????0;"",""???-0;"",""????0;"", ////"""),"'","""")&amp;SUBSTITUTE(TEXT(Overig!S649,""",""?00;"",""?-00;"",""?00;"", //"""),"'","""")&amp;SUBSTITUTE(TEXT(IF(ISTEXT(Overig!T649),Overig!T649,10*Overig!T649),""",""????0;"",""???-0;"",""????0;"", ////"""),"'","""")&amp;SUBSTITUTE(TEXT(Overig!U649,""",""?00;"",""?-00;"",""?00;"", //"""),"'","""")&amp;SUBSTITUTE(TEXT(Overig!V649,""",""???0;"",""??-0;"",""???0;"", ///"""),"'","""")&amp;SUBSTITUTE(TEXT(Overig!W649,""",""?00;"",""?-00;"",""?00;"", //"""),"'","""")</f>
        <v>032, 19400610, 24.00, ////, 07, ////, 07,  290, 00,  300, 00, ///, 07, ////, 07, ////, 07, ////, 07, ////, 07, ///, 07</v>
      </c>
    </row>
    <row r="650" spans="1:1" x14ac:dyDescent="0.25">
      <c r="A650" s="12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//"""),"'","""")&amp;SUBSTITUTE(TEXT(IF(ISTEXT(Overig!J650),Overig!J650,10*Overig!J650),""",""????0;"",""???-0;"",""????0;"", ////"""),"'","""")&amp;SUBSTITUTE(TEXT(Overig!K650,""",""?00;"",""?-00;"",""?00;"", //"""),"'","""")&amp;SUBSTITUTE(TEXT(Overig!L650,""",""???0;"",""??-0;"",""???0;"", ///"""),"'","""")&amp;SUBSTITUTE(TEXT(Overig!M650,""",""?00;"",""?-00;"",""?00;"", //"""),"'","""")&amp;SUBSTITUTE(TEXT(IF(ISTEXT(Overig!N650),Overig!N650,10*Overig!N650),""",""????0;"",""???-0;"",""????0;"", ////"""),"'","""")&amp;SUBSTITUTE(TEXT(Overig!O650,""",""?00;"",""?-00;"",""?00;"", //"""),"'","""")&amp;SUBSTITUTE(TEXT(IF(ISTEXT(Overig!P650),Overig!P650,10*Overig!P650),""",""????0;"",""???-0;"",""????0;"", ////"""),"'","""")&amp;SUBSTITUTE(TEXT(Overig!Q650,""",""?00;"",""?-00;"",""?00;"", //"""),"'","""")&amp;SUBSTITUTE(TEXT(Overig!R650,""",""????0;"",""???-0;"",""????0;"", ////"""),"'","""")&amp;SUBSTITUTE(TEXT(Overig!S650,""",""?00;"",""?-00;"",""?00;"", //"""),"'","""")&amp;SUBSTITUTE(TEXT(IF(ISTEXT(Overig!T650),Overig!T650,10*Overig!T650),""",""????0;"",""???-0;"",""????0;"", ////"""),"'","""")&amp;SUBSTITUTE(TEXT(Overig!U650,""",""?00;"",""?-00;"",""?00;"", //"""),"'","""")&amp;SUBSTITUTE(TEXT(Overig!V650,""",""???0;"",""??-0;"",""???0;"", ///"""),"'","""")&amp;SUBSTITUTE(TEXT(Overig!W650,""",""?00;"",""?-00;"",""?00;"", //"""),"'","""")</f>
        <v>032, 19400611, 07.00, 7582, 00,  271, 00, ////, 07, ////, 07,  82, 00,  220, 00,  246, 00,   45, 00,    5, 00,   3, 00</v>
      </c>
    </row>
    <row r="651" spans="1:1" x14ac:dyDescent="0.25">
      <c r="A651" s="12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//"""),"'","""")&amp;SUBSTITUTE(TEXT(IF(ISTEXT(Overig!J651),Overig!J651,10*Overig!J651),""",""????0;"",""???-0;"",""????0;"", ////"""),"'","""")&amp;SUBSTITUTE(TEXT(Overig!K651,""",""?00;"",""?-00;"",""?00;"", //"""),"'","""")&amp;SUBSTITUTE(TEXT(Overig!L651,""",""???0;"",""??-0;"",""???0;"", ///"""),"'","""")&amp;SUBSTITUTE(TEXT(Overig!M651,""",""?00;"",""?-00;"",""?00;"", //"""),"'","""")&amp;SUBSTITUTE(TEXT(IF(ISTEXT(Overig!N651),Overig!N651,10*Overig!N651),""",""????0;"",""???-0;"",""????0;"", ////"""),"'","""")&amp;SUBSTITUTE(TEXT(Overig!O651,""",""?00;"",""?-00;"",""?00;"", //"""),"'","""")&amp;SUBSTITUTE(TEXT(IF(ISTEXT(Overig!P651),Overig!P651,10*Overig!P651),""",""????0;"",""???-0;"",""????0;"", ////"""),"'","""")&amp;SUBSTITUTE(TEXT(Overig!Q651,""",""?00;"",""?-00;"",""?00;"", //"""),"'","""")&amp;SUBSTITUTE(TEXT(Overig!R651,""",""????0;"",""???-0;"",""????0;"", ////"""),"'","""")&amp;SUBSTITUTE(TEXT(Overig!S651,""",""?00;"",""?-00;"",""?00;"", //"""),"'","""")&amp;SUBSTITUTE(TEXT(IF(ISTEXT(Overig!T651),Overig!T651,10*Overig!T651),""",""????0;"",""???-0;"",""????0;"", ////"""),"'","""")&amp;SUBSTITUTE(TEXT(Overig!U651,""",""?00;"",""?-00;"",""?00;"", //"""),"'","""")&amp;SUBSTITUTE(TEXT(Overig!V651,""",""???0;"",""??-0;"",""???0;"", ///"""),"'","""")&amp;SUBSTITUTE(TEXT(Overig!W651,""",""?00;"",""?-00;"",""?00;"", //"""),"'","""")</f>
        <v>032, 19400611, 12.00, 7587, 00,  279, 00, ////, 07, ////, 07,  77, 00,  217, 00,  247, 00,   45, 00,    6, 00,   3, 00</v>
      </c>
    </row>
    <row r="652" spans="1:1" x14ac:dyDescent="0.25">
      <c r="A652" s="12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//"""),"'","""")&amp;SUBSTITUTE(TEXT(IF(ISTEXT(Overig!J652),Overig!J652,10*Overig!J652),""",""????0;"",""???-0;"",""????0;"", ////"""),"'","""")&amp;SUBSTITUTE(TEXT(Overig!K652,""",""?00;"",""?-00;"",""?00;"", //"""),"'","""")&amp;SUBSTITUTE(TEXT(Overig!L652,""",""???0;"",""??-0;"",""???0;"", ///"""),"'","""")&amp;SUBSTITUTE(TEXT(Overig!M652,""",""?00;"",""?-00;"",""?00;"", //"""),"'","""")&amp;SUBSTITUTE(TEXT(IF(ISTEXT(Overig!N652),Overig!N652,10*Overig!N652),""",""????0;"",""???-0;"",""????0;"", ////"""),"'","""")&amp;SUBSTITUTE(TEXT(Overig!O652,""",""?00;"",""?-00;"",""?00;"", //"""),"'","""")&amp;SUBSTITUTE(TEXT(IF(ISTEXT(Overig!P652),Overig!P652,10*Overig!P652),""",""????0;"",""???-0;"",""????0;"", ////"""),"'","""")&amp;SUBSTITUTE(TEXT(Overig!Q652,""",""?00;"",""?-00;"",""?00;"", //"""),"'","""")&amp;SUBSTITUTE(TEXT(Overig!R652,""",""????0;"",""???-0;"",""????0;"", ////"""),"'","""")&amp;SUBSTITUTE(TEXT(Overig!S652,""",""?00;"",""?-00;"",""?00;"", //"""),"'","""")&amp;SUBSTITUTE(TEXT(IF(ISTEXT(Overig!T652),Overig!T652,10*Overig!T652),""",""????0;"",""???-0;"",""????0;"", ////"""),"'","""")&amp;SUBSTITUTE(TEXT(Overig!U652,""",""?00;"",""?-00;"",""?00;"", //"""),"'","""")&amp;SUBSTITUTE(TEXT(Overig!V652,""",""???0;"",""??-0;"",""???0;"", ///"""),"'","""")&amp;SUBSTITUTE(TEXT(Overig!W652,""",""?00;"",""?-00;"",""?00;"", //"""),"'","""")</f>
        <v>032, 19400611, 17.00, 7582, 00,  277, 00, ////, 07, ////, 07,  74, 00,  205, 00,  240, 00,   45, 00,    6, 00,   3, 00</v>
      </c>
    </row>
    <row r="653" spans="1:1" x14ac:dyDescent="0.25">
      <c r="A653" s="12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//"""),"'","""")&amp;SUBSTITUTE(TEXT(IF(ISTEXT(Overig!J653),Overig!J653,10*Overig!J653),""",""????0;"",""???-0;"",""????0;"", ////"""),"'","""")&amp;SUBSTITUTE(TEXT(Overig!K653,""",""?00;"",""?-00;"",""?00;"", //"""),"'","""")&amp;SUBSTITUTE(TEXT(Overig!L653,""",""???0;"",""??-0;"",""???0;"", ///"""),"'","""")&amp;SUBSTITUTE(TEXT(Overig!M653,""",""?00;"",""?-00;"",""?00;"", //"""),"'","""")&amp;SUBSTITUTE(TEXT(IF(ISTEXT(Overig!N653),Overig!N653,10*Overig!N653),""",""????0;"",""???-0;"",""????0;"", ////"""),"'","""")&amp;SUBSTITUTE(TEXT(Overig!O653,""",""?00;"",""?-00;"",""?00;"", //"""),"'","""")&amp;SUBSTITUTE(TEXT(IF(ISTEXT(Overig!P653),Overig!P653,10*Overig!P653),""",""????0;"",""???-0;"",""????0;"", ////"""),"'","""")&amp;SUBSTITUTE(TEXT(Overig!Q653,""",""?00;"",""?-00;"",""?00;"", //"""),"'","""")&amp;SUBSTITUTE(TEXT(Overig!R653,""",""????0;"",""???-0;"",""????0;"", ////"""),"'","""")&amp;SUBSTITUTE(TEXT(Overig!S653,""",""?00;"",""?-00;"",""?00;"", //"""),"'","""")&amp;SUBSTITUTE(TEXT(IF(ISTEXT(Overig!T653),Overig!T653,10*Overig!T653),""",""????0;"",""???-0;"",""????0;"", ////"""),"'","""")&amp;SUBSTITUTE(TEXT(Overig!U653,""",""?00;"",""?-00;"",""?00;"", //"""),"'","""")&amp;SUBSTITUTE(TEXT(Overig!V653,""",""???0;"",""??-0;"",""???0;"", ///"""),"'","""")&amp;SUBSTITUTE(TEXT(Overig!W653,""",""?00;"",""?-00;"",""?00;"", //"""),"'","""")</f>
        <v>032, 19400611, 24.00, ////, 07, ////, 07,  284, 00,  304, 00, ///, 07, ////, 07, ////, 07, ////, 07, ////, 07, ///, 07</v>
      </c>
    </row>
    <row r="654" spans="1:1" x14ac:dyDescent="0.25">
      <c r="A654" s="12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//"""),"'","""")&amp;SUBSTITUTE(TEXT(IF(ISTEXT(Overig!J654),Overig!J654,10*Overig!J654),""",""????0;"",""???-0;"",""????0;"", ////"""),"'","""")&amp;SUBSTITUTE(TEXT(Overig!K654,""",""?00;"",""?-00;"",""?00;"", //"""),"'","""")&amp;SUBSTITUTE(TEXT(Overig!L654,""",""???0;"",""??-0;"",""???0;"", ///"""),"'","""")&amp;SUBSTITUTE(TEXT(Overig!M654,""",""?00;"",""?-00;"",""?00;"", //"""),"'","""")&amp;SUBSTITUTE(TEXT(IF(ISTEXT(Overig!N654),Overig!N654,10*Overig!N654),""",""????0;"",""???-0;"",""????0;"", ////"""),"'","""")&amp;SUBSTITUTE(TEXT(Overig!O654,""",""?00;"",""?-00;"",""?00;"", //"""),"'","""")&amp;SUBSTITUTE(TEXT(IF(ISTEXT(Overig!P654),Overig!P654,10*Overig!P654),""",""????0;"",""???-0;"",""????0;"", ////"""),"'","""")&amp;SUBSTITUTE(TEXT(Overig!Q654,""",""?00;"",""?-00;"",""?00;"", //"""),"'","""")&amp;SUBSTITUTE(TEXT(Overig!R654,""",""????0;"",""???-0;"",""????0;"", ////"""),"'","""")&amp;SUBSTITUTE(TEXT(Overig!S654,""",""?00;"",""?-00;"",""?00;"", //"""),"'","""")&amp;SUBSTITUTE(TEXT(IF(ISTEXT(Overig!T654),Overig!T654,10*Overig!T654),""",""????0;"",""???-0;"",""????0;"", ////"""),"'","""")&amp;SUBSTITUTE(TEXT(Overig!U654,""",""?00;"",""?-00;"",""?00;"", //"""),"'","""")&amp;SUBSTITUTE(TEXT(Overig!V654,""",""???0;"",""??-0;"",""???0;"", ///"""),"'","""")&amp;SUBSTITUTE(TEXT(Overig!W654,""",""?00;"",""?-00;"",""?00;"", //"""),"'","""")</f>
        <v>032, 19400612, 07.00, 7589, 00,  269, 00, ////, 07, ////, 07,  79, 00,  209, 00,  240, 00,   65, 00,    3, 00,   6, 00</v>
      </c>
    </row>
    <row r="655" spans="1:1" x14ac:dyDescent="0.25">
      <c r="A655" s="12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//"""),"'","""")&amp;SUBSTITUTE(TEXT(IF(ISTEXT(Overig!J655),Overig!J655,10*Overig!J655),""",""????0;"",""???-0;"",""????0;"", ////"""),"'","""")&amp;SUBSTITUTE(TEXT(Overig!K655,""",""?00;"",""?-00;"",""?00;"", //"""),"'","""")&amp;SUBSTITUTE(TEXT(Overig!L655,""",""???0;"",""??-0;"",""???0;"", ///"""),"'","""")&amp;SUBSTITUTE(TEXT(Overig!M655,""",""?00;"",""?-00;"",""?00;"", //"""),"'","""")&amp;SUBSTITUTE(TEXT(IF(ISTEXT(Overig!N655),Overig!N655,10*Overig!N655),""",""????0;"",""???-0;"",""????0;"", ////"""),"'","""")&amp;SUBSTITUTE(TEXT(Overig!O655,""",""?00;"",""?-00;"",""?00;"", //"""),"'","""")&amp;SUBSTITUTE(TEXT(IF(ISTEXT(Overig!P655),Overig!P655,10*Overig!P655),""",""????0;"",""???-0;"",""????0;"", ////"""),"'","""")&amp;SUBSTITUTE(TEXT(Overig!Q655,""",""?00;"",""?-00;"",""?00;"", //"""),"'","""")&amp;SUBSTITUTE(TEXT(Overig!R655,""",""????0;"",""???-0;"",""????0;"", ////"""),"'","""")&amp;SUBSTITUTE(TEXT(Overig!S655,""",""?00;"",""?-00;"",""?00;"", //"""),"'","""")&amp;SUBSTITUTE(TEXT(IF(ISTEXT(Overig!T655),Overig!T655,10*Overig!T655),""",""????0;"",""???-0;"",""????0;"", ////"""),"'","""")&amp;SUBSTITUTE(TEXT(Overig!U655,""",""?00;"",""?-00;"",""?00;"", //"""),"'","""")&amp;SUBSTITUTE(TEXT(Overig!V655,""",""???0;"",""??-0;"",""???0;"", ///"""),"'","""")&amp;SUBSTITUTE(TEXT(Overig!W655,""",""?00;"",""?-00;"",""?00;"", //"""),"'","""")</f>
        <v>032, 19400612, 12.00, 7605, 00,  281, 00, ////, 07, ////, 07,  74, 00,  211, 00,  244, 00,   45, 00,    4, 00,   8, 00</v>
      </c>
    </row>
    <row r="656" spans="1:1" x14ac:dyDescent="0.25">
      <c r="A656" s="12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//"""),"'","""")&amp;SUBSTITUTE(TEXT(IF(ISTEXT(Overig!J656),Overig!J656,10*Overig!J656),""",""????0;"",""???-0;"",""????0;"", ////"""),"'","""")&amp;SUBSTITUTE(TEXT(Overig!K656,""",""?00;"",""?-00;"",""?00;"", //"""),"'","""")&amp;SUBSTITUTE(TEXT(Overig!L656,""",""???0;"",""??-0;"",""???0;"", ///"""),"'","""")&amp;SUBSTITUTE(TEXT(Overig!M656,""",""?00;"",""?-00;"",""?00;"", //"""),"'","""")&amp;SUBSTITUTE(TEXT(IF(ISTEXT(Overig!N656),Overig!N656,10*Overig!N656),""",""????0;"",""???-0;"",""????0;"", ////"""),"'","""")&amp;SUBSTITUTE(TEXT(Overig!O656,""",""?00;"",""?-00;"",""?00;"", //"""),"'","""")&amp;SUBSTITUTE(TEXT(IF(ISTEXT(Overig!P656),Overig!P656,10*Overig!P656),""",""????0;"",""???-0;"",""????0;"", ////"""),"'","""")&amp;SUBSTITUTE(TEXT(Overig!Q656,""",""?00;"",""?-00;"",""?00;"", //"""),"'","""")&amp;SUBSTITUTE(TEXT(Overig!R656,""",""????0;"",""???-0;"",""????0;"", ////"""),"'","""")&amp;SUBSTITUTE(TEXT(Overig!S656,""",""?00;"",""?-00;"",""?00;"", //"""),"'","""")&amp;SUBSTITUTE(TEXT(IF(ISTEXT(Overig!T656),Overig!T656,10*Overig!T656),""",""????0;"",""???-0;"",""????0;"", ////"""),"'","""")&amp;SUBSTITUTE(TEXT(Overig!U656,""",""?00;"",""?-00;"",""?00;"", //"""),"'","""")&amp;SUBSTITUTE(TEXT(Overig!V656,""",""???0;"",""??-0;"",""???0;"", ///"""),"'","""")&amp;SUBSTITUTE(TEXT(Overig!W656,""",""?00;"",""?-00;"",""?00;"", //"""),"'","""")</f>
        <v>032, 19400612, 17.00, 7600, 00,  271, 00, ////, 07, ////, 07,  76, 00,  205, 00,  238, 00,   45, 00,    4, 00,   7, 00</v>
      </c>
    </row>
    <row r="657" spans="1:1" x14ac:dyDescent="0.25">
      <c r="A657" s="12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//"""),"'","""")&amp;SUBSTITUTE(TEXT(IF(ISTEXT(Overig!J657),Overig!J657,10*Overig!J657),""",""????0;"",""???-0;"",""????0;"", ////"""),"'","""")&amp;SUBSTITUTE(TEXT(Overig!K657,""",""?00;"",""?-00;"",""?00;"", //"""),"'","""")&amp;SUBSTITUTE(TEXT(Overig!L657,""",""???0;"",""??-0;"",""???0;"", ///"""),"'","""")&amp;SUBSTITUTE(TEXT(Overig!M657,""",""?00;"",""?-00;"",""?00;"", //"""),"'","""")&amp;SUBSTITUTE(TEXT(IF(ISTEXT(Overig!N657),Overig!N657,10*Overig!N657),""",""????0;"",""???-0;"",""????0;"", ////"""),"'","""")&amp;SUBSTITUTE(TEXT(Overig!O657,""",""?00;"",""?-00;"",""?00;"", //"""),"'","""")&amp;SUBSTITUTE(TEXT(IF(ISTEXT(Overig!P657),Overig!P657,10*Overig!P657),""",""????0;"",""???-0;"",""????0;"", ////"""),"'","""")&amp;SUBSTITUTE(TEXT(Overig!Q657,""",""?00;"",""?-00;"",""?00;"", //"""),"'","""")&amp;SUBSTITUTE(TEXT(Overig!R657,""",""????0;"",""???-0;"",""????0;"", ////"""),"'","""")&amp;SUBSTITUTE(TEXT(Overig!S657,""",""?00;"",""?-00;"",""?00;"", //"""),"'","""")&amp;SUBSTITUTE(TEXT(IF(ISTEXT(Overig!T657),Overig!T657,10*Overig!T657),""",""????0;"",""???-0;"",""????0;"", ////"""),"'","""")&amp;SUBSTITUTE(TEXT(Overig!U657,""",""?00;"",""?-00;"",""?00;"", //"""),"'","""")&amp;SUBSTITUTE(TEXT(Overig!V657,""",""???0;"",""??-0;"",""???0;"", ///"""),"'","""")&amp;SUBSTITUTE(TEXT(Overig!W657,""",""?00;"",""?-00;"",""?00;"", //"""),"'","""")</f>
        <v>032, 19400612, 24.00, ////, 07, ////, 07,  284, 00,  305, 00, ///, 07, ////, 07, ////, 07, ////, 07, ////, 07, ///, 07</v>
      </c>
    </row>
    <row r="658" spans="1:1" x14ac:dyDescent="0.25">
      <c r="A658" s="12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//"""),"'","""")&amp;SUBSTITUTE(TEXT(IF(ISTEXT(Overig!J658),Overig!J658,10*Overig!J658),""",""????0;"",""???-0;"",""????0;"", ////"""),"'","""")&amp;SUBSTITUTE(TEXT(Overig!K658,""",""?00;"",""?-00;"",""?00;"", //"""),"'","""")&amp;SUBSTITUTE(TEXT(Overig!L658,""",""???0;"",""??-0;"",""???0;"", ///"""),"'","""")&amp;SUBSTITUTE(TEXT(Overig!M658,""",""?00;"",""?-00;"",""?00;"", //"""),"'","""")&amp;SUBSTITUTE(TEXT(IF(ISTEXT(Overig!N658),Overig!N658,10*Overig!N658),""",""????0;"",""???-0;"",""????0;"", ////"""),"'","""")&amp;SUBSTITUTE(TEXT(Overig!O658,""",""?00;"",""?-00;"",""?00;"", //"""),"'","""")&amp;SUBSTITUTE(TEXT(IF(ISTEXT(Overig!P658),Overig!P658,10*Overig!P658),""",""????0;"",""???-0;"",""????0;"", ////"""),"'","""")&amp;SUBSTITUTE(TEXT(Overig!Q658,""",""?00;"",""?-00;"",""?00;"", //"""),"'","""")&amp;SUBSTITUTE(TEXT(Overig!R658,""",""????0;"",""???-0;"",""????0;"", ////"""),"'","""")&amp;SUBSTITUTE(TEXT(Overig!S658,""",""?00;"",""?-00;"",""?00;"", //"""),"'","""")&amp;SUBSTITUTE(TEXT(IF(ISTEXT(Overig!T658),Overig!T658,10*Overig!T658),""",""????0;"",""???-0;"",""????0;"", ////"""),"'","""")&amp;SUBSTITUTE(TEXT(Overig!U658,""",""?00;"",""?-00;"",""?00;"", //"""),"'","""")&amp;SUBSTITUTE(TEXT(Overig!V658,""",""???0;"",""??-0;"",""???0;"", ///"""),"'","""")&amp;SUBSTITUTE(TEXT(Overig!W658,""",""?00;"",""?-00;"",""?00;"", //"""),"'","""")</f>
        <v>032, 19400613, 07.00, 7607, 00,  283, 00, ////, 07, ////, 07,  70, 00,  202, 00,  240, 00,   90, 00,    3, 00,   6, 00</v>
      </c>
    </row>
    <row r="659" spans="1:1" x14ac:dyDescent="0.25">
      <c r="A659" s="12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//"""),"'","""")&amp;SUBSTITUTE(TEXT(IF(ISTEXT(Overig!J659),Overig!J659,10*Overig!J659),""",""????0;"",""???-0;"",""????0;"", ////"""),"'","""")&amp;SUBSTITUTE(TEXT(Overig!K659,""",""?00;"",""?-00;"",""?00;"", //"""),"'","""")&amp;SUBSTITUTE(TEXT(Overig!L659,""",""???0;"",""??-0;"",""???0;"", ///"""),"'","""")&amp;SUBSTITUTE(TEXT(Overig!M659,""",""?00;"",""?-00;"",""?00;"", //"""),"'","""")&amp;SUBSTITUTE(TEXT(IF(ISTEXT(Overig!N659),Overig!N659,10*Overig!N659),""",""????0;"",""???-0;"",""????0;"", ////"""),"'","""")&amp;SUBSTITUTE(TEXT(Overig!O659,""",""?00;"",""?-00;"",""?00;"", //"""),"'","""")&amp;SUBSTITUTE(TEXT(IF(ISTEXT(Overig!P659),Overig!P659,10*Overig!P659),""",""????0;"",""???-0;"",""????0;"", ////"""),"'","""")&amp;SUBSTITUTE(TEXT(Overig!Q659,""",""?00;"",""?-00;"",""?00;"", //"""),"'","""")&amp;SUBSTITUTE(TEXT(Overig!R659,""",""????0;"",""???-0;"",""????0;"", ////"""),"'","""")&amp;SUBSTITUTE(TEXT(Overig!S659,""",""?00;"",""?-00;"",""?00;"", //"""),"'","""")&amp;SUBSTITUTE(TEXT(IF(ISTEXT(Overig!T659),Overig!T659,10*Overig!T659),""",""????0;"",""???-0;"",""????0;"", ////"""),"'","""")&amp;SUBSTITUTE(TEXT(Overig!U659,""",""?00;"",""?-00;"",""?00;"", //"""),"'","""")&amp;SUBSTITUTE(TEXT(Overig!V659,""",""???0;"",""??-0;"",""???0;"", ///"""),"'","""")&amp;SUBSTITUTE(TEXT(Overig!W659,""",""?00;"",""?-00;"",""?00;"", //"""),"'","""")</f>
        <v>032, 19400613, 12.00, 7597, 00,  287, 00, ////, 07, ////, 07,  69, 00,  204, 00,  242, 00,   90, 00,    4, 00,   7, 00</v>
      </c>
    </row>
    <row r="660" spans="1:1" x14ac:dyDescent="0.25">
      <c r="A660" s="12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//"""),"'","""")&amp;SUBSTITUTE(TEXT(IF(ISTEXT(Overig!J660),Overig!J660,10*Overig!J660),""",""????0;"",""???-0;"",""????0;"", ////"""),"'","""")&amp;SUBSTITUTE(TEXT(Overig!K660,""",""?00;"",""?-00;"",""?00;"", //"""),"'","""")&amp;SUBSTITUTE(TEXT(Overig!L660,""",""???0;"",""??-0;"",""???0;"", ///"""),"'","""")&amp;SUBSTITUTE(TEXT(Overig!M660,""",""?00;"",""?-00;"",""?00;"", //"""),"'","""")&amp;SUBSTITUTE(TEXT(IF(ISTEXT(Overig!N660),Overig!N660,10*Overig!N660),""",""????0;"",""???-0;"",""????0;"", ////"""),"'","""")&amp;SUBSTITUTE(TEXT(Overig!O660,""",""?00;"",""?-00;"",""?00;"", //"""),"'","""")&amp;SUBSTITUTE(TEXT(IF(ISTEXT(Overig!P660),Overig!P660,10*Overig!P660),""",""????0;"",""???-0;"",""????0;"", ////"""),"'","""")&amp;SUBSTITUTE(TEXT(Overig!Q660,""",""?00;"",""?-00;"",""?00;"", //"""),"'","""")&amp;SUBSTITUTE(TEXT(Overig!R660,""",""????0;"",""???-0;"",""????0;"", ////"""),"'","""")&amp;SUBSTITUTE(TEXT(Overig!S660,""",""?00;"",""?-00;"",""?00;"", //"""),"'","""")&amp;SUBSTITUTE(TEXT(IF(ISTEXT(Overig!T660),Overig!T660,10*Overig!T660),""",""????0;"",""???-0;"",""????0;"", ////"""),"'","""")&amp;SUBSTITUTE(TEXT(Overig!U660,""",""?00;"",""?-00;"",""?00;"", //"""),"'","""")&amp;SUBSTITUTE(TEXT(Overig!V660,""",""???0;"",""??-0;"",""???0;"", ///"""),"'","""")&amp;SUBSTITUTE(TEXT(Overig!W660,""",""?00;"",""?-00;"",""?00;"", //"""),"'","""")</f>
        <v>032, 19400613, 17.00, 7595, 00,  279, 00, ////, 07, ////, 07,  72, 00,  204, 00,  240, 00,   65, 00,    3, 00,   6, 00</v>
      </c>
    </row>
    <row r="661" spans="1:1" x14ac:dyDescent="0.25">
      <c r="A661" s="12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//"""),"'","""")&amp;SUBSTITUTE(TEXT(IF(ISTEXT(Overig!J661),Overig!J661,10*Overig!J661),""",""????0;"",""???-0;"",""????0;"", ////"""),"'","""")&amp;SUBSTITUTE(TEXT(Overig!K661,""",""?00;"",""?-00;"",""?00;"", //"""),"'","""")&amp;SUBSTITUTE(TEXT(Overig!L661,""",""???0;"",""??-0;"",""???0;"", ///"""),"'","""")&amp;SUBSTITUTE(TEXT(Overig!M661,""",""?00;"",""?-00;"",""?00;"", //"""),"'","""")&amp;SUBSTITUTE(TEXT(IF(ISTEXT(Overig!N661),Overig!N661,10*Overig!N661),""",""????0;"",""???-0;"",""????0;"", ////"""),"'","""")&amp;SUBSTITUTE(TEXT(Overig!O661,""",""?00;"",""?-00;"",""?00;"", //"""),"'","""")&amp;SUBSTITUTE(TEXT(IF(ISTEXT(Overig!P661),Overig!P661,10*Overig!P661),""",""????0;"",""???-0;"",""????0;"", ////"""),"'","""")&amp;SUBSTITUTE(TEXT(Overig!Q661,""",""?00;"",""?-00;"",""?00;"", //"""),"'","""")&amp;SUBSTITUTE(TEXT(Overig!R661,""",""????0;"",""???-0;"",""????0;"", ////"""),"'","""")&amp;SUBSTITUTE(TEXT(Overig!S661,""",""?00;"",""?-00;"",""?00;"", //"""),"'","""")&amp;SUBSTITUTE(TEXT(IF(ISTEXT(Overig!T661),Overig!T661,10*Overig!T661),""",""????0;"",""???-0;"",""????0;"", ////"""),"'","""")&amp;SUBSTITUTE(TEXT(Overig!U661,""",""?00;"",""?-00;"",""?00;"", //"""),"'","""")&amp;SUBSTITUTE(TEXT(Overig!V661,""",""???0;"",""??-0;"",""???0;"", ///"""),"'","""")&amp;SUBSTITUTE(TEXT(Overig!W661,""",""?00;"",""?-00;"",""?00;"", //"""),"'","""")</f>
        <v>032, 19400613, 24.00, ////, 07, ////, 07,  296, 00,  310, 00, ///, 07, ////, 07, ////, 07, ////, 07, ////, 07, ///, 07</v>
      </c>
    </row>
    <row r="662" spans="1:1" x14ac:dyDescent="0.25">
      <c r="A662" s="12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//"""),"'","""")&amp;SUBSTITUTE(TEXT(IF(ISTEXT(Overig!J662),Overig!J662,10*Overig!J662),""",""????0;"",""???-0;"",""????0;"", ////"""),"'","""")&amp;SUBSTITUTE(TEXT(Overig!K662,""",""?00;"",""?-00;"",""?00;"", //"""),"'","""")&amp;SUBSTITUTE(TEXT(Overig!L662,""",""???0;"",""??-0;"",""???0;"", ///"""),"'","""")&amp;SUBSTITUTE(TEXT(Overig!M662,""",""?00;"",""?-00;"",""?00;"", //"""),"'","""")&amp;SUBSTITUTE(TEXT(IF(ISTEXT(Overig!N662),Overig!N662,10*Overig!N662),""",""????0;"",""???-0;"",""????0;"", ////"""),"'","""")&amp;SUBSTITUTE(TEXT(Overig!O662,""",""?00;"",""?-00;"",""?00;"", //"""),"'","""")&amp;SUBSTITUTE(TEXT(IF(ISTEXT(Overig!P662),Overig!P662,10*Overig!P662),""",""????0;"",""???-0;"",""????0;"", ////"""),"'","""")&amp;SUBSTITUTE(TEXT(Overig!Q662,""",""?00;"",""?-00;"",""?00;"", //"""),"'","""")&amp;SUBSTITUTE(TEXT(Overig!R662,""",""????0;"",""???-0;"",""????0;"", ////"""),"'","""")&amp;SUBSTITUTE(TEXT(Overig!S662,""",""?00;"",""?-00;"",""?00;"", //"""),"'","""")&amp;SUBSTITUTE(TEXT(IF(ISTEXT(Overig!T662),Overig!T662,10*Overig!T662),""",""????0;"",""???-0;"",""????0;"", ////"""),"'","""")&amp;SUBSTITUTE(TEXT(Overig!U662,""",""?00;"",""?-00;"",""?00;"", //"""),"'","""")&amp;SUBSTITUTE(TEXT(Overig!V662,""",""???0;"",""??-0;"",""???0;"", ///"""),"'","""")&amp;SUBSTITUTE(TEXT(Overig!W662,""",""?00;"",""?-00;"",""?00;"", //"""),"'","""")</f>
        <v>032, 19400614, 07.00, 7607, 00,  273, 00, ////, 07, ////, 07,  79, 00,  215, 00,  244, 00,   90, 00,    3, 00,   5, 00</v>
      </c>
    </row>
    <row r="663" spans="1:1" x14ac:dyDescent="0.25">
      <c r="A663" s="12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//"""),"'","""")&amp;SUBSTITUTE(TEXT(IF(ISTEXT(Overig!J663),Overig!J663,10*Overig!J663),""",""????0;"",""???-0;"",""????0;"", ////"""),"'","""")&amp;SUBSTITUTE(TEXT(Overig!K663,""",""?00;"",""?-00;"",""?00;"", //"""),"'","""")&amp;SUBSTITUTE(TEXT(Overig!L663,""",""???0;"",""??-0;"",""???0;"", ///"""),"'","""")&amp;SUBSTITUTE(TEXT(Overig!M663,""",""?00;"",""?-00;"",""?00;"", //"""),"'","""")&amp;SUBSTITUTE(TEXT(IF(ISTEXT(Overig!N663),Overig!N663,10*Overig!N663),""",""????0;"",""???-0;"",""????0;"", ////"""),"'","""")&amp;SUBSTITUTE(TEXT(Overig!O663,""",""?00;"",""?-00;"",""?00;"", //"""),"'","""")&amp;SUBSTITUTE(TEXT(IF(ISTEXT(Overig!P663),Overig!P663,10*Overig!P663),""",""????0;"",""???-0;"",""????0;"", ////"""),"'","""")&amp;SUBSTITUTE(TEXT(Overig!Q663,""",""?00;"",""?-00;"",""?00;"", //"""),"'","""")&amp;SUBSTITUTE(TEXT(Overig!R663,""",""????0;"",""???-0;"",""????0;"", ////"""),"'","""")&amp;SUBSTITUTE(TEXT(Overig!S663,""",""?00;"",""?-00;"",""?00;"", //"""),"'","""")&amp;SUBSTITUTE(TEXT(IF(ISTEXT(Overig!T663),Overig!T663,10*Overig!T663),""",""????0;"",""???-0;"",""????0;"", ////"""),"'","""")&amp;SUBSTITUTE(TEXT(Overig!U663,""",""?00;"",""?-00;"",""?00;"", //"""),"'","""")&amp;SUBSTITUTE(TEXT(Overig!V663,""",""???0;"",""??-0;"",""???0;"", ///"""),"'","""")&amp;SUBSTITUTE(TEXT(Overig!W663,""",""?00;"",""?-00;"",""?00;"", //"""),"'","""")</f>
        <v>032, 19400614, 12.00, 7605, 00,  275, 00, ////, 07, ////, 07,  79, 00,  218, 00,  246, 00,   90, 00,    4, 00,   7, 00</v>
      </c>
    </row>
    <row r="664" spans="1:1" x14ac:dyDescent="0.25">
      <c r="A664" s="12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//"""),"'","""")&amp;SUBSTITUTE(TEXT(IF(ISTEXT(Overig!J664),Overig!J664,10*Overig!J664),""",""????0;"",""???-0;"",""????0;"", ////"""),"'","""")&amp;SUBSTITUTE(TEXT(Overig!K664,""",""?00;"",""?-00;"",""?00;"", //"""),"'","""")&amp;SUBSTITUTE(TEXT(Overig!L664,""",""???0;"",""??-0;"",""???0;"", ///"""),"'","""")&amp;SUBSTITUTE(TEXT(Overig!M664,""",""?00;"",""?-00;"",""?00;"", //"""),"'","""")&amp;SUBSTITUTE(TEXT(IF(ISTEXT(Overig!N664),Overig!N664,10*Overig!N664),""",""????0;"",""???-0;"",""????0;"", ////"""),"'","""")&amp;SUBSTITUTE(TEXT(Overig!O664,""",""?00;"",""?-00;"",""?00;"", //"""),"'","""")&amp;SUBSTITUTE(TEXT(IF(ISTEXT(Overig!P664),Overig!P664,10*Overig!P664),""",""????0;"",""???-0;"",""????0;"", ////"""),"'","""")&amp;SUBSTITUTE(TEXT(Overig!Q664,""",""?00;"",""?-00;"",""?00;"", //"""),"'","""")&amp;SUBSTITUTE(TEXT(Overig!R664,""",""????0;"",""???-0;"",""????0;"", ////"""),"'","""")&amp;SUBSTITUTE(TEXT(Overig!S664,""",""?00;"",""?-00;"",""?00;"", //"""),"'","""")&amp;SUBSTITUTE(TEXT(IF(ISTEXT(Overig!T664),Overig!T664,10*Overig!T664),""",""????0;"",""???-0;"",""????0;"", ////"""),"'","""")&amp;SUBSTITUTE(TEXT(Overig!U664,""",""?00;"",""?-00;"",""?00;"", //"""),"'","""")&amp;SUBSTITUTE(TEXT(Overig!V664,""",""???0;"",""??-0;"",""???0;"", ///"""),"'","""")&amp;SUBSTITUTE(TEXT(Overig!W664,""",""?00;"",""?-00;"",""?00;"", //"""),"'","""")</f>
        <v>032, 19400614, 17.00, 7582, 00,  271, 00, ////, 07, ////, 07,  79, 00,  212, 00,  242, 00,   65, 00,    3, 00,   6, 00</v>
      </c>
    </row>
    <row r="665" spans="1:1" x14ac:dyDescent="0.25">
      <c r="A665" s="12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//"""),"'","""")&amp;SUBSTITUTE(TEXT(IF(ISTEXT(Overig!J665),Overig!J665,10*Overig!J665),""",""????0;"",""???-0;"",""????0;"", ////"""),"'","""")&amp;SUBSTITUTE(TEXT(Overig!K665,""",""?00;"",""?-00;"",""?00;"", //"""),"'","""")&amp;SUBSTITUTE(TEXT(Overig!L665,""",""???0;"",""??-0;"",""???0;"", ///"""),"'","""")&amp;SUBSTITUTE(TEXT(Overig!M665,""",""?00;"",""?-00;"",""?00;"", //"""),"'","""")&amp;SUBSTITUTE(TEXT(IF(ISTEXT(Overig!N665),Overig!N665,10*Overig!N665),""",""????0;"",""???-0;"",""????0;"", ////"""),"'","""")&amp;SUBSTITUTE(TEXT(Overig!O665,""",""?00;"",""?-00;"",""?00;"", //"""),"'","""")&amp;SUBSTITUTE(TEXT(IF(ISTEXT(Overig!P665),Overig!P665,10*Overig!P665),""",""????0;"",""???-0;"",""????0;"", ////"""),"'","""")&amp;SUBSTITUTE(TEXT(Overig!Q665,""",""?00;"",""?-00;"",""?00;"", //"""),"'","""")&amp;SUBSTITUTE(TEXT(Overig!R665,""",""????0;"",""???-0;"",""????0;"", ////"""),"'","""")&amp;SUBSTITUTE(TEXT(Overig!S665,""",""?00;"",""?-00;"",""?00;"", //"""),"'","""")&amp;SUBSTITUTE(TEXT(IF(ISTEXT(Overig!T665),Overig!T665,10*Overig!T665),""",""????0;"",""???-0;"",""????0;"", ////"""),"'","""")&amp;SUBSTITUTE(TEXT(Overig!U665,""",""?00;"",""?-00;"",""?00;"", //"""),"'","""")&amp;SUBSTITUTE(TEXT(Overig!V665,""",""???0;"",""??-0;"",""???0;"", ///"""),"'","""")&amp;SUBSTITUTE(TEXT(Overig!W665,""",""?00;"",""?-00;"",""?00;"", //"""),"'","""")</f>
        <v>032, 19400614, 24.00, ////, 07, ////, 07,  283, 00,  296, 00, ///, 07, ////, 07, ////, 07, ////, 07, ////, 07, ///, 07</v>
      </c>
    </row>
    <row r="666" spans="1:1" x14ac:dyDescent="0.25">
      <c r="A666" s="12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//"""),"'","""")&amp;SUBSTITUTE(TEXT(IF(ISTEXT(Overig!J666),Overig!J666,10*Overig!J666),""",""????0;"",""???-0;"",""????0;"", ////"""),"'","""")&amp;SUBSTITUTE(TEXT(Overig!K666,""",""?00;"",""?-00;"",""?00;"", //"""),"'","""")&amp;SUBSTITUTE(TEXT(Overig!L666,""",""???0;"",""??-0;"",""???0;"", ///"""),"'","""")&amp;SUBSTITUTE(TEXT(Overig!M666,""",""?00;"",""?-00;"",""?00;"", //"""),"'","""")&amp;SUBSTITUTE(TEXT(IF(ISTEXT(Overig!N666),Overig!N666,10*Overig!N666),""",""????0;"",""???-0;"",""????0;"", ////"""),"'","""")&amp;SUBSTITUTE(TEXT(Overig!O666,""",""?00;"",""?-00;"",""?00;"", //"""),"'","""")&amp;SUBSTITUTE(TEXT(IF(ISTEXT(Overig!P666),Overig!P666,10*Overig!P666),""",""????0;"",""???-0;"",""????0;"", ////"""),"'","""")&amp;SUBSTITUTE(TEXT(Overig!Q666,""",""?00;"",""?-00;"",""?00;"", //"""),"'","""")&amp;SUBSTITUTE(TEXT(Overig!R666,""",""????0;"",""???-0;"",""????0;"", ////"""),"'","""")&amp;SUBSTITUTE(TEXT(Overig!S666,""",""?00;"",""?-00;"",""?00;"", //"""),"'","""")&amp;SUBSTITUTE(TEXT(IF(ISTEXT(Overig!T666),Overig!T666,10*Overig!T666),""",""????0;"",""???-0;"",""????0;"", ////"""),"'","""")&amp;SUBSTITUTE(TEXT(Overig!U666,""",""?00;"",""?-00;"",""?00;"", //"""),"'","""")&amp;SUBSTITUTE(TEXT(Overig!V666,""",""???0;"",""??-0;"",""???0;"", ///"""),"'","""")&amp;SUBSTITUTE(TEXT(Overig!W666,""",""?00;"",""?-00;"",""?00;"", //"""),"'","""")</f>
        <v>032, 19400615, 07.00, 7597, 00,  261, 00, ////, 07, ////, 07,  80, 00,  202, 00,  234, 00,   90, 00,    3, 00,   6, 00</v>
      </c>
    </row>
    <row r="667" spans="1:1" x14ac:dyDescent="0.25">
      <c r="A667" s="12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//"""),"'","""")&amp;SUBSTITUTE(TEXT(IF(ISTEXT(Overig!J667),Overig!J667,10*Overig!J667),""",""????0;"",""???-0;"",""????0;"", ////"""),"'","""")&amp;SUBSTITUTE(TEXT(Overig!K667,""",""?00;"",""?-00;"",""?00;"", //"""),"'","""")&amp;SUBSTITUTE(TEXT(Overig!L667,""",""???0;"",""??-0;"",""???0;"", ///"""),"'","""")&amp;SUBSTITUTE(TEXT(Overig!M667,""",""?00;"",""?-00;"",""?00;"", //"""),"'","""")&amp;SUBSTITUTE(TEXT(IF(ISTEXT(Overig!N667),Overig!N667,10*Overig!N667),""",""????0;"",""???-0;"",""????0;"", ////"""),"'","""")&amp;SUBSTITUTE(TEXT(Overig!O667,""",""?00;"",""?-00;"",""?00;"", //"""),"'","""")&amp;SUBSTITUTE(TEXT(IF(ISTEXT(Overig!P667),Overig!P667,10*Overig!P667),""",""????0;"",""???-0;"",""????0;"", ////"""),"'","""")&amp;SUBSTITUTE(TEXT(Overig!Q667,""",""?00;"",""?-00;"",""?00;"", //"""),"'","""")&amp;SUBSTITUTE(TEXT(Overig!R667,""",""????0;"",""???-0;"",""????0;"", ////"""),"'","""")&amp;SUBSTITUTE(TEXT(Overig!S667,""",""?00;"",""?-00;"",""?00;"", //"""),"'","""")&amp;SUBSTITUTE(TEXT(IF(ISTEXT(Overig!T667),Overig!T667,10*Overig!T667),""",""????0;"",""???-0;"",""????0;"", ////"""),"'","""")&amp;SUBSTITUTE(TEXT(Overig!U667,""",""?00;"",""?-00;"",""?00;"", //"""),"'","""")&amp;SUBSTITUTE(TEXT(Overig!V667,""",""???0;"",""??-0;"",""???0;"", ///"""),"'","""")&amp;SUBSTITUTE(TEXT(Overig!W667,""",""?00;"",""?-00;"",""?00;"", //"""),"'","""")</f>
        <v>032, 19400615, 12.00, 7605, 00,  276, 00, ////, 07, ////, 07,  72, 00,  198, 00,  236, 00,   65, 00,    4, 00,   6, 00</v>
      </c>
    </row>
    <row r="668" spans="1:1" x14ac:dyDescent="0.25">
      <c r="A668" s="12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//"""),"'","""")&amp;SUBSTITUTE(TEXT(IF(ISTEXT(Overig!J668),Overig!J668,10*Overig!J668),""",""????0;"",""???-0;"",""????0;"", ////"""),"'","""")&amp;SUBSTITUTE(TEXT(Overig!K668,""",""?00;"",""?-00;"",""?00;"", //"""),"'","""")&amp;SUBSTITUTE(TEXT(Overig!L668,""",""???0;"",""??-0;"",""???0;"", ///"""),"'","""")&amp;SUBSTITUTE(TEXT(Overig!M668,""",""?00;"",""?-00;"",""?00;"", //"""),"'","""")&amp;SUBSTITUTE(TEXT(IF(ISTEXT(Overig!N668),Overig!N668,10*Overig!N668),""",""????0;"",""???-0;"",""????0;"", ////"""),"'","""")&amp;SUBSTITUTE(TEXT(Overig!O668,""",""?00;"",""?-00;"",""?00;"", //"""),"'","""")&amp;SUBSTITUTE(TEXT(IF(ISTEXT(Overig!P668),Overig!P668,10*Overig!P668),""",""????0;"",""???-0;"",""????0;"", ////"""),"'","""")&amp;SUBSTITUTE(TEXT(Overig!Q668,""",""?00;"",""?-00;"",""?00;"", //"""),"'","""")&amp;SUBSTITUTE(TEXT(Overig!R668,""",""????0;"",""???-0;"",""????0;"", ////"""),"'","""")&amp;SUBSTITUTE(TEXT(Overig!S668,""",""?00;"",""?-00;"",""?00;"", //"""),"'","""")&amp;SUBSTITUTE(TEXT(IF(ISTEXT(Overig!T668),Overig!T668,10*Overig!T668),""",""????0;"",""???-0;"",""????0;"", ////"""),"'","""")&amp;SUBSTITUTE(TEXT(Overig!U668,""",""?00;"",""?-00;"",""?00;"", //"""),"'","""")&amp;SUBSTITUTE(TEXT(Overig!V668,""",""???0;"",""??-0;"",""???0;"", ///"""),"'","""")&amp;SUBSTITUTE(TEXT(Overig!W668,""",""?00;"",""?-00;"",""?00;"", //"""),"'","""")</f>
        <v>032, 19400615, 17.00, 7582, 00,  269, 00, ////, 07, ////, 07,  73, 00,  195, 00,  232, 00,   65, 00,    3, 00,   5, 00</v>
      </c>
    </row>
    <row r="669" spans="1:1" x14ac:dyDescent="0.25">
      <c r="A669" s="12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//"""),"'","""")&amp;SUBSTITUTE(TEXT(IF(ISTEXT(Overig!J669),Overig!J669,10*Overig!J669),""",""????0;"",""???-0;"",""????0;"", ////"""),"'","""")&amp;SUBSTITUTE(TEXT(Overig!K669,""",""?00;"",""?-00;"",""?00;"", //"""),"'","""")&amp;SUBSTITUTE(TEXT(Overig!L669,""",""???0;"",""??-0;"",""???0;"", ///"""),"'","""")&amp;SUBSTITUTE(TEXT(Overig!M669,""",""?00;"",""?-00;"",""?00;"", //"""),"'","""")&amp;SUBSTITUTE(TEXT(IF(ISTEXT(Overig!N669),Overig!N669,10*Overig!N669),""",""????0;"",""???-0;"",""????0;"", ////"""),"'","""")&amp;SUBSTITUTE(TEXT(Overig!O669,""",""?00;"",""?-00;"",""?00;"", //"""),"'","""")&amp;SUBSTITUTE(TEXT(IF(ISTEXT(Overig!P669),Overig!P669,10*Overig!P669),""",""????0;"",""???-0;"",""????0;"", ////"""),"'","""")&amp;SUBSTITUTE(TEXT(Overig!Q669,""",""?00;"",""?-00;"",""?00;"", //"""),"'","""")&amp;SUBSTITUTE(TEXT(Overig!R669,""",""????0;"",""???-0;"",""????0;"", ////"""),"'","""")&amp;SUBSTITUTE(TEXT(Overig!S669,""",""?00;"",""?-00;"",""?00;"", //"""),"'","""")&amp;SUBSTITUTE(TEXT(IF(ISTEXT(Overig!T669),Overig!T669,10*Overig!T669),""",""????0;"",""???-0;"",""????0;"", ////"""),"'","""")&amp;SUBSTITUTE(TEXT(Overig!U669,""",""?00;"",""?-00;"",""?00;"", //"""),"'","""")&amp;SUBSTITUTE(TEXT(Overig!V669,""",""???0;"",""??-0;"",""???0;"", ///"""),"'","""")&amp;SUBSTITUTE(TEXT(Overig!W669,""",""?00;"",""?-00;"",""?00;"", //"""),"'","""")</f>
        <v>032, 19400615, 24.00, ////, 07, ////, 07,  275, 00,  290, 00, ///, 07, ////, 07, ////, 07, ////, 07, ////, 07, ///, 07</v>
      </c>
    </row>
    <row r="670" spans="1:1" x14ac:dyDescent="0.25">
      <c r="A670" s="12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//"""),"'","""")&amp;SUBSTITUTE(TEXT(IF(ISTEXT(Overig!J670),Overig!J670,10*Overig!J670),""",""????0;"",""???-0;"",""????0;"", ////"""),"'","""")&amp;SUBSTITUTE(TEXT(Overig!K670,""",""?00;"",""?-00;"",""?00;"", //"""),"'","""")&amp;SUBSTITUTE(TEXT(Overig!L670,""",""???0;"",""??-0;"",""???0;"", ///"""),"'","""")&amp;SUBSTITUTE(TEXT(Overig!M670,""",""?00;"",""?-00;"",""?00;"", //"""),"'","""")&amp;SUBSTITUTE(TEXT(IF(ISTEXT(Overig!N670),Overig!N670,10*Overig!N670),""",""????0;"",""???-0;"",""????0;"", ////"""),"'","""")&amp;SUBSTITUTE(TEXT(Overig!O670,""",""?00;"",""?-00;"",""?00;"", //"""),"'","""")&amp;SUBSTITUTE(TEXT(IF(ISTEXT(Overig!P670),Overig!P670,10*Overig!P670),""",""????0;"",""???-0;"",""????0;"", ////"""),"'","""")&amp;SUBSTITUTE(TEXT(Overig!Q670,""",""?00;"",""?-00;"",""?00;"", //"""),"'","""")&amp;SUBSTITUTE(TEXT(Overig!R670,""",""????0;"",""???-0;"",""????0;"", ////"""),"'","""")&amp;SUBSTITUTE(TEXT(Overig!S670,""",""?00;"",""?-00;"",""?00;"", //"""),"'","""")&amp;SUBSTITUTE(TEXT(IF(ISTEXT(Overig!T670),Overig!T670,10*Overig!T670),""",""????0;"",""???-0;"",""????0;"", ////"""),"'","""")&amp;SUBSTITUTE(TEXT(Overig!U670,""",""?00;"",""?-00;"",""?00;"", //"""),"'","""")&amp;SUBSTITUTE(TEXT(Overig!V670,""",""???0;"",""??-0;"",""???0;"", ///"""),"'","""")&amp;SUBSTITUTE(TEXT(Overig!W670,""",""?00;"",""?-00;"",""?00;"", //"""),"'","""")</f>
        <v>032, 19400616, 07.00, 7592, 00,  271, 00, ////, 07, ////, 07,  73, 00,  196, 00,  232, 00,   90, 00,    3, 00,   5, 00</v>
      </c>
    </row>
    <row r="671" spans="1:1" x14ac:dyDescent="0.25">
      <c r="A671" s="12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//"""),"'","""")&amp;SUBSTITUTE(TEXT(IF(ISTEXT(Overig!J671),Overig!J671,10*Overig!J671),""",""????0;"",""???-0;"",""????0;"", ////"""),"'","""")&amp;SUBSTITUTE(TEXT(Overig!K671,""",""?00;"",""?-00;"",""?00;"", //"""),"'","""")&amp;SUBSTITUTE(TEXT(Overig!L671,""",""???0;"",""??-0;"",""???0;"", ///"""),"'","""")&amp;SUBSTITUTE(TEXT(Overig!M671,""",""?00;"",""?-00;"",""?00;"", //"""),"'","""")&amp;SUBSTITUTE(TEXT(IF(ISTEXT(Overig!N671),Overig!N671,10*Overig!N671),""",""????0;"",""???-0;"",""????0;"", ////"""),"'","""")&amp;SUBSTITUTE(TEXT(Overig!O671,""",""?00;"",""?-00;"",""?00;"", //"""),"'","""")&amp;SUBSTITUTE(TEXT(IF(ISTEXT(Overig!P671),Overig!P671,10*Overig!P671),""",""????0;"",""???-0;"",""????0;"", ////"""),"'","""")&amp;SUBSTITUTE(TEXT(Overig!Q671,""",""?00;"",""?-00;"",""?00;"", //"""),"'","""")&amp;SUBSTITUTE(TEXT(Overig!R671,""",""????0;"",""???-0;"",""????0;"", ////"""),"'","""")&amp;SUBSTITUTE(TEXT(Overig!S671,""",""?00;"",""?-00;"",""?00;"", //"""),"'","""")&amp;SUBSTITUTE(TEXT(IF(ISTEXT(Overig!T671),Overig!T671,10*Overig!T671),""",""????0;"",""???-0;"",""????0;"", ////"""),"'","""")&amp;SUBSTITUTE(TEXT(Overig!U671,""",""?00;"",""?-00;"",""?00;"", //"""),"'","""")&amp;SUBSTITUTE(TEXT(Overig!V671,""",""???0;"",""??-0;"",""???0;"", ///"""),"'","""")&amp;SUBSTITUTE(TEXT(Overig!W671,""",""?00;"",""?-00;"",""?00;"", //"""),"'","""")</f>
        <v>032, 19400616, 12.00, 7597, 00,  273, 00, ////, 07, ////, 07,  72, 00,  196, 00,  234, 00,   90, 00,    2, 00,   6, 00</v>
      </c>
    </row>
    <row r="672" spans="1:1" x14ac:dyDescent="0.25">
      <c r="A672" s="12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//"""),"'","""")&amp;SUBSTITUTE(TEXT(IF(ISTEXT(Overig!J672),Overig!J672,10*Overig!J672),""",""????0;"",""???-0;"",""????0;"", ////"""),"'","""")&amp;SUBSTITUTE(TEXT(Overig!K672,""",""?00;"",""?-00;"",""?00;"", //"""),"'","""")&amp;SUBSTITUTE(TEXT(Overig!L672,""",""???0;"",""??-0;"",""???0;"", ///"""),"'","""")&amp;SUBSTITUTE(TEXT(Overig!M672,""",""?00;"",""?-00;"",""?00;"", //"""),"'","""")&amp;SUBSTITUTE(TEXT(IF(ISTEXT(Overig!N672),Overig!N672,10*Overig!N672),""",""????0;"",""???-0;"",""????0;"", ////"""),"'","""")&amp;SUBSTITUTE(TEXT(Overig!O672,""",""?00;"",""?-00;"",""?00;"", //"""),"'","""")&amp;SUBSTITUTE(TEXT(IF(ISTEXT(Overig!P672),Overig!P672,10*Overig!P672),""",""????0;"",""???-0;"",""????0;"", ////"""),"'","""")&amp;SUBSTITUTE(TEXT(Overig!Q672,""",""?00;"",""?-00;"",""?00;"", //"""),"'","""")&amp;SUBSTITUTE(TEXT(Overig!R672,""",""????0;"",""???-0;"",""????0;"", ////"""),"'","""")&amp;SUBSTITUTE(TEXT(Overig!S672,""",""?00;"",""?-00;"",""?00;"", //"""),"'","""")&amp;SUBSTITUTE(TEXT(IF(ISTEXT(Overig!T672),Overig!T672,10*Overig!T672),""",""????0;"",""???-0;"",""????0;"", ////"""),"'","""")&amp;SUBSTITUTE(TEXT(Overig!U672,""",""?00;"",""?-00;"",""?00;"", //"""),"'","""")&amp;SUBSTITUTE(TEXT(Overig!V672,""",""???0;"",""??-0;"",""???0;"", ///"""),"'","""")&amp;SUBSTITUTE(TEXT(Overig!W672,""",""?00;"",""?-00;"",""?00;"", //"""),"'","""")</f>
        <v>032, 19400616, 17.00, 7589, 00,  269, 00, ////, 07, ////, 07,  72, 00,  191, 00,  230, 00,   65, 00,    3, 00,   6, 00</v>
      </c>
    </row>
    <row r="673" spans="1:1" x14ac:dyDescent="0.25">
      <c r="A673" s="12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//"""),"'","""")&amp;SUBSTITUTE(TEXT(IF(ISTEXT(Overig!J673),Overig!J673,10*Overig!J673),""",""????0;"",""???-0;"",""????0;"", ////"""),"'","""")&amp;SUBSTITUTE(TEXT(Overig!K673,""",""?00;"",""?-00;"",""?00;"", //"""),"'","""")&amp;SUBSTITUTE(TEXT(Overig!L673,""",""???0;"",""??-0;"",""???0;"", ///"""),"'","""")&amp;SUBSTITUTE(TEXT(Overig!M673,""",""?00;"",""?-00;"",""?00;"", //"""),"'","""")&amp;SUBSTITUTE(TEXT(IF(ISTEXT(Overig!N673),Overig!N673,10*Overig!N673),""",""????0;"",""???-0;"",""????0;"", ////"""),"'","""")&amp;SUBSTITUTE(TEXT(Overig!O673,""",""?00;"",""?-00;"",""?00;"", //"""),"'","""")&amp;SUBSTITUTE(TEXT(IF(ISTEXT(Overig!P673),Overig!P673,10*Overig!P673),""",""????0;"",""???-0;"",""????0;"", ////"""),"'","""")&amp;SUBSTITUTE(TEXT(Overig!Q673,""",""?00;"",""?-00;"",""?00;"", //"""),"'","""")&amp;SUBSTITUTE(TEXT(Overig!R673,""",""????0;"",""???-0;"",""????0;"", ////"""),"'","""")&amp;SUBSTITUTE(TEXT(Overig!S673,""",""?00;"",""?-00;"",""?00;"", //"""),"'","""")&amp;SUBSTITUTE(TEXT(IF(ISTEXT(Overig!T673),Overig!T673,10*Overig!T673),""",""????0;"",""???-0;"",""????0;"", ////"""),"'","""")&amp;SUBSTITUTE(TEXT(Overig!U673,""",""?00;"",""?-00;"",""?00;"", //"""),"'","""")&amp;SUBSTITUTE(TEXT(Overig!V673,""",""???0;"",""??-0;"",""???0;"", ///"""),"'","""")&amp;SUBSTITUTE(TEXT(Overig!W673,""",""?00;"",""?-00;"",""?00;"", //"""),"'","""")</f>
        <v>032, 19400616, 24.00, ////, 07, ////, 07,  280, 00,  295, 00, ///, 07, ////, 07, ////, 07, ////, 07, ////, 07, ///, 07</v>
      </c>
    </row>
    <row r="674" spans="1:1" x14ac:dyDescent="0.25">
      <c r="A674" s="12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//"""),"'","""")&amp;SUBSTITUTE(TEXT(IF(ISTEXT(Overig!J674),Overig!J674,10*Overig!J674),""",""????0;"",""???-0;"",""????0;"", ////"""),"'","""")&amp;SUBSTITUTE(TEXT(Overig!K674,""",""?00;"",""?-00;"",""?00;"", //"""),"'","""")&amp;SUBSTITUTE(TEXT(Overig!L674,""",""???0;"",""??-0;"",""???0;"", ///"""),"'","""")&amp;SUBSTITUTE(TEXT(Overig!M674,""",""?00;"",""?-00;"",""?00;"", //"""),"'","""")&amp;SUBSTITUTE(TEXT(IF(ISTEXT(Overig!N674),Overig!N674,10*Overig!N674),""",""????0;"",""???-0;"",""????0;"", ////"""),"'","""")&amp;SUBSTITUTE(TEXT(Overig!O674,""",""?00;"",""?-00;"",""?00;"", //"""),"'","""")&amp;SUBSTITUTE(TEXT(IF(ISTEXT(Overig!P674),Overig!P674,10*Overig!P674),""",""????0;"",""???-0;"",""????0;"", ////"""),"'","""")&amp;SUBSTITUTE(TEXT(Overig!Q674,""",""?00;"",""?-00;"",""?00;"", //"""),"'","""")&amp;SUBSTITUTE(TEXT(Overig!R674,""",""????0;"",""???-0;"",""????0;"", ////"""),"'","""")&amp;SUBSTITUTE(TEXT(Overig!S674,""",""?00;"",""?-00;"",""?00;"", //"""),"'","""")&amp;SUBSTITUTE(TEXT(IF(ISTEXT(Overig!T674),Overig!T674,10*Overig!T674),""",""????0;"",""???-0;"",""????0;"", ////"""),"'","""")&amp;SUBSTITUTE(TEXT(Overig!U674,""",""?00;"",""?-00;"",""?00;"", //"""),"'","""")&amp;SUBSTITUTE(TEXT(Overig!V674,""",""???0;"",""??-0;"",""???0;"", ///"""),"'","""")&amp;SUBSTITUTE(TEXT(Overig!W674,""",""?00;"",""?-00;"",""?00;"", //"""),"'","""")</f>
        <v>032, 19400617, 07.00, 7595, 00,  269, 00, ////, 07, ////, 07,  73, 00,  195, 00,  232, 00,   65, 00,    3, 00,   6, 00</v>
      </c>
    </row>
    <row r="675" spans="1:1" x14ac:dyDescent="0.25">
      <c r="A675" s="12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//"""),"'","""")&amp;SUBSTITUTE(TEXT(IF(ISTEXT(Overig!J675),Overig!J675,10*Overig!J675),""",""????0;"",""???-0;"",""????0;"", ////"""),"'","""")&amp;SUBSTITUTE(TEXT(Overig!K675,""",""?00;"",""?-00;"",""?00;"", //"""),"'","""")&amp;SUBSTITUTE(TEXT(Overig!L675,""",""???0;"",""??-0;"",""???0;"", ///"""),"'","""")&amp;SUBSTITUTE(TEXT(Overig!M675,""",""?00;"",""?-00;"",""?00;"", //"""),"'","""")&amp;SUBSTITUTE(TEXT(IF(ISTEXT(Overig!N675),Overig!N675,10*Overig!N675),""",""????0;"",""???-0;"",""????0;"", ////"""),"'","""")&amp;SUBSTITUTE(TEXT(Overig!O675,""",""?00;"",""?-00;"",""?00;"", //"""),"'","""")&amp;SUBSTITUTE(TEXT(IF(ISTEXT(Overig!P675),Overig!P675,10*Overig!P675),""",""????0;"",""???-0;"",""????0;"", ////"""),"'","""")&amp;SUBSTITUTE(TEXT(Overig!Q675,""",""?00;"",""?-00;"",""?00;"", //"""),"'","""")&amp;SUBSTITUTE(TEXT(Overig!R675,""",""????0;"",""???-0;"",""????0;"", ////"""),"'","""")&amp;SUBSTITUTE(TEXT(Overig!S675,""",""?00;"",""?-00;"",""?00;"", //"""),"'","""")&amp;SUBSTITUTE(TEXT(IF(ISTEXT(Overig!T675),Overig!T675,10*Overig!T675),""",""????0;"",""???-0;"",""????0;"", ////"""),"'","""")&amp;SUBSTITUTE(TEXT(Overig!U675,""",""?00;"",""?-00;"",""?00;"", //"""),"'","""")&amp;SUBSTITUTE(TEXT(Overig!V675,""",""???0;"",""??-0;"",""???0;"", ///"""),"'","""")&amp;SUBSTITUTE(TEXT(Overig!W675,""",""?00;"",""?-00;"",""?00;"", //"""),"'","""")</f>
        <v>032, 19400617, 12.00, 7597, 00,  271, 00, ////, 07, ////, 07,  73, 00,  197, 00,  234, 00,   65, 00,    4, 00,   6, 00</v>
      </c>
    </row>
    <row r="676" spans="1:1" x14ac:dyDescent="0.25">
      <c r="A676" s="12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//"""),"'","""")&amp;SUBSTITUTE(TEXT(IF(ISTEXT(Overig!J676),Overig!J676,10*Overig!J676),""",""????0;"",""???-0;"",""????0;"", ////"""),"'","""")&amp;SUBSTITUTE(TEXT(Overig!K676,""",""?00;"",""?-00;"",""?00;"", //"""),"'","""")&amp;SUBSTITUTE(TEXT(Overig!L676,""",""???0;"",""??-0;"",""???0;"", ///"""),"'","""")&amp;SUBSTITUTE(TEXT(Overig!M676,""",""?00;"",""?-00;"",""?00;"", //"""),"'","""")&amp;SUBSTITUTE(TEXT(IF(ISTEXT(Overig!N676),Overig!N676,10*Overig!N676),""",""????0;"",""???-0;"",""????0;"", ////"""),"'","""")&amp;SUBSTITUTE(TEXT(Overig!O676,""",""?00;"",""?-00;"",""?00;"", //"""),"'","""")&amp;SUBSTITUTE(TEXT(IF(ISTEXT(Overig!P676),Overig!P676,10*Overig!P676),""",""????0;"",""???-0;"",""????0;"", ////"""),"'","""")&amp;SUBSTITUTE(TEXT(Overig!Q676,""",""?00;"",""?-00;"",""?00;"", //"""),"'","""")&amp;SUBSTITUTE(TEXT(Overig!R676,""",""????0;"",""???-0;"",""????0;"", ////"""),"'","""")&amp;SUBSTITUTE(TEXT(Overig!S676,""",""?00;"",""?-00;"",""?00;"", //"""),"'","""")&amp;SUBSTITUTE(TEXT(IF(ISTEXT(Overig!T676),Overig!T676,10*Overig!T676),""",""????0;"",""???-0;"",""????0;"", ////"""),"'","""")&amp;SUBSTITUTE(TEXT(Overig!U676,""",""?00;"",""?-00;"",""?00;"", //"""),"'","""")&amp;SUBSTITUTE(TEXT(Overig!V676,""",""???0;"",""??-0;"",""???0;"", ///"""),"'","""")&amp;SUBSTITUTE(TEXT(Overig!W676,""",""?00;"",""?-00;"",""?00;"", //"""),"'","""")</f>
        <v>032, 19400617, 17.00, 7587, 00,  267, 00, ////, 07, ////, 07,  73, 00,  192, 00,  230, 00,   65, 00,    3, 00,   6, 00</v>
      </c>
    </row>
    <row r="677" spans="1:1" x14ac:dyDescent="0.25">
      <c r="A677" s="12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//"""),"'","""")&amp;SUBSTITUTE(TEXT(IF(ISTEXT(Overig!J677),Overig!J677,10*Overig!J677),""",""????0;"",""???-0;"",""????0;"", ////"""),"'","""")&amp;SUBSTITUTE(TEXT(Overig!K677,""",""?00;"",""?-00;"",""?00;"", //"""),"'","""")&amp;SUBSTITUTE(TEXT(Overig!L677,""",""???0;"",""??-0;"",""???0;"", ///"""),"'","""")&amp;SUBSTITUTE(TEXT(Overig!M677,""",""?00;"",""?-00;"",""?00;"", //"""),"'","""")&amp;SUBSTITUTE(TEXT(IF(ISTEXT(Overig!N677),Overig!N677,10*Overig!N677),""",""????0;"",""???-0;"",""????0;"", ////"""),"'","""")&amp;SUBSTITUTE(TEXT(Overig!O677,""",""?00;"",""?-00;"",""?00;"", //"""),"'","""")&amp;SUBSTITUTE(TEXT(IF(ISTEXT(Overig!P677),Overig!P677,10*Overig!P677),""",""????0;"",""???-0;"",""????0;"", ////"""),"'","""")&amp;SUBSTITUTE(TEXT(Overig!Q677,""",""?00;"",""?-00;"",""?00;"", //"""),"'","""")&amp;SUBSTITUTE(TEXT(Overig!R677,""",""????0;"",""???-0;"",""????0;"", ////"""),"'","""")&amp;SUBSTITUTE(TEXT(Overig!S677,""",""?00;"",""?-00;"",""?00;"", //"""),"'","""")&amp;SUBSTITUTE(TEXT(IF(ISTEXT(Overig!T677),Overig!T677,10*Overig!T677),""",""????0;"",""???-0;"",""????0;"", ////"""),"'","""")&amp;SUBSTITUTE(TEXT(Overig!U677,""",""?00;"",""?-00;"",""?00;"", //"""),"'","""")&amp;SUBSTITUTE(TEXT(Overig!V677,""",""???0;"",""??-0;"",""???0;"", ///"""),"'","""")&amp;SUBSTITUTE(TEXT(Overig!W677,""",""?00;"",""?-00;"",""?00;"", //"""),"'","""")</f>
        <v>032, 19400617, 24.00, ////, 07, ////, 07,  278, 00,  290, 00, ///, 07, ////, 07, ////, 07, ////, 07, ////, 07, ///, 07</v>
      </c>
    </row>
    <row r="678" spans="1:1" x14ac:dyDescent="0.25">
      <c r="A678" s="12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//"""),"'","""")&amp;SUBSTITUTE(TEXT(IF(ISTEXT(Overig!J678),Overig!J678,10*Overig!J678),""",""????0;"",""???-0;"",""????0;"", ////"""),"'","""")&amp;SUBSTITUTE(TEXT(Overig!K678,""",""?00;"",""?-00;"",""?00;"", //"""),"'","""")&amp;SUBSTITUTE(TEXT(Overig!L678,""",""???0;"",""??-0;"",""???0;"", ///"""),"'","""")&amp;SUBSTITUTE(TEXT(Overig!M678,""",""?00;"",""?-00;"",""?00;"", //"""),"'","""")&amp;SUBSTITUTE(TEXT(IF(ISTEXT(Overig!N678),Overig!N678,10*Overig!N678),""",""????0;"",""???-0;"",""????0;"", ////"""),"'","""")&amp;SUBSTITUTE(TEXT(Overig!O678,""",""?00;"",""?-00;"",""?00;"", //"""),"'","""")&amp;SUBSTITUTE(TEXT(IF(ISTEXT(Overig!P678),Overig!P678,10*Overig!P678),""",""????0;"",""???-0;"",""????0;"", ////"""),"'","""")&amp;SUBSTITUTE(TEXT(Overig!Q678,""",""?00;"",""?-00;"",""?00;"", //"""),"'","""")&amp;SUBSTITUTE(TEXT(Overig!R678,""",""????0;"",""???-0;"",""????0;"", ////"""),"'","""")&amp;SUBSTITUTE(TEXT(Overig!S678,""",""?00;"",""?-00;"",""?00;"", //"""),"'","""")&amp;SUBSTITUTE(TEXT(IF(ISTEXT(Overig!T678),Overig!T678,10*Overig!T678),""",""????0;"",""???-0;"",""????0;"", ////"""),"'","""")&amp;SUBSTITUTE(TEXT(Overig!U678,""",""?00;"",""?-00;"",""?00;"", //"""),"'","""")&amp;SUBSTITUTE(TEXT(Overig!V678,""",""???0;"",""??-0;"",""???0;"", ///"""),"'","""")&amp;SUBSTITUTE(TEXT(Overig!W678,""",""?00;"",""?-00;"",""?00;"", //"""),"'","""")</f>
        <v>032, 19400618, 07.00, 7589, 00,  265, 00, ////, 07, ////, 07,  74, 00,  193, 00,  230, 00,   65, 00,    4, 00,   5, 00</v>
      </c>
    </row>
    <row r="679" spans="1:1" x14ac:dyDescent="0.25">
      <c r="A679" s="12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//"""),"'","""")&amp;SUBSTITUTE(TEXT(IF(ISTEXT(Overig!J679),Overig!J679,10*Overig!J679),""",""????0;"",""???-0;"",""????0;"", ////"""),"'","""")&amp;SUBSTITUTE(TEXT(Overig!K679,""",""?00;"",""?-00;"",""?00;"", //"""),"'","""")&amp;SUBSTITUTE(TEXT(Overig!L679,""",""???0;"",""??-0;"",""???0;"", ///"""),"'","""")&amp;SUBSTITUTE(TEXT(Overig!M679,""",""?00;"",""?-00;"",""?00;"", //"""),"'","""")&amp;SUBSTITUTE(TEXT(IF(ISTEXT(Overig!N679),Overig!N679,10*Overig!N679),""",""????0;"",""???-0;"",""????0;"", ////"""),"'","""")&amp;SUBSTITUTE(TEXT(Overig!O679,""",""?00;"",""?-00;"",""?00;"", //"""),"'","""")&amp;SUBSTITUTE(TEXT(IF(ISTEXT(Overig!P679),Overig!P679,10*Overig!P679),""",""????0;"",""???-0;"",""????0;"", ////"""),"'","""")&amp;SUBSTITUTE(TEXT(Overig!Q679,""",""?00;"",""?-00;"",""?00;"", //"""),"'","""")&amp;SUBSTITUTE(TEXT(Overig!R679,""",""????0;"",""???-0;"",""????0;"", ////"""),"'","""")&amp;SUBSTITUTE(TEXT(Overig!S679,""",""?00;"",""?-00;"",""?00;"", //"""),"'","""")&amp;SUBSTITUTE(TEXT(IF(ISTEXT(Overig!T679),Overig!T679,10*Overig!T679),""",""????0;"",""???-0;"",""????0;"", ////"""),"'","""")&amp;SUBSTITUTE(TEXT(Overig!U679,""",""?00;"",""?-00;"",""?00;"", //"""),"'","""")&amp;SUBSTITUTE(TEXT(Overig!V679,""",""???0;"",""??-0;"",""???0;"", ///"""),"'","""")&amp;SUBSTITUTE(TEXT(Overig!W679,""",""?00;"",""?-00;"",""?00;"", //"""),"'","""")</f>
        <v>032, 19400618, 12.00, 7595, 00,  267, 00, ////, 07, ////, 07,  74, 00,  196, 00,  232, 00,   65, 00,    4, 00,   4, 00</v>
      </c>
    </row>
    <row r="680" spans="1:1" x14ac:dyDescent="0.25">
      <c r="A680" s="12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//"""),"'","""")&amp;SUBSTITUTE(TEXT(IF(ISTEXT(Overig!J680),Overig!J680,10*Overig!J680),""",""????0;"",""???-0;"",""????0;"", ////"""),"'","""")&amp;SUBSTITUTE(TEXT(Overig!K680,""",""?00;"",""?-00;"",""?00;"", //"""),"'","""")&amp;SUBSTITUTE(TEXT(Overig!L680,""",""???0;"",""??-0;"",""???0;"", ///"""),"'","""")&amp;SUBSTITUTE(TEXT(Overig!M680,""",""?00;"",""?-00;"",""?00;"", //"""),"'","""")&amp;SUBSTITUTE(TEXT(IF(ISTEXT(Overig!N680),Overig!N680,10*Overig!N680),""",""????0;"",""???-0;"",""????0;"", ////"""),"'","""")&amp;SUBSTITUTE(TEXT(Overig!O680,""",""?00;"",""?-00;"",""?00;"", //"""),"'","""")&amp;SUBSTITUTE(TEXT(IF(ISTEXT(Overig!P680),Overig!P680,10*Overig!P680),""",""????0;"",""???-0;"",""????0;"", ////"""),"'","""")&amp;SUBSTITUTE(TEXT(Overig!Q680,""",""?00;"",""?-00;"",""?00;"", //"""),"'","""")&amp;SUBSTITUTE(TEXT(Overig!R680,""",""????0;"",""???-0;"",""????0;"", ////"""),"'","""")&amp;SUBSTITUTE(TEXT(Overig!S680,""",""?00;"",""?-00;"",""?00;"", //"""),"'","""")&amp;SUBSTITUTE(TEXT(IF(ISTEXT(Overig!T680),Overig!T680,10*Overig!T680),""",""????0;"",""???-0;"",""????0;"", ////"""),"'","""")&amp;SUBSTITUTE(TEXT(Overig!U680,""",""?00;"",""?-00;"",""?00;"", //"""),"'","""")&amp;SUBSTITUTE(TEXT(Overig!V680,""",""???0;"",""??-0;"",""???0;"", ///"""),"'","""")&amp;SUBSTITUTE(TEXT(Overig!W680,""",""?00;"",""?-00;"",""?00;"", //"""),"'","""")</f>
        <v>032, 19400618, 17.00, 7582, 00,  265, 00, ////, 07, ////, 07,  74, 00,  193, 00,  230, 00,   65, 00,    5, 00,   4, 00</v>
      </c>
    </row>
    <row r="681" spans="1:1" x14ac:dyDescent="0.25">
      <c r="A681" s="12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//"""),"'","""")&amp;SUBSTITUTE(TEXT(IF(ISTEXT(Overig!J681),Overig!J681,10*Overig!J681),""",""????0;"",""???-0;"",""????0;"", ////"""),"'","""")&amp;SUBSTITUTE(TEXT(Overig!K681,""",""?00;"",""?-00;"",""?00;"", //"""),"'","""")&amp;SUBSTITUTE(TEXT(Overig!L681,""",""???0;"",""??-0;"",""???0;"", ///"""),"'","""")&amp;SUBSTITUTE(TEXT(Overig!M681,""",""?00;"",""?-00;"",""?00;"", //"""),"'","""")&amp;SUBSTITUTE(TEXT(IF(ISTEXT(Overig!N681),Overig!N681,10*Overig!N681),""",""????0;"",""???-0;"",""????0;"", ////"""),"'","""")&amp;SUBSTITUTE(TEXT(Overig!O681,""",""?00;"",""?-00;"",""?00;"", //"""),"'","""")&amp;SUBSTITUTE(TEXT(IF(ISTEXT(Overig!P681),Overig!P681,10*Overig!P681),""",""????0;"",""???-0;"",""????0;"", ////"""),"'","""")&amp;SUBSTITUTE(TEXT(Overig!Q681,""",""?00;"",""?-00;"",""?00;"", //"""),"'","""")&amp;SUBSTITUTE(TEXT(Overig!R681,""",""????0;"",""???-0;"",""????0;"", ////"""),"'","""")&amp;SUBSTITUTE(TEXT(Overig!S681,""",""?00;"",""?-00;"",""?00;"", //"""),"'","""")&amp;SUBSTITUTE(TEXT(IF(ISTEXT(Overig!T681),Overig!T681,10*Overig!T681),""",""????0;"",""???-0;"",""????0;"", ////"""),"'","""")&amp;SUBSTITUTE(TEXT(Overig!U681,""",""?00;"",""?-00;"",""?00;"", //"""),"'","""")&amp;SUBSTITUTE(TEXT(Overig!V681,""",""???0;"",""??-0;"",""???0;"", ///"""),"'","""")&amp;SUBSTITUTE(TEXT(Overig!W681,""",""?00;"",""?-00;"",""?00;"", //"""),"'","""")</f>
        <v>032, 19400618, 24.00, ////, 07, ////, 07,  280, 00,  290, 00, ///, 07, ////, 07, ////, 07, ////, 07, ////, 07, ///, 07</v>
      </c>
    </row>
    <row r="682" spans="1:1" x14ac:dyDescent="0.25">
      <c r="A682" s="12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//"""),"'","""")&amp;SUBSTITUTE(TEXT(IF(ISTEXT(Overig!J682),Overig!J682,10*Overig!J682),""",""????0;"",""???-0;"",""????0;"", ////"""),"'","""")&amp;SUBSTITUTE(TEXT(Overig!K682,""",""?00;"",""?-00;"",""?00;"", //"""),"'","""")&amp;SUBSTITUTE(TEXT(Overig!L682,""",""???0;"",""??-0;"",""???0;"", ///"""),"'","""")&amp;SUBSTITUTE(TEXT(Overig!M682,""",""?00;"",""?-00;"",""?00;"", //"""),"'","""")&amp;SUBSTITUTE(TEXT(IF(ISTEXT(Overig!N682),Overig!N682,10*Overig!N682),""",""????0;"",""???-0;"",""????0;"", ////"""),"'","""")&amp;SUBSTITUTE(TEXT(Overig!O682,""",""?00;"",""?-00;"",""?00;"", //"""),"'","""")&amp;SUBSTITUTE(TEXT(IF(ISTEXT(Overig!P682),Overig!P682,10*Overig!P682),""",""????0;"",""???-0;"",""????0;"", ////"""),"'","""")&amp;SUBSTITUTE(TEXT(Overig!Q682,""",""?00;"",""?-00;"",""?00;"", //"""),"'","""")&amp;SUBSTITUTE(TEXT(Overig!R682,""",""????0;"",""???-0;"",""????0;"", ////"""),"'","""")&amp;SUBSTITUTE(TEXT(Overig!S682,""",""?00;"",""?-00;"",""?00;"", //"""),"'","""")&amp;SUBSTITUTE(TEXT(IF(ISTEXT(Overig!T682),Overig!T682,10*Overig!T682),""",""????0;"",""???-0;"",""????0;"", ////"""),"'","""")&amp;SUBSTITUTE(TEXT(Overig!U682,""",""?00;"",""?-00;"",""?00;"", //"""),"'","""")&amp;SUBSTITUTE(TEXT(Overig!V682,""",""???0;"",""??-0;"",""???0;"", ///"""),"'","""")&amp;SUBSTITUTE(TEXT(Overig!W682,""",""?00;"",""?-00;"",""?00;"", //"""),"'","""")</f>
        <v>032, 19400619, 07.00, 7582, 00,  241, 00, ////, 07, ////, 07,  94, 00,  212, 00,  234, 00,   65, 00,    4, 00,   4, 00</v>
      </c>
    </row>
    <row r="683" spans="1:1" x14ac:dyDescent="0.25">
      <c r="A683" s="12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//"""),"'","""")&amp;SUBSTITUTE(TEXT(IF(ISTEXT(Overig!J683),Overig!J683,10*Overig!J683),""",""????0;"",""???-0;"",""????0;"", ////"""),"'","""")&amp;SUBSTITUTE(TEXT(Overig!K683,""",""?00;"",""?-00;"",""?00;"", //"""),"'","""")&amp;SUBSTITUTE(TEXT(Overig!L683,""",""???0;"",""??-0;"",""???0;"", ///"""),"'","""")&amp;SUBSTITUTE(TEXT(Overig!M683,""",""?00;"",""?-00;"",""?00;"", //"""),"'","""")&amp;SUBSTITUTE(TEXT(IF(ISTEXT(Overig!N683),Overig!N683,10*Overig!N683),""",""????0;"",""???-0;"",""????0;"", ////"""),"'","""")&amp;SUBSTITUTE(TEXT(Overig!O683,""",""?00;"",""?-00;"",""?00;"", //"""),"'","""")&amp;SUBSTITUTE(TEXT(IF(ISTEXT(Overig!P683),Overig!P683,10*Overig!P683),""",""????0;"",""???-0;"",""????0;"", ////"""),"'","""")&amp;SUBSTITUTE(TEXT(Overig!Q683,""",""?00;"",""?-00;"",""?00;"", //"""),"'","""")&amp;SUBSTITUTE(TEXT(Overig!R683,""",""????0;"",""???-0;"",""????0;"", ////"""),"'","""")&amp;SUBSTITUTE(TEXT(Overig!S683,""",""?00;"",""?-00;"",""?00;"", //"""),"'","""")&amp;SUBSTITUTE(TEXT(IF(ISTEXT(Overig!T683),Overig!T683,10*Overig!T683),""",""????0;"",""???-0;"",""????0;"", ////"""),"'","""")&amp;SUBSTITUTE(TEXT(Overig!U683,""",""?00;"",""?-00;"",""?00;"", //"""),"'","""")&amp;SUBSTITUTE(TEXT(Overig!V683,""",""???0;"",""??-0;"",""???0;"", ///"""),"'","""")&amp;SUBSTITUTE(TEXT(Overig!W683,""",""?00;"",""?-00;"",""?00;"", //"""),"'","""")</f>
        <v>032, 19400619, 12.00, 7582, 00,  243, 00, ////, 07, ////, 07,  93, 00,  211, 00,  234, 00,   65, 00,    5, 00,   4, 00</v>
      </c>
    </row>
    <row r="684" spans="1:1" x14ac:dyDescent="0.25">
      <c r="A684" s="12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//"""),"'","""")&amp;SUBSTITUTE(TEXT(IF(ISTEXT(Overig!J684),Overig!J684,10*Overig!J684),""",""????0;"",""???-0;"",""????0;"", ////"""),"'","""")&amp;SUBSTITUTE(TEXT(Overig!K684,""",""?00;"",""?-00;"",""?00;"", //"""),"'","""")&amp;SUBSTITUTE(TEXT(Overig!L684,""",""???0;"",""??-0;"",""???0;"", ///"""),"'","""")&amp;SUBSTITUTE(TEXT(Overig!M684,""",""?00;"",""?-00;"",""?00;"", //"""),"'","""")&amp;SUBSTITUTE(TEXT(IF(ISTEXT(Overig!N684),Overig!N684,10*Overig!N684),""",""????0;"",""???-0;"",""????0;"", ////"""),"'","""")&amp;SUBSTITUTE(TEXT(Overig!O684,""",""?00;"",""?-00;"",""?00;"", //"""),"'","""")&amp;SUBSTITUTE(TEXT(IF(ISTEXT(Overig!P684),Overig!P684,10*Overig!P684),""",""????0;"",""???-0;"",""????0;"", ////"""),"'","""")&amp;SUBSTITUTE(TEXT(Overig!Q684,""",""?00;"",""?-00;"",""?00;"", //"""),"'","""")&amp;SUBSTITUTE(TEXT(Overig!R684,""",""????0;"",""???-0;"",""????0;"", ////"""),"'","""")&amp;SUBSTITUTE(TEXT(Overig!S684,""",""?00;"",""?-00;"",""?00;"", //"""),"'","""")&amp;SUBSTITUTE(TEXT(IF(ISTEXT(Overig!T684),Overig!T684,10*Overig!T684),""",""????0;"",""???-0;"",""????0;"", ////"""),"'","""")&amp;SUBSTITUTE(TEXT(Overig!U684,""",""?00;"",""?-00;"",""?00;"", //"""),"'","""")&amp;SUBSTITUTE(TEXT(Overig!V684,""",""???0;"",""??-0;"",""???0;"", ///"""),"'","""")&amp;SUBSTITUTE(TEXT(Overig!W684,""",""?00;"",""?-00;"",""?00;"", //"""),"'","""")</f>
        <v>032, 19400619, 17.00, 7564, 00,  249, 00, ////, 07, ////, 07,  85, 00,  201, 00,  230, 00,   65, 00,    4, 00,   4, 00</v>
      </c>
    </row>
    <row r="685" spans="1:1" x14ac:dyDescent="0.25">
      <c r="A685" s="12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//"""),"'","""")&amp;SUBSTITUTE(TEXT(IF(ISTEXT(Overig!J685),Overig!J685,10*Overig!J685),""",""????0;"",""???-0;"",""????0;"", ////"""),"'","""")&amp;SUBSTITUTE(TEXT(Overig!K685,""",""?00;"",""?-00;"",""?00;"", //"""),"'","""")&amp;SUBSTITUTE(TEXT(Overig!L685,""",""???0;"",""??-0;"",""???0;"", ///"""),"'","""")&amp;SUBSTITUTE(TEXT(Overig!M685,""",""?00;"",""?-00;"",""?00;"", //"""),"'","""")&amp;SUBSTITUTE(TEXT(IF(ISTEXT(Overig!N685),Overig!N685,10*Overig!N685),""",""????0;"",""???-0;"",""????0;"", ////"""),"'","""")&amp;SUBSTITUTE(TEXT(Overig!O685,""",""?00;"",""?-00;"",""?00;"", //"""),"'","""")&amp;SUBSTITUTE(TEXT(IF(ISTEXT(Overig!P685),Overig!P685,10*Overig!P685),""",""????0;"",""???-0;"",""????0;"", ////"""),"'","""")&amp;SUBSTITUTE(TEXT(Overig!Q685,""",""?00;"",""?-00;"",""?00;"", //"""),"'","""")&amp;SUBSTITUTE(TEXT(Overig!R685,""",""????0;"",""???-0;"",""????0;"", ////"""),"'","""")&amp;SUBSTITUTE(TEXT(Overig!S685,""",""?00;"",""?-00;"",""?00;"", //"""),"'","""")&amp;SUBSTITUTE(TEXT(IF(ISTEXT(Overig!T685),Overig!T685,10*Overig!T685),""",""????0;"",""???-0;"",""????0;"", ////"""),"'","""")&amp;SUBSTITUTE(TEXT(Overig!U685,""",""?00;"",""?-00;"",""?00;"", //"""),"'","""")&amp;SUBSTITUTE(TEXT(Overig!V685,""",""???0;"",""??-0;"",""???0;"", ///"""),"'","""")&amp;SUBSTITUTE(TEXT(Overig!W685,""",""?00;"",""?-00;"",""?00;"", //"""),"'","""")</f>
        <v>032, 19400619, 24.00, ////, 07, ////, 07,  282, 00,  296, 00, ///, 07, ////, 07, ////, 07, ////, 07, ////, 07, ///, 07</v>
      </c>
    </row>
    <row r="686" spans="1:1" x14ac:dyDescent="0.25">
      <c r="A686" s="12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//"""),"'","""")&amp;SUBSTITUTE(TEXT(IF(ISTEXT(Overig!J686),Overig!J686,10*Overig!J686),""",""????0;"",""???-0;"",""????0;"", ////"""),"'","""")&amp;SUBSTITUTE(TEXT(Overig!K686,""",""?00;"",""?-00;"",""?00;"", //"""),"'","""")&amp;SUBSTITUTE(TEXT(Overig!L686,""",""???0;"",""??-0;"",""???0;"", ///"""),"'","""")&amp;SUBSTITUTE(TEXT(Overig!M686,""",""?00;"",""?-00;"",""?00;"", //"""),"'","""")&amp;SUBSTITUTE(TEXT(IF(ISTEXT(Overig!N686),Overig!N686,10*Overig!N686),""",""????0;"",""???-0;"",""????0;"", ////"""),"'","""")&amp;SUBSTITUTE(TEXT(Overig!O686,""",""?00;"",""?-00;"",""?00;"", //"""),"'","""")&amp;SUBSTITUTE(TEXT(IF(ISTEXT(Overig!P686),Overig!P686,10*Overig!P686),""",""????0;"",""???-0;"",""????0;"", ////"""),"'","""")&amp;SUBSTITUTE(TEXT(Overig!Q686,""",""?00;"",""?-00;"",""?00;"", //"""),"'","""")&amp;SUBSTITUTE(TEXT(Overig!R686,""",""????0;"",""???-0;"",""????0;"", ////"""),"'","""")&amp;SUBSTITUTE(TEXT(Overig!S686,""",""?00;"",""?-00;"",""?00;"", //"""),"'","""")&amp;SUBSTITUTE(TEXT(IF(ISTEXT(Overig!T686),Overig!T686,10*Overig!T686),""",""????0;"",""???-0;"",""????0;"", ////"""),"'","""")&amp;SUBSTITUTE(TEXT(Overig!U686,""",""?00;"",""?-00;"",""?00;"", //"""),"'","""")&amp;SUBSTITUTE(TEXT(Overig!V686,""",""???0;"",""??-0;"",""???0;"", ///"""),"'","""")&amp;SUBSTITUTE(TEXT(Overig!W686,""",""?00;"",""?-00;"",""?00;"", //"""),"'","""")</f>
        <v>032, 19400620, 07.00, 7572, 00,  241, 00, ////, 07, ////, 07,  93, 00,  209, 00,  232, 00,   90, 00,    3, 00,   3, 00</v>
      </c>
    </row>
    <row r="687" spans="1:1" x14ac:dyDescent="0.25">
      <c r="A687" s="12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//"""),"'","""")&amp;SUBSTITUTE(TEXT(IF(ISTEXT(Overig!J687),Overig!J687,10*Overig!J687),""",""????0;"",""???-0;"",""????0;"", ////"""),"'","""")&amp;SUBSTITUTE(TEXT(Overig!K687,""",""?00;"",""?-00;"",""?00;"", //"""),"'","""")&amp;SUBSTITUTE(TEXT(Overig!L687,""",""???0;"",""??-0;"",""???0;"", ///"""),"'","""")&amp;SUBSTITUTE(TEXT(Overig!M687,""",""?00;"",""?-00;"",""?00;"", //"""),"'","""")&amp;SUBSTITUTE(TEXT(IF(ISTEXT(Overig!N687),Overig!N687,10*Overig!N687),""",""????0;"",""???-0;"",""????0;"", ////"""),"'","""")&amp;SUBSTITUTE(TEXT(Overig!O687,""",""?00;"",""?-00;"",""?00;"", //"""),"'","""")&amp;SUBSTITUTE(TEXT(IF(ISTEXT(Overig!P687),Overig!P687,10*Overig!P687),""",""????0;"",""???-0;"",""????0;"", ////"""),"'","""")&amp;SUBSTITUTE(TEXT(Overig!Q687,""",""?00;"",""?-00;"",""?00;"", //"""),"'","""")&amp;SUBSTITUTE(TEXT(Overig!R687,""",""????0;"",""???-0;"",""????0;"", ////"""),"'","""")&amp;SUBSTITUTE(TEXT(Overig!S687,""",""?00;"",""?-00;"",""?00;"", //"""),"'","""")&amp;SUBSTITUTE(TEXT(IF(ISTEXT(Overig!T687),Overig!T687,10*Overig!T687),""",""????0;"",""???-0;"",""????0;"", ////"""),"'","""")&amp;SUBSTITUTE(TEXT(Overig!U687,""",""?00;"",""?-00;"",""?00;"", //"""),"'","""")&amp;SUBSTITUTE(TEXT(Overig!V687,""",""???0;"",""??-0;"",""???0;"", ///"""),"'","""")&amp;SUBSTITUTE(TEXT(Overig!W687,""",""?00;"",""?-00;"",""?00;"", //"""),"'","""")</f>
        <v>032, 19400620, 12.00, 7600, 00,  243, 00, ////, 07, ////, 07,  94, 00,  215, 00,  236, 00,   90, 00,    4, 00,   4, 00</v>
      </c>
    </row>
    <row r="688" spans="1:1" x14ac:dyDescent="0.25">
      <c r="A688" s="12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//"""),"'","""")&amp;SUBSTITUTE(TEXT(IF(ISTEXT(Overig!J688),Overig!J688,10*Overig!J688),""",""????0;"",""???-0;"",""????0;"", ////"""),"'","""")&amp;SUBSTITUTE(TEXT(Overig!K688,""",""?00;"",""?-00;"",""?00;"", //"""),"'","""")&amp;SUBSTITUTE(TEXT(Overig!L688,""",""???0;"",""??-0;"",""???0;"", ///"""),"'","""")&amp;SUBSTITUTE(TEXT(Overig!M688,""",""?00;"",""?-00;"",""?00;"", //"""),"'","""")&amp;SUBSTITUTE(TEXT(IF(ISTEXT(Overig!N688),Overig!N688,10*Overig!N688),""",""????0;"",""???-0;"",""????0;"", ////"""),"'","""")&amp;SUBSTITUTE(TEXT(Overig!O688,""",""?00;"",""?-00;"",""?00;"", //"""),"'","""")&amp;SUBSTITUTE(TEXT(IF(ISTEXT(Overig!P688),Overig!P688,10*Overig!P688),""",""????0;"",""???-0;"",""????0;"", ////"""),"'","""")&amp;SUBSTITUTE(TEXT(Overig!Q688,""",""?00;"",""?-00;"",""?00;"", //"""),"'","""")&amp;SUBSTITUTE(TEXT(Overig!R688,""",""????0;"",""???-0;"",""????0;"", ////"""),"'","""")&amp;SUBSTITUTE(TEXT(Overig!S688,""",""?00;"",""?-00;"",""?00;"", //"""),"'","""")&amp;SUBSTITUTE(TEXT(IF(ISTEXT(Overig!T688),Overig!T688,10*Overig!T688),""",""????0;"",""???-0;"",""????0;"", ////"""),"'","""")&amp;SUBSTITUTE(TEXT(Overig!U688,""",""?00;"",""?-00;"",""?00;"", //"""),"'","""")&amp;SUBSTITUTE(TEXT(Overig!V688,""",""???0;"",""??-0;"",""???0;"", ///"""),"'","""")&amp;SUBSTITUTE(TEXT(Overig!W688,""",""?00;"",""?-00;"",""?00;"", //"""),"'","""")</f>
        <v>032, 19400620, 17.00, 7582, 00,  239, 00, ////, 07, ////, 07,  94, 00,  210, 00,  232, 00,   90, 00,    3, 00,   3, 00</v>
      </c>
    </row>
    <row r="689" spans="1:1" x14ac:dyDescent="0.25">
      <c r="A689" s="12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//"""),"'","""")&amp;SUBSTITUTE(TEXT(IF(ISTEXT(Overig!J689),Overig!J689,10*Overig!J689),""",""????0;"",""???-0;"",""????0;"", ////"""),"'","""")&amp;SUBSTITUTE(TEXT(Overig!K689,""",""?00;"",""?-00;"",""?00;"", //"""),"'","""")&amp;SUBSTITUTE(TEXT(Overig!L689,""",""???0;"",""??-0;"",""???0;"", ///"""),"'","""")&amp;SUBSTITUTE(TEXT(Overig!M689,""",""?00;"",""?-00;"",""?00;"", //"""),"'","""")&amp;SUBSTITUTE(TEXT(IF(ISTEXT(Overig!N689),Overig!N689,10*Overig!N689),""",""????0;"",""???-0;"",""????0;"", ////"""),"'","""")&amp;SUBSTITUTE(TEXT(Overig!O689,""",""?00;"",""?-00;"",""?00;"", //"""),"'","""")&amp;SUBSTITUTE(TEXT(IF(ISTEXT(Overig!P689),Overig!P689,10*Overig!P689),""",""????0;"",""???-0;"",""????0;"", ////"""),"'","""")&amp;SUBSTITUTE(TEXT(Overig!Q689,""",""?00;"",""?-00;"",""?00;"", //"""),"'","""")&amp;SUBSTITUTE(TEXT(Overig!R689,""",""????0;"",""???-0;"",""????0;"", ////"""),"'","""")&amp;SUBSTITUTE(TEXT(Overig!S689,""",""?00;"",""?-00;"",""?00;"", //"""),"'","""")&amp;SUBSTITUTE(TEXT(IF(ISTEXT(Overig!T689),Overig!T689,10*Overig!T689),""",""????0;"",""???-0;"",""????0;"", ////"""),"'","""")&amp;SUBSTITUTE(TEXT(Overig!U689,""",""?00;"",""?-00;"",""?00;"", //"""),"'","""")&amp;SUBSTITUTE(TEXT(Overig!V689,""",""???0;"",""??-0;"",""???0;"", ///"""),"'","""")&amp;SUBSTITUTE(TEXT(Overig!W689,""",""?00;"",""?-00;"",""?00;"", //"""),"'","""")</f>
        <v>032, 19400620, 24.00, ////, 07, ////, 07,  280, 00,  296, 00, ///, 07, ////, 07, ////, 07, ////, 07, ////, 07, ///, 07</v>
      </c>
    </row>
    <row r="690" spans="1:1" x14ac:dyDescent="0.25">
      <c r="A690" s="12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//"""),"'","""")&amp;SUBSTITUTE(TEXT(IF(ISTEXT(Overig!J690),Overig!J690,10*Overig!J690),""",""????0;"",""???-0;"",""????0;"", ////"""),"'","""")&amp;SUBSTITUTE(TEXT(Overig!K690,""",""?00;"",""?-00;"",""?00;"", //"""),"'","""")&amp;SUBSTITUTE(TEXT(Overig!L690,""",""???0;"",""??-0;"",""???0;"", ///"""),"'","""")&amp;SUBSTITUTE(TEXT(Overig!M690,""",""?00;"",""?-00;"",""?00;"", //"""),"'","""")&amp;SUBSTITUTE(TEXT(IF(ISTEXT(Overig!N690),Overig!N690,10*Overig!N690),""",""????0;"",""???-0;"",""????0;"", ////"""),"'","""")&amp;SUBSTITUTE(TEXT(Overig!O690,""",""?00;"",""?-00;"",""?00;"", //"""),"'","""")&amp;SUBSTITUTE(TEXT(IF(ISTEXT(Overig!P690),Overig!P690,10*Overig!P690),""",""????0;"",""???-0;"",""????0;"", ////"""),"'","""")&amp;SUBSTITUTE(TEXT(Overig!Q690,""",""?00;"",""?-00;"",""?00;"", //"""),"'","""")&amp;SUBSTITUTE(TEXT(Overig!R690,""",""????0;"",""???-0;"",""????0;"", ////"""),"'","""")&amp;SUBSTITUTE(TEXT(Overig!S690,""",""?00;"",""?-00;"",""?00;"", //"""),"'","""")&amp;SUBSTITUTE(TEXT(IF(ISTEXT(Overig!T690),Overig!T690,10*Overig!T690),""",""????0;"",""???-0;"",""????0;"", ////"""),"'","""")&amp;SUBSTITUTE(TEXT(Overig!U690,""",""?00;"",""?-00;"",""?00;"", //"""),"'","""")&amp;SUBSTITUTE(TEXT(Overig!V690,""",""???0;"",""??-0;"",""???0;"", ///"""),"'","""")&amp;SUBSTITUTE(TEXT(Overig!W690,""",""?00;"",""?-00;"",""?00;"", //"""),"'","""")</f>
        <v>032, 19400621, 07.00, 7582, 00,  285, 00, ////, 07, ////, 07,  78, 00,  228, 00,  254, 00,   65, 00,    3, 00,   3, 00</v>
      </c>
    </row>
    <row r="691" spans="1:1" x14ac:dyDescent="0.25">
      <c r="A691" s="12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//"""),"'","""")&amp;SUBSTITUTE(TEXT(IF(ISTEXT(Overig!J691),Overig!J691,10*Overig!J691),""",""????0;"",""???-0;"",""????0;"", ////"""),"'","""")&amp;SUBSTITUTE(TEXT(Overig!K691,""",""?00;"",""?-00;"",""?00;"", //"""),"'","""")&amp;SUBSTITUTE(TEXT(Overig!L691,""",""???0;"",""??-0;"",""???0;"", ///"""),"'","""")&amp;SUBSTITUTE(TEXT(Overig!M691,""",""?00;"",""?-00;"",""?00;"", //"""),"'","""")&amp;SUBSTITUTE(TEXT(IF(ISTEXT(Overig!N691),Overig!N691,10*Overig!N691),""",""????0;"",""???-0;"",""????0;"", ////"""),"'","""")&amp;SUBSTITUTE(TEXT(Overig!O691,""",""?00;"",""?-00;"",""?00;"", //"""),"'","""")&amp;SUBSTITUTE(TEXT(IF(ISTEXT(Overig!P691),Overig!P691,10*Overig!P691),""",""????0;"",""???-0;"",""????0;"", ////"""),"'","""")&amp;SUBSTITUTE(TEXT(Overig!Q691,""",""?00;"",""?-00;"",""?00;"", //"""),"'","""")&amp;SUBSTITUTE(TEXT(Overig!R691,""",""????0;"",""???-0;"",""????0;"", ////"""),"'","""")&amp;SUBSTITUTE(TEXT(Overig!S691,""",""?00;"",""?-00;"",""?00;"", //"""),"'","""")&amp;SUBSTITUTE(TEXT(IF(ISTEXT(Overig!T691),Overig!T691,10*Overig!T691),""",""????0;"",""???-0;"",""????0;"", ////"""),"'","""")&amp;SUBSTITUTE(TEXT(Overig!U691,""",""?00;"",""?-00;"",""?00;"", //"""),"'","""")&amp;SUBSTITUTE(TEXT(Overig!V691,""",""???0;"",""??-0;"",""???0;"", ///"""),"'","""")&amp;SUBSTITUTE(TEXT(Overig!W691,""",""?00;"",""?-00;"",""?00;"", //"""),"'","""")</f>
        <v>032, 19400621, 12.00, 7600, 00,  285, 00, ////, 07, ////, 07,  79, 00,  232, 00,  256, 00,   65, 00,    4, 00,   3, 00</v>
      </c>
    </row>
    <row r="692" spans="1:1" x14ac:dyDescent="0.25">
      <c r="A692" s="12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//"""),"'","""")&amp;SUBSTITUTE(TEXT(IF(ISTEXT(Overig!J692),Overig!J692,10*Overig!J692),""",""????0;"",""???-0;"",""????0;"", ////"""),"'","""")&amp;SUBSTITUTE(TEXT(Overig!K692,""",""?00;"",""?-00;"",""?00;"", //"""),"'","""")&amp;SUBSTITUTE(TEXT(Overig!L692,""",""???0;"",""??-0;"",""???0;"", ///"""),"'","""")&amp;SUBSTITUTE(TEXT(Overig!M692,""",""?00;"",""?-00;"",""?00;"", //"""),"'","""")&amp;SUBSTITUTE(TEXT(IF(ISTEXT(Overig!N692),Overig!N692,10*Overig!N692),""",""????0;"",""???-0;"",""????0;"", ////"""),"'","""")&amp;SUBSTITUTE(TEXT(Overig!O692,""",""?00;"",""?-00;"",""?00;"", //"""),"'","""")&amp;SUBSTITUTE(TEXT(IF(ISTEXT(Overig!P692),Overig!P692,10*Overig!P692),""",""????0;"",""???-0;"",""????0;"", ////"""),"'","""")&amp;SUBSTITUTE(TEXT(Overig!Q692,""",""?00;"",""?-00;"",""?00;"", //"""),"'","""")&amp;SUBSTITUTE(TEXT(Overig!R692,""",""????0;"",""???-0;"",""????0;"", ////"""),"'","""")&amp;SUBSTITUTE(TEXT(Overig!S692,""",""?00;"",""?-00;"",""?00;"", //"""),"'","""")&amp;SUBSTITUTE(TEXT(IF(ISTEXT(Overig!T692),Overig!T692,10*Overig!T692),""",""????0;"",""???-0;"",""????0;"", ////"""),"'","""")&amp;SUBSTITUTE(TEXT(Overig!U692,""",""?00;"",""?-00;"",""?00;"", //"""),"'","""")&amp;SUBSTITUTE(TEXT(Overig!V692,""",""???0;"",""??-0;"",""???0;"", ///"""),"'","""")&amp;SUBSTITUTE(TEXT(Overig!W692,""",""?00;"",""?-00;"",""?00;"", //"""),"'","""")</f>
        <v>032, 19400621, 17.00, 7587, 00,  271, 00, ////, 07, ////, 07,  79, 00,  212, 00,  242, 00,   65, 00,    3, 00,   3, 00</v>
      </c>
    </row>
    <row r="693" spans="1:1" x14ac:dyDescent="0.25">
      <c r="A693" s="12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//"""),"'","""")&amp;SUBSTITUTE(TEXT(IF(ISTEXT(Overig!J693),Overig!J693,10*Overig!J693),""",""????0;"",""???-0;"",""????0;"", ////"""),"'","""")&amp;SUBSTITUTE(TEXT(Overig!K693,""",""?00;"",""?-00;"",""?00;"", //"""),"'","""")&amp;SUBSTITUTE(TEXT(Overig!L693,""",""???0;"",""??-0;"",""???0;"", ///"""),"'","""")&amp;SUBSTITUTE(TEXT(Overig!M693,""",""?00;"",""?-00;"",""?00;"", //"""),"'","""")&amp;SUBSTITUTE(TEXT(IF(ISTEXT(Overig!N693),Overig!N693,10*Overig!N693),""",""????0;"",""???-0;"",""????0;"", ////"""),"'","""")&amp;SUBSTITUTE(TEXT(Overig!O693,""",""?00;"",""?-00;"",""?00;"", //"""),"'","""")&amp;SUBSTITUTE(TEXT(IF(ISTEXT(Overig!P693),Overig!P693,10*Overig!P693),""",""????0;"",""???-0;"",""????0;"", ////"""),"'","""")&amp;SUBSTITUTE(TEXT(Overig!Q693,""",""?00;"",""?-00;"",""?00;"", //"""),"'","""")&amp;SUBSTITUTE(TEXT(Overig!R693,""",""????0;"",""???-0;"",""????0;"", ////"""),"'","""")&amp;SUBSTITUTE(TEXT(Overig!S693,""",""?00;"",""?-00;"",""?00;"", //"""),"'","""")&amp;SUBSTITUTE(TEXT(IF(ISTEXT(Overig!T693),Overig!T693,10*Overig!T693),""",""????0;"",""???-0;"",""????0;"", ////"""),"'","""")&amp;SUBSTITUTE(TEXT(Overig!U693,""",""?00;"",""?-00;"",""?00;"", //"""),"'","""")&amp;SUBSTITUTE(TEXT(Overig!V693,""",""???0;"",""??-0;"",""???0;"", ///"""),"'","""")&amp;SUBSTITUTE(TEXT(Overig!W693,""",""?00;"",""?-00;"",""?00;"", //"""),"'","""")</f>
        <v>032, 19400621, 24.00, ////, 07, ////, 07,  294, 00,  310, 00, ///, 07, ////, 07, ////, 07, ////, 07, ////, 07, ///, 07</v>
      </c>
    </row>
    <row r="694" spans="1:1" x14ac:dyDescent="0.25">
      <c r="A694" s="12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//"""),"'","""")&amp;SUBSTITUTE(TEXT(IF(ISTEXT(Overig!J694),Overig!J694,10*Overig!J694),""",""????0;"",""???-0;"",""????0;"", ////"""),"'","""")&amp;SUBSTITUTE(TEXT(Overig!K694,""",""?00;"",""?-00;"",""?00;"", //"""),"'","""")&amp;SUBSTITUTE(TEXT(Overig!L694,""",""???0;"",""??-0;"",""???0;"", ///"""),"'","""")&amp;SUBSTITUTE(TEXT(Overig!M694,""",""?00;"",""?-00;"",""?00;"", //"""),"'","""")&amp;SUBSTITUTE(TEXT(IF(ISTEXT(Overig!N694),Overig!N694,10*Overig!N694),""",""????0;"",""???-0;"",""????0;"", ////"""),"'","""")&amp;SUBSTITUTE(TEXT(Overig!O694,""",""?00;"",""?-00;"",""?00;"", //"""),"'","""")&amp;SUBSTITUTE(TEXT(IF(ISTEXT(Overig!P694),Overig!P694,10*Overig!P694),""",""????0;"",""???-0;"",""????0;"", ////"""),"'","""")&amp;SUBSTITUTE(TEXT(Overig!Q694,""",""?00;"",""?-00;"",""?00;"", //"""),"'","""")&amp;SUBSTITUTE(TEXT(Overig!R694,""",""????0;"",""???-0;"",""????0;"", ////"""),"'","""")&amp;SUBSTITUTE(TEXT(Overig!S694,""",""?00;"",""?-00;"",""?00;"", //"""),"'","""")&amp;SUBSTITUTE(TEXT(IF(ISTEXT(Overig!T694),Overig!T694,10*Overig!T694),""",""????0;"",""???-0;"",""????0;"", ////"""),"'","""")&amp;SUBSTITUTE(TEXT(Overig!U694,""",""?00;"",""?-00;"",""?00;"", //"""),"'","""")&amp;SUBSTITUTE(TEXT(Overig!V694,""",""???0;"",""??-0;"",""???0;"", ///"""),"'","""")&amp;SUBSTITUTE(TEXT(Overig!W694,""",""?00;"",""?-00;"",""?00;"", //"""),"'","""")</f>
        <v>032, 19400622, 07.00, 7592, 00,  261, 00, ////, 07, ////, 07,  87, 00,  221, 00,  244, 00,   65, 00,    3, 00,   3, 00</v>
      </c>
    </row>
    <row r="695" spans="1:1" x14ac:dyDescent="0.25">
      <c r="A695" s="12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//"""),"'","""")&amp;SUBSTITUTE(TEXT(IF(ISTEXT(Overig!J695),Overig!J695,10*Overig!J695),""",""????0;"",""???-0;"",""????0;"", ////"""),"'","""")&amp;SUBSTITUTE(TEXT(Overig!K695,""",""?00;"",""?-00;"",""?00;"", //"""),"'","""")&amp;SUBSTITUTE(TEXT(Overig!L695,""",""???0;"",""??-0;"",""???0;"", ///"""),"'","""")&amp;SUBSTITUTE(TEXT(Overig!M695,""",""?00;"",""?-00;"",""?00;"", //"""),"'","""")&amp;SUBSTITUTE(TEXT(IF(ISTEXT(Overig!N695),Overig!N695,10*Overig!N695),""",""????0;"",""???-0;"",""????0;"", ////"""),"'","""")&amp;SUBSTITUTE(TEXT(Overig!O695,""",""?00;"",""?-00;"",""?00;"", //"""),"'","""")&amp;SUBSTITUTE(TEXT(IF(ISTEXT(Overig!P695),Overig!P695,10*Overig!P695),""",""????0;"",""???-0;"",""????0;"", ////"""),"'","""")&amp;SUBSTITUTE(TEXT(Overig!Q695,""",""?00;"",""?-00;"",""?00;"", //"""),"'","""")&amp;SUBSTITUTE(TEXT(Overig!R695,""",""????0;"",""???-0;"",""????0;"", ////"""),"'","""")&amp;SUBSTITUTE(TEXT(Overig!S695,""",""?00;"",""?-00;"",""?00;"", //"""),"'","""")&amp;SUBSTITUTE(TEXT(IF(ISTEXT(Overig!T695),Overig!T695,10*Overig!T695),""",""????0;"",""???-0;"",""????0;"", ////"""),"'","""")&amp;SUBSTITUTE(TEXT(Overig!U695,""",""?00;"",""?-00;"",""?00;"", //"""),"'","""")&amp;SUBSTITUTE(TEXT(Overig!V695,""",""???0;"",""??-0;"",""???0;"", ///"""),"'","""")&amp;SUBSTITUTE(TEXT(Overig!W695,""",""?00;"",""?-00;"",""?00;"", //"""),"'","""")</f>
        <v>032, 19400622, 12.00, 7597, 00,  283, 00, ////, 07, ////, 07,  74, 00,  214, 00,  246, 00,   65, 00,    4, 00,   4, 00</v>
      </c>
    </row>
    <row r="696" spans="1:1" x14ac:dyDescent="0.25">
      <c r="A696" s="12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//"""),"'","""")&amp;SUBSTITUTE(TEXT(IF(ISTEXT(Overig!J696),Overig!J696,10*Overig!J696),""",""????0;"",""???-0;"",""????0;"", ////"""),"'","""")&amp;SUBSTITUTE(TEXT(Overig!K696,""",""?00;"",""?-00;"",""?00;"", //"""),"'","""")&amp;SUBSTITUTE(TEXT(Overig!L696,""",""???0;"",""??-0;"",""???0;"", ///"""),"'","""")&amp;SUBSTITUTE(TEXT(Overig!M696,""",""?00;"",""?-00;"",""?00;"", //"""),"'","""")&amp;SUBSTITUTE(TEXT(IF(ISTEXT(Overig!N696),Overig!N696,10*Overig!N696),""",""????0;"",""???-0;"",""????0;"", ////"""),"'","""")&amp;SUBSTITUTE(TEXT(Overig!O696,""",""?00;"",""?-00;"",""?00;"", //"""),"'","""")&amp;SUBSTITUTE(TEXT(IF(ISTEXT(Overig!P696),Overig!P696,10*Overig!P696),""",""????0;"",""???-0;"",""????0;"", ////"""),"'","""")&amp;SUBSTITUTE(TEXT(Overig!Q696,""",""?00;"",""?-00;"",""?00;"", //"""),"'","""")&amp;SUBSTITUTE(TEXT(Overig!R696,""",""????0;"",""???-0;"",""????0;"", ////"""),"'","""")&amp;SUBSTITUTE(TEXT(Overig!S696,""",""?00;"",""?-00;"",""?00;"", //"""),"'","""")&amp;SUBSTITUTE(TEXT(IF(ISTEXT(Overig!T696),Overig!T696,10*Overig!T696),""",""????0;"",""???-0;"",""????0;"", ////"""),"'","""")&amp;SUBSTITUTE(TEXT(Overig!U696,""",""?00;"",""?-00;"",""?00;"", //"""),"'","""")&amp;SUBSTITUTE(TEXT(Overig!V696,""",""???0;"",""??-0;"",""???0;"", ///"""),"'","""")&amp;SUBSTITUTE(TEXT(Overig!W696,""",""?00;"",""?-00;"",""?00;"", //"""),"'","""")</f>
        <v>032, 19400622, 17.00, 7592, 00,  269, 00, ////, 07, ////, 07,  79, 00,  209, 00,  240, 00,   65, 00,    4, 00,   4, 00</v>
      </c>
    </row>
    <row r="697" spans="1:1" x14ac:dyDescent="0.25">
      <c r="A697" s="12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//"""),"'","""")&amp;SUBSTITUTE(TEXT(IF(ISTEXT(Overig!J697),Overig!J697,10*Overig!J697),""",""????0;"",""???-0;"",""????0;"", ////"""),"'","""")&amp;SUBSTITUTE(TEXT(Overig!K697,""",""?00;"",""?-00;"",""?00;"", //"""),"'","""")&amp;SUBSTITUTE(TEXT(Overig!L697,""",""???0;"",""??-0;"",""???0;"", ///"""),"'","""")&amp;SUBSTITUTE(TEXT(Overig!M697,""",""?00;"",""?-00;"",""?00;"", //"""),"'","""")&amp;SUBSTITUTE(TEXT(IF(ISTEXT(Overig!N697),Overig!N697,10*Overig!N697),""",""????0;"",""???-0;"",""????0;"", ////"""),"'","""")&amp;SUBSTITUTE(TEXT(Overig!O697,""",""?00;"",""?-00;"",""?00;"", //"""),"'","""")&amp;SUBSTITUTE(TEXT(IF(ISTEXT(Overig!P697),Overig!P697,10*Overig!P697),""",""????0;"",""???-0;"",""????0;"", ////"""),"'","""")&amp;SUBSTITUTE(TEXT(Overig!Q697,""",""?00;"",""?-00;"",""?00;"", //"""),"'","""")&amp;SUBSTITUTE(TEXT(Overig!R697,""",""????0;"",""???-0;"",""????0;"", ////"""),"'","""")&amp;SUBSTITUTE(TEXT(Overig!S697,""",""?00;"",""?-00;"",""?00;"", //"""),"'","""")&amp;SUBSTITUTE(TEXT(IF(ISTEXT(Overig!T697),Overig!T697,10*Overig!T697),""",""????0;"",""???-0;"",""????0;"", ////"""),"'","""")&amp;SUBSTITUTE(TEXT(Overig!U697,""",""?00;"",""?-00;"",""?00;"", //"""),"'","""")&amp;SUBSTITUTE(TEXT(Overig!V697,""",""???0;"",""??-0;"",""???0;"", ///"""),"'","""")&amp;SUBSTITUTE(TEXT(Overig!W697,""",""?00;"",""?-00;"",""?00;"", //"""),"'","""")</f>
        <v>032, 19400622, 24.00, ////, 07, ////, 07,  295, 00,  304, 00, ///, 07, ////, 07, ////, 07, ////, 07, ////, 07, ///, 07</v>
      </c>
    </row>
    <row r="698" spans="1:1" x14ac:dyDescent="0.25">
      <c r="A698" s="12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//"""),"'","""")&amp;SUBSTITUTE(TEXT(IF(ISTEXT(Overig!J698),Overig!J698,10*Overig!J698),""",""????0;"",""???-0;"",""????0;"", ////"""),"'","""")&amp;SUBSTITUTE(TEXT(Overig!K698,""",""?00;"",""?-00;"",""?00;"", //"""),"'","""")&amp;SUBSTITUTE(TEXT(Overig!L698,""",""???0;"",""??-0;"",""???0;"", ///"""),"'","""")&amp;SUBSTITUTE(TEXT(Overig!M698,""",""?00;"",""?-00;"",""?00;"", //"""),"'","""")&amp;SUBSTITUTE(TEXT(IF(ISTEXT(Overig!N698),Overig!N698,10*Overig!N698),""",""????0;"",""???-0;"",""????0;"", ////"""),"'","""")&amp;SUBSTITUTE(TEXT(Overig!O698,""",""?00;"",""?-00;"",""?00;"", //"""),"'","""")&amp;SUBSTITUTE(TEXT(IF(ISTEXT(Overig!P698),Overig!P698,10*Overig!P698),""",""????0;"",""???-0;"",""????0;"", ////"""),"'","""")&amp;SUBSTITUTE(TEXT(Overig!Q698,""",""?00;"",""?-00;"",""?00;"", //"""),"'","""")&amp;SUBSTITUTE(TEXT(Overig!R698,""",""????0;"",""???-0;"",""????0;"", ////"""),"'","""")&amp;SUBSTITUTE(TEXT(Overig!S698,""",""?00;"",""?-00;"",""?00;"", //"""),"'","""")&amp;SUBSTITUTE(TEXT(IF(ISTEXT(Overig!T698),Overig!T698,10*Overig!T698),""",""????0;"",""???-0;"",""????0;"", ////"""),"'","""")&amp;SUBSTITUTE(TEXT(Overig!U698,""",""?00;"",""?-00;"",""?00;"", //"""),"'","""")&amp;SUBSTITUTE(TEXT(Overig!V698,""",""???0;"",""??-0;"",""???0;"", ///"""),"'","""")&amp;SUBSTITUTE(TEXT(Overig!W698,""",""?00;"",""?-00;"",""?00;"", //"""),"'","""")</f>
        <v>032, 19400623, 07.00, 7597, 00,  257, 00, ////, 07, ////, 07,  82, 00,  204, 00,  234, 00,   65, 00,    4, 00,   4, 00</v>
      </c>
    </row>
    <row r="699" spans="1:1" x14ac:dyDescent="0.25">
      <c r="A699" s="12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//"""),"'","""")&amp;SUBSTITUTE(TEXT(IF(ISTEXT(Overig!J699),Overig!J699,10*Overig!J699),""",""????0;"",""???-0;"",""????0;"", ////"""),"'","""")&amp;SUBSTITUTE(TEXT(Overig!K699,""",""?00;"",""?-00;"",""?00;"", //"""),"'","""")&amp;SUBSTITUTE(TEXT(Overig!L699,""",""???0;"",""??-0;"",""???0;"", ///"""),"'","""")&amp;SUBSTITUTE(TEXT(Overig!M699,""",""?00;"",""?-00;"",""?00;"", //"""),"'","""")&amp;SUBSTITUTE(TEXT(IF(ISTEXT(Overig!N699),Overig!N699,10*Overig!N699),""",""????0;"",""???-0;"",""????0;"", ////"""),"'","""")&amp;SUBSTITUTE(TEXT(Overig!O699,""",""?00;"",""?-00;"",""?00;"", //"""),"'","""")&amp;SUBSTITUTE(TEXT(IF(ISTEXT(Overig!P699),Overig!P699,10*Overig!P699),""",""????0;"",""???-0;"",""????0;"", ////"""),"'","""")&amp;SUBSTITUTE(TEXT(Overig!Q699,""",""?00;"",""?-00;"",""?00;"", //"""),"'","""")&amp;SUBSTITUTE(TEXT(Overig!R699,""",""????0;"",""???-0;"",""????0;"", ////"""),"'","""")&amp;SUBSTITUTE(TEXT(Overig!S699,""",""?00;"",""?-00;"",""?00;"", //"""),"'","""")&amp;SUBSTITUTE(TEXT(IF(ISTEXT(Overig!T699),Overig!T699,10*Overig!T699),""",""????0;"",""???-0;"",""????0;"", ////"""),"'","""")&amp;SUBSTITUTE(TEXT(Overig!U699,""",""?00;"",""?-00;"",""?00;"", //"""),"'","""")&amp;SUBSTITUTE(TEXT(Overig!V699,""",""???0;"",""??-0;"",""???0;"", ///"""),"'","""")&amp;SUBSTITUTE(TEXT(Overig!W699,""",""?00;"",""?-00;"",""?00;"", //"""),"'","""")</f>
        <v>032, 19400623, 12.00, 7597, 00,  283, 00, ////, 07, ////, 07,  73, 00,  210, 00,  244, 00,   45, 00,    5, 00,   5, 00</v>
      </c>
    </row>
    <row r="700" spans="1:1" x14ac:dyDescent="0.25">
      <c r="A700" s="12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//"""),"'","""")&amp;SUBSTITUTE(TEXT(IF(ISTEXT(Overig!J700),Overig!J700,10*Overig!J700),""",""????0;"",""???-0;"",""????0;"", ////"""),"'","""")&amp;SUBSTITUTE(TEXT(Overig!K700,""",""?00;"",""?-00;"",""?00;"", //"""),"'","""")&amp;SUBSTITUTE(TEXT(Overig!L700,""",""???0;"",""??-0;"",""???0;"", ///"""),"'","""")&amp;SUBSTITUTE(TEXT(Overig!M700,""",""?00;"",""?-00;"",""?00;"", //"""),"'","""")&amp;SUBSTITUTE(TEXT(IF(ISTEXT(Overig!N700),Overig!N700,10*Overig!N700),""",""????0;"",""???-0;"",""????0;"", ////"""),"'","""")&amp;SUBSTITUTE(TEXT(Overig!O700,""",""?00;"",""?-00;"",""?00;"", //"""),"'","""")&amp;SUBSTITUTE(TEXT(IF(ISTEXT(Overig!P700),Overig!P700,10*Overig!P700),""",""????0;"",""???-0;"",""????0;"", ////"""),"'","""")&amp;SUBSTITUTE(TEXT(Overig!Q700,""",""?00;"",""?-00;"",""?00;"", //"""),"'","""")&amp;SUBSTITUTE(TEXT(Overig!R700,""",""????0;"",""???-0;"",""????0;"", ////"""),"'","""")&amp;SUBSTITUTE(TEXT(Overig!S700,""",""?00;"",""?-00;"",""?00;"", //"""),"'","""")&amp;SUBSTITUTE(TEXT(IF(ISTEXT(Overig!T700),Overig!T700,10*Overig!T700),""",""????0;"",""???-0;"",""????0;"", ////"""),"'","""")&amp;SUBSTITUTE(TEXT(Overig!U700,""",""?00;"",""?-00;"",""?00;"", //"""),"'","""")&amp;SUBSTITUTE(TEXT(Overig!V700,""",""???0;"",""??-0;"",""???0;"", ///"""),"'","""")&amp;SUBSTITUTE(TEXT(Overig!W700,""",""?00;"",""?-00;"",""?00;"", //"""),"'","""")</f>
        <v>032, 19400623, 17.00, 7582, 00,  269, 00, ////, 07, ////, 07,  79, 00,  209, 00,  240, 00,   45, 00,    5, 00,   4, 00</v>
      </c>
    </row>
    <row r="701" spans="1:1" x14ac:dyDescent="0.25">
      <c r="A701" s="12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//"""),"'","""")&amp;SUBSTITUTE(TEXT(IF(ISTEXT(Overig!J701),Overig!J701,10*Overig!J701),""",""????0;"",""???-0;"",""????0;"", ////"""),"'","""")&amp;SUBSTITUTE(TEXT(Overig!K701,""",""?00;"",""?-00;"",""?00;"", //"""),"'","""")&amp;SUBSTITUTE(TEXT(Overig!L701,""",""???0;"",""??-0;"",""???0;"", ///"""),"'","""")&amp;SUBSTITUTE(TEXT(Overig!M701,""",""?00;"",""?-00;"",""?00;"", //"""),"'","""")&amp;SUBSTITUTE(TEXT(IF(ISTEXT(Overig!N701),Overig!N701,10*Overig!N701),""",""????0;"",""???-0;"",""????0;"", ////"""),"'","""")&amp;SUBSTITUTE(TEXT(Overig!O701,""",""?00;"",""?-00;"",""?00;"", //"""),"'","""")&amp;SUBSTITUTE(TEXT(IF(ISTEXT(Overig!P701),Overig!P701,10*Overig!P701),""",""????0;"",""???-0;"",""????0;"", ////"""),"'","""")&amp;SUBSTITUTE(TEXT(Overig!Q701,""",""?00;"",""?-00;"",""?00;"", //"""),"'","""")&amp;SUBSTITUTE(TEXT(Overig!R701,""",""????0;"",""???-0;"",""????0;"", ////"""),"'","""")&amp;SUBSTITUTE(TEXT(Overig!S701,""",""?00;"",""?-00;"",""?00;"", //"""),"'","""")&amp;SUBSTITUTE(TEXT(IF(ISTEXT(Overig!T701),Overig!T701,10*Overig!T701),""",""????0;"",""???-0;"",""????0;"", ////"""),"'","""")&amp;SUBSTITUTE(TEXT(Overig!U701,""",""?00;"",""?-00;"",""?00;"", //"""),"'","""")&amp;SUBSTITUTE(TEXT(Overig!V701,""",""???0;"",""??-0;"",""???0;"", ///"""),"'","""")&amp;SUBSTITUTE(TEXT(Overig!W701,""",""?00;"",""?-00;"",""?00;"", //"""),"'","""")</f>
        <v>032, 19400623, 24.00, ////, 07, ////, 07,  285, 00,  304, 00, ///, 07, ////, 07, ////, 07, ////, 07, ////, 07, ///, 07</v>
      </c>
    </row>
    <row r="702" spans="1:1" x14ac:dyDescent="0.25">
      <c r="A702" s="12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//"""),"'","""")&amp;SUBSTITUTE(TEXT(IF(ISTEXT(Overig!J702),Overig!J702,10*Overig!J702),""",""????0;"",""???-0;"",""????0;"", ////"""),"'","""")&amp;SUBSTITUTE(TEXT(Overig!K702,""",""?00;"",""?-00;"",""?00;"", //"""),"'","""")&amp;SUBSTITUTE(TEXT(Overig!L702,""",""???0;"",""??-0;"",""???0;"", ///"""),"'","""")&amp;SUBSTITUTE(TEXT(Overig!M702,""",""?00;"",""?-00;"",""?00;"", //"""),"'","""")&amp;SUBSTITUTE(TEXT(IF(ISTEXT(Overig!N702),Overig!N702,10*Overig!N702),""",""????0;"",""???-0;"",""????0;"", ////"""),"'","""")&amp;SUBSTITUTE(TEXT(Overig!O702,""",""?00;"",""?-00;"",""?00;"", //"""),"'","""")&amp;SUBSTITUTE(TEXT(IF(ISTEXT(Overig!P702),Overig!P702,10*Overig!P702),""",""????0;"",""???-0;"",""????0;"", ////"""),"'","""")&amp;SUBSTITUTE(TEXT(Overig!Q702,""",""?00;"",""?-00;"",""?00;"", //"""),"'","""")&amp;SUBSTITUTE(TEXT(Overig!R702,""",""????0;"",""???-0;"",""????0;"", ////"""),"'","""")&amp;SUBSTITUTE(TEXT(Overig!S702,""",""?00;"",""?-00;"",""?00;"", //"""),"'","""")&amp;SUBSTITUTE(TEXT(IF(ISTEXT(Overig!T702),Overig!T702,10*Overig!T702),""",""????0;"",""???-0;"",""????0;"", ////"""),"'","""")&amp;SUBSTITUTE(TEXT(Overig!U702,""",""?00;"",""?-00;"",""?00;"", //"""),"'","""")&amp;SUBSTITUTE(TEXT(Overig!V702,""",""???0;"",""??-0;"",""???0;"", ///"""),"'","""")&amp;SUBSTITUTE(TEXT(Overig!W702,""",""?00;"",""?-00;"",""?00;"", //"""),"'","""")</f>
        <v>032, 19400624, 07.00, 7607, 00,  271, 00, ////, 07, ////, 07,  76, 00,  205, 00,  238, 00,   65, 00,    4, 00,   3, 00</v>
      </c>
    </row>
    <row r="703" spans="1:1" x14ac:dyDescent="0.25">
      <c r="A703" s="12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//"""),"'","""")&amp;SUBSTITUTE(TEXT(IF(ISTEXT(Overig!J703),Overig!J703,10*Overig!J703),""",""????0;"",""???-0;"",""????0;"", ////"""),"'","""")&amp;SUBSTITUTE(TEXT(Overig!K703,""",""?00;"",""?-00;"",""?00;"", //"""),"'","""")&amp;SUBSTITUTE(TEXT(Overig!L703,""",""???0;"",""??-0;"",""???0;"", ///"""),"'","""")&amp;SUBSTITUTE(TEXT(Overig!M703,""",""?00;"",""?-00;"",""?00;"", //"""),"'","""")&amp;SUBSTITUTE(TEXT(IF(ISTEXT(Overig!N703),Overig!N703,10*Overig!N703),""",""????0;"",""???-0;"",""????0;"", ////"""),"'","""")&amp;SUBSTITUTE(TEXT(Overig!O703,""",""?00;"",""?-00;"",""?00;"", //"""),"'","""")&amp;SUBSTITUTE(TEXT(IF(ISTEXT(Overig!P703),Overig!P703,10*Overig!P703),""",""????0;"",""???-0;"",""????0;"", ////"""),"'","""")&amp;SUBSTITUTE(TEXT(Overig!Q703,""",""?00;"",""?-00;"",""?00;"", //"""),"'","""")&amp;SUBSTITUTE(TEXT(Overig!R703,""",""????0;"",""???-0;"",""????0;"", ////"""),"'","""")&amp;SUBSTITUTE(TEXT(Overig!S703,""",""?00;"",""?-00;"",""?00;"", //"""),"'","""")&amp;SUBSTITUTE(TEXT(IF(ISTEXT(Overig!T703),Overig!T703,10*Overig!T703),""",""????0;"",""???-0;"",""????0;"", ////"""),"'","""")&amp;SUBSTITUTE(TEXT(Overig!U703,""",""?00;"",""?-00;"",""?00;"", //"""),"'","""")&amp;SUBSTITUTE(TEXT(Overig!V703,""",""???0;"",""??-0;"",""???0;"", ///"""),"'","""")&amp;SUBSTITUTE(TEXT(Overig!W703,""",""?00;"",""?-00;"",""?00;"", //"""),"'","""")</f>
        <v>032, 19400624, 12.00, 7595, 00,  277, 00, ////, 07, ////, 07,  76, 00,  213, 00,  244, 00,   65, 00,    5, 00,   4, 00</v>
      </c>
    </row>
    <row r="704" spans="1:1" x14ac:dyDescent="0.25">
      <c r="A704" s="12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//"""),"'","""")&amp;SUBSTITUTE(TEXT(IF(ISTEXT(Overig!J704),Overig!J704,10*Overig!J704),""",""????0;"",""???-0;"",""????0;"", ////"""),"'","""")&amp;SUBSTITUTE(TEXT(Overig!K704,""",""?00;"",""?-00;"",""?00;"", //"""),"'","""")&amp;SUBSTITUTE(TEXT(Overig!L704,""",""???0;"",""??-0;"",""???0;"", ///"""),"'","""")&amp;SUBSTITUTE(TEXT(Overig!M704,""",""?00;"",""?-00;"",""?00;"", //"""),"'","""")&amp;SUBSTITUTE(TEXT(IF(ISTEXT(Overig!N704),Overig!N704,10*Overig!N704),""",""????0;"",""???-0;"",""????0;"", ////"""),"'","""")&amp;SUBSTITUTE(TEXT(Overig!O704,""",""?00;"",""?-00;"",""?00;"", //"""),"'","""")&amp;SUBSTITUTE(TEXT(IF(ISTEXT(Overig!P704),Overig!P704,10*Overig!P704),""",""????0;"",""???-0;"",""????0;"", ////"""),"'","""")&amp;SUBSTITUTE(TEXT(Overig!Q704,""",""?00;"",""?-00;"",""?00;"", //"""),"'","""")&amp;SUBSTITUTE(TEXT(Overig!R704,""",""????0;"",""???-0;"",""????0;"", ////"""),"'","""")&amp;SUBSTITUTE(TEXT(Overig!S704,""",""?00;"",""?-00;"",""?00;"", //"""),"'","""")&amp;SUBSTITUTE(TEXT(IF(ISTEXT(Overig!T704),Overig!T704,10*Overig!T704),""",""????0;"",""???-0;"",""????0;"", ////"""),"'","""")&amp;SUBSTITUTE(TEXT(Overig!U704,""",""?00;"",""?-00;"",""?00;"", //"""),"'","""")&amp;SUBSTITUTE(TEXT(Overig!V704,""",""???0;"",""??-0;"",""???0;"", ///"""),"'","""")&amp;SUBSTITUTE(TEXT(Overig!W704,""",""?00;"",""?-00;"",""?00;"", //"""),"'","""")</f>
        <v>032, 19400624, 17.00, 7585, 00,  271, 00, ////, 07, ////, 07,  77, 00,  208, 00,  240, 00,   45, 00,    5, 00,   3, 00</v>
      </c>
    </row>
    <row r="705" spans="1:1" x14ac:dyDescent="0.25">
      <c r="A705" s="12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//"""),"'","""")&amp;SUBSTITUTE(TEXT(IF(ISTEXT(Overig!J705),Overig!J705,10*Overig!J705),""",""????0;"",""???-0;"",""????0;"", ////"""),"'","""")&amp;SUBSTITUTE(TEXT(Overig!K705,""",""?00;"",""?-00;"",""?00;"", //"""),"'","""")&amp;SUBSTITUTE(TEXT(Overig!L705,""",""???0;"",""??-0;"",""???0;"", ///"""),"'","""")&amp;SUBSTITUTE(TEXT(Overig!M705,""",""?00;"",""?-00;"",""?00;"", //"""),"'","""")&amp;SUBSTITUTE(TEXT(IF(ISTEXT(Overig!N705),Overig!N705,10*Overig!N705),""",""????0;"",""???-0;"",""????0;"", ////"""),"'","""")&amp;SUBSTITUTE(TEXT(Overig!O705,""",""?00;"",""?-00;"",""?00;"", //"""),"'","""")&amp;SUBSTITUTE(TEXT(IF(ISTEXT(Overig!P705),Overig!P705,10*Overig!P705),""",""????0;"",""???-0;"",""????0;"", ////"""),"'","""")&amp;SUBSTITUTE(TEXT(Overig!Q705,""",""?00;"",""?-00;"",""?00;"", //"""),"'","""")&amp;SUBSTITUTE(TEXT(Overig!R705,""",""????0;"",""???-0;"",""????0;"", ////"""),"'","""")&amp;SUBSTITUTE(TEXT(Overig!S705,""",""?00;"",""?-00;"",""?00;"", //"""),"'","""")&amp;SUBSTITUTE(TEXT(IF(ISTEXT(Overig!T705),Overig!T705,10*Overig!T705),""",""????0;"",""???-0;"",""????0;"", ////"""),"'","""")&amp;SUBSTITUTE(TEXT(Overig!U705,""",""?00;"",""?-00;"",""?00;"", //"""),"'","""")&amp;SUBSTITUTE(TEXT(Overig!V705,""",""???0;"",""??-0;"",""???0;"", ///"""),"'","""")&amp;SUBSTITUTE(TEXT(Overig!W705,""",""?00;"",""?-00;"",""?00;"", //"""),"'","""")</f>
        <v>032, 19400624, 24.00, ////, 07, ////, 07,  292, 00,  310, 00, ///, 07, ////, 07, ////, 07, ////, 07, ////, 07, ///, 07</v>
      </c>
    </row>
    <row r="706" spans="1:1" x14ac:dyDescent="0.25">
      <c r="A706" s="12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//"""),"'","""")&amp;SUBSTITUTE(TEXT(IF(ISTEXT(Overig!J706),Overig!J706,10*Overig!J706),""",""????0;"",""???-0;"",""????0;"", ////"""),"'","""")&amp;SUBSTITUTE(TEXT(Overig!K706,""",""?00;"",""?-00;"",""?00;"", //"""),"'","""")&amp;SUBSTITUTE(TEXT(Overig!L706,""",""???0;"",""??-0;"",""???0;"", ///"""),"'","""")&amp;SUBSTITUTE(TEXT(Overig!M706,""",""?00;"",""?-00;"",""?00;"", //"""),"'","""")&amp;SUBSTITUTE(TEXT(IF(ISTEXT(Overig!N706),Overig!N706,10*Overig!N706),""",""????0;"",""???-0;"",""????0;"", ////"""),"'","""")&amp;SUBSTITUTE(TEXT(Overig!O706,""",""?00;"",""?-00;"",""?00;"", //"""),"'","""")&amp;SUBSTITUTE(TEXT(IF(ISTEXT(Overig!P706),Overig!P706,10*Overig!P706),""",""????0;"",""???-0;"",""????0;"", ////"""),"'","""")&amp;SUBSTITUTE(TEXT(Overig!Q706,""",""?00;"",""?-00;"",""?00;"", //"""),"'","""")&amp;SUBSTITUTE(TEXT(Overig!R706,""",""????0;"",""???-0;"",""????0;"", ////"""),"'","""")&amp;SUBSTITUTE(TEXT(Overig!S706,""",""?00;"",""?-00;"",""?00;"", //"""),"'","""")&amp;SUBSTITUTE(TEXT(IF(ISTEXT(Overig!T706),Overig!T706,10*Overig!T706),""",""????0;"",""???-0;"",""????0;"", ////"""),"'","""")&amp;SUBSTITUTE(TEXT(Overig!U706,""",""?00;"",""?-00;"",""?00;"", //"""),"'","""")&amp;SUBSTITUTE(TEXT(Overig!V706,""",""???0;"",""??-0;"",""???0;"", ///"""),"'","""")&amp;SUBSTITUTE(TEXT(Overig!W706,""",""?00;"",""?-00;"",""?00;"", //"""),"'","""")</f>
        <v>032, 19400625, 07.00, 7607, 00,  265, 00, ////, 07, ////, 07,  77, 00,  200, 00,  234, 00,   65, 00,    5, 00,   3, 00</v>
      </c>
    </row>
    <row r="707" spans="1:1" x14ac:dyDescent="0.25">
      <c r="A707" s="12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//"""),"'","""")&amp;SUBSTITUTE(TEXT(IF(ISTEXT(Overig!J707),Overig!J707,10*Overig!J707),""",""????0;"",""???-0;"",""????0;"", ////"""),"'","""")&amp;SUBSTITUTE(TEXT(Overig!K707,""",""?00;"",""?-00;"",""?00;"", //"""),"'","""")&amp;SUBSTITUTE(TEXT(Overig!L707,""",""???0;"",""??-0;"",""???0;"", ///"""),"'","""")&amp;SUBSTITUTE(TEXT(Overig!M707,""",""?00;"",""?-00;"",""?00;"", //"""),"'","""")&amp;SUBSTITUTE(TEXT(IF(ISTEXT(Overig!N707),Overig!N707,10*Overig!N707),""",""????0;"",""???-0;"",""????0;"", ////"""),"'","""")&amp;SUBSTITUTE(TEXT(Overig!O707,""",""?00;"",""?-00;"",""?00;"", //"""),"'","""")&amp;SUBSTITUTE(TEXT(IF(ISTEXT(Overig!P707),Overig!P707,10*Overig!P707),""",""????0;"",""???-0;"",""????0;"", ////"""),"'","""")&amp;SUBSTITUTE(TEXT(Overig!Q707,""",""?00;"",""?-00;"",""?00;"", //"""),"'","""")&amp;SUBSTITUTE(TEXT(Overig!R707,""",""????0;"",""???-0;"",""????0;"", ////"""),"'","""")&amp;SUBSTITUTE(TEXT(Overig!S707,""",""?00;"",""?-00;"",""?00;"", //"""),"'","""")&amp;SUBSTITUTE(TEXT(IF(ISTEXT(Overig!T707),Overig!T707,10*Overig!T707),""",""????0;"",""???-0;"",""????0;"", ////"""),"'","""")&amp;SUBSTITUTE(TEXT(Overig!U707,""",""?00;"",""?-00;"",""?00;"", //"""),"'","""")&amp;SUBSTITUTE(TEXT(Overig!V707,""",""???0;"",""??-0;"",""???0;"", ///"""),"'","""")&amp;SUBSTITUTE(TEXT(Overig!W707,""",""?00;"",""?-00;"",""?00;"", //"""),"'","""")</f>
        <v>032, 19400625, 12.00, 7595, 00,  279, 00, ////, 07, ////, 07,  71, 00,  201, 00,  238, 00,   65, 00,    6, 00,   3, 00</v>
      </c>
    </row>
    <row r="708" spans="1:1" x14ac:dyDescent="0.25">
      <c r="A708" s="12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//"""),"'","""")&amp;SUBSTITUTE(TEXT(IF(ISTEXT(Overig!J708),Overig!J708,10*Overig!J708),""",""????0;"",""???-0;"",""????0;"", ////"""),"'","""")&amp;SUBSTITUTE(TEXT(Overig!K708,""",""?00;"",""?-00;"",""?00;"", //"""),"'","""")&amp;SUBSTITUTE(TEXT(Overig!L708,""",""???0;"",""??-0;"",""???0;"", ///"""),"'","""")&amp;SUBSTITUTE(TEXT(Overig!M708,""",""?00;"",""?-00;"",""?00;"", //"""),"'","""")&amp;SUBSTITUTE(TEXT(IF(ISTEXT(Overig!N708),Overig!N708,10*Overig!N708),""",""????0;"",""???-0;"",""????0;"", ////"""),"'","""")&amp;SUBSTITUTE(TEXT(Overig!O708,""",""?00;"",""?-00;"",""?00;"", //"""),"'","""")&amp;SUBSTITUTE(TEXT(IF(ISTEXT(Overig!P708),Overig!P708,10*Overig!P708),""",""????0;"",""???-0;"",""????0;"", ////"""),"'","""")&amp;SUBSTITUTE(TEXT(Overig!Q708,""",""?00;"",""?-00;"",""?00;"", //"""),"'","""")&amp;SUBSTITUTE(TEXT(Overig!R708,""",""????0;"",""???-0;"",""????0;"", ////"""),"'","""")&amp;SUBSTITUTE(TEXT(Overig!S708,""",""?00;"",""?-00;"",""?00;"", //"""),"'","""")&amp;SUBSTITUTE(TEXT(IF(ISTEXT(Overig!T708),Overig!T708,10*Overig!T708),""",""????0;"",""???-0;"",""????0;"", ////"""),"'","""")&amp;SUBSTITUTE(TEXT(Overig!U708,""",""?00;"",""?-00;"",""?00;"", //"""),"'","""")&amp;SUBSTITUTE(TEXT(Overig!V708,""",""???0;"",""??-0;"",""???0;"", ///"""),"'","""")&amp;SUBSTITUTE(TEXT(Overig!W708,""",""?00;"",""?-00;"",""?00;"", //"""),"'","""")</f>
        <v>032, 19400625, 17.00, 7589, 00,  277, 00, ////, 07, ////, 07,  70, 00,  194, 00,  234, 00,   45, 00,    6, 00,   3, 00</v>
      </c>
    </row>
    <row r="709" spans="1:1" x14ac:dyDescent="0.25">
      <c r="A709" s="12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//"""),"'","""")&amp;SUBSTITUTE(TEXT(IF(ISTEXT(Overig!J709),Overig!J709,10*Overig!J709),""",""????0;"",""???-0;"",""????0;"", ////"""),"'","""")&amp;SUBSTITUTE(TEXT(Overig!K709,""",""?00;"",""?-00;"",""?00;"", //"""),"'","""")&amp;SUBSTITUTE(TEXT(Overig!L709,""",""???0;"",""??-0;"",""???0;"", ///"""),"'","""")&amp;SUBSTITUTE(TEXT(Overig!M709,""",""?00;"",""?-00;"",""?00;"", //"""),"'","""")&amp;SUBSTITUTE(TEXT(IF(ISTEXT(Overig!N709),Overig!N709,10*Overig!N709),""",""????0;"",""???-0;"",""????0;"", ////"""),"'","""")&amp;SUBSTITUTE(TEXT(Overig!O709,""",""?00;"",""?-00;"",""?00;"", //"""),"'","""")&amp;SUBSTITUTE(TEXT(IF(ISTEXT(Overig!P709),Overig!P709,10*Overig!P709),""",""????0;"",""???-0;"",""????0;"", ////"""),"'","""")&amp;SUBSTITUTE(TEXT(Overig!Q709,""",""?00;"",""?-00;"",""?00;"", //"""),"'","""")&amp;SUBSTITUTE(TEXT(Overig!R709,""",""????0;"",""???-0;"",""????0;"", ////"""),"'","""")&amp;SUBSTITUTE(TEXT(Overig!S709,""",""?00;"",""?-00;"",""?00;"", //"""),"'","""")&amp;SUBSTITUTE(TEXT(IF(ISTEXT(Overig!T709),Overig!T709,10*Overig!T709),""",""????0;"",""???-0;"",""????0;"", ////"""),"'","""")&amp;SUBSTITUTE(TEXT(Overig!U709,""",""?00;"",""?-00;"",""?00;"", //"""),"'","""")&amp;SUBSTITUTE(TEXT(Overig!V709,""",""???0;"",""??-0;"",""???0;"", ///"""),"'","""")&amp;SUBSTITUTE(TEXT(Overig!W709,""",""?00;"",""?-00;"",""?00;"", //"""),"'","""")</f>
        <v>032, 19400625, 24.00, ////, 07, ////, 07,  284, 00,  305, 00, ///, 07, ////, 07, ////, 07, ////, 07, ////, 07, ///, 07</v>
      </c>
    </row>
    <row r="710" spans="1:1" x14ac:dyDescent="0.25">
      <c r="A710" s="12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//"""),"'","""")&amp;SUBSTITUTE(TEXT(IF(ISTEXT(Overig!J710),Overig!J710,10*Overig!J710),""",""????0;"",""???-0;"",""????0;"", ////"""),"'","""")&amp;SUBSTITUTE(TEXT(Overig!K710,""",""?00;"",""?-00;"",""?00;"", //"""),"'","""")&amp;SUBSTITUTE(TEXT(Overig!L710,""",""???0;"",""??-0;"",""???0;"", ///"""),"'","""")&amp;SUBSTITUTE(TEXT(Overig!M710,""",""?00;"",""?-00;"",""?00;"", //"""),"'","""")&amp;SUBSTITUTE(TEXT(IF(ISTEXT(Overig!N710),Overig!N710,10*Overig!N710),""",""????0;"",""???-0;"",""????0;"", ////"""),"'","""")&amp;SUBSTITUTE(TEXT(Overig!O710,""",""?00;"",""?-00;"",""?00;"", //"""),"'","""")&amp;SUBSTITUTE(TEXT(IF(ISTEXT(Overig!P710),Overig!P710,10*Overig!P710),""",""????0;"",""???-0;"",""????0;"", ////"""),"'","""")&amp;SUBSTITUTE(TEXT(Overig!Q710,""",""?00;"",""?-00;"",""?00;"", //"""),"'","""")&amp;SUBSTITUTE(TEXT(Overig!R710,""",""????0;"",""???-0;"",""????0;"", ////"""),"'","""")&amp;SUBSTITUTE(TEXT(Overig!S710,""",""?00;"",""?-00;"",""?00;"", //"""),"'","""")&amp;SUBSTITUTE(TEXT(IF(ISTEXT(Overig!T710),Overig!T710,10*Overig!T710),""",""????0;"",""???-0;"",""????0;"", ////"""),"'","""")&amp;SUBSTITUTE(TEXT(Overig!U710,""",""?00;"",""?-00;"",""?00;"", //"""),"'","""")&amp;SUBSTITUTE(TEXT(Overig!V710,""",""???0;"",""??-0;"",""???0;"", ///"""),"'","""")&amp;SUBSTITUTE(TEXT(Overig!W710,""",""?00;"",""?-00;"",""?00;"", //"""),"'","""")</f>
        <v>032, 19400626, 07.00, 7595, 00,  261, 00, ////, 07, ////, 07,  81, 00,  206, 00,  236, 00,   90, 00,    5, 00,   2, 00</v>
      </c>
    </row>
    <row r="711" spans="1:1" x14ac:dyDescent="0.25">
      <c r="A711" s="12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//"""),"'","""")&amp;SUBSTITUTE(TEXT(IF(ISTEXT(Overig!J711),Overig!J711,10*Overig!J711),""",""????0;"",""???-0;"",""????0;"", ////"""),"'","""")&amp;SUBSTITUTE(TEXT(Overig!K711,""",""?00;"",""?-00;"",""?00;"", //"""),"'","""")&amp;SUBSTITUTE(TEXT(Overig!L711,""",""???0;"",""??-0;"",""???0;"", ///"""),"'","""")&amp;SUBSTITUTE(TEXT(Overig!M711,""",""?00;"",""?-00;"",""?00;"", //"""),"'","""")&amp;SUBSTITUTE(TEXT(IF(ISTEXT(Overig!N711),Overig!N711,10*Overig!N711),""",""????0;"",""???-0;"",""????0;"", ////"""),"'","""")&amp;SUBSTITUTE(TEXT(Overig!O711,""",""?00;"",""?-00;"",""?00;"", //"""),"'","""")&amp;SUBSTITUTE(TEXT(IF(ISTEXT(Overig!P711),Overig!P711,10*Overig!P711),""",""????0;"",""???-0;"",""????0;"", ////"""),"'","""")&amp;SUBSTITUTE(TEXT(Overig!Q711,""",""?00;"",""?-00;"",""?00;"", //"""),"'","""")&amp;SUBSTITUTE(TEXT(Overig!R711,""",""????0;"",""???-0;"",""????0;"", ////"""),"'","""")&amp;SUBSTITUTE(TEXT(Overig!S711,""",""?00;"",""?-00;"",""?00;"", //"""),"'","""")&amp;SUBSTITUTE(TEXT(IF(ISTEXT(Overig!T711),Overig!T711,10*Overig!T711),""",""????0;"",""???-0;"",""????0;"", ////"""),"'","""")&amp;SUBSTITUTE(TEXT(Overig!U711,""",""?00;"",""?-00;"",""?00;"", //"""),"'","""")&amp;SUBSTITUTE(TEXT(Overig!V711,""",""???0;"",""??-0;"",""???0;"", ///"""),"'","""")&amp;SUBSTITUTE(TEXT(Overig!W711,""",""?00;"",""?-00;"",""?00;"", //"""),"'","""")</f>
        <v>032, 19400626, 12.00, 7597, 00,  273, 00, ////, 07, ////, 07,  76, 00,  207, 00,  240, 00,   90, 00,    6, 00,   3, 00</v>
      </c>
    </row>
    <row r="712" spans="1:1" x14ac:dyDescent="0.25">
      <c r="A712" s="12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//"""),"'","""")&amp;SUBSTITUTE(TEXT(IF(ISTEXT(Overig!J712),Overig!J712,10*Overig!J712),""",""????0;"",""???-0;"",""????0;"", ////"""),"'","""")&amp;SUBSTITUTE(TEXT(Overig!K712,""",""?00;"",""?-00;"",""?00;"", //"""),"'","""")&amp;SUBSTITUTE(TEXT(Overig!L712,""",""???0;"",""??-0;"",""???0;"", ///"""),"'","""")&amp;SUBSTITUTE(TEXT(Overig!M712,""",""?00;"",""?-00;"",""?00;"", //"""),"'","""")&amp;SUBSTITUTE(TEXT(IF(ISTEXT(Overig!N712),Overig!N712,10*Overig!N712),""",""????0;"",""???-0;"",""????0;"", ////"""),"'","""")&amp;SUBSTITUTE(TEXT(Overig!O712,""",""?00;"",""?-00;"",""?00;"", //"""),"'","""")&amp;SUBSTITUTE(TEXT(IF(ISTEXT(Overig!P712),Overig!P712,10*Overig!P712),""",""????0;"",""???-0;"",""????0;"", ////"""),"'","""")&amp;SUBSTITUTE(TEXT(Overig!Q712,""",""?00;"",""?-00;"",""?00;"", //"""),"'","""")&amp;SUBSTITUTE(TEXT(Overig!R712,""",""????0;"",""???-0;"",""????0;"", ////"""),"'","""")&amp;SUBSTITUTE(TEXT(Overig!S712,""",""?00;"",""?-00;"",""?00;"", //"""),"'","""")&amp;SUBSTITUTE(TEXT(IF(ISTEXT(Overig!T712),Overig!T712,10*Overig!T712),""",""????0;"",""???-0;"",""????0;"", ////"""),"'","""")&amp;SUBSTITUTE(TEXT(Overig!U712,""",""?00;"",""?-00;"",""?00;"", //"""),"'","""")&amp;SUBSTITUTE(TEXT(Overig!V712,""",""???0;"",""??-0;"",""???0;"", ///"""),"'","""")&amp;SUBSTITUTE(TEXT(Overig!W712,""",""?00;"",""?-00;"",""?00;"", //"""),"'","""")</f>
        <v>032, 19400626, 17.00, 7590, 00,  263, 00, ////, 07, ////, 07,  80, 00,  205, 00,  236, 00,   65, 00,    6, 00,   4, 00</v>
      </c>
    </row>
    <row r="713" spans="1:1" x14ac:dyDescent="0.25">
      <c r="A713" s="12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//"""),"'","""")&amp;SUBSTITUTE(TEXT(IF(ISTEXT(Overig!J713),Overig!J713,10*Overig!J713),""",""????0;"",""???-0;"",""????0;"", ////"""),"'","""")&amp;SUBSTITUTE(TEXT(Overig!K713,""",""?00;"",""?-00;"",""?00;"", //"""),"'","""")&amp;SUBSTITUTE(TEXT(Overig!L713,""",""???0;"",""??-0;"",""???0;"", ///"""),"'","""")&amp;SUBSTITUTE(TEXT(Overig!M713,""",""?00;"",""?-00;"",""?00;"", //"""),"'","""")&amp;SUBSTITUTE(TEXT(IF(ISTEXT(Overig!N713),Overig!N713,10*Overig!N713),""",""????0;"",""???-0;"",""????0;"", ////"""),"'","""")&amp;SUBSTITUTE(TEXT(Overig!O713,""",""?00;"",""?-00;"",""?00;"", //"""),"'","""")&amp;SUBSTITUTE(TEXT(IF(ISTEXT(Overig!P713),Overig!P713,10*Overig!P713),""",""????0;"",""???-0;"",""????0;"", ////"""),"'","""")&amp;SUBSTITUTE(TEXT(Overig!Q713,""",""?00;"",""?-00;"",""?00;"", //"""),"'","""")&amp;SUBSTITUTE(TEXT(Overig!R713,""",""????0;"",""???-0;"",""????0;"", ////"""),"'","""")&amp;SUBSTITUTE(TEXT(Overig!S713,""",""?00;"",""?-00;"",""?00;"", //"""),"'","""")&amp;SUBSTITUTE(TEXT(IF(ISTEXT(Overig!T713),Overig!T713,10*Overig!T713),""",""????0;"",""???-0;"",""????0;"", ////"""),"'","""")&amp;SUBSTITUTE(TEXT(Overig!U713,""",""?00;"",""?-00;"",""?00;"", //"""),"'","""")&amp;SUBSTITUTE(TEXT(Overig!V713,""",""???0;"",""??-0;"",""???0;"", ///"""),"'","""")&amp;SUBSTITUTE(TEXT(Overig!W713,""",""?00;"",""?-00;"",""?00;"", //"""),"'","""")</f>
        <v>032, 19400626, 24.00, ////, 07, ////, 07,  290, 00,  305, 00, ///, 07, ////, 07, ////, 07, ////, 07, ////, 07, ///, 07</v>
      </c>
    </row>
    <row r="714" spans="1:1" x14ac:dyDescent="0.25">
      <c r="A714" s="12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//"""),"'","""")&amp;SUBSTITUTE(TEXT(IF(ISTEXT(Overig!J714),Overig!J714,10*Overig!J714),""",""????0;"",""???-0;"",""????0;"", ////"""),"'","""")&amp;SUBSTITUTE(TEXT(Overig!K714,""",""?00;"",""?-00;"",""?00;"", //"""),"'","""")&amp;SUBSTITUTE(TEXT(Overig!L714,""",""???0;"",""??-0;"",""???0;"", ///"""),"'","""")&amp;SUBSTITUTE(TEXT(Overig!M714,""",""?00;"",""?-00;"",""?00;"", //"""),"'","""")&amp;SUBSTITUTE(TEXT(IF(ISTEXT(Overig!N714),Overig!N714,10*Overig!N714),""",""????0;"",""???-0;"",""????0;"", ////"""),"'","""")&amp;SUBSTITUTE(TEXT(Overig!O714,""",""?00;"",""?-00;"",""?00;"", //"""),"'","""")&amp;SUBSTITUTE(TEXT(IF(ISTEXT(Overig!P714),Overig!P714,10*Overig!P714),""",""????0;"",""???-0;"",""????0;"", ////"""),"'","""")&amp;SUBSTITUTE(TEXT(Overig!Q714,""",""?00;"",""?-00;"",""?00;"", //"""),"'","""")&amp;SUBSTITUTE(TEXT(Overig!R714,""",""????0;"",""???-0;"",""????0;"", ////"""),"'","""")&amp;SUBSTITUTE(TEXT(Overig!S714,""",""?00;"",""?-00;"",""?00;"", //"""),"'","""")&amp;SUBSTITUTE(TEXT(IF(ISTEXT(Overig!T714),Overig!T714,10*Overig!T714),""",""????0;"",""???-0;"",""????0;"", ////"""),"'","""")&amp;SUBSTITUTE(TEXT(Overig!U714,""",""?00;"",""?-00;"",""?00;"", //"""),"'","""")&amp;SUBSTITUTE(TEXT(Overig!V714,""",""???0;"",""??-0;"",""???0;"", ///"""),"'","""")&amp;SUBSTITUTE(TEXT(Overig!W714,""",""?00;"",""?-00;"",""?00;"", //"""),"'","""")</f>
        <v>032, 19400627, 07.00, 7607, 00,  271, 00, ////, 07, ////, 07,  76, 00,  205, 00,  238, 00,   45, 00,    5, 00,   3, 00</v>
      </c>
    </row>
    <row r="715" spans="1:1" x14ac:dyDescent="0.25">
      <c r="A715" s="12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//"""),"'","""")&amp;SUBSTITUTE(TEXT(IF(ISTEXT(Overig!J715),Overig!J715,10*Overig!J715),""",""????0;"",""???-0;"",""????0;"", ////"""),"'","""")&amp;SUBSTITUTE(TEXT(Overig!K715,""",""?00;"",""?-00;"",""?00;"", //"""),"'","""")&amp;SUBSTITUTE(TEXT(Overig!L715,""",""???0;"",""??-0;"",""???0;"", ///"""),"'","""")&amp;SUBSTITUTE(TEXT(Overig!M715,""",""?00;"",""?-00;"",""?00;"", //"""),"'","""")&amp;SUBSTITUTE(TEXT(IF(ISTEXT(Overig!N715),Overig!N715,10*Overig!N715),""",""????0;"",""???-0;"",""????0;"", ////"""),"'","""")&amp;SUBSTITUTE(TEXT(Overig!O715,""",""?00;"",""?-00;"",""?00;"", //"""),"'","""")&amp;SUBSTITUTE(TEXT(IF(ISTEXT(Overig!P715),Overig!P715,10*Overig!P715),""",""????0;"",""???-0;"",""????0;"", ////"""),"'","""")&amp;SUBSTITUTE(TEXT(Overig!Q715,""",""?00;"",""?-00;"",""?00;"", //"""),"'","""")&amp;SUBSTITUTE(TEXT(Overig!R715,""",""????0;"",""???-0;"",""????0;"", ////"""),"'","""")&amp;SUBSTITUTE(TEXT(Overig!S715,""",""?00;"",""?-00;"",""?00;"", //"""),"'","""")&amp;SUBSTITUTE(TEXT(IF(ISTEXT(Overig!T715),Overig!T715,10*Overig!T715),""",""????0;"",""???-0;"",""????0;"", ////"""),"'","""")&amp;SUBSTITUTE(TEXT(Overig!U715,""",""?00;"",""?-00;"",""?00;"", //"""),"'","""")&amp;SUBSTITUTE(TEXT(Overig!V715,""",""???0;"",""??-0;"",""???0;"", ///"""),"'","""")&amp;SUBSTITUTE(TEXT(Overig!W715,""",""?00;"",""?-00;"",""?00;"", //"""),"'","""")</f>
        <v>032, 19400627, 12.00, 7602, 00,  277, 00, ////, 07, ////, 07,  79, 00,  220, 00,  248, 00,   45, 00,    6, 00,   2, 00</v>
      </c>
    </row>
    <row r="716" spans="1:1" x14ac:dyDescent="0.25">
      <c r="A716" s="12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//"""),"'","""")&amp;SUBSTITUTE(TEXT(IF(ISTEXT(Overig!J716),Overig!J716,10*Overig!J716),""",""????0;"",""???-0;"",""????0;"", ////"""),"'","""")&amp;SUBSTITUTE(TEXT(Overig!K716,""",""?00;"",""?-00;"",""?00;"", //"""),"'","""")&amp;SUBSTITUTE(TEXT(Overig!L716,""",""???0;"",""??-0;"",""???0;"", ///"""),"'","""")&amp;SUBSTITUTE(TEXT(Overig!M716,""",""?00;"",""?-00;"",""?00;"", //"""),"'","""")&amp;SUBSTITUTE(TEXT(IF(ISTEXT(Overig!N716),Overig!N716,10*Overig!N716),""",""????0;"",""???-0;"",""????0;"", ////"""),"'","""")&amp;SUBSTITUTE(TEXT(Overig!O716,""",""?00;"",""?-00;"",""?00;"", //"""),"'","""")&amp;SUBSTITUTE(TEXT(IF(ISTEXT(Overig!P716),Overig!P716,10*Overig!P716),""",""????0;"",""???-0;"",""????0;"", ////"""),"'","""")&amp;SUBSTITUTE(TEXT(Overig!Q716,""",""?00;"",""?-00;"",""?00;"", //"""),"'","""")&amp;SUBSTITUTE(TEXT(Overig!R716,""",""????0;"",""???-0;"",""????0;"", ////"""),"'","""")&amp;SUBSTITUTE(TEXT(Overig!S716,""",""?00;"",""?-00;"",""?00;"", //"""),"'","""")&amp;SUBSTITUTE(TEXT(IF(ISTEXT(Overig!T716),Overig!T716,10*Overig!T716),""",""????0;"",""???-0;"",""????0;"", ////"""),"'","""")&amp;SUBSTITUTE(TEXT(Overig!U716,""",""?00;"",""?-00;"",""?00;"", //"""),"'","""")&amp;SUBSTITUTE(TEXT(Overig!V716,""",""???0;"",""??-0;"",""???0;"", ///"""),"'","""")&amp;SUBSTITUTE(TEXT(Overig!W716,""",""?00;"",""?-00;"",""?00;"", //"""),"'","""")</f>
        <v>032, 19400627, 17.00, 7579, 00,  285, 00, ////, 07, ////, 07,  70, 00,  205, 00,  242, 00,   65, 00,    6, 00,   2, 00</v>
      </c>
    </row>
    <row r="717" spans="1:1" x14ac:dyDescent="0.25">
      <c r="A717" s="12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//"""),"'","""")&amp;SUBSTITUTE(TEXT(IF(ISTEXT(Overig!J717),Overig!J717,10*Overig!J717),""",""????0;"",""???-0;"",""????0;"", ////"""),"'","""")&amp;SUBSTITUTE(TEXT(Overig!K717,""",""?00;"",""?-00;"",""?00;"", //"""),"'","""")&amp;SUBSTITUTE(TEXT(Overig!L717,""",""???0;"",""??-0;"",""???0;"", ///"""),"'","""")&amp;SUBSTITUTE(TEXT(Overig!M717,""",""?00;"",""?-00;"",""?00;"", //"""),"'","""")&amp;SUBSTITUTE(TEXT(IF(ISTEXT(Overig!N717),Overig!N717,10*Overig!N717),""",""????0;"",""???-0;"",""????0;"", ////"""),"'","""")&amp;SUBSTITUTE(TEXT(Overig!O717,""",""?00;"",""?-00;"",""?00;"", //"""),"'","""")&amp;SUBSTITUTE(TEXT(IF(ISTEXT(Overig!P717),Overig!P717,10*Overig!P717),""",""????0;"",""???-0;"",""????0;"", ////"""),"'","""")&amp;SUBSTITUTE(TEXT(Overig!Q717,""",""?00;"",""?-00;"",""?00;"", //"""),"'","""")&amp;SUBSTITUTE(TEXT(Overig!R717,""",""????0;"",""???-0;"",""????0;"", ////"""),"'","""")&amp;SUBSTITUTE(TEXT(Overig!S717,""",""?00;"",""?-00;"",""?00;"", //"""),"'","""")&amp;SUBSTITUTE(TEXT(IF(ISTEXT(Overig!T717),Overig!T717,10*Overig!T717),""",""????0;"",""???-0;"",""????0;"", ////"""),"'","""")&amp;SUBSTITUTE(TEXT(Overig!U717,""",""?00;"",""?-00;"",""?00;"", //"""),"'","""")&amp;SUBSTITUTE(TEXT(Overig!V717,""",""???0;"",""??-0;"",""???0;"", ///"""),"'","""")&amp;SUBSTITUTE(TEXT(Overig!W717,""",""?00;"",""?-00;"",""?00;"", //"""),"'","""")</f>
        <v>032, 19400627, 24.00, ////, 07, ////, 07,  290, 00,  295, 00, ///, 07, ////, 07, ////, 07, ////, 07, ////, 07, ///, 07</v>
      </c>
    </row>
    <row r="718" spans="1:1" x14ac:dyDescent="0.25">
      <c r="A718" s="12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//"""),"'","""")&amp;SUBSTITUTE(TEXT(IF(ISTEXT(Overig!J718),Overig!J718,10*Overig!J718),""",""????0;"",""???-0;"",""????0;"", ////"""),"'","""")&amp;SUBSTITUTE(TEXT(Overig!K718,""",""?00;"",""?-00;"",""?00;"", //"""),"'","""")&amp;SUBSTITUTE(TEXT(Overig!L718,""",""???0;"",""??-0;"",""???0;"", ///"""),"'","""")&amp;SUBSTITUTE(TEXT(Overig!M718,""",""?00;"",""?-00;"",""?00;"", //"""),"'","""")&amp;SUBSTITUTE(TEXT(IF(ISTEXT(Overig!N718),Overig!N718,10*Overig!N718),""",""????0;"",""???-0;"",""????0;"", ////"""),"'","""")&amp;SUBSTITUTE(TEXT(Overig!O718,""",""?00;"",""?-00;"",""?00;"", //"""),"'","""")&amp;SUBSTITUTE(TEXT(IF(ISTEXT(Overig!P718),Overig!P718,10*Overig!P718),""",""????0;"",""???-0;"",""????0;"", ////"""),"'","""")&amp;SUBSTITUTE(TEXT(Overig!Q718,""",""?00;"",""?-00;"",""?00;"", //"""),"'","""")&amp;SUBSTITUTE(TEXT(Overig!R718,""",""????0;"",""???-0;"",""????0;"", ////"""),"'","""")&amp;SUBSTITUTE(TEXT(Overig!S718,""",""?00;"",""?-00;"",""?00;"", //"""),"'","""")&amp;SUBSTITUTE(TEXT(IF(ISTEXT(Overig!T718),Overig!T718,10*Overig!T718),""",""????0;"",""???-0;"",""????0;"", ////"""),"'","""")&amp;SUBSTITUTE(TEXT(Overig!U718,""",""?00;"",""?-00;"",""?00;"", //"""),"'","""")&amp;SUBSTITUTE(TEXT(Overig!V718,""",""???0;"",""??-0;"",""???0;"", ///"""),"'","""")&amp;SUBSTITUTE(TEXT(Overig!W718,""",""?00;"",""?-00;"",""?00;"", //"""),"'","""")</f>
        <v>032, 19400628, 07.00, 7607, 00,  261, 00, ////, 07, ////, 07,  80, 00,  202, 00,  234, 00,   90, 00,    5, 00,   3, 00</v>
      </c>
    </row>
    <row r="719" spans="1:1" x14ac:dyDescent="0.25">
      <c r="A719" s="12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//"""),"'","""")&amp;SUBSTITUTE(TEXT(IF(ISTEXT(Overig!J719),Overig!J719,10*Overig!J719),""",""????0;"",""???-0;"",""????0;"", ////"""),"'","""")&amp;SUBSTITUTE(TEXT(Overig!K719,""",""?00;"",""?-00;"",""?00;"", //"""),"'","""")&amp;SUBSTITUTE(TEXT(Overig!L719,""",""???0;"",""??-0;"",""???0;"", ///"""),"'","""")&amp;SUBSTITUTE(TEXT(Overig!M719,""",""?00;"",""?-00;"",""?00;"", //"""),"'","""")&amp;SUBSTITUTE(TEXT(IF(ISTEXT(Overig!N719),Overig!N719,10*Overig!N719),""",""????0;"",""???-0;"",""????0;"", ////"""),"'","""")&amp;SUBSTITUTE(TEXT(Overig!O719,""",""?00;"",""?-00;"",""?00;"", //"""),"'","""")&amp;SUBSTITUTE(TEXT(IF(ISTEXT(Overig!P719),Overig!P719,10*Overig!P719),""",""????0;"",""???-0;"",""????0;"", ////"""),"'","""")&amp;SUBSTITUTE(TEXT(Overig!Q719,""",""?00;"",""?-00;"",""?00;"", //"""),"'","""")&amp;SUBSTITUTE(TEXT(Overig!R719,""",""????0;"",""???-0;"",""????0;"", ////"""),"'","""")&amp;SUBSTITUTE(TEXT(Overig!S719,""",""?00;"",""?-00;"",""?00;"", //"""),"'","""")&amp;SUBSTITUTE(TEXT(IF(ISTEXT(Overig!T719),Overig!T719,10*Overig!T719),""",""????0;"",""???-0;"",""????0;"", ////"""),"'","""")&amp;SUBSTITUTE(TEXT(Overig!U719,""",""?00;"",""?-00;"",""?00;"", //"""),"'","""")&amp;SUBSTITUTE(TEXT(Overig!V719,""",""???0;"",""??-0;"",""???0;"", ///"""),"'","""")&amp;SUBSTITUTE(TEXT(Overig!W719,""",""?00;"",""?-00;"",""?00;"", //"""),"'","""")</f>
        <v>032, 19400628, 12.00, 7600, 00,  273, 00, ////, 07, ////, 07,  75, 00,  204, 00,  238, 00,   90, 00,    6, 00,   2, 00</v>
      </c>
    </row>
    <row r="720" spans="1:1" x14ac:dyDescent="0.25">
      <c r="A720" s="12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//"""),"'","""")&amp;SUBSTITUTE(TEXT(IF(ISTEXT(Overig!J720),Overig!J720,10*Overig!J720),""",""????0;"",""???-0;"",""????0;"", ////"""),"'","""")&amp;SUBSTITUTE(TEXT(Overig!K720,""",""?00;"",""?-00;"",""?00;"", //"""),"'","""")&amp;SUBSTITUTE(TEXT(Overig!L720,""",""???0;"",""??-0;"",""???0;"", ///"""),"'","""")&amp;SUBSTITUTE(TEXT(Overig!M720,""",""?00;"",""?-00;"",""?00;"", //"""),"'","""")&amp;SUBSTITUTE(TEXT(IF(ISTEXT(Overig!N720),Overig!N720,10*Overig!N720),""",""????0;"",""???-0;"",""????0;"", ////"""),"'","""")&amp;SUBSTITUTE(TEXT(Overig!O720,""",""?00;"",""?-00;"",""?00;"", //"""),"'","""")&amp;SUBSTITUTE(TEXT(IF(ISTEXT(Overig!P720),Overig!P720,10*Overig!P720),""",""????0;"",""???-0;"",""????0;"", ////"""),"'","""")&amp;SUBSTITUTE(TEXT(Overig!Q720,""",""?00;"",""?-00;"",""?00;"", //"""),"'","""")&amp;SUBSTITUTE(TEXT(Overig!R720,""",""????0;"",""???-0;"",""????0;"", ////"""),"'","""")&amp;SUBSTITUTE(TEXT(Overig!S720,""",""?00;"",""?-00;"",""?00;"", //"""),"'","""")&amp;SUBSTITUTE(TEXT(IF(ISTEXT(Overig!T720),Overig!T720,10*Overig!T720),""",""????0;"",""???-0;"",""????0;"", ////"""),"'","""")&amp;SUBSTITUTE(TEXT(Overig!U720,""",""?00;"",""?-00;"",""?00;"", //"""),"'","""")&amp;SUBSTITUTE(TEXT(Overig!V720,""",""???0;"",""??-0;"",""???0;"", ///"""),"'","""")&amp;SUBSTITUTE(TEXT(Overig!W720,""",""?00;"",""?-00;"",""?00;"", //"""),"'","""")</f>
        <v>032, 19400628, 17.00, 7590, 00,  263, 00, ////, 07, ////, 07,  78, 00,  201, 00,  234, 00,   65, 00,    6, 00,   2, 00</v>
      </c>
    </row>
    <row r="721" spans="1:1" x14ac:dyDescent="0.25">
      <c r="A721" s="12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//"""),"'","""")&amp;SUBSTITUTE(TEXT(IF(ISTEXT(Overig!J721),Overig!J721,10*Overig!J721),""",""????0;"",""???-0;"",""????0;"", ////"""),"'","""")&amp;SUBSTITUTE(TEXT(Overig!K721,""",""?00;"",""?-00;"",""?00;"", //"""),"'","""")&amp;SUBSTITUTE(TEXT(Overig!L721,""",""???0;"",""??-0;"",""???0;"", ///"""),"'","""")&amp;SUBSTITUTE(TEXT(Overig!M721,""",""?00;"",""?-00;"",""?00;"", //"""),"'","""")&amp;SUBSTITUTE(TEXT(IF(ISTEXT(Overig!N721),Overig!N721,10*Overig!N721),""",""????0;"",""???-0;"",""????0;"", ////"""),"'","""")&amp;SUBSTITUTE(TEXT(Overig!O721,""",""?00;"",""?-00;"",""?00;"", //"""),"'","""")&amp;SUBSTITUTE(TEXT(IF(ISTEXT(Overig!P721),Overig!P721,10*Overig!P721),""",""????0;"",""???-0;"",""????0;"", ////"""),"'","""")&amp;SUBSTITUTE(TEXT(Overig!Q721,""",""?00;"",""?-00;"",""?00;"", //"""),"'","""")&amp;SUBSTITUTE(TEXT(Overig!R721,""",""????0;"",""???-0;"",""????0;"", ////"""),"'","""")&amp;SUBSTITUTE(TEXT(Overig!S721,""",""?00;"",""?-00;"",""?00;"", //"""),"'","""")&amp;SUBSTITUTE(TEXT(IF(ISTEXT(Overig!T721),Overig!T721,10*Overig!T721),""",""????0;"",""???-0;"",""????0;"", ////"""),"'","""")&amp;SUBSTITUTE(TEXT(Overig!U721,""",""?00;"",""?-00;"",""?00;"", //"""),"'","""")&amp;SUBSTITUTE(TEXT(Overig!V721,""",""???0;"",""??-0;"",""???0;"", ///"""),"'","""")&amp;SUBSTITUTE(TEXT(Overig!W721,""",""?00;"",""?-00;"",""?00;"", //"""),"'","""")</f>
        <v>032, 19400628, 24.00, ////, 07, ////, 07,  288, 00,  305, 00, ///, 07, ////, 07, ////, 07, ////, 07, ////, 07, ///, 07</v>
      </c>
    </row>
    <row r="722" spans="1:1" x14ac:dyDescent="0.25">
      <c r="A722" s="12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//"""),"'","""")&amp;SUBSTITUTE(TEXT(IF(ISTEXT(Overig!J722),Overig!J722,10*Overig!J722),""",""????0;"",""???-0;"",""????0;"", ////"""),"'","""")&amp;SUBSTITUTE(TEXT(Overig!K722,""",""?00;"",""?-00;"",""?00;"", //"""),"'","""")&amp;SUBSTITUTE(TEXT(Overig!L722,""",""???0;"",""??-0;"",""???0;"", ///"""),"'","""")&amp;SUBSTITUTE(TEXT(Overig!M722,""",""?00;"",""?-00;"",""?00;"", //"""),"'","""")&amp;SUBSTITUTE(TEXT(IF(ISTEXT(Overig!N722),Overig!N722,10*Overig!N722),""",""????0;"",""???-0;"",""????0;"", ////"""),"'","""")&amp;SUBSTITUTE(TEXT(Overig!O722,""",""?00;"",""?-00;"",""?00;"", //"""),"'","""")&amp;SUBSTITUTE(TEXT(IF(ISTEXT(Overig!P722),Overig!P722,10*Overig!P722),""",""????0;"",""???-0;"",""????0;"", ////"""),"'","""")&amp;SUBSTITUTE(TEXT(Overig!Q722,""",""?00;"",""?-00;"",""?00;"", //"""),"'","""")&amp;SUBSTITUTE(TEXT(Overig!R722,""",""????0;"",""???-0;"",""????0;"", ////"""),"'","""")&amp;SUBSTITUTE(TEXT(Overig!S722,""",""?00;"",""?-00;"",""?00;"", //"""),"'","""")&amp;SUBSTITUTE(TEXT(IF(ISTEXT(Overig!T722),Overig!T722,10*Overig!T722),""",""????0;"",""???-0;"",""????0;"", ////"""),"'","""")&amp;SUBSTITUTE(TEXT(Overig!U722,""",""?00;"",""?-00;"",""?00;"", //"""),"'","""")&amp;SUBSTITUTE(TEXT(Overig!V722,""",""???0;"",""??-0;"",""???0;"", ///"""),"'","""")&amp;SUBSTITUTE(TEXT(Overig!W722,""",""?00;"",""?-00;"",""?00;"", //"""),"'","""")</f>
        <v>032, 19400629, 07.00, 7610, 00,  279, 00, ////, 07, ////, 07,  72, 00,  204, 00,  240, 00,   65, 00,    5, 00,   3, 00</v>
      </c>
    </row>
    <row r="723" spans="1:1" x14ac:dyDescent="0.25">
      <c r="A723" s="12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//"""),"'","""")&amp;SUBSTITUTE(TEXT(IF(ISTEXT(Overig!J723),Overig!J723,10*Overig!J723),""",""????0;"",""???-0;"",""????0;"", ////"""),"'","""")&amp;SUBSTITUTE(TEXT(Overig!K723,""",""?00;"",""?-00;"",""?00;"", //"""),"'","""")&amp;SUBSTITUTE(TEXT(Overig!L723,""",""???0;"",""??-0;"",""???0;"", ///"""),"'","""")&amp;SUBSTITUTE(TEXT(Overig!M723,""",""?00;"",""?-00;"",""?00;"", //"""),"'","""")&amp;SUBSTITUTE(TEXT(IF(ISTEXT(Overig!N723),Overig!N723,10*Overig!N723),""",""????0;"",""???-0;"",""????0;"", ////"""),"'","""")&amp;SUBSTITUTE(TEXT(Overig!O723,""",""?00;"",""?-00;"",""?00;"", //"""),"'","""")&amp;SUBSTITUTE(TEXT(IF(ISTEXT(Overig!P723),Overig!P723,10*Overig!P723),""",""????0;"",""???-0;"",""????0;"", ////"""),"'","""")&amp;SUBSTITUTE(TEXT(Overig!Q723,""",""?00;"",""?-00;"",""?00;"", //"""),"'","""")&amp;SUBSTITUTE(TEXT(Overig!R723,""",""????0;"",""???-0;"",""????0;"", ////"""),"'","""")&amp;SUBSTITUTE(TEXT(Overig!S723,""",""?00;"",""?-00;"",""?00;"", //"""),"'","""")&amp;SUBSTITUTE(TEXT(IF(ISTEXT(Overig!T723),Overig!T723,10*Overig!T723),""",""????0;"",""???-0;"",""????0;"", ////"""),"'","""")&amp;SUBSTITUTE(TEXT(Overig!U723,""",""?00;"",""?-00;"",""?00;"", //"""),"'","""")&amp;SUBSTITUTE(TEXT(Overig!V723,""",""???0;"",""??-0;"",""???0;"", ///"""),"'","""")&amp;SUBSTITUTE(TEXT(Overig!W723,""",""?00;"",""?-00;"",""?00;"", //"""),"'","""")</f>
        <v>032, 19400629, 12.00, 7612, 00,  285, 00, ////, 07, ////, 07,  71, 00,  209, 00,  244, 00,   65, 00,    6, 00,   3, 00</v>
      </c>
    </row>
    <row r="724" spans="1:1" x14ac:dyDescent="0.25">
      <c r="A724" s="12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//"""),"'","""")&amp;SUBSTITUTE(TEXT(IF(ISTEXT(Overig!J724),Overig!J724,10*Overig!J724),""",""????0;"",""???-0;"",""????0;"", ////"""),"'","""")&amp;SUBSTITUTE(TEXT(Overig!K724,""",""?00;"",""?-00;"",""?00;"", //"""),"'","""")&amp;SUBSTITUTE(TEXT(Overig!L724,""",""???0;"",""??-0;"",""???0;"", ///"""),"'","""")&amp;SUBSTITUTE(TEXT(Overig!M724,""",""?00;"",""?-00;"",""?00;"", //"""),"'","""")&amp;SUBSTITUTE(TEXT(IF(ISTEXT(Overig!N724),Overig!N724,10*Overig!N724),""",""????0;"",""???-0;"",""????0;"", ////"""),"'","""")&amp;SUBSTITUTE(TEXT(Overig!O724,""",""?00;"",""?-00;"",""?00;"", //"""),"'","""")&amp;SUBSTITUTE(TEXT(IF(ISTEXT(Overig!P724),Overig!P724,10*Overig!P724),""",""????0;"",""???-0;"",""????0;"", ////"""),"'","""")&amp;SUBSTITUTE(TEXT(Overig!Q724,""",""?00;"",""?-00;"",""?00;"", //"""),"'","""")&amp;SUBSTITUTE(TEXT(Overig!R724,""",""????0;"",""???-0;"",""????0;"", ////"""),"'","""")&amp;SUBSTITUTE(TEXT(Overig!S724,""",""?00;"",""?-00;"",""?00;"", //"""),"'","""")&amp;SUBSTITUTE(TEXT(IF(ISTEXT(Overig!T724),Overig!T724,10*Overig!T724),""",""????0;"",""???-0;"",""????0;"", ////"""),"'","""")&amp;SUBSTITUTE(TEXT(Overig!U724,""",""?00;"",""?-00;"",""?00;"", //"""),"'","""")&amp;SUBSTITUTE(TEXT(Overig!V724,""",""???0;"",""??-0;"",""???0;"", ///"""),"'","""")&amp;SUBSTITUTE(TEXT(Overig!W724,""",""?00;"",""?-00;"",""?00;"", //"""),"'","""")</f>
        <v>032, 19400629, 17.00, 7589, 00,  281, 00, ////, 07, ////, 07,  72, 00,  207, 00,  242, 00,   65, 00,    6, 00,   3, 00</v>
      </c>
    </row>
    <row r="725" spans="1:1" x14ac:dyDescent="0.25">
      <c r="A725" s="12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//"""),"'","""")&amp;SUBSTITUTE(TEXT(IF(ISTEXT(Overig!J725),Overig!J725,10*Overig!J725),""",""????0;"",""???-0;"",""????0;"", ////"""),"'","""")&amp;SUBSTITUTE(TEXT(Overig!K725,""",""?00;"",""?-00;"",""?00;"", //"""),"'","""")&amp;SUBSTITUTE(TEXT(Overig!L725,""",""???0;"",""??-0;"",""???0;"", ///"""),"'","""")&amp;SUBSTITUTE(TEXT(Overig!M725,""",""?00;"",""?-00;"",""?00;"", //"""),"'","""")&amp;SUBSTITUTE(TEXT(IF(ISTEXT(Overig!N725),Overig!N725,10*Overig!N725),""",""????0;"",""???-0;"",""????0;"", ////"""),"'","""")&amp;SUBSTITUTE(TEXT(Overig!O725,""",""?00;"",""?-00;"",""?00;"", //"""),"'","""")&amp;SUBSTITUTE(TEXT(IF(ISTEXT(Overig!P725),Overig!P725,10*Overig!P725),""",""????0;"",""???-0;"",""????0;"", ////"""),"'","""")&amp;SUBSTITUTE(TEXT(Overig!Q725,""",""?00;"",""?-00;"",""?00;"", //"""),"'","""")&amp;SUBSTITUTE(TEXT(Overig!R725,""",""????0;"",""???-0;"",""????0;"", ////"""),"'","""")&amp;SUBSTITUTE(TEXT(Overig!S725,""",""?00;"",""?-00;"",""?00;"", //"""),"'","""")&amp;SUBSTITUTE(TEXT(IF(ISTEXT(Overig!T725),Overig!T725,10*Overig!T725),""",""????0;"",""???-0;"",""????0;"", ////"""),"'","""")&amp;SUBSTITUTE(TEXT(Overig!U725,""",""?00;"",""?-00;"",""?00;"", //"""),"'","""")&amp;SUBSTITUTE(TEXT(Overig!V725,""",""???0;"",""??-0;"",""???0;"", ///"""),"'","""")&amp;SUBSTITUTE(TEXT(Overig!W725,""",""?00;"",""?-00;"",""?00;"", //"""),"'","""")</f>
        <v>032, 19400629, 24.00, ////, 07, ////, 07,  300, 00,  310, 00, ///, 07, ////, 07, ////, 07, ////, 07, ////, 07, ///, 07</v>
      </c>
    </row>
    <row r="726" spans="1:1" x14ac:dyDescent="0.25">
      <c r="A726" s="12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//"""),"'","""")&amp;SUBSTITUTE(TEXT(IF(ISTEXT(Overig!J726),Overig!J726,10*Overig!J726),""",""????0;"",""???-0;"",""????0;"", ////"""),"'","""")&amp;SUBSTITUTE(TEXT(Overig!K726,""",""?00;"",""?-00;"",""?00;"", //"""),"'","""")&amp;SUBSTITUTE(TEXT(Overig!L726,""",""???0;"",""??-0;"",""???0;"", ///"""),"'","""")&amp;SUBSTITUTE(TEXT(Overig!M726,""",""?00;"",""?-00;"",""?00;"", //"""),"'","""")&amp;SUBSTITUTE(TEXT(IF(ISTEXT(Overig!N726),Overig!N726,10*Overig!N726),""",""????0;"",""???-0;"",""????0;"", ////"""),"'","""")&amp;SUBSTITUTE(TEXT(Overig!O726,""",""?00;"",""?-00;"",""?00;"", //"""),"'","""")&amp;SUBSTITUTE(TEXT(IF(ISTEXT(Overig!P726),Overig!P726,10*Overig!P726),""",""????0;"",""???-0;"",""????0;"", ////"""),"'","""")&amp;SUBSTITUTE(TEXT(Overig!Q726,""",""?00;"",""?-00;"",""?00;"", //"""),"'","""")&amp;SUBSTITUTE(TEXT(Overig!R726,""",""????0;"",""???-0;"",""????0;"", ////"""),"'","""")&amp;SUBSTITUTE(TEXT(Overig!S726,""",""?00;"",""?-00;"",""?00;"", //"""),"'","""")&amp;SUBSTITUTE(TEXT(IF(ISTEXT(Overig!T726),Overig!T726,10*Overig!T726),""",""????0;"",""???-0;"",""????0;"", ////"""),"'","""")&amp;SUBSTITUTE(TEXT(Overig!U726,""",""?00;"",""?-00;"",""?00;"", //"""),"'","""")&amp;SUBSTITUTE(TEXT(Overig!V726,""",""???0;"",""??-0;"",""???0;"", ///"""),"'","""")&amp;SUBSTITUTE(TEXT(Overig!W726,""",""?00;"",""?-00;"",""?00;"", //"""),"'","""")</f>
        <v>032, 19400630, 07.00, 7600, 00,  279, 00, ////, 07, ////, 07,  73, 00,  206, 00,  241, 00,   90, 00,    4, 00,   2, 00</v>
      </c>
    </row>
    <row r="727" spans="1:1" x14ac:dyDescent="0.25">
      <c r="A727" s="12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//"""),"'","""")&amp;SUBSTITUTE(TEXT(IF(ISTEXT(Overig!J727),Overig!J727,10*Overig!J727),""",""????0;"",""???-0;"",""????0;"", ////"""),"'","""")&amp;SUBSTITUTE(TEXT(Overig!K727,""",""?00;"",""?-00;"",""?00;"", //"""),"'","""")&amp;SUBSTITUTE(TEXT(Overig!L727,""",""???0;"",""??-0;"",""???0;"", ///"""),"'","""")&amp;SUBSTITUTE(TEXT(Overig!M727,""",""?00;"",""?-00;"",""?00;"", //"""),"'","""")&amp;SUBSTITUTE(TEXT(IF(ISTEXT(Overig!N727),Overig!N727,10*Overig!N727),""",""????0;"",""???-0;"",""????0;"", ////"""),"'","""")&amp;SUBSTITUTE(TEXT(Overig!O727,""",""?00;"",""?-00;"",""?00;"", //"""),"'","""")&amp;SUBSTITUTE(TEXT(IF(ISTEXT(Overig!P727),Overig!P727,10*Overig!P727),""",""????0;"",""???-0;"",""????0;"", ////"""),"'","""")&amp;SUBSTITUTE(TEXT(Overig!Q727,""",""?00;"",""?-00;"",""?00;"", //"""),"'","""")&amp;SUBSTITUTE(TEXT(Overig!R727,""",""????0;"",""???-0;"",""????0;"", ////"""),"'","""")&amp;SUBSTITUTE(TEXT(Overig!S727,""",""?00;"",""?-00;"",""?00;"", //"""),"'","""")&amp;SUBSTITUTE(TEXT(IF(ISTEXT(Overig!T727),Overig!T727,10*Overig!T727),""",""????0;"",""???-0;"",""????0;"", ////"""),"'","""")&amp;SUBSTITUTE(TEXT(Overig!U727,""",""?00;"",""?-00;"",""?00;"", //"""),"'","""")&amp;SUBSTITUTE(TEXT(Overig!V727,""",""???0;"",""??-0;"",""???0;"", ///"""),"'","""")&amp;SUBSTITUTE(TEXT(Overig!W727,""",""?00;"",""?-00;"",""?00;"", //"""),"'","""")</f>
        <v>032, 19400630, 12.00, 7607, 00,  281, 00, ////, 07, ////, 07,  74, 00,  213, 00,  245, 00,   90, 00,    5, 00,   3, 00</v>
      </c>
    </row>
    <row r="728" spans="1:1" x14ac:dyDescent="0.25">
      <c r="A728" s="12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//"""),"'","""")&amp;SUBSTITUTE(TEXT(IF(ISTEXT(Overig!J728),Overig!J728,10*Overig!J728),""",""????0;"",""???-0;"",""????0;"", ////"""),"'","""")&amp;SUBSTITUTE(TEXT(Overig!K728,""",""?00;"",""?-00;"",""?00;"", //"""),"'","""")&amp;SUBSTITUTE(TEXT(Overig!L728,""",""???0;"",""??-0;"",""???0;"", ///"""),"'","""")&amp;SUBSTITUTE(TEXT(Overig!M728,""",""?00;"",""?-00;"",""?00;"", //"""),"'","""")&amp;SUBSTITUTE(TEXT(IF(ISTEXT(Overig!N728),Overig!N728,10*Overig!N728),""",""????0;"",""???-0;"",""????0;"", ////"""),"'","""")&amp;SUBSTITUTE(TEXT(Overig!O728,""",""?00;"",""?-00;"",""?00;"", //"""),"'","""")&amp;SUBSTITUTE(TEXT(IF(ISTEXT(Overig!P728),Overig!P728,10*Overig!P728),""",""????0;"",""???-0;"",""????0;"", ////"""),"'","""")&amp;SUBSTITUTE(TEXT(Overig!Q728,""",""?00;"",""?-00;"",""?00;"", //"""),"'","""")&amp;SUBSTITUTE(TEXT(Overig!R728,""",""????0;"",""???-0;"",""????0;"", ////"""),"'","""")&amp;SUBSTITUTE(TEXT(Overig!S728,""",""?00;"",""?-00;"",""?00;"", //"""),"'","""")&amp;SUBSTITUTE(TEXT(IF(ISTEXT(Overig!T728),Overig!T728,10*Overig!T728),""",""????0;"",""???-0;"",""????0;"", ////"""),"'","""")&amp;SUBSTITUTE(TEXT(Overig!U728,""",""?00;"",""?-00;"",""?00;"", //"""),"'","""")&amp;SUBSTITUTE(TEXT(Overig!V728,""",""???0;"",""??-0;"",""???0;"", ///"""),"'","""")&amp;SUBSTITUTE(TEXT(Overig!W728,""",""?00;"",""?-00;"",""?00;"", //"""),"'","""")</f>
        <v>032, 19400630, 17.00, 7595, 00,  282, 00, ////, 07, ////, 07,  72, 00,  206, 00,  242, 00,   65, 00,    4, 00,   3, 00</v>
      </c>
    </row>
    <row r="729" spans="1:1" x14ac:dyDescent="0.25">
      <c r="A729" s="12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//"""),"'","""")&amp;SUBSTITUTE(TEXT(IF(ISTEXT(Overig!J729),Overig!J729,10*Overig!J729),""",""????0;"",""???-0;"",""????0;"", ////"""),"'","""")&amp;SUBSTITUTE(TEXT(Overig!K729,""",""?00;"",""?-00;"",""?00;"", //"""),"'","""")&amp;SUBSTITUTE(TEXT(Overig!L729,""",""???0;"",""??-0;"",""???0;"", ///"""),"'","""")&amp;SUBSTITUTE(TEXT(Overig!M729,""",""?00;"",""?-00;"",""?00;"", //"""),"'","""")&amp;SUBSTITUTE(TEXT(IF(ISTEXT(Overig!N729),Overig!N729,10*Overig!N729),""",""????0;"",""???-0;"",""????0;"", ////"""),"'","""")&amp;SUBSTITUTE(TEXT(Overig!O729,""",""?00;"",""?-00;"",""?00;"", //"""),"'","""")&amp;SUBSTITUTE(TEXT(IF(ISTEXT(Overig!P729),Overig!P729,10*Overig!P729),""",""????0;"",""???-0;"",""????0;"", ////"""),"'","""")&amp;SUBSTITUTE(TEXT(Overig!Q729,""",""?00;"",""?-00;"",""?00;"", //"""),"'","""")&amp;SUBSTITUTE(TEXT(Overig!R729,""",""????0;"",""???-0;"",""????0;"", ////"""),"'","""")&amp;SUBSTITUTE(TEXT(Overig!S729,""",""?00;"",""?-00;"",""?00;"", //"""),"'","""")&amp;SUBSTITUTE(TEXT(IF(ISTEXT(Overig!T729),Overig!T729,10*Overig!T729),""",""????0;"",""???-0;"",""????0;"", ////"""),"'","""")&amp;SUBSTITUTE(TEXT(Overig!U729,""",""?00;"",""?-00;"",""?00;"", //"""),"'","""")&amp;SUBSTITUTE(TEXT(Overig!V729,""",""???0;"",""??-0;"",""???0;"", ///"""),"'","""")&amp;SUBSTITUTE(TEXT(Overig!W729,""",""?00;"",""?-00;"",""?00;"", //"""),"'","""")</f>
        <v>032, 19400630, 24.00, ////, 07, ////, 07,  300, 00,  310, 00, ///, 07, ////, 07, ////, 07, ////, 07, ////, 07, ///, 07</v>
      </c>
    </row>
    <row r="730" spans="1:1" x14ac:dyDescent="0.25">
      <c r="A730" s="12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//"""),"'","""")&amp;SUBSTITUTE(TEXT(IF(ISTEXT(Overig!J730),Overig!J730,10*Overig!J730),""",""????0;"",""???-0;"",""????0;"", ////"""),"'","""")&amp;SUBSTITUTE(TEXT(Overig!K730,""",""?00;"",""?-00;"",""?00;"", //"""),"'","""")&amp;SUBSTITUTE(TEXT(Overig!L730,""",""???0;"",""??-0;"",""???0;"", ///"""),"'","""")&amp;SUBSTITUTE(TEXT(Overig!M730,""",""?00;"",""?-00;"",""?00;"", //"""),"'","""")&amp;SUBSTITUTE(TEXT(IF(ISTEXT(Overig!N730),Overig!N730,10*Overig!N730),""",""????0;"",""???-0;"",""????0;"", ////"""),"'","""")&amp;SUBSTITUTE(TEXT(Overig!O730,""",""?00;"",""?-00;"",""?00;"", //"""),"'","""")&amp;SUBSTITUTE(TEXT(IF(ISTEXT(Overig!P730),Overig!P730,10*Overig!P730),""",""????0;"",""???-0;"",""????0;"", ////"""),"'","""")&amp;SUBSTITUTE(TEXT(Overig!Q730,""",""?00;"",""?-00;"",""?00;"", //"""),"'","""")&amp;SUBSTITUTE(TEXT(Overig!R730,""",""????0;"",""???-0;"",""????0;"", ////"""),"'","""")&amp;SUBSTITUTE(TEXT(Overig!S730,""",""?00;"",""?-00;"",""?00;"", //"""),"'","""")&amp;SUBSTITUTE(TEXT(IF(ISTEXT(Overig!T730),Overig!T730,10*Overig!T730),""",""????0;"",""???-0;"",""????0;"", ////"""),"'","""")&amp;SUBSTITUTE(TEXT(Overig!U730,""",""?00;"",""?-00;"",""?00;"", //"""),"'","""")&amp;SUBSTITUTE(TEXT(Overig!V730,""",""???0;"",""??-0;"",""???0;"", ///"""),"'","""")&amp;SUBSTITUTE(TEXT(Overig!W730,""",""?00;"",""?-00;"",""?00;"", //"""),"'","""")</f>
        <v>032, 19400701, 07.00, 7592, 00,  274, 00, ////, 07, ////, 07,  74, 00,  205, 00,  238, 00,   65, 00,    5, 00,   4, 00</v>
      </c>
    </row>
    <row r="731" spans="1:1" x14ac:dyDescent="0.25">
      <c r="A731" s="12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//"""),"'","""")&amp;SUBSTITUTE(TEXT(IF(ISTEXT(Overig!J731),Overig!J731,10*Overig!J731),""",""????0;"",""???-0;"",""????0;"", ////"""),"'","""")&amp;SUBSTITUTE(TEXT(Overig!K731,""",""?00;"",""?-00;"",""?00;"", //"""),"'","""")&amp;SUBSTITUTE(TEXT(Overig!L731,""",""???0;"",""??-0;"",""???0;"", ///"""),"'","""")&amp;SUBSTITUTE(TEXT(Overig!M731,""",""?00;"",""?-00;"",""?00;"", //"""),"'","""")&amp;SUBSTITUTE(TEXT(IF(ISTEXT(Overig!N731),Overig!N731,10*Overig!N731),""",""????0;"",""???-0;"",""????0;"", ////"""),"'","""")&amp;SUBSTITUTE(TEXT(Overig!O731,""",""?00;"",""?-00;"",""?00;"", //"""),"'","""")&amp;SUBSTITUTE(TEXT(IF(ISTEXT(Overig!P731),Overig!P731,10*Overig!P731),""",""????0;"",""???-0;"",""????0;"", ////"""),"'","""")&amp;SUBSTITUTE(TEXT(Overig!Q731,""",""?00;"",""?-00;"",""?00;"", //"""),"'","""")&amp;SUBSTITUTE(TEXT(Overig!R731,""",""????0;"",""???-0;"",""????0;"", ////"""),"'","""")&amp;SUBSTITUTE(TEXT(Overig!S731,""",""?00;"",""?-00;"",""?00;"", //"""),"'","""")&amp;SUBSTITUTE(TEXT(IF(ISTEXT(Overig!T731),Overig!T731,10*Overig!T731),""",""????0;"",""???-0;"",""????0;"", ////"""),"'","""")&amp;SUBSTITUTE(TEXT(Overig!U731,""",""?00;"",""?-00;"",""?00;"", //"""),"'","""")&amp;SUBSTITUTE(TEXT(Overig!V731,""",""???0;"",""??-0;"",""???0;"", ///"""),"'","""")&amp;SUBSTITUTE(TEXT(Overig!W731,""",""?00;"",""?-00;"",""?00;"", //"""),"'","""")</f>
        <v>032, 19400701, 12.00, 7597, 00,  277, 00, ////, 07, ////, 07,  72, 00,  199, 00,  240, 00,   90, 00,    6, 00,   5, 00</v>
      </c>
    </row>
    <row r="732" spans="1:1" x14ac:dyDescent="0.25">
      <c r="A732" s="12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//"""),"'","""")&amp;SUBSTITUTE(TEXT(IF(ISTEXT(Overig!J732),Overig!J732,10*Overig!J732),""",""????0;"",""???-0;"",""????0;"", ////"""),"'","""")&amp;SUBSTITUTE(TEXT(Overig!K732,""",""?00;"",""?-00;"",""?00;"", //"""),"'","""")&amp;SUBSTITUTE(TEXT(Overig!L732,""",""???0;"",""??-0;"",""???0;"", ///"""),"'","""")&amp;SUBSTITUTE(TEXT(Overig!M732,""",""?00;"",""?-00;"",""?00;"", //"""),"'","""")&amp;SUBSTITUTE(TEXT(IF(ISTEXT(Overig!N732),Overig!N732,10*Overig!N732),""",""????0;"",""???-0;"",""????0;"", ////"""),"'","""")&amp;SUBSTITUTE(TEXT(Overig!O732,""",""?00;"",""?-00;"",""?00;"", //"""),"'","""")&amp;SUBSTITUTE(TEXT(IF(ISTEXT(Overig!P732),Overig!P732,10*Overig!P732),""",""????0;"",""???-0;"",""????0;"", ////"""),"'","""")&amp;SUBSTITUTE(TEXT(Overig!Q732,""",""?00;"",""?-00;"",""?00;"", //"""),"'","""")&amp;SUBSTITUTE(TEXT(Overig!R732,""",""????0;"",""???-0;"",""????0;"", ////"""),"'","""")&amp;SUBSTITUTE(TEXT(Overig!S732,""",""?00;"",""?-00;"",""?00;"", //"""),"'","""")&amp;SUBSTITUTE(TEXT(IF(ISTEXT(Overig!T732),Overig!T732,10*Overig!T732),""",""????0;"",""???-0;"",""????0;"", ////"""),"'","""")&amp;SUBSTITUTE(TEXT(Overig!U732,""",""?00;"",""?-00;"",""?00;"", //"""),"'","""")&amp;SUBSTITUTE(TEXT(Overig!V732,""",""???0;"",""??-0;"",""???0;"", ///"""),"'","""")&amp;SUBSTITUTE(TEXT(Overig!W732,""",""?00;"",""?-00;"",""?00;"", //"""),"'","""")</f>
        <v>032, 19400701, 17.00, 7585, 00,  275, 00, ////, 07, ////, 07,  72, 00,  199, 00,  236, 00,   90, 00,    6, 00,   4, 00</v>
      </c>
    </row>
    <row r="733" spans="1:1" x14ac:dyDescent="0.25">
      <c r="A733" s="12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//"""),"'","""")&amp;SUBSTITUTE(TEXT(IF(ISTEXT(Overig!J733),Overig!J733,10*Overig!J733),""",""????0;"",""???-0;"",""????0;"", ////"""),"'","""")&amp;SUBSTITUTE(TEXT(Overig!K733,""",""?00;"",""?-00;"",""?00;"", //"""),"'","""")&amp;SUBSTITUTE(TEXT(Overig!L733,""",""???0;"",""??-0;"",""???0;"", ///"""),"'","""")&amp;SUBSTITUTE(TEXT(Overig!M733,""",""?00;"",""?-00;"",""?00;"", //"""),"'","""")&amp;SUBSTITUTE(TEXT(IF(ISTEXT(Overig!N733),Overig!N733,10*Overig!N733),""",""????0;"",""???-0;"",""????0;"", ////"""),"'","""")&amp;SUBSTITUTE(TEXT(Overig!O733,""",""?00;"",""?-00;"",""?00;"", //"""),"'","""")&amp;SUBSTITUTE(TEXT(IF(ISTEXT(Overig!P733),Overig!P733,10*Overig!P733),""",""????0;"",""???-0;"",""????0;"", ////"""),"'","""")&amp;SUBSTITUTE(TEXT(Overig!Q733,""",""?00;"",""?-00;"",""?00;"", //"""),"'","""")&amp;SUBSTITUTE(TEXT(Overig!R733,""",""????0;"",""???-0;"",""????0;"", ////"""),"'","""")&amp;SUBSTITUTE(TEXT(Overig!S733,""",""?00;"",""?-00;"",""?00;"", //"""),"'","""")&amp;SUBSTITUTE(TEXT(IF(ISTEXT(Overig!T733),Overig!T733,10*Overig!T733),""",""????0;"",""???-0;"",""????0;"", ////"""),"'","""")&amp;SUBSTITUTE(TEXT(Overig!U733,""",""?00;"",""?-00;"",""?00;"", //"""),"'","""")&amp;SUBSTITUTE(TEXT(Overig!V733,""",""???0;"",""??-0;"",""???0;"", ///"""),"'","""")&amp;SUBSTITUTE(TEXT(Overig!W733,""",""?00;"",""?-00;"",""?00;"", //"""),"'","""")</f>
        <v>032, 19400701, 24.00, ////, 07, ////, 07,  290, 00,  305, 00, ///, 07, ////, 07, ////, 07, ////, 07, ////, 07, ///, 07</v>
      </c>
    </row>
    <row r="734" spans="1:1" x14ac:dyDescent="0.25">
      <c r="A734" s="12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//"""),"'","""")&amp;SUBSTITUTE(TEXT(IF(ISTEXT(Overig!J734),Overig!J734,10*Overig!J734),""",""????0;"",""???-0;"",""????0;"", ////"""),"'","""")&amp;SUBSTITUTE(TEXT(Overig!K734,""",""?00;"",""?-00;"",""?00;"", //"""),"'","""")&amp;SUBSTITUTE(TEXT(Overig!L734,""",""???0;"",""??-0;"",""???0;"", ///"""),"'","""")&amp;SUBSTITUTE(TEXT(Overig!M734,""",""?00;"",""?-00;"",""?00;"", //"""),"'","""")&amp;SUBSTITUTE(TEXT(IF(ISTEXT(Overig!N734),Overig!N734,10*Overig!N734),""",""????0;"",""???-0;"",""????0;"", ////"""),"'","""")&amp;SUBSTITUTE(TEXT(Overig!O734,""",""?00;"",""?-00;"",""?00;"", //"""),"'","""")&amp;SUBSTITUTE(TEXT(IF(ISTEXT(Overig!P734),Overig!P734,10*Overig!P734),""",""????0;"",""???-0;"",""????0;"", ////"""),"'","""")&amp;SUBSTITUTE(TEXT(Overig!Q734,""",""?00;"",""?-00;"",""?00;"", //"""),"'","""")&amp;SUBSTITUTE(TEXT(Overig!R734,""",""????0;"",""???-0;"",""????0;"", ////"""),"'","""")&amp;SUBSTITUTE(TEXT(Overig!S734,""",""?00;"",""?-00;"",""?00;"", //"""),"'","""")&amp;SUBSTITUTE(TEXT(IF(ISTEXT(Overig!T734),Overig!T734,10*Overig!T734),""",""????0;"",""???-0;"",""????0;"", ////"""),"'","""")&amp;SUBSTITUTE(TEXT(Overig!U734,""",""?00;"",""?-00;"",""?00;"", //"""),"'","""")&amp;SUBSTITUTE(TEXT(Overig!V734,""",""???0;"",""??-0;"",""???0;"", ///"""),"'","""")&amp;SUBSTITUTE(TEXT(Overig!W734,""",""?00;"",""?-00;"",""?00;"", //"""),"'","""")</f>
        <v>032, 19400702, 07.00, 7587, 00,  271, 00, ////, 07, ////, 07,  73, 00,  197, 00,  234, 00,   65, 00,    5, 00,   4, 00</v>
      </c>
    </row>
    <row r="735" spans="1:1" x14ac:dyDescent="0.25">
      <c r="A735" s="12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//"""),"'","""")&amp;SUBSTITUTE(TEXT(IF(ISTEXT(Overig!J735),Overig!J735,10*Overig!J735),""",""????0;"",""???-0;"",""????0;"", ////"""),"'","""")&amp;SUBSTITUTE(TEXT(Overig!K735,""",""?00;"",""?-00;"",""?00;"", //"""),"'","""")&amp;SUBSTITUTE(TEXT(Overig!L735,""",""???0;"",""??-0;"",""???0;"", ///"""),"'","""")&amp;SUBSTITUTE(TEXT(Overig!M735,""",""?00;"",""?-00;"",""?00;"", //"""),"'","""")&amp;SUBSTITUTE(TEXT(IF(ISTEXT(Overig!N735),Overig!N735,10*Overig!N735),""",""????0;"",""???-0;"",""????0;"", ////"""),"'","""")&amp;SUBSTITUTE(TEXT(Overig!O735,""",""?00;"",""?-00;"",""?00;"", //"""),"'","""")&amp;SUBSTITUTE(TEXT(IF(ISTEXT(Overig!P735),Overig!P735,10*Overig!P735),""",""????0;"",""???-0;"",""????0;"", ////"""),"'","""")&amp;SUBSTITUTE(TEXT(Overig!Q735,""",""?00;"",""?-00;"",""?00;"", //"""),"'","""")&amp;SUBSTITUTE(TEXT(Overig!R735,""",""????0;"",""???-0;"",""????0;"", ////"""),"'","""")&amp;SUBSTITUTE(TEXT(Overig!S735,""",""?00;"",""?-00;"",""?00;"", //"""),"'","""")&amp;SUBSTITUTE(TEXT(IF(ISTEXT(Overig!T735),Overig!T735,10*Overig!T735),""",""????0;"",""???-0;"",""????0;"", ////"""),"'","""")&amp;SUBSTITUTE(TEXT(Overig!U735,""",""?00;"",""?-00;"",""?00;"", //"""),"'","""")&amp;SUBSTITUTE(TEXT(Overig!V735,""",""???0;"",""??-0;"",""???0;"", ///"""),"'","""")&amp;SUBSTITUTE(TEXT(Overig!W735,""",""?00;"",""?-00;"",""?00;"", //"""),"'","""")</f>
        <v>032, 19400702, 12.00, 7592, 00,  275, 00, ////, 07, ////, 07,  73, 00,  203, 00,  238, 00,   65, 00,    6, 00,   5, 00</v>
      </c>
    </row>
    <row r="736" spans="1:1" x14ac:dyDescent="0.25">
      <c r="A736" s="12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//"""),"'","""")&amp;SUBSTITUTE(TEXT(IF(ISTEXT(Overig!J736),Overig!J736,10*Overig!J736),""",""????0;"",""???-0;"",""????0;"", ////"""),"'","""")&amp;SUBSTITUTE(TEXT(Overig!K736,""",""?00;"",""?-00;"",""?00;"", //"""),"'","""")&amp;SUBSTITUTE(TEXT(Overig!L736,""",""???0;"",""??-0;"",""???0;"", ///"""),"'","""")&amp;SUBSTITUTE(TEXT(Overig!M736,""",""?00;"",""?-00;"",""?00;"", //"""),"'","""")&amp;SUBSTITUTE(TEXT(IF(ISTEXT(Overig!N736),Overig!N736,10*Overig!N736),""",""????0;"",""???-0;"",""????0;"", ////"""),"'","""")&amp;SUBSTITUTE(TEXT(Overig!O736,""",""?00;"",""?-00;"",""?00;"", //"""),"'","""")&amp;SUBSTITUTE(TEXT(IF(ISTEXT(Overig!P736),Overig!P736,10*Overig!P736),""",""????0;"",""???-0;"",""????0;"", ////"""),"'","""")&amp;SUBSTITUTE(TEXT(Overig!Q736,""",""?00;"",""?-00;"",""?00;"", //"""),"'","""")&amp;SUBSTITUTE(TEXT(Overig!R736,""",""????0;"",""???-0;"",""????0;"", ////"""),"'","""")&amp;SUBSTITUTE(TEXT(Overig!S736,""",""?00;"",""?-00;"",""?00;"", //"""),"'","""")&amp;SUBSTITUTE(TEXT(IF(ISTEXT(Overig!T736),Overig!T736,10*Overig!T736),""",""????0;"",""???-0;"",""????0;"", ////"""),"'","""")&amp;SUBSTITUTE(TEXT(Overig!U736,""",""?00;"",""?-00;"",""?00;"", //"""),"'","""")&amp;SUBSTITUTE(TEXT(Overig!V736,""",""???0;"",""??-0;"",""???0;"", ///"""),"'","""")&amp;SUBSTITUTE(TEXT(Overig!W736,""",""?00;"",""?-00;"",""?00;"", //"""),"'","""")</f>
        <v>032, 19400702, 17.00, 7587, 00,  269, 00, ////, 07, ////, 07,  73, 00,  195, 00,  232, 00,   90, 00,    6, 00,   3, 00</v>
      </c>
    </row>
    <row r="737" spans="1:1" x14ac:dyDescent="0.25">
      <c r="A737" s="12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//"""),"'","""")&amp;SUBSTITUTE(TEXT(IF(ISTEXT(Overig!J737),Overig!J737,10*Overig!J737),""",""????0;"",""???-0;"",""????0;"", ////"""),"'","""")&amp;SUBSTITUTE(TEXT(Overig!K737,""",""?00;"",""?-00;"",""?00;"", //"""),"'","""")&amp;SUBSTITUTE(TEXT(Overig!L737,""",""???0;"",""??-0;"",""???0;"", ///"""),"'","""")&amp;SUBSTITUTE(TEXT(Overig!M737,""",""?00;"",""?-00;"",""?00;"", //"""),"'","""")&amp;SUBSTITUTE(TEXT(IF(ISTEXT(Overig!N737),Overig!N737,10*Overig!N737),""",""????0;"",""???-0;"",""????0;"", ////"""),"'","""")&amp;SUBSTITUTE(TEXT(Overig!O737,""",""?00;"",""?-00;"",""?00;"", //"""),"'","""")&amp;SUBSTITUTE(TEXT(IF(ISTEXT(Overig!P737),Overig!P737,10*Overig!P737),""",""????0;"",""???-0;"",""????0;"", ////"""),"'","""")&amp;SUBSTITUTE(TEXT(Overig!Q737,""",""?00;"",""?-00;"",""?00;"", //"""),"'","""")&amp;SUBSTITUTE(TEXT(Overig!R737,""",""????0;"",""???-0;"",""????0;"", ////"""),"'","""")&amp;SUBSTITUTE(TEXT(Overig!S737,""",""?00;"",""?-00;"",""?00;"", //"""),"'","""")&amp;SUBSTITUTE(TEXT(IF(ISTEXT(Overig!T737),Overig!T737,10*Overig!T737),""",""????0;"",""???-0;"",""????0;"", ////"""),"'","""")&amp;SUBSTITUTE(TEXT(Overig!U737,""",""?00;"",""?-00;"",""?00;"", //"""),"'","""")&amp;SUBSTITUTE(TEXT(Overig!V737,""",""???0;"",""??-0;"",""???0;"", ///"""),"'","""")&amp;SUBSTITUTE(TEXT(Overig!W737,""",""?00;"",""?-00;"",""?00;"", //"""),"'","""")</f>
        <v>032, 19400702, 24.00, ////, 07, ////, 07,  280, 00,  298, 00, ///, 07, ////, 07, ////, 07, ////, 07, ////, 07, ///, 07</v>
      </c>
    </row>
    <row r="738" spans="1:1" x14ac:dyDescent="0.25">
      <c r="A738" s="12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//"""),"'","""")&amp;SUBSTITUTE(TEXT(IF(ISTEXT(Overig!J738),Overig!J738,10*Overig!J738),""",""????0;"",""???-0;"",""????0;"", ////"""),"'","""")&amp;SUBSTITUTE(TEXT(Overig!K738,""",""?00;"",""?-00;"",""?00;"", //"""),"'","""")&amp;SUBSTITUTE(TEXT(Overig!L738,""",""???0;"",""??-0;"",""???0;"", ///"""),"'","""")&amp;SUBSTITUTE(TEXT(Overig!M738,""",""?00;"",""?-00;"",""?00;"", //"""),"'","""")&amp;SUBSTITUTE(TEXT(IF(ISTEXT(Overig!N738),Overig!N738,10*Overig!N738),""",""????0;"",""???-0;"",""????0;"", ////"""),"'","""")&amp;SUBSTITUTE(TEXT(Overig!O738,""",""?00;"",""?-00;"",""?00;"", //"""),"'","""")&amp;SUBSTITUTE(TEXT(IF(ISTEXT(Overig!P738),Overig!P738,10*Overig!P738),""",""????0;"",""???-0;"",""????0;"", ////"""),"'","""")&amp;SUBSTITUTE(TEXT(Overig!Q738,""",""?00;"",""?-00;"",""?00;"", //"""),"'","""")&amp;SUBSTITUTE(TEXT(Overig!R738,""",""????0;"",""???-0;"",""????0;"", ////"""),"'","""")&amp;SUBSTITUTE(TEXT(Overig!S738,""",""?00;"",""?-00;"",""?00;"", //"""),"'","""")&amp;SUBSTITUTE(TEXT(IF(ISTEXT(Overig!T738),Overig!T738,10*Overig!T738),""",""????0;"",""???-0;"",""????0;"", ////"""),"'","""")&amp;SUBSTITUTE(TEXT(Overig!U738,""",""?00;"",""?-00;"",""?00;"", //"""),"'","""")&amp;SUBSTITUTE(TEXT(Overig!V738,""",""???0;"",""??-0;"",""???0;"", ///"""),"'","""")&amp;SUBSTITUTE(TEXT(Overig!W738,""",""?00;"",""?-00;"",""?00;"", //"""),"'","""")</f>
        <v>032, 19400703, 07.00, 7585, 00,  275, 00, ////, 07, ////, 07,  82, 00,  225, 00,  250, 00,   65, 00,    6, 00,   5, 00</v>
      </c>
    </row>
    <row r="739" spans="1:1" x14ac:dyDescent="0.25">
      <c r="A739" s="12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//"""),"'","""")&amp;SUBSTITUTE(TEXT(IF(ISTEXT(Overig!J739),Overig!J739,10*Overig!J739),""",""????0;"",""???-0;"",""????0;"", ////"""),"'","""")&amp;SUBSTITUTE(TEXT(Overig!K739,""",""?00;"",""?-00;"",""?00;"", //"""),"'","""")&amp;SUBSTITUTE(TEXT(Overig!L739,""",""???0;"",""??-0;"",""???0;"", ///"""),"'","""")&amp;SUBSTITUTE(TEXT(Overig!M739,""",""?00;"",""?-00;"",""?00;"", //"""),"'","""")&amp;SUBSTITUTE(TEXT(IF(ISTEXT(Overig!N739),Overig!N739,10*Overig!N739),""",""????0;"",""???-0;"",""????0;"", ////"""),"'","""")&amp;SUBSTITUTE(TEXT(Overig!O739,""",""?00;"",""?-00;"",""?00;"", //"""),"'","""")&amp;SUBSTITUTE(TEXT(IF(ISTEXT(Overig!P739),Overig!P739,10*Overig!P739),""",""????0;"",""???-0;"",""????0;"", ////"""),"'","""")&amp;SUBSTITUTE(TEXT(Overig!Q739,""",""?00;"",""?-00;"",""?00;"", //"""),"'","""")&amp;SUBSTITUTE(TEXT(Overig!R739,""",""????0;"",""???-0;"",""????0;"", ////"""),"'","""")&amp;SUBSTITUTE(TEXT(Overig!S739,""",""?00;"",""?-00;"",""?00;"", //"""),"'","""")&amp;SUBSTITUTE(TEXT(IF(ISTEXT(Overig!T739),Overig!T739,10*Overig!T739),""",""????0;"",""???-0;"",""????0;"", ////"""),"'","""")&amp;SUBSTITUTE(TEXT(Overig!U739,""",""?00;"",""?-00;"",""?00;"", //"""),"'","""")&amp;SUBSTITUTE(TEXT(Overig!V739,""",""???0;"",""??-0;"",""???0;"", ///"""),"'","""")&amp;SUBSTITUTE(TEXT(Overig!W739,""",""?00;"",""?-00;"",""?00;"", //"""),"'","""")</f>
        <v>032, 19400703, 12.00, 7589, 00,  281, 00, ////, 07, ////, 07,  83, 00,  238, 00,  258, 00,   90, 00,    6, 00,   5, 00</v>
      </c>
    </row>
    <row r="740" spans="1:1" x14ac:dyDescent="0.25">
      <c r="A740" s="12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//"""),"'","""")&amp;SUBSTITUTE(TEXT(IF(ISTEXT(Overig!J740),Overig!J740,10*Overig!J740),""",""????0;"",""???-0;"",""????0;"", ////"""),"'","""")&amp;SUBSTITUTE(TEXT(Overig!K740,""",""?00;"",""?-00;"",""?00;"", //"""),"'","""")&amp;SUBSTITUTE(TEXT(Overig!L740,""",""???0;"",""??-0;"",""???0;"", ///"""),"'","""")&amp;SUBSTITUTE(TEXT(Overig!M740,""",""?00;"",""?-00;"",""?00;"", //"""),"'","""")&amp;SUBSTITUTE(TEXT(IF(ISTEXT(Overig!N740),Overig!N740,10*Overig!N740),""",""????0;"",""???-0;"",""????0;"", ////"""),"'","""")&amp;SUBSTITUTE(TEXT(Overig!O740,""",""?00;"",""?-00;"",""?00;"", //"""),"'","""")&amp;SUBSTITUTE(TEXT(IF(ISTEXT(Overig!P740),Overig!P740,10*Overig!P740),""",""????0;"",""???-0;"",""????0;"", ////"""),"'","""")&amp;SUBSTITUTE(TEXT(Overig!Q740,""",""?00;"",""?-00;"",""?00;"", //"""),"'","""")&amp;SUBSTITUTE(TEXT(Overig!R740,""",""????0;"",""???-0;"",""????0;"", ////"""),"'","""")&amp;SUBSTITUTE(TEXT(Overig!S740,""",""?00;"",""?-00;"",""?00;"", //"""),"'","""")&amp;SUBSTITUTE(TEXT(IF(ISTEXT(Overig!T740),Overig!T740,10*Overig!T740),""",""????0;"",""???-0;"",""????0;"", ////"""),"'","""")&amp;SUBSTITUTE(TEXT(Overig!U740,""",""?00;"",""?-00;"",""?00;"", //"""),"'","""")&amp;SUBSTITUTE(TEXT(Overig!V740,""",""???0;"",""??-0;"",""???0;"", ///"""),"'","""")&amp;SUBSTITUTE(TEXT(Overig!W740,""",""?00;"",""?-00;"",""?00;"", //"""),"'","""")</f>
        <v>032, 19400703, 17.00, 7587, 00,  278, 00, ////, 07, ////, 07,  75, 00,  210, 00,  243, 00,   90, 00,    6, 00,   6, 00</v>
      </c>
    </row>
    <row r="741" spans="1:1" x14ac:dyDescent="0.25">
      <c r="A741" s="12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//"""),"'","""")&amp;SUBSTITUTE(TEXT(IF(ISTEXT(Overig!J741),Overig!J741,10*Overig!J741),""",""????0;"",""???-0;"",""????0;"", ////"""),"'","""")&amp;SUBSTITUTE(TEXT(Overig!K741,""",""?00;"",""?-00;"",""?00;"", //"""),"'","""")&amp;SUBSTITUTE(TEXT(Overig!L741,""",""???0;"",""??-0;"",""???0;"", ///"""),"'","""")&amp;SUBSTITUTE(TEXT(Overig!M741,""",""?00;"",""?-00;"",""?00;"", //"""),"'","""")&amp;SUBSTITUTE(TEXT(IF(ISTEXT(Overig!N741),Overig!N741,10*Overig!N741),""",""????0;"",""???-0;"",""????0;"", ////"""),"'","""")&amp;SUBSTITUTE(TEXT(Overig!O741,""",""?00;"",""?-00;"",""?00;"", //"""),"'","""")&amp;SUBSTITUTE(TEXT(IF(ISTEXT(Overig!P741),Overig!P741,10*Overig!P741),""",""????0;"",""???-0;"",""????0;"", ////"""),"'","""")&amp;SUBSTITUTE(TEXT(Overig!Q741,""",""?00;"",""?-00;"",""?00;"", //"""),"'","""")&amp;SUBSTITUTE(TEXT(Overig!R741,""",""????0;"",""???-0;"",""????0;"", ////"""),"'","""")&amp;SUBSTITUTE(TEXT(Overig!S741,""",""?00;"",""?-00;"",""?00;"", //"""),"'","""")&amp;SUBSTITUTE(TEXT(IF(ISTEXT(Overig!T741),Overig!T741,10*Overig!T741),""",""????0;"",""???-0;"",""????0;"", ////"""),"'","""")&amp;SUBSTITUTE(TEXT(Overig!U741,""",""?00;"",""?-00;"",""?00;"", //"""),"'","""")&amp;SUBSTITUTE(TEXT(Overig!V741,""",""???0;"",""??-0;"",""???0;"", ///"""),"'","""")&amp;SUBSTITUTE(TEXT(Overig!W741,""",""?00;"",""?-00;"",""?00;"", //"""),"'","""")</f>
        <v>032, 19400703, 24.00, ////, 07, ////, 07,  292, 00,  308, 00, ///, 07, ////, 07, ////, 07, ////, 07, ////, 07, ///, 07</v>
      </c>
    </row>
    <row r="742" spans="1:1" x14ac:dyDescent="0.25">
      <c r="A742" s="12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//"""),"'","""")&amp;SUBSTITUTE(TEXT(IF(ISTEXT(Overig!J742),Overig!J742,10*Overig!J742),""",""????0;"",""???-0;"",""????0;"", ////"""),"'","""")&amp;SUBSTITUTE(TEXT(Overig!K742,""",""?00;"",""?-00;"",""?00;"", //"""),"'","""")&amp;SUBSTITUTE(TEXT(Overig!L742,""",""???0;"",""??-0;"",""???0;"", ///"""),"'","""")&amp;SUBSTITUTE(TEXT(Overig!M742,""",""?00;"",""?-00;"",""?00;"", //"""),"'","""")&amp;SUBSTITUTE(TEXT(IF(ISTEXT(Overig!N742),Overig!N742,10*Overig!N742),""",""????0;"",""???-0;"",""????0;"", ////"""),"'","""")&amp;SUBSTITUTE(TEXT(Overig!O742,""",""?00;"",""?-00;"",""?00;"", //"""),"'","""")&amp;SUBSTITUTE(TEXT(IF(ISTEXT(Overig!P742),Overig!P742,10*Overig!P742),""",""????0;"",""???-0;"",""????0;"", ////"""),"'","""")&amp;SUBSTITUTE(TEXT(Overig!Q742,""",""?00;"",""?-00;"",""?00;"", //"""),"'","""")&amp;SUBSTITUTE(TEXT(Overig!R742,""",""????0;"",""???-0;"",""????0;"", ////"""),"'","""")&amp;SUBSTITUTE(TEXT(Overig!S742,""",""?00;"",""?-00;"",""?00;"", //"""),"'","""")&amp;SUBSTITUTE(TEXT(IF(ISTEXT(Overig!T742),Overig!T742,10*Overig!T742),""",""????0;"",""???-0;"",""????0;"", ////"""),"'","""")&amp;SUBSTITUTE(TEXT(Overig!U742,""",""?00;"",""?-00;"",""?00;"", //"""),"'","""")&amp;SUBSTITUTE(TEXT(Overig!V742,""",""???0;"",""??-0;"",""???0;"", ///"""),"'","""")&amp;SUBSTITUTE(TEXT(Overig!W742,""",""?00;"",""?-00;"",""?00;"", //"""),"'","""")</f>
        <v>032, 19400704, 07.00, 7597, 00,  273, 00, ////, 07, ////, 07,  77, 00,  211, 00,  242, 00,   90, 00,    6, 00,   5, 00</v>
      </c>
    </row>
    <row r="743" spans="1:1" x14ac:dyDescent="0.25">
      <c r="A743" s="12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//"""),"'","""")&amp;SUBSTITUTE(TEXT(IF(ISTEXT(Overig!J743),Overig!J743,10*Overig!J743),""",""????0;"",""???-0;"",""????0;"", ////"""),"'","""")&amp;SUBSTITUTE(TEXT(Overig!K743,""",""?00;"",""?-00;"",""?00;"", //"""),"'","""")&amp;SUBSTITUTE(TEXT(Overig!L743,""",""???0;"",""??-0;"",""???0;"", ///"""),"'","""")&amp;SUBSTITUTE(TEXT(Overig!M743,""",""?00;"",""?-00;"",""?00;"", //"""),"'","""")&amp;SUBSTITUTE(TEXT(IF(ISTEXT(Overig!N743),Overig!N743,10*Overig!N743),""",""????0;"",""???-0;"",""????0;"", ////"""),"'","""")&amp;SUBSTITUTE(TEXT(Overig!O743,""",""?00;"",""?-00;"",""?00;"", //"""),"'","""")&amp;SUBSTITUTE(TEXT(IF(ISTEXT(Overig!P743),Overig!P743,10*Overig!P743),""",""????0;"",""???-0;"",""????0;"", ////"""),"'","""")&amp;SUBSTITUTE(TEXT(Overig!Q743,""",""?00;"",""?-00;"",""?00;"", //"""),"'","""")&amp;SUBSTITUTE(TEXT(Overig!R743,""",""????0;"",""???-0;"",""????0;"", ////"""),"'","""")&amp;SUBSTITUTE(TEXT(Overig!S743,""",""?00;"",""?-00;"",""?00;"", //"""),"'","""")&amp;SUBSTITUTE(TEXT(IF(ISTEXT(Overig!T743),Overig!T743,10*Overig!T743),""",""????0;"",""???-0;"",""????0;"", ////"""),"'","""")&amp;SUBSTITUTE(TEXT(Overig!U743,""",""?00;"",""?-00;"",""?00;"", //"""),"'","""")&amp;SUBSTITUTE(TEXT(Overig!V743,""",""???0;"",""??-0;"",""???0;"", ///"""),"'","""")&amp;SUBSTITUTE(TEXT(Overig!W743,""",""?00;"",""?-00;"",""?00;"", //"""),"'","""")</f>
        <v>032, 19400704, 12.00, 7592, 00,  279, 00, ////, 07, ////, 07,  76, 00,  216, 00,  246, 00,   90, 00,    7, 00,   6, 00</v>
      </c>
    </row>
    <row r="744" spans="1:1" x14ac:dyDescent="0.25">
      <c r="A744" s="12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//"""),"'","""")&amp;SUBSTITUTE(TEXT(IF(ISTEXT(Overig!J744),Overig!J744,10*Overig!J744),""",""????0;"",""???-0;"",""????0;"", ////"""),"'","""")&amp;SUBSTITUTE(TEXT(Overig!K744,""",""?00;"",""?-00;"",""?00;"", //"""),"'","""")&amp;SUBSTITUTE(TEXT(Overig!L744,""",""???0;"",""??-0;"",""???0;"", ///"""),"'","""")&amp;SUBSTITUTE(TEXT(Overig!M744,""",""?00;"",""?-00;"",""?00;"", //"""),"'","""")&amp;SUBSTITUTE(TEXT(IF(ISTEXT(Overig!N744),Overig!N744,10*Overig!N744),""",""????0;"",""???-0;"",""????0;"", ////"""),"'","""")&amp;SUBSTITUTE(TEXT(Overig!O744,""",""?00;"",""?-00;"",""?00;"", //"""),"'","""")&amp;SUBSTITUTE(TEXT(IF(ISTEXT(Overig!P744),Overig!P744,10*Overig!P744),""",""????0;"",""???-0;"",""????0;"", ////"""),"'","""")&amp;SUBSTITUTE(TEXT(Overig!Q744,""",""?00;"",""?-00;"",""?00;"", //"""),"'","""")&amp;SUBSTITUTE(TEXT(Overig!R744,""",""????0;"",""???-0;"",""????0;"", ////"""),"'","""")&amp;SUBSTITUTE(TEXT(Overig!S744,""",""?00;"",""?-00;"",""?00;"", //"""),"'","""")&amp;SUBSTITUTE(TEXT(IF(ISTEXT(Overig!T744),Overig!T744,10*Overig!T744),""",""????0;"",""???-0;"",""????0;"", ////"""),"'","""")&amp;SUBSTITUTE(TEXT(Overig!U744,""",""?00;"",""?-00;"",""?00;"", //"""),"'","""")&amp;SUBSTITUTE(TEXT(Overig!V744,""",""???0;"",""??-0;"",""???0;"", ///"""),"'","""")&amp;SUBSTITUTE(TEXT(Overig!W744,""",""?00;"",""?-00;"",""?00;"", //"""),"'","""")</f>
        <v>032, 19400704, 17.00, 7589, 00,  275, 00, ////, 07, ////, 07,  76, 00,  210, 00,  242, 00,   90, 00,    7, 00,   5, 00</v>
      </c>
    </row>
    <row r="745" spans="1:1" x14ac:dyDescent="0.25">
      <c r="A745" s="12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//"""),"'","""")&amp;SUBSTITUTE(TEXT(IF(ISTEXT(Overig!J745),Overig!J745,10*Overig!J745),""",""????0;"",""???-0;"",""????0;"", ////"""),"'","""")&amp;SUBSTITUTE(TEXT(Overig!K745,""",""?00;"",""?-00;"",""?00;"", //"""),"'","""")&amp;SUBSTITUTE(TEXT(Overig!L745,""",""???0;"",""??-0;"",""???0;"", ///"""),"'","""")&amp;SUBSTITUTE(TEXT(Overig!M745,""",""?00;"",""?-00;"",""?00;"", //"""),"'","""")&amp;SUBSTITUTE(TEXT(IF(ISTEXT(Overig!N745),Overig!N745,10*Overig!N745),""",""????0;"",""???-0;"",""????0;"", ////"""),"'","""")&amp;SUBSTITUTE(TEXT(Overig!O745,""",""?00;"",""?-00;"",""?00;"", //"""),"'","""")&amp;SUBSTITUTE(TEXT(IF(ISTEXT(Overig!P745),Overig!P745,10*Overig!P745),""",""????0;"",""???-0;"",""????0;"", ////"""),"'","""")&amp;SUBSTITUTE(TEXT(Overig!Q745,""",""?00;"",""?-00;"",""?00;"", //"""),"'","""")&amp;SUBSTITUTE(TEXT(Overig!R745,""",""????0;"",""???-0;"",""????0;"", ////"""),"'","""")&amp;SUBSTITUTE(TEXT(Overig!S745,""",""?00;"",""?-00;"",""?00;"", //"""),"'","""")&amp;SUBSTITUTE(TEXT(IF(ISTEXT(Overig!T745),Overig!T745,10*Overig!T745),""",""????0;"",""???-0;"",""????0;"", ////"""),"'","""")&amp;SUBSTITUTE(TEXT(Overig!U745,""",""?00;"",""?-00;"",""?00;"", //"""),"'","""")&amp;SUBSTITUTE(TEXT(Overig!V745,""",""???0;"",""??-0;"",""???0;"", ///"""),"'","""")&amp;SUBSTITUTE(TEXT(Overig!W745,""",""?00;"",""?-00;"",""?00;"", //"""),"'","""")</f>
        <v>032, 19400704, 24.00, ////, 07, ////, 07,  285, 00,  305, 00, ///, 07, ////, 07, ////, 07, ////, 07, ////, 07, ///, 07</v>
      </c>
    </row>
    <row r="746" spans="1:1" x14ac:dyDescent="0.25">
      <c r="A746" s="12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//"""),"'","""")&amp;SUBSTITUTE(TEXT(IF(ISTEXT(Overig!J746),Overig!J746,10*Overig!J746),""",""????0;"",""???-0;"",""????0;"", ////"""),"'","""")&amp;SUBSTITUTE(TEXT(Overig!K746,""",""?00;"",""?-00;"",""?00;"", //"""),"'","""")&amp;SUBSTITUTE(TEXT(Overig!L746,""",""???0;"",""??-0;"",""???0;"", ///"""),"'","""")&amp;SUBSTITUTE(TEXT(Overig!M746,""",""?00;"",""?-00;"",""?00;"", //"""),"'","""")&amp;SUBSTITUTE(TEXT(IF(ISTEXT(Overig!N746),Overig!N746,10*Overig!N746),""",""????0;"",""???-0;"",""????0;"", ////"""),"'","""")&amp;SUBSTITUTE(TEXT(Overig!O746,""",""?00;"",""?-00;"",""?00;"", //"""),"'","""")&amp;SUBSTITUTE(TEXT(IF(ISTEXT(Overig!P746),Overig!P746,10*Overig!P746),""",""????0;"",""???-0;"",""????0;"", ////"""),"'","""")&amp;SUBSTITUTE(TEXT(Overig!Q746,""",""?00;"",""?-00;"",""?00;"", //"""),"'","""")&amp;SUBSTITUTE(TEXT(Overig!R746,""",""????0;"",""???-0;"",""????0;"", ////"""),"'","""")&amp;SUBSTITUTE(TEXT(Overig!S746,""",""?00;"",""?-00;"",""?00;"", //"""),"'","""")&amp;SUBSTITUTE(TEXT(IF(ISTEXT(Overig!T746),Overig!T746,10*Overig!T746),""",""????0;"",""???-0;"",""????0;"", ////"""),"'","""")&amp;SUBSTITUTE(TEXT(Overig!U746,""",""?00;"",""?-00;"",""?00;"", //"""),"'","""")&amp;SUBSTITUTE(TEXT(Overig!V746,""",""???0;"",""??-0;"",""???0;"", ///"""),"'","""")&amp;SUBSTITUTE(TEXT(Overig!W746,""",""?00;"",""?-00;"",""?00;"", //"""),"'","""")</f>
        <v>032, 19400705, 07.00, 7597, 00,  271, 00, ////, 07, ////, 07,  75, 00,  201, 00,  236, 00,   65, 00,    6, 00,   3, 00</v>
      </c>
    </row>
    <row r="747" spans="1:1" x14ac:dyDescent="0.25">
      <c r="A747" s="12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//"""),"'","""")&amp;SUBSTITUTE(TEXT(IF(ISTEXT(Overig!J747),Overig!J747,10*Overig!J747),""",""????0;"",""???-0;"",""????0;"", ////"""),"'","""")&amp;SUBSTITUTE(TEXT(Overig!K747,""",""?00;"",""?-00;"",""?00;"", //"""),"'","""")&amp;SUBSTITUTE(TEXT(Overig!L747,""",""???0;"",""??-0;"",""???0;"", ///"""),"'","""")&amp;SUBSTITUTE(TEXT(Overig!M747,""",""?00;"",""?-00;"",""?00;"", //"""),"'","""")&amp;SUBSTITUTE(TEXT(IF(ISTEXT(Overig!N747),Overig!N747,10*Overig!N747),""",""????0;"",""???-0;"",""????0;"", ////"""),"'","""")&amp;SUBSTITUTE(TEXT(Overig!O747,""",""?00;"",""?-00;"",""?00;"", //"""),"'","""")&amp;SUBSTITUTE(TEXT(IF(ISTEXT(Overig!P747),Overig!P747,10*Overig!P747),""",""????0;"",""???-0;"",""????0;"", ////"""),"'","""")&amp;SUBSTITUTE(TEXT(Overig!Q747,""",""?00;"",""?-00;"",""?00;"", //"""),"'","""")&amp;SUBSTITUTE(TEXT(Overig!R747,""",""????0;"",""???-0;"",""????0;"", ////"""),"'","""")&amp;SUBSTITUTE(TEXT(Overig!S747,""",""?00;"",""?-00;"",""?00;"", //"""),"'","""")&amp;SUBSTITUTE(TEXT(IF(ISTEXT(Overig!T747),Overig!T747,10*Overig!T747),""",""????0;"",""???-0;"",""????0;"", ////"""),"'","""")&amp;SUBSTITUTE(TEXT(Overig!U747,""",""?00;"",""?-00;"",""?00;"", //"""),"'","""")&amp;SUBSTITUTE(TEXT(Overig!V747,""",""???0;"",""??-0;"",""???0;"", ///"""),"'","""")&amp;SUBSTITUTE(TEXT(Overig!W747,""",""?00;"",""?-00;"",""?00;"", //"""),"'","""")</f>
        <v>032, 19400705, 12.00, 7602, 00,  283, 00, ////, 07, ////, 07,  70, 00,  202, 00,  240, 00,   65, 00,    6, 00,   4, 00</v>
      </c>
    </row>
    <row r="748" spans="1:1" x14ac:dyDescent="0.25">
      <c r="A748" s="12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//"""),"'","""")&amp;SUBSTITUTE(TEXT(IF(ISTEXT(Overig!J748),Overig!J748,10*Overig!J748),""",""????0;"",""???-0;"",""????0;"", ////"""),"'","""")&amp;SUBSTITUTE(TEXT(Overig!K748,""",""?00;"",""?-00;"",""?00;"", //"""),"'","""")&amp;SUBSTITUTE(TEXT(Overig!L748,""",""???0;"",""??-0;"",""???0;"", ///"""),"'","""")&amp;SUBSTITUTE(TEXT(Overig!M748,""",""?00;"",""?-00;"",""?00;"", //"""),"'","""")&amp;SUBSTITUTE(TEXT(IF(ISTEXT(Overig!N748),Overig!N748,10*Overig!N748),""",""????0;"",""???-0;"",""????0;"", ////"""),"'","""")&amp;SUBSTITUTE(TEXT(Overig!O748,""",""?00;"",""?-00;"",""?00;"", //"""),"'","""")&amp;SUBSTITUTE(TEXT(IF(ISTEXT(Overig!P748),Overig!P748,10*Overig!P748),""",""????0;"",""???-0;"",""????0;"", ////"""),"'","""")&amp;SUBSTITUTE(TEXT(Overig!Q748,""",""?00;"",""?-00;"",""?00;"", //"""),"'","""")&amp;SUBSTITUTE(TEXT(Overig!R748,""",""????0;"",""???-0;"",""????0;"", ////"""),"'","""")&amp;SUBSTITUTE(TEXT(Overig!S748,""",""?00;"",""?-00;"",""?00;"", //"""),"'","""")&amp;SUBSTITUTE(TEXT(IF(ISTEXT(Overig!T748),Overig!T748,10*Overig!T748),""",""????0;"",""???-0;"",""????0;"", ////"""),"'","""")&amp;SUBSTITUTE(TEXT(Overig!U748,""",""?00;"",""?-00;"",""?00;"", //"""),"'","""")&amp;SUBSTITUTE(TEXT(Overig!V748,""",""???0;"",""??-0;"",""???0;"", ///"""),"'","""")&amp;SUBSTITUTE(TEXT(Overig!W748,""",""?00;"",""?-00;"",""?00;"", //"""),"'","""")</f>
        <v>032, 19400705, 17.00, 7587, 00,  271, 00, ////, 07, ////, 07,  75, 00,  201, 00,  236, 00,   90, 00,    7, 00,   4, 00</v>
      </c>
    </row>
    <row r="749" spans="1:1" x14ac:dyDescent="0.25">
      <c r="A749" s="12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//"""),"'","""")&amp;SUBSTITUTE(TEXT(IF(ISTEXT(Overig!J749),Overig!J749,10*Overig!J749),""",""????0;"",""???-0;"",""????0;"", ////"""),"'","""")&amp;SUBSTITUTE(TEXT(Overig!K749,""",""?00;"",""?-00;"",""?00;"", //"""),"'","""")&amp;SUBSTITUTE(TEXT(Overig!L749,""",""???0;"",""??-0;"",""???0;"", ///"""),"'","""")&amp;SUBSTITUTE(TEXT(Overig!M749,""",""?00;"",""?-00;"",""?00;"", //"""),"'","""")&amp;SUBSTITUTE(TEXT(IF(ISTEXT(Overig!N749),Overig!N749,10*Overig!N749),""",""????0;"",""???-0;"",""????0;"", ////"""),"'","""")&amp;SUBSTITUTE(TEXT(Overig!O749,""",""?00;"",""?-00;"",""?00;"", //"""),"'","""")&amp;SUBSTITUTE(TEXT(IF(ISTEXT(Overig!P749),Overig!P749,10*Overig!P749),""",""????0;"",""???-0;"",""????0;"", ////"""),"'","""")&amp;SUBSTITUTE(TEXT(Overig!Q749,""",""?00;"",""?-00;"",""?00;"", //"""),"'","""")&amp;SUBSTITUTE(TEXT(Overig!R749,""",""????0;"",""???-0;"",""????0;"", ////"""),"'","""")&amp;SUBSTITUTE(TEXT(Overig!S749,""",""?00;"",""?-00;"",""?00;"", //"""),"'","""")&amp;SUBSTITUTE(TEXT(IF(ISTEXT(Overig!T749),Overig!T749,10*Overig!T749),""",""????0;"",""???-0;"",""????0;"", ////"""),"'","""")&amp;SUBSTITUTE(TEXT(Overig!U749,""",""?00;"",""?-00;"",""?00;"", //"""),"'","""")&amp;SUBSTITUTE(TEXT(Overig!V749,""",""???0;"",""??-0;"",""???0;"", ///"""),"'","""")&amp;SUBSTITUTE(TEXT(Overig!W749,""",""?00;"",""?-00;"",""?00;"", //"""),"'","""")</f>
        <v>032, 19400705, 24.00, ////, 07, ////, 07,  282, 00,  300, 00, ///, 07, ////, 07, ////, 07, ////, 07, ////, 07, ///, 07</v>
      </c>
    </row>
    <row r="750" spans="1:1" x14ac:dyDescent="0.25">
      <c r="A750" s="12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//"""),"'","""")&amp;SUBSTITUTE(TEXT(IF(ISTEXT(Overig!J750),Overig!J750,10*Overig!J750),""",""????0;"",""???-0;"",""????0;"", ////"""),"'","""")&amp;SUBSTITUTE(TEXT(Overig!K750,""",""?00;"",""?-00;"",""?00;"", //"""),"'","""")&amp;SUBSTITUTE(TEXT(Overig!L750,""",""???0;"",""??-0;"",""???0;"", ///"""),"'","""")&amp;SUBSTITUTE(TEXT(Overig!M750,""",""?00;"",""?-00;"",""?00;"", //"""),"'","""")&amp;SUBSTITUTE(TEXT(IF(ISTEXT(Overig!N750),Overig!N750,10*Overig!N750),""",""????0;"",""???-0;"",""????0;"", ////"""),"'","""")&amp;SUBSTITUTE(TEXT(Overig!O750,""",""?00;"",""?-00;"",""?00;"", //"""),"'","""")&amp;SUBSTITUTE(TEXT(IF(ISTEXT(Overig!P750),Overig!P750,10*Overig!P750),""",""????0;"",""???-0;"",""????0;"", ////"""),"'","""")&amp;SUBSTITUTE(TEXT(Overig!Q750,""",""?00;"",""?-00;"",""?00;"", //"""),"'","""")&amp;SUBSTITUTE(TEXT(Overig!R750,""",""????0;"",""???-0;"",""????0;"", ////"""),"'","""")&amp;SUBSTITUTE(TEXT(Overig!S750,""",""?00;"",""?-00;"",""?00;"", //"""),"'","""")&amp;SUBSTITUTE(TEXT(IF(ISTEXT(Overig!T750),Overig!T750,10*Overig!T750),""",""????0;"",""???-0;"",""????0;"", ////"""),"'","""")&amp;SUBSTITUTE(TEXT(Overig!U750,""",""?00;"",""?-00;"",""?00;"", //"""),"'","""")&amp;SUBSTITUTE(TEXT(Overig!V750,""",""???0;"",""??-0;"",""???0;"", ///"""),"'","""")&amp;SUBSTITUTE(TEXT(Overig!W750,""",""?00;"",""?-00;"",""?00;"", //"""),"'","""")</f>
        <v>032, 19400706, 07.00, 7595, 00,  273, 00, ////, 07, ////, 07,  73, 00,  200, 00,  236, 00,   65, 00,    6, 00,   3, 00</v>
      </c>
    </row>
    <row r="751" spans="1:1" x14ac:dyDescent="0.25">
      <c r="A751" s="12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//"""),"'","""")&amp;SUBSTITUTE(TEXT(IF(ISTEXT(Overig!J751),Overig!J751,10*Overig!J751),""",""????0;"",""???-0;"",""????0;"", ////"""),"'","""")&amp;SUBSTITUTE(TEXT(Overig!K751,""",""?00;"",""?-00;"",""?00;"", //"""),"'","""")&amp;SUBSTITUTE(TEXT(Overig!L751,""",""???0;"",""??-0;"",""???0;"", ///"""),"'","""")&amp;SUBSTITUTE(TEXT(Overig!M751,""",""?00;"",""?-00;"",""?00;"", //"""),"'","""")&amp;SUBSTITUTE(TEXT(IF(ISTEXT(Overig!N751),Overig!N751,10*Overig!N751),""",""????0;"",""???-0;"",""????0;"", ////"""),"'","""")&amp;SUBSTITUTE(TEXT(Overig!O751,""",""?00;"",""?-00;"",""?00;"", //"""),"'","""")&amp;SUBSTITUTE(TEXT(IF(ISTEXT(Overig!P751),Overig!P751,10*Overig!P751),""",""????0;"",""???-0;"",""????0;"", ////"""),"'","""")&amp;SUBSTITUTE(TEXT(Overig!Q751,""",""?00;"",""?-00;"",""?00;"", //"""),"'","""")&amp;SUBSTITUTE(TEXT(Overig!R751,""",""????0;"",""???-0;"",""????0;"", ////"""),"'","""")&amp;SUBSTITUTE(TEXT(Overig!S751,""",""?00;"",""?-00;"",""?00;"", //"""),"'","""")&amp;SUBSTITUTE(TEXT(IF(ISTEXT(Overig!T751),Overig!T751,10*Overig!T751),""",""????0;"",""???-0;"",""????0;"", ////"""),"'","""")&amp;SUBSTITUTE(TEXT(Overig!U751,""",""?00;"",""?-00;"",""?00;"", //"""),"'","""")&amp;SUBSTITUTE(TEXT(Overig!V751,""",""???0;"",""??-0;"",""???0;"", ///"""),"'","""")&amp;SUBSTITUTE(TEXT(Overig!W751,""",""?00;"",""?-00;"",""?00;"", //"""),"'","""")</f>
        <v>032, 19400706, 12.00, 7597, 00,  285, 00, ////, 07, ////, 07,  69, 00,  201, 00,  240, 00,   65, 00,    7, 00,   3, 00</v>
      </c>
    </row>
    <row r="752" spans="1:1" x14ac:dyDescent="0.25">
      <c r="A752" s="12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//"""),"'","""")&amp;SUBSTITUTE(TEXT(IF(ISTEXT(Overig!J752),Overig!J752,10*Overig!J752),""",""????0;"",""???-0;"",""????0;"", ////"""),"'","""")&amp;SUBSTITUTE(TEXT(Overig!K752,""",""?00;"",""?-00;"",""?00;"", //"""),"'","""")&amp;SUBSTITUTE(TEXT(Overig!L752,""",""???0;"",""??-0;"",""???0;"", ///"""),"'","""")&amp;SUBSTITUTE(TEXT(Overig!M752,""",""?00;"",""?-00;"",""?00;"", //"""),"'","""")&amp;SUBSTITUTE(TEXT(IF(ISTEXT(Overig!N752),Overig!N752,10*Overig!N752),""",""????0;"",""???-0;"",""????0;"", ////"""),"'","""")&amp;SUBSTITUTE(TEXT(Overig!O752,""",""?00;"",""?-00;"",""?00;"", //"""),"'","""")&amp;SUBSTITUTE(TEXT(IF(ISTEXT(Overig!P752),Overig!P752,10*Overig!P752),""",""????0;"",""???-0;"",""????0;"", ////"""),"'","""")&amp;SUBSTITUTE(TEXT(Overig!Q752,""",""?00;"",""?-00;"",""?00;"", //"""),"'","""")&amp;SUBSTITUTE(TEXT(Overig!R752,""",""????0;"",""???-0;"",""????0;"", ////"""),"'","""")&amp;SUBSTITUTE(TEXT(Overig!S752,""",""?00;"",""?-00;"",""?00;"", //"""),"'","""")&amp;SUBSTITUTE(TEXT(IF(ISTEXT(Overig!T752),Overig!T752,10*Overig!T752),""",""????0;"",""???-0;"",""????0;"", ////"""),"'","""")&amp;SUBSTITUTE(TEXT(Overig!U752,""",""?00;"",""?-00;"",""?00;"", //"""),"'","""")&amp;SUBSTITUTE(TEXT(Overig!V752,""",""???0;"",""??-0;"",""???0;"", ///"""),"'","""")&amp;SUBSTITUTE(TEXT(Overig!W752,""",""?00;"",""?-00;"",""?00;"", //"""),"'","""")</f>
        <v>032, 19400706, 17.00, 7587, 00,  271, 00, ////, 07, ////, 07,  76, 00,  205, 00,  238, 00,   65, 00,    7, 00,   2, 00</v>
      </c>
    </row>
    <row r="753" spans="1:1" x14ac:dyDescent="0.25">
      <c r="A753" s="12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//"""),"'","""")&amp;SUBSTITUTE(TEXT(IF(ISTEXT(Overig!J753),Overig!J753,10*Overig!J753),""",""????0;"",""???-0;"",""????0;"", ////"""),"'","""")&amp;SUBSTITUTE(TEXT(Overig!K753,""",""?00;"",""?-00;"",""?00;"", //"""),"'","""")&amp;SUBSTITUTE(TEXT(Overig!L753,""",""???0;"",""??-0;"",""???0;"", ///"""),"'","""")&amp;SUBSTITUTE(TEXT(Overig!M753,""",""?00;"",""?-00;"",""?00;"", //"""),"'","""")&amp;SUBSTITUTE(TEXT(IF(ISTEXT(Overig!N753),Overig!N753,10*Overig!N753),""",""????0;"",""???-0;"",""????0;"", ////"""),"'","""")&amp;SUBSTITUTE(TEXT(Overig!O753,""",""?00;"",""?-00;"",""?00;"", //"""),"'","""")&amp;SUBSTITUTE(TEXT(IF(ISTEXT(Overig!P753),Overig!P753,10*Overig!P753),""",""????0;"",""???-0;"",""????0;"", ////"""),"'","""")&amp;SUBSTITUTE(TEXT(Overig!Q753,""",""?00;"",""?-00;"",""?00;"", //"""),"'","""")&amp;SUBSTITUTE(TEXT(Overig!R753,""",""????0;"",""???-0;"",""????0;"", ////"""),"'","""")&amp;SUBSTITUTE(TEXT(Overig!S753,""",""?00;"",""?-00;"",""?00;"", //"""),"'","""")&amp;SUBSTITUTE(TEXT(IF(ISTEXT(Overig!T753),Overig!T753,10*Overig!T753),""",""????0;"",""???-0;"",""????0;"", ////"""),"'","""")&amp;SUBSTITUTE(TEXT(Overig!U753,""",""?00;"",""?-00;"",""?00;"", //"""),"'","""")&amp;SUBSTITUTE(TEXT(Overig!V753,""",""???0;"",""??-0;"",""???0;"", ///"""),"'","""")&amp;SUBSTITUTE(TEXT(Overig!W753,""",""?00;"",""?-00;"",""?00;"", //"""),"'","""")</f>
        <v>032, 19400706, 24.00, ////, 07, ////, 07,  284, 00,  305, 00, ///, 07, ////, 07, ////, 07, ////, 07, ////, 07, ///, 07</v>
      </c>
    </row>
    <row r="754" spans="1:1" x14ac:dyDescent="0.25">
      <c r="A754" s="12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//"""),"'","""")&amp;SUBSTITUTE(TEXT(IF(ISTEXT(Overig!J754),Overig!J754,10*Overig!J754),""",""????0;"",""???-0;"",""????0;"", ////"""),"'","""")&amp;SUBSTITUTE(TEXT(Overig!K754,""",""?00;"",""?-00;"",""?00;"", //"""),"'","""")&amp;SUBSTITUTE(TEXT(Overig!L754,""",""???0;"",""??-0;"",""???0;"", ///"""),"'","""")&amp;SUBSTITUTE(TEXT(Overig!M754,""",""?00;"",""?-00;"",""?00;"", //"""),"'","""")&amp;SUBSTITUTE(TEXT(IF(ISTEXT(Overig!N754),Overig!N754,10*Overig!N754),""",""????0;"",""???-0;"",""????0;"", ////"""),"'","""")&amp;SUBSTITUTE(TEXT(Overig!O754,""",""?00;"",""?-00;"",""?00;"", //"""),"'","""")&amp;SUBSTITUTE(TEXT(IF(ISTEXT(Overig!P754),Overig!P754,10*Overig!P754),""",""????0;"",""???-0;"",""????0;"", ////"""),"'","""")&amp;SUBSTITUTE(TEXT(Overig!Q754,""",""?00;"",""?-00;"",""?00;"", //"""),"'","""")&amp;SUBSTITUTE(TEXT(Overig!R754,""",""????0;"",""???-0;"",""????0;"", ////"""),"'","""")&amp;SUBSTITUTE(TEXT(Overig!S754,""",""?00;"",""?-00;"",""?00;"", //"""),"'","""")&amp;SUBSTITUTE(TEXT(IF(ISTEXT(Overig!T754),Overig!T754,10*Overig!T754),""",""????0;"",""???-0;"",""????0;"", ////"""),"'","""")&amp;SUBSTITUTE(TEXT(Overig!U754,""",""?00;"",""?-00;"",""?00;"", //"""),"'","""")&amp;SUBSTITUTE(TEXT(Overig!V754,""",""???0;"",""??-0;"",""???0;"", ///"""),"'","""")&amp;SUBSTITUTE(TEXT(Overig!W754,""",""?00;"",""?-00;"",""?00;"", //"""),"'","""")</f>
        <v>032, 19400707, 07.00, 7589, 00,  269, 00, ////, 07, ////, 07,  74, 00,  198, 00,  234, 00,   65, 00,    6, 00,   3, 00</v>
      </c>
    </row>
    <row r="755" spans="1:1" x14ac:dyDescent="0.25">
      <c r="A755" s="12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//"""),"'","""")&amp;SUBSTITUTE(TEXT(IF(ISTEXT(Overig!J755),Overig!J755,10*Overig!J755),""",""????0;"",""???-0;"",""????0;"", ////"""),"'","""")&amp;SUBSTITUTE(TEXT(Overig!K755,""",""?00;"",""?-00;"",""?00;"", //"""),"'","""")&amp;SUBSTITUTE(TEXT(Overig!L755,""",""???0;"",""??-0;"",""???0;"", ///"""),"'","""")&amp;SUBSTITUTE(TEXT(Overig!M755,""",""?00;"",""?-00;"",""?00;"", //"""),"'","""")&amp;SUBSTITUTE(TEXT(IF(ISTEXT(Overig!N755),Overig!N755,10*Overig!N755),""",""????0;"",""???-0;"",""????0;"", ////"""),"'","""")&amp;SUBSTITUTE(TEXT(Overig!O755,""",""?00;"",""?-00;"",""?00;"", //"""),"'","""")&amp;SUBSTITUTE(TEXT(IF(ISTEXT(Overig!P755),Overig!P755,10*Overig!P755),""",""????0;"",""???-0;"",""????0;"", ////"""),"'","""")&amp;SUBSTITUTE(TEXT(Overig!Q755,""",""?00;"",""?-00;"",""?00;"", //"""),"'","""")&amp;SUBSTITUTE(TEXT(Overig!R755,""",""????0;"",""???-0;"",""????0;"", ////"""),"'","""")&amp;SUBSTITUTE(TEXT(Overig!S755,""",""?00;"",""?-00;"",""?00;"", //"""),"'","""")&amp;SUBSTITUTE(TEXT(IF(ISTEXT(Overig!T755),Overig!T755,10*Overig!T755),""",""????0;"",""???-0;"",""????0;"", ////"""),"'","""")&amp;SUBSTITUTE(TEXT(Overig!U755,""",""?00;"",""?-00;"",""?00;"", //"""),"'","""")&amp;SUBSTITUTE(TEXT(Overig!V755,""",""???0;"",""??-0;"",""???0;"", ///"""),"'","""")&amp;SUBSTITUTE(TEXT(Overig!W755,""",""?00;"",""?-00;"",""?00;"", //"""),"'","""")</f>
        <v>032, 19400707, 12.00, 7605, 00,  285, 00, ////, 07, ////, 07,  70, 00,  205, 00,  242, 00,   65, 00,    7, 00,   2, 00</v>
      </c>
    </row>
    <row r="756" spans="1:1" x14ac:dyDescent="0.25">
      <c r="A756" s="12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//"""),"'","""")&amp;SUBSTITUTE(TEXT(IF(ISTEXT(Overig!J756),Overig!J756,10*Overig!J756),""",""????0;"",""???-0;"",""????0;"", ////"""),"'","""")&amp;SUBSTITUTE(TEXT(Overig!K756,""",""?00;"",""?-00;"",""?00;"", //"""),"'","""")&amp;SUBSTITUTE(TEXT(Overig!L756,""",""???0;"",""??-0;"",""???0;"", ///"""),"'","""")&amp;SUBSTITUTE(TEXT(Overig!M756,""",""?00;"",""?-00;"",""?00;"", //"""),"'","""")&amp;SUBSTITUTE(TEXT(IF(ISTEXT(Overig!N756),Overig!N756,10*Overig!N756),""",""????0;"",""???-0;"",""????0;"", ////"""),"'","""")&amp;SUBSTITUTE(TEXT(Overig!O756,""",""?00;"",""?-00;"",""?00;"", //"""),"'","""")&amp;SUBSTITUTE(TEXT(IF(ISTEXT(Overig!P756),Overig!P756,10*Overig!P756),""",""????0;"",""???-0;"",""????0;"", ////"""),"'","""")&amp;SUBSTITUTE(TEXT(Overig!Q756,""",""?00;"",""?-00;"",""?00;"", //"""),"'","""")&amp;SUBSTITUTE(TEXT(Overig!R756,""",""????0;"",""???-0;"",""????0;"", ////"""),"'","""")&amp;SUBSTITUTE(TEXT(Overig!S756,""",""?00;"",""?-00;"",""?00;"", //"""),"'","""")&amp;SUBSTITUTE(TEXT(IF(ISTEXT(Overig!T756),Overig!T756,10*Overig!T756),""",""????0;"",""???-0;"",""????0;"", ////"""),"'","""")&amp;SUBSTITUTE(TEXT(Overig!U756,""",""?00;"",""?-00;"",""?00;"", //"""),"'","""")&amp;SUBSTITUTE(TEXT(Overig!V756,""",""???0;"",""??-0;"",""???0;"", ///"""),"'","""")&amp;SUBSTITUTE(TEXT(Overig!W756,""",""?00;"",""?-00;"",""?00;"", //"""),"'","""")</f>
        <v>032, 19400707, 17.00, 7600, 00,  279, 00, ////, 07, ////, 07,  71, 00,  201, 00,  238, 00,   90, 00,    7, 00,   2, 00</v>
      </c>
    </row>
    <row r="757" spans="1:1" x14ac:dyDescent="0.25">
      <c r="A757" s="12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//"""),"'","""")&amp;SUBSTITUTE(TEXT(IF(ISTEXT(Overig!J757),Overig!J757,10*Overig!J757),""",""????0;"",""???-0;"",""????0;"", ////"""),"'","""")&amp;SUBSTITUTE(TEXT(Overig!K757,""",""?00;"",""?-00;"",""?00;"", //"""),"'","""")&amp;SUBSTITUTE(TEXT(Overig!L757,""",""???0;"",""??-0;"",""???0;"", ///"""),"'","""")&amp;SUBSTITUTE(TEXT(Overig!M757,""",""?00;"",""?-00;"",""?00;"", //"""),"'","""")&amp;SUBSTITUTE(TEXT(IF(ISTEXT(Overig!N757),Overig!N757,10*Overig!N757),""",""????0;"",""???-0;"",""????0;"", ////"""),"'","""")&amp;SUBSTITUTE(TEXT(Overig!O757,""",""?00;"",""?-00;"",""?00;"", //"""),"'","""")&amp;SUBSTITUTE(TEXT(IF(ISTEXT(Overig!P757),Overig!P757,10*Overig!P757),""",""????0;"",""???-0;"",""????0;"", ////"""),"'","""")&amp;SUBSTITUTE(TEXT(Overig!Q757,""",""?00;"",""?-00;"",""?00;"", //"""),"'","""")&amp;SUBSTITUTE(TEXT(Overig!R757,""",""????0;"",""???-0;"",""????0;"", ////"""),"'","""")&amp;SUBSTITUTE(TEXT(Overig!S757,""",""?00;"",""?-00;"",""?00;"", //"""),"'","""")&amp;SUBSTITUTE(TEXT(IF(ISTEXT(Overig!T757),Overig!T757,10*Overig!T757),""",""????0;"",""???-0;"",""????0;"", ////"""),"'","""")&amp;SUBSTITUTE(TEXT(Overig!U757,""",""?00;"",""?-00;"",""?00;"", //"""),"'","""")&amp;SUBSTITUTE(TEXT(Overig!V757,""",""???0;"",""??-0;"",""???0;"", ///"""),"'","""")&amp;SUBSTITUTE(TEXT(Overig!W757,""",""?00;"",""?-00;"",""?00;"", //"""),"'","""")</f>
        <v>032, 19400707, 24.00, ////, 07, ////, 07,  290, 00,  315, 00, ///, 07, ////, 07, ////, 07, ////, 07, ////, 07, ///, 07</v>
      </c>
    </row>
    <row r="758" spans="1:1" x14ac:dyDescent="0.25">
      <c r="A758" s="12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//"""),"'","""")&amp;SUBSTITUTE(TEXT(IF(ISTEXT(Overig!J758),Overig!J758,10*Overig!J758),""",""????0;"",""???-0;"",""????0;"", ////"""),"'","""")&amp;SUBSTITUTE(TEXT(Overig!K758,""",""?00;"",""?-00;"",""?00;"", //"""),"'","""")&amp;SUBSTITUTE(TEXT(Overig!L758,""",""???0;"",""??-0;"",""???0;"", ///"""),"'","""")&amp;SUBSTITUTE(TEXT(Overig!M758,""",""?00;"",""?-00;"",""?00;"", //"""),"'","""")&amp;SUBSTITUTE(TEXT(IF(ISTEXT(Overig!N758),Overig!N758,10*Overig!N758),""",""????0;"",""???-0;"",""????0;"", ////"""),"'","""")&amp;SUBSTITUTE(TEXT(Overig!O758,""",""?00;"",""?-00;"",""?00;"", //"""),"'","""")&amp;SUBSTITUTE(TEXT(IF(ISTEXT(Overig!P758),Overig!P758,10*Overig!P758),""",""????0;"",""???-0;"",""????0;"", ////"""),"'","""")&amp;SUBSTITUTE(TEXT(Overig!Q758,""",""?00;"",""?-00;"",""?00;"", //"""),"'","""")&amp;SUBSTITUTE(TEXT(Overig!R758,""",""????0;"",""???-0;"",""????0;"", ////"""),"'","""")&amp;SUBSTITUTE(TEXT(Overig!S758,""",""?00;"",""?-00;"",""?00;"", //"""),"'","""")&amp;SUBSTITUTE(TEXT(IF(ISTEXT(Overig!T758),Overig!T758,10*Overig!T758),""",""????0;"",""???-0;"",""????0;"", ////"""),"'","""")&amp;SUBSTITUTE(TEXT(Overig!U758,""",""?00;"",""?-00;"",""?00;"", //"""),"'","""")&amp;SUBSTITUTE(TEXT(Overig!V758,""",""???0;"",""??-0;"",""???0;"", ///"""),"'","""")&amp;SUBSTITUTE(TEXT(Overig!W758,""",""?00;"",""?-00;"",""?00;"", //"""),"'","""")</f>
        <v>032, 19400708, 07.00, 7595, 00,  281, 00, ////, 07, ////, 07,  71, 00,  203, 00,  240, 00,   65, 00,    7, 00,   3, 00</v>
      </c>
    </row>
    <row r="759" spans="1:1" x14ac:dyDescent="0.25">
      <c r="A759" s="12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//"""),"'","""")&amp;SUBSTITUTE(TEXT(IF(ISTEXT(Overig!J759),Overig!J759,10*Overig!J759),""",""????0;"",""???-0;"",""????0;"", ////"""),"'","""")&amp;SUBSTITUTE(TEXT(Overig!K759,""",""?00;"",""?-00;"",""?00;"", //"""),"'","""")&amp;SUBSTITUTE(TEXT(Overig!L759,""",""???0;"",""??-0;"",""???0;"", ///"""),"'","""")&amp;SUBSTITUTE(TEXT(Overig!M759,""",""?00;"",""?-00;"",""?00;"", //"""),"'","""")&amp;SUBSTITUTE(TEXT(IF(ISTEXT(Overig!N759),Overig!N759,10*Overig!N759),""",""????0;"",""???-0;"",""????0;"", ////"""),"'","""")&amp;SUBSTITUTE(TEXT(Overig!O759,""",""?00;"",""?-00;"",""?00;"", //"""),"'","""")&amp;SUBSTITUTE(TEXT(IF(ISTEXT(Overig!P759),Overig!P759,10*Overig!P759),""",""????0;"",""???-0;"",""????0;"", ////"""),"'","""")&amp;SUBSTITUTE(TEXT(Overig!Q759,""",""?00;"",""?-00;"",""?00;"", //"""),"'","""")&amp;SUBSTITUTE(TEXT(Overig!R759,""",""????0;"",""???-0;"",""????0;"", ////"""),"'","""")&amp;SUBSTITUTE(TEXT(Overig!S759,""",""?00;"",""?-00;"",""?00;"", //"""),"'","""")&amp;SUBSTITUTE(TEXT(IF(ISTEXT(Overig!T759),Overig!T759,10*Overig!T759),""",""????0;"",""???-0;"",""????0;"", ////"""),"'","""")&amp;SUBSTITUTE(TEXT(Overig!U759,""",""?00;"",""?-00;"",""?00;"", //"""),"'","""")&amp;SUBSTITUTE(TEXT(Overig!V759,""",""???0;"",""??-0;"",""???0;"", ///"""),"'","""")&amp;SUBSTITUTE(TEXT(Overig!W759,""",""?00;"",""?-00;"",""?00;"", //"""),"'","""")</f>
        <v>032, 19400708, 12.00, 7600, 00,  283, 00, ////, 07, ////, 07,  73, 00,  210, 00,  244, 00,   65, 00,    7, 00,   2, 00</v>
      </c>
    </row>
    <row r="760" spans="1:1" x14ac:dyDescent="0.25">
      <c r="A760" s="12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//"""),"'","""")&amp;SUBSTITUTE(TEXT(IF(ISTEXT(Overig!J760),Overig!J760,10*Overig!J760),""",""????0;"",""???-0;"",""????0;"", ////"""),"'","""")&amp;SUBSTITUTE(TEXT(Overig!K760,""",""?00;"",""?-00;"",""?00;"", //"""),"'","""")&amp;SUBSTITUTE(TEXT(Overig!L760,""",""???0;"",""??-0;"",""???0;"", ///"""),"'","""")&amp;SUBSTITUTE(TEXT(Overig!M760,""",""?00;"",""?-00;"",""?00;"", //"""),"'","""")&amp;SUBSTITUTE(TEXT(IF(ISTEXT(Overig!N760),Overig!N760,10*Overig!N760),""",""????0;"",""???-0;"",""????0;"", ////"""),"'","""")&amp;SUBSTITUTE(TEXT(Overig!O760,""",""?00;"",""?-00;"",""?00;"", //"""),"'","""")&amp;SUBSTITUTE(TEXT(IF(ISTEXT(Overig!P760),Overig!P760,10*Overig!P760),""",""????0;"",""???-0;"",""????0;"", ////"""),"'","""")&amp;SUBSTITUTE(TEXT(Overig!Q760,""",""?00;"",""?-00;"",""?00;"", //"""),"'","""")&amp;SUBSTITUTE(TEXT(Overig!R760,""",""????0;"",""???-0;"",""????0;"", ////"""),"'","""")&amp;SUBSTITUTE(TEXT(Overig!S760,""",""?00;"",""?-00;"",""?00;"", //"""),"'","""")&amp;SUBSTITUTE(TEXT(IF(ISTEXT(Overig!T760),Overig!T760,10*Overig!T760),""",""????0;"",""???-0;"",""????0;"", ////"""),"'","""")&amp;SUBSTITUTE(TEXT(Overig!U760,""",""?00;"",""?-00;"",""?00;"", //"""),"'","""")&amp;SUBSTITUTE(TEXT(Overig!V760,""",""???0;"",""??-0;"",""???0;"", ///"""),"'","""")&amp;SUBSTITUTE(TEXT(Overig!W760,""",""?00;"",""?-00;"",""?00;"", //"""),"'","""")</f>
        <v>032, 19400708, 17.00, 7592, 00,  281, 00, ////, 07, ////, 07,  70, 00,  200, 00,  238, 00,   90, 00,    7, 00,   2, 00</v>
      </c>
    </row>
    <row r="761" spans="1:1" x14ac:dyDescent="0.25">
      <c r="A761" s="12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//"""),"'","""")&amp;SUBSTITUTE(TEXT(IF(ISTEXT(Overig!J761),Overig!J761,10*Overig!J761),""",""????0;"",""???-0;"",""????0;"", ////"""),"'","""")&amp;SUBSTITUTE(TEXT(Overig!K761,""",""?00;"",""?-00;"",""?00;"", //"""),"'","""")&amp;SUBSTITUTE(TEXT(Overig!L761,""",""???0;"",""??-0;"",""???0;"", ///"""),"'","""")&amp;SUBSTITUTE(TEXT(Overig!M761,""",""?00;"",""?-00;"",""?00;"", //"""),"'","""")&amp;SUBSTITUTE(TEXT(IF(ISTEXT(Overig!N761),Overig!N761,10*Overig!N761),""",""????0;"",""???-0;"",""????0;"", ////"""),"'","""")&amp;SUBSTITUTE(TEXT(Overig!O761,""",""?00;"",""?-00;"",""?00;"", //"""),"'","""")&amp;SUBSTITUTE(TEXT(IF(ISTEXT(Overig!P761),Overig!P761,10*Overig!P761),""",""????0;"",""???-0;"",""????0;"", ////"""),"'","""")&amp;SUBSTITUTE(TEXT(Overig!Q761,""",""?00;"",""?-00;"",""?00;"", //"""),"'","""")&amp;SUBSTITUTE(TEXT(Overig!R761,""",""????0;"",""???-0;"",""????0;"", ////"""),"'","""")&amp;SUBSTITUTE(TEXT(Overig!S761,""",""?00;"",""?-00;"",""?00;"", //"""),"'","""")&amp;SUBSTITUTE(TEXT(IF(ISTEXT(Overig!T761),Overig!T761,10*Overig!T761),""",""????0;"",""???-0;"",""????0;"", ////"""),"'","""")&amp;SUBSTITUTE(TEXT(Overig!U761,""",""?00;"",""?-00;"",""?00;"", //"""),"'","""")&amp;SUBSTITUTE(TEXT(Overig!V761,""",""???0;"",""??-0;"",""???0;"", ///"""),"'","""")&amp;SUBSTITUTE(TEXT(Overig!W761,""",""?00;"",""?-00;"",""?00;"", //"""),"'","""")</f>
        <v>032, 19400708, 24.00, ////, 07, ////, 07,  296, 00,  320, 00, ///, 07, ////, 07, ////, 07, ////, 07, ////, 07, ///, 07</v>
      </c>
    </row>
    <row r="762" spans="1:1" x14ac:dyDescent="0.25">
      <c r="A762" s="12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//"""),"'","""")&amp;SUBSTITUTE(TEXT(IF(ISTEXT(Overig!J762),Overig!J762,10*Overig!J762),""",""????0;"",""???-0;"",""????0;"", ////"""),"'","""")&amp;SUBSTITUTE(TEXT(Overig!K762,""",""?00;"",""?-00;"",""?00;"", //"""),"'","""")&amp;SUBSTITUTE(TEXT(Overig!L762,""",""???0;"",""??-0;"",""???0;"", ///"""),"'","""")&amp;SUBSTITUTE(TEXT(Overig!M762,""",""?00;"",""?-00;"",""?00;"", //"""),"'","""")&amp;SUBSTITUTE(TEXT(IF(ISTEXT(Overig!N762),Overig!N762,10*Overig!N762),""",""????0;"",""???-0;"",""????0;"", ////"""),"'","""")&amp;SUBSTITUTE(TEXT(Overig!O762,""",""?00;"",""?-00;"",""?00;"", //"""),"'","""")&amp;SUBSTITUTE(TEXT(IF(ISTEXT(Overig!P762),Overig!P762,10*Overig!P762),""",""????0;"",""???-0;"",""????0;"", ////"""),"'","""")&amp;SUBSTITUTE(TEXT(Overig!Q762,""",""?00;"",""?-00;"",""?00;"", //"""),"'","""")&amp;SUBSTITUTE(TEXT(Overig!R762,""",""????0;"",""???-0;"",""????0;"", ////"""),"'","""")&amp;SUBSTITUTE(TEXT(Overig!S762,""",""?00;"",""?-00;"",""?00;"", //"""),"'","""")&amp;SUBSTITUTE(TEXT(IF(ISTEXT(Overig!T762),Overig!T762,10*Overig!T762),""",""????0;"",""???-0;"",""????0;"", ////"""),"'","""")&amp;SUBSTITUTE(TEXT(Overig!U762,""",""?00;"",""?-00;"",""?00;"", //"""),"'","""")&amp;SUBSTITUTE(TEXT(Overig!V762,""",""???0;"",""??-0;"",""???0;"", ///"""),"'","""")&amp;SUBSTITUTE(TEXT(Overig!W762,""",""?00;"",""?-00;"",""?00;"", //"""),"'","""")</f>
        <v>032, 19400709, 07.00, 7620, 00,  283, 00, ////, 07, ////, 07,  71, 00,  206, 00,  242, 00,   45, 00,    7, 00,   2, 00</v>
      </c>
    </row>
    <row r="763" spans="1:1" x14ac:dyDescent="0.25">
      <c r="A763" s="12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//"""),"'","""")&amp;SUBSTITUTE(TEXT(IF(ISTEXT(Overig!J763),Overig!J763,10*Overig!J763),""",""????0;"",""???-0;"",""????0;"", ////"""),"'","""")&amp;SUBSTITUTE(TEXT(Overig!K763,""",""?00;"",""?-00;"",""?00;"", //"""),"'","""")&amp;SUBSTITUTE(TEXT(Overig!L763,""",""???0;"",""??-0;"",""???0;"", ///"""),"'","""")&amp;SUBSTITUTE(TEXT(Overig!M763,""",""?00;"",""?-00;"",""?00;"", //"""),"'","""")&amp;SUBSTITUTE(TEXT(IF(ISTEXT(Overig!N763),Overig!N763,10*Overig!N763),""",""????0;"",""???-0;"",""????0;"", ////"""),"'","""")&amp;SUBSTITUTE(TEXT(Overig!O763,""",""?00;"",""?-00;"",""?00;"", //"""),"'","""")&amp;SUBSTITUTE(TEXT(IF(ISTEXT(Overig!P763),Overig!P763,10*Overig!P763),""",""????0;"",""???-0;"",""????0;"", ////"""),"'","""")&amp;SUBSTITUTE(TEXT(Overig!Q763,""",""?00;"",""?-00;"",""?00;"", //"""),"'","""")&amp;SUBSTITUTE(TEXT(Overig!R763,""",""????0;"",""???-0;"",""????0;"", ////"""),"'","""")&amp;SUBSTITUTE(TEXT(Overig!S763,""",""?00;"",""?-00;"",""?00;"", //"""),"'","""")&amp;SUBSTITUTE(TEXT(IF(ISTEXT(Overig!T763),Overig!T763,10*Overig!T763),""",""????0;"",""???-0;"",""????0;"", ////"""),"'","""")&amp;SUBSTITUTE(TEXT(Overig!U763,""",""?00;"",""?-00;"",""?00;"", //"""),"'","""")&amp;SUBSTITUTE(TEXT(Overig!V763,""",""???0;"",""??-0;"",""???0;"", ///"""),"'","""")&amp;SUBSTITUTE(TEXT(Overig!W763,""",""?00;"",""?-00;"",""?00;"", //"""),"'","""")</f>
        <v>032, 19400709, 12.00, 7605, 00,  287, 00, ////, 07, ////, 07,  71, 00,  212, 00,  246, 00,   45, 00,    7, 00,   2, 00</v>
      </c>
    </row>
    <row r="764" spans="1:1" x14ac:dyDescent="0.25">
      <c r="A764" s="12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//"""),"'","""")&amp;SUBSTITUTE(TEXT(IF(ISTEXT(Overig!J764),Overig!J764,10*Overig!J764),""",""????0;"",""???-0;"",""????0;"", ////"""),"'","""")&amp;SUBSTITUTE(TEXT(Overig!K764,""",""?00;"",""?-00;"",""?00;"", //"""),"'","""")&amp;SUBSTITUTE(TEXT(Overig!L764,""",""???0;"",""??-0;"",""???0;"", ///"""),"'","""")&amp;SUBSTITUTE(TEXT(Overig!M764,""",""?00;"",""?-00;"",""?00;"", //"""),"'","""")&amp;SUBSTITUTE(TEXT(IF(ISTEXT(Overig!N764),Overig!N764,10*Overig!N764),""",""????0;"",""???-0;"",""????0;"", ////"""),"'","""")&amp;SUBSTITUTE(TEXT(Overig!O764,""",""?00;"",""?-00;"",""?00;"", //"""),"'","""")&amp;SUBSTITUTE(TEXT(IF(ISTEXT(Overig!P764),Overig!P764,10*Overig!P764),""",""????0;"",""???-0;"",""????0;"", ////"""),"'","""")&amp;SUBSTITUTE(TEXT(Overig!Q764,""",""?00;"",""?-00;"",""?00;"", //"""),"'","""")&amp;SUBSTITUTE(TEXT(Overig!R764,""",""????0;"",""???-0;"",""????0;"", ////"""),"'","""")&amp;SUBSTITUTE(TEXT(Overig!S764,""",""?00;"",""?-00;"",""?00;"", //"""),"'","""")&amp;SUBSTITUTE(TEXT(IF(ISTEXT(Overig!T764),Overig!T764,10*Overig!T764),""",""????0;"",""???-0;"",""????0;"", ////"""),"'","""")&amp;SUBSTITUTE(TEXT(Overig!U764,""",""?00;"",""?-00;"",""?00;"", //"""),"'","""")&amp;SUBSTITUTE(TEXT(Overig!V764,""",""???0;"",""??-0;"",""???0;"", ///"""),"'","""")&amp;SUBSTITUTE(TEXT(Overig!W764,""",""?00;"",""?-00;"",""?00;"", //"""),"'","""")</f>
        <v>032, 19400709, 17.00, 7600, 00,  281, 00, ////, 07, ////, 07,  71, 00,  203, 00,  240, 00,   45, 00,    7, 00,   2, 00</v>
      </c>
    </row>
    <row r="765" spans="1:1" x14ac:dyDescent="0.25">
      <c r="A765" s="12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//"""),"'","""")&amp;SUBSTITUTE(TEXT(IF(ISTEXT(Overig!J765),Overig!J765,10*Overig!J765),""",""????0;"",""???-0;"",""????0;"", ////"""),"'","""")&amp;SUBSTITUTE(TEXT(Overig!K765,""",""?00;"",""?-00;"",""?00;"", //"""),"'","""")&amp;SUBSTITUTE(TEXT(Overig!L765,""",""???0;"",""??-0;"",""???0;"", ///"""),"'","""")&amp;SUBSTITUTE(TEXT(Overig!M765,""",""?00;"",""?-00;"",""?00;"", //"""),"'","""")&amp;SUBSTITUTE(TEXT(IF(ISTEXT(Overig!N765),Overig!N765,10*Overig!N765),""",""????0;"",""???-0;"",""????0;"", ////"""),"'","""")&amp;SUBSTITUTE(TEXT(Overig!O765,""",""?00;"",""?-00;"",""?00;"", //"""),"'","""")&amp;SUBSTITUTE(TEXT(IF(ISTEXT(Overig!P765),Overig!P765,10*Overig!P765),""",""????0;"",""???-0;"",""????0;"", ////"""),"'","""")&amp;SUBSTITUTE(TEXT(Overig!Q765,""",""?00;"",""?-00;"",""?00;"", //"""),"'","""")&amp;SUBSTITUTE(TEXT(Overig!R765,""",""????0;"",""???-0;"",""????0;"", ////"""),"'","""")&amp;SUBSTITUTE(TEXT(Overig!S765,""",""?00;"",""?-00;"",""?00;"", //"""),"'","""")&amp;SUBSTITUTE(TEXT(IF(ISTEXT(Overig!T765),Overig!T765,10*Overig!T765),""",""????0;"",""???-0;"",""????0;"", ////"""),"'","""")&amp;SUBSTITUTE(TEXT(Overig!U765,""",""?00;"",""?-00;"",""?00;"", //"""),"'","""")&amp;SUBSTITUTE(TEXT(Overig!V765,""",""???0;"",""??-0;"",""???0;"", ///"""),"'","""")&amp;SUBSTITUTE(TEXT(Overig!W765,""",""?00;"",""?-00;"",""?00;"", //"""),"'","""")</f>
        <v>032, 19400709, 24.00, ////, 07, ////, 07,  304, 00,  325, 00, ///, 07, ////, 07, ////, 07, ////, 07, ////, 07, ///, 07</v>
      </c>
    </row>
    <row r="766" spans="1:1" x14ac:dyDescent="0.25">
      <c r="A766" s="12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//"""),"'","""")&amp;SUBSTITUTE(TEXT(IF(ISTEXT(Overig!J766),Overig!J766,10*Overig!J766),""",""????0;"",""???-0;"",""????0;"", ////"""),"'","""")&amp;SUBSTITUTE(TEXT(Overig!K766,""",""?00;"",""?-00;"",""?00;"", //"""),"'","""")&amp;SUBSTITUTE(TEXT(Overig!L766,""",""???0;"",""??-0;"",""???0;"", ///"""),"'","""")&amp;SUBSTITUTE(TEXT(Overig!M766,""",""?00;"",""?-00;"",""?00;"", //"""),"'","""")&amp;SUBSTITUTE(TEXT(IF(ISTEXT(Overig!N766),Overig!N766,10*Overig!N766),""",""????0;"",""???-0;"",""????0;"", ////"""),"'","""")&amp;SUBSTITUTE(TEXT(Overig!O766,""",""?00;"",""?-00;"",""?00;"", //"""),"'","""")&amp;SUBSTITUTE(TEXT(IF(ISTEXT(Overig!P766),Overig!P766,10*Overig!P766),""",""????0;"",""???-0;"",""????0;"", ////"""),"'","""")&amp;SUBSTITUTE(TEXT(Overig!Q766,""",""?00;"",""?-00;"",""?00;"", //"""),"'","""")&amp;SUBSTITUTE(TEXT(Overig!R766,""",""????0;"",""???-0;"",""????0;"", ////"""),"'","""")&amp;SUBSTITUTE(TEXT(Overig!S766,""",""?00;"",""?-00;"",""?00;"", //"""),"'","""")&amp;SUBSTITUTE(TEXT(IF(ISTEXT(Overig!T766),Overig!T766,10*Overig!T766),""",""????0;"",""???-0;"",""????0;"", ////"""),"'","""")&amp;SUBSTITUTE(TEXT(Overig!U766,""",""?00;"",""?-00;"",""?00;"", //"""),"'","""")&amp;SUBSTITUTE(TEXT(Overig!V766,""",""???0;"",""??-0;"",""???0;"", ///"""),"'","""")&amp;SUBSTITUTE(TEXT(Overig!W766,""",""?00;"",""?-00;"",""?00;"", //"""),"'","""")</f>
        <v>032, 19400710, 07.00, 7625, 00,  265, 00, ////, 07, ////, 07,  78, 00,  204, 00,  236, 00,   65, 00,    6, 00,   1, 00</v>
      </c>
    </row>
    <row r="767" spans="1:1" x14ac:dyDescent="0.25">
      <c r="A767" s="12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//"""),"'","""")&amp;SUBSTITUTE(TEXT(IF(ISTEXT(Overig!J767),Overig!J767,10*Overig!J767),""",""????0;"",""???-0;"",""????0;"", ////"""),"'","""")&amp;SUBSTITUTE(TEXT(Overig!K767,""",""?00;"",""?-00;"",""?00;"", //"""),"'","""")&amp;SUBSTITUTE(TEXT(Overig!L767,""",""???0;"",""??-0;"",""???0;"", ///"""),"'","""")&amp;SUBSTITUTE(TEXT(Overig!M767,""",""?00;"",""?-00;"",""?00;"", //"""),"'","""")&amp;SUBSTITUTE(TEXT(IF(ISTEXT(Overig!N767),Overig!N767,10*Overig!N767),""",""????0;"",""???-0;"",""????0;"", ////"""),"'","""")&amp;SUBSTITUTE(TEXT(Overig!O767,""",""?00;"",""?-00;"",""?00;"", //"""),"'","""")&amp;SUBSTITUTE(TEXT(IF(ISTEXT(Overig!P767),Overig!P767,10*Overig!P767),""",""????0;"",""???-0;"",""????0;"", ////"""),"'","""")&amp;SUBSTITUTE(TEXT(Overig!Q767,""",""?00;"",""?-00;"",""?00;"", //"""),"'","""")&amp;SUBSTITUTE(TEXT(Overig!R767,""",""????0;"",""???-0;"",""????0;"", ////"""),"'","""")&amp;SUBSTITUTE(TEXT(Overig!S767,""",""?00;"",""?-00;"",""?00;"", //"""),"'","""")&amp;SUBSTITUTE(TEXT(IF(ISTEXT(Overig!T767),Overig!T767,10*Overig!T767),""",""????0;"",""???-0;"",""????0;"", ////"""),"'","""")&amp;SUBSTITUTE(TEXT(Overig!U767,""",""?00;"",""?-00;"",""?00;"", //"""),"'","""")&amp;SUBSTITUTE(TEXT(Overig!V767,""",""???0;"",""??-0;"",""???0;"", ///"""),"'","""")&amp;SUBSTITUTE(TEXT(Overig!W767,""",""?00;"",""?-00;"",""?00;"", //"""),"'","""")</f>
        <v>032, 19400710, 12.00, 7625, 00,  276, 00, ////, 07, ////, 07,  78, 00,  217, 00,  246, 00,   45, 00,    7, 00,   2, 00</v>
      </c>
    </row>
    <row r="768" spans="1:1" x14ac:dyDescent="0.25">
      <c r="A768" s="12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//"""),"'","""")&amp;SUBSTITUTE(TEXT(IF(ISTEXT(Overig!J768),Overig!J768,10*Overig!J768),""",""????0;"",""???-0;"",""????0;"", ////"""),"'","""")&amp;SUBSTITUTE(TEXT(Overig!K768,""",""?00;"",""?-00;"",""?00;"", //"""),"'","""")&amp;SUBSTITUTE(TEXT(Overig!L768,""",""???0;"",""??-0;"",""???0;"", ///"""),"'","""")&amp;SUBSTITUTE(TEXT(Overig!M768,""",""?00;"",""?-00;"",""?00;"", //"""),"'","""")&amp;SUBSTITUTE(TEXT(IF(ISTEXT(Overig!N768),Overig!N768,10*Overig!N768),""",""????0;"",""???-0;"",""????0;"", ////"""),"'","""")&amp;SUBSTITUTE(TEXT(Overig!O768,""",""?00;"",""?-00;"",""?00;"", //"""),"'","""")&amp;SUBSTITUTE(TEXT(IF(ISTEXT(Overig!P768),Overig!P768,10*Overig!P768),""",""????0;"",""???-0;"",""????0;"", ////"""),"'","""")&amp;SUBSTITUTE(TEXT(Overig!Q768,""",""?00;"",""?-00;"",""?00;"", //"""),"'","""")&amp;SUBSTITUTE(TEXT(Overig!R768,""",""????0;"",""???-0;"",""????0;"", ////"""),"'","""")&amp;SUBSTITUTE(TEXT(Overig!S768,""",""?00;"",""?-00;"",""?00;"", //"""),"'","""")&amp;SUBSTITUTE(TEXT(IF(ISTEXT(Overig!T768),Overig!T768,10*Overig!T768),""",""????0;"",""???-0;"",""????0;"", ////"""),"'","""")&amp;SUBSTITUTE(TEXT(Overig!U768,""",""?00;"",""?-00;"",""?00;"", //"""),"'","""")&amp;SUBSTITUTE(TEXT(Overig!V768,""",""???0;"",""??-0;"",""???0;"", ///"""),"'","""")&amp;SUBSTITUTE(TEXT(Overig!W768,""",""?00;"",""?-00;"",""?00;"", //"""),"'","""")</f>
        <v>032, 19400710, 17.00, 7607, 00,  265, 00, ////, 07, ////, 07,  83, 00,  215, 00,  242, 00,   45, 00,    7, 00,   1, 00</v>
      </c>
    </row>
    <row r="769" spans="1:1" x14ac:dyDescent="0.25">
      <c r="A769" s="12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//"""),"'","""")&amp;SUBSTITUTE(TEXT(IF(ISTEXT(Overig!J769),Overig!J769,10*Overig!J769),""",""????0;"",""???-0;"",""????0;"", ////"""),"'","""")&amp;SUBSTITUTE(TEXT(Overig!K769,""",""?00;"",""?-00;"",""?00;"", //"""),"'","""")&amp;SUBSTITUTE(TEXT(Overig!L769,""",""???0;"",""??-0;"",""???0;"", ///"""),"'","""")&amp;SUBSTITUTE(TEXT(Overig!M769,""",""?00;"",""?-00;"",""?00;"", //"""),"'","""")&amp;SUBSTITUTE(TEXT(IF(ISTEXT(Overig!N769),Overig!N769,10*Overig!N769),""",""????0;"",""???-0;"",""????0;"", ////"""),"'","""")&amp;SUBSTITUTE(TEXT(Overig!O769,""",""?00;"",""?-00;"",""?00;"", //"""),"'","""")&amp;SUBSTITUTE(TEXT(IF(ISTEXT(Overig!P769),Overig!P769,10*Overig!P769),""",""????0;"",""???-0;"",""????0;"", ////"""),"'","""")&amp;SUBSTITUTE(TEXT(Overig!Q769,""",""?00;"",""?-00;"",""?00;"", //"""),"'","""")&amp;SUBSTITUTE(TEXT(Overig!R769,""",""????0;"",""???-0;"",""????0;"", ////"""),"'","""")&amp;SUBSTITUTE(TEXT(Overig!S769,""",""?00;"",""?-00;"",""?00;"", //"""),"'","""")&amp;SUBSTITUTE(TEXT(IF(ISTEXT(Overig!T769),Overig!T769,10*Overig!T769),""",""????0;"",""???-0;"",""????0;"", ////"""),"'","""")&amp;SUBSTITUTE(TEXT(Overig!U769,""",""?00;"",""?-00;"",""?00;"", //"""),"'","""")&amp;SUBSTITUTE(TEXT(Overig!V769,""",""???0;"",""??-0;"",""???0;"", ///"""),"'","""")&amp;SUBSTITUTE(TEXT(Overig!W769,""",""?00;"",""?-00;"",""?00;"", //"""),"'","""")</f>
        <v>032, 19400710, 24.00, ////, 07, ////, 07,  288, 00,  304, 00, ///, 07, ////, 07, ////, 07, ////, 07, ////, 07, ///, 07</v>
      </c>
    </row>
    <row r="770" spans="1:1" x14ac:dyDescent="0.25">
      <c r="A770" s="12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//"""),"'","""")&amp;SUBSTITUTE(TEXT(IF(ISTEXT(Overig!J770),Overig!J770,10*Overig!J770),""",""????0;"",""???-0;"",""????0;"", ////"""),"'","""")&amp;SUBSTITUTE(TEXT(Overig!K770,""",""?00;"",""?-00;"",""?00;"", //"""),"'","""")&amp;SUBSTITUTE(TEXT(Overig!L770,""",""???0;"",""??-0;"",""???0;"", ///"""),"'","""")&amp;SUBSTITUTE(TEXT(Overig!M770,""",""?00;"",""?-00;"",""?00;"", //"""),"'","""")&amp;SUBSTITUTE(TEXT(IF(ISTEXT(Overig!N770),Overig!N770,10*Overig!N770),""",""????0;"",""???-0;"",""????0;"", ////"""),"'","""")&amp;SUBSTITUTE(TEXT(Overig!O770,""",""?00;"",""?-00;"",""?00;"", //"""),"'","""")&amp;SUBSTITUTE(TEXT(IF(ISTEXT(Overig!P770),Overig!P770,10*Overig!P770),""",""????0;"",""???-0;"",""????0;"", ////"""),"'","""")&amp;SUBSTITUTE(TEXT(Overig!Q770,""",""?00;"",""?-00;"",""?00;"", //"""),"'","""")&amp;SUBSTITUTE(TEXT(Overig!R770,""",""????0;"",""???-0;"",""????0;"", ////"""),"'","""")&amp;SUBSTITUTE(TEXT(Overig!S770,""",""?00;"",""?-00;"",""?00;"", //"""),"'","""")&amp;SUBSTITUTE(TEXT(IF(ISTEXT(Overig!T770),Overig!T770,10*Overig!T770),""",""????0;"",""???-0;"",""????0;"", ////"""),"'","""")&amp;SUBSTITUTE(TEXT(Overig!U770,""",""?00;"",""?-00;"",""?00;"", //"""),"'","""")&amp;SUBSTITUTE(TEXT(Overig!V770,""",""???0;"",""??-0;"",""???0;"", ///"""),"'","""")&amp;SUBSTITUTE(TEXT(Overig!W770,""",""?00;"",""?-00;"",""?00;"", //"""),"'","""")</f>
        <v>032, 19400711, 07.00, 7607, 00,  269, 00, ////, 07, ////, 07,  71, 00,  188, 00,  228, 00,   65, 00,    5, 00,   3, 00</v>
      </c>
    </row>
    <row r="771" spans="1:1" x14ac:dyDescent="0.25">
      <c r="A771" s="12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//"""),"'","""")&amp;SUBSTITUTE(TEXT(IF(ISTEXT(Overig!J771),Overig!J771,10*Overig!J771),""",""????0;"",""???-0;"",""????0;"", ////"""),"'","""")&amp;SUBSTITUTE(TEXT(Overig!K771,""",""?00;"",""?-00;"",""?00;"", //"""),"'","""")&amp;SUBSTITUTE(TEXT(Overig!L771,""",""???0;"",""??-0;"",""???0;"", ///"""),"'","""")&amp;SUBSTITUTE(TEXT(Overig!M771,""",""?00;"",""?-00;"",""?00;"", //"""),"'","""")&amp;SUBSTITUTE(TEXT(IF(ISTEXT(Overig!N771),Overig!N771,10*Overig!N771),""",""????0;"",""???-0;"",""????0;"", ////"""),"'","""")&amp;SUBSTITUTE(TEXT(Overig!O771,""",""?00;"",""?-00;"",""?00;"", //"""),"'","""")&amp;SUBSTITUTE(TEXT(IF(ISTEXT(Overig!P771),Overig!P771,10*Overig!P771),""",""????0;"",""???-0;"",""????0;"", ////"""),"'","""")&amp;SUBSTITUTE(TEXT(Overig!Q771,""",""?00;"",""?-00;"",""?00;"", //"""),"'","""")&amp;SUBSTITUTE(TEXT(Overig!R771,""",""????0;"",""???-0;"",""????0;"", ////"""),"'","""")&amp;SUBSTITUTE(TEXT(Overig!S771,""",""?00;"",""?-00;"",""?00;"", //"""),"'","""")&amp;SUBSTITUTE(TEXT(IF(ISTEXT(Overig!T771),Overig!T771,10*Overig!T771),""",""????0;"",""???-0;"",""????0;"", ////"""),"'","""")&amp;SUBSTITUTE(TEXT(Overig!U771,""",""?00;"",""?-00;"",""?00;"", //"""),"'","""")&amp;SUBSTITUTE(TEXT(Overig!V771,""",""???0;"",""??-0;"",""???0;"", ///"""),"'","""")&amp;SUBSTITUTE(TEXT(Overig!W771,""",""?00;"",""?-00;"",""?00;"", //"""),"'","""")</f>
        <v>032, 19400711, 12.00, 7607, 00,  279, 00, ////, 07, ////, 07,  71, 00,  201, 00,  238, 00,   45, 00,    6, 00,   4, 00</v>
      </c>
    </row>
    <row r="772" spans="1:1" x14ac:dyDescent="0.25">
      <c r="A772" s="12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//"""),"'","""")&amp;SUBSTITUTE(TEXT(IF(ISTEXT(Overig!J772),Overig!J772,10*Overig!J772),""",""????0;"",""???-0;"",""????0;"", ////"""),"'","""")&amp;SUBSTITUTE(TEXT(Overig!K772,""",""?00;"",""?-00;"",""?00;"", //"""),"'","""")&amp;SUBSTITUTE(TEXT(Overig!L772,""",""???0;"",""??-0;"",""???0;"", ///"""),"'","""")&amp;SUBSTITUTE(TEXT(Overig!M772,""",""?00;"",""?-00;"",""?00;"", //"""),"'","""")&amp;SUBSTITUTE(TEXT(IF(ISTEXT(Overig!N772),Overig!N772,10*Overig!N772),""",""????0;"",""???-0;"",""????0;"", ////"""),"'","""")&amp;SUBSTITUTE(TEXT(Overig!O772,""",""?00;"",""?-00;"",""?00;"", //"""),"'","""")&amp;SUBSTITUTE(TEXT(IF(ISTEXT(Overig!P772),Overig!P772,10*Overig!P772),""",""????0;"",""???-0;"",""????0;"", ////"""),"'","""")&amp;SUBSTITUTE(TEXT(Overig!Q772,""",""?00;"",""?-00;"",""?00;"", //"""),"'","""")&amp;SUBSTITUTE(TEXT(Overig!R772,""",""????0;"",""???-0;"",""????0;"", ////"""),"'","""")&amp;SUBSTITUTE(TEXT(Overig!S772,""",""?00;"",""?-00;"",""?00;"", //"""),"'","""")&amp;SUBSTITUTE(TEXT(IF(ISTEXT(Overig!T772),Overig!T772,10*Overig!T772),""",""????0;"",""???-0;"",""????0;"", ////"""),"'","""")&amp;SUBSTITUTE(TEXT(Overig!U772,""",""?00;"",""?-00;"",""?00;"", //"""),"'","""")&amp;SUBSTITUTE(TEXT(Overig!V772,""",""???0;"",""??-0;"",""???0;"", ///"""),"'","""")&amp;SUBSTITUTE(TEXT(Overig!W772,""",""?00;"",""?-00;"",""?00;"", //"""),"'","""")</f>
        <v>032, 19400711, 17.00, 7600, 00,  269, 00, ////, 07, ////, 07,  72, 00,  191, 00,  230, 00,   45, 00,    6, 00,   3, 00</v>
      </c>
    </row>
    <row r="773" spans="1:1" x14ac:dyDescent="0.25">
      <c r="A773" s="12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//"""),"'","""")&amp;SUBSTITUTE(TEXT(IF(ISTEXT(Overig!J773),Overig!J773,10*Overig!J773),""",""????0;"",""???-0;"",""????0;"", ////"""),"'","""")&amp;SUBSTITUTE(TEXT(Overig!K773,""",""?00;"",""?-00;"",""?00;"", //"""),"'","""")&amp;SUBSTITUTE(TEXT(Overig!L773,""",""???0;"",""??-0;"",""???0;"", ///"""),"'","""")&amp;SUBSTITUTE(TEXT(Overig!M773,""",""?00;"",""?-00;"",""?00;"", //"""),"'","""")&amp;SUBSTITUTE(TEXT(IF(ISTEXT(Overig!N773),Overig!N773,10*Overig!N773),""",""????0;"",""???-0;"",""????0;"", ////"""),"'","""")&amp;SUBSTITUTE(TEXT(Overig!O773,""",""?00;"",""?-00;"",""?00;"", //"""),"'","""")&amp;SUBSTITUTE(TEXT(IF(ISTEXT(Overig!P773),Overig!P773,10*Overig!P773),""",""????0;"",""???-0;"",""????0;"", ////"""),"'","""")&amp;SUBSTITUTE(TEXT(Overig!Q773,""",""?00;"",""?-00;"",""?00;"", //"""),"'","""")&amp;SUBSTITUTE(TEXT(Overig!R773,""",""????0;"",""???-0;"",""????0;"", ////"""),"'","""")&amp;SUBSTITUTE(TEXT(Overig!S773,""",""?00;"",""?-00;"",""?00;"", //"""),"'","""")&amp;SUBSTITUTE(TEXT(IF(ISTEXT(Overig!T773),Overig!T773,10*Overig!T773),""",""????0;"",""???-0;"",""????0;"", ////"""),"'","""")&amp;SUBSTITUTE(TEXT(Overig!U773,""",""?00;"",""?-00;"",""?00;"", //"""),"'","""")&amp;SUBSTITUTE(TEXT(Overig!V773,""",""???0;"",""??-0;"",""???0;"", ///"""),"'","""")&amp;SUBSTITUTE(TEXT(Overig!W773,""",""?00;"",""?-00;"",""?00;"", //"""),"'","""")</f>
        <v>032, 19400711, 24.00, ////, 07, ////, 07,  272, 00,  297, 00, ///, 07, ////, 07, ////, 07, ////, 07, ////, 07, ///, 07</v>
      </c>
    </row>
    <row r="774" spans="1:1" x14ac:dyDescent="0.25">
      <c r="A774" s="12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//"""),"'","""")&amp;SUBSTITUTE(TEXT(IF(ISTEXT(Overig!J774),Overig!J774,10*Overig!J774),""",""????0;"",""???-0;"",""????0;"", ////"""),"'","""")&amp;SUBSTITUTE(TEXT(Overig!K774,""",""?00;"",""?-00;"",""?00;"", //"""),"'","""")&amp;SUBSTITUTE(TEXT(Overig!L774,""",""???0;"",""??-0;"",""???0;"", ///"""),"'","""")&amp;SUBSTITUTE(TEXT(Overig!M774,""",""?00;"",""?-00;"",""?00;"", //"""),"'","""")&amp;SUBSTITUTE(TEXT(IF(ISTEXT(Overig!N774),Overig!N774,10*Overig!N774),""",""????0;"",""???-0;"",""????0;"", ////"""),"'","""")&amp;SUBSTITUTE(TEXT(Overig!O774,""",""?00;"",""?-00;"",""?00;"", //"""),"'","""")&amp;SUBSTITUTE(TEXT(IF(ISTEXT(Overig!P774),Overig!P774,10*Overig!P774),""",""????0;"",""???-0;"",""????0;"", ////"""),"'","""")&amp;SUBSTITUTE(TEXT(Overig!Q774,""",""?00;"",""?-00;"",""?00;"", //"""),"'","""")&amp;SUBSTITUTE(TEXT(Overig!R774,""",""????0;"",""???-0;"",""????0;"", ////"""),"'","""")&amp;SUBSTITUTE(TEXT(Overig!S774,""",""?00;"",""?-00;"",""?00;"", //"""),"'","""")&amp;SUBSTITUTE(TEXT(IF(ISTEXT(Overig!T774),Overig!T774,10*Overig!T774),""",""????0;"",""???-0;"",""????0;"", ////"""),"'","""")&amp;SUBSTITUTE(TEXT(Overig!U774,""",""?00;"",""?-00;"",""?00;"", //"""),"'","""")&amp;SUBSTITUTE(TEXT(Overig!V774,""",""???0;"",""??-0;"",""???0;"", ///"""),"'","""")&amp;SUBSTITUTE(TEXT(Overig!W774,""",""?00;"",""?-00;"",""?00;"", //"""),"'","""")</f>
        <v>032, 19400712, 07.00, 7607, 00,  269, 00, ////, 07, ////, 07,  80, 00,  213, 00,  242, 00,   65, 00,    4, 00,   3, 00</v>
      </c>
    </row>
    <row r="775" spans="1:1" x14ac:dyDescent="0.25">
      <c r="A775" s="12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//"""),"'","""")&amp;SUBSTITUTE(TEXT(IF(ISTEXT(Overig!J775),Overig!J775,10*Overig!J775),""",""????0;"",""???-0;"",""????0;"", ////"""),"'","""")&amp;SUBSTITUTE(TEXT(Overig!K775,""",""?00;"",""?-00;"",""?00;"", //"""),"'","""")&amp;SUBSTITUTE(TEXT(Overig!L775,""",""???0;"",""??-0;"",""???0;"", ///"""),"'","""")&amp;SUBSTITUTE(TEXT(Overig!M775,""",""?00;"",""?-00;"",""?00;"", //"""),"'","""")&amp;SUBSTITUTE(TEXT(IF(ISTEXT(Overig!N775),Overig!N775,10*Overig!N775),""",""????0;"",""???-0;"",""????0;"", ////"""),"'","""")&amp;SUBSTITUTE(TEXT(Overig!O775,""",""?00;"",""?-00;"",""?00;"", //"""),"'","""")&amp;SUBSTITUTE(TEXT(IF(ISTEXT(Overig!P775),Overig!P775,10*Overig!P775),""",""????0;"",""???-0;"",""????0;"", ////"""),"'","""")&amp;SUBSTITUTE(TEXT(Overig!Q775,""",""?00;"",""?-00;"",""?00;"", //"""),"'","""")&amp;SUBSTITUTE(TEXT(Overig!R775,""",""????0;"",""???-0;"",""????0;"", ////"""),"'","""")&amp;SUBSTITUTE(TEXT(Overig!S775,""",""?00;"",""?-00;"",""?00;"", //"""),"'","""")&amp;SUBSTITUTE(TEXT(IF(ISTEXT(Overig!T775),Overig!T775,10*Overig!T775),""",""????0;"",""???-0;"",""????0;"", ////"""),"'","""")&amp;SUBSTITUTE(TEXT(Overig!U775,""",""?00;"",""?-00;"",""?00;"", //"""),"'","""")&amp;SUBSTITUTE(TEXT(Overig!V775,""",""???0;"",""??-0;"",""???0;"", ///"""),"'","""")&amp;SUBSTITUTE(TEXT(Overig!W775,""",""?00;"",""?-00;"",""?00;"", //"""),"'","""")</f>
        <v>032, 19400712, 12.00, 7610, 00,  283, 00, ////, 07, ////, 07,  74, 00,  214, 00,  246, 00,   65, 00,    5, 00,   3, 00</v>
      </c>
    </row>
    <row r="776" spans="1:1" x14ac:dyDescent="0.25">
      <c r="A776" s="12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//"""),"'","""")&amp;SUBSTITUTE(TEXT(IF(ISTEXT(Overig!J776),Overig!J776,10*Overig!J776),""",""????0;"",""???-0;"",""????0;"", ////"""),"'","""")&amp;SUBSTITUTE(TEXT(Overig!K776,""",""?00;"",""?-00;"",""?00;"", //"""),"'","""")&amp;SUBSTITUTE(TEXT(Overig!L776,""",""???0;"",""??-0;"",""???0;"", ///"""),"'","""")&amp;SUBSTITUTE(TEXT(Overig!M776,""",""?00;"",""?-00;"",""?00;"", //"""),"'","""")&amp;SUBSTITUTE(TEXT(IF(ISTEXT(Overig!N776),Overig!N776,10*Overig!N776),""",""????0;"",""???-0;"",""????0;"", ////"""),"'","""")&amp;SUBSTITUTE(TEXT(Overig!O776,""",""?00;"",""?-00;"",""?00;"", //"""),"'","""")&amp;SUBSTITUTE(TEXT(IF(ISTEXT(Overig!P776),Overig!P776,10*Overig!P776),""",""????0;"",""???-0;"",""????0;"", ////"""),"'","""")&amp;SUBSTITUTE(TEXT(Overig!Q776,""",""?00;"",""?-00;"",""?00;"", //"""),"'","""")&amp;SUBSTITUTE(TEXT(Overig!R776,""",""????0;"",""???-0;"",""????0;"", ////"""),"'","""")&amp;SUBSTITUTE(TEXT(Overig!S776,""",""?00;"",""?-00;"",""?00;"", //"""),"'","""")&amp;SUBSTITUTE(TEXT(IF(ISTEXT(Overig!T776),Overig!T776,10*Overig!T776),""",""????0;"",""???-0;"",""????0;"", ////"""),"'","""")&amp;SUBSTITUTE(TEXT(Overig!U776,""",""?00;"",""?-00;"",""?00;"", //"""),"'","""")&amp;SUBSTITUTE(TEXT(Overig!V776,""",""???0;"",""??-0;"",""???0;"", ///"""),"'","""")&amp;SUBSTITUTE(TEXT(Overig!W776,""",""?00;"",""?-00;"",""?00;"", //"""),"'","""")</f>
        <v>032, 19400712, 17.00, 7600, 00,  279, 00, ////, 07, ////, 07,  72, 00,  204, 00,  240, 00,   45, 00,    5, 00,   3, 00</v>
      </c>
    </row>
    <row r="777" spans="1:1" x14ac:dyDescent="0.25">
      <c r="A777" s="12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//"""),"'","""")&amp;SUBSTITUTE(TEXT(IF(ISTEXT(Overig!J777),Overig!J777,10*Overig!J777),""",""????0;"",""???-0;"",""????0;"", ////"""),"'","""")&amp;SUBSTITUTE(TEXT(Overig!K777,""",""?00;"",""?-00;"",""?00;"", //"""),"'","""")&amp;SUBSTITUTE(TEXT(Overig!L777,""",""???0;"",""??-0;"",""???0;"", ///"""),"'","""")&amp;SUBSTITUTE(TEXT(Overig!M777,""",""?00;"",""?-00;"",""?00;"", //"""),"'","""")&amp;SUBSTITUTE(TEXT(IF(ISTEXT(Overig!N777),Overig!N777,10*Overig!N777),""",""????0;"",""???-0;"",""????0;"", ////"""),"'","""")&amp;SUBSTITUTE(TEXT(Overig!O777,""",""?00;"",""?-00;"",""?00;"", //"""),"'","""")&amp;SUBSTITUTE(TEXT(IF(ISTEXT(Overig!P777),Overig!P777,10*Overig!P777),""",""????0;"",""???-0;"",""????0;"", ////"""),"'","""")&amp;SUBSTITUTE(TEXT(Overig!Q777,""",""?00;"",""?-00;"",""?00;"", //"""),"'","""")&amp;SUBSTITUTE(TEXT(Overig!R777,""",""????0;"",""???-0;"",""????0;"", ////"""),"'","""")&amp;SUBSTITUTE(TEXT(Overig!S777,""",""?00;"",""?-00;"",""?00;"", //"""),"'","""")&amp;SUBSTITUTE(TEXT(IF(ISTEXT(Overig!T777),Overig!T777,10*Overig!T777),""",""????0;"",""???-0;"",""????0;"", ////"""),"'","""")&amp;SUBSTITUTE(TEXT(Overig!U777,""",""?00;"",""?-00;"",""?00;"", //"""),"'","""")&amp;SUBSTITUTE(TEXT(Overig!V777,""",""???0;"",""??-0;"",""???0;"", ///"""),"'","""")&amp;SUBSTITUTE(TEXT(Overig!W777,""",""?00;"",""?-00;"",""?00;"", //"""),"'","""")</f>
        <v>032, 19400712, 24.00, ////, 07, ////, 07,  280, 00,  295, 00, ///, 07, ////, 07, ////, 07, ////, 07, ////, 07, ///, 07</v>
      </c>
    </row>
    <row r="778" spans="1:1" x14ac:dyDescent="0.25">
      <c r="A778" s="12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//"""),"'","""")&amp;SUBSTITUTE(TEXT(IF(ISTEXT(Overig!J778),Overig!J778,10*Overig!J778),""",""????0;"",""???-0;"",""????0;"", ////"""),"'","""")&amp;SUBSTITUTE(TEXT(Overig!K778,""",""?00;"",""?-00;"",""?00;"", //"""),"'","""")&amp;SUBSTITUTE(TEXT(Overig!L778,""",""???0;"",""??-0;"",""???0;"", ///"""),"'","""")&amp;SUBSTITUTE(TEXT(Overig!M778,""",""?00;"",""?-00;"",""?00;"", //"""),"'","""")&amp;SUBSTITUTE(TEXT(IF(ISTEXT(Overig!N778),Overig!N778,10*Overig!N778),""",""????0;"",""???-0;"",""????0;"", ////"""),"'","""")&amp;SUBSTITUTE(TEXT(Overig!O778,""",""?00;"",""?-00;"",""?00;"", //"""),"'","""")&amp;SUBSTITUTE(TEXT(IF(ISTEXT(Overig!P778),Overig!P778,10*Overig!P778),""",""????0;"",""???-0;"",""????0;"", ////"""),"'","""")&amp;SUBSTITUTE(TEXT(Overig!Q778,""",""?00;"",""?-00;"",""?00;"", //"""),"'","""")&amp;SUBSTITUTE(TEXT(Overig!R778,""",""????0;"",""???-0;"",""????0;"", ////"""),"'","""")&amp;SUBSTITUTE(TEXT(Overig!S778,""",""?00;"",""?-00;"",""?00;"", //"""),"'","""")&amp;SUBSTITUTE(TEXT(IF(ISTEXT(Overig!T778),Overig!T778,10*Overig!T778),""",""????0;"",""???-0;"",""????0;"", ////"""),"'","""")&amp;SUBSTITUTE(TEXT(Overig!U778,""",""?00;"",""?-00;"",""?00;"", //"""),"'","""")&amp;SUBSTITUTE(TEXT(Overig!V778,""",""???0;"",""??-0;"",""???0;"", ///"""),"'","""")&amp;SUBSTITUTE(TEXT(Overig!W778,""",""?00;"",""?-00;"",""?00;"", //"""),"'","""")</f>
        <v>032, 19400713, 07.00, 7610, 00,  271, 00, ////, 07, ////, 07,  80, 00,  213, 00,  240, 00,   65, 00,    6, 00,   1, 00</v>
      </c>
    </row>
    <row r="779" spans="1:1" x14ac:dyDescent="0.25">
      <c r="A779" s="12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//"""),"'","""")&amp;SUBSTITUTE(TEXT(IF(ISTEXT(Overig!J779),Overig!J779,10*Overig!J779),""",""????0;"",""???-0;"",""????0;"", ////"""),"'","""")&amp;SUBSTITUTE(TEXT(Overig!K779,""",""?00;"",""?-00;"",""?00;"", //"""),"'","""")&amp;SUBSTITUTE(TEXT(Overig!L779,""",""???0;"",""??-0;"",""???0;"", ///"""),"'","""")&amp;SUBSTITUTE(TEXT(Overig!M779,""",""?00;"",""?-00;"",""?00;"", //"""),"'","""")&amp;SUBSTITUTE(TEXT(IF(ISTEXT(Overig!N779),Overig!N779,10*Overig!N779),""",""????0;"",""???-0;"",""????0;"", ////"""),"'","""")&amp;SUBSTITUTE(TEXT(Overig!O779,""",""?00;"",""?-00;"",""?00;"", //"""),"'","""")&amp;SUBSTITUTE(TEXT(IF(ISTEXT(Overig!P779),Overig!P779,10*Overig!P779),""",""????0;"",""???-0;"",""????0;"", ////"""),"'","""")&amp;SUBSTITUTE(TEXT(Overig!Q779,""",""?00;"",""?-00;"",""?00;"", //"""),"'","""")&amp;SUBSTITUTE(TEXT(Overig!R779,""",""????0;"",""???-0;"",""????0;"", ////"""),"'","""")&amp;SUBSTITUTE(TEXT(Overig!S779,""",""?00;"",""?-00;"",""?00;"", //"""),"'","""")&amp;SUBSTITUTE(TEXT(IF(ISTEXT(Overig!T779),Overig!T779,10*Overig!T779),""",""????0;"",""???-0;"",""????0;"", ////"""),"'","""")&amp;SUBSTITUTE(TEXT(Overig!U779,""",""?00;"",""?-00;"",""?00;"", //"""),"'","""")&amp;SUBSTITUTE(TEXT(Overig!V779,""",""???0;"",""??-0;"",""???0;"", ///"""),"'","""")&amp;SUBSTITUTE(TEXT(Overig!W779,""",""?00;"",""?-00;"",""?00;"", //"""),"'","""")</f>
        <v>032, 19400713, 12.00, 7612, 00,  287, 00, ////, 07, ////, 07,  70, 00,  208, 00,  244, 00,   65, 00,    7, 00,   2, 00</v>
      </c>
    </row>
    <row r="780" spans="1:1" x14ac:dyDescent="0.25">
      <c r="A780" s="12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//"""),"'","""")&amp;SUBSTITUTE(TEXT(IF(ISTEXT(Overig!J780),Overig!J780,10*Overig!J780),""",""????0;"",""???-0;"",""????0;"", ////"""),"'","""")&amp;SUBSTITUTE(TEXT(Overig!K780,""",""?00;"",""?-00;"",""?00;"", //"""),"'","""")&amp;SUBSTITUTE(TEXT(Overig!L780,""",""???0;"",""??-0;"",""???0;"", ///"""),"'","""")&amp;SUBSTITUTE(TEXT(Overig!M780,""",""?00;"",""?-00;"",""?00;"", //"""),"'","""")&amp;SUBSTITUTE(TEXT(IF(ISTEXT(Overig!N780),Overig!N780,10*Overig!N780),""",""????0;"",""???-0;"",""????0;"", ////"""),"'","""")&amp;SUBSTITUTE(TEXT(Overig!O780,""",""?00;"",""?-00;"",""?00;"", //"""),"'","""")&amp;SUBSTITUTE(TEXT(IF(ISTEXT(Overig!P780),Overig!P780,10*Overig!P780),""",""????0;"",""???-0;"",""????0;"", ////"""),"'","""")&amp;SUBSTITUTE(TEXT(Overig!Q780,""",""?00;"",""?-00;"",""?00;"", //"""),"'","""")&amp;SUBSTITUTE(TEXT(Overig!R780,""",""????0;"",""???-0;"",""????0;"", ////"""),"'","""")&amp;SUBSTITUTE(TEXT(Overig!S780,""",""?00;"",""?-00;"",""?00;"", //"""),"'","""")&amp;SUBSTITUTE(TEXT(IF(ISTEXT(Overig!T780),Overig!T780,10*Overig!T780),""",""????0;"",""???-0;"",""????0;"", ////"""),"'","""")&amp;SUBSTITUTE(TEXT(Overig!U780,""",""?00;"",""?-00;"",""?00;"", //"""),"'","""")&amp;SUBSTITUTE(TEXT(Overig!V780,""",""???0;"",""??-0;"",""???0;"", ///"""),"'","""")&amp;SUBSTITUTE(TEXT(Overig!W780,""",""?00;"",""?-00;"",""?00;"", //"""),"'","""")</f>
        <v>032, 19400713, 17.00, 7605, 00,  280, 00, ////, 07, ////, 07,  72, 00,  204, 00,  240, 00,   90, 00,    7, 00,   2, 00</v>
      </c>
    </row>
    <row r="781" spans="1:1" x14ac:dyDescent="0.25">
      <c r="A781" s="12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//"""),"'","""")&amp;SUBSTITUTE(TEXT(IF(ISTEXT(Overig!J781),Overig!J781,10*Overig!J781),""",""????0;"",""???-0;"",""????0;"", ////"""),"'","""")&amp;SUBSTITUTE(TEXT(Overig!K781,""",""?00;"",""?-00;"",""?00;"", //"""),"'","""")&amp;SUBSTITUTE(TEXT(Overig!L781,""",""???0;"",""??-0;"",""???0;"", ///"""),"'","""")&amp;SUBSTITUTE(TEXT(Overig!M781,""",""?00;"",""?-00;"",""?00;"", //"""),"'","""")&amp;SUBSTITUTE(TEXT(IF(ISTEXT(Overig!N781),Overig!N781,10*Overig!N781),""",""????0;"",""???-0;"",""????0;"", ////"""),"'","""")&amp;SUBSTITUTE(TEXT(Overig!O781,""",""?00;"",""?-00;"",""?00;"", //"""),"'","""")&amp;SUBSTITUTE(TEXT(IF(ISTEXT(Overig!P781),Overig!P781,10*Overig!P781),""",""????0;"",""???-0;"",""????0;"", ////"""),"'","""")&amp;SUBSTITUTE(TEXT(Overig!Q781,""",""?00;"",""?-00;"",""?00;"", //"""),"'","""")&amp;SUBSTITUTE(TEXT(Overig!R781,""",""????0;"",""???-0;"",""????0;"", ////"""),"'","""")&amp;SUBSTITUTE(TEXT(Overig!S781,""",""?00;"",""?-00;"",""?00;"", //"""),"'","""")&amp;SUBSTITUTE(TEXT(IF(ISTEXT(Overig!T781),Overig!T781,10*Overig!T781),""",""????0;"",""???-0;"",""????0;"", ////"""),"'","""")&amp;SUBSTITUTE(TEXT(Overig!U781,""",""?00;"",""?-00;"",""?00;"", //"""),"'","""")&amp;SUBSTITUTE(TEXT(Overig!V781,""",""???0;"",""??-0;"",""???0;"", ///"""),"'","""")&amp;SUBSTITUTE(TEXT(Overig!W781,""",""?00;"",""?-00;"",""?00;"", //"""),"'","""")</f>
        <v>032, 19400713, 24.00, ////, 07, ////, 07,  287, 00,  305, 00, ///, 07, ////, 07, ////, 07, ////, 07, ////, 07, ///, 07</v>
      </c>
    </row>
    <row r="782" spans="1:1" x14ac:dyDescent="0.25">
      <c r="A782" s="12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//"""),"'","""")&amp;SUBSTITUTE(TEXT(IF(ISTEXT(Overig!J782),Overig!J782,10*Overig!J782),""",""????0;"",""???-0;"",""????0;"", ////"""),"'","""")&amp;SUBSTITUTE(TEXT(Overig!K782,""",""?00;"",""?-00;"",""?00;"", //"""),"'","""")&amp;SUBSTITUTE(TEXT(Overig!L782,""",""???0;"",""??-0;"",""???0;"", ///"""),"'","""")&amp;SUBSTITUTE(TEXT(Overig!M782,""",""?00;"",""?-00;"",""?00;"", //"""),"'","""")&amp;SUBSTITUTE(TEXT(IF(ISTEXT(Overig!N782),Overig!N782,10*Overig!N782),""",""????0;"",""???-0;"",""????0;"", ////"""),"'","""")&amp;SUBSTITUTE(TEXT(Overig!O782,""",""?00;"",""?-00;"",""?00;"", //"""),"'","""")&amp;SUBSTITUTE(TEXT(IF(ISTEXT(Overig!P782),Overig!P782,10*Overig!P782),""",""????0;"",""???-0;"",""????0;"", ////"""),"'","""")&amp;SUBSTITUTE(TEXT(Overig!Q782,""",""?00;"",""?-00;"",""?00;"", //"""),"'","""")&amp;SUBSTITUTE(TEXT(Overig!R782,""",""????0;"",""???-0;"",""????0;"", ////"""),"'","""")&amp;SUBSTITUTE(TEXT(Overig!S782,""",""?00;"",""?-00;"",""?00;"", //"""),"'","""")&amp;SUBSTITUTE(TEXT(IF(ISTEXT(Overig!T782),Overig!T782,10*Overig!T782),""",""????0;"",""???-0;"",""????0;"", ////"""),"'","""")&amp;SUBSTITUTE(TEXT(Overig!U782,""",""?00;"",""?-00;"",""?00;"", //"""),"'","""")&amp;SUBSTITUTE(TEXT(Overig!V782,""",""???0;"",""??-0;"",""???0;"", ///"""),"'","""")&amp;SUBSTITUTE(TEXT(Overig!W782,""",""?00;"",""?-00;"",""?00;"", //"""),"'","""")</f>
        <v>032, 19400714, 07.00, 7602, 00,  281, 00, ////, 07, ////, 07,  72, 00,  207, 00,  242, 00,   65, 00,    7, 00,   1, 00</v>
      </c>
    </row>
    <row r="783" spans="1:1" x14ac:dyDescent="0.25">
      <c r="A783" s="12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//"""),"'","""")&amp;SUBSTITUTE(TEXT(IF(ISTEXT(Overig!J783),Overig!J783,10*Overig!J783),""",""????0;"",""???-0;"",""????0;"", ////"""),"'","""")&amp;SUBSTITUTE(TEXT(Overig!K783,""",""?00;"",""?-00;"",""?00;"", //"""),"'","""")&amp;SUBSTITUTE(TEXT(Overig!L783,""",""???0;"",""??-0;"",""???0;"", ///"""),"'","""")&amp;SUBSTITUTE(TEXT(Overig!M783,""",""?00;"",""?-00;"",""?00;"", //"""),"'","""")&amp;SUBSTITUTE(TEXT(IF(ISTEXT(Overig!N783),Overig!N783,10*Overig!N783),""",""????0;"",""???-0;"",""????0;"", ////"""),"'","""")&amp;SUBSTITUTE(TEXT(Overig!O783,""",""?00;"",""?-00;"",""?00;"", //"""),"'","""")&amp;SUBSTITUTE(TEXT(IF(ISTEXT(Overig!P783),Overig!P783,10*Overig!P783),""",""????0;"",""???-0;"",""????0;"", ////"""),"'","""")&amp;SUBSTITUTE(TEXT(Overig!Q783,""",""?00;"",""?-00;"",""?00;"", //"""),"'","""")&amp;SUBSTITUTE(TEXT(Overig!R783,""",""????0;"",""???-0;"",""????0;"", ////"""),"'","""")&amp;SUBSTITUTE(TEXT(Overig!S783,""",""?00;"",""?-00;"",""?00;"", //"""),"'","""")&amp;SUBSTITUTE(TEXT(IF(ISTEXT(Overig!T783),Overig!T783,10*Overig!T783),""",""????0;"",""???-0;"",""????0;"", ////"""),"'","""")&amp;SUBSTITUTE(TEXT(Overig!U783,""",""?00;"",""?-00;"",""?00;"", //"""),"'","""")&amp;SUBSTITUTE(TEXT(Overig!V783,""",""???0;"",""??-0;"",""???0;"", ///"""),"'","""")&amp;SUBSTITUTE(TEXT(Overig!W783,""",""?00;"",""?-00;"",""?00;"", //"""),"'","""")</f>
        <v>032, 19400714, 12.00, 7579, 00,  285, 00, ////, 07, ////, 07,  69, 00,  201, 00,  240, 00,   65, 00,    7, 00,   1, 00</v>
      </c>
    </row>
    <row r="784" spans="1:1" x14ac:dyDescent="0.25">
      <c r="A784" s="12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//"""),"'","""")&amp;SUBSTITUTE(TEXT(IF(ISTEXT(Overig!J784),Overig!J784,10*Overig!J784),""",""????0;"",""???-0;"",""????0;"", ////"""),"'","""")&amp;SUBSTITUTE(TEXT(Overig!K784,""",""?00;"",""?-00;"",""?00;"", //"""),"'","""")&amp;SUBSTITUTE(TEXT(Overig!L784,""",""???0;"",""??-0;"",""???0;"", ///"""),"'","""")&amp;SUBSTITUTE(TEXT(Overig!M784,""",""?00;"",""?-00;"",""?00;"", //"""),"'","""")&amp;SUBSTITUTE(TEXT(IF(ISTEXT(Overig!N784),Overig!N784,10*Overig!N784),""",""????0;"",""???-0;"",""????0;"", ////"""),"'","""")&amp;SUBSTITUTE(TEXT(Overig!O784,""",""?00;"",""?-00;"",""?00;"", //"""),"'","""")&amp;SUBSTITUTE(TEXT(IF(ISTEXT(Overig!P784),Overig!P784,10*Overig!P784),""",""????0;"",""???-0;"",""????0;"", ////"""),"'","""")&amp;SUBSTITUTE(TEXT(Overig!Q784,""",""?00;"",""?-00;"",""?00;"", //"""),"'","""")&amp;SUBSTITUTE(TEXT(Overig!R784,""",""????0;"",""???-0;"",""????0;"", ////"""),"'","""")&amp;SUBSTITUTE(TEXT(Overig!S784,""",""?00;"",""?-00;"",""?00;"", //"""),"'","""")&amp;SUBSTITUTE(TEXT(IF(ISTEXT(Overig!T784),Overig!T784,10*Overig!T784),""",""????0;"",""???-0;"",""????0;"", ////"""),"'","""")&amp;SUBSTITUTE(TEXT(Overig!U784,""",""?00;"",""?-00;"",""?00;"", //"""),"'","""")&amp;SUBSTITUTE(TEXT(Overig!V784,""",""???0;"",""??-0;"",""???0;"", ///"""),"'","""")&amp;SUBSTITUTE(TEXT(Overig!W784,""",""?00;"",""?-00;"",""?00;"", //"""),"'","""")</f>
        <v>032, 19400714, 17.00, 7595, 00,  279, 00, ////, 07, ////, 07,  71, 00,  201, 00,  238, 00,   45, 00,    7, 00,   1, 00</v>
      </c>
    </row>
    <row r="785" spans="1:1" x14ac:dyDescent="0.25">
      <c r="A785" s="12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//"""),"'","""")&amp;SUBSTITUTE(TEXT(IF(ISTEXT(Overig!J785),Overig!J785,10*Overig!J785),""",""????0;"",""???-0;"",""????0;"", ////"""),"'","""")&amp;SUBSTITUTE(TEXT(Overig!K785,""",""?00;"",""?-00;"",""?00;"", //"""),"'","""")&amp;SUBSTITUTE(TEXT(Overig!L785,""",""???0;"",""??-0;"",""???0;"", ///"""),"'","""")&amp;SUBSTITUTE(TEXT(Overig!M785,""",""?00;"",""?-00;"",""?00;"", //"""),"'","""")&amp;SUBSTITUTE(TEXT(IF(ISTEXT(Overig!N785),Overig!N785,10*Overig!N785),""",""????0;"",""???-0;"",""????0;"", ////"""),"'","""")&amp;SUBSTITUTE(TEXT(Overig!O785,""",""?00;"",""?-00;"",""?00;"", //"""),"'","""")&amp;SUBSTITUTE(TEXT(IF(ISTEXT(Overig!P785),Overig!P785,10*Overig!P785),""",""????0;"",""???-0;"",""????0;"", ////"""),"'","""")&amp;SUBSTITUTE(TEXT(Overig!Q785,""",""?00;"",""?-00;"",""?00;"", //"""),"'","""")&amp;SUBSTITUTE(TEXT(Overig!R785,""",""????0;"",""???-0;"",""????0;"", ////"""),"'","""")&amp;SUBSTITUTE(TEXT(Overig!S785,""",""?00;"",""?-00;"",""?00;"", //"""),"'","""")&amp;SUBSTITUTE(TEXT(IF(ISTEXT(Overig!T785),Overig!T785,10*Overig!T785),""",""????0;"",""???-0;"",""????0;"", ////"""),"'","""")&amp;SUBSTITUTE(TEXT(Overig!U785,""",""?00;"",""?-00;"",""?00;"", //"""),"'","""")&amp;SUBSTITUTE(TEXT(Overig!V785,""",""???0;"",""??-0;"",""???0;"", ///"""),"'","""")&amp;SUBSTITUTE(TEXT(Overig!W785,""",""?00;"",""?-00;"",""?00;"", //"""),"'","""")</f>
        <v>032, 19400714, 24.00, ////, 07, ////, 07,  292, 00,  310, 00, ///, 07, ////, 07, ////, 07, ////, 07, ////, 07, ///, 07</v>
      </c>
    </row>
    <row r="786" spans="1:1" x14ac:dyDescent="0.25">
      <c r="A786" s="12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//"""),"'","""")&amp;SUBSTITUTE(TEXT(IF(ISTEXT(Overig!J786),Overig!J786,10*Overig!J786),""",""????0;"",""???-0;"",""????0;"", ////"""),"'","""")&amp;SUBSTITUTE(TEXT(Overig!K786,""",""?00;"",""?-00;"",""?00;"", //"""),"'","""")&amp;SUBSTITUTE(TEXT(Overig!L786,""",""???0;"",""??-0;"",""???0;"", ///"""),"'","""")&amp;SUBSTITUTE(TEXT(Overig!M786,""",""?00;"",""?-00;"",""?00;"", //"""),"'","""")&amp;SUBSTITUTE(TEXT(IF(ISTEXT(Overig!N786),Overig!N786,10*Overig!N786),""",""????0;"",""???-0;"",""????0;"", ////"""),"'","""")&amp;SUBSTITUTE(TEXT(Overig!O786,""",""?00;"",""?-00;"",""?00;"", //"""),"'","""")&amp;SUBSTITUTE(TEXT(IF(ISTEXT(Overig!P786),Overig!P786,10*Overig!P786),""",""????0;"",""???-0;"",""????0;"", ////"""),"'","""")&amp;SUBSTITUTE(TEXT(Overig!Q786,""",""?00;"",""?-00;"",""?00;"", //"""),"'","""")&amp;SUBSTITUTE(TEXT(Overig!R786,""",""????0;"",""???-0;"",""????0;"", ////"""),"'","""")&amp;SUBSTITUTE(TEXT(Overig!S786,""",""?00;"",""?-00;"",""?00;"", //"""),"'","""")&amp;SUBSTITUTE(TEXT(IF(ISTEXT(Overig!T786),Overig!T786,10*Overig!T786),""",""????0;"",""???-0;"",""????0;"", ////"""),"'","""")&amp;SUBSTITUTE(TEXT(Overig!U786,""",""?00;"",""?-00;"",""?00;"", //"""),"'","""")&amp;SUBSTITUTE(TEXT(Overig!V786,""",""???0;"",""??-0;"",""???0;"", ///"""),"'","""")&amp;SUBSTITUTE(TEXT(Overig!W786,""",""?00;"",""?-00;"",""?00;"", //"""),"'","""")</f>
        <v>032, 19400715, 07.00, 7610, 00,  267, 00, ////, 07, ////, 07,  74, 00,  196, 00,  232, 00,   65, 00,    6, 00,   4, 00</v>
      </c>
    </row>
    <row r="787" spans="1:1" x14ac:dyDescent="0.25">
      <c r="A787" s="12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//"""),"'","""")&amp;SUBSTITUTE(TEXT(IF(ISTEXT(Overig!J787),Overig!J787,10*Overig!J787),""",""????0;"",""???-0;"",""????0;"", ////"""),"'","""")&amp;SUBSTITUTE(TEXT(Overig!K787,""",""?00;"",""?-00;"",""?00;"", //"""),"'","""")&amp;SUBSTITUTE(TEXT(Overig!L787,""",""???0;"",""??-0;"",""???0;"", ///"""),"'","""")&amp;SUBSTITUTE(TEXT(Overig!M787,""",""?00;"",""?-00;"",""?00;"", //"""),"'","""")&amp;SUBSTITUTE(TEXT(IF(ISTEXT(Overig!N787),Overig!N787,10*Overig!N787),""",""????0;"",""???-0;"",""????0;"", ////"""),"'","""")&amp;SUBSTITUTE(TEXT(Overig!O787,""",""?00;"",""?-00;"",""?00;"", //"""),"'","""")&amp;SUBSTITUTE(TEXT(IF(ISTEXT(Overig!P787),Overig!P787,10*Overig!P787),""",""????0;"",""???-0;"",""????0;"", ////"""),"'","""")&amp;SUBSTITUTE(TEXT(Overig!Q787,""",""?00;"",""?-00;"",""?00;"", //"""),"'","""")&amp;SUBSTITUTE(TEXT(Overig!R787,""",""????0;"",""???-0;"",""????0;"", ////"""),"'","""")&amp;SUBSTITUTE(TEXT(Overig!S787,""",""?00;"",""?-00;"",""?00;"", //"""),"'","""")&amp;SUBSTITUTE(TEXT(IF(ISTEXT(Overig!T787),Overig!T787,10*Overig!T787),""",""????0;"",""???-0;"",""????0;"", ////"""),"'","""")&amp;SUBSTITUTE(TEXT(Overig!U787,""",""?00;"",""?-00;"",""?00;"", //"""),"'","""")&amp;SUBSTITUTE(TEXT(Overig!V787,""",""???0;"",""??-0;"",""???0;"", ///"""),"'","""")&amp;SUBSTITUTE(TEXT(Overig!W787,""",""?00;"",""?-00;"",""?00;"", //"""),"'","""")</f>
        <v>032, 19400715, 12.00, 7579, 00,  269, 00, ////, 07, ////, 07,  77, 00,  206, 00,  238, 00,   65, 00,    6, 00,   3, 00</v>
      </c>
    </row>
    <row r="788" spans="1:1" x14ac:dyDescent="0.25">
      <c r="A788" s="12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//"""),"'","""")&amp;SUBSTITUTE(TEXT(IF(ISTEXT(Overig!J788),Overig!J788,10*Overig!J788),""",""????0;"",""???-0;"",""????0;"", ////"""),"'","""")&amp;SUBSTITUTE(TEXT(Overig!K788,""",""?00;"",""?-00;"",""?00;"", //"""),"'","""")&amp;SUBSTITUTE(TEXT(Overig!L788,""",""???0;"",""??-0;"",""???0;"", ///"""),"'","""")&amp;SUBSTITUTE(TEXT(Overig!M788,""",""?00;"",""?-00;"",""?00;"", //"""),"'","""")&amp;SUBSTITUTE(TEXT(IF(ISTEXT(Overig!N788),Overig!N788,10*Overig!N788),""",""????0;"",""???-0;"",""????0;"", ////"""),"'","""")&amp;SUBSTITUTE(TEXT(Overig!O788,""",""?00;"",""?-00;"",""?00;"", //"""),"'","""")&amp;SUBSTITUTE(TEXT(IF(ISTEXT(Overig!P788),Overig!P788,10*Overig!P788),""",""????0;"",""???-0;"",""????0;"", ////"""),"'","""")&amp;SUBSTITUTE(TEXT(Overig!Q788,""",""?00;"",""?-00;"",""?00;"", //"""),"'","""")&amp;SUBSTITUTE(TEXT(Overig!R788,""",""????0;"",""???-0;"",""????0;"", ////"""),"'","""")&amp;SUBSTITUTE(TEXT(Overig!S788,""",""?00;"",""?-00;"",""?00;"", //"""),"'","""")&amp;SUBSTITUTE(TEXT(IF(ISTEXT(Overig!T788),Overig!T788,10*Overig!T788),""",""????0;"",""???-0;"",""????0;"", ////"""),"'","""")&amp;SUBSTITUTE(TEXT(Overig!U788,""",""?00;"",""?-00;"",""?00;"", //"""),"'","""")&amp;SUBSTITUTE(TEXT(Overig!V788,""",""???0;"",""??-0;"",""???0;"", ///"""),"'","""")&amp;SUBSTITUTE(TEXT(Overig!W788,""",""?00;"",""?-00;"",""?00;"", //"""),"'","""")</f>
        <v>032, 19400715, 17.00, 7579, 00,  265, 00, ////, 07, ////, 07,  74, 00,  193, 00,  230, 00,   45, 00,    6, 00,   3, 00</v>
      </c>
    </row>
    <row r="789" spans="1:1" x14ac:dyDescent="0.25">
      <c r="A789" s="12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//"""),"'","""")&amp;SUBSTITUTE(TEXT(IF(ISTEXT(Overig!J789),Overig!J789,10*Overig!J789),""",""????0;"",""???-0;"",""????0;"", ////"""),"'","""")&amp;SUBSTITUTE(TEXT(Overig!K789,""",""?00;"",""?-00;"",""?00;"", //"""),"'","""")&amp;SUBSTITUTE(TEXT(Overig!L789,""",""???0;"",""??-0;"",""???0;"", ///"""),"'","""")&amp;SUBSTITUTE(TEXT(Overig!M789,""",""?00;"",""?-00;"",""?00;"", //"""),"'","""")&amp;SUBSTITUTE(TEXT(IF(ISTEXT(Overig!N789),Overig!N789,10*Overig!N789),""",""????0;"",""???-0;"",""????0;"", ////"""),"'","""")&amp;SUBSTITUTE(TEXT(Overig!O789,""",""?00;"",""?-00;"",""?00;"", //"""),"'","""")&amp;SUBSTITUTE(TEXT(IF(ISTEXT(Overig!P789),Overig!P789,10*Overig!P789),""",""????0;"",""???-0;"",""????0;"", ////"""),"'","""")&amp;SUBSTITUTE(TEXT(Overig!Q789,""",""?00;"",""?-00;"",""?00;"", //"""),"'","""")&amp;SUBSTITUTE(TEXT(Overig!R789,""",""????0;"",""???-0;"",""????0;"", ////"""),"'","""")&amp;SUBSTITUTE(TEXT(Overig!S789,""",""?00;"",""?-00;"",""?00;"", //"""),"'","""")&amp;SUBSTITUTE(TEXT(IF(ISTEXT(Overig!T789),Overig!T789,10*Overig!T789),""",""????0;"",""???-0;"",""????0;"", ////"""),"'","""")&amp;SUBSTITUTE(TEXT(Overig!U789,""",""?00;"",""?-00;"",""?00;"", //"""),"'","""")&amp;SUBSTITUTE(TEXT(Overig!V789,""",""???0;"",""??-0;"",""???0;"", ///"""),"'","""")&amp;SUBSTITUTE(TEXT(Overig!W789,""",""?00;"",""?-00;"",""?00;"", //"""),"'","""")</f>
        <v>032, 19400715, 24.00, ////, 07, ////, 07,  275, 00,  290, 00, ///, 07, ////, 07, ////, 07, ////, 07, ////, 07, ///, 07</v>
      </c>
    </row>
    <row r="790" spans="1:1" x14ac:dyDescent="0.25">
      <c r="A790" s="12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//"""),"'","""")&amp;SUBSTITUTE(TEXT(IF(ISTEXT(Overig!J790),Overig!J790,10*Overig!J790),""",""????0;"",""???-0;"",""????0;"", ////"""),"'","""")&amp;SUBSTITUTE(TEXT(Overig!K790,""",""?00;"",""?-00;"",""?00;"", //"""),"'","""")&amp;SUBSTITUTE(TEXT(Overig!L790,""",""???0;"",""??-0;"",""???0;"", ///"""),"'","""")&amp;SUBSTITUTE(TEXT(Overig!M790,""",""?00;"",""?-00;"",""?00;"", //"""),"'","""")&amp;SUBSTITUTE(TEXT(IF(ISTEXT(Overig!N790),Overig!N790,10*Overig!N790),""",""????0;"",""???-0;"",""????0;"", ////"""),"'","""")&amp;SUBSTITUTE(TEXT(Overig!O790,""",""?00;"",""?-00;"",""?00;"", //"""),"'","""")&amp;SUBSTITUTE(TEXT(IF(ISTEXT(Overig!P790),Overig!P790,10*Overig!P790),""",""????0;"",""???-0;"",""????0;"", ////"""),"'","""")&amp;SUBSTITUTE(TEXT(Overig!Q790,""",""?00;"",""?-00;"",""?00;"", //"""),"'","""")&amp;SUBSTITUTE(TEXT(Overig!R790,""",""????0;"",""???-0;"",""????0;"", ////"""),"'","""")&amp;SUBSTITUTE(TEXT(Overig!S790,""",""?00;"",""?-00;"",""?00;"", //"""),"'","""")&amp;SUBSTITUTE(TEXT(IF(ISTEXT(Overig!T790),Overig!T790,10*Overig!T790),""",""????0;"",""???-0;"",""????0;"", ////"""),"'","""")&amp;SUBSTITUTE(TEXT(Overig!U790,""",""?00;"",""?-00;"",""?00;"", //"""),"'","""")&amp;SUBSTITUTE(TEXT(Overig!V790,""",""???0;"",""??-0;"",""???0;"", ///"""),"'","""")&amp;SUBSTITUTE(TEXT(Overig!W790,""",""?00;"",""?-00;"",""?00;"", //"""),"'","""")</f>
        <v>032, 19400716, 07.00, 7602, 00,  265, 00, ////, 07, ////, 07,  80, 00,  208, 00,  238, 00,   65, 00,    5, 00,   3, 00</v>
      </c>
    </row>
    <row r="791" spans="1:1" x14ac:dyDescent="0.25">
      <c r="A791" s="12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//"""),"'","""")&amp;SUBSTITUTE(TEXT(IF(ISTEXT(Overig!J791),Overig!J791,10*Overig!J791),""",""????0;"",""???-0;"",""????0;"", ////"""),"'","""")&amp;SUBSTITUTE(TEXT(Overig!K791,""",""?00;"",""?-00;"",""?00;"", //"""),"'","""")&amp;SUBSTITUTE(TEXT(Overig!L791,""",""???0;"",""??-0;"",""???0;"", ///"""),"'","""")&amp;SUBSTITUTE(TEXT(Overig!M791,""",""?00;"",""?-00;"",""?00;"", //"""),"'","""")&amp;SUBSTITUTE(TEXT(IF(ISTEXT(Overig!N791),Overig!N791,10*Overig!N791),""",""????0;"",""???-0;"",""????0;"", ////"""),"'","""")&amp;SUBSTITUTE(TEXT(Overig!O791,""",""?00;"",""?-00;"",""?00;"", //"""),"'","""")&amp;SUBSTITUTE(TEXT(IF(ISTEXT(Overig!P791),Overig!P791,10*Overig!P791),""",""????0;"",""???-0;"",""????0;"", ////"""),"'","""")&amp;SUBSTITUTE(TEXT(Overig!Q791,""",""?00;"",""?-00;"",""?00;"", //"""),"'","""")&amp;SUBSTITUTE(TEXT(Overig!R791,""",""????0;"",""???-0;"",""????0;"", ////"""),"'","""")&amp;SUBSTITUTE(TEXT(Overig!S791,""",""?00;"",""?-00;"",""?00;"", //"""),"'","""")&amp;SUBSTITUTE(TEXT(IF(ISTEXT(Overig!T791),Overig!T791,10*Overig!T791),""",""????0;"",""???-0;"",""????0;"", ////"""),"'","""")&amp;SUBSTITUTE(TEXT(Overig!U791,""",""?00;"",""?-00;"",""?00;"", //"""),"'","""")&amp;SUBSTITUTE(TEXT(Overig!V791,""",""???0;"",""??-0;"",""???0;"", ///"""),"'","""")&amp;SUBSTITUTE(TEXT(Overig!W791,""",""?00;"",""?-00;"",""?00;"", //"""),"'","""")</f>
        <v>032, 19400716, 12.00, 7607, 00,  269, 00, ////, 07, ////, 07,  79, 00,  209, 00,  240, 00,   65, 00,    6, 00,   3, 00</v>
      </c>
    </row>
    <row r="792" spans="1:1" x14ac:dyDescent="0.25">
      <c r="A792" s="12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//"""),"'","""")&amp;SUBSTITUTE(TEXT(IF(ISTEXT(Overig!J792),Overig!J792,10*Overig!J792),""",""????0;"",""???-0;"",""????0;"", ////"""),"'","""")&amp;SUBSTITUTE(TEXT(Overig!K792,""",""?00;"",""?-00;"",""?00;"", //"""),"'","""")&amp;SUBSTITUTE(TEXT(Overig!L792,""",""???0;"",""??-0;"",""???0;"", ///"""),"'","""")&amp;SUBSTITUTE(TEXT(Overig!M792,""",""?00;"",""?-00;"",""?00;"", //"""),"'","""")&amp;SUBSTITUTE(TEXT(IF(ISTEXT(Overig!N792),Overig!N792,10*Overig!N792),""",""????0;"",""???-0;"",""????0;"", ////"""),"'","""")&amp;SUBSTITUTE(TEXT(Overig!O792,""",""?00;"",""?-00;"",""?00;"", //"""),"'","""")&amp;SUBSTITUTE(TEXT(IF(ISTEXT(Overig!P792),Overig!P792,10*Overig!P792),""",""????0;"",""???-0;"",""????0;"", ////"""),"'","""")&amp;SUBSTITUTE(TEXT(Overig!Q792,""",""?00;"",""?-00;"",""?00;"", //"""),"'","""")&amp;SUBSTITUTE(TEXT(Overig!R792,""",""????0;"",""???-0;"",""????0;"", ////"""),"'","""")&amp;SUBSTITUTE(TEXT(Overig!S792,""",""?00;"",""?-00;"",""?00;"", //"""),"'","""")&amp;SUBSTITUTE(TEXT(IF(ISTEXT(Overig!T792),Overig!T792,10*Overig!T792),""",""????0;"",""???-0;"",""????0;"", ////"""),"'","""")&amp;SUBSTITUTE(TEXT(Overig!U792,""",""?00;"",""?-00;"",""?00;"", //"""),"'","""")&amp;SUBSTITUTE(TEXT(Overig!V792,""",""???0;"",""??-0;"",""???0;"", ///"""),"'","""")&amp;SUBSTITUTE(TEXT(Overig!W792,""",""?00;"",""?-00;"",""?00;"", //"""),"'","""")</f>
        <v>032, 19400716, 17.00, 7595, 00,  263, 00, ////, 07, ////, 07,  81, 00,  209, 00,  238, 00,   65, 00,    6, 00,   3, 00</v>
      </c>
    </row>
    <row r="793" spans="1:1" x14ac:dyDescent="0.25">
      <c r="A793" s="12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//"""),"'","""")&amp;SUBSTITUTE(TEXT(IF(ISTEXT(Overig!J793),Overig!J793,10*Overig!J793),""",""????0;"",""???-0;"",""????0;"", ////"""),"'","""")&amp;SUBSTITUTE(TEXT(Overig!K793,""",""?00;"",""?-00;"",""?00;"", //"""),"'","""")&amp;SUBSTITUTE(TEXT(Overig!L793,""",""???0;"",""??-0;"",""???0;"", ///"""),"'","""")&amp;SUBSTITUTE(TEXT(Overig!M793,""",""?00;"",""?-00;"",""?00;"", //"""),"'","""")&amp;SUBSTITUTE(TEXT(IF(ISTEXT(Overig!N793),Overig!N793,10*Overig!N793),""",""????0;"",""???-0;"",""????0;"", ////"""),"'","""")&amp;SUBSTITUTE(TEXT(Overig!O793,""",""?00;"",""?-00;"",""?00;"", //"""),"'","""")&amp;SUBSTITUTE(TEXT(IF(ISTEXT(Overig!P793),Overig!P793,10*Overig!P793),""",""????0;"",""???-0;"",""????0;"", ////"""),"'","""")&amp;SUBSTITUTE(TEXT(Overig!Q793,""",""?00;"",""?-00;"",""?00;"", //"""),"'","""")&amp;SUBSTITUTE(TEXT(Overig!R793,""",""????0;"",""???-0;"",""????0;"", ////"""),"'","""")&amp;SUBSTITUTE(TEXT(Overig!S793,""",""?00;"",""?-00;"",""?00;"", //"""),"'","""")&amp;SUBSTITUTE(TEXT(IF(ISTEXT(Overig!T793),Overig!T793,10*Overig!T793),""",""????0;"",""???-0;"",""????0;"", ////"""),"'","""")&amp;SUBSTITUTE(TEXT(Overig!U793,""",""?00;"",""?-00;"",""?00;"", //"""),"'","""")&amp;SUBSTITUTE(TEXT(Overig!V793,""",""???0;"",""??-0;"",""???0;"", ///"""),"'","""")&amp;SUBSTITUTE(TEXT(Overig!W793,""",""?00;"",""?-00;"",""?00;"", //"""),"'","""")</f>
        <v>032, 19400716, 24.00, ////, 07, ////, 07,  280, 00,  298, 00, ///, 07, ////, 07, ////, 07, ////, 07, ////, 07, ///, 07</v>
      </c>
    </row>
    <row r="794" spans="1:1" x14ac:dyDescent="0.25">
      <c r="A794" s="12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//"""),"'","""")&amp;SUBSTITUTE(TEXT(IF(ISTEXT(Overig!J794),Overig!J794,10*Overig!J794),""",""????0;"",""???-0;"",""????0;"", ////"""),"'","""")&amp;SUBSTITUTE(TEXT(Overig!K794,""",""?00;"",""?-00;"",""?00;"", //"""),"'","""")&amp;SUBSTITUTE(TEXT(Overig!L794,""",""???0;"",""??-0;"",""???0;"", ///"""),"'","""")&amp;SUBSTITUTE(TEXT(Overig!M794,""",""?00;"",""?-00;"",""?00;"", //"""),"'","""")&amp;SUBSTITUTE(TEXT(IF(ISTEXT(Overig!N794),Overig!N794,10*Overig!N794),""",""????0;"",""???-0;"",""????0;"", ////"""),"'","""")&amp;SUBSTITUTE(TEXT(Overig!O794,""",""?00;"",""?-00;"",""?00;"", //"""),"'","""")&amp;SUBSTITUTE(TEXT(IF(ISTEXT(Overig!P794),Overig!P794,10*Overig!P794),""",""????0;"",""???-0;"",""????0;"", ////"""),"'","""")&amp;SUBSTITUTE(TEXT(Overig!Q794,""",""?00;"",""?-00;"",""?00;"", //"""),"'","""")&amp;SUBSTITUTE(TEXT(Overig!R794,""",""????0;"",""???-0;"",""????0;"", ////"""),"'","""")&amp;SUBSTITUTE(TEXT(Overig!S794,""",""?00;"",""?-00;"",""?00;"", //"""),"'","""")&amp;SUBSTITUTE(TEXT(IF(ISTEXT(Overig!T794),Overig!T794,10*Overig!T794),""",""????0;"",""???-0;"",""????0;"", ////"""),"'","""")&amp;SUBSTITUTE(TEXT(Overig!U794,""",""?00;"",""?-00;"",""?00;"", //"""),"'","""")&amp;SUBSTITUTE(TEXT(Overig!V794,""",""???0;"",""??-0;"",""???0;"", ///"""),"'","""")&amp;SUBSTITUTE(TEXT(Overig!W794,""",""?00;"",""?-00;"",""?00;"", //"""),"'","""")</f>
        <v>032, 19400717, 07.00, 7610, 00,  281, 00, ////, 07, ////, 07,  74, 00,  211, 00,  244, 00,   65, 00,    4, 00,   4, 00</v>
      </c>
    </row>
    <row r="795" spans="1:1" x14ac:dyDescent="0.25">
      <c r="A795" s="12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//"""),"'","""")&amp;SUBSTITUTE(TEXT(IF(ISTEXT(Overig!J795),Overig!J795,10*Overig!J795),""",""????0;"",""???-0;"",""????0;"", ////"""),"'","""")&amp;SUBSTITUTE(TEXT(Overig!K795,""",""?00;"",""?-00;"",""?00;"", //"""),"'","""")&amp;SUBSTITUTE(TEXT(Overig!L795,""",""???0;"",""??-0;"",""???0;"", ///"""),"'","""")&amp;SUBSTITUTE(TEXT(Overig!M795,""",""?00;"",""?-00;"",""?00;"", //"""),"'","""")&amp;SUBSTITUTE(TEXT(IF(ISTEXT(Overig!N795),Overig!N795,10*Overig!N795),""",""????0;"",""???-0;"",""????0;"", ////"""),"'","""")&amp;SUBSTITUTE(TEXT(Overig!O795,""",""?00;"",""?-00;"",""?00;"", //"""),"'","""")&amp;SUBSTITUTE(TEXT(IF(ISTEXT(Overig!P795),Overig!P795,10*Overig!P795),""",""????0;"",""???-0;"",""????0;"", ////"""),"'","""")&amp;SUBSTITUTE(TEXT(Overig!Q795,""",""?00;"",""?-00;"",""?00;"", //"""),"'","""")&amp;SUBSTITUTE(TEXT(Overig!R795,""",""????0;"",""???-0;"",""????0;"", ////"""),"'","""")&amp;SUBSTITUTE(TEXT(Overig!S795,""",""?00;"",""?-00;"",""?00;"", //"""),"'","""")&amp;SUBSTITUTE(TEXT(IF(ISTEXT(Overig!T795),Overig!T795,10*Overig!T795),""",""????0;"",""???-0;"",""????0;"", ////"""),"'","""")&amp;SUBSTITUTE(TEXT(Overig!U795,""",""?00;"",""?-00;"",""?00;"", //"""),"'","""")&amp;SUBSTITUTE(TEXT(Overig!V795,""",""???0;"",""??-0;"",""???0;"", ///"""),"'","""")&amp;SUBSTITUTE(TEXT(Overig!W795,""",""?00;"",""?-00;"",""?00;"", //"""),"'","""")</f>
        <v>032, 19400717, 12.00, 7597, 00,  285, 00, ////, 07, ////, 07,  73, 00,  213, 00,  246, 00,   65, 00,    5, 00,   4, 00</v>
      </c>
    </row>
    <row r="796" spans="1:1" x14ac:dyDescent="0.25">
      <c r="A796" s="12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//"""),"'","""")&amp;SUBSTITUTE(TEXT(IF(ISTEXT(Overig!J796),Overig!J796,10*Overig!J796),""",""????0;"",""???-0;"",""????0;"", ////"""),"'","""")&amp;SUBSTITUTE(TEXT(Overig!K796,""",""?00;"",""?-00;"",""?00;"", //"""),"'","""")&amp;SUBSTITUTE(TEXT(Overig!L796,""",""???0;"",""??-0;"",""???0;"", ///"""),"'","""")&amp;SUBSTITUTE(TEXT(Overig!M796,""",""?00;"",""?-00;"",""?00;"", //"""),"'","""")&amp;SUBSTITUTE(TEXT(IF(ISTEXT(Overig!N796),Overig!N796,10*Overig!N796),""",""????0;"",""???-0;"",""????0;"", ////"""),"'","""")&amp;SUBSTITUTE(TEXT(Overig!O796,""",""?00;"",""?-00;"",""?00;"", //"""),"'","""")&amp;SUBSTITUTE(TEXT(IF(ISTEXT(Overig!P796),Overig!P796,10*Overig!P796),""",""????0;"",""???-0;"",""????0;"", ////"""),"'","""")&amp;SUBSTITUTE(TEXT(Overig!Q796,""",""?00;"",""?-00;"",""?00;"", //"""),"'","""")&amp;SUBSTITUTE(TEXT(Overig!R796,""",""????0;"",""???-0;"",""????0;"", ////"""),"'","""")&amp;SUBSTITUTE(TEXT(Overig!S796,""",""?00;"",""?-00;"",""?00;"", //"""),"'","""")&amp;SUBSTITUTE(TEXT(IF(ISTEXT(Overig!T796),Overig!T796,10*Overig!T796),""",""????0;"",""???-0;"",""????0;"", ////"""),"'","""")&amp;SUBSTITUTE(TEXT(Overig!U796,""",""?00;"",""?-00;"",""?00;"", //"""),"'","""")&amp;SUBSTITUTE(TEXT(Overig!V796,""",""???0;"",""??-0;"",""???0;"", ///"""),"'","""")&amp;SUBSTITUTE(TEXT(Overig!W796,""",""?00;"",""?-00;"",""?00;"", //"""),"'","""")</f>
        <v>032, 19400717, 17.00, 7589, 00,  279, 00, ////, 07, ////, 07,  71, 00,  201, 00,  238, 00,   65, 00,    5, 00,   3, 00</v>
      </c>
    </row>
    <row r="797" spans="1:1" x14ac:dyDescent="0.25">
      <c r="A797" s="12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//"""),"'","""")&amp;SUBSTITUTE(TEXT(IF(ISTEXT(Overig!J797),Overig!J797,10*Overig!J797),""",""????0;"",""???-0;"",""????0;"", ////"""),"'","""")&amp;SUBSTITUTE(TEXT(Overig!K797,""",""?00;"",""?-00;"",""?00;"", //"""),"'","""")&amp;SUBSTITUTE(TEXT(Overig!L797,""",""???0;"",""??-0;"",""???0;"", ///"""),"'","""")&amp;SUBSTITUTE(TEXT(Overig!M797,""",""?00;"",""?-00;"",""?00;"", //"""),"'","""")&amp;SUBSTITUTE(TEXT(IF(ISTEXT(Overig!N797),Overig!N797,10*Overig!N797),""",""????0;"",""???-0;"",""????0;"", ////"""),"'","""")&amp;SUBSTITUTE(TEXT(Overig!O797,""",""?00;"",""?-00;"",""?00;"", //"""),"'","""")&amp;SUBSTITUTE(TEXT(IF(ISTEXT(Overig!P797),Overig!P797,10*Overig!P797),""",""????0;"",""???-0;"",""????0;"", ////"""),"'","""")&amp;SUBSTITUTE(TEXT(Overig!Q797,""",""?00;"",""?-00;"",""?00;"", //"""),"'","""")&amp;SUBSTITUTE(TEXT(Overig!R797,""",""????0;"",""???-0;"",""????0;"", ////"""),"'","""")&amp;SUBSTITUTE(TEXT(Overig!S797,""",""?00;"",""?-00;"",""?00;"", //"""),"'","""")&amp;SUBSTITUTE(TEXT(IF(ISTEXT(Overig!T797),Overig!T797,10*Overig!T797),""",""????0;"",""???-0;"",""????0;"", ////"""),"'","""")&amp;SUBSTITUTE(TEXT(Overig!U797,""",""?00;"",""?-00;"",""?00;"", //"""),"'","""")&amp;SUBSTITUTE(TEXT(Overig!V797,""",""???0;"",""??-0;"",""???0;"", ///"""),"'","""")&amp;SUBSTITUTE(TEXT(Overig!W797,""",""?00;"",""?-00;"",""?00;"", //"""),"'","""")</f>
        <v>032, 19400717, 24.00, ////, 07, ////, 07,  283, 00,  305, 00, ///, 07, ////, 07, ////, 07, ////, 07, ////, 07, ///, 07</v>
      </c>
    </row>
    <row r="798" spans="1:1" x14ac:dyDescent="0.25">
      <c r="A798" s="12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//"""),"'","""")&amp;SUBSTITUTE(TEXT(IF(ISTEXT(Overig!J798),Overig!J798,10*Overig!J798),""",""????0;"",""???-0;"",""????0;"", ////"""),"'","""")&amp;SUBSTITUTE(TEXT(Overig!K798,""",""?00;"",""?-00;"",""?00;"", //"""),"'","""")&amp;SUBSTITUTE(TEXT(Overig!L798,""",""???0;"",""??-0;"",""???0;"", ///"""),"'","""")&amp;SUBSTITUTE(TEXT(Overig!M798,""",""?00;"",""?-00;"",""?00;"", //"""),"'","""")&amp;SUBSTITUTE(TEXT(IF(ISTEXT(Overig!N798),Overig!N798,10*Overig!N798),""",""????0;"",""???-0;"",""????0;"", ////"""),"'","""")&amp;SUBSTITUTE(TEXT(Overig!O798,""",""?00;"",""?-00;"",""?00;"", //"""),"'","""")&amp;SUBSTITUTE(TEXT(IF(ISTEXT(Overig!P798),Overig!P798,10*Overig!P798),""",""????0;"",""???-0;"",""????0;"", ////"""),"'","""")&amp;SUBSTITUTE(TEXT(Overig!Q798,""",""?00;"",""?-00;"",""?00;"", //"""),"'","""")&amp;SUBSTITUTE(TEXT(Overig!R798,""",""????0;"",""???-0;"",""????0;"", ////"""),"'","""")&amp;SUBSTITUTE(TEXT(Overig!S798,""",""?00;"",""?-00;"",""?00;"", //"""),"'","""")&amp;SUBSTITUTE(TEXT(IF(ISTEXT(Overig!T798),Overig!T798,10*Overig!T798),""",""????0;"",""???-0;"",""????0;"", ////"""),"'","""")&amp;SUBSTITUTE(TEXT(Overig!U798,""",""?00;"",""?-00;"",""?00;"", //"""),"'","""")&amp;SUBSTITUTE(TEXT(Overig!V798,""",""???0;"",""??-0;"",""???0;"", ///"""),"'","""")&amp;SUBSTITUTE(TEXT(Overig!W798,""",""?00;"",""?-00;"",""?00;"", //"""),"'","""")</f>
        <v>032, 19400718, 07.00, 7607, 00,  265, 00, ////, 07, ////, 07,  77, 00,  200, 00,  234, 00,   65, 00,    4, 00,   3, 00</v>
      </c>
    </row>
    <row r="799" spans="1:1" x14ac:dyDescent="0.25">
      <c r="A799" s="12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//"""),"'","""")&amp;SUBSTITUTE(TEXT(IF(ISTEXT(Overig!J799),Overig!J799,10*Overig!J799),""",""????0;"",""???-0;"",""????0;"", ////"""),"'","""")&amp;SUBSTITUTE(TEXT(Overig!K799,""",""?00;"",""?-00;"",""?00;"", //"""),"'","""")&amp;SUBSTITUTE(TEXT(Overig!L799,""",""???0;"",""??-0;"",""???0;"", ///"""),"'","""")&amp;SUBSTITUTE(TEXT(Overig!M799,""",""?00;"",""?-00;"",""?00;"", //"""),"'","""")&amp;SUBSTITUTE(TEXT(IF(ISTEXT(Overig!N799),Overig!N799,10*Overig!N799),""",""????0;"",""???-0;"",""????0;"", ////"""),"'","""")&amp;SUBSTITUTE(TEXT(Overig!O799,""",""?00;"",""?-00;"",""?00;"", //"""),"'","""")&amp;SUBSTITUTE(TEXT(IF(ISTEXT(Overig!P799),Overig!P799,10*Overig!P799),""",""????0;"",""???-0;"",""????0;"", ////"""),"'","""")&amp;SUBSTITUTE(TEXT(Overig!Q799,""",""?00;"",""?-00;"",""?00;"", //"""),"'","""")&amp;SUBSTITUTE(TEXT(Overig!R799,""",""????0;"",""???-0;"",""????0;"", ////"""),"'","""")&amp;SUBSTITUTE(TEXT(Overig!S799,""",""?00;"",""?-00;"",""?00;"", //"""),"'","""")&amp;SUBSTITUTE(TEXT(IF(ISTEXT(Overig!T799),Overig!T799,10*Overig!T799),""",""????0;"",""???-0;"",""????0;"", ////"""),"'","""")&amp;SUBSTITUTE(TEXT(Overig!U799,""",""?00;"",""?-00;"",""?00;"", //"""),"'","""")&amp;SUBSTITUTE(TEXT(Overig!V799,""",""???0;"",""??-0;"",""???0;"", ///"""),"'","""")&amp;SUBSTITUTE(TEXT(Overig!W799,""",""?00;"",""?-00;"",""?00;"", //"""),"'","""")</f>
        <v>032, 19400718, 12.00, 7607, 00,  283, 00, ////, 07, ////, 07,  70, 00,  202, 00,  240, 00,   65, 00,    5, 00,   2, 00</v>
      </c>
    </row>
    <row r="800" spans="1:1" x14ac:dyDescent="0.25">
      <c r="A800" s="12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//"""),"'","""")&amp;SUBSTITUTE(TEXT(IF(ISTEXT(Overig!J800),Overig!J800,10*Overig!J800),""",""????0;"",""???-0;"",""????0;"", ////"""),"'","""")&amp;SUBSTITUTE(TEXT(Overig!K800,""",""?00;"",""?-00;"",""?00;"", //"""),"'","""")&amp;SUBSTITUTE(TEXT(Overig!L800,""",""???0;"",""??-0;"",""???0;"", ///"""),"'","""")&amp;SUBSTITUTE(TEXT(Overig!M800,""",""?00;"",""?-00;"",""?00;"", //"""),"'","""")&amp;SUBSTITUTE(TEXT(IF(ISTEXT(Overig!N800),Overig!N800,10*Overig!N800),""",""????0;"",""???-0;"",""????0;"", ////"""),"'","""")&amp;SUBSTITUTE(TEXT(Overig!O800,""",""?00;"",""?-00;"",""?00;"", //"""),"'","""")&amp;SUBSTITUTE(TEXT(IF(ISTEXT(Overig!P800),Overig!P800,10*Overig!P800),""",""????0;"",""???-0;"",""????0;"", ////"""),"'","""")&amp;SUBSTITUTE(TEXT(Overig!Q800,""",""?00;"",""?-00;"",""?00;"", //"""),"'","""")&amp;SUBSTITUTE(TEXT(Overig!R800,""",""????0;"",""???-0;"",""????0;"", ////"""),"'","""")&amp;SUBSTITUTE(TEXT(Overig!S800,""",""?00;"",""?-00;"",""?00;"", //"""),"'","""")&amp;SUBSTITUTE(TEXT(IF(ISTEXT(Overig!T800),Overig!T800,10*Overig!T800),""",""????0;"",""???-0;"",""????0;"", ////"""),"'","""")&amp;SUBSTITUTE(TEXT(Overig!U800,""",""?00;"",""?-00;"",""?00;"", //"""),"'","""")&amp;SUBSTITUTE(TEXT(Overig!V800,""",""???0;"",""??-0;"",""???0;"", ///"""),"'","""")&amp;SUBSTITUTE(TEXT(Overig!W800,""",""?00;"",""?-00;"",""?00;"", //"""),"'","""")</f>
        <v>032, 19400718, 17.00, 7589, 00,  279, 00, ////, 07, ////, 07,  71, 00,  201, 00,  238, 00,   45, 00,    5, 00,   4, 00</v>
      </c>
    </row>
    <row r="801" spans="1:1" x14ac:dyDescent="0.25">
      <c r="A801" s="12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//"""),"'","""")&amp;SUBSTITUTE(TEXT(IF(ISTEXT(Overig!J801),Overig!J801,10*Overig!J801),""",""????0;"",""???-0;"",""????0;"", ////"""),"'","""")&amp;SUBSTITUTE(TEXT(Overig!K801,""",""?00;"",""?-00;"",""?00;"", //"""),"'","""")&amp;SUBSTITUTE(TEXT(Overig!L801,""",""???0;"",""??-0;"",""???0;"", ///"""),"'","""")&amp;SUBSTITUTE(TEXT(Overig!M801,""",""?00;"",""?-00;"",""?00;"", //"""),"'","""")&amp;SUBSTITUTE(TEXT(IF(ISTEXT(Overig!N801),Overig!N801,10*Overig!N801),""",""????0;"",""???-0;"",""????0;"", ////"""),"'","""")&amp;SUBSTITUTE(TEXT(Overig!O801,""",""?00;"",""?-00;"",""?00;"", //"""),"'","""")&amp;SUBSTITUTE(TEXT(IF(ISTEXT(Overig!P801),Overig!P801,10*Overig!P801),""",""????0;"",""???-0;"",""????0;"", ////"""),"'","""")&amp;SUBSTITUTE(TEXT(Overig!Q801,""",""?00;"",""?-00;"",""?00;"", //"""),"'","""")&amp;SUBSTITUTE(TEXT(Overig!R801,""",""????0;"",""???-0;"",""????0;"", ////"""),"'","""")&amp;SUBSTITUTE(TEXT(Overig!S801,""",""?00;"",""?-00;"",""?00;"", //"""),"'","""")&amp;SUBSTITUTE(TEXT(IF(ISTEXT(Overig!T801),Overig!T801,10*Overig!T801),""",""????0;"",""???-0;"",""????0;"", ////"""),"'","""")&amp;SUBSTITUTE(TEXT(Overig!U801,""",""?00;"",""?-00;"",""?00;"", //"""),"'","""")&amp;SUBSTITUTE(TEXT(Overig!V801,""",""???0;"",""??-0;"",""???0;"", ///"""),"'","""")&amp;SUBSTITUTE(TEXT(Overig!W801,""",""?00;"",""?-00;"",""?00;"", //"""),"'","""")</f>
        <v>032, 19400718, 24.00, ////, 07, ////, 07,  284, 00,  300, 00, ///, 07, ////, 07, ////, 07, ////, 07, ////, 07, ///, 07</v>
      </c>
    </row>
    <row r="802" spans="1:1" x14ac:dyDescent="0.25">
      <c r="A802" s="12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//"""),"'","""")&amp;SUBSTITUTE(TEXT(IF(ISTEXT(Overig!J802),Overig!J802,10*Overig!J802),""",""????0;"",""???-0;"",""????0;"", ////"""),"'","""")&amp;SUBSTITUTE(TEXT(Overig!K802,""",""?00;"",""?-00;"",""?00;"", //"""),"'","""")&amp;SUBSTITUTE(TEXT(Overig!L802,""",""???0;"",""??-0;"",""???0;"", ///"""),"'","""")&amp;SUBSTITUTE(TEXT(Overig!M802,""",""?00;"",""?-00;"",""?00;"", //"""),"'","""")&amp;SUBSTITUTE(TEXT(IF(ISTEXT(Overig!N802),Overig!N802,10*Overig!N802),""",""????0;"",""???-0;"",""????0;"", ////"""),"'","""")&amp;SUBSTITUTE(TEXT(Overig!O802,""",""?00;"",""?-00;"",""?00;"", //"""),"'","""")&amp;SUBSTITUTE(TEXT(IF(ISTEXT(Overig!P802),Overig!P802,10*Overig!P802),""",""????0;"",""???-0;"",""????0;"", ////"""),"'","""")&amp;SUBSTITUTE(TEXT(Overig!Q802,""",""?00;"",""?-00;"",""?00;"", //"""),"'","""")&amp;SUBSTITUTE(TEXT(Overig!R802,""",""????0;"",""???-0;"",""????0;"", ////"""),"'","""")&amp;SUBSTITUTE(TEXT(Overig!S802,""",""?00;"",""?-00;"",""?00;"", //"""),"'","""")&amp;SUBSTITUTE(TEXT(IF(ISTEXT(Overig!T802),Overig!T802,10*Overig!T802),""",""????0;"",""???-0;"",""????0;"", ////"""),"'","""")&amp;SUBSTITUTE(TEXT(Overig!U802,""",""?00;"",""?-00;"",""?00;"", //"""),"'","""")&amp;SUBSTITUTE(TEXT(Overig!V802,""",""???0;"",""??-0;"",""???0;"", ///"""),"'","""")&amp;SUBSTITUTE(TEXT(Overig!W802,""",""?00;"",""?-00;"",""?00;"", //"""),"'","""")</f>
        <v>032, 19400719, 07.00, 7597, 00,  271, 00, ////, 07, ////, 07,  72, 00,  194, 00,  232, 00,   65, 00,    4, 00,   5, 00</v>
      </c>
    </row>
    <row r="803" spans="1:1" x14ac:dyDescent="0.25">
      <c r="A803" s="12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//"""),"'","""")&amp;SUBSTITUTE(TEXT(IF(ISTEXT(Overig!J803),Overig!J803,10*Overig!J803),""",""????0;"",""???-0;"",""????0;"", ////"""),"'","""")&amp;SUBSTITUTE(TEXT(Overig!K803,""",""?00;"",""?-00;"",""?00;"", //"""),"'","""")&amp;SUBSTITUTE(TEXT(Overig!L803,""",""???0;"",""??-0;"",""???0;"", ///"""),"'","""")&amp;SUBSTITUTE(TEXT(Overig!M803,""",""?00;"",""?-00;"",""?00;"", //"""),"'","""")&amp;SUBSTITUTE(TEXT(IF(ISTEXT(Overig!N803),Overig!N803,10*Overig!N803),""",""????0;"",""???-0;"",""????0;"", ////"""),"'","""")&amp;SUBSTITUTE(TEXT(Overig!O803,""",""?00;"",""?-00;"",""?00;"", //"""),"'","""")&amp;SUBSTITUTE(TEXT(IF(ISTEXT(Overig!P803),Overig!P803,10*Overig!P803),""",""????0;"",""???-0;"",""????0;"", ////"""),"'","""")&amp;SUBSTITUTE(TEXT(Overig!Q803,""",""?00;"",""?-00;"",""?00;"", //"""),"'","""")&amp;SUBSTITUTE(TEXT(Overig!R803,""",""????0;"",""???-0;"",""????0;"", ////"""),"'","""")&amp;SUBSTITUTE(TEXT(Overig!S803,""",""?00;"",""?-00;"",""?00;"", //"""),"'","""")&amp;SUBSTITUTE(TEXT(IF(ISTEXT(Overig!T803),Overig!T803,10*Overig!T803),""",""????0;"",""???-0;"",""????0;"", ////"""),"'","""")&amp;SUBSTITUTE(TEXT(Overig!U803,""",""?00;"",""?-00;"",""?00;"", //"""),"'","""")&amp;SUBSTITUTE(TEXT(Overig!V803,""",""???0;"",""??-0;"",""???0;"", ///"""),"'","""")&amp;SUBSTITUTE(TEXT(Overig!W803,""",""?00;"",""?-00;"",""?00;"", //"""),"'","""")</f>
        <v>032, 19400719, 12.00, 7602, 00,  281, 00, ////, 07, ////, 07,  70, 00,  200, 00,  238, 00,   65, 00,    4, 00,   6, 00</v>
      </c>
    </row>
    <row r="804" spans="1:1" x14ac:dyDescent="0.25">
      <c r="A804" s="12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//"""),"'","""")&amp;SUBSTITUTE(TEXT(IF(ISTEXT(Overig!J804),Overig!J804,10*Overig!J804),""",""????0;"",""???-0;"",""????0;"", ////"""),"'","""")&amp;SUBSTITUTE(TEXT(Overig!K804,""",""?00;"",""?-00;"",""?00;"", //"""),"'","""")&amp;SUBSTITUTE(TEXT(Overig!L804,""",""???0;"",""??-0;"",""???0;"", ///"""),"'","""")&amp;SUBSTITUTE(TEXT(Overig!M804,""",""?00;"",""?-00;"",""?00;"", //"""),"'","""")&amp;SUBSTITUTE(TEXT(IF(ISTEXT(Overig!N804),Overig!N804,10*Overig!N804),""",""????0;"",""???-0;"",""????0;"", ////"""),"'","""")&amp;SUBSTITUTE(TEXT(Overig!O804,""",""?00;"",""?-00;"",""?00;"", //"""),"'","""")&amp;SUBSTITUTE(TEXT(IF(ISTEXT(Overig!P804),Overig!P804,10*Overig!P804),""",""????0;"",""???-0;"",""????0;"", ////"""),"'","""")&amp;SUBSTITUTE(TEXT(Overig!Q804,""",""?00;"",""?-00;"",""?00;"", //"""),"'","""")&amp;SUBSTITUTE(TEXT(Overig!R804,""",""????0;"",""???-0;"",""????0;"", ////"""),"'","""")&amp;SUBSTITUTE(TEXT(Overig!S804,""",""?00;"",""?-00;"",""?00;"", //"""),"'","""")&amp;SUBSTITUTE(TEXT(IF(ISTEXT(Overig!T804),Overig!T804,10*Overig!T804),""",""????0;"",""???-0;"",""????0;"", ////"""),"'","""")&amp;SUBSTITUTE(TEXT(Overig!U804,""",""?00;"",""?-00;"",""?00;"", //"""),"'","""")&amp;SUBSTITUTE(TEXT(Overig!V804,""",""???0;"",""??-0;"",""???0;"", ///"""),"'","""")&amp;SUBSTITUTE(TEXT(Overig!W804,""",""?00;"",""?-00;"",""?00;"", //"""),"'","""")</f>
        <v>032, 19400719, 17.00, 7592, 00,  271, 00, ////, 07, ////, 07,  75, 00,  201, 00,  236, 00,   90, 00,    4, 00,   5, 00</v>
      </c>
    </row>
    <row r="805" spans="1:1" x14ac:dyDescent="0.25">
      <c r="A805" s="12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//"""),"'","""")&amp;SUBSTITUTE(TEXT(IF(ISTEXT(Overig!J805),Overig!J805,10*Overig!J805),""",""????0;"",""???-0;"",""????0;"", ////"""),"'","""")&amp;SUBSTITUTE(TEXT(Overig!K805,""",""?00;"",""?-00;"",""?00;"", //"""),"'","""")&amp;SUBSTITUTE(TEXT(Overig!L805,""",""???0;"",""??-0;"",""???0;"", ///"""),"'","""")&amp;SUBSTITUTE(TEXT(Overig!M805,""",""?00;"",""?-00;"",""?00;"", //"""),"'","""")&amp;SUBSTITUTE(TEXT(IF(ISTEXT(Overig!N805),Overig!N805,10*Overig!N805),""",""????0;"",""???-0;"",""????0;"", ////"""),"'","""")&amp;SUBSTITUTE(TEXT(Overig!O805,""",""?00;"",""?-00;"",""?00;"", //"""),"'","""")&amp;SUBSTITUTE(TEXT(IF(ISTEXT(Overig!P805),Overig!P805,10*Overig!P805),""",""????0;"",""???-0;"",""????0;"", ////"""),"'","""")&amp;SUBSTITUTE(TEXT(Overig!Q805,""",""?00;"",""?-00;"",""?00;"", //"""),"'","""")&amp;SUBSTITUTE(TEXT(Overig!R805,""",""????0;"",""???-0;"",""????0;"", ////"""),"'","""")&amp;SUBSTITUTE(TEXT(Overig!S805,""",""?00;"",""?-00;"",""?00;"", //"""),"'","""")&amp;SUBSTITUTE(TEXT(IF(ISTEXT(Overig!T805),Overig!T805,10*Overig!T805),""",""????0;"",""???-0;"",""????0;"", ////"""),"'","""")&amp;SUBSTITUTE(TEXT(Overig!U805,""",""?00;"",""?-00;"",""?00;"", //"""),"'","""")&amp;SUBSTITUTE(TEXT(Overig!V805,""",""???0;"",""??-0;"",""???0;"", ///"""),"'","""")&amp;SUBSTITUTE(TEXT(Overig!W805,""",""?00;"",""?-00;"",""?00;"", //"""),"'","""")</f>
        <v>032, 19400719, 24.00, ////, 07, ////, 07,  280, 00,  294, 00, ///, 07, ////, 07, ////, 07, ////, 07, ////, 07, ///, 07</v>
      </c>
    </row>
    <row r="806" spans="1:1" x14ac:dyDescent="0.25">
      <c r="A806" s="12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//"""),"'","""")&amp;SUBSTITUTE(TEXT(IF(ISTEXT(Overig!J806),Overig!J806,10*Overig!J806),""",""????0;"",""???-0;"",""????0;"", ////"""),"'","""")&amp;SUBSTITUTE(TEXT(Overig!K806,""",""?00;"",""?-00;"",""?00;"", //"""),"'","""")&amp;SUBSTITUTE(TEXT(Overig!L806,""",""???0;"",""??-0;"",""???0;"", ///"""),"'","""")&amp;SUBSTITUTE(TEXT(Overig!M806,""",""?00;"",""?-00;"",""?00;"", //"""),"'","""")&amp;SUBSTITUTE(TEXT(IF(ISTEXT(Overig!N806),Overig!N806,10*Overig!N806),""",""????0;"",""???-0;"",""????0;"", ////"""),"'","""")&amp;SUBSTITUTE(TEXT(Overig!O806,""",""?00;"",""?-00;"",""?00;"", //"""),"'","""")&amp;SUBSTITUTE(TEXT(IF(ISTEXT(Overig!P806),Overig!P806,10*Overig!P806),""",""????0;"",""???-0;"",""????0;"", ////"""),"'","""")&amp;SUBSTITUTE(TEXT(Overig!Q806,""",""?00;"",""?-00;"",""?00;"", //"""),"'","""")&amp;SUBSTITUTE(TEXT(Overig!R806,""",""????0;"",""???-0;"",""????0;"", ////"""),"'","""")&amp;SUBSTITUTE(TEXT(Overig!S806,""",""?00;"",""?-00;"",""?00;"", //"""),"'","""")&amp;SUBSTITUTE(TEXT(IF(ISTEXT(Overig!T806),Overig!T806,10*Overig!T806),""",""????0;"",""???-0;"",""????0;"", ////"""),"'","""")&amp;SUBSTITUTE(TEXT(Overig!U806,""",""?00;"",""?-00;"",""?00;"", //"""),"'","""")&amp;SUBSTITUTE(TEXT(Overig!V806,""",""???0;"",""??-0;"",""???0;"", ///"""),"'","""")&amp;SUBSTITUTE(TEXT(Overig!W806,""",""?00;"",""?-00;"",""?00;"", //"""),"'","""")</f>
        <v>032, 19400720, 07.00, 7592, 00,  279, 00, ////, 07, ////, 07,  70, 00,  197, 00,  236, 00,   65, 00,    2, 00,   5, 00</v>
      </c>
    </row>
    <row r="807" spans="1:1" x14ac:dyDescent="0.25">
      <c r="A807" s="12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//"""),"'","""")&amp;SUBSTITUTE(TEXT(IF(ISTEXT(Overig!J807),Overig!J807,10*Overig!J807),""",""????0;"",""???-0;"",""????0;"", ////"""),"'","""")&amp;SUBSTITUTE(TEXT(Overig!K807,""",""?00;"",""?-00;"",""?00;"", //"""),"'","""")&amp;SUBSTITUTE(TEXT(Overig!L807,""",""???0;"",""??-0;"",""???0;"", ///"""),"'","""")&amp;SUBSTITUTE(TEXT(Overig!M807,""",""?00;"",""?-00;"",""?00;"", //"""),"'","""")&amp;SUBSTITUTE(TEXT(IF(ISTEXT(Overig!N807),Overig!N807,10*Overig!N807),""",""????0;"",""???-0;"",""????0;"", ////"""),"'","""")&amp;SUBSTITUTE(TEXT(Overig!O807,""",""?00;"",""?-00;"",""?00;"", //"""),"'","""")&amp;SUBSTITUTE(TEXT(IF(ISTEXT(Overig!P807),Overig!P807,10*Overig!P807),""",""????0;"",""???-0;"",""????0;"", ////"""),"'","""")&amp;SUBSTITUTE(TEXT(Overig!Q807,""",""?00;"",""?-00;"",""?00;"", //"""),"'","""")&amp;SUBSTITUTE(TEXT(Overig!R807,""",""????0;"",""???-0;"",""????0;"", ////"""),"'","""")&amp;SUBSTITUTE(TEXT(Overig!S807,""",""?00;"",""?-00;"",""?00;"", //"""),"'","""")&amp;SUBSTITUTE(TEXT(IF(ISTEXT(Overig!T807),Overig!T807,10*Overig!T807),""",""????0;"",""???-0;"",""????0;"", ////"""),"'","""")&amp;SUBSTITUTE(TEXT(Overig!U807,""",""?00;"",""?-00;"",""?00;"", //"""),"'","""")&amp;SUBSTITUTE(TEXT(Overig!V807,""",""???0;"",""??-0;"",""???0;"", ///"""),"'","""")&amp;SUBSTITUTE(TEXT(Overig!W807,""",""?00;"",""?-00;"",""?00;"", //"""),"'","""")</f>
        <v>032, 19400720, 12.00, 7600, 00,  281, 00, ////, 07, ////, 07,  71, 00,  203, 00,  240, 00,   65, 00,    4, 00,   6, 00</v>
      </c>
    </row>
    <row r="808" spans="1:1" x14ac:dyDescent="0.25">
      <c r="A808" s="12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//"""),"'","""")&amp;SUBSTITUTE(TEXT(IF(ISTEXT(Overig!J808),Overig!J808,10*Overig!J808),""",""????0;"",""???-0;"",""????0;"", ////"""),"'","""")&amp;SUBSTITUTE(TEXT(Overig!K808,""",""?00;"",""?-00;"",""?00;"", //"""),"'","""")&amp;SUBSTITUTE(TEXT(Overig!L808,""",""???0;"",""??-0;"",""???0;"", ///"""),"'","""")&amp;SUBSTITUTE(TEXT(Overig!M808,""",""?00;"",""?-00;"",""?00;"", //"""),"'","""")&amp;SUBSTITUTE(TEXT(IF(ISTEXT(Overig!N808),Overig!N808,10*Overig!N808),""",""????0;"",""???-0;"",""????0;"", ////"""),"'","""")&amp;SUBSTITUTE(TEXT(Overig!O808,""",""?00;"",""?-00;"",""?00;"", //"""),"'","""")&amp;SUBSTITUTE(TEXT(IF(ISTEXT(Overig!P808),Overig!P808,10*Overig!P808),""",""????0;"",""???-0;"",""????0;"", ////"""),"'","""")&amp;SUBSTITUTE(TEXT(Overig!Q808,""",""?00;"",""?-00;"",""?00;"", //"""),"'","""")&amp;SUBSTITUTE(TEXT(Overig!R808,""",""????0;"",""???-0;"",""????0;"", ////"""),"'","""")&amp;SUBSTITUTE(TEXT(Overig!S808,""",""?00;"",""?-00;"",""?00;"", //"""),"'","""")&amp;SUBSTITUTE(TEXT(IF(ISTEXT(Overig!T808),Overig!T808,10*Overig!T808),""",""????0;"",""???-0;"",""????0;"", ////"""),"'","""")&amp;SUBSTITUTE(TEXT(Overig!U808,""",""?00;"",""?-00;"",""?00;"", //"""),"'","""")&amp;SUBSTITUTE(TEXT(Overig!V808,""",""???0;"",""??-0;"",""???0;"", ///"""),"'","""")&amp;SUBSTITUTE(TEXT(Overig!W808,""",""?00;"",""?-00;"",""?00;"", //"""),"'","""")</f>
        <v>032, 19400720, 17.00, 7587, 00,  279, 00, ////, 07, ////, 07,  70, 00,  197, 00,  236, 00,   45, 00,    3, 00,   6, 00</v>
      </c>
    </row>
    <row r="809" spans="1:1" x14ac:dyDescent="0.25">
      <c r="A809" s="12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//"""),"'","""")&amp;SUBSTITUTE(TEXT(IF(ISTEXT(Overig!J809),Overig!J809,10*Overig!J809),""",""????0;"",""???-0;"",""????0;"", ////"""),"'","""")&amp;SUBSTITUTE(TEXT(Overig!K809,""",""?00;"",""?-00;"",""?00;"", //"""),"'","""")&amp;SUBSTITUTE(TEXT(Overig!L809,""",""???0;"",""??-0;"",""???0;"", ///"""),"'","""")&amp;SUBSTITUTE(TEXT(Overig!M809,""",""?00;"",""?-00;"",""?00;"", //"""),"'","""")&amp;SUBSTITUTE(TEXT(IF(ISTEXT(Overig!N809),Overig!N809,10*Overig!N809),""",""????0;"",""???-0;"",""????0;"", ////"""),"'","""")&amp;SUBSTITUTE(TEXT(Overig!O809,""",""?00;"",""?-00;"",""?00;"", //"""),"'","""")&amp;SUBSTITUTE(TEXT(IF(ISTEXT(Overig!P809),Overig!P809,10*Overig!P809),""",""????0;"",""???-0;"",""????0;"", ////"""),"'","""")&amp;SUBSTITUTE(TEXT(Overig!Q809,""",""?00;"",""?-00;"",""?00;"", //"""),"'","""")&amp;SUBSTITUTE(TEXT(Overig!R809,""",""????0;"",""???-0;"",""????0;"", ////"""),"'","""")&amp;SUBSTITUTE(TEXT(Overig!S809,""",""?00;"",""?-00;"",""?00;"", //"""),"'","""")&amp;SUBSTITUTE(TEXT(IF(ISTEXT(Overig!T809),Overig!T809,10*Overig!T809),""",""????0;"",""???-0;"",""????0;"", ////"""),"'","""")&amp;SUBSTITUTE(TEXT(Overig!U809,""",""?00;"",""?-00;"",""?00;"", //"""),"'","""")&amp;SUBSTITUTE(TEXT(Overig!V809,""",""???0;"",""??-0;"",""???0;"", ///"""),"'","""")&amp;SUBSTITUTE(TEXT(Overig!W809,""",""?00;"",""?-00;"",""?00;"", //"""),"'","""")</f>
        <v>032, 19400720, 24.00, ////, 07, ////, 07,  294, 00,  304, 00, ///, 07, ////, 07, ////, 07, ////, 07, ////, 07, ///, 07</v>
      </c>
    </row>
    <row r="810" spans="1:1" x14ac:dyDescent="0.25">
      <c r="A810" s="12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//"""),"'","""")&amp;SUBSTITUTE(TEXT(IF(ISTEXT(Overig!J810),Overig!J810,10*Overig!J810),""",""????0;"",""???-0;"",""????0;"", ////"""),"'","""")&amp;SUBSTITUTE(TEXT(Overig!K810,""",""?00;"",""?-00;"",""?00;"", //"""),"'","""")&amp;SUBSTITUTE(TEXT(Overig!L810,""",""???0;"",""??-0;"",""???0;"", ///"""),"'","""")&amp;SUBSTITUTE(TEXT(Overig!M810,""",""?00;"",""?-00;"",""?00;"", //"""),"'","""")&amp;SUBSTITUTE(TEXT(IF(ISTEXT(Overig!N810),Overig!N810,10*Overig!N810),""",""????0;"",""???-0;"",""????0;"", ////"""),"'","""")&amp;SUBSTITUTE(TEXT(Overig!O810,""",""?00;"",""?-00;"",""?00;"", //"""),"'","""")&amp;SUBSTITUTE(TEXT(IF(ISTEXT(Overig!P810),Overig!P810,10*Overig!P810),""",""????0;"",""???-0;"",""????0;"", ////"""),"'","""")&amp;SUBSTITUTE(TEXT(Overig!Q810,""",""?00;"",""?-00;"",""?00;"", //"""),"'","""")&amp;SUBSTITUTE(TEXT(Overig!R810,""",""????0;"",""???-0;"",""????0;"", ////"""),"'","""")&amp;SUBSTITUTE(TEXT(Overig!S810,""",""?00;"",""?-00;"",""?00;"", //"""),"'","""")&amp;SUBSTITUTE(TEXT(IF(ISTEXT(Overig!T810),Overig!T810,10*Overig!T810),""",""????0;"",""???-0;"",""????0;"", ////"""),"'","""")&amp;SUBSTITUTE(TEXT(Overig!U810,""",""?00;"",""?-00;"",""?00;"", //"""),"'","""")&amp;SUBSTITUTE(TEXT(Overig!V810,""",""???0;"",""??-0;"",""???0;"", ///"""),"'","""")&amp;SUBSTITUTE(TEXT(Overig!W810,""",""?00;"",""?-00;"",""?00;"", //"""),"'","""")</f>
        <v>032, 19400721, 07.00, 7592, 00,  281, 00, ////, 07, ////, 07,  69, 00,  196, 00,  236, 00,   65, 00,    3, 00,   2, 00</v>
      </c>
    </row>
    <row r="811" spans="1:1" x14ac:dyDescent="0.25">
      <c r="A811" s="12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//"""),"'","""")&amp;SUBSTITUTE(TEXT(IF(ISTEXT(Overig!J811),Overig!J811,10*Overig!J811),""",""????0;"",""???-0;"",""????0;"", ////"""),"'","""")&amp;SUBSTITUTE(TEXT(Overig!K811,""",""?00;"",""?-00;"",""?00;"", //"""),"'","""")&amp;SUBSTITUTE(TEXT(Overig!L811,""",""???0;"",""??-0;"",""???0;"", ///"""),"'","""")&amp;SUBSTITUTE(TEXT(Overig!M811,""",""?00;"",""?-00;"",""?00;"", //"""),"'","""")&amp;SUBSTITUTE(TEXT(IF(ISTEXT(Overig!N811),Overig!N811,10*Overig!N811),""",""????0;"",""???-0;"",""????0;"", ////"""),"'","""")&amp;SUBSTITUTE(TEXT(Overig!O811,""",""?00;"",""?-00;"",""?00;"", //"""),"'","""")&amp;SUBSTITUTE(TEXT(IF(ISTEXT(Overig!P811),Overig!P811,10*Overig!P811),""",""????0;"",""???-0;"",""????0;"", ////"""),"'","""")&amp;SUBSTITUTE(TEXT(Overig!Q811,""",""?00;"",""?-00;"",""?00;"", //"""),"'","""")&amp;SUBSTITUTE(TEXT(Overig!R811,""",""????0;"",""???-0;"",""????0;"", ////"""),"'","""")&amp;SUBSTITUTE(TEXT(Overig!S811,""",""?00;"",""?-00;"",""?00;"", //"""),"'","""")&amp;SUBSTITUTE(TEXT(IF(ISTEXT(Overig!T811),Overig!T811,10*Overig!T811),""",""????0;"",""???-0;"",""????0;"", ////"""),"'","""")&amp;SUBSTITUTE(TEXT(Overig!U811,""",""?00;"",""?-00;"",""?00;"", //"""),"'","""")&amp;SUBSTITUTE(TEXT(Overig!V811,""",""???0;"",""??-0;"",""???0;"", ///"""),"'","""")&amp;SUBSTITUTE(TEXT(Overig!W811,""",""?00;"",""?-00;"",""?00;"", //"""),"'","""")</f>
        <v>032, 19400721, 12.00, 7589, 00,  285, 00, ////, 07, ////, 07,  69, 00,  201, 00,  240, 00,   65, 00,    3, 00,   2, 00</v>
      </c>
    </row>
    <row r="812" spans="1:1" x14ac:dyDescent="0.25">
      <c r="A812" s="12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//"""),"'","""")&amp;SUBSTITUTE(TEXT(IF(ISTEXT(Overig!J812),Overig!J812,10*Overig!J812),""",""????0;"",""???-0;"",""????0;"", ////"""),"'","""")&amp;SUBSTITUTE(TEXT(Overig!K812,""",""?00;"",""?-00;"",""?00;"", //"""),"'","""")&amp;SUBSTITUTE(TEXT(Overig!L812,""",""???0;"",""??-0;"",""???0;"", ///"""),"'","""")&amp;SUBSTITUTE(TEXT(Overig!M812,""",""?00;"",""?-00;"",""?00;"", //"""),"'","""")&amp;SUBSTITUTE(TEXT(IF(ISTEXT(Overig!N812),Overig!N812,10*Overig!N812),""",""????0;"",""???-0;"",""????0;"", ////"""),"'","""")&amp;SUBSTITUTE(TEXT(Overig!O812,""",""?00;"",""?-00;"",""?00;"", //"""),"'","""")&amp;SUBSTITUTE(TEXT(IF(ISTEXT(Overig!P812),Overig!P812,10*Overig!P812),""",""????0;"",""???-0;"",""????0;"", ////"""),"'","""")&amp;SUBSTITUTE(TEXT(Overig!Q812,""",""?00;"",""?-00;"",""?00;"", //"""),"'","""")&amp;SUBSTITUTE(TEXT(Overig!R812,""",""????0;"",""???-0;"",""????0;"", ////"""),"'","""")&amp;SUBSTITUTE(TEXT(Overig!S812,""",""?00;"",""?-00;"",""?00;"", //"""),"'","""")&amp;SUBSTITUTE(TEXT(IF(ISTEXT(Overig!T812),Overig!T812,10*Overig!T812),""",""????0;"",""???-0;"",""????0;"", ////"""),"'","""")&amp;SUBSTITUTE(TEXT(Overig!U812,""",""?00;"",""?-00;"",""?00;"", //"""),"'","""")&amp;SUBSTITUTE(TEXT(Overig!V812,""",""???0;"",""??-0;"",""???0;"", ///"""),"'","""")&amp;SUBSTITUTE(TEXT(Overig!W812,""",""?00;"",""?-00;"",""?00;"", //"""),"'","""")</f>
        <v>032, 19400721, 17.00, 7592, 00,  281, 00, ////, 07, ////, 07,  69, 00,  196, 00,  236, 00,   65, 00,    3, 00,   2, 00</v>
      </c>
    </row>
    <row r="813" spans="1:1" x14ac:dyDescent="0.25">
      <c r="A813" s="12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//"""),"'","""")&amp;SUBSTITUTE(TEXT(IF(ISTEXT(Overig!J813),Overig!J813,10*Overig!J813),""",""????0;"",""???-0;"",""????0;"", ////"""),"'","""")&amp;SUBSTITUTE(TEXT(Overig!K813,""",""?00;"",""?-00;"",""?00;"", //"""),"'","""")&amp;SUBSTITUTE(TEXT(Overig!L813,""",""???0;"",""??-0;"",""???0;"", ///"""),"'","""")&amp;SUBSTITUTE(TEXT(Overig!M813,""",""?00;"",""?-00;"",""?00;"", //"""),"'","""")&amp;SUBSTITUTE(TEXT(IF(ISTEXT(Overig!N813),Overig!N813,10*Overig!N813),""",""????0;"",""???-0;"",""????0;"", ////"""),"'","""")&amp;SUBSTITUTE(TEXT(Overig!O813,""",""?00;"",""?-00;"",""?00;"", //"""),"'","""")&amp;SUBSTITUTE(TEXT(IF(ISTEXT(Overig!P813),Overig!P813,10*Overig!P813),""",""????0;"",""???-0;"",""????0;"", ////"""),"'","""")&amp;SUBSTITUTE(TEXT(Overig!Q813,""",""?00;"",""?-00;"",""?00;"", //"""),"'","""")&amp;SUBSTITUTE(TEXT(Overig!R813,""",""????0;"",""???-0;"",""????0;"", ////"""),"'","""")&amp;SUBSTITUTE(TEXT(Overig!S813,""",""?00;"",""?-00;"",""?00;"", //"""),"'","""")&amp;SUBSTITUTE(TEXT(IF(ISTEXT(Overig!T813),Overig!T813,10*Overig!T813),""",""????0;"",""???-0;"",""????0;"", ////"""),"'","""")&amp;SUBSTITUTE(TEXT(Overig!U813,""",""?00;"",""?-00;"",""?00;"", //"""),"'","""")&amp;SUBSTITUTE(TEXT(Overig!V813,""",""???0;"",""??-0;"",""???0;"", ///"""),"'","""")&amp;SUBSTITUTE(TEXT(Overig!W813,""",""?00;"",""?-00;"",""?00;"", //"""),"'","""")</f>
        <v>032, 19400721, 24.00, ////, 07, ////, 07,  308, 00,  304, 00, ///, 07, ////, 07, ////, 07, ////, 07, ////, 07, ///, 07</v>
      </c>
    </row>
    <row r="814" spans="1:1" x14ac:dyDescent="0.25">
      <c r="A814" s="12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//"""),"'","""")&amp;SUBSTITUTE(TEXT(IF(ISTEXT(Overig!J814),Overig!J814,10*Overig!J814),""",""????0;"",""???-0;"",""????0;"", ////"""),"'","""")&amp;SUBSTITUTE(TEXT(Overig!K814,""",""?00;"",""?-00;"",""?00;"", //"""),"'","""")&amp;SUBSTITUTE(TEXT(Overig!L814,""",""???0;"",""??-0;"",""???0;"", ///"""),"'","""")&amp;SUBSTITUTE(TEXT(Overig!M814,""",""?00;"",""?-00;"",""?00;"", //"""),"'","""")&amp;SUBSTITUTE(TEXT(IF(ISTEXT(Overig!N814),Overig!N814,10*Overig!N814),""",""????0;"",""???-0;"",""????0;"", ////"""),"'","""")&amp;SUBSTITUTE(TEXT(Overig!O814,""",""?00;"",""?-00;"",""?00;"", //"""),"'","""")&amp;SUBSTITUTE(TEXT(IF(ISTEXT(Overig!P814),Overig!P814,10*Overig!P814),""",""????0;"",""???-0;"",""????0;"", ////"""),"'","""")&amp;SUBSTITUTE(TEXT(Overig!Q814,""",""?00;"",""?-00;"",""?00;"", //"""),"'","""")&amp;SUBSTITUTE(TEXT(Overig!R814,""",""????0;"",""???-0;"",""????0;"", ////"""),"'","""")&amp;SUBSTITUTE(TEXT(Overig!S814,""",""?00;"",""?-00;"",""?00;"", //"""),"'","""")&amp;SUBSTITUTE(TEXT(IF(ISTEXT(Overig!T814),Overig!T814,10*Overig!T814),""",""????0;"",""???-0;"",""????0;"", ////"""),"'","""")&amp;SUBSTITUTE(TEXT(Overig!U814,""",""?00;"",""?-00;"",""?00;"", //"""),"'","""")&amp;SUBSTITUTE(TEXT(Overig!V814,""",""???0;"",""??-0;"",""???0;"", ///"""),"'","""")&amp;SUBSTITUTE(TEXT(Overig!W814,""",""?00;"",""?-00;"",""?00;"", //"""),"'","""")</f>
        <v>032, 19400722, 07.00, 7597, 00,  271, 00, ////, 07, ////, 07,  73, 00,  197, 00,  234, 00,   65, 00,    3, 00,   3, 00</v>
      </c>
    </row>
    <row r="815" spans="1:1" x14ac:dyDescent="0.25">
      <c r="A815" s="12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//"""),"'","""")&amp;SUBSTITUTE(TEXT(IF(ISTEXT(Overig!J815),Overig!J815,10*Overig!J815),""",""????0;"",""???-0;"",""????0;"", ////"""),"'","""")&amp;SUBSTITUTE(TEXT(Overig!K815,""",""?00;"",""?-00;"",""?00;"", //"""),"'","""")&amp;SUBSTITUTE(TEXT(Overig!L815,""",""???0;"",""??-0;"",""???0;"", ///"""),"'","""")&amp;SUBSTITUTE(TEXT(Overig!M815,""",""?00;"",""?-00;"",""?00;"", //"""),"'","""")&amp;SUBSTITUTE(TEXT(IF(ISTEXT(Overig!N815),Overig!N815,10*Overig!N815),""",""????0;"",""???-0;"",""????0;"", ////"""),"'","""")&amp;SUBSTITUTE(TEXT(Overig!O815,""",""?00;"",""?-00;"",""?00;"", //"""),"'","""")&amp;SUBSTITUTE(TEXT(IF(ISTEXT(Overig!P815),Overig!P815,10*Overig!P815),""",""????0;"",""???-0;"",""????0;"", ////"""),"'","""")&amp;SUBSTITUTE(TEXT(Overig!Q815,""",""?00;"",""?-00;"",""?00;"", //"""),"'","""")&amp;SUBSTITUTE(TEXT(Overig!R815,""",""????0;"",""???-0;"",""????0;"", ////"""),"'","""")&amp;SUBSTITUTE(TEXT(Overig!S815,""",""?00;"",""?-00;"",""?00;"", //"""),"'","""")&amp;SUBSTITUTE(TEXT(IF(ISTEXT(Overig!T815),Overig!T815,10*Overig!T815),""",""????0;"",""???-0;"",""????0;"", ////"""),"'","""")&amp;SUBSTITUTE(TEXT(Overig!U815,""",""?00;"",""?-00;"",""?00;"", //"""),"'","""")&amp;SUBSTITUTE(TEXT(Overig!V815,""",""???0;"",""??-0;"",""???0;"", ///"""),"'","""")&amp;SUBSTITUTE(TEXT(Overig!W815,""",""?00;"",""?-00;"",""?00;"", //"""),"'","""")</f>
        <v>032, 19400722, 12.00, 7602, 00,  283, 00, ////, 07, ////, 07,  70, 00,  202, 00,  240, 00,   65, 00,    3, 00,   2, 00</v>
      </c>
    </row>
    <row r="816" spans="1:1" x14ac:dyDescent="0.25">
      <c r="A816" s="12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//"""),"'","""")&amp;SUBSTITUTE(TEXT(IF(ISTEXT(Overig!J816),Overig!J816,10*Overig!J816),""",""????0;"",""???-0;"",""????0;"", ////"""),"'","""")&amp;SUBSTITUTE(TEXT(Overig!K816,""",""?00;"",""?-00;"",""?00;"", //"""),"'","""")&amp;SUBSTITUTE(TEXT(Overig!L816,""",""???0;"",""??-0;"",""???0;"", ///"""),"'","""")&amp;SUBSTITUTE(TEXT(Overig!M816,""",""?00;"",""?-00;"",""?00;"", //"""),"'","""")&amp;SUBSTITUTE(TEXT(IF(ISTEXT(Overig!N816),Overig!N816,10*Overig!N816),""",""????0;"",""???-0;"",""????0;"", ////"""),"'","""")&amp;SUBSTITUTE(TEXT(Overig!O816,""",""?00;"",""?-00;"",""?00;"", //"""),"'","""")&amp;SUBSTITUTE(TEXT(IF(ISTEXT(Overig!P816),Overig!P816,10*Overig!P816),""",""????0;"",""???-0;"",""????0;"", ////"""),"'","""")&amp;SUBSTITUTE(TEXT(Overig!Q816,""",""?00;"",""?-00;"",""?00;"", //"""),"'","""")&amp;SUBSTITUTE(TEXT(Overig!R816,""",""????0;"",""???-0;"",""????0;"", ////"""),"'","""")&amp;SUBSTITUTE(TEXT(Overig!S816,""",""?00;"",""?-00;"",""?00;"", //"""),"'","""")&amp;SUBSTITUTE(TEXT(IF(ISTEXT(Overig!T816),Overig!T816,10*Overig!T816),""",""????0;"",""???-0;"",""????0;"", ////"""),"'","""")&amp;SUBSTITUTE(TEXT(Overig!U816,""",""?00;"",""?-00;"",""?00;"", //"""),"'","""")&amp;SUBSTITUTE(TEXT(Overig!V816,""",""???0;"",""??-0;"",""???0;"", ///"""),"'","""")&amp;SUBSTITUTE(TEXT(Overig!W816,""",""?00;"",""?-00;"",""?00;"", //"""),"'","""")</f>
        <v>032, 19400722, 17.00, 7587, 00,  275, 00, ////, 07, ////, 07,  73, 00,  203, 00,  238, 00,   45, 00,    3, 00,   2, 00</v>
      </c>
    </row>
    <row r="817" spans="1:1" x14ac:dyDescent="0.25">
      <c r="A817" s="12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//"""),"'","""")&amp;SUBSTITUTE(TEXT(IF(ISTEXT(Overig!J817),Overig!J817,10*Overig!J817),""",""????0;"",""???-0;"",""????0;"", ////"""),"'","""")&amp;SUBSTITUTE(TEXT(Overig!K817,""",""?00;"",""?-00;"",""?00;"", //"""),"'","""")&amp;SUBSTITUTE(TEXT(Overig!L817,""",""???0;"",""??-0;"",""???0;"", ///"""),"'","""")&amp;SUBSTITUTE(TEXT(Overig!M817,""",""?00;"",""?-00;"",""?00;"", //"""),"'","""")&amp;SUBSTITUTE(TEXT(IF(ISTEXT(Overig!N817),Overig!N817,10*Overig!N817),""",""????0;"",""???-0;"",""????0;"", ////"""),"'","""")&amp;SUBSTITUTE(TEXT(Overig!O817,""",""?00;"",""?-00;"",""?00;"", //"""),"'","""")&amp;SUBSTITUTE(TEXT(IF(ISTEXT(Overig!P817),Overig!P817,10*Overig!P817),""",""????0;"",""???-0;"",""????0;"", ////"""),"'","""")&amp;SUBSTITUTE(TEXT(Overig!Q817,""",""?00;"",""?-00;"",""?00;"", //"""),"'","""")&amp;SUBSTITUTE(TEXT(Overig!R817,""",""????0;"",""???-0;"",""????0;"", ////"""),"'","""")&amp;SUBSTITUTE(TEXT(Overig!S817,""",""?00;"",""?-00;"",""?00;"", //"""),"'","""")&amp;SUBSTITUTE(TEXT(IF(ISTEXT(Overig!T817),Overig!T817,10*Overig!T817),""",""????0;"",""???-0;"",""????0;"", ////"""),"'","""")&amp;SUBSTITUTE(TEXT(Overig!U817,""",""?00;"",""?-00;"",""?00;"", //"""),"'","""")&amp;SUBSTITUTE(TEXT(Overig!V817,""",""???0;"",""??-0;"",""???0;"", ///"""),"'","""")&amp;SUBSTITUTE(TEXT(Overig!W817,""",""?00;"",""?-00;"",""?00;"", //"""),"'","""")</f>
        <v>032, 19400722, 24.00, ////, 07, ////, 07,  280, 00,  294, 00, ///, 07, ////, 07, ////, 07, ////, 07, ////, 07, ///, 07</v>
      </c>
    </row>
    <row r="818" spans="1:1" x14ac:dyDescent="0.25">
      <c r="A818" s="12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//"""),"'","""")&amp;SUBSTITUTE(TEXT(IF(ISTEXT(Overig!J818),Overig!J818,10*Overig!J818),""",""????0;"",""???-0;"",""????0;"", ////"""),"'","""")&amp;SUBSTITUTE(TEXT(Overig!K818,""",""?00;"",""?-00;"",""?00;"", //"""),"'","""")&amp;SUBSTITUTE(TEXT(Overig!L818,""",""???0;"",""??-0;"",""???0;"", ///"""),"'","""")&amp;SUBSTITUTE(TEXT(Overig!M818,""",""?00;"",""?-00;"",""?00;"", //"""),"'","""")&amp;SUBSTITUTE(TEXT(IF(ISTEXT(Overig!N818),Overig!N818,10*Overig!N818),""",""????0;"",""???-0;"",""????0;"", ////"""),"'","""")&amp;SUBSTITUTE(TEXT(Overig!O818,""",""?00;"",""?-00;"",""?00;"", //"""),"'","""")&amp;SUBSTITUTE(TEXT(IF(ISTEXT(Overig!P818),Overig!P818,10*Overig!P818),""",""????0;"",""???-0;"",""????0;"", ////"""),"'","""")&amp;SUBSTITUTE(TEXT(Overig!Q818,""",""?00;"",""?-00;"",""?00;"", //"""),"'","""")&amp;SUBSTITUTE(TEXT(Overig!R818,""",""????0;"",""???-0;"",""????0;"", ////"""),"'","""")&amp;SUBSTITUTE(TEXT(Overig!S818,""",""?00;"",""?-00;"",""?00;"", //"""),"'","""")&amp;SUBSTITUTE(TEXT(IF(ISTEXT(Overig!T818),Overig!T818,10*Overig!T818),""",""????0;"",""???-0;"",""????0;"", ////"""),"'","""")&amp;SUBSTITUTE(TEXT(Overig!U818,""",""?00;"",""?-00;"",""?00;"", //"""),"'","""")&amp;SUBSTITUTE(TEXT(Overig!V818,""",""???0;"",""??-0;"",""???0;"", ///"""),"'","""")&amp;SUBSTITUTE(TEXT(Overig!W818,""",""?00;"",""?-00;"",""?00;"", //"""),"'","""")</f>
        <v>032, 19400723, 07.00, 7590, 00,  269, 00, ////, 07, ////, 07,  73, 00,  195, 00,  232, 00,   65, 00,    3, 00,   3, 00</v>
      </c>
    </row>
    <row r="819" spans="1:1" x14ac:dyDescent="0.25">
      <c r="A819" s="12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//"""),"'","""")&amp;SUBSTITUTE(TEXT(IF(ISTEXT(Overig!J819),Overig!J819,10*Overig!J819),""",""????0;"",""???-0;"",""????0;"", ////"""),"'","""")&amp;SUBSTITUTE(TEXT(Overig!K819,""",""?00;"",""?-00;"",""?00;"", //"""),"'","""")&amp;SUBSTITUTE(TEXT(Overig!L819,""",""???0;"",""??-0;"",""???0;"", ///"""),"'","""")&amp;SUBSTITUTE(TEXT(Overig!M819,""",""?00;"",""?-00;"",""?00;"", //"""),"'","""")&amp;SUBSTITUTE(TEXT(IF(ISTEXT(Overig!N819),Overig!N819,10*Overig!N819),""",""????0;"",""???-0;"",""????0;"", ////"""),"'","""")&amp;SUBSTITUTE(TEXT(Overig!O819,""",""?00;"",""?-00;"",""?00;"", //"""),"'","""")&amp;SUBSTITUTE(TEXT(IF(ISTEXT(Overig!P819),Overig!P819,10*Overig!P819),""",""????0;"",""???-0;"",""????0;"", ////"""),"'","""")&amp;SUBSTITUTE(TEXT(Overig!Q819,""",""?00;"",""?-00;"",""?00;"", //"""),"'","""")&amp;SUBSTITUTE(TEXT(Overig!R819,""",""????0;"",""???-0;"",""????0;"", ////"""),"'","""")&amp;SUBSTITUTE(TEXT(Overig!S819,""",""?00;"",""?-00;"",""?00;"", //"""),"'","""")&amp;SUBSTITUTE(TEXT(IF(ISTEXT(Overig!T819),Overig!T819,10*Overig!T819),""",""????0;"",""???-0;"",""????0;"", ////"""),"'","""")&amp;SUBSTITUTE(TEXT(Overig!U819,""",""?00;"",""?-00;"",""?00;"", //"""),"'","""")&amp;SUBSTITUTE(TEXT(Overig!V819,""",""???0;"",""??-0;"",""???0;"", ///"""),"'","""")&amp;SUBSTITUTE(TEXT(Overig!W819,""",""?00;"",""?-00;"",""?00;"", //"""),"'","""")</f>
        <v>032, 19400723, 12.00, 7597, 00,  279, 00, ////, 07, ////, 07,  71, 00,  201, 00,  238, 00,   65, 00,    3, 00,   2, 00</v>
      </c>
    </row>
    <row r="820" spans="1:1" x14ac:dyDescent="0.25">
      <c r="A820" s="12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//"""),"'","""")&amp;SUBSTITUTE(TEXT(IF(ISTEXT(Overig!J820),Overig!J820,10*Overig!J820),""",""????0;"",""???-0;"",""????0;"", ////"""),"'","""")&amp;SUBSTITUTE(TEXT(Overig!K820,""",""?00;"",""?-00;"",""?00;"", //"""),"'","""")&amp;SUBSTITUTE(TEXT(Overig!L820,""",""???0;"",""??-0;"",""???0;"", ///"""),"'","""")&amp;SUBSTITUTE(TEXT(Overig!M820,""",""?00;"",""?-00;"",""?00;"", //"""),"'","""")&amp;SUBSTITUTE(TEXT(IF(ISTEXT(Overig!N820),Overig!N820,10*Overig!N820),""",""????0;"",""???-0;"",""????0;"", ////"""),"'","""")&amp;SUBSTITUTE(TEXT(Overig!O820,""",""?00;"",""?-00;"",""?00;"", //"""),"'","""")&amp;SUBSTITUTE(TEXT(IF(ISTEXT(Overig!P820),Overig!P820,10*Overig!P820),""",""????0;"",""???-0;"",""????0;"", ////"""),"'","""")&amp;SUBSTITUTE(TEXT(Overig!Q820,""",""?00;"",""?-00;"",""?00;"", //"""),"'","""")&amp;SUBSTITUTE(TEXT(Overig!R820,""",""????0;"",""???-0;"",""????0;"", ////"""),"'","""")&amp;SUBSTITUTE(TEXT(Overig!S820,""",""?00;"",""?-00;"",""?00;"", //"""),"'","""")&amp;SUBSTITUTE(TEXT(IF(ISTEXT(Overig!T820),Overig!T820,10*Overig!T820),""",""????0;"",""???-0;"",""????0;"", ////"""),"'","""")&amp;SUBSTITUTE(TEXT(Overig!U820,""",""?00;"",""?-00;"",""?00;"", //"""),"'","""")&amp;SUBSTITUTE(TEXT(Overig!V820,""",""???0;"",""??-0;"",""???0;"", ///"""),"'","""")&amp;SUBSTITUTE(TEXT(Overig!W820,""",""?00;"",""?-00;"",""?00;"", //"""),"'","""")</f>
        <v>032, 19400723, 17.00, 7587, 00,  271, 00, ////, 07, ////, 07,  73, 00,  197, 00,  234, 00,   65, 00,    3, 00,   2, 00</v>
      </c>
    </row>
    <row r="821" spans="1:1" x14ac:dyDescent="0.25">
      <c r="A821" s="12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//"""),"'","""")&amp;SUBSTITUTE(TEXT(IF(ISTEXT(Overig!J821),Overig!J821,10*Overig!J821),""",""????0;"",""???-0;"",""????0;"", ////"""),"'","""")&amp;SUBSTITUTE(TEXT(Overig!K821,""",""?00;"",""?-00;"",""?00;"", //"""),"'","""")&amp;SUBSTITUTE(TEXT(Overig!L821,""",""???0;"",""??-0;"",""???0;"", ///"""),"'","""")&amp;SUBSTITUTE(TEXT(Overig!M821,""",""?00;"",""?-00;"",""?00;"", //"""),"'","""")&amp;SUBSTITUTE(TEXT(IF(ISTEXT(Overig!N821),Overig!N821,10*Overig!N821),""",""????0;"",""???-0;"",""????0;"", ////"""),"'","""")&amp;SUBSTITUTE(TEXT(Overig!O821,""",""?00;"",""?-00;"",""?00;"", //"""),"'","""")&amp;SUBSTITUTE(TEXT(IF(ISTEXT(Overig!P821),Overig!P821,10*Overig!P821),""",""????0;"",""???-0;"",""????0;"", ////"""),"'","""")&amp;SUBSTITUTE(TEXT(Overig!Q821,""",""?00;"",""?-00;"",""?00;"", //"""),"'","""")&amp;SUBSTITUTE(TEXT(Overig!R821,""",""????0;"",""???-0;"",""????0;"", ////"""),"'","""")&amp;SUBSTITUTE(TEXT(Overig!S821,""",""?00;"",""?-00;"",""?00;"", //"""),"'","""")&amp;SUBSTITUTE(TEXT(IF(ISTEXT(Overig!T821),Overig!T821,10*Overig!T821),""",""????0;"",""???-0;"",""????0;"", ////"""),"'","""")&amp;SUBSTITUTE(TEXT(Overig!U821,""",""?00;"",""?-00;"",""?00;"", //"""),"'","""")&amp;SUBSTITUTE(TEXT(Overig!V821,""",""???0;"",""??-0;"",""???0;"", ///"""),"'","""")&amp;SUBSTITUTE(TEXT(Overig!W821,""",""?00;"",""?-00;"",""?00;"", //"""),"'","""")</f>
        <v>032, 19400723, 24.00, ////, 07, ////, 07,  290, 00,  300, 00, ///, 07, ////, 07, ////, 07, ////, 07, ////, 07, ///, 07</v>
      </c>
    </row>
    <row r="822" spans="1:1" x14ac:dyDescent="0.25">
      <c r="A822" s="12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//"""),"'","""")&amp;SUBSTITUTE(TEXT(IF(ISTEXT(Overig!J822),Overig!J822,10*Overig!J822),""",""????0;"",""???-0;"",""????0;"", ////"""),"'","""")&amp;SUBSTITUTE(TEXT(Overig!K822,""",""?00;"",""?-00;"",""?00;"", //"""),"'","""")&amp;SUBSTITUTE(TEXT(Overig!L822,""",""???0;"",""??-0;"",""???0;"", ///"""),"'","""")&amp;SUBSTITUTE(TEXT(Overig!M822,""",""?00;"",""?-00;"",""?00;"", //"""),"'","""")&amp;SUBSTITUTE(TEXT(IF(ISTEXT(Overig!N822),Overig!N822,10*Overig!N822),""",""????0;"",""???-0;"",""????0;"", ////"""),"'","""")&amp;SUBSTITUTE(TEXT(Overig!O822,""",""?00;"",""?-00;"",""?00;"", //"""),"'","""")&amp;SUBSTITUTE(TEXT(IF(ISTEXT(Overig!P822),Overig!P822,10*Overig!P822),""",""????0;"",""???-0;"",""????0;"", ////"""),"'","""")&amp;SUBSTITUTE(TEXT(Overig!Q822,""",""?00;"",""?-00;"",""?00;"", //"""),"'","""")&amp;SUBSTITUTE(TEXT(Overig!R822,""",""????0;"",""???-0;"",""????0;"", ////"""),"'","""")&amp;SUBSTITUTE(TEXT(Overig!S822,""",""?00;"",""?-00;"",""?00;"", //"""),"'","""")&amp;SUBSTITUTE(TEXT(IF(ISTEXT(Overig!T822),Overig!T822,10*Overig!T822),""",""????0;"",""???-0;"",""????0;"", ////"""),"'","""")&amp;SUBSTITUTE(TEXT(Overig!U822,""",""?00;"",""?-00;"",""?00;"", //"""),"'","""")&amp;SUBSTITUTE(TEXT(Overig!V822,""",""???0;"",""??-0;"",""???0;"", ///"""),"'","""")&amp;SUBSTITUTE(TEXT(Overig!W822,""",""?00;"",""?-00;"",""?00;"", //"""),"'","""")</f>
        <v>032, 19400724, 07.00, 7597, 00,  271, 00, ////, 07, ////, 07,  73, 00,  197, 00,  234, 00,   90, 00,    3, 00,   2, 00</v>
      </c>
    </row>
    <row r="823" spans="1:1" x14ac:dyDescent="0.25">
      <c r="A823" s="12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//"""),"'","""")&amp;SUBSTITUTE(TEXT(IF(ISTEXT(Overig!J823),Overig!J823,10*Overig!J823),""",""????0;"",""???-0;"",""????0;"", ////"""),"'","""")&amp;SUBSTITUTE(TEXT(Overig!K823,""",""?00;"",""?-00;"",""?00;"", //"""),"'","""")&amp;SUBSTITUTE(TEXT(Overig!L823,""",""???0;"",""??-0;"",""???0;"", ///"""),"'","""")&amp;SUBSTITUTE(TEXT(Overig!M823,""",""?00;"",""?-00;"",""?00;"", //"""),"'","""")&amp;SUBSTITUTE(TEXT(IF(ISTEXT(Overig!N823),Overig!N823,10*Overig!N823),""",""????0;"",""???-0;"",""????0;"", ////"""),"'","""")&amp;SUBSTITUTE(TEXT(Overig!O823,""",""?00;"",""?-00;"",""?00;"", //"""),"'","""")&amp;SUBSTITUTE(TEXT(IF(ISTEXT(Overig!P823),Overig!P823,10*Overig!P823),""",""????0;"",""???-0;"",""????0;"", ////"""),"'","""")&amp;SUBSTITUTE(TEXT(Overig!Q823,""",""?00;"",""?-00;"",""?00;"", //"""),"'","""")&amp;SUBSTITUTE(TEXT(Overig!R823,""",""????0;"",""???-0;"",""????0;"", ////"""),"'","""")&amp;SUBSTITUTE(TEXT(Overig!S823,""",""?00;"",""?-00;"",""?00;"", //"""),"'","""")&amp;SUBSTITUTE(TEXT(IF(ISTEXT(Overig!T823),Overig!T823,10*Overig!T823),""",""????0;"",""???-0;"",""????0;"", ////"""),"'","""")&amp;SUBSTITUTE(TEXT(Overig!U823,""",""?00;"",""?-00;"",""?00;"", //"""),"'","""")&amp;SUBSTITUTE(TEXT(Overig!V823,""",""???0;"",""??-0;"",""???0;"", ///"""),"'","""")&amp;SUBSTITUTE(TEXT(Overig!W823,""",""?00;"",""?-00;"",""?00;"", //"""),"'","""")</f>
        <v>032, 19400724, 12.00, 7582, 00,  281, 00, ////, 07, ////, 07,  71, 00,  203, 00,  240, 00,   90, 00,    4, 00,   2, 00</v>
      </c>
    </row>
    <row r="824" spans="1:1" x14ac:dyDescent="0.25">
      <c r="A824" s="12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//"""),"'","""")&amp;SUBSTITUTE(TEXT(IF(ISTEXT(Overig!J824),Overig!J824,10*Overig!J824),""",""????0;"",""???-0;"",""????0;"", ////"""),"'","""")&amp;SUBSTITUTE(TEXT(Overig!K824,""",""?00;"",""?-00;"",""?00;"", //"""),"'","""")&amp;SUBSTITUTE(TEXT(Overig!L824,""",""???0;"",""??-0;"",""???0;"", ///"""),"'","""")&amp;SUBSTITUTE(TEXT(Overig!M824,""",""?00;"",""?-00;"",""?00;"", //"""),"'","""")&amp;SUBSTITUTE(TEXT(IF(ISTEXT(Overig!N824),Overig!N824,10*Overig!N824),""",""????0;"",""???-0;"",""????0;"", ////"""),"'","""")&amp;SUBSTITUTE(TEXT(Overig!O824,""",""?00;"",""?-00;"",""?00;"", //"""),"'","""")&amp;SUBSTITUTE(TEXT(IF(ISTEXT(Overig!P824),Overig!P824,10*Overig!P824),""",""????0;"",""???-0;"",""????0;"", ////"""),"'","""")&amp;SUBSTITUTE(TEXT(Overig!Q824,""",""?00;"",""?-00;"",""?00;"", //"""),"'","""")&amp;SUBSTITUTE(TEXT(Overig!R824,""",""????0;"",""???-0;"",""????0;"", ////"""),"'","""")&amp;SUBSTITUTE(TEXT(Overig!S824,""",""?00;"",""?-00;"",""?00;"", //"""),"'","""")&amp;SUBSTITUTE(TEXT(IF(ISTEXT(Overig!T824),Overig!T824,10*Overig!T824),""",""????0;"",""???-0;"",""????0;"", ////"""),"'","""")&amp;SUBSTITUTE(TEXT(Overig!U824,""",""?00;"",""?-00;"",""?00;"", //"""),"'","""")&amp;SUBSTITUTE(TEXT(Overig!V824,""",""???0;"",""??-0;"",""???0;"", ///"""),"'","""")&amp;SUBSTITUTE(TEXT(Overig!W824,""",""?00;"",""?-00;"",""?00;"", //"""),"'","""")</f>
        <v>032, 19400724, 17.00, 7595, 00,  275, 00, ////, 07, ////, 07,  73, 00,  199, 00,  236, 00,   65, 00,    3, 00,   2, 00</v>
      </c>
    </row>
    <row r="825" spans="1:1" x14ac:dyDescent="0.25">
      <c r="A825" s="12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//"""),"'","""")&amp;SUBSTITUTE(TEXT(IF(ISTEXT(Overig!J825),Overig!J825,10*Overig!J825),""",""????0;"",""???-0;"",""????0;"", ////"""),"'","""")&amp;SUBSTITUTE(TEXT(Overig!K825,""",""?00;"",""?-00;"",""?00;"", //"""),"'","""")&amp;SUBSTITUTE(TEXT(Overig!L825,""",""???0;"",""??-0;"",""???0;"", ///"""),"'","""")&amp;SUBSTITUTE(TEXT(Overig!M825,""",""?00;"",""?-00;"",""?00;"", //"""),"'","""")&amp;SUBSTITUTE(TEXT(IF(ISTEXT(Overig!N825),Overig!N825,10*Overig!N825),""",""????0;"",""???-0;"",""????0;"", ////"""),"'","""")&amp;SUBSTITUTE(TEXT(Overig!O825,""",""?00;"",""?-00;"",""?00;"", //"""),"'","""")&amp;SUBSTITUTE(TEXT(IF(ISTEXT(Overig!P825),Overig!P825,10*Overig!P825),""",""????0;"",""???-0;"",""????0;"", ////"""),"'","""")&amp;SUBSTITUTE(TEXT(Overig!Q825,""",""?00;"",""?-00;"",""?00;"", //"""),"'","""")&amp;SUBSTITUTE(TEXT(Overig!R825,""",""????0;"",""???-0;"",""????0;"", ////"""),"'","""")&amp;SUBSTITUTE(TEXT(Overig!S825,""",""?00;"",""?-00;"",""?00;"", //"""),"'","""")&amp;SUBSTITUTE(TEXT(IF(ISTEXT(Overig!T825),Overig!T825,10*Overig!T825),""",""????0;"",""???-0;"",""????0;"", ////"""),"'","""")&amp;SUBSTITUTE(TEXT(Overig!U825,""",""?00;"",""?-00;"",""?00;"", //"""),"'","""")&amp;SUBSTITUTE(TEXT(Overig!V825,""",""???0;"",""??-0;"",""???0;"", ///"""),"'","""")&amp;SUBSTITUTE(TEXT(Overig!W825,""",""?00;"",""?-00;"",""?00;"", //"""),"'","""")</f>
        <v>032, 19400724, 24.00, ////, 07, ////, 07,  280, 00,  296, 00, ///, 07, ////, 07, ////, 07, ////, 07, ////, 07, ///, 07</v>
      </c>
    </row>
    <row r="826" spans="1:1" x14ac:dyDescent="0.25">
      <c r="A826" s="12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//"""),"'","""")&amp;SUBSTITUTE(TEXT(IF(ISTEXT(Overig!J826),Overig!J826,10*Overig!J826),""",""????0;"",""???-0;"",""????0;"", ////"""),"'","""")&amp;SUBSTITUTE(TEXT(Overig!K826,""",""?00;"",""?-00;"",""?00;"", //"""),"'","""")&amp;SUBSTITUTE(TEXT(Overig!L826,""",""???0;"",""??-0;"",""???0;"", ///"""),"'","""")&amp;SUBSTITUTE(TEXT(Overig!M826,""",""?00;"",""?-00;"",""?00;"", //"""),"'","""")&amp;SUBSTITUTE(TEXT(IF(ISTEXT(Overig!N826),Overig!N826,10*Overig!N826),""",""????0;"",""???-0;"",""????0;"", ////"""),"'","""")&amp;SUBSTITUTE(TEXT(Overig!O826,""",""?00;"",""?-00;"",""?00;"", //"""),"'","""")&amp;SUBSTITUTE(TEXT(IF(ISTEXT(Overig!P826),Overig!P826,10*Overig!P826),""",""????0;"",""???-0;"",""????0;"", ////"""),"'","""")&amp;SUBSTITUTE(TEXT(Overig!Q826,""",""?00;"",""?-00;"",""?00;"", //"""),"'","""")&amp;SUBSTITUTE(TEXT(Overig!R826,""",""????0;"",""???-0;"",""????0;"", ////"""),"'","""")&amp;SUBSTITUTE(TEXT(Overig!S826,""",""?00;"",""?-00;"",""?00;"", //"""),"'","""")&amp;SUBSTITUTE(TEXT(IF(ISTEXT(Overig!T826),Overig!T826,10*Overig!T826),""",""????0;"",""???-0;"",""????0;"", ////"""),"'","""")&amp;SUBSTITUTE(TEXT(Overig!U826,""",""?00;"",""?-00;"",""?00;"", //"""),"'","""")&amp;SUBSTITUTE(TEXT(Overig!V826,""",""???0;"",""??-0;"",""???0;"", ///"""),"'","""")&amp;SUBSTITUTE(TEXT(Overig!W826,""",""?00;"",""?-00;"",""?00;"", //"""),"'","""")</f>
        <v>032, 19400725, 07.00, 7607, 00,  275, 00, ////, 07, ////, 07,  73, 00,  203, 00,  238, 00,   65, 00,    3, 00,   2, 00</v>
      </c>
    </row>
    <row r="827" spans="1:1" x14ac:dyDescent="0.25">
      <c r="A827" s="12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//"""),"'","""")&amp;SUBSTITUTE(TEXT(IF(ISTEXT(Overig!J827),Overig!J827,10*Overig!J827),""",""????0;"",""???-0;"",""????0;"", ////"""),"'","""")&amp;SUBSTITUTE(TEXT(Overig!K827,""",""?00;"",""?-00;"",""?00;"", //"""),"'","""")&amp;SUBSTITUTE(TEXT(Overig!L827,""",""???0;"",""??-0;"",""???0;"", ///"""),"'","""")&amp;SUBSTITUTE(TEXT(Overig!M827,""",""?00;"",""?-00;"",""?00;"", //"""),"'","""")&amp;SUBSTITUTE(TEXT(IF(ISTEXT(Overig!N827),Overig!N827,10*Overig!N827),""",""????0;"",""???-0;"",""????0;"", ////"""),"'","""")&amp;SUBSTITUTE(TEXT(Overig!O827,""",""?00;"",""?-00;"",""?00;"", //"""),"'","""")&amp;SUBSTITUTE(TEXT(IF(ISTEXT(Overig!P827),Overig!P827,10*Overig!P827),""",""????0;"",""???-0;"",""????0;"", ////"""),"'","""")&amp;SUBSTITUTE(TEXT(Overig!Q827,""",""?00;"",""?-00;"",""?00;"", //"""),"'","""")&amp;SUBSTITUTE(TEXT(Overig!R827,""",""????0;"",""???-0;"",""????0;"", ////"""),"'","""")&amp;SUBSTITUTE(TEXT(Overig!S827,""",""?00;"",""?-00;"",""?00;"", //"""),"'","""")&amp;SUBSTITUTE(TEXT(IF(ISTEXT(Overig!T827),Overig!T827,10*Overig!T827),""",""????0;"",""???-0;"",""????0;"", ////"""),"'","""")&amp;SUBSTITUTE(TEXT(Overig!U827,""",""?00;"",""?-00;"",""?00;"", //"""),"'","""")&amp;SUBSTITUTE(TEXT(Overig!V827,""",""???0;"",""??-0;"",""???0;"", ///"""),"'","""")&amp;SUBSTITUTE(TEXT(Overig!W827,""",""?00;"",""?-00;"",""?00;"", //"""),"'","""")</f>
        <v>032, 19400725, 12.00, 7597, 00,  281, 00, ////, 07, ////, 07,  71, 00,  203, 00,  240, 00,   65, 00,    4, 00,   2, 00</v>
      </c>
    </row>
    <row r="828" spans="1:1" x14ac:dyDescent="0.25">
      <c r="A828" s="12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//"""),"'","""")&amp;SUBSTITUTE(TEXT(IF(ISTEXT(Overig!J828),Overig!J828,10*Overig!J828),""",""????0;"",""???-0;"",""????0;"", ////"""),"'","""")&amp;SUBSTITUTE(TEXT(Overig!K828,""",""?00;"",""?-00;"",""?00;"", //"""),"'","""")&amp;SUBSTITUTE(TEXT(Overig!L828,""",""???0;"",""??-0;"",""???0;"", ///"""),"'","""")&amp;SUBSTITUTE(TEXT(Overig!M828,""",""?00;"",""?-00;"",""?00;"", //"""),"'","""")&amp;SUBSTITUTE(TEXT(IF(ISTEXT(Overig!N828),Overig!N828,10*Overig!N828),""",""????0;"",""???-0;"",""????0;"", ////"""),"'","""")&amp;SUBSTITUTE(TEXT(Overig!O828,""",""?00;"",""?-00;"",""?00;"", //"""),"'","""")&amp;SUBSTITUTE(TEXT(IF(ISTEXT(Overig!P828),Overig!P828,10*Overig!P828),""",""????0;"",""???-0;"",""????0;"", ////"""),"'","""")&amp;SUBSTITUTE(TEXT(Overig!Q828,""",""?00;"",""?-00;"",""?00;"", //"""),"'","""")&amp;SUBSTITUTE(TEXT(Overig!R828,""",""????0;"",""???-0;"",""????0;"", ////"""),"'","""")&amp;SUBSTITUTE(TEXT(Overig!S828,""",""?00;"",""?-00;"",""?00;"", //"""),"'","""")&amp;SUBSTITUTE(TEXT(IF(ISTEXT(Overig!T828),Overig!T828,10*Overig!T828),""",""????0;"",""???-0;"",""????0;"", ////"""),"'","""")&amp;SUBSTITUTE(TEXT(Overig!U828,""",""?00;"",""?-00;"",""?00;"", //"""),"'","""")&amp;SUBSTITUTE(TEXT(Overig!V828,""",""???0;"",""??-0;"",""???0;"", ///"""),"'","""")&amp;SUBSTITUTE(TEXT(Overig!W828,""",""?00;"",""?-00;"",""?00;"", //"""),"'","""")</f>
        <v>032, 19400725, 17.00, 7602, 00,  277, 00, ////, 07, ////, 07,  70, 00,  196, 00,  235, 00,   65, 00,    4, 00,   2, 00</v>
      </c>
    </row>
    <row r="829" spans="1:1" x14ac:dyDescent="0.25">
      <c r="A829" s="12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//"""),"'","""")&amp;SUBSTITUTE(TEXT(IF(ISTEXT(Overig!J829),Overig!J829,10*Overig!J829),""",""????0;"",""???-0;"",""????0;"", ////"""),"'","""")&amp;SUBSTITUTE(TEXT(Overig!K829,""",""?00;"",""?-00;"",""?00;"", //"""),"'","""")&amp;SUBSTITUTE(TEXT(Overig!L829,""",""???0;"",""??-0;"",""???0;"", ///"""),"'","""")&amp;SUBSTITUTE(TEXT(Overig!M829,""",""?00;"",""?-00;"",""?00;"", //"""),"'","""")&amp;SUBSTITUTE(TEXT(IF(ISTEXT(Overig!N829),Overig!N829,10*Overig!N829),""",""????0;"",""???-0;"",""????0;"", ////"""),"'","""")&amp;SUBSTITUTE(TEXT(Overig!O829,""",""?00;"",""?-00;"",""?00;"", //"""),"'","""")&amp;SUBSTITUTE(TEXT(IF(ISTEXT(Overig!P829),Overig!P829,10*Overig!P829),""",""????0;"",""???-0;"",""????0;"", ////"""),"'","""")&amp;SUBSTITUTE(TEXT(Overig!Q829,""",""?00;"",""?-00;"",""?00;"", //"""),"'","""")&amp;SUBSTITUTE(TEXT(Overig!R829,""",""????0;"",""???-0;"",""????0;"", ////"""),"'","""")&amp;SUBSTITUTE(TEXT(Overig!S829,""",""?00;"",""?-00;"",""?00;"", //"""),"'","""")&amp;SUBSTITUTE(TEXT(IF(ISTEXT(Overig!T829),Overig!T829,10*Overig!T829),""",""????0;"",""???-0;"",""????0;"", ////"""),"'","""")&amp;SUBSTITUTE(TEXT(Overig!U829,""",""?00;"",""?-00;"",""?00;"", //"""),"'","""")&amp;SUBSTITUTE(TEXT(Overig!V829,""",""???0;"",""??-0;"",""???0;"", ///"""),"'","""")&amp;SUBSTITUTE(TEXT(Overig!W829,""",""?00;"",""?-00;"",""?00;"", //"""),"'","""")</f>
        <v>032, 19400725, 24.00, ////, 07, ////, 07,  290, 00,  305, 00, ///, 07, ////, 07, ////, 07, ////, 07, ////, 07, ///, 07</v>
      </c>
    </row>
    <row r="830" spans="1:1" x14ac:dyDescent="0.25">
      <c r="A830" s="12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//"""),"'","""")&amp;SUBSTITUTE(TEXT(IF(ISTEXT(Overig!J830),Overig!J830,10*Overig!J830),""",""????0;"",""???-0;"",""????0;"", ////"""),"'","""")&amp;SUBSTITUTE(TEXT(Overig!K830,""",""?00;"",""?-00;"",""?00;"", //"""),"'","""")&amp;SUBSTITUTE(TEXT(Overig!L830,""",""???0;"",""??-0;"",""???0;"", ///"""),"'","""")&amp;SUBSTITUTE(TEXT(Overig!M830,""",""?00;"",""?-00;"",""?00;"", //"""),"'","""")&amp;SUBSTITUTE(TEXT(IF(ISTEXT(Overig!N830),Overig!N830,10*Overig!N830),""",""????0;"",""???-0;"",""????0;"", ////"""),"'","""")&amp;SUBSTITUTE(TEXT(Overig!O830,""",""?00;"",""?-00;"",""?00;"", //"""),"'","""")&amp;SUBSTITUTE(TEXT(IF(ISTEXT(Overig!P830),Overig!P830,10*Overig!P830),""",""????0;"",""???-0;"",""????0;"", ////"""),"'","""")&amp;SUBSTITUTE(TEXT(Overig!Q830,""",""?00;"",""?-00;"",""?00;"", //"""),"'","""")&amp;SUBSTITUTE(TEXT(Overig!R830,""",""????0;"",""???-0;"",""????0;"", ////"""),"'","""")&amp;SUBSTITUTE(TEXT(Overig!S830,""",""?00;"",""?-00;"",""?00;"", //"""),"'","""")&amp;SUBSTITUTE(TEXT(IF(ISTEXT(Overig!T830),Overig!T830,10*Overig!T830),""",""????0;"",""???-0;"",""????0;"", ////"""),"'","""")&amp;SUBSTITUTE(TEXT(Overig!U830,""",""?00;"",""?-00;"",""?00;"", //"""),"'","""")&amp;SUBSTITUTE(TEXT(Overig!V830,""",""???0;"",""??-0;"",""???0;"", ///"""),"'","""")&amp;SUBSTITUTE(TEXT(Overig!W830,""",""?00;"",""?-00;"",""?00;"", //"""),"'","""")</f>
        <v>032, 19400726, 07.00, 7607, 00,  269, 00, ////, 07, ////, 07,  76, 00,  202, 00,  236, 00,   90, 00,    4, 00,   2, 00</v>
      </c>
    </row>
    <row r="831" spans="1:1" x14ac:dyDescent="0.25">
      <c r="A831" s="12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//"""),"'","""")&amp;SUBSTITUTE(TEXT(IF(ISTEXT(Overig!J831),Overig!J831,10*Overig!J831),""",""????0;"",""???-0;"",""????0;"", ////"""),"'","""")&amp;SUBSTITUTE(TEXT(Overig!K831,""",""?00;"",""?-00;"",""?00;"", //"""),"'","""")&amp;SUBSTITUTE(TEXT(Overig!L831,""",""???0;"",""??-0;"",""???0;"", ///"""),"'","""")&amp;SUBSTITUTE(TEXT(Overig!M831,""",""?00;"",""?-00;"",""?00;"", //"""),"'","""")&amp;SUBSTITUTE(TEXT(IF(ISTEXT(Overig!N831),Overig!N831,10*Overig!N831),""",""????0;"",""???-0;"",""????0;"", ////"""),"'","""")&amp;SUBSTITUTE(TEXT(Overig!O831,""",""?00;"",""?-00;"",""?00;"", //"""),"'","""")&amp;SUBSTITUTE(TEXT(IF(ISTEXT(Overig!P831),Overig!P831,10*Overig!P831),""",""????0;"",""???-0;"",""????0;"", ////"""),"'","""")&amp;SUBSTITUTE(TEXT(Overig!Q831,""",""?00;"",""?-00;"",""?00;"", //"""),"'","""")&amp;SUBSTITUTE(TEXT(Overig!R831,""",""????0;"",""???-0;"",""????0;"", ////"""),"'","""")&amp;SUBSTITUTE(TEXT(Overig!S831,""",""?00;"",""?-00;"",""?00;"", //"""),"'","""")&amp;SUBSTITUTE(TEXT(IF(ISTEXT(Overig!T831),Overig!T831,10*Overig!T831),""",""????0;"",""???-0;"",""????0;"", ////"""),"'","""")&amp;SUBSTITUTE(TEXT(Overig!U831,""",""?00;"",""?-00;"",""?00;"", //"""),"'","""")&amp;SUBSTITUTE(TEXT(Overig!V831,""",""???0;"",""??-0;"",""???0;"", ///"""),"'","""")&amp;SUBSTITUTE(TEXT(Overig!W831,""",""?00;"",""?-00;"",""?00;"", //"""),"'","""")</f>
        <v>032, 19400726, 12.00, 7597, 00,  281, 00, ////, 07, ////, 07,  70, 00,  200, 00,  238, 00,   90, 00,    4, 00,   2, 00</v>
      </c>
    </row>
    <row r="832" spans="1:1" x14ac:dyDescent="0.25">
      <c r="A832" s="12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//"""),"'","""")&amp;SUBSTITUTE(TEXT(IF(ISTEXT(Overig!J832),Overig!J832,10*Overig!J832),""",""????0;"",""???-0;"",""????0;"", ////"""),"'","""")&amp;SUBSTITUTE(TEXT(Overig!K832,""",""?00;"",""?-00;"",""?00;"", //"""),"'","""")&amp;SUBSTITUTE(TEXT(Overig!L832,""",""???0;"",""??-0;"",""???0;"", ///"""),"'","""")&amp;SUBSTITUTE(TEXT(Overig!M832,""",""?00;"",""?-00;"",""?00;"", //"""),"'","""")&amp;SUBSTITUTE(TEXT(IF(ISTEXT(Overig!N832),Overig!N832,10*Overig!N832),""",""????0;"",""???-0;"",""????0;"", ////"""),"'","""")&amp;SUBSTITUTE(TEXT(Overig!O832,""",""?00;"",""?-00;"",""?00;"", //"""),"'","""")&amp;SUBSTITUTE(TEXT(IF(ISTEXT(Overig!P832),Overig!P832,10*Overig!P832),""",""????0;"",""???-0;"",""????0;"", ////"""),"'","""")&amp;SUBSTITUTE(TEXT(Overig!Q832,""",""?00;"",""?-00;"",""?00;"", //"""),"'","""")&amp;SUBSTITUTE(TEXT(Overig!R832,""",""????0;"",""???-0;"",""????0;"", ////"""),"'","""")&amp;SUBSTITUTE(TEXT(Overig!S832,""",""?00;"",""?-00;"",""?00;"", //"""),"'","""")&amp;SUBSTITUTE(TEXT(IF(ISTEXT(Overig!T832),Overig!T832,10*Overig!T832),""",""????0;"",""???-0;"",""????0;"", ////"""),"'","""")&amp;SUBSTITUTE(TEXT(Overig!U832,""",""?00;"",""?-00;"",""?00;"", //"""),"'","""")&amp;SUBSTITUTE(TEXT(Overig!V832,""",""???0;"",""??-0;"",""???0;"", ///"""),"'","""")&amp;SUBSTITUTE(TEXT(Overig!W832,""",""?00;"",""?-00;"",""?00;"", //"""),"'","""")</f>
        <v>032, 19400726, 17.00, 7595, 00,  275, 00, ////, 07, ////, 07,  71, 00,  195, 00,  234, 00,   90, 00,    4, 00,   2, 00</v>
      </c>
    </row>
    <row r="833" spans="1:1" x14ac:dyDescent="0.25">
      <c r="A833" s="12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//"""),"'","""")&amp;SUBSTITUTE(TEXT(IF(ISTEXT(Overig!J833),Overig!J833,10*Overig!J833),""",""????0;"",""???-0;"",""????0;"", ////"""),"'","""")&amp;SUBSTITUTE(TEXT(Overig!K833,""",""?00;"",""?-00;"",""?00;"", //"""),"'","""")&amp;SUBSTITUTE(TEXT(Overig!L833,""",""???0;"",""??-0;"",""???0;"", ///"""),"'","""")&amp;SUBSTITUTE(TEXT(Overig!M833,""",""?00;"",""?-00;"",""?00;"", //"""),"'","""")&amp;SUBSTITUTE(TEXT(IF(ISTEXT(Overig!N833),Overig!N833,10*Overig!N833),""",""????0;"",""???-0;"",""????0;"", ////"""),"'","""")&amp;SUBSTITUTE(TEXT(Overig!O833,""",""?00;"",""?-00;"",""?00;"", //"""),"'","""")&amp;SUBSTITUTE(TEXT(IF(ISTEXT(Overig!P833),Overig!P833,10*Overig!P833),""",""????0;"",""???-0;"",""????0;"", ////"""),"'","""")&amp;SUBSTITUTE(TEXT(Overig!Q833,""",""?00;"",""?-00;"",""?00;"", //"""),"'","""")&amp;SUBSTITUTE(TEXT(Overig!R833,""",""????0;"",""???-0;"",""????0;"", ////"""),"'","""")&amp;SUBSTITUTE(TEXT(Overig!S833,""",""?00;"",""?-00;"",""?00;"", //"""),"'","""")&amp;SUBSTITUTE(TEXT(IF(ISTEXT(Overig!T833),Overig!T833,10*Overig!T833),""",""????0;"",""???-0;"",""????0;"", ////"""),"'","""")&amp;SUBSTITUTE(TEXT(Overig!U833,""",""?00;"",""?-00;"",""?00;"", //"""),"'","""")&amp;SUBSTITUTE(TEXT(Overig!V833,""",""???0;"",""??-0;"",""???0;"", ///"""),"'","""")&amp;SUBSTITUTE(TEXT(Overig!W833,""",""?00;"",""?-00;"",""?00;"", //"""),"'","""")</f>
        <v>032, 19400726, 24.00, ////, 07, ////, 07,  283, 00,  305, 00, ///, 07, ////, 07, ////, 07, ////, 07, ////, 07, ///, 07</v>
      </c>
    </row>
    <row r="834" spans="1:1" x14ac:dyDescent="0.25">
      <c r="A834" s="12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//"""),"'","""")&amp;SUBSTITUTE(TEXT(IF(ISTEXT(Overig!J834),Overig!J834,10*Overig!J834),""",""????0;"",""???-0;"",""????0;"", ////"""),"'","""")&amp;SUBSTITUTE(TEXT(Overig!K834,""",""?00;"",""?-00;"",""?00;"", //"""),"'","""")&amp;SUBSTITUTE(TEXT(Overig!L834,""",""???0;"",""??-0;"",""???0;"", ///"""),"'","""")&amp;SUBSTITUTE(TEXT(Overig!M834,""",""?00;"",""?-00;"",""?00;"", //"""),"'","""")&amp;SUBSTITUTE(TEXT(IF(ISTEXT(Overig!N834),Overig!N834,10*Overig!N834),""",""????0;"",""???-0;"",""????0;"", ////"""),"'","""")&amp;SUBSTITUTE(TEXT(Overig!O834,""",""?00;"",""?-00;"",""?00;"", //"""),"'","""")&amp;SUBSTITUTE(TEXT(IF(ISTEXT(Overig!P834),Overig!P834,10*Overig!P834),""",""????0;"",""???-0;"",""????0;"", ////"""),"'","""")&amp;SUBSTITUTE(TEXT(Overig!Q834,""",""?00;"",""?-00;"",""?00;"", //"""),"'","""")&amp;SUBSTITUTE(TEXT(Overig!R834,""",""????0;"",""???-0;"",""????0;"", ////"""),"'","""")&amp;SUBSTITUTE(TEXT(Overig!S834,""",""?00;"",""?-00;"",""?00;"", //"""),"'","""")&amp;SUBSTITUTE(TEXT(IF(ISTEXT(Overig!T834),Overig!T834,10*Overig!T834),""",""????0;"",""???-0;"",""????0;"", ////"""),"'","""")&amp;SUBSTITUTE(TEXT(Overig!U834,""",""?00;"",""?-00;"",""?00;"", //"""),"'","""")&amp;SUBSTITUTE(TEXT(Overig!V834,""",""???0;"",""??-0;"",""???0;"", ///"""),"'","""")&amp;SUBSTITUTE(TEXT(Overig!W834,""",""?00;"",""?-00;"",""?00;"", //"""),"'","""")</f>
        <v>032, 19400727, 07.00, 7607, 00,  279, 00, ////, 07, ////, 07,  71, 00,  201, 00,  238, 00,   65, 00,    4, 00,   3, 00</v>
      </c>
    </row>
    <row r="835" spans="1:1" x14ac:dyDescent="0.25">
      <c r="A835" s="12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//"""),"'","""")&amp;SUBSTITUTE(TEXT(IF(ISTEXT(Overig!J835),Overig!J835,10*Overig!J835),""",""????0;"",""???-0;"",""????0;"", ////"""),"'","""")&amp;SUBSTITUTE(TEXT(Overig!K835,""",""?00;"",""?-00;"",""?00;"", //"""),"'","""")&amp;SUBSTITUTE(TEXT(Overig!L835,""",""???0;"",""??-0;"",""???0;"", ///"""),"'","""")&amp;SUBSTITUTE(TEXT(Overig!M835,""",""?00;"",""?-00;"",""?00;"", //"""),"'","""")&amp;SUBSTITUTE(TEXT(IF(ISTEXT(Overig!N835),Overig!N835,10*Overig!N835),""",""????0;"",""???-0;"",""????0;"", ////"""),"'","""")&amp;SUBSTITUTE(TEXT(Overig!O835,""",""?00;"",""?-00;"",""?00;"", //"""),"'","""")&amp;SUBSTITUTE(TEXT(IF(ISTEXT(Overig!P835),Overig!P835,10*Overig!P835),""",""????0;"",""???-0;"",""????0;"", ////"""),"'","""")&amp;SUBSTITUTE(TEXT(Overig!Q835,""",""?00;"",""?-00;"",""?00;"", //"""),"'","""")&amp;SUBSTITUTE(TEXT(Overig!R835,""",""????0;"",""???-0;"",""????0;"", ////"""),"'","""")&amp;SUBSTITUTE(TEXT(Overig!S835,""",""?00;"",""?-00;"",""?00;"", //"""),"'","""")&amp;SUBSTITUTE(TEXT(IF(ISTEXT(Overig!T835),Overig!T835,10*Overig!T835),""",""????0;"",""???-0;"",""????0;"", ////"""),"'","""")&amp;SUBSTITUTE(TEXT(Overig!U835,""",""?00;"",""?-00;"",""?00;"", //"""),"'","""")&amp;SUBSTITUTE(TEXT(Overig!V835,""",""???0;"",""??-0;"",""???0;"", ///"""),"'","""")&amp;SUBSTITUTE(TEXT(Overig!W835,""",""?00;"",""?-00;"",""?00;"", //"""),"'","""")</f>
        <v>032, 19400727, 12.00, 7607, 00,  285, 00, ////, 07, ////, 07,  73, 00,  213, 00,  246, 00,   90, 00,    5, 00,   2, 00</v>
      </c>
    </row>
    <row r="836" spans="1:1" x14ac:dyDescent="0.25">
      <c r="A836" s="12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//"""),"'","""")&amp;SUBSTITUTE(TEXT(IF(ISTEXT(Overig!J836),Overig!J836,10*Overig!J836),""",""????0;"",""???-0;"",""????0;"", ////"""),"'","""")&amp;SUBSTITUTE(TEXT(Overig!K836,""",""?00;"",""?-00;"",""?00;"", //"""),"'","""")&amp;SUBSTITUTE(TEXT(Overig!L836,""",""???0;"",""??-0;"",""???0;"", ///"""),"'","""")&amp;SUBSTITUTE(TEXT(Overig!M836,""",""?00;"",""?-00;"",""?00;"", //"""),"'","""")&amp;SUBSTITUTE(TEXT(IF(ISTEXT(Overig!N836),Overig!N836,10*Overig!N836),""",""????0;"",""???-0;"",""????0;"", ////"""),"'","""")&amp;SUBSTITUTE(TEXT(Overig!O836,""",""?00;"",""?-00;"",""?00;"", //"""),"'","""")&amp;SUBSTITUTE(TEXT(IF(ISTEXT(Overig!P836),Overig!P836,10*Overig!P836),""",""????0;"",""???-0;"",""????0;"", ////"""),"'","""")&amp;SUBSTITUTE(TEXT(Overig!Q836,""",""?00;"",""?-00;"",""?00;"", //"""),"'","""")&amp;SUBSTITUTE(TEXT(Overig!R836,""",""????0;"",""???-0;"",""????0;"", ////"""),"'","""")&amp;SUBSTITUTE(TEXT(Overig!S836,""",""?00;"",""?-00;"",""?00;"", //"""),"'","""")&amp;SUBSTITUTE(TEXT(IF(ISTEXT(Overig!T836),Overig!T836,10*Overig!T836),""",""????0;"",""???-0;"",""????0;"", ////"""),"'","""")&amp;SUBSTITUTE(TEXT(Overig!U836,""",""?00;"",""?-00;"",""?00;"", //"""),"'","""")&amp;SUBSTITUTE(TEXT(Overig!V836,""",""???0;"",""??-0;"",""???0;"", ///"""),"'","""")&amp;SUBSTITUTE(TEXT(Overig!W836,""",""?00;"",""?-00;"",""?00;"", //"""),"'","""")</f>
        <v>032, 19400727, 17.00, 7600, 00,  281, 00, ////, 07, ////, 07,  71, 00,  203, 00,  240, 00,   90, 00,    5, 00,   2, 00</v>
      </c>
    </row>
    <row r="837" spans="1:1" x14ac:dyDescent="0.25">
      <c r="A837" s="12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//"""),"'","""")&amp;SUBSTITUTE(TEXT(IF(ISTEXT(Overig!J837),Overig!J837,10*Overig!J837),""",""????0;"",""???-0;"",""????0;"", ////"""),"'","""")&amp;SUBSTITUTE(TEXT(Overig!K837,""",""?00;"",""?-00;"",""?00;"", //"""),"'","""")&amp;SUBSTITUTE(TEXT(Overig!L837,""",""???0;"",""??-0;"",""???0;"", ///"""),"'","""")&amp;SUBSTITUTE(TEXT(Overig!M837,""",""?00;"",""?-00;"",""?00;"", //"""),"'","""")&amp;SUBSTITUTE(TEXT(IF(ISTEXT(Overig!N837),Overig!N837,10*Overig!N837),""",""????0;"",""???-0;"",""????0;"", ////"""),"'","""")&amp;SUBSTITUTE(TEXT(Overig!O837,""",""?00;"",""?-00;"",""?00;"", //"""),"'","""")&amp;SUBSTITUTE(TEXT(IF(ISTEXT(Overig!P837),Overig!P837,10*Overig!P837),""",""????0;"",""???-0;"",""????0;"", ////"""),"'","""")&amp;SUBSTITUTE(TEXT(Overig!Q837,""",""?00;"",""?-00;"",""?00;"", //"""),"'","""")&amp;SUBSTITUTE(TEXT(Overig!R837,""",""????0;"",""???-0;"",""????0;"", ////"""),"'","""")&amp;SUBSTITUTE(TEXT(Overig!S837,""",""?00;"",""?-00;"",""?00;"", //"""),"'","""")&amp;SUBSTITUTE(TEXT(IF(ISTEXT(Overig!T837),Overig!T837,10*Overig!T837),""",""????0;"",""???-0;"",""????0;"", ////"""),"'","""")&amp;SUBSTITUTE(TEXT(Overig!U837,""",""?00;"",""?-00;"",""?00;"", //"""),"'","""")&amp;SUBSTITUTE(TEXT(Overig!V837,""",""???0;"",""??-0;"",""???0;"", ///"""),"'","""")&amp;SUBSTITUTE(TEXT(Overig!W837,""",""?00;"",""?-00;"",""?00;"", //"""),"'","""")</f>
        <v>032, 19400727, 24.00, ////, 07, ////, 07,  290, 00,  305, 00, ///, 07, ////, 07, ////, 07, ////, 07, ////, 07, ///, 07</v>
      </c>
    </row>
    <row r="838" spans="1:1" x14ac:dyDescent="0.25">
      <c r="A838" s="12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//"""),"'","""")&amp;SUBSTITUTE(TEXT(IF(ISTEXT(Overig!J838),Overig!J838,10*Overig!J838),""",""????0;"",""???-0;"",""????0;"", ////"""),"'","""")&amp;SUBSTITUTE(TEXT(Overig!K838,""",""?00;"",""?-00;"",""?00;"", //"""),"'","""")&amp;SUBSTITUTE(TEXT(Overig!L838,""",""???0;"",""??-0;"",""???0;"", ///"""),"'","""")&amp;SUBSTITUTE(TEXT(Overig!M838,""",""?00;"",""?-00;"",""?00;"", //"""),"'","""")&amp;SUBSTITUTE(TEXT(IF(ISTEXT(Overig!N838),Overig!N838,10*Overig!N838),""",""????0;"",""???-0;"",""????0;"", ////"""),"'","""")&amp;SUBSTITUTE(TEXT(Overig!O838,""",""?00;"",""?-00;"",""?00;"", //"""),"'","""")&amp;SUBSTITUTE(TEXT(IF(ISTEXT(Overig!P838),Overig!P838,10*Overig!P838),""",""????0;"",""???-0;"",""????0;"", ////"""),"'","""")&amp;SUBSTITUTE(TEXT(Overig!Q838,""",""?00;"",""?-00;"",""?00;"", //"""),"'","""")&amp;SUBSTITUTE(TEXT(Overig!R838,""",""????0;"",""???-0;"",""????0;"", ////"""),"'","""")&amp;SUBSTITUTE(TEXT(Overig!S838,""",""?00;"",""?-00;"",""?00;"", //"""),"'","""")&amp;SUBSTITUTE(TEXT(IF(ISTEXT(Overig!T838),Overig!T838,10*Overig!T838),""",""????0;"",""???-0;"",""????0;"", ////"""),"'","""")&amp;SUBSTITUTE(TEXT(Overig!U838,""",""?00;"",""?-00;"",""?00;"", //"""),"'","""")&amp;SUBSTITUTE(TEXT(Overig!V838,""",""???0;"",""??-0;"",""???0;"", ///"""),"'","""")&amp;SUBSTITUTE(TEXT(Overig!W838,""",""?00;"",""?-00;"",""?00;"", //"""),"'","""")</f>
        <v>032, 19400728, 07.00, 7595, 00,  281, 00, ////, 07, ////, 07,  70, 00,  200, 00,  238, 00,   65, 00,    4, 00,   3, 00</v>
      </c>
    </row>
    <row r="839" spans="1:1" x14ac:dyDescent="0.25">
      <c r="A839" s="12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//"""),"'","""")&amp;SUBSTITUTE(TEXT(IF(ISTEXT(Overig!J839),Overig!J839,10*Overig!J839),""",""????0;"",""???-0;"",""????0;"", ////"""),"'","""")&amp;SUBSTITUTE(TEXT(Overig!K839,""",""?00;"",""?-00;"",""?00;"", //"""),"'","""")&amp;SUBSTITUTE(TEXT(Overig!L839,""",""???0;"",""??-0;"",""???0;"", ///"""),"'","""")&amp;SUBSTITUTE(TEXT(Overig!M839,""",""?00;"",""?-00;"",""?00;"", //"""),"'","""")&amp;SUBSTITUTE(TEXT(IF(ISTEXT(Overig!N839),Overig!N839,10*Overig!N839),""",""????0;"",""???-0;"",""????0;"", ////"""),"'","""")&amp;SUBSTITUTE(TEXT(Overig!O839,""",""?00;"",""?-00;"",""?00;"", //"""),"'","""")&amp;SUBSTITUTE(TEXT(IF(ISTEXT(Overig!P839),Overig!P839,10*Overig!P839),""",""????0;"",""???-0;"",""????0;"", ////"""),"'","""")&amp;SUBSTITUTE(TEXT(Overig!Q839,""",""?00;"",""?-00;"",""?00;"", //"""),"'","""")&amp;SUBSTITUTE(TEXT(Overig!R839,""",""????0;"",""???-0;"",""????0;"", ////"""),"'","""")&amp;SUBSTITUTE(TEXT(Overig!S839,""",""?00;"",""?-00;"",""?00;"", //"""),"'","""")&amp;SUBSTITUTE(TEXT(IF(ISTEXT(Overig!T839),Overig!T839,10*Overig!T839),""",""????0;"",""???-0;"",""????0;"", ////"""),"'","""")&amp;SUBSTITUTE(TEXT(Overig!U839,""",""?00;"",""?-00;"",""?00;"", //"""),"'","""")&amp;SUBSTITUTE(TEXT(Overig!V839,""",""???0;"",""??-0;"",""???0;"", ///"""),"'","""")&amp;SUBSTITUTE(TEXT(Overig!W839,""",""?00;"",""?-00;"",""?00;"", //"""),"'","""")</f>
        <v>032, 19400728, 12.00, 7602, 00,  284, 00, ////, 07, ////, 07,  72, 00,  209, 00,  244, 00,   65, 00,    5, 00,   2, 00</v>
      </c>
    </row>
    <row r="840" spans="1:1" x14ac:dyDescent="0.25">
      <c r="A840" s="12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//"""),"'","""")&amp;SUBSTITUTE(TEXT(IF(ISTEXT(Overig!J840),Overig!J840,10*Overig!J840),""",""????0;"",""???-0;"",""????0;"", ////"""),"'","""")&amp;SUBSTITUTE(TEXT(Overig!K840,""",""?00;"",""?-00;"",""?00;"", //"""),"'","""")&amp;SUBSTITUTE(TEXT(Overig!L840,""",""???0;"",""??-0;"",""???0;"", ///"""),"'","""")&amp;SUBSTITUTE(TEXT(Overig!M840,""",""?00;"",""?-00;"",""?00;"", //"""),"'","""")&amp;SUBSTITUTE(TEXT(IF(ISTEXT(Overig!N840),Overig!N840,10*Overig!N840),""",""????0;"",""???-0;"",""????0;"", ////"""),"'","""")&amp;SUBSTITUTE(TEXT(Overig!O840,""",""?00;"",""?-00;"",""?00;"", //"""),"'","""")&amp;SUBSTITUTE(TEXT(IF(ISTEXT(Overig!P840),Overig!P840,10*Overig!P840),""",""????0;"",""???-0;"",""????0;"", ////"""),"'","""")&amp;SUBSTITUTE(TEXT(Overig!Q840,""",""?00;"",""?-00;"",""?00;"", //"""),"'","""")&amp;SUBSTITUTE(TEXT(Overig!R840,""",""????0;"",""???-0;"",""????0;"", ////"""),"'","""")&amp;SUBSTITUTE(TEXT(Overig!S840,""",""?00;"",""?-00;"",""?00;"", //"""),"'","""")&amp;SUBSTITUTE(TEXT(IF(ISTEXT(Overig!T840),Overig!T840,10*Overig!T840),""",""????0;"",""???-0;"",""????0;"", ////"""),"'","""")&amp;SUBSTITUTE(TEXT(Overig!U840,""",""?00;"",""?-00;"",""?00;"", //"""),"'","""")&amp;SUBSTITUTE(TEXT(Overig!V840,""",""???0;"",""??-0;"",""???0;"", ///"""),"'","""")&amp;SUBSTITUTE(TEXT(Overig!W840,""",""?00;"",""?-00;"",""?00;"", //"""),"'","""")</f>
        <v>032, 19400728, 17.00, 7589, 00,  279, 00, ////, 07, ////, 07,  71, 00,  201, 00,  238, 00,   90, 00,    4, 00,   2, 00</v>
      </c>
    </row>
    <row r="841" spans="1:1" x14ac:dyDescent="0.25">
      <c r="A841" s="12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//"""),"'","""")&amp;SUBSTITUTE(TEXT(IF(ISTEXT(Overig!J841),Overig!J841,10*Overig!J841),""",""????0;"",""???-0;"",""????0;"", ////"""),"'","""")&amp;SUBSTITUTE(TEXT(Overig!K841,""",""?00;"",""?-00;"",""?00;"", //"""),"'","""")&amp;SUBSTITUTE(TEXT(Overig!L841,""",""???0;"",""??-0;"",""???0;"", ///"""),"'","""")&amp;SUBSTITUTE(TEXT(Overig!M841,""",""?00;"",""?-00;"",""?00;"", //"""),"'","""")&amp;SUBSTITUTE(TEXT(IF(ISTEXT(Overig!N841),Overig!N841,10*Overig!N841),""",""????0;"",""???-0;"",""????0;"", ////"""),"'","""")&amp;SUBSTITUTE(TEXT(Overig!O841,""",""?00;"",""?-00;"",""?00;"", //"""),"'","""")&amp;SUBSTITUTE(TEXT(IF(ISTEXT(Overig!P841),Overig!P841,10*Overig!P841),""",""????0;"",""???-0;"",""????0;"", ////"""),"'","""")&amp;SUBSTITUTE(TEXT(Overig!Q841,""",""?00;"",""?-00;"",""?00;"", //"""),"'","""")&amp;SUBSTITUTE(TEXT(Overig!R841,""",""????0;"",""???-0;"",""????0;"", ////"""),"'","""")&amp;SUBSTITUTE(TEXT(Overig!S841,""",""?00;"",""?-00;"",""?00;"", //"""),"'","""")&amp;SUBSTITUTE(TEXT(IF(ISTEXT(Overig!T841),Overig!T841,10*Overig!T841),""",""????0;"",""???-0;"",""????0;"", ////"""),"'","""")&amp;SUBSTITUTE(TEXT(Overig!U841,""",""?00;"",""?-00;"",""?00;"", //"""),"'","""")&amp;SUBSTITUTE(TEXT(Overig!V841,""",""???0;"",""??-0;"",""???0;"", ///"""),"'","""")&amp;SUBSTITUTE(TEXT(Overig!W841,""",""?00;"",""?-00;"",""?00;"", //"""),"'","""")</f>
        <v>032, 19400728, 24.00, ////, 07, ////, 07,  284, 00,  304, 00, ///, 07, ////, 07, ////, 07, ////, 07, ////, 07, ///, 07</v>
      </c>
    </row>
    <row r="842" spans="1:1" x14ac:dyDescent="0.25">
      <c r="A842" s="12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//"""),"'","""")&amp;SUBSTITUTE(TEXT(IF(ISTEXT(Overig!J842),Overig!J842,10*Overig!J842),""",""????0;"",""???-0;"",""????0;"", ////"""),"'","""")&amp;SUBSTITUTE(TEXT(Overig!K842,""",""?00;"",""?-00;"",""?00;"", //"""),"'","""")&amp;SUBSTITUTE(TEXT(Overig!L842,""",""???0;"",""??-0;"",""???0;"", ///"""),"'","""")&amp;SUBSTITUTE(TEXT(Overig!M842,""",""?00;"",""?-00;"",""?00;"", //"""),"'","""")&amp;SUBSTITUTE(TEXT(IF(ISTEXT(Overig!N842),Overig!N842,10*Overig!N842),""",""????0;"",""???-0;"",""????0;"", ////"""),"'","""")&amp;SUBSTITUTE(TEXT(Overig!O842,""",""?00;"",""?-00;"",""?00;"", //"""),"'","""")&amp;SUBSTITUTE(TEXT(IF(ISTEXT(Overig!P842),Overig!P842,10*Overig!P842),""",""????0;"",""???-0;"",""????0;"", ////"""),"'","""")&amp;SUBSTITUTE(TEXT(Overig!Q842,""",""?00;"",""?-00;"",""?00;"", //"""),"'","""")&amp;SUBSTITUTE(TEXT(Overig!R842,""",""????0;"",""???-0;"",""????0;"", ////"""),"'","""")&amp;SUBSTITUTE(TEXT(Overig!S842,""",""?00;"",""?-00;"",""?00;"", //"""),"'","""")&amp;SUBSTITUTE(TEXT(IF(ISTEXT(Overig!T842),Overig!T842,10*Overig!T842),""",""????0;"",""???-0;"",""????0;"", ////"""),"'","""")&amp;SUBSTITUTE(TEXT(Overig!U842,""",""?00;"",""?-00;"",""?00;"", //"""),"'","""")&amp;SUBSTITUTE(TEXT(Overig!V842,""",""???0;"",""??-0;"",""???0;"", ///"""),"'","""")&amp;SUBSTITUTE(TEXT(Overig!W842,""",""?00;"",""?-00;"",""?00;"", //"""),"'","""")</f>
        <v>032, 19400729, 07.00, 7610, 00,  275, 00, ////, 07, ////, 07,  72, 00,  199, 00,  236, 00,   65, 00,    4, 00,   3, 00</v>
      </c>
    </row>
    <row r="843" spans="1:1" x14ac:dyDescent="0.25">
      <c r="A843" s="12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//"""),"'","""")&amp;SUBSTITUTE(TEXT(IF(ISTEXT(Overig!J843),Overig!J843,10*Overig!J843),""",""????0;"",""???-0;"",""????0;"", ////"""),"'","""")&amp;SUBSTITUTE(TEXT(Overig!K843,""",""?00;"",""?-00;"",""?00;"", //"""),"'","""")&amp;SUBSTITUTE(TEXT(Overig!L843,""",""???0;"",""??-0;"",""???0;"", ///"""),"'","""")&amp;SUBSTITUTE(TEXT(Overig!M843,""",""?00;"",""?-00;"",""?00;"", //"""),"'","""")&amp;SUBSTITUTE(TEXT(IF(ISTEXT(Overig!N843),Overig!N843,10*Overig!N843),""",""????0;"",""???-0;"",""????0;"", ////"""),"'","""")&amp;SUBSTITUTE(TEXT(Overig!O843,""",""?00;"",""?-00;"",""?00;"", //"""),"'","""")&amp;SUBSTITUTE(TEXT(IF(ISTEXT(Overig!P843),Overig!P843,10*Overig!P843),""",""????0;"",""???-0;"",""????0;"", ////"""),"'","""")&amp;SUBSTITUTE(TEXT(Overig!Q843,""",""?00;"",""?-00;"",""?00;"", //"""),"'","""")&amp;SUBSTITUTE(TEXT(Overig!R843,""",""????0;"",""???-0;"",""????0;"", ////"""),"'","""")&amp;SUBSTITUTE(TEXT(Overig!S843,""",""?00;"",""?-00;"",""?00;"", //"""),"'","""")&amp;SUBSTITUTE(TEXT(IF(ISTEXT(Overig!T843),Overig!T843,10*Overig!T843),""",""????0;"",""???-0;"",""????0;"", ////"""),"'","""")&amp;SUBSTITUTE(TEXT(Overig!U843,""",""?00;"",""?-00;"",""?00;"", //"""),"'","""")&amp;SUBSTITUTE(TEXT(Overig!V843,""",""???0;"",""??-0;"",""???0;"", ///"""),"'","""")&amp;SUBSTITUTE(TEXT(Overig!W843,""",""?00;"",""?-00;"",""?00;"", //"""),"'","""")</f>
        <v>032, 19400729, 12.00, 7612, 00,  285, 00, ////, 07, ////, 07,  70, 00,  205, 00,  242, 00,   65, 00,    5, 00,   2, 00</v>
      </c>
    </row>
    <row r="844" spans="1:1" x14ac:dyDescent="0.25">
      <c r="A844" s="12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//"""),"'","""")&amp;SUBSTITUTE(TEXT(IF(ISTEXT(Overig!J844),Overig!J844,10*Overig!J844),""",""????0;"",""???-0;"",""????0;"", ////"""),"'","""")&amp;SUBSTITUTE(TEXT(Overig!K844,""",""?00;"",""?-00;"",""?00;"", //"""),"'","""")&amp;SUBSTITUTE(TEXT(Overig!L844,""",""???0;"",""??-0;"",""???0;"", ///"""),"'","""")&amp;SUBSTITUTE(TEXT(Overig!M844,""",""?00;"",""?-00;"",""?00;"", //"""),"'","""")&amp;SUBSTITUTE(TEXT(IF(ISTEXT(Overig!N844),Overig!N844,10*Overig!N844),""",""????0;"",""???-0;"",""????0;"", ////"""),"'","""")&amp;SUBSTITUTE(TEXT(Overig!O844,""",""?00;"",""?-00;"",""?00;"", //"""),"'","""")&amp;SUBSTITUTE(TEXT(IF(ISTEXT(Overig!P844),Overig!P844,10*Overig!P844),""",""????0;"",""???-0;"",""????0;"", ////"""),"'","""")&amp;SUBSTITUTE(TEXT(Overig!Q844,""",""?00;"",""?-00;"",""?00;"", //"""),"'","""")&amp;SUBSTITUTE(TEXT(Overig!R844,""",""????0;"",""???-0;"",""????0;"", ////"""),"'","""")&amp;SUBSTITUTE(TEXT(Overig!S844,""",""?00;"",""?-00;"",""?00;"", //"""),"'","""")&amp;SUBSTITUTE(TEXT(IF(ISTEXT(Overig!T844),Overig!T844,10*Overig!T844),""",""????0;"",""???-0;"",""????0;"", ////"""),"'","""")&amp;SUBSTITUTE(TEXT(Overig!U844,""",""?00;"",""?-00;"",""?00;"", //"""),"'","""")&amp;SUBSTITUTE(TEXT(Overig!V844,""",""???0;"",""??-0;"",""???0;"", ///"""),"'","""")&amp;SUBSTITUTE(TEXT(Overig!W844,""",""?00;"",""?-00;"",""?00;"", //"""),"'","""")</f>
        <v>032, 19400729, 17.00, 7600, 00,  281, 00, ////, 07, ////, 07,  71, 00,  203, 00,  240, 00,   90, 00,    6, 00,   2, 00</v>
      </c>
    </row>
    <row r="845" spans="1:1" x14ac:dyDescent="0.25">
      <c r="A845" s="12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//"""),"'","""")&amp;SUBSTITUTE(TEXT(IF(ISTEXT(Overig!J845),Overig!J845,10*Overig!J845),""",""????0;"",""???-0;"",""????0;"", ////"""),"'","""")&amp;SUBSTITUTE(TEXT(Overig!K845,""",""?00;"",""?-00;"",""?00;"", //"""),"'","""")&amp;SUBSTITUTE(TEXT(Overig!L845,""",""???0;"",""??-0;"",""???0;"", ///"""),"'","""")&amp;SUBSTITUTE(TEXT(Overig!M845,""",""?00;"",""?-00;"",""?00;"", //"""),"'","""")&amp;SUBSTITUTE(TEXT(IF(ISTEXT(Overig!N845),Overig!N845,10*Overig!N845),""",""????0;"",""???-0;"",""????0;"", ////"""),"'","""")&amp;SUBSTITUTE(TEXT(Overig!O845,""",""?00;"",""?-00;"",""?00;"", //"""),"'","""")&amp;SUBSTITUTE(TEXT(IF(ISTEXT(Overig!P845),Overig!P845,10*Overig!P845),""",""????0;"",""???-0;"",""????0;"", ////"""),"'","""")&amp;SUBSTITUTE(TEXT(Overig!Q845,""",""?00;"",""?-00;"",""?00;"", //"""),"'","""")&amp;SUBSTITUTE(TEXT(Overig!R845,""",""????0;"",""???-0;"",""????0;"", ////"""),"'","""")&amp;SUBSTITUTE(TEXT(Overig!S845,""",""?00;"",""?-00;"",""?00;"", //"""),"'","""")&amp;SUBSTITUTE(TEXT(IF(ISTEXT(Overig!T845),Overig!T845,10*Overig!T845),""",""????0;"",""???-0;"",""????0;"", ////"""),"'","""")&amp;SUBSTITUTE(TEXT(Overig!U845,""",""?00;"",""?-00;"",""?00;"", //"""),"'","""")&amp;SUBSTITUTE(TEXT(Overig!V845,""",""???0;"",""??-0;"",""???0;"", ///"""),"'","""")&amp;SUBSTITUTE(TEXT(Overig!W845,""",""?00;"",""?-00;"",""?00;"", //"""),"'","""")</f>
        <v>032, 19400729, 24.00, ////, 07, ////, 07,  290, 00,  305, 00, ///, 07, ////, 07, ////, 07, ////, 07, ////, 07, ///, 07</v>
      </c>
    </row>
    <row r="846" spans="1:1" x14ac:dyDescent="0.25">
      <c r="A846" s="12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//"""),"'","""")&amp;SUBSTITUTE(TEXT(IF(ISTEXT(Overig!J846),Overig!J846,10*Overig!J846),""",""????0;"",""???-0;"",""????0;"", ////"""),"'","""")&amp;SUBSTITUTE(TEXT(Overig!K846,""",""?00;"",""?-00;"",""?00;"", //"""),"'","""")&amp;SUBSTITUTE(TEXT(Overig!L846,""",""???0;"",""??-0;"",""???0;"", ///"""),"'","""")&amp;SUBSTITUTE(TEXT(Overig!M846,""",""?00;"",""?-00;"",""?00;"", //"""),"'","""")&amp;SUBSTITUTE(TEXT(IF(ISTEXT(Overig!N846),Overig!N846,10*Overig!N846),""",""????0;"",""???-0;"",""????0;"", ////"""),"'","""")&amp;SUBSTITUTE(TEXT(Overig!O846,""",""?00;"",""?-00;"",""?00;"", //"""),"'","""")&amp;SUBSTITUTE(TEXT(IF(ISTEXT(Overig!P846),Overig!P846,10*Overig!P846),""",""????0;"",""???-0;"",""????0;"", ////"""),"'","""")&amp;SUBSTITUTE(TEXT(Overig!Q846,""",""?00;"",""?-00;"",""?00;"", //"""),"'","""")&amp;SUBSTITUTE(TEXT(Overig!R846,""",""????0;"",""???-0;"",""????0;"", ////"""),"'","""")&amp;SUBSTITUTE(TEXT(Overig!S846,""",""?00;"",""?-00;"",""?00;"", //"""),"'","""")&amp;SUBSTITUTE(TEXT(IF(ISTEXT(Overig!T846),Overig!T846,10*Overig!T846),""",""????0;"",""???-0;"",""????0;"", ////"""),"'","""")&amp;SUBSTITUTE(TEXT(Overig!U846,""",""?00;"",""?-00;"",""?00;"", //"""),"'","""")&amp;SUBSTITUTE(TEXT(Overig!V846,""",""???0;"",""??-0;"",""???0;"", ///"""),"'","""")&amp;SUBSTITUTE(TEXT(Overig!W846,""",""?00;"",""?-00;"",""?00;"", //"""),"'","""")</f>
        <v>032, 19400730, 07.00, 7617, 00,  269, 00, ////, 07, ////, 07,  74, 00,  198, 00,  234, 00,   65, 00,    5, 00,   2, 00</v>
      </c>
    </row>
    <row r="847" spans="1:1" x14ac:dyDescent="0.25">
      <c r="A847" s="12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//"""),"'","""")&amp;SUBSTITUTE(TEXT(IF(ISTEXT(Overig!J847),Overig!J847,10*Overig!J847),""",""????0;"",""???-0;"",""????0;"", ////"""),"'","""")&amp;SUBSTITUTE(TEXT(Overig!K847,""",""?00;"",""?-00;"",""?00;"", //"""),"'","""")&amp;SUBSTITUTE(TEXT(Overig!L847,""",""???0;"",""??-0;"",""???0;"", ///"""),"'","""")&amp;SUBSTITUTE(TEXT(Overig!M847,""",""?00;"",""?-00;"",""?00;"", //"""),"'","""")&amp;SUBSTITUTE(TEXT(IF(ISTEXT(Overig!N847),Overig!N847,10*Overig!N847),""",""????0;"",""???-0;"",""????0;"", ////"""),"'","""")&amp;SUBSTITUTE(TEXT(Overig!O847,""",""?00;"",""?-00;"",""?00;"", //"""),"'","""")&amp;SUBSTITUTE(TEXT(IF(ISTEXT(Overig!P847),Overig!P847,10*Overig!P847),""",""????0;"",""???-0;"",""????0;"", ////"""),"'","""")&amp;SUBSTITUTE(TEXT(Overig!Q847,""",""?00;"",""?-00;"",""?00;"", //"""),"'","""")&amp;SUBSTITUTE(TEXT(Overig!R847,""",""????0;"",""???-0;"",""????0;"", ////"""),"'","""")&amp;SUBSTITUTE(TEXT(Overig!S847,""",""?00;"",""?-00;"",""?00;"", //"""),"'","""")&amp;SUBSTITUTE(TEXT(IF(ISTEXT(Overig!T847),Overig!T847,10*Overig!T847),""",""????0;"",""???-0;"",""????0;"", ////"""),"'","""")&amp;SUBSTITUTE(TEXT(Overig!U847,""",""?00;"",""?-00;"",""?00;"", //"""),"'","""")&amp;SUBSTITUTE(TEXT(Overig!V847,""",""???0;"",""??-0;"",""???0;"", ///"""),"'","""")&amp;SUBSTITUTE(TEXT(Overig!W847,""",""?00;"",""?-00;"",""?00;"", //"""),"'","""")</f>
        <v>032, 19400730, 12.00, 7615, 00,  281, 00, ////, 07, ////, 07,  71, 00,  203, 00,  240, 00,   65, 00,    6, 00,   2, 00</v>
      </c>
    </row>
    <row r="848" spans="1:1" x14ac:dyDescent="0.25">
      <c r="A848" s="12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//"""),"'","""")&amp;SUBSTITUTE(TEXT(IF(ISTEXT(Overig!J848),Overig!J848,10*Overig!J848),""",""????0;"",""???-0;"",""????0;"", ////"""),"'","""")&amp;SUBSTITUTE(TEXT(Overig!K848,""",""?00;"",""?-00;"",""?00;"", //"""),"'","""")&amp;SUBSTITUTE(TEXT(Overig!L848,""",""???0;"",""??-0;"",""???0;"", ///"""),"'","""")&amp;SUBSTITUTE(TEXT(Overig!M848,""",""?00;"",""?-00;"",""?00;"", //"""),"'","""")&amp;SUBSTITUTE(TEXT(IF(ISTEXT(Overig!N848),Overig!N848,10*Overig!N848),""",""????0;"",""???-0;"",""????0;"", ////"""),"'","""")&amp;SUBSTITUTE(TEXT(Overig!O848,""",""?00;"",""?-00;"",""?00;"", //"""),"'","""")&amp;SUBSTITUTE(TEXT(IF(ISTEXT(Overig!P848),Overig!P848,10*Overig!P848),""",""????0;"",""???-0;"",""????0;"", ////"""),"'","""")&amp;SUBSTITUTE(TEXT(Overig!Q848,""",""?00;"",""?-00;"",""?00;"", //"""),"'","""")&amp;SUBSTITUTE(TEXT(Overig!R848,""",""????0;"",""???-0;"",""????0;"", ////"""),"'","""")&amp;SUBSTITUTE(TEXT(Overig!S848,""",""?00;"",""?-00;"",""?00;"", //"""),"'","""")&amp;SUBSTITUTE(TEXT(IF(ISTEXT(Overig!T848),Overig!T848,10*Overig!T848),""",""????0;"",""???-0;"",""????0;"", ////"""),"'","""")&amp;SUBSTITUTE(TEXT(Overig!U848,""",""?00;"",""?-00;"",""?00;"", //"""),"'","""")&amp;SUBSTITUTE(TEXT(Overig!V848,""",""???0;"",""??-0;"",""???0;"", ///"""),"'","""")&amp;SUBSTITUTE(TEXT(Overig!W848,""",""?00;"",""?-00;"",""?00;"", //"""),"'","""")</f>
        <v>032, 19400730, 17.00, 7600, 00,  294, 00, ////, 07, ////, 07,  63, 00,  195, 00,  238, 00,   65, 00,    5, 00,   2, 00</v>
      </c>
    </row>
    <row r="849" spans="1:1" x14ac:dyDescent="0.25">
      <c r="A849" s="12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//"""),"'","""")&amp;SUBSTITUTE(TEXT(IF(ISTEXT(Overig!J849),Overig!J849,10*Overig!J849),""",""????0;"",""???-0;"",""????0;"", ////"""),"'","""")&amp;SUBSTITUTE(TEXT(Overig!K849,""",""?00;"",""?-00;"",""?00;"", //"""),"'","""")&amp;SUBSTITUTE(TEXT(Overig!L849,""",""???0;"",""??-0;"",""???0;"", ///"""),"'","""")&amp;SUBSTITUTE(TEXT(Overig!M849,""",""?00;"",""?-00;"",""?00;"", //"""),"'","""")&amp;SUBSTITUTE(TEXT(IF(ISTEXT(Overig!N849),Overig!N849,10*Overig!N849),""",""????0;"",""???-0;"",""????0;"", ////"""),"'","""")&amp;SUBSTITUTE(TEXT(Overig!O849,""",""?00;"",""?-00;"",""?00;"", //"""),"'","""")&amp;SUBSTITUTE(TEXT(IF(ISTEXT(Overig!P849),Overig!P849,10*Overig!P849),""",""????0;"",""???-0;"",""????0;"", ////"""),"'","""")&amp;SUBSTITUTE(TEXT(Overig!Q849,""",""?00;"",""?-00;"",""?00;"", //"""),"'","""")&amp;SUBSTITUTE(TEXT(Overig!R849,""",""????0;"",""???-0;"",""????0;"", ////"""),"'","""")&amp;SUBSTITUTE(TEXT(Overig!S849,""",""?00;"",""?-00;"",""?00;"", //"""),"'","""")&amp;SUBSTITUTE(TEXT(IF(ISTEXT(Overig!T849),Overig!T849,10*Overig!T849),""",""????0;"",""???-0;"",""????0;"", ////"""),"'","""")&amp;SUBSTITUTE(TEXT(Overig!U849,""",""?00;"",""?-00;"",""?00;"", //"""),"'","""")&amp;SUBSTITUTE(TEXT(Overig!V849,""",""???0;"",""??-0;"",""???0;"", ///"""),"'","""")&amp;SUBSTITUTE(TEXT(Overig!W849,""",""?00;"",""?-00;"",""?00;"", //"""),"'","""")</f>
        <v>032, 19400730, 24.00, ////, 07, ////, 07,  290, 00,  300, 00, ///, 07, ////, 07, ////, 07, ////, 07, ////, 07, ///, 07</v>
      </c>
    </row>
    <row r="850" spans="1:1" x14ac:dyDescent="0.25">
      <c r="A850" s="12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//"""),"'","""")&amp;SUBSTITUTE(TEXT(IF(ISTEXT(Overig!J850),Overig!J850,10*Overig!J850),""",""????0;"",""???-0;"",""????0;"", ////"""),"'","""")&amp;SUBSTITUTE(TEXT(Overig!K850,""",""?00;"",""?-00;"",""?00;"", //"""),"'","""")&amp;SUBSTITUTE(TEXT(Overig!L850,""",""???0;"",""??-0;"",""???0;"", ///"""),"'","""")&amp;SUBSTITUTE(TEXT(Overig!M850,""",""?00;"",""?-00;"",""?00;"", //"""),"'","""")&amp;SUBSTITUTE(TEXT(IF(ISTEXT(Overig!N850),Overig!N850,10*Overig!N850),""",""????0;"",""???-0;"",""????0;"", ////"""),"'","""")&amp;SUBSTITUTE(TEXT(Overig!O850,""",""?00;"",""?-00;"",""?00;"", //"""),"'","""")&amp;SUBSTITUTE(TEXT(IF(ISTEXT(Overig!P850),Overig!P850,10*Overig!P850),""",""????0;"",""???-0;"",""????0;"", ////"""),"'","""")&amp;SUBSTITUTE(TEXT(Overig!Q850,""",""?00;"",""?-00;"",""?00;"", //"""),"'","""")&amp;SUBSTITUTE(TEXT(Overig!R850,""",""????0;"",""???-0;"",""????0;"", ////"""),"'","""")&amp;SUBSTITUTE(TEXT(Overig!S850,""",""?00;"",""?-00;"",""?00;"", //"""),"'","""")&amp;SUBSTITUTE(TEXT(IF(ISTEXT(Overig!T850),Overig!T850,10*Overig!T850),""",""????0;"",""???-0;"",""????0;"", ////"""),"'","""")&amp;SUBSTITUTE(TEXT(Overig!U850,""",""?00;"",""?-00;"",""?00;"", //"""),"'","""")&amp;SUBSTITUTE(TEXT(Overig!V850,""",""???0;"",""??-0;"",""???0;"", ///"""),"'","""")&amp;SUBSTITUTE(TEXT(Overig!W850,""",""?00;"",""?-00;"",""?00;"", //"""),"'","""")</f>
        <v>032, 19400731, 07.00, 7605, 00,  265, 00, ////, 07, ////, 07,  73, 00,  190, 00,  228, 00,   65, 00,    4, 00,   2, 00</v>
      </c>
    </row>
    <row r="851" spans="1:1" x14ac:dyDescent="0.25">
      <c r="A851" s="12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//"""),"'","""")&amp;SUBSTITUTE(TEXT(IF(ISTEXT(Overig!J851),Overig!J851,10*Overig!J851),""",""????0;"",""???-0;"",""????0;"", ////"""),"'","""")&amp;SUBSTITUTE(TEXT(Overig!K851,""",""?00;"",""?-00;"",""?00;"", //"""),"'","""")&amp;SUBSTITUTE(TEXT(Overig!L851,""",""???0;"",""??-0;"",""???0;"", ///"""),"'","""")&amp;SUBSTITUTE(TEXT(Overig!M851,""",""?00;"",""?-00;"",""?00;"", //"""),"'","""")&amp;SUBSTITUTE(TEXT(IF(ISTEXT(Overig!N851),Overig!N851,10*Overig!N851),""",""????0;"",""???-0;"",""????0;"", ////"""),"'","""")&amp;SUBSTITUTE(TEXT(Overig!O851,""",""?00;"",""?-00;"",""?00;"", //"""),"'","""")&amp;SUBSTITUTE(TEXT(IF(ISTEXT(Overig!P851),Overig!P851,10*Overig!P851),""",""????0;"",""???-0;"",""????0;"", ////"""),"'","""")&amp;SUBSTITUTE(TEXT(Overig!Q851,""",""?00;"",""?-00;"",""?00;"", //"""),"'","""")&amp;SUBSTITUTE(TEXT(Overig!R851,""",""????0;"",""???-0;"",""????0;"", ////"""),"'","""")&amp;SUBSTITUTE(TEXT(Overig!S851,""",""?00;"",""?-00;"",""?00;"", //"""),"'","""")&amp;SUBSTITUTE(TEXT(IF(ISTEXT(Overig!T851),Overig!T851,10*Overig!T851),""",""????0;"",""???-0;"",""????0;"", ////"""),"'","""")&amp;SUBSTITUTE(TEXT(Overig!U851,""",""?00;"",""?-00;"",""?00;"", //"""),"'","""")&amp;SUBSTITUTE(TEXT(Overig!V851,""",""???0;"",""??-0;"",""???0;"", ///"""),"'","""")&amp;SUBSTITUTE(TEXT(Overig!W851,""",""?00;"",""?-00;"",""?00;"", //"""),"'","""")</f>
        <v>032, 19400731, 12.00, 7582, 00,  279, 00, ////, 07, ////, 07,  72, 00,  204, 00,  240, 00,   65, 00,    4, 00,   2, 00</v>
      </c>
    </row>
    <row r="852" spans="1:1" x14ac:dyDescent="0.25">
      <c r="A852" s="12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//"""),"'","""")&amp;SUBSTITUTE(TEXT(IF(ISTEXT(Overig!J852),Overig!J852,10*Overig!J852),""",""????0;"",""???-0;"",""????0;"", ////"""),"'","""")&amp;SUBSTITUTE(TEXT(Overig!K852,""",""?00;"",""?-00;"",""?00;"", //"""),"'","""")&amp;SUBSTITUTE(TEXT(Overig!L852,""",""???0;"",""??-0;"",""???0;"", ///"""),"'","""")&amp;SUBSTITUTE(TEXT(Overig!M852,""",""?00;"",""?-00;"",""?00;"", //"""),"'","""")&amp;SUBSTITUTE(TEXT(IF(ISTEXT(Overig!N852),Overig!N852,10*Overig!N852),""",""????0;"",""???-0;"",""????0;"", ////"""),"'","""")&amp;SUBSTITUTE(TEXT(Overig!O852,""",""?00;"",""?-00;"",""?00;"", //"""),"'","""")&amp;SUBSTITUTE(TEXT(IF(ISTEXT(Overig!P852),Overig!P852,10*Overig!P852),""",""????0;"",""???-0;"",""????0;"", ////"""),"'","""")&amp;SUBSTITUTE(TEXT(Overig!Q852,""",""?00;"",""?-00;"",""?00;"", //"""),"'","""")&amp;SUBSTITUTE(TEXT(Overig!R852,""",""????0;"",""???-0;"",""????0;"", ////"""),"'","""")&amp;SUBSTITUTE(TEXT(Overig!S852,""",""?00;"",""?-00;"",""?00;"", //"""),"'","""")&amp;SUBSTITUTE(TEXT(IF(ISTEXT(Overig!T852),Overig!T852,10*Overig!T852),""",""????0;"",""???-0;"",""????0;"", ////"""),"'","""")&amp;SUBSTITUTE(TEXT(Overig!U852,""",""?00;"",""?-00;"",""?00;"", //"""),"'","""")&amp;SUBSTITUTE(TEXT(Overig!V852,""",""???0;"",""??-0;"",""???0;"", ///"""),"'","""")&amp;SUBSTITUTE(TEXT(Overig!W852,""",""?00;"",""?-00;"",""?00;"", //"""),"'","""")</f>
        <v>032, 19400731, 17.00, 7585, 00,  275, 00, ////, 07, ////, 07,  71, 00,  195, 00,  234, 00,   65, 00,    4, 00,   2, 00</v>
      </c>
    </row>
    <row r="853" spans="1:1" x14ac:dyDescent="0.25">
      <c r="A853" s="12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//"""),"'","""")&amp;SUBSTITUTE(TEXT(IF(ISTEXT(Overig!J853),Overig!J853,10*Overig!J853),""",""????0;"",""???-0;"",""????0;"", ////"""),"'","""")&amp;SUBSTITUTE(TEXT(Overig!K853,""",""?00;"",""?-00;"",""?00;"", //"""),"'","""")&amp;SUBSTITUTE(TEXT(Overig!L853,""",""???0;"",""??-0;"",""???0;"", ///"""),"'","""")&amp;SUBSTITUTE(TEXT(Overig!M853,""",""?00;"",""?-00;"",""?00;"", //"""),"'","""")&amp;SUBSTITUTE(TEXT(IF(ISTEXT(Overig!N853),Overig!N853,10*Overig!N853),""",""????0;"",""???-0;"",""????0;"", ////"""),"'","""")&amp;SUBSTITUTE(TEXT(Overig!O853,""",""?00;"",""?-00;"",""?00;"", //"""),"'","""")&amp;SUBSTITUTE(TEXT(IF(ISTEXT(Overig!P853),Overig!P853,10*Overig!P853),""",""????0;"",""???-0;"",""????0;"", ////"""),"'","""")&amp;SUBSTITUTE(TEXT(Overig!Q853,""",""?00;"",""?-00;"",""?00;"", //"""),"'","""")&amp;SUBSTITUTE(TEXT(Overig!R853,""",""????0;"",""???-0;"",""????0;"", ////"""),"'","""")&amp;SUBSTITUTE(TEXT(Overig!S853,""",""?00;"",""?-00;"",""?00;"", //"""),"'","""")&amp;SUBSTITUTE(TEXT(IF(ISTEXT(Overig!T853),Overig!T853,10*Overig!T853),""",""????0;"",""???-0;"",""????0;"", ////"""),"'","""")&amp;SUBSTITUTE(TEXT(Overig!U853,""",""?00;"",""?-00;"",""?00;"", //"""),"'","""")&amp;SUBSTITUTE(TEXT(Overig!V853,""",""???0;"",""??-0;"",""???0;"", ///"""),"'","""")&amp;SUBSTITUTE(TEXT(Overig!W853,""",""?00;"",""?-00;"",""?00;"", //"""),"'","""")</f>
        <v>032, 19400731, 24.00, ////, 07, ////, 07,  280, 00,  300, 00, ///, 07, ////, 07, ////, 07, ////, 07, ////, 07, ///, 07</v>
      </c>
    </row>
    <row r="854" spans="1:1" x14ac:dyDescent="0.25">
      <c r="A854" s="12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//"""),"'","""")&amp;SUBSTITUTE(TEXT(IF(ISTEXT(Overig!J854),Overig!J854,10*Overig!J854),""",""????0;"",""???-0;"",""????0;"", ////"""),"'","""")&amp;SUBSTITUTE(TEXT(Overig!K854,""",""?00;"",""?-00;"",""?00;"", //"""),"'","""")&amp;SUBSTITUTE(TEXT(Overig!L854,""",""???0;"",""??-0;"",""???0;"", ///"""),"'","""")&amp;SUBSTITUTE(TEXT(Overig!M854,""",""?00;"",""?-00;"",""?00;"", //"""),"'","""")&amp;SUBSTITUTE(TEXT(IF(ISTEXT(Overig!N854),Overig!N854,10*Overig!N854),""",""????0;"",""???-0;"",""????0;"", ////"""),"'","""")&amp;SUBSTITUTE(TEXT(Overig!O854,""",""?00;"",""?-00;"",""?00;"", //"""),"'","""")&amp;SUBSTITUTE(TEXT(IF(ISTEXT(Overig!P854),Overig!P854,10*Overig!P854),""",""????0;"",""???-0;"",""????0;"", ////"""),"'","""")&amp;SUBSTITUTE(TEXT(Overig!Q854,""",""?00;"",""?-00;"",""?00;"", //"""),"'","""")&amp;SUBSTITUTE(TEXT(Overig!R854,""",""????0;"",""???-0;"",""????0;"", ////"""),"'","""")&amp;SUBSTITUTE(TEXT(Overig!S854,""",""?00;"",""?-00;"",""?00;"", //"""),"'","""")&amp;SUBSTITUTE(TEXT(IF(ISTEXT(Overig!T854),Overig!T854,10*Overig!T854),""",""????0;"",""???-0;"",""????0;"", ////"""),"'","""")&amp;SUBSTITUTE(TEXT(Overig!U854,""",""?00;"",""?-00;"",""?00;"", //"""),"'","""")&amp;SUBSTITUTE(TEXT(Overig!V854,""",""???0;"",""??-0;"",""???0;"", ///"""),"'","""")&amp;SUBSTITUTE(TEXT(Overig!W854,""",""?00;"",""?-00;"",""?00;"", //"""),"'","""")</f>
        <v>032, 19400801, 07.00, 7607, 00,  291, 00, ////, 07, ////, 07,  91, 00,  274, 00,  278, 00,   45, 00,    4, 00,   3, 00</v>
      </c>
    </row>
    <row r="855" spans="1:1" x14ac:dyDescent="0.25">
      <c r="A855" s="12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//"""),"'","""")&amp;SUBSTITUTE(TEXT(IF(ISTEXT(Overig!J855),Overig!J855,10*Overig!J855),""",""????0;"",""???-0;"",""????0;"", ////"""),"'","""")&amp;SUBSTITUTE(TEXT(Overig!K855,""",""?00;"",""?-00;"",""?00;"", //"""),"'","""")&amp;SUBSTITUTE(TEXT(Overig!L855,""",""???0;"",""??-0;"",""???0;"", ///"""),"'","""")&amp;SUBSTITUTE(TEXT(Overig!M855,""",""?00;"",""?-00;"",""?00;"", //"""),"'","""")&amp;SUBSTITUTE(TEXT(IF(ISTEXT(Overig!N855),Overig!N855,10*Overig!N855),""",""????0;"",""???-0;"",""????0;"", ////"""),"'","""")&amp;SUBSTITUTE(TEXT(Overig!O855,""",""?00;"",""?-00;"",""?00;"", //"""),"'","""")&amp;SUBSTITUTE(TEXT(IF(ISTEXT(Overig!P855),Overig!P855,10*Overig!P855),""",""????0;"",""???-0;"",""????0;"", ////"""),"'","""")&amp;SUBSTITUTE(TEXT(Overig!Q855,""",""?00;"",""?-00;"",""?00;"", //"""),"'","""")&amp;SUBSTITUTE(TEXT(Overig!R855,""",""????0;"",""???-0;"",""????0;"", ////"""),"'","""")&amp;SUBSTITUTE(TEXT(Overig!S855,""",""?00;"",""?-00;"",""?00;"", //"""),"'","""")&amp;SUBSTITUTE(TEXT(IF(ISTEXT(Overig!T855),Overig!T855,10*Overig!T855),""",""????0;"",""???-0;"",""????0;"", ////"""),"'","""")&amp;SUBSTITUTE(TEXT(Overig!U855,""",""?00;"",""?-00;"",""?00;"", //"""),"'","""")&amp;SUBSTITUTE(TEXT(Overig!V855,""",""???0;"",""??-0;"",""???0;"", ///"""),"'","""")&amp;SUBSTITUTE(TEXT(Overig!W855,""",""?00;"",""?-00;"",""?00;"", //"""),"'","""")</f>
        <v>032, 19400801, 12.00, 7610, 00,  293, 00, ////, 07, ////, 07,  92, 00,  281, 00,  282, 00,   45, 00,    5, 00,   2, 00</v>
      </c>
    </row>
    <row r="856" spans="1:1" x14ac:dyDescent="0.25">
      <c r="A856" s="12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//"""),"'","""")&amp;SUBSTITUTE(TEXT(IF(ISTEXT(Overig!J856),Overig!J856,10*Overig!J856),""",""????0;"",""???-0;"",""????0;"", ////"""),"'","""")&amp;SUBSTITUTE(TEXT(Overig!K856,""",""?00;"",""?-00;"",""?00;"", //"""),"'","""")&amp;SUBSTITUTE(TEXT(Overig!L856,""",""???0;"",""??-0;"",""???0;"", ///"""),"'","""")&amp;SUBSTITUTE(TEXT(Overig!M856,""",""?00;"",""?-00;"",""?00;"", //"""),"'","""")&amp;SUBSTITUTE(TEXT(IF(ISTEXT(Overig!N856),Overig!N856,10*Overig!N856),""",""????0;"",""???-0;"",""????0;"", ////"""),"'","""")&amp;SUBSTITUTE(TEXT(Overig!O856,""",""?00;"",""?-00;"",""?00;"", //"""),"'","""")&amp;SUBSTITUTE(TEXT(IF(ISTEXT(Overig!P856),Overig!P856,10*Overig!P856),""",""????0;"",""???-0;"",""????0;"", ////"""),"'","""")&amp;SUBSTITUTE(TEXT(Overig!Q856,""",""?00;"",""?-00;"",""?00;"", //"""),"'","""")&amp;SUBSTITUTE(TEXT(Overig!R856,""",""????0;"",""???-0;"",""????0;"", ////"""),"'","""")&amp;SUBSTITUTE(TEXT(Overig!S856,""",""?00;"",""?-00;"",""?00;"", //"""),"'","""")&amp;SUBSTITUTE(TEXT(IF(ISTEXT(Overig!T856),Overig!T856,10*Overig!T856),""",""????0;"",""???-0;"",""????0;"", ////"""),"'","""")&amp;SUBSTITUTE(TEXT(Overig!U856,""",""?00;"",""?-00;"",""?00;"", //"""),"'","""")&amp;SUBSTITUTE(TEXT(Overig!V856,""",""???0;"",""??-0;"",""???0;"", ///"""),"'","""")&amp;SUBSTITUTE(TEXT(Overig!W856,""",""?00;"",""?-00;"",""?00;"", //"""),"'","""")</f>
        <v>032, 19400801, 17.00, 7600, 00,  281, 00, ////, 07, ////, 07,  95, 00,  270, 00,  274, 00,   45, 00,    4, 00,   2, 00</v>
      </c>
    </row>
    <row r="857" spans="1:1" x14ac:dyDescent="0.25">
      <c r="A857" s="12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//"""),"'","""")&amp;SUBSTITUTE(TEXT(IF(ISTEXT(Overig!J857),Overig!J857,10*Overig!J857),""",""????0;"",""???-0;"",""????0;"", ////"""),"'","""")&amp;SUBSTITUTE(TEXT(Overig!K857,""",""?00;"",""?-00;"",""?00;"", //"""),"'","""")&amp;SUBSTITUTE(TEXT(Overig!L857,""",""???0;"",""??-0;"",""???0;"", ///"""),"'","""")&amp;SUBSTITUTE(TEXT(Overig!M857,""",""?00;"",""?-00;"",""?00;"", //"""),"'","""")&amp;SUBSTITUTE(TEXT(IF(ISTEXT(Overig!N857),Overig!N857,10*Overig!N857),""",""????0;"",""???-0;"",""????0;"", ////"""),"'","""")&amp;SUBSTITUTE(TEXT(Overig!O857,""",""?00;"",""?-00;"",""?00;"", //"""),"'","""")&amp;SUBSTITUTE(TEXT(IF(ISTEXT(Overig!P857),Overig!P857,10*Overig!P857),""",""????0;"",""???-0;"",""????0;"", ////"""),"'","""")&amp;SUBSTITUTE(TEXT(Overig!Q857,""",""?00;"",""?-00;"",""?00;"", //"""),"'","""")&amp;SUBSTITUTE(TEXT(Overig!R857,""",""????0;"",""???-0;"",""????0;"", ////"""),"'","""")&amp;SUBSTITUTE(TEXT(Overig!S857,""",""?00;"",""?-00;"",""?00;"", //"""),"'","""")&amp;SUBSTITUTE(TEXT(IF(ISTEXT(Overig!T857),Overig!T857,10*Overig!T857),""",""????0;"",""???-0;"",""????0;"", ////"""),"'","""")&amp;SUBSTITUTE(TEXT(Overig!U857,""",""?00;"",""?-00;"",""?00;"", //"""),"'","""")&amp;SUBSTITUTE(TEXT(Overig!V857,""",""???0;"",""??-0;"",""???0;"", ///"""),"'","""")&amp;SUBSTITUTE(TEXT(Overig!W857,""",""?00;"",""?-00;"",""?00;"", //"""),"'","""")</f>
        <v>032, 19400801, 24.00, ////, 07, ////, 07,  296, 00,  314, 00, ///, 07, ////, 07, ////, 07, ////, 07, ////, 07, ///, 07</v>
      </c>
    </row>
    <row r="858" spans="1:1" x14ac:dyDescent="0.25">
      <c r="A858" s="12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//"""),"'","""")&amp;SUBSTITUTE(TEXT(IF(ISTEXT(Overig!J858),Overig!J858,10*Overig!J858),""",""????0;"",""???-0;"",""????0;"", ////"""),"'","""")&amp;SUBSTITUTE(TEXT(Overig!K858,""",""?00;"",""?-00;"",""?00;"", //"""),"'","""")&amp;SUBSTITUTE(TEXT(Overig!L858,""",""???0;"",""??-0;"",""???0;"", ///"""),"'","""")&amp;SUBSTITUTE(TEXT(Overig!M858,""",""?00;"",""?-00;"",""?00;"", //"""),"'","""")&amp;SUBSTITUTE(TEXT(IF(ISTEXT(Overig!N858),Overig!N858,10*Overig!N858),""",""????0;"",""???-0;"",""????0;"", ////"""),"'","""")&amp;SUBSTITUTE(TEXT(Overig!O858,""",""?00;"",""?-00;"",""?00;"", //"""),"'","""")&amp;SUBSTITUTE(TEXT(IF(ISTEXT(Overig!P858),Overig!P858,10*Overig!P858),""",""????0;"",""???-0;"",""????0;"", ////"""),"'","""")&amp;SUBSTITUTE(TEXT(Overig!Q858,""",""?00;"",""?-00;"",""?00;"", //"""),"'","""")&amp;SUBSTITUTE(TEXT(Overig!R858,""",""????0;"",""???-0;"",""????0;"", ////"""),"'","""")&amp;SUBSTITUTE(TEXT(Overig!S858,""",""?00;"",""?-00;"",""?00;"", //"""),"'","""")&amp;SUBSTITUTE(TEXT(IF(ISTEXT(Overig!T858),Overig!T858,10*Overig!T858),""",""????0;"",""???-0;"",""????0;"", ////"""),"'","""")&amp;SUBSTITUTE(TEXT(Overig!U858,""",""?00;"",""?-00;"",""?00;"", //"""),"'","""")&amp;SUBSTITUTE(TEXT(Overig!V858,""",""???0;"",""??-0;"",""???0;"", ///"""),"'","""")&amp;SUBSTITUTE(TEXT(Overig!W858,""",""?00;"",""?-00;"",""?00;"", //"""),"'","""")</f>
        <v>032, 19400802, 07.00, 7607, 00,  285, 00, ////, 07, ////, 07,  98, 00,  285, 00,  282, 00,   45, 00,    4, 00,   3, 00</v>
      </c>
    </row>
    <row r="859" spans="1:1" x14ac:dyDescent="0.25">
      <c r="A859" s="12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//"""),"'","""")&amp;SUBSTITUTE(TEXT(IF(ISTEXT(Overig!J859),Overig!J859,10*Overig!J859),""",""????0;"",""???-0;"",""????0;"", ////"""),"'","""")&amp;SUBSTITUTE(TEXT(Overig!K859,""",""?00;"",""?-00;"",""?00;"", //"""),"'","""")&amp;SUBSTITUTE(TEXT(Overig!L859,""",""???0;"",""??-0;"",""???0;"", ///"""),"'","""")&amp;SUBSTITUTE(TEXT(Overig!M859,""",""?00;"",""?-00;"",""?00;"", //"""),"'","""")&amp;SUBSTITUTE(TEXT(IF(ISTEXT(Overig!N859),Overig!N859,10*Overig!N859),""",""????0;"",""???-0;"",""????0;"", ////"""),"'","""")&amp;SUBSTITUTE(TEXT(Overig!O859,""",""?00;"",""?-00;"",""?00;"", //"""),"'","""")&amp;SUBSTITUTE(TEXT(IF(ISTEXT(Overig!P859),Overig!P859,10*Overig!P859),""",""????0;"",""???-0;"",""????0;"", ////"""),"'","""")&amp;SUBSTITUTE(TEXT(Overig!Q859,""",""?00;"",""?-00;"",""?00;"", //"""),"'","""")&amp;SUBSTITUTE(TEXT(Overig!R859,""",""????0;"",""???-0;"",""????0;"", ////"""),"'","""")&amp;SUBSTITUTE(TEXT(Overig!S859,""",""?00;"",""?-00;"",""?00;"", //"""),"'","""")&amp;SUBSTITUTE(TEXT(IF(ISTEXT(Overig!T859),Overig!T859,10*Overig!T859),""",""????0;"",""???-0;"",""????0;"", ////"""),"'","""")&amp;SUBSTITUTE(TEXT(Overig!U859,""",""?00;"",""?-00;"",""?00;"", //"""),"'","""")&amp;SUBSTITUTE(TEXT(Overig!V859,""",""???0;"",""??-0;"",""???0;"", ///"""),"'","""")&amp;SUBSTITUTE(TEXT(Overig!W859,""",""?00;"",""?-00;"",""?00;"", //"""),"'","""")</f>
        <v>032, 19400802, 12.00, 7607, 00,  287, 00, ////, 07, ////, 07,  96, 00,  284, 00,  282, 00,   45, 00,    5, 00,   2, 00</v>
      </c>
    </row>
    <row r="860" spans="1:1" x14ac:dyDescent="0.25">
      <c r="A860" s="12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//"""),"'","""")&amp;SUBSTITUTE(TEXT(IF(ISTEXT(Overig!J860),Overig!J860,10*Overig!J860),""",""????0;"",""???-0;"",""????0;"", ////"""),"'","""")&amp;SUBSTITUTE(TEXT(Overig!K860,""",""?00;"",""?-00;"",""?00;"", //"""),"'","""")&amp;SUBSTITUTE(TEXT(Overig!L860,""",""???0;"",""??-0;"",""???0;"", ///"""),"'","""")&amp;SUBSTITUTE(TEXT(Overig!M860,""",""?00;"",""?-00;"",""?00;"", //"""),"'","""")&amp;SUBSTITUTE(TEXT(IF(ISTEXT(Overig!N860),Overig!N860,10*Overig!N860),""",""????0;"",""???-0;"",""????0;"", ////"""),"'","""")&amp;SUBSTITUTE(TEXT(Overig!O860,""",""?00;"",""?-00;"",""?00;"", //"""),"'","""")&amp;SUBSTITUTE(TEXT(IF(ISTEXT(Overig!P860),Overig!P860,10*Overig!P860),""",""????0;"",""???-0;"",""????0;"", ////"""),"'","""")&amp;SUBSTITUTE(TEXT(Overig!Q860,""",""?00;"",""?-00;"",""?00;"", //"""),"'","""")&amp;SUBSTITUTE(TEXT(Overig!R860,""",""????0;"",""???-0;"",""????0;"", ////"""),"'","""")&amp;SUBSTITUTE(TEXT(Overig!S860,""",""?00;"",""?-00;"",""?00;"", //"""),"'","""")&amp;SUBSTITUTE(TEXT(IF(ISTEXT(Overig!T860),Overig!T860,10*Overig!T860),""",""????0;"",""???-0;"",""????0;"", ////"""),"'","""")&amp;SUBSTITUTE(TEXT(Overig!U860,""",""?00;"",""?-00;"",""?00;"", //"""),"'","""")&amp;SUBSTITUTE(TEXT(Overig!V860,""",""???0;"",""??-0;"",""???0;"", ///"""),"'","""")&amp;SUBSTITUTE(TEXT(Overig!W860,""",""?00;"",""?-00;"",""?00;"", //"""),"'","""")</f>
        <v>032, 19400802, 17.00, 7582, 00,  285, 00, ////, 07, ////, 07,  96, 00,  281, 00,  280, 00,   45, 00,    5, 00,   2, 00</v>
      </c>
    </row>
    <row r="861" spans="1:1" x14ac:dyDescent="0.25">
      <c r="A861" s="12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//"""),"'","""")&amp;SUBSTITUTE(TEXT(IF(ISTEXT(Overig!J861),Overig!J861,10*Overig!J861),""",""????0;"",""???-0;"",""????0;"", ////"""),"'","""")&amp;SUBSTITUTE(TEXT(Overig!K861,""",""?00;"",""?-00;"",""?00;"", //"""),"'","""")&amp;SUBSTITUTE(TEXT(Overig!L861,""",""???0;"",""??-0;"",""???0;"", ///"""),"'","""")&amp;SUBSTITUTE(TEXT(Overig!M861,""",""?00;"",""?-00;"",""?00;"", //"""),"'","""")&amp;SUBSTITUTE(TEXT(IF(ISTEXT(Overig!N861),Overig!N861,10*Overig!N861),""",""????0;"",""???-0;"",""????0;"", ////"""),"'","""")&amp;SUBSTITUTE(TEXT(Overig!O861,""",""?00;"",""?-00;"",""?00;"", //"""),"'","""")&amp;SUBSTITUTE(TEXT(IF(ISTEXT(Overig!P861),Overig!P861,10*Overig!P861),""",""????0;"",""???-0;"",""????0;"", ////"""),"'","""")&amp;SUBSTITUTE(TEXT(Overig!Q861,""",""?00;"",""?-00;"",""?00;"", //"""),"'","""")&amp;SUBSTITUTE(TEXT(Overig!R861,""",""????0;"",""???-0;"",""????0;"", ////"""),"'","""")&amp;SUBSTITUTE(TEXT(Overig!S861,""",""?00;"",""?-00;"",""?00;"", //"""),"'","""")&amp;SUBSTITUTE(TEXT(IF(ISTEXT(Overig!T861),Overig!T861,10*Overig!T861),""",""????0;"",""???-0;"",""????0;"", ////"""),"'","""")&amp;SUBSTITUTE(TEXT(Overig!U861,""",""?00;"",""?-00;"",""?00;"", //"""),"'","""")&amp;SUBSTITUTE(TEXT(Overig!V861,""",""???0;"",""??-0;"",""???0;"", ///"""),"'","""")&amp;SUBSTITUTE(TEXT(Overig!W861,""",""?00;"",""?-00;"",""?00;"", //"""),"'","""")</f>
        <v>032, 19400802, 24.00, ////, 07, ////, 07,  295, 00,  315, 00, ///, 07, ////, 07, ////, 07, ////, 07, ////, 07, ///, 07</v>
      </c>
    </row>
    <row r="862" spans="1:1" x14ac:dyDescent="0.25">
      <c r="A862" s="12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//"""),"'","""")&amp;SUBSTITUTE(TEXT(IF(ISTEXT(Overig!J862),Overig!J862,10*Overig!J862),""",""????0;"",""???-0;"",""????0;"", ////"""),"'","""")&amp;SUBSTITUTE(TEXT(Overig!K862,""",""?00;"",""?-00;"",""?00;"", //"""),"'","""")&amp;SUBSTITUTE(TEXT(Overig!L862,""",""???0;"",""??-0;"",""???0;"", ///"""),"'","""")&amp;SUBSTITUTE(TEXT(Overig!M862,""",""?00;"",""?-00;"",""?00;"", //"""),"'","""")&amp;SUBSTITUTE(TEXT(IF(ISTEXT(Overig!N862),Overig!N862,10*Overig!N862),""",""????0;"",""???-0;"",""????0;"", ////"""),"'","""")&amp;SUBSTITUTE(TEXT(Overig!O862,""",""?00;"",""?-00;"",""?00;"", //"""),"'","""")&amp;SUBSTITUTE(TEXT(IF(ISTEXT(Overig!P862),Overig!P862,10*Overig!P862),""",""????0;"",""???-0;"",""????0;"", ////"""),"'","""")&amp;SUBSTITUTE(TEXT(Overig!Q862,""",""?00;"",""?-00;"",""?00;"", //"""),"'","""")&amp;SUBSTITUTE(TEXT(Overig!R862,""",""????0;"",""???-0;"",""????0;"", ////"""),"'","""")&amp;SUBSTITUTE(TEXT(Overig!S862,""",""?00;"",""?-00;"",""?00;"", //"""),"'","""")&amp;SUBSTITUTE(TEXT(IF(ISTEXT(Overig!T862),Overig!T862,10*Overig!T862),""",""????0;"",""???-0;"",""????0;"", ////"""),"'","""")&amp;SUBSTITUTE(TEXT(Overig!U862,""",""?00;"",""?-00;"",""?00;"", //"""),"'","""")&amp;SUBSTITUTE(TEXT(Overig!V862,""",""???0;"",""??-0;"",""???0;"", ///"""),"'","""")&amp;SUBSTITUTE(TEXT(Overig!W862,""",""?00;"",""?-00;"",""?00;"", //"""),"'","""")</f>
        <v>032, 19400803, 07.00, 7607, 00,  289, 00, ////, 07, ////, 07,  93, 00,  279, 00,  280, 00,   65, 00,    4, 00,   3, 00</v>
      </c>
    </row>
    <row r="863" spans="1:1" x14ac:dyDescent="0.25">
      <c r="A863" s="12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//"""),"'","""")&amp;SUBSTITUTE(TEXT(IF(ISTEXT(Overig!J863),Overig!J863,10*Overig!J863),""",""????0;"",""???-0;"",""????0;"", ////"""),"'","""")&amp;SUBSTITUTE(TEXT(Overig!K863,""",""?00;"",""?-00;"",""?00;"", //"""),"'","""")&amp;SUBSTITUTE(TEXT(Overig!L863,""",""???0;"",""??-0;"",""???0;"", ///"""),"'","""")&amp;SUBSTITUTE(TEXT(Overig!M863,""",""?00;"",""?-00;"",""?00;"", //"""),"'","""")&amp;SUBSTITUTE(TEXT(IF(ISTEXT(Overig!N863),Overig!N863,10*Overig!N863),""",""????0;"",""???-0;"",""????0;"", ////"""),"'","""")&amp;SUBSTITUTE(TEXT(Overig!O863,""",""?00;"",""?-00;"",""?00;"", //"""),"'","""")&amp;SUBSTITUTE(TEXT(IF(ISTEXT(Overig!P863),Overig!P863,10*Overig!P863),""",""????0;"",""???-0;"",""????0;"", ////"""),"'","""")&amp;SUBSTITUTE(TEXT(Overig!Q863,""",""?00;"",""?-00;"",""?00;"", //"""),"'","""")&amp;SUBSTITUTE(TEXT(Overig!R863,""",""????0;"",""???-0;"",""????0;"", ////"""),"'","""")&amp;SUBSTITUTE(TEXT(Overig!S863,""",""?00;"",""?-00;"",""?00;"", //"""),"'","""")&amp;SUBSTITUTE(TEXT(IF(ISTEXT(Overig!T863),Overig!T863,10*Overig!T863),""",""????0;"",""???-0;"",""????0;"", ////"""),"'","""")&amp;SUBSTITUTE(TEXT(Overig!U863,""",""?00;"",""?-00;"",""?00;"", //"""),"'","""")&amp;SUBSTITUTE(TEXT(Overig!V863,""",""???0;"",""??-0;"",""???0;"", ///"""),"'","""")&amp;SUBSTITUTE(TEXT(Overig!W863,""",""?00;"",""?-00;"",""?00;"", //"""),"'","""")</f>
        <v>032, 19400803, 12.00, 7612, 00,  291, 00, ////, 07, ////, 07,  95, 00,  287, 00,  284, 00,   65, 00,    5, 00,   2, 00</v>
      </c>
    </row>
    <row r="864" spans="1:1" x14ac:dyDescent="0.25">
      <c r="A864" s="12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//"""),"'","""")&amp;SUBSTITUTE(TEXT(IF(ISTEXT(Overig!J864),Overig!J864,10*Overig!J864),""",""????0;"",""???-0;"",""????0;"", ////"""),"'","""")&amp;SUBSTITUTE(TEXT(Overig!K864,""",""?00;"",""?-00;"",""?00;"", //"""),"'","""")&amp;SUBSTITUTE(TEXT(Overig!L864,""",""???0;"",""??-0;"",""???0;"", ///"""),"'","""")&amp;SUBSTITUTE(TEXT(Overig!M864,""",""?00;"",""?-00;"",""?00;"", //"""),"'","""")&amp;SUBSTITUTE(TEXT(IF(ISTEXT(Overig!N864),Overig!N864,10*Overig!N864),""",""????0;"",""???-0;"",""????0;"", ////"""),"'","""")&amp;SUBSTITUTE(TEXT(Overig!O864,""",""?00;"",""?-00;"",""?00;"", //"""),"'","""")&amp;SUBSTITUTE(TEXT(IF(ISTEXT(Overig!P864),Overig!P864,10*Overig!P864),""",""????0;"",""???-0;"",""????0;"", ////"""),"'","""")&amp;SUBSTITUTE(TEXT(Overig!Q864,""",""?00;"",""?-00;"",""?00;"", //"""),"'","""")&amp;SUBSTITUTE(TEXT(Overig!R864,""",""????0;"",""???-0;"",""????0;"", ////"""),"'","""")&amp;SUBSTITUTE(TEXT(Overig!S864,""",""?00;"",""?-00;"",""?00;"", //"""),"'","""")&amp;SUBSTITUTE(TEXT(IF(ISTEXT(Overig!T864),Overig!T864,10*Overig!T864),""",""????0;"",""???-0;"",""????0;"", ////"""),"'","""")&amp;SUBSTITUTE(TEXT(Overig!U864,""",""?00;"",""?-00;"",""?00;"", //"""),"'","""")&amp;SUBSTITUTE(TEXT(Overig!V864,""",""???0;"",""??-0;"",""???0;"", ///"""),"'","""")&amp;SUBSTITUTE(TEXT(Overig!W864,""",""?00;"",""?-00;"",""?00;"", //"""),"'","""")</f>
        <v>032, 19400803, 17.00, 7582, 00,  289, 00, ////, 07, ////, 07,  93, 00,  279, 00,  280, 00,   65, 00,    5, 00,   2, 00</v>
      </c>
    </row>
    <row r="865" spans="1:1" x14ac:dyDescent="0.25">
      <c r="A865" s="12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//"""),"'","""")&amp;SUBSTITUTE(TEXT(IF(ISTEXT(Overig!J865),Overig!J865,10*Overig!J865),""",""????0;"",""???-0;"",""????0;"", ////"""),"'","""")&amp;SUBSTITUTE(TEXT(Overig!K865,""",""?00;"",""?-00;"",""?00;"", //"""),"'","""")&amp;SUBSTITUTE(TEXT(Overig!L865,""",""???0;"",""??-0;"",""???0;"", ///"""),"'","""")&amp;SUBSTITUTE(TEXT(Overig!M865,""",""?00;"",""?-00;"",""?00;"", //"""),"'","""")&amp;SUBSTITUTE(TEXT(IF(ISTEXT(Overig!N865),Overig!N865,10*Overig!N865),""",""????0;"",""???-0;"",""????0;"", ////"""),"'","""")&amp;SUBSTITUTE(TEXT(Overig!O865,""",""?00;"",""?-00;"",""?00;"", //"""),"'","""")&amp;SUBSTITUTE(TEXT(IF(ISTEXT(Overig!P865),Overig!P865,10*Overig!P865),""",""????0;"",""???-0;"",""????0;"", ////"""),"'","""")&amp;SUBSTITUTE(TEXT(Overig!Q865,""",""?00;"",""?-00;"",""?00;"", //"""),"'","""")&amp;SUBSTITUTE(TEXT(Overig!R865,""",""????0;"",""???-0;"",""????0;"", ////"""),"'","""")&amp;SUBSTITUTE(TEXT(Overig!S865,""",""?00;"",""?-00;"",""?00;"", //"""),"'","""")&amp;SUBSTITUTE(TEXT(IF(ISTEXT(Overig!T865),Overig!T865,10*Overig!T865),""",""????0;"",""???-0;"",""????0;"", ////"""),"'","""")&amp;SUBSTITUTE(TEXT(Overig!U865,""",""?00;"",""?-00;"",""?00;"", //"""),"'","""")&amp;SUBSTITUTE(TEXT(Overig!V865,""",""???0;"",""??-0;"",""???0;"", ///"""),"'","""")&amp;SUBSTITUTE(TEXT(Overig!W865,""",""?00;"",""?-00;"",""?00;"", //"""),"'","""")</f>
        <v>032, 19400803, 24.00, ////, 07, ////, 07,  300, 00,  310, 00, ///, 07, ////, 07, ////, 07, ////, 07, ////, 07, ///, 07</v>
      </c>
    </row>
    <row r="866" spans="1:1" x14ac:dyDescent="0.25">
      <c r="A866" s="12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//"""),"'","""")&amp;SUBSTITUTE(TEXT(IF(ISTEXT(Overig!J866),Overig!J866,10*Overig!J866),""",""????0;"",""???-0;"",""????0;"", ////"""),"'","""")&amp;SUBSTITUTE(TEXT(Overig!K866,""",""?00;"",""?-00;"",""?00;"", //"""),"'","""")&amp;SUBSTITUTE(TEXT(Overig!L866,""",""???0;"",""??-0;"",""???0;"", ///"""),"'","""")&amp;SUBSTITUTE(TEXT(Overig!M866,""",""?00;"",""?-00;"",""?00;"", //"""),"'","""")&amp;SUBSTITUTE(TEXT(IF(ISTEXT(Overig!N866),Overig!N866,10*Overig!N866),""",""????0;"",""???-0;"",""????0;"", ////"""),"'","""")&amp;SUBSTITUTE(TEXT(Overig!O866,""",""?00;"",""?-00;"",""?00;"", //"""),"'","""")&amp;SUBSTITUTE(TEXT(IF(ISTEXT(Overig!P866),Overig!P866,10*Overig!P866),""",""????0;"",""???-0;"",""????0;"", ////"""),"'","""")&amp;SUBSTITUTE(TEXT(Overig!Q866,""",""?00;"",""?-00;"",""?00;"", //"""),"'","""")&amp;SUBSTITUTE(TEXT(Overig!R866,""",""????0;"",""???-0;"",""????0;"", ////"""),"'","""")&amp;SUBSTITUTE(TEXT(Overig!S866,""",""?00;"",""?-00;"",""?00;"", //"""),"'","""")&amp;SUBSTITUTE(TEXT(IF(ISTEXT(Overig!T866),Overig!T866,10*Overig!T866),""",""????0;"",""???-0;"",""????0;"", ////"""),"'","""")&amp;SUBSTITUTE(TEXT(Overig!U866,""",""?00;"",""?-00;"",""?00;"", //"""),"'","""")&amp;SUBSTITUTE(TEXT(Overig!V866,""",""???0;"",""??-0;"",""???0;"", ///"""),"'","""")&amp;SUBSTITUTE(TEXT(Overig!W866,""",""?00;"",""?-00;"",""?00;"", //"""),"'","""")</f>
        <v>032, 19400804, 07.00, 7607, 00,  285, 00, ////, 07, ////, 07,  98, 00,  285, 00,  282, 00,   65, 00,    5, 00,   3, 00</v>
      </c>
    </row>
    <row r="867" spans="1:1" x14ac:dyDescent="0.25">
      <c r="A867" s="12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//"""),"'","""")&amp;SUBSTITUTE(TEXT(IF(ISTEXT(Overig!J867),Overig!J867,10*Overig!J867),""",""????0;"",""???-0;"",""????0;"", ////"""),"'","""")&amp;SUBSTITUTE(TEXT(Overig!K867,""",""?00;"",""?-00;"",""?00;"", //"""),"'","""")&amp;SUBSTITUTE(TEXT(Overig!L867,""",""???0;"",""??-0;"",""???0;"", ///"""),"'","""")&amp;SUBSTITUTE(TEXT(Overig!M867,""",""?00;"",""?-00;"",""?00;"", //"""),"'","""")&amp;SUBSTITUTE(TEXT(IF(ISTEXT(Overig!N867),Overig!N867,10*Overig!N867),""",""????0;"",""???-0;"",""????0;"", ////"""),"'","""")&amp;SUBSTITUTE(TEXT(Overig!O867,""",""?00;"",""?-00;"",""?00;"", //"""),"'","""")&amp;SUBSTITUTE(TEXT(IF(ISTEXT(Overig!P867),Overig!P867,10*Overig!P867),""",""????0;"",""???-0;"",""????0;"", ////"""),"'","""")&amp;SUBSTITUTE(TEXT(Overig!Q867,""",""?00;"",""?-00;"",""?00;"", //"""),"'","""")&amp;SUBSTITUTE(TEXT(Overig!R867,""",""????0;"",""???-0;"",""????0;"", ////"""),"'","""")&amp;SUBSTITUTE(TEXT(Overig!S867,""",""?00;"",""?-00;"",""?00;"", //"""),"'","""")&amp;SUBSTITUTE(TEXT(IF(ISTEXT(Overig!T867),Overig!T867,10*Overig!T867),""",""????0;"",""???-0;"",""????0;"", ////"""),"'","""")&amp;SUBSTITUTE(TEXT(Overig!U867,""",""?00;"",""?-00;"",""?00;"", //"""),"'","""")&amp;SUBSTITUTE(TEXT(Overig!V867,""",""???0;"",""??-0;"",""???0;"", ///"""),"'","""")&amp;SUBSTITUTE(TEXT(Overig!W867,""",""?00;"",""?-00;"",""?00;"", //"""),"'","""")</f>
        <v>032, 19400804, 12.00, 7612, 00,  287, 00, ////, 07, ////, 07,  96, 00,  284, 00,  282, 00,   45, 00,    5, 00,   2, 00</v>
      </c>
    </row>
    <row r="868" spans="1:1" x14ac:dyDescent="0.25">
      <c r="A868" s="12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//"""),"'","""")&amp;SUBSTITUTE(TEXT(IF(ISTEXT(Overig!J868),Overig!J868,10*Overig!J868),""",""????0;"",""???-0;"",""????0;"", ////"""),"'","""")&amp;SUBSTITUTE(TEXT(Overig!K868,""",""?00;"",""?-00;"",""?00;"", //"""),"'","""")&amp;SUBSTITUTE(TEXT(Overig!L868,""",""???0;"",""??-0;"",""???0;"", ///"""),"'","""")&amp;SUBSTITUTE(TEXT(Overig!M868,""",""?00;"",""?-00;"",""?00;"", //"""),"'","""")&amp;SUBSTITUTE(TEXT(IF(ISTEXT(Overig!N868),Overig!N868,10*Overig!N868),""",""????0;"",""???-0;"",""????0;"", ////"""),"'","""")&amp;SUBSTITUTE(TEXT(Overig!O868,""",""?00;"",""?-00;"",""?00;"", //"""),"'","""")&amp;SUBSTITUTE(TEXT(IF(ISTEXT(Overig!P868),Overig!P868,10*Overig!P868),""",""????0;"",""???-0;"",""????0;"", ////"""),"'","""")&amp;SUBSTITUTE(TEXT(Overig!Q868,""",""?00;"",""?-00;"",""?00;"", //"""),"'","""")&amp;SUBSTITUTE(TEXT(Overig!R868,""",""????0;"",""???-0;"",""????0;"", ////"""),"'","""")&amp;SUBSTITUTE(TEXT(Overig!S868,""",""?00;"",""?-00;"",""?00;"", //"""),"'","""")&amp;SUBSTITUTE(TEXT(IF(ISTEXT(Overig!T868),Overig!T868,10*Overig!T868),""",""????0;"",""???-0;"",""????0;"", ////"""),"'","""")&amp;SUBSTITUTE(TEXT(Overig!U868,""",""?00;"",""?-00;"",""?00;"", //"""),"'","""")&amp;SUBSTITUTE(TEXT(Overig!V868,""",""???0;"",""??-0;"",""???0;"", ///"""),"'","""")&amp;SUBSTITUTE(TEXT(Overig!W868,""",""?00;"",""?-00;"",""?00;"", //"""),"'","""")</f>
        <v>032, 19400804, 17.00, 7607, 00,  283, 00, ////, 07, ////, 07,  98, 00,  282, 00,  280, 00,   45, 00,    5, 00,   2, 00</v>
      </c>
    </row>
    <row r="869" spans="1:1" x14ac:dyDescent="0.25">
      <c r="A869" s="12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//"""),"'","""")&amp;SUBSTITUTE(TEXT(IF(ISTEXT(Overig!J869),Overig!J869,10*Overig!J869),""",""????0;"",""???-0;"",""????0;"", ////"""),"'","""")&amp;SUBSTITUTE(TEXT(Overig!K869,""",""?00;"",""?-00;"",""?00;"", //"""),"'","""")&amp;SUBSTITUTE(TEXT(Overig!L869,""",""???0;"",""??-0;"",""???0;"", ///"""),"'","""")&amp;SUBSTITUTE(TEXT(Overig!M869,""",""?00;"",""?-00;"",""?00;"", //"""),"'","""")&amp;SUBSTITUTE(TEXT(IF(ISTEXT(Overig!N869),Overig!N869,10*Overig!N869),""",""????0;"",""???-0;"",""????0;"", ////"""),"'","""")&amp;SUBSTITUTE(TEXT(Overig!O869,""",""?00;"",""?-00;"",""?00;"", //"""),"'","""")&amp;SUBSTITUTE(TEXT(IF(ISTEXT(Overig!P869),Overig!P869,10*Overig!P869),""",""????0;"",""???-0;"",""????0;"", ////"""),"'","""")&amp;SUBSTITUTE(TEXT(Overig!Q869,""",""?00;"",""?-00;"",""?00;"", //"""),"'","""")&amp;SUBSTITUTE(TEXT(Overig!R869,""",""????0;"",""???-0;"",""????0;"", ////"""),"'","""")&amp;SUBSTITUTE(TEXT(Overig!S869,""",""?00;"",""?-00;"",""?00;"", //"""),"'","""")&amp;SUBSTITUTE(TEXT(IF(ISTEXT(Overig!T869),Overig!T869,10*Overig!T869),""",""????0;"",""???-0;"",""????0;"", ////"""),"'","""")&amp;SUBSTITUTE(TEXT(Overig!U869,""",""?00;"",""?-00;"",""?00;"", //"""),"'","""")&amp;SUBSTITUTE(TEXT(Overig!V869,""",""???0;"",""??-0;"",""???0;"", ///"""),"'","""")&amp;SUBSTITUTE(TEXT(Overig!W869,""",""?00;"",""?-00;"",""?00;"", //"""),"'","""")</f>
        <v>032, 19400804, 24.00, ////, 07, ////, 07,  296, 00,  310, 00, ///, 07, ////, 07, ////, 07, ////, 07, ////, 07, ///, 07</v>
      </c>
    </row>
    <row r="870" spans="1:1" x14ac:dyDescent="0.25">
      <c r="A870" s="12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//"""),"'","""")&amp;SUBSTITUTE(TEXT(IF(ISTEXT(Overig!J870),Overig!J870,10*Overig!J870),""",""????0;"",""???-0;"",""????0;"", ////"""),"'","""")&amp;SUBSTITUTE(TEXT(Overig!K870,""",""?00;"",""?-00;"",""?00;"", //"""),"'","""")&amp;SUBSTITUTE(TEXT(Overig!L870,""",""???0;"",""??-0;"",""???0;"", ///"""),"'","""")&amp;SUBSTITUTE(TEXT(Overig!M870,""",""?00;"",""?-00;"",""?00;"", //"""),"'","""")&amp;SUBSTITUTE(TEXT(IF(ISTEXT(Overig!N870),Overig!N870,10*Overig!N870),""",""????0;"",""???-0;"",""????0;"", ////"""),"'","""")&amp;SUBSTITUTE(TEXT(Overig!O870,""",""?00;"",""?-00;"",""?00;"", //"""),"'","""")&amp;SUBSTITUTE(TEXT(IF(ISTEXT(Overig!P870),Overig!P870,10*Overig!P870),""",""????0;"",""???-0;"",""????0;"", ////"""),"'","""")&amp;SUBSTITUTE(TEXT(Overig!Q870,""",""?00;"",""?-00;"",""?00;"", //"""),"'","""")&amp;SUBSTITUTE(TEXT(Overig!R870,""",""????0;"",""???-0;"",""????0;"", ////"""),"'","""")&amp;SUBSTITUTE(TEXT(Overig!S870,""",""?00;"",""?-00;"",""?00;"", //"""),"'","""")&amp;SUBSTITUTE(TEXT(IF(ISTEXT(Overig!T870),Overig!T870,10*Overig!T870),""",""????0;"",""???-0;"",""????0;"", ////"""),"'","""")&amp;SUBSTITUTE(TEXT(Overig!U870,""",""?00;"",""?-00;"",""?00;"", //"""),"'","""")&amp;SUBSTITUTE(TEXT(Overig!V870,""",""???0;"",""??-0;"",""???0;"", ///"""),"'","""")&amp;SUBSTITUTE(TEXT(Overig!W870,""",""?00;"",""?-00;"",""?00;"", //"""),"'","""")</f>
        <v>032, 19400805, 07.00, 7610, 00,  281, 00, ////, 07, ////, 07,  94, 00,  268, 00,  273, 00,   45, 00,    5, 00,   2, 00</v>
      </c>
    </row>
    <row r="871" spans="1:1" x14ac:dyDescent="0.25">
      <c r="A871" s="12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//"""),"'","""")&amp;SUBSTITUTE(TEXT(IF(ISTEXT(Overig!J871),Overig!J871,10*Overig!J871),""",""????0;"",""???-0;"",""????0;"", ////"""),"'","""")&amp;SUBSTITUTE(TEXT(Overig!K871,""",""?00;"",""?-00;"",""?00;"", //"""),"'","""")&amp;SUBSTITUTE(TEXT(Overig!L871,""",""???0;"",""??-0;"",""???0;"", ///"""),"'","""")&amp;SUBSTITUTE(TEXT(Overig!M871,""",""?00;"",""?-00;"",""?00;"", //"""),"'","""")&amp;SUBSTITUTE(TEXT(IF(ISTEXT(Overig!N871),Overig!N871,10*Overig!N871),""",""????0;"",""???-0;"",""????0;"", ////"""),"'","""")&amp;SUBSTITUTE(TEXT(Overig!O871,""",""?00;"",""?-00;"",""?00;"", //"""),"'","""")&amp;SUBSTITUTE(TEXT(IF(ISTEXT(Overig!P871),Overig!P871,10*Overig!P871),""",""????0;"",""???-0;"",""????0;"", ////"""),"'","""")&amp;SUBSTITUTE(TEXT(Overig!Q871,""",""?00;"",""?-00;"",""?00;"", //"""),"'","""")&amp;SUBSTITUTE(TEXT(Overig!R871,""",""????0;"",""???-0;"",""????0;"", ////"""),"'","""")&amp;SUBSTITUTE(TEXT(Overig!S871,""",""?00;"",""?-00;"",""?00;"", //"""),"'","""")&amp;SUBSTITUTE(TEXT(IF(ISTEXT(Overig!T871),Overig!T871,10*Overig!T871),""",""????0;"",""???-0;"",""????0;"", ////"""),"'","""")&amp;SUBSTITUTE(TEXT(Overig!U871,""",""?00;"",""?-00;"",""?00;"", //"""),"'","""")&amp;SUBSTITUTE(TEXT(Overig!V871,""",""???0;"",""??-0;"",""???0;"", ///"""),"'","""")&amp;SUBSTITUTE(TEXT(Overig!W871,""",""?00;"",""?-00;"",""?00;"", //"""),"'","""")</f>
        <v>032, 19400805, 12.00, 7612, 00,  287, 00, ////, 07, ////, 07,  98, 00,  289, 00,  284, 00,   25, 00,    6, 00,   2, 00</v>
      </c>
    </row>
    <row r="872" spans="1:1" x14ac:dyDescent="0.25">
      <c r="A872" s="12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//"""),"'","""")&amp;SUBSTITUTE(TEXT(IF(ISTEXT(Overig!J872),Overig!J872,10*Overig!J872),""",""????0;"",""???-0;"",""????0;"", ////"""),"'","""")&amp;SUBSTITUTE(TEXT(Overig!K872,""",""?00;"",""?-00;"",""?00;"", //"""),"'","""")&amp;SUBSTITUTE(TEXT(Overig!L872,""",""???0;"",""??-0;"",""???0;"", ///"""),"'","""")&amp;SUBSTITUTE(TEXT(Overig!M872,""",""?00;"",""?-00;"",""?00;"", //"""),"'","""")&amp;SUBSTITUTE(TEXT(IF(ISTEXT(Overig!N872),Overig!N872,10*Overig!N872),""",""????0;"",""???-0;"",""????0;"", ////"""),"'","""")&amp;SUBSTITUTE(TEXT(Overig!O872,""",""?00;"",""?-00;"",""?00;"", //"""),"'","""")&amp;SUBSTITUTE(TEXT(IF(ISTEXT(Overig!P872),Overig!P872,10*Overig!P872),""",""????0;"",""???-0;"",""????0;"", ////"""),"'","""")&amp;SUBSTITUTE(TEXT(Overig!Q872,""",""?00;"",""?-00;"",""?00;"", //"""),"'","""")&amp;SUBSTITUTE(TEXT(Overig!R872,""",""????0;"",""???-0;"",""????0;"", ////"""),"'","""")&amp;SUBSTITUTE(TEXT(Overig!S872,""",""?00;"",""?-00;"",""?00;"", //"""),"'","""")&amp;SUBSTITUTE(TEXT(IF(ISTEXT(Overig!T872),Overig!T872,10*Overig!T872),""",""????0;"",""???-0;"",""????0;"", ////"""),"'","""")&amp;SUBSTITUTE(TEXT(Overig!U872,""",""?00;"",""?-00;"",""?00;"", //"""),"'","""")&amp;SUBSTITUTE(TEXT(Overig!V872,""",""???0;"",""??-0;"",""???0;"", ///"""),"'","""")&amp;SUBSTITUTE(TEXT(Overig!W872,""",""?00;"",""?-00;"",""?00;"", //"""),"'","""")</f>
        <v>032, 19400805, 17.00, 7607, 00,  285, 00, ////, 07, ////, 07,  95, 00,  277, 00,  278, 00,   25, 00,    6, 00,   2, 00</v>
      </c>
    </row>
    <row r="873" spans="1:1" x14ac:dyDescent="0.25">
      <c r="A873" s="12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//"""),"'","""")&amp;SUBSTITUTE(TEXT(IF(ISTEXT(Overig!J873),Overig!J873,10*Overig!J873),""",""????0;"",""???-0;"",""????0;"", ////"""),"'","""")&amp;SUBSTITUTE(TEXT(Overig!K873,""",""?00;"",""?-00;"",""?00;"", //"""),"'","""")&amp;SUBSTITUTE(TEXT(Overig!L873,""",""???0;"",""??-0;"",""???0;"", ///"""),"'","""")&amp;SUBSTITUTE(TEXT(Overig!M873,""",""?00;"",""?-00;"",""?00;"", //"""),"'","""")&amp;SUBSTITUTE(TEXT(IF(ISTEXT(Overig!N873),Overig!N873,10*Overig!N873),""",""????0;"",""???-0;"",""????0;"", ////"""),"'","""")&amp;SUBSTITUTE(TEXT(Overig!O873,""",""?00;"",""?-00;"",""?00;"", //"""),"'","""")&amp;SUBSTITUTE(TEXT(IF(ISTEXT(Overig!P873),Overig!P873,10*Overig!P873),""",""????0;"",""???-0;"",""????0;"", ////"""),"'","""")&amp;SUBSTITUTE(TEXT(Overig!Q873,""",""?00;"",""?-00;"",""?00;"", //"""),"'","""")&amp;SUBSTITUTE(TEXT(Overig!R873,""",""????0;"",""???-0;"",""????0;"", ////"""),"'","""")&amp;SUBSTITUTE(TEXT(Overig!S873,""",""?00;"",""?-00;"",""?00;"", //"""),"'","""")&amp;SUBSTITUTE(TEXT(IF(ISTEXT(Overig!T873),Overig!T873,10*Overig!T873),""",""????0;"",""???-0;"",""????0;"", ////"""),"'","""")&amp;SUBSTITUTE(TEXT(Overig!U873,""",""?00;"",""?-00;"",""?00;"", //"""),"'","""")&amp;SUBSTITUTE(TEXT(Overig!V873,""",""???0;"",""??-0;"",""???0;"", ///"""),"'","""")&amp;SUBSTITUTE(TEXT(Overig!W873,""",""?00;"",""?-00;"",""?00;"", //"""),"'","""")</f>
        <v>032, 19400805, 24.00, ////, 07, ////, 07,  290, 00,  305, 00, ///, 07, ////, 07, ////, 07, ////, 07, ////, 07, ///, 07</v>
      </c>
    </row>
    <row r="874" spans="1:1" x14ac:dyDescent="0.25">
      <c r="A874" s="12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//"""),"'","""")&amp;SUBSTITUTE(TEXT(IF(ISTEXT(Overig!J874),Overig!J874,10*Overig!J874),""",""????0;"",""???-0;"",""????0;"", ////"""),"'","""")&amp;SUBSTITUTE(TEXT(Overig!K874,""",""?00;"",""?-00;"",""?00;"", //"""),"'","""")&amp;SUBSTITUTE(TEXT(Overig!L874,""",""???0;"",""??-0;"",""???0;"", ///"""),"'","""")&amp;SUBSTITUTE(TEXT(Overig!M874,""",""?00;"",""?-00;"",""?00;"", //"""),"'","""")&amp;SUBSTITUTE(TEXT(IF(ISTEXT(Overig!N874),Overig!N874,10*Overig!N874),""",""????0;"",""???-0;"",""????0;"", ////"""),"'","""")&amp;SUBSTITUTE(TEXT(Overig!O874,""",""?00;"",""?-00;"",""?00;"", //"""),"'","""")&amp;SUBSTITUTE(TEXT(IF(ISTEXT(Overig!P874),Overig!P874,10*Overig!P874),""",""????0;"",""???-0;"",""????0;"", ////"""),"'","""")&amp;SUBSTITUTE(TEXT(Overig!Q874,""",""?00;"",""?-00;"",""?00;"", //"""),"'","""")&amp;SUBSTITUTE(TEXT(Overig!R874,""",""????0;"",""???-0;"",""????0;"", ////"""),"'","""")&amp;SUBSTITUTE(TEXT(Overig!S874,""",""?00;"",""?-00;"",""?00;"", //"""),"'","""")&amp;SUBSTITUTE(TEXT(IF(ISTEXT(Overig!T874),Overig!T874,10*Overig!T874),""",""????0;"",""???-0;"",""????0;"", ////"""),"'","""")&amp;SUBSTITUTE(TEXT(Overig!U874,""",""?00;"",""?-00;"",""?00;"", //"""),"'","""")&amp;SUBSTITUTE(TEXT(Overig!V874,""",""???0;"",""??-0;"",""???0;"", ///"""),"'","""")&amp;SUBSTITUTE(TEXT(Overig!W874,""",""?00;"",""?-00;"",""?00;"", //"""),"'","""")</f>
        <v>032, 19400806, 07.00, 7582, 00,  279, 00, ////, 07, ////, 07,  96, 00,  271, 00,  274, 00,   65, 00,    6, 00,   2, 00</v>
      </c>
    </row>
    <row r="875" spans="1:1" x14ac:dyDescent="0.25">
      <c r="A875" s="12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//"""),"'","""")&amp;SUBSTITUTE(TEXT(IF(ISTEXT(Overig!J875),Overig!J875,10*Overig!J875),""",""????0;"",""???-0;"",""????0;"", ////"""),"'","""")&amp;SUBSTITUTE(TEXT(Overig!K875,""",""?00;"",""?-00;"",""?00;"", //"""),"'","""")&amp;SUBSTITUTE(TEXT(Overig!L875,""",""???0;"",""??-0;"",""???0;"", ///"""),"'","""")&amp;SUBSTITUTE(TEXT(Overig!M875,""",""?00;"",""?-00;"",""?00;"", //"""),"'","""")&amp;SUBSTITUTE(TEXT(IF(ISTEXT(Overig!N875),Overig!N875,10*Overig!N875),""",""????0;"",""???-0;"",""????0;"", ////"""),"'","""")&amp;SUBSTITUTE(TEXT(Overig!O875,""",""?00;"",""?-00;"",""?00;"", //"""),"'","""")&amp;SUBSTITUTE(TEXT(IF(ISTEXT(Overig!P875),Overig!P875,10*Overig!P875),""",""????0;"",""???-0;"",""????0;"", ////"""),"'","""")&amp;SUBSTITUTE(TEXT(Overig!Q875,""",""?00;"",""?-00;"",""?00;"", //"""),"'","""")&amp;SUBSTITUTE(TEXT(Overig!R875,""",""????0;"",""???-0;"",""????0;"", ////"""),"'","""")&amp;SUBSTITUTE(TEXT(Overig!S875,""",""?00;"",""?-00;"",""?00;"", //"""),"'","""")&amp;SUBSTITUTE(TEXT(IF(ISTEXT(Overig!T875),Overig!T875,10*Overig!T875),""",""????0;"",""???-0;"",""????0;"", ////"""),"'","""")&amp;SUBSTITUTE(TEXT(Overig!U875,""",""?00;"",""?-00;"",""?00;"", //"""),"'","""")&amp;SUBSTITUTE(TEXT(Overig!V875,""",""???0;"",""??-0;"",""???0;"", ///"""),"'","""")&amp;SUBSTITUTE(TEXT(Overig!W875,""",""?00;"",""?-00;"",""?00;"", //"""),"'","""")</f>
        <v>032, 19400806, 12.00, 7602, 00,  289, 00, ////, 07, ////, 07,  96, 00,  288, 00,  284, 00,   45, 00,    7, 00,   2, 00</v>
      </c>
    </row>
    <row r="876" spans="1:1" x14ac:dyDescent="0.25">
      <c r="A876" s="12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//"""),"'","""")&amp;SUBSTITUTE(TEXT(IF(ISTEXT(Overig!J876),Overig!J876,10*Overig!J876),""",""????0;"",""???-0;"",""????0;"", ////"""),"'","""")&amp;SUBSTITUTE(TEXT(Overig!K876,""",""?00;"",""?-00;"",""?00;"", //"""),"'","""")&amp;SUBSTITUTE(TEXT(Overig!L876,""",""???0;"",""??-0;"",""???0;"", ///"""),"'","""")&amp;SUBSTITUTE(TEXT(Overig!M876,""",""?00;"",""?-00;"",""?00;"", //"""),"'","""")&amp;SUBSTITUTE(TEXT(IF(ISTEXT(Overig!N876),Overig!N876,10*Overig!N876),""",""????0;"",""???-0;"",""????0;"", ////"""),"'","""")&amp;SUBSTITUTE(TEXT(Overig!O876,""",""?00;"",""?-00;"",""?00;"", //"""),"'","""")&amp;SUBSTITUTE(TEXT(IF(ISTEXT(Overig!P876),Overig!P876,10*Overig!P876),""",""????0;"",""???-0;"",""????0;"", ////"""),"'","""")&amp;SUBSTITUTE(TEXT(Overig!Q876,""",""?00;"",""?-00;"",""?00;"", //"""),"'","""")&amp;SUBSTITUTE(TEXT(Overig!R876,""",""????0;"",""???-0;"",""????0;"", ////"""),"'","""")&amp;SUBSTITUTE(TEXT(Overig!S876,""",""?00;"",""?-00;"",""?00;"", //"""),"'","""")&amp;SUBSTITUTE(TEXT(IF(ISTEXT(Overig!T876),Overig!T876,10*Overig!T876),""",""????0;"",""???-0;"",""????0;"", ////"""),"'","""")&amp;SUBSTITUTE(TEXT(Overig!U876,""",""?00;"",""?-00;"",""?00;"", //"""),"'","""")&amp;SUBSTITUTE(TEXT(Overig!V876,""",""???0;"",""??-0;"",""???0;"", ///"""),"'","""")&amp;SUBSTITUTE(TEXT(Overig!W876,""",""?00;"",""?-00;"",""?00;"", //"""),"'","""")</f>
        <v>032, 19400806, 17.00, 7574, 00,  281, 00, ////, 07, ////, 07,  98, 00,  279, 00,  278, 00,   45, 00,    7, 00,   2, 00</v>
      </c>
    </row>
    <row r="877" spans="1:1" x14ac:dyDescent="0.25">
      <c r="A877" s="12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//"""),"'","""")&amp;SUBSTITUTE(TEXT(IF(ISTEXT(Overig!J877),Overig!J877,10*Overig!J877),""",""????0;"",""???-0;"",""????0;"", ////"""),"'","""")&amp;SUBSTITUTE(TEXT(Overig!K877,""",""?00;"",""?-00;"",""?00;"", //"""),"'","""")&amp;SUBSTITUTE(TEXT(Overig!L877,""",""???0;"",""??-0;"",""???0;"", ///"""),"'","""")&amp;SUBSTITUTE(TEXT(Overig!M877,""",""?00;"",""?-00;"",""?00;"", //"""),"'","""")&amp;SUBSTITUTE(TEXT(IF(ISTEXT(Overig!N877),Overig!N877,10*Overig!N877),""",""????0;"",""???-0;"",""????0;"", ////"""),"'","""")&amp;SUBSTITUTE(TEXT(Overig!O877,""",""?00;"",""?-00;"",""?00;"", //"""),"'","""")&amp;SUBSTITUTE(TEXT(IF(ISTEXT(Overig!P877),Overig!P877,10*Overig!P877),""",""????0;"",""???-0;"",""????0;"", ////"""),"'","""")&amp;SUBSTITUTE(TEXT(Overig!Q877,""",""?00;"",""?-00;"",""?00;"", //"""),"'","""")&amp;SUBSTITUTE(TEXT(Overig!R877,""",""????0;"",""???-0;"",""????0;"", ////"""),"'","""")&amp;SUBSTITUTE(TEXT(Overig!S877,""",""?00;"",""?-00;"",""?00;"", //"""),"'","""")&amp;SUBSTITUTE(TEXT(IF(ISTEXT(Overig!T877),Overig!T877,10*Overig!T877),""",""????0;"",""???-0;"",""????0;"", ////"""),"'","""")&amp;SUBSTITUTE(TEXT(Overig!U877,""",""?00;"",""?-00;"",""?00;"", //"""),"'","""")&amp;SUBSTITUTE(TEXT(Overig!V877,""",""???0;"",""??-0;"",""???0;"", ///"""),"'","""")&amp;SUBSTITUTE(TEXT(Overig!W877,""",""?00;"",""?-00;"",""?00;"", //"""),"'","""")</f>
        <v>032, 19400806, 24.00, ////, 07, ////, 07,  284, 00,  314, 00, ///, 07, ////, 07, ////, 07, ////, 07, ////, 07, ///, 07</v>
      </c>
    </row>
    <row r="878" spans="1:1" x14ac:dyDescent="0.25">
      <c r="A878" s="12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//"""),"'","""")&amp;SUBSTITUTE(TEXT(IF(ISTEXT(Overig!J878),Overig!J878,10*Overig!J878),""",""????0;"",""???-0;"",""????0;"", ////"""),"'","""")&amp;SUBSTITUTE(TEXT(Overig!K878,""",""?00;"",""?-00;"",""?00;"", //"""),"'","""")&amp;SUBSTITUTE(TEXT(Overig!L878,""",""???0;"",""??-0;"",""???0;"", ///"""),"'","""")&amp;SUBSTITUTE(TEXT(Overig!M878,""",""?00;"",""?-00;"",""?00;"", //"""),"'","""")&amp;SUBSTITUTE(TEXT(IF(ISTEXT(Overig!N878),Overig!N878,10*Overig!N878),""",""????0;"",""???-0;"",""????0;"", ////"""),"'","""")&amp;SUBSTITUTE(TEXT(Overig!O878,""",""?00;"",""?-00;"",""?00;"", //"""),"'","""")&amp;SUBSTITUTE(TEXT(IF(ISTEXT(Overig!P878),Overig!P878,10*Overig!P878),""",""????0;"",""???-0;"",""????0;"", ////"""),"'","""")&amp;SUBSTITUTE(TEXT(Overig!Q878,""",""?00;"",""?-00;"",""?00;"", //"""),"'","""")&amp;SUBSTITUTE(TEXT(Overig!R878,""",""????0;"",""???-0;"",""????0;"", ////"""),"'","""")&amp;SUBSTITUTE(TEXT(Overig!S878,""",""?00;"",""?-00;"",""?00;"", //"""),"'","""")&amp;SUBSTITUTE(TEXT(IF(ISTEXT(Overig!T878),Overig!T878,10*Overig!T878),""",""????0;"",""???-0;"",""????0;"", ////"""),"'","""")&amp;SUBSTITUTE(TEXT(Overig!U878,""",""?00;"",""?-00;"",""?00;"", //"""),"'","""")&amp;SUBSTITUTE(TEXT(Overig!V878,""",""???0;"",""??-0;"",""???0;"", ///"""),"'","""")&amp;SUBSTITUTE(TEXT(Overig!W878,""",""?00;"",""?-00;"",""?00;"", //"""),"'","""")</f>
        <v>032, 19400807, 07.00, 7600, 00,  279, 00, ////, 07, ////, 07,  93, 00,  263, 00,  244, 00,   65, 00,    6, 00,   3, 00</v>
      </c>
    </row>
    <row r="879" spans="1:1" x14ac:dyDescent="0.25">
      <c r="A879" s="12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//"""),"'","""")&amp;SUBSTITUTE(TEXT(IF(ISTEXT(Overig!J879),Overig!J879,10*Overig!J879),""",""????0;"",""???-0;"",""????0;"", ////"""),"'","""")&amp;SUBSTITUTE(TEXT(Overig!K879,""",""?00;"",""?-00;"",""?00;"", //"""),"'","""")&amp;SUBSTITUTE(TEXT(Overig!L879,""",""???0;"",""??-0;"",""???0;"", ///"""),"'","""")&amp;SUBSTITUTE(TEXT(Overig!M879,""",""?00;"",""?-00;"",""?00;"", //"""),"'","""")&amp;SUBSTITUTE(TEXT(IF(ISTEXT(Overig!N879),Overig!N879,10*Overig!N879),""",""????0;"",""???-0;"",""????0;"", ////"""),"'","""")&amp;SUBSTITUTE(TEXT(Overig!O879,""",""?00;"",""?-00;"",""?00;"", //"""),"'","""")&amp;SUBSTITUTE(TEXT(IF(ISTEXT(Overig!P879),Overig!P879,10*Overig!P879),""",""????0;"",""???-0;"",""????0;"", ////"""),"'","""")&amp;SUBSTITUTE(TEXT(Overig!Q879,""",""?00;"",""?-00;"",""?00;"", //"""),"'","""")&amp;SUBSTITUTE(TEXT(Overig!R879,""",""????0;"",""???-0;"",""????0;"", ////"""),"'","""")&amp;SUBSTITUTE(TEXT(Overig!S879,""",""?00;"",""?-00;"",""?00;"", //"""),"'","""")&amp;SUBSTITUTE(TEXT(IF(ISTEXT(Overig!T879),Overig!T879,10*Overig!T879),""",""????0;"",""???-0;"",""????0;"", ////"""),"'","""")&amp;SUBSTITUTE(TEXT(Overig!U879,""",""?00;"",""?-00;"",""?00;"", //"""),"'","""")&amp;SUBSTITUTE(TEXT(Overig!V879,""",""???0;"",""??-0;"",""???0;"", ///"""),"'","""")&amp;SUBSTITUTE(TEXT(Overig!W879,""",""?00;"",""?-00;"",""?00;"", //"""),"'","""")</f>
        <v>032, 19400807, 12.00, 7605, 00,  285, 00, ////, 07, ////, 07,  99, 00,  290, 00,  284, 00,   45, 00,    7, 00,   2, 00</v>
      </c>
    </row>
    <row r="880" spans="1:1" x14ac:dyDescent="0.25">
      <c r="A880" s="12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//"""),"'","""")&amp;SUBSTITUTE(TEXT(IF(ISTEXT(Overig!J880),Overig!J880,10*Overig!J880),""",""????0;"",""???-0;"",""????0;"", ////"""),"'","""")&amp;SUBSTITUTE(TEXT(Overig!K880,""",""?00;"",""?-00;"",""?00;"", //"""),"'","""")&amp;SUBSTITUTE(TEXT(Overig!L880,""",""???0;"",""??-0;"",""???0;"", ///"""),"'","""")&amp;SUBSTITUTE(TEXT(Overig!M880,""",""?00;"",""?-00;"",""?00;"", //"""),"'","""")&amp;SUBSTITUTE(TEXT(IF(ISTEXT(Overig!N880),Overig!N880,10*Overig!N880),""",""????0;"",""???-0;"",""????0;"", ////"""),"'","""")&amp;SUBSTITUTE(TEXT(Overig!O880,""",""?00;"",""?-00;"",""?00;"", //"""),"'","""")&amp;SUBSTITUTE(TEXT(IF(ISTEXT(Overig!P880),Overig!P880,10*Overig!P880),""",""????0;"",""???-0;"",""????0;"", ////"""),"'","""")&amp;SUBSTITUTE(TEXT(Overig!Q880,""",""?00;"",""?-00;"",""?00;"", //"""),"'","""")&amp;SUBSTITUTE(TEXT(Overig!R880,""",""????0;"",""???-0;"",""????0;"", ////"""),"'","""")&amp;SUBSTITUTE(TEXT(Overig!S880,""",""?00;"",""?-00;"",""?00;"", //"""),"'","""")&amp;SUBSTITUTE(TEXT(IF(ISTEXT(Overig!T880),Overig!T880,10*Overig!T880),""",""????0;"",""???-0;"",""????0;"", ////"""),"'","""")&amp;SUBSTITUTE(TEXT(Overig!U880,""",""?00;"",""?-00;"",""?00;"", //"""),"'","""")&amp;SUBSTITUTE(TEXT(Overig!V880,""",""???0;"",""??-0;"",""???0;"", ///"""),"'","""")&amp;SUBSTITUTE(TEXT(Overig!W880,""",""?00;"",""?-00;"",""?00;"", //"""),"'","""")</f>
        <v>032, 19400807, 17.00, 7579, 00,  285, 00, ////, 07, ////, 07,  95, 00,  277, 00,  278, 00,   45, 00,    7, 00,   3, 00</v>
      </c>
    </row>
    <row r="881" spans="1:1" x14ac:dyDescent="0.25">
      <c r="A881" s="12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//"""),"'","""")&amp;SUBSTITUTE(TEXT(IF(ISTEXT(Overig!J881),Overig!J881,10*Overig!J881),""",""????0;"",""???-0;"",""????0;"", ////"""),"'","""")&amp;SUBSTITUTE(TEXT(Overig!K881,""",""?00;"",""?-00;"",""?00;"", //"""),"'","""")&amp;SUBSTITUTE(TEXT(Overig!L881,""",""???0;"",""??-0;"",""???0;"", ///"""),"'","""")&amp;SUBSTITUTE(TEXT(Overig!M881,""",""?00;"",""?-00;"",""?00;"", //"""),"'","""")&amp;SUBSTITUTE(TEXT(IF(ISTEXT(Overig!N881),Overig!N881,10*Overig!N881),""",""????0;"",""???-0;"",""????0;"", ////"""),"'","""")&amp;SUBSTITUTE(TEXT(Overig!O881,""",""?00;"",""?-00;"",""?00;"", //"""),"'","""")&amp;SUBSTITUTE(TEXT(IF(ISTEXT(Overig!P881),Overig!P881,10*Overig!P881),""",""????0;"",""???-0;"",""????0;"", ////"""),"'","""")&amp;SUBSTITUTE(TEXT(Overig!Q881,""",""?00;"",""?-00;"",""?00;"", //"""),"'","""")&amp;SUBSTITUTE(TEXT(Overig!R881,""",""????0;"",""???-0;"",""????0;"", ////"""),"'","""")&amp;SUBSTITUTE(TEXT(Overig!S881,""",""?00;"",""?-00;"",""?00;"", //"""),"'","""")&amp;SUBSTITUTE(TEXT(IF(ISTEXT(Overig!T881),Overig!T881,10*Overig!T881),""",""????0;"",""???-0;"",""????0;"", ////"""),"'","""")&amp;SUBSTITUTE(TEXT(Overig!U881,""",""?00;"",""?-00;"",""?00;"", //"""),"'","""")&amp;SUBSTITUTE(TEXT(Overig!V881,""",""???0;"",""??-0;"",""???0;"", ///"""),"'","""")&amp;SUBSTITUTE(TEXT(Overig!W881,""",""?00;"",""?-00;"",""?00;"", //"""),"'","""")</f>
        <v>032, 19400807, 24.00, ////, 07, ////, 07,  290, 00,  310, 00, ///, 07, ////, 07, ////, 07, ////, 07, ////, 07, ///, 07</v>
      </c>
    </row>
    <row r="882" spans="1:1" x14ac:dyDescent="0.25">
      <c r="A882" s="12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//"""),"'","""")&amp;SUBSTITUTE(TEXT(IF(ISTEXT(Overig!J882),Overig!J882,10*Overig!J882),""",""????0;"",""???-0;"",""????0;"", ////"""),"'","""")&amp;SUBSTITUTE(TEXT(Overig!K882,""",""?00;"",""?-00;"",""?00;"", //"""),"'","""")&amp;SUBSTITUTE(TEXT(Overig!L882,""",""???0;"",""??-0;"",""???0;"", ///"""),"'","""")&amp;SUBSTITUTE(TEXT(Overig!M882,""",""?00;"",""?-00;"",""?00;"", //"""),"'","""")&amp;SUBSTITUTE(TEXT(IF(ISTEXT(Overig!N882),Overig!N882,10*Overig!N882),""",""????0;"",""???-0;"",""????0;"", ////"""),"'","""")&amp;SUBSTITUTE(TEXT(Overig!O882,""",""?00;"",""?-00;"",""?00;"", //"""),"'","""")&amp;SUBSTITUTE(TEXT(IF(ISTEXT(Overig!P882),Overig!P882,10*Overig!P882),""",""????0;"",""???-0;"",""????0;"", ////"""),"'","""")&amp;SUBSTITUTE(TEXT(Overig!Q882,""",""?00;"",""?-00;"",""?00;"", //"""),"'","""")&amp;SUBSTITUTE(TEXT(Overig!R882,""",""????0;"",""???-0;"",""????0;"", ////"""),"'","""")&amp;SUBSTITUTE(TEXT(Overig!S882,""",""?00;"",""?-00;"",""?00;"", //"""),"'","""")&amp;SUBSTITUTE(TEXT(IF(ISTEXT(Overig!T882),Overig!T882,10*Overig!T882),""",""????0;"",""???-0;"",""????0;"", ////"""),"'","""")&amp;SUBSTITUTE(TEXT(Overig!U882,""",""?00;"",""?-00;"",""?00;"", //"""),"'","""")&amp;SUBSTITUTE(TEXT(Overig!V882,""",""???0;"",""??-0;"",""???0;"", ///"""),"'","""")&amp;SUBSTITUTE(TEXT(Overig!W882,""",""?00;"",""?-00;"",""?00;"", //"""),"'","""")</f>
        <v>032, 19400808, 07.00, 7607, 00,  279, 00, ////, 07, ////, 07,  75, 00,  212, 00,  244, 00,   45, 00,    5, 00,   2, 00</v>
      </c>
    </row>
    <row r="883" spans="1:1" x14ac:dyDescent="0.25">
      <c r="A883" s="12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//"""),"'","""")&amp;SUBSTITUTE(TEXT(IF(ISTEXT(Overig!J883),Overig!J883,10*Overig!J883),""",""????0;"",""???-0;"",""????0;"", ////"""),"'","""")&amp;SUBSTITUTE(TEXT(Overig!K883,""",""?00;"",""?-00;"",""?00;"", //"""),"'","""")&amp;SUBSTITUTE(TEXT(Overig!L883,""",""???0;"",""??-0;"",""???0;"", ///"""),"'","""")&amp;SUBSTITUTE(TEXT(Overig!M883,""",""?00;"",""?-00;"",""?00;"", //"""),"'","""")&amp;SUBSTITUTE(TEXT(IF(ISTEXT(Overig!N883),Overig!N883,10*Overig!N883),""",""????0;"",""???-0;"",""????0;"", ////"""),"'","""")&amp;SUBSTITUTE(TEXT(Overig!O883,""",""?00;"",""?-00;"",""?00;"", //"""),"'","""")&amp;SUBSTITUTE(TEXT(IF(ISTEXT(Overig!P883),Overig!P883,10*Overig!P883),""",""????0;"",""???-0;"",""????0;"", ////"""),"'","""")&amp;SUBSTITUTE(TEXT(Overig!Q883,""",""?00;"",""?-00;"",""?00;"", //"""),"'","""")&amp;SUBSTITUTE(TEXT(Overig!R883,""",""????0;"",""???-0;"",""????0;"", ////"""),"'","""")&amp;SUBSTITUTE(TEXT(Overig!S883,""",""?00;"",""?-00;"",""?00;"", //"""),"'","""")&amp;SUBSTITUTE(TEXT(IF(ISTEXT(Overig!T883),Overig!T883,10*Overig!T883),""",""????0;"",""???-0;"",""????0;"", ////"""),"'","""")&amp;SUBSTITUTE(TEXT(Overig!U883,""",""?00;"",""?-00;"",""?00;"", //"""),"'","""")&amp;SUBSTITUTE(TEXT(Overig!V883,""",""???0;"",""??-0;"",""???0;"", ///"""),"'","""")&amp;SUBSTITUTE(TEXT(Overig!W883,""",""?00;"",""?-00;"",""?00;"", //"""),"'","""")</f>
        <v>032, 19400808, 12.00, 7607, 00,  285, 00, ////, 07, ////, 07,  92, 00,  268, 00,  274, 00,   45, 00,    6, 00,   2, 00</v>
      </c>
    </row>
    <row r="884" spans="1:1" x14ac:dyDescent="0.25">
      <c r="A884" s="12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//"""),"'","""")&amp;SUBSTITUTE(TEXT(IF(ISTEXT(Overig!J884),Overig!J884,10*Overig!J884),""",""????0;"",""???-0;"",""????0;"", ////"""),"'","""")&amp;SUBSTITUTE(TEXT(Overig!K884,""",""?00;"",""?-00;"",""?00;"", //"""),"'","""")&amp;SUBSTITUTE(TEXT(Overig!L884,""",""???0;"",""??-0;"",""???0;"", ///"""),"'","""")&amp;SUBSTITUTE(TEXT(Overig!M884,""",""?00;"",""?-00;"",""?00;"", //"""),"'","""")&amp;SUBSTITUTE(TEXT(IF(ISTEXT(Overig!N884),Overig!N884,10*Overig!N884),""",""????0;"",""???-0;"",""????0;"", ////"""),"'","""")&amp;SUBSTITUTE(TEXT(Overig!O884,""",""?00;"",""?-00;"",""?00;"", //"""),"'","""")&amp;SUBSTITUTE(TEXT(IF(ISTEXT(Overig!P884),Overig!P884,10*Overig!P884),""",""????0;"",""???-0;"",""????0;"", ////"""),"'","""")&amp;SUBSTITUTE(TEXT(Overig!Q884,""",""?00;"",""?-00;"",""?00;"", //"""),"'","""")&amp;SUBSTITUTE(TEXT(Overig!R884,""",""????0;"",""???-0;"",""????0;"", ////"""),"'","""")&amp;SUBSTITUTE(TEXT(Overig!S884,""",""?00;"",""?-00;"",""?00;"", //"""),"'","""")&amp;SUBSTITUTE(TEXT(IF(ISTEXT(Overig!T884),Overig!T884,10*Overig!T884),""",""????0;"",""???-0;"",""????0;"", ////"""),"'","""")&amp;SUBSTITUTE(TEXT(Overig!U884,""",""?00;"",""?-00;"",""?00;"", //"""),"'","""")&amp;SUBSTITUTE(TEXT(Overig!V884,""",""???0;"",""??-0;"",""???0;"", ///"""),"'","""")&amp;SUBSTITUTE(TEXT(Overig!W884,""",""?00;"",""?-00;"",""?00;"", //"""),"'","""")</f>
        <v>032, 19400808, 17.00, 7590, 00,  277, 00, ////, 07, ////, 07,  93, 00,  260, 00,  268, 00,   25, 00,    6, 00,   2, 00</v>
      </c>
    </row>
    <row r="885" spans="1:1" x14ac:dyDescent="0.25">
      <c r="A885" s="12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//"""),"'","""")&amp;SUBSTITUTE(TEXT(IF(ISTEXT(Overig!J885),Overig!J885,10*Overig!J885),""",""????0;"",""???-0;"",""????0;"", ////"""),"'","""")&amp;SUBSTITUTE(TEXT(Overig!K885,""",""?00;"",""?-00;"",""?00;"", //"""),"'","""")&amp;SUBSTITUTE(TEXT(Overig!L885,""",""???0;"",""??-0;"",""???0;"", ///"""),"'","""")&amp;SUBSTITUTE(TEXT(Overig!M885,""",""?00;"",""?-00;"",""?00;"", //"""),"'","""")&amp;SUBSTITUTE(TEXT(IF(ISTEXT(Overig!N885),Overig!N885,10*Overig!N885),""",""????0;"",""???-0;"",""????0;"", ////"""),"'","""")&amp;SUBSTITUTE(TEXT(Overig!O885,""",""?00;"",""?-00;"",""?00;"", //"""),"'","""")&amp;SUBSTITUTE(TEXT(IF(ISTEXT(Overig!P885),Overig!P885,10*Overig!P885),""",""????0;"",""???-0;"",""????0;"", ////"""),"'","""")&amp;SUBSTITUTE(TEXT(Overig!Q885,""",""?00;"",""?-00;"",""?00;"", //"""),"'","""")&amp;SUBSTITUTE(TEXT(Overig!R885,""",""????0;"",""???-0;"",""????0;"", ////"""),"'","""")&amp;SUBSTITUTE(TEXT(Overig!S885,""",""?00;"",""?-00;"",""?00;"", //"""),"'","""")&amp;SUBSTITUTE(TEXT(IF(ISTEXT(Overig!T885),Overig!T885,10*Overig!T885),""",""????0;"",""???-0;"",""????0;"", ////"""),"'","""")&amp;SUBSTITUTE(TEXT(Overig!U885,""",""?00;"",""?-00;"",""?00;"", //"""),"'","""")&amp;SUBSTITUTE(TEXT(Overig!V885,""",""???0;"",""??-0;"",""???0;"", ///"""),"'","""")&amp;SUBSTITUTE(TEXT(Overig!W885,""",""?00;"",""?-00;"",""?00;"", //"""),"'","""")</f>
        <v>032, 19400808, 24.00, ////, 07, ////, 07,  284, 00,  300, 00, ///, 07, ////, 07, ////, 07, ////, 07, ////, 07, ///, 07</v>
      </c>
    </row>
    <row r="886" spans="1:1" x14ac:dyDescent="0.25">
      <c r="A886" s="12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//"""),"'","""")&amp;SUBSTITUTE(TEXT(IF(ISTEXT(Overig!J886),Overig!J886,10*Overig!J886),""",""????0;"",""???-0;"",""????0;"", ////"""),"'","""")&amp;SUBSTITUTE(TEXT(Overig!K886,""",""?00;"",""?-00;"",""?00;"", //"""),"'","""")&amp;SUBSTITUTE(TEXT(Overig!L886,""",""???0;"",""??-0;"",""???0;"", ///"""),"'","""")&amp;SUBSTITUTE(TEXT(Overig!M886,""",""?00;"",""?-00;"",""?00;"", //"""),"'","""")&amp;SUBSTITUTE(TEXT(IF(ISTEXT(Overig!N886),Overig!N886,10*Overig!N886),""",""????0;"",""???-0;"",""????0;"", ////"""),"'","""")&amp;SUBSTITUTE(TEXT(Overig!O886,""",""?00;"",""?-00;"",""?00;"", //"""),"'","""")&amp;SUBSTITUTE(TEXT(IF(ISTEXT(Overig!P886),Overig!P886,10*Overig!P886),""",""????0;"",""???-0;"",""????0;"", ////"""),"'","""")&amp;SUBSTITUTE(TEXT(Overig!Q886,""",""?00;"",""?-00;"",""?00;"", //"""),"'","""")&amp;SUBSTITUTE(TEXT(Overig!R886,""",""????0;"",""???-0;"",""????0;"", ////"""),"'","""")&amp;SUBSTITUTE(TEXT(Overig!S886,""",""?00;"",""?-00;"",""?00;"", //"""),"'","""")&amp;SUBSTITUTE(TEXT(IF(ISTEXT(Overig!T886),Overig!T886,10*Overig!T886),""",""????0;"",""???-0;"",""????0;"", ////"""),"'","""")&amp;SUBSTITUTE(TEXT(Overig!U886,""",""?00;"",""?-00;"",""?00;"", //"""),"'","""")&amp;SUBSTITUTE(TEXT(Overig!V886,""",""???0;"",""??-0;"",""???0;"", ///"""),"'","""")&amp;SUBSTITUTE(TEXT(Overig!W886,""",""?00;"",""?-00;"",""?00;"", //"""),"'","""")</f>
        <v>032, 19400809, 07.00, 7597, 00,  279, 00, ////, 07, ////, 07,  74, 00,  208, 00,  242, 00,   65, 00,    6, 00,   2, 00</v>
      </c>
    </row>
    <row r="887" spans="1:1" x14ac:dyDescent="0.25">
      <c r="A887" s="12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//"""),"'","""")&amp;SUBSTITUTE(TEXT(IF(ISTEXT(Overig!J887),Overig!J887,10*Overig!J887),""",""????0;"",""???-0;"",""????0;"", ////"""),"'","""")&amp;SUBSTITUTE(TEXT(Overig!K887,""",""?00;"",""?-00;"",""?00;"", //"""),"'","""")&amp;SUBSTITUTE(TEXT(Overig!L887,""",""???0;"",""??-0;"",""???0;"", ///"""),"'","""")&amp;SUBSTITUTE(TEXT(Overig!M887,""",""?00;"",""?-00;"",""?00;"", //"""),"'","""")&amp;SUBSTITUTE(TEXT(IF(ISTEXT(Overig!N887),Overig!N887,10*Overig!N887),""",""????0;"",""???-0;"",""????0;"", ////"""),"'","""")&amp;SUBSTITUTE(TEXT(Overig!O887,""",""?00;"",""?-00;"",""?00;"", //"""),"'","""")&amp;SUBSTITUTE(TEXT(IF(ISTEXT(Overig!P887),Overig!P887,10*Overig!P887),""",""????0;"",""???-0;"",""????0;"", ////"""),"'","""")&amp;SUBSTITUTE(TEXT(Overig!Q887,""",""?00;"",""?-00;"",""?00;"", //"""),"'","""")&amp;SUBSTITUTE(TEXT(Overig!R887,""",""????0;"",""???-0;"",""????0;"", ////"""),"'","""")&amp;SUBSTITUTE(TEXT(Overig!S887,""",""?00;"",""?-00;"",""?00;"", //"""),"'","""")&amp;SUBSTITUTE(TEXT(IF(ISTEXT(Overig!T887),Overig!T887,10*Overig!T887),""",""????0;"",""???-0;"",""????0;"", ////"""),"'","""")&amp;SUBSTITUTE(TEXT(Overig!U887,""",""?00;"",""?-00;"",""?00;"", //"""),"'","""")&amp;SUBSTITUTE(TEXT(Overig!V887,""",""???0;"",""??-0;"",""???0;"", ///"""),"'","""")&amp;SUBSTITUTE(TEXT(Overig!W887,""",""?00;"",""?-00;"",""?00;"", //"""),"'","""")</f>
        <v>032, 19400809, 12.00, 7610, 00,  281, 00, ////, 07, ////, 07,  80, 00,  258, 00,  268, 00,   65, 00,    7, 00,   2, 00</v>
      </c>
    </row>
    <row r="888" spans="1:1" x14ac:dyDescent="0.25">
      <c r="A888" s="12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//"""),"'","""")&amp;SUBSTITUTE(TEXT(IF(ISTEXT(Overig!J888),Overig!J888,10*Overig!J888),""",""????0;"",""???-0;"",""????0;"", ////"""),"'","""")&amp;SUBSTITUTE(TEXT(Overig!K888,""",""?00;"",""?-00;"",""?00;"", //"""),"'","""")&amp;SUBSTITUTE(TEXT(Overig!L888,""",""???0;"",""??-0;"",""???0;"", ///"""),"'","""")&amp;SUBSTITUTE(TEXT(Overig!M888,""",""?00;"",""?-00;"",""?00;"", //"""),"'","""")&amp;SUBSTITUTE(TEXT(IF(ISTEXT(Overig!N888),Overig!N888,10*Overig!N888),""",""????0;"",""???-0;"",""????0;"", ////"""),"'","""")&amp;SUBSTITUTE(TEXT(Overig!O888,""",""?00;"",""?-00;"",""?00;"", //"""),"'","""")&amp;SUBSTITUTE(TEXT(IF(ISTEXT(Overig!P888),Overig!P888,10*Overig!P888),""",""????0;"",""???-0;"",""????0;"", ////"""),"'","""")&amp;SUBSTITUTE(TEXT(Overig!Q888,""",""?00;"",""?-00;"",""?00;"", //"""),"'","""")&amp;SUBSTITUTE(TEXT(Overig!R888,""",""????0;"",""???-0;"",""????0;"", ////"""),"'","""")&amp;SUBSTITUTE(TEXT(Overig!S888,""",""?00;"",""?-00;"",""?00;"", //"""),"'","""")&amp;SUBSTITUTE(TEXT(IF(ISTEXT(Overig!T888),Overig!T888,10*Overig!T888),""",""????0;"",""???-0;"",""????0;"", ////"""),"'","""")&amp;SUBSTITUTE(TEXT(Overig!U888,""",""?00;"",""?-00;"",""?00;"", //"""),"'","""")&amp;SUBSTITUTE(TEXT(Overig!V888,""",""???0;"",""??-0;"",""???0;"", ///"""),"'","""")&amp;SUBSTITUTE(TEXT(Overig!W888,""",""?00;"",""?-00;"",""?00;"", //"""),"'","""")</f>
        <v>032, 19400809, 17.00, 7585, 00,  279, 00, ////, 07, ////, 07,  89, 00,  251, 00,  264, 00,   65, 00,    7, 00,   2, 00</v>
      </c>
    </row>
    <row r="889" spans="1:1" x14ac:dyDescent="0.25">
      <c r="A889" s="12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//"""),"'","""")&amp;SUBSTITUTE(TEXT(IF(ISTEXT(Overig!J889),Overig!J889,10*Overig!J889),""",""????0;"",""???-0;"",""????0;"", ////"""),"'","""")&amp;SUBSTITUTE(TEXT(Overig!K889,""",""?00;"",""?-00;"",""?00;"", //"""),"'","""")&amp;SUBSTITUTE(TEXT(Overig!L889,""",""???0;"",""??-0;"",""???0;"", ///"""),"'","""")&amp;SUBSTITUTE(TEXT(Overig!M889,""",""?00;"",""?-00;"",""?00;"", //"""),"'","""")&amp;SUBSTITUTE(TEXT(IF(ISTEXT(Overig!N889),Overig!N889,10*Overig!N889),""",""????0;"",""???-0;"",""????0;"", ////"""),"'","""")&amp;SUBSTITUTE(TEXT(Overig!O889,""",""?00;"",""?-00;"",""?00;"", //"""),"'","""")&amp;SUBSTITUTE(TEXT(IF(ISTEXT(Overig!P889),Overig!P889,10*Overig!P889),""",""????0;"",""???-0;"",""????0;"", ////"""),"'","""")&amp;SUBSTITUTE(TEXT(Overig!Q889,""",""?00;"",""?-00;"",""?00;"", //"""),"'","""")&amp;SUBSTITUTE(TEXT(Overig!R889,""",""????0;"",""???-0;"",""????0;"", ////"""),"'","""")&amp;SUBSTITUTE(TEXT(Overig!S889,""",""?00;"",""?-00;"",""?00;"", //"""),"'","""")&amp;SUBSTITUTE(TEXT(IF(ISTEXT(Overig!T889),Overig!T889,10*Overig!T889),""",""????0;"",""???-0;"",""????0;"", ////"""),"'","""")&amp;SUBSTITUTE(TEXT(Overig!U889,""",""?00;"",""?-00;"",""?00;"", //"""),"'","""")&amp;SUBSTITUTE(TEXT(Overig!V889,""",""???0;"",""??-0;"",""???0;"", ///"""),"'","""")&amp;SUBSTITUTE(TEXT(Overig!W889,""",""?00;"",""?-00;"",""?00;"", //"""),"'","""")</f>
        <v>032, 19400809, 24.00, ////, 07, ////, 07,  285, 00,  305, 00, ///, 07, ////, 07, ////, 07, ////, 07, ////, 07, ///, 07</v>
      </c>
    </row>
    <row r="890" spans="1:1" x14ac:dyDescent="0.25">
      <c r="A890" s="12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//"""),"'","""")&amp;SUBSTITUTE(TEXT(IF(ISTEXT(Overig!J890),Overig!J890,10*Overig!J890),""",""????0;"",""???-0;"",""????0;"", ////"""),"'","""")&amp;SUBSTITUTE(TEXT(Overig!K890,""",""?00;"",""?-00;"",""?00;"", //"""),"'","""")&amp;SUBSTITUTE(TEXT(Overig!L890,""",""???0;"",""??-0;"",""???0;"", ///"""),"'","""")&amp;SUBSTITUTE(TEXT(Overig!M890,""",""?00;"",""?-00;"",""?00;"", //"""),"'","""")&amp;SUBSTITUTE(TEXT(IF(ISTEXT(Overig!N890),Overig!N890,10*Overig!N890),""",""????0;"",""???-0;"",""????0;"", ////"""),"'","""")&amp;SUBSTITUTE(TEXT(Overig!O890,""",""?00;"",""?-00;"",""?00;"", //"""),"'","""")&amp;SUBSTITUTE(TEXT(IF(ISTEXT(Overig!P890),Overig!P890,10*Overig!P890),""",""????0;"",""???-0;"",""????0;"", ////"""),"'","""")&amp;SUBSTITUTE(TEXT(Overig!Q890,""",""?00;"",""?-00;"",""?00;"", //"""),"'","""")&amp;SUBSTITUTE(TEXT(Overig!R890,""",""????0;"",""???-0;"",""????0;"", ////"""),"'","""")&amp;SUBSTITUTE(TEXT(Overig!S890,""",""?00;"",""?-00;"",""?00;"", //"""),"'","""")&amp;SUBSTITUTE(TEXT(IF(ISTEXT(Overig!T890),Overig!T890,10*Overig!T890),""",""????0;"",""???-0;"",""????0;"", ////"""),"'","""")&amp;SUBSTITUTE(TEXT(Overig!U890,""",""?00;"",""?-00;"",""?00;"", //"""),"'","""")&amp;SUBSTITUTE(TEXT(Overig!V890,""",""???0;"",""??-0;"",""???0;"", ///"""),"'","""")&amp;SUBSTITUTE(TEXT(Overig!W890,""",""?00;"",""?-00;"",""?00;"", //"""),"'","""")</f>
        <v>032, 19400810, 07.00, 7600, 00,  277, 00, ////, 07, ////, 07,  92, 00,  256, 00,  266, 00,   45, 00,    6, 00,   3, 00</v>
      </c>
    </row>
    <row r="891" spans="1:1" x14ac:dyDescent="0.25">
      <c r="A891" s="12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//"""),"'","""")&amp;SUBSTITUTE(TEXT(IF(ISTEXT(Overig!J891),Overig!J891,10*Overig!J891),""",""????0;"",""???-0;"",""????0;"", ////"""),"'","""")&amp;SUBSTITUTE(TEXT(Overig!K891,""",""?00;"",""?-00;"",""?00;"", //"""),"'","""")&amp;SUBSTITUTE(TEXT(Overig!L891,""",""???0;"",""??-0;"",""???0;"", ///"""),"'","""")&amp;SUBSTITUTE(TEXT(Overig!M891,""",""?00;"",""?-00;"",""?00;"", //"""),"'","""")&amp;SUBSTITUTE(TEXT(IF(ISTEXT(Overig!N891),Overig!N891,10*Overig!N891),""",""????0;"",""???-0;"",""????0;"", ////"""),"'","""")&amp;SUBSTITUTE(TEXT(Overig!O891,""",""?00;"",""?-00;"",""?00;"", //"""),"'","""")&amp;SUBSTITUTE(TEXT(IF(ISTEXT(Overig!P891),Overig!P891,10*Overig!P891),""",""????0;"",""???-0;"",""????0;"", ////"""),"'","""")&amp;SUBSTITUTE(TEXT(Overig!Q891,""",""?00;"",""?-00;"",""?00;"", //"""),"'","""")&amp;SUBSTITUTE(TEXT(Overig!R891,""",""????0;"",""???-0;"",""????0;"", ////"""),"'","""")&amp;SUBSTITUTE(TEXT(Overig!S891,""",""?00;"",""?-00;"",""?00;"", //"""),"'","""")&amp;SUBSTITUTE(TEXT(IF(ISTEXT(Overig!T891),Overig!T891,10*Overig!T891),""",""????0;"",""???-0;"",""????0;"", ////"""),"'","""")&amp;SUBSTITUTE(TEXT(Overig!U891,""",""?00;"",""?-00;"",""?00;"", //"""),"'","""")&amp;SUBSTITUTE(TEXT(Overig!V891,""",""???0;"",""??-0;"",""???0;"", ///"""),"'","""")&amp;SUBSTITUTE(TEXT(Overig!W891,""",""?00;"",""?-00;"",""?00;"", //"""),"'","""")</f>
        <v>032, 19400810, 12.00, 7605, 00,  287, 00, ////, 07, ////, 07,  90, 00,  267, 00,  274, 00,   45, 00,    7, 00,   2, 00</v>
      </c>
    </row>
    <row r="892" spans="1:1" x14ac:dyDescent="0.25">
      <c r="A892" s="12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//"""),"'","""")&amp;SUBSTITUTE(TEXT(IF(ISTEXT(Overig!J892),Overig!J892,10*Overig!J892),""",""????0;"",""???-0;"",""????0;"", ////"""),"'","""")&amp;SUBSTITUTE(TEXT(Overig!K892,""",""?00;"",""?-00;"",""?00;"", //"""),"'","""")&amp;SUBSTITUTE(TEXT(Overig!L892,""",""???0;"",""??-0;"",""???0;"", ///"""),"'","""")&amp;SUBSTITUTE(TEXT(Overig!M892,""",""?00;"",""?-00;"",""?00;"", //"""),"'","""")&amp;SUBSTITUTE(TEXT(IF(ISTEXT(Overig!N892),Overig!N892,10*Overig!N892),""",""????0;"",""???-0;"",""????0;"", ////"""),"'","""")&amp;SUBSTITUTE(TEXT(Overig!O892,""",""?00;"",""?-00;"",""?00;"", //"""),"'","""")&amp;SUBSTITUTE(TEXT(IF(ISTEXT(Overig!P892),Overig!P892,10*Overig!P892),""",""????0;"",""???-0;"",""????0;"", ////"""),"'","""")&amp;SUBSTITUTE(TEXT(Overig!Q892,""",""?00;"",""?-00;"",""?00;"", //"""),"'","""")&amp;SUBSTITUTE(TEXT(Overig!R892,""",""????0;"",""???-0;"",""????0;"", ////"""),"'","""")&amp;SUBSTITUTE(TEXT(Overig!S892,""",""?00;"",""?-00;"",""?00;"", //"""),"'","""")&amp;SUBSTITUTE(TEXT(IF(ISTEXT(Overig!T892),Overig!T892,10*Overig!T892),""",""????0;"",""???-0;"",""????0;"", ////"""),"'","""")&amp;SUBSTITUTE(TEXT(Overig!U892,""",""?00;"",""?-00;"",""?00;"", //"""),"'","""")&amp;SUBSTITUTE(TEXT(Overig!V892,""",""???0;"",""??-0;"",""???0;"", ///"""),"'","""")&amp;SUBSTITUTE(TEXT(Overig!W892,""",""?00;"",""?-00;"",""?00;"", //"""),"'","""")</f>
        <v>032, 19400810, 17.00, 7572, 00,  281, 00, ////, 07, ////, 07,  88, 00,  250, 00,  264, 00,   45, 00,    7, 00,   2, 00</v>
      </c>
    </row>
    <row r="893" spans="1:1" x14ac:dyDescent="0.25">
      <c r="A893" s="12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//"""),"'","""")&amp;SUBSTITUTE(TEXT(IF(ISTEXT(Overig!J893),Overig!J893,10*Overig!J893),""",""????0;"",""???-0;"",""????0;"", ////"""),"'","""")&amp;SUBSTITUTE(TEXT(Overig!K893,""",""?00;"",""?-00;"",""?00;"", //"""),"'","""")&amp;SUBSTITUTE(TEXT(Overig!L893,""",""???0;"",""??-0;"",""???0;"", ///"""),"'","""")&amp;SUBSTITUTE(TEXT(Overig!M893,""",""?00;"",""?-00;"",""?00;"", //"""),"'","""")&amp;SUBSTITUTE(TEXT(IF(ISTEXT(Overig!N893),Overig!N893,10*Overig!N893),""",""????0;"",""???-0;"",""????0;"", ////"""),"'","""")&amp;SUBSTITUTE(TEXT(Overig!O893,""",""?00;"",""?-00;"",""?00;"", //"""),"'","""")&amp;SUBSTITUTE(TEXT(IF(ISTEXT(Overig!P893),Overig!P893,10*Overig!P893),""",""????0;"",""???-0;"",""????0;"", ////"""),"'","""")&amp;SUBSTITUTE(TEXT(Overig!Q893,""",""?00;"",""?-00;"",""?00;"", //"""),"'","""")&amp;SUBSTITUTE(TEXT(Overig!R893,""",""????0;"",""???-0;"",""????0;"", ////"""),"'","""")&amp;SUBSTITUTE(TEXT(Overig!S893,""",""?00;"",""?-00;"",""?00;"", //"""),"'","""")&amp;SUBSTITUTE(TEXT(IF(ISTEXT(Overig!T893),Overig!T893,10*Overig!T893),""",""????0;"",""???-0;"",""????0;"", ////"""),"'","""")&amp;SUBSTITUTE(TEXT(Overig!U893,""",""?00;"",""?-00;"",""?00;"", //"""),"'","""")&amp;SUBSTITUTE(TEXT(Overig!V893,""",""???0;"",""??-0;"",""???0;"", ///"""),"'","""")&amp;SUBSTITUTE(TEXT(Overig!W893,""",""?00;"",""?-00;"",""?00;"", //"""),"'","""")</f>
        <v>032, 19400810, 24.00, ////, 07, ////, 07,  294, 00,  314, 00, ///, 07, ////, 07, ////, 07, ////, 07, ////, 07, ///, 07</v>
      </c>
    </row>
    <row r="894" spans="1:1" x14ac:dyDescent="0.25">
      <c r="A894" s="12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//"""),"'","""")&amp;SUBSTITUTE(TEXT(IF(ISTEXT(Overig!J894),Overig!J894,10*Overig!J894),""",""????0;"",""???-0;"",""????0;"", ////"""),"'","""")&amp;SUBSTITUTE(TEXT(Overig!K894,""",""?00;"",""?-00;"",""?00;"", //"""),"'","""")&amp;SUBSTITUTE(TEXT(Overig!L894,""",""???0;"",""??-0;"",""???0;"", ///"""),"'","""")&amp;SUBSTITUTE(TEXT(Overig!M894,""",""?00;"",""?-00;"",""?00;"", //"""),"'","""")&amp;SUBSTITUTE(TEXT(IF(ISTEXT(Overig!N894),Overig!N894,10*Overig!N894),""",""????0;"",""???-0;"",""????0;"", ////"""),"'","""")&amp;SUBSTITUTE(TEXT(Overig!O894,""",""?00;"",""?-00;"",""?00;"", //"""),"'","""")&amp;SUBSTITUTE(TEXT(IF(ISTEXT(Overig!P894),Overig!P894,10*Overig!P894),""",""????0;"",""???-0;"",""????0;"", ////"""),"'","""")&amp;SUBSTITUTE(TEXT(Overig!Q894,""",""?00;"",""?-00;"",""?00;"", //"""),"'","""")&amp;SUBSTITUTE(TEXT(Overig!R894,""",""????0;"",""???-0;"",""????0;"", ////"""),"'","""")&amp;SUBSTITUTE(TEXT(Overig!S894,""",""?00;"",""?-00;"",""?00;"", //"""),"'","""")&amp;SUBSTITUTE(TEXT(IF(ISTEXT(Overig!T894),Overig!T894,10*Overig!T894),""",""????0;"",""???-0;"",""????0;"", ////"""),"'","""")&amp;SUBSTITUTE(TEXT(Overig!U894,""",""?00;"",""?-00;"",""?00;"", //"""),"'","""")&amp;SUBSTITUTE(TEXT(Overig!V894,""",""???0;"",""??-0;"",""???0;"", ///"""),"'","""")&amp;SUBSTITUTE(TEXT(Overig!W894,""",""?00;"",""?-00;"",""?00;"", //"""),"'","""")</f>
        <v>032, 19400811, 07.00, 7582, 00,  279, 00, ////, 07, ////, 07,  79, 00,  223, 00,  250, 00,   65, 00,    6, 00,   2, 00</v>
      </c>
    </row>
    <row r="895" spans="1:1" x14ac:dyDescent="0.25">
      <c r="A895" s="12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//"""),"'","""")&amp;SUBSTITUTE(TEXT(IF(ISTEXT(Overig!J895),Overig!J895,10*Overig!J895),""",""????0;"",""???-0;"",""????0;"", ////"""),"'","""")&amp;SUBSTITUTE(TEXT(Overig!K895,""",""?00;"",""?-00;"",""?00;"", //"""),"'","""")&amp;SUBSTITUTE(TEXT(Overig!L895,""",""???0;"",""??-0;"",""???0;"", ///"""),"'","""")&amp;SUBSTITUTE(TEXT(Overig!M895,""",""?00;"",""?-00;"",""?00;"", //"""),"'","""")&amp;SUBSTITUTE(TEXT(IF(ISTEXT(Overig!N895),Overig!N895,10*Overig!N895),""",""????0;"",""???-0;"",""????0;"", ////"""),"'","""")&amp;SUBSTITUTE(TEXT(Overig!O895,""",""?00;"",""?-00;"",""?00;"", //"""),"'","""")&amp;SUBSTITUTE(TEXT(IF(ISTEXT(Overig!P895),Overig!P895,10*Overig!P895),""",""????0;"",""???-0;"",""????0;"", ////"""),"'","""")&amp;SUBSTITUTE(TEXT(Overig!Q895,""",""?00;"",""?-00;"",""?00;"", //"""),"'","""")&amp;SUBSTITUTE(TEXT(Overig!R895,""",""????0;"",""???-0;"",""????0;"", ////"""),"'","""")&amp;SUBSTITUTE(TEXT(Overig!S895,""",""?00;"",""?-00;"",""?00;"", //"""),"'","""")&amp;SUBSTITUTE(TEXT(IF(ISTEXT(Overig!T895),Overig!T895,10*Overig!T895),""",""????0;"",""???-0;"",""????0;"", ////"""),"'","""")&amp;SUBSTITUTE(TEXT(Overig!U895,""",""?00;"",""?-00;"",""?00;"", //"""),"'","""")&amp;SUBSTITUTE(TEXT(Overig!V895,""",""???0;"",""??-0;"",""???0;"", ///"""),"'","""")&amp;SUBSTITUTE(TEXT(Overig!W895,""",""?00;"",""?-00;"",""?00;"", //"""),"'","""")</f>
        <v>032, 19400811, 12.00, 7582, 00,  285, 00, ////, 07, ////, 07,  86, 00,  250, 00,  265, 00,   45, 00,    7, 00,   2, 00</v>
      </c>
    </row>
    <row r="896" spans="1:1" x14ac:dyDescent="0.25">
      <c r="A896" s="12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//"""),"'","""")&amp;SUBSTITUTE(TEXT(IF(ISTEXT(Overig!J896),Overig!J896,10*Overig!J896),""",""????0;"",""???-0;"",""????0;"", ////"""),"'","""")&amp;SUBSTITUTE(TEXT(Overig!K896,""",""?00;"",""?-00;"",""?00;"", //"""),"'","""")&amp;SUBSTITUTE(TEXT(Overig!L896,""",""???0;"",""??-0;"",""???0;"", ///"""),"'","""")&amp;SUBSTITUTE(TEXT(Overig!M896,""",""?00;"",""?-00;"",""?00;"", //"""),"'","""")&amp;SUBSTITUTE(TEXT(IF(ISTEXT(Overig!N896),Overig!N896,10*Overig!N896),""",""????0;"",""???-0;"",""????0;"", ////"""),"'","""")&amp;SUBSTITUTE(TEXT(Overig!O896,""",""?00;"",""?-00;"",""?00;"", //"""),"'","""")&amp;SUBSTITUTE(TEXT(IF(ISTEXT(Overig!P896),Overig!P896,10*Overig!P896),""",""????0;"",""???-0;"",""????0;"", ////"""),"'","""")&amp;SUBSTITUTE(TEXT(Overig!Q896,""",""?00;"",""?-00;"",""?00;"", //"""),"'","""")&amp;SUBSTITUTE(TEXT(Overig!R896,""",""????0;"",""???-0;"",""????0;"", ////"""),"'","""")&amp;SUBSTITUTE(TEXT(Overig!S896,""",""?00;"",""?-00;"",""?00;"", //"""),"'","""")&amp;SUBSTITUTE(TEXT(IF(ISTEXT(Overig!T896),Overig!T896,10*Overig!T896),""",""????0;"",""???-0;"",""????0;"", ////"""),"'","""")&amp;SUBSTITUTE(TEXT(Overig!U896,""",""?00;"",""?-00;"",""?00;"", //"""),"'","""")&amp;SUBSTITUTE(TEXT(Overig!V896,""",""???0;"",""??-0;"",""???0;"", ///"""),"'","""")&amp;SUBSTITUTE(TEXT(Overig!W896,""",""?00;"",""?-00;"",""?00;"", //"""),"'","""")</f>
        <v>032, 19400811, 17.00, 7582, 00,  281, 00, ////, 07, ////, 07,  83, 00,  238, 00,  258, 00,   45, 00,    7, 00,   2, 00</v>
      </c>
    </row>
    <row r="897" spans="1:1" x14ac:dyDescent="0.25">
      <c r="A897" s="12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//"""),"'","""")&amp;SUBSTITUTE(TEXT(IF(ISTEXT(Overig!J897),Overig!J897,10*Overig!J897),""",""????0;"",""???-0;"",""????0;"", ////"""),"'","""")&amp;SUBSTITUTE(TEXT(Overig!K897,""",""?00;"",""?-00;"",""?00;"", //"""),"'","""")&amp;SUBSTITUTE(TEXT(Overig!L897,""",""???0;"",""??-0;"",""???0;"", ///"""),"'","""")&amp;SUBSTITUTE(TEXT(Overig!M897,""",""?00;"",""?-00;"",""?00;"", //"""),"'","""")&amp;SUBSTITUTE(TEXT(IF(ISTEXT(Overig!N897),Overig!N897,10*Overig!N897),""",""????0;"",""???-0;"",""????0;"", ////"""),"'","""")&amp;SUBSTITUTE(TEXT(Overig!O897,""",""?00;"",""?-00;"",""?00;"", //"""),"'","""")&amp;SUBSTITUTE(TEXT(IF(ISTEXT(Overig!P897),Overig!P897,10*Overig!P897),""",""????0;"",""???-0;"",""????0;"", ////"""),"'","""")&amp;SUBSTITUTE(TEXT(Overig!Q897,""",""?00;"",""?-00;"",""?00;"", //"""),"'","""")&amp;SUBSTITUTE(TEXT(Overig!R897,""",""????0;"",""???-0;"",""????0;"", ////"""),"'","""")&amp;SUBSTITUTE(TEXT(Overig!S897,""",""?00;"",""?-00;"",""?00;"", //"""),"'","""")&amp;SUBSTITUTE(TEXT(IF(ISTEXT(Overig!T897),Overig!T897,10*Overig!T897),""",""????0;"",""???-0;"",""????0;"", ////"""),"'","""")&amp;SUBSTITUTE(TEXT(Overig!U897,""",""?00;"",""?-00;"",""?00;"", //"""),"'","""")&amp;SUBSTITUTE(TEXT(Overig!V897,""",""???0;"",""??-0;"",""???0;"", ///"""),"'","""")&amp;SUBSTITUTE(TEXT(Overig!W897,""",""?00;"",""?-00;"",""?00;"", //"""),"'","""")</f>
        <v>032, 19400811, 24.00, ////, 07, ////, 07,  284, 00,  300, 00, ///, 07, ////, 07, ////, 07, ////, 07, ////, 07, ///, 07</v>
      </c>
    </row>
    <row r="898" spans="1:1" x14ac:dyDescent="0.25">
      <c r="A898" s="12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//"""),"'","""")&amp;SUBSTITUTE(TEXT(IF(ISTEXT(Overig!J898),Overig!J898,10*Overig!J898),""",""????0;"",""???-0;"",""????0;"", ////"""),"'","""")&amp;SUBSTITUTE(TEXT(Overig!K898,""",""?00;"",""?-00;"",""?00;"", //"""),"'","""")&amp;SUBSTITUTE(TEXT(Overig!L898,""",""???0;"",""??-0;"",""???0;"", ///"""),"'","""")&amp;SUBSTITUTE(TEXT(Overig!M898,""",""?00;"",""?-00;"",""?00;"", //"""),"'","""")&amp;SUBSTITUTE(TEXT(IF(ISTEXT(Overig!N898),Overig!N898,10*Overig!N898),""",""????0;"",""???-0;"",""????0;"", ////"""),"'","""")&amp;SUBSTITUTE(TEXT(Overig!O898,""",""?00;"",""?-00;"",""?00;"", //"""),"'","""")&amp;SUBSTITUTE(TEXT(IF(ISTEXT(Overig!P898),Overig!P898,10*Overig!P898),""",""????0;"",""???-0;"",""????0;"", ////"""),"'","""")&amp;SUBSTITUTE(TEXT(Overig!Q898,""",""?00;"",""?-00;"",""?00;"", //"""),"'","""")&amp;SUBSTITUTE(TEXT(Overig!R898,""",""????0;"",""???-0;"",""????0;"", ////"""),"'","""")&amp;SUBSTITUTE(TEXT(Overig!S898,""",""?00;"",""?-00;"",""?00;"", //"""),"'","""")&amp;SUBSTITUTE(TEXT(IF(ISTEXT(Overig!T898),Overig!T898,10*Overig!T898),""",""????0;"",""???-0;"",""????0;"", ////"""),"'","""")&amp;SUBSTITUTE(TEXT(Overig!U898,""",""?00;"",""?-00;"",""?00;"", //"""),"'","""")&amp;SUBSTITUTE(TEXT(Overig!V898,""",""???0;"",""??-0;"",""???0;"", ///"""),"'","""")&amp;SUBSTITUTE(TEXT(Overig!W898,""",""?00;"",""?-00;"",""?00;"", //"""),"'","""")</f>
        <v>032, 19400812, 07.00, 7582, 00,  269, 00, ////, 07, ////, 07,  86, 00,  228, 00,  250, 00,   65, 00,    5, 00,   5, 00</v>
      </c>
    </row>
    <row r="899" spans="1:1" x14ac:dyDescent="0.25">
      <c r="A899" s="12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//"""),"'","""")&amp;SUBSTITUTE(TEXT(IF(ISTEXT(Overig!J899),Overig!J899,10*Overig!J899),""",""????0;"",""???-0;"",""????0;"", ////"""),"'","""")&amp;SUBSTITUTE(TEXT(Overig!K899,""",""?00;"",""?-00;"",""?00;"", //"""),"'","""")&amp;SUBSTITUTE(TEXT(Overig!L899,""",""???0;"",""??-0;"",""???0;"", ///"""),"'","""")&amp;SUBSTITUTE(TEXT(Overig!M899,""",""?00;"",""?-00;"",""?00;"", //"""),"'","""")&amp;SUBSTITUTE(TEXT(IF(ISTEXT(Overig!N899),Overig!N899,10*Overig!N899),""",""????0;"",""???-0;"",""????0;"", ////"""),"'","""")&amp;SUBSTITUTE(TEXT(Overig!O899,""",""?00;"",""?-00;"",""?00;"", //"""),"'","""")&amp;SUBSTITUTE(TEXT(IF(ISTEXT(Overig!P899),Overig!P899,10*Overig!P899),""",""????0;"",""???-0;"",""????0;"", ////"""),"'","""")&amp;SUBSTITUTE(TEXT(Overig!Q899,""",""?00;"",""?-00;"",""?00;"", //"""),"'","""")&amp;SUBSTITUTE(TEXT(Overig!R899,""",""????0;"",""???-0;"",""????0;"", ////"""),"'","""")&amp;SUBSTITUTE(TEXT(Overig!S899,""",""?00;"",""?-00;"",""?00;"", //"""),"'","""")&amp;SUBSTITUTE(TEXT(IF(ISTEXT(Overig!T899),Overig!T899,10*Overig!T899),""",""????0;"",""???-0;"",""????0;"", ////"""),"'","""")&amp;SUBSTITUTE(TEXT(Overig!U899,""",""?00;"",""?-00;"",""?00;"", //"""),"'","""")&amp;SUBSTITUTE(TEXT(Overig!V899,""",""???0;"",""??-0;"",""???0;"", ///"""),"'","""")&amp;SUBSTITUTE(TEXT(Overig!W899,""",""?00;"",""?-00;"",""?00;"", //"""),"'","""")</f>
        <v>032, 19400812, 12.00, 7582, 00,  275, 00, ////, 07, ////, 07,  83, 00,  229, 00,  252, 00,   45, 00,    6, 00,   4, 00</v>
      </c>
    </row>
    <row r="900" spans="1:1" x14ac:dyDescent="0.25">
      <c r="A900" s="12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//"""),"'","""")&amp;SUBSTITUTE(TEXT(IF(ISTEXT(Overig!J900),Overig!J900,10*Overig!J900),""",""????0;"",""???-0;"",""????0;"", ////"""),"'","""")&amp;SUBSTITUTE(TEXT(Overig!K900,""",""?00;"",""?-00;"",""?00;"", //"""),"'","""")&amp;SUBSTITUTE(TEXT(Overig!L900,""",""???0;"",""??-0;"",""???0;"", ///"""),"'","""")&amp;SUBSTITUTE(TEXT(Overig!M900,""",""?00;"",""?-00;"",""?00;"", //"""),"'","""")&amp;SUBSTITUTE(TEXT(IF(ISTEXT(Overig!N900),Overig!N900,10*Overig!N900),""",""????0;"",""???-0;"",""????0;"", ////"""),"'","""")&amp;SUBSTITUTE(TEXT(Overig!O900,""",""?00;"",""?-00;"",""?00;"", //"""),"'","""")&amp;SUBSTITUTE(TEXT(IF(ISTEXT(Overig!P900),Overig!P900,10*Overig!P900),""",""????0;"",""???-0;"",""????0;"", ////"""),"'","""")&amp;SUBSTITUTE(TEXT(Overig!Q900,""",""?00;"",""?-00;"",""?00;"", //"""),"'","""")&amp;SUBSTITUTE(TEXT(Overig!R900,""",""????0;"",""???-0;"",""????0;"", ////"""),"'","""")&amp;SUBSTITUTE(TEXT(Overig!S900,""",""?00;"",""?-00;"",""?00;"", //"""),"'","""")&amp;SUBSTITUTE(TEXT(IF(ISTEXT(Overig!T900),Overig!T900,10*Overig!T900),""",""????0;"",""???-0;"",""????0;"", ////"""),"'","""")&amp;SUBSTITUTE(TEXT(Overig!U900,""",""?00;"",""?-00;"",""?00;"", //"""),"'","""")&amp;SUBSTITUTE(TEXT(Overig!V900,""",""???0;"",""??-0;"",""???0;"", ///"""),"'","""")&amp;SUBSTITUTE(TEXT(Overig!W900,""",""?00;"",""?-00;"",""?00;"", //"""),"'","""")</f>
        <v>032, 19400812, 17.00, 7582, 00,  273, 00, ////, 07, ////, 07,  82, 00,  222, 00,  248, 00,   45, 00,    6, 00,   4, 00</v>
      </c>
    </row>
    <row r="901" spans="1:1" x14ac:dyDescent="0.25">
      <c r="A901" s="12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//"""),"'","""")&amp;SUBSTITUTE(TEXT(IF(ISTEXT(Overig!J901),Overig!J901,10*Overig!J901),""",""????0;"",""???-0;"",""????0;"", ////"""),"'","""")&amp;SUBSTITUTE(TEXT(Overig!K901,""",""?00;"",""?-00;"",""?00;"", //"""),"'","""")&amp;SUBSTITUTE(TEXT(Overig!L901,""",""???0;"",""??-0;"",""???0;"", ///"""),"'","""")&amp;SUBSTITUTE(TEXT(Overig!M901,""",""?00;"",""?-00;"",""?00;"", //"""),"'","""")&amp;SUBSTITUTE(TEXT(IF(ISTEXT(Overig!N901),Overig!N901,10*Overig!N901),""",""????0;"",""???-0;"",""????0;"", ////"""),"'","""")&amp;SUBSTITUTE(TEXT(Overig!O901,""",""?00;"",""?-00;"",""?00;"", //"""),"'","""")&amp;SUBSTITUTE(TEXT(IF(ISTEXT(Overig!P901),Overig!P901,10*Overig!P901),""",""????0;"",""???-0;"",""????0;"", ////"""),"'","""")&amp;SUBSTITUTE(TEXT(Overig!Q901,""",""?00;"",""?-00;"",""?00;"", //"""),"'","""")&amp;SUBSTITUTE(TEXT(Overig!R901,""",""????0;"",""???-0;"",""????0;"", ////"""),"'","""")&amp;SUBSTITUTE(TEXT(Overig!S901,""",""?00;"",""?-00;"",""?00;"", //"""),"'","""")&amp;SUBSTITUTE(TEXT(IF(ISTEXT(Overig!T901),Overig!T901,10*Overig!T901),""",""????0;"",""???-0;"",""????0;"", ////"""),"'","""")&amp;SUBSTITUTE(TEXT(Overig!U901,""",""?00;"",""?-00;"",""?00;"", //"""),"'","""")&amp;SUBSTITUTE(TEXT(Overig!V901,""",""???0;"",""??-0;"",""???0;"", ///"""),"'","""")&amp;SUBSTITUTE(TEXT(Overig!W901,""",""?00;"",""?-00;"",""?00;"", //"""),"'","""")</f>
        <v>032, 19400812, 24.00, ////, 07, ////, 07,  280, 00,  294, 00, ///, 07, ////, 07, ////, 07, ////, 07, ////, 07, ///, 07</v>
      </c>
    </row>
    <row r="902" spans="1:1" x14ac:dyDescent="0.25">
      <c r="A902" s="12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//"""),"'","""")&amp;SUBSTITUTE(TEXT(IF(ISTEXT(Overig!J902),Overig!J902,10*Overig!J902),""",""????0;"",""???-0;"",""????0;"", ////"""),"'","""")&amp;SUBSTITUTE(TEXT(Overig!K902,""",""?00;"",""?-00;"",""?00;"", //"""),"'","""")&amp;SUBSTITUTE(TEXT(Overig!L902,""",""???0;"",""??-0;"",""???0;"", ///"""),"'","""")&amp;SUBSTITUTE(TEXT(Overig!M902,""",""?00;"",""?-00;"",""?00;"", //"""),"'","""")&amp;SUBSTITUTE(TEXT(IF(ISTEXT(Overig!N902),Overig!N902,10*Overig!N902),""",""????0;"",""???-0;"",""????0;"", ////"""),"'","""")&amp;SUBSTITUTE(TEXT(Overig!O902,""",""?00;"",""?-00;"",""?00;"", //"""),"'","""")&amp;SUBSTITUTE(TEXT(IF(ISTEXT(Overig!P902),Overig!P902,10*Overig!P902),""",""????0;"",""???-0;"",""????0;"", ////"""),"'","""")&amp;SUBSTITUTE(TEXT(Overig!Q902,""",""?00;"",""?-00;"",""?00;"", //"""),"'","""")&amp;SUBSTITUTE(TEXT(Overig!R902,""",""????0;"",""???-0;"",""????0;"", ////"""),"'","""")&amp;SUBSTITUTE(TEXT(Overig!S902,""",""?00;"",""?-00;"",""?00;"", //"""),"'","""")&amp;SUBSTITUTE(TEXT(IF(ISTEXT(Overig!T902),Overig!T902,10*Overig!T902),""",""????0;"",""???-0;"",""????0;"", ////"""),"'","""")&amp;SUBSTITUTE(TEXT(Overig!U902,""",""?00;"",""?-00;"",""?00;"", //"""),"'","""")&amp;SUBSTITUTE(TEXT(Overig!V902,""",""???0;"",""??-0;"",""???0;"", ///"""),"'","""")&amp;SUBSTITUTE(TEXT(Overig!W902,""",""?00;"",""?-00;"",""?00;"", //"""),"'","""")</f>
        <v>032, 19400813, 07.00, 7592, 00,  259, 00, ////, 07, ////, 07,  82, 00,  207, 00,  236, 00,   65, 00,    4, 00,   4, 00</v>
      </c>
    </row>
    <row r="903" spans="1:1" x14ac:dyDescent="0.25">
      <c r="A903" s="12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//"""),"'","""")&amp;SUBSTITUTE(TEXT(IF(ISTEXT(Overig!J903),Overig!J903,10*Overig!J903),""",""????0;"",""???-0;"",""????0;"", ////"""),"'","""")&amp;SUBSTITUTE(TEXT(Overig!K903,""",""?00;"",""?-00;"",""?00;"", //"""),"'","""")&amp;SUBSTITUTE(TEXT(Overig!L903,""",""???0;"",""??-0;"",""???0;"", ///"""),"'","""")&amp;SUBSTITUTE(TEXT(Overig!M903,""",""?00;"",""?-00;"",""?00;"", //"""),"'","""")&amp;SUBSTITUTE(TEXT(IF(ISTEXT(Overig!N903),Overig!N903,10*Overig!N903),""",""????0;"",""???-0;"",""????0;"", ////"""),"'","""")&amp;SUBSTITUTE(TEXT(Overig!O903,""",""?00;"",""?-00;"",""?00;"", //"""),"'","""")&amp;SUBSTITUTE(TEXT(IF(ISTEXT(Overig!P903),Overig!P903,10*Overig!P903),""",""????0;"",""???-0;"",""????0;"", ////"""),"'","""")&amp;SUBSTITUTE(TEXT(Overig!Q903,""",""?00;"",""?-00;"",""?00;"", //"""),"'","""")&amp;SUBSTITUTE(TEXT(Overig!R903,""",""????0;"",""???-0;"",""????0;"", ////"""),"'","""")&amp;SUBSTITUTE(TEXT(Overig!S903,""",""?00;"",""?-00;"",""?00;"", //"""),"'","""")&amp;SUBSTITUTE(TEXT(IF(ISTEXT(Overig!T903),Overig!T903,10*Overig!T903),""",""????0;"",""???-0;"",""????0;"", ////"""),"'","""")&amp;SUBSTITUTE(TEXT(Overig!U903,""",""?00;"",""?-00;"",""?00;"", //"""),"'","""")&amp;SUBSTITUTE(TEXT(Overig!V903,""",""???0;"",""??-0;"",""???0;"", ///"""),"'","""")&amp;SUBSTITUTE(TEXT(Overig!W903,""",""?00;"",""?-00;"",""?00;"", //"""),"'","""")</f>
        <v>032, 19400813, 12.00, 7605, 00,  275, 00, ////, 07, ////, 07,  82, 00,  225, 00,  250, 00,   45, 00,    5, 00,   3, 00</v>
      </c>
    </row>
    <row r="904" spans="1:1" x14ac:dyDescent="0.25">
      <c r="A904" s="12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//"""),"'","""")&amp;SUBSTITUTE(TEXT(IF(ISTEXT(Overig!J904),Overig!J904,10*Overig!J904),""",""????0;"",""???-0;"",""????0;"", ////"""),"'","""")&amp;SUBSTITUTE(TEXT(Overig!K904,""",""?00;"",""?-00;"",""?00;"", //"""),"'","""")&amp;SUBSTITUTE(TEXT(Overig!L904,""",""???0;"",""??-0;"",""???0;"", ///"""),"'","""")&amp;SUBSTITUTE(TEXT(Overig!M904,""",""?00;"",""?-00;"",""?00;"", //"""),"'","""")&amp;SUBSTITUTE(TEXT(IF(ISTEXT(Overig!N904),Overig!N904,10*Overig!N904),""",""????0;"",""???-0;"",""????0;"", ////"""),"'","""")&amp;SUBSTITUTE(TEXT(Overig!O904,""",""?00;"",""?-00;"",""?00;"", //"""),"'","""")&amp;SUBSTITUTE(TEXT(IF(ISTEXT(Overig!P904),Overig!P904,10*Overig!P904),""",""????0;"",""???-0;"",""????0;"", ////"""),"'","""")&amp;SUBSTITUTE(TEXT(Overig!Q904,""",""?00;"",""?-00;"",""?00;"", //"""),"'","""")&amp;SUBSTITUTE(TEXT(Overig!R904,""",""????0;"",""???-0;"",""????0;"", ////"""),"'","""")&amp;SUBSTITUTE(TEXT(Overig!S904,""",""?00;"",""?-00;"",""?00;"", //"""),"'","""")&amp;SUBSTITUTE(TEXT(IF(ISTEXT(Overig!T904),Overig!T904,10*Overig!T904),""",""????0;"",""???-0;"",""????0;"", ////"""),"'","""")&amp;SUBSTITUTE(TEXT(Overig!U904,""",""?00;"",""?-00;"",""?00;"", //"""),"'","""")&amp;SUBSTITUTE(TEXT(Overig!V904,""",""???0;"",""??-0;"",""???0;"", ///"""),"'","""")&amp;SUBSTITUTE(TEXT(Overig!W904,""",""?00;"",""?-00;"",""?00;"", //"""),"'","""")</f>
        <v>032, 19400813, 17.00, 7592, 00,  271, 00, ////, 07, ////, 07,  82, 00,  220, 00,  246, 00,   45, 00,    5, 00,   4, 00</v>
      </c>
    </row>
    <row r="905" spans="1:1" x14ac:dyDescent="0.25">
      <c r="A905" s="12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//"""),"'","""")&amp;SUBSTITUTE(TEXT(IF(ISTEXT(Overig!J905),Overig!J905,10*Overig!J905),""",""????0;"",""???-0;"",""????0;"", ////"""),"'","""")&amp;SUBSTITUTE(TEXT(Overig!K905,""",""?00;"",""?-00;"",""?00;"", //"""),"'","""")&amp;SUBSTITUTE(TEXT(Overig!L905,""",""???0;"",""??-0;"",""???0;"", ///"""),"'","""")&amp;SUBSTITUTE(TEXT(Overig!M905,""",""?00;"",""?-00;"",""?00;"", //"""),"'","""")&amp;SUBSTITUTE(TEXT(IF(ISTEXT(Overig!N905),Overig!N905,10*Overig!N905),""",""????0;"",""???-0;"",""????0;"", ////"""),"'","""")&amp;SUBSTITUTE(TEXT(Overig!O905,""",""?00;"",""?-00;"",""?00;"", //"""),"'","""")&amp;SUBSTITUTE(TEXT(IF(ISTEXT(Overig!P905),Overig!P905,10*Overig!P905),""",""????0;"",""???-0;"",""????0;"", ////"""),"'","""")&amp;SUBSTITUTE(TEXT(Overig!Q905,""",""?00;"",""?-00;"",""?00;"", //"""),"'","""")&amp;SUBSTITUTE(TEXT(Overig!R905,""",""????0;"",""???-0;"",""????0;"", ////"""),"'","""")&amp;SUBSTITUTE(TEXT(Overig!S905,""",""?00;"",""?-00;"",""?00;"", //"""),"'","""")&amp;SUBSTITUTE(TEXT(IF(ISTEXT(Overig!T905),Overig!T905,10*Overig!T905),""",""????0;"",""???-0;"",""????0;"", ////"""),"'","""")&amp;SUBSTITUTE(TEXT(Overig!U905,""",""?00;"",""?-00;"",""?00;"", //"""),"'","""")&amp;SUBSTITUTE(TEXT(Overig!V905,""",""???0;"",""??-0;"",""???0;"", ///"""),"'","""")&amp;SUBSTITUTE(TEXT(Overig!W905,""",""?00;"",""?-00;"",""?00;"", //"""),"'","""")</f>
        <v>032, 19400813, 24.00, ////, 07, ////, 07,  280, 00,  300, 00, ///, 07, ////, 07, ////, 07, ////, 07, ////, 07, ///, 07</v>
      </c>
    </row>
    <row r="906" spans="1:1" x14ac:dyDescent="0.25">
      <c r="A906" s="12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//"""),"'","""")&amp;SUBSTITUTE(TEXT(IF(ISTEXT(Overig!J906),Overig!J906,10*Overig!J906),""",""????0;"",""???-0;"",""????0;"", ////"""),"'","""")&amp;SUBSTITUTE(TEXT(Overig!K906,""",""?00;"",""?-00;"",""?00;"", //"""),"'","""")&amp;SUBSTITUTE(TEXT(Overig!L906,""",""???0;"",""??-0;"",""???0;"", ///"""),"'","""")&amp;SUBSTITUTE(TEXT(Overig!M906,""",""?00;"",""?-00;"",""?00;"", //"""),"'","""")&amp;SUBSTITUTE(TEXT(IF(ISTEXT(Overig!N906),Overig!N906,10*Overig!N906),""",""????0;"",""???-0;"",""????0;"", ////"""),"'","""")&amp;SUBSTITUTE(TEXT(Overig!O906,""",""?00;"",""?-00;"",""?00;"", //"""),"'","""")&amp;SUBSTITUTE(TEXT(IF(ISTEXT(Overig!P906),Overig!P906,10*Overig!P906),""",""????0;"",""???-0;"",""????0;"", ////"""),"'","""")&amp;SUBSTITUTE(TEXT(Overig!Q906,""",""?00;"",""?-00;"",""?00;"", //"""),"'","""")&amp;SUBSTITUTE(TEXT(Overig!R906,""",""????0;"",""???-0;"",""????0;"", ////"""),"'","""")&amp;SUBSTITUTE(TEXT(Overig!S906,""",""?00;"",""?-00;"",""?00;"", //"""),"'","""")&amp;SUBSTITUTE(TEXT(IF(ISTEXT(Overig!T906),Overig!T906,10*Overig!T906),""",""????0;"",""???-0;"",""????0;"", ////"""),"'","""")&amp;SUBSTITUTE(TEXT(Overig!U906,""",""?00;"",""?-00;"",""?00;"", //"""),"'","""")&amp;SUBSTITUTE(TEXT(Overig!V906,""",""???0;"",""??-0;"",""???0;"", ///"""),"'","""")&amp;SUBSTITUTE(TEXT(Overig!W906,""",""?00;"",""?-00;"",""?00;"", //"""),"'","""")</f>
        <v>032, 19400814, 07.00, 7582, 00,  259, 00, ////, 07, ////, 07,  81, 00,  203, 00,  234, 00,   65, 00,    5, 00,   3, 00</v>
      </c>
    </row>
    <row r="907" spans="1:1" x14ac:dyDescent="0.25">
      <c r="A907" s="12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//"""),"'","""")&amp;SUBSTITUTE(TEXT(IF(ISTEXT(Overig!J907),Overig!J907,10*Overig!J907),""",""????0;"",""???-0;"",""????0;"", ////"""),"'","""")&amp;SUBSTITUTE(TEXT(Overig!K907,""",""?00;"",""?-00;"",""?00;"", //"""),"'","""")&amp;SUBSTITUTE(TEXT(Overig!L907,""",""???0;"",""??-0;"",""???0;"", ///"""),"'","""")&amp;SUBSTITUTE(TEXT(Overig!M907,""",""?00;"",""?-00;"",""?00;"", //"""),"'","""")&amp;SUBSTITUTE(TEXT(IF(ISTEXT(Overig!N907),Overig!N907,10*Overig!N907),""",""????0;"",""???-0;"",""????0;"", ////"""),"'","""")&amp;SUBSTITUTE(TEXT(Overig!O907,""",""?00;"",""?-00;"",""?00;"", //"""),"'","""")&amp;SUBSTITUTE(TEXT(IF(ISTEXT(Overig!P907),Overig!P907,10*Overig!P907),""",""????0;"",""???-0;"",""????0;"", ////"""),"'","""")&amp;SUBSTITUTE(TEXT(Overig!Q907,""",""?00;"",""?-00;"",""?00;"", //"""),"'","""")&amp;SUBSTITUTE(TEXT(Overig!R907,""",""????0;"",""???-0;"",""????0;"", ////"""),"'","""")&amp;SUBSTITUTE(TEXT(Overig!S907,""",""?00;"",""?-00;"",""?00;"", //"""),"'","""")&amp;SUBSTITUTE(TEXT(IF(ISTEXT(Overig!T907),Overig!T907,10*Overig!T907),""",""????0;"",""???-0;"",""????0;"", ////"""),"'","""")&amp;SUBSTITUTE(TEXT(Overig!U907,""",""?00;"",""?-00;"",""?00;"", //"""),"'","""")&amp;SUBSTITUTE(TEXT(Overig!V907,""",""???0;"",""??-0;"",""???0;"", ///"""),"'","""")&amp;SUBSTITUTE(TEXT(Overig!W907,""",""?00;"",""?-00;"",""?00;"", //"""),"'","""")</f>
        <v>032, 19400814, 12.00, 7605, 00,  273, 00, ////, 07, ////, 07,  82, 00,  222, 00,  248, 00,   45, 00,    6, 00,   4, 00</v>
      </c>
    </row>
    <row r="908" spans="1:1" x14ac:dyDescent="0.25">
      <c r="A908" s="12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//"""),"'","""")&amp;SUBSTITUTE(TEXT(IF(ISTEXT(Overig!J908),Overig!J908,10*Overig!J908),""",""????0;"",""???-0;"",""????0;"", ////"""),"'","""")&amp;SUBSTITUTE(TEXT(Overig!K908,""",""?00;"",""?-00;"",""?00;"", //"""),"'","""")&amp;SUBSTITUTE(TEXT(Overig!L908,""",""???0;"",""??-0;"",""???0;"", ///"""),"'","""")&amp;SUBSTITUTE(TEXT(Overig!M908,""",""?00;"",""?-00;"",""?00;"", //"""),"'","""")&amp;SUBSTITUTE(TEXT(IF(ISTEXT(Overig!N908),Overig!N908,10*Overig!N908),""",""????0;"",""???-0;"",""????0;"", ////"""),"'","""")&amp;SUBSTITUTE(TEXT(Overig!O908,""",""?00;"",""?-00;"",""?00;"", //"""),"'","""")&amp;SUBSTITUTE(TEXT(IF(ISTEXT(Overig!P908),Overig!P908,10*Overig!P908),""",""????0;"",""???-0;"",""????0;"", ////"""),"'","""")&amp;SUBSTITUTE(TEXT(Overig!Q908,""",""?00;"",""?-00;"",""?00;"", //"""),"'","""")&amp;SUBSTITUTE(TEXT(Overig!R908,""",""????0;"",""???-0;"",""????0;"", ////"""),"'","""")&amp;SUBSTITUTE(TEXT(Overig!S908,""",""?00;"",""?-00;"",""?00;"", //"""),"'","""")&amp;SUBSTITUTE(TEXT(IF(ISTEXT(Overig!T908),Overig!T908,10*Overig!T908),""",""????0;"",""???-0;"",""????0;"", ////"""),"'","""")&amp;SUBSTITUTE(TEXT(Overig!U908,""",""?00;"",""?-00;"",""?00;"", //"""),"'","""")&amp;SUBSTITUTE(TEXT(Overig!V908,""",""???0;"",""??-0;"",""???0;"", ///"""),"'","""")&amp;SUBSTITUTE(TEXT(Overig!W908,""",""?00;"",""?-00;"",""?00;"", //"""),"'","""")</f>
        <v>032, 19400814, 17.00, 7595, 00,  269, 00, ////, 07, ////, 07,  81, 00,  217, 00,  244, 00,   45, 00,    5, 00,   3, 00</v>
      </c>
    </row>
    <row r="909" spans="1:1" x14ac:dyDescent="0.25">
      <c r="A909" s="12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//"""),"'","""")&amp;SUBSTITUTE(TEXT(IF(ISTEXT(Overig!J909),Overig!J909,10*Overig!J909),""",""????0;"",""???-0;"",""????0;"", ////"""),"'","""")&amp;SUBSTITUTE(TEXT(Overig!K909,""",""?00;"",""?-00;"",""?00;"", //"""),"'","""")&amp;SUBSTITUTE(TEXT(Overig!L909,""",""???0;"",""??-0;"",""???0;"", ///"""),"'","""")&amp;SUBSTITUTE(TEXT(Overig!M909,""",""?00;"",""?-00;"",""?00;"", //"""),"'","""")&amp;SUBSTITUTE(TEXT(IF(ISTEXT(Overig!N909),Overig!N909,10*Overig!N909),""",""????0;"",""???-0;"",""????0;"", ////"""),"'","""")&amp;SUBSTITUTE(TEXT(Overig!O909,""",""?00;"",""?-00;"",""?00;"", //"""),"'","""")&amp;SUBSTITUTE(TEXT(IF(ISTEXT(Overig!P909),Overig!P909,10*Overig!P909),""",""????0;"",""???-0;"",""????0;"", ////"""),"'","""")&amp;SUBSTITUTE(TEXT(Overig!Q909,""",""?00;"",""?-00;"",""?00;"", //"""),"'","""")&amp;SUBSTITUTE(TEXT(Overig!R909,""",""????0;"",""???-0;"",""????0;"", ////"""),"'","""")&amp;SUBSTITUTE(TEXT(Overig!S909,""",""?00;"",""?-00;"",""?00;"", //"""),"'","""")&amp;SUBSTITUTE(TEXT(IF(ISTEXT(Overig!T909),Overig!T909,10*Overig!T909),""",""????0;"",""???-0;"",""????0;"", ////"""),"'","""")&amp;SUBSTITUTE(TEXT(Overig!U909,""",""?00;"",""?-00;"",""?00;"", //"""),"'","""")&amp;SUBSTITUTE(TEXT(Overig!V909,""",""???0;"",""??-0;"",""???0;"", ///"""),"'","""")&amp;SUBSTITUTE(TEXT(Overig!W909,""",""?00;"",""?-00;"",""?00;"", //"""),"'","""")</f>
        <v>032, 19400814, 24.00, ////, 07, ////, 07,  286, 00,  300, 00, ///, 07, ////, 07, ////, 07, ////, 07, ////, 07, ///, 07</v>
      </c>
    </row>
    <row r="910" spans="1:1" x14ac:dyDescent="0.25">
      <c r="A910" s="12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//"""),"'","""")&amp;SUBSTITUTE(TEXT(IF(ISTEXT(Overig!J910),Overig!J910,10*Overig!J910),""",""????0;"",""???-0;"",""????0;"", ////"""),"'","""")&amp;SUBSTITUTE(TEXT(Overig!K910,""",""?00;"",""?-00;"",""?00;"", //"""),"'","""")&amp;SUBSTITUTE(TEXT(Overig!L910,""",""???0;"",""??-0;"",""???0;"", ///"""),"'","""")&amp;SUBSTITUTE(TEXT(Overig!M910,""",""?00;"",""?-00;"",""?00;"", //"""),"'","""")&amp;SUBSTITUTE(TEXT(IF(ISTEXT(Overig!N910),Overig!N910,10*Overig!N910),""",""????0;"",""???-0;"",""????0;"", ////"""),"'","""")&amp;SUBSTITUTE(TEXT(Overig!O910,""",""?00;"",""?-00;"",""?00;"", //"""),"'","""")&amp;SUBSTITUTE(TEXT(IF(ISTEXT(Overig!P910),Overig!P910,10*Overig!P910),""",""????0;"",""???-0;"",""????0;"", ////"""),"'","""")&amp;SUBSTITUTE(TEXT(Overig!Q910,""",""?00;"",""?-00;"",""?00;"", //"""),"'","""")&amp;SUBSTITUTE(TEXT(Overig!R910,""",""????0;"",""???-0;"",""????0;"", ////"""),"'","""")&amp;SUBSTITUTE(TEXT(Overig!S910,""",""?00;"",""?-00;"",""?00;"", //"""),"'","""")&amp;SUBSTITUTE(TEXT(IF(ISTEXT(Overig!T910),Overig!T910,10*Overig!T910),""",""????0;"",""???-0;"",""????0;"", ////"""),"'","""")&amp;SUBSTITUTE(TEXT(Overig!U910,""",""?00;"",""?-00;"",""?00;"", //"""),"'","""")&amp;SUBSTITUTE(TEXT(Overig!V910,""",""???0;"",""??-0;"",""???0;"", ///"""),"'","""")&amp;SUBSTITUTE(TEXT(Overig!W910,""",""?00;"",""?-00;"",""?00;"", //"""),"'","""")</f>
        <v>032, 19400815, 07.00, 7589, 00,  263, 00, ////, 07, ////, 07,  80, 00,  205, 00,  236, 00,   45, 00,    5, 00,   3, 00</v>
      </c>
    </row>
    <row r="911" spans="1:1" x14ac:dyDescent="0.25">
      <c r="A911" s="12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//"""),"'","""")&amp;SUBSTITUTE(TEXT(IF(ISTEXT(Overig!J911),Overig!J911,10*Overig!J911),""",""????0;"",""???-0;"",""????0;"", ////"""),"'","""")&amp;SUBSTITUTE(TEXT(Overig!K911,""",""?00;"",""?-00;"",""?00;"", //"""),"'","""")&amp;SUBSTITUTE(TEXT(Overig!L911,""",""???0;"",""??-0;"",""???0;"", ///"""),"'","""")&amp;SUBSTITUTE(TEXT(Overig!M911,""",""?00;"",""?-00;"",""?00;"", //"""),"'","""")&amp;SUBSTITUTE(TEXT(IF(ISTEXT(Overig!N911),Overig!N911,10*Overig!N911),""",""????0;"",""???-0;"",""????0;"", ////"""),"'","""")&amp;SUBSTITUTE(TEXT(Overig!O911,""",""?00;"",""?-00;"",""?00;"", //"""),"'","""")&amp;SUBSTITUTE(TEXT(IF(ISTEXT(Overig!P911),Overig!P911,10*Overig!P911),""",""????0;"",""???-0;"",""????0;"", ////"""),"'","""")&amp;SUBSTITUTE(TEXT(Overig!Q911,""",""?00;"",""?-00;"",""?00;"", //"""),"'","""")&amp;SUBSTITUTE(TEXT(Overig!R911,""",""????0;"",""???-0;"",""????0;"", ////"""),"'","""")&amp;SUBSTITUTE(TEXT(Overig!S911,""",""?00;"",""?-00;"",""?00;"", //"""),"'","""")&amp;SUBSTITUTE(TEXT(IF(ISTEXT(Overig!T911),Overig!T911,10*Overig!T911),""",""????0;"",""???-0;"",""????0;"", ////"""),"'","""")&amp;SUBSTITUTE(TEXT(Overig!U911,""",""?00;"",""?-00;"",""?00;"", //"""),"'","""")&amp;SUBSTITUTE(TEXT(Overig!V911,""",""???0;"",""??-0;"",""???0;"", ///"""),"'","""")&amp;SUBSTITUTE(TEXT(Overig!W911,""",""?00;"",""?-00;"",""?00;"", //"""),"'","""")</f>
        <v>032, 19400815, 12.00, 7605, 00,  275, 00, ////, 07, ////, 07,  83, 00,  229, 00,  252, 00,   45, 00,    6, 00,   3, 00</v>
      </c>
    </row>
    <row r="912" spans="1:1" x14ac:dyDescent="0.25">
      <c r="A912" s="12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//"""),"'","""")&amp;SUBSTITUTE(TEXT(IF(ISTEXT(Overig!J912),Overig!J912,10*Overig!J912),""",""????0;"",""???-0;"",""????0;"", ////"""),"'","""")&amp;SUBSTITUTE(TEXT(Overig!K912,""",""?00;"",""?-00;"",""?00;"", //"""),"'","""")&amp;SUBSTITUTE(TEXT(Overig!L912,""",""???0;"",""??-0;"",""???0;"", ///"""),"'","""")&amp;SUBSTITUTE(TEXT(Overig!M912,""",""?00;"",""?-00;"",""?00;"", //"""),"'","""")&amp;SUBSTITUTE(TEXT(IF(ISTEXT(Overig!N912),Overig!N912,10*Overig!N912),""",""????0;"",""???-0;"",""????0;"", ////"""),"'","""")&amp;SUBSTITUTE(TEXT(Overig!O912,""",""?00;"",""?-00;"",""?00;"", //"""),"'","""")&amp;SUBSTITUTE(TEXT(IF(ISTEXT(Overig!P912),Overig!P912,10*Overig!P912),""",""????0;"",""???-0;"",""????0;"", ////"""),"'","""")&amp;SUBSTITUTE(TEXT(Overig!Q912,""",""?00;"",""?-00;"",""?00;"", //"""),"'","""")&amp;SUBSTITUTE(TEXT(Overig!R912,""",""????0;"",""???-0;"",""????0;"", ////"""),"'","""")&amp;SUBSTITUTE(TEXT(Overig!S912,""",""?00;"",""?-00;"",""?00;"", //"""),"'","""")&amp;SUBSTITUTE(TEXT(IF(ISTEXT(Overig!T912),Overig!T912,10*Overig!T912),""",""????0;"",""???-0;"",""????0;"", ////"""),"'","""")&amp;SUBSTITUTE(TEXT(Overig!U912,""",""?00;"",""?-00;"",""?00;"", //"""),"'","""")&amp;SUBSTITUTE(TEXT(Overig!V912,""",""???0;"",""??-0;"",""???0;"", ///"""),"'","""")&amp;SUBSTITUTE(TEXT(Overig!W912,""",""?00;"",""?-00;"",""?00;"", //"""),"'","""")</f>
        <v>032, 19400815, 17.00, 7592, 00,  269, 00, ////, 07, ////, 07,  84, 00,  224, 00,  248, 00,   45, 00,    5, 00,   3, 00</v>
      </c>
    </row>
    <row r="913" spans="1:1" x14ac:dyDescent="0.25">
      <c r="A913" s="12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//"""),"'","""")&amp;SUBSTITUTE(TEXT(IF(ISTEXT(Overig!J913),Overig!J913,10*Overig!J913),""",""????0;"",""???-0;"",""????0;"", ////"""),"'","""")&amp;SUBSTITUTE(TEXT(Overig!K913,""",""?00;"",""?-00;"",""?00;"", //"""),"'","""")&amp;SUBSTITUTE(TEXT(Overig!L913,""",""???0;"",""??-0;"",""???0;"", ///"""),"'","""")&amp;SUBSTITUTE(TEXT(Overig!M913,""",""?00;"",""?-00;"",""?00;"", //"""),"'","""")&amp;SUBSTITUTE(TEXT(IF(ISTEXT(Overig!N913),Overig!N913,10*Overig!N913),""",""????0;"",""???-0;"",""????0;"", ////"""),"'","""")&amp;SUBSTITUTE(TEXT(Overig!O913,""",""?00;"",""?-00;"",""?00;"", //"""),"'","""")&amp;SUBSTITUTE(TEXT(IF(ISTEXT(Overig!P913),Overig!P913,10*Overig!P913),""",""????0;"",""???-0;"",""????0;"", ////"""),"'","""")&amp;SUBSTITUTE(TEXT(Overig!Q913,""",""?00;"",""?-00;"",""?00;"", //"""),"'","""")&amp;SUBSTITUTE(TEXT(Overig!R913,""",""????0;"",""???-0;"",""????0;"", ////"""),"'","""")&amp;SUBSTITUTE(TEXT(Overig!S913,""",""?00;"",""?-00;"",""?00;"", //"""),"'","""")&amp;SUBSTITUTE(TEXT(IF(ISTEXT(Overig!T913),Overig!T913,10*Overig!T913),""",""????0;"",""???-0;"",""????0;"", ////"""),"'","""")&amp;SUBSTITUTE(TEXT(Overig!U913,""",""?00;"",""?-00;"",""?00;"", //"""),"'","""")&amp;SUBSTITUTE(TEXT(Overig!V913,""",""???0;"",""??-0;"",""???0;"", ///"""),"'","""")&amp;SUBSTITUTE(TEXT(Overig!W913,""",""?00;"",""?-00;"",""?00;"", //"""),"'","""")</f>
        <v>032, 19400815, 24.00, ////, 07, ////, 07,  290, 00,  300, 00, ///, 07, ////, 07, ////, 07, ////, 07, ////, 07, ///, 07</v>
      </c>
    </row>
    <row r="914" spans="1:1" x14ac:dyDescent="0.25">
      <c r="A914" s="12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//"""),"'","""")&amp;SUBSTITUTE(TEXT(IF(ISTEXT(Overig!J914),Overig!J914,10*Overig!J914),""",""????0;"",""???-0;"",""????0;"", ////"""),"'","""")&amp;SUBSTITUTE(TEXT(Overig!K914,""",""?00;"",""?-00;"",""?00;"", //"""),"'","""")&amp;SUBSTITUTE(TEXT(Overig!L914,""",""???0;"",""??-0;"",""???0;"", ///"""),"'","""")&amp;SUBSTITUTE(TEXT(Overig!M914,""",""?00;"",""?-00;"",""?00;"", //"""),"'","""")&amp;SUBSTITUTE(TEXT(IF(ISTEXT(Overig!N914),Overig!N914,10*Overig!N914),""",""????0;"",""???-0;"",""????0;"", ////"""),"'","""")&amp;SUBSTITUTE(TEXT(Overig!O914,""",""?00;"",""?-00;"",""?00;"", //"""),"'","""")&amp;SUBSTITUTE(TEXT(IF(ISTEXT(Overig!P914),Overig!P914,10*Overig!P914),""",""????0;"",""???-0;"",""????0;"", ////"""),"'","""")&amp;SUBSTITUTE(TEXT(Overig!Q914,""",""?00;"",""?-00;"",""?00;"", //"""),"'","""")&amp;SUBSTITUTE(TEXT(Overig!R914,""",""????0;"",""???-0;"",""????0;"", ////"""),"'","""")&amp;SUBSTITUTE(TEXT(Overig!S914,""",""?00;"",""?-00;"",""?00;"", //"""),"'","""")&amp;SUBSTITUTE(TEXT(IF(ISTEXT(Overig!T914),Overig!T914,10*Overig!T914),""",""????0;"",""???-0;"",""????0;"", ////"""),"'","""")&amp;SUBSTITUTE(TEXT(Overig!U914,""",""?00;"",""?-00;"",""?00;"", //"""),"'","""")&amp;SUBSTITUTE(TEXT(Overig!V914,""",""???0;"",""??-0;"",""???0;"", ///"""),"'","""")&amp;SUBSTITUTE(TEXT(Overig!W914,""",""?00;"",""?-00;"",""?00;"", //"""),"'","""")</f>
        <v>032, 19400816, 07.00, 7595, 00,  269, 00, ////, 07, ////, 07,  73, 00,  195, 00,  232, 00,   45, 00,    5, 00,   3, 00</v>
      </c>
    </row>
    <row r="915" spans="1:1" x14ac:dyDescent="0.25">
      <c r="A915" s="12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//"""),"'","""")&amp;SUBSTITUTE(TEXT(IF(ISTEXT(Overig!J915),Overig!J915,10*Overig!J915),""",""????0;"",""???-0;"",""????0;"", ////"""),"'","""")&amp;SUBSTITUTE(TEXT(Overig!K915,""",""?00;"",""?-00;"",""?00;"", //"""),"'","""")&amp;SUBSTITUTE(TEXT(Overig!L915,""",""???0;"",""??-0;"",""???0;"", ///"""),"'","""")&amp;SUBSTITUTE(TEXT(Overig!M915,""",""?00;"",""?-00;"",""?00;"", //"""),"'","""")&amp;SUBSTITUTE(TEXT(IF(ISTEXT(Overig!N915),Overig!N915,10*Overig!N915),""",""????0;"",""???-0;"",""????0;"", ////"""),"'","""")&amp;SUBSTITUTE(TEXT(Overig!O915,""",""?00;"",""?-00;"",""?00;"", //"""),"'","""")&amp;SUBSTITUTE(TEXT(IF(ISTEXT(Overig!P915),Overig!P915,10*Overig!P915),""",""????0;"",""???-0;"",""????0;"", ////"""),"'","""")&amp;SUBSTITUTE(TEXT(Overig!Q915,""",""?00;"",""?-00;"",""?00;"", //"""),"'","""")&amp;SUBSTITUTE(TEXT(Overig!R915,""",""????0;"",""???-0;"",""????0;"", ////"""),"'","""")&amp;SUBSTITUTE(TEXT(Overig!S915,""",""?00;"",""?-00;"",""?00;"", //"""),"'","""")&amp;SUBSTITUTE(TEXT(IF(ISTEXT(Overig!T915),Overig!T915,10*Overig!T915),""",""????0;"",""???-0;"",""????0;"", ////"""),"'","""")&amp;SUBSTITUTE(TEXT(Overig!U915,""",""?00;"",""?-00;"",""?00;"", //"""),"'","""")&amp;SUBSTITUTE(TEXT(Overig!V915,""",""???0;"",""??-0;"",""???0;"", ///"""),"'","""")&amp;SUBSTITUTE(TEXT(Overig!W915,""",""?00;"",""?-00;"",""?00;"", //"""),"'","""")</f>
        <v>032, 19400816, 12.00, 7612, 00,  275, 00, ////, 07, ////, 07,  80, 00,  221, 00,  248, 00,   45, 00,    6, 00,   4, 00</v>
      </c>
    </row>
    <row r="916" spans="1:1" x14ac:dyDescent="0.25">
      <c r="A916" s="12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//"""),"'","""")&amp;SUBSTITUTE(TEXT(IF(ISTEXT(Overig!J916),Overig!J916,10*Overig!J916),""",""????0;"",""???-0;"",""????0;"", ////"""),"'","""")&amp;SUBSTITUTE(TEXT(Overig!K916,""",""?00;"",""?-00;"",""?00;"", //"""),"'","""")&amp;SUBSTITUTE(TEXT(Overig!L916,""",""???0;"",""??-0;"",""???0;"", ///"""),"'","""")&amp;SUBSTITUTE(TEXT(Overig!M916,""",""?00;"",""?-00;"",""?00;"", //"""),"'","""")&amp;SUBSTITUTE(TEXT(IF(ISTEXT(Overig!N916),Overig!N916,10*Overig!N916),""",""????0;"",""???-0;"",""????0;"", ////"""),"'","""")&amp;SUBSTITUTE(TEXT(Overig!O916,""",""?00;"",""?-00;"",""?00;"", //"""),"'","""")&amp;SUBSTITUTE(TEXT(IF(ISTEXT(Overig!P916),Overig!P916,10*Overig!P916),""",""????0;"",""???-0;"",""????0;"", ////"""),"'","""")&amp;SUBSTITUTE(TEXT(Overig!Q916,""",""?00;"",""?-00;"",""?00;"", //"""),"'","""")&amp;SUBSTITUTE(TEXT(Overig!R916,""",""????0;"",""???-0;"",""????0;"", ////"""),"'","""")&amp;SUBSTITUTE(TEXT(Overig!S916,""",""?00;"",""?-00;"",""?00;"", //"""),"'","""")&amp;SUBSTITUTE(TEXT(IF(ISTEXT(Overig!T916),Overig!T916,10*Overig!T916),""",""????0;"",""???-0;"",""????0;"", ////"""),"'","""")&amp;SUBSTITUTE(TEXT(Overig!U916,""",""?00;"",""?-00;"",""?00;"", //"""),"'","""")&amp;SUBSTITUTE(TEXT(Overig!V916,""",""???0;"",""??-0;"",""???0;"", ///"""),"'","""")&amp;SUBSTITUTE(TEXT(Overig!W916,""",""?00;"",""?-00;"",""?00;"", //"""),"'","""")</f>
        <v>032, 19400816, 17.00, 7589, 00,  269, 00, ////, 07, ////, 07,  79, 00,  209, 00,  240, 00,   45, 00,    6, 00,   4, 00</v>
      </c>
    </row>
    <row r="917" spans="1:1" x14ac:dyDescent="0.25">
      <c r="A917" s="12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//"""),"'","""")&amp;SUBSTITUTE(TEXT(IF(ISTEXT(Overig!J917),Overig!J917,10*Overig!J917),""",""????0;"",""???-0;"",""????0;"", ////"""),"'","""")&amp;SUBSTITUTE(TEXT(Overig!K917,""",""?00;"",""?-00;"",""?00;"", //"""),"'","""")&amp;SUBSTITUTE(TEXT(Overig!L917,""",""???0;"",""??-0;"",""???0;"", ///"""),"'","""")&amp;SUBSTITUTE(TEXT(Overig!M917,""",""?00;"",""?-00;"",""?00;"", //"""),"'","""")&amp;SUBSTITUTE(TEXT(IF(ISTEXT(Overig!N917),Overig!N917,10*Overig!N917),""",""????0;"",""???-0;"",""????0;"", ////"""),"'","""")&amp;SUBSTITUTE(TEXT(Overig!O917,""",""?00;"",""?-00;"",""?00;"", //"""),"'","""")&amp;SUBSTITUTE(TEXT(IF(ISTEXT(Overig!P917),Overig!P917,10*Overig!P917),""",""????0;"",""???-0;"",""????0;"", ////"""),"'","""")&amp;SUBSTITUTE(TEXT(Overig!Q917,""",""?00;"",""?-00;"",""?00;"", //"""),"'","""")&amp;SUBSTITUTE(TEXT(Overig!R917,""",""????0;"",""???-0;"",""????0;"", ////"""),"'","""")&amp;SUBSTITUTE(TEXT(Overig!S917,""",""?00;"",""?-00;"",""?00;"", //"""),"'","""")&amp;SUBSTITUTE(TEXT(IF(ISTEXT(Overig!T917),Overig!T917,10*Overig!T917),""",""????0;"",""???-0;"",""????0;"", ////"""),"'","""")&amp;SUBSTITUTE(TEXT(Overig!U917,""",""?00;"",""?-00;"",""?00;"", //"""),"'","""")&amp;SUBSTITUTE(TEXT(Overig!V917,""",""???0;"",""??-0;"",""???0;"", ///"""),"'","""")&amp;SUBSTITUTE(TEXT(Overig!W917,""",""?00;"",""?-00;"",""?00;"", //"""),"'","""")</f>
        <v>032, 19400816, 24.00, ////, 07, ////, 07,  286, 00,  300, 00, ///, 07, ////, 07, ////, 07, ////, 07, ////, 07, ///, 07</v>
      </c>
    </row>
    <row r="918" spans="1:1" x14ac:dyDescent="0.25">
      <c r="A918" s="12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//"""),"'","""")&amp;SUBSTITUTE(TEXT(IF(ISTEXT(Overig!J918),Overig!J918,10*Overig!J918),""",""????0;"",""???-0;"",""????0;"", ////"""),"'","""")&amp;SUBSTITUTE(TEXT(Overig!K918,""",""?00;"",""?-00;"",""?00;"", //"""),"'","""")&amp;SUBSTITUTE(TEXT(Overig!L918,""",""???0;"",""??-0;"",""???0;"", ///"""),"'","""")&amp;SUBSTITUTE(TEXT(Overig!M918,""",""?00;"",""?-00;"",""?00;"", //"""),"'","""")&amp;SUBSTITUTE(TEXT(IF(ISTEXT(Overig!N918),Overig!N918,10*Overig!N918),""",""????0;"",""???-0;"",""????0;"", ////"""),"'","""")&amp;SUBSTITUTE(TEXT(Overig!O918,""",""?00;"",""?-00;"",""?00;"", //"""),"'","""")&amp;SUBSTITUTE(TEXT(IF(ISTEXT(Overig!P918),Overig!P918,10*Overig!P918),""",""????0;"",""???-0;"",""????0;"", ////"""),"'","""")&amp;SUBSTITUTE(TEXT(Overig!Q918,""",""?00;"",""?-00;"",""?00;"", //"""),"'","""")&amp;SUBSTITUTE(TEXT(Overig!R918,""",""????0;"",""???-0;"",""????0;"", ////"""),"'","""")&amp;SUBSTITUTE(TEXT(Overig!S918,""",""?00;"",""?-00;"",""?00;"", //"""),"'","""")&amp;SUBSTITUTE(TEXT(IF(ISTEXT(Overig!T918),Overig!T918,10*Overig!T918),""",""????0;"",""???-0;"",""????0;"", ////"""),"'","""")&amp;SUBSTITUTE(TEXT(Overig!U918,""",""?00;"",""?-00;"",""?00;"", //"""),"'","""")&amp;SUBSTITUTE(TEXT(Overig!V918,""",""???0;"",""??-0;"",""???0;"", ///"""),"'","""")&amp;SUBSTITUTE(TEXT(Overig!W918,""",""?00;"",""?-00;"",""?00;"", //"""),"'","""")</f>
        <v>032, 19400817, 07.00, 7585, 00,  270, 00, ////, 07, ////, 07,  79, 00,  212, 00,  242, 00,   45, 00,    6, 00,   3, 00</v>
      </c>
    </row>
    <row r="919" spans="1:1" x14ac:dyDescent="0.25">
      <c r="A919" s="12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//"""),"'","""")&amp;SUBSTITUTE(TEXT(IF(ISTEXT(Overig!J919),Overig!J919,10*Overig!J919),""",""????0;"",""???-0;"",""????0;"", ////"""),"'","""")&amp;SUBSTITUTE(TEXT(Overig!K919,""",""?00;"",""?-00;"",""?00;"", //"""),"'","""")&amp;SUBSTITUTE(TEXT(Overig!L919,""",""???0;"",""??-0;"",""???0;"", ///"""),"'","""")&amp;SUBSTITUTE(TEXT(Overig!M919,""",""?00;"",""?-00;"",""?00;"", //"""),"'","""")&amp;SUBSTITUTE(TEXT(IF(ISTEXT(Overig!N919),Overig!N919,10*Overig!N919),""",""????0;"",""???-0;"",""????0;"", ////"""),"'","""")&amp;SUBSTITUTE(TEXT(Overig!O919,""",""?00;"",""?-00;"",""?00;"", //"""),"'","""")&amp;SUBSTITUTE(TEXT(IF(ISTEXT(Overig!P919),Overig!P919,10*Overig!P919),""",""????0;"",""???-0;"",""????0;"", ////"""),"'","""")&amp;SUBSTITUTE(TEXT(Overig!Q919,""",""?00;"",""?-00;"",""?00;"", //"""),"'","""")&amp;SUBSTITUTE(TEXT(Overig!R919,""",""????0;"",""???-0;"",""????0;"", ////"""),"'","""")&amp;SUBSTITUTE(TEXT(Overig!S919,""",""?00;"",""?-00;"",""?00;"", //"""),"'","""")&amp;SUBSTITUTE(TEXT(IF(ISTEXT(Overig!T919),Overig!T919,10*Overig!T919),""",""????0;"",""???-0;"",""????0;"", ////"""),"'","""")&amp;SUBSTITUTE(TEXT(Overig!U919,""",""?00;"",""?-00;"",""?00;"", //"""),"'","""")&amp;SUBSTITUTE(TEXT(Overig!V919,""",""???0;"",""??-0;"",""???0;"", ///"""),"'","""")&amp;SUBSTITUTE(TEXT(Overig!W919,""",""?00;"",""?-00;"",""?00;"", //"""),"'","""")</f>
        <v>032, 19400817, 12.00, 7612, 00,  287, 00, ////, 07, ////, 07,  90, 00,  267, 00,  274, 00,   65, 00,    7, 00,   4, 00</v>
      </c>
    </row>
    <row r="920" spans="1:1" x14ac:dyDescent="0.25">
      <c r="A920" s="12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//"""),"'","""")&amp;SUBSTITUTE(TEXT(IF(ISTEXT(Overig!J920),Overig!J920,10*Overig!J920),""",""????0;"",""???-0;"",""????0;"", ////"""),"'","""")&amp;SUBSTITUTE(TEXT(Overig!K920,""",""?00;"",""?-00;"",""?00;"", //"""),"'","""")&amp;SUBSTITUTE(TEXT(Overig!L920,""",""???0;"",""??-0;"",""???0;"", ///"""),"'","""")&amp;SUBSTITUTE(TEXT(Overig!M920,""",""?00;"",""?-00;"",""?00;"", //"""),"'","""")&amp;SUBSTITUTE(TEXT(IF(ISTEXT(Overig!N920),Overig!N920,10*Overig!N920),""",""????0;"",""???-0;"",""????0;"", ////"""),"'","""")&amp;SUBSTITUTE(TEXT(Overig!O920,""",""?00;"",""?-00;"",""?00;"", //"""),"'","""")&amp;SUBSTITUTE(TEXT(IF(ISTEXT(Overig!P920),Overig!P920,10*Overig!P920),""",""????0;"",""???-0;"",""????0;"", ////"""),"'","""")&amp;SUBSTITUTE(TEXT(Overig!Q920,""",""?00;"",""?-00;"",""?00;"", //"""),"'","""")&amp;SUBSTITUTE(TEXT(Overig!R920,""",""????0;"",""???-0;"",""????0;"", ////"""),"'","""")&amp;SUBSTITUTE(TEXT(Overig!S920,""",""?00;"",""?-00;"",""?00;"", //"""),"'","""")&amp;SUBSTITUTE(TEXT(IF(ISTEXT(Overig!T920),Overig!T920,10*Overig!T920),""",""????0;"",""???-0;"",""????0;"", ////"""),"'","""")&amp;SUBSTITUTE(TEXT(Overig!U920,""",""?00;"",""?-00;"",""?00;"", //"""),"'","""")&amp;SUBSTITUTE(TEXT(Overig!V920,""",""???0;"",""??-0;"",""???0;"", ///"""),"'","""")&amp;SUBSTITUTE(TEXT(Overig!W920,""",""?00;"",""?-00;"",""?00;"", //"""),"'","""")</f>
        <v>032, 19400817, 17.00, 7595, 00,  279, 00, ////, 07, ////, 07,  93, 00,  263, 00,  270, 00,   65, 00,    7, 00,   3, 00</v>
      </c>
    </row>
    <row r="921" spans="1:1" x14ac:dyDescent="0.25">
      <c r="A921" s="12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//"""),"'","""")&amp;SUBSTITUTE(TEXT(IF(ISTEXT(Overig!J921),Overig!J921,10*Overig!J921),""",""????0;"",""???-0;"",""????0;"", ////"""),"'","""")&amp;SUBSTITUTE(TEXT(Overig!K921,""",""?00;"",""?-00;"",""?00;"", //"""),"'","""")&amp;SUBSTITUTE(TEXT(Overig!L921,""",""???0;"",""??-0;"",""???0;"", ///"""),"'","""")&amp;SUBSTITUTE(TEXT(Overig!M921,""",""?00;"",""?-00;"",""?00;"", //"""),"'","""")&amp;SUBSTITUTE(TEXT(IF(ISTEXT(Overig!N921),Overig!N921,10*Overig!N921),""",""????0;"",""???-0;"",""????0;"", ////"""),"'","""")&amp;SUBSTITUTE(TEXT(Overig!O921,""",""?00;"",""?-00;"",""?00;"", //"""),"'","""")&amp;SUBSTITUTE(TEXT(IF(ISTEXT(Overig!P921),Overig!P921,10*Overig!P921),""",""????0;"",""???-0;"",""????0;"", ////"""),"'","""")&amp;SUBSTITUTE(TEXT(Overig!Q921,""",""?00;"",""?-00;"",""?00;"", //"""),"'","""")&amp;SUBSTITUTE(TEXT(Overig!R921,""",""????0;"",""???-0;"",""????0;"", ////"""),"'","""")&amp;SUBSTITUTE(TEXT(Overig!S921,""",""?00;"",""?-00;"",""?00;"", //"""),"'","""")&amp;SUBSTITUTE(TEXT(IF(ISTEXT(Overig!T921),Overig!T921,10*Overig!T921),""",""????0;"",""???-0;"",""????0;"", ////"""),"'","""")&amp;SUBSTITUTE(TEXT(Overig!U921,""",""?00;"",""?-00;"",""?00;"", //"""),"'","""")&amp;SUBSTITUTE(TEXT(Overig!V921,""",""???0;"",""??-0;"",""???0;"", ///"""),"'","""")&amp;SUBSTITUTE(TEXT(Overig!W921,""",""?00;"",""?-00;"",""?00;"", //"""),"'","""")</f>
        <v>032, 19400817, 24.00, ////, 07, ////, 07,  296, 00,  310, 00, ///, 07, ////, 07, ////, 07, ////, 07, ////, 07, ///, 07</v>
      </c>
    </row>
    <row r="922" spans="1:1" x14ac:dyDescent="0.25">
      <c r="A922" s="12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//"""),"'","""")&amp;SUBSTITUTE(TEXT(IF(ISTEXT(Overig!J922),Overig!J922,10*Overig!J922),""",""????0;"",""???-0;"",""????0;"", ////"""),"'","""")&amp;SUBSTITUTE(TEXT(Overig!K922,""",""?00;"",""?-00;"",""?00;"", //"""),"'","""")&amp;SUBSTITUTE(TEXT(Overig!L922,""",""???0;"",""??-0;"",""???0;"", ///"""),"'","""")&amp;SUBSTITUTE(TEXT(Overig!M922,""",""?00;"",""?-00;"",""?00;"", //"""),"'","""")&amp;SUBSTITUTE(TEXT(IF(ISTEXT(Overig!N922),Overig!N922,10*Overig!N922),""",""????0;"",""???-0;"",""????0;"", ////"""),"'","""")&amp;SUBSTITUTE(TEXT(Overig!O922,""",""?00;"",""?-00;"",""?00;"", //"""),"'","""")&amp;SUBSTITUTE(TEXT(IF(ISTEXT(Overig!P922),Overig!P922,10*Overig!P922),""",""????0;"",""???-0;"",""????0;"", ////"""),"'","""")&amp;SUBSTITUTE(TEXT(Overig!Q922,""",""?00;"",""?-00;"",""?00;"", //"""),"'","""")&amp;SUBSTITUTE(TEXT(Overig!R922,""",""????0;"",""???-0;"",""????0;"", ////"""),"'","""")&amp;SUBSTITUTE(TEXT(Overig!S922,""",""?00;"",""?-00;"",""?00;"", //"""),"'","""")&amp;SUBSTITUTE(TEXT(IF(ISTEXT(Overig!T922),Overig!T922,10*Overig!T922),""",""????0;"",""???-0;"",""????0;"", ////"""),"'","""")&amp;SUBSTITUTE(TEXT(Overig!U922,""",""?00;"",""?-00;"",""?00;"", //"""),"'","""")&amp;SUBSTITUTE(TEXT(Overig!V922,""",""???0;"",""??-0;"",""???0;"", ///"""),"'","""")&amp;SUBSTITUTE(TEXT(Overig!W922,""",""?00;"",""?-00;"",""?00;"", //"""),"'","""")</f>
        <v>032, 19400818, 07.00, 7595, 00,  271, 00, ////, 07, ////, 07,  77, 00,  208, 00,  240, 00,   45, 00,    6, 00,   4, 00</v>
      </c>
    </row>
    <row r="923" spans="1:1" x14ac:dyDescent="0.25">
      <c r="A923" s="12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//"""),"'","""")&amp;SUBSTITUTE(TEXT(IF(ISTEXT(Overig!J923),Overig!J923,10*Overig!J923),""",""????0;"",""???-0;"",""????0;"", ////"""),"'","""")&amp;SUBSTITUTE(TEXT(Overig!K923,""",""?00;"",""?-00;"",""?00;"", //"""),"'","""")&amp;SUBSTITUTE(TEXT(Overig!L923,""",""???0;"",""??-0;"",""???0;"", ///"""),"'","""")&amp;SUBSTITUTE(TEXT(Overig!M923,""",""?00;"",""?-00;"",""?00;"", //"""),"'","""")&amp;SUBSTITUTE(TEXT(IF(ISTEXT(Overig!N923),Overig!N923,10*Overig!N923),""",""????0;"",""???-0;"",""????0;"", ////"""),"'","""")&amp;SUBSTITUTE(TEXT(Overig!O923,""",""?00;"",""?-00;"",""?00;"", //"""),"'","""")&amp;SUBSTITUTE(TEXT(IF(ISTEXT(Overig!P923),Overig!P923,10*Overig!P923),""",""????0;"",""???-0;"",""????0;"", ////"""),"'","""")&amp;SUBSTITUTE(TEXT(Overig!Q923,""",""?00;"",""?-00;"",""?00;"", //"""),"'","""")&amp;SUBSTITUTE(TEXT(Overig!R923,""",""????0;"",""???-0;"",""????0;"", ////"""),"'","""")&amp;SUBSTITUTE(TEXT(Overig!S923,""",""?00;"",""?-00;"",""?00;"", //"""),"'","""")&amp;SUBSTITUTE(TEXT(IF(ISTEXT(Overig!T923),Overig!T923,10*Overig!T923),""",""????0;"",""???-0;"",""????0;"", ////"""),"'","""")&amp;SUBSTITUTE(TEXT(Overig!U923,""",""?00;"",""?-00;"",""?00;"", //"""),"'","""")&amp;SUBSTITUTE(TEXT(Overig!V923,""",""???0;"",""??-0;"",""???0;"", ///"""),"'","""")&amp;SUBSTITUTE(TEXT(Overig!W923,""",""?00;"",""?-00;"",""?00;"", //"""),"'","""")</f>
        <v>032, 19400818, 12.00, 7610, 00,  285, 00, ////, 07, ////, 07,  89, 00,  260, 00,  270, 00,   65, 00,    7, 00,   5, 00</v>
      </c>
    </row>
    <row r="924" spans="1:1" x14ac:dyDescent="0.25">
      <c r="A924" s="12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//"""),"'","""")&amp;SUBSTITUTE(TEXT(IF(ISTEXT(Overig!J924),Overig!J924,10*Overig!J924),""",""????0;"",""???-0;"",""????0;"", ////"""),"'","""")&amp;SUBSTITUTE(TEXT(Overig!K924,""",""?00;"",""?-00;"",""?00;"", //"""),"'","""")&amp;SUBSTITUTE(TEXT(Overig!L924,""",""???0;"",""??-0;"",""???0;"", ///"""),"'","""")&amp;SUBSTITUTE(TEXT(Overig!M924,""",""?00;"",""?-00;"",""?00;"", //"""),"'","""")&amp;SUBSTITUTE(TEXT(IF(ISTEXT(Overig!N924),Overig!N924,10*Overig!N924),""",""????0;"",""???-0;"",""????0;"", ////"""),"'","""")&amp;SUBSTITUTE(TEXT(Overig!O924,""",""?00;"",""?-00;"",""?00;"", //"""),"'","""")&amp;SUBSTITUTE(TEXT(IF(ISTEXT(Overig!P924),Overig!P924,10*Overig!P924),""",""????0;"",""???-0;"",""????0;"", ////"""),"'","""")&amp;SUBSTITUTE(TEXT(Overig!Q924,""",""?00;"",""?-00;"",""?00;"", //"""),"'","""")&amp;SUBSTITUTE(TEXT(Overig!R924,""",""????0;"",""???-0;"",""????0;"", ////"""),"'","""")&amp;SUBSTITUTE(TEXT(Overig!S924,""",""?00;"",""?-00;"",""?00;"", //"""),"'","""")&amp;SUBSTITUTE(TEXT(IF(ISTEXT(Overig!T924),Overig!T924,10*Overig!T924),""",""????0;"",""???-0;"",""????0;"", ////"""),"'","""")&amp;SUBSTITUTE(TEXT(Overig!U924,""",""?00;"",""?-00;"",""?00;"", //"""),"'","""")&amp;SUBSTITUTE(TEXT(Overig!V924,""",""???0;"",""??-0;"",""???0;"", ///"""),"'","""")&amp;SUBSTITUTE(TEXT(Overig!W924,""",""?00;"",""?-00;"",""?00;"", //"""),"'","""")</f>
        <v>032, 19400818, 17.00, 7589, 00,  281, 00, ////, 07, ////, 07,  90, 00,  258, 00,  268, 00,   65, 00,    7, 00,   5, 00</v>
      </c>
    </row>
    <row r="925" spans="1:1" x14ac:dyDescent="0.25">
      <c r="A925" s="12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//"""),"'","""")&amp;SUBSTITUTE(TEXT(IF(ISTEXT(Overig!J925),Overig!J925,10*Overig!J925),""",""????0;"",""???-0;"",""????0;"", ////"""),"'","""")&amp;SUBSTITUTE(TEXT(Overig!K925,""",""?00;"",""?-00;"",""?00;"", //"""),"'","""")&amp;SUBSTITUTE(TEXT(Overig!L925,""",""???0;"",""??-0;"",""???0;"", ///"""),"'","""")&amp;SUBSTITUTE(TEXT(Overig!M925,""",""?00;"",""?-00;"",""?00;"", //"""),"'","""")&amp;SUBSTITUTE(TEXT(IF(ISTEXT(Overig!N925),Overig!N925,10*Overig!N925),""",""????0;"",""???-0;"",""????0;"", ////"""),"'","""")&amp;SUBSTITUTE(TEXT(Overig!O925,""",""?00;"",""?-00;"",""?00;"", //"""),"'","""")&amp;SUBSTITUTE(TEXT(IF(ISTEXT(Overig!P925),Overig!P925,10*Overig!P925),""",""????0;"",""???-0;"",""????0;"", ////"""),"'","""")&amp;SUBSTITUTE(TEXT(Overig!Q925,""",""?00;"",""?-00;"",""?00;"", //"""),"'","""")&amp;SUBSTITUTE(TEXT(Overig!R925,""",""????0;"",""???-0;"",""????0;"", ////"""),"'","""")&amp;SUBSTITUTE(TEXT(Overig!S925,""",""?00;"",""?-00;"",""?00;"", //"""),"'","""")&amp;SUBSTITUTE(TEXT(IF(ISTEXT(Overig!T925),Overig!T925,10*Overig!T925),""",""????0;"",""???-0;"",""????0;"", ////"""),"'","""")&amp;SUBSTITUTE(TEXT(Overig!U925,""",""?00;"",""?-00;"",""?00;"", //"""),"'","""")&amp;SUBSTITUTE(TEXT(Overig!V925,""",""???0;"",""??-0;"",""???0;"", ///"""),"'","""")&amp;SUBSTITUTE(TEXT(Overig!W925,""",""?00;"",""?-00;"",""?00;"", //"""),"'","""")</f>
        <v>032, 19400818, 24.00, ////, 07, ////, 07,  294, 00,  310, 00, ///, 07, ////, 07, ////, 07, ////, 07, ////, 07, ///, 07</v>
      </c>
    </row>
    <row r="926" spans="1:1" x14ac:dyDescent="0.25">
      <c r="A926" s="12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//"""),"'","""")&amp;SUBSTITUTE(TEXT(IF(ISTEXT(Overig!J926),Overig!J926,10*Overig!J926),""",""????0;"",""???-0;"",""????0;"", ////"""),"'","""")&amp;SUBSTITUTE(TEXT(Overig!K926,""",""?00;"",""?-00;"",""?00;"", //"""),"'","""")&amp;SUBSTITUTE(TEXT(Overig!L926,""",""???0;"",""??-0;"",""???0;"", ///"""),"'","""")&amp;SUBSTITUTE(TEXT(Overig!M926,""",""?00;"",""?-00;"",""?00;"", //"""),"'","""")&amp;SUBSTITUTE(TEXT(IF(ISTEXT(Overig!N926),Overig!N926,10*Overig!N926),""",""????0;"",""???-0;"",""????0;"", ////"""),"'","""")&amp;SUBSTITUTE(TEXT(Overig!O926,""",""?00;"",""?-00;"",""?00;"", //"""),"'","""")&amp;SUBSTITUTE(TEXT(IF(ISTEXT(Overig!P926),Overig!P926,10*Overig!P926),""",""????0;"",""???-0;"",""????0;"", ////"""),"'","""")&amp;SUBSTITUTE(TEXT(Overig!Q926,""",""?00;"",""?-00;"",""?00;"", //"""),"'","""")&amp;SUBSTITUTE(TEXT(Overig!R926,""",""????0;"",""???-0;"",""????0;"", ////"""),"'","""")&amp;SUBSTITUTE(TEXT(Overig!S926,""",""?00;"",""?-00;"",""?00;"", //"""),"'","""")&amp;SUBSTITUTE(TEXT(IF(ISTEXT(Overig!T926),Overig!T926,10*Overig!T926),""",""????0;"",""???-0;"",""????0;"", ////"""),"'","""")&amp;SUBSTITUTE(TEXT(Overig!U926,""",""?00;"",""?-00;"",""?00;"", //"""),"'","""")&amp;SUBSTITUTE(TEXT(Overig!V926,""",""???0;"",""??-0;"",""???0;"", ///"""),"'","""")&amp;SUBSTITUTE(TEXT(Overig!W926,""",""?00;"",""?-00;"",""?00;"", //"""),"'","""")</f>
        <v>032, 19400819, 07.00, 7589, 00,  275, 00, ////, 07, ////, 07,  76, 00,  210, 00,  242, 00,   45, 00,    6, 00,   4, 00</v>
      </c>
    </row>
    <row r="927" spans="1:1" x14ac:dyDescent="0.25">
      <c r="A927" s="12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//"""),"'","""")&amp;SUBSTITUTE(TEXT(IF(ISTEXT(Overig!J927),Overig!J927,10*Overig!J927),""",""????0;"",""???-0;"",""????0;"", ////"""),"'","""")&amp;SUBSTITUTE(TEXT(Overig!K927,""",""?00;"",""?-00;"",""?00;"", //"""),"'","""")&amp;SUBSTITUTE(TEXT(Overig!L927,""",""???0;"",""??-0;"",""???0;"", ///"""),"'","""")&amp;SUBSTITUTE(TEXT(Overig!M927,""",""?00;"",""?-00;"",""?00;"", //"""),"'","""")&amp;SUBSTITUTE(TEXT(IF(ISTEXT(Overig!N927),Overig!N927,10*Overig!N927),""",""????0;"",""???-0;"",""????0;"", ////"""),"'","""")&amp;SUBSTITUTE(TEXT(Overig!O927,""",""?00;"",""?-00;"",""?00;"", //"""),"'","""")&amp;SUBSTITUTE(TEXT(IF(ISTEXT(Overig!P927),Overig!P927,10*Overig!P927),""",""????0;"",""???-0;"",""????0;"", ////"""),"'","""")&amp;SUBSTITUTE(TEXT(Overig!Q927,""",""?00;"",""?-00;"",""?00;"", //"""),"'","""")&amp;SUBSTITUTE(TEXT(Overig!R927,""",""????0;"",""???-0;"",""????0;"", ////"""),"'","""")&amp;SUBSTITUTE(TEXT(Overig!S927,""",""?00;"",""?-00;"",""?00;"", //"""),"'","""")&amp;SUBSTITUTE(TEXT(IF(ISTEXT(Overig!T927),Overig!T927,10*Overig!T927),""",""????0;"",""???-0;"",""????0;"", ////"""),"'","""")&amp;SUBSTITUTE(TEXT(Overig!U927,""",""?00;"",""?-00;"",""?00;"", //"""),"'","""")&amp;SUBSTITUTE(TEXT(Overig!V927,""",""???0;"",""??-0;"",""???0;"", ///"""),"'","""")&amp;SUBSTITUTE(TEXT(Overig!W927,""",""?00;"",""?-00;"",""?00;"", //"""),"'","""")</f>
        <v>032, 19400819, 12.00, 7602, 00,  283, 00, ////, 07, ////, 07,  96, 00,  276, 00,  277, 00,   65, 00,    7, 00,   5, 00</v>
      </c>
    </row>
    <row r="928" spans="1:1" x14ac:dyDescent="0.25">
      <c r="A928" s="12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//"""),"'","""")&amp;SUBSTITUTE(TEXT(IF(ISTEXT(Overig!J928),Overig!J928,10*Overig!J928),""",""????0;"",""???-0;"",""????0;"", ////"""),"'","""")&amp;SUBSTITUTE(TEXT(Overig!K928,""",""?00;"",""?-00;"",""?00;"", //"""),"'","""")&amp;SUBSTITUTE(TEXT(Overig!L928,""",""???0;"",""??-0;"",""???0;"", ///"""),"'","""")&amp;SUBSTITUTE(TEXT(Overig!M928,""",""?00;"",""?-00;"",""?00;"", //"""),"'","""")&amp;SUBSTITUTE(TEXT(IF(ISTEXT(Overig!N928),Overig!N928,10*Overig!N928),""",""????0;"",""???-0;"",""????0;"", ////"""),"'","""")&amp;SUBSTITUTE(TEXT(Overig!O928,""",""?00;"",""?-00;"",""?00;"", //"""),"'","""")&amp;SUBSTITUTE(TEXT(IF(ISTEXT(Overig!P928),Overig!P928,10*Overig!P928),""",""????0;"",""???-0;"",""????0;"", ////"""),"'","""")&amp;SUBSTITUTE(TEXT(Overig!Q928,""",""?00;"",""?-00;"",""?00;"", //"""),"'","""")&amp;SUBSTITUTE(TEXT(Overig!R928,""",""????0;"",""???-0;"",""????0;"", ////"""),"'","""")&amp;SUBSTITUTE(TEXT(Overig!S928,""",""?00;"",""?-00;"",""?00;"", //"""),"'","""")&amp;SUBSTITUTE(TEXT(IF(ISTEXT(Overig!T928),Overig!T928,10*Overig!T928),""",""????0;"",""???-0;"",""????0;"", ////"""),"'","""")&amp;SUBSTITUTE(TEXT(Overig!U928,""",""?00;"",""?-00;"",""?00;"", //"""),"'","""")&amp;SUBSTITUTE(TEXT(Overig!V928,""",""???0;"",""??-0;"",""???0;"", ///"""),"'","""")&amp;SUBSTITUTE(TEXT(Overig!W928,""",""?00;"",""?-00;"",""?00;"", //"""),"'","""")</f>
        <v>032, 19400819, 17.00, 7600, 00,  281, 00, ////, 07, ////, 07,  92, 00,  262, 00,  270, 00,   65, 00,    7, 00,   4, 00</v>
      </c>
    </row>
    <row r="929" spans="1:1" x14ac:dyDescent="0.25">
      <c r="A929" s="12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//"""),"'","""")&amp;SUBSTITUTE(TEXT(IF(ISTEXT(Overig!J929),Overig!J929,10*Overig!J929),""",""????0;"",""???-0;"",""????0;"", ////"""),"'","""")&amp;SUBSTITUTE(TEXT(Overig!K929,""",""?00;"",""?-00;"",""?00;"", //"""),"'","""")&amp;SUBSTITUTE(TEXT(Overig!L929,""",""???0;"",""??-0;"",""???0;"", ///"""),"'","""")&amp;SUBSTITUTE(TEXT(Overig!M929,""",""?00;"",""?-00;"",""?00;"", //"""),"'","""")&amp;SUBSTITUTE(TEXT(IF(ISTEXT(Overig!N929),Overig!N929,10*Overig!N929),""",""????0;"",""???-0;"",""????0;"", ////"""),"'","""")&amp;SUBSTITUTE(TEXT(Overig!O929,""",""?00;"",""?-00;"",""?00;"", //"""),"'","""")&amp;SUBSTITUTE(TEXT(IF(ISTEXT(Overig!P929),Overig!P929,10*Overig!P929),""",""????0;"",""???-0;"",""????0;"", ////"""),"'","""")&amp;SUBSTITUTE(TEXT(Overig!Q929,""",""?00;"",""?-00;"",""?00;"", //"""),"'","""")&amp;SUBSTITUTE(TEXT(Overig!R929,""",""????0;"",""???-0;"",""????0;"", ////"""),"'","""")&amp;SUBSTITUTE(TEXT(Overig!S929,""",""?00;"",""?-00;"",""?00;"", //"""),"'","""")&amp;SUBSTITUTE(TEXT(IF(ISTEXT(Overig!T929),Overig!T929,10*Overig!T929),""",""????0;"",""???-0;"",""????0;"", ////"""),"'","""")&amp;SUBSTITUTE(TEXT(Overig!U929,""",""?00;"",""?-00;"",""?00;"", //"""),"'","""")&amp;SUBSTITUTE(TEXT(Overig!V929,""",""???0;"",""??-0;"",""???0;"", ///"""),"'","""")&amp;SUBSTITUTE(TEXT(Overig!W929,""",""?00;"",""?-00;"",""?00;"", //"""),"'","""")</f>
        <v>032, 19400819, 24.00, ////, 07, ////, 07,  292, 00,  315, 00, ///, 07, ////, 07, ////, 07, ////, 07, ////, 07, ///, 07</v>
      </c>
    </row>
    <row r="930" spans="1:1" x14ac:dyDescent="0.25">
      <c r="A930" s="12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//"""),"'","""")&amp;SUBSTITUTE(TEXT(IF(ISTEXT(Overig!J930),Overig!J930,10*Overig!J930),""",""????0;"",""???-0;"",""????0;"", ////"""),"'","""")&amp;SUBSTITUTE(TEXT(Overig!K930,""",""?00;"",""?-00;"",""?00;"", //"""),"'","""")&amp;SUBSTITUTE(TEXT(Overig!L930,""",""???0;"",""??-0;"",""???0;"", ///"""),"'","""")&amp;SUBSTITUTE(TEXT(Overig!M930,""",""?00;"",""?-00;"",""?00;"", //"""),"'","""")&amp;SUBSTITUTE(TEXT(IF(ISTEXT(Overig!N930),Overig!N930,10*Overig!N930),""",""????0;"",""???-0;"",""????0;"", ////"""),"'","""")&amp;SUBSTITUTE(TEXT(Overig!O930,""",""?00;"",""?-00;"",""?00;"", //"""),"'","""")&amp;SUBSTITUTE(TEXT(IF(ISTEXT(Overig!P930),Overig!P930,10*Overig!P930),""",""????0;"",""???-0;"",""????0;"", ////"""),"'","""")&amp;SUBSTITUTE(TEXT(Overig!Q930,""",""?00;"",""?-00;"",""?00;"", //"""),"'","""")&amp;SUBSTITUTE(TEXT(Overig!R930,""",""????0;"",""???-0;"",""????0;"", ////"""),"'","""")&amp;SUBSTITUTE(TEXT(Overig!S930,""",""?00;"",""?-00;"",""?00;"", //"""),"'","""")&amp;SUBSTITUTE(TEXT(IF(ISTEXT(Overig!T930),Overig!T930,10*Overig!T930),""",""????0;"",""???-0;"",""????0;"", ////"""),"'","""")&amp;SUBSTITUTE(TEXT(Overig!U930,""",""?00;"",""?-00;"",""?00;"", //"""),"'","""")&amp;SUBSTITUTE(TEXT(Overig!V930,""",""???0;"",""??-0;"",""???0;"", ///"""),"'","""")&amp;SUBSTITUTE(TEXT(Overig!W930,""",""?00;"",""?-00;"",""?00;"", //"""),"'","""")</f>
        <v>032, 19400820, 07.00, 7572, 00,  273, 00, ////, 07, ////, 07,  76, 00,  207, 00,  240, 00,   45, 00,    6, 00,   4, 00</v>
      </c>
    </row>
    <row r="931" spans="1:1" x14ac:dyDescent="0.25">
      <c r="A931" s="12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//"""),"'","""")&amp;SUBSTITUTE(TEXT(IF(ISTEXT(Overig!J931),Overig!J931,10*Overig!J931),""",""????0;"",""???-0;"",""????0;"", ////"""),"'","""")&amp;SUBSTITUTE(TEXT(Overig!K931,""",""?00;"",""?-00;"",""?00;"", //"""),"'","""")&amp;SUBSTITUTE(TEXT(Overig!L931,""",""???0;"",""??-0;"",""???0;"", ///"""),"'","""")&amp;SUBSTITUTE(TEXT(Overig!M931,""",""?00;"",""?-00;"",""?00;"", //"""),"'","""")&amp;SUBSTITUTE(TEXT(IF(ISTEXT(Overig!N931),Overig!N931,10*Overig!N931),""",""????0;"",""???-0;"",""????0;"", ////"""),"'","""")&amp;SUBSTITUTE(TEXT(Overig!O931,""",""?00;"",""?-00;"",""?00;"", //"""),"'","""")&amp;SUBSTITUTE(TEXT(IF(ISTEXT(Overig!P931),Overig!P931,10*Overig!P931),""",""????0;"",""???-0;"",""????0;"", ////"""),"'","""")&amp;SUBSTITUTE(TEXT(Overig!Q931,""",""?00;"",""?-00;"",""?00;"", //"""),"'","""")&amp;SUBSTITUTE(TEXT(Overig!R931,""",""????0;"",""???-0;"",""????0;"", ////"""),"'","""")&amp;SUBSTITUTE(TEXT(Overig!S931,""",""?00;"",""?-00;"",""?00;"", //"""),"'","""")&amp;SUBSTITUTE(TEXT(IF(ISTEXT(Overig!T931),Overig!T931,10*Overig!T931),""",""????0;"",""???-0;"",""????0;"", ////"""),"'","""")&amp;SUBSTITUTE(TEXT(Overig!U931,""",""?00;"",""?-00;"",""?00;"", //"""),"'","""")&amp;SUBSTITUTE(TEXT(Overig!V931,""",""???0;"",""??-0;"",""???0;"", ///"""),"'","""")&amp;SUBSTITUTE(TEXT(Overig!W931,""",""?00;"",""?-00;"",""?00;"", //"""),"'","""")</f>
        <v>032, 19400820, 12.00, 7605, 00,  281, 00, ////, 07, ////, 07,  94, 00,  268, 00,  273, 00,   65, 00,    7, 00,   4, 00</v>
      </c>
    </row>
    <row r="932" spans="1:1" x14ac:dyDescent="0.25">
      <c r="A932" s="12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//"""),"'","""")&amp;SUBSTITUTE(TEXT(IF(ISTEXT(Overig!J932),Overig!J932,10*Overig!J932),""",""????0;"",""???-0;"",""????0;"", ////"""),"'","""")&amp;SUBSTITUTE(TEXT(Overig!K932,""",""?00;"",""?-00;"",""?00;"", //"""),"'","""")&amp;SUBSTITUTE(TEXT(Overig!L932,""",""???0;"",""??-0;"",""???0;"", ///"""),"'","""")&amp;SUBSTITUTE(TEXT(Overig!M932,""",""?00;"",""?-00;"",""?00;"", //"""),"'","""")&amp;SUBSTITUTE(TEXT(IF(ISTEXT(Overig!N932),Overig!N932,10*Overig!N932),""",""????0;"",""???-0;"",""????0;"", ////"""),"'","""")&amp;SUBSTITUTE(TEXT(Overig!O932,""",""?00;"",""?-00;"",""?00;"", //"""),"'","""")&amp;SUBSTITUTE(TEXT(IF(ISTEXT(Overig!P932),Overig!P932,10*Overig!P932),""",""????0;"",""???-0;"",""????0;"", ////"""),"'","""")&amp;SUBSTITUTE(TEXT(Overig!Q932,""",""?00;"",""?-00;"",""?00;"", //"""),"'","""")&amp;SUBSTITUTE(TEXT(Overig!R932,""",""????0;"",""???-0;"",""????0;"", ////"""),"'","""")&amp;SUBSTITUTE(TEXT(Overig!S932,""",""?00;"",""?-00;"",""?00;"", //"""),"'","""")&amp;SUBSTITUTE(TEXT(IF(ISTEXT(Overig!T932),Overig!T932,10*Overig!T932),""",""????0;"",""???-0;"",""????0;"", ////"""),"'","""")&amp;SUBSTITUTE(TEXT(Overig!U932,""",""?00;"",""?-00;"",""?00;"", //"""),"'","""")&amp;SUBSTITUTE(TEXT(Overig!V932,""",""???0;"",""??-0;"",""???0;"", ///"""),"'","""")&amp;SUBSTITUTE(TEXT(Overig!W932,""",""?00;"",""?-00;"",""?00;"", //"""),"'","""")</f>
        <v>032, 19400820, 17.00, 7597, 00,  279, 00, ////, 07, ////, 07,  92, 00,  259, 00,  268, 00,   65, 00,    7, 00,   4, 00</v>
      </c>
    </row>
    <row r="933" spans="1:1" x14ac:dyDescent="0.25">
      <c r="A933" s="12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//"""),"'","""")&amp;SUBSTITUTE(TEXT(IF(ISTEXT(Overig!J933),Overig!J933,10*Overig!J933),""",""????0;"",""???-0;"",""????0;"", ////"""),"'","""")&amp;SUBSTITUTE(TEXT(Overig!K933,""",""?00;"",""?-00;"",""?00;"", //"""),"'","""")&amp;SUBSTITUTE(TEXT(Overig!L933,""",""???0;"",""??-0;"",""???0;"", ///"""),"'","""")&amp;SUBSTITUTE(TEXT(Overig!M933,""",""?00;"",""?-00;"",""?00;"", //"""),"'","""")&amp;SUBSTITUTE(TEXT(IF(ISTEXT(Overig!N933),Overig!N933,10*Overig!N933),""",""????0;"",""???-0;"",""????0;"", ////"""),"'","""")&amp;SUBSTITUTE(TEXT(Overig!O933,""",""?00;"",""?-00;"",""?00;"", //"""),"'","""")&amp;SUBSTITUTE(TEXT(IF(ISTEXT(Overig!P933),Overig!P933,10*Overig!P933),""",""????0;"",""???-0;"",""????0;"", ////"""),"'","""")&amp;SUBSTITUTE(TEXT(Overig!Q933,""",""?00;"",""?-00;"",""?00;"", //"""),"'","""")&amp;SUBSTITUTE(TEXT(Overig!R933,""",""????0;"",""???-0;"",""????0;"", ////"""),"'","""")&amp;SUBSTITUTE(TEXT(Overig!S933,""",""?00;"",""?-00;"",""?00;"", //"""),"'","""")&amp;SUBSTITUTE(TEXT(IF(ISTEXT(Overig!T933),Overig!T933,10*Overig!T933),""",""????0;"",""???-0;"",""????0;"", ////"""),"'","""")&amp;SUBSTITUTE(TEXT(Overig!U933,""",""?00;"",""?-00;"",""?00;"", //"""),"'","""")&amp;SUBSTITUTE(TEXT(Overig!V933,""",""???0;"",""??-0;"",""???0;"", ///"""),"'","""")&amp;SUBSTITUTE(TEXT(Overig!W933,""",""?00;"",""?-00;"",""?00;"", //"""),"'","""")</f>
        <v>032, 19400820, 24.00, ////, 07, ////, 07,  302, 00,  316, 00, ///, 07, ////, 07, ////, 07, ////, 07, ////, 07, ///, 07</v>
      </c>
    </row>
    <row r="934" spans="1:1" x14ac:dyDescent="0.25">
      <c r="A934" s="12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//"""),"'","""")&amp;SUBSTITUTE(TEXT(IF(ISTEXT(Overig!J934),Overig!J934,10*Overig!J934),""",""????0;"",""???-0;"",""????0;"", ////"""),"'","""")&amp;SUBSTITUTE(TEXT(Overig!K934,""",""?00;"",""?-00;"",""?00;"", //"""),"'","""")&amp;SUBSTITUTE(TEXT(Overig!L934,""",""???0;"",""??-0;"",""???0;"", ///"""),"'","""")&amp;SUBSTITUTE(TEXT(Overig!M934,""",""?00;"",""?-00;"",""?00;"", //"""),"'","""")&amp;SUBSTITUTE(TEXT(IF(ISTEXT(Overig!N934),Overig!N934,10*Overig!N934),""",""????0;"",""???-0;"",""????0;"", ////"""),"'","""")&amp;SUBSTITUTE(TEXT(Overig!O934,""",""?00;"",""?-00;"",""?00;"", //"""),"'","""")&amp;SUBSTITUTE(TEXT(IF(ISTEXT(Overig!P934),Overig!P934,10*Overig!P934),""",""????0;"",""???-0;"",""????0;"", ////"""),"'","""")&amp;SUBSTITUTE(TEXT(Overig!Q934,""",""?00;"",""?-00;"",""?00;"", //"""),"'","""")&amp;SUBSTITUTE(TEXT(Overig!R934,""",""????0;"",""???-0;"",""????0;"", ////"""),"'","""")&amp;SUBSTITUTE(TEXT(Overig!S934,""",""?00;"",""?-00;"",""?00;"", //"""),"'","""")&amp;SUBSTITUTE(TEXT(IF(ISTEXT(Overig!T934),Overig!T934,10*Overig!T934),""",""????0;"",""???-0;"",""????0;"", ////"""),"'","""")&amp;SUBSTITUTE(TEXT(Overig!U934,""",""?00;"",""?-00;"",""?00;"", //"""),"'","""")&amp;SUBSTITUTE(TEXT(Overig!V934,""",""???0;"",""??-0;"",""???0;"", ///"""),"'","""")&amp;SUBSTITUTE(TEXT(Overig!W934,""",""?00;"",""?-00;"",""?00;"", //"""),"'","""")</f>
        <v>032, 19400821, 07.00, 7582, 00,  285, 00, ////, 07, ////, 07,  92, 00,  268, 00,  274, 00,   45, 00,    6, 00,   3, 00</v>
      </c>
    </row>
    <row r="935" spans="1:1" x14ac:dyDescent="0.25">
      <c r="A935" s="12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//"""),"'","""")&amp;SUBSTITUTE(TEXT(IF(ISTEXT(Overig!J935),Overig!J935,10*Overig!J935),""",""????0;"",""???-0;"",""????0;"", ////"""),"'","""")&amp;SUBSTITUTE(TEXT(Overig!K935,""",""?00;"",""?-00;"",""?00;"", //"""),"'","""")&amp;SUBSTITUTE(TEXT(Overig!L935,""",""???0;"",""??-0;"",""???0;"", ///"""),"'","""")&amp;SUBSTITUTE(TEXT(Overig!M935,""",""?00;"",""?-00;"",""?00;"", //"""),"'","""")&amp;SUBSTITUTE(TEXT(IF(ISTEXT(Overig!N935),Overig!N935,10*Overig!N935),""",""????0;"",""???-0;"",""????0;"", ////"""),"'","""")&amp;SUBSTITUTE(TEXT(Overig!O935,""",""?00;"",""?-00;"",""?00;"", //"""),"'","""")&amp;SUBSTITUTE(TEXT(IF(ISTEXT(Overig!P935),Overig!P935,10*Overig!P935),""",""????0;"",""???-0;"",""????0;"", ////"""),"'","""")&amp;SUBSTITUTE(TEXT(Overig!Q935,""",""?00;"",""?-00;"",""?00;"", //"""),"'","""")&amp;SUBSTITUTE(TEXT(Overig!R935,""",""????0;"",""???-0;"",""????0;"", ////"""),"'","""")&amp;SUBSTITUTE(TEXT(Overig!S935,""",""?00;"",""?-00;"",""?00;"", //"""),"'","""")&amp;SUBSTITUTE(TEXT(IF(ISTEXT(Overig!T935),Overig!T935,10*Overig!T935),""",""????0;"",""???-0;"",""????0;"", ////"""),"'","""")&amp;SUBSTITUTE(TEXT(Overig!U935,""",""?00;"",""?-00;"",""?00;"", //"""),"'","""")&amp;SUBSTITUTE(TEXT(Overig!V935,""",""???0;"",""??-0;"",""???0;"", ///"""),"'","""")&amp;SUBSTITUTE(TEXT(Overig!W935,""",""?00;"",""?-00;"",""?00;"", //"""),"'","""")</f>
        <v>032, 19400821, 12.00, 7602, 00,  289, 00, ////, 07, ////, 07,  91, 00,  270, 00,  276, 00,   45, 00,    7, 00,   3, 00</v>
      </c>
    </row>
    <row r="936" spans="1:1" x14ac:dyDescent="0.25">
      <c r="A936" s="12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//"""),"'","""")&amp;SUBSTITUTE(TEXT(IF(ISTEXT(Overig!J936),Overig!J936,10*Overig!J936),""",""????0;"",""???-0;"",""????0;"", ////"""),"'","""")&amp;SUBSTITUTE(TEXT(Overig!K936,""",""?00;"",""?-00;"",""?00;"", //"""),"'","""")&amp;SUBSTITUTE(TEXT(Overig!L936,""",""???0;"",""??-0;"",""???0;"", ///"""),"'","""")&amp;SUBSTITUTE(TEXT(Overig!M936,""",""?00;"",""?-00;"",""?00;"", //"""),"'","""")&amp;SUBSTITUTE(TEXT(IF(ISTEXT(Overig!N936),Overig!N936,10*Overig!N936),""",""????0;"",""???-0;"",""????0;"", ////"""),"'","""")&amp;SUBSTITUTE(TEXT(Overig!O936,""",""?00;"",""?-00;"",""?00;"", //"""),"'","""")&amp;SUBSTITUTE(TEXT(IF(ISTEXT(Overig!P936),Overig!P936,10*Overig!P936),""",""????0;"",""???-0;"",""????0;"", ////"""),"'","""")&amp;SUBSTITUTE(TEXT(Overig!Q936,""",""?00;"",""?-00;"",""?00;"", //"""),"'","""")&amp;SUBSTITUTE(TEXT(Overig!R936,""",""????0;"",""???-0;"",""????0;"", ////"""),"'","""")&amp;SUBSTITUTE(TEXT(Overig!S936,""",""?00;"",""?-00;"",""?00;"", //"""),"'","""")&amp;SUBSTITUTE(TEXT(IF(ISTEXT(Overig!T936),Overig!T936,10*Overig!T936),""",""????0;"",""???-0;"",""????0;"", ////"""),"'","""")&amp;SUBSTITUTE(TEXT(Overig!U936,""",""?00;"",""?-00;"",""?00;"", //"""),"'","""")&amp;SUBSTITUTE(TEXT(Overig!V936,""",""???0;"",""??-0;"",""???0;"", ///"""),"'","""")&amp;SUBSTITUTE(TEXT(Overig!W936,""",""?00;"",""?-00;"",""?00;"", //"""),"'","""")</f>
        <v>032, 19400821, 17.00, 7572, 00,  285, 00, ////, 07, ////, 07,  89, 00,  260, 00,  270, 00,   45, 00,    7, 00,   3, 00</v>
      </c>
    </row>
    <row r="937" spans="1:1" x14ac:dyDescent="0.25">
      <c r="A937" s="12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//"""),"'","""")&amp;SUBSTITUTE(TEXT(IF(ISTEXT(Overig!J937),Overig!J937,10*Overig!J937),""",""????0;"",""???-0;"",""????0;"", ////"""),"'","""")&amp;SUBSTITUTE(TEXT(Overig!K937,""",""?00;"",""?-00;"",""?00;"", //"""),"'","""")&amp;SUBSTITUTE(TEXT(Overig!L937,""",""???0;"",""??-0;"",""???0;"", ///"""),"'","""")&amp;SUBSTITUTE(TEXT(Overig!M937,""",""?00;"",""?-00;"",""?00;"", //"""),"'","""")&amp;SUBSTITUTE(TEXT(IF(ISTEXT(Overig!N937),Overig!N937,10*Overig!N937),""",""????0;"",""???-0;"",""????0;"", ////"""),"'","""")&amp;SUBSTITUTE(TEXT(Overig!O937,""",""?00;"",""?-00;"",""?00;"", //"""),"'","""")&amp;SUBSTITUTE(TEXT(IF(ISTEXT(Overig!P937),Overig!P937,10*Overig!P937),""",""????0;"",""???-0;"",""????0;"", ////"""),"'","""")&amp;SUBSTITUTE(TEXT(Overig!Q937,""",""?00;"",""?-00;"",""?00;"", //"""),"'","""")&amp;SUBSTITUTE(TEXT(Overig!R937,""",""????0;"",""???-0;"",""????0;"", ////"""),"'","""")&amp;SUBSTITUTE(TEXT(Overig!S937,""",""?00;"",""?-00;"",""?00;"", //"""),"'","""")&amp;SUBSTITUTE(TEXT(IF(ISTEXT(Overig!T937),Overig!T937,10*Overig!T937),""",""????0;"",""???-0;"",""????0;"", ////"""),"'","""")&amp;SUBSTITUTE(TEXT(Overig!U937,""",""?00;"",""?-00;"",""?00;"", //"""),"'","""")&amp;SUBSTITUTE(TEXT(Overig!V937,""",""???0;"",""??-0;"",""???0;"", ///"""),"'","""")&amp;SUBSTITUTE(TEXT(Overig!W937,""",""?00;"",""?-00;"",""?00;"", //"""),"'","""")</f>
        <v>032, 19400821, 24.00, ////, 07, ////, 07,  304, 00,  318, 00, ///, 07, ////, 07, ////, 07, ////, 07, ////, 07, ///, 07</v>
      </c>
    </row>
    <row r="938" spans="1:1" x14ac:dyDescent="0.25">
      <c r="A938" s="12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//"""),"'","""")&amp;SUBSTITUTE(TEXT(IF(ISTEXT(Overig!J938),Overig!J938,10*Overig!J938),""",""????0;"",""???-0;"",""????0;"", ////"""),"'","""")&amp;SUBSTITUTE(TEXT(Overig!K938,""",""?00;"",""?-00;"",""?00;"", //"""),"'","""")&amp;SUBSTITUTE(TEXT(Overig!L938,""",""???0;"",""??-0;"",""???0;"", ///"""),"'","""")&amp;SUBSTITUTE(TEXT(Overig!M938,""",""?00;"",""?-00;"",""?00;"", //"""),"'","""")&amp;SUBSTITUTE(TEXT(IF(ISTEXT(Overig!N938),Overig!N938,10*Overig!N938),""",""????0;"",""???-0;"",""????0;"", ////"""),"'","""")&amp;SUBSTITUTE(TEXT(Overig!O938,""",""?00;"",""?-00;"",""?00;"", //"""),"'","""")&amp;SUBSTITUTE(TEXT(IF(ISTEXT(Overig!P938),Overig!P938,10*Overig!P938),""",""????0;"",""???-0;"",""????0;"", ////"""),"'","""")&amp;SUBSTITUTE(TEXT(Overig!Q938,""",""?00;"",""?-00;"",""?00;"", //"""),"'","""")&amp;SUBSTITUTE(TEXT(Overig!R938,""",""????0;"",""???-0;"",""????0;"", ////"""),"'","""")&amp;SUBSTITUTE(TEXT(Overig!S938,""",""?00;"",""?-00;"",""?00;"", //"""),"'","""")&amp;SUBSTITUTE(TEXT(IF(ISTEXT(Overig!T938),Overig!T938,10*Overig!T938),""",""????0;"",""???-0;"",""????0;"", ////"""),"'","""")&amp;SUBSTITUTE(TEXT(Overig!U938,""",""?00;"",""?-00;"",""?00;"", //"""),"'","""")&amp;SUBSTITUTE(TEXT(Overig!V938,""",""???0;"",""??-0;"",""???0;"", ///"""),"'","""")&amp;SUBSTITUTE(TEXT(Overig!W938,""",""?00;"",""?-00;"",""?00;"", //"""),"'","""")</f>
        <v>032, 19400822, 07.00, 7582, 00,  285, 00, ////, 07, ////, 07,  90, 00,  264, 00,  272, 00,   45, 00,    6, 00,   3, 00</v>
      </c>
    </row>
    <row r="939" spans="1:1" x14ac:dyDescent="0.25">
      <c r="A939" s="12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//"""),"'","""")&amp;SUBSTITUTE(TEXT(IF(ISTEXT(Overig!J939),Overig!J939,10*Overig!J939),""",""????0;"",""???-0;"",""????0;"", ////"""),"'","""")&amp;SUBSTITUTE(TEXT(Overig!K939,""",""?00;"",""?-00;"",""?00;"", //"""),"'","""")&amp;SUBSTITUTE(TEXT(Overig!L939,""",""???0;"",""??-0;"",""???0;"", ///"""),"'","""")&amp;SUBSTITUTE(TEXT(Overig!M939,""",""?00;"",""?-00;"",""?00;"", //"""),"'","""")&amp;SUBSTITUTE(TEXT(IF(ISTEXT(Overig!N939),Overig!N939,10*Overig!N939),""",""????0;"",""???-0;"",""????0;"", ////"""),"'","""")&amp;SUBSTITUTE(TEXT(Overig!O939,""",""?00;"",""?-00;"",""?00;"", //"""),"'","""")&amp;SUBSTITUTE(TEXT(IF(ISTEXT(Overig!P939),Overig!P939,10*Overig!P939),""",""????0;"",""???-0;"",""????0;"", ////"""),"'","""")&amp;SUBSTITUTE(TEXT(Overig!Q939,""",""?00;"",""?-00;"",""?00;"", //"""),"'","""")&amp;SUBSTITUTE(TEXT(Overig!R939,""",""????0;"",""???-0;"",""????0;"", ////"""),"'","""")&amp;SUBSTITUTE(TEXT(Overig!S939,""",""?00;"",""?-00;"",""?00;"", //"""),"'","""")&amp;SUBSTITUTE(TEXT(IF(ISTEXT(Overig!T939),Overig!T939,10*Overig!T939),""",""????0;"",""???-0;"",""????0;"", ////"""),"'","""")&amp;SUBSTITUTE(TEXT(Overig!U939,""",""?00;"",""?-00;"",""?00;"", //"""),"'","""")&amp;SUBSTITUTE(TEXT(Overig!V939,""",""???0;"",""??-0;"",""???0;"", ///"""),"'","""")&amp;SUBSTITUTE(TEXT(Overig!W939,""",""?00;"",""?-00;"",""?00;"", //"""),"'","""")</f>
        <v>032, 19400822, 12.00, 7582, 00,  291, 00, ////, 07, ////, 07,  89, 00,  269, 00,  276, 00,   45, 00,    6, 00,   2, 00</v>
      </c>
    </row>
    <row r="940" spans="1:1" x14ac:dyDescent="0.25">
      <c r="A940" s="12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//"""),"'","""")&amp;SUBSTITUTE(TEXT(IF(ISTEXT(Overig!J940),Overig!J940,10*Overig!J940),""",""????0;"",""???-0;"",""????0;"", ////"""),"'","""")&amp;SUBSTITUTE(TEXT(Overig!K940,""",""?00;"",""?-00;"",""?00;"", //"""),"'","""")&amp;SUBSTITUTE(TEXT(Overig!L940,""",""???0;"",""??-0;"",""???0;"", ///"""),"'","""")&amp;SUBSTITUTE(TEXT(Overig!M940,""",""?00;"",""?-00;"",""?00;"", //"""),"'","""")&amp;SUBSTITUTE(TEXT(IF(ISTEXT(Overig!N940),Overig!N940,10*Overig!N940),""",""????0;"",""???-0;"",""????0;"", ////"""),"'","""")&amp;SUBSTITUTE(TEXT(Overig!O940,""",""?00;"",""?-00;"",""?00;"", //"""),"'","""")&amp;SUBSTITUTE(TEXT(IF(ISTEXT(Overig!P940),Overig!P940,10*Overig!P940),""",""????0;"",""???-0;"",""????0;"", ////"""),"'","""")&amp;SUBSTITUTE(TEXT(Overig!Q940,""",""?00;"",""?-00;"",""?00;"", //"""),"'","""")&amp;SUBSTITUTE(TEXT(Overig!R940,""",""????0;"",""???-0;"",""????0;"", ////"""),"'","""")&amp;SUBSTITUTE(TEXT(Overig!S940,""",""?00;"",""?-00;"",""?00;"", //"""),"'","""")&amp;SUBSTITUTE(TEXT(IF(ISTEXT(Overig!T940),Overig!T940,10*Overig!T940),""",""????0;"",""???-0;"",""????0;"", ////"""),"'","""")&amp;SUBSTITUTE(TEXT(Overig!U940,""",""?00;"",""?-00;"",""?00;"", //"""),"'","""")&amp;SUBSTITUTE(TEXT(Overig!V940,""",""???0;"",""??-0;"",""???0;"", ///"""),"'","""")&amp;SUBSTITUTE(TEXT(Overig!W940,""",""?00;"",""?-00;"",""?00;"", //"""),"'","""")</f>
        <v>032, 19400822, 17.00, 7585, 00,  289, 00, ////, 07, ////, 07,  85, 00,  254, 00,  268, 00,   45, 00,    6, 00,   3, 00</v>
      </c>
    </row>
    <row r="941" spans="1:1" x14ac:dyDescent="0.25">
      <c r="A941" s="12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//"""),"'","""")&amp;SUBSTITUTE(TEXT(IF(ISTEXT(Overig!J941),Overig!J941,10*Overig!J941),""",""????0;"",""???-0;"",""????0;"", ////"""),"'","""")&amp;SUBSTITUTE(TEXT(Overig!K941,""",""?00;"",""?-00;"",""?00;"", //"""),"'","""")&amp;SUBSTITUTE(TEXT(Overig!L941,""",""???0;"",""??-0;"",""???0;"", ///"""),"'","""")&amp;SUBSTITUTE(TEXT(Overig!M941,""",""?00;"",""?-00;"",""?00;"", //"""),"'","""")&amp;SUBSTITUTE(TEXT(IF(ISTEXT(Overig!N941),Overig!N941,10*Overig!N941),""",""????0;"",""???-0;"",""????0;"", ////"""),"'","""")&amp;SUBSTITUTE(TEXT(Overig!O941,""",""?00;"",""?-00;"",""?00;"", //"""),"'","""")&amp;SUBSTITUTE(TEXT(IF(ISTEXT(Overig!P941),Overig!P941,10*Overig!P941),""",""????0;"",""???-0;"",""????0;"", ////"""),"'","""")&amp;SUBSTITUTE(TEXT(Overig!Q941,""",""?00;"",""?-00;"",""?00;"", //"""),"'","""")&amp;SUBSTITUTE(TEXT(Overig!R941,""",""????0;"",""???-0;"",""????0;"", ////"""),"'","""")&amp;SUBSTITUTE(TEXT(Overig!S941,""",""?00;"",""?-00;"",""?00;"", //"""),"'","""")&amp;SUBSTITUTE(TEXT(IF(ISTEXT(Overig!T941),Overig!T941,10*Overig!T941),""",""????0;"",""???-0;"",""????0;"", ////"""),"'","""")&amp;SUBSTITUTE(TEXT(Overig!U941,""",""?00;"",""?-00;"",""?00;"", //"""),"'","""")&amp;SUBSTITUTE(TEXT(Overig!V941,""",""???0;"",""??-0;"",""???0;"", ///"""),"'","""")&amp;SUBSTITUTE(TEXT(Overig!W941,""",""?00;"",""?-00;"",""?00;"", //"""),"'","""")</f>
        <v>032, 19400822, 24.00, ////, 07, ////, 07,  300, 00,  314, 00, ///, 07, ////, 07, ////, 07, ////, 07, ////, 07, ///, 07</v>
      </c>
    </row>
    <row r="942" spans="1:1" x14ac:dyDescent="0.25">
      <c r="A942" s="12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//"""),"'","""")&amp;SUBSTITUTE(TEXT(IF(ISTEXT(Overig!J942),Overig!J942,10*Overig!J942),""",""????0;"",""???-0;"",""????0;"", ////"""),"'","""")&amp;SUBSTITUTE(TEXT(Overig!K942,""",""?00;"",""?-00;"",""?00;"", //"""),"'","""")&amp;SUBSTITUTE(TEXT(Overig!L942,""",""???0;"",""??-0;"",""???0;"", ///"""),"'","""")&amp;SUBSTITUTE(TEXT(Overig!M942,""",""?00;"",""?-00;"",""?00;"", //"""),"'","""")&amp;SUBSTITUTE(TEXT(IF(ISTEXT(Overig!N942),Overig!N942,10*Overig!N942),""",""????0;"",""???-0;"",""????0;"", ////"""),"'","""")&amp;SUBSTITUTE(TEXT(Overig!O942,""",""?00;"",""?-00;"",""?00;"", //"""),"'","""")&amp;SUBSTITUTE(TEXT(IF(ISTEXT(Overig!P942),Overig!P942,10*Overig!P942),""",""????0;"",""???-0;"",""????0;"", ////"""),"'","""")&amp;SUBSTITUTE(TEXT(Overig!Q942,""",""?00;"",""?-00;"",""?00;"", //"""),"'","""")&amp;SUBSTITUTE(TEXT(Overig!R942,""",""????0;"",""???-0;"",""????0;"", ////"""),"'","""")&amp;SUBSTITUTE(TEXT(Overig!S942,""",""?00;"",""?-00;"",""?00;"", //"""),"'","""")&amp;SUBSTITUTE(TEXT(IF(ISTEXT(Overig!T942),Overig!T942,10*Overig!T942),""",""????0;"",""???-0;"",""????0;"", ////"""),"'","""")&amp;SUBSTITUTE(TEXT(Overig!U942,""",""?00;"",""?-00;"",""?00;"", //"""),"'","""")&amp;SUBSTITUTE(TEXT(Overig!V942,""",""???0;"",""??-0;"",""???0;"", ///"""),"'","""")&amp;SUBSTITUTE(TEXT(Overig!W942,""",""?00;"",""?-00;"",""?00;"", //"""),"'","""")</f>
        <v>032, 19400823, 07.00, 7592, 00,  271, 00, ////, 07, ////, 07,  95, 00,  255, 00,  264, 00,   45, 00,    5, 00,   3, 00</v>
      </c>
    </row>
    <row r="943" spans="1:1" x14ac:dyDescent="0.25">
      <c r="A943" s="12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//"""),"'","""")&amp;SUBSTITUTE(TEXT(IF(ISTEXT(Overig!J943),Overig!J943,10*Overig!J943),""",""????0;"",""???-0;"",""????0;"", ////"""),"'","""")&amp;SUBSTITUTE(TEXT(Overig!K943,""",""?00;"",""?-00;"",""?00;"", //"""),"'","""")&amp;SUBSTITUTE(TEXT(Overig!L943,""",""???0;"",""??-0;"",""???0;"", ///"""),"'","""")&amp;SUBSTITUTE(TEXT(Overig!M943,""",""?00;"",""?-00;"",""?00;"", //"""),"'","""")&amp;SUBSTITUTE(TEXT(IF(ISTEXT(Overig!N943),Overig!N943,10*Overig!N943),""",""????0;"",""???-0;"",""????0;"", ////"""),"'","""")&amp;SUBSTITUTE(TEXT(Overig!O943,""",""?00;"",""?-00;"",""?00;"", //"""),"'","""")&amp;SUBSTITUTE(TEXT(IF(ISTEXT(Overig!P943),Overig!P943,10*Overig!P943),""",""????0;"",""???-0;"",""????0;"", ////"""),"'","""")&amp;SUBSTITUTE(TEXT(Overig!Q943,""",""?00;"",""?-00;"",""?00;"", //"""),"'","""")&amp;SUBSTITUTE(TEXT(Overig!R943,""",""????0;"",""???-0;"",""????0;"", ////"""),"'","""")&amp;SUBSTITUTE(TEXT(Overig!S943,""",""?00;"",""?-00;"",""?00;"", //"""),"'","""")&amp;SUBSTITUTE(TEXT(IF(ISTEXT(Overig!T943),Overig!T943,10*Overig!T943),""",""????0;"",""???-0;"",""????0;"", ////"""),"'","""")&amp;SUBSTITUTE(TEXT(Overig!U943,""",""?00;"",""?-00;"",""?00;"", //"""),"'","""")&amp;SUBSTITUTE(TEXT(Overig!V943,""",""???0;"",""??-0;"",""???0;"", ///"""),"'","""")&amp;SUBSTITUTE(TEXT(Overig!W943,""",""?00;"",""?-00;"",""?00;"", //"""),"'","""")</f>
        <v>032, 19400823, 12.00, 7610, 00,  281, 00, ////, 07, ////, 07,  90, 00,  258, 00,  268, 00,   65, 00,    6, 00,   3, 00</v>
      </c>
    </row>
    <row r="944" spans="1:1" x14ac:dyDescent="0.25">
      <c r="A944" s="12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//"""),"'","""")&amp;SUBSTITUTE(TEXT(IF(ISTEXT(Overig!J944),Overig!J944,10*Overig!J944),""",""????0;"",""???-0;"",""????0;"", ////"""),"'","""")&amp;SUBSTITUTE(TEXT(Overig!K944,""",""?00;"",""?-00;"",""?00;"", //"""),"'","""")&amp;SUBSTITUTE(TEXT(Overig!L944,""",""???0;"",""??-0;"",""???0;"", ///"""),"'","""")&amp;SUBSTITUTE(TEXT(Overig!M944,""",""?00;"",""?-00;"",""?00;"", //"""),"'","""")&amp;SUBSTITUTE(TEXT(IF(ISTEXT(Overig!N944),Overig!N944,10*Overig!N944),""",""????0;"",""???-0;"",""????0;"", ////"""),"'","""")&amp;SUBSTITUTE(TEXT(Overig!O944,""",""?00;"",""?-00;"",""?00;"", //"""),"'","""")&amp;SUBSTITUTE(TEXT(IF(ISTEXT(Overig!P944),Overig!P944,10*Overig!P944),""",""????0;"",""???-0;"",""????0;"", ////"""),"'","""")&amp;SUBSTITUTE(TEXT(Overig!Q944,""",""?00;"",""?-00;"",""?00;"", //"""),"'","""")&amp;SUBSTITUTE(TEXT(Overig!R944,""",""????0;"",""???-0;"",""????0;"", ////"""),"'","""")&amp;SUBSTITUTE(TEXT(Overig!S944,""",""?00;"",""?-00;"",""?00;"", //"""),"'","""")&amp;SUBSTITUTE(TEXT(IF(ISTEXT(Overig!T944),Overig!T944,10*Overig!T944),""",""????0;"",""???-0;"",""????0;"", ////"""),"'","""")&amp;SUBSTITUTE(TEXT(Overig!U944,""",""?00;"",""?-00;"",""?00;"", //"""),"'","""")&amp;SUBSTITUTE(TEXT(Overig!V944,""",""???0;"",""??-0;"",""???0;"", ///"""),"'","""")&amp;SUBSTITUTE(TEXT(Overig!W944,""",""?00;"",""?-00;"",""?00;"", //"""),"'","""")</f>
        <v>032, 19400823, 17.00, 7597, 00,  269, 00, ////, 07, ////, 07,  95, 00,  252, 00,  262, 00,   65, 00,    5, 00,   3, 00</v>
      </c>
    </row>
    <row r="945" spans="1:1" x14ac:dyDescent="0.25">
      <c r="A945" s="12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//"""),"'","""")&amp;SUBSTITUTE(TEXT(IF(ISTEXT(Overig!J945),Overig!J945,10*Overig!J945),""",""????0;"",""???-0;"",""????0;"", ////"""),"'","""")&amp;SUBSTITUTE(TEXT(Overig!K945,""",""?00;"",""?-00;"",""?00;"", //"""),"'","""")&amp;SUBSTITUTE(TEXT(Overig!L945,""",""???0;"",""??-0;"",""???0;"", ///"""),"'","""")&amp;SUBSTITUTE(TEXT(Overig!M945,""",""?00;"",""?-00;"",""?00;"", //"""),"'","""")&amp;SUBSTITUTE(TEXT(IF(ISTEXT(Overig!N945),Overig!N945,10*Overig!N945),""",""????0;"",""???-0;"",""????0;"", ////"""),"'","""")&amp;SUBSTITUTE(TEXT(Overig!O945,""",""?00;"",""?-00;"",""?00;"", //"""),"'","""")&amp;SUBSTITUTE(TEXT(IF(ISTEXT(Overig!P945),Overig!P945,10*Overig!P945),""",""????0;"",""???-0;"",""????0;"", ////"""),"'","""")&amp;SUBSTITUTE(TEXT(Overig!Q945,""",""?00;"",""?-00;"",""?00;"", //"""),"'","""")&amp;SUBSTITUTE(TEXT(Overig!R945,""",""????0;"",""???-0;"",""????0;"", ////"""),"'","""")&amp;SUBSTITUTE(TEXT(Overig!S945,""",""?00;"",""?-00;"",""?00;"", //"""),"'","""")&amp;SUBSTITUTE(TEXT(IF(ISTEXT(Overig!T945),Overig!T945,10*Overig!T945),""",""????0;"",""???-0;"",""????0;"", ////"""),"'","""")&amp;SUBSTITUTE(TEXT(Overig!U945,""",""?00;"",""?-00;"",""?00;"", //"""),"'","""")&amp;SUBSTITUTE(TEXT(Overig!V945,""",""???0;"",""??-0;"",""???0;"", ///"""),"'","""")&amp;SUBSTITUTE(TEXT(Overig!W945,""",""?00;"",""?-00;"",""?00;"", //"""),"'","""")</f>
        <v>032, 19400823, 24.00, ////, 07, ////, 07,  289, 00,  300, 00, ///, 07, ////, 07, ////, 07, ////, 07, ////, 07, ///, 07</v>
      </c>
    </row>
    <row r="946" spans="1:1" x14ac:dyDescent="0.25">
      <c r="A946" s="12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//"""),"'","""")&amp;SUBSTITUTE(TEXT(IF(ISTEXT(Overig!J946),Overig!J946,10*Overig!J946),""",""????0;"",""???-0;"",""????0;"", ////"""),"'","""")&amp;SUBSTITUTE(TEXT(Overig!K946,""",""?00;"",""?-00;"",""?00;"", //"""),"'","""")&amp;SUBSTITUTE(TEXT(Overig!L946,""",""???0;"",""??-0;"",""???0;"", ///"""),"'","""")&amp;SUBSTITUTE(TEXT(Overig!M946,""",""?00;"",""?-00;"",""?00;"", //"""),"'","""")&amp;SUBSTITUTE(TEXT(IF(ISTEXT(Overig!N946),Overig!N946,10*Overig!N946),""",""????0;"",""???-0;"",""????0;"", ////"""),"'","""")&amp;SUBSTITUTE(TEXT(Overig!O946,""",""?00;"",""?-00;"",""?00;"", //"""),"'","""")&amp;SUBSTITUTE(TEXT(IF(ISTEXT(Overig!P946),Overig!P946,10*Overig!P946),""",""????0;"",""???-0;"",""????0;"", ////"""),"'","""")&amp;SUBSTITUTE(TEXT(Overig!Q946,""",""?00;"",""?-00;"",""?00;"", //"""),"'","""")&amp;SUBSTITUTE(TEXT(Overig!R946,""",""????0;"",""???-0;"",""????0;"", ////"""),"'","""")&amp;SUBSTITUTE(TEXT(Overig!S946,""",""?00;"",""?-00;"",""?00;"", //"""),"'","""")&amp;SUBSTITUTE(TEXT(IF(ISTEXT(Overig!T946),Overig!T946,10*Overig!T946),""",""????0;"",""???-0;"",""????0;"", ////"""),"'","""")&amp;SUBSTITUTE(TEXT(Overig!U946,""",""?00;"",""?-00;"",""?00;"", //"""),"'","""")&amp;SUBSTITUTE(TEXT(Overig!V946,""",""???0;"",""??-0;"",""???0;"", ///"""),"'","""")&amp;SUBSTITUTE(TEXT(Overig!W946,""",""?00;"",""?-00;"",""?00;"", //"""),"'","""")</f>
        <v>032, 19400824, 07.00, 7607, 00,  271, 00, ////, 07, ////, 07,  93, 00,  251, 00,  262, 00,   45, 00,    5, 00,   3, 00</v>
      </c>
    </row>
    <row r="947" spans="1:1" x14ac:dyDescent="0.25">
      <c r="A947" s="12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//"""),"'","""")&amp;SUBSTITUTE(TEXT(IF(ISTEXT(Overig!J947),Overig!J947,10*Overig!J947),""",""????0;"",""???-0;"",""????0;"", ////"""),"'","""")&amp;SUBSTITUTE(TEXT(Overig!K947,""",""?00;"",""?-00;"",""?00;"", //"""),"'","""")&amp;SUBSTITUTE(TEXT(Overig!L947,""",""???0;"",""??-0;"",""???0;"", ///"""),"'","""")&amp;SUBSTITUTE(TEXT(Overig!M947,""",""?00;"",""?-00;"",""?00;"", //"""),"'","""")&amp;SUBSTITUTE(TEXT(IF(ISTEXT(Overig!N947),Overig!N947,10*Overig!N947),""",""????0;"",""???-0;"",""????0;"", ////"""),"'","""")&amp;SUBSTITUTE(TEXT(Overig!O947,""",""?00;"",""?-00;"",""?00;"", //"""),"'","""")&amp;SUBSTITUTE(TEXT(IF(ISTEXT(Overig!P947),Overig!P947,10*Overig!P947),""",""????0;"",""???-0;"",""????0;"", ////"""),"'","""")&amp;SUBSTITUTE(TEXT(Overig!Q947,""",""?00;"",""?-00;"",""?00;"", //"""),"'","""")&amp;SUBSTITUTE(TEXT(Overig!R947,""",""????0;"",""???-0;"",""????0;"", ////"""),"'","""")&amp;SUBSTITUTE(TEXT(Overig!S947,""",""?00;"",""?-00;"",""?00;"", //"""),"'","""")&amp;SUBSTITUTE(TEXT(IF(ISTEXT(Overig!T947),Overig!T947,10*Overig!T947),""",""????0;"",""???-0;"",""????0;"", ////"""),"'","""")&amp;SUBSTITUTE(TEXT(Overig!U947,""",""?00;"",""?-00;"",""?00;"", //"""),"'","""")&amp;SUBSTITUTE(TEXT(Overig!V947,""",""???0;"",""??-0;"",""???0;"", ///"""),"'","""")&amp;SUBSTITUTE(TEXT(Overig!W947,""",""?00;"",""?-00;"",""?00;"", //"""),"'","""")</f>
        <v>032, 19400824, 12.00, 7605, 00,  279, 00, ////, 07, ////, 07,  92, 00,  259, 00,  268, 00,   45, 00,    6, 00,   2, 00</v>
      </c>
    </row>
    <row r="948" spans="1:1" x14ac:dyDescent="0.25">
      <c r="A948" s="12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//"""),"'","""")&amp;SUBSTITUTE(TEXT(IF(ISTEXT(Overig!J948),Overig!J948,10*Overig!J948),""",""????0;"",""???-0;"",""????0;"", ////"""),"'","""")&amp;SUBSTITUTE(TEXT(Overig!K948,""",""?00;"",""?-00;"",""?00;"", //"""),"'","""")&amp;SUBSTITUTE(TEXT(Overig!L948,""",""???0;"",""??-0;"",""???0;"", ///"""),"'","""")&amp;SUBSTITUTE(TEXT(Overig!M948,""",""?00;"",""?-00;"",""?00;"", //"""),"'","""")&amp;SUBSTITUTE(TEXT(IF(ISTEXT(Overig!N948),Overig!N948,10*Overig!N948),""",""????0;"",""???-0;"",""????0;"", ////"""),"'","""")&amp;SUBSTITUTE(TEXT(Overig!O948,""",""?00;"",""?-00;"",""?00;"", //"""),"'","""")&amp;SUBSTITUTE(TEXT(IF(ISTEXT(Overig!P948),Overig!P948,10*Overig!P948),""",""????0;"",""???-0;"",""????0;"", ////"""),"'","""")&amp;SUBSTITUTE(TEXT(Overig!Q948,""",""?00;"",""?-00;"",""?00;"", //"""),"'","""")&amp;SUBSTITUTE(TEXT(Overig!R948,""",""????0;"",""???-0;"",""????0;"", ////"""),"'","""")&amp;SUBSTITUTE(TEXT(Overig!S948,""",""?00;"",""?-00;"",""?00;"", //"""),"'","""")&amp;SUBSTITUTE(TEXT(IF(ISTEXT(Overig!T948),Overig!T948,10*Overig!T948),""",""????0;"",""???-0;"",""????0;"", ////"""),"'","""")&amp;SUBSTITUTE(TEXT(Overig!U948,""",""?00;"",""?-00;"",""?00;"", //"""),"'","""")&amp;SUBSTITUTE(TEXT(Overig!V948,""",""???0;"",""??-0;"",""???0;"", ///"""),"'","""")&amp;SUBSTITUTE(TEXT(Overig!W948,""",""?00;"",""?-00;"",""?00;"", //"""),"'","""")</f>
        <v>032, 19400824, 17.00, 7602, 00,  269, 00, ////, 07, ////, 07,  95, 00,  252, 00,  262, 00,   45, 00,    6, 00,   2, 00</v>
      </c>
    </row>
    <row r="949" spans="1:1" x14ac:dyDescent="0.25">
      <c r="A949" s="12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//"""),"'","""")&amp;SUBSTITUTE(TEXT(IF(ISTEXT(Overig!J949),Overig!J949,10*Overig!J949),""",""????0;"",""???-0;"",""????0;"", ////"""),"'","""")&amp;SUBSTITUTE(TEXT(Overig!K949,""",""?00;"",""?-00;"",""?00;"", //"""),"'","""")&amp;SUBSTITUTE(TEXT(Overig!L949,""",""???0;"",""??-0;"",""???0;"", ///"""),"'","""")&amp;SUBSTITUTE(TEXT(Overig!M949,""",""?00;"",""?-00;"",""?00;"", //"""),"'","""")&amp;SUBSTITUTE(TEXT(IF(ISTEXT(Overig!N949),Overig!N949,10*Overig!N949),""",""????0;"",""???-0;"",""????0;"", ////"""),"'","""")&amp;SUBSTITUTE(TEXT(Overig!O949,""",""?00;"",""?-00;"",""?00;"", //"""),"'","""")&amp;SUBSTITUTE(TEXT(IF(ISTEXT(Overig!P949),Overig!P949,10*Overig!P949),""",""????0;"",""???-0;"",""????0;"", ////"""),"'","""")&amp;SUBSTITUTE(TEXT(Overig!Q949,""",""?00;"",""?-00;"",""?00;"", //"""),"'","""")&amp;SUBSTITUTE(TEXT(Overig!R949,""",""????0;"",""???-0;"",""????0;"", ////"""),"'","""")&amp;SUBSTITUTE(TEXT(Overig!S949,""",""?00;"",""?-00;"",""?00;"", //"""),"'","""")&amp;SUBSTITUTE(TEXT(IF(ISTEXT(Overig!T949),Overig!T949,10*Overig!T949),""",""????0;"",""???-0;"",""????0;"", ////"""),"'","""")&amp;SUBSTITUTE(TEXT(Overig!U949,""",""?00;"",""?-00;"",""?00;"", //"""),"'","""")&amp;SUBSTITUTE(TEXT(Overig!V949,""",""???0;"",""??-0;"",""???0;"", ///"""),"'","""")&amp;SUBSTITUTE(TEXT(Overig!W949,""",""?00;"",""?-00;"",""?00;"", //"""),"'","""")</f>
        <v>032, 19400824, 24.00, ////, 07, ////, 07,  290, 00,  305, 00, ///, 07, ////, 07, ////, 07, ////, 07, ////, 07, ///, 07</v>
      </c>
    </row>
    <row r="950" spans="1:1" x14ac:dyDescent="0.25">
      <c r="A950" s="12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//"""),"'","""")&amp;SUBSTITUTE(TEXT(IF(ISTEXT(Overig!J950),Overig!J950,10*Overig!J950),""",""????0;"",""???-0;"",""????0;"", ////"""),"'","""")&amp;SUBSTITUTE(TEXT(Overig!K950,""",""?00;"",""?-00;"",""?00;"", //"""),"'","""")&amp;SUBSTITUTE(TEXT(Overig!L950,""",""???0;"",""??-0;"",""???0;"", ///"""),"'","""")&amp;SUBSTITUTE(TEXT(Overig!M950,""",""?00;"",""?-00;"",""?00;"", //"""),"'","""")&amp;SUBSTITUTE(TEXT(IF(ISTEXT(Overig!N950),Overig!N950,10*Overig!N950),""",""????0;"",""???-0;"",""????0;"", ////"""),"'","""")&amp;SUBSTITUTE(TEXT(Overig!O950,""",""?00;"",""?-00;"",""?00;"", //"""),"'","""")&amp;SUBSTITUTE(TEXT(IF(ISTEXT(Overig!P950),Overig!P950,10*Overig!P950),""",""????0;"",""???-0;"",""????0;"", ////"""),"'","""")&amp;SUBSTITUTE(TEXT(Overig!Q950,""",""?00;"",""?-00;"",""?00;"", //"""),"'","""")&amp;SUBSTITUTE(TEXT(Overig!R950,""",""????0;"",""???-0;"",""????0;"", ////"""),"'","""")&amp;SUBSTITUTE(TEXT(Overig!S950,""",""?00;"",""?-00;"",""?00;"", //"""),"'","""")&amp;SUBSTITUTE(TEXT(IF(ISTEXT(Overig!T950),Overig!T950,10*Overig!T950),""",""????0;"",""???-0;"",""????0;"", ////"""),"'","""")&amp;SUBSTITUTE(TEXT(Overig!U950,""",""?00;"",""?-00;"",""?00;"", //"""),"'","""")&amp;SUBSTITUTE(TEXT(Overig!V950,""",""???0;"",""??-0;"",""???0;"", ///"""),"'","""")&amp;SUBSTITUTE(TEXT(Overig!W950,""",""?00;"",""?-00;"",""?00;"", //"""),"'","""")</f>
        <v>032, 19400825, 07.00, 7572, 00,  271, 00, ////, 07, ////, 07,  93, 00,  251, 00,  262, 00,   45, 00,    6, 00,   3, 00</v>
      </c>
    </row>
    <row r="951" spans="1:1" x14ac:dyDescent="0.25">
      <c r="A951" s="12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//"""),"'","""")&amp;SUBSTITUTE(TEXT(IF(ISTEXT(Overig!J951),Overig!J951,10*Overig!J951),""",""????0;"",""???-0;"",""????0;"", ////"""),"'","""")&amp;SUBSTITUTE(TEXT(Overig!K951,""",""?00;"",""?-00;"",""?00;"", //"""),"'","""")&amp;SUBSTITUTE(TEXT(Overig!L951,""",""???0;"",""??-0;"",""???0;"", ///"""),"'","""")&amp;SUBSTITUTE(TEXT(Overig!M951,""",""?00;"",""?-00;"",""?00;"", //"""),"'","""")&amp;SUBSTITUTE(TEXT(IF(ISTEXT(Overig!N951),Overig!N951,10*Overig!N951),""",""????0;"",""???-0;"",""????0;"", ////"""),"'","""")&amp;SUBSTITUTE(TEXT(Overig!O951,""",""?00;"",""?-00;"",""?00;"", //"""),"'","""")&amp;SUBSTITUTE(TEXT(IF(ISTEXT(Overig!P951),Overig!P951,10*Overig!P951),""",""????0;"",""???-0;"",""????0;"", ////"""),"'","""")&amp;SUBSTITUTE(TEXT(Overig!Q951,""",""?00;"",""?-00;"",""?00;"", //"""),"'","""")&amp;SUBSTITUTE(TEXT(Overig!R951,""",""????0;"",""???-0;"",""????0;"", ////"""),"'","""")&amp;SUBSTITUTE(TEXT(Overig!S951,""",""?00;"",""?-00;"",""?00;"", //"""),"'","""")&amp;SUBSTITUTE(TEXT(IF(ISTEXT(Overig!T951),Overig!T951,10*Overig!T951),""",""????0;"",""???-0;"",""????0;"", ////"""),"'","""")&amp;SUBSTITUTE(TEXT(Overig!U951,""",""?00;"",""?-00;"",""?00;"", //"""),"'","""")&amp;SUBSTITUTE(TEXT(Overig!V951,""",""???0;"",""??-0;"",""???0;"", ///"""),"'","""")&amp;SUBSTITUTE(TEXT(Overig!W951,""",""?00;"",""?-00;"",""?00;"", //"""),"'","""")</f>
        <v>032, 19400825, 12.00, 7605, 00,  281, 00, ////, 07, ////, 07,  96, 00,  274, 00,  276, 00,   45, 00,    7, 00,   4, 00</v>
      </c>
    </row>
    <row r="952" spans="1:1" x14ac:dyDescent="0.25">
      <c r="A952" s="12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//"""),"'","""")&amp;SUBSTITUTE(TEXT(IF(ISTEXT(Overig!J952),Overig!J952,10*Overig!J952),""",""????0;"",""???-0;"",""????0;"", ////"""),"'","""")&amp;SUBSTITUTE(TEXT(Overig!K952,""",""?00;"",""?-00;"",""?00;"", //"""),"'","""")&amp;SUBSTITUTE(TEXT(Overig!L952,""",""???0;"",""??-0;"",""???0;"", ///"""),"'","""")&amp;SUBSTITUTE(TEXT(Overig!M952,""",""?00;"",""?-00;"",""?00;"", //"""),"'","""")&amp;SUBSTITUTE(TEXT(IF(ISTEXT(Overig!N952),Overig!N952,10*Overig!N952),""",""????0;"",""???-0;"",""????0;"", ////"""),"'","""")&amp;SUBSTITUTE(TEXT(Overig!O952,""",""?00;"",""?-00;"",""?00;"", //"""),"'","""")&amp;SUBSTITUTE(TEXT(IF(ISTEXT(Overig!P952),Overig!P952,10*Overig!P952),""",""????0;"",""???-0;"",""????0;"", ////"""),"'","""")&amp;SUBSTITUTE(TEXT(Overig!Q952,""",""?00;"",""?-00;"",""?00;"", //"""),"'","""")&amp;SUBSTITUTE(TEXT(Overig!R952,""",""????0;"",""???-0;"",""????0;"", ////"""),"'","""")&amp;SUBSTITUTE(TEXT(Overig!S952,""",""?00;"",""?-00;"",""?00;"", //"""),"'","""")&amp;SUBSTITUTE(TEXT(IF(ISTEXT(Overig!T952),Overig!T952,10*Overig!T952),""",""????0;"",""???-0;"",""????0;"", ////"""),"'","""")&amp;SUBSTITUTE(TEXT(Overig!U952,""",""?00;"",""?-00;"",""?00;"", //"""),"'","""")&amp;SUBSTITUTE(TEXT(Overig!V952,""",""???0;"",""??-0;"",""???0;"", ///"""),"'","""")&amp;SUBSTITUTE(TEXT(Overig!W952,""",""?00;"",""?-00;"",""?00;"", //"""),"'","""")</f>
        <v>032, 19400825, 17.00, 7597, 00,  279, 00, ////, 07, ////, 07,  86, 00,  243, 00,  260, 00,   45, 00,    7, 00,   2, 00</v>
      </c>
    </row>
    <row r="953" spans="1:1" x14ac:dyDescent="0.25">
      <c r="A953" s="12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//"""),"'","""")&amp;SUBSTITUTE(TEXT(IF(ISTEXT(Overig!J953),Overig!J953,10*Overig!J953),""",""????0;"",""???-0;"",""????0;"", ////"""),"'","""")&amp;SUBSTITUTE(TEXT(Overig!K953,""",""?00;"",""?-00;"",""?00;"", //"""),"'","""")&amp;SUBSTITUTE(TEXT(Overig!L953,""",""???0;"",""??-0;"",""???0;"", ///"""),"'","""")&amp;SUBSTITUTE(TEXT(Overig!M953,""",""?00;"",""?-00;"",""?00;"", //"""),"'","""")&amp;SUBSTITUTE(TEXT(IF(ISTEXT(Overig!N953),Overig!N953,10*Overig!N953),""",""????0;"",""???-0;"",""????0;"", ////"""),"'","""")&amp;SUBSTITUTE(TEXT(Overig!O953,""",""?00;"",""?-00;"",""?00;"", //"""),"'","""")&amp;SUBSTITUTE(TEXT(IF(ISTEXT(Overig!P953),Overig!P953,10*Overig!P953),""",""????0;"",""???-0;"",""????0;"", ////"""),"'","""")&amp;SUBSTITUTE(TEXT(Overig!Q953,""",""?00;"",""?-00;"",""?00;"", //"""),"'","""")&amp;SUBSTITUTE(TEXT(Overig!R953,""",""????0;"",""???-0;"",""????0;"", ////"""),"'","""")&amp;SUBSTITUTE(TEXT(Overig!S953,""",""?00;"",""?-00;"",""?00;"", //"""),"'","""")&amp;SUBSTITUTE(TEXT(IF(ISTEXT(Overig!T953),Overig!T953,10*Overig!T953),""",""????0;"",""???-0;"",""????0;"", ////"""),"'","""")&amp;SUBSTITUTE(TEXT(Overig!U953,""",""?00;"",""?-00;"",""?00;"", //"""),"'","""")&amp;SUBSTITUTE(TEXT(Overig!V953,""",""???0;"",""??-0;"",""???0;"", ///"""),"'","""")&amp;SUBSTITUTE(TEXT(Overig!W953,""",""?00;"",""?-00;"",""?00;"", //"""),"'","""")</f>
        <v>032, 19400825, 24.00, ////, 07, ////, 07,  285, 00,  306, 00, ///, 07, ////, 07, ////, 07, ////, 07, ////, 07, ///, 07</v>
      </c>
    </row>
    <row r="954" spans="1:1" x14ac:dyDescent="0.25">
      <c r="A954" s="12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//"""),"'","""")&amp;SUBSTITUTE(TEXT(IF(ISTEXT(Overig!J954),Overig!J954,10*Overig!J954),""",""????0;"",""???-0;"",""????0;"", ////"""),"'","""")&amp;SUBSTITUTE(TEXT(Overig!K954,""",""?00;"",""?-00;"",""?00;"", //"""),"'","""")&amp;SUBSTITUTE(TEXT(Overig!L954,""",""???0;"",""??-0;"",""???0;"", ///"""),"'","""")&amp;SUBSTITUTE(TEXT(Overig!M954,""",""?00;"",""?-00;"",""?00;"", //"""),"'","""")&amp;SUBSTITUTE(TEXT(IF(ISTEXT(Overig!N954),Overig!N954,10*Overig!N954),""",""????0;"",""???-0;"",""????0;"", ////"""),"'","""")&amp;SUBSTITUTE(TEXT(Overig!O954,""",""?00;"",""?-00;"",""?00;"", //"""),"'","""")&amp;SUBSTITUTE(TEXT(IF(ISTEXT(Overig!P954),Overig!P954,10*Overig!P954),""",""????0;"",""???-0;"",""????0;"", ////"""),"'","""")&amp;SUBSTITUTE(TEXT(Overig!Q954,""",""?00;"",""?-00;"",""?00;"", //"""),"'","""")&amp;SUBSTITUTE(TEXT(Overig!R954,""",""????0;"",""???-0;"",""????0;"", ////"""),"'","""")&amp;SUBSTITUTE(TEXT(Overig!S954,""",""?00;"",""?-00;"",""?00;"", //"""),"'","""")&amp;SUBSTITUTE(TEXT(IF(ISTEXT(Overig!T954),Overig!T954,10*Overig!T954),""",""????0;"",""???-0;"",""????0;"", ////"""),"'","""")&amp;SUBSTITUTE(TEXT(Overig!U954,""",""?00;"",""?-00;"",""?00;"", //"""),"'","""")&amp;SUBSTITUTE(TEXT(Overig!V954,""",""???0;"",""??-0;"",""???0;"", ///"""),"'","""")&amp;SUBSTITUTE(TEXT(Overig!W954,""",""?00;"",""?-00;"",""?00;"", //"""),"'","""")</f>
        <v>032, 19400826, 07.00, 7607, 00,  272, 00, ////, 07, ////, 07,  94, 00,  254, 00,  264, 00,   45, 00,    6, 00,   4, 00</v>
      </c>
    </row>
    <row r="955" spans="1:1" x14ac:dyDescent="0.25">
      <c r="A955" s="12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//"""),"'","""")&amp;SUBSTITUTE(TEXT(IF(ISTEXT(Overig!J955),Overig!J955,10*Overig!J955),""",""????0;"",""???-0;"",""????0;"", ////"""),"'","""")&amp;SUBSTITUTE(TEXT(Overig!K955,""",""?00;"",""?-00;"",""?00;"", //"""),"'","""")&amp;SUBSTITUTE(TEXT(Overig!L955,""",""???0;"",""??-0;"",""???0;"", ///"""),"'","""")&amp;SUBSTITUTE(TEXT(Overig!M955,""",""?00;"",""?-00;"",""?00;"", //"""),"'","""")&amp;SUBSTITUTE(TEXT(IF(ISTEXT(Overig!N955),Overig!N955,10*Overig!N955),""",""????0;"",""???-0;"",""????0;"", ////"""),"'","""")&amp;SUBSTITUTE(TEXT(Overig!O955,""",""?00;"",""?-00;"",""?00;"", //"""),"'","""")&amp;SUBSTITUTE(TEXT(IF(ISTEXT(Overig!P955),Overig!P955,10*Overig!P955),""",""????0;"",""???-0;"",""????0;"", ////"""),"'","""")&amp;SUBSTITUTE(TEXT(Overig!Q955,""",""?00;"",""?-00;"",""?00;"", //"""),"'","""")&amp;SUBSTITUTE(TEXT(Overig!R955,""",""????0;"",""???-0;"",""????0;"", ////"""),"'","""")&amp;SUBSTITUTE(TEXT(Overig!S955,""",""?00;"",""?-00;"",""?00;"", //"""),"'","""")&amp;SUBSTITUTE(TEXT(IF(ISTEXT(Overig!T955),Overig!T955,10*Overig!T955),""",""????0;"",""???-0;"",""????0;"", ////"""),"'","""")&amp;SUBSTITUTE(TEXT(Overig!U955,""",""?00;"",""?-00;"",""?00;"", //"""),"'","""")&amp;SUBSTITUTE(TEXT(Overig!V955,""",""???0;"",""??-0;"",""???0;"", ///"""),"'","""")&amp;SUBSTITUTE(TEXT(Overig!W955,""",""?00;"",""?-00;"",""?00;"", //"""),"'","""")</f>
        <v>032, 19400826, 12.00, 7607, 00,  279, 00, ////, 07, ////, 07,  95, 00,  269, 00,  273, 00,   45, 00,    7, 00,   5, 00</v>
      </c>
    </row>
    <row r="956" spans="1:1" x14ac:dyDescent="0.25">
      <c r="A956" s="12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//"""),"'","""")&amp;SUBSTITUTE(TEXT(IF(ISTEXT(Overig!J956),Overig!J956,10*Overig!J956),""",""????0;"",""???-0;"",""????0;"", ////"""),"'","""")&amp;SUBSTITUTE(TEXT(Overig!K956,""",""?00;"",""?-00;"",""?00;"", //"""),"'","""")&amp;SUBSTITUTE(TEXT(Overig!L956,""",""???0;"",""??-0;"",""???0;"", ///"""),"'","""")&amp;SUBSTITUTE(TEXT(Overig!M956,""",""?00;"",""?-00;"",""?00;"", //"""),"'","""")&amp;SUBSTITUTE(TEXT(IF(ISTEXT(Overig!N956),Overig!N956,10*Overig!N956),""",""????0;"",""???-0;"",""????0;"", ////"""),"'","""")&amp;SUBSTITUTE(TEXT(Overig!O956,""",""?00;"",""?-00;"",""?00;"", //"""),"'","""")&amp;SUBSTITUTE(TEXT(IF(ISTEXT(Overig!P956),Overig!P956,10*Overig!P956),""",""????0;"",""???-0;"",""????0;"", ////"""),"'","""")&amp;SUBSTITUTE(TEXT(Overig!Q956,""",""?00;"",""?-00;"",""?00;"", //"""),"'","""")&amp;SUBSTITUTE(TEXT(Overig!R956,""",""????0;"",""???-0;"",""????0;"", ////"""),"'","""")&amp;SUBSTITUTE(TEXT(Overig!S956,""",""?00;"",""?-00;"",""?00;"", //"""),"'","""")&amp;SUBSTITUTE(TEXT(IF(ISTEXT(Overig!T956),Overig!T956,10*Overig!T956),""",""????0;"",""???-0;"",""????0;"", ////"""),"'","""")&amp;SUBSTITUTE(TEXT(Overig!U956,""",""?00;"",""?-00;"",""?00;"", //"""),"'","""")&amp;SUBSTITUTE(TEXT(Overig!V956,""",""???0;"",""??-0;"",""???0;"", ///"""),"'","""")&amp;SUBSTITUTE(TEXT(Overig!W956,""",""?00;"",""?-00;"",""?00;"", //"""),"'","""")</f>
        <v>032, 19400826, 17.00, 7597, 00,  277, 00, ////, 07, ////, 07,  87, 00,  244, 00,  260, 00,   45, 00,    7, 00,   5, 00</v>
      </c>
    </row>
    <row r="957" spans="1:1" x14ac:dyDescent="0.25">
      <c r="A957" s="12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//"""),"'","""")&amp;SUBSTITUTE(TEXT(IF(ISTEXT(Overig!J957),Overig!J957,10*Overig!J957),""",""????0;"",""???-0;"",""????0;"", ////"""),"'","""")&amp;SUBSTITUTE(TEXT(Overig!K957,""",""?00;"",""?-00;"",""?00;"", //"""),"'","""")&amp;SUBSTITUTE(TEXT(Overig!L957,""",""???0;"",""??-0;"",""???0;"", ///"""),"'","""")&amp;SUBSTITUTE(TEXT(Overig!M957,""",""?00;"",""?-00;"",""?00;"", //"""),"'","""")&amp;SUBSTITUTE(TEXT(IF(ISTEXT(Overig!N957),Overig!N957,10*Overig!N957),""",""????0;"",""???-0;"",""????0;"", ////"""),"'","""")&amp;SUBSTITUTE(TEXT(Overig!O957,""",""?00;"",""?-00;"",""?00;"", //"""),"'","""")&amp;SUBSTITUTE(TEXT(IF(ISTEXT(Overig!P957),Overig!P957,10*Overig!P957),""",""????0;"",""???-0;"",""????0;"", ////"""),"'","""")&amp;SUBSTITUTE(TEXT(Overig!Q957,""",""?00;"",""?-00;"",""?00;"", //"""),"'","""")&amp;SUBSTITUTE(TEXT(Overig!R957,""",""????0;"",""???-0;"",""????0;"", ////"""),"'","""")&amp;SUBSTITUTE(TEXT(Overig!S957,""",""?00;"",""?-00;"",""?00;"", //"""),"'","""")&amp;SUBSTITUTE(TEXT(IF(ISTEXT(Overig!T957),Overig!T957,10*Overig!T957),""",""????0;"",""???-0;"",""????0;"", ////"""),"'","""")&amp;SUBSTITUTE(TEXT(Overig!U957,""",""?00;"",""?-00;"",""?00;"", //"""),"'","""")&amp;SUBSTITUTE(TEXT(Overig!V957,""",""???0;"",""??-0;"",""???0;"", ///"""),"'","""")&amp;SUBSTITUTE(TEXT(Overig!W957,""",""?00;"",""?-00;"",""?00;"", //"""),"'","""")</f>
        <v>032, 19400826, 24.00, ////, 07, ////, 07,  292, 00,  304, 00, ///, 07, ////, 07, ////, 07, ////, 07, ////, 07, ///, 07</v>
      </c>
    </row>
    <row r="958" spans="1:1" x14ac:dyDescent="0.25">
      <c r="A958" s="12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//"""),"'","""")&amp;SUBSTITUTE(TEXT(IF(ISTEXT(Overig!J958),Overig!J958,10*Overig!J958),""",""????0;"",""???-0;"",""????0;"", ////"""),"'","""")&amp;SUBSTITUTE(TEXT(Overig!K958,""",""?00;"",""?-00;"",""?00;"", //"""),"'","""")&amp;SUBSTITUTE(TEXT(Overig!L958,""",""???0;"",""??-0;"",""???0;"", ///"""),"'","""")&amp;SUBSTITUTE(TEXT(Overig!M958,""",""?00;"",""?-00;"",""?00;"", //"""),"'","""")&amp;SUBSTITUTE(TEXT(IF(ISTEXT(Overig!N958),Overig!N958,10*Overig!N958),""",""????0;"",""???-0;"",""????0;"", ////"""),"'","""")&amp;SUBSTITUTE(TEXT(Overig!O958,""",""?00;"",""?-00;"",""?00;"", //"""),"'","""")&amp;SUBSTITUTE(TEXT(IF(ISTEXT(Overig!P958),Overig!P958,10*Overig!P958),""",""????0;"",""???-0;"",""????0;"", ////"""),"'","""")&amp;SUBSTITUTE(TEXT(Overig!Q958,""",""?00;"",""?-00;"",""?00;"", //"""),"'","""")&amp;SUBSTITUTE(TEXT(Overig!R958,""",""????0;"",""???-0;"",""????0;"", ////"""),"'","""")&amp;SUBSTITUTE(TEXT(Overig!S958,""",""?00;"",""?-00;"",""?00;"", //"""),"'","""")&amp;SUBSTITUTE(TEXT(IF(ISTEXT(Overig!T958),Overig!T958,10*Overig!T958),""",""????0;"",""???-0;"",""????0;"", ////"""),"'","""")&amp;SUBSTITUTE(TEXT(Overig!U958,""",""?00;"",""?-00;"",""?00;"", //"""),"'","""")&amp;SUBSTITUTE(TEXT(Overig!V958,""",""???0;"",""??-0;"",""???0;"", ///"""),"'","""")&amp;SUBSTITUTE(TEXT(Overig!W958,""",""?00;"",""?-00;"",""?00;"", //"""),"'","""")</f>
        <v>032, 19400827, 07.00, 7607, 00,  273, 00, ////, 07, ////, 07,  95, 00,  258, 00,  266, 00,   65, 00,    4, 00,   6, 00</v>
      </c>
    </row>
    <row r="959" spans="1:1" x14ac:dyDescent="0.25">
      <c r="A959" s="12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//"""),"'","""")&amp;SUBSTITUTE(TEXT(IF(ISTEXT(Overig!J959),Overig!J959,10*Overig!J959),""",""????0;"",""???-0;"",""????0;"", ////"""),"'","""")&amp;SUBSTITUTE(TEXT(Overig!K959,""",""?00;"",""?-00;"",""?00;"", //"""),"'","""")&amp;SUBSTITUTE(TEXT(Overig!L959,""",""???0;"",""??-0;"",""???0;"", ///"""),"'","""")&amp;SUBSTITUTE(TEXT(Overig!M959,""",""?00;"",""?-00;"",""?00;"", //"""),"'","""")&amp;SUBSTITUTE(TEXT(IF(ISTEXT(Overig!N959),Overig!N959,10*Overig!N959),""",""????0;"",""???-0;"",""????0;"", ////"""),"'","""")&amp;SUBSTITUTE(TEXT(Overig!O959,""",""?00;"",""?-00;"",""?00;"", //"""),"'","""")&amp;SUBSTITUTE(TEXT(IF(ISTEXT(Overig!P959),Overig!P959,10*Overig!P959),""",""????0;"",""???-0;"",""????0;"", ////"""),"'","""")&amp;SUBSTITUTE(TEXT(Overig!Q959,""",""?00;"",""?-00;"",""?00;"", //"""),"'","""")&amp;SUBSTITUTE(TEXT(Overig!R959,""",""????0;"",""???-0;"",""????0;"", ////"""),"'","""")&amp;SUBSTITUTE(TEXT(Overig!S959,""",""?00;"",""?-00;"",""?00;"", //"""),"'","""")&amp;SUBSTITUTE(TEXT(IF(ISTEXT(Overig!T959),Overig!T959,10*Overig!T959),""",""????0;"",""???-0;"",""????0;"", ////"""),"'","""")&amp;SUBSTITUTE(TEXT(Overig!U959,""",""?00;"",""?-00;"",""?00;"", //"""),"'","""")&amp;SUBSTITUTE(TEXT(Overig!V959,""",""???0;"",""??-0;"",""???0;"", ///"""),"'","""")&amp;SUBSTITUTE(TEXT(Overig!W959,""",""?00;"",""?-00;"",""?00;"", //"""),"'","""")</f>
        <v>032, 19400827, 12.00, 7612, 00,  277, 00, ////, 07, ////, 07,  93, 00,  260, 00,  268, 00,   65, 00,    6, 00,   8, 00</v>
      </c>
    </row>
    <row r="960" spans="1:1" x14ac:dyDescent="0.25">
      <c r="A960" s="12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//"""),"'","""")&amp;SUBSTITUTE(TEXT(IF(ISTEXT(Overig!J960),Overig!J960,10*Overig!J960),""",""????0;"",""???-0;"",""????0;"", ////"""),"'","""")&amp;SUBSTITUTE(TEXT(Overig!K960,""",""?00;"",""?-00;"",""?00;"", //"""),"'","""")&amp;SUBSTITUTE(TEXT(Overig!L960,""",""???0;"",""??-0;"",""???0;"", ///"""),"'","""")&amp;SUBSTITUTE(TEXT(Overig!M960,""",""?00;"",""?-00;"",""?00;"", //"""),"'","""")&amp;SUBSTITUTE(TEXT(IF(ISTEXT(Overig!N960),Overig!N960,10*Overig!N960),""",""????0;"",""???-0;"",""????0;"", ////"""),"'","""")&amp;SUBSTITUTE(TEXT(Overig!O960,""",""?00;"",""?-00;"",""?00;"", //"""),"'","""")&amp;SUBSTITUTE(TEXT(IF(ISTEXT(Overig!P960),Overig!P960,10*Overig!P960),""",""????0;"",""???-0;"",""????0;"", ////"""),"'","""")&amp;SUBSTITUTE(TEXT(Overig!Q960,""",""?00;"",""?-00;"",""?00;"", //"""),"'","""")&amp;SUBSTITUTE(TEXT(Overig!R960,""",""????0;"",""???-0;"",""????0;"", ////"""),"'","""")&amp;SUBSTITUTE(TEXT(Overig!S960,""",""?00;"",""?-00;"",""?00;"", //"""),"'","""")&amp;SUBSTITUTE(TEXT(IF(ISTEXT(Overig!T960),Overig!T960,10*Overig!T960),""",""????0;"",""???-0;"",""????0;"", ////"""),"'","""")&amp;SUBSTITUTE(TEXT(Overig!U960,""",""?00;"",""?-00;"",""?00;"", //"""),"'","""")&amp;SUBSTITUTE(TEXT(Overig!V960,""",""???0;"",""??-0;"",""???0;"", ///"""),"'","""")&amp;SUBSTITUTE(TEXT(Overig!W960,""",""?00;"",""?-00;"",""?00;"", //"""),"'","""")</f>
        <v>032, 19400827, 17.00, 7602, 00,  275, 00, ////, 07, ////, 07,  94, 00,  259, 00,  267, 00,   65, 00,    6, 00,   8, 00</v>
      </c>
    </row>
    <row r="961" spans="1:1" x14ac:dyDescent="0.25">
      <c r="A961" s="12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//"""),"'","""")&amp;SUBSTITUTE(TEXT(IF(ISTEXT(Overig!J961),Overig!J961,10*Overig!J961),""",""????0;"",""???-0;"",""????0;"", ////"""),"'","""")&amp;SUBSTITUTE(TEXT(Overig!K961,""",""?00;"",""?-00;"",""?00;"", //"""),"'","""")&amp;SUBSTITUTE(TEXT(Overig!L961,""",""???0;"",""??-0;"",""???0;"", ///"""),"'","""")&amp;SUBSTITUTE(TEXT(Overig!M961,""",""?00;"",""?-00;"",""?00;"", //"""),"'","""")&amp;SUBSTITUTE(TEXT(IF(ISTEXT(Overig!N961),Overig!N961,10*Overig!N961),""",""????0;"",""???-0;"",""????0;"", ////"""),"'","""")&amp;SUBSTITUTE(TEXT(Overig!O961,""",""?00;"",""?-00;"",""?00;"", //"""),"'","""")&amp;SUBSTITUTE(TEXT(IF(ISTEXT(Overig!P961),Overig!P961,10*Overig!P961),""",""????0;"",""???-0;"",""????0;"", ////"""),"'","""")&amp;SUBSTITUTE(TEXT(Overig!Q961,""",""?00;"",""?-00;"",""?00;"", //"""),"'","""")&amp;SUBSTITUTE(TEXT(Overig!R961,""",""????0;"",""???-0;"",""????0;"", ////"""),"'","""")&amp;SUBSTITUTE(TEXT(Overig!S961,""",""?00;"",""?-00;"",""?00;"", //"""),"'","""")&amp;SUBSTITUTE(TEXT(IF(ISTEXT(Overig!T961),Overig!T961,10*Overig!T961),""",""????0;"",""???-0;"",""????0;"", ////"""),"'","""")&amp;SUBSTITUTE(TEXT(Overig!U961,""",""?00;"",""?-00;"",""?00;"", //"""),"'","""")&amp;SUBSTITUTE(TEXT(Overig!V961,""",""???0;"",""??-0;"",""???0;"", ///"""),"'","""")&amp;SUBSTITUTE(TEXT(Overig!W961,""",""?00;"",""?-00;"",""?00;"", //"""),"'","""")</f>
        <v>032, 19400827, 24.00, ////, 07, ////, 07,  291, 00,  304, 00, ///, 07, ////, 07, ////, 07, ////, 07, ////, 07, ///, 07</v>
      </c>
    </row>
    <row r="962" spans="1:1" x14ac:dyDescent="0.25">
      <c r="A962" s="12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//"""),"'","""")&amp;SUBSTITUTE(TEXT(IF(ISTEXT(Overig!J962),Overig!J962,10*Overig!J962),""",""????0;"",""???-0;"",""????0;"", ////"""),"'","""")&amp;SUBSTITUTE(TEXT(Overig!K962,""",""?00;"",""?-00;"",""?00;"", //"""),"'","""")&amp;SUBSTITUTE(TEXT(Overig!L962,""",""???0;"",""??-0;"",""???0;"", ///"""),"'","""")&amp;SUBSTITUTE(TEXT(Overig!M962,""",""?00;"",""?-00;"",""?00;"", //"""),"'","""")&amp;SUBSTITUTE(TEXT(IF(ISTEXT(Overig!N962),Overig!N962,10*Overig!N962),""",""????0;"",""???-0;"",""????0;"", ////"""),"'","""")&amp;SUBSTITUTE(TEXT(Overig!O962,""",""?00;"",""?-00;"",""?00;"", //"""),"'","""")&amp;SUBSTITUTE(TEXT(IF(ISTEXT(Overig!P962),Overig!P962,10*Overig!P962),""",""????0;"",""???-0;"",""????0;"", ////"""),"'","""")&amp;SUBSTITUTE(TEXT(Overig!Q962,""",""?00;"",""?-00;"",""?00;"", //"""),"'","""")&amp;SUBSTITUTE(TEXT(Overig!R962,""",""????0;"",""???-0;"",""????0;"", ////"""),"'","""")&amp;SUBSTITUTE(TEXT(Overig!S962,""",""?00;"",""?-00;"",""?00;"", //"""),"'","""")&amp;SUBSTITUTE(TEXT(IF(ISTEXT(Overig!T962),Overig!T962,10*Overig!T962),""",""????0;"",""???-0;"",""????0;"", ////"""),"'","""")&amp;SUBSTITUTE(TEXT(Overig!U962,""",""?00;"",""?-00;"",""?00;"", //"""),"'","""")&amp;SUBSTITUTE(TEXT(Overig!V962,""",""???0;"",""??-0;"",""???0;"", ///"""),"'","""")&amp;SUBSTITUTE(TEXT(Overig!W962,""",""?00;"",""?-00;"",""?00;"", //"""),"'","""")</f>
        <v>032, 19400828, 07.00, 7600, 00,  271, 00, ////, 07, ////, 07,  95, 00,  255, 00,  264, 00,   45, 00,    4, 00,   3, 00</v>
      </c>
    </row>
    <row r="963" spans="1:1" x14ac:dyDescent="0.25">
      <c r="A963" s="12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//"""),"'","""")&amp;SUBSTITUTE(TEXT(IF(ISTEXT(Overig!J963),Overig!J963,10*Overig!J963),""",""????0;"",""???-0;"",""????0;"", ////"""),"'","""")&amp;SUBSTITUTE(TEXT(Overig!K963,""",""?00;"",""?-00;"",""?00;"", //"""),"'","""")&amp;SUBSTITUTE(TEXT(Overig!L963,""",""???0;"",""??-0;"",""???0;"", ///"""),"'","""")&amp;SUBSTITUTE(TEXT(Overig!M963,""",""?00;"",""?-00;"",""?00;"", //"""),"'","""")&amp;SUBSTITUTE(TEXT(IF(ISTEXT(Overig!N963),Overig!N963,10*Overig!N963),""",""????0;"",""???-0;"",""????0;"", ////"""),"'","""")&amp;SUBSTITUTE(TEXT(Overig!O963,""",""?00;"",""?-00;"",""?00;"", //"""),"'","""")&amp;SUBSTITUTE(TEXT(IF(ISTEXT(Overig!P963),Overig!P963,10*Overig!P963),""",""????0;"",""???-0;"",""????0;"", ////"""),"'","""")&amp;SUBSTITUTE(TEXT(Overig!Q963,""",""?00;"",""?-00;"",""?00;"", //"""),"'","""")&amp;SUBSTITUTE(TEXT(Overig!R963,""",""????0;"",""???-0;"",""????0;"", ////"""),"'","""")&amp;SUBSTITUTE(TEXT(Overig!S963,""",""?00;"",""?-00;"",""?00;"", //"""),"'","""")&amp;SUBSTITUTE(TEXT(IF(ISTEXT(Overig!T963),Overig!T963,10*Overig!T963),""",""????0;"",""???-0;"",""????0;"", ////"""),"'","""")&amp;SUBSTITUTE(TEXT(Overig!U963,""",""?00;"",""?-00;"",""?00;"", //"""),"'","""")&amp;SUBSTITUTE(TEXT(Overig!V963,""",""???0;"",""??-0;"",""???0;"", ///"""),"'","""")&amp;SUBSTITUTE(TEXT(Overig!W963,""",""?00;"",""?-00;"",""?00;"", //"""),"'","""")</f>
        <v>032, 19400828, 12.00, 7612, 00,  277, 00, ////, 07, ////, 07,  93, 00,  260, 00,  268, 00,   45, 00,    6, 00,   4, 00</v>
      </c>
    </row>
    <row r="964" spans="1:1" x14ac:dyDescent="0.25">
      <c r="A964" s="12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//"""),"'","""")&amp;SUBSTITUTE(TEXT(IF(ISTEXT(Overig!J964),Overig!J964,10*Overig!J964),""",""????0;"",""???-0;"",""????0;"", ////"""),"'","""")&amp;SUBSTITUTE(TEXT(Overig!K964,""",""?00;"",""?-00;"",""?00;"", //"""),"'","""")&amp;SUBSTITUTE(TEXT(Overig!L964,""",""???0;"",""??-0;"",""???0;"", ///"""),"'","""")&amp;SUBSTITUTE(TEXT(Overig!M964,""",""?00;"",""?-00;"",""?00;"", //"""),"'","""")&amp;SUBSTITUTE(TEXT(IF(ISTEXT(Overig!N964),Overig!N964,10*Overig!N964),""",""????0;"",""???-0;"",""????0;"", ////"""),"'","""")&amp;SUBSTITUTE(TEXT(Overig!O964,""",""?00;"",""?-00;"",""?00;"", //"""),"'","""")&amp;SUBSTITUTE(TEXT(IF(ISTEXT(Overig!P964),Overig!P964,10*Overig!P964),""",""????0;"",""???-0;"",""????0;"", ////"""),"'","""")&amp;SUBSTITUTE(TEXT(Overig!Q964,""",""?00;"",""?-00;"",""?00;"", //"""),"'","""")&amp;SUBSTITUTE(TEXT(Overig!R964,""",""????0;"",""???-0;"",""????0;"", ////"""),"'","""")&amp;SUBSTITUTE(TEXT(Overig!S964,""",""?00;"",""?-00;"",""?00;"", //"""),"'","""")&amp;SUBSTITUTE(TEXT(IF(ISTEXT(Overig!T964),Overig!T964,10*Overig!T964),""",""????0;"",""???-0;"",""????0;"", ////"""),"'","""")&amp;SUBSTITUTE(TEXT(Overig!U964,""",""?00;"",""?-00;"",""?00;"", //"""),"'","""")&amp;SUBSTITUTE(TEXT(Overig!V964,""",""???0;"",""??-0;"",""???0;"", ///"""),"'","""")&amp;SUBSTITUTE(TEXT(Overig!W964,""",""?00;"",""?-00;"",""?00;"", //"""),"'","""")</f>
        <v>032, 19400828, 17.00, 7592, 00,  269, 00, ////, 07, ////, 07,  96, 00,  256, 00,  264, 00,   45, 00,    6, 00,   3, 00</v>
      </c>
    </row>
    <row r="965" spans="1:1" x14ac:dyDescent="0.25">
      <c r="A965" s="12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//"""),"'","""")&amp;SUBSTITUTE(TEXT(IF(ISTEXT(Overig!J965),Overig!J965,10*Overig!J965),""",""????0;"",""???-0;"",""????0;"", ////"""),"'","""")&amp;SUBSTITUTE(TEXT(Overig!K965,""",""?00;"",""?-00;"",""?00;"", //"""),"'","""")&amp;SUBSTITUTE(TEXT(Overig!L965,""",""???0;"",""??-0;"",""???0;"", ///"""),"'","""")&amp;SUBSTITUTE(TEXT(Overig!M965,""",""?00;"",""?-00;"",""?00;"", //"""),"'","""")&amp;SUBSTITUTE(TEXT(IF(ISTEXT(Overig!N965),Overig!N965,10*Overig!N965),""",""????0;"",""???-0;"",""????0;"", ////"""),"'","""")&amp;SUBSTITUTE(TEXT(Overig!O965,""",""?00;"",""?-00;"",""?00;"", //"""),"'","""")&amp;SUBSTITUTE(TEXT(IF(ISTEXT(Overig!P965),Overig!P965,10*Overig!P965),""",""????0;"",""???-0;"",""????0;"", ////"""),"'","""")&amp;SUBSTITUTE(TEXT(Overig!Q965,""",""?00;"",""?-00;"",""?00;"", //"""),"'","""")&amp;SUBSTITUTE(TEXT(Overig!R965,""",""????0;"",""???-0;"",""????0;"", ////"""),"'","""")&amp;SUBSTITUTE(TEXT(Overig!S965,""",""?00;"",""?-00;"",""?00;"", //"""),"'","""")&amp;SUBSTITUTE(TEXT(IF(ISTEXT(Overig!T965),Overig!T965,10*Overig!T965),""",""????0;"",""???-0;"",""????0;"", ////"""),"'","""")&amp;SUBSTITUTE(TEXT(Overig!U965,""",""?00;"",""?-00;"",""?00;"", //"""),"'","""")&amp;SUBSTITUTE(TEXT(Overig!V965,""",""???0;"",""??-0;"",""???0;"", ///"""),"'","""")&amp;SUBSTITUTE(TEXT(Overig!W965,""",""?00;"",""?-00;"",""?00;"", //"""),"'","""")</f>
        <v>032, 19400828, 24.00, ////, 07, ////, 07,  294, 00,  310, 00, ///, 07, ////, 07, ////, 07, ////, 07, ////, 07, ///, 07</v>
      </c>
    </row>
    <row r="966" spans="1:1" x14ac:dyDescent="0.25">
      <c r="A966" s="12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//"""),"'","""")&amp;SUBSTITUTE(TEXT(IF(ISTEXT(Overig!J966),Overig!J966,10*Overig!J966),""",""????0;"",""???-0;"",""????0;"", ////"""),"'","""")&amp;SUBSTITUTE(TEXT(Overig!K966,""",""?00;"",""?-00;"",""?00;"", //"""),"'","""")&amp;SUBSTITUTE(TEXT(Overig!L966,""",""???0;"",""??-0;"",""???0;"", ///"""),"'","""")&amp;SUBSTITUTE(TEXT(Overig!M966,""",""?00;"",""?-00;"",""?00;"", //"""),"'","""")&amp;SUBSTITUTE(TEXT(IF(ISTEXT(Overig!N966),Overig!N966,10*Overig!N966),""",""????0;"",""???-0;"",""????0;"", ////"""),"'","""")&amp;SUBSTITUTE(TEXT(Overig!O966,""",""?00;"",""?-00;"",""?00;"", //"""),"'","""")&amp;SUBSTITUTE(TEXT(IF(ISTEXT(Overig!P966),Overig!P966,10*Overig!P966),""",""????0;"",""???-0;"",""????0;"", ////"""),"'","""")&amp;SUBSTITUTE(TEXT(Overig!Q966,""",""?00;"",""?-00;"",""?00;"", //"""),"'","""")&amp;SUBSTITUTE(TEXT(Overig!R966,""",""????0;"",""???-0;"",""????0;"", ////"""),"'","""")&amp;SUBSTITUTE(TEXT(Overig!S966,""",""?00;"",""?-00;"",""?00;"", //"""),"'","""")&amp;SUBSTITUTE(TEXT(IF(ISTEXT(Overig!T966),Overig!T966,10*Overig!T966),""",""????0;"",""???-0;"",""????0;"", ////"""),"'","""")&amp;SUBSTITUTE(TEXT(Overig!U966,""",""?00;"",""?-00;"",""?00;"", //"""),"'","""")&amp;SUBSTITUTE(TEXT(Overig!V966,""",""???0;"",""??-0;"",""???0;"", ///"""),"'","""")&amp;SUBSTITUTE(TEXT(Overig!W966,""",""?00;"",""?-00;"",""?00;"", //"""),"'","""")</f>
        <v>032, 19400829, 07.00, 7582, 00,  289, 00, ////, 07, ////, 07,  84, 00,  250, 00,  266, 00,   45, 00,    4, 00,   3, 00</v>
      </c>
    </row>
    <row r="967" spans="1:1" x14ac:dyDescent="0.25">
      <c r="A967" s="12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//"""),"'","""")&amp;SUBSTITUTE(TEXT(IF(ISTEXT(Overig!J967),Overig!J967,10*Overig!J967),""",""????0;"",""???-0;"",""????0;"", ////"""),"'","""")&amp;SUBSTITUTE(TEXT(Overig!K967,""",""?00;"",""?-00;"",""?00;"", //"""),"'","""")&amp;SUBSTITUTE(TEXT(Overig!L967,""",""???0;"",""??-0;"",""???0;"", ///"""),"'","""")&amp;SUBSTITUTE(TEXT(Overig!M967,""",""?00;"",""?-00;"",""?00;"", //"""),"'","""")&amp;SUBSTITUTE(TEXT(IF(ISTEXT(Overig!N967),Overig!N967,10*Overig!N967),""",""????0;"",""???-0;"",""????0;"", ////"""),"'","""")&amp;SUBSTITUTE(TEXT(Overig!O967,""",""?00;"",""?-00;"",""?00;"", //"""),"'","""")&amp;SUBSTITUTE(TEXT(IF(ISTEXT(Overig!P967),Overig!P967,10*Overig!P967),""",""????0;"",""???-0;"",""????0;"", ////"""),"'","""")&amp;SUBSTITUTE(TEXT(Overig!Q967,""",""?00;"",""?-00;"",""?00;"", //"""),"'","""")&amp;SUBSTITUTE(TEXT(Overig!R967,""",""????0;"",""???-0;"",""????0;"", ////"""),"'","""")&amp;SUBSTITUTE(TEXT(Overig!S967,""",""?00;"",""?-00;"",""?00;"", //"""),"'","""")&amp;SUBSTITUTE(TEXT(IF(ISTEXT(Overig!T967),Overig!T967,10*Overig!T967),""",""????0;"",""???-0;"",""????0;"", ////"""),"'","""")&amp;SUBSTITUTE(TEXT(Overig!U967,""",""?00;"",""?-00;"",""?00;"", //"""),"'","""")&amp;SUBSTITUTE(TEXT(Overig!V967,""",""???0;"",""??-0;"",""???0;"", ///"""),"'","""")&amp;SUBSTITUTE(TEXT(Overig!W967,""",""?00;"",""?-00;"",""?00;"", //"""),"'","""")</f>
        <v>032, 19400829, 12.00, 7587, 00,  281, 00, ////, 07, ////, 07,  90, 00,  258, 00,  268, 00,   90, 00,    5, 00,   4, 00</v>
      </c>
    </row>
    <row r="968" spans="1:1" x14ac:dyDescent="0.25">
      <c r="A968" s="12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//"""),"'","""")&amp;SUBSTITUTE(TEXT(IF(ISTEXT(Overig!J968),Overig!J968,10*Overig!J968),""",""????0;"",""???-0;"",""????0;"", ////"""),"'","""")&amp;SUBSTITUTE(TEXT(Overig!K968,""",""?00;"",""?-00;"",""?00;"", //"""),"'","""")&amp;SUBSTITUTE(TEXT(Overig!L968,""",""???0;"",""??-0;"",""???0;"", ///"""),"'","""")&amp;SUBSTITUTE(TEXT(Overig!M968,""",""?00;"",""?-00;"",""?00;"", //"""),"'","""")&amp;SUBSTITUTE(TEXT(IF(ISTEXT(Overig!N968),Overig!N968,10*Overig!N968),""",""????0;"",""???-0;"",""????0;"", ////"""),"'","""")&amp;SUBSTITUTE(TEXT(Overig!O968,""",""?00;"",""?-00;"",""?00;"", //"""),"'","""")&amp;SUBSTITUTE(TEXT(IF(ISTEXT(Overig!P968),Overig!P968,10*Overig!P968),""",""????0;"",""???-0;"",""????0;"", ////"""),"'","""")&amp;SUBSTITUTE(TEXT(Overig!Q968,""",""?00;"",""?-00;"",""?00;"", //"""),"'","""")&amp;SUBSTITUTE(TEXT(Overig!R968,""",""????0;"",""???-0;"",""????0;"", ////"""),"'","""")&amp;SUBSTITUTE(TEXT(Overig!S968,""",""?00;"",""?-00;"",""?00;"", //"""),"'","""")&amp;SUBSTITUTE(TEXT(IF(ISTEXT(Overig!T968),Overig!T968,10*Overig!T968),""",""????0;"",""???-0;"",""????0;"", ////"""),"'","""")&amp;SUBSTITUTE(TEXT(Overig!U968,""",""?00;"",""?-00;"",""?00;"", //"""),"'","""")&amp;SUBSTITUTE(TEXT(Overig!V968,""",""???0;"",""??-0;"",""???0;"", ///"""),"'","""")&amp;SUBSTITUTE(TEXT(Overig!W968,""",""?00;"",""?-00;"",""?00;"", //"""),"'","""")</f>
        <v>032, 19400829, 17.00, 7582, 00,  271, 00, ////, 07, ////, 07,  96, 00,  259, 00,  266, 00,   90, 00,    5, 00,   3, 00</v>
      </c>
    </row>
    <row r="969" spans="1:1" x14ac:dyDescent="0.25">
      <c r="A969" s="12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//"""),"'","""")&amp;SUBSTITUTE(TEXT(IF(ISTEXT(Overig!J969),Overig!J969,10*Overig!J969),""",""????0;"",""???-0;"",""????0;"", ////"""),"'","""")&amp;SUBSTITUTE(TEXT(Overig!K969,""",""?00;"",""?-00;"",""?00;"", //"""),"'","""")&amp;SUBSTITUTE(TEXT(Overig!L969,""",""???0;"",""??-0;"",""???0;"", ///"""),"'","""")&amp;SUBSTITUTE(TEXT(Overig!M969,""",""?00;"",""?-00;"",""?00;"", //"""),"'","""")&amp;SUBSTITUTE(TEXT(IF(ISTEXT(Overig!N969),Overig!N969,10*Overig!N969),""",""????0;"",""???-0;"",""????0;"", ////"""),"'","""")&amp;SUBSTITUTE(TEXT(Overig!O969,""",""?00;"",""?-00;"",""?00;"", //"""),"'","""")&amp;SUBSTITUTE(TEXT(IF(ISTEXT(Overig!P969),Overig!P969,10*Overig!P969),""",""????0;"",""???-0;"",""????0;"", ////"""),"'","""")&amp;SUBSTITUTE(TEXT(Overig!Q969,""",""?00;"",""?-00;"",""?00;"", //"""),"'","""")&amp;SUBSTITUTE(TEXT(Overig!R969,""",""????0;"",""???-0;"",""????0;"", ////"""),"'","""")&amp;SUBSTITUTE(TEXT(Overig!S969,""",""?00;"",""?-00;"",""?00;"", //"""),"'","""")&amp;SUBSTITUTE(TEXT(IF(ISTEXT(Overig!T969),Overig!T969,10*Overig!T969),""",""????0;"",""???-0;"",""????0;"", ////"""),"'","""")&amp;SUBSTITUTE(TEXT(Overig!U969,""",""?00;"",""?-00;"",""?00;"", //"""),"'","""")&amp;SUBSTITUTE(TEXT(Overig!V969,""",""???0;"",""??-0;"",""???0;"", ///"""),"'","""")&amp;SUBSTITUTE(TEXT(Overig!W969,""",""?00;"",""?-00;"",""?00;"", //"""),"'","""")</f>
        <v>032, 19400829, 24.00, ////, 07, ////, 07,  294, 00,  310, 00, ///, 07, ////, 07, ////, 07, ////, 07, ////, 07, ///, 07</v>
      </c>
    </row>
    <row r="970" spans="1:1" x14ac:dyDescent="0.25">
      <c r="A970" s="12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//"""),"'","""")&amp;SUBSTITUTE(TEXT(IF(ISTEXT(Overig!J970),Overig!J970,10*Overig!J970),""",""????0;"",""???-0;"",""????0;"", ////"""),"'","""")&amp;SUBSTITUTE(TEXT(Overig!K970,""",""?00;"",""?-00;"",""?00;"", //"""),"'","""")&amp;SUBSTITUTE(TEXT(Overig!L970,""",""???0;"",""??-0;"",""???0;"", ///"""),"'","""")&amp;SUBSTITUTE(TEXT(Overig!M970,""",""?00;"",""?-00;"",""?00;"", //"""),"'","""")&amp;SUBSTITUTE(TEXT(IF(ISTEXT(Overig!N970),Overig!N970,10*Overig!N970),""",""????0;"",""???-0;"",""????0;"", ////"""),"'","""")&amp;SUBSTITUTE(TEXT(Overig!O970,""",""?00;"",""?-00;"",""?00;"", //"""),"'","""")&amp;SUBSTITUTE(TEXT(IF(ISTEXT(Overig!P970),Overig!P970,10*Overig!P970),""",""????0;"",""???-0;"",""????0;"", ////"""),"'","""")&amp;SUBSTITUTE(TEXT(Overig!Q970,""",""?00;"",""?-00;"",""?00;"", //"""),"'","""")&amp;SUBSTITUTE(TEXT(Overig!R970,""",""????0;"",""???-0;"",""????0;"", ////"""),"'","""")&amp;SUBSTITUTE(TEXT(Overig!S970,""",""?00;"",""?-00;"",""?00;"", //"""),"'","""")&amp;SUBSTITUTE(TEXT(IF(ISTEXT(Overig!T970),Overig!T970,10*Overig!T970),""",""????0;"",""???-0;"",""????0;"", ////"""),"'","""")&amp;SUBSTITUTE(TEXT(Overig!U970,""",""?00;"",""?-00;"",""?00;"", //"""),"'","""")&amp;SUBSTITUTE(TEXT(Overig!V970,""",""???0;"",""??-0;"",""???0;"", ///"""),"'","""")&amp;SUBSTITUTE(TEXT(Overig!W970,""",""?00;"",""?-00;"",""?00;"", //"""),"'","""")</f>
        <v>032, 19400830, 07.00, 7579, 00,  277, 00, ////, 07, ////, 07,  92, 00,  256, 00,  266, 00,   65, 00,    4, 00,   3, 00</v>
      </c>
    </row>
    <row r="971" spans="1:1" x14ac:dyDescent="0.25">
      <c r="A971" s="12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//"""),"'","""")&amp;SUBSTITUTE(TEXT(IF(ISTEXT(Overig!J971),Overig!J971,10*Overig!J971),""",""????0;"",""???-0;"",""????0;"", ////"""),"'","""")&amp;SUBSTITUTE(TEXT(Overig!K971,""",""?00;"",""?-00;"",""?00;"", //"""),"'","""")&amp;SUBSTITUTE(TEXT(Overig!L971,""",""???0;"",""??-0;"",""???0;"", ///"""),"'","""")&amp;SUBSTITUTE(TEXT(Overig!M971,""",""?00;"",""?-00;"",""?00;"", //"""),"'","""")&amp;SUBSTITUTE(TEXT(IF(ISTEXT(Overig!N971),Overig!N971,10*Overig!N971),""",""????0;"",""???-0;"",""????0;"", ////"""),"'","""")&amp;SUBSTITUTE(TEXT(Overig!O971,""",""?00;"",""?-00;"",""?00;"", //"""),"'","""")&amp;SUBSTITUTE(TEXT(IF(ISTEXT(Overig!P971),Overig!P971,10*Overig!P971),""",""????0;"",""???-0;"",""????0;"", ////"""),"'","""")&amp;SUBSTITUTE(TEXT(Overig!Q971,""",""?00;"",""?-00;"",""?00;"", //"""),"'","""")&amp;SUBSTITUTE(TEXT(Overig!R971,""",""????0;"",""???-0;"",""????0;"", ////"""),"'","""")&amp;SUBSTITUTE(TEXT(Overig!S971,""",""?00;"",""?-00;"",""?00;"", //"""),"'","""")&amp;SUBSTITUTE(TEXT(IF(ISTEXT(Overig!T971),Overig!T971,10*Overig!T971),""",""????0;"",""???-0;"",""????0;"", ////"""),"'","""")&amp;SUBSTITUTE(TEXT(Overig!U971,""",""?00;"",""?-00;"",""?00;"", //"""),"'","""")&amp;SUBSTITUTE(TEXT(Overig!V971,""",""???0;"",""??-0;"",""???0;"", ///"""),"'","""")&amp;SUBSTITUTE(TEXT(Overig!W971,""",""?00;"",""?-00;"",""?00;"", //"""),"'","""")</f>
        <v>032, 19400830, 12.00, 7612, 00,  279, 00, ////, 07, ////, 07,  92, 00,  259, 00,  268, 00,   65, 00,    5, 00,   3, 00</v>
      </c>
    </row>
    <row r="972" spans="1:1" x14ac:dyDescent="0.25">
      <c r="A972" s="12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//"""),"'","""")&amp;SUBSTITUTE(TEXT(IF(ISTEXT(Overig!J972),Overig!J972,10*Overig!J972),""",""????0;"",""???-0;"",""????0;"", ////"""),"'","""")&amp;SUBSTITUTE(TEXT(Overig!K972,""",""?00;"",""?-00;"",""?00;"", //"""),"'","""")&amp;SUBSTITUTE(TEXT(Overig!L972,""",""???0;"",""??-0;"",""???0;"", ///"""),"'","""")&amp;SUBSTITUTE(TEXT(Overig!M972,""",""?00;"",""?-00;"",""?00;"", //"""),"'","""")&amp;SUBSTITUTE(TEXT(IF(ISTEXT(Overig!N972),Overig!N972,10*Overig!N972),""",""????0;"",""???-0;"",""????0;"", ////"""),"'","""")&amp;SUBSTITUTE(TEXT(Overig!O972,""",""?00;"",""?-00;"",""?00;"", //"""),"'","""")&amp;SUBSTITUTE(TEXT(IF(ISTEXT(Overig!P972),Overig!P972,10*Overig!P972),""",""????0;"",""???-0;"",""????0;"", ////"""),"'","""")&amp;SUBSTITUTE(TEXT(Overig!Q972,""",""?00;"",""?-00;"",""?00;"", //"""),"'","""")&amp;SUBSTITUTE(TEXT(Overig!R972,""",""????0;"",""???-0;"",""????0;"", ////"""),"'","""")&amp;SUBSTITUTE(TEXT(Overig!S972,""",""?00;"",""?-00;"",""?00;"", //"""),"'","""")&amp;SUBSTITUTE(TEXT(IF(ISTEXT(Overig!T972),Overig!T972,10*Overig!T972),""",""????0;"",""???-0;"",""????0;"", ////"""),"'","""")&amp;SUBSTITUTE(TEXT(Overig!U972,""",""?00;"",""?-00;"",""?00;"", //"""),"'","""")&amp;SUBSTITUTE(TEXT(Overig!V972,""",""???0;"",""??-0;"",""???0;"", ///"""),"'","""")&amp;SUBSTITUTE(TEXT(Overig!W972,""",""?00;"",""?-00;"",""?00;"", //"""),"'","""")</f>
        <v>032, 19400830, 17.00, 7582, 00,  271, 00, ////, 07, ////, 07,  96, 00,  259, 00,  266, 00,   65, 00,    5, 00,   3, 00</v>
      </c>
    </row>
    <row r="973" spans="1:1" x14ac:dyDescent="0.25">
      <c r="A973" s="12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//"""),"'","""")&amp;SUBSTITUTE(TEXT(IF(ISTEXT(Overig!J973),Overig!J973,10*Overig!J973),""",""????0;"",""???-0;"",""????0;"", ////"""),"'","""")&amp;SUBSTITUTE(TEXT(Overig!K973,""",""?00;"",""?-00;"",""?00;"", //"""),"'","""")&amp;SUBSTITUTE(TEXT(Overig!L973,""",""???0;"",""??-0;"",""???0;"", ///"""),"'","""")&amp;SUBSTITUTE(TEXT(Overig!M973,""",""?00;"",""?-00;"",""?00;"", //"""),"'","""")&amp;SUBSTITUTE(TEXT(IF(ISTEXT(Overig!N973),Overig!N973,10*Overig!N973),""",""????0;"",""???-0;"",""????0;"", ////"""),"'","""")&amp;SUBSTITUTE(TEXT(Overig!O973,""",""?00;"",""?-00;"",""?00;"", //"""),"'","""")&amp;SUBSTITUTE(TEXT(IF(ISTEXT(Overig!P973),Overig!P973,10*Overig!P973),""",""????0;"",""???-0;"",""????0;"", ////"""),"'","""")&amp;SUBSTITUTE(TEXT(Overig!Q973,""",""?00;"",""?-00;"",""?00;"", //"""),"'","""")&amp;SUBSTITUTE(TEXT(Overig!R973,""",""????0;"",""???-0;"",""????0;"", ////"""),"'","""")&amp;SUBSTITUTE(TEXT(Overig!S973,""",""?00;"",""?-00;"",""?00;"", //"""),"'","""")&amp;SUBSTITUTE(TEXT(IF(ISTEXT(Overig!T973),Overig!T973,10*Overig!T973),""",""????0;"",""???-0;"",""????0;"", ////"""),"'","""")&amp;SUBSTITUTE(TEXT(Overig!U973,""",""?00;"",""?-00;"",""?00;"", //"""),"'","""")&amp;SUBSTITUTE(TEXT(Overig!V973,""",""???0;"",""??-0;"",""???0;"", ///"""),"'","""")&amp;SUBSTITUTE(TEXT(Overig!W973,""",""?00;"",""?-00;"",""?00;"", //"""),"'","""")</f>
        <v>032, 19400830, 24.00, ////, 07, ////, 07,  288, 00,  306, 00, ///, 07, ////, 07, ////, 07, ////, 07, ////, 07, ///, 07</v>
      </c>
    </row>
    <row r="974" spans="1:1" x14ac:dyDescent="0.25">
      <c r="A974" s="12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//"""),"'","""")&amp;SUBSTITUTE(TEXT(IF(ISTEXT(Overig!J974),Overig!J974,10*Overig!J974),""",""????0;"",""???-0;"",""????0;"", ////"""),"'","""")&amp;SUBSTITUTE(TEXT(Overig!K974,""",""?00;"",""?-00;"",""?00;"", //"""),"'","""")&amp;SUBSTITUTE(TEXT(Overig!L974,""",""???0;"",""??-0;"",""???0;"", ///"""),"'","""")&amp;SUBSTITUTE(TEXT(Overig!M974,""",""?00;"",""?-00;"",""?00;"", //"""),"'","""")&amp;SUBSTITUTE(TEXT(IF(ISTEXT(Overig!N974),Overig!N974,10*Overig!N974),""",""????0;"",""???-0;"",""????0;"", ////"""),"'","""")&amp;SUBSTITUTE(TEXT(Overig!O974,""",""?00;"",""?-00;"",""?00;"", //"""),"'","""")&amp;SUBSTITUTE(TEXT(IF(ISTEXT(Overig!P974),Overig!P974,10*Overig!P974),""",""????0;"",""???-0;"",""????0;"", ////"""),"'","""")&amp;SUBSTITUTE(TEXT(Overig!Q974,""",""?00;"",""?-00;"",""?00;"", //"""),"'","""")&amp;SUBSTITUTE(TEXT(Overig!R974,""",""????0;"",""???-0;"",""????0;"", ////"""),"'","""")&amp;SUBSTITUTE(TEXT(Overig!S974,""",""?00;"",""?-00;"",""?00;"", //"""),"'","""")&amp;SUBSTITUTE(TEXT(IF(ISTEXT(Overig!T974),Overig!T974,10*Overig!T974),""",""????0;"",""???-0;"",""????0;"", ////"""),"'","""")&amp;SUBSTITUTE(TEXT(Overig!U974,""",""?00;"",""?-00;"",""?00;"", //"""),"'","""")&amp;SUBSTITUTE(TEXT(Overig!V974,""",""???0;"",""??-0;"",""???0;"", ///"""),"'","""")&amp;SUBSTITUTE(TEXT(Overig!W974,""",""?00;"",""?-00;"",""?00;"", //"""),"'","""")</f>
        <v>032, 19400831, 07.00, 7585, 00,  275, 00, ////, 07, ////, 07,  92, 00,  253, 00,  264, 00,   65, 00,    4, 00,   3, 00</v>
      </c>
    </row>
    <row r="975" spans="1:1" x14ac:dyDescent="0.25">
      <c r="A975" s="12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//"""),"'","""")&amp;SUBSTITUTE(TEXT(IF(ISTEXT(Overig!J975),Overig!J975,10*Overig!J975),""",""????0;"",""???-0;"",""????0;"", ////"""),"'","""")&amp;SUBSTITUTE(TEXT(Overig!K975,""",""?00;"",""?-00;"",""?00;"", //"""),"'","""")&amp;SUBSTITUTE(TEXT(Overig!L975,""",""???0;"",""??-0;"",""???0;"", ///"""),"'","""")&amp;SUBSTITUTE(TEXT(Overig!M975,""",""?00;"",""?-00;"",""?00;"", //"""),"'","""")&amp;SUBSTITUTE(TEXT(IF(ISTEXT(Overig!N975),Overig!N975,10*Overig!N975),""",""????0;"",""???-0;"",""????0;"", ////"""),"'","""")&amp;SUBSTITUTE(TEXT(Overig!O975,""",""?00;"",""?-00;"",""?00;"", //"""),"'","""")&amp;SUBSTITUTE(TEXT(IF(ISTEXT(Overig!P975),Overig!P975,10*Overig!P975),""",""????0;"",""???-0;"",""????0;"", ////"""),"'","""")&amp;SUBSTITUTE(TEXT(Overig!Q975,""",""?00;"",""?-00;"",""?00;"", //"""),"'","""")&amp;SUBSTITUTE(TEXT(Overig!R975,""",""????0;"",""???-0;"",""????0;"", ////"""),"'","""")&amp;SUBSTITUTE(TEXT(Overig!S975,""",""?00;"",""?-00;"",""?00;"", //"""),"'","""")&amp;SUBSTITUTE(TEXT(IF(ISTEXT(Overig!T975),Overig!T975,10*Overig!T975),""",""????0;"",""???-0;"",""????0;"", ////"""),"'","""")&amp;SUBSTITUTE(TEXT(Overig!U975,""",""?00;"",""?-00;"",""?00;"", //"""),"'","""")&amp;SUBSTITUTE(TEXT(Overig!V975,""",""???0;"",""??-0;"",""???0;"", ///"""),"'","""")&amp;SUBSTITUTE(TEXT(Overig!W975,""",""?00;"",""?-00;"",""?00;"", //"""),"'","""")</f>
        <v>032, 19400831, 12.00, 7605, 00,  279, 00, ////, 07, ////, 07,  92, 00,  259, 00,  268, 00,   65, 00,    5, 00,   4, 00</v>
      </c>
    </row>
    <row r="976" spans="1:1" x14ac:dyDescent="0.25">
      <c r="A976" s="12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//"""),"'","""")&amp;SUBSTITUTE(TEXT(IF(ISTEXT(Overig!J976),Overig!J976,10*Overig!J976),""",""????0;"",""???-0;"",""????0;"", ////"""),"'","""")&amp;SUBSTITUTE(TEXT(Overig!K976,""",""?00;"",""?-00;"",""?00;"", //"""),"'","""")&amp;SUBSTITUTE(TEXT(Overig!L976,""",""???0;"",""??-0;"",""???0;"", ///"""),"'","""")&amp;SUBSTITUTE(TEXT(Overig!M976,""",""?00;"",""?-00;"",""?00;"", //"""),"'","""")&amp;SUBSTITUTE(TEXT(IF(ISTEXT(Overig!N976),Overig!N976,10*Overig!N976),""",""????0;"",""???-0;"",""????0;"", ////"""),"'","""")&amp;SUBSTITUTE(TEXT(Overig!O976,""",""?00;"",""?-00;"",""?00;"", //"""),"'","""")&amp;SUBSTITUTE(TEXT(IF(ISTEXT(Overig!P976),Overig!P976,10*Overig!P976),""",""????0;"",""???-0;"",""????0;"", ////"""),"'","""")&amp;SUBSTITUTE(TEXT(Overig!Q976,""",""?00;"",""?-00;"",""?00;"", //"""),"'","""")&amp;SUBSTITUTE(TEXT(Overig!R976,""",""????0;"",""???-0;"",""????0;"", ////"""),"'","""")&amp;SUBSTITUTE(TEXT(Overig!S976,""",""?00;"",""?-00;"",""?00;"", //"""),"'","""")&amp;SUBSTITUTE(TEXT(IF(ISTEXT(Overig!T976),Overig!T976,10*Overig!T976),""",""????0;"",""???-0;"",""????0;"", ////"""),"'","""")&amp;SUBSTITUTE(TEXT(Overig!U976,""",""?00;"",""?-00;"",""?00;"", //"""),"'","""")&amp;SUBSTITUTE(TEXT(Overig!V976,""",""???0;"",""??-0;"",""???0;"", ///"""),"'","""")&amp;SUBSTITUTE(TEXT(Overig!W976,""",""?00;"",""?-00;"",""?00;"", //"""),"'","""")</f>
        <v>032, 19400831, 17.00, 7582, 00,  273, 00, ////, 07, ////, 07,  93, 00,  254, 00,  264, 00,   90, 00,    5, 00,   4, 00</v>
      </c>
    </row>
    <row r="977" spans="1:1" x14ac:dyDescent="0.25">
      <c r="A977" s="12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//"""),"'","""")&amp;SUBSTITUTE(TEXT(IF(ISTEXT(Overig!J977),Overig!J977,10*Overig!J977),""",""????0;"",""???-0;"",""????0;"", ////"""),"'","""")&amp;SUBSTITUTE(TEXT(Overig!K977,""",""?00;"",""?-00;"",""?00;"", //"""),"'","""")&amp;SUBSTITUTE(TEXT(Overig!L977,""",""???0;"",""??-0;"",""???0;"", ///"""),"'","""")&amp;SUBSTITUTE(TEXT(Overig!M977,""",""?00;"",""?-00;"",""?00;"", //"""),"'","""")&amp;SUBSTITUTE(TEXT(IF(ISTEXT(Overig!N977),Overig!N977,10*Overig!N977),""",""????0;"",""???-0;"",""????0;"", ////"""),"'","""")&amp;SUBSTITUTE(TEXT(Overig!O977,""",""?00;"",""?-00;"",""?00;"", //"""),"'","""")&amp;SUBSTITUTE(TEXT(IF(ISTEXT(Overig!P977),Overig!P977,10*Overig!P977),""",""????0;"",""???-0;"",""????0;"", ////"""),"'","""")&amp;SUBSTITUTE(TEXT(Overig!Q977,""",""?00;"",""?-00;"",""?00;"", //"""),"'","""")&amp;SUBSTITUTE(TEXT(Overig!R977,""",""????0;"",""???-0;"",""????0;"", ////"""),"'","""")&amp;SUBSTITUTE(TEXT(Overig!S977,""",""?00;"",""?-00;"",""?00;"", //"""),"'","""")&amp;SUBSTITUTE(TEXT(IF(ISTEXT(Overig!T977),Overig!T977,10*Overig!T977),""",""????0;"",""???-0;"",""????0;"", ////"""),"'","""")&amp;SUBSTITUTE(TEXT(Overig!U977,""",""?00;"",""?-00;"",""?00;"", //"""),"'","""")&amp;SUBSTITUTE(TEXT(Overig!V977,""",""???0;"",""??-0;"",""???0;"", ///"""),"'","""")&amp;SUBSTITUTE(TEXT(Overig!W977,""",""?00;"",""?-00;"",""?00;"", //"""),"'","""")</f>
        <v>032, 19400831, 24.00, ////, 07, ////, 07,  290, 00,  306, 00, ///, 07, ////, 07, ////, 07, ////, 07, ////, 07, ///, 07</v>
      </c>
    </row>
    <row r="978" spans="1:1" x14ac:dyDescent="0.25">
      <c r="A978" s="12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//"""),"'","""")&amp;SUBSTITUTE(TEXT(IF(ISTEXT(Overig!J978),Overig!J978,10*Overig!J978),""",""????0;"",""???-0;"",""????0;"", ////"""),"'","""")&amp;SUBSTITUTE(TEXT(Overig!K978,""",""?00;"",""?-00;"",""?00;"", //"""),"'","""")&amp;SUBSTITUTE(TEXT(Overig!L978,""",""???0;"",""??-0;"",""???0;"", ///"""),"'","""")&amp;SUBSTITUTE(TEXT(Overig!M978,""",""?00;"",""?-00;"",""?00;"", //"""),"'","""")&amp;SUBSTITUTE(TEXT(IF(ISTEXT(Overig!N978),Overig!N978,10*Overig!N978),""",""????0;"",""???-0;"",""????0;"", ////"""),"'","""")&amp;SUBSTITUTE(TEXT(Overig!O978,""",""?00;"",""?-00;"",""?00;"", //"""),"'","""")&amp;SUBSTITUTE(TEXT(IF(ISTEXT(Overig!P978),Overig!P978,10*Overig!P978),""",""????0;"",""???-0;"",""????0;"", ////"""),"'","""")&amp;SUBSTITUTE(TEXT(Overig!Q978,""",""?00;"",""?-00;"",""?00;"", //"""),"'","""")&amp;SUBSTITUTE(TEXT(Overig!R978,""",""????0;"",""???-0;"",""????0;"", ////"""),"'","""")&amp;SUBSTITUTE(TEXT(Overig!S978,""",""?00;"",""?-00;"",""?00;"", //"""),"'","""")&amp;SUBSTITUTE(TEXT(IF(ISTEXT(Overig!T978),Overig!T978,10*Overig!T978),""",""????0;"",""???-0;"",""????0;"", ////"""),"'","""")&amp;SUBSTITUTE(TEXT(Overig!U978,""",""?00;"",""?-00;"",""?00;"", //"""),"'","""")&amp;SUBSTITUTE(TEXT(Overig!V978,""",""???0;"",""??-0;"",""???0;"", ///"""),"'","""")&amp;SUBSTITUTE(TEXT(Overig!W978,""",""?00;"",""?-00;"",""?00;"", //"""),"'","""")</f>
        <v>032, 19400901, 07.00, 7582, 00,  271, 00, ////, 07, ////, 07,  92, 00,  247, 00,  260, 00,  135, 00,    3, 00,   5, 00</v>
      </c>
    </row>
    <row r="979" spans="1:1" x14ac:dyDescent="0.25">
      <c r="A979" s="12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//"""),"'","""")&amp;SUBSTITUTE(TEXT(IF(ISTEXT(Overig!J979),Overig!J979,10*Overig!J979),""",""????0;"",""???-0;"",""????0;"", ////"""),"'","""")&amp;SUBSTITUTE(TEXT(Overig!K979,""",""?00;"",""?-00;"",""?00;"", //"""),"'","""")&amp;SUBSTITUTE(TEXT(Overig!L979,""",""???0;"",""??-0;"",""???0;"", ///"""),"'","""")&amp;SUBSTITUTE(TEXT(Overig!M979,""",""?00;"",""?-00;"",""?00;"", //"""),"'","""")&amp;SUBSTITUTE(TEXT(IF(ISTEXT(Overig!N979),Overig!N979,10*Overig!N979),""",""????0;"",""???-0;"",""????0;"", ////"""),"'","""")&amp;SUBSTITUTE(TEXT(Overig!O979,""",""?00;"",""?-00;"",""?00;"", //"""),"'","""")&amp;SUBSTITUTE(TEXT(IF(ISTEXT(Overig!P979),Overig!P979,10*Overig!P979),""",""????0;"",""???-0;"",""????0;"", ////"""),"'","""")&amp;SUBSTITUTE(TEXT(Overig!Q979,""",""?00;"",""?-00;"",""?00;"", //"""),"'","""")&amp;SUBSTITUTE(TEXT(Overig!R979,""",""????0;"",""???-0;"",""????0;"", ////"""),"'","""")&amp;SUBSTITUTE(TEXT(Overig!S979,""",""?00;"",""?-00;"",""?00;"", //"""),"'","""")&amp;SUBSTITUTE(TEXT(IF(ISTEXT(Overig!T979),Overig!T979,10*Overig!T979),""",""????0;"",""???-0;"",""????0;"", ////"""),"'","""")&amp;SUBSTITUTE(TEXT(Overig!U979,""",""?00;"",""?-00;"",""?00;"", //"""),"'","""")&amp;SUBSTITUTE(TEXT(Overig!V979,""",""???0;"",""??-0;"",""???0;"", ///"""),"'","""")&amp;SUBSTITUTE(TEXT(Overig!W979,""",""?00;"",""?-00;"",""?00;"", //"""),"'","""")</f>
        <v>032, 19400901, 12.00, 7597, 00,  279, 00, ////, 07, ////, 07,  92, 00,  259, 00,  268, 00,   90, 00,    4, 00,   6, 00</v>
      </c>
    </row>
    <row r="980" spans="1:1" x14ac:dyDescent="0.25">
      <c r="A980" s="12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//"""),"'","""")&amp;SUBSTITUTE(TEXT(IF(ISTEXT(Overig!J980),Overig!J980,10*Overig!J980),""",""????0;"",""???-0;"",""????0;"", ////"""),"'","""")&amp;SUBSTITUTE(TEXT(Overig!K980,""",""?00;"",""?-00;"",""?00;"", //"""),"'","""")&amp;SUBSTITUTE(TEXT(Overig!L980,""",""???0;"",""??-0;"",""???0;"", ///"""),"'","""")&amp;SUBSTITUTE(TEXT(Overig!M980,""",""?00;"",""?-00;"",""?00;"", //"""),"'","""")&amp;SUBSTITUTE(TEXT(IF(ISTEXT(Overig!N980),Overig!N980,10*Overig!N980),""",""????0;"",""???-0;"",""????0;"", ////"""),"'","""")&amp;SUBSTITUTE(TEXT(Overig!O980,""",""?00;"",""?-00;"",""?00;"", //"""),"'","""")&amp;SUBSTITUTE(TEXT(IF(ISTEXT(Overig!P980),Overig!P980,10*Overig!P980),""",""????0;"",""???-0;"",""????0;"", ////"""),"'","""")&amp;SUBSTITUTE(TEXT(Overig!Q980,""",""?00;"",""?-00;"",""?00;"", //"""),"'","""")&amp;SUBSTITUTE(TEXT(Overig!R980,""",""????0;"",""???-0;"",""????0;"", ////"""),"'","""")&amp;SUBSTITUTE(TEXT(Overig!S980,""",""?00;"",""?-00;"",""?00;"", //"""),"'","""")&amp;SUBSTITUTE(TEXT(IF(ISTEXT(Overig!T980),Overig!T980,10*Overig!T980),""",""????0;"",""???-0;"",""????0;"", ////"""),"'","""")&amp;SUBSTITUTE(TEXT(Overig!U980,""",""?00;"",""?-00;"",""?00;"", //"""),"'","""")&amp;SUBSTITUTE(TEXT(Overig!V980,""",""???0;"",""??-0;"",""???0;"", ///"""),"'","""")&amp;SUBSTITUTE(TEXT(Overig!W980,""",""?00;"",""?-00;"",""?00;"", //"""),"'","""")</f>
        <v>032, 19400901, 17.00, 7590, 00,  276, 00, ////, 07, ////, 07,  87, 00,  240, 00,  258, 00,   65, 00,    4, 00,   6, 00</v>
      </c>
    </row>
    <row r="981" spans="1:1" x14ac:dyDescent="0.25">
      <c r="A981" s="12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//"""),"'","""")&amp;SUBSTITUTE(TEXT(IF(ISTEXT(Overig!J981),Overig!J981,10*Overig!J981),""",""????0;"",""???-0;"",""????0;"", ////"""),"'","""")&amp;SUBSTITUTE(TEXT(Overig!K981,""",""?00;"",""?-00;"",""?00;"", //"""),"'","""")&amp;SUBSTITUTE(TEXT(Overig!L981,""",""???0;"",""??-0;"",""???0;"", ///"""),"'","""")&amp;SUBSTITUTE(TEXT(Overig!M981,""",""?00;"",""?-00;"",""?00;"", //"""),"'","""")&amp;SUBSTITUTE(TEXT(IF(ISTEXT(Overig!N981),Overig!N981,10*Overig!N981),""",""????0;"",""???-0;"",""????0;"", ////"""),"'","""")&amp;SUBSTITUTE(TEXT(Overig!O981,""",""?00;"",""?-00;"",""?00;"", //"""),"'","""")&amp;SUBSTITUTE(TEXT(IF(ISTEXT(Overig!P981),Overig!P981,10*Overig!P981),""",""????0;"",""???-0;"",""????0;"", ////"""),"'","""")&amp;SUBSTITUTE(TEXT(Overig!Q981,""",""?00;"",""?-00;"",""?00;"", //"""),"'","""")&amp;SUBSTITUTE(TEXT(Overig!R981,""",""????0;"",""???-0;"",""????0;"", ////"""),"'","""")&amp;SUBSTITUTE(TEXT(Overig!S981,""",""?00;"",""?-00;"",""?00;"", //"""),"'","""")&amp;SUBSTITUTE(TEXT(IF(ISTEXT(Overig!T981),Overig!T981,10*Overig!T981),""",""????0;"",""???-0;"",""????0;"", ////"""),"'","""")&amp;SUBSTITUTE(TEXT(Overig!U981,""",""?00;"",""?-00;"",""?00;"", //"""),"'","""")&amp;SUBSTITUTE(TEXT(Overig!V981,""",""???0;"",""??-0;"",""???0;"", ///"""),"'","""")&amp;SUBSTITUTE(TEXT(Overig!W981,""",""?00;"",""?-00;"",""?00;"", //"""),"'","""")</f>
        <v>032, 19400901, 24.00, ////, 07, ////, 07,  290, 00,  300, 00, ///, 07, ////, 07, ////, 07, ////, 07, ////, 07, ///, 07</v>
      </c>
    </row>
    <row r="982" spans="1:1" x14ac:dyDescent="0.25">
      <c r="A982" s="12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//"""),"'","""")&amp;SUBSTITUTE(TEXT(IF(ISTEXT(Overig!J982),Overig!J982,10*Overig!J982),""",""????0;"",""???-0;"",""????0;"", ////"""),"'","""")&amp;SUBSTITUTE(TEXT(Overig!K982,""",""?00;"",""?-00;"",""?00;"", //"""),"'","""")&amp;SUBSTITUTE(TEXT(Overig!L982,""",""???0;"",""??-0;"",""???0;"", ///"""),"'","""")&amp;SUBSTITUTE(TEXT(Overig!M982,""",""?00;"",""?-00;"",""?00;"", //"""),"'","""")&amp;SUBSTITUTE(TEXT(IF(ISTEXT(Overig!N982),Overig!N982,10*Overig!N982),""",""????0;"",""???-0;"",""????0;"", ////"""),"'","""")&amp;SUBSTITUTE(TEXT(Overig!O982,""",""?00;"",""?-00;"",""?00;"", //"""),"'","""")&amp;SUBSTITUTE(TEXT(IF(ISTEXT(Overig!P982),Overig!P982,10*Overig!P982),""",""????0;"",""???-0;"",""????0;"", ////"""),"'","""")&amp;SUBSTITUTE(TEXT(Overig!Q982,""",""?00;"",""?-00;"",""?00;"", //"""),"'","""")&amp;SUBSTITUTE(TEXT(Overig!R982,""",""????0;"",""???-0;"",""????0;"", ////"""),"'","""")&amp;SUBSTITUTE(TEXT(Overig!S982,""",""?00;"",""?-00;"",""?00;"", //"""),"'","""")&amp;SUBSTITUTE(TEXT(IF(ISTEXT(Overig!T982),Overig!T982,10*Overig!T982),""",""????0;"",""???-0;"",""????0;"", ////"""),"'","""")&amp;SUBSTITUTE(TEXT(Overig!U982,""",""?00;"",""?-00;"",""?00;"", //"""),"'","""")&amp;SUBSTITUTE(TEXT(Overig!V982,""",""???0;"",""??-0;"",""???0;"", ///"""),"'","""")&amp;SUBSTITUTE(TEXT(Overig!W982,""",""?00;"",""?-00;"",""?00;"", //"""),"'","""")</f>
        <v>032, 19400902, 07.00, 7585, 00,  271, 00, ////, 07, ////, 07,  94, 00,  251, 00,  262, 00,  115, 00,    3, 00,   6, 00</v>
      </c>
    </row>
    <row r="983" spans="1:1" x14ac:dyDescent="0.25">
      <c r="A983" s="12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//"""),"'","""")&amp;SUBSTITUTE(TEXT(IF(ISTEXT(Overig!J983),Overig!J983,10*Overig!J983),""",""????0;"",""???-0;"",""????0;"", ////"""),"'","""")&amp;SUBSTITUTE(TEXT(Overig!K983,""",""?00;"",""?-00;"",""?00;"", //"""),"'","""")&amp;SUBSTITUTE(TEXT(Overig!L983,""",""???0;"",""??-0;"",""???0;"", ///"""),"'","""")&amp;SUBSTITUTE(TEXT(Overig!M983,""",""?00;"",""?-00;"",""?00;"", //"""),"'","""")&amp;SUBSTITUTE(TEXT(IF(ISTEXT(Overig!N983),Overig!N983,10*Overig!N983),""",""????0;"",""???-0;"",""????0;"", ////"""),"'","""")&amp;SUBSTITUTE(TEXT(Overig!O983,""",""?00;"",""?-00;"",""?00;"", //"""),"'","""")&amp;SUBSTITUTE(TEXT(IF(ISTEXT(Overig!P983),Overig!P983,10*Overig!P983),""",""????0;"",""???-0;"",""????0;"", ////"""),"'","""")&amp;SUBSTITUTE(TEXT(Overig!Q983,""",""?00;"",""?-00;"",""?00;"", //"""),"'","""")&amp;SUBSTITUTE(TEXT(Overig!R983,""",""????0;"",""???-0;"",""????0;"", ////"""),"'","""")&amp;SUBSTITUTE(TEXT(Overig!S983,""",""?00;"",""?-00;"",""?00;"", //"""),"'","""")&amp;SUBSTITUTE(TEXT(IF(ISTEXT(Overig!T983),Overig!T983,10*Overig!T983),""",""????0;"",""???-0;"",""????0;"", ////"""),"'","""")&amp;SUBSTITUTE(TEXT(Overig!U983,""",""?00;"",""?-00;"",""?00;"", //"""),"'","""")&amp;SUBSTITUTE(TEXT(Overig!V983,""",""???0;"",""??-0;"",""???0;"", ///"""),"'","""")&amp;SUBSTITUTE(TEXT(Overig!W983,""",""?00;"",""?-00;"",""?00;"", //"""),"'","""")</f>
        <v>032, 19400902, 12.00, 7595, 00,  279, 00, ////, 07, ////, 07,  90, 00,  255, 00,  266, 00,   90, 00,    4, 00,   6, 00</v>
      </c>
    </row>
    <row r="984" spans="1:1" x14ac:dyDescent="0.25">
      <c r="A984" s="12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//"""),"'","""")&amp;SUBSTITUTE(TEXT(IF(ISTEXT(Overig!J984),Overig!J984,10*Overig!J984),""",""????0;"",""???-0;"",""????0;"", ////"""),"'","""")&amp;SUBSTITUTE(TEXT(Overig!K984,""",""?00;"",""?-00;"",""?00;"", //"""),"'","""")&amp;SUBSTITUTE(TEXT(Overig!L984,""",""???0;"",""??-0;"",""???0;"", ///"""),"'","""")&amp;SUBSTITUTE(TEXT(Overig!M984,""",""?00;"",""?-00;"",""?00;"", //"""),"'","""")&amp;SUBSTITUTE(TEXT(IF(ISTEXT(Overig!N984),Overig!N984,10*Overig!N984),""",""????0;"",""???-0;"",""????0;"", ////"""),"'","""")&amp;SUBSTITUTE(TEXT(Overig!O984,""",""?00;"",""?-00;"",""?00;"", //"""),"'","""")&amp;SUBSTITUTE(TEXT(IF(ISTEXT(Overig!P984),Overig!P984,10*Overig!P984),""",""????0;"",""???-0;"",""????0;"", ////"""),"'","""")&amp;SUBSTITUTE(TEXT(Overig!Q984,""",""?00;"",""?-00;"",""?00;"", //"""),"'","""")&amp;SUBSTITUTE(TEXT(Overig!R984,""",""????0;"",""???-0;"",""????0;"", ////"""),"'","""")&amp;SUBSTITUTE(TEXT(Overig!S984,""",""?00;"",""?-00;"",""?00;"", //"""),"'","""")&amp;SUBSTITUTE(TEXT(IF(ISTEXT(Overig!T984),Overig!T984,10*Overig!T984),""",""????0;"",""???-0;"",""????0;"", ////"""),"'","""")&amp;SUBSTITUTE(TEXT(Overig!U984,""",""?00;"",""?-00;"",""?00;"", //"""),"'","""")&amp;SUBSTITUTE(TEXT(Overig!V984,""",""???0;"",""??-0;"",""???0;"", ///"""),"'","""")&amp;SUBSTITUTE(TEXT(Overig!W984,""",""?00;"",""?-00;"",""?00;"", //"""),"'","""")</f>
        <v>032, 19400902, 17.00, 7590, 00,  277, 00, ////, 07, ////, 07,  87, 00,  244, 00,  260, 00,   90, 00,    4, 00,   5, 00</v>
      </c>
    </row>
    <row r="985" spans="1:1" x14ac:dyDescent="0.25">
      <c r="A985" s="12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//"""),"'","""")&amp;SUBSTITUTE(TEXT(IF(ISTEXT(Overig!J985),Overig!J985,10*Overig!J985),""",""????0;"",""???-0;"",""????0;"", ////"""),"'","""")&amp;SUBSTITUTE(TEXT(Overig!K985,""",""?00;"",""?-00;"",""?00;"", //"""),"'","""")&amp;SUBSTITUTE(TEXT(Overig!L985,""",""???0;"",""??-0;"",""???0;"", ///"""),"'","""")&amp;SUBSTITUTE(TEXT(Overig!M985,""",""?00;"",""?-00;"",""?00;"", //"""),"'","""")&amp;SUBSTITUTE(TEXT(IF(ISTEXT(Overig!N985),Overig!N985,10*Overig!N985),""",""????0;"",""???-0;"",""????0;"", ////"""),"'","""")&amp;SUBSTITUTE(TEXT(Overig!O985,""",""?00;"",""?-00;"",""?00;"", //"""),"'","""")&amp;SUBSTITUTE(TEXT(IF(ISTEXT(Overig!P985),Overig!P985,10*Overig!P985),""",""????0;"",""???-0;"",""????0;"", ////"""),"'","""")&amp;SUBSTITUTE(TEXT(Overig!Q985,""",""?00;"",""?-00;"",""?00;"", //"""),"'","""")&amp;SUBSTITUTE(TEXT(Overig!R985,""",""????0;"",""???-0;"",""????0;"", ////"""),"'","""")&amp;SUBSTITUTE(TEXT(Overig!S985,""",""?00;"",""?-00;"",""?00;"", //"""),"'","""")&amp;SUBSTITUTE(TEXT(IF(ISTEXT(Overig!T985),Overig!T985,10*Overig!T985),""",""????0;"",""???-0;"",""????0;"", ////"""),"'","""")&amp;SUBSTITUTE(TEXT(Overig!U985,""",""?00;"",""?-00;"",""?00;"", //"""),"'","""")&amp;SUBSTITUTE(TEXT(Overig!V985,""",""???0;"",""??-0;"",""???0;"", ///"""),"'","""")&amp;SUBSTITUTE(TEXT(Overig!W985,""",""?00;"",""?-00;"",""?00;"", //"""),"'","""")</f>
        <v>032, 19400902, 24.00, ////, 07, ////, 07,  288, 00,  300, 00, ///, 07, ////, 07, ////, 07, ////, 07, ////, 07, ///, 07</v>
      </c>
    </row>
    <row r="986" spans="1:1" x14ac:dyDescent="0.25">
      <c r="A986" s="12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//"""),"'","""")&amp;SUBSTITUTE(TEXT(IF(ISTEXT(Overig!J986),Overig!J986,10*Overig!J986),""",""????0;"",""???-0;"",""????0;"", ////"""),"'","""")&amp;SUBSTITUTE(TEXT(Overig!K986,""",""?00;"",""?-00;"",""?00;"", //"""),"'","""")&amp;SUBSTITUTE(TEXT(Overig!L986,""",""???0;"",""??-0;"",""???0;"", ///"""),"'","""")&amp;SUBSTITUTE(TEXT(Overig!M986,""",""?00;"",""?-00;"",""?00;"", //"""),"'","""")&amp;SUBSTITUTE(TEXT(IF(ISTEXT(Overig!N986),Overig!N986,10*Overig!N986),""",""????0;"",""???-0;"",""????0;"", ////"""),"'","""")&amp;SUBSTITUTE(TEXT(Overig!O986,""",""?00;"",""?-00;"",""?00;"", //"""),"'","""")&amp;SUBSTITUTE(TEXT(IF(ISTEXT(Overig!P986),Overig!P986,10*Overig!P986),""",""????0;"",""???-0;"",""????0;"", ////"""),"'","""")&amp;SUBSTITUTE(TEXT(Overig!Q986,""",""?00;"",""?-00;"",""?00;"", //"""),"'","""")&amp;SUBSTITUTE(TEXT(Overig!R986,""",""????0;"",""???-0;"",""????0;"", ////"""),"'","""")&amp;SUBSTITUTE(TEXT(Overig!S986,""",""?00;"",""?-00;"",""?00;"", //"""),"'","""")&amp;SUBSTITUTE(TEXT(IF(ISTEXT(Overig!T986),Overig!T986,10*Overig!T986),""",""????0;"",""???-0;"",""????0;"", ////"""),"'","""")&amp;SUBSTITUTE(TEXT(Overig!U986,""",""?00;"",""?-00;"",""?00;"", //"""),"'","""")&amp;SUBSTITUTE(TEXT(Overig!V986,""",""???0;"",""??-0;"",""???0;"", ///"""),"'","""")&amp;SUBSTITUTE(TEXT(Overig!W986,""",""?00;"",""?-00;"",""?00;"", //"""),"'","""")</f>
        <v>032, 19400903, 07.00, 7582, 00,  289, 00, ////, 07, ////, 07,  80, 00,  238, 00,  260, 00,  115, 00,    4, 00,   5, 00</v>
      </c>
    </row>
    <row r="987" spans="1:1" x14ac:dyDescent="0.25">
      <c r="A987" s="12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//"""),"'","""")&amp;SUBSTITUTE(TEXT(IF(ISTEXT(Overig!J987),Overig!J987,10*Overig!J987),""",""????0;"",""???-0;"",""????0;"", ////"""),"'","""")&amp;SUBSTITUTE(TEXT(Overig!K987,""",""?00;"",""?-00;"",""?00;"", //"""),"'","""")&amp;SUBSTITUTE(TEXT(Overig!L987,""",""???0;"",""??-0;"",""???0;"", ///"""),"'","""")&amp;SUBSTITUTE(TEXT(Overig!M987,""",""?00;"",""?-00;"",""?00;"", //"""),"'","""")&amp;SUBSTITUTE(TEXT(IF(ISTEXT(Overig!N987),Overig!N987,10*Overig!N987),""",""????0;"",""???-0;"",""????0;"", ////"""),"'","""")&amp;SUBSTITUTE(TEXT(Overig!O987,""",""?00;"",""?-00;"",""?00;"", //"""),"'","""")&amp;SUBSTITUTE(TEXT(IF(ISTEXT(Overig!P987),Overig!P987,10*Overig!P987),""",""????0;"",""???-0;"",""????0;"", ////"""),"'","""")&amp;SUBSTITUTE(TEXT(Overig!Q987,""",""?00;"",""?-00;"",""?00;"", //"""),"'","""")&amp;SUBSTITUTE(TEXT(Overig!R987,""",""????0;"",""???-0;"",""????0;"", ////"""),"'","""")&amp;SUBSTITUTE(TEXT(Overig!S987,""",""?00;"",""?-00;"",""?00;"", //"""),"'","""")&amp;SUBSTITUTE(TEXT(IF(ISTEXT(Overig!T987),Overig!T987,10*Overig!T987),""",""????0;"",""???-0;"",""????0;"", ////"""),"'","""")&amp;SUBSTITUTE(TEXT(Overig!U987,""",""?00;"",""?-00;"",""?00;"", //"""),"'","""")&amp;SUBSTITUTE(TEXT(Overig!V987,""",""???0;"",""??-0;"",""???0;"", ///"""),"'","""")&amp;SUBSTITUTE(TEXT(Overig!W987,""",""?00;"",""?-00;"",""?00;"", //"""),"'","""")</f>
        <v>032, 19400903, 12.00, 7587, 00,  281, 00, ////, 07, ////, 07,  89, 00,  254, 00,  266, 00,   90, 00,    5, 00,   6, 00</v>
      </c>
    </row>
    <row r="988" spans="1:1" x14ac:dyDescent="0.25">
      <c r="A988" s="12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//"""),"'","""")&amp;SUBSTITUTE(TEXT(IF(ISTEXT(Overig!J988),Overig!J988,10*Overig!J988),""",""????0;"",""???-0;"",""????0;"", ////"""),"'","""")&amp;SUBSTITUTE(TEXT(Overig!K988,""",""?00;"",""?-00;"",""?00;"", //"""),"'","""")&amp;SUBSTITUTE(TEXT(Overig!L988,""",""???0;"",""??-0;"",""???0;"", ///"""),"'","""")&amp;SUBSTITUTE(TEXT(Overig!M988,""",""?00;"",""?-00;"",""?00;"", //"""),"'","""")&amp;SUBSTITUTE(TEXT(IF(ISTEXT(Overig!N988),Overig!N988,10*Overig!N988),""",""????0;"",""???-0;"",""????0;"", ////"""),"'","""")&amp;SUBSTITUTE(TEXT(Overig!O988,""",""?00;"",""?-00;"",""?00;"", //"""),"'","""")&amp;SUBSTITUTE(TEXT(IF(ISTEXT(Overig!P988),Overig!P988,10*Overig!P988),""",""????0;"",""???-0;"",""????0;"", ////"""),"'","""")&amp;SUBSTITUTE(TEXT(Overig!Q988,""",""?00;"",""?-00;"",""?00;"", //"""),"'","""")&amp;SUBSTITUTE(TEXT(Overig!R988,""",""????0;"",""???-0;"",""????0;"", ////"""),"'","""")&amp;SUBSTITUTE(TEXT(Overig!S988,""",""?00;"",""?-00;"",""?00;"", //"""),"'","""")&amp;SUBSTITUTE(TEXT(IF(ISTEXT(Overig!T988),Overig!T988,10*Overig!T988),""",""????0;"",""???-0;"",""????0;"", ////"""),"'","""")&amp;SUBSTITUTE(TEXT(Overig!U988,""",""?00;"",""?-00;"",""?00;"", //"""),"'","""")&amp;SUBSTITUTE(TEXT(Overig!V988,""",""???0;"",""??-0;"",""???0;"", ///"""),"'","""")&amp;SUBSTITUTE(TEXT(Overig!W988,""",""?00;"",""?-00;"",""?00;"", //"""),"'","""")</f>
        <v>032, 19400903, 17.00, 7582, 00,  271, 00, ////, 07, ////, 07,  92, 00,  247, 00,  260, 00,   65, 00,    6, 00,   5, 00</v>
      </c>
    </row>
    <row r="989" spans="1:1" x14ac:dyDescent="0.25">
      <c r="A989" s="12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//"""),"'","""")&amp;SUBSTITUTE(TEXT(IF(ISTEXT(Overig!J989),Overig!J989,10*Overig!J989),""",""????0;"",""???-0;"",""????0;"", ////"""),"'","""")&amp;SUBSTITUTE(TEXT(Overig!K989,""",""?00;"",""?-00;"",""?00;"", //"""),"'","""")&amp;SUBSTITUTE(TEXT(Overig!L989,""",""???0;"",""??-0;"",""???0;"", ///"""),"'","""")&amp;SUBSTITUTE(TEXT(Overig!M989,""",""?00;"",""?-00;"",""?00;"", //"""),"'","""")&amp;SUBSTITUTE(TEXT(IF(ISTEXT(Overig!N989),Overig!N989,10*Overig!N989),""",""????0;"",""???-0;"",""????0;"", ////"""),"'","""")&amp;SUBSTITUTE(TEXT(Overig!O989,""",""?00;"",""?-00;"",""?00;"", //"""),"'","""")&amp;SUBSTITUTE(TEXT(IF(ISTEXT(Overig!P989),Overig!P989,10*Overig!P989),""",""????0;"",""???-0;"",""????0;"", ////"""),"'","""")&amp;SUBSTITUTE(TEXT(Overig!Q989,""",""?00;"",""?-00;"",""?00;"", //"""),"'","""")&amp;SUBSTITUTE(TEXT(Overig!R989,""",""????0;"",""???-0;"",""????0;"", ////"""),"'","""")&amp;SUBSTITUTE(TEXT(Overig!S989,""",""?00;"",""?-00;"",""?00;"", //"""),"'","""")&amp;SUBSTITUTE(TEXT(IF(ISTEXT(Overig!T989),Overig!T989,10*Overig!T989),""",""????0;"",""???-0;"",""????0;"", ////"""),"'","""")&amp;SUBSTITUTE(TEXT(Overig!U989,""",""?00;"",""?-00;"",""?00;"", //"""),"'","""")&amp;SUBSTITUTE(TEXT(Overig!V989,""",""???0;"",""??-0;"",""???0;"", ///"""),"'","""")&amp;SUBSTITUTE(TEXT(Overig!W989,""",""?00;"",""?-00;"",""?00;"", //"""),"'","""")</f>
        <v>032, 19400903, 24.00, ////, 07, ////, 07,  294, 00,  310, 00, ///, 07, ////, 07, ////, 07, ////, 07, ////, 07, ///, 07</v>
      </c>
    </row>
    <row r="990" spans="1:1" x14ac:dyDescent="0.25">
      <c r="A990" s="12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//"""),"'","""")&amp;SUBSTITUTE(TEXT(IF(ISTEXT(Overig!J990),Overig!J990,10*Overig!J990),""",""????0;"",""???-0;"",""????0;"", ////"""),"'","""")&amp;SUBSTITUTE(TEXT(Overig!K990,""",""?00;"",""?-00;"",""?00;"", //"""),"'","""")&amp;SUBSTITUTE(TEXT(Overig!L990,""",""???0;"",""??-0;"",""???0;"", ///"""),"'","""")&amp;SUBSTITUTE(TEXT(Overig!M990,""",""?00;"",""?-00;"",""?00;"", //"""),"'","""")&amp;SUBSTITUTE(TEXT(IF(ISTEXT(Overig!N990),Overig!N990,10*Overig!N990),""",""????0;"",""???-0;"",""????0;"", ////"""),"'","""")&amp;SUBSTITUTE(TEXT(Overig!O990,""",""?00;"",""?-00;"",""?00;"", //"""),"'","""")&amp;SUBSTITUTE(TEXT(IF(ISTEXT(Overig!P990),Overig!P990,10*Overig!P990),""",""????0;"",""???-0;"",""????0;"", ////"""),"'","""")&amp;SUBSTITUTE(TEXT(Overig!Q990,""",""?00;"",""?-00;"",""?00;"", //"""),"'","""")&amp;SUBSTITUTE(TEXT(Overig!R990,""",""????0;"",""???-0;"",""????0;"", ////"""),"'","""")&amp;SUBSTITUTE(TEXT(Overig!S990,""",""?00;"",""?-00;"",""?00;"", //"""),"'","""")&amp;SUBSTITUTE(TEXT(IF(ISTEXT(Overig!T990),Overig!T990,10*Overig!T990),""",""????0;"",""???-0;"",""????0;"", ////"""),"'","""")&amp;SUBSTITUTE(TEXT(Overig!U990,""",""?00;"",""?-00;"",""?00;"", //"""),"'","""")&amp;SUBSTITUTE(TEXT(Overig!V990,""",""???0;"",""??-0;"",""???0;"", ///"""),"'","""")&amp;SUBSTITUTE(TEXT(Overig!W990,""",""?00;"",""?-00;"",""?00;"", //"""),"'","""")</f>
        <v>032, 19400904, 07.00, 7577, 00,  269, 00, ////, 07, ////, 07,  86, 00,  228, 00,  250, 00,   90, 00,    4, 00,   4, 00</v>
      </c>
    </row>
    <row r="991" spans="1:1" x14ac:dyDescent="0.25">
      <c r="A991" s="12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//"""),"'","""")&amp;SUBSTITUTE(TEXT(IF(ISTEXT(Overig!J991),Overig!J991,10*Overig!J991),""",""????0;"",""???-0;"",""????0;"", ////"""),"'","""")&amp;SUBSTITUTE(TEXT(Overig!K991,""",""?00;"",""?-00;"",""?00;"", //"""),"'","""")&amp;SUBSTITUTE(TEXT(Overig!L991,""",""???0;"",""??-0;"",""???0;"", ///"""),"'","""")&amp;SUBSTITUTE(TEXT(Overig!M991,""",""?00;"",""?-00;"",""?00;"", //"""),"'","""")&amp;SUBSTITUTE(TEXT(IF(ISTEXT(Overig!N991),Overig!N991,10*Overig!N991),""",""????0;"",""???-0;"",""????0;"", ////"""),"'","""")&amp;SUBSTITUTE(TEXT(Overig!O991,""",""?00;"",""?-00;"",""?00;"", //"""),"'","""")&amp;SUBSTITUTE(TEXT(IF(ISTEXT(Overig!P991),Overig!P991,10*Overig!P991),""",""????0;"",""???-0;"",""????0;"", ////"""),"'","""")&amp;SUBSTITUTE(TEXT(Overig!Q991,""",""?00;"",""?-00;"",""?00;"", //"""),"'","""")&amp;SUBSTITUTE(TEXT(Overig!R991,""",""????0;"",""???-0;"",""????0;"", ////"""),"'","""")&amp;SUBSTITUTE(TEXT(Overig!S991,""",""?00;"",""?-00;"",""?00;"", //"""),"'","""")&amp;SUBSTITUTE(TEXT(IF(ISTEXT(Overig!T991),Overig!T991,10*Overig!T991),""",""????0;"",""???-0;"",""????0;"", ////"""),"'","""")&amp;SUBSTITUTE(TEXT(Overig!U991,""",""?00;"",""?-00;"",""?00;"", //"""),"'","""")&amp;SUBSTITUTE(TEXT(Overig!V991,""",""???0;"",""??-0;"",""???0;"", ///"""),"'","""")&amp;SUBSTITUTE(TEXT(Overig!W991,""",""?00;"",""?-00;"",""?00;"", //"""),"'","""")</f>
        <v>032, 19400904, 12.00, 7597, 00,  283, 00, ////, 07, ////, 07,  83, 00,  241, 00,  260, 00,   65, 00,    5, 00,   4, 00</v>
      </c>
    </row>
    <row r="992" spans="1:1" x14ac:dyDescent="0.25">
      <c r="A992" s="12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//"""),"'","""")&amp;SUBSTITUTE(TEXT(IF(ISTEXT(Overig!J992),Overig!J992,10*Overig!J992),""",""????0;"",""???-0;"",""????0;"", ////"""),"'","""")&amp;SUBSTITUTE(TEXT(Overig!K992,""",""?00;"",""?-00;"",""?00;"", //"""),"'","""")&amp;SUBSTITUTE(TEXT(Overig!L992,""",""???0;"",""??-0;"",""???0;"", ///"""),"'","""")&amp;SUBSTITUTE(TEXT(Overig!M992,""",""?00;"",""?-00;"",""?00;"", //"""),"'","""")&amp;SUBSTITUTE(TEXT(IF(ISTEXT(Overig!N992),Overig!N992,10*Overig!N992),""",""????0;"",""???-0;"",""????0;"", ////"""),"'","""")&amp;SUBSTITUTE(TEXT(Overig!O992,""",""?00;"",""?-00;"",""?00;"", //"""),"'","""")&amp;SUBSTITUTE(TEXT(IF(ISTEXT(Overig!P992),Overig!P992,10*Overig!P992),""",""????0;"",""???-0;"",""????0;"", ////"""),"'","""")&amp;SUBSTITUTE(TEXT(Overig!Q992,""",""?00;"",""?-00;"",""?00;"", //"""),"'","""")&amp;SUBSTITUTE(TEXT(Overig!R992,""",""????0;"",""???-0;"",""????0;"", ////"""),"'","""")&amp;SUBSTITUTE(TEXT(Overig!S992,""",""?00;"",""?-00;"",""?00;"", //"""),"'","""")&amp;SUBSTITUTE(TEXT(IF(ISTEXT(Overig!T992),Overig!T992,10*Overig!T992),""",""????0;"",""???-0;"",""????0;"", ////"""),"'","""")&amp;SUBSTITUTE(TEXT(Overig!U992,""",""?00;"",""?-00;"",""?00;"", //"""),"'","""")&amp;SUBSTITUTE(TEXT(Overig!V992,""",""???0;"",""??-0;"",""???0;"", ///"""),"'","""")&amp;SUBSTITUTE(TEXT(Overig!W992,""",""?00;"",""?-00;"",""?00;"", //"""),"'","""")</f>
        <v>032, 19400904, 17.00, 7590, 00,  271, 00, ////, 07, ////, 07,  89, 00,  239, 00,  256, 00,   65, 00,    5, 00,   6, 00</v>
      </c>
    </row>
    <row r="993" spans="1:1" x14ac:dyDescent="0.25">
      <c r="A993" s="12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//"""),"'","""")&amp;SUBSTITUTE(TEXT(IF(ISTEXT(Overig!J993),Overig!J993,10*Overig!J993),""",""????0;"",""???-0;"",""????0;"", ////"""),"'","""")&amp;SUBSTITUTE(TEXT(Overig!K993,""",""?00;"",""?-00;"",""?00;"", //"""),"'","""")&amp;SUBSTITUTE(TEXT(Overig!L993,""",""???0;"",""??-0;"",""???0;"", ///"""),"'","""")&amp;SUBSTITUTE(TEXT(Overig!M993,""",""?00;"",""?-00;"",""?00;"", //"""),"'","""")&amp;SUBSTITUTE(TEXT(IF(ISTEXT(Overig!N993),Overig!N993,10*Overig!N993),""",""????0;"",""???-0;"",""????0;"", ////"""),"'","""")&amp;SUBSTITUTE(TEXT(Overig!O993,""",""?00;"",""?-00;"",""?00;"", //"""),"'","""")&amp;SUBSTITUTE(TEXT(IF(ISTEXT(Overig!P993),Overig!P993,10*Overig!P993),""",""????0;"",""???-0;"",""????0;"", ////"""),"'","""")&amp;SUBSTITUTE(TEXT(Overig!Q993,""",""?00;"",""?-00;"",""?00;"", //"""),"'","""")&amp;SUBSTITUTE(TEXT(Overig!R993,""",""????0;"",""???-0;"",""????0;"", ////"""),"'","""")&amp;SUBSTITUTE(TEXT(Overig!S993,""",""?00;"",""?-00;"",""?00;"", //"""),"'","""")&amp;SUBSTITUTE(TEXT(IF(ISTEXT(Overig!T993),Overig!T993,10*Overig!T993),""",""????0;"",""???-0;"",""????0;"", ////"""),"'","""")&amp;SUBSTITUTE(TEXT(Overig!U993,""",""?00;"",""?-00;"",""?00;"", //"""),"'","""")&amp;SUBSTITUTE(TEXT(Overig!V993,""",""???0;"",""??-0;"",""???0;"", ///"""),"'","""")&amp;SUBSTITUTE(TEXT(Overig!W993,""",""?00;"",""?-00;"",""?00;"", //"""),"'","""")</f>
        <v>032, 19400904, 24.00, ////, 07, ////, 07,  284, 00,  310, 00, ///, 07, ////, 07, ////, 07, ////, 07, ////, 07, ///, 07</v>
      </c>
    </row>
    <row r="994" spans="1:1" x14ac:dyDescent="0.25">
      <c r="A994" s="12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//"""),"'","""")&amp;SUBSTITUTE(TEXT(IF(ISTEXT(Overig!J994),Overig!J994,10*Overig!J994),""",""????0;"",""???-0;"",""????0;"", ////"""),"'","""")&amp;SUBSTITUTE(TEXT(Overig!K994,""",""?00;"",""?-00;"",""?00;"", //"""),"'","""")&amp;SUBSTITUTE(TEXT(Overig!L994,""",""???0;"",""??-0;"",""???0;"", ///"""),"'","""")&amp;SUBSTITUTE(TEXT(Overig!M994,""",""?00;"",""?-00;"",""?00;"", //"""),"'","""")&amp;SUBSTITUTE(TEXT(IF(ISTEXT(Overig!N994),Overig!N994,10*Overig!N994),""",""????0;"",""???-0;"",""????0;"", ////"""),"'","""")&amp;SUBSTITUTE(TEXT(Overig!O994,""",""?00;"",""?-00;"",""?00;"", //"""),"'","""")&amp;SUBSTITUTE(TEXT(IF(ISTEXT(Overig!P994),Overig!P994,10*Overig!P994),""",""????0;"",""???-0;"",""????0;"", ////"""),"'","""")&amp;SUBSTITUTE(TEXT(Overig!Q994,""",""?00;"",""?-00;"",""?00;"", //"""),"'","""")&amp;SUBSTITUTE(TEXT(Overig!R994,""",""????0;"",""???-0;"",""????0;"", ////"""),"'","""")&amp;SUBSTITUTE(TEXT(Overig!S994,""",""?00;"",""?-00;"",""?00;"", //"""),"'","""")&amp;SUBSTITUTE(TEXT(IF(ISTEXT(Overig!T994),Overig!T994,10*Overig!T994),""",""????0;"",""???-0;"",""????0;"", ////"""),"'","""")&amp;SUBSTITUTE(TEXT(Overig!U994,""",""?00;"",""?-00;"",""?00;"", //"""),"'","""")&amp;SUBSTITUTE(TEXT(Overig!V994,""",""???0;"",""??-0;"",""???0;"", ///"""),"'","""")&amp;SUBSTITUTE(TEXT(Overig!W994,""",""?00;"",""?-00;"",""?00;"", //"""),"'","""")</f>
        <v>032, 19400905, 07.00, 7574, 00,  287, 00, ////, 07, ////, 07,  77, 00,  227, 00,  254, 00,   65, 00,    4, 00,   4, 00</v>
      </c>
    </row>
    <row r="995" spans="1:1" x14ac:dyDescent="0.25">
      <c r="A995" s="12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//"""),"'","""")&amp;SUBSTITUTE(TEXT(IF(ISTEXT(Overig!J995),Overig!J995,10*Overig!J995),""",""????0;"",""???-0;"",""????0;"", ////"""),"'","""")&amp;SUBSTITUTE(TEXT(Overig!K995,""",""?00;"",""?-00;"",""?00;"", //"""),"'","""")&amp;SUBSTITUTE(TEXT(Overig!L995,""",""???0;"",""??-0;"",""???0;"", ///"""),"'","""")&amp;SUBSTITUTE(TEXT(Overig!M995,""",""?00;"",""?-00;"",""?00;"", //"""),"'","""")&amp;SUBSTITUTE(TEXT(IF(ISTEXT(Overig!N995),Overig!N995,10*Overig!N995),""",""????0;"",""???-0;"",""????0;"", ////"""),"'","""")&amp;SUBSTITUTE(TEXT(Overig!O995,""",""?00;"",""?-00;"",""?00;"", //"""),"'","""")&amp;SUBSTITUTE(TEXT(IF(ISTEXT(Overig!P995),Overig!P995,10*Overig!P995),""",""????0;"",""???-0;"",""????0;"", ////"""),"'","""")&amp;SUBSTITUTE(TEXT(Overig!Q995,""",""?00;"",""?-00;"",""?00;"", //"""),"'","""")&amp;SUBSTITUTE(TEXT(Overig!R995,""",""????0;"",""???-0;"",""????0;"", ////"""),"'","""")&amp;SUBSTITUTE(TEXT(Overig!S995,""",""?00;"",""?-00;"",""?00;"", //"""),"'","""")&amp;SUBSTITUTE(TEXT(IF(ISTEXT(Overig!T995),Overig!T995,10*Overig!T995),""",""????0;"",""???-0;"",""????0;"", ////"""),"'","""")&amp;SUBSTITUTE(TEXT(Overig!U995,""",""?00;"",""?-00;"",""?00;"", //"""),"'","""")&amp;SUBSTITUTE(TEXT(Overig!V995,""",""???0;"",""??-0;"",""???0;"", ///"""),"'","""")&amp;SUBSTITUTE(TEXT(Overig!W995,""",""?00;"",""?-00;"",""?00;"", //"""),"'","""")</f>
        <v>032, 19400905, 12.00, 7579, 00,  287, 00, ////, 07, ////, 07,  66, 00,  197, 00,  238, 00,   45, 00,    5, 00,   3, 00</v>
      </c>
    </row>
    <row r="996" spans="1:1" x14ac:dyDescent="0.25">
      <c r="A996" s="12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//"""),"'","""")&amp;SUBSTITUTE(TEXT(IF(ISTEXT(Overig!J996),Overig!J996,10*Overig!J996),""",""????0;"",""???-0;"",""????0;"", ////"""),"'","""")&amp;SUBSTITUTE(TEXT(Overig!K996,""",""?00;"",""?-00;"",""?00;"", //"""),"'","""")&amp;SUBSTITUTE(TEXT(Overig!L996,""",""???0;"",""??-0;"",""???0;"", ///"""),"'","""")&amp;SUBSTITUTE(TEXT(Overig!M996,""",""?00;"",""?-00;"",""?00;"", //"""),"'","""")&amp;SUBSTITUTE(TEXT(IF(ISTEXT(Overig!N996),Overig!N996,10*Overig!N996),""",""????0;"",""???-0;"",""????0;"", ////"""),"'","""")&amp;SUBSTITUTE(TEXT(Overig!O996,""",""?00;"",""?-00;"",""?00;"", //"""),"'","""")&amp;SUBSTITUTE(TEXT(IF(ISTEXT(Overig!P996),Overig!P996,10*Overig!P996),""",""????0;"",""???-0;"",""????0;"", ////"""),"'","""")&amp;SUBSTITUTE(TEXT(Overig!Q996,""",""?00;"",""?-00;"",""?00;"", //"""),"'","""")&amp;SUBSTITUTE(TEXT(Overig!R996,""",""????0;"",""???-0;"",""????0;"", ////"""),"'","""")&amp;SUBSTITUTE(TEXT(Overig!S996,""",""?00;"",""?-00;"",""?00;"", //"""),"'","""")&amp;SUBSTITUTE(TEXT(IF(ISTEXT(Overig!T996),Overig!T996,10*Overig!T996),""",""????0;"",""???-0;"",""????0;"", ////"""),"'","""")&amp;SUBSTITUTE(TEXT(Overig!U996,""",""?00;"",""?-00;"",""?00;"", //"""),"'","""")&amp;SUBSTITUTE(TEXT(Overig!V996,""",""???0;"",""??-0;"",""???0;"", ///"""),"'","""")&amp;SUBSTITUTE(TEXT(Overig!W996,""",""?00;"",""?-00;"",""?00;"", //"""),"'","""")</f>
        <v>032, 19400905, 17.00, 7574, 00,  279, 00, ////, 07, ////, 07,  85, 00,  239, 00,  258, 00,   25, 00,    5, 00,   3, 00</v>
      </c>
    </row>
    <row r="997" spans="1:1" x14ac:dyDescent="0.25">
      <c r="A997" s="12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//"""),"'","""")&amp;SUBSTITUTE(TEXT(IF(ISTEXT(Overig!J997),Overig!J997,10*Overig!J997),""",""????0;"",""???-0;"",""????0;"", ////"""),"'","""")&amp;SUBSTITUTE(TEXT(Overig!K997,""",""?00;"",""?-00;"",""?00;"", //"""),"'","""")&amp;SUBSTITUTE(TEXT(Overig!L997,""",""???0;"",""??-0;"",""???0;"", ///"""),"'","""")&amp;SUBSTITUTE(TEXT(Overig!M997,""",""?00;"",""?-00;"",""?00;"", //"""),"'","""")&amp;SUBSTITUTE(TEXT(IF(ISTEXT(Overig!N997),Overig!N997,10*Overig!N997),""",""????0;"",""???-0;"",""????0;"", ////"""),"'","""")&amp;SUBSTITUTE(TEXT(Overig!O997,""",""?00;"",""?-00;"",""?00;"", //"""),"'","""")&amp;SUBSTITUTE(TEXT(IF(ISTEXT(Overig!P997),Overig!P997,10*Overig!P997),""",""????0;"",""???-0;"",""????0;"", ////"""),"'","""")&amp;SUBSTITUTE(TEXT(Overig!Q997,""",""?00;"",""?-00;"",""?00;"", //"""),"'","""")&amp;SUBSTITUTE(TEXT(Overig!R997,""",""????0;"",""???-0;"",""????0;"", ////"""),"'","""")&amp;SUBSTITUTE(TEXT(Overig!S997,""",""?00;"",""?-00;"",""?00;"", //"""),"'","""")&amp;SUBSTITUTE(TEXT(IF(ISTEXT(Overig!T997),Overig!T997,10*Overig!T997),""",""????0;"",""???-0;"",""????0;"", ////"""),"'","""")&amp;SUBSTITUTE(TEXT(Overig!U997,""",""?00;"",""?-00;"",""?00;"", //"""),"'","""")&amp;SUBSTITUTE(TEXT(Overig!V997,""",""???0;"",""??-0;"",""???0;"", ///"""),"'","""")&amp;SUBSTITUTE(TEXT(Overig!W997,""",""?00;"",""?-00;"",""?00;"", //"""),"'","""")</f>
        <v>032, 19400905, 24.00, ////, 07, ////, 07,  290, 00,  304, 00, ///, 07, ////, 07, ////, 07, ////, 07, ////, 07, ///, 07</v>
      </c>
    </row>
    <row r="998" spans="1:1" x14ac:dyDescent="0.25">
      <c r="A998" s="12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//"""),"'","""")&amp;SUBSTITUTE(TEXT(IF(ISTEXT(Overig!J998),Overig!J998,10*Overig!J998),""",""????0;"",""???-0;"",""????0;"", ////"""),"'","""")&amp;SUBSTITUTE(TEXT(Overig!K998,""",""?00;"",""?-00;"",""?00;"", //"""),"'","""")&amp;SUBSTITUTE(TEXT(Overig!L998,""",""???0;"",""??-0;"",""???0;"", ///"""),"'","""")&amp;SUBSTITUTE(TEXT(Overig!M998,""",""?00;"",""?-00;"",""?00;"", //"""),"'","""")&amp;SUBSTITUTE(TEXT(IF(ISTEXT(Overig!N998),Overig!N998,10*Overig!N998),""",""????0;"",""???-0;"",""????0;"", ////"""),"'","""")&amp;SUBSTITUTE(TEXT(Overig!O998,""",""?00;"",""?-00;"",""?00;"", //"""),"'","""")&amp;SUBSTITUTE(TEXT(IF(ISTEXT(Overig!P998),Overig!P998,10*Overig!P998),""",""????0;"",""???-0;"",""????0;"", ////"""),"'","""")&amp;SUBSTITUTE(TEXT(Overig!Q998,""",""?00;"",""?-00;"",""?00;"", //"""),"'","""")&amp;SUBSTITUTE(TEXT(Overig!R998,""",""????0;"",""???-0;"",""????0;"", ////"""),"'","""")&amp;SUBSTITUTE(TEXT(Overig!S998,""",""?00;"",""?-00;"",""?00;"", //"""),"'","""")&amp;SUBSTITUTE(TEXT(IF(ISTEXT(Overig!T998),Overig!T998,10*Overig!T998),""",""????0;"",""???-0;"",""????0;"", ////"""),"'","""")&amp;SUBSTITUTE(TEXT(Overig!U998,""",""?00;"",""?-00;"",""?00;"", //"""),"'","""")&amp;SUBSTITUTE(TEXT(Overig!V998,""",""???0;"",""??-0;"",""???0;"", ///"""),"'","""")&amp;SUBSTITUTE(TEXT(Overig!W998,""",""?00;"",""?-00;"",""?00;"", //"""),"'","""")</f>
        <v>032, 19400906, 07.00, 7582, 00,  269, 00, ////, 07, ////, 07,  93, 00,  248, 00,  260, 00,   45, 00,    4, 00,   3, 00</v>
      </c>
    </row>
    <row r="999" spans="1:1" x14ac:dyDescent="0.25">
      <c r="A999" s="12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//"""),"'","""")&amp;SUBSTITUTE(TEXT(IF(ISTEXT(Overig!J999),Overig!J999,10*Overig!J999),""",""????0;"",""???-0;"",""????0;"", ////"""),"'","""")&amp;SUBSTITUTE(TEXT(Overig!K999,""",""?00;"",""?-00;"",""?00;"", //"""),"'","""")&amp;SUBSTITUTE(TEXT(Overig!L999,""",""???0;"",""??-0;"",""???0;"", ///"""),"'","""")&amp;SUBSTITUTE(TEXT(Overig!M999,""",""?00;"",""?-00;"",""?00;"", //"""),"'","""")&amp;SUBSTITUTE(TEXT(IF(ISTEXT(Overig!N999),Overig!N999,10*Overig!N999),""",""????0;"",""???-0;"",""????0;"", ////"""),"'","""")&amp;SUBSTITUTE(TEXT(Overig!O999,""",""?00;"",""?-00;"",""?00;"", //"""),"'","""")&amp;SUBSTITUTE(TEXT(IF(ISTEXT(Overig!P999),Overig!P999,10*Overig!P999),""",""????0;"",""???-0;"",""????0;"", ////"""),"'","""")&amp;SUBSTITUTE(TEXT(Overig!Q999,""",""?00;"",""?-00;"",""?00;"", //"""),"'","""")&amp;SUBSTITUTE(TEXT(Overig!R999,""",""????0;"",""???-0;"",""????0;"", ////"""),"'","""")&amp;SUBSTITUTE(TEXT(Overig!S999,""",""?00;"",""?-00;"",""?00;"", //"""),"'","""")&amp;SUBSTITUTE(TEXT(IF(ISTEXT(Overig!T999),Overig!T999,10*Overig!T999),""",""????0;"",""???-0;"",""????0;"", ////"""),"'","""")&amp;SUBSTITUTE(TEXT(Overig!U999,""",""?00;"",""?-00;"",""?00;"", //"""),"'","""")&amp;SUBSTITUTE(TEXT(Overig!V999,""",""???0;"",""??-0;"",""???0;"", ///"""),"'","""")&amp;SUBSTITUTE(TEXT(Overig!W999,""",""?00;"",""?-00;"",""?00;"", //"""),"'","""")</f>
        <v>032, 19400906, 12.00, 7582, 00,  287, 00, ////, 07, ////, 07,  84, 00,  247, 00,  264, 00,   25, 00,    6, 00,   2, 00</v>
      </c>
    </row>
    <row r="1000" spans="1:1" x14ac:dyDescent="0.25">
      <c r="A1000" s="12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//"""),"'","""")&amp;SUBSTITUTE(TEXT(IF(ISTEXT(Overig!J1000),Overig!J1000,10*Overig!J1000),""",""????0;"",""???-0;"",""????0;"", ////"""),"'","""")&amp;SUBSTITUTE(TEXT(Overig!K1000,""",""?00;"",""?-00;"",""?00;"", //"""),"'","""")&amp;SUBSTITUTE(TEXT(Overig!L1000,""",""???0;"",""??-0;"",""???0;"", ///"""),"'","""")&amp;SUBSTITUTE(TEXT(Overig!M1000,""",""?00;"",""?-00;"",""?00;"", //"""),"'","""")&amp;SUBSTITUTE(TEXT(IF(ISTEXT(Overig!N1000),Overig!N1000,10*Overig!N1000),""",""????0;"",""???-0;"",""????0;"", ////"""),"'","""")&amp;SUBSTITUTE(TEXT(Overig!O1000,""",""?00;"",""?-00;"",""?00;"", //"""),"'","""")&amp;SUBSTITUTE(TEXT(IF(ISTEXT(Overig!P1000),Overig!P1000,10*Overig!P1000),""",""????0;"",""???-0;"",""????0;"", ////"""),"'","""")&amp;SUBSTITUTE(TEXT(Overig!Q1000,""",""?00;"",""?-00;"",""?00;"", //"""),"'","""")&amp;SUBSTITUTE(TEXT(Overig!R1000,""",""????0;"",""???-0;"",""????0;"", ////"""),"'","""")&amp;SUBSTITUTE(TEXT(Overig!S1000,""",""?00;"",""?-00;"",""?00;"", //"""),"'","""")&amp;SUBSTITUTE(TEXT(IF(ISTEXT(Overig!T1000),Overig!T1000,10*Overig!T1000),""",""????0;"",""???-0;"",""????0;"", ////"""),"'","""")&amp;SUBSTITUTE(TEXT(Overig!U1000,""",""?00;"",""?-00;"",""?00;"", //"""),"'","""")&amp;SUBSTITUTE(TEXT(Overig!V1000,""",""???0;"",""??-0;"",""???0;"", ///"""),"'","""")&amp;SUBSTITUTE(TEXT(Overig!W1000,""",""?00;"",""?-00;"",""?00;"", //"""),"'","""")</f>
        <v>032, 19400906, 17.00, 7582, 00,  279, 00, ////, 07, ////, 07,  86, 00,  243, 00,  260, 00,   25, 00,    6, 00,   2, 00</v>
      </c>
    </row>
    <row r="1001" spans="1:1" x14ac:dyDescent="0.25">
      <c r="A1001" s="12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//"""),"'","""")&amp;SUBSTITUTE(TEXT(IF(ISTEXT(Overig!J1001),Overig!J1001,10*Overig!J1001),""",""????0;"",""???-0;"",""????0;"", ////"""),"'","""")&amp;SUBSTITUTE(TEXT(Overig!K1001,""",""?00;"",""?-00;"",""?00;"", //"""),"'","""")&amp;SUBSTITUTE(TEXT(Overig!L1001,""",""???0;"",""??-0;"",""???0;"", ///"""),"'","""")&amp;SUBSTITUTE(TEXT(Overig!M1001,""",""?00;"",""?-00;"",""?00;"", //"""),"'","""")&amp;SUBSTITUTE(TEXT(IF(ISTEXT(Overig!N1001),Overig!N1001,10*Overig!N1001),""",""????0;"",""???-0;"",""????0;"", ////"""),"'","""")&amp;SUBSTITUTE(TEXT(Overig!O1001,""",""?00;"",""?-00;"",""?00;"", //"""),"'","""")&amp;SUBSTITUTE(TEXT(IF(ISTEXT(Overig!P1001),Overig!P1001,10*Overig!P1001),""",""????0;"",""???-0;"",""????0;"", ////"""),"'","""")&amp;SUBSTITUTE(TEXT(Overig!Q1001,""",""?00;"",""?-00;"",""?00;"", //"""),"'","""")&amp;SUBSTITUTE(TEXT(Overig!R1001,""",""????0;"",""???-0;"",""????0;"", ////"""),"'","""")&amp;SUBSTITUTE(TEXT(Overig!S1001,""",""?00;"",""?-00;"",""?00;"", //"""),"'","""")&amp;SUBSTITUTE(TEXT(IF(ISTEXT(Overig!T1001),Overig!T1001,10*Overig!T1001),""",""????0;"",""???-0;"",""????0;"", ////"""),"'","""")&amp;SUBSTITUTE(TEXT(Overig!U1001,""",""?00;"",""?-00;"",""?00;"", //"""),"'","""")&amp;SUBSTITUTE(TEXT(Overig!V1001,""",""???0;"",""??-0;"",""???0;"", ///"""),"'","""")&amp;SUBSTITUTE(TEXT(Overig!W1001,""",""?00;"",""?-00;"",""?00;"", //"""),"'","""")</f>
        <v>032, 19400906, 24.00, ////, 07, ////, 07,  290, 00,  300, 00, ///, 07, ////, 07, ////, 07, ////, 07, ////, 07, ///, 07</v>
      </c>
    </row>
    <row r="1002" spans="1:1" x14ac:dyDescent="0.25">
      <c r="A1002" s="12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//"""),"'","""")&amp;SUBSTITUTE(TEXT(IF(ISTEXT(Overig!J1002),Overig!J1002,10*Overig!J1002),""",""????0;"",""???-0;"",""????0;"", ////"""),"'","""")&amp;SUBSTITUTE(TEXT(Overig!K1002,""",""?00;"",""?-00;"",""?00;"", //"""),"'","""")&amp;SUBSTITUTE(TEXT(Overig!L1002,""",""???0;"",""??-0;"",""???0;"", ///"""),"'","""")&amp;SUBSTITUTE(TEXT(Overig!M1002,""",""?00;"",""?-00;"",""?00;"", //"""),"'","""")&amp;SUBSTITUTE(TEXT(IF(ISTEXT(Overig!N1002),Overig!N1002,10*Overig!N1002),""",""????0;"",""???-0;"",""????0;"", ////"""),"'","""")&amp;SUBSTITUTE(TEXT(Overig!O1002,""",""?00;"",""?-00;"",""?00;"", //"""),"'","""")&amp;SUBSTITUTE(TEXT(IF(ISTEXT(Overig!P1002),Overig!P1002,10*Overig!P1002),""",""????0;"",""???-0;"",""????0;"", ////"""),"'","""")&amp;SUBSTITUTE(TEXT(Overig!Q1002,""",""?00;"",""?-00;"",""?00;"", //"""),"'","""")&amp;SUBSTITUTE(TEXT(Overig!R1002,""",""????0;"",""???-0;"",""????0;"", ////"""),"'","""")&amp;SUBSTITUTE(TEXT(Overig!S1002,""",""?00;"",""?-00;"",""?00;"", //"""),"'","""")&amp;SUBSTITUTE(TEXT(IF(ISTEXT(Overig!T1002),Overig!T1002,10*Overig!T1002),""",""????0;"",""???-0;"",""????0;"", ////"""),"'","""")&amp;SUBSTITUTE(TEXT(Overig!U1002,""",""?00;"",""?-00;"",""?00;"", //"""),"'","""")&amp;SUBSTITUTE(TEXT(Overig!V1002,""",""???0;"",""??-0;"",""???0;"", ///"""),"'","""")&amp;SUBSTITUTE(TEXT(Overig!W1002,""",""?00;"",""?-00;"",""?00;"", //"""),"'","""")</f>
        <v>032, 19400907, 07.00, 7582, 00,  274, 00, ////, 07, ////, 07,  88, 00,  241, 00,  258, 00,   45, 00,    5, 00,   4, 00</v>
      </c>
    </row>
    <row r="1003" spans="1:1" x14ac:dyDescent="0.25">
      <c r="A1003" s="12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//"""),"'","""")&amp;SUBSTITUTE(TEXT(IF(ISTEXT(Overig!J1003),Overig!J1003,10*Overig!J1003),""",""????0;"",""???-0;"",""????0;"", ////"""),"'","""")&amp;SUBSTITUTE(TEXT(Overig!K1003,""",""?00;"",""?-00;"",""?00;"", //"""),"'","""")&amp;SUBSTITUTE(TEXT(Overig!L1003,""",""???0;"",""??-0;"",""???0;"", ///"""),"'","""")&amp;SUBSTITUTE(TEXT(Overig!M1003,""",""?00;"",""?-00;"",""?00;"", //"""),"'","""")&amp;SUBSTITUTE(TEXT(IF(ISTEXT(Overig!N1003),Overig!N1003,10*Overig!N1003),""",""????0;"",""???-0;"",""????0;"", ////"""),"'","""")&amp;SUBSTITUTE(TEXT(Overig!O1003,""",""?00;"",""?-00;"",""?00;"", //"""),"'","""")&amp;SUBSTITUTE(TEXT(IF(ISTEXT(Overig!P1003),Overig!P1003,10*Overig!P1003),""",""????0;"",""???-0;"",""????0;"", ////"""),"'","""")&amp;SUBSTITUTE(TEXT(Overig!Q1003,""",""?00;"",""?-00;"",""?00;"", //"""),"'","""")&amp;SUBSTITUTE(TEXT(Overig!R1003,""",""????0;"",""???-0;"",""????0;"", ////"""),"'","""")&amp;SUBSTITUTE(TEXT(Overig!S1003,""",""?00;"",""?-00;"",""?00;"", //"""),"'","""")&amp;SUBSTITUTE(TEXT(IF(ISTEXT(Overig!T1003),Overig!T1003,10*Overig!T1003),""",""????0;"",""???-0;"",""????0;"", ////"""),"'","""")&amp;SUBSTITUTE(TEXT(Overig!U1003,""",""?00;"",""?-00;"",""?00;"", //"""),"'","""")&amp;SUBSTITUTE(TEXT(Overig!V1003,""",""???0;"",""??-0;"",""???0;"", ///"""),"'","""")&amp;SUBSTITUTE(TEXT(Overig!W1003,""",""?00;"",""?-00;"",""?00;"", //"""),"'","""")</f>
        <v>032, 19400907, 12.00, 7582, 00,  281, 00, ////, 07, ////, 07,  86, 00,  246, 00,  262, 00,   45, 00,    6, 00,   5, 00</v>
      </c>
    </row>
    <row r="1004" spans="1:1" x14ac:dyDescent="0.25">
      <c r="A1004" s="12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//"""),"'","""")&amp;SUBSTITUTE(TEXT(IF(ISTEXT(Overig!J1004),Overig!J1004,10*Overig!J1004),""",""????0;"",""???-0;"",""????0;"", ////"""),"'","""")&amp;SUBSTITUTE(TEXT(Overig!K1004,""",""?00;"",""?-00;"",""?00;"", //"""),"'","""")&amp;SUBSTITUTE(TEXT(Overig!L1004,""",""???0;"",""??-0;"",""???0;"", ///"""),"'","""")&amp;SUBSTITUTE(TEXT(Overig!M1004,""",""?00;"",""?-00;"",""?00;"", //"""),"'","""")&amp;SUBSTITUTE(TEXT(IF(ISTEXT(Overig!N1004),Overig!N1004,10*Overig!N1004),""",""????0;"",""???-0;"",""????0;"", ////"""),"'","""")&amp;SUBSTITUTE(TEXT(Overig!O1004,""",""?00;"",""?-00;"",""?00;"", //"""),"'","""")&amp;SUBSTITUTE(TEXT(IF(ISTEXT(Overig!P1004),Overig!P1004,10*Overig!P1004),""",""????0;"",""???-0;"",""????0;"", ////"""),"'","""")&amp;SUBSTITUTE(TEXT(Overig!Q1004,""",""?00;"",""?-00;"",""?00;"", //"""),"'","""")&amp;SUBSTITUTE(TEXT(Overig!R1004,""",""????0;"",""???-0;"",""????0;"", ////"""),"'","""")&amp;SUBSTITUTE(TEXT(Overig!S1004,""",""?00;"",""?-00;"",""?00;"", //"""),"'","""")&amp;SUBSTITUTE(TEXT(IF(ISTEXT(Overig!T1004),Overig!T1004,10*Overig!T1004),""",""????0;"",""???-0;"",""????0;"", ////"""),"'","""")&amp;SUBSTITUTE(TEXT(Overig!U1004,""",""?00;"",""?-00;"",""?00;"", //"""),"'","""")&amp;SUBSTITUTE(TEXT(Overig!V1004,""",""???0;"",""??-0;"",""???0;"", ///"""),"'","""")&amp;SUBSTITUTE(TEXT(Overig!W1004,""",""?00;"",""?-00;"",""?00;"", //"""),"'","""")</f>
        <v>032, 19400907, 17.00, 7577, 00,  275, 00, ////, 07, ////, 07,  87, 00,  241, 00,  258, 00,   45, 00,    6, 00,   5, 00</v>
      </c>
    </row>
    <row r="1005" spans="1:1" x14ac:dyDescent="0.25">
      <c r="A1005" s="12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//"""),"'","""")&amp;SUBSTITUTE(TEXT(IF(ISTEXT(Overig!J1005),Overig!J1005,10*Overig!J1005),""",""????0;"",""???-0;"",""????0;"", ////"""),"'","""")&amp;SUBSTITUTE(TEXT(Overig!K1005,""",""?00;"",""?-00;"",""?00;"", //"""),"'","""")&amp;SUBSTITUTE(TEXT(Overig!L1005,""",""???0;"",""??-0;"",""???0;"", ///"""),"'","""")&amp;SUBSTITUTE(TEXT(Overig!M1005,""",""?00;"",""?-00;"",""?00;"", //"""),"'","""")&amp;SUBSTITUTE(TEXT(IF(ISTEXT(Overig!N1005),Overig!N1005,10*Overig!N1005),""",""????0;"",""???-0;"",""????0;"", ////"""),"'","""")&amp;SUBSTITUTE(TEXT(Overig!O1005,""",""?00;"",""?-00;"",""?00;"", //"""),"'","""")&amp;SUBSTITUTE(TEXT(IF(ISTEXT(Overig!P1005),Overig!P1005,10*Overig!P1005),""",""????0;"",""???-0;"",""????0;"", ////"""),"'","""")&amp;SUBSTITUTE(TEXT(Overig!Q1005,""",""?00;"",""?-00;"",""?00;"", //"""),"'","""")&amp;SUBSTITUTE(TEXT(Overig!R1005,""",""????0;"",""???-0;"",""????0;"", ////"""),"'","""")&amp;SUBSTITUTE(TEXT(Overig!S1005,""",""?00;"",""?-00;"",""?00;"", //"""),"'","""")&amp;SUBSTITUTE(TEXT(IF(ISTEXT(Overig!T1005),Overig!T1005,10*Overig!T1005),""",""????0;"",""???-0;"",""????0;"", ////"""),"'","""")&amp;SUBSTITUTE(TEXT(Overig!U1005,""",""?00;"",""?-00;"",""?00;"", //"""),"'","""")&amp;SUBSTITUTE(TEXT(Overig!V1005,""",""???0;"",""??-0;"",""???0;"", ///"""),"'","""")&amp;SUBSTITUTE(TEXT(Overig!W1005,""",""?00;"",""?-00;"",""?00;"", //"""),"'","""")</f>
        <v>032, 19400907, 24.00, ////, 07, ////, 07,  290, 00,  304, 00, ///, 07, ////, 07, ////, 07, ////, 07, ////, 07, ///, 07</v>
      </c>
    </row>
    <row r="1006" spans="1:1" x14ac:dyDescent="0.25">
      <c r="A1006" s="12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//"""),"'","""")&amp;SUBSTITUTE(TEXT(IF(ISTEXT(Overig!J1006),Overig!J1006,10*Overig!J1006),""",""????0;"",""???-0;"",""????0;"", ////"""),"'","""")&amp;SUBSTITUTE(TEXT(Overig!K1006,""",""?00;"",""?-00;"",""?00;"", //"""),"'","""")&amp;SUBSTITUTE(TEXT(Overig!L1006,""",""???0;"",""??-0;"",""???0;"", ///"""),"'","""")&amp;SUBSTITUTE(TEXT(Overig!M1006,""",""?00;"",""?-00;"",""?00;"", //"""),"'","""")&amp;SUBSTITUTE(TEXT(IF(ISTEXT(Overig!N1006),Overig!N1006,10*Overig!N1006),""",""????0;"",""???-0;"",""????0;"", ////"""),"'","""")&amp;SUBSTITUTE(TEXT(Overig!O1006,""",""?00;"",""?-00;"",""?00;"", //"""),"'","""")&amp;SUBSTITUTE(TEXT(IF(ISTEXT(Overig!P1006),Overig!P1006,10*Overig!P1006),""",""????0;"",""???-0;"",""????0;"", ////"""),"'","""")&amp;SUBSTITUTE(TEXT(Overig!Q1006,""",""?00;"",""?-00;"",""?00;"", //"""),"'","""")&amp;SUBSTITUTE(TEXT(Overig!R1006,""",""????0;"",""???-0;"",""????0;"", ////"""),"'","""")&amp;SUBSTITUTE(TEXT(Overig!S1006,""",""?00;"",""?-00;"",""?00;"", //"""),"'","""")&amp;SUBSTITUTE(TEXT(IF(ISTEXT(Overig!T1006),Overig!T1006,10*Overig!T1006),""",""????0;"",""???-0;"",""????0;"", ////"""),"'","""")&amp;SUBSTITUTE(TEXT(Overig!U1006,""",""?00;"",""?-00;"",""?00;"", //"""),"'","""")&amp;SUBSTITUTE(TEXT(Overig!V1006,""",""???0;"",""??-0;"",""???0;"", ///"""),"'","""")&amp;SUBSTITUTE(TEXT(Overig!W1006,""",""?00;"",""?-00;"",""?00;"", //"""),"'","""")</f>
        <v>032, 19400908, 07.00, 7569, 00,  263, 00, ////, 07, ////, 07,  95, 00,  243, 00,  256, 00,   45, 00,    5, 00,   3, 00</v>
      </c>
    </row>
    <row r="1007" spans="1:1" x14ac:dyDescent="0.25">
      <c r="A1007" s="12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//"""),"'","""")&amp;SUBSTITUTE(TEXT(IF(ISTEXT(Overig!J1007),Overig!J1007,10*Overig!J1007),""",""????0;"",""???-0;"",""????0;"", ////"""),"'","""")&amp;SUBSTITUTE(TEXT(Overig!K1007,""",""?00;"",""?-00;"",""?00;"", //"""),"'","""")&amp;SUBSTITUTE(TEXT(Overig!L1007,""",""???0;"",""??-0;"",""???0;"", ///"""),"'","""")&amp;SUBSTITUTE(TEXT(Overig!M1007,""",""?00;"",""?-00;"",""?00;"", //"""),"'","""")&amp;SUBSTITUTE(TEXT(IF(ISTEXT(Overig!N1007),Overig!N1007,10*Overig!N1007),""",""????0;"",""???-0;"",""????0;"", ////"""),"'","""")&amp;SUBSTITUTE(TEXT(Overig!O1007,""",""?00;"",""?-00;"",""?00;"", //"""),"'","""")&amp;SUBSTITUTE(TEXT(IF(ISTEXT(Overig!P1007),Overig!P1007,10*Overig!P1007),""",""????0;"",""???-0;"",""????0;"", ////"""),"'","""")&amp;SUBSTITUTE(TEXT(Overig!Q1007,""",""?00;"",""?-00;"",""?00;"", //"""),"'","""")&amp;SUBSTITUTE(TEXT(Overig!R1007,""",""????0;"",""???-0;"",""????0;"", ////"""),"'","""")&amp;SUBSTITUTE(TEXT(Overig!S1007,""",""?00;"",""?-00;"",""?00;"", //"""),"'","""")&amp;SUBSTITUTE(TEXT(IF(ISTEXT(Overig!T1007),Overig!T1007,10*Overig!T1007),""",""????0;"",""???-0;"",""????0;"", ////"""),"'","""")&amp;SUBSTITUTE(TEXT(Overig!U1007,""",""?00;"",""?-00;"",""?00;"", //"""),"'","""")&amp;SUBSTITUTE(TEXT(Overig!V1007,""",""???0;"",""??-0;"",""???0;"", ///"""),"'","""")&amp;SUBSTITUTE(TEXT(Overig!W1007,""",""?00;"",""?-00;"",""?00;"", //"""),"'","""")</f>
        <v>032, 19400908, 12.00, 7579, 00,  269, 00, ////, 07, ////, 07,  92, 00,  244, 00,  258, 00,   45, 00,    6, 00,   4, 00</v>
      </c>
    </row>
    <row r="1008" spans="1:1" x14ac:dyDescent="0.25">
      <c r="A1008" s="12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//"""),"'","""")&amp;SUBSTITUTE(TEXT(IF(ISTEXT(Overig!J1008),Overig!J1008,10*Overig!J1008),""",""????0;"",""???-0;"",""????0;"", ////"""),"'","""")&amp;SUBSTITUTE(TEXT(Overig!K1008,""",""?00;"",""?-00;"",""?00;"", //"""),"'","""")&amp;SUBSTITUTE(TEXT(Overig!L1008,""",""???0;"",""??-0;"",""???0;"", ///"""),"'","""")&amp;SUBSTITUTE(TEXT(Overig!M1008,""",""?00;"",""?-00;"",""?00;"", //"""),"'","""")&amp;SUBSTITUTE(TEXT(IF(ISTEXT(Overig!N1008),Overig!N1008,10*Overig!N1008),""",""????0;"",""???-0;"",""????0;"", ////"""),"'","""")&amp;SUBSTITUTE(TEXT(Overig!O1008,""",""?00;"",""?-00;"",""?00;"", //"""),"'","""")&amp;SUBSTITUTE(TEXT(IF(ISTEXT(Overig!P1008),Overig!P1008,10*Overig!P1008),""",""????0;"",""???-0;"",""????0;"", ////"""),"'","""")&amp;SUBSTITUTE(TEXT(Overig!Q1008,""",""?00;"",""?-00;"",""?00;"", //"""),"'","""")&amp;SUBSTITUTE(TEXT(Overig!R1008,""",""????0;"",""???-0;"",""????0;"", ////"""),"'","""")&amp;SUBSTITUTE(TEXT(Overig!S1008,""",""?00;"",""?-00;"",""?00;"", //"""),"'","""")&amp;SUBSTITUTE(TEXT(IF(ISTEXT(Overig!T1008),Overig!T1008,10*Overig!T1008),""",""????0;"",""???-0;"",""????0;"", ////"""),"'","""")&amp;SUBSTITUTE(TEXT(Overig!U1008,""",""?00;"",""?-00;"",""?00;"", //"""),"'","""")&amp;SUBSTITUTE(TEXT(Overig!V1008,""",""???0;"",""??-0;"",""???0;"", ///"""),"'","""")&amp;SUBSTITUTE(TEXT(Overig!W1008,""",""?00;"",""?-00;"",""?00;"", //"""),"'","""")</f>
        <v>032, 19400908, 17.00, 7569, 00,  261, 00, ////, 07, ////, 07,  95, 00,  240, 00,  254, 00,   45, 00,    6, 00,   3, 00</v>
      </c>
    </row>
    <row r="1009" spans="1:1" x14ac:dyDescent="0.25">
      <c r="A1009" s="12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//"""),"'","""")&amp;SUBSTITUTE(TEXT(IF(ISTEXT(Overig!J1009),Overig!J1009,10*Overig!J1009),""",""????0;"",""???-0;"",""????0;"", ////"""),"'","""")&amp;SUBSTITUTE(TEXT(Overig!K1009,""",""?00;"",""?-00;"",""?00;"", //"""),"'","""")&amp;SUBSTITUTE(TEXT(Overig!L1009,""",""???0;"",""??-0;"",""???0;"", ///"""),"'","""")&amp;SUBSTITUTE(TEXT(Overig!M1009,""",""?00;"",""?-00;"",""?00;"", //"""),"'","""")&amp;SUBSTITUTE(TEXT(IF(ISTEXT(Overig!N1009),Overig!N1009,10*Overig!N1009),""",""????0;"",""???-0;"",""????0;"", ////"""),"'","""")&amp;SUBSTITUTE(TEXT(Overig!O1009,""",""?00;"",""?-00;"",""?00;"", //"""),"'","""")&amp;SUBSTITUTE(TEXT(IF(ISTEXT(Overig!P1009),Overig!P1009,10*Overig!P1009),""",""????0;"",""???-0;"",""????0;"", ////"""),"'","""")&amp;SUBSTITUTE(TEXT(Overig!Q1009,""",""?00;"",""?-00;"",""?00;"", //"""),"'","""")&amp;SUBSTITUTE(TEXT(Overig!R1009,""",""????0;"",""???-0;"",""????0;"", ////"""),"'","""")&amp;SUBSTITUTE(TEXT(Overig!S1009,""",""?00;"",""?-00;"",""?00;"", //"""),"'","""")&amp;SUBSTITUTE(TEXT(IF(ISTEXT(Overig!T1009),Overig!T1009,10*Overig!T1009),""",""????0;"",""???-0;"",""????0;"", ////"""),"'","""")&amp;SUBSTITUTE(TEXT(Overig!U1009,""",""?00;"",""?-00;"",""?00;"", //"""),"'","""")&amp;SUBSTITUTE(TEXT(Overig!V1009,""",""???0;"",""??-0;"",""???0;"", ///"""),"'","""")&amp;SUBSTITUTE(TEXT(Overig!W1009,""",""?00;"",""?-00;"",""?00;"", //"""),"'","""")</f>
        <v>032, 19400908, 24.00, ////, 07, ////, 07,  285, 00,  300, 00, ///, 07, ////, 07, ////, 07, ////, 07, ////, 07, ///, 07</v>
      </c>
    </row>
    <row r="1010" spans="1:1" x14ac:dyDescent="0.25">
      <c r="A1010" s="12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//"""),"'","""")&amp;SUBSTITUTE(TEXT(IF(ISTEXT(Overig!J1010),Overig!J1010,10*Overig!J1010),""",""????0;"",""???-0;"",""????0;"", ////"""),"'","""")&amp;SUBSTITUTE(TEXT(Overig!K1010,""",""?00;"",""?-00;"",""?00;"", //"""),"'","""")&amp;SUBSTITUTE(TEXT(Overig!L1010,""",""???0;"",""??-0;"",""???0;"", ///"""),"'","""")&amp;SUBSTITUTE(TEXT(Overig!M1010,""",""?00;"",""?-00;"",""?00;"", //"""),"'","""")&amp;SUBSTITUTE(TEXT(IF(ISTEXT(Overig!N1010),Overig!N1010,10*Overig!N1010),""",""????0;"",""???-0;"",""????0;"", ////"""),"'","""")&amp;SUBSTITUTE(TEXT(Overig!O1010,""",""?00;"",""?-00;"",""?00;"", //"""),"'","""")&amp;SUBSTITUTE(TEXT(IF(ISTEXT(Overig!P1010),Overig!P1010,10*Overig!P1010),""",""????0;"",""???-0;"",""????0;"", ////"""),"'","""")&amp;SUBSTITUTE(TEXT(Overig!Q1010,""",""?00;"",""?-00;"",""?00;"", //"""),"'","""")&amp;SUBSTITUTE(TEXT(Overig!R1010,""",""????0;"",""???-0;"",""????0;"", ////"""),"'","""")&amp;SUBSTITUTE(TEXT(Overig!S1010,""",""?00;"",""?-00;"",""?00;"", //"""),"'","""")&amp;SUBSTITUTE(TEXT(IF(ISTEXT(Overig!T1010),Overig!T1010,10*Overig!T1010),""",""????0;"",""???-0;"",""????0;"", ////"""),"'","""")&amp;SUBSTITUTE(TEXT(Overig!U1010,""",""?00;"",""?-00;"",""?00;"", //"""),"'","""")&amp;SUBSTITUTE(TEXT(Overig!V1010,""",""???0;"",""??-0;"",""???0;"", ///"""),"'","""")&amp;SUBSTITUTE(TEXT(Overig!W1010,""",""?00;"",""?-00;"",""?00;"", //"""),"'","""")</f>
        <v>032, 19400909, 07.00, 7569, 00,  269, 00, ////, 07, ////, 07,  87, 00,  232, 00,  252, 00,   45, 00,    5, 00,   3, 00</v>
      </c>
    </row>
    <row r="1011" spans="1:1" x14ac:dyDescent="0.25">
      <c r="A1011" s="12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//"""),"'","""")&amp;SUBSTITUTE(TEXT(IF(ISTEXT(Overig!J1011),Overig!J1011,10*Overig!J1011),""",""????0;"",""???-0;"",""????0;"", ////"""),"'","""")&amp;SUBSTITUTE(TEXT(Overig!K1011,""",""?00;"",""?-00;"",""?00;"", //"""),"'","""")&amp;SUBSTITUTE(TEXT(Overig!L1011,""",""???0;"",""??-0;"",""???0;"", ///"""),"'","""")&amp;SUBSTITUTE(TEXT(Overig!M1011,""",""?00;"",""?-00;"",""?00;"", //"""),"'","""")&amp;SUBSTITUTE(TEXT(IF(ISTEXT(Overig!N1011),Overig!N1011,10*Overig!N1011),""",""????0;"",""???-0;"",""????0;"", ////"""),"'","""")&amp;SUBSTITUTE(TEXT(Overig!O1011,""",""?00;"",""?-00;"",""?00;"", //"""),"'","""")&amp;SUBSTITUTE(TEXT(IF(ISTEXT(Overig!P1011),Overig!P1011,10*Overig!P1011),""",""????0;"",""???-0;"",""????0;"", ////"""),"'","""")&amp;SUBSTITUTE(TEXT(Overig!Q1011,""",""?00;"",""?-00;"",""?00;"", //"""),"'","""")&amp;SUBSTITUTE(TEXT(Overig!R1011,""",""????0;"",""???-0;"",""????0;"", ////"""),"'","""")&amp;SUBSTITUTE(TEXT(Overig!S1011,""",""?00;"",""?-00;"",""?00;"", //"""),"'","""")&amp;SUBSTITUTE(TEXT(IF(ISTEXT(Overig!T1011),Overig!T1011,10*Overig!T1011),""",""????0;"",""???-0;"",""????0;"", ////"""),"'","""")&amp;SUBSTITUTE(TEXT(Overig!U1011,""",""?00;"",""?-00;"",""?00;"", //"""),"'","""")&amp;SUBSTITUTE(TEXT(Overig!V1011,""",""???0;"",""??-0;"",""???0;"", ///"""),"'","""")&amp;SUBSTITUTE(TEXT(Overig!W1011,""",""?00;"",""?-00;"",""?00;"", //"""),"'","""")</f>
        <v>032, 19400909, 12.00, 7579, 00,  271, 00, ////, 07, ////, 07,  87, 00,  235, 00,  254, 00,   45, 00,    6, 00,   4, 00</v>
      </c>
    </row>
    <row r="1012" spans="1:1" x14ac:dyDescent="0.25">
      <c r="A1012" s="12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//"""),"'","""")&amp;SUBSTITUTE(TEXT(IF(ISTEXT(Overig!J1012),Overig!J1012,10*Overig!J1012),""",""????0;"",""???-0;"",""????0;"", ////"""),"'","""")&amp;SUBSTITUTE(TEXT(Overig!K1012,""",""?00;"",""?-00;"",""?00;"", //"""),"'","""")&amp;SUBSTITUTE(TEXT(Overig!L1012,""",""???0;"",""??-0;"",""???0;"", ///"""),"'","""")&amp;SUBSTITUTE(TEXT(Overig!M1012,""",""?00;"",""?-00;"",""?00;"", //"""),"'","""")&amp;SUBSTITUTE(TEXT(IF(ISTEXT(Overig!N1012),Overig!N1012,10*Overig!N1012),""",""????0;"",""???-0;"",""????0;"", ////"""),"'","""")&amp;SUBSTITUTE(TEXT(Overig!O1012,""",""?00;"",""?-00;"",""?00;"", //"""),"'","""")&amp;SUBSTITUTE(TEXT(IF(ISTEXT(Overig!P1012),Overig!P1012,10*Overig!P1012),""",""????0;"",""???-0;"",""????0;"", ////"""),"'","""")&amp;SUBSTITUTE(TEXT(Overig!Q1012,""",""?00;"",""?-00;"",""?00;"", //"""),"'","""")&amp;SUBSTITUTE(TEXT(Overig!R1012,""",""????0;"",""???-0;"",""????0;"", ////"""),"'","""")&amp;SUBSTITUTE(TEXT(Overig!S1012,""",""?00;"",""?-00;"",""?00;"", //"""),"'","""")&amp;SUBSTITUTE(TEXT(IF(ISTEXT(Overig!T1012),Overig!T1012,10*Overig!T1012),""",""????0;"",""???-0;"",""????0;"", ////"""),"'","""")&amp;SUBSTITUTE(TEXT(Overig!U1012,""",""?00;"",""?-00;"",""?00;"", //"""),"'","""")&amp;SUBSTITUTE(TEXT(Overig!V1012,""",""???0;"",""??-0;"",""???0;"", ///"""),"'","""")&amp;SUBSTITUTE(TEXT(Overig!W1012,""",""?00;"",""?-00;"",""?00;"", //"""),"'","""")</f>
        <v>032, 19400909, 17.00, 7569, 00,  267, 00, ////, 07, ////, 07,  87, 00,  229, 00,  250, 00,   45, 00,    6, 00,   3, 00</v>
      </c>
    </row>
    <row r="1013" spans="1:1" x14ac:dyDescent="0.25">
      <c r="A1013" s="12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//"""),"'","""")&amp;SUBSTITUTE(TEXT(IF(ISTEXT(Overig!J1013),Overig!J1013,10*Overig!J1013),""",""????0;"",""???-0;"",""????0;"", ////"""),"'","""")&amp;SUBSTITUTE(TEXT(Overig!K1013,""",""?00;"",""?-00;"",""?00;"", //"""),"'","""")&amp;SUBSTITUTE(TEXT(Overig!L1013,""",""???0;"",""??-0;"",""???0;"", ///"""),"'","""")&amp;SUBSTITUTE(TEXT(Overig!M1013,""",""?00;"",""?-00;"",""?00;"", //"""),"'","""")&amp;SUBSTITUTE(TEXT(IF(ISTEXT(Overig!N1013),Overig!N1013,10*Overig!N1013),""",""????0;"",""???-0;"",""????0;"", ////"""),"'","""")&amp;SUBSTITUTE(TEXT(Overig!O1013,""",""?00;"",""?-00;"",""?00;"", //"""),"'","""")&amp;SUBSTITUTE(TEXT(IF(ISTEXT(Overig!P1013),Overig!P1013,10*Overig!P1013),""",""????0;"",""???-0;"",""????0;"", ////"""),"'","""")&amp;SUBSTITUTE(TEXT(Overig!Q1013,""",""?00;"",""?-00;"",""?00;"", //"""),"'","""")&amp;SUBSTITUTE(TEXT(Overig!R1013,""",""????0;"",""???-0;"",""????0;"", ////"""),"'","""")&amp;SUBSTITUTE(TEXT(Overig!S1013,""",""?00;"",""?-00;"",""?00;"", //"""),"'","""")&amp;SUBSTITUTE(TEXT(IF(ISTEXT(Overig!T1013),Overig!T1013,10*Overig!T1013),""",""????0;"",""???-0;"",""????0;"", ////"""),"'","""")&amp;SUBSTITUTE(TEXT(Overig!U1013,""",""?00;"",""?-00;"",""?00;"", //"""),"'","""")&amp;SUBSTITUTE(TEXT(Overig!V1013,""",""???0;"",""??-0;"",""???0;"", ///"""),"'","""")&amp;SUBSTITUTE(TEXT(Overig!W1013,""",""?00;"",""?-00;"",""?00;"", //"""),"'","""")</f>
        <v>032, 19400909, 24.00, ////, 07, ////, 07,  288, 00,  300, 00, ///, 07, ////, 07, ////, 07, ////, 07, ////, 07, ///, 07</v>
      </c>
    </row>
    <row r="1014" spans="1:1" x14ac:dyDescent="0.25">
      <c r="A1014" s="12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//"""),"'","""")&amp;SUBSTITUTE(TEXT(IF(ISTEXT(Overig!J1014),Overig!J1014,10*Overig!J1014),""",""????0;"",""???-0;"",""????0;"", ////"""),"'","""")&amp;SUBSTITUTE(TEXT(Overig!K1014,""",""?00;"",""?-00;"",""?00;"", //"""),"'","""")&amp;SUBSTITUTE(TEXT(Overig!L1014,""",""???0;"",""??-0;"",""???0;"", ///"""),"'","""")&amp;SUBSTITUTE(TEXT(Overig!M1014,""",""?00;"",""?-00;"",""?00;"", //"""),"'","""")&amp;SUBSTITUTE(TEXT(IF(ISTEXT(Overig!N1014),Overig!N1014,10*Overig!N1014),""",""????0;"",""???-0;"",""????0;"", ////"""),"'","""")&amp;SUBSTITUTE(TEXT(Overig!O1014,""",""?00;"",""?-00;"",""?00;"", //"""),"'","""")&amp;SUBSTITUTE(TEXT(IF(ISTEXT(Overig!P1014),Overig!P1014,10*Overig!P1014),""",""????0;"",""???-0;"",""????0;"", ////"""),"'","""")&amp;SUBSTITUTE(TEXT(Overig!Q1014,""",""?00;"",""?-00;"",""?00;"", //"""),"'","""")&amp;SUBSTITUTE(TEXT(Overig!R1014,""",""????0;"",""???-0;"",""????0;"", ////"""),"'","""")&amp;SUBSTITUTE(TEXT(Overig!S1014,""",""?00;"",""?-00;"",""?00;"", //"""),"'","""")&amp;SUBSTITUTE(TEXT(IF(ISTEXT(Overig!T1014),Overig!T1014,10*Overig!T1014),""",""????0;"",""???-0;"",""????0;"", ////"""),"'","""")&amp;SUBSTITUTE(TEXT(Overig!U1014,""",""?00;"",""?-00;"",""?00;"", //"""),"'","""")&amp;SUBSTITUTE(TEXT(Overig!V1014,""",""???0;"",""??-0;"",""???0;"", ///"""),"'","""")&amp;SUBSTITUTE(TEXT(Overig!W1014,""",""?00;"",""?-00;"",""?00;"", //"""),"'","""")</f>
        <v>032, 19400910, 07.00, 7577, 00,  283, 00, ////, 07, ////, 07,  78, 00,  225, 00,  252, 00,   45, 00,    4, 00,   4, 00</v>
      </c>
    </row>
    <row r="1015" spans="1:1" x14ac:dyDescent="0.25">
      <c r="A1015" s="12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//"""),"'","""")&amp;SUBSTITUTE(TEXT(IF(ISTEXT(Overig!J1015),Overig!J1015,10*Overig!J1015),""",""????0;"",""???-0;"",""????0;"", ////"""),"'","""")&amp;SUBSTITUTE(TEXT(Overig!K1015,""",""?00;"",""?-00;"",""?00;"", //"""),"'","""")&amp;SUBSTITUTE(TEXT(Overig!L1015,""",""???0;"",""??-0;"",""???0;"", ///"""),"'","""")&amp;SUBSTITUTE(TEXT(Overig!M1015,""",""?00;"",""?-00;"",""?00;"", //"""),"'","""")&amp;SUBSTITUTE(TEXT(IF(ISTEXT(Overig!N1015),Overig!N1015,10*Overig!N1015),""",""????0;"",""???-0;"",""????0;"", ////"""),"'","""")&amp;SUBSTITUTE(TEXT(Overig!O1015,""",""?00;"",""?-00;"",""?00;"", //"""),"'","""")&amp;SUBSTITUTE(TEXT(IF(ISTEXT(Overig!P1015),Overig!P1015,10*Overig!P1015),""",""????0;"",""???-0;"",""????0;"", ////"""),"'","""")&amp;SUBSTITUTE(TEXT(Overig!Q1015,""",""?00;"",""?-00;"",""?00;"", //"""),"'","""")&amp;SUBSTITUTE(TEXT(Overig!R1015,""",""????0;"",""???-0;"",""????0;"", ////"""),"'","""")&amp;SUBSTITUTE(TEXT(Overig!S1015,""",""?00;"",""?-00;"",""?00;"", //"""),"'","""")&amp;SUBSTITUTE(TEXT(IF(ISTEXT(Overig!T1015),Overig!T1015,10*Overig!T1015),""",""????0;"",""???-0;"",""????0;"", ////"""),"'","""")&amp;SUBSTITUTE(TEXT(Overig!U1015,""",""?00;"",""?-00;"",""?00;"", //"""),"'","""")&amp;SUBSTITUTE(TEXT(Overig!V1015,""",""???0;"",""??-0;"",""???0;"", ///"""),"'","""")&amp;SUBSTITUTE(TEXT(Overig!W1015,""",""?00;"",""?-00;"",""?00;"", //"""),"'","""")</f>
        <v>032, 19400910, 12.00, 7579, 00,  283, 00, ////, 07, ////, 07,  78, 00,  225, 00,  252, 00,   45, 00,    5, 00,   5, 00</v>
      </c>
    </row>
    <row r="1016" spans="1:1" x14ac:dyDescent="0.25">
      <c r="A1016" s="12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//"""),"'","""")&amp;SUBSTITUTE(TEXT(IF(ISTEXT(Overig!J1016),Overig!J1016,10*Overig!J1016),""",""????0;"",""???-0;"",""????0;"", ////"""),"'","""")&amp;SUBSTITUTE(TEXT(Overig!K1016,""",""?00;"",""?-00;"",""?00;"", //"""),"'","""")&amp;SUBSTITUTE(TEXT(Overig!L1016,""",""???0;"",""??-0;"",""???0;"", ///"""),"'","""")&amp;SUBSTITUTE(TEXT(Overig!M1016,""",""?00;"",""?-00;"",""?00;"", //"""),"'","""")&amp;SUBSTITUTE(TEXT(IF(ISTEXT(Overig!N1016),Overig!N1016,10*Overig!N1016),""",""????0;"",""???-0;"",""????0;"", ////"""),"'","""")&amp;SUBSTITUTE(TEXT(Overig!O1016,""",""?00;"",""?-00;"",""?00;"", //"""),"'","""")&amp;SUBSTITUTE(TEXT(IF(ISTEXT(Overig!P1016),Overig!P1016,10*Overig!P1016),""",""????0;"",""???-0;"",""????0;"", ////"""),"'","""")&amp;SUBSTITUTE(TEXT(Overig!Q1016,""",""?00;"",""?-00;"",""?00;"", //"""),"'","""")&amp;SUBSTITUTE(TEXT(Overig!R1016,""",""????0;"",""???-0;"",""????0;"", ////"""),"'","""")&amp;SUBSTITUTE(TEXT(Overig!S1016,""",""?00;"",""?-00;"",""?00;"", //"""),"'","""")&amp;SUBSTITUTE(TEXT(IF(ISTEXT(Overig!T1016),Overig!T1016,10*Overig!T1016),""",""????0;"",""???-0;"",""????0;"", ////"""),"'","""")&amp;SUBSTITUTE(TEXT(Overig!U1016,""",""?00;"",""?-00;"",""?00;"", //"""),"'","""")&amp;SUBSTITUTE(TEXT(Overig!V1016,""",""???0;"",""??-0;"",""???0;"", ///"""),"'","""")&amp;SUBSTITUTE(TEXT(Overig!W1016,""",""?00;"",""?-00;"",""?00;"", //"""),"'","""")</f>
        <v>032, 19400910, 17.00, 7577, 00,  269, 00, ////, 07, ////, 07,  84, 00,  224, 00,  248, 00,   45, 00,    5, 00,   5, 00</v>
      </c>
    </row>
    <row r="1017" spans="1:1" x14ac:dyDescent="0.25">
      <c r="A1017" s="12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//"""),"'","""")&amp;SUBSTITUTE(TEXT(IF(ISTEXT(Overig!J1017),Overig!J1017,10*Overig!J1017),""",""????0;"",""???-0;"",""????0;"", ////"""),"'","""")&amp;SUBSTITUTE(TEXT(Overig!K1017,""",""?00;"",""?-00;"",""?00;"", //"""),"'","""")&amp;SUBSTITUTE(TEXT(Overig!L1017,""",""???0;"",""??-0;"",""???0;"", ///"""),"'","""")&amp;SUBSTITUTE(TEXT(Overig!M1017,""",""?00;"",""?-00;"",""?00;"", //"""),"'","""")&amp;SUBSTITUTE(TEXT(IF(ISTEXT(Overig!N1017),Overig!N1017,10*Overig!N1017),""",""????0;"",""???-0;"",""????0;"", ////"""),"'","""")&amp;SUBSTITUTE(TEXT(Overig!O1017,""",""?00;"",""?-00;"",""?00;"", //"""),"'","""")&amp;SUBSTITUTE(TEXT(IF(ISTEXT(Overig!P1017),Overig!P1017,10*Overig!P1017),""",""????0;"",""???-0;"",""????0;"", ////"""),"'","""")&amp;SUBSTITUTE(TEXT(Overig!Q1017,""",""?00;"",""?-00;"",""?00;"", //"""),"'","""")&amp;SUBSTITUTE(TEXT(Overig!R1017,""",""????0;"",""???-0;"",""????0;"", ////"""),"'","""")&amp;SUBSTITUTE(TEXT(Overig!S1017,""",""?00;"",""?-00;"",""?00;"", //"""),"'","""")&amp;SUBSTITUTE(TEXT(IF(ISTEXT(Overig!T1017),Overig!T1017,10*Overig!T1017),""",""????0;"",""???-0;"",""????0;"", ////"""),"'","""")&amp;SUBSTITUTE(TEXT(Overig!U1017,""",""?00;"",""?-00;"",""?00;"", //"""),"'","""")&amp;SUBSTITUTE(TEXT(Overig!V1017,""",""???0;"",""??-0;"",""???0;"", ///"""),"'","""")&amp;SUBSTITUTE(TEXT(Overig!W1017,""",""?00;"",""?-00;"",""?00;"", //"""),"'","""")</f>
        <v>032, 19400910, 24.00, ////, 07, ////, 07,  290, 00,  303, 00, ///, 07, ////, 07, ////, 07, ////, 07, ////, 07, ///, 07</v>
      </c>
    </row>
    <row r="1018" spans="1:1" x14ac:dyDescent="0.25">
      <c r="A1018" s="12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//"""),"'","""")&amp;SUBSTITUTE(TEXT(IF(ISTEXT(Overig!J1018),Overig!J1018,10*Overig!J1018),""",""????0;"",""???-0;"",""????0;"", ////"""),"'","""")&amp;SUBSTITUTE(TEXT(Overig!K1018,""",""?00;"",""?-00;"",""?00;"", //"""),"'","""")&amp;SUBSTITUTE(TEXT(Overig!L1018,""",""???0;"",""??-0;"",""???0;"", ///"""),"'","""")&amp;SUBSTITUTE(TEXT(Overig!M1018,""",""?00;"",""?-00;"",""?00;"", //"""),"'","""")&amp;SUBSTITUTE(TEXT(IF(ISTEXT(Overig!N1018),Overig!N1018,10*Overig!N1018),""",""????0;"",""???-0;"",""????0;"", ////"""),"'","""")&amp;SUBSTITUTE(TEXT(Overig!O1018,""",""?00;"",""?-00;"",""?00;"", //"""),"'","""")&amp;SUBSTITUTE(TEXT(IF(ISTEXT(Overig!P1018),Overig!P1018,10*Overig!P1018),""",""????0;"",""???-0;"",""????0;"", ////"""),"'","""")&amp;SUBSTITUTE(TEXT(Overig!Q1018,""",""?00;"",""?-00;"",""?00;"", //"""),"'","""")&amp;SUBSTITUTE(TEXT(Overig!R1018,""",""????0;"",""???-0;"",""????0;"", ////"""),"'","""")&amp;SUBSTITUTE(TEXT(Overig!S1018,""",""?00;"",""?-00;"",""?00;"", //"""),"'","""")&amp;SUBSTITUTE(TEXT(IF(ISTEXT(Overig!T1018),Overig!T1018,10*Overig!T1018),""",""????0;"",""???-0;"",""????0;"", ////"""),"'","""")&amp;SUBSTITUTE(TEXT(Overig!U1018,""",""?00;"",""?-00;"",""?00;"", //"""),"'","""")&amp;SUBSTITUTE(TEXT(Overig!V1018,""",""???0;"",""??-0;"",""???0;"", ///"""),"'","""")&amp;SUBSTITUTE(TEXT(Overig!W1018,""",""?00;"",""?-00;"",""?00;"", //"""),"'","""")</f>
        <v>032, 19400911, 07.00, 7585, 00,  267, 00, ////, 07, ////, 07,  83, 00,  218, 00,  244, 00,   65, 00,    4, 00,   5, 00</v>
      </c>
    </row>
    <row r="1019" spans="1:1" x14ac:dyDescent="0.25">
      <c r="A1019" s="12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//"""),"'","""")&amp;SUBSTITUTE(TEXT(IF(ISTEXT(Overig!J1019),Overig!J1019,10*Overig!J1019),""",""????0;"",""???-0;"",""????0;"", ////"""),"'","""")&amp;SUBSTITUTE(TEXT(Overig!K1019,""",""?00;"",""?-00;"",""?00;"", //"""),"'","""")&amp;SUBSTITUTE(TEXT(Overig!L1019,""",""???0;"",""??-0;"",""???0;"", ///"""),"'","""")&amp;SUBSTITUTE(TEXT(Overig!M1019,""",""?00;"",""?-00;"",""?00;"", //"""),"'","""")&amp;SUBSTITUTE(TEXT(IF(ISTEXT(Overig!N1019),Overig!N1019,10*Overig!N1019),""",""????0;"",""???-0;"",""????0;"", ////"""),"'","""")&amp;SUBSTITUTE(TEXT(Overig!O1019,""",""?00;"",""?-00;"",""?00;"", //"""),"'","""")&amp;SUBSTITUTE(TEXT(IF(ISTEXT(Overig!P1019),Overig!P1019,10*Overig!P1019),""",""????0;"",""???-0;"",""????0;"", ////"""),"'","""")&amp;SUBSTITUTE(TEXT(Overig!Q1019,""",""?00;"",""?-00;"",""?00;"", //"""),"'","""")&amp;SUBSTITUTE(TEXT(Overig!R1019,""",""????0;"",""???-0;"",""????0;"", ////"""),"'","""")&amp;SUBSTITUTE(TEXT(Overig!S1019,""",""?00;"",""?-00;"",""?00;"", //"""),"'","""")&amp;SUBSTITUTE(TEXT(IF(ISTEXT(Overig!T1019),Overig!T1019,10*Overig!T1019),""",""????0;"",""???-0;"",""????0;"", ////"""),"'","""")&amp;SUBSTITUTE(TEXT(Overig!U1019,""",""?00;"",""?-00;"",""?00;"", //"""),"'","""")&amp;SUBSTITUTE(TEXT(Overig!V1019,""",""???0;"",""??-0;"",""???0;"", ///"""),"'","""")&amp;SUBSTITUTE(TEXT(Overig!W1019,""",""?00;"",""?-00;"",""?00;"", //"""),"'","""")</f>
        <v>032, 19400911, 12.00, 7600, 00,  279, 00, ////, 07, ////, 07,  76, 00,  216, 00,  246, 00,   65, 00,    4, 00,   4, 00</v>
      </c>
    </row>
    <row r="1020" spans="1:1" x14ac:dyDescent="0.25">
      <c r="A1020" s="12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//"""),"'","""")&amp;SUBSTITUTE(TEXT(IF(ISTEXT(Overig!J1020),Overig!J1020,10*Overig!J1020),""",""????0;"",""???-0;"",""????0;"", ////"""),"'","""")&amp;SUBSTITUTE(TEXT(Overig!K1020,""",""?00;"",""?-00;"",""?00;"", //"""),"'","""")&amp;SUBSTITUTE(TEXT(Overig!L1020,""",""???0;"",""??-0;"",""???0;"", ///"""),"'","""")&amp;SUBSTITUTE(TEXT(Overig!M1020,""",""?00;"",""?-00;"",""?00;"", //"""),"'","""")&amp;SUBSTITUTE(TEXT(IF(ISTEXT(Overig!N1020),Overig!N1020,10*Overig!N1020),""",""????0;"",""???-0;"",""????0;"", ////"""),"'","""")&amp;SUBSTITUTE(TEXT(Overig!O1020,""",""?00;"",""?-00;"",""?00;"", //"""),"'","""")&amp;SUBSTITUTE(TEXT(IF(ISTEXT(Overig!P1020),Overig!P1020,10*Overig!P1020),""",""????0;"",""???-0;"",""????0;"", ////"""),"'","""")&amp;SUBSTITUTE(TEXT(Overig!Q1020,""",""?00;"",""?-00;"",""?00;"", //"""),"'","""")&amp;SUBSTITUTE(TEXT(Overig!R1020,""",""????0;"",""???-0;"",""????0;"", ////"""),"'","""")&amp;SUBSTITUTE(TEXT(Overig!S1020,""",""?00;"",""?-00;"",""?00;"", //"""),"'","""")&amp;SUBSTITUTE(TEXT(IF(ISTEXT(Overig!T1020),Overig!T1020,10*Overig!T1020),""",""????0;"",""???-0;"",""????0;"", ////"""),"'","""")&amp;SUBSTITUTE(TEXT(Overig!U1020,""",""?00;"",""?-00;"",""?00;"", //"""),"'","""")&amp;SUBSTITUTE(TEXT(Overig!V1020,""",""???0;"",""??-0;"",""???0;"", ///"""),"'","""")&amp;SUBSTITUTE(TEXT(Overig!W1020,""",""?00;"",""?-00;"",""?00;"", //"""),"'","""")</f>
        <v>032, 19400911, 17.00, 7584, 00,  269, 00, ////, 07, ////, 07,  84, 00,  224, 00,  248, 00,   90, 00,    4, 00,   4, 00</v>
      </c>
    </row>
    <row r="1021" spans="1:1" x14ac:dyDescent="0.25">
      <c r="A1021" s="12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//"""),"'","""")&amp;SUBSTITUTE(TEXT(IF(ISTEXT(Overig!J1021),Overig!J1021,10*Overig!J1021),""",""????0;"",""???-0;"",""????0;"", ////"""),"'","""")&amp;SUBSTITUTE(TEXT(Overig!K1021,""",""?00;"",""?-00;"",""?00;"", //"""),"'","""")&amp;SUBSTITUTE(TEXT(Overig!L1021,""",""???0;"",""??-0;"",""???0;"", ///"""),"'","""")&amp;SUBSTITUTE(TEXT(Overig!M1021,""",""?00;"",""?-00;"",""?00;"", //"""),"'","""")&amp;SUBSTITUTE(TEXT(IF(ISTEXT(Overig!N1021),Overig!N1021,10*Overig!N1021),""",""????0;"",""???-0;"",""????0;"", ////"""),"'","""")&amp;SUBSTITUTE(TEXT(Overig!O1021,""",""?00;"",""?-00;"",""?00;"", //"""),"'","""")&amp;SUBSTITUTE(TEXT(IF(ISTEXT(Overig!P1021),Overig!P1021,10*Overig!P1021),""",""????0;"",""???-0;"",""????0;"", ////"""),"'","""")&amp;SUBSTITUTE(TEXT(Overig!Q1021,""",""?00;"",""?-00;"",""?00;"", //"""),"'","""")&amp;SUBSTITUTE(TEXT(Overig!R1021,""",""????0;"",""???-0;"",""????0;"", ////"""),"'","""")&amp;SUBSTITUTE(TEXT(Overig!S1021,""",""?00;"",""?-00;"",""?00;"", //"""),"'","""")&amp;SUBSTITUTE(TEXT(IF(ISTEXT(Overig!T1021),Overig!T1021,10*Overig!T1021),""",""????0;"",""???-0;"",""????0;"", ////"""),"'","""")&amp;SUBSTITUTE(TEXT(Overig!U1021,""",""?00;"",""?-00;"",""?00;"", //"""),"'","""")&amp;SUBSTITUTE(TEXT(Overig!V1021,""",""???0;"",""??-0;"",""???0;"", ///"""),"'","""")&amp;SUBSTITUTE(TEXT(Overig!W1021,""",""?00;"",""?-00;"",""?00;"", //"""),"'","""")</f>
        <v>032, 19400911, 24.00, ////, 07, ////, 07,  284, 00,  300, 00, ///, 07, ////, 07, ////, 07, ////, 07, ////, 07, ///, 07</v>
      </c>
    </row>
    <row r="1022" spans="1:1" x14ac:dyDescent="0.25">
      <c r="A1022" s="12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//"""),"'","""")&amp;SUBSTITUTE(TEXT(IF(ISTEXT(Overig!J1022),Overig!J1022,10*Overig!J1022),""",""????0;"",""???-0;"",""????0;"", ////"""),"'","""")&amp;SUBSTITUTE(TEXT(Overig!K1022,""",""?00;"",""?-00;"",""?00;"", //"""),"'","""")&amp;SUBSTITUTE(TEXT(Overig!L1022,""",""???0;"",""??-0;"",""???0;"", ///"""),"'","""")&amp;SUBSTITUTE(TEXT(Overig!M1022,""",""?00;"",""?-00;"",""?00;"", //"""),"'","""")&amp;SUBSTITUTE(TEXT(IF(ISTEXT(Overig!N1022),Overig!N1022,10*Overig!N1022),""",""????0;"",""???-0;"",""????0;"", ////"""),"'","""")&amp;SUBSTITUTE(TEXT(Overig!O1022,""",""?00;"",""?-00;"",""?00;"", //"""),"'","""")&amp;SUBSTITUTE(TEXT(IF(ISTEXT(Overig!P1022),Overig!P1022,10*Overig!P1022),""",""????0;"",""???-0;"",""????0;"", ////"""),"'","""")&amp;SUBSTITUTE(TEXT(Overig!Q1022,""",""?00;"",""?-00;"",""?00;"", //"""),"'","""")&amp;SUBSTITUTE(TEXT(Overig!R1022,""",""????0;"",""???-0;"",""????0;"", ////"""),"'","""")&amp;SUBSTITUTE(TEXT(Overig!S1022,""",""?00;"",""?-00;"",""?00;"", //"""),"'","""")&amp;SUBSTITUTE(TEXT(IF(ISTEXT(Overig!T1022),Overig!T1022,10*Overig!T1022),""",""????0;"",""???-0;"",""????0;"", ////"""),"'","""")&amp;SUBSTITUTE(TEXT(Overig!U1022,""",""?00;"",""?-00;"",""?00;"", //"""),"'","""")&amp;SUBSTITUTE(TEXT(Overig!V1022,""",""???0;"",""??-0;"",""???0;"", ///"""),"'","""")&amp;SUBSTITUTE(TEXT(Overig!W1022,""",""?00;"",""?-00;"",""?00;"", //"""),"'","""")</f>
        <v>032, 19400912, 07.00, 7582, 00,  269, 00, ////, 07, ////, 07,  86, 00,  228, 00,  250, 00,   65, 00,    3, 00,   5, 00</v>
      </c>
    </row>
    <row r="1023" spans="1:1" x14ac:dyDescent="0.25">
      <c r="A1023" s="12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//"""),"'","""")&amp;SUBSTITUTE(TEXT(IF(ISTEXT(Overig!J1023),Overig!J1023,10*Overig!J1023),""",""????0;"",""???-0;"",""????0;"", ////"""),"'","""")&amp;SUBSTITUTE(TEXT(Overig!K1023,""",""?00;"",""?-00;"",""?00;"", //"""),"'","""")&amp;SUBSTITUTE(TEXT(Overig!L1023,""",""???0;"",""??-0;"",""???0;"", ///"""),"'","""")&amp;SUBSTITUTE(TEXT(Overig!M1023,""",""?00;"",""?-00;"",""?00;"", //"""),"'","""")&amp;SUBSTITUTE(TEXT(IF(ISTEXT(Overig!N1023),Overig!N1023,10*Overig!N1023),""",""????0;"",""???-0;"",""????0;"", ////"""),"'","""")&amp;SUBSTITUTE(TEXT(Overig!O1023,""",""?00;"",""?-00;"",""?00;"", //"""),"'","""")&amp;SUBSTITUTE(TEXT(IF(ISTEXT(Overig!P1023),Overig!P1023,10*Overig!P1023),""",""????0;"",""???-0;"",""????0;"", ////"""),"'","""")&amp;SUBSTITUTE(TEXT(Overig!Q1023,""",""?00;"",""?-00;"",""?00;"", //"""),"'","""")&amp;SUBSTITUTE(TEXT(Overig!R1023,""",""????0;"",""???-0;"",""????0;"", ////"""),"'","""")&amp;SUBSTITUTE(TEXT(Overig!S1023,""",""?00;"",""?-00;"",""?00;"", //"""),"'","""")&amp;SUBSTITUTE(TEXT(IF(ISTEXT(Overig!T1023),Overig!T1023,10*Overig!T1023),""",""????0;"",""???-0;"",""????0;"", ////"""),"'","""")&amp;SUBSTITUTE(TEXT(Overig!U1023,""",""?00;"",""?-00;"",""?00;"", //"""),"'","""")&amp;SUBSTITUTE(TEXT(Overig!V1023,""",""???0;"",""??-0;"",""???0;"", ///"""),"'","""")&amp;SUBSTITUTE(TEXT(Overig!W1023,""",""?00;"",""?-00;"",""?00;"", //"""),"'","""")</f>
        <v>032, 19400912, 12.00, 7585, 00,  275, 00, ////, 07, ////, 07,  85, 00,  233, 00,  254, 00,   90, 00,    3, 00,   5, 00</v>
      </c>
    </row>
    <row r="1024" spans="1:1" x14ac:dyDescent="0.25">
      <c r="A1024" s="12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//"""),"'","""")&amp;SUBSTITUTE(TEXT(IF(ISTEXT(Overig!J1024),Overig!J1024,10*Overig!J1024),""",""????0;"",""???-0;"",""????0;"", ////"""),"'","""")&amp;SUBSTITUTE(TEXT(Overig!K1024,""",""?00;"",""?-00;"",""?00;"", //"""),"'","""")&amp;SUBSTITUTE(TEXT(Overig!L1024,""",""???0;"",""??-0;"",""???0;"", ///"""),"'","""")&amp;SUBSTITUTE(TEXT(Overig!M1024,""",""?00;"",""?-00;"",""?00;"", //"""),"'","""")&amp;SUBSTITUTE(TEXT(IF(ISTEXT(Overig!N1024),Overig!N1024,10*Overig!N1024),""",""????0;"",""???-0;"",""????0;"", ////"""),"'","""")&amp;SUBSTITUTE(TEXT(Overig!O1024,""",""?00;"",""?-00;"",""?00;"", //"""),"'","""")&amp;SUBSTITUTE(TEXT(IF(ISTEXT(Overig!P1024),Overig!P1024,10*Overig!P1024),""",""????0;"",""???-0;"",""????0;"", ////"""),"'","""")&amp;SUBSTITUTE(TEXT(Overig!Q1024,""",""?00;"",""?-00;"",""?00;"", //"""),"'","""")&amp;SUBSTITUTE(TEXT(Overig!R1024,""",""????0;"",""???-0;"",""????0;"", ////"""),"'","""")&amp;SUBSTITUTE(TEXT(Overig!S1024,""",""?00;"",""?-00;"",""?00;"", //"""),"'","""")&amp;SUBSTITUTE(TEXT(IF(ISTEXT(Overig!T1024),Overig!T1024,10*Overig!T1024),""",""????0;"",""???-0;"",""????0;"", ////"""),"'","""")&amp;SUBSTITUTE(TEXT(Overig!U1024,""",""?00;"",""?-00;"",""?00;"", //"""),"'","""")&amp;SUBSTITUTE(TEXT(Overig!V1024,""",""???0;"",""??-0;"",""???0;"", ///"""),"'","""")&amp;SUBSTITUTE(TEXT(Overig!W1024,""",""?00;"",""?-00;"",""?00;"", //"""),"'","""")</f>
        <v>032, 19400912, 17.00, 7579, 00,  269, 00, ////, 07, ////, 07,  86, 00,  228, 00,  250, 00,   90, 00,    3, 00,   4, 00</v>
      </c>
    </row>
    <row r="1025" spans="1:1" x14ac:dyDescent="0.25">
      <c r="A1025" s="12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//"""),"'","""")&amp;SUBSTITUTE(TEXT(IF(ISTEXT(Overig!J1025),Overig!J1025,10*Overig!J1025),""",""????0;"",""???-0;"",""????0;"", ////"""),"'","""")&amp;SUBSTITUTE(TEXT(Overig!K1025,""",""?00;"",""?-00;"",""?00;"", //"""),"'","""")&amp;SUBSTITUTE(TEXT(Overig!L1025,""",""???0;"",""??-0;"",""???0;"", ///"""),"'","""")&amp;SUBSTITUTE(TEXT(Overig!M1025,""",""?00;"",""?-00;"",""?00;"", //"""),"'","""")&amp;SUBSTITUTE(TEXT(IF(ISTEXT(Overig!N1025),Overig!N1025,10*Overig!N1025),""",""????0;"",""???-0;"",""????0;"", ////"""),"'","""")&amp;SUBSTITUTE(TEXT(Overig!O1025,""",""?00;"",""?-00;"",""?00;"", //"""),"'","""")&amp;SUBSTITUTE(TEXT(IF(ISTEXT(Overig!P1025),Overig!P1025,10*Overig!P1025),""",""????0;"",""???-0;"",""????0;"", ////"""),"'","""")&amp;SUBSTITUTE(TEXT(Overig!Q1025,""",""?00;"",""?-00;"",""?00;"", //"""),"'","""")&amp;SUBSTITUTE(TEXT(Overig!R1025,""",""????0;"",""???-0;"",""????0;"", ////"""),"'","""")&amp;SUBSTITUTE(TEXT(Overig!S1025,""",""?00;"",""?-00;"",""?00;"", //"""),"'","""")&amp;SUBSTITUTE(TEXT(IF(ISTEXT(Overig!T1025),Overig!T1025,10*Overig!T1025),""",""????0;"",""???-0;"",""????0;"", ////"""),"'","""")&amp;SUBSTITUTE(TEXT(Overig!U1025,""",""?00;"",""?-00;"",""?00;"", //"""),"'","""")&amp;SUBSTITUTE(TEXT(Overig!V1025,""",""???0;"",""??-0;"",""???0;"", ///"""),"'","""")&amp;SUBSTITUTE(TEXT(Overig!W1025,""",""?00;"",""?-00;"",""?00;"", //"""),"'","""")</f>
        <v>032, 19400912, 24.00, ////, 07, ////, 07,  284, 00,  300, 00, ///, 07, ////, 07, ////, 07, ////, 07, ////, 07, ///, 07</v>
      </c>
    </row>
    <row r="1026" spans="1:1" x14ac:dyDescent="0.25">
      <c r="A1026" s="12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//"""),"'","""")&amp;SUBSTITUTE(TEXT(IF(ISTEXT(Overig!J1026),Overig!J1026,10*Overig!J1026),""",""????0;"",""???-0;"",""????0;"", ////"""),"'","""")&amp;SUBSTITUTE(TEXT(Overig!K1026,""",""?00;"",""?-00;"",""?00;"", //"""),"'","""")&amp;SUBSTITUTE(TEXT(Overig!L1026,""",""???0;"",""??-0;"",""???0;"", ///"""),"'","""")&amp;SUBSTITUTE(TEXT(Overig!M1026,""",""?00;"",""?-00;"",""?00;"", //"""),"'","""")&amp;SUBSTITUTE(TEXT(IF(ISTEXT(Overig!N1026),Overig!N1026,10*Overig!N1026),""",""????0;"",""???-0;"",""????0;"", ////"""),"'","""")&amp;SUBSTITUTE(TEXT(Overig!O1026,""",""?00;"",""?-00;"",""?00;"", //"""),"'","""")&amp;SUBSTITUTE(TEXT(IF(ISTEXT(Overig!P1026),Overig!P1026,10*Overig!P1026),""",""????0;"",""???-0;"",""????0;"", ////"""),"'","""")&amp;SUBSTITUTE(TEXT(Overig!Q1026,""",""?00;"",""?-00;"",""?00;"", //"""),"'","""")&amp;SUBSTITUTE(TEXT(Overig!R1026,""",""????0;"",""???-0;"",""????0;"", ////"""),"'","""")&amp;SUBSTITUTE(TEXT(Overig!S1026,""",""?00;"",""?-00;"",""?00;"", //"""),"'","""")&amp;SUBSTITUTE(TEXT(IF(ISTEXT(Overig!T1026),Overig!T1026,10*Overig!T1026),""",""????0;"",""???-0;"",""????0;"", ////"""),"'","""")&amp;SUBSTITUTE(TEXT(Overig!U1026,""",""?00;"",""?-00;"",""?00;"", //"""),"'","""")&amp;SUBSTITUTE(TEXT(Overig!V1026,""",""???0;"",""??-0;"",""???0;"", ///"""),"'","""")&amp;SUBSTITUTE(TEXT(Overig!W1026,""",""?00;"",""?-00;"",""?00;"", //"""),"'","""")</f>
        <v>032, 19400913, 07.00, 7569, 00,  257, 00, ////, 07, ////, 07,  90, 00,  223, 00,  244, 00,   65, 00,    3, 00,   4, 00</v>
      </c>
    </row>
    <row r="1027" spans="1:1" x14ac:dyDescent="0.25">
      <c r="A1027" s="12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//"""),"'","""")&amp;SUBSTITUTE(TEXT(IF(ISTEXT(Overig!J1027),Overig!J1027,10*Overig!J1027),""",""????0;"",""???-0;"",""????0;"", ////"""),"'","""")&amp;SUBSTITUTE(TEXT(Overig!K1027,""",""?00;"",""?-00;"",""?00;"", //"""),"'","""")&amp;SUBSTITUTE(TEXT(Overig!L1027,""",""???0;"",""??-0;"",""???0;"", ///"""),"'","""")&amp;SUBSTITUTE(TEXT(Overig!M1027,""",""?00;"",""?-00;"",""?00;"", //"""),"'","""")&amp;SUBSTITUTE(TEXT(IF(ISTEXT(Overig!N1027),Overig!N1027,10*Overig!N1027),""",""????0;"",""???-0;"",""????0;"", ////"""),"'","""")&amp;SUBSTITUTE(TEXT(Overig!O1027,""",""?00;"",""?-00;"",""?00;"", //"""),"'","""")&amp;SUBSTITUTE(TEXT(IF(ISTEXT(Overig!P1027),Overig!P1027,10*Overig!P1027),""",""????0;"",""???-0;"",""????0;"", ////"""),"'","""")&amp;SUBSTITUTE(TEXT(Overig!Q1027,""",""?00;"",""?-00;"",""?00;"", //"""),"'","""")&amp;SUBSTITUTE(TEXT(Overig!R1027,""",""????0;"",""???-0;"",""????0;"", ////"""),"'","""")&amp;SUBSTITUTE(TEXT(Overig!S1027,""",""?00;"",""?-00;"",""?00;"", //"""),"'","""")&amp;SUBSTITUTE(TEXT(IF(ISTEXT(Overig!T1027),Overig!T1027,10*Overig!T1027),""",""????0;"",""???-0;"",""????0;"", ////"""),"'","""")&amp;SUBSTITUTE(TEXT(Overig!U1027,""",""?00;"",""?-00;"",""?00;"", //"""),"'","""")&amp;SUBSTITUTE(TEXT(Overig!V1027,""",""???0;"",""??-0;"",""???0;"", ///"""),"'","""")&amp;SUBSTITUTE(TEXT(Overig!W1027,""",""?00;"",""?-00;"",""?00;"", //"""),"'","""")</f>
        <v>032, 19400913, 12.00, 7592, 00,  267, 00, ////, 07, ////, 07,  87, 00,  229, 00,  250, 00,   65, 00,    3, 00,   3, 00</v>
      </c>
    </row>
    <row r="1028" spans="1:1" x14ac:dyDescent="0.25">
      <c r="A1028" s="12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//"""),"'","""")&amp;SUBSTITUTE(TEXT(IF(ISTEXT(Overig!J1028),Overig!J1028,10*Overig!J1028),""",""????0;"",""???-0;"",""????0;"", ////"""),"'","""")&amp;SUBSTITUTE(TEXT(Overig!K1028,""",""?00;"",""?-00;"",""?00;"", //"""),"'","""")&amp;SUBSTITUTE(TEXT(Overig!L1028,""",""???0;"",""??-0;"",""???0;"", ///"""),"'","""")&amp;SUBSTITUTE(TEXT(Overig!M1028,""",""?00;"",""?-00;"",""?00;"", //"""),"'","""")&amp;SUBSTITUTE(TEXT(IF(ISTEXT(Overig!N1028),Overig!N1028,10*Overig!N1028),""",""????0;"",""???-0;"",""????0;"", ////"""),"'","""")&amp;SUBSTITUTE(TEXT(Overig!O1028,""",""?00;"",""?-00;"",""?00;"", //"""),"'","""")&amp;SUBSTITUTE(TEXT(IF(ISTEXT(Overig!P1028),Overig!P1028,10*Overig!P1028),""",""????0;"",""???-0;"",""????0;"", ////"""),"'","""")&amp;SUBSTITUTE(TEXT(Overig!Q1028,""",""?00;"",""?-00;"",""?00;"", //"""),"'","""")&amp;SUBSTITUTE(TEXT(Overig!R1028,""",""????0;"",""???-0;"",""????0;"", ////"""),"'","""")&amp;SUBSTITUTE(TEXT(Overig!S1028,""",""?00;"",""?-00;"",""?00;"", //"""),"'","""")&amp;SUBSTITUTE(TEXT(IF(ISTEXT(Overig!T1028),Overig!T1028,10*Overig!T1028),""",""????0;"",""???-0;"",""????0;"", ////"""),"'","""")&amp;SUBSTITUTE(TEXT(Overig!U1028,""",""?00;"",""?-00;"",""?00;"", //"""),"'","""")&amp;SUBSTITUTE(TEXT(Overig!V1028,""",""???0;"",""??-0;"",""???0;"", ///"""),"'","""")&amp;SUBSTITUTE(TEXT(Overig!W1028,""",""?00;"",""?-00;"",""?00;"", //"""),"'","""")</f>
        <v>032, 19400913, 17.00, 7585, 00,  259, 00, ////, 07, ////, 07,  91, 00,  229, 00,  248, 00,   65, 00,    3, 00,   3, 00</v>
      </c>
    </row>
    <row r="1029" spans="1:1" x14ac:dyDescent="0.25">
      <c r="A1029" s="12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//"""),"'","""")&amp;SUBSTITUTE(TEXT(IF(ISTEXT(Overig!J1029),Overig!J1029,10*Overig!J1029),""",""????0;"",""???-0;"",""????0;"", ////"""),"'","""")&amp;SUBSTITUTE(TEXT(Overig!K1029,""",""?00;"",""?-00;"",""?00;"", //"""),"'","""")&amp;SUBSTITUTE(TEXT(Overig!L1029,""",""???0;"",""??-0;"",""???0;"", ///"""),"'","""")&amp;SUBSTITUTE(TEXT(Overig!M1029,""",""?00;"",""?-00;"",""?00;"", //"""),"'","""")&amp;SUBSTITUTE(TEXT(IF(ISTEXT(Overig!N1029),Overig!N1029,10*Overig!N1029),""",""????0;"",""???-0;"",""????0;"", ////"""),"'","""")&amp;SUBSTITUTE(TEXT(Overig!O1029,""",""?00;"",""?-00;"",""?00;"", //"""),"'","""")&amp;SUBSTITUTE(TEXT(IF(ISTEXT(Overig!P1029),Overig!P1029,10*Overig!P1029),""",""????0;"",""???-0;"",""????0;"", ////"""),"'","""")&amp;SUBSTITUTE(TEXT(Overig!Q1029,""",""?00;"",""?-00;"",""?00;"", //"""),"'","""")&amp;SUBSTITUTE(TEXT(Overig!R1029,""",""????0;"",""???-0;"",""????0;"", ////"""),"'","""")&amp;SUBSTITUTE(TEXT(Overig!S1029,""",""?00;"",""?-00;"",""?00;"", //"""),"'","""")&amp;SUBSTITUTE(TEXT(IF(ISTEXT(Overig!T1029),Overig!T1029,10*Overig!T1029),""",""????0;"",""???-0;"",""????0;"", ////"""),"'","""")&amp;SUBSTITUTE(TEXT(Overig!U1029,""",""?00;"",""?-00;"",""?00;"", //"""),"'","""")&amp;SUBSTITUTE(TEXT(Overig!V1029,""",""???0;"",""??-0;"",""???0;"", ///"""),"'","""")&amp;SUBSTITUTE(TEXT(Overig!W1029,""",""?00;"",""?-00;"",""?00;"", //"""),"'","""")</f>
        <v>032, 19400913, 24.00, ////, 07, ////, 07,  282, 00,  295, 00, ///, 07, ////, 07, ////, 07, ////, 07, ////, 07, ///, 07</v>
      </c>
    </row>
    <row r="1030" spans="1:1" x14ac:dyDescent="0.25">
      <c r="A1030" s="12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//"""),"'","""")&amp;SUBSTITUTE(TEXT(IF(ISTEXT(Overig!J1030),Overig!J1030,10*Overig!J1030),""",""????0;"",""???-0;"",""????0;"", ////"""),"'","""")&amp;SUBSTITUTE(TEXT(Overig!K1030,""",""?00;"",""?-00;"",""?00;"", //"""),"'","""")&amp;SUBSTITUTE(TEXT(Overig!L1030,""",""???0;"",""??-0;"",""???0;"", ///"""),"'","""")&amp;SUBSTITUTE(TEXT(Overig!M1030,""",""?00;"",""?-00;"",""?00;"", //"""),"'","""")&amp;SUBSTITUTE(TEXT(IF(ISTEXT(Overig!N1030),Overig!N1030,10*Overig!N1030),""",""????0;"",""???-0;"",""????0;"", ////"""),"'","""")&amp;SUBSTITUTE(TEXT(Overig!O1030,""",""?00;"",""?-00;"",""?00;"", //"""),"'","""")&amp;SUBSTITUTE(TEXT(IF(ISTEXT(Overig!P1030),Overig!P1030,10*Overig!P1030),""",""????0;"",""???-0;"",""????0;"", ////"""),"'","""")&amp;SUBSTITUTE(TEXT(Overig!Q1030,""",""?00;"",""?-00;"",""?00;"", //"""),"'","""")&amp;SUBSTITUTE(TEXT(Overig!R1030,""",""????0;"",""???-0;"",""????0;"", ////"""),"'","""")&amp;SUBSTITUTE(TEXT(Overig!S1030,""",""?00;"",""?-00;"",""?00;"", //"""),"'","""")&amp;SUBSTITUTE(TEXT(IF(ISTEXT(Overig!T1030),Overig!T1030,10*Overig!T1030),""",""????0;"",""???-0;"",""????0;"", ////"""),"'","""")&amp;SUBSTITUTE(TEXT(Overig!U1030,""",""?00;"",""?-00;"",""?00;"", //"""),"'","""")&amp;SUBSTITUTE(TEXT(Overig!V1030,""",""???0;"",""??-0;"",""???0;"", ///"""),"'","""")&amp;SUBSTITUTE(TEXT(Overig!W1030,""",""?00;"",""?-00;"",""?00;"", //"""),"'","""")</f>
        <v>032, 19400914, 07.00, 7564, 00,  255, 00, ////, 07, ////, 07,  90, 00,  220, 00,  242, 00,   65, 00,    3, 00,   4, 00</v>
      </c>
    </row>
    <row r="1031" spans="1:1" x14ac:dyDescent="0.25">
      <c r="A1031" s="12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//"""),"'","""")&amp;SUBSTITUTE(TEXT(IF(ISTEXT(Overig!J1031),Overig!J1031,10*Overig!J1031),""",""????0;"",""???-0;"",""????0;"", ////"""),"'","""")&amp;SUBSTITUTE(TEXT(Overig!K1031,""",""?00;"",""?-00;"",""?00;"", //"""),"'","""")&amp;SUBSTITUTE(TEXT(Overig!L1031,""",""???0;"",""??-0;"",""???0;"", ///"""),"'","""")&amp;SUBSTITUTE(TEXT(Overig!M1031,""",""?00;"",""?-00;"",""?00;"", //"""),"'","""")&amp;SUBSTITUTE(TEXT(IF(ISTEXT(Overig!N1031),Overig!N1031,10*Overig!N1031),""",""????0;"",""???-0;"",""????0;"", ////"""),"'","""")&amp;SUBSTITUTE(TEXT(Overig!O1031,""",""?00;"",""?-00;"",""?00;"", //"""),"'","""")&amp;SUBSTITUTE(TEXT(IF(ISTEXT(Overig!P1031),Overig!P1031,10*Overig!P1031),""",""????0;"",""???-0;"",""????0;"", ////"""),"'","""")&amp;SUBSTITUTE(TEXT(Overig!Q1031,""",""?00;"",""?-00;"",""?00;"", //"""),"'","""")&amp;SUBSTITUTE(TEXT(Overig!R1031,""",""????0;"",""???-0;"",""????0;"", ////"""),"'","""")&amp;SUBSTITUTE(TEXT(Overig!S1031,""",""?00;"",""?-00;"",""?00;"", //"""),"'","""")&amp;SUBSTITUTE(TEXT(IF(ISTEXT(Overig!T1031),Overig!T1031,10*Overig!T1031),""",""????0;"",""???-0;"",""????0;"", ////"""),"'","""")&amp;SUBSTITUTE(TEXT(Overig!U1031,""",""?00;"",""?-00;"",""?00;"", //"""),"'","""")&amp;SUBSTITUTE(TEXT(Overig!V1031,""",""???0;"",""??-0;"",""???0;"", ///"""),"'","""")&amp;SUBSTITUTE(TEXT(Overig!W1031,""",""?00;"",""?-00;"",""?00;"", //"""),"'","""")</f>
        <v>032, 19400914, 12.00, 7577, 00,  265, 00, ////, 07, ////, 07,  87, 00,  226, 00,  248, 00,   65, 00,    3, 00,   4, 00</v>
      </c>
    </row>
    <row r="1032" spans="1:1" x14ac:dyDescent="0.25">
      <c r="A1032" s="12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//"""),"'","""")&amp;SUBSTITUTE(TEXT(IF(ISTEXT(Overig!J1032),Overig!J1032,10*Overig!J1032),""",""????0;"",""???-0;"",""????0;"", ////"""),"'","""")&amp;SUBSTITUTE(TEXT(Overig!K1032,""",""?00;"",""?-00;"",""?00;"", //"""),"'","""")&amp;SUBSTITUTE(TEXT(Overig!L1032,""",""???0;"",""??-0;"",""???0;"", ///"""),"'","""")&amp;SUBSTITUTE(TEXT(Overig!M1032,""",""?00;"",""?-00;"",""?00;"", //"""),"'","""")&amp;SUBSTITUTE(TEXT(IF(ISTEXT(Overig!N1032),Overig!N1032,10*Overig!N1032),""",""????0;"",""???-0;"",""????0;"", ////"""),"'","""")&amp;SUBSTITUTE(TEXT(Overig!O1032,""",""?00;"",""?-00;"",""?00;"", //"""),"'","""")&amp;SUBSTITUTE(TEXT(IF(ISTEXT(Overig!P1032),Overig!P1032,10*Overig!P1032),""",""????0;"",""???-0;"",""????0;"", ////"""),"'","""")&amp;SUBSTITUTE(TEXT(Overig!Q1032,""",""?00;"",""?-00;"",""?00;"", //"""),"'","""")&amp;SUBSTITUTE(TEXT(Overig!R1032,""",""????0;"",""???-0;"",""????0;"", ////"""),"'","""")&amp;SUBSTITUTE(TEXT(Overig!S1032,""",""?00;"",""?-00;"",""?00;"", //"""),"'","""")&amp;SUBSTITUTE(TEXT(IF(ISTEXT(Overig!T1032),Overig!T1032,10*Overig!T1032),""",""????0;"",""???-0;"",""????0;"", ////"""),"'","""")&amp;SUBSTITUTE(TEXT(Overig!U1032,""",""?00;"",""?-00;"",""?00;"", //"""),"'","""")&amp;SUBSTITUTE(TEXT(Overig!V1032,""",""???0;"",""??-0;"",""???0;"", ///"""),"'","""")&amp;SUBSTITUTE(TEXT(Overig!W1032,""",""?00;"",""?-00;"",""?00;"", //"""),"'","""")</f>
        <v>032, 19400914, 17.00, 7569, 00,  259, 00, ////, 07, ////, 07,  87, 00,  218, 00,  242, 00,   65, 00,    3, 00,   4, 00</v>
      </c>
    </row>
    <row r="1033" spans="1:1" x14ac:dyDescent="0.25">
      <c r="A1033" s="12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//"""),"'","""")&amp;SUBSTITUTE(TEXT(IF(ISTEXT(Overig!J1033),Overig!J1033,10*Overig!J1033),""",""????0;"",""???-0;"",""????0;"", ////"""),"'","""")&amp;SUBSTITUTE(TEXT(Overig!K1033,""",""?00;"",""?-00;"",""?00;"", //"""),"'","""")&amp;SUBSTITUTE(TEXT(Overig!L1033,""",""???0;"",""??-0;"",""???0;"", ///"""),"'","""")&amp;SUBSTITUTE(TEXT(Overig!M1033,""",""?00;"",""?-00;"",""?00;"", //"""),"'","""")&amp;SUBSTITUTE(TEXT(IF(ISTEXT(Overig!N1033),Overig!N1033,10*Overig!N1033),""",""????0;"",""???-0;"",""????0;"", ////"""),"'","""")&amp;SUBSTITUTE(TEXT(Overig!O1033,""",""?00;"",""?-00;"",""?00;"", //"""),"'","""")&amp;SUBSTITUTE(TEXT(IF(ISTEXT(Overig!P1033),Overig!P1033,10*Overig!P1033),""",""????0;"",""???-0;"",""????0;"", ////"""),"'","""")&amp;SUBSTITUTE(TEXT(Overig!Q1033,""",""?00;"",""?-00;"",""?00;"", //"""),"'","""")&amp;SUBSTITUTE(TEXT(Overig!R1033,""",""????0;"",""???-0;"",""????0;"", ////"""),"'","""")&amp;SUBSTITUTE(TEXT(Overig!S1033,""",""?00;"",""?-00;"",""?00;"", //"""),"'","""")&amp;SUBSTITUTE(TEXT(IF(ISTEXT(Overig!T1033),Overig!T1033,10*Overig!T1033),""",""????0;"",""???-0;"",""????0;"", ////"""),"'","""")&amp;SUBSTITUTE(TEXT(Overig!U1033,""",""?00;"",""?-00;"",""?00;"", //"""),"'","""")&amp;SUBSTITUTE(TEXT(Overig!V1033,""",""???0;"",""??-0;"",""???0;"", ///"""),"'","""")&amp;SUBSTITUTE(TEXT(Overig!W1033,""",""?00;"",""?-00;"",""?00;"", //"""),"'","""")</f>
        <v>032, 19400914, 24.00, ////, 07, ////, 07,  276, 00,  294, 00, ///, 07, ////, 07, ////, 07, ////, 07, ////, 07, ///, 07</v>
      </c>
    </row>
    <row r="1034" spans="1:1" x14ac:dyDescent="0.25">
      <c r="A1034" s="12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//"""),"'","""")&amp;SUBSTITUTE(TEXT(IF(ISTEXT(Overig!J1034),Overig!J1034,10*Overig!J1034),""",""????0;"",""???-0;"",""????0;"", ////"""),"'","""")&amp;SUBSTITUTE(TEXT(Overig!K1034,""",""?00;"",""?-00;"",""?00;"", //"""),"'","""")&amp;SUBSTITUTE(TEXT(Overig!L1034,""",""???0;"",""??-0;"",""???0;"", ///"""),"'","""")&amp;SUBSTITUTE(TEXT(Overig!M1034,""",""?00;"",""?-00;"",""?00;"", //"""),"'","""")&amp;SUBSTITUTE(TEXT(IF(ISTEXT(Overig!N1034),Overig!N1034,10*Overig!N1034),""",""????0;"",""???-0;"",""????0;"", ////"""),"'","""")&amp;SUBSTITUTE(TEXT(Overig!O1034,""",""?00;"",""?-00;"",""?00;"", //"""),"'","""")&amp;SUBSTITUTE(TEXT(IF(ISTEXT(Overig!P1034),Overig!P1034,10*Overig!P1034),""",""????0;"",""???-0;"",""????0;"", ////"""),"'","""")&amp;SUBSTITUTE(TEXT(Overig!Q1034,""",""?00;"",""?-00;"",""?00;"", //"""),"'","""")&amp;SUBSTITUTE(TEXT(Overig!R1034,""",""????0;"",""???-0;"",""????0;"", ////"""),"'","""")&amp;SUBSTITUTE(TEXT(Overig!S1034,""",""?00;"",""?-00;"",""?00;"", //"""),"'","""")&amp;SUBSTITUTE(TEXT(IF(ISTEXT(Overig!T1034),Overig!T1034,10*Overig!T1034),""",""????0;"",""???-0;"",""????0;"", ////"""),"'","""")&amp;SUBSTITUTE(TEXT(Overig!U1034,""",""?00;"",""?-00;"",""?00;"", //"""),"'","""")&amp;SUBSTITUTE(TEXT(Overig!V1034,""",""???0;"",""??-0;"",""???0;"", ///"""),"'","""")&amp;SUBSTITUTE(TEXT(Overig!W1034,""",""?00;"",""?-00;"",""?00;"", //"""),"'","""")</f>
        <v>032, 19400915, 07.00, 7574, 00,  257, 00, ////, 07, ////, 07,  90, 00,  223, 00,  244, 00,   65, 00,    3, 00,   5, 00</v>
      </c>
    </row>
    <row r="1035" spans="1:1" x14ac:dyDescent="0.25">
      <c r="A1035" s="12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//"""),"'","""")&amp;SUBSTITUTE(TEXT(IF(ISTEXT(Overig!J1035),Overig!J1035,10*Overig!J1035),""",""????0;"",""???-0;"",""????0;"", ////"""),"'","""")&amp;SUBSTITUTE(TEXT(Overig!K1035,""",""?00;"",""?-00;"",""?00;"", //"""),"'","""")&amp;SUBSTITUTE(TEXT(Overig!L1035,""",""???0;"",""??-0;"",""???0;"", ///"""),"'","""")&amp;SUBSTITUTE(TEXT(Overig!M1035,""",""?00;"",""?-00;"",""?00;"", //"""),"'","""")&amp;SUBSTITUTE(TEXT(IF(ISTEXT(Overig!N1035),Overig!N1035,10*Overig!N1035),""",""????0;"",""???-0;"",""????0;"", ////"""),"'","""")&amp;SUBSTITUTE(TEXT(Overig!O1035,""",""?00;"",""?-00;"",""?00;"", //"""),"'","""")&amp;SUBSTITUTE(TEXT(IF(ISTEXT(Overig!P1035),Overig!P1035,10*Overig!P1035),""",""????0;"",""???-0;"",""????0;"", ////"""),"'","""")&amp;SUBSTITUTE(TEXT(Overig!Q1035,""",""?00;"",""?-00;"",""?00;"", //"""),"'","""")&amp;SUBSTITUTE(TEXT(Overig!R1035,""",""????0;"",""???-0;"",""????0;"", ////"""),"'","""")&amp;SUBSTITUTE(TEXT(Overig!S1035,""",""?00;"",""?-00;"",""?00;"", //"""),"'","""")&amp;SUBSTITUTE(TEXT(IF(ISTEXT(Overig!T1035),Overig!T1035,10*Overig!T1035),""",""????0;"",""???-0;"",""????0;"", ////"""),"'","""")&amp;SUBSTITUTE(TEXT(Overig!U1035,""",""?00;"",""?-00;"",""?00;"", //"""),"'","""")&amp;SUBSTITUTE(TEXT(Overig!V1035,""",""???0;"",""??-0;"",""???0;"", ///"""),"'","""")&amp;SUBSTITUTE(TEXT(Overig!W1035,""",""?00;"",""?-00;"",""?00;"", //"""),"'","""")</f>
        <v>032, 19400915, 12.00, 7572, 00,  267, 00, ////, 07, ////, 07,  87, 00,  229, 00,  250, 00,   90, 00,    3, 00,   6, 00</v>
      </c>
    </row>
    <row r="1036" spans="1:1" x14ac:dyDescent="0.25">
      <c r="A1036" s="12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//"""),"'","""")&amp;SUBSTITUTE(TEXT(IF(ISTEXT(Overig!J1036),Overig!J1036,10*Overig!J1036),""",""????0;"",""???-0;"",""????0;"", ////"""),"'","""")&amp;SUBSTITUTE(TEXT(Overig!K1036,""",""?00;"",""?-00;"",""?00;"", //"""),"'","""")&amp;SUBSTITUTE(TEXT(Overig!L1036,""",""???0;"",""??-0;"",""???0;"", ///"""),"'","""")&amp;SUBSTITUTE(TEXT(Overig!M1036,""",""?00;"",""?-00;"",""?00;"", //"""),"'","""")&amp;SUBSTITUTE(TEXT(IF(ISTEXT(Overig!N1036),Overig!N1036,10*Overig!N1036),""",""????0;"",""???-0;"",""????0;"", ////"""),"'","""")&amp;SUBSTITUTE(TEXT(Overig!O1036,""",""?00;"",""?-00;"",""?00;"", //"""),"'","""")&amp;SUBSTITUTE(TEXT(IF(ISTEXT(Overig!P1036),Overig!P1036,10*Overig!P1036),""",""????0;"",""???-0;"",""????0;"", ////"""),"'","""")&amp;SUBSTITUTE(TEXT(Overig!Q1036,""",""?00;"",""?-00;"",""?00;"", //"""),"'","""")&amp;SUBSTITUTE(TEXT(Overig!R1036,""",""????0;"",""???-0;"",""????0;"", ////"""),"'","""")&amp;SUBSTITUTE(TEXT(Overig!S1036,""",""?00;"",""?-00;"",""?00;"", //"""),"'","""")&amp;SUBSTITUTE(TEXT(IF(ISTEXT(Overig!T1036),Overig!T1036,10*Overig!T1036),""",""????0;"",""???-0;"",""????0;"", ////"""),"'","""")&amp;SUBSTITUTE(TEXT(Overig!U1036,""",""?00;"",""?-00;"",""?00;"", //"""),"'","""")&amp;SUBSTITUTE(TEXT(Overig!V1036,""",""???0;"",""??-0;"",""???0;"", ///"""),"'","""")&amp;SUBSTITUTE(TEXT(Overig!W1036,""",""?00;"",""?-00;"",""?00;"", //"""),"'","""")</f>
        <v>032, 19400915, 17.00, 7572, 00,  253, 00, ////, 07, ////, 07,  93, 00,  225, 00,  244, 00,   90, 00,    3, 00,   6, 00</v>
      </c>
    </row>
    <row r="1037" spans="1:1" x14ac:dyDescent="0.25">
      <c r="A1037" s="12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//"""),"'","""")&amp;SUBSTITUTE(TEXT(IF(ISTEXT(Overig!J1037),Overig!J1037,10*Overig!J1037),""",""????0;"",""???-0;"",""????0;"", ////"""),"'","""")&amp;SUBSTITUTE(TEXT(Overig!K1037,""",""?00;"",""?-00;"",""?00;"", //"""),"'","""")&amp;SUBSTITUTE(TEXT(Overig!L1037,""",""???0;"",""??-0;"",""???0;"", ///"""),"'","""")&amp;SUBSTITUTE(TEXT(Overig!M1037,""",""?00;"",""?-00;"",""?00;"", //"""),"'","""")&amp;SUBSTITUTE(TEXT(IF(ISTEXT(Overig!N1037),Overig!N1037,10*Overig!N1037),""",""????0;"",""???-0;"",""????0;"", ////"""),"'","""")&amp;SUBSTITUTE(TEXT(Overig!O1037,""",""?00;"",""?-00;"",""?00;"", //"""),"'","""")&amp;SUBSTITUTE(TEXT(IF(ISTEXT(Overig!P1037),Overig!P1037,10*Overig!P1037),""",""????0;"",""???-0;"",""????0;"", ////"""),"'","""")&amp;SUBSTITUTE(TEXT(Overig!Q1037,""",""?00;"",""?-00;"",""?00;"", //"""),"'","""")&amp;SUBSTITUTE(TEXT(Overig!R1037,""",""????0;"",""???-0;"",""????0;"", ////"""),"'","""")&amp;SUBSTITUTE(TEXT(Overig!S1037,""",""?00;"",""?-00;"",""?00;"", //"""),"'","""")&amp;SUBSTITUTE(TEXT(IF(ISTEXT(Overig!T1037),Overig!T1037,10*Overig!T1037),""",""????0;"",""???-0;"",""????0;"", ////"""),"'","""")&amp;SUBSTITUTE(TEXT(Overig!U1037,""",""?00;"",""?-00;"",""?00;"", //"""),"'","""")&amp;SUBSTITUTE(TEXT(Overig!V1037,""",""???0;"",""??-0;"",""???0;"", ///"""),"'","""")&amp;SUBSTITUTE(TEXT(Overig!W1037,""",""?00;"",""?-00;"",""?00;"", //"""),"'","""")</f>
        <v>032, 19400915, 24.00, ////, 07, ////, 07,  280, 00,  294, 00, ///, 07, ////, 07, ////, 07, ////, 07, ////, 07, ///, 07</v>
      </c>
    </row>
    <row r="1038" spans="1:1" x14ac:dyDescent="0.25">
      <c r="A1038" s="12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//"""),"'","""")&amp;SUBSTITUTE(TEXT(IF(ISTEXT(Overig!J1038),Overig!J1038,10*Overig!J1038),""",""????0;"",""???-0;"",""????0;"", ////"""),"'","""")&amp;SUBSTITUTE(TEXT(Overig!K1038,""",""?00;"",""?-00;"",""?00;"", //"""),"'","""")&amp;SUBSTITUTE(TEXT(Overig!L1038,""",""???0;"",""??-0;"",""???0;"", ///"""),"'","""")&amp;SUBSTITUTE(TEXT(Overig!M1038,""",""?00;"",""?-00;"",""?00;"", //"""),"'","""")&amp;SUBSTITUTE(TEXT(IF(ISTEXT(Overig!N1038),Overig!N1038,10*Overig!N1038),""",""????0;"",""???-0;"",""????0;"", ////"""),"'","""")&amp;SUBSTITUTE(TEXT(Overig!O1038,""",""?00;"",""?-00;"",""?00;"", //"""),"'","""")&amp;SUBSTITUTE(TEXT(IF(ISTEXT(Overig!P1038),Overig!P1038,10*Overig!P1038),""",""????0;"",""???-0;"",""????0;"", ////"""),"'","""")&amp;SUBSTITUTE(TEXT(Overig!Q1038,""",""?00;"",""?-00;"",""?00;"", //"""),"'","""")&amp;SUBSTITUTE(TEXT(Overig!R1038,""",""????0;"",""???-0;"",""????0;"", ////"""),"'","""")&amp;SUBSTITUTE(TEXT(Overig!S1038,""",""?00;"",""?-00;"",""?00;"", //"""),"'","""")&amp;SUBSTITUTE(TEXT(IF(ISTEXT(Overig!T1038),Overig!T1038,10*Overig!T1038),""",""????0;"",""???-0;"",""????0;"", ////"""),"'","""")&amp;SUBSTITUTE(TEXT(Overig!U1038,""",""?00;"",""?-00;"",""?00;"", //"""),"'","""")&amp;SUBSTITUTE(TEXT(Overig!V1038,""",""???0;"",""??-0;"",""???0;"", ///"""),"'","""")&amp;SUBSTITUTE(TEXT(Overig!W1038,""",""?00;"",""?-00;"",""?00;"", //"""),"'","""")</f>
        <v>032, 19400916, 07.00, 7577, 00,  277, 00, ////, 07, ////, 07,  79, 00,  220, 00,  248, 00,   90, 00,    3, 00,   3, 00</v>
      </c>
    </row>
    <row r="1039" spans="1:1" x14ac:dyDescent="0.25">
      <c r="A1039" s="12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//"""),"'","""")&amp;SUBSTITUTE(TEXT(IF(ISTEXT(Overig!J1039),Overig!J1039,10*Overig!J1039),""",""????0;"",""???-0;"",""????0;"", ////"""),"'","""")&amp;SUBSTITUTE(TEXT(Overig!K1039,""",""?00;"",""?-00;"",""?00;"", //"""),"'","""")&amp;SUBSTITUTE(TEXT(Overig!L1039,""",""???0;"",""??-0;"",""???0;"", ///"""),"'","""")&amp;SUBSTITUTE(TEXT(Overig!M1039,""",""?00;"",""?-00;"",""?00;"", //"""),"'","""")&amp;SUBSTITUTE(TEXT(IF(ISTEXT(Overig!N1039),Overig!N1039,10*Overig!N1039),""",""????0;"",""???-0;"",""????0;"", ////"""),"'","""")&amp;SUBSTITUTE(TEXT(Overig!O1039,""",""?00;"",""?-00;"",""?00;"", //"""),"'","""")&amp;SUBSTITUTE(TEXT(IF(ISTEXT(Overig!P1039),Overig!P1039,10*Overig!P1039),""",""????0;"",""???-0;"",""????0;"", ////"""),"'","""")&amp;SUBSTITUTE(TEXT(Overig!Q1039,""",""?00;"",""?-00;"",""?00;"", //"""),"'","""")&amp;SUBSTITUTE(TEXT(Overig!R1039,""",""????0;"",""???-0;"",""????0;"", ////"""),"'","""")&amp;SUBSTITUTE(TEXT(Overig!S1039,""",""?00;"",""?-00;"",""?00;"", //"""),"'","""")&amp;SUBSTITUTE(TEXT(IF(ISTEXT(Overig!T1039),Overig!T1039,10*Overig!T1039),""",""????0;"",""???-0;"",""????0;"", ////"""),"'","""")&amp;SUBSTITUTE(TEXT(Overig!U1039,""",""?00;"",""?-00;"",""?00;"", //"""),"'","""")&amp;SUBSTITUTE(TEXT(Overig!V1039,""",""???0;"",""??-0;"",""???0;"", ///"""),"'","""")&amp;SUBSTITUTE(TEXT(Overig!W1039,""",""?00;"",""?-00;"",""?00;"", //"""),"'","""")</f>
        <v>032, 19400916, 12.00, 7579, 00,  281, 00, ////, 07, ////, 07,  79, 00,  226, 00,  252, 00,   90, 00,    3, 00,   2, 00</v>
      </c>
    </row>
    <row r="1040" spans="1:1" x14ac:dyDescent="0.25">
      <c r="A1040" s="12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//"""),"'","""")&amp;SUBSTITUTE(TEXT(IF(ISTEXT(Overig!J1040),Overig!J1040,10*Overig!J1040),""",""????0;"",""???-0;"",""????0;"", ////"""),"'","""")&amp;SUBSTITUTE(TEXT(Overig!K1040,""",""?00;"",""?-00;"",""?00;"", //"""),"'","""")&amp;SUBSTITUTE(TEXT(Overig!L1040,""",""???0;"",""??-0;"",""???0;"", ///"""),"'","""")&amp;SUBSTITUTE(TEXT(Overig!M1040,""",""?00;"",""?-00;"",""?00;"", //"""),"'","""")&amp;SUBSTITUTE(TEXT(IF(ISTEXT(Overig!N1040),Overig!N1040,10*Overig!N1040),""",""????0;"",""???-0;"",""????0;"", ////"""),"'","""")&amp;SUBSTITUTE(TEXT(Overig!O1040,""",""?00;"",""?-00;"",""?00;"", //"""),"'","""")&amp;SUBSTITUTE(TEXT(IF(ISTEXT(Overig!P1040),Overig!P1040,10*Overig!P1040),""",""????0;"",""???-0;"",""????0;"", ////"""),"'","""")&amp;SUBSTITUTE(TEXT(Overig!Q1040,""",""?00;"",""?-00;"",""?00;"", //"""),"'","""")&amp;SUBSTITUTE(TEXT(Overig!R1040,""",""????0;"",""???-0;"",""????0;"", ////"""),"'","""")&amp;SUBSTITUTE(TEXT(Overig!S1040,""",""?00;"",""?-00;"",""?00;"", //"""),"'","""")&amp;SUBSTITUTE(TEXT(IF(ISTEXT(Overig!T1040),Overig!T1040,10*Overig!T1040),""",""????0;"",""???-0;"",""????0;"", ////"""),"'","""")&amp;SUBSTITUTE(TEXT(Overig!U1040,""",""?00;"",""?-00;"",""?00;"", //"""),"'","""")&amp;SUBSTITUTE(TEXT(Overig!V1040,""",""???0;"",""??-0;"",""???0;"", ///"""),"'","""")&amp;SUBSTITUTE(TEXT(Overig!W1040,""",""?00;"",""?-00;"",""?00;"", //"""),"'","""")</f>
        <v>032, 19400916, 17.00, 7572, 00,  277, 00, ////, 07, ////, 07,  79, 00,  220, 00,  248, 00,   90, 00,    3, 00,   3, 00</v>
      </c>
    </row>
    <row r="1041" spans="1:1" x14ac:dyDescent="0.25">
      <c r="A1041" s="12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//"""),"'","""")&amp;SUBSTITUTE(TEXT(IF(ISTEXT(Overig!J1041),Overig!J1041,10*Overig!J1041),""",""????0;"",""???-0;"",""????0;"", ////"""),"'","""")&amp;SUBSTITUTE(TEXT(Overig!K1041,""",""?00;"",""?-00;"",""?00;"", //"""),"'","""")&amp;SUBSTITUTE(TEXT(Overig!L1041,""",""???0;"",""??-0;"",""???0;"", ///"""),"'","""")&amp;SUBSTITUTE(TEXT(Overig!M1041,""",""?00;"",""?-00;"",""?00;"", //"""),"'","""")&amp;SUBSTITUTE(TEXT(IF(ISTEXT(Overig!N1041),Overig!N1041,10*Overig!N1041),""",""????0;"",""???-0;"",""????0;"", ////"""),"'","""")&amp;SUBSTITUTE(TEXT(Overig!O1041,""",""?00;"",""?-00;"",""?00;"", //"""),"'","""")&amp;SUBSTITUTE(TEXT(IF(ISTEXT(Overig!P1041),Overig!P1041,10*Overig!P1041),""",""????0;"",""???-0;"",""????0;"", ////"""),"'","""")&amp;SUBSTITUTE(TEXT(Overig!Q1041,""",""?00;"",""?-00;"",""?00;"", //"""),"'","""")&amp;SUBSTITUTE(TEXT(Overig!R1041,""",""????0;"",""???-0;"",""????0;"", ////"""),"'","""")&amp;SUBSTITUTE(TEXT(Overig!S1041,""",""?00;"",""?-00;"",""?00;"", //"""),"'","""")&amp;SUBSTITUTE(TEXT(IF(ISTEXT(Overig!T1041),Overig!T1041,10*Overig!T1041),""",""????0;"",""???-0;"",""????0;"", ////"""),"'","""")&amp;SUBSTITUTE(TEXT(Overig!U1041,""",""?00;"",""?-00;"",""?00;"", //"""),"'","""")&amp;SUBSTITUTE(TEXT(Overig!V1041,""",""???0;"",""??-0;"",""???0;"", ///"""),"'","""")&amp;SUBSTITUTE(TEXT(Overig!W1041,""",""?00;"",""?-00;"",""?00;"", //"""),"'","""")</f>
        <v>032, 19400916, 24.00, ////, 07, ////, 07,  280, 00,  294, 00, ///, 07, ////, 07, ////, 07, ////, 07, ////, 07, ///, 07</v>
      </c>
    </row>
    <row r="1042" spans="1:1" x14ac:dyDescent="0.25">
      <c r="A1042" s="12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//"""),"'","""")&amp;SUBSTITUTE(TEXT(IF(ISTEXT(Overig!J1042),Overig!J1042,10*Overig!J1042),""",""????0;"",""???-0;"",""????0;"", ////"""),"'","""")&amp;SUBSTITUTE(TEXT(Overig!K1042,""",""?00;"",""?-00;"",""?00;"", //"""),"'","""")&amp;SUBSTITUTE(TEXT(Overig!L1042,""",""???0;"",""??-0;"",""???0;"", ///"""),"'","""")&amp;SUBSTITUTE(TEXT(Overig!M1042,""",""?00;"",""?-00;"",""?00;"", //"""),"'","""")&amp;SUBSTITUTE(TEXT(IF(ISTEXT(Overig!N1042),Overig!N1042,10*Overig!N1042),""",""????0;"",""???-0;"",""????0;"", ////"""),"'","""")&amp;SUBSTITUTE(TEXT(Overig!O1042,""",""?00;"",""?-00;"",""?00;"", //"""),"'","""")&amp;SUBSTITUTE(TEXT(IF(ISTEXT(Overig!P1042),Overig!P1042,10*Overig!P1042),""",""????0;"",""???-0;"",""????0;"", ////"""),"'","""")&amp;SUBSTITUTE(TEXT(Overig!Q1042,""",""?00;"",""?-00;"",""?00;"", //"""),"'","""")&amp;SUBSTITUTE(TEXT(Overig!R1042,""",""????0;"",""???-0;"",""????0;"", ////"""),"'","""")&amp;SUBSTITUTE(TEXT(Overig!S1042,""",""?00;"",""?-00;"",""?00;"", //"""),"'","""")&amp;SUBSTITUTE(TEXT(IF(ISTEXT(Overig!T1042),Overig!T1042,10*Overig!T1042),""",""????0;"",""???-0;"",""????0;"", ////"""),"'","""")&amp;SUBSTITUTE(TEXT(Overig!U1042,""",""?00;"",""?-00;"",""?00;"", //"""),"'","""")&amp;SUBSTITUTE(TEXT(Overig!V1042,""",""???0;"",""??-0;"",""???0;"", ///"""),"'","""")&amp;SUBSTITUTE(TEXT(Overig!W1042,""",""?00;"",""?-00;"",""?00;"", //"""),"'","""")</f>
        <v>032, 19400917, 07.00, 7574, 00,  277, 00, ////, 07, ////, 07,  80, 00,  224, 00,  250, 00,   90, 00,    3, 00,   4, 00</v>
      </c>
    </row>
    <row r="1043" spans="1:1" x14ac:dyDescent="0.25">
      <c r="A1043" s="12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//"""),"'","""")&amp;SUBSTITUTE(TEXT(IF(ISTEXT(Overig!J1043),Overig!J1043,10*Overig!J1043),""",""????0;"",""???-0;"",""????0;"", ////"""),"'","""")&amp;SUBSTITUTE(TEXT(Overig!K1043,""",""?00;"",""?-00;"",""?00;"", //"""),"'","""")&amp;SUBSTITUTE(TEXT(Overig!L1043,""",""???0;"",""??-0;"",""???0;"", ///"""),"'","""")&amp;SUBSTITUTE(TEXT(Overig!M1043,""",""?00;"",""?-00;"",""?00;"", //"""),"'","""")&amp;SUBSTITUTE(TEXT(IF(ISTEXT(Overig!N1043),Overig!N1043,10*Overig!N1043),""",""????0;"",""???-0;"",""????0;"", ////"""),"'","""")&amp;SUBSTITUTE(TEXT(Overig!O1043,""",""?00;"",""?-00;"",""?00;"", //"""),"'","""")&amp;SUBSTITUTE(TEXT(IF(ISTEXT(Overig!P1043),Overig!P1043,10*Overig!P1043),""",""????0;"",""???-0;"",""????0;"", ////"""),"'","""")&amp;SUBSTITUTE(TEXT(Overig!Q1043,""",""?00;"",""?-00;"",""?00;"", //"""),"'","""")&amp;SUBSTITUTE(TEXT(Overig!R1043,""",""????0;"",""???-0;"",""????0;"", ////"""),"'","""")&amp;SUBSTITUTE(TEXT(Overig!S1043,""",""?00;"",""?-00;"",""?00;"", //"""),"'","""")&amp;SUBSTITUTE(TEXT(IF(ISTEXT(Overig!T1043),Overig!T1043,10*Overig!T1043),""",""????0;"",""???-0;"",""????0;"", ////"""),"'","""")&amp;SUBSTITUTE(TEXT(Overig!U1043,""",""?00;"",""?-00;"",""?00;"", //"""),"'","""")&amp;SUBSTITUTE(TEXT(Overig!V1043,""",""???0;"",""??-0;"",""???0;"", ///"""),"'","""")&amp;SUBSTITUTE(TEXT(Overig!W1043,""",""?00;"",""?-00;"",""?00;"", //"""),"'","""")</f>
        <v>032, 19400917, 12.00, 7574, 00,  279, 00, ////, 07, ////, 07,  82, 00,  231, 00,  254, 00,   90, 00,    3, 00,   3, 00</v>
      </c>
    </row>
    <row r="1044" spans="1:1" x14ac:dyDescent="0.25">
      <c r="A1044" s="12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//"""),"'","""")&amp;SUBSTITUTE(TEXT(IF(ISTEXT(Overig!J1044),Overig!J1044,10*Overig!J1044),""",""????0;"",""???-0;"",""????0;"", ////"""),"'","""")&amp;SUBSTITUTE(TEXT(Overig!K1044,""",""?00;"",""?-00;"",""?00;"", //"""),"'","""")&amp;SUBSTITUTE(TEXT(Overig!L1044,""",""???0;"",""??-0;"",""???0;"", ///"""),"'","""")&amp;SUBSTITUTE(TEXT(Overig!M1044,""",""?00;"",""?-00;"",""?00;"", //"""),"'","""")&amp;SUBSTITUTE(TEXT(IF(ISTEXT(Overig!N1044),Overig!N1044,10*Overig!N1044),""",""????0;"",""???-0;"",""????0;"", ////"""),"'","""")&amp;SUBSTITUTE(TEXT(Overig!O1044,""",""?00;"",""?-00;"",""?00;"", //"""),"'","""")&amp;SUBSTITUTE(TEXT(IF(ISTEXT(Overig!P1044),Overig!P1044,10*Overig!P1044),""",""????0;"",""???-0;"",""????0;"", ////"""),"'","""")&amp;SUBSTITUTE(TEXT(Overig!Q1044,""",""?00;"",""?-00;"",""?00;"", //"""),"'","""")&amp;SUBSTITUTE(TEXT(Overig!R1044,""",""????0;"",""???-0;"",""????0;"", ////"""),"'","""")&amp;SUBSTITUTE(TEXT(Overig!S1044,""",""?00;"",""?-00;"",""?00;"", //"""),"'","""")&amp;SUBSTITUTE(TEXT(IF(ISTEXT(Overig!T1044),Overig!T1044,10*Overig!T1044),""",""????0;"",""???-0;"",""????0;"", ////"""),"'","""")&amp;SUBSTITUTE(TEXT(Overig!U1044,""",""?00;"",""?-00;"",""?00;"", //"""),"'","""")&amp;SUBSTITUTE(TEXT(Overig!V1044,""",""???0;"",""??-0;"",""???0;"", ///"""),"'","""")&amp;SUBSTITUTE(TEXT(Overig!W1044,""",""?00;"",""?-00;"",""?00;"", //"""),"'","""")</f>
        <v>032, 19400917, 17.00, 7564, 00,  275, 00, ////, 07, ////, 07,  82, 00,  225, 00,  250, 00,   90, 00,    3, 00,   3, 00</v>
      </c>
    </row>
    <row r="1045" spans="1:1" x14ac:dyDescent="0.25">
      <c r="A1045" s="12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//"""),"'","""")&amp;SUBSTITUTE(TEXT(IF(ISTEXT(Overig!J1045),Overig!J1045,10*Overig!J1045),""",""????0;"",""???-0;"",""????0;"", ////"""),"'","""")&amp;SUBSTITUTE(TEXT(Overig!K1045,""",""?00;"",""?-00;"",""?00;"", //"""),"'","""")&amp;SUBSTITUTE(TEXT(Overig!L1045,""",""???0;"",""??-0;"",""???0;"", ///"""),"'","""")&amp;SUBSTITUTE(TEXT(Overig!M1045,""",""?00;"",""?-00;"",""?00;"", //"""),"'","""")&amp;SUBSTITUTE(TEXT(IF(ISTEXT(Overig!N1045),Overig!N1045,10*Overig!N1045),""",""????0;"",""???-0;"",""????0;"", ////"""),"'","""")&amp;SUBSTITUTE(TEXT(Overig!O1045,""",""?00;"",""?-00;"",""?00;"", //"""),"'","""")&amp;SUBSTITUTE(TEXT(IF(ISTEXT(Overig!P1045),Overig!P1045,10*Overig!P1045),""",""????0;"",""???-0;"",""????0;"", ////"""),"'","""")&amp;SUBSTITUTE(TEXT(Overig!Q1045,""",""?00;"",""?-00;"",""?00;"", //"""),"'","""")&amp;SUBSTITUTE(TEXT(Overig!R1045,""",""????0;"",""???-0;"",""????0;"", ////"""),"'","""")&amp;SUBSTITUTE(TEXT(Overig!S1045,""",""?00;"",""?-00;"",""?00;"", //"""),"'","""")&amp;SUBSTITUTE(TEXT(IF(ISTEXT(Overig!T1045),Overig!T1045,10*Overig!T1045),""",""????0;"",""???-0;"",""????0;"", ////"""),"'","""")&amp;SUBSTITUTE(TEXT(Overig!U1045,""",""?00;"",""?-00;"",""?00;"", //"""),"'","""")&amp;SUBSTITUTE(TEXT(Overig!V1045,""",""???0;"",""??-0;"",""???0;"", ///"""),"'","""")&amp;SUBSTITUTE(TEXT(Overig!W1045,""",""?00;"",""?-00;"",""?00;"", //"""),"'","""")</f>
        <v>032, 19400917, 24.00, ////, 07, ////, 07,  280, 00,  294, 00, ///, 07, ////, 07, ////, 07, ////, 07, ////, 07, ///, 07</v>
      </c>
    </row>
    <row r="1046" spans="1:1" x14ac:dyDescent="0.25">
      <c r="A1046" s="12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//"""),"'","""")&amp;SUBSTITUTE(TEXT(IF(ISTEXT(Overig!J1046),Overig!J1046,10*Overig!J1046),""",""????0;"",""???-0;"",""????0;"", ////"""),"'","""")&amp;SUBSTITUTE(TEXT(Overig!K1046,""",""?00;"",""?-00;"",""?00;"", //"""),"'","""")&amp;SUBSTITUTE(TEXT(Overig!L1046,""",""???0;"",""??-0;"",""???0;"", ///"""),"'","""")&amp;SUBSTITUTE(TEXT(Overig!M1046,""",""?00;"",""?-00;"",""?00;"", //"""),"'","""")&amp;SUBSTITUTE(TEXT(IF(ISTEXT(Overig!N1046),Overig!N1046,10*Overig!N1046),""",""????0;"",""???-0;"",""????0;"", ////"""),"'","""")&amp;SUBSTITUTE(TEXT(Overig!O1046,""",""?00;"",""?-00;"",""?00;"", //"""),"'","""")&amp;SUBSTITUTE(TEXT(IF(ISTEXT(Overig!P1046),Overig!P1046,10*Overig!P1046),""",""????0;"",""???-0;"",""????0;"", ////"""),"'","""")&amp;SUBSTITUTE(TEXT(Overig!Q1046,""",""?00;"",""?-00;"",""?00;"", //"""),"'","""")&amp;SUBSTITUTE(TEXT(Overig!R1046,""",""????0;"",""???-0;"",""????0;"", ////"""),"'","""")&amp;SUBSTITUTE(TEXT(Overig!S1046,""",""?00;"",""?-00;"",""?00;"", //"""),"'","""")&amp;SUBSTITUTE(TEXT(IF(ISTEXT(Overig!T1046),Overig!T1046,10*Overig!T1046),""",""????0;"",""???-0;"",""????0;"", ////"""),"'","""")&amp;SUBSTITUTE(TEXT(Overig!U1046,""",""?00;"",""?-00;"",""?00;"", //"""),"'","""")&amp;SUBSTITUTE(TEXT(Overig!V1046,""",""???0;"",""??-0;"",""???0;"", ///"""),"'","""")&amp;SUBSTITUTE(TEXT(Overig!W1046,""",""?00;"",""?-00;"",""?00;"", //"""),"'","""")</f>
        <v>032, 19400918, 07.00, 7574, 00,  261, 00, ////, 07, ////, 07,  88, 00,  225, 00,  246, 00,   90, 00,    3, 00,   5, 00</v>
      </c>
    </row>
    <row r="1047" spans="1:1" x14ac:dyDescent="0.25">
      <c r="A1047" s="12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//"""),"'","""")&amp;SUBSTITUTE(TEXT(IF(ISTEXT(Overig!J1047),Overig!J1047,10*Overig!J1047),""",""????0;"",""???-0;"",""????0;"", ////"""),"'","""")&amp;SUBSTITUTE(TEXT(Overig!K1047,""",""?00;"",""?-00;"",""?00;"", //"""),"'","""")&amp;SUBSTITUTE(TEXT(Overig!L1047,""",""???0;"",""??-0;"",""???0;"", ///"""),"'","""")&amp;SUBSTITUTE(TEXT(Overig!M1047,""",""?00;"",""?-00;"",""?00;"", //"""),"'","""")&amp;SUBSTITUTE(TEXT(IF(ISTEXT(Overig!N1047),Overig!N1047,10*Overig!N1047),""",""????0;"",""???-0;"",""????0;"", ////"""),"'","""")&amp;SUBSTITUTE(TEXT(Overig!O1047,""",""?00;"",""?-00;"",""?00;"", //"""),"'","""")&amp;SUBSTITUTE(TEXT(IF(ISTEXT(Overig!P1047),Overig!P1047,10*Overig!P1047),""",""????0;"",""???-0;"",""????0;"", ////"""),"'","""")&amp;SUBSTITUTE(TEXT(Overig!Q1047,""",""?00;"",""?-00;"",""?00;"", //"""),"'","""")&amp;SUBSTITUTE(TEXT(Overig!R1047,""",""????0;"",""???-0;"",""????0;"", ////"""),"'","""")&amp;SUBSTITUTE(TEXT(Overig!S1047,""",""?00;"",""?-00;"",""?00;"", //"""),"'","""")&amp;SUBSTITUTE(TEXT(IF(ISTEXT(Overig!T1047),Overig!T1047,10*Overig!T1047),""",""????0;"",""???-0;"",""????0;"", ////"""),"'","""")&amp;SUBSTITUTE(TEXT(Overig!U1047,""",""?00;"",""?-00;"",""?00;"", //"""),"'","""")&amp;SUBSTITUTE(TEXT(Overig!V1047,""",""???0;"",""??-0;"",""???0;"", ///"""),"'","""")&amp;SUBSTITUTE(TEXT(Overig!W1047,""",""?00;"",""?-00;"",""?00;"", //"""),"'","""")</f>
        <v>032, 19400918, 12.00, 7572, 00,  271, 00, ////, 07, ////, 07,  84, 00,  227, 00,  250, 00,   90, 00,    4, 00,   4, 00</v>
      </c>
    </row>
    <row r="1048" spans="1:1" x14ac:dyDescent="0.25">
      <c r="A1048" s="12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//"""),"'","""")&amp;SUBSTITUTE(TEXT(IF(ISTEXT(Overig!J1048),Overig!J1048,10*Overig!J1048),""",""????0;"",""???-0;"",""????0;"", ////"""),"'","""")&amp;SUBSTITUTE(TEXT(Overig!K1048,""",""?00;"",""?-00;"",""?00;"", //"""),"'","""")&amp;SUBSTITUTE(TEXT(Overig!L1048,""",""???0;"",""??-0;"",""???0;"", ///"""),"'","""")&amp;SUBSTITUTE(TEXT(Overig!M1048,""",""?00;"",""?-00;"",""?00;"", //"""),"'","""")&amp;SUBSTITUTE(TEXT(IF(ISTEXT(Overig!N1048),Overig!N1048,10*Overig!N1048),""",""????0;"",""???-0;"",""????0;"", ////"""),"'","""")&amp;SUBSTITUTE(TEXT(Overig!O1048,""",""?00;"",""?-00;"",""?00;"", //"""),"'","""")&amp;SUBSTITUTE(TEXT(IF(ISTEXT(Overig!P1048),Overig!P1048,10*Overig!P1048),""",""????0;"",""???-0;"",""????0;"", ////"""),"'","""")&amp;SUBSTITUTE(TEXT(Overig!Q1048,""",""?00;"",""?-00;"",""?00;"", //"""),"'","""")&amp;SUBSTITUTE(TEXT(Overig!R1048,""",""????0;"",""???-0;"",""????0;"", ////"""),"'","""")&amp;SUBSTITUTE(TEXT(Overig!S1048,""",""?00;"",""?-00;"",""?00;"", //"""),"'","""")&amp;SUBSTITUTE(TEXT(IF(ISTEXT(Overig!T1048),Overig!T1048,10*Overig!T1048),""",""????0;"",""???-0;"",""????0;"", ////"""),"'","""")&amp;SUBSTITUTE(TEXT(Overig!U1048,""",""?00;"",""?-00;"",""?00;"", //"""),"'","""")&amp;SUBSTITUTE(TEXT(Overig!V1048,""",""???0;"",""??-0;"",""???0;"", ///"""),"'","""")&amp;SUBSTITUTE(TEXT(Overig!W1048,""",""?00;"",""?-00;"",""?00;"", //"""),"'","""")</f>
        <v>032, 19400918, 17.00, 7564, 00,  269, 00, ////, 07, ////, 07,  86, 00,  228, 00,  250, 00,   90, 00,    4, 00,   4, 00</v>
      </c>
    </row>
    <row r="1049" spans="1:1" x14ac:dyDescent="0.25">
      <c r="A1049" s="12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//"""),"'","""")&amp;SUBSTITUTE(TEXT(IF(ISTEXT(Overig!J1049),Overig!J1049,10*Overig!J1049),""",""????0;"",""???-0;"",""????0;"", ////"""),"'","""")&amp;SUBSTITUTE(TEXT(Overig!K1049,""",""?00;"",""?-00;"",""?00;"", //"""),"'","""")&amp;SUBSTITUTE(TEXT(Overig!L1049,""",""???0;"",""??-0;"",""???0;"", ///"""),"'","""")&amp;SUBSTITUTE(TEXT(Overig!M1049,""",""?00;"",""?-00;"",""?00;"", //"""),"'","""")&amp;SUBSTITUTE(TEXT(IF(ISTEXT(Overig!N1049),Overig!N1049,10*Overig!N1049),""",""????0;"",""???-0;"",""????0;"", ////"""),"'","""")&amp;SUBSTITUTE(TEXT(Overig!O1049,""",""?00;"",""?-00;"",""?00;"", //"""),"'","""")&amp;SUBSTITUTE(TEXT(IF(ISTEXT(Overig!P1049),Overig!P1049,10*Overig!P1049),""",""????0;"",""???-0;"",""????0;"", ////"""),"'","""")&amp;SUBSTITUTE(TEXT(Overig!Q1049,""",""?00;"",""?-00;"",""?00;"", //"""),"'","""")&amp;SUBSTITUTE(TEXT(Overig!R1049,""",""????0;"",""???-0;"",""????0;"", ////"""),"'","""")&amp;SUBSTITUTE(TEXT(Overig!S1049,""",""?00;"",""?-00;"",""?00;"", //"""),"'","""")&amp;SUBSTITUTE(TEXT(IF(ISTEXT(Overig!T1049),Overig!T1049,10*Overig!T1049),""",""????0;"",""???-0;"",""????0;"", ////"""),"'","""")&amp;SUBSTITUTE(TEXT(Overig!U1049,""",""?00;"",""?-00;"",""?00;"", //"""),"'","""")&amp;SUBSTITUTE(TEXT(Overig!V1049,""",""???0;"",""??-0;"",""???0;"", ///"""),"'","""")&amp;SUBSTITUTE(TEXT(Overig!W1049,""",""?00;"",""?-00;"",""?00;"", //"""),"'","""")</f>
        <v>032, 19400918, 24.00, ////, 07, ////, 07,  280, 00,  294, 00, ///, 07, ////, 07, ////, 07, ////, 07, ////, 07, ///, 07</v>
      </c>
    </row>
    <row r="1050" spans="1:1" x14ac:dyDescent="0.25">
      <c r="A1050" s="12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//"""),"'","""")&amp;SUBSTITUTE(TEXT(IF(ISTEXT(Overig!J1050),Overig!J1050,10*Overig!J1050),""",""????0;"",""???-0;"",""????0;"", ////"""),"'","""")&amp;SUBSTITUTE(TEXT(Overig!K1050,""",""?00;"",""?-00;"",""?00;"", //"""),"'","""")&amp;SUBSTITUTE(TEXT(Overig!L1050,""",""???0;"",""??-0;"",""???0;"", ///"""),"'","""")&amp;SUBSTITUTE(TEXT(Overig!M1050,""",""?00;"",""?-00;"",""?00;"", //"""),"'","""")&amp;SUBSTITUTE(TEXT(IF(ISTEXT(Overig!N1050),Overig!N1050,10*Overig!N1050),""",""????0;"",""???-0;"",""????0;"", ////"""),"'","""")&amp;SUBSTITUTE(TEXT(Overig!O1050,""",""?00;"",""?-00;"",""?00;"", //"""),"'","""")&amp;SUBSTITUTE(TEXT(IF(ISTEXT(Overig!P1050),Overig!P1050,10*Overig!P1050),""",""????0;"",""???-0;"",""????0;"", ////"""),"'","""")&amp;SUBSTITUTE(TEXT(Overig!Q1050,""",""?00;"",""?-00;"",""?00;"", //"""),"'","""")&amp;SUBSTITUTE(TEXT(Overig!R1050,""",""????0;"",""???-0;"",""????0;"", ////"""),"'","""")&amp;SUBSTITUTE(TEXT(Overig!S1050,""",""?00;"",""?-00;"",""?00;"", //"""),"'","""")&amp;SUBSTITUTE(TEXT(IF(ISTEXT(Overig!T1050),Overig!T1050,10*Overig!T1050),""",""????0;"",""???-0;"",""????0;"", ////"""),"'","""")&amp;SUBSTITUTE(TEXT(Overig!U1050,""",""?00;"",""?-00;"",""?00;"", //"""),"'","""")&amp;SUBSTITUTE(TEXT(Overig!V1050,""",""???0;"",""??-0;"",""???0;"", ///"""),"'","""")&amp;SUBSTITUTE(TEXT(Overig!W1050,""",""?00;"",""?-00;"",""?00;"", //"""),"'","""")</f>
        <v>032, 19400919, 07.00, 7579, 00,  269, 00, ////, 07, ////, 07,  86, 00,  228, 00,  250, 00,   90, 00,    4, 00,   4, 00</v>
      </c>
    </row>
    <row r="1051" spans="1:1" x14ac:dyDescent="0.25">
      <c r="A1051" s="12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//"""),"'","""")&amp;SUBSTITUTE(TEXT(IF(ISTEXT(Overig!J1051),Overig!J1051,10*Overig!J1051),""",""????0;"",""???-0;"",""????0;"", ////"""),"'","""")&amp;SUBSTITUTE(TEXT(Overig!K1051,""",""?00;"",""?-00;"",""?00;"", //"""),"'","""")&amp;SUBSTITUTE(TEXT(Overig!L1051,""",""???0;"",""??-0;"",""???0;"", ///"""),"'","""")&amp;SUBSTITUTE(TEXT(Overig!M1051,""",""?00;"",""?-00;"",""?00;"", //"""),"'","""")&amp;SUBSTITUTE(TEXT(IF(ISTEXT(Overig!N1051),Overig!N1051,10*Overig!N1051),""",""????0;"",""???-0;"",""????0;"", ////"""),"'","""")&amp;SUBSTITUTE(TEXT(Overig!O1051,""",""?00;"",""?-00;"",""?00;"", //"""),"'","""")&amp;SUBSTITUTE(TEXT(IF(ISTEXT(Overig!P1051),Overig!P1051,10*Overig!P1051),""",""????0;"",""???-0;"",""????0;"", ////"""),"'","""")&amp;SUBSTITUTE(TEXT(Overig!Q1051,""",""?00;"",""?-00;"",""?00;"", //"""),"'","""")&amp;SUBSTITUTE(TEXT(Overig!R1051,""",""????0;"",""???-0;"",""????0;"", ////"""),"'","""")&amp;SUBSTITUTE(TEXT(Overig!S1051,""",""?00;"",""?-00;"",""?00;"", //"""),"'","""")&amp;SUBSTITUTE(TEXT(IF(ISTEXT(Overig!T1051),Overig!T1051,10*Overig!T1051),""",""????0;"",""???-0;"",""????0;"", ////"""),"'","""")&amp;SUBSTITUTE(TEXT(Overig!U1051,""",""?00;"",""?-00;"",""?00;"", //"""),"'","""")&amp;SUBSTITUTE(TEXT(Overig!V1051,""",""???0;"",""??-0;"",""???0;"", ///"""),"'","""")&amp;SUBSTITUTE(TEXT(Overig!W1051,""",""?00;"",""?-00;"",""?00;"", //"""),"'","""")</f>
        <v>032, 19400919, 12.00, 7579, 00,  277, 00, ////, 07, ////, 07,  83, 00,  232, 00,  254, 00,   65, 00,    5, 00,   5, 00</v>
      </c>
    </row>
    <row r="1052" spans="1:1" x14ac:dyDescent="0.25">
      <c r="A1052" s="12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//"""),"'","""")&amp;SUBSTITUTE(TEXT(IF(ISTEXT(Overig!J1052),Overig!J1052,10*Overig!J1052),""",""????0;"",""???-0;"",""????0;"", ////"""),"'","""")&amp;SUBSTITUTE(TEXT(Overig!K1052,""",""?00;"",""?-00;"",""?00;"", //"""),"'","""")&amp;SUBSTITUTE(TEXT(Overig!L1052,""",""???0;"",""??-0;"",""???0;"", ///"""),"'","""")&amp;SUBSTITUTE(TEXT(Overig!M1052,""",""?00;"",""?-00;"",""?00;"", //"""),"'","""")&amp;SUBSTITUTE(TEXT(IF(ISTEXT(Overig!N1052),Overig!N1052,10*Overig!N1052),""",""????0;"",""???-0;"",""????0;"", ////"""),"'","""")&amp;SUBSTITUTE(TEXT(Overig!O1052,""",""?00;"",""?-00;"",""?00;"", //"""),"'","""")&amp;SUBSTITUTE(TEXT(IF(ISTEXT(Overig!P1052),Overig!P1052,10*Overig!P1052),""",""????0;"",""???-0;"",""????0;"", ////"""),"'","""")&amp;SUBSTITUTE(TEXT(Overig!Q1052,""",""?00;"",""?-00;"",""?00;"", //"""),"'","""")&amp;SUBSTITUTE(TEXT(Overig!R1052,""",""????0;"",""???-0;"",""????0;"", ////"""),"'","""")&amp;SUBSTITUTE(TEXT(Overig!S1052,""",""?00;"",""?-00;"",""?00;"", //"""),"'","""")&amp;SUBSTITUTE(TEXT(IF(ISTEXT(Overig!T1052),Overig!T1052,10*Overig!T1052),""",""????0;"",""???-0;"",""????0;"", ////"""),"'","""")&amp;SUBSTITUTE(TEXT(Overig!U1052,""",""?00;"",""?-00;"",""?00;"", //"""),"'","""")&amp;SUBSTITUTE(TEXT(Overig!V1052,""",""???0;"",""??-0;"",""???0;"", ///"""),"'","""")&amp;SUBSTITUTE(TEXT(Overig!W1052,""",""?00;"",""?-00;"",""?00;"", //"""),"'","""")</f>
        <v>032, 19400919, 17.00, 7582, 00,  271, 00, ////, 07, ////, 07,  88, 00,  237, 00,  255, 00,   90, 00,    4, 00,   4, 00</v>
      </c>
    </row>
    <row r="1053" spans="1:1" x14ac:dyDescent="0.25">
      <c r="A1053" s="12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//"""),"'","""")&amp;SUBSTITUTE(TEXT(IF(ISTEXT(Overig!J1053),Overig!J1053,10*Overig!J1053),""",""????0;"",""???-0;"",""????0;"", ////"""),"'","""")&amp;SUBSTITUTE(TEXT(Overig!K1053,""",""?00;"",""?-00;"",""?00;"", //"""),"'","""")&amp;SUBSTITUTE(TEXT(Overig!L1053,""",""???0;"",""??-0;"",""???0;"", ///"""),"'","""")&amp;SUBSTITUTE(TEXT(Overig!M1053,""",""?00;"",""?-00;"",""?00;"", //"""),"'","""")&amp;SUBSTITUTE(TEXT(IF(ISTEXT(Overig!N1053),Overig!N1053,10*Overig!N1053),""",""????0;"",""???-0;"",""????0;"", ////"""),"'","""")&amp;SUBSTITUTE(TEXT(Overig!O1053,""",""?00;"",""?-00;"",""?00;"", //"""),"'","""")&amp;SUBSTITUTE(TEXT(IF(ISTEXT(Overig!P1053),Overig!P1053,10*Overig!P1053),""",""????0;"",""???-0;"",""????0;"", ////"""),"'","""")&amp;SUBSTITUTE(TEXT(Overig!Q1053,""",""?00;"",""?-00;"",""?00;"", //"""),"'","""")&amp;SUBSTITUTE(TEXT(Overig!R1053,""",""????0;"",""???-0;"",""????0;"", ////"""),"'","""")&amp;SUBSTITUTE(TEXT(Overig!S1053,""",""?00;"",""?-00;"",""?00;"", //"""),"'","""")&amp;SUBSTITUTE(TEXT(IF(ISTEXT(Overig!T1053),Overig!T1053,10*Overig!T1053),""",""????0;"",""???-0;"",""????0;"", ////"""),"'","""")&amp;SUBSTITUTE(TEXT(Overig!U1053,""",""?00;"",""?-00;"",""?00;"", //"""),"'","""")&amp;SUBSTITUTE(TEXT(Overig!V1053,""",""???0;"",""??-0;"",""???0;"", ///"""),"'","""")&amp;SUBSTITUTE(TEXT(Overig!W1053,""",""?00;"",""?-00;"",""?00;"", //"""),"'","""")</f>
        <v>032, 19400919, 24.00, ////, 07, ////, 07,  290, 00,  305, 00, ///, 07, ////, 07, ////, 07, ////, 07, ////, 07, ///, 07</v>
      </c>
    </row>
    <row r="1054" spans="1:1" x14ac:dyDescent="0.25">
      <c r="A1054" s="12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//"""),"'","""")&amp;SUBSTITUTE(TEXT(IF(ISTEXT(Overig!J1054),Overig!J1054,10*Overig!J1054),""",""????0;"",""???-0;"",""????0;"", ////"""),"'","""")&amp;SUBSTITUTE(TEXT(Overig!K1054,""",""?00;"",""?-00;"",""?00;"", //"""),"'","""")&amp;SUBSTITUTE(TEXT(Overig!L1054,""",""???0;"",""??-0;"",""???0;"", ///"""),"'","""")&amp;SUBSTITUTE(TEXT(Overig!M1054,""",""?00;"",""?-00;"",""?00;"", //"""),"'","""")&amp;SUBSTITUTE(TEXT(IF(ISTEXT(Overig!N1054),Overig!N1054,10*Overig!N1054),""",""????0;"",""???-0;"",""????0;"", ////"""),"'","""")&amp;SUBSTITUTE(TEXT(Overig!O1054,""",""?00;"",""?-00;"",""?00;"", //"""),"'","""")&amp;SUBSTITUTE(TEXT(IF(ISTEXT(Overig!P1054),Overig!P1054,10*Overig!P1054),""",""????0;"",""???-0;"",""????0;"", ////"""),"'","""")&amp;SUBSTITUTE(TEXT(Overig!Q1054,""",""?00;"",""?-00;"",""?00;"", //"""),"'","""")&amp;SUBSTITUTE(TEXT(Overig!R1054,""",""????0;"",""???-0;"",""????0;"", ////"""),"'","""")&amp;SUBSTITUTE(TEXT(Overig!S1054,""",""?00;"",""?-00;"",""?00;"", //"""),"'","""")&amp;SUBSTITUTE(TEXT(IF(ISTEXT(Overig!T1054),Overig!T1054,10*Overig!T1054),""",""????0;"",""???-0;"",""????0;"", ////"""),"'","""")&amp;SUBSTITUTE(TEXT(Overig!U1054,""",""?00;"",""?-00;"",""?00;"", //"""),"'","""")&amp;SUBSTITUTE(TEXT(Overig!V1054,""",""???0;"",""??-0;"",""???0;"", ///"""),"'","""")&amp;SUBSTITUTE(TEXT(Overig!W1054,""",""?00;"",""?-00;"",""?00;"", //"""),"'","""")</f>
        <v>032, 19400920, 07.00, 7587, 00,  265, 00, ////, 07, ////, 07,  86, 00,  223, 00,  246, 00,   90, 00,    4, 00,   3, 00</v>
      </c>
    </row>
    <row r="1055" spans="1:1" x14ac:dyDescent="0.25">
      <c r="A1055" s="12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//"""),"'","""")&amp;SUBSTITUTE(TEXT(IF(ISTEXT(Overig!J1055),Overig!J1055,10*Overig!J1055),""",""????0;"",""???-0;"",""????0;"", ////"""),"'","""")&amp;SUBSTITUTE(TEXT(Overig!K1055,""",""?00;"",""?-00;"",""?00;"", //"""),"'","""")&amp;SUBSTITUTE(TEXT(Overig!L1055,""",""???0;"",""??-0;"",""???0;"", ///"""),"'","""")&amp;SUBSTITUTE(TEXT(Overig!M1055,""",""?00;"",""?-00;"",""?00;"", //"""),"'","""")&amp;SUBSTITUTE(TEXT(IF(ISTEXT(Overig!N1055),Overig!N1055,10*Overig!N1055),""",""????0;"",""???-0;"",""????0;"", ////"""),"'","""")&amp;SUBSTITUTE(TEXT(Overig!O1055,""",""?00;"",""?-00;"",""?00;"", //"""),"'","""")&amp;SUBSTITUTE(TEXT(IF(ISTEXT(Overig!P1055),Overig!P1055,10*Overig!P1055),""",""????0;"",""???-0;"",""????0;"", ////"""),"'","""")&amp;SUBSTITUTE(TEXT(Overig!Q1055,""",""?00;"",""?-00;"",""?00;"", //"""),"'","""")&amp;SUBSTITUTE(TEXT(Overig!R1055,""",""????0;"",""???-0;"",""????0;"", ////"""),"'","""")&amp;SUBSTITUTE(TEXT(Overig!S1055,""",""?00;"",""?-00;"",""?00;"", //"""),"'","""")&amp;SUBSTITUTE(TEXT(IF(ISTEXT(Overig!T1055),Overig!T1055,10*Overig!T1055),""",""????0;"",""???-0;"",""????0;"", ////"""),"'","""")&amp;SUBSTITUTE(TEXT(Overig!U1055,""",""?00;"",""?-00;"",""?00;"", //"""),"'","""")&amp;SUBSTITUTE(TEXT(Overig!V1055,""",""???0;"",""??-0;"",""???0;"", ///"""),"'","""")&amp;SUBSTITUTE(TEXT(Overig!W1055,""",""?00;"",""?-00;"",""?00;"", //"""),"'","""")</f>
        <v>032, 19400920, 12.00, 7579, 00,  271, 00, ////, 07, ////, 07,  83, 00,  223, 00,  248, 00,   90, 00,    4, 00,   3, 00</v>
      </c>
    </row>
    <row r="1056" spans="1:1" x14ac:dyDescent="0.25">
      <c r="A1056" s="12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//"""),"'","""")&amp;SUBSTITUTE(TEXT(IF(ISTEXT(Overig!J1056),Overig!J1056,10*Overig!J1056),""",""????0;"",""???-0;"",""????0;"", ////"""),"'","""")&amp;SUBSTITUTE(TEXT(Overig!K1056,""",""?00;"",""?-00;"",""?00;"", //"""),"'","""")&amp;SUBSTITUTE(TEXT(Overig!L1056,""",""???0;"",""??-0;"",""???0;"", ///"""),"'","""")&amp;SUBSTITUTE(TEXT(Overig!M1056,""",""?00;"",""?-00;"",""?00;"", //"""),"'","""")&amp;SUBSTITUTE(TEXT(IF(ISTEXT(Overig!N1056),Overig!N1056,10*Overig!N1056),""",""????0;"",""???-0;"",""????0;"", ////"""),"'","""")&amp;SUBSTITUTE(TEXT(Overig!O1056,""",""?00;"",""?-00;"",""?00;"", //"""),"'","""")&amp;SUBSTITUTE(TEXT(IF(ISTEXT(Overig!P1056),Overig!P1056,10*Overig!P1056),""",""????0;"",""???-0;"",""????0;"", ////"""),"'","""")&amp;SUBSTITUTE(TEXT(Overig!Q1056,""",""?00;"",""?-00;"",""?00;"", //"""),"'","""")&amp;SUBSTITUTE(TEXT(Overig!R1056,""",""????0;"",""???-0;"",""????0;"", ////"""),"'","""")&amp;SUBSTITUTE(TEXT(Overig!S1056,""",""?00;"",""?-00;"",""?00;"", //"""),"'","""")&amp;SUBSTITUTE(TEXT(IF(ISTEXT(Overig!T1056),Overig!T1056,10*Overig!T1056),""",""????0;"",""???-0;"",""????0;"", ////"""),"'","""")&amp;SUBSTITUTE(TEXT(Overig!U1056,""",""?00;"",""?-00;"",""?00;"", //"""),"'","""")&amp;SUBSTITUTE(TEXT(Overig!V1056,""",""???0;"",""??-0;"",""???0;"", ///"""),"'","""")&amp;SUBSTITUTE(TEXT(Overig!W1056,""",""?00;"",""?-00;"",""?00;"", //"""),"'","""")</f>
        <v>032, 19400920, 17.00, 7582, 00,  269, 00, ////, 07, ////, 07,  83, 00,  221, 00,  246, 00,   90, 00,    4, 00,   3, 00</v>
      </c>
    </row>
    <row r="1057" spans="1:1" x14ac:dyDescent="0.25">
      <c r="A1057" s="12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//"""),"'","""")&amp;SUBSTITUTE(TEXT(IF(ISTEXT(Overig!J1057),Overig!J1057,10*Overig!J1057),""",""????0;"",""???-0;"",""????0;"", ////"""),"'","""")&amp;SUBSTITUTE(TEXT(Overig!K1057,""",""?00;"",""?-00;"",""?00;"", //"""),"'","""")&amp;SUBSTITUTE(TEXT(Overig!L1057,""",""???0;"",""??-0;"",""???0;"", ///"""),"'","""")&amp;SUBSTITUTE(TEXT(Overig!M1057,""",""?00;"",""?-00;"",""?00;"", //"""),"'","""")&amp;SUBSTITUTE(TEXT(IF(ISTEXT(Overig!N1057),Overig!N1057,10*Overig!N1057),""",""????0;"",""???-0;"",""????0;"", ////"""),"'","""")&amp;SUBSTITUTE(TEXT(Overig!O1057,""",""?00;"",""?-00;"",""?00;"", //"""),"'","""")&amp;SUBSTITUTE(TEXT(IF(ISTEXT(Overig!P1057),Overig!P1057,10*Overig!P1057),""",""????0;"",""???-0;"",""????0;"", ////"""),"'","""")&amp;SUBSTITUTE(TEXT(Overig!Q1057,""",""?00;"",""?-00;"",""?00;"", //"""),"'","""")&amp;SUBSTITUTE(TEXT(Overig!R1057,""",""????0;"",""???-0;"",""????0;"", ////"""),"'","""")&amp;SUBSTITUTE(TEXT(Overig!S1057,""",""?00;"",""?-00;"",""?00;"", //"""),"'","""")&amp;SUBSTITUTE(TEXT(IF(ISTEXT(Overig!T1057),Overig!T1057,10*Overig!T1057),""",""????0;"",""???-0;"",""????0;"", ////"""),"'","""")&amp;SUBSTITUTE(TEXT(Overig!U1057,""",""?00;"",""?-00;"",""?00;"", //"""),"'","""")&amp;SUBSTITUTE(TEXT(Overig!V1057,""",""???0;"",""??-0;"",""???0;"", ///"""),"'","""")&amp;SUBSTITUTE(TEXT(Overig!W1057,""",""?00;"",""?-00;"",""?00;"", //"""),"'","""")</f>
        <v>032, 19400920, 24.00, ////, 07, ////, 07,  282, 00,  296, 00, ///, 07, ////, 07, ////, 07, ////, 07, ////, 07, ///, 07</v>
      </c>
    </row>
    <row r="1058" spans="1:1" x14ac:dyDescent="0.25">
      <c r="A1058" s="12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//"""),"'","""")&amp;SUBSTITUTE(TEXT(IF(ISTEXT(Overig!J1058),Overig!J1058,10*Overig!J1058),""",""????0;"",""???-0;"",""????0;"", ////"""),"'","""")&amp;SUBSTITUTE(TEXT(Overig!K1058,""",""?00;"",""?-00;"",""?00;"", //"""),"'","""")&amp;SUBSTITUTE(TEXT(Overig!L1058,""",""???0;"",""??-0;"",""???0;"", ///"""),"'","""")&amp;SUBSTITUTE(TEXT(Overig!M1058,""",""?00;"",""?-00;"",""?00;"", //"""),"'","""")&amp;SUBSTITUTE(TEXT(IF(ISTEXT(Overig!N1058),Overig!N1058,10*Overig!N1058),""",""????0;"",""???-0;"",""????0;"", ////"""),"'","""")&amp;SUBSTITUTE(TEXT(Overig!O1058,""",""?00;"",""?-00;"",""?00;"", //"""),"'","""")&amp;SUBSTITUTE(TEXT(IF(ISTEXT(Overig!P1058),Overig!P1058,10*Overig!P1058),""",""????0;"",""???-0;"",""????0;"", ////"""),"'","""")&amp;SUBSTITUTE(TEXT(Overig!Q1058,""",""?00;"",""?-00;"",""?00;"", //"""),"'","""")&amp;SUBSTITUTE(TEXT(Overig!R1058,""",""????0;"",""???-0;"",""????0;"", ////"""),"'","""")&amp;SUBSTITUTE(TEXT(Overig!S1058,""",""?00;"",""?-00;"",""?00;"", //"""),"'","""")&amp;SUBSTITUTE(TEXT(IF(ISTEXT(Overig!T1058),Overig!T1058,10*Overig!T1058),""",""????0;"",""???-0;"",""????0;"", ////"""),"'","""")&amp;SUBSTITUTE(TEXT(Overig!U1058,""",""?00;"",""?-00;"",""?00;"", //"""),"'","""")&amp;SUBSTITUTE(TEXT(Overig!V1058,""",""???0;"",""??-0;"",""???0;"", ///"""),"'","""")&amp;SUBSTITUTE(TEXT(Overig!W1058,""",""?00;"",""?-00;"",""?00;"", //"""),"'","""")</f>
        <v>032, 19400921, 07.00, 7595, 00,  271, 00, ////, 07, ////, 07,  83, 00,  223, 00,  248, 00,   90, 00,    3, 00,   4, 00</v>
      </c>
    </row>
    <row r="1059" spans="1:1" x14ac:dyDescent="0.25">
      <c r="A1059" s="12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//"""),"'","""")&amp;SUBSTITUTE(TEXT(IF(ISTEXT(Overig!J1059),Overig!J1059,10*Overig!J1059),""",""????0;"",""???-0;"",""????0;"", ////"""),"'","""")&amp;SUBSTITUTE(TEXT(Overig!K1059,""",""?00;"",""?-00;"",""?00;"", //"""),"'","""")&amp;SUBSTITUTE(TEXT(Overig!L1059,""",""???0;"",""??-0;"",""???0;"", ///"""),"'","""")&amp;SUBSTITUTE(TEXT(Overig!M1059,""",""?00;"",""?-00;"",""?00;"", //"""),"'","""")&amp;SUBSTITUTE(TEXT(IF(ISTEXT(Overig!N1059),Overig!N1059,10*Overig!N1059),""",""????0;"",""???-0;"",""????0;"", ////"""),"'","""")&amp;SUBSTITUTE(TEXT(Overig!O1059,""",""?00;"",""?-00;"",""?00;"", //"""),"'","""")&amp;SUBSTITUTE(TEXT(IF(ISTEXT(Overig!P1059),Overig!P1059,10*Overig!P1059),""",""????0;"",""???-0;"",""????0;"", ////"""),"'","""")&amp;SUBSTITUTE(TEXT(Overig!Q1059,""",""?00;"",""?-00;"",""?00;"", //"""),"'","""")&amp;SUBSTITUTE(TEXT(Overig!R1059,""",""????0;"",""???-0;"",""????0;"", ////"""),"'","""")&amp;SUBSTITUTE(TEXT(Overig!S1059,""",""?00;"",""?-00;"",""?00;"", //"""),"'","""")&amp;SUBSTITUTE(TEXT(IF(ISTEXT(Overig!T1059),Overig!T1059,10*Overig!T1059),""",""????0;"",""???-0;"",""????0;"", ////"""),"'","""")&amp;SUBSTITUTE(TEXT(Overig!U1059,""",""?00;"",""?-00;"",""?00;"", //"""),"'","""")&amp;SUBSTITUTE(TEXT(Overig!V1059,""",""???0;"",""??-0;"",""???0;"", ///"""),"'","""")&amp;SUBSTITUTE(TEXT(Overig!W1059,""",""?00;"",""?-00;"",""?00;"", //"""),"'","""")</f>
        <v>032, 19400921, 12.00, 7595, 00,  281, 00, ////, 07, ////, 07,  79, 00,  226, 00,  252, 00,  115, 00,    3, 00,   5, 00</v>
      </c>
    </row>
    <row r="1060" spans="1:1" x14ac:dyDescent="0.25">
      <c r="A1060" s="12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//"""),"'","""")&amp;SUBSTITUTE(TEXT(IF(ISTEXT(Overig!J1060),Overig!J1060,10*Overig!J1060),""",""????0;"",""???-0;"",""????0;"", ////"""),"'","""")&amp;SUBSTITUTE(TEXT(Overig!K1060,""",""?00;"",""?-00;"",""?00;"", //"""),"'","""")&amp;SUBSTITUTE(TEXT(Overig!L1060,""",""???0;"",""??-0;"",""???0;"", ///"""),"'","""")&amp;SUBSTITUTE(TEXT(Overig!M1060,""",""?00;"",""?-00;"",""?00;"", //"""),"'","""")&amp;SUBSTITUTE(TEXT(IF(ISTEXT(Overig!N1060),Overig!N1060,10*Overig!N1060),""",""????0;"",""???-0;"",""????0;"", ////"""),"'","""")&amp;SUBSTITUTE(TEXT(Overig!O1060,""",""?00;"",""?-00;"",""?00;"", //"""),"'","""")&amp;SUBSTITUTE(TEXT(IF(ISTEXT(Overig!P1060),Overig!P1060,10*Overig!P1060),""",""????0;"",""???-0;"",""????0;"", ////"""),"'","""")&amp;SUBSTITUTE(TEXT(Overig!Q1060,""",""?00;"",""?-00;"",""?00;"", //"""),"'","""")&amp;SUBSTITUTE(TEXT(Overig!R1060,""",""????0;"",""???-0;"",""????0;"", ////"""),"'","""")&amp;SUBSTITUTE(TEXT(Overig!S1060,""",""?00;"",""?-00;"",""?00;"", //"""),"'","""")&amp;SUBSTITUTE(TEXT(IF(ISTEXT(Overig!T1060),Overig!T1060,10*Overig!T1060),""",""????0;"",""???-0;"",""????0;"", ////"""),"'","""")&amp;SUBSTITUTE(TEXT(Overig!U1060,""",""?00;"",""?-00;"",""?00;"", //"""),"'","""")&amp;SUBSTITUTE(TEXT(Overig!V1060,""",""???0;"",""??-0;"",""???0;"", ///"""),"'","""")&amp;SUBSTITUTE(TEXT(Overig!W1060,""",""?00;"",""?-00;"",""?00;"", //"""),"'","""")</f>
        <v>032, 19400921, 17.00, 7587, 00,  273, 00, ////, 07, ////, 07,  82, 00,  222, 00,  248, 00,  115, 00,    3, 00,   5, 00</v>
      </c>
    </row>
    <row r="1061" spans="1:1" x14ac:dyDescent="0.25">
      <c r="A1061" s="12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//"""),"'","""")&amp;SUBSTITUTE(TEXT(IF(ISTEXT(Overig!J1061),Overig!J1061,10*Overig!J1061),""",""????0;"",""???-0;"",""????0;"", ////"""),"'","""")&amp;SUBSTITUTE(TEXT(Overig!K1061,""",""?00;"",""?-00;"",""?00;"", //"""),"'","""")&amp;SUBSTITUTE(TEXT(Overig!L1061,""",""???0;"",""??-0;"",""???0;"", ///"""),"'","""")&amp;SUBSTITUTE(TEXT(Overig!M1061,""",""?00;"",""?-00;"",""?00;"", //"""),"'","""")&amp;SUBSTITUTE(TEXT(IF(ISTEXT(Overig!N1061),Overig!N1061,10*Overig!N1061),""",""????0;"",""???-0;"",""????0;"", ////"""),"'","""")&amp;SUBSTITUTE(TEXT(Overig!O1061,""",""?00;"",""?-00;"",""?00;"", //"""),"'","""")&amp;SUBSTITUTE(TEXT(IF(ISTEXT(Overig!P1061),Overig!P1061,10*Overig!P1061),""",""????0;"",""???-0;"",""????0;"", ////"""),"'","""")&amp;SUBSTITUTE(TEXT(Overig!Q1061,""",""?00;"",""?-00;"",""?00;"", //"""),"'","""")&amp;SUBSTITUTE(TEXT(Overig!R1061,""",""????0;"",""???-0;"",""????0;"", ////"""),"'","""")&amp;SUBSTITUTE(TEXT(Overig!S1061,""",""?00;"",""?-00;"",""?00;"", //"""),"'","""")&amp;SUBSTITUTE(TEXT(IF(ISTEXT(Overig!T1061),Overig!T1061,10*Overig!T1061),""",""????0;"",""???-0;"",""????0;"", ////"""),"'","""")&amp;SUBSTITUTE(TEXT(Overig!U1061,""",""?00;"",""?-00;"",""?00;"", //"""),"'","""")&amp;SUBSTITUTE(TEXT(Overig!V1061,""",""???0;"",""??-0;"",""???0;"", ///"""),"'","""")&amp;SUBSTITUTE(TEXT(Overig!W1061,""",""?00;"",""?-00;"",""?00;"", //"""),"'","""")</f>
        <v>032, 19400921, 24.00, ////, 07, ////, 07,  290, 00,  304, 00, ///, 07, ////, 07, ////, 07, ////, 07, ////, 07, ///, 07</v>
      </c>
    </row>
    <row r="1062" spans="1:1" x14ac:dyDescent="0.25">
      <c r="A1062" s="12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//"""),"'","""")&amp;SUBSTITUTE(TEXT(IF(ISTEXT(Overig!J1062),Overig!J1062,10*Overig!J1062),""",""????0;"",""???-0;"",""????0;"", ////"""),"'","""")&amp;SUBSTITUTE(TEXT(Overig!K1062,""",""?00;"",""?-00;"",""?00;"", //"""),"'","""")&amp;SUBSTITUTE(TEXT(Overig!L1062,""",""???0;"",""??-0;"",""???0;"", ///"""),"'","""")&amp;SUBSTITUTE(TEXT(Overig!M1062,""",""?00;"",""?-00;"",""?00;"", //"""),"'","""")&amp;SUBSTITUTE(TEXT(IF(ISTEXT(Overig!N1062),Overig!N1062,10*Overig!N1062),""",""????0;"",""???-0;"",""????0;"", ////"""),"'","""")&amp;SUBSTITUTE(TEXT(Overig!O1062,""",""?00;"",""?-00;"",""?00;"", //"""),"'","""")&amp;SUBSTITUTE(TEXT(IF(ISTEXT(Overig!P1062),Overig!P1062,10*Overig!P1062),""",""????0;"",""???-0;"",""????0;"", ////"""),"'","""")&amp;SUBSTITUTE(TEXT(Overig!Q1062,""",""?00;"",""?-00;"",""?00;"", //"""),"'","""")&amp;SUBSTITUTE(TEXT(Overig!R1062,""",""????0;"",""???-0;"",""????0;"", ////"""),"'","""")&amp;SUBSTITUTE(TEXT(Overig!S1062,""",""?00;"",""?-00;"",""?00;"", //"""),"'","""")&amp;SUBSTITUTE(TEXT(IF(ISTEXT(Overig!T1062),Overig!T1062,10*Overig!T1062),""",""????0;"",""???-0;"",""????0;"", ////"""),"'","""")&amp;SUBSTITUTE(TEXT(Overig!U1062,""",""?00;"",""?-00;"",""?00;"", //"""),"'","""")&amp;SUBSTITUTE(TEXT(Overig!V1062,""",""???0;"",""??-0;"",""???0;"", ///"""),"'","""")&amp;SUBSTITUTE(TEXT(Overig!W1062,""",""?00;"",""?-00;"",""?00;"", //"""),"'","""")</f>
        <v>032, 19400922, 07.00, 7595, 00,  275, 00, ////, 07, ////, 07,  83, 00,  229, 00,  252, 00,   90, 00,    3, 00,   5, 00</v>
      </c>
    </row>
    <row r="1063" spans="1:1" x14ac:dyDescent="0.25">
      <c r="A1063" s="12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//"""),"'","""")&amp;SUBSTITUTE(TEXT(IF(ISTEXT(Overig!J1063),Overig!J1063,10*Overig!J1063),""",""????0;"",""???-0;"",""????0;"", ////"""),"'","""")&amp;SUBSTITUTE(TEXT(Overig!K1063,""",""?00;"",""?-00;"",""?00;"", //"""),"'","""")&amp;SUBSTITUTE(TEXT(Overig!L1063,""",""???0;"",""??-0;"",""???0;"", ///"""),"'","""")&amp;SUBSTITUTE(TEXT(Overig!M1063,""",""?00;"",""?-00;"",""?00;"", //"""),"'","""")&amp;SUBSTITUTE(TEXT(IF(ISTEXT(Overig!N1063),Overig!N1063,10*Overig!N1063),""",""????0;"",""???-0;"",""????0;"", ////"""),"'","""")&amp;SUBSTITUTE(TEXT(Overig!O1063,""",""?00;"",""?-00;"",""?00;"", //"""),"'","""")&amp;SUBSTITUTE(TEXT(IF(ISTEXT(Overig!P1063),Overig!P1063,10*Overig!P1063),""",""????0;"",""???-0;"",""????0;"", ////"""),"'","""")&amp;SUBSTITUTE(TEXT(Overig!Q1063,""",""?00;"",""?-00;"",""?00;"", //"""),"'","""")&amp;SUBSTITUTE(TEXT(Overig!R1063,""",""????0;"",""???-0;"",""????0;"", ////"""),"'","""")&amp;SUBSTITUTE(TEXT(Overig!S1063,""",""?00;"",""?-00;"",""?00;"", //"""),"'","""")&amp;SUBSTITUTE(TEXT(IF(ISTEXT(Overig!T1063),Overig!T1063,10*Overig!T1063),""",""????0;"",""???-0;"",""????0;"", ////"""),"'","""")&amp;SUBSTITUTE(TEXT(Overig!U1063,""",""?00;"",""?-00;"",""?00;"", //"""),"'","""")&amp;SUBSTITUTE(TEXT(Overig!V1063,""",""???0;"",""??-0;"",""???0;"", ///"""),"'","""")&amp;SUBSTITUTE(TEXT(Overig!W1063,""",""?00;"",""?-00;"",""?00;"", //"""),"'","""")</f>
        <v>032, 19400922, 12.00, 7600, 00,  281, 00, ////, 07, ////, 07,  83, 00,  238, 00,  258, 00,   90, 00,    3, 00,   6, 00</v>
      </c>
    </row>
    <row r="1064" spans="1:1" x14ac:dyDescent="0.25">
      <c r="A1064" s="12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//"""),"'","""")&amp;SUBSTITUTE(TEXT(IF(ISTEXT(Overig!J1064),Overig!J1064,10*Overig!J1064),""",""????0;"",""???-0;"",""????0;"", ////"""),"'","""")&amp;SUBSTITUTE(TEXT(Overig!K1064,""",""?00;"",""?-00;"",""?00;"", //"""),"'","""")&amp;SUBSTITUTE(TEXT(Overig!L1064,""",""???0;"",""??-0;"",""???0;"", ///"""),"'","""")&amp;SUBSTITUTE(TEXT(Overig!M1064,""",""?00;"",""?-00;"",""?00;"", //"""),"'","""")&amp;SUBSTITUTE(TEXT(IF(ISTEXT(Overig!N1064),Overig!N1064,10*Overig!N1064),""",""????0;"",""???-0;"",""????0;"", ////"""),"'","""")&amp;SUBSTITUTE(TEXT(Overig!O1064,""",""?00;"",""?-00;"",""?00;"", //"""),"'","""")&amp;SUBSTITUTE(TEXT(IF(ISTEXT(Overig!P1064),Overig!P1064,10*Overig!P1064),""",""????0;"",""???-0;"",""????0;"", ////"""),"'","""")&amp;SUBSTITUTE(TEXT(Overig!Q1064,""",""?00;"",""?-00;"",""?00;"", //"""),"'","""")&amp;SUBSTITUTE(TEXT(Overig!R1064,""",""????0;"",""???-0;"",""????0;"", ////"""),"'","""")&amp;SUBSTITUTE(TEXT(Overig!S1064,""",""?00;"",""?-00;"",""?00;"", //"""),"'","""")&amp;SUBSTITUTE(TEXT(IF(ISTEXT(Overig!T1064),Overig!T1064,10*Overig!T1064),""",""????0;"",""???-0;"",""????0;"", ////"""),"'","""")&amp;SUBSTITUTE(TEXT(Overig!U1064,""",""?00;"",""?-00;"",""?00;"", //"""),"'","""")&amp;SUBSTITUTE(TEXT(Overig!V1064,""",""???0;"",""??-0;"",""???0;"", ///"""),"'","""")&amp;SUBSTITUTE(TEXT(Overig!W1064,""",""?00;"",""?-00;"",""?00;"", //"""),"'","""")</f>
        <v>032, 19400922, 17.00, 7564, 00,  271, 00, ////, 07, ////, 07,  86, 00,  231, 00,  252, 00,   90, 00,    3, 00,   6, 00</v>
      </c>
    </row>
    <row r="1065" spans="1:1" x14ac:dyDescent="0.25">
      <c r="A1065" s="12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//"""),"'","""")&amp;SUBSTITUTE(TEXT(IF(ISTEXT(Overig!J1065),Overig!J1065,10*Overig!J1065),""",""????0;"",""???-0;"",""????0;"", ////"""),"'","""")&amp;SUBSTITUTE(TEXT(Overig!K1065,""",""?00;"",""?-00;"",""?00;"", //"""),"'","""")&amp;SUBSTITUTE(TEXT(Overig!L1065,""",""???0;"",""??-0;"",""???0;"", ///"""),"'","""")&amp;SUBSTITUTE(TEXT(Overig!M1065,""",""?00;"",""?-00;"",""?00;"", //"""),"'","""")&amp;SUBSTITUTE(TEXT(IF(ISTEXT(Overig!N1065),Overig!N1065,10*Overig!N1065),""",""????0;"",""???-0;"",""????0;"", ////"""),"'","""")&amp;SUBSTITUTE(TEXT(Overig!O1065,""",""?00;"",""?-00;"",""?00;"", //"""),"'","""")&amp;SUBSTITUTE(TEXT(IF(ISTEXT(Overig!P1065),Overig!P1065,10*Overig!P1065),""",""????0;"",""???-0;"",""????0;"", ////"""),"'","""")&amp;SUBSTITUTE(TEXT(Overig!Q1065,""",""?00;"",""?-00;"",""?00;"", //"""),"'","""")&amp;SUBSTITUTE(TEXT(Overig!R1065,""",""????0;"",""???-0;"",""????0;"", ////"""),"'","""")&amp;SUBSTITUTE(TEXT(Overig!S1065,""",""?00;"",""?-00;"",""?00;"", //"""),"'","""")&amp;SUBSTITUTE(TEXT(IF(ISTEXT(Overig!T1065),Overig!T1065,10*Overig!T1065),""",""????0;"",""???-0;"",""????0;"", ////"""),"'","""")&amp;SUBSTITUTE(TEXT(Overig!U1065,""",""?00;"",""?-00;"",""?00;"", //"""),"'","""")&amp;SUBSTITUTE(TEXT(Overig!V1065,""",""???0;"",""??-0;"",""???0;"", ///"""),"'","""")&amp;SUBSTITUTE(TEXT(Overig!W1065,""",""?00;"",""?-00;"",""?00;"", //"""),"'","""")</f>
        <v>032, 19400922, 24.00, ////, 07, ////, 07,  287, 00,  300, 00, ///, 07, ////, 07, ////, 07, ////, 07, ////, 07, ///, 07</v>
      </c>
    </row>
    <row r="1066" spans="1:1" x14ac:dyDescent="0.25">
      <c r="A1066" s="12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//"""),"'","""")&amp;SUBSTITUTE(TEXT(IF(ISTEXT(Overig!J1066),Overig!J1066,10*Overig!J1066),""",""????0;"",""???-0;"",""????0;"", ////"""),"'","""")&amp;SUBSTITUTE(TEXT(Overig!K1066,""",""?00;"",""?-00;"",""?00;"", //"""),"'","""")&amp;SUBSTITUTE(TEXT(Overig!L1066,""",""???0;"",""??-0;"",""???0;"", ///"""),"'","""")&amp;SUBSTITUTE(TEXT(Overig!M1066,""",""?00;"",""?-00;"",""?00;"", //"""),"'","""")&amp;SUBSTITUTE(TEXT(IF(ISTEXT(Overig!N1066),Overig!N1066,10*Overig!N1066),""",""????0;"",""???-0;"",""????0;"", ////"""),"'","""")&amp;SUBSTITUTE(TEXT(Overig!O1066,""",""?00;"",""?-00;"",""?00;"", //"""),"'","""")&amp;SUBSTITUTE(TEXT(IF(ISTEXT(Overig!P1066),Overig!P1066,10*Overig!P1066),""",""????0;"",""???-0;"",""????0;"", ////"""),"'","""")&amp;SUBSTITUTE(TEXT(Overig!Q1066,""",""?00;"",""?-00;"",""?00;"", //"""),"'","""")&amp;SUBSTITUTE(TEXT(Overig!R1066,""",""????0;"",""???-0;"",""????0;"", ////"""),"'","""")&amp;SUBSTITUTE(TEXT(Overig!S1066,""",""?00;"",""?-00;"",""?00;"", //"""),"'","""")&amp;SUBSTITUTE(TEXT(IF(ISTEXT(Overig!T1066),Overig!T1066,10*Overig!T1066),""",""????0;"",""???-0;"",""????0;"", ////"""),"'","""")&amp;SUBSTITUTE(TEXT(Overig!U1066,""",""?00;"",""?-00;"",""?00;"", //"""),"'","""")&amp;SUBSTITUTE(TEXT(Overig!V1066,""",""???0;"",""??-0;"",""???0;"", ///"""),"'","""")&amp;SUBSTITUTE(TEXT(Overig!W1066,""",""?00;"",""?-00;"",""?00;"", //"""),"'","""")</f>
        <v>032, 19400923, 07.00, 7592, 00,  277, 00, ////, 07, ////, 07,  86, 00,  240, 00,  258, 00,   90, 00,    3, 00,   4, 00</v>
      </c>
    </row>
    <row r="1067" spans="1:1" x14ac:dyDescent="0.25">
      <c r="A1067" s="12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//"""),"'","""")&amp;SUBSTITUTE(TEXT(IF(ISTEXT(Overig!J1067),Overig!J1067,10*Overig!J1067),""",""????0;"",""???-0;"",""????0;"", ////"""),"'","""")&amp;SUBSTITUTE(TEXT(Overig!K1067,""",""?00;"",""?-00;"",""?00;"", //"""),"'","""")&amp;SUBSTITUTE(TEXT(Overig!L1067,""",""???0;"",""??-0;"",""???0;"", ///"""),"'","""")&amp;SUBSTITUTE(TEXT(Overig!M1067,""",""?00;"",""?-00;"",""?00;"", //"""),"'","""")&amp;SUBSTITUTE(TEXT(IF(ISTEXT(Overig!N1067),Overig!N1067,10*Overig!N1067),""",""????0;"",""???-0;"",""????0;"", ////"""),"'","""")&amp;SUBSTITUTE(TEXT(Overig!O1067,""",""?00;"",""?-00;"",""?00;"", //"""),"'","""")&amp;SUBSTITUTE(TEXT(IF(ISTEXT(Overig!P1067),Overig!P1067,10*Overig!P1067),""",""????0;"",""???-0;"",""????0;"", ////"""),"'","""")&amp;SUBSTITUTE(TEXT(Overig!Q1067,""",""?00;"",""?-00;"",""?00;"", //"""),"'","""")&amp;SUBSTITUTE(TEXT(Overig!R1067,""",""????0;"",""???-0;"",""????0;"", ////"""),"'","""")&amp;SUBSTITUTE(TEXT(Overig!S1067,""",""?00;"",""?-00;"",""?00;"", //"""),"'","""")&amp;SUBSTITUTE(TEXT(IF(ISTEXT(Overig!T1067),Overig!T1067,10*Overig!T1067),""",""????0;"",""???-0;"",""????0;"", ////"""),"'","""")&amp;SUBSTITUTE(TEXT(Overig!U1067,""",""?00;"",""?-00;"",""?00;"", //"""),"'","""")&amp;SUBSTITUTE(TEXT(Overig!V1067,""",""???0;"",""??-0;"",""???0;"", ///"""),"'","""")&amp;SUBSTITUTE(TEXT(Overig!W1067,""",""?00;"",""?-00;"",""?00;"", //"""),"'","""")</f>
        <v>032, 19400923, 12.00, 7600, 00,  281, 00, ////, 07, ////, 07,  88, 00,  250, 00,  264, 00,   90, 00,    4, 00,   5, 00</v>
      </c>
    </row>
    <row r="1068" spans="1:1" x14ac:dyDescent="0.25">
      <c r="A1068" s="12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//"""),"'","""")&amp;SUBSTITUTE(TEXT(IF(ISTEXT(Overig!J1068),Overig!J1068,10*Overig!J1068),""",""????0;"",""???-0;"",""????0;"", ////"""),"'","""")&amp;SUBSTITUTE(TEXT(Overig!K1068,""",""?00;"",""?-00;"",""?00;"", //"""),"'","""")&amp;SUBSTITUTE(TEXT(Overig!L1068,""",""???0;"",""??-0;"",""???0;"", ///"""),"'","""")&amp;SUBSTITUTE(TEXT(Overig!M1068,""",""?00;"",""?-00;"",""?00;"", //"""),"'","""")&amp;SUBSTITUTE(TEXT(IF(ISTEXT(Overig!N1068),Overig!N1068,10*Overig!N1068),""",""????0;"",""???-0;"",""????0;"", ////"""),"'","""")&amp;SUBSTITUTE(TEXT(Overig!O1068,""",""?00;"",""?-00;"",""?00;"", //"""),"'","""")&amp;SUBSTITUTE(TEXT(IF(ISTEXT(Overig!P1068),Overig!P1068,10*Overig!P1068),""",""????0;"",""???-0;"",""????0;"", ////"""),"'","""")&amp;SUBSTITUTE(TEXT(Overig!Q1068,""",""?00;"",""?-00;"",""?00;"", //"""),"'","""")&amp;SUBSTITUTE(TEXT(Overig!R1068,""",""????0;"",""???-0;"",""????0;"", ////"""),"'","""")&amp;SUBSTITUTE(TEXT(Overig!S1068,""",""?00;"",""?-00;"",""?00;"", //"""),"'","""")&amp;SUBSTITUTE(TEXT(IF(ISTEXT(Overig!T1068),Overig!T1068,10*Overig!T1068),""",""????0;"",""???-0;"",""????0;"", ////"""),"'","""")&amp;SUBSTITUTE(TEXT(Overig!U1068,""",""?00;"",""?-00;"",""?00;"", //"""),"'","""")&amp;SUBSTITUTE(TEXT(Overig!V1068,""",""???0;"",""??-0;"",""???0;"", ///"""),"'","""")&amp;SUBSTITUTE(TEXT(Overig!W1068,""",""?00;"",""?-00;"",""?00;"", //"""),"'","""")</f>
        <v>032, 19400923, 17.00, 7587, 00,  279, 00, ////, 07, ////, 07,  86, 00,  243, 00,  260, 00,   90, 00,    4, 00,   4, 00</v>
      </c>
    </row>
    <row r="1069" spans="1:1" x14ac:dyDescent="0.25">
      <c r="A1069" s="12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//"""),"'","""")&amp;SUBSTITUTE(TEXT(IF(ISTEXT(Overig!J1069),Overig!J1069,10*Overig!J1069),""",""????0;"",""???-0;"",""????0;"", ////"""),"'","""")&amp;SUBSTITUTE(TEXT(Overig!K1069,""",""?00;"",""?-00;"",""?00;"", //"""),"'","""")&amp;SUBSTITUTE(TEXT(Overig!L1069,""",""???0;"",""??-0;"",""???0;"", ///"""),"'","""")&amp;SUBSTITUTE(TEXT(Overig!M1069,""",""?00;"",""?-00;"",""?00;"", //"""),"'","""")&amp;SUBSTITUTE(TEXT(IF(ISTEXT(Overig!N1069),Overig!N1069,10*Overig!N1069),""",""????0;"",""???-0;"",""????0;"", ////"""),"'","""")&amp;SUBSTITUTE(TEXT(Overig!O1069,""",""?00;"",""?-00;"",""?00;"", //"""),"'","""")&amp;SUBSTITUTE(TEXT(IF(ISTEXT(Overig!P1069),Overig!P1069,10*Overig!P1069),""",""????0;"",""???-0;"",""????0;"", ////"""),"'","""")&amp;SUBSTITUTE(TEXT(Overig!Q1069,""",""?00;"",""?-00;"",""?00;"", //"""),"'","""")&amp;SUBSTITUTE(TEXT(Overig!R1069,""",""????0;"",""???-0;"",""????0;"", ////"""),"'","""")&amp;SUBSTITUTE(TEXT(Overig!S1069,""",""?00;"",""?-00;"",""?00;"", //"""),"'","""")&amp;SUBSTITUTE(TEXT(IF(ISTEXT(Overig!T1069),Overig!T1069,10*Overig!T1069),""",""????0;"",""???-0;"",""????0;"", ////"""),"'","""")&amp;SUBSTITUTE(TEXT(Overig!U1069,""",""?00;"",""?-00;"",""?00;"", //"""),"'","""")&amp;SUBSTITUTE(TEXT(Overig!V1069,""",""???0;"",""??-0;"",""???0;"", ///"""),"'","""")&amp;SUBSTITUTE(TEXT(Overig!W1069,""",""?00;"",""?-00;"",""?00;"", //"""),"'","""")</f>
        <v>032, 19400923, 24.00, ////, 07, ////, 07,  284, 00,  306, 00, ///, 07, ////, 07, ////, 07, ////, 07, ////, 07, ///, 07</v>
      </c>
    </row>
    <row r="1070" spans="1:1" x14ac:dyDescent="0.25">
      <c r="A1070" s="12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//"""),"'","""")&amp;SUBSTITUTE(TEXT(IF(ISTEXT(Overig!J1070),Overig!J1070,10*Overig!J1070),""",""????0;"",""???-0;"",""????0;"", ////"""),"'","""")&amp;SUBSTITUTE(TEXT(Overig!K1070,""",""?00;"",""?-00;"",""?00;"", //"""),"'","""")&amp;SUBSTITUTE(TEXT(Overig!L1070,""",""???0;"",""??-0;"",""???0;"", ///"""),"'","""")&amp;SUBSTITUTE(TEXT(Overig!M1070,""",""?00;"",""?-00;"",""?00;"", //"""),"'","""")&amp;SUBSTITUTE(TEXT(IF(ISTEXT(Overig!N1070),Overig!N1070,10*Overig!N1070),""",""????0;"",""???-0;"",""????0;"", ////"""),"'","""")&amp;SUBSTITUTE(TEXT(Overig!O1070,""",""?00;"",""?-00;"",""?00;"", //"""),"'","""")&amp;SUBSTITUTE(TEXT(IF(ISTEXT(Overig!P1070),Overig!P1070,10*Overig!P1070),""",""????0;"",""???-0;"",""????0;"", ////"""),"'","""")&amp;SUBSTITUTE(TEXT(Overig!Q1070,""",""?00;"",""?-00;"",""?00;"", //"""),"'","""")&amp;SUBSTITUTE(TEXT(Overig!R1070,""",""????0;"",""???-0;"",""????0;"", ////"""),"'","""")&amp;SUBSTITUTE(TEXT(Overig!S1070,""",""?00;"",""?-00;"",""?00;"", //"""),"'","""")&amp;SUBSTITUTE(TEXT(IF(ISTEXT(Overig!T1070),Overig!T1070,10*Overig!T1070),""",""????0;"",""???-0;"",""????0;"", ////"""),"'","""")&amp;SUBSTITUTE(TEXT(Overig!U1070,""",""?00;"",""?-00;"",""?00;"", //"""),"'","""")&amp;SUBSTITUTE(TEXT(Overig!V1070,""",""???0;"",""??-0;"",""???0;"", ///"""),"'","""")&amp;SUBSTITUTE(TEXT(Overig!W1070,""",""?00;"",""?-00;"",""?00;"", //"""),"'","""")</f>
        <v>032, 19400924, 07.00, 7595, 00,  277, 00, ////, 07, ////, 07,  87, 00,  244, 00,  260, 00,   65, 00,    3, 00,   4, 00</v>
      </c>
    </row>
    <row r="1071" spans="1:1" x14ac:dyDescent="0.25">
      <c r="A1071" s="12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//"""),"'","""")&amp;SUBSTITUTE(TEXT(IF(ISTEXT(Overig!J1071),Overig!J1071,10*Overig!J1071),""",""????0;"",""???-0;"",""????0;"", ////"""),"'","""")&amp;SUBSTITUTE(TEXT(Overig!K1071,""",""?00;"",""?-00;"",""?00;"", //"""),"'","""")&amp;SUBSTITUTE(TEXT(Overig!L1071,""",""???0;"",""??-0;"",""???0;"", ///"""),"'","""")&amp;SUBSTITUTE(TEXT(Overig!M1071,""",""?00;"",""?-00;"",""?00;"", //"""),"'","""")&amp;SUBSTITUTE(TEXT(IF(ISTEXT(Overig!N1071),Overig!N1071,10*Overig!N1071),""",""????0;"",""???-0;"",""????0;"", ////"""),"'","""")&amp;SUBSTITUTE(TEXT(Overig!O1071,""",""?00;"",""?-00;"",""?00;"", //"""),"'","""")&amp;SUBSTITUTE(TEXT(IF(ISTEXT(Overig!P1071),Overig!P1071,10*Overig!P1071),""",""????0;"",""???-0;"",""????0;"", ////"""),"'","""")&amp;SUBSTITUTE(TEXT(Overig!Q1071,""",""?00;"",""?-00;"",""?00;"", //"""),"'","""")&amp;SUBSTITUTE(TEXT(Overig!R1071,""",""????0;"",""???-0;"",""????0;"", ////"""),"'","""")&amp;SUBSTITUTE(TEXT(Overig!S1071,""",""?00;"",""?-00;"",""?00;"", //"""),"'","""")&amp;SUBSTITUTE(TEXT(IF(ISTEXT(Overig!T1071),Overig!T1071,10*Overig!T1071),""",""????0;"",""???-0;"",""????0;"", ////"""),"'","""")&amp;SUBSTITUTE(TEXT(Overig!U1071,""",""?00;"",""?-00;"",""?00;"", //"""),"'","""")&amp;SUBSTITUTE(TEXT(Overig!V1071,""",""???0;"",""??-0;"",""???0;"", ///"""),"'","""")&amp;SUBSTITUTE(TEXT(Overig!W1071,""",""?00;"",""?-00;"",""?00;"", //"""),"'","""")</f>
        <v>032, 19400924, 12.00, 7577, 00,  279, 00, ////, 07, ////, 07,  88, 00,  247, 00,  262, 00,   90, 00,    4, 00,   5, 00</v>
      </c>
    </row>
    <row r="1072" spans="1:1" x14ac:dyDescent="0.25">
      <c r="A1072" s="12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//"""),"'","""")&amp;SUBSTITUTE(TEXT(IF(ISTEXT(Overig!J1072),Overig!J1072,10*Overig!J1072),""",""????0;"",""???-0;"",""????0;"", ////"""),"'","""")&amp;SUBSTITUTE(TEXT(Overig!K1072,""",""?00;"",""?-00;"",""?00;"", //"""),"'","""")&amp;SUBSTITUTE(TEXT(Overig!L1072,""",""???0;"",""??-0;"",""???0;"", ///"""),"'","""")&amp;SUBSTITUTE(TEXT(Overig!M1072,""",""?00;"",""?-00;"",""?00;"", //"""),"'","""")&amp;SUBSTITUTE(TEXT(IF(ISTEXT(Overig!N1072),Overig!N1072,10*Overig!N1072),""",""????0;"",""???-0;"",""????0;"", ////"""),"'","""")&amp;SUBSTITUTE(TEXT(Overig!O1072,""",""?00;"",""?-00;"",""?00;"", //"""),"'","""")&amp;SUBSTITUTE(TEXT(IF(ISTEXT(Overig!P1072),Overig!P1072,10*Overig!P1072),""",""????0;"",""???-0;"",""????0;"", ////"""),"'","""")&amp;SUBSTITUTE(TEXT(Overig!Q1072,""",""?00;"",""?-00;"",""?00;"", //"""),"'","""")&amp;SUBSTITUTE(TEXT(Overig!R1072,""",""????0;"",""???-0;"",""????0;"", ////"""),"'","""")&amp;SUBSTITUTE(TEXT(Overig!S1072,""",""?00;"",""?-00;"",""?00;"", //"""),"'","""")&amp;SUBSTITUTE(TEXT(IF(ISTEXT(Overig!T1072),Overig!T1072,10*Overig!T1072),""",""????0;"",""???-0;"",""????0;"", ////"""),"'","""")&amp;SUBSTITUTE(TEXT(Overig!U1072,""",""?00;"",""?-00;"",""?00;"", //"""),"'","""")&amp;SUBSTITUTE(TEXT(Overig!V1072,""",""???0;"",""??-0;"",""???0;"", ///"""),"'","""")&amp;SUBSTITUTE(TEXT(Overig!W1072,""",""?00;"",""?-00;"",""?00;"", //"""),"'","""")</f>
        <v>032, 19400924, 17.00, 7597, 00,  279, 00, ////, 07, ////, 07,  88, 00,  247, 00,  262, 00,  115, 00,    4, 00,   5, 00</v>
      </c>
    </row>
    <row r="1073" spans="1:1" x14ac:dyDescent="0.25">
      <c r="A1073" s="12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//"""),"'","""")&amp;SUBSTITUTE(TEXT(IF(ISTEXT(Overig!J1073),Overig!J1073,10*Overig!J1073),""",""????0;"",""???-0;"",""????0;"", ////"""),"'","""")&amp;SUBSTITUTE(TEXT(Overig!K1073,""",""?00;"",""?-00;"",""?00;"", //"""),"'","""")&amp;SUBSTITUTE(TEXT(Overig!L1073,""",""???0;"",""??-0;"",""???0;"", ///"""),"'","""")&amp;SUBSTITUTE(TEXT(Overig!M1073,""",""?00;"",""?-00;"",""?00;"", //"""),"'","""")&amp;SUBSTITUTE(TEXT(IF(ISTEXT(Overig!N1073),Overig!N1073,10*Overig!N1073),""",""????0;"",""???-0;"",""????0;"", ////"""),"'","""")&amp;SUBSTITUTE(TEXT(Overig!O1073,""",""?00;"",""?-00;"",""?00;"", //"""),"'","""")&amp;SUBSTITUTE(TEXT(IF(ISTEXT(Overig!P1073),Overig!P1073,10*Overig!P1073),""",""????0;"",""???-0;"",""????0;"", ////"""),"'","""")&amp;SUBSTITUTE(TEXT(Overig!Q1073,""",""?00;"",""?-00;"",""?00;"", //"""),"'","""")&amp;SUBSTITUTE(TEXT(Overig!R1073,""",""????0;"",""???-0;"",""????0;"", ////"""),"'","""")&amp;SUBSTITUTE(TEXT(Overig!S1073,""",""?00;"",""?-00;"",""?00;"", //"""),"'","""")&amp;SUBSTITUTE(TEXT(IF(ISTEXT(Overig!T1073),Overig!T1073,10*Overig!T1073),""",""????0;"",""???-0;"",""????0;"", ////"""),"'","""")&amp;SUBSTITUTE(TEXT(Overig!U1073,""",""?00;"",""?-00;"",""?00;"", //"""),"'","""")&amp;SUBSTITUTE(TEXT(Overig!V1073,""",""???0;"",""??-0;"",""???0;"", ///"""),"'","""")&amp;SUBSTITUTE(TEXT(Overig!W1073,""",""?00;"",""?-00;"",""?00;"", //"""),"'","""")</f>
        <v>032, 19400924, 24.00, ////, 07, ////, 07,  290, 00,  304, 00, ///, 07, ////, 07, ////, 07, ////, 07, ////, 07, ///, 07</v>
      </c>
    </row>
    <row r="1074" spans="1:1" x14ac:dyDescent="0.25">
      <c r="A1074" s="12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//"""),"'","""")&amp;SUBSTITUTE(TEXT(IF(ISTEXT(Overig!J1074),Overig!J1074,10*Overig!J1074),""",""????0;"",""???-0;"",""????0;"", ////"""),"'","""")&amp;SUBSTITUTE(TEXT(Overig!K1074,""",""?00;"",""?-00;"",""?00;"", //"""),"'","""")&amp;SUBSTITUTE(TEXT(Overig!L1074,""",""???0;"",""??-0;"",""???0;"", ///"""),"'","""")&amp;SUBSTITUTE(TEXT(Overig!M1074,""",""?00;"",""?-00;"",""?00;"", //"""),"'","""")&amp;SUBSTITUTE(TEXT(IF(ISTEXT(Overig!N1074),Overig!N1074,10*Overig!N1074),""",""????0;"",""???-0;"",""????0;"", ////"""),"'","""")&amp;SUBSTITUTE(TEXT(Overig!O1074,""",""?00;"",""?-00;"",""?00;"", //"""),"'","""")&amp;SUBSTITUTE(TEXT(IF(ISTEXT(Overig!P1074),Overig!P1074,10*Overig!P1074),""",""????0;"",""???-0;"",""????0;"", ////"""),"'","""")&amp;SUBSTITUTE(TEXT(Overig!Q1074,""",""?00;"",""?-00;"",""?00;"", //"""),"'","""")&amp;SUBSTITUTE(TEXT(Overig!R1074,""",""????0;"",""???-0;"",""????0;"", ////"""),"'","""")&amp;SUBSTITUTE(TEXT(Overig!S1074,""",""?00;"",""?-00;"",""?00;"", //"""),"'","""")&amp;SUBSTITUTE(TEXT(IF(ISTEXT(Overig!T1074),Overig!T1074,10*Overig!T1074),""",""????0;"",""???-0;"",""????0;"", ////"""),"'","""")&amp;SUBSTITUTE(TEXT(Overig!U1074,""",""?00;"",""?-00;"",""?00;"", //"""),"'","""")&amp;SUBSTITUTE(TEXT(Overig!V1074,""",""???0;"",""??-0;"",""???0;"", ///"""),"'","""")&amp;SUBSTITUTE(TEXT(Overig!W1074,""",""?00;"",""?-00;"",""?00;"", //"""),"'","""")</f>
        <v>032, 19400925, 07.00, 7587, 00,  293, 00, ////, 07, ////, 07,  76, 00,  232, 00,  258, 00,   65, 00,    4, 00,   3, 00</v>
      </c>
    </row>
    <row r="1075" spans="1:1" x14ac:dyDescent="0.25">
      <c r="A1075" s="12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//"""),"'","""")&amp;SUBSTITUTE(TEXT(IF(ISTEXT(Overig!J1075),Overig!J1075,10*Overig!J1075),""",""????0;"",""???-0;"",""????0;"", ////"""),"'","""")&amp;SUBSTITUTE(TEXT(Overig!K1075,""",""?00;"",""?-00;"",""?00;"", //"""),"'","""")&amp;SUBSTITUTE(TEXT(Overig!L1075,""",""???0;"",""??-0;"",""???0;"", ///"""),"'","""")&amp;SUBSTITUTE(TEXT(Overig!M1075,""",""?00;"",""?-00;"",""?00;"", //"""),"'","""")&amp;SUBSTITUTE(TEXT(IF(ISTEXT(Overig!N1075),Overig!N1075,10*Overig!N1075),""",""????0;"",""???-0;"",""????0;"", ////"""),"'","""")&amp;SUBSTITUTE(TEXT(Overig!O1075,""",""?00;"",""?-00;"",""?00;"", //"""),"'","""")&amp;SUBSTITUTE(TEXT(IF(ISTEXT(Overig!P1075),Overig!P1075,10*Overig!P1075),""",""????0;"",""???-0;"",""????0;"", ////"""),"'","""")&amp;SUBSTITUTE(TEXT(Overig!Q1075,""",""?00;"",""?-00;"",""?00;"", //"""),"'","""")&amp;SUBSTITUTE(TEXT(Overig!R1075,""",""????0;"",""???-0;"",""????0;"", ////"""),"'","""")&amp;SUBSTITUTE(TEXT(Overig!S1075,""",""?00;"",""?-00;"",""?00;"", //"""),"'","""")&amp;SUBSTITUTE(TEXT(IF(ISTEXT(Overig!T1075),Overig!T1075,10*Overig!T1075),""",""????0;"",""???-0;"",""????0;"", ////"""),"'","""")&amp;SUBSTITUTE(TEXT(Overig!U1075,""",""?00;"",""?-00;"",""?00;"", //"""),"'","""")&amp;SUBSTITUTE(TEXT(Overig!V1075,""",""???0;"",""??-0;"",""???0;"", ///"""),"'","""")&amp;SUBSTITUTE(TEXT(Overig!W1075,""",""?00;"",""?-00;"",""?00;"", //"""),"'","""")</f>
        <v>032, 19400925, 12.00, 7592, 00,  295, 00, ////, 07, ////, 07,  82, 00,  255, 00,  270, 00,   90, 00,    5, 00,   3, 00</v>
      </c>
    </row>
    <row r="1076" spans="1:1" x14ac:dyDescent="0.25">
      <c r="A1076" s="12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//"""),"'","""")&amp;SUBSTITUTE(TEXT(IF(ISTEXT(Overig!J1076),Overig!J1076,10*Overig!J1076),""",""????0;"",""???-0;"",""????0;"", ////"""),"'","""")&amp;SUBSTITUTE(TEXT(Overig!K1076,""",""?00;"",""?-00;"",""?00;"", //"""),"'","""")&amp;SUBSTITUTE(TEXT(Overig!L1076,""",""???0;"",""??-0;"",""???0;"", ///"""),"'","""")&amp;SUBSTITUTE(TEXT(Overig!M1076,""",""?00;"",""?-00;"",""?00;"", //"""),"'","""")&amp;SUBSTITUTE(TEXT(IF(ISTEXT(Overig!N1076),Overig!N1076,10*Overig!N1076),""",""????0;"",""???-0;"",""????0;"", ////"""),"'","""")&amp;SUBSTITUTE(TEXT(Overig!O1076,""",""?00;"",""?-00;"",""?00;"", //"""),"'","""")&amp;SUBSTITUTE(TEXT(IF(ISTEXT(Overig!P1076),Overig!P1076,10*Overig!P1076),""",""????0;"",""???-0;"",""????0;"", ////"""),"'","""")&amp;SUBSTITUTE(TEXT(Overig!Q1076,""",""?00;"",""?-00;"",""?00;"", //"""),"'","""")&amp;SUBSTITUTE(TEXT(Overig!R1076,""",""????0;"",""???-0;"",""????0;"", ////"""),"'","""")&amp;SUBSTITUTE(TEXT(Overig!S1076,""",""?00;"",""?-00;"",""?00;"", //"""),"'","""")&amp;SUBSTITUTE(TEXT(IF(ISTEXT(Overig!T1076),Overig!T1076,10*Overig!T1076),""",""????0;"",""???-0;"",""????0;"", ////"""),"'","""")&amp;SUBSTITUTE(TEXT(Overig!U1076,""",""?00;"",""?-00;"",""?00;"", //"""),"'","""")&amp;SUBSTITUTE(TEXT(Overig!V1076,""",""???0;"",""??-0;"",""???0;"", ///"""),"'","""")&amp;SUBSTITUTE(TEXT(Overig!W1076,""",""?00;"",""?-00;"",""?00;"", //"""),"'","""")</f>
        <v>032, 19400925, 17.00, 7582, 00,  289, 00, ////, 07, ////, 07,  82, 00,  246, 00,  262, 00,   90, 00,    4, 00,   3, 00</v>
      </c>
    </row>
    <row r="1077" spans="1:1" x14ac:dyDescent="0.25">
      <c r="A1077" s="12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//"""),"'","""")&amp;SUBSTITUTE(TEXT(IF(ISTEXT(Overig!J1077),Overig!J1077,10*Overig!J1077),""",""????0;"",""???-0;"",""????0;"", ////"""),"'","""")&amp;SUBSTITUTE(TEXT(Overig!K1077,""",""?00;"",""?-00;"",""?00;"", //"""),"'","""")&amp;SUBSTITUTE(TEXT(Overig!L1077,""",""???0;"",""??-0;"",""???0;"", ///"""),"'","""")&amp;SUBSTITUTE(TEXT(Overig!M1077,""",""?00;"",""?-00;"",""?00;"", //"""),"'","""")&amp;SUBSTITUTE(TEXT(IF(ISTEXT(Overig!N1077),Overig!N1077,10*Overig!N1077),""",""????0;"",""???-0;"",""????0;"", ////"""),"'","""")&amp;SUBSTITUTE(TEXT(Overig!O1077,""",""?00;"",""?-00;"",""?00;"", //"""),"'","""")&amp;SUBSTITUTE(TEXT(IF(ISTEXT(Overig!P1077),Overig!P1077,10*Overig!P1077),""",""????0;"",""???-0;"",""????0;"", ////"""),"'","""")&amp;SUBSTITUTE(TEXT(Overig!Q1077,""",""?00;"",""?-00;"",""?00;"", //"""),"'","""")&amp;SUBSTITUTE(TEXT(Overig!R1077,""",""????0;"",""???-0;"",""????0;"", ////"""),"'","""")&amp;SUBSTITUTE(TEXT(Overig!S1077,""",""?00;"",""?-00;"",""?00;"", //"""),"'","""")&amp;SUBSTITUTE(TEXT(IF(ISTEXT(Overig!T1077),Overig!T1077,10*Overig!T1077),""",""????0;"",""???-0;"",""????0;"", ////"""),"'","""")&amp;SUBSTITUTE(TEXT(Overig!U1077,""",""?00;"",""?-00;"",""?00;"", //"""),"'","""")&amp;SUBSTITUTE(TEXT(Overig!V1077,""",""???0;"",""??-0;"",""???0;"", ///"""),"'","""")&amp;SUBSTITUTE(TEXT(Overig!W1077,""",""?00;"",""?-00;"",""?00;"", //"""),"'","""")</f>
        <v>032, 19400925, 24.00, ////, 07, ////, 07,  300, 00,  314, 00, ///, 07, ////, 07, ////, 07, ////, 07, ////, 07, ///, 07</v>
      </c>
    </row>
    <row r="1078" spans="1:1" x14ac:dyDescent="0.25">
      <c r="A1078" s="12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//"""),"'","""")&amp;SUBSTITUTE(TEXT(IF(ISTEXT(Overig!J1078),Overig!J1078,10*Overig!J1078),""",""????0;"",""???-0;"",""????0;"", ////"""),"'","""")&amp;SUBSTITUTE(TEXT(Overig!K1078,""",""?00;"",""?-00;"",""?00;"", //"""),"'","""")&amp;SUBSTITUTE(TEXT(Overig!L1078,""",""???0;"",""??-0;"",""???0;"", ///"""),"'","""")&amp;SUBSTITUTE(TEXT(Overig!M1078,""",""?00;"",""?-00;"",""?00;"", //"""),"'","""")&amp;SUBSTITUTE(TEXT(IF(ISTEXT(Overig!N1078),Overig!N1078,10*Overig!N1078),""",""????0;"",""???-0;"",""????0;"", ////"""),"'","""")&amp;SUBSTITUTE(TEXT(Overig!O1078,""",""?00;"",""?-00;"",""?00;"", //"""),"'","""")&amp;SUBSTITUTE(TEXT(IF(ISTEXT(Overig!P1078),Overig!P1078,10*Overig!P1078),""",""????0;"",""???-0;"",""????0;"", ////"""),"'","""")&amp;SUBSTITUTE(TEXT(Overig!Q1078,""",""?00;"",""?-00;"",""?00;"", //"""),"'","""")&amp;SUBSTITUTE(TEXT(Overig!R1078,""",""????0;"",""???-0;"",""????0;"", ////"""),"'","""")&amp;SUBSTITUTE(TEXT(Overig!S1078,""",""?00;"",""?-00;"",""?00;"", //"""),"'","""")&amp;SUBSTITUTE(TEXT(IF(ISTEXT(Overig!T1078),Overig!T1078,10*Overig!T1078),""",""????0;"",""???-0;"",""????0;"", ////"""),"'","""")&amp;SUBSTITUTE(TEXT(Overig!U1078,""",""?00;"",""?-00;"",""?00;"", //"""),"'","""")&amp;SUBSTITUTE(TEXT(Overig!V1078,""",""???0;"",""??-0;"",""???0;"", ///"""),"'","""")&amp;SUBSTITUTE(TEXT(Overig!W1078,""",""?00;"",""?-00;"",""?00;"", //"""),"'","""")</f>
        <v>032, 19400926, 07.00, 7585, 00,  290, 00, ////, 07, ////, 07,  78, 00,  233, 00,  258, 00,   65, 00,    3, 00,   2, 00</v>
      </c>
    </row>
    <row r="1079" spans="1:1" x14ac:dyDescent="0.25">
      <c r="A1079" s="12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//"""),"'","""")&amp;SUBSTITUTE(TEXT(IF(ISTEXT(Overig!J1079),Overig!J1079,10*Overig!J1079),""",""????0;"",""???-0;"",""????0;"", ////"""),"'","""")&amp;SUBSTITUTE(TEXT(Overig!K1079,""",""?00;"",""?-00;"",""?00;"", //"""),"'","""")&amp;SUBSTITUTE(TEXT(Overig!L1079,""",""???0;"",""??-0;"",""???0;"", ///"""),"'","""")&amp;SUBSTITUTE(TEXT(Overig!M1079,""",""?00;"",""?-00;"",""?00;"", //"""),"'","""")&amp;SUBSTITUTE(TEXT(IF(ISTEXT(Overig!N1079),Overig!N1079,10*Overig!N1079),""",""????0;"",""???-0;"",""????0;"", ////"""),"'","""")&amp;SUBSTITUTE(TEXT(Overig!O1079,""",""?00;"",""?-00;"",""?00;"", //"""),"'","""")&amp;SUBSTITUTE(TEXT(IF(ISTEXT(Overig!P1079),Overig!P1079,10*Overig!P1079),""",""????0;"",""???-0;"",""????0;"", ////"""),"'","""")&amp;SUBSTITUTE(TEXT(Overig!Q1079,""",""?00;"",""?-00;"",""?00;"", //"""),"'","""")&amp;SUBSTITUTE(TEXT(Overig!R1079,""",""????0;"",""???-0;"",""????0;"", ////"""),"'","""")&amp;SUBSTITUTE(TEXT(Overig!S1079,""",""?00;"",""?-00;"",""?00;"", //"""),"'","""")&amp;SUBSTITUTE(TEXT(IF(ISTEXT(Overig!T1079),Overig!T1079,10*Overig!T1079),""",""????0;"",""???-0;"",""????0;"", ////"""),"'","""")&amp;SUBSTITUTE(TEXT(Overig!U1079,""",""?00;"",""?-00;"",""?00;"", //"""),"'","""")&amp;SUBSTITUTE(TEXT(Overig!V1079,""",""???0;"",""??-0;"",""???0;"", ///"""),"'","""")&amp;SUBSTITUTE(TEXT(Overig!W1079,""",""?00;"",""?-00;"",""?00;"", //"""),"'","""")</f>
        <v>032, 19400926, 12.00, 7587, 00,  293, 00, ////, 07, ////, 07,  83, 00,  254, 00,  269, 00,   90, 00,    4, 00,   3, 00</v>
      </c>
    </row>
    <row r="1080" spans="1:1" x14ac:dyDescent="0.25">
      <c r="A1080" s="12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//"""),"'","""")&amp;SUBSTITUTE(TEXT(IF(ISTEXT(Overig!J1080),Overig!J1080,10*Overig!J1080),""",""????0;"",""???-0;"",""????0;"", ////"""),"'","""")&amp;SUBSTITUTE(TEXT(Overig!K1080,""",""?00;"",""?-00;"",""?00;"", //"""),"'","""")&amp;SUBSTITUTE(TEXT(Overig!L1080,""",""???0;"",""??-0;"",""???0;"", ///"""),"'","""")&amp;SUBSTITUTE(TEXT(Overig!M1080,""",""?00;"",""?-00;"",""?00;"", //"""),"'","""")&amp;SUBSTITUTE(TEXT(IF(ISTEXT(Overig!N1080),Overig!N1080,10*Overig!N1080),""",""????0;"",""???-0;"",""????0;"", ////"""),"'","""")&amp;SUBSTITUTE(TEXT(Overig!O1080,""",""?00;"",""?-00;"",""?00;"", //"""),"'","""")&amp;SUBSTITUTE(TEXT(IF(ISTEXT(Overig!P1080),Overig!P1080,10*Overig!P1080),""",""????0;"",""???-0;"",""????0;"", ////"""),"'","""")&amp;SUBSTITUTE(TEXT(Overig!Q1080,""",""?00;"",""?-00;"",""?00;"", //"""),"'","""")&amp;SUBSTITUTE(TEXT(Overig!R1080,""",""????0;"",""???-0;"",""????0;"", ////"""),"'","""")&amp;SUBSTITUTE(TEXT(Overig!S1080,""",""?00;"",""?-00;"",""?00;"", //"""),"'","""")&amp;SUBSTITUTE(TEXT(IF(ISTEXT(Overig!T1080),Overig!T1080,10*Overig!T1080),""",""????0;"",""???-0;"",""????0;"", ////"""),"'","""")&amp;SUBSTITUTE(TEXT(Overig!U1080,""",""?00;"",""?-00;"",""?00;"", //"""),"'","""")&amp;SUBSTITUTE(TEXT(Overig!V1080,""",""???0;"",""??-0;"",""???0;"", ///"""),"'","""")&amp;SUBSTITUTE(TEXT(Overig!W1080,""",""?00;"",""?-00;"",""?00;"", //"""),"'","""")</f>
        <v>032, 19400926, 17.00, 7582, 00,  289, 00, ////, 07, ////, 07,  78, 00,  234, 00,  258, 00,   90, 00,    4, 00,   3, 00</v>
      </c>
    </row>
    <row r="1081" spans="1:1" x14ac:dyDescent="0.25">
      <c r="A1081" s="12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//"""),"'","""")&amp;SUBSTITUTE(TEXT(IF(ISTEXT(Overig!J1081),Overig!J1081,10*Overig!J1081),""",""????0;"",""???-0;"",""????0;"", ////"""),"'","""")&amp;SUBSTITUTE(TEXT(Overig!K1081,""",""?00;"",""?-00;"",""?00;"", //"""),"'","""")&amp;SUBSTITUTE(TEXT(Overig!L1081,""",""???0;"",""??-0;"",""???0;"", ///"""),"'","""")&amp;SUBSTITUTE(TEXT(Overig!M1081,""",""?00;"",""?-00;"",""?00;"", //"""),"'","""")&amp;SUBSTITUTE(TEXT(IF(ISTEXT(Overig!N1081),Overig!N1081,10*Overig!N1081),""",""????0;"",""???-0;"",""????0;"", ////"""),"'","""")&amp;SUBSTITUTE(TEXT(Overig!O1081,""",""?00;"",""?-00;"",""?00;"", //"""),"'","""")&amp;SUBSTITUTE(TEXT(IF(ISTEXT(Overig!P1081),Overig!P1081,10*Overig!P1081),""",""????0;"",""???-0;"",""????0;"", ////"""),"'","""")&amp;SUBSTITUTE(TEXT(Overig!Q1081,""",""?00;"",""?-00;"",""?00;"", //"""),"'","""")&amp;SUBSTITUTE(TEXT(Overig!R1081,""",""????0;"",""???-0;"",""????0;"", ////"""),"'","""")&amp;SUBSTITUTE(TEXT(Overig!S1081,""",""?00;"",""?-00;"",""?00;"", //"""),"'","""")&amp;SUBSTITUTE(TEXT(IF(ISTEXT(Overig!T1081),Overig!T1081,10*Overig!T1081),""",""????0;"",""???-0;"",""????0;"", ////"""),"'","""")&amp;SUBSTITUTE(TEXT(Overig!U1081,""",""?00;"",""?-00;"",""?00;"", //"""),"'","""")&amp;SUBSTITUTE(TEXT(Overig!V1081,""",""???0;"",""??-0;"",""???0;"", ///"""),"'","""")&amp;SUBSTITUTE(TEXT(Overig!W1081,""",""?00;"",""?-00;"",""?00;"", //"""),"'","""")</f>
        <v>032, 19400926, 24.00, ////, 07, ////, 07,  293, 00,  308, 00, ///, 07, ////, 07, ////, 07, ////, 07, ////, 07, ///, 07</v>
      </c>
    </row>
    <row r="1082" spans="1:1" x14ac:dyDescent="0.25">
      <c r="A1082" s="12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//"""),"'","""")&amp;SUBSTITUTE(TEXT(IF(ISTEXT(Overig!J1082),Overig!J1082,10*Overig!J1082),""",""????0;"",""???-0;"",""????0;"", ////"""),"'","""")&amp;SUBSTITUTE(TEXT(Overig!K1082,""",""?00;"",""?-00;"",""?00;"", //"""),"'","""")&amp;SUBSTITUTE(TEXT(Overig!L1082,""",""???0;"",""??-0;"",""???0;"", ///"""),"'","""")&amp;SUBSTITUTE(TEXT(Overig!M1082,""",""?00;"",""?-00;"",""?00;"", //"""),"'","""")&amp;SUBSTITUTE(TEXT(IF(ISTEXT(Overig!N1082),Overig!N1082,10*Overig!N1082),""",""????0;"",""???-0;"",""????0;"", ////"""),"'","""")&amp;SUBSTITUTE(TEXT(Overig!O1082,""",""?00;"",""?-00;"",""?00;"", //"""),"'","""")&amp;SUBSTITUTE(TEXT(IF(ISTEXT(Overig!P1082),Overig!P1082,10*Overig!P1082),""",""????0;"",""???-0;"",""????0;"", ////"""),"'","""")&amp;SUBSTITUTE(TEXT(Overig!Q1082,""",""?00;"",""?-00;"",""?00;"", //"""),"'","""")&amp;SUBSTITUTE(TEXT(Overig!R1082,""",""????0;"",""???-0;"",""????0;"", ////"""),"'","""")&amp;SUBSTITUTE(TEXT(Overig!S1082,""",""?00;"",""?-00;"",""?00;"", //"""),"'","""")&amp;SUBSTITUTE(TEXT(IF(ISTEXT(Overig!T1082),Overig!T1082,10*Overig!T1082),""",""????0;"",""???-0;"",""????0;"", ////"""),"'","""")&amp;SUBSTITUTE(TEXT(Overig!U1082,""",""?00;"",""?-00;"",""?00;"", //"""),"'","""")&amp;SUBSTITUTE(TEXT(Overig!V1082,""",""???0;"",""??-0;"",""???0;"", ///"""),"'","""")&amp;SUBSTITUTE(TEXT(Overig!W1082,""",""?00;"",""?-00;"",""?00;"", //"""),"'","""")</f>
        <v>032, 19400927, 07.00, 7582, 00,  291, 00, ////, 07, ////, 07,  77, 00,  233, 00,  258, 00,   90, 00,    3, 00,   3, 00</v>
      </c>
    </row>
    <row r="1083" spans="1:1" x14ac:dyDescent="0.25">
      <c r="A1083" s="12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//"""),"'","""")&amp;SUBSTITUTE(TEXT(IF(ISTEXT(Overig!J1083),Overig!J1083,10*Overig!J1083),""",""????0;"",""???-0;"",""????0;"", ////"""),"'","""")&amp;SUBSTITUTE(TEXT(Overig!K1083,""",""?00;"",""?-00;"",""?00;"", //"""),"'","""")&amp;SUBSTITUTE(TEXT(Overig!L1083,""",""???0;"",""??-0;"",""???0;"", ///"""),"'","""")&amp;SUBSTITUTE(TEXT(Overig!M1083,""",""?00;"",""?-00;"",""?00;"", //"""),"'","""")&amp;SUBSTITUTE(TEXT(IF(ISTEXT(Overig!N1083),Overig!N1083,10*Overig!N1083),""",""????0;"",""???-0;"",""????0;"", ////"""),"'","""")&amp;SUBSTITUTE(TEXT(Overig!O1083,""",""?00;"",""?-00;"",""?00;"", //"""),"'","""")&amp;SUBSTITUTE(TEXT(IF(ISTEXT(Overig!P1083),Overig!P1083,10*Overig!P1083),""",""????0;"",""???-0;"",""????0;"", ////"""),"'","""")&amp;SUBSTITUTE(TEXT(Overig!Q1083,""",""?00;"",""?-00;"",""?00;"", //"""),"'","""")&amp;SUBSTITUTE(TEXT(Overig!R1083,""",""????0;"",""???-0;"",""????0;"", ////"""),"'","""")&amp;SUBSTITUTE(TEXT(Overig!S1083,""",""?00;"",""?-00;"",""?00;"", //"""),"'","""")&amp;SUBSTITUTE(TEXT(IF(ISTEXT(Overig!T1083),Overig!T1083,10*Overig!T1083),""",""????0;"",""???-0;"",""????0;"", ////"""),"'","""")&amp;SUBSTITUTE(TEXT(Overig!U1083,""",""?00;"",""?-00;"",""?00;"", //"""),"'","""")&amp;SUBSTITUTE(TEXT(Overig!V1083,""",""???0;"",""??-0;"",""???0;"", ///"""),"'","""")&amp;SUBSTITUTE(TEXT(Overig!W1083,""",""?00;"",""?-00;"",""?00;"", //"""),"'","""")</f>
        <v>032, 19400927, 12.00, 7587, 00,  295, 00, ////, 07, ////, 07,  89, 00,  251, 00,  268, 00,  115, 00,    4, 00,   3, 00</v>
      </c>
    </row>
    <row r="1084" spans="1:1" x14ac:dyDescent="0.25">
      <c r="A1084" s="12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//"""),"'","""")&amp;SUBSTITUTE(TEXT(IF(ISTEXT(Overig!J1084),Overig!J1084,10*Overig!J1084),""",""????0;"",""???-0;"",""????0;"", ////"""),"'","""")&amp;SUBSTITUTE(TEXT(Overig!K1084,""",""?00;"",""?-00;"",""?00;"", //"""),"'","""")&amp;SUBSTITUTE(TEXT(Overig!L1084,""",""???0;"",""??-0;"",""???0;"", ///"""),"'","""")&amp;SUBSTITUTE(TEXT(Overig!M1084,""",""?00;"",""?-00;"",""?00;"", //"""),"'","""")&amp;SUBSTITUTE(TEXT(IF(ISTEXT(Overig!N1084),Overig!N1084,10*Overig!N1084),""",""????0;"",""???-0;"",""????0;"", ////"""),"'","""")&amp;SUBSTITUTE(TEXT(Overig!O1084,""",""?00;"",""?-00;"",""?00;"", //"""),"'","""")&amp;SUBSTITUTE(TEXT(IF(ISTEXT(Overig!P1084),Overig!P1084,10*Overig!P1084),""",""????0;"",""???-0;"",""????0;"", ////"""),"'","""")&amp;SUBSTITUTE(TEXT(Overig!Q1084,""",""?00;"",""?-00;"",""?00;"", //"""),"'","""")&amp;SUBSTITUTE(TEXT(Overig!R1084,""",""????0;"",""???-0;"",""????0;"", ////"""),"'","""")&amp;SUBSTITUTE(TEXT(Overig!S1084,""",""?00;"",""?-00;"",""?00;"", //"""),"'","""")&amp;SUBSTITUTE(TEXT(IF(ISTEXT(Overig!T1084),Overig!T1084,10*Overig!T1084),""",""????0;"",""???-0;"",""????0;"", ////"""),"'","""")&amp;SUBSTITUTE(TEXT(Overig!U1084,""",""?00;"",""?-00;"",""?00;"", //"""),"'","""")&amp;SUBSTITUTE(TEXT(Overig!V1084,""",""???0;"",""??-0;"",""???0;"", ///"""),"'","""")&amp;SUBSTITUTE(TEXT(Overig!W1084,""",""?00;"",""?-00;"",""?00;"", //"""),"'","""")</f>
        <v>032, 19400927, 17.00, 7582, 00,  289, 00, ////, 07, ////, 07,  77, 00,  230, 00,  256, 00,  115, 00,    4, 00,   3, 00</v>
      </c>
    </row>
    <row r="1085" spans="1:1" x14ac:dyDescent="0.25">
      <c r="A1085" s="12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//"""),"'","""")&amp;SUBSTITUTE(TEXT(IF(ISTEXT(Overig!J1085),Overig!J1085,10*Overig!J1085),""",""????0;"",""???-0;"",""????0;"", ////"""),"'","""")&amp;SUBSTITUTE(TEXT(Overig!K1085,""",""?00;"",""?-00;"",""?00;"", //"""),"'","""")&amp;SUBSTITUTE(TEXT(Overig!L1085,""",""???0;"",""??-0;"",""???0;"", ///"""),"'","""")&amp;SUBSTITUTE(TEXT(Overig!M1085,""",""?00;"",""?-00;"",""?00;"", //"""),"'","""")&amp;SUBSTITUTE(TEXT(IF(ISTEXT(Overig!N1085),Overig!N1085,10*Overig!N1085),""",""????0;"",""???-0;"",""????0;"", ////"""),"'","""")&amp;SUBSTITUTE(TEXT(Overig!O1085,""",""?00;"",""?-00;"",""?00;"", //"""),"'","""")&amp;SUBSTITUTE(TEXT(IF(ISTEXT(Overig!P1085),Overig!P1085,10*Overig!P1085),""",""????0;"",""???-0;"",""????0;"", ////"""),"'","""")&amp;SUBSTITUTE(TEXT(Overig!Q1085,""",""?00;"",""?-00;"",""?00;"", //"""),"'","""")&amp;SUBSTITUTE(TEXT(Overig!R1085,""",""????0;"",""???-0;"",""????0;"", ////"""),"'","""")&amp;SUBSTITUTE(TEXT(Overig!S1085,""",""?00;"",""?-00;"",""?00;"", //"""),"'","""")&amp;SUBSTITUTE(TEXT(IF(ISTEXT(Overig!T1085),Overig!T1085,10*Overig!T1085),""",""????0;"",""???-0;"",""????0;"", ////"""),"'","""")&amp;SUBSTITUTE(TEXT(Overig!U1085,""",""?00;"",""?-00;"",""?00;"", //"""),"'","""")&amp;SUBSTITUTE(TEXT(Overig!V1085,""",""???0;"",""??-0;"",""???0;"", ///"""),"'","""")&amp;SUBSTITUTE(TEXT(Overig!W1085,""",""?00;"",""?-00;"",""?00;"", //"""),"'","""")</f>
        <v>032, 19400927, 24.00, ////, 07, ////, 07,  293, 00,  310, 00, ///, 07, ////, 07, ////, 07, ////, 07, ////, 07, ///, 07</v>
      </c>
    </row>
    <row r="1086" spans="1:1" x14ac:dyDescent="0.25">
      <c r="A1086" s="12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//"""),"'","""")&amp;SUBSTITUTE(TEXT(IF(ISTEXT(Overig!J1086),Overig!J1086,10*Overig!J1086),""",""????0;"",""???-0;"",""????0;"", ////"""),"'","""")&amp;SUBSTITUTE(TEXT(Overig!K1086,""",""?00;"",""?-00;"",""?00;"", //"""),"'","""")&amp;SUBSTITUTE(TEXT(Overig!L1086,""",""???0;"",""??-0;"",""???0;"", ///"""),"'","""")&amp;SUBSTITUTE(TEXT(Overig!M1086,""",""?00;"",""?-00;"",""?00;"", //"""),"'","""")&amp;SUBSTITUTE(TEXT(IF(ISTEXT(Overig!N1086),Overig!N1086,10*Overig!N1086),""",""????0;"",""???-0;"",""????0;"", ////"""),"'","""")&amp;SUBSTITUTE(TEXT(Overig!O1086,""",""?00;"",""?-00;"",""?00;"", //"""),"'","""")&amp;SUBSTITUTE(TEXT(IF(ISTEXT(Overig!P1086),Overig!P1086,10*Overig!P1086),""",""????0;"",""???-0;"",""????0;"", ////"""),"'","""")&amp;SUBSTITUTE(TEXT(Overig!Q1086,""",""?00;"",""?-00;"",""?00;"", //"""),"'","""")&amp;SUBSTITUTE(TEXT(Overig!R1086,""",""????0;"",""???-0;"",""????0;"", ////"""),"'","""")&amp;SUBSTITUTE(TEXT(Overig!S1086,""",""?00;"",""?-00;"",""?00;"", //"""),"'","""")&amp;SUBSTITUTE(TEXT(IF(ISTEXT(Overig!T1086),Overig!T1086,10*Overig!T1086),""",""????0;"",""???-0;"",""????0;"", ////"""),"'","""")&amp;SUBSTITUTE(TEXT(Overig!U1086,""",""?00;"",""?-00;"",""?00;"", //"""),"'","""")&amp;SUBSTITUTE(TEXT(Overig!V1086,""",""???0;"",""??-0;"",""???0;"", ///"""),"'","""")&amp;SUBSTITUTE(TEXT(Overig!W1086,""",""?00;"",""?-00;"",""?00;"", //"""),"'","""")</f>
        <v>032, 19400928, 07.00, 7582, 00,  277, 00, ////, 07, ////, 07,  83, 00,  232, 00,  254, 00,   90, 00,    3, 00,   2, 00</v>
      </c>
    </row>
    <row r="1087" spans="1:1" x14ac:dyDescent="0.25">
      <c r="A1087" s="12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//"""),"'","""")&amp;SUBSTITUTE(TEXT(IF(ISTEXT(Overig!J1087),Overig!J1087,10*Overig!J1087),""",""????0;"",""???-0;"",""????0;"", ////"""),"'","""")&amp;SUBSTITUTE(TEXT(Overig!K1087,""",""?00;"",""?-00;"",""?00;"", //"""),"'","""")&amp;SUBSTITUTE(TEXT(Overig!L1087,""",""???0;"",""??-0;"",""???0;"", ///"""),"'","""")&amp;SUBSTITUTE(TEXT(Overig!M1087,""",""?00;"",""?-00;"",""?00;"", //"""),"'","""")&amp;SUBSTITUTE(TEXT(IF(ISTEXT(Overig!N1087),Overig!N1087,10*Overig!N1087),""",""????0;"",""???-0;"",""????0;"", ////"""),"'","""")&amp;SUBSTITUTE(TEXT(Overig!O1087,""",""?00;"",""?-00;"",""?00;"", //"""),"'","""")&amp;SUBSTITUTE(TEXT(IF(ISTEXT(Overig!P1087),Overig!P1087,10*Overig!P1087),""",""????0;"",""???-0;"",""????0;"", ////"""),"'","""")&amp;SUBSTITUTE(TEXT(Overig!Q1087,""",""?00;"",""?-00;"",""?00;"", //"""),"'","""")&amp;SUBSTITUTE(TEXT(Overig!R1087,""",""????0;"",""???-0;"",""????0;"", ////"""),"'","""")&amp;SUBSTITUTE(TEXT(Overig!S1087,""",""?00;"",""?-00;"",""?00;"", //"""),"'","""")&amp;SUBSTITUTE(TEXT(IF(ISTEXT(Overig!T1087),Overig!T1087,10*Overig!T1087),""",""????0;"",""???-0;"",""????0;"", ////"""),"'","""")&amp;SUBSTITUTE(TEXT(Overig!U1087,""",""?00;"",""?-00;"",""?00;"", //"""),"'","""")&amp;SUBSTITUTE(TEXT(Overig!V1087,""",""???0;"",""??-0;"",""???0;"", ///"""),"'","""")&amp;SUBSTITUTE(TEXT(Overig!W1087,""",""?00;"",""?-00;"",""?00;"", //"""),"'","""")</f>
        <v>032, 19400928, 12.00, 7582, 00,  291, 00, ////, 07, ////, 07,  81, 00,  245, 00,  264, 00,   90, 00,    4, 00,   3, 00</v>
      </c>
    </row>
    <row r="1088" spans="1:1" x14ac:dyDescent="0.25">
      <c r="A1088" s="12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//"""),"'","""")&amp;SUBSTITUTE(TEXT(IF(ISTEXT(Overig!J1088),Overig!J1088,10*Overig!J1088),""",""????0;"",""???-0;"",""????0;"", ////"""),"'","""")&amp;SUBSTITUTE(TEXT(Overig!K1088,""",""?00;"",""?-00;"",""?00;"", //"""),"'","""")&amp;SUBSTITUTE(TEXT(Overig!L1088,""",""???0;"",""??-0;"",""???0;"", ///"""),"'","""")&amp;SUBSTITUTE(TEXT(Overig!M1088,""",""?00;"",""?-00;"",""?00;"", //"""),"'","""")&amp;SUBSTITUTE(TEXT(IF(ISTEXT(Overig!N1088),Overig!N1088,10*Overig!N1088),""",""????0;"",""???-0;"",""????0;"", ////"""),"'","""")&amp;SUBSTITUTE(TEXT(Overig!O1088,""",""?00;"",""?-00;"",""?00;"", //"""),"'","""")&amp;SUBSTITUTE(TEXT(IF(ISTEXT(Overig!P1088),Overig!P1088,10*Overig!P1088),""",""????0;"",""???-0;"",""????0;"", ////"""),"'","""")&amp;SUBSTITUTE(TEXT(Overig!Q1088,""",""?00;"",""?-00;"",""?00;"", //"""),"'","""")&amp;SUBSTITUTE(TEXT(Overig!R1088,""",""????0;"",""???-0;"",""????0;"", ////"""),"'","""")&amp;SUBSTITUTE(TEXT(Overig!S1088,""",""?00;"",""?-00;"",""?00;"", //"""),"'","""")&amp;SUBSTITUTE(TEXT(IF(ISTEXT(Overig!T1088),Overig!T1088,10*Overig!T1088),""",""????0;"",""???-0;"",""????0;"", ////"""),"'","""")&amp;SUBSTITUTE(TEXT(Overig!U1088,""",""?00;"",""?-00;"",""?00;"", //"""),"'","""")&amp;SUBSTITUTE(TEXT(Overig!V1088,""",""???0;"",""??-0;"",""???0;"", ///"""),"'","""")&amp;SUBSTITUTE(TEXT(Overig!W1088,""",""?00;"",""?-00;"",""?00;"", //"""),"'","""")</f>
        <v>032, 19400928, 17.00, 7582, 00,  289, 00, ////, 07, ////, 07,  74, 00,  222, 00,  252, 00,   90, 00,    5, 00,   2, 00</v>
      </c>
    </row>
    <row r="1089" spans="1:1" x14ac:dyDescent="0.25">
      <c r="A1089" s="12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//"""),"'","""")&amp;SUBSTITUTE(TEXT(IF(ISTEXT(Overig!J1089),Overig!J1089,10*Overig!J1089),""",""????0;"",""???-0;"",""????0;"", ////"""),"'","""")&amp;SUBSTITUTE(TEXT(Overig!K1089,""",""?00;"",""?-00;"",""?00;"", //"""),"'","""")&amp;SUBSTITUTE(TEXT(Overig!L1089,""",""???0;"",""??-0;"",""???0;"", ///"""),"'","""")&amp;SUBSTITUTE(TEXT(Overig!M1089,""",""?00;"",""?-00;"",""?00;"", //"""),"'","""")&amp;SUBSTITUTE(TEXT(IF(ISTEXT(Overig!N1089),Overig!N1089,10*Overig!N1089),""",""????0;"",""???-0;"",""????0;"", ////"""),"'","""")&amp;SUBSTITUTE(TEXT(Overig!O1089,""",""?00;"",""?-00;"",""?00;"", //"""),"'","""")&amp;SUBSTITUTE(TEXT(IF(ISTEXT(Overig!P1089),Overig!P1089,10*Overig!P1089),""",""????0;"",""???-0;"",""????0;"", ////"""),"'","""")&amp;SUBSTITUTE(TEXT(Overig!Q1089,""",""?00;"",""?-00;"",""?00;"", //"""),"'","""")&amp;SUBSTITUTE(TEXT(Overig!R1089,""",""????0;"",""???-0;"",""????0;"", ////"""),"'","""")&amp;SUBSTITUTE(TEXT(Overig!S1089,""",""?00;"",""?-00;"",""?00;"", //"""),"'","""")&amp;SUBSTITUTE(TEXT(IF(ISTEXT(Overig!T1089),Overig!T1089,10*Overig!T1089),""",""????0;"",""???-0;"",""????0;"", ////"""),"'","""")&amp;SUBSTITUTE(TEXT(Overig!U1089,""",""?00;"",""?-00;"",""?00;"", //"""),"'","""")&amp;SUBSTITUTE(TEXT(Overig!V1089,""",""???0;"",""??-0;"",""???0;"", ///"""),"'","""")&amp;SUBSTITUTE(TEXT(Overig!W1089,""",""?00;"",""?-00;"",""?00;"", //"""),"'","""")</f>
        <v>032, 19400928, 24.00, ////, 07, ////, 07,  290, 00,  304, 00, ///, 07, ////, 07, ////, 07, ////, 07, ////, 07, ///, 07</v>
      </c>
    </row>
    <row r="1090" spans="1:1" x14ac:dyDescent="0.25">
      <c r="A1090" s="12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//"""),"'","""")&amp;SUBSTITUTE(TEXT(IF(ISTEXT(Overig!J1090),Overig!J1090,10*Overig!J1090),""",""????0;"",""???-0;"",""????0;"", ////"""),"'","""")&amp;SUBSTITUTE(TEXT(Overig!K1090,""",""?00;"",""?-00;"",""?00;"", //"""),"'","""")&amp;SUBSTITUTE(TEXT(Overig!L1090,""",""???0;"",""??-0;"",""???0;"", ///"""),"'","""")&amp;SUBSTITUTE(TEXT(Overig!M1090,""",""?00;"",""?-00;"",""?00;"", //"""),"'","""")&amp;SUBSTITUTE(TEXT(IF(ISTEXT(Overig!N1090),Overig!N1090,10*Overig!N1090),""",""????0;"",""???-0;"",""????0;"", ////"""),"'","""")&amp;SUBSTITUTE(TEXT(Overig!O1090,""",""?00;"",""?-00;"",""?00;"", //"""),"'","""")&amp;SUBSTITUTE(TEXT(IF(ISTEXT(Overig!P1090),Overig!P1090,10*Overig!P1090),""",""????0;"",""???-0;"",""????0;"", ////"""),"'","""")&amp;SUBSTITUTE(TEXT(Overig!Q1090,""",""?00;"",""?-00;"",""?00;"", //"""),"'","""")&amp;SUBSTITUTE(TEXT(Overig!R1090,""",""????0;"",""???-0;"",""????0;"", ////"""),"'","""")&amp;SUBSTITUTE(TEXT(Overig!S1090,""",""?00;"",""?-00;"",""?00;"", //"""),"'","""")&amp;SUBSTITUTE(TEXT(IF(ISTEXT(Overig!T1090),Overig!T1090,10*Overig!T1090),""",""????0;"",""???-0;"",""????0;"", ////"""),"'","""")&amp;SUBSTITUTE(TEXT(Overig!U1090,""",""?00;"",""?-00;"",""?00;"", //"""),"'","""")&amp;SUBSTITUTE(TEXT(Overig!V1090,""",""???0;"",""??-0;"",""???0;"", ///"""),"'","""")&amp;SUBSTITUTE(TEXT(Overig!W1090,""",""?00;"",""?-00;"",""?00;"", //"""),"'","""")</f>
        <v>032, 19400929, 07.00, 7579, 00,  289, 00, ////, 07, ////, 07,  74, 00,  222, 00,  252, 00,  115, 00,    4, 00,   2, 00</v>
      </c>
    </row>
    <row r="1091" spans="1:1" x14ac:dyDescent="0.25">
      <c r="A1091" s="12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//"""),"'","""")&amp;SUBSTITUTE(TEXT(IF(ISTEXT(Overig!J1091),Overig!J1091,10*Overig!J1091),""",""????0;"",""???-0;"",""????0;"", ////"""),"'","""")&amp;SUBSTITUTE(TEXT(Overig!K1091,""",""?00;"",""?-00;"",""?00;"", //"""),"'","""")&amp;SUBSTITUTE(TEXT(Overig!L1091,""",""???0;"",""??-0;"",""???0;"", ///"""),"'","""")&amp;SUBSTITUTE(TEXT(Overig!M1091,""",""?00;"",""?-00;"",""?00;"", //"""),"'","""")&amp;SUBSTITUTE(TEXT(IF(ISTEXT(Overig!N1091),Overig!N1091,10*Overig!N1091),""",""????0;"",""???-0;"",""????0;"", ////"""),"'","""")&amp;SUBSTITUTE(TEXT(Overig!O1091,""",""?00;"",""?-00;"",""?00;"", //"""),"'","""")&amp;SUBSTITUTE(TEXT(IF(ISTEXT(Overig!P1091),Overig!P1091,10*Overig!P1091),""",""????0;"",""???-0;"",""????0;"", ////"""),"'","""")&amp;SUBSTITUTE(TEXT(Overig!Q1091,""",""?00;"",""?-00;"",""?00;"", //"""),"'","""")&amp;SUBSTITUTE(TEXT(Overig!R1091,""",""????0;"",""???-0;"",""????0;"", ////"""),"'","""")&amp;SUBSTITUTE(TEXT(Overig!S1091,""",""?00;"",""?-00;"",""?00;"", //"""),"'","""")&amp;SUBSTITUTE(TEXT(IF(ISTEXT(Overig!T1091),Overig!T1091,10*Overig!T1091),""",""????0;"",""???-0;"",""????0;"", ////"""),"'","""")&amp;SUBSTITUTE(TEXT(Overig!U1091,""",""?00;"",""?-00;"",""?00;"", //"""),"'","""")&amp;SUBSTITUTE(TEXT(Overig!V1091,""",""???0;"",""??-0;"",""???0;"", ///"""),"'","""")&amp;SUBSTITUTE(TEXT(Overig!W1091,""",""?00;"",""?-00;"",""?00;"", //"""),"'","""")</f>
        <v>032, 19400929, 12.00, 7579, 00,  293, 00, ////, 07, ////, 07,  76, 00,  232, 00,  258, 00,   90, 00,    5, 00,   3, 00</v>
      </c>
    </row>
    <row r="1092" spans="1:1" x14ac:dyDescent="0.25">
      <c r="A1092" s="12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//"""),"'","""")&amp;SUBSTITUTE(TEXT(IF(ISTEXT(Overig!J1092),Overig!J1092,10*Overig!J1092),""",""????0;"",""???-0;"",""????0;"", ////"""),"'","""")&amp;SUBSTITUTE(TEXT(Overig!K1092,""",""?00;"",""?-00;"",""?00;"", //"""),"'","""")&amp;SUBSTITUTE(TEXT(Overig!L1092,""",""???0;"",""??-0;"",""???0;"", ///"""),"'","""")&amp;SUBSTITUTE(TEXT(Overig!M1092,""",""?00;"",""?-00;"",""?00;"", //"""),"'","""")&amp;SUBSTITUTE(TEXT(IF(ISTEXT(Overig!N1092),Overig!N1092,10*Overig!N1092),""",""????0;"",""???-0;"",""????0;"", ////"""),"'","""")&amp;SUBSTITUTE(TEXT(Overig!O1092,""",""?00;"",""?-00;"",""?00;"", //"""),"'","""")&amp;SUBSTITUTE(TEXT(IF(ISTEXT(Overig!P1092),Overig!P1092,10*Overig!P1092),""",""????0;"",""???-0;"",""????0;"", ////"""),"'","""")&amp;SUBSTITUTE(TEXT(Overig!Q1092,""",""?00;"",""?-00;"",""?00;"", //"""),"'","""")&amp;SUBSTITUTE(TEXT(Overig!R1092,""",""????0;"",""???-0;"",""????0;"", ////"""),"'","""")&amp;SUBSTITUTE(TEXT(Overig!S1092,""",""?00;"",""?-00;"",""?00;"", //"""),"'","""")&amp;SUBSTITUTE(TEXT(IF(ISTEXT(Overig!T1092),Overig!T1092,10*Overig!T1092),""",""????0;"",""???-0;"",""????0;"", ////"""),"'","""")&amp;SUBSTITUTE(TEXT(Overig!U1092,""",""?00;"",""?-00;"",""?00;"", //"""),"'","""")&amp;SUBSTITUTE(TEXT(Overig!V1092,""",""???0;"",""??-0;"",""???0;"", ///"""),"'","""")&amp;SUBSTITUTE(TEXT(Overig!W1092,""",""?00;"",""?-00;"",""?00;"", //"""),"'","""")</f>
        <v>032, 19400929, 17.00, 7579, 00,  289, 00, ////, 07, ////, 07,  77, 00,  230, 00,  256, 00,   90, 00,    6, 00,   2, 00</v>
      </c>
    </row>
    <row r="1093" spans="1:1" x14ac:dyDescent="0.25">
      <c r="A1093" s="12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//"""),"'","""")&amp;SUBSTITUTE(TEXT(IF(ISTEXT(Overig!J1093),Overig!J1093,10*Overig!J1093),""",""????0;"",""???-0;"",""????0;"", ////"""),"'","""")&amp;SUBSTITUTE(TEXT(Overig!K1093,""",""?00;"",""?-00;"",""?00;"", //"""),"'","""")&amp;SUBSTITUTE(TEXT(Overig!L1093,""",""???0;"",""??-0;"",""???0;"", ///"""),"'","""")&amp;SUBSTITUTE(TEXT(Overig!M1093,""",""?00;"",""?-00;"",""?00;"", //"""),"'","""")&amp;SUBSTITUTE(TEXT(IF(ISTEXT(Overig!N1093),Overig!N1093,10*Overig!N1093),""",""????0;"",""???-0;"",""????0;"", ////"""),"'","""")&amp;SUBSTITUTE(TEXT(Overig!O1093,""",""?00;"",""?-00;"",""?00;"", //"""),"'","""")&amp;SUBSTITUTE(TEXT(IF(ISTEXT(Overig!P1093),Overig!P1093,10*Overig!P1093),""",""????0;"",""???-0;"",""????0;"", ////"""),"'","""")&amp;SUBSTITUTE(TEXT(Overig!Q1093,""",""?00;"",""?-00;"",""?00;"", //"""),"'","""")&amp;SUBSTITUTE(TEXT(Overig!R1093,""",""????0;"",""???-0;"",""????0;"", ////"""),"'","""")&amp;SUBSTITUTE(TEXT(Overig!S1093,""",""?00;"",""?-00;"",""?00;"", //"""),"'","""")&amp;SUBSTITUTE(TEXT(IF(ISTEXT(Overig!T1093),Overig!T1093,10*Overig!T1093),""",""????0;"",""???-0;"",""????0;"", ////"""),"'","""")&amp;SUBSTITUTE(TEXT(Overig!U1093,""",""?00;"",""?-00;"",""?00;"", //"""),"'","""")&amp;SUBSTITUTE(TEXT(Overig!V1093,""",""???0;"",""??-0;"",""???0;"", ///"""),"'","""")&amp;SUBSTITUTE(TEXT(Overig!W1093,""",""?00;"",""?-00;"",""?00;"", //"""),"'","""")</f>
        <v>032, 19400929, 24.00, ////, 07, ////, 07,  300, 00,  310, 00, ///, 07, ////, 07, ////, 07, ////, 07, ////, 07, ///, 07</v>
      </c>
    </row>
    <row r="1094" spans="1:1" x14ac:dyDescent="0.25">
      <c r="A1094" s="12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//"""),"'","""")&amp;SUBSTITUTE(TEXT(IF(ISTEXT(Overig!J1094),Overig!J1094,10*Overig!J1094),""",""????0;"",""???-0;"",""????0;"", ////"""),"'","""")&amp;SUBSTITUTE(TEXT(Overig!K1094,""",""?00;"",""?-00;"",""?00;"", //"""),"'","""")&amp;SUBSTITUTE(TEXT(Overig!L1094,""",""???0;"",""??-0;"",""???0;"", ///"""),"'","""")&amp;SUBSTITUTE(TEXT(Overig!M1094,""",""?00;"",""?-00;"",""?00;"", //"""),"'","""")&amp;SUBSTITUTE(TEXT(IF(ISTEXT(Overig!N1094),Overig!N1094,10*Overig!N1094),""",""????0;"",""???-0;"",""????0;"", ////"""),"'","""")&amp;SUBSTITUTE(TEXT(Overig!O1094,""",""?00;"",""?-00;"",""?00;"", //"""),"'","""")&amp;SUBSTITUTE(TEXT(IF(ISTEXT(Overig!P1094),Overig!P1094,10*Overig!P1094),""",""????0;"",""???-0;"",""????0;"", ////"""),"'","""")&amp;SUBSTITUTE(TEXT(Overig!Q1094,""",""?00;"",""?-00;"",""?00;"", //"""),"'","""")&amp;SUBSTITUTE(TEXT(Overig!R1094,""",""????0;"",""???-0;"",""????0;"", ////"""),"'","""")&amp;SUBSTITUTE(TEXT(Overig!S1094,""",""?00;"",""?-00;"",""?00;"", //"""),"'","""")&amp;SUBSTITUTE(TEXT(IF(ISTEXT(Overig!T1094),Overig!T1094,10*Overig!T1094),""",""????0;"",""???-0;"",""????0;"", ////"""),"'","""")&amp;SUBSTITUTE(TEXT(Overig!U1094,""",""?00;"",""?-00;"",""?00;"", //"""),"'","""")&amp;SUBSTITUTE(TEXT(Overig!V1094,""",""???0;"",""??-0;"",""???0;"", ///"""),"'","""")&amp;SUBSTITUTE(TEXT(Overig!W1094,""",""?00;"",""?-00;"",""?00;"", //"""),"'","""")</f>
        <v>032, 19400930, 07.00, 7577, 00,  269, 00, ////, 07, ////, 07,  93, 00,  248, 00,  260, 00,   65, 00,    5, 00,   4, 00</v>
      </c>
    </row>
    <row r="1095" spans="1:1" x14ac:dyDescent="0.25">
      <c r="A1095" s="12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//"""),"'","""")&amp;SUBSTITUTE(TEXT(IF(ISTEXT(Overig!J1095),Overig!J1095,10*Overig!J1095),""",""????0;"",""???-0;"",""????0;"", ////"""),"'","""")&amp;SUBSTITUTE(TEXT(Overig!K1095,""",""?00;"",""?-00;"",""?00;"", //"""),"'","""")&amp;SUBSTITUTE(TEXT(Overig!L1095,""",""???0;"",""??-0;"",""???0;"", ///"""),"'","""")&amp;SUBSTITUTE(TEXT(Overig!M1095,""",""?00;"",""?-00;"",""?00;"", //"""),"'","""")&amp;SUBSTITUTE(TEXT(IF(ISTEXT(Overig!N1095),Overig!N1095,10*Overig!N1095),""",""????0;"",""???-0;"",""????0;"", ////"""),"'","""")&amp;SUBSTITUTE(TEXT(Overig!O1095,""",""?00;"",""?-00;"",""?00;"", //"""),"'","""")&amp;SUBSTITUTE(TEXT(IF(ISTEXT(Overig!P1095),Overig!P1095,10*Overig!P1095),""",""????0;"",""???-0;"",""????0;"", ////"""),"'","""")&amp;SUBSTITUTE(TEXT(Overig!Q1095,""",""?00;"",""?-00;"",""?00;"", //"""),"'","""")&amp;SUBSTITUTE(TEXT(Overig!R1095,""",""????0;"",""???-0;"",""????0;"", ////"""),"'","""")&amp;SUBSTITUTE(TEXT(Overig!S1095,""",""?00;"",""?-00;"",""?00;"", //"""),"'","""")&amp;SUBSTITUTE(TEXT(IF(ISTEXT(Overig!T1095),Overig!T1095,10*Overig!T1095),""",""????0;"",""???-0;"",""????0;"", ////"""),"'","""")&amp;SUBSTITUTE(TEXT(Overig!U1095,""",""?00;"",""?-00;"",""?00;"", //"""),"'","""")&amp;SUBSTITUTE(TEXT(Overig!V1095,""",""???0;"",""??-0;"",""???0;"", ///"""),"'","""")&amp;SUBSTITUTE(TEXT(Overig!W1095,""",""?00;"",""?-00;"",""?00;"", //"""),"'","""")</f>
        <v>032, 19400930, 12.00, 7585, 00,  275, 00, ////, 07, ////, 07,  92, 00,  253, 00,  264, 00,   65, 00,    6, 00,   5, 00</v>
      </c>
    </row>
    <row r="1096" spans="1:1" x14ac:dyDescent="0.25">
      <c r="A1096" s="12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//"""),"'","""")&amp;SUBSTITUTE(TEXT(IF(ISTEXT(Overig!J1096),Overig!J1096,10*Overig!J1096),""",""????0;"",""???-0;"",""????0;"", ////"""),"'","""")&amp;SUBSTITUTE(TEXT(Overig!K1096,""",""?00;"",""?-00;"",""?00;"", //"""),"'","""")&amp;SUBSTITUTE(TEXT(Overig!L1096,""",""???0;"",""??-0;"",""???0;"", ///"""),"'","""")&amp;SUBSTITUTE(TEXT(Overig!M1096,""",""?00;"",""?-00;"",""?00;"", //"""),"'","""")&amp;SUBSTITUTE(TEXT(IF(ISTEXT(Overig!N1096),Overig!N1096,10*Overig!N1096),""",""????0;"",""???-0;"",""????0;"", ////"""),"'","""")&amp;SUBSTITUTE(TEXT(Overig!O1096,""",""?00;"",""?-00;"",""?00;"", //"""),"'","""")&amp;SUBSTITUTE(TEXT(IF(ISTEXT(Overig!P1096),Overig!P1096,10*Overig!P1096),""",""????0;"",""???-0;"",""????0;"", ////"""),"'","""")&amp;SUBSTITUTE(TEXT(Overig!Q1096,""",""?00;"",""?-00;"",""?00;"", //"""),"'","""")&amp;SUBSTITUTE(TEXT(Overig!R1096,""",""????0;"",""???-0;"",""????0;"", ////"""),"'","""")&amp;SUBSTITUTE(TEXT(Overig!S1096,""",""?00;"",""?-00;"",""?00;"", //"""),"'","""")&amp;SUBSTITUTE(TEXT(IF(ISTEXT(Overig!T1096),Overig!T1096,10*Overig!T1096),""",""????0;"",""???-0;"",""????0;"", ////"""),"'","""")&amp;SUBSTITUTE(TEXT(Overig!U1096,""",""?00;"",""?-00;"",""?00;"", //"""),"'","""")&amp;SUBSTITUTE(TEXT(Overig!V1096,""",""???0;"",""??-0;"",""???0;"", ///"""),"'","""")&amp;SUBSTITUTE(TEXT(Overig!W1096,""",""?00;"",""?-00;"",""?00;"", //"""),"'","""")</f>
        <v>032, 19400930, 17.00, 7579, 00,  271, 00, ////, 07, ////, 07,  90, 00,  243, 00,  258, 00,   45, 00,    6, 00,   6, 00</v>
      </c>
    </row>
    <row r="1097" spans="1:1" x14ac:dyDescent="0.25">
      <c r="A1097" s="12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//"""),"'","""")&amp;SUBSTITUTE(TEXT(IF(ISTEXT(Overig!J1097),Overig!J1097,10*Overig!J1097),""",""????0;"",""???-0;"",""????0;"", ////"""),"'","""")&amp;SUBSTITUTE(TEXT(Overig!K1097,""",""?00;"",""?-00;"",""?00;"", //"""),"'","""")&amp;SUBSTITUTE(TEXT(Overig!L1097,""",""???0;"",""??-0;"",""???0;"", ///"""),"'","""")&amp;SUBSTITUTE(TEXT(Overig!M1097,""",""?00;"",""?-00;"",""?00;"", //"""),"'","""")&amp;SUBSTITUTE(TEXT(IF(ISTEXT(Overig!N1097),Overig!N1097,10*Overig!N1097),""",""????0;"",""???-0;"",""????0;"", ////"""),"'","""")&amp;SUBSTITUTE(TEXT(Overig!O1097,""",""?00;"",""?-00;"",""?00;"", //"""),"'","""")&amp;SUBSTITUTE(TEXT(IF(ISTEXT(Overig!P1097),Overig!P1097,10*Overig!P1097),""",""????0;"",""???-0;"",""????0;"", ////"""),"'","""")&amp;SUBSTITUTE(TEXT(Overig!Q1097,""",""?00;"",""?-00;"",""?00;"", //"""),"'","""")&amp;SUBSTITUTE(TEXT(Overig!R1097,""",""????0;"",""???-0;"",""????0;"", ////"""),"'","""")&amp;SUBSTITUTE(TEXT(Overig!S1097,""",""?00;"",""?-00;"",""?00;"", //"""),"'","""")&amp;SUBSTITUTE(TEXT(IF(ISTEXT(Overig!T1097),Overig!T1097,10*Overig!T1097),""",""????0;"",""???-0;"",""????0;"", ////"""),"'","""")&amp;SUBSTITUTE(TEXT(Overig!U1097,""",""?00;"",""?-00;"",""?00;"", //"""),"'","""")&amp;SUBSTITUTE(TEXT(Overig!V1097,""",""???0;"",""??-0;"",""???0;"", ///"""),"'","""")&amp;SUBSTITUTE(TEXT(Overig!W1097,""",""?00;"",""?-00;"",""?00;"", //"""),"'","""")</f>
        <v>032, 19400930, 24.00, ////, 07, ////, 07,  288, 00,  300, 00, ///, 07, ////, 07, ////, 07, ////, 07, ////, 07, ///, 07</v>
      </c>
    </row>
    <row r="1098" spans="1:1" x14ac:dyDescent="0.25">
      <c r="A1098" s="12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//"""),"'","""")&amp;SUBSTITUTE(TEXT(IF(ISTEXT(Overig!J1098),Overig!J1098,10*Overig!J1098),""",""????0;"",""???-0;"",""????0;"", ////"""),"'","""")&amp;SUBSTITUTE(TEXT(Overig!K1098,""",""?00;"",""?-00;"",""?00;"", //"""),"'","""")&amp;SUBSTITUTE(TEXT(Overig!L1098,""",""???0;"",""??-0;"",""???0;"", ///"""),"'","""")&amp;SUBSTITUTE(TEXT(Overig!M1098,""",""?00;"",""?-00;"",""?00;"", //"""),"'","""")&amp;SUBSTITUTE(TEXT(IF(ISTEXT(Overig!N1098),Overig!N1098,10*Overig!N1098),""",""????0;"",""???-0;"",""????0;"", ////"""),"'","""")&amp;SUBSTITUTE(TEXT(Overig!O1098,""",""?00;"",""?-00;"",""?00;"", //"""),"'","""")&amp;SUBSTITUTE(TEXT(IF(ISTEXT(Overig!P1098),Overig!P1098,10*Overig!P1098),""",""????0;"",""???-0;"",""????0;"", ////"""),"'","""")&amp;SUBSTITUTE(TEXT(Overig!Q1098,""",""?00;"",""?-00;"",""?00;"", //"""),"'","""")&amp;SUBSTITUTE(TEXT(Overig!R1098,""",""????0;"",""???-0;"",""????0;"", ////"""),"'","""")&amp;SUBSTITUTE(TEXT(Overig!S1098,""",""?00;"",""?-00;"",""?00;"", //"""),"'","""")&amp;SUBSTITUTE(TEXT(IF(ISTEXT(Overig!T1098),Overig!T1098,10*Overig!T1098),""",""????0;"",""???-0;"",""????0;"", ////"""),"'","""")&amp;SUBSTITUTE(TEXT(Overig!U1098,""",""?00;"",""?-00;"",""?00;"", //"""),"'","""")&amp;SUBSTITUTE(TEXT(Overig!V1098,""",""???0;"",""??-0;"",""???0;"", ///"""),"'","""")&amp;SUBSTITUTE(TEXT(Overig!W1098,""",""?00;"",""?-00;"",""?00;"", //"""),"'","""")</f>
        <v>032, 19401001, 07.00, ////, 07, ////, 07, ////, 07, ////, 07, ///, 07, ////, 07, ////, 07, ////, 07, ////, 07, ///, 07</v>
      </c>
    </row>
    <row r="1099" spans="1:1" x14ac:dyDescent="0.25">
      <c r="A1099" s="12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//"""),"'","""")&amp;SUBSTITUTE(TEXT(IF(ISTEXT(Overig!J1099),Overig!J1099,10*Overig!J1099),""",""????0;"",""???-0;"",""????0;"", ////"""),"'","""")&amp;SUBSTITUTE(TEXT(Overig!K1099,""",""?00;"",""?-00;"",""?00;"", //"""),"'","""")&amp;SUBSTITUTE(TEXT(Overig!L1099,""",""???0;"",""??-0;"",""???0;"", ///"""),"'","""")&amp;SUBSTITUTE(TEXT(Overig!M1099,""",""?00;"",""?-00;"",""?00;"", //"""),"'","""")&amp;SUBSTITUTE(TEXT(IF(ISTEXT(Overig!N1099),Overig!N1099,10*Overig!N1099),""",""????0;"",""???-0;"",""????0;"", ////"""),"'","""")&amp;SUBSTITUTE(TEXT(Overig!O1099,""",""?00;"",""?-00;"",""?00;"", //"""),"'","""")&amp;SUBSTITUTE(TEXT(IF(ISTEXT(Overig!P1099),Overig!P1099,10*Overig!P1099),""",""????0;"",""???-0;"",""????0;"", ////"""),"'","""")&amp;SUBSTITUTE(TEXT(Overig!Q1099,""",""?00;"",""?-00;"",""?00;"", //"""),"'","""")&amp;SUBSTITUTE(TEXT(Overig!R1099,""",""????0;"",""???-0;"",""????0;"", ////"""),"'","""")&amp;SUBSTITUTE(TEXT(Overig!S1099,""",""?00;"",""?-00;"",""?00;"", //"""),"'","""")&amp;SUBSTITUTE(TEXT(IF(ISTEXT(Overig!T1099),Overig!T1099,10*Overig!T1099),""",""????0;"",""???-0;"",""????0;"", ////"""),"'","""")&amp;SUBSTITUTE(TEXT(Overig!U1099,""",""?00;"",""?-00;"",""?00;"", //"""),"'","""")&amp;SUBSTITUTE(TEXT(Overig!V1099,""",""???0;"",""??-0;"",""???0;"", ///"""),"'","""")&amp;SUBSTITUTE(TEXT(Overig!W1099,""",""?00;"",""?-00;"",""?00;"", //"""),"'","""")</f>
        <v>032, 19401001, 12.00, ////, 07, ////, 07, ////, 07, ////, 07, ///, 07, ////, 07, ////, 07, ////, 07, ////, 07, ///, 07</v>
      </c>
    </row>
    <row r="1100" spans="1:1" x14ac:dyDescent="0.25">
      <c r="A1100" s="12" t="str">
        <f ca="1">TEXT(Overig!A1100,"000\,")&amp;TEXT(Overig!B1100,"?00000000")&amp;TEXT(Overig!C1100,""", ""@")&amp;SUBSTITUTE(TEXT(IF(ISTEXT(Overig!D1100),Overig!D1100,10*Overig!D1100),""",""????0;"",""???-0;"",""????0;"", ////"""),"'","""")&amp;SUBSTITUTE(TEXT(Overig!E1100,""",""?00;"",""?-00;"",""?00;"", //"""),"'","""")&amp;SUBSTITUTE(TEXT(IF(ISTEXT(Overig!F1100),Overig!F1100,10*Overig!F1100),""",""????0;"",""???-0;"",""????0;"", ////"""),"'","""")&amp;SUBSTITUTE(TEXT(Overig!G1100,""",""?00;"",""?-00;"",""?00;"", //"""),"'","""")&amp;SUBSTITUTE(TEXT(IF(ISTEXT(Overig!H1100),Overig!H1100,10*Overig!H1100),""",""????0;"",""???-0;"",""????0;"", ////"""),"'","""")&amp;SUBSTITUTE(TEXT(Overig!I1100,""",""?00;"",""?-00;"",""?00;"", //"""),"'","""")&amp;SUBSTITUTE(TEXT(IF(ISTEXT(Overig!J1100),Overig!J1100,10*Overig!J1100),""",""????0;"",""???-0;"",""????0;"", ////"""),"'","""")&amp;SUBSTITUTE(TEXT(Overig!K1100,""",""?00;"",""?-00;"",""?00;"", //"""),"'","""")&amp;SUBSTITUTE(TEXT(Overig!L1100,""",""???0;"",""??-0;"",""???0;"", ///"""),"'","""")&amp;SUBSTITUTE(TEXT(Overig!M1100,""",""?00;"",""?-00;"",""?00;"", //"""),"'","""")&amp;SUBSTITUTE(TEXT(IF(ISTEXT(Overig!N1100),Overig!N1100,10*Overig!N1100),""",""????0;"",""???-0;"",""????0;"", ////"""),"'","""")&amp;SUBSTITUTE(TEXT(Overig!O1100,""",""?00;"",""?-00;"",""?00;"", //"""),"'","""")&amp;SUBSTITUTE(TEXT(IF(ISTEXT(Overig!P1100),Overig!P1100,10*Overig!P1100),""",""????0;"",""???-0;"",""????0;"", ////"""),"'","""")&amp;SUBSTITUTE(TEXT(Overig!Q1100,""",""?00;"",""?-00;"",""?00;"", //"""),"'","""")&amp;SUBSTITUTE(TEXT(Overig!R1100,""",""????0;"",""???-0;"",""????0;"", ////"""),"'","""")&amp;SUBSTITUTE(TEXT(Overig!S1100,""",""?00;"",""?-00;"",""?00;"", //"""),"'","""")&amp;SUBSTITUTE(TEXT(IF(ISTEXT(Overig!T1100),Overig!T1100,10*Overig!T1100),""",""????0;"",""???-0;"",""????0;"", ////"""),"'","""")&amp;SUBSTITUTE(TEXT(Overig!U1100,""",""?00;"",""?-00;"",""?00;"", //"""),"'","""")&amp;SUBSTITUTE(TEXT(Overig!V1100,""",""???0;"",""??-0;"",""???0;"", ///"""),"'","""")&amp;SUBSTITUTE(TEXT(Overig!W1100,""",""?00;"",""?-00;"",""?00;"", //"""),"'","""")</f>
        <v>032, 19401001, 17.00, ////, 07, ////, 07, ////, 07, ////, 07, ///, 07, ////, 07, ////, 07, ////, 07, ////, 07, ///, 07</v>
      </c>
    </row>
    <row r="1101" spans="1:1" x14ac:dyDescent="0.25">
      <c r="A1101" s="12" t="str">
        <f ca="1">TEXT(Overig!A1101,"000\,")&amp;TEXT(Overig!B1101,"?00000000")&amp;TEXT(Overig!C1101,""", ""@")&amp;SUBSTITUTE(TEXT(IF(ISTEXT(Overig!D1101),Overig!D1101,10*Overig!D1101),""",""????0;"",""???-0;"",""????0;"", ////"""),"'","""")&amp;SUBSTITUTE(TEXT(Overig!E1101,""",""?00;"",""?-00;"",""?00;"", //"""),"'","""")&amp;SUBSTITUTE(TEXT(IF(ISTEXT(Overig!F1101),Overig!F1101,10*Overig!F1101),""",""????0;"",""???-0;"",""????0;"", ////"""),"'","""")&amp;SUBSTITUTE(TEXT(Overig!G1101,""",""?00;"",""?-00;"",""?00;"", //"""),"'","""")&amp;SUBSTITUTE(TEXT(IF(ISTEXT(Overig!H1101),Overig!H1101,10*Overig!H1101),""",""????0;"",""???-0;"",""????0;"", ////"""),"'","""")&amp;SUBSTITUTE(TEXT(Overig!I1101,""",""?00;"",""?-00;"",""?00;"", //"""),"'","""")&amp;SUBSTITUTE(TEXT(IF(ISTEXT(Overig!J1101),Overig!J1101,10*Overig!J1101),""",""????0;"",""???-0;"",""????0;"", ////"""),"'","""")&amp;SUBSTITUTE(TEXT(Overig!K1101,""",""?00;"",""?-00;"",""?00;"", //"""),"'","""")&amp;SUBSTITUTE(TEXT(Overig!L1101,""",""???0;"",""??-0;"",""???0;"", ///"""),"'","""")&amp;SUBSTITUTE(TEXT(Overig!M1101,""",""?00;"",""?-00;"",""?00;"", //"""),"'","""")&amp;SUBSTITUTE(TEXT(IF(ISTEXT(Overig!N1101),Overig!N1101,10*Overig!N1101),""",""????0;"",""???-0;"",""????0;"", ////"""),"'","""")&amp;SUBSTITUTE(TEXT(Overig!O1101,""",""?00;"",""?-00;"",""?00;"", //"""),"'","""")&amp;SUBSTITUTE(TEXT(IF(ISTEXT(Overig!P1101),Overig!P1101,10*Overig!P1101),""",""????0;"",""???-0;"",""????0;"", ////"""),"'","""")&amp;SUBSTITUTE(TEXT(Overig!Q1101,""",""?00;"",""?-00;"",""?00;"", //"""),"'","""")&amp;SUBSTITUTE(TEXT(Overig!R1101,""",""????0;"",""???-0;"",""????0;"", ////"""),"'","""")&amp;SUBSTITUTE(TEXT(Overig!S1101,""",""?00;"",""?-00;"",""?00;"", //"""),"'","""")&amp;SUBSTITUTE(TEXT(IF(ISTEXT(Overig!T1101),Overig!T1101,10*Overig!T1101),""",""????0;"",""???-0;"",""????0;"", ////"""),"'","""")&amp;SUBSTITUTE(TEXT(Overig!U1101,""",""?00;"",""?-00;"",""?00;"", //"""),"'","""")&amp;SUBSTITUTE(TEXT(Overig!V1101,""",""???0;"",""??-0;"",""???0;"", ///"""),"'","""")&amp;SUBSTITUTE(TEXT(Overig!W1101,""",""?00;"",""?-00;"",""?00;"", //"""),"'","""")</f>
        <v>032, 19401001, 24.00, ////, 07, ////, 07, ////, 07, ////, 07, ///, 07, ////, 07, ////, 07, ////, 07, ////, 07, ///, 07</v>
      </c>
    </row>
    <row r="1102" spans="1:1" x14ac:dyDescent="0.25">
      <c r="A1102" s="12" t="str">
        <f ca="1">TEXT(Overig!A1102,"000\,")&amp;TEXT(Overig!B1102,"?00000000")&amp;TEXT(Overig!C1102,""", ""@")&amp;SUBSTITUTE(TEXT(IF(ISTEXT(Overig!D1102),Overig!D1102,10*Overig!D1102),""",""????0;"",""???-0;"",""????0;"", ////"""),"'","""")&amp;SUBSTITUTE(TEXT(Overig!E1102,""",""?00;"",""?-00;"",""?00;"", //"""),"'","""")&amp;SUBSTITUTE(TEXT(IF(ISTEXT(Overig!F1102),Overig!F1102,10*Overig!F1102),""",""????0;"",""???-0;"",""????0;"", ////"""),"'","""")&amp;SUBSTITUTE(TEXT(Overig!G1102,""",""?00;"",""?-00;"",""?00;"", //"""),"'","""")&amp;SUBSTITUTE(TEXT(IF(ISTEXT(Overig!H1102),Overig!H1102,10*Overig!H1102),""",""????0;"",""???-0;"",""????0;"", ////"""),"'","""")&amp;SUBSTITUTE(TEXT(Overig!I1102,""",""?00;"",""?-00;"",""?00;"", //"""),"'","""")&amp;SUBSTITUTE(TEXT(IF(ISTEXT(Overig!J1102),Overig!J1102,10*Overig!J1102),""",""????0;"",""???-0;"",""????0;"", ////"""),"'","""")&amp;SUBSTITUTE(TEXT(Overig!K1102,""",""?00;"",""?-00;"",""?00;"", //"""),"'","""")&amp;SUBSTITUTE(TEXT(Overig!L1102,""",""???0;"",""??-0;"",""???0;"", ///"""),"'","""")&amp;SUBSTITUTE(TEXT(Overig!M1102,""",""?00;"",""?-00;"",""?00;"", //"""),"'","""")&amp;SUBSTITUTE(TEXT(IF(ISTEXT(Overig!N1102),Overig!N1102,10*Overig!N1102),""",""????0;"",""???-0;"",""????0;"", ////"""),"'","""")&amp;SUBSTITUTE(TEXT(Overig!O1102,""",""?00;"",""?-00;"",""?00;"", //"""),"'","""")&amp;SUBSTITUTE(TEXT(IF(ISTEXT(Overig!P1102),Overig!P1102,10*Overig!P1102),""",""????0;"",""???-0;"",""????0;"", ////"""),"'","""")&amp;SUBSTITUTE(TEXT(Overig!Q1102,""",""?00;"",""?-00;"",""?00;"", //"""),"'","""")&amp;SUBSTITUTE(TEXT(Overig!R1102,""",""????0;"",""???-0;"",""????0;"", ////"""),"'","""")&amp;SUBSTITUTE(TEXT(Overig!S1102,""",""?00;"",""?-00;"",""?00;"", //"""),"'","""")&amp;SUBSTITUTE(TEXT(IF(ISTEXT(Overig!T1102),Overig!T1102,10*Overig!T1102),""",""????0;"",""???-0;"",""????0;"", ////"""),"'","""")&amp;SUBSTITUTE(TEXT(Overig!U1102,""",""?00;"",""?-00;"",""?00;"", //"""),"'","""")&amp;SUBSTITUTE(TEXT(Overig!V1102,""",""???0;"",""??-0;"",""???0;"", ///"""),"'","""")&amp;SUBSTITUTE(TEXT(Overig!W1102,""",""?00;"",""?-00;"",""?00;"", //"""),"'","""")</f>
        <v>032, 19401002, 07.00, ////, 07, ////, 07, ////, 07, ////, 07, ///, 07, ////, 07, ////, 07, ////, 07, ////, 07, ///, 07</v>
      </c>
    </row>
    <row r="1103" spans="1:1" x14ac:dyDescent="0.25">
      <c r="A1103" s="12" t="str">
        <f ca="1">TEXT(Overig!A1103,"000\,")&amp;TEXT(Overig!B1103,"?00000000")&amp;TEXT(Overig!C1103,""", ""@")&amp;SUBSTITUTE(TEXT(IF(ISTEXT(Overig!D1103),Overig!D1103,10*Overig!D1103),""",""????0;"",""???-0;"",""????0;"", ////"""),"'","""")&amp;SUBSTITUTE(TEXT(Overig!E1103,""",""?00;"",""?-00;"",""?00;"", //"""),"'","""")&amp;SUBSTITUTE(TEXT(IF(ISTEXT(Overig!F1103),Overig!F1103,10*Overig!F1103),""",""????0;"",""???-0;"",""????0;"", ////"""),"'","""")&amp;SUBSTITUTE(TEXT(Overig!G1103,""",""?00;"",""?-00;"",""?00;"", //"""),"'","""")&amp;SUBSTITUTE(TEXT(IF(ISTEXT(Overig!H1103),Overig!H1103,10*Overig!H1103),""",""????0;"",""???-0;"",""????0;"", ////"""),"'","""")&amp;SUBSTITUTE(TEXT(Overig!I1103,""",""?00;"",""?-00;"",""?00;"", //"""),"'","""")&amp;SUBSTITUTE(TEXT(IF(ISTEXT(Overig!J1103),Overig!J1103,10*Overig!J1103),""",""????0;"",""???-0;"",""????0;"", ////"""),"'","""")&amp;SUBSTITUTE(TEXT(Overig!K1103,""",""?00;"",""?-00;"",""?00;"", //"""),"'","""")&amp;SUBSTITUTE(TEXT(Overig!L1103,""",""???0;"",""??-0;"",""???0;"", ///"""),"'","""")&amp;SUBSTITUTE(TEXT(Overig!M1103,""",""?00;"",""?-00;"",""?00;"", //"""),"'","""")&amp;SUBSTITUTE(TEXT(IF(ISTEXT(Overig!N1103),Overig!N1103,10*Overig!N1103),""",""????0;"",""???-0;"",""????0;"", ////"""),"'","""")&amp;SUBSTITUTE(TEXT(Overig!O1103,""",""?00;"",""?-00;"",""?00;"", //"""),"'","""")&amp;SUBSTITUTE(TEXT(IF(ISTEXT(Overig!P1103),Overig!P1103,10*Overig!P1103),""",""????0;"",""???-0;"",""????0;"", ////"""),"'","""")&amp;SUBSTITUTE(TEXT(Overig!Q1103,""",""?00;"",""?-00;"",""?00;"", //"""),"'","""")&amp;SUBSTITUTE(TEXT(Overig!R1103,""",""????0;"",""???-0;"",""????0;"", ////"""),"'","""")&amp;SUBSTITUTE(TEXT(Overig!S1103,""",""?00;"",""?-00;"",""?00;"", //"""),"'","""")&amp;SUBSTITUTE(TEXT(IF(ISTEXT(Overig!T1103),Overig!T1103,10*Overig!T1103),""",""????0;"",""???-0;"",""????0;"", ////"""),"'","""")&amp;SUBSTITUTE(TEXT(Overig!U1103,""",""?00;"",""?-00;"",""?00;"", //"""),"'","""")&amp;SUBSTITUTE(TEXT(Overig!V1103,""",""???0;"",""??-0;"",""???0;"", ///"""),"'","""")&amp;SUBSTITUTE(TEXT(Overig!W1103,""",""?00;"",""?-00;"",""?00;"", //"""),"'","""")</f>
        <v>032, 19401002, 12.00, ////, 07, ////, 07, ////, 07, ////, 07, ///, 07, ////, 07, ////, 07, ////, 07, ////, 07, ///, 07</v>
      </c>
    </row>
    <row r="1104" spans="1:1" x14ac:dyDescent="0.25">
      <c r="A1104" s="12" t="str">
        <f ca="1">TEXT(Overig!A1104,"000\,")&amp;TEXT(Overig!B1104,"?00000000")&amp;TEXT(Overig!C1104,""", ""@")&amp;SUBSTITUTE(TEXT(IF(ISTEXT(Overig!D1104),Overig!D1104,10*Overig!D1104),""",""????0;"",""???-0;"",""????0;"", ////"""),"'","""")&amp;SUBSTITUTE(TEXT(Overig!E1104,""",""?00;"",""?-00;"",""?00;"", //"""),"'","""")&amp;SUBSTITUTE(TEXT(IF(ISTEXT(Overig!F1104),Overig!F1104,10*Overig!F1104),""",""????0;"",""???-0;"",""????0;"", ////"""),"'","""")&amp;SUBSTITUTE(TEXT(Overig!G1104,""",""?00;"",""?-00;"",""?00;"", //"""),"'","""")&amp;SUBSTITUTE(TEXT(IF(ISTEXT(Overig!H1104),Overig!H1104,10*Overig!H1104),""",""????0;"",""???-0;"",""????0;"", ////"""),"'","""")&amp;SUBSTITUTE(TEXT(Overig!I1104,""",""?00;"",""?-00;"",""?00;"", //"""),"'","""")&amp;SUBSTITUTE(TEXT(IF(ISTEXT(Overig!J1104),Overig!J1104,10*Overig!J1104),""",""????0;"",""???-0;"",""????0;"", ////"""),"'","""")&amp;SUBSTITUTE(TEXT(Overig!K1104,""",""?00;"",""?-00;"",""?00;"", //"""),"'","""")&amp;SUBSTITUTE(TEXT(Overig!L1104,""",""???0;"",""??-0;"",""???0;"", ///"""),"'","""")&amp;SUBSTITUTE(TEXT(Overig!M1104,""",""?00;"",""?-00;"",""?00;"", //"""),"'","""")&amp;SUBSTITUTE(TEXT(IF(ISTEXT(Overig!N1104),Overig!N1104,10*Overig!N1104),""",""????0;"",""???-0;"",""????0;"", ////"""),"'","""")&amp;SUBSTITUTE(TEXT(Overig!O1104,""",""?00;"",""?-00;"",""?00;"", //"""),"'","""")&amp;SUBSTITUTE(TEXT(IF(ISTEXT(Overig!P1104),Overig!P1104,10*Overig!P1104),""",""????0;"",""???-0;"",""????0;"", ////"""),"'","""")&amp;SUBSTITUTE(TEXT(Overig!Q1104,""",""?00;"",""?-00;"",""?00;"", //"""),"'","""")&amp;SUBSTITUTE(TEXT(Overig!R1104,""",""????0;"",""???-0;"",""????0;"", ////"""),"'","""")&amp;SUBSTITUTE(TEXT(Overig!S1104,""",""?00;"",""?-00;"",""?00;"", //"""),"'","""")&amp;SUBSTITUTE(TEXT(IF(ISTEXT(Overig!T1104),Overig!T1104,10*Overig!T1104),""",""????0;"",""???-0;"",""????0;"", ////"""),"'","""")&amp;SUBSTITUTE(TEXT(Overig!U1104,""",""?00;"",""?-00;"",""?00;"", //"""),"'","""")&amp;SUBSTITUTE(TEXT(Overig!V1104,""",""???0;"",""??-0;"",""???0;"", ///"""),"'","""")&amp;SUBSTITUTE(TEXT(Overig!W1104,""",""?00;"",""?-00;"",""?00;"", //"""),"'","""")</f>
        <v>032, 19401002, 17.00, ////, 07, ////, 07, ////, 07, ////, 07, ///, 07, ////, 07, ////, 07, ////, 07, ////, 07, ///, 07</v>
      </c>
    </row>
    <row r="1105" spans="1:1" x14ac:dyDescent="0.25">
      <c r="A1105" s="12" t="str">
        <f ca="1">TEXT(Overig!A1105,"000\,")&amp;TEXT(Overig!B1105,"?00000000")&amp;TEXT(Overig!C1105,""", ""@")&amp;SUBSTITUTE(TEXT(IF(ISTEXT(Overig!D1105),Overig!D1105,10*Overig!D1105),""",""????0;"",""???-0;"",""????0;"", ////"""),"'","""")&amp;SUBSTITUTE(TEXT(Overig!E1105,""",""?00;"",""?-00;"",""?00;"", //"""),"'","""")&amp;SUBSTITUTE(TEXT(IF(ISTEXT(Overig!F1105),Overig!F1105,10*Overig!F1105),""",""????0;"",""???-0;"",""????0;"", ////"""),"'","""")&amp;SUBSTITUTE(TEXT(Overig!G1105,""",""?00;"",""?-00;"",""?00;"", //"""),"'","""")&amp;SUBSTITUTE(TEXT(IF(ISTEXT(Overig!H1105),Overig!H1105,10*Overig!H1105),""",""????0;"",""???-0;"",""????0;"", ////"""),"'","""")&amp;SUBSTITUTE(TEXT(Overig!I1105,""",""?00;"",""?-00;"",""?00;"", //"""),"'","""")&amp;SUBSTITUTE(TEXT(IF(ISTEXT(Overig!J1105),Overig!J1105,10*Overig!J1105),""",""????0;"",""???-0;"",""????0;"", ////"""),"'","""")&amp;SUBSTITUTE(TEXT(Overig!K1105,""",""?00;"",""?-00;"",""?00;"", //"""),"'","""")&amp;SUBSTITUTE(TEXT(Overig!L1105,""",""???0;"",""??-0;"",""???0;"", ///"""),"'","""")&amp;SUBSTITUTE(TEXT(Overig!M1105,""",""?00;"",""?-00;"",""?00;"", //"""),"'","""")&amp;SUBSTITUTE(TEXT(IF(ISTEXT(Overig!N1105),Overig!N1105,10*Overig!N1105),""",""????0;"",""???-0;"",""????0;"", ////"""),"'","""")&amp;SUBSTITUTE(TEXT(Overig!O1105,""",""?00;"",""?-00;"",""?00;"", //"""),"'","""")&amp;SUBSTITUTE(TEXT(IF(ISTEXT(Overig!P1105),Overig!P1105,10*Overig!P1105),""",""????0;"",""???-0;"",""????0;"", ////"""),"'","""")&amp;SUBSTITUTE(TEXT(Overig!Q1105,""",""?00;"",""?-00;"",""?00;"", //"""),"'","""")&amp;SUBSTITUTE(TEXT(Overig!R1105,""",""????0;"",""???-0;"",""????0;"", ////"""),"'","""")&amp;SUBSTITUTE(TEXT(Overig!S1105,""",""?00;"",""?-00;"",""?00;"", //"""),"'","""")&amp;SUBSTITUTE(TEXT(IF(ISTEXT(Overig!T1105),Overig!T1105,10*Overig!T1105),""",""????0;"",""???-0;"",""????0;"", ////"""),"'","""")&amp;SUBSTITUTE(TEXT(Overig!U1105,""",""?00;"",""?-00;"",""?00;"", //"""),"'","""")&amp;SUBSTITUTE(TEXT(Overig!V1105,""",""???0;"",""??-0;"",""???0;"", ///"""),"'","""")&amp;SUBSTITUTE(TEXT(Overig!W1105,""",""?00;"",""?-00;"",""?00;"", //"""),"'","""")</f>
        <v>032, 19401002, 24.00, ////, 07, ////, 07, ////, 07, ////, 07, ///, 07, ////, 07, ////, 07, ////, 07, ////, 07, ///, 07</v>
      </c>
    </row>
    <row r="1106" spans="1:1" x14ac:dyDescent="0.25">
      <c r="A1106" s="12" t="str">
        <f ca="1">TEXT(Overig!A1106,"000\,")&amp;TEXT(Overig!B1106,"?00000000")&amp;TEXT(Overig!C1106,""", ""@")&amp;SUBSTITUTE(TEXT(IF(ISTEXT(Overig!D1106),Overig!D1106,10*Overig!D1106),""",""????0;"",""???-0;"",""????0;"", ////"""),"'","""")&amp;SUBSTITUTE(TEXT(Overig!E1106,""",""?00;"",""?-00;"",""?00;"", //"""),"'","""")&amp;SUBSTITUTE(TEXT(IF(ISTEXT(Overig!F1106),Overig!F1106,10*Overig!F1106),""",""????0;"",""???-0;"",""????0;"", ////"""),"'","""")&amp;SUBSTITUTE(TEXT(Overig!G1106,""",""?00;"",""?-00;"",""?00;"", //"""),"'","""")&amp;SUBSTITUTE(TEXT(IF(ISTEXT(Overig!H1106),Overig!H1106,10*Overig!H1106),""",""????0;"",""???-0;"",""????0;"", ////"""),"'","""")&amp;SUBSTITUTE(TEXT(Overig!I1106,""",""?00;"",""?-00;"",""?00;"", //"""),"'","""")&amp;SUBSTITUTE(TEXT(IF(ISTEXT(Overig!J1106),Overig!J1106,10*Overig!J1106),""",""????0;"",""???-0;"",""????0;"", ////"""),"'","""")&amp;SUBSTITUTE(TEXT(Overig!K1106,""",""?00;"",""?-00;"",""?00;"", //"""),"'","""")&amp;SUBSTITUTE(TEXT(Overig!L1106,""",""???0;"",""??-0;"",""???0;"", ///"""),"'","""")&amp;SUBSTITUTE(TEXT(Overig!M1106,""",""?00;"",""?-00;"",""?00;"", //"""),"'","""")&amp;SUBSTITUTE(TEXT(IF(ISTEXT(Overig!N1106),Overig!N1106,10*Overig!N1106),""",""????0;"",""???-0;"",""????0;"", ////"""),"'","""")&amp;SUBSTITUTE(TEXT(Overig!O1106,""",""?00;"",""?-00;"",""?00;"", //"""),"'","""")&amp;SUBSTITUTE(TEXT(IF(ISTEXT(Overig!P1106),Overig!P1106,10*Overig!P1106),""",""????0;"",""???-0;"",""????0;"", ////"""),"'","""")&amp;SUBSTITUTE(TEXT(Overig!Q1106,""",""?00;"",""?-00;"",""?00;"", //"""),"'","""")&amp;SUBSTITUTE(TEXT(Overig!R1106,""",""????0;"",""???-0;"",""????0;"", ////"""),"'","""")&amp;SUBSTITUTE(TEXT(Overig!S1106,""",""?00;"",""?-00;"",""?00;"", //"""),"'","""")&amp;SUBSTITUTE(TEXT(IF(ISTEXT(Overig!T1106),Overig!T1106,10*Overig!T1106),""",""????0;"",""???-0;"",""????0;"", ////"""),"'","""")&amp;SUBSTITUTE(TEXT(Overig!U1106,""",""?00;"",""?-00;"",""?00;"", //"""),"'","""")&amp;SUBSTITUTE(TEXT(Overig!V1106,""",""???0;"",""??-0;"",""???0;"", ///"""),"'","""")&amp;SUBSTITUTE(TEXT(Overig!W1106,""",""?00;"",""?-00;"",""?00;"", //"""),"'","""")</f>
        <v>032, 19401003, 07.00, ////, 07, ////, 07, ////, 07, ////, 07, ///, 07, ////, 07, ////, 07, ////, 07, ////, 07, ///, 07</v>
      </c>
    </row>
    <row r="1107" spans="1:1" x14ac:dyDescent="0.25">
      <c r="A1107" s="12" t="str">
        <f ca="1">TEXT(Overig!A1107,"000\,")&amp;TEXT(Overig!B1107,"?00000000")&amp;TEXT(Overig!C1107,""", ""@")&amp;SUBSTITUTE(TEXT(IF(ISTEXT(Overig!D1107),Overig!D1107,10*Overig!D1107),""",""????0;"",""???-0;"",""????0;"", ////"""),"'","""")&amp;SUBSTITUTE(TEXT(Overig!E1107,""",""?00;"",""?-00;"",""?00;"", //"""),"'","""")&amp;SUBSTITUTE(TEXT(IF(ISTEXT(Overig!F1107),Overig!F1107,10*Overig!F1107),""",""????0;"",""???-0;"",""????0;"", ////"""),"'","""")&amp;SUBSTITUTE(TEXT(Overig!G1107,""",""?00;"",""?-00;"",""?00;"", //"""),"'","""")&amp;SUBSTITUTE(TEXT(IF(ISTEXT(Overig!H1107),Overig!H1107,10*Overig!H1107),""",""????0;"",""???-0;"",""????0;"", ////"""),"'","""")&amp;SUBSTITUTE(TEXT(Overig!I1107,""",""?00;"",""?-00;"",""?00;"", //"""),"'","""")&amp;SUBSTITUTE(TEXT(IF(ISTEXT(Overig!J1107),Overig!J1107,10*Overig!J1107),""",""????0;"",""???-0;"",""????0;"", ////"""),"'","""")&amp;SUBSTITUTE(TEXT(Overig!K1107,""",""?00;"",""?-00;"",""?00;"", //"""),"'","""")&amp;SUBSTITUTE(TEXT(Overig!L1107,""",""???0;"",""??-0;"",""???0;"", ///"""),"'","""")&amp;SUBSTITUTE(TEXT(Overig!M1107,""",""?00;"",""?-00;"",""?00;"", //"""),"'","""")&amp;SUBSTITUTE(TEXT(IF(ISTEXT(Overig!N1107),Overig!N1107,10*Overig!N1107),""",""????0;"",""???-0;"",""????0;"", ////"""),"'","""")&amp;SUBSTITUTE(TEXT(Overig!O1107,""",""?00;"",""?-00;"",""?00;"", //"""),"'","""")&amp;SUBSTITUTE(TEXT(IF(ISTEXT(Overig!P1107),Overig!P1107,10*Overig!P1107),""",""????0;"",""???-0;"",""????0;"", ////"""),"'","""")&amp;SUBSTITUTE(TEXT(Overig!Q1107,""",""?00;"",""?-00;"",""?00;"", //"""),"'","""")&amp;SUBSTITUTE(TEXT(Overig!R1107,""",""????0;"",""???-0;"",""????0;"", ////"""),"'","""")&amp;SUBSTITUTE(TEXT(Overig!S1107,""",""?00;"",""?-00;"",""?00;"", //"""),"'","""")&amp;SUBSTITUTE(TEXT(IF(ISTEXT(Overig!T1107),Overig!T1107,10*Overig!T1107),""",""????0;"",""???-0;"",""????0;"", ////"""),"'","""")&amp;SUBSTITUTE(TEXT(Overig!U1107,""",""?00;"",""?-00;"",""?00;"", //"""),"'","""")&amp;SUBSTITUTE(TEXT(Overig!V1107,""",""???0;"",""??-0;"",""???0;"", ///"""),"'","""")&amp;SUBSTITUTE(TEXT(Overig!W1107,""",""?00;"",""?-00;"",""?00;"", //"""),"'","""")</f>
        <v>032, 19401003, 12.00, ////, 07, ////, 07, ////, 07, ////, 07, ///, 07, ////, 07, ////, 07, ////, 07, ////, 07, ///, 07</v>
      </c>
    </row>
    <row r="1108" spans="1:1" x14ac:dyDescent="0.25">
      <c r="A1108" s="12" t="str">
        <f ca="1">TEXT(Overig!A1108,"000\,")&amp;TEXT(Overig!B1108,"?00000000")&amp;TEXT(Overig!C1108,""", ""@")&amp;SUBSTITUTE(TEXT(IF(ISTEXT(Overig!D1108),Overig!D1108,10*Overig!D1108),""",""????0;"",""???-0;"",""????0;"", ////"""),"'","""")&amp;SUBSTITUTE(TEXT(Overig!E1108,""",""?00;"",""?-00;"",""?00;"", //"""),"'","""")&amp;SUBSTITUTE(TEXT(IF(ISTEXT(Overig!F1108),Overig!F1108,10*Overig!F1108),""",""????0;"",""???-0;"",""????0;"", ////"""),"'","""")&amp;SUBSTITUTE(TEXT(Overig!G1108,""",""?00;"",""?-00;"",""?00;"", //"""),"'","""")&amp;SUBSTITUTE(TEXT(IF(ISTEXT(Overig!H1108),Overig!H1108,10*Overig!H1108),""",""????0;"",""???-0;"",""????0;"", ////"""),"'","""")&amp;SUBSTITUTE(TEXT(Overig!I1108,""",""?00;"",""?-00;"",""?00;"", //"""),"'","""")&amp;SUBSTITUTE(TEXT(IF(ISTEXT(Overig!J1108),Overig!J1108,10*Overig!J1108),""",""????0;"",""???-0;"",""????0;"", ////"""),"'","""")&amp;SUBSTITUTE(TEXT(Overig!K1108,""",""?00;"",""?-00;"",""?00;"", //"""),"'","""")&amp;SUBSTITUTE(TEXT(Overig!L1108,""",""???0;"",""??-0;"",""???0;"", ///"""),"'","""")&amp;SUBSTITUTE(TEXT(Overig!M1108,""",""?00;"",""?-00;"",""?00;"", //"""),"'","""")&amp;SUBSTITUTE(TEXT(IF(ISTEXT(Overig!N1108),Overig!N1108,10*Overig!N1108),""",""????0;"",""???-0;"",""????0;"", ////"""),"'","""")&amp;SUBSTITUTE(TEXT(Overig!O1108,""",""?00;"",""?-00;"",""?00;"", //"""),"'","""")&amp;SUBSTITUTE(TEXT(IF(ISTEXT(Overig!P1108),Overig!P1108,10*Overig!P1108),""",""????0;"",""???-0;"",""????0;"", ////"""),"'","""")&amp;SUBSTITUTE(TEXT(Overig!Q1108,""",""?00;"",""?-00;"",""?00;"", //"""),"'","""")&amp;SUBSTITUTE(TEXT(Overig!R1108,""",""????0;"",""???-0;"",""????0;"", ////"""),"'","""")&amp;SUBSTITUTE(TEXT(Overig!S1108,""",""?00;"",""?-00;"",""?00;"", //"""),"'","""")&amp;SUBSTITUTE(TEXT(IF(ISTEXT(Overig!T1108),Overig!T1108,10*Overig!T1108),""",""????0;"",""???-0;"",""????0;"", ////"""),"'","""")&amp;SUBSTITUTE(TEXT(Overig!U1108,""",""?00;"",""?-00;"",""?00;"", //"""),"'","""")&amp;SUBSTITUTE(TEXT(Overig!V1108,""",""???0;"",""??-0;"",""???0;"", ///"""),"'","""")&amp;SUBSTITUTE(TEXT(Overig!W1108,""",""?00;"",""?-00;"",""?00;"", //"""),"'","""")</f>
        <v>032, 19401003, 17.00, ////, 07, ////, 07, ////, 07, ////, 07, ///, 07, ////, 07, ////, 07, ////, 07, ////, 07, ///, 07</v>
      </c>
    </row>
    <row r="1109" spans="1:1" x14ac:dyDescent="0.25">
      <c r="A1109" s="12" t="str">
        <f ca="1">TEXT(Overig!A1109,"000\,")&amp;TEXT(Overig!B1109,"?00000000")&amp;TEXT(Overig!C1109,""", ""@")&amp;SUBSTITUTE(TEXT(IF(ISTEXT(Overig!D1109),Overig!D1109,10*Overig!D1109),""",""????0;"",""???-0;"",""????0;"", ////"""),"'","""")&amp;SUBSTITUTE(TEXT(Overig!E1109,""",""?00;"",""?-00;"",""?00;"", //"""),"'","""")&amp;SUBSTITUTE(TEXT(IF(ISTEXT(Overig!F1109),Overig!F1109,10*Overig!F1109),""",""????0;"",""???-0;"",""????0;"", ////"""),"'","""")&amp;SUBSTITUTE(TEXT(Overig!G1109,""",""?00;"",""?-00;"",""?00;"", //"""),"'","""")&amp;SUBSTITUTE(TEXT(IF(ISTEXT(Overig!H1109),Overig!H1109,10*Overig!H1109),""",""????0;"",""???-0;"",""????0;"", ////"""),"'","""")&amp;SUBSTITUTE(TEXT(Overig!I1109,""",""?00;"",""?-00;"",""?00;"", //"""),"'","""")&amp;SUBSTITUTE(TEXT(IF(ISTEXT(Overig!J1109),Overig!J1109,10*Overig!J1109),""",""????0;"",""???-0;"",""????0;"", ////"""),"'","""")&amp;SUBSTITUTE(TEXT(Overig!K1109,""",""?00;"",""?-00;"",""?00;"", //"""),"'","""")&amp;SUBSTITUTE(TEXT(Overig!L1109,""",""???0;"",""??-0;"",""???0;"", ///"""),"'","""")&amp;SUBSTITUTE(TEXT(Overig!M1109,""",""?00;"",""?-00;"",""?00;"", //"""),"'","""")&amp;SUBSTITUTE(TEXT(IF(ISTEXT(Overig!N1109),Overig!N1109,10*Overig!N1109),""",""????0;"",""???-0;"",""????0;"", ////"""),"'","""")&amp;SUBSTITUTE(TEXT(Overig!O1109,""",""?00;"",""?-00;"",""?00;"", //"""),"'","""")&amp;SUBSTITUTE(TEXT(IF(ISTEXT(Overig!P1109),Overig!P1109,10*Overig!P1109),""",""????0;"",""???-0;"",""????0;"", ////"""),"'","""")&amp;SUBSTITUTE(TEXT(Overig!Q1109,""",""?00;"",""?-00;"",""?00;"", //"""),"'","""")&amp;SUBSTITUTE(TEXT(Overig!R1109,""",""????0;"",""???-0;"",""????0;"", ////"""),"'","""")&amp;SUBSTITUTE(TEXT(Overig!S1109,""",""?00;"",""?-00;"",""?00;"", //"""),"'","""")&amp;SUBSTITUTE(TEXT(IF(ISTEXT(Overig!T1109),Overig!T1109,10*Overig!T1109),""",""????0;"",""???-0;"",""????0;"", ////"""),"'","""")&amp;SUBSTITUTE(TEXT(Overig!U1109,""",""?00;"",""?-00;"",""?00;"", //"""),"'","""")&amp;SUBSTITUTE(TEXT(Overig!V1109,""",""???0;"",""??-0;"",""???0;"", ///"""),"'","""")&amp;SUBSTITUTE(TEXT(Overig!W1109,""",""?00;"",""?-00;"",""?00;"", //"""),"'","""")</f>
        <v>032, 19401003, 24.00, ////, 07, ////, 07, ////, 07, ////, 07, ///, 07, ////, 07, ////, 07, ////, 07, ////, 07, ///, 07</v>
      </c>
    </row>
    <row r="1110" spans="1:1" x14ac:dyDescent="0.25">
      <c r="A1110" s="12" t="str">
        <f ca="1">TEXT(Overig!A1110,"000\,")&amp;TEXT(Overig!B1110,"?00000000")&amp;TEXT(Overig!C1110,""", ""@")&amp;SUBSTITUTE(TEXT(IF(ISTEXT(Overig!D1110),Overig!D1110,10*Overig!D1110),""",""????0;"",""???-0;"",""????0;"", ////"""),"'","""")&amp;SUBSTITUTE(TEXT(Overig!E1110,""",""?00;"",""?-00;"",""?00;"", //"""),"'","""")&amp;SUBSTITUTE(TEXT(IF(ISTEXT(Overig!F1110),Overig!F1110,10*Overig!F1110),""",""????0;"",""???-0;"",""????0;"", ////"""),"'","""")&amp;SUBSTITUTE(TEXT(Overig!G1110,""",""?00;"",""?-00;"",""?00;"", //"""),"'","""")&amp;SUBSTITUTE(TEXT(IF(ISTEXT(Overig!H1110),Overig!H1110,10*Overig!H1110),""",""????0;"",""???-0;"",""????0;"", ////"""),"'","""")&amp;SUBSTITUTE(TEXT(Overig!I1110,""",""?00;"",""?-00;"",""?00;"", //"""),"'","""")&amp;SUBSTITUTE(TEXT(IF(ISTEXT(Overig!J1110),Overig!J1110,10*Overig!J1110),""",""????0;"",""???-0;"",""????0;"", ////"""),"'","""")&amp;SUBSTITUTE(TEXT(Overig!K1110,""",""?00;"",""?-00;"",""?00;"", //"""),"'","""")&amp;SUBSTITUTE(TEXT(Overig!L1110,""",""???0;"",""??-0;"",""???0;"", ///"""),"'","""")&amp;SUBSTITUTE(TEXT(Overig!M1110,""",""?00;"",""?-00;"",""?00;"", //"""),"'","""")&amp;SUBSTITUTE(TEXT(IF(ISTEXT(Overig!N1110),Overig!N1110,10*Overig!N1110),""",""????0;"",""???-0;"",""????0;"", ////"""),"'","""")&amp;SUBSTITUTE(TEXT(Overig!O1110,""",""?00;"",""?-00;"",""?00;"", //"""),"'","""")&amp;SUBSTITUTE(TEXT(IF(ISTEXT(Overig!P1110),Overig!P1110,10*Overig!P1110),""",""????0;"",""???-0;"",""????0;"", ////"""),"'","""")&amp;SUBSTITUTE(TEXT(Overig!Q1110,""",""?00;"",""?-00;"",""?00;"", //"""),"'","""")&amp;SUBSTITUTE(TEXT(Overig!R1110,""",""????0;"",""???-0;"",""????0;"", ////"""),"'","""")&amp;SUBSTITUTE(TEXT(Overig!S1110,""",""?00;"",""?-00;"",""?00;"", //"""),"'","""")&amp;SUBSTITUTE(TEXT(IF(ISTEXT(Overig!T1110),Overig!T1110,10*Overig!T1110),""",""????0;"",""???-0;"",""????0;"", ////"""),"'","""")&amp;SUBSTITUTE(TEXT(Overig!U1110,""",""?00;"",""?-00;"",""?00;"", //"""),"'","""")&amp;SUBSTITUTE(TEXT(Overig!V1110,""",""???0;"",""??-0;"",""???0;"", ///"""),"'","""")&amp;SUBSTITUTE(TEXT(Overig!W1110,""",""?00;"",""?-00;"",""?00;"", //"""),"'","""")</f>
        <v>032, 19401004, 07.00, ////, 07, ////, 07, ////, 07, ////, 07, ///, 07, ////, 07, ////, 07, ////, 07, ////, 07, ///, 07</v>
      </c>
    </row>
    <row r="1111" spans="1:1" x14ac:dyDescent="0.25">
      <c r="A1111" s="12" t="str">
        <f ca="1">TEXT(Overig!A1111,"000\,")&amp;TEXT(Overig!B1111,"?00000000")&amp;TEXT(Overig!C1111,""", ""@")&amp;SUBSTITUTE(TEXT(IF(ISTEXT(Overig!D1111),Overig!D1111,10*Overig!D1111),""",""????0;"",""???-0;"",""????0;"", ////"""),"'","""")&amp;SUBSTITUTE(TEXT(Overig!E1111,""",""?00;"",""?-00;"",""?00;"", //"""),"'","""")&amp;SUBSTITUTE(TEXT(IF(ISTEXT(Overig!F1111),Overig!F1111,10*Overig!F1111),""",""????0;"",""???-0;"",""????0;"", ////"""),"'","""")&amp;SUBSTITUTE(TEXT(Overig!G1111,""",""?00;"",""?-00;"",""?00;"", //"""),"'","""")&amp;SUBSTITUTE(TEXT(IF(ISTEXT(Overig!H1111),Overig!H1111,10*Overig!H1111),""",""????0;"",""???-0;"",""????0;"", ////"""),"'","""")&amp;SUBSTITUTE(TEXT(Overig!I1111,""",""?00;"",""?-00;"",""?00;"", //"""),"'","""")&amp;SUBSTITUTE(TEXT(IF(ISTEXT(Overig!J1111),Overig!J1111,10*Overig!J1111),""",""????0;"",""???-0;"",""????0;"", ////"""),"'","""")&amp;SUBSTITUTE(TEXT(Overig!K1111,""",""?00;"",""?-00;"",""?00;"", //"""),"'","""")&amp;SUBSTITUTE(TEXT(Overig!L1111,""",""???0;"",""??-0;"",""???0;"", ///"""),"'","""")&amp;SUBSTITUTE(TEXT(Overig!M1111,""",""?00;"",""?-00;"",""?00;"", //"""),"'","""")&amp;SUBSTITUTE(TEXT(IF(ISTEXT(Overig!N1111),Overig!N1111,10*Overig!N1111),""",""????0;"",""???-0;"",""????0;"", ////"""),"'","""")&amp;SUBSTITUTE(TEXT(Overig!O1111,""",""?00;"",""?-00;"",""?00;"", //"""),"'","""")&amp;SUBSTITUTE(TEXT(IF(ISTEXT(Overig!P1111),Overig!P1111,10*Overig!P1111),""",""????0;"",""???-0;"",""????0;"", ////"""),"'","""")&amp;SUBSTITUTE(TEXT(Overig!Q1111,""",""?00;"",""?-00;"",""?00;"", //"""),"'","""")&amp;SUBSTITUTE(TEXT(Overig!R1111,""",""????0;"",""???-0;"",""????0;"", ////"""),"'","""")&amp;SUBSTITUTE(TEXT(Overig!S1111,""",""?00;"",""?-00;"",""?00;"", //"""),"'","""")&amp;SUBSTITUTE(TEXT(IF(ISTEXT(Overig!T1111),Overig!T1111,10*Overig!T1111),""",""????0;"",""???-0;"",""????0;"", ////"""),"'","""")&amp;SUBSTITUTE(TEXT(Overig!U1111,""",""?00;"",""?-00;"",""?00;"", //"""),"'","""")&amp;SUBSTITUTE(TEXT(Overig!V1111,""",""???0;"",""??-0;"",""???0;"", ///"""),"'","""")&amp;SUBSTITUTE(TEXT(Overig!W1111,""",""?00;"",""?-00;"",""?00;"", //"""),"'","""")</f>
        <v>032, 19401004, 12.00, ////, 07, ////, 07, ////, 07, ////, 07, ///, 07, ////, 07, ////, 07, ////, 07, ////, 07, ///, 07</v>
      </c>
    </row>
    <row r="1112" spans="1:1" x14ac:dyDescent="0.25">
      <c r="A1112" s="12" t="str">
        <f ca="1">TEXT(Overig!A1112,"000\,")&amp;TEXT(Overig!B1112,"?00000000")&amp;TEXT(Overig!C1112,""", ""@")&amp;SUBSTITUTE(TEXT(IF(ISTEXT(Overig!D1112),Overig!D1112,10*Overig!D1112),""",""????0;"",""???-0;"",""????0;"", ////"""),"'","""")&amp;SUBSTITUTE(TEXT(Overig!E1112,""",""?00;"",""?-00;"",""?00;"", //"""),"'","""")&amp;SUBSTITUTE(TEXT(IF(ISTEXT(Overig!F1112),Overig!F1112,10*Overig!F1112),""",""????0;"",""???-0;"",""????0;"", ////"""),"'","""")&amp;SUBSTITUTE(TEXT(Overig!G1112,""",""?00;"",""?-00;"",""?00;"", //"""),"'","""")&amp;SUBSTITUTE(TEXT(IF(ISTEXT(Overig!H1112),Overig!H1112,10*Overig!H1112),""",""????0;"",""???-0;"",""????0;"", ////"""),"'","""")&amp;SUBSTITUTE(TEXT(Overig!I1112,""",""?00;"",""?-00;"",""?00;"", //"""),"'","""")&amp;SUBSTITUTE(TEXT(IF(ISTEXT(Overig!J1112),Overig!J1112,10*Overig!J1112),""",""????0;"",""???-0;"",""????0;"", ////"""),"'","""")&amp;SUBSTITUTE(TEXT(Overig!K1112,""",""?00;"",""?-00;"",""?00;"", //"""),"'","""")&amp;SUBSTITUTE(TEXT(Overig!L1112,""",""???0;"",""??-0;"",""???0;"", ///"""),"'","""")&amp;SUBSTITUTE(TEXT(Overig!M1112,""",""?00;"",""?-00;"",""?00;"", //"""),"'","""")&amp;SUBSTITUTE(TEXT(IF(ISTEXT(Overig!N1112),Overig!N1112,10*Overig!N1112),""",""????0;"",""???-0;"",""????0;"", ////"""),"'","""")&amp;SUBSTITUTE(TEXT(Overig!O1112,""",""?00;"",""?-00;"",""?00;"", //"""),"'","""")&amp;SUBSTITUTE(TEXT(IF(ISTEXT(Overig!P1112),Overig!P1112,10*Overig!P1112),""",""????0;"",""???-0;"",""????0;"", ////"""),"'","""")&amp;SUBSTITUTE(TEXT(Overig!Q1112,""",""?00;"",""?-00;"",""?00;"", //"""),"'","""")&amp;SUBSTITUTE(TEXT(Overig!R1112,""",""????0;"",""???-0;"",""????0;"", ////"""),"'","""")&amp;SUBSTITUTE(TEXT(Overig!S1112,""",""?00;"",""?-00;"",""?00;"", //"""),"'","""")&amp;SUBSTITUTE(TEXT(IF(ISTEXT(Overig!T1112),Overig!T1112,10*Overig!T1112),""",""????0;"",""???-0;"",""????0;"", ////"""),"'","""")&amp;SUBSTITUTE(TEXT(Overig!U1112,""",""?00;"",""?-00;"",""?00;"", //"""),"'","""")&amp;SUBSTITUTE(TEXT(Overig!V1112,""",""???0;"",""??-0;"",""???0;"", ///"""),"'","""")&amp;SUBSTITUTE(TEXT(Overig!W1112,""",""?00;"",""?-00;"",""?00;"", //"""),"'","""")</f>
        <v>032, 19401004, 17.00, ////, 07, ////, 07, ////, 07, ////, 07, ///, 07, ////, 07, ////, 07, ////, 07, ////, 07, ///, 07</v>
      </c>
    </row>
    <row r="1113" spans="1:1" x14ac:dyDescent="0.25">
      <c r="A1113" s="12" t="str">
        <f ca="1">TEXT(Overig!A1113,"000\,")&amp;TEXT(Overig!B1113,"?00000000")&amp;TEXT(Overig!C1113,""", ""@")&amp;SUBSTITUTE(TEXT(IF(ISTEXT(Overig!D1113),Overig!D1113,10*Overig!D1113),""",""????0;"",""???-0;"",""????0;"", ////"""),"'","""")&amp;SUBSTITUTE(TEXT(Overig!E1113,""",""?00;"",""?-00;"",""?00;"", //"""),"'","""")&amp;SUBSTITUTE(TEXT(IF(ISTEXT(Overig!F1113),Overig!F1113,10*Overig!F1113),""",""????0;"",""???-0;"",""????0;"", ////"""),"'","""")&amp;SUBSTITUTE(TEXT(Overig!G1113,""",""?00;"",""?-00;"",""?00;"", //"""),"'","""")&amp;SUBSTITUTE(TEXT(IF(ISTEXT(Overig!H1113),Overig!H1113,10*Overig!H1113),""",""????0;"",""???-0;"",""????0;"", ////"""),"'","""")&amp;SUBSTITUTE(TEXT(Overig!I1113,""",""?00;"",""?-00;"",""?00;"", //"""),"'","""")&amp;SUBSTITUTE(TEXT(IF(ISTEXT(Overig!J1113),Overig!J1113,10*Overig!J1113),""",""????0;"",""???-0;"",""????0;"", ////"""),"'","""")&amp;SUBSTITUTE(TEXT(Overig!K1113,""",""?00;"",""?-00;"",""?00;"", //"""),"'","""")&amp;SUBSTITUTE(TEXT(Overig!L1113,""",""???0;"",""??-0;"",""???0;"", ///"""),"'","""")&amp;SUBSTITUTE(TEXT(Overig!M1113,""",""?00;"",""?-00;"",""?00;"", //"""),"'","""")&amp;SUBSTITUTE(TEXT(IF(ISTEXT(Overig!N1113),Overig!N1113,10*Overig!N1113),""",""????0;"",""???-0;"",""????0;"", ////"""),"'","""")&amp;SUBSTITUTE(TEXT(Overig!O1113,""",""?00;"",""?-00;"",""?00;"", //"""),"'","""")&amp;SUBSTITUTE(TEXT(IF(ISTEXT(Overig!P1113),Overig!P1113,10*Overig!P1113),""",""????0;"",""???-0;"",""????0;"", ////"""),"'","""")&amp;SUBSTITUTE(TEXT(Overig!Q1113,""",""?00;"",""?-00;"",""?00;"", //"""),"'","""")&amp;SUBSTITUTE(TEXT(Overig!R1113,""",""????0;"",""???-0;"",""????0;"", ////"""),"'","""")&amp;SUBSTITUTE(TEXT(Overig!S1113,""",""?00;"",""?-00;"",""?00;"", //"""),"'","""")&amp;SUBSTITUTE(TEXT(IF(ISTEXT(Overig!T1113),Overig!T1113,10*Overig!T1113),""",""????0;"",""???-0;"",""????0;"", ////"""),"'","""")&amp;SUBSTITUTE(TEXT(Overig!U1113,""",""?00;"",""?-00;"",""?00;"", //"""),"'","""")&amp;SUBSTITUTE(TEXT(Overig!V1113,""",""???0;"",""??-0;"",""???0;"", ///"""),"'","""")&amp;SUBSTITUTE(TEXT(Overig!W1113,""",""?00;"",""?-00;"",""?00;"", //"""),"'","""")</f>
        <v>032, 19401004, 24.00, ////, 07, ////, 07, ////, 07, ////, 07, ///, 07, ////, 07, ////, 07, ////, 07, ////, 07, ///, 07</v>
      </c>
    </row>
    <row r="1114" spans="1:1" x14ac:dyDescent="0.25">
      <c r="A1114" s="12" t="str">
        <f ca="1">TEXT(Overig!A1114,"000\,")&amp;TEXT(Overig!B1114,"?00000000")&amp;TEXT(Overig!C1114,""", ""@")&amp;SUBSTITUTE(TEXT(IF(ISTEXT(Overig!D1114),Overig!D1114,10*Overig!D1114),""",""????0;"",""???-0;"",""????0;"", ////"""),"'","""")&amp;SUBSTITUTE(TEXT(Overig!E1114,""",""?00;"",""?-00;"",""?00;"", //"""),"'","""")&amp;SUBSTITUTE(TEXT(IF(ISTEXT(Overig!F1114),Overig!F1114,10*Overig!F1114),""",""????0;"",""???-0;"",""????0;"", ////"""),"'","""")&amp;SUBSTITUTE(TEXT(Overig!G1114,""",""?00;"",""?-00;"",""?00;"", //"""),"'","""")&amp;SUBSTITUTE(TEXT(IF(ISTEXT(Overig!H1114),Overig!H1114,10*Overig!H1114),""",""????0;"",""???-0;"",""????0;"", ////"""),"'","""")&amp;SUBSTITUTE(TEXT(Overig!I1114,""",""?00;"",""?-00;"",""?00;"", //"""),"'","""")&amp;SUBSTITUTE(TEXT(IF(ISTEXT(Overig!J1114),Overig!J1114,10*Overig!J1114),""",""????0;"",""???-0;"",""????0;"", ////"""),"'","""")&amp;SUBSTITUTE(TEXT(Overig!K1114,""",""?00;"",""?-00;"",""?00;"", //"""),"'","""")&amp;SUBSTITUTE(TEXT(Overig!L1114,""",""???0;"",""??-0;"",""???0;"", ///"""),"'","""")&amp;SUBSTITUTE(TEXT(Overig!M1114,""",""?00;"",""?-00;"",""?00;"", //"""),"'","""")&amp;SUBSTITUTE(TEXT(IF(ISTEXT(Overig!N1114),Overig!N1114,10*Overig!N1114),""",""????0;"",""???-0;"",""????0;"", ////"""),"'","""")&amp;SUBSTITUTE(TEXT(Overig!O1114,""",""?00;"",""?-00;"",""?00;"", //"""),"'","""")&amp;SUBSTITUTE(TEXT(IF(ISTEXT(Overig!P1114),Overig!P1114,10*Overig!P1114),""",""????0;"",""???-0;"",""????0;"", ////"""),"'","""")&amp;SUBSTITUTE(TEXT(Overig!Q1114,""",""?00;"",""?-00;"",""?00;"", //"""),"'","""")&amp;SUBSTITUTE(TEXT(Overig!R1114,""",""????0;"",""???-0;"",""????0;"", ////"""),"'","""")&amp;SUBSTITUTE(TEXT(Overig!S1114,""",""?00;"",""?-00;"",""?00;"", //"""),"'","""")&amp;SUBSTITUTE(TEXT(IF(ISTEXT(Overig!T1114),Overig!T1114,10*Overig!T1114),""",""????0;"",""???-0;"",""????0;"", ////"""),"'","""")&amp;SUBSTITUTE(TEXT(Overig!U1114,""",""?00;"",""?-00;"",""?00;"", //"""),"'","""")&amp;SUBSTITUTE(TEXT(Overig!V1114,""",""???0;"",""??-0;"",""???0;"", ///"""),"'","""")&amp;SUBSTITUTE(TEXT(Overig!W1114,""",""?00;"",""?-00;"",""?00;"", //"""),"'","""")</f>
        <v>032, 19401005, 07.00, ////, 07, ////, 07, ////, 07, ////, 07, ///, 07, ////, 07, ////, 07, ////, 07, ////, 07, ///, 07</v>
      </c>
    </row>
    <row r="1115" spans="1:1" x14ac:dyDescent="0.25">
      <c r="A1115" s="12" t="str">
        <f ca="1">TEXT(Overig!A1115,"000\,")&amp;TEXT(Overig!B1115,"?00000000")&amp;TEXT(Overig!C1115,""", ""@")&amp;SUBSTITUTE(TEXT(IF(ISTEXT(Overig!D1115),Overig!D1115,10*Overig!D1115),""",""????0;"",""???-0;"",""????0;"", ////"""),"'","""")&amp;SUBSTITUTE(TEXT(Overig!E1115,""",""?00;"",""?-00;"",""?00;"", //"""),"'","""")&amp;SUBSTITUTE(TEXT(IF(ISTEXT(Overig!F1115),Overig!F1115,10*Overig!F1115),""",""????0;"",""???-0;"",""????0;"", ////"""),"'","""")&amp;SUBSTITUTE(TEXT(Overig!G1115,""",""?00;"",""?-00;"",""?00;"", //"""),"'","""")&amp;SUBSTITUTE(TEXT(IF(ISTEXT(Overig!H1115),Overig!H1115,10*Overig!H1115),""",""????0;"",""???-0;"",""????0;"", ////"""),"'","""")&amp;SUBSTITUTE(TEXT(Overig!I1115,""",""?00;"",""?-00;"",""?00;"", //"""),"'","""")&amp;SUBSTITUTE(TEXT(IF(ISTEXT(Overig!J1115),Overig!J1115,10*Overig!J1115),""",""????0;"",""???-0;"",""????0;"", ////"""),"'","""")&amp;SUBSTITUTE(TEXT(Overig!K1115,""",""?00;"",""?-00;"",""?00;"", //"""),"'","""")&amp;SUBSTITUTE(TEXT(Overig!L1115,""",""???0;"",""??-0;"",""???0;"", ///"""),"'","""")&amp;SUBSTITUTE(TEXT(Overig!M1115,""",""?00;"",""?-00;"",""?00;"", //"""),"'","""")&amp;SUBSTITUTE(TEXT(IF(ISTEXT(Overig!N1115),Overig!N1115,10*Overig!N1115),""",""????0;"",""???-0;"",""????0;"", ////"""),"'","""")&amp;SUBSTITUTE(TEXT(Overig!O1115,""",""?00;"",""?-00;"",""?00;"", //"""),"'","""")&amp;SUBSTITUTE(TEXT(IF(ISTEXT(Overig!P1115),Overig!P1115,10*Overig!P1115),""",""????0;"",""???-0;"",""????0;"", ////"""),"'","""")&amp;SUBSTITUTE(TEXT(Overig!Q1115,""",""?00;"",""?-00;"",""?00;"", //"""),"'","""")&amp;SUBSTITUTE(TEXT(Overig!R1115,""",""????0;"",""???-0;"",""????0;"", ////"""),"'","""")&amp;SUBSTITUTE(TEXT(Overig!S1115,""",""?00;"",""?-00;"",""?00;"", //"""),"'","""")&amp;SUBSTITUTE(TEXT(IF(ISTEXT(Overig!T1115),Overig!T1115,10*Overig!T1115),""",""????0;"",""???-0;"",""????0;"", ////"""),"'","""")&amp;SUBSTITUTE(TEXT(Overig!U1115,""",""?00;"",""?-00;"",""?00;"", //"""),"'","""")&amp;SUBSTITUTE(TEXT(Overig!V1115,""",""???0;"",""??-0;"",""???0;"", ///"""),"'","""")&amp;SUBSTITUTE(TEXT(Overig!W1115,""",""?00;"",""?-00;"",""?00;"", //"""),"'","""")</f>
        <v>032, 19401005, 12.00, ////, 07, ////, 07, ////, 07, ////, 07, ///, 07, ////, 07, ////, 07, ////, 07, ////, 07, ///, 07</v>
      </c>
    </row>
    <row r="1116" spans="1:1" x14ac:dyDescent="0.25">
      <c r="A1116" s="12" t="str">
        <f ca="1">TEXT(Overig!A1116,"000\,")&amp;TEXT(Overig!B1116,"?00000000")&amp;TEXT(Overig!C1116,""", ""@")&amp;SUBSTITUTE(TEXT(IF(ISTEXT(Overig!D1116),Overig!D1116,10*Overig!D1116),""",""????0;"",""???-0;"",""????0;"", ////"""),"'","""")&amp;SUBSTITUTE(TEXT(Overig!E1116,""",""?00;"",""?-00;"",""?00;"", //"""),"'","""")&amp;SUBSTITUTE(TEXT(IF(ISTEXT(Overig!F1116),Overig!F1116,10*Overig!F1116),""",""????0;"",""???-0;"",""????0;"", ////"""),"'","""")&amp;SUBSTITUTE(TEXT(Overig!G1116,""",""?00;"",""?-00;"",""?00;"", //"""),"'","""")&amp;SUBSTITUTE(TEXT(IF(ISTEXT(Overig!H1116),Overig!H1116,10*Overig!H1116),""",""????0;"",""???-0;"",""????0;"", ////"""),"'","""")&amp;SUBSTITUTE(TEXT(Overig!I1116,""",""?00;"",""?-00;"",""?00;"", //"""),"'","""")&amp;SUBSTITUTE(TEXT(IF(ISTEXT(Overig!J1116),Overig!J1116,10*Overig!J1116),""",""????0;"",""???-0;"",""????0;"", ////"""),"'","""")&amp;SUBSTITUTE(TEXT(Overig!K1116,""",""?00;"",""?-00;"",""?00;"", //"""),"'","""")&amp;SUBSTITUTE(TEXT(Overig!L1116,""",""???0;"",""??-0;"",""???0;"", ///"""),"'","""")&amp;SUBSTITUTE(TEXT(Overig!M1116,""",""?00;"",""?-00;"",""?00;"", //"""),"'","""")&amp;SUBSTITUTE(TEXT(IF(ISTEXT(Overig!N1116),Overig!N1116,10*Overig!N1116),""",""????0;"",""???-0;"",""????0;"", ////"""),"'","""")&amp;SUBSTITUTE(TEXT(Overig!O1116,""",""?00;"",""?-00;"",""?00;"", //"""),"'","""")&amp;SUBSTITUTE(TEXT(IF(ISTEXT(Overig!P1116),Overig!P1116,10*Overig!P1116),""",""????0;"",""???-0;"",""????0;"", ////"""),"'","""")&amp;SUBSTITUTE(TEXT(Overig!Q1116,""",""?00;"",""?-00;"",""?00;"", //"""),"'","""")&amp;SUBSTITUTE(TEXT(Overig!R1116,""",""????0;"",""???-0;"",""????0;"", ////"""),"'","""")&amp;SUBSTITUTE(TEXT(Overig!S1116,""",""?00;"",""?-00;"",""?00;"", //"""),"'","""")&amp;SUBSTITUTE(TEXT(IF(ISTEXT(Overig!T1116),Overig!T1116,10*Overig!T1116),""",""????0;"",""???-0;"",""????0;"", ////"""),"'","""")&amp;SUBSTITUTE(TEXT(Overig!U1116,""",""?00;"",""?-00;"",""?00;"", //"""),"'","""")&amp;SUBSTITUTE(TEXT(Overig!V1116,""",""???0;"",""??-0;"",""???0;"", ///"""),"'","""")&amp;SUBSTITUTE(TEXT(Overig!W1116,""",""?00;"",""?-00;"",""?00;"", //"""),"'","""")</f>
        <v>032, 19401005, 17.00, ////, 07, ////, 07, ////, 07, ////, 07, ///, 07, ////, 07, ////, 07, ////, 07, ////, 07, ///, 07</v>
      </c>
    </row>
    <row r="1117" spans="1:1" x14ac:dyDescent="0.25">
      <c r="A1117" s="12" t="str">
        <f ca="1">TEXT(Overig!A1117,"000\,")&amp;TEXT(Overig!B1117,"?00000000")&amp;TEXT(Overig!C1117,""", ""@")&amp;SUBSTITUTE(TEXT(IF(ISTEXT(Overig!D1117),Overig!D1117,10*Overig!D1117),""",""????0;"",""???-0;"",""????0;"", ////"""),"'","""")&amp;SUBSTITUTE(TEXT(Overig!E1117,""",""?00;"",""?-00;"",""?00;"", //"""),"'","""")&amp;SUBSTITUTE(TEXT(IF(ISTEXT(Overig!F1117),Overig!F1117,10*Overig!F1117),""",""????0;"",""???-0;"",""????0;"", ////"""),"'","""")&amp;SUBSTITUTE(TEXT(Overig!G1117,""",""?00;"",""?-00;"",""?00;"", //"""),"'","""")&amp;SUBSTITUTE(TEXT(IF(ISTEXT(Overig!H1117),Overig!H1117,10*Overig!H1117),""",""????0;"",""???-0;"",""????0;"", ////"""),"'","""")&amp;SUBSTITUTE(TEXT(Overig!I1117,""",""?00;"",""?-00;"",""?00;"", //"""),"'","""")&amp;SUBSTITUTE(TEXT(IF(ISTEXT(Overig!J1117),Overig!J1117,10*Overig!J1117),""",""????0;"",""???-0;"",""????0;"", ////"""),"'","""")&amp;SUBSTITUTE(TEXT(Overig!K1117,""",""?00;"",""?-00;"",""?00;"", //"""),"'","""")&amp;SUBSTITUTE(TEXT(Overig!L1117,""",""???0;"",""??-0;"",""???0;"", ///"""),"'","""")&amp;SUBSTITUTE(TEXT(Overig!M1117,""",""?00;"",""?-00;"",""?00;"", //"""),"'","""")&amp;SUBSTITUTE(TEXT(IF(ISTEXT(Overig!N1117),Overig!N1117,10*Overig!N1117),""",""????0;"",""???-0;"",""????0;"", ////"""),"'","""")&amp;SUBSTITUTE(TEXT(Overig!O1117,""",""?00;"",""?-00;"",""?00;"", //"""),"'","""")&amp;SUBSTITUTE(TEXT(IF(ISTEXT(Overig!P1117),Overig!P1117,10*Overig!P1117),""",""????0;"",""???-0;"",""????0;"", ////"""),"'","""")&amp;SUBSTITUTE(TEXT(Overig!Q1117,""",""?00;"",""?-00;"",""?00;"", //"""),"'","""")&amp;SUBSTITUTE(TEXT(Overig!R1117,""",""????0;"",""???-0;"",""????0;"", ////"""),"'","""")&amp;SUBSTITUTE(TEXT(Overig!S1117,""",""?00;"",""?-00;"",""?00;"", //"""),"'","""")&amp;SUBSTITUTE(TEXT(IF(ISTEXT(Overig!T1117),Overig!T1117,10*Overig!T1117),""",""????0;"",""???-0;"",""????0;"", ////"""),"'","""")&amp;SUBSTITUTE(TEXT(Overig!U1117,""",""?00;"",""?-00;"",""?00;"", //"""),"'","""")&amp;SUBSTITUTE(TEXT(Overig!V1117,""",""???0;"",""??-0;"",""???0;"", ///"""),"'","""")&amp;SUBSTITUTE(TEXT(Overig!W1117,""",""?00;"",""?-00;"",""?00;"", //"""),"'","""")</f>
        <v>032, 19401005, 24.00, ////, 07, ////, 07, ////, 07, ////, 07, ///, 07, ////, 07, ////, 07, ////, 07, ////, 07, ///, 07</v>
      </c>
    </row>
    <row r="1118" spans="1:1" x14ac:dyDescent="0.25">
      <c r="A1118" s="12" t="str">
        <f ca="1">TEXT(Overig!A1118,"000\,")&amp;TEXT(Overig!B1118,"?00000000")&amp;TEXT(Overig!C1118,""", ""@")&amp;SUBSTITUTE(TEXT(IF(ISTEXT(Overig!D1118),Overig!D1118,10*Overig!D1118),""",""????0;"",""???-0;"",""????0;"", ////"""),"'","""")&amp;SUBSTITUTE(TEXT(Overig!E1118,""",""?00;"",""?-00;"",""?00;"", //"""),"'","""")&amp;SUBSTITUTE(TEXT(IF(ISTEXT(Overig!F1118),Overig!F1118,10*Overig!F1118),""",""????0;"",""???-0;"",""????0;"", ////"""),"'","""")&amp;SUBSTITUTE(TEXT(Overig!G1118,""",""?00;"",""?-00;"",""?00;"", //"""),"'","""")&amp;SUBSTITUTE(TEXT(IF(ISTEXT(Overig!H1118),Overig!H1118,10*Overig!H1118),""",""????0;"",""???-0;"",""????0;"", ////"""),"'","""")&amp;SUBSTITUTE(TEXT(Overig!I1118,""",""?00;"",""?-00;"",""?00;"", //"""),"'","""")&amp;SUBSTITUTE(TEXT(IF(ISTEXT(Overig!J1118),Overig!J1118,10*Overig!J1118),""",""????0;"",""???-0;"",""????0;"", ////"""),"'","""")&amp;SUBSTITUTE(TEXT(Overig!K1118,""",""?00;"",""?-00;"",""?00;"", //"""),"'","""")&amp;SUBSTITUTE(TEXT(Overig!L1118,""",""???0;"",""??-0;"",""???0;"", ///"""),"'","""")&amp;SUBSTITUTE(TEXT(Overig!M1118,""",""?00;"",""?-00;"",""?00;"", //"""),"'","""")&amp;SUBSTITUTE(TEXT(IF(ISTEXT(Overig!N1118),Overig!N1118,10*Overig!N1118),""",""????0;"",""???-0;"",""????0;"", ////"""),"'","""")&amp;SUBSTITUTE(TEXT(Overig!O1118,""",""?00;"",""?-00;"",""?00;"", //"""),"'","""")&amp;SUBSTITUTE(TEXT(IF(ISTEXT(Overig!P1118),Overig!P1118,10*Overig!P1118),""",""????0;"",""???-0;"",""????0;"", ////"""),"'","""")&amp;SUBSTITUTE(TEXT(Overig!Q1118,""",""?00;"",""?-00;"",""?00;"", //"""),"'","""")&amp;SUBSTITUTE(TEXT(Overig!R1118,""",""????0;"",""???-0;"",""????0;"", ////"""),"'","""")&amp;SUBSTITUTE(TEXT(Overig!S1118,""",""?00;"",""?-00;"",""?00;"", //"""),"'","""")&amp;SUBSTITUTE(TEXT(IF(ISTEXT(Overig!T1118),Overig!T1118,10*Overig!T1118),""",""????0;"",""???-0;"",""????0;"", ////"""),"'","""")&amp;SUBSTITUTE(TEXT(Overig!U1118,""",""?00;"",""?-00;"",""?00;"", //"""),"'","""")&amp;SUBSTITUTE(TEXT(Overig!V1118,""",""???0;"",""??-0;"",""???0;"", ///"""),"'","""")&amp;SUBSTITUTE(TEXT(Overig!W1118,""",""?00;"",""?-00;"",""?00;"", //"""),"'","""")</f>
        <v>032, 19401006, 07.00, ////, 07, ////, 07, ////, 07, ////, 07, ///, 07, ////, 07, ////, 07, ////, 07, ////, 07, ///, 07</v>
      </c>
    </row>
    <row r="1119" spans="1:1" x14ac:dyDescent="0.25">
      <c r="A1119" s="12" t="str">
        <f ca="1">TEXT(Overig!A1119,"000\,")&amp;TEXT(Overig!B1119,"?00000000")&amp;TEXT(Overig!C1119,""", ""@")&amp;SUBSTITUTE(TEXT(IF(ISTEXT(Overig!D1119),Overig!D1119,10*Overig!D1119),""",""????0;"",""???-0;"",""????0;"", ////"""),"'","""")&amp;SUBSTITUTE(TEXT(Overig!E1119,""",""?00;"",""?-00;"",""?00;"", //"""),"'","""")&amp;SUBSTITUTE(TEXT(IF(ISTEXT(Overig!F1119),Overig!F1119,10*Overig!F1119),""",""????0;"",""???-0;"",""????0;"", ////"""),"'","""")&amp;SUBSTITUTE(TEXT(Overig!G1119,""",""?00;"",""?-00;"",""?00;"", //"""),"'","""")&amp;SUBSTITUTE(TEXT(IF(ISTEXT(Overig!H1119),Overig!H1119,10*Overig!H1119),""",""????0;"",""???-0;"",""????0;"", ////"""),"'","""")&amp;SUBSTITUTE(TEXT(Overig!I1119,""",""?00;"",""?-00;"",""?00;"", //"""),"'","""")&amp;SUBSTITUTE(TEXT(IF(ISTEXT(Overig!J1119),Overig!J1119,10*Overig!J1119),""",""????0;"",""???-0;"",""????0;"", ////"""),"'","""")&amp;SUBSTITUTE(TEXT(Overig!K1119,""",""?00;"",""?-00;"",""?00;"", //"""),"'","""")&amp;SUBSTITUTE(TEXT(Overig!L1119,""",""???0;"",""??-0;"",""???0;"", ///"""),"'","""")&amp;SUBSTITUTE(TEXT(Overig!M1119,""",""?00;"",""?-00;"",""?00;"", //"""),"'","""")&amp;SUBSTITUTE(TEXT(IF(ISTEXT(Overig!N1119),Overig!N1119,10*Overig!N1119),""",""????0;"",""???-0;"",""????0;"", ////"""),"'","""")&amp;SUBSTITUTE(TEXT(Overig!O1119,""",""?00;"",""?-00;"",""?00;"", //"""),"'","""")&amp;SUBSTITUTE(TEXT(IF(ISTEXT(Overig!P1119),Overig!P1119,10*Overig!P1119),""",""????0;"",""???-0;"",""????0;"", ////"""),"'","""")&amp;SUBSTITUTE(TEXT(Overig!Q1119,""",""?00;"",""?-00;"",""?00;"", //"""),"'","""")&amp;SUBSTITUTE(TEXT(Overig!R1119,""",""????0;"",""???-0;"",""????0;"", ////"""),"'","""")&amp;SUBSTITUTE(TEXT(Overig!S1119,""",""?00;"",""?-00;"",""?00;"", //"""),"'","""")&amp;SUBSTITUTE(TEXT(IF(ISTEXT(Overig!T1119),Overig!T1119,10*Overig!T1119),""",""????0;"",""???-0;"",""????0;"", ////"""),"'","""")&amp;SUBSTITUTE(TEXT(Overig!U1119,""",""?00;"",""?-00;"",""?00;"", //"""),"'","""")&amp;SUBSTITUTE(TEXT(Overig!V1119,""",""???0;"",""??-0;"",""???0;"", ///"""),"'","""")&amp;SUBSTITUTE(TEXT(Overig!W1119,""",""?00;"",""?-00;"",""?00;"", //"""),"'","""")</f>
        <v>032, 19401006, 12.00, ////, 07, ////, 07, ////, 07, ////, 07, ///, 07, ////, 07, ////, 07, ////, 07, ////, 07, ///, 07</v>
      </c>
    </row>
    <row r="1120" spans="1:1" x14ac:dyDescent="0.25">
      <c r="A1120" s="12" t="str">
        <f ca="1">TEXT(Overig!A1120,"000\,")&amp;TEXT(Overig!B1120,"?00000000")&amp;TEXT(Overig!C1120,""", ""@")&amp;SUBSTITUTE(TEXT(IF(ISTEXT(Overig!D1120),Overig!D1120,10*Overig!D1120),""",""????0;"",""???-0;"",""????0;"", ////"""),"'","""")&amp;SUBSTITUTE(TEXT(Overig!E1120,""",""?00;"",""?-00;"",""?00;"", //"""),"'","""")&amp;SUBSTITUTE(TEXT(IF(ISTEXT(Overig!F1120),Overig!F1120,10*Overig!F1120),""",""????0;"",""???-0;"",""????0;"", ////"""),"'","""")&amp;SUBSTITUTE(TEXT(Overig!G1120,""",""?00;"",""?-00;"",""?00;"", //"""),"'","""")&amp;SUBSTITUTE(TEXT(IF(ISTEXT(Overig!H1120),Overig!H1120,10*Overig!H1120),""",""????0;"",""???-0;"",""????0;"", ////"""),"'","""")&amp;SUBSTITUTE(TEXT(Overig!I1120,""",""?00;"",""?-00;"",""?00;"", //"""),"'","""")&amp;SUBSTITUTE(TEXT(IF(ISTEXT(Overig!J1120),Overig!J1120,10*Overig!J1120),""",""????0;"",""???-0;"",""????0;"", ////"""),"'","""")&amp;SUBSTITUTE(TEXT(Overig!K1120,""",""?00;"",""?-00;"",""?00;"", //"""),"'","""")&amp;SUBSTITUTE(TEXT(Overig!L1120,""",""???0;"",""??-0;"",""???0;"", ///"""),"'","""")&amp;SUBSTITUTE(TEXT(Overig!M1120,""",""?00;"",""?-00;"",""?00;"", //"""),"'","""")&amp;SUBSTITUTE(TEXT(IF(ISTEXT(Overig!N1120),Overig!N1120,10*Overig!N1120),""",""????0;"",""???-0;"",""????0;"", ////"""),"'","""")&amp;SUBSTITUTE(TEXT(Overig!O1120,""",""?00;"",""?-00;"",""?00;"", //"""),"'","""")&amp;SUBSTITUTE(TEXT(IF(ISTEXT(Overig!P1120),Overig!P1120,10*Overig!P1120),""",""????0;"",""???-0;"",""????0;"", ////"""),"'","""")&amp;SUBSTITUTE(TEXT(Overig!Q1120,""",""?00;"",""?-00;"",""?00;"", //"""),"'","""")&amp;SUBSTITUTE(TEXT(Overig!R1120,""",""????0;"",""???-0;"",""????0;"", ////"""),"'","""")&amp;SUBSTITUTE(TEXT(Overig!S1120,""",""?00;"",""?-00;"",""?00;"", //"""),"'","""")&amp;SUBSTITUTE(TEXT(IF(ISTEXT(Overig!T1120),Overig!T1120,10*Overig!T1120),""",""????0;"",""???-0;"",""????0;"", ////"""),"'","""")&amp;SUBSTITUTE(TEXT(Overig!U1120,""",""?00;"",""?-00;"",""?00;"", //"""),"'","""")&amp;SUBSTITUTE(TEXT(Overig!V1120,""",""???0;"",""??-0;"",""???0;"", ///"""),"'","""")&amp;SUBSTITUTE(TEXT(Overig!W1120,""",""?00;"",""?-00;"",""?00;"", //"""),"'","""")</f>
        <v>032, 19401006, 17.00, ////, 07, ////, 07, ////, 07, ////, 07, ///, 07, ////, 07, ////, 07, ////, 07, ////, 07, ///, 07</v>
      </c>
    </row>
    <row r="1121" spans="1:1" x14ac:dyDescent="0.25">
      <c r="A1121" s="12" t="str">
        <f ca="1">TEXT(Overig!A1121,"000\,")&amp;TEXT(Overig!B1121,"?00000000")&amp;TEXT(Overig!C1121,""", ""@")&amp;SUBSTITUTE(TEXT(IF(ISTEXT(Overig!D1121),Overig!D1121,10*Overig!D1121),""",""????0;"",""???-0;"",""????0;"", ////"""),"'","""")&amp;SUBSTITUTE(TEXT(Overig!E1121,""",""?00;"",""?-00;"",""?00;"", //"""),"'","""")&amp;SUBSTITUTE(TEXT(IF(ISTEXT(Overig!F1121),Overig!F1121,10*Overig!F1121),""",""????0;"",""???-0;"",""????0;"", ////"""),"'","""")&amp;SUBSTITUTE(TEXT(Overig!G1121,""",""?00;"",""?-00;"",""?00;"", //"""),"'","""")&amp;SUBSTITUTE(TEXT(IF(ISTEXT(Overig!H1121),Overig!H1121,10*Overig!H1121),""",""????0;"",""???-0;"",""????0;"", ////"""),"'","""")&amp;SUBSTITUTE(TEXT(Overig!I1121,""",""?00;"",""?-00;"",""?00;"", //"""),"'","""")&amp;SUBSTITUTE(TEXT(IF(ISTEXT(Overig!J1121),Overig!J1121,10*Overig!J1121),""",""????0;"",""???-0;"",""????0;"", ////"""),"'","""")&amp;SUBSTITUTE(TEXT(Overig!K1121,""",""?00;"",""?-00;"",""?00;"", //"""),"'","""")&amp;SUBSTITUTE(TEXT(Overig!L1121,""",""???0;"",""??-0;"",""???0;"", ///"""),"'","""")&amp;SUBSTITUTE(TEXT(Overig!M1121,""",""?00;"",""?-00;"",""?00;"", //"""),"'","""")&amp;SUBSTITUTE(TEXT(IF(ISTEXT(Overig!N1121),Overig!N1121,10*Overig!N1121),""",""????0;"",""???-0;"",""????0;"", ////"""),"'","""")&amp;SUBSTITUTE(TEXT(Overig!O1121,""",""?00;"",""?-00;"",""?00;"", //"""),"'","""")&amp;SUBSTITUTE(TEXT(IF(ISTEXT(Overig!P1121),Overig!P1121,10*Overig!P1121),""",""????0;"",""???-0;"",""????0;"", ////"""),"'","""")&amp;SUBSTITUTE(TEXT(Overig!Q1121,""",""?00;"",""?-00;"",""?00;"", //"""),"'","""")&amp;SUBSTITUTE(TEXT(Overig!R1121,""",""????0;"",""???-0;"",""????0;"", ////"""),"'","""")&amp;SUBSTITUTE(TEXT(Overig!S1121,""",""?00;"",""?-00;"",""?00;"", //"""),"'","""")&amp;SUBSTITUTE(TEXT(IF(ISTEXT(Overig!T1121),Overig!T1121,10*Overig!T1121),""",""????0;"",""???-0;"",""????0;"", ////"""),"'","""")&amp;SUBSTITUTE(TEXT(Overig!U1121,""",""?00;"",""?-00;"",""?00;"", //"""),"'","""")&amp;SUBSTITUTE(TEXT(Overig!V1121,""",""???0;"",""??-0;"",""???0;"", ///"""),"'","""")&amp;SUBSTITUTE(TEXT(Overig!W1121,""",""?00;"",""?-00;"",""?00;"", //"""),"'","""")</f>
        <v>032, 19401006, 24.00, ////, 07, ////, 07, ////, 07, ////, 07, ///, 07, ////, 07, ////, 07, ////, 07, ////, 07, ///, 07</v>
      </c>
    </row>
    <row r="1122" spans="1:1" x14ac:dyDescent="0.25">
      <c r="A1122" s="12" t="str">
        <f ca="1">TEXT(Overig!A1122,"000\,")&amp;TEXT(Overig!B1122,"?00000000")&amp;TEXT(Overig!C1122,""", ""@")&amp;SUBSTITUTE(TEXT(IF(ISTEXT(Overig!D1122),Overig!D1122,10*Overig!D1122),""",""????0;"",""???-0;"",""????0;"", ////"""),"'","""")&amp;SUBSTITUTE(TEXT(Overig!E1122,""",""?00;"",""?-00;"",""?00;"", //"""),"'","""")&amp;SUBSTITUTE(TEXT(IF(ISTEXT(Overig!F1122),Overig!F1122,10*Overig!F1122),""",""????0;"",""???-0;"",""????0;"", ////"""),"'","""")&amp;SUBSTITUTE(TEXT(Overig!G1122,""",""?00;"",""?-00;"",""?00;"", //"""),"'","""")&amp;SUBSTITUTE(TEXT(IF(ISTEXT(Overig!H1122),Overig!H1122,10*Overig!H1122),""",""????0;"",""???-0;"",""????0;"", ////"""),"'","""")&amp;SUBSTITUTE(TEXT(Overig!I1122,""",""?00;"",""?-00;"",""?00;"", //"""),"'","""")&amp;SUBSTITUTE(TEXT(IF(ISTEXT(Overig!J1122),Overig!J1122,10*Overig!J1122),""",""????0;"",""???-0;"",""????0;"", ////"""),"'","""")&amp;SUBSTITUTE(TEXT(Overig!K1122,""",""?00;"",""?-00;"",""?00;"", //"""),"'","""")&amp;SUBSTITUTE(TEXT(Overig!L1122,""",""???0;"",""??-0;"",""???0;"", ///"""),"'","""")&amp;SUBSTITUTE(TEXT(Overig!M1122,""",""?00;"",""?-00;"",""?00;"", //"""),"'","""")&amp;SUBSTITUTE(TEXT(IF(ISTEXT(Overig!N1122),Overig!N1122,10*Overig!N1122),""",""????0;"",""???-0;"",""????0;"", ////"""),"'","""")&amp;SUBSTITUTE(TEXT(Overig!O1122,""",""?00;"",""?-00;"",""?00;"", //"""),"'","""")&amp;SUBSTITUTE(TEXT(IF(ISTEXT(Overig!P1122),Overig!P1122,10*Overig!P1122),""",""????0;"",""???-0;"",""????0;"", ////"""),"'","""")&amp;SUBSTITUTE(TEXT(Overig!Q1122,""",""?00;"",""?-00;"",""?00;"", //"""),"'","""")&amp;SUBSTITUTE(TEXT(Overig!R1122,""",""????0;"",""???-0;"",""????0;"", ////"""),"'","""")&amp;SUBSTITUTE(TEXT(Overig!S1122,""",""?00;"",""?-00;"",""?00;"", //"""),"'","""")&amp;SUBSTITUTE(TEXT(IF(ISTEXT(Overig!T1122),Overig!T1122,10*Overig!T1122),""",""????0;"",""???-0;"",""????0;"", ////"""),"'","""")&amp;SUBSTITUTE(TEXT(Overig!U1122,""",""?00;"",""?-00;"",""?00;"", //"""),"'","""")&amp;SUBSTITUTE(TEXT(Overig!V1122,""",""???0;"",""??-0;"",""???0;"", ///"""),"'","""")&amp;SUBSTITUTE(TEXT(Overig!W1122,""",""?00;"",""?-00;"",""?00;"", //"""),"'","""")</f>
        <v>032, 19401007, 07.00, ////, 07, ////, 07, ////, 07, ////, 07, ///, 07, ////, 07, ////, 07, ////, 07, ////, 07, ///, 07</v>
      </c>
    </row>
    <row r="1123" spans="1:1" x14ac:dyDescent="0.25">
      <c r="A1123" s="12" t="str">
        <f ca="1">TEXT(Overig!A1123,"000\,")&amp;TEXT(Overig!B1123,"?00000000")&amp;TEXT(Overig!C1123,""", ""@")&amp;SUBSTITUTE(TEXT(IF(ISTEXT(Overig!D1123),Overig!D1123,10*Overig!D1123),""",""????0;"",""???-0;"",""????0;"", ////"""),"'","""")&amp;SUBSTITUTE(TEXT(Overig!E1123,""",""?00;"",""?-00;"",""?00;"", //"""),"'","""")&amp;SUBSTITUTE(TEXT(IF(ISTEXT(Overig!F1123),Overig!F1123,10*Overig!F1123),""",""????0;"",""???-0;"",""????0;"", ////"""),"'","""")&amp;SUBSTITUTE(TEXT(Overig!G1123,""",""?00;"",""?-00;"",""?00;"", //"""),"'","""")&amp;SUBSTITUTE(TEXT(IF(ISTEXT(Overig!H1123),Overig!H1123,10*Overig!H1123),""",""????0;"",""???-0;"",""????0;"", ////"""),"'","""")&amp;SUBSTITUTE(TEXT(Overig!I1123,""",""?00;"",""?-00;"",""?00;"", //"""),"'","""")&amp;SUBSTITUTE(TEXT(IF(ISTEXT(Overig!J1123),Overig!J1123,10*Overig!J1123),""",""????0;"",""???-0;"",""????0;"", ////"""),"'","""")&amp;SUBSTITUTE(TEXT(Overig!K1123,""",""?00;"",""?-00;"",""?00;"", //"""),"'","""")&amp;SUBSTITUTE(TEXT(Overig!L1123,""",""???0;"",""??-0;"",""???0;"", ///"""),"'","""")&amp;SUBSTITUTE(TEXT(Overig!M1123,""",""?00;"",""?-00;"",""?00;"", //"""),"'","""")&amp;SUBSTITUTE(TEXT(IF(ISTEXT(Overig!N1123),Overig!N1123,10*Overig!N1123),""",""????0;"",""???-0;"",""????0;"", ////"""),"'","""")&amp;SUBSTITUTE(TEXT(Overig!O1123,""",""?00;"",""?-00;"",""?00;"", //"""),"'","""")&amp;SUBSTITUTE(TEXT(IF(ISTEXT(Overig!P1123),Overig!P1123,10*Overig!P1123),""",""????0;"",""???-0;"",""????0;"", ////"""),"'","""")&amp;SUBSTITUTE(TEXT(Overig!Q1123,""",""?00;"",""?-00;"",""?00;"", //"""),"'","""")&amp;SUBSTITUTE(TEXT(Overig!R1123,""",""????0;"",""???-0;"",""????0;"", ////"""),"'","""")&amp;SUBSTITUTE(TEXT(Overig!S1123,""",""?00;"",""?-00;"",""?00;"", //"""),"'","""")&amp;SUBSTITUTE(TEXT(IF(ISTEXT(Overig!T1123),Overig!T1123,10*Overig!T1123),""",""????0;"",""???-0;"",""????0;"", ////"""),"'","""")&amp;SUBSTITUTE(TEXT(Overig!U1123,""",""?00;"",""?-00;"",""?00;"", //"""),"'","""")&amp;SUBSTITUTE(TEXT(Overig!V1123,""",""???0;"",""??-0;"",""???0;"", ///"""),"'","""")&amp;SUBSTITUTE(TEXT(Overig!W1123,""",""?00;"",""?-00;"",""?00;"", //"""),"'","""")</f>
        <v>032, 19401007, 12.00, ////, 07, ////, 07, ////, 07, ////, 07, ///, 07, ////, 07, ////, 07, ////, 07, ////, 07, ///, 07</v>
      </c>
    </row>
    <row r="1124" spans="1:1" x14ac:dyDescent="0.25">
      <c r="A1124" s="12" t="str">
        <f ca="1">TEXT(Overig!A1124,"000\,")&amp;TEXT(Overig!B1124,"?00000000")&amp;TEXT(Overig!C1124,""", ""@")&amp;SUBSTITUTE(TEXT(IF(ISTEXT(Overig!D1124),Overig!D1124,10*Overig!D1124),""",""????0;"",""???-0;"",""????0;"", ////"""),"'","""")&amp;SUBSTITUTE(TEXT(Overig!E1124,""",""?00;"",""?-00;"",""?00;"", //"""),"'","""")&amp;SUBSTITUTE(TEXT(IF(ISTEXT(Overig!F1124),Overig!F1124,10*Overig!F1124),""",""????0;"",""???-0;"",""????0;"", ////"""),"'","""")&amp;SUBSTITUTE(TEXT(Overig!G1124,""",""?00;"",""?-00;"",""?00;"", //"""),"'","""")&amp;SUBSTITUTE(TEXT(IF(ISTEXT(Overig!H1124),Overig!H1124,10*Overig!H1124),""",""????0;"",""???-0;"",""????0;"", ////"""),"'","""")&amp;SUBSTITUTE(TEXT(Overig!I1124,""",""?00;"",""?-00;"",""?00;"", //"""),"'","""")&amp;SUBSTITUTE(TEXT(IF(ISTEXT(Overig!J1124),Overig!J1124,10*Overig!J1124),""",""????0;"",""???-0;"",""????0;"", ////"""),"'","""")&amp;SUBSTITUTE(TEXT(Overig!K1124,""",""?00;"",""?-00;"",""?00;"", //"""),"'","""")&amp;SUBSTITUTE(TEXT(Overig!L1124,""",""???0;"",""??-0;"",""???0;"", ///"""),"'","""")&amp;SUBSTITUTE(TEXT(Overig!M1124,""",""?00;"",""?-00;"",""?00;"", //"""),"'","""")&amp;SUBSTITUTE(TEXT(IF(ISTEXT(Overig!N1124),Overig!N1124,10*Overig!N1124),""",""????0;"",""???-0;"",""????0;"", ////"""),"'","""")&amp;SUBSTITUTE(TEXT(Overig!O1124,""",""?00;"",""?-00;"",""?00;"", //"""),"'","""")&amp;SUBSTITUTE(TEXT(IF(ISTEXT(Overig!P1124),Overig!P1124,10*Overig!P1124),""",""????0;"",""???-0;"",""????0;"", ////"""),"'","""")&amp;SUBSTITUTE(TEXT(Overig!Q1124,""",""?00;"",""?-00;"",""?00;"", //"""),"'","""")&amp;SUBSTITUTE(TEXT(Overig!R1124,""",""????0;"",""???-0;"",""????0;"", ////"""),"'","""")&amp;SUBSTITUTE(TEXT(Overig!S1124,""",""?00;"",""?-00;"",""?00;"", //"""),"'","""")&amp;SUBSTITUTE(TEXT(IF(ISTEXT(Overig!T1124),Overig!T1124,10*Overig!T1124),""",""????0;"",""???-0;"",""????0;"", ////"""),"'","""")&amp;SUBSTITUTE(TEXT(Overig!U1124,""",""?00;"",""?-00;"",""?00;"", //"""),"'","""")&amp;SUBSTITUTE(TEXT(Overig!V1124,""",""???0;"",""??-0;"",""???0;"", ///"""),"'","""")&amp;SUBSTITUTE(TEXT(Overig!W1124,""",""?00;"",""?-00;"",""?00;"", //"""),"'","""")</f>
        <v>032, 19401007, 17.00, ////, 07, ////, 07, ////, 07, ////, 07, ///, 07, ////, 07, ////, 07, ////, 07, ////, 07, ///, 07</v>
      </c>
    </row>
    <row r="1125" spans="1:1" x14ac:dyDescent="0.25">
      <c r="A1125" s="12" t="str">
        <f ca="1">TEXT(Overig!A1125,"000\,")&amp;TEXT(Overig!B1125,"?00000000")&amp;TEXT(Overig!C1125,""", ""@")&amp;SUBSTITUTE(TEXT(IF(ISTEXT(Overig!D1125),Overig!D1125,10*Overig!D1125),""",""????0;"",""???-0;"",""????0;"", ////"""),"'","""")&amp;SUBSTITUTE(TEXT(Overig!E1125,""",""?00;"",""?-00;"",""?00;"", //"""),"'","""")&amp;SUBSTITUTE(TEXT(IF(ISTEXT(Overig!F1125),Overig!F1125,10*Overig!F1125),""",""????0;"",""???-0;"",""????0;"", ////"""),"'","""")&amp;SUBSTITUTE(TEXT(Overig!G1125,""",""?00;"",""?-00;"",""?00;"", //"""),"'","""")&amp;SUBSTITUTE(TEXT(IF(ISTEXT(Overig!H1125),Overig!H1125,10*Overig!H1125),""",""????0;"",""???-0;"",""????0;"", ////"""),"'","""")&amp;SUBSTITUTE(TEXT(Overig!I1125,""",""?00;"",""?-00;"",""?00;"", //"""),"'","""")&amp;SUBSTITUTE(TEXT(IF(ISTEXT(Overig!J1125),Overig!J1125,10*Overig!J1125),""",""????0;"",""???-0;"",""????0;"", ////"""),"'","""")&amp;SUBSTITUTE(TEXT(Overig!K1125,""",""?00;"",""?-00;"",""?00;"", //"""),"'","""")&amp;SUBSTITUTE(TEXT(Overig!L1125,""",""???0;"",""??-0;"",""???0;"", ///"""),"'","""")&amp;SUBSTITUTE(TEXT(Overig!M1125,""",""?00;"",""?-00;"",""?00;"", //"""),"'","""")&amp;SUBSTITUTE(TEXT(IF(ISTEXT(Overig!N1125),Overig!N1125,10*Overig!N1125),""",""????0;"",""???-0;"",""????0;"", ////"""),"'","""")&amp;SUBSTITUTE(TEXT(Overig!O1125,""",""?00;"",""?-00;"",""?00;"", //"""),"'","""")&amp;SUBSTITUTE(TEXT(IF(ISTEXT(Overig!P1125),Overig!P1125,10*Overig!P1125),""",""????0;"",""???-0;"",""????0;"", ////"""),"'","""")&amp;SUBSTITUTE(TEXT(Overig!Q1125,""",""?00;"",""?-00;"",""?00;"", //"""),"'","""")&amp;SUBSTITUTE(TEXT(Overig!R1125,""",""????0;"",""???-0;"",""????0;"", ////"""),"'","""")&amp;SUBSTITUTE(TEXT(Overig!S1125,""",""?00;"",""?-00;"",""?00;"", //"""),"'","""")&amp;SUBSTITUTE(TEXT(IF(ISTEXT(Overig!T1125),Overig!T1125,10*Overig!T1125),""",""????0;"",""???-0;"",""????0;"", ////"""),"'","""")&amp;SUBSTITUTE(TEXT(Overig!U1125,""",""?00;"",""?-00;"",""?00;"", //"""),"'","""")&amp;SUBSTITUTE(TEXT(Overig!V1125,""",""???0;"",""??-0;"",""???0;"", ///"""),"'","""")&amp;SUBSTITUTE(TEXT(Overig!W1125,""",""?00;"",""?-00;"",""?00;"", //"""),"'","""")</f>
        <v>032, 19401007, 24.00, ////, 07, ////, 07, ////, 07, ////, 07, ///, 07, ////, 07, ////, 07, ////, 07, ////, 07, ///, 07</v>
      </c>
    </row>
    <row r="1126" spans="1:1" x14ac:dyDescent="0.25">
      <c r="A1126" s="12" t="str">
        <f ca="1">TEXT(Overig!A1126,"000\,")&amp;TEXT(Overig!B1126,"?00000000")&amp;TEXT(Overig!C1126,""", ""@")&amp;SUBSTITUTE(TEXT(IF(ISTEXT(Overig!D1126),Overig!D1126,10*Overig!D1126),""",""????0;"",""???-0;"",""????0;"", ////"""),"'","""")&amp;SUBSTITUTE(TEXT(Overig!E1126,""",""?00;"",""?-00;"",""?00;"", //"""),"'","""")&amp;SUBSTITUTE(TEXT(IF(ISTEXT(Overig!F1126),Overig!F1126,10*Overig!F1126),""",""????0;"",""???-0;"",""????0;"", ////"""),"'","""")&amp;SUBSTITUTE(TEXT(Overig!G1126,""",""?00;"",""?-00;"",""?00;"", //"""),"'","""")&amp;SUBSTITUTE(TEXT(IF(ISTEXT(Overig!H1126),Overig!H1126,10*Overig!H1126),""",""????0;"",""???-0;"",""????0;"", ////"""),"'","""")&amp;SUBSTITUTE(TEXT(Overig!I1126,""",""?00;"",""?-00;"",""?00;"", //"""),"'","""")&amp;SUBSTITUTE(TEXT(IF(ISTEXT(Overig!J1126),Overig!J1126,10*Overig!J1126),""",""????0;"",""???-0;"",""????0;"", ////"""),"'","""")&amp;SUBSTITUTE(TEXT(Overig!K1126,""",""?00;"",""?-00;"",""?00;"", //"""),"'","""")&amp;SUBSTITUTE(TEXT(Overig!L1126,""",""???0;"",""??-0;"",""???0;"", ///"""),"'","""")&amp;SUBSTITUTE(TEXT(Overig!M1126,""",""?00;"",""?-00;"",""?00;"", //"""),"'","""")&amp;SUBSTITUTE(TEXT(IF(ISTEXT(Overig!N1126),Overig!N1126,10*Overig!N1126),""",""????0;"",""???-0;"",""????0;"", ////"""),"'","""")&amp;SUBSTITUTE(TEXT(Overig!O1126,""",""?00;"",""?-00;"",""?00;"", //"""),"'","""")&amp;SUBSTITUTE(TEXT(IF(ISTEXT(Overig!P1126),Overig!P1126,10*Overig!P1126),""",""????0;"",""???-0;"",""????0;"", ////"""),"'","""")&amp;SUBSTITUTE(TEXT(Overig!Q1126,""",""?00;"",""?-00;"",""?00;"", //"""),"'","""")&amp;SUBSTITUTE(TEXT(Overig!R1126,""",""????0;"",""???-0;"",""????0;"", ////"""),"'","""")&amp;SUBSTITUTE(TEXT(Overig!S1126,""",""?00;"",""?-00;"",""?00;"", //"""),"'","""")&amp;SUBSTITUTE(TEXT(IF(ISTEXT(Overig!T1126),Overig!T1126,10*Overig!T1126),""",""????0;"",""???-0;"",""????0;"", ////"""),"'","""")&amp;SUBSTITUTE(TEXT(Overig!U1126,""",""?00;"",""?-00;"",""?00;"", //"""),"'","""")&amp;SUBSTITUTE(TEXT(Overig!V1126,""",""???0;"",""??-0;"",""???0;"", ///"""),"'","""")&amp;SUBSTITUTE(TEXT(Overig!W1126,""",""?00;"",""?-00;"",""?00;"", //"""),"'","""")</f>
        <v>032, 19401008, 07.00, ////, 07, ////, 07, ////, 07, ////, 07, ///, 07, ////, 07, ////, 07, ////, 07, ////, 07, ///, 07</v>
      </c>
    </row>
    <row r="1127" spans="1:1" x14ac:dyDescent="0.25">
      <c r="A1127" s="12" t="str">
        <f ca="1">TEXT(Overig!A1127,"000\,")&amp;TEXT(Overig!B1127,"?00000000")&amp;TEXT(Overig!C1127,""", ""@")&amp;SUBSTITUTE(TEXT(IF(ISTEXT(Overig!D1127),Overig!D1127,10*Overig!D1127),""",""????0;"",""???-0;"",""????0;"", ////"""),"'","""")&amp;SUBSTITUTE(TEXT(Overig!E1127,""",""?00;"",""?-00;"",""?00;"", //"""),"'","""")&amp;SUBSTITUTE(TEXT(IF(ISTEXT(Overig!F1127),Overig!F1127,10*Overig!F1127),""",""????0;"",""???-0;"",""????0;"", ////"""),"'","""")&amp;SUBSTITUTE(TEXT(Overig!G1127,""",""?00;"",""?-00;"",""?00;"", //"""),"'","""")&amp;SUBSTITUTE(TEXT(IF(ISTEXT(Overig!H1127),Overig!H1127,10*Overig!H1127),""",""????0;"",""???-0;"",""????0;"", ////"""),"'","""")&amp;SUBSTITUTE(TEXT(Overig!I1127,""",""?00;"",""?-00;"",""?00;"", //"""),"'","""")&amp;SUBSTITUTE(TEXT(IF(ISTEXT(Overig!J1127),Overig!J1127,10*Overig!J1127),""",""????0;"",""???-0;"",""????0;"", ////"""),"'","""")&amp;SUBSTITUTE(TEXT(Overig!K1127,""",""?00;"",""?-00;"",""?00;"", //"""),"'","""")&amp;SUBSTITUTE(TEXT(Overig!L1127,""",""???0;"",""??-0;"",""???0;"", ///"""),"'","""")&amp;SUBSTITUTE(TEXT(Overig!M1127,""",""?00;"",""?-00;"",""?00;"", //"""),"'","""")&amp;SUBSTITUTE(TEXT(IF(ISTEXT(Overig!N1127),Overig!N1127,10*Overig!N1127),""",""????0;"",""???-0;"",""????0;"", ////"""),"'","""")&amp;SUBSTITUTE(TEXT(Overig!O1127,""",""?00;"",""?-00;"",""?00;"", //"""),"'","""")&amp;SUBSTITUTE(TEXT(IF(ISTEXT(Overig!P1127),Overig!P1127,10*Overig!P1127),""",""????0;"",""???-0;"",""????0;"", ////"""),"'","""")&amp;SUBSTITUTE(TEXT(Overig!Q1127,""",""?00;"",""?-00;"",""?00;"", //"""),"'","""")&amp;SUBSTITUTE(TEXT(Overig!R1127,""",""????0;"",""???-0;"",""????0;"", ////"""),"'","""")&amp;SUBSTITUTE(TEXT(Overig!S1127,""",""?00;"",""?-00;"",""?00;"", //"""),"'","""")&amp;SUBSTITUTE(TEXT(IF(ISTEXT(Overig!T1127),Overig!T1127,10*Overig!T1127),""",""????0;"",""???-0;"",""????0;"", ////"""),"'","""")&amp;SUBSTITUTE(TEXT(Overig!U1127,""",""?00;"",""?-00;"",""?00;"", //"""),"'","""")&amp;SUBSTITUTE(TEXT(Overig!V1127,""",""???0;"",""??-0;"",""???0;"", ///"""),"'","""")&amp;SUBSTITUTE(TEXT(Overig!W1127,""",""?00;"",""?-00;"",""?00;"", //"""),"'","""")</f>
        <v>032, 19401008, 12.00, ////, 07, ////, 07, ////, 07, ////, 07, ///, 07, ////, 07, ////, 07, ////, 07, ////, 07, ///, 07</v>
      </c>
    </row>
    <row r="1128" spans="1:1" x14ac:dyDescent="0.25">
      <c r="A1128" s="12" t="str">
        <f ca="1">TEXT(Overig!A1128,"000\,")&amp;TEXT(Overig!B1128,"?00000000")&amp;TEXT(Overig!C1128,""", ""@")&amp;SUBSTITUTE(TEXT(IF(ISTEXT(Overig!D1128),Overig!D1128,10*Overig!D1128),""",""????0;"",""???-0;"",""????0;"", ////"""),"'","""")&amp;SUBSTITUTE(TEXT(Overig!E1128,""",""?00;"",""?-00;"",""?00;"", //"""),"'","""")&amp;SUBSTITUTE(TEXT(IF(ISTEXT(Overig!F1128),Overig!F1128,10*Overig!F1128),""",""????0;"",""???-0;"",""????0;"", ////"""),"'","""")&amp;SUBSTITUTE(TEXT(Overig!G1128,""",""?00;"",""?-00;"",""?00;"", //"""),"'","""")&amp;SUBSTITUTE(TEXT(IF(ISTEXT(Overig!H1128),Overig!H1128,10*Overig!H1128),""",""????0;"",""???-0;"",""????0;"", ////"""),"'","""")&amp;SUBSTITUTE(TEXT(Overig!I1128,""",""?00;"",""?-00;"",""?00;"", //"""),"'","""")&amp;SUBSTITUTE(TEXT(IF(ISTEXT(Overig!J1128),Overig!J1128,10*Overig!J1128),""",""????0;"",""???-0;"",""????0;"", ////"""),"'","""")&amp;SUBSTITUTE(TEXT(Overig!K1128,""",""?00;"",""?-00;"",""?00;"", //"""),"'","""")&amp;SUBSTITUTE(TEXT(Overig!L1128,""",""???0;"",""??-0;"",""???0;"", ///"""),"'","""")&amp;SUBSTITUTE(TEXT(Overig!M1128,""",""?00;"",""?-00;"",""?00;"", //"""),"'","""")&amp;SUBSTITUTE(TEXT(IF(ISTEXT(Overig!N1128),Overig!N1128,10*Overig!N1128),""",""????0;"",""???-0;"",""????0;"", ////"""),"'","""")&amp;SUBSTITUTE(TEXT(Overig!O1128,""",""?00;"",""?-00;"",""?00;"", //"""),"'","""")&amp;SUBSTITUTE(TEXT(IF(ISTEXT(Overig!P1128),Overig!P1128,10*Overig!P1128),""",""????0;"",""???-0;"",""????0;"", ////"""),"'","""")&amp;SUBSTITUTE(TEXT(Overig!Q1128,""",""?00;"",""?-00;"",""?00;"", //"""),"'","""")&amp;SUBSTITUTE(TEXT(Overig!R1128,""",""????0;"",""???-0;"",""????0;"", ////"""),"'","""")&amp;SUBSTITUTE(TEXT(Overig!S1128,""",""?00;"",""?-00;"",""?00;"", //"""),"'","""")&amp;SUBSTITUTE(TEXT(IF(ISTEXT(Overig!T1128),Overig!T1128,10*Overig!T1128),""",""????0;"",""???-0;"",""????0;"", ////"""),"'","""")&amp;SUBSTITUTE(TEXT(Overig!U1128,""",""?00;"",""?-00;"",""?00;"", //"""),"'","""")&amp;SUBSTITUTE(TEXT(Overig!V1128,""",""???0;"",""??-0;"",""???0;"", ///"""),"'","""")&amp;SUBSTITUTE(TEXT(Overig!W1128,""",""?00;"",""?-00;"",""?00;"", //"""),"'","""")</f>
        <v>032, 19401008, 17.00, ////, 07, ////, 07, ////, 07, ////, 07, ///, 07, ////, 07, ////, 07, ////, 07, ////, 07, ///, 07</v>
      </c>
    </row>
    <row r="1129" spans="1:1" x14ac:dyDescent="0.25">
      <c r="A1129" s="12" t="str">
        <f ca="1">TEXT(Overig!A1129,"000\,")&amp;TEXT(Overig!B1129,"?00000000")&amp;TEXT(Overig!C1129,""", ""@")&amp;SUBSTITUTE(TEXT(IF(ISTEXT(Overig!D1129),Overig!D1129,10*Overig!D1129),""",""????0;"",""???-0;"",""????0;"", ////"""),"'","""")&amp;SUBSTITUTE(TEXT(Overig!E1129,""",""?00;"",""?-00;"",""?00;"", //"""),"'","""")&amp;SUBSTITUTE(TEXT(IF(ISTEXT(Overig!F1129),Overig!F1129,10*Overig!F1129),""",""????0;"",""???-0;"",""????0;"", ////"""),"'","""")&amp;SUBSTITUTE(TEXT(Overig!G1129,""",""?00;"",""?-00;"",""?00;"", //"""),"'","""")&amp;SUBSTITUTE(TEXT(IF(ISTEXT(Overig!H1129),Overig!H1129,10*Overig!H1129),""",""????0;"",""???-0;"",""????0;"", ////"""),"'","""")&amp;SUBSTITUTE(TEXT(Overig!I1129,""",""?00;"",""?-00;"",""?00;"", //"""),"'","""")&amp;SUBSTITUTE(TEXT(IF(ISTEXT(Overig!J1129),Overig!J1129,10*Overig!J1129),""",""????0;"",""???-0;"",""????0;"", ////"""),"'","""")&amp;SUBSTITUTE(TEXT(Overig!K1129,""",""?00;"",""?-00;"",""?00;"", //"""),"'","""")&amp;SUBSTITUTE(TEXT(Overig!L1129,""",""???0;"",""??-0;"",""???0;"", ///"""),"'","""")&amp;SUBSTITUTE(TEXT(Overig!M1129,""",""?00;"",""?-00;"",""?00;"", //"""),"'","""")&amp;SUBSTITUTE(TEXT(IF(ISTEXT(Overig!N1129),Overig!N1129,10*Overig!N1129),""",""????0;"",""???-0;"",""????0;"", ////"""),"'","""")&amp;SUBSTITUTE(TEXT(Overig!O1129,""",""?00;"",""?-00;"",""?00;"", //"""),"'","""")&amp;SUBSTITUTE(TEXT(IF(ISTEXT(Overig!P1129),Overig!P1129,10*Overig!P1129),""",""????0;"",""???-0;"",""????0;"", ////"""),"'","""")&amp;SUBSTITUTE(TEXT(Overig!Q1129,""",""?00;"",""?-00;"",""?00;"", //"""),"'","""")&amp;SUBSTITUTE(TEXT(Overig!R1129,""",""????0;"",""???-0;"",""????0;"", ////"""),"'","""")&amp;SUBSTITUTE(TEXT(Overig!S1129,""",""?00;"",""?-00;"",""?00;"", //"""),"'","""")&amp;SUBSTITUTE(TEXT(IF(ISTEXT(Overig!T1129),Overig!T1129,10*Overig!T1129),""",""????0;"",""???-0;"",""????0;"", ////"""),"'","""")&amp;SUBSTITUTE(TEXT(Overig!U1129,""",""?00;"",""?-00;"",""?00;"", //"""),"'","""")&amp;SUBSTITUTE(TEXT(Overig!V1129,""",""???0;"",""??-0;"",""???0;"", ///"""),"'","""")&amp;SUBSTITUTE(TEXT(Overig!W1129,""",""?00;"",""?-00;"",""?00;"", //"""),"'","""")</f>
        <v>032, 19401008, 24.00, ////, 07, ////, 07, ////, 07, ////, 07, ///, 07, ////, 07, ////, 07, ////, 07, ////, 07, ///, 07</v>
      </c>
    </row>
    <row r="1130" spans="1:1" x14ac:dyDescent="0.25">
      <c r="A1130" s="12" t="str">
        <f ca="1">TEXT(Overig!A1130,"000\,")&amp;TEXT(Overig!B1130,"?00000000")&amp;TEXT(Overig!C1130,""", ""@")&amp;SUBSTITUTE(TEXT(IF(ISTEXT(Overig!D1130),Overig!D1130,10*Overig!D1130),""",""????0;"",""???-0;"",""????0;"", ////"""),"'","""")&amp;SUBSTITUTE(TEXT(Overig!E1130,""",""?00;"",""?-00;"",""?00;"", //"""),"'","""")&amp;SUBSTITUTE(TEXT(IF(ISTEXT(Overig!F1130),Overig!F1130,10*Overig!F1130),""",""????0;"",""???-0;"",""????0;"", ////"""),"'","""")&amp;SUBSTITUTE(TEXT(Overig!G1130,""",""?00;"",""?-00;"",""?00;"", //"""),"'","""")&amp;SUBSTITUTE(TEXT(IF(ISTEXT(Overig!H1130),Overig!H1130,10*Overig!H1130),""",""????0;"",""???-0;"",""????0;"", ////"""),"'","""")&amp;SUBSTITUTE(TEXT(Overig!I1130,""",""?00;"",""?-00;"",""?00;"", //"""),"'","""")&amp;SUBSTITUTE(TEXT(IF(ISTEXT(Overig!J1130),Overig!J1130,10*Overig!J1130),""",""????0;"",""???-0;"",""????0;"", ////"""),"'","""")&amp;SUBSTITUTE(TEXT(Overig!K1130,""",""?00;"",""?-00;"",""?00;"", //"""),"'","""")&amp;SUBSTITUTE(TEXT(Overig!L1130,""",""???0;"",""??-0;"",""???0;"", ///"""),"'","""")&amp;SUBSTITUTE(TEXT(Overig!M1130,""",""?00;"",""?-00;"",""?00;"", //"""),"'","""")&amp;SUBSTITUTE(TEXT(IF(ISTEXT(Overig!N1130),Overig!N1130,10*Overig!N1130),""",""????0;"",""???-0;"",""????0;"", ////"""),"'","""")&amp;SUBSTITUTE(TEXT(Overig!O1130,""",""?00;"",""?-00;"",""?00;"", //"""),"'","""")&amp;SUBSTITUTE(TEXT(IF(ISTEXT(Overig!P1130),Overig!P1130,10*Overig!P1130),""",""????0;"",""???-0;"",""????0;"", ////"""),"'","""")&amp;SUBSTITUTE(TEXT(Overig!Q1130,""",""?00;"",""?-00;"",""?00;"", //"""),"'","""")&amp;SUBSTITUTE(TEXT(Overig!R1130,""",""????0;"",""???-0;"",""????0;"", ////"""),"'","""")&amp;SUBSTITUTE(TEXT(Overig!S1130,""",""?00;"",""?-00;"",""?00;"", //"""),"'","""")&amp;SUBSTITUTE(TEXT(IF(ISTEXT(Overig!T1130),Overig!T1130,10*Overig!T1130),""",""????0;"",""???-0;"",""????0;"", ////"""),"'","""")&amp;SUBSTITUTE(TEXT(Overig!U1130,""",""?00;"",""?-00;"",""?00;"", //"""),"'","""")&amp;SUBSTITUTE(TEXT(Overig!V1130,""",""???0;"",""??-0;"",""???0;"", ///"""),"'","""")&amp;SUBSTITUTE(TEXT(Overig!W1130,""",""?00;"",""?-00;"",""?00;"", //"""),"'","""")</f>
        <v>032, 19401009, 07.00, ////, 07, ////, 07, ////, 07, ////, 07, ///, 07, ////, 07, ////, 07, ////, 07, ////, 07, ///, 07</v>
      </c>
    </row>
    <row r="1131" spans="1:1" x14ac:dyDescent="0.25">
      <c r="A1131" s="12" t="str">
        <f ca="1">TEXT(Overig!A1131,"000\,")&amp;TEXT(Overig!B1131,"?00000000")&amp;TEXT(Overig!C1131,""", ""@")&amp;SUBSTITUTE(TEXT(IF(ISTEXT(Overig!D1131),Overig!D1131,10*Overig!D1131),""",""????0;"",""???-0;"",""????0;"", ////"""),"'","""")&amp;SUBSTITUTE(TEXT(Overig!E1131,""",""?00;"",""?-00;"",""?00;"", //"""),"'","""")&amp;SUBSTITUTE(TEXT(IF(ISTEXT(Overig!F1131),Overig!F1131,10*Overig!F1131),""",""????0;"",""???-0;"",""????0;"", ////"""),"'","""")&amp;SUBSTITUTE(TEXT(Overig!G1131,""",""?00;"",""?-00;"",""?00;"", //"""),"'","""")&amp;SUBSTITUTE(TEXT(IF(ISTEXT(Overig!H1131),Overig!H1131,10*Overig!H1131),""",""????0;"",""???-0;"",""????0;"", ////"""),"'","""")&amp;SUBSTITUTE(TEXT(Overig!I1131,""",""?00;"",""?-00;"",""?00;"", //"""),"'","""")&amp;SUBSTITUTE(TEXT(IF(ISTEXT(Overig!J1131),Overig!J1131,10*Overig!J1131),""",""????0;"",""???-0;"",""????0;"", ////"""),"'","""")&amp;SUBSTITUTE(TEXT(Overig!K1131,""",""?00;"",""?-00;"",""?00;"", //"""),"'","""")&amp;SUBSTITUTE(TEXT(Overig!L1131,""",""???0;"",""??-0;"",""???0;"", ///"""),"'","""")&amp;SUBSTITUTE(TEXT(Overig!M1131,""",""?00;"",""?-00;"",""?00;"", //"""),"'","""")&amp;SUBSTITUTE(TEXT(IF(ISTEXT(Overig!N1131),Overig!N1131,10*Overig!N1131),""",""????0;"",""???-0;"",""????0;"", ////"""),"'","""")&amp;SUBSTITUTE(TEXT(Overig!O1131,""",""?00;"",""?-00;"",""?00;"", //"""),"'","""")&amp;SUBSTITUTE(TEXT(IF(ISTEXT(Overig!P1131),Overig!P1131,10*Overig!P1131),""",""????0;"",""???-0;"",""????0;"", ////"""),"'","""")&amp;SUBSTITUTE(TEXT(Overig!Q1131,""",""?00;"",""?-00;"",""?00;"", //"""),"'","""")&amp;SUBSTITUTE(TEXT(Overig!R1131,""",""????0;"",""???-0;"",""????0;"", ////"""),"'","""")&amp;SUBSTITUTE(TEXT(Overig!S1131,""",""?00;"",""?-00;"",""?00;"", //"""),"'","""")&amp;SUBSTITUTE(TEXT(IF(ISTEXT(Overig!T1131),Overig!T1131,10*Overig!T1131),""",""????0;"",""???-0;"",""????0;"", ////"""),"'","""")&amp;SUBSTITUTE(TEXT(Overig!U1131,""",""?00;"",""?-00;"",""?00;"", //"""),"'","""")&amp;SUBSTITUTE(TEXT(Overig!V1131,""",""???0;"",""??-0;"",""???0;"", ///"""),"'","""")&amp;SUBSTITUTE(TEXT(Overig!W1131,""",""?00;"",""?-00;"",""?00;"", //"""),"'","""")</f>
        <v>032, 19401009, 12.00, ////, 07, ////, 07, ////, 07, ////, 07, ///, 07, ////, 07, ////, 07, ////, 07, ////, 07, ///, 07</v>
      </c>
    </row>
    <row r="1132" spans="1:1" x14ac:dyDescent="0.25">
      <c r="A1132" s="12" t="str">
        <f ca="1">TEXT(Overig!A1132,"000\,")&amp;TEXT(Overig!B1132,"?00000000")&amp;TEXT(Overig!C1132,""", ""@")&amp;SUBSTITUTE(TEXT(IF(ISTEXT(Overig!D1132),Overig!D1132,10*Overig!D1132),""",""????0;"",""???-0;"",""????0;"", ////"""),"'","""")&amp;SUBSTITUTE(TEXT(Overig!E1132,""",""?00;"",""?-00;"",""?00;"", //"""),"'","""")&amp;SUBSTITUTE(TEXT(IF(ISTEXT(Overig!F1132),Overig!F1132,10*Overig!F1132),""",""????0;"",""???-0;"",""????0;"", ////"""),"'","""")&amp;SUBSTITUTE(TEXT(Overig!G1132,""",""?00;"",""?-00;"",""?00;"", //"""),"'","""")&amp;SUBSTITUTE(TEXT(IF(ISTEXT(Overig!H1132),Overig!H1132,10*Overig!H1132),""",""????0;"",""???-0;"",""????0;"", ////"""),"'","""")&amp;SUBSTITUTE(TEXT(Overig!I1132,""",""?00;"",""?-00;"",""?00;"", //"""),"'","""")&amp;SUBSTITUTE(TEXT(IF(ISTEXT(Overig!J1132),Overig!J1132,10*Overig!J1132),""",""????0;"",""???-0;"",""????0;"", ////"""),"'","""")&amp;SUBSTITUTE(TEXT(Overig!K1132,""",""?00;"",""?-00;"",""?00;"", //"""),"'","""")&amp;SUBSTITUTE(TEXT(Overig!L1132,""",""???0;"",""??-0;"",""???0;"", ///"""),"'","""")&amp;SUBSTITUTE(TEXT(Overig!M1132,""",""?00;"",""?-00;"",""?00;"", //"""),"'","""")&amp;SUBSTITUTE(TEXT(IF(ISTEXT(Overig!N1132),Overig!N1132,10*Overig!N1132),""",""????0;"",""???-0;"",""????0;"", ////"""),"'","""")&amp;SUBSTITUTE(TEXT(Overig!O1132,""",""?00;"",""?-00;"",""?00;"", //"""),"'","""")&amp;SUBSTITUTE(TEXT(IF(ISTEXT(Overig!P1132),Overig!P1132,10*Overig!P1132),""",""????0;"",""???-0;"",""????0;"", ////"""),"'","""")&amp;SUBSTITUTE(TEXT(Overig!Q1132,""",""?00;"",""?-00;"",""?00;"", //"""),"'","""")&amp;SUBSTITUTE(TEXT(Overig!R1132,""",""????0;"",""???-0;"",""????0;"", ////"""),"'","""")&amp;SUBSTITUTE(TEXT(Overig!S1132,""",""?00;"",""?-00;"",""?00;"", //"""),"'","""")&amp;SUBSTITUTE(TEXT(IF(ISTEXT(Overig!T1132),Overig!T1132,10*Overig!T1132),""",""????0;"",""???-0;"",""????0;"", ////"""),"'","""")&amp;SUBSTITUTE(TEXT(Overig!U1132,""",""?00;"",""?-00;"",""?00;"", //"""),"'","""")&amp;SUBSTITUTE(TEXT(Overig!V1132,""",""???0;"",""??-0;"",""???0;"", ///"""),"'","""")&amp;SUBSTITUTE(TEXT(Overig!W1132,""",""?00;"",""?-00;"",""?00;"", //"""),"'","""")</f>
        <v>032, 19401009, 17.00, ////, 07, ////, 07, ////, 07, ////, 07, ///, 07, ////, 07, ////, 07, ////, 07, ////, 07, ///, 07</v>
      </c>
    </row>
    <row r="1133" spans="1:1" x14ac:dyDescent="0.25">
      <c r="A1133" s="12" t="str">
        <f ca="1">TEXT(Overig!A1133,"000\,")&amp;TEXT(Overig!B1133,"?00000000")&amp;TEXT(Overig!C1133,""", ""@")&amp;SUBSTITUTE(TEXT(IF(ISTEXT(Overig!D1133),Overig!D1133,10*Overig!D1133),""",""????0;"",""???-0;"",""????0;"", ////"""),"'","""")&amp;SUBSTITUTE(TEXT(Overig!E1133,""",""?00;"",""?-00;"",""?00;"", //"""),"'","""")&amp;SUBSTITUTE(TEXT(IF(ISTEXT(Overig!F1133),Overig!F1133,10*Overig!F1133),""",""????0;"",""???-0;"",""????0;"", ////"""),"'","""")&amp;SUBSTITUTE(TEXT(Overig!G1133,""",""?00;"",""?-00;"",""?00;"", //"""),"'","""")&amp;SUBSTITUTE(TEXT(IF(ISTEXT(Overig!H1133),Overig!H1133,10*Overig!H1133),""",""????0;"",""???-0;"",""????0;"", ////"""),"'","""")&amp;SUBSTITUTE(TEXT(Overig!I1133,""",""?00;"",""?-00;"",""?00;"", //"""),"'","""")&amp;SUBSTITUTE(TEXT(IF(ISTEXT(Overig!J1133),Overig!J1133,10*Overig!J1133),""",""????0;"",""???-0;"",""????0;"", ////"""),"'","""")&amp;SUBSTITUTE(TEXT(Overig!K1133,""",""?00;"",""?-00;"",""?00;"", //"""),"'","""")&amp;SUBSTITUTE(TEXT(Overig!L1133,""",""???0;"",""??-0;"",""???0;"", ///"""),"'","""")&amp;SUBSTITUTE(TEXT(Overig!M1133,""",""?00;"",""?-00;"",""?00;"", //"""),"'","""")&amp;SUBSTITUTE(TEXT(IF(ISTEXT(Overig!N1133),Overig!N1133,10*Overig!N1133),""",""????0;"",""???-0;"",""????0;"", ////"""),"'","""")&amp;SUBSTITUTE(TEXT(Overig!O1133,""",""?00;"",""?-00;"",""?00;"", //"""),"'","""")&amp;SUBSTITUTE(TEXT(IF(ISTEXT(Overig!P1133),Overig!P1133,10*Overig!P1133),""",""????0;"",""???-0;"",""????0;"", ////"""),"'","""")&amp;SUBSTITUTE(TEXT(Overig!Q1133,""",""?00;"",""?-00;"",""?00;"", //"""),"'","""")&amp;SUBSTITUTE(TEXT(Overig!R1133,""",""????0;"",""???-0;"",""????0;"", ////"""),"'","""")&amp;SUBSTITUTE(TEXT(Overig!S1133,""",""?00;"",""?-00;"",""?00;"", //"""),"'","""")&amp;SUBSTITUTE(TEXT(IF(ISTEXT(Overig!T1133),Overig!T1133,10*Overig!T1133),""",""????0;"",""???-0;"",""????0;"", ////"""),"'","""")&amp;SUBSTITUTE(TEXT(Overig!U1133,""",""?00;"",""?-00;"",""?00;"", //"""),"'","""")&amp;SUBSTITUTE(TEXT(Overig!V1133,""",""???0;"",""??-0;"",""???0;"", ///"""),"'","""")&amp;SUBSTITUTE(TEXT(Overig!W1133,""",""?00;"",""?-00;"",""?00;"", //"""),"'","""")</f>
        <v>032, 19401009, 24.00, ////, 07, ////, 07, ////, 07, ////, 07, ///, 07, ////, 07, ////, 07, ////, 07, ////, 07, ///, 07</v>
      </c>
    </row>
    <row r="1134" spans="1:1" x14ac:dyDescent="0.25">
      <c r="A1134" s="12" t="str">
        <f ca="1">TEXT(Overig!A1134,"000\,")&amp;TEXT(Overig!B1134,"?00000000")&amp;TEXT(Overig!C1134,""", ""@")&amp;SUBSTITUTE(TEXT(IF(ISTEXT(Overig!D1134),Overig!D1134,10*Overig!D1134),""",""????0;"",""???-0;"",""????0;"", ////"""),"'","""")&amp;SUBSTITUTE(TEXT(Overig!E1134,""",""?00;"",""?-00;"",""?00;"", //"""),"'","""")&amp;SUBSTITUTE(TEXT(IF(ISTEXT(Overig!F1134),Overig!F1134,10*Overig!F1134),""",""????0;"",""???-0;"",""????0;"", ////"""),"'","""")&amp;SUBSTITUTE(TEXT(Overig!G1134,""",""?00;"",""?-00;"",""?00;"", //"""),"'","""")&amp;SUBSTITUTE(TEXT(IF(ISTEXT(Overig!H1134),Overig!H1134,10*Overig!H1134),""",""????0;"",""???-0;"",""????0;"", ////"""),"'","""")&amp;SUBSTITUTE(TEXT(Overig!I1134,""",""?00;"",""?-00;"",""?00;"", //"""),"'","""")&amp;SUBSTITUTE(TEXT(IF(ISTEXT(Overig!J1134),Overig!J1134,10*Overig!J1134),""",""????0;"",""???-0;"",""????0;"", ////"""),"'","""")&amp;SUBSTITUTE(TEXT(Overig!K1134,""",""?00;"",""?-00;"",""?00;"", //"""),"'","""")&amp;SUBSTITUTE(TEXT(Overig!L1134,""",""???0;"",""??-0;"",""???0;"", ///"""),"'","""")&amp;SUBSTITUTE(TEXT(Overig!M1134,""",""?00;"",""?-00;"",""?00;"", //"""),"'","""")&amp;SUBSTITUTE(TEXT(IF(ISTEXT(Overig!N1134),Overig!N1134,10*Overig!N1134),""",""????0;"",""???-0;"",""????0;"", ////"""),"'","""")&amp;SUBSTITUTE(TEXT(Overig!O1134,""",""?00;"",""?-00;"",""?00;"", //"""),"'","""")&amp;SUBSTITUTE(TEXT(IF(ISTEXT(Overig!P1134),Overig!P1134,10*Overig!P1134),""",""????0;"",""???-0;"",""????0;"", ////"""),"'","""")&amp;SUBSTITUTE(TEXT(Overig!Q1134,""",""?00;"",""?-00;"",""?00;"", //"""),"'","""")&amp;SUBSTITUTE(TEXT(Overig!R1134,""",""????0;"",""???-0;"",""????0;"", ////"""),"'","""")&amp;SUBSTITUTE(TEXT(Overig!S1134,""",""?00;"",""?-00;"",""?00;"", //"""),"'","""")&amp;SUBSTITUTE(TEXT(IF(ISTEXT(Overig!T1134),Overig!T1134,10*Overig!T1134),""",""????0;"",""???-0;"",""????0;"", ////"""),"'","""")&amp;SUBSTITUTE(TEXT(Overig!U1134,""",""?00;"",""?-00;"",""?00;"", //"""),"'","""")&amp;SUBSTITUTE(TEXT(Overig!V1134,""",""???0;"",""??-0;"",""???0;"", ///"""),"'","""")&amp;SUBSTITUTE(TEXT(Overig!W1134,""",""?00;"",""?-00;"",""?00;"", //"""),"'","""")</f>
        <v>032, 19401010, 07.00, ////, 07, ////, 07, ////, 07, ////, 07, ///, 07, ////, 07, ////, 07, ////, 07, ////, 07, ///, 07</v>
      </c>
    </row>
    <row r="1135" spans="1:1" x14ac:dyDescent="0.25">
      <c r="A1135" s="12" t="str">
        <f ca="1">TEXT(Overig!A1135,"000\,")&amp;TEXT(Overig!B1135,"?00000000")&amp;TEXT(Overig!C1135,""", ""@")&amp;SUBSTITUTE(TEXT(IF(ISTEXT(Overig!D1135),Overig!D1135,10*Overig!D1135),""",""????0;"",""???-0;"",""????0;"", ////"""),"'","""")&amp;SUBSTITUTE(TEXT(Overig!E1135,""",""?00;"",""?-00;"",""?00;"", //"""),"'","""")&amp;SUBSTITUTE(TEXT(IF(ISTEXT(Overig!F1135),Overig!F1135,10*Overig!F1135),""",""????0;"",""???-0;"",""????0;"", ////"""),"'","""")&amp;SUBSTITUTE(TEXT(Overig!G1135,""",""?00;"",""?-00;"",""?00;"", //"""),"'","""")&amp;SUBSTITUTE(TEXT(IF(ISTEXT(Overig!H1135),Overig!H1135,10*Overig!H1135),""",""????0;"",""???-0;"",""????0;"", ////"""),"'","""")&amp;SUBSTITUTE(TEXT(Overig!I1135,""",""?00;"",""?-00;"",""?00;"", //"""),"'","""")&amp;SUBSTITUTE(TEXT(IF(ISTEXT(Overig!J1135),Overig!J1135,10*Overig!J1135),""",""????0;"",""???-0;"",""????0;"", ////"""),"'","""")&amp;SUBSTITUTE(TEXT(Overig!K1135,""",""?00;"",""?-00;"",""?00;"", //"""),"'","""")&amp;SUBSTITUTE(TEXT(Overig!L1135,""",""???0;"",""??-0;"",""???0;"", ///"""),"'","""")&amp;SUBSTITUTE(TEXT(Overig!M1135,""",""?00;"",""?-00;"",""?00;"", //"""),"'","""")&amp;SUBSTITUTE(TEXT(IF(ISTEXT(Overig!N1135),Overig!N1135,10*Overig!N1135),""",""????0;"",""???-0;"",""????0;"", ////"""),"'","""")&amp;SUBSTITUTE(TEXT(Overig!O1135,""",""?00;"",""?-00;"",""?00;"", //"""),"'","""")&amp;SUBSTITUTE(TEXT(IF(ISTEXT(Overig!P1135),Overig!P1135,10*Overig!P1135),""",""????0;"",""???-0;"",""????0;"", ////"""),"'","""")&amp;SUBSTITUTE(TEXT(Overig!Q1135,""",""?00;"",""?-00;"",""?00;"", //"""),"'","""")&amp;SUBSTITUTE(TEXT(Overig!R1135,""",""????0;"",""???-0;"",""????0;"", ////"""),"'","""")&amp;SUBSTITUTE(TEXT(Overig!S1135,""",""?00;"",""?-00;"",""?00;"", //"""),"'","""")&amp;SUBSTITUTE(TEXT(IF(ISTEXT(Overig!T1135),Overig!T1135,10*Overig!T1135),""",""????0;"",""???-0;"",""????0;"", ////"""),"'","""")&amp;SUBSTITUTE(TEXT(Overig!U1135,""",""?00;"",""?-00;"",""?00;"", //"""),"'","""")&amp;SUBSTITUTE(TEXT(Overig!V1135,""",""???0;"",""??-0;"",""???0;"", ///"""),"'","""")&amp;SUBSTITUTE(TEXT(Overig!W1135,""",""?00;"",""?-00;"",""?00;"", //"""),"'","""")</f>
        <v>032, 19401010, 12.00, ////, 07, ////, 07, ////, 07, ////, 07, ///, 07, ////, 07, ////, 07, ////, 07, ////, 07, ///, 07</v>
      </c>
    </row>
    <row r="1136" spans="1:1" x14ac:dyDescent="0.25">
      <c r="A1136" s="12" t="str">
        <f ca="1">TEXT(Overig!A1136,"000\,")&amp;TEXT(Overig!B1136,"?00000000")&amp;TEXT(Overig!C1136,""", ""@")&amp;SUBSTITUTE(TEXT(IF(ISTEXT(Overig!D1136),Overig!D1136,10*Overig!D1136),""",""????0;"",""???-0;"",""????0;"", ////"""),"'","""")&amp;SUBSTITUTE(TEXT(Overig!E1136,""",""?00;"",""?-00;"",""?00;"", //"""),"'","""")&amp;SUBSTITUTE(TEXT(IF(ISTEXT(Overig!F1136),Overig!F1136,10*Overig!F1136),""",""????0;"",""???-0;"",""????0;"", ////"""),"'","""")&amp;SUBSTITUTE(TEXT(Overig!G1136,""",""?00;"",""?-00;"",""?00;"", //"""),"'","""")&amp;SUBSTITUTE(TEXT(IF(ISTEXT(Overig!H1136),Overig!H1136,10*Overig!H1136),""",""????0;"",""???-0;"",""????0;"", ////"""),"'","""")&amp;SUBSTITUTE(TEXT(Overig!I1136,""",""?00;"",""?-00;"",""?00;"", //"""),"'","""")&amp;SUBSTITUTE(TEXT(IF(ISTEXT(Overig!J1136),Overig!J1136,10*Overig!J1136),""",""????0;"",""???-0;"",""????0;"", ////"""),"'","""")&amp;SUBSTITUTE(TEXT(Overig!K1136,""",""?00;"",""?-00;"",""?00;"", //"""),"'","""")&amp;SUBSTITUTE(TEXT(Overig!L1136,""",""???0;"",""??-0;"",""???0;"", ///"""),"'","""")&amp;SUBSTITUTE(TEXT(Overig!M1136,""",""?00;"",""?-00;"",""?00;"", //"""),"'","""")&amp;SUBSTITUTE(TEXT(IF(ISTEXT(Overig!N1136),Overig!N1136,10*Overig!N1136),""",""????0;"",""???-0;"",""????0;"", ////"""),"'","""")&amp;SUBSTITUTE(TEXT(Overig!O1136,""",""?00;"",""?-00;"",""?00;"", //"""),"'","""")&amp;SUBSTITUTE(TEXT(IF(ISTEXT(Overig!P1136),Overig!P1136,10*Overig!P1136),""",""????0;"",""???-0;"",""????0;"", ////"""),"'","""")&amp;SUBSTITUTE(TEXT(Overig!Q1136,""",""?00;"",""?-00;"",""?00;"", //"""),"'","""")&amp;SUBSTITUTE(TEXT(Overig!R1136,""",""????0;"",""???-0;"",""????0;"", ////"""),"'","""")&amp;SUBSTITUTE(TEXT(Overig!S1136,""",""?00;"",""?-00;"",""?00;"", //"""),"'","""")&amp;SUBSTITUTE(TEXT(IF(ISTEXT(Overig!T1136),Overig!T1136,10*Overig!T1136),""",""????0;"",""???-0;"",""????0;"", ////"""),"'","""")&amp;SUBSTITUTE(TEXT(Overig!U1136,""",""?00;"",""?-00;"",""?00;"", //"""),"'","""")&amp;SUBSTITUTE(TEXT(Overig!V1136,""",""???0;"",""??-0;"",""???0;"", ///"""),"'","""")&amp;SUBSTITUTE(TEXT(Overig!W1136,""",""?00;"",""?-00;"",""?00;"", //"""),"'","""")</f>
        <v>032, 19401010, 17.00, ////, 07, ////, 07, ////, 07, ////, 07, ///, 07, ////, 07, ////, 07, ////, 07, ////, 07, ///, 07</v>
      </c>
    </row>
    <row r="1137" spans="1:1" x14ac:dyDescent="0.25">
      <c r="A1137" s="12" t="str">
        <f ca="1">TEXT(Overig!A1137,"000\,")&amp;TEXT(Overig!B1137,"?00000000")&amp;TEXT(Overig!C1137,""", ""@")&amp;SUBSTITUTE(TEXT(IF(ISTEXT(Overig!D1137),Overig!D1137,10*Overig!D1137),""",""????0;"",""???-0;"",""????0;"", ////"""),"'","""")&amp;SUBSTITUTE(TEXT(Overig!E1137,""",""?00;"",""?-00;"",""?00;"", //"""),"'","""")&amp;SUBSTITUTE(TEXT(IF(ISTEXT(Overig!F1137),Overig!F1137,10*Overig!F1137),""",""????0;"",""???-0;"",""????0;"", ////"""),"'","""")&amp;SUBSTITUTE(TEXT(Overig!G1137,""",""?00;"",""?-00;"",""?00;"", //"""),"'","""")&amp;SUBSTITUTE(TEXT(IF(ISTEXT(Overig!H1137),Overig!H1137,10*Overig!H1137),""",""????0;"",""???-0;"",""????0;"", ////"""),"'","""")&amp;SUBSTITUTE(TEXT(Overig!I1137,""",""?00;"",""?-00;"",""?00;"", //"""),"'","""")&amp;SUBSTITUTE(TEXT(IF(ISTEXT(Overig!J1137),Overig!J1137,10*Overig!J1137),""",""????0;"",""???-0;"",""????0;"", ////"""),"'","""")&amp;SUBSTITUTE(TEXT(Overig!K1137,""",""?00;"",""?-00;"",""?00;"", //"""),"'","""")&amp;SUBSTITUTE(TEXT(Overig!L1137,""",""???0;"",""??-0;"",""???0;"", ///"""),"'","""")&amp;SUBSTITUTE(TEXT(Overig!M1137,""",""?00;"",""?-00;"",""?00;"", //"""),"'","""")&amp;SUBSTITUTE(TEXT(IF(ISTEXT(Overig!N1137),Overig!N1137,10*Overig!N1137),""",""????0;"",""???-0;"",""????0;"", ////"""),"'","""")&amp;SUBSTITUTE(TEXT(Overig!O1137,""",""?00;"",""?-00;"",""?00;"", //"""),"'","""")&amp;SUBSTITUTE(TEXT(IF(ISTEXT(Overig!P1137),Overig!P1137,10*Overig!P1137),""",""????0;"",""???-0;"",""????0;"", ////"""),"'","""")&amp;SUBSTITUTE(TEXT(Overig!Q1137,""",""?00;"",""?-00;"",""?00;"", //"""),"'","""")&amp;SUBSTITUTE(TEXT(Overig!R1137,""",""????0;"",""???-0;"",""????0;"", ////"""),"'","""")&amp;SUBSTITUTE(TEXT(Overig!S1137,""",""?00;"",""?-00;"",""?00;"", //"""),"'","""")&amp;SUBSTITUTE(TEXT(IF(ISTEXT(Overig!T1137),Overig!T1137,10*Overig!T1137),""",""????0;"",""???-0;"",""????0;"", ////"""),"'","""")&amp;SUBSTITUTE(TEXT(Overig!U1137,""",""?00;"",""?-00;"",""?00;"", //"""),"'","""")&amp;SUBSTITUTE(TEXT(Overig!V1137,""",""???0;"",""??-0;"",""???0;"", ///"""),"'","""")&amp;SUBSTITUTE(TEXT(Overig!W1137,""",""?00;"",""?-00;"",""?00;"", //"""),"'","""")</f>
        <v>032, 19401010, 24.00, ////, 07, ////, 07, ////, 07, ////, 07, ///, 07, ////, 07, ////, 07, ////, 07, ////, 07, ///, 07</v>
      </c>
    </row>
    <row r="1138" spans="1:1" x14ac:dyDescent="0.25">
      <c r="A1138" s="12" t="str">
        <f ca="1">TEXT(Overig!A1138,"000\,")&amp;TEXT(Overig!B1138,"?00000000")&amp;TEXT(Overig!C1138,""", ""@")&amp;SUBSTITUTE(TEXT(IF(ISTEXT(Overig!D1138),Overig!D1138,10*Overig!D1138),""",""????0;"",""???-0;"",""????0;"", ////"""),"'","""")&amp;SUBSTITUTE(TEXT(Overig!E1138,""",""?00;"",""?-00;"",""?00;"", //"""),"'","""")&amp;SUBSTITUTE(TEXT(IF(ISTEXT(Overig!F1138),Overig!F1138,10*Overig!F1138),""",""????0;"",""???-0;"",""????0;"", ////"""),"'","""")&amp;SUBSTITUTE(TEXT(Overig!G1138,""",""?00;"",""?-00;"",""?00;"", //"""),"'","""")&amp;SUBSTITUTE(TEXT(IF(ISTEXT(Overig!H1138),Overig!H1138,10*Overig!H1138),""",""????0;"",""???-0;"",""????0;"", ////"""),"'","""")&amp;SUBSTITUTE(TEXT(Overig!I1138,""",""?00;"",""?-00;"",""?00;"", //"""),"'","""")&amp;SUBSTITUTE(TEXT(IF(ISTEXT(Overig!J1138),Overig!J1138,10*Overig!J1138),""",""????0;"",""???-0;"",""????0;"", ////"""),"'","""")&amp;SUBSTITUTE(TEXT(Overig!K1138,""",""?00;"",""?-00;"",""?00;"", //"""),"'","""")&amp;SUBSTITUTE(TEXT(Overig!L1138,""",""???0;"",""??-0;"",""???0;"", ///"""),"'","""")&amp;SUBSTITUTE(TEXT(Overig!M1138,""",""?00;"",""?-00;"",""?00;"", //"""),"'","""")&amp;SUBSTITUTE(TEXT(IF(ISTEXT(Overig!N1138),Overig!N1138,10*Overig!N1138),""",""????0;"",""???-0;"",""????0;"", ////"""),"'","""")&amp;SUBSTITUTE(TEXT(Overig!O1138,""",""?00;"",""?-00;"",""?00;"", //"""),"'","""")&amp;SUBSTITUTE(TEXT(IF(ISTEXT(Overig!P1138),Overig!P1138,10*Overig!P1138),""",""????0;"",""???-0;"",""????0;"", ////"""),"'","""")&amp;SUBSTITUTE(TEXT(Overig!Q1138,""",""?00;"",""?-00;"",""?00;"", //"""),"'","""")&amp;SUBSTITUTE(TEXT(Overig!R1138,""",""????0;"",""???-0;"",""????0;"", ////"""),"'","""")&amp;SUBSTITUTE(TEXT(Overig!S1138,""",""?00;"",""?-00;"",""?00;"", //"""),"'","""")&amp;SUBSTITUTE(TEXT(IF(ISTEXT(Overig!T1138),Overig!T1138,10*Overig!T1138),""",""????0;"",""???-0;"",""????0;"", ////"""),"'","""")&amp;SUBSTITUTE(TEXT(Overig!U1138,""",""?00;"",""?-00;"",""?00;"", //"""),"'","""")&amp;SUBSTITUTE(TEXT(Overig!V1138,""",""???0;"",""??-0;"",""???0;"", ///"""),"'","""")&amp;SUBSTITUTE(TEXT(Overig!W1138,""",""?00;"",""?-00;"",""?00;"", //"""),"'","""")</f>
        <v>032, 19401011, 07.00, ////, 07, ////, 07, ////, 07, ////, 07, ///, 07, ////, 07, ////, 07, ////, 07, ////, 07, ///, 07</v>
      </c>
    </row>
    <row r="1139" spans="1:1" x14ac:dyDescent="0.25">
      <c r="A1139" s="12" t="str">
        <f ca="1">TEXT(Overig!A1139,"000\,")&amp;TEXT(Overig!B1139,"?00000000")&amp;TEXT(Overig!C1139,""", ""@")&amp;SUBSTITUTE(TEXT(IF(ISTEXT(Overig!D1139),Overig!D1139,10*Overig!D1139),""",""????0;"",""???-0;"",""????0;"", ////"""),"'","""")&amp;SUBSTITUTE(TEXT(Overig!E1139,""",""?00;"",""?-00;"",""?00;"", //"""),"'","""")&amp;SUBSTITUTE(TEXT(IF(ISTEXT(Overig!F1139),Overig!F1139,10*Overig!F1139),""",""????0;"",""???-0;"",""????0;"", ////"""),"'","""")&amp;SUBSTITUTE(TEXT(Overig!G1139,""",""?00;"",""?-00;"",""?00;"", //"""),"'","""")&amp;SUBSTITUTE(TEXT(IF(ISTEXT(Overig!H1139),Overig!H1139,10*Overig!H1139),""",""????0;"",""???-0;"",""????0;"", ////"""),"'","""")&amp;SUBSTITUTE(TEXT(Overig!I1139,""",""?00;"",""?-00;"",""?00;"", //"""),"'","""")&amp;SUBSTITUTE(TEXT(IF(ISTEXT(Overig!J1139),Overig!J1139,10*Overig!J1139),""",""????0;"",""???-0;"",""????0;"", ////"""),"'","""")&amp;SUBSTITUTE(TEXT(Overig!K1139,""",""?00;"",""?-00;"",""?00;"", //"""),"'","""")&amp;SUBSTITUTE(TEXT(Overig!L1139,""",""???0;"",""??-0;"",""???0;"", ///"""),"'","""")&amp;SUBSTITUTE(TEXT(Overig!M1139,""",""?00;"",""?-00;"",""?00;"", //"""),"'","""")&amp;SUBSTITUTE(TEXT(IF(ISTEXT(Overig!N1139),Overig!N1139,10*Overig!N1139),""",""????0;"",""???-0;"",""????0;"", ////"""),"'","""")&amp;SUBSTITUTE(TEXT(Overig!O1139,""",""?00;"",""?-00;"",""?00;"", //"""),"'","""")&amp;SUBSTITUTE(TEXT(IF(ISTEXT(Overig!P1139),Overig!P1139,10*Overig!P1139),""",""????0;"",""???-0;"",""????0;"", ////"""),"'","""")&amp;SUBSTITUTE(TEXT(Overig!Q1139,""",""?00;"",""?-00;"",""?00;"", //"""),"'","""")&amp;SUBSTITUTE(TEXT(Overig!R1139,""",""????0;"",""???-0;"",""????0;"", ////"""),"'","""")&amp;SUBSTITUTE(TEXT(Overig!S1139,""",""?00;"",""?-00;"",""?00;"", //"""),"'","""")&amp;SUBSTITUTE(TEXT(IF(ISTEXT(Overig!T1139),Overig!T1139,10*Overig!T1139),""",""????0;"",""???-0;"",""????0;"", ////"""),"'","""")&amp;SUBSTITUTE(TEXT(Overig!U1139,""",""?00;"",""?-00;"",""?00;"", //"""),"'","""")&amp;SUBSTITUTE(TEXT(Overig!V1139,""",""???0;"",""??-0;"",""???0;"", ///"""),"'","""")&amp;SUBSTITUTE(TEXT(Overig!W1139,""",""?00;"",""?-00;"",""?00;"", //"""),"'","""")</f>
        <v>032, 19401011, 12.00, ////, 07, ////, 07, ////, 07, ////, 07, ///, 07, ////, 07, ////, 07, ////, 07, ////, 07, ///, 07</v>
      </c>
    </row>
    <row r="1140" spans="1:1" x14ac:dyDescent="0.25">
      <c r="A1140" s="12" t="str">
        <f ca="1">TEXT(Overig!A1140,"000\,")&amp;TEXT(Overig!B1140,"?00000000")&amp;TEXT(Overig!C1140,""", ""@")&amp;SUBSTITUTE(TEXT(IF(ISTEXT(Overig!D1140),Overig!D1140,10*Overig!D1140),""",""????0;"",""???-0;"",""????0;"", ////"""),"'","""")&amp;SUBSTITUTE(TEXT(Overig!E1140,""",""?00;"",""?-00;"",""?00;"", //"""),"'","""")&amp;SUBSTITUTE(TEXT(IF(ISTEXT(Overig!F1140),Overig!F1140,10*Overig!F1140),""",""????0;"",""???-0;"",""????0;"", ////"""),"'","""")&amp;SUBSTITUTE(TEXT(Overig!G1140,""",""?00;"",""?-00;"",""?00;"", //"""),"'","""")&amp;SUBSTITUTE(TEXT(IF(ISTEXT(Overig!H1140),Overig!H1140,10*Overig!H1140),""",""????0;"",""???-0;"",""????0;"", ////"""),"'","""")&amp;SUBSTITUTE(TEXT(Overig!I1140,""",""?00;"",""?-00;"",""?00;"", //"""),"'","""")&amp;SUBSTITUTE(TEXT(IF(ISTEXT(Overig!J1140),Overig!J1140,10*Overig!J1140),""",""????0;"",""???-0;"",""????0;"", ////"""),"'","""")&amp;SUBSTITUTE(TEXT(Overig!K1140,""",""?00;"",""?-00;"",""?00;"", //"""),"'","""")&amp;SUBSTITUTE(TEXT(Overig!L1140,""",""???0;"",""??-0;"",""???0;"", ///"""),"'","""")&amp;SUBSTITUTE(TEXT(Overig!M1140,""",""?00;"",""?-00;"",""?00;"", //"""),"'","""")&amp;SUBSTITUTE(TEXT(IF(ISTEXT(Overig!N1140),Overig!N1140,10*Overig!N1140),""",""????0;"",""???-0;"",""????0;"", ////"""),"'","""")&amp;SUBSTITUTE(TEXT(Overig!O1140,""",""?00;"",""?-00;"",""?00;"", //"""),"'","""")&amp;SUBSTITUTE(TEXT(IF(ISTEXT(Overig!P1140),Overig!P1140,10*Overig!P1140),""",""????0;"",""???-0;"",""????0;"", ////"""),"'","""")&amp;SUBSTITUTE(TEXT(Overig!Q1140,""",""?00;"",""?-00;"",""?00;"", //"""),"'","""")&amp;SUBSTITUTE(TEXT(Overig!R1140,""",""????0;"",""???-0;"",""????0;"", ////"""),"'","""")&amp;SUBSTITUTE(TEXT(Overig!S1140,""",""?00;"",""?-00;"",""?00;"", //"""),"'","""")&amp;SUBSTITUTE(TEXT(IF(ISTEXT(Overig!T1140),Overig!T1140,10*Overig!T1140),""",""????0;"",""???-0;"",""????0;"", ////"""),"'","""")&amp;SUBSTITUTE(TEXT(Overig!U1140,""",""?00;"",""?-00;"",""?00;"", //"""),"'","""")&amp;SUBSTITUTE(TEXT(Overig!V1140,""",""???0;"",""??-0;"",""???0;"", ///"""),"'","""")&amp;SUBSTITUTE(TEXT(Overig!W1140,""",""?00;"",""?-00;"",""?00;"", //"""),"'","""")</f>
        <v>032, 19401011, 17.00, ////, 07, ////, 07, ////, 07, ////, 07, ///, 07, ////, 07, ////, 07, ////, 07, ////, 07, ///, 07</v>
      </c>
    </row>
    <row r="1141" spans="1:1" x14ac:dyDescent="0.25">
      <c r="A1141" s="12" t="str">
        <f ca="1">TEXT(Overig!A1141,"000\,")&amp;TEXT(Overig!B1141,"?00000000")&amp;TEXT(Overig!C1141,""", ""@")&amp;SUBSTITUTE(TEXT(IF(ISTEXT(Overig!D1141),Overig!D1141,10*Overig!D1141),""",""????0;"",""???-0;"",""????0;"", ////"""),"'","""")&amp;SUBSTITUTE(TEXT(Overig!E1141,""",""?00;"",""?-00;"",""?00;"", //"""),"'","""")&amp;SUBSTITUTE(TEXT(IF(ISTEXT(Overig!F1141),Overig!F1141,10*Overig!F1141),""",""????0;"",""???-0;"",""????0;"", ////"""),"'","""")&amp;SUBSTITUTE(TEXT(Overig!G1141,""",""?00;"",""?-00;"",""?00;"", //"""),"'","""")&amp;SUBSTITUTE(TEXT(IF(ISTEXT(Overig!H1141),Overig!H1141,10*Overig!H1141),""",""????0;"",""???-0;"",""????0;"", ////"""),"'","""")&amp;SUBSTITUTE(TEXT(Overig!I1141,""",""?00;"",""?-00;"",""?00;"", //"""),"'","""")&amp;SUBSTITUTE(TEXT(IF(ISTEXT(Overig!J1141),Overig!J1141,10*Overig!J1141),""",""????0;"",""???-0;"",""????0;"", ////"""),"'","""")&amp;SUBSTITUTE(TEXT(Overig!K1141,""",""?00;"",""?-00;"",""?00;"", //"""),"'","""")&amp;SUBSTITUTE(TEXT(Overig!L1141,""",""???0;"",""??-0;"",""???0;"", ///"""),"'","""")&amp;SUBSTITUTE(TEXT(Overig!M1141,""",""?00;"",""?-00;"",""?00;"", //"""),"'","""")&amp;SUBSTITUTE(TEXT(IF(ISTEXT(Overig!N1141),Overig!N1141,10*Overig!N1141),""",""????0;"",""???-0;"",""????0;"", ////"""),"'","""")&amp;SUBSTITUTE(TEXT(Overig!O1141,""",""?00;"",""?-00;"",""?00;"", //"""),"'","""")&amp;SUBSTITUTE(TEXT(IF(ISTEXT(Overig!P1141),Overig!P1141,10*Overig!P1141),""",""????0;"",""???-0;"",""????0;"", ////"""),"'","""")&amp;SUBSTITUTE(TEXT(Overig!Q1141,""",""?00;"",""?-00;"",""?00;"", //"""),"'","""")&amp;SUBSTITUTE(TEXT(Overig!R1141,""",""????0;"",""???-0;"",""????0;"", ////"""),"'","""")&amp;SUBSTITUTE(TEXT(Overig!S1141,""",""?00;"",""?-00;"",""?00;"", //"""),"'","""")&amp;SUBSTITUTE(TEXT(IF(ISTEXT(Overig!T1141),Overig!T1141,10*Overig!T1141),""",""????0;"",""???-0;"",""????0;"", ////"""),"'","""")&amp;SUBSTITUTE(TEXT(Overig!U1141,""",""?00;"",""?-00;"",""?00;"", //"""),"'","""")&amp;SUBSTITUTE(TEXT(Overig!V1141,""",""???0;"",""??-0;"",""???0;"", ///"""),"'","""")&amp;SUBSTITUTE(TEXT(Overig!W1141,""",""?00;"",""?-00;"",""?00;"", //"""),"'","""")</f>
        <v>032, 19401011, 24.00, ////, 07, ////, 07, ////, 07, ////, 07, ///, 07, ////, 07, ////, 07, ////, 07, ////, 07, ///, 07</v>
      </c>
    </row>
    <row r="1142" spans="1:1" x14ac:dyDescent="0.25">
      <c r="A1142" s="12" t="str">
        <f ca="1">TEXT(Overig!A1142,"000\,")&amp;TEXT(Overig!B1142,"?00000000")&amp;TEXT(Overig!C1142,""", ""@")&amp;SUBSTITUTE(TEXT(IF(ISTEXT(Overig!D1142),Overig!D1142,10*Overig!D1142),""",""????0;"",""???-0;"",""????0;"", ////"""),"'","""")&amp;SUBSTITUTE(TEXT(Overig!E1142,""",""?00;"",""?-00;"",""?00;"", //"""),"'","""")&amp;SUBSTITUTE(TEXT(IF(ISTEXT(Overig!F1142),Overig!F1142,10*Overig!F1142),""",""????0;"",""???-0;"",""????0;"", ////"""),"'","""")&amp;SUBSTITUTE(TEXT(Overig!G1142,""",""?00;"",""?-00;"",""?00;"", //"""),"'","""")&amp;SUBSTITUTE(TEXT(IF(ISTEXT(Overig!H1142),Overig!H1142,10*Overig!H1142),""",""????0;"",""???-0;"",""????0;"", ////"""),"'","""")&amp;SUBSTITUTE(TEXT(Overig!I1142,""",""?00;"",""?-00;"",""?00;"", //"""),"'","""")&amp;SUBSTITUTE(TEXT(IF(ISTEXT(Overig!J1142),Overig!J1142,10*Overig!J1142),""",""????0;"",""???-0;"",""????0;"", ////"""),"'","""")&amp;SUBSTITUTE(TEXT(Overig!K1142,""",""?00;"",""?-00;"",""?00;"", //"""),"'","""")&amp;SUBSTITUTE(TEXT(Overig!L1142,""",""???0;"",""??-0;"",""???0;"", ///"""),"'","""")&amp;SUBSTITUTE(TEXT(Overig!M1142,""",""?00;"",""?-00;"",""?00;"", //"""),"'","""")&amp;SUBSTITUTE(TEXT(IF(ISTEXT(Overig!N1142),Overig!N1142,10*Overig!N1142),""",""????0;"",""???-0;"",""????0;"", ////"""),"'","""")&amp;SUBSTITUTE(TEXT(Overig!O1142,""",""?00;"",""?-00;"",""?00;"", //"""),"'","""")&amp;SUBSTITUTE(TEXT(IF(ISTEXT(Overig!P1142),Overig!P1142,10*Overig!P1142),""",""????0;"",""???-0;"",""????0;"", ////"""),"'","""")&amp;SUBSTITUTE(TEXT(Overig!Q1142,""",""?00;"",""?-00;"",""?00;"", //"""),"'","""")&amp;SUBSTITUTE(TEXT(Overig!R1142,""",""????0;"",""???-0;"",""????0;"", ////"""),"'","""")&amp;SUBSTITUTE(TEXT(Overig!S1142,""",""?00;"",""?-00;"",""?00;"", //"""),"'","""")&amp;SUBSTITUTE(TEXT(IF(ISTEXT(Overig!T1142),Overig!T1142,10*Overig!T1142),""",""????0;"",""???-0;"",""????0;"", ////"""),"'","""")&amp;SUBSTITUTE(TEXT(Overig!U1142,""",""?00;"",""?-00;"",""?00;"", //"""),"'","""")&amp;SUBSTITUTE(TEXT(Overig!V1142,""",""???0;"",""??-0;"",""???0;"", ///"""),"'","""")&amp;SUBSTITUTE(TEXT(Overig!W1142,""",""?00;"",""?-00;"",""?00;"", //"""),"'","""")</f>
        <v>032, 19401012, 07.00, ////, 07, ////, 07, ////, 07, ////, 07, ///, 07, ////, 07, ////, 07, ////, 07, ////, 07, ///, 07</v>
      </c>
    </row>
    <row r="1143" spans="1:1" x14ac:dyDescent="0.25">
      <c r="A1143" s="12" t="str">
        <f ca="1">TEXT(Overig!A1143,"000\,")&amp;TEXT(Overig!B1143,"?00000000")&amp;TEXT(Overig!C1143,""", ""@")&amp;SUBSTITUTE(TEXT(IF(ISTEXT(Overig!D1143),Overig!D1143,10*Overig!D1143),""",""????0;"",""???-0;"",""????0;"", ////"""),"'","""")&amp;SUBSTITUTE(TEXT(Overig!E1143,""",""?00;"",""?-00;"",""?00;"", //"""),"'","""")&amp;SUBSTITUTE(TEXT(IF(ISTEXT(Overig!F1143),Overig!F1143,10*Overig!F1143),""",""????0;"",""???-0;"",""????0;"", ////"""),"'","""")&amp;SUBSTITUTE(TEXT(Overig!G1143,""",""?00;"",""?-00;"",""?00;"", //"""),"'","""")&amp;SUBSTITUTE(TEXT(IF(ISTEXT(Overig!H1143),Overig!H1143,10*Overig!H1143),""",""????0;"",""???-0;"",""????0;"", ////"""),"'","""")&amp;SUBSTITUTE(TEXT(Overig!I1143,""",""?00;"",""?-00;"",""?00;"", //"""),"'","""")&amp;SUBSTITUTE(TEXT(IF(ISTEXT(Overig!J1143),Overig!J1143,10*Overig!J1143),""",""????0;"",""???-0;"",""????0;"", ////"""),"'","""")&amp;SUBSTITUTE(TEXT(Overig!K1143,""",""?00;"",""?-00;"",""?00;"", //"""),"'","""")&amp;SUBSTITUTE(TEXT(Overig!L1143,""",""???0;"",""??-0;"",""???0;"", ///"""),"'","""")&amp;SUBSTITUTE(TEXT(Overig!M1143,""",""?00;"",""?-00;"",""?00;"", //"""),"'","""")&amp;SUBSTITUTE(TEXT(IF(ISTEXT(Overig!N1143),Overig!N1143,10*Overig!N1143),""",""????0;"",""???-0;"",""????0;"", ////"""),"'","""")&amp;SUBSTITUTE(TEXT(Overig!O1143,""",""?00;"",""?-00;"",""?00;"", //"""),"'","""")&amp;SUBSTITUTE(TEXT(IF(ISTEXT(Overig!P1143),Overig!P1143,10*Overig!P1143),""",""????0;"",""???-0;"",""????0;"", ////"""),"'","""")&amp;SUBSTITUTE(TEXT(Overig!Q1143,""",""?00;"",""?-00;"",""?00;"", //"""),"'","""")&amp;SUBSTITUTE(TEXT(Overig!R1143,""",""????0;"",""???-0;"",""????0;"", ////"""),"'","""")&amp;SUBSTITUTE(TEXT(Overig!S1143,""",""?00;"",""?-00;"",""?00;"", //"""),"'","""")&amp;SUBSTITUTE(TEXT(IF(ISTEXT(Overig!T1143),Overig!T1143,10*Overig!T1143),""",""????0;"",""???-0;"",""????0;"", ////"""),"'","""")&amp;SUBSTITUTE(TEXT(Overig!U1143,""",""?00;"",""?-00;"",""?00;"", //"""),"'","""")&amp;SUBSTITUTE(TEXT(Overig!V1143,""",""???0;"",""??-0;"",""???0;"", ///"""),"'","""")&amp;SUBSTITUTE(TEXT(Overig!W1143,""",""?00;"",""?-00;"",""?00;"", //"""),"'","""")</f>
        <v>032, 19401012, 12.00, ////, 07, ////, 07, ////, 07, ////, 07, ///, 07, ////, 07, ////, 07, ////, 07, ////, 07, ///, 07</v>
      </c>
    </row>
    <row r="1144" spans="1:1" x14ac:dyDescent="0.25">
      <c r="A1144" s="12" t="str">
        <f ca="1">TEXT(Overig!A1144,"000\,")&amp;TEXT(Overig!B1144,"?00000000")&amp;TEXT(Overig!C1144,""", ""@")&amp;SUBSTITUTE(TEXT(IF(ISTEXT(Overig!D1144),Overig!D1144,10*Overig!D1144),""",""????0;"",""???-0;"",""????0;"", ////"""),"'","""")&amp;SUBSTITUTE(TEXT(Overig!E1144,""",""?00;"",""?-00;"",""?00;"", //"""),"'","""")&amp;SUBSTITUTE(TEXT(IF(ISTEXT(Overig!F1144),Overig!F1144,10*Overig!F1144),""",""????0;"",""???-0;"",""????0;"", ////"""),"'","""")&amp;SUBSTITUTE(TEXT(Overig!G1144,""",""?00;"",""?-00;"",""?00;"", //"""),"'","""")&amp;SUBSTITUTE(TEXT(IF(ISTEXT(Overig!H1144),Overig!H1144,10*Overig!H1144),""",""????0;"",""???-0;"",""????0;"", ////"""),"'","""")&amp;SUBSTITUTE(TEXT(Overig!I1144,""",""?00;"",""?-00;"",""?00;"", //"""),"'","""")&amp;SUBSTITUTE(TEXT(IF(ISTEXT(Overig!J1144),Overig!J1144,10*Overig!J1144),""",""????0;"",""???-0;"",""????0;"", ////"""),"'","""")&amp;SUBSTITUTE(TEXT(Overig!K1144,""",""?00;"",""?-00;"",""?00;"", //"""),"'","""")&amp;SUBSTITUTE(TEXT(Overig!L1144,""",""???0;"",""??-0;"",""???0;"", ///"""),"'","""")&amp;SUBSTITUTE(TEXT(Overig!M1144,""",""?00;"",""?-00;"",""?00;"", //"""),"'","""")&amp;SUBSTITUTE(TEXT(IF(ISTEXT(Overig!N1144),Overig!N1144,10*Overig!N1144),""",""????0;"",""???-0;"",""????0;"", ////"""),"'","""")&amp;SUBSTITUTE(TEXT(Overig!O1144,""",""?00;"",""?-00;"",""?00;"", //"""),"'","""")&amp;SUBSTITUTE(TEXT(IF(ISTEXT(Overig!P1144),Overig!P1144,10*Overig!P1144),""",""????0;"",""???-0;"",""????0;"", ////"""),"'","""")&amp;SUBSTITUTE(TEXT(Overig!Q1144,""",""?00;"",""?-00;"",""?00;"", //"""),"'","""")&amp;SUBSTITUTE(TEXT(Overig!R1144,""",""????0;"",""???-0;"",""????0;"", ////"""),"'","""")&amp;SUBSTITUTE(TEXT(Overig!S1144,""",""?00;"",""?-00;"",""?00;"", //"""),"'","""")&amp;SUBSTITUTE(TEXT(IF(ISTEXT(Overig!T1144),Overig!T1144,10*Overig!T1144),""",""????0;"",""???-0;"",""????0;"", ////"""),"'","""")&amp;SUBSTITUTE(TEXT(Overig!U1144,""",""?00;"",""?-00;"",""?00;"", //"""),"'","""")&amp;SUBSTITUTE(TEXT(Overig!V1144,""",""???0;"",""??-0;"",""???0;"", ///"""),"'","""")&amp;SUBSTITUTE(TEXT(Overig!W1144,""",""?00;"",""?-00;"",""?00;"", //"""),"'","""")</f>
        <v>032, 19401012, 17.00, ////, 07, ////, 07, ////, 07, ////, 07, ///, 07, ////, 07, ////, 07, ////, 07, ////, 07, ///, 07</v>
      </c>
    </row>
    <row r="1145" spans="1:1" x14ac:dyDescent="0.25">
      <c r="A1145" s="12" t="str">
        <f ca="1">TEXT(Overig!A1145,"000\,")&amp;TEXT(Overig!B1145,"?00000000")&amp;TEXT(Overig!C1145,""", ""@")&amp;SUBSTITUTE(TEXT(IF(ISTEXT(Overig!D1145),Overig!D1145,10*Overig!D1145),""",""????0;"",""???-0;"",""????0;"", ////"""),"'","""")&amp;SUBSTITUTE(TEXT(Overig!E1145,""",""?00;"",""?-00;"",""?00;"", //"""),"'","""")&amp;SUBSTITUTE(TEXT(IF(ISTEXT(Overig!F1145),Overig!F1145,10*Overig!F1145),""",""????0;"",""???-0;"",""????0;"", ////"""),"'","""")&amp;SUBSTITUTE(TEXT(Overig!G1145,""",""?00;"",""?-00;"",""?00;"", //"""),"'","""")&amp;SUBSTITUTE(TEXT(IF(ISTEXT(Overig!H1145),Overig!H1145,10*Overig!H1145),""",""????0;"",""???-0;"",""????0;"", ////"""),"'","""")&amp;SUBSTITUTE(TEXT(Overig!I1145,""",""?00;"",""?-00;"",""?00;"", //"""),"'","""")&amp;SUBSTITUTE(TEXT(IF(ISTEXT(Overig!J1145),Overig!J1145,10*Overig!J1145),""",""????0;"",""???-0;"",""????0;"", ////"""),"'","""")&amp;SUBSTITUTE(TEXT(Overig!K1145,""",""?00;"",""?-00;"",""?00;"", //"""),"'","""")&amp;SUBSTITUTE(TEXT(Overig!L1145,""",""???0;"",""??-0;"",""???0;"", ///"""),"'","""")&amp;SUBSTITUTE(TEXT(Overig!M1145,""",""?00;"",""?-00;"",""?00;"", //"""),"'","""")&amp;SUBSTITUTE(TEXT(IF(ISTEXT(Overig!N1145),Overig!N1145,10*Overig!N1145),""",""????0;"",""???-0;"",""????0;"", ////"""),"'","""")&amp;SUBSTITUTE(TEXT(Overig!O1145,""",""?00;"",""?-00;"",""?00;"", //"""),"'","""")&amp;SUBSTITUTE(TEXT(IF(ISTEXT(Overig!P1145),Overig!P1145,10*Overig!P1145),""",""????0;"",""???-0;"",""????0;"", ////"""),"'","""")&amp;SUBSTITUTE(TEXT(Overig!Q1145,""",""?00;"",""?-00;"",""?00;"", //"""),"'","""")&amp;SUBSTITUTE(TEXT(Overig!R1145,""",""????0;"",""???-0;"",""????0;"", ////"""),"'","""")&amp;SUBSTITUTE(TEXT(Overig!S1145,""",""?00;"",""?-00;"",""?00;"", //"""),"'","""")&amp;SUBSTITUTE(TEXT(IF(ISTEXT(Overig!T1145),Overig!T1145,10*Overig!T1145),""",""????0;"",""???-0;"",""????0;"", ////"""),"'","""")&amp;SUBSTITUTE(TEXT(Overig!U1145,""",""?00;"",""?-00;"",""?00;"", //"""),"'","""")&amp;SUBSTITUTE(TEXT(Overig!V1145,""",""???0;"",""??-0;"",""???0;"", ///"""),"'","""")&amp;SUBSTITUTE(TEXT(Overig!W1145,""",""?00;"",""?-00;"",""?00;"", //"""),"'","""")</f>
        <v>032, 19401012, 24.00, ////, 07, ////, 07, ////, 07, ////, 07, ///, 07, ////, 07, ////, 07, ////, 07, ////, 07, ///, 07</v>
      </c>
    </row>
    <row r="1146" spans="1:1" x14ac:dyDescent="0.25">
      <c r="A1146" s="12" t="str">
        <f ca="1">TEXT(Overig!A1146,"000\,")&amp;TEXT(Overig!B1146,"?00000000")&amp;TEXT(Overig!C1146,""", ""@")&amp;SUBSTITUTE(TEXT(IF(ISTEXT(Overig!D1146),Overig!D1146,10*Overig!D1146),""",""????0;"",""???-0;"",""????0;"", ////"""),"'","""")&amp;SUBSTITUTE(TEXT(Overig!E1146,""",""?00;"",""?-00;"",""?00;"", //"""),"'","""")&amp;SUBSTITUTE(TEXT(IF(ISTEXT(Overig!F1146),Overig!F1146,10*Overig!F1146),""",""????0;"",""???-0;"",""????0;"", ////"""),"'","""")&amp;SUBSTITUTE(TEXT(Overig!G1146,""",""?00;"",""?-00;"",""?00;"", //"""),"'","""")&amp;SUBSTITUTE(TEXT(IF(ISTEXT(Overig!H1146),Overig!H1146,10*Overig!H1146),""",""????0;"",""???-0;"",""????0;"", ////"""),"'","""")&amp;SUBSTITUTE(TEXT(Overig!I1146,""",""?00;"",""?-00;"",""?00;"", //"""),"'","""")&amp;SUBSTITUTE(TEXT(IF(ISTEXT(Overig!J1146),Overig!J1146,10*Overig!J1146),""",""????0;"",""???-0;"",""????0;"", ////"""),"'","""")&amp;SUBSTITUTE(TEXT(Overig!K1146,""",""?00;"",""?-00;"",""?00;"", //"""),"'","""")&amp;SUBSTITUTE(TEXT(Overig!L1146,""",""???0;"",""??-0;"",""???0;"", ///"""),"'","""")&amp;SUBSTITUTE(TEXT(Overig!M1146,""",""?00;"",""?-00;"",""?00;"", //"""),"'","""")&amp;SUBSTITUTE(TEXT(IF(ISTEXT(Overig!N1146),Overig!N1146,10*Overig!N1146),""",""????0;"",""???-0;"",""????0;"", ////"""),"'","""")&amp;SUBSTITUTE(TEXT(Overig!O1146,""",""?00;"",""?-00;"",""?00;"", //"""),"'","""")&amp;SUBSTITUTE(TEXT(IF(ISTEXT(Overig!P1146),Overig!P1146,10*Overig!P1146),""",""????0;"",""???-0;"",""????0;"", ////"""),"'","""")&amp;SUBSTITUTE(TEXT(Overig!Q1146,""",""?00;"",""?-00;"",""?00;"", //"""),"'","""")&amp;SUBSTITUTE(TEXT(Overig!R1146,""",""????0;"",""???-0;"",""????0;"", ////"""),"'","""")&amp;SUBSTITUTE(TEXT(Overig!S1146,""",""?00;"",""?-00;"",""?00;"", //"""),"'","""")&amp;SUBSTITUTE(TEXT(IF(ISTEXT(Overig!T1146),Overig!T1146,10*Overig!T1146),""",""????0;"",""???-0;"",""????0;"", ////"""),"'","""")&amp;SUBSTITUTE(TEXT(Overig!U1146,""",""?00;"",""?-00;"",""?00;"", //"""),"'","""")&amp;SUBSTITUTE(TEXT(Overig!V1146,""",""???0;"",""??-0;"",""???0;"", ///"""),"'","""")&amp;SUBSTITUTE(TEXT(Overig!W1146,""",""?00;"",""?-00;"",""?00;"", //"""),"'","""")</f>
        <v>032, 19401013, 07.00, ////, 07, ////, 07, ////, 07, ////, 07, ///, 07, ////, 07, ////, 07, ////, 07, ////, 07, ///, 07</v>
      </c>
    </row>
    <row r="1147" spans="1:1" x14ac:dyDescent="0.25">
      <c r="A1147" s="12" t="str">
        <f ca="1">TEXT(Overig!A1147,"000\,")&amp;TEXT(Overig!B1147,"?00000000")&amp;TEXT(Overig!C1147,""", ""@")&amp;SUBSTITUTE(TEXT(IF(ISTEXT(Overig!D1147),Overig!D1147,10*Overig!D1147),""",""????0;"",""???-0;"",""????0;"", ////"""),"'","""")&amp;SUBSTITUTE(TEXT(Overig!E1147,""",""?00;"",""?-00;"",""?00;"", //"""),"'","""")&amp;SUBSTITUTE(TEXT(IF(ISTEXT(Overig!F1147),Overig!F1147,10*Overig!F1147),""",""????0;"",""???-0;"",""????0;"", ////"""),"'","""")&amp;SUBSTITUTE(TEXT(Overig!G1147,""",""?00;"",""?-00;"",""?00;"", //"""),"'","""")&amp;SUBSTITUTE(TEXT(IF(ISTEXT(Overig!H1147),Overig!H1147,10*Overig!H1147),""",""????0;"",""???-0;"",""????0;"", ////"""),"'","""")&amp;SUBSTITUTE(TEXT(Overig!I1147,""",""?00;"",""?-00;"",""?00;"", //"""),"'","""")&amp;SUBSTITUTE(TEXT(IF(ISTEXT(Overig!J1147),Overig!J1147,10*Overig!J1147),""",""????0;"",""???-0;"",""????0;"", ////"""),"'","""")&amp;SUBSTITUTE(TEXT(Overig!K1147,""",""?00;"",""?-00;"",""?00;"", //"""),"'","""")&amp;SUBSTITUTE(TEXT(Overig!L1147,""",""???0;"",""??-0;"",""???0;"", ///"""),"'","""")&amp;SUBSTITUTE(TEXT(Overig!M1147,""",""?00;"",""?-00;"",""?00;"", //"""),"'","""")&amp;SUBSTITUTE(TEXT(IF(ISTEXT(Overig!N1147),Overig!N1147,10*Overig!N1147),""",""????0;"",""???-0;"",""????0;"", ////"""),"'","""")&amp;SUBSTITUTE(TEXT(Overig!O1147,""",""?00;"",""?-00;"",""?00;"", //"""),"'","""")&amp;SUBSTITUTE(TEXT(IF(ISTEXT(Overig!P1147),Overig!P1147,10*Overig!P1147),""",""????0;"",""???-0;"",""????0;"", ////"""),"'","""")&amp;SUBSTITUTE(TEXT(Overig!Q1147,""",""?00;"",""?-00;"",""?00;"", //"""),"'","""")&amp;SUBSTITUTE(TEXT(Overig!R1147,""",""????0;"",""???-0;"",""????0;"", ////"""),"'","""")&amp;SUBSTITUTE(TEXT(Overig!S1147,""",""?00;"",""?-00;"",""?00;"", //"""),"'","""")&amp;SUBSTITUTE(TEXT(IF(ISTEXT(Overig!T1147),Overig!T1147,10*Overig!T1147),""",""????0;"",""???-0;"",""????0;"", ////"""),"'","""")&amp;SUBSTITUTE(TEXT(Overig!U1147,""",""?00;"",""?-00;"",""?00;"", //"""),"'","""")&amp;SUBSTITUTE(TEXT(Overig!V1147,""",""???0;"",""??-0;"",""???0;"", ///"""),"'","""")&amp;SUBSTITUTE(TEXT(Overig!W1147,""",""?00;"",""?-00;"",""?00;"", //"""),"'","""")</f>
        <v>032, 19401013, 12.00, ////, 07, ////, 07, ////, 07, ////, 07, ///, 07, ////, 07, ////, 07, ////, 07, ////, 07, ///, 07</v>
      </c>
    </row>
    <row r="1148" spans="1:1" x14ac:dyDescent="0.25">
      <c r="A1148" s="12" t="str">
        <f ca="1">TEXT(Overig!A1148,"000\,")&amp;TEXT(Overig!B1148,"?00000000")&amp;TEXT(Overig!C1148,""", ""@")&amp;SUBSTITUTE(TEXT(IF(ISTEXT(Overig!D1148),Overig!D1148,10*Overig!D1148),""",""????0;"",""???-0;"",""????0;"", ////"""),"'","""")&amp;SUBSTITUTE(TEXT(Overig!E1148,""",""?00;"",""?-00;"",""?00;"", //"""),"'","""")&amp;SUBSTITUTE(TEXT(IF(ISTEXT(Overig!F1148),Overig!F1148,10*Overig!F1148),""",""????0;"",""???-0;"",""????0;"", ////"""),"'","""")&amp;SUBSTITUTE(TEXT(Overig!G1148,""",""?00;"",""?-00;"",""?00;"", //"""),"'","""")&amp;SUBSTITUTE(TEXT(IF(ISTEXT(Overig!H1148),Overig!H1148,10*Overig!H1148),""",""????0;"",""???-0;"",""????0;"", ////"""),"'","""")&amp;SUBSTITUTE(TEXT(Overig!I1148,""",""?00;"",""?-00;"",""?00;"", //"""),"'","""")&amp;SUBSTITUTE(TEXT(IF(ISTEXT(Overig!J1148),Overig!J1148,10*Overig!J1148),""",""????0;"",""???-0;"",""????0;"", ////"""),"'","""")&amp;SUBSTITUTE(TEXT(Overig!K1148,""",""?00;"",""?-00;"",""?00;"", //"""),"'","""")&amp;SUBSTITUTE(TEXT(Overig!L1148,""",""???0;"",""??-0;"",""???0;"", ///"""),"'","""")&amp;SUBSTITUTE(TEXT(Overig!M1148,""",""?00;"",""?-00;"",""?00;"", //"""),"'","""")&amp;SUBSTITUTE(TEXT(IF(ISTEXT(Overig!N1148),Overig!N1148,10*Overig!N1148),""",""????0;"",""???-0;"",""????0;"", ////"""),"'","""")&amp;SUBSTITUTE(TEXT(Overig!O1148,""",""?00;"",""?-00;"",""?00;"", //"""),"'","""")&amp;SUBSTITUTE(TEXT(IF(ISTEXT(Overig!P1148),Overig!P1148,10*Overig!P1148),""",""????0;"",""???-0;"",""????0;"", ////"""),"'","""")&amp;SUBSTITUTE(TEXT(Overig!Q1148,""",""?00;"",""?-00;"",""?00;"", //"""),"'","""")&amp;SUBSTITUTE(TEXT(Overig!R1148,""",""????0;"",""???-0;"",""????0;"", ////"""),"'","""")&amp;SUBSTITUTE(TEXT(Overig!S1148,""",""?00;"",""?-00;"",""?00;"", //"""),"'","""")&amp;SUBSTITUTE(TEXT(IF(ISTEXT(Overig!T1148),Overig!T1148,10*Overig!T1148),""",""????0;"",""???-0;"",""????0;"", ////"""),"'","""")&amp;SUBSTITUTE(TEXT(Overig!U1148,""",""?00;"",""?-00;"",""?00;"", //"""),"'","""")&amp;SUBSTITUTE(TEXT(Overig!V1148,""",""???0;"",""??-0;"",""???0;"", ///"""),"'","""")&amp;SUBSTITUTE(TEXT(Overig!W1148,""",""?00;"",""?-00;"",""?00;"", //"""),"'","""")</f>
        <v>032, 19401013, 17.00, ////, 07, ////, 07, ////, 07, ////, 07, ///, 07, ////, 07, ////, 07, ////, 07, ////, 07, ///, 07</v>
      </c>
    </row>
    <row r="1149" spans="1:1" x14ac:dyDescent="0.25">
      <c r="A1149" s="12" t="str">
        <f ca="1">TEXT(Overig!A1149,"000\,")&amp;TEXT(Overig!B1149,"?00000000")&amp;TEXT(Overig!C1149,""", ""@")&amp;SUBSTITUTE(TEXT(IF(ISTEXT(Overig!D1149),Overig!D1149,10*Overig!D1149),""",""????0;"",""???-0;"",""????0;"", ////"""),"'","""")&amp;SUBSTITUTE(TEXT(Overig!E1149,""",""?00;"",""?-00;"",""?00;"", //"""),"'","""")&amp;SUBSTITUTE(TEXT(IF(ISTEXT(Overig!F1149),Overig!F1149,10*Overig!F1149),""",""????0;"",""???-0;"",""????0;"", ////"""),"'","""")&amp;SUBSTITUTE(TEXT(Overig!G1149,""",""?00;"",""?-00;"",""?00;"", //"""),"'","""")&amp;SUBSTITUTE(TEXT(IF(ISTEXT(Overig!H1149),Overig!H1149,10*Overig!H1149),""",""????0;"",""???-0;"",""????0;"", ////"""),"'","""")&amp;SUBSTITUTE(TEXT(Overig!I1149,""",""?00;"",""?-00;"",""?00;"", //"""),"'","""")&amp;SUBSTITUTE(TEXT(IF(ISTEXT(Overig!J1149),Overig!J1149,10*Overig!J1149),""",""????0;"",""???-0;"",""????0;"", ////"""),"'","""")&amp;SUBSTITUTE(TEXT(Overig!K1149,""",""?00;"",""?-00;"",""?00;"", //"""),"'","""")&amp;SUBSTITUTE(TEXT(Overig!L1149,""",""???0;"",""??-0;"",""???0;"", ///"""),"'","""")&amp;SUBSTITUTE(TEXT(Overig!M1149,""",""?00;"",""?-00;"",""?00;"", //"""),"'","""")&amp;SUBSTITUTE(TEXT(IF(ISTEXT(Overig!N1149),Overig!N1149,10*Overig!N1149),""",""????0;"",""???-0;"",""????0;"", ////"""),"'","""")&amp;SUBSTITUTE(TEXT(Overig!O1149,""",""?00;"",""?-00;"",""?00;"", //"""),"'","""")&amp;SUBSTITUTE(TEXT(IF(ISTEXT(Overig!P1149),Overig!P1149,10*Overig!P1149),""",""????0;"",""???-0;"",""????0;"", ////"""),"'","""")&amp;SUBSTITUTE(TEXT(Overig!Q1149,""",""?00;"",""?-00;"",""?00;"", //"""),"'","""")&amp;SUBSTITUTE(TEXT(Overig!R1149,""",""????0;"",""???-0;"",""????0;"", ////"""),"'","""")&amp;SUBSTITUTE(TEXT(Overig!S1149,""",""?00;"",""?-00;"",""?00;"", //"""),"'","""")&amp;SUBSTITUTE(TEXT(IF(ISTEXT(Overig!T1149),Overig!T1149,10*Overig!T1149),""",""????0;"",""???-0;"",""????0;"", ////"""),"'","""")&amp;SUBSTITUTE(TEXT(Overig!U1149,""",""?00;"",""?-00;"",""?00;"", //"""),"'","""")&amp;SUBSTITUTE(TEXT(Overig!V1149,""",""???0;"",""??-0;"",""???0;"", ///"""),"'","""")&amp;SUBSTITUTE(TEXT(Overig!W1149,""",""?00;"",""?-00;"",""?00;"", //"""),"'","""")</f>
        <v>032, 19401013, 24.00, ////, 07, ////, 07, ////, 07, ////, 07, ///, 07, ////, 07, ////, 07, ////, 07, ////, 07, ///, 07</v>
      </c>
    </row>
    <row r="1150" spans="1:1" x14ac:dyDescent="0.25">
      <c r="A1150" s="12" t="str">
        <f ca="1">TEXT(Overig!A1150,"000\,")&amp;TEXT(Overig!B1150,"?00000000")&amp;TEXT(Overig!C1150,""", ""@")&amp;SUBSTITUTE(TEXT(IF(ISTEXT(Overig!D1150),Overig!D1150,10*Overig!D1150),""",""????0;"",""???-0;"",""????0;"", ////"""),"'","""")&amp;SUBSTITUTE(TEXT(Overig!E1150,""",""?00;"",""?-00;"",""?00;"", //"""),"'","""")&amp;SUBSTITUTE(TEXT(IF(ISTEXT(Overig!F1150),Overig!F1150,10*Overig!F1150),""",""????0;"",""???-0;"",""????0;"", ////"""),"'","""")&amp;SUBSTITUTE(TEXT(Overig!G1150,""",""?00;"",""?-00;"",""?00;"", //"""),"'","""")&amp;SUBSTITUTE(TEXT(IF(ISTEXT(Overig!H1150),Overig!H1150,10*Overig!H1150),""",""????0;"",""???-0;"",""????0;"", ////"""),"'","""")&amp;SUBSTITUTE(TEXT(Overig!I1150,""",""?00;"",""?-00;"",""?00;"", //"""),"'","""")&amp;SUBSTITUTE(TEXT(IF(ISTEXT(Overig!J1150),Overig!J1150,10*Overig!J1150),""",""????0;"",""???-0;"",""????0;"", ////"""),"'","""")&amp;SUBSTITUTE(TEXT(Overig!K1150,""",""?00;"",""?-00;"",""?00;"", //"""),"'","""")&amp;SUBSTITUTE(TEXT(Overig!L1150,""",""???0;"",""??-0;"",""???0;"", ///"""),"'","""")&amp;SUBSTITUTE(TEXT(Overig!M1150,""",""?00;"",""?-00;"",""?00;"", //"""),"'","""")&amp;SUBSTITUTE(TEXT(IF(ISTEXT(Overig!N1150),Overig!N1150,10*Overig!N1150),""",""????0;"",""???-0;"",""????0;"", ////"""),"'","""")&amp;SUBSTITUTE(TEXT(Overig!O1150,""",""?00;"",""?-00;"",""?00;"", //"""),"'","""")&amp;SUBSTITUTE(TEXT(IF(ISTEXT(Overig!P1150),Overig!P1150,10*Overig!P1150),""",""????0;"",""???-0;"",""????0;"", ////"""),"'","""")&amp;SUBSTITUTE(TEXT(Overig!Q1150,""",""?00;"",""?-00;"",""?00;"", //"""),"'","""")&amp;SUBSTITUTE(TEXT(Overig!R1150,""",""????0;"",""???-0;"",""????0;"", ////"""),"'","""")&amp;SUBSTITUTE(TEXT(Overig!S1150,""",""?00;"",""?-00;"",""?00;"", //"""),"'","""")&amp;SUBSTITUTE(TEXT(IF(ISTEXT(Overig!T1150),Overig!T1150,10*Overig!T1150),""",""????0;"",""???-0;"",""????0;"", ////"""),"'","""")&amp;SUBSTITUTE(TEXT(Overig!U1150,""",""?00;"",""?-00;"",""?00;"", //"""),"'","""")&amp;SUBSTITUTE(TEXT(Overig!V1150,""",""???0;"",""??-0;"",""???0;"", ///"""),"'","""")&amp;SUBSTITUTE(TEXT(Overig!W1150,""",""?00;"",""?-00;"",""?00;"", //"""),"'","""")</f>
        <v>032, 19401014, 07.00, ////, 07, ////, 07, ////, 07, ////, 07, ///, 07, ////, 07, ////, 07, ////, 07, ////, 07, ///, 07</v>
      </c>
    </row>
    <row r="1151" spans="1:1" x14ac:dyDescent="0.25">
      <c r="A1151" s="12" t="str">
        <f ca="1">TEXT(Overig!A1151,"000\,")&amp;TEXT(Overig!B1151,"?00000000")&amp;TEXT(Overig!C1151,""", ""@")&amp;SUBSTITUTE(TEXT(IF(ISTEXT(Overig!D1151),Overig!D1151,10*Overig!D1151),""",""????0;"",""???-0;"",""????0;"", ////"""),"'","""")&amp;SUBSTITUTE(TEXT(Overig!E1151,""",""?00;"",""?-00;"",""?00;"", //"""),"'","""")&amp;SUBSTITUTE(TEXT(IF(ISTEXT(Overig!F1151),Overig!F1151,10*Overig!F1151),""",""????0;"",""???-0;"",""????0;"", ////"""),"'","""")&amp;SUBSTITUTE(TEXT(Overig!G1151,""",""?00;"",""?-00;"",""?00;"", //"""),"'","""")&amp;SUBSTITUTE(TEXT(IF(ISTEXT(Overig!H1151),Overig!H1151,10*Overig!H1151),""",""????0;"",""???-0;"",""????0;"", ////"""),"'","""")&amp;SUBSTITUTE(TEXT(Overig!I1151,""",""?00;"",""?-00;"",""?00;"", //"""),"'","""")&amp;SUBSTITUTE(TEXT(IF(ISTEXT(Overig!J1151),Overig!J1151,10*Overig!J1151),""",""????0;"",""???-0;"",""????0;"", ////"""),"'","""")&amp;SUBSTITUTE(TEXT(Overig!K1151,""",""?00;"",""?-00;"",""?00;"", //"""),"'","""")&amp;SUBSTITUTE(TEXT(Overig!L1151,""",""???0;"",""??-0;"",""???0;"", ///"""),"'","""")&amp;SUBSTITUTE(TEXT(Overig!M1151,""",""?00;"",""?-00;"",""?00;"", //"""),"'","""")&amp;SUBSTITUTE(TEXT(IF(ISTEXT(Overig!N1151),Overig!N1151,10*Overig!N1151),""",""????0;"",""???-0;"",""????0;"", ////"""),"'","""")&amp;SUBSTITUTE(TEXT(Overig!O1151,""",""?00;"",""?-00;"",""?00;"", //"""),"'","""")&amp;SUBSTITUTE(TEXT(IF(ISTEXT(Overig!P1151),Overig!P1151,10*Overig!P1151),""",""????0;"",""???-0;"",""????0;"", ////"""),"'","""")&amp;SUBSTITUTE(TEXT(Overig!Q1151,""",""?00;"",""?-00;"",""?00;"", //"""),"'","""")&amp;SUBSTITUTE(TEXT(Overig!R1151,""",""????0;"",""???-0;"",""????0;"", ////"""),"'","""")&amp;SUBSTITUTE(TEXT(Overig!S1151,""",""?00;"",""?-00;"",""?00;"", //"""),"'","""")&amp;SUBSTITUTE(TEXT(IF(ISTEXT(Overig!T1151),Overig!T1151,10*Overig!T1151),""",""????0;"",""???-0;"",""????0;"", ////"""),"'","""")&amp;SUBSTITUTE(TEXT(Overig!U1151,""",""?00;"",""?-00;"",""?00;"", //"""),"'","""")&amp;SUBSTITUTE(TEXT(Overig!V1151,""",""???0;"",""??-0;"",""???0;"", ///"""),"'","""")&amp;SUBSTITUTE(TEXT(Overig!W1151,""",""?00;"",""?-00;"",""?00;"", //"""),"'","""")</f>
        <v>032, 19401014, 12.00, ////, 07, ////, 07, ////, 07, ////, 07, ///, 07, ////, 07, ////, 07, ////, 07, ////, 07, ///, 07</v>
      </c>
    </row>
    <row r="1152" spans="1:1" x14ac:dyDescent="0.25">
      <c r="A1152" s="12" t="str">
        <f ca="1">TEXT(Overig!A1152,"000\,")&amp;TEXT(Overig!B1152,"?00000000")&amp;TEXT(Overig!C1152,""", ""@")&amp;SUBSTITUTE(TEXT(IF(ISTEXT(Overig!D1152),Overig!D1152,10*Overig!D1152),""",""????0;"",""???-0;"",""????0;"", ////"""),"'","""")&amp;SUBSTITUTE(TEXT(Overig!E1152,""",""?00;"",""?-00;"",""?00;"", //"""),"'","""")&amp;SUBSTITUTE(TEXT(IF(ISTEXT(Overig!F1152),Overig!F1152,10*Overig!F1152),""",""????0;"",""???-0;"",""????0;"", ////"""),"'","""")&amp;SUBSTITUTE(TEXT(Overig!G1152,""",""?00;"",""?-00;"",""?00;"", //"""),"'","""")&amp;SUBSTITUTE(TEXT(IF(ISTEXT(Overig!H1152),Overig!H1152,10*Overig!H1152),""",""????0;"",""???-0;"",""????0;"", ////"""),"'","""")&amp;SUBSTITUTE(TEXT(Overig!I1152,""",""?00;"",""?-00;"",""?00;"", //"""),"'","""")&amp;SUBSTITUTE(TEXT(IF(ISTEXT(Overig!J1152),Overig!J1152,10*Overig!J1152),""",""????0;"",""???-0;"",""????0;"", ////"""),"'","""")&amp;SUBSTITUTE(TEXT(Overig!K1152,""",""?00;"",""?-00;"",""?00;"", //"""),"'","""")&amp;SUBSTITUTE(TEXT(Overig!L1152,""",""???0;"",""??-0;"",""???0;"", ///"""),"'","""")&amp;SUBSTITUTE(TEXT(Overig!M1152,""",""?00;"",""?-00;"",""?00;"", //"""),"'","""")&amp;SUBSTITUTE(TEXT(IF(ISTEXT(Overig!N1152),Overig!N1152,10*Overig!N1152),""",""????0;"",""???-0;"",""????0;"", ////"""),"'","""")&amp;SUBSTITUTE(TEXT(Overig!O1152,""",""?00;"",""?-00;"",""?00;"", //"""),"'","""")&amp;SUBSTITUTE(TEXT(IF(ISTEXT(Overig!P1152),Overig!P1152,10*Overig!P1152),""",""????0;"",""???-0;"",""????0;"", ////"""),"'","""")&amp;SUBSTITUTE(TEXT(Overig!Q1152,""",""?00;"",""?-00;"",""?00;"", //"""),"'","""")&amp;SUBSTITUTE(TEXT(Overig!R1152,""",""????0;"",""???-0;"",""????0;"", ////"""),"'","""")&amp;SUBSTITUTE(TEXT(Overig!S1152,""",""?00;"",""?-00;"",""?00;"", //"""),"'","""")&amp;SUBSTITUTE(TEXT(IF(ISTEXT(Overig!T1152),Overig!T1152,10*Overig!T1152),""",""????0;"",""???-0;"",""????0;"", ////"""),"'","""")&amp;SUBSTITUTE(TEXT(Overig!U1152,""",""?00;"",""?-00;"",""?00;"", //"""),"'","""")&amp;SUBSTITUTE(TEXT(Overig!V1152,""",""???0;"",""??-0;"",""???0;"", ///"""),"'","""")&amp;SUBSTITUTE(TEXT(Overig!W1152,""",""?00;"",""?-00;"",""?00;"", //"""),"'","""")</f>
        <v>032, 19401014, 17.00, ////, 07, ////, 07, ////, 07, ////, 07, ///, 07, ////, 07, ////, 07, ////, 07, ////, 07, ///, 07</v>
      </c>
    </row>
    <row r="1153" spans="1:1" x14ac:dyDescent="0.25">
      <c r="A1153" s="12" t="str">
        <f ca="1">TEXT(Overig!A1153,"000\,")&amp;TEXT(Overig!B1153,"?00000000")&amp;TEXT(Overig!C1153,""", ""@")&amp;SUBSTITUTE(TEXT(IF(ISTEXT(Overig!D1153),Overig!D1153,10*Overig!D1153),""",""????0;"",""???-0;"",""????0;"", ////"""),"'","""")&amp;SUBSTITUTE(TEXT(Overig!E1153,""",""?00;"",""?-00;"",""?00;"", //"""),"'","""")&amp;SUBSTITUTE(TEXT(IF(ISTEXT(Overig!F1153),Overig!F1153,10*Overig!F1153),""",""????0;"",""???-0;"",""????0;"", ////"""),"'","""")&amp;SUBSTITUTE(TEXT(Overig!G1153,""",""?00;"",""?-00;"",""?00;"", //"""),"'","""")&amp;SUBSTITUTE(TEXT(IF(ISTEXT(Overig!H1153),Overig!H1153,10*Overig!H1153),""",""????0;"",""???-0;"",""????0;"", ////"""),"'","""")&amp;SUBSTITUTE(TEXT(Overig!I1153,""",""?00;"",""?-00;"",""?00;"", //"""),"'","""")&amp;SUBSTITUTE(TEXT(IF(ISTEXT(Overig!J1153),Overig!J1153,10*Overig!J1153),""",""????0;"",""???-0;"",""????0;"", ////"""),"'","""")&amp;SUBSTITUTE(TEXT(Overig!K1153,""",""?00;"",""?-00;"",""?00;"", //"""),"'","""")&amp;SUBSTITUTE(TEXT(Overig!L1153,""",""???0;"",""??-0;"",""???0;"", ///"""),"'","""")&amp;SUBSTITUTE(TEXT(Overig!M1153,""",""?00;"",""?-00;"",""?00;"", //"""),"'","""")&amp;SUBSTITUTE(TEXT(IF(ISTEXT(Overig!N1153),Overig!N1153,10*Overig!N1153),""",""????0;"",""???-0;"",""????0;"", ////"""),"'","""")&amp;SUBSTITUTE(TEXT(Overig!O1153,""",""?00;"",""?-00;"",""?00;"", //"""),"'","""")&amp;SUBSTITUTE(TEXT(IF(ISTEXT(Overig!P1153),Overig!P1153,10*Overig!P1153),""",""????0;"",""???-0;"",""????0;"", ////"""),"'","""")&amp;SUBSTITUTE(TEXT(Overig!Q1153,""",""?00;"",""?-00;"",""?00;"", //"""),"'","""")&amp;SUBSTITUTE(TEXT(Overig!R1153,""",""????0;"",""???-0;"",""????0;"", ////"""),"'","""")&amp;SUBSTITUTE(TEXT(Overig!S1153,""",""?00;"",""?-00;"",""?00;"", //"""),"'","""")&amp;SUBSTITUTE(TEXT(IF(ISTEXT(Overig!T1153),Overig!T1153,10*Overig!T1153),""",""????0;"",""???-0;"",""????0;"", ////"""),"'","""")&amp;SUBSTITUTE(TEXT(Overig!U1153,""",""?00;"",""?-00;"",""?00;"", //"""),"'","""")&amp;SUBSTITUTE(TEXT(Overig!V1153,""",""???0;"",""??-0;"",""???0;"", ///"""),"'","""")&amp;SUBSTITUTE(TEXT(Overig!W1153,""",""?00;"",""?-00;"",""?00;"", //"""),"'","""")</f>
        <v>032, 19401014, 24.00, ////, 07, ////, 07, ////, 07, ////, 07, ///, 07, ////, 07, ////, 07, ////, 07, ////, 07, ///, 07</v>
      </c>
    </row>
    <row r="1154" spans="1:1" x14ac:dyDescent="0.25">
      <c r="A1154" s="12" t="str">
        <f ca="1">TEXT(Overig!A1154,"000\,")&amp;TEXT(Overig!B1154,"?00000000")&amp;TEXT(Overig!C1154,""", ""@")&amp;SUBSTITUTE(TEXT(IF(ISTEXT(Overig!D1154),Overig!D1154,10*Overig!D1154),""",""????0;"",""???-0;"",""????0;"", ////"""),"'","""")&amp;SUBSTITUTE(TEXT(Overig!E1154,""",""?00;"",""?-00;"",""?00;"", //"""),"'","""")&amp;SUBSTITUTE(TEXT(IF(ISTEXT(Overig!F1154),Overig!F1154,10*Overig!F1154),""",""????0;"",""???-0;"",""????0;"", ////"""),"'","""")&amp;SUBSTITUTE(TEXT(Overig!G1154,""",""?00;"",""?-00;"",""?00;"", //"""),"'","""")&amp;SUBSTITUTE(TEXT(IF(ISTEXT(Overig!H1154),Overig!H1154,10*Overig!H1154),""",""????0;"",""???-0;"",""????0;"", ////"""),"'","""")&amp;SUBSTITUTE(TEXT(Overig!I1154,""",""?00;"",""?-00;"",""?00;"", //"""),"'","""")&amp;SUBSTITUTE(TEXT(IF(ISTEXT(Overig!J1154),Overig!J1154,10*Overig!J1154),""",""????0;"",""???-0;"",""????0;"", ////"""),"'","""")&amp;SUBSTITUTE(TEXT(Overig!K1154,""",""?00;"",""?-00;"",""?00;"", //"""),"'","""")&amp;SUBSTITUTE(TEXT(Overig!L1154,""",""???0;"",""??-0;"",""???0;"", ///"""),"'","""")&amp;SUBSTITUTE(TEXT(Overig!M1154,""",""?00;"",""?-00;"",""?00;"", //"""),"'","""")&amp;SUBSTITUTE(TEXT(IF(ISTEXT(Overig!N1154),Overig!N1154,10*Overig!N1154),""",""????0;"",""???-0;"",""????0;"", ////"""),"'","""")&amp;SUBSTITUTE(TEXT(Overig!O1154,""",""?00;"",""?-00;"",""?00;"", //"""),"'","""")&amp;SUBSTITUTE(TEXT(IF(ISTEXT(Overig!P1154),Overig!P1154,10*Overig!P1154),""",""????0;"",""???-0;"",""????0;"", ////"""),"'","""")&amp;SUBSTITUTE(TEXT(Overig!Q1154,""",""?00;"",""?-00;"",""?00;"", //"""),"'","""")&amp;SUBSTITUTE(TEXT(Overig!R1154,""",""????0;"",""???-0;"",""????0;"", ////"""),"'","""")&amp;SUBSTITUTE(TEXT(Overig!S1154,""",""?00;"",""?-00;"",""?00;"", //"""),"'","""")&amp;SUBSTITUTE(TEXT(IF(ISTEXT(Overig!T1154),Overig!T1154,10*Overig!T1154),""",""????0;"",""???-0;"",""????0;"", ////"""),"'","""")&amp;SUBSTITUTE(TEXT(Overig!U1154,""",""?00;"",""?-00;"",""?00;"", //"""),"'","""")&amp;SUBSTITUTE(TEXT(Overig!V1154,""",""???0;"",""??-0;"",""???0;"", ///"""),"'","""")&amp;SUBSTITUTE(TEXT(Overig!W1154,""",""?00;"",""?-00;"",""?00;"", //"""),"'","""")</f>
        <v>032, 19401015, 07.00, ////, 07, ////, 07, ////, 07, ////, 07, ///, 07, ////, 07, ////, 07, ////, 07, ////, 07, ///, 07</v>
      </c>
    </row>
    <row r="1155" spans="1:1" x14ac:dyDescent="0.25">
      <c r="A1155" s="12" t="str">
        <f ca="1">TEXT(Overig!A1155,"000\,")&amp;TEXT(Overig!B1155,"?00000000")&amp;TEXT(Overig!C1155,""", ""@")&amp;SUBSTITUTE(TEXT(IF(ISTEXT(Overig!D1155),Overig!D1155,10*Overig!D1155),""",""????0;"",""???-0;"",""????0;"", ////"""),"'","""")&amp;SUBSTITUTE(TEXT(Overig!E1155,""",""?00;"",""?-00;"",""?00;"", //"""),"'","""")&amp;SUBSTITUTE(TEXT(IF(ISTEXT(Overig!F1155),Overig!F1155,10*Overig!F1155),""",""????0;"",""???-0;"",""????0;"", ////"""),"'","""")&amp;SUBSTITUTE(TEXT(Overig!G1155,""",""?00;"",""?-00;"",""?00;"", //"""),"'","""")&amp;SUBSTITUTE(TEXT(IF(ISTEXT(Overig!H1155),Overig!H1155,10*Overig!H1155),""",""????0;"",""???-0;"",""????0;"", ////"""),"'","""")&amp;SUBSTITUTE(TEXT(Overig!I1155,""",""?00;"",""?-00;"",""?00;"", //"""),"'","""")&amp;SUBSTITUTE(TEXT(IF(ISTEXT(Overig!J1155),Overig!J1155,10*Overig!J1155),""",""????0;"",""???-0;"",""????0;"", ////"""),"'","""")&amp;SUBSTITUTE(TEXT(Overig!K1155,""",""?00;"",""?-00;"",""?00;"", //"""),"'","""")&amp;SUBSTITUTE(TEXT(Overig!L1155,""",""???0;"",""??-0;"",""???0;"", ///"""),"'","""")&amp;SUBSTITUTE(TEXT(Overig!M1155,""",""?00;"",""?-00;"",""?00;"", //"""),"'","""")&amp;SUBSTITUTE(TEXT(IF(ISTEXT(Overig!N1155),Overig!N1155,10*Overig!N1155),""",""????0;"",""???-0;"",""????0;"", ////"""),"'","""")&amp;SUBSTITUTE(TEXT(Overig!O1155,""",""?00;"",""?-00;"",""?00;"", //"""),"'","""")&amp;SUBSTITUTE(TEXT(IF(ISTEXT(Overig!P1155),Overig!P1155,10*Overig!P1155),""",""????0;"",""???-0;"",""????0;"", ////"""),"'","""")&amp;SUBSTITUTE(TEXT(Overig!Q1155,""",""?00;"",""?-00;"",""?00;"", //"""),"'","""")&amp;SUBSTITUTE(TEXT(Overig!R1155,""",""????0;"",""???-0;"",""????0;"", ////"""),"'","""")&amp;SUBSTITUTE(TEXT(Overig!S1155,""",""?00;"",""?-00;"",""?00;"", //"""),"'","""")&amp;SUBSTITUTE(TEXT(IF(ISTEXT(Overig!T1155),Overig!T1155,10*Overig!T1155),""",""????0;"",""???-0;"",""????0;"", ////"""),"'","""")&amp;SUBSTITUTE(TEXT(Overig!U1155,""",""?00;"",""?-00;"",""?00;"", //"""),"'","""")&amp;SUBSTITUTE(TEXT(Overig!V1155,""",""???0;"",""??-0;"",""???0;"", ///"""),"'","""")&amp;SUBSTITUTE(TEXT(Overig!W1155,""",""?00;"",""?-00;"",""?00;"", //"""),"'","""")</f>
        <v>032, 19401015, 12.00, ////, 07, ////, 07, ////, 07, ////, 07, ///, 07, ////, 07, ////, 07, ////, 07, ////, 07, ///, 07</v>
      </c>
    </row>
    <row r="1156" spans="1:1" x14ac:dyDescent="0.25">
      <c r="A1156" s="12" t="str">
        <f ca="1">TEXT(Overig!A1156,"000\,")&amp;TEXT(Overig!B1156,"?00000000")&amp;TEXT(Overig!C1156,""", ""@")&amp;SUBSTITUTE(TEXT(IF(ISTEXT(Overig!D1156),Overig!D1156,10*Overig!D1156),""",""????0;"",""???-0;"",""????0;"", ////"""),"'","""")&amp;SUBSTITUTE(TEXT(Overig!E1156,""",""?00;"",""?-00;"",""?00;"", //"""),"'","""")&amp;SUBSTITUTE(TEXT(IF(ISTEXT(Overig!F1156),Overig!F1156,10*Overig!F1156),""",""????0;"",""???-0;"",""????0;"", ////"""),"'","""")&amp;SUBSTITUTE(TEXT(Overig!G1156,""",""?00;"",""?-00;"",""?00;"", //"""),"'","""")&amp;SUBSTITUTE(TEXT(IF(ISTEXT(Overig!H1156),Overig!H1156,10*Overig!H1156),""",""????0;"",""???-0;"",""????0;"", ////"""),"'","""")&amp;SUBSTITUTE(TEXT(Overig!I1156,""",""?00;"",""?-00;"",""?00;"", //"""),"'","""")&amp;SUBSTITUTE(TEXT(IF(ISTEXT(Overig!J1156),Overig!J1156,10*Overig!J1156),""",""????0;"",""???-0;"",""????0;"", ////"""),"'","""")&amp;SUBSTITUTE(TEXT(Overig!K1156,""",""?00;"",""?-00;"",""?00;"", //"""),"'","""")&amp;SUBSTITUTE(TEXT(Overig!L1156,""",""???0;"",""??-0;"",""???0;"", ///"""),"'","""")&amp;SUBSTITUTE(TEXT(Overig!M1156,""",""?00;"",""?-00;"",""?00;"", //"""),"'","""")&amp;SUBSTITUTE(TEXT(IF(ISTEXT(Overig!N1156),Overig!N1156,10*Overig!N1156),""",""????0;"",""???-0;"",""????0;"", ////"""),"'","""")&amp;SUBSTITUTE(TEXT(Overig!O1156,""",""?00;"",""?-00;"",""?00;"", //"""),"'","""")&amp;SUBSTITUTE(TEXT(IF(ISTEXT(Overig!P1156),Overig!P1156,10*Overig!P1156),""",""????0;"",""???-0;"",""????0;"", ////"""),"'","""")&amp;SUBSTITUTE(TEXT(Overig!Q1156,""",""?00;"",""?-00;"",""?00;"", //"""),"'","""")&amp;SUBSTITUTE(TEXT(Overig!R1156,""",""????0;"",""???-0;"",""????0;"", ////"""),"'","""")&amp;SUBSTITUTE(TEXT(Overig!S1156,""",""?00;"",""?-00;"",""?00;"", //"""),"'","""")&amp;SUBSTITUTE(TEXT(IF(ISTEXT(Overig!T1156),Overig!T1156,10*Overig!T1156),""",""????0;"",""???-0;"",""????0;"", ////"""),"'","""")&amp;SUBSTITUTE(TEXT(Overig!U1156,""",""?00;"",""?-00;"",""?00;"", //"""),"'","""")&amp;SUBSTITUTE(TEXT(Overig!V1156,""",""???0;"",""??-0;"",""???0;"", ///"""),"'","""")&amp;SUBSTITUTE(TEXT(Overig!W1156,""",""?00;"",""?-00;"",""?00;"", //"""),"'","""")</f>
        <v>032, 19401015, 17.00, ////, 07, ////, 07, ////, 07, ////, 07, ///, 07, ////, 07, ////, 07, ////, 07, ////, 07, ///, 07</v>
      </c>
    </row>
    <row r="1157" spans="1:1" x14ac:dyDescent="0.25">
      <c r="A1157" s="12" t="str">
        <f ca="1">TEXT(Overig!A1157,"000\,")&amp;TEXT(Overig!B1157,"?00000000")&amp;TEXT(Overig!C1157,""", ""@")&amp;SUBSTITUTE(TEXT(IF(ISTEXT(Overig!D1157),Overig!D1157,10*Overig!D1157),""",""????0;"",""???-0;"",""????0;"", ////"""),"'","""")&amp;SUBSTITUTE(TEXT(Overig!E1157,""",""?00;"",""?-00;"",""?00;"", //"""),"'","""")&amp;SUBSTITUTE(TEXT(IF(ISTEXT(Overig!F1157),Overig!F1157,10*Overig!F1157),""",""????0;"",""???-0;"",""????0;"", ////"""),"'","""")&amp;SUBSTITUTE(TEXT(Overig!G1157,""",""?00;"",""?-00;"",""?00;"", //"""),"'","""")&amp;SUBSTITUTE(TEXT(IF(ISTEXT(Overig!H1157),Overig!H1157,10*Overig!H1157),""",""????0;"",""???-0;"",""????0;"", ////"""),"'","""")&amp;SUBSTITUTE(TEXT(Overig!I1157,""",""?00;"",""?-00;"",""?00;"", //"""),"'","""")&amp;SUBSTITUTE(TEXT(IF(ISTEXT(Overig!J1157),Overig!J1157,10*Overig!J1157),""",""????0;"",""???-0;"",""????0;"", ////"""),"'","""")&amp;SUBSTITUTE(TEXT(Overig!K1157,""",""?00;"",""?-00;"",""?00;"", //"""),"'","""")&amp;SUBSTITUTE(TEXT(Overig!L1157,""",""???0;"",""??-0;"",""???0;"", ///"""),"'","""")&amp;SUBSTITUTE(TEXT(Overig!M1157,""",""?00;"",""?-00;"",""?00;"", //"""),"'","""")&amp;SUBSTITUTE(TEXT(IF(ISTEXT(Overig!N1157),Overig!N1157,10*Overig!N1157),""",""????0;"",""???-0;"",""????0;"", ////"""),"'","""")&amp;SUBSTITUTE(TEXT(Overig!O1157,""",""?00;"",""?-00;"",""?00;"", //"""),"'","""")&amp;SUBSTITUTE(TEXT(IF(ISTEXT(Overig!P1157),Overig!P1157,10*Overig!P1157),""",""????0;"",""???-0;"",""????0;"", ////"""),"'","""")&amp;SUBSTITUTE(TEXT(Overig!Q1157,""",""?00;"",""?-00;"",""?00;"", //"""),"'","""")&amp;SUBSTITUTE(TEXT(Overig!R1157,""",""????0;"",""???-0;"",""????0;"", ////"""),"'","""")&amp;SUBSTITUTE(TEXT(Overig!S1157,""",""?00;"",""?-00;"",""?00;"", //"""),"'","""")&amp;SUBSTITUTE(TEXT(IF(ISTEXT(Overig!T1157),Overig!T1157,10*Overig!T1157),""",""????0;"",""???-0;"",""????0;"", ////"""),"'","""")&amp;SUBSTITUTE(TEXT(Overig!U1157,""",""?00;"",""?-00;"",""?00;"", //"""),"'","""")&amp;SUBSTITUTE(TEXT(Overig!V1157,""",""???0;"",""??-0;"",""???0;"", ///"""),"'","""")&amp;SUBSTITUTE(TEXT(Overig!W1157,""",""?00;"",""?-00;"",""?00;"", //"""),"'","""")</f>
        <v>032, 19401015, 24.00, ////, 07, ////, 07, ////, 07, ////, 07, ///, 07, ////, 07, ////, 07, ////, 07, ////, 07, ///, 07</v>
      </c>
    </row>
    <row r="1158" spans="1:1" x14ac:dyDescent="0.25">
      <c r="A1158" s="12" t="str">
        <f ca="1">TEXT(Overig!A1158,"000\,")&amp;TEXT(Overig!B1158,"?00000000")&amp;TEXT(Overig!C1158,""", ""@")&amp;SUBSTITUTE(TEXT(IF(ISTEXT(Overig!D1158),Overig!D1158,10*Overig!D1158),""",""????0;"",""???-0;"",""????0;"", ////"""),"'","""")&amp;SUBSTITUTE(TEXT(Overig!E1158,""",""?00;"",""?-00;"",""?00;"", //"""),"'","""")&amp;SUBSTITUTE(TEXT(IF(ISTEXT(Overig!F1158),Overig!F1158,10*Overig!F1158),""",""????0;"",""???-0;"",""????0;"", ////"""),"'","""")&amp;SUBSTITUTE(TEXT(Overig!G1158,""",""?00;"",""?-00;"",""?00;"", //"""),"'","""")&amp;SUBSTITUTE(TEXT(IF(ISTEXT(Overig!H1158),Overig!H1158,10*Overig!H1158),""",""????0;"",""???-0;"",""????0;"", ////"""),"'","""")&amp;SUBSTITUTE(TEXT(Overig!I1158,""",""?00;"",""?-00;"",""?00;"", //"""),"'","""")&amp;SUBSTITUTE(TEXT(IF(ISTEXT(Overig!J1158),Overig!J1158,10*Overig!J1158),""",""????0;"",""???-0;"",""????0;"", ////"""),"'","""")&amp;SUBSTITUTE(TEXT(Overig!K1158,""",""?00;"",""?-00;"",""?00;"", //"""),"'","""")&amp;SUBSTITUTE(TEXT(Overig!L1158,""",""???0;"",""??-0;"",""???0;"", ///"""),"'","""")&amp;SUBSTITUTE(TEXT(Overig!M1158,""",""?00;"",""?-00;"",""?00;"", //"""),"'","""")&amp;SUBSTITUTE(TEXT(IF(ISTEXT(Overig!N1158),Overig!N1158,10*Overig!N1158),""",""????0;"",""???-0;"",""????0;"", ////"""),"'","""")&amp;SUBSTITUTE(TEXT(Overig!O1158,""",""?00;"",""?-00;"",""?00;"", //"""),"'","""")&amp;SUBSTITUTE(TEXT(IF(ISTEXT(Overig!P1158),Overig!P1158,10*Overig!P1158),""",""????0;"",""???-0;"",""????0;"", ////"""),"'","""")&amp;SUBSTITUTE(TEXT(Overig!Q1158,""",""?00;"",""?-00;"",""?00;"", //"""),"'","""")&amp;SUBSTITUTE(TEXT(Overig!R1158,""",""????0;"",""???-0;"",""????0;"", ////"""),"'","""")&amp;SUBSTITUTE(TEXT(Overig!S1158,""",""?00;"",""?-00;"",""?00;"", //"""),"'","""")&amp;SUBSTITUTE(TEXT(IF(ISTEXT(Overig!T1158),Overig!T1158,10*Overig!T1158),""",""????0;"",""???-0;"",""????0;"", ////"""),"'","""")&amp;SUBSTITUTE(TEXT(Overig!U1158,""",""?00;"",""?-00;"",""?00;"", //"""),"'","""")&amp;SUBSTITUTE(TEXT(Overig!V1158,""",""???0;"",""??-0;"",""???0;"", ///"""),"'","""")&amp;SUBSTITUTE(TEXT(Overig!W1158,""",""?00;"",""?-00;"",""?00;"", //"""),"'","""")</f>
        <v>032, 19401016, 07.00, ////, 07, ////, 07, ////, 07, ////, 07, ///, 07, ////, 07, ////, 07, ////, 07, ////, 07, ///, 07</v>
      </c>
    </row>
    <row r="1159" spans="1:1" x14ac:dyDescent="0.25">
      <c r="A1159" s="12" t="str">
        <f ca="1">TEXT(Overig!A1159,"000\,")&amp;TEXT(Overig!B1159,"?00000000")&amp;TEXT(Overig!C1159,""", ""@")&amp;SUBSTITUTE(TEXT(IF(ISTEXT(Overig!D1159),Overig!D1159,10*Overig!D1159),""",""????0;"",""???-0;"",""????0;"", ////"""),"'","""")&amp;SUBSTITUTE(TEXT(Overig!E1159,""",""?00;"",""?-00;"",""?00;"", //"""),"'","""")&amp;SUBSTITUTE(TEXT(IF(ISTEXT(Overig!F1159),Overig!F1159,10*Overig!F1159),""",""????0;"",""???-0;"",""????0;"", ////"""),"'","""")&amp;SUBSTITUTE(TEXT(Overig!G1159,""",""?00;"",""?-00;"",""?00;"", //"""),"'","""")&amp;SUBSTITUTE(TEXT(IF(ISTEXT(Overig!H1159),Overig!H1159,10*Overig!H1159),""",""????0;"",""???-0;"",""????0;"", ////"""),"'","""")&amp;SUBSTITUTE(TEXT(Overig!I1159,""",""?00;"",""?-00;"",""?00;"", //"""),"'","""")&amp;SUBSTITUTE(TEXT(IF(ISTEXT(Overig!J1159),Overig!J1159,10*Overig!J1159),""",""????0;"",""???-0;"",""????0;"", ////"""),"'","""")&amp;SUBSTITUTE(TEXT(Overig!K1159,""",""?00;"",""?-00;"",""?00;"", //"""),"'","""")&amp;SUBSTITUTE(TEXT(Overig!L1159,""",""???0;"",""??-0;"",""???0;"", ///"""),"'","""")&amp;SUBSTITUTE(TEXT(Overig!M1159,""",""?00;"",""?-00;"",""?00;"", //"""),"'","""")&amp;SUBSTITUTE(TEXT(IF(ISTEXT(Overig!N1159),Overig!N1159,10*Overig!N1159),""",""????0;"",""???-0;"",""????0;"", ////"""),"'","""")&amp;SUBSTITUTE(TEXT(Overig!O1159,""",""?00;"",""?-00;"",""?00;"", //"""),"'","""")&amp;SUBSTITUTE(TEXT(IF(ISTEXT(Overig!P1159),Overig!P1159,10*Overig!P1159),""",""????0;"",""???-0;"",""????0;"", ////"""),"'","""")&amp;SUBSTITUTE(TEXT(Overig!Q1159,""",""?00;"",""?-00;"",""?00;"", //"""),"'","""")&amp;SUBSTITUTE(TEXT(Overig!R1159,""",""????0;"",""???-0;"",""????0;"", ////"""),"'","""")&amp;SUBSTITUTE(TEXT(Overig!S1159,""",""?00;"",""?-00;"",""?00;"", //"""),"'","""")&amp;SUBSTITUTE(TEXT(IF(ISTEXT(Overig!T1159),Overig!T1159,10*Overig!T1159),""",""????0;"",""???-0;"",""????0;"", ////"""),"'","""")&amp;SUBSTITUTE(TEXT(Overig!U1159,""",""?00;"",""?-00;"",""?00;"", //"""),"'","""")&amp;SUBSTITUTE(TEXT(Overig!V1159,""",""???0;"",""??-0;"",""???0;"", ///"""),"'","""")&amp;SUBSTITUTE(TEXT(Overig!W1159,""",""?00;"",""?-00;"",""?00;"", //"""),"'","""")</f>
        <v>032, 19401016, 12.00, ////, 07, ////, 07, ////, 07, ////, 07, ///, 07, ////, 07, ////, 07, ////, 07, ////, 07, ///, 07</v>
      </c>
    </row>
    <row r="1160" spans="1:1" x14ac:dyDescent="0.25">
      <c r="A1160" s="12" t="str">
        <f ca="1">TEXT(Overig!A1160,"000\,")&amp;TEXT(Overig!B1160,"?00000000")&amp;TEXT(Overig!C1160,""", ""@")&amp;SUBSTITUTE(TEXT(IF(ISTEXT(Overig!D1160),Overig!D1160,10*Overig!D1160),""",""????0;"",""???-0;"",""????0;"", ////"""),"'","""")&amp;SUBSTITUTE(TEXT(Overig!E1160,""",""?00;"",""?-00;"",""?00;"", //"""),"'","""")&amp;SUBSTITUTE(TEXT(IF(ISTEXT(Overig!F1160),Overig!F1160,10*Overig!F1160),""",""????0;"",""???-0;"",""????0;"", ////"""),"'","""")&amp;SUBSTITUTE(TEXT(Overig!G1160,""",""?00;"",""?-00;"",""?00;"", //"""),"'","""")&amp;SUBSTITUTE(TEXT(IF(ISTEXT(Overig!H1160),Overig!H1160,10*Overig!H1160),""",""????0;"",""???-0;"",""????0;"", ////"""),"'","""")&amp;SUBSTITUTE(TEXT(Overig!I1160,""",""?00;"",""?-00;"",""?00;"", //"""),"'","""")&amp;SUBSTITUTE(TEXT(IF(ISTEXT(Overig!J1160),Overig!J1160,10*Overig!J1160),""",""????0;"",""???-0;"",""????0;"", ////"""),"'","""")&amp;SUBSTITUTE(TEXT(Overig!K1160,""",""?00;"",""?-00;"",""?00;"", //"""),"'","""")&amp;SUBSTITUTE(TEXT(Overig!L1160,""",""???0;"",""??-0;"",""???0;"", ///"""),"'","""")&amp;SUBSTITUTE(TEXT(Overig!M1160,""",""?00;"",""?-00;"",""?00;"", //"""),"'","""")&amp;SUBSTITUTE(TEXT(IF(ISTEXT(Overig!N1160),Overig!N1160,10*Overig!N1160),""",""????0;"",""???-0;"",""????0;"", ////"""),"'","""")&amp;SUBSTITUTE(TEXT(Overig!O1160,""",""?00;"",""?-00;"",""?00;"", //"""),"'","""")&amp;SUBSTITUTE(TEXT(IF(ISTEXT(Overig!P1160),Overig!P1160,10*Overig!P1160),""",""????0;"",""???-0;"",""????0;"", ////"""),"'","""")&amp;SUBSTITUTE(TEXT(Overig!Q1160,""",""?00;"",""?-00;"",""?00;"", //"""),"'","""")&amp;SUBSTITUTE(TEXT(Overig!R1160,""",""????0;"",""???-0;"",""????0;"", ////"""),"'","""")&amp;SUBSTITUTE(TEXT(Overig!S1160,""",""?00;"",""?-00;"",""?00;"", //"""),"'","""")&amp;SUBSTITUTE(TEXT(IF(ISTEXT(Overig!T1160),Overig!T1160,10*Overig!T1160),""",""????0;"",""???-0;"",""????0;"", ////"""),"'","""")&amp;SUBSTITUTE(TEXT(Overig!U1160,""",""?00;"",""?-00;"",""?00;"", //"""),"'","""")&amp;SUBSTITUTE(TEXT(Overig!V1160,""",""???0;"",""??-0;"",""???0;"", ///"""),"'","""")&amp;SUBSTITUTE(TEXT(Overig!W1160,""",""?00;"",""?-00;"",""?00;"", //"""),"'","""")</f>
        <v>032, 19401016, 17.00, ////, 07, ////, 07, ////, 07, ////, 07, ///, 07, ////, 07, ////, 07, ////, 07, ////, 07, ///, 07</v>
      </c>
    </row>
    <row r="1161" spans="1:1" x14ac:dyDescent="0.25">
      <c r="A1161" s="12" t="str">
        <f ca="1">TEXT(Overig!A1161,"000\,")&amp;TEXT(Overig!B1161,"?00000000")&amp;TEXT(Overig!C1161,""", ""@")&amp;SUBSTITUTE(TEXT(IF(ISTEXT(Overig!D1161),Overig!D1161,10*Overig!D1161),""",""????0;"",""???-0;"",""????0;"", ////"""),"'","""")&amp;SUBSTITUTE(TEXT(Overig!E1161,""",""?00;"",""?-00;"",""?00;"", //"""),"'","""")&amp;SUBSTITUTE(TEXT(IF(ISTEXT(Overig!F1161),Overig!F1161,10*Overig!F1161),""",""????0;"",""???-0;"",""????0;"", ////"""),"'","""")&amp;SUBSTITUTE(TEXT(Overig!G1161,""",""?00;"",""?-00;"",""?00;"", //"""),"'","""")&amp;SUBSTITUTE(TEXT(IF(ISTEXT(Overig!H1161),Overig!H1161,10*Overig!H1161),""",""????0;"",""???-0;"",""????0;"", ////"""),"'","""")&amp;SUBSTITUTE(TEXT(Overig!I1161,""",""?00;"",""?-00;"",""?00;"", //"""),"'","""")&amp;SUBSTITUTE(TEXT(IF(ISTEXT(Overig!J1161),Overig!J1161,10*Overig!J1161),""",""????0;"",""???-0;"",""????0;"", ////"""),"'","""")&amp;SUBSTITUTE(TEXT(Overig!K1161,""",""?00;"",""?-00;"",""?00;"", //"""),"'","""")&amp;SUBSTITUTE(TEXT(Overig!L1161,""",""???0;"",""??-0;"",""???0;"", ///"""),"'","""")&amp;SUBSTITUTE(TEXT(Overig!M1161,""",""?00;"",""?-00;"",""?00;"", //"""),"'","""")&amp;SUBSTITUTE(TEXT(IF(ISTEXT(Overig!N1161),Overig!N1161,10*Overig!N1161),""",""????0;"",""???-0;"",""????0;"", ////"""),"'","""")&amp;SUBSTITUTE(TEXT(Overig!O1161,""",""?00;"",""?-00;"",""?00;"", //"""),"'","""")&amp;SUBSTITUTE(TEXT(IF(ISTEXT(Overig!P1161),Overig!P1161,10*Overig!P1161),""",""????0;"",""???-0;"",""????0;"", ////"""),"'","""")&amp;SUBSTITUTE(TEXT(Overig!Q1161,""",""?00;"",""?-00;"",""?00;"", //"""),"'","""")&amp;SUBSTITUTE(TEXT(Overig!R1161,""",""????0;"",""???-0;"",""????0;"", ////"""),"'","""")&amp;SUBSTITUTE(TEXT(Overig!S1161,""",""?00;"",""?-00;"",""?00;"", //"""),"'","""")&amp;SUBSTITUTE(TEXT(IF(ISTEXT(Overig!T1161),Overig!T1161,10*Overig!T1161),""",""????0;"",""???-0;"",""????0;"", ////"""),"'","""")&amp;SUBSTITUTE(TEXT(Overig!U1161,""",""?00;"",""?-00;"",""?00;"", //"""),"'","""")&amp;SUBSTITUTE(TEXT(Overig!V1161,""",""???0;"",""??-0;"",""???0;"", ///"""),"'","""")&amp;SUBSTITUTE(TEXT(Overig!W1161,""",""?00;"",""?-00;"",""?00;"", //"""),"'","""")</f>
        <v>032, 19401016, 24.00, ////, 07, ////, 07, ////, 07, ////, 07, ///, 07, ////, 07, ////, 07, ////, 07, ////, 07, ///, 07</v>
      </c>
    </row>
    <row r="1162" spans="1:1" x14ac:dyDescent="0.25">
      <c r="A1162" s="12" t="str">
        <f ca="1">TEXT(Overig!A1162,"000\,")&amp;TEXT(Overig!B1162,"?00000000")&amp;TEXT(Overig!C1162,""", ""@")&amp;SUBSTITUTE(TEXT(IF(ISTEXT(Overig!D1162),Overig!D1162,10*Overig!D1162),""",""????0;"",""???-0;"",""????0;"", ////"""),"'","""")&amp;SUBSTITUTE(TEXT(Overig!E1162,""",""?00;"",""?-00;"",""?00;"", //"""),"'","""")&amp;SUBSTITUTE(TEXT(IF(ISTEXT(Overig!F1162),Overig!F1162,10*Overig!F1162),""",""????0;"",""???-0;"",""????0;"", ////"""),"'","""")&amp;SUBSTITUTE(TEXT(Overig!G1162,""",""?00;"",""?-00;"",""?00;"", //"""),"'","""")&amp;SUBSTITUTE(TEXT(IF(ISTEXT(Overig!H1162),Overig!H1162,10*Overig!H1162),""",""????0;"",""???-0;"",""????0;"", ////"""),"'","""")&amp;SUBSTITUTE(TEXT(Overig!I1162,""",""?00;"",""?-00;"",""?00;"", //"""),"'","""")&amp;SUBSTITUTE(TEXT(IF(ISTEXT(Overig!J1162),Overig!J1162,10*Overig!J1162),""",""????0;"",""???-0;"",""????0;"", ////"""),"'","""")&amp;SUBSTITUTE(TEXT(Overig!K1162,""",""?00;"",""?-00;"",""?00;"", //"""),"'","""")&amp;SUBSTITUTE(TEXT(Overig!L1162,""",""???0;"",""??-0;"",""???0;"", ///"""),"'","""")&amp;SUBSTITUTE(TEXT(Overig!M1162,""",""?00;"",""?-00;"",""?00;"", //"""),"'","""")&amp;SUBSTITUTE(TEXT(IF(ISTEXT(Overig!N1162),Overig!N1162,10*Overig!N1162),""",""????0;"",""???-0;"",""????0;"", ////"""),"'","""")&amp;SUBSTITUTE(TEXT(Overig!O1162,""",""?00;"",""?-00;"",""?00;"", //"""),"'","""")&amp;SUBSTITUTE(TEXT(IF(ISTEXT(Overig!P1162),Overig!P1162,10*Overig!P1162),""",""????0;"",""???-0;"",""????0;"", ////"""),"'","""")&amp;SUBSTITUTE(TEXT(Overig!Q1162,""",""?00;"",""?-00;"",""?00;"", //"""),"'","""")&amp;SUBSTITUTE(TEXT(Overig!R1162,""",""????0;"",""???-0;"",""????0;"", ////"""),"'","""")&amp;SUBSTITUTE(TEXT(Overig!S1162,""",""?00;"",""?-00;"",""?00;"", //"""),"'","""")&amp;SUBSTITUTE(TEXT(IF(ISTEXT(Overig!T1162),Overig!T1162,10*Overig!T1162),""",""????0;"",""???-0;"",""????0;"", ////"""),"'","""")&amp;SUBSTITUTE(TEXT(Overig!U1162,""",""?00;"",""?-00;"",""?00;"", //"""),"'","""")&amp;SUBSTITUTE(TEXT(Overig!V1162,""",""???0;"",""??-0;"",""???0;"", ///"""),"'","""")&amp;SUBSTITUTE(TEXT(Overig!W1162,""",""?00;"",""?-00;"",""?00;"", //"""),"'","""")</f>
        <v>032, 19401017, 07.00, ////, 07, ////, 07, ////, 07, ////, 07, ///, 07, ////, 07, ////, 07, ////, 07, ////, 07, ///, 07</v>
      </c>
    </row>
    <row r="1163" spans="1:1" x14ac:dyDescent="0.25">
      <c r="A1163" s="12" t="str">
        <f ca="1">TEXT(Overig!A1163,"000\,")&amp;TEXT(Overig!B1163,"?00000000")&amp;TEXT(Overig!C1163,""", ""@")&amp;SUBSTITUTE(TEXT(IF(ISTEXT(Overig!D1163),Overig!D1163,10*Overig!D1163),""",""????0;"",""???-0;"",""????0;"", ////"""),"'","""")&amp;SUBSTITUTE(TEXT(Overig!E1163,""",""?00;"",""?-00;"",""?00;"", //"""),"'","""")&amp;SUBSTITUTE(TEXT(IF(ISTEXT(Overig!F1163),Overig!F1163,10*Overig!F1163),""",""????0;"",""???-0;"",""????0;"", ////"""),"'","""")&amp;SUBSTITUTE(TEXT(Overig!G1163,""",""?00;"",""?-00;"",""?00;"", //"""),"'","""")&amp;SUBSTITUTE(TEXT(IF(ISTEXT(Overig!H1163),Overig!H1163,10*Overig!H1163),""",""????0;"",""???-0;"",""????0;"", ////"""),"'","""")&amp;SUBSTITUTE(TEXT(Overig!I1163,""",""?00;"",""?-00;"",""?00;"", //"""),"'","""")&amp;SUBSTITUTE(TEXT(IF(ISTEXT(Overig!J1163),Overig!J1163,10*Overig!J1163),""",""????0;"",""???-0;"",""????0;"", ////"""),"'","""")&amp;SUBSTITUTE(TEXT(Overig!K1163,""",""?00;"",""?-00;"",""?00;"", //"""),"'","""")&amp;SUBSTITUTE(TEXT(Overig!L1163,""",""???0;"",""??-0;"",""???0;"", ///"""),"'","""")&amp;SUBSTITUTE(TEXT(Overig!M1163,""",""?00;"",""?-00;"",""?00;"", //"""),"'","""")&amp;SUBSTITUTE(TEXT(IF(ISTEXT(Overig!N1163),Overig!N1163,10*Overig!N1163),""",""????0;"",""???-0;"",""????0;"", ////"""),"'","""")&amp;SUBSTITUTE(TEXT(Overig!O1163,""",""?00;"",""?-00;"",""?00;"", //"""),"'","""")&amp;SUBSTITUTE(TEXT(IF(ISTEXT(Overig!P1163),Overig!P1163,10*Overig!P1163),""",""????0;"",""???-0;"",""????0;"", ////"""),"'","""")&amp;SUBSTITUTE(TEXT(Overig!Q1163,""",""?00;"",""?-00;"",""?00;"", //"""),"'","""")&amp;SUBSTITUTE(TEXT(Overig!R1163,""",""????0;"",""???-0;"",""????0;"", ////"""),"'","""")&amp;SUBSTITUTE(TEXT(Overig!S1163,""",""?00;"",""?-00;"",""?00;"", //"""),"'","""")&amp;SUBSTITUTE(TEXT(IF(ISTEXT(Overig!T1163),Overig!T1163,10*Overig!T1163),""",""????0;"",""???-0;"",""????0;"", ////"""),"'","""")&amp;SUBSTITUTE(TEXT(Overig!U1163,""",""?00;"",""?-00;"",""?00;"", //"""),"'","""")&amp;SUBSTITUTE(TEXT(Overig!V1163,""",""???0;"",""??-0;"",""???0;"", ///"""),"'","""")&amp;SUBSTITUTE(TEXT(Overig!W1163,""",""?00;"",""?-00;"",""?00;"", //"""),"'","""")</f>
        <v>032, 19401017, 12.00, ////, 07, ////, 07, ////, 07, ////, 07, ///, 07, ////, 07, ////, 07, ////, 07, ////, 07, ///, 07</v>
      </c>
    </row>
    <row r="1164" spans="1:1" x14ac:dyDescent="0.25">
      <c r="A1164" s="12" t="str">
        <f ca="1">TEXT(Overig!A1164,"000\,")&amp;TEXT(Overig!B1164,"?00000000")&amp;TEXT(Overig!C1164,""", ""@")&amp;SUBSTITUTE(TEXT(IF(ISTEXT(Overig!D1164),Overig!D1164,10*Overig!D1164),""",""????0;"",""???-0;"",""????0;"", ////"""),"'","""")&amp;SUBSTITUTE(TEXT(Overig!E1164,""",""?00;"",""?-00;"",""?00;"", //"""),"'","""")&amp;SUBSTITUTE(TEXT(IF(ISTEXT(Overig!F1164),Overig!F1164,10*Overig!F1164),""",""????0;"",""???-0;"",""????0;"", ////"""),"'","""")&amp;SUBSTITUTE(TEXT(Overig!G1164,""",""?00;"",""?-00;"",""?00;"", //"""),"'","""")&amp;SUBSTITUTE(TEXT(IF(ISTEXT(Overig!H1164),Overig!H1164,10*Overig!H1164),""",""????0;"",""???-0;"",""????0;"", ////"""),"'","""")&amp;SUBSTITUTE(TEXT(Overig!I1164,""",""?00;"",""?-00;"",""?00;"", //"""),"'","""")&amp;SUBSTITUTE(TEXT(IF(ISTEXT(Overig!J1164),Overig!J1164,10*Overig!J1164),""",""????0;"",""???-0;"",""????0;"", ////"""),"'","""")&amp;SUBSTITUTE(TEXT(Overig!K1164,""",""?00;"",""?-00;"",""?00;"", //"""),"'","""")&amp;SUBSTITUTE(TEXT(Overig!L1164,""",""???0;"",""??-0;"",""???0;"", ///"""),"'","""")&amp;SUBSTITUTE(TEXT(Overig!M1164,""",""?00;"",""?-00;"",""?00;"", //"""),"'","""")&amp;SUBSTITUTE(TEXT(IF(ISTEXT(Overig!N1164),Overig!N1164,10*Overig!N1164),""",""????0;"",""???-0;"",""????0;"", ////"""),"'","""")&amp;SUBSTITUTE(TEXT(Overig!O1164,""",""?00;"",""?-00;"",""?00;"", //"""),"'","""")&amp;SUBSTITUTE(TEXT(IF(ISTEXT(Overig!P1164),Overig!P1164,10*Overig!P1164),""",""????0;"",""???-0;"",""????0;"", ////"""),"'","""")&amp;SUBSTITUTE(TEXT(Overig!Q1164,""",""?00;"",""?-00;"",""?00;"", //"""),"'","""")&amp;SUBSTITUTE(TEXT(Overig!R1164,""",""????0;"",""???-0;"",""????0;"", ////"""),"'","""")&amp;SUBSTITUTE(TEXT(Overig!S1164,""",""?00;"",""?-00;"",""?00;"", //"""),"'","""")&amp;SUBSTITUTE(TEXT(IF(ISTEXT(Overig!T1164),Overig!T1164,10*Overig!T1164),""",""????0;"",""???-0;"",""????0;"", ////"""),"'","""")&amp;SUBSTITUTE(TEXT(Overig!U1164,""",""?00;"",""?-00;"",""?00;"", //"""),"'","""")&amp;SUBSTITUTE(TEXT(Overig!V1164,""",""???0;"",""??-0;"",""???0;"", ///"""),"'","""")&amp;SUBSTITUTE(TEXT(Overig!W1164,""",""?00;"",""?-00;"",""?00;"", //"""),"'","""")</f>
        <v>032, 19401017, 17.00, ////, 07, ////, 07, ////, 07, ////, 07, ///, 07, ////, 07, ////, 07, ////, 07, ////, 07, ///, 07</v>
      </c>
    </row>
    <row r="1165" spans="1:1" x14ac:dyDescent="0.25">
      <c r="A1165" s="12" t="str">
        <f ca="1">TEXT(Overig!A1165,"000\,")&amp;TEXT(Overig!B1165,"?00000000")&amp;TEXT(Overig!C1165,""", ""@")&amp;SUBSTITUTE(TEXT(IF(ISTEXT(Overig!D1165),Overig!D1165,10*Overig!D1165),""",""????0;"",""???-0;"",""????0;"", ////"""),"'","""")&amp;SUBSTITUTE(TEXT(Overig!E1165,""",""?00;"",""?-00;"",""?00;"", //"""),"'","""")&amp;SUBSTITUTE(TEXT(IF(ISTEXT(Overig!F1165),Overig!F1165,10*Overig!F1165),""",""????0;"",""???-0;"",""????0;"", ////"""),"'","""")&amp;SUBSTITUTE(TEXT(Overig!G1165,""",""?00;"",""?-00;"",""?00;"", //"""),"'","""")&amp;SUBSTITUTE(TEXT(IF(ISTEXT(Overig!H1165),Overig!H1165,10*Overig!H1165),""",""????0;"",""???-0;"",""????0;"", ////"""),"'","""")&amp;SUBSTITUTE(TEXT(Overig!I1165,""",""?00;"",""?-00;"",""?00;"", //"""),"'","""")&amp;SUBSTITUTE(TEXT(IF(ISTEXT(Overig!J1165),Overig!J1165,10*Overig!J1165),""",""????0;"",""???-0;"",""????0;"", ////"""),"'","""")&amp;SUBSTITUTE(TEXT(Overig!K1165,""",""?00;"",""?-00;"",""?00;"", //"""),"'","""")&amp;SUBSTITUTE(TEXT(Overig!L1165,""",""???0;"",""??-0;"",""???0;"", ///"""),"'","""")&amp;SUBSTITUTE(TEXT(Overig!M1165,""",""?00;"",""?-00;"",""?00;"", //"""),"'","""")&amp;SUBSTITUTE(TEXT(IF(ISTEXT(Overig!N1165),Overig!N1165,10*Overig!N1165),""",""????0;"",""???-0;"",""????0;"", ////"""),"'","""")&amp;SUBSTITUTE(TEXT(Overig!O1165,""",""?00;"",""?-00;"",""?00;"", //"""),"'","""")&amp;SUBSTITUTE(TEXT(IF(ISTEXT(Overig!P1165),Overig!P1165,10*Overig!P1165),""",""????0;"",""???-0;"",""????0;"", ////"""),"'","""")&amp;SUBSTITUTE(TEXT(Overig!Q1165,""",""?00;"",""?-00;"",""?00;"", //"""),"'","""")&amp;SUBSTITUTE(TEXT(Overig!R1165,""",""????0;"",""???-0;"",""????0;"", ////"""),"'","""")&amp;SUBSTITUTE(TEXT(Overig!S1165,""",""?00;"",""?-00;"",""?00;"", //"""),"'","""")&amp;SUBSTITUTE(TEXT(IF(ISTEXT(Overig!T1165),Overig!T1165,10*Overig!T1165),""",""????0;"",""???-0;"",""????0;"", ////"""),"'","""")&amp;SUBSTITUTE(TEXT(Overig!U1165,""",""?00;"",""?-00;"",""?00;"", //"""),"'","""")&amp;SUBSTITUTE(TEXT(Overig!V1165,""",""???0;"",""??-0;"",""???0;"", ///"""),"'","""")&amp;SUBSTITUTE(TEXT(Overig!W1165,""",""?00;"",""?-00;"",""?00;"", //"""),"'","""")</f>
        <v>032, 19401017, 24.00, ////, 07, ////, 07, ////, 07, ////, 07, ///, 07, ////, 07, ////, 07, ////, 07, ////, 07, ///, 07</v>
      </c>
    </row>
    <row r="1166" spans="1:1" x14ac:dyDescent="0.25">
      <c r="A1166" s="12" t="str">
        <f ca="1">TEXT(Overig!A1166,"000\,")&amp;TEXT(Overig!B1166,"?00000000")&amp;TEXT(Overig!C1166,""", ""@")&amp;SUBSTITUTE(TEXT(IF(ISTEXT(Overig!D1166),Overig!D1166,10*Overig!D1166),""",""????0;"",""???-0;"",""????0;"", ////"""),"'","""")&amp;SUBSTITUTE(TEXT(Overig!E1166,""",""?00;"",""?-00;"",""?00;"", //"""),"'","""")&amp;SUBSTITUTE(TEXT(IF(ISTEXT(Overig!F1166),Overig!F1166,10*Overig!F1166),""",""????0;"",""???-0;"",""????0;"", ////"""),"'","""")&amp;SUBSTITUTE(TEXT(Overig!G1166,""",""?00;"",""?-00;"",""?00;"", //"""),"'","""")&amp;SUBSTITUTE(TEXT(IF(ISTEXT(Overig!H1166),Overig!H1166,10*Overig!H1166),""",""????0;"",""???-0;"",""????0;"", ////"""),"'","""")&amp;SUBSTITUTE(TEXT(Overig!I1166,""",""?00;"",""?-00;"",""?00;"", //"""),"'","""")&amp;SUBSTITUTE(TEXT(IF(ISTEXT(Overig!J1166),Overig!J1166,10*Overig!J1166),""",""????0;"",""???-0;"",""????0;"", ////"""),"'","""")&amp;SUBSTITUTE(TEXT(Overig!K1166,""",""?00;"",""?-00;"",""?00;"", //"""),"'","""")&amp;SUBSTITUTE(TEXT(Overig!L1166,""",""???0;"",""??-0;"",""???0;"", ///"""),"'","""")&amp;SUBSTITUTE(TEXT(Overig!M1166,""",""?00;"",""?-00;"",""?00;"", //"""),"'","""")&amp;SUBSTITUTE(TEXT(IF(ISTEXT(Overig!N1166),Overig!N1166,10*Overig!N1166),""",""????0;"",""???-0;"",""????0;"", ////"""),"'","""")&amp;SUBSTITUTE(TEXT(Overig!O1166,""",""?00;"",""?-00;"",""?00;"", //"""),"'","""")&amp;SUBSTITUTE(TEXT(IF(ISTEXT(Overig!P1166),Overig!P1166,10*Overig!P1166),""",""????0;"",""???-0;"",""????0;"", ////"""),"'","""")&amp;SUBSTITUTE(TEXT(Overig!Q1166,""",""?00;"",""?-00;"",""?00;"", //"""),"'","""")&amp;SUBSTITUTE(TEXT(Overig!R1166,""",""????0;"",""???-0;"",""????0;"", ////"""),"'","""")&amp;SUBSTITUTE(TEXT(Overig!S1166,""",""?00;"",""?-00;"",""?00;"", //"""),"'","""")&amp;SUBSTITUTE(TEXT(IF(ISTEXT(Overig!T1166),Overig!T1166,10*Overig!T1166),""",""????0;"",""???-0;"",""????0;"", ////"""),"'","""")&amp;SUBSTITUTE(TEXT(Overig!U1166,""",""?00;"",""?-00;"",""?00;"", //"""),"'","""")&amp;SUBSTITUTE(TEXT(Overig!V1166,""",""???0;"",""??-0;"",""???0;"", ///"""),"'","""")&amp;SUBSTITUTE(TEXT(Overig!W1166,""",""?00;"",""?-00;"",""?00;"", //"""),"'","""")</f>
        <v>032, 19401018, 07.00, ////, 07, ////, 07, ////, 07, ////, 07, ///, 07, ////, 07, ////, 07, ////, 07, ////, 07, ///, 07</v>
      </c>
    </row>
    <row r="1167" spans="1:1" x14ac:dyDescent="0.25">
      <c r="A1167" s="12" t="str">
        <f ca="1">TEXT(Overig!A1167,"000\,")&amp;TEXT(Overig!B1167,"?00000000")&amp;TEXT(Overig!C1167,""", ""@")&amp;SUBSTITUTE(TEXT(IF(ISTEXT(Overig!D1167),Overig!D1167,10*Overig!D1167),""",""????0;"",""???-0;"",""????0;"", ////"""),"'","""")&amp;SUBSTITUTE(TEXT(Overig!E1167,""",""?00;"",""?-00;"",""?00;"", //"""),"'","""")&amp;SUBSTITUTE(TEXT(IF(ISTEXT(Overig!F1167),Overig!F1167,10*Overig!F1167),""",""????0;"",""???-0;"",""????0;"", ////"""),"'","""")&amp;SUBSTITUTE(TEXT(Overig!G1167,""",""?00;"",""?-00;"",""?00;"", //"""),"'","""")&amp;SUBSTITUTE(TEXT(IF(ISTEXT(Overig!H1167),Overig!H1167,10*Overig!H1167),""",""????0;"",""???-0;"",""????0;"", ////"""),"'","""")&amp;SUBSTITUTE(TEXT(Overig!I1167,""",""?00;"",""?-00;"",""?00;"", //"""),"'","""")&amp;SUBSTITUTE(TEXT(IF(ISTEXT(Overig!J1167),Overig!J1167,10*Overig!J1167),""",""????0;"",""???-0;"",""????0;"", ////"""),"'","""")&amp;SUBSTITUTE(TEXT(Overig!K1167,""",""?00;"",""?-00;"",""?00;"", //"""),"'","""")&amp;SUBSTITUTE(TEXT(Overig!L1167,""",""???0;"",""??-0;"",""???0;"", ///"""),"'","""")&amp;SUBSTITUTE(TEXT(Overig!M1167,""",""?00;"",""?-00;"",""?00;"", //"""),"'","""")&amp;SUBSTITUTE(TEXT(IF(ISTEXT(Overig!N1167),Overig!N1167,10*Overig!N1167),""",""????0;"",""???-0;"",""????0;"", ////"""),"'","""")&amp;SUBSTITUTE(TEXT(Overig!O1167,""",""?00;"",""?-00;"",""?00;"", //"""),"'","""")&amp;SUBSTITUTE(TEXT(IF(ISTEXT(Overig!P1167),Overig!P1167,10*Overig!P1167),""",""????0;"",""???-0;"",""????0;"", ////"""),"'","""")&amp;SUBSTITUTE(TEXT(Overig!Q1167,""",""?00;"",""?-00;"",""?00;"", //"""),"'","""")&amp;SUBSTITUTE(TEXT(Overig!R1167,""",""????0;"",""???-0;"",""????0;"", ////"""),"'","""")&amp;SUBSTITUTE(TEXT(Overig!S1167,""",""?00;"",""?-00;"",""?00;"", //"""),"'","""")&amp;SUBSTITUTE(TEXT(IF(ISTEXT(Overig!T1167),Overig!T1167,10*Overig!T1167),""",""????0;"",""???-0;"",""????0;"", ////"""),"'","""")&amp;SUBSTITUTE(TEXT(Overig!U1167,""",""?00;"",""?-00;"",""?00;"", //"""),"'","""")&amp;SUBSTITUTE(TEXT(Overig!V1167,""",""???0;"",""??-0;"",""???0;"", ///"""),"'","""")&amp;SUBSTITUTE(TEXT(Overig!W1167,""",""?00;"",""?-00;"",""?00;"", //"""),"'","""")</f>
        <v>032, 19401018, 12.00, ////, 07, ////, 07, ////, 07, ////, 07, ///, 07, ////, 07, ////, 07, ////, 07, ////, 07, ///, 07</v>
      </c>
    </row>
    <row r="1168" spans="1:1" x14ac:dyDescent="0.25">
      <c r="A1168" s="12" t="str">
        <f ca="1">TEXT(Overig!A1168,"000\,")&amp;TEXT(Overig!B1168,"?00000000")&amp;TEXT(Overig!C1168,""", ""@")&amp;SUBSTITUTE(TEXT(IF(ISTEXT(Overig!D1168),Overig!D1168,10*Overig!D1168),""",""????0;"",""???-0;"",""????0;"", ////"""),"'","""")&amp;SUBSTITUTE(TEXT(Overig!E1168,""",""?00;"",""?-00;"",""?00;"", //"""),"'","""")&amp;SUBSTITUTE(TEXT(IF(ISTEXT(Overig!F1168),Overig!F1168,10*Overig!F1168),""",""????0;"",""???-0;"",""????0;"", ////"""),"'","""")&amp;SUBSTITUTE(TEXT(Overig!G1168,""",""?00;"",""?-00;"",""?00;"", //"""),"'","""")&amp;SUBSTITUTE(TEXT(IF(ISTEXT(Overig!H1168),Overig!H1168,10*Overig!H1168),""",""????0;"",""???-0;"",""????0;"", ////"""),"'","""")&amp;SUBSTITUTE(TEXT(Overig!I1168,""",""?00;"",""?-00;"",""?00;"", //"""),"'","""")&amp;SUBSTITUTE(TEXT(IF(ISTEXT(Overig!J1168),Overig!J1168,10*Overig!J1168),""",""????0;"",""???-0;"",""????0;"", ////"""),"'","""")&amp;SUBSTITUTE(TEXT(Overig!K1168,""",""?00;"",""?-00;"",""?00;"", //"""),"'","""")&amp;SUBSTITUTE(TEXT(Overig!L1168,""",""???0;"",""??-0;"",""???0;"", ///"""),"'","""")&amp;SUBSTITUTE(TEXT(Overig!M1168,""",""?00;"",""?-00;"",""?00;"", //"""),"'","""")&amp;SUBSTITUTE(TEXT(IF(ISTEXT(Overig!N1168),Overig!N1168,10*Overig!N1168),""",""????0;"",""???-0;"",""????0;"", ////"""),"'","""")&amp;SUBSTITUTE(TEXT(Overig!O1168,""",""?00;"",""?-00;"",""?00;"", //"""),"'","""")&amp;SUBSTITUTE(TEXT(IF(ISTEXT(Overig!P1168),Overig!P1168,10*Overig!P1168),""",""????0;"",""???-0;"",""????0;"", ////"""),"'","""")&amp;SUBSTITUTE(TEXT(Overig!Q1168,""",""?00;"",""?-00;"",""?00;"", //"""),"'","""")&amp;SUBSTITUTE(TEXT(Overig!R1168,""",""????0;"",""???-0;"",""????0;"", ////"""),"'","""")&amp;SUBSTITUTE(TEXT(Overig!S1168,""",""?00;"",""?-00;"",""?00;"", //"""),"'","""")&amp;SUBSTITUTE(TEXT(IF(ISTEXT(Overig!T1168),Overig!T1168,10*Overig!T1168),""",""????0;"",""???-0;"",""????0;"", ////"""),"'","""")&amp;SUBSTITUTE(TEXT(Overig!U1168,""",""?00;"",""?-00;"",""?00;"", //"""),"'","""")&amp;SUBSTITUTE(TEXT(Overig!V1168,""",""???0;"",""??-0;"",""???0;"", ///"""),"'","""")&amp;SUBSTITUTE(TEXT(Overig!W1168,""",""?00;"",""?-00;"",""?00;"", //"""),"'","""")</f>
        <v>032, 19401018, 17.00, ////, 07, ////, 07, ////, 07, ////, 07, ///, 07, ////, 07, ////, 07, ////, 07, ////, 07, ///, 07</v>
      </c>
    </row>
    <row r="1169" spans="1:1" x14ac:dyDescent="0.25">
      <c r="A1169" s="12" t="str">
        <f ca="1">TEXT(Overig!A1169,"000\,")&amp;TEXT(Overig!B1169,"?00000000")&amp;TEXT(Overig!C1169,""", ""@")&amp;SUBSTITUTE(TEXT(IF(ISTEXT(Overig!D1169),Overig!D1169,10*Overig!D1169),""",""????0;"",""???-0;"",""????0;"", ////"""),"'","""")&amp;SUBSTITUTE(TEXT(Overig!E1169,""",""?00;"",""?-00;"",""?00;"", //"""),"'","""")&amp;SUBSTITUTE(TEXT(IF(ISTEXT(Overig!F1169),Overig!F1169,10*Overig!F1169),""",""????0;"",""???-0;"",""????0;"", ////"""),"'","""")&amp;SUBSTITUTE(TEXT(Overig!G1169,""",""?00;"",""?-00;"",""?00;"", //"""),"'","""")&amp;SUBSTITUTE(TEXT(IF(ISTEXT(Overig!H1169),Overig!H1169,10*Overig!H1169),""",""????0;"",""???-0;"",""????0;"", ////"""),"'","""")&amp;SUBSTITUTE(TEXT(Overig!I1169,""",""?00;"",""?-00;"",""?00;"", //"""),"'","""")&amp;SUBSTITUTE(TEXT(IF(ISTEXT(Overig!J1169),Overig!J1169,10*Overig!J1169),""",""????0;"",""???-0;"",""????0;"", ////"""),"'","""")&amp;SUBSTITUTE(TEXT(Overig!K1169,""",""?00;"",""?-00;"",""?00;"", //"""),"'","""")&amp;SUBSTITUTE(TEXT(Overig!L1169,""",""???0;"",""??-0;"",""???0;"", ///"""),"'","""")&amp;SUBSTITUTE(TEXT(Overig!M1169,""",""?00;"",""?-00;"",""?00;"", //"""),"'","""")&amp;SUBSTITUTE(TEXT(IF(ISTEXT(Overig!N1169),Overig!N1169,10*Overig!N1169),""",""????0;"",""???-0;"",""????0;"", ////"""),"'","""")&amp;SUBSTITUTE(TEXT(Overig!O1169,""",""?00;"",""?-00;"",""?00;"", //"""),"'","""")&amp;SUBSTITUTE(TEXT(IF(ISTEXT(Overig!P1169),Overig!P1169,10*Overig!P1169),""",""????0;"",""???-0;"",""????0;"", ////"""),"'","""")&amp;SUBSTITUTE(TEXT(Overig!Q1169,""",""?00;"",""?-00;"",""?00;"", //"""),"'","""")&amp;SUBSTITUTE(TEXT(Overig!R1169,""",""????0;"",""???-0;"",""????0;"", ////"""),"'","""")&amp;SUBSTITUTE(TEXT(Overig!S1169,""",""?00;"",""?-00;"",""?00;"", //"""),"'","""")&amp;SUBSTITUTE(TEXT(IF(ISTEXT(Overig!T1169),Overig!T1169,10*Overig!T1169),""",""????0;"",""???-0;"",""????0;"", ////"""),"'","""")&amp;SUBSTITUTE(TEXT(Overig!U1169,""",""?00;"",""?-00;"",""?00;"", //"""),"'","""")&amp;SUBSTITUTE(TEXT(Overig!V1169,""",""???0;"",""??-0;"",""???0;"", ///"""),"'","""")&amp;SUBSTITUTE(TEXT(Overig!W1169,""",""?00;"",""?-00;"",""?00;"", //"""),"'","""")</f>
        <v>032, 19401018, 24.00, ////, 07, ////, 07, ////, 07, ////, 07, ///, 07, ////, 07, ////, 07, ////, 07, ////, 07, ///, 07</v>
      </c>
    </row>
    <row r="1170" spans="1:1" x14ac:dyDescent="0.25">
      <c r="A1170" s="12" t="str">
        <f ca="1">TEXT(Overig!A1170,"000\,")&amp;TEXT(Overig!B1170,"?00000000")&amp;TEXT(Overig!C1170,""", ""@")&amp;SUBSTITUTE(TEXT(IF(ISTEXT(Overig!D1170),Overig!D1170,10*Overig!D1170),""",""????0;"",""???-0;"",""????0;"", ////"""),"'","""")&amp;SUBSTITUTE(TEXT(Overig!E1170,""",""?00;"",""?-00;"",""?00;"", //"""),"'","""")&amp;SUBSTITUTE(TEXT(IF(ISTEXT(Overig!F1170),Overig!F1170,10*Overig!F1170),""",""????0;"",""???-0;"",""????0;"", ////"""),"'","""")&amp;SUBSTITUTE(TEXT(Overig!G1170,""",""?00;"",""?-00;"",""?00;"", //"""),"'","""")&amp;SUBSTITUTE(TEXT(IF(ISTEXT(Overig!H1170),Overig!H1170,10*Overig!H1170),""",""????0;"",""???-0;"",""????0;"", ////"""),"'","""")&amp;SUBSTITUTE(TEXT(Overig!I1170,""",""?00;"",""?-00;"",""?00;"", //"""),"'","""")&amp;SUBSTITUTE(TEXT(IF(ISTEXT(Overig!J1170),Overig!J1170,10*Overig!J1170),""",""????0;"",""???-0;"",""????0;"", ////"""),"'","""")&amp;SUBSTITUTE(TEXT(Overig!K1170,""",""?00;"",""?-00;"",""?00;"", //"""),"'","""")&amp;SUBSTITUTE(TEXT(Overig!L1170,""",""???0;"",""??-0;"",""???0;"", ///"""),"'","""")&amp;SUBSTITUTE(TEXT(Overig!M1170,""",""?00;"",""?-00;"",""?00;"", //"""),"'","""")&amp;SUBSTITUTE(TEXT(IF(ISTEXT(Overig!N1170),Overig!N1170,10*Overig!N1170),""",""????0;"",""???-0;"",""????0;"", ////"""),"'","""")&amp;SUBSTITUTE(TEXT(Overig!O1170,""",""?00;"",""?-00;"",""?00;"", //"""),"'","""")&amp;SUBSTITUTE(TEXT(IF(ISTEXT(Overig!P1170),Overig!P1170,10*Overig!P1170),""",""????0;"",""???-0;"",""????0;"", ////"""),"'","""")&amp;SUBSTITUTE(TEXT(Overig!Q1170,""",""?00;"",""?-00;"",""?00;"", //"""),"'","""")&amp;SUBSTITUTE(TEXT(Overig!R1170,""",""????0;"",""???-0;"",""????0;"", ////"""),"'","""")&amp;SUBSTITUTE(TEXT(Overig!S1170,""",""?00;"",""?-00;"",""?00;"", //"""),"'","""")&amp;SUBSTITUTE(TEXT(IF(ISTEXT(Overig!T1170),Overig!T1170,10*Overig!T1170),""",""????0;"",""???-0;"",""????0;"", ////"""),"'","""")&amp;SUBSTITUTE(TEXT(Overig!U1170,""",""?00;"",""?-00;"",""?00;"", //"""),"'","""")&amp;SUBSTITUTE(TEXT(Overig!V1170,""",""???0;"",""??-0;"",""???0;"", ///"""),"'","""")&amp;SUBSTITUTE(TEXT(Overig!W1170,""",""?00;"",""?-00;"",""?00;"", //"""),"'","""")</f>
        <v>032, 19401019, 07.00, ////, 07, ////, 07, ////, 07, ////, 07, ///, 07, ////, 07, ////, 07, ////, 07, ////, 07, ///, 07</v>
      </c>
    </row>
    <row r="1171" spans="1:1" x14ac:dyDescent="0.25">
      <c r="A1171" s="12" t="str">
        <f ca="1">TEXT(Overig!A1171,"000\,")&amp;TEXT(Overig!B1171,"?00000000")&amp;TEXT(Overig!C1171,""", ""@")&amp;SUBSTITUTE(TEXT(IF(ISTEXT(Overig!D1171),Overig!D1171,10*Overig!D1171),""",""????0;"",""???-0;"",""????0;"", ////"""),"'","""")&amp;SUBSTITUTE(TEXT(Overig!E1171,""",""?00;"",""?-00;"",""?00;"", //"""),"'","""")&amp;SUBSTITUTE(TEXT(IF(ISTEXT(Overig!F1171),Overig!F1171,10*Overig!F1171),""",""????0;"",""???-0;"",""????0;"", ////"""),"'","""")&amp;SUBSTITUTE(TEXT(Overig!G1171,""",""?00;"",""?-00;"",""?00;"", //"""),"'","""")&amp;SUBSTITUTE(TEXT(IF(ISTEXT(Overig!H1171),Overig!H1171,10*Overig!H1171),""",""????0;"",""???-0;"",""????0;"", ////"""),"'","""")&amp;SUBSTITUTE(TEXT(Overig!I1171,""",""?00;"",""?-00;"",""?00;"", //"""),"'","""")&amp;SUBSTITUTE(TEXT(IF(ISTEXT(Overig!J1171),Overig!J1171,10*Overig!J1171),""",""????0;"",""???-0;"",""????0;"", ////"""),"'","""")&amp;SUBSTITUTE(TEXT(Overig!K1171,""",""?00;"",""?-00;"",""?00;"", //"""),"'","""")&amp;SUBSTITUTE(TEXT(Overig!L1171,""",""???0;"",""??-0;"",""???0;"", ///"""),"'","""")&amp;SUBSTITUTE(TEXT(Overig!M1171,""",""?00;"",""?-00;"",""?00;"", //"""),"'","""")&amp;SUBSTITUTE(TEXT(IF(ISTEXT(Overig!N1171),Overig!N1171,10*Overig!N1171),""",""????0;"",""???-0;"",""????0;"", ////"""),"'","""")&amp;SUBSTITUTE(TEXT(Overig!O1171,""",""?00;"",""?-00;"",""?00;"", //"""),"'","""")&amp;SUBSTITUTE(TEXT(IF(ISTEXT(Overig!P1171),Overig!P1171,10*Overig!P1171),""",""????0;"",""???-0;"",""????0;"", ////"""),"'","""")&amp;SUBSTITUTE(TEXT(Overig!Q1171,""",""?00;"",""?-00;"",""?00;"", //"""),"'","""")&amp;SUBSTITUTE(TEXT(Overig!R1171,""",""????0;"",""???-0;"",""????0;"", ////"""),"'","""")&amp;SUBSTITUTE(TEXT(Overig!S1171,""",""?00;"",""?-00;"",""?00;"", //"""),"'","""")&amp;SUBSTITUTE(TEXT(IF(ISTEXT(Overig!T1171),Overig!T1171,10*Overig!T1171),""",""????0;"",""???-0;"",""????0;"", ////"""),"'","""")&amp;SUBSTITUTE(TEXT(Overig!U1171,""",""?00;"",""?-00;"",""?00;"", //"""),"'","""")&amp;SUBSTITUTE(TEXT(Overig!V1171,""",""???0;"",""??-0;"",""???0;"", ///"""),"'","""")&amp;SUBSTITUTE(TEXT(Overig!W1171,""",""?00;"",""?-00;"",""?00;"", //"""),"'","""")</f>
        <v>032, 19401019, 12.00, ////, 07, ////, 07, ////, 07, ////, 07, ///, 07, ////, 07, ////, 07, ////, 07, ////, 07, ///, 07</v>
      </c>
    </row>
    <row r="1172" spans="1:1" x14ac:dyDescent="0.25">
      <c r="A1172" s="12" t="str">
        <f ca="1">TEXT(Overig!A1172,"000\,")&amp;TEXT(Overig!B1172,"?00000000")&amp;TEXT(Overig!C1172,""", ""@")&amp;SUBSTITUTE(TEXT(IF(ISTEXT(Overig!D1172),Overig!D1172,10*Overig!D1172),""",""????0;"",""???-0;"",""????0;"", ////"""),"'","""")&amp;SUBSTITUTE(TEXT(Overig!E1172,""",""?00;"",""?-00;"",""?00;"", //"""),"'","""")&amp;SUBSTITUTE(TEXT(IF(ISTEXT(Overig!F1172),Overig!F1172,10*Overig!F1172),""",""????0;"",""???-0;"",""????0;"", ////"""),"'","""")&amp;SUBSTITUTE(TEXT(Overig!G1172,""",""?00;"",""?-00;"",""?00;"", //"""),"'","""")&amp;SUBSTITUTE(TEXT(IF(ISTEXT(Overig!H1172),Overig!H1172,10*Overig!H1172),""",""????0;"",""???-0;"",""????0;"", ////"""),"'","""")&amp;SUBSTITUTE(TEXT(Overig!I1172,""",""?00;"",""?-00;"",""?00;"", //"""),"'","""")&amp;SUBSTITUTE(TEXT(IF(ISTEXT(Overig!J1172),Overig!J1172,10*Overig!J1172),""",""????0;"",""???-0;"",""????0;"", ////"""),"'","""")&amp;SUBSTITUTE(TEXT(Overig!K1172,""",""?00;"",""?-00;"",""?00;"", //"""),"'","""")&amp;SUBSTITUTE(TEXT(Overig!L1172,""",""???0;"",""??-0;"",""???0;"", ///"""),"'","""")&amp;SUBSTITUTE(TEXT(Overig!M1172,""",""?00;"",""?-00;"",""?00;"", //"""),"'","""")&amp;SUBSTITUTE(TEXT(IF(ISTEXT(Overig!N1172),Overig!N1172,10*Overig!N1172),""",""????0;"",""???-0;"",""????0;"", ////"""),"'","""")&amp;SUBSTITUTE(TEXT(Overig!O1172,""",""?00;"",""?-00;"",""?00;"", //"""),"'","""")&amp;SUBSTITUTE(TEXT(IF(ISTEXT(Overig!P1172),Overig!P1172,10*Overig!P1172),""",""????0;"",""???-0;"",""????0;"", ////"""),"'","""")&amp;SUBSTITUTE(TEXT(Overig!Q1172,""",""?00;"",""?-00;"",""?00;"", //"""),"'","""")&amp;SUBSTITUTE(TEXT(Overig!R1172,""",""????0;"",""???-0;"",""????0;"", ////"""),"'","""")&amp;SUBSTITUTE(TEXT(Overig!S1172,""",""?00;"",""?-00;"",""?00;"", //"""),"'","""")&amp;SUBSTITUTE(TEXT(IF(ISTEXT(Overig!T1172),Overig!T1172,10*Overig!T1172),""",""????0;"",""???-0;"",""????0;"", ////"""),"'","""")&amp;SUBSTITUTE(TEXT(Overig!U1172,""",""?00;"",""?-00;"",""?00;"", //"""),"'","""")&amp;SUBSTITUTE(TEXT(Overig!V1172,""",""???0;"",""??-0;"",""???0;"", ///"""),"'","""")&amp;SUBSTITUTE(TEXT(Overig!W1172,""",""?00;"",""?-00;"",""?00;"", //"""),"'","""")</f>
        <v>032, 19401019, 17.00, ////, 07, ////, 07, ////, 07, ////, 07, ///, 07, ////, 07, ////, 07, ////, 07, ////, 07, ///, 07</v>
      </c>
    </row>
    <row r="1173" spans="1:1" x14ac:dyDescent="0.25">
      <c r="A1173" s="12" t="str">
        <f ca="1">TEXT(Overig!A1173,"000\,")&amp;TEXT(Overig!B1173,"?00000000")&amp;TEXT(Overig!C1173,""", ""@")&amp;SUBSTITUTE(TEXT(IF(ISTEXT(Overig!D1173),Overig!D1173,10*Overig!D1173),""",""????0;"",""???-0;"",""????0;"", ////"""),"'","""")&amp;SUBSTITUTE(TEXT(Overig!E1173,""",""?00;"",""?-00;"",""?00;"", //"""),"'","""")&amp;SUBSTITUTE(TEXT(IF(ISTEXT(Overig!F1173),Overig!F1173,10*Overig!F1173),""",""????0;"",""???-0;"",""????0;"", ////"""),"'","""")&amp;SUBSTITUTE(TEXT(Overig!G1173,""",""?00;"",""?-00;"",""?00;"", //"""),"'","""")&amp;SUBSTITUTE(TEXT(IF(ISTEXT(Overig!H1173),Overig!H1173,10*Overig!H1173),""",""????0;"",""???-0;"",""????0;"", ////"""),"'","""")&amp;SUBSTITUTE(TEXT(Overig!I1173,""",""?00;"",""?-00;"",""?00;"", //"""),"'","""")&amp;SUBSTITUTE(TEXT(IF(ISTEXT(Overig!J1173),Overig!J1173,10*Overig!J1173),""",""????0;"",""???-0;"",""????0;"", ////"""),"'","""")&amp;SUBSTITUTE(TEXT(Overig!K1173,""",""?00;"",""?-00;"",""?00;"", //"""),"'","""")&amp;SUBSTITUTE(TEXT(Overig!L1173,""",""???0;"",""??-0;"",""???0;"", ///"""),"'","""")&amp;SUBSTITUTE(TEXT(Overig!M1173,""",""?00;"",""?-00;"",""?00;"", //"""),"'","""")&amp;SUBSTITUTE(TEXT(IF(ISTEXT(Overig!N1173),Overig!N1173,10*Overig!N1173),""",""????0;"",""???-0;"",""????0;"", ////"""),"'","""")&amp;SUBSTITUTE(TEXT(Overig!O1173,""",""?00;"",""?-00;"",""?00;"", //"""),"'","""")&amp;SUBSTITUTE(TEXT(IF(ISTEXT(Overig!P1173),Overig!P1173,10*Overig!P1173),""",""????0;"",""???-0;"",""????0;"", ////"""),"'","""")&amp;SUBSTITUTE(TEXT(Overig!Q1173,""",""?00;"",""?-00;"",""?00;"", //"""),"'","""")&amp;SUBSTITUTE(TEXT(Overig!R1173,""",""????0;"",""???-0;"",""????0;"", ////"""),"'","""")&amp;SUBSTITUTE(TEXT(Overig!S1173,""",""?00;"",""?-00;"",""?00;"", //"""),"'","""")&amp;SUBSTITUTE(TEXT(IF(ISTEXT(Overig!T1173),Overig!T1173,10*Overig!T1173),""",""????0;"",""???-0;"",""????0;"", ////"""),"'","""")&amp;SUBSTITUTE(TEXT(Overig!U1173,""",""?00;"",""?-00;"",""?00;"", //"""),"'","""")&amp;SUBSTITUTE(TEXT(Overig!V1173,""",""???0;"",""??-0;"",""???0;"", ///"""),"'","""")&amp;SUBSTITUTE(TEXT(Overig!W1173,""",""?00;"",""?-00;"",""?00;"", //"""),"'","""")</f>
        <v>032, 19401019, 24.00, ////, 07, ////, 07, ////, 07, ////, 07, ///, 07, ////, 07, ////, 07, ////, 07, ////, 07, ///, 07</v>
      </c>
    </row>
    <row r="1174" spans="1:1" x14ac:dyDescent="0.25">
      <c r="A1174" s="12" t="str">
        <f ca="1">TEXT(Overig!A1174,"000\,")&amp;TEXT(Overig!B1174,"?00000000")&amp;TEXT(Overig!C1174,""", ""@")&amp;SUBSTITUTE(TEXT(IF(ISTEXT(Overig!D1174),Overig!D1174,10*Overig!D1174),""",""????0;"",""???-0;"",""????0;"", ////"""),"'","""")&amp;SUBSTITUTE(TEXT(Overig!E1174,""",""?00;"",""?-00;"",""?00;"", //"""),"'","""")&amp;SUBSTITUTE(TEXT(IF(ISTEXT(Overig!F1174),Overig!F1174,10*Overig!F1174),""",""????0;"",""???-0;"",""????0;"", ////"""),"'","""")&amp;SUBSTITUTE(TEXT(Overig!G1174,""",""?00;"",""?-00;"",""?00;"", //"""),"'","""")&amp;SUBSTITUTE(TEXT(IF(ISTEXT(Overig!H1174),Overig!H1174,10*Overig!H1174),""",""????0;"",""???-0;"",""????0;"", ////"""),"'","""")&amp;SUBSTITUTE(TEXT(Overig!I1174,""",""?00;"",""?-00;"",""?00;"", //"""),"'","""")&amp;SUBSTITUTE(TEXT(IF(ISTEXT(Overig!J1174),Overig!J1174,10*Overig!J1174),""",""????0;"",""???-0;"",""????0;"", ////"""),"'","""")&amp;SUBSTITUTE(TEXT(Overig!K1174,""",""?00;"",""?-00;"",""?00;"", //"""),"'","""")&amp;SUBSTITUTE(TEXT(Overig!L1174,""",""???0;"",""??-0;"",""???0;"", ///"""),"'","""")&amp;SUBSTITUTE(TEXT(Overig!M1174,""",""?00;"",""?-00;"",""?00;"", //"""),"'","""")&amp;SUBSTITUTE(TEXT(IF(ISTEXT(Overig!N1174),Overig!N1174,10*Overig!N1174),""",""????0;"",""???-0;"",""????0;"", ////"""),"'","""")&amp;SUBSTITUTE(TEXT(Overig!O1174,""",""?00;"",""?-00;"",""?00;"", //"""),"'","""")&amp;SUBSTITUTE(TEXT(IF(ISTEXT(Overig!P1174),Overig!P1174,10*Overig!P1174),""",""????0;"",""???-0;"",""????0;"", ////"""),"'","""")&amp;SUBSTITUTE(TEXT(Overig!Q1174,""",""?00;"",""?-00;"",""?00;"", //"""),"'","""")&amp;SUBSTITUTE(TEXT(Overig!R1174,""",""????0;"",""???-0;"",""????0;"", ////"""),"'","""")&amp;SUBSTITUTE(TEXT(Overig!S1174,""",""?00;"",""?-00;"",""?00;"", //"""),"'","""")&amp;SUBSTITUTE(TEXT(IF(ISTEXT(Overig!T1174),Overig!T1174,10*Overig!T1174),""",""????0;"",""???-0;"",""????0;"", ////"""),"'","""")&amp;SUBSTITUTE(TEXT(Overig!U1174,""",""?00;"",""?-00;"",""?00;"", //"""),"'","""")&amp;SUBSTITUTE(TEXT(Overig!V1174,""",""???0;"",""??-0;"",""???0;"", ///"""),"'","""")&amp;SUBSTITUTE(TEXT(Overig!W1174,""",""?00;"",""?-00;"",""?00;"", //"""),"'","""")</f>
        <v>032, 19401020, 07.00, ////, 07, ////, 07, ////, 07, ////, 07, ///, 07, ////, 07, ////, 07, ////, 07, ////, 07, ///, 07</v>
      </c>
    </row>
    <row r="1175" spans="1:1" x14ac:dyDescent="0.25">
      <c r="A1175" s="12" t="str">
        <f ca="1">TEXT(Overig!A1175,"000\,")&amp;TEXT(Overig!B1175,"?00000000")&amp;TEXT(Overig!C1175,""", ""@")&amp;SUBSTITUTE(TEXT(IF(ISTEXT(Overig!D1175),Overig!D1175,10*Overig!D1175),""",""????0;"",""???-0;"",""????0;"", ////"""),"'","""")&amp;SUBSTITUTE(TEXT(Overig!E1175,""",""?00;"",""?-00;"",""?00;"", //"""),"'","""")&amp;SUBSTITUTE(TEXT(IF(ISTEXT(Overig!F1175),Overig!F1175,10*Overig!F1175),""",""????0;"",""???-0;"",""????0;"", ////"""),"'","""")&amp;SUBSTITUTE(TEXT(Overig!G1175,""",""?00;"",""?-00;"",""?00;"", //"""),"'","""")&amp;SUBSTITUTE(TEXT(IF(ISTEXT(Overig!H1175),Overig!H1175,10*Overig!H1175),""",""????0;"",""???-0;"",""????0;"", ////"""),"'","""")&amp;SUBSTITUTE(TEXT(Overig!I1175,""",""?00;"",""?-00;"",""?00;"", //"""),"'","""")&amp;SUBSTITUTE(TEXT(IF(ISTEXT(Overig!J1175),Overig!J1175,10*Overig!J1175),""",""????0;"",""???-0;"",""????0;"", ////"""),"'","""")&amp;SUBSTITUTE(TEXT(Overig!K1175,""",""?00;"",""?-00;"",""?00;"", //"""),"'","""")&amp;SUBSTITUTE(TEXT(Overig!L1175,""",""???0;"",""??-0;"",""???0;"", ///"""),"'","""")&amp;SUBSTITUTE(TEXT(Overig!M1175,""",""?00;"",""?-00;"",""?00;"", //"""),"'","""")&amp;SUBSTITUTE(TEXT(IF(ISTEXT(Overig!N1175),Overig!N1175,10*Overig!N1175),""",""????0;"",""???-0;"",""????0;"", ////"""),"'","""")&amp;SUBSTITUTE(TEXT(Overig!O1175,""",""?00;"",""?-00;"",""?00;"", //"""),"'","""")&amp;SUBSTITUTE(TEXT(IF(ISTEXT(Overig!P1175),Overig!P1175,10*Overig!P1175),""",""????0;"",""???-0;"",""????0;"", ////"""),"'","""")&amp;SUBSTITUTE(TEXT(Overig!Q1175,""",""?00;"",""?-00;"",""?00;"", //"""),"'","""")&amp;SUBSTITUTE(TEXT(Overig!R1175,""",""????0;"",""???-0;"",""????0;"", ////"""),"'","""")&amp;SUBSTITUTE(TEXT(Overig!S1175,""",""?00;"",""?-00;"",""?00;"", //"""),"'","""")&amp;SUBSTITUTE(TEXT(IF(ISTEXT(Overig!T1175),Overig!T1175,10*Overig!T1175),""",""????0;"",""???-0;"",""????0;"", ////"""),"'","""")&amp;SUBSTITUTE(TEXT(Overig!U1175,""",""?00;"",""?-00;"",""?00;"", //"""),"'","""")&amp;SUBSTITUTE(TEXT(Overig!V1175,""",""???0;"",""??-0;"",""???0;"", ///"""),"'","""")&amp;SUBSTITUTE(TEXT(Overig!W1175,""",""?00;"",""?-00;"",""?00;"", //"""),"'","""")</f>
        <v>032, 19401020, 12.00, ////, 07, ////, 07, ////, 07, ////, 07, ///, 07, ////, 07, ////, 07, ////, 07, ////, 07, ///, 07</v>
      </c>
    </row>
    <row r="1176" spans="1:1" x14ac:dyDescent="0.25">
      <c r="A1176" s="12" t="str">
        <f ca="1">TEXT(Overig!A1176,"000\,")&amp;TEXT(Overig!B1176,"?00000000")&amp;TEXT(Overig!C1176,""", ""@")&amp;SUBSTITUTE(TEXT(IF(ISTEXT(Overig!D1176),Overig!D1176,10*Overig!D1176),""",""????0;"",""???-0;"",""????0;"", ////"""),"'","""")&amp;SUBSTITUTE(TEXT(Overig!E1176,""",""?00;"",""?-00;"",""?00;"", //"""),"'","""")&amp;SUBSTITUTE(TEXT(IF(ISTEXT(Overig!F1176),Overig!F1176,10*Overig!F1176),""",""????0;"",""???-0;"",""????0;"", ////"""),"'","""")&amp;SUBSTITUTE(TEXT(Overig!G1176,""",""?00;"",""?-00;"",""?00;"", //"""),"'","""")&amp;SUBSTITUTE(TEXT(IF(ISTEXT(Overig!H1176),Overig!H1176,10*Overig!H1176),""",""????0;"",""???-0;"",""????0;"", ////"""),"'","""")&amp;SUBSTITUTE(TEXT(Overig!I1176,""",""?00;"",""?-00;"",""?00;"", //"""),"'","""")&amp;SUBSTITUTE(TEXT(IF(ISTEXT(Overig!J1176),Overig!J1176,10*Overig!J1176),""",""????0;"",""???-0;"",""????0;"", ////"""),"'","""")&amp;SUBSTITUTE(TEXT(Overig!K1176,""",""?00;"",""?-00;"",""?00;"", //"""),"'","""")&amp;SUBSTITUTE(TEXT(Overig!L1176,""",""???0;"",""??-0;"",""???0;"", ///"""),"'","""")&amp;SUBSTITUTE(TEXT(Overig!M1176,""",""?00;"",""?-00;"",""?00;"", //"""),"'","""")&amp;SUBSTITUTE(TEXT(IF(ISTEXT(Overig!N1176),Overig!N1176,10*Overig!N1176),""",""????0;"",""???-0;"",""????0;"", ////"""),"'","""")&amp;SUBSTITUTE(TEXT(Overig!O1176,""",""?00;"",""?-00;"",""?00;"", //"""),"'","""")&amp;SUBSTITUTE(TEXT(IF(ISTEXT(Overig!P1176),Overig!P1176,10*Overig!P1176),""",""????0;"",""???-0;"",""????0;"", ////"""),"'","""")&amp;SUBSTITUTE(TEXT(Overig!Q1176,""",""?00;"",""?-00;"",""?00;"", //"""),"'","""")&amp;SUBSTITUTE(TEXT(Overig!R1176,""",""????0;"",""???-0;"",""????0;"", ////"""),"'","""")&amp;SUBSTITUTE(TEXT(Overig!S1176,""",""?00;"",""?-00;"",""?00;"", //"""),"'","""")&amp;SUBSTITUTE(TEXT(IF(ISTEXT(Overig!T1176),Overig!T1176,10*Overig!T1176),""",""????0;"",""???-0;"",""????0;"", ////"""),"'","""")&amp;SUBSTITUTE(TEXT(Overig!U1176,""",""?00;"",""?-00;"",""?00;"", //"""),"'","""")&amp;SUBSTITUTE(TEXT(Overig!V1176,""",""???0;"",""??-0;"",""???0;"", ///"""),"'","""")&amp;SUBSTITUTE(TEXT(Overig!W1176,""",""?00;"",""?-00;"",""?00;"", //"""),"'","""")</f>
        <v>032, 19401020, 17.00, ////, 07, ////, 07, ////, 07, ////, 07, ///, 07, ////, 07, ////, 07, ////, 07, ////, 07, ///, 07</v>
      </c>
    </row>
    <row r="1177" spans="1:1" x14ac:dyDescent="0.25">
      <c r="A1177" s="12" t="str">
        <f ca="1">TEXT(Overig!A1177,"000\,")&amp;TEXT(Overig!B1177,"?00000000")&amp;TEXT(Overig!C1177,""", ""@")&amp;SUBSTITUTE(TEXT(IF(ISTEXT(Overig!D1177),Overig!D1177,10*Overig!D1177),""",""????0;"",""???-0;"",""????0;"", ////"""),"'","""")&amp;SUBSTITUTE(TEXT(Overig!E1177,""",""?00;"",""?-00;"",""?00;"", //"""),"'","""")&amp;SUBSTITUTE(TEXT(IF(ISTEXT(Overig!F1177),Overig!F1177,10*Overig!F1177),""",""????0;"",""???-0;"",""????0;"", ////"""),"'","""")&amp;SUBSTITUTE(TEXT(Overig!G1177,""",""?00;"",""?-00;"",""?00;"", //"""),"'","""")&amp;SUBSTITUTE(TEXT(IF(ISTEXT(Overig!H1177),Overig!H1177,10*Overig!H1177),""",""????0;"",""???-0;"",""????0;"", ////"""),"'","""")&amp;SUBSTITUTE(TEXT(Overig!I1177,""",""?00;"",""?-00;"",""?00;"", //"""),"'","""")&amp;SUBSTITUTE(TEXT(IF(ISTEXT(Overig!J1177),Overig!J1177,10*Overig!J1177),""",""????0;"",""???-0;"",""????0;"", ////"""),"'","""")&amp;SUBSTITUTE(TEXT(Overig!K1177,""",""?00;"",""?-00;"",""?00;"", //"""),"'","""")&amp;SUBSTITUTE(TEXT(Overig!L1177,""",""???0;"",""??-0;"",""???0;"", ///"""),"'","""")&amp;SUBSTITUTE(TEXT(Overig!M1177,""",""?00;"",""?-00;"",""?00;"", //"""),"'","""")&amp;SUBSTITUTE(TEXT(IF(ISTEXT(Overig!N1177),Overig!N1177,10*Overig!N1177),""",""????0;"",""???-0;"",""????0;"", ////"""),"'","""")&amp;SUBSTITUTE(TEXT(Overig!O1177,""",""?00;"",""?-00;"",""?00;"", //"""),"'","""")&amp;SUBSTITUTE(TEXT(IF(ISTEXT(Overig!P1177),Overig!P1177,10*Overig!P1177),""",""????0;"",""???-0;"",""????0;"", ////"""),"'","""")&amp;SUBSTITUTE(TEXT(Overig!Q1177,""",""?00;"",""?-00;"",""?00;"", //"""),"'","""")&amp;SUBSTITUTE(TEXT(Overig!R1177,""",""????0;"",""???-0;"",""????0;"", ////"""),"'","""")&amp;SUBSTITUTE(TEXT(Overig!S1177,""",""?00;"",""?-00;"",""?00;"", //"""),"'","""")&amp;SUBSTITUTE(TEXT(IF(ISTEXT(Overig!T1177),Overig!T1177,10*Overig!T1177),""",""????0;"",""???-0;"",""????0;"", ////"""),"'","""")&amp;SUBSTITUTE(TEXT(Overig!U1177,""",""?00;"",""?-00;"",""?00;"", //"""),"'","""")&amp;SUBSTITUTE(TEXT(Overig!V1177,""",""???0;"",""??-0;"",""???0;"", ///"""),"'","""")&amp;SUBSTITUTE(TEXT(Overig!W1177,""",""?00;"",""?-00;"",""?00;"", //"""),"'","""")</f>
        <v>032, 19401020, 24.00, ////, 07, ////, 07, ////, 07, ////, 07, ///, 07, ////, 07, ////, 07, ////, 07, ////, 07, ///, 07</v>
      </c>
    </row>
    <row r="1178" spans="1:1" x14ac:dyDescent="0.25">
      <c r="A1178" s="12" t="str">
        <f ca="1">TEXT(Overig!A1178,"000\,")&amp;TEXT(Overig!B1178,"?00000000")&amp;TEXT(Overig!C1178,""", ""@")&amp;SUBSTITUTE(TEXT(IF(ISTEXT(Overig!D1178),Overig!D1178,10*Overig!D1178),""",""????0;"",""???-0;"",""????0;"", ////"""),"'","""")&amp;SUBSTITUTE(TEXT(Overig!E1178,""",""?00;"",""?-00;"",""?00;"", //"""),"'","""")&amp;SUBSTITUTE(TEXT(IF(ISTEXT(Overig!F1178),Overig!F1178,10*Overig!F1178),""",""????0;"",""???-0;"",""????0;"", ////"""),"'","""")&amp;SUBSTITUTE(TEXT(Overig!G1178,""",""?00;"",""?-00;"",""?00;"", //"""),"'","""")&amp;SUBSTITUTE(TEXT(IF(ISTEXT(Overig!H1178),Overig!H1178,10*Overig!H1178),""",""????0;"",""???-0;"",""????0;"", ////"""),"'","""")&amp;SUBSTITUTE(TEXT(Overig!I1178,""",""?00;"",""?-00;"",""?00;"", //"""),"'","""")&amp;SUBSTITUTE(TEXT(IF(ISTEXT(Overig!J1178),Overig!J1178,10*Overig!J1178),""",""????0;"",""???-0;"",""????0;"", ////"""),"'","""")&amp;SUBSTITUTE(TEXT(Overig!K1178,""",""?00;"",""?-00;"",""?00;"", //"""),"'","""")&amp;SUBSTITUTE(TEXT(Overig!L1178,""",""???0;"",""??-0;"",""???0;"", ///"""),"'","""")&amp;SUBSTITUTE(TEXT(Overig!M1178,""",""?00;"",""?-00;"",""?00;"", //"""),"'","""")&amp;SUBSTITUTE(TEXT(IF(ISTEXT(Overig!N1178),Overig!N1178,10*Overig!N1178),""",""????0;"",""???-0;"",""????0;"", ////"""),"'","""")&amp;SUBSTITUTE(TEXT(Overig!O1178,""",""?00;"",""?-00;"",""?00;"", //"""),"'","""")&amp;SUBSTITUTE(TEXT(IF(ISTEXT(Overig!P1178),Overig!P1178,10*Overig!P1178),""",""????0;"",""???-0;"",""????0;"", ////"""),"'","""")&amp;SUBSTITUTE(TEXT(Overig!Q1178,""",""?00;"",""?-00;"",""?00;"", //"""),"'","""")&amp;SUBSTITUTE(TEXT(Overig!R1178,""",""????0;"",""???-0;"",""????0;"", ////"""),"'","""")&amp;SUBSTITUTE(TEXT(Overig!S1178,""",""?00;"",""?-00;"",""?00;"", //"""),"'","""")&amp;SUBSTITUTE(TEXT(IF(ISTEXT(Overig!T1178),Overig!T1178,10*Overig!T1178),""",""????0;"",""???-0;"",""????0;"", ////"""),"'","""")&amp;SUBSTITUTE(TEXT(Overig!U1178,""",""?00;"",""?-00;"",""?00;"", //"""),"'","""")&amp;SUBSTITUTE(TEXT(Overig!V1178,""",""???0;"",""??-0;"",""???0;"", ///"""),"'","""")&amp;SUBSTITUTE(TEXT(Overig!W1178,""",""?00;"",""?-00;"",""?00;"", //"""),"'","""")</f>
        <v>032, 19401021, 07.00, ////, 07, ////, 07, ////, 07, ////, 07, ///, 07, ////, 07, ////, 07, ////, 07, ////, 07, ///, 07</v>
      </c>
    </row>
    <row r="1179" spans="1:1" x14ac:dyDescent="0.25">
      <c r="A1179" s="12" t="str">
        <f ca="1">TEXT(Overig!A1179,"000\,")&amp;TEXT(Overig!B1179,"?00000000")&amp;TEXT(Overig!C1179,""", ""@")&amp;SUBSTITUTE(TEXT(IF(ISTEXT(Overig!D1179),Overig!D1179,10*Overig!D1179),""",""????0;"",""???-0;"",""????0;"", ////"""),"'","""")&amp;SUBSTITUTE(TEXT(Overig!E1179,""",""?00;"",""?-00;"",""?00;"", //"""),"'","""")&amp;SUBSTITUTE(TEXT(IF(ISTEXT(Overig!F1179),Overig!F1179,10*Overig!F1179),""",""????0;"",""???-0;"",""????0;"", ////"""),"'","""")&amp;SUBSTITUTE(TEXT(Overig!G1179,""",""?00;"",""?-00;"",""?00;"", //"""),"'","""")&amp;SUBSTITUTE(TEXT(IF(ISTEXT(Overig!H1179),Overig!H1179,10*Overig!H1179),""",""????0;"",""???-0;"",""????0;"", ////"""),"'","""")&amp;SUBSTITUTE(TEXT(Overig!I1179,""",""?00;"",""?-00;"",""?00;"", //"""),"'","""")&amp;SUBSTITUTE(TEXT(IF(ISTEXT(Overig!J1179),Overig!J1179,10*Overig!J1179),""",""????0;"",""???-0;"",""????0;"", ////"""),"'","""")&amp;SUBSTITUTE(TEXT(Overig!K1179,""",""?00;"",""?-00;"",""?00;"", //"""),"'","""")&amp;SUBSTITUTE(TEXT(Overig!L1179,""",""???0;"",""??-0;"",""???0;"", ///"""),"'","""")&amp;SUBSTITUTE(TEXT(Overig!M1179,""",""?00;"",""?-00;"",""?00;"", //"""),"'","""")&amp;SUBSTITUTE(TEXT(IF(ISTEXT(Overig!N1179),Overig!N1179,10*Overig!N1179),""",""????0;"",""???-0;"",""????0;"", ////"""),"'","""")&amp;SUBSTITUTE(TEXT(Overig!O1179,""",""?00;"",""?-00;"",""?00;"", //"""),"'","""")&amp;SUBSTITUTE(TEXT(IF(ISTEXT(Overig!P1179),Overig!P1179,10*Overig!P1179),""",""????0;"",""???-0;"",""????0;"", ////"""),"'","""")&amp;SUBSTITUTE(TEXT(Overig!Q1179,""",""?00;"",""?-00;"",""?00;"", //"""),"'","""")&amp;SUBSTITUTE(TEXT(Overig!R1179,""",""????0;"",""???-0;"",""????0;"", ////"""),"'","""")&amp;SUBSTITUTE(TEXT(Overig!S1179,""",""?00;"",""?-00;"",""?00;"", //"""),"'","""")&amp;SUBSTITUTE(TEXT(IF(ISTEXT(Overig!T1179),Overig!T1179,10*Overig!T1179),""",""????0;"",""???-0;"",""????0;"", ////"""),"'","""")&amp;SUBSTITUTE(TEXT(Overig!U1179,""",""?00;"",""?-00;"",""?00;"", //"""),"'","""")&amp;SUBSTITUTE(TEXT(Overig!V1179,""",""???0;"",""??-0;"",""???0;"", ///"""),"'","""")&amp;SUBSTITUTE(TEXT(Overig!W1179,""",""?00;"",""?-00;"",""?00;"", //"""),"'","""")</f>
        <v>032, 19401021, 12.00, ////, 07, ////, 07, ////, 07, ////, 07, ///, 07, ////, 07, ////, 07, ////, 07, ////, 07, ///, 07</v>
      </c>
    </row>
    <row r="1180" spans="1:1" x14ac:dyDescent="0.25">
      <c r="A1180" s="12" t="str">
        <f ca="1">TEXT(Overig!A1180,"000\,")&amp;TEXT(Overig!B1180,"?00000000")&amp;TEXT(Overig!C1180,""", ""@")&amp;SUBSTITUTE(TEXT(IF(ISTEXT(Overig!D1180),Overig!D1180,10*Overig!D1180),""",""????0;"",""???-0;"",""????0;"", ////"""),"'","""")&amp;SUBSTITUTE(TEXT(Overig!E1180,""",""?00;"",""?-00;"",""?00;"", //"""),"'","""")&amp;SUBSTITUTE(TEXT(IF(ISTEXT(Overig!F1180),Overig!F1180,10*Overig!F1180),""",""????0;"",""???-0;"",""????0;"", ////"""),"'","""")&amp;SUBSTITUTE(TEXT(Overig!G1180,""",""?00;"",""?-00;"",""?00;"", //"""),"'","""")&amp;SUBSTITUTE(TEXT(IF(ISTEXT(Overig!H1180),Overig!H1180,10*Overig!H1180),""",""????0;"",""???-0;"",""????0;"", ////"""),"'","""")&amp;SUBSTITUTE(TEXT(Overig!I1180,""",""?00;"",""?-00;"",""?00;"", //"""),"'","""")&amp;SUBSTITUTE(TEXT(IF(ISTEXT(Overig!J1180),Overig!J1180,10*Overig!J1180),""",""????0;"",""???-0;"",""????0;"", ////"""),"'","""")&amp;SUBSTITUTE(TEXT(Overig!K1180,""",""?00;"",""?-00;"",""?00;"", //"""),"'","""")&amp;SUBSTITUTE(TEXT(Overig!L1180,""",""???0;"",""??-0;"",""???0;"", ///"""),"'","""")&amp;SUBSTITUTE(TEXT(Overig!M1180,""",""?00;"",""?-00;"",""?00;"", //"""),"'","""")&amp;SUBSTITUTE(TEXT(IF(ISTEXT(Overig!N1180),Overig!N1180,10*Overig!N1180),""",""????0;"",""???-0;"",""????0;"", ////"""),"'","""")&amp;SUBSTITUTE(TEXT(Overig!O1180,""",""?00;"",""?-00;"",""?00;"", //"""),"'","""")&amp;SUBSTITUTE(TEXT(IF(ISTEXT(Overig!P1180),Overig!P1180,10*Overig!P1180),""",""????0;"",""???-0;"",""????0;"", ////"""),"'","""")&amp;SUBSTITUTE(TEXT(Overig!Q1180,""",""?00;"",""?-00;"",""?00;"", //"""),"'","""")&amp;SUBSTITUTE(TEXT(Overig!R1180,""",""????0;"",""???-0;"",""????0;"", ////"""),"'","""")&amp;SUBSTITUTE(TEXT(Overig!S1180,""",""?00;"",""?-00;"",""?00;"", //"""),"'","""")&amp;SUBSTITUTE(TEXT(IF(ISTEXT(Overig!T1180),Overig!T1180,10*Overig!T1180),""",""????0;"",""???-0;"",""????0;"", ////"""),"'","""")&amp;SUBSTITUTE(TEXT(Overig!U1180,""",""?00;"",""?-00;"",""?00;"", //"""),"'","""")&amp;SUBSTITUTE(TEXT(Overig!V1180,""",""???0;"",""??-0;"",""???0;"", ///"""),"'","""")&amp;SUBSTITUTE(TEXT(Overig!W1180,""",""?00;"",""?-00;"",""?00;"", //"""),"'","""")</f>
        <v>032, 19401021, 17.00, ////, 07, ////, 07, ////, 07, ////, 07, ///, 07, ////, 07, ////, 07, ////, 07, ////, 07, ///, 07</v>
      </c>
    </row>
    <row r="1181" spans="1:1" x14ac:dyDescent="0.25">
      <c r="A1181" s="12" t="str">
        <f ca="1">TEXT(Overig!A1181,"000\,")&amp;TEXT(Overig!B1181,"?00000000")&amp;TEXT(Overig!C1181,""", ""@")&amp;SUBSTITUTE(TEXT(IF(ISTEXT(Overig!D1181),Overig!D1181,10*Overig!D1181),""",""????0;"",""???-0;"",""????0;"", ////"""),"'","""")&amp;SUBSTITUTE(TEXT(Overig!E1181,""",""?00;"",""?-00;"",""?00;"", //"""),"'","""")&amp;SUBSTITUTE(TEXT(IF(ISTEXT(Overig!F1181),Overig!F1181,10*Overig!F1181),""",""????0;"",""???-0;"",""????0;"", ////"""),"'","""")&amp;SUBSTITUTE(TEXT(Overig!G1181,""",""?00;"",""?-00;"",""?00;"", //"""),"'","""")&amp;SUBSTITUTE(TEXT(IF(ISTEXT(Overig!H1181),Overig!H1181,10*Overig!H1181),""",""????0;"",""???-0;"",""????0;"", ////"""),"'","""")&amp;SUBSTITUTE(TEXT(Overig!I1181,""",""?00;"",""?-00;"",""?00;"", //"""),"'","""")&amp;SUBSTITUTE(TEXT(IF(ISTEXT(Overig!J1181),Overig!J1181,10*Overig!J1181),""",""????0;"",""???-0;"",""????0;"", ////"""),"'","""")&amp;SUBSTITUTE(TEXT(Overig!K1181,""",""?00;"",""?-00;"",""?00;"", //"""),"'","""")&amp;SUBSTITUTE(TEXT(Overig!L1181,""",""???0;"",""??-0;"",""???0;"", ///"""),"'","""")&amp;SUBSTITUTE(TEXT(Overig!M1181,""",""?00;"",""?-00;"",""?00;"", //"""),"'","""")&amp;SUBSTITUTE(TEXT(IF(ISTEXT(Overig!N1181),Overig!N1181,10*Overig!N1181),""",""????0;"",""???-0;"",""????0;"", ////"""),"'","""")&amp;SUBSTITUTE(TEXT(Overig!O1181,""",""?00;"",""?-00;"",""?00;"", //"""),"'","""")&amp;SUBSTITUTE(TEXT(IF(ISTEXT(Overig!P1181),Overig!P1181,10*Overig!P1181),""",""????0;"",""???-0;"",""????0;"", ////"""),"'","""")&amp;SUBSTITUTE(TEXT(Overig!Q1181,""",""?00;"",""?-00;"",""?00;"", //"""),"'","""")&amp;SUBSTITUTE(TEXT(Overig!R1181,""",""????0;"",""???-0;"",""????0;"", ////"""),"'","""")&amp;SUBSTITUTE(TEXT(Overig!S1181,""",""?00;"",""?-00;"",""?00;"", //"""),"'","""")&amp;SUBSTITUTE(TEXT(IF(ISTEXT(Overig!T1181),Overig!T1181,10*Overig!T1181),""",""????0;"",""???-0;"",""????0;"", ////"""),"'","""")&amp;SUBSTITUTE(TEXT(Overig!U1181,""",""?00;"",""?-00;"",""?00;"", //"""),"'","""")&amp;SUBSTITUTE(TEXT(Overig!V1181,""",""???0;"",""??-0;"",""???0;"", ///"""),"'","""")&amp;SUBSTITUTE(TEXT(Overig!W1181,""",""?00;"",""?-00;"",""?00;"", //"""),"'","""")</f>
        <v>032, 19401021, 24.00, ////, 07, ////, 07, ////, 07, ////, 07, ///, 07, ////, 07, ////, 07, ////, 07, ////, 07, ///, 07</v>
      </c>
    </row>
    <row r="1182" spans="1:1" x14ac:dyDescent="0.25">
      <c r="A1182" s="12" t="str">
        <f ca="1">TEXT(Overig!A1182,"000\,")&amp;TEXT(Overig!B1182,"?00000000")&amp;TEXT(Overig!C1182,""", ""@")&amp;SUBSTITUTE(TEXT(IF(ISTEXT(Overig!D1182),Overig!D1182,10*Overig!D1182),""",""????0;"",""???-0;"",""????0;"", ////"""),"'","""")&amp;SUBSTITUTE(TEXT(Overig!E1182,""",""?00;"",""?-00;"",""?00;"", //"""),"'","""")&amp;SUBSTITUTE(TEXT(IF(ISTEXT(Overig!F1182),Overig!F1182,10*Overig!F1182),""",""????0;"",""???-0;"",""????0;"", ////"""),"'","""")&amp;SUBSTITUTE(TEXT(Overig!G1182,""",""?00;"",""?-00;"",""?00;"", //"""),"'","""")&amp;SUBSTITUTE(TEXT(IF(ISTEXT(Overig!H1182),Overig!H1182,10*Overig!H1182),""",""????0;"",""???-0;"",""????0;"", ////"""),"'","""")&amp;SUBSTITUTE(TEXT(Overig!I1182,""",""?00;"",""?-00;"",""?00;"", //"""),"'","""")&amp;SUBSTITUTE(TEXT(IF(ISTEXT(Overig!J1182),Overig!J1182,10*Overig!J1182),""",""????0;"",""???-0;"",""????0;"", ////"""),"'","""")&amp;SUBSTITUTE(TEXT(Overig!K1182,""",""?00;"",""?-00;"",""?00;"", //"""),"'","""")&amp;SUBSTITUTE(TEXT(Overig!L1182,""",""???0;"",""??-0;"",""???0;"", ///"""),"'","""")&amp;SUBSTITUTE(TEXT(Overig!M1182,""",""?00;"",""?-00;"",""?00;"", //"""),"'","""")&amp;SUBSTITUTE(TEXT(IF(ISTEXT(Overig!N1182),Overig!N1182,10*Overig!N1182),""",""????0;"",""???-0;"",""????0;"", ////"""),"'","""")&amp;SUBSTITUTE(TEXT(Overig!O1182,""",""?00;"",""?-00;"",""?00;"", //"""),"'","""")&amp;SUBSTITUTE(TEXT(IF(ISTEXT(Overig!P1182),Overig!P1182,10*Overig!P1182),""",""????0;"",""???-0;"",""????0;"", ////"""),"'","""")&amp;SUBSTITUTE(TEXT(Overig!Q1182,""",""?00;"",""?-00;"",""?00;"", //"""),"'","""")&amp;SUBSTITUTE(TEXT(Overig!R1182,""",""????0;"",""???-0;"",""????0;"", ////"""),"'","""")&amp;SUBSTITUTE(TEXT(Overig!S1182,""",""?00;"",""?-00;"",""?00;"", //"""),"'","""")&amp;SUBSTITUTE(TEXT(IF(ISTEXT(Overig!T1182),Overig!T1182,10*Overig!T1182),""",""????0;"",""???-0;"",""????0;"", ////"""),"'","""")&amp;SUBSTITUTE(TEXT(Overig!U1182,""",""?00;"",""?-00;"",""?00;"", //"""),"'","""")&amp;SUBSTITUTE(TEXT(Overig!V1182,""",""???0;"",""??-0;"",""???0;"", ///"""),"'","""")&amp;SUBSTITUTE(TEXT(Overig!W1182,""",""?00;"",""?-00;"",""?00;"", //"""),"'","""")</f>
        <v>032, 19401022, 07.00, ////, 07, ////, 07, ////, 07, ////, 07, ///, 07, ////, 07, ////, 07, ////, 07, ////, 07, ///, 07</v>
      </c>
    </row>
    <row r="1183" spans="1:1" x14ac:dyDescent="0.25">
      <c r="A1183" s="12" t="str">
        <f ca="1">TEXT(Overig!A1183,"000\,")&amp;TEXT(Overig!B1183,"?00000000")&amp;TEXT(Overig!C1183,""", ""@")&amp;SUBSTITUTE(TEXT(IF(ISTEXT(Overig!D1183),Overig!D1183,10*Overig!D1183),""",""????0;"",""???-0;"",""????0;"", ////"""),"'","""")&amp;SUBSTITUTE(TEXT(Overig!E1183,""",""?00;"",""?-00;"",""?00;"", //"""),"'","""")&amp;SUBSTITUTE(TEXT(IF(ISTEXT(Overig!F1183),Overig!F1183,10*Overig!F1183),""",""????0;"",""???-0;"",""????0;"", ////"""),"'","""")&amp;SUBSTITUTE(TEXT(Overig!G1183,""",""?00;"",""?-00;"",""?00;"", //"""),"'","""")&amp;SUBSTITUTE(TEXT(IF(ISTEXT(Overig!H1183),Overig!H1183,10*Overig!H1183),""",""????0;"",""???-0;"",""????0;"", ////"""),"'","""")&amp;SUBSTITUTE(TEXT(Overig!I1183,""",""?00;"",""?-00;"",""?00;"", //"""),"'","""")&amp;SUBSTITUTE(TEXT(IF(ISTEXT(Overig!J1183),Overig!J1183,10*Overig!J1183),""",""????0;"",""???-0;"",""????0;"", ////"""),"'","""")&amp;SUBSTITUTE(TEXT(Overig!K1183,""",""?00;"",""?-00;"",""?00;"", //"""),"'","""")&amp;SUBSTITUTE(TEXT(Overig!L1183,""",""???0;"",""??-0;"",""???0;"", ///"""),"'","""")&amp;SUBSTITUTE(TEXT(Overig!M1183,""",""?00;"",""?-00;"",""?00;"", //"""),"'","""")&amp;SUBSTITUTE(TEXT(IF(ISTEXT(Overig!N1183),Overig!N1183,10*Overig!N1183),""",""????0;"",""???-0;"",""????0;"", ////"""),"'","""")&amp;SUBSTITUTE(TEXT(Overig!O1183,""",""?00;"",""?-00;"",""?00;"", //"""),"'","""")&amp;SUBSTITUTE(TEXT(IF(ISTEXT(Overig!P1183),Overig!P1183,10*Overig!P1183),""",""????0;"",""???-0;"",""????0;"", ////"""),"'","""")&amp;SUBSTITUTE(TEXT(Overig!Q1183,""",""?00;"",""?-00;"",""?00;"", //"""),"'","""")&amp;SUBSTITUTE(TEXT(Overig!R1183,""",""????0;"",""???-0;"",""????0;"", ////"""),"'","""")&amp;SUBSTITUTE(TEXT(Overig!S1183,""",""?00;"",""?-00;"",""?00;"", //"""),"'","""")&amp;SUBSTITUTE(TEXT(IF(ISTEXT(Overig!T1183),Overig!T1183,10*Overig!T1183),""",""????0;"",""???-0;"",""????0;"", ////"""),"'","""")&amp;SUBSTITUTE(TEXT(Overig!U1183,""",""?00;"",""?-00;"",""?00;"", //"""),"'","""")&amp;SUBSTITUTE(TEXT(Overig!V1183,""",""???0;"",""??-0;"",""???0;"", ///"""),"'","""")&amp;SUBSTITUTE(TEXT(Overig!W1183,""",""?00;"",""?-00;"",""?00;"", //"""),"'","""")</f>
        <v>032, 19401022, 12.00, ////, 07, ////, 07, ////, 07, ////, 07, ///, 07, ////, 07, ////, 07, ////, 07, ////, 07, ///, 07</v>
      </c>
    </row>
    <row r="1184" spans="1:1" x14ac:dyDescent="0.25">
      <c r="A1184" s="12" t="str">
        <f ca="1">TEXT(Overig!A1184,"000\,")&amp;TEXT(Overig!B1184,"?00000000")&amp;TEXT(Overig!C1184,""", ""@")&amp;SUBSTITUTE(TEXT(IF(ISTEXT(Overig!D1184),Overig!D1184,10*Overig!D1184),""",""????0;"",""???-0;"",""????0;"", ////"""),"'","""")&amp;SUBSTITUTE(TEXT(Overig!E1184,""",""?00;"",""?-00;"",""?00;"", //"""),"'","""")&amp;SUBSTITUTE(TEXT(IF(ISTEXT(Overig!F1184),Overig!F1184,10*Overig!F1184),""",""????0;"",""???-0;"",""????0;"", ////"""),"'","""")&amp;SUBSTITUTE(TEXT(Overig!G1184,""",""?00;"",""?-00;"",""?00;"", //"""),"'","""")&amp;SUBSTITUTE(TEXT(IF(ISTEXT(Overig!H1184),Overig!H1184,10*Overig!H1184),""",""????0;"",""???-0;"",""????0;"", ////"""),"'","""")&amp;SUBSTITUTE(TEXT(Overig!I1184,""",""?00;"",""?-00;"",""?00;"", //"""),"'","""")&amp;SUBSTITUTE(TEXT(IF(ISTEXT(Overig!J1184),Overig!J1184,10*Overig!J1184),""",""????0;"",""???-0;"",""????0;"", ////"""),"'","""")&amp;SUBSTITUTE(TEXT(Overig!K1184,""",""?00;"",""?-00;"",""?00;"", //"""),"'","""")&amp;SUBSTITUTE(TEXT(Overig!L1184,""",""???0;"",""??-0;"",""???0;"", ///"""),"'","""")&amp;SUBSTITUTE(TEXT(Overig!M1184,""",""?00;"",""?-00;"",""?00;"", //"""),"'","""")&amp;SUBSTITUTE(TEXT(IF(ISTEXT(Overig!N1184),Overig!N1184,10*Overig!N1184),""",""????0;"",""???-0;"",""????0;"", ////"""),"'","""")&amp;SUBSTITUTE(TEXT(Overig!O1184,""",""?00;"",""?-00;"",""?00;"", //"""),"'","""")&amp;SUBSTITUTE(TEXT(IF(ISTEXT(Overig!P1184),Overig!P1184,10*Overig!P1184),""",""????0;"",""???-0;"",""????0;"", ////"""),"'","""")&amp;SUBSTITUTE(TEXT(Overig!Q1184,""",""?00;"",""?-00;"",""?00;"", //"""),"'","""")&amp;SUBSTITUTE(TEXT(Overig!R1184,""",""????0;"",""???-0;"",""????0;"", ////"""),"'","""")&amp;SUBSTITUTE(TEXT(Overig!S1184,""",""?00;"",""?-00;"",""?00;"", //"""),"'","""")&amp;SUBSTITUTE(TEXT(IF(ISTEXT(Overig!T1184),Overig!T1184,10*Overig!T1184),""",""????0;"",""???-0;"",""????0;"", ////"""),"'","""")&amp;SUBSTITUTE(TEXT(Overig!U1184,""",""?00;"",""?-00;"",""?00;"", //"""),"'","""")&amp;SUBSTITUTE(TEXT(Overig!V1184,""",""???0;"",""??-0;"",""???0;"", ///"""),"'","""")&amp;SUBSTITUTE(TEXT(Overig!W1184,""",""?00;"",""?-00;"",""?00;"", //"""),"'","""")</f>
        <v>032, 19401022, 17.00, ////, 07, ////, 07, ////, 07, ////, 07, ///, 07, ////, 07, ////, 07, ////, 07, ////, 07, ///, 07</v>
      </c>
    </row>
    <row r="1185" spans="1:1" x14ac:dyDescent="0.25">
      <c r="A1185" s="12" t="str">
        <f ca="1">TEXT(Overig!A1185,"000\,")&amp;TEXT(Overig!B1185,"?00000000")&amp;TEXT(Overig!C1185,""", ""@")&amp;SUBSTITUTE(TEXT(IF(ISTEXT(Overig!D1185),Overig!D1185,10*Overig!D1185),""",""????0;"",""???-0;"",""????0;"", ////"""),"'","""")&amp;SUBSTITUTE(TEXT(Overig!E1185,""",""?00;"",""?-00;"",""?00;"", //"""),"'","""")&amp;SUBSTITUTE(TEXT(IF(ISTEXT(Overig!F1185),Overig!F1185,10*Overig!F1185),""",""????0;"",""???-0;"",""????0;"", ////"""),"'","""")&amp;SUBSTITUTE(TEXT(Overig!G1185,""",""?00;"",""?-00;"",""?00;"", //"""),"'","""")&amp;SUBSTITUTE(TEXT(IF(ISTEXT(Overig!H1185),Overig!H1185,10*Overig!H1185),""",""????0;"",""???-0;"",""????0;"", ////"""),"'","""")&amp;SUBSTITUTE(TEXT(Overig!I1185,""",""?00;"",""?-00;"",""?00;"", //"""),"'","""")&amp;SUBSTITUTE(TEXT(IF(ISTEXT(Overig!J1185),Overig!J1185,10*Overig!J1185),""",""????0;"",""???-0;"",""????0;"", ////"""),"'","""")&amp;SUBSTITUTE(TEXT(Overig!K1185,""",""?00;"",""?-00;"",""?00;"", //"""),"'","""")&amp;SUBSTITUTE(TEXT(Overig!L1185,""",""???0;"",""??-0;"",""???0;"", ///"""),"'","""")&amp;SUBSTITUTE(TEXT(Overig!M1185,""",""?00;"",""?-00;"",""?00;"", //"""),"'","""")&amp;SUBSTITUTE(TEXT(IF(ISTEXT(Overig!N1185),Overig!N1185,10*Overig!N1185),""",""????0;"",""???-0;"",""????0;"", ////"""),"'","""")&amp;SUBSTITUTE(TEXT(Overig!O1185,""",""?00;"",""?-00;"",""?00;"", //"""),"'","""")&amp;SUBSTITUTE(TEXT(IF(ISTEXT(Overig!P1185),Overig!P1185,10*Overig!P1185),""",""????0;"",""???-0;"",""????0;"", ////"""),"'","""")&amp;SUBSTITUTE(TEXT(Overig!Q1185,""",""?00;"",""?-00;"",""?00;"", //"""),"'","""")&amp;SUBSTITUTE(TEXT(Overig!R1185,""",""????0;"",""???-0;"",""????0;"", ////"""),"'","""")&amp;SUBSTITUTE(TEXT(Overig!S1185,""",""?00;"",""?-00;"",""?00;"", //"""),"'","""")&amp;SUBSTITUTE(TEXT(IF(ISTEXT(Overig!T1185),Overig!T1185,10*Overig!T1185),""",""????0;"",""???-0;"",""????0;"", ////"""),"'","""")&amp;SUBSTITUTE(TEXT(Overig!U1185,""",""?00;"",""?-00;"",""?00;"", //"""),"'","""")&amp;SUBSTITUTE(TEXT(Overig!V1185,""",""???0;"",""??-0;"",""???0;"", ///"""),"'","""")&amp;SUBSTITUTE(TEXT(Overig!W1185,""",""?00;"",""?-00;"",""?00;"", //"""),"'","""")</f>
        <v>032, 19401022, 24.00, ////, 07, ////, 07, ////, 07, ////, 07, ///, 07, ////, 07, ////, 07, ////, 07, ////, 07, ///, 07</v>
      </c>
    </row>
    <row r="1186" spans="1:1" x14ac:dyDescent="0.25">
      <c r="A1186" s="12" t="str">
        <f ca="1">TEXT(Overig!A1186,"000\,")&amp;TEXT(Overig!B1186,"?00000000")&amp;TEXT(Overig!C1186,""", ""@")&amp;SUBSTITUTE(TEXT(IF(ISTEXT(Overig!D1186),Overig!D1186,10*Overig!D1186),""",""????0;"",""???-0;"",""????0;"", ////"""),"'","""")&amp;SUBSTITUTE(TEXT(Overig!E1186,""",""?00;"",""?-00;"",""?00;"", //"""),"'","""")&amp;SUBSTITUTE(TEXT(IF(ISTEXT(Overig!F1186),Overig!F1186,10*Overig!F1186),""",""????0;"",""???-0;"",""????0;"", ////"""),"'","""")&amp;SUBSTITUTE(TEXT(Overig!G1186,""",""?00;"",""?-00;"",""?00;"", //"""),"'","""")&amp;SUBSTITUTE(TEXT(IF(ISTEXT(Overig!H1186),Overig!H1186,10*Overig!H1186),""",""????0;"",""???-0;"",""????0;"", ////"""),"'","""")&amp;SUBSTITUTE(TEXT(Overig!I1186,""",""?00;"",""?-00;"",""?00;"", //"""),"'","""")&amp;SUBSTITUTE(TEXT(IF(ISTEXT(Overig!J1186),Overig!J1186,10*Overig!J1186),""",""????0;"",""???-0;"",""????0;"", ////"""),"'","""")&amp;SUBSTITUTE(TEXT(Overig!K1186,""",""?00;"",""?-00;"",""?00;"", //"""),"'","""")&amp;SUBSTITUTE(TEXT(Overig!L1186,""",""???0;"",""??-0;"",""???0;"", ///"""),"'","""")&amp;SUBSTITUTE(TEXT(Overig!M1186,""",""?00;"",""?-00;"",""?00;"", //"""),"'","""")&amp;SUBSTITUTE(TEXT(IF(ISTEXT(Overig!N1186),Overig!N1186,10*Overig!N1186),""",""????0;"",""???-0;"",""????0;"", ////"""),"'","""")&amp;SUBSTITUTE(TEXT(Overig!O1186,""",""?00;"",""?-00;"",""?00;"", //"""),"'","""")&amp;SUBSTITUTE(TEXT(IF(ISTEXT(Overig!P1186),Overig!P1186,10*Overig!P1186),""",""????0;"",""???-0;"",""????0;"", ////"""),"'","""")&amp;SUBSTITUTE(TEXT(Overig!Q1186,""",""?00;"",""?-00;"",""?00;"", //"""),"'","""")&amp;SUBSTITUTE(TEXT(Overig!R1186,""",""????0;"",""???-0;"",""????0;"", ////"""),"'","""")&amp;SUBSTITUTE(TEXT(Overig!S1186,""",""?00;"",""?-00;"",""?00;"", //"""),"'","""")&amp;SUBSTITUTE(TEXT(IF(ISTEXT(Overig!T1186),Overig!T1186,10*Overig!T1186),""",""????0;"",""???-0;"",""????0;"", ////"""),"'","""")&amp;SUBSTITUTE(TEXT(Overig!U1186,""",""?00;"",""?-00;"",""?00;"", //"""),"'","""")&amp;SUBSTITUTE(TEXT(Overig!V1186,""",""???0;"",""??-0;"",""???0;"", ///"""),"'","""")&amp;SUBSTITUTE(TEXT(Overig!W1186,""",""?00;"",""?-00;"",""?00;"", //"""),"'","""")</f>
        <v>032, 19401023, 07.00, ////, 07, ////, 07, ////, 07, ////, 07, ///, 07, ////, 07, ////, 07, ////, 07, ////, 07, ///, 07</v>
      </c>
    </row>
    <row r="1187" spans="1:1" x14ac:dyDescent="0.25">
      <c r="A1187" s="12" t="str">
        <f ca="1">TEXT(Overig!A1187,"000\,")&amp;TEXT(Overig!B1187,"?00000000")&amp;TEXT(Overig!C1187,""", ""@")&amp;SUBSTITUTE(TEXT(IF(ISTEXT(Overig!D1187),Overig!D1187,10*Overig!D1187),""",""????0;"",""???-0;"",""????0;"", ////"""),"'","""")&amp;SUBSTITUTE(TEXT(Overig!E1187,""",""?00;"",""?-00;"",""?00;"", //"""),"'","""")&amp;SUBSTITUTE(TEXT(IF(ISTEXT(Overig!F1187),Overig!F1187,10*Overig!F1187),""",""????0;"",""???-0;"",""????0;"", ////"""),"'","""")&amp;SUBSTITUTE(TEXT(Overig!G1187,""",""?00;"",""?-00;"",""?00;"", //"""),"'","""")&amp;SUBSTITUTE(TEXT(IF(ISTEXT(Overig!H1187),Overig!H1187,10*Overig!H1187),""",""????0;"",""???-0;"",""????0;"", ////"""),"'","""")&amp;SUBSTITUTE(TEXT(Overig!I1187,""",""?00;"",""?-00;"",""?00;"", //"""),"'","""")&amp;SUBSTITUTE(TEXT(IF(ISTEXT(Overig!J1187),Overig!J1187,10*Overig!J1187),""",""????0;"",""???-0;"",""????0;"", ////"""),"'","""")&amp;SUBSTITUTE(TEXT(Overig!K1187,""",""?00;"",""?-00;"",""?00;"", //"""),"'","""")&amp;SUBSTITUTE(TEXT(Overig!L1187,""",""???0;"",""??-0;"",""???0;"", ///"""),"'","""")&amp;SUBSTITUTE(TEXT(Overig!M1187,""",""?00;"",""?-00;"",""?00;"", //"""),"'","""")&amp;SUBSTITUTE(TEXT(IF(ISTEXT(Overig!N1187),Overig!N1187,10*Overig!N1187),""",""????0;"",""???-0;"",""????0;"", ////"""),"'","""")&amp;SUBSTITUTE(TEXT(Overig!O1187,""",""?00;"",""?-00;"",""?00;"", //"""),"'","""")&amp;SUBSTITUTE(TEXT(IF(ISTEXT(Overig!P1187),Overig!P1187,10*Overig!P1187),""",""????0;"",""???-0;"",""????0;"", ////"""),"'","""")&amp;SUBSTITUTE(TEXT(Overig!Q1187,""",""?00;"",""?-00;"",""?00;"", //"""),"'","""")&amp;SUBSTITUTE(TEXT(Overig!R1187,""",""????0;"",""???-0;"",""????0;"", ////"""),"'","""")&amp;SUBSTITUTE(TEXT(Overig!S1187,""",""?00;"",""?-00;"",""?00;"", //"""),"'","""")&amp;SUBSTITUTE(TEXT(IF(ISTEXT(Overig!T1187),Overig!T1187,10*Overig!T1187),""",""????0;"",""???-0;"",""????0;"", ////"""),"'","""")&amp;SUBSTITUTE(TEXT(Overig!U1187,""",""?00;"",""?-00;"",""?00;"", //"""),"'","""")&amp;SUBSTITUTE(TEXT(Overig!V1187,""",""???0;"",""??-0;"",""???0;"", ///"""),"'","""")&amp;SUBSTITUTE(TEXT(Overig!W1187,""",""?00;"",""?-00;"",""?00;"", //"""),"'","""")</f>
        <v>032, 19401023, 12.00, ////, 07, ////, 07, ////, 07, ////, 07, ///, 07, ////, 07, ////, 07, ////, 07, ////, 07, ///, 07</v>
      </c>
    </row>
    <row r="1188" spans="1:1" x14ac:dyDescent="0.25">
      <c r="A1188" s="12" t="str">
        <f ca="1">TEXT(Overig!A1188,"000\,")&amp;TEXT(Overig!B1188,"?00000000")&amp;TEXT(Overig!C1188,""", ""@")&amp;SUBSTITUTE(TEXT(IF(ISTEXT(Overig!D1188),Overig!D1188,10*Overig!D1188),""",""????0;"",""???-0;"",""????0;"", ////"""),"'","""")&amp;SUBSTITUTE(TEXT(Overig!E1188,""",""?00;"",""?-00;"",""?00;"", //"""),"'","""")&amp;SUBSTITUTE(TEXT(IF(ISTEXT(Overig!F1188),Overig!F1188,10*Overig!F1188),""",""????0;"",""???-0;"",""????0;"", ////"""),"'","""")&amp;SUBSTITUTE(TEXT(Overig!G1188,""",""?00;"",""?-00;"",""?00;"", //"""),"'","""")&amp;SUBSTITUTE(TEXT(IF(ISTEXT(Overig!H1188),Overig!H1188,10*Overig!H1188),""",""????0;"",""???-0;"",""????0;"", ////"""),"'","""")&amp;SUBSTITUTE(TEXT(Overig!I1188,""",""?00;"",""?-00;"",""?00;"", //"""),"'","""")&amp;SUBSTITUTE(TEXT(IF(ISTEXT(Overig!J1188),Overig!J1188,10*Overig!J1188),""",""????0;"",""???-0;"",""????0;"", ////"""),"'","""")&amp;SUBSTITUTE(TEXT(Overig!K1188,""",""?00;"",""?-00;"",""?00;"", //"""),"'","""")&amp;SUBSTITUTE(TEXT(Overig!L1188,""",""???0;"",""??-0;"",""???0;"", ///"""),"'","""")&amp;SUBSTITUTE(TEXT(Overig!M1188,""",""?00;"",""?-00;"",""?00;"", //"""),"'","""")&amp;SUBSTITUTE(TEXT(IF(ISTEXT(Overig!N1188),Overig!N1188,10*Overig!N1188),""",""????0;"",""???-0;"",""????0;"", ////"""),"'","""")&amp;SUBSTITUTE(TEXT(Overig!O1188,""",""?00;"",""?-00;"",""?00;"", //"""),"'","""")&amp;SUBSTITUTE(TEXT(IF(ISTEXT(Overig!P1188),Overig!P1188,10*Overig!P1188),""",""????0;"",""???-0;"",""????0;"", ////"""),"'","""")&amp;SUBSTITUTE(TEXT(Overig!Q1188,""",""?00;"",""?-00;"",""?00;"", //"""),"'","""")&amp;SUBSTITUTE(TEXT(Overig!R1188,""",""????0;"",""???-0;"",""????0;"", ////"""),"'","""")&amp;SUBSTITUTE(TEXT(Overig!S1188,""",""?00;"",""?-00;"",""?00;"", //"""),"'","""")&amp;SUBSTITUTE(TEXT(IF(ISTEXT(Overig!T1188),Overig!T1188,10*Overig!T1188),""",""????0;"",""???-0;"",""????0;"", ////"""),"'","""")&amp;SUBSTITUTE(TEXT(Overig!U1188,""",""?00;"",""?-00;"",""?00;"", //"""),"'","""")&amp;SUBSTITUTE(TEXT(Overig!V1188,""",""???0;"",""??-0;"",""???0;"", ///"""),"'","""")&amp;SUBSTITUTE(TEXT(Overig!W1188,""",""?00;"",""?-00;"",""?00;"", //"""),"'","""")</f>
        <v>032, 19401023, 17.00, ////, 07, ////, 07, ////, 07, ////, 07, ///, 07, ////, 07, ////, 07, ////, 07, ////, 07, ///, 07</v>
      </c>
    </row>
    <row r="1189" spans="1:1" x14ac:dyDescent="0.25">
      <c r="A1189" s="12" t="str">
        <f ca="1">TEXT(Overig!A1189,"000\,")&amp;TEXT(Overig!B1189,"?00000000")&amp;TEXT(Overig!C1189,""", ""@")&amp;SUBSTITUTE(TEXT(IF(ISTEXT(Overig!D1189),Overig!D1189,10*Overig!D1189),""",""????0;"",""???-0;"",""????0;"", ////"""),"'","""")&amp;SUBSTITUTE(TEXT(Overig!E1189,""",""?00;"",""?-00;"",""?00;"", //"""),"'","""")&amp;SUBSTITUTE(TEXT(IF(ISTEXT(Overig!F1189),Overig!F1189,10*Overig!F1189),""",""????0;"",""???-0;"",""????0;"", ////"""),"'","""")&amp;SUBSTITUTE(TEXT(Overig!G1189,""",""?00;"",""?-00;"",""?00;"", //"""),"'","""")&amp;SUBSTITUTE(TEXT(IF(ISTEXT(Overig!H1189),Overig!H1189,10*Overig!H1189),""",""????0;"",""???-0;"",""????0;"", ////"""),"'","""")&amp;SUBSTITUTE(TEXT(Overig!I1189,""",""?00;"",""?-00;"",""?00;"", //"""),"'","""")&amp;SUBSTITUTE(TEXT(IF(ISTEXT(Overig!J1189),Overig!J1189,10*Overig!J1189),""",""????0;"",""???-0;"",""????0;"", ////"""),"'","""")&amp;SUBSTITUTE(TEXT(Overig!K1189,""",""?00;"",""?-00;"",""?00;"", //"""),"'","""")&amp;SUBSTITUTE(TEXT(Overig!L1189,""",""???0;"",""??-0;"",""???0;"", ///"""),"'","""")&amp;SUBSTITUTE(TEXT(Overig!M1189,""",""?00;"",""?-00;"",""?00;"", //"""),"'","""")&amp;SUBSTITUTE(TEXT(IF(ISTEXT(Overig!N1189),Overig!N1189,10*Overig!N1189),""",""????0;"",""???-0;"",""????0;"", ////"""),"'","""")&amp;SUBSTITUTE(TEXT(Overig!O1189,""",""?00;"",""?-00;"",""?00;"", //"""),"'","""")&amp;SUBSTITUTE(TEXT(IF(ISTEXT(Overig!P1189),Overig!P1189,10*Overig!P1189),""",""????0;"",""???-0;"",""????0;"", ////"""),"'","""")&amp;SUBSTITUTE(TEXT(Overig!Q1189,""",""?00;"",""?-00;"",""?00;"", //"""),"'","""")&amp;SUBSTITUTE(TEXT(Overig!R1189,""",""????0;"",""???-0;"",""????0;"", ////"""),"'","""")&amp;SUBSTITUTE(TEXT(Overig!S1189,""",""?00;"",""?-00;"",""?00;"", //"""),"'","""")&amp;SUBSTITUTE(TEXT(IF(ISTEXT(Overig!T1189),Overig!T1189,10*Overig!T1189),""",""????0;"",""???-0;"",""????0;"", ////"""),"'","""")&amp;SUBSTITUTE(TEXT(Overig!U1189,""",""?00;"",""?-00;"",""?00;"", //"""),"'","""")&amp;SUBSTITUTE(TEXT(Overig!V1189,""",""???0;"",""??-0;"",""???0;"", ///"""),"'","""")&amp;SUBSTITUTE(TEXT(Overig!W1189,""",""?00;"",""?-00;"",""?00;"", //"""),"'","""")</f>
        <v>032, 19401023, 24.00, ////, 07, ////, 07, ////, 07, ////, 07, ///, 07, ////, 07, ////, 07, ////, 07, ////, 07, ///, 07</v>
      </c>
    </row>
    <row r="1190" spans="1:1" x14ac:dyDescent="0.25">
      <c r="A1190" s="12" t="str">
        <f ca="1">TEXT(Overig!A1190,"000\,")&amp;TEXT(Overig!B1190,"?00000000")&amp;TEXT(Overig!C1190,""", ""@")&amp;SUBSTITUTE(TEXT(IF(ISTEXT(Overig!D1190),Overig!D1190,10*Overig!D1190),""",""????0;"",""???-0;"",""????0;"", ////"""),"'","""")&amp;SUBSTITUTE(TEXT(Overig!E1190,""",""?00;"",""?-00;"",""?00;"", //"""),"'","""")&amp;SUBSTITUTE(TEXT(IF(ISTEXT(Overig!F1190),Overig!F1190,10*Overig!F1190),""",""????0;"",""???-0;"",""????0;"", ////"""),"'","""")&amp;SUBSTITUTE(TEXT(Overig!G1190,""",""?00;"",""?-00;"",""?00;"", //"""),"'","""")&amp;SUBSTITUTE(TEXT(IF(ISTEXT(Overig!H1190),Overig!H1190,10*Overig!H1190),""",""????0;"",""???-0;"",""????0;"", ////"""),"'","""")&amp;SUBSTITUTE(TEXT(Overig!I1190,""",""?00;"",""?-00;"",""?00;"", //"""),"'","""")&amp;SUBSTITUTE(TEXT(IF(ISTEXT(Overig!J1190),Overig!J1190,10*Overig!J1190),""",""????0;"",""???-0;"",""????0;"", ////"""),"'","""")&amp;SUBSTITUTE(TEXT(Overig!K1190,""",""?00;"",""?-00;"",""?00;"", //"""),"'","""")&amp;SUBSTITUTE(TEXT(Overig!L1190,""",""???0;"",""??-0;"",""???0;"", ///"""),"'","""")&amp;SUBSTITUTE(TEXT(Overig!M1190,""",""?00;"",""?-00;"",""?00;"", //"""),"'","""")&amp;SUBSTITUTE(TEXT(IF(ISTEXT(Overig!N1190),Overig!N1190,10*Overig!N1190),""",""????0;"",""???-0;"",""????0;"", ////"""),"'","""")&amp;SUBSTITUTE(TEXT(Overig!O1190,""",""?00;"",""?-00;"",""?00;"", //"""),"'","""")&amp;SUBSTITUTE(TEXT(IF(ISTEXT(Overig!P1190),Overig!P1190,10*Overig!P1190),""",""????0;"",""???-0;"",""????0;"", ////"""),"'","""")&amp;SUBSTITUTE(TEXT(Overig!Q1190,""",""?00;"",""?-00;"",""?00;"", //"""),"'","""")&amp;SUBSTITUTE(TEXT(Overig!R1190,""",""????0;"",""???-0;"",""????0;"", ////"""),"'","""")&amp;SUBSTITUTE(TEXT(Overig!S1190,""",""?00;"",""?-00;"",""?00;"", //"""),"'","""")&amp;SUBSTITUTE(TEXT(IF(ISTEXT(Overig!T1190),Overig!T1190,10*Overig!T1190),""",""????0;"",""???-0;"",""????0;"", ////"""),"'","""")&amp;SUBSTITUTE(TEXT(Overig!U1190,""",""?00;"",""?-00;"",""?00;"", //"""),"'","""")&amp;SUBSTITUTE(TEXT(Overig!V1190,""",""???0;"",""??-0;"",""???0;"", ///"""),"'","""")&amp;SUBSTITUTE(TEXT(Overig!W1190,""",""?00;"",""?-00;"",""?00;"", //"""),"'","""")</f>
        <v>032, 19401024, 07.00, ////, 07, ////, 07, ////, 07, ////, 07, ///, 07, ////, 07, ////, 07, ////, 07, ////, 07, ///, 07</v>
      </c>
    </row>
    <row r="1191" spans="1:1" x14ac:dyDescent="0.25">
      <c r="A1191" s="12" t="str">
        <f ca="1">TEXT(Overig!A1191,"000\,")&amp;TEXT(Overig!B1191,"?00000000")&amp;TEXT(Overig!C1191,""", ""@")&amp;SUBSTITUTE(TEXT(IF(ISTEXT(Overig!D1191),Overig!D1191,10*Overig!D1191),""",""????0;"",""???-0;"",""????0;"", ////"""),"'","""")&amp;SUBSTITUTE(TEXT(Overig!E1191,""",""?00;"",""?-00;"",""?00;"", //"""),"'","""")&amp;SUBSTITUTE(TEXT(IF(ISTEXT(Overig!F1191),Overig!F1191,10*Overig!F1191),""",""????0;"",""???-0;"",""????0;"", ////"""),"'","""")&amp;SUBSTITUTE(TEXT(Overig!G1191,""",""?00;"",""?-00;"",""?00;"", //"""),"'","""")&amp;SUBSTITUTE(TEXT(IF(ISTEXT(Overig!H1191),Overig!H1191,10*Overig!H1191),""",""????0;"",""???-0;"",""????0;"", ////"""),"'","""")&amp;SUBSTITUTE(TEXT(Overig!I1191,""",""?00;"",""?-00;"",""?00;"", //"""),"'","""")&amp;SUBSTITUTE(TEXT(IF(ISTEXT(Overig!J1191),Overig!J1191,10*Overig!J1191),""",""????0;"",""???-0;"",""????0;"", ////"""),"'","""")&amp;SUBSTITUTE(TEXT(Overig!K1191,""",""?00;"",""?-00;"",""?00;"", //"""),"'","""")&amp;SUBSTITUTE(TEXT(Overig!L1191,""",""???0;"",""??-0;"",""???0;"", ///"""),"'","""")&amp;SUBSTITUTE(TEXT(Overig!M1191,""",""?00;"",""?-00;"",""?00;"", //"""),"'","""")&amp;SUBSTITUTE(TEXT(IF(ISTEXT(Overig!N1191),Overig!N1191,10*Overig!N1191),""",""????0;"",""???-0;"",""????0;"", ////"""),"'","""")&amp;SUBSTITUTE(TEXT(Overig!O1191,""",""?00;"",""?-00;"",""?00;"", //"""),"'","""")&amp;SUBSTITUTE(TEXT(IF(ISTEXT(Overig!P1191),Overig!P1191,10*Overig!P1191),""",""????0;"",""???-0;"",""????0;"", ////"""),"'","""")&amp;SUBSTITUTE(TEXT(Overig!Q1191,""",""?00;"",""?-00;"",""?00;"", //"""),"'","""")&amp;SUBSTITUTE(TEXT(Overig!R1191,""",""????0;"",""???-0;"",""????0;"", ////"""),"'","""")&amp;SUBSTITUTE(TEXT(Overig!S1191,""",""?00;"",""?-00;"",""?00;"", //"""),"'","""")&amp;SUBSTITUTE(TEXT(IF(ISTEXT(Overig!T1191),Overig!T1191,10*Overig!T1191),""",""????0;"",""???-0;"",""????0;"", ////"""),"'","""")&amp;SUBSTITUTE(TEXT(Overig!U1191,""",""?00;"",""?-00;"",""?00;"", //"""),"'","""")&amp;SUBSTITUTE(TEXT(Overig!V1191,""",""???0;"",""??-0;"",""???0;"", ///"""),"'","""")&amp;SUBSTITUTE(TEXT(Overig!W1191,""",""?00;"",""?-00;"",""?00;"", //"""),"'","""")</f>
        <v>032, 19401024, 12.00, ////, 07, ////, 07, ////, 07, ////, 07, ///, 07, ////, 07, ////, 07, ////, 07, ////, 07, ///, 07</v>
      </c>
    </row>
    <row r="1192" spans="1:1" x14ac:dyDescent="0.25">
      <c r="A1192" s="12" t="str">
        <f ca="1">TEXT(Overig!A1192,"000\,")&amp;TEXT(Overig!B1192,"?00000000")&amp;TEXT(Overig!C1192,""", ""@")&amp;SUBSTITUTE(TEXT(IF(ISTEXT(Overig!D1192),Overig!D1192,10*Overig!D1192),""",""????0;"",""???-0;"",""????0;"", ////"""),"'","""")&amp;SUBSTITUTE(TEXT(Overig!E1192,""",""?00;"",""?-00;"",""?00;"", //"""),"'","""")&amp;SUBSTITUTE(TEXT(IF(ISTEXT(Overig!F1192),Overig!F1192,10*Overig!F1192),""",""????0;"",""???-0;"",""????0;"", ////"""),"'","""")&amp;SUBSTITUTE(TEXT(Overig!G1192,""",""?00;"",""?-00;"",""?00;"", //"""),"'","""")&amp;SUBSTITUTE(TEXT(IF(ISTEXT(Overig!H1192),Overig!H1192,10*Overig!H1192),""",""????0;"",""???-0;"",""????0;"", ////"""),"'","""")&amp;SUBSTITUTE(TEXT(Overig!I1192,""",""?00;"",""?-00;"",""?00;"", //"""),"'","""")&amp;SUBSTITUTE(TEXT(IF(ISTEXT(Overig!J1192),Overig!J1192,10*Overig!J1192),""",""????0;"",""???-0;"",""????0;"", ////"""),"'","""")&amp;SUBSTITUTE(TEXT(Overig!K1192,""",""?00;"",""?-00;"",""?00;"", //"""),"'","""")&amp;SUBSTITUTE(TEXT(Overig!L1192,""",""???0;"",""??-0;"",""???0;"", ///"""),"'","""")&amp;SUBSTITUTE(TEXT(Overig!M1192,""",""?00;"",""?-00;"",""?00;"", //"""),"'","""")&amp;SUBSTITUTE(TEXT(IF(ISTEXT(Overig!N1192),Overig!N1192,10*Overig!N1192),""",""????0;"",""???-0;"",""????0;"", ////"""),"'","""")&amp;SUBSTITUTE(TEXT(Overig!O1192,""",""?00;"",""?-00;"",""?00;"", //"""),"'","""")&amp;SUBSTITUTE(TEXT(IF(ISTEXT(Overig!P1192),Overig!P1192,10*Overig!P1192),""",""????0;"",""???-0;"",""????0;"", ////"""),"'","""")&amp;SUBSTITUTE(TEXT(Overig!Q1192,""",""?00;"",""?-00;"",""?00;"", //"""),"'","""")&amp;SUBSTITUTE(TEXT(Overig!R1192,""",""????0;"",""???-0;"",""????0;"", ////"""),"'","""")&amp;SUBSTITUTE(TEXT(Overig!S1192,""",""?00;"",""?-00;"",""?00;"", //"""),"'","""")&amp;SUBSTITUTE(TEXT(IF(ISTEXT(Overig!T1192),Overig!T1192,10*Overig!T1192),""",""????0;"",""???-0;"",""????0;"", ////"""),"'","""")&amp;SUBSTITUTE(TEXT(Overig!U1192,""",""?00;"",""?-00;"",""?00;"", //"""),"'","""")&amp;SUBSTITUTE(TEXT(Overig!V1192,""",""???0;"",""??-0;"",""???0;"", ///"""),"'","""")&amp;SUBSTITUTE(TEXT(Overig!W1192,""",""?00;"",""?-00;"",""?00;"", //"""),"'","""")</f>
        <v>032, 19401024, 17.00, ////, 07, ////, 07, ////, 07, ////, 07, ///, 07, ////, 07, ////, 07, ////, 07, ////, 07, ///, 07</v>
      </c>
    </row>
    <row r="1193" spans="1:1" x14ac:dyDescent="0.25">
      <c r="A1193" s="12" t="str">
        <f ca="1">TEXT(Overig!A1193,"000\,")&amp;TEXT(Overig!B1193,"?00000000")&amp;TEXT(Overig!C1193,""", ""@")&amp;SUBSTITUTE(TEXT(IF(ISTEXT(Overig!D1193),Overig!D1193,10*Overig!D1193),""",""????0;"",""???-0;"",""????0;"", ////"""),"'","""")&amp;SUBSTITUTE(TEXT(Overig!E1193,""",""?00;"",""?-00;"",""?00;"", //"""),"'","""")&amp;SUBSTITUTE(TEXT(IF(ISTEXT(Overig!F1193),Overig!F1193,10*Overig!F1193),""",""????0;"",""???-0;"",""????0;"", ////"""),"'","""")&amp;SUBSTITUTE(TEXT(Overig!G1193,""",""?00;"",""?-00;"",""?00;"", //"""),"'","""")&amp;SUBSTITUTE(TEXT(IF(ISTEXT(Overig!H1193),Overig!H1193,10*Overig!H1193),""",""????0;"",""???-0;"",""????0;"", ////"""),"'","""")&amp;SUBSTITUTE(TEXT(Overig!I1193,""",""?00;"",""?-00;"",""?00;"", //"""),"'","""")&amp;SUBSTITUTE(TEXT(IF(ISTEXT(Overig!J1193),Overig!J1193,10*Overig!J1193),""",""????0;"",""???-0;"",""????0;"", ////"""),"'","""")&amp;SUBSTITUTE(TEXT(Overig!K1193,""",""?00;"",""?-00;"",""?00;"", //"""),"'","""")&amp;SUBSTITUTE(TEXT(Overig!L1193,""",""???0;"",""??-0;"",""???0;"", ///"""),"'","""")&amp;SUBSTITUTE(TEXT(Overig!M1193,""",""?00;"",""?-00;"",""?00;"", //"""),"'","""")&amp;SUBSTITUTE(TEXT(IF(ISTEXT(Overig!N1193),Overig!N1193,10*Overig!N1193),""",""????0;"",""???-0;"",""????0;"", ////"""),"'","""")&amp;SUBSTITUTE(TEXT(Overig!O1193,""",""?00;"",""?-00;"",""?00;"", //"""),"'","""")&amp;SUBSTITUTE(TEXT(IF(ISTEXT(Overig!P1193),Overig!P1193,10*Overig!P1193),""",""????0;"",""???-0;"",""????0;"", ////"""),"'","""")&amp;SUBSTITUTE(TEXT(Overig!Q1193,""",""?00;"",""?-00;"",""?00;"", //"""),"'","""")&amp;SUBSTITUTE(TEXT(Overig!R1193,""",""????0;"",""???-0;"",""????0;"", ////"""),"'","""")&amp;SUBSTITUTE(TEXT(Overig!S1193,""",""?00;"",""?-00;"",""?00;"", //"""),"'","""")&amp;SUBSTITUTE(TEXT(IF(ISTEXT(Overig!T1193),Overig!T1193,10*Overig!T1193),""",""????0;"",""???-0;"",""????0;"", ////"""),"'","""")&amp;SUBSTITUTE(TEXT(Overig!U1193,""",""?00;"",""?-00;"",""?00;"", //"""),"'","""")&amp;SUBSTITUTE(TEXT(Overig!V1193,""",""???0;"",""??-0;"",""???0;"", ///"""),"'","""")&amp;SUBSTITUTE(TEXT(Overig!W1193,""",""?00;"",""?-00;"",""?00;"", //"""),"'","""")</f>
        <v>032, 19401024, 24.00, ////, 07, ////, 07, ////, 07, ////, 07, ///, 07, ////, 07, ////, 07, ////, 07, ////, 07, ///, 07</v>
      </c>
    </row>
    <row r="1194" spans="1:1" x14ac:dyDescent="0.25">
      <c r="A1194" s="12" t="str">
        <f ca="1">TEXT(Overig!A1194,"000\,")&amp;TEXT(Overig!B1194,"?00000000")&amp;TEXT(Overig!C1194,""", ""@")&amp;SUBSTITUTE(TEXT(IF(ISTEXT(Overig!D1194),Overig!D1194,10*Overig!D1194),""",""????0;"",""???-0;"",""????0;"", ////"""),"'","""")&amp;SUBSTITUTE(TEXT(Overig!E1194,""",""?00;"",""?-00;"",""?00;"", //"""),"'","""")&amp;SUBSTITUTE(TEXT(IF(ISTEXT(Overig!F1194),Overig!F1194,10*Overig!F1194),""",""????0;"",""???-0;"",""????0;"", ////"""),"'","""")&amp;SUBSTITUTE(TEXT(Overig!G1194,""",""?00;"",""?-00;"",""?00;"", //"""),"'","""")&amp;SUBSTITUTE(TEXT(IF(ISTEXT(Overig!H1194),Overig!H1194,10*Overig!H1194),""",""????0;"",""???-0;"",""????0;"", ////"""),"'","""")&amp;SUBSTITUTE(TEXT(Overig!I1194,""",""?00;"",""?-00;"",""?00;"", //"""),"'","""")&amp;SUBSTITUTE(TEXT(IF(ISTEXT(Overig!J1194),Overig!J1194,10*Overig!J1194),""",""????0;"",""???-0;"",""????0;"", ////"""),"'","""")&amp;SUBSTITUTE(TEXT(Overig!K1194,""",""?00;"",""?-00;"",""?00;"", //"""),"'","""")&amp;SUBSTITUTE(TEXT(Overig!L1194,""",""???0;"",""??-0;"",""???0;"", ///"""),"'","""")&amp;SUBSTITUTE(TEXT(Overig!M1194,""",""?00;"",""?-00;"",""?00;"", //"""),"'","""")&amp;SUBSTITUTE(TEXT(IF(ISTEXT(Overig!N1194),Overig!N1194,10*Overig!N1194),""",""????0;"",""???-0;"",""????0;"", ////"""),"'","""")&amp;SUBSTITUTE(TEXT(Overig!O1194,""",""?00;"",""?-00;"",""?00;"", //"""),"'","""")&amp;SUBSTITUTE(TEXT(IF(ISTEXT(Overig!P1194),Overig!P1194,10*Overig!P1194),""",""????0;"",""???-0;"",""????0;"", ////"""),"'","""")&amp;SUBSTITUTE(TEXT(Overig!Q1194,""",""?00;"",""?-00;"",""?00;"", //"""),"'","""")&amp;SUBSTITUTE(TEXT(Overig!R1194,""",""????0;"",""???-0;"",""????0;"", ////"""),"'","""")&amp;SUBSTITUTE(TEXT(Overig!S1194,""",""?00;"",""?-00;"",""?00;"", //"""),"'","""")&amp;SUBSTITUTE(TEXT(IF(ISTEXT(Overig!T1194),Overig!T1194,10*Overig!T1194),""",""????0;"",""???-0;"",""????0;"", ////"""),"'","""")&amp;SUBSTITUTE(TEXT(Overig!U1194,""",""?00;"",""?-00;"",""?00;"", //"""),"'","""")&amp;SUBSTITUTE(TEXT(Overig!V1194,""",""???0;"",""??-0;"",""???0;"", ///"""),"'","""")&amp;SUBSTITUTE(TEXT(Overig!W1194,""",""?00;"",""?-00;"",""?00;"", //"""),"'","""")</f>
        <v>032, 19401025, 07.00, ////, 07, ////, 07, ////, 07, ////, 07, ///, 07, ////, 07, ////, 07, ////, 07, ////, 07, ///, 07</v>
      </c>
    </row>
    <row r="1195" spans="1:1" x14ac:dyDescent="0.25">
      <c r="A1195" s="12" t="str">
        <f ca="1">TEXT(Overig!A1195,"000\,")&amp;TEXT(Overig!B1195,"?00000000")&amp;TEXT(Overig!C1195,""", ""@")&amp;SUBSTITUTE(TEXT(IF(ISTEXT(Overig!D1195),Overig!D1195,10*Overig!D1195),""",""????0;"",""???-0;"",""????0;"", ////"""),"'","""")&amp;SUBSTITUTE(TEXT(Overig!E1195,""",""?00;"",""?-00;"",""?00;"", //"""),"'","""")&amp;SUBSTITUTE(TEXT(IF(ISTEXT(Overig!F1195),Overig!F1195,10*Overig!F1195),""",""????0;"",""???-0;"",""????0;"", ////"""),"'","""")&amp;SUBSTITUTE(TEXT(Overig!G1195,""",""?00;"",""?-00;"",""?00;"", //"""),"'","""")&amp;SUBSTITUTE(TEXT(IF(ISTEXT(Overig!H1195),Overig!H1195,10*Overig!H1195),""",""????0;"",""???-0;"",""????0;"", ////"""),"'","""")&amp;SUBSTITUTE(TEXT(Overig!I1195,""",""?00;"",""?-00;"",""?00;"", //"""),"'","""")&amp;SUBSTITUTE(TEXT(IF(ISTEXT(Overig!J1195),Overig!J1195,10*Overig!J1195),""",""????0;"",""???-0;"",""????0;"", ////"""),"'","""")&amp;SUBSTITUTE(TEXT(Overig!K1195,""",""?00;"",""?-00;"",""?00;"", //"""),"'","""")&amp;SUBSTITUTE(TEXT(Overig!L1195,""",""???0;"",""??-0;"",""???0;"", ///"""),"'","""")&amp;SUBSTITUTE(TEXT(Overig!M1195,""",""?00;"",""?-00;"",""?00;"", //"""),"'","""")&amp;SUBSTITUTE(TEXT(IF(ISTEXT(Overig!N1195),Overig!N1195,10*Overig!N1195),""",""????0;"",""???-0;"",""????0;"", ////"""),"'","""")&amp;SUBSTITUTE(TEXT(Overig!O1195,""",""?00;"",""?-00;"",""?00;"", //"""),"'","""")&amp;SUBSTITUTE(TEXT(IF(ISTEXT(Overig!P1195),Overig!P1195,10*Overig!P1195),""",""????0;"",""???-0;"",""????0;"", ////"""),"'","""")&amp;SUBSTITUTE(TEXT(Overig!Q1195,""",""?00;"",""?-00;"",""?00;"", //"""),"'","""")&amp;SUBSTITUTE(TEXT(Overig!R1195,""",""????0;"",""???-0;"",""????0;"", ////"""),"'","""")&amp;SUBSTITUTE(TEXT(Overig!S1195,""",""?00;"",""?-00;"",""?00;"", //"""),"'","""")&amp;SUBSTITUTE(TEXT(IF(ISTEXT(Overig!T1195),Overig!T1195,10*Overig!T1195),""",""????0;"",""???-0;"",""????0;"", ////"""),"'","""")&amp;SUBSTITUTE(TEXT(Overig!U1195,""",""?00;"",""?-00;"",""?00;"", //"""),"'","""")&amp;SUBSTITUTE(TEXT(Overig!V1195,""",""???0;"",""??-0;"",""???0;"", ///"""),"'","""")&amp;SUBSTITUTE(TEXT(Overig!W1195,""",""?00;"",""?-00;"",""?00;"", //"""),"'","""")</f>
        <v>032, 19401025, 12.00, ////, 07, ////, 07, ////, 07, ////, 07, ///, 07, ////, 07, ////, 07, ////, 07, ////, 07, ///, 07</v>
      </c>
    </row>
    <row r="1196" spans="1:1" x14ac:dyDescent="0.25">
      <c r="A1196" s="12" t="str">
        <f ca="1">TEXT(Overig!A1196,"000\,")&amp;TEXT(Overig!B1196,"?00000000")&amp;TEXT(Overig!C1196,""", ""@")&amp;SUBSTITUTE(TEXT(IF(ISTEXT(Overig!D1196),Overig!D1196,10*Overig!D1196),""",""????0;"",""???-0;"",""????0;"", ////"""),"'","""")&amp;SUBSTITUTE(TEXT(Overig!E1196,""",""?00;"",""?-00;"",""?00;"", //"""),"'","""")&amp;SUBSTITUTE(TEXT(IF(ISTEXT(Overig!F1196),Overig!F1196,10*Overig!F1196),""",""????0;"",""???-0;"",""????0;"", ////"""),"'","""")&amp;SUBSTITUTE(TEXT(Overig!G1196,""",""?00;"",""?-00;"",""?00;"", //"""),"'","""")&amp;SUBSTITUTE(TEXT(IF(ISTEXT(Overig!H1196),Overig!H1196,10*Overig!H1196),""",""????0;"",""???-0;"",""????0;"", ////"""),"'","""")&amp;SUBSTITUTE(TEXT(Overig!I1196,""",""?00;"",""?-00;"",""?00;"", //"""),"'","""")&amp;SUBSTITUTE(TEXT(IF(ISTEXT(Overig!J1196),Overig!J1196,10*Overig!J1196),""",""????0;"",""???-0;"",""????0;"", ////"""),"'","""")&amp;SUBSTITUTE(TEXT(Overig!K1196,""",""?00;"",""?-00;"",""?00;"", //"""),"'","""")&amp;SUBSTITUTE(TEXT(Overig!L1196,""",""???0;"",""??-0;"",""???0;"", ///"""),"'","""")&amp;SUBSTITUTE(TEXT(Overig!M1196,""",""?00;"",""?-00;"",""?00;"", //"""),"'","""")&amp;SUBSTITUTE(TEXT(IF(ISTEXT(Overig!N1196),Overig!N1196,10*Overig!N1196),""",""????0;"",""???-0;"",""????0;"", ////"""),"'","""")&amp;SUBSTITUTE(TEXT(Overig!O1196,""",""?00;"",""?-00;"",""?00;"", //"""),"'","""")&amp;SUBSTITUTE(TEXT(IF(ISTEXT(Overig!P1196),Overig!P1196,10*Overig!P1196),""",""????0;"",""???-0;"",""????0;"", ////"""),"'","""")&amp;SUBSTITUTE(TEXT(Overig!Q1196,""",""?00;"",""?-00;"",""?00;"", //"""),"'","""")&amp;SUBSTITUTE(TEXT(Overig!R1196,""",""????0;"",""???-0;"",""????0;"", ////"""),"'","""")&amp;SUBSTITUTE(TEXT(Overig!S1196,""",""?00;"",""?-00;"",""?00;"", //"""),"'","""")&amp;SUBSTITUTE(TEXT(IF(ISTEXT(Overig!T1196),Overig!T1196,10*Overig!T1196),""",""????0;"",""???-0;"",""????0;"", ////"""),"'","""")&amp;SUBSTITUTE(TEXT(Overig!U1196,""",""?00;"",""?-00;"",""?00;"", //"""),"'","""")&amp;SUBSTITUTE(TEXT(Overig!V1196,""",""???0;"",""??-0;"",""???0;"", ///"""),"'","""")&amp;SUBSTITUTE(TEXT(Overig!W1196,""",""?00;"",""?-00;"",""?00;"", //"""),"'","""")</f>
        <v>032, 19401025, 17.00, ////, 07, ////, 07, ////, 07, ////, 07, ///, 07, ////, 07, ////, 07, ////, 07, ////, 07, ///, 07</v>
      </c>
    </row>
    <row r="1197" spans="1:1" x14ac:dyDescent="0.25">
      <c r="A1197" s="12" t="str">
        <f ca="1">TEXT(Overig!A1197,"000\,")&amp;TEXT(Overig!B1197,"?00000000")&amp;TEXT(Overig!C1197,""", ""@")&amp;SUBSTITUTE(TEXT(IF(ISTEXT(Overig!D1197),Overig!D1197,10*Overig!D1197),""",""????0;"",""???-0;"",""????0;"", ////"""),"'","""")&amp;SUBSTITUTE(TEXT(Overig!E1197,""",""?00;"",""?-00;"",""?00;"", //"""),"'","""")&amp;SUBSTITUTE(TEXT(IF(ISTEXT(Overig!F1197),Overig!F1197,10*Overig!F1197),""",""????0;"",""???-0;"",""????0;"", ////"""),"'","""")&amp;SUBSTITUTE(TEXT(Overig!G1197,""",""?00;"",""?-00;"",""?00;"", //"""),"'","""")&amp;SUBSTITUTE(TEXT(IF(ISTEXT(Overig!H1197),Overig!H1197,10*Overig!H1197),""",""????0;"",""???-0;"",""????0;"", ////"""),"'","""")&amp;SUBSTITUTE(TEXT(Overig!I1197,""",""?00;"",""?-00;"",""?00;"", //"""),"'","""")&amp;SUBSTITUTE(TEXT(IF(ISTEXT(Overig!J1197),Overig!J1197,10*Overig!J1197),""",""????0;"",""???-0;"",""????0;"", ////"""),"'","""")&amp;SUBSTITUTE(TEXT(Overig!K1197,""",""?00;"",""?-00;"",""?00;"", //"""),"'","""")&amp;SUBSTITUTE(TEXT(Overig!L1197,""",""???0;"",""??-0;"",""???0;"", ///"""),"'","""")&amp;SUBSTITUTE(TEXT(Overig!M1197,""",""?00;"",""?-00;"",""?00;"", //"""),"'","""")&amp;SUBSTITUTE(TEXT(IF(ISTEXT(Overig!N1197),Overig!N1197,10*Overig!N1197),""",""????0;"",""???-0;"",""????0;"", ////"""),"'","""")&amp;SUBSTITUTE(TEXT(Overig!O1197,""",""?00;"",""?-00;"",""?00;"", //"""),"'","""")&amp;SUBSTITUTE(TEXT(IF(ISTEXT(Overig!P1197),Overig!P1197,10*Overig!P1197),""",""????0;"",""???-0;"",""????0;"", ////"""),"'","""")&amp;SUBSTITUTE(TEXT(Overig!Q1197,""",""?00;"",""?-00;"",""?00;"", //"""),"'","""")&amp;SUBSTITUTE(TEXT(Overig!R1197,""",""????0;"",""???-0;"",""????0;"", ////"""),"'","""")&amp;SUBSTITUTE(TEXT(Overig!S1197,""",""?00;"",""?-00;"",""?00;"", //"""),"'","""")&amp;SUBSTITUTE(TEXT(IF(ISTEXT(Overig!T1197),Overig!T1197,10*Overig!T1197),""",""????0;"",""???-0;"",""????0;"", ////"""),"'","""")&amp;SUBSTITUTE(TEXT(Overig!U1197,""",""?00;"",""?-00;"",""?00;"", //"""),"'","""")&amp;SUBSTITUTE(TEXT(Overig!V1197,""",""???0;"",""??-0;"",""???0;"", ///"""),"'","""")&amp;SUBSTITUTE(TEXT(Overig!W1197,""",""?00;"",""?-00;"",""?00;"", //"""),"'","""")</f>
        <v>032, 19401025, 24.00, ////, 07, ////, 07, ////, 07, ////, 07, ///, 07, ////, 07, ////, 07, ////, 07, ////, 07, ///, 07</v>
      </c>
    </row>
    <row r="1198" spans="1:1" x14ac:dyDescent="0.25">
      <c r="A1198" s="12" t="str">
        <f ca="1">TEXT(Overig!A1198,"000\,")&amp;TEXT(Overig!B1198,"?00000000")&amp;TEXT(Overig!C1198,""", ""@")&amp;SUBSTITUTE(TEXT(IF(ISTEXT(Overig!D1198),Overig!D1198,10*Overig!D1198),""",""????0;"",""???-0;"",""????0;"", ////"""),"'","""")&amp;SUBSTITUTE(TEXT(Overig!E1198,""",""?00;"",""?-00;"",""?00;"", //"""),"'","""")&amp;SUBSTITUTE(TEXT(IF(ISTEXT(Overig!F1198),Overig!F1198,10*Overig!F1198),""",""????0;"",""???-0;"",""????0;"", ////"""),"'","""")&amp;SUBSTITUTE(TEXT(Overig!G1198,""",""?00;"",""?-00;"",""?00;"", //"""),"'","""")&amp;SUBSTITUTE(TEXT(IF(ISTEXT(Overig!H1198),Overig!H1198,10*Overig!H1198),""",""????0;"",""???-0;"",""????0;"", ////"""),"'","""")&amp;SUBSTITUTE(TEXT(Overig!I1198,""",""?00;"",""?-00;"",""?00;"", //"""),"'","""")&amp;SUBSTITUTE(TEXT(IF(ISTEXT(Overig!J1198),Overig!J1198,10*Overig!J1198),""",""????0;"",""???-0;"",""????0;"", ////"""),"'","""")&amp;SUBSTITUTE(TEXT(Overig!K1198,""",""?00;"",""?-00;"",""?00;"", //"""),"'","""")&amp;SUBSTITUTE(TEXT(Overig!L1198,""",""???0;"",""??-0;"",""???0;"", ///"""),"'","""")&amp;SUBSTITUTE(TEXT(Overig!M1198,""",""?00;"",""?-00;"",""?00;"", //"""),"'","""")&amp;SUBSTITUTE(TEXT(IF(ISTEXT(Overig!N1198),Overig!N1198,10*Overig!N1198),""",""????0;"",""???-0;"",""????0;"", ////"""),"'","""")&amp;SUBSTITUTE(TEXT(Overig!O1198,""",""?00;"",""?-00;"",""?00;"", //"""),"'","""")&amp;SUBSTITUTE(TEXT(IF(ISTEXT(Overig!P1198),Overig!P1198,10*Overig!P1198),""",""????0;"",""???-0;"",""????0;"", ////"""),"'","""")&amp;SUBSTITUTE(TEXT(Overig!Q1198,""",""?00;"",""?-00;"",""?00;"", //"""),"'","""")&amp;SUBSTITUTE(TEXT(Overig!R1198,""",""????0;"",""???-0;"",""????0;"", ////"""),"'","""")&amp;SUBSTITUTE(TEXT(Overig!S1198,""",""?00;"",""?-00;"",""?00;"", //"""),"'","""")&amp;SUBSTITUTE(TEXT(IF(ISTEXT(Overig!T1198),Overig!T1198,10*Overig!T1198),""",""????0;"",""???-0;"",""????0;"", ////"""),"'","""")&amp;SUBSTITUTE(TEXT(Overig!U1198,""",""?00;"",""?-00;"",""?00;"", //"""),"'","""")&amp;SUBSTITUTE(TEXT(Overig!V1198,""",""???0;"",""??-0;"",""???0;"", ///"""),"'","""")&amp;SUBSTITUTE(TEXT(Overig!W1198,""",""?00;"",""?-00;"",""?00;"", //"""),"'","""")</f>
        <v>032, 19401026, 07.00, ////, 07, ////, 07, ////, 07, ////, 07, ///, 07, ////, 07, ////, 07, ////, 07, ////, 07, ///, 07</v>
      </c>
    </row>
    <row r="1199" spans="1:1" x14ac:dyDescent="0.25">
      <c r="A1199" s="12" t="str">
        <f ca="1">TEXT(Overig!A1199,"000\,")&amp;TEXT(Overig!B1199,"?00000000")&amp;TEXT(Overig!C1199,""", ""@")&amp;SUBSTITUTE(TEXT(IF(ISTEXT(Overig!D1199),Overig!D1199,10*Overig!D1199),""",""????0;"",""???-0;"",""????0;"", ////"""),"'","""")&amp;SUBSTITUTE(TEXT(Overig!E1199,""",""?00;"",""?-00;"",""?00;"", //"""),"'","""")&amp;SUBSTITUTE(TEXT(IF(ISTEXT(Overig!F1199),Overig!F1199,10*Overig!F1199),""",""????0;"",""???-0;"",""????0;"", ////"""),"'","""")&amp;SUBSTITUTE(TEXT(Overig!G1199,""",""?00;"",""?-00;"",""?00;"", //"""),"'","""")&amp;SUBSTITUTE(TEXT(IF(ISTEXT(Overig!H1199),Overig!H1199,10*Overig!H1199),""",""????0;"",""???-0;"",""????0;"", ////"""),"'","""")&amp;SUBSTITUTE(TEXT(Overig!I1199,""",""?00;"",""?-00;"",""?00;"", //"""),"'","""")&amp;SUBSTITUTE(TEXT(IF(ISTEXT(Overig!J1199),Overig!J1199,10*Overig!J1199),""",""????0;"",""???-0;"",""????0;"", ////"""),"'","""")&amp;SUBSTITUTE(TEXT(Overig!K1199,""",""?00;"",""?-00;"",""?00;"", //"""),"'","""")&amp;SUBSTITUTE(TEXT(Overig!L1199,""",""???0;"",""??-0;"",""???0;"", ///"""),"'","""")&amp;SUBSTITUTE(TEXT(Overig!M1199,""",""?00;"",""?-00;"",""?00;"", //"""),"'","""")&amp;SUBSTITUTE(TEXT(IF(ISTEXT(Overig!N1199),Overig!N1199,10*Overig!N1199),""",""????0;"",""???-0;"",""????0;"", ////"""),"'","""")&amp;SUBSTITUTE(TEXT(Overig!O1199,""",""?00;"",""?-00;"",""?00;"", //"""),"'","""")&amp;SUBSTITUTE(TEXT(IF(ISTEXT(Overig!P1199),Overig!P1199,10*Overig!P1199),""",""????0;"",""???-0;"",""????0;"", ////"""),"'","""")&amp;SUBSTITUTE(TEXT(Overig!Q1199,""",""?00;"",""?-00;"",""?00;"", //"""),"'","""")&amp;SUBSTITUTE(TEXT(Overig!R1199,""",""????0;"",""???-0;"",""????0;"", ////"""),"'","""")&amp;SUBSTITUTE(TEXT(Overig!S1199,""",""?00;"",""?-00;"",""?00;"", //"""),"'","""")&amp;SUBSTITUTE(TEXT(IF(ISTEXT(Overig!T1199),Overig!T1199,10*Overig!T1199),""",""????0;"",""???-0;"",""????0;"", ////"""),"'","""")&amp;SUBSTITUTE(TEXT(Overig!U1199,""",""?00;"",""?-00;"",""?00;"", //"""),"'","""")&amp;SUBSTITUTE(TEXT(Overig!V1199,""",""???0;"",""??-0;"",""???0;"", ///"""),"'","""")&amp;SUBSTITUTE(TEXT(Overig!W1199,""",""?00;"",""?-00;"",""?00;"", //"""),"'","""")</f>
        <v>032, 19401026, 12.00, ////, 07, ////, 07, ////, 07, ////, 07, ///, 07, ////, 07, ////, 07, ////, 07, ////, 07, ///, 07</v>
      </c>
    </row>
    <row r="1200" spans="1:1" x14ac:dyDescent="0.25">
      <c r="A1200" s="12" t="str">
        <f ca="1">TEXT(Overig!A1200,"000\,")&amp;TEXT(Overig!B1200,"?00000000")&amp;TEXT(Overig!C1200,""", ""@")&amp;SUBSTITUTE(TEXT(IF(ISTEXT(Overig!D1200),Overig!D1200,10*Overig!D1200),""",""????0;"",""???-0;"",""????0;"", ////"""),"'","""")&amp;SUBSTITUTE(TEXT(Overig!E1200,""",""?00;"",""?-00;"",""?00;"", //"""),"'","""")&amp;SUBSTITUTE(TEXT(IF(ISTEXT(Overig!F1200),Overig!F1200,10*Overig!F1200),""",""????0;"",""???-0;"",""????0;"", ////"""),"'","""")&amp;SUBSTITUTE(TEXT(Overig!G1200,""",""?00;"",""?-00;"",""?00;"", //"""),"'","""")&amp;SUBSTITUTE(TEXT(IF(ISTEXT(Overig!H1200),Overig!H1200,10*Overig!H1200),""",""????0;"",""???-0;"",""????0;"", ////"""),"'","""")&amp;SUBSTITUTE(TEXT(Overig!I1200,""",""?00;"",""?-00;"",""?00;"", //"""),"'","""")&amp;SUBSTITUTE(TEXT(IF(ISTEXT(Overig!J1200),Overig!J1200,10*Overig!J1200),""",""????0;"",""???-0;"",""????0;"", ////"""),"'","""")&amp;SUBSTITUTE(TEXT(Overig!K1200,""",""?00;"",""?-00;"",""?00;"", //"""),"'","""")&amp;SUBSTITUTE(TEXT(Overig!L1200,""",""???0;"",""??-0;"",""???0;"", ///"""),"'","""")&amp;SUBSTITUTE(TEXT(Overig!M1200,""",""?00;"",""?-00;"",""?00;"", //"""),"'","""")&amp;SUBSTITUTE(TEXT(IF(ISTEXT(Overig!N1200),Overig!N1200,10*Overig!N1200),""",""????0;"",""???-0;"",""????0;"", ////"""),"'","""")&amp;SUBSTITUTE(TEXT(Overig!O1200,""",""?00;"",""?-00;"",""?00;"", //"""),"'","""")&amp;SUBSTITUTE(TEXT(IF(ISTEXT(Overig!P1200),Overig!P1200,10*Overig!P1200),""",""????0;"",""???-0;"",""????0;"", ////"""),"'","""")&amp;SUBSTITUTE(TEXT(Overig!Q1200,""",""?00;"",""?-00;"",""?00;"", //"""),"'","""")&amp;SUBSTITUTE(TEXT(Overig!R1200,""",""????0;"",""???-0;"",""????0;"", ////"""),"'","""")&amp;SUBSTITUTE(TEXT(Overig!S1200,""",""?00;"",""?-00;"",""?00;"", //"""),"'","""")&amp;SUBSTITUTE(TEXT(IF(ISTEXT(Overig!T1200),Overig!T1200,10*Overig!T1200),""",""????0;"",""???-0;"",""????0;"", ////"""),"'","""")&amp;SUBSTITUTE(TEXT(Overig!U1200,""",""?00;"",""?-00;"",""?00;"", //"""),"'","""")&amp;SUBSTITUTE(TEXT(Overig!V1200,""",""???0;"",""??-0;"",""???0;"", ///"""),"'","""")&amp;SUBSTITUTE(TEXT(Overig!W1200,""",""?00;"",""?-00;"",""?00;"", //"""),"'","""")</f>
        <v>032, 19401026, 17.00, ////, 07, ////, 07, ////, 07, ////, 07, ///, 07, ////, 07, ////, 07, ////, 07, ////, 07, ///, 07</v>
      </c>
    </row>
    <row r="1201" spans="1:1" x14ac:dyDescent="0.25">
      <c r="A1201" s="12" t="str">
        <f ca="1">TEXT(Overig!A1201,"000\,")&amp;TEXT(Overig!B1201,"?00000000")&amp;TEXT(Overig!C1201,""", ""@")&amp;SUBSTITUTE(TEXT(IF(ISTEXT(Overig!D1201),Overig!D1201,10*Overig!D1201),""",""????0;"",""???-0;"",""????0;"", ////"""),"'","""")&amp;SUBSTITUTE(TEXT(Overig!E1201,""",""?00;"",""?-00;"",""?00;"", //"""),"'","""")&amp;SUBSTITUTE(TEXT(IF(ISTEXT(Overig!F1201),Overig!F1201,10*Overig!F1201),""",""????0;"",""???-0;"",""????0;"", ////"""),"'","""")&amp;SUBSTITUTE(TEXT(Overig!G1201,""",""?00;"",""?-00;"",""?00;"", //"""),"'","""")&amp;SUBSTITUTE(TEXT(IF(ISTEXT(Overig!H1201),Overig!H1201,10*Overig!H1201),""",""????0;"",""???-0;"",""????0;"", ////"""),"'","""")&amp;SUBSTITUTE(TEXT(Overig!I1201,""",""?00;"",""?-00;"",""?00;"", //"""),"'","""")&amp;SUBSTITUTE(TEXT(IF(ISTEXT(Overig!J1201),Overig!J1201,10*Overig!J1201),""",""????0;"",""???-0;"",""????0;"", ////"""),"'","""")&amp;SUBSTITUTE(TEXT(Overig!K1201,""",""?00;"",""?-00;"",""?00;"", //"""),"'","""")&amp;SUBSTITUTE(TEXT(Overig!L1201,""",""???0;"",""??-0;"",""???0;"", ///"""),"'","""")&amp;SUBSTITUTE(TEXT(Overig!M1201,""",""?00;"",""?-00;"",""?00;"", //"""),"'","""")&amp;SUBSTITUTE(TEXT(IF(ISTEXT(Overig!N1201),Overig!N1201,10*Overig!N1201),""",""????0;"",""???-0;"",""????0;"", ////"""),"'","""")&amp;SUBSTITUTE(TEXT(Overig!O1201,""",""?00;"",""?-00;"",""?00;"", //"""),"'","""")&amp;SUBSTITUTE(TEXT(IF(ISTEXT(Overig!P1201),Overig!P1201,10*Overig!P1201),""",""????0;"",""???-0;"",""????0;"", ////"""),"'","""")&amp;SUBSTITUTE(TEXT(Overig!Q1201,""",""?00;"",""?-00;"",""?00;"", //"""),"'","""")&amp;SUBSTITUTE(TEXT(Overig!R1201,""",""????0;"",""???-0;"",""????0;"", ////"""),"'","""")&amp;SUBSTITUTE(TEXT(Overig!S1201,""",""?00;"",""?-00;"",""?00;"", //"""),"'","""")&amp;SUBSTITUTE(TEXT(IF(ISTEXT(Overig!T1201),Overig!T1201,10*Overig!T1201),""",""????0;"",""???-0;"",""????0;"", ////"""),"'","""")&amp;SUBSTITUTE(TEXT(Overig!U1201,""",""?00;"",""?-00;"",""?00;"", //"""),"'","""")&amp;SUBSTITUTE(TEXT(Overig!V1201,""",""???0;"",""??-0;"",""???0;"", ///"""),"'","""")&amp;SUBSTITUTE(TEXT(Overig!W1201,""",""?00;"",""?-00;"",""?00;"", //"""),"'","""")</f>
        <v>032, 19401026, 24.00, ////, 07, ////, 07, ////, 07, ////, 07, ///, 07, ////, 07, ////, 07, ////, 07, ////, 07, ///, 07</v>
      </c>
    </row>
    <row r="1202" spans="1:1" x14ac:dyDescent="0.25">
      <c r="A1202" s="12" t="str">
        <f ca="1">TEXT(Overig!A1202,"000\,")&amp;TEXT(Overig!B1202,"?00000000")&amp;TEXT(Overig!C1202,""", ""@")&amp;SUBSTITUTE(TEXT(IF(ISTEXT(Overig!D1202),Overig!D1202,10*Overig!D1202),""",""????0;"",""???-0;"",""????0;"", ////"""),"'","""")&amp;SUBSTITUTE(TEXT(Overig!E1202,""",""?00;"",""?-00;"",""?00;"", //"""),"'","""")&amp;SUBSTITUTE(TEXT(IF(ISTEXT(Overig!F1202),Overig!F1202,10*Overig!F1202),""",""????0;"",""???-0;"",""????0;"", ////"""),"'","""")&amp;SUBSTITUTE(TEXT(Overig!G1202,""",""?00;"",""?-00;"",""?00;"", //"""),"'","""")&amp;SUBSTITUTE(TEXT(IF(ISTEXT(Overig!H1202),Overig!H1202,10*Overig!H1202),""",""????0;"",""???-0;"",""????0;"", ////"""),"'","""")&amp;SUBSTITUTE(TEXT(Overig!I1202,""",""?00;"",""?-00;"",""?00;"", //"""),"'","""")&amp;SUBSTITUTE(TEXT(IF(ISTEXT(Overig!J1202),Overig!J1202,10*Overig!J1202),""",""????0;"",""???-0;"",""????0;"", ////"""),"'","""")&amp;SUBSTITUTE(TEXT(Overig!K1202,""",""?00;"",""?-00;"",""?00;"", //"""),"'","""")&amp;SUBSTITUTE(TEXT(Overig!L1202,""",""???0;"",""??-0;"",""???0;"", ///"""),"'","""")&amp;SUBSTITUTE(TEXT(Overig!M1202,""",""?00;"",""?-00;"",""?00;"", //"""),"'","""")&amp;SUBSTITUTE(TEXT(IF(ISTEXT(Overig!N1202),Overig!N1202,10*Overig!N1202),""",""????0;"",""???-0;"",""????0;"", ////"""),"'","""")&amp;SUBSTITUTE(TEXT(Overig!O1202,""",""?00;"",""?-00;"",""?00;"", //"""),"'","""")&amp;SUBSTITUTE(TEXT(IF(ISTEXT(Overig!P1202),Overig!P1202,10*Overig!P1202),""",""????0;"",""???-0;"",""????0;"", ////"""),"'","""")&amp;SUBSTITUTE(TEXT(Overig!Q1202,""",""?00;"",""?-00;"",""?00;"", //"""),"'","""")&amp;SUBSTITUTE(TEXT(Overig!R1202,""",""????0;"",""???-0;"",""????0;"", ////"""),"'","""")&amp;SUBSTITUTE(TEXT(Overig!S1202,""",""?00;"",""?-00;"",""?00;"", //"""),"'","""")&amp;SUBSTITUTE(TEXT(IF(ISTEXT(Overig!T1202),Overig!T1202,10*Overig!T1202),""",""????0;"",""???-0;"",""????0;"", ////"""),"'","""")&amp;SUBSTITUTE(TEXT(Overig!U1202,""",""?00;"",""?-00;"",""?00;"", //"""),"'","""")&amp;SUBSTITUTE(TEXT(Overig!V1202,""",""???0;"",""??-0;"",""???0;"", ///"""),"'","""")&amp;SUBSTITUTE(TEXT(Overig!W1202,""",""?00;"",""?-00;"",""?00;"", //"""),"'","""")</f>
        <v>032, 19401027, 07.00, ////, 07, ////, 07, ////, 07, ////, 07, ///, 07, ////, 07, ////, 07, ////, 07, ////, 07, ///, 07</v>
      </c>
    </row>
    <row r="1203" spans="1:1" x14ac:dyDescent="0.25">
      <c r="A1203" s="12" t="str">
        <f ca="1">TEXT(Overig!A1203,"000\,")&amp;TEXT(Overig!B1203,"?00000000")&amp;TEXT(Overig!C1203,""", ""@")&amp;SUBSTITUTE(TEXT(IF(ISTEXT(Overig!D1203),Overig!D1203,10*Overig!D1203),""",""????0;"",""???-0;"",""????0;"", ////"""),"'","""")&amp;SUBSTITUTE(TEXT(Overig!E1203,""",""?00;"",""?-00;"",""?00;"", //"""),"'","""")&amp;SUBSTITUTE(TEXT(IF(ISTEXT(Overig!F1203),Overig!F1203,10*Overig!F1203),""",""????0;"",""???-0;"",""????0;"", ////"""),"'","""")&amp;SUBSTITUTE(TEXT(Overig!G1203,""",""?00;"",""?-00;"",""?00;"", //"""),"'","""")&amp;SUBSTITUTE(TEXT(IF(ISTEXT(Overig!H1203),Overig!H1203,10*Overig!H1203),""",""????0;"",""???-0;"",""????0;"", ////"""),"'","""")&amp;SUBSTITUTE(TEXT(Overig!I1203,""",""?00;"",""?-00;"",""?00;"", //"""),"'","""")&amp;SUBSTITUTE(TEXT(IF(ISTEXT(Overig!J1203),Overig!J1203,10*Overig!J1203),""",""????0;"",""???-0;"",""????0;"", ////"""),"'","""")&amp;SUBSTITUTE(TEXT(Overig!K1203,""",""?00;"",""?-00;"",""?00;"", //"""),"'","""")&amp;SUBSTITUTE(TEXT(Overig!L1203,""",""???0;"",""??-0;"",""???0;"", ///"""),"'","""")&amp;SUBSTITUTE(TEXT(Overig!M1203,""",""?00;"",""?-00;"",""?00;"", //"""),"'","""")&amp;SUBSTITUTE(TEXT(IF(ISTEXT(Overig!N1203),Overig!N1203,10*Overig!N1203),""",""????0;"",""???-0;"",""????0;"", ////"""),"'","""")&amp;SUBSTITUTE(TEXT(Overig!O1203,""",""?00;"",""?-00;"",""?00;"", //"""),"'","""")&amp;SUBSTITUTE(TEXT(IF(ISTEXT(Overig!P1203),Overig!P1203,10*Overig!P1203),""",""????0;"",""???-0;"",""????0;"", ////"""),"'","""")&amp;SUBSTITUTE(TEXT(Overig!Q1203,""",""?00;"",""?-00;"",""?00;"", //"""),"'","""")&amp;SUBSTITUTE(TEXT(Overig!R1203,""",""????0;"",""???-0;"",""????0;"", ////"""),"'","""")&amp;SUBSTITUTE(TEXT(Overig!S1203,""",""?00;"",""?-00;"",""?00;"", //"""),"'","""")&amp;SUBSTITUTE(TEXT(IF(ISTEXT(Overig!T1203),Overig!T1203,10*Overig!T1203),""",""????0;"",""???-0;"",""????0;"", ////"""),"'","""")&amp;SUBSTITUTE(TEXT(Overig!U1203,""",""?00;"",""?-00;"",""?00;"", //"""),"'","""")&amp;SUBSTITUTE(TEXT(Overig!V1203,""",""???0;"",""??-0;"",""???0;"", ///"""),"'","""")&amp;SUBSTITUTE(TEXT(Overig!W1203,""",""?00;"",""?-00;"",""?00;"", //"""),"'","""")</f>
        <v>032, 19401027, 12.00, ////, 07, ////, 07, ////, 07, ////, 07, ///, 07, ////, 07, ////, 07, ////, 07, ////, 07, ///, 07</v>
      </c>
    </row>
    <row r="1204" spans="1:1" x14ac:dyDescent="0.25">
      <c r="A1204" s="12" t="str">
        <f ca="1">TEXT(Overig!A1204,"000\,")&amp;TEXT(Overig!B1204,"?00000000")&amp;TEXT(Overig!C1204,""", ""@")&amp;SUBSTITUTE(TEXT(IF(ISTEXT(Overig!D1204),Overig!D1204,10*Overig!D1204),""",""????0;"",""???-0;"",""????0;"", ////"""),"'","""")&amp;SUBSTITUTE(TEXT(Overig!E1204,""",""?00;"",""?-00;"",""?00;"", //"""),"'","""")&amp;SUBSTITUTE(TEXT(IF(ISTEXT(Overig!F1204),Overig!F1204,10*Overig!F1204),""",""????0;"",""???-0;"",""????0;"", ////"""),"'","""")&amp;SUBSTITUTE(TEXT(Overig!G1204,""",""?00;"",""?-00;"",""?00;"", //"""),"'","""")&amp;SUBSTITUTE(TEXT(IF(ISTEXT(Overig!H1204),Overig!H1204,10*Overig!H1204),""",""????0;"",""???-0;"",""????0;"", ////"""),"'","""")&amp;SUBSTITUTE(TEXT(Overig!I1204,""",""?00;"",""?-00;"",""?00;"", //"""),"'","""")&amp;SUBSTITUTE(TEXT(IF(ISTEXT(Overig!J1204),Overig!J1204,10*Overig!J1204),""",""????0;"",""???-0;"",""????0;"", ////"""),"'","""")&amp;SUBSTITUTE(TEXT(Overig!K1204,""",""?00;"",""?-00;"",""?00;"", //"""),"'","""")&amp;SUBSTITUTE(TEXT(Overig!L1204,""",""???0;"",""??-0;"",""???0;"", ///"""),"'","""")&amp;SUBSTITUTE(TEXT(Overig!M1204,""",""?00;"",""?-00;"",""?00;"", //"""),"'","""")&amp;SUBSTITUTE(TEXT(IF(ISTEXT(Overig!N1204),Overig!N1204,10*Overig!N1204),""",""????0;"",""???-0;"",""????0;"", ////"""),"'","""")&amp;SUBSTITUTE(TEXT(Overig!O1204,""",""?00;"",""?-00;"",""?00;"", //"""),"'","""")&amp;SUBSTITUTE(TEXT(IF(ISTEXT(Overig!P1204),Overig!P1204,10*Overig!P1204),""",""????0;"",""???-0;"",""????0;"", ////"""),"'","""")&amp;SUBSTITUTE(TEXT(Overig!Q1204,""",""?00;"",""?-00;"",""?00;"", //"""),"'","""")&amp;SUBSTITUTE(TEXT(Overig!R1204,""",""????0;"",""???-0;"",""????0;"", ////"""),"'","""")&amp;SUBSTITUTE(TEXT(Overig!S1204,""",""?00;"",""?-00;"",""?00;"", //"""),"'","""")&amp;SUBSTITUTE(TEXT(IF(ISTEXT(Overig!T1204),Overig!T1204,10*Overig!T1204),""",""????0;"",""???-0;"",""????0;"", ////"""),"'","""")&amp;SUBSTITUTE(TEXT(Overig!U1204,""",""?00;"",""?-00;"",""?00;"", //"""),"'","""")&amp;SUBSTITUTE(TEXT(Overig!V1204,""",""???0;"",""??-0;"",""???0;"", ///"""),"'","""")&amp;SUBSTITUTE(TEXT(Overig!W1204,""",""?00;"",""?-00;"",""?00;"", //"""),"'","""")</f>
        <v>032, 19401027, 17.00, ////, 07, ////, 07, ////, 07, ////, 07, ///, 07, ////, 07, ////, 07, ////, 07, ////, 07, ///, 07</v>
      </c>
    </row>
    <row r="1205" spans="1:1" x14ac:dyDescent="0.25">
      <c r="A1205" s="12" t="str">
        <f ca="1">TEXT(Overig!A1205,"000\,")&amp;TEXT(Overig!B1205,"?00000000")&amp;TEXT(Overig!C1205,""", ""@")&amp;SUBSTITUTE(TEXT(IF(ISTEXT(Overig!D1205),Overig!D1205,10*Overig!D1205),""",""????0;"",""???-0;"",""????0;"", ////"""),"'","""")&amp;SUBSTITUTE(TEXT(Overig!E1205,""",""?00;"",""?-00;"",""?00;"", //"""),"'","""")&amp;SUBSTITUTE(TEXT(IF(ISTEXT(Overig!F1205),Overig!F1205,10*Overig!F1205),""",""????0;"",""???-0;"",""????0;"", ////"""),"'","""")&amp;SUBSTITUTE(TEXT(Overig!G1205,""",""?00;"",""?-00;"",""?00;"", //"""),"'","""")&amp;SUBSTITUTE(TEXT(IF(ISTEXT(Overig!H1205),Overig!H1205,10*Overig!H1205),""",""????0;"",""???-0;"",""????0;"", ////"""),"'","""")&amp;SUBSTITUTE(TEXT(Overig!I1205,""",""?00;"",""?-00;"",""?00;"", //"""),"'","""")&amp;SUBSTITUTE(TEXT(IF(ISTEXT(Overig!J1205),Overig!J1205,10*Overig!J1205),""",""????0;"",""???-0;"",""????0;"", ////"""),"'","""")&amp;SUBSTITUTE(TEXT(Overig!K1205,""",""?00;"",""?-00;"",""?00;"", //"""),"'","""")&amp;SUBSTITUTE(TEXT(Overig!L1205,""",""???0;"",""??-0;"",""???0;"", ///"""),"'","""")&amp;SUBSTITUTE(TEXT(Overig!M1205,""",""?00;"",""?-00;"",""?00;"", //"""),"'","""")&amp;SUBSTITUTE(TEXT(IF(ISTEXT(Overig!N1205),Overig!N1205,10*Overig!N1205),""",""????0;"",""???-0;"",""????0;"", ////"""),"'","""")&amp;SUBSTITUTE(TEXT(Overig!O1205,""",""?00;"",""?-00;"",""?00;"", //"""),"'","""")&amp;SUBSTITUTE(TEXT(IF(ISTEXT(Overig!P1205),Overig!P1205,10*Overig!P1205),""",""????0;"",""???-0;"",""????0;"", ////"""),"'","""")&amp;SUBSTITUTE(TEXT(Overig!Q1205,""",""?00;"",""?-00;"",""?00;"", //"""),"'","""")&amp;SUBSTITUTE(TEXT(Overig!R1205,""",""????0;"",""???-0;"",""????0;"", ////"""),"'","""")&amp;SUBSTITUTE(TEXT(Overig!S1205,""",""?00;"",""?-00;"",""?00;"", //"""),"'","""")&amp;SUBSTITUTE(TEXT(IF(ISTEXT(Overig!T1205),Overig!T1205,10*Overig!T1205),""",""????0;"",""???-0;"",""????0;"", ////"""),"'","""")&amp;SUBSTITUTE(TEXT(Overig!U1205,""",""?00;"",""?-00;"",""?00;"", //"""),"'","""")&amp;SUBSTITUTE(TEXT(Overig!V1205,""",""???0;"",""??-0;"",""???0;"", ///"""),"'","""")&amp;SUBSTITUTE(TEXT(Overig!W1205,""",""?00;"",""?-00;"",""?00;"", //"""),"'","""")</f>
        <v>032, 19401027, 24.00, ////, 07, ////, 07, ////, 07, ////, 07, ///, 07, ////, 07, ////, 07, ////, 07, ////, 07, ///, 07</v>
      </c>
    </row>
    <row r="1206" spans="1:1" x14ac:dyDescent="0.25">
      <c r="A1206" s="12" t="str">
        <f ca="1">TEXT(Overig!A1206,"000\,")&amp;TEXT(Overig!B1206,"?00000000")&amp;TEXT(Overig!C1206,""", ""@")&amp;SUBSTITUTE(TEXT(IF(ISTEXT(Overig!D1206),Overig!D1206,10*Overig!D1206),""",""????0;"",""???-0;"",""????0;"", ////"""),"'","""")&amp;SUBSTITUTE(TEXT(Overig!E1206,""",""?00;"",""?-00;"",""?00;"", //"""),"'","""")&amp;SUBSTITUTE(TEXT(IF(ISTEXT(Overig!F1206),Overig!F1206,10*Overig!F1206),""",""????0;"",""???-0;"",""????0;"", ////"""),"'","""")&amp;SUBSTITUTE(TEXT(Overig!G1206,""",""?00;"",""?-00;"",""?00;"", //"""),"'","""")&amp;SUBSTITUTE(TEXT(IF(ISTEXT(Overig!H1206),Overig!H1206,10*Overig!H1206),""",""????0;"",""???-0;"",""????0;"", ////"""),"'","""")&amp;SUBSTITUTE(TEXT(Overig!I1206,""",""?00;"",""?-00;"",""?00;"", //"""),"'","""")&amp;SUBSTITUTE(TEXT(IF(ISTEXT(Overig!J1206),Overig!J1206,10*Overig!J1206),""",""????0;"",""???-0;"",""????0;"", ////"""),"'","""")&amp;SUBSTITUTE(TEXT(Overig!K1206,""",""?00;"",""?-00;"",""?00;"", //"""),"'","""")&amp;SUBSTITUTE(TEXT(Overig!L1206,""",""???0;"",""??-0;"",""???0;"", ///"""),"'","""")&amp;SUBSTITUTE(TEXT(Overig!M1206,""",""?00;"",""?-00;"",""?00;"", //"""),"'","""")&amp;SUBSTITUTE(TEXT(IF(ISTEXT(Overig!N1206),Overig!N1206,10*Overig!N1206),""",""????0;"",""???-0;"",""????0;"", ////"""),"'","""")&amp;SUBSTITUTE(TEXT(Overig!O1206,""",""?00;"",""?-00;"",""?00;"", //"""),"'","""")&amp;SUBSTITUTE(TEXT(IF(ISTEXT(Overig!P1206),Overig!P1206,10*Overig!P1206),""",""????0;"",""???-0;"",""????0;"", ////"""),"'","""")&amp;SUBSTITUTE(TEXT(Overig!Q1206,""",""?00;"",""?-00;"",""?00;"", //"""),"'","""")&amp;SUBSTITUTE(TEXT(Overig!R1206,""",""????0;"",""???-0;"",""????0;"", ////"""),"'","""")&amp;SUBSTITUTE(TEXT(Overig!S1206,""",""?00;"",""?-00;"",""?00;"", //"""),"'","""")&amp;SUBSTITUTE(TEXT(IF(ISTEXT(Overig!T1206),Overig!T1206,10*Overig!T1206),""",""????0;"",""???-0;"",""????0;"", ////"""),"'","""")&amp;SUBSTITUTE(TEXT(Overig!U1206,""",""?00;"",""?-00;"",""?00;"", //"""),"'","""")&amp;SUBSTITUTE(TEXT(Overig!V1206,""",""???0;"",""??-0;"",""???0;"", ///"""),"'","""")&amp;SUBSTITUTE(TEXT(Overig!W1206,""",""?00;"",""?-00;"",""?00;"", //"""),"'","""")</f>
        <v>032, 19401028, 07.00, ////, 07, ////, 07, ////, 07, ////, 07, ///, 07, ////, 07, ////, 07, ////, 07, ////, 07, ///, 07</v>
      </c>
    </row>
    <row r="1207" spans="1:1" x14ac:dyDescent="0.25">
      <c r="A1207" s="12" t="str">
        <f ca="1">TEXT(Overig!A1207,"000\,")&amp;TEXT(Overig!B1207,"?00000000")&amp;TEXT(Overig!C1207,""", ""@")&amp;SUBSTITUTE(TEXT(IF(ISTEXT(Overig!D1207),Overig!D1207,10*Overig!D1207),""",""????0;"",""???-0;"",""????0;"", ////"""),"'","""")&amp;SUBSTITUTE(TEXT(Overig!E1207,""",""?00;"",""?-00;"",""?00;"", //"""),"'","""")&amp;SUBSTITUTE(TEXT(IF(ISTEXT(Overig!F1207),Overig!F1207,10*Overig!F1207),""",""????0;"",""???-0;"",""????0;"", ////"""),"'","""")&amp;SUBSTITUTE(TEXT(Overig!G1207,""",""?00;"",""?-00;"",""?00;"", //"""),"'","""")&amp;SUBSTITUTE(TEXT(IF(ISTEXT(Overig!H1207),Overig!H1207,10*Overig!H1207),""",""????0;"",""???-0;"",""????0;"", ////"""),"'","""")&amp;SUBSTITUTE(TEXT(Overig!I1207,""",""?00;"",""?-00;"",""?00;"", //"""),"'","""")&amp;SUBSTITUTE(TEXT(IF(ISTEXT(Overig!J1207),Overig!J1207,10*Overig!J1207),""",""????0;"",""???-0;"",""????0;"", ////"""),"'","""")&amp;SUBSTITUTE(TEXT(Overig!K1207,""",""?00;"",""?-00;"",""?00;"", //"""),"'","""")&amp;SUBSTITUTE(TEXT(Overig!L1207,""",""???0;"",""??-0;"",""???0;"", ///"""),"'","""")&amp;SUBSTITUTE(TEXT(Overig!M1207,""",""?00;"",""?-00;"",""?00;"", //"""),"'","""")&amp;SUBSTITUTE(TEXT(IF(ISTEXT(Overig!N1207),Overig!N1207,10*Overig!N1207),""",""????0;"",""???-0;"",""????0;"", ////"""),"'","""")&amp;SUBSTITUTE(TEXT(Overig!O1207,""",""?00;"",""?-00;"",""?00;"", //"""),"'","""")&amp;SUBSTITUTE(TEXT(IF(ISTEXT(Overig!P1207),Overig!P1207,10*Overig!P1207),""",""????0;"",""???-0;"",""????0;"", ////"""),"'","""")&amp;SUBSTITUTE(TEXT(Overig!Q1207,""",""?00;"",""?-00;"",""?00;"", //"""),"'","""")&amp;SUBSTITUTE(TEXT(Overig!R1207,""",""????0;"",""???-0;"",""????0;"", ////"""),"'","""")&amp;SUBSTITUTE(TEXT(Overig!S1207,""",""?00;"",""?-00;"",""?00;"", //"""),"'","""")&amp;SUBSTITUTE(TEXT(IF(ISTEXT(Overig!T1207),Overig!T1207,10*Overig!T1207),""",""????0;"",""???-0;"",""????0;"", ////"""),"'","""")&amp;SUBSTITUTE(TEXT(Overig!U1207,""",""?00;"",""?-00;"",""?00;"", //"""),"'","""")&amp;SUBSTITUTE(TEXT(Overig!V1207,""",""???0;"",""??-0;"",""???0;"", ///"""),"'","""")&amp;SUBSTITUTE(TEXT(Overig!W1207,""",""?00;"",""?-00;"",""?00;"", //"""),"'","""")</f>
        <v>032, 19401028, 12.00, ////, 07, ////, 07, ////, 07, ////, 07, ///, 07, ////, 07, ////, 07, ////, 07, ////, 07, ///, 07</v>
      </c>
    </row>
    <row r="1208" spans="1:1" x14ac:dyDescent="0.25">
      <c r="A1208" s="12" t="str">
        <f ca="1">TEXT(Overig!A1208,"000\,")&amp;TEXT(Overig!B1208,"?00000000")&amp;TEXT(Overig!C1208,""", ""@")&amp;SUBSTITUTE(TEXT(IF(ISTEXT(Overig!D1208),Overig!D1208,10*Overig!D1208),""",""????0;"",""???-0;"",""????0;"", ////"""),"'","""")&amp;SUBSTITUTE(TEXT(Overig!E1208,""",""?00;"",""?-00;"",""?00;"", //"""),"'","""")&amp;SUBSTITUTE(TEXT(IF(ISTEXT(Overig!F1208),Overig!F1208,10*Overig!F1208),""",""????0;"",""???-0;"",""????0;"", ////"""),"'","""")&amp;SUBSTITUTE(TEXT(Overig!G1208,""",""?00;"",""?-00;"",""?00;"", //"""),"'","""")&amp;SUBSTITUTE(TEXT(IF(ISTEXT(Overig!H1208),Overig!H1208,10*Overig!H1208),""",""????0;"",""???-0;"",""????0;"", ////"""),"'","""")&amp;SUBSTITUTE(TEXT(Overig!I1208,""",""?00;"",""?-00;"",""?00;"", //"""),"'","""")&amp;SUBSTITUTE(TEXT(IF(ISTEXT(Overig!J1208),Overig!J1208,10*Overig!J1208),""",""????0;"",""???-0;"",""????0;"", ////"""),"'","""")&amp;SUBSTITUTE(TEXT(Overig!K1208,""",""?00;"",""?-00;"",""?00;"", //"""),"'","""")&amp;SUBSTITUTE(TEXT(Overig!L1208,""",""???0;"",""??-0;"",""???0;"", ///"""),"'","""")&amp;SUBSTITUTE(TEXT(Overig!M1208,""",""?00;"",""?-00;"",""?00;"", //"""),"'","""")&amp;SUBSTITUTE(TEXT(IF(ISTEXT(Overig!N1208),Overig!N1208,10*Overig!N1208),""",""????0;"",""???-0;"",""????0;"", ////"""),"'","""")&amp;SUBSTITUTE(TEXT(Overig!O1208,""",""?00;"",""?-00;"",""?00;"", //"""),"'","""")&amp;SUBSTITUTE(TEXT(IF(ISTEXT(Overig!P1208),Overig!P1208,10*Overig!P1208),""",""????0;"",""???-0;"",""????0;"", ////"""),"'","""")&amp;SUBSTITUTE(TEXT(Overig!Q1208,""",""?00;"",""?-00;"",""?00;"", //"""),"'","""")&amp;SUBSTITUTE(TEXT(Overig!R1208,""",""????0;"",""???-0;"",""????0;"", ////"""),"'","""")&amp;SUBSTITUTE(TEXT(Overig!S1208,""",""?00;"",""?-00;"",""?00;"", //"""),"'","""")&amp;SUBSTITUTE(TEXT(IF(ISTEXT(Overig!T1208),Overig!T1208,10*Overig!T1208),""",""????0;"",""???-0;"",""????0;"", ////"""),"'","""")&amp;SUBSTITUTE(TEXT(Overig!U1208,""",""?00;"",""?-00;"",""?00;"", //"""),"'","""")&amp;SUBSTITUTE(TEXT(Overig!V1208,""",""???0;"",""??-0;"",""???0;"", ///"""),"'","""")&amp;SUBSTITUTE(TEXT(Overig!W1208,""",""?00;"",""?-00;"",""?00;"", //"""),"'","""")</f>
        <v>032, 19401028, 17.00, ////, 07, ////, 07, ////, 07, ////, 07, ///, 07, ////, 07, ////, 07, ////, 07, ////, 07, ///, 07</v>
      </c>
    </row>
    <row r="1209" spans="1:1" x14ac:dyDescent="0.25">
      <c r="A1209" s="12" t="str">
        <f ca="1">TEXT(Overig!A1209,"000\,")&amp;TEXT(Overig!B1209,"?00000000")&amp;TEXT(Overig!C1209,""", ""@")&amp;SUBSTITUTE(TEXT(IF(ISTEXT(Overig!D1209),Overig!D1209,10*Overig!D1209),""",""????0;"",""???-0;"",""????0;"", ////"""),"'","""")&amp;SUBSTITUTE(TEXT(Overig!E1209,""",""?00;"",""?-00;"",""?00;"", //"""),"'","""")&amp;SUBSTITUTE(TEXT(IF(ISTEXT(Overig!F1209),Overig!F1209,10*Overig!F1209),""",""????0;"",""???-0;"",""????0;"", ////"""),"'","""")&amp;SUBSTITUTE(TEXT(Overig!G1209,""",""?00;"",""?-00;"",""?00;"", //"""),"'","""")&amp;SUBSTITUTE(TEXT(IF(ISTEXT(Overig!H1209),Overig!H1209,10*Overig!H1209),""",""????0;"",""???-0;"",""????0;"", ////"""),"'","""")&amp;SUBSTITUTE(TEXT(Overig!I1209,""",""?00;"",""?-00;"",""?00;"", //"""),"'","""")&amp;SUBSTITUTE(TEXT(IF(ISTEXT(Overig!J1209),Overig!J1209,10*Overig!J1209),""",""????0;"",""???-0;"",""????0;"", ////"""),"'","""")&amp;SUBSTITUTE(TEXT(Overig!K1209,""",""?00;"",""?-00;"",""?00;"", //"""),"'","""")&amp;SUBSTITUTE(TEXT(Overig!L1209,""",""???0;"",""??-0;"",""???0;"", ///"""),"'","""")&amp;SUBSTITUTE(TEXT(Overig!M1209,""",""?00;"",""?-00;"",""?00;"", //"""),"'","""")&amp;SUBSTITUTE(TEXT(IF(ISTEXT(Overig!N1209),Overig!N1209,10*Overig!N1209),""",""????0;"",""???-0;"",""????0;"", ////"""),"'","""")&amp;SUBSTITUTE(TEXT(Overig!O1209,""",""?00;"",""?-00;"",""?00;"", //"""),"'","""")&amp;SUBSTITUTE(TEXT(IF(ISTEXT(Overig!P1209),Overig!P1209,10*Overig!P1209),""",""????0;"",""???-0;"",""????0;"", ////"""),"'","""")&amp;SUBSTITUTE(TEXT(Overig!Q1209,""",""?00;"",""?-00;"",""?00;"", //"""),"'","""")&amp;SUBSTITUTE(TEXT(Overig!R1209,""",""????0;"",""???-0;"",""????0;"", ////"""),"'","""")&amp;SUBSTITUTE(TEXT(Overig!S1209,""",""?00;"",""?-00;"",""?00;"", //"""),"'","""")&amp;SUBSTITUTE(TEXT(IF(ISTEXT(Overig!T1209),Overig!T1209,10*Overig!T1209),""",""????0;"",""???-0;"",""????0;"", ////"""),"'","""")&amp;SUBSTITUTE(TEXT(Overig!U1209,""",""?00;"",""?-00;"",""?00;"", //"""),"'","""")&amp;SUBSTITUTE(TEXT(Overig!V1209,""",""???0;"",""??-0;"",""???0;"", ///"""),"'","""")&amp;SUBSTITUTE(TEXT(Overig!W1209,""",""?00;"",""?-00;"",""?00;"", //"""),"'","""")</f>
        <v>032, 19401028, 24.00, ////, 07, ////, 07, ////, 07, ////, 07, ///, 07, ////, 07, ////, 07, ////, 07, ////, 07, ///, 07</v>
      </c>
    </row>
    <row r="1210" spans="1:1" x14ac:dyDescent="0.25">
      <c r="A1210" s="12" t="str">
        <f ca="1">TEXT(Overig!A1210,"000\,")&amp;TEXT(Overig!B1210,"?00000000")&amp;TEXT(Overig!C1210,""", ""@")&amp;SUBSTITUTE(TEXT(IF(ISTEXT(Overig!D1210),Overig!D1210,10*Overig!D1210),""",""????0;"",""???-0;"",""????0;"", ////"""),"'","""")&amp;SUBSTITUTE(TEXT(Overig!E1210,""",""?00;"",""?-00;"",""?00;"", //"""),"'","""")&amp;SUBSTITUTE(TEXT(IF(ISTEXT(Overig!F1210),Overig!F1210,10*Overig!F1210),""",""????0;"",""???-0;"",""????0;"", ////"""),"'","""")&amp;SUBSTITUTE(TEXT(Overig!G1210,""",""?00;"",""?-00;"",""?00;"", //"""),"'","""")&amp;SUBSTITUTE(TEXT(IF(ISTEXT(Overig!H1210),Overig!H1210,10*Overig!H1210),""",""????0;"",""???-0;"",""????0;"", ////"""),"'","""")&amp;SUBSTITUTE(TEXT(Overig!I1210,""",""?00;"",""?-00;"",""?00;"", //"""),"'","""")&amp;SUBSTITUTE(TEXT(IF(ISTEXT(Overig!J1210),Overig!J1210,10*Overig!J1210),""",""????0;"",""???-0;"",""????0;"", ////"""),"'","""")&amp;SUBSTITUTE(TEXT(Overig!K1210,""",""?00;"",""?-00;"",""?00;"", //"""),"'","""")&amp;SUBSTITUTE(TEXT(Overig!L1210,""",""???0;"",""??-0;"",""???0;"", ///"""),"'","""")&amp;SUBSTITUTE(TEXT(Overig!M1210,""",""?00;"",""?-00;"",""?00;"", //"""),"'","""")&amp;SUBSTITUTE(TEXT(IF(ISTEXT(Overig!N1210),Overig!N1210,10*Overig!N1210),""",""????0;"",""???-0;"",""????0;"", ////"""),"'","""")&amp;SUBSTITUTE(TEXT(Overig!O1210,""",""?00;"",""?-00;"",""?00;"", //"""),"'","""")&amp;SUBSTITUTE(TEXT(IF(ISTEXT(Overig!P1210),Overig!P1210,10*Overig!P1210),""",""????0;"",""???-0;"",""????0;"", ////"""),"'","""")&amp;SUBSTITUTE(TEXT(Overig!Q1210,""",""?00;"",""?-00;"",""?00;"", //"""),"'","""")&amp;SUBSTITUTE(TEXT(Overig!R1210,""",""????0;"",""???-0;"",""????0;"", ////"""),"'","""")&amp;SUBSTITUTE(TEXT(Overig!S1210,""",""?00;"",""?-00;"",""?00;"", //"""),"'","""")&amp;SUBSTITUTE(TEXT(IF(ISTEXT(Overig!T1210),Overig!T1210,10*Overig!T1210),""",""????0;"",""???-0;"",""????0;"", ////"""),"'","""")&amp;SUBSTITUTE(TEXT(Overig!U1210,""",""?00;"",""?-00;"",""?00;"", //"""),"'","""")&amp;SUBSTITUTE(TEXT(Overig!V1210,""",""???0;"",""??-0;"",""???0;"", ///"""),"'","""")&amp;SUBSTITUTE(TEXT(Overig!W1210,""",""?00;"",""?-00;"",""?00;"", //"""),"'","""")</f>
        <v>032, 19401029, 07.00, ////, 07, ////, 07, ////, 07, ////, 07, ///, 07, ////, 07, ////, 07, ////, 07, ////, 07, ///, 07</v>
      </c>
    </row>
    <row r="1211" spans="1:1" x14ac:dyDescent="0.25">
      <c r="A1211" s="12" t="str">
        <f ca="1">TEXT(Overig!A1211,"000\,")&amp;TEXT(Overig!B1211,"?00000000")&amp;TEXT(Overig!C1211,""", ""@")&amp;SUBSTITUTE(TEXT(IF(ISTEXT(Overig!D1211),Overig!D1211,10*Overig!D1211),""",""????0;"",""???-0;"",""????0;"", ////"""),"'","""")&amp;SUBSTITUTE(TEXT(Overig!E1211,""",""?00;"",""?-00;"",""?00;"", //"""),"'","""")&amp;SUBSTITUTE(TEXT(IF(ISTEXT(Overig!F1211),Overig!F1211,10*Overig!F1211),""",""????0;"",""???-0;"",""????0;"", ////"""),"'","""")&amp;SUBSTITUTE(TEXT(Overig!G1211,""",""?00;"",""?-00;"",""?00;"", //"""),"'","""")&amp;SUBSTITUTE(TEXT(IF(ISTEXT(Overig!H1211),Overig!H1211,10*Overig!H1211),""",""????0;"",""???-0;"",""????0;"", ////"""),"'","""")&amp;SUBSTITUTE(TEXT(Overig!I1211,""",""?00;"",""?-00;"",""?00;"", //"""),"'","""")&amp;SUBSTITUTE(TEXT(IF(ISTEXT(Overig!J1211),Overig!J1211,10*Overig!J1211),""",""????0;"",""???-0;"",""????0;"", ////"""),"'","""")&amp;SUBSTITUTE(TEXT(Overig!K1211,""",""?00;"",""?-00;"",""?00;"", //"""),"'","""")&amp;SUBSTITUTE(TEXT(Overig!L1211,""",""???0;"",""??-0;"",""???0;"", ///"""),"'","""")&amp;SUBSTITUTE(TEXT(Overig!M1211,""",""?00;"",""?-00;"",""?00;"", //"""),"'","""")&amp;SUBSTITUTE(TEXT(IF(ISTEXT(Overig!N1211),Overig!N1211,10*Overig!N1211),""",""????0;"",""???-0;"",""????0;"", ////"""),"'","""")&amp;SUBSTITUTE(TEXT(Overig!O1211,""",""?00;"",""?-00;"",""?00;"", //"""),"'","""")&amp;SUBSTITUTE(TEXT(IF(ISTEXT(Overig!P1211),Overig!P1211,10*Overig!P1211),""",""????0;"",""???-0;"",""????0;"", ////"""),"'","""")&amp;SUBSTITUTE(TEXT(Overig!Q1211,""",""?00;"",""?-00;"",""?00;"", //"""),"'","""")&amp;SUBSTITUTE(TEXT(Overig!R1211,""",""????0;"",""???-0;"",""????0;"", ////"""),"'","""")&amp;SUBSTITUTE(TEXT(Overig!S1211,""",""?00;"",""?-00;"",""?00;"", //"""),"'","""")&amp;SUBSTITUTE(TEXT(IF(ISTEXT(Overig!T1211),Overig!T1211,10*Overig!T1211),""",""????0;"",""???-0;"",""????0;"", ////"""),"'","""")&amp;SUBSTITUTE(TEXT(Overig!U1211,""",""?00;"",""?-00;"",""?00;"", //"""),"'","""")&amp;SUBSTITUTE(TEXT(Overig!V1211,""",""???0;"",""??-0;"",""???0;"", ///"""),"'","""")&amp;SUBSTITUTE(TEXT(Overig!W1211,""",""?00;"",""?-00;"",""?00;"", //"""),"'","""")</f>
        <v>032, 19401029, 12.00, ////, 07, ////, 07, ////, 07, ////, 07, ///, 07, ////, 07, ////, 07, ////, 07, ////, 07, ///, 07</v>
      </c>
    </row>
    <row r="1212" spans="1:1" x14ac:dyDescent="0.25">
      <c r="A1212" s="12" t="str">
        <f ca="1">TEXT(Overig!A1212,"000\,")&amp;TEXT(Overig!B1212,"?00000000")&amp;TEXT(Overig!C1212,""", ""@")&amp;SUBSTITUTE(TEXT(IF(ISTEXT(Overig!D1212),Overig!D1212,10*Overig!D1212),""",""????0;"",""???-0;"",""????0;"", ////"""),"'","""")&amp;SUBSTITUTE(TEXT(Overig!E1212,""",""?00;"",""?-00;"",""?00;"", //"""),"'","""")&amp;SUBSTITUTE(TEXT(IF(ISTEXT(Overig!F1212),Overig!F1212,10*Overig!F1212),""",""????0;"",""???-0;"",""????0;"", ////"""),"'","""")&amp;SUBSTITUTE(TEXT(Overig!G1212,""",""?00;"",""?-00;"",""?00;"", //"""),"'","""")&amp;SUBSTITUTE(TEXT(IF(ISTEXT(Overig!H1212),Overig!H1212,10*Overig!H1212),""",""????0;"",""???-0;"",""????0;"", ////"""),"'","""")&amp;SUBSTITUTE(TEXT(Overig!I1212,""",""?00;"",""?-00;"",""?00;"", //"""),"'","""")&amp;SUBSTITUTE(TEXT(IF(ISTEXT(Overig!J1212),Overig!J1212,10*Overig!J1212),""",""????0;"",""???-0;"",""????0;"", ////"""),"'","""")&amp;SUBSTITUTE(TEXT(Overig!K1212,""",""?00;"",""?-00;"",""?00;"", //"""),"'","""")&amp;SUBSTITUTE(TEXT(Overig!L1212,""",""???0;"",""??-0;"",""???0;"", ///"""),"'","""")&amp;SUBSTITUTE(TEXT(Overig!M1212,""",""?00;"",""?-00;"",""?00;"", //"""),"'","""")&amp;SUBSTITUTE(TEXT(IF(ISTEXT(Overig!N1212),Overig!N1212,10*Overig!N1212),""",""????0;"",""???-0;"",""????0;"", ////"""),"'","""")&amp;SUBSTITUTE(TEXT(Overig!O1212,""",""?00;"",""?-00;"",""?00;"", //"""),"'","""")&amp;SUBSTITUTE(TEXT(IF(ISTEXT(Overig!P1212),Overig!P1212,10*Overig!P1212),""",""????0;"",""???-0;"",""????0;"", ////"""),"'","""")&amp;SUBSTITUTE(TEXT(Overig!Q1212,""",""?00;"",""?-00;"",""?00;"", //"""),"'","""")&amp;SUBSTITUTE(TEXT(Overig!R1212,""",""????0;"",""???-0;"",""????0;"", ////"""),"'","""")&amp;SUBSTITUTE(TEXT(Overig!S1212,""",""?00;"",""?-00;"",""?00;"", //"""),"'","""")&amp;SUBSTITUTE(TEXT(IF(ISTEXT(Overig!T1212),Overig!T1212,10*Overig!T1212),""",""????0;"",""???-0;"",""????0;"", ////"""),"'","""")&amp;SUBSTITUTE(TEXT(Overig!U1212,""",""?00;"",""?-00;"",""?00;"", //"""),"'","""")&amp;SUBSTITUTE(TEXT(Overig!V1212,""",""???0;"",""??-0;"",""???0;"", ///"""),"'","""")&amp;SUBSTITUTE(TEXT(Overig!W1212,""",""?00;"",""?-00;"",""?00;"", //"""),"'","""")</f>
        <v>032, 19401029, 17.00, ////, 07, ////, 07, ////, 07, ////, 07, ///, 07, ////, 07, ////, 07, ////, 07, ////, 07, ///, 07</v>
      </c>
    </row>
    <row r="1213" spans="1:1" x14ac:dyDescent="0.25">
      <c r="A1213" s="12" t="str">
        <f ca="1">TEXT(Overig!A1213,"000\,")&amp;TEXT(Overig!B1213,"?00000000")&amp;TEXT(Overig!C1213,""", ""@")&amp;SUBSTITUTE(TEXT(IF(ISTEXT(Overig!D1213),Overig!D1213,10*Overig!D1213),""",""????0;"",""???-0;"",""????0;"", ////"""),"'","""")&amp;SUBSTITUTE(TEXT(Overig!E1213,""",""?00;"",""?-00;"",""?00;"", //"""),"'","""")&amp;SUBSTITUTE(TEXT(IF(ISTEXT(Overig!F1213),Overig!F1213,10*Overig!F1213),""",""????0;"",""???-0;"",""????0;"", ////"""),"'","""")&amp;SUBSTITUTE(TEXT(Overig!G1213,""",""?00;"",""?-00;"",""?00;"", //"""),"'","""")&amp;SUBSTITUTE(TEXT(IF(ISTEXT(Overig!H1213),Overig!H1213,10*Overig!H1213),""",""????0;"",""???-0;"",""????0;"", ////"""),"'","""")&amp;SUBSTITUTE(TEXT(Overig!I1213,""",""?00;"",""?-00;"",""?00;"", //"""),"'","""")&amp;SUBSTITUTE(TEXT(IF(ISTEXT(Overig!J1213),Overig!J1213,10*Overig!J1213),""",""????0;"",""???-0;"",""????0;"", ////"""),"'","""")&amp;SUBSTITUTE(TEXT(Overig!K1213,""",""?00;"",""?-00;"",""?00;"", //"""),"'","""")&amp;SUBSTITUTE(TEXT(Overig!L1213,""",""???0;"",""??-0;"",""???0;"", ///"""),"'","""")&amp;SUBSTITUTE(TEXT(Overig!M1213,""",""?00;"",""?-00;"",""?00;"", //"""),"'","""")&amp;SUBSTITUTE(TEXT(IF(ISTEXT(Overig!N1213),Overig!N1213,10*Overig!N1213),""",""????0;"",""???-0;"",""????0;"", ////"""),"'","""")&amp;SUBSTITUTE(TEXT(Overig!O1213,""",""?00;"",""?-00;"",""?00;"", //"""),"'","""")&amp;SUBSTITUTE(TEXT(IF(ISTEXT(Overig!P1213),Overig!P1213,10*Overig!P1213),""",""????0;"",""???-0;"",""????0;"", ////"""),"'","""")&amp;SUBSTITUTE(TEXT(Overig!Q1213,""",""?00;"",""?-00;"",""?00;"", //"""),"'","""")&amp;SUBSTITUTE(TEXT(Overig!R1213,""",""????0;"",""???-0;"",""????0;"", ////"""),"'","""")&amp;SUBSTITUTE(TEXT(Overig!S1213,""",""?00;"",""?-00;"",""?00;"", //"""),"'","""")&amp;SUBSTITUTE(TEXT(IF(ISTEXT(Overig!T1213),Overig!T1213,10*Overig!T1213),""",""????0;"",""???-0;"",""????0;"", ////"""),"'","""")&amp;SUBSTITUTE(TEXT(Overig!U1213,""",""?00;"",""?-00;"",""?00;"", //"""),"'","""")&amp;SUBSTITUTE(TEXT(Overig!V1213,""",""???0;"",""??-0;"",""???0;"", ///"""),"'","""")&amp;SUBSTITUTE(TEXT(Overig!W1213,""",""?00;"",""?-00;"",""?00;"", //"""),"'","""")</f>
        <v>032, 19401029, 24.00, ////, 07, ////, 07, ////, 07, ////, 07, ///, 07, ////, 07, ////, 07, ////, 07, ////, 07, ///, 07</v>
      </c>
    </row>
    <row r="1214" spans="1:1" x14ac:dyDescent="0.25">
      <c r="A1214" s="12" t="str">
        <f ca="1">TEXT(Overig!A1214,"000\,")&amp;TEXT(Overig!B1214,"?00000000")&amp;TEXT(Overig!C1214,""", ""@")&amp;SUBSTITUTE(TEXT(IF(ISTEXT(Overig!D1214),Overig!D1214,10*Overig!D1214),""",""????0;"",""???-0;"",""????0;"", ////"""),"'","""")&amp;SUBSTITUTE(TEXT(Overig!E1214,""",""?00;"",""?-00;"",""?00;"", //"""),"'","""")&amp;SUBSTITUTE(TEXT(IF(ISTEXT(Overig!F1214),Overig!F1214,10*Overig!F1214),""",""????0;"",""???-0;"",""????0;"", ////"""),"'","""")&amp;SUBSTITUTE(TEXT(Overig!G1214,""",""?00;"",""?-00;"",""?00;"", //"""),"'","""")&amp;SUBSTITUTE(TEXT(IF(ISTEXT(Overig!H1214),Overig!H1214,10*Overig!H1214),""",""????0;"",""???-0;"",""????0;"", ////"""),"'","""")&amp;SUBSTITUTE(TEXT(Overig!I1214,""",""?00;"",""?-00;"",""?00;"", //"""),"'","""")&amp;SUBSTITUTE(TEXT(IF(ISTEXT(Overig!J1214),Overig!J1214,10*Overig!J1214),""",""????0;"",""???-0;"",""????0;"", ////"""),"'","""")&amp;SUBSTITUTE(TEXT(Overig!K1214,""",""?00;"",""?-00;"",""?00;"", //"""),"'","""")&amp;SUBSTITUTE(TEXT(Overig!L1214,""",""???0;"",""??-0;"",""???0;"", ///"""),"'","""")&amp;SUBSTITUTE(TEXT(Overig!M1214,""",""?00;"",""?-00;"",""?00;"", //"""),"'","""")&amp;SUBSTITUTE(TEXT(IF(ISTEXT(Overig!N1214),Overig!N1214,10*Overig!N1214),""",""????0;"",""???-0;"",""????0;"", ////"""),"'","""")&amp;SUBSTITUTE(TEXT(Overig!O1214,""",""?00;"",""?-00;"",""?00;"", //"""),"'","""")&amp;SUBSTITUTE(TEXT(IF(ISTEXT(Overig!P1214),Overig!P1214,10*Overig!P1214),""",""????0;"",""???-0;"",""????0;"", ////"""),"'","""")&amp;SUBSTITUTE(TEXT(Overig!Q1214,""",""?00;"",""?-00;"",""?00;"", //"""),"'","""")&amp;SUBSTITUTE(TEXT(Overig!R1214,""",""????0;"",""???-0;"",""????0;"", ////"""),"'","""")&amp;SUBSTITUTE(TEXT(Overig!S1214,""",""?00;"",""?-00;"",""?00;"", //"""),"'","""")&amp;SUBSTITUTE(TEXT(IF(ISTEXT(Overig!T1214),Overig!T1214,10*Overig!T1214),""",""????0;"",""???-0;"",""????0;"", ////"""),"'","""")&amp;SUBSTITUTE(TEXT(Overig!U1214,""",""?00;"",""?-00;"",""?00;"", //"""),"'","""")&amp;SUBSTITUTE(TEXT(Overig!V1214,""",""???0;"",""??-0;"",""???0;"", ///"""),"'","""")&amp;SUBSTITUTE(TEXT(Overig!W1214,""",""?00;"",""?-00;"",""?00;"", //"""),"'","""")</f>
        <v>032, 19401030, 07.00, ////, 07, ////, 07, ////, 07, ////, 07, ///, 07, ////, 07, ////, 07, ////, 07, ////, 07, ///, 07</v>
      </c>
    </row>
    <row r="1215" spans="1:1" x14ac:dyDescent="0.25">
      <c r="A1215" s="12" t="str">
        <f ca="1">TEXT(Overig!A1215,"000\,")&amp;TEXT(Overig!B1215,"?00000000")&amp;TEXT(Overig!C1215,""", ""@")&amp;SUBSTITUTE(TEXT(IF(ISTEXT(Overig!D1215),Overig!D1215,10*Overig!D1215),""",""????0;"",""???-0;"",""????0;"", ////"""),"'","""")&amp;SUBSTITUTE(TEXT(Overig!E1215,""",""?00;"",""?-00;"",""?00;"", //"""),"'","""")&amp;SUBSTITUTE(TEXT(IF(ISTEXT(Overig!F1215),Overig!F1215,10*Overig!F1215),""",""????0;"",""???-0;"",""????0;"", ////"""),"'","""")&amp;SUBSTITUTE(TEXT(Overig!G1215,""",""?00;"",""?-00;"",""?00;"", //"""),"'","""")&amp;SUBSTITUTE(TEXT(IF(ISTEXT(Overig!H1215),Overig!H1215,10*Overig!H1215),""",""????0;"",""???-0;"",""????0;"", ////"""),"'","""")&amp;SUBSTITUTE(TEXT(Overig!I1215,""",""?00;"",""?-00;"",""?00;"", //"""),"'","""")&amp;SUBSTITUTE(TEXT(IF(ISTEXT(Overig!J1215),Overig!J1215,10*Overig!J1215),""",""????0;"",""???-0;"",""????0;"", ////"""),"'","""")&amp;SUBSTITUTE(TEXT(Overig!K1215,""",""?00;"",""?-00;"",""?00;"", //"""),"'","""")&amp;SUBSTITUTE(TEXT(Overig!L1215,""",""???0;"",""??-0;"",""???0;"", ///"""),"'","""")&amp;SUBSTITUTE(TEXT(Overig!M1215,""",""?00;"",""?-00;"",""?00;"", //"""),"'","""")&amp;SUBSTITUTE(TEXT(IF(ISTEXT(Overig!N1215),Overig!N1215,10*Overig!N1215),""",""????0;"",""???-0;"",""????0;"", ////"""),"'","""")&amp;SUBSTITUTE(TEXT(Overig!O1215,""",""?00;"",""?-00;"",""?00;"", //"""),"'","""")&amp;SUBSTITUTE(TEXT(IF(ISTEXT(Overig!P1215),Overig!P1215,10*Overig!P1215),""",""????0;"",""???-0;"",""????0;"", ////"""),"'","""")&amp;SUBSTITUTE(TEXT(Overig!Q1215,""",""?00;"",""?-00;"",""?00;"", //"""),"'","""")&amp;SUBSTITUTE(TEXT(Overig!R1215,""",""????0;"",""???-0;"",""????0;"", ////"""),"'","""")&amp;SUBSTITUTE(TEXT(Overig!S1215,""",""?00;"",""?-00;"",""?00;"", //"""),"'","""")&amp;SUBSTITUTE(TEXT(IF(ISTEXT(Overig!T1215),Overig!T1215,10*Overig!T1215),""",""????0;"",""???-0;"",""????0;"", ////"""),"'","""")&amp;SUBSTITUTE(TEXT(Overig!U1215,""",""?00;"",""?-00;"",""?00;"", //"""),"'","""")&amp;SUBSTITUTE(TEXT(Overig!V1215,""",""???0;"",""??-0;"",""???0;"", ///"""),"'","""")&amp;SUBSTITUTE(TEXT(Overig!W1215,""",""?00;"",""?-00;"",""?00;"", //"""),"'","""")</f>
        <v>032, 19401030, 12.00, ////, 07, ////, 07, ////, 07, ////, 07, ///, 07, ////, 07, ////, 07, ////, 07, ////, 07, ///, 07</v>
      </c>
    </row>
    <row r="1216" spans="1:1" x14ac:dyDescent="0.25">
      <c r="A1216" s="12" t="str">
        <f ca="1">TEXT(Overig!A1216,"000\,")&amp;TEXT(Overig!B1216,"?00000000")&amp;TEXT(Overig!C1216,""", ""@")&amp;SUBSTITUTE(TEXT(IF(ISTEXT(Overig!D1216),Overig!D1216,10*Overig!D1216),""",""????0;"",""???-0;"",""????0;"", ////"""),"'","""")&amp;SUBSTITUTE(TEXT(Overig!E1216,""",""?00;"",""?-00;"",""?00;"", //"""),"'","""")&amp;SUBSTITUTE(TEXT(IF(ISTEXT(Overig!F1216),Overig!F1216,10*Overig!F1216),""",""????0;"",""???-0;"",""????0;"", ////"""),"'","""")&amp;SUBSTITUTE(TEXT(Overig!G1216,""",""?00;"",""?-00;"",""?00;"", //"""),"'","""")&amp;SUBSTITUTE(TEXT(IF(ISTEXT(Overig!H1216),Overig!H1216,10*Overig!H1216),""",""????0;"",""???-0;"",""????0;"", ////"""),"'","""")&amp;SUBSTITUTE(TEXT(Overig!I1216,""",""?00;"",""?-00;"",""?00;"", //"""),"'","""")&amp;SUBSTITUTE(TEXT(IF(ISTEXT(Overig!J1216),Overig!J1216,10*Overig!J1216),""",""????0;"",""???-0;"",""????0;"", ////"""),"'","""")&amp;SUBSTITUTE(TEXT(Overig!K1216,""",""?00;"",""?-00;"",""?00;"", //"""),"'","""")&amp;SUBSTITUTE(TEXT(Overig!L1216,""",""???0;"",""??-0;"",""???0;"", ///"""),"'","""")&amp;SUBSTITUTE(TEXT(Overig!M1216,""",""?00;"",""?-00;"",""?00;"", //"""),"'","""")&amp;SUBSTITUTE(TEXT(IF(ISTEXT(Overig!N1216),Overig!N1216,10*Overig!N1216),""",""????0;"",""???-0;"",""????0;"", ////"""),"'","""")&amp;SUBSTITUTE(TEXT(Overig!O1216,""",""?00;"",""?-00;"",""?00;"", //"""),"'","""")&amp;SUBSTITUTE(TEXT(IF(ISTEXT(Overig!P1216),Overig!P1216,10*Overig!P1216),""",""????0;"",""???-0;"",""????0;"", ////"""),"'","""")&amp;SUBSTITUTE(TEXT(Overig!Q1216,""",""?00;"",""?-00;"",""?00;"", //"""),"'","""")&amp;SUBSTITUTE(TEXT(Overig!R1216,""",""????0;"",""???-0;"",""????0;"", ////"""),"'","""")&amp;SUBSTITUTE(TEXT(Overig!S1216,""",""?00;"",""?-00;"",""?00;"", //"""),"'","""")&amp;SUBSTITUTE(TEXT(IF(ISTEXT(Overig!T1216),Overig!T1216,10*Overig!T1216),""",""????0;"",""???-0;"",""????0;"", ////"""),"'","""")&amp;SUBSTITUTE(TEXT(Overig!U1216,""",""?00;"",""?-00;"",""?00;"", //"""),"'","""")&amp;SUBSTITUTE(TEXT(Overig!V1216,""",""???0;"",""??-0;"",""???0;"", ///"""),"'","""")&amp;SUBSTITUTE(TEXT(Overig!W1216,""",""?00;"",""?-00;"",""?00;"", //"""),"'","""")</f>
        <v>032, 19401030, 17.00, ////, 07, ////, 07, ////, 07, ////, 07, ///, 07, ////, 07, ////, 07, ////, 07, ////, 07, ///, 07</v>
      </c>
    </row>
    <row r="1217" spans="1:1" x14ac:dyDescent="0.25">
      <c r="A1217" s="12" t="str">
        <f ca="1">TEXT(Overig!A1217,"000\,")&amp;TEXT(Overig!B1217,"?00000000")&amp;TEXT(Overig!C1217,""", ""@")&amp;SUBSTITUTE(TEXT(IF(ISTEXT(Overig!D1217),Overig!D1217,10*Overig!D1217),""",""????0;"",""???-0;"",""????0;"", ////"""),"'","""")&amp;SUBSTITUTE(TEXT(Overig!E1217,""",""?00;"",""?-00;"",""?00;"", //"""),"'","""")&amp;SUBSTITUTE(TEXT(IF(ISTEXT(Overig!F1217),Overig!F1217,10*Overig!F1217),""",""????0;"",""???-0;"",""????0;"", ////"""),"'","""")&amp;SUBSTITUTE(TEXT(Overig!G1217,""",""?00;"",""?-00;"",""?00;"", //"""),"'","""")&amp;SUBSTITUTE(TEXT(IF(ISTEXT(Overig!H1217),Overig!H1217,10*Overig!H1217),""",""????0;"",""???-0;"",""????0;"", ////"""),"'","""")&amp;SUBSTITUTE(TEXT(Overig!I1217,""",""?00;"",""?-00;"",""?00;"", //"""),"'","""")&amp;SUBSTITUTE(TEXT(IF(ISTEXT(Overig!J1217),Overig!J1217,10*Overig!J1217),""",""????0;"",""???-0;"",""????0;"", ////"""),"'","""")&amp;SUBSTITUTE(TEXT(Overig!K1217,""",""?00;"",""?-00;"",""?00;"", //"""),"'","""")&amp;SUBSTITUTE(TEXT(Overig!L1217,""",""???0;"",""??-0;"",""???0;"", ///"""),"'","""")&amp;SUBSTITUTE(TEXT(Overig!M1217,""",""?00;"",""?-00;"",""?00;"", //"""),"'","""")&amp;SUBSTITUTE(TEXT(IF(ISTEXT(Overig!N1217),Overig!N1217,10*Overig!N1217),""",""????0;"",""???-0;"",""????0;"", ////"""),"'","""")&amp;SUBSTITUTE(TEXT(Overig!O1217,""",""?00;"",""?-00;"",""?00;"", //"""),"'","""")&amp;SUBSTITUTE(TEXT(IF(ISTEXT(Overig!P1217),Overig!P1217,10*Overig!P1217),""",""????0;"",""???-0;"",""????0;"", ////"""),"'","""")&amp;SUBSTITUTE(TEXT(Overig!Q1217,""",""?00;"",""?-00;"",""?00;"", //"""),"'","""")&amp;SUBSTITUTE(TEXT(Overig!R1217,""",""????0;"",""???-0;"",""????0;"", ////"""),"'","""")&amp;SUBSTITUTE(TEXT(Overig!S1217,""",""?00;"",""?-00;"",""?00;"", //"""),"'","""")&amp;SUBSTITUTE(TEXT(IF(ISTEXT(Overig!T1217),Overig!T1217,10*Overig!T1217),""",""????0;"",""???-0;"",""????0;"", ////"""),"'","""")&amp;SUBSTITUTE(TEXT(Overig!U1217,""",""?00;"",""?-00;"",""?00;"", //"""),"'","""")&amp;SUBSTITUTE(TEXT(Overig!V1217,""",""???0;"",""??-0;"",""???0;"", ///"""),"'","""")&amp;SUBSTITUTE(TEXT(Overig!W1217,""",""?00;"",""?-00;"",""?00;"", //"""),"'","""")</f>
        <v>032, 19401030, 24.00, ////, 07, ////, 07, ////, 07, ////, 07, ///, 07, ////, 07, ////, 07, ////, 07, ////, 07, ///, 07</v>
      </c>
    </row>
    <row r="1218" spans="1:1" x14ac:dyDescent="0.25">
      <c r="A1218" s="12" t="str">
        <f ca="1">TEXT(Overig!A1218,"000\,")&amp;TEXT(Overig!B1218,"?00000000")&amp;TEXT(Overig!C1218,""", ""@")&amp;SUBSTITUTE(TEXT(IF(ISTEXT(Overig!D1218),Overig!D1218,10*Overig!D1218),""",""????0;"",""???-0;"",""????0;"", ////"""),"'","""")&amp;SUBSTITUTE(TEXT(Overig!E1218,""",""?00;"",""?-00;"",""?00;"", //"""),"'","""")&amp;SUBSTITUTE(TEXT(IF(ISTEXT(Overig!F1218),Overig!F1218,10*Overig!F1218),""",""????0;"",""???-0;"",""????0;"", ////"""),"'","""")&amp;SUBSTITUTE(TEXT(Overig!G1218,""",""?00;"",""?-00;"",""?00;"", //"""),"'","""")&amp;SUBSTITUTE(TEXT(IF(ISTEXT(Overig!H1218),Overig!H1218,10*Overig!H1218),""",""????0;"",""???-0;"",""????0;"", ////"""),"'","""")&amp;SUBSTITUTE(TEXT(Overig!I1218,""",""?00;"",""?-00;"",""?00;"", //"""),"'","""")&amp;SUBSTITUTE(TEXT(IF(ISTEXT(Overig!J1218),Overig!J1218,10*Overig!J1218),""",""????0;"",""???-0;"",""????0;"", ////"""),"'","""")&amp;SUBSTITUTE(TEXT(Overig!K1218,""",""?00;"",""?-00;"",""?00;"", //"""),"'","""")&amp;SUBSTITUTE(TEXT(Overig!L1218,""",""???0;"",""??-0;"",""???0;"", ///"""),"'","""")&amp;SUBSTITUTE(TEXT(Overig!M1218,""",""?00;"",""?-00;"",""?00;"", //"""),"'","""")&amp;SUBSTITUTE(TEXT(IF(ISTEXT(Overig!N1218),Overig!N1218,10*Overig!N1218),""",""????0;"",""???-0;"",""????0;"", ////"""),"'","""")&amp;SUBSTITUTE(TEXT(Overig!O1218,""",""?00;"",""?-00;"",""?00;"", //"""),"'","""")&amp;SUBSTITUTE(TEXT(IF(ISTEXT(Overig!P1218),Overig!P1218,10*Overig!P1218),""",""????0;"",""???-0;"",""????0;"", ////"""),"'","""")&amp;SUBSTITUTE(TEXT(Overig!Q1218,""",""?00;"",""?-00;"",""?00;"", //"""),"'","""")&amp;SUBSTITUTE(TEXT(Overig!R1218,""",""????0;"",""???-0;"",""????0;"", ////"""),"'","""")&amp;SUBSTITUTE(TEXT(Overig!S1218,""",""?00;"",""?-00;"",""?00;"", //"""),"'","""")&amp;SUBSTITUTE(TEXT(IF(ISTEXT(Overig!T1218),Overig!T1218,10*Overig!T1218),""",""????0;"",""???-0;"",""????0;"", ////"""),"'","""")&amp;SUBSTITUTE(TEXT(Overig!U1218,""",""?00;"",""?-00;"",""?00;"", //"""),"'","""")&amp;SUBSTITUTE(TEXT(Overig!V1218,""",""???0;"",""??-0;"",""???0;"", ///"""),"'","""")&amp;SUBSTITUTE(TEXT(Overig!W1218,""",""?00;"",""?-00;"",""?00;"", //"""),"'","""")</f>
        <v>032, 19401031, 07.00, ////, 07, ////, 07, ////, 07, ////, 07, ///, 07, ////, 07, ////, 07, ////, 07, ////, 07, ///, 07</v>
      </c>
    </row>
    <row r="1219" spans="1:1" x14ac:dyDescent="0.25">
      <c r="A1219" s="12" t="str">
        <f ca="1">TEXT(Overig!A1219,"000\,")&amp;TEXT(Overig!B1219,"?00000000")&amp;TEXT(Overig!C1219,""", ""@")&amp;SUBSTITUTE(TEXT(IF(ISTEXT(Overig!D1219),Overig!D1219,10*Overig!D1219),""",""????0;"",""???-0;"",""????0;"", ////"""),"'","""")&amp;SUBSTITUTE(TEXT(Overig!E1219,""",""?00;"",""?-00;"",""?00;"", //"""),"'","""")&amp;SUBSTITUTE(TEXT(IF(ISTEXT(Overig!F1219),Overig!F1219,10*Overig!F1219),""",""????0;"",""???-0;"",""????0;"", ////"""),"'","""")&amp;SUBSTITUTE(TEXT(Overig!G1219,""",""?00;"",""?-00;"",""?00;"", //"""),"'","""")&amp;SUBSTITUTE(TEXT(IF(ISTEXT(Overig!H1219),Overig!H1219,10*Overig!H1219),""",""????0;"",""???-0;"",""????0;"", ////"""),"'","""")&amp;SUBSTITUTE(TEXT(Overig!I1219,""",""?00;"",""?-00;"",""?00;"", //"""),"'","""")&amp;SUBSTITUTE(TEXT(IF(ISTEXT(Overig!J1219),Overig!J1219,10*Overig!J1219),""",""????0;"",""???-0;"",""????0;"", ////"""),"'","""")&amp;SUBSTITUTE(TEXT(Overig!K1219,""",""?00;"",""?-00;"",""?00;"", //"""),"'","""")&amp;SUBSTITUTE(TEXT(Overig!L1219,""",""???0;"",""??-0;"",""???0;"", ///"""),"'","""")&amp;SUBSTITUTE(TEXT(Overig!M1219,""",""?00;"",""?-00;"",""?00;"", //"""),"'","""")&amp;SUBSTITUTE(TEXT(IF(ISTEXT(Overig!N1219),Overig!N1219,10*Overig!N1219),""",""????0;"",""???-0;"",""????0;"", ////"""),"'","""")&amp;SUBSTITUTE(TEXT(Overig!O1219,""",""?00;"",""?-00;"",""?00;"", //"""),"'","""")&amp;SUBSTITUTE(TEXT(IF(ISTEXT(Overig!P1219),Overig!P1219,10*Overig!P1219),""",""????0;"",""???-0;"",""????0;"", ////"""),"'","""")&amp;SUBSTITUTE(TEXT(Overig!Q1219,""",""?00;"",""?-00;"",""?00;"", //"""),"'","""")&amp;SUBSTITUTE(TEXT(Overig!R1219,""",""????0;"",""???-0;"",""????0;"", ////"""),"'","""")&amp;SUBSTITUTE(TEXT(Overig!S1219,""",""?00;"",""?-00;"",""?00;"", //"""),"'","""")&amp;SUBSTITUTE(TEXT(IF(ISTEXT(Overig!T1219),Overig!T1219,10*Overig!T1219),""",""????0;"",""???-0;"",""????0;"", ////"""),"'","""")&amp;SUBSTITUTE(TEXT(Overig!U1219,""",""?00;"",""?-00;"",""?00;"", //"""),"'","""")&amp;SUBSTITUTE(TEXT(Overig!V1219,""",""???0;"",""??-0;"",""???0;"", ///"""),"'","""")&amp;SUBSTITUTE(TEXT(Overig!W1219,""",""?00;"",""?-00;"",""?00;"", //"""),"'","""")</f>
        <v>032, 19401031, 12.00, ////, 07, ////, 07, ////, 07, ////, 07, ///, 07, ////, 07, ////, 07, ////, 07, ////, 07, ///, 07</v>
      </c>
    </row>
    <row r="1220" spans="1:1" x14ac:dyDescent="0.25">
      <c r="A1220" s="12" t="str">
        <f ca="1">TEXT(Overig!A1220,"000\,")&amp;TEXT(Overig!B1220,"?00000000")&amp;TEXT(Overig!C1220,""", ""@")&amp;SUBSTITUTE(TEXT(IF(ISTEXT(Overig!D1220),Overig!D1220,10*Overig!D1220),""",""????0;"",""???-0;"",""????0;"", ////"""),"'","""")&amp;SUBSTITUTE(TEXT(Overig!E1220,""",""?00;"",""?-00;"",""?00;"", //"""),"'","""")&amp;SUBSTITUTE(TEXT(IF(ISTEXT(Overig!F1220),Overig!F1220,10*Overig!F1220),""",""????0;"",""???-0;"",""????0;"", ////"""),"'","""")&amp;SUBSTITUTE(TEXT(Overig!G1220,""",""?00;"",""?-00;"",""?00;"", //"""),"'","""")&amp;SUBSTITUTE(TEXT(IF(ISTEXT(Overig!H1220),Overig!H1220,10*Overig!H1220),""",""????0;"",""???-0;"",""????0;"", ////"""),"'","""")&amp;SUBSTITUTE(TEXT(Overig!I1220,""",""?00;"",""?-00;"",""?00;"", //"""),"'","""")&amp;SUBSTITUTE(TEXT(IF(ISTEXT(Overig!J1220),Overig!J1220,10*Overig!J1220),""",""????0;"",""???-0;"",""????0;"", ////"""),"'","""")&amp;SUBSTITUTE(TEXT(Overig!K1220,""",""?00;"",""?-00;"",""?00;"", //"""),"'","""")&amp;SUBSTITUTE(TEXT(Overig!L1220,""",""???0;"",""??-0;"",""???0;"", ///"""),"'","""")&amp;SUBSTITUTE(TEXT(Overig!M1220,""",""?00;"",""?-00;"",""?00;"", //"""),"'","""")&amp;SUBSTITUTE(TEXT(IF(ISTEXT(Overig!N1220),Overig!N1220,10*Overig!N1220),""",""????0;"",""???-0;"",""????0;"", ////"""),"'","""")&amp;SUBSTITUTE(TEXT(Overig!O1220,""",""?00;"",""?-00;"",""?00;"", //"""),"'","""")&amp;SUBSTITUTE(TEXT(IF(ISTEXT(Overig!P1220),Overig!P1220,10*Overig!P1220),""",""????0;"",""???-0;"",""????0;"", ////"""),"'","""")&amp;SUBSTITUTE(TEXT(Overig!Q1220,""",""?00;"",""?-00;"",""?00;"", //"""),"'","""")&amp;SUBSTITUTE(TEXT(Overig!R1220,""",""????0;"",""???-0;"",""????0;"", ////"""),"'","""")&amp;SUBSTITUTE(TEXT(Overig!S1220,""",""?00;"",""?-00;"",""?00;"", //"""),"'","""")&amp;SUBSTITUTE(TEXT(IF(ISTEXT(Overig!T1220),Overig!T1220,10*Overig!T1220),""",""????0;"",""???-0;"",""????0;"", ////"""),"'","""")&amp;SUBSTITUTE(TEXT(Overig!U1220,""",""?00;"",""?-00;"",""?00;"", //"""),"'","""")&amp;SUBSTITUTE(TEXT(Overig!V1220,""",""???0;"",""??-0;"",""???0;"", ///"""),"'","""")&amp;SUBSTITUTE(TEXT(Overig!W1220,""",""?00;"",""?-00;"",""?00;"", //"""),"'","""")</f>
        <v>032, 19401031, 17.00, ////, 07, ////, 07, ////, 07, ////, 07, ///, 07, ////, 07, ////, 07, ////, 07, ////, 07, ///, 07</v>
      </c>
    </row>
    <row r="1221" spans="1:1" x14ac:dyDescent="0.25">
      <c r="A1221" s="12" t="str">
        <f ca="1">TEXT(Overig!A1221,"000\,")&amp;TEXT(Overig!B1221,"?00000000")&amp;TEXT(Overig!C1221,""", ""@")&amp;SUBSTITUTE(TEXT(IF(ISTEXT(Overig!D1221),Overig!D1221,10*Overig!D1221),""",""????0;"",""???-0;"",""????0;"", ////"""),"'","""")&amp;SUBSTITUTE(TEXT(Overig!E1221,""",""?00;"",""?-00;"",""?00;"", //"""),"'","""")&amp;SUBSTITUTE(TEXT(IF(ISTEXT(Overig!F1221),Overig!F1221,10*Overig!F1221),""",""????0;"",""???-0;"",""????0;"", ////"""),"'","""")&amp;SUBSTITUTE(TEXT(Overig!G1221,""",""?00;"",""?-00;"",""?00;"", //"""),"'","""")&amp;SUBSTITUTE(TEXT(IF(ISTEXT(Overig!H1221),Overig!H1221,10*Overig!H1221),""",""????0;"",""???-0;"",""????0;"", ////"""),"'","""")&amp;SUBSTITUTE(TEXT(Overig!I1221,""",""?00;"",""?-00;"",""?00;"", //"""),"'","""")&amp;SUBSTITUTE(TEXT(IF(ISTEXT(Overig!J1221),Overig!J1221,10*Overig!J1221),""",""????0;"",""???-0;"",""????0;"", ////"""),"'","""")&amp;SUBSTITUTE(TEXT(Overig!K1221,""",""?00;"",""?-00;"",""?00;"", //"""),"'","""")&amp;SUBSTITUTE(TEXT(Overig!L1221,""",""???0;"",""??-0;"",""???0;"", ///"""),"'","""")&amp;SUBSTITUTE(TEXT(Overig!M1221,""",""?00;"",""?-00;"",""?00;"", //"""),"'","""")&amp;SUBSTITUTE(TEXT(IF(ISTEXT(Overig!N1221),Overig!N1221,10*Overig!N1221),""",""????0;"",""???-0;"",""????0;"", ////"""),"'","""")&amp;SUBSTITUTE(TEXT(Overig!O1221,""",""?00;"",""?-00;"",""?00;"", //"""),"'","""")&amp;SUBSTITUTE(TEXT(IF(ISTEXT(Overig!P1221),Overig!P1221,10*Overig!P1221),""",""????0;"",""???-0;"",""????0;"", ////"""),"'","""")&amp;SUBSTITUTE(TEXT(Overig!Q1221,""",""?00;"",""?-00;"",""?00;"", //"""),"'","""")&amp;SUBSTITUTE(TEXT(Overig!R1221,""",""????0;"",""???-0;"",""????0;"", ////"""),"'","""")&amp;SUBSTITUTE(TEXT(Overig!S1221,""",""?00;"",""?-00;"",""?00;"", //"""),"'","""")&amp;SUBSTITUTE(TEXT(IF(ISTEXT(Overig!T1221),Overig!T1221,10*Overig!T1221),""",""????0;"",""???-0;"",""????0;"", ////"""),"'","""")&amp;SUBSTITUTE(TEXT(Overig!U1221,""",""?00;"",""?-00;"",""?00;"", //"""),"'","""")&amp;SUBSTITUTE(TEXT(Overig!V1221,""",""???0;"",""??-0;"",""???0;"", ///"""),"'","""")&amp;SUBSTITUTE(TEXT(Overig!W1221,""",""?00;"",""?-00;"",""?00;"", //"""),"'","""")</f>
        <v>032, 19401031, 24.00, ////, 07, ////, 07, ////, 07, ////, 07, ///, 07, ////, 07, ////, 07, ////, 07, ////, 07, ///, 07</v>
      </c>
    </row>
    <row r="1222" spans="1:1" x14ac:dyDescent="0.25">
      <c r="A1222" s="12" t="str">
        <f ca="1">TEXT(Overig!A1222,"000\,")&amp;TEXT(Overig!B1222,"?00000000")&amp;TEXT(Overig!C1222,""", ""@")&amp;SUBSTITUTE(TEXT(IF(ISTEXT(Overig!D1222),Overig!D1222,10*Overig!D1222),""",""????0;"",""???-0;"",""????0;"", ////"""),"'","""")&amp;SUBSTITUTE(TEXT(Overig!E1222,""",""?00;"",""?-00;"",""?00;"", //"""),"'","""")&amp;SUBSTITUTE(TEXT(IF(ISTEXT(Overig!F1222),Overig!F1222,10*Overig!F1222),""",""????0;"",""???-0;"",""????0;"", ////"""),"'","""")&amp;SUBSTITUTE(TEXT(Overig!G1222,""",""?00;"",""?-00;"",""?00;"", //"""),"'","""")&amp;SUBSTITUTE(TEXT(IF(ISTEXT(Overig!H1222),Overig!H1222,10*Overig!H1222),""",""????0;"",""???-0;"",""????0;"", ////"""),"'","""")&amp;SUBSTITUTE(TEXT(Overig!I1222,""",""?00;"",""?-00;"",""?00;"", //"""),"'","""")&amp;SUBSTITUTE(TEXT(IF(ISTEXT(Overig!J1222),Overig!J1222,10*Overig!J1222),""",""????0;"",""???-0;"",""????0;"", ////"""),"'","""")&amp;SUBSTITUTE(TEXT(Overig!K1222,""",""?00;"",""?-00;"",""?00;"", //"""),"'","""")&amp;SUBSTITUTE(TEXT(Overig!L1222,""",""???0;"",""??-0;"",""???0;"", ///"""),"'","""")&amp;SUBSTITUTE(TEXT(Overig!M1222,""",""?00;"",""?-00;"",""?00;"", //"""),"'","""")&amp;SUBSTITUTE(TEXT(IF(ISTEXT(Overig!N1222),Overig!N1222,10*Overig!N1222),""",""????0;"",""???-0;"",""????0;"", ////"""),"'","""")&amp;SUBSTITUTE(TEXT(Overig!O1222,""",""?00;"",""?-00;"",""?00;"", //"""),"'","""")&amp;SUBSTITUTE(TEXT(IF(ISTEXT(Overig!P1222),Overig!P1222,10*Overig!P1222),""",""????0;"",""???-0;"",""????0;"", ////"""),"'","""")&amp;SUBSTITUTE(TEXT(Overig!Q1222,""",""?00;"",""?-00;"",""?00;"", //"""),"'","""")&amp;SUBSTITUTE(TEXT(Overig!R1222,""",""????0;"",""???-0;"",""????0;"", ////"""),"'","""")&amp;SUBSTITUTE(TEXT(Overig!S1222,""",""?00;"",""?-00;"",""?00;"", //"""),"'","""")&amp;SUBSTITUTE(TEXT(IF(ISTEXT(Overig!T1222),Overig!T1222,10*Overig!T1222),""",""????0;"",""???-0;"",""????0;"", ////"""),"'","""")&amp;SUBSTITUTE(TEXT(Overig!U1222,""",""?00;"",""?-00;"",""?00;"", //"""),"'","""")&amp;SUBSTITUTE(TEXT(Overig!V1222,""",""???0;"",""??-0;"",""???0;"", ///"""),"'","""")&amp;SUBSTITUTE(TEXT(Overig!W1222,""",""?00;"",""?-00;"",""?00;"", //"""),"'","""")</f>
        <v>032, 19401101, 07.00, ////, 07, ////, 07, ////, 07, ////, 07, ///, 07, ////, 07, ////, 07, ////, 07, ////, 07, ///, 07</v>
      </c>
    </row>
    <row r="1223" spans="1:1" x14ac:dyDescent="0.25">
      <c r="A1223" s="12" t="str">
        <f ca="1">TEXT(Overig!A1223,"000\,")&amp;TEXT(Overig!B1223,"?00000000")&amp;TEXT(Overig!C1223,""", ""@")&amp;SUBSTITUTE(TEXT(IF(ISTEXT(Overig!D1223),Overig!D1223,10*Overig!D1223),""",""????0;"",""???-0;"",""????0;"", ////"""),"'","""")&amp;SUBSTITUTE(TEXT(Overig!E1223,""",""?00;"",""?-00;"",""?00;"", //"""),"'","""")&amp;SUBSTITUTE(TEXT(IF(ISTEXT(Overig!F1223),Overig!F1223,10*Overig!F1223),""",""????0;"",""???-0;"",""????0;"", ////"""),"'","""")&amp;SUBSTITUTE(TEXT(Overig!G1223,""",""?00;"",""?-00;"",""?00;"", //"""),"'","""")&amp;SUBSTITUTE(TEXT(IF(ISTEXT(Overig!H1223),Overig!H1223,10*Overig!H1223),""",""????0;"",""???-0;"",""????0;"", ////"""),"'","""")&amp;SUBSTITUTE(TEXT(Overig!I1223,""",""?00;"",""?-00;"",""?00;"", //"""),"'","""")&amp;SUBSTITUTE(TEXT(IF(ISTEXT(Overig!J1223),Overig!J1223,10*Overig!J1223),""",""????0;"",""???-0;"",""????0;"", ////"""),"'","""")&amp;SUBSTITUTE(TEXT(Overig!K1223,""",""?00;"",""?-00;"",""?00;"", //"""),"'","""")&amp;SUBSTITUTE(TEXT(Overig!L1223,""",""???0;"",""??-0;"",""???0;"", ///"""),"'","""")&amp;SUBSTITUTE(TEXT(Overig!M1223,""",""?00;"",""?-00;"",""?00;"", //"""),"'","""")&amp;SUBSTITUTE(TEXT(IF(ISTEXT(Overig!N1223),Overig!N1223,10*Overig!N1223),""",""????0;"",""???-0;"",""????0;"", ////"""),"'","""")&amp;SUBSTITUTE(TEXT(Overig!O1223,""",""?00;"",""?-00;"",""?00;"", //"""),"'","""")&amp;SUBSTITUTE(TEXT(IF(ISTEXT(Overig!P1223),Overig!P1223,10*Overig!P1223),""",""????0;"",""???-0;"",""????0;"", ////"""),"'","""")&amp;SUBSTITUTE(TEXT(Overig!Q1223,""",""?00;"",""?-00;"",""?00;"", //"""),"'","""")&amp;SUBSTITUTE(TEXT(Overig!R1223,""",""????0;"",""???-0;"",""????0;"", ////"""),"'","""")&amp;SUBSTITUTE(TEXT(Overig!S1223,""",""?00;"",""?-00;"",""?00;"", //"""),"'","""")&amp;SUBSTITUTE(TEXT(IF(ISTEXT(Overig!T1223),Overig!T1223,10*Overig!T1223),""",""????0;"",""???-0;"",""????0;"", ////"""),"'","""")&amp;SUBSTITUTE(TEXT(Overig!U1223,""",""?00;"",""?-00;"",""?00;"", //"""),"'","""")&amp;SUBSTITUTE(TEXT(Overig!V1223,""",""???0;"",""??-0;"",""???0;"", ///"""),"'","""")&amp;SUBSTITUTE(TEXT(Overig!W1223,""",""?00;"",""?-00;"",""?00;"", //"""),"'","""")</f>
        <v>032, 19401101, 12.00, ////, 07, ////, 07, ////, 07, ////, 07, ///, 07, ////, 07, ////, 07, ////, 07, ////, 07, ///, 07</v>
      </c>
    </row>
    <row r="1224" spans="1:1" x14ac:dyDescent="0.25">
      <c r="A1224" s="12" t="str">
        <f ca="1">TEXT(Overig!A1224,"000\,")&amp;TEXT(Overig!B1224,"?00000000")&amp;TEXT(Overig!C1224,""", ""@")&amp;SUBSTITUTE(TEXT(IF(ISTEXT(Overig!D1224),Overig!D1224,10*Overig!D1224),""",""????0;"",""???-0;"",""????0;"", ////"""),"'","""")&amp;SUBSTITUTE(TEXT(Overig!E1224,""",""?00;"",""?-00;"",""?00;"", //"""),"'","""")&amp;SUBSTITUTE(TEXT(IF(ISTEXT(Overig!F1224),Overig!F1224,10*Overig!F1224),""",""????0;"",""???-0;"",""????0;"", ////"""),"'","""")&amp;SUBSTITUTE(TEXT(Overig!G1224,""",""?00;"",""?-00;"",""?00;"", //"""),"'","""")&amp;SUBSTITUTE(TEXT(IF(ISTEXT(Overig!H1224),Overig!H1224,10*Overig!H1224),""",""????0;"",""???-0;"",""????0;"", ////"""),"'","""")&amp;SUBSTITUTE(TEXT(Overig!I1224,""",""?00;"",""?-00;"",""?00;"", //"""),"'","""")&amp;SUBSTITUTE(TEXT(IF(ISTEXT(Overig!J1224),Overig!J1224,10*Overig!J1224),""",""????0;"",""???-0;"",""????0;"", ////"""),"'","""")&amp;SUBSTITUTE(TEXT(Overig!K1224,""",""?00;"",""?-00;"",""?00;"", //"""),"'","""")&amp;SUBSTITUTE(TEXT(Overig!L1224,""",""???0;"",""??-0;"",""???0;"", ///"""),"'","""")&amp;SUBSTITUTE(TEXT(Overig!M1224,""",""?00;"",""?-00;"",""?00;"", //"""),"'","""")&amp;SUBSTITUTE(TEXT(IF(ISTEXT(Overig!N1224),Overig!N1224,10*Overig!N1224),""",""????0;"",""???-0;"",""????0;"", ////"""),"'","""")&amp;SUBSTITUTE(TEXT(Overig!O1224,""",""?00;"",""?-00;"",""?00;"", //"""),"'","""")&amp;SUBSTITUTE(TEXT(IF(ISTEXT(Overig!P1224),Overig!P1224,10*Overig!P1224),""",""????0;"",""???-0;"",""????0;"", ////"""),"'","""")&amp;SUBSTITUTE(TEXT(Overig!Q1224,""",""?00;"",""?-00;"",""?00;"", //"""),"'","""")&amp;SUBSTITUTE(TEXT(Overig!R1224,""",""????0;"",""???-0;"",""????0;"", ////"""),"'","""")&amp;SUBSTITUTE(TEXT(Overig!S1224,""",""?00;"",""?-00;"",""?00;"", //"""),"'","""")&amp;SUBSTITUTE(TEXT(IF(ISTEXT(Overig!T1224),Overig!T1224,10*Overig!T1224),""",""????0;"",""???-0;"",""????0;"", ////"""),"'","""")&amp;SUBSTITUTE(TEXT(Overig!U1224,""",""?00;"",""?-00;"",""?00;"", //"""),"'","""")&amp;SUBSTITUTE(TEXT(Overig!V1224,""",""???0;"",""??-0;"",""???0;"", ///"""),"'","""")&amp;SUBSTITUTE(TEXT(Overig!W1224,""",""?00;"",""?-00;"",""?00;"", //"""),"'","""")</f>
        <v>032, 19401101, 17.00, ////, 07, ////, 07, ////, 07, ////, 07, ///, 07, ////, 07, ////, 07, ////, 07, ////, 07, ///, 07</v>
      </c>
    </row>
    <row r="1225" spans="1:1" x14ac:dyDescent="0.25">
      <c r="A1225" s="12" t="str">
        <f ca="1">TEXT(Overig!A1225,"000\,")&amp;TEXT(Overig!B1225,"?00000000")&amp;TEXT(Overig!C1225,""", ""@")&amp;SUBSTITUTE(TEXT(IF(ISTEXT(Overig!D1225),Overig!D1225,10*Overig!D1225),""",""????0;"",""???-0;"",""????0;"", ////"""),"'","""")&amp;SUBSTITUTE(TEXT(Overig!E1225,""",""?00;"",""?-00;"",""?00;"", //"""),"'","""")&amp;SUBSTITUTE(TEXT(IF(ISTEXT(Overig!F1225),Overig!F1225,10*Overig!F1225),""",""????0;"",""???-0;"",""????0;"", ////"""),"'","""")&amp;SUBSTITUTE(TEXT(Overig!G1225,""",""?00;"",""?-00;"",""?00;"", //"""),"'","""")&amp;SUBSTITUTE(TEXT(IF(ISTEXT(Overig!H1225),Overig!H1225,10*Overig!H1225),""",""????0;"",""???-0;"",""????0;"", ////"""),"'","""")&amp;SUBSTITUTE(TEXT(Overig!I1225,""",""?00;"",""?-00;"",""?00;"", //"""),"'","""")&amp;SUBSTITUTE(TEXT(IF(ISTEXT(Overig!J1225),Overig!J1225,10*Overig!J1225),""",""????0;"",""???-0;"",""????0;"", ////"""),"'","""")&amp;SUBSTITUTE(TEXT(Overig!K1225,""",""?00;"",""?-00;"",""?00;"", //"""),"'","""")&amp;SUBSTITUTE(TEXT(Overig!L1225,""",""???0;"",""??-0;"",""???0;"", ///"""),"'","""")&amp;SUBSTITUTE(TEXT(Overig!M1225,""",""?00;"",""?-00;"",""?00;"", //"""),"'","""")&amp;SUBSTITUTE(TEXT(IF(ISTEXT(Overig!N1225),Overig!N1225,10*Overig!N1225),""",""????0;"",""???-0;"",""????0;"", ////"""),"'","""")&amp;SUBSTITUTE(TEXT(Overig!O1225,""",""?00;"",""?-00;"",""?00;"", //"""),"'","""")&amp;SUBSTITUTE(TEXT(IF(ISTEXT(Overig!P1225),Overig!P1225,10*Overig!P1225),""",""????0;"",""???-0;"",""????0;"", ////"""),"'","""")&amp;SUBSTITUTE(TEXT(Overig!Q1225,""",""?00;"",""?-00;"",""?00;"", //"""),"'","""")&amp;SUBSTITUTE(TEXT(Overig!R1225,""",""????0;"",""???-0;"",""????0;"", ////"""),"'","""")&amp;SUBSTITUTE(TEXT(Overig!S1225,""",""?00;"",""?-00;"",""?00;"", //"""),"'","""")&amp;SUBSTITUTE(TEXT(IF(ISTEXT(Overig!T1225),Overig!T1225,10*Overig!T1225),""",""????0;"",""???-0;"",""????0;"", ////"""),"'","""")&amp;SUBSTITUTE(TEXT(Overig!U1225,""",""?00;"",""?-00;"",""?00;"", //"""),"'","""")&amp;SUBSTITUTE(TEXT(Overig!V1225,""",""???0;"",""??-0;"",""???0;"", ///"""),"'","""")&amp;SUBSTITUTE(TEXT(Overig!W1225,""",""?00;"",""?-00;"",""?00;"", //"""),"'","""")</f>
        <v>032, 19401101, 24.00, ////, 07, ////, 07, ////, 07, ////, 07, ///, 07, ////, 07, ////, 07, ////, 07, ////, 07, ///, 07</v>
      </c>
    </row>
    <row r="1226" spans="1:1" x14ac:dyDescent="0.25">
      <c r="A1226" s="12" t="str">
        <f ca="1">TEXT(Overig!A1226,"000\,")&amp;TEXT(Overig!B1226,"?00000000")&amp;TEXT(Overig!C1226,""", ""@")&amp;SUBSTITUTE(TEXT(IF(ISTEXT(Overig!D1226),Overig!D1226,10*Overig!D1226),""",""????0;"",""???-0;"",""????0;"", ////"""),"'","""")&amp;SUBSTITUTE(TEXT(Overig!E1226,""",""?00;"",""?-00;"",""?00;"", //"""),"'","""")&amp;SUBSTITUTE(TEXT(IF(ISTEXT(Overig!F1226),Overig!F1226,10*Overig!F1226),""",""????0;"",""???-0;"",""????0;"", ////"""),"'","""")&amp;SUBSTITUTE(TEXT(Overig!G1226,""",""?00;"",""?-00;"",""?00;"", //"""),"'","""")&amp;SUBSTITUTE(TEXT(IF(ISTEXT(Overig!H1226),Overig!H1226,10*Overig!H1226),""",""????0;"",""???-0;"",""????0;"", ////"""),"'","""")&amp;SUBSTITUTE(TEXT(Overig!I1226,""",""?00;"",""?-00;"",""?00;"", //"""),"'","""")&amp;SUBSTITUTE(TEXT(IF(ISTEXT(Overig!J1226),Overig!J1226,10*Overig!J1226),""",""????0;"",""???-0;"",""????0;"", ////"""),"'","""")&amp;SUBSTITUTE(TEXT(Overig!K1226,""",""?00;"",""?-00;"",""?00;"", //"""),"'","""")&amp;SUBSTITUTE(TEXT(Overig!L1226,""",""???0;"",""??-0;"",""???0;"", ///"""),"'","""")&amp;SUBSTITUTE(TEXT(Overig!M1226,""",""?00;"",""?-00;"",""?00;"", //"""),"'","""")&amp;SUBSTITUTE(TEXT(IF(ISTEXT(Overig!N1226),Overig!N1226,10*Overig!N1226),""",""????0;"",""???-0;"",""????0;"", ////"""),"'","""")&amp;SUBSTITUTE(TEXT(Overig!O1226,""",""?00;"",""?-00;"",""?00;"", //"""),"'","""")&amp;SUBSTITUTE(TEXT(IF(ISTEXT(Overig!P1226),Overig!P1226,10*Overig!P1226),""",""????0;"",""???-0;"",""????0;"", ////"""),"'","""")&amp;SUBSTITUTE(TEXT(Overig!Q1226,""",""?00;"",""?-00;"",""?00;"", //"""),"'","""")&amp;SUBSTITUTE(TEXT(Overig!R1226,""",""????0;"",""???-0;"",""????0;"", ////"""),"'","""")&amp;SUBSTITUTE(TEXT(Overig!S1226,""",""?00;"",""?-00;"",""?00;"", //"""),"'","""")&amp;SUBSTITUTE(TEXT(IF(ISTEXT(Overig!T1226),Overig!T1226,10*Overig!T1226),""",""????0;"",""???-0;"",""????0;"", ////"""),"'","""")&amp;SUBSTITUTE(TEXT(Overig!U1226,""",""?00;"",""?-00;"",""?00;"", //"""),"'","""")&amp;SUBSTITUTE(TEXT(Overig!V1226,""",""???0;"",""??-0;"",""???0;"", ///"""),"'","""")&amp;SUBSTITUTE(TEXT(Overig!W1226,""",""?00;"",""?-00;"",""?00;"", //"""),"'","""")</f>
        <v>032, 19401102, 07.00, ////, 07, ////, 07, ////, 07, ////, 07, ///, 07, ////, 07, ////, 07, ////, 07, ////, 07, ///, 07</v>
      </c>
    </row>
    <row r="1227" spans="1:1" x14ac:dyDescent="0.25">
      <c r="A1227" s="12" t="str">
        <f ca="1">TEXT(Overig!A1227,"000\,")&amp;TEXT(Overig!B1227,"?00000000")&amp;TEXT(Overig!C1227,""", ""@")&amp;SUBSTITUTE(TEXT(IF(ISTEXT(Overig!D1227),Overig!D1227,10*Overig!D1227),""",""????0;"",""???-0;"",""????0;"", ////"""),"'","""")&amp;SUBSTITUTE(TEXT(Overig!E1227,""",""?00;"",""?-00;"",""?00;"", //"""),"'","""")&amp;SUBSTITUTE(TEXT(IF(ISTEXT(Overig!F1227),Overig!F1227,10*Overig!F1227),""",""????0;"",""???-0;"",""????0;"", ////"""),"'","""")&amp;SUBSTITUTE(TEXT(Overig!G1227,""",""?00;"",""?-00;"",""?00;"", //"""),"'","""")&amp;SUBSTITUTE(TEXT(IF(ISTEXT(Overig!H1227),Overig!H1227,10*Overig!H1227),""",""????0;"",""???-0;"",""????0;"", ////"""),"'","""")&amp;SUBSTITUTE(TEXT(Overig!I1227,""",""?00;"",""?-00;"",""?00;"", //"""),"'","""")&amp;SUBSTITUTE(TEXT(IF(ISTEXT(Overig!J1227),Overig!J1227,10*Overig!J1227),""",""????0;"",""???-0;"",""????0;"", ////"""),"'","""")&amp;SUBSTITUTE(TEXT(Overig!K1227,""",""?00;"",""?-00;"",""?00;"", //"""),"'","""")&amp;SUBSTITUTE(TEXT(Overig!L1227,""",""???0;"",""??-0;"",""???0;"", ///"""),"'","""")&amp;SUBSTITUTE(TEXT(Overig!M1227,""",""?00;"",""?-00;"",""?00;"", //"""),"'","""")&amp;SUBSTITUTE(TEXT(IF(ISTEXT(Overig!N1227),Overig!N1227,10*Overig!N1227),""",""????0;"",""???-0;"",""????0;"", ////"""),"'","""")&amp;SUBSTITUTE(TEXT(Overig!O1227,""",""?00;"",""?-00;"",""?00;"", //"""),"'","""")&amp;SUBSTITUTE(TEXT(IF(ISTEXT(Overig!P1227),Overig!P1227,10*Overig!P1227),""",""????0;"",""???-0;"",""????0;"", ////"""),"'","""")&amp;SUBSTITUTE(TEXT(Overig!Q1227,""",""?00;"",""?-00;"",""?00;"", //"""),"'","""")&amp;SUBSTITUTE(TEXT(Overig!R1227,""",""????0;"",""???-0;"",""????0;"", ////"""),"'","""")&amp;SUBSTITUTE(TEXT(Overig!S1227,""",""?00;"",""?-00;"",""?00;"", //"""),"'","""")&amp;SUBSTITUTE(TEXT(IF(ISTEXT(Overig!T1227),Overig!T1227,10*Overig!T1227),""",""????0;"",""???-0;"",""????0;"", ////"""),"'","""")&amp;SUBSTITUTE(TEXT(Overig!U1227,""",""?00;"",""?-00;"",""?00;"", //"""),"'","""")&amp;SUBSTITUTE(TEXT(Overig!V1227,""",""???0;"",""??-0;"",""???0;"", ///"""),"'","""")&amp;SUBSTITUTE(TEXT(Overig!W1227,""",""?00;"",""?-00;"",""?00;"", //"""),"'","""")</f>
        <v>032, 19401102, 12.00, ////, 07, ////, 07, ////, 07, ////, 07, ///, 07, ////, 07, ////, 07, ////, 07, ////, 07, ///, 07</v>
      </c>
    </row>
    <row r="1228" spans="1:1" x14ac:dyDescent="0.25">
      <c r="A1228" s="12" t="str">
        <f ca="1">TEXT(Overig!A1228,"000\,")&amp;TEXT(Overig!B1228,"?00000000")&amp;TEXT(Overig!C1228,""", ""@")&amp;SUBSTITUTE(TEXT(IF(ISTEXT(Overig!D1228),Overig!D1228,10*Overig!D1228),""",""????0;"",""???-0;"",""????0;"", ////"""),"'","""")&amp;SUBSTITUTE(TEXT(Overig!E1228,""",""?00;"",""?-00;"",""?00;"", //"""),"'","""")&amp;SUBSTITUTE(TEXT(IF(ISTEXT(Overig!F1228),Overig!F1228,10*Overig!F1228),""",""????0;"",""???-0;"",""????0;"", ////"""),"'","""")&amp;SUBSTITUTE(TEXT(Overig!G1228,""",""?00;"",""?-00;"",""?00;"", //"""),"'","""")&amp;SUBSTITUTE(TEXT(IF(ISTEXT(Overig!H1228),Overig!H1228,10*Overig!H1228),""",""????0;"",""???-0;"",""????0;"", ////"""),"'","""")&amp;SUBSTITUTE(TEXT(Overig!I1228,""",""?00;"",""?-00;"",""?00;"", //"""),"'","""")&amp;SUBSTITUTE(TEXT(IF(ISTEXT(Overig!J1228),Overig!J1228,10*Overig!J1228),""",""????0;"",""???-0;"",""????0;"", ////"""),"'","""")&amp;SUBSTITUTE(TEXT(Overig!K1228,""",""?00;"",""?-00;"",""?00;"", //"""),"'","""")&amp;SUBSTITUTE(TEXT(Overig!L1228,""",""???0;"",""??-0;"",""???0;"", ///"""),"'","""")&amp;SUBSTITUTE(TEXT(Overig!M1228,""",""?00;"",""?-00;"",""?00;"", //"""),"'","""")&amp;SUBSTITUTE(TEXT(IF(ISTEXT(Overig!N1228),Overig!N1228,10*Overig!N1228),""",""????0;"",""???-0;"",""????0;"", ////"""),"'","""")&amp;SUBSTITUTE(TEXT(Overig!O1228,""",""?00;"",""?-00;"",""?00;"", //"""),"'","""")&amp;SUBSTITUTE(TEXT(IF(ISTEXT(Overig!P1228),Overig!P1228,10*Overig!P1228),""",""????0;"",""???-0;"",""????0;"", ////"""),"'","""")&amp;SUBSTITUTE(TEXT(Overig!Q1228,""",""?00;"",""?-00;"",""?00;"", //"""),"'","""")&amp;SUBSTITUTE(TEXT(Overig!R1228,""",""????0;"",""???-0;"",""????0;"", ////"""),"'","""")&amp;SUBSTITUTE(TEXT(Overig!S1228,""",""?00;"",""?-00;"",""?00;"", //"""),"'","""")&amp;SUBSTITUTE(TEXT(IF(ISTEXT(Overig!T1228),Overig!T1228,10*Overig!T1228),""",""????0;"",""???-0;"",""????0;"", ////"""),"'","""")&amp;SUBSTITUTE(TEXT(Overig!U1228,""",""?00;"",""?-00;"",""?00;"", //"""),"'","""")&amp;SUBSTITUTE(TEXT(Overig!V1228,""",""???0;"",""??-0;"",""???0;"", ///"""),"'","""")&amp;SUBSTITUTE(TEXT(Overig!W1228,""",""?00;"",""?-00;"",""?00;"", //"""),"'","""")</f>
        <v>032, 19401102, 17.00, ////, 07, ////, 07, ////, 07, ////, 07, ///, 07, ////, 07, ////, 07, ////, 07, ////, 07, ///, 07</v>
      </c>
    </row>
    <row r="1229" spans="1:1" x14ac:dyDescent="0.25">
      <c r="A1229" s="12" t="str">
        <f ca="1">TEXT(Overig!A1229,"000\,")&amp;TEXT(Overig!B1229,"?00000000")&amp;TEXT(Overig!C1229,""", ""@")&amp;SUBSTITUTE(TEXT(IF(ISTEXT(Overig!D1229),Overig!D1229,10*Overig!D1229),""",""????0;"",""???-0;"",""????0;"", ////"""),"'","""")&amp;SUBSTITUTE(TEXT(Overig!E1229,""",""?00;"",""?-00;"",""?00;"", //"""),"'","""")&amp;SUBSTITUTE(TEXT(IF(ISTEXT(Overig!F1229),Overig!F1229,10*Overig!F1229),""",""????0;"",""???-0;"",""????0;"", ////"""),"'","""")&amp;SUBSTITUTE(TEXT(Overig!G1229,""",""?00;"",""?-00;"",""?00;"", //"""),"'","""")&amp;SUBSTITUTE(TEXT(IF(ISTEXT(Overig!H1229),Overig!H1229,10*Overig!H1229),""",""????0;"",""???-0;"",""????0;"", ////"""),"'","""")&amp;SUBSTITUTE(TEXT(Overig!I1229,""",""?00;"",""?-00;"",""?00;"", //"""),"'","""")&amp;SUBSTITUTE(TEXT(IF(ISTEXT(Overig!J1229),Overig!J1229,10*Overig!J1229),""",""????0;"",""???-0;"",""????0;"", ////"""),"'","""")&amp;SUBSTITUTE(TEXT(Overig!K1229,""",""?00;"",""?-00;"",""?00;"", //"""),"'","""")&amp;SUBSTITUTE(TEXT(Overig!L1229,""",""???0;"",""??-0;"",""???0;"", ///"""),"'","""")&amp;SUBSTITUTE(TEXT(Overig!M1229,""",""?00;"",""?-00;"",""?00;"", //"""),"'","""")&amp;SUBSTITUTE(TEXT(IF(ISTEXT(Overig!N1229),Overig!N1229,10*Overig!N1229),""",""????0;"",""???-0;"",""????0;"", ////"""),"'","""")&amp;SUBSTITUTE(TEXT(Overig!O1229,""",""?00;"",""?-00;"",""?00;"", //"""),"'","""")&amp;SUBSTITUTE(TEXT(IF(ISTEXT(Overig!P1229),Overig!P1229,10*Overig!P1229),""",""????0;"",""???-0;"",""????0;"", ////"""),"'","""")&amp;SUBSTITUTE(TEXT(Overig!Q1229,""",""?00;"",""?-00;"",""?00;"", //"""),"'","""")&amp;SUBSTITUTE(TEXT(Overig!R1229,""",""????0;"",""???-0;"",""????0;"", ////"""),"'","""")&amp;SUBSTITUTE(TEXT(Overig!S1229,""",""?00;"",""?-00;"",""?00;"", //"""),"'","""")&amp;SUBSTITUTE(TEXT(IF(ISTEXT(Overig!T1229),Overig!T1229,10*Overig!T1229),""",""????0;"",""???-0;"",""????0;"", ////"""),"'","""")&amp;SUBSTITUTE(TEXT(Overig!U1229,""",""?00;"",""?-00;"",""?00;"", //"""),"'","""")&amp;SUBSTITUTE(TEXT(Overig!V1229,""",""???0;"",""??-0;"",""???0;"", ///"""),"'","""")&amp;SUBSTITUTE(TEXT(Overig!W1229,""",""?00;"",""?-00;"",""?00;"", //"""),"'","""")</f>
        <v>032, 19401102, 24.00, ////, 07, ////, 07, ////, 07, ////, 07, ///, 07, ////, 07, ////, 07, ////, 07, ////, 07, ///, 07</v>
      </c>
    </row>
    <row r="1230" spans="1:1" x14ac:dyDescent="0.25">
      <c r="A1230" s="12" t="str">
        <f ca="1">TEXT(Overig!A1230,"000\,")&amp;TEXT(Overig!B1230,"?00000000")&amp;TEXT(Overig!C1230,""", ""@")&amp;SUBSTITUTE(TEXT(IF(ISTEXT(Overig!D1230),Overig!D1230,10*Overig!D1230),""",""????0;"",""???-0;"",""????0;"", ////"""),"'","""")&amp;SUBSTITUTE(TEXT(Overig!E1230,""",""?00;"",""?-00;"",""?00;"", //"""),"'","""")&amp;SUBSTITUTE(TEXT(IF(ISTEXT(Overig!F1230),Overig!F1230,10*Overig!F1230),""",""????0;"",""???-0;"",""????0;"", ////"""),"'","""")&amp;SUBSTITUTE(TEXT(Overig!G1230,""",""?00;"",""?-00;"",""?00;"", //"""),"'","""")&amp;SUBSTITUTE(TEXT(IF(ISTEXT(Overig!H1230),Overig!H1230,10*Overig!H1230),""",""????0;"",""???-0;"",""????0;"", ////"""),"'","""")&amp;SUBSTITUTE(TEXT(Overig!I1230,""",""?00;"",""?-00;"",""?00;"", //"""),"'","""")&amp;SUBSTITUTE(TEXT(IF(ISTEXT(Overig!J1230),Overig!J1230,10*Overig!J1230),""",""????0;"",""???-0;"",""????0;"", ////"""),"'","""")&amp;SUBSTITUTE(TEXT(Overig!K1230,""",""?00;"",""?-00;"",""?00;"", //"""),"'","""")&amp;SUBSTITUTE(TEXT(Overig!L1230,""",""???0;"",""??-0;"",""???0;"", ///"""),"'","""")&amp;SUBSTITUTE(TEXT(Overig!M1230,""",""?00;"",""?-00;"",""?00;"", //"""),"'","""")&amp;SUBSTITUTE(TEXT(IF(ISTEXT(Overig!N1230),Overig!N1230,10*Overig!N1230),""",""????0;"",""???-0;"",""????0;"", ////"""),"'","""")&amp;SUBSTITUTE(TEXT(Overig!O1230,""",""?00;"",""?-00;"",""?00;"", //"""),"'","""")&amp;SUBSTITUTE(TEXT(IF(ISTEXT(Overig!P1230),Overig!P1230,10*Overig!P1230),""",""????0;"",""???-0;"",""????0;"", ////"""),"'","""")&amp;SUBSTITUTE(TEXT(Overig!Q1230,""",""?00;"",""?-00;"",""?00;"", //"""),"'","""")&amp;SUBSTITUTE(TEXT(Overig!R1230,""",""????0;"",""???-0;"",""????0;"", ////"""),"'","""")&amp;SUBSTITUTE(TEXT(Overig!S1230,""",""?00;"",""?-00;"",""?00;"", //"""),"'","""")&amp;SUBSTITUTE(TEXT(IF(ISTEXT(Overig!T1230),Overig!T1230,10*Overig!T1230),""",""????0;"",""???-0;"",""????0;"", ////"""),"'","""")&amp;SUBSTITUTE(TEXT(Overig!U1230,""",""?00;"",""?-00;"",""?00;"", //"""),"'","""")&amp;SUBSTITUTE(TEXT(Overig!V1230,""",""???0;"",""??-0;"",""???0;"", ///"""),"'","""")&amp;SUBSTITUTE(TEXT(Overig!W1230,""",""?00;"",""?-00;"",""?00;"", //"""),"'","""")</f>
        <v>032, 19401103, 07.00, ////, 07, ////, 07, ////, 07, ////, 07, ///, 07, ////, 07, ////, 07, ////, 07, ////, 07, ///, 07</v>
      </c>
    </row>
    <row r="1231" spans="1:1" x14ac:dyDescent="0.25">
      <c r="A1231" s="12" t="str">
        <f ca="1">TEXT(Overig!A1231,"000\,")&amp;TEXT(Overig!B1231,"?00000000")&amp;TEXT(Overig!C1231,""", ""@")&amp;SUBSTITUTE(TEXT(IF(ISTEXT(Overig!D1231),Overig!D1231,10*Overig!D1231),""",""????0;"",""???-0;"",""????0;"", ////"""),"'","""")&amp;SUBSTITUTE(TEXT(Overig!E1231,""",""?00;"",""?-00;"",""?00;"", //"""),"'","""")&amp;SUBSTITUTE(TEXT(IF(ISTEXT(Overig!F1231),Overig!F1231,10*Overig!F1231),""",""????0;"",""???-0;"",""????0;"", ////"""),"'","""")&amp;SUBSTITUTE(TEXT(Overig!G1231,""",""?00;"",""?-00;"",""?00;"", //"""),"'","""")&amp;SUBSTITUTE(TEXT(IF(ISTEXT(Overig!H1231),Overig!H1231,10*Overig!H1231),""",""????0;"",""???-0;"",""????0;"", ////"""),"'","""")&amp;SUBSTITUTE(TEXT(Overig!I1231,""",""?00;"",""?-00;"",""?00;"", //"""),"'","""")&amp;SUBSTITUTE(TEXT(IF(ISTEXT(Overig!J1231),Overig!J1231,10*Overig!J1231),""",""????0;"",""???-0;"",""????0;"", ////"""),"'","""")&amp;SUBSTITUTE(TEXT(Overig!K1231,""",""?00;"",""?-00;"",""?00;"", //"""),"'","""")&amp;SUBSTITUTE(TEXT(Overig!L1231,""",""???0;"",""??-0;"",""???0;"", ///"""),"'","""")&amp;SUBSTITUTE(TEXT(Overig!M1231,""",""?00;"",""?-00;"",""?00;"", //"""),"'","""")&amp;SUBSTITUTE(TEXT(IF(ISTEXT(Overig!N1231),Overig!N1231,10*Overig!N1231),""",""????0;"",""???-0;"",""????0;"", ////"""),"'","""")&amp;SUBSTITUTE(TEXT(Overig!O1231,""",""?00;"",""?-00;"",""?00;"", //"""),"'","""")&amp;SUBSTITUTE(TEXT(IF(ISTEXT(Overig!P1231),Overig!P1231,10*Overig!P1231),""",""????0;"",""???-0;"",""????0;"", ////"""),"'","""")&amp;SUBSTITUTE(TEXT(Overig!Q1231,""",""?00;"",""?-00;"",""?00;"", //"""),"'","""")&amp;SUBSTITUTE(TEXT(Overig!R1231,""",""????0;"",""???-0;"",""????0;"", ////"""),"'","""")&amp;SUBSTITUTE(TEXT(Overig!S1231,""",""?00;"",""?-00;"",""?00;"", //"""),"'","""")&amp;SUBSTITUTE(TEXT(IF(ISTEXT(Overig!T1231),Overig!T1231,10*Overig!T1231),""",""????0;"",""???-0;"",""????0;"", ////"""),"'","""")&amp;SUBSTITUTE(TEXT(Overig!U1231,""",""?00;"",""?-00;"",""?00;"", //"""),"'","""")&amp;SUBSTITUTE(TEXT(Overig!V1231,""",""???0;"",""??-0;"",""???0;"", ///"""),"'","""")&amp;SUBSTITUTE(TEXT(Overig!W1231,""",""?00;"",""?-00;"",""?00;"", //"""),"'","""")</f>
        <v>032, 19401103, 12.00, ////, 07, ////, 07, ////, 07, ////, 07, ///, 07, ////, 07, ////, 07, ////, 07, ////, 07, ///, 07</v>
      </c>
    </row>
    <row r="1232" spans="1:1" x14ac:dyDescent="0.25">
      <c r="A1232" s="12" t="str">
        <f ca="1">TEXT(Overig!A1232,"000\,")&amp;TEXT(Overig!B1232,"?00000000")&amp;TEXT(Overig!C1232,""", ""@")&amp;SUBSTITUTE(TEXT(IF(ISTEXT(Overig!D1232),Overig!D1232,10*Overig!D1232),""",""????0;"",""???-0;"",""????0;"", ////"""),"'","""")&amp;SUBSTITUTE(TEXT(Overig!E1232,""",""?00;"",""?-00;"",""?00;"", //"""),"'","""")&amp;SUBSTITUTE(TEXT(IF(ISTEXT(Overig!F1232),Overig!F1232,10*Overig!F1232),""",""????0;"",""???-0;"",""????0;"", ////"""),"'","""")&amp;SUBSTITUTE(TEXT(Overig!G1232,""",""?00;"",""?-00;"",""?00;"", //"""),"'","""")&amp;SUBSTITUTE(TEXT(IF(ISTEXT(Overig!H1232),Overig!H1232,10*Overig!H1232),""",""????0;"",""???-0;"",""????0;"", ////"""),"'","""")&amp;SUBSTITUTE(TEXT(Overig!I1232,""",""?00;"",""?-00;"",""?00;"", //"""),"'","""")&amp;SUBSTITUTE(TEXT(IF(ISTEXT(Overig!J1232),Overig!J1232,10*Overig!J1232),""",""????0;"",""???-0;"",""????0;"", ////"""),"'","""")&amp;SUBSTITUTE(TEXT(Overig!K1232,""",""?00;"",""?-00;"",""?00;"", //"""),"'","""")&amp;SUBSTITUTE(TEXT(Overig!L1232,""",""???0;"",""??-0;"",""???0;"", ///"""),"'","""")&amp;SUBSTITUTE(TEXT(Overig!M1232,""",""?00;"",""?-00;"",""?00;"", //"""),"'","""")&amp;SUBSTITUTE(TEXT(IF(ISTEXT(Overig!N1232),Overig!N1232,10*Overig!N1232),""",""????0;"",""???-0;"",""????0;"", ////"""),"'","""")&amp;SUBSTITUTE(TEXT(Overig!O1232,""",""?00;"",""?-00;"",""?00;"", //"""),"'","""")&amp;SUBSTITUTE(TEXT(IF(ISTEXT(Overig!P1232),Overig!P1232,10*Overig!P1232),""",""????0;"",""???-0;"",""????0;"", ////"""),"'","""")&amp;SUBSTITUTE(TEXT(Overig!Q1232,""",""?00;"",""?-00;"",""?00;"", //"""),"'","""")&amp;SUBSTITUTE(TEXT(Overig!R1232,""",""????0;"",""???-0;"",""????0;"", ////"""),"'","""")&amp;SUBSTITUTE(TEXT(Overig!S1232,""",""?00;"",""?-00;"",""?00;"", //"""),"'","""")&amp;SUBSTITUTE(TEXT(IF(ISTEXT(Overig!T1232),Overig!T1232,10*Overig!T1232),""",""????0;"",""???-0;"",""????0;"", ////"""),"'","""")&amp;SUBSTITUTE(TEXT(Overig!U1232,""",""?00;"",""?-00;"",""?00;"", //"""),"'","""")&amp;SUBSTITUTE(TEXT(Overig!V1232,""",""???0;"",""??-0;"",""???0;"", ///"""),"'","""")&amp;SUBSTITUTE(TEXT(Overig!W1232,""",""?00;"",""?-00;"",""?00;"", //"""),"'","""")</f>
        <v>032, 19401103, 17.00, ////, 07, ////, 07, ////, 07, ////, 07, ///, 07, ////, 07, ////, 07, ////, 07, ////, 07, ///, 07</v>
      </c>
    </row>
    <row r="1233" spans="1:1" x14ac:dyDescent="0.25">
      <c r="A1233" s="12" t="str">
        <f ca="1">TEXT(Overig!A1233,"000\,")&amp;TEXT(Overig!B1233,"?00000000")&amp;TEXT(Overig!C1233,""", ""@")&amp;SUBSTITUTE(TEXT(IF(ISTEXT(Overig!D1233),Overig!D1233,10*Overig!D1233),""",""????0;"",""???-0;"",""????0;"", ////"""),"'","""")&amp;SUBSTITUTE(TEXT(Overig!E1233,""",""?00;"",""?-00;"",""?00;"", //"""),"'","""")&amp;SUBSTITUTE(TEXT(IF(ISTEXT(Overig!F1233),Overig!F1233,10*Overig!F1233),""",""????0;"",""???-0;"",""????0;"", ////"""),"'","""")&amp;SUBSTITUTE(TEXT(Overig!G1233,""",""?00;"",""?-00;"",""?00;"", //"""),"'","""")&amp;SUBSTITUTE(TEXT(IF(ISTEXT(Overig!H1233),Overig!H1233,10*Overig!H1233),""",""????0;"",""???-0;"",""????0;"", ////"""),"'","""")&amp;SUBSTITUTE(TEXT(Overig!I1233,""",""?00;"",""?-00;"",""?00;"", //"""),"'","""")&amp;SUBSTITUTE(TEXT(IF(ISTEXT(Overig!J1233),Overig!J1233,10*Overig!J1233),""",""????0;"",""???-0;"",""????0;"", ////"""),"'","""")&amp;SUBSTITUTE(TEXT(Overig!K1233,""",""?00;"",""?-00;"",""?00;"", //"""),"'","""")&amp;SUBSTITUTE(TEXT(Overig!L1233,""",""???0;"",""??-0;"",""???0;"", ///"""),"'","""")&amp;SUBSTITUTE(TEXT(Overig!M1233,""",""?00;"",""?-00;"",""?00;"", //"""),"'","""")&amp;SUBSTITUTE(TEXT(IF(ISTEXT(Overig!N1233),Overig!N1233,10*Overig!N1233),""",""????0;"",""???-0;"",""????0;"", ////"""),"'","""")&amp;SUBSTITUTE(TEXT(Overig!O1233,""",""?00;"",""?-00;"",""?00;"", //"""),"'","""")&amp;SUBSTITUTE(TEXT(IF(ISTEXT(Overig!P1233),Overig!P1233,10*Overig!P1233),""",""????0;"",""???-0;"",""????0;"", ////"""),"'","""")&amp;SUBSTITUTE(TEXT(Overig!Q1233,""",""?00;"",""?-00;"",""?00;"", //"""),"'","""")&amp;SUBSTITUTE(TEXT(Overig!R1233,""",""????0;"",""???-0;"",""????0;"", ////"""),"'","""")&amp;SUBSTITUTE(TEXT(Overig!S1233,""",""?00;"",""?-00;"",""?00;"", //"""),"'","""")&amp;SUBSTITUTE(TEXT(IF(ISTEXT(Overig!T1233),Overig!T1233,10*Overig!T1233),""",""????0;"",""???-0;"",""????0;"", ////"""),"'","""")&amp;SUBSTITUTE(TEXT(Overig!U1233,""",""?00;"",""?-00;"",""?00;"", //"""),"'","""")&amp;SUBSTITUTE(TEXT(Overig!V1233,""",""???0;"",""??-0;"",""???0;"", ///"""),"'","""")&amp;SUBSTITUTE(TEXT(Overig!W1233,""",""?00;"",""?-00;"",""?00;"", //"""),"'","""")</f>
        <v>032, 19401103, 24.00, ////, 07, ////, 07, ////, 07, ////, 07, ///, 07, ////, 07, ////, 07, ////, 07, ////, 07, ///, 07</v>
      </c>
    </row>
    <row r="1234" spans="1:1" x14ac:dyDescent="0.25">
      <c r="A1234" s="12" t="str">
        <f ca="1">TEXT(Overig!A1234,"000\,")&amp;TEXT(Overig!B1234,"?00000000")&amp;TEXT(Overig!C1234,""", ""@")&amp;SUBSTITUTE(TEXT(IF(ISTEXT(Overig!D1234),Overig!D1234,10*Overig!D1234),""",""????0;"",""???-0;"",""????0;"", ////"""),"'","""")&amp;SUBSTITUTE(TEXT(Overig!E1234,""",""?00;"",""?-00;"",""?00;"", //"""),"'","""")&amp;SUBSTITUTE(TEXT(IF(ISTEXT(Overig!F1234),Overig!F1234,10*Overig!F1234),""",""????0;"",""???-0;"",""????0;"", ////"""),"'","""")&amp;SUBSTITUTE(TEXT(Overig!G1234,""",""?00;"",""?-00;"",""?00;"", //"""),"'","""")&amp;SUBSTITUTE(TEXT(IF(ISTEXT(Overig!H1234),Overig!H1234,10*Overig!H1234),""",""????0;"",""???-0;"",""????0;"", ////"""),"'","""")&amp;SUBSTITUTE(TEXT(Overig!I1234,""",""?00;"",""?-00;"",""?00;"", //"""),"'","""")&amp;SUBSTITUTE(TEXT(IF(ISTEXT(Overig!J1234),Overig!J1234,10*Overig!J1234),""",""????0;"",""???-0;"",""????0;"", ////"""),"'","""")&amp;SUBSTITUTE(TEXT(Overig!K1234,""",""?00;"",""?-00;"",""?00;"", //"""),"'","""")&amp;SUBSTITUTE(TEXT(Overig!L1234,""",""???0;"",""??-0;"",""???0;"", ///"""),"'","""")&amp;SUBSTITUTE(TEXT(Overig!M1234,""",""?00;"",""?-00;"",""?00;"", //"""),"'","""")&amp;SUBSTITUTE(TEXT(IF(ISTEXT(Overig!N1234),Overig!N1234,10*Overig!N1234),""",""????0;"",""???-0;"",""????0;"", ////"""),"'","""")&amp;SUBSTITUTE(TEXT(Overig!O1234,""",""?00;"",""?-00;"",""?00;"", //"""),"'","""")&amp;SUBSTITUTE(TEXT(IF(ISTEXT(Overig!P1234),Overig!P1234,10*Overig!P1234),""",""????0;"",""???-0;"",""????0;"", ////"""),"'","""")&amp;SUBSTITUTE(TEXT(Overig!Q1234,""",""?00;"",""?-00;"",""?00;"", //"""),"'","""")&amp;SUBSTITUTE(TEXT(Overig!R1234,""",""????0;"",""???-0;"",""????0;"", ////"""),"'","""")&amp;SUBSTITUTE(TEXT(Overig!S1234,""",""?00;"",""?-00;"",""?00;"", //"""),"'","""")&amp;SUBSTITUTE(TEXT(IF(ISTEXT(Overig!T1234),Overig!T1234,10*Overig!T1234),""",""????0;"",""???-0;"",""????0;"", ////"""),"'","""")&amp;SUBSTITUTE(TEXT(Overig!U1234,""",""?00;"",""?-00;"",""?00;"", //"""),"'","""")&amp;SUBSTITUTE(TEXT(Overig!V1234,""",""???0;"",""??-0;"",""???0;"", ///"""),"'","""")&amp;SUBSTITUTE(TEXT(Overig!W1234,""",""?00;"",""?-00;"",""?00;"", //"""),"'","""")</f>
        <v>032, 19401104, 07.00, ////, 07, ////, 07, ////, 07, ////, 07, ///, 07, ////, 07, ////, 07, ////, 07, ////, 07, ///, 07</v>
      </c>
    </row>
    <row r="1235" spans="1:1" x14ac:dyDescent="0.25">
      <c r="A1235" s="12" t="str">
        <f ca="1">TEXT(Overig!A1235,"000\,")&amp;TEXT(Overig!B1235,"?00000000")&amp;TEXT(Overig!C1235,""", ""@")&amp;SUBSTITUTE(TEXT(IF(ISTEXT(Overig!D1235),Overig!D1235,10*Overig!D1235),""",""????0;"",""???-0;"",""????0;"", ////"""),"'","""")&amp;SUBSTITUTE(TEXT(Overig!E1235,""",""?00;"",""?-00;"",""?00;"", //"""),"'","""")&amp;SUBSTITUTE(TEXT(IF(ISTEXT(Overig!F1235),Overig!F1235,10*Overig!F1235),""",""????0;"",""???-0;"",""????0;"", ////"""),"'","""")&amp;SUBSTITUTE(TEXT(Overig!G1235,""",""?00;"",""?-00;"",""?00;"", //"""),"'","""")&amp;SUBSTITUTE(TEXT(IF(ISTEXT(Overig!H1235),Overig!H1235,10*Overig!H1235),""",""????0;"",""???-0;"",""????0;"", ////"""),"'","""")&amp;SUBSTITUTE(TEXT(Overig!I1235,""",""?00;"",""?-00;"",""?00;"", //"""),"'","""")&amp;SUBSTITUTE(TEXT(IF(ISTEXT(Overig!J1235),Overig!J1235,10*Overig!J1235),""",""????0;"",""???-0;"",""????0;"", ////"""),"'","""")&amp;SUBSTITUTE(TEXT(Overig!K1235,""",""?00;"",""?-00;"",""?00;"", //"""),"'","""")&amp;SUBSTITUTE(TEXT(Overig!L1235,""",""???0;"",""??-0;"",""???0;"", ///"""),"'","""")&amp;SUBSTITUTE(TEXT(Overig!M1235,""",""?00;"",""?-00;"",""?00;"", //"""),"'","""")&amp;SUBSTITUTE(TEXT(IF(ISTEXT(Overig!N1235),Overig!N1235,10*Overig!N1235),""",""????0;"",""???-0;"",""????0;"", ////"""),"'","""")&amp;SUBSTITUTE(TEXT(Overig!O1235,""",""?00;"",""?-00;"",""?00;"", //"""),"'","""")&amp;SUBSTITUTE(TEXT(IF(ISTEXT(Overig!P1235),Overig!P1235,10*Overig!P1235),""",""????0;"",""???-0;"",""????0;"", ////"""),"'","""")&amp;SUBSTITUTE(TEXT(Overig!Q1235,""",""?00;"",""?-00;"",""?00;"", //"""),"'","""")&amp;SUBSTITUTE(TEXT(Overig!R1235,""",""????0;"",""???-0;"",""????0;"", ////"""),"'","""")&amp;SUBSTITUTE(TEXT(Overig!S1235,""",""?00;"",""?-00;"",""?00;"", //"""),"'","""")&amp;SUBSTITUTE(TEXT(IF(ISTEXT(Overig!T1235),Overig!T1235,10*Overig!T1235),""",""????0;"",""???-0;"",""????0;"", ////"""),"'","""")&amp;SUBSTITUTE(TEXT(Overig!U1235,""",""?00;"",""?-00;"",""?00;"", //"""),"'","""")&amp;SUBSTITUTE(TEXT(Overig!V1235,""",""???0;"",""??-0;"",""???0;"", ///"""),"'","""")&amp;SUBSTITUTE(TEXT(Overig!W1235,""",""?00;"",""?-00;"",""?00;"", //"""),"'","""")</f>
        <v>032, 19401104, 12.00, ////, 07, ////, 07, ////, 07, ////, 07, ///, 07, ////, 07, ////, 07, ////, 07, ////, 07, ///, 07</v>
      </c>
    </row>
    <row r="1236" spans="1:1" x14ac:dyDescent="0.25">
      <c r="A1236" s="12" t="str">
        <f ca="1">TEXT(Overig!A1236,"000\,")&amp;TEXT(Overig!B1236,"?00000000")&amp;TEXT(Overig!C1236,""", ""@")&amp;SUBSTITUTE(TEXT(IF(ISTEXT(Overig!D1236),Overig!D1236,10*Overig!D1236),""",""????0;"",""???-0;"",""????0;"", ////"""),"'","""")&amp;SUBSTITUTE(TEXT(Overig!E1236,""",""?00;"",""?-00;"",""?00;"", //"""),"'","""")&amp;SUBSTITUTE(TEXT(IF(ISTEXT(Overig!F1236),Overig!F1236,10*Overig!F1236),""",""????0;"",""???-0;"",""????0;"", ////"""),"'","""")&amp;SUBSTITUTE(TEXT(Overig!G1236,""",""?00;"",""?-00;"",""?00;"", //"""),"'","""")&amp;SUBSTITUTE(TEXT(IF(ISTEXT(Overig!H1236),Overig!H1236,10*Overig!H1236),""",""????0;"",""???-0;"",""????0;"", ////"""),"'","""")&amp;SUBSTITUTE(TEXT(Overig!I1236,""",""?00;"",""?-00;"",""?00;"", //"""),"'","""")&amp;SUBSTITUTE(TEXT(IF(ISTEXT(Overig!J1236),Overig!J1236,10*Overig!J1236),""",""????0;"",""???-0;"",""????0;"", ////"""),"'","""")&amp;SUBSTITUTE(TEXT(Overig!K1236,""",""?00;"",""?-00;"",""?00;"", //"""),"'","""")&amp;SUBSTITUTE(TEXT(Overig!L1236,""",""???0;"",""??-0;"",""???0;"", ///"""),"'","""")&amp;SUBSTITUTE(TEXT(Overig!M1236,""",""?00;"",""?-00;"",""?00;"", //"""),"'","""")&amp;SUBSTITUTE(TEXT(IF(ISTEXT(Overig!N1236),Overig!N1236,10*Overig!N1236),""",""????0;"",""???-0;"",""????0;"", ////"""),"'","""")&amp;SUBSTITUTE(TEXT(Overig!O1236,""",""?00;"",""?-00;"",""?00;"", //"""),"'","""")&amp;SUBSTITUTE(TEXT(IF(ISTEXT(Overig!P1236),Overig!P1236,10*Overig!P1236),""",""????0;"",""???-0;"",""????0;"", ////"""),"'","""")&amp;SUBSTITUTE(TEXT(Overig!Q1236,""",""?00;"",""?-00;"",""?00;"", //"""),"'","""")&amp;SUBSTITUTE(TEXT(Overig!R1236,""",""????0;"",""???-0;"",""????0;"", ////"""),"'","""")&amp;SUBSTITUTE(TEXT(Overig!S1236,""",""?00;"",""?-00;"",""?00;"", //"""),"'","""")&amp;SUBSTITUTE(TEXT(IF(ISTEXT(Overig!T1236),Overig!T1236,10*Overig!T1236),""",""????0;"",""???-0;"",""????0;"", ////"""),"'","""")&amp;SUBSTITUTE(TEXT(Overig!U1236,""",""?00;"",""?-00;"",""?00;"", //"""),"'","""")&amp;SUBSTITUTE(TEXT(Overig!V1236,""",""???0;"",""??-0;"",""???0;"", ///"""),"'","""")&amp;SUBSTITUTE(TEXT(Overig!W1236,""",""?00;"",""?-00;"",""?00;"", //"""),"'","""")</f>
        <v>032, 19401104, 17.00, ////, 07, ////, 07, ////, 07, ////, 07, ///, 07, ////, 07, ////, 07, ////, 07, ////, 07, ///, 07</v>
      </c>
    </row>
    <row r="1237" spans="1:1" x14ac:dyDescent="0.25">
      <c r="A1237" s="12" t="str">
        <f ca="1">TEXT(Overig!A1237,"000\,")&amp;TEXT(Overig!B1237,"?00000000")&amp;TEXT(Overig!C1237,""", ""@")&amp;SUBSTITUTE(TEXT(IF(ISTEXT(Overig!D1237),Overig!D1237,10*Overig!D1237),""",""????0;"",""???-0;"",""????0;"", ////"""),"'","""")&amp;SUBSTITUTE(TEXT(Overig!E1237,""",""?00;"",""?-00;"",""?00;"", //"""),"'","""")&amp;SUBSTITUTE(TEXT(IF(ISTEXT(Overig!F1237),Overig!F1237,10*Overig!F1237),""",""????0;"",""???-0;"",""????0;"", ////"""),"'","""")&amp;SUBSTITUTE(TEXT(Overig!G1237,""",""?00;"",""?-00;"",""?00;"", //"""),"'","""")&amp;SUBSTITUTE(TEXT(IF(ISTEXT(Overig!H1237),Overig!H1237,10*Overig!H1237),""",""????0;"",""???-0;"",""????0;"", ////"""),"'","""")&amp;SUBSTITUTE(TEXT(Overig!I1237,""",""?00;"",""?-00;"",""?00;"", //"""),"'","""")&amp;SUBSTITUTE(TEXT(IF(ISTEXT(Overig!J1237),Overig!J1237,10*Overig!J1237),""",""????0;"",""???-0;"",""????0;"", ////"""),"'","""")&amp;SUBSTITUTE(TEXT(Overig!K1237,""",""?00;"",""?-00;"",""?00;"", //"""),"'","""")&amp;SUBSTITUTE(TEXT(Overig!L1237,""",""???0;"",""??-0;"",""???0;"", ///"""),"'","""")&amp;SUBSTITUTE(TEXT(Overig!M1237,""",""?00;"",""?-00;"",""?00;"", //"""),"'","""")&amp;SUBSTITUTE(TEXT(IF(ISTEXT(Overig!N1237),Overig!N1237,10*Overig!N1237),""",""????0;"",""???-0;"",""????0;"", ////"""),"'","""")&amp;SUBSTITUTE(TEXT(Overig!O1237,""",""?00;"",""?-00;"",""?00;"", //"""),"'","""")&amp;SUBSTITUTE(TEXT(IF(ISTEXT(Overig!P1237),Overig!P1237,10*Overig!P1237),""",""????0;"",""???-0;"",""????0;"", ////"""),"'","""")&amp;SUBSTITUTE(TEXT(Overig!Q1237,""",""?00;"",""?-00;"",""?00;"", //"""),"'","""")&amp;SUBSTITUTE(TEXT(Overig!R1237,""",""????0;"",""???-0;"",""????0;"", ////"""),"'","""")&amp;SUBSTITUTE(TEXT(Overig!S1237,""",""?00;"",""?-00;"",""?00;"", //"""),"'","""")&amp;SUBSTITUTE(TEXT(IF(ISTEXT(Overig!T1237),Overig!T1237,10*Overig!T1237),""",""????0;"",""???-0;"",""????0;"", ////"""),"'","""")&amp;SUBSTITUTE(TEXT(Overig!U1237,""",""?00;"",""?-00;"",""?00;"", //"""),"'","""")&amp;SUBSTITUTE(TEXT(Overig!V1237,""",""???0;"",""??-0;"",""???0;"", ///"""),"'","""")&amp;SUBSTITUTE(TEXT(Overig!W1237,""",""?00;"",""?-00;"",""?00;"", //"""),"'","""")</f>
        <v>032, 19401104, 24.00, ////, 07, ////, 07, ////, 07, ////, 07, ///, 07, ////, 07, ////, 07, ////, 07, ////, 07, ///, 07</v>
      </c>
    </row>
    <row r="1238" spans="1:1" x14ac:dyDescent="0.25">
      <c r="A1238" s="12" t="str">
        <f ca="1">TEXT(Overig!A1238,"000\,")&amp;TEXT(Overig!B1238,"?00000000")&amp;TEXT(Overig!C1238,""", ""@")&amp;SUBSTITUTE(TEXT(IF(ISTEXT(Overig!D1238),Overig!D1238,10*Overig!D1238),""",""????0;"",""???-0;"",""????0;"", ////"""),"'","""")&amp;SUBSTITUTE(TEXT(Overig!E1238,""",""?00;"",""?-00;"",""?00;"", //"""),"'","""")&amp;SUBSTITUTE(TEXT(IF(ISTEXT(Overig!F1238),Overig!F1238,10*Overig!F1238),""",""????0;"",""???-0;"",""????0;"", ////"""),"'","""")&amp;SUBSTITUTE(TEXT(Overig!G1238,""",""?00;"",""?-00;"",""?00;"", //"""),"'","""")&amp;SUBSTITUTE(TEXT(IF(ISTEXT(Overig!H1238),Overig!H1238,10*Overig!H1238),""",""????0;"",""???-0;"",""????0;"", ////"""),"'","""")&amp;SUBSTITUTE(TEXT(Overig!I1238,""",""?00;"",""?-00;"",""?00;"", //"""),"'","""")&amp;SUBSTITUTE(TEXT(IF(ISTEXT(Overig!J1238),Overig!J1238,10*Overig!J1238),""",""????0;"",""???-0;"",""????0;"", ////"""),"'","""")&amp;SUBSTITUTE(TEXT(Overig!K1238,""",""?00;"",""?-00;"",""?00;"", //"""),"'","""")&amp;SUBSTITUTE(TEXT(Overig!L1238,""",""???0;"",""??-0;"",""???0;"", ///"""),"'","""")&amp;SUBSTITUTE(TEXT(Overig!M1238,""",""?00;"",""?-00;"",""?00;"", //"""),"'","""")&amp;SUBSTITUTE(TEXT(IF(ISTEXT(Overig!N1238),Overig!N1238,10*Overig!N1238),""",""????0;"",""???-0;"",""????0;"", ////"""),"'","""")&amp;SUBSTITUTE(TEXT(Overig!O1238,""",""?00;"",""?-00;"",""?00;"", //"""),"'","""")&amp;SUBSTITUTE(TEXT(IF(ISTEXT(Overig!P1238),Overig!P1238,10*Overig!P1238),""",""????0;"",""???-0;"",""????0;"", ////"""),"'","""")&amp;SUBSTITUTE(TEXT(Overig!Q1238,""",""?00;"",""?-00;"",""?00;"", //"""),"'","""")&amp;SUBSTITUTE(TEXT(Overig!R1238,""",""????0;"",""???-0;"",""????0;"", ////"""),"'","""")&amp;SUBSTITUTE(TEXT(Overig!S1238,""",""?00;"",""?-00;"",""?00;"", //"""),"'","""")&amp;SUBSTITUTE(TEXT(IF(ISTEXT(Overig!T1238),Overig!T1238,10*Overig!T1238),""",""????0;"",""???-0;"",""????0;"", ////"""),"'","""")&amp;SUBSTITUTE(TEXT(Overig!U1238,""",""?00;"",""?-00;"",""?00;"", //"""),"'","""")&amp;SUBSTITUTE(TEXT(Overig!V1238,""",""???0;"",""??-0;"",""???0;"", ///"""),"'","""")&amp;SUBSTITUTE(TEXT(Overig!W1238,""",""?00;"",""?-00;"",""?00;"", //"""),"'","""")</f>
        <v>032, 19401105, 07.00, ////, 07, ////, 07, ////, 07, ////, 07, ///, 07, ////, 07, ////, 07, ////, 07, ////, 07, ///, 07</v>
      </c>
    </row>
    <row r="1239" spans="1:1" x14ac:dyDescent="0.25">
      <c r="A1239" s="12" t="str">
        <f ca="1">TEXT(Overig!A1239,"000\,")&amp;TEXT(Overig!B1239,"?00000000")&amp;TEXT(Overig!C1239,""", ""@")&amp;SUBSTITUTE(TEXT(IF(ISTEXT(Overig!D1239),Overig!D1239,10*Overig!D1239),""",""????0;"",""???-0;"",""????0;"", ////"""),"'","""")&amp;SUBSTITUTE(TEXT(Overig!E1239,""",""?00;"",""?-00;"",""?00;"", //"""),"'","""")&amp;SUBSTITUTE(TEXT(IF(ISTEXT(Overig!F1239),Overig!F1239,10*Overig!F1239),""",""????0;"",""???-0;"",""????0;"", ////"""),"'","""")&amp;SUBSTITUTE(TEXT(Overig!G1239,""",""?00;"",""?-00;"",""?00;"", //"""),"'","""")&amp;SUBSTITUTE(TEXT(IF(ISTEXT(Overig!H1239),Overig!H1239,10*Overig!H1239),""",""????0;"",""???-0;"",""????0;"", ////"""),"'","""")&amp;SUBSTITUTE(TEXT(Overig!I1239,""",""?00;"",""?-00;"",""?00;"", //"""),"'","""")&amp;SUBSTITUTE(TEXT(IF(ISTEXT(Overig!J1239),Overig!J1239,10*Overig!J1239),""",""????0;"",""???-0;"",""????0;"", ////"""),"'","""")&amp;SUBSTITUTE(TEXT(Overig!K1239,""",""?00;"",""?-00;"",""?00;"", //"""),"'","""")&amp;SUBSTITUTE(TEXT(Overig!L1239,""",""???0;"",""??-0;"",""???0;"", ///"""),"'","""")&amp;SUBSTITUTE(TEXT(Overig!M1239,""",""?00;"",""?-00;"",""?00;"", //"""),"'","""")&amp;SUBSTITUTE(TEXT(IF(ISTEXT(Overig!N1239),Overig!N1239,10*Overig!N1239),""",""????0;"",""???-0;"",""????0;"", ////"""),"'","""")&amp;SUBSTITUTE(TEXT(Overig!O1239,""",""?00;"",""?-00;"",""?00;"", //"""),"'","""")&amp;SUBSTITUTE(TEXT(IF(ISTEXT(Overig!P1239),Overig!P1239,10*Overig!P1239),""",""????0;"",""???-0;"",""????0;"", ////"""),"'","""")&amp;SUBSTITUTE(TEXT(Overig!Q1239,""",""?00;"",""?-00;"",""?00;"", //"""),"'","""")&amp;SUBSTITUTE(TEXT(Overig!R1239,""",""????0;"",""???-0;"",""????0;"", ////"""),"'","""")&amp;SUBSTITUTE(TEXT(Overig!S1239,""",""?00;"",""?-00;"",""?00;"", //"""),"'","""")&amp;SUBSTITUTE(TEXT(IF(ISTEXT(Overig!T1239),Overig!T1239,10*Overig!T1239),""",""????0;"",""???-0;"",""????0;"", ////"""),"'","""")&amp;SUBSTITUTE(TEXT(Overig!U1239,""",""?00;"",""?-00;"",""?00;"", //"""),"'","""")&amp;SUBSTITUTE(TEXT(Overig!V1239,""",""???0;"",""??-0;"",""???0;"", ///"""),"'","""")&amp;SUBSTITUTE(TEXT(Overig!W1239,""",""?00;"",""?-00;"",""?00;"", //"""),"'","""")</f>
        <v>032, 19401105, 12.00, ////, 07, ////, 07, ////, 07, ////, 07, ///, 07, ////, 07, ////, 07, ////, 07, ////, 07, ///, 07</v>
      </c>
    </row>
    <row r="1240" spans="1:1" x14ac:dyDescent="0.25">
      <c r="A1240" s="12" t="str">
        <f ca="1">TEXT(Overig!A1240,"000\,")&amp;TEXT(Overig!B1240,"?00000000")&amp;TEXT(Overig!C1240,""", ""@")&amp;SUBSTITUTE(TEXT(IF(ISTEXT(Overig!D1240),Overig!D1240,10*Overig!D1240),""",""????0;"",""???-0;"",""????0;"", ////"""),"'","""")&amp;SUBSTITUTE(TEXT(Overig!E1240,""",""?00;"",""?-00;"",""?00;"", //"""),"'","""")&amp;SUBSTITUTE(TEXT(IF(ISTEXT(Overig!F1240),Overig!F1240,10*Overig!F1240),""",""????0;"",""???-0;"",""????0;"", ////"""),"'","""")&amp;SUBSTITUTE(TEXT(Overig!G1240,""",""?00;"",""?-00;"",""?00;"", //"""),"'","""")&amp;SUBSTITUTE(TEXT(IF(ISTEXT(Overig!H1240),Overig!H1240,10*Overig!H1240),""",""????0;"",""???-0;"",""????0;"", ////"""),"'","""")&amp;SUBSTITUTE(TEXT(Overig!I1240,""",""?00;"",""?-00;"",""?00;"", //"""),"'","""")&amp;SUBSTITUTE(TEXT(IF(ISTEXT(Overig!J1240),Overig!J1240,10*Overig!J1240),""",""????0;"",""???-0;"",""????0;"", ////"""),"'","""")&amp;SUBSTITUTE(TEXT(Overig!K1240,""",""?00;"",""?-00;"",""?00;"", //"""),"'","""")&amp;SUBSTITUTE(TEXT(Overig!L1240,""",""???0;"",""??-0;"",""???0;"", ///"""),"'","""")&amp;SUBSTITUTE(TEXT(Overig!M1240,""",""?00;"",""?-00;"",""?00;"", //"""),"'","""")&amp;SUBSTITUTE(TEXT(IF(ISTEXT(Overig!N1240),Overig!N1240,10*Overig!N1240),""",""????0;"",""???-0;"",""????0;"", ////"""),"'","""")&amp;SUBSTITUTE(TEXT(Overig!O1240,""",""?00;"",""?-00;"",""?00;"", //"""),"'","""")&amp;SUBSTITUTE(TEXT(IF(ISTEXT(Overig!P1240),Overig!P1240,10*Overig!P1240),""",""????0;"",""???-0;"",""????0;"", ////"""),"'","""")&amp;SUBSTITUTE(TEXT(Overig!Q1240,""",""?00;"",""?-00;"",""?00;"", //"""),"'","""")&amp;SUBSTITUTE(TEXT(Overig!R1240,""",""????0;"",""???-0;"",""????0;"", ////"""),"'","""")&amp;SUBSTITUTE(TEXT(Overig!S1240,""",""?00;"",""?-00;"",""?00;"", //"""),"'","""")&amp;SUBSTITUTE(TEXT(IF(ISTEXT(Overig!T1240),Overig!T1240,10*Overig!T1240),""",""????0;"",""???-0;"",""????0;"", ////"""),"'","""")&amp;SUBSTITUTE(TEXT(Overig!U1240,""",""?00;"",""?-00;"",""?00;"", //"""),"'","""")&amp;SUBSTITUTE(TEXT(Overig!V1240,""",""???0;"",""??-0;"",""???0;"", ///"""),"'","""")&amp;SUBSTITUTE(TEXT(Overig!W1240,""",""?00;"",""?-00;"",""?00;"", //"""),"'","""")</f>
        <v>032, 19401105, 17.00, ////, 07, ////, 07, ////, 07, ////, 07, ///, 07, ////, 07, ////, 07, ////, 07, ////, 07, ///, 07</v>
      </c>
    </row>
    <row r="1241" spans="1:1" x14ac:dyDescent="0.25">
      <c r="A1241" s="12" t="str">
        <f ca="1">TEXT(Overig!A1241,"000\,")&amp;TEXT(Overig!B1241,"?00000000")&amp;TEXT(Overig!C1241,""", ""@")&amp;SUBSTITUTE(TEXT(IF(ISTEXT(Overig!D1241),Overig!D1241,10*Overig!D1241),""",""????0;"",""???-0;"",""????0;"", ////"""),"'","""")&amp;SUBSTITUTE(TEXT(Overig!E1241,""",""?00;"",""?-00;"",""?00;"", //"""),"'","""")&amp;SUBSTITUTE(TEXT(IF(ISTEXT(Overig!F1241),Overig!F1241,10*Overig!F1241),""",""????0;"",""???-0;"",""????0;"", ////"""),"'","""")&amp;SUBSTITUTE(TEXT(Overig!G1241,""",""?00;"",""?-00;"",""?00;"", //"""),"'","""")&amp;SUBSTITUTE(TEXT(IF(ISTEXT(Overig!H1241),Overig!H1241,10*Overig!H1241),""",""????0;"",""???-0;"",""????0;"", ////"""),"'","""")&amp;SUBSTITUTE(TEXT(Overig!I1241,""",""?00;"",""?-00;"",""?00;"", //"""),"'","""")&amp;SUBSTITUTE(TEXT(IF(ISTEXT(Overig!J1241),Overig!J1241,10*Overig!J1241),""",""????0;"",""???-0;"",""????0;"", ////"""),"'","""")&amp;SUBSTITUTE(TEXT(Overig!K1241,""",""?00;"",""?-00;"",""?00;"", //"""),"'","""")&amp;SUBSTITUTE(TEXT(Overig!L1241,""",""???0;"",""??-0;"",""???0;"", ///"""),"'","""")&amp;SUBSTITUTE(TEXT(Overig!M1241,""",""?00;"",""?-00;"",""?00;"", //"""),"'","""")&amp;SUBSTITUTE(TEXT(IF(ISTEXT(Overig!N1241),Overig!N1241,10*Overig!N1241),""",""????0;"",""???-0;"",""????0;"", ////"""),"'","""")&amp;SUBSTITUTE(TEXT(Overig!O1241,""",""?00;"",""?-00;"",""?00;"", //"""),"'","""")&amp;SUBSTITUTE(TEXT(IF(ISTEXT(Overig!P1241),Overig!P1241,10*Overig!P1241),""",""????0;"",""???-0;"",""????0;"", ////"""),"'","""")&amp;SUBSTITUTE(TEXT(Overig!Q1241,""",""?00;"",""?-00;"",""?00;"", //"""),"'","""")&amp;SUBSTITUTE(TEXT(Overig!R1241,""",""????0;"",""???-0;"",""????0;"", ////"""),"'","""")&amp;SUBSTITUTE(TEXT(Overig!S1241,""",""?00;"",""?-00;"",""?00;"", //"""),"'","""")&amp;SUBSTITUTE(TEXT(IF(ISTEXT(Overig!T1241),Overig!T1241,10*Overig!T1241),""",""????0;"",""???-0;"",""????0;"", ////"""),"'","""")&amp;SUBSTITUTE(TEXT(Overig!U1241,""",""?00;"",""?-00;"",""?00;"", //"""),"'","""")&amp;SUBSTITUTE(TEXT(Overig!V1241,""",""???0;"",""??-0;"",""???0;"", ///"""),"'","""")&amp;SUBSTITUTE(TEXT(Overig!W1241,""",""?00;"",""?-00;"",""?00;"", //"""),"'","""")</f>
        <v>032, 19401105, 24.00, ////, 07, ////, 07, ////, 07, ////, 07, ///, 07, ////, 07, ////, 07, ////, 07, ////, 07, ///, 07</v>
      </c>
    </row>
    <row r="1242" spans="1:1" x14ac:dyDescent="0.25">
      <c r="A1242" s="12" t="str">
        <f ca="1">TEXT(Overig!A1242,"000\,")&amp;TEXT(Overig!B1242,"?00000000")&amp;TEXT(Overig!C1242,""", ""@")&amp;SUBSTITUTE(TEXT(IF(ISTEXT(Overig!D1242),Overig!D1242,10*Overig!D1242),""",""????0;"",""???-0;"",""????0;"", ////"""),"'","""")&amp;SUBSTITUTE(TEXT(Overig!E1242,""",""?00;"",""?-00;"",""?00;"", //"""),"'","""")&amp;SUBSTITUTE(TEXT(IF(ISTEXT(Overig!F1242),Overig!F1242,10*Overig!F1242),""",""????0;"",""???-0;"",""????0;"", ////"""),"'","""")&amp;SUBSTITUTE(TEXT(Overig!G1242,""",""?00;"",""?-00;"",""?00;"", //"""),"'","""")&amp;SUBSTITUTE(TEXT(IF(ISTEXT(Overig!H1242),Overig!H1242,10*Overig!H1242),""",""????0;"",""???-0;"",""????0;"", ////"""),"'","""")&amp;SUBSTITUTE(TEXT(Overig!I1242,""",""?00;"",""?-00;"",""?00;"", //"""),"'","""")&amp;SUBSTITUTE(TEXT(IF(ISTEXT(Overig!J1242),Overig!J1242,10*Overig!J1242),""",""????0;"",""???-0;"",""????0;"", ////"""),"'","""")&amp;SUBSTITUTE(TEXT(Overig!K1242,""",""?00;"",""?-00;"",""?00;"", //"""),"'","""")&amp;SUBSTITUTE(TEXT(Overig!L1242,""",""???0;"",""??-0;"",""???0;"", ///"""),"'","""")&amp;SUBSTITUTE(TEXT(Overig!M1242,""",""?00;"",""?-00;"",""?00;"", //"""),"'","""")&amp;SUBSTITUTE(TEXT(IF(ISTEXT(Overig!N1242),Overig!N1242,10*Overig!N1242),""",""????0;"",""???-0;"",""????0;"", ////"""),"'","""")&amp;SUBSTITUTE(TEXT(Overig!O1242,""",""?00;"",""?-00;"",""?00;"", //"""),"'","""")&amp;SUBSTITUTE(TEXT(IF(ISTEXT(Overig!P1242),Overig!P1242,10*Overig!P1242),""",""????0;"",""???-0;"",""????0;"", ////"""),"'","""")&amp;SUBSTITUTE(TEXT(Overig!Q1242,""",""?00;"",""?-00;"",""?00;"", //"""),"'","""")&amp;SUBSTITUTE(TEXT(Overig!R1242,""",""????0;"",""???-0;"",""????0;"", ////"""),"'","""")&amp;SUBSTITUTE(TEXT(Overig!S1242,""",""?00;"",""?-00;"",""?00;"", //"""),"'","""")&amp;SUBSTITUTE(TEXT(IF(ISTEXT(Overig!T1242),Overig!T1242,10*Overig!T1242),""",""????0;"",""???-0;"",""????0;"", ////"""),"'","""")&amp;SUBSTITUTE(TEXT(Overig!U1242,""",""?00;"",""?-00;"",""?00;"", //"""),"'","""")&amp;SUBSTITUTE(TEXT(Overig!V1242,""",""???0;"",""??-0;"",""???0;"", ///"""),"'","""")&amp;SUBSTITUTE(TEXT(Overig!W1242,""",""?00;"",""?-00;"",""?00;"", //"""),"'","""")</f>
        <v>032, 19401106, 07.00, ////, 07, ////, 07, ////, 07, ////, 07, ///, 07, ////, 07, ////, 07, ////, 07, ////, 07, ///, 07</v>
      </c>
    </row>
    <row r="1243" spans="1:1" x14ac:dyDescent="0.25">
      <c r="A1243" s="12" t="str">
        <f ca="1">TEXT(Overig!A1243,"000\,")&amp;TEXT(Overig!B1243,"?00000000")&amp;TEXT(Overig!C1243,""", ""@")&amp;SUBSTITUTE(TEXT(IF(ISTEXT(Overig!D1243),Overig!D1243,10*Overig!D1243),""",""????0;"",""???-0;"",""????0;"", ////"""),"'","""")&amp;SUBSTITUTE(TEXT(Overig!E1243,""",""?00;"",""?-00;"",""?00;"", //"""),"'","""")&amp;SUBSTITUTE(TEXT(IF(ISTEXT(Overig!F1243),Overig!F1243,10*Overig!F1243),""",""????0;"",""???-0;"",""????0;"", ////"""),"'","""")&amp;SUBSTITUTE(TEXT(Overig!G1243,""",""?00;"",""?-00;"",""?00;"", //"""),"'","""")&amp;SUBSTITUTE(TEXT(IF(ISTEXT(Overig!H1243),Overig!H1243,10*Overig!H1243),""",""????0;"",""???-0;"",""????0;"", ////"""),"'","""")&amp;SUBSTITUTE(TEXT(Overig!I1243,""",""?00;"",""?-00;"",""?00;"", //"""),"'","""")&amp;SUBSTITUTE(TEXT(IF(ISTEXT(Overig!J1243),Overig!J1243,10*Overig!J1243),""",""????0;"",""???-0;"",""????0;"", ////"""),"'","""")&amp;SUBSTITUTE(TEXT(Overig!K1243,""",""?00;"",""?-00;"",""?00;"", //"""),"'","""")&amp;SUBSTITUTE(TEXT(Overig!L1243,""",""???0;"",""??-0;"",""???0;"", ///"""),"'","""")&amp;SUBSTITUTE(TEXT(Overig!M1243,""",""?00;"",""?-00;"",""?00;"", //"""),"'","""")&amp;SUBSTITUTE(TEXT(IF(ISTEXT(Overig!N1243),Overig!N1243,10*Overig!N1243),""",""????0;"",""???-0;"",""????0;"", ////"""),"'","""")&amp;SUBSTITUTE(TEXT(Overig!O1243,""",""?00;"",""?-00;"",""?00;"", //"""),"'","""")&amp;SUBSTITUTE(TEXT(IF(ISTEXT(Overig!P1243),Overig!P1243,10*Overig!P1243),""",""????0;"",""???-0;"",""????0;"", ////"""),"'","""")&amp;SUBSTITUTE(TEXT(Overig!Q1243,""",""?00;"",""?-00;"",""?00;"", //"""),"'","""")&amp;SUBSTITUTE(TEXT(Overig!R1243,""",""????0;"",""???-0;"",""????0;"", ////"""),"'","""")&amp;SUBSTITUTE(TEXT(Overig!S1243,""",""?00;"",""?-00;"",""?00;"", //"""),"'","""")&amp;SUBSTITUTE(TEXT(IF(ISTEXT(Overig!T1243),Overig!T1243,10*Overig!T1243),""",""????0;"",""???-0;"",""????0;"", ////"""),"'","""")&amp;SUBSTITUTE(TEXT(Overig!U1243,""",""?00;"",""?-00;"",""?00;"", //"""),"'","""")&amp;SUBSTITUTE(TEXT(Overig!V1243,""",""???0;"",""??-0;"",""???0;"", ///"""),"'","""")&amp;SUBSTITUTE(TEXT(Overig!W1243,""",""?00;"",""?-00;"",""?00;"", //"""),"'","""")</f>
        <v>032, 19401106, 12.00, ////, 07, ////, 07, ////, 07, ////, 07, ///, 07, ////, 07, ////, 07, ////, 07, ////, 07, ///, 07</v>
      </c>
    </row>
    <row r="1244" spans="1:1" x14ac:dyDescent="0.25">
      <c r="A1244" s="12" t="str">
        <f ca="1">TEXT(Overig!A1244,"000\,")&amp;TEXT(Overig!B1244,"?00000000")&amp;TEXT(Overig!C1244,""", ""@")&amp;SUBSTITUTE(TEXT(IF(ISTEXT(Overig!D1244),Overig!D1244,10*Overig!D1244),""",""????0;"",""???-0;"",""????0;"", ////"""),"'","""")&amp;SUBSTITUTE(TEXT(Overig!E1244,""",""?00;"",""?-00;"",""?00;"", //"""),"'","""")&amp;SUBSTITUTE(TEXT(IF(ISTEXT(Overig!F1244),Overig!F1244,10*Overig!F1244),""",""????0;"",""???-0;"",""????0;"", ////"""),"'","""")&amp;SUBSTITUTE(TEXT(Overig!G1244,""",""?00;"",""?-00;"",""?00;"", //"""),"'","""")&amp;SUBSTITUTE(TEXT(IF(ISTEXT(Overig!H1244),Overig!H1244,10*Overig!H1244),""",""????0;"",""???-0;"",""????0;"", ////"""),"'","""")&amp;SUBSTITUTE(TEXT(Overig!I1244,""",""?00;"",""?-00;"",""?00;"", //"""),"'","""")&amp;SUBSTITUTE(TEXT(IF(ISTEXT(Overig!J1244),Overig!J1244,10*Overig!J1244),""",""????0;"",""???-0;"",""????0;"", ////"""),"'","""")&amp;SUBSTITUTE(TEXT(Overig!K1244,""",""?00;"",""?-00;"",""?00;"", //"""),"'","""")&amp;SUBSTITUTE(TEXT(Overig!L1244,""",""???0;"",""??-0;"",""???0;"", ///"""),"'","""")&amp;SUBSTITUTE(TEXT(Overig!M1244,""",""?00;"",""?-00;"",""?00;"", //"""),"'","""")&amp;SUBSTITUTE(TEXT(IF(ISTEXT(Overig!N1244),Overig!N1244,10*Overig!N1244),""",""????0;"",""???-0;"",""????0;"", ////"""),"'","""")&amp;SUBSTITUTE(TEXT(Overig!O1244,""",""?00;"",""?-00;"",""?00;"", //"""),"'","""")&amp;SUBSTITUTE(TEXT(IF(ISTEXT(Overig!P1244),Overig!P1244,10*Overig!P1244),""",""????0;"",""???-0;"",""????0;"", ////"""),"'","""")&amp;SUBSTITUTE(TEXT(Overig!Q1244,""",""?00;"",""?-00;"",""?00;"", //"""),"'","""")&amp;SUBSTITUTE(TEXT(Overig!R1244,""",""????0;"",""???-0;"",""????0;"", ////"""),"'","""")&amp;SUBSTITUTE(TEXT(Overig!S1244,""",""?00;"",""?-00;"",""?00;"", //"""),"'","""")&amp;SUBSTITUTE(TEXT(IF(ISTEXT(Overig!T1244),Overig!T1244,10*Overig!T1244),""",""????0;"",""???-0;"",""????0;"", ////"""),"'","""")&amp;SUBSTITUTE(TEXT(Overig!U1244,""",""?00;"",""?-00;"",""?00;"", //"""),"'","""")&amp;SUBSTITUTE(TEXT(Overig!V1244,""",""???0;"",""??-0;"",""???0;"", ///"""),"'","""")&amp;SUBSTITUTE(TEXT(Overig!W1244,""",""?00;"",""?-00;"",""?00;"", //"""),"'","""")</f>
        <v>032, 19401106, 17.00, ////, 07, ////, 07, ////, 07, ////, 07, ///, 07, ////, 07, ////, 07, ////, 07, ////, 07, ///, 07</v>
      </c>
    </row>
    <row r="1245" spans="1:1" x14ac:dyDescent="0.25">
      <c r="A1245" s="12" t="str">
        <f ca="1">TEXT(Overig!A1245,"000\,")&amp;TEXT(Overig!B1245,"?00000000")&amp;TEXT(Overig!C1245,""", ""@")&amp;SUBSTITUTE(TEXT(IF(ISTEXT(Overig!D1245),Overig!D1245,10*Overig!D1245),""",""????0;"",""???-0;"",""????0;"", ////"""),"'","""")&amp;SUBSTITUTE(TEXT(Overig!E1245,""",""?00;"",""?-00;"",""?00;"", //"""),"'","""")&amp;SUBSTITUTE(TEXT(IF(ISTEXT(Overig!F1245),Overig!F1245,10*Overig!F1245),""",""????0;"",""???-0;"",""????0;"", ////"""),"'","""")&amp;SUBSTITUTE(TEXT(Overig!G1245,""",""?00;"",""?-00;"",""?00;"", //"""),"'","""")&amp;SUBSTITUTE(TEXT(IF(ISTEXT(Overig!H1245),Overig!H1245,10*Overig!H1245),""",""????0;"",""???-0;"",""????0;"", ////"""),"'","""")&amp;SUBSTITUTE(TEXT(Overig!I1245,""",""?00;"",""?-00;"",""?00;"", //"""),"'","""")&amp;SUBSTITUTE(TEXT(IF(ISTEXT(Overig!J1245),Overig!J1245,10*Overig!J1245),""",""????0;"",""???-0;"",""????0;"", ////"""),"'","""")&amp;SUBSTITUTE(TEXT(Overig!K1245,""",""?00;"",""?-00;"",""?00;"", //"""),"'","""")&amp;SUBSTITUTE(TEXT(Overig!L1245,""",""???0;"",""??-0;"",""???0;"", ///"""),"'","""")&amp;SUBSTITUTE(TEXT(Overig!M1245,""",""?00;"",""?-00;"",""?00;"", //"""),"'","""")&amp;SUBSTITUTE(TEXT(IF(ISTEXT(Overig!N1245),Overig!N1245,10*Overig!N1245),""",""????0;"",""???-0;"",""????0;"", ////"""),"'","""")&amp;SUBSTITUTE(TEXT(Overig!O1245,""",""?00;"",""?-00;"",""?00;"", //"""),"'","""")&amp;SUBSTITUTE(TEXT(IF(ISTEXT(Overig!P1245),Overig!P1245,10*Overig!P1245),""",""????0;"",""???-0;"",""????0;"", ////"""),"'","""")&amp;SUBSTITUTE(TEXT(Overig!Q1245,""",""?00;"",""?-00;"",""?00;"", //"""),"'","""")&amp;SUBSTITUTE(TEXT(Overig!R1245,""",""????0;"",""???-0;"",""????0;"", ////"""),"'","""")&amp;SUBSTITUTE(TEXT(Overig!S1245,""",""?00;"",""?-00;"",""?00;"", //"""),"'","""")&amp;SUBSTITUTE(TEXT(IF(ISTEXT(Overig!T1245),Overig!T1245,10*Overig!T1245),""",""????0;"",""???-0;"",""????0;"", ////"""),"'","""")&amp;SUBSTITUTE(TEXT(Overig!U1245,""",""?00;"",""?-00;"",""?00;"", //"""),"'","""")&amp;SUBSTITUTE(TEXT(Overig!V1245,""",""???0;"",""??-0;"",""???0;"", ///"""),"'","""")&amp;SUBSTITUTE(TEXT(Overig!W1245,""",""?00;"",""?-00;"",""?00;"", //"""),"'","""")</f>
        <v>032, 19401106, 24.00, ////, 07, ////, 07, ////, 07, ////, 07, ///, 07, ////, 07, ////, 07, ////, 07, ////, 07, ///, 07</v>
      </c>
    </row>
    <row r="1246" spans="1:1" x14ac:dyDescent="0.25">
      <c r="A1246" s="12" t="str">
        <f ca="1">TEXT(Overig!A1246,"000\,")&amp;TEXT(Overig!B1246,"?00000000")&amp;TEXT(Overig!C1246,""", ""@")&amp;SUBSTITUTE(TEXT(IF(ISTEXT(Overig!D1246),Overig!D1246,10*Overig!D1246),""",""????0;"",""???-0;"",""????0;"", ////"""),"'","""")&amp;SUBSTITUTE(TEXT(Overig!E1246,""",""?00;"",""?-00;"",""?00;"", //"""),"'","""")&amp;SUBSTITUTE(TEXT(IF(ISTEXT(Overig!F1246),Overig!F1246,10*Overig!F1246),""",""????0;"",""???-0;"",""????0;"", ////"""),"'","""")&amp;SUBSTITUTE(TEXT(Overig!G1246,""",""?00;"",""?-00;"",""?00;"", //"""),"'","""")&amp;SUBSTITUTE(TEXT(IF(ISTEXT(Overig!H1246),Overig!H1246,10*Overig!H1246),""",""????0;"",""???-0;"",""????0;"", ////"""),"'","""")&amp;SUBSTITUTE(TEXT(Overig!I1246,""",""?00;"",""?-00;"",""?00;"", //"""),"'","""")&amp;SUBSTITUTE(TEXT(IF(ISTEXT(Overig!J1246),Overig!J1246,10*Overig!J1246),""",""????0;"",""???-0;"",""????0;"", ////"""),"'","""")&amp;SUBSTITUTE(TEXT(Overig!K1246,""",""?00;"",""?-00;"",""?00;"", //"""),"'","""")&amp;SUBSTITUTE(TEXT(Overig!L1246,""",""???0;"",""??-0;"",""???0;"", ///"""),"'","""")&amp;SUBSTITUTE(TEXT(Overig!M1246,""",""?00;"",""?-00;"",""?00;"", //"""),"'","""")&amp;SUBSTITUTE(TEXT(IF(ISTEXT(Overig!N1246),Overig!N1246,10*Overig!N1246),""",""????0;"",""???-0;"",""????0;"", ////"""),"'","""")&amp;SUBSTITUTE(TEXT(Overig!O1246,""",""?00;"",""?-00;"",""?00;"", //"""),"'","""")&amp;SUBSTITUTE(TEXT(IF(ISTEXT(Overig!P1246),Overig!P1246,10*Overig!P1246),""",""????0;"",""???-0;"",""????0;"", ////"""),"'","""")&amp;SUBSTITUTE(TEXT(Overig!Q1246,""",""?00;"",""?-00;"",""?00;"", //"""),"'","""")&amp;SUBSTITUTE(TEXT(Overig!R1246,""",""????0;"",""???-0;"",""????0;"", ////"""),"'","""")&amp;SUBSTITUTE(TEXT(Overig!S1246,""",""?00;"",""?-00;"",""?00;"", //"""),"'","""")&amp;SUBSTITUTE(TEXT(IF(ISTEXT(Overig!T1246),Overig!T1246,10*Overig!T1246),""",""????0;"",""???-0;"",""????0;"", ////"""),"'","""")&amp;SUBSTITUTE(TEXT(Overig!U1246,""",""?00;"",""?-00;"",""?00;"", //"""),"'","""")&amp;SUBSTITUTE(TEXT(Overig!V1246,""",""???0;"",""??-0;"",""???0;"", ///"""),"'","""")&amp;SUBSTITUTE(TEXT(Overig!W1246,""",""?00;"",""?-00;"",""?00;"", //"""),"'","""")</f>
        <v>032, 19401107, 07.00, ////, 07, ////, 07, ////, 07, ////, 07, ///, 07, ////, 07, ////, 07, ////, 07, ////, 07, ///, 07</v>
      </c>
    </row>
    <row r="1247" spans="1:1" x14ac:dyDescent="0.25">
      <c r="A1247" s="12" t="str">
        <f ca="1">TEXT(Overig!A1247,"000\,")&amp;TEXT(Overig!B1247,"?00000000")&amp;TEXT(Overig!C1247,""", ""@")&amp;SUBSTITUTE(TEXT(IF(ISTEXT(Overig!D1247),Overig!D1247,10*Overig!D1247),""",""????0;"",""???-0;"",""????0;"", ////"""),"'","""")&amp;SUBSTITUTE(TEXT(Overig!E1247,""",""?00;"",""?-00;"",""?00;"", //"""),"'","""")&amp;SUBSTITUTE(TEXT(IF(ISTEXT(Overig!F1247),Overig!F1247,10*Overig!F1247),""",""????0;"",""???-0;"",""????0;"", ////"""),"'","""")&amp;SUBSTITUTE(TEXT(Overig!G1247,""",""?00;"",""?-00;"",""?00;"", //"""),"'","""")&amp;SUBSTITUTE(TEXT(IF(ISTEXT(Overig!H1247),Overig!H1247,10*Overig!H1247),""",""????0;"",""???-0;"",""????0;"", ////"""),"'","""")&amp;SUBSTITUTE(TEXT(Overig!I1247,""",""?00;"",""?-00;"",""?00;"", //"""),"'","""")&amp;SUBSTITUTE(TEXT(IF(ISTEXT(Overig!J1247),Overig!J1247,10*Overig!J1247),""",""????0;"",""???-0;"",""????0;"", ////"""),"'","""")&amp;SUBSTITUTE(TEXT(Overig!K1247,""",""?00;"",""?-00;"",""?00;"", //"""),"'","""")&amp;SUBSTITUTE(TEXT(Overig!L1247,""",""???0;"",""??-0;"",""???0;"", ///"""),"'","""")&amp;SUBSTITUTE(TEXT(Overig!M1247,""",""?00;"",""?-00;"",""?00;"", //"""),"'","""")&amp;SUBSTITUTE(TEXT(IF(ISTEXT(Overig!N1247),Overig!N1247,10*Overig!N1247),""",""????0;"",""???-0;"",""????0;"", ////"""),"'","""")&amp;SUBSTITUTE(TEXT(Overig!O1247,""",""?00;"",""?-00;"",""?00;"", //"""),"'","""")&amp;SUBSTITUTE(TEXT(IF(ISTEXT(Overig!P1247),Overig!P1247,10*Overig!P1247),""",""????0;"",""???-0;"",""????0;"", ////"""),"'","""")&amp;SUBSTITUTE(TEXT(Overig!Q1247,""",""?00;"",""?-00;"",""?00;"", //"""),"'","""")&amp;SUBSTITUTE(TEXT(Overig!R1247,""",""????0;"",""???-0;"",""????0;"", ////"""),"'","""")&amp;SUBSTITUTE(TEXT(Overig!S1247,""",""?00;"",""?-00;"",""?00;"", //"""),"'","""")&amp;SUBSTITUTE(TEXT(IF(ISTEXT(Overig!T1247),Overig!T1247,10*Overig!T1247),""",""????0;"",""???-0;"",""????0;"", ////"""),"'","""")&amp;SUBSTITUTE(TEXT(Overig!U1247,""",""?00;"",""?-00;"",""?00;"", //"""),"'","""")&amp;SUBSTITUTE(TEXT(Overig!V1247,""",""???0;"",""??-0;"",""???0;"", ///"""),"'","""")&amp;SUBSTITUTE(TEXT(Overig!W1247,""",""?00;"",""?-00;"",""?00;"", //"""),"'","""")</f>
        <v>032, 19401107, 12.00, ////, 07, ////, 07, ////, 07, ////, 07, ///, 07, ////, 07, ////, 07, ////, 07, ////, 07, ///, 07</v>
      </c>
    </row>
    <row r="1248" spans="1:1" x14ac:dyDescent="0.25">
      <c r="A1248" s="12" t="str">
        <f ca="1">TEXT(Overig!A1248,"000\,")&amp;TEXT(Overig!B1248,"?00000000")&amp;TEXT(Overig!C1248,""", ""@")&amp;SUBSTITUTE(TEXT(IF(ISTEXT(Overig!D1248),Overig!D1248,10*Overig!D1248),""",""????0;"",""???-0;"",""????0;"", ////"""),"'","""")&amp;SUBSTITUTE(TEXT(Overig!E1248,""",""?00;"",""?-00;"",""?00;"", //"""),"'","""")&amp;SUBSTITUTE(TEXT(IF(ISTEXT(Overig!F1248),Overig!F1248,10*Overig!F1248),""",""????0;"",""???-0;"",""????0;"", ////"""),"'","""")&amp;SUBSTITUTE(TEXT(Overig!G1248,""",""?00;"",""?-00;"",""?00;"", //"""),"'","""")&amp;SUBSTITUTE(TEXT(IF(ISTEXT(Overig!H1248),Overig!H1248,10*Overig!H1248),""",""????0;"",""???-0;"",""????0;"", ////"""),"'","""")&amp;SUBSTITUTE(TEXT(Overig!I1248,""",""?00;"",""?-00;"",""?00;"", //"""),"'","""")&amp;SUBSTITUTE(TEXT(IF(ISTEXT(Overig!J1248),Overig!J1248,10*Overig!J1248),""",""????0;"",""???-0;"",""????0;"", ////"""),"'","""")&amp;SUBSTITUTE(TEXT(Overig!K1248,""",""?00;"",""?-00;"",""?00;"", //"""),"'","""")&amp;SUBSTITUTE(TEXT(Overig!L1248,""",""???0;"",""??-0;"",""???0;"", ///"""),"'","""")&amp;SUBSTITUTE(TEXT(Overig!M1248,""",""?00;"",""?-00;"",""?00;"", //"""),"'","""")&amp;SUBSTITUTE(TEXT(IF(ISTEXT(Overig!N1248),Overig!N1248,10*Overig!N1248),""",""????0;"",""???-0;"",""????0;"", ////"""),"'","""")&amp;SUBSTITUTE(TEXT(Overig!O1248,""",""?00;"",""?-00;"",""?00;"", //"""),"'","""")&amp;SUBSTITUTE(TEXT(IF(ISTEXT(Overig!P1248),Overig!P1248,10*Overig!P1248),""",""????0;"",""???-0;"",""????0;"", ////"""),"'","""")&amp;SUBSTITUTE(TEXT(Overig!Q1248,""",""?00;"",""?-00;"",""?00;"", //"""),"'","""")&amp;SUBSTITUTE(TEXT(Overig!R1248,""",""????0;"",""???-0;"",""????0;"", ////"""),"'","""")&amp;SUBSTITUTE(TEXT(Overig!S1248,""",""?00;"",""?-00;"",""?00;"", //"""),"'","""")&amp;SUBSTITUTE(TEXT(IF(ISTEXT(Overig!T1248),Overig!T1248,10*Overig!T1248),""",""????0;"",""???-0;"",""????0;"", ////"""),"'","""")&amp;SUBSTITUTE(TEXT(Overig!U1248,""",""?00;"",""?-00;"",""?00;"", //"""),"'","""")&amp;SUBSTITUTE(TEXT(Overig!V1248,""",""???0;"",""??-0;"",""???0;"", ///"""),"'","""")&amp;SUBSTITUTE(TEXT(Overig!W1248,""",""?00;"",""?-00;"",""?00;"", //"""),"'","""")</f>
        <v>032, 19401107, 17.00, ////, 07, ////, 07, ////, 07, ////, 07, ///, 07, ////, 07, ////, 07, ////, 07, ////, 07, ///, 07</v>
      </c>
    </row>
    <row r="1249" spans="1:1" x14ac:dyDescent="0.25">
      <c r="A1249" s="12" t="str">
        <f ca="1">TEXT(Overig!A1249,"000\,")&amp;TEXT(Overig!B1249,"?00000000")&amp;TEXT(Overig!C1249,""", ""@")&amp;SUBSTITUTE(TEXT(IF(ISTEXT(Overig!D1249),Overig!D1249,10*Overig!D1249),""",""????0;"",""???-0;"",""????0;"", ////"""),"'","""")&amp;SUBSTITUTE(TEXT(Overig!E1249,""",""?00;"",""?-00;"",""?00;"", //"""),"'","""")&amp;SUBSTITUTE(TEXT(IF(ISTEXT(Overig!F1249),Overig!F1249,10*Overig!F1249),""",""????0;"",""???-0;"",""????0;"", ////"""),"'","""")&amp;SUBSTITUTE(TEXT(Overig!G1249,""",""?00;"",""?-00;"",""?00;"", //"""),"'","""")&amp;SUBSTITUTE(TEXT(IF(ISTEXT(Overig!H1249),Overig!H1249,10*Overig!H1249),""",""????0;"",""???-0;"",""????0;"", ////"""),"'","""")&amp;SUBSTITUTE(TEXT(Overig!I1249,""",""?00;"",""?-00;"",""?00;"", //"""),"'","""")&amp;SUBSTITUTE(TEXT(IF(ISTEXT(Overig!J1249),Overig!J1249,10*Overig!J1249),""",""????0;"",""???-0;"",""????0;"", ////"""),"'","""")&amp;SUBSTITUTE(TEXT(Overig!K1249,""",""?00;"",""?-00;"",""?00;"", //"""),"'","""")&amp;SUBSTITUTE(TEXT(Overig!L1249,""",""???0;"",""??-0;"",""???0;"", ///"""),"'","""")&amp;SUBSTITUTE(TEXT(Overig!M1249,""",""?00;"",""?-00;"",""?00;"", //"""),"'","""")&amp;SUBSTITUTE(TEXT(IF(ISTEXT(Overig!N1249),Overig!N1249,10*Overig!N1249),""",""????0;"",""???-0;"",""????0;"", ////"""),"'","""")&amp;SUBSTITUTE(TEXT(Overig!O1249,""",""?00;"",""?-00;"",""?00;"", //"""),"'","""")&amp;SUBSTITUTE(TEXT(IF(ISTEXT(Overig!P1249),Overig!P1249,10*Overig!P1249),""",""????0;"",""???-0;"",""????0;"", ////"""),"'","""")&amp;SUBSTITUTE(TEXT(Overig!Q1249,""",""?00;"",""?-00;"",""?00;"", //"""),"'","""")&amp;SUBSTITUTE(TEXT(Overig!R1249,""",""????0;"",""???-0;"",""????0;"", ////"""),"'","""")&amp;SUBSTITUTE(TEXT(Overig!S1249,""",""?00;"",""?-00;"",""?00;"", //"""),"'","""")&amp;SUBSTITUTE(TEXT(IF(ISTEXT(Overig!T1249),Overig!T1249,10*Overig!T1249),""",""????0;"",""???-0;"",""????0;"", ////"""),"'","""")&amp;SUBSTITUTE(TEXT(Overig!U1249,""",""?00;"",""?-00;"",""?00;"", //"""),"'","""")&amp;SUBSTITUTE(TEXT(Overig!V1249,""",""???0;"",""??-0;"",""???0;"", ///"""),"'","""")&amp;SUBSTITUTE(TEXT(Overig!W1249,""",""?00;"",""?-00;"",""?00;"", //"""),"'","""")</f>
        <v>032, 19401107, 24.00, ////, 07, ////, 07, ////, 07, ////, 07, ///, 07, ////, 07, ////, 07, ////, 07, ////, 07, ///, 07</v>
      </c>
    </row>
    <row r="1250" spans="1:1" x14ac:dyDescent="0.25">
      <c r="A1250" s="12" t="str">
        <f ca="1">TEXT(Overig!A1250,"000\,")&amp;TEXT(Overig!B1250,"?00000000")&amp;TEXT(Overig!C1250,""", ""@")&amp;SUBSTITUTE(TEXT(IF(ISTEXT(Overig!D1250),Overig!D1250,10*Overig!D1250),""",""????0;"",""???-0;"",""????0;"", ////"""),"'","""")&amp;SUBSTITUTE(TEXT(Overig!E1250,""",""?00;"",""?-00;"",""?00;"", //"""),"'","""")&amp;SUBSTITUTE(TEXT(IF(ISTEXT(Overig!F1250),Overig!F1250,10*Overig!F1250),""",""????0;"",""???-0;"",""????0;"", ////"""),"'","""")&amp;SUBSTITUTE(TEXT(Overig!G1250,""",""?00;"",""?-00;"",""?00;"", //"""),"'","""")&amp;SUBSTITUTE(TEXT(IF(ISTEXT(Overig!H1250),Overig!H1250,10*Overig!H1250),""",""????0;"",""???-0;"",""????0;"", ////"""),"'","""")&amp;SUBSTITUTE(TEXT(Overig!I1250,""",""?00;"",""?-00;"",""?00;"", //"""),"'","""")&amp;SUBSTITUTE(TEXT(IF(ISTEXT(Overig!J1250),Overig!J1250,10*Overig!J1250),""",""????0;"",""???-0;"",""????0;"", ////"""),"'","""")&amp;SUBSTITUTE(TEXT(Overig!K1250,""",""?00;"",""?-00;"",""?00;"", //"""),"'","""")&amp;SUBSTITUTE(TEXT(Overig!L1250,""",""???0;"",""??-0;"",""???0;"", ///"""),"'","""")&amp;SUBSTITUTE(TEXT(Overig!M1250,""",""?00;"",""?-00;"",""?00;"", //"""),"'","""")&amp;SUBSTITUTE(TEXT(IF(ISTEXT(Overig!N1250),Overig!N1250,10*Overig!N1250),""",""????0;"",""???-0;"",""????0;"", ////"""),"'","""")&amp;SUBSTITUTE(TEXT(Overig!O1250,""",""?00;"",""?-00;"",""?00;"", //"""),"'","""")&amp;SUBSTITUTE(TEXT(IF(ISTEXT(Overig!P1250),Overig!P1250,10*Overig!P1250),""",""????0;"",""???-0;"",""????0;"", ////"""),"'","""")&amp;SUBSTITUTE(TEXT(Overig!Q1250,""",""?00;"",""?-00;"",""?00;"", //"""),"'","""")&amp;SUBSTITUTE(TEXT(Overig!R1250,""",""????0;"",""???-0;"",""????0;"", ////"""),"'","""")&amp;SUBSTITUTE(TEXT(Overig!S1250,""",""?00;"",""?-00;"",""?00;"", //"""),"'","""")&amp;SUBSTITUTE(TEXT(IF(ISTEXT(Overig!T1250),Overig!T1250,10*Overig!T1250),""",""????0;"",""???-0;"",""????0;"", ////"""),"'","""")&amp;SUBSTITUTE(TEXT(Overig!U1250,""",""?00;"",""?-00;"",""?00;"", //"""),"'","""")&amp;SUBSTITUTE(TEXT(Overig!V1250,""",""???0;"",""??-0;"",""???0;"", ///"""),"'","""")&amp;SUBSTITUTE(TEXT(Overig!W1250,""",""?00;"",""?-00;"",""?00;"", //"""),"'","""")</f>
        <v>032, 19401108, 07.00, ////, 07, ////, 07, ////, 07, ////, 07, ///, 07, ////, 07, ////, 07, ////, 07, ////, 07, ///, 07</v>
      </c>
    </row>
    <row r="1251" spans="1:1" x14ac:dyDescent="0.25">
      <c r="A1251" s="12" t="str">
        <f ca="1">TEXT(Overig!A1251,"000\,")&amp;TEXT(Overig!B1251,"?00000000")&amp;TEXT(Overig!C1251,""", ""@")&amp;SUBSTITUTE(TEXT(IF(ISTEXT(Overig!D1251),Overig!D1251,10*Overig!D1251),""",""????0;"",""???-0;"",""????0;"", ////"""),"'","""")&amp;SUBSTITUTE(TEXT(Overig!E1251,""",""?00;"",""?-00;"",""?00;"", //"""),"'","""")&amp;SUBSTITUTE(TEXT(IF(ISTEXT(Overig!F1251),Overig!F1251,10*Overig!F1251),""",""????0;"",""???-0;"",""????0;"", ////"""),"'","""")&amp;SUBSTITUTE(TEXT(Overig!G1251,""",""?00;"",""?-00;"",""?00;"", //"""),"'","""")&amp;SUBSTITUTE(TEXT(IF(ISTEXT(Overig!H1251),Overig!H1251,10*Overig!H1251),""",""????0;"",""???-0;"",""????0;"", ////"""),"'","""")&amp;SUBSTITUTE(TEXT(Overig!I1251,""",""?00;"",""?-00;"",""?00;"", //"""),"'","""")&amp;SUBSTITUTE(TEXT(IF(ISTEXT(Overig!J1251),Overig!J1251,10*Overig!J1251),""",""????0;"",""???-0;"",""????0;"", ////"""),"'","""")&amp;SUBSTITUTE(TEXT(Overig!K1251,""",""?00;"",""?-00;"",""?00;"", //"""),"'","""")&amp;SUBSTITUTE(TEXT(Overig!L1251,""",""???0;"",""??-0;"",""???0;"", ///"""),"'","""")&amp;SUBSTITUTE(TEXT(Overig!M1251,""",""?00;"",""?-00;"",""?00;"", //"""),"'","""")&amp;SUBSTITUTE(TEXT(IF(ISTEXT(Overig!N1251),Overig!N1251,10*Overig!N1251),""",""????0;"",""???-0;"",""????0;"", ////"""),"'","""")&amp;SUBSTITUTE(TEXT(Overig!O1251,""",""?00;"",""?-00;"",""?00;"", //"""),"'","""")&amp;SUBSTITUTE(TEXT(IF(ISTEXT(Overig!P1251),Overig!P1251,10*Overig!P1251),""",""????0;"",""???-0;"",""????0;"", ////"""),"'","""")&amp;SUBSTITUTE(TEXT(Overig!Q1251,""",""?00;"",""?-00;"",""?00;"", //"""),"'","""")&amp;SUBSTITUTE(TEXT(Overig!R1251,""",""????0;"",""???-0;"",""????0;"", ////"""),"'","""")&amp;SUBSTITUTE(TEXT(Overig!S1251,""",""?00;"",""?-00;"",""?00;"", //"""),"'","""")&amp;SUBSTITUTE(TEXT(IF(ISTEXT(Overig!T1251),Overig!T1251,10*Overig!T1251),""",""????0;"",""???-0;"",""????0;"", ////"""),"'","""")&amp;SUBSTITUTE(TEXT(Overig!U1251,""",""?00;"",""?-00;"",""?00;"", //"""),"'","""")&amp;SUBSTITUTE(TEXT(Overig!V1251,""",""???0;"",""??-0;"",""???0;"", ///"""),"'","""")&amp;SUBSTITUTE(TEXT(Overig!W1251,""",""?00;"",""?-00;"",""?00;"", //"""),"'","""")</f>
        <v>032, 19401108, 12.00, ////, 07, ////, 07, ////, 07, ////, 07, ///, 07, ////, 07, ////, 07, ////, 07, ////, 07, ///, 07</v>
      </c>
    </row>
    <row r="1252" spans="1:1" x14ac:dyDescent="0.25">
      <c r="A1252" s="12" t="str">
        <f ca="1">TEXT(Overig!A1252,"000\,")&amp;TEXT(Overig!B1252,"?00000000")&amp;TEXT(Overig!C1252,""", ""@")&amp;SUBSTITUTE(TEXT(IF(ISTEXT(Overig!D1252),Overig!D1252,10*Overig!D1252),""",""????0;"",""???-0;"",""????0;"", ////"""),"'","""")&amp;SUBSTITUTE(TEXT(Overig!E1252,""",""?00;"",""?-00;"",""?00;"", //"""),"'","""")&amp;SUBSTITUTE(TEXT(IF(ISTEXT(Overig!F1252),Overig!F1252,10*Overig!F1252),""",""????0;"",""???-0;"",""????0;"", ////"""),"'","""")&amp;SUBSTITUTE(TEXT(Overig!G1252,""",""?00;"",""?-00;"",""?00;"", //"""),"'","""")&amp;SUBSTITUTE(TEXT(IF(ISTEXT(Overig!H1252),Overig!H1252,10*Overig!H1252),""",""????0;"",""???-0;"",""????0;"", ////"""),"'","""")&amp;SUBSTITUTE(TEXT(Overig!I1252,""",""?00;"",""?-00;"",""?00;"", //"""),"'","""")&amp;SUBSTITUTE(TEXT(IF(ISTEXT(Overig!J1252),Overig!J1252,10*Overig!J1252),""",""????0;"",""???-0;"",""????0;"", ////"""),"'","""")&amp;SUBSTITUTE(TEXT(Overig!K1252,""",""?00;"",""?-00;"",""?00;"", //"""),"'","""")&amp;SUBSTITUTE(TEXT(Overig!L1252,""",""???0;"",""??-0;"",""???0;"", ///"""),"'","""")&amp;SUBSTITUTE(TEXT(Overig!M1252,""",""?00;"",""?-00;"",""?00;"", //"""),"'","""")&amp;SUBSTITUTE(TEXT(IF(ISTEXT(Overig!N1252),Overig!N1252,10*Overig!N1252),""",""????0;"",""???-0;"",""????0;"", ////"""),"'","""")&amp;SUBSTITUTE(TEXT(Overig!O1252,""",""?00;"",""?-00;"",""?00;"", //"""),"'","""")&amp;SUBSTITUTE(TEXT(IF(ISTEXT(Overig!P1252),Overig!P1252,10*Overig!P1252),""",""????0;"",""???-0;"",""????0;"", ////"""),"'","""")&amp;SUBSTITUTE(TEXT(Overig!Q1252,""",""?00;"",""?-00;"",""?00;"", //"""),"'","""")&amp;SUBSTITUTE(TEXT(Overig!R1252,""",""????0;"",""???-0;"",""????0;"", ////"""),"'","""")&amp;SUBSTITUTE(TEXT(Overig!S1252,""",""?00;"",""?-00;"",""?00;"", //"""),"'","""")&amp;SUBSTITUTE(TEXT(IF(ISTEXT(Overig!T1252),Overig!T1252,10*Overig!T1252),""",""????0;"",""???-0;"",""????0;"", ////"""),"'","""")&amp;SUBSTITUTE(TEXT(Overig!U1252,""",""?00;"",""?-00;"",""?00;"", //"""),"'","""")&amp;SUBSTITUTE(TEXT(Overig!V1252,""",""???0;"",""??-0;"",""???0;"", ///"""),"'","""")&amp;SUBSTITUTE(TEXT(Overig!W1252,""",""?00;"",""?-00;"",""?00;"", //"""),"'","""")</f>
        <v>032, 19401108, 17.00, ////, 07, ////, 07, ////, 07, ////, 07, ///, 07, ////, 07, ////, 07, ////, 07, ////, 07, ///, 07</v>
      </c>
    </row>
    <row r="1253" spans="1:1" x14ac:dyDescent="0.25">
      <c r="A1253" s="12" t="str">
        <f ca="1">TEXT(Overig!A1253,"000\,")&amp;TEXT(Overig!B1253,"?00000000")&amp;TEXT(Overig!C1253,""", ""@")&amp;SUBSTITUTE(TEXT(IF(ISTEXT(Overig!D1253),Overig!D1253,10*Overig!D1253),""",""????0;"",""???-0;"",""????0;"", ////"""),"'","""")&amp;SUBSTITUTE(TEXT(Overig!E1253,""",""?00;"",""?-00;"",""?00;"", //"""),"'","""")&amp;SUBSTITUTE(TEXT(IF(ISTEXT(Overig!F1253),Overig!F1253,10*Overig!F1253),""",""????0;"",""???-0;"",""????0;"", ////"""),"'","""")&amp;SUBSTITUTE(TEXT(Overig!G1253,""",""?00;"",""?-00;"",""?00;"", //"""),"'","""")&amp;SUBSTITUTE(TEXT(IF(ISTEXT(Overig!H1253),Overig!H1253,10*Overig!H1253),""",""????0;"",""???-0;"",""????0;"", ////"""),"'","""")&amp;SUBSTITUTE(TEXT(Overig!I1253,""",""?00;"",""?-00;"",""?00;"", //"""),"'","""")&amp;SUBSTITUTE(TEXT(IF(ISTEXT(Overig!J1253),Overig!J1253,10*Overig!J1253),""",""????0;"",""???-0;"",""????0;"", ////"""),"'","""")&amp;SUBSTITUTE(TEXT(Overig!K1253,""",""?00;"",""?-00;"",""?00;"", //"""),"'","""")&amp;SUBSTITUTE(TEXT(Overig!L1253,""",""???0;"",""??-0;"",""???0;"", ///"""),"'","""")&amp;SUBSTITUTE(TEXT(Overig!M1253,""",""?00;"",""?-00;"",""?00;"", //"""),"'","""")&amp;SUBSTITUTE(TEXT(IF(ISTEXT(Overig!N1253),Overig!N1253,10*Overig!N1253),""",""????0;"",""???-0;"",""????0;"", ////"""),"'","""")&amp;SUBSTITUTE(TEXT(Overig!O1253,""",""?00;"",""?-00;"",""?00;"", //"""),"'","""")&amp;SUBSTITUTE(TEXT(IF(ISTEXT(Overig!P1253),Overig!P1253,10*Overig!P1253),""",""????0;"",""???-0;"",""????0;"", ////"""),"'","""")&amp;SUBSTITUTE(TEXT(Overig!Q1253,""",""?00;"",""?-00;"",""?00;"", //"""),"'","""")&amp;SUBSTITUTE(TEXT(Overig!R1253,""",""????0;"",""???-0;"",""????0;"", ////"""),"'","""")&amp;SUBSTITUTE(TEXT(Overig!S1253,""",""?00;"",""?-00;"",""?00;"", //"""),"'","""")&amp;SUBSTITUTE(TEXT(IF(ISTEXT(Overig!T1253),Overig!T1253,10*Overig!T1253),""",""????0;"",""???-0;"",""????0;"", ////"""),"'","""")&amp;SUBSTITUTE(TEXT(Overig!U1253,""",""?00;"",""?-00;"",""?00;"", //"""),"'","""")&amp;SUBSTITUTE(TEXT(Overig!V1253,""",""???0;"",""??-0;"",""???0;"", ///"""),"'","""")&amp;SUBSTITUTE(TEXT(Overig!W1253,""",""?00;"",""?-00;"",""?00;"", //"""),"'","""")</f>
        <v>032, 19401108, 24.00, ////, 07, ////, 07, ////, 07, ////, 07, ///, 07, ////, 07, ////, 07, ////, 07, ////, 07, ///, 07</v>
      </c>
    </row>
    <row r="1254" spans="1:1" x14ac:dyDescent="0.25">
      <c r="A1254" s="12" t="str">
        <f ca="1">TEXT(Overig!A1254,"000\,")&amp;TEXT(Overig!B1254,"?00000000")&amp;TEXT(Overig!C1254,""", ""@")&amp;SUBSTITUTE(TEXT(IF(ISTEXT(Overig!D1254),Overig!D1254,10*Overig!D1254),""",""????0;"",""???-0;"",""????0;"", ////"""),"'","""")&amp;SUBSTITUTE(TEXT(Overig!E1254,""",""?00;"",""?-00;"",""?00;"", //"""),"'","""")&amp;SUBSTITUTE(TEXT(IF(ISTEXT(Overig!F1254),Overig!F1254,10*Overig!F1254),""",""????0;"",""???-0;"",""????0;"", ////"""),"'","""")&amp;SUBSTITUTE(TEXT(Overig!G1254,""",""?00;"",""?-00;"",""?00;"", //"""),"'","""")&amp;SUBSTITUTE(TEXT(IF(ISTEXT(Overig!H1254),Overig!H1254,10*Overig!H1254),""",""????0;"",""???-0;"",""????0;"", ////"""),"'","""")&amp;SUBSTITUTE(TEXT(Overig!I1254,""",""?00;"",""?-00;"",""?00;"", //"""),"'","""")&amp;SUBSTITUTE(TEXT(IF(ISTEXT(Overig!J1254),Overig!J1254,10*Overig!J1254),""",""????0;"",""???-0;"",""????0;"", ////"""),"'","""")&amp;SUBSTITUTE(TEXT(Overig!K1254,""",""?00;"",""?-00;"",""?00;"", //"""),"'","""")&amp;SUBSTITUTE(TEXT(Overig!L1254,""",""???0;"",""??-0;"",""???0;"", ///"""),"'","""")&amp;SUBSTITUTE(TEXT(Overig!M1254,""",""?00;"",""?-00;"",""?00;"", //"""),"'","""")&amp;SUBSTITUTE(TEXT(IF(ISTEXT(Overig!N1254),Overig!N1254,10*Overig!N1254),""",""????0;"",""???-0;"",""????0;"", ////"""),"'","""")&amp;SUBSTITUTE(TEXT(Overig!O1254,""",""?00;"",""?-00;"",""?00;"", //"""),"'","""")&amp;SUBSTITUTE(TEXT(IF(ISTEXT(Overig!P1254),Overig!P1254,10*Overig!P1254),""",""????0;"",""???-0;"",""????0;"", ////"""),"'","""")&amp;SUBSTITUTE(TEXT(Overig!Q1254,""",""?00;"",""?-00;"",""?00;"", //"""),"'","""")&amp;SUBSTITUTE(TEXT(Overig!R1254,""",""????0;"",""???-0;"",""????0;"", ////"""),"'","""")&amp;SUBSTITUTE(TEXT(Overig!S1254,""",""?00;"",""?-00;"",""?00;"", //"""),"'","""")&amp;SUBSTITUTE(TEXT(IF(ISTEXT(Overig!T1254),Overig!T1254,10*Overig!T1254),""",""????0;"",""???-0;"",""????0;"", ////"""),"'","""")&amp;SUBSTITUTE(TEXT(Overig!U1254,""",""?00;"",""?-00;"",""?00;"", //"""),"'","""")&amp;SUBSTITUTE(TEXT(Overig!V1254,""",""???0;"",""??-0;"",""???0;"", ///"""),"'","""")&amp;SUBSTITUTE(TEXT(Overig!W1254,""",""?00;"",""?-00;"",""?00;"", //"""),"'","""")</f>
        <v>032, 19401109, 07.00, ////, 07, ////, 07, ////, 07, ////, 07, ///, 07, ////, 07, ////, 07, ////, 07, ////, 07, ///, 07</v>
      </c>
    </row>
    <row r="1255" spans="1:1" x14ac:dyDescent="0.25">
      <c r="A1255" s="12" t="str">
        <f ca="1">TEXT(Overig!A1255,"000\,")&amp;TEXT(Overig!B1255,"?00000000")&amp;TEXT(Overig!C1255,""", ""@")&amp;SUBSTITUTE(TEXT(IF(ISTEXT(Overig!D1255),Overig!D1255,10*Overig!D1255),""",""????0;"",""???-0;"",""????0;"", ////"""),"'","""")&amp;SUBSTITUTE(TEXT(Overig!E1255,""",""?00;"",""?-00;"",""?00;"", //"""),"'","""")&amp;SUBSTITUTE(TEXT(IF(ISTEXT(Overig!F1255),Overig!F1255,10*Overig!F1255),""",""????0;"",""???-0;"",""????0;"", ////"""),"'","""")&amp;SUBSTITUTE(TEXT(Overig!G1255,""",""?00;"",""?-00;"",""?00;"", //"""),"'","""")&amp;SUBSTITUTE(TEXT(IF(ISTEXT(Overig!H1255),Overig!H1255,10*Overig!H1255),""",""????0;"",""???-0;"",""????0;"", ////"""),"'","""")&amp;SUBSTITUTE(TEXT(Overig!I1255,""",""?00;"",""?-00;"",""?00;"", //"""),"'","""")&amp;SUBSTITUTE(TEXT(IF(ISTEXT(Overig!J1255),Overig!J1255,10*Overig!J1255),""",""????0;"",""???-0;"",""????0;"", ////"""),"'","""")&amp;SUBSTITUTE(TEXT(Overig!K1255,""",""?00;"",""?-00;"",""?00;"", //"""),"'","""")&amp;SUBSTITUTE(TEXT(Overig!L1255,""",""???0;"",""??-0;"",""???0;"", ///"""),"'","""")&amp;SUBSTITUTE(TEXT(Overig!M1255,""",""?00;"",""?-00;"",""?00;"", //"""),"'","""")&amp;SUBSTITUTE(TEXT(IF(ISTEXT(Overig!N1255),Overig!N1255,10*Overig!N1255),""",""????0;"",""???-0;"",""????0;"", ////"""),"'","""")&amp;SUBSTITUTE(TEXT(Overig!O1255,""",""?00;"",""?-00;"",""?00;"", //"""),"'","""")&amp;SUBSTITUTE(TEXT(IF(ISTEXT(Overig!P1255),Overig!P1255,10*Overig!P1255),""",""????0;"",""???-0;"",""????0;"", ////"""),"'","""")&amp;SUBSTITUTE(TEXT(Overig!Q1255,""",""?00;"",""?-00;"",""?00;"", //"""),"'","""")&amp;SUBSTITUTE(TEXT(Overig!R1255,""",""????0;"",""???-0;"",""????0;"", ////"""),"'","""")&amp;SUBSTITUTE(TEXT(Overig!S1255,""",""?00;"",""?-00;"",""?00;"", //"""),"'","""")&amp;SUBSTITUTE(TEXT(IF(ISTEXT(Overig!T1255),Overig!T1255,10*Overig!T1255),""",""????0;"",""???-0;"",""????0;"", ////"""),"'","""")&amp;SUBSTITUTE(TEXT(Overig!U1255,""",""?00;"",""?-00;"",""?00;"", //"""),"'","""")&amp;SUBSTITUTE(TEXT(Overig!V1255,""",""???0;"",""??-0;"",""???0;"", ///"""),"'","""")&amp;SUBSTITUTE(TEXT(Overig!W1255,""",""?00;"",""?-00;"",""?00;"", //"""),"'","""")</f>
        <v>032, 19401109, 12.00, ////, 07, ////, 07, ////, 07, ////, 07, ///, 07, ////, 07, ////, 07, ////, 07, ////, 07, ///, 07</v>
      </c>
    </row>
    <row r="1256" spans="1:1" x14ac:dyDescent="0.25">
      <c r="A1256" s="12" t="str">
        <f ca="1">TEXT(Overig!A1256,"000\,")&amp;TEXT(Overig!B1256,"?00000000")&amp;TEXT(Overig!C1256,""", ""@")&amp;SUBSTITUTE(TEXT(IF(ISTEXT(Overig!D1256),Overig!D1256,10*Overig!D1256),""",""????0;"",""???-0;"",""????0;"", ////"""),"'","""")&amp;SUBSTITUTE(TEXT(Overig!E1256,""",""?00;"",""?-00;"",""?00;"", //"""),"'","""")&amp;SUBSTITUTE(TEXT(IF(ISTEXT(Overig!F1256),Overig!F1256,10*Overig!F1256),""",""????0;"",""???-0;"",""????0;"", ////"""),"'","""")&amp;SUBSTITUTE(TEXT(Overig!G1256,""",""?00;"",""?-00;"",""?00;"", //"""),"'","""")&amp;SUBSTITUTE(TEXT(IF(ISTEXT(Overig!H1256),Overig!H1256,10*Overig!H1256),""",""????0;"",""???-0;"",""????0;"", ////"""),"'","""")&amp;SUBSTITUTE(TEXT(Overig!I1256,""",""?00;"",""?-00;"",""?00;"", //"""),"'","""")&amp;SUBSTITUTE(TEXT(IF(ISTEXT(Overig!J1256),Overig!J1256,10*Overig!J1256),""",""????0;"",""???-0;"",""????0;"", ////"""),"'","""")&amp;SUBSTITUTE(TEXT(Overig!K1256,""",""?00;"",""?-00;"",""?00;"", //"""),"'","""")&amp;SUBSTITUTE(TEXT(Overig!L1256,""",""???0;"",""??-0;"",""???0;"", ///"""),"'","""")&amp;SUBSTITUTE(TEXT(Overig!M1256,""",""?00;"",""?-00;"",""?00;"", //"""),"'","""")&amp;SUBSTITUTE(TEXT(IF(ISTEXT(Overig!N1256),Overig!N1256,10*Overig!N1256),""",""????0;"",""???-0;"",""????0;"", ////"""),"'","""")&amp;SUBSTITUTE(TEXT(Overig!O1256,""",""?00;"",""?-00;"",""?00;"", //"""),"'","""")&amp;SUBSTITUTE(TEXT(IF(ISTEXT(Overig!P1256),Overig!P1256,10*Overig!P1256),""",""????0;"",""???-0;"",""????0;"", ////"""),"'","""")&amp;SUBSTITUTE(TEXT(Overig!Q1256,""",""?00;"",""?-00;"",""?00;"", //"""),"'","""")&amp;SUBSTITUTE(TEXT(Overig!R1256,""",""????0;"",""???-0;"",""????0;"", ////"""),"'","""")&amp;SUBSTITUTE(TEXT(Overig!S1256,""",""?00;"",""?-00;"",""?00;"", //"""),"'","""")&amp;SUBSTITUTE(TEXT(IF(ISTEXT(Overig!T1256),Overig!T1256,10*Overig!T1256),""",""????0;"",""???-0;"",""????0;"", ////"""),"'","""")&amp;SUBSTITUTE(TEXT(Overig!U1256,""",""?00;"",""?-00;"",""?00;"", //"""),"'","""")&amp;SUBSTITUTE(TEXT(Overig!V1256,""",""???0;"",""??-0;"",""???0;"", ///"""),"'","""")&amp;SUBSTITUTE(TEXT(Overig!W1256,""",""?00;"",""?-00;"",""?00;"", //"""),"'","""")</f>
        <v>032, 19401109, 17.00, ////, 07, ////, 07, ////, 07, ////, 07, ///, 07, ////, 07, ////, 07, ////, 07, ////, 07, ///, 07</v>
      </c>
    </row>
    <row r="1257" spans="1:1" x14ac:dyDescent="0.25">
      <c r="A1257" s="12" t="str">
        <f ca="1">TEXT(Overig!A1257,"000\,")&amp;TEXT(Overig!B1257,"?00000000")&amp;TEXT(Overig!C1257,""", ""@")&amp;SUBSTITUTE(TEXT(IF(ISTEXT(Overig!D1257),Overig!D1257,10*Overig!D1257),""",""????0;"",""???-0;"",""????0;"", ////"""),"'","""")&amp;SUBSTITUTE(TEXT(Overig!E1257,""",""?00;"",""?-00;"",""?00;"", //"""),"'","""")&amp;SUBSTITUTE(TEXT(IF(ISTEXT(Overig!F1257),Overig!F1257,10*Overig!F1257),""",""????0;"",""???-0;"",""????0;"", ////"""),"'","""")&amp;SUBSTITUTE(TEXT(Overig!G1257,""",""?00;"",""?-00;"",""?00;"", //"""),"'","""")&amp;SUBSTITUTE(TEXT(IF(ISTEXT(Overig!H1257),Overig!H1257,10*Overig!H1257),""",""????0;"",""???-0;"",""????0;"", ////"""),"'","""")&amp;SUBSTITUTE(TEXT(Overig!I1257,""",""?00;"",""?-00;"",""?00;"", //"""),"'","""")&amp;SUBSTITUTE(TEXT(IF(ISTEXT(Overig!J1257),Overig!J1257,10*Overig!J1257),""",""????0;"",""???-0;"",""????0;"", ////"""),"'","""")&amp;SUBSTITUTE(TEXT(Overig!K1257,""",""?00;"",""?-00;"",""?00;"", //"""),"'","""")&amp;SUBSTITUTE(TEXT(Overig!L1257,""",""???0;"",""??-0;"",""???0;"", ///"""),"'","""")&amp;SUBSTITUTE(TEXT(Overig!M1257,""",""?00;"",""?-00;"",""?00;"", //"""),"'","""")&amp;SUBSTITUTE(TEXT(IF(ISTEXT(Overig!N1257),Overig!N1257,10*Overig!N1257),""",""????0;"",""???-0;"",""????0;"", ////"""),"'","""")&amp;SUBSTITUTE(TEXT(Overig!O1257,""",""?00;"",""?-00;"",""?00;"", //"""),"'","""")&amp;SUBSTITUTE(TEXT(IF(ISTEXT(Overig!P1257),Overig!P1257,10*Overig!P1257),""",""????0;"",""???-0;"",""????0;"", ////"""),"'","""")&amp;SUBSTITUTE(TEXT(Overig!Q1257,""",""?00;"",""?-00;"",""?00;"", //"""),"'","""")&amp;SUBSTITUTE(TEXT(Overig!R1257,""",""????0;"",""???-0;"",""????0;"", ////"""),"'","""")&amp;SUBSTITUTE(TEXT(Overig!S1257,""",""?00;"",""?-00;"",""?00;"", //"""),"'","""")&amp;SUBSTITUTE(TEXT(IF(ISTEXT(Overig!T1257),Overig!T1257,10*Overig!T1257),""",""????0;"",""???-0;"",""????0;"", ////"""),"'","""")&amp;SUBSTITUTE(TEXT(Overig!U1257,""",""?00;"",""?-00;"",""?00;"", //"""),"'","""")&amp;SUBSTITUTE(TEXT(Overig!V1257,""",""???0;"",""??-0;"",""???0;"", ///"""),"'","""")&amp;SUBSTITUTE(TEXT(Overig!W1257,""",""?00;"",""?-00;"",""?00;"", //"""),"'","""")</f>
        <v>032, 19401109, 24.00, ////, 07, ////, 07, ////, 07, ////, 07, ///, 07, ////, 07, ////, 07, ////, 07, ////, 07, ///, 07</v>
      </c>
    </row>
    <row r="1258" spans="1:1" x14ac:dyDescent="0.25">
      <c r="A1258" s="12" t="str">
        <f ca="1">TEXT(Overig!A1258,"000\,")&amp;TEXT(Overig!B1258,"?00000000")&amp;TEXT(Overig!C1258,""", ""@")&amp;SUBSTITUTE(TEXT(IF(ISTEXT(Overig!D1258),Overig!D1258,10*Overig!D1258),""",""????0;"",""???-0;"",""????0;"", ////"""),"'","""")&amp;SUBSTITUTE(TEXT(Overig!E1258,""",""?00;"",""?-00;"",""?00;"", //"""),"'","""")&amp;SUBSTITUTE(TEXT(IF(ISTEXT(Overig!F1258),Overig!F1258,10*Overig!F1258),""",""????0;"",""???-0;"",""????0;"", ////"""),"'","""")&amp;SUBSTITUTE(TEXT(Overig!G1258,""",""?00;"",""?-00;"",""?00;"", //"""),"'","""")&amp;SUBSTITUTE(TEXT(IF(ISTEXT(Overig!H1258),Overig!H1258,10*Overig!H1258),""",""????0;"",""???-0;"",""????0;"", ////"""),"'","""")&amp;SUBSTITUTE(TEXT(Overig!I1258,""",""?00;"",""?-00;"",""?00;"", //"""),"'","""")&amp;SUBSTITUTE(TEXT(IF(ISTEXT(Overig!J1258),Overig!J1258,10*Overig!J1258),""",""????0;"",""???-0;"",""????0;"", ////"""),"'","""")&amp;SUBSTITUTE(TEXT(Overig!K1258,""",""?00;"",""?-00;"",""?00;"", //"""),"'","""")&amp;SUBSTITUTE(TEXT(Overig!L1258,""",""???0;"",""??-0;"",""???0;"", ///"""),"'","""")&amp;SUBSTITUTE(TEXT(Overig!M1258,""",""?00;"",""?-00;"",""?00;"", //"""),"'","""")&amp;SUBSTITUTE(TEXT(IF(ISTEXT(Overig!N1258),Overig!N1258,10*Overig!N1258),""",""????0;"",""???-0;"",""????0;"", ////"""),"'","""")&amp;SUBSTITUTE(TEXT(Overig!O1258,""",""?00;"",""?-00;"",""?00;"", //"""),"'","""")&amp;SUBSTITUTE(TEXT(IF(ISTEXT(Overig!P1258),Overig!P1258,10*Overig!P1258),""",""????0;"",""???-0;"",""????0;"", ////"""),"'","""")&amp;SUBSTITUTE(TEXT(Overig!Q1258,""",""?00;"",""?-00;"",""?00;"", //"""),"'","""")&amp;SUBSTITUTE(TEXT(Overig!R1258,""",""????0;"",""???-0;"",""????0;"", ////"""),"'","""")&amp;SUBSTITUTE(TEXT(Overig!S1258,""",""?00;"",""?-00;"",""?00;"", //"""),"'","""")&amp;SUBSTITUTE(TEXT(IF(ISTEXT(Overig!T1258),Overig!T1258,10*Overig!T1258),""",""????0;"",""???-0;"",""????0;"", ////"""),"'","""")&amp;SUBSTITUTE(TEXT(Overig!U1258,""",""?00;"",""?-00;"",""?00;"", //"""),"'","""")&amp;SUBSTITUTE(TEXT(Overig!V1258,""",""???0;"",""??-0;"",""???0;"", ///"""),"'","""")&amp;SUBSTITUTE(TEXT(Overig!W1258,""",""?00;"",""?-00;"",""?00;"", //"""),"'","""")</f>
        <v>032, 19401110, 07.00, ////, 07, ////, 07, ////, 07, ////, 07, ///, 07, ////, 07, ////, 07, ////, 07, ////, 07, ///, 07</v>
      </c>
    </row>
    <row r="1259" spans="1:1" x14ac:dyDescent="0.25">
      <c r="A1259" s="12" t="str">
        <f ca="1">TEXT(Overig!A1259,"000\,")&amp;TEXT(Overig!B1259,"?00000000")&amp;TEXT(Overig!C1259,""", ""@")&amp;SUBSTITUTE(TEXT(IF(ISTEXT(Overig!D1259),Overig!D1259,10*Overig!D1259),""",""????0;"",""???-0;"",""????0;"", ////"""),"'","""")&amp;SUBSTITUTE(TEXT(Overig!E1259,""",""?00;"",""?-00;"",""?00;"", //"""),"'","""")&amp;SUBSTITUTE(TEXT(IF(ISTEXT(Overig!F1259),Overig!F1259,10*Overig!F1259),""",""????0;"",""???-0;"",""????0;"", ////"""),"'","""")&amp;SUBSTITUTE(TEXT(Overig!G1259,""",""?00;"",""?-00;"",""?00;"", //"""),"'","""")&amp;SUBSTITUTE(TEXT(IF(ISTEXT(Overig!H1259),Overig!H1259,10*Overig!H1259),""",""????0;"",""???-0;"",""????0;"", ////"""),"'","""")&amp;SUBSTITUTE(TEXT(Overig!I1259,""",""?00;"",""?-00;"",""?00;"", //"""),"'","""")&amp;SUBSTITUTE(TEXT(IF(ISTEXT(Overig!J1259),Overig!J1259,10*Overig!J1259),""",""????0;"",""???-0;"",""????0;"", ////"""),"'","""")&amp;SUBSTITUTE(TEXT(Overig!K1259,""",""?00;"",""?-00;"",""?00;"", //"""),"'","""")&amp;SUBSTITUTE(TEXT(Overig!L1259,""",""???0;"",""??-0;"",""???0;"", ///"""),"'","""")&amp;SUBSTITUTE(TEXT(Overig!M1259,""",""?00;"",""?-00;"",""?00;"", //"""),"'","""")&amp;SUBSTITUTE(TEXT(IF(ISTEXT(Overig!N1259),Overig!N1259,10*Overig!N1259),""",""????0;"",""???-0;"",""????0;"", ////"""),"'","""")&amp;SUBSTITUTE(TEXT(Overig!O1259,""",""?00;"",""?-00;"",""?00;"", //"""),"'","""")&amp;SUBSTITUTE(TEXT(IF(ISTEXT(Overig!P1259),Overig!P1259,10*Overig!P1259),""",""????0;"",""???-0;"",""????0;"", ////"""),"'","""")&amp;SUBSTITUTE(TEXT(Overig!Q1259,""",""?00;"",""?-00;"",""?00;"", //"""),"'","""")&amp;SUBSTITUTE(TEXT(Overig!R1259,""",""????0;"",""???-0;"",""????0;"", ////"""),"'","""")&amp;SUBSTITUTE(TEXT(Overig!S1259,""",""?00;"",""?-00;"",""?00;"", //"""),"'","""")&amp;SUBSTITUTE(TEXT(IF(ISTEXT(Overig!T1259),Overig!T1259,10*Overig!T1259),""",""????0;"",""???-0;"",""????0;"", ////"""),"'","""")&amp;SUBSTITUTE(TEXT(Overig!U1259,""",""?00;"",""?-00;"",""?00;"", //"""),"'","""")&amp;SUBSTITUTE(TEXT(Overig!V1259,""",""???0;"",""??-0;"",""???0;"", ///"""),"'","""")&amp;SUBSTITUTE(TEXT(Overig!W1259,""",""?00;"",""?-00;"",""?00;"", //"""),"'","""")</f>
        <v>032, 19401110, 12.00, ////, 07, ////, 07, ////, 07, ////, 07, ///, 07, ////, 07, ////, 07, ////, 07, ////, 07, ///, 07</v>
      </c>
    </row>
    <row r="1260" spans="1:1" x14ac:dyDescent="0.25">
      <c r="A1260" s="12" t="str">
        <f ca="1">TEXT(Overig!A1260,"000\,")&amp;TEXT(Overig!B1260,"?00000000")&amp;TEXT(Overig!C1260,""", ""@")&amp;SUBSTITUTE(TEXT(IF(ISTEXT(Overig!D1260),Overig!D1260,10*Overig!D1260),""",""????0;"",""???-0;"",""????0;"", ////"""),"'","""")&amp;SUBSTITUTE(TEXT(Overig!E1260,""",""?00;"",""?-00;"",""?00;"", //"""),"'","""")&amp;SUBSTITUTE(TEXT(IF(ISTEXT(Overig!F1260),Overig!F1260,10*Overig!F1260),""",""????0;"",""???-0;"",""????0;"", ////"""),"'","""")&amp;SUBSTITUTE(TEXT(Overig!G1260,""",""?00;"",""?-00;"",""?00;"", //"""),"'","""")&amp;SUBSTITUTE(TEXT(IF(ISTEXT(Overig!H1260),Overig!H1260,10*Overig!H1260),""",""????0;"",""???-0;"",""????0;"", ////"""),"'","""")&amp;SUBSTITUTE(TEXT(Overig!I1260,""",""?00;"",""?-00;"",""?00;"", //"""),"'","""")&amp;SUBSTITUTE(TEXT(IF(ISTEXT(Overig!J1260),Overig!J1260,10*Overig!J1260),""",""????0;"",""???-0;"",""????0;"", ////"""),"'","""")&amp;SUBSTITUTE(TEXT(Overig!K1260,""",""?00;"",""?-00;"",""?00;"", //"""),"'","""")&amp;SUBSTITUTE(TEXT(Overig!L1260,""",""???0;"",""??-0;"",""???0;"", ///"""),"'","""")&amp;SUBSTITUTE(TEXT(Overig!M1260,""",""?00;"",""?-00;"",""?00;"", //"""),"'","""")&amp;SUBSTITUTE(TEXT(IF(ISTEXT(Overig!N1260),Overig!N1260,10*Overig!N1260),""",""????0;"",""???-0;"",""????0;"", ////"""),"'","""")&amp;SUBSTITUTE(TEXT(Overig!O1260,""",""?00;"",""?-00;"",""?00;"", //"""),"'","""")&amp;SUBSTITUTE(TEXT(IF(ISTEXT(Overig!P1260),Overig!P1260,10*Overig!P1260),""",""????0;"",""???-0;"",""????0;"", ////"""),"'","""")&amp;SUBSTITUTE(TEXT(Overig!Q1260,""",""?00;"",""?-00;"",""?00;"", //"""),"'","""")&amp;SUBSTITUTE(TEXT(Overig!R1260,""",""????0;"",""???-0;"",""????0;"", ////"""),"'","""")&amp;SUBSTITUTE(TEXT(Overig!S1260,""",""?00;"",""?-00;"",""?00;"", //"""),"'","""")&amp;SUBSTITUTE(TEXT(IF(ISTEXT(Overig!T1260),Overig!T1260,10*Overig!T1260),""",""????0;"",""???-0;"",""????0;"", ////"""),"'","""")&amp;SUBSTITUTE(TEXT(Overig!U1260,""",""?00;"",""?-00;"",""?00;"", //"""),"'","""")&amp;SUBSTITUTE(TEXT(Overig!V1260,""",""???0;"",""??-0;"",""???0;"", ///"""),"'","""")&amp;SUBSTITUTE(TEXT(Overig!W1260,""",""?00;"",""?-00;"",""?00;"", //"""),"'","""")</f>
        <v>032, 19401110, 17.00, ////, 07, ////, 07, ////, 07, ////, 07, ///, 07, ////, 07, ////, 07, ////, 07, ////, 07, ///, 07</v>
      </c>
    </row>
    <row r="1261" spans="1:1" x14ac:dyDescent="0.25">
      <c r="A1261" s="12" t="str">
        <f ca="1">TEXT(Overig!A1261,"000\,")&amp;TEXT(Overig!B1261,"?00000000")&amp;TEXT(Overig!C1261,""", ""@")&amp;SUBSTITUTE(TEXT(IF(ISTEXT(Overig!D1261),Overig!D1261,10*Overig!D1261),""",""????0;"",""???-0;"",""????0;"", ////"""),"'","""")&amp;SUBSTITUTE(TEXT(Overig!E1261,""",""?00;"",""?-00;"",""?00;"", //"""),"'","""")&amp;SUBSTITUTE(TEXT(IF(ISTEXT(Overig!F1261),Overig!F1261,10*Overig!F1261),""",""????0;"",""???-0;"",""????0;"", ////"""),"'","""")&amp;SUBSTITUTE(TEXT(Overig!G1261,""",""?00;"",""?-00;"",""?00;"", //"""),"'","""")&amp;SUBSTITUTE(TEXT(IF(ISTEXT(Overig!H1261),Overig!H1261,10*Overig!H1261),""",""????0;"",""???-0;"",""????0;"", ////"""),"'","""")&amp;SUBSTITUTE(TEXT(Overig!I1261,""",""?00;"",""?-00;"",""?00;"", //"""),"'","""")&amp;SUBSTITUTE(TEXT(IF(ISTEXT(Overig!J1261),Overig!J1261,10*Overig!J1261),""",""????0;"",""???-0;"",""????0;"", ////"""),"'","""")&amp;SUBSTITUTE(TEXT(Overig!K1261,""",""?00;"",""?-00;"",""?00;"", //"""),"'","""")&amp;SUBSTITUTE(TEXT(Overig!L1261,""",""???0;"",""??-0;"",""???0;"", ///"""),"'","""")&amp;SUBSTITUTE(TEXT(Overig!M1261,""",""?00;"",""?-00;"",""?00;"", //"""),"'","""")&amp;SUBSTITUTE(TEXT(IF(ISTEXT(Overig!N1261),Overig!N1261,10*Overig!N1261),""",""????0;"",""???-0;"",""????0;"", ////"""),"'","""")&amp;SUBSTITUTE(TEXT(Overig!O1261,""",""?00;"",""?-00;"",""?00;"", //"""),"'","""")&amp;SUBSTITUTE(TEXT(IF(ISTEXT(Overig!P1261),Overig!P1261,10*Overig!P1261),""",""????0;"",""???-0;"",""????0;"", ////"""),"'","""")&amp;SUBSTITUTE(TEXT(Overig!Q1261,""",""?00;"",""?-00;"",""?00;"", //"""),"'","""")&amp;SUBSTITUTE(TEXT(Overig!R1261,""",""????0;"",""???-0;"",""????0;"", ////"""),"'","""")&amp;SUBSTITUTE(TEXT(Overig!S1261,""",""?00;"",""?-00;"",""?00;"", //"""),"'","""")&amp;SUBSTITUTE(TEXT(IF(ISTEXT(Overig!T1261),Overig!T1261,10*Overig!T1261),""",""????0;"",""???-0;"",""????0;"", ////"""),"'","""")&amp;SUBSTITUTE(TEXT(Overig!U1261,""",""?00;"",""?-00;"",""?00;"", //"""),"'","""")&amp;SUBSTITUTE(TEXT(Overig!V1261,""",""???0;"",""??-0;"",""???0;"", ///"""),"'","""")&amp;SUBSTITUTE(TEXT(Overig!W1261,""",""?00;"",""?-00;"",""?00;"", //"""),"'","""")</f>
        <v>032, 19401110, 24.00, ////, 07, ////, 07, ////, 07, ////, 07, ///, 07, ////, 07, ////, 07, ////, 07, ////, 07, ///, 07</v>
      </c>
    </row>
    <row r="1262" spans="1:1" x14ac:dyDescent="0.25">
      <c r="A1262" s="12" t="str">
        <f ca="1">TEXT(Overig!A1262,"000\,")&amp;TEXT(Overig!B1262,"?00000000")&amp;TEXT(Overig!C1262,""", ""@")&amp;SUBSTITUTE(TEXT(IF(ISTEXT(Overig!D1262),Overig!D1262,10*Overig!D1262),""",""????0;"",""???-0;"",""????0;"", ////"""),"'","""")&amp;SUBSTITUTE(TEXT(Overig!E1262,""",""?00;"",""?-00;"",""?00;"", //"""),"'","""")&amp;SUBSTITUTE(TEXT(IF(ISTEXT(Overig!F1262),Overig!F1262,10*Overig!F1262),""",""????0;"",""???-0;"",""????0;"", ////"""),"'","""")&amp;SUBSTITUTE(TEXT(Overig!G1262,""",""?00;"",""?-00;"",""?00;"", //"""),"'","""")&amp;SUBSTITUTE(TEXT(IF(ISTEXT(Overig!H1262),Overig!H1262,10*Overig!H1262),""",""????0;"",""???-0;"",""????0;"", ////"""),"'","""")&amp;SUBSTITUTE(TEXT(Overig!I1262,""",""?00;"",""?-00;"",""?00;"", //"""),"'","""")&amp;SUBSTITUTE(TEXT(IF(ISTEXT(Overig!J1262),Overig!J1262,10*Overig!J1262),""",""????0;"",""???-0;"",""????0;"", ////"""),"'","""")&amp;SUBSTITUTE(TEXT(Overig!K1262,""",""?00;"",""?-00;"",""?00;"", //"""),"'","""")&amp;SUBSTITUTE(TEXT(Overig!L1262,""",""???0;"",""??-0;"",""???0;"", ///"""),"'","""")&amp;SUBSTITUTE(TEXT(Overig!M1262,""",""?00;"",""?-00;"",""?00;"", //"""),"'","""")&amp;SUBSTITUTE(TEXT(IF(ISTEXT(Overig!N1262),Overig!N1262,10*Overig!N1262),""",""????0;"",""???-0;"",""????0;"", ////"""),"'","""")&amp;SUBSTITUTE(TEXT(Overig!O1262,""",""?00;"",""?-00;"",""?00;"", //"""),"'","""")&amp;SUBSTITUTE(TEXT(IF(ISTEXT(Overig!P1262),Overig!P1262,10*Overig!P1262),""",""????0;"",""???-0;"",""????0;"", ////"""),"'","""")&amp;SUBSTITUTE(TEXT(Overig!Q1262,""",""?00;"",""?-00;"",""?00;"", //"""),"'","""")&amp;SUBSTITUTE(TEXT(Overig!R1262,""",""????0;"",""???-0;"",""????0;"", ////"""),"'","""")&amp;SUBSTITUTE(TEXT(Overig!S1262,""",""?00;"",""?-00;"",""?00;"", //"""),"'","""")&amp;SUBSTITUTE(TEXT(IF(ISTEXT(Overig!T1262),Overig!T1262,10*Overig!T1262),""",""????0;"",""???-0;"",""????0;"", ////"""),"'","""")&amp;SUBSTITUTE(TEXT(Overig!U1262,""",""?00;"",""?-00;"",""?00;"", //"""),"'","""")&amp;SUBSTITUTE(TEXT(Overig!V1262,""",""???0;"",""??-0;"",""???0;"", ///"""),"'","""")&amp;SUBSTITUTE(TEXT(Overig!W1262,""",""?00;"",""?-00;"",""?00;"", //"""),"'","""")</f>
        <v>032, 19401111, 07.00, ////, 07, ////, 07, ////, 07, ////, 07, ///, 07, ////, 07, ////, 07, ////, 07, ////, 07, ///, 07</v>
      </c>
    </row>
    <row r="1263" spans="1:1" x14ac:dyDescent="0.25">
      <c r="A1263" s="12" t="str">
        <f ca="1">TEXT(Overig!A1263,"000\,")&amp;TEXT(Overig!B1263,"?00000000")&amp;TEXT(Overig!C1263,""", ""@")&amp;SUBSTITUTE(TEXT(IF(ISTEXT(Overig!D1263),Overig!D1263,10*Overig!D1263),""",""????0;"",""???-0;"",""????0;"", ////"""),"'","""")&amp;SUBSTITUTE(TEXT(Overig!E1263,""",""?00;"",""?-00;"",""?00;"", //"""),"'","""")&amp;SUBSTITUTE(TEXT(IF(ISTEXT(Overig!F1263),Overig!F1263,10*Overig!F1263),""",""????0;"",""???-0;"",""????0;"", ////"""),"'","""")&amp;SUBSTITUTE(TEXT(Overig!G1263,""",""?00;"",""?-00;"",""?00;"", //"""),"'","""")&amp;SUBSTITUTE(TEXT(IF(ISTEXT(Overig!H1263),Overig!H1263,10*Overig!H1263),""",""????0;"",""???-0;"",""????0;"", ////"""),"'","""")&amp;SUBSTITUTE(TEXT(Overig!I1263,""",""?00;"",""?-00;"",""?00;"", //"""),"'","""")&amp;SUBSTITUTE(TEXT(IF(ISTEXT(Overig!J1263),Overig!J1263,10*Overig!J1263),""",""????0;"",""???-0;"",""????0;"", ////"""),"'","""")&amp;SUBSTITUTE(TEXT(Overig!K1263,""",""?00;"",""?-00;"",""?00;"", //"""),"'","""")&amp;SUBSTITUTE(TEXT(Overig!L1263,""",""???0;"",""??-0;"",""???0;"", ///"""),"'","""")&amp;SUBSTITUTE(TEXT(Overig!M1263,""",""?00;"",""?-00;"",""?00;"", //"""),"'","""")&amp;SUBSTITUTE(TEXT(IF(ISTEXT(Overig!N1263),Overig!N1263,10*Overig!N1263),""",""????0;"",""???-0;"",""????0;"", ////"""),"'","""")&amp;SUBSTITUTE(TEXT(Overig!O1263,""",""?00;"",""?-00;"",""?00;"", //"""),"'","""")&amp;SUBSTITUTE(TEXT(IF(ISTEXT(Overig!P1263),Overig!P1263,10*Overig!P1263),""",""????0;"",""???-0;"",""????0;"", ////"""),"'","""")&amp;SUBSTITUTE(TEXT(Overig!Q1263,""",""?00;"",""?-00;"",""?00;"", //"""),"'","""")&amp;SUBSTITUTE(TEXT(Overig!R1263,""",""????0;"",""???-0;"",""????0;"", ////"""),"'","""")&amp;SUBSTITUTE(TEXT(Overig!S1263,""",""?00;"",""?-00;"",""?00;"", //"""),"'","""")&amp;SUBSTITUTE(TEXT(IF(ISTEXT(Overig!T1263),Overig!T1263,10*Overig!T1263),""",""????0;"",""???-0;"",""????0;"", ////"""),"'","""")&amp;SUBSTITUTE(TEXT(Overig!U1263,""",""?00;"",""?-00;"",""?00;"", //"""),"'","""")&amp;SUBSTITUTE(TEXT(Overig!V1263,""",""???0;"",""??-0;"",""???0;"", ///"""),"'","""")&amp;SUBSTITUTE(TEXT(Overig!W1263,""",""?00;"",""?-00;"",""?00;"", //"""),"'","""")</f>
        <v>032, 19401111, 12.00, ////, 07, ////, 07, ////, 07, ////, 07, ///, 07, ////, 07, ////, 07, ////, 07, ////, 07, ///, 07</v>
      </c>
    </row>
    <row r="1264" spans="1:1" x14ac:dyDescent="0.25">
      <c r="A1264" s="12" t="str">
        <f ca="1">TEXT(Overig!A1264,"000\,")&amp;TEXT(Overig!B1264,"?00000000")&amp;TEXT(Overig!C1264,""", ""@")&amp;SUBSTITUTE(TEXT(IF(ISTEXT(Overig!D1264),Overig!D1264,10*Overig!D1264),""",""????0;"",""???-0;"",""????0;"", ////"""),"'","""")&amp;SUBSTITUTE(TEXT(Overig!E1264,""",""?00;"",""?-00;"",""?00;"", //"""),"'","""")&amp;SUBSTITUTE(TEXT(IF(ISTEXT(Overig!F1264),Overig!F1264,10*Overig!F1264),""",""????0;"",""???-0;"",""????0;"", ////"""),"'","""")&amp;SUBSTITUTE(TEXT(Overig!G1264,""",""?00;"",""?-00;"",""?00;"", //"""),"'","""")&amp;SUBSTITUTE(TEXT(IF(ISTEXT(Overig!H1264),Overig!H1264,10*Overig!H1264),""",""????0;"",""???-0;"",""????0;"", ////"""),"'","""")&amp;SUBSTITUTE(TEXT(Overig!I1264,""",""?00;"",""?-00;"",""?00;"", //"""),"'","""")&amp;SUBSTITUTE(TEXT(IF(ISTEXT(Overig!J1264),Overig!J1264,10*Overig!J1264),""",""????0;"",""???-0;"",""????0;"", ////"""),"'","""")&amp;SUBSTITUTE(TEXT(Overig!K1264,""",""?00;"",""?-00;"",""?00;"", //"""),"'","""")&amp;SUBSTITUTE(TEXT(Overig!L1264,""",""???0;"",""??-0;"",""???0;"", ///"""),"'","""")&amp;SUBSTITUTE(TEXT(Overig!M1264,""",""?00;"",""?-00;"",""?00;"", //"""),"'","""")&amp;SUBSTITUTE(TEXT(IF(ISTEXT(Overig!N1264),Overig!N1264,10*Overig!N1264),""",""????0;"",""???-0;"",""????0;"", ////"""),"'","""")&amp;SUBSTITUTE(TEXT(Overig!O1264,""",""?00;"",""?-00;"",""?00;"", //"""),"'","""")&amp;SUBSTITUTE(TEXT(IF(ISTEXT(Overig!P1264),Overig!P1264,10*Overig!P1264),""",""????0;"",""???-0;"",""????0;"", ////"""),"'","""")&amp;SUBSTITUTE(TEXT(Overig!Q1264,""",""?00;"",""?-00;"",""?00;"", //"""),"'","""")&amp;SUBSTITUTE(TEXT(Overig!R1264,""",""????0;"",""???-0;"",""????0;"", ////"""),"'","""")&amp;SUBSTITUTE(TEXT(Overig!S1264,""",""?00;"",""?-00;"",""?00;"", //"""),"'","""")&amp;SUBSTITUTE(TEXT(IF(ISTEXT(Overig!T1264),Overig!T1264,10*Overig!T1264),""",""????0;"",""???-0;"",""????0;"", ////"""),"'","""")&amp;SUBSTITUTE(TEXT(Overig!U1264,""",""?00;"",""?-00;"",""?00;"", //"""),"'","""")&amp;SUBSTITUTE(TEXT(Overig!V1264,""",""???0;"",""??-0;"",""???0;"", ///"""),"'","""")&amp;SUBSTITUTE(TEXT(Overig!W1264,""",""?00;"",""?-00;"",""?00;"", //"""),"'","""")</f>
        <v>032, 19401111, 17.00, ////, 07, ////, 07, ////, 07, ////, 07, ///, 07, ////, 07, ////, 07, ////, 07, ////, 07, ///, 07</v>
      </c>
    </row>
    <row r="1265" spans="1:1" x14ac:dyDescent="0.25">
      <c r="A1265" s="12" t="str">
        <f ca="1">TEXT(Overig!A1265,"000\,")&amp;TEXT(Overig!B1265,"?00000000")&amp;TEXT(Overig!C1265,""", ""@")&amp;SUBSTITUTE(TEXT(IF(ISTEXT(Overig!D1265),Overig!D1265,10*Overig!D1265),""",""????0;"",""???-0;"",""????0;"", ////"""),"'","""")&amp;SUBSTITUTE(TEXT(Overig!E1265,""",""?00;"",""?-00;"",""?00;"", //"""),"'","""")&amp;SUBSTITUTE(TEXT(IF(ISTEXT(Overig!F1265),Overig!F1265,10*Overig!F1265),""",""????0;"",""???-0;"",""????0;"", ////"""),"'","""")&amp;SUBSTITUTE(TEXT(Overig!G1265,""",""?00;"",""?-00;"",""?00;"", //"""),"'","""")&amp;SUBSTITUTE(TEXT(IF(ISTEXT(Overig!H1265),Overig!H1265,10*Overig!H1265),""",""????0;"",""???-0;"",""????0;"", ////"""),"'","""")&amp;SUBSTITUTE(TEXT(Overig!I1265,""",""?00;"",""?-00;"",""?00;"", //"""),"'","""")&amp;SUBSTITUTE(TEXT(IF(ISTEXT(Overig!J1265),Overig!J1265,10*Overig!J1265),""",""????0;"",""???-0;"",""????0;"", ////"""),"'","""")&amp;SUBSTITUTE(TEXT(Overig!K1265,""",""?00;"",""?-00;"",""?00;"", //"""),"'","""")&amp;SUBSTITUTE(TEXT(Overig!L1265,""",""???0;"",""??-0;"",""???0;"", ///"""),"'","""")&amp;SUBSTITUTE(TEXT(Overig!M1265,""",""?00;"",""?-00;"",""?00;"", //"""),"'","""")&amp;SUBSTITUTE(TEXT(IF(ISTEXT(Overig!N1265),Overig!N1265,10*Overig!N1265),""",""????0;"",""???-0;"",""????0;"", ////"""),"'","""")&amp;SUBSTITUTE(TEXT(Overig!O1265,""",""?00;"",""?-00;"",""?00;"", //"""),"'","""")&amp;SUBSTITUTE(TEXT(IF(ISTEXT(Overig!P1265),Overig!P1265,10*Overig!P1265),""",""????0;"",""???-0;"",""????0;"", ////"""),"'","""")&amp;SUBSTITUTE(TEXT(Overig!Q1265,""",""?00;"",""?-00;"",""?00;"", //"""),"'","""")&amp;SUBSTITUTE(TEXT(Overig!R1265,""",""????0;"",""???-0;"",""????0;"", ////"""),"'","""")&amp;SUBSTITUTE(TEXT(Overig!S1265,""",""?00;"",""?-00;"",""?00;"", //"""),"'","""")&amp;SUBSTITUTE(TEXT(IF(ISTEXT(Overig!T1265),Overig!T1265,10*Overig!T1265),""",""????0;"",""???-0;"",""????0;"", ////"""),"'","""")&amp;SUBSTITUTE(TEXT(Overig!U1265,""",""?00;"",""?-00;"",""?00;"", //"""),"'","""")&amp;SUBSTITUTE(TEXT(Overig!V1265,""",""???0;"",""??-0;"",""???0;"", ///"""),"'","""")&amp;SUBSTITUTE(TEXT(Overig!W1265,""",""?00;"",""?-00;"",""?00;"", //"""),"'","""")</f>
        <v>032, 19401111, 24.00, ////, 07, ////, 07, ////, 07, ////, 07, ///, 07, ////, 07, ////, 07, ////, 07, ////, 07, ///, 07</v>
      </c>
    </row>
    <row r="1266" spans="1:1" x14ac:dyDescent="0.25">
      <c r="A1266" s="12" t="str">
        <f ca="1">TEXT(Overig!A1266,"000\,")&amp;TEXT(Overig!B1266,"?00000000")&amp;TEXT(Overig!C1266,""", ""@")&amp;SUBSTITUTE(TEXT(IF(ISTEXT(Overig!D1266),Overig!D1266,10*Overig!D1266),""",""????0;"",""???-0;"",""????0;"", ////"""),"'","""")&amp;SUBSTITUTE(TEXT(Overig!E1266,""",""?00;"",""?-00;"",""?00;"", //"""),"'","""")&amp;SUBSTITUTE(TEXT(IF(ISTEXT(Overig!F1266),Overig!F1266,10*Overig!F1266),""",""????0;"",""???-0;"",""????0;"", ////"""),"'","""")&amp;SUBSTITUTE(TEXT(Overig!G1266,""",""?00;"",""?-00;"",""?00;"", //"""),"'","""")&amp;SUBSTITUTE(TEXT(IF(ISTEXT(Overig!H1266),Overig!H1266,10*Overig!H1266),""",""????0;"",""???-0;"",""????0;"", ////"""),"'","""")&amp;SUBSTITUTE(TEXT(Overig!I1266,""",""?00;"",""?-00;"",""?00;"", //"""),"'","""")&amp;SUBSTITUTE(TEXT(IF(ISTEXT(Overig!J1266),Overig!J1266,10*Overig!J1266),""",""????0;"",""???-0;"",""????0;"", ////"""),"'","""")&amp;SUBSTITUTE(TEXT(Overig!K1266,""",""?00;"",""?-00;"",""?00;"", //"""),"'","""")&amp;SUBSTITUTE(TEXT(Overig!L1266,""",""???0;"",""??-0;"",""???0;"", ///"""),"'","""")&amp;SUBSTITUTE(TEXT(Overig!M1266,""",""?00;"",""?-00;"",""?00;"", //"""),"'","""")&amp;SUBSTITUTE(TEXT(IF(ISTEXT(Overig!N1266),Overig!N1266,10*Overig!N1266),""",""????0;"",""???-0;"",""????0;"", ////"""),"'","""")&amp;SUBSTITUTE(TEXT(Overig!O1266,""",""?00;"",""?-00;"",""?00;"", //"""),"'","""")&amp;SUBSTITUTE(TEXT(IF(ISTEXT(Overig!P1266),Overig!P1266,10*Overig!P1266),""",""????0;"",""???-0;"",""????0;"", ////"""),"'","""")&amp;SUBSTITUTE(TEXT(Overig!Q1266,""",""?00;"",""?-00;"",""?00;"", //"""),"'","""")&amp;SUBSTITUTE(TEXT(Overig!R1266,""",""????0;"",""???-0;"",""????0;"", ////"""),"'","""")&amp;SUBSTITUTE(TEXT(Overig!S1266,""",""?00;"",""?-00;"",""?00;"", //"""),"'","""")&amp;SUBSTITUTE(TEXT(IF(ISTEXT(Overig!T1266),Overig!T1266,10*Overig!T1266),""",""????0;"",""???-0;"",""????0;"", ////"""),"'","""")&amp;SUBSTITUTE(TEXT(Overig!U1266,""",""?00;"",""?-00;"",""?00;"", //"""),"'","""")&amp;SUBSTITUTE(TEXT(Overig!V1266,""",""???0;"",""??-0;"",""???0;"", ///"""),"'","""")&amp;SUBSTITUTE(TEXT(Overig!W1266,""",""?00;"",""?-00;"",""?00;"", //"""),"'","""")</f>
        <v>032, 19401112, 07.00, ////, 07, ////, 07, ////, 07, ////, 07, ///, 07, ////, 07, ////, 07, ////, 07, ////, 07, ///, 07</v>
      </c>
    </row>
    <row r="1267" spans="1:1" x14ac:dyDescent="0.25">
      <c r="A1267" s="12" t="str">
        <f ca="1">TEXT(Overig!A1267,"000\,")&amp;TEXT(Overig!B1267,"?00000000")&amp;TEXT(Overig!C1267,""", ""@")&amp;SUBSTITUTE(TEXT(IF(ISTEXT(Overig!D1267),Overig!D1267,10*Overig!D1267),""",""????0;"",""???-0;"",""????0;"", ////"""),"'","""")&amp;SUBSTITUTE(TEXT(Overig!E1267,""",""?00;"",""?-00;"",""?00;"", //"""),"'","""")&amp;SUBSTITUTE(TEXT(IF(ISTEXT(Overig!F1267),Overig!F1267,10*Overig!F1267),""",""????0;"",""???-0;"",""????0;"", ////"""),"'","""")&amp;SUBSTITUTE(TEXT(Overig!G1267,""",""?00;"",""?-00;"",""?00;"", //"""),"'","""")&amp;SUBSTITUTE(TEXT(IF(ISTEXT(Overig!H1267),Overig!H1267,10*Overig!H1267),""",""????0;"",""???-0;"",""????0;"", ////"""),"'","""")&amp;SUBSTITUTE(TEXT(Overig!I1267,""",""?00;"",""?-00;"",""?00;"", //"""),"'","""")&amp;SUBSTITUTE(TEXT(IF(ISTEXT(Overig!J1267),Overig!J1267,10*Overig!J1267),""",""????0;"",""???-0;"",""????0;"", ////"""),"'","""")&amp;SUBSTITUTE(TEXT(Overig!K1267,""",""?00;"",""?-00;"",""?00;"", //"""),"'","""")&amp;SUBSTITUTE(TEXT(Overig!L1267,""",""???0;"",""??-0;"",""???0;"", ///"""),"'","""")&amp;SUBSTITUTE(TEXT(Overig!M1267,""",""?00;"",""?-00;"",""?00;"", //"""),"'","""")&amp;SUBSTITUTE(TEXT(IF(ISTEXT(Overig!N1267),Overig!N1267,10*Overig!N1267),""",""????0;"",""???-0;"",""????0;"", ////"""),"'","""")&amp;SUBSTITUTE(TEXT(Overig!O1267,""",""?00;"",""?-00;"",""?00;"", //"""),"'","""")&amp;SUBSTITUTE(TEXT(IF(ISTEXT(Overig!P1267),Overig!P1267,10*Overig!P1267),""",""????0;"",""???-0;"",""????0;"", ////"""),"'","""")&amp;SUBSTITUTE(TEXT(Overig!Q1267,""",""?00;"",""?-00;"",""?00;"", //"""),"'","""")&amp;SUBSTITUTE(TEXT(Overig!R1267,""",""????0;"",""???-0;"",""????0;"", ////"""),"'","""")&amp;SUBSTITUTE(TEXT(Overig!S1267,""",""?00;"",""?-00;"",""?00;"", //"""),"'","""")&amp;SUBSTITUTE(TEXT(IF(ISTEXT(Overig!T1267),Overig!T1267,10*Overig!T1267),""",""????0;"",""???-0;"",""????0;"", ////"""),"'","""")&amp;SUBSTITUTE(TEXT(Overig!U1267,""",""?00;"",""?-00;"",""?00;"", //"""),"'","""")&amp;SUBSTITUTE(TEXT(Overig!V1267,""",""???0;"",""??-0;"",""???0;"", ///"""),"'","""")&amp;SUBSTITUTE(TEXT(Overig!W1267,""",""?00;"",""?-00;"",""?00;"", //"""),"'","""")</f>
        <v>032, 19401112, 12.00, ////, 07, ////, 07, ////, 07, ////, 07, ///, 07, ////, 07, ////, 07, ////, 07, ////, 07, ///, 07</v>
      </c>
    </row>
    <row r="1268" spans="1:1" x14ac:dyDescent="0.25">
      <c r="A1268" s="12" t="str">
        <f ca="1">TEXT(Overig!A1268,"000\,")&amp;TEXT(Overig!B1268,"?00000000")&amp;TEXT(Overig!C1268,""", ""@")&amp;SUBSTITUTE(TEXT(IF(ISTEXT(Overig!D1268),Overig!D1268,10*Overig!D1268),""",""????0;"",""???-0;"",""????0;"", ////"""),"'","""")&amp;SUBSTITUTE(TEXT(Overig!E1268,""",""?00;"",""?-00;"",""?00;"", //"""),"'","""")&amp;SUBSTITUTE(TEXT(IF(ISTEXT(Overig!F1268),Overig!F1268,10*Overig!F1268),""",""????0;"",""???-0;"",""????0;"", ////"""),"'","""")&amp;SUBSTITUTE(TEXT(Overig!G1268,""",""?00;"",""?-00;"",""?00;"", //"""),"'","""")&amp;SUBSTITUTE(TEXT(IF(ISTEXT(Overig!H1268),Overig!H1268,10*Overig!H1268),""",""????0;"",""???-0;"",""????0;"", ////"""),"'","""")&amp;SUBSTITUTE(TEXT(Overig!I1268,""",""?00;"",""?-00;"",""?00;"", //"""),"'","""")&amp;SUBSTITUTE(TEXT(IF(ISTEXT(Overig!J1268),Overig!J1268,10*Overig!J1268),""",""????0;"",""???-0;"",""????0;"", ////"""),"'","""")&amp;SUBSTITUTE(TEXT(Overig!K1268,""",""?00;"",""?-00;"",""?00;"", //"""),"'","""")&amp;SUBSTITUTE(TEXT(Overig!L1268,""",""???0;"",""??-0;"",""???0;"", ///"""),"'","""")&amp;SUBSTITUTE(TEXT(Overig!M1268,""",""?00;"",""?-00;"",""?00;"", //"""),"'","""")&amp;SUBSTITUTE(TEXT(IF(ISTEXT(Overig!N1268),Overig!N1268,10*Overig!N1268),""",""????0;"",""???-0;"",""????0;"", ////"""),"'","""")&amp;SUBSTITUTE(TEXT(Overig!O1268,""",""?00;"",""?-00;"",""?00;"", //"""),"'","""")&amp;SUBSTITUTE(TEXT(IF(ISTEXT(Overig!P1268),Overig!P1268,10*Overig!P1268),""",""????0;"",""???-0;"",""????0;"", ////"""),"'","""")&amp;SUBSTITUTE(TEXT(Overig!Q1268,""",""?00;"",""?-00;"",""?00;"", //"""),"'","""")&amp;SUBSTITUTE(TEXT(Overig!R1268,""",""????0;"",""???-0;"",""????0;"", ////"""),"'","""")&amp;SUBSTITUTE(TEXT(Overig!S1268,""",""?00;"",""?-00;"",""?00;"", //"""),"'","""")&amp;SUBSTITUTE(TEXT(IF(ISTEXT(Overig!T1268),Overig!T1268,10*Overig!T1268),""",""????0;"",""???-0;"",""????0;"", ////"""),"'","""")&amp;SUBSTITUTE(TEXT(Overig!U1268,""",""?00;"",""?-00;"",""?00;"", //"""),"'","""")&amp;SUBSTITUTE(TEXT(Overig!V1268,""",""???0;"",""??-0;"",""???0;"", ///"""),"'","""")&amp;SUBSTITUTE(TEXT(Overig!W1268,""",""?00;"",""?-00;"",""?00;"", //"""),"'","""")</f>
        <v>032, 19401112, 17.00, ////, 07, ////, 07, ////, 07, ////, 07, ///, 07, ////, 07, ////, 07, ////, 07, ////, 07, ///, 07</v>
      </c>
    </row>
    <row r="1269" spans="1:1" x14ac:dyDescent="0.25">
      <c r="A1269" s="12" t="str">
        <f ca="1">TEXT(Overig!A1269,"000\,")&amp;TEXT(Overig!B1269,"?00000000")&amp;TEXT(Overig!C1269,""", ""@")&amp;SUBSTITUTE(TEXT(IF(ISTEXT(Overig!D1269),Overig!D1269,10*Overig!D1269),""",""????0;"",""???-0;"",""????0;"", ////"""),"'","""")&amp;SUBSTITUTE(TEXT(Overig!E1269,""",""?00;"",""?-00;"",""?00;"", //"""),"'","""")&amp;SUBSTITUTE(TEXT(IF(ISTEXT(Overig!F1269),Overig!F1269,10*Overig!F1269),""",""????0;"",""???-0;"",""????0;"", ////"""),"'","""")&amp;SUBSTITUTE(TEXT(Overig!G1269,""",""?00;"",""?-00;"",""?00;"", //"""),"'","""")&amp;SUBSTITUTE(TEXT(IF(ISTEXT(Overig!H1269),Overig!H1269,10*Overig!H1269),""",""????0;"",""???-0;"",""????0;"", ////"""),"'","""")&amp;SUBSTITUTE(TEXT(Overig!I1269,""",""?00;"",""?-00;"",""?00;"", //"""),"'","""")&amp;SUBSTITUTE(TEXT(IF(ISTEXT(Overig!J1269),Overig!J1269,10*Overig!J1269),""",""????0;"",""???-0;"",""????0;"", ////"""),"'","""")&amp;SUBSTITUTE(TEXT(Overig!K1269,""",""?00;"",""?-00;"",""?00;"", //"""),"'","""")&amp;SUBSTITUTE(TEXT(Overig!L1269,""",""???0;"",""??-0;"",""???0;"", ///"""),"'","""")&amp;SUBSTITUTE(TEXT(Overig!M1269,""",""?00;"",""?-00;"",""?00;"", //"""),"'","""")&amp;SUBSTITUTE(TEXT(IF(ISTEXT(Overig!N1269),Overig!N1269,10*Overig!N1269),""",""????0;"",""???-0;"",""????0;"", ////"""),"'","""")&amp;SUBSTITUTE(TEXT(Overig!O1269,""",""?00;"",""?-00;"",""?00;"", //"""),"'","""")&amp;SUBSTITUTE(TEXT(IF(ISTEXT(Overig!P1269),Overig!P1269,10*Overig!P1269),""",""????0;"",""???-0;"",""????0;"", ////"""),"'","""")&amp;SUBSTITUTE(TEXT(Overig!Q1269,""",""?00;"",""?-00;"",""?00;"", //"""),"'","""")&amp;SUBSTITUTE(TEXT(Overig!R1269,""",""????0;"",""???-0;"",""????0;"", ////"""),"'","""")&amp;SUBSTITUTE(TEXT(Overig!S1269,""",""?00;"",""?-00;"",""?00;"", //"""),"'","""")&amp;SUBSTITUTE(TEXT(IF(ISTEXT(Overig!T1269),Overig!T1269,10*Overig!T1269),""",""????0;"",""???-0;"",""????0;"", ////"""),"'","""")&amp;SUBSTITUTE(TEXT(Overig!U1269,""",""?00;"",""?-00;"",""?00;"", //"""),"'","""")&amp;SUBSTITUTE(TEXT(Overig!V1269,""",""???0;"",""??-0;"",""???0;"", ///"""),"'","""")&amp;SUBSTITUTE(TEXT(Overig!W1269,""",""?00;"",""?-00;"",""?00;"", //"""),"'","""")</f>
        <v>032, 19401112, 24.00, ////, 07, ////, 07, ////, 07, ////, 07, ///, 07, ////, 07, ////, 07, ////, 07, ////, 07, ///, 07</v>
      </c>
    </row>
    <row r="1270" spans="1:1" x14ac:dyDescent="0.25">
      <c r="A1270" s="12" t="str">
        <f ca="1">TEXT(Overig!A1270,"000\,")&amp;TEXT(Overig!B1270,"?00000000")&amp;TEXT(Overig!C1270,""", ""@")&amp;SUBSTITUTE(TEXT(IF(ISTEXT(Overig!D1270),Overig!D1270,10*Overig!D1270),""",""????0;"",""???-0;"",""????0;"", ////"""),"'","""")&amp;SUBSTITUTE(TEXT(Overig!E1270,""",""?00;"",""?-00;"",""?00;"", //"""),"'","""")&amp;SUBSTITUTE(TEXT(IF(ISTEXT(Overig!F1270),Overig!F1270,10*Overig!F1270),""",""????0;"",""???-0;"",""????0;"", ////"""),"'","""")&amp;SUBSTITUTE(TEXT(Overig!G1270,""",""?00;"",""?-00;"",""?00;"", //"""),"'","""")&amp;SUBSTITUTE(TEXT(IF(ISTEXT(Overig!H1270),Overig!H1270,10*Overig!H1270),""",""????0;"",""???-0;"",""????0;"", ////"""),"'","""")&amp;SUBSTITUTE(TEXT(Overig!I1270,""",""?00;"",""?-00;"",""?00;"", //"""),"'","""")&amp;SUBSTITUTE(TEXT(IF(ISTEXT(Overig!J1270),Overig!J1270,10*Overig!J1270),""",""????0;"",""???-0;"",""????0;"", ////"""),"'","""")&amp;SUBSTITUTE(TEXT(Overig!K1270,""",""?00;"",""?-00;"",""?00;"", //"""),"'","""")&amp;SUBSTITUTE(TEXT(Overig!L1270,""",""???0;"",""??-0;"",""???0;"", ///"""),"'","""")&amp;SUBSTITUTE(TEXT(Overig!M1270,""",""?00;"",""?-00;"",""?00;"", //"""),"'","""")&amp;SUBSTITUTE(TEXT(IF(ISTEXT(Overig!N1270),Overig!N1270,10*Overig!N1270),""",""????0;"",""???-0;"",""????0;"", ////"""),"'","""")&amp;SUBSTITUTE(TEXT(Overig!O1270,""",""?00;"",""?-00;"",""?00;"", //"""),"'","""")&amp;SUBSTITUTE(TEXT(IF(ISTEXT(Overig!P1270),Overig!P1270,10*Overig!P1270),""",""????0;"",""???-0;"",""????0;"", ////"""),"'","""")&amp;SUBSTITUTE(TEXT(Overig!Q1270,""",""?00;"",""?-00;"",""?00;"", //"""),"'","""")&amp;SUBSTITUTE(TEXT(Overig!R1270,""",""????0;"",""???-0;"",""????0;"", ////"""),"'","""")&amp;SUBSTITUTE(TEXT(Overig!S1270,""",""?00;"",""?-00;"",""?00;"", //"""),"'","""")&amp;SUBSTITUTE(TEXT(IF(ISTEXT(Overig!T1270),Overig!T1270,10*Overig!T1270),""",""????0;"",""???-0;"",""????0;"", ////"""),"'","""")&amp;SUBSTITUTE(TEXT(Overig!U1270,""",""?00;"",""?-00;"",""?00;"", //"""),"'","""")&amp;SUBSTITUTE(TEXT(Overig!V1270,""",""???0;"",""??-0;"",""???0;"", ///"""),"'","""")&amp;SUBSTITUTE(TEXT(Overig!W1270,""",""?00;"",""?-00;"",""?00;"", //"""),"'","""")</f>
        <v>032, 19401113, 07.00, ////, 07, ////, 07, ////, 07, ////, 07, ///, 07, ////, 07, ////, 07, ////, 07, ////, 07, ///, 07</v>
      </c>
    </row>
    <row r="1271" spans="1:1" x14ac:dyDescent="0.25">
      <c r="A1271" s="12" t="str">
        <f ca="1">TEXT(Overig!A1271,"000\,")&amp;TEXT(Overig!B1271,"?00000000")&amp;TEXT(Overig!C1271,""", ""@")&amp;SUBSTITUTE(TEXT(IF(ISTEXT(Overig!D1271),Overig!D1271,10*Overig!D1271),""",""????0;"",""???-0;"",""????0;"", ////"""),"'","""")&amp;SUBSTITUTE(TEXT(Overig!E1271,""",""?00;"",""?-00;"",""?00;"", //"""),"'","""")&amp;SUBSTITUTE(TEXT(IF(ISTEXT(Overig!F1271),Overig!F1271,10*Overig!F1271),""",""????0;"",""???-0;"",""????0;"", ////"""),"'","""")&amp;SUBSTITUTE(TEXT(Overig!G1271,""",""?00;"",""?-00;"",""?00;"", //"""),"'","""")&amp;SUBSTITUTE(TEXT(IF(ISTEXT(Overig!H1271),Overig!H1271,10*Overig!H1271),""",""????0;"",""???-0;"",""????0;"", ////"""),"'","""")&amp;SUBSTITUTE(TEXT(Overig!I1271,""",""?00;"",""?-00;"",""?00;"", //"""),"'","""")&amp;SUBSTITUTE(TEXT(IF(ISTEXT(Overig!J1271),Overig!J1271,10*Overig!J1271),""",""????0;"",""???-0;"",""????0;"", ////"""),"'","""")&amp;SUBSTITUTE(TEXT(Overig!K1271,""",""?00;"",""?-00;"",""?00;"", //"""),"'","""")&amp;SUBSTITUTE(TEXT(Overig!L1271,""",""???0;"",""??-0;"",""???0;"", ///"""),"'","""")&amp;SUBSTITUTE(TEXT(Overig!M1271,""",""?00;"",""?-00;"",""?00;"", //"""),"'","""")&amp;SUBSTITUTE(TEXT(IF(ISTEXT(Overig!N1271),Overig!N1271,10*Overig!N1271),""",""????0;"",""???-0;"",""????0;"", ////"""),"'","""")&amp;SUBSTITUTE(TEXT(Overig!O1271,""",""?00;"",""?-00;"",""?00;"", //"""),"'","""")&amp;SUBSTITUTE(TEXT(IF(ISTEXT(Overig!P1271),Overig!P1271,10*Overig!P1271),""",""????0;"",""???-0;"",""????0;"", ////"""),"'","""")&amp;SUBSTITUTE(TEXT(Overig!Q1271,""",""?00;"",""?-00;"",""?00;"", //"""),"'","""")&amp;SUBSTITUTE(TEXT(Overig!R1271,""",""????0;"",""???-0;"",""????0;"", ////"""),"'","""")&amp;SUBSTITUTE(TEXT(Overig!S1271,""",""?00;"",""?-00;"",""?00;"", //"""),"'","""")&amp;SUBSTITUTE(TEXT(IF(ISTEXT(Overig!T1271),Overig!T1271,10*Overig!T1271),""",""????0;"",""???-0;"",""????0;"", ////"""),"'","""")&amp;SUBSTITUTE(TEXT(Overig!U1271,""",""?00;"",""?-00;"",""?00;"", //"""),"'","""")&amp;SUBSTITUTE(TEXT(Overig!V1271,""",""???0;"",""??-0;"",""???0;"", ///"""),"'","""")&amp;SUBSTITUTE(TEXT(Overig!W1271,""",""?00;"",""?-00;"",""?00;"", //"""),"'","""")</f>
        <v>032, 19401113, 12.00, ////, 07, ////, 07, ////, 07, ////, 07, ///, 07, ////, 07, ////, 07, ////, 07, ////, 07, ///, 07</v>
      </c>
    </row>
    <row r="1272" spans="1:1" x14ac:dyDescent="0.25">
      <c r="A1272" s="12" t="str">
        <f ca="1">TEXT(Overig!A1272,"000\,")&amp;TEXT(Overig!B1272,"?00000000")&amp;TEXT(Overig!C1272,""", ""@")&amp;SUBSTITUTE(TEXT(IF(ISTEXT(Overig!D1272),Overig!D1272,10*Overig!D1272),""",""????0;"",""???-0;"",""????0;"", ////"""),"'","""")&amp;SUBSTITUTE(TEXT(Overig!E1272,""",""?00;"",""?-00;"",""?00;"", //"""),"'","""")&amp;SUBSTITUTE(TEXT(IF(ISTEXT(Overig!F1272),Overig!F1272,10*Overig!F1272),""",""????0;"",""???-0;"",""????0;"", ////"""),"'","""")&amp;SUBSTITUTE(TEXT(Overig!G1272,""",""?00;"",""?-00;"",""?00;"", //"""),"'","""")&amp;SUBSTITUTE(TEXT(IF(ISTEXT(Overig!H1272),Overig!H1272,10*Overig!H1272),""",""????0;"",""???-0;"",""????0;"", ////"""),"'","""")&amp;SUBSTITUTE(TEXT(Overig!I1272,""",""?00;"",""?-00;"",""?00;"", //"""),"'","""")&amp;SUBSTITUTE(TEXT(IF(ISTEXT(Overig!J1272),Overig!J1272,10*Overig!J1272),""",""????0;"",""???-0;"",""????0;"", ////"""),"'","""")&amp;SUBSTITUTE(TEXT(Overig!K1272,""",""?00;"",""?-00;"",""?00;"", //"""),"'","""")&amp;SUBSTITUTE(TEXT(Overig!L1272,""",""???0;"",""??-0;"",""???0;"", ///"""),"'","""")&amp;SUBSTITUTE(TEXT(Overig!M1272,""",""?00;"",""?-00;"",""?00;"", //"""),"'","""")&amp;SUBSTITUTE(TEXT(IF(ISTEXT(Overig!N1272),Overig!N1272,10*Overig!N1272),""",""????0;"",""???-0;"",""????0;"", ////"""),"'","""")&amp;SUBSTITUTE(TEXT(Overig!O1272,""",""?00;"",""?-00;"",""?00;"", //"""),"'","""")&amp;SUBSTITUTE(TEXT(IF(ISTEXT(Overig!P1272),Overig!P1272,10*Overig!P1272),""",""????0;"",""???-0;"",""????0;"", ////"""),"'","""")&amp;SUBSTITUTE(TEXT(Overig!Q1272,""",""?00;"",""?-00;"",""?00;"", //"""),"'","""")&amp;SUBSTITUTE(TEXT(Overig!R1272,""",""????0;"",""???-0;"",""????0;"", ////"""),"'","""")&amp;SUBSTITUTE(TEXT(Overig!S1272,""",""?00;"",""?-00;"",""?00;"", //"""),"'","""")&amp;SUBSTITUTE(TEXT(IF(ISTEXT(Overig!T1272),Overig!T1272,10*Overig!T1272),""",""????0;"",""???-0;"",""????0;"", ////"""),"'","""")&amp;SUBSTITUTE(TEXT(Overig!U1272,""",""?00;"",""?-00;"",""?00;"", //"""),"'","""")&amp;SUBSTITUTE(TEXT(Overig!V1272,""",""???0;"",""??-0;"",""???0;"", ///"""),"'","""")&amp;SUBSTITUTE(TEXT(Overig!W1272,""",""?00;"",""?-00;"",""?00;"", //"""),"'","""")</f>
        <v>032, 19401113, 17.00, ////, 07, ////, 07, ////, 07, ////, 07, ///, 07, ////, 07, ////, 07, ////, 07, ////, 07, ///, 07</v>
      </c>
    </row>
    <row r="1273" spans="1:1" x14ac:dyDescent="0.25">
      <c r="A1273" s="12" t="str">
        <f ca="1">TEXT(Overig!A1273,"000\,")&amp;TEXT(Overig!B1273,"?00000000")&amp;TEXT(Overig!C1273,""", ""@")&amp;SUBSTITUTE(TEXT(IF(ISTEXT(Overig!D1273),Overig!D1273,10*Overig!D1273),""",""????0;"",""???-0;"",""????0;"", ////"""),"'","""")&amp;SUBSTITUTE(TEXT(Overig!E1273,""",""?00;"",""?-00;"",""?00;"", //"""),"'","""")&amp;SUBSTITUTE(TEXT(IF(ISTEXT(Overig!F1273),Overig!F1273,10*Overig!F1273),""",""????0;"",""???-0;"",""????0;"", ////"""),"'","""")&amp;SUBSTITUTE(TEXT(Overig!G1273,""",""?00;"",""?-00;"",""?00;"", //"""),"'","""")&amp;SUBSTITUTE(TEXT(IF(ISTEXT(Overig!H1273),Overig!H1273,10*Overig!H1273),""",""????0;"",""???-0;"",""????0;"", ////"""),"'","""")&amp;SUBSTITUTE(TEXT(Overig!I1273,""",""?00;"",""?-00;"",""?00;"", //"""),"'","""")&amp;SUBSTITUTE(TEXT(IF(ISTEXT(Overig!J1273),Overig!J1273,10*Overig!J1273),""",""????0;"",""???-0;"",""????0;"", ////"""),"'","""")&amp;SUBSTITUTE(TEXT(Overig!K1273,""",""?00;"",""?-00;"",""?00;"", //"""),"'","""")&amp;SUBSTITUTE(TEXT(Overig!L1273,""",""???0;"",""??-0;"",""???0;"", ///"""),"'","""")&amp;SUBSTITUTE(TEXT(Overig!M1273,""",""?00;"",""?-00;"",""?00;"", //"""),"'","""")&amp;SUBSTITUTE(TEXT(IF(ISTEXT(Overig!N1273),Overig!N1273,10*Overig!N1273),""",""????0;"",""???-0;"",""????0;"", ////"""),"'","""")&amp;SUBSTITUTE(TEXT(Overig!O1273,""",""?00;"",""?-00;"",""?00;"", //"""),"'","""")&amp;SUBSTITUTE(TEXT(IF(ISTEXT(Overig!P1273),Overig!P1273,10*Overig!P1273),""",""????0;"",""???-0;"",""????0;"", ////"""),"'","""")&amp;SUBSTITUTE(TEXT(Overig!Q1273,""",""?00;"",""?-00;"",""?00;"", //"""),"'","""")&amp;SUBSTITUTE(TEXT(Overig!R1273,""",""????0;"",""???-0;"",""????0;"", ////"""),"'","""")&amp;SUBSTITUTE(TEXT(Overig!S1273,""",""?00;"",""?-00;"",""?00;"", //"""),"'","""")&amp;SUBSTITUTE(TEXT(IF(ISTEXT(Overig!T1273),Overig!T1273,10*Overig!T1273),""",""????0;"",""???-0;"",""????0;"", ////"""),"'","""")&amp;SUBSTITUTE(TEXT(Overig!U1273,""",""?00;"",""?-00;"",""?00;"", //"""),"'","""")&amp;SUBSTITUTE(TEXT(Overig!V1273,""",""???0;"",""??-0;"",""???0;"", ///"""),"'","""")&amp;SUBSTITUTE(TEXT(Overig!W1273,""",""?00;"",""?-00;"",""?00;"", //"""),"'","""")</f>
        <v>032, 19401113, 24.00, ////, 07, ////, 07, ////, 07, ////, 07, ///, 07, ////, 07, ////, 07, ////, 07, ////, 07, ///, 07</v>
      </c>
    </row>
    <row r="1274" spans="1:1" x14ac:dyDescent="0.25">
      <c r="A1274" s="12" t="str">
        <f ca="1">TEXT(Overig!A1274,"000\,")&amp;TEXT(Overig!B1274,"?00000000")&amp;TEXT(Overig!C1274,""", ""@")&amp;SUBSTITUTE(TEXT(IF(ISTEXT(Overig!D1274),Overig!D1274,10*Overig!D1274),""",""????0;"",""???-0;"",""????0;"", ////"""),"'","""")&amp;SUBSTITUTE(TEXT(Overig!E1274,""",""?00;"",""?-00;"",""?00;"", //"""),"'","""")&amp;SUBSTITUTE(TEXT(IF(ISTEXT(Overig!F1274),Overig!F1274,10*Overig!F1274),""",""????0;"",""???-0;"",""????0;"", ////"""),"'","""")&amp;SUBSTITUTE(TEXT(Overig!G1274,""",""?00;"",""?-00;"",""?00;"", //"""),"'","""")&amp;SUBSTITUTE(TEXT(IF(ISTEXT(Overig!H1274),Overig!H1274,10*Overig!H1274),""",""????0;"",""???-0;"",""????0;"", ////"""),"'","""")&amp;SUBSTITUTE(TEXT(Overig!I1274,""",""?00;"",""?-00;"",""?00;"", //"""),"'","""")&amp;SUBSTITUTE(TEXT(IF(ISTEXT(Overig!J1274),Overig!J1274,10*Overig!J1274),""",""????0;"",""???-0;"",""????0;"", ////"""),"'","""")&amp;SUBSTITUTE(TEXT(Overig!K1274,""",""?00;"",""?-00;"",""?00;"", //"""),"'","""")&amp;SUBSTITUTE(TEXT(Overig!L1274,""",""???0;"",""??-0;"",""???0;"", ///"""),"'","""")&amp;SUBSTITUTE(TEXT(Overig!M1274,""",""?00;"",""?-00;"",""?00;"", //"""),"'","""")&amp;SUBSTITUTE(TEXT(IF(ISTEXT(Overig!N1274),Overig!N1274,10*Overig!N1274),""",""????0;"",""???-0;"",""????0;"", ////"""),"'","""")&amp;SUBSTITUTE(TEXT(Overig!O1274,""",""?00;"",""?-00;"",""?00;"", //"""),"'","""")&amp;SUBSTITUTE(TEXT(IF(ISTEXT(Overig!P1274),Overig!P1274,10*Overig!P1274),""",""????0;"",""???-0;"",""????0;"", ////"""),"'","""")&amp;SUBSTITUTE(TEXT(Overig!Q1274,""",""?00;"",""?-00;"",""?00;"", //"""),"'","""")&amp;SUBSTITUTE(TEXT(Overig!R1274,""",""????0;"",""???-0;"",""????0;"", ////"""),"'","""")&amp;SUBSTITUTE(TEXT(Overig!S1274,""",""?00;"",""?-00;"",""?00;"", //"""),"'","""")&amp;SUBSTITUTE(TEXT(IF(ISTEXT(Overig!T1274),Overig!T1274,10*Overig!T1274),""",""????0;"",""???-0;"",""????0;"", ////"""),"'","""")&amp;SUBSTITUTE(TEXT(Overig!U1274,""",""?00;"",""?-00;"",""?00;"", //"""),"'","""")&amp;SUBSTITUTE(TEXT(Overig!V1274,""",""???0;"",""??-0;"",""???0;"", ///"""),"'","""")&amp;SUBSTITUTE(TEXT(Overig!W1274,""",""?00;"",""?-00;"",""?00;"", //"""),"'","""")</f>
        <v>032, 19401114, 07.00, ////, 07, ////, 07, ////, 07, ////, 07, ///, 07, ////, 07, ////, 07, ////, 07, ////, 07, ///, 07</v>
      </c>
    </row>
    <row r="1275" spans="1:1" x14ac:dyDescent="0.25">
      <c r="A1275" s="12" t="str">
        <f ca="1">TEXT(Overig!A1275,"000\,")&amp;TEXT(Overig!B1275,"?00000000")&amp;TEXT(Overig!C1275,""", ""@")&amp;SUBSTITUTE(TEXT(IF(ISTEXT(Overig!D1275),Overig!D1275,10*Overig!D1275),""",""????0;"",""???-0;"",""????0;"", ////"""),"'","""")&amp;SUBSTITUTE(TEXT(Overig!E1275,""",""?00;"",""?-00;"",""?00;"", //"""),"'","""")&amp;SUBSTITUTE(TEXT(IF(ISTEXT(Overig!F1275),Overig!F1275,10*Overig!F1275),""",""????0;"",""???-0;"",""????0;"", ////"""),"'","""")&amp;SUBSTITUTE(TEXT(Overig!G1275,""",""?00;"",""?-00;"",""?00;"", //"""),"'","""")&amp;SUBSTITUTE(TEXT(IF(ISTEXT(Overig!H1275),Overig!H1275,10*Overig!H1275),""",""????0;"",""???-0;"",""????0;"", ////"""),"'","""")&amp;SUBSTITUTE(TEXT(Overig!I1275,""",""?00;"",""?-00;"",""?00;"", //"""),"'","""")&amp;SUBSTITUTE(TEXT(IF(ISTEXT(Overig!J1275),Overig!J1275,10*Overig!J1275),""",""????0;"",""???-0;"",""????0;"", ////"""),"'","""")&amp;SUBSTITUTE(TEXT(Overig!K1275,""",""?00;"",""?-00;"",""?00;"", //"""),"'","""")&amp;SUBSTITUTE(TEXT(Overig!L1275,""",""???0;"",""??-0;"",""???0;"", ///"""),"'","""")&amp;SUBSTITUTE(TEXT(Overig!M1275,""",""?00;"",""?-00;"",""?00;"", //"""),"'","""")&amp;SUBSTITUTE(TEXT(IF(ISTEXT(Overig!N1275),Overig!N1275,10*Overig!N1275),""",""????0;"",""???-0;"",""????0;"", ////"""),"'","""")&amp;SUBSTITUTE(TEXT(Overig!O1275,""",""?00;"",""?-00;"",""?00;"", //"""),"'","""")&amp;SUBSTITUTE(TEXT(IF(ISTEXT(Overig!P1275),Overig!P1275,10*Overig!P1275),""",""????0;"",""???-0;"",""????0;"", ////"""),"'","""")&amp;SUBSTITUTE(TEXT(Overig!Q1275,""",""?00;"",""?-00;"",""?00;"", //"""),"'","""")&amp;SUBSTITUTE(TEXT(Overig!R1275,""",""????0;"",""???-0;"",""????0;"", ////"""),"'","""")&amp;SUBSTITUTE(TEXT(Overig!S1275,""",""?00;"",""?-00;"",""?00;"", //"""),"'","""")&amp;SUBSTITUTE(TEXT(IF(ISTEXT(Overig!T1275),Overig!T1275,10*Overig!T1275),""",""????0;"",""???-0;"",""????0;"", ////"""),"'","""")&amp;SUBSTITUTE(TEXT(Overig!U1275,""",""?00;"",""?-00;"",""?00;"", //"""),"'","""")&amp;SUBSTITUTE(TEXT(Overig!V1275,""",""???0;"",""??-0;"",""???0;"", ///"""),"'","""")&amp;SUBSTITUTE(TEXT(Overig!W1275,""",""?00;"",""?-00;"",""?00;"", //"""),"'","""")</f>
        <v>032, 19401114, 12.00, ////, 07, ////, 07, ////, 07, ////, 07, ///, 07, ////, 07, ////, 07, ////, 07, ////, 07, ///, 07</v>
      </c>
    </row>
    <row r="1276" spans="1:1" x14ac:dyDescent="0.25">
      <c r="A1276" s="12" t="str">
        <f ca="1">TEXT(Overig!A1276,"000\,")&amp;TEXT(Overig!B1276,"?00000000")&amp;TEXT(Overig!C1276,""", ""@")&amp;SUBSTITUTE(TEXT(IF(ISTEXT(Overig!D1276),Overig!D1276,10*Overig!D1276),""",""????0;"",""???-0;"",""????0;"", ////"""),"'","""")&amp;SUBSTITUTE(TEXT(Overig!E1276,""",""?00;"",""?-00;"",""?00;"", //"""),"'","""")&amp;SUBSTITUTE(TEXT(IF(ISTEXT(Overig!F1276),Overig!F1276,10*Overig!F1276),""",""????0;"",""???-0;"",""????0;"", ////"""),"'","""")&amp;SUBSTITUTE(TEXT(Overig!G1276,""",""?00;"",""?-00;"",""?00;"", //"""),"'","""")&amp;SUBSTITUTE(TEXT(IF(ISTEXT(Overig!H1276),Overig!H1276,10*Overig!H1276),""",""????0;"",""???-0;"",""????0;"", ////"""),"'","""")&amp;SUBSTITUTE(TEXT(Overig!I1276,""",""?00;"",""?-00;"",""?00;"", //"""),"'","""")&amp;SUBSTITUTE(TEXT(IF(ISTEXT(Overig!J1276),Overig!J1276,10*Overig!J1276),""",""????0;"",""???-0;"",""????0;"", ////"""),"'","""")&amp;SUBSTITUTE(TEXT(Overig!K1276,""",""?00;"",""?-00;"",""?00;"", //"""),"'","""")&amp;SUBSTITUTE(TEXT(Overig!L1276,""",""???0;"",""??-0;"",""???0;"", ///"""),"'","""")&amp;SUBSTITUTE(TEXT(Overig!M1276,""",""?00;"",""?-00;"",""?00;"", //"""),"'","""")&amp;SUBSTITUTE(TEXT(IF(ISTEXT(Overig!N1276),Overig!N1276,10*Overig!N1276),""",""????0;"",""???-0;"",""????0;"", ////"""),"'","""")&amp;SUBSTITUTE(TEXT(Overig!O1276,""",""?00;"",""?-00;"",""?00;"", //"""),"'","""")&amp;SUBSTITUTE(TEXT(IF(ISTEXT(Overig!P1276),Overig!P1276,10*Overig!P1276),""",""????0;"",""???-0;"",""????0;"", ////"""),"'","""")&amp;SUBSTITUTE(TEXT(Overig!Q1276,""",""?00;"",""?-00;"",""?00;"", //"""),"'","""")&amp;SUBSTITUTE(TEXT(Overig!R1276,""",""????0;"",""???-0;"",""????0;"", ////"""),"'","""")&amp;SUBSTITUTE(TEXT(Overig!S1276,""",""?00;"",""?-00;"",""?00;"", //"""),"'","""")&amp;SUBSTITUTE(TEXT(IF(ISTEXT(Overig!T1276),Overig!T1276,10*Overig!T1276),""",""????0;"",""???-0;"",""????0;"", ////"""),"'","""")&amp;SUBSTITUTE(TEXT(Overig!U1276,""",""?00;"",""?-00;"",""?00;"", //"""),"'","""")&amp;SUBSTITUTE(TEXT(Overig!V1276,""",""???0;"",""??-0;"",""???0;"", ///"""),"'","""")&amp;SUBSTITUTE(TEXT(Overig!W1276,""",""?00;"",""?-00;"",""?00;"", //"""),"'","""")</f>
        <v>032, 19401114, 17.00, ////, 07, ////, 07, ////, 07, ////, 07, ///, 07, ////, 07, ////, 07, ////, 07, ////, 07, ///, 07</v>
      </c>
    </row>
    <row r="1277" spans="1:1" x14ac:dyDescent="0.25">
      <c r="A1277" s="12" t="str">
        <f ca="1">TEXT(Overig!A1277,"000\,")&amp;TEXT(Overig!B1277,"?00000000")&amp;TEXT(Overig!C1277,""", ""@")&amp;SUBSTITUTE(TEXT(IF(ISTEXT(Overig!D1277),Overig!D1277,10*Overig!D1277),""",""????0;"",""???-0;"",""????0;"", ////"""),"'","""")&amp;SUBSTITUTE(TEXT(Overig!E1277,""",""?00;"",""?-00;"",""?00;"", //"""),"'","""")&amp;SUBSTITUTE(TEXT(IF(ISTEXT(Overig!F1277),Overig!F1277,10*Overig!F1277),""",""????0;"",""???-0;"",""????0;"", ////"""),"'","""")&amp;SUBSTITUTE(TEXT(Overig!G1277,""",""?00;"",""?-00;"",""?00;"", //"""),"'","""")&amp;SUBSTITUTE(TEXT(IF(ISTEXT(Overig!H1277),Overig!H1277,10*Overig!H1277),""",""????0;"",""???-0;"",""????0;"", ////"""),"'","""")&amp;SUBSTITUTE(TEXT(Overig!I1277,""",""?00;"",""?-00;"",""?00;"", //"""),"'","""")&amp;SUBSTITUTE(TEXT(IF(ISTEXT(Overig!J1277),Overig!J1277,10*Overig!J1277),""",""????0;"",""???-0;"",""????0;"", ////"""),"'","""")&amp;SUBSTITUTE(TEXT(Overig!K1277,""",""?00;"",""?-00;"",""?00;"", //"""),"'","""")&amp;SUBSTITUTE(TEXT(Overig!L1277,""",""???0;"",""??-0;"",""???0;"", ///"""),"'","""")&amp;SUBSTITUTE(TEXT(Overig!M1277,""",""?00;"",""?-00;"",""?00;"", //"""),"'","""")&amp;SUBSTITUTE(TEXT(IF(ISTEXT(Overig!N1277),Overig!N1277,10*Overig!N1277),""",""????0;"",""???-0;"",""????0;"", ////"""),"'","""")&amp;SUBSTITUTE(TEXT(Overig!O1277,""",""?00;"",""?-00;"",""?00;"", //"""),"'","""")&amp;SUBSTITUTE(TEXT(IF(ISTEXT(Overig!P1277),Overig!P1277,10*Overig!P1277),""",""????0;"",""???-0;"",""????0;"", ////"""),"'","""")&amp;SUBSTITUTE(TEXT(Overig!Q1277,""",""?00;"",""?-00;"",""?00;"", //"""),"'","""")&amp;SUBSTITUTE(TEXT(Overig!R1277,""",""????0;"",""???-0;"",""????0;"", ////"""),"'","""")&amp;SUBSTITUTE(TEXT(Overig!S1277,""",""?00;"",""?-00;"",""?00;"", //"""),"'","""")&amp;SUBSTITUTE(TEXT(IF(ISTEXT(Overig!T1277),Overig!T1277,10*Overig!T1277),""",""????0;"",""???-0;"",""????0;"", ////"""),"'","""")&amp;SUBSTITUTE(TEXT(Overig!U1277,""",""?00;"",""?-00;"",""?00;"", //"""),"'","""")&amp;SUBSTITUTE(TEXT(Overig!V1277,""",""???0;"",""??-0;"",""???0;"", ///"""),"'","""")&amp;SUBSTITUTE(TEXT(Overig!W1277,""",""?00;"",""?-00;"",""?00;"", //"""),"'","""")</f>
        <v>032, 19401114, 24.00, ////, 07, ////, 07, ////, 07, ////, 07, ///, 07, ////, 07, ////, 07, ////, 07, ////, 07, ///, 07</v>
      </c>
    </row>
    <row r="1278" spans="1:1" x14ac:dyDescent="0.25">
      <c r="A1278" s="12" t="str">
        <f ca="1">TEXT(Overig!A1278,"000\,")&amp;TEXT(Overig!B1278,"?00000000")&amp;TEXT(Overig!C1278,""", ""@")&amp;SUBSTITUTE(TEXT(IF(ISTEXT(Overig!D1278),Overig!D1278,10*Overig!D1278),""",""????0;"",""???-0;"",""????0;"", ////"""),"'","""")&amp;SUBSTITUTE(TEXT(Overig!E1278,""",""?00;"",""?-00;"",""?00;"", //"""),"'","""")&amp;SUBSTITUTE(TEXT(IF(ISTEXT(Overig!F1278),Overig!F1278,10*Overig!F1278),""",""????0;"",""???-0;"",""????0;"", ////"""),"'","""")&amp;SUBSTITUTE(TEXT(Overig!G1278,""",""?00;"",""?-00;"",""?00;"", //"""),"'","""")&amp;SUBSTITUTE(TEXT(IF(ISTEXT(Overig!H1278),Overig!H1278,10*Overig!H1278),""",""????0;"",""???-0;"",""????0;"", ////"""),"'","""")&amp;SUBSTITUTE(TEXT(Overig!I1278,""",""?00;"",""?-00;"",""?00;"", //"""),"'","""")&amp;SUBSTITUTE(TEXT(IF(ISTEXT(Overig!J1278),Overig!J1278,10*Overig!J1278),""",""????0;"",""???-0;"",""????0;"", ////"""),"'","""")&amp;SUBSTITUTE(TEXT(Overig!K1278,""",""?00;"",""?-00;"",""?00;"", //"""),"'","""")&amp;SUBSTITUTE(TEXT(Overig!L1278,""",""???0;"",""??-0;"",""???0;"", ///"""),"'","""")&amp;SUBSTITUTE(TEXT(Overig!M1278,""",""?00;"",""?-00;"",""?00;"", //"""),"'","""")&amp;SUBSTITUTE(TEXT(IF(ISTEXT(Overig!N1278),Overig!N1278,10*Overig!N1278),""",""????0;"",""???-0;"",""????0;"", ////"""),"'","""")&amp;SUBSTITUTE(TEXT(Overig!O1278,""",""?00;"",""?-00;"",""?00;"", //"""),"'","""")&amp;SUBSTITUTE(TEXT(IF(ISTEXT(Overig!P1278),Overig!P1278,10*Overig!P1278),""",""????0;"",""???-0;"",""????0;"", ////"""),"'","""")&amp;SUBSTITUTE(TEXT(Overig!Q1278,""",""?00;"",""?-00;"",""?00;"", //"""),"'","""")&amp;SUBSTITUTE(TEXT(Overig!R1278,""",""????0;"",""???-0;"",""????0;"", ////"""),"'","""")&amp;SUBSTITUTE(TEXT(Overig!S1278,""",""?00;"",""?-00;"",""?00;"", //"""),"'","""")&amp;SUBSTITUTE(TEXT(IF(ISTEXT(Overig!T1278),Overig!T1278,10*Overig!T1278),""",""????0;"",""???-0;"",""????0;"", ////"""),"'","""")&amp;SUBSTITUTE(TEXT(Overig!U1278,""",""?00;"",""?-00;"",""?00;"", //"""),"'","""")&amp;SUBSTITUTE(TEXT(Overig!V1278,""",""???0;"",""??-0;"",""???0;"", ///"""),"'","""")&amp;SUBSTITUTE(TEXT(Overig!W1278,""",""?00;"",""?-00;"",""?00;"", //"""),"'","""")</f>
        <v>032, 19401115, 07.00, ////, 07, ////, 07, ////, 07, ////, 07, ///, 07, ////, 07, ////, 07, ////, 07, ////, 07, ///, 07</v>
      </c>
    </row>
    <row r="1279" spans="1:1" x14ac:dyDescent="0.25">
      <c r="A1279" s="12" t="str">
        <f ca="1">TEXT(Overig!A1279,"000\,")&amp;TEXT(Overig!B1279,"?00000000")&amp;TEXT(Overig!C1279,""", ""@")&amp;SUBSTITUTE(TEXT(IF(ISTEXT(Overig!D1279),Overig!D1279,10*Overig!D1279),""",""????0;"",""???-0;"",""????0;"", ////"""),"'","""")&amp;SUBSTITUTE(TEXT(Overig!E1279,""",""?00;"",""?-00;"",""?00;"", //"""),"'","""")&amp;SUBSTITUTE(TEXT(IF(ISTEXT(Overig!F1279),Overig!F1279,10*Overig!F1279),""",""????0;"",""???-0;"",""????0;"", ////"""),"'","""")&amp;SUBSTITUTE(TEXT(Overig!G1279,""",""?00;"",""?-00;"",""?00;"", //"""),"'","""")&amp;SUBSTITUTE(TEXT(IF(ISTEXT(Overig!H1279),Overig!H1279,10*Overig!H1279),""",""????0;"",""???-0;"",""????0;"", ////"""),"'","""")&amp;SUBSTITUTE(TEXT(Overig!I1279,""",""?00;"",""?-00;"",""?00;"", //"""),"'","""")&amp;SUBSTITUTE(TEXT(IF(ISTEXT(Overig!J1279),Overig!J1279,10*Overig!J1279),""",""????0;"",""???-0;"",""????0;"", ////"""),"'","""")&amp;SUBSTITUTE(TEXT(Overig!K1279,""",""?00;"",""?-00;"",""?00;"", //"""),"'","""")&amp;SUBSTITUTE(TEXT(Overig!L1279,""",""???0;"",""??-0;"",""???0;"", ///"""),"'","""")&amp;SUBSTITUTE(TEXT(Overig!M1279,""",""?00;"",""?-00;"",""?00;"", //"""),"'","""")&amp;SUBSTITUTE(TEXT(IF(ISTEXT(Overig!N1279),Overig!N1279,10*Overig!N1279),""",""????0;"",""???-0;"",""????0;"", ////"""),"'","""")&amp;SUBSTITUTE(TEXT(Overig!O1279,""",""?00;"",""?-00;"",""?00;"", //"""),"'","""")&amp;SUBSTITUTE(TEXT(IF(ISTEXT(Overig!P1279),Overig!P1279,10*Overig!P1279),""",""????0;"",""???-0;"",""????0;"", ////"""),"'","""")&amp;SUBSTITUTE(TEXT(Overig!Q1279,""",""?00;"",""?-00;"",""?00;"", //"""),"'","""")&amp;SUBSTITUTE(TEXT(Overig!R1279,""",""????0;"",""???-0;"",""????0;"", ////"""),"'","""")&amp;SUBSTITUTE(TEXT(Overig!S1279,""",""?00;"",""?-00;"",""?00;"", //"""),"'","""")&amp;SUBSTITUTE(TEXT(IF(ISTEXT(Overig!T1279),Overig!T1279,10*Overig!T1279),""",""????0;"",""???-0;"",""????0;"", ////"""),"'","""")&amp;SUBSTITUTE(TEXT(Overig!U1279,""",""?00;"",""?-00;"",""?00;"", //"""),"'","""")&amp;SUBSTITUTE(TEXT(Overig!V1279,""",""???0;"",""??-0;"",""???0;"", ///"""),"'","""")&amp;SUBSTITUTE(TEXT(Overig!W1279,""",""?00;"",""?-00;"",""?00;"", //"""),"'","""")</f>
        <v>032, 19401115, 12.00, ////, 07, ////, 07, ////, 07, ////, 07, ///, 07, ////, 07, ////, 07, ////, 07, ////, 07, ///, 07</v>
      </c>
    </row>
    <row r="1280" spans="1:1" x14ac:dyDescent="0.25">
      <c r="A1280" s="12" t="str">
        <f ca="1">TEXT(Overig!A1280,"000\,")&amp;TEXT(Overig!B1280,"?00000000")&amp;TEXT(Overig!C1280,""", ""@")&amp;SUBSTITUTE(TEXT(IF(ISTEXT(Overig!D1280),Overig!D1280,10*Overig!D1280),""",""????0;"",""???-0;"",""????0;"", ////"""),"'","""")&amp;SUBSTITUTE(TEXT(Overig!E1280,""",""?00;"",""?-00;"",""?00;"", //"""),"'","""")&amp;SUBSTITUTE(TEXT(IF(ISTEXT(Overig!F1280),Overig!F1280,10*Overig!F1280),""",""????0;"",""???-0;"",""????0;"", ////"""),"'","""")&amp;SUBSTITUTE(TEXT(Overig!G1280,""",""?00;"",""?-00;"",""?00;"", //"""),"'","""")&amp;SUBSTITUTE(TEXT(IF(ISTEXT(Overig!H1280),Overig!H1280,10*Overig!H1280),""",""????0;"",""???-0;"",""????0;"", ////"""),"'","""")&amp;SUBSTITUTE(TEXT(Overig!I1280,""",""?00;"",""?-00;"",""?00;"", //"""),"'","""")&amp;SUBSTITUTE(TEXT(IF(ISTEXT(Overig!J1280),Overig!J1280,10*Overig!J1280),""",""????0;"",""???-0;"",""????0;"", ////"""),"'","""")&amp;SUBSTITUTE(TEXT(Overig!K1280,""",""?00;"",""?-00;"",""?00;"", //"""),"'","""")&amp;SUBSTITUTE(TEXT(Overig!L1280,""",""???0;"",""??-0;"",""???0;"", ///"""),"'","""")&amp;SUBSTITUTE(TEXT(Overig!M1280,""",""?00;"",""?-00;"",""?00;"", //"""),"'","""")&amp;SUBSTITUTE(TEXT(IF(ISTEXT(Overig!N1280),Overig!N1280,10*Overig!N1280),""",""????0;"",""???-0;"",""????0;"", ////"""),"'","""")&amp;SUBSTITUTE(TEXT(Overig!O1280,""",""?00;"",""?-00;"",""?00;"", //"""),"'","""")&amp;SUBSTITUTE(TEXT(IF(ISTEXT(Overig!P1280),Overig!P1280,10*Overig!P1280),""",""????0;"",""???-0;"",""????0;"", ////"""),"'","""")&amp;SUBSTITUTE(TEXT(Overig!Q1280,""",""?00;"",""?-00;"",""?00;"", //"""),"'","""")&amp;SUBSTITUTE(TEXT(Overig!R1280,""",""????0;"",""???-0;"",""????0;"", ////"""),"'","""")&amp;SUBSTITUTE(TEXT(Overig!S1280,""",""?00;"",""?-00;"",""?00;"", //"""),"'","""")&amp;SUBSTITUTE(TEXT(IF(ISTEXT(Overig!T1280),Overig!T1280,10*Overig!T1280),""",""????0;"",""???-0;"",""????0;"", ////"""),"'","""")&amp;SUBSTITUTE(TEXT(Overig!U1280,""",""?00;"",""?-00;"",""?00;"", //"""),"'","""")&amp;SUBSTITUTE(TEXT(Overig!V1280,""",""???0;"",""??-0;"",""???0;"", ///"""),"'","""")&amp;SUBSTITUTE(TEXT(Overig!W1280,""",""?00;"",""?-00;"",""?00;"", //"""),"'","""")</f>
        <v>032, 19401115, 17.00, ////, 07, ////, 07, ////, 07, ////, 07, ///, 07, ////, 07, ////, 07, ////, 07, ////, 07, ///, 07</v>
      </c>
    </row>
    <row r="1281" spans="1:1" x14ac:dyDescent="0.25">
      <c r="A1281" s="12" t="str">
        <f ca="1">TEXT(Overig!A1281,"000\,")&amp;TEXT(Overig!B1281,"?00000000")&amp;TEXT(Overig!C1281,""", ""@")&amp;SUBSTITUTE(TEXT(IF(ISTEXT(Overig!D1281),Overig!D1281,10*Overig!D1281),""",""????0;"",""???-0;"",""????0;"", ////"""),"'","""")&amp;SUBSTITUTE(TEXT(Overig!E1281,""",""?00;"",""?-00;"",""?00;"", //"""),"'","""")&amp;SUBSTITUTE(TEXT(IF(ISTEXT(Overig!F1281),Overig!F1281,10*Overig!F1281),""",""????0;"",""???-0;"",""????0;"", ////"""),"'","""")&amp;SUBSTITUTE(TEXT(Overig!G1281,""",""?00;"",""?-00;"",""?00;"", //"""),"'","""")&amp;SUBSTITUTE(TEXT(IF(ISTEXT(Overig!H1281),Overig!H1281,10*Overig!H1281),""",""????0;"",""???-0;"",""????0;"", ////"""),"'","""")&amp;SUBSTITUTE(TEXT(Overig!I1281,""",""?00;"",""?-00;"",""?00;"", //"""),"'","""")&amp;SUBSTITUTE(TEXT(IF(ISTEXT(Overig!J1281),Overig!J1281,10*Overig!J1281),""",""????0;"",""???-0;"",""????0;"", ////"""),"'","""")&amp;SUBSTITUTE(TEXT(Overig!K1281,""",""?00;"",""?-00;"",""?00;"", //"""),"'","""")&amp;SUBSTITUTE(TEXT(Overig!L1281,""",""???0;"",""??-0;"",""???0;"", ///"""),"'","""")&amp;SUBSTITUTE(TEXT(Overig!M1281,""",""?00;"",""?-00;"",""?00;"", //"""),"'","""")&amp;SUBSTITUTE(TEXT(IF(ISTEXT(Overig!N1281),Overig!N1281,10*Overig!N1281),""",""????0;"",""???-0;"",""????0;"", ////"""),"'","""")&amp;SUBSTITUTE(TEXT(Overig!O1281,""",""?00;"",""?-00;"",""?00;"", //"""),"'","""")&amp;SUBSTITUTE(TEXT(IF(ISTEXT(Overig!P1281),Overig!P1281,10*Overig!P1281),""",""????0;"",""???-0;"",""????0;"", ////"""),"'","""")&amp;SUBSTITUTE(TEXT(Overig!Q1281,""",""?00;"",""?-00;"",""?00;"", //"""),"'","""")&amp;SUBSTITUTE(TEXT(Overig!R1281,""",""????0;"",""???-0;"",""????0;"", ////"""),"'","""")&amp;SUBSTITUTE(TEXT(Overig!S1281,""",""?00;"",""?-00;"",""?00;"", //"""),"'","""")&amp;SUBSTITUTE(TEXT(IF(ISTEXT(Overig!T1281),Overig!T1281,10*Overig!T1281),""",""????0;"",""???-0;"",""????0;"", ////"""),"'","""")&amp;SUBSTITUTE(TEXT(Overig!U1281,""",""?00;"",""?-00;"",""?00;"", //"""),"'","""")&amp;SUBSTITUTE(TEXT(Overig!V1281,""",""???0;"",""??-0;"",""???0;"", ///"""),"'","""")&amp;SUBSTITUTE(TEXT(Overig!W1281,""",""?00;"",""?-00;"",""?00;"", //"""),"'","""")</f>
        <v>032, 19401115, 24.00, ////, 07, ////, 07, ////, 07, ////, 07, ///, 07, ////, 07, ////, 07, ////, 07, ////, 07, ///, 07</v>
      </c>
    </row>
    <row r="1282" spans="1:1" x14ac:dyDescent="0.25">
      <c r="A1282" s="12" t="str">
        <f ca="1">TEXT(Overig!A1282,"000\,")&amp;TEXT(Overig!B1282,"?00000000")&amp;TEXT(Overig!C1282,""", ""@")&amp;SUBSTITUTE(TEXT(IF(ISTEXT(Overig!D1282),Overig!D1282,10*Overig!D1282),""",""????0;"",""???-0;"",""????0;"", ////"""),"'","""")&amp;SUBSTITUTE(TEXT(Overig!E1282,""",""?00;"",""?-00;"",""?00;"", //"""),"'","""")&amp;SUBSTITUTE(TEXT(IF(ISTEXT(Overig!F1282),Overig!F1282,10*Overig!F1282),""",""????0;"",""???-0;"",""????0;"", ////"""),"'","""")&amp;SUBSTITUTE(TEXT(Overig!G1282,""",""?00;"",""?-00;"",""?00;"", //"""),"'","""")&amp;SUBSTITUTE(TEXT(IF(ISTEXT(Overig!H1282),Overig!H1282,10*Overig!H1282),""",""????0;"",""???-0;"",""????0;"", ////"""),"'","""")&amp;SUBSTITUTE(TEXT(Overig!I1282,""",""?00;"",""?-00;"",""?00;"", //"""),"'","""")&amp;SUBSTITUTE(TEXT(IF(ISTEXT(Overig!J1282),Overig!J1282,10*Overig!J1282),""",""????0;"",""???-0;"",""????0;"", ////"""),"'","""")&amp;SUBSTITUTE(TEXT(Overig!K1282,""",""?00;"",""?-00;"",""?00;"", //"""),"'","""")&amp;SUBSTITUTE(TEXT(Overig!L1282,""",""???0;"",""??-0;"",""???0;"", ///"""),"'","""")&amp;SUBSTITUTE(TEXT(Overig!M1282,""",""?00;"",""?-00;"",""?00;"", //"""),"'","""")&amp;SUBSTITUTE(TEXT(IF(ISTEXT(Overig!N1282),Overig!N1282,10*Overig!N1282),""",""????0;"",""???-0;"",""????0;"", ////"""),"'","""")&amp;SUBSTITUTE(TEXT(Overig!O1282,""",""?00;"",""?-00;"",""?00;"", //"""),"'","""")&amp;SUBSTITUTE(TEXT(IF(ISTEXT(Overig!P1282),Overig!P1282,10*Overig!P1282),""",""????0;"",""???-0;"",""????0;"", ////"""),"'","""")&amp;SUBSTITUTE(TEXT(Overig!Q1282,""",""?00;"",""?-00;"",""?00;"", //"""),"'","""")&amp;SUBSTITUTE(TEXT(Overig!R1282,""",""????0;"",""???-0;"",""????0;"", ////"""),"'","""")&amp;SUBSTITUTE(TEXT(Overig!S1282,""",""?00;"",""?-00;"",""?00;"", //"""),"'","""")&amp;SUBSTITUTE(TEXT(IF(ISTEXT(Overig!T1282),Overig!T1282,10*Overig!T1282),""",""????0;"",""???-0;"",""????0;"", ////"""),"'","""")&amp;SUBSTITUTE(TEXT(Overig!U1282,""",""?00;"",""?-00;"",""?00;"", //"""),"'","""")&amp;SUBSTITUTE(TEXT(Overig!V1282,""",""???0;"",""??-0;"",""???0;"", ///"""),"'","""")&amp;SUBSTITUTE(TEXT(Overig!W1282,""",""?00;"",""?-00;"",""?00;"", //"""),"'","""")</f>
        <v>032, 19401116, 07.00, ////, 07, ////, 07, ////, 07, ////, 07, ///, 07, ////, 07, ////, 07, ////, 07, ////, 07, ///, 07</v>
      </c>
    </row>
    <row r="1283" spans="1:1" x14ac:dyDescent="0.25">
      <c r="A1283" s="12" t="str">
        <f ca="1">TEXT(Overig!A1283,"000\,")&amp;TEXT(Overig!B1283,"?00000000")&amp;TEXT(Overig!C1283,""", ""@")&amp;SUBSTITUTE(TEXT(IF(ISTEXT(Overig!D1283),Overig!D1283,10*Overig!D1283),""",""????0;"",""???-0;"",""????0;"", ////"""),"'","""")&amp;SUBSTITUTE(TEXT(Overig!E1283,""",""?00;"",""?-00;"",""?00;"", //"""),"'","""")&amp;SUBSTITUTE(TEXT(IF(ISTEXT(Overig!F1283),Overig!F1283,10*Overig!F1283),""",""????0;"",""???-0;"",""????0;"", ////"""),"'","""")&amp;SUBSTITUTE(TEXT(Overig!G1283,""",""?00;"",""?-00;"",""?00;"", //"""),"'","""")&amp;SUBSTITUTE(TEXT(IF(ISTEXT(Overig!H1283),Overig!H1283,10*Overig!H1283),""",""????0;"",""???-0;"",""????0;"", ////"""),"'","""")&amp;SUBSTITUTE(TEXT(Overig!I1283,""",""?00;"",""?-00;"",""?00;"", //"""),"'","""")&amp;SUBSTITUTE(TEXT(IF(ISTEXT(Overig!J1283),Overig!J1283,10*Overig!J1283),""",""????0;"",""???-0;"",""????0;"", ////"""),"'","""")&amp;SUBSTITUTE(TEXT(Overig!K1283,""",""?00;"",""?-00;"",""?00;"", //"""),"'","""")&amp;SUBSTITUTE(TEXT(Overig!L1283,""",""???0;"",""??-0;"",""???0;"", ///"""),"'","""")&amp;SUBSTITUTE(TEXT(Overig!M1283,""",""?00;"",""?-00;"",""?00;"", //"""),"'","""")&amp;SUBSTITUTE(TEXT(IF(ISTEXT(Overig!N1283),Overig!N1283,10*Overig!N1283),""",""????0;"",""???-0;"",""????0;"", ////"""),"'","""")&amp;SUBSTITUTE(TEXT(Overig!O1283,""",""?00;"",""?-00;"",""?00;"", //"""),"'","""")&amp;SUBSTITUTE(TEXT(IF(ISTEXT(Overig!P1283),Overig!P1283,10*Overig!P1283),""",""????0;"",""???-0;"",""????0;"", ////"""),"'","""")&amp;SUBSTITUTE(TEXT(Overig!Q1283,""",""?00;"",""?-00;"",""?00;"", //"""),"'","""")&amp;SUBSTITUTE(TEXT(Overig!R1283,""",""????0;"",""???-0;"",""????0;"", ////"""),"'","""")&amp;SUBSTITUTE(TEXT(Overig!S1283,""",""?00;"",""?-00;"",""?00;"", //"""),"'","""")&amp;SUBSTITUTE(TEXT(IF(ISTEXT(Overig!T1283),Overig!T1283,10*Overig!T1283),""",""????0;"",""???-0;"",""????0;"", ////"""),"'","""")&amp;SUBSTITUTE(TEXT(Overig!U1283,""",""?00;"",""?-00;"",""?00;"", //"""),"'","""")&amp;SUBSTITUTE(TEXT(Overig!V1283,""",""???0;"",""??-0;"",""???0;"", ///"""),"'","""")&amp;SUBSTITUTE(TEXT(Overig!W1283,""",""?00;"",""?-00;"",""?00;"", //"""),"'","""")</f>
        <v>032, 19401116, 12.00, ////, 07, ////, 07, ////, 07, ////, 07, ///, 07, ////, 07, ////, 07, ////, 07, ////, 07, ///, 07</v>
      </c>
    </row>
    <row r="1284" spans="1:1" x14ac:dyDescent="0.25">
      <c r="A1284" s="12" t="str">
        <f ca="1">TEXT(Overig!A1284,"000\,")&amp;TEXT(Overig!B1284,"?00000000")&amp;TEXT(Overig!C1284,""", ""@")&amp;SUBSTITUTE(TEXT(IF(ISTEXT(Overig!D1284),Overig!D1284,10*Overig!D1284),""",""????0;"",""???-0;"",""????0;"", ////"""),"'","""")&amp;SUBSTITUTE(TEXT(Overig!E1284,""",""?00;"",""?-00;"",""?00;"", //"""),"'","""")&amp;SUBSTITUTE(TEXT(IF(ISTEXT(Overig!F1284),Overig!F1284,10*Overig!F1284),""",""????0;"",""???-0;"",""????0;"", ////"""),"'","""")&amp;SUBSTITUTE(TEXT(Overig!G1284,""",""?00;"",""?-00;"",""?00;"", //"""),"'","""")&amp;SUBSTITUTE(TEXT(IF(ISTEXT(Overig!H1284),Overig!H1284,10*Overig!H1284),""",""????0;"",""???-0;"",""????0;"", ////"""),"'","""")&amp;SUBSTITUTE(TEXT(Overig!I1284,""",""?00;"",""?-00;"",""?00;"", //"""),"'","""")&amp;SUBSTITUTE(TEXT(IF(ISTEXT(Overig!J1284),Overig!J1284,10*Overig!J1284),""",""????0;"",""???-0;"",""????0;"", ////"""),"'","""")&amp;SUBSTITUTE(TEXT(Overig!K1284,""",""?00;"",""?-00;"",""?00;"", //"""),"'","""")&amp;SUBSTITUTE(TEXT(Overig!L1284,""",""???0;"",""??-0;"",""???0;"", ///"""),"'","""")&amp;SUBSTITUTE(TEXT(Overig!M1284,""",""?00;"",""?-00;"",""?00;"", //"""),"'","""")&amp;SUBSTITUTE(TEXT(IF(ISTEXT(Overig!N1284),Overig!N1284,10*Overig!N1284),""",""????0;"",""???-0;"",""????0;"", ////"""),"'","""")&amp;SUBSTITUTE(TEXT(Overig!O1284,""",""?00;"",""?-00;"",""?00;"", //"""),"'","""")&amp;SUBSTITUTE(TEXT(IF(ISTEXT(Overig!P1284),Overig!P1284,10*Overig!P1284),""",""????0;"",""???-0;"",""????0;"", ////"""),"'","""")&amp;SUBSTITUTE(TEXT(Overig!Q1284,""",""?00;"",""?-00;"",""?00;"", //"""),"'","""")&amp;SUBSTITUTE(TEXT(Overig!R1284,""",""????0;"",""???-0;"",""????0;"", ////"""),"'","""")&amp;SUBSTITUTE(TEXT(Overig!S1284,""",""?00;"",""?-00;"",""?00;"", //"""),"'","""")&amp;SUBSTITUTE(TEXT(IF(ISTEXT(Overig!T1284),Overig!T1284,10*Overig!T1284),""",""????0;"",""???-0;"",""????0;"", ////"""),"'","""")&amp;SUBSTITUTE(TEXT(Overig!U1284,""",""?00;"",""?-00;"",""?00;"", //"""),"'","""")&amp;SUBSTITUTE(TEXT(Overig!V1284,""",""???0;"",""??-0;"",""???0;"", ///"""),"'","""")&amp;SUBSTITUTE(TEXT(Overig!W1284,""",""?00;"",""?-00;"",""?00;"", //"""),"'","""")</f>
        <v>032, 19401116, 17.00, ////, 07, ////, 07, ////, 07, ////, 07, ///, 07, ////, 07, ////, 07, ////, 07, ////, 07, ///, 07</v>
      </c>
    </row>
    <row r="1285" spans="1:1" x14ac:dyDescent="0.25">
      <c r="A1285" s="12" t="str">
        <f ca="1">TEXT(Overig!A1285,"000\,")&amp;TEXT(Overig!B1285,"?00000000")&amp;TEXT(Overig!C1285,""", ""@")&amp;SUBSTITUTE(TEXT(IF(ISTEXT(Overig!D1285),Overig!D1285,10*Overig!D1285),""",""????0;"",""???-0;"",""????0;"", ////"""),"'","""")&amp;SUBSTITUTE(TEXT(Overig!E1285,""",""?00;"",""?-00;"",""?00;"", //"""),"'","""")&amp;SUBSTITUTE(TEXT(IF(ISTEXT(Overig!F1285),Overig!F1285,10*Overig!F1285),""",""????0;"",""???-0;"",""????0;"", ////"""),"'","""")&amp;SUBSTITUTE(TEXT(Overig!G1285,""",""?00;"",""?-00;"",""?00;"", //"""),"'","""")&amp;SUBSTITUTE(TEXT(IF(ISTEXT(Overig!H1285),Overig!H1285,10*Overig!H1285),""",""????0;"",""???-0;"",""????0;"", ////"""),"'","""")&amp;SUBSTITUTE(TEXT(Overig!I1285,""",""?00;"",""?-00;"",""?00;"", //"""),"'","""")&amp;SUBSTITUTE(TEXT(IF(ISTEXT(Overig!J1285),Overig!J1285,10*Overig!J1285),""",""????0;"",""???-0;"",""????0;"", ////"""),"'","""")&amp;SUBSTITUTE(TEXT(Overig!K1285,""",""?00;"",""?-00;"",""?00;"", //"""),"'","""")&amp;SUBSTITUTE(TEXT(Overig!L1285,""",""???0;"",""??-0;"",""???0;"", ///"""),"'","""")&amp;SUBSTITUTE(TEXT(Overig!M1285,""",""?00;"",""?-00;"",""?00;"", //"""),"'","""")&amp;SUBSTITUTE(TEXT(IF(ISTEXT(Overig!N1285),Overig!N1285,10*Overig!N1285),""",""????0;"",""???-0;"",""????0;"", ////"""),"'","""")&amp;SUBSTITUTE(TEXT(Overig!O1285,""",""?00;"",""?-00;"",""?00;"", //"""),"'","""")&amp;SUBSTITUTE(TEXT(IF(ISTEXT(Overig!P1285),Overig!P1285,10*Overig!P1285),""",""????0;"",""???-0;"",""????0;"", ////"""),"'","""")&amp;SUBSTITUTE(TEXT(Overig!Q1285,""",""?00;"",""?-00;"",""?00;"", //"""),"'","""")&amp;SUBSTITUTE(TEXT(Overig!R1285,""",""????0;"",""???-0;"",""????0;"", ////"""),"'","""")&amp;SUBSTITUTE(TEXT(Overig!S1285,""",""?00;"",""?-00;"",""?00;"", //"""),"'","""")&amp;SUBSTITUTE(TEXT(IF(ISTEXT(Overig!T1285),Overig!T1285,10*Overig!T1285),""",""????0;"",""???-0;"",""????0;"", ////"""),"'","""")&amp;SUBSTITUTE(TEXT(Overig!U1285,""",""?00;"",""?-00;"",""?00;"", //"""),"'","""")&amp;SUBSTITUTE(TEXT(Overig!V1285,""",""???0;"",""??-0;"",""???0;"", ///"""),"'","""")&amp;SUBSTITUTE(TEXT(Overig!W1285,""",""?00;"",""?-00;"",""?00;"", //"""),"'","""")</f>
        <v>032, 19401116, 24.00, ////, 07, ////, 07, ////, 07, ////, 07, ///, 07, ////, 07, ////, 07, ////, 07, ////, 07, ///, 07</v>
      </c>
    </row>
    <row r="1286" spans="1:1" x14ac:dyDescent="0.25">
      <c r="A1286" s="12" t="str">
        <f ca="1">TEXT(Overig!A1286,"000\,")&amp;TEXT(Overig!B1286,"?00000000")&amp;TEXT(Overig!C1286,""", ""@")&amp;SUBSTITUTE(TEXT(IF(ISTEXT(Overig!D1286),Overig!D1286,10*Overig!D1286),""",""????0;"",""???-0;"",""????0;"", ////"""),"'","""")&amp;SUBSTITUTE(TEXT(Overig!E1286,""",""?00;"",""?-00;"",""?00;"", //"""),"'","""")&amp;SUBSTITUTE(TEXT(IF(ISTEXT(Overig!F1286),Overig!F1286,10*Overig!F1286),""",""????0;"",""???-0;"",""????0;"", ////"""),"'","""")&amp;SUBSTITUTE(TEXT(Overig!G1286,""",""?00;"",""?-00;"",""?00;"", //"""),"'","""")&amp;SUBSTITUTE(TEXT(IF(ISTEXT(Overig!H1286),Overig!H1286,10*Overig!H1286),""",""????0;"",""???-0;"",""????0;"", ////"""),"'","""")&amp;SUBSTITUTE(TEXT(Overig!I1286,""",""?00;"",""?-00;"",""?00;"", //"""),"'","""")&amp;SUBSTITUTE(TEXT(IF(ISTEXT(Overig!J1286),Overig!J1286,10*Overig!J1286),""",""????0;"",""???-0;"",""????0;"", ////"""),"'","""")&amp;SUBSTITUTE(TEXT(Overig!K1286,""",""?00;"",""?-00;"",""?00;"", //"""),"'","""")&amp;SUBSTITUTE(TEXT(Overig!L1286,""",""???0;"",""??-0;"",""???0;"", ///"""),"'","""")&amp;SUBSTITUTE(TEXT(Overig!M1286,""",""?00;"",""?-00;"",""?00;"", //"""),"'","""")&amp;SUBSTITUTE(TEXT(IF(ISTEXT(Overig!N1286),Overig!N1286,10*Overig!N1286),""",""????0;"",""???-0;"",""????0;"", ////"""),"'","""")&amp;SUBSTITUTE(TEXT(Overig!O1286,""",""?00;"",""?-00;"",""?00;"", //"""),"'","""")&amp;SUBSTITUTE(TEXT(IF(ISTEXT(Overig!P1286),Overig!P1286,10*Overig!P1286),""",""????0;"",""???-0;"",""????0;"", ////"""),"'","""")&amp;SUBSTITUTE(TEXT(Overig!Q1286,""",""?00;"",""?-00;"",""?00;"", //"""),"'","""")&amp;SUBSTITUTE(TEXT(Overig!R1286,""",""????0;"",""???-0;"",""????0;"", ////"""),"'","""")&amp;SUBSTITUTE(TEXT(Overig!S1286,""",""?00;"",""?-00;"",""?00;"", //"""),"'","""")&amp;SUBSTITUTE(TEXT(IF(ISTEXT(Overig!T1286),Overig!T1286,10*Overig!T1286),""",""????0;"",""???-0;"",""????0;"", ////"""),"'","""")&amp;SUBSTITUTE(TEXT(Overig!U1286,""",""?00;"",""?-00;"",""?00;"", //"""),"'","""")&amp;SUBSTITUTE(TEXT(Overig!V1286,""",""???0;"",""??-0;"",""???0;"", ///"""),"'","""")&amp;SUBSTITUTE(TEXT(Overig!W1286,""",""?00;"",""?-00;"",""?00;"", //"""),"'","""")</f>
        <v>032, 19401117, 07.00, ////, 07, ////, 07, ////, 07, ////, 07, ///, 07, ////, 07, ////, 07, ////, 07, ////, 07, ///, 07</v>
      </c>
    </row>
    <row r="1287" spans="1:1" x14ac:dyDescent="0.25">
      <c r="A1287" s="12" t="str">
        <f ca="1">TEXT(Overig!A1287,"000\,")&amp;TEXT(Overig!B1287,"?00000000")&amp;TEXT(Overig!C1287,""", ""@")&amp;SUBSTITUTE(TEXT(IF(ISTEXT(Overig!D1287),Overig!D1287,10*Overig!D1287),""",""????0;"",""???-0;"",""????0;"", ////"""),"'","""")&amp;SUBSTITUTE(TEXT(Overig!E1287,""",""?00;"",""?-00;"",""?00;"", //"""),"'","""")&amp;SUBSTITUTE(TEXT(IF(ISTEXT(Overig!F1287),Overig!F1287,10*Overig!F1287),""",""????0;"",""???-0;"",""????0;"", ////"""),"'","""")&amp;SUBSTITUTE(TEXT(Overig!G1287,""",""?00;"",""?-00;"",""?00;"", //"""),"'","""")&amp;SUBSTITUTE(TEXT(IF(ISTEXT(Overig!H1287),Overig!H1287,10*Overig!H1287),""",""????0;"",""???-0;"",""????0;"", ////"""),"'","""")&amp;SUBSTITUTE(TEXT(Overig!I1287,""",""?00;"",""?-00;"",""?00;"", //"""),"'","""")&amp;SUBSTITUTE(TEXT(IF(ISTEXT(Overig!J1287),Overig!J1287,10*Overig!J1287),""",""????0;"",""???-0;"",""????0;"", ////"""),"'","""")&amp;SUBSTITUTE(TEXT(Overig!K1287,""",""?00;"",""?-00;"",""?00;"", //"""),"'","""")&amp;SUBSTITUTE(TEXT(Overig!L1287,""",""???0;"",""??-0;"",""???0;"", ///"""),"'","""")&amp;SUBSTITUTE(TEXT(Overig!M1287,""",""?00;"",""?-00;"",""?00;"", //"""),"'","""")&amp;SUBSTITUTE(TEXT(IF(ISTEXT(Overig!N1287),Overig!N1287,10*Overig!N1287),""",""????0;"",""???-0;"",""????0;"", ////"""),"'","""")&amp;SUBSTITUTE(TEXT(Overig!O1287,""",""?00;"",""?-00;"",""?00;"", //"""),"'","""")&amp;SUBSTITUTE(TEXT(IF(ISTEXT(Overig!P1287),Overig!P1287,10*Overig!P1287),""",""????0;"",""???-0;"",""????0;"", ////"""),"'","""")&amp;SUBSTITUTE(TEXT(Overig!Q1287,""",""?00;"",""?-00;"",""?00;"", //"""),"'","""")&amp;SUBSTITUTE(TEXT(Overig!R1287,""",""????0;"",""???-0;"",""????0;"", ////"""),"'","""")&amp;SUBSTITUTE(TEXT(Overig!S1287,""",""?00;"",""?-00;"",""?00;"", //"""),"'","""")&amp;SUBSTITUTE(TEXT(IF(ISTEXT(Overig!T1287),Overig!T1287,10*Overig!T1287),""",""????0;"",""???-0;"",""????0;"", ////"""),"'","""")&amp;SUBSTITUTE(TEXT(Overig!U1287,""",""?00;"",""?-00;"",""?00;"", //"""),"'","""")&amp;SUBSTITUTE(TEXT(Overig!V1287,""",""???0;"",""??-0;"",""???0;"", ///"""),"'","""")&amp;SUBSTITUTE(TEXT(Overig!W1287,""",""?00;"",""?-00;"",""?00;"", //"""),"'","""")</f>
        <v>032, 19401117, 12.00, ////, 07, ////, 07, ////, 07, ////, 07, ///, 07, ////, 07, ////, 07, ////, 07, ////, 07, ///, 07</v>
      </c>
    </row>
    <row r="1288" spans="1:1" x14ac:dyDescent="0.25">
      <c r="A1288" s="12" t="str">
        <f ca="1">TEXT(Overig!A1288,"000\,")&amp;TEXT(Overig!B1288,"?00000000")&amp;TEXT(Overig!C1288,""", ""@")&amp;SUBSTITUTE(TEXT(IF(ISTEXT(Overig!D1288),Overig!D1288,10*Overig!D1288),""",""????0;"",""???-0;"",""????0;"", ////"""),"'","""")&amp;SUBSTITUTE(TEXT(Overig!E1288,""",""?00;"",""?-00;"",""?00;"", //"""),"'","""")&amp;SUBSTITUTE(TEXT(IF(ISTEXT(Overig!F1288),Overig!F1288,10*Overig!F1288),""",""????0;"",""???-0;"",""????0;"", ////"""),"'","""")&amp;SUBSTITUTE(TEXT(Overig!G1288,""",""?00;"",""?-00;"",""?00;"", //"""),"'","""")&amp;SUBSTITUTE(TEXT(IF(ISTEXT(Overig!H1288),Overig!H1288,10*Overig!H1288),""",""????0;"",""???-0;"",""????0;"", ////"""),"'","""")&amp;SUBSTITUTE(TEXT(Overig!I1288,""",""?00;"",""?-00;"",""?00;"", //"""),"'","""")&amp;SUBSTITUTE(TEXT(IF(ISTEXT(Overig!J1288),Overig!J1288,10*Overig!J1288),""",""????0;"",""???-0;"",""????0;"", ////"""),"'","""")&amp;SUBSTITUTE(TEXT(Overig!K1288,""",""?00;"",""?-00;"",""?00;"", //"""),"'","""")&amp;SUBSTITUTE(TEXT(Overig!L1288,""",""???0;"",""??-0;"",""???0;"", ///"""),"'","""")&amp;SUBSTITUTE(TEXT(Overig!M1288,""",""?00;"",""?-00;"",""?00;"", //"""),"'","""")&amp;SUBSTITUTE(TEXT(IF(ISTEXT(Overig!N1288),Overig!N1288,10*Overig!N1288),""",""????0;"",""???-0;"",""????0;"", ////"""),"'","""")&amp;SUBSTITUTE(TEXT(Overig!O1288,""",""?00;"",""?-00;"",""?00;"", //"""),"'","""")&amp;SUBSTITUTE(TEXT(IF(ISTEXT(Overig!P1288),Overig!P1288,10*Overig!P1288),""",""????0;"",""???-0;"",""????0;"", ////"""),"'","""")&amp;SUBSTITUTE(TEXT(Overig!Q1288,""",""?00;"",""?-00;"",""?00;"", //"""),"'","""")&amp;SUBSTITUTE(TEXT(Overig!R1288,""",""????0;"",""???-0;"",""????0;"", ////"""),"'","""")&amp;SUBSTITUTE(TEXT(Overig!S1288,""",""?00;"",""?-00;"",""?00;"", //"""),"'","""")&amp;SUBSTITUTE(TEXT(IF(ISTEXT(Overig!T1288),Overig!T1288,10*Overig!T1288),""",""????0;"",""???-0;"",""????0;"", ////"""),"'","""")&amp;SUBSTITUTE(TEXT(Overig!U1288,""",""?00;"",""?-00;"",""?00;"", //"""),"'","""")&amp;SUBSTITUTE(TEXT(Overig!V1288,""",""???0;"",""??-0;"",""???0;"", ///"""),"'","""")&amp;SUBSTITUTE(TEXT(Overig!W1288,""",""?00;"",""?-00;"",""?00;"", //"""),"'","""")</f>
        <v>032, 19401117, 17.00, ////, 07, ////, 07, ////, 07, ////, 07, ///, 07, ////, 07, ////, 07, ////, 07, ////, 07, ///, 07</v>
      </c>
    </row>
    <row r="1289" spans="1:1" x14ac:dyDescent="0.25">
      <c r="A1289" s="12" t="str">
        <f ca="1">TEXT(Overig!A1289,"000\,")&amp;TEXT(Overig!B1289,"?00000000")&amp;TEXT(Overig!C1289,""", ""@")&amp;SUBSTITUTE(TEXT(IF(ISTEXT(Overig!D1289),Overig!D1289,10*Overig!D1289),""",""????0;"",""???-0;"",""????0;"", ////"""),"'","""")&amp;SUBSTITUTE(TEXT(Overig!E1289,""",""?00;"",""?-00;"",""?00;"", //"""),"'","""")&amp;SUBSTITUTE(TEXT(IF(ISTEXT(Overig!F1289),Overig!F1289,10*Overig!F1289),""",""????0;"",""???-0;"",""????0;"", ////"""),"'","""")&amp;SUBSTITUTE(TEXT(Overig!G1289,""",""?00;"",""?-00;"",""?00;"", //"""),"'","""")&amp;SUBSTITUTE(TEXT(IF(ISTEXT(Overig!H1289),Overig!H1289,10*Overig!H1289),""",""????0;"",""???-0;"",""????0;"", ////"""),"'","""")&amp;SUBSTITUTE(TEXT(Overig!I1289,""",""?00;"",""?-00;"",""?00;"", //"""),"'","""")&amp;SUBSTITUTE(TEXT(IF(ISTEXT(Overig!J1289),Overig!J1289,10*Overig!J1289),""",""????0;"",""???-0;"",""????0;"", ////"""),"'","""")&amp;SUBSTITUTE(TEXT(Overig!K1289,""",""?00;"",""?-00;"",""?00;"", //"""),"'","""")&amp;SUBSTITUTE(TEXT(Overig!L1289,""",""???0;"",""??-0;"",""???0;"", ///"""),"'","""")&amp;SUBSTITUTE(TEXT(Overig!M1289,""",""?00;"",""?-00;"",""?00;"", //"""),"'","""")&amp;SUBSTITUTE(TEXT(IF(ISTEXT(Overig!N1289),Overig!N1289,10*Overig!N1289),""",""????0;"",""???-0;"",""????0;"", ////"""),"'","""")&amp;SUBSTITUTE(TEXT(Overig!O1289,""",""?00;"",""?-00;"",""?00;"", //"""),"'","""")&amp;SUBSTITUTE(TEXT(IF(ISTEXT(Overig!P1289),Overig!P1289,10*Overig!P1289),""",""????0;"",""???-0;"",""????0;"", ////"""),"'","""")&amp;SUBSTITUTE(TEXT(Overig!Q1289,""",""?00;"",""?-00;"",""?00;"", //"""),"'","""")&amp;SUBSTITUTE(TEXT(Overig!R1289,""",""????0;"",""???-0;"",""????0;"", ////"""),"'","""")&amp;SUBSTITUTE(TEXT(Overig!S1289,""",""?00;"",""?-00;"",""?00;"", //"""),"'","""")&amp;SUBSTITUTE(TEXT(IF(ISTEXT(Overig!T1289),Overig!T1289,10*Overig!T1289),""",""????0;"",""???-0;"",""????0;"", ////"""),"'","""")&amp;SUBSTITUTE(TEXT(Overig!U1289,""",""?00;"",""?-00;"",""?00;"", //"""),"'","""")&amp;SUBSTITUTE(TEXT(Overig!V1289,""",""???0;"",""??-0;"",""???0;"", ///"""),"'","""")&amp;SUBSTITUTE(TEXT(Overig!W1289,""",""?00;"",""?-00;"",""?00;"", //"""),"'","""")</f>
        <v>032, 19401117, 24.00, ////, 07, ////, 07, ////, 07, ////, 07, ///, 07, ////, 07, ////, 07, ////, 07, ////, 07, ///, 07</v>
      </c>
    </row>
    <row r="1290" spans="1:1" x14ac:dyDescent="0.25">
      <c r="A1290" s="12" t="str">
        <f ca="1">TEXT(Overig!A1290,"000\,")&amp;TEXT(Overig!B1290,"?00000000")&amp;TEXT(Overig!C1290,""", ""@")&amp;SUBSTITUTE(TEXT(IF(ISTEXT(Overig!D1290),Overig!D1290,10*Overig!D1290),""",""????0;"",""???-0;"",""????0;"", ////"""),"'","""")&amp;SUBSTITUTE(TEXT(Overig!E1290,""",""?00;"",""?-00;"",""?00;"", //"""),"'","""")&amp;SUBSTITUTE(TEXT(IF(ISTEXT(Overig!F1290),Overig!F1290,10*Overig!F1290),""",""????0;"",""???-0;"",""????0;"", ////"""),"'","""")&amp;SUBSTITUTE(TEXT(Overig!G1290,""",""?00;"",""?-00;"",""?00;"", //"""),"'","""")&amp;SUBSTITUTE(TEXT(IF(ISTEXT(Overig!H1290),Overig!H1290,10*Overig!H1290),""",""????0;"",""???-0;"",""????0;"", ////"""),"'","""")&amp;SUBSTITUTE(TEXT(Overig!I1290,""",""?00;"",""?-00;"",""?00;"", //"""),"'","""")&amp;SUBSTITUTE(TEXT(IF(ISTEXT(Overig!J1290),Overig!J1290,10*Overig!J1290),""",""????0;"",""???-0;"",""????0;"", ////"""),"'","""")&amp;SUBSTITUTE(TEXT(Overig!K1290,""",""?00;"",""?-00;"",""?00;"", //"""),"'","""")&amp;SUBSTITUTE(TEXT(Overig!L1290,""",""???0;"",""??-0;"",""???0;"", ///"""),"'","""")&amp;SUBSTITUTE(TEXT(Overig!M1290,""",""?00;"",""?-00;"",""?00;"", //"""),"'","""")&amp;SUBSTITUTE(TEXT(IF(ISTEXT(Overig!N1290),Overig!N1290,10*Overig!N1290),""",""????0;"",""???-0;"",""????0;"", ////"""),"'","""")&amp;SUBSTITUTE(TEXT(Overig!O1290,""",""?00;"",""?-00;"",""?00;"", //"""),"'","""")&amp;SUBSTITUTE(TEXT(IF(ISTEXT(Overig!P1290),Overig!P1290,10*Overig!P1290),""",""????0;"",""???-0;"",""????0;"", ////"""),"'","""")&amp;SUBSTITUTE(TEXT(Overig!Q1290,""",""?00;"",""?-00;"",""?00;"", //"""),"'","""")&amp;SUBSTITUTE(TEXT(Overig!R1290,""",""????0;"",""???-0;"",""????0;"", ////"""),"'","""")&amp;SUBSTITUTE(TEXT(Overig!S1290,""",""?00;"",""?-00;"",""?00;"", //"""),"'","""")&amp;SUBSTITUTE(TEXT(IF(ISTEXT(Overig!T1290),Overig!T1290,10*Overig!T1290),""",""????0;"",""???-0;"",""????0;"", ////"""),"'","""")&amp;SUBSTITUTE(TEXT(Overig!U1290,""",""?00;"",""?-00;"",""?00;"", //"""),"'","""")&amp;SUBSTITUTE(TEXT(Overig!V1290,""",""???0;"",""??-0;"",""???0;"", ///"""),"'","""")&amp;SUBSTITUTE(TEXT(Overig!W1290,""",""?00;"",""?-00;"",""?00;"", //"""),"'","""")</f>
        <v>032, 19401118, 07.00, ////, 07, ////, 07, ////, 07, ////, 07, ///, 07, ////, 07, ////, 07, ////, 07, ////, 07, ///, 07</v>
      </c>
    </row>
    <row r="1291" spans="1:1" x14ac:dyDescent="0.25">
      <c r="A1291" s="12" t="str">
        <f ca="1">TEXT(Overig!A1291,"000\,")&amp;TEXT(Overig!B1291,"?00000000")&amp;TEXT(Overig!C1291,""", ""@")&amp;SUBSTITUTE(TEXT(IF(ISTEXT(Overig!D1291),Overig!D1291,10*Overig!D1291),""",""????0;"",""???-0;"",""????0;"", ////"""),"'","""")&amp;SUBSTITUTE(TEXT(Overig!E1291,""",""?00;"",""?-00;"",""?00;"", //"""),"'","""")&amp;SUBSTITUTE(TEXT(IF(ISTEXT(Overig!F1291),Overig!F1291,10*Overig!F1291),""",""????0;"",""???-0;"",""????0;"", ////"""),"'","""")&amp;SUBSTITUTE(TEXT(Overig!G1291,""",""?00;"",""?-00;"",""?00;"", //"""),"'","""")&amp;SUBSTITUTE(TEXT(IF(ISTEXT(Overig!H1291),Overig!H1291,10*Overig!H1291),""",""????0;"",""???-0;"",""????0;"", ////"""),"'","""")&amp;SUBSTITUTE(TEXT(Overig!I1291,""",""?00;"",""?-00;"",""?00;"", //"""),"'","""")&amp;SUBSTITUTE(TEXT(IF(ISTEXT(Overig!J1291),Overig!J1291,10*Overig!J1291),""",""????0;"",""???-0;"",""????0;"", ////"""),"'","""")&amp;SUBSTITUTE(TEXT(Overig!K1291,""",""?00;"",""?-00;"",""?00;"", //"""),"'","""")&amp;SUBSTITUTE(TEXT(Overig!L1291,""",""???0;"",""??-0;"",""???0;"", ///"""),"'","""")&amp;SUBSTITUTE(TEXT(Overig!M1291,""",""?00;"",""?-00;"",""?00;"", //"""),"'","""")&amp;SUBSTITUTE(TEXT(IF(ISTEXT(Overig!N1291),Overig!N1291,10*Overig!N1291),""",""????0;"",""???-0;"",""????0;"", ////"""),"'","""")&amp;SUBSTITUTE(TEXT(Overig!O1291,""",""?00;"",""?-00;"",""?00;"", //"""),"'","""")&amp;SUBSTITUTE(TEXT(IF(ISTEXT(Overig!P1291),Overig!P1291,10*Overig!P1291),""",""????0;"",""???-0;"",""????0;"", ////"""),"'","""")&amp;SUBSTITUTE(TEXT(Overig!Q1291,""",""?00;"",""?-00;"",""?00;"", //"""),"'","""")&amp;SUBSTITUTE(TEXT(Overig!R1291,""",""????0;"",""???-0;"",""????0;"", ////"""),"'","""")&amp;SUBSTITUTE(TEXT(Overig!S1291,""",""?00;"",""?-00;"",""?00;"", //"""),"'","""")&amp;SUBSTITUTE(TEXT(IF(ISTEXT(Overig!T1291),Overig!T1291,10*Overig!T1291),""",""????0;"",""???-0;"",""????0;"", ////"""),"'","""")&amp;SUBSTITUTE(TEXT(Overig!U1291,""",""?00;"",""?-00;"",""?00;"", //"""),"'","""")&amp;SUBSTITUTE(TEXT(Overig!V1291,""",""???0;"",""??-0;"",""???0;"", ///"""),"'","""")&amp;SUBSTITUTE(TEXT(Overig!W1291,""",""?00;"",""?-00;"",""?00;"", //"""),"'","""")</f>
        <v>032, 19401118, 12.00, ////, 07, ////, 07, ////, 07, ////, 07, ///, 07, ////, 07, ////, 07, ////, 07, ////, 07, ///, 07</v>
      </c>
    </row>
    <row r="1292" spans="1:1" x14ac:dyDescent="0.25">
      <c r="A1292" s="12" t="str">
        <f ca="1">TEXT(Overig!A1292,"000\,")&amp;TEXT(Overig!B1292,"?00000000")&amp;TEXT(Overig!C1292,""", ""@")&amp;SUBSTITUTE(TEXT(IF(ISTEXT(Overig!D1292),Overig!D1292,10*Overig!D1292),""",""????0;"",""???-0;"",""????0;"", ////"""),"'","""")&amp;SUBSTITUTE(TEXT(Overig!E1292,""",""?00;"",""?-00;"",""?00;"", //"""),"'","""")&amp;SUBSTITUTE(TEXT(IF(ISTEXT(Overig!F1292),Overig!F1292,10*Overig!F1292),""",""????0;"",""???-0;"",""????0;"", ////"""),"'","""")&amp;SUBSTITUTE(TEXT(Overig!G1292,""",""?00;"",""?-00;"",""?00;"", //"""),"'","""")&amp;SUBSTITUTE(TEXT(IF(ISTEXT(Overig!H1292),Overig!H1292,10*Overig!H1292),""",""????0;"",""???-0;"",""????0;"", ////"""),"'","""")&amp;SUBSTITUTE(TEXT(Overig!I1292,""",""?00;"",""?-00;"",""?00;"", //"""),"'","""")&amp;SUBSTITUTE(TEXT(IF(ISTEXT(Overig!J1292),Overig!J1292,10*Overig!J1292),""",""????0;"",""???-0;"",""????0;"", ////"""),"'","""")&amp;SUBSTITUTE(TEXT(Overig!K1292,""",""?00;"",""?-00;"",""?00;"", //"""),"'","""")&amp;SUBSTITUTE(TEXT(Overig!L1292,""",""???0;"",""??-0;"",""???0;"", ///"""),"'","""")&amp;SUBSTITUTE(TEXT(Overig!M1292,""",""?00;"",""?-00;"",""?00;"", //"""),"'","""")&amp;SUBSTITUTE(TEXT(IF(ISTEXT(Overig!N1292),Overig!N1292,10*Overig!N1292),""",""????0;"",""???-0;"",""????0;"", ////"""),"'","""")&amp;SUBSTITUTE(TEXT(Overig!O1292,""",""?00;"",""?-00;"",""?00;"", //"""),"'","""")&amp;SUBSTITUTE(TEXT(IF(ISTEXT(Overig!P1292),Overig!P1292,10*Overig!P1292),""",""????0;"",""???-0;"",""????0;"", ////"""),"'","""")&amp;SUBSTITUTE(TEXT(Overig!Q1292,""",""?00;"",""?-00;"",""?00;"", //"""),"'","""")&amp;SUBSTITUTE(TEXT(Overig!R1292,""",""????0;"",""???-0;"",""????0;"", ////"""),"'","""")&amp;SUBSTITUTE(TEXT(Overig!S1292,""",""?00;"",""?-00;"",""?00;"", //"""),"'","""")&amp;SUBSTITUTE(TEXT(IF(ISTEXT(Overig!T1292),Overig!T1292,10*Overig!T1292),""",""????0;"",""???-0;"",""????0;"", ////"""),"'","""")&amp;SUBSTITUTE(TEXT(Overig!U1292,""",""?00;"",""?-00;"",""?00;"", //"""),"'","""")&amp;SUBSTITUTE(TEXT(Overig!V1292,""",""???0;"",""??-0;"",""???0;"", ///"""),"'","""")&amp;SUBSTITUTE(TEXT(Overig!W1292,""",""?00;"",""?-00;"",""?00;"", //"""),"'","""")</f>
        <v>032, 19401118, 17.00, ////, 07, ////, 07, ////, 07, ////, 07, ///, 07, ////, 07, ////, 07, ////, 07, ////, 07, ///, 07</v>
      </c>
    </row>
    <row r="1293" spans="1:1" x14ac:dyDescent="0.25">
      <c r="A1293" s="12" t="str">
        <f ca="1">TEXT(Overig!A1293,"000\,")&amp;TEXT(Overig!B1293,"?00000000")&amp;TEXT(Overig!C1293,""", ""@")&amp;SUBSTITUTE(TEXT(IF(ISTEXT(Overig!D1293),Overig!D1293,10*Overig!D1293),""",""????0;"",""???-0;"",""????0;"", ////"""),"'","""")&amp;SUBSTITUTE(TEXT(Overig!E1293,""",""?00;"",""?-00;"",""?00;"", //"""),"'","""")&amp;SUBSTITUTE(TEXT(IF(ISTEXT(Overig!F1293),Overig!F1293,10*Overig!F1293),""",""????0;"",""???-0;"",""????0;"", ////"""),"'","""")&amp;SUBSTITUTE(TEXT(Overig!G1293,""",""?00;"",""?-00;"",""?00;"", //"""),"'","""")&amp;SUBSTITUTE(TEXT(IF(ISTEXT(Overig!H1293),Overig!H1293,10*Overig!H1293),""",""????0;"",""???-0;"",""????0;"", ////"""),"'","""")&amp;SUBSTITUTE(TEXT(Overig!I1293,""",""?00;"",""?-00;"",""?00;"", //"""),"'","""")&amp;SUBSTITUTE(TEXT(IF(ISTEXT(Overig!J1293),Overig!J1293,10*Overig!J1293),""",""????0;"",""???-0;"",""????0;"", ////"""),"'","""")&amp;SUBSTITUTE(TEXT(Overig!K1293,""",""?00;"",""?-00;"",""?00;"", //"""),"'","""")&amp;SUBSTITUTE(TEXT(Overig!L1293,""",""???0;"",""??-0;"",""???0;"", ///"""),"'","""")&amp;SUBSTITUTE(TEXT(Overig!M1293,""",""?00;"",""?-00;"",""?00;"", //"""),"'","""")&amp;SUBSTITUTE(TEXT(IF(ISTEXT(Overig!N1293),Overig!N1293,10*Overig!N1293),""",""????0;"",""???-0;"",""????0;"", ////"""),"'","""")&amp;SUBSTITUTE(TEXT(Overig!O1293,""",""?00;"",""?-00;"",""?00;"", //"""),"'","""")&amp;SUBSTITUTE(TEXT(IF(ISTEXT(Overig!P1293),Overig!P1293,10*Overig!P1293),""",""????0;"",""???-0;"",""????0;"", ////"""),"'","""")&amp;SUBSTITUTE(TEXT(Overig!Q1293,""",""?00;"",""?-00;"",""?00;"", //"""),"'","""")&amp;SUBSTITUTE(TEXT(Overig!R1293,""",""????0;"",""???-0;"",""????0;"", ////"""),"'","""")&amp;SUBSTITUTE(TEXT(Overig!S1293,""",""?00;"",""?-00;"",""?00;"", //"""),"'","""")&amp;SUBSTITUTE(TEXT(IF(ISTEXT(Overig!T1293),Overig!T1293,10*Overig!T1293),""",""????0;"",""???-0;"",""????0;"", ////"""),"'","""")&amp;SUBSTITUTE(TEXT(Overig!U1293,""",""?00;"",""?-00;"",""?00;"", //"""),"'","""")&amp;SUBSTITUTE(TEXT(Overig!V1293,""",""???0;"",""??-0;"",""???0;"", ///"""),"'","""")&amp;SUBSTITUTE(TEXT(Overig!W1293,""",""?00;"",""?-00;"",""?00;"", //"""),"'","""")</f>
        <v>032, 19401118, 24.00, ////, 07, ////, 07, ////, 07, ////, 07, ///, 07, ////, 07, ////, 07, ////, 07, ////, 07, ///, 07</v>
      </c>
    </row>
    <row r="1294" spans="1:1" x14ac:dyDescent="0.25">
      <c r="A1294" s="12" t="str">
        <f ca="1">TEXT(Overig!A1294,"000\,")&amp;TEXT(Overig!B1294,"?00000000")&amp;TEXT(Overig!C1294,""", ""@")&amp;SUBSTITUTE(TEXT(IF(ISTEXT(Overig!D1294),Overig!D1294,10*Overig!D1294),""",""????0;"",""???-0;"",""????0;"", ////"""),"'","""")&amp;SUBSTITUTE(TEXT(Overig!E1294,""",""?00;"",""?-00;"",""?00;"", //"""),"'","""")&amp;SUBSTITUTE(TEXT(IF(ISTEXT(Overig!F1294),Overig!F1294,10*Overig!F1294),""",""????0;"",""???-0;"",""????0;"", ////"""),"'","""")&amp;SUBSTITUTE(TEXT(Overig!G1294,""",""?00;"",""?-00;"",""?00;"", //"""),"'","""")&amp;SUBSTITUTE(TEXT(IF(ISTEXT(Overig!H1294),Overig!H1294,10*Overig!H1294),""",""????0;"",""???-0;"",""????0;"", ////"""),"'","""")&amp;SUBSTITUTE(TEXT(Overig!I1294,""",""?00;"",""?-00;"",""?00;"", //"""),"'","""")&amp;SUBSTITUTE(TEXT(IF(ISTEXT(Overig!J1294),Overig!J1294,10*Overig!J1294),""",""????0;"",""???-0;"",""????0;"", ////"""),"'","""")&amp;SUBSTITUTE(TEXT(Overig!K1294,""",""?00;"",""?-00;"",""?00;"", //"""),"'","""")&amp;SUBSTITUTE(TEXT(Overig!L1294,""",""???0;"",""??-0;"",""???0;"", ///"""),"'","""")&amp;SUBSTITUTE(TEXT(Overig!M1294,""",""?00;"",""?-00;"",""?00;"", //"""),"'","""")&amp;SUBSTITUTE(TEXT(IF(ISTEXT(Overig!N1294),Overig!N1294,10*Overig!N1294),""",""????0;"",""???-0;"",""????0;"", ////"""),"'","""")&amp;SUBSTITUTE(TEXT(Overig!O1294,""",""?00;"",""?-00;"",""?00;"", //"""),"'","""")&amp;SUBSTITUTE(TEXT(IF(ISTEXT(Overig!P1294),Overig!P1294,10*Overig!P1294),""",""????0;"",""???-0;"",""????0;"", ////"""),"'","""")&amp;SUBSTITUTE(TEXT(Overig!Q1294,""",""?00;"",""?-00;"",""?00;"", //"""),"'","""")&amp;SUBSTITUTE(TEXT(Overig!R1294,""",""????0;"",""???-0;"",""????0;"", ////"""),"'","""")&amp;SUBSTITUTE(TEXT(Overig!S1294,""",""?00;"",""?-00;"",""?00;"", //"""),"'","""")&amp;SUBSTITUTE(TEXT(IF(ISTEXT(Overig!T1294),Overig!T1294,10*Overig!T1294),""",""????0;"",""???-0;"",""????0;"", ////"""),"'","""")&amp;SUBSTITUTE(TEXT(Overig!U1294,""",""?00;"",""?-00;"",""?00;"", //"""),"'","""")&amp;SUBSTITUTE(TEXT(Overig!V1294,""",""???0;"",""??-0;"",""???0;"", ///"""),"'","""")&amp;SUBSTITUTE(TEXT(Overig!W1294,""",""?00;"",""?-00;"",""?00;"", //"""),"'","""")</f>
        <v>032, 19401119, 07.00, ////, 07, ////, 07, ////, 07, ////, 07, ///, 07, ////, 07, ////, 07, ////, 07, ////, 07, ///, 07</v>
      </c>
    </row>
    <row r="1295" spans="1:1" x14ac:dyDescent="0.25">
      <c r="A1295" s="12" t="str">
        <f ca="1">TEXT(Overig!A1295,"000\,")&amp;TEXT(Overig!B1295,"?00000000")&amp;TEXT(Overig!C1295,""", ""@")&amp;SUBSTITUTE(TEXT(IF(ISTEXT(Overig!D1295),Overig!D1295,10*Overig!D1295),""",""????0;"",""???-0;"",""????0;"", ////"""),"'","""")&amp;SUBSTITUTE(TEXT(Overig!E1295,""",""?00;"",""?-00;"",""?00;"", //"""),"'","""")&amp;SUBSTITUTE(TEXT(IF(ISTEXT(Overig!F1295),Overig!F1295,10*Overig!F1295),""",""????0;"",""???-0;"",""????0;"", ////"""),"'","""")&amp;SUBSTITUTE(TEXT(Overig!G1295,""",""?00;"",""?-00;"",""?00;"", //"""),"'","""")&amp;SUBSTITUTE(TEXT(IF(ISTEXT(Overig!H1295),Overig!H1295,10*Overig!H1295),""",""????0;"",""???-0;"",""????0;"", ////"""),"'","""")&amp;SUBSTITUTE(TEXT(Overig!I1295,""",""?00;"",""?-00;"",""?00;"", //"""),"'","""")&amp;SUBSTITUTE(TEXT(IF(ISTEXT(Overig!J1295),Overig!J1295,10*Overig!J1295),""",""????0;"",""???-0;"",""????0;"", ////"""),"'","""")&amp;SUBSTITUTE(TEXT(Overig!K1295,""",""?00;"",""?-00;"",""?00;"", //"""),"'","""")&amp;SUBSTITUTE(TEXT(Overig!L1295,""",""???0;"",""??-0;"",""???0;"", ///"""),"'","""")&amp;SUBSTITUTE(TEXT(Overig!M1295,""",""?00;"",""?-00;"",""?00;"", //"""),"'","""")&amp;SUBSTITUTE(TEXT(IF(ISTEXT(Overig!N1295),Overig!N1295,10*Overig!N1295),""",""????0;"",""???-0;"",""????0;"", ////"""),"'","""")&amp;SUBSTITUTE(TEXT(Overig!O1295,""",""?00;"",""?-00;"",""?00;"", //"""),"'","""")&amp;SUBSTITUTE(TEXT(IF(ISTEXT(Overig!P1295),Overig!P1295,10*Overig!P1295),""",""????0;"",""???-0;"",""????0;"", ////"""),"'","""")&amp;SUBSTITUTE(TEXT(Overig!Q1295,""",""?00;"",""?-00;"",""?00;"", //"""),"'","""")&amp;SUBSTITUTE(TEXT(Overig!R1295,""",""????0;"",""???-0;"",""????0;"", ////"""),"'","""")&amp;SUBSTITUTE(TEXT(Overig!S1295,""",""?00;"",""?-00;"",""?00;"", //"""),"'","""")&amp;SUBSTITUTE(TEXT(IF(ISTEXT(Overig!T1295),Overig!T1295,10*Overig!T1295),""",""????0;"",""???-0;"",""????0;"", ////"""),"'","""")&amp;SUBSTITUTE(TEXT(Overig!U1295,""",""?00;"",""?-00;"",""?00;"", //"""),"'","""")&amp;SUBSTITUTE(TEXT(Overig!V1295,""",""???0;"",""??-0;"",""???0;"", ///"""),"'","""")&amp;SUBSTITUTE(TEXT(Overig!W1295,""",""?00;"",""?-00;"",""?00;"", //"""),"'","""")</f>
        <v>032, 19401119, 12.00, ////, 07, ////, 07, ////, 07, ////, 07, ///, 07, ////, 07, ////, 07, ////, 07, ////, 07, ///, 07</v>
      </c>
    </row>
    <row r="1296" spans="1:1" x14ac:dyDescent="0.25">
      <c r="A1296" s="12" t="str">
        <f ca="1">TEXT(Overig!A1296,"000\,")&amp;TEXT(Overig!B1296,"?00000000")&amp;TEXT(Overig!C1296,""", ""@")&amp;SUBSTITUTE(TEXT(IF(ISTEXT(Overig!D1296),Overig!D1296,10*Overig!D1296),""",""????0;"",""???-0;"",""????0;"", ////"""),"'","""")&amp;SUBSTITUTE(TEXT(Overig!E1296,""",""?00;"",""?-00;"",""?00;"", //"""),"'","""")&amp;SUBSTITUTE(TEXT(IF(ISTEXT(Overig!F1296),Overig!F1296,10*Overig!F1296),""",""????0;"",""???-0;"",""????0;"", ////"""),"'","""")&amp;SUBSTITUTE(TEXT(Overig!G1296,""",""?00;"",""?-00;"",""?00;"", //"""),"'","""")&amp;SUBSTITUTE(TEXT(IF(ISTEXT(Overig!H1296),Overig!H1296,10*Overig!H1296),""",""????0;"",""???-0;"",""????0;"", ////"""),"'","""")&amp;SUBSTITUTE(TEXT(Overig!I1296,""",""?00;"",""?-00;"",""?00;"", //"""),"'","""")&amp;SUBSTITUTE(TEXT(IF(ISTEXT(Overig!J1296),Overig!J1296,10*Overig!J1296),""",""????0;"",""???-0;"",""????0;"", ////"""),"'","""")&amp;SUBSTITUTE(TEXT(Overig!K1296,""",""?00;"",""?-00;"",""?00;"", //"""),"'","""")&amp;SUBSTITUTE(TEXT(Overig!L1296,""",""???0;"",""??-0;"",""???0;"", ///"""),"'","""")&amp;SUBSTITUTE(TEXT(Overig!M1296,""",""?00;"",""?-00;"",""?00;"", //"""),"'","""")&amp;SUBSTITUTE(TEXT(IF(ISTEXT(Overig!N1296),Overig!N1296,10*Overig!N1296),""",""????0;"",""???-0;"",""????0;"", ////"""),"'","""")&amp;SUBSTITUTE(TEXT(Overig!O1296,""",""?00;"",""?-00;"",""?00;"", //"""),"'","""")&amp;SUBSTITUTE(TEXT(IF(ISTEXT(Overig!P1296),Overig!P1296,10*Overig!P1296),""",""????0;"",""???-0;"",""????0;"", ////"""),"'","""")&amp;SUBSTITUTE(TEXT(Overig!Q1296,""",""?00;"",""?-00;"",""?00;"", //"""),"'","""")&amp;SUBSTITUTE(TEXT(Overig!R1296,""",""????0;"",""???-0;"",""????0;"", ////"""),"'","""")&amp;SUBSTITUTE(TEXT(Overig!S1296,""",""?00;"",""?-00;"",""?00;"", //"""),"'","""")&amp;SUBSTITUTE(TEXT(IF(ISTEXT(Overig!T1296),Overig!T1296,10*Overig!T1296),""",""????0;"",""???-0;"",""????0;"", ////"""),"'","""")&amp;SUBSTITUTE(TEXT(Overig!U1296,""",""?00;"",""?-00;"",""?00;"", //"""),"'","""")&amp;SUBSTITUTE(TEXT(Overig!V1296,""",""???0;"",""??-0;"",""???0;"", ///"""),"'","""")&amp;SUBSTITUTE(TEXT(Overig!W1296,""",""?00;"",""?-00;"",""?00;"", //"""),"'","""")</f>
        <v>032, 19401119, 17.00, ////, 07, ////, 07, ////, 07, ////, 07, ///, 07, ////, 07, ////, 07, ////, 07, ////, 07, ///, 07</v>
      </c>
    </row>
    <row r="1297" spans="1:1" x14ac:dyDescent="0.25">
      <c r="A1297" s="12" t="str">
        <f ca="1">TEXT(Overig!A1297,"000\,")&amp;TEXT(Overig!B1297,"?00000000")&amp;TEXT(Overig!C1297,""", ""@")&amp;SUBSTITUTE(TEXT(IF(ISTEXT(Overig!D1297),Overig!D1297,10*Overig!D1297),""",""????0;"",""???-0;"",""????0;"", ////"""),"'","""")&amp;SUBSTITUTE(TEXT(Overig!E1297,""",""?00;"",""?-00;"",""?00;"", //"""),"'","""")&amp;SUBSTITUTE(TEXT(IF(ISTEXT(Overig!F1297),Overig!F1297,10*Overig!F1297),""",""????0;"",""???-0;"",""????0;"", ////"""),"'","""")&amp;SUBSTITUTE(TEXT(Overig!G1297,""",""?00;"",""?-00;"",""?00;"", //"""),"'","""")&amp;SUBSTITUTE(TEXT(IF(ISTEXT(Overig!H1297),Overig!H1297,10*Overig!H1297),""",""????0;"",""???-0;"",""????0;"", ////"""),"'","""")&amp;SUBSTITUTE(TEXT(Overig!I1297,""",""?00;"",""?-00;"",""?00;"", //"""),"'","""")&amp;SUBSTITUTE(TEXT(IF(ISTEXT(Overig!J1297),Overig!J1297,10*Overig!J1297),""",""????0;"",""???-0;"",""????0;"", ////"""),"'","""")&amp;SUBSTITUTE(TEXT(Overig!K1297,""",""?00;"",""?-00;"",""?00;"", //"""),"'","""")&amp;SUBSTITUTE(TEXT(Overig!L1297,""",""???0;"",""??-0;"",""???0;"", ///"""),"'","""")&amp;SUBSTITUTE(TEXT(Overig!M1297,""",""?00;"",""?-00;"",""?00;"", //"""),"'","""")&amp;SUBSTITUTE(TEXT(IF(ISTEXT(Overig!N1297),Overig!N1297,10*Overig!N1297),""",""????0;"",""???-0;"",""????0;"", ////"""),"'","""")&amp;SUBSTITUTE(TEXT(Overig!O1297,""",""?00;"",""?-00;"",""?00;"", //"""),"'","""")&amp;SUBSTITUTE(TEXT(IF(ISTEXT(Overig!P1297),Overig!P1297,10*Overig!P1297),""",""????0;"",""???-0;"",""????0;"", ////"""),"'","""")&amp;SUBSTITUTE(TEXT(Overig!Q1297,""",""?00;"",""?-00;"",""?00;"", //"""),"'","""")&amp;SUBSTITUTE(TEXT(Overig!R1297,""",""????0;"",""???-0;"",""????0;"", ////"""),"'","""")&amp;SUBSTITUTE(TEXT(Overig!S1297,""",""?00;"",""?-00;"",""?00;"", //"""),"'","""")&amp;SUBSTITUTE(TEXT(IF(ISTEXT(Overig!T1297),Overig!T1297,10*Overig!T1297),""",""????0;"",""???-0;"",""????0;"", ////"""),"'","""")&amp;SUBSTITUTE(TEXT(Overig!U1297,""",""?00;"",""?-00;"",""?00;"", //"""),"'","""")&amp;SUBSTITUTE(TEXT(Overig!V1297,""",""???0;"",""??-0;"",""???0;"", ///"""),"'","""")&amp;SUBSTITUTE(TEXT(Overig!W1297,""",""?00;"",""?-00;"",""?00;"", //"""),"'","""")</f>
        <v>032, 19401119, 24.00, ////, 07, ////, 07, ////, 07, ////, 07, ///, 07, ////, 07, ////, 07, ////, 07, ////, 07, ///, 07</v>
      </c>
    </row>
    <row r="1298" spans="1:1" x14ac:dyDescent="0.25">
      <c r="A1298" s="12" t="str">
        <f ca="1">TEXT(Overig!A1298,"000\,")&amp;TEXT(Overig!B1298,"?00000000")&amp;TEXT(Overig!C1298,""", ""@")&amp;SUBSTITUTE(TEXT(IF(ISTEXT(Overig!D1298),Overig!D1298,10*Overig!D1298),""",""????0;"",""???-0;"",""????0;"", ////"""),"'","""")&amp;SUBSTITUTE(TEXT(Overig!E1298,""",""?00;"",""?-00;"",""?00;"", //"""),"'","""")&amp;SUBSTITUTE(TEXT(IF(ISTEXT(Overig!F1298),Overig!F1298,10*Overig!F1298),""",""????0;"",""???-0;"",""????0;"", ////"""),"'","""")&amp;SUBSTITUTE(TEXT(Overig!G1298,""",""?00;"",""?-00;"",""?00;"", //"""),"'","""")&amp;SUBSTITUTE(TEXT(IF(ISTEXT(Overig!H1298),Overig!H1298,10*Overig!H1298),""",""????0;"",""???-0;"",""????0;"", ////"""),"'","""")&amp;SUBSTITUTE(TEXT(Overig!I1298,""",""?00;"",""?-00;"",""?00;"", //"""),"'","""")&amp;SUBSTITUTE(TEXT(IF(ISTEXT(Overig!J1298),Overig!J1298,10*Overig!J1298),""",""????0;"",""???-0;"",""????0;"", ////"""),"'","""")&amp;SUBSTITUTE(TEXT(Overig!K1298,""",""?00;"",""?-00;"",""?00;"", //"""),"'","""")&amp;SUBSTITUTE(TEXT(Overig!L1298,""",""???0;"",""??-0;"",""???0;"", ///"""),"'","""")&amp;SUBSTITUTE(TEXT(Overig!M1298,""",""?00;"",""?-00;"",""?00;"", //"""),"'","""")&amp;SUBSTITUTE(TEXT(IF(ISTEXT(Overig!N1298),Overig!N1298,10*Overig!N1298),""",""????0;"",""???-0;"",""????0;"", ////"""),"'","""")&amp;SUBSTITUTE(TEXT(Overig!O1298,""",""?00;"",""?-00;"",""?00;"", //"""),"'","""")&amp;SUBSTITUTE(TEXT(IF(ISTEXT(Overig!P1298),Overig!P1298,10*Overig!P1298),""",""????0;"",""???-0;"",""????0;"", ////"""),"'","""")&amp;SUBSTITUTE(TEXT(Overig!Q1298,""",""?00;"",""?-00;"",""?00;"", //"""),"'","""")&amp;SUBSTITUTE(TEXT(Overig!R1298,""",""????0;"",""???-0;"",""????0;"", ////"""),"'","""")&amp;SUBSTITUTE(TEXT(Overig!S1298,""",""?00;"",""?-00;"",""?00;"", //"""),"'","""")&amp;SUBSTITUTE(TEXT(IF(ISTEXT(Overig!T1298),Overig!T1298,10*Overig!T1298),""",""????0;"",""???-0;"",""????0;"", ////"""),"'","""")&amp;SUBSTITUTE(TEXT(Overig!U1298,""",""?00;"",""?-00;"",""?00;"", //"""),"'","""")&amp;SUBSTITUTE(TEXT(Overig!V1298,""",""???0;"",""??-0;"",""???0;"", ///"""),"'","""")&amp;SUBSTITUTE(TEXT(Overig!W1298,""",""?00;"",""?-00;"",""?00;"", //"""),"'","""")</f>
        <v>032, 19401120, 07.00, ////, 07, ////, 07, ////, 07, ////, 07, ///, 07, ////, 07, ////, 07, ////, 07, ////, 07, ///, 07</v>
      </c>
    </row>
    <row r="1299" spans="1:1" x14ac:dyDescent="0.25">
      <c r="A1299" s="12" t="str">
        <f ca="1">TEXT(Overig!A1299,"000\,")&amp;TEXT(Overig!B1299,"?00000000")&amp;TEXT(Overig!C1299,""", ""@")&amp;SUBSTITUTE(TEXT(IF(ISTEXT(Overig!D1299),Overig!D1299,10*Overig!D1299),""",""????0;"",""???-0;"",""????0;"", ////"""),"'","""")&amp;SUBSTITUTE(TEXT(Overig!E1299,""",""?00;"",""?-00;"",""?00;"", //"""),"'","""")&amp;SUBSTITUTE(TEXT(IF(ISTEXT(Overig!F1299),Overig!F1299,10*Overig!F1299),""",""????0;"",""???-0;"",""????0;"", ////"""),"'","""")&amp;SUBSTITUTE(TEXT(Overig!G1299,""",""?00;"",""?-00;"",""?00;"", //"""),"'","""")&amp;SUBSTITUTE(TEXT(IF(ISTEXT(Overig!H1299),Overig!H1299,10*Overig!H1299),""",""????0;"",""???-0;"",""????0;"", ////"""),"'","""")&amp;SUBSTITUTE(TEXT(Overig!I1299,""",""?00;"",""?-00;"",""?00;"", //"""),"'","""")&amp;SUBSTITUTE(TEXT(IF(ISTEXT(Overig!J1299),Overig!J1299,10*Overig!J1299),""",""????0;"",""???-0;"",""????0;"", ////"""),"'","""")&amp;SUBSTITUTE(TEXT(Overig!K1299,""",""?00;"",""?-00;"",""?00;"", //"""),"'","""")&amp;SUBSTITUTE(TEXT(Overig!L1299,""",""???0;"",""??-0;"",""???0;"", ///"""),"'","""")&amp;SUBSTITUTE(TEXT(Overig!M1299,""",""?00;"",""?-00;"",""?00;"", //"""),"'","""")&amp;SUBSTITUTE(TEXT(IF(ISTEXT(Overig!N1299),Overig!N1299,10*Overig!N1299),""",""????0;"",""???-0;"",""????0;"", ////"""),"'","""")&amp;SUBSTITUTE(TEXT(Overig!O1299,""",""?00;"",""?-00;"",""?00;"", //"""),"'","""")&amp;SUBSTITUTE(TEXT(IF(ISTEXT(Overig!P1299),Overig!P1299,10*Overig!P1299),""",""????0;"",""???-0;"",""????0;"", ////"""),"'","""")&amp;SUBSTITUTE(TEXT(Overig!Q1299,""",""?00;"",""?-00;"",""?00;"", //"""),"'","""")&amp;SUBSTITUTE(TEXT(Overig!R1299,""",""????0;"",""???-0;"",""????0;"", ////"""),"'","""")&amp;SUBSTITUTE(TEXT(Overig!S1299,""",""?00;"",""?-00;"",""?00;"", //"""),"'","""")&amp;SUBSTITUTE(TEXT(IF(ISTEXT(Overig!T1299),Overig!T1299,10*Overig!T1299),""",""????0;"",""???-0;"",""????0;"", ////"""),"'","""")&amp;SUBSTITUTE(TEXT(Overig!U1299,""",""?00;"",""?-00;"",""?00;"", //"""),"'","""")&amp;SUBSTITUTE(TEXT(Overig!V1299,""",""???0;"",""??-0;"",""???0;"", ///"""),"'","""")&amp;SUBSTITUTE(TEXT(Overig!W1299,""",""?00;"",""?-00;"",""?00;"", //"""),"'","""")</f>
        <v>032, 19401120, 12.00, ////, 07, ////, 07, ////, 07, ////, 07, ///, 07, ////, 07, ////, 07, ////, 07, ////, 07, ///, 07</v>
      </c>
    </row>
    <row r="1300" spans="1:1" x14ac:dyDescent="0.25">
      <c r="A1300" s="12" t="str">
        <f ca="1">TEXT(Overig!A1300,"000\,")&amp;TEXT(Overig!B1300,"?00000000")&amp;TEXT(Overig!C1300,""", ""@")&amp;SUBSTITUTE(TEXT(IF(ISTEXT(Overig!D1300),Overig!D1300,10*Overig!D1300),""",""????0;"",""???-0;"",""????0;"", ////"""),"'","""")&amp;SUBSTITUTE(TEXT(Overig!E1300,""",""?00;"",""?-00;"",""?00;"", //"""),"'","""")&amp;SUBSTITUTE(TEXT(IF(ISTEXT(Overig!F1300),Overig!F1300,10*Overig!F1300),""",""????0;"",""???-0;"",""????0;"", ////"""),"'","""")&amp;SUBSTITUTE(TEXT(Overig!G1300,""",""?00;"",""?-00;"",""?00;"", //"""),"'","""")&amp;SUBSTITUTE(TEXT(IF(ISTEXT(Overig!H1300),Overig!H1300,10*Overig!H1300),""",""????0;"",""???-0;"",""????0;"", ////"""),"'","""")&amp;SUBSTITUTE(TEXT(Overig!I1300,""",""?00;"",""?-00;"",""?00;"", //"""),"'","""")&amp;SUBSTITUTE(TEXT(IF(ISTEXT(Overig!J1300),Overig!J1300,10*Overig!J1300),""",""????0;"",""???-0;"",""????0;"", ////"""),"'","""")&amp;SUBSTITUTE(TEXT(Overig!K1300,""",""?00;"",""?-00;"",""?00;"", //"""),"'","""")&amp;SUBSTITUTE(TEXT(Overig!L1300,""",""???0;"",""??-0;"",""???0;"", ///"""),"'","""")&amp;SUBSTITUTE(TEXT(Overig!M1300,""",""?00;"",""?-00;"",""?00;"", //"""),"'","""")&amp;SUBSTITUTE(TEXT(IF(ISTEXT(Overig!N1300),Overig!N1300,10*Overig!N1300),""",""????0;"",""???-0;"",""????0;"", ////"""),"'","""")&amp;SUBSTITUTE(TEXT(Overig!O1300,""",""?00;"",""?-00;"",""?00;"", //"""),"'","""")&amp;SUBSTITUTE(TEXT(IF(ISTEXT(Overig!P1300),Overig!P1300,10*Overig!P1300),""",""????0;"",""???-0;"",""????0;"", ////"""),"'","""")&amp;SUBSTITUTE(TEXT(Overig!Q1300,""",""?00;"",""?-00;"",""?00;"", //"""),"'","""")&amp;SUBSTITUTE(TEXT(Overig!R1300,""",""????0;"",""???-0;"",""????0;"", ////"""),"'","""")&amp;SUBSTITUTE(TEXT(Overig!S1300,""",""?00;"",""?-00;"",""?00;"", //"""),"'","""")&amp;SUBSTITUTE(TEXT(IF(ISTEXT(Overig!T1300),Overig!T1300,10*Overig!T1300),""",""????0;"",""???-0;"",""????0;"", ////"""),"'","""")&amp;SUBSTITUTE(TEXT(Overig!U1300,""",""?00;"",""?-00;"",""?00;"", //"""),"'","""")&amp;SUBSTITUTE(TEXT(Overig!V1300,""",""???0;"",""??-0;"",""???0;"", ///"""),"'","""")&amp;SUBSTITUTE(TEXT(Overig!W1300,""",""?00;"",""?-00;"",""?00;"", //"""),"'","""")</f>
        <v>032, 19401120, 17.00, ////, 07, ////, 07, ////, 07, ////, 07, ///, 07, ////, 07, ////, 07, ////, 07, ////, 07, ///, 07</v>
      </c>
    </row>
    <row r="1301" spans="1:1" x14ac:dyDescent="0.25">
      <c r="A1301" s="12" t="str">
        <f ca="1">TEXT(Overig!A1301,"000\,")&amp;TEXT(Overig!B1301,"?00000000")&amp;TEXT(Overig!C1301,""", ""@")&amp;SUBSTITUTE(TEXT(IF(ISTEXT(Overig!D1301),Overig!D1301,10*Overig!D1301),""",""????0;"",""???-0;"",""????0;"", ////"""),"'","""")&amp;SUBSTITUTE(TEXT(Overig!E1301,""",""?00;"",""?-00;"",""?00;"", //"""),"'","""")&amp;SUBSTITUTE(TEXT(IF(ISTEXT(Overig!F1301),Overig!F1301,10*Overig!F1301),""",""????0;"",""???-0;"",""????0;"", ////"""),"'","""")&amp;SUBSTITUTE(TEXT(Overig!G1301,""",""?00;"",""?-00;"",""?00;"", //"""),"'","""")&amp;SUBSTITUTE(TEXT(IF(ISTEXT(Overig!H1301),Overig!H1301,10*Overig!H1301),""",""????0;"",""???-0;"",""????0;"", ////"""),"'","""")&amp;SUBSTITUTE(TEXT(Overig!I1301,""",""?00;"",""?-00;"",""?00;"", //"""),"'","""")&amp;SUBSTITUTE(TEXT(IF(ISTEXT(Overig!J1301),Overig!J1301,10*Overig!J1301),""",""????0;"",""???-0;"",""????0;"", ////"""),"'","""")&amp;SUBSTITUTE(TEXT(Overig!K1301,""",""?00;"",""?-00;"",""?00;"", //"""),"'","""")&amp;SUBSTITUTE(TEXT(Overig!L1301,""",""???0;"",""??-0;"",""???0;"", ///"""),"'","""")&amp;SUBSTITUTE(TEXT(Overig!M1301,""",""?00;"",""?-00;"",""?00;"", //"""),"'","""")&amp;SUBSTITUTE(TEXT(IF(ISTEXT(Overig!N1301),Overig!N1301,10*Overig!N1301),""",""????0;"",""???-0;"",""????0;"", ////"""),"'","""")&amp;SUBSTITUTE(TEXT(Overig!O1301,""",""?00;"",""?-00;"",""?00;"", //"""),"'","""")&amp;SUBSTITUTE(TEXT(IF(ISTEXT(Overig!P1301),Overig!P1301,10*Overig!P1301),""",""????0;"",""???-0;"",""????0;"", ////"""),"'","""")&amp;SUBSTITUTE(TEXT(Overig!Q1301,""",""?00;"",""?-00;"",""?00;"", //"""),"'","""")&amp;SUBSTITUTE(TEXT(Overig!R1301,""",""????0;"",""???-0;"",""????0;"", ////"""),"'","""")&amp;SUBSTITUTE(TEXT(Overig!S1301,""",""?00;"",""?-00;"",""?00;"", //"""),"'","""")&amp;SUBSTITUTE(TEXT(IF(ISTEXT(Overig!T1301),Overig!T1301,10*Overig!T1301),""",""????0;"",""???-0;"",""????0;"", ////"""),"'","""")&amp;SUBSTITUTE(TEXT(Overig!U1301,""",""?00;"",""?-00;"",""?00;"", //"""),"'","""")&amp;SUBSTITUTE(TEXT(Overig!V1301,""",""???0;"",""??-0;"",""???0;"", ///"""),"'","""")&amp;SUBSTITUTE(TEXT(Overig!W1301,""",""?00;"",""?-00;"",""?00;"", //"""),"'","""")</f>
        <v>032, 19401120, 24.00, ////, 07, ////, 07, ////, 07, ////, 07, ///, 07, ////, 07, ////, 07, ////, 07, ////, 07, ///, 07</v>
      </c>
    </row>
    <row r="1302" spans="1:1" x14ac:dyDescent="0.25">
      <c r="A1302" s="12" t="str">
        <f ca="1">TEXT(Overig!A1302,"000\,")&amp;TEXT(Overig!B1302,"?00000000")&amp;TEXT(Overig!C1302,""", ""@")&amp;SUBSTITUTE(TEXT(IF(ISTEXT(Overig!D1302),Overig!D1302,10*Overig!D1302),""",""????0;"",""???-0;"",""????0;"", ////"""),"'","""")&amp;SUBSTITUTE(TEXT(Overig!E1302,""",""?00;"",""?-00;"",""?00;"", //"""),"'","""")&amp;SUBSTITUTE(TEXT(IF(ISTEXT(Overig!F1302),Overig!F1302,10*Overig!F1302),""",""????0;"",""???-0;"",""????0;"", ////"""),"'","""")&amp;SUBSTITUTE(TEXT(Overig!G1302,""",""?00;"",""?-00;"",""?00;"", //"""),"'","""")&amp;SUBSTITUTE(TEXT(IF(ISTEXT(Overig!H1302),Overig!H1302,10*Overig!H1302),""",""????0;"",""???-0;"",""????0;"", ////"""),"'","""")&amp;SUBSTITUTE(TEXT(Overig!I1302,""",""?00;"",""?-00;"",""?00;"", //"""),"'","""")&amp;SUBSTITUTE(TEXT(IF(ISTEXT(Overig!J1302),Overig!J1302,10*Overig!J1302),""",""????0;"",""???-0;"",""????0;"", ////"""),"'","""")&amp;SUBSTITUTE(TEXT(Overig!K1302,""",""?00;"",""?-00;"",""?00;"", //"""),"'","""")&amp;SUBSTITUTE(TEXT(Overig!L1302,""",""???0;"",""??-0;"",""???0;"", ///"""),"'","""")&amp;SUBSTITUTE(TEXT(Overig!M1302,""",""?00;"",""?-00;"",""?00;"", //"""),"'","""")&amp;SUBSTITUTE(TEXT(IF(ISTEXT(Overig!N1302),Overig!N1302,10*Overig!N1302),""",""????0;"",""???-0;"",""????0;"", ////"""),"'","""")&amp;SUBSTITUTE(TEXT(Overig!O1302,""",""?00;"",""?-00;"",""?00;"", //"""),"'","""")&amp;SUBSTITUTE(TEXT(IF(ISTEXT(Overig!P1302),Overig!P1302,10*Overig!P1302),""",""????0;"",""???-0;"",""????0;"", ////"""),"'","""")&amp;SUBSTITUTE(TEXT(Overig!Q1302,""",""?00;"",""?-00;"",""?00;"", //"""),"'","""")&amp;SUBSTITUTE(TEXT(Overig!R1302,""",""????0;"",""???-0;"",""????0;"", ////"""),"'","""")&amp;SUBSTITUTE(TEXT(Overig!S1302,""",""?00;"",""?-00;"",""?00;"", //"""),"'","""")&amp;SUBSTITUTE(TEXT(IF(ISTEXT(Overig!T1302),Overig!T1302,10*Overig!T1302),""",""????0;"",""???-0;"",""????0;"", ////"""),"'","""")&amp;SUBSTITUTE(TEXT(Overig!U1302,""",""?00;"",""?-00;"",""?00;"", //"""),"'","""")&amp;SUBSTITUTE(TEXT(Overig!V1302,""",""???0;"",""??-0;"",""???0;"", ///"""),"'","""")&amp;SUBSTITUTE(TEXT(Overig!W1302,""",""?00;"",""?-00;"",""?00;"", //"""),"'","""")</f>
        <v>032, 19401121, 07.00, ////, 07, ////, 07, ////, 07, ////, 07, ///, 07, ////, 07, ////, 07, ////, 07, ////, 07, ///, 07</v>
      </c>
    </row>
    <row r="1303" spans="1:1" x14ac:dyDescent="0.25">
      <c r="A1303" s="12" t="str">
        <f ca="1">TEXT(Overig!A1303,"000\,")&amp;TEXT(Overig!B1303,"?00000000")&amp;TEXT(Overig!C1303,""", ""@")&amp;SUBSTITUTE(TEXT(IF(ISTEXT(Overig!D1303),Overig!D1303,10*Overig!D1303),""",""????0;"",""???-0;"",""????0;"", ////"""),"'","""")&amp;SUBSTITUTE(TEXT(Overig!E1303,""",""?00;"",""?-00;"",""?00;"", //"""),"'","""")&amp;SUBSTITUTE(TEXT(IF(ISTEXT(Overig!F1303),Overig!F1303,10*Overig!F1303),""",""????0;"",""???-0;"",""????0;"", ////"""),"'","""")&amp;SUBSTITUTE(TEXT(Overig!G1303,""",""?00;"",""?-00;"",""?00;"", //"""),"'","""")&amp;SUBSTITUTE(TEXT(IF(ISTEXT(Overig!H1303),Overig!H1303,10*Overig!H1303),""",""????0;"",""???-0;"",""????0;"", ////"""),"'","""")&amp;SUBSTITUTE(TEXT(Overig!I1303,""",""?00;"",""?-00;"",""?00;"", //"""),"'","""")&amp;SUBSTITUTE(TEXT(IF(ISTEXT(Overig!J1303),Overig!J1303,10*Overig!J1303),""",""????0;"",""???-0;"",""????0;"", ////"""),"'","""")&amp;SUBSTITUTE(TEXT(Overig!K1303,""",""?00;"",""?-00;"",""?00;"", //"""),"'","""")&amp;SUBSTITUTE(TEXT(Overig!L1303,""",""???0;"",""??-0;"",""???0;"", ///"""),"'","""")&amp;SUBSTITUTE(TEXT(Overig!M1303,""",""?00;"",""?-00;"",""?00;"", //"""),"'","""")&amp;SUBSTITUTE(TEXT(IF(ISTEXT(Overig!N1303),Overig!N1303,10*Overig!N1303),""",""????0;"",""???-0;"",""????0;"", ////"""),"'","""")&amp;SUBSTITUTE(TEXT(Overig!O1303,""",""?00;"",""?-00;"",""?00;"", //"""),"'","""")&amp;SUBSTITUTE(TEXT(IF(ISTEXT(Overig!P1303),Overig!P1303,10*Overig!P1303),""",""????0;"",""???-0;"",""????0;"", ////"""),"'","""")&amp;SUBSTITUTE(TEXT(Overig!Q1303,""",""?00;"",""?-00;"",""?00;"", //"""),"'","""")&amp;SUBSTITUTE(TEXT(Overig!R1303,""",""????0;"",""???-0;"",""????0;"", ////"""),"'","""")&amp;SUBSTITUTE(TEXT(Overig!S1303,""",""?00;"",""?-00;"",""?00;"", //"""),"'","""")&amp;SUBSTITUTE(TEXT(IF(ISTEXT(Overig!T1303),Overig!T1303,10*Overig!T1303),""",""????0;"",""???-0;"",""????0;"", ////"""),"'","""")&amp;SUBSTITUTE(TEXT(Overig!U1303,""",""?00;"",""?-00;"",""?00;"", //"""),"'","""")&amp;SUBSTITUTE(TEXT(Overig!V1303,""",""???0;"",""??-0;"",""???0;"", ///"""),"'","""")&amp;SUBSTITUTE(TEXT(Overig!W1303,""",""?00;"",""?-00;"",""?00;"", //"""),"'","""")</f>
        <v>032, 19401121, 12.00, ////, 07, ////, 07, ////, 07, ////, 07, ///, 07, ////, 07, ////, 07, ////, 07, ////, 07, ///, 07</v>
      </c>
    </row>
    <row r="1304" spans="1:1" x14ac:dyDescent="0.25">
      <c r="A1304" s="12" t="str">
        <f ca="1">TEXT(Overig!A1304,"000\,")&amp;TEXT(Overig!B1304,"?00000000")&amp;TEXT(Overig!C1304,""", ""@")&amp;SUBSTITUTE(TEXT(IF(ISTEXT(Overig!D1304),Overig!D1304,10*Overig!D1304),""",""????0;"",""???-0;"",""????0;"", ////"""),"'","""")&amp;SUBSTITUTE(TEXT(Overig!E1304,""",""?00;"",""?-00;"",""?00;"", //"""),"'","""")&amp;SUBSTITUTE(TEXT(IF(ISTEXT(Overig!F1304),Overig!F1304,10*Overig!F1304),""",""????0;"",""???-0;"",""????0;"", ////"""),"'","""")&amp;SUBSTITUTE(TEXT(Overig!G1304,""",""?00;"",""?-00;"",""?00;"", //"""),"'","""")&amp;SUBSTITUTE(TEXT(IF(ISTEXT(Overig!H1304),Overig!H1304,10*Overig!H1304),""",""????0;"",""???-0;"",""????0;"", ////"""),"'","""")&amp;SUBSTITUTE(TEXT(Overig!I1304,""",""?00;"",""?-00;"",""?00;"", //"""),"'","""")&amp;SUBSTITUTE(TEXT(IF(ISTEXT(Overig!J1304),Overig!J1304,10*Overig!J1304),""",""????0;"",""???-0;"",""????0;"", ////"""),"'","""")&amp;SUBSTITUTE(TEXT(Overig!K1304,""",""?00;"",""?-00;"",""?00;"", //"""),"'","""")&amp;SUBSTITUTE(TEXT(Overig!L1304,""",""???0;"",""??-0;"",""???0;"", ///"""),"'","""")&amp;SUBSTITUTE(TEXT(Overig!M1304,""",""?00;"",""?-00;"",""?00;"", //"""),"'","""")&amp;SUBSTITUTE(TEXT(IF(ISTEXT(Overig!N1304),Overig!N1304,10*Overig!N1304),""",""????0;"",""???-0;"",""????0;"", ////"""),"'","""")&amp;SUBSTITUTE(TEXT(Overig!O1304,""",""?00;"",""?-00;"",""?00;"", //"""),"'","""")&amp;SUBSTITUTE(TEXT(IF(ISTEXT(Overig!P1304),Overig!P1304,10*Overig!P1304),""",""????0;"",""???-0;"",""????0;"", ////"""),"'","""")&amp;SUBSTITUTE(TEXT(Overig!Q1304,""",""?00;"",""?-00;"",""?00;"", //"""),"'","""")&amp;SUBSTITUTE(TEXT(Overig!R1304,""",""????0;"",""???-0;"",""????0;"", ////"""),"'","""")&amp;SUBSTITUTE(TEXT(Overig!S1304,""",""?00;"",""?-00;"",""?00;"", //"""),"'","""")&amp;SUBSTITUTE(TEXT(IF(ISTEXT(Overig!T1304),Overig!T1304,10*Overig!T1304),""",""????0;"",""???-0;"",""????0;"", ////"""),"'","""")&amp;SUBSTITUTE(TEXT(Overig!U1304,""",""?00;"",""?-00;"",""?00;"", //"""),"'","""")&amp;SUBSTITUTE(TEXT(Overig!V1304,""",""???0;"",""??-0;"",""???0;"", ///"""),"'","""")&amp;SUBSTITUTE(TEXT(Overig!W1304,""",""?00;"",""?-00;"",""?00;"", //"""),"'","""")</f>
        <v>032, 19401121, 17.00, ////, 07, ////, 07, ////, 07, ////, 07, ///, 07, ////, 07, ////, 07, ////, 07, ////, 07, ///, 07</v>
      </c>
    </row>
    <row r="1305" spans="1:1" x14ac:dyDescent="0.25">
      <c r="A1305" s="12" t="str">
        <f ca="1">TEXT(Overig!A1305,"000\,")&amp;TEXT(Overig!B1305,"?00000000")&amp;TEXT(Overig!C1305,""", ""@")&amp;SUBSTITUTE(TEXT(IF(ISTEXT(Overig!D1305),Overig!D1305,10*Overig!D1305),""",""????0;"",""???-0;"",""????0;"", ////"""),"'","""")&amp;SUBSTITUTE(TEXT(Overig!E1305,""",""?00;"",""?-00;"",""?00;"", //"""),"'","""")&amp;SUBSTITUTE(TEXT(IF(ISTEXT(Overig!F1305),Overig!F1305,10*Overig!F1305),""",""????0;"",""???-0;"",""????0;"", ////"""),"'","""")&amp;SUBSTITUTE(TEXT(Overig!G1305,""",""?00;"",""?-00;"",""?00;"", //"""),"'","""")&amp;SUBSTITUTE(TEXT(IF(ISTEXT(Overig!H1305),Overig!H1305,10*Overig!H1305),""",""????0;"",""???-0;"",""????0;"", ////"""),"'","""")&amp;SUBSTITUTE(TEXT(Overig!I1305,""",""?00;"",""?-00;"",""?00;"", //"""),"'","""")&amp;SUBSTITUTE(TEXT(IF(ISTEXT(Overig!J1305),Overig!J1305,10*Overig!J1305),""",""????0;"",""???-0;"",""????0;"", ////"""),"'","""")&amp;SUBSTITUTE(TEXT(Overig!K1305,""",""?00;"",""?-00;"",""?00;"", //"""),"'","""")&amp;SUBSTITUTE(TEXT(Overig!L1305,""",""???0;"",""??-0;"",""???0;"", ///"""),"'","""")&amp;SUBSTITUTE(TEXT(Overig!M1305,""",""?00;"",""?-00;"",""?00;"", //"""),"'","""")&amp;SUBSTITUTE(TEXT(IF(ISTEXT(Overig!N1305),Overig!N1305,10*Overig!N1305),""",""????0;"",""???-0;"",""????0;"", ////"""),"'","""")&amp;SUBSTITUTE(TEXT(Overig!O1305,""",""?00;"",""?-00;"",""?00;"", //"""),"'","""")&amp;SUBSTITUTE(TEXT(IF(ISTEXT(Overig!P1305),Overig!P1305,10*Overig!P1305),""",""????0;"",""???-0;"",""????0;"", ////"""),"'","""")&amp;SUBSTITUTE(TEXT(Overig!Q1305,""",""?00;"",""?-00;"",""?00;"", //"""),"'","""")&amp;SUBSTITUTE(TEXT(Overig!R1305,""",""????0;"",""???-0;"",""????0;"", ////"""),"'","""")&amp;SUBSTITUTE(TEXT(Overig!S1305,""",""?00;"",""?-00;"",""?00;"", //"""),"'","""")&amp;SUBSTITUTE(TEXT(IF(ISTEXT(Overig!T1305),Overig!T1305,10*Overig!T1305),""",""????0;"",""???-0;"",""????0;"", ////"""),"'","""")&amp;SUBSTITUTE(TEXT(Overig!U1305,""",""?00;"",""?-00;"",""?00;"", //"""),"'","""")&amp;SUBSTITUTE(TEXT(Overig!V1305,""",""???0;"",""??-0;"",""???0;"", ///"""),"'","""")&amp;SUBSTITUTE(TEXT(Overig!W1305,""",""?00;"",""?-00;"",""?00;"", //"""),"'","""")</f>
        <v>032, 19401121, 24.00, ////, 07, ////, 07, ////, 07, ////, 07, ///, 07, ////, 07, ////, 07, ////, 07, ////, 07, ///, 07</v>
      </c>
    </row>
    <row r="1306" spans="1:1" x14ac:dyDescent="0.25">
      <c r="A1306" s="12" t="str">
        <f ca="1">TEXT(Overig!A1306,"000\,")&amp;TEXT(Overig!B1306,"?00000000")&amp;TEXT(Overig!C1306,""", ""@")&amp;SUBSTITUTE(TEXT(IF(ISTEXT(Overig!D1306),Overig!D1306,10*Overig!D1306),""",""????0;"",""???-0;"",""????0;"", ////"""),"'","""")&amp;SUBSTITUTE(TEXT(Overig!E1306,""",""?00;"",""?-00;"",""?00;"", //"""),"'","""")&amp;SUBSTITUTE(TEXT(IF(ISTEXT(Overig!F1306),Overig!F1306,10*Overig!F1306),""",""????0;"",""???-0;"",""????0;"", ////"""),"'","""")&amp;SUBSTITUTE(TEXT(Overig!G1306,""",""?00;"",""?-00;"",""?00;"", //"""),"'","""")&amp;SUBSTITUTE(TEXT(IF(ISTEXT(Overig!H1306),Overig!H1306,10*Overig!H1306),""",""????0;"",""???-0;"",""????0;"", ////"""),"'","""")&amp;SUBSTITUTE(TEXT(Overig!I1306,""",""?00;"",""?-00;"",""?00;"", //"""),"'","""")&amp;SUBSTITUTE(TEXT(IF(ISTEXT(Overig!J1306),Overig!J1306,10*Overig!J1306),""",""????0;"",""???-0;"",""????0;"", ////"""),"'","""")&amp;SUBSTITUTE(TEXT(Overig!K1306,""",""?00;"",""?-00;"",""?00;"", //"""),"'","""")&amp;SUBSTITUTE(TEXT(Overig!L1306,""",""???0;"",""??-0;"",""???0;"", ///"""),"'","""")&amp;SUBSTITUTE(TEXT(Overig!M1306,""",""?00;"",""?-00;"",""?00;"", //"""),"'","""")&amp;SUBSTITUTE(TEXT(IF(ISTEXT(Overig!N1306),Overig!N1306,10*Overig!N1306),""",""????0;"",""???-0;"",""????0;"", ////"""),"'","""")&amp;SUBSTITUTE(TEXT(Overig!O1306,""",""?00;"",""?-00;"",""?00;"", //"""),"'","""")&amp;SUBSTITUTE(TEXT(IF(ISTEXT(Overig!P1306),Overig!P1306,10*Overig!P1306),""",""????0;"",""???-0;"",""????0;"", ////"""),"'","""")&amp;SUBSTITUTE(TEXT(Overig!Q1306,""",""?00;"",""?-00;"",""?00;"", //"""),"'","""")&amp;SUBSTITUTE(TEXT(Overig!R1306,""",""????0;"",""???-0;"",""????0;"", ////"""),"'","""")&amp;SUBSTITUTE(TEXT(Overig!S1306,""",""?00;"",""?-00;"",""?00;"", //"""),"'","""")&amp;SUBSTITUTE(TEXT(IF(ISTEXT(Overig!T1306),Overig!T1306,10*Overig!T1306),""",""????0;"",""???-0;"",""????0;"", ////"""),"'","""")&amp;SUBSTITUTE(TEXT(Overig!U1306,""",""?00;"",""?-00;"",""?00;"", //"""),"'","""")&amp;SUBSTITUTE(TEXT(Overig!V1306,""",""???0;"",""??-0;"",""???0;"", ///"""),"'","""")&amp;SUBSTITUTE(TEXT(Overig!W1306,""",""?00;"",""?-00;"",""?00;"", //"""),"'","""")</f>
        <v>032, 19401122, 07.00, ////, 07, ////, 07, ////, 07, ////, 07, ///, 07, ////, 07, ////, 07, ////, 07, ////, 07, ///, 07</v>
      </c>
    </row>
    <row r="1307" spans="1:1" x14ac:dyDescent="0.25">
      <c r="A1307" s="12" t="str">
        <f ca="1">TEXT(Overig!A1307,"000\,")&amp;TEXT(Overig!B1307,"?00000000")&amp;TEXT(Overig!C1307,""", ""@")&amp;SUBSTITUTE(TEXT(IF(ISTEXT(Overig!D1307),Overig!D1307,10*Overig!D1307),""",""????0;"",""???-0;"",""????0;"", ////"""),"'","""")&amp;SUBSTITUTE(TEXT(Overig!E1307,""",""?00;"",""?-00;"",""?00;"", //"""),"'","""")&amp;SUBSTITUTE(TEXT(IF(ISTEXT(Overig!F1307),Overig!F1307,10*Overig!F1307),""",""????0;"",""???-0;"",""????0;"", ////"""),"'","""")&amp;SUBSTITUTE(TEXT(Overig!G1307,""",""?00;"",""?-00;"",""?00;"", //"""),"'","""")&amp;SUBSTITUTE(TEXT(IF(ISTEXT(Overig!H1307),Overig!H1307,10*Overig!H1307),""",""????0;"",""???-0;"",""????0;"", ////"""),"'","""")&amp;SUBSTITUTE(TEXT(Overig!I1307,""",""?00;"",""?-00;"",""?00;"", //"""),"'","""")&amp;SUBSTITUTE(TEXT(IF(ISTEXT(Overig!J1307),Overig!J1307,10*Overig!J1307),""",""????0;"",""???-0;"",""????0;"", ////"""),"'","""")&amp;SUBSTITUTE(TEXT(Overig!K1307,""",""?00;"",""?-00;"",""?00;"", //"""),"'","""")&amp;SUBSTITUTE(TEXT(Overig!L1307,""",""???0;"",""??-0;"",""???0;"", ///"""),"'","""")&amp;SUBSTITUTE(TEXT(Overig!M1307,""",""?00;"",""?-00;"",""?00;"", //"""),"'","""")&amp;SUBSTITUTE(TEXT(IF(ISTEXT(Overig!N1307),Overig!N1307,10*Overig!N1307),""",""????0;"",""???-0;"",""????0;"", ////"""),"'","""")&amp;SUBSTITUTE(TEXT(Overig!O1307,""",""?00;"",""?-00;"",""?00;"", //"""),"'","""")&amp;SUBSTITUTE(TEXT(IF(ISTEXT(Overig!P1307),Overig!P1307,10*Overig!P1307),""",""????0;"",""???-0;"",""????0;"", ////"""),"'","""")&amp;SUBSTITUTE(TEXT(Overig!Q1307,""",""?00;"",""?-00;"",""?00;"", //"""),"'","""")&amp;SUBSTITUTE(TEXT(Overig!R1307,""",""????0;"",""???-0;"",""????0;"", ////"""),"'","""")&amp;SUBSTITUTE(TEXT(Overig!S1307,""",""?00;"",""?-00;"",""?00;"", //"""),"'","""")&amp;SUBSTITUTE(TEXT(IF(ISTEXT(Overig!T1307),Overig!T1307,10*Overig!T1307),""",""????0;"",""???-0;"",""????0;"", ////"""),"'","""")&amp;SUBSTITUTE(TEXT(Overig!U1307,""",""?00;"",""?-00;"",""?00;"", //"""),"'","""")&amp;SUBSTITUTE(TEXT(Overig!V1307,""",""???0;"",""??-0;"",""???0;"", ///"""),"'","""")&amp;SUBSTITUTE(TEXT(Overig!W1307,""",""?00;"",""?-00;"",""?00;"", //"""),"'","""")</f>
        <v>032, 19401122, 12.00, ////, 07, ////, 07, ////, 07, ////, 07, ///, 07, ////, 07, ////, 07, ////, 07, ////, 07, ///, 07</v>
      </c>
    </row>
    <row r="1308" spans="1:1" x14ac:dyDescent="0.25">
      <c r="A1308" s="12" t="str">
        <f ca="1">TEXT(Overig!A1308,"000\,")&amp;TEXT(Overig!B1308,"?00000000")&amp;TEXT(Overig!C1308,""", ""@")&amp;SUBSTITUTE(TEXT(IF(ISTEXT(Overig!D1308),Overig!D1308,10*Overig!D1308),""",""????0;"",""???-0;"",""????0;"", ////"""),"'","""")&amp;SUBSTITUTE(TEXT(Overig!E1308,""",""?00;"",""?-00;"",""?00;"", //"""),"'","""")&amp;SUBSTITUTE(TEXT(IF(ISTEXT(Overig!F1308),Overig!F1308,10*Overig!F1308),""",""????0;"",""???-0;"",""????0;"", ////"""),"'","""")&amp;SUBSTITUTE(TEXT(Overig!G1308,""",""?00;"",""?-00;"",""?00;"", //"""),"'","""")&amp;SUBSTITUTE(TEXT(IF(ISTEXT(Overig!H1308),Overig!H1308,10*Overig!H1308),""",""????0;"",""???-0;"",""????0;"", ////"""),"'","""")&amp;SUBSTITUTE(TEXT(Overig!I1308,""",""?00;"",""?-00;"",""?00;"", //"""),"'","""")&amp;SUBSTITUTE(TEXT(IF(ISTEXT(Overig!J1308),Overig!J1308,10*Overig!J1308),""",""????0;"",""???-0;"",""????0;"", ////"""),"'","""")&amp;SUBSTITUTE(TEXT(Overig!K1308,""",""?00;"",""?-00;"",""?00;"", //"""),"'","""")&amp;SUBSTITUTE(TEXT(Overig!L1308,""",""???0;"",""??-0;"",""???0;"", ///"""),"'","""")&amp;SUBSTITUTE(TEXT(Overig!M1308,""",""?00;"",""?-00;"",""?00;"", //"""),"'","""")&amp;SUBSTITUTE(TEXT(IF(ISTEXT(Overig!N1308),Overig!N1308,10*Overig!N1308),""",""????0;"",""???-0;"",""????0;"", ////"""),"'","""")&amp;SUBSTITUTE(TEXT(Overig!O1308,""",""?00;"",""?-00;"",""?00;"", //"""),"'","""")&amp;SUBSTITUTE(TEXT(IF(ISTEXT(Overig!P1308),Overig!P1308,10*Overig!P1308),""",""????0;"",""???-0;"",""????0;"", ////"""),"'","""")&amp;SUBSTITUTE(TEXT(Overig!Q1308,""",""?00;"",""?-00;"",""?00;"", //"""),"'","""")&amp;SUBSTITUTE(TEXT(Overig!R1308,""",""????0;"",""???-0;"",""????0;"", ////"""),"'","""")&amp;SUBSTITUTE(TEXT(Overig!S1308,""",""?00;"",""?-00;"",""?00;"", //"""),"'","""")&amp;SUBSTITUTE(TEXT(IF(ISTEXT(Overig!T1308),Overig!T1308,10*Overig!T1308),""",""????0;"",""???-0;"",""????0;"", ////"""),"'","""")&amp;SUBSTITUTE(TEXT(Overig!U1308,""",""?00;"",""?-00;"",""?00;"", //"""),"'","""")&amp;SUBSTITUTE(TEXT(Overig!V1308,""",""???0;"",""??-0;"",""???0;"", ///"""),"'","""")&amp;SUBSTITUTE(TEXT(Overig!W1308,""",""?00;"",""?-00;"",""?00;"", //"""),"'","""")</f>
        <v>032, 19401122, 17.00, ////, 07, ////, 07, ////, 07, ////, 07, ///, 07, ////, 07, ////, 07, ////, 07, ////, 07, ///, 07</v>
      </c>
    </row>
    <row r="1309" spans="1:1" x14ac:dyDescent="0.25">
      <c r="A1309" s="12" t="str">
        <f ca="1">TEXT(Overig!A1309,"000\,")&amp;TEXT(Overig!B1309,"?00000000")&amp;TEXT(Overig!C1309,""", ""@")&amp;SUBSTITUTE(TEXT(IF(ISTEXT(Overig!D1309),Overig!D1309,10*Overig!D1309),""",""????0;"",""???-0;"",""????0;"", ////"""),"'","""")&amp;SUBSTITUTE(TEXT(Overig!E1309,""",""?00;"",""?-00;"",""?00;"", //"""),"'","""")&amp;SUBSTITUTE(TEXT(IF(ISTEXT(Overig!F1309),Overig!F1309,10*Overig!F1309),""",""????0;"",""???-0;"",""????0;"", ////"""),"'","""")&amp;SUBSTITUTE(TEXT(Overig!G1309,""",""?00;"",""?-00;"",""?00;"", //"""),"'","""")&amp;SUBSTITUTE(TEXT(IF(ISTEXT(Overig!H1309),Overig!H1309,10*Overig!H1309),""",""????0;"",""???-0;"",""????0;"", ////"""),"'","""")&amp;SUBSTITUTE(TEXT(Overig!I1309,""",""?00;"",""?-00;"",""?00;"", //"""),"'","""")&amp;SUBSTITUTE(TEXT(IF(ISTEXT(Overig!J1309),Overig!J1309,10*Overig!J1309),""",""????0;"",""???-0;"",""????0;"", ////"""),"'","""")&amp;SUBSTITUTE(TEXT(Overig!K1309,""",""?00;"",""?-00;"",""?00;"", //"""),"'","""")&amp;SUBSTITUTE(TEXT(Overig!L1309,""",""???0;"",""??-0;"",""???0;"", ///"""),"'","""")&amp;SUBSTITUTE(TEXT(Overig!M1309,""",""?00;"",""?-00;"",""?00;"", //"""),"'","""")&amp;SUBSTITUTE(TEXT(IF(ISTEXT(Overig!N1309),Overig!N1309,10*Overig!N1309),""",""????0;"",""???-0;"",""????0;"", ////"""),"'","""")&amp;SUBSTITUTE(TEXT(Overig!O1309,""",""?00;"",""?-00;"",""?00;"", //"""),"'","""")&amp;SUBSTITUTE(TEXT(IF(ISTEXT(Overig!P1309),Overig!P1309,10*Overig!P1309),""",""????0;"",""???-0;"",""????0;"", ////"""),"'","""")&amp;SUBSTITUTE(TEXT(Overig!Q1309,""",""?00;"",""?-00;"",""?00;"", //"""),"'","""")&amp;SUBSTITUTE(TEXT(Overig!R1309,""",""????0;"",""???-0;"",""????0;"", ////"""),"'","""")&amp;SUBSTITUTE(TEXT(Overig!S1309,""",""?00;"",""?-00;"",""?00;"", //"""),"'","""")&amp;SUBSTITUTE(TEXT(IF(ISTEXT(Overig!T1309),Overig!T1309,10*Overig!T1309),""",""????0;"",""???-0;"",""????0;"", ////"""),"'","""")&amp;SUBSTITUTE(TEXT(Overig!U1309,""",""?00;"",""?-00;"",""?00;"", //"""),"'","""")&amp;SUBSTITUTE(TEXT(Overig!V1309,""",""???0;"",""??-0;"",""???0;"", ///"""),"'","""")&amp;SUBSTITUTE(TEXT(Overig!W1309,""",""?00;"",""?-00;"",""?00;"", //"""),"'","""")</f>
        <v>032, 19401122, 24.00, ////, 07, ////, 07, ////, 07, ////, 07, ///, 07, ////, 07, ////, 07, ////, 07, ////, 07, ///, 07</v>
      </c>
    </row>
    <row r="1310" spans="1:1" x14ac:dyDescent="0.25">
      <c r="A1310" s="12" t="str">
        <f ca="1">TEXT(Overig!A1310,"000\,")&amp;TEXT(Overig!B1310,"?00000000")&amp;TEXT(Overig!C1310,""", ""@")&amp;SUBSTITUTE(TEXT(IF(ISTEXT(Overig!D1310),Overig!D1310,10*Overig!D1310),""",""????0;"",""???-0;"",""????0;"", ////"""),"'","""")&amp;SUBSTITUTE(TEXT(Overig!E1310,""",""?00;"",""?-00;"",""?00;"", //"""),"'","""")&amp;SUBSTITUTE(TEXT(IF(ISTEXT(Overig!F1310),Overig!F1310,10*Overig!F1310),""",""????0;"",""???-0;"",""????0;"", ////"""),"'","""")&amp;SUBSTITUTE(TEXT(Overig!G1310,""",""?00;"",""?-00;"",""?00;"", //"""),"'","""")&amp;SUBSTITUTE(TEXT(IF(ISTEXT(Overig!H1310),Overig!H1310,10*Overig!H1310),""",""????0;"",""???-0;"",""????0;"", ////"""),"'","""")&amp;SUBSTITUTE(TEXT(Overig!I1310,""",""?00;"",""?-00;"",""?00;"", //"""),"'","""")&amp;SUBSTITUTE(TEXT(IF(ISTEXT(Overig!J1310),Overig!J1310,10*Overig!J1310),""",""????0;"",""???-0;"",""????0;"", ////"""),"'","""")&amp;SUBSTITUTE(TEXT(Overig!K1310,""",""?00;"",""?-00;"",""?00;"", //"""),"'","""")&amp;SUBSTITUTE(TEXT(Overig!L1310,""",""???0;"",""??-0;"",""???0;"", ///"""),"'","""")&amp;SUBSTITUTE(TEXT(Overig!M1310,""",""?00;"",""?-00;"",""?00;"", //"""),"'","""")&amp;SUBSTITUTE(TEXT(IF(ISTEXT(Overig!N1310),Overig!N1310,10*Overig!N1310),""",""????0;"",""???-0;"",""????0;"", ////"""),"'","""")&amp;SUBSTITUTE(TEXT(Overig!O1310,""",""?00;"",""?-00;"",""?00;"", //"""),"'","""")&amp;SUBSTITUTE(TEXT(IF(ISTEXT(Overig!P1310),Overig!P1310,10*Overig!P1310),""",""????0;"",""???-0;"",""????0;"", ////"""),"'","""")&amp;SUBSTITUTE(TEXT(Overig!Q1310,""",""?00;"",""?-00;"",""?00;"", //"""),"'","""")&amp;SUBSTITUTE(TEXT(Overig!R1310,""",""????0;"",""???-0;"",""????0;"", ////"""),"'","""")&amp;SUBSTITUTE(TEXT(Overig!S1310,""",""?00;"",""?-00;"",""?00;"", //"""),"'","""")&amp;SUBSTITUTE(TEXT(IF(ISTEXT(Overig!T1310),Overig!T1310,10*Overig!T1310),""",""????0;"",""???-0;"",""????0;"", ////"""),"'","""")&amp;SUBSTITUTE(TEXT(Overig!U1310,""",""?00;"",""?-00;"",""?00;"", //"""),"'","""")&amp;SUBSTITUTE(TEXT(Overig!V1310,""",""???0;"",""??-0;"",""???0;"", ///"""),"'","""")&amp;SUBSTITUTE(TEXT(Overig!W1310,""",""?00;"",""?-00;"",""?00;"", //"""),"'","""")</f>
        <v>032, 19401123, 07.00, ////, 07, ////, 07, ////, 07, ////, 07, ///, 07, ////, 07, ////, 07, ////, 07, ////, 07, ///, 07</v>
      </c>
    </row>
    <row r="1311" spans="1:1" x14ac:dyDescent="0.25">
      <c r="A1311" s="12" t="str">
        <f ca="1">TEXT(Overig!A1311,"000\,")&amp;TEXT(Overig!B1311,"?00000000")&amp;TEXT(Overig!C1311,""", ""@")&amp;SUBSTITUTE(TEXT(IF(ISTEXT(Overig!D1311),Overig!D1311,10*Overig!D1311),""",""????0;"",""???-0;"",""????0;"", ////"""),"'","""")&amp;SUBSTITUTE(TEXT(Overig!E1311,""",""?00;"",""?-00;"",""?00;"", //"""),"'","""")&amp;SUBSTITUTE(TEXT(IF(ISTEXT(Overig!F1311),Overig!F1311,10*Overig!F1311),""",""????0;"",""???-0;"",""????0;"", ////"""),"'","""")&amp;SUBSTITUTE(TEXT(Overig!G1311,""",""?00;"",""?-00;"",""?00;"", //"""),"'","""")&amp;SUBSTITUTE(TEXT(IF(ISTEXT(Overig!H1311),Overig!H1311,10*Overig!H1311),""",""????0;"",""???-0;"",""????0;"", ////"""),"'","""")&amp;SUBSTITUTE(TEXT(Overig!I1311,""",""?00;"",""?-00;"",""?00;"", //"""),"'","""")&amp;SUBSTITUTE(TEXT(IF(ISTEXT(Overig!J1311),Overig!J1311,10*Overig!J1311),""",""????0;"",""???-0;"",""????0;"", ////"""),"'","""")&amp;SUBSTITUTE(TEXT(Overig!K1311,""",""?00;"",""?-00;"",""?00;"", //"""),"'","""")&amp;SUBSTITUTE(TEXT(Overig!L1311,""",""???0;"",""??-0;"",""???0;"", ///"""),"'","""")&amp;SUBSTITUTE(TEXT(Overig!M1311,""",""?00;"",""?-00;"",""?00;"", //"""),"'","""")&amp;SUBSTITUTE(TEXT(IF(ISTEXT(Overig!N1311),Overig!N1311,10*Overig!N1311),""",""????0;"",""???-0;"",""????0;"", ////"""),"'","""")&amp;SUBSTITUTE(TEXT(Overig!O1311,""",""?00;"",""?-00;"",""?00;"", //"""),"'","""")&amp;SUBSTITUTE(TEXT(IF(ISTEXT(Overig!P1311),Overig!P1311,10*Overig!P1311),""",""????0;"",""???-0;"",""????0;"", ////"""),"'","""")&amp;SUBSTITUTE(TEXT(Overig!Q1311,""",""?00;"",""?-00;"",""?00;"", //"""),"'","""")&amp;SUBSTITUTE(TEXT(Overig!R1311,""",""????0;"",""???-0;"",""????0;"", ////"""),"'","""")&amp;SUBSTITUTE(TEXT(Overig!S1311,""",""?00;"",""?-00;"",""?00;"", //"""),"'","""")&amp;SUBSTITUTE(TEXT(IF(ISTEXT(Overig!T1311),Overig!T1311,10*Overig!T1311),""",""????0;"",""???-0;"",""????0;"", ////"""),"'","""")&amp;SUBSTITUTE(TEXT(Overig!U1311,""",""?00;"",""?-00;"",""?00;"", //"""),"'","""")&amp;SUBSTITUTE(TEXT(Overig!V1311,""",""???0;"",""??-0;"",""???0;"", ///"""),"'","""")&amp;SUBSTITUTE(TEXT(Overig!W1311,""",""?00;"",""?-00;"",""?00;"", //"""),"'","""")</f>
        <v>032, 19401123, 12.00, ////, 07, ////, 07, ////, 07, ////, 07, ///, 07, ////, 07, ////, 07, ////, 07, ////, 07, ///, 07</v>
      </c>
    </row>
    <row r="1312" spans="1:1" x14ac:dyDescent="0.25">
      <c r="A1312" s="12" t="str">
        <f ca="1">TEXT(Overig!A1312,"000\,")&amp;TEXT(Overig!B1312,"?00000000")&amp;TEXT(Overig!C1312,""", ""@")&amp;SUBSTITUTE(TEXT(IF(ISTEXT(Overig!D1312),Overig!D1312,10*Overig!D1312),""",""????0;"",""???-0;"",""????0;"", ////"""),"'","""")&amp;SUBSTITUTE(TEXT(Overig!E1312,""",""?00;"",""?-00;"",""?00;"", //"""),"'","""")&amp;SUBSTITUTE(TEXT(IF(ISTEXT(Overig!F1312),Overig!F1312,10*Overig!F1312),""",""????0;"",""???-0;"",""????0;"", ////"""),"'","""")&amp;SUBSTITUTE(TEXT(Overig!G1312,""",""?00;"",""?-00;"",""?00;"", //"""),"'","""")&amp;SUBSTITUTE(TEXT(IF(ISTEXT(Overig!H1312),Overig!H1312,10*Overig!H1312),""",""????0;"",""???-0;"",""????0;"", ////"""),"'","""")&amp;SUBSTITUTE(TEXT(Overig!I1312,""",""?00;"",""?-00;"",""?00;"", //"""),"'","""")&amp;SUBSTITUTE(TEXT(IF(ISTEXT(Overig!J1312),Overig!J1312,10*Overig!J1312),""",""????0;"",""???-0;"",""????0;"", ////"""),"'","""")&amp;SUBSTITUTE(TEXT(Overig!K1312,""",""?00;"",""?-00;"",""?00;"", //"""),"'","""")&amp;SUBSTITUTE(TEXT(Overig!L1312,""",""???0;"",""??-0;"",""???0;"", ///"""),"'","""")&amp;SUBSTITUTE(TEXT(Overig!M1312,""",""?00;"",""?-00;"",""?00;"", //"""),"'","""")&amp;SUBSTITUTE(TEXT(IF(ISTEXT(Overig!N1312),Overig!N1312,10*Overig!N1312),""",""????0;"",""???-0;"",""????0;"", ////"""),"'","""")&amp;SUBSTITUTE(TEXT(Overig!O1312,""",""?00;"",""?-00;"",""?00;"", //"""),"'","""")&amp;SUBSTITUTE(TEXT(IF(ISTEXT(Overig!P1312),Overig!P1312,10*Overig!P1312),""",""????0;"",""???-0;"",""????0;"", ////"""),"'","""")&amp;SUBSTITUTE(TEXT(Overig!Q1312,""",""?00;"",""?-00;"",""?00;"", //"""),"'","""")&amp;SUBSTITUTE(TEXT(Overig!R1312,""",""????0;"",""???-0;"",""????0;"", ////"""),"'","""")&amp;SUBSTITUTE(TEXT(Overig!S1312,""",""?00;"",""?-00;"",""?00;"", //"""),"'","""")&amp;SUBSTITUTE(TEXT(IF(ISTEXT(Overig!T1312),Overig!T1312,10*Overig!T1312),""",""????0;"",""???-0;"",""????0;"", ////"""),"'","""")&amp;SUBSTITUTE(TEXT(Overig!U1312,""",""?00;"",""?-00;"",""?00;"", //"""),"'","""")&amp;SUBSTITUTE(TEXT(Overig!V1312,""",""???0;"",""??-0;"",""???0;"", ///"""),"'","""")&amp;SUBSTITUTE(TEXT(Overig!W1312,""",""?00;"",""?-00;"",""?00;"", //"""),"'","""")</f>
        <v>032, 19401123, 17.00, ////, 07, ////, 07, ////, 07, ////, 07, ///, 07, ////, 07, ////, 07, ////, 07, ////, 07, ///, 07</v>
      </c>
    </row>
    <row r="1313" spans="1:1" x14ac:dyDescent="0.25">
      <c r="A1313" s="12" t="str">
        <f ca="1">TEXT(Overig!A1313,"000\,")&amp;TEXT(Overig!B1313,"?00000000")&amp;TEXT(Overig!C1313,""", ""@")&amp;SUBSTITUTE(TEXT(IF(ISTEXT(Overig!D1313),Overig!D1313,10*Overig!D1313),""",""????0;"",""???-0;"",""????0;"", ////"""),"'","""")&amp;SUBSTITUTE(TEXT(Overig!E1313,""",""?00;"",""?-00;"",""?00;"", //"""),"'","""")&amp;SUBSTITUTE(TEXT(IF(ISTEXT(Overig!F1313),Overig!F1313,10*Overig!F1313),""",""????0;"",""???-0;"",""????0;"", ////"""),"'","""")&amp;SUBSTITUTE(TEXT(Overig!G1313,""",""?00;"",""?-00;"",""?00;"", //"""),"'","""")&amp;SUBSTITUTE(TEXT(IF(ISTEXT(Overig!H1313),Overig!H1313,10*Overig!H1313),""",""????0;"",""???-0;"",""????0;"", ////"""),"'","""")&amp;SUBSTITUTE(TEXT(Overig!I1313,""",""?00;"",""?-00;"",""?00;"", //"""),"'","""")&amp;SUBSTITUTE(TEXT(IF(ISTEXT(Overig!J1313),Overig!J1313,10*Overig!J1313),""",""????0;"",""???-0;"",""????0;"", ////"""),"'","""")&amp;SUBSTITUTE(TEXT(Overig!K1313,""",""?00;"",""?-00;"",""?00;"", //"""),"'","""")&amp;SUBSTITUTE(TEXT(Overig!L1313,""",""???0;"",""??-0;"",""???0;"", ///"""),"'","""")&amp;SUBSTITUTE(TEXT(Overig!M1313,""",""?00;"",""?-00;"",""?00;"", //"""),"'","""")&amp;SUBSTITUTE(TEXT(IF(ISTEXT(Overig!N1313),Overig!N1313,10*Overig!N1313),""",""????0;"",""???-0;"",""????0;"", ////"""),"'","""")&amp;SUBSTITUTE(TEXT(Overig!O1313,""",""?00;"",""?-00;"",""?00;"", //"""),"'","""")&amp;SUBSTITUTE(TEXT(IF(ISTEXT(Overig!P1313),Overig!P1313,10*Overig!P1313),""",""????0;"",""???-0;"",""????0;"", ////"""),"'","""")&amp;SUBSTITUTE(TEXT(Overig!Q1313,""",""?00;"",""?-00;"",""?00;"", //"""),"'","""")&amp;SUBSTITUTE(TEXT(Overig!R1313,""",""????0;"",""???-0;"",""????0;"", ////"""),"'","""")&amp;SUBSTITUTE(TEXT(Overig!S1313,""",""?00;"",""?-00;"",""?00;"", //"""),"'","""")&amp;SUBSTITUTE(TEXT(IF(ISTEXT(Overig!T1313),Overig!T1313,10*Overig!T1313),""",""????0;"",""???-0;"",""????0;"", ////"""),"'","""")&amp;SUBSTITUTE(TEXT(Overig!U1313,""",""?00;"",""?-00;"",""?00;"", //"""),"'","""")&amp;SUBSTITUTE(TEXT(Overig!V1313,""",""???0;"",""??-0;"",""???0;"", ///"""),"'","""")&amp;SUBSTITUTE(TEXT(Overig!W1313,""",""?00;"",""?-00;"",""?00;"", //"""),"'","""")</f>
        <v>032, 19401123, 24.00, ////, 07, ////, 07, ////, 07, ////, 07, ///, 07, ////, 07, ////, 07, ////, 07, ////, 07, ///, 07</v>
      </c>
    </row>
    <row r="1314" spans="1:1" x14ac:dyDescent="0.25">
      <c r="A1314" s="12" t="str">
        <f ca="1">TEXT(Overig!A1314,"000\,")&amp;TEXT(Overig!B1314,"?00000000")&amp;TEXT(Overig!C1314,""", ""@")&amp;SUBSTITUTE(TEXT(IF(ISTEXT(Overig!D1314),Overig!D1314,10*Overig!D1314),""",""????0;"",""???-0;"",""????0;"", ////"""),"'","""")&amp;SUBSTITUTE(TEXT(Overig!E1314,""",""?00;"",""?-00;"",""?00;"", //"""),"'","""")&amp;SUBSTITUTE(TEXT(IF(ISTEXT(Overig!F1314),Overig!F1314,10*Overig!F1314),""",""????0;"",""???-0;"",""????0;"", ////"""),"'","""")&amp;SUBSTITUTE(TEXT(Overig!G1314,""",""?00;"",""?-00;"",""?00;"", //"""),"'","""")&amp;SUBSTITUTE(TEXT(IF(ISTEXT(Overig!H1314),Overig!H1314,10*Overig!H1314),""",""????0;"",""???-0;"",""????0;"", ////"""),"'","""")&amp;SUBSTITUTE(TEXT(Overig!I1314,""",""?00;"",""?-00;"",""?00;"", //"""),"'","""")&amp;SUBSTITUTE(TEXT(IF(ISTEXT(Overig!J1314),Overig!J1314,10*Overig!J1314),""",""????0;"",""???-0;"",""????0;"", ////"""),"'","""")&amp;SUBSTITUTE(TEXT(Overig!K1314,""",""?00;"",""?-00;"",""?00;"", //"""),"'","""")&amp;SUBSTITUTE(TEXT(Overig!L1314,""",""???0;"",""??-0;"",""???0;"", ///"""),"'","""")&amp;SUBSTITUTE(TEXT(Overig!M1314,""",""?00;"",""?-00;"",""?00;"", //"""),"'","""")&amp;SUBSTITUTE(TEXT(IF(ISTEXT(Overig!N1314),Overig!N1314,10*Overig!N1314),""",""????0;"",""???-0;"",""????0;"", ////"""),"'","""")&amp;SUBSTITUTE(TEXT(Overig!O1314,""",""?00;"",""?-00;"",""?00;"", //"""),"'","""")&amp;SUBSTITUTE(TEXT(IF(ISTEXT(Overig!P1314),Overig!P1314,10*Overig!P1314),""",""????0;"",""???-0;"",""????0;"", ////"""),"'","""")&amp;SUBSTITUTE(TEXT(Overig!Q1314,""",""?00;"",""?-00;"",""?00;"", //"""),"'","""")&amp;SUBSTITUTE(TEXT(Overig!R1314,""",""????0;"",""???-0;"",""????0;"", ////"""),"'","""")&amp;SUBSTITUTE(TEXT(Overig!S1314,""",""?00;"",""?-00;"",""?00;"", //"""),"'","""")&amp;SUBSTITUTE(TEXT(IF(ISTEXT(Overig!T1314),Overig!T1314,10*Overig!T1314),""",""????0;"",""???-0;"",""????0;"", ////"""),"'","""")&amp;SUBSTITUTE(TEXT(Overig!U1314,""",""?00;"",""?-00;"",""?00;"", //"""),"'","""")&amp;SUBSTITUTE(TEXT(Overig!V1314,""",""???0;"",""??-0;"",""???0;"", ///"""),"'","""")&amp;SUBSTITUTE(TEXT(Overig!W1314,""",""?00;"",""?-00;"",""?00;"", //"""),"'","""")</f>
        <v>032, 19401124, 07.00, ////, 07, ////, 07, ////, 07, ////, 07, ///, 07, ////, 07, ////, 07, ////, 07, ////, 07, ///, 07</v>
      </c>
    </row>
    <row r="1315" spans="1:1" x14ac:dyDescent="0.25">
      <c r="A1315" s="12" t="str">
        <f ca="1">TEXT(Overig!A1315,"000\,")&amp;TEXT(Overig!B1315,"?00000000")&amp;TEXT(Overig!C1315,""", ""@")&amp;SUBSTITUTE(TEXT(IF(ISTEXT(Overig!D1315),Overig!D1315,10*Overig!D1315),""",""????0;"",""???-0;"",""????0;"", ////"""),"'","""")&amp;SUBSTITUTE(TEXT(Overig!E1315,""",""?00;"",""?-00;"",""?00;"", //"""),"'","""")&amp;SUBSTITUTE(TEXT(IF(ISTEXT(Overig!F1315),Overig!F1315,10*Overig!F1315),""",""????0;"",""???-0;"",""????0;"", ////"""),"'","""")&amp;SUBSTITUTE(TEXT(Overig!G1315,""",""?00;"",""?-00;"",""?00;"", //"""),"'","""")&amp;SUBSTITUTE(TEXT(IF(ISTEXT(Overig!H1315),Overig!H1315,10*Overig!H1315),""",""????0;"",""???-0;"",""????0;"", ////"""),"'","""")&amp;SUBSTITUTE(TEXT(Overig!I1315,""",""?00;"",""?-00;"",""?00;"", //"""),"'","""")&amp;SUBSTITUTE(TEXT(IF(ISTEXT(Overig!J1315),Overig!J1315,10*Overig!J1315),""",""????0;"",""???-0;"",""????0;"", ////"""),"'","""")&amp;SUBSTITUTE(TEXT(Overig!K1315,""",""?00;"",""?-00;"",""?00;"", //"""),"'","""")&amp;SUBSTITUTE(TEXT(Overig!L1315,""",""???0;"",""??-0;"",""???0;"", ///"""),"'","""")&amp;SUBSTITUTE(TEXT(Overig!M1315,""",""?00;"",""?-00;"",""?00;"", //"""),"'","""")&amp;SUBSTITUTE(TEXT(IF(ISTEXT(Overig!N1315),Overig!N1315,10*Overig!N1315),""",""????0;"",""???-0;"",""????0;"", ////"""),"'","""")&amp;SUBSTITUTE(TEXT(Overig!O1315,""",""?00;"",""?-00;"",""?00;"", //"""),"'","""")&amp;SUBSTITUTE(TEXT(IF(ISTEXT(Overig!P1315),Overig!P1315,10*Overig!P1315),""",""????0;"",""???-0;"",""????0;"", ////"""),"'","""")&amp;SUBSTITUTE(TEXT(Overig!Q1315,""",""?00;"",""?-00;"",""?00;"", //"""),"'","""")&amp;SUBSTITUTE(TEXT(Overig!R1315,""",""????0;"",""???-0;"",""????0;"", ////"""),"'","""")&amp;SUBSTITUTE(TEXT(Overig!S1315,""",""?00;"",""?-00;"",""?00;"", //"""),"'","""")&amp;SUBSTITUTE(TEXT(IF(ISTEXT(Overig!T1315),Overig!T1315,10*Overig!T1315),""",""????0;"",""???-0;"",""????0;"", ////"""),"'","""")&amp;SUBSTITUTE(TEXT(Overig!U1315,""",""?00;"",""?-00;"",""?00;"", //"""),"'","""")&amp;SUBSTITUTE(TEXT(Overig!V1315,""",""???0;"",""??-0;"",""???0;"", ///"""),"'","""")&amp;SUBSTITUTE(TEXT(Overig!W1315,""",""?00;"",""?-00;"",""?00;"", //"""),"'","""")</f>
        <v>032, 19401124, 12.00, ////, 07, ////, 07, ////, 07, ////, 07, ///, 07, ////, 07, ////, 07, ////, 07, ////, 07, ///, 07</v>
      </c>
    </row>
    <row r="1316" spans="1:1" x14ac:dyDescent="0.25">
      <c r="A1316" s="12" t="str">
        <f ca="1">TEXT(Overig!A1316,"000\,")&amp;TEXT(Overig!B1316,"?00000000")&amp;TEXT(Overig!C1316,""", ""@")&amp;SUBSTITUTE(TEXT(IF(ISTEXT(Overig!D1316),Overig!D1316,10*Overig!D1316),""",""????0;"",""???-0;"",""????0;"", ////"""),"'","""")&amp;SUBSTITUTE(TEXT(Overig!E1316,""",""?00;"",""?-00;"",""?00;"", //"""),"'","""")&amp;SUBSTITUTE(TEXT(IF(ISTEXT(Overig!F1316),Overig!F1316,10*Overig!F1316),""",""????0;"",""???-0;"",""????0;"", ////"""),"'","""")&amp;SUBSTITUTE(TEXT(Overig!G1316,""",""?00;"",""?-00;"",""?00;"", //"""),"'","""")&amp;SUBSTITUTE(TEXT(IF(ISTEXT(Overig!H1316),Overig!H1316,10*Overig!H1316),""",""????0;"",""???-0;"",""????0;"", ////"""),"'","""")&amp;SUBSTITUTE(TEXT(Overig!I1316,""",""?00;"",""?-00;"",""?00;"", //"""),"'","""")&amp;SUBSTITUTE(TEXT(IF(ISTEXT(Overig!J1316),Overig!J1316,10*Overig!J1316),""",""????0;"",""???-0;"",""????0;"", ////"""),"'","""")&amp;SUBSTITUTE(TEXT(Overig!K1316,""",""?00;"",""?-00;"",""?00;"", //"""),"'","""")&amp;SUBSTITUTE(TEXT(Overig!L1316,""",""???0;"",""??-0;"",""???0;"", ///"""),"'","""")&amp;SUBSTITUTE(TEXT(Overig!M1316,""",""?00;"",""?-00;"",""?00;"", //"""),"'","""")&amp;SUBSTITUTE(TEXT(IF(ISTEXT(Overig!N1316),Overig!N1316,10*Overig!N1316),""",""????0;"",""???-0;"",""????0;"", ////"""),"'","""")&amp;SUBSTITUTE(TEXT(Overig!O1316,""",""?00;"",""?-00;"",""?00;"", //"""),"'","""")&amp;SUBSTITUTE(TEXT(IF(ISTEXT(Overig!P1316),Overig!P1316,10*Overig!P1316),""",""????0;"",""???-0;"",""????0;"", ////"""),"'","""")&amp;SUBSTITUTE(TEXT(Overig!Q1316,""",""?00;"",""?-00;"",""?00;"", //"""),"'","""")&amp;SUBSTITUTE(TEXT(Overig!R1316,""",""????0;"",""???-0;"",""????0;"", ////"""),"'","""")&amp;SUBSTITUTE(TEXT(Overig!S1316,""",""?00;"",""?-00;"",""?00;"", //"""),"'","""")&amp;SUBSTITUTE(TEXT(IF(ISTEXT(Overig!T1316),Overig!T1316,10*Overig!T1316),""",""????0;"",""???-0;"",""????0;"", ////"""),"'","""")&amp;SUBSTITUTE(TEXT(Overig!U1316,""",""?00;"",""?-00;"",""?00;"", //"""),"'","""")&amp;SUBSTITUTE(TEXT(Overig!V1316,""",""???0;"",""??-0;"",""???0;"", ///"""),"'","""")&amp;SUBSTITUTE(TEXT(Overig!W1316,""",""?00;"",""?-00;"",""?00;"", //"""),"'","""")</f>
        <v>032, 19401124, 17.00, ////, 07, ////, 07, ////, 07, ////, 07, ///, 07, ////, 07, ////, 07, ////, 07, ////, 07, ///, 07</v>
      </c>
    </row>
    <row r="1317" spans="1:1" x14ac:dyDescent="0.25">
      <c r="A1317" s="12" t="str">
        <f ca="1">TEXT(Overig!A1317,"000\,")&amp;TEXT(Overig!B1317,"?00000000")&amp;TEXT(Overig!C1317,""", ""@")&amp;SUBSTITUTE(TEXT(IF(ISTEXT(Overig!D1317),Overig!D1317,10*Overig!D1317),""",""????0;"",""???-0;"",""????0;"", ////"""),"'","""")&amp;SUBSTITUTE(TEXT(Overig!E1317,""",""?00;"",""?-00;"",""?00;"", //"""),"'","""")&amp;SUBSTITUTE(TEXT(IF(ISTEXT(Overig!F1317),Overig!F1317,10*Overig!F1317),""",""????0;"",""???-0;"",""????0;"", ////"""),"'","""")&amp;SUBSTITUTE(TEXT(Overig!G1317,""",""?00;"",""?-00;"",""?00;"", //"""),"'","""")&amp;SUBSTITUTE(TEXT(IF(ISTEXT(Overig!H1317),Overig!H1317,10*Overig!H1317),""",""????0;"",""???-0;"",""????0;"", ////"""),"'","""")&amp;SUBSTITUTE(TEXT(Overig!I1317,""",""?00;"",""?-00;"",""?00;"", //"""),"'","""")&amp;SUBSTITUTE(TEXT(IF(ISTEXT(Overig!J1317),Overig!J1317,10*Overig!J1317),""",""????0;"",""???-0;"",""????0;"", ////"""),"'","""")&amp;SUBSTITUTE(TEXT(Overig!K1317,""",""?00;"",""?-00;"",""?00;"", //"""),"'","""")&amp;SUBSTITUTE(TEXT(Overig!L1317,""",""???0;"",""??-0;"",""???0;"", ///"""),"'","""")&amp;SUBSTITUTE(TEXT(Overig!M1317,""",""?00;"",""?-00;"",""?00;"", //"""),"'","""")&amp;SUBSTITUTE(TEXT(IF(ISTEXT(Overig!N1317),Overig!N1317,10*Overig!N1317),""",""????0;"",""???-0;"",""????0;"", ////"""),"'","""")&amp;SUBSTITUTE(TEXT(Overig!O1317,""",""?00;"",""?-00;"",""?00;"", //"""),"'","""")&amp;SUBSTITUTE(TEXT(IF(ISTEXT(Overig!P1317),Overig!P1317,10*Overig!P1317),""",""????0;"",""???-0;"",""????0;"", ////"""),"'","""")&amp;SUBSTITUTE(TEXT(Overig!Q1317,""",""?00;"",""?-00;"",""?00;"", //"""),"'","""")&amp;SUBSTITUTE(TEXT(Overig!R1317,""",""????0;"",""???-0;"",""????0;"", ////"""),"'","""")&amp;SUBSTITUTE(TEXT(Overig!S1317,""",""?00;"",""?-00;"",""?00;"", //"""),"'","""")&amp;SUBSTITUTE(TEXT(IF(ISTEXT(Overig!T1317),Overig!T1317,10*Overig!T1317),""",""????0;"",""???-0;"",""????0;"", ////"""),"'","""")&amp;SUBSTITUTE(TEXT(Overig!U1317,""",""?00;"",""?-00;"",""?00;"", //"""),"'","""")&amp;SUBSTITUTE(TEXT(Overig!V1317,""",""???0;"",""??-0;"",""???0;"", ///"""),"'","""")&amp;SUBSTITUTE(TEXT(Overig!W1317,""",""?00;"",""?-00;"",""?00;"", //"""),"'","""")</f>
        <v>032, 19401124, 24.00, ////, 07, ////, 07, ////, 07, ////, 07, ///, 07, ////, 07, ////, 07, ////, 07, ////, 07, ///, 07</v>
      </c>
    </row>
    <row r="1318" spans="1:1" x14ac:dyDescent="0.25">
      <c r="A1318" s="12" t="str">
        <f ca="1">TEXT(Overig!A1318,"000\,")&amp;TEXT(Overig!B1318,"?00000000")&amp;TEXT(Overig!C1318,""", ""@")&amp;SUBSTITUTE(TEXT(IF(ISTEXT(Overig!D1318),Overig!D1318,10*Overig!D1318),""",""????0;"",""???-0;"",""????0;"", ////"""),"'","""")&amp;SUBSTITUTE(TEXT(Overig!E1318,""",""?00;"",""?-00;"",""?00;"", //"""),"'","""")&amp;SUBSTITUTE(TEXT(IF(ISTEXT(Overig!F1318),Overig!F1318,10*Overig!F1318),""",""????0;"",""???-0;"",""????0;"", ////"""),"'","""")&amp;SUBSTITUTE(TEXT(Overig!G1318,""",""?00;"",""?-00;"",""?00;"", //"""),"'","""")&amp;SUBSTITUTE(TEXT(IF(ISTEXT(Overig!H1318),Overig!H1318,10*Overig!H1318),""",""????0;"",""???-0;"",""????0;"", ////"""),"'","""")&amp;SUBSTITUTE(TEXT(Overig!I1318,""",""?00;"",""?-00;"",""?00;"", //"""),"'","""")&amp;SUBSTITUTE(TEXT(IF(ISTEXT(Overig!J1318),Overig!J1318,10*Overig!J1318),""",""????0;"",""???-0;"",""????0;"", ////"""),"'","""")&amp;SUBSTITUTE(TEXT(Overig!K1318,""",""?00;"",""?-00;"",""?00;"", //"""),"'","""")&amp;SUBSTITUTE(TEXT(Overig!L1318,""",""???0;"",""??-0;"",""???0;"", ///"""),"'","""")&amp;SUBSTITUTE(TEXT(Overig!M1318,""",""?00;"",""?-00;"",""?00;"", //"""),"'","""")&amp;SUBSTITUTE(TEXT(IF(ISTEXT(Overig!N1318),Overig!N1318,10*Overig!N1318),""",""????0;"",""???-0;"",""????0;"", ////"""),"'","""")&amp;SUBSTITUTE(TEXT(Overig!O1318,""",""?00;"",""?-00;"",""?00;"", //"""),"'","""")&amp;SUBSTITUTE(TEXT(IF(ISTEXT(Overig!P1318),Overig!P1318,10*Overig!P1318),""",""????0;"",""???-0;"",""????0;"", ////"""),"'","""")&amp;SUBSTITUTE(TEXT(Overig!Q1318,""",""?00;"",""?-00;"",""?00;"", //"""),"'","""")&amp;SUBSTITUTE(TEXT(Overig!R1318,""",""????0;"",""???-0;"",""????0;"", ////"""),"'","""")&amp;SUBSTITUTE(TEXT(Overig!S1318,""",""?00;"",""?-00;"",""?00;"", //"""),"'","""")&amp;SUBSTITUTE(TEXT(IF(ISTEXT(Overig!T1318),Overig!T1318,10*Overig!T1318),""",""????0;"",""???-0;"",""????0;"", ////"""),"'","""")&amp;SUBSTITUTE(TEXT(Overig!U1318,""",""?00;"",""?-00;"",""?00;"", //"""),"'","""")&amp;SUBSTITUTE(TEXT(Overig!V1318,""",""???0;"",""??-0;"",""???0;"", ///"""),"'","""")&amp;SUBSTITUTE(TEXT(Overig!W1318,""",""?00;"",""?-00;"",""?00;"", //"""),"'","""")</f>
        <v>032, 19401125, 07.00, ////, 07, ////, 07, ////, 07, ////, 07, ///, 07, ////, 07, ////, 07, ////, 07, ////, 07, ///, 07</v>
      </c>
    </row>
    <row r="1319" spans="1:1" x14ac:dyDescent="0.25">
      <c r="A1319" s="12" t="str">
        <f ca="1">TEXT(Overig!A1319,"000\,")&amp;TEXT(Overig!B1319,"?00000000")&amp;TEXT(Overig!C1319,""", ""@")&amp;SUBSTITUTE(TEXT(IF(ISTEXT(Overig!D1319),Overig!D1319,10*Overig!D1319),""",""????0;"",""???-0;"",""????0;"", ////"""),"'","""")&amp;SUBSTITUTE(TEXT(Overig!E1319,""",""?00;"",""?-00;"",""?00;"", //"""),"'","""")&amp;SUBSTITUTE(TEXT(IF(ISTEXT(Overig!F1319),Overig!F1319,10*Overig!F1319),""",""????0;"",""???-0;"",""????0;"", ////"""),"'","""")&amp;SUBSTITUTE(TEXT(Overig!G1319,""",""?00;"",""?-00;"",""?00;"", //"""),"'","""")&amp;SUBSTITUTE(TEXT(IF(ISTEXT(Overig!H1319),Overig!H1319,10*Overig!H1319),""",""????0;"",""???-0;"",""????0;"", ////"""),"'","""")&amp;SUBSTITUTE(TEXT(Overig!I1319,""",""?00;"",""?-00;"",""?00;"", //"""),"'","""")&amp;SUBSTITUTE(TEXT(IF(ISTEXT(Overig!J1319),Overig!J1319,10*Overig!J1319),""",""????0;"",""???-0;"",""????0;"", ////"""),"'","""")&amp;SUBSTITUTE(TEXT(Overig!K1319,""",""?00;"",""?-00;"",""?00;"", //"""),"'","""")&amp;SUBSTITUTE(TEXT(Overig!L1319,""",""???0;"",""??-0;"",""???0;"", ///"""),"'","""")&amp;SUBSTITUTE(TEXT(Overig!M1319,""",""?00;"",""?-00;"",""?00;"", //"""),"'","""")&amp;SUBSTITUTE(TEXT(IF(ISTEXT(Overig!N1319),Overig!N1319,10*Overig!N1319),""",""????0;"",""???-0;"",""????0;"", ////"""),"'","""")&amp;SUBSTITUTE(TEXT(Overig!O1319,""",""?00;"",""?-00;"",""?00;"", //"""),"'","""")&amp;SUBSTITUTE(TEXT(IF(ISTEXT(Overig!P1319),Overig!P1319,10*Overig!P1319),""",""????0;"",""???-0;"",""????0;"", ////"""),"'","""")&amp;SUBSTITUTE(TEXT(Overig!Q1319,""",""?00;"",""?-00;"",""?00;"", //"""),"'","""")&amp;SUBSTITUTE(TEXT(Overig!R1319,""",""????0;"",""???-0;"",""????0;"", ////"""),"'","""")&amp;SUBSTITUTE(TEXT(Overig!S1319,""",""?00;"",""?-00;"",""?00;"", //"""),"'","""")&amp;SUBSTITUTE(TEXT(IF(ISTEXT(Overig!T1319),Overig!T1319,10*Overig!T1319),""",""????0;"",""???-0;"",""????0;"", ////"""),"'","""")&amp;SUBSTITUTE(TEXT(Overig!U1319,""",""?00;"",""?-00;"",""?00;"", //"""),"'","""")&amp;SUBSTITUTE(TEXT(Overig!V1319,""",""???0;"",""??-0;"",""???0;"", ///"""),"'","""")&amp;SUBSTITUTE(TEXT(Overig!W1319,""",""?00;"",""?-00;"",""?00;"", //"""),"'","""")</f>
        <v>032, 19401125, 12.00, ////, 07, ////, 07, ////, 07, ////, 07, ///, 07, ////, 07, ////, 07, ////, 07, ////, 07, ///, 07</v>
      </c>
    </row>
    <row r="1320" spans="1:1" x14ac:dyDescent="0.25">
      <c r="A1320" s="12" t="str">
        <f ca="1">TEXT(Overig!A1320,"000\,")&amp;TEXT(Overig!B1320,"?00000000")&amp;TEXT(Overig!C1320,""", ""@")&amp;SUBSTITUTE(TEXT(IF(ISTEXT(Overig!D1320),Overig!D1320,10*Overig!D1320),""",""????0;"",""???-0;"",""????0;"", ////"""),"'","""")&amp;SUBSTITUTE(TEXT(Overig!E1320,""",""?00;"",""?-00;"",""?00;"", //"""),"'","""")&amp;SUBSTITUTE(TEXT(IF(ISTEXT(Overig!F1320),Overig!F1320,10*Overig!F1320),""",""????0;"",""???-0;"",""????0;"", ////"""),"'","""")&amp;SUBSTITUTE(TEXT(Overig!G1320,""",""?00;"",""?-00;"",""?00;"", //"""),"'","""")&amp;SUBSTITUTE(TEXT(IF(ISTEXT(Overig!H1320),Overig!H1320,10*Overig!H1320),""",""????0;"",""???-0;"",""????0;"", ////"""),"'","""")&amp;SUBSTITUTE(TEXT(Overig!I1320,""",""?00;"",""?-00;"",""?00;"", //"""),"'","""")&amp;SUBSTITUTE(TEXT(IF(ISTEXT(Overig!J1320),Overig!J1320,10*Overig!J1320),""",""????0;"",""???-0;"",""????0;"", ////"""),"'","""")&amp;SUBSTITUTE(TEXT(Overig!K1320,""",""?00;"",""?-00;"",""?00;"", //"""),"'","""")&amp;SUBSTITUTE(TEXT(Overig!L1320,""",""???0;"",""??-0;"",""???0;"", ///"""),"'","""")&amp;SUBSTITUTE(TEXT(Overig!M1320,""",""?00;"",""?-00;"",""?00;"", //"""),"'","""")&amp;SUBSTITUTE(TEXT(IF(ISTEXT(Overig!N1320),Overig!N1320,10*Overig!N1320),""",""????0;"",""???-0;"",""????0;"", ////"""),"'","""")&amp;SUBSTITUTE(TEXT(Overig!O1320,""",""?00;"",""?-00;"",""?00;"", //"""),"'","""")&amp;SUBSTITUTE(TEXT(IF(ISTEXT(Overig!P1320),Overig!P1320,10*Overig!P1320),""",""????0;"",""???-0;"",""????0;"", ////"""),"'","""")&amp;SUBSTITUTE(TEXT(Overig!Q1320,""",""?00;"",""?-00;"",""?00;"", //"""),"'","""")&amp;SUBSTITUTE(TEXT(Overig!R1320,""",""????0;"",""???-0;"",""????0;"", ////"""),"'","""")&amp;SUBSTITUTE(TEXT(Overig!S1320,""",""?00;"",""?-00;"",""?00;"", //"""),"'","""")&amp;SUBSTITUTE(TEXT(IF(ISTEXT(Overig!T1320),Overig!T1320,10*Overig!T1320),""",""????0;"",""???-0;"",""????0;"", ////"""),"'","""")&amp;SUBSTITUTE(TEXT(Overig!U1320,""",""?00;"",""?-00;"",""?00;"", //"""),"'","""")&amp;SUBSTITUTE(TEXT(Overig!V1320,""",""???0;"",""??-0;"",""???0;"", ///"""),"'","""")&amp;SUBSTITUTE(TEXT(Overig!W1320,""",""?00;"",""?-00;"",""?00;"", //"""),"'","""")</f>
        <v>032, 19401125, 17.00, ////, 07, ////, 07, ////, 07, ////, 07, ///, 07, ////, 07, ////, 07, ////, 07, ////, 07, ///, 07</v>
      </c>
    </row>
    <row r="1321" spans="1:1" x14ac:dyDescent="0.25">
      <c r="A1321" s="12" t="str">
        <f ca="1">TEXT(Overig!A1321,"000\,")&amp;TEXT(Overig!B1321,"?00000000")&amp;TEXT(Overig!C1321,""", ""@")&amp;SUBSTITUTE(TEXT(IF(ISTEXT(Overig!D1321),Overig!D1321,10*Overig!D1321),""",""????0;"",""???-0;"",""????0;"", ////"""),"'","""")&amp;SUBSTITUTE(TEXT(Overig!E1321,""",""?00;"",""?-00;"",""?00;"", //"""),"'","""")&amp;SUBSTITUTE(TEXT(IF(ISTEXT(Overig!F1321),Overig!F1321,10*Overig!F1321),""",""????0;"",""???-0;"",""????0;"", ////"""),"'","""")&amp;SUBSTITUTE(TEXT(Overig!G1321,""",""?00;"",""?-00;"",""?00;"", //"""),"'","""")&amp;SUBSTITUTE(TEXT(IF(ISTEXT(Overig!H1321),Overig!H1321,10*Overig!H1321),""",""????0;"",""???-0;"",""????0;"", ////"""),"'","""")&amp;SUBSTITUTE(TEXT(Overig!I1321,""",""?00;"",""?-00;"",""?00;"", //"""),"'","""")&amp;SUBSTITUTE(TEXT(IF(ISTEXT(Overig!J1321),Overig!J1321,10*Overig!J1321),""",""????0;"",""???-0;"",""????0;"", ////"""),"'","""")&amp;SUBSTITUTE(TEXT(Overig!K1321,""",""?00;"",""?-00;"",""?00;"", //"""),"'","""")&amp;SUBSTITUTE(TEXT(Overig!L1321,""",""???0;"",""??-0;"",""???0;"", ///"""),"'","""")&amp;SUBSTITUTE(TEXT(Overig!M1321,""",""?00;"",""?-00;"",""?00;"", //"""),"'","""")&amp;SUBSTITUTE(TEXT(IF(ISTEXT(Overig!N1321),Overig!N1321,10*Overig!N1321),""",""????0;"",""???-0;"",""????0;"", ////"""),"'","""")&amp;SUBSTITUTE(TEXT(Overig!O1321,""",""?00;"",""?-00;"",""?00;"", //"""),"'","""")&amp;SUBSTITUTE(TEXT(IF(ISTEXT(Overig!P1321),Overig!P1321,10*Overig!P1321),""",""????0;"",""???-0;"",""????0;"", ////"""),"'","""")&amp;SUBSTITUTE(TEXT(Overig!Q1321,""",""?00;"",""?-00;"",""?00;"", //"""),"'","""")&amp;SUBSTITUTE(TEXT(Overig!R1321,""",""????0;"",""???-0;"",""????0;"", ////"""),"'","""")&amp;SUBSTITUTE(TEXT(Overig!S1321,""",""?00;"",""?-00;"",""?00;"", //"""),"'","""")&amp;SUBSTITUTE(TEXT(IF(ISTEXT(Overig!T1321),Overig!T1321,10*Overig!T1321),""",""????0;"",""???-0;"",""????0;"", ////"""),"'","""")&amp;SUBSTITUTE(TEXT(Overig!U1321,""",""?00;"",""?-00;"",""?00;"", //"""),"'","""")&amp;SUBSTITUTE(TEXT(Overig!V1321,""",""???0;"",""??-0;"",""???0;"", ///"""),"'","""")&amp;SUBSTITUTE(TEXT(Overig!W1321,""",""?00;"",""?-00;"",""?00;"", //"""),"'","""")</f>
        <v>032, 19401125, 24.00, ////, 07, ////, 07, ////, 07, ////, 07, ///, 07, ////, 07, ////, 07, ////, 07, ////, 07, ///, 07</v>
      </c>
    </row>
    <row r="1322" spans="1:1" x14ac:dyDescent="0.25">
      <c r="A1322" s="12" t="str">
        <f ca="1">TEXT(Overig!A1322,"000\,")&amp;TEXT(Overig!B1322,"?00000000")&amp;TEXT(Overig!C1322,""", ""@")&amp;SUBSTITUTE(TEXT(IF(ISTEXT(Overig!D1322),Overig!D1322,10*Overig!D1322),""",""????0;"",""???-0;"",""????0;"", ////"""),"'","""")&amp;SUBSTITUTE(TEXT(Overig!E1322,""",""?00;"",""?-00;"",""?00;"", //"""),"'","""")&amp;SUBSTITUTE(TEXT(IF(ISTEXT(Overig!F1322),Overig!F1322,10*Overig!F1322),""",""????0;"",""???-0;"",""????0;"", ////"""),"'","""")&amp;SUBSTITUTE(TEXT(Overig!G1322,""",""?00;"",""?-00;"",""?00;"", //"""),"'","""")&amp;SUBSTITUTE(TEXT(IF(ISTEXT(Overig!H1322),Overig!H1322,10*Overig!H1322),""",""????0;"",""???-0;"",""????0;"", ////"""),"'","""")&amp;SUBSTITUTE(TEXT(Overig!I1322,""",""?00;"",""?-00;"",""?00;"", //"""),"'","""")&amp;SUBSTITUTE(TEXT(IF(ISTEXT(Overig!J1322),Overig!J1322,10*Overig!J1322),""",""????0;"",""???-0;"",""????0;"", ////"""),"'","""")&amp;SUBSTITUTE(TEXT(Overig!K1322,""",""?00;"",""?-00;"",""?00;"", //"""),"'","""")&amp;SUBSTITUTE(TEXT(Overig!L1322,""",""???0;"",""??-0;"",""???0;"", ///"""),"'","""")&amp;SUBSTITUTE(TEXT(Overig!M1322,""",""?00;"",""?-00;"",""?00;"", //"""),"'","""")&amp;SUBSTITUTE(TEXT(IF(ISTEXT(Overig!N1322),Overig!N1322,10*Overig!N1322),""",""????0;"",""???-0;"",""????0;"", ////"""),"'","""")&amp;SUBSTITUTE(TEXT(Overig!O1322,""",""?00;"",""?-00;"",""?00;"", //"""),"'","""")&amp;SUBSTITUTE(TEXT(IF(ISTEXT(Overig!P1322),Overig!P1322,10*Overig!P1322),""",""????0;"",""???-0;"",""????0;"", ////"""),"'","""")&amp;SUBSTITUTE(TEXT(Overig!Q1322,""",""?00;"",""?-00;"",""?00;"", //"""),"'","""")&amp;SUBSTITUTE(TEXT(Overig!R1322,""",""????0;"",""???-0;"",""????0;"", ////"""),"'","""")&amp;SUBSTITUTE(TEXT(Overig!S1322,""",""?00;"",""?-00;"",""?00;"", //"""),"'","""")&amp;SUBSTITUTE(TEXT(IF(ISTEXT(Overig!T1322),Overig!T1322,10*Overig!T1322),""",""????0;"",""???-0;"",""????0;"", ////"""),"'","""")&amp;SUBSTITUTE(TEXT(Overig!U1322,""",""?00;"",""?-00;"",""?00;"", //"""),"'","""")&amp;SUBSTITUTE(TEXT(Overig!V1322,""",""???0;"",""??-0;"",""???0;"", ///"""),"'","""")&amp;SUBSTITUTE(TEXT(Overig!W1322,""",""?00;"",""?-00;"",""?00;"", //"""),"'","""")</f>
        <v>032, 19401126, 07.00, ////, 07, ////, 07, ////, 07, ////, 07, ///, 07, ////, 07, ////, 07, ////, 07, ////, 07, ///, 07</v>
      </c>
    </row>
    <row r="1323" spans="1:1" x14ac:dyDescent="0.25">
      <c r="A1323" s="12" t="str">
        <f ca="1">TEXT(Overig!A1323,"000\,")&amp;TEXT(Overig!B1323,"?00000000")&amp;TEXT(Overig!C1323,""", ""@")&amp;SUBSTITUTE(TEXT(IF(ISTEXT(Overig!D1323),Overig!D1323,10*Overig!D1323),""",""????0;"",""???-0;"",""????0;"", ////"""),"'","""")&amp;SUBSTITUTE(TEXT(Overig!E1323,""",""?00;"",""?-00;"",""?00;"", //"""),"'","""")&amp;SUBSTITUTE(TEXT(IF(ISTEXT(Overig!F1323),Overig!F1323,10*Overig!F1323),""",""????0;"",""???-0;"",""????0;"", ////"""),"'","""")&amp;SUBSTITUTE(TEXT(Overig!G1323,""",""?00;"",""?-00;"",""?00;"", //"""),"'","""")&amp;SUBSTITUTE(TEXT(IF(ISTEXT(Overig!H1323),Overig!H1323,10*Overig!H1323),""",""????0;"",""???-0;"",""????0;"", ////"""),"'","""")&amp;SUBSTITUTE(TEXT(Overig!I1323,""",""?00;"",""?-00;"",""?00;"", //"""),"'","""")&amp;SUBSTITUTE(TEXT(IF(ISTEXT(Overig!J1323),Overig!J1323,10*Overig!J1323),""",""????0;"",""???-0;"",""????0;"", ////"""),"'","""")&amp;SUBSTITUTE(TEXT(Overig!K1323,""",""?00;"",""?-00;"",""?00;"", //"""),"'","""")&amp;SUBSTITUTE(TEXT(Overig!L1323,""",""???0;"",""??-0;"",""???0;"", ///"""),"'","""")&amp;SUBSTITUTE(TEXT(Overig!M1323,""",""?00;"",""?-00;"",""?00;"", //"""),"'","""")&amp;SUBSTITUTE(TEXT(IF(ISTEXT(Overig!N1323),Overig!N1323,10*Overig!N1323),""",""????0;"",""???-0;"",""????0;"", ////"""),"'","""")&amp;SUBSTITUTE(TEXT(Overig!O1323,""",""?00;"",""?-00;"",""?00;"", //"""),"'","""")&amp;SUBSTITUTE(TEXT(IF(ISTEXT(Overig!P1323),Overig!P1323,10*Overig!P1323),""",""????0;"",""???-0;"",""????0;"", ////"""),"'","""")&amp;SUBSTITUTE(TEXT(Overig!Q1323,""",""?00;"",""?-00;"",""?00;"", //"""),"'","""")&amp;SUBSTITUTE(TEXT(Overig!R1323,""",""????0;"",""???-0;"",""????0;"", ////"""),"'","""")&amp;SUBSTITUTE(TEXT(Overig!S1323,""",""?00;"",""?-00;"",""?00;"", //"""),"'","""")&amp;SUBSTITUTE(TEXT(IF(ISTEXT(Overig!T1323),Overig!T1323,10*Overig!T1323),""",""????0;"",""???-0;"",""????0;"", ////"""),"'","""")&amp;SUBSTITUTE(TEXT(Overig!U1323,""",""?00;"",""?-00;"",""?00;"", //"""),"'","""")&amp;SUBSTITUTE(TEXT(Overig!V1323,""",""???0;"",""??-0;"",""???0;"", ///"""),"'","""")&amp;SUBSTITUTE(TEXT(Overig!W1323,""",""?00;"",""?-00;"",""?00;"", //"""),"'","""")</f>
        <v>032, 19401126, 12.00, ////, 07, ////, 07, ////, 07, ////, 07, ///, 07, ////, 07, ////, 07, ////, 07, ////, 07, ///, 07</v>
      </c>
    </row>
    <row r="1324" spans="1:1" x14ac:dyDescent="0.25">
      <c r="A1324" s="12" t="str">
        <f ca="1">TEXT(Overig!A1324,"000\,")&amp;TEXT(Overig!B1324,"?00000000")&amp;TEXT(Overig!C1324,""", ""@")&amp;SUBSTITUTE(TEXT(IF(ISTEXT(Overig!D1324),Overig!D1324,10*Overig!D1324),""",""????0;"",""???-0;"",""????0;"", ////"""),"'","""")&amp;SUBSTITUTE(TEXT(Overig!E1324,""",""?00;"",""?-00;"",""?00;"", //"""),"'","""")&amp;SUBSTITUTE(TEXT(IF(ISTEXT(Overig!F1324),Overig!F1324,10*Overig!F1324),""",""????0;"",""???-0;"",""????0;"", ////"""),"'","""")&amp;SUBSTITUTE(TEXT(Overig!G1324,""",""?00;"",""?-00;"",""?00;"", //"""),"'","""")&amp;SUBSTITUTE(TEXT(IF(ISTEXT(Overig!H1324),Overig!H1324,10*Overig!H1324),""",""????0;"",""???-0;"",""????0;"", ////"""),"'","""")&amp;SUBSTITUTE(TEXT(Overig!I1324,""",""?00;"",""?-00;"",""?00;"", //"""),"'","""")&amp;SUBSTITUTE(TEXT(IF(ISTEXT(Overig!J1324),Overig!J1324,10*Overig!J1324),""",""????0;"",""???-0;"",""????0;"", ////"""),"'","""")&amp;SUBSTITUTE(TEXT(Overig!K1324,""",""?00;"",""?-00;"",""?00;"", //"""),"'","""")&amp;SUBSTITUTE(TEXT(Overig!L1324,""",""???0;"",""??-0;"",""???0;"", ///"""),"'","""")&amp;SUBSTITUTE(TEXT(Overig!M1324,""",""?00;"",""?-00;"",""?00;"", //"""),"'","""")&amp;SUBSTITUTE(TEXT(IF(ISTEXT(Overig!N1324),Overig!N1324,10*Overig!N1324),""",""????0;"",""???-0;"",""????0;"", ////"""),"'","""")&amp;SUBSTITUTE(TEXT(Overig!O1324,""",""?00;"",""?-00;"",""?00;"", //"""),"'","""")&amp;SUBSTITUTE(TEXT(IF(ISTEXT(Overig!P1324),Overig!P1324,10*Overig!P1324),""",""????0;"",""???-0;"",""????0;"", ////"""),"'","""")&amp;SUBSTITUTE(TEXT(Overig!Q1324,""",""?00;"",""?-00;"",""?00;"", //"""),"'","""")&amp;SUBSTITUTE(TEXT(Overig!R1324,""",""????0;"",""???-0;"",""????0;"", ////"""),"'","""")&amp;SUBSTITUTE(TEXT(Overig!S1324,""",""?00;"",""?-00;"",""?00;"", //"""),"'","""")&amp;SUBSTITUTE(TEXT(IF(ISTEXT(Overig!T1324),Overig!T1324,10*Overig!T1324),""",""????0;"",""???-0;"",""????0;"", ////"""),"'","""")&amp;SUBSTITUTE(TEXT(Overig!U1324,""",""?00;"",""?-00;"",""?00;"", //"""),"'","""")&amp;SUBSTITUTE(TEXT(Overig!V1324,""",""???0;"",""??-0;"",""???0;"", ///"""),"'","""")&amp;SUBSTITUTE(TEXT(Overig!W1324,""",""?00;"",""?-00;"",""?00;"", //"""),"'","""")</f>
        <v>032, 19401126, 17.00, ////, 07, ////, 07, ////, 07, ////, 07, ///, 07, ////, 07, ////, 07, ////, 07, ////, 07, ///, 07</v>
      </c>
    </row>
    <row r="1325" spans="1:1" x14ac:dyDescent="0.25">
      <c r="A1325" s="12" t="str">
        <f ca="1">TEXT(Overig!A1325,"000\,")&amp;TEXT(Overig!B1325,"?00000000")&amp;TEXT(Overig!C1325,""", ""@")&amp;SUBSTITUTE(TEXT(IF(ISTEXT(Overig!D1325),Overig!D1325,10*Overig!D1325),""",""????0;"",""???-0;"",""????0;"", ////"""),"'","""")&amp;SUBSTITUTE(TEXT(Overig!E1325,""",""?00;"",""?-00;"",""?00;"", //"""),"'","""")&amp;SUBSTITUTE(TEXT(IF(ISTEXT(Overig!F1325),Overig!F1325,10*Overig!F1325),""",""????0;"",""???-0;"",""????0;"", ////"""),"'","""")&amp;SUBSTITUTE(TEXT(Overig!G1325,""",""?00;"",""?-00;"",""?00;"", //"""),"'","""")&amp;SUBSTITUTE(TEXT(IF(ISTEXT(Overig!H1325),Overig!H1325,10*Overig!H1325),""",""????0;"",""???-0;"",""????0;"", ////"""),"'","""")&amp;SUBSTITUTE(TEXT(Overig!I1325,""",""?00;"",""?-00;"",""?00;"", //"""),"'","""")&amp;SUBSTITUTE(TEXT(IF(ISTEXT(Overig!J1325),Overig!J1325,10*Overig!J1325),""",""????0;"",""???-0;"",""????0;"", ////"""),"'","""")&amp;SUBSTITUTE(TEXT(Overig!K1325,""",""?00;"",""?-00;"",""?00;"", //"""),"'","""")&amp;SUBSTITUTE(TEXT(Overig!L1325,""",""???0;"",""??-0;"",""???0;"", ///"""),"'","""")&amp;SUBSTITUTE(TEXT(Overig!M1325,""",""?00;"",""?-00;"",""?00;"", //"""),"'","""")&amp;SUBSTITUTE(TEXT(IF(ISTEXT(Overig!N1325),Overig!N1325,10*Overig!N1325),""",""????0;"",""???-0;"",""????0;"", ////"""),"'","""")&amp;SUBSTITUTE(TEXT(Overig!O1325,""",""?00;"",""?-00;"",""?00;"", //"""),"'","""")&amp;SUBSTITUTE(TEXT(IF(ISTEXT(Overig!P1325),Overig!P1325,10*Overig!P1325),""",""????0;"",""???-0;"",""????0;"", ////"""),"'","""")&amp;SUBSTITUTE(TEXT(Overig!Q1325,""",""?00;"",""?-00;"",""?00;"", //"""),"'","""")&amp;SUBSTITUTE(TEXT(Overig!R1325,""",""????0;"",""???-0;"",""????0;"", ////"""),"'","""")&amp;SUBSTITUTE(TEXT(Overig!S1325,""",""?00;"",""?-00;"",""?00;"", //"""),"'","""")&amp;SUBSTITUTE(TEXT(IF(ISTEXT(Overig!T1325),Overig!T1325,10*Overig!T1325),""",""????0;"",""???-0;"",""????0;"", ////"""),"'","""")&amp;SUBSTITUTE(TEXT(Overig!U1325,""",""?00;"",""?-00;"",""?00;"", //"""),"'","""")&amp;SUBSTITUTE(TEXT(Overig!V1325,""",""???0;"",""??-0;"",""???0;"", ///"""),"'","""")&amp;SUBSTITUTE(TEXT(Overig!W1325,""",""?00;"",""?-00;"",""?00;"", //"""),"'","""")</f>
        <v>032, 19401126, 24.00, ////, 07, ////, 07, ////, 07, ////, 07, ///, 07, ////, 07, ////, 07, ////, 07, ////, 07, ///, 07</v>
      </c>
    </row>
    <row r="1326" spans="1:1" x14ac:dyDescent="0.25">
      <c r="A1326" s="12" t="str">
        <f ca="1">TEXT(Overig!A1326,"000\,")&amp;TEXT(Overig!B1326,"?00000000")&amp;TEXT(Overig!C1326,""", ""@")&amp;SUBSTITUTE(TEXT(IF(ISTEXT(Overig!D1326),Overig!D1326,10*Overig!D1326),""",""????0;"",""???-0;"",""????0;"", ////"""),"'","""")&amp;SUBSTITUTE(TEXT(Overig!E1326,""",""?00;"",""?-00;"",""?00;"", //"""),"'","""")&amp;SUBSTITUTE(TEXT(IF(ISTEXT(Overig!F1326),Overig!F1326,10*Overig!F1326),""",""????0;"",""???-0;"",""????0;"", ////"""),"'","""")&amp;SUBSTITUTE(TEXT(Overig!G1326,""",""?00;"",""?-00;"",""?00;"", //"""),"'","""")&amp;SUBSTITUTE(TEXT(IF(ISTEXT(Overig!H1326),Overig!H1326,10*Overig!H1326),""",""????0;"",""???-0;"",""????0;"", ////"""),"'","""")&amp;SUBSTITUTE(TEXT(Overig!I1326,""",""?00;"",""?-00;"",""?00;"", //"""),"'","""")&amp;SUBSTITUTE(TEXT(IF(ISTEXT(Overig!J1326),Overig!J1326,10*Overig!J1326),""",""????0;"",""???-0;"",""????0;"", ////"""),"'","""")&amp;SUBSTITUTE(TEXT(Overig!K1326,""",""?00;"",""?-00;"",""?00;"", //"""),"'","""")&amp;SUBSTITUTE(TEXT(Overig!L1326,""",""???0;"",""??-0;"",""???0;"", ///"""),"'","""")&amp;SUBSTITUTE(TEXT(Overig!M1326,""",""?00;"",""?-00;"",""?00;"", //"""),"'","""")&amp;SUBSTITUTE(TEXT(IF(ISTEXT(Overig!N1326),Overig!N1326,10*Overig!N1326),""",""????0;"",""???-0;"",""????0;"", ////"""),"'","""")&amp;SUBSTITUTE(TEXT(Overig!O1326,""",""?00;"",""?-00;"",""?00;"", //"""),"'","""")&amp;SUBSTITUTE(TEXT(IF(ISTEXT(Overig!P1326),Overig!P1326,10*Overig!P1326),""",""????0;"",""???-0;"",""????0;"", ////"""),"'","""")&amp;SUBSTITUTE(TEXT(Overig!Q1326,""",""?00;"",""?-00;"",""?00;"", //"""),"'","""")&amp;SUBSTITUTE(TEXT(Overig!R1326,""",""????0;"",""???-0;"",""????0;"", ////"""),"'","""")&amp;SUBSTITUTE(TEXT(Overig!S1326,""",""?00;"",""?-00;"",""?00;"", //"""),"'","""")&amp;SUBSTITUTE(TEXT(IF(ISTEXT(Overig!T1326),Overig!T1326,10*Overig!T1326),""",""????0;"",""???-0;"",""????0;"", ////"""),"'","""")&amp;SUBSTITUTE(TEXT(Overig!U1326,""",""?00;"",""?-00;"",""?00;"", //"""),"'","""")&amp;SUBSTITUTE(TEXT(Overig!V1326,""",""???0;"",""??-0;"",""???0;"", ///"""),"'","""")&amp;SUBSTITUTE(TEXT(Overig!W1326,""",""?00;"",""?-00;"",""?00;"", //"""),"'","""")</f>
        <v>032, 19401127, 07.00, ////, 07, ////, 07, ////, 07, ////, 07, ///, 07, ////, 07, ////, 07, ////, 07, ////, 07, ///, 07</v>
      </c>
    </row>
    <row r="1327" spans="1:1" x14ac:dyDescent="0.25">
      <c r="A1327" s="12" t="str">
        <f ca="1">TEXT(Overig!A1327,"000\,")&amp;TEXT(Overig!B1327,"?00000000")&amp;TEXT(Overig!C1327,""", ""@")&amp;SUBSTITUTE(TEXT(IF(ISTEXT(Overig!D1327),Overig!D1327,10*Overig!D1327),""",""????0;"",""???-0;"",""????0;"", ////"""),"'","""")&amp;SUBSTITUTE(TEXT(Overig!E1327,""",""?00;"",""?-00;"",""?00;"", //"""),"'","""")&amp;SUBSTITUTE(TEXT(IF(ISTEXT(Overig!F1327),Overig!F1327,10*Overig!F1327),""",""????0;"",""???-0;"",""????0;"", ////"""),"'","""")&amp;SUBSTITUTE(TEXT(Overig!G1327,""",""?00;"",""?-00;"",""?00;"", //"""),"'","""")&amp;SUBSTITUTE(TEXT(IF(ISTEXT(Overig!H1327),Overig!H1327,10*Overig!H1327),""",""????0;"",""???-0;"",""????0;"", ////"""),"'","""")&amp;SUBSTITUTE(TEXT(Overig!I1327,""",""?00;"",""?-00;"",""?00;"", //"""),"'","""")&amp;SUBSTITUTE(TEXT(IF(ISTEXT(Overig!J1327),Overig!J1327,10*Overig!J1327),""",""????0;"",""???-0;"",""????0;"", ////"""),"'","""")&amp;SUBSTITUTE(TEXT(Overig!K1327,""",""?00;"",""?-00;"",""?00;"", //"""),"'","""")&amp;SUBSTITUTE(TEXT(Overig!L1327,""",""???0;"",""??-0;"",""???0;"", ///"""),"'","""")&amp;SUBSTITUTE(TEXT(Overig!M1327,""",""?00;"",""?-00;"",""?00;"", //"""),"'","""")&amp;SUBSTITUTE(TEXT(IF(ISTEXT(Overig!N1327),Overig!N1327,10*Overig!N1327),""",""????0;"",""???-0;"",""????0;"", ////"""),"'","""")&amp;SUBSTITUTE(TEXT(Overig!O1327,""",""?00;"",""?-00;"",""?00;"", //"""),"'","""")&amp;SUBSTITUTE(TEXT(IF(ISTEXT(Overig!P1327),Overig!P1327,10*Overig!P1327),""",""????0;"",""???-0;"",""????0;"", ////"""),"'","""")&amp;SUBSTITUTE(TEXT(Overig!Q1327,""",""?00;"",""?-00;"",""?00;"", //"""),"'","""")&amp;SUBSTITUTE(TEXT(Overig!R1327,""",""????0;"",""???-0;"",""????0;"", ////"""),"'","""")&amp;SUBSTITUTE(TEXT(Overig!S1327,""",""?00;"",""?-00;"",""?00;"", //"""),"'","""")&amp;SUBSTITUTE(TEXT(IF(ISTEXT(Overig!T1327),Overig!T1327,10*Overig!T1327),""",""????0;"",""???-0;"",""????0;"", ////"""),"'","""")&amp;SUBSTITUTE(TEXT(Overig!U1327,""",""?00;"",""?-00;"",""?00;"", //"""),"'","""")&amp;SUBSTITUTE(TEXT(Overig!V1327,""",""???0;"",""??-0;"",""???0;"", ///"""),"'","""")&amp;SUBSTITUTE(TEXT(Overig!W1327,""",""?00;"",""?-00;"",""?00;"", //"""),"'","""")</f>
        <v>032, 19401127, 12.00, ////, 07, ////, 07, ////, 07, ////, 07, ///, 07, ////, 07, ////, 07, ////, 07, ////, 07, ///, 07</v>
      </c>
    </row>
    <row r="1328" spans="1:1" x14ac:dyDescent="0.25">
      <c r="A1328" s="12" t="str">
        <f ca="1">TEXT(Overig!A1328,"000\,")&amp;TEXT(Overig!B1328,"?00000000")&amp;TEXT(Overig!C1328,""", ""@")&amp;SUBSTITUTE(TEXT(IF(ISTEXT(Overig!D1328),Overig!D1328,10*Overig!D1328),""",""????0;"",""???-0;"",""????0;"", ////"""),"'","""")&amp;SUBSTITUTE(TEXT(Overig!E1328,""",""?00;"",""?-00;"",""?00;"", //"""),"'","""")&amp;SUBSTITUTE(TEXT(IF(ISTEXT(Overig!F1328),Overig!F1328,10*Overig!F1328),""",""????0;"",""???-0;"",""????0;"", ////"""),"'","""")&amp;SUBSTITUTE(TEXT(Overig!G1328,""",""?00;"",""?-00;"",""?00;"", //"""),"'","""")&amp;SUBSTITUTE(TEXT(IF(ISTEXT(Overig!H1328),Overig!H1328,10*Overig!H1328),""",""????0;"",""???-0;"",""????0;"", ////"""),"'","""")&amp;SUBSTITUTE(TEXT(Overig!I1328,""",""?00;"",""?-00;"",""?00;"", //"""),"'","""")&amp;SUBSTITUTE(TEXT(IF(ISTEXT(Overig!J1328),Overig!J1328,10*Overig!J1328),""",""????0;"",""???-0;"",""????0;"", ////"""),"'","""")&amp;SUBSTITUTE(TEXT(Overig!K1328,""",""?00;"",""?-00;"",""?00;"", //"""),"'","""")&amp;SUBSTITUTE(TEXT(Overig!L1328,""",""???0;"",""??-0;"",""???0;"", ///"""),"'","""")&amp;SUBSTITUTE(TEXT(Overig!M1328,""",""?00;"",""?-00;"",""?00;"", //"""),"'","""")&amp;SUBSTITUTE(TEXT(IF(ISTEXT(Overig!N1328),Overig!N1328,10*Overig!N1328),""",""????0;"",""???-0;"",""????0;"", ////"""),"'","""")&amp;SUBSTITUTE(TEXT(Overig!O1328,""",""?00;"",""?-00;"",""?00;"", //"""),"'","""")&amp;SUBSTITUTE(TEXT(IF(ISTEXT(Overig!P1328),Overig!P1328,10*Overig!P1328),""",""????0;"",""???-0;"",""????0;"", ////"""),"'","""")&amp;SUBSTITUTE(TEXT(Overig!Q1328,""",""?00;"",""?-00;"",""?00;"", //"""),"'","""")&amp;SUBSTITUTE(TEXT(Overig!R1328,""",""????0;"",""???-0;"",""????0;"", ////"""),"'","""")&amp;SUBSTITUTE(TEXT(Overig!S1328,""",""?00;"",""?-00;"",""?00;"", //"""),"'","""")&amp;SUBSTITUTE(TEXT(IF(ISTEXT(Overig!T1328),Overig!T1328,10*Overig!T1328),""",""????0;"",""???-0;"",""????0;"", ////"""),"'","""")&amp;SUBSTITUTE(TEXT(Overig!U1328,""",""?00;"",""?-00;"",""?00;"", //"""),"'","""")&amp;SUBSTITUTE(TEXT(Overig!V1328,""",""???0;"",""??-0;"",""???0;"", ///"""),"'","""")&amp;SUBSTITUTE(TEXT(Overig!W1328,""",""?00;"",""?-00;"",""?00;"", //"""),"'","""")</f>
        <v>032, 19401127, 17.00, ////, 07, ////, 07, ////, 07, ////, 07, ///, 07, ////, 07, ////, 07, ////, 07, ////, 07, ///, 07</v>
      </c>
    </row>
    <row r="1329" spans="1:1" x14ac:dyDescent="0.25">
      <c r="A1329" s="12" t="str">
        <f ca="1">TEXT(Overig!A1329,"000\,")&amp;TEXT(Overig!B1329,"?00000000")&amp;TEXT(Overig!C1329,""", ""@")&amp;SUBSTITUTE(TEXT(IF(ISTEXT(Overig!D1329),Overig!D1329,10*Overig!D1329),""",""????0;"",""???-0;"",""????0;"", ////"""),"'","""")&amp;SUBSTITUTE(TEXT(Overig!E1329,""",""?00;"",""?-00;"",""?00;"", //"""),"'","""")&amp;SUBSTITUTE(TEXT(IF(ISTEXT(Overig!F1329),Overig!F1329,10*Overig!F1329),""",""????0;"",""???-0;"",""????0;"", ////"""),"'","""")&amp;SUBSTITUTE(TEXT(Overig!G1329,""",""?00;"",""?-00;"",""?00;"", //"""),"'","""")&amp;SUBSTITUTE(TEXT(IF(ISTEXT(Overig!H1329),Overig!H1329,10*Overig!H1329),""",""????0;"",""???-0;"",""????0;"", ////"""),"'","""")&amp;SUBSTITUTE(TEXT(Overig!I1329,""",""?00;"",""?-00;"",""?00;"", //"""),"'","""")&amp;SUBSTITUTE(TEXT(IF(ISTEXT(Overig!J1329),Overig!J1329,10*Overig!J1329),""",""????0;"",""???-0;"",""????0;"", ////"""),"'","""")&amp;SUBSTITUTE(TEXT(Overig!K1329,""",""?00;"",""?-00;"",""?00;"", //"""),"'","""")&amp;SUBSTITUTE(TEXT(Overig!L1329,""",""???0;"",""??-0;"",""???0;"", ///"""),"'","""")&amp;SUBSTITUTE(TEXT(Overig!M1329,""",""?00;"",""?-00;"",""?00;"", //"""),"'","""")&amp;SUBSTITUTE(TEXT(IF(ISTEXT(Overig!N1329),Overig!N1329,10*Overig!N1329),""",""????0;"",""???-0;"",""????0;"", ////"""),"'","""")&amp;SUBSTITUTE(TEXT(Overig!O1329,""",""?00;"",""?-00;"",""?00;"", //"""),"'","""")&amp;SUBSTITUTE(TEXT(IF(ISTEXT(Overig!P1329),Overig!P1329,10*Overig!P1329),""",""????0;"",""???-0;"",""????0;"", ////"""),"'","""")&amp;SUBSTITUTE(TEXT(Overig!Q1329,""",""?00;"",""?-00;"",""?00;"", //"""),"'","""")&amp;SUBSTITUTE(TEXT(Overig!R1329,""",""????0;"",""???-0;"",""????0;"", ////"""),"'","""")&amp;SUBSTITUTE(TEXT(Overig!S1329,""",""?00;"",""?-00;"",""?00;"", //"""),"'","""")&amp;SUBSTITUTE(TEXT(IF(ISTEXT(Overig!T1329),Overig!T1329,10*Overig!T1329),""",""????0;"",""???-0;"",""????0;"", ////"""),"'","""")&amp;SUBSTITUTE(TEXT(Overig!U1329,""",""?00;"",""?-00;"",""?00;"", //"""),"'","""")&amp;SUBSTITUTE(TEXT(Overig!V1329,""",""???0;"",""??-0;"",""???0;"", ///"""),"'","""")&amp;SUBSTITUTE(TEXT(Overig!W1329,""",""?00;"",""?-00;"",""?00;"", //"""),"'","""")</f>
        <v>032, 19401127, 24.00, ////, 07, ////, 07, ////, 07, ////, 07, ///, 07, ////, 07, ////, 07, ////, 07, ////, 07, ///, 07</v>
      </c>
    </row>
    <row r="1330" spans="1:1" x14ac:dyDescent="0.25">
      <c r="A1330" s="12" t="str">
        <f ca="1">TEXT(Overig!A1330,"000\,")&amp;TEXT(Overig!B1330,"?00000000")&amp;TEXT(Overig!C1330,""", ""@")&amp;SUBSTITUTE(TEXT(IF(ISTEXT(Overig!D1330),Overig!D1330,10*Overig!D1330),""",""????0;"",""???-0;"",""????0;"", ////"""),"'","""")&amp;SUBSTITUTE(TEXT(Overig!E1330,""",""?00;"",""?-00;"",""?00;"", //"""),"'","""")&amp;SUBSTITUTE(TEXT(IF(ISTEXT(Overig!F1330),Overig!F1330,10*Overig!F1330),""",""????0;"",""???-0;"",""????0;"", ////"""),"'","""")&amp;SUBSTITUTE(TEXT(Overig!G1330,""",""?00;"",""?-00;"",""?00;"", //"""),"'","""")&amp;SUBSTITUTE(TEXT(IF(ISTEXT(Overig!H1330),Overig!H1330,10*Overig!H1330),""",""????0;"",""???-0;"",""????0;"", ////"""),"'","""")&amp;SUBSTITUTE(TEXT(Overig!I1330,""",""?00;"",""?-00;"",""?00;"", //"""),"'","""")&amp;SUBSTITUTE(TEXT(IF(ISTEXT(Overig!J1330),Overig!J1330,10*Overig!J1330),""",""????0;"",""???-0;"",""????0;"", ////"""),"'","""")&amp;SUBSTITUTE(TEXT(Overig!K1330,""",""?00;"",""?-00;"",""?00;"", //"""),"'","""")&amp;SUBSTITUTE(TEXT(Overig!L1330,""",""???0;"",""??-0;"",""???0;"", ///"""),"'","""")&amp;SUBSTITUTE(TEXT(Overig!M1330,""",""?00;"",""?-00;"",""?00;"", //"""),"'","""")&amp;SUBSTITUTE(TEXT(IF(ISTEXT(Overig!N1330),Overig!N1330,10*Overig!N1330),""",""????0;"",""???-0;"",""????0;"", ////"""),"'","""")&amp;SUBSTITUTE(TEXT(Overig!O1330,""",""?00;"",""?-00;"",""?00;"", //"""),"'","""")&amp;SUBSTITUTE(TEXT(IF(ISTEXT(Overig!P1330),Overig!P1330,10*Overig!P1330),""",""????0;"",""???-0;"",""????0;"", ////"""),"'","""")&amp;SUBSTITUTE(TEXT(Overig!Q1330,""",""?00;"",""?-00;"",""?00;"", //"""),"'","""")&amp;SUBSTITUTE(TEXT(Overig!R1330,""",""????0;"",""???-0;"",""????0;"", ////"""),"'","""")&amp;SUBSTITUTE(TEXT(Overig!S1330,""",""?00;"",""?-00;"",""?00;"", //"""),"'","""")&amp;SUBSTITUTE(TEXT(IF(ISTEXT(Overig!T1330),Overig!T1330,10*Overig!T1330),""",""????0;"",""???-0;"",""????0;"", ////"""),"'","""")&amp;SUBSTITUTE(TEXT(Overig!U1330,""",""?00;"",""?-00;"",""?00;"", //"""),"'","""")&amp;SUBSTITUTE(TEXT(Overig!V1330,""",""???0;"",""??-0;"",""???0;"", ///"""),"'","""")&amp;SUBSTITUTE(TEXT(Overig!W1330,""",""?00;"",""?-00;"",""?00;"", //"""),"'","""")</f>
        <v>032, 19401128, 07.00, ////, 07, ////, 07, ////, 07, ////, 07, ///, 07, ////, 07, ////, 07, ////, 07, ////, 07, ///, 07</v>
      </c>
    </row>
    <row r="1331" spans="1:1" x14ac:dyDescent="0.25">
      <c r="A1331" s="12" t="str">
        <f ca="1">TEXT(Overig!A1331,"000\,")&amp;TEXT(Overig!B1331,"?00000000")&amp;TEXT(Overig!C1331,""", ""@")&amp;SUBSTITUTE(TEXT(IF(ISTEXT(Overig!D1331),Overig!D1331,10*Overig!D1331),""",""????0;"",""???-0;"",""????0;"", ////"""),"'","""")&amp;SUBSTITUTE(TEXT(Overig!E1331,""",""?00;"",""?-00;"",""?00;"", //"""),"'","""")&amp;SUBSTITUTE(TEXT(IF(ISTEXT(Overig!F1331),Overig!F1331,10*Overig!F1331),""",""????0;"",""???-0;"",""????0;"", ////"""),"'","""")&amp;SUBSTITUTE(TEXT(Overig!G1331,""",""?00;"",""?-00;"",""?00;"", //"""),"'","""")&amp;SUBSTITUTE(TEXT(IF(ISTEXT(Overig!H1331),Overig!H1331,10*Overig!H1331),""",""????0;"",""???-0;"",""????0;"", ////"""),"'","""")&amp;SUBSTITUTE(TEXT(Overig!I1331,""",""?00;"",""?-00;"",""?00;"", //"""),"'","""")&amp;SUBSTITUTE(TEXT(IF(ISTEXT(Overig!J1331),Overig!J1331,10*Overig!J1331),""",""????0;"",""???-0;"",""????0;"", ////"""),"'","""")&amp;SUBSTITUTE(TEXT(Overig!K1331,""",""?00;"",""?-00;"",""?00;"", //"""),"'","""")&amp;SUBSTITUTE(TEXT(Overig!L1331,""",""???0;"",""??-0;"",""???0;"", ///"""),"'","""")&amp;SUBSTITUTE(TEXT(Overig!M1331,""",""?00;"",""?-00;"",""?00;"", //"""),"'","""")&amp;SUBSTITUTE(TEXT(IF(ISTEXT(Overig!N1331),Overig!N1331,10*Overig!N1331),""",""????0;"",""???-0;"",""????0;"", ////"""),"'","""")&amp;SUBSTITUTE(TEXT(Overig!O1331,""",""?00;"",""?-00;"",""?00;"", //"""),"'","""")&amp;SUBSTITUTE(TEXT(IF(ISTEXT(Overig!P1331),Overig!P1331,10*Overig!P1331),""",""????0;"",""???-0;"",""????0;"", ////"""),"'","""")&amp;SUBSTITUTE(TEXT(Overig!Q1331,""",""?00;"",""?-00;"",""?00;"", //"""),"'","""")&amp;SUBSTITUTE(TEXT(Overig!R1331,""",""????0;"",""???-0;"",""????0;"", ////"""),"'","""")&amp;SUBSTITUTE(TEXT(Overig!S1331,""",""?00;"",""?-00;"",""?00;"", //"""),"'","""")&amp;SUBSTITUTE(TEXT(IF(ISTEXT(Overig!T1331),Overig!T1331,10*Overig!T1331),""",""????0;"",""???-0;"",""????0;"", ////"""),"'","""")&amp;SUBSTITUTE(TEXT(Overig!U1331,""",""?00;"",""?-00;"",""?00;"", //"""),"'","""")&amp;SUBSTITUTE(TEXT(Overig!V1331,""",""???0;"",""??-0;"",""???0;"", ///"""),"'","""")&amp;SUBSTITUTE(TEXT(Overig!W1331,""",""?00;"",""?-00;"",""?00;"", //"""),"'","""")</f>
        <v>032, 19401128, 12.00, ////, 07, ////, 07, ////, 07, ////, 07, ///, 07, ////, 07, ////, 07, ////, 07, ////, 07, ///, 07</v>
      </c>
    </row>
    <row r="1332" spans="1:1" x14ac:dyDescent="0.25">
      <c r="A1332" s="12" t="str">
        <f ca="1">TEXT(Overig!A1332,"000\,")&amp;TEXT(Overig!B1332,"?00000000")&amp;TEXT(Overig!C1332,""", ""@")&amp;SUBSTITUTE(TEXT(IF(ISTEXT(Overig!D1332),Overig!D1332,10*Overig!D1332),""",""????0;"",""???-0;"",""????0;"", ////"""),"'","""")&amp;SUBSTITUTE(TEXT(Overig!E1332,""",""?00;"",""?-00;"",""?00;"", //"""),"'","""")&amp;SUBSTITUTE(TEXT(IF(ISTEXT(Overig!F1332),Overig!F1332,10*Overig!F1332),""",""????0;"",""???-0;"",""????0;"", ////"""),"'","""")&amp;SUBSTITUTE(TEXT(Overig!G1332,""",""?00;"",""?-00;"",""?00;"", //"""),"'","""")&amp;SUBSTITUTE(TEXT(IF(ISTEXT(Overig!H1332),Overig!H1332,10*Overig!H1332),""",""????0;"",""???-0;"",""????0;"", ////"""),"'","""")&amp;SUBSTITUTE(TEXT(Overig!I1332,""",""?00;"",""?-00;"",""?00;"", //"""),"'","""")&amp;SUBSTITUTE(TEXT(IF(ISTEXT(Overig!J1332),Overig!J1332,10*Overig!J1332),""",""????0;"",""???-0;"",""????0;"", ////"""),"'","""")&amp;SUBSTITUTE(TEXT(Overig!K1332,""",""?00;"",""?-00;"",""?00;"", //"""),"'","""")&amp;SUBSTITUTE(TEXT(Overig!L1332,""",""???0;"",""??-0;"",""???0;"", ///"""),"'","""")&amp;SUBSTITUTE(TEXT(Overig!M1332,""",""?00;"",""?-00;"",""?00;"", //"""),"'","""")&amp;SUBSTITUTE(TEXT(IF(ISTEXT(Overig!N1332),Overig!N1332,10*Overig!N1332),""",""????0;"",""???-0;"",""????0;"", ////"""),"'","""")&amp;SUBSTITUTE(TEXT(Overig!O1332,""",""?00;"",""?-00;"",""?00;"", //"""),"'","""")&amp;SUBSTITUTE(TEXT(IF(ISTEXT(Overig!P1332),Overig!P1332,10*Overig!P1332),""",""????0;"",""???-0;"",""????0;"", ////"""),"'","""")&amp;SUBSTITUTE(TEXT(Overig!Q1332,""",""?00;"",""?-00;"",""?00;"", //"""),"'","""")&amp;SUBSTITUTE(TEXT(Overig!R1332,""",""????0;"",""???-0;"",""????0;"", ////"""),"'","""")&amp;SUBSTITUTE(TEXT(Overig!S1332,""",""?00;"",""?-00;"",""?00;"", //"""),"'","""")&amp;SUBSTITUTE(TEXT(IF(ISTEXT(Overig!T1332),Overig!T1332,10*Overig!T1332),""",""????0;"",""???-0;"",""????0;"", ////"""),"'","""")&amp;SUBSTITUTE(TEXT(Overig!U1332,""",""?00;"",""?-00;"",""?00;"", //"""),"'","""")&amp;SUBSTITUTE(TEXT(Overig!V1332,""",""???0;"",""??-0;"",""???0;"", ///"""),"'","""")&amp;SUBSTITUTE(TEXT(Overig!W1332,""",""?00;"",""?-00;"",""?00;"", //"""),"'","""")</f>
        <v>032, 19401128, 17.00, ////, 07, ////, 07, ////, 07, ////, 07, ///, 07, ////, 07, ////, 07, ////, 07, ////, 07, ///, 07</v>
      </c>
    </row>
    <row r="1333" spans="1:1" x14ac:dyDescent="0.25">
      <c r="A1333" s="12" t="str">
        <f ca="1">TEXT(Overig!A1333,"000\,")&amp;TEXT(Overig!B1333,"?00000000")&amp;TEXT(Overig!C1333,""", ""@")&amp;SUBSTITUTE(TEXT(IF(ISTEXT(Overig!D1333),Overig!D1333,10*Overig!D1333),""",""????0;"",""???-0;"",""????0;"", ////"""),"'","""")&amp;SUBSTITUTE(TEXT(Overig!E1333,""",""?00;"",""?-00;"",""?00;"", //"""),"'","""")&amp;SUBSTITUTE(TEXT(IF(ISTEXT(Overig!F1333),Overig!F1333,10*Overig!F1333),""",""????0;"",""???-0;"",""????0;"", ////"""),"'","""")&amp;SUBSTITUTE(TEXT(Overig!G1333,""",""?00;"",""?-00;"",""?00;"", //"""),"'","""")&amp;SUBSTITUTE(TEXT(IF(ISTEXT(Overig!H1333),Overig!H1333,10*Overig!H1333),""",""????0;"",""???-0;"",""????0;"", ////"""),"'","""")&amp;SUBSTITUTE(TEXT(Overig!I1333,""",""?00;"",""?-00;"",""?00;"", //"""),"'","""")&amp;SUBSTITUTE(TEXT(IF(ISTEXT(Overig!J1333),Overig!J1333,10*Overig!J1333),""",""????0;"",""???-0;"",""????0;"", ////"""),"'","""")&amp;SUBSTITUTE(TEXT(Overig!K1333,""",""?00;"",""?-00;"",""?00;"", //"""),"'","""")&amp;SUBSTITUTE(TEXT(Overig!L1333,""",""???0;"",""??-0;"",""???0;"", ///"""),"'","""")&amp;SUBSTITUTE(TEXT(Overig!M1333,""",""?00;"",""?-00;"",""?00;"", //"""),"'","""")&amp;SUBSTITUTE(TEXT(IF(ISTEXT(Overig!N1333),Overig!N1333,10*Overig!N1333),""",""????0;"",""???-0;"",""????0;"", ////"""),"'","""")&amp;SUBSTITUTE(TEXT(Overig!O1333,""",""?00;"",""?-00;"",""?00;"", //"""),"'","""")&amp;SUBSTITUTE(TEXT(IF(ISTEXT(Overig!P1333),Overig!P1333,10*Overig!P1333),""",""????0;"",""???-0;"",""????0;"", ////"""),"'","""")&amp;SUBSTITUTE(TEXT(Overig!Q1333,""",""?00;"",""?-00;"",""?00;"", //"""),"'","""")&amp;SUBSTITUTE(TEXT(Overig!R1333,""",""????0;"",""???-0;"",""????0;"", ////"""),"'","""")&amp;SUBSTITUTE(TEXT(Overig!S1333,""",""?00;"",""?-00;"",""?00;"", //"""),"'","""")&amp;SUBSTITUTE(TEXT(IF(ISTEXT(Overig!T1333),Overig!T1333,10*Overig!T1333),""",""????0;"",""???-0;"",""????0;"", ////"""),"'","""")&amp;SUBSTITUTE(TEXT(Overig!U1333,""",""?00;"",""?-00;"",""?00;"", //"""),"'","""")&amp;SUBSTITUTE(TEXT(Overig!V1333,""",""???0;"",""??-0;"",""???0;"", ///"""),"'","""")&amp;SUBSTITUTE(TEXT(Overig!W1333,""",""?00;"",""?-00;"",""?00;"", //"""),"'","""")</f>
        <v>032, 19401128, 24.00, ////, 07, ////, 07, ////, 07, ////, 07, ///, 07, ////, 07, ////, 07, ////, 07, ////, 07, ///, 07</v>
      </c>
    </row>
    <row r="1334" spans="1:1" x14ac:dyDescent="0.25">
      <c r="A1334" s="12" t="str">
        <f ca="1">TEXT(Overig!A1334,"000\,")&amp;TEXT(Overig!B1334,"?00000000")&amp;TEXT(Overig!C1334,""", ""@")&amp;SUBSTITUTE(TEXT(IF(ISTEXT(Overig!D1334),Overig!D1334,10*Overig!D1334),""",""????0;"",""???-0;"",""????0;"", ////"""),"'","""")&amp;SUBSTITUTE(TEXT(Overig!E1334,""",""?00;"",""?-00;"",""?00;"", //"""),"'","""")&amp;SUBSTITUTE(TEXT(IF(ISTEXT(Overig!F1334),Overig!F1334,10*Overig!F1334),""",""????0;"",""???-0;"",""????0;"", ////"""),"'","""")&amp;SUBSTITUTE(TEXT(Overig!G1334,""",""?00;"",""?-00;"",""?00;"", //"""),"'","""")&amp;SUBSTITUTE(TEXT(IF(ISTEXT(Overig!H1334),Overig!H1334,10*Overig!H1334),""",""????0;"",""???-0;"",""????0;"", ////"""),"'","""")&amp;SUBSTITUTE(TEXT(Overig!I1334,""",""?00;"",""?-00;"",""?00;"", //"""),"'","""")&amp;SUBSTITUTE(TEXT(IF(ISTEXT(Overig!J1334),Overig!J1334,10*Overig!J1334),""",""????0;"",""???-0;"",""????0;"", ////"""),"'","""")&amp;SUBSTITUTE(TEXT(Overig!K1334,""",""?00;"",""?-00;"",""?00;"", //"""),"'","""")&amp;SUBSTITUTE(TEXT(Overig!L1334,""",""???0;"",""??-0;"",""???0;"", ///"""),"'","""")&amp;SUBSTITUTE(TEXT(Overig!M1334,""",""?00;"",""?-00;"",""?00;"", //"""),"'","""")&amp;SUBSTITUTE(TEXT(IF(ISTEXT(Overig!N1334),Overig!N1334,10*Overig!N1334),""",""????0;"",""???-0;"",""????0;"", ////"""),"'","""")&amp;SUBSTITUTE(TEXT(Overig!O1334,""",""?00;"",""?-00;"",""?00;"", //"""),"'","""")&amp;SUBSTITUTE(TEXT(IF(ISTEXT(Overig!P1334),Overig!P1334,10*Overig!P1334),""",""????0;"",""???-0;"",""????0;"", ////"""),"'","""")&amp;SUBSTITUTE(TEXT(Overig!Q1334,""",""?00;"",""?-00;"",""?00;"", //"""),"'","""")&amp;SUBSTITUTE(TEXT(Overig!R1334,""",""????0;"",""???-0;"",""????0;"", ////"""),"'","""")&amp;SUBSTITUTE(TEXT(Overig!S1334,""",""?00;"",""?-00;"",""?00;"", //"""),"'","""")&amp;SUBSTITUTE(TEXT(IF(ISTEXT(Overig!T1334),Overig!T1334,10*Overig!T1334),""",""????0;"",""???-0;"",""????0;"", ////"""),"'","""")&amp;SUBSTITUTE(TEXT(Overig!U1334,""",""?00;"",""?-00;"",""?00;"", //"""),"'","""")&amp;SUBSTITUTE(TEXT(Overig!V1334,""",""???0;"",""??-0;"",""???0;"", ///"""),"'","""")&amp;SUBSTITUTE(TEXT(Overig!W1334,""",""?00;"",""?-00;"",""?00;"", //"""),"'","""")</f>
        <v>032, 19401129, 07.00, ////, 07, ////, 07, ////, 07, ////, 07, ///, 07, ////, 07, ////, 07, ////, 07, ////, 07, ///, 07</v>
      </c>
    </row>
    <row r="1335" spans="1:1" x14ac:dyDescent="0.25">
      <c r="A1335" s="12" t="str">
        <f ca="1">TEXT(Overig!A1335,"000\,")&amp;TEXT(Overig!B1335,"?00000000")&amp;TEXT(Overig!C1335,""", ""@")&amp;SUBSTITUTE(TEXT(IF(ISTEXT(Overig!D1335),Overig!D1335,10*Overig!D1335),""",""????0;"",""???-0;"",""????0;"", ////"""),"'","""")&amp;SUBSTITUTE(TEXT(Overig!E1335,""",""?00;"",""?-00;"",""?00;"", //"""),"'","""")&amp;SUBSTITUTE(TEXT(IF(ISTEXT(Overig!F1335),Overig!F1335,10*Overig!F1335),""",""????0;"",""???-0;"",""????0;"", ////"""),"'","""")&amp;SUBSTITUTE(TEXT(Overig!G1335,""",""?00;"",""?-00;"",""?00;"", //"""),"'","""")&amp;SUBSTITUTE(TEXT(IF(ISTEXT(Overig!H1335),Overig!H1335,10*Overig!H1335),""",""????0;"",""???-0;"",""????0;"", ////"""),"'","""")&amp;SUBSTITUTE(TEXT(Overig!I1335,""",""?00;"",""?-00;"",""?00;"", //"""),"'","""")&amp;SUBSTITUTE(TEXT(IF(ISTEXT(Overig!J1335),Overig!J1335,10*Overig!J1335),""",""????0;"",""???-0;"",""????0;"", ////"""),"'","""")&amp;SUBSTITUTE(TEXT(Overig!K1335,""",""?00;"",""?-00;"",""?00;"", //"""),"'","""")&amp;SUBSTITUTE(TEXT(Overig!L1335,""",""???0;"",""??-0;"",""???0;"", ///"""),"'","""")&amp;SUBSTITUTE(TEXT(Overig!M1335,""",""?00;"",""?-00;"",""?00;"", //"""),"'","""")&amp;SUBSTITUTE(TEXT(IF(ISTEXT(Overig!N1335),Overig!N1335,10*Overig!N1335),""",""????0;"",""???-0;"",""????0;"", ////"""),"'","""")&amp;SUBSTITUTE(TEXT(Overig!O1335,""",""?00;"",""?-00;"",""?00;"", //"""),"'","""")&amp;SUBSTITUTE(TEXT(IF(ISTEXT(Overig!P1335),Overig!P1335,10*Overig!P1335),""",""????0;"",""???-0;"",""????0;"", ////"""),"'","""")&amp;SUBSTITUTE(TEXT(Overig!Q1335,""",""?00;"",""?-00;"",""?00;"", //"""),"'","""")&amp;SUBSTITUTE(TEXT(Overig!R1335,""",""????0;"",""???-0;"",""????0;"", ////"""),"'","""")&amp;SUBSTITUTE(TEXT(Overig!S1335,""",""?00;"",""?-00;"",""?00;"", //"""),"'","""")&amp;SUBSTITUTE(TEXT(IF(ISTEXT(Overig!T1335),Overig!T1335,10*Overig!T1335),""",""????0;"",""???-0;"",""????0;"", ////"""),"'","""")&amp;SUBSTITUTE(TEXT(Overig!U1335,""",""?00;"",""?-00;"",""?00;"", //"""),"'","""")&amp;SUBSTITUTE(TEXT(Overig!V1335,""",""???0;"",""??-0;"",""???0;"", ///"""),"'","""")&amp;SUBSTITUTE(TEXT(Overig!W1335,""",""?00;"",""?-00;"",""?00;"", //"""),"'","""")</f>
        <v>032, 19401129, 12.00, ////, 07, ////, 07, ////, 07, ////, 07, ///, 07, ////, 07, ////, 07, ////, 07, ////, 07, ///, 07</v>
      </c>
    </row>
    <row r="1336" spans="1:1" x14ac:dyDescent="0.25">
      <c r="A1336" s="12" t="str">
        <f ca="1">TEXT(Overig!A1336,"000\,")&amp;TEXT(Overig!B1336,"?00000000")&amp;TEXT(Overig!C1336,""", ""@")&amp;SUBSTITUTE(TEXT(IF(ISTEXT(Overig!D1336),Overig!D1336,10*Overig!D1336),""",""????0;"",""???-0;"",""????0;"", ////"""),"'","""")&amp;SUBSTITUTE(TEXT(Overig!E1336,""",""?00;"",""?-00;"",""?00;"", //"""),"'","""")&amp;SUBSTITUTE(TEXT(IF(ISTEXT(Overig!F1336),Overig!F1336,10*Overig!F1336),""",""????0;"",""???-0;"",""????0;"", ////"""),"'","""")&amp;SUBSTITUTE(TEXT(Overig!G1336,""",""?00;"",""?-00;"",""?00;"", //"""),"'","""")&amp;SUBSTITUTE(TEXT(IF(ISTEXT(Overig!H1336),Overig!H1336,10*Overig!H1336),""",""????0;"",""???-0;"",""????0;"", ////"""),"'","""")&amp;SUBSTITUTE(TEXT(Overig!I1336,""",""?00;"",""?-00;"",""?00;"", //"""),"'","""")&amp;SUBSTITUTE(TEXT(IF(ISTEXT(Overig!J1336),Overig!J1336,10*Overig!J1336),""",""????0;"",""???-0;"",""????0;"", ////"""),"'","""")&amp;SUBSTITUTE(TEXT(Overig!K1336,""",""?00;"",""?-00;"",""?00;"", //"""),"'","""")&amp;SUBSTITUTE(TEXT(Overig!L1336,""",""???0;"",""??-0;"",""???0;"", ///"""),"'","""")&amp;SUBSTITUTE(TEXT(Overig!M1336,""",""?00;"",""?-00;"",""?00;"", //"""),"'","""")&amp;SUBSTITUTE(TEXT(IF(ISTEXT(Overig!N1336),Overig!N1336,10*Overig!N1336),""",""????0;"",""???-0;"",""????0;"", ////"""),"'","""")&amp;SUBSTITUTE(TEXT(Overig!O1336,""",""?00;"",""?-00;"",""?00;"", //"""),"'","""")&amp;SUBSTITUTE(TEXT(IF(ISTEXT(Overig!P1336),Overig!P1336,10*Overig!P1336),""",""????0;"",""???-0;"",""????0;"", ////"""),"'","""")&amp;SUBSTITUTE(TEXT(Overig!Q1336,""",""?00;"",""?-00;"",""?00;"", //"""),"'","""")&amp;SUBSTITUTE(TEXT(Overig!R1336,""",""????0;"",""???-0;"",""????0;"", ////"""),"'","""")&amp;SUBSTITUTE(TEXT(Overig!S1336,""",""?00;"",""?-00;"",""?00;"", //"""),"'","""")&amp;SUBSTITUTE(TEXT(IF(ISTEXT(Overig!T1336),Overig!T1336,10*Overig!T1336),""",""????0;"",""???-0;"",""????0;"", ////"""),"'","""")&amp;SUBSTITUTE(TEXT(Overig!U1336,""",""?00;"",""?-00;"",""?00;"", //"""),"'","""")&amp;SUBSTITUTE(TEXT(Overig!V1336,""",""???0;"",""??-0;"",""???0;"", ///"""),"'","""")&amp;SUBSTITUTE(TEXT(Overig!W1336,""",""?00;"",""?-00;"",""?00;"", //"""),"'","""")</f>
        <v>032, 19401129, 17.00, ////, 07, ////, 07, ////, 07, ////, 07, ///, 07, ////, 07, ////, 07, ////, 07, ////, 07, ///, 07</v>
      </c>
    </row>
    <row r="1337" spans="1:1" x14ac:dyDescent="0.25">
      <c r="A1337" s="12" t="str">
        <f ca="1">TEXT(Overig!A1337,"000\,")&amp;TEXT(Overig!B1337,"?00000000")&amp;TEXT(Overig!C1337,""", ""@")&amp;SUBSTITUTE(TEXT(IF(ISTEXT(Overig!D1337),Overig!D1337,10*Overig!D1337),""",""????0;"",""???-0;"",""????0;"", ////"""),"'","""")&amp;SUBSTITUTE(TEXT(Overig!E1337,""",""?00;"",""?-00;"",""?00;"", //"""),"'","""")&amp;SUBSTITUTE(TEXT(IF(ISTEXT(Overig!F1337),Overig!F1337,10*Overig!F1337),""",""????0;"",""???-0;"",""????0;"", ////"""),"'","""")&amp;SUBSTITUTE(TEXT(Overig!G1337,""",""?00;"",""?-00;"",""?00;"", //"""),"'","""")&amp;SUBSTITUTE(TEXT(IF(ISTEXT(Overig!H1337),Overig!H1337,10*Overig!H1337),""",""????0;"",""???-0;"",""????0;"", ////"""),"'","""")&amp;SUBSTITUTE(TEXT(Overig!I1337,""",""?00;"",""?-00;"",""?00;"", //"""),"'","""")&amp;SUBSTITUTE(TEXT(IF(ISTEXT(Overig!J1337),Overig!J1337,10*Overig!J1337),""",""????0;"",""???-0;"",""????0;"", ////"""),"'","""")&amp;SUBSTITUTE(TEXT(Overig!K1337,""",""?00;"",""?-00;"",""?00;"", //"""),"'","""")&amp;SUBSTITUTE(TEXT(Overig!L1337,""",""???0;"",""??-0;"",""???0;"", ///"""),"'","""")&amp;SUBSTITUTE(TEXT(Overig!M1337,""",""?00;"",""?-00;"",""?00;"", //"""),"'","""")&amp;SUBSTITUTE(TEXT(IF(ISTEXT(Overig!N1337),Overig!N1337,10*Overig!N1337),""",""????0;"",""???-0;"",""????0;"", ////"""),"'","""")&amp;SUBSTITUTE(TEXT(Overig!O1337,""",""?00;"",""?-00;"",""?00;"", //"""),"'","""")&amp;SUBSTITUTE(TEXT(IF(ISTEXT(Overig!P1337),Overig!P1337,10*Overig!P1337),""",""????0;"",""???-0;"",""????0;"", ////"""),"'","""")&amp;SUBSTITUTE(TEXT(Overig!Q1337,""",""?00;"",""?-00;"",""?00;"", //"""),"'","""")&amp;SUBSTITUTE(TEXT(Overig!R1337,""",""????0;"",""???-0;"",""????0;"", ////"""),"'","""")&amp;SUBSTITUTE(TEXT(Overig!S1337,""",""?00;"",""?-00;"",""?00;"", //"""),"'","""")&amp;SUBSTITUTE(TEXT(IF(ISTEXT(Overig!T1337),Overig!T1337,10*Overig!T1337),""",""????0;"",""???-0;"",""????0;"", ////"""),"'","""")&amp;SUBSTITUTE(TEXT(Overig!U1337,""",""?00;"",""?-00;"",""?00;"", //"""),"'","""")&amp;SUBSTITUTE(TEXT(Overig!V1337,""",""???0;"",""??-0;"",""???0;"", ///"""),"'","""")&amp;SUBSTITUTE(TEXT(Overig!W1337,""",""?00;"",""?-00;"",""?00;"", //"""),"'","""")</f>
        <v>032, 19401129, 24.00, ////, 07, ////, 07, ////, 07, ////, 07, ///, 07, ////, 07, ////, 07, ////, 07, ////, 07, ///, 07</v>
      </c>
    </row>
    <row r="1338" spans="1:1" x14ac:dyDescent="0.25">
      <c r="A1338" s="12" t="str">
        <f ca="1">TEXT(Overig!A1338,"000\,")&amp;TEXT(Overig!B1338,"?00000000")&amp;TEXT(Overig!C1338,""", ""@")&amp;SUBSTITUTE(TEXT(IF(ISTEXT(Overig!D1338),Overig!D1338,10*Overig!D1338),""",""????0;"",""???-0;"",""????0;"", ////"""),"'","""")&amp;SUBSTITUTE(TEXT(Overig!E1338,""",""?00;"",""?-00;"",""?00;"", //"""),"'","""")&amp;SUBSTITUTE(TEXT(IF(ISTEXT(Overig!F1338),Overig!F1338,10*Overig!F1338),""",""????0;"",""???-0;"",""????0;"", ////"""),"'","""")&amp;SUBSTITUTE(TEXT(Overig!G1338,""",""?00;"",""?-00;"",""?00;"", //"""),"'","""")&amp;SUBSTITUTE(TEXT(IF(ISTEXT(Overig!H1338),Overig!H1338,10*Overig!H1338),""",""????0;"",""???-0;"",""????0;"", ////"""),"'","""")&amp;SUBSTITUTE(TEXT(Overig!I1338,""",""?00;"",""?-00;"",""?00;"", //"""),"'","""")&amp;SUBSTITUTE(TEXT(IF(ISTEXT(Overig!J1338),Overig!J1338,10*Overig!J1338),""",""????0;"",""???-0;"",""????0;"", ////"""),"'","""")&amp;SUBSTITUTE(TEXT(Overig!K1338,""",""?00;"",""?-00;"",""?00;"", //"""),"'","""")&amp;SUBSTITUTE(TEXT(Overig!L1338,""",""???0;"",""??-0;"",""???0;"", ///"""),"'","""")&amp;SUBSTITUTE(TEXT(Overig!M1338,""",""?00;"",""?-00;"",""?00;"", //"""),"'","""")&amp;SUBSTITUTE(TEXT(IF(ISTEXT(Overig!N1338),Overig!N1338,10*Overig!N1338),""",""????0;"",""???-0;"",""????0;"", ////"""),"'","""")&amp;SUBSTITUTE(TEXT(Overig!O1338,""",""?00;"",""?-00;"",""?00;"", //"""),"'","""")&amp;SUBSTITUTE(TEXT(IF(ISTEXT(Overig!P1338),Overig!P1338,10*Overig!P1338),""",""????0;"",""???-0;"",""????0;"", ////"""),"'","""")&amp;SUBSTITUTE(TEXT(Overig!Q1338,""",""?00;"",""?-00;"",""?00;"", //"""),"'","""")&amp;SUBSTITUTE(TEXT(Overig!R1338,""",""????0;"",""???-0;"",""????0;"", ////"""),"'","""")&amp;SUBSTITUTE(TEXT(Overig!S1338,""",""?00;"",""?-00;"",""?00;"", //"""),"'","""")&amp;SUBSTITUTE(TEXT(IF(ISTEXT(Overig!T1338),Overig!T1338,10*Overig!T1338),""",""????0;"",""???-0;"",""????0;"", ////"""),"'","""")&amp;SUBSTITUTE(TEXT(Overig!U1338,""",""?00;"",""?-00;"",""?00;"", //"""),"'","""")&amp;SUBSTITUTE(TEXT(Overig!V1338,""",""???0;"",""??-0;"",""???0;"", ///"""),"'","""")&amp;SUBSTITUTE(TEXT(Overig!W1338,""",""?00;"",""?-00;"",""?00;"", //"""),"'","""")</f>
        <v>032, 19401130, 07.00, ////, 07, ////, 07, ////, 07, ////, 07, ///, 07, ////, 07, ////, 07, ////, 07, ////, 07, ///, 07</v>
      </c>
    </row>
    <row r="1339" spans="1:1" x14ac:dyDescent="0.25">
      <c r="A1339" s="12" t="str">
        <f ca="1">TEXT(Overig!A1339,"000\,")&amp;TEXT(Overig!B1339,"?00000000")&amp;TEXT(Overig!C1339,""", ""@")&amp;SUBSTITUTE(TEXT(IF(ISTEXT(Overig!D1339),Overig!D1339,10*Overig!D1339),""",""????0;"",""???-0;"",""????0;"", ////"""),"'","""")&amp;SUBSTITUTE(TEXT(Overig!E1339,""",""?00;"",""?-00;"",""?00;"", //"""),"'","""")&amp;SUBSTITUTE(TEXT(IF(ISTEXT(Overig!F1339),Overig!F1339,10*Overig!F1339),""",""????0;"",""???-0;"",""????0;"", ////"""),"'","""")&amp;SUBSTITUTE(TEXT(Overig!G1339,""",""?00;"",""?-00;"",""?00;"", //"""),"'","""")&amp;SUBSTITUTE(TEXT(IF(ISTEXT(Overig!H1339),Overig!H1339,10*Overig!H1339),""",""????0;"",""???-0;"",""????0;"", ////"""),"'","""")&amp;SUBSTITUTE(TEXT(Overig!I1339,""",""?00;"",""?-00;"",""?00;"", //"""),"'","""")&amp;SUBSTITUTE(TEXT(IF(ISTEXT(Overig!J1339),Overig!J1339,10*Overig!J1339),""",""????0;"",""???-0;"",""????0;"", ////"""),"'","""")&amp;SUBSTITUTE(TEXT(Overig!K1339,""",""?00;"",""?-00;"",""?00;"", //"""),"'","""")&amp;SUBSTITUTE(TEXT(Overig!L1339,""",""???0;"",""??-0;"",""???0;"", ///"""),"'","""")&amp;SUBSTITUTE(TEXT(Overig!M1339,""",""?00;"",""?-00;"",""?00;"", //"""),"'","""")&amp;SUBSTITUTE(TEXT(IF(ISTEXT(Overig!N1339),Overig!N1339,10*Overig!N1339),""",""????0;"",""???-0;"",""????0;"", ////"""),"'","""")&amp;SUBSTITUTE(TEXT(Overig!O1339,""",""?00;"",""?-00;"",""?00;"", //"""),"'","""")&amp;SUBSTITUTE(TEXT(IF(ISTEXT(Overig!P1339),Overig!P1339,10*Overig!P1339),""",""????0;"",""???-0;"",""????0;"", ////"""),"'","""")&amp;SUBSTITUTE(TEXT(Overig!Q1339,""",""?00;"",""?-00;"",""?00;"", //"""),"'","""")&amp;SUBSTITUTE(TEXT(Overig!R1339,""",""????0;"",""???-0;"",""????0;"", ////"""),"'","""")&amp;SUBSTITUTE(TEXT(Overig!S1339,""",""?00;"",""?-00;"",""?00;"", //"""),"'","""")&amp;SUBSTITUTE(TEXT(IF(ISTEXT(Overig!T1339),Overig!T1339,10*Overig!T1339),""",""????0;"",""???-0;"",""????0;"", ////"""),"'","""")&amp;SUBSTITUTE(TEXT(Overig!U1339,""",""?00;"",""?-00;"",""?00;"", //"""),"'","""")&amp;SUBSTITUTE(TEXT(Overig!V1339,""",""???0;"",""??-0;"",""???0;"", ///"""),"'","""")&amp;SUBSTITUTE(TEXT(Overig!W1339,""",""?00;"",""?-00;"",""?00;"", //"""),"'","""")</f>
        <v>032, 19401130, 12.00, ////, 07, ////, 07, ////, 07, ////, 07, ///, 07, ////, 07, ////, 07, ////, 07, ////, 07, ///, 07</v>
      </c>
    </row>
    <row r="1340" spans="1:1" x14ac:dyDescent="0.25">
      <c r="A1340" s="12" t="str">
        <f ca="1">TEXT(Overig!A1340,"000\,")&amp;TEXT(Overig!B1340,"?00000000")&amp;TEXT(Overig!C1340,""", ""@")&amp;SUBSTITUTE(TEXT(IF(ISTEXT(Overig!D1340),Overig!D1340,10*Overig!D1340),""",""????0;"",""???-0;"",""????0;"", ////"""),"'","""")&amp;SUBSTITUTE(TEXT(Overig!E1340,""",""?00;"",""?-00;"",""?00;"", //"""),"'","""")&amp;SUBSTITUTE(TEXT(IF(ISTEXT(Overig!F1340),Overig!F1340,10*Overig!F1340),""",""????0;"",""???-0;"",""????0;"", ////"""),"'","""")&amp;SUBSTITUTE(TEXT(Overig!G1340,""",""?00;"",""?-00;"",""?00;"", //"""),"'","""")&amp;SUBSTITUTE(TEXT(IF(ISTEXT(Overig!H1340),Overig!H1340,10*Overig!H1340),""",""????0;"",""???-0;"",""????0;"", ////"""),"'","""")&amp;SUBSTITUTE(TEXT(Overig!I1340,""",""?00;"",""?-00;"",""?00;"", //"""),"'","""")&amp;SUBSTITUTE(TEXT(IF(ISTEXT(Overig!J1340),Overig!J1340,10*Overig!J1340),""",""????0;"",""???-0;"",""????0;"", ////"""),"'","""")&amp;SUBSTITUTE(TEXT(Overig!K1340,""",""?00;"",""?-00;"",""?00;"", //"""),"'","""")&amp;SUBSTITUTE(TEXT(Overig!L1340,""",""???0;"",""??-0;"",""???0;"", ///"""),"'","""")&amp;SUBSTITUTE(TEXT(Overig!M1340,""",""?00;"",""?-00;"",""?00;"", //"""),"'","""")&amp;SUBSTITUTE(TEXT(IF(ISTEXT(Overig!N1340),Overig!N1340,10*Overig!N1340),""",""????0;"",""???-0;"",""????0;"", ////"""),"'","""")&amp;SUBSTITUTE(TEXT(Overig!O1340,""",""?00;"",""?-00;"",""?00;"", //"""),"'","""")&amp;SUBSTITUTE(TEXT(IF(ISTEXT(Overig!P1340),Overig!P1340,10*Overig!P1340),""",""????0;"",""???-0;"",""????0;"", ////"""),"'","""")&amp;SUBSTITUTE(TEXT(Overig!Q1340,""",""?00;"",""?-00;"",""?00;"", //"""),"'","""")&amp;SUBSTITUTE(TEXT(Overig!R1340,""",""????0;"",""???-0;"",""????0;"", ////"""),"'","""")&amp;SUBSTITUTE(TEXT(Overig!S1340,""",""?00;"",""?-00;"",""?00;"", //"""),"'","""")&amp;SUBSTITUTE(TEXT(IF(ISTEXT(Overig!T1340),Overig!T1340,10*Overig!T1340),""",""????0;"",""???-0;"",""????0;"", ////"""),"'","""")&amp;SUBSTITUTE(TEXT(Overig!U1340,""",""?00;"",""?-00;"",""?00;"", //"""),"'","""")&amp;SUBSTITUTE(TEXT(Overig!V1340,""",""???0;"",""??-0;"",""???0;"", ///"""),"'","""")&amp;SUBSTITUTE(TEXT(Overig!W1340,""",""?00;"",""?-00;"",""?00;"", //"""),"'","""")</f>
        <v>032, 19401130, 17.00, ////, 07, ////, 07, ////, 07, ////, 07, ///, 07, ////, 07, ////, 07, ////, 07, ////, 07, ///, 07</v>
      </c>
    </row>
    <row r="1341" spans="1:1" x14ac:dyDescent="0.25">
      <c r="A1341" s="12" t="str">
        <f ca="1">TEXT(Overig!A1341,"000\,")&amp;TEXT(Overig!B1341,"?00000000")&amp;TEXT(Overig!C1341,""", ""@")&amp;SUBSTITUTE(TEXT(IF(ISTEXT(Overig!D1341),Overig!D1341,10*Overig!D1341),""",""????0;"",""???-0;"",""????0;"", ////"""),"'","""")&amp;SUBSTITUTE(TEXT(Overig!E1341,""",""?00;"",""?-00;"",""?00;"", //"""),"'","""")&amp;SUBSTITUTE(TEXT(IF(ISTEXT(Overig!F1341),Overig!F1341,10*Overig!F1341),""",""????0;"",""???-0;"",""????0;"", ////"""),"'","""")&amp;SUBSTITUTE(TEXT(Overig!G1341,""",""?00;"",""?-00;"",""?00;"", //"""),"'","""")&amp;SUBSTITUTE(TEXT(IF(ISTEXT(Overig!H1341),Overig!H1341,10*Overig!H1341),""",""????0;"",""???-0;"",""????0;"", ////"""),"'","""")&amp;SUBSTITUTE(TEXT(Overig!I1341,""",""?00;"",""?-00;"",""?00;"", //"""),"'","""")&amp;SUBSTITUTE(TEXT(IF(ISTEXT(Overig!J1341),Overig!J1341,10*Overig!J1341),""",""????0;"",""???-0;"",""????0;"", ////"""),"'","""")&amp;SUBSTITUTE(TEXT(Overig!K1341,""",""?00;"",""?-00;"",""?00;"", //"""),"'","""")&amp;SUBSTITUTE(TEXT(Overig!L1341,""",""???0;"",""??-0;"",""???0;"", ///"""),"'","""")&amp;SUBSTITUTE(TEXT(Overig!M1341,""",""?00;"",""?-00;"",""?00;"", //"""),"'","""")&amp;SUBSTITUTE(TEXT(IF(ISTEXT(Overig!N1341),Overig!N1341,10*Overig!N1341),""",""????0;"",""???-0;"",""????0;"", ////"""),"'","""")&amp;SUBSTITUTE(TEXT(Overig!O1341,""",""?00;"",""?-00;"",""?00;"", //"""),"'","""")&amp;SUBSTITUTE(TEXT(IF(ISTEXT(Overig!P1341),Overig!P1341,10*Overig!P1341),""",""????0;"",""???-0;"",""????0;"", ////"""),"'","""")&amp;SUBSTITUTE(TEXT(Overig!Q1341,""",""?00;"",""?-00;"",""?00;"", //"""),"'","""")&amp;SUBSTITUTE(TEXT(Overig!R1341,""",""????0;"",""???-0;"",""????0;"", ////"""),"'","""")&amp;SUBSTITUTE(TEXT(Overig!S1341,""",""?00;"",""?-00;"",""?00;"", //"""),"'","""")&amp;SUBSTITUTE(TEXT(IF(ISTEXT(Overig!T1341),Overig!T1341,10*Overig!T1341),""",""????0;"",""???-0;"",""????0;"", ////"""),"'","""")&amp;SUBSTITUTE(TEXT(Overig!U1341,""",""?00;"",""?-00;"",""?00;"", //"""),"'","""")&amp;SUBSTITUTE(TEXT(Overig!V1341,""",""???0;"",""??-0;"",""???0;"", ///"""),"'","""")&amp;SUBSTITUTE(TEXT(Overig!W1341,""",""?00;"",""?-00;"",""?00;"", //"""),"'","""")</f>
        <v>032, 19401130, 24.00, ////, 07, ////, 07, ////, 07, ////, 07, ///, 07, ////, 07, ////, 07, ////, 07, ////, 07, ///, 07</v>
      </c>
    </row>
    <row r="1342" spans="1:1" x14ac:dyDescent="0.25">
      <c r="A1342" s="12" t="str">
        <f ca="1">TEXT(Overig!A1342,"000\,")&amp;TEXT(Overig!B1342,"?00000000")&amp;TEXT(Overig!C1342,""", ""@")&amp;SUBSTITUTE(TEXT(IF(ISTEXT(Overig!D1342),Overig!D1342,10*Overig!D1342),""",""????0;"",""???-0;"",""????0;"", ////"""),"'","""")&amp;SUBSTITUTE(TEXT(Overig!E1342,""",""?00;"",""?-00;"",""?00;"", //"""),"'","""")&amp;SUBSTITUTE(TEXT(IF(ISTEXT(Overig!F1342),Overig!F1342,10*Overig!F1342),""",""????0;"",""???-0;"",""????0;"", ////"""),"'","""")&amp;SUBSTITUTE(TEXT(Overig!G1342,""",""?00;"",""?-00;"",""?00;"", //"""),"'","""")&amp;SUBSTITUTE(TEXT(IF(ISTEXT(Overig!H1342),Overig!H1342,10*Overig!H1342),""",""????0;"",""???-0;"",""????0;"", ////"""),"'","""")&amp;SUBSTITUTE(TEXT(Overig!I1342,""",""?00;"",""?-00;"",""?00;"", //"""),"'","""")&amp;SUBSTITUTE(TEXT(IF(ISTEXT(Overig!J1342),Overig!J1342,10*Overig!J1342),""",""????0;"",""???-0;"",""????0;"", ////"""),"'","""")&amp;SUBSTITUTE(TEXT(Overig!K1342,""",""?00;"",""?-00;"",""?00;"", //"""),"'","""")&amp;SUBSTITUTE(TEXT(Overig!L1342,""",""???0;"",""??-0;"",""???0;"", ///"""),"'","""")&amp;SUBSTITUTE(TEXT(Overig!M1342,""",""?00;"",""?-00;"",""?00;"", //"""),"'","""")&amp;SUBSTITUTE(TEXT(IF(ISTEXT(Overig!N1342),Overig!N1342,10*Overig!N1342),""",""????0;"",""???-0;"",""????0;"", ////"""),"'","""")&amp;SUBSTITUTE(TEXT(Overig!O1342,""",""?00;"",""?-00;"",""?00;"", //"""),"'","""")&amp;SUBSTITUTE(TEXT(IF(ISTEXT(Overig!P1342),Overig!P1342,10*Overig!P1342),""",""????0;"",""???-0;"",""????0;"", ////"""),"'","""")&amp;SUBSTITUTE(TEXT(Overig!Q1342,""",""?00;"",""?-00;"",""?00;"", //"""),"'","""")&amp;SUBSTITUTE(TEXT(Overig!R1342,""",""????0;"",""???-0;"",""????0;"", ////"""),"'","""")&amp;SUBSTITUTE(TEXT(Overig!S1342,""",""?00;"",""?-00;"",""?00;"", //"""),"'","""")&amp;SUBSTITUTE(TEXT(IF(ISTEXT(Overig!T1342),Overig!T1342,10*Overig!T1342),""",""????0;"",""???-0;"",""????0;"", ////"""),"'","""")&amp;SUBSTITUTE(TEXT(Overig!U1342,""",""?00;"",""?-00;"",""?00;"", //"""),"'","""")&amp;SUBSTITUTE(TEXT(Overig!V1342,""",""???0;"",""??-0;"",""???0;"", ///"""),"'","""")&amp;SUBSTITUTE(TEXT(Overig!W1342,""",""?00;"",""?-00;"",""?00;"", //"""),"'","""")</f>
        <v>032, 19401201, 07.00, ////, 07, ////, 07, ////, 07, ////, 07, ///, 07, ////, 07, ////, 07, ////, 07, ////, 07, ///, 07</v>
      </c>
    </row>
    <row r="1343" spans="1:1" x14ac:dyDescent="0.25">
      <c r="A1343" s="12" t="str">
        <f ca="1">TEXT(Overig!A1343,"000\,")&amp;TEXT(Overig!B1343,"?00000000")&amp;TEXT(Overig!C1343,""", ""@")&amp;SUBSTITUTE(TEXT(IF(ISTEXT(Overig!D1343),Overig!D1343,10*Overig!D1343),""",""????0;"",""???-0;"",""????0;"", ////"""),"'","""")&amp;SUBSTITUTE(TEXT(Overig!E1343,""",""?00;"",""?-00;"",""?00;"", //"""),"'","""")&amp;SUBSTITUTE(TEXT(IF(ISTEXT(Overig!F1343),Overig!F1343,10*Overig!F1343),""",""????0;"",""???-0;"",""????0;"", ////"""),"'","""")&amp;SUBSTITUTE(TEXT(Overig!G1343,""",""?00;"",""?-00;"",""?00;"", //"""),"'","""")&amp;SUBSTITUTE(TEXT(IF(ISTEXT(Overig!H1343),Overig!H1343,10*Overig!H1343),""",""????0;"",""???-0;"",""????0;"", ////"""),"'","""")&amp;SUBSTITUTE(TEXT(Overig!I1343,""",""?00;"",""?-00;"",""?00;"", //"""),"'","""")&amp;SUBSTITUTE(TEXT(IF(ISTEXT(Overig!J1343),Overig!J1343,10*Overig!J1343),""",""????0;"",""???-0;"",""????0;"", ////"""),"'","""")&amp;SUBSTITUTE(TEXT(Overig!K1343,""",""?00;"",""?-00;"",""?00;"", //"""),"'","""")&amp;SUBSTITUTE(TEXT(Overig!L1343,""",""???0;"",""??-0;"",""???0;"", ///"""),"'","""")&amp;SUBSTITUTE(TEXT(Overig!M1343,""",""?00;"",""?-00;"",""?00;"", //"""),"'","""")&amp;SUBSTITUTE(TEXT(IF(ISTEXT(Overig!N1343),Overig!N1343,10*Overig!N1343),""",""????0;"",""???-0;"",""????0;"", ////"""),"'","""")&amp;SUBSTITUTE(TEXT(Overig!O1343,""",""?00;"",""?-00;"",""?00;"", //"""),"'","""")&amp;SUBSTITUTE(TEXT(IF(ISTEXT(Overig!P1343),Overig!P1343,10*Overig!P1343),""",""????0;"",""???-0;"",""????0;"", ////"""),"'","""")&amp;SUBSTITUTE(TEXT(Overig!Q1343,""",""?00;"",""?-00;"",""?00;"", //"""),"'","""")&amp;SUBSTITUTE(TEXT(Overig!R1343,""",""????0;"",""???-0;"",""????0;"", ////"""),"'","""")&amp;SUBSTITUTE(TEXT(Overig!S1343,""",""?00;"",""?-00;"",""?00;"", //"""),"'","""")&amp;SUBSTITUTE(TEXT(IF(ISTEXT(Overig!T1343),Overig!T1343,10*Overig!T1343),""",""????0;"",""???-0;"",""????0;"", ////"""),"'","""")&amp;SUBSTITUTE(TEXT(Overig!U1343,""",""?00;"",""?-00;"",""?00;"", //"""),"'","""")&amp;SUBSTITUTE(TEXT(Overig!V1343,""",""???0;"",""??-0;"",""???0;"", ///"""),"'","""")&amp;SUBSTITUTE(TEXT(Overig!W1343,""",""?00;"",""?-00;"",""?00;"", //"""),"'","""")</f>
        <v>032, 19401201, 12.00, ////, 07, ////, 07, ////, 07, ////, 07, ///, 07, ////, 07, ////, 07, ////, 07, ////, 07, ///, 07</v>
      </c>
    </row>
    <row r="1344" spans="1:1" x14ac:dyDescent="0.25">
      <c r="A1344" s="12" t="str">
        <f ca="1">TEXT(Overig!A1344,"000\,")&amp;TEXT(Overig!B1344,"?00000000")&amp;TEXT(Overig!C1344,""", ""@")&amp;SUBSTITUTE(TEXT(IF(ISTEXT(Overig!D1344),Overig!D1344,10*Overig!D1344),""",""????0;"",""???-0;"",""????0;"", ////"""),"'","""")&amp;SUBSTITUTE(TEXT(Overig!E1344,""",""?00;"",""?-00;"",""?00;"", //"""),"'","""")&amp;SUBSTITUTE(TEXT(IF(ISTEXT(Overig!F1344),Overig!F1344,10*Overig!F1344),""",""????0;"",""???-0;"",""????0;"", ////"""),"'","""")&amp;SUBSTITUTE(TEXT(Overig!G1344,""",""?00;"",""?-00;"",""?00;"", //"""),"'","""")&amp;SUBSTITUTE(TEXT(IF(ISTEXT(Overig!H1344),Overig!H1344,10*Overig!H1344),""",""????0;"",""???-0;"",""????0;"", ////"""),"'","""")&amp;SUBSTITUTE(TEXT(Overig!I1344,""",""?00;"",""?-00;"",""?00;"", //"""),"'","""")&amp;SUBSTITUTE(TEXT(IF(ISTEXT(Overig!J1344),Overig!J1344,10*Overig!J1344),""",""????0;"",""???-0;"",""????0;"", ////"""),"'","""")&amp;SUBSTITUTE(TEXT(Overig!K1344,""",""?00;"",""?-00;"",""?00;"", //"""),"'","""")&amp;SUBSTITUTE(TEXT(Overig!L1344,""",""???0;"",""??-0;"",""???0;"", ///"""),"'","""")&amp;SUBSTITUTE(TEXT(Overig!M1344,""",""?00;"",""?-00;"",""?00;"", //"""),"'","""")&amp;SUBSTITUTE(TEXT(IF(ISTEXT(Overig!N1344),Overig!N1344,10*Overig!N1344),""",""????0;"",""???-0;"",""????0;"", ////"""),"'","""")&amp;SUBSTITUTE(TEXT(Overig!O1344,""",""?00;"",""?-00;"",""?00;"", //"""),"'","""")&amp;SUBSTITUTE(TEXT(IF(ISTEXT(Overig!P1344),Overig!P1344,10*Overig!P1344),""",""????0;"",""???-0;"",""????0;"", ////"""),"'","""")&amp;SUBSTITUTE(TEXT(Overig!Q1344,""",""?00;"",""?-00;"",""?00;"", //"""),"'","""")&amp;SUBSTITUTE(TEXT(Overig!R1344,""",""????0;"",""???-0;"",""????0;"", ////"""),"'","""")&amp;SUBSTITUTE(TEXT(Overig!S1344,""",""?00;"",""?-00;"",""?00;"", //"""),"'","""")&amp;SUBSTITUTE(TEXT(IF(ISTEXT(Overig!T1344),Overig!T1344,10*Overig!T1344),""",""????0;"",""???-0;"",""????0;"", ////"""),"'","""")&amp;SUBSTITUTE(TEXT(Overig!U1344,""",""?00;"",""?-00;"",""?00;"", //"""),"'","""")&amp;SUBSTITUTE(TEXT(Overig!V1344,""",""???0;"",""??-0;"",""???0;"", ///"""),"'","""")&amp;SUBSTITUTE(TEXT(Overig!W1344,""",""?00;"",""?-00;"",""?00;"", //"""),"'","""")</f>
        <v>032, 19401201, 17.00, ////, 07, ////, 07, ////, 07, ////, 07, ///, 07, ////, 07, ////, 07, ////, 07, ////, 07, ///, 07</v>
      </c>
    </row>
    <row r="1345" spans="1:1" x14ac:dyDescent="0.25">
      <c r="A1345" s="12" t="str">
        <f ca="1">TEXT(Overig!A1345,"000\,")&amp;TEXT(Overig!B1345,"?00000000")&amp;TEXT(Overig!C1345,""", ""@")&amp;SUBSTITUTE(TEXT(IF(ISTEXT(Overig!D1345),Overig!D1345,10*Overig!D1345),""",""????0;"",""???-0;"",""????0;"", ////"""),"'","""")&amp;SUBSTITUTE(TEXT(Overig!E1345,""",""?00;"",""?-00;"",""?00;"", //"""),"'","""")&amp;SUBSTITUTE(TEXT(IF(ISTEXT(Overig!F1345),Overig!F1345,10*Overig!F1345),""",""????0;"",""???-0;"",""????0;"", ////"""),"'","""")&amp;SUBSTITUTE(TEXT(Overig!G1345,""",""?00;"",""?-00;"",""?00;"", //"""),"'","""")&amp;SUBSTITUTE(TEXT(IF(ISTEXT(Overig!H1345),Overig!H1345,10*Overig!H1345),""",""????0;"",""???-0;"",""????0;"", ////"""),"'","""")&amp;SUBSTITUTE(TEXT(Overig!I1345,""",""?00;"",""?-00;"",""?00;"", //"""),"'","""")&amp;SUBSTITUTE(TEXT(IF(ISTEXT(Overig!J1345),Overig!J1345,10*Overig!J1345),""",""????0;"",""???-0;"",""????0;"", ////"""),"'","""")&amp;SUBSTITUTE(TEXT(Overig!K1345,""",""?00;"",""?-00;"",""?00;"", //"""),"'","""")&amp;SUBSTITUTE(TEXT(Overig!L1345,""",""???0;"",""??-0;"",""???0;"", ///"""),"'","""")&amp;SUBSTITUTE(TEXT(Overig!M1345,""",""?00;"",""?-00;"",""?00;"", //"""),"'","""")&amp;SUBSTITUTE(TEXT(IF(ISTEXT(Overig!N1345),Overig!N1345,10*Overig!N1345),""",""????0;"",""???-0;"",""????0;"", ////"""),"'","""")&amp;SUBSTITUTE(TEXT(Overig!O1345,""",""?00;"",""?-00;"",""?00;"", //"""),"'","""")&amp;SUBSTITUTE(TEXT(IF(ISTEXT(Overig!P1345),Overig!P1345,10*Overig!P1345),""",""????0;"",""???-0;"",""????0;"", ////"""),"'","""")&amp;SUBSTITUTE(TEXT(Overig!Q1345,""",""?00;"",""?-00;"",""?00;"", //"""),"'","""")&amp;SUBSTITUTE(TEXT(Overig!R1345,""",""????0;"",""???-0;"",""????0;"", ////"""),"'","""")&amp;SUBSTITUTE(TEXT(Overig!S1345,""",""?00;"",""?-00;"",""?00;"", //"""),"'","""")&amp;SUBSTITUTE(TEXT(IF(ISTEXT(Overig!T1345),Overig!T1345,10*Overig!T1345),""",""????0;"",""???-0;"",""????0;"", ////"""),"'","""")&amp;SUBSTITUTE(TEXT(Overig!U1345,""",""?00;"",""?-00;"",""?00;"", //"""),"'","""")&amp;SUBSTITUTE(TEXT(Overig!V1345,""",""???0;"",""??-0;"",""???0;"", ///"""),"'","""")&amp;SUBSTITUTE(TEXT(Overig!W1345,""",""?00;"",""?-00;"",""?00;"", //"""),"'","""")</f>
        <v>032, 19401201, 24.00, ////, 07, ////, 07, ////, 07, ////, 07, ///, 07, ////, 07, ////, 07, ////, 07, ////, 07, ///, 07</v>
      </c>
    </row>
    <row r="1346" spans="1:1" x14ac:dyDescent="0.25">
      <c r="A1346" s="12" t="str">
        <f ca="1">TEXT(Overig!A1346,"000\,")&amp;TEXT(Overig!B1346,"?00000000")&amp;TEXT(Overig!C1346,""", ""@")&amp;SUBSTITUTE(TEXT(IF(ISTEXT(Overig!D1346),Overig!D1346,10*Overig!D1346),""",""????0;"",""???-0;"",""????0;"", ////"""),"'","""")&amp;SUBSTITUTE(TEXT(Overig!E1346,""",""?00;"",""?-00;"",""?00;"", //"""),"'","""")&amp;SUBSTITUTE(TEXT(IF(ISTEXT(Overig!F1346),Overig!F1346,10*Overig!F1346),""",""????0;"",""???-0;"",""????0;"", ////"""),"'","""")&amp;SUBSTITUTE(TEXT(Overig!G1346,""",""?00;"",""?-00;"",""?00;"", //"""),"'","""")&amp;SUBSTITUTE(TEXT(IF(ISTEXT(Overig!H1346),Overig!H1346,10*Overig!H1346),""",""????0;"",""???-0;"",""????0;"", ////"""),"'","""")&amp;SUBSTITUTE(TEXT(Overig!I1346,""",""?00;"",""?-00;"",""?00;"", //"""),"'","""")&amp;SUBSTITUTE(TEXT(IF(ISTEXT(Overig!J1346),Overig!J1346,10*Overig!J1346),""",""????0;"",""???-0;"",""????0;"", ////"""),"'","""")&amp;SUBSTITUTE(TEXT(Overig!K1346,""",""?00;"",""?-00;"",""?00;"", //"""),"'","""")&amp;SUBSTITUTE(TEXT(Overig!L1346,""",""???0;"",""??-0;"",""???0;"", ///"""),"'","""")&amp;SUBSTITUTE(TEXT(Overig!M1346,""",""?00;"",""?-00;"",""?00;"", //"""),"'","""")&amp;SUBSTITUTE(TEXT(IF(ISTEXT(Overig!N1346),Overig!N1346,10*Overig!N1346),""",""????0;"",""???-0;"",""????0;"", ////"""),"'","""")&amp;SUBSTITUTE(TEXT(Overig!O1346,""",""?00;"",""?-00;"",""?00;"", //"""),"'","""")&amp;SUBSTITUTE(TEXT(IF(ISTEXT(Overig!P1346),Overig!P1346,10*Overig!P1346),""",""????0;"",""???-0;"",""????0;"", ////"""),"'","""")&amp;SUBSTITUTE(TEXT(Overig!Q1346,""",""?00;"",""?-00;"",""?00;"", //"""),"'","""")&amp;SUBSTITUTE(TEXT(Overig!R1346,""",""????0;"",""???-0;"",""????0;"", ////"""),"'","""")&amp;SUBSTITUTE(TEXT(Overig!S1346,""",""?00;"",""?-00;"",""?00;"", //"""),"'","""")&amp;SUBSTITUTE(TEXT(IF(ISTEXT(Overig!T1346),Overig!T1346,10*Overig!T1346),""",""????0;"",""???-0;"",""????0;"", ////"""),"'","""")&amp;SUBSTITUTE(TEXT(Overig!U1346,""",""?00;"",""?-00;"",""?00;"", //"""),"'","""")&amp;SUBSTITUTE(TEXT(Overig!V1346,""",""???0;"",""??-0;"",""???0;"", ///"""),"'","""")&amp;SUBSTITUTE(TEXT(Overig!W1346,""",""?00;"",""?-00;"",""?00;"", //"""),"'","""")</f>
        <v>032, 19401202, 07.00, ////, 07, ////, 07, ////, 07, ////, 07, ///, 07, ////, 07, ////, 07, ////, 07, ////, 07, ///, 07</v>
      </c>
    </row>
    <row r="1347" spans="1:1" x14ac:dyDescent="0.25">
      <c r="A1347" s="12" t="str">
        <f ca="1">TEXT(Overig!A1347,"000\,")&amp;TEXT(Overig!B1347,"?00000000")&amp;TEXT(Overig!C1347,""", ""@")&amp;SUBSTITUTE(TEXT(IF(ISTEXT(Overig!D1347),Overig!D1347,10*Overig!D1347),""",""????0;"",""???-0;"",""????0;"", ////"""),"'","""")&amp;SUBSTITUTE(TEXT(Overig!E1347,""",""?00;"",""?-00;"",""?00;"", //"""),"'","""")&amp;SUBSTITUTE(TEXT(IF(ISTEXT(Overig!F1347),Overig!F1347,10*Overig!F1347),""",""????0;"",""???-0;"",""????0;"", ////"""),"'","""")&amp;SUBSTITUTE(TEXT(Overig!G1347,""",""?00;"",""?-00;"",""?00;"", //"""),"'","""")&amp;SUBSTITUTE(TEXT(IF(ISTEXT(Overig!H1347),Overig!H1347,10*Overig!H1347),""",""????0;"",""???-0;"",""????0;"", ////"""),"'","""")&amp;SUBSTITUTE(TEXT(Overig!I1347,""",""?00;"",""?-00;"",""?00;"", //"""),"'","""")&amp;SUBSTITUTE(TEXT(IF(ISTEXT(Overig!J1347),Overig!J1347,10*Overig!J1347),""",""????0;"",""???-0;"",""????0;"", ////"""),"'","""")&amp;SUBSTITUTE(TEXT(Overig!K1347,""",""?00;"",""?-00;"",""?00;"", //"""),"'","""")&amp;SUBSTITUTE(TEXT(Overig!L1347,""",""???0;"",""??-0;"",""???0;"", ///"""),"'","""")&amp;SUBSTITUTE(TEXT(Overig!M1347,""",""?00;"",""?-00;"",""?00;"", //"""),"'","""")&amp;SUBSTITUTE(TEXT(IF(ISTEXT(Overig!N1347),Overig!N1347,10*Overig!N1347),""",""????0;"",""???-0;"",""????0;"", ////"""),"'","""")&amp;SUBSTITUTE(TEXT(Overig!O1347,""",""?00;"",""?-00;"",""?00;"", //"""),"'","""")&amp;SUBSTITUTE(TEXT(IF(ISTEXT(Overig!P1347),Overig!P1347,10*Overig!P1347),""",""????0;"",""???-0;"",""????0;"", ////"""),"'","""")&amp;SUBSTITUTE(TEXT(Overig!Q1347,""",""?00;"",""?-00;"",""?00;"", //"""),"'","""")&amp;SUBSTITUTE(TEXT(Overig!R1347,""",""????0;"",""???-0;"",""????0;"", ////"""),"'","""")&amp;SUBSTITUTE(TEXT(Overig!S1347,""",""?00;"",""?-00;"",""?00;"", //"""),"'","""")&amp;SUBSTITUTE(TEXT(IF(ISTEXT(Overig!T1347),Overig!T1347,10*Overig!T1347),""",""????0;"",""???-0;"",""????0;"", ////"""),"'","""")&amp;SUBSTITUTE(TEXT(Overig!U1347,""",""?00;"",""?-00;"",""?00;"", //"""),"'","""")&amp;SUBSTITUTE(TEXT(Overig!V1347,""",""???0;"",""??-0;"",""???0;"", ///"""),"'","""")&amp;SUBSTITUTE(TEXT(Overig!W1347,""",""?00;"",""?-00;"",""?00;"", //"""),"'","""")</f>
        <v>032, 19401202, 12.00, ////, 07, ////, 07, ////, 07, ////, 07, ///, 07, ////, 07, ////, 07, ////, 07, ////, 07, ///, 07</v>
      </c>
    </row>
    <row r="1348" spans="1:1" x14ac:dyDescent="0.25">
      <c r="A1348" s="12" t="str">
        <f ca="1">TEXT(Overig!A1348,"000\,")&amp;TEXT(Overig!B1348,"?00000000")&amp;TEXT(Overig!C1348,""", ""@")&amp;SUBSTITUTE(TEXT(IF(ISTEXT(Overig!D1348),Overig!D1348,10*Overig!D1348),""",""????0;"",""???-0;"",""????0;"", ////"""),"'","""")&amp;SUBSTITUTE(TEXT(Overig!E1348,""",""?00;"",""?-00;"",""?00;"", //"""),"'","""")&amp;SUBSTITUTE(TEXT(IF(ISTEXT(Overig!F1348),Overig!F1348,10*Overig!F1348),""",""????0;"",""???-0;"",""????0;"", ////"""),"'","""")&amp;SUBSTITUTE(TEXT(Overig!G1348,""",""?00;"",""?-00;"",""?00;"", //"""),"'","""")&amp;SUBSTITUTE(TEXT(IF(ISTEXT(Overig!H1348),Overig!H1348,10*Overig!H1348),""",""????0;"",""???-0;"",""????0;"", ////"""),"'","""")&amp;SUBSTITUTE(TEXT(Overig!I1348,""",""?00;"",""?-00;"",""?00;"", //"""),"'","""")&amp;SUBSTITUTE(TEXT(IF(ISTEXT(Overig!J1348),Overig!J1348,10*Overig!J1348),""",""????0;"",""???-0;"",""????0;"", ////"""),"'","""")&amp;SUBSTITUTE(TEXT(Overig!K1348,""",""?00;"",""?-00;"",""?00;"", //"""),"'","""")&amp;SUBSTITUTE(TEXT(Overig!L1348,""",""???0;"",""??-0;"",""???0;"", ///"""),"'","""")&amp;SUBSTITUTE(TEXT(Overig!M1348,""",""?00;"",""?-00;"",""?00;"", //"""),"'","""")&amp;SUBSTITUTE(TEXT(IF(ISTEXT(Overig!N1348),Overig!N1348,10*Overig!N1348),""",""????0;"",""???-0;"",""????0;"", ////"""),"'","""")&amp;SUBSTITUTE(TEXT(Overig!O1348,""",""?00;"",""?-00;"",""?00;"", //"""),"'","""")&amp;SUBSTITUTE(TEXT(IF(ISTEXT(Overig!P1348),Overig!P1348,10*Overig!P1348),""",""????0;"",""???-0;"",""????0;"", ////"""),"'","""")&amp;SUBSTITUTE(TEXT(Overig!Q1348,""",""?00;"",""?-00;"",""?00;"", //"""),"'","""")&amp;SUBSTITUTE(TEXT(Overig!R1348,""",""????0;"",""???-0;"",""????0;"", ////"""),"'","""")&amp;SUBSTITUTE(TEXT(Overig!S1348,""",""?00;"",""?-00;"",""?00;"", //"""),"'","""")&amp;SUBSTITUTE(TEXT(IF(ISTEXT(Overig!T1348),Overig!T1348,10*Overig!T1348),""",""????0;"",""???-0;"",""????0;"", ////"""),"'","""")&amp;SUBSTITUTE(TEXT(Overig!U1348,""",""?00;"",""?-00;"",""?00;"", //"""),"'","""")&amp;SUBSTITUTE(TEXT(Overig!V1348,""",""???0;"",""??-0;"",""???0;"", ///"""),"'","""")&amp;SUBSTITUTE(TEXT(Overig!W1348,""",""?00;"",""?-00;"",""?00;"", //"""),"'","""")</f>
        <v>032, 19401202, 17.00, ////, 07, ////, 07, ////, 07, ////, 07, ///, 07, ////, 07, ////, 07, ////, 07, ////, 07, ///, 07</v>
      </c>
    </row>
    <row r="1349" spans="1:1" x14ac:dyDescent="0.25">
      <c r="A1349" s="12" t="str">
        <f ca="1">TEXT(Overig!A1349,"000\,")&amp;TEXT(Overig!B1349,"?00000000")&amp;TEXT(Overig!C1349,""", ""@")&amp;SUBSTITUTE(TEXT(IF(ISTEXT(Overig!D1349),Overig!D1349,10*Overig!D1349),""",""????0;"",""???-0;"",""????0;"", ////"""),"'","""")&amp;SUBSTITUTE(TEXT(Overig!E1349,""",""?00;"",""?-00;"",""?00;"", //"""),"'","""")&amp;SUBSTITUTE(TEXT(IF(ISTEXT(Overig!F1349),Overig!F1349,10*Overig!F1349),""",""????0;"",""???-0;"",""????0;"", ////"""),"'","""")&amp;SUBSTITUTE(TEXT(Overig!G1349,""",""?00;"",""?-00;"",""?00;"", //"""),"'","""")&amp;SUBSTITUTE(TEXT(IF(ISTEXT(Overig!H1349),Overig!H1349,10*Overig!H1349),""",""????0;"",""???-0;"",""????0;"", ////"""),"'","""")&amp;SUBSTITUTE(TEXT(Overig!I1349,""",""?00;"",""?-00;"",""?00;"", //"""),"'","""")&amp;SUBSTITUTE(TEXT(IF(ISTEXT(Overig!J1349),Overig!J1349,10*Overig!J1349),""",""????0;"",""???-0;"",""????0;"", ////"""),"'","""")&amp;SUBSTITUTE(TEXT(Overig!K1349,""",""?00;"",""?-00;"",""?00;"", //"""),"'","""")&amp;SUBSTITUTE(TEXT(Overig!L1349,""",""???0;"",""??-0;"",""???0;"", ///"""),"'","""")&amp;SUBSTITUTE(TEXT(Overig!M1349,""",""?00;"",""?-00;"",""?00;"", //"""),"'","""")&amp;SUBSTITUTE(TEXT(IF(ISTEXT(Overig!N1349),Overig!N1349,10*Overig!N1349),""",""????0;"",""???-0;"",""????0;"", ////"""),"'","""")&amp;SUBSTITUTE(TEXT(Overig!O1349,""",""?00;"",""?-00;"",""?00;"", //"""),"'","""")&amp;SUBSTITUTE(TEXT(IF(ISTEXT(Overig!P1349),Overig!P1349,10*Overig!P1349),""",""????0;"",""???-0;"",""????0;"", ////"""),"'","""")&amp;SUBSTITUTE(TEXT(Overig!Q1349,""",""?00;"",""?-00;"",""?00;"", //"""),"'","""")&amp;SUBSTITUTE(TEXT(Overig!R1349,""",""????0;"",""???-0;"",""????0;"", ////"""),"'","""")&amp;SUBSTITUTE(TEXT(Overig!S1349,""",""?00;"",""?-00;"",""?00;"", //"""),"'","""")&amp;SUBSTITUTE(TEXT(IF(ISTEXT(Overig!T1349),Overig!T1349,10*Overig!T1349),""",""????0;"",""???-0;"",""????0;"", ////"""),"'","""")&amp;SUBSTITUTE(TEXT(Overig!U1349,""",""?00;"",""?-00;"",""?00;"", //"""),"'","""")&amp;SUBSTITUTE(TEXT(Overig!V1349,""",""???0;"",""??-0;"",""???0;"", ///"""),"'","""")&amp;SUBSTITUTE(TEXT(Overig!W1349,""",""?00;"",""?-00;"",""?00;"", //"""),"'","""")</f>
        <v>032, 19401202, 24.00, ////, 07, ////, 07, ////, 07, ////, 07, ///, 07, ////, 07, ////, 07, ////, 07, ////, 07, ///, 07</v>
      </c>
    </row>
    <row r="1350" spans="1:1" x14ac:dyDescent="0.25">
      <c r="A1350" s="12" t="str">
        <f ca="1">TEXT(Overig!A1350,"000\,")&amp;TEXT(Overig!B1350,"?00000000")&amp;TEXT(Overig!C1350,""", ""@")&amp;SUBSTITUTE(TEXT(IF(ISTEXT(Overig!D1350),Overig!D1350,10*Overig!D1350),""",""????0;"",""???-0;"",""????0;"", ////"""),"'","""")&amp;SUBSTITUTE(TEXT(Overig!E1350,""",""?00;"",""?-00;"",""?00;"", //"""),"'","""")&amp;SUBSTITUTE(TEXT(IF(ISTEXT(Overig!F1350),Overig!F1350,10*Overig!F1350),""",""????0;"",""???-0;"",""????0;"", ////"""),"'","""")&amp;SUBSTITUTE(TEXT(Overig!G1350,""",""?00;"",""?-00;"",""?00;"", //"""),"'","""")&amp;SUBSTITUTE(TEXT(IF(ISTEXT(Overig!H1350),Overig!H1350,10*Overig!H1350),""",""????0;"",""???-0;"",""????0;"", ////"""),"'","""")&amp;SUBSTITUTE(TEXT(Overig!I1350,""",""?00;"",""?-00;"",""?00;"", //"""),"'","""")&amp;SUBSTITUTE(TEXT(IF(ISTEXT(Overig!J1350),Overig!J1350,10*Overig!J1350),""",""????0;"",""???-0;"",""????0;"", ////"""),"'","""")&amp;SUBSTITUTE(TEXT(Overig!K1350,""",""?00;"",""?-00;"",""?00;"", //"""),"'","""")&amp;SUBSTITUTE(TEXT(Overig!L1350,""",""???0;"",""??-0;"",""???0;"", ///"""),"'","""")&amp;SUBSTITUTE(TEXT(Overig!M1350,""",""?00;"",""?-00;"",""?00;"", //"""),"'","""")&amp;SUBSTITUTE(TEXT(IF(ISTEXT(Overig!N1350),Overig!N1350,10*Overig!N1350),""",""????0;"",""???-0;"",""????0;"", ////"""),"'","""")&amp;SUBSTITUTE(TEXT(Overig!O1350,""",""?00;"",""?-00;"",""?00;"", //"""),"'","""")&amp;SUBSTITUTE(TEXT(IF(ISTEXT(Overig!P1350),Overig!P1350,10*Overig!P1350),""",""????0;"",""???-0;"",""????0;"", ////"""),"'","""")&amp;SUBSTITUTE(TEXT(Overig!Q1350,""",""?00;"",""?-00;"",""?00;"", //"""),"'","""")&amp;SUBSTITUTE(TEXT(Overig!R1350,""",""????0;"",""???-0;"",""????0;"", ////"""),"'","""")&amp;SUBSTITUTE(TEXT(Overig!S1350,""",""?00;"",""?-00;"",""?00;"", //"""),"'","""")&amp;SUBSTITUTE(TEXT(IF(ISTEXT(Overig!T1350),Overig!T1350,10*Overig!T1350),""",""????0;"",""???-0;"",""????0;"", ////"""),"'","""")&amp;SUBSTITUTE(TEXT(Overig!U1350,""",""?00;"",""?-00;"",""?00;"", //"""),"'","""")&amp;SUBSTITUTE(TEXT(Overig!V1350,""",""???0;"",""??-0;"",""???0;"", ///"""),"'","""")&amp;SUBSTITUTE(TEXT(Overig!W1350,""",""?00;"",""?-00;"",""?00;"", //"""),"'","""")</f>
        <v>032, 19401203, 07.00, ////, 07, ////, 07, ////, 07, ////, 07, ///, 07, ////, 07, ////, 07, ////, 07, ////, 07, ///, 07</v>
      </c>
    </row>
    <row r="1351" spans="1:1" x14ac:dyDescent="0.25">
      <c r="A1351" s="12" t="str">
        <f ca="1">TEXT(Overig!A1351,"000\,")&amp;TEXT(Overig!B1351,"?00000000")&amp;TEXT(Overig!C1351,""", ""@")&amp;SUBSTITUTE(TEXT(IF(ISTEXT(Overig!D1351),Overig!D1351,10*Overig!D1351),""",""????0;"",""???-0;"",""????0;"", ////"""),"'","""")&amp;SUBSTITUTE(TEXT(Overig!E1351,""",""?00;"",""?-00;"",""?00;"", //"""),"'","""")&amp;SUBSTITUTE(TEXT(IF(ISTEXT(Overig!F1351),Overig!F1351,10*Overig!F1351),""",""????0;"",""???-0;"",""????0;"", ////"""),"'","""")&amp;SUBSTITUTE(TEXT(Overig!G1351,""",""?00;"",""?-00;"",""?00;"", //"""),"'","""")&amp;SUBSTITUTE(TEXT(IF(ISTEXT(Overig!H1351),Overig!H1351,10*Overig!H1351),""",""????0;"",""???-0;"",""????0;"", ////"""),"'","""")&amp;SUBSTITUTE(TEXT(Overig!I1351,""",""?00;"",""?-00;"",""?00;"", //"""),"'","""")&amp;SUBSTITUTE(TEXT(IF(ISTEXT(Overig!J1351),Overig!J1351,10*Overig!J1351),""",""????0;"",""???-0;"",""????0;"", ////"""),"'","""")&amp;SUBSTITUTE(TEXT(Overig!K1351,""",""?00;"",""?-00;"",""?00;"", //"""),"'","""")&amp;SUBSTITUTE(TEXT(Overig!L1351,""",""???0;"",""??-0;"",""???0;"", ///"""),"'","""")&amp;SUBSTITUTE(TEXT(Overig!M1351,""",""?00;"",""?-00;"",""?00;"", //"""),"'","""")&amp;SUBSTITUTE(TEXT(IF(ISTEXT(Overig!N1351),Overig!N1351,10*Overig!N1351),""",""????0;"",""???-0;"",""????0;"", ////"""),"'","""")&amp;SUBSTITUTE(TEXT(Overig!O1351,""",""?00;"",""?-00;"",""?00;"", //"""),"'","""")&amp;SUBSTITUTE(TEXT(IF(ISTEXT(Overig!P1351),Overig!P1351,10*Overig!P1351),""",""????0;"",""???-0;"",""????0;"", ////"""),"'","""")&amp;SUBSTITUTE(TEXT(Overig!Q1351,""",""?00;"",""?-00;"",""?00;"", //"""),"'","""")&amp;SUBSTITUTE(TEXT(Overig!R1351,""",""????0;"",""???-0;"",""????0;"", ////"""),"'","""")&amp;SUBSTITUTE(TEXT(Overig!S1351,""",""?00;"",""?-00;"",""?00;"", //"""),"'","""")&amp;SUBSTITUTE(TEXT(IF(ISTEXT(Overig!T1351),Overig!T1351,10*Overig!T1351),""",""????0;"",""???-0;"",""????0;"", ////"""),"'","""")&amp;SUBSTITUTE(TEXT(Overig!U1351,""",""?00;"",""?-00;"",""?00;"", //"""),"'","""")&amp;SUBSTITUTE(TEXT(Overig!V1351,""",""???0;"",""??-0;"",""???0;"", ///"""),"'","""")&amp;SUBSTITUTE(TEXT(Overig!W1351,""",""?00;"",""?-00;"",""?00;"", //"""),"'","""")</f>
        <v>032, 19401203, 12.00, ////, 07, ////, 07, ////, 07, ////, 07, ///, 07, ////, 07, ////, 07, ////, 07, ////, 07, ///, 07</v>
      </c>
    </row>
    <row r="1352" spans="1:1" x14ac:dyDescent="0.25">
      <c r="A1352" s="12" t="str">
        <f ca="1">TEXT(Overig!A1352,"000\,")&amp;TEXT(Overig!B1352,"?00000000")&amp;TEXT(Overig!C1352,""", ""@")&amp;SUBSTITUTE(TEXT(IF(ISTEXT(Overig!D1352),Overig!D1352,10*Overig!D1352),""",""????0;"",""???-0;"",""????0;"", ////"""),"'","""")&amp;SUBSTITUTE(TEXT(Overig!E1352,""",""?00;"",""?-00;"",""?00;"", //"""),"'","""")&amp;SUBSTITUTE(TEXT(IF(ISTEXT(Overig!F1352),Overig!F1352,10*Overig!F1352),""",""????0;"",""???-0;"",""????0;"", ////"""),"'","""")&amp;SUBSTITUTE(TEXT(Overig!G1352,""",""?00;"",""?-00;"",""?00;"", //"""),"'","""")&amp;SUBSTITUTE(TEXT(IF(ISTEXT(Overig!H1352),Overig!H1352,10*Overig!H1352),""",""????0;"",""???-0;"",""????0;"", ////"""),"'","""")&amp;SUBSTITUTE(TEXT(Overig!I1352,""",""?00;"",""?-00;"",""?00;"", //"""),"'","""")&amp;SUBSTITUTE(TEXT(IF(ISTEXT(Overig!J1352),Overig!J1352,10*Overig!J1352),""",""????0;"",""???-0;"",""????0;"", ////"""),"'","""")&amp;SUBSTITUTE(TEXT(Overig!K1352,""",""?00;"",""?-00;"",""?00;"", //"""),"'","""")&amp;SUBSTITUTE(TEXT(Overig!L1352,""",""???0;"",""??-0;"",""???0;"", ///"""),"'","""")&amp;SUBSTITUTE(TEXT(Overig!M1352,""",""?00;"",""?-00;"",""?00;"", //"""),"'","""")&amp;SUBSTITUTE(TEXT(IF(ISTEXT(Overig!N1352),Overig!N1352,10*Overig!N1352),""",""????0;"",""???-0;"",""????0;"", ////"""),"'","""")&amp;SUBSTITUTE(TEXT(Overig!O1352,""",""?00;"",""?-00;"",""?00;"", //"""),"'","""")&amp;SUBSTITUTE(TEXT(IF(ISTEXT(Overig!P1352),Overig!P1352,10*Overig!P1352),""",""????0;"",""???-0;"",""????0;"", ////"""),"'","""")&amp;SUBSTITUTE(TEXT(Overig!Q1352,""",""?00;"",""?-00;"",""?00;"", //"""),"'","""")&amp;SUBSTITUTE(TEXT(Overig!R1352,""",""????0;"",""???-0;"",""????0;"", ////"""),"'","""")&amp;SUBSTITUTE(TEXT(Overig!S1352,""",""?00;"",""?-00;"",""?00;"", //"""),"'","""")&amp;SUBSTITUTE(TEXT(IF(ISTEXT(Overig!T1352),Overig!T1352,10*Overig!T1352),""",""????0;"",""???-0;"",""????0;"", ////"""),"'","""")&amp;SUBSTITUTE(TEXT(Overig!U1352,""",""?00;"",""?-00;"",""?00;"", //"""),"'","""")&amp;SUBSTITUTE(TEXT(Overig!V1352,""",""???0;"",""??-0;"",""???0;"", ///"""),"'","""")&amp;SUBSTITUTE(TEXT(Overig!W1352,""",""?00;"",""?-00;"",""?00;"", //"""),"'","""")</f>
        <v>032, 19401203, 17.00, ////, 07, ////, 07, ////, 07, ////, 07, ///, 07, ////, 07, ////, 07, ////, 07, ////, 07, ///, 07</v>
      </c>
    </row>
    <row r="1353" spans="1:1" x14ac:dyDescent="0.25">
      <c r="A1353" s="12" t="str">
        <f ca="1">TEXT(Overig!A1353,"000\,")&amp;TEXT(Overig!B1353,"?00000000")&amp;TEXT(Overig!C1353,""", ""@")&amp;SUBSTITUTE(TEXT(IF(ISTEXT(Overig!D1353),Overig!D1353,10*Overig!D1353),""",""????0;"",""???-0;"",""????0;"", ////"""),"'","""")&amp;SUBSTITUTE(TEXT(Overig!E1353,""",""?00;"",""?-00;"",""?00;"", //"""),"'","""")&amp;SUBSTITUTE(TEXT(IF(ISTEXT(Overig!F1353),Overig!F1353,10*Overig!F1353),""",""????0;"",""???-0;"",""????0;"", ////"""),"'","""")&amp;SUBSTITUTE(TEXT(Overig!G1353,""",""?00;"",""?-00;"",""?00;"", //"""),"'","""")&amp;SUBSTITUTE(TEXT(IF(ISTEXT(Overig!H1353),Overig!H1353,10*Overig!H1353),""",""????0;"",""???-0;"",""????0;"", ////"""),"'","""")&amp;SUBSTITUTE(TEXT(Overig!I1353,""",""?00;"",""?-00;"",""?00;"", //"""),"'","""")&amp;SUBSTITUTE(TEXT(IF(ISTEXT(Overig!J1353),Overig!J1353,10*Overig!J1353),""",""????0;"",""???-0;"",""????0;"", ////"""),"'","""")&amp;SUBSTITUTE(TEXT(Overig!K1353,""",""?00;"",""?-00;"",""?00;"", //"""),"'","""")&amp;SUBSTITUTE(TEXT(Overig!L1353,""",""???0;"",""??-0;"",""???0;"", ///"""),"'","""")&amp;SUBSTITUTE(TEXT(Overig!M1353,""",""?00;"",""?-00;"",""?00;"", //"""),"'","""")&amp;SUBSTITUTE(TEXT(IF(ISTEXT(Overig!N1353),Overig!N1353,10*Overig!N1353),""",""????0;"",""???-0;"",""????0;"", ////"""),"'","""")&amp;SUBSTITUTE(TEXT(Overig!O1353,""",""?00;"",""?-00;"",""?00;"", //"""),"'","""")&amp;SUBSTITUTE(TEXT(IF(ISTEXT(Overig!P1353),Overig!P1353,10*Overig!P1353),""",""????0;"",""???-0;"",""????0;"", ////"""),"'","""")&amp;SUBSTITUTE(TEXT(Overig!Q1353,""",""?00;"",""?-00;"",""?00;"", //"""),"'","""")&amp;SUBSTITUTE(TEXT(Overig!R1353,""",""????0;"",""???-0;"",""????0;"", ////"""),"'","""")&amp;SUBSTITUTE(TEXT(Overig!S1353,""",""?00;"",""?-00;"",""?00;"", //"""),"'","""")&amp;SUBSTITUTE(TEXT(IF(ISTEXT(Overig!T1353),Overig!T1353,10*Overig!T1353),""",""????0;"",""???-0;"",""????0;"", ////"""),"'","""")&amp;SUBSTITUTE(TEXT(Overig!U1353,""",""?00;"",""?-00;"",""?00;"", //"""),"'","""")&amp;SUBSTITUTE(TEXT(Overig!V1353,""",""???0;"",""??-0;"",""???0;"", ///"""),"'","""")&amp;SUBSTITUTE(TEXT(Overig!W1353,""",""?00;"",""?-00;"",""?00;"", //"""),"'","""")</f>
        <v>032, 19401203, 24.00, ////, 07, ////, 07, ////, 07, ////, 07, ///, 07, ////, 07, ////, 07, ////, 07, ////, 07, ///, 07</v>
      </c>
    </row>
    <row r="1354" spans="1:1" x14ac:dyDescent="0.25">
      <c r="A1354" s="12" t="str">
        <f ca="1">TEXT(Overig!A1354,"000\,")&amp;TEXT(Overig!B1354,"?00000000")&amp;TEXT(Overig!C1354,""", ""@")&amp;SUBSTITUTE(TEXT(IF(ISTEXT(Overig!D1354),Overig!D1354,10*Overig!D1354),""",""????0;"",""???-0;"",""????0;"", ////"""),"'","""")&amp;SUBSTITUTE(TEXT(Overig!E1354,""",""?00;"",""?-00;"",""?00;"", //"""),"'","""")&amp;SUBSTITUTE(TEXT(IF(ISTEXT(Overig!F1354),Overig!F1354,10*Overig!F1354),""",""????0;"",""???-0;"",""????0;"", ////"""),"'","""")&amp;SUBSTITUTE(TEXT(Overig!G1354,""",""?00;"",""?-00;"",""?00;"", //"""),"'","""")&amp;SUBSTITUTE(TEXT(IF(ISTEXT(Overig!H1354),Overig!H1354,10*Overig!H1354),""",""????0;"",""???-0;"",""????0;"", ////"""),"'","""")&amp;SUBSTITUTE(TEXT(Overig!I1354,""",""?00;"",""?-00;"",""?00;"", //"""),"'","""")&amp;SUBSTITUTE(TEXT(IF(ISTEXT(Overig!J1354),Overig!J1354,10*Overig!J1354),""",""????0;"",""???-0;"",""????0;"", ////"""),"'","""")&amp;SUBSTITUTE(TEXT(Overig!K1354,""",""?00;"",""?-00;"",""?00;"", //"""),"'","""")&amp;SUBSTITUTE(TEXT(Overig!L1354,""",""???0;"",""??-0;"",""???0;"", ///"""),"'","""")&amp;SUBSTITUTE(TEXT(Overig!M1354,""",""?00;"",""?-00;"",""?00;"", //"""),"'","""")&amp;SUBSTITUTE(TEXT(IF(ISTEXT(Overig!N1354),Overig!N1354,10*Overig!N1354),""",""????0;"",""???-0;"",""????0;"", ////"""),"'","""")&amp;SUBSTITUTE(TEXT(Overig!O1354,""",""?00;"",""?-00;"",""?00;"", //"""),"'","""")&amp;SUBSTITUTE(TEXT(IF(ISTEXT(Overig!P1354),Overig!P1354,10*Overig!P1354),""",""????0;"",""???-0;"",""????0;"", ////"""),"'","""")&amp;SUBSTITUTE(TEXT(Overig!Q1354,""",""?00;"",""?-00;"",""?00;"", //"""),"'","""")&amp;SUBSTITUTE(TEXT(Overig!R1354,""",""????0;"",""???-0;"",""????0;"", ////"""),"'","""")&amp;SUBSTITUTE(TEXT(Overig!S1354,""",""?00;"",""?-00;"",""?00;"", //"""),"'","""")&amp;SUBSTITUTE(TEXT(IF(ISTEXT(Overig!T1354),Overig!T1354,10*Overig!T1354),""",""????0;"",""???-0;"",""????0;"", ////"""),"'","""")&amp;SUBSTITUTE(TEXT(Overig!U1354,""",""?00;"",""?-00;"",""?00;"", //"""),"'","""")&amp;SUBSTITUTE(TEXT(Overig!V1354,""",""???0;"",""??-0;"",""???0;"", ///"""),"'","""")&amp;SUBSTITUTE(TEXT(Overig!W1354,""",""?00;"",""?-00;"",""?00;"", //"""),"'","""")</f>
        <v>032, 19401204, 07.00, ////, 07, ////, 07, ////, 07, ////, 07, ///, 07, ////, 07, ////, 07, ////, 07, ////, 07, ///, 07</v>
      </c>
    </row>
    <row r="1355" spans="1:1" x14ac:dyDescent="0.25">
      <c r="A1355" s="12" t="str">
        <f ca="1">TEXT(Overig!A1355,"000\,")&amp;TEXT(Overig!B1355,"?00000000")&amp;TEXT(Overig!C1355,""", ""@")&amp;SUBSTITUTE(TEXT(IF(ISTEXT(Overig!D1355),Overig!D1355,10*Overig!D1355),""",""????0;"",""???-0;"",""????0;"", ////"""),"'","""")&amp;SUBSTITUTE(TEXT(Overig!E1355,""",""?00;"",""?-00;"",""?00;"", //"""),"'","""")&amp;SUBSTITUTE(TEXT(IF(ISTEXT(Overig!F1355),Overig!F1355,10*Overig!F1355),""",""????0;"",""???-0;"",""????0;"", ////"""),"'","""")&amp;SUBSTITUTE(TEXT(Overig!G1355,""",""?00;"",""?-00;"",""?00;"", //"""),"'","""")&amp;SUBSTITUTE(TEXT(IF(ISTEXT(Overig!H1355),Overig!H1355,10*Overig!H1355),""",""????0;"",""???-0;"",""????0;"", ////"""),"'","""")&amp;SUBSTITUTE(TEXT(Overig!I1355,""",""?00;"",""?-00;"",""?00;"", //"""),"'","""")&amp;SUBSTITUTE(TEXT(IF(ISTEXT(Overig!J1355),Overig!J1355,10*Overig!J1355),""",""????0;"",""???-0;"",""????0;"", ////"""),"'","""")&amp;SUBSTITUTE(TEXT(Overig!K1355,""",""?00;"",""?-00;"",""?00;"", //"""),"'","""")&amp;SUBSTITUTE(TEXT(Overig!L1355,""",""???0;"",""??-0;"",""???0;"", ///"""),"'","""")&amp;SUBSTITUTE(TEXT(Overig!M1355,""",""?00;"",""?-00;"",""?00;"", //"""),"'","""")&amp;SUBSTITUTE(TEXT(IF(ISTEXT(Overig!N1355),Overig!N1355,10*Overig!N1355),""",""????0;"",""???-0;"",""????0;"", ////"""),"'","""")&amp;SUBSTITUTE(TEXT(Overig!O1355,""",""?00;"",""?-00;"",""?00;"", //"""),"'","""")&amp;SUBSTITUTE(TEXT(IF(ISTEXT(Overig!P1355),Overig!P1355,10*Overig!P1355),""",""????0;"",""???-0;"",""????0;"", ////"""),"'","""")&amp;SUBSTITUTE(TEXT(Overig!Q1355,""",""?00;"",""?-00;"",""?00;"", //"""),"'","""")&amp;SUBSTITUTE(TEXT(Overig!R1355,""",""????0;"",""???-0;"",""????0;"", ////"""),"'","""")&amp;SUBSTITUTE(TEXT(Overig!S1355,""",""?00;"",""?-00;"",""?00;"", //"""),"'","""")&amp;SUBSTITUTE(TEXT(IF(ISTEXT(Overig!T1355),Overig!T1355,10*Overig!T1355),""",""????0;"",""???-0;"",""????0;"", ////"""),"'","""")&amp;SUBSTITUTE(TEXT(Overig!U1355,""",""?00;"",""?-00;"",""?00;"", //"""),"'","""")&amp;SUBSTITUTE(TEXT(Overig!V1355,""",""???0;"",""??-0;"",""???0;"", ///"""),"'","""")&amp;SUBSTITUTE(TEXT(Overig!W1355,""",""?00;"",""?-00;"",""?00;"", //"""),"'","""")</f>
        <v>032, 19401204, 12.00, ////, 07, ////, 07, ////, 07, ////, 07, ///, 07, ////, 07, ////, 07, ////, 07, ////, 07, ///, 07</v>
      </c>
    </row>
    <row r="1356" spans="1:1" x14ac:dyDescent="0.25">
      <c r="A1356" s="12" t="str">
        <f ca="1">TEXT(Overig!A1356,"000\,")&amp;TEXT(Overig!B1356,"?00000000")&amp;TEXT(Overig!C1356,""", ""@")&amp;SUBSTITUTE(TEXT(IF(ISTEXT(Overig!D1356),Overig!D1356,10*Overig!D1356),""",""????0;"",""???-0;"",""????0;"", ////"""),"'","""")&amp;SUBSTITUTE(TEXT(Overig!E1356,""",""?00;"",""?-00;"",""?00;"", //"""),"'","""")&amp;SUBSTITUTE(TEXT(IF(ISTEXT(Overig!F1356),Overig!F1356,10*Overig!F1356),""",""????0;"",""???-0;"",""????0;"", ////"""),"'","""")&amp;SUBSTITUTE(TEXT(Overig!G1356,""",""?00;"",""?-00;"",""?00;"", //"""),"'","""")&amp;SUBSTITUTE(TEXT(IF(ISTEXT(Overig!H1356),Overig!H1356,10*Overig!H1356),""",""????0;"",""???-0;"",""????0;"", ////"""),"'","""")&amp;SUBSTITUTE(TEXT(Overig!I1356,""",""?00;"",""?-00;"",""?00;"", //"""),"'","""")&amp;SUBSTITUTE(TEXT(IF(ISTEXT(Overig!J1356),Overig!J1356,10*Overig!J1356),""",""????0;"",""???-0;"",""????0;"", ////"""),"'","""")&amp;SUBSTITUTE(TEXT(Overig!K1356,""",""?00;"",""?-00;"",""?00;"", //"""),"'","""")&amp;SUBSTITUTE(TEXT(Overig!L1356,""",""???0;"",""??-0;"",""???0;"", ///"""),"'","""")&amp;SUBSTITUTE(TEXT(Overig!M1356,""",""?00;"",""?-00;"",""?00;"", //"""),"'","""")&amp;SUBSTITUTE(TEXT(IF(ISTEXT(Overig!N1356),Overig!N1356,10*Overig!N1356),""",""????0;"",""???-0;"",""????0;"", ////"""),"'","""")&amp;SUBSTITUTE(TEXT(Overig!O1356,""",""?00;"",""?-00;"",""?00;"", //"""),"'","""")&amp;SUBSTITUTE(TEXT(IF(ISTEXT(Overig!P1356),Overig!P1356,10*Overig!P1356),""",""????0;"",""???-0;"",""????0;"", ////"""),"'","""")&amp;SUBSTITUTE(TEXT(Overig!Q1356,""",""?00;"",""?-00;"",""?00;"", //"""),"'","""")&amp;SUBSTITUTE(TEXT(Overig!R1356,""",""????0;"",""???-0;"",""????0;"", ////"""),"'","""")&amp;SUBSTITUTE(TEXT(Overig!S1356,""",""?00;"",""?-00;"",""?00;"", //"""),"'","""")&amp;SUBSTITUTE(TEXT(IF(ISTEXT(Overig!T1356),Overig!T1356,10*Overig!T1356),""",""????0;"",""???-0;"",""????0;"", ////"""),"'","""")&amp;SUBSTITUTE(TEXT(Overig!U1356,""",""?00;"",""?-00;"",""?00;"", //"""),"'","""")&amp;SUBSTITUTE(TEXT(Overig!V1356,""",""???0;"",""??-0;"",""???0;"", ///"""),"'","""")&amp;SUBSTITUTE(TEXT(Overig!W1356,""",""?00;"",""?-00;"",""?00;"", //"""),"'","""")</f>
        <v>032, 19401204, 17.00, ////, 07, ////, 07, ////, 07, ////, 07, ///, 07, ////, 07, ////, 07, ////, 07, ////, 07, ///, 07</v>
      </c>
    </row>
    <row r="1357" spans="1:1" x14ac:dyDescent="0.25">
      <c r="A1357" s="12" t="str">
        <f ca="1">TEXT(Overig!A1357,"000\,")&amp;TEXT(Overig!B1357,"?00000000")&amp;TEXT(Overig!C1357,""", ""@")&amp;SUBSTITUTE(TEXT(IF(ISTEXT(Overig!D1357),Overig!D1357,10*Overig!D1357),""",""????0;"",""???-0;"",""????0;"", ////"""),"'","""")&amp;SUBSTITUTE(TEXT(Overig!E1357,""",""?00;"",""?-00;"",""?00;"", //"""),"'","""")&amp;SUBSTITUTE(TEXT(IF(ISTEXT(Overig!F1357),Overig!F1357,10*Overig!F1357),""",""????0;"",""???-0;"",""????0;"", ////"""),"'","""")&amp;SUBSTITUTE(TEXT(Overig!G1357,""",""?00;"",""?-00;"",""?00;"", //"""),"'","""")&amp;SUBSTITUTE(TEXT(IF(ISTEXT(Overig!H1357),Overig!H1357,10*Overig!H1357),""",""????0;"",""???-0;"",""????0;"", ////"""),"'","""")&amp;SUBSTITUTE(TEXT(Overig!I1357,""",""?00;"",""?-00;"",""?00;"", //"""),"'","""")&amp;SUBSTITUTE(TEXT(IF(ISTEXT(Overig!J1357),Overig!J1357,10*Overig!J1357),""",""????0;"",""???-0;"",""????0;"", ////"""),"'","""")&amp;SUBSTITUTE(TEXT(Overig!K1357,""",""?00;"",""?-00;"",""?00;"", //"""),"'","""")&amp;SUBSTITUTE(TEXT(Overig!L1357,""",""???0;"",""??-0;"",""???0;"", ///"""),"'","""")&amp;SUBSTITUTE(TEXT(Overig!M1357,""",""?00;"",""?-00;"",""?00;"", //"""),"'","""")&amp;SUBSTITUTE(TEXT(IF(ISTEXT(Overig!N1357),Overig!N1357,10*Overig!N1357),""",""????0;"",""???-0;"",""????0;"", ////"""),"'","""")&amp;SUBSTITUTE(TEXT(Overig!O1357,""",""?00;"",""?-00;"",""?00;"", //"""),"'","""")&amp;SUBSTITUTE(TEXT(IF(ISTEXT(Overig!P1357),Overig!P1357,10*Overig!P1357),""",""????0;"",""???-0;"",""????0;"", ////"""),"'","""")&amp;SUBSTITUTE(TEXT(Overig!Q1357,""",""?00;"",""?-00;"",""?00;"", //"""),"'","""")&amp;SUBSTITUTE(TEXT(Overig!R1357,""",""????0;"",""???-0;"",""????0;"", ////"""),"'","""")&amp;SUBSTITUTE(TEXT(Overig!S1357,""",""?00;"",""?-00;"",""?00;"", //"""),"'","""")&amp;SUBSTITUTE(TEXT(IF(ISTEXT(Overig!T1357),Overig!T1357,10*Overig!T1357),""",""????0;"",""???-0;"",""????0;"", ////"""),"'","""")&amp;SUBSTITUTE(TEXT(Overig!U1357,""",""?00;"",""?-00;"",""?00;"", //"""),"'","""")&amp;SUBSTITUTE(TEXT(Overig!V1357,""",""???0;"",""??-0;"",""???0;"", ///"""),"'","""")&amp;SUBSTITUTE(TEXT(Overig!W1357,""",""?00;"",""?-00;"",""?00;"", //"""),"'","""")</f>
        <v>032, 19401204, 24.00, ////, 07, ////, 07, ////, 07, ////, 07, ///, 07, ////, 07, ////, 07, ////, 07, ////, 07, ///, 07</v>
      </c>
    </row>
    <row r="1358" spans="1:1" x14ac:dyDescent="0.25">
      <c r="A1358" s="12" t="str">
        <f ca="1">TEXT(Overig!A1358,"000\,")&amp;TEXT(Overig!B1358,"?00000000")&amp;TEXT(Overig!C1358,""", ""@")&amp;SUBSTITUTE(TEXT(IF(ISTEXT(Overig!D1358),Overig!D1358,10*Overig!D1358),""",""????0;"",""???-0;"",""????0;"", ////"""),"'","""")&amp;SUBSTITUTE(TEXT(Overig!E1358,""",""?00;"",""?-00;"",""?00;"", //"""),"'","""")&amp;SUBSTITUTE(TEXT(IF(ISTEXT(Overig!F1358),Overig!F1358,10*Overig!F1358),""",""????0;"",""???-0;"",""????0;"", ////"""),"'","""")&amp;SUBSTITUTE(TEXT(Overig!G1358,""",""?00;"",""?-00;"",""?00;"", //"""),"'","""")&amp;SUBSTITUTE(TEXT(IF(ISTEXT(Overig!H1358),Overig!H1358,10*Overig!H1358),""",""????0;"",""???-0;"",""????0;"", ////"""),"'","""")&amp;SUBSTITUTE(TEXT(Overig!I1358,""",""?00;"",""?-00;"",""?00;"", //"""),"'","""")&amp;SUBSTITUTE(TEXT(IF(ISTEXT(Overig!J1358),Overig!J1358,10*Overig!J1358),""",""????0;"",""???-0;"",""????0;"", ////"""),"'","""")&amp;SUBSTITUTE(TEXT(Overig!K1358,""",""?00;"",""?-00;"",""?00;"", //"""),"'","""")&amp;SUBSTITUTE(TEXT(Overig!L1358,""",""???0;"",""??-0;"",""???0;"", ///"""),"'","""")&amp;SUBSTITUTE(TEXT(Overig!M1358,""",""?00;"",""?-00;"",""?00;"", //"""),"'","""")&amp;SUBSTITUTE(TEXT(IF(ISTEXT(Overig!N1358),Overig!N1358,10*Overig!N1358),""",""????0;"",""???-0;"",""????0;"", ////"""),"'","""")&amp;SUBSTITUTE(TEXT(Overig!O1358,""",""?00;"",""?-00;"",""?00;"", //"""),"'","""")&amp;SUBSTITUTE(TEXT(IF(ISTEXT(Overig!P1358),Overig!P1358,10*Overig!P1358),""",""????0;"",""???-0;"",""????0;"", ////"""),"'","""")&amp;SUBSTITUTE(TEXT(Overig!Q1358,""",""?00;"",""?-00;"",""?00;"", //"""),"'","""")&amp;SUBSTITUTE(TEXT(Overig!R1358,""",""????0;"",""???-0;"",""????0;"", ////"""),"'","""")&amp;SUBSTITUTE(TEXT(Overig!S1358,""",""?00;"",""?-00;"",""?00;"", //"""),"'","""")&amp;SUBSTITUTE(TEXT(IF(ISTEXT(Overig!T1358),Overig!T1358,10*Overig!T1358),""",""????0;"",""???-0;"",""????0;"", ////"""),"'","""")&amp;SUBSTITUTE(TEXT(Overig!U1358,""",""?00;"",""?-00;"",""?00;"", //"""),"'","""")&amp;SUBSTITUTE(TEXT(Overig!V1358,""",""???0;"",""??-0;"",""???0;"", ///"""),"'","""")&amp;SUBSTITUTE(TEXT(Overig!W1358,""",""?00;"",""?-00;"",""?00;"", //"""),"'","""")</f>
        <v>032, 19401205, 07.00, ////, 07, ////, 07, ////, 07, ////, 07, ///, 07, ////, 07, ////, 07, ////, 07, ////, 07, ///, 07</v>
      </c>
    </row>
    <row r="1359" spans="1:1" x14ac:dyDescent="0.25">
      <c r="A1359" s="12" t="str">
        <f ca="1">TEXT(Overig!A1359,"000\,")&amp;TEXT(Overig!B1359,"?00000000")&amp;TEXT(Overig!C1359,""", ""@")&amp;SUBSTITUTE(TEXT(IF(ISTEXT(Overig!D1359),Overig!D1359,10*Overig!D1359),""",""????0;"",""???-0;"",""????0;"", ////"""),"'","""")&amp;SUBSTITUTE(TEXT(Overig!E1359,""",""?00;"",""?-00;"",""?00;"", //"""),"'","""")&amp;SUBSTITUTE(TEXT(IF(ISTEXT(Overig!F1359),Overig!F1359,10*Overig!F1359),""",""????0;"",""???-0;"",""????0;"", ////"""),"'","""")&amp;SUBSTITUTE(TEXT(Overig!G1359,""",""?00;"",""?-00;"",""?00;"", //"""),"'","""")&amp;SUBSTITUTE(TEXT(IF(ISTEXT(Overig!H1359),Overig!H1359,10*Overig!H1359),""",""????0;"",""???-0;"",""????0;"", ////"""),"'","""")&amp;SUBSTITUTE(TEXT(Overig!I1359,""",""?00;"",""?-00;"",""?00;"", //"""),"'","""")&amp;SUBSTITUTE(TEXT(IF(ISTEXT(Overig!J1359),Overig!J1359,10*Overig!J1359),""",""????0;"",""???-0;"",""????0;"", ////"""),"'","""")&amp;SUBSTITUTE(TEXT(Overig!K1359,""",""?00;"",""?-00;"",""?00;"", //"""),"'","""")&amp;SUBSTITUTE(TEXT(Overig!L1359,""",""???0;"",""??-0;"",""???0;"", ///"""),"'","""")&amp;SUBSTITUTE(TEXT(Overig!M1359,""",""?00;"",""?-00;"",""?00;"", //"""),"'","""")&amp;SUBSTITUTE(TEXT(IF(ISTEXT(Overig!N1359),Overig!N1359,10*Overig!N1359),""",""????0;"",""???-0;"",""????0;"", ////"""),"'","""")&amp;SUBSTITUTE(TEXT(Overig!O1359,""",""?00;"",""?-00;"",""?00;"", //"""),"'","""")&amp;SUBSTITUTE(TEXT(IF(ISTEXT(Overig!P1359),Overig!P1359,10*Overig!P1359),""",""????0;"",""???-0;"",""????0;"", ////"""),"'","""")&amp;SUBSTITUTE(TEXT(Overig!Q1359,""",""?00;"",""?-00;"",""?00;"", //"""),"'","""")&amp;SUBSTITUTE(TEXT(Overig!R1359,""",""????0;"",""???-0;"",""????0;"", ////"""),"'","""")&amp;SUBSTITUTE(TEXT(Overig!S1359,""",""?00;"",""?-00;"",""?00;"", //"""),"'","""")&amp;SUBSTITUTE(TEXT(IF(ISTEXT(Overig!T1359),Overig!T1359,10*Overig!T1359),""",""????0;"",""???-0;"",""????0;"", ////"""),"'","""")&amp;SUBSTITUTE(TEXT(Overig!U1359,""",""?00;"",""?-00;"",""?00;"", //"""),"'","""")&amp;SUBSTITUTE(TEXT(Overig!V1359,""",""???0;"",""??-0;"",""???0;"", ///"""),"'","""")&amp;SUBSTITUTE(TEXT(Overig!W1359,""",""?00;"",""?-00;"",""?00;"", //"""),"'","""")</f>
        <v>032, 19401205, 12.00, ////, 07, ////, 07, ////, 07, ////, 07, ///, 07, ////, 07, ////, 07, ////, 07, ////, 07, ///, 07</v>
      </c>
    </row>
    <row r="1360" spans="1:1" x14ac:dyDescent="0.25">
      <c r="A1360" s="12" t="str">
        <f ca="1">TEXT(Overig!A1360,"000\,")&amp;TEXT(Overig!B1360,"?00000000")&amp;TEXT(Overig!C1360,""", ""@")&amp;SUBSTITUTE(TEXT(IF(ISTEXT(Overig!D1360),Overig!D1360,10*Overig!D1360),""",""????0;"",""???-0;"",""????0;"", ////"""),"'","""")&amp;SUBSTITUTE(TEXT(Overig!E1360,""",""?00;"",""?-00;"",""?00;"", //"""),"'","""")&amp;SUBSTITUTE(TEXT(IF(ISTEXT(Overig!F1360),Overig!F1360,10*Overig!F1360),""",""????0;"",""???-0;"",""????0;"", ////"""),"'","""")&amp;SUBSTITUTE(TEXT(Overig!G1360,""",""?00;"",""?-00;"",""?00;"", //"""),"'","""")&amp;SUBSTITUTE(TEXT(IF(ISTEXT(Overig!H1360),Overig!H1360,10*Overig!H1360),""",""????0;"",""???-0;"",""????0;"", ////"""),"'","""")&amp;SUBSTITUTE(TEXT(Overig!I1360,""",""?00;"",""?-00;"",""?00;"", //"""),"'","""")&amp;SUBSTITUTE(TEXT(IF(ISTEXT(Overig!J1360),Overig!J1360,10*Overig!J1360),""",""????0;"",""???-0;"",""????0;"", ////"""),"'","""")&amp;SUBSTITUTE(TEXT(Overig!K1360,""",""?00;"",""?-00;"",""?00;"", //"""),"'","""")&amp;SUBSTITUTE(TEXT(Overig!L1360,""",""???0;"",""??-0;"",""???0;"", ///"""),"'","""")&amp;SUBSTITUTE(TEXT(Overig!M1360,""",""?00;"",""?-00;"",""?00;"", //"""),"'","""")&amp;SUBSTITUTE(TEXT(IF(ISTEXT(Overig!N1360),Overig!N1360,10*Overig!N1360),""",""????0;"",""???-0;"",""????0;"", ////"""),"'","""")&amp;SUBSTITUTE(TEXT(Overig!O1360,""",""?00;"",""?-00;"",""?00;"", //"""),"'","""")&amp;SUBSTITUTE(TEXT(IF(ISTEXT(Overig!P1360),Overig!P1360,10*Overig!P1360),""",""????0;"",""???-0;"",""????0;"", ////"""),"'","""")&amp;SUBSTITUTE(TEXT(Overig!Q1360,""",""?00;"",""?-00;"",""?00;"", //"""),"'","""")&amp;SUBSTITUTE(TEXT(Overig!R1360,""",""????0;"",""???-0;"",""????0;"", ////"""),"'","""")&amp;SUBSTITUTE(TEXT(Overig!S1360,""",""?00;"",""?-00;"",""?00;"", //"""),"'","""")&amp;SUBSTITUTE(TEXT(IF(ISTEXT(Overig!T1360),Overig!T1360,10*Overig!T1360),""",""????0;"",""???-0;"",""????0;"", ////"""),"'","""")&amp;SUBSTITUTE(TEXT(Overig!U1360,""",""?00;"",""?-00;"",""?00;"", //"""),"'","""")&amp;SUBSTITUTE(TEXT(Overig!V1360,""",""???0;"",""??-0;"",""???0;"", ///"""),"'","""")&amp;SUBSTITUTE(TEXT(Overig!W1360,""",""?00;"",""?-00;"",""?00;"", //"""),"'","""")</f>
        <v>032, 19401205, 17.00, ////, 07, ////, 07, ////, 07, ////, 07, ///, 07, ////, 07, ////, 07, ////, 07, ////, 07, ///, 07</v>
      </c>
    </row>
    <row r="1361" spans="1:1" x14ac:dyDescent="0.25">
      <c r="A1361" s="12" t="str">
        <f ca="1">TEXT(Overig!A1361,"000\,")&amp;TEXT(Overig!B1361,"?00000000")&amp;TEXT(Overig!C1361,""", ""@")&amp;SUBSTITUTE(TEXT(IF(ISTEXT(Overig!D1361),Overig!D1361,10*Overig!D1361),""",""????0;"",""???-0;"",""????0;"", ////"""),"'","""")&amp;SUBSTITUTE(TEXT(Overig!E1361,""",""?00;"",""?-00;"",""?00;"", //"""),"'","""")&amp;SUBSTITUTE(TEXT(IF(ISTEXT(Overig!F1361),Overig!F1361,10*Overig!F1361),""",""????0;"",""???-0;"",""????0;"", ////"""),"'","""")&amp;SUBSTITUTE(TEXT(Overig!G1361,""",""?00;"",""?-00;"",""?00;"", //"""),"'","""")&amp;SUBSTITUTE(TEXT(IF(ISTEXT(Overig!H1361),Overig!H1361,10*Overig!H1361),""",""????0;"",""???-0;"",""????0;"", ////"""),"'","""")&amp;SUBSTITUTE(TEXT(Overig!I1361,""",""?00;"",""?-00;"",""?00;"", //"""),"'","""")&amp;SUBSTITUTE(TEXT(IF(ISTEXT(Overig!J1361),Overig!J1361,10*Overig!J1361),""",""????0;"",""???-0;"",""????0;"", ////"""),"'","""")&amp;SUBSTITUTE(TEXT(Overig!K1361,""",""?00;"",""?-00;"",""?00;"", //"""),"'","""")&amp;SUBSTITUTE(TEXT(Overig!L1361,""",""???0;"",""??-0;"",""???0;"", ///"""),"'","""")&amp;SUBSTITUTE(TEXT(Overig!M1361,""",""?00;"",""?-00;"",""?00;"", //"""),"'","""")&amp;SUBSTITUTE(TEXT(IF(ISTEXT(Overig!N1361),Overig!N1361,10*Overig!N1361),""",""????0;"",""???-0;"",""????0;"", ////"""),"'","""")&amp;SUBSTITUTE(TEXT(Overig!O1361,""",""?00;"",""?-00;"",""?00;"", //"""),"'","""")&amp;SUBSTITUTE(TEXT(IF(ISTEXT(Overig!P1361),Overig!P1361,10*Overig!P1361),""",""????0;"",""???-0;"",""????0;"", ////"""),"'","""")&amp;SUBSTITUTE(TEXT(Overig!Q1361,""",""?00;"",""?-00;"",""?00;"", //"""),"'","""")&amp;SUBSTITUTE(TEXT(Overig!R1361,""",""????0;"",""???-0;"",""????0;"", ////"""),"'","""")&amp;SUBSTITUTE(TEXT(Overig!S1361,""",""?00;"",""?-00;"",""?00;"", //"""),"'","""")&amp;SUBSTITUTE(TEXT(IF(ISTEXT(Overig!T1361),Overig!T1361,10*Overig!T1361),""",""????0;"",""???-0;"",""????0;"", ////"""),"'","""")&amp;SUBSTITUTE(TEXT(Overig!U1361,""",""?00;"",""?-00;"",""?00;"", //"""),"'","""")&amp;SUBSTITUTE(TEXT(Overig!V1361,""",""???0;"",""??-0;"",""???0;"", ///"""),"'","""")&amp;SUBSTITUTE(TEXT(Overig!W1361,""",""?00;"",""?-00;"",""?00;"", //"""),"'","""")</f>
        <v>032, 19401205, 24.00, ////, 07, ////, 07, ////, 07, ////, 07, ///, 07, ////, 07, ////, 07, ////, 07, ////, 07, ///, 07</v>
      </c>
    </row>
    <row r="1362" spans="1:1" x14ac:dyDescent="0.25">
      <c r="A1362" s="12" t="str">
        <f ca="1">TEXT(Overig!A1362,"000\,")&amp;TEXT(Overig!B1362,"?00000000")&amp;TEXT(Overig!C1362,""", ""@")&amp;SUBSTITUTE(TEXT(IF(ISTEXT(Overig!D1362),Overig!D1362,10*Overig!D1362),""",""????0;"",""???-0;"",""????0;"", ////"""),"'","""")&amp;SUBSTITUTE(TEXT(Overig!E1362,""",""?00;"",""?-00;"",""?00;"", //"""),"'","""")&amp;SUBSTITUTE(TEXT(IF(ISTEXT(Overig!F1362),Overig!F1362,10*Overig!F1362),""",""????0;"",""???-0;"",""????0;"", ////"""),"'","""")&amp;SUBSTITUTE(TEXT(Overig!G1362,""",""?00;"",""?-00;"",""?00;"", //"""),"'","""")&amp;SUBSTITUTE(TEXT(IF(ISTEXT(Overig!H1362),Overig!H1362,10*Overig!H1362),""",""????0;"",""???-0;"",""????0;"", ////"""),"'","""")&amp;SUBSTITUTE(TEXT(Overig!I1362,""",""?00;"",""?-00;"",""?00;"", //"""),"'","""")&amp;SUBSTITUTE(TEXT(IF(ISTEXT(Overig!J1362),Overig!J1362,10*Overig!J1362),""",""????0;"",""???-0;"",""????0;"", ////"""),"'","""")&amp;SUBSTITUTE(TEXT(Overig!K1362,""",""?00;"",""?-00;"",""?00;"", //"""),"'","""")&amp;SUBSTITUTE(TEXT(Overig!L1362,""",""???0;"",""??-0;"",""???0;"", ///"""),"'","""")&amp;SUBSTITUTE(TEXT(Overig!M1362,""",""?00;"",""?-00;"",""?00;"", //"""),"'","""")&amp;SUBSTITUTE(TEXT(IF(ISTEXT(Overig!N1362),Overig!N1362,10*Overig!N1362),""",""????0;"",""???-0;"",""????0;"", ////"""),"'","""")&amp;SUBSTITUTE(TEXT(Overig!O1362,""",""?00;"",""?-00;"",""?00;"", //"""),"'","""")&amp;SUBSTITUTE(TEXT(IF(ISTEXT(Overig!P1362),Overig!P1362,10*Overig!P1362),""",""????0;"",""???-0;"",""????0;"", ////"""),"'","""")&amp;SUBSTITUTE(TEXT(Overig!Q1362,""",""?00;"",""?-00;"",""?00;"", //"""),"'","""")&amp;SUBSTITUTE(TEXT(Overig!R1362,""",""????0;"",""???-0;"",""????0;"", ////"""),"'","""")&amp;SUBSTITUTE(TEXT(Overig!S1362,""",""?00;"",""?-00;"",""?00;"", //"""),"'","""")&amp;SUBSTITUTE(TEXT(IF(ISTEXT(Overig!T1362),Overig!T1362,10*Overig!T1362),""",""????0;"",""???-0;"",""????0;"", ////"""),"'","""")&amp;SUBSTITUTE(TEXT(Overig!U1362,""",""?00;"",""?-00;"",""?00;"", //"""),"'","""")&amp;SUBSTITUTE(TEXT(Overig!V1362,""",""???0;"",""??-0;"",""???0;"", ///"""),"'","""")&amp;SUBSTITUTE(TEXT(Overig!W1362,""",""?00;"",""?-00;"",""?00;"", //"""),"'","""")</f>
        <v>032, 19401206, 07.00, ////, 07, ////, 07, ////, 07, ////, 07, ///, 07, ////, 07, ////, 07, ////, 07, ////, 07, ///, 07</v>
      </c>
    </row>
    <row r="1363" spans="1:1" x14ac:dyDescent="0.25">
      <c r="A1363" s="12" t="str">
        <f ca="1">TEXT(Overig!A1363,"000\,")&amp;TEXT(Overig!B1363,"?00000000")&amp;TEXT(Overig!C1363,""", ""@")&amp;SUBSTITUTE(TEXT(IF(ISTEXT(Overig!D1363),Overig!D1363,10*Overig!D1363),""",""????0;"",""???-0;"",""????0;"", ////"""),"'","""")&amp;SUBSTITUTE(TEXT(Overig!E1363,""",""?00;"",""?-00;"",""?00;"", //"""),"'","""")&amp;SUBSTITUTE(TEXT(IF(ISTEXT(Overig!F1363),Overig!F1363,10*Overig!F1363),""",""????0;"",""???-0;"",""????0;"", ////"""),"'","""")&amp;SUBSTITUTE(TEXT(Overig!G1363,""",""?00;"",""?-00;"",""?00;"", //"""),"'","""")&amp;SUBSTITUTE(TEXT(IF(ISTEXT(Overig!H1363),Overig!H1363,10*Overig!H1363),""",""????0;"",""???-0;"",""????0;"", ////"""),"'","""")&amp;SUBSTITUTE(TEXT(Overig!I1363,""",""?00;"",""?-00;"",""?00;"", //"""),"'","""")&amp;SUBSTITUTE(TEXT(IF(ISTEXT(Overig!J1363),Overig!J1363,10*Overig!J1363),""",""????0;"",""???-0;"",""????0;"", ////"""),"'","""")&amp;SUBSTITUTE(TEXT(Overig!K1363,""",""?00;"",""?-00;"",""?00;"", //"""),"'","""")&amp;SUBSTITUTE(TEXT(Overig!L1363,""",""???0;"",""??-0;"",""???0;"", ///"""),"'","""")&amp;SUBSTITUTE(TEXT(Overig!M1363,""",""?00;"",""?-00;"",""?00;"", //"""),"'","""")&amp;SUBSTITUTE(TEXT(IF(ISTEXT(Overig!N1363),Overig!N1363,10*Overig!N1363),""",""????0;"",""???-0;"",""????0;"", ////"""),"'","""")&amp;SUBSTITUTE(TEXT(Overig!O1363,""",""?00;"",""?-00;"",""?00;"", //"""),"'","""")&amp;SUBSTITUTE(TEXT(IF(ISTEXT(Overig!P1363),Overig!P1363,10*Overig!P1363),""",""????0;"",""???-0;"",""????0;"", ////"""),"'","""")&amp;SUBSTITUTE(TEXT(Overig!Q1363,""",""?00;"",""?-00;"",""?00;"", //"""),"'","""")&amp;SUBSTITUTE(TEXT(Overig!R1363,""",""????0;"",""???-0;"",""????0;"", ////"""),"'","""")&amp;SUBSTITUTE(TEXT(Overig!S1363,""",""?00;"",""?-00;"",""?00;"", //"""),"'","""")&amp;SUBSTITUTE(TEXT(IF(ISTEXT(Overig!T1363),Overig!T1363,10*Overig!T1363),""",""????0;"",""???-0;"",""????0;"", ////"""),"'","""")&amp;SUBSTITUTE(TEXT(Overig!U1363,""",""?00;"",""?-00;"",""?00;"", //"""),"'","""")&amp;SUBSTITUTE(TEXT(Overig!V1363,""",""???0;"",""??-0;"",""???0;"", ///"""),"'","""")&amp;SUBSTITUTE(TEXT(Overig!W1363,""",""?00;"",""?-00;"",""?00;"", //"""),"'","""")</f>
        <v>032, 19401206, 12.00, ////, 07, ////, 07, ////, 07, ////, 07, ///, 07, ////, 07, ////, 07, ////, 07, ////, 07, ///, 07</v>
      </c>
    </row>
    <row r="1364" spans="1:1" x14ac:dyDescent="0.25">
      <c r="A1364" s="12" t="str">
        <f ca="1">TEXT(Overig!A1364,"000\,")&amp;TEXT(Overig!B1364,"?00000000")&amp;TEXT(Overig!C1364,""", ""@")&amp;SUBSTITUTE(TEXT(IF(ISTEXT(Overig!D1364),Overig!D1364,10*Overig!D1364),""",""????0;"",""???-0;"",""????0;"", ////"""),"'","""")&amp;SUBSTITUTE(TEXT(Overig!E1364,""",""?00;"",""?-00;"",""?00;"", //"""),"'","""")&amp;SUBSTITUTE(TEXT(IF(ISTEXT(Overig!F1364),Overig!F1364,10*Overig!F1364),""",""????0;"",""???-0;"",""????0;"", ////"""),"'","""")&amp;SUBSTITUTE(TEXT(Overig!G1364,""",""?00;"",""?-00;"",""?00;"", //"""),"'","""")&amp;SUBSTITUTE(TEXT(IF(ISTEXT(Overig!H1364),Overig!H1364,10*Overig!H1364),""",""????0;"",""???-0;"",""????0;"", ////"""),"'","""")&amp;SUBSTITUTE(TEXT(Overig!I1364,""",""?00;"",""?-00;"",""?00;"", //"""),"'","""")&amp;SUBSTITUTE(TEXT(IF(ISTEXT(Overig!J1364),Overig!J1364,10*Overig!J1364),""",""????0;"",""???-0;"",""????0;"", ////"""),"'","""")&amp;SUBSTITUTE(TEXT(Overig!K1364,""",""?00;"",""?-00;"",""?00;"", //"""),"'","""")&amp;SUBSTITUTE(TEXT(Overig!L1364,""",""???0;"",""??-0;"",""???0;"", ///"""),"'","""")&amp;SUBSTITUTE(TEXT(Overig!M1364,""",""?00;"",""?-00;"",""?00;"", //"""),"'","""")&amp;SUBSTITUTE(TEXT(IF(ISTEXT(Overig!N1364),Overig!N1364,10*Overig!N1364),""",""????0;"",""???-0;"",""????0;"", ////"""),"'","""")&amp;SUBSTITUTE(TEXT(Overig!O1364,""",""?00;"",""?-00;"",""?00;"", //"""),"'","""")&amp;SUBSTITUTE(TEXT(IF(ISTEXT(Overig!P1364),Overig!P1364,10*Overig!P1364),""",""????0;"",""???-0;"",""????0;"", ////"""),"'","""")&amp;SUBSTITUTE(TEXT(Overig!Q1364,""",""?00;"",""?-00;"",""?00;"", //"""),"'","""")&amp;SUBSTITUTE(TEXT(Overig!R1364,""",""????0;"",""???-0;"",""????0;"", ////"""),"'","""")&amp;SUBSTITUTE(TEXT(Overig!S1364,""",""?00;"",""?-00;"",""?00;"", //"""),"'","""")&amp;SUBSTITUTE(TEXT(IF(ISTEXT(Overig!T1364),Overig!T1364,10*Overig!T1364),""",""????0;"",""???-0;"",""????0;"", ////"""),"'","""")&amp;SUBSTITUTE(TEXT(Overig!U1364,""",""?00;"",""?-00;"",""?00;"", //"""),"'","""")&amp;SUBSTITUTE(TEXT(Overig!V1364,""",""???0;"",""??-0;"",""???0;"", ///"""),"'","""")&amp;SUBSTITUTE(TEXT(Overig!W1364,""",""?00;"",""?-00;"",""?00;"", //"""),"'","""")</f>
        <v>032, 19401206, 17.00, ////, 07, ////, 07, ////, 07, ////, 07, ///, 07, ////, 07, ////, 07, ////, 07, ////, 07, ///, 07</v>
      </c>
    </row>
    <row r="1365" spans="1:1" x14ac:dyDescent="0.25">
      <c r="A1365" s="12" t="str">
        <f ca="1">TEXT(Overig!A1365,"000\,")&amp;TEXT(Overig!B1365,"?00000000")&amp;TEXT(Overig!C1365,""", ""@")&amp;SUBSTITUTE(TEXT(IF(ISTEXT(Overig!D1365),Overig!D1365,10*Overig!D1365),""",""????0;"",""???-0;"",""????0;"", ////"""),"'","""")&amp;SUBSTITUTE(TEXT(Overig!E1365,""",""?00;"",""?-00;"",""?00;"", //"""),"'","""")&amp;SUBSTITUTE(TEXT(IF(ISTEXT(Overig!F1365),Overig!F1365,10*Overig!F1365),""",""????0;"",""???-0;"",""????0;"", ////"""),"'","""")&amp;SUBSTITUTE(TEXT(Overig!G1365,""",""?00;"",""?-00;"",""?00;"", //"""),"'","""")&amp;SUBSTITUTE(TEXT(IF(ISTEXT(Overig!H1365),Overig!H1365,10*Overig!H1365),""",""????0;"",""???-0;"",""????0;"", ////"""),"'","""")&amp;SUBSTITUTE(TEXT(Overig!I1365,""",""?00;"",""?-00;"",""?00;"", //"""),"'","""")&amp;SUBSTITUTE(TEXT(IF(ISTEXT(Overig!J1365),Overig!J1365,10*Overig!J1365),""",""????0;"",""???-0;"",""????0;"", ////"""),"'","""")&amp;SUBSTITUTE(TEXT(Overig!K1365,""",""?00;"",""?-00;"",""?00;"", //"""),"'","""")&amp;SUBSTITUTE(TEXT(Overig!L1365,""",""???0;"",""??-0;"",""???0;"", ///"""),"'","""")&amp;SUBSTITUTE(TEXT(Overig!M1365,""",""?00;"",""?-00;"",""?00;"", //"""),"'","""")&amp;SUBSTITUTE(TEXT(IF(ISTEXT(Overig!N1365),Overig!N1365,10*Overig!N1365),""",""????0;"",""???-0;"",""????0;"", ////"""),"'","""")&amp;SUBSTITUTE(TEXT(Overig!O1365,""",""?00;"",""?-00;"",""?00;"", //"""),"'","""")&amp;SUBSTITUTE(TEXT(IF(ISTEXT(Overig!P1365),Overig!P1365,10*Overig!P1365),""",""????0;"",""???-0;"",""????0;"", ////"""),"'","""")&amp;SUBSTITUTE(TEXT(Overig!Q1365,""",""?00;"",""?-00;"",""?00;"", //"""),"'","""")&amp;SUBSTITUTE(TEXT(Overig!R1365,""",""????0;"",""???-0;"",""????0;"", ////"""),"'","""")&amp;SUBSTITUTE(TEXT(Overig!S1365,""",""?00;"",""?-00;"",""?00;"", //"""),"'","""")&amp;SUBSTITUTE(TEXT(IF(ISTEXT(Overig!T1365),Overig!T1365,10*Overig!T1365),""",""????0;"",""???-0;"",""????0;"", ////"""),"'","""")&amp;SUBSTITUTE(TEXT(Overig!U1365,""",""?00;"",""?-00;"",""?00;"", //"""),"'","""")&amp;SUBSTITUTE(TEXT(Overig!V1365,""",""???0;"",""??-0;"",""???0;"", ///"""),"'","""")&amp;SUBSTITUTE(TEXT(Overig!W1365,""",""?00;"",""?-00;"",""?00;"", //"""),"'","""")</f>
        <v>032, 19401206, 24.00, ////, 07, ////, 07, ////, 07, ////, 07, ///, 07, ////, 07, ////, 07, ////, 07, ////, 07, ///, 07</v>
      </c>
    </row>
    <row r="1366" spans="1:1" x14ac:dyDescent="0.25">
      <c r="A1366" s="12" t="str">
        <f ca="1">TEXT(Overig!A1366,"000\,")&amp;TEXT(Overig!B1366,"?00000000")&amp;TEXT(Overig!C1366,""", ""@")&amp;SUBSTITUTE(TEXT(IF(ISTEXT(Overig!D1366),Overig!D1366,10*Overig!D1366),""",""????0;"",""???-0;"",""????0;"", ////"""),"'","""")&amp;SUBSTITUTE(TEXT(Overig!E1366,""",""?00;"",""?-00;"",""?00;"", //"""),"'","""")&amp;SUBSTITUTE(TEXT(IF(ISTEXT(Overig!F1366),Overig!F1366,10*Overig!F1366),""",""????0;"",""???-0;"",""????0;"", ////"""),"'","""")&amp;SUBSTITUTE(TEXT(Overig!G1366,""",""?00;"",""?-00;"",""?00;"", //"""),"'","""")&amp;SUBSTITUTE(TEXT(IF(ISTEXT(Overig!H1366),Overig!H1366,10*Overig!H1366),""",""????0;"",""???-0;"",""????0;"", ////"""),"'","""")&amp;SUBSTITUTE(TEXT(Overig!I1366,""",""?00;"",""?-00;"",""?00;"", //"""),"'","""")&amp;SUBSTITUTE(TEXT(IF(ISTEXT(Overig!J1366),Overig!J1366,10*Overig!J1366),""",""????0;"",""???-0;"",""????0;"", ////"""),"'","""")&amp;SUBSTITUTE(TEXT(Overig!K1366,""",""?00;"",""?-00;"",""?00;"", //"""),"'","""")&amp;SUBSTITUTE(TEXT(Overig!L1366,""",""???0;"",""??-0;"",""???0;"", ///"""),"'","""")&amp;SUBSTITUTE(TEXT(Overig!M1366,""",""?00;"",""?-00;"",""?00;"", //"""),"'","""")&amp;SUBSTITUTE(TEXT(IF(ISTEXT(Overig!N1366),Overig!N1366,10*Overig!N1366),""",""????0;"",""???-0;"",""????0;"", ////"""),"'","""")&amp;SUBSTITUTE(TEXT(Overig!O1366,""",""?00;"",""?-00;"",""?00;"", //"""),"'","""")&amp;SUBSTITUTE(TEXT(IF(ISTEXT(Overig!P1366),Overig!P1366,10*Overig!P1366),""",""????0;"",""???-0;"",""????0;"", ////"""),"'","""")&amp;SUBSTITUTE(TEXT(Overig!Q1366,""",""?00;"",""?-00;"",""?00;"", //"""),"'","""")&amp;SUBSTITUTE(TEXT(Overig!R1366,""",""????0;"",""???-0;"",""????0;"", ////"""),"'","""")&amp;SUBSTITUTE(TEXT(Overig!S1366,""",""?00;"",""?-00;"",""?00;"", //"""),"'","""")&amp;SUBSTITUTE(TEXT(IF(ISTEXT(Overig!T1366),Overig!T1366,10*Overig!T1366),""",""????0;"",""???-0;"",""????0;"", ////"""),"'","""")&amp;SUBSTITUTE(TEXT(Overig!U1366,""",""?00;"",""?-00;"",""?00;"", //"""),"'","""")&amp;SUBSTITUTE(TEXT(Overig!V1366,""",""???0;"",""??-0;"",""???0;"", ///"""),"'","""")&amp;SUBSTITUTE(TEXT(Overig!W1366,""",""?00;"",""?-00;"",""?00;"", //"""),"'","""")</f>
        <v>032, 19401207, 07.00, ////, 07, ////, 07, ////, 07, ////, 07, ///, 07, ////, 07, ////, 07, ////, 07, ////, 07, ///, 07</v>
      </c>
    </row>
    <row r="1367" spans="1:1" x14ac:dyDescent="0.25">
      <c r="A1367" s="12" t="str">
        <f ca="1">TEXT(Overig!A1367,"000\,")&amp;TEXT(Overig!B1367,"?00000000")&amp;TEXT(Overig!C1367,""", ""@")&amp;SUBSTITUTE(TEXT(IF(ISTEXT(Overig!D1367),Overig!D1367,10*Overig!D1367),""",""????0;"",""???-0;"",""????0;"", ////"""),"'","""")&amp;SUBSTITUTE(TEXT(Overig!E1367,""",""?00;"",""?-00;"",""?00;"", //"""),"'","""")&amp;SUBSTITUTE(TEXT(IF(ISTEXT(Overig!F1367),Overig!F1367,10*Overig!F1367),""",""????0;"",""???-0;"",""????0;"", ////"""),"'","""")&amp;SUBSTITUTE(TEXT(Overig!G1367,""",""?00;"",""?-00;"",""?00;"", //"""),"'","""")&amp;SUBSTITUTE(TEXT(IF(ISTEXT(Overig!H1367),Overig!H1367,10*Overig!H1367),""",""????0;"",""???-0;"",""????0;"", ////"""),"'","""")&amp;SUBSTITUTE(TEXT(Overig!I1367,""",""?00;"",""?-00;"",""?00;"", //"""),"'","""")&amp;SUBSTITUTE(TEXT(IF(ISTEXT(Overig!J1367),Overig!J1367,10*Overig!J1367),""",""????0;"",""???-0;"",""????0;"", ////"""),"'","""")&amp;SUBSTITUTE(TEXT(Overig!K1367,""",""?00;"",""?-00;"",""?00;"", //"""),"'","""")&amp;SUBSTITUTE(TEXT(Overig!L1367,""",""???0;"",""??-0;"",""???0;"", ///"""),"'","""")&amp;SUBSTITUTE(TEXT(Overig!M1367,""",""?00;"",""?-00;"",""?00;"", //"""),"'","""")&amp;SUBSTITUTE(TEXT(IF(ISTEXT(Overig!N1367),Overig!N1367,10*Overig!N1367),""",""????0;"",""???-0;"",""????0;"", ////"""),"'","""")&amp;SUBSTITUTE(TEXT(Overig!O1367,""",""?00;"",""?-00;"",""?00;"", //"""),"'","""")&amp;SUBSTITUTE(TEXT(IF(ISTEXT(Overig!P1367),Overig!P1367,10*Overig!P1367),""",""????0;"",""???-0;"",""????0;"", ////"""),"'","""")&amp;SUBSTITUTE(TEXT(Overig!Q1367,""",""?00;"",""?-00;"",""?00;"", //"""),"'","""")&amp;SUBSTITUTE(TEXT(Overig!R1367,""",""????0;"",""???-0;"",""????0;"", ////"""),"'","""")&amp;SUBSTITUTE(TEXT(Overig!S1367,""",""?00;"",""?-00;"",""?00;"", //"""),"'","""")&amp;SUBSTITUTE(TEXT(IF(ISTEXT(Overig!T1367),Overig!T1367,10*Overig!T1367),""",""????0;"",""???-0;"",""????0;"", ////"""),"'","""")&amp;SUBSTITUTE(TEXT(Overig!U1367,""",""?00;"",""?-00;"",""?00;"", //"""),"'","""")&amp;SUBSTITUTE(TEXT(Overig!V1367,""",""???0;"",""??-0;"",""???0;"", ///"""),"'","""")&amp;SUBSTITUTE(TEXT(Overig!W1367,""",""?00;"",""?-00;"",""?00;"", //"""),"'","""")</f>
        <v>032, 19401207, 12.00, ////, 07, ////, 07, ////, 07, ////, 07, ///, 07, ////, 07, ////, 07, ////, 07, ////, 07, ///, 07</v>
      </c>
    </row>
    <row r="1368" spans="1:1" x14ac:dyDescent="0.25">
      <c r="A1368" s="12" t="str">
        <f ca="1">TEXT(Overig!A1368,"000\,")&amp;TEXT(Overig!B1368,"?00000000")&amp;TEXT(Overig!C1368,""", ""@")&amp;SUBSTITUTE(TEXT(IF(ISTEXT(Overig!D1368),Overig!D1368,10*Overig!D1368),""",""????0;"",""???-0;"",""????0;"", ////"""),"'","""")&amp;SUBSTITUTE(TEXT(Overig!E1368,""",""?00;"",""?-00;"",""?00;"", //"""),"'","""")&amp;SUBSTITUTE(TEXT(IF(ISTEXT(Overig!F1368),Overig!F1368,10*Overig!F1368),""",""????0;"",""???-0;"",""????0;"", ////"""),"'","""")&amp;SUBSTITUTE(TEXT(Overig!G1368,""",""?00;"",""?-00;"",""?00;"", //"""),"'","""")&amp;SUBSTITUTE(TEXT(IF(ISTEXT(Overig!H1368),Overig!H1368,10*Overig!H1368),""",""????0;"",""???-0;"",""????0;"", ////"""),"'","""")&amp;SUBSTITUTE(TEXT(Overig!I1368,""",""?00;"",""?-00;"",""?00;"", //"""),"'","""")&amp;SUBSTITUTE(TEXT(IF(ISTEXT(Overig!J1368),Overig!J1368,10*Overig!J1368),""",""????0;"",""???-0;"",""????0;"", ////"""),"'","""")&amp;SUBSTITUTE(TEXT(Overig!K1368,""",""?00;"",""?-00;"",""?00;"", //"""),"'","""")&amp;SUBSTITUTE(TEXT(Overig!L1368,""",""???0;"",""??-0;"",""???0;"", ///"""),"'","""")&amp;SUBSTITUTE(TEXT(Overig!M1368,""",""?00;"",""?-00;"",""?00;"", //"""),"'","""")&amp;SUBSTITUTE(TEXT(IF(ISTEXT(Overig!N1368),Overig!N1368,10*Overig!N1368),""",""????0;"",""???-0;"",""????0;"", ////"""),"'","""")&amp;SUBSTITUTE(TEXT(Overig!O1368,""",""?00;"",""?-00;"",""?00;"", //"""),"'","""")&amp;SUBSTITUTE(TEXT(IF(ISTEXT(Overig!P1368),Overig!P1368,10*Overig!P1368),""",""????0;"",""???-0;"",""????0;"", ////"""),"'","""")&amp;SUBSTITUTE(TEXT(Overig!Q1368,""",""?00;"",""?-00;"",""?00;"", //"""),"'","""")&amp;SUBSTITUTE(TEXT(Overig!R1368,""",""????0;"",""???-0;"",""????0;"", ////"""),"'","""")&amp;SUBSTITUTE(TEXT(Overig!S1368,""",""?00;"",""?-00;"",""?00;"", //"""),"'","""")&amp;SUBSTITUTE(TEXT(IF(ISTEXT(Overig!T1368),Overig!T1368,10*Overig!T1368),""",""????0;"",""???-0;"",""????0;"", ////"""),"'","""")&amp;SUBSTITUTE(TEXT(Overig!U1368,""",""?00;"",""?-00;"",""?00;"", //"""),"'","""")&amp;SUBSTITUTE(TEXT(Overig!V1368,""",""???0;"",""??-0;"",""???0;"", ///"""),"'","""")&amp;SUBSTITUTE(TEXT(Overig!W1368,""",""?00;"",""?-00;"",""?00;"", //"""),"'","""")</f>
        <v>032, 19401207, 17.00, ////, 07, ////, 07, ////, 07, ////, 07, ///, 07, ////, 07, ////, 07, ////, 07, ////, 07, ///, 07</v>
      </c>
    </row>
    <row r="1369" spans="1:1" x14ac:dyDescent="0.25">
      <c r="A1369" s="12" t="str">
        <f ca="1">TEXT(Overig!A1369,"000\,")&amp;TEXT(Overig!B1369,"?00000000")&amp;TEXT(Overig!C1369,""", ""@")&amp;SUBSTITUTE(TEXT(IF(ISTEXT(Overig!D1369),Overig!D1369,10*Overig!D1369),""",""????0;"",""???-0;"",""????0;"", ////"""),"'","""")&amp;SUBSTITUTE(TEXT(Overig!E1369,""",""?00;"",""?-00;"",""?00;"", //"""),"'","""")&amp;SUBSTITUTE(TEXT(IF(ISTEXT(Overig!F1369),Overig!F1369,10*Overig!F1369),""",""????0;"",""???-0;"",""????0;"", ////"""),"'","""")&amp;SUBSTITUTE(TEXT(Overig!G1369,""",""?00;"",""?-00;"",""?00;"", //"""),"'","""")&amp;SUBSTITUTE(TEXT(IF(ISTEXT(Overig!H1369),Overig!H1369,10*Overig!H1369),""",""????0;"",""???-0;"",""????0;"", ////"""),"'","""")&amp;SUBSTITUTE(TEXT(Overig!I1369,""",""?00;"",""?-00;"",""?00;"", //"""),"'","""")&amp;SUBSTITUTE(TEXT(IF(ISTEXT(Overig!J1369),Overig!J1369,10*Overig!J1369),""",""????0;"",""???-0;"",""????0;"", ////"""),"'","""")&amp;SUBSTITUTE(TEXT(Overig!K1369,""",""?00;"",""?-00;"",""?00;"", //"""),"'","""")&amp;SUBSTITUTE(TEXT(Overig!L1369,""",""???0;"",""??-0;"",""???0;"", ///"""),"'","""")&amp;SUBSTITUTE(TEXT(Overig!M1369,""",""?00;"",""?-00;"",""?00;"", //"""),"'","""")&amp;SUBSTITUTE(TEXT(IF(ISTEXT(Overig!N1369),Overig!N1369,10*Overig!N1369),""",""????0;"",""???-0;"",""????0;"", ////"""),"'","""")&amp;SUBSTITUTE(TEXT(Overig!O1369,""",""?00;"",""?-00;"",""?00;"", //"""),"'","""")&amp;SUBSTITUTE(TEXT(IF(ISTEXT(Overig!P1369),Overig!P1369,10*Overig!P1369),""",""????0;"",""???-0;"",""????0;"", ////"""),"'","""")&amp;SUBSTITUTE(TEXT(Overig!Q1369,""",""?00;"",""?-00;"",""?00;"", //"""),"'","""")&amp;SUBSTITUTE(TEXT(Overig!R1369,""",""????0;"",""???-0;"",""????0;"", ////"""),"'","""")&amp;SUBSTITUTE(TEXT(Overig!S1369,""",""?00;"",""?-00;"",""?00;"", //"""),"'","""")&amp;SUBSTITUTE(TEXT(IF(ISTEXT(Overig!T1369),Overig!T1369,10*Overig!T1369),""",""????0;"",""???-0;"",""????0;"", ////"""),"'","""")&amp;SUBSTITUTE(TEXT(Overig!U1369,""",""?00;"",""?-00;"",""?00;"", //"""),"'","""")&amp;SUBSTITUTE(TEXT(Overig!V1369,""",""???0;"",""??-0;"",""???0;"", ///"""),"'","""")&amp;SUBSTITUTE(TEXT(Overig!W1369,""",""?00;"",""?-00;"",""?00;"", //"""),"'","""")</f>
        <v>032, 19401207, 24.00, ////, 07, ////, 07, ////, 07, ////, 07, ///, 07, ////, 07, ////, 07, ////, 07, ////, 07, ///, 07</v>
      </c>
    </row>
    <row r="1370" spans="1:1" x14ac:dyDescent="0.25">
      <c r="A1370" s="12" t="str">
        <f ca="1">TEXT(Overig!A1370,"000\,")&amp;TEXT(Overig!B1370,"?00000000")&amp;TEXT(Overig!C1370,""", ""@")&amp;SUBSTITUTE(TEXT(IF(ISTEXT(Overig!D1370),Overig!D1370,10*Overig!D1370),""",""????0;"",""???-0;"",""????0;"", ////"""),"'","""")&amp;SUBSTITUTE(TEXT(Overig!E1370,""",""?00;"",""?-00;"",""?00;"", //"""),"'","""")&amp;SUBSTITUTE(TEXT(IF(ISTEXT(Overig!F1370),Overig!F1370,10*Overig!F1370),""",""????0;"",""???-0;"",""????0;"", ////"""),"'","""")&amp;SUBSTITUTE(TEXT(Overig!G1370,""",""?00;"",""?-00;"",""?00;"", //"""),"'","""")&amp;SUBSTITUTE(TEXT(IF(ISTEXT(Overig!H1370),Overig!H1370,10*Overig!H1370),""",""????0;"",""???-0;"",""????0;"", ////"""),"'","""")&amp;SUBSTITUTE(TEXT(Overig!I1370,""",""?00;"",""?-00;"",""?00;"", //"""),"'","""")&amp;SUBSTITUTE(TEXT(IF(ISTEXT(Overig!J1370),Overig!J1370,10*Overig!J1370),""",""????0;"",""???-0;"",""????0;"", ////"""),"'","""")&amp;SUBSTITUTE(TEXT(Overig!K1370,""",""?00;"",""?-00;"",""?00;"", //"""),"'","""")&amp;SUBSTITUTE(TEXT(Overig!L1370,""",""???0;"",""??-0;"",""???0;"", ///"""),"'","""")&amp;SUBSTITUTE(TEXT(Overig!M1370,""",""?00;"",""?-00;"",""?00;"", //"""),"'","""")&amp;SUBSTITUTE(TEXT(IF(ISTEXT(Overig!N1370),Overig!N1370,10*Overig!N1370),""",""????0;"",""???-0;"",""????0;"", ////"""),"'","""")&amp;SUBSTITUTE(TEXT(Overig!O1370,""",""?00;"",""?-00;"",""?00;"", //"""),"'","""")&amp;SUBSTITUTE(TEXT(IF(ISTEXT(Overig!P1370),Overig!P1370,10*Overig!P1370),""",""????0;"",""???-0;"",""????0;"", ////"""),"'","""")&amp;SUBSTITUTE(TEXT(Overig!Q1370,""",""?00;"",""?-00;"",""?00;"", //"""),"'","""")&amp;SUBSTITUTE(TEXT(Overig!R1370,""",""????0;"",""???-0;"",""????0;"", ////"""),"'","""")&amp;SUBSTITUTE(TEXT(Overig!S1370,""",""?00;"",""?-00;"",""?00;"", //"""),"'","""")&amp;SUBSTITUTE(TEXT(IF(ISTEXT(Overig!T1370),Overig!T1370,10*Overig!T1370),""",""????0;"",""???-0;"",""????0;"", ////"""),"'","""")&amp;SUBSTITUTE(TEXT(Overig!U1370,""",""?00;"",""?-00;"",""?00;"", //"""),"'","""")&amp;SUBSTITUTE(TEXT(Overig!V1370,""",""???0;"",""??-0;"",""???0;"", ///"""),"'","""")&amp;SUBSTITUTE(TEXT(Overig!W1370,""",""?00;"",""?-00;"",""?00;"", //"""),"'","""")</f>
        <v>032, 19401208, 07.00, ////, 07, ////, 07, ////, 07, ////, 07, ///, 07, ////, 07, ////, 07, ////, 07, ////, 07, ///, 07</v>
      </c>
    </row>
    <row r="1371" spans="1:1" x14ac:dyDescent="0.25">
      <c r="A1371" s="12" t="str">
        <f ca="1">TEXT(Overig!A1371,"000\,")&amp;TEXT(Overig!B1371,"?00000000")&amp;TEXT(Overig!C1371,""", ""@")&amp;SUBSTITUTE(TEXT(IF(ISTEXT(Overig!D1371),Overig!D1371,10*Overig!D1371),""",""????0;"",""???-0;"",""????0;"", ////"""),"'","""")&amp;SUBSTITUTE(TEXT(Overig!E1371,""",""?00;"",""?-00;"",""?00;"", //"""),"'","""")&amp;SUBSTITUTE(TEXT(IF(ISTEXT(Overig!F1371),Overig!F1371,10*Overig!F1371),""",""????0;"",""???-0;"",""????0;"", ////"""),"'","""")&amp;SUBSTITUTE(TEXT(Overig!G1371,""",""?00;"",""?-00;"",""?00;"", //"""),"'","""")&amp;SUBSTITUTE(TEXT(IF(ISTEXT(Overig!H1371),Overig!H1371,10*Overig!H1371),""",""????0;"",""???-0;"",""????0;"", ////"""),"'","""")&amp;SUBSTITUTE(TEXT(Overig!I1371,""",""?00;"",""?-00;"",""?00;"", //"""),"'","""")&amp;SUBSTITUTE(TEXT(IF(ISTEXT(Overig!J1371),Overig!J1371,10*Overig!J1371),""",""????0;"",""???-0;"",""????0;"", ////"""),"'","""")&amp;SUBSTITUTE(TEXT(Overig!K1371,""",""?00;"",""?-00;"",""?00;"", //"""),"'","""")&amp;SUBSTITUTE(TEXT(Overig!L1371,""",""???0;"",""??-0;"",""???0;"", ///"""),"'","""")&amp;SUBSTITUTE(TEXT(Overig!M1371,""",""?00;"",""?-00;"",""?00;"", //"""),"'","""")&amp;SUBSTITUTE(TEXT(IF(ISTEXT(Overig!N1371),Overig!N1371,10*Overig!N1371),""",""????0;"",""???-0;"",""????0;"", ////"""),"'","""")&amp;SUBSTITUTE(TEXT(Overig!O1371,""",""?00;"",""?-00;"",""?00;"", //"""),"'","""")&amp;SUBSTITUTE(TEXT(IF(ISTEXT(Overig!P1371),Overig!P1371,10*Overig!P1371),""",""????0;"",""???-0;"",""????0;"", ////"""),"'","""")&amp;SUBSTITUTE(TEXT(Overig!Q1371,""",""?00;"",""?-00;"",""?00;"", //"""),"'","""")&amp;SUBSTITUTE(TEXT(Overig!R1371,""",""????0;"",""???-0;"",""????0;"", ////"""),"'","""")&amp;SUBSTITUTE(TEXT(Overig!S1371,""",""?00;"",""?-00;"",""?00;"", //"""),"'","""")&amp;SUBSTITUTE(TEXT(IF(ISTEXT(Overig!T1371),Overig!T1371,10*Overig!T1371),""",""????0;"",""???-0;"",""????0;"", ////"""),"'","""")&amp;SUBSTITUTE(TEXT(Overig!U1371,""",""?00;"",""?-00;"",""?00;"", //"""),"'","""")&amp;SUBSTITUTE(TEXT(Overig!V1371,""",""???0;"",""??-0;"",""???0;"", ///"""),"'","""")&amp;SUBSTITUTE(TEXT(Overig!W1371,""",""?00;"",""?-00;"",""?00;"", //"""),"'","""")</f>
        <v>032, 19401208, 12.00, ////, 07, ////, 07, ////, 07, ////, 07, ///, 07, ////, 07, ////, 07, ////, 07, ////, 07, ///, 07</v>
      </c>
    </row>
    <row r="1372" spans="1:1" x14ac:dyDescent="0.25">
      <c r="A1372" s="12" t="str">
        <f ca="1">TEXT(Overig!A1372,"000\,")&amp;TEXT(Overig!B1372,"?00000000")&amp;TEXT(Overig!C1372,""", ""@")&amp;SUBSTITUTE(TEXT(IF(ISTEXT(Overig!D1372),Overig!D1372,10*Overig!D1372),""",""????0;"",""???-0;"",""????0;"", ////"""),"'","""")&amp;SUBSTITUTE(TEXT(Overig!E1372,""",""?00;"",""?-00;"",""?00;"", //"""),"'","""")&amp;SUBSTITUTE(TEXT(IF(ISTEXT(Overig!F1372),Overig!F1372,10*Overig!F1372),""",""????0;"",""???-0;"",""????0;"", ////"""),"'","""")&amp;SUBSTITUTE(TEXT(Overig!G1372,""",""?00;"",""?-00;"",""?00;"", //"""),"'","""")&amp;SUBSTITUTE(TEXT(IF(ISTEXT(Overig!H1372),Overig!H1372,10*Overig!H1372),""",""????0;"",""???-0;"",""????0;"", ////"""),"'","""")&amp;SUBSTITUTE(TEXT(Overig!I1372,""",""?00;"",""?-00;"",""?00;"", //"""),"'","""")&amp;SUBSTITUTE(TEXT(IF(ISTEXT(Overig!J1372),Overig!J1372,10*Overig!J1372),""",""????0;"",""???-0;"",""????0;"", ////"""),"'","""")&amp;SUBSTITUTE(TEXT(Overig!K1372,""",""?00;"",""?-00;"",""?00;"", //"""),"'","""")&amp;SUBSTITUTE(TEXT(Overig!L1372,""",""???0;"",""??-0;"",""???0;"", ///"""),"'","""")&amp;SUBSTITUTE(TEXT(Overig!M1372,""",""?00;"",""?-00;"",""?00;"", //"""),"'","""")&amp;SUBSTITUTE(TEXT(IF(ISTEXT(Overig!N1372),Overig!N1372,10*Overig!N1372),""",""????0;"",""???-0;"",""????0;"", ////"""),"'","""")&amp;SUBSTITUTE(TEXT(Overig!O1372,""",""?00;"",""?-00;"",""?00;"", //"""),"'","""")&amp;SUBSTITUTE(TEXT(IF(ISTEXT(Overig!P1372),Overig!P1372,10*Overig!P1372),""",""????0;"",""???-0;"",""????0;"", ////"""),"'","""")&amp;SUBSTITUTE(TEXT(Overig!Q1372,""",""?00;"",""?-00;"",""?00;"", //"""),"'","""")&amp;SUBSTITUTE(TEXT(Overig!R1372,""",""????0;"",""???-0;"",""????0;"", ////"""),"'","""")&amp;SUBSTITUTE(TEXT(Overig!S1372,""",""?00;"",""?-00;"",""?00;"", //"""),"'","""")&amp;SUBSTITUTE(TEXT(IF(ISTEXT(Overig!T1372),Overig!T1372,10*Overig!T1372),""",""????0;"",""???-0;"",""????0;"", ////"""),"'","""")&amp;SUBSTITUTE(TEXT(Overig!U1372,""",""?00;"",""?-00;"",""?00;"", //"""),"'","""")&amp;SUBSTITUTE(TEXT(Overig!V1372,""",""???0;"",""??-0;"",""???0;"", ///"""),"'","""")&amp;SUBSTITUTE(TEXT(Overig!W1372,""",""?00;"",""?-00;"",""?00;"", //"""),"'","""")</f>
        <v>032, 19401208, 17.00, ////, 07, ////, 07, ////, 07, ////, 07, ///, 07, ////, 07, ////, 07, ////, 07, ////, 07, ///, 07</v>
      </c>
    </row>
    <row r="1373" spans="1:1" x14ac:dyDescent="0.25">
      <c r="A1373" s="12" t="str">
        <f ca="1">TEXT(Overig!A1373,"000\,")&amp;TEXT(Overig!B1373,"?00000000")&amp;TEXT(Overig!C1373,""", ""@")&amp;SUBSTITUTE(TEXT(IF(ISTEXT(Overig!D1373),Overig!D1373,10*Overig!D1373),""",""????0;"",""???-0;"",""????0;"", ////"""),"'","""")&amp;SUBSTITUTE(TEXT(Overig!E1373,""",""?00;"",""?-00;"",""?00;"", //"""),"'","""")&amp;SUBSTITUTE(TEXT(IF(ISTEXT(Overig!F1373),Overig!F1373,10*Overig!F1373),""",""????0;"",""???-0;"",""????0;"", ////"""),"'","""")&amp;SUBSTITUTE(TEXT(Overig!G1373,""",""?00;"",""?-00;"",""?00;"", //"""),"'","""")&amp;SUBSTITUTE(TEXT(IF(ISTEXT(Overig!H1373),Overig!H1373,10*Overig!H1373),""",""????0;"",""???-0;"",""????0;"", ////"""),"'","""")&amp;SUBSTITUTE(TEXT(Overig!I1373,""",""?00;"",""?-00;"",""?00;"", //"""),"'","""")&amp;SUBSTITUTE(TEXT(IF(ISTEXT(Overig!J1373),Overig!J1373,10*Overig!J1373),""",""????0;"",""???-0;"",""????0;"", ////"""),"'","""")&amp;SUBSTITUTE(TEXT(Overig!K1373,""",""?00;"",""?-00;"",""?00;"", //"""),"'","""")&amp;SUBSTITUTE(TEXT(Overig!L1373,""",""???0;"",""??-0;"",""???0;"", ///"""),"'","""")&amp;SUBSTITUTE(TEXT(Overig!M1373,""",""?00;"",""?-00;"",""?00;"", //"""),"'","""")&amp;SUBSTITUTE(TEXT(IF(ISTEXT(Overig!N1373),Overig!N1373,10*Overig!N1373),""",""????0;"",""???-0;"",""????0;"", ////"""),"'","""")&amp;SUBSTITUTE(TEXT(Overig!O1373,""",""?00;"",""?-00;"",""?00;"", //"""),"'","""")&amp;SUBSTITUTE(TEXT(IF(ISTEXT(Overig!P1373),Overig!P1373,10*Overig!P1373),""",""????0;"",""???-0;"",""????0;"", ////"""),"'","""")&amp;SUBSTITUTE(TEXT(Overig!Q1373,""",""?00;"",""?-00;"",""?00;"", //"""),"'","""")&amp;SUBSTITUTE(TEXT(Overig!R1373,""",""????0;"",""???-0;"",""????0;"", ////"""),"'","""")&amp;SUBSTITUTE(TEXT(Overig!S1373,""",""?00;"",""?-00;"",""?00;"", //"""),"'","""")&amp;SUBSTITUTE(TEXT(IF(ISTEXT(Overig!T1373),Overig!T1373,10*Overig!T1373),""",""????0;"",""???-0;"",""????0;"", ////"""),"'","""")&amp;SUBSTITUTE(TEXT(Overig!U1373,""",""?00;"",""?-00;"",""?00;"", //"""),"'","""")&amp;SUBSTITUTE(TEXT(Overig!V1373,""",""???0;"",""??-0;"",""???0;"", ///"""),"'","""")&amp;SUBSTITUTE(TEXT(Overig!W1373,""",""?00;"",""?-00;"",""?00;"", //"""),"'","""")</f>
        <v>032, 19401208, 24.00, ////, 07, ////, 07, ////, 07, ////, 07, ///, 07, ////, 07, ////, 07, ////, 07, ////, 07, ///, 07</v>
      </c>
    </row>
    <row r="1374" spans="1:1" x14ac:dyDescent="0.25">
      <c r="A1374" s="12" t="str">
        <f ca="1">TEXT(Overig!A1374,"000\,")&amp;TEXT(Overig!B1374,"?00000000")&amp;TEXT(Overig!C1374,""", ""@")&amp;SUBSTITUTE(TEXT(IF(ISTEXT(Overig!D1374),Overig!D1374,10*Overig!D1374),""",""????0;"",""???-0;"",""????0;"", ////"""),"'","""")&amp;SUBSTITUTE(TEXT(Overig!E1374,""",""?00;"",""?-00;"",""?00;"", //"""),"'","""")&amp;SUBSTITUTE(TEXT(IF(ISTEXT(Overig!F1374),Overig!F1374,10*Overig!F1374),""",""????0;"",""???-0;"",""????0;"", ////"""),"'","""")&amp;SUBSTITUTE(TEXT(Overig!G1374,""",""?00;"",""?-00;"",""?00;"", //"""),"'","""")&amp;SUBSTITUTE(TEXT(IF(ISTEXT(Overig!H1374),Overig!H1374,10*Overig!H1374),""",""????0;"",""???-0;"",""????0;"", ////"""),"'","""")&amp;SUBSTITUTE(TEXT(Overig!I1374,""",""?00;"",""?-00;"",""?00;"", //"""),"'","""")&amp;SUBSTITUTE(TEXT(IF(ISTEXT(Overig!J1374),Overig!J1374,10*Overig!J1374),""",""????0;"",""???-0;"",""????0;"", ////"""),"'","""")&amp;SUBSTITUTE(TEXT(Overig!K1374,""",""?00;"",""?-00;"",""?00;"", //"""),"'","""")&amp;SUBSTITUTE(TEXT(Overig!L1374,""",""???0;"",""??-0;"",""???0;"", ///"""),"'","""")&amp;SUBSTITUTE(TEXT(Overig!M1374,""",""?00;"",""?-00;"",""?00;"", //"""),"'","""")&amp;SUBSTITUTE(TEXT(IF(ISTEXT(Overig!N1374),Overig!N1374,10*Overig!N1374),""",""????0;"",""???-0;"",""????0;"", ////"""),"'","""")&amp;SUBSTITUTE(TEXT(Overig!O1374,""",""?00;"",""?-00;"",""?00;"", //"""),"'","""")&amp;SUBSTITUTE(TEXT(IF(ISTEXT(Overig!P1374),Overig!P1374,10*Overig!P1374),""",""????0;"",""???-0;"",""????0;"", ////"""),"'","""")&amp;SUBSTITUTE(TEXT(Overig!Q1374,""",""?00;"",""?-00;"",""?00;"", //"""),"'","""")&amp;SUBSTITUTE(TEXT(Overig!R1374,""",""????0;"",""???-0;"",""????0;"", ////"""),"'","""")&amp;SUBSTITUTE(TEXT(Overig!S1374,""",""?00;"",""?-00;"",""?00;"", //"""),"'","""")&amp;SUBSTITUTE(TEXT(IF(ISTEXT(Overig!T1374),Overig!T1374,10*Overig!T1374),""",""????0;"",""???-0;"",""????0;"", ////"""),"'","""")&amp;SUBSTITUTE(TEXT(Overig!U1374,""",""?00;"",""?-00;"",""?00;"", //"""),"'","""")&amp;SUBSTITUTE(TEXT(Overig!V1374,""",""???0;"",""??-0;"",""???0;"", ///"""),"'","""")&amp;SUBSTITUTE(TEXT(Overig!W1374,""",""?00;"",""?-00;"",""?00;"", //"""),"'","""")</f>
        <v>032, 19401209, 07.00, ////, 07, ////, 07, ////, 07, ////, 07, ///, 07, ////, 07, ////, 07, ////, 07, ////, 07, ///, 07</v>
      </c>
    </row>
    <row r="1375" spans="1:1" x14ac:dyDescent="0.25">
      <c r="A1375" s="12" t="str">
        <f ca="1">TEXT(Overig!A1375,"000\,")&amp;TEXT(Overig!B1375,"?00000000")&amp;TEXT(Overig!C1375,""", ""@")&amp;SUBSTITUTE(TEXT(IF(ISTEXT(Overig!D1375),Overig!D1375,10*Overig!D1375),""",""????0;"",""???-0;"",""????0;"", ////"""),"'","""")&amp;SUBSTITUTE(TEXT(Overig!E1375,""",""?00;"",""?-00;"",""?00;"", //"""),"'","""")&amp;SUBSTITUTE(TEXT(IF(ISTEXT(Overig!F1375),Overig!F1375,10*Overig!F1375),""",""????0;"",""???-0;"",""????0;"", ////"""),"'","""")&amp;SUBSTITUTE(TEXT(Overig!G1375,""",""?00;"",""?-00;"",""?00;"", //"""),"'","""")&amp;SUBSTITUTE(TEXT(IF(ISTEXT(Overig!H1375),Overig!H1375,10*Overig!H1375),""",""????0;"",""???-0;"",""????0;"", ////"""),"'","""")&amp;SUBSTITUTE(TEXT(Overig!I1375,""",""?00;"",""?-00;"",""?00;"", //"""),"'","""")&amp;SUBSTITUTE(TEXT(IF(ISTEXT(Overig!J1375),Overig!J1375,10*Overig!J1375),""",""????0;"",""???-0;"",""????0;"", ////"""),"'","""")&amp;SUBSTITUTE(TEXT(Overig!K1375,""",""?00;"",""?-00;"",""?00;"", //"""),"'","""")&amp;SUBSTITUTE(TEXT(Overig!L1375,""",""???0;"",""??-0;"",""???0;"", ///"""),"'","""")&amp;SUBSTITUTE(TEXT(Overig!M1375,""",""?00;"",""?-00;"",""?00;"", //"""),"'","""")&amp;SUBSTITUTE(TEXT(IF(ISTEXT(Overig!N1375),Overig!N1375,10*Overig!N1375),""",""????0;"",""???-0;"",""????0;"", ////"""),"'","""")&amp;SUBSTITUTE(TEXT(Overig!O1375,""",""?00;"",""?-00;"",""?00;"", //"""),"'","""")&amp;SUBSTITUTE(TEXT(IF(ISTEXT(Overig!P1375),Overig!P1375,10*Overig!P1375),""",""????0;"",""???-0;"",""????0;"", ////"""),"'","""")&amp;SUBSTITUTE(TEXT(Overig!Q1375,""",""?00;"",""?-00;"",""?00;"", //"""),"'","""")&amp;SUBSTITUTE(TEXT(Overig!R1375,""",""????0;"",""???-0;"",""????0;"", ////"""),"'","""")&amp;SUBSTITUTE(TEXT(Overig!S1375,""",""?00;"",""?-00;"",""?00;"", //"""),"'","""")&amp;SUBSTITUTE(TEXT(IF(ISTEXT(Overig!T1375),Overig!T1375,10*Overig!T1375),""",""????0;"",""???-0;"",""????0;"", ////"""),"'","""")&amp;SUBSTITUTE(TEXT(Overig!U1375,""",""?00;"",""?-00;"",""?00;"", //"""),"'","""")&amp;SUBSTITUTE(TEXT(Overig!V1375,""",""???0;"",""??-0;"",""???0;"", ///"""),"'","""")&amp;SUBSTITUTE(TEXT(Overig!W1375,""",""?00;"",""?-00;"",""?00;"", //"""),"'","""")</f>
        <v>032, 19401209, 12.00, ////, 07, ////, 07, ////, 07, ////, 07, ///, 07, ////, 07, ////, 07, ////, 07, ////, 07, ///, 07</v>
      </c>
    </row>
    <row r="1376" spans="1:1" x14ac:dyDescent="0.25">
      <c r="A1376" s="12" t="str">
        <f ca="1">TEXT(Overig!A1376,"000\,")&amp;TEXT(Overig!B1376,"?00000000")&amp;TEXT(Overig!C1376,""", ""@")&amp;SUBSTITUTE(TEXT(IF(ISTEXT(Overig!D1376),Overig!D1376,10*Overig!D1376),""",""????0;"",""???-0;"",""????0;"", ////"""),"'","""")&amp;SUBSTITUTE(TEXT(Overig!E1376,""",""?00;"",""?-00;"",""?00;"", //"""),"'","""")&amp;SUBSTITUTE(TEXT(IF(ISTEXT(Overig!F1376),Overig!F1376,10*Overig!F1376),""",""????0;"",""???-0;"",""????0;"", ////"""),"'","""")&amp;SUBSTITUTE(TEXT(Overig!G1376,""",""?00;"",""?-00;"",""?00;"", //"""),"'","""")&amp;SUBSTITUTE(TEXT(IF(ISTEXT(Overig!H1376),Overig!H1376,10*Overig!H1376),""",""????0;"",""???-0;"",""????0;"", ////"""),"'","""")&amp;SUBSTITUTE(TEXT(Overig!I1376,""",""?00;"",""?-00;"",""?00;"", //"""),"'","""")&amp;SUBSTITUTE(TEXT(IF(ISTEXT(Overig!J1376),Overig!J1376,10*Overig!J1376),""",""????0;"",""???-0;"",""????0;"", ////"""),"'","""")&amp;SUBSTITUTE(TEXT(Overig!K1376,""",""?00;"",""?-00;"",""?00;"", //"""),"'","""")&amp;SUBSTITUTE(TEXT(Overig!L1376,""",""???0;"",""??-0;"",""???0;"", ///"""),"'","""")&amp;SUBSTITUTE(TEXT(Overig!M1376,""",""?00;"",""?-00;"",""?00;"", //"""),"'","""")&amp;SUBSTITUTE(TEXT(IF(ISTEXT(Overig!N1376),Overig!N1376,10*Overig!N1376),""",""????0;"",""???-0;"",""????0;"", ////"""),"'","""")&amp;SUBSTITUTE(TEXT(Overig!O1376,""",""?00;"",""?-00;"",""?00;"", //"""),"'","""")&amp;SUBSTITUTE(TEXT(IF(ISTEXT(Overig!P1376),Overig!P1376,10*Overig!P1376),""",""????0;"",""???-0;"",""????0;"", ////"""),"'","""")&amp;SUBSTITUTE(TEXT(Overig!Q1376,""",""?00;"",""?-00;"",""?00;"", //"""),"'","""")&amp;SUBSTITUTE(TEXT(Overig!R1376,""",""????0;"",""???-0;"",""????0;"", ////"""),"'","""")&amp;SUBSTITUTE(TEXT(Overig!S1376,""",""?00;"",""?-00;"",""?00;"", //"""),"'","""")&amp;SUBSTITUTE(TEXT(IF(ISTEXT(Overig!T1376),Overig!T1376,10*Overig!T1376),""",""????0;"",""???-0;"",""????0;"", ////"""),"'","""")&amp;SUBSTITUTE(TEXT(Overig!U1376,""",""?00;"",""?-00;"",""?00;"", //"""),"'","""")&amp;SUBSTITUTE(TEXT(Overig!V1376,""",""???0;"",""??-0;"",""???0;"", ///"""),"'","""")&amp;SUBSTITUTE(TEXT(Overig!W1376,""",""?00;"",""?-00;"",""?00;"", //"""),"'","""")</f>
        <v>032, 19401209, 17.00, ////, 07, ////, 07, ////, 07, ////, 07, ///, 07, ////, 07, ////, 07, ////, 07, ////, 07, ///, 07</v>
      </c>
    </row>
    <row r="1377" spans="1:1" x14ac:dyDescent="0.25">
      <c r="A1377" s="12" t="str">
        <f ca="1">TEXT(Overig!A1377,"000\,")&amp;TEXT(Overig!B1377,"?00000000")&amp;TEXT(Overig!C1377,""", ""@")&amp;SUBSTITUTE(TEXT(IF(ISTEXT(Overig!D1377),Overig!D1377,10*Overig!D1377),""",""????0;"",""???-0;"",""????0;"", ////"""),"'","""")&amp;SUBSTITUTE(TEXT(Overig!E1377,""",""?00;"",""?-00;"",""?00;"", //"""),"'","""")&amp;SUBSTITUTE(TEXT(IF(ISTEXT(Overig!F1377),Overig!F1377,10*Overig!F1377),""",""????0;"",""???-0;"",""????0;"", ////"""),"'","""")&amp;SUBSTITUTE(TEXT(Overig!G1377,""",""?00;"",""?-00;"",""?00;"", //"""),"'","""")&amp;SUBSTITUTE(TEXT(IF(ISTEXT(Overig!H1377),Overig!H1377,10*Overig!H1377),""",""????0;"",""???-0;"",""????0;"", ////"""),"'","""")&amp;SUBSTITUTE(TEXT(Overig!I1377,""",""?00;"",""?-00;"",""?00;"", //"""),"'","""")&amp;SUBSTITUTE(TEXT(IF(ISTEXT(Overig!J1377),Overig!J1377,10*Overig!J1377),""",""????0;"",""???-0;"",""????0;"", ////"""),"'","""")&amp;SUBSTITUTE(TEXT(Overig!K1377,""",""?00;"",""?-00;"",""?00;"", //"""),"'","""")&amp;SUBSTITUTE(TEXT(Overig!L1377,""",""???0;"",""??-0;"",""???0;"", ///"""),"'","""")&amp;SUBSTITUTE(TEXT(Overig!M1377,""",""?00;"",""?-00;"",""?00;"", //"""),"'","""")&amp;SUBSTITUTE(TEXT(IF(ISTEXT(Overig!N1377),Overig!N1377,10*Overig!N1377),""",""????0;"",""???-0;"",""????0;"", ////"""),"'","""")&amp;SUBSTITUTE(TEXT(Overig!O1377,""",""?00;"",""?-00;"",""?00;"", //"""),"'","""")&amp;SUBSTITUTE(TEXT(IF(ISTEXT(Overig!P1377),Overig!P1377,10*Overig!P1377),""",""????0;"",""???-0;"",""????0;"", ////"""),"'","""")&amp;SUBSTITUTE(TEXT(Overig!Q1377,""",""?00;"",""?-00;"",""?00;"", //"""),"'","""")&amp;SUBSTITUTE(TEXT(Overig!R1377,""",""????0;"",""???-0;"",""????0;"", ////"""),"'","""")&amp;SUBSTITUTE(TEXT(Overig!S1377,""",""?00;"",""?-00;"",""?00;"", //"""),"'","""")&amp;SUBSTITUTE(TEXT(IF(ISTEXT(Overig!T1377),Overig!T1377,10*Overig!T1377),""",""????0;"",""???-0;"",""????0;"", ////"""),"'","""")&amp;SUBSTITUTE(TEXT(Overig!U1377,""",""?00;"",""?-00;"",""?00;"", //"""),"'","""")&amp;SUBSTITUTE(TEXT(Overig!V1377,""",""???0;"",""??-0;"",""???0;"", ///"""),"'","""")&amp;SUBSTITUTE(TEXT(Overig!W1377,""",""?00;"",""?-00;"",""?00;"", //"""),"'","""")</f>
        <v>032, 19401209, 24.00, ////, 07, ////, 07, ////, 07, ////, 07, ///, 07, ////, 07, ////, 07, ////, 07, ////, 07, ///, 07</v>
      </c>
    </row>
    <row r="1378" spans="1:1" x14ac:dyDescent="0.25">
      <c r="A1378" s="12" t="str">
        <f ca="1">TEXT(Overig!A1378,"000\,")&amp;TEXT(Overig!B1378,"?00000000")&amp;TEXT(Overig!C1378,""", ""@")&amp;SUBSTITUTE(TEXT(IF(ISTEXT(Overig!D1378),Overig!D1378,10*Overig!D1378),""",""????0;"",""???-0;"",""????0;"", ////"""),"'","""")&amp;SUBSTITUTE(TEXT(Overig!E1378,""",""?00;"",""?-00;"",""?00;"", //"""),"'","""")&amp;SUBSTITUTE(TEXT(IF(ISTEXT(Overig!F1378),Overig!F1378,10*Overig!F1378),""",""????0;"",""???-0;"",""????0;"", ////"""),"'","""")&amp;SUBSTITUTE(TEXT(Overig!G1378,""",""?00;"",""?-00;"",""?00;"", //"""),"'","""")&amp;SUBSTITUTE(TEXT(IF(ISTEXT(Overig!H1378),Overig!H1378,10*Overig!H1378),""",""????0;"",""???-0;"",""????0;"", ////"""),"'","""")&amp;SUBSTITUTE(TEXT(Overig!I1378,""",""?00;"",""?-00;"",""?00;"", //"""),"'","""")&amp;SUBSTITUTE(TEXT(IF(ISTEXT(Overig!J1378),Overig!J1378,10*Overig!J1378),""",""????0;"",""???-0;"",""????0;"", ////"""),"'","""")&amp;SUBSTITUTE(TEXT(Overig!K1378,""",""?00;"",""?-00;"",""?00;"", //"""),"'","""")&amp;SUBSTITUTE(TEXT(Overig!L1378,""",""???0;"",""??-0;"",""???0;"", ///"""),"'","""")&amp;SUBSTITUTE(TEXT(Overig!M1378,""",""?00;"",""?-00;"",""?00;"", //"""),"'","""")&amp;SUBSTITUTE(TEXT(IF(ISTEXT(Overig!N1378),Overig!N1378,10*Overig!N1378),""",""????0;"",""???-0;"",""????0;"", ////"""),"'","""")&amp;SUBSTITUTE(TEXT(Overig!O1378,""",""?00;"",""?-00;"",""?00;"", //"""),"'","""")&amp;SUBSTITUTE(TEXT(IF(ISTEXT(Overig!P1378),Overig!P1378,10*Overig!P1378),""",""????0;"",""???-0;"",""????0;"", ////"""),"'","""")&amp;SUBSTITUTE(TEXT(Overig!Q1378,""",""?00;"",""?-00;"",""?00;"", //"""),"'","""")&amp;SUBSTITUTE(TEXT(Overig!R1378,""",""????0;"",""???-0;"",""????0;"", ////"""),"'","""")&amp;SUBSTITUTE(TEXT(Overig!S1378,""",""?00;"",""?-00;"",""?00;"", //"""),"'","""")&amp;SUBSTITUTE(TEXT(IF(ISTEXT(Overig!T1378),Overig!T1378,10*Overig!T1378),""",""????0;"",""???-0;"",""????0;"", ////"""),"'","""")&amp;SUBSTITUTE(TEXT(Overig!U1378,""",""?00;"",""?-00;"",""?00;"", //"""),"'","""")&amp;SUBSTITUTE(TEXT(Overig!V1378,""",""???0;"",""??-0;"",""???0;"", ///"""),"'","""")&amp;SUBSTITUTE(TEXT(Overig!W1378,""",""?00;"",""?-00;"",""?00;"", //"""),"'","""")</f>
        <v>032, 19401210, 07.00, ////, 07, ////, 07, ////, 07, ////, 07, ///, 07, ////, 07, ////, 07, ////, 07, ////, 07, ///, 07</v>
      </c>
    </row>
    <row r="1379" spans="1:1" x14ac:dyDescent="0.25">
      <c r="A1379" s="12" t="str">
        <f ca="1">TEXT(Overig!A1379,"000\,")&amp;TEXT(Overig!B1379,"?00000000")&amp;TEXT(Overig!C1379,""", ""@")&amp;SUBSTITUTE(TEXT(IF(ISTEXT(Overig!D1379),Overig!D1379,10*Overig!D1379),""",""????0;"",""???-0;"",""????0;"", ////"""),"'","""")&amp;SUBSTITUTE(TEXT(Overig!E1379,""",""?00;"",""?-00;"",""?00;"", //"""),"'","""")&amp;SUBSTITUTE(TEXT(IF(ISTEXT(Overig!F1379),Overig!F1379,10*Overig!F1379),""",""????0;"",""???-0;"",""????0;"", ////"""),"'","""")&amp;SUBSTITUTE(TEXT(Overig!G1379,""",""?00;"",""?-00;"",""?00;"", //"""),"'","""")&amp;SUBSTITUTE(TEXT(IF(ISTEXT(Overig!H1379),Overig!H1379,10*Overig!H1379),""",""????0;"",""???-0;"",""????0;"", ////"""),"'","""")&amp;SUBSTITUTE(TEXT(Overig!I1379,""",""?00;"",""?-00;"",""?00;"", //"""),"'","""")&amp;SUBSTITUTE(TEXT(IF(ISTEXT(Overig!J1379),Overig!J1379,10*Overig!J1379),""",""????0;"",""???-0;"",""????0;"", ////"""),"'","""")&amp;SUBSTITUTE(TEXT(Overig!K1379,""",""?00;"",""?-00;"",""?00;"", //"""),"'","""")&amp;SUBSTITUTE(TEXT(Overig!L1379,""",""???0;"",""??-0;"",""???0;"", ///"""),"'","""")&amp;SUBSTITUTE(TEXT(Overig!M1379,""",""?00;"",""?-00;"",""?00;"", //"""),"'","""")&amp;SUBSTITUTE(TEXT(IF(ISTEXT(Overig!N1379),Overig!N1379,10*Overig!N1379),""",""????0;"",""???-0;"",""????0;"", ////"""),"'","""")&amp;SUBSTITUTE(TEXT(Overig!O1379,""",""?00;"",""?-00;"",""?00;"", //"""),"'","""")&amp;SUBSTITUTE(TEXT(IF(ISTEXT(Overig!P1379),Overig!P1379,10*Overig!P1379),""",""????0;"",""???-0;"",""????0;"", ////"""),"'","""")&amp;SUBSTITUTE(TEXT(Overig!Q1379,""",""?00;"",""?-00;"",""?00;"", //"""),"'","""")&amp;SUBSTITUTE(TEXT(Overig!R1379,""",""????0;"",""???-0;"",""????0;"", ////"""),"'","""")&amp;SUBSTITUTE(TEXT(Overig!S1379,""",""?00;"",""?-00;"",""?00;"", //"""),"'","""")&amp;SUBSTITUTE(TEXT(IF(ISTEXT(Overig!T1379),Overig!T1379,10*Overig!T1379),""",""????0;"",""???-0;"",""????0;"", ////"""),"'","""")&amp;SUBSTITUTE(TEXT(Overig!U1379,""",""?00;"",""?-00;"",""?00;"", //"""),"'","""")&amp;SUBSTITUTE(TEXT(Overig!V1379,""",""???0;"",""??-0;"",""???0;"", ///"""),"'","""")&amp;SUBSTITUTE(TEXT(Overig!W1379,""",""?00;"",""?-00;"",""?00;"", //"""),"'","""")</f>
        <v>032, 19401210, 12.00, ////, 07, ////, 07, ////, 07, ////, 07, ///, 07, ////, 07, ////, 07, ////, 07, ////, 07, ///, 07</v>
      </c>
    </row>
    <row r="1380" spans="1:1" x14ac:dyDescent="0.25">
      <c r="A1380" s="12" t="str">
        <f ca="1">TEXT(Overig!A1380,"000\,")&amp;TEXT(Overig!B1380,"?00000000")&amp;TEXT(Overig!C1380,""", ""@")&amp;SUBSTITUTE(TEXT(IF(ISTEXT(Overig!D1380),Overig!D1380,10*Overig!D1380),""",""????0;"",""???-0;"",""????0;"", ////"""),"'","""")&amp;SUBSTITUTE(TEXT(Overig!E1380,""",""?00;"",""?-00;"",""?00;"", //"""),"'","""")&amp;SUBSTITUTE(TEXT(IF(ISTEXT(Overig!F1380),Overig!F1380,10*Overig!F1380),""",""????0;"",""???-0;"",""????0;"", ////"""),"'","""")&amp;SUBSTITUTE(TEXT(Overig!G1380,""",""?00;"",""?-00;"",""?00;"", //"""),"'","""")&amp;SUBSTITUTE(TEXT(IF(ISTEXT(Overig!H1380),Overig!H1380,10*Overig!H1380),""",""????0;"",""???-0;"",""????0;"", ////"""),"'","""")&amp;SUBSTITUTE(TEXT(Overig!I1380,""",""?00;"",""?-00;"",""?00;"", //"""),"'","""")&amp;SUBSTITUTE(TEXT(IF(ISTEXT(Overig!J1380),Overig!J1380,10*Overig!J1380),""",""????0;"",""???-0;"",""????0;"", ////"""),"'","""")&amp;SUBSTITUTE(TEXT(Overig!K1380,""",""?00;"",""?-00;"",""?00;"", //"""),"'","""")&amp;SUBSTITUTE(TEXT(Overig!L1380,""",""???0;"",""??-0;"",""???0;"", ///"""),"'","""")&amp;SUBSTITUTE(TEXT(Overig!M1380,""",""?00;"",""?-00;"",""?00;"", //"""),"'","""")&amp;SUBSTITUTE(TEXT(IF(ISTEXT(Overig!N1380),Overig!N1380,10*Overig!N1380),""",""????0;"",""???-0;"",""????0;"", ////"""),"'","""")&amp;SUBSTITUTE(TEXT(Overig!O1380,""",""?00;"",""?-00;"",""?00;"", //"""),"'","""")&amp;SUBSTITUTE(TEXT(IF(ISTEXT(Overig!P1380),Overig!P1380,10*Overig!P1380),""",""????0;"",""???-0;"",""????0;"", ////"""),"'","""")&amp;SUBSTITUTE(TEXT(Overig!Q1380,""",""?00;"",""?-00;"",""?00;"", //"""),"'","""")&amp;SUBSTITUTE(TEXT(Overig!R1380,""",""????0;"",""???-0;"",""????0;"", ////"""),"'","""")&amp;SUBSTITUTE(TEXT(Overig!S1380,""",""?00;"",""?-00;"",""?00;"", //"""),"'","""")&amp;SUBSTITUTE(TEXT(IF(ISTEXT(Overig!T1380),Overig!T1380,10*Overig!T1380),""",""????0;"",""???-0;"",""????0;"", ////"""),"'","""")&amp;SUBSTITUTE(TEXT(Overig!U1380,""",""?00;"",""?-00;"",""?00;"", //"""),"'","""")&amp;SUBSTITUTE(TEXT(Overig!V1380,""",""???0;"",""??-0;"",""???0;"", ///"""),"'","""")&amp;SUBSTITUTE(TEXT(Overig!W1380,""",""?00;"",""?-00;"",""?00;"", //"""),"'","""")</f>
        <v>032, 19401210, 17.00, ////, 07, ////, 07, ////, 07, ////, 07, ///, 07, ////, 07, ////, 07, ////, 07, ////, 07, ///, 07</v>
      </c>
    </row>
    <row r="1381" spans="1:1" x14ac:dyDescent="0.25">
      <c r="A1381" s="12" t="str">
        <f ca="1">TEXT(Overig!A1381,"000\,")&amp;TEXT(Overig!B1381,"?00000000")&amp;TEXT(Overig!C1381,""", ""@")&amp;SUBSTITUTE(TEXT(IF(ISTEXT(Overig!D1381),Overig!D1381,10*Overig!D1381),""",""????0;"",""???-0;"",""????0;"", ////"""),"'","""")&amp;SUBSTITUTE(TEXT(Overig!E1381,""",""?00;"",""?-00;"",""?00;"", //"""),"'","""")&amp;SUBSTITUTE(TEXT(IF(ISTEXT(Overig!F1381),Overig!F1381,10*Overig!F1381),""",""????0;"",""???-0;"",""????0;"", ////"""),"'","""")&amp;SUBSTITUTE(TEXT(Overig!G1381,""",""?00;"",""?-00;"",""?00;"", //"""),"'","""")&amp;SUBSTITUTE(TEXT(IF(ISTEXT(Overig!H1381),Overig!H1381,10*Overig!H1381),""",""????0;"",""???-0;"",""????0;"", ////"""),"'","""")&amp;SUBSTITUTE(TEXT(Overig!I1381,""",""?00;"",""?-00;"",""?00;"", //"""),"'","""")&amp;SUBSTITUTE(TEXT(IF(ISTEXT(Overig!J1381),Overig!J1381,10*Overig!J1381),""",""????0;"",""???-0;"",""????0;"", ////"""),"'","""")&amp;SUBSTITUTE(TEXT(Overig!K1381,""",""?00;"",""?-00;"",""?00;"", //"""),"'","""")&amp;SUBSTITUTE(TEXT(Overig!L1381,""",""???0;"",""??-0;"",""???0;"", ///"""),"'","""")&amp;SUBSTITUTE(TEXT(Overig!M1381,""",""?00;"",""?-00;"",""?00;"", //"""),"'","""")&amp;SUBSTITUTE(TEXT(IF(ISTEXT(Overig!N1381),Overig!N1381,10*Overig!N1381),""",""????0;"",""???-0;"",""????0;"", ////"""),"'","""")&amp;SUBSTITUTE(TEXT(Overig!O1381,""",""?00;"",""?-00;"",""?00;"", //"""),"'","""")&amp;SUBSTITUTE(TEXT(IF(ISTEXT(Overig!P1381),Overig!P1381,10*Overig!P1381),""",""????0;"",""???-0;"",""????0;"", ////"""),"'","""")&amp;SUBSTITUTE(TEXT(Overig!Q1381,""",""?00;"",""?-00;"",""?00;"", //"""),"'","""")&amp;SUBSTITUTE(TEXT(Overig!R1381,""",""????0;"",""???-0;"",""????0;"", ////"""),"'","""")&amp;SUBSTITUTE(TEXT(Overig!S1381,""",""?00;"",""?-00;"",""?00;"", //"""),"'","""")&amp;SUBSTITUTE(TEXT(IF(ISTEXT(Overig!T1381),Overig!T1381,10*Overig!T1381),""",""????0;"",""???-0;"",""????0;"", ////"""),"'","""")&amp;SUBSTITUTE(TEXT(Overig!U1381,""",""?00;"",""?-00;"",""?00;"", //"""),"'","""")&amp;SUBSTITUTE(TEXT(Overig!V1381,""",""???0;"",""??-0;"",""???0;"", ///"""),"'","""")&amp;SUBSTITUTE(TEXT(Overig!W1381,""",""?00;"",""?-00;"",""?00;"", //"""),"'","""")</f>
        <v>032, 19401210, 24.00, ////, 07, ////, 07, ////, 07, ////, 07, ///, 07, ////, 07, ////, 07, ////, 07, ////, 07, ///, 07</v>
      </c>
    </row>
    <row r="1382" spans="1:1" x14ac:dyDescent="0.25">
      <c r="A1382" s="12" t="str">
        <f ca="1">TEXT(Overig!A1382,"000\,")&amp;TEXT(Overig!B1382,"?00000000")&amp;TEXT(Overig!C1382,""", ""@")&amp;SUBSTITUTE(TEXT(IF(ISTEXT(Overig!D1382),Overig!D1382,10*Overig!D1382),""",""????0;"",""???-0;"",""????0;"", ////"""),"'","""")&amp;SUBSTITUTE(TEXT(Overig!E1382,""",""?00;"",""?-00;"",""?00;"", //"""),"'","""")&amp;SUBSTITUTE(TEXT(IF(ISTEXT(Overig!F1382),Overig!F1382,10*Overig!F1382),""",""????0;"",""???-0;"",""????0;"", ////"""),"'","""")&amp;SUBSTITUTE(TEXT(Overig!G1382,""",""?00;"",""?-00;"",""?00;"", //"""),"'","""")&amp;SUBSTITUTE(TEXT(IF(ISTEXT(Overig!H1382),Overig!H1382,10*Overig!H1382),""",""????0;"",""???-0;"",""????0;"", ////"""),"'","""")&amp;SUBSTITUTE(TEXT(Overig!I1382,""",""?00;"",""?-00;"",""?00;"", //"""),"'","""")&amp;SUBSTITUTE(TEXT(IF(ISTEXT(Overig!J1382),Overig!J1382,10*Overig!J1382),""",""????0;"",""???-0;"",""????0;"", ////"""),"'","""")&amp;SUBSTITUTE(TEXT(Overig!K1382,""",""?00;"",""?-00;"",""?00;"", //"""),"'","""")&amp;SUBSTITUTE(TEXT(Overig!L1382,""",""???0;"",""??-0;"",""???0;"", ///"""),"'","""")&amp;SUBSTITUTE(TEXT(Overig!M1382,""",""?00;"",""?-00;"",""?00;"", //"""),"'","""")&amp;SUBSTITUTE(TEXT(IF(ISTEXT(Overig!N1382),Overig!N1382,10*Overig!N1382),""",""????0;"",""???-0;"",""????0;"", ////"""),"'","""")&amp;SUBSTITUTE(TEXT(Overig!O1382,""",""?00;"",""?-00;"",""?00;"", //"""),"'","""")&amp;SUBSTITUTE(TEXT(IF(ISTEXT(Overig!P1382),Overig!P1382,10*Overig!P1382),""",""????0;"",""???-0;"",""????0;"", ////"""),"'","""")&amp;SUBSTITUTE(TEXT(Overig!Q1382,""",""?00;"",""?-00;"",""?00;"", //"""),"'","""")&amp;SUBSTITUTE(TEXT(Overig!R1382,""",""????0;"",""???-0;"",""????0;"", ////"""),"'","""")&amp;SUBSTITUTE(TEXT(Overig!S1382,""",""?00;"",""?-00;"",""?00;"", //"""),"'","""")&amp;SUBSTITUTE(TEXT(IF(ISTEXT(Overig!T1382),Overig!T1382,10*Overig!T1382),""",""????0;"",""???-0;"",""????0;"", ////"""),"'","""")&amp;SUBSTITUTE(TEXT(Overig!U1382,""",""?00;"",""?-00;"",""?00;"", //"""),"'","""")&amp;SUBSTITUTE(TEXT(Overig!V1382,""",""???0;"",""??-0;"",""???0;"", ///"""),"'","""")&amp;SUBSTITUTE(TEXT(Overig!W1382,""",""?00;"",""?-00;"",""?00;"", //"""),"'","""")</f>
        <v>032, 19401211, 07.00, ////, 07, ////, 07, ////, 07, ////, 07, ///, 07, ////, 07, ////, 07, ////, 07, ////, 07, ///, 07</v>
      </c>
    </row>
    <row r="1383" spans="1:1" x14ac:dyDescent="0.25">
      <c r="A1383" s="12" t="str">
        <f ca="1">TEXT(Overig!A1383,"000\,")&amp;TEXT(Overig!B1383,"?00000000")&amp;TEXT(Overig!C1383,""", ""@")&amp;SUBSTITUTE(TEXT(IF(ISTEXT(Overig!D1383),Overig!D1383,10*Overig!D1383),""",""????0;"",""???-0;"",""????0;"", ////"""),"'","""")&amp;SUBSTITUTE(TEXT(Overig!E1383,""",""?00;"",""?-00;"",""?00;"", //"""),"'","""")&amp;SUBSTITUTE(TEXT(IF(ISTEXT(Overig!F1383),Overig!F1383,10*Overig!F1383),""",""????0;"",""???-0;"",""????0;"", ////"""),"'","""")&amp;SUBSTITUTE(TEXT(Overig!G1383,""",""?00;"",""?-00;"",""?00;"", //"""),"'","""")&amp;SUBSTITUTE(TEXT(IF(ISTEXT(Overig!H1383),Overig!H1383,10*Overig!H1383),""",""????0;"",""???-0;"",""????0;"", ////"""),"'","""")&amp;SUBSTITUTE(TEXT(Overig!I1383,""",""?00;"",""?-00;"",""?00;"", //"""),"'","""")&amp;SUBSTITUTE(TEXT(IF(ISTEXT(Overig!J1383),Overig!J1383,10*Overig!J1383),""",""????0;"",""???-0;"",""????0;"", ////"""),"'","""")&amp;SUBSTITUTE(TEXT(Overig!K1383,""",""?00;"",""?-00;"",""?00;"", //"""),"'","""")&amp;SUBSTITUTE(TEXT(Overig!L1383,""",""???0;"",""??-0;"",""???0;"", ///"""),"'","""")&amp;SUBSTITUTE(TEXT(Overig!M1383,""",""?00;"",""?-00;"",""?00;"", //"""),"'","""")&amp;SUBSTITUTE(TEXT(IF(ISTEXT(Overig!N1383),Overig!N1383,10*Overig!N1383),""",""????0;"",""???-0;"",""????0;"", ////"""),"'","""")&amp;SUBSTITUTE(TEXT(Overig!O1383,""",""?00;"",""?-00;"",""?00;"", //"""),"'","""")&amp;SUBSTITUTE(TEXT(IF(ISTEXT(Overig!P1383),Overig!P1383,10*Overig!P1383),""",""????0;"",""???-0;"",""????0;"", ////"""),"'","""")&amp;SUBSTITUTE(TEXT(Overig!Q1383,""",""?00;"",""?-00;"",""?00;"", //"""),"'","""")&amp;SUBSTITUTE(TEXT(Overig!R1383,""",""????0;"",""???-0;"",""????0;"", ////"""),"'","""")&amp;SUBSTITUTE(TEXT(Overig!S1383,""",""?00;"",""?-00;"",""?00;"", //"""),"'","""")&amp;SUBSTITUTE(TEXT(IF(ISTEXT(Overig!T1383),Overig!T1383,10*Overig!T1383),""",""????0;"",""???-0;"",""????0;"", ////"""),"'","""")&amp;SUBSTITUTE(TEXT(Overig!U1383,""",""?00;"",""?-00;"",""?00;"", //"""),"'","""")&amp;SUBSTITUTE(TEXT(Overig!V1383,""",""???0;"",""??-0;"",""???0;"", ///"""),"'","""")&amp;SUBSTITUTE(TEXT(Overig!W1383,""",""?00;"",""?-00;"",""?00;"", //"""),"'","""")</f>
        <v>032, 19401211, 12.00, ////, 07, ////, 07, ////, 07, ////, 07, ///, 07, ////, 07, ////, 07, ////, 07, ////, 07, ///, 07</v>
      </c>
    </row>
    <row r="1384" spans="1:1" x14ac:dyDescent="0.25">
      <c r="A1384" s="12" t="str">
        <f ca="1">TEXT(Overig!A1384,"000\,")&amp;TEXT(Overig!B1384,"?00000000")&amp;TEXT(Overig!C1384,""", ""@")&amp;SUBSTITUTE(TEXT(IF(ISTEXT(Overig!D1384),Overig!D1384,10*Overig!D1384),""",""????0;"",""???-0;"",""????0;"", ////"""),"'","""")&amp;SUBSTITUTE(TEXT(Overig!E1384,""",""?00;"",""?-00;"",""?00;"", //"""),"'","""")&amp;SUBSTITUTE(TEXT(IF(ISTEXT(Overig!F1384),Overig!F1384,10*Overig!F1384),""",""????0;"",""???-0;"",""????0;"", ////"""),"'","""")&amp;SUBSTITUTE(TEXT(Overig!G1384,""",""?00;"",""?-00;"",""?00;"", //"""),"'","""")&amp;SUBSTITUTE(TEXT(IF(ISTEXT(Overig!H1384),Overig!H1384,10*Overig!H1384),""",""????0;"",""???-0;"",""????0;"", ////"""),"'","""")&amp;SUBSTITUTE(TEXT(Overig!I1384,""",""?00;"",""?-00;"",""?00;"", //"""),"'","""")&amp;SUBSTITUTE(TEXT(IF(ISTEXT(Overig!J1384),Overig!J1384,10*Overig!J1384),""",""????0;"",""???-0;"",""????0;"", ////"""),"'","""")&amp;SUBSTITUTE(TEXT(Overig!K1384,""",""?00;"",""?-00;"",""?00;"", //"""),"'","""")&amp;SUBSTITUTE(TEXT(Overig!L1384,""",""???0;"",""??-0;"",""???0;"", ///"""),"'","""")&amp;SUBSTITUTE(TEXT(Overig!M1384,""",""?00;"",""?-00;"",""?00;"", //"""),"'","""")&amp;SUBSTITUTE(TEXT(IF(ISTEXT(Overig!N1384),Overig!N1384,10*Overig!N1384),""",""????0;"",""???-0;"",""????0;"", ////"""),"'","""")&amp;SUBSTITUTE(TEXT(Overig!O1384,""",""?00;"",""?-00;"",""?00;"", //"""),"'","""")&amp;SUBSTITUTE(TEXT(IF(ISTEXT(Overig!P1384),Overig!P1384,10*Overig!P1384),""",""????0;"",""???-0;"",""????0;"", ////"""),"'","""")&amp;SUBSTITUTE(TEXT(Overig!Q1384,""",""?00;"",""?-00;"",""?00;"", //"""),"'","""")&amp;SUBSTITUTE(TEXT(Overig!R1384,""",""????0;"",""???-0;"",""????0;"", ////"""),"'","""")&amp;SUBSTITUTE(TEXT(Overig!S1384,""",""?00;"",""?-00;"",""?00;"", //"""),"'","""")&amp;SUBSTITUTE(TEXT(IF(ISTEXT(Overig!T1384),Overig!T1384,10*Overig!T1384),""",""????0;"",""???-0;"",""????0;"", ////"""),"'","""")&amp;SUBSTITUTE(TEXT(Overig!U1384,""",""?00;"",""?-00;"",""?00;"", //"""),"'","""")&amp;SUBSTITUTE(TEXT(Overig!V1384,""",""???0;"",""??-0;"",""???0;"", ///"""),"'","""")&amp;SUBSTITUTE(TEXT(Overig!W1384,""",""?00;"",""?-00;"",""?00;"", //"""),"'","""")</f>
        <v>032, 19401211, 17.00, ////, 07, ////, 07, ////, 07, ////, 07, ///, 07, ////, 07, ////, 07, ////, 07, ////, 07, ///, 07</v>
      </c>
    </row>
    <row r="1385" spans="1:1" x14ac:dyDescent="0.25">
      <c r="A1385" s="12" t="str">
        <f ca="1">TEXT(Overig!A1385,"000\,")&amp;TEXT(Overig!B1385,"?00000000")&amp;TEXT(Overig!C1385,""", ""@")&amp;SUBSTITUTE(TEXT(IF(ISTEXT(Overig!D1385),Overig!D1385,10*Overig!D1385),""",""????0;"",""???-0;"",""????0;"", ////"""),"'","""")&amp;SUBSTITUTE(TEXT(Overig!E1385,""",""?00;"",""?-00;"",""?00;"", //"""),"'","""")&amp;SUBSTITUTE(TEXT(IF(ISTEXT(Overig!F1385),Overig!F1385,10*Overig!F1385),""",""????0;"",""???-0;"",""????0;"", ////"""),"'","""")&amp;SUBSTITUTE(TEXT(Overig!G1385,""",""?00;"",""?-00;"",""?00;"", //"""),"'","""")&amp;SUBSTITUTE(TEXT(IF(ISTEXT(Overig!H1385),Overig!H1385,10*Overig!H1385),""",""????0;"",""???-0;"",""????0;"", ////"""),"'","""")&amp;SUBSTITUTE(TEXT(Overig!I1385,""",""?00;"",""?-00;"",""?00;"", //"""),"'","""")&amp;SUBSTITUTE(TEXT(IF(ISTEXT(Overig!J1385),Overig!J1385,10*Overig!J1385),""",""????0;"",""???-0;"",""????0;"", ////"""),"'","""")&amp;SUBSTITUTE(TEXT(Overig!K1385,""",""?00;"",""?-00;"",""?00;"", //"""),"'","""")&amp;SUBSTITUTE(TEXT(Overig!L1385,""",""???0;"",""??-0;"",""???0;"", ///"""),"'","""")&amp;SUBSTITUTE(TEXT(Overig!M1385,""",""?00;"",""?-00;"",""?00;"", //"""),"'","""")&amp;SUBSTITUTE(TEXT(IF(ISTEXT(Overig!N1385),Overig!N1385,10*Overig!N1385),""",""????0;"",""???-0;"",""????0;"", ////"""),"'","""")&amp;SUBSTITUTE(TEXT(Overig!O1385,""",""?00;"",""?-00;"",""?00;"", //"""),"'","""")&amp;SUBSTITUTE(TEXT(IF(ISTEXT(Overig!P1385),Overig!P1385,10*Overig!P1385),""",""????0;"",""???-0;"",""????0;"", ////"""),"'","""")&amp;SUBSTITUTE(TEXT(Overig!Q1385,""",""?00;"",""?-00;"",""?00;"", //"""),"'","""")&amp;SUBSTITUTE(TEXT(Overig!R1385,""",""????0;"",""???-0;"",""????0;"", ////"""),"'","""")&amp;SUBSTITUTE(TEXT(Overig!S1385,""",""?00;"",""?-00;"",""?00;"", //"""),"'","""")&amp;SUBSTITUTE(TEXT(IF(ISTEXT(Overig!T1385),Overig!T1385,10*Overig!T1385),""",""????0;"",""???-0;"",""????0;"", ////"""),"'","""")&amp;SUBSTITUTE(TEXT(Overig!U1385,""",""?00;"",""?-00;"",""?00;"", //"""),"'","""")&amp;SUBSTITUTE(TEXT(Overig!V1385,""",""???0;"",""??-0;"",""???0;"", ///"""),"'","""")&amp;SUBSTITUTE(TEXT(Overig!W1385,""",""?00;"",""?-00;"",""?00;"", //"""),"'","""")</f>
        <v>032, 19401211, 24.00, ////, 07, ////, 07, ////, 07, ////, 07, ///, 07, ////, 07, ////, 07, ////, 07, ////, 07, ///, 07</v>
      </c>
    </row>
    <row r="1386" spans="1:1" x14ac:dyDescent="0.25">
      <c r="A1386" s="12" t="str">
        <f ca="1">TEXT(Overig!A1386,"000\,")&amp;TEXT(Overig!B1386,"?00000000")&amp;TEXT(Overig!C1386,""", ""@")&amp;SUBSTITUTE(TEXT(IF(ISTEXT(Overig!D1386),Overig!D1386,10*Overig!D1386),""",""????0;"",""???-0;"",""????0;"", ////"""),"'","""")&amp;SUBSTITUTE(TEXT(Overig!E1386,""",""?00;"",""?-00;"",""?00;"", //"""),"'","""")&amp;SUBSTITUTE(TEXT(IF(ISTEXT(Overig!F1386),Overig!F1386,10*Overig!F1386),""",""????0;"",""???-0;"",""????0;"", ////"""),"'","""")&amp;SUBSTITUTE(TEXT(Overig!G1386,""",""?00;"",""?-00;"",""?00;"", //"""),"'","""")&amp;SUBSTITUTE(TEXT(IF(ISTEXT(Overig!H1386),Overig!H1386,10*Overig!H1386),""",""????0;"",""???-0;"",""????0;"", ////"""),"'","""")&amp;SUBSTITUTE(TEXT(Overig!I1386,""",""?00;"",""?-00;"",""?00;"", //"""),"'","""")&amp;SUBSTITUTE(TEXT(IF(ISTEXT(Overig!J1386),Overig!J1386,10*Overig!J1386),""",""????0;"",""???-0;"",""????0;"", ////"""),"'","""")&amp;SUBSTITUTE(TEXT(Overig!K1386,""",""?00;"",""?-00;"",""?00;"", //"""),"'","""")&amp;SUBSTITUTE(TEXT(Overig!L1386,""",""???0;"",""??-0;"",""???0;"", ///"""),"'","""")&amp;SUBSTITUTE(TEXT(Overig!M1386,""",""?00;"",""?-00;"",""?00;"", //"""),"'","""")&amp;SUBSTITUTE(TEXT(IF(ISTEXT(Overig!N1386),Overig!N1386,10*Overig!N1386),""",""????0;"",""???-0;"",""????0;"", ////"""),"'","""")&amp;SUBSTITUTE(TEXT(Overig!O1386,""",""?00;"",""?-00;"",""?00;"", //"""),"'","""")&amp;SUBSTITUTE(TEXT(IF(ISTEXT(Overig!P1386),Overig!P1386,10*Overig!P1386),""",""????0;"",""???-0;"",""????0;"", ////"""),"'","""")&amp;SUBSTITUTE(TEXT(Overig!Q1386,""",""?00;"",""?-00;"",""?00;"", //"""),"'","""")&amp;SUBSTITUTE(TEXT(Overig!R1386,""",""????0;"",""???-0;"",""????0;"", ////"""),"'","""")&amp;SUBSTITUTE(TEXT(Overig!S1386,""",""?00;"",""?-00;"",""?00;"", //"""),"'","""")&amp;SUBSTITUTE(TEXT(IF(ISTEXT(Overig!T1386),Overig!T1386,10*Overig!T1386),""",""????0;"",""???-0;"",""????0;"", ////"""),"'","""")&amp;SUBSTITUTE(TEXT(Overig!U1386,""",""?00;"",""?-00;"",""?00;"", //"""),"'","""")&amp;SUBSTITUTE(TEXT(Overig!V1386,""",""???0;"",""??-0;"",""???0;"", ///"""),"'","""")&amp;SUBSTITUTE(TEXT(Overig!W1386,""",""?00;"",""?-00;"",""?00;"", //"""),"'","""")</f>
        <v>032, 19401212, 07.00, ////, 07, ////, 07, ////, 07, ////, 07, ///, 07, ////, 07, ////, 07, ////, 07, ////, 07, ///, 07</v>
      </c>
    </row>
    <row r="1387" spans="1:1" x14ac:dyDescent="0.25">
      <c r="A1387" s="12" t="str">
        <f ca="1">TEXT(Overig!A1387,"000\,")&amp;TEXT(Overig!B1387,"?00000000")&amp;TEXT(Overig!C1387,""", ""@")&amp;SUBSTITUTE(TEXT(IF(ISTEXT(Overig!D1387),Overig!D1387,10*Overig!D1387),""",""????0;"",""???-0;"",""????0;"", ////"""),"'","""")&amp;SUBSTITUTE(TEXT(Overig!E1387,""",""?00;"",""?-00;"",""?00;"", //"""),"'","""")&amp;SUBSTITUTE(TEXT(IF(ISTEXT(Overig!F1387),Overig!F1387,10*Overig!F1387),""",""????0;"",""???-0;"",""????0;"", ////"""),"'","""")&amp;SUBSTITUTE(TEXT(Overig!G1387,""",""?00;"",""?-00;"",""?00;"", //"""),"'","""")&amp;SUBSTITUTE(TEXT(IF(ISTEXT(Overig!H1387),Overig!H1387,10*Overig!H1387),""",""????0;"",""???-0;"",""????0;"", ////"""),"'","""")&amp;SUBSTITUTE(TEXT(Overig!I1387,""",""?00;"",""?-00;"",""?00;"", //"""),"'","""")&amp;SUBSTITUTE(TEXT(IF(ISTEXT(Overig!J1387),Overig!J1387,10*Overig!J1387),""",""????0;"",""???-0;"",""????0;"", ////"""),"'","""")&amp;SUBSTITUTE(TEXT(Overig!K1387,""",""?00;"",""?-00;"",""?00;"", //"""),"'","""")&amp;SUBSTITUTE(TEXT(Overig!L1387,""",""???0;"",""??-0;"",""???0;"", ///"""),"'","""")&amp;SUBSTITUTE(TEXT(Overig!M1387,""",""?00;"",""?-00;"",""?00;"", //"""),"'","""")&amp;SUBSTITUTE(TEXT(IF(ISTEXT(Overig!N1387),Overig!N1387,10*Overig!N1387),""",""????0;"",""???-0;"",""????0;"", ////"""),"'","""")&amp;SUBSTITUTE(TEXT(Overig!O1387,""",""?00;"",""?-00;"",""?00;"", //"""),"'","""")&amp;SUBSTITUTE(TEXT(IF(ISTEXT(Overig!P1387),Overig!P1387,10*Overig!P1387),""",""????0;"",""???-0;"",""????0;"", ////"""),"'","""")&amp;SUBSTITUTE(TEXT(Overig!Q1387,""",""?00;"",""?-00;"",""?00;"", //"""),"'","""")&amp;SUBSTITUTE(TEXT(Overig!R1387,""",""????0;"",""???-0;"",""????0;"", ////"""),"'","""")&amp;SUBSTITUTE(TEXT(Overig!S1387,""",""?00;"",""?-00;"",""?00;"", //"""),"'","""")&amp;SUBSTITUTE(TEXT(IF(ISTEXT(Overig!T1387),Overig!T1387,10*Overig!T1387),""",""????0;"",""???-0;"",""????0;"", ////"""),"'","""")&amp;SUBSTITUTE(TEXT(Overig!U1387,""",""?00;"",""?-00;"",""?00;"", //"""),"'","""")&amp;SUBSTITUTE(TEXT(Overig!V1387,""",""???0;"",""??-0;"",""???0;"", ///"""),"'","""")&amp;SUBSTITUTE(TEXT(Overig!W1387,""",""?00;"",""?-00;"",""?00;"", //"""),"'","""")</f>
        <v>032, 19401212, 12.00, ////, 07, ////, 07, ////, 07, ////, 07, ///, 07, ////, 07, ////, 07, ////, 07, ////, 07, ///, 07</v>
      </c>
    </row>
    <row r="1388" spans="1:1" x14ac:dyDescent="0.25">
      <c r="A1388" s="12" t="str">
        <f ca="1">TEXT(Overig!A1388,"000\,")&amp;TEXT(Overig!B1388,"?00000000")&amp;TEXT(Overig!C1388,""", ""@")&amp;SUBSTITUTE(TEXT(IF(ISTEXT(Overig!D1388),Overig!D1388,10*Overig!D1388),""",""????0;"",""???-0;"",""????0;"", ////"""),"'","""")&amp;SUBSTITUTE(TEXT(Overig!E1388,""",""?00;"",""?-00;"",""?00;"", //"""),"'","""")&amp;SUBSTITUTE(TEXT(IF(ISTEXT(Overig!F1388),Overig!F1388,10*Overig!F1388),""",""????0;"",""???-0;"",""????0;"", ////"""),"'","""")&amp;SUBSTITUTE(TEXT(Overig!G1388,""",""?00;"",""?-00;"",""?00;"", //"""),"'","""")&amp;SUBSTITUTE(TEXT(IF(ISTEXT(Overig!H1388),Overig!H1388,10*Overig!H1388),""",""????0;"",""???-0;"",""????0;"", ////"""),"'","""")&amp;SUBSTITUTE(TEXT(Overig!I1388,""",""?00;"",""?-00;"",""?00;"", //"""),"'","""")&amp;SUBSTITUTE(TEXT(IF(ISTEXT(Overig!J1388),Overig!J1388,10*Overig!J1388),""",""????0;"",""???-0;"",""????0;"", ////"""),"'","""")&amp;SUBSTITUTE(TEXT(Overig!K1388,""",""?00;"",""?-00;"",""?00;"", //"""),"'","""")&amp;SUBSTITUTE(TEXT(Overig!L1388,""",""???0;"",""??-0;"",""???0;"", ///"""),"'","""")&amp;SUBSTITUTE(TEXT(Overig!M1388,""",""?00;"",""?-00;"",""?00;"", //"""),"'","""")&amp;SUBSTITUTE(TEXT(IF(ISTEXT(Overig!N1388),Overig!N1388,10*Overig!N1388),""",""????0;"",""???-0;"",""????0;"", ////"""),"'","""")&amp;SUBSTITUTE(TEXT(Overig!O1388,""",""?00;"",""?-00;"",""?00;"", //"""),"'","""")&amp;SUBSTITUTE(TEXT(IF(ISTEXT(Overig!P1388),Overig!P1388,10*Overig!P1388),""",""????0;"",""???-0;"",""????0;"", ////"""),"'","""")&amp;SUBSTITUTE(TEXT(Overig!Q1388,""",""?00;"",""?-00;"",""?00;"", //"""),"'","""")&amp;SUBSTITUTE(TEXT(Overig!R1388,""",""????0;"",""???-0;"",""????0;"", ////"""),"'","""")&amp;SUBSTITUTE(TEXT(Overig!S1388,""",""?00;"",""?-00;"",""?00;"", //"""),"'","""")&amp;SUBSTITUTE(TEXT(IF(ISTEXT(Overig!T1388),Overig!T1388,10*Overig!T1388),""",""????0;"",""???-0;"",""????0;"", ////"""),"'","""")&amp;SUBSTITUTE(TEXT(Overig!U1388,""",""?00;"",""?-00;"",""?00;"", //"""),"'","""")&amp;SUBSTITUTE(TEXT(Overig!V1388,""",""???0;"",""??-0;"",""???0;"", ///"""),"'","""")&amp;SUBSTITUTE(TEXT(Overig!W1388,""",""?00;"",""?-00;"",""?00;"", //"""),"'","""")</f>
        <v>032, 19401212, 17.00, ////, 07, ////, 07, ////, 07, ////, 07, ///, 07, ////, 07, ////, 07, ////, 07, ////, 07, ///, 07</v>
      </c>
    </row>
    <row r="1389" spans="1:1" x14ac:dyDescent="0.25">
      <c r="A1389" s="12" t="str">
        <f ca="1">TEXT(Overig!A1389,"000\,")&amp;TEXT(Overig!B1389,"?00000000")&amp;TEXT(Overig!C1389,""", ""@")&amp;SUBSTITUTE(TEXT(IF(ISTEXT(Overig!D1389),Overig!D1389,10*Overig!D1389),""",""????0;"",""???-0;"",""????0;"", ////"""),"'","""")&amp;SUBSTITUTE(TEXT(Overig!E1389,""",""?00;"",""?-00;"",""?00;"", //"""),"'","""")&amp;SUBSTITUTE(TEXT(IF(ISTEXT(Overig!F1389),Overig!F1389,10*Overig!F1389),""",""????0;"",""???-0;"",""????0;"", ////"""),"'","""")&amp;SUBSTITUTE(TEXT(Overig!G1389,""",""?00;"",""?-00;"",""?00;"", //"""),"'","""")&amp;SUBSTITUTE(TEXT(IF(ISTEXT(Overig!H1389),Overig!H1389,10*Overig!H1389),""",""????0;"",""???-0;"",""????0;"", ////"""),"'","""")&amp;SUBSTITUTE(TEXT(Overig!I1389,""",""?00;"",""?-00;"",""?00;"", //"""),"'","""")&amp;SUBSTITUTE(TEXT(IF(ISTEXT(Overig!J1389),Overig!J1389,10*Overig!J1389),""",""????0;"",""???-0;"",""????0;"", ////"""),"'","""")&amp;SUBSTITUTE(TEXT(Overig!K1389,""",""?00;"",""?-00;"",""?00;"", //"""),"'","""")&amp;SUBSTITUTE(TEXT(Overig!L1389,""",""???0;"",""??-0;"",""???0;"", ///"""),"'","""")&amp;SUBSTITUTE(TEXT(Overig!M1389,""",""?00;"",""?-00;"",""?00;"", //"""),"'","""")&amp;SUBSTITUTE(TEXT(IF(ISTEXT(Overig!N1389),Overig!N1389,10*Overig!N1389),""",""????0;"",""???-0;"",""????0;"", ////"""),"'","""")&amp;SUBSTITUTE(TEXT(Overig!O1389,""",""?00;"",""?-00;"",""?00;"", //"""),"'","""")&amp;SUBSTITUTE(TEXT(IF(ISTEXT(Overig!P1389),Overig!P1389,10*Overig!P1389),""",""????0;"",""???-0;"",""????0;"", ////"""),"'","""")&amp;SUBSTITUTE(TEXT(Overig!Q1389,""",""?00;"",""?-00;"",""?00;"", //"""),"'","""")&amp;SUBSTITUTE(TEXT(Overig!R1389,""",""????0;"",""???-0;"",""????0;"", ////"""),"'","""")&amp;SUBSTITUTE(TEXT(Overig!S1389,""",""?00;"",""?-00;"",""?00;"", //"""),"'","""")&amp;SUBSTITUTE(TEXT(IF(ISTEXT(Overig!T1389),Overig!T1389,10*Overig!T1389),""",""????0;"",""???-0;"",""????0;"", ////"""),"'","""")&amp;SUBSTITUTE(TEXT(Overig!U1389,""",""?00;"",""?-00;"",""?00;"", //"""),"'","""")&amp;SUBSTITUTE(TEXT(Overig!V1389,""",""???0;"",""??-0;"",""???0;"", ///"""),"'","""")&amp;SUBSTITUTE(TEXT(Overig!W1389,""",""?00;"",""?-00;"",""?00;"", //"""),"'","""")</f>
        <v>032, 19401212, 24.00, ////, 07, ////, 07, ////, 07, ////, 07, ///, 07, ////, 07, ////, 07, ////, 07, ////, 07, ///, 07</v>
      </c>
    </row>
    <row r="1390" spans="1:1" x14ac:dyDescent="0.25">
      <c r="A1390" s="12" t="str">
        <f ca="1">TEXT(Overig!A1390,"000\,")&amp;TEXT(Overig!B1390,"?00000000")&amp;TEXT(Overig!C1390,""", ""@")&amp;SUBSTITUTE(TEXT(IF(ISTEXT(Overig!D1390),Overig!D1390,10*Overig!D1390),""",""????0;"",""???-0;"",""????0;"", ////"""),"'","""")&amp;SUBSTITUTE(TEXT(Overig!E1390,""",""?00;"",""?-00;"",""?00;"", //"""),"'","""")&amp;SUBSTITUTE(TEXT(IF(ISTEXT(Overig!F1390),Overig!F1390,10*Overig!F1390),""",""????0;"",""???-0;"",""????0;"", ////"""),"'","""")&amp;SUBSTITUTE(TEXT(Overig!G1390,""",""?00;"",""?-00;"",""?00;"", //"""),"'","""")&amp;SUBSTITUTE(TEXT(IF(ISTEXT(Overig!H1390),Overig!H1390,10*Overig!H1390),""",""????0;"",""???-0;"",""????0;"", ////"""),"'","""")&amp;SUBSTITUTE(TEXT(Overig!I1390,""",""?00;"",""?-00;"",""?00;"", //"""),"'","""")&amp;SUBSTITUTE(TEXT(IF(ISTEXT(Overig!J1390),Overig!J1390,10*Overig!J1390),""",""????0;"",""???-0;"",""????0;"", ////"""),"'","""")&amp;SUBSTITUTE(TEXT(Overig!K1390,""",""?00;"",""?-00;"",""?00;"", //"""),"'","""")&amp;SUBSTITUTE(TEXT(Overig!L1390,""",""???0;"",""??-0;"",""???0;"", ///"""),"'","""")&amp;SUBSTITUTE(TEXT(Overig!M1390,""",""?00;"",""?-00;"",""?00;"", //"""),"'","""")&amp;SUBSTITUTE(TEXT(IF(ISTEXT(Overig!N1390),Overig!N1390,10*Overig!N1390),""",""????0;"",""???-0;"",""????0;"", ////"""),"'","""")&amp;SUBSTITUTE(TEXT(Overig!O1390,""",""?00;"",""?-00;"",""?00;"", //"""),"'","""")&amp;SUBSTITUTE(TEXT(IF(ISTEXT(Overig!P1390),Overig!P1390,10*Overig!P1390),""",""????0;"",""???-0;"",""????0;"", ////"""),"'","""")&amp;SUBSTITUTE(TEXT(Overig!Q1390,""",""?00;"",""?-00;"",""?00;"", //"""),"'","""")&amp;SUBSTITUTE(TEXT(Overig!R1390,""",""????0;"",""???-0;"",""????0;"", ////"""),"'","""")&amp;SUBSTITUTE(TEXT(Overig!S1390,""",""?00;"",""?-00;"",""?00;"", //"""),"'","""")&amp;SUBSTITUTE(TEXT(IF(ISTEXT(Overig!T1390),Overig!T1390,10*Overig!T1390),""",""????0;"",""???-0;"",""????0;"", ////"""),"'","""")&amp;SUBSTITUTE(TEXT(Overig!U1390,""",""?00;"",""?-00;"",""?00;"", //"""),"'","""")&amp;SUBSTITUTE(TEXT(Overig!V1390,""",""???0;"",""??-0;"",""???0;"", ///"""),"'","""")&amp;SUBSTITUTE(TEXT(Overig!W1390,""",""?00;"",""?-00;"",""?00;"", //"""),"'","""")</f>
        <v>032, 19401213, 07.00, ////, 07, ////, 07, ////, 07, ////, 07, ///, 07, ////, 07, ////, 07, ////, 07, ////, 07, ///, 07</v>
      </c>
    </row>
    <row r="1391" spans="1:1" x14ac:dyDescent="0.25">
      <c r="A1391" s="12" t="str">
        <f ca="1">TEXT(Overig!A1391,"000\,")&amp;TEXT(Overig!B1391,"?00000000")&amp;TEXT(Overig!C1391,""", ""@")&amp;SUBSTITUTE(TEXT(IF(ISTEXT(Overig!D1391),Overig!D1391,10*Overig!D1391),""",""????0;"",""???-0;"",""????0;"", ////"""),"'","""")&amp;SUBSTITUTE(TEXT(Overig!E1391,""",""?00;"",""?-00;"",""?00;"", //"""),"'","""")&amp;SUBSTITUTE(TEXT(IF(ISTEXT(Overig!F1391),Overig!F1391,10*Overig!F1391),""",""????0;"",""???-0;"",""????0;"", ////"""),"'","""")&amp;SUBSTITUTE(TEXT(Overig!G1391,""",""?00;"",""?-00;"",""?00;"", //"""),"'","""")&amp;SUBSTITUTE(TEXT(IF(ISTEXT(Overig!H1391),Overig!H1391,10*Overig!H1391),""",""????0;"",""???-0;"",""????0;"", ////"""),"'","""")&amp;SUBSTITUTE(TEXT(Overig!I1391,""",""?00;"",""?-00;"",""?00;"", //"""),"'","""")&amp;SUBSTITUTE(TEXT(IF(ISTEXT(Overig!J1391),Overig!J1391,10*Overig!J1391),""",""????0;"",""???-0;"",""????0;"", ////"""),"'","""")&amp;SUBSTITUTE(TEXT(Overig!K1391,""",""?00;"",""?-00;"",""?00;"", //"""),"'","""")&amp;SUBSTITUTE(TEXT(Overig!L1391,""",""???0;"",""??-0;"",""???0;"", ///"""),"'","""")&amp;SUBSTITUTE(TEXT(Overig!M1391,""",""?00;"",""?-00;"",""?00;"", //"""),"'","""")&amp;SUBSTITUTE(TEXT(IF(ISTEXT(Overig!N1391),Overig!N1391,10*Overig!N1391),""",""????0;"",""???-0;"",""????0;"", ////"""),"'","""")&amp;SUBSTITUTE(TEXT(Overig!O1391,""",""?00;"",""?-00;"",""?00;"", //"""),"'","""")&amp;SUBSTITUTE(TEXT(IF(ISTEXT(Overig!P1391),Overig!P1391,10*Overig!P1391),""",""????0;"",""???-0;"",""????0;"", ////"""),"'","""")&amp;SUBSTITUTE(TEXT(Overig!Q1391,""",""?00;"",""?-00;"",""?00;"", //"""),"'","""")&amp;SUBSTITUTE(TEXT(Overig!R1391,""",""????0;"",""???-0;"",""????0;"", ////"""),"'","""")&amp;SUBSTITUTE(TEXT(Overig!S1391,""",""?00;"",""?-00;"",""?00;"", //"""),"'","""")&amp;SUBSTITUTE(TEXT(IF(ISTEXT(Overig!T1391),Overig!T1391,10*Overig!T1391),""",""????0;"",""???-0;"",""????0;"", ////"""),"'","""")&amp;SUBSTITUTE(TEXT(Overig!U1391,""",""?00;"",""?-00;"",""?00;"", //"""),"'","""")&amp;SUBSTITUTE(TEXT(Overig!V1391,""",""???0;"",""??-0;"",""???0;"", ///"""),"'","""")&amp;SUBSTITUTE(TEXT(Overig!W1391,""",""?00;"",""?-00;"",""?00;"", //"""),"'","""")</f>
        <v>032, 19401213, 12.00, ////, 07, ////, 07, ////, 07, ////, 07, ///, 07, ////, 07, ////, 07, ////, 07, ////, 07, ///, 07</v>
      </c>
    </row>
    <row r="1392" spans="1:1" x14ac:dyDescent="0.25">
      <c r="A1392" s="12" t="str">
        <f ca="1">TEXT(Overig!A1392,"000\,")&amp;TEXT(Overig!B1392,"?00000000")&amp;TEXT(Overig!C1392,""", ""@")&amp;SUBSTITUTE(TEXT(IF(ISTEXT(Overig!D1392),Overig!D1392,10*Overig!D1392),""",""????0;"",""???-0;"",""????0;"", ////"""),"'","""")&amp;SUBSTITUTE(TEXT(Overig!E1392,""",""?00;"",""?-00;"",""?00;"", //"""),"'","""")&amp;SUBSTITUTE(TEXT(IF(ISTEXT(Overig!F1392),Overig!F1392,10*Overig!F1392),""",""????0;"",""???-0;"",""????0;"", ////"""),"'","""")&amp;SUBSTITUTE(TEXT(Overig!G1392,""",""?00;"",""?-00;"",""?00;"", //"""),"'","""")&amp;SUBSTITUTE(TEXT(IF(ISTEXT(Overig!H1392),Overig!H1392,10*Overig!H1392),""",""????0;"",""???-0;"",""????0;"", ////"""),"'","""")&amp;SUBSTITUTE(TEXT(Overig!I1392,""",""?00;"",""?-00;"",""?00;"", //"""),"'","""")&amp;SUBSTITUTE(TEXT(IF(ISTEXT(Overig!J1392),Overig!J1392,10*Overig!J1392),""",""????0;"",""???-0;"",""????0;"", ////"""),"'","""")&amp;SUBSTITUTE(TEXT(Overig!K1392,""",""?00;"",""?-00;"",""?00;"", //"""),"'","""")&amp;SUBSTITUTE(TEXT(Overig!L1392,""",""???0;"",""??-0;"",""???0;"", ///"""),"'","""")&amp;SUBSTITUTE(TEXT(Overig!M1392,""",""?00;"",""?-00;"",""?00;"", //"""),"'","""")&amp;SUBSTITUTE(TEXT(IF(ISTEXT(Overig!N1392),Overig!N1392,10*Overig!N1392),""",""????0;"",""???-0;"",""????0;"", ////"""),"'","""")&amp;SUBSTITUTE(TEXT(Overig!O1392,""",""?00;"",""?-00;"",""?00;"", //"""),"'","""")&amp;SUBSTITUTE(TEXT(IF(ISTEXT(Overig!P1392),Overig!P1392,10*Overig!P1392),""",""????0;"",""???-0;"",""????0;"", ////"""),"'","""")&amp;SUBSTITUTE(TEXT(Overig!Q1392,""",""?00;"",""?-00;"",""?00;"", //"""),"'","""")&amp;SUBSTITUTE(TEXT(Overig!R1392,""",""????0;"",""???-0;"",""????0;"", ////"""),"'","""")&amp;SUBSTITUTE(TEXT(Overig!S1392,""",""?00;"",""?-00;"",""?00;"", //"""),"'","""")&amp;SUBSTITUTE(TEXT(IF(ISTEXT(Overig!T1392),Overig!T1392,10*Overig!T1392),""",""????0;"",""???-0;"",""????0;"", ////"""),"'","""")&amp;SUBSTITUTE(TEXT(Overig!U1392,""",""?00;"",""?-00;"",""?00;"", //"""),"'","""")&amp;SUBSTITUTE(TEXT(Overig!V1392,""",""???0;"",""??-0;"",""???0;"", ///"""),"'","""")&amp;SUBSTITUTE(TEXT(Overig!W1392,""",""?00;"",""?-00;"",""?00;"", //"""),"'","""")</f>
        <v>032, 19401213, 17.00, ////, 07, ////, 07, ////, 07, ////, 07, ///, 07, ////, 07, ////, 07, ////, 07, ////, 07, ///, 07</v>
      </c>
    </row>
    <row r="1393" spans="1:1" x14ac:dyDescent="0.25">
      <c r="A1393" s="12" t="str">
        <f ca="1">TEXT(Overig!A1393,"000\,")&amp;TEXT(Overig!B1393,"?00000000")&amp;TEXT(Overig!C1393,""", ""@")&amp;SUBSTITUTE(TEXT(IF(ISTEXT(Overig!D1393),Overig!D1393,10*Overig!D1393),""",""????0;"",""???-0;"",""????0;"", ////"""),"'","""")&amp;SUBSTITUTE(TEXT(Overig!E1393,""",""?00;"",""?-00;"",""?00;"", //"""),"'","""")&amp;SUBSTITUTE(TEXT(IF(ISTEXT(Overig!F1393),Overig!F1393,10*Overig!F1393),""",""????0;"",""???-0;"",""????0;"", ////"""),"'","""")&amp;SUBSTITUTE(TEXT(Overig!G1393,""",""?00;"",""?-00;"",""?00;"", //"""),"'","""")&amp;SUBSTITUTE(TEXT(IF(ISTEXT(Overig!H1393),Overig!H1393,10*Overig!H1393),""",""????0;"",""???-0;"",""????0;"", ////"""),"'","""")&amp;SUBSTITUTE(TEXT(Overig!I1393,""",""?00;"",""?-00;"",""?00;"", //"""),"'","""")&amp;SUBSTITUTE(TEXT(IF(ISTEXT(Overig!J1393),Overig!J1393,10*Overig!J1393),""",""????0;"",""???-0;"",""????0;"", ////"""),"'","""")&amp;SUBSTITUTE(TEXT(Overig!K1393,""",""?00;"",""?-00;"",""?00;"", //"""),"'","""")&amp;SUBSTITUTE(TEXT(Overig!L1393,""",""???0;"",""??-0;"",""???0;"", ///"""),"'","""")&amp;SUBSTITUTE(TEXT(Overig!M1393,""",""?00;"",""?-00;"",""?00;"", //"""),"'","""")&amp;SUBSTITUTE(TEXT(IF(ISTEXT(Overig!N1393),Overig!N1393,10*Overig!N1393),""",""????0;"",""???-0;"",""????0;"", ////"""),"'","""")&amp;SUBSTITUTE(TEXT(Overig!O1393,""",""?00;"",""?-00;"",""?00;"", //"""),"'","""")&amp;SUBSTITUTE(TEXT(IF(ISTEXT(Overig!P1393),Overig!P1393,10*Overig!P1393),""",""????0;"",""???-0;"",""????0;"", ////"""),"'","""")&amp;SUBSTITUTE(TEXT(Overig!Q1393,""",""?00;"",""?-00;"",""?00;"", //"""),"'","""")&amp;SUBSTITUTE(TEXT(Overig!R1393,""",""????0;"",""???-0;"",""????0;"", ////"""),"'","""")&amp;SUBSTITUTE(TEXT(Overig!S1393,""",""?00;"",""?-00;"",""?00;"", //"""),"'","""")&amp;SUBSTITUTE(TEXT(IF(ISTEXT(Overig!T1393),Overig!T1393,10*Overig!T1393),""",""????0;"",""???-0;"",""????0;"", ////"""),"'","""")&amp;SUBSTITUTE(TEXT(Overig!U1393,""",""?00;"",""?-00;"",""?00;"", //"""),"'","""")&amp;SUBSTITUTE(TEXT(Overig!V1393,""",""???0;"",""??-0;"",""???0;"", ///"""),"'","""")&amp;SUBSTITUTE(TEXT(Overig!W1393,""",""?00;"",""?-00;"",""?00;"", //"""),"'","""")</f>
        <v>032, 19401213, 24.00, ////, 07, ////, 07, ////, 07, ////, 07, ///, 07, ////, 07, ////, 07, ////, 07, ////, 07, ///, 07</v>
      </c>
    </row>
    <row r="1394" spans="1:1" x14ac:dyDescent="0.25">
      <c r="A1394" s="12" t="str">
        <f ca="1">TEXT(Overig!A1394,"000\,")&amp;TEXT(Overig!B1394,"?00000000")&amp;TEXT(Overig!C1394,""", ""@")&amp;SUBSTITUTE(TEXT(IF(ISTEXT(Overig!D1394),Overig!D1394,10*Overig!D1394),""",""????0;"",""???-0;"",""????0;"", ////"""),"'","""")&amp;SUBSTITUTE(TEXT(Overig!E1394,""",""?00;"",""?-00;"",""?00;"", //"""),"'","""")&amp;SUBSTITUTE(TEXT(IF(ISTEXT(Overig!F1394),Overig!F1394,10*Overig!F1394),""",""????0;"",""???-0;"",""????0;"", ////"""),"'","""")&amp;SUBSTITUTE(TEXT(Overig!G1394,""",""?00;"",""?-00;"",""?00;"", //"""),"'","""")&amp;SUBSTITUTE(TEXT(IF(ISTEXT(Overig!H1394),Overig!H1394,10*Overig!H1394),""",""????0;"",""???-0;"",""????0;"", ////"""),"'","""")&amp;SUBSTITUTE(TEXT(Overig!I1394,""",""?00;"",""?-00;"",""?00;"", //"""),"'","""")&amp;SUBSTITUTE(TEXT(IF(ISTEXT(Overig!J1394),Overig!J1394,10*Overig!J1394),""",""????0;"",""???-0;"",""????0;"", ////"""),"'","""")&amp;SUBSTITUTE(TEXT(Overig!K1394,""",""?00;"",""?-00;"",""?00;"", //"""),"'","""")&amp;SUBSTITUTE(TEXT(Overig!L1394,""",""???0;"",""??-0;"",""???0;"", ///"""),"'","""")&amp;SUBSTITUTE(TEXT(Overig!M1394,""",""?00;"",""?-00;"",""?00;"", //"""),"'","""")&amp;SUBSTITUTE(TEXT(IF(ISTEXT(Overig!N1394),Overig!N1394,10*Overig!N1394),""",""????0;"",""???-0;"",""????0;"", ////"""),"'","""")&amp;SUBSTITUTE(TEXT(Overig!O1394,""",""?00;"",""?-00;"",""?00;"", //"""),"'","""")&amp;SUBSTITUTE(TEXT(IF(ISTEXT(Overig!P1394),Overig!P1394,10*Overig!P1394),""",""????0;"",""???-0;"",""????0;"", ////"""),"'","""")&amp;SUBSTITUTE(TEXT(Overig!Q1394,""",""?00;"",""?-00;"",""?00;"", //"""),"'","""")&amp;SUBSTITUTE(TEXT(Overig!R1394,""",""????0;"",""???-0;"",""????0;"", ////"""),"'","""")&amp;SUBSTITUTE(TEXT(Overig!S1394,""",""?00;"",""?-00;"",""?00;"", //"""),"'","""")&amp;SUBSTITUTE(TEXT(IF(ISTEXT(Overig!T1394),Overig!T1394,10*Overig!T1394),""",""????0;"",""???-0;"",""????0;"", ////"""),"'","""")&amp;SUBSTITUTE(TEXT(Overig!U1394,""",""?00;"",""?-00;"",""?00;"", //"""),"'","""")&amp;SUBSTITUTE(TEXT(Overig!V1394,""",""???0;"",""??-0;"",""???0;"", ///"""),"'","""")&amp;SUBSTITUTE(TEXT(Overig!W1394,""",""?00;"",""?-00;"",""?00;"", //"""),"'","""")</f>
        <v>032, 19401214, 07.00, ////, 07, ////, 07, ////, 07, ////, 07, ///, 07, ////, 07, ////, 07, ////, 07, ////, 07, ///, 07</v>
      </c>
    </row>
    <row r="1395" spans="1:1" x14ac:dyDescent="0.25">
      <c r="A1395" s="12" t="str">
        <f ca="1">TEXT(Overig!A1395,"000\,")&amp;TEXT(Overig!B1395,"?00000000")&amp;TEXT(Overig!C1395,""", ""@")&amp;SUBSTITUTE(TEXT(IF(ISTEXT(Overig!D1395),Overig!D1395,10*Overig!D1395),""",""????0;"",""???-0;"",""????0;"", ////"""),"'","""")&amp;SUBSTITUTE(TEXT(Overig!E1395,""",""?00;"",""?-00;"",""?00;"", //"""),"'","""")&amp;SUBSTITUTE(TEXT(IF(ISTEXT(Overig!F1395),Overig!F1395,10*Overig!F1395),""",""????0;"",""???-0;"",""????0;"", ////"""),"'","""")&amp;SUBSTITUTE(TEXT(Overig!G1395,""",""?00;"",""?-00;"",""?00;"", //"""),"'","""")&amp;SUBSTITUTE(TEXT(IF(ISTEXT(Overig!H1395),Overig!H1395,10*Overig!H1395),""",""????0;"",""???-0;"",""????0;"", ////"""),"'","""")&amp;SUBSTITUTE(TEXT(Overig!I1395,""",""?00;"",""?-00;"",""?00;"", //"""),"'","""")&amp;SUBSTITUTE(TEXT(IF(ISTEXT(Overig!J1395),Overig!J1395,10*Overig!J1395),""",""????0;"",""???-0;"",""????0;"", ////"""),"'","""")&amp;SUBSTITUTE(TEXT(Overig!K1395,""",""?00;"",""?-00;"",""?00;"", //"""),"'","""")&amp;SUBSTITUTE(TEXT(Overig!L1395,""",""???0;"",""??-0;"",""???0;"", ///"""),"'","""")&amp;SUBSTITUTE(TEXT(Overig!M1395,""",""?00;"",""?-00;"",""?00;"", //"""),"'","""")&amp;SUBSTITUTE(TEXT(IF(ISTEXT(Overig!N1395),Overig!N1395,10*Overig!N1395),""",""????0;"",""???-0;"",""????0;"", ////"""),"'","""")&amp;SUBSTITUTE(TEXT(Overig!O1395,""",""?00;"",""?-00;"",""?00;"", //"""),"'","""")&amp;SUBSTITUTE(TEXT(IF(ISTEXT(Overig!P1395),Overig!P1395,10*Overig!P1395),""",""????0;"",""???-0;"",""????0;"", ////"""),"'","""")&amp;SUBSTITUTE(TEXT(Overig!Q1395,""",""?00;"",""?-00;"",""?00;"", //"""),"'","""")&amp;SUBSTITUTE(TEXT(Overig!R1395,""",""????0;"",""???-0;"",""????0;"", ////"""),"'","""")&amp;SUBSTITUTE(TEXT(Overig!S1395,""",""?00;"",""?-00;"",""?00;"", //"""),"'","""")&amp;SUBSTITUTE(TEXT(IF(ISTEXT(Overig!T1395),Overig!T1395,10*Overig!T1395),""",""????0;"",""???-0;"",""????0;"", ////"""),"'","""")&amp;SUBSTITUTE(TEXT(Overig!U1395,""",""?00;"",""?-00;"",""?00;"", //"""),"'","""")&amp;SUBSTITUTE(TEXT(Overig!V1395,""",""???0;"",""??-0;"",""???0;"", ///"""),"'","""")&amp;SUBSTITUTE(TEXT(Overig!W1395,""",""?00;"",""?-00;"",""?00;"", //"""),"'","""")</f>
        <v>032, 19401214, 12.00, ////, 07, ////, 07, ////, 07, ////, 07, ///, 07, ////, 07, ////, 07, ////, 07, ////, 07, ///, 07</v>
      </c>
    </row>
    <row r="1396" spans="1:1" x14ac:dyDescent="0.25">
      <c r="A1396" s="12" t="str">
        <f ca="1">TEXT(Overig!A1396,"000\,")&amp;TEXT(Overig!B1396,"?00000000")&amp;TEXT(Overig!C1396,""", ""@")&amp;SUBSTITUTE(TEXT(IF(ISTEXT(Overig!D1396),Overig!D1396,10*Overig!D1396),""",""????0;"",""???-0;"",""????0;"", ////"""),"'","""")&amp;SUBSTITUTE(TEXT(Overig!E1396,""",""?00;"",""?-00;"",""?00;"", //"""),"'","""")&amp;SUBSTITUTE(TEXT(IF(ISTEXT(Overig!F1396),Overig!F1396,10*Overig!F1396),""",""????0;"",""???-0;"",""????0;"", ////"""),"'","""")&amp;SUBSTITUTE(TEXT(Overig!G1396,""",""?00;"",""?-00;"",""?00;"", //"""),"'","""")&amp;SUBSTITUTE(TEXT(IF(ISTEXT(Overig!H1396),Overig!H1396,10*Overig!H1396),""",""????0;"",""???-0;"",""????0;"", ////"""),"'","""")&amp;SUBSTITUTE(TEXT(Overig!I1396,""",""?00;"",""?-00;"",""?00;"", //"""),"'","""")&amp;SUBSTITUTE(TEXT(IF(ISTEXT(Overig!J1396),Overig!J1396,10*Overig!J1396),""",""????0;"",""???-0;"",""????0;"", ////"""),"'","""")&amp;SUBSTITUTE(TEXT(Overig!K1396,""",""?00;"",""?-00;"",""?00;"", //"""),"'","""")&amp;SUBSTITUTE(TEXT(Overig!L1396,""",""???0;"",""??-0;"",""???0;"", ///"""),"'","""")&amp;SUBSTITUTE(TEXT(Overig!M1396,""",""?00;"",""?-00;"",""?00;"", //"""),"'","""")&amp;SUBSTITUTE(TEXT(IF(ISTEXT(Overig!N1396),Overig!N1396,10*Overig!N1396),""",""????0;"",""???-0;"",""????0;"", ////"""),"'","""")&amp;SUBSTITUTE(TEXT(Overig!O1396,""",""?00;"",""?-00;"",""?00;"", //"""),"'","""")&amp;SUBSTITUTE(TEXT(IF(ISTEXT(Overig!P1396),Overig!P1396,10*Overig!P1396),""",""????0;"",""???-0;"",""????0;"", ////"""),"'","""")&amp;SUBSTITUTE(TEXT(Overig!Q1396,""",""?00;"",""?-00;"",""?00;"", //"""),"'","""")&amp;SUBSTITUTE(TEXT(Overig!R1396,""",""????0;"",""???-0;"",""????0;"", ////"""),"'","""")&amp;SUBSTITUTE(TEXT(Overig!S1396,""",""?00;"",""?-00;"",""?00;"", //"""),"'","""")&amp;SUBSTITUTE(TEXT(IF(ISTEXT(Overig!T1396),Overig!T1396,10*Overig!T1396),""",""????0;"",""???-0;"",""????0;"", ////"""),"'","""")&amp;SUBSTITUTE(TEXT(Overig!U1396,""",""?00;"",""?-00;"",""?00;"", //"""),"'","""")&amp;SUBSTITUTE(TEXT(Overig!V1396,""",""???0;"",""??-0;"",""???0;"", ///"""),"'","""")&amp;SUBSTITUTE(TEXT(Overig!W1396,""",""?00;"",""?-00;"",""?00;"", //"""),"'","""")</f>
        <v>032, 19401214, 17.00, ////, 07, ////, 07, ////, 07, ////, 07, ///, 07, ////, 07, ////, 07, ////, 07, ////, 07, ///, 07</v>
      </c>
    </row>
    <row r="1397" spans="1:1" x14ac:dyDescent="0.25">
      <c r="A1397" s="12" t="str">
        <f ca="1">TEXT(Overig!A1397,"000\,")&amp;TEXT(Overig!B1397,"?00000000")&amp;TEXT(Overig!C1397,""", ""@")&amp;SUBSTITUTE(TEXT(IF(ISTEXT(Overig!D1397),Overig!D1397,10*Overig!D1397),""",""????0;"",""???-0;"",""????0;"", ////"""),"'","""")&amp;SUBSTITUTE(TEXT(Overig!E1397,""",""?00;"",""?-00;"",""?00;"", //"""),"'","""")&amp;SUBSTITUTE(TEXT(IF(ISTEXT(Overig!F1397),Overig!F1397,10*Overig!F1397),""",""????0;"",""???-0;"",""????0;"", ////"""),"'","""")&amp;SUBSTITUTE(TEXT(Overig!G1397,""",""?00;"",""?-00;"",""?00;"", //"""),"'","""")&amp;SUBSTITUTE(TEXT(IF(ISTEXT(Overig!H1397),Overig!H1397,10*Overig!H1397),""",""????0;"",""???-0;"",""????0;"", ////"""),"'","""")&amp;SUBSTITUTE(TEXT(Overig!I1397,""",""?00;"",""?-00;"",""?00;"", //"""),"'","""")&amp;SUBSTITUTE(TEXT(IF(ISTEXT(Overig!J1397),Overig!J1397,10*Overig!J1397),""",""????0;"",""???-0;"",""????0;"", ////"""),"'","""")&amp;SUBSTITUTE(TEXT(Overig!K1397,""",""?00;"",""?-00;"",""?00;"", //"""),"'","""")&amp;SUBSTITUTE(TEXT(Overig!L1397,""",""???0;"",""??-0;"",""???0;"", ///"""),"'","""")&amp;SUBSTITUTE(TEXT(Overig!M1397,""",""?00;"",""?-00;"",""?00;"", //"""),"'","""")&amp;SUBSTITUTE(TEXT(IF(ISTEXT(Overig!N1397),Overig!N1397,10*Overig!N1397),""",""????0;"",""???-0;"",""????0;"", ////"""),"'","""")&amp;SUBSTITUTE(TEXT(Overig!O1397,""",""?00;"",""?-00;"",""?00;"", //"""),"'","""")&amp;SUBSTITUTE(TEXT(IF(ISTEXT(Overig!P1397),Overig!P1397,10*Overig!P1397),""",""????0;"",""???-0;"",""????0;"", ////"""),"'","""")&amp;SUBSTITUTE(TEXT(Overig!Q1397,""",""?00;"",""?-00;"",""?00;"", //"""),"'","""")&amp;SUBSTITUTE(TEXT(Overig!R1397,""",""????0;"",""???-0;"",""????0;"", ////"""),"'","""")&amp;SUBSTITUTE(TEXT(Overig!S1397,""",""?00;"",""?-00;"",""?00;"", //"""),"'","""")&amp;SUBSTITUTE(TEXT(IF(ISTEXT(Overig!T1397),Overig!T1397,10*Overig!T1397),""",""????0;"",""???-0;"",""????0;"", ////"""),"'","""")&amp;SUBSTITUTE(TEXT(Overig!U1397,""",""?00;"",""?-00;"",""?00;"", //"""),"'","""")&amp;SUBSTITUTE(TEXT(Overig!V1397,""",""???0;"",""??-0;"",""???0;"", ///"""),"'","""")&amp;SUBSTITUTE(TEXT(Overig!W1397,""",""?00;"",""?-00;"",""?00;"", //"""),"'","""")</f>
        <v>032, 19401214, 24.00, ////, 07, ////, 07, ////, 07, ////, 07, ///, 07, ////, 07, ////, 07, ////, 07, ////, 07, ///, 07</v>
      </c>
    </row>
    <row r="1398" spans="1:1" x14ac:dyDescent="0.25">
      <c r="A1398" s="12" t="str">
        <f ca="1">TEXT(Overig!A1398,"000\,")&amp;TEXT(Overig!B1398,"?00000000")&amp;TEXT(Overig!C1398,""", ""@")&amp;SUBSTITUTE(TEXT(IF(ISTEXT(Overig!D1398),Overig!D1398,10*Overig!D1398),""",""????0;"",""???-0;"",""????0;"", ////"""),"'","""")&amp;SUBSTITUTE(TEXT(Overig!E1398,""",""?00;"",""?-00;"",""?00;"", //"""),"'","""")&amp;SUBSTITUTE(TEXT(IF(ISTEXT(Overig!F1398),Overig!F1398,10*Overig!F1398),""",""????0;"",""???-0;"",""????0;"", ////"""),"'","""")&amp;SUBSTITUTE(TEXT(Overig!G1398,""",""?00;"",""?-00;"",""?00;"", //"""),"'","""")&amp;SUBSTITUTE(TEXT(IF(ISTEXT(Overig!H1398),Overig!H1398,10*Overig!H1398),""",""????0;"",""???-0;"",""????0;"", ////"""),"'","""")&amp;SUBSTITUTE(TEXT(Overig!I1398,""",""?00;"",""?-00;"",""?00;"", //"""),"'","""")&amp;SUBSTITUTE(TEXT(IF(ISTEXT(Overig!J1398),Overig!J1398,10*Overig!J1398),""",""????0;"",""???-0;"",""????0;"", ////"""),"'","""")&amp;SUBSTITUTE(TEXT(Overig!K1398,""",""?00;"",""?-00;"",""?00;"", //"""),"'","""")&amp;SUBSTITUTE(TEXT(Overig!L1398,""",""???0;"",""??-0;"",""???0;"", ///"""),"'","""")&amp;SUBSTITUTE(TEXT(Overig!M1398,""",""?00;"",""?-00;"",""?00;"", //"""),"'","""")&amp;SUBSTITUTE(TEXT(IF(ISTEXT(Overig!N1398),Overig!N1398,10*Overig!N1398),""",""????0;"",""???-0;"",""????0;"", ////"""),"'","""")&amp;SUBSTITUTE(TEXT(Overig!O1398,""",""?00;"",""?-00;"",""?00;"", //"""),"'","""")&amp;SUBSTITUTE(TEXT(IF(ISTEXT(Overig!P1398),Overig!P1398,10*Overig!P1398),""",""????0;"",""???-0;"",""????0;"", ////"""),"'","""")&amp;SUBSTITUTE(TEXT(Overig!Q1398,""",""?00;"",""?-00;"",""?00;"", //"""),"'","""")&amp;SUBSTITUTE(TEXT(Overig!R1398,""",""????0;"",""???-0;"",""????0;"", ////"""),"'","""")&amp;SUBSTITUTE(TEXT(Overig!S1398,""",""?00;"",""?-00;"",""?00;"", //"""),"'","""")&amp;SUBSTITUTE(TEXT(IF(ISTEXT(Overig!T1398),Overig!T1398,10*Overig!T1398),""",""????0;"",""???-0;"",""????0;"", ////"""),"'","""")&amp;SUBSTITUTE(TEXT(Overig!U1398,""",""?00;"",""?-00;"",""?00;"", //"""),"'","""")&amp;SUBSTITUTE(TEXT(Overig!V1398,""",""???0;"",""??-0;"",""???0;"", ///"""),"'","""")&amp;SUBSTITUTE(TEXT(Overig!W1398,""",""?00;"",""?-00;"",""?00;"", //"""),"'","""")</f>
        <v>032, 19401215, 07.00, ////, 07, ////, 07, ////, 07, ////, 07, ///, 07, ////, 07, ////, 07, ////, 07, ////, 07, ///, 07</v>
      </c>
    </row>
    <row r="1399" spans="1:1" x14ac:dyDescent="0.25">
      <c r="A1399" s="12" t="str">
        <f ca="1">TEXT(Overig!A1399,"000\,")&amp;TEXT(Overig!B1399,"?00000000")&amp;TEXT(Overig!C1399,""", ""@")&amp;SUBSTITUTE(TEXT(IF(ISTEXT(Overig!D1399),Overig!D1399,10*Overig!D1399),""",""????0;"",""???-0;"",""????0;"", ////"""),"'","""")&amp;SUBSTITUTE(TEXT(Overig!E1399,""",""?00;"",""?-00;"",""?00;"", //"""),"'","""")&amp;SUBSTITUTE(TEXT(IF(ISTEXT(Overig!F1399),Overig!F1399,10*Overig!F1399),""",""????0;"",""???-0;"",""????0;"", ////"""),"'","""")&amp;SUBSTITUTE(TEXT(Overig!G1399,""",""?00;"",""?-00;"",""?00;"", //"""),"'","""")&amp;SUBSTITUTE(TEXT(IF(ISTEXT(Overig!H1399),Overig!H1399,10*Overig!H1399),""",""????0;"",""???-0;"",""????0;"", ////"""),"'","""")&amp;SUBSTITUTE(TEXT(Overig!I1399,""",""?00;"",""?-00;"",""?00;"", //"""),"'","""")&amp;SUBSTITUTE(TEXT(IF(ISTEXT(Overig!J1399),Overig!J1399,10*Overig!J1399),""",""????0;"",""???-0;"",""????0;"", ////"""),"'","""")&amp;SUBSTITUTE(TEXT(Overig!K1399,""",""?00;"",""?-00;"",""?00;"", //"""),"'","""")&amp;SUBSTITUTE(TEXT(Overig!L1399,""",""???0;"",""??-0;"",""???0;"", ///"""),"'","""")&amp;SUBSTITUTE(TEXT(Overig!M1399,""",""?00;"",""?-00;"",""?00;"", //"""),"'","""")&amp;SUBSTITUTE(TEXT(IF(ISTEXT(Overig!N1399),Overig!N1399,10*Overig!N1399),""",""????0;"",""???-0;"",""????0;"", ////"""),"'","""")&amp;SUBSTITUTE(TEXT(Overig!O1399,""",""?00;"",""?-00;"",""?00;"", //"""),"'","""")&amp;SUBSTITUTE(TEXT(IF(ISTEXT(Overig!P1399),Overig!P1399,10*Overig!P1399),""",""????0;"",""???-0;"",""????0;"", ////"""),"'","""")&amp;SUBSTITUTE(TEXT(Overig!Q1399,""",""?00;"",""?-00;"",""?00;"", //"""),"'","""")&amp;SUBSTITUTE(TEXT(Overig!R1399,""",""????0;"",""???-0;"",""????0;"", ////"""),"'","""")&amp;SUBSTITUTE(TEXT(Overig!S1399,""",""?00;"",""?-00;"",""?00;"", //"""),"'","""")&amp;SUBSTITUTE(TEXT(IF(ISTEXT(Overig!T1399),Overig!T1399,10*Overig!T1399),""",""????0;"",""???-0;"",""????0;"", ////"""),"'","""")&amp;SUBSTITUTE(TEXT(Overig!U1399,""",""?00;"",""?-00;"",""?00;"", //"""),"'","""")&amp;SUBSTITUTE(TEXT(Overig!V1399,""",""???0;"",""??-0;"",""???0;"", ///"""),"'","""")&amp;SUBSTITUTE(TEXT(Overig!W1399,""",""?00;"",""?-00;"",""?00;"", //"""),"'","""")</f>
        <v>032, 19401215, 12.00, ////, 07, ////, 07, ////, 07, ////, 07, ///, 07, ////, 07, ////, 07, ////, 07, ////, 07, ///, 07</v>
      </c>
    </row>
    <row r="1400" spans="1:1" x14ac:dyDescent="0.25">
      <c r="A1400" s="12" t="str">
        <f ca="1">TEXT(Overig!A1400,"000\,")&amp;TEXT(Overig!B1400,"?00000000")&amp;TEXT(Overig!C1400,""", ""@")&amp;SUBSTITUTE(TEXT(IF(ISTEXT(Overig!D1400),Overig!D1400,10*Overig!D1400),""",""????0;"",""???-0;"",""????0;"", ////"""),"'","""")&amp;SUBSTITUTE(TEXT(Overig!E1400,""",""?00;"",""?-00;"",""?00;"", //"""),"'","""")&amp;SUBSTITUTE(TEXT(IF(ISTEXT(Overig!F1400),Overig!F1400,10*Overig!F1400),""",""????0;"",""???-0;"",""????0;"", ////"""),"'","""")&amp;SUBSTITUTE(TEXT(Overig!G1400,""",""?00;"",""?-00;"",""?00;"", //"""),"'","""")&amp;SUBSTITUTE(TEXT(IF(ISTEXT(Overig!H1400),Overig!H1400,10*Overig!H1400),""",""????0;"",""???-0;"",""????0;"", ////"""),"'","""")&amp;SUBSTITUTE(TEXT(Overig!I1400,""",""?00;"",""?-00;"",""?00;"", //"""),"'","""")&amp;SUBSTITUTE(TEXT(IF(ISTEXT(Overig!J1400),Overig!J1400,10*Overig!J1400),""",""????0;"",""???-0;"",""????0;"", ////"""),"'","""")&amp;SUBSTITUTE(TEXT(Overig!K1400,""",""?00;"",""?-00;"",""?00;"", //"""),"'","""")&amp;SUBSTITUTE(TEXT(Overig!L1400,""",""???0;"",""??-0;"",""???0;"", ///"""),"'","""")&amp;SUBSTITUTE(TEXT(Overig!M1400,""",""?00;"",""?-00;"",""?00;"", //"""),"'","""")&amp;SUBSTITUTE(TEXT(IF(ISTEXT(Overig!N1400),Overig!N1400,10*Overig!N1400),""",""????0;"",""???-0;"",""????0;"", ////"""),"'","""")&amp;SUBSTITUTE(TEXT(Overig!O1400,""",""?00;"",""?-00;"",""?00;"", //"""),"'","""")&amp;SUBSTITUTE(TEXT(IF(ISTEXT(Overig!P1400),Overig!P1400,10*Overig!P1400),""",""????0;"",""???-0;"",""????0;"", ////"""),"'","""")&amp;SUBSTITUTE(TEXT(Overig!Q1400,""",""?00;"",""?-00;"",""?00;"", //"""),"'","""")&amp;SUBSTITUTE(TEXT(Overig!R1400,""",""????0;"",""???-0;"",""????0;"", ////"""),"'","""")&amp;SUBSTITUTE(TEXT(Overig!S1400,""",""?00;"",""?-00;"",""?00;"", //"""),"'","""")&amp;SUBSTITUTE(TEXT(IF(ISTEXT(Overig!T1400),Overig!T1400,10*Overig!T1400),""",""????0;"",""???-0;"",""????0;"", ////"""),"'","""")&amp;SUBSTITUTE(TEXT(Overig!U1400,""",""?00;"",""?-00;"",""?00;"", //"""),"'","""")&amp;SUBSTITUTE(TEXT(Overig!V1400,""",""???0;"",""??-0;"",""???0;"", ///"""),"'","""")&amp;SUBSTITUTE(TEXT(Overig!W1400,""",""?00;"",""?-00;"",""?00;"", //"""),"'","""")</f>
        <v>032, 19401215, 17.00, ////, 07, ////, 07, ////, 07, ////, 07, ///, 07, ////, 07, ////, 07, ////, 07, ////, 07, ///, 07</v>
      </c>
    </row>
    <row r="1401" spans="1:1" x14ac:dyDescent="0.25">
      <c r="A1401" s="12" t="str">
        <f ca="1">TEXT(Overig!A1401,"000\,")&amp;TEXT(Overig!B1401,"?00000000")&amp;TEXT(Overig!C1401,""", ""@")&amp;SUBSTITUTE(TEXT(IF(ISTEXT(Overig!D1401),Overig!D1401,10*Overig!D1401),""",""????0;"",""???-0;"",""????0;"", ////"""),"'","""")&amp;SUBSTITUTE(TEXT(Overig!E1401,""",""?00;"",""?-00;"",""?00;"", //"""),"'","""")&amp;SUBSTITUTE(TEXT(IF(ISTEXT(Overig!F1401),Overig!F1401,10*Overig!F1401),""",""????0;"",""???-0;"",""????0;"", ////"""),"'","""")&amp;SUBSTITUTE(TEXT(Overig!G1401,""",""?00;"",""?-00;"",""?00;"", //"""),"'","""")&amp;SUBSTITUTE(TEXT(IF(ISTEXT(Overig!H1401),Overig!H1401,10*Overig!H1401),""",""????0;"",""???-0;"",""????0;"", ////"""),"'","""")&amp;SUBSTITUTE(TEXT(Overig!I1401,""",""?00;"",""?-00;"",""?00;"", //"""),"'","""")&amp;SUBSTITUTE(TEXT(IF(ISTEXT(Overig!J1401),Overig!J1401,10*Overig!J1401),""",""????0;"",""???-0;"",""????0;"", ////"""),"'","""")&amp;SUBSTITUTE(TEXT(Overig!K1401,""",""?00;"",""?-00;"",""?00;"", //"""),"'","""")&amp;SUBSTITUTE(TEXT(Overig!L1401,""",""???0;"",""??-0;"",""???0;"", ///"""),"'","""")&amp;SUBSTITUTE(TEXT(Overig!M1401,""",""?00;"",""?-00;"",""?00;"", //"""),"'","""")&amp;SUBSTITUTE(TEXT(IF(ISTEXT(Overig!N1401),Overig!N1401,10*Overig!N1401),""",""????0;"",""???-0;"",""????0;"", ////"""),"'","""")&amp;SUBSTITUTE(TEXT(Overig!O1401,""",""?00;"",""?-00;"",""?00;"", //"""),"'","""")&amp;SUBSTITUTE(TEXT(IF(ISTEXT(Overig!P1401),Overig!P1401,10*Overig!P1401),""",""????0;"",""???-0;"",""????0;"", ////"""),"'","""")&amp;SUBSTITUTE(TEXT(Overig!Q1401,""",""?00;"",""?-00;"",""?00;"", //"""),"'","""")&amp;SUBSTITUTE(TEXT(Overig!R1401,""",""????0;"",""???-0;"",""????0;"", ////"""),"'","""")&amp;SUBSTITUTE(TEXT(Overig!S1401,""",""?00;"",""?-00;"",""?00;"", //"""),"'","""")&amp;SUBSTITUTE(TEXT(IF(ISTEXT(Overig!T1401),Overig!T1401,10*Overig!T1401),""",""????0;"",""???-0;"",""????0;"", ////"""),"'","""")&amp;SUBSTITUTE(TEXT(Overig!U1401,""",""?00;"",""?-00;"",""?00;"", //"""),"'","""")&amp;SUBSTITUTE(TEXT(Overig!V1401,""",""???0;"",""??-0;"",""???0;"", ///"""),"'","""")&amp;SUBSTITUTE(TEXT(Overig!W1401,""",""?00;"",""?-00;"",""?00;"", //"""),"'","""")</f>
        <v>032, 19401215, 24.00, ////, 07, ////, 07, ////, 07, ////, 07, ///, 07, ////, 07, ////, 07, ////, 07, ////, 07, ///, 07</v>
      </c>
    </row>
    <row r="1402" spans="1:1" x14ac:dyDescent="0.25">
      <c r="A1402" s="12" t="str">
        <f ca="1">TEXT(Overig!A1402,"000\,")&amp;TEXT(Overig!B1402,"?00000000")&amp;TEXT(Overig!C1402,""", ""@")&amp;SUBSTITUTE(TEXT(IF(ISTEXT(Overig!D1402),Overig!D1402,10*Overig!D1402),""",""????0;"",""???-0;"",""????0;"", ////"""),"'","""")&amp;SUBSTITUTE(TEXT(Overig!E1402,""",""?00;"",""?-00;"",""?00;"", //"""),"'","""")&amp;SUBSTITUTE(TEXT(IF(ISTEXT(Overig!F1402),Overig!F1402,10*Overig!F1402),""",""????0;"",""???-0;"",""????0;"", ////"""),"'","""")&amp;SUBSTITUTE(TEXT(Overig!G1402,""",""?00;"",""?-00;"",""?00;"", //"""),"'","""")&amp;SUBSTITUTE(TEXT(IF(ISTEXT(Overig!H1402),Overig!H1402,10*Overig!H1402),""",""????0;"",""???-0;"",""????0;"", ////"""),"'","""")&amp;SUBSTITUTE(TEXT(Overig!I1402,""",""?00;"",""?-00;"",""?00;"", //"""),"'","""")&amp;SUBSTITUTE(TEXT(IF(ISTEXT(Overig!J1402),Overig!J1402,10*Overig!J1402),""",""????0;"",""???-0;"",""????0;"", ////"""),"'","""")&amp;SUBSTITUTE(TEXT(Overig!K1402,""",""?00;"",""?-00;"",""?00;"", //"""),"'","""")&amp;SUBSTITUTE(TEXT(Overig!L1402,""",""???0;"",""??-0;"",""???0;"", ///"""),"'","""")&amp;SUBSTITUTE(TEXT(Overig!M1402,""",""?00;"",""?-00;"",""?00;"", //"""),"'","""")&amp;SUBSTITUTE(TEXT(IF(ISTEXT(Overig!N1402),Overig!N1402,10*Overig!N1402),""",""????0;"",""???-0;"",""????0;"", ////"""),"'","""")&amp;SUBSTITUTE(TEXT(Overig!O1402,""",""?00;"",""?-00;"",""?00;"", //"""),"'","""")&amp;SUBSTITUTE(TEXT(IF(ISTEXT(Overig!P1402),Overig!P1402,10*Overig!P1402),""",""????0;"",""???-0;"",""????0;"", ////"""),"'","""")&amp;SUBSTITUTE(TEXT(Overig!Q1402,""",""?00;"",""?-00;"",""?00;"", //"""),"'","""")&amp;SUBSTITUTE(TEXT(Overig!R1402,""",""????0;"",""???-0;"",""????0;"", ////"""),"'","""")&amp;SUBSTITUTE(TEXT(Overig!S1402,""",""?00;"",""?-00;"",""?00;"", //"""),"'","""")&amp;SUBSTITUTE(TEXT(IF(ISTEXT(Overig!T1402),Overig!T1402,10*Overig!T1402),""",""????0;"",""???-0;"",""????0;"", ////"""),"'","""")&amp;SUBSTITUTE(TEXT(Overig!U1402,""",""?00;"",""?-00;"",""?00;"", //"""),"'","""")&amp;SUBSTITUTE(TEXT(Overig!V1402,""",""???0;"",""??-0;"",""???0;"", ///"""),"'","""")&amp;SUBSTITUTE(TEXT(Overig!W1402,""",""?00;"",""?-00;"",""?00;"", //"""),"'","""")</f>
        <v>032, 19401216, 07.00, ////, 07, ////, 07, ////, 07, ////, 07, ///, 07, ////, 07, ////, 07, ////, 07, ////, 07, ///, 07</v>
      </c>
    </row>
    <row r="1403" spans="1:1" x14ac:dyDescent="0.25">
      <c r="A1403" s="12" t="str">
        <f ca="1">TEXT(Overig!A1403,"000\,")&amp;TEXT(Overig!B1403,"?00000000")&amp;TEXT(Overig!C1403,""", ""@")&amp;SUBSTITUTE(TEXT(IF(ISTEXT(Overig!D1403),Overig!D1403,10*Overig!D1403),""",""????0;"",""???-0;"",""????0;"", ////"""),"'","""")&amp;SUBSTITUTE(TEXT(Overig!E1403,""",""?00;"",""?-00;"",""?00;"", //"""),"'","""")&amp;SUBSTITUTE(TEXT(IF(ISTEXT(Overig!F1403),Overig!F1403,10*Overig!F1403),""",""????0;"",""???-0;"",""????0;"", ////"""),"'","""")&amp;SUBSTITUTE(TEXT(Overig!G1403,""",""?00;"",""?-00;"",""?00;"", //"""),"'","""")&amp;SUBSTITUTE(TEXT(IF(ISTEXT(Overig!H1403),Overig!H1403,10*Overig!H1403),""",""????0;"",""???-0;"",""????0;"", ////"""),"'","""")&amp;SUBSTITUTE(TEXT(Overig!I1403,""",""?00;"",""?-00;"",""?00;"", //"""),"'","""")&amp;SUBSTITUTE(TEXT(IF(ISTEXT(Overig!J1403),Overig!J1403,10*Overig!J1403),""",""????0;"",""???-0;"",""????0;"", ////"""),"'","""")&amp;SUBSTITUTE(TEXT(Overig!K1403,""",""?00;"",""?-00;"",""?00;"", //"""),"'","""")&amp;SUBSTITUTE(TEXT(Overig!L1403,""",""???0;"",""??-0;"",""???0;"", ///"""),"'","""")&amp;SUBSTITUTE(TEXT(Overig!M1403,""",""?00;"",""?-00;"",""?00;"", //"""),"'","""")&amp;SUBSTITUTE(TEXT(IF(ISTEXT(Overig!N1403),Overig!N1403,10*Overig!N1403),""",""????0;"",""???-0;"",""????0;"", ////"""),"'","""")&amp;SUBSTITUTE(TEXT(Overig!O1403,""",""?00;"",""?-00;"",""?00;"", //"""),"'","""")&amp;SUBSTITUTE(TEXT(IF(ISTEXT(Overig!P1403),Overig!P1403,10*Overig!P1403),""",""????0;"",""???-0;"",""????0;"", ////"""),"'","""")&amp;SUBSTITUTE(TEXT(Overig!Q1403,""",""?00;"",""?-00;"",""?00;"", //"""),"'","""")&amp;SUBSTITUTE(TEXT(Overig!R1403,""",""????0;"",""???-0;"",""????0;"", ////"""),"'","""")&amp;SUBSTITUTE(TEXT(Overig!S1403,""",""?00;"",""?-00;"",""?00;"", //"""),"'","""")&amp;SUBSTITUTE(TEXT(IF(ISTEXT(Overig!T1403),Overig!T1403,10*Overig!T1403),""",""????0;"",""???-0;"",""????0;"", ////"""),"'","""")&amp;SUBSTITUTE(TEXT(Overig!U1403,""",""?00;"",""?-00;"",""?00;"", //"""),"'","""")&amp;SUBSTITUTE(TEXT(Overig!V1403,""",""???0;"",""??-0;"",""???0;"", ///"""),"'","""")&amp;SUBSTITUTE(TEXT(Overig!W1403,""",""?00;"",""?-00;"",""?00;"", //"""),"'","""")</f>
        <v>032, 19401216, 12.00, ////, 07, ////, 07, ////, 07, ////, 07, ///, 07, ////, 07, ////, 07, ////, 07, ////, 07, ///, 07</v>
      </c>
    </row>
    <row r="1404" spans="1:1" x14ac:dyDescent="0.25">
      <c r="A1404" s="12" t="str">
        <f ca="1">TEXT(Overig!A1404,"000\,")&amp;TEXT(Overig!B1404,"?00000000")&amp;TEXT(Overig!C1404,""", ""@")&amp;SUBSTITUTE(TEXT(IF(ISTEXT(Overig!D1404),Overig!D1404,10*Overig!D1404),""",""????0;"",""???-0;"",""????0;"", ////"""),"'","""")&amp;SUBSTITUTE(TEXT(Overig!E1404,""",""?00;"",""?-00;"",""?00;"", //"""),"'","""")&amp;SUBSTITUTE(TEXT(IF(ISTEXT(Overig!F1404),Overig!F1404,10*Overig!F1404),""",""????0;"",""???-0;"",""????0;"", ////"""),"'","""")&amp;SUBSTITUTE(TEXT(Overig!G1404,""",""?00;"",""?-00;"",""?00;"", //"""),"'","""")&amp;SUBSTITUTE(TEXT(IF(ISTEXT(Overig!H1404),Overig!H1404,10*Overig!H1404),""",""????0;"",""???-0;"",""????0;"", ////"""),"'","""")&amp;SUBSTITUTE(TEXT(Overig!I1404,""",""?00;"",""?-00;"",""?00;"", //"""),"'","""")&amp;SUBSTITUTE(TEXT(IF(ISTEXT(Overig!J1404),Overig!J1404,10*Overig!J1404),""",""????0;"",""???-0;"",""????0;"", ////"""),"'","""")&amp;SUBSTITUTE(TEXT(Overig!K1404,""",""?00;"",""?-00;"",""?00;"", //"""),"'","""")&amp;SUBSTITUTE(TEXT(Overig!L1404,""",""???0;"",""??-0;"",""???0;"", ///"""),"'","""")&amp;SUBSTITUTE(TEXT(Overig!M1404,""",""?00;"",""?-00;"",""?00;"", //"""),"'","""")&amp;SUBSTITUTE(TEXT(IF(ISTEXT(Overig!N1404),Overig!N1404,10*Overig!N1404),""",""????0;"",""???-0;"",""????0;"", ////"""),"'","""")&amp;SUBSTITUTE(TEXT(Overig!O1404,""",""?00;"",""?-00;"",""?00;"", //"""),"'","""")&amp;SUBSTITUTE(TEXT(IF(ISTEXT(Overig!P1404),Overig!P1404,10*Overig!P1404),""",""????0;"",""???-0;"",""????0;"", ////"""),"'","""")&amp;SUBSTITUTE(TEXT(Overig!Q1404,""",""?00;"",""?-00;"",""?00;"", //"""),"'","""")&amp;SUBSTITUTE(TEXT(Overig!R1404,""",""????0;"",""???-0;"",""????0;"", ////"""),"'","""")&amp;SUBSTITUTE(TEXT(Overig!S1404,""",""?00;"",""?-00;"",""?00;"", //"""),"'","""")&amp;SUBSTITUTE(TEXT(IF(ISTEXT(Overig!T1404),Overig!T1404,10*Overig!T1404),""",""????0;"",""???-0;"",""????0;"", ////"""),"'","""")&amp;SUBSTITUTE(TEXT(Overig!U1404,""",""?00;"",""?-00;"",""?00;"", //"""),"'","""")&amp;SUBSTITUTE(TEXT(Overig!V1404,""",""???0;"",""??-0;"",""???0;"", ///"""),"'","""")&amp;SUBSTITUTE(TEXT(Overig!W1404,""",""?00;"",""?-00;"",""?00;"", //"""),"'","""")</f>
        <v>032, 19401216, 17.00, ////, 07, ////, 07, ////, 07, ////, 07, ///, 07, ////, 07, ////, 07, ////, 07, ////, 07, ///, 07</v>
      </c>
    </row>
    <row r="1405" spans="1:1" x14ac:dyDescent="0.25">
      <c r="A1405" s="12" t="str">
        <f ca="1">TEXT(Overig!A1405,"000\,")&amp;TEXT(Overig!B1405,"?00000000")&amp;TEXT(Overig!C1405,""", ""@")&amp;SUBSTITUTE(TEXT(IF(ISTEXT(Overig!D1405),Overig!D1405,10*Overig!D1405),""",""????0;"",""???-0;"",""????0;"", ////"""),"'","""")&amp;SUBSTITUTE(TEXT(Overig!E1405,""",""?00;"",""?-00;"",""?00;"", //"""),"'","""")&amp;SUBSTITUTE(TEXT(IF(ISTEXT(Overig!F1405),Overig!F1405,10*Overig!F1405),""",""????0;"",""???-0;"",""????0;"", ////"""),"'","""")&amp;SUBSTITUTE(TEXT(Overig!G1405,""",""?00;"",""?-00;"",""?00;"", //"""),"'","""")&amp;SUBSTITUTE(TEXT(IF(ISTEXT(Overig!H1405),Overig!H1405,10*Overig!H1405),""",""????0;"",""???-0;"",""????0;"", ////"""),"'","""")&amp;SUBSTITUTE(TEXT(Overig!I1405,""",""?00;"",""?-00;"",""?00;"", //"""),"'","""")&amp;SUBSTITUTE(TEXT(IF(ISTEXT(Overig!J1405),Overig!J1405,10*Overig!J1405),""",""????0;"",""???-0;"",""????0;"", ////"""),"'","""")&amp;SUBSTITUTE(TEXT(Overig!K1405,""",""?00;"",""?-00;"",""?00;"", //"""),"'","""")&amp;SUBSTITUTE(TEXT(Overig!L1405,""",""???0;"",""??-0;"",""???0;"", ///"""),"'","""")&amp;SUBSTITUTE(TEXT(Overig!M1405,""",""?00;"",""?-00;"",""?00;"", //"""),"'","""")&amp;SUBSTITUTE(TEXT(IF(ISTEXT(Overig!N1405),Overig!N1405,10*Overig!N1405),""",""????0;"",""???-0;"",""????0;"", ////"""),"'","""")&amp;SUBSTITUTE(TEXT(Overig!O1405,""",""?00;"",""?-00;"",""?00;"", //"""),"'","""")&amp;SUBSTITUTE(TEXT(IF(ISTEXT(Overig!P1405),Overig!P1405,10*Overig!P1405),""",""????0;"",""???-0;"",""????0;"", ////"""),"'","""")&amp;SUBSTITUTE(TEXT(Overig!Q1405,""",""?00;"",""?-00;"",""?00;"", //"""),"'","""")&amp;SUBSTITUTE(TEXT(Overig!R1405,""",""????0;"",""???-0;"",""????0;"", ////"""),"'","""")&amp;SUBSTITUTE(TEXT(Overig!S1405,""",""?00;"",""?-00;"",""?00;"", //"""),"'","""")&amp;SUBSTITUTE(TEXT(IF(ISTEXT(Overig!T1405),Overig!T1405,10*Overig!T1405),""",""????0;"",""???-0;"",""????0;"", ////"""),"'","""")&amp;SUBSTITUTE(TEXT(Overig!U1405,""",""?00;"",""?-00;"",""?00;"", //"""),"'","""")&amp;SUBSTITUTE(TEXT(Overig!V1405,""",""???0;"",""??-0;"",""???0;"", ///"""),"'","""")&amp;SUBSTITUTE(TEXT(Overig!W1405,""",""?00;"",""?-00;"",""?00;"", //"""),"'","""")</f>
        <v>032, 19401216, 24.00, ////, 07, ////, 07, ////, 07, ////, 07, ///, 07, ////, 07, ////, 07, ////, 07, ////, 07, ///, 07</v>
      </c>
    </row>
    <row r="1406" spans="1:1" x14ac:dyDescent="0.25">
      <c r="A1406" s="12" t="str">
        <f ca="1">TEXT(Overig!A1406,"000\,")&amp;TEXT(Overig!B1406,"?00000000")&amp;TEXT(Overig!C1406,""", ""@")&amp;SUBSTITUTE(TEXT(IF(ISTEXT(Overig!D1406),Overig!D1406,10*Overig!D1406),""",""????0;"",""???-0;"",""????0;"", ////"""),"'","""")&amp;SUBSTITUTE(TEXT(Overig!E1406,""",""?00;"",""?-00;"",""?00;"", //"""),"'","""")&amp;SUBSTITUTE(TEXT(IF(ISTEXT(Overig!F1406),Overig!F1406,10*Overig!F1406),""",""????0;"",""???-0;"",""????0;"", ////"""),"'","""")&amp;SUBSTITUTE(TEXT(Overig!G1406,""",""?00;"",""?-00;"",""?00;"", //"""),"'","""")&amp;SUBSTITUTE(TEXT(IF(ISTEXT(Overig!H1406),Overig!H1406,10*Overig!H1406),""",""????0;"",""???-0;"",""????0;"", ////"""),"'","""")&amp;SUBSTITUTE(TEXT(Overig!I1406,""",""?00;"",""?-00;"",""?00;"", //"""),"'","""")&amp;SUBSTITUTE(TEXT(IF(ISTEXT(Overig!J1406),Overig!J1406,10*Overig!J1406),""",""????0;"",""???-0;"",""????0;"", ////"""),"'","""")&amp;SUBSTITUTE(TEXT(Overig!K1406,""",""?00;"",""?-00;"",""?00;"", //"""),"'","""")&amp;SUBSTITUTE(TEXT(Overig!L1406,""",""???0;"",""??-0;"",""???0;"", ///"""),"'","""")&amp;SUBSTITUTE(TEXT(Overig!M1406,""",""?00;"",""?-00;"",""?00;"", //"""),"'","""")&amp;SUBSTITUTE(TEXT(IF(ISTEXT(Overig!N1406),Overig!N1406,10*Overig!N1406),""",""????0;"",""???-0;"",""????0;"", ////"""),"'","""")&amp;SUBSTITUTE(TEXT(Overig!O1406,""",""?00;"",""?-00;"",""?00;"", //"""),"'","""")&amp;SUBSTITUTE(TEXT(IF(ISTEXT(Overig!P1406),Overig!P1406,10*Overig!P1406),""",""????0;"",""???-0;"",""????0;"", ////"""),"'","""")&amp;SUBSTITUTE(TEXT(Overig!Q1406,""",""?00;"",""?-00;"",""?00;"", //"""),"'","""")&amp;SUBSTITUTE(TEXT(Overig!R1406,""",""????0;"",""???-0;"",""????0;"", ////"""),"'","""")&amp;SUBSTITUTE(TEXT(Overig!S1406,""",""?00;"",""?-00;"",""?00;"", //"""),"'","""")&amp;SUBSTITUTE(TEXT(IF(ISTEXT(Overig!T1406),Overig!T1406,10*Overig!T1406),""",""????0;"",""???-0;"",""????0;"", ////"""),"'","""")&amp;SUBSTITUTE(TEXT(Overig!U1406,""",""?00;"",""?-00;"",""?00;"", //"""),"'","""")&amp;SUBSTITUTE(TEXT(Overig!V1406,""",""???0;"",""??-0;"",""???0;"", ///"""),"'","""")&amp;SUBSTITUTE(TEXT(Overig!W1406,""",""?00;"",""?-00;"",""?00;"", //"""),"'","""")</f>
        <v>032, 19401217, 07.00, ////, 07, ////, 07, ////, 07, ////, 07, ///, 07, ////, 07, ////, 07, ////, 07, ////, 07, ///, 07</v>
      </c>
    </row>
    <row r="1407" spans="1:1" x14ac:dyDescent="0.25">
      <c r="A1407" s="12" t="str">
        <f ca="1">TEXT(Overig!A1407,"000\,")&amp;TEXT(Overig!B1407,"?00000000")&amp;TEXT(Overig!C1407,""", ""@")&amp;SUBSTITUTE(TEXT(IF(ISTEXT(Overig!D1407),Overig!D1407,10*Overig!D1407),""",""????0;"",""???-0;"",""????0;"", ////"""),"'","""")&amp;SUBSTITUTE(TEXT(Overig!E1407,""",""?00;"",""?-00;"",""?00;"", //"""),"'","""")&amp;SUBSTITUTE(TEXT(IF(ISTEXT(Overig!F1407),Overig!F1407,10*Overig!F1407),""",""????0;"",""???-0;"",""????0;"", ////"""),"'","""")&amp;SUBSTITUTE(TEXT(Overig!G1407,""",""?00;"",""?-00;"",""?00;"", //"""),"'","""")&amp;SUBSTITUTE(TEXT(IF(ISTEXT(Overig!H1407),Overig!H1407,10*Overig!H1407),""",""????0;"",""???-0;"",""????0;"", ////"""),"'","""")&amp;SUBSTITUTE(TEXT(Overig!I1407,""",""?00;"",""?-00;"",""?00;"", //"""),"'","""")&amp;SUBSTITUTE(TEXT(IF(ISTEXT(Overig!J1407),Overig!J1407,10*Overig!J1407),""",""????0;"",""???-0;"",""????0;"", ////"""),"'","""")&amp;SUBSTITUTE(TEXT(Overig!K1407,""",""?00;"",""?-00;"",""?00;"", //"""),"'","""")&amp;SUBSTITUTE(TEXT(Overig!L1407,""",""???0;"",""??-0;"",""???0;"", ///"""),"'","""")&amp;SUBSTITUTE(TEXT(Overig!M1407,""",""?00;"",""?-00;"",""?00;"", //"""),"'","""")&amp;SUBSTITUTE(TEXT(IF(ISTEXT(Overig!N1407),Overig!N1407,10*Overig!N1407),""",""????0;"",""???-0;"",""????0;"", ////"""),"'","""")&amp;SUBSTITUTE(TEXT(Overig!O1407,""",""?00;"",""?-00;"",""?00;"", //"""),"'","""")&amp;SUBSTITUTE(TEXT(IF(ISTEXT(Overig!P1407),Overig!P1407,10*Overig!P1407),""",""????0;"",""???-0;"",""????0;"", ////"""),"'","""")&amp;SUBSTITUTE(TEXT(Overig!Q1407,""",""?00;"",""?-00;"",""?00;"", //"""),"'","""")&amp;SUBSTITUTE(TEXT(Overig!R1407,""",""????0;"",""???-0;"",""????0;"", ////"""),"'","""")&amp;SUBSTITUTE(TEXT(Overig!S1407,""",""?00;"",""?-00;"",""?00;"", //"""),"'","""")&amp;SUBSTITUTE(TEXT(IF(ISTEXT(Overig!T1407),Overig!T1407,10*Overig!T1407),""",""????0;"",""???-0;"",""????0;"", ////"""),"'","""")&amp;SUBSTITUTE(TEXT(Overig!U1407,""",""?00;"",""?-00;"",""?00;"", //"""),"'","""")&amp;SUBSTITUTE(TEXT(Overig!V1407,""",""???0;"",""??-0;"",""???0;"", ///"""),"'","""")&amp;SUBSTITUTE(TEXT(Overig!W1407,""",""?00;"",""?-00;"",""?00;"", //"""),"'","""")</f>
        <v>032, 19401217, 12.00, ////, 07, ////, 07, ////, 07, ////, 07, ///, 07, ////, 07, ////, 07, ////, 07, ////, 07, ///, 07</v>
      </c>
    </row>
    <row r="1408" spans="1:1" x14ac:dyDescent="0.25">
      <c r="A1408" s="12" t="str">
        <f ca="1">TEXT(Overig!A1408,"000\,")&amp;TEXT(Overig!B1408,"?00000000")&amp;TEXT(Overig!C1408,""", ""@")&amp;SUBSTITUTE(TEXT(IF(ISTEXT(Overig!D1408),Overig!D1408,10*Overig!D1408),""",""????0;"",""???-0;"",""????0;"", ////"""),"'","""")&amp;SUBSTITUTE(TEXT(Overig!E1408,""",""?00;"",""?-00;"",""?00;"", //"""),"'","""")&amp;SUBSTITUTE(TEXT(IF(ISTEXT(Overig!F1408),Overig!F1408,10*Overig!F1408),""",""????0;"",""???-0;"",""????0;"", ////"""),"'","""")&amp;SUBSTITUTE(TEXT(Overig!G1408,""",""?00;"",""?-00;"",""?00;"", //"""),"'","""")&amp;SUBSTITUTE(TEXT(IF(ISTEXT(Overig!H1408),Overig!H1408,10*Overig!H1408),""",""????0;"",""???-0;"",""????0;"", ////"""),"'","""")&amp;SUBSTITUTE(TEXT(Overig!I1408,""",""?00;"",""?-00;"",""?00;"", //"""),"'","""")&amp;SUBSTITUTE(TEXT(IF(ISTEXT(Overig!J1408),Overig!J1408,10*Overig!J1408),""",""????0;"",""???-0;"",""????0;"", ////"""),"'","""")&amp;SUBSTITUTE(TEXT(Overig!K1408,""",""?00;"",""?-00;"",""?00;"", //"""),"'","""")&amp;SUBSTITUTE(TEXT(Overig!L1408,""",""???0;"",""??-0;"",""???0;"", ///"""),"'","""")&amp;SUBSTITUTE(TEXT(Overig!M1408,""",""?00;"",""?-00;"",""?00;"", //"""),"'","""")&amp;SUBSTITUTE(TEXT(IF(ISTEXT(Overig!N1408),Overig!N1408,10*Overig!N1408),""",""????0;"",""???-0;"",""????0;"", ////"""),"'","""")&amp;SUBSTITUTE(TEXT(Overig!O1408,""",""?00;"",""?-00;"",""?00;"", //"""),"'","""")&amp;SUBSTITUTE(TEXT(IF(ISTEXT(Overig!P1408),Overig!P1408,10*Overig!P1408),""",""????0;"",""???-0;"",""????0;"", ////"""),"'","""")&amp;SUBSTITUTE(TEXT(Overig!Q1408,""",""?00;"",""?-00;"",""?00;"", //"""),"'","""")&amp;SUBSTITUTE(TEXT(Overig!R1408,""",""????0;"",""???-0;"",""????0;"", ////"""),"'","""")&amp;SUBSTITUTE(TEXT(Overig!S1408,""",""?00;"",""?-00;"",""?00;"", //"""),"'","""")&amp;SUBSTITUTE(TEXT(IF(ISTEXT(Overig!T1408),Overig!T1408,10*Overig!T1408),""",""????0;"",""???-0;"",""????0;"", ////"""),"'","""")&amp;SUBSTITUTE(TEXT(Overig!U1408,""",""?00;"",""?-00;"",""?00;"", //"""),"'","""")&amp;SUBSTITUTE(TEXT(Overig!V1408,""",""???0;"",""??-0;"",""???0;"", ///"""),"'","""")&amp;SUBSTITUTE(TEXT(Overig!W1408,""",""?00;"",""?-00;"",""?00;"", //"""),"'","""")</f>
        <v>032, 19401217, 17.00, ////, 07, ////, 07, ////, 07, ////, 07, ///, 07, ////, 07, ////, 07, ////, 07, ////, 07, ///, 07</v>
      </c>
    </row>
    <row r="1409" spans="1:1" x14ac:dyDescent="0.25">
      <c r="A1409" s="12" t="str">
        <f ca="1">TEXT(Overig!A1409,"000\,")&amp;TEXT(Overig!B1409,"?00000000")&amp;TEXT(Overig!C1409,""", ""@")&amp;SUBSTITUTE(TEXT(IF(ISTEXT(Overig!D1409),Overig!D1409,10*Overig!D1409),""",""????0;"",""???-0;"",""????0;"", ////"""),"'","""")&amp;SUBSTITUTE(TEXT(Overig!E1409,""",""?00;"",""?-00;"",""?00;"", //"""),"'","""")&amp;SUBSTITUTE(TEXT(IF(ISTEXT(Overig!F1409),Overig!F1409,10*Overig!F1409),""",""????0;"",""???-0;"",""????0;"", ////"""),"'","""")&amp;SUBSTITUTE(TEXT(Overig!G1409,""",""?00;"",""?-00;"",""?00;"", //"""),"'","""")&amp;SUBSTITUTE(TEXT(IF(ISTEXT(Overig!H1409),Overig!H1409,10*Overig!H1409),""",""????0;"",""???-0;"",""????0;"", ////"""),"'","""")&amp;SUBSTITUTE(TEXT(Overig!I1409,""",""?00;"",""?-00;"",""?00;"", //"""),"'","""")&amp;SUBSTITUTE(TEXT(IF(ISTEXT(Overig!J1409),Overig!J1409,10*Overig!J1409),""",""????0;"",""???-0;"",""????0;"", ////"""),"'","""")&amp;SUBSTITUTE(TEXT(Overig!K1409,""",""?00;"",""?-00;"",""?00;"", //"""),"'","""")&amp;SUBSTITUTE(TEXT(Overig!L1409,""",""???0;"",""??-0;"",""???0;"", ///"""),"'","""")&amp;SUBSTITUTE(TEXT(Overig!M1409,""",""?00;"",""?-00;"",""?00;"", //"""),"'","""")&amp;SUBSTITUTE(TEXT(IF(ISTEXT(Overig!N1409),Overig!N1409,10*Overig!N1409),""",""????0;"",""???-0;"",""????0;"", ////"""),"'","""")&amp;SUBSTITUTE(TEXT(Overig!O1409,""",""?00;"",""?-00;"",""?00;"", //"""),"'","""")&amp;SUBSTITUTE(TEXT(IF(ISTEXT(Overig!P1409),Overig!P1409,10*Overig!P1409),""",""????0;"",""???-0;"",""????0;"", ////"""),"'","""")&amp;SUBSTITUTE(TEXT(Overig!Q1409,""",""?00;"",""?-00;"",""?00;"", //"""),"'","""")&amp;SUBSTITUTE(TEXT(Overig!R1409,""",""????0;"",""???-0;"",""????0;"", ////"""),"'","""")&amp;SUBSTITUTE(TEXT(Overig!S1409,""",""?00;"",""?-00;"",""?00;"", //"""),"'","""")&amp;SUBSTITUTE(TEXT(IF(ISTEXT(Overig!T1409),Overig!T1409,10*Overig!T1409),""",""????0;"",""???-0;"",""????0;"", ////"""),"'","""")&amp;SUBSTITUTE(TEXT(Overig!U1409,""",""?00;"",""?-00;"",""?00;"", //"""),"'","""")&amp;SUBSTITUTE(TEXT(Overig!V1409,""",""???0;"",""??-0;"",""???0;"", ///"""),"'","""")&amp;SUBSTITUTE(TEXT(Overig!W1409,""",""?00;"",""?-00;"",""?00;"", //"""),"'","""")</f>
        <v>032, 19401217, 24.00, ////, 07, ////, 07, ////, 07, ////, 07, ///, 07, ////, 07, ////, 07, ////, 07, ////, 07, ///, 07</v>
      </c>
    </row>
    <row r="1410" spans="1:1" x14ac:dyDescent="0.25">
      <c r="A1410" s="12" t="str">
        <f ca="1">TEXT(Overig!A1410,"000\,")&amp;TEXT(Overig!B1410,"?00000000")&amp;TEXT(Overig!C1410,""", ""@")&amp;SUBSTITUTE(TEXT(IF(ISTEXT(Overig!D1410),Overig!D1410,10*Overig!D1410),""",""????0;"",""???-0;"",""????0;"", ////"""),"'","""")&amp;SUBSTITUTE(TEXT(Overig!E1410,""",""?00;"",""?-00;"",""?00;"", //"""),"'","""")&amp;SUBSTITUTE(TEXT(IF(ISTEXT(Overig!F1410),Overig!F1410,10*Overig!F1410),""",""????0;"",""???-0;"",""????0;"", ////"""),"'","""")&amp;SUBSTITUTE(TEXT(Overig!G1410,""",""?00;"",""?-00;"",""?00;"", //"""),"'","""")&amp;SUBSTITUTE(TEXT(IF(ISTEXT(Overig!H1410),Overig!H1410,10*Overig!H1410),""",""????0;"",""???-0;"",""????0;"", ////"""),"'","""")&amp;SUBSTITUTE(TEXT(Overig!I1410,""",""?00;"",""?-00;"",""?00;"", //"""),"'","""")&amp;SUBSTITUTE(TEXT(IF(ISTEXT(Overig!J1410),Overig!J1410,10*Overig!J1410),""",""????0;"",""???-0;"",""????0;"", ////"""),"'","""")&amp;SUBSTITUTE(TEXT(Overig!K1410,""",""?00;"",""?-00;"",""?00;"", //"""),"'","""")&amp;SUBSTITUTE(TEXT(Overig!L1410,""",""???0;"",""??-0;"",""???0;"", ///"""),"'","""")&amp;SUBSTITUTE(TEXT(Overig!M1410,""",""?00;"",""?-00;"",""?00;"", //"""),"'","""")&amp;SUBSTITUTE(TEXT(IF(ISTEXT(Overig!N1410),Overig!N1410,10*Overig!N1410),""",""????0;"",""???-0;"",""????0;"", ////"""),"'","""")&amp;SUBSTITUTE(TEXT(Overig!O1410,""",""?00;"",""?-00;"",""?00;"", //"""),"'","""")&amp;SUBSTITUTE(TEXT(IF(ISTEXT(Overig!P1410),Overig!P1410,10*Overig!P1410),""",""????0;"",""???-0;"",""????0;"", ////"""),"'","""")&amp;SUBSTITUTE(TEXT(Overig!Q1410,""",""?00;"",""?-00;"",""?00;"", //"""),"'","""")&amp;SUBSTITUTE(TEXT(Overig!R1410,""",""????0;"",""???-0;"",""????0;"", ////"""),"'","""")&amp;SUBSTITUTE(TEXT(Overig!S1410,""",""?00;"",""?-00;"",""?00;"", //"""),"'","""")&amp;SUBSTITUTE(TEXT(IF(ISTEXT(Overig!T1410),Overig!T1410,10*Overig!T1410),""",""????0;"",""???-0;"",""????0;"", ////"""),"'","""")&amp;SUBSTITUTE(TEXT(Overig!U1410,""",""?00;"",""?-00;"",""?00;"", //"""),"'","""")&amp;SUBSTITUTE(TEXT(Overig!V1410,""",""???0;"",""??-0;"",""???0;"", ///"""),"'","""")&amp;SUBSTITUTE(TEXT(Overig!W1410,""",""?00;"",""?-00;"",""?00;"", //"""),"'","""")</f>
        <v>032, 19401218, 07.00, ////, 07, ////, 07, ////, 07, ////, 07, ///, 07, ////, 07, ////, 07, ////, 07, ////, 07, ///, 07</v>
      </c>
    </row>
    <row r="1411" spans="1:1" x14ac:dyDescent="0.25">
      <c r="A1411" s="12" t="str">
        <f ca="1">TEXT(Overig!A1411,"000\,")&amp;TEXT(Overig!B1411,"?00000000")&amp;TEXT(Overig!C1411,""", ""@")&amp;SUBSTITUTE(TEXT(IF(ISTEXT(Overig!D1411),Overig!D1411,10*Overig!D1411),""",""????0;"",""???-0;"",""????0;"", ////"""),"'","""")&amp;SUBSTITUTE(TEXT(Overig!E1411,""",""?00;"",""?-00;"",""?00;"", //"""),"'","""")&amp;SUBSTITUTE(TEXT(IF(ISTEXT(Overig!F1411),Overig!F1411,10*Overig!F1411),""",""????0;"",""???-0;"",""????0;"", ////"""),"'","""")&amp;SUBSTITUTE(TEXT(Overig!G1411,""",""?00;"",""?-00;"",""?00;"", //"""),"'","""")&amp;SUBSTITUTE(TEXT(IF(ISTEXT(Overig!H1411),Overig!H1411,10*Overig!H1411),""",""????0;"",""???-0;"",""????0;"", ////"""),"'","""")&amp;SUBSTITUTE(TEXT(Overig!I1411,""",""?00;"",""?-00;"",""?00;"", //"""),"'","""")&amp;SUBSTITUTE(TEXT(IF(ISTEXT(Overig!J1411),Overig!J1411,10*Overig!J1411),""",""????0;"",""???-0;"",""????0;"", ////"""),"'","""")&amp;SUBSTITUTE(TEXT(Overig!K1411,""",""?00;"",""?-00;"",""?00;"", //"""),"'","""")&amp;SUBSTITUTE(TEXT(Overig!L1411,""",""???0;"",""??-0;"",""???0;"", ///"""),"'","""")&amp;SUBSTITUTE(TEXT(Overig!M1411,""",""?00;"",""?-00;"",""?00;"", //"""),"'","""")&amp;SUBSTITUTE(TEXT(IF(ISTEXT(Overig!N1411),Overig!N1411,10*Overig!N1411),""",""????0;"",""???-0;"",""????0;"", ////"""),"'","""")&amp;SUBSTITUTE(TEXT(Overig!O1411,""",""?00;"",""?-00;"",""?00;"", //"""),"'","""")&amp;SUBSTITUTE(TEXT(IF(ISTEXT(Overig!P1411),Overig!P1411,10*Overig!P1411),""",""????0;"",""???-0;"",""????0;"", ////"""),"'","""")&amp;SUBSTITUTE(TEXT(Overig!Q1411,""",""?00;"",""?-00;"",""?00;"", //"""),"'","""")&amp;SUBSTITUTE(TEXT(Overig!R1411,""",""????0;"",""???-0;"",""????0;"", ////"""),"'","""")&amp;SUBSTITUTE(TEXT(Overig!S1411,""",""?00;"",""?-00;"",""?00;"", //"""),"'","""")&amp;SUBSTITUTE(TEXT(IF(ISTEXT(Overig!T1411),Overig!T1411,10*Overig!T1411),""",""????0;"",""???-0;"",""????0;"", ////"""),"'","""")&amp;SUBSTITUTE(TEXT(Overig!U1411,""",""?00;"",""?-00;"",""?00;"", //"""),"'","""")&amp;SUBSTITUTE(TEXT(Overig!V1411,""",""???0;"",""??-0;"",""???0;"", ///"""),"'","""")&amp;SUBSTITUTE(TEXT(Overig!W1411,""",""?00;"",""?-00;"",""?00;"", //"""),"'","""")</f>
        <v>032, 19401218, 12.00, ////, 07, ////, 07, ////, 07, ////, 07, ///, 07, ////, 07, ////, 07, ////, 07, ////, 07, ///, 07</v>
      </c>
    </row>
    <row r="1412" spans="1:1" x14ac:dyDescent="0.25">
      <c r="A1412" s="12" t="str">
        <f ca="1">TEXT(Overig!A1412,"000\,")&amp;TEXT(Overig!B1412,"?00000000")&amp;TEXT(Overig!C1412,""", ""@")&amp;SUBSTITUTE(TEXT(IF(ISTEXT(Overig!D1412),Overig!D1412,10*Overig!D1412),""",""????0;"",""???-0;"",""????0;"", ////"""),"'","""")&amp;SUBSTITUTE(TEXT(Overig!E1412,""",""?00;"",""?-00;"",""?00;"", //"""),"'","""")&amp;SUBSTITUTE(TEXT(IF(ISTEXT(Overig!F1412),Overig!F1412,10*Overig!F1412),""",""????0;"",""???-0;"",""????0;"", ////"""),"'","""")&amp;SUBSTITUTE(TEXT(Overig!G1412,""",""?00;"",""?-00;"",""?00;"", //"""),"'","""")&amp;SUBSTITUTE(TEXT(IF(ISTEXT(Overig!H1412),Overig!H1412,10*Overig!H1412),""",""????0;"",""???-0;"",""????0;"", ////"""),"'","""")&amp;SUBSTITUTE(TEXT(Overig!I1412,""",""?00;"",""?-00;"",""?00;"", //"""),"'","""")&amp;SUBSTITUTE(TEXT(IF(ISTEXT(Overig!J1412),Overig!J1412,10*Overig!J1412),""",""????0;"",""???-0;"",""????0;"", ////"""),"'","""")&amp;SUBSTITUTE(TEXT(Overig!K1412,""",""?00;"",""?-00;"",""?00;"", //"""),"'","""")&amp;SUBSTITUTE(TEXT(Overig!L1412,""",""???0;"",""??-0;"",""???0;"", ///"""),"'","""")&amp;SUBSTITUTE(TEXT(Overig!M1412,""",""?00;"",""?-00;"",""?00;"", //"""),"'","""")&amp;SUBSTITUTE(TEXT(IF(ISTEXT(Overig!N1412),Overig!N1412,10*Overig!N1412),""",""????0;"",""???-0;"",""????0;"", ////"""),"'","""")&amp;SUBSTITUTE(TEXT(Overig!O1412,""",""?00;"",""?-00;"",""?00;"", //"""),"'","""")&amp;SUBSTITUTE(TEXT(IF(ISTEXT(Overig!P1412),Overig!P1412,10*Overig!P1412),""",""????0;"",""???-0;"",""????0;"", ////"""),"'","""")&amp;SUBSTITUTE(TEXT(Overig!Q1412,""",""?00;"",""?-00;"",""?00;"", //"""),"'","""")&amp;SUBSTITUTE(TEXT(Overig!R1412,""",""????0;"",""???-0;"",""????0;"", ////"""),"'","""")&amp;SUBSTITUTE(TEXT(Overig!S1412,""",""?00;"",""?-00;"",""?00;"", //"""),"'","""")&amp;SUBSTITUTE(TEXT(IF(ISTEXT(Overig!T1412),Overig!T1412,10*Overig!T1412),""",""????0;"",""???-0;"",""????0;"", ////"""),"'","""")&amp;SUBSTITUTE(TEXT(Overig!U1412,""",""?00;"",""?-00;"",""?00;"", //"""),"'","""")&amp;SUBSTITUTE(TEXT(Overig!V1412,""",""???0;"",""??-0;"",""???0;"", ///"""),"'","""")&amp;SUBSTITUTE(TEXT(Overig!W1412,""",""?00;"",""?-00;"",""?00;"", //"""),"'","""")</f>
        <v>032, 19401218, 17.00, ////, 07, ////, 07, ////, 07, ////, 07, ///, 07, ////, 07, ////, 07, ////, 07, ////, 07, ///, 07</v>
      </c>
    </row>
    <row r="1413" spans="1:1" x14ac:dyDescent="0.25">
      <c r="A1413" s="12" t="str">
        <f ca="1">TEXT(Overig!A1413,"000\,")&amp;TEXT(Overig!B1413,"?00000000")&amp;TEXT(Overig!C1413,""", ""@")&amp;SUBSTITUTE(TEXT(IF(ISTEXT(Overig!D1413),Overig!D1413,10*Overig!D1413),""",""????0;"",""???-0;"",""????0;"", ////"""),"'","""")&amp;SUBSTITUTE(TEXT(Overig!E1413,""",""?00;"",""?-00;"",""?00;"", //"""),"'","""")&amp;SUBSTITUTE(TEXT(IF(ISTEXT(Overig!F1413),Overig!F1413,10*Overig!F1413),""",""????0;"",""???-0;"",""????0;"", ////"""),"'","""")&amp;SUBSTITUTE(TEXT(Overig!G1413,""",""?00;"",""?-00;"",""?00;"", //"""),"'","""")&amp;SUBSTITUTE(TEXT(IF(ISTEXT(Overig!H1413),Overig!H1413,10*Overig!H1413),""",""????0;"",""???-0;"",""????0;"", ////"""),"'","""")&amp;SUBSTITUTE(TEXT(Overig!I1413,""",""?00;"",""?-00;"",""?00;"", //"""),"'","""")&amp;SUBSTITUTE(TEXT(IF(ISTEXT(Overig!J1413),Overig!J1413,10*Overig!J1413),""",""????0;"",""???-0;"",""????0;"", ////"""),"'","""")&amp;SUBSTITUTE(TEXT(Overig!K1413,""",""?00;"",""?-00;"",""?00;"", //"""),"'","""")&amp;SUBSTITUTE(TEXT(Overig!L1413,""",""???0;"",""??-0;"",""???0;"", ///"""),"'","""")&amp;SUBSTITUTE(TEXT(Overig!M1413,""",""?00;"",""?-00;"",""?00;"", //"""),"'","""")&amp;SUBSTITUTE(TEXT(IF(ISTEXT(Overig!N1413),Overig!N1413,10*Overig!N1413),""",""????0;"",""???-0;"",""????0;"", ////"""),"'","""")&amp;SUBSTITUTE(TEXT(Overig!O1413,""",""?00;"",""?-00;"",""?00;"", //"""),"'","""")&amp;SUBSTITUTE(TEXT(IF(ISTEXT(Overig!P1413),Overig!P1413,10*Overig!P1413),""",""????0;"",""???-0;"",""????0;"", ////"""),"'","""")&amp;SUBSTITUTE(TEXT(Overig!Q1413,""",""?00;"",""?-00;"",""?00;"", //"""),"'","""")&amp;SUBSTITUTE(TEXT(Overig!R1413,""",""????0;"",""???-0;"",""????0;"", ////"""),"'","""")&amp;SUBSTITUTE(TEXT(Overig!S1413,""",""?00;"",""?-00;"",""?00;"", //"""),"'","""")&amp;SUBSTITUTE(TEXT(IF(ISTEXT(Overig!T1413),Overig!T1413,10*Overig!T1413),""",""????0;"",""???-0;"",""????0;"", ////"""),"'","""")&amp;SUBSTITUTE(TEXT(Overig!U1413,""",""?00;"",""?-00;"",""?00;"", //"""),"'","""")&amp;SUBSTITUTE(TEXT(Overig!V1413,""",""???0;"",""??-0;"",""???0;"", ///"""),"'","""")&amp;SUBSTITUTE(TEXT(Overig!W1413,""",""?00;"",""?-00;"",""?00;"", //"""),"'","""")</f>
        <v>032, 19401218, 24.00, ////, 07, ////, 07, ////, 07, ////, 07, ///, 07, ////, 07, ////, 07, ////, 07, ////, 07, ///, 07</v>
      </c>
    </row>
    <row r="1414" spans="1:1" x14ac:dyDescent="0.25">
      <c r="A1414" s="12" t="str">
        <f ca="1">TEXT(Overig!A1414,"000\,")&amp;TEXT(Overig!B1414,"?00000000")&amp;TEXT(Overig!C1414,""", ""@")&amp;SUBSTITUTE(TEXT(IF(ISTEXT(Overig!D1414),Overig!D1414,10*Overig!D1414),""",""????0;"",""???-0;"",""????0;"", ////"""),"'","""")&amp;SUBSTITUTE(TEXT(Overig!E1414,""",""?00;"",""?-00;"",""?00;"", //"""),"'","""")&amp;SUBSTITUTE(TEXT(IF(ISTEXT(Overig!F1414),Overig!F1414,10*Overig!F1414),""",""????0;"",""???-0;"",""????0;"", ////"""),"'","""")&amp;SUBSTITUTE(TEXT(Overig!G1414,""",""?00;"",""?-00;"",""?00;"", //"""),"'","""")&amp;SUBSTITUTE(TEXT(IF(ISTEXT(Overig!H1414),Overig!H1414,10*Overig!H1414),""",""????0;"",""???-0;"",""????0;"", ////"""),"'","""")&amp;SUBSTITUTE(TEXT(Overig!I1414,""",""?00;"",""?-00;"",""?00;"", //"""),"'","""")&amp;SUBSTITUTE(TEXT(IF(ISTEXT(Overig!J1414),Overig!J1414,10*Overig!J1414),""",""????0;"",""???-0;"",""????0;"", ////"""),"'","""")&amp;SUBSTITUTE(TEXT(Overig!K1414,""",""?00;"",""?-00;"",""?00;"", //"""),"'","""")&amp;SUBSTITUTE(TEXT(Overig!L1414,""",""???0;"",""??-0;"",""???0;"", ///"""),"'","""")&amp;SUBSTITUTE(TEXT(Overig!M1414,""",""?00;"",""?-00;"",""?00;"", //"""),"'","""")&amp;SUBSTITUTE(TEXT(IF(ISTEXT(Overig!N1414),Overig!N1414,10*Overig!N1414),""",""????0;"",""???-0;"",""????0;"", ////"""),"'","""")&amp;SUBSTITUTE(TEXT(Overig!O1414,""",""?00;"",""?-00;"",""?00;"", //"""),"'","""")&amp;SUBSTITUTE(TEXT(IF(ISTEXT(Overig!P1414),Overig!P1414,10*Overig!P1414),""",""????0;"",""???-0;"",""????0;"", ////"""),"'","""")&amp;SUBSTITUTE(TEXT(Overig!Q1414,""",""?00;"",""?-00;"",""?00;"", //"""),"'","""")&amp;SUBSTITUTE(TEXT(Overig!R1414,""",""????0;"",""???-0;"",""????0;"", ////"""),"'","""")&amp;SUBSTITUTE(TEXT(Overig!S1414,""",""?00;"",""?-00;"",""?00;"", //"""),"'","""")&amp;SUBSTITUTE(TEXT(IF(ISTEXT(Overig!T1414),Overig!T1414,10*Overig!T1414),""",""????0;"",""???-0;"",""????0;"", ////"""),"'","""")&amp;SUBSTITUTE(TEXT(Overig!U1414,""",""?00;"",""?-00;"",""?00;"", //"""),"'","""")&amp;SUBSTITUTE(TEXT(Overig!V1414,""",""???0;"",""??-0;"",""???0;"", ///"""),"'","""")&amp;SUBSTITUTE(TEXT(Overig!W1414,""",""?00;"",""?-00;"",""?00;"", //"""),"'","""")</f>
        <v>032, 19401219, 07.00, ////, 07, ////, 07, ////, 07, ////, 07, ///, 07, ////, 07, ////, 07, ////, 07, ////, 07, ///, 07</v>
      </c>
    </row>
    <row r="1415" spans="1:1" x14ac:dyDescent="0.25">
      <c r="A1415" s="12" t="str">
        <f ca="1">TEXT(Overig!A1415,"000\,")&amp;TEXT(Overig!B1415,"?00000000")&amp;TEXT(Overig!C1415,""", ""@")&amp;SUBSTITUTE(TEXT(IF(ISTEXT(Overig!D1415),Overig!D1415,10*Overig!D1415),""",""????0;"",""???-0;"",""????0;"", ////"""),"'","""")&amp;SUBSTITUTE(TEXT(Overig!E1415,""",""?00;"",""?-00;"",""?00;"", //"""),"'","""")&amp;SUBSTITUTE(TEXT(IF(ISTEXT(Overig!F1415),Overig!F1415,10*Overig!F1415),""",""????0;"",""???-0;"",""????0;"", ////"""),"'","""")&amp;SUBSTITUTE(TEXT(Overig!G1415,""",""?00;"",""?-00;"",""?00;"", //"""),"'","""")&amp;SUBSTITUTE(TEXT(IF(ISTEXT(Overig!H1415),Overig!H1415,10*Overig!H1415),""",""????0;"",""???-0;"",""????0;"", ////"""),"'","""")&amp;SUBSTITUTE(TEXT(Overig!I1415,""",""?00;"",""?-00;"",""?00;"", //"""),"'","""")&amp;SUBSTITUTE(TEXT(IF(ISTEXT(Overig!J1415),Overig!J1415,10*Overig!J1415),""",""????0;"",""???-0;"",""????0;"", ////"""),"'","""")&amp;SUBSTITUTE(TEXT(Overig!K1415,""",""?00;"",""?-00;"",""?00;"", //"""),"'","""")&amp;SUBSTITUTE(TEXT(Overig!L1415,""",""???0;"",""??-0;"",""???0;"", ///"""),"'","""")&amp;SUBSTITUTE(TEXT(Overig!M1415,""",""?00;"",""?-00;"",""?00;"", //"""),"'","""")&amp;SUBSTITUTE(TEXT(IF(ISTEXT(Overig!N1415),Overig!N1415,10*Overig!N1415),""",""????0;"",""???-0;"",""????0;"", ////"""),"'","""")&amp;SUBSTITUTE(TEXT(Overig!O1415,""",""?00;"",""?-00;"",""?00;"", //"""),"'","""")&amp;SUBSTITUTE(TEXT(IF(ISTEXT(Overig!P1415),Overig!P1415,10*Overig!P1415),""",""????0;"",""???-0;"",""????0;"", ////"""),"'","""")&amp;SUBSTITUTE(TEXT(Overig!Q1415,""",""?00;"",""?-00;"",""?00;"", //"""),"'","""")&amp;SUBSTITUTE(TEXT(Overig!R1415,""",""????0;"",""???-0;"",""????0;"", ////"""),"'","""")&amp;SUBSTITUTE(TEXT(Overig!S1415,""",""?00;"",""?-00;"",""?00;"", //"""),"'","""")&amp;SUBSTITUTE(TEXT(IF(ISTEXT(Overig!T1415),Overig!T1415,10*Overig!T1415),""",""????0;"",""???-0;"",""????0;"", ////"""),"'","""")&amp;SUBSTITUTE(TEXT(Overig!U1415,""",""?00;"",""?-00;"",""?00;"", //"""),"'","""")&amp;SUBSTITUTE(TEXT(Overig!V1415,""",""???0;"",""??-0;"",""???0;"", ///"""),"'","""")&amp;SUBSTITUTE(TEXT(Overig!W1415,""",""?00;"",""?-00;"",""?00;"", //"""),"'","""")</f>
        <v>032, 19401219, 12.00, ////, 07, ////, 07, ////, 07, ////, 07, ///, 07, ////, 07, ////, 07, ////, 07, ////, 07, ///, 07</v>
      </c>
    </row>
    <row r="1416" spans="1:1" x14ac:dyDescent="0.25">
      <c r="A1416" s="12" t="str">
        <f ca="1">TEXT(Overig!A1416,"000\,")&amp;TEXT(Overig!B1416,"?00000000")&amp;TEXT(Overig!C1416,""", ""@")&amp;SUBSTITUTE(TEXT(IF(ISTEXT(Overig!D1416),Overig!D1416,10*Overig!D1416),""",""????0;"",""???-0;"",""????0;"", ////"""),"'","""")&amp;SUBSTITUTE(TEXT(Overig!E1416,""",""?00;"",""?-00;"",""?00;"", //"""),"'","""")&amp;SUBSTITUTE(TEXT(IF(ISTEXT(Overig!F1416),Overig!F1416,10*Overig!F1416),""",""????0;"",""???-0;"",""????0;"", ////"""),"'","""")&amp;SUBSTITUTE(TEXT(Overig!G1416,""",""?00;"",""?-00;"",""?00;"", //"""),"'","""")&amp;SUBSTITUTE(TEXT(IF(ISTEXT(Overig!H1416),Overig!H1416,10*Overig!H1416),""",""????0;"",""???-0;"",""????0;"", ////"""),"'","""")&amp;SUBSTITUTE(TEXT(Overig!I1416,""",""?00;"",""?-00;"",""?00;"", //"""),"'","""")&amp;SUBSTITUTE(TEXT(IF(ISTEXT(Overig!J1416),Overig!J1416,10*Overig!J1416),""",""????0;"",""???-0;"",""????0;"", ////"""),"'","""")&amp;SUBSTITUTE(TEXT(Overig!K1416,""",""?00;"",""?-00;"",""?00;"", //"""),"'","""")&amp;SUBSTITUTE(TEXT(Overig!L1416,""",""???0;"",""??-0;"",""???0;"", ///"""),"'","""")&amp;SUBSTITUTE(TEXT(Overig!M1416,""",""?00;"",""?-00;"",""?00;"", //"""),"'","""")&amp;SUBSTITUTE(TEXT(IF(ISTEXT(Overig!N1416),Overig!N1416,10*Overig!N1416),""",""????0;"",""???-0;"",""????0;"", ////"""),"'","""")&amp;SUBSTITUTE(TEXT(Overig!O1416,""",""?00;"",""?-00;"",""?00;"", //"""),"'","""")&amp;SUBSTITUTE(TEXT(IF(ISTEXT(Overig!P1416),Overig!P1416,10*Overig!P1416),""",""????0;"",""???-0;"",""????0;"", ////"""),"'","""")&amp;SUBSTITUTE(TEXT(Overig!Q1416,""",""?00;"",""?-00;"",""?00;"", //"""),"'","""")&amp;SUBSTITUTE(TEXT(Overig!R1416,""",""????0;"",""???-0;"",""????0;"", ////"""),"'","""")&amp;SUBSTITUTE(TEXT(Overig!S1416,""",""?00;"",""?-00;"",""?00;"", //"""),"'","""")&amp;SUBSTITUTE(TEXT(IF(ISTEXT(Overig!T1416),Overig!T1416,10*Overig!T1416),""",""????0;"",""???-0;"",""????0;"", ////"""),"'","""")&amp;SUBSTITUTE(TEXT(Overig!U1416,""",""?00;"",""?-00;"",""?00;"", //"""),"'","""")&amp;SUBSTITUTE(TEXT(Overig!V1416,""",""???0;"",""??-0;"",""???0;"", ///"""),"'","""")&amp;SUBSTITUTE(TEXT(Overig!W1416,""",""?00;"",""?-00;"",""?00;"", //"""),"'","""")</f>
        <v>032, 19401219, 17.00, ////, 07, ////, 07, ////, 07, ////, 07, ///, 07, ////, 07, ////, 07, ////, 07, ////, 07, ///, 07</v>
      </c>
    </row>
    <row r="1417" spans="1:1" x14ac:dyDescent="0.25">
      <c r="A1417" s="12" t="str">
        <f ca="1">TEXT(Overig!A1417,"000\,")&amp;TEXT(Overig!B1417,"?00000000")&amp;TEXT(Overig!C1417,""", ""@")&amp;SUBSTITUTE(TEXT(IF(ISTEXT(Overig!D1417),Overig!D1417,10*Overig!D1417),""",""????0;"",""???-0;"",""????0;"", ////"""),"'","""")&amp;SUBSTITUTE(TEXT(Overig!E1417,""",""?00;"",""?-00;"",""?00;"", //"""),"'","""")&amp;SUBSTITUTE(TEXT(IF(ISTEXT(Overig!F1417),Overig!F1417,10*Overig!F1417),""",""????0;"",""???-0;"",""????0;"", ////"""),"'","""")&amp;SUBSTITUTE(TEXT(Overig!G1417,""",""?00;"",""?-00;"",""?00;"", //"""),"'","""")&amp;SUBSTITUTE(TEXT(IF(ISTEXT(Overig!H1417),Overig!H1417,10*Overig!H1417),""",""????0;"",""???-0;"",""????0;"", ////"""),"'","""")&amp;SUBSTITUTE(TEXT(Overig!I1417,""",""?00;"",""?-00;"",""?00;"", //"""),"'","""")&amp;SUBSTITUTE(TEXT(IF(ISTEXT(Overig!J1417),Overig!J1417,10*Overig!J1417),""",""????0;"",""???-0;"",""????0;"", ////"""),"'","""")&amp;SUBSTITUTE(TEXT(Overig!K1417,""",""?00;"",""?-00;"",""?00;"", //"""),"'","""")&amp;SUBSTITUTE(TEXT(Overig!L1417,""",""???0;"",""??-0;"",""???0;"", ///"""),"'","""")&amp;SUBSTITUTE(TEXT(Overig!M1417,""",""?00;"",""?-00;"",""?00;"", //"""),"'","""")&amp;SUBSTITUTE(TEXT(IF(ISTEXT(Overig!N1417),Overig!N1417,10*Overig!N1417),""",""????0;"",""???-0;"",""????0;"", ////"""),"'","""")&amp;SUBSTITUTE(TEXT(Overig!O1417,""",""?00;"",""?-00;"",""?00;"", //"""),"'","""")&amp;SUBSTITUTE(TEXT(IF(ISTEXT(Overig!P1417),Overig!P1417,10*Overig!P1417),""",""????0;"",""???-0;"",""????0;"", ////"""),"'","""")&amp;SUBSTITUTE(TEXT(Overig!Q1417,""",""?00;"",""?-00;"",""?00;"", //"""),"'","""")&amp;SUBSTITUTE(TEXT(Overig!R1417,""",""????0;"",""???-0;"",""????0;"", ////"""),"'","""")&amp;SUBSTITUTE(TEXT(Overig!S1417,""",""?00;"",""?-00;"",""?00;"", //"""),"'","""")&amp;SUBSTITUTE(TEXT(IF(ISTEXT(Overig!T1417),Overig!T1417,10*Overig!T1417),""",""????0;"",""???-0;"",""????0;"", ////"""),"'","""")&amp;SUBSTITUTE(TEXT(Overig!U1417,""",""?00;"",""?-00;"",""?00;"", //"""),"'","""")&amp;SUBSTITUTE(TEXT(Overig!V1417,""",""???0;"",""??-0;"",""???0;"", ///"""),"'","""")&amp;SUBSTITUTE(TEXT(Overig!W1417,""",""?00;"",""?-00;"",""?00;"", //"""),"'","""")</f>
        <v>032, 19401219, 24.00, ////, 07, ////, 07, ////, 07, ////, 07, ///, 07, ////, 07, ////, 07, ////, 07, ////, 07, ///, 07</v>
      </c>
    </row>
    <row r="1418" spans="1:1" x14ac:dyDescent="0.25">
      <c r="A1418" s="12" t="str">
        <f ca="1">TEXT(Overig!A1418,"000\,")&amp;TEXT(Overig!B1418,"?00000000")&amp;TEXT(Overig!C1418,""", ""@")&amp;SUBSTITUTE(TEXT(IF(ISTEXT(Overig!D1418),Overig!D1418,10*Overig!D1418),""",""????0;"",""???-0;"",""????0;"", ////"""),"'","""")&amp;SUBSTITUTE(TEXT(Overig!E1418,""",""?00;"",""?-00;"",""?00;"", //"""),"'","""")&amp;SUBSTITUTE(TEXT(IF(ISTEXT(Overig!F1418),Overig!F1418,10*Overig!F1418),""",""????0;"",""???-0;"",""????0;"", ////"""),"'","""")&amp;SUBSTITUTE(TEXT(Overig!G1418,""",""?00;"",""?-00;"",""?00;"", //"""),"'","""")&amp;SUBSTITUTE(TEXT(IF(ISTEXT(Overig!H1418),Overig!H1418,10*Overig!H1418),""",""????0;"",""???-0;"",""????0;"", ////"""),"'","""")&amp;SUBSTITUTE(TEXT(Overig!I1418,""",""?00;"",""?-00;"",""?00;"", //"""),"'","""")&amp;SUBSTITUTE(TEXT(IF(ISTEXT(Overig!J1418),Overig!J1418,10*Overig!J1418),""",""????0;"",""???-0;"",""????0;"", ////"""),"'","""")&amp;SUBSTITUTE(TEXT(Overig!K1418,""",""?00;"",""?-00;"",""?00;"", //"""),"'","""")&amp;SUBSTITUTE(TEXT(Overig!L1418,""",""???0;"",""??-0;"",""???0;"", ///"""),"'","""")&amp;SUBSTITUTE(TEXT(Overig!M1418,""",""?00;"",""?-00;"",""?00;"", //"""),"'","""")&amp;SUBSTITUTE(TEXT(IF(ISTEXT(Overig!N1418),Overig!N1418,10*Overig!N1418),""",""????0;"",""???-0;"",""????0;"", ////"""),"'","""")&amp;SUBSTITUTE(TEXT(Overig!O1418,""",""?00;"",""?-00;"",""?00;"", //"""),"'","""")&amp;SUBSTITUTE(TEXT(IF(ISTEXT(Overig!P1418),Overig!P1418,10*Overig!P1418),""",""????0;"",""???-0;"",""????0;"", ////"""),"'","""")&amp;SUBSTITUTE(TEXT(Overig!Q1418,""",""?00;"",""?-00;"",""?00;"", //"""),"'","""")&amp;SUBSTITUTE(TEXT(Overig!R1418,""",""????0;"",""???-0;"",""????0;"", ////"""),"'","""")&amp;SUBSTITUTE(TEXT(Overig!S1418,""",""?00;"",""?-00;"",""?00;"", //"""),"'","""")&amp;SUBSTITUTE(TEXT(IF(ISTEXT(Overig!T1418),Overig!T1418,10*Overig!T1418),""",""????0;"",""???-0;"",""????0;"", ////"""),"'","""")&amp;SUBSTITUTE(TEXT(Overig!U1418,""",""?00;"",""?-00;"",""?00;"", //"""),"'","""")&amp;SUBSTITUTE(TEXT(Overig!V1418,""",""???0;"",""??-0;"",""???0;"", ///"""),"'","""")&amp;SUBSTITUTE(TEXT(Overig!W1418,""",""?00;"",""?-00;"",""?00;"", //"""),"'","""")</f>
        <v>032, 19401220, 07.00, ////, 07, ////, 07, ////, 07, ////, 07, ///, 07, ////, 07, ////, 07, ////, 07, ////, 07, ///, 07</v>
      </c>
    </row>
    <row r="1419" spans="1:1" x14ac:dyDescent="0.25">
      <c r="A1419" s="12" t="str">
        <f ca="1">TEXT(Overig!A1419,"000\,")&amp;TEXT(Overig!B1419,"?00000000")&amp;TEXT(Overig!C1419,""", ""@")&amp;SUBSTITUTE(TEXT(IF(ISTEXT(Overig!D1419),Overig!D1419,10*Overig!D1419),""",""????0;"",""???-0;"",""????0;"", ////"""),"'","""")&amp;SUBSTITUTE(TEXT(Overig!E1419,""",""?00;"",""?-00;"",""?00;"", //"""),"'","""")&amp;SUBSTITUTE(TEXT(IF(ISTEXT(Overig!F1419),Overig!F1419,10*Overig!F1419),""",""????0;"",""???-0;"",""????0;"", ////"""),"'","""")&amp;SUBSTITUTE(TEXT(Overig!G1419,""",""?00;"",""?-00;"",""?00;"", //"""),"'","""")&amp;SUBSTITUTE(TEXT(IF(ISTEXT(Overig!H1419),Overig!H1419,10*Overig!H1419),""",""????0;"",""???-0;"",""????0;"", ////"""),"'","""")&amp;SUBSTITUTE(TEXT(Overig!I1419,""",""?00;"",""?-00;"",""?00;"", //"""),"'","""")&amp;SUBSTITUTE(TEXT(IF(ISTEXT(Overig!J1419),Overig!J1419,10*Overig!J1419),""",""????0;"",""???-0;"",""????0;"", ////"""),"'","""")&amp;SUBSTITUTE(TEXT(Overig!K1419,""",""?00;"",""?-00;"",""?00;"", //"""),"'","""")&amp;SUBSTITUTE(TEXT(Overig!L1419,""",""???0;"",""??-0;"",""???0;"", ///"""),"'","""")&amp;SUBSTITUTE(TEXT(Overig!M1419,""",""?00;"",""?-00;"",""?00;"", //"""),"'","""")&amp;SUBSTITUTE(TEXT(IF(ISTEXT(Overig!N1419),Overig!N1419,10*Overig!N1419),""",""????0;"",""???-0;"",""????0;"", ////"""),"'","""")&amp;SUBSTITUTE(TEXT(Overig!O1419,""",""?00;"",""?-00;"",""?00;"", //"""),"'","""")&amp;SUBSTITUTE(TEXT(IF(ISTEXT(Overig!P1419),Overig!P1419,10*Overig!P1419),""",""????0;"",""???-0;"",""????0;"", ////"""),"'","""")&amp;SUBSTITUTE(TEXT(Overig!Q1419,""",""?00;"",""?-00;"",""?00;"", //"""),"'","""")&amp;SUBSTITUTE(TEXT(Overig!R1419,""",""????0;"",""???-0;"",""????0;"", ////"""),"'","""")&amp;SUBSTITUTE(TEXT(Overig!S1419,""",""?00;"",""?-00;"",""?00;"", //"""),"'","""")&amp;SUBSTITUTE(TEXT(IF(ISTEXT(Overig!T1419),Overig!T1419,10*Overig!T1419),""",""????0;"",""???-0;"",""????0;"", ////"""),"'","""")&amp;SUBSTITUTE(TEXT(Overig!U1419,""",""?00;"",""?-00;"",""?00;"", //"""),"'","""")&amp;SUBSTITUTE(TEXT(Overig!V1419,""",""???0;"",""??-0;"",""???0;"", ///"""),"'","""")&amp;SUBSTITUTE(TEXT(Overig!W1419,""",""?00;"",""?-00;"",""?00;"", //"""),"'","""")</f>
        <v>032, 19401220, 12.00, ////, 07, ////, 07, ////, 07, ////, 07, ///, 07, ////, 07, ////, 07, ////, 07, ////, 07, ///, 07</v>
      </c>
    </row>
    <row r="1420" spans="1:1" x14ac:dyDescent="0.25">
      <c r="A1420" s="12" t="str">
        <f ca="1">TEXT(Overig!A1420,"000\,")&amp;TEXT(Overig!B1420,"?00000000")&amp;TEXT(Overig!C1420,""", ""@")&amp;SUBSTITUTE(TEXT(IF(ISTEXT(Overig!D1420),Overig!D1420,10*Overig!D1420),""",""????0;"",""???-0;"",""????0;"", ////"""),"'","""")&amp;SUBSTITUTE(TEXT(Overig!E1420,""",""?00;"",""?-00;"",""?00;"", //"""),"'","""")&amp;SUBSTITUTE(TEXT(IF(ISTEXT(Overig!F1420),Overig!F1420,10*Overig!F1420),""",""????0;"",""???-0;"",""????0;"", ////"""),"'","""")&amp;SUBSTITUTE(TEXT(Overig!G1420,""",""?00;"",""?-00;"",""?00;"", //"""),"'","""")&amp;SUBSTITUTE(TEXT(IF(ISTEXT(Overig!H1420),Overig!H1420,10*Overig!H1420),""",""????0;"",""???-0;"",""????0;"", ////"""),"'","""")&amp;SUBSTITUTE(TEXT(Overig!I1420,""",""?00;"",""?-00;"",""?00;"", //"""),"'","""")&amp;SUBSTITUTE(TEXT(IF(ISTEXT(Overig!J1420),Overig!J1420,10*Overig!J1420),""",""????0;"",""???-0;"",""????0;"", ////"""),"'","""")&amp;SUBSTITUTE(TEXT(Overig!K1420,""",""?00;"",""?-00;"",""?00;"", //"""),"'","""")&amp;SUBSTITUTE(TEXT(Overig!L1420,""",""???0;"",""??-0;"",""???0;"", ///"""),"'","""")&amp;SUBSTITUTE(TEXT(Overig!M1420,""",""?00;"",""?-00;"",""?00;"", //"""),"'","""")&amp;SUBSTITUTE(TEXT(IF(ISTEXT(Overig!N1420),Overig!N1420,10*Overig!N1420),""",""????0;"",""???-0;"",""????0;"", ////"""),"'","""")&amp;SUBSTITUTE(TEXT(Overig!O1420,""",""?00;"",""?-00;"",""?00;"", //"""),"'","""")&amp;SUBSTITUTE(TEXT(IF(ISTEXT(Overig!P1420),Overig!P1420,10*Overig!P1420),""",""????0;"",""???-0;"",""????0;"", ////"""),"'","""")&amp;SUBSTITUTE(TEXT(Overig!Q1420,""",""?00;"",""?-00;"",""?00;"", //"""),"'","""")&amp;SUBSTITUTE(TEXT(Overig!R1420,""",""????0;"",""???-0;"",""????0;"", ////"""),"'","""")&amp;SUBSTITUTE(TEXT(Overig!S1420,""",""?00;"",""?-00;"",""?00;"", //"""),"'","""")&amp;SUBSTITUTE(TEXT(IF(ISTEXT(Overig!T1420),Overig!T1420,10*Overig!T1420),""",""????0;"",""???-0;"",""????0;"", ////"""),"'","""")&amp;SUBSTITUTE(TEXT(Overig!U1420,""",""?00;"",""?-00;"",""?00;"", //"""),"'","""")&amp;SUBSTITUTE(TEXT(Overig!V1420,""",""???0;"",""??-0;"",""???0;"", ///"""),"'","""")&amp;SUBSTITUTE(TEXT(Overig!W1420,""",""?00;"",""?-00;"",""?00;"", //"""),"'","""")</f>
        <v>032, 19401220, 17.00, ////, 07, ////, 07, ////, 07, ////, 07, ///, 07, ////, 07, ////, 07, ////, 07, ////, 07, ///, 07</v>
      </c>
    </row>
    <row r="1421" spans="1:1" x14ac:dyDescent="0.25">
      <c r="A1421" s="12" t="str">
        <f ca="1">TEXT(Overig!A1421,"000\,")&amp;TEXT(Overig!B1421,"?00000000")&amp;TEXT(Overig!C1421,""", ""@")&amp;SUBSTITUTE(TEXT(IF(ISTEXT(Overig!D1421),Overig!D1421,10*Overig!D1421),""",""????0;"",""???-0;"",""????0;"", ////"""),"'","""")&amp;SUBSTITUTE(TEXT(Overig!E1421,""",""?00;"",""?-00;"",""?00;"", //"""),"'","""")&amp;SUBSTITUTE(TEXT(IF(ISTEXT(Overig!F1421),Overig!F1421,10*Overig!F1421),""",""????0;"",""???-0;"",""????0;"", ////"""),"'","""")&amp;SUBSTITUTE(TEXT(Overig!G1421,""",""?00;"",""?-00;"",""?00;"", //"""),"'","""")&amp;SUBSTITUTE(TEXT(IF(ISTEXT(Overig!H1421),Overig!H1421,10*Overig!H1421),""",""????0;"",""???-0;"",""????0;"", ////"""),"'","""")&amp;SUBSTITUTE(TEXT(Overig!I1421,""",""?00;"",""?-00;"",""?00;"", //"""),"'","""")&amp;SUBSTITUTE(TEXT(IF(ISTEXT(Overig!J1421),Overig!J1421,10*Overig!J1421),""",""????0;"",""???-0;"",""????0;"", ////"""),"'","""")&amp;SUBSTITUTE(TEXT(Overig!K1421,""",""?00;"",""?-00;"",""?00;"", //"""),"'","""")&amp;SUBSTITUTE(TEXT(Overig!L1421,""",""???0;"",""??-0;"",""???0;"", ///"""),"'","""")&amp;SUBSTITUTE(TEXT(Overig!M1421,""",""?00;"",""?-00;"",""?00;"", //"""),"'","""")&amp;SUBSTITUTE(TEXT(IF(ISTEXT(Overig!N1421),Overig!N1421,10*Overig!N1421),""",""????0;"",""???-0;"",""????0;"", ////"""),"'","""")&amp;SUBSTITUTE(TEXT(Overig!O1421,""",""?00;"",""?-00;"",""?00;"", //"""),"'","""")&amp;SUBSTITUTE(TEXT(IF(ISTEXT(Overig!P1421),Overig!P1421,10*Overig!P1421),""",""????0;"",""???-0;"",""????0;"", ////"""),"'","""")&amp;SUBSTITUTE(TEXT(Overig!Q1421,""",""?00;"",""?-00;"",""?00;"", //"""),"'","""")&amp;SUBSTITUTE(TEXT(Overig!R1421,""",""????0;"",""???-0;"",""????0;"", ////"""),"'","""")&amp;SUBSTITUTE(TEXT(Overig!S1421,""",""?00;"",""?-00;"",""?00;"", //"""),"'","""")&amp;SUBSTITUTE(TEXT(IF(ISTEXT(Overig!T1421),Overig!T1421,10*Overig!T1421),""",""????0;"",""???-0;"",""????0;"", ////"""),"'","""")&amp;SUBSTITUTE(TEXT(Overig!U1421,""",""?00;"",""?-00;"",""?00;"", //"""),"'","""")&amp;SUBSTITUTE(TEXT(Overig!V1421,""",""???0;"",""??-0;"",""???0;"", ///"""),"'","""")&amp;SUBSTITUTE(TEXT(Overig!W1421,""",""?00;"",""?-00;"",""?00;"", //"""),"'","""")</f>
        <v>032, 19401220, 24.00, ////, 07, ////, 07, ////, 07, ////, 07, ///, 07, ////, 07, ////, 07, ////, 07, ////, 07, ///, 07</v>
      </c>
    </row>
    <row r="1422" spans="1:1" x14ac:dyDescent="0.25">
      <c r="A1422" s="12" t="str">
        <f ca="1">TEXT(Overig!A1422,"000\,")&amp;TEXT(Overig!B1422,"?00000000")&amp;TEXT(Overig!C1422,""", ""@")&amp;SUBSTITUTE(TEXT(IF(ISTEXT(Overig!D1422),Overig!D1422,10*Overig!D1422),""",""????0;"",""???-0;"",""????0;"", ////"""),"'","""")&amp;SUBSTITUTE(TEXT(Overig!E1422,""",""?00;"",""?-00;"",""?00;"", //"""),"'","""")&amp;SUBSTITUTE(TEXT(IF(ISTEXT(Overig!F1422),Overig!F1422,10*Overig!F1422),""",""????0;"",""???-0;"",""????0;"", ////"""),"'","""")&amp;SUBSTITUTE(TEXT(Overig!G1422,""",""?00;"",""?-00;"",""?00;"", //"""),"'","""")&amp;SUBSTITUTE(TEXT(IF(ISTEXT(Overig!H1422),Overig!H1422,10*Overig!H1422),""",""????0;"",""???-0;"",""????0;"", ////"""),"'","""")&amp;SUBSTITUTE(TEXT(Overig!I1422,""",""?00;"",""?-00;"",""?00;"", //"""),"'","""")&amp;SUBSTITUTE(TEXT(IF(ISTEXT(Overig!J1422),Overig!J1422,10*Overig!J1422),""",""????0;"",""???-0;"",""????0;"", ////"""),"'","""")&amp;SUBSTITUTE(TEXT(Overig!K1422,""",""?00;"",""?-00;"",""?00;"", //"""),"'","""")&amp;SUBSTITUTE(TEXT(Overig!L1422,""",""???0;"",""??-0;"",""???0;"", ///"""),"'","""")&amp;SUBSTITUTE(TEXT(Overig!M1422,""",""?00;"",""?-00;"",""?00;"", //"""),"'","""")&amp;SUBSTITUTE(TEXT(IF(ISTEXT(Overig!N1422),Overig!N1422,10*Overig!N1422),""",""????0;"",""???-0;"",""????0;"", ////"""),"'","""")&amp;SUBSTITUTE(TEXT(Overig!O1422,""",""?00;"",""?-00;"",""?00;"", //"""),"'","""")&amp;SUBSTITUTE(TEXT(IF(ISTEXT(Overig!P1422),Overig!P1422,10*Overig!P1422),""",""????0;"",""???-0;"",""????0;"", ////"""),"'","""")&amp;SUBSTITUTE(TEXT(Overig!Q1422,""",""?00;"",""?-00;"",""?00;"", //"""),"'","""")&amp;SUBSTITUTE(TEXT(Overig!R1422,""",""????0;"",""???-0;"",""????0;"", ////"""),"'","""")&amp;SUBSTITUTE(TEXT(Overig!S1422,""",""?00;"",""?-00;"",""?00;"", //"""),"'","""")&amp;SUBSTITUTE(TEXT(IF(ISTEXT(Overig!T1422),Overig!T1422,10*Overig!T1422),""",""????0;"",""???-0;"",""????0;"", ////"""),"'","""")&amp;SUBSTITUTE(TEXT(Overig!U1422,""",""?00;"",""?-00;"",""?00;"", //"""),"'","""")&amp;SUBSTITUTE(TEXT(Overig!V1422,""",""???0;"",""??-0;"",""???0;"", ///"""),"'","""")&amp;SUBSTITUTE(TEXT(Overig!W1422,""",""?00;"",""?-00;"",""?00;"", //"""),"'","""")</f>
        <v>032, 19401221, 07.00, ////, 07, ////, 07, ////, 07, ////, 07, ///, 07, ////, 07, ////, 07, ////, 07, ////, 07, ///, 07</v>
      </c>
    </row>
    <row r="1423" spans="1:1" x14ac:dyDescent="0.25">
      <c r="A1423" s="12" t="str">
        <f ca="1">TEXT(Overig!A1423,"000\,")&amp;TEXT(Overig!B1423,"?00000000")&amp;TEXT(Overig!C1423,""", ""@")&amp;SUBSTITUTE(TEXT(IF(ISTEXT(Overig!D1423),Overig!D1423,10*Overig!D1423),""",""????0;"",""???-0;"",""????0;"", ////"""),"'","""")&amp;SUBSTITUTE(TEXT(Overig!E1423,""",""?00;"",""?-00;"",""?00;"", //"""),"'","""")&amp;SUBSTITUTE(TEXT(IF(ISTEXT(Overig!F1423),Overig!F1423,10*Overig!F1423),""",""????0;"",""???-0;"",""????0;"", ////"""),"'","""")&amp;SUBSTITUTE(TEXT(Overig!G1423,""",""?00;"",""?-00;"",""?00;"", //"""),"'","""")&amp;SUBSTITUTE(TEXT(IF(ISTEXT(Overig!H1423),Overig!H1423,10*Overig!H1423),""",""????0;"",""???-0;"",""????0;"", ////"""),"'","""")&amp;SUBSTITUTE(TEXT(Overig!I1423,""",""?00;"",""?-00;"",""?00;"", //"""),"'","""")&amp;SUBSTITUTE(TEXT(IF(ISTEXT(Overig!J1423),Overig!J1423,10*Overig!J1423),""",""????0;"",""???-0;"",""????0;"", ////"""),"'","""")&amp;SUBSTITUTE(TEXT(Overig!K1423,""",""?00;"",""?-00;"",""?00;"", //"""),"'","""")&amp;SUBSTITUTE(TEXT(Overig!L1423,""",""???0;"",""??-0;"",""???0;"", ///"""),"'","""")&amp;SUBSTITUTE(TEXT(Overig!M1423,""",""?00;"",""?-00;"",""?00;"", //"""),"'","""")&amp;SUBSTITUTE(TEXT(IF(ISTEXT(Overig!N1423),Overig!N1423,10*Overig!N1423),""",""????0;"",""???-0;"",""????0;"", ////"""),"'","""")&amp;SUBSTITUTE(TEXT(Overig!O1423,""",""?00;"",""?-00;"",""?00;"", //"""),"'","""")&amp;SUBSTITUTE(TEXT(IF(ISTEXT(Overig!P1423),Overig!P1423,10*Overig!P1423),""",""????0;"",""???-0;"",""????0;"", ////"""),"'","""")&amp;SUBSTITUTE(TEXT(Overig!Q1423,""",""?00;"",""?-00;"",""?00;"", //"""),"'","""")&amp;SUBSTITUTE(TEXT(Overig!R1423,""",""????0;"",""???-0;"",""????0;"", ////"""),"'","""")&amp;SUBSTITUTE(TEXT(Overig!S1423,""",""?00;"",""?-00;"",""?00;"", //"""),"'","""")&amp;SUBSTITUTE(TEXT(IF(ISTEXT(Overig!T1423),Overig!T1423,10*Overig!T1423),""",""????0;"",""???-0;"",""????0;"", ////"""),"'","""")&amp;SUBSTITUTE(TEXT(Overig!U1423,""",""?00;"",""?-00;"",""?00;"", //"""),"'","""")&amp;SUBSTITUTE(TEXT(Overig!V1423,""",""???0;"",""??-0;"",""???0;"", ///"""),"'","""")&amp;SUBSTITUTE(TEXT(Overig!W1423,""",""?00;"",""?-00;"",""?00;"", //"""),"'","""")</f>
        <v>032, 19401221, 12.00, ////, 07, ////, 07, ////, 07, ////, 07, ///, 07, ////, 07, ////, 07, ////, 07, ////, 07, ///, 07</v>
      </c>
    </row>
    <row r="1424" spans="1:1" x14ac:dyDescent="0.25">
      <c r="A1424" s="12" t="str">
        <f ca="1">TEXT(Overig!A1424,"000\,")&amp;TEXT(Overig!B1424,"?00000000")&amp;TEXT(Overig!C1424,""", ""@")&amp;SUBSTITUTE(TEXT(IF(ISTEXT(Overig!D1424),Overig!D1424,10*Overig!D1424),""",""????0;"",""???-0;"",""????0;"", ////"""),"'","""")&amp;SUBSTITUTE(TEXT(Overig!E1424,""",""?00;"",""?-00;"",""?00;"", //"""),"'","""")&amp;SUBSTITUTE(TEXT(IF(ISTEXT(Overig!F1424),Overig!F1424,10*Overig!F1424),""",""????0;"",""???-0;"",""????0;"", ////"""),"'","""")&amp;SUBSTITUTE(TEXT(Overig!G1424,""",""?00;"",""?-00;"",""?00;"", //"""),"'","""")&amp;SUBSTITUTE(TEXT(IF(ISTEXT(Overig!H1424),Overig!H1424,10*Overig!H1424),""",""????0;"",""???-0;"",""????0;"", ////"""),"'","""")&amp;SUBSTITUTE(TEXT(Overig!I1424,""",""?00;"",""?-00;"",""?00;"", //"""),"'","""")&amp;SUBSTITUTE(TEXT(IF(ISTEXT(Overig!J1424),Overig!J1424,10*Overig!J1424),""",""????0;"",""???-0;"",""????0;"", ////"""),"'","""")&amp;SUBSTITUTE(TEXT(Overig!K1424,""",""?00;"",""?-00;"",""?00;"", //"""),"'","""")&amp;SUBSTITUTE(TEXT(Overig!L1424,""",""???0;"",""??-0;"",""???0;"", ///"""),"'","""")&amp;SUBSTITUTE(TEXT(Overig!M1424,""",""?00;"",""?-00;"",""?00;"", //"""),"'","""")&amp;SUBSTITUTE(TEXT(IF(ISTEXT(Overig!N1424),Overig!N1424,10*Overig!N1424),""",""????0;"",""???-0;"",""????0;"", ////"""),"'","""")&amp;SUBSTITUTE(TEXT(Overig!O1424,""",""?00;"",""?-00;"",""?00;"", //"""),"'","""")&amp;SUBSTITUTE(TEXT(IF(ISTEXT(Overig!P1424),Overig!P1424,10*Overig!P1424),""",""????0;"",""???-0;"",""????0;"", ////"""),"'","""")&amp;SUBSTITUTE(TEXT(Overig!Q1424,""",""?00;"",""?-00;"",""?00;"", //"""),"'","""")&amp;SUBSTITUTE(TEXT(Overig!R1424,""",""????0;"",""???-0;"",""????0;"", ////"""),"'","""")&amp;SUBSTITUTE(TEXT(Overig!S1424,""",""?00;"",""?-00;"",""?00;"", //"""),"'","""")&amp;SUBSTITUTE(TEXT(IF(ISTEXT(Overig!T1424),Overig!T1424,10*Overig!T1424),""",""????0;"",""???-0;"",""????0;"", ////"""),"'","""")&amp;SUBSTITUTE(TEXT(Overig!U1424,""",""?00;"",""?-00;"",""?00;"", //"""),"'","""")&amp;SUBSTITUTE(TEXT(Overig!V1424,""",""???0;"",""??-0;"",""???0;"", ///"""),"'","""")&amp;SUBSTITUTE(TEXT(Overig!W1424,""",""?00;"",""?-00;"",""?00;"", //"""),"'","""")</f>
        <v>032, 19401221, 17.00, ////, 07, ////, 07, ////, 07, ////, 07, ///, 07, ////, 07, ////, 07, ////, 07, ////, 07, ///, 07</v>
      </c>
    </row>
    <row r="1425" spans="1:1" x14ac:dyDescent="0.25">
      <c r="A1425" s="12" t="str">
        <f ca="1">TEXT(Overig!A1425,"000\,")&amp;TEXT(Overig!B1425,"?00000000")&amp;TEXT(Overig!C1425,""", ""@")&amp;SUBSTITUTE(TEXT(IF(ISTEXT(Overig!D1425),Overig!D1425,10*Overig!D1425),""",""????0;"",""???-0;"",""????0;"", ////"""),"'","""")&amp;SUBSTITUTE(TEXT(Overig!E1425,""",""?00;"",""?-00;"",""?00;"", //"""),"'","""")&amp;SUBSTITUTE(TEXT(IF(ISTEXT(Overig!F1425),Overig!F1425,10*Overig!F1425),""",""????0;"",""???-0;"",""????0;"", ////"""),"'","""")&amp;SUBSTITUTE(TEXT(Overig!G1425,""",""?00;"",""?-00;"",""?00;"", //"""),"'","""")&amp;SUBSTITUTE(TEXT(IF(ISTEXT(Overig!H1425),Overig!H1425,10*Overig!H1425),""",""????0;"",""???-0;"",""????0;"", ////"""),"'","""")&amp;SUBSTITUTE(TEXT(Overig!I1425,""",""?00;"",""?-00;"",""?00;"", //"""),"'","""")&amp;SUBSTITUTE(TEXT(IF(ISTEXT(Overig!J1425),Overig!J1425,10*Overig!J1425),""",""????0;"",""???-0;"",""????0;"", ////"""),"'","""")&amp;SUBSTITUTE(TEXT(Overig!K1425,""",""?00;"",""?-00;"",""?00;"", //"""),"'","""")&amp;SUBSTITUTE(TEXT(Overig!L1425,""",""???0;"",""??-0;"",""???0;"", ///"""),"'","""")&amp;SUBSTITUTE(TEXT(Overig!M1425,""",""?00;"",""?-00;"",""?00;"", //"""),"'","""")&amp;SUBSTITUTE(TEXT(IF(ISTEXT(Overig!N1425),Overig!N1425,10*Overig!N1425),""",""????0;"",""???-0;"",""????0;"", ////"""),"'","""")&amp;SUBSTITUTE(TEXT(Overig!O1425,""",""?00;"",""?-00;"",""?00;"", //"""),"'","""")&amp;SUBSTITUTE(TEXT(IF(ISTEXT(Overig!P1425),Overig!P1425,10*Overig!P1425),""",""????0;"",""???-0;"",""????0;"", ////"""),"'","""")&amp;SUBSTITUTE(TEXT(Overig!Q1425,""",""?00;"",""?-00;"",""?00;"", //"""),"'","""")&amp;SUBSTITUTE(TEXT(Overig!R1425,""",""????0;"",""???-0;"",""????0;"", ////"""),"'","""")&amp;SUBSTITUTE(TEXT(Overig!S1425,""",""?00;"",""?-00;"",""?00;"", //"""),"'","""")&amp;SUBSTITUTE(TEXT(IF(ISTEXT(Overig!T1425),Overig!T1425,10*Overig!T1425),""",""????0;"",""???-0;"",""????0;"", ////"""),"'","""")&amp;SUBSTITUTE(TEXT(Overig!U1425,""",""?00;"",""?-00;"",""?00;"", //"""),"'","""")&amp;SUBSTITUTE(TEXT(Overig!V1425,""",""???0;"",""??-0;"",""???0;"", ///"""),"'","""")&amp;SUBSTITUTE(TEXT(Overig!W1425,""",""?00;"",""?-00;"",""?00;"", //"""),"'","""")</f>
        <v>032, 19401221, 24.00, ////, 07, ////, 07, ////, 07, ////, 07, ///, 07, ////, 07, ////, 07, ////, 07, ////, 07, ///, 07</v>
      </c>
    </row>
    <row r="1426" spans="1:1" x14ac:dyDescent="0.25">
      <c r="A1426" s="12" t="str">
        <f ca="1">TEXT(Overig!A1426,"000\,")&amp;TEXT(Overig!B1426,"?00000000")&amp;TEXT(Overig!C1426,""", ""@")&amp;SUBSTITUTE(TEXT(IF(ISTEXT(Overig!D1426),Overig!D1426,10*Overig!D1426),""",""????0;"",""???-0;"",""????0;"", ////"""),"'","""")&amp;SUBSTITUTE(TEXT(Overig!E1426,""",""?00;"",""?-00;"",""?00;"", //"""),"'","""")&amp;SUBSTITUTE(TEXT(IF(ISTEXT(Overig!F1426),Overig!F1426,10*Overig!F1426),""",""????0;"",""???-0;"",""????0;"", ////"""),"'","""")&amp;SUBSTITUTE(TEXT(Overig!G1426,""",""?00;"",""?-00;"",""?00;"", //"""),"'","""")&amp;SUBSTITUTE(TEXT(IF(ISTEXT(Overig!H1426),Overig!H1426,10*Overig!H1426),""",""????0;"",""???-0;"",""????0;"", ////"""),"'","""")&amp;SUBSTITUTE(TEXT(Overig!I1426,""",""?00;"",""?-00;"",""?00;"", //"""),"'","""")&amp;SUBSTITUTE(TEXT(IF(ISTEXT(Overig!J1426),Overig!J1426,10*Overig!J1426),""",""????0;"",""???-0;"",""????0;"", ////"""),"'","""")&amp;SUBSTITUTE(TEXT(Overig!K1426,""",""?00;"",""?-00;"",""?00;"", //"""),"'","""")&amp;SUBSTITUTE(TEXT(Overig!L1426,""",""???0;"",""??-0;"",""???0;"", ///"""),"'","""")&amp;SUBSTITUTE(TEXT(Overig!M1426,""",""?00;"",""?-00;"",""?00;"", //"""),"'","""")&amp;SUBSTITUTE(TEXT(IF(ISTEXT(Overig!N1426),Overig!N1426,10*Overig!N1426),""",""????0;"",""???-0;"",""????0;"", ////"""),"'","""")&amp;SUBSTITUTE(TEXT(Overig!O1426,""",""?00;"",""?-00;"",""?00;"", //"""),"'","""")&amp;SUBSTITUTE(TEXT(IF(ISTEXT(Overig!P1426),Overig!P1426,10*Overig!P1426),""",""????0;"",""???-0;"",""????0;"", ////"""),"'","""")&amp;SUBSTITUTE(TEXT(Overig!Q1426,""",""?00;"",""?-00;"",""?00;"", //"""),"'","""")&amp;SUBSTITUTE(TEXT(Overig!R1426,""",""????0;"",""???-0;"",""????0;"", ////"""),"'","""")&amp;SUBSTITUTE(TEXT(Overig!S1426,""",""?00;"",""?-00;"",""?00;"", //"""),"'","""")&amp;SUBSTITUTE(TEXT(IF(ISTEXT(Overig!T1426),Overig!T1426,10*Overig!T1426),""",""????0;"",""???-0;"",""????0;"", ////"""),"'","""")&amp;SUBSTITUTE(TEXT(Overig!U1426,""",""?00;"",""?-00;"",""?00;"", //"""),"'","""")&amp;SUBSTITUTE(TEXT(Overig!V1426,""",""???0;"",""??-0;"",""???0;"", ///"""),"'","""")&amp;SUBSTITUTE(TEXT(Overig!W1426,""",""?00;"",""?-00;"",""?00;"", //"""),"'","""")</f>
        <v>032, 19401222, 07.00, ////, 07, ////, 07, ////, 07, ////, 07, ///, 07, ////, 07, ////, 07, ////, 07, ////, 07, ///, 07</v>
      </c>
    </row>
    <row r="1427" spans="1:1" x14ac:dyDescent="0.25">
      <c r="A1427" s="12" t="str">
        <f ca="1">TEXT(Overig!A1427,"000\,")&amp;TEXT(Overig!B1427,"?00000000")&amp;TEXT(Overig!C1427,""", ""@")&amp;SUBSTITUTE(TEXT(IF(ISTEXT(Overig!D1427),Overig!D1427,10*Overig!D1427),""",""????0;"",""???-0;"",""????0;"", ////"""),"'","""")&amp;SUBSTITUTE(TEXT(Overig!E1427,""",""?00;"",""?-00;"",""?00;"", //"""),"'","""")&amp;SUBSTITUTE(TEXT(IF(ISTEXT(Overig!F1427),Overig!F1427,10*Overig!F1427),""",""????0;"",""???-0;"",""????0;"", ////"""),"'","""")&amp;SUBSTITUTE(TEXT(Overig!G1427,""",""?00;"",""?-00;"",""?00;"", //"""),"'","""")&amp;SUBSTITUTE(TEXT(IF(ISTEXT(Overig!H1427),Overig!H1427,10*Overig!H1427),""",""????0;"",""???-0;"",""????0;"", ////"""),"'","""")&amp;SUBSTITUTE(TEXT(Overig!I1427,""",""?00;"",""?-00;"",""?00;"", //"""),"'","""")&amp;SUBSTITUTE(TEXT(IF(ISTEXT(Overig!J1427),Overig!J1427,10*Overig!J1427),""",""????0;"",""???-0;"",""????0;"", ////"""),"'","""")&amp;SUBSTITUTE(TEXT(Overig!K1427,""",""?00;"",""?-00;"",""?00;"", //"""),"'","""")&amp;SUBSTITUTE(TEXT(Overig!L1427,""",""???0;"",""??-0;"",""???0;"", ///"""),"'","""")&amp;SUBSTITUTE(TEXT(Overig!M1427,""",""?00;"",""?-00;"",""?00;"", //"""),"'","""")&amp;SUBSTITUTE(TEXT(IF(ISTEXT(Overig!N1427),Overig!N1427,10*Overig!N1427),""",""????0;"",""???-0;"",""????0;"", ////"""),"'","""")&amp;SUBSTITUTE(TEXT(Overig!O1427,""",""?00;"",""?-00;"",""?00;"", //"""),"'","""")&amp;SUBSTITUTE(TEXT(IF(ISTEXT(Overig!P1427),Overig!P1427,10*Overig!P1427),""",""????0;"",""???-0;"",""????0;"", ////"""),"'","""")&amp;SUBSTITUTE(TEXT(Overig!Q1427,""",""?00;"",""?-00;"",""?00;"", //"""),"'","""")&amp;SUBSTITUTE(TEXT(Overig!R1427,""",""????0;"",""???-0;"",""????0;"", ////"""),"'","""")&amp;SUBSTITUTE(TEXT(Overig!S1427,""",""?00;"",""?-00;"",""?00;"", //"""),"'","""")&amp;SUBSTITUTE(TEXT(IF(ISTEXT(Overig!T1427),Overig!T1427,10*Overig!T1427),""",""????0;"",""???-0;"",""????0;"", ////"""),"'","""")&amp;SUBSTITUTE(TEXT(Overig!U1427,""",""?00;"",""?-00;"",""?00;"", //"""),"'","""")&amp;SUBSTITUTE(TEXT(Overig!V1427,""",""???0;"",""??-0;"",""???0;"", ///"""),"'","""")&amp;SUBSTITUTE(TEXT(Overig!W1427,""",""?00;"",""?-00;"",""?00;"", //"""),"'","""")</f>
        <v>032, 19401222, 12.00, ////, 07, ////, 07, ////, 07, ////, 07, ///, 07, ////, 07, ////, 07, ////, 07, ////, 07, ///, 07</v>
      </c>
    </row>
    <row r="1428" spans="1:1" x14ac:dyDescent="0.25">
      <c r="A1428" s="12" t="str">
        <f ca="1">TEXT(Overig!A1428,"000\,")&amp;TEXT(Overig!B1428,"?00000000")&amp;TEXT(Overig!C1428,""", ""@")&amp;SUBSTITUTE(TEXT(IF(ISTEXT(Overig!D1428),Overig!D1428,10*Overig!D1428),""",""????0;"",""???-0;"",""????0;"", ////"""),"'","""")&amp;SUBSTITUTE(TEXT(Overig!E1428,""",""?00;"",""?-00;"",""?00;"", //"""),"'","""")&amp;SUBSTITUTE(TEXT(IF(ISTEXT(Overig!F1428),Overig!F1428,10*Overig!F1428),""",""????0;"",""???-0;"",""????0;"", ////"""),"'","""")&amp;SUBSTITUTE(TEXT(Overig!G1428,""",""?00;"",""?-00;"",""?00;"", //"""),"'","""")&amp;SUBSTITUTE(TEXT(IF(ISTEXT(Overig!H1428),Overig!H1428,10*Overig!H1428),""",""????0;"",""???-0;"",""????0;"", ////"""),"'","""")&amp;SUBSTITUTE(TEXT(Overig!I1428,""",""?00;"",""?-00;"",""?00;"", //"""),"'","""")&amp;SUBSTITUTE(TEXT(IF(ISTEXT(Overig!J1428),Overig!J1428,10*Overig!J1428),""",""????0;"",""???-0;"",""????0;"", ////"""),"'","""")&amp;SUBSTITUTE(TEXT(Overig!K1428,""",""?00;"",""?-00;"",""?00;"", //"""),"'","""")&amp;SUBSTITUTE(TEXT(Overig!L1428,""",""???0;"",""??-0;"",""???0;"", ///"""),"'","""")&amp;SUBSTITUTE(TEXT(Overig!M1428,""",""?00;"",""?-00;"",""?00;"", //"""),"'","""")&amp;SUBSTITUTE(TEXT(IF(ISTEXT(Overig!N1428),Overig!N1428,10*Overig!N1428),""",""????0;"",""???-0;"",""????0;"", ////"""),"'","""")&amp;SUBSTITUTE(TEXT(Overig!O1428,""",""?00;"",""?-00;"",""?00;"", //"""),"'","""")&amp;SUBSTITUTE(TEXT(IF(ISTEXT(Overig!P1428),Overig!P1428,10*Overig!P1428),""",""????0;"",""???-0;"",""????0;"", ////"""),"'","""")&amp;SUBSTITUTE(TEXT(Overig!Q1428,""",""?00;"",""?-00;"",""?00;"", //"""),"'","""")&amp;SUBSTITUTE(TEXT(Overig!R1428,""",""????0;"",""???-0;"",""????0;"", ////"""),"'","""")&amp;SUBSTITUTE(TEXT(Overig!S1428,""",""?00;"",""?-00;"",""?00;"", //"""),"'","""")&amp;SUBSTITUTE(TEXT(IF(ISTEXT(Overig!T1428),Overig!T1428,10*Overig!T1428),""",""????0;"",""???-0;"",""????0;"", ////"""),"'","""")&amp;SUBSTITUTE(TEXT(Overig!U1428,""",""?00;"",""?-00;"",""?00;"", //"""),"'","""")&amp;SUBSTITUTE(TEXT(Overig!V1428,""",""???0;"",""??-0;"",""???0;"", ///"""),"'","""")&amp;SUBSTITUTE(TEXT(Overig!W1428,""",""?00;"",""?-00;"",""?00;"", //"""),"'","""")</f>
        <v>032, 19401222, 17.00, ////, 07, ////, 07, ////, 07, ////, 07, ///, 07, ////, 07, ////, 07, ////, 07, ////, 07, ///, 07</v>
      </c>
    </row>
    <row r="1429" spans="1:1" x14ac:dyDescent="0.25">
      <c r="A1429" s="12" t="str">
        <f ca="1">TEXT(Overig!A1429,"000\,")&amp;TEXT(Overig!B1429,"?00000000")&amp;TEXT(Overig!C1429,""", ""@")&amp;SUBSTITUTE(TEXT(IF(ISTEXT(Overig!D1429),Overig!D1429,10*Overig!D1429),""",""????0;"",""???-0;"",""????0;"", ////"""),"'","""")&amp;SUBSTITUTE(TEXT(Overig!E1429,""",""?00;"",""?-00;"",""?00;"", //"""),"'","""")&amp;SUBSTITUTE(TEXT(IF(ISTEXT(Overig!F1429),Overig!F1429,10*Overig!F1429),""",""????0;"",""???-0;"",""????0;"", ////"""),"'","""")&amp;SUBSTITUTE(TEXT(Overig!G1429,""",""?00;"",""?-00;"",""?00;"", //"""),"'","""")&amp;SUBSTITUTE(TEXT(IF(ISTEXT(Overig!H1429),Overig!H1429,10*Overig!H1429),""",""????0;"",""???-0;"",""????0;"", ////"""),"'","""")&amp;SUBSTITUTE(TEXT(Overig!I1429,""",""?00;"",""?-00;"",""?00;"", //"""),"'","""")&amp;SUBSTITUTE(TEXT(IF(ISTEXT(Overig!J1429),Overig!J1429,10*Overig!J1429),""",""????0;"",""???-0;"",""????0;"", ////"""),"'","""")&amp;SUBSTITUTE(TEXT(Overig!K1429,""",""?00;"",""?-00;"",""?00;"", //"""),"'","""")&amp;SUBSTITUTE(TEXT(Overig!L1429,""",""???0;"",""??-0;"",""???0;"", ///"""),"'","""")&amp;SUBSTITUTE(TEXT(Overig!M1429,""",""?00;"",""?-00;"",""?00;"", //"""),"'","""")&amp;SUBSTITUTE(TEXT(IF(ISTEXT(Overig!N1429),Overig!N1429,10*Overig!N1429),""",""????0;"",""???-0;"",""????0;"", ////"""),"'","""")&amp;SUBSTITUTE(TEXT(Overig!O1429,""",""?00;"",""?-00;"",""?00;"", //"""),"'","""")&amp;SUBSTITUTE(TEXT(IF(ISTEXT(Overig!P1429),Overig!P1429,10*Overig!P1429),""",""????0;"",""???-0;"",""????0;"", ////"""),"'","""")&amp;SUBSTITUTE(TEXT(Overig!Q1429,""",""?00;"",""?-00;"",""?00;"", //"""),"'","""")&amp;SUBSTITUTE(TEXT(Overig!R1429,""",""????0;"",""???-0;"",""????0;"", ////"""),"'","""")&amp;SUBSTITUTE(TEXT(Overig!S1429,""",""?00;"",""?-00;"",""?00;"", //"""),"'","""")&amp;SUBSTITUTE(TEXT(IF(ISTEXT(Overig!T1429),Overig!T1429,10*Overig!T1429),""",""????0;"",""???-0;"",""????0;"", ////"""),"'","""")&amp;SUBSTITUTE(TEXT(Overig!U1429,""",""?00;"",""?-00;"",""?00;"", //"""),"'","""")&amp;SUBSTITUTE(TEXT(Overig!V1429,""",""???0;"",""??-0;"",""???0;"", ///"""),"'","""")&amp;SUBSTITUTE(TEXT(Overig!W1429,""",""?00;"",""?-00;"",""?00;"", //"""),"'","""")</f>
        <v>032, 19401222, 24.00, ////, 07, ////, 07, ////, 07, ////, 07, ///, 07, ////, 07, ////, 07, ////, 07, ////, 07, ///, 07</v>
      </c>
    </row>
    <row r="1430" spans="1:1" x14ac:dyDescent="0.25">
      <c r="A1430" s="12" t="str">
        <f ca="1">TEXT(Overig!A1430,"000\,")&amp;TEXT(Overig!B1430,"?00000000")&amp;TEXT(Overig!C1430,""", ""@")&amp;SUBSTITUTE(TEXT(IF(ISTEXT(Overig!D1430),Overig!D1430,10*Overig!D1430),""",""????0;"",""???-0;"",""????0;"", ////"""),"'","""")&amp;SUBSTITUTE(TEXT(Overig!E1430,""",""?00;"",""?-00;"",""?00;"", //"""),"'","""")&amp;SUBSTITUTE(TEXT(IF(ISTEXT(Overig!F1430),Overig!F1430,10*Overig!F1430),""",""????0;"",""???-0;"",""????0;"", ////"""),"'","""")&amp;SUBSTITUTE(TEXT(Overig!G1430,""",""?00;"",""?-00;"",""?00;"", //"""),"'","""")&amp;SUBSTITUTE(TEXT(IF(ISTEXT(Overig!H1430),Overig!H1430,10*Overig!H1430),""",""????0;"",""???-0;"",""????0;"", ////"""),"'","""")&amp;SUBSTITUTE(TEXT(Overig!I1430,""",""?00;"",""?-00;"",""?00;"", //"""),"'","""")&amp;SUBSTITUTE(TEXT(IF(ISTEXT(Overig!J1430),Overig!J1430,10*Overig!J1430),""",""????0;"",""???-0;"",""????0;"", ////"""),"'","""")&amp;SUBSTITUTE(TEXT(Overig!K1430,""",""?00;"",""?-00;"",""?00;"", //"""),"'","""")&amp;SUBSTITUTE(TEXT(Overig!L1430,""",""???0;"",""??-0;"",""???0;"", ///"""),"'","""")&amp;SUBSTITUTE(TEXT(Overig!M1430,""",""?00;"",""?-00;"",""?00;"", //"""),"'","""")&amp;SUBSTITUTE(TEXT(IF(ISTEXT(Overig!N1430),Overig!N1430,10*Overig!N1430),""",""????0;"",""???-0;"",""????0;"", ////"""),"'","""")&amp;SUBSTITUTE(TEXT(Overig!O1430,""",""?00;"",""?-00;"",""?00;"", //"""),"'","""")&amp;SUBSTITUTE(TEXT(IF(ISTEXT(Overig!P1430),Overig!P1430,10*Overig!P1430),""",""????0;"",""???-0;"",""????0;"", ////"""),"'","""")&amp;SUBSTITUTE(TEXT(Overig!Q1430,""",""?00;"",""?-00;"",""?00;"", //"""),"'","""")&amp;SUBSTITUTE(TEXT(Overig!R1430,""",""????0;"",""???-0;"",""????0;"", ////"""),"'","""")&amp;SUBSTITUTE(TEXT(Overig!S1430,""",""?00;"",""?-00;"",""?00;"", //"""),"'","""")&amp;SUBSTITUTE(TEXT(IF(ISTEXT(Overig!T1430),Overig!T1430,10*Overig!T1430),""",""????0;"",""???-0;"",""????0;"", ////"""),"'","""")&amp;SUBSTITUTE(TEXT(Overig!U1430,""",""?00;"",""?-00;"",""?00;"", //"""),"'","""")&amp;SUBSTITUTE(TEXT(Overig!V1430,""",""???0;"",""??-0;"",""???0;"", ///"""),"'","""")&amp;SUBSTITUTE(TEXT(Overig!W1430,""",""?00;"",""?-00;"",""?00;"", //"""),"'","""")</f>
        <v>032, 19401223, 07.00, ////, 07, ////, 07, ////, 07, ////, 07, ///, 07, ////, 07, ////, 07, ////, 07, ////, 07, ///, 07</v>
      </c>
    </row>
    <row r="1431" spans="1:1" x14ac:dyDescent="0.25">
      <c r="A1431" s="12" t="str">
        <f ca="1">TEXT(Overig!A1431,"000\,")&amp;TEXT(Overig!B1431,"?00000000")&amp;TEXT(Overig!C1431,""", ""@")&amp;SUBSTITUTE(TEXT(IF(ISTEXT(Overig!D1431),Overig!D1431,10*Overig!D1431),""",""????0;"",""???-0;"",""????0;"", ////"""),"'","""")&amp;SUBSTITUTE(TEXT(Overig!E1431,""",""?00;"",""?-00;"",""?00;"", //"""),"'","""")&amp;SUBSTITUTE(TEXT(IF(ISTEXT(Overig!F1431),Overig!F1431,10*Overig!F1431),""",""????0;"",""???-0;"",""????0;"", ////"""),"'","""")&amp;SUBSTITUTE(TEXT(Overig!G1431,""",""?00;"",""?-00;"",""?00;"", //"""),"'","""")&amp;SUBSTITUTE(TEXT(IF(ISTEXT(Overig!H1431),Overig!H1431,10*Overig!H1431),""",""????0;"",""???-0;"",""????0;"", ////"""),"'","""")&amp;SUBSTITUTE(TEXT(Overig!I1431,""",""?00;"",""?-00;"",""?00;"", //"""),"'","""")&amp;SUBSTITUTE(TEXT(IF(ISTEXT(Overig!J1431),Overig!J1431,10*Overig!J1431),""",""????0;"",""???-0;"",""????0;"", ////"""),"'","""")&amp;SUBSTITUTE(TEXT(Overig!K1431,""",""?00;"",""?-00;"",""?00;"", //"""),"'","""")&amp;SUBSTITUTE(TEXT(Overig!L1431,""",""???0;"",""??-0;"",""???0;"", ///"""),"'","""")&amp;SUBSTITUTE(TEXT(Overig!M1431,""",""?00;"",""?-00;"",""?00;"", //"""),"'","""")&amp;SUBSTITUTE(TEXT(IF(ISTEXT(Overig!N1431),Overig!N1431,10*Overig!N1431),""",""????0;"",""???-0;"",""????0;"", ////"""),"'","""")&amp;SUBSTITUTE(TEXT(Overig!O1431,""",""?00;"",""?-00;"",""?00;"", //"""),"'","""")&amp;SUBSTITUTE(TEXT(IF(ISTEXT(Overig!P1431),Overig!P1431,10*Overig!P1431),""",""????0;"",""???-0;"",""????0;"", ////"""),"'","""")&amp;SUBSTITUTE(TEXT(Overig!Q1431,""",""?00;"",""?-00;"",""?00;"", //"""),"'","""")&amp;SUBSTITUTE(TEXT(Overig!R1431,""",""????0;"",""???-0;"",""????0;"", ////"""),"'","""")&amp;SUBSTITUTE(TEXT(Overig!S1431,""",""?00;"",""?-00;"",""?00;"", //"""),"'","""")&amp;SUBSTITUTE(TEXT(IF(ISTEXT(Overig!T1431),Overig!T1431,10*Overig!T1431),""",""????0;"",""???-0;"",""????0;"", ////"""),"'","""")&amp;SUBSTITUTE(TEXT(Overig!U1431,""",""?00;"",""?-00;"",""?00;"", //"""),"'","""")&amp;SUBSTITUTE(TEXT(Overig!V1431,""",""???0;"",""??-0;"",""???0;"", ///"""),"'","""")&amp;SUBSTITUTE(TEXT(Overig!W1431,""",""?00;"",""?-00;"",""?00;"", //"""),"'","""")</f>
        <v>032, 19401223, 12.00, ////, 07, ////, 07, ////, 07, ////, 07, ///, 07, ////, 07, ////, 07, ////, 07, ////, 07, ///, 07</v>
      </c>
    </row>
    <row r="1432" spans="1:1" x14ac:dyDescent="0.25">
      <c r="A1432" s="12" t="str">
        <f ca="1">TEXT(Overig!A1432,"000\,")&amp;TEXT(Overig!B1432,"?00000000")&amp;TEXT(Overig!C1432,""", ""@")&amp;SUBSTITUTE(TEXT(IF(ISTEXT(Overig!D1432),Overig!D1432,10*Overig!D1432),""",""????0;"",""???-0;"",""????0;"", ////"""),"'","""")&amp;SUBSTITUTE(TEXT(Overig!E1432,""",""?00;"",""?-00;"",""?00;"", //"""),"'","""")&amp;SUBSTITUTE(TEXT(IF(ISTEXT(Overig!F1432),Overig!F1432,10*Overig!F1432),""",""????0;"",""???-0;"",""????0;"", ////"""),"'","""")&amp;SUBSTITUTE(TEXT(Overig!G1432,""",""?00;"",""?-00;"",""?00;"", //"""),"'","""")&amp;SUBSTITUTE(TEXT(IF(ISTEXT(Overig!H1432),Overig!H1432,10*Overig!H1432),""",""????0;"",""???-0;"",""????0;"", ////"""),"'","""")&amp;SUBSTITUTE(TEXT(Overig!I1432,""",""?00;"",""?-00;"",""?00;"", //"""),"'","""")&amp;SUBSTITUTE(TEXT(IF(ISTEXT(Overig!J1432),Overig!J1432,10*Overig!J1432),""",""????0;"",""???-0;"",""????0;"", ////"""),"'","""")&amp;SUBSTITUTE(TEXT(Overig!K1432,""",""?00;"",""?-00;"",""?00;"", //"""),"'","""")&amp;SUBSTITUTE(TEXT(Overig!L1432,""",""???0;"",""??-0;"",""???0;"", ///"""),"'","""")&amp;SUBSTITUTE(TEXT(Overig!M1432,""",""?00;"",""?-00;"",""?00;"", //"""),"'","""")&amp;SUBSTITUTE(TEXT(IF(ISTEXT(Overig!N1432),Overig!N1432,10*Overig!N1432),""",""????0;"",""???-0;"",""????0;"", ////"""),"'","""")&amp;SUBSTITUTE(TEXT(Overig!O1432,""",""?00;"",""?-00;"",""?00;"", //"""),"'","""")&amp;SUBSTITUTE(TEXT(IF(ISTEXT(Overig!P1432),Overig!P1432,10*Overig!P1432),""",""????0;"",""???-0;"",""????0;"", ////"""),"'","""")&amp;SUBSTITUTE(TEXT(Overig!Q1432,""",""?00;"",""?-00;"",""?00;"", //"""),"'","""")&amp;SUBSTITUTE(TEXT(Overig!R1432,""",""????0;"",""???-0;"",""????0;"", ////"""),"'","""")&amp;SUBSTITUTE(TEXT(Overig!S1432,""",""?00;"",""?-00;"",""?00;"", //"""),"'","""")&amp;SUBSTITUTE(TEXT(IF(ISTEXT(Overig!T1432),Overig!T1432,10*Overig!T1432),""",""????0;"",""???-0;"",""????0;"", ////"""),"'","""")&amp;SUBSTITUTE(TEXT(Overig!U1432,""",""?00;"",""?-00;"",""?00;"", //"""),"'","""")&amp;SUBSTITUTE(TEXT(Overig!V1432,""",""???0;"",""??-0;"",""???0;"", ///"""),"'","""")&amp;SUBSTITUTE(TEXT(Overig!W1432,""",""?00;"",""?-00;"",""?00;"", //"""),"'","""")</f>
        <v>032, 19401223, 17.00, ////, 07, ////, 07, ////, 07, ////, 07, ///, 07, ////, 07, ////, 07, ////, 07, ////, 07, ///, 07</v>
      </c>
    </row>
    <row r="1433" spans="1:1" x14ac:dyDescent="0.25">
      <c r="A1433" s="12" t="str">
        <f ca="1">TEXT(Overig!A1433,"000\,")&amp;TEXT(Overig!B1433,"?00000000")&amp;TEXT(Overig!C1433,""", ""@")&amp;SUBSTITUTE(TEXT(IF(ISTEXT(Overig!D1433),Overig!D1433,10*Overig!D1433),""",""????0;"",""???-0;"",""????0;"", ////"""),"'","""")&amp;SUBSTITUTE(TEXT(Overig!E1433,""",""?00;"",""?-00;"",""?00;"", //"""),"'","""")&amp;SUBSTITUTE(TEXT(IF(ISTEXT(Overig!F1433),Overig!F1433,10*Overig!F1433),""",""????0;"",""???-0;"",""????0;"", ////"""),"'","""")&amp;SUBSTITUTE(TEXT(Overig!G1433,""",""?00;"",""?-00;"",""?00;"", //"""),"'","""")&amp;SUBSTITUTE(TEXT(IF(ISTEXT(Overig!H1433),Overig!H1433,10*Overig!H1433),""",""????0;"",""???-0;"",""????0;"", ////"""),"'","""")&amp;SUBSTITUTE(TEXT(Overig!I1433,""",""?00;"",""?-00;"",""?00;"", //"""),"'","""")&amp;SUBSTITUTE(TEXT(IF(ISTEXT(Overig!J1433),Overig!J1433,10*Overig!J1433),""",""????0;"",""???-0;"",""????0;"", ////"""),"'","""")&amp;SUBSTITUTE(TEXT(Overig!K1433,""",""?00;"",""?-00;"",""?00;"", //"""),"'","""")&amp;SUBSTITUTE(TEXT(Overig!L1433,""",""???0;"",""??-0;"",""???0;"", ///"""),"'","""")&amp;SUBSTITUTE(TEXT(Overig!M1433,""",""?00;"",""?-00;"",""?00;"", //"""),"'","""")&amp;SUBSTITUTE(TEXT(IF(ISTEXT(Overig!N1433),Overig!N1433,10*Overig!N1433),""",""????0;"",""???-0;"",""????0;"", ////"""),"'","""")&amp;SUBSTITUTE(TEXT(Overig!O1433,""",""?00;"",""?-00;"",""?00;"", //"""),"'","""")&amp;SUBSTITUTE(TEXT(IF(ISTEXT(Overig!P1433),Overig!P1433,10*Overig!P1433),""",""????0;"",""???-0;"",""????0;"", ////"""),"'","""")&amp;SUBSTITUTE(TEXT(Overig!Q1433,""",""?00;"",""?-00;"",""?00;"", //"""),"'","""")&amp;SUBSTITUTE(TEXT(Overig!R1433,""",""????0;"",""???-0;"",""????0;"", ////"""),"'","""")&amp;SUBSTITUTE(TEXT(Overig!S1433,""",""?00;"",""?-00;"",""?00;"", //"""),"'","""")&amp;SUBSTITUTE(TEXT(IF(ISTEXT(Overig!T1433),Overig!T1433,10*Overig!T1433),""",""????0;"",""???-0;"",""????0;"", ////"""),"'","""")&amp;SUBSTITUTE(TEXT(Overig!U1433,""",""?00;"",""?-00;"",""?00;"", //"""),"'","""")&amp;SUBSTITUTE(TEXT(Overig!V1433,""",""???0;"",""??-0;"",""???0;"", ///"""),"'","""")&amp;SUBSTITUTE(TEXT(Overig!W1433,""",""?00;"",""?-00;"",""?00;"", //"""),"'","""")</f>
        <v>032, 19401223, 24.00, ////, 07, ////, 07, ////, 07, ////, 07, ///, 07, ////, 07, ////, 07, ////, 07, ////, 07, ///, 07</v>
      </c>
    </row>
    <row r="1434" spans="1:1" x14ac:dyDescent="0.25">
      <c r="A1434" s="12" t="str">
        <f ca="1">TEXT(Overig!A1434,"000\,")&amp;TEXT(Overig!B1434,"?00000000")&amp;TEXT(Overig!C1434,""", ""@")&amp;SUBSTITUTE(TEXT(IF(ISTEXT(Overig!D1434),Overig!D1434,10*Overig!D1434),""",""????0;"",""???-0;"",""????0;"", ////"""),"'","""")&amp;SUBSTITUTE(TEXT(Overig!E1434,""",""?00;"",""?-00;"",""?00;"", //"""),"'","""")&amp;SUBSTITUTE(TEXT(IF(ISTEXT(Overig!F1434),Overig!F1434,10*Overig!F1434),""",""????0;"",""???-0;"",""????0;"", ////"""),"'","""")&amp;SUBSTITUTE(TEXT(Overig!G1434,""",""?00;"",""?-00;"",""?00;"", //"""),"'","""")&amp;SUBSTITUTE(TEXT(IF(ISTEXT(Overig!H1434),Overig!H1434,10*Overig!H1434),""",""????0;"",""???-0;"",""????0;"", ////"""),"'","""")&amp;SUBSTITUTE(TEXT(Overig!I1434,""",""?00;"",""?-00;"",""?00;"", //"""),"'","""")&amp;SUBSTITUTE(TEXT(IF(ISTEXT(Overig!J1434),Overig!J1434,10*Overig!J1434),""",""????0;"",""???-0;"",""????0;"", ////"""),"'","""")&amp;SUBSTITUTE(TEXT(Overig!K1434,""",""?00;"",""?-00;"",""?00;"", //"""),"'","""")&amp;SUBSTITUTE(TEXT(Overig!L1434,""",""???0;"",""??-0;"",""???0;"", ///"""),"'","""")&amp;SUBSTITUTE(TEXT(Overig!M1434,""",""?00;"",""?-00;"",""?00;"", //"""),"'","""")&amp;SUBSTITUTE(TEXT(IF(ISTEXT(Overig!N1434),Overig!N1434,10*Overig!N1434),""",""????0;"",""???-0;"",""????0;"", ////"""),"'","""")&amp;SUBSTITUTE(TEXT(Overig!O1434,""",""?00;"",""?-00;"",""?00;"", //"""),"'","""")&amp;SUBSTITUTE(TEXT(IF(ISTEXT(Overig!P1434),Overig!P1434,10*Overig!P1434),""",""????0;"",""???-0;"",""????0;"", ////"""),"'","""")&amp;SUBSTITUTE(TEXT(Overig!Q1434,""",""?00;"",""?-00;"",""?00;"", //"""),"'","""")&amp;SUBSTITUTE(TEXT(Overig!R1434,""",""????0;"",""???-0;"",""????0;"", ////"""),"'","""")&amp;SUBSTITUTE(TEXT(Overig!S1434,""",""?00;"",""?-00;"",""?00;"", //"""),"'","""")&amp;SUBSTITUTE(TEXT(IF(ISTEXT(Overig!T1434),Overig!T1434,10*Overig!T1434),""",""????0;"",""???-0;"",""????0;"", ////"""),"'","""")&amp;SUBSTITUTE(TEXT(Overig!U1434,""",""?00;"",""?-00;"",""?00;"", //"""),"'","""")&amp;SUBSTITUTE(TEXT(Overig!V1434,""",""???0;"",""??-0;"",""???0;"", ///"""),"'","""")&amp;SUBSTITUTE(TEXT(Overig!W1434,""",""?00;"",""?-00;"",""?00;"", //"""),"'","""")</f>
        <v>032, 19401224, 07.00, ////, 07, ////, 07, ////, 07, ////, 07, ///, 07, ////, 07, ////, 07, ////, 07, ////, 07, ///, 07</v>
      </c>
    </row>
    <row r="1435" spans="1:1" x14ac:dyDescent="0.25">
      <c r="A1435" s="12" t="str">
        <f ca="1">TEXT(Overig!A1435,"000\,")&amp;TEXT(Overig!B1435,"?00000000")&amp;TEXT(Overig!C1435,""", ""@")&amp;SUBSTITUTE(TEXT(IF(ISTEXT(Overig!D1435),Overig!D1435,10*Overig!D1435),""",""????0;"",""???-0;"",""????0;"", ////"""),"'","""")&amp;SUBSTITUTE(TEXT(Overig!E1435,""",""?00;"",""?-00;"",""?00;"", //"""),"'","""")&amp;SUBSTITUTE(TEXT(IF(ISTEXT(Overig!F1435),Overig!F1435,10*Overig!F1435),""",""????0;"",""???-0;"",""????0;"", ////"""),"'","""")&amp;SUBSTITUTE(TEXT(Overig!G1435,""",""?00;"",""?-00;"",""?00;"", //"""),"'","""")&amp;SUBSTITUTE(TEXT(IF(ISTEXT(Overig!H1435),Overig!H1435,10*Overig!H1435),""",""????0;"",""???-0;"",""????0;"", ////"""),"'","""")&amp;SUBSTITUTE(TEXT(Overig!I1435,""",""?00;"",""?-00;"",""?00;"", //"""),"'","""")&amp;SUBSTITUTE(TEXT(IF(ISTEXT(Overig!J1435),Overig!J1435,10*Overig!J1435),""",""????0;"",""???-0;"",""????0;"", ////"""),"'","""")&amp;SUBSTITUTE(TEXT(Overig!K1435,""",""?00;"",""?-00;"",""?00;"", //"""),"'","""")&amp;SUBSTITUTE(TEXT(Overig!L1435,""",""???0;"",""??-0;"",""???0;"", ///"""),"'","""")&amp;SUBSTITUTE(TEXT(Overig!M1435,""",""?00;"",""?-00;"",""?00;"", //"""),"'","""")&amp;SUBSTITUTE(TEXT(IF(ISTEXT(Overig!N1435),Overig!N1435,10*Overig!N1435),""",""????0;"",""???-0;"",""????0;"", ////"""),"'","""")&amp;SUBSTITUTE(TEXT(Overig!O1435,""",""?00;"",""?-00;"",""?00;"", //"""),"'","""")&amp;SUBSTITUTE(TEXT(IF(ISTEXT(Overig!P1435),Overig!P1435,10*Overig!P1435),""",""????0;"",""???-0;"",""????0;"", ////"""),"'","""")&amp;SUBSTITUTE(TEXT(Overig!Q1435,""",""?00;"",""?-00;"",""?00;"", //"""),"'","""")&amp;SUBSTITUTE(TEXT(Overig!R1435,""",""????0;"",""???-0;"",""????0;"", ////"""),"'","""")&amp;SUBSTITUTE(TEXT(Overig!S1435,""",""?00;"",""?-00;"",""?00;"", //"""),"'","""")&amp;SUBSTITUTE(TEXT(IF(ISTEXT(Overig!T1435),Overig!T1435,10*Overig!T1435),""",""????0;"",""???-0;"",""????0;"", ////"""),"'","""")&amp;SUBSTITUTE(TEXT(Overig!U1435,""",""?00;"",""?-00;"",""?00;"", //"""),"'","""")&amp;SUBSTITUTE(TEXT(Overig!V1435,""",""???0;"",""??-0;"",""???0;"", ///"""),"'","""")&amp;SUBSTITUTE(TEXT(Overig!W1435,""",""?00;"",""?-00;"",""?00;"", //"""),"'","""")</f>
        <v>032, 19401224, 12.00, ////, 07, ////, 07, ////, 07, ////, 07, ///, 07, ////, 07, ////, 07, ////, 07, ////, 07, ///, 07</v>
      </c>
    </row>
    <row r="1436" spans="1:1" x14ac:dyDescent="0.25">
      <c r="A1436" s="12" t="str">
        <f ca="1">TEXT(Overig!A1436,"000\,")&amp;TEXT(Overig!B1436,"?00000000")&amp;TEXT(Overig!C1436,""", ""@")&amp;SUBSTITUTE(TEXT(IF(ISTEXT(Overig!D1436),Overig!D1436,10*Overig!D1436),""",""????0;"",""???-0;"",""????0;"", ////"""),"'","""")&amp;SUBSTITUTE(TEXT(Overig!E1436,""",""?00;"",""?-00;"",""?00;"", //"""),"'","""")&amp;SUBSTITUTE(TEXT(IF(ISTEXT(Overig!F1436),Overig!F1436,10*Overig!F1436),""",""????0;"",""???-0;"",""????0;"", ////"""),"'","""")&amp;SUBSTITUTE(TEXT(Overig!G1436,""",""?00;"",""?-00;"",""?00;"", //"""),"'","""")&amp;SUBSTITUTE(TEXT(IF(ISTEXT(Overig!H1436),Overig!H1436,10*Overig!H1436),""",""????0;"",""???-0;"",""????0;"", ////"""),"'","""")&amp;SUBSTITUTE(TEXT(Overig!I1436,""",""?00;"",""?-00;"",""?00;"", //"""),"'","""")&amp;SUBSTITUTE(TEXT(IF(ISTEXT(Overig!J1436),Overig!J1436,10*Overig!J1436),""",""????0;"",""???-0;"",""????0;"", ////"""),"'","""")&amp;SUBSTITUTE(TEXT(Overig!K1436,""",""?00;"",""?-00;"",""?00;"", //"""),"'","""")&amp;SUBSTITUTE(TEXT(Overig!L1436,""",""???0;"",""??-0;"",""???0;"", ///"""),"'","""")&amp;SUBSTITUTE(TEXT(Overig!M1436,""",""?00;"",""?-00;"",""?00;"", //"""),"'","""")&amp;SUBSTITUTE(TEXT(IF(ISTEXT(Overig!N1436),Overig!N1436,10*Overig!N1436),""",""????0;"",""???-0;"",""????0;"", ////"""),"'","""")&amp;SUBSTITUTE(TEXT(Overig!O1436,""",""?00;"",""?-00;"",""?00;"", //"""),"'","""")&amp;SUBSTITUTE(TEXT(IF(ISTEXT(Overig!P1436),Overig!P1436,10*Overig!P1436),""",""????0;"",""???-0;"",""????0;"", ////"""),"'","""")&amp;SUBSTITUTE(TEXT(Overig!Q1436,""",""?00;"",""?-00;"",""?00;"", //"""),"'","""")&amp;SUBSTITUTE(TEXT(Overig!R1436,""",""????0;"",""???-0;"",""????0;"", ////"""),"'","""")&amp;SUBSTITUTE(TEXT(Overig!S1436,""",""?00;"",""?-00;"",""?00;"", //"""),"'","""")&amp;SUBSTITUTE(TEXT(IF(ISTEXT(Overig!T1436),Overig!T1436,10*Overig!T1436),""",""????0;"",""???-0;"",""????0;"", ////"""),"'","""")&amp;SUBSTITUTE(TEXT(Overig!U1436,""",""?00;"",""?-00;"",""?00;"", //"""),"'","""")&amp;SUBSTITUTE(TEXT(Overig!V1436,""",""???0;"",""??-0;"",""???0;"", ///"""),"'","""")&amp;SUBSTITUTE(TEXT(Overig!W1436,""",""?00;"",""?-00;"",""?00;"", //"""),"'","""")</f>
        <v>032, 19401224, 17.00, ////, 07, ////, 07, ////, 07, ////, 07, ///, 07, ////, 07, ////, 07, ////, 07, ////, 07, ///, 07</v>
      </c>
    </row>
    <row r="1437" spans="1:1" x14ac:dyDescent="0.25">
      <c r="A1437" s="12" t="str">
        <f ca="1">TEXT(Overig!A1437,"000\,")&amp;TEXT(Overig!B1437,"?00000000")&amp;TEXT(Overig!C1437,""", ""@")&amp;SUBSTITUTE(TEXT(IF(ISTEXT(Overig!D1437),Overig!D1437,10*Overig!D1437),""",""????0;"",""???-0;"",""????0;"", ////"""),"'","""")&amp;SUBSTITUTE(TEXT(Overig!E1437,""",""?00;"",""?-00;"",""?00;"", //"""),"'","""")&amp;SUBSTITUTE(TEXT(IF(ISTEXT(Overig!F1437),Overig!F1437,10*Overig!F1437),""",""????0;"",""???-0;"",""????0;"", ////"""),"'","""")&amp;SUBSTITUTE(TEXT(Overig!G1437,""",""?00;"",""?-00;"",""?00;"", //"""),"'","""")&amp;SUBSTITUTE(TEXT(IF(ISTEXT(Overig!H1437),Overig!H1437,10*Overig!H1437),""",""????0;"",""???-0;"",""????0;"", ////"""),"'","""")&amp;SUBSTITUTE(TEXT(Overig!I1437,""",""?00;"",""?-00;"",""?00;"", //"""),"'","""")&amp;SUBSTITUTE(TEXT(IF(ISTEXT(Overig!J1437),Overig!J1437,10*Overig!J1437),""",""????0;"",""???-0;"",""????0;"", ////"""),"'","""")&amp;SUBSTITUTE(TEXT(Overig!K1437,""",""?00;"",""?-00;"",""?00;"", //"""),"'","""")&amp;SUBSTITUTE(TEXT(Overig!L1437,""",""???0;"",""??-0;"",""???0;"", ///"""),"'","""")&amp;SUBSTITUTE(TEXT(Overig!M1437,""",""?00;"",""?-00;"",""?00;"", //"""),"'","""")&amp;SUBSTITUTE(TEXT(IF(ISTEXT(Overig!N1437),Overig!N1437,10*Overig!N1437),""",""????0;"",""???-0;"",""????0;"", ////"""),"'","""")&amp;SUBSTITUTE(TEXT(Overig!O1437,""",""?00;"",""?-00;"",""?00;"", //"""),"'","""")&amp;SUBSTITUTE(TEXT(IF(ISTEXT(Overig!P1437),Overig!P1437,10*Overig!P1437),""",""????0;"",""???-0;"",""????0;"", ////"""),"'","""")&amp;SUBSTITUTE(TEXT(Overig!Q1437,""",""?00;"",""?-00;"",""?00;"", //"""),"'","""")&amp;SUBSTITUTE(TEXT(Overig!R1437,""",""????0;"",""???-0;"",""????0;"", ////"""),"'","""")&amp;SUBSTITUTE(TEXT(Overig!S1437,""",""?00;"",""?-00;"",""?00;"", //"""),"'","""")&amp;SUBSTITUTE(TEXT(IF(ISTEXT(Overig!T1437),Overig!T1437,10*Overig!T1437),""",""????0;"",""???-0;"",""????0;"", ////"""),"'","""")&amp;SUBSTITUTE(TEXT(Overig!U1437,""",""?00;"",""?-00;"",""?00;"", //"""),"'","""")&amp;SUBSTITUTE(TEXT(Overig!V1437,""",""???0;"",""??-0;"",""???0;"", ///"""),"'","""")&amp;SUBSTITUTE(TEXT(Overig!W1437,""",""?00;"",""?-00;"",""?00;"", //"""),"'","""")</f>
        <v>032, 19401224, 24.00, ////, 07, ////, 07, ////, 07, ////, 07, ///, 07, ////, 07, ////, 07, ////, 07, ////, 07, ///, 07</v>
      </c>
    </row>
    <row r="1438" spans="1:1" x14ac:dyDescent="0.25">
      <c r="A1438" s="12" t="str">
        <f ca="1">TEXT(Overig!A1438,"000\,")&amp;TEXT(Overig!B1438,"?00000000")&amp;TEXT(Overig!C1438,""", ""@")&amp;SUBSTITUTE(TEXT(IF(ISTEXT(Overig!D1438),Overig!D1438,10*Overig!D1438),""",""????0;"",""???-0;"",""????0;"", ////"""),"'","""")&amp;SUBSTITUTE(TEXT(Overig!E1438,""",""?00;"",""?-00;"",""?00;"", //"""),"'","""")&amp;SUBSTITUTE(TEXT(IF(ISTEXT(Overig!F1438),Overig!F1438,10*Overig!F1438),""",""????0;"",""???-0;"",""????0;"", ////"""),"'","""")&amp;SUBSTITUTE(TEXT(Overig!G1438,""",""?00;"",""?-00;"",""?00;"", //"""),"'","""")&amp;SUBSTITUTE(TEXT(IF(ISTEXT(Overig!H1438),Overig!H1438,10*Overig!H1438),""",""????0;"",""???-0;"",""????0;"", ////"""),"'","""")&amp;SUBSTITUTE(TEXT(Overig!I1438,""",""?00;"",""?-00;"",""?00;"", //"""),"'","""")&amp;SUBSTITUTE(TEXT(IF(ISTEXT(Overig!J1438),Overig!J1438,10*Overig!J1438),""",""????0;"",""???-0;"",""????0;"", ////"""),"'","""")&amp;SUBSTITUTE(TEXT(Overig!K1438,""",""?00;"",""?-00;"",""?00;"", //"""),"'","""")&amp;SUBSTITUTE(TEXT(Overig!L1438,""",""???0;"",""??-0;"",""???0;"", ///"""),"'","""")&amp;SUBSTITUTE(TEXT(Overig!M1438,""",""?00;"",""?-00;"",""?00;"", //"""),"'","""")&amp;SUBSTITUTE(TEXT(IF(ISTEXT(Overig!N1438),Overig!N1438,10*Overig!N1438),""",""????0;"",""???-0;"",""????0;"", ////"""),"'","""")&amp;SUBSTITUTE(TEXT(Overig!O1438,""",""?00;"",""?-00;"",""?00;"", //"""),"'","""")&amp;SUBSTITUTE(TEXT(IF(ISTEXT(Overig!P1438),Overig!P1438,10*Overig!P1438),""",""????0;"",""???-0;"",""????0;"", ////"""),"'","""")&amp;SUBSTITUTE(TEXT(Overig!Q1438,""",""?00;"",""?-00;"",""?00;"", //"""),"'","""")&amp;SUBSTITUTE(TEXT(Overig!R1438,""",""????0;"",""???-0;"",""????0;"", ////"""),"'","""")&amp;SUBSTITUTE(TEXT(Overig!S1438,""",""?00;"",""?-00;"",""?00;"", //"""),"'","""")&amp;SUBSTITUTE(TEXT(IF(ISTEXT(Overig!T1438),Overig!T1438,10*Overig!T1438),""",""????0;"",""???-0;"",""????0;"", ////"""),"'","""")&amp;SUBSTITUTE(TEXT(Overig!U1438,""",""?00;"",""?-00;"",""?00;"", //"""),"'","""")&amp;SUBSTITUTE(TEXT(Overig!V1438,""",""???0;"",""??-0;"",""???0;"", ///"""),"'","""")&amp;SUBSTITUTE(TEXT(Overig!W1438,""",""?00;"",""?-00;"",""?00;"", //"""),"'","""")</f>
        <v>032, 19401225, 07.00, ////, 07, ////, 07, ////, 07, ////, 07, ///, 07, ////, 07, ////, 07, ////, 07, ////, 07, ///, 07</v>
      </c>
    </row>
    <row r="1439" spans="1:1" x14ac:dyDescent="0.25">
      <c r="A1439" s="12" t="str">
        <f ca="1">TEXT(Overig!A1439,"000\,")&amp;TEXT(Overig!B1439,"?00000000")&amp;TEXT(Overig!C1439,""", ""@")&amp;SUBSTITUTE(TEXT(IF(ISTEXT(Overig!D1439),Overig!D1439,10*Overig!D1439),""",""????0;"",""???-0;"",""????0;"", ////"""),"'","""")&amp;SUBSTITUTE(TEXT(Overig!E1439,""",""?00;"",""?-00;"",""?00;"", //"""),"'","""")&amp;SUBSTITUTE(TEXT(IF(ISTEXT(Overig!F1439),Overig!F1439,10*Overig!F1439),""",""????0;"",""???-0;"",""????0;"", ////"""),"'","""")&amp;SUBSTITUTE(TEXT(Overig!G1439,""",""?00;"",""?-00;"",""?00;"", //"""),"'","""")&amp;SUBSTITUTE(TEXT(IF(ISTEXT(Overig!H1439),Overig!H1439,10*Overig!H1439),""",""????0;"",""???-0;"",""????0;"", ////"""),"'","""")&amp;SUBSTITUTE(TEXT(Overig!I1439,""",""?00;"",""?-00;"",""?00;"", //"""),"'","""")&amp;SUBSTITUTE(TEXT(IF(ISTEXT(Overig!J1439),Overig!J1439,10*Overig!J1439),""",""????0;"",""???-0;"",""????0;"", ////"""),"'","""")&amp;SUBSTITUTE(TEXT(Overig!K1439,""",""?00;"",""?-00;"",""?00;"", //"""),"'","""")&amp;SUBSTITUTE(TEXT(Overig!L1439,""",""???0;"",""??-0;"",""???0;"", ///"""),"'","""")&amp;SUBSTITUTE(TEXT(Overig!M1439,""",""?00;"",""?-00;"",""?00;"", //"""),"'","""")&amp;SUBSTITUTE(TEXT(IF(ISTEXT(Overig!N1439),Overig!N1439,10*Overig!N1439),""",""????0;"",""???-0;"",""????0;"", ////"""),"'","""")&amp;SUBSTITUTE(TEXT(Overig!O1439,""",""?00;"",""?-00;"",""?00;"", //"""),"'","""")&amp;SUBSTITUTE(TEXT(IF(ISTEXT(Overig!P1439),Overig!P1439,10*Overig!P1439),""",""????0;"",""???-0;"",""????0;"", ////"""),"'","""")&amp;SUBSTITUTE(TEXT(Overig!Q1439,""",""?00;"",""?-00;"",""?00;"", //"""),"'","""")&amp;SUBSTITUTE(TEXT(Overig!R1439,""",""????0;"",""???-0;"",""????0;"", ////"""),"'","""")&amp;SUBSTITUTE(TEXT(Overig!S1439,""",""?00;"",""?-00;"",""?00;"", //"""),"'","""")&amp;SUBSTITUTE(TEXT(IF(ISTEXT(Overig!T1439),Overig!T1439,10*Overig!T1439),""",""????0;"",""???-0;"",""????0;"", ////"""),"'","""")&amp;SUBSTITUTE(TEXT(Overig!U1439,""",""?00;"",""?-00;"",""?00;"", //"""),"'","""")&amp;SUBSTITUTE(TEXT(Overig!V1439,""",""???0;"",""??-0;"",""???0;"", ///"""),"'","""")&amp;SUBSTITUTE(TEXT(Overig!W1439,""",""?00;"",""?-00;"",""?00;"", //"""),"'","""")</f>
        <v>032, 19401225, 12.00, ////, 07, ////, 07, ////, 07, ////, 07, ///, 07, ////, 07, ////, 07, ////, 07, ////, 07, ///, 07</v>
      </c>
    </row>
    <row r="1440" spans="1:1" x14ac:dyDescent="0.25">
      <c r="A1440" s="12" t="str">
        <f ca="1">TEXT(Overig!A1440,"000\,")&amp;TEXT(Overig!B1440,"?00000000")&amp;TEXT(Overig!C1440,""", ""@")&amp;SUBSTITUTE(TEXT(IF(ISTEXT(Overig!D1440),Overig!D1440,10*Overig!D1440),""",""????0;"",""???-0;"",""????0;"", ////"""),"'","""")&amp;SUBSTITUTE(TEXT(Overig!E1440,""",""?00;"",""?-00;"",""?00;"", //"""),"'","""")&amp;SUBSTITUTE(TEXT(IF(ISTEXT(Overig!F1440),Overig!F1440,10*Overig!F1440),""",""????0;"",""???-0;"",""????0;"", ////"""),"'","""")&amp;SUBSTITUTE(TEXT(Overig!G1440,""",""?00;"",""?-00;"",""?00;"", //"""),"'","""")&amp;SUBSTITUTE(TEXT(IF(ISTEXT(Overig!H1440),Overig!H1440,10*Overig!H1440),""",""????0;"",""???-0;"",""????0;"", ////"""),"'","""")&amp;SUBSTITUTE(TEXT(Overig!I1440,""",""?00;"",""?-00;"",""?00;"", //"""),"'","""")&amp;SUBSTITUTE(TEXT(IF(ISTEXT(Overig!J1440),Overig!J1440,10*Overig!J1440),""",""????0;"",""???-0;"",""????0;"", ////"""),"'","""")&amp;SUBSTITUTE(TEXT(Overig!K1440,""",""?00;"",""?-00;"",""?00;"", //"""),"'","""")&amp;SUBSTITUTE(TEXT(Overig!L1440,""",""???0;"",""??-0;"",""???0;"", ///"""),"'","""")&amp;SUBSTITUTE(TEXT(Overig!M1440,""",""?00;"",""?-00;"",""?00;"", //"""),"'","""")&amp;SUBSTITUTE(TEXT(IF(ISTEXT(Overig!N1440),Overig!N1440,10*Overig!N1440),""",""????0;"",""???-0;"",""????0;"", ////"""),"'","""")&amp;SUBSTITUTE(TEXT(Overig!O1440,""",""?00;"",""?-00;"",""?00;"", //"""),"'","""")&amp;SUBSTITUTE(TEXT(IF(ISTEXT(Overig!P1440),Overig!P1440,10*Overig!P1440),""",""????0;"",""???-0;"",""????0;"", ////"""),"'","""")&amp;SUBSTITUTE(TEXT(Overig!Q1440,""",""?00;"",""?-00;"",""?00;"", //"""),"'","""")&amp;SUBSTITUTE(TEXT(Overig!R1440,""",""????0;"",""???-0;"",""????0;"", ////"""),"'","""")&amp;SUBSTITUTE(TEXT(Overig!S1440,""",""?00;"",""?-00;"",""?00;"", //"""),"'","""")&amp;SUBSTITUTE(TEXT(IF(ISTEXT(Overig!T1440),Overig!T1440,10*Overig!T1440),""",""????0;"",""???-0;"",""????0;"", ////"""),"'","""")&amp;SUBSTITUTE(TEXT(Overig!U1440,""",""?00;"",""?-00;"",""?00;"", //"""),"'","""")&amp;SUBSTITUTE(TEXT(Overig!V1440,""",""???0;"",""??-0;"",""???0;"", ///"""),"'","""")&amp;SUBSTITUTE(TEXT(Overig!W1440,""",""?00;"",""?-00;"",""?00;"", //"""),"'","""")</f>
        <v>032, 19401225, 17.00, ////, 07, ////, 07, ////, 07, ////, 07, ///, 07, ////, 07, ////, 07, ////, 07, ////, 07, ///, 07</v>
      </c>
    </row>
    <row r="1441" spans="1:1" x14ac:dyDescent="0.25">
      <c r="A1441" s="12" t="str">
        <f ca="1">TEXT(Overig!A1441,"000\,")&amp;TEXT(Overig!B1441,"?00000000")&amp;TEXT(Overig!C1441,""", ""@")&amp;SUBSTITUTE(TEXT(IF(ISTEXT(Overig!D1441),Overig!D1441,10*Overig!D1441),""",""????0;"",""???-0;"",""????0;"", ////"""),"'","""")&amp;SUBSTITUTE(TEXT(Overig!E1441,""",""?00;"",""?-00;"",""?00;"", //"""),"'","""")&amp;SUBSTITUTE(TEXT(IF(ISTEXT(Overig!F1441),Overig!F1441,10*Overig!F1441),""",""????0;"",""???-0;"",""????0;"", ////"""),"'","""")&amp;SUBSTITUTE(TEXT(Overig!G1441,""",""?00;"",""?-00;"",""?00;"", //"""),"'","""")&amp;SUBSTITUTE(TEXT(IF(ISTEXT(Overig!H1441),Overig!H1441,10*Overig!H1441),""",""????0;"",""???-0;"",""????0;"", ////"""),"'","""")&amp;SUBSTITUTE(TEXT(Overig!I1441,""",""?00;"",""?-00;"",""?00;"", //"""),"'","""")&amp;SUBSTITUTE(TEXT(IF(ISTEXT(Overig!J1441),Overig!J1441,10*Overig!J1441),""",""????0;"",""???-0;"",""????0;"", ////"""),"'","""")&amp;SUBSTITUTE(TEXT(Overig!K1441,""",""?00;"",""?-00;"",""?00;"", //"""),"'","""")&amp;SUBSTITUTE(TEXT(Overig!L1441,""",""???0;"",""??-0;"",""???0;"", ///"""),"'","""")&amp;SUBSTITUTE(TEXT(Overig!M1441,""",""?00;"",""?-00;"",""?00;"", //"""),"'","""")&amp;SUBSTITUTE(TEXT(IF(ISTEXT(Overig!N1441),Overig!N1441,10*Overig!N1441),""",""????0;"",""???-0;"",""????0;"", ////"""),"'","""")&amp;SUBSTITUTE(TEXT(Overig!O1441,""",""?00;"",""?-00;"",""?00;"", //"""),"'","""")&amp;SUBSTITUTE(TEXT(IF(ISTEXT(Overig!P1441),Overig!P1441,10*Overig!P1441),""",""????0;"",""???-0;"",""????0;"", ////"""),"'","""")&amp;SUBSTITUTE(TEXT(Overig!Q1441,""",""?00;"",""?-00;"",""?00;"", //"""),"'","""")&amp;SUBSTITUTE(TEXT(Overig!R1441,""",""????0;"",""???-0;"",""????0;"", ////"""),"'","""")&amp;SUBSTITUTE(TEXT(Overig!S1441,""",""?00;"",""?-00;"",""?00;"", //"""),"'","""")&amp;SUBSTITUTE(TEXT(IF(ISTEXT(Overig!T1441),Overig!T1441,10*Overig!T1441),""",""????0;"",""???-0;"",""????0;"", ////"""),"'","""")&amp;SUBSTITUTE(TEXT(Overig!U1441,""",""?00;"",""?-00;"",""?00;"", //"""),"'","""")&amp;SUBSTITUTE(TEXT(Overig!V1441,""",""???0;"",""??-0;"",""???0;"", ///"""),"'","""")&amp;SUBSTITUTE(TEXT(Overig!W1441,""",""?00;"",""?-00;"",""?00;"", //"""),"'","""")</f>
        <v>032, 19401225, 24.00, ////, 07, ////, 07, ////, 07, ////, 07, ///, 07, ////, 07, ////, 07, ////, 07, ////, 07, ///, 07</v>
      </c>
    </row>
    <row r="1442" spans="1:1" x14ac:dyDescent="0.25">
      <c r="A1442" s="12" t="str">
        <f ca="1">TEXT(Overig!A1442,"000\,")&amp;TEXT(Overig!B1442,"?00000000")&amp;TEXT(Overig!C1442,""", ""@")&amp;SUBSTITUTE(TEXT(IF(ISTEXT(Overig!D1442),Overig!D1442,10*Overig!D1442),""",""????0;"",""???-0;"",""????0;"", ////"""),"'","""")&amp;SUBSTITUTE(TEXT(Overig!E1442,""",""?00;"",""?-00;"",""?00;"", //"""),"'","""")&amp;SUBSTITUTE(TEXT(IF(ISTEXT(Overig!F1442),Overig!F1442,10*Overig!F1442),""",""????0;"",""???-0;"",""????0;"", ////"""),"'","""")&amp;SUBSTITUTE(TEXT(Overig!G1442,""",""?00;"",""?-00;"",""?00;"", //"""),"'","""")&amp;SUBSTITUTE(TEXT(IF(ISTEXT(Overig!H1442),Overig!H1442,10*Overig!H1442),""",""????0;"",""???-0;"",""????0;"", ////"""),"'","""")&amp;SUBSTITUTE(TEXT(Overig!I1442,""",""?00;"",""?-00;"",""?00;"", //"""),"'","""")&amp;SUBSTITUTE(TEXT(IF(ISTEXT(Overig!J1442),Overig!J1442,10*Overig!J1442),""",""????0;"",""???-0;"",""????0;"", ////"""),"'","""")&amp;SUBSTITUTE(TEXT(Overig!K1442,""",""?00;"",""?-00;"",""?00;"", //"""),"'","""")&amp;SUBSTITUTE(TEXT(Overig!L1442,""",""???0;"",""??-0;"",""???0;"", ///"""),"'","""")&amp;SUBSTITUTE(TEXT(Overig!M1442,""",""?00;"",""?-00;"",""?00;"", //"""),"'","""")&amp;SUBSTITUTE(TEXT(IF(ISTEXT(Overig!N1442),Overig!N1442,10*Overig!N1442),""",""????0;"",""???-0;"",""????0;"", ////"""),"'","""")&amp;SUBSTITUTE(TEXT(Overig!O1442,""",""?00;"",""?-00;"",""?00;"", //"""),"'","""")&amp;SUBSTITUTE(TEXT(IF(ISTEXT(Overig!P1442),Overig!P1442,10*Overig!P1442),""",""????0;"",""???-0;"",""????0;"", ////"""),"'","""")&amp;SUBSTITUTE(TEXT(Overig!Q1442,""",""?00;"",""?-00;"",""?00;"", //"""),"'","""")&amp;SUBSTITUTE(TEXT(Overig!R1442,""",""????0;"",""???-0;"",""????0;"", ////"""),"'","""")&amp;SUBSTITUTE(TEXT(Overig!S1442,""",""?00;"",""?-00;"",""?00;"", //"""),"'","""")&amp;SUBSTITUTE(TEXT(IF(ISTEXT(Overig!T1442),Overig!T1442,10*Overig!T1442),""",""????0;"",""???-0;"",""????0;"", ////"""),"'","""")&amp;SUBSTITUTE(TEXT(Overig!U1442,""",""?00;"",""?-00;"",""?00;"", //"""),"'","""")&amp;SUBSTITUTE(TEXT(Overig!V1442,""",""???0;"",""??-0;"",""???0;"", ///"""),"'","""")&amp;SUBSTITUTE(TEXT(Overig!W1442,""",""?00;"",""?-00;"",""?00;"", //"""),"'","""")</f>
        <v>032, 19401226, 07.00, ////, 07, ////, 07, ////, 07, ////, 07, ///, 07, ////, 07, ////, 07, ////, 07, ////, 07, ///, 07</v>
      </c>
    </row>
    <row r="1443" spans="1:1" x14ac:dyDescent="0.25">
      <c r="A1443" s="12" t="str">
        <f ca="1">TEXT(Overig!A1443,"000\,")&amp;TEXT(Overig!B1443,"?00000000")&amp;TEXT(Overig!C1443,""", ""@")&amp;SUBSTITUTE(TEXT(IF(ISTEXT(Overig!D1443),Overig!D1443,10*Overig!D1443),""",""????0;"",""???-0;"",""????0;"", ////"""),"'","""")&amp;SUBSTITUTE(TEXT(Overig!E1443,""",""?00;"",""?-00;"",""?00;"", //"""),"'","""")&amp;SUBSTITUTE(TEXT(IF(ISTEXT(Overig!F1443),Overig!F1443,10*Overig!F1443),""",""????0;"",""???-0;"",""????0;"", ////"""),"'","""")&amp;SUBSTITUTE(TEXT(Overig!G1443,""",""?00;"",""?-00;"",""?00;"", //"""),"'","""")&amp;SUBSTITUTE(TEXT(IF(ISTEXT(Overig!H1443),Overig!H1443,10*Overig!H1443),""",""????0;"",""???-0;"",""????0;"", ////"""),"'","""")&amp;SUBSTITUTE(TEXT(Overig!I1443,""",""?00;"",""?-00;"",""?00;"", //"""),"'","""")&amp;SUBSTITUTE(TEXT(IF(ISTEXT(Overig!J1443),Overig!J1443,10*Overig!J1443),""",""????0;"",""???-0;"",""????0;"", ////"""),"'","""")&amp;SUBSTITUTE(TEXT(Overig!K1443,""",""?00;"",""?-00;"",""?00;"", //"""),"'","""")&amp;SUBSTITUTE(TEXT(Overig!L1443,""",""???0;"",""??-0;"",""???0;"", ///"""),"'","""")&amp;SUBSTITUTE(TEXT(Overig!M1443,""",""?00;"",""?-00;"",""?00;"", //"""),"'","""")&amp;SUBSTITUTE(TEXT(IF(ISTEXT(Overig!N1443),Overig!N1443,10*Overig!N1443),""",""????0;"",""???-0;"",""????0;"", ////"""),"'","""")&amp;SUBSTITUTE(TEXT(Overig!O1443,""",""?00;"",""?-00;"",""?00;"", //"""),"'","""")&amp;SUBSTITUTE(TEXT(IF(ISTEXT(Overig!P1443),Overig!P1443,10*Overig!P1443),""",""????0;"",""???-0;"",""????0;"", ////"""),"'","""")&amp;SUBSTITUTE(TEXT(Overig!Q1443,""",""?00;"",""?-00;"",""?00;"", //"""),"'","""")&amp;SUBSTITUTE(TEXT(Overig!R1443,""",""????0;"",""???-0;"",""????0;"", ////"""),"'","""")&amp;SUBSTITUTE(TEXT(Overig!S1443,""",""?00;"",""?-00;"",""?00;"", //"""),"'","""")&amp;SUBSTITUTE(TEXT(IF(ISTEXT(Overig!T1443),Overig!T1443,10*Overig!T1443),""",""????0;"",""???-0;"",""????0;"", ////"""),"'","""")&amp;SUBSTITUTE(TEXT(Overig!U1443,""",""?00;"",""?-00;"",""?00;"", //"""),"'","""")&amp;SUBSTITUTE(TEXT(Overig!V1443,""",""???0;"",""??-0;"",""???0;"", ///"""),"'","""")&amp;SUBSTITUTE(TEXT(Overig!W1443,""",""?00;"",""?-00;"",""?00;"", //"""),"'","""")</f>
        <v>032, 19401226, 12.00, ////, 07, ////, 07, ////, 07, ////, 07, ///, 07, ////, 07, ////, 07, ////, 07, ////, 07, ///, 07</v>
      </c>
    </row>
    <row r="1444" spans="1:1" x14ac:dyDescent="0.25">
      <c r="A1444" s="12" t="str">
        <f ca="1">TEXT(Overig!A1444,"000\,")&amp;TEXT(Overig!B1444,"?00000000")&amp;TEXT(Overig!C1444,""", ""@")&amp;SUBSTITUTE(TEXT(IF(ISTEXT(Overig!D1444),Overig!D1444,10*Overig!D1444),""",""????0;"",""???-0;"",""????0;"", ////"""),"'","""")&amp;SUBSTITUTE(TEXT(Overig!E1444,""",""?00;"",""?-00;"",""?00;"", //"""),"'","""")&amp;SUBSTITUTE(TEXT(IF(ISTEXT(Overig!F1444),Overig!F1444,10*Overig!F1444),""",""????0;"",""???-0;"",""????0;"", ////"""),"'","""")&amp;SUBSTITUTE(TEXT(Overig!G1444,""",""?00;"",""?-00;"",""?00;"", //"""),"'","""")&amp;SUBSTITUTE(TEXT(IF(ISTEXT(Overig!H1444),Overig!H1444,10*Overig!H1444),""",""????0;"",""???-0;"",""????0;"", ////"""),"'","""")&amp;SUBSTITUTE(TEXT(Overig!I1444,""",""?00;"",""?-00;"",""?00;"", //"""),"'","""")&amp;SUBSTITUTE(TEXT(IF(ISTEXT(Overig!J1444),Overig!J1444,10*Overig!J1444),""",""????0;"",""???-0;"",""????0;"", ////"""),"'","""")&amp;SUBSTITUTE(TEXT(Overig!K1444,""",""?00;"",""?-00;"",""?00;"", //"""),"'","""")&amp;SUBSTITUTE(TEXT(Overig!L1444,""",""???0;"",""??-0;"",""???0;"", ///"""),"'","""")&amp;SUBSTITUTE(TEXT(Overig!M1444,""",""?00;"",""?-00;"",""?00;"", //"""),"'","""")&amp;SUBSTITUTE(TEXT(IF(ISTEXT(Overig!N1444),Overig!N1444,10*Overig!N1444),""",""????0;"",""???-0;"",""????0;"", ////"""),"'","""")&amp;SUBSTITUTE(TEXT(Overig!O1444,""",""?00;"",""?-00;"",""?00;"", //"""),"'","""")&amp;SUBSTITUTE(TEXT(IF(ISTEXT(Overig!P1444),Overig!P1444,10*Overig!P1444),""",""????0;"",""???-0;"",""????0;"", ////"""),"'","""")&amp;SUBSTITUTE(TEXT(Overig!Q1444,""",""?00;"",""?-00;"",""?00;"", //"""),"'","""")&amp;SUBSTITUTE(TEXT(Overig!R1444,""",""????0;"",""???-0;"",""????0;"", ////"""),"'","""")&amp;SUBSTITUTE(TEXT(Overig!S1444,""",""?00;"",""?-00;"",""?00;"", //"""),"'","""")&amp;SUBSTITUTE(TEXT(IF(ISTEXT(Overig!T1444),Overig!T1444,10*Overig!T1444),""",""????0;"",""???-0;"",""????0;"", ////"""),"'","""")&amp;SUBSTITUTE(TEXT(Overig!U1444,""",""?00;"",""?-00;"",""?00;"", //"""),"'","""")&amp;SUBSTITUTE(TEXT(Overig!V1444,""",""???0;"",""??-0;"",""???0;"", ///"""),"'","""")&amp;SUBSTITUTE(TEXT(Overig!W1444,""",""?00;"",""?-00;"",""?00;"", //"""),"'","""")</f>
        <v>032, 19401226, 17.00, ////, 07, ////, 07, ////, 07, ////, 07, ///, 07, ////, 07, ////, 07, ////, 07, ////, 07, ///, 07</v>
      </c>
    </row>
    <row r="1445" spans="1:1" x14ac:dyDescent="0.25">
      <c r="A1445" s="12" t="str">
        <f ca="1">TEXT(Overig!A1445,"000\,")&amp;TEXT(Overig!B1445,"?00000000")&amp;TEXT(Overig!C1445,""", ""@")&amp;SUBSTITUTE(TEXT(IF(ISTEXT(Overig!D1445),Overig!D1445,10*Overig!D1445),""",""????0;"",""???-0;"",""????0;"", ////"""),"'","""")&amp;SUBSTITUTE(TEXT(Overig!E1445,""",""?00;"",""?-00;"",""?00;"", //"""),"'","""")&amp;SUBSTITUTE(TEXT(IF(ISTEXT(Overig!F1445),Overig!F1445,10*Overig!F1445),""",""????0;"",""???-0;"",""????0;"", ////"""),"'","""")&amp;SUBSTITUTE(TEXT(Overig!G1445,""",""?00;"",""?-00;"",""?00;"", //"""),"'","""")&amp;SUBSTITUTE(TEXT(IF(ISTEXT(Overig!H1445),Overig!H1445,10*Overig!H1445),""",""????0;"",""???-0;"",""????0;"", ////"""),"'","""")&amp;SUBSTITUTE(TEXT(Overig!I1445,""",""?00;"",""?-00;"",""?00;"", //"""),"'","""")&amp;SUBSTITUTE(TEXT(IF(ISTEXT(Overig!J1445),Overig!J1445,10*Overig!J1445),""",""????0;"",""???-0;"",""????0;"", ////"""),"'","""")&amp;SUBSTITUTE(TEXT(Overig!K1445,""",""?00;"",""?-00;"",""?00;"", //"""),"'","""")&amp;SUBSTITUTE(TEXT(Overig!L1445,""",""???0;"",""??-0;"",""???0;"", ///"""),"'","""")&amp;SUBSTITUTE(TEXT(Overig!M1445,""",""?00;"",""?-00;"",""?00;"", //"""),"'","""")&amp;SUBSTITUTE(TEXT(IF(ISTEXT(Overig!N1445),Overig!N1445,10*Overig!N1445),""",""????0;"",""???-0;"",""????0;"", ////"""),"'","""")&amp;SUBSTITUTE(TEXT(Overig!O1445,""",""?00;"",""?-00;"",""?00;"", //"""),"'","""")&amp;SUBSTITUTE(TEXT(IF(ISTEXT(Overig!P1445),Overig!P1445,10*Overig!P1445),""",""????0;"",""???-0;"",""????0;"", ////"""),"'","""")&amp;SUBSTITUTE(TEXT(Overig!Q1445,""",""?00;"",""?-00;"",""?00;"", //"""),"'","""")&amp;SUBSTITUTE(TEXT(Overig!R1445,""",""????0;"",""???-0;"",""????0;"", ////"""),"'","""")&amp;SUBSTITUTE(TEXT(Overig!S1445,""",""?00;"",""?-00;"",""?00;"", //"""),"'","""")&amp;SUBSTITUTE(TEXT(IF(ISTEXT(Overig!T1445),Overig!T1445,10*Overig!T1445),""",""????0;"",""???-0;"",""????0;"", ////"""),"'","""")&amp;SUBSTITUTE(TEXT(Overig!U1445,""",""?00;"",""?-00;"",""?00;"", //"""),"'","""")&amp;SUBSTITUTE(TEXT(Overig!V1445,""",""???0;"",""??-0;"",""???0;"", ///"""),"'","""")&amp;SUBSTITUTE(TEXT(Overig!W1445,""",""?00;"",""?-00;"",""?00;"", //"""),"'","""")</f>
        <v>032, 19401226, 24.00, ////, 07, ////, 07, ////, 07, ////, 07, ///, 07, ////, 07, ////, 07, ////, 07, ////, 07, ///, 07</v>
      </c>
    </row>
    <row r="1446" spans="1:1" x14ac:dyDescent="0.25">
      <c r="A1446" s="12" t="str">
        <f ca="1">TEXT(Overig!A1446,"000\,")&amp;TEXT(Overig!B1446,"?00000000")&amp;TEXT(Overig!C1446,""", ""@")&amp;SUBSTITUTE(TEXT(IF(ISTEXT(Overig!D1446),Overig!D1446,10*Overig!D1446),""",""????0;"",""???-0;"",""????0;"", ////"""),"'","""")&amp;SUBSTITUTE(TEXT(Overig!E1446,""",""?00;"",""?-00;"",""?00;"", //"""),"'","""")&amp;SUBSTITUTE(TEXT(IF(ISTEXT(Overig!F1446),Overig!F1446,10*Overig!F1446),""",""????0;"",""???-0;"",""????0;"", ////"""),"'","""")&amp;SUBSTITUTE(TEXT(Overig!G1446,""",""?00;"",""?-00;"",""?00;"", //"""),"'","""")&amp;SUBSTITUTE(TEXT(IF(ISTEXT(Overig!H1446),Overig!H1446,10*Overig!H1446),""",""????0;"",""???-0;"",""????0;"", ////"""),"'","""")&amp;SUBSTITUTE(TEXT(Overig!I1446,""",""?00;"",""?-00;"",""?00;"", //"""),"'","""")&amp;SUBSTITUTE(TEXT(IF(ISTEXT(Overig!J1446),Overig!J1446,10*Overig!J1446),""",""????0;"",""???-0;"",""????0;"", ////"""),"'","""")&amp;SUBSTITUTE(TEXT(Overig!K1446,""",""?00;"",""?-00;"",""?00;"", //"""),"'","""")&amp;SUBSTITUTE(TEXT(Overig!L1446,""",""???0;"",""??-0;"",""???0;"", ///"""),"'","""")&amp;SUBSTITUTE(TEXT(Overig!M1446,""",""?00;"",""?-00;"",""?00;"", //"""),"'","""")&amp;SUBSTITUTE(TEXT(IF(ISTEXT(Overig!N1446),Overig!N1446,10*Overig!N1446),""",""????0;"",""???-0;"",""????0;"", ////"""),"'","""")&amp;SUBSTITUTE(TEXT(Overig!O1446,""",""?00;"",""?-00;"",""?00;"", //"""),"'","""")&amp;SUBSTITUTE(TEXT(IF(ISTEXT(Overig!P1446),Overig!P1446,10*Overig!P1446),""",""????0;"",""???-0;"",""????0;"", ////"""),"'","""")&amp;SUBSTITUTE(TEXT(Overig!Q1446,""",""?00;"",""?-00;"",""?00;"", //"""),"'","""")&amp;SUBSTITUTE(TEXT(Overig!R1446,""",""????0;"",""???-0;"",""????0;"", ////"""),"'","""")&amp;SUBSTITUTE(TEXT(Overig!S1446,""",""?00;"",""?-00;"",""?00;"", //"""),"'","""")&amp;SUBSTITUTE(TEXT(IF(ISTEXT(Overig!T1446),Overig!T1446,10*Overig!T1446),""",""????0;"",""???-0;"",""????0;"", ////"""),"'","""")&amp;SUBSTITUTE(TEXT(Overig!U1446,""",""?00;"",""?-00;"",""?00;"", //"""),"'","""")&amp;SUBSTITUTE(TEXT(Overig!V1446,""",""???0;"",""??-0;"",""???0;"", ///"""),"'","""")&amp;SUBSTITUTE(TEXT(Overig!W1446,""",""?00;"",""?-00;"",""?00;"", //"""),"'","""")</f>
        <v>032, 19401227, 07.00, ////, 07, ////, 07, ////, 07, ////, 07, ///, 07, ////, 07, ////, 07, ////, 07, ////, 07, ///, 07</v>
      </c>
    </row>
    <row r="1447" spans="1:1" x14ac:dyDescent="0.25">
      <c r="A1447" s="12" t="str">
        <f ca="1">TEXT(Overig!A1447,"000\,")&amp;TEXT(Overig!B1447,"?00000000")&amp;TEXT(Overig!C1447,""", ""@")&amp;SUBSTITUTE(TEXT(IF(ISTEXT(Overig!D1447),Overig!D1447,10*Overig!D1447),""",""????0;"",""???-0;"",""????0;"", ////"""),"'","""")&amp;SUBSTITUTE(TEXT(Overig!E1447,""",""?00;"",""?-00;"",""?00;"", //"""),"'","""")&amp;SUBSTITUTE(TEXT(IF(ISTEXT(Overig!F1447),Overig!F1447,10*Overig!F1447),""",""????0;"",""???-0;"",""????0;"", ////"""),"'","""")&amp;SUBSTITUTE(TEXT(Overig!G1447,""",""?00;"",""?-00;"",""?00;"", //"""),"'","""")&amp;SUBSTITUTE(TEXT(IF(ISTEXT(Overig!H1447),Overig!H1447,10*Overig!H1447),""",""????0;"",""???-0;"",""????0;"", ////"""),"'","""")&amp;SUBSTITUTE(TEXT(Overig!I1447,""",""?00;"",""?-00;"",""?00;"", //"""),"'","""")&amp;SUBSTITUTE(TEXT(IF(ISTEXT(Overig!J1447),Overig!J1447,10*Overig!J1447),""",""????0;"",""???-0;"",""????0;"", ////"""),"'","""")&amp;SUBSTITUTE(TEXT(Overig!K1447,""",""?00;"",""?-00;"",""?00;"", //"""),"'","""")&amp;SUBSTITUTE(TEXT(Overig!L1447,""",""???0;"",""??-0;"",""???0;"", ///"""),"'","""")&amp;SUBSTITUTE(TEXT(Overig!M1447,""",""?00;"",""?-00;"",""?00;"", //"""),"'","""")&amp;SUBSTITUTE(TEXT(IF(ISTEXT(Overig!N1447),Overig!N1447,10*Overig!N1447),""",""????0;"",""???-0;"",""????0;"", ////"""),"'","""")&amp;SUBSTITUTE(TEXT(Overig!O1447,""",""?00;"",""?-00;"",""?00;"", //"""),"'","""")&amp;SUBSTITUTE(TEXT(IF(ISTEXT(Overig!P1447),Overig!P1447,10*Overig!P1447),""",""????0;"",""???-0;"",""????0;"", ////"""),"'","""")&amp;SUBSTITUTE(TEXT(Overig!Q1447,""",""?00;"",""?-00;"",""?00;"", //"""),"'","""")&amp;SUBSTITUTE(TEXT(Overig!R1447,""",""????0;"",""???-0;"",""????0;"", ////"""),"'","""")&amp;SUBSTITUTE(TEXT(Overig!S1447,""",""?00;"",""?-00;"",""?00;"", //"""),"'","""")&amp;SUBSTITUTE(TEXT(IF(ISTEXT(Overig!T1447),Overig!T1447,10*Overig!T1447),""",""????0;"",""???-0;"",""????0;"", ////"""),"'","""")&amp;SUBSTITUTE(TEXT(Overig!U1447,""",""?00;"",""?-00;"",""?00;"", //"""),"'","""")&amp;SUBSTITUTE(TEXT(Overig!V1447,""",""???0;"",""??-0;"",""???0;"", ///"""),"'","""")&amp;SUBSTITUTE(TEXT(Overig!W1447,""",""?00;"",""?-00;"",""?00;"", //"""),"'","""")</f>
        <v>032, 19401227, 12.00, ////, 07, ////, 07, ////, 07, ////, 07, ///, 07, ////, 07, ////, 07, ////, 07, ////, 07, ///, 07</v>
      </c>
    </row>
    <row r="1448" spans="1:1" x14ac:dyDescent="0.25">
      <c r="A1448" s="12" t="str">
        <f ca="1">TEXT(Overig!A1448,"000\,")&amp;TEXT(Overig!B1448,"?00000000")&amp;TEXT(Overig!C1448,""", ""@")&amp;SUBSTITUTE(TEXT(IF(ISTEXT(Overig!D1448),Overig!D1448,10*Overig!D1448),""",""????0;"",""???-0;"",""????0;"", ////"""),"'","""")&amp;SUBSTITUTE(TEXT(Overig!E1448,""",""?00;"",""?-00;"",""?00;"", //"""),"'","""")&amp;SUBSTITUTE(TEXT(IF(ISTEXT(Overig!F1448),Overig!F1448,10*Overig!F1448),""",""????0;"",""???-0;"",""????0;"", ////"""),"'","""")&amp;SUBSTITUTE(TEXT(Overig!G1448,""",""?00;"",""?-00;"",""?00;"", //"""),"'","""")&amp;SUBSTITUTE(TEXT(IF(ISTEXT(Overig!H1448),Overig!H1448,10*Overig!H1448),""",""????0;"",""???-0;"",""????0;"", ////"""),"'","""")&amp;SUBSTITUTE(TEXT(Overig!I1448,""",""?00;"",""?-00;"",""?00;"", //"""),"'","""")&amp;SUBSTITUTE(TEXT(IF(ISTEXT(Overig!J1448),Overig!J1448,10*Overig!J1448),""",""????0;"",""???-0;"",""????0;"", ////"""),"'","""")&amp;SUBSTITUTE(TEXT(Overig!K1448,""",""?00;"",""?-00;"",""?00;"", //"""),"'","""")&amp;SUBSTITUTE(TEXT(Overig!L1448,""",""???0;"",""??-0;"",""???0;"", ///"""),"'","""")&amp;SUBSTITUTE(TEXT(Overig!M1448,""",""?00;"",""?-00;"",""?00;"", //"""),"'","""")&amp;SUBSTITUTE(TEXT(IF(ISTEXT(Overig!N1448),Overig!N1448,10*Overig!N1448),""",""????0;"",""???-0;"",""????0;"", ////"""),"'","""")&amp;SUBSTITUTE(TEXT(Overig!O1448,""",""?00;"",""?-00;"",""?00;"", //"""),"'","""")&amp;SUBSTITUTE(TEXT(IF(ISTEXT(Overig!P1448),Overig!P1448,10*Overig!P1448),""",""????0;"",""???-0;"",""????0;"", ////"""),"'","""")&amp;SUBSTITUTE(TEXT(Overig!Q1448,""",""?00;"",""?-00;"",""?00;"", //"""),"'","""")&amp;SUBSTITUTE(TEXT(Overig!R1448,""",""????0;"",""???-0;"",""????0;"", ////"""),"'","""")&amp;SUBSTITUTE(TEXT(Overig!S1448,""",""?00;"",""?-00;"",""?00;"", //"""),"'","""")&amp;SUBSTITUTE(TEXT(IF(ISTEXT(Overig!T1448),Overig!T1448,10*Overig!T1448),""",""????0;"",""???-0;"",""????0;"", ////"""),"'","""")&amp;SUBSTITUTE(TEXT(Overig!U1448,""",""?00;"",""?-00;"",""?00;"", //"""),"'","""")&amp;SUBSTITUTE(TEXT(Overig!V1448,""",""???0;"",""??-0;"",""???0;"", ///"""),"'","""")&amp;SUBSTITUTE(TEXT(Overig!W1448,""",""?00;"",""?-00;"",""?00;"", //"""),"'","""")</f>
        <v>032, 19401227, 17.00, ////, 07, ////, 07, ////, 07, ////, 07, ///, 07, ////, 07, ////, 07, ////, 07, ////, 07, ///, 07</v>
      </c>
    </row>
    <row r="1449" spans="1:1" x14ac:dyDescent="0.25">
      <c r="A1449" s="12" t="str">
        <f ca="1">TEXT(Overig!A1449,"000\,")&amp;TEXT(Overig!B1449,"?00000000")&amp;TEXT(Overig!C1449,""", ""@")&amp;SUBSTITUTE(TEXT(IF(ISTEXT(Overig!D1449),Overig!D1449,10*Overig!D1449),""",""????0;"",""???-0;"",""????0;"", ////"""),"'","""")&amp;SUBSTITUTE(TEXT(Overig!E1449,""",""?00;"",""?-00;"",""?00;"", //"""),"'","""")&amp;SUBSTITUTE(TEXT(IF(ISTEXT(Overig!F1449),Overig!F1449,10*Overig!F1449),""",""????0;"",""???-0;"",""????0;"", ////"""),"'","""")&amp;SUBSTITUTE(TEXT(Overig!G1449,""",""?00;"",""?-00;"",""?00;"", //"""),"'","""")&amp;SUBSTITUTE(TEXT(IF(ISTEXT(Overig!H1449),Overig!H1449,10*Overig!H1449),""",""????0;"",""???-0;"",""????0;"", ////"""),"'","""")&amp;SUBSTITUTE(TEXT(Overig!I1449,""",""?00;"",""?-00;"",""?00;"", //"""),"'","""")&amp;SUBSTITUTE(TEXT(IF(ISTEXT(Overig!J1449),Overig!J1449,10*Overig!J1449),""",""????0;"",""???-0;"",""????0;"", ////"""),"'","""")&amp;SUBSTITUTE(TEXT(Overig!K1449,""",""?00;"",""?-00;"",""?00;"", //"""),"'","""")&amp;SUBSTITUTE(TEXT(Overig!L1449,""",""???0;"",""??-0;"",""???0;"", ///"""),"'","""")&amp;SUBSTITUTE(TEXT(Overig!M1449,""",""?00;"",""?-00;"",""?00;"", //"""),"'","""")&amp;SUBSTITUTE(TEXT(IF(ISTEXT(Overig!N1449),Overig!N1449,10*Overig!N1449),""",""????0;"",""???-0;"",""????0;"", ////"""),"'","""")&amp;SUBSTITUTE(TEXT(Overig!O1449,""",""?00;"",""?-00;"",""?00;"", //"""),"'","""")&amp;SUBSTITUTE(TEXT(IF(ISTEXT(Overig!P1449),Overig!P1449,10*Overig!P1449),""",""????0;"",""???-0;"",""????0;"", ////"""),"'","""")&amp;SUBSTITUTE(TEXT(Overig!Q1449,""",""?00;"",""?-00;"",""?00;"", //"""),"'","""")&amp;SUBSTITUTE(TEXT(Overig!R1449,""",""????0;"",""???-0;"",""????0;"", ////"""),"'","""")&amp;SUBSTITUTE(TEXT(Overig!S1449,""",""?00;"",""?-00;"",""?00;"", //"""),"'","""")&amp;SUBSTITUTE(TEXT(IF(ISTEXT(Overig!T1449),Overig!T1449,10*Overig!T1449),""",""????0;"",""???-0;"",""????0;"", ////"""),"'","""")&amp;SUBSTITUTE(TEXT(Overig!U1449,""",""?00;"",""?-00;"",""?00;"", //"""),"'","""")&amp;SUBSTITUTE(TEXT(Overig!V1449,""",""???0;"",""??-0;"",""???0;"", ///"""),"'","""")&amp;SUBSTITUTE(TEXT(Overig!W1449,""",""?00;"",""?-00;"",""?00;"", //"""),"'","""")</f>
        <v>032, 19401227, 24.00, ////, 07, ////, 07, ////, 07, ////, 07, ///, 07, ////, 07, ////, 07, ////, 07, ////, 07, ///, 07</v>
      </c>
    </row>
    <row r="1450" spans="1:1" x14ac:dyDescent="0.25">
      <c r="A1450" s="12" t="str">
        <f ca="1">TEXT(Overig!A1450,"000\,")&amp;TEXT(Overig!B1450,"?00000000")&amp;TEXT(Overig!C1450,""", ""@")&amp;SUBSTITUTE(TEXT(IF(ISTEXT(Overig!D1450),Overig!D1450,10*Overig!D1450),""",""????0;"",""???-0;"",""????0;"", ////"""),"'","""")&amp;SUBSTITUTE(TEXT(Overig!E1450,""",""?00;"",""?-00;"",""?00;"", //"""),"'","""")&amp;SUBSTITUTE(TEXT(IF(ISTEXT(Overig!F1450),Overig!F1450,10*Overig!F1450),""",""????0;"",""???-0;"",""????0;"", ////"""),"'","""")&amp;SUBSTITUTE(TEXT(Overig!G1450,""",""?00;"",""?-00;"",""?00;"", //"""),"'","""")&amp;SUBSTITUTE(TEXT(IF(ISTEXT(Overig!H1450),Overig!H1450,10*Overig!H1450),""",""????0;"",""???-0;"",""????0;"", ////"""),"'","""")&amp;SUBSTITUTE(TEXT(Overig!I1450,""",""?00;"",""?-00;"",""?00;"", //"""),"'","""")&amp;SUBSTITUTE(TEXT(IF(ISTEXT(Overig!J1450),Overig!J1450,10*Overig!J1450),""",""????0;"",""???-0;"",""????0;"", ////"""),"'","""")&amp;SUBSTITUTE(TEXT(Overig!K1450,""",""?00;"",""?-00;"",""?00;"", //"""),"'","""")&amp;SUBSTITUTE(TEXT(Overig!L1450,""",""???0;"",""??-0;"",""???0;"", ///"""),"'","""")&amp;SUBSTITUTE(TEXT(Overig!M1450,""",""?00;"",""?-00;"",""?00;"", //"""),"'","""")&amp;SUBSTITUTE(TEXT(IF(ISTEXT(Overig!N1450),Overig!N1450,10*Overig!N1450),""",""????0;"",""???-0;"",""????0;"", ////"""),"'","""")&amp;SUBSTITUTE(TEXT(Overig!O1450,""",""?00;"",""?-00;"",""?00;"", //"""),"'","""")&amp;SUBSTITUTE(TEXT(IF(ISTEXT(Overig!P1450),Overig!P1450,10*Overig!P1450),""",""????0;"",""???-0;"",""????0;"", ////"""),"'","""")&amp;SUBSTITUTE(TEXT(Overig!Q1450,""",""?00;"",""?-00;"",""?00;"", //"""),"'","""")&amp;SUBSTITUTE(TEXT(Overig!R1450,""",""????0;"",""???-0;"",""????0;"", ////"""),"'","""")&amp;SUBSTITUTE(TEXT(Overig!S1450,""",""?00;"",""?-00;"",""?00;"", //"""),"'","""")&amp;SUBSTITUTE(TEXT(IF(ISTEXT(Overig!T1450),Overig!T1450,10*Overig!T1450),""",""????0;"",""???-0;"",""????0;"", ////"""),"'","""")&amp;SUBSTITUTE(TEXT(Overig!U1450,""",""?00;"",""?-00;"",""?00;"", //"""),"'","""")&amp;SUBSTITUTE(TEXT(Overig!V1450,""",""???0;"",""??-0;"",""???0;"", ///"""),"'","""")&amp;SUBSTITUTE(TEXT(Overig!W1450,""",""?00;"",""?-00;"",""?00;"", //"""),"'","""")</f>
        <v>032, 19401228, 07.00, ////, 07, ////, 07, ////, 07, ////, 07, ///, 07, ////, 07, ////, 07, ////, 07, ////, 07, ///, 07</v>
      </c>
    </row>
    <row r="1451" spans="1:1" x14ac:dyDescent="0.25">
      <c r="A1451" s="12" t="str">
        <f ca="1">TEXT(Overig!A1451,"000\,")&amp;TEXT(Overig!B1451,"?00000000")&amp;TEXT(Overig!C1451,""", ""@")&amp;SUBSTITUTE(TEXT(IF(ISTEXT(Overig!D1451),Overig!D1451,10*Overig!D1451),""",""????0;"",""???-0;"",""????0;"", ////"""),"'","""")&amp;SUBSTITUTE(TEXT(Overig!E1451,""",""?00;"",""?-00;"",""?00;"", //"""),"'","""")&amp;SUBSTITUTE(TEXT(IF(ISTEXT(Overig!F1451),Overig!F1451,10*Overig!F1451),""",""????0;"",""???-0;"",""????0;"", ////"""),"'","""")&amp;SUBSTITUTE(TEXT(Overig!G1451,""",""?00;"",""?-00;"",""?00;"", //"""),"'","""")&amp;SUBSTITUTE(TEXT(IF(ISTEXT(Overig!H1451),Overig!H1451,10*Overig!H1451),""",""????0;"",""???-0;"",""????0;"", ////"""),"'","""")&amp;SUBSTITUTE(TEXT(Overig!I1451,""",""?00;"",""?-00;"",""?00;"", //"""),"'","""")&amp;SUBSTITUTE(TEXT(IF(ISTEXT(Overig!J1451),Overig!J1451,10*Overig!J1451),""",""????0;"",""???-0;"",""????0;"", ////"""),"'","""")&amp;SUBSTITUTE(TEXT(Overig!K1451,""",""?00;"",""?-00;"",""?00;"", //"""),"'","""")&amp;SUBSTITUTE(TEXT(Overig!L1451,""",""???0;"",""??-0;"",""???0;"", ///"""),"'","""")&amp;SUBSTITUTE(TEXT(Overig!M1451,""",""?00;"",""?-00;"",""?00;"", //"""),"'","""")&amp;SUBSTITUTE(TEXT(IF(ISTEXT(Overig!N1451),Overig!N1451,10*Overig!N1451),""",""????0;"",""???-0;"",""????0;"", ////"""),"'","""")&amp;SUBSTITUTE(TEXT(Overig!O1451,""",""?00;"",""?-00;"",""?00;"", //"""),"'","""")&amp;SUBSTITUTE(TEXT(IF(ISTEXT(Overig!P1451),Overig!P1451,10*Overig!P1451),""",""????0;"",""???-0;"",""????0;"", ////"""),"'","""")&amp;SUBSTITUTE(TEXT(Overig!Q1451,""",""?00;"",""?-00;"",""?00;"", //"""),"'","""")&amp;SUBSTITUTE(TEXT(Overig!R1451,""",""????0;"",""???-0;"",""????0;"", ////"""),"'","""")&amp;SUBSTITUTE(TEXT(Overig!S1451,""",""?00;"",""?-00;"",""?00;"", //"""),"'","""")&amp;SUBSTITUTE(TEXT(IF(ISTEXT(Overig!T1451),Overig!T1451,10*Overig!T1451),""",""????0;"",""???-0;"",""????0;"", ////"""),"'","""")&amp;SUBSTITUTE(TEXT(Overig!U1451,""",""?00;"",""?-00;"",""?00;"", //"""),"'","""")&amp;SUBSTITUTE(TEXT(Overig!V1451,""",""???0;"",""??-0;"",""???0;"", ///"""),"'","""")&amp;SUBSTITUTE(TEXT(Overig!W1451,""",""?00;"",""?-00;"",""?00;"", //"""),"'","""")</f>
        <v>032, 19401228, 12.00, ////, 07, ////, 07, ////, 07, ////, 07, ///, 07, ////, 07, ////, 07, ////, 07, ////, 07, ///, 07</v>
      </c>
    </row>
    <row r="1452" spans="1:1" x14ac:dyDescent="0.25">
      <c r="A1452" s="12" t="str">
        <f ca="1">TEXT(Overig!A1452,"000\,")&amp;TEXT(Overig!B1452,"?00000000")&amp;TEXT(Overig!C1452,""", ""@")&amp;SUBSTITUTE(TEXT(IF(ISTEXT(Overig!D1452),Overig!D1452,10*Overig!D1452),""",""????0;"",""???-0;"",""????0;"", ////"""),"'","""")&amp;SUBSTITUTE(TEXT(Overig!E1452,""",""?00;"",""?-00;"",""?00;"", //"""),"'","""")&amp;SUBSTITUTE(TEXT(IF(ISTEXT(Overig!F1452),Overig!F1452,10*Overig!F1452),""",""????0;"",""???-0;"",""????0;"", ////"""),"'","""")&amp;SUBSTITUTE(TEXT(Overig!G1452,""",""?00;"",""?-00;"",""?00;"", //"""),"'","""")&amp;SUBSTITUTE(TEXT(IF(ISTEXT(Overig!H1452),Overig!H1452,10*Overig!H1452),""",""????0;"",""???-0;"",""????0;"", ////"""),"'","""")&amp;SUBSTITUTE(TEXT(Overig!I1452,""",""?00;"",""?-00;"",""?00;"", //"""),"'","""")&amp;SUBSTITUTE(TEXT(IF(ISTEXT(Overig!J1452),Overig!J1452,10*Overig!J1452),""",""????0;"",""???-0;"",""????0;"", ////"""),"'","""")&amp;SUBSTITUTE(TEXT(Overig!K1452,""",""?00;"",""?-00;"",""?00;"", //"""),"'","""")&amp;SUBSTITUTE(TEXT(Overig!L1452,""",""???0;"",""??-0;"",""???0;"", ///"""),"'","""")&amp;SUBSTITUTE(TEXT(Overig!M1452,""",""?00;"",""?-00;"",""?00;"", //"""),"'","""")&amp;SUBSTITUTE(TEXT(IF(ISTEXT(Overig!N1452),Overig!N1452,10*Overig!N1452),""",""????0;"",""???-0;"",""????0;"", ////"""),"'","""")&amp;SUBSTITUTE(TEXT(Overig!O1452,""",""?00;"",""?-00;"",""?00;"", //"""),"'","""")&amp;SUBSTITUTE(TEXT(IF(ISTEXT(Overig!P1452),Overig!P1452,10*Overig!P1452),""",""????0;"",""???-0;"",""????0;"", ////"""),"'","""")&amp;SUBSTITUTE(TEXT(Overig!Q1452,""",""?00;"",""?-00;"",""?00;"", //"""),"'","""")&amp;SUBSTITUTE(TEXT(Overig!R1452,""",""????0;"",""???-0;"",""????0;"", ////"""),"'","""")&amp;SUBSTITUTE(TEXT(Overig!S1452,""",""?00;"",""?-00;"",""?00;"", //"""),"'","""")&amp;SUBSTITUTE(TEXT(IF(ISTEXT(Overig!T1452),Overig!T1452,10*Overig!T1452),""",""????0;"",""???-0;"",""????0;"", ////"""),"'","""")&amp;SUBSTITUTE(TEXT(Overig!U1452,""",""?00;"",""?-00;"",""?00;"", //"""),"'","""")&amp;SUBSTITUTE(TEXT(Overig!V1452,""",""???0;"",""??-0;"",""???0;"", ///"""),"'","""")&amp;SUBSTITUTE(TEXT(Overig!W1452,""",""?00;"",""?-00;"",""?00;"", //"""),"'","""")</f>
        <v>032, 19401228, 17.00, ////, 07, ////, 07, ////, 07, ////, 07, ///, 07, ////, 07, ////, 07, ////, 07, ////, 07, ///, 07</v>
      </c>
    </row>
    <row r="1453" spans="1:1" x14ac:dyDescent="0.25">
      <c r="A1453" s="12" t="str">
        <f ca="1">TEXT(Overig!A1453,"000\,")&amp;TEXT(Overig!B1453,"?00000000")&amp;TEXT(Overig!C1453,""", ""@")&amp;SUBSTITUTE(TEXT(IF(ISTEXT(Overig!D1453),Overig!D1453,10*Overig!D1453),""",""????0;"",""???-0;"",""????0;"", ////"""),"'","""")&amp;SUBSTITUTE(TEXT(Overig!E1453,""",""?00;"",""?-00;"",""?00;"", //"""),"'","""")&amp;SUBSTITUTE(TEXT(IF(ISTEXT(Overig!F1453),Overig!F1453,10*Overig!F1453),""",""????0;"",""???-0;"",""????0;"", ////"""),"'","""")&amp;SUBSTITUTE(TEXT(Overig!G1453,""",""?00;"",""?-00;"",""?00;"", //"""),"'","""")&amp;SUBSTITUTE(TEXT(IF(ISTEXT(Overig!H1453),Overig!H1453,10*Overig!H1453),""",""????0;"",""???-0;"",""????0;"", ////"""),"'","""")&amp;SUBSTITUTE(TEXT(Overig!I1453,""",""?00;"",""?-00;"",""?00;"", //"""),"'","""")&amp;SUBSTITUTE(TEXT(IF(ISTEXT(Overig!J1453),Overig!J1453,10*Overig!J1453),""",""????0;"",""???-0;"",""????0;"", ////"""),"'","""")&amp;SUBSTITUTE(TEXT(Overig!K1453,""",""?00;"",""?-00;"",""?00;"", //"""),"'","""")&amp;SUBSTITUTE(TEXT(Overig!L1453,""",""???0;"",""??-0;"",""???0;"", ///"""),"'","""")&amp;SUBSTITUTE(TEXT(Overig!M1453,""",""?00;"",""?-00;"",""?00;"", //"""),"'","""")&amp;SUBSTITUTE(TEXT(IF(ISTEXT(Overig!N1453),Overig!N1453,10*Overig!N1453),""",""????0;"",""???-0;"",""????0;"", ////"""),"'","""")&amp;SUBSTITUTE(TEXT(Overig!O1453,""",""?00;"",""?-00;"",""?00;"", //"""),"'","""")&amp;SUBSTITUTE(TEXT(IF(ISTEXT(Overig!P1453),Overig!P1453,10*Overig!P1453),""",""????0;"",""???-0;"",""????0;"", ////"""),"'","""")&amp;SUBSTITUTE(TEXT(Overig!Q1453,""",""?00;"",""?-00;"",""?00;"", //"""),"'","""")&amp;SUBSTITUTE(TEXT(Overig!R1453,""",""????0;"",""???-0;"",""????0;"", ////"""),"'","""")&amp;SUBSTITUTE(TEXT(Overig!S1453,""",""?00;"",""?-00;"",""?00;"", //"""),"'","""")&amp;SUBSTITUTE(TEXT(IF(ISTEXT(Overig!T1453),Overig!T1453,10*Overig!T1453),""",""????0;"",""???-0;"",""????0;"", ////"""),"'","""")&amp;SUBSTITUTE(TEXT(Overig!U1453,""",""?00;"",""?-00;"",""?00;"", //"""),"'","""")&amp;SUBSTITUTE(TEXT(Overig!V1453,""",""???0;"",""??-0;"",""???0;"", ///"""),"'","""")&amp;SUBSTITUTE(TEXT(Overig!W1453,""",""?00;"",""?-00;"",""?00;"", //"""),"'","""")</f>
        <v>032, 19401228, 24.00, ////, 07, ////, 07, ////, 07, ////, 07, ///, 07, ////, 07, ////, 07, ////, 07, ////, 07, ///, 07</v>
      </c>
    </row>
    <row r="1454" spans="1:1" x14ac:dyDescent="0.25">
      <c r="A1454" s="12" t="str">
        <f ca="1">TEXT(Overig!A1454,"000\,")&amp;TEXT(Overig!B1454,"?00000000")&amp;TEXT(Overig!C1454,""", ""@")&amp;SUBSTITUTE(TEXT(IF(ISTEXT(Overig!D1454),Overig!D1454,10*Overig!D1454),""",""????0;"",""???-0;"",""????0;"", ////"""),"'","""")&amp;SUBSTITUTE(TEXT(Overig!E1454,""",""?00;"",""?-00;"",""?00;"", //"""),"'","""")&amp;SUBSTITUTE(TEXT(IF(ISTEXT(Overig!F1454),Overig!F1454,10*Overig!F1454),""",""????0;"",""???-0;"",""????0;"", ////"""),"'","""")&amp;SUBSTITUTE(TEXT(Overig!G1454,""",""?00;"",""?-00;"",""?00;"", //"""),"'","""")&amp;SUBSTITUTE(TEXT(IF(ISTEXT(Overig!H1454),Overig!H1454,10*Overig!H1454),""",""????0;"",""???-0;"",""????0;"", ////"""),"'","""")&amp;SUBSTITUTE(TEXT(Overig!I1454,""",""?00;"",""?-00;"",""?00;"", //"""),"'","""")&amp;SUBSTITUTE(TEXT(IF(ISTEXT(Overig!J1454),Overig!J1454,10*Overig!J1454),""",""????0;"",""???-0;"",""????0;"", ////"""),"'","""")&amp;SUBSTITUTE(TEXT(Overig!K1454,""",""?00;"",""?-00;"",""?00;"", //"""),"'","""")&amp;SUBSTITUTE(TEXT(Overig!L1454,""",""???0;"",""??-0;"",""???0;"", ///"""),"'","""")&amp;SUBSTITUTE(TEXT(Overig!M1454,""",""?00;"",""?-00;"",""?00;"", //"""),"'","""")&amp;SUBSTITUTE(TEXT(IF(ISTEXT(Overig!N1454),Overig!N1454,10*Overig!N1454),""",""????0;"",""???-0;"",""????0;"", ////"""),"'","""")&amp;SUBSTITUTE(TEXT(Overig!O1454,""",""?00;"",""?-00;"",""?00;"", //"""),"'","""")&amp;SUBSTITUTE(TEXT(IF(ISTEXT(Overig!P1454),Overig!P1454,10*Overig!P1454),""",""????0;"",""???-0;"",""????0;"", ////"""),"'","""")&amp;SUBSTITUTE(TEXT(Overig!Q1454,""",""?00;"",""?-00;"",""?00;"", //"""),"'","""")&amp;SUBSTITUTE(TEXT(Overig!R1454,""",""????0;"",""???-0;"",""????0;"", ////"""),"'","""")&amp;SUBSTITUTE(TEXT(Overig!S1454,""",""?00;"",""?-00;"",""?00;"", //"""),"'","""")&amp;SUBSTITUTE(TEXT(IF(ISTEXT(Overig!T1454),Overig!T1454,10*Overig!T1454),""",""????0;"",""???-0;"",""????0;"", ////"""),"'","""")&amp;SUBSTITUTE(TEXT(Overig!U1454,""",""?00;"",""?-00;"",""?00;"", //"""),"'","""")&amp;SUBSTITUTE(TEXT(Overig!V1454,""",""???0;"",""??-0;"",""???0;"", ///"""),"'","""")&amp;SUBSTITUTE(TEXT(Overig!W1454,""",""?00;"",""?-00;"",""?00;"", //"""),"'","""")</f>
        <v>032, 19401229, 07.00, ////, 07, ////, 07, ////, 07, ////, 07, ///, 07, ////, 07, ////, 07, ////, 07, ////, 07, ///, 07</v>
      </c>
    </row>
    <row r="1455" spans="1:1" x14ac:dyDescent="0.25">
      <c r="A1455" s="12" t="str">
        <f ca="1">TEXT(Overig!A1455,"000\,")&amp;TEXT(Overig!B1455,"?00000000")&amp;TEXT(Overig!C1455,""", ""@")&amp;SUBSTITUTE(TEXT(IF(ISTEXT(Overig!D1455),Overig!D1455,10*Overig!D1455),""",""????0;"",""???-0;"",""????0;"", ////"""),"'","""")&amp;SUBSTITUTE(TEXT(Overig!E1455,""",""?00;"",""?-00;"",""?00;"", //"""),"'","""")&amp;SUBSTITUTE(TEXT(IF(ISTEXT(Overig!F1455),Overig!F1455,10*Overig!F1455),""",""????0;"",""???-0;"",""????0;"", ////"""),"'","""")&amp;SUBSTITUTE(TEXT(Overig!G1455,""",""?00;"",""?-00;"",""?00;"", //"""),"'","""")&amp;SUBSTITUTE(TEXT(IF(ISTEXT(Overig!H1455),Overig!H1455,10*Overig!H1455),""",""????0;"",""???-0;"",""????0;"", ////"""),"'","""")&amp;SUBSTITUTE(TEXT(Overig!I1455,""",""?00;"",""?-00;"",""?00;"", //"""),"'","""")&amp;SUBSTITUTE(TEXT(IF(ISTEXT(Overig!J1455),Overig!J1455,10*Overig!J1455),""",""????0;"",""???-0;"",""????0;"", ////"""),"'","""")&amp;SUBSTITUTE(TEXT(Overig!K1455,""",""?00;"",""?-00;"",""?00;"", //"""),"'","""")&amp;SUBSTITUTE(TEXT(Overig!L1455,""",""???0;"",""??-0;"",""???0;"", ///"""),"'","""")&amp;SUBSTITUTE(TEXT(Overig!M1455,""",""?00;"",""?-00;"",""?00;"", //"""),"'","""")&amp;SUBSTITUTE(TEXT(IF(ISTEXT(Overig!N1455),Overig!N1455,10*Overig!N1455),""",""????0;"",""???-0;"",""????0;"", ////"""),"'","""")&amp;SUBSTITUTE(TEXT(Overig!O1455,""",""?00;"",""?-00;"",""?00;"", //"""),"'","""")&amp;SUBSTITUTE(TEXT(IF(ISTEXT(Overig!P1455),Overig!P1455,10*Overig!P1455),""",""????0;"",""???-0;"",""????0;"", ////"""),"'","""")&amp;SUBSTITUTE(TEXT(Overig!Q1455,""",""?00;"",""?-00;"",""?00;"", //"""),"'","""")&amp;SUBSTITUTE(TEXT(Overig!R1455,""",""????0;"",""???-0;"",""????0;"", ////"""),"'","""")&amp;SUBSTITUTE(TEXT(Overig!S1455,""",""?00;"",""?-00;"",""?00;"", //"""),"'","""")&amp;SUBSTITUTE(TEXT(IF(ISTEXT(Overig!T1455),Overig!T1455,10*Overig!T1455),""",""????0;"",""???-0;"",""????0;"", ////"""),"'","""")&amp;SUBSTITUTE(TEXT(Overig!U1455,""",""?00;"",""?-00;"",""?00;"", //"""),"'","""")&amp;SUBSTITUTE(TEXT(Overig!V1455,""",""???0;"",""??-0;"",""???0;"", ///"""),"'","""")&amp;SUBSTITUTE(TEXT(Overig!W1455,""",""?00;"",""?-00;"",""?00;"", //"""),"'","""")</f>
        <v>032, 19401229, 12.00, ////, 07, ////, 07, ////, 07, ////, 07, ///, 07, ////, 07, ////, 07, ////, 07, ////, 07, ///, 07</v>
      </c>
    </row>
    <row r="1456" spans="1:1" x14ac:dyDescent="0.25">
      <c r="A1456" s="12" t="str">
        <f ca="1">TEXT(Overig!A1456,"000\,")&amp;TEXT(Overig!B1456,"?00000000")&amp;TEXT(Overig!C1456,""", ""@")&amp;SUBSTITUTE(TEXT(IF(ISTEXT(Overig!D1456),Overig!D1456,10*Overig!D1456),""",""????0;"",""???-0;"",""????0;"", ////"""),"'","""")&amp;SUBSTITUTE(TEXT(Overig!E1456,""",""?00;"",""?-00;"",""?00;"", //"""),"'","""")&amp;SUBSTITUTE(TEXT(IF(ISTEXT(Overig!F1456),Overig!F1456,10*Overig!F1456),""",""????0;"",""???-0;"",""????0;"", ////"""),"'","""")&amp;SUBSTITUTE(TEXT(Overig!G1456,""",""?00;"",""?-00;"",""?00;"", //"""),"'","""")&amp;SUBSTITUTE(TEXT(IF(ISTEXT(Overig!H1456),Overig!H1456,10*Overig!H1456),""",""????0;"",""???-0;"",""????0;"", ////"""),"'","""")&amp;SUBSTITUTE(TEXT(Overig!I1456,""",""?00;"",""?-00;"",""?00;"", //"""),"'","""")&amp;SUBSTITUTE(TEXT(IF(ISTEXT(Overig!J1456),Overig!J1456,10*Overig!J1456),""",""????0;"",""???-0;"",""????0;"", ////"""),"'","""")&amp;SUBSTITUTE(TEXT(Overig!K1456,""",""?00;"",""?-00;"",""?00;"", //"""),"'","""")&amp;SUBSTITUTE(TEXT(Overig!L1456,""",""???0;"",""??-0;"",""???0;"", ///"""),"'","""")&amp;SUBSTITUTE(TEXT(Overig!M1456,""",""?00;"",""?-00;"",""?00;"", //"""),"'","""")&amp;SUBSTITUTE(TEXT(IF(ISTEXT(Overig!N1456),Overig!N1456,10*Overig!N1456),""",""????0;"",""???-0;"",""????0;"", ////"""),"'","""")&amp;SUBSTITUTE(TEXT(Overig!O1456,""",""?00;"",""?-00;"",""?00;"", //"""),"'","""")&amp;SUBSTITUTE(TEXT(IF(ISTEXT(Overig!P1456),Overig!P1456,10*Overig!P1456),""",""????0;"",""???-0;"",""????0;"", ////"""),"'","""")&amp;SUBSTITUTE(TEXT(Overig!Q1456,""",""?00;"",""?-00;"",""?00;"", //"""),"'","""")&amp;SUBSTITUTE(TEXT(Overig!R1456,""",""????0;"",""???-0;"",""????0;"", ////"""),"'","""")&amp;SUBSTITUTE(TEXT(Overig!S1456,""",""?00;"",""?-00;"",""?00;"", //"""),"'","""")&amp;SUBSTITUTE(TEXT(IF(ISTEXT(Overig!T1456),Overig!T1456,10*Overig!T1456),""",""????0;"",""???-0;"",""????0;"", ////"""),"'","""")&amp;SUBSTITUTE(TEXT(Overig!U1456,""",""?00;"",""?-00;"",""?00;"", //"""),"'","""")&amp;SUBSTITUTE(TEXT(Overig!V1456,""",""???0;"",""??-0;"",""???0;"", ///"""),"'","""")&amp;SUBSTITUTE(TEXT(Overig!W1456,""",""?00;"",""?-00;"",""?00;"", //"""),"'","""")</f>
        <v>032, 19401229, 17.00, ////, 07, ////, 07, ////, 07, ////, 07, ///, 07, ////, 07, ////, 07, ////, 07, ////, 07, ///, 07</v>
      </c>
    </row>
    <row r="1457" spans="1:1" x14ac:dyDescent="0.25">
      <c r="A1457" s="12" t="str">
        <f ca="1">TEXT(Overig!A1457,"000\,")&amp;TEXT(Overig!B1457,"?00000000")&amp;TEXT(Overig!C1457,""", ""@")&amp;SUBSTITUTE(TEXT(IF(ISTEXT(Overig!D1457),Overig!D1457,10*Overig!D1457),""",""????0;"",""???-0;"",""????0;"", ////"""),"'","""")&amp;SUBSTITUTE(TEXT(Overig!E1457,""",""?00;"",""?-00;"",""?00;"", //"""),"'","""")&amp;SUBSTITUTE(TEXT(IF(ISTEXT(Overig!F1457),Overig!F1457,10*Overig!F1457),""",""????0;"",""???-0;"",""????0;"", ////"""),"'","""")&amp;SUBSTITUTE(TEXT(Overig!G1457,""",""?00;"",""?-00;"",""?00;"", //"""),"'","""")&amp;SUBSTITUTE(TEXT(IF(ISTEXT(Overig!H1457),Overig!H1457,10*Overig!H1457),""",""????0;"",""???-0;"",""????0;"", ////"""),"'","""")&amp;SUBSTITUTE(TEXT(Overig!I1457,""",""?00;"",""?-00;"",""?00;"", //"""),"'","""")&amp;SUBSTITUTE(TEXT(IF(ISTEXT(Overig!J1457),Overig!J1457,10*Overig!J1457),""",""????0;"",""???-0;"",""????0;"", ////"""),"'","""")&amp;SUBSTITUTE(TEXT(Overig!K1457,""",""?00;"",""?-00;"",""?00;"", //"""),"'","""")&amp;SUBSTITUTE(TEXT(Overig!L1457,""",""???0;"",""??-0;"",""???0;"", ///"""),"'","""")&amp;SUBSTITUTE(TEXT(Overig!M1457,""",""?00;"",""?-00;"",""?00;"", //"""),"'","""")&amp;SUBSTITUTE(TEXT(IF(ISTEXT(Overig!N1457),Overig!N1457,10*Overig!N1457),""",""????0;"",""???-0;"",""????0;"", ////"""),"'","""")&amp;SUBSTITUTE(TEXT(Overig!O1457,""",""?00;"",""?-00;"",""?00;"", //"""),"'","""")&amp;SUBSTITUTE(TEXT(IF(ISTEXT(Overig!P1457),Overig!P1457,10*Overig!P1457),""",""????0;"",""???-0;"",""????0;"", ////"""),"'","""")&amp;SUBSTITUTE(TEXT(Overig!Q1457,""",""?00;"",""?-00;"",""?00;"", //"""),"'","""")&amp;SUBSTITUTE(TEXT(Overig!R1457,""",""????0;"",""???-0;"",""????0;"", ////"""),"'","""")&amp;SUBSTITUTE(TEXT(Overig!S1457,""",""?00;"",""?-00;"",""?00;"", //"""),"'","""")&amp;SUBSTITUTE(TEXT(IF(ISTEXT(Overig!T1457),Overig!T1457,10*Overig!T1457),""",""????0;"",""???-0;"",""????0;"", ////"""),"'","""")&amp;SUBSTITUTE(TEXT(Overig!U1457,""",""?00;"",""?-00;"",""?00;"", //"""),"'","""")&amp;SUBSTITUTE(TEXT(Overig!V1457,""",""???0;"",""??-0;"",""???0;"", ///"""),"'","""")&amp;SUBSTITUTE(TEXT(Overig!W1457,""",""?00;"",""?-00;"",""?00;"", //"""),"'","""")</f>
        <v>032, 19401229, 24.00, ////, 07, ////, 07, ////, 07, ////, 07, ///, 07, ////, 07, ////, 07, ////, 07, ////, 07, ///, 07</v>
      </c>
    </row>
    <row r="1458" spans="1:1" x14ac:dyDescent="0.25">
      <c r="A1458" s="12" t="str">
        <f ca="1">TEXT(Overig!A1458,"000\,")&amp;TEXT(Overig!B1458,"?00000000")&amp;TEXT(Overig!C1458,""", ""@")&amp;SUBSTITUTE(TEXT(IF(ISTEXT(Overig!D1458),Overig!D1458,10*Overig!D1458),""",""????0;"",""???-0;"",""????0;"", ////"""),"'","""")&amp;SUBSTITUTE(TEXT(Overig!E1458,""",""?00;"",""?-00;"",""?00;"", //"""),"'","""")&amp;SUBSTITUTE(TEXT(IF(ISTEXT(Overig!F1458),Overig!F1458,10*Overig!F1458),""",""????0;"",""???-0;"",""????0;"", ////"""),"'","""")&amp;SUBSTITUTE(TEXT(Overig!G1458,""",""?00;"",""?-00;"",""?00;"", //"""),"'","""")&amp;SUBSTITUTE(TEXT(IF(ISTEXT(Overig!H1458),Overig!H1458,10*Overig!H1458),""",""????0;"",""???-0;"",""????0;"", ////"""),"'","""")&amp;SUBSTITUTE(TEXT(Overig!I1458,""",""?00;"",""?-00;"",""?00;"", //"""),"'","""")&amp;SUBSTITUTE(TEXT(IF(ISTEXT(Overig!J1458),Overig!J1458,10*Overig!J1458),""",""????0;"",""???-0;"",""????0;"", ////"""),"'","""")&amp;SUBSTITUTE(TEXT(Overig!K1458,""",""?00;"",""?-00;"",""?00;"", //"""),"'","""")&amp;SUBSTITUTE(TEXT(Overig!L1458,""",""???0;"",""??-0;"",""???0;"", ///"""),"'","""")&amp;SUBSTITUTE(TEXT(Overig!M1458,""",""?00;"",""?-00;"",""?00;"", //"""),"'","""")&amp;SUBSTITUTE(TEXT(IF(ISTEXT(Overig!N1458),Overig!N1458,10*Overig!N1458),""",""????0;"",""???-0;"",""????0;"", ////"""),"'","""")&amp;SUBSTITUTE(TEXT(Overig!O1458,""",""?00;"",""?-00;"",""?00;"", //"""),"'","""")&amp;SUBSTITUTE(TEXT(IF(ISTEXT(Overig!P1458),Overig!P1458,10*Overig!P1458),""",""????0;"",""???-0;"",""????0;"", ////"""),"'","""")&amp;SUBSTITUTE(TEXT(Overig!Q1458,""",""?00;"",""?-00;"",""?00;"", //"""),"'","""")&amp;SUBSTITUTE(TEXT(Overig!R1458,""",""????0;"",""???-0;"",""????0;"", ////"""),"'","""")&amp;SUBSTITUTE(TEXT(Overig!S1458,""",""?00;"",""?-00;"",""?00;"", //"""),"'","""")&amp;SUBSTITUTE(TEXT(IF(ISTEXT(Overig!T1458),Overig!T1458,10*Overig!T1458),""",""????0;"",""???-0;"",""????0;"", ////"""),"'","""")&amp;SUBSTITUTE(TEXT(Overig!U1458,""",""?00;"",""?-00;"",""?00;"", //"""),"'","""")&amp;SUBSTITUTE(TEXT(Overig!V1458,""",""???0;"",""??-0;"",""???0;"", ///"""),"'","""")&amp;SUBSTITUTE(TEXT(Overig!W1458,""",""?00;"",""?-00;"",""?00;"", //"""),"'","""")</f>
        <v>032, 19401230, 07.00, ////, 07, ////, 07, ////, 07, ////, 07, ///, 07, ////, 07, ////, 07, ////, 07, ////, 07, ///, 07</v>
      </c>
    </row>
    <row r="1459" spans="1:1" x14ac:dyDescent="0.25">
      <c r="A1459" s="12" t="str">
        <f ca="1">TEXT(Overig!A1459,"000\,")&amp;TEXT(Overig!B1459,"?00000000")&amp;TEXT(Overig!C1459,""", ""@")&amp;SUBSTITUTE(TEXT(IF(ISTEXT(Overig!D1459),Overig!D1459,10*Overig!D1459),""",""????0;"",""???-0;"",""????0;"", ////"""),"'","""")&amp;SUBSTITUTE(TEXT(Overig!E1459,""",""?00;"",""?-00;"",""?00;"", //"""),"'","""")&amp;SUBSTITUTE(TEXT(IF(ISTEXT(Overig!F1459),Overig!F1459,10*Overig!F1459),""",""????0;"",""???-0;"",""????0;"", ////"""),"'","""")&amp;SUBSTITUTE(TEXT(Overig!G1459,""",""?00;"",""?-00;"",""?00;"", //"""),"'","""")&amp;SUBSTITUTE(TEXT(IF(ISTEXT(Overig!H1459),Overig!H1459,10*Overig!H1459),""",""????0;"",""???-0;"",""????0;"", ////"""),"'","""")&amp;SUBSTITUTE(TEXT(Overig!I1459,""",""?00;"",""?-00;"",""?00;"", //"""),"'","""")&amp;SUBSTITUTE(TEXT(IF(ISTEXT(Overig!J1459),Overig!J1459,10*Overig!J1459),""",""????0;"",""???-0;"",""????0;"", ////"""),"'","""")&amp;SUBSTITUTE(TEXT(Overig!K1459,""",""?00;"",""?-00;"",""?00;"", //"""),"'","""")&amp;SUBSTITUTE(TEXT(Overig!L1459,""",""???0;"",""??-0;"",""???0;"", ///"""),"'","""")&amp;SUBSTITUTE(TEXT(Overig!M1459,""",""?00;"",""?-00;"",""?00;"", //"""),"'","""")&amp;SUBSTITUTE(TEXT(IF(ISTEXT(Overig!N1459),Overig!N1459,10*Overig!N1459),""",""????0;"",""???-0;"",""????0;"", ////"""),"'","""")&amp;SUBSTITUTE(TEXT(Overig!O1459,""",""?00;"",""?-00;"",""?00;"", //"""),"'","""")&amp;SUBSTITUTE(TEXT(IF(ISTEXT(Overig!P1459),Overig!P1459,10*Overig!P1459),""",""????0;"",""???-0;"",""????0;"", ////"""),"'","""")&amp;SUBSTITUTE(TEXT(Overig!Q1459,""",""?00;"",""?-00;"",""?00;"", //"""),"'","""")&amp;SUBSTITUTE(TEXT(Overig!R1459,""",""????0;"",""???-0;"",""????0;"", ////"""),"'","""")&amp;SUBSTITUTE(TEXT(Overig!S1459,""",""?00;"",""?-00;"",""?00;"", //"""),"'","""")&amp;SUBSTITUTE(TEXT(IF(ISTEXT(Overig!T1459),Overig!T1459,10*Overig!T1459),""",""????0;"",""???-0;"",""????0;"", ////"""),"'","""")&amp;SUBSTITUTE(TEXT(Overig!U1459,""",""?00;"",""?-00;"",""?00;"", //"""),"'","""")&amp;SUBSTITUTE(TEXT(Overig!V1459,""",""???0;"",""??-0;"",""???0;"", ///"""),"'","""")&amp;SUBSTITUTE(TEXT(Overig!W1459,""",""?00;"",""?-00;"",""?00;"", //"""),"'","""")</f>
        <v>032, 19401230, 12.00, ////, 07, ////, 07, ////, 07, ////, 07, ///, 07, ////, 07, ////, 07, ////, 07, ////, 07, ///, 07</v>
      </c>
    </row>
    <row r="1460" spans="1:1" x14ac:dyDescent="0.25">
      <c r="A1460" s="12" t="str">
        <f ca="1">TEXT(Overig!A1460,"000\,")&amp;TEXT(Overig!B1460,"?00000000")&amp;TEXT(Overig!C1460,""", ""@")&amp;SUBSTITUTE(TEXT(IF(ISTEXT(Overig!D1460),Overig!D1460,10*Overig!D1460),""",""????0;"",""???-0;"",""????0;"", ////"""),"'","""")&amp;SUBSTITUTE(TEXT(Overig!E1460,""",""?00;"",""?-00;"",""?00;"", //"""),"'","""")&amp;SUBSTITUTE(TEXT(IF(ISTEXT(Overig!F1460),Overig!F1460,10*Overig!F1460),""",""????0;"",""???-0;"",""????0;"", ////"""),"'","""")&amp;SUBSTITUTE(TEXT(Overig!G1460,""",""?00;"",""?-00;"",""?00;"", //"""),"'","""")&amp;SUBSTITUTE(TEXT(IF(ISTEXT(Overig!H1460),Overig!H1460,10*Overig!H1460),""",""????0;"",""???-0;"",""????0;"", ////"""),"'","""")&amp;SUBSTITUTE(TEXT(Overig!I1460,""",""?00;"",""?-00;"",""?00;"", //"""),"'","""")&amp;SUBSTITUTE(TEXT(IF(ISTEXT(Overig!J1460),Overig!J1460,10*Overig!J1460),""",""????0;"",""???-0;"",""????0;"", ////"""),"'","""")&amp;SUBSTITUTE(TEXT(Overig!K1460,""",""?00;"",""?-00;"",""?00;"", //"""),"'","""")&amp;SUBSTITUTE(TEXT(Overig!L1460,""",""???0;"",""??-0;"",""???0;"", ///"""),"'","""")&amp;SUBSTITUTE(TEXT(Overig!M1460,""",""?00;"",""?-00;"",""?00;"", //"""),"'","""")&amp;SUBSTITUTE(TEXT(IF(ISTEXT(Overig!N1460),Overig!N1460,10*Overig!N1460),""",""????0;"",""???-0;"",""????0;"", ////"""),"'","""")&amp;SUBSTITUTE(TEXT(Overig!O1460,""",""?00;"",""?-00;"",""?00;"", //"""),"'","""")&amp;SUBSTITUTE(TEXT(IF(ISTEXT(Overig!P1460),Overig!P1460,10*Overig!P1460),""",""????0;"",""???-0;"",""????0;"", ////"""),"'","""")&amp;SUBSTITUTE(TEXT(Overig!Q1460,""",""?00;"",""?-00;"",""?00;"", //"""),"'","""")&amp;SUBSTITUTE(TEXT(Overig!R1460,""",""????0;"",""???-0;"",""????0;"", ////"""),"'","""")&amp;SUBSTITUTE(TEXT(Overig!S1460,""",""?00;"",""?-00;"",""?00;"", //"""),"'","""")&amp;SUBSTITUTE(TEXT(IF(ISTEXT(Overig!T1460),Overig!T1460,10*Overig!T1460),""",""????0;"",""???-0;"",""????0;"", ////"""),"'","""")&amp;SUBSTITUTE(TEXT(Overig!U1460,""",""?00;"",""?-00;"",""?00;"", //"""),"'","""")&amp;SUBSTITUTE(TEXT(Overig!V1460,""",""???0;"",""??-0;"",""???0;"", ///"""),"'","""")&amp;SUBSTITUTE(TEXT(Overig!W1460,""",""?00;"",""?-00;"",""?00;"", //"""),"'","""")</f>
        <v>032, 19401230, 17.00, ////, 07, ////, 07, ////, 07, ////, 07, ///, 07, ////, 07, ////, 07, ////, 07, ////, 07, ///, 07</v>
      </c>
    </row>
    <row r="1461" spans="1:1" x14ac:dyDescent="0.25">
      <c r="A1461" s="12" t="str">
        <f ca="1">TEXT(Overig!A1461,"000\,")&amp;TEXT(Overig!B1461,"?00000000")&amp;TEXT(Overig!C1461,""", ""@")&amp;SUBSTITUTE(TEXT(IF(ISTEXT(Overig!D1461),Overig!D1461,10*Overig!D1461),""",""????0;"",""???-0;"",""????0;"", ////"""),"'","""")&amp;SUBSTITUTE(TEXT(Overig!E1461,""",""?00;"",""?-00;"",""?00;"", //"""),"'","""")&amp;SUBSTITUTE(TEXT(IF(ISTEXT(Overig!F1461),Overig!F1461,10*Overig!F1461),""",""????0;"",""???-0;"",""????0;"", ////"""),"'","""")&amp;SUBSTITUTE(TEXT(Overig!G1461,""",""?00;"",""?-00;"",""?00;"", //"""),"'","""")&amp;SUBSTITUTE(TEXT(IF(ISTEXT(Overig!H1461),Overig!H1461,10*Overig!H1461),""",""????0;"",""???-0;"",""????0;"", ////"""),"'","""")&amp;SUBSTITUTE(TEXT(Overig!I1461,""",""?00;"",""?-00;"",""?00;"", //"""),"'","""")&amp;SUBSTITUTE(TEXT(IF(ISTEXT(Overig!J1461),Overig!J1461,10*Overig!J1461),""",""????0;"",""???-0;"",""????0;"", ////"""),"'","""")&amp;SUBSTITUTE(TEXT(Overig!K1461,""",""?00;"",""?-00;"",""?00;"", //"""),"'","""")&amp;SUBSTITUTE(TEXT(Overig!L1461,""",""???0;"",""??-0;"",""???0;"", ///"""),"'","""")&amp;SUBSTITUTE(TEXT(Overig!M1461,""",""?00;"",""?-00;"",""?00;"", //"""),"'","""")&amp;SUBSTITUTE(TEXT(IF(ISTEXT(Overig!N1461),Overig!N1461,10*Overig!N1461),""",""????0;"",""???-0;"",""????0;"", ////"""),"'","""")&amp;SUBSTITUTE(TEXT(Overig!O1461,""",""?00;"",""?-00;"",""?00;"", //"""),"'","""")&amp;SUBSTITUTE(TEXT(IF(ISTEXT(Overig!P1461),Overig!P1461,10*Overig!P1461),""",""????0;"",""???-0;"",""????0;"", ////"""),"'","""")&amp;SUBSTITUTE(TEXT(Overig!Q1461,""",""?00;"",""?-00;"",""?00;"", //"""),"'","""")&amp;SUBSTITUTE(TEXT(Overig!R1461,""",""????0;"",""???-0;"",""????0;"", ////"""),"'","""")&amp;SUBSTITUTE(TEXT(Overig!S1461,""",""?00;"",""?-00;"",""?00;"", //"""),"'","""")&amp;SUBSTITUTE(TEXT(IF(ISTEXT(Overig!T1461),Overig!T1461,10*Overig!T1461),""",""????0;"",""???-0;"",""????0;"", ////"""),"'","""")&amp;SUBSTITUTE(TEXT(Overig!U1461,""",""?00;"",""?-00;"",""?00;"", //"""),"'","""")&amp;SUBSTITUTE(TEXT(Overig!V1461,""",""???0;"",""??-0;"",""???0;"", ///"""),"'","""")&amp;SUBSTITUTE(TEXT(Overig!W1461,""",""?00;"",""?-00;"",""?00;"", //"""),"'","""")</f>
        <v>032, 19401230, 24.00, ////, 07, ////, 07, ////, 07, ////, 07, ///, 07, ////, 07, ////, 07, ////, 07, ////, 07, ///, 07</v>
      </c>
    </row>
    <row r="1462" spans="1:1" x14ac:dyDescent="0.25">
      <c r="A1462" s="12" t="str">
        <f ca="1">TEXT(Overig!A1462,"000\,")&amp;TEXT(Overig!B1462,"?00000000")&amp;TEXT(Overig!C1462,""", ""@")&amp;SUBSTITUTE(TEXT(IF(ISTEXT(Overig!D1462),Overig!D1462,10*Overig!D1462),""",""????0;"",""???-0;"",""????0;"", ////"""),"'","""")&amp;SUBSTITUTE(TEXT(Overig!E1462,""",""?00;"",""?-00;"",""?00;"", //"""),"'","""")&amp;SUBSTITUTE(TEXT(IF(ISTEXT(Overig!F1462),Overig!F1462,10*Overig!F1462),""",""????0;"",""???-0;"",""????0;"", ////"""),"'","""")&amp;SUBSTITUTE(TEXT(Overig!G1462,""",""?00;"",""?-00;"",""?00;"", //"""),"'","""")&amp;SUBSTITUTE(TEXT(IF(ISTEXT(Overig!H1462),Overig!H1462,10*Overig!H1462),""",""????0;"",""???-0;"",""????0;"", ////"""),"'","""")&amp;SUBSTITUTE(TEXT(Overig!I1462,""",""?00;"",""?-00;"",""?00;"", //"""),"'","""")&amp;SUBSTITUTE(TEXT(IF(ISTEXT(Overig!J1462),Overig!J1462,10*Overig!J1462),""",""????0;"",""???-0;"",""????0;"", ////"""),"'","""")&amp;SUBSTITUTE(TEXT(Overig!K1462,""",""?00;"",""?-00;"",""?00;"", //"""),"'","""")&amp;SUBSTITUTE(TEXT(Overig!L1462,""",""???0;"",""??-0;"",""???0;"", ///"""),"'","""")&amp;SUBSTITUTE(TEXT(Overig!M1462,""",""?00;"",""?-00;"",""?00;"", //"""),"'","""")&amp;SUBSTITUTE(TEXT(IF(ISTEXT(Overig!N1462),Overig!N1462,10*Overig!N1462),""",""????0;"",""???-0;"",""????0;"", ////"""),"'","""")&amp;SUBSTITUTE(TEXT(Overig!O1462,""",""?00;"",""?-00;"",""?00;"", //"""),"'","""")&amp;SUBSTITUTE(TEXT(IF(ISTEXT(Overig!P1462),Overig!P1462,10*Overig!P1462),""",""????0;"",""???-0;"",""????0;"", ////"""),"'","""")&amp;SUBSTITUTE(TEXT(Overig!Q1462,""",""?00;"",""?-00;"",""?00;"", //"""),"'","""")&amp;SUBSTITUTE(TEXT(Overig!R1462,""",""????0;"",""???-0;"",""????0;"", ////"""),"'","""")&amp;SUBSTITUTE(TEXT(Overig!S1462,""",""?00;"",""?-00;"",""?00;"", //"""),"'","""")&amp;SUBSTITUTE(TEXT(IF(ISTEXT(Overig!T1462),Overig!T1462,10*Overig!T1462),""",""????0;"",""???-0;"",""????0;"", ////"""),"'","""")&amp;SUBSTITUTE(TEXT(Overig!U1462,""",""?00;"",""?-00;"",""?00;"", //"""),"'","""")&amp;SUBSTITUTE(TEXT(Overig!V1462,""",""???0;"",""??-0;"",""???0;"", ///"""),"'","""")&amp;SUBSTITUTE(TEXT(Overig!W1462,""",""?00;"",""?-00;"",""?00;"", //"""),"'","""")</f>
        <v>032, 19401231, 07.00, ////, 07, ////, 07, ////, 07, ////, 07, ///, 07, ////, 07, ////, 07, ////, 07, ////, 07, ///, 07</v>
      </c>
    </row>
    <row r="1463" spans="1:1" x14ac:dyDescent="0.25">
      <c r="A1463" s="12" t="str">
        <f ca="1">TEXT(Overig!A1463,"000\,")&amp;TEXT(Overig!B1463,"?00000000")&amp;TEXT(Overig!C1463,""", ""@")&amp;SUBSTITUTE(TEXT(IF(ISTEXT(Overig!D1463),Overig!D1463,10*Overig!D1463),""",""????0;"",""???-0;"",""????0;"", ////"""),"'","""")&amp;SUBSTITUTE(TEXT(Overig!E1463,""",""?00;"",""?-00;"",""?00;"", //"""),"'","""")&amp;SUBSTITUTE(TEXT(IF(ISTEXT(Overig!F1463),Overig!F1463,10*Overig!F1463),""",""????0;"",""???-0;"",""????0;"", ////"""),"'","""")&amp;SUBSTITUTE(TEXT(Overig!G1463,""",""?00;"",""?-00;"",""?00;"", //"""),"'","""")&amp;SUBSTITUTE(TEXT(IF(ISTEXT(Overig!H1463),Overig!H1463,10*Overig!H1463),""",""????0;"",""???-0;"",""????0;"", ////"""),"'","""")&amp;SUBSTITUTE(TEXT(Overig!I1463,""",""?00;"",""?-00;"",""?00;"", //"""),"'","""")&amp;SUBSTITUTE(TEXT(IF(ISTEXT(Overig!J1463),Overig!J1463,10*Overig!J1463),""",""????0;"",""???-0;"",""????0;"", ////"""),"'","""")&amp;SUBSTITUTE(TEXT(Overig!K1463,""",""?00;"",""?-00;"",""?00;"", //"""),"'","""")&amp;SUBSTITUTE(TEXT(Overig!L1463,""",""???0;"",""??-0;"",""???0;"", ///"""),"'","""")&amp;SUBSTITUTE(TEXT(Overig!M1463,""",""?00;"",""?-00;"",""?00;"", //"""),"'","""")&amp;SUBSTITUTE(TEXT(IF(ISTEXT(Overig!N1463),Overig!N1463,10*Overig!N1463),""",""????0;"",""???-0;"",""????0;"", ////"""),"'","""")&amp;SUBSTITUTE(TEXT(Overig!O1463,""",""?00;"",""?-00;"",""?00;"", //"""),"'","""")&amp;SUBSTITUTE(TEXT(IF(ISTEXT(Overig!P1463),Overig!P1463,10*Overig!P1463),""",""????0;"",""???-0;"",""????0;"", ////"""),"'","""")&amp;SUBSTITUTE(TEXT(Overig!Q1463,""",""?00;"",""?-00;"",""?00;"", //"""),"'","""")&amp;SUBSTITUTE(TEXT(Overig!R1463,""",""????0;"",""???-0;"",""????0;"", ////"""),"'","""")&amp;SUBSTITUTE(TEXT(Overig!S1463,""",""?00;"",""?-00;"",""?00;"", //"""),"'","""")&amp;SUBSTITUTE(TEXT(IF(ISTEXT(Overig!T1463),Overig!T1463,10*Overig!T1463),""",""????0;"",""???-0;"",""????0;"", ////"""),"'","""")&amp;SUBSTITUTE(TEXT(Overig!U1463,""",""?00;"",""?-00;"",""?00;"", //"""),"'","""")&amp;SUBSTITUTE(TEXT(Overig!V1463,""",""???0;"",""??-0;"",""???0;"", ///"""),"'","""")&amp;SUBSTITUTE(TEXT(Overig!W1463,""",""?00;"",""?-00;"",""?00;"", //"""),"'","""")</f>
        <v>032, 19401231, 12.00, ////, 07, ////, 07, ////, 07, ////, 07, ///, 07, ////, 07, ////, 07, ////, 07, ////, 07, ///, 07</v>
      </c>
    </row>
    <row r="1464" spans="1:1" x14ac:dyDescent="0.25">
      <c r="A1464" s="12" t="str">
        <f ca="1">TEXT(Overig!A1464,"000\,")&amp;TEXT(Overig!B1464,"?00000000")&amp;TEXT(Overig!C1464,""", ""@")&amp;SUBSTITUTE(TEXT(IF(ISTEXT(Overig!D1464),Overig!D1464,10*Overig!D1464),""",""????0;"",""???-0;"",""????0;"", ////"""),"'","""")&amp;SUBSTITUTE(TEXT(Overig!E1464,""",""?00;"",""?-00;"",""?00;"", //"""),"'","""")&amp;SUBSTITUTE(TEXT(IF(ISTEXT(Overig!F1464),Overig!F1464,10*Overig!F1464),""",""????0;"",""???-0;"",""????0;"", ////"""),"'","""")&amp;SUBSTITUTE(TEXT(Overig!G1464,""",""?00;"",""?-00;"",""?00;"", //"""),"'","""")&amp;SUBSTITUTE(TEXT(IF(ISTEXT(Overig!H1464),Overig!H1464,10*Overig!H1464),""",""????0;"",""???-0;"",""????0;"", ////"""),"'","""")&amp;SUBSTITUTE(TEXT(Overig!I1464,""",""?00;"",""?-00;"",""?00;"", //"""),"'","""")&amp;SUBSTITUTE(TEXT(IF(ISTEXT(Overig!J1464),Overig!J1464,10*Overig!J1464),""",""????0;"",""???-0;"",""????0;"", ////"""),"'","""")&amp;SUBSTITUTE(TEXT(Overig!K1464,""",""?00;"",""?-00;"",""?00;"", //"""),"'","""")&amp;SUBSTITUTE(TEXT(Overig!L1464,""",""???0;"",""??-0;"",""???0;"", ///"""),"'","""")&amp;SUBSTITUTE(TEXT(Overig!M1464,""",""?00;"",""?-00;"",""?00;"", //"""),"'","""")&amp;SUBSTITUTE(TEXT(IF(ISTEXT(Overig!N1464),Overig!N1464,10*Overig!N1464),""",""????0;"",""???-0;"",""????0;"", ////"""),"'","""")&amp;SUBSTITUTE(TEXT(Overig!O1464,""",""?00;"",""?-00;"",""?00;"", //"""),"'","""")&amp;SUBSTITUTE(TEXT(IF(ISTEXT(Overig!P1464),Overig!P1464,10*Overig!P1464),""",""????0;"",""???-0;"",""????0;"", ////"""),"'","""")&amp;SUBSTITUTE(TEXT(Overig!Q1464,""",""?00;"",""?-00;"",""?00;"", //"""),"'","""")&amp;SUBSTITUTE(TEXT(Overig!R1464,""",""????0;"",""???-0;"",""????0;"", ////"""),"'","""")&amp;SUBSTITUTE(TEXT(Overig!S1464,""",""?00;"",""?-00;"",""?00;"", //"""),"'","""")&amp;SUBSTITUTE(TEXT(IF(ISTEXT(Overig!T1464),Overig!T1464,10*Overig!T1464),""",""????0;"",""???-0;"",""????0;"", ////"""),"'","""")&amp;SUBSTITUTE(TEXT(Overig!U1464,""",""?00;"",""?-00;"",""?00;"", //"""),"'","""")&amp;SUBSTITUTE(TEXT(Overig!V1464,""",""???0;"",""??-0;"",""???0;"", ///"""),"'","""")&amp;SUBSTITUTE(TEXT(Overig!W1464,""",""?00;"",""?-00;"",""?00;"", //"""),"'","""")</f>
        <v>032, 19401231, 17.00, ////, 07, ////, 07, ////, 07, ////, 07, ///, 07, ////, 07, ////, 07, ////, 07, ////, 07, ///, 07</v>
      </c>
    </row>
    <row r="1465" spans="1:1" x14ac:dyDescent="0.25">
      <c r="A1465" s="12" t="str">
        <f ca="1">TEXT(Overig!A1465,"000\,")&amp;TEXT(Overig!B1465,"?00000000")&amp;TEXT(Overig!C1465,""", ""@")&amp;SUBSTITUTE(TEXT(IF(ISTEXT(Overig!D1465),Overig!D1465,10*Overig!D1465),""",""????0;"",""???-0;"",""????0;"", ////"""),"'","""")&amp;SUBSTITUTE(TEXT(Overig!E1465,""",""?00;"",""?-00;"",""?00;"", //"""),"'","""")&amp;SUBSTITUTE(TEXT(IF(ISTEXT(Overig!F1465),Overig!F1465,10*Overig!F1465),""",""????0;"",""???-0;"",""????0;"", ////"""),"'","""")&amp;SUBSTITUTE(TEXT(Overig!G1465,""",""?00;"",""?-00;"",""?00;"", //"""),"'","""")&amp;SUBSTITUTE(TEXT(IF(ISTEXT(Overig!H1465),Overig!H1465,10*Overig!H1465),""",""????0;"",""???-0;"",""????0;"", ////"""),"'","""")&amp;SUBSTITUTE(TEXT(Overig!I1465,""",""?00;"",""?-00;"",""?00;"", //"""),"'","""")&amp;SUBSTITUTE(TEXT(IF(ISTEXT(Overig!J1465),Overig!J1465,10*Overig!J1465),""",""????0;"",""???-0;"",""????0;"", ////"""),"'","""")&amp;SUBSTITUTE(TEXT(Overig!K1465,""",""?00;"",""?-00;"",""?00;"", //"""),"'","""")&amp;SUBSTITUTE(TEXT(Overig!L1465,""",""???0;"",""??-0;"",""???0;"", ///"""),"'","""")&amp;SUBSTITUTE(TEXT(Overig!M1465,""",""?00;"",""?-00;"",""?00;"", //"""),"'","""")&amp;SUBSTITUTE(TEXT(IF(ISTEXT(Overig!N1465),Overig!N1465,10*Overig!N1465),""",""????0;"",""???-0;"",""????0;"", ////"""),"'","""")&amp;SUBSTITUTE(TEXT(Overig!O1465,""",""?00;"",""?-00;"",""?00;"", //"""),"'","""")&amp;SUBSTITUTE(TEXT(IF(ISTEXT(Overig!P1465),Overig!P1465,10*Overig!P1465),""",""????0;"",""???-0;"",""????0;"", ////"""),"'","""")&amp;SUBSTITUTE(TEXT(Overig!Q1465,""",""?00;"",""?-00;"",""?00;"", //"""),"'","""")&amp;SUBSTITUTE(TEXT(Overig!R1465,""",""????0;"",""???-0;"",""????0;"", ////"""),"'","""")&amp;SUBSTITUTE(TEXT(Overig!S1465,""",""?00;"",""?-00;"",""?00;"", //"""),"'","""")&amp;SUBSTITUTE(TEXT(IF(ISTEXT(Overig!T1465),Overig!T1465,10*Overig!T1465),""",""????0;"",""???-0;"",""????0;"", ////"""),"'","""")&amp;SUBSTITUTE(TEXT(Overig!U1465,""",""?00;"",""?-00;"",""?00;"", //"""),"'","""")&amp;SUBSTITUTE(TEXT(Overig!V1465,""",""???0;"",""??-0;"",""???0;"", ///"""),"'","""")&amp;SUBSTITUTE(TEXT(Overig!W1465,""",""?00;"",""?-00;"",""?00;"", //"""),"'","""")</f>
        <v>032, 19401231, 24.00, ////, 07, ////, 07, ////, 07, ////, 07, ///, 07, ////, 07, ////, 07, ////, 07, 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10</vt:i4>
      </vt:variant>
    </vt:vector>
  </HeadingPairs>
  <TitlesOfParts>
    <vt:vector size="16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2015-11-02T14:16:28Z</dcterms:modified>
</cp:coreProperties>
</file>