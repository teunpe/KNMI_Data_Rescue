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20" windowWidth="18195" windowHeight="11760"/>
  </bookViews>
  <sheets>
    <sheet name="Invoer" sheetId="1" r:id="rId1"/>
    <sheet name="Info" sheetId="4" r:id="rId2"/>
    <sheet name="Regen" sheetId="2" r:id="rId3"/>
    <sheet name="Overig" sheetId="3" r:id="rId4"/>
    <sheet name="RegenASCII" sheetId="5" r:id="rId5"/>
    <sheet name="OverigASCII" sheetId="6" r:id="rId6"/>
  </sheets>
  <definedNames>
    <definedName name="_xlnm._FilterDatabase" localSheetId="0" hidden="1">Invoer!$A$2:$C$381</definedName>
    <definedName name="Catalogus">Info!$J$3:$L$4</definedName>
    <definedName name="Data">Invoer!$A$3:$C$381</definedName>
    <definedName name="Est">Info!$H$8</definedName>
    <definedName name="Lacking">Info!$H$9</definedName>
    <definedName name="ME">Info!$H$6</definedName>
    <definedName name="MS">Info!$H$7</definedName>
    <definedName name="Ok">Info!$H$5</definedName>
    <definedName name="Parameters">Info!$D$4:$E$7</definedName>
    <definedName name="Stations">Info!$A$4:$B$11</definedName>
  </definedNames>
  <calcPr calcId="145621"/>
</workbook>
</file>

<file path=xl/calcChain.xml><?xml version="1.0" encoding="utf-8"?>
<calcChain xmlns="http://schemas.openxmlformats.org/spreadsheetml/2006/main">
  <c r="A1" i="6" l="1"/>
  <c r="B381" i="1" l="1"/>
  <c r="B349" i="1"/>
  <c r="B318" i="1"/>
  <c r="B286" i="1"/>
  <c r="B255" i="1"/>
  <c r="B223" i="1"/>
  <c r="B191" i="1"/>
  <c r="B160" i="1"/>
  <c r="B128" i="1"/>
  <c r="B97" i="1"/>
  <c r="B65" i="1"/>
  <c r="B36" i="1"/>
  <c r="A3" i="3" l="1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2" i="3" l="1"/>
  <c r="C381" i="1" l="1"/>
  <c r="C349" i="1"/>
  <c r="C318" i="1"/>
  <c r="C286" i="1"/>
  <c r="C255" i="1"/>
  <c r="C223" i="1"/>
  <c r="C191" i="1"/>
  <c r="C160" i="1"/>
  <c r="C128" i="1"/>
  <c r="C97" i="1"/>
  <c r="C65" i="1"/>
  <c r="C36" i="1"/>
  <c r="A1" i="5" l="1"/>
  <c r="A5" i="1" l="1"/>
  <c r="B2" i="3" l="1"/>
  <c r="B3" i="3"/>
  <c r="B5" i="3"/>
  <c r="B7" i="3"/>
  <c r="B9" i="3"/>
  <c r="B11" i="3"/>
  <c r="B13" i="3"/>
  <c r="B15" i="3"/>
  <c r="B17" i="3"/>
  <c r="B19" i="3"/>
  <c r="B21" i="3"/>
  <c r="B23" i="3"/>
  <c r="B25" i="3"/>
  <c r="B27" i="3"/>
  <c r="B29" i="3"/>
  <c r="B31" i="3"/>
  <c r="B33" i="3"/>
  <c r="B35" i="3"/>
  <c r="B37" i="3"/>
  <c r="B39" i="3"/>
  <c r="B41" i="3"/>
  <c r="B43" i="3"/>
  <c r="B45" i="3"/>
  <c r="B47" i="3"/>
  <c r="B49" i="3"/>
  <c r="B51" i="3"/>
  <c r="B53" i="3"/>
  <c r="B55" i="3"/>
  <c r="B57" i="3"/>
  <c r="B59" i="3"/>
  <c r="B61" i="3"/>
  <c r="B63" i="3"/>
  <c r="B65" i="3"/>
  <c r="B67" i="3"/>
  <c r="B69" i="3"/>
  <c r="B71" i="3"/>
  <c r="B73" i="3"/>
  <c r="B75" i="3"/>
  <c r="B77" i="3"/>
  <c r="B79" i="3"/>
  <c r="B81" i="3"/>
  <c r="B83" i="3"/>
  <c r="B85" i="3"/>
  <c r="B87" i="3"/>
  <c r="B89" i="3"/>
  <c r="B91" i="3"/>
  <c r="B93" i="3"/>
  <c r="B95" i="3"/>
  <c r="B97" i="3"/>
  <c r="B99" i="3"/>
  <c r="B101" i="3"/>
  <c r="B103" i="3"/>
  <c r="B105" i="3"/>
  <c r="B107" i="3"/>
  <c r="B109" i="3"/>
  <c r="B111" i="3"/>
  <c r="B113" i="3"/>
  <c r="B115" i="3"/>
  <c r="B117" i="3"/>
  <c r="B119" i="3"/>
  <c r="B121" i="3"/>
  <c r="B123" i="3"/>
  <c r="B125" i="3"/>
  <c r="B127" i="3"/>
  <c r="B129" i="3"/>
  <c r="B131" i="3"/>
  <c r="B133" i="3"/>
  <c r="B135" i="3"/>
  <c r="B137" i="3"/>
  <c r="B139" i="3"/>
  <c r="B141" i="3"/>
  <c r="B4" i="3"/>
  <c r="B6" i="3"/>
  <c r="B8" i="3"/>
  <c r="B10" i="3"/>
  <c r="B12" i="3"/>
  <c r="B14" i="3"/>
  <c r="B16" i="3"/>
  <c r="B18" i="3"/>
  <c r="B20" i="3"/>
  <c r="B22" i="3"/>
  <c r="B24" i="3"/>
  <c r="B26" i="3"/>
  <c r="B28" i="3"/>
  <c r="B30" i="3"/>
  <c r="B32" i="3"/>
  <c r="B34" i="3"/>
  <c r="B36" i="3"/>
  <c r="B38" i="3"/>
  <c r="B40" i="3"/>
  <c r="B42" i="3"/>
  <c r="B44" i="3"/>
  <c r="B46" i="3"/>
  <c r="B48" i="3"/>
  <c r="B50" i="3"/>
  <c r="B52" i="3"/>
  <c r="B54" i="3"/>
  <c r="B56" i="3"/>
  <c r="B58" i="3"/>
  <c r="B60" i="3"/>
  <c r="B62" i="3"/>
  <c r="B64" i="3"/>
  <c r="B66" i="3"/>
  <c r="B68" i="3"/>
  <c r="B70" i="3"/>
  <c r="B72" i="3"/>
  <c r="B74" i="3"/>
  <c r="B76" i="3"/>
  <c r="B78" i="3"/>
  <c r="B80" i="3"/>
  <c r="B82" i="3"/>
  <c r="B84" i="3"/>
  <c r="B86" i="3"/>
  <c r="B88" i="3"/>
  <c r="B90" i="3"/>
  <c r="B92" i="3"/>
  <c r="B94" i="3"/>
  <c r="B96" i="3"/>
  <c r="B98" i="3"/>
  <c r="B100" i="3"/>
  <c r="B102" i="3"/>
  <c r="B104" i="3"/>
  <c r="B106" i="3"/>
  <c r="B108" i="3"/>
  <c r="B110" i="3"/>
  <c r="B112" i="3"/>
  <c r="B114" i="3"/>
  <c r="B116" i="3"/>
  <c r="B118" i="3"/>
  <c r="B120" i="3"/>
  <c r="B122" i="3"/>
  <c r="B124" i="3"/>
  <c r="B126" i="3"/>
  <c r="B128" i="3"/>
  <c r="B130" i="3"/>
  <c r="B132" i="3"/>
  <c r="B134" i="3"/>
  <c r="B136" i="3"/>
  <c r="B138" i="3"/>
  <c r="B140" i="3"/>
  <c r="B142" i="3"/>
  <c r="B144" i="3"/>
  <c r="B146" i="3"/>
  <c r="B148" i="3"/>
  <c r="B150" i="3"/>
  <c r="B152" i="3"/>
  <c r="B154" i="3"/>
  <c r="B156" i="3"/>
  <c r="B158" i="3"/>
  <c r="B160" i="3"/>
  <c r="B162" i="3"/>
  <c r="B164" i="3"/>
  <c r="B166" i="3"/>
  <c r="B168" i="3"/>
  <c r="B170" i="3"/>
  <c r="B172" i="3"/>
  <c r="B143" i="3"/>
  <c r="B147" i="3"/>
  <c r="B151" i="3"/>
  <c r="B155" i="3"/>
  <c r="B159" i="3"/>
  <c r="B163" i="3"/>
  <c r="B167" i="3"/>
  <c r="B171" i="3"/>
  <c r="B174" i="3"/>
  <c r="B176" i="3"/>
  <c r="B178" i="3"/>
  <c r="B180" i="3"/>
  <c r="B182" i="3"/>
  <c r="B184" i="3"/>
  <c r="B186" i="3"/>
  <c r="B188" i="3"/>
  <c r="B190" i="3"/>
  <c r="B192" i="3"/>
  <c r="B194" i="3"/>
  <c r="B196" i="3"/>
  <c r="B198" i="3"/>
  <c r="B200" i="3"/>
  <c r="B202" i="3"/>
  <c r="B204" i="3"/>
  <c r="B206" i="3"/>
  <c r="B208" i="3"/>
  <c r="B210" i="3"/>
  <c r="B212" i="3"/>
  <c r="B214" i="3"/>
  <c r="B216" i="3"/>
  <c r="B218" i="3"/>
  <c r="B220" i="3"/>
  <c r="B222" i="3"/>
  <c r="B224" i="3"/>
  <c r="B226" i="3"/>
  <c r="B228" i="3"/>
  <c r="B230" i="3"/>
  <c r="B232" i="3"/>
  <c r="B234" i="3"/>
  <c r="B236" i="3"/>
  <c r="B238" i="3"/>
  <c r="B240" i="3"/>
  <c r="B242" i="3"/>
  <c r="B244" i="3"/>
  <c r="B246" i="3"/>
  <c r="B248" i="3"/>
  <c r="B250" i="3"/>
  <c r="B252" i="3"/>
  <c r="B254" i="3"/>
  <c r="B256" i="3"/>
  <c r="B258" i="3"/>
  <c r="B260" i="3"/>
  <c r="B262" i="3"/>
  <c r="B264" i="3"/>
  <c r="B266" i="3"/>
  <c r="B268" i="3"/>
  <c r="B270" i="3"/>
  <c r="B272" i="3"/>
  <c r="B274" i="3"/>
  <c r="B276" i="3"/>
  <c r="B278" i="3"/>
  <c r="B280" i="3"/>
  <c r="B282" i="3"/>
  <c r="B284" i="3"/>
  <c r="B286" i="3"/>
  <c r="B288" i="3"/>
  <c r="B290" i="3"/>
  <c r="B292" i="3"/>
  <c r="B294" i="3"/>
  <c r="B296" i="3"/>
  <c r="B298" i="3"/>
  <c r="B300" i="3"/>
  <c r="B302" i="3"/>
  <c r="B304" i="3"/>
  <c r="B306" i="3"/>
  <c r="B308" i="3"/>
  <c r="B310" i="3"/>
  <c r="B312" i="3"/>
  <c r="B314" i="3"/>
  <c r="B316" i="3"/>
  <c r="B318" i="3"/>
  <c r="B320" i="3"/>
  <c r="B322" i="3"/>
  <c r="B324" i="3"/>
  <c r="B326" i="3"/>
  <c r="B145" i="3"/>
  <c r="B149" i="3"/>
  <c r="B153" i="3"/>
  <c r="B157" i="3"/>
  <c r="B161" i="3"/>
  <c r="B165" i="3"/>
  <c r="B169" i="3"/>
  <c r="B173" i="3"/>
  <c r="B175" i="3"/>
  <c r="B177" i="3"/>
  <c r="B179" i="3"/>
  <c r="B181" i="3"/>
  <c r="B183" i="3"/>
  <c r="B185" i="3"/>
  <c r="B187" i="3"/>
  <c r="B189" i="3"/>
  <c r="B191" i="3"/>
  <c r="B193" i="3"/>
  <c r="B195" i="3"/>
  <c r="B197" i="3"/>
  <c r="B199" i="3"/>
  <c r="B201" i="3"/>
  <c r="B203" i="3"/>
  <c r="B205" i="3"/>
  <c r="B207" i="3"/>
  <c r="B209" i="3"/>
  <c r="B211" i="3"/>
  <c r="B213" i="3"/>
  <c r="B215" i="3"/>
  <c r="B217" i="3"/>
  <c r="B219" i="3"/>
  <c r="B221" i="3"/>
  <c r="B223" i="3"/>
  <c r="B225" i="3"/>
  <c r="B227" i="3"/>
  <c r="B229" i="3"/>
  <c r="B231" i="3"/>
  <c r="B233" i="3"/>
  <c r="B235" i="3"/>
  <c r="B237" i="3"/>
  <c r="B239" i="3"/>
  <c r="B241" i="3"/>
  <c r="B243" i="3"/>
  <c r="B245" i="3"/>
  <c r="B247" i="3"/>
  <c r="B249" i="3"/>
  <c r="B251" i="3"/>
  <c r="B253" i="3"/>
  <c r="B255" i="3"/>
  <c r="B257" i="3"/>
  <c r="B259" i="3"/>
  <c r="B261" i="3"/>
  <c r="B263" i="3"/>
  <c r="B265" i="3"/>
  <c r="B267" i="3"/>
  <c r="B269" i="3"/>
  <c r="B271" i="3"/>
  <c r="B273" i="3"/>
  <c r="B275" i="3"/>
  <c r="B277" i="3"/>
  <c r="B279" i="3"/>
  <c r="B281" i="3"/>
  <c r="B283" i="3"/>
  <c r="B285" i="3"/>
  <c r="B287" i="3"/>
  <c r="B289" i="3"/>
  <c r="B291" i="3"/>
  <c r="B293" i="3"/>
  <c r="B295" i="3"/>
  <c r="B297" i="3"/>
  <c r="B299" i="3"/>
  <c r="B301" i="3"/>
  <c r="B303" i="3"/>
  <c r="B305" i="3"/>
  <c r="B307" i="3"/>
  <c r="B309" i="3"/>
  <c r="B311" i="3"/>
  <c r="B313" i="3"/>
  <c r="B315" i="3"/>
  <c r="B317" i="3"/>
  <c r="B319" i="3"/>
  <c r="B321" i="3"/>
  <c r="B323" i="3"/>
  <c r="B325" i="3"/>
  <c r="B327" i="3"/>
  <c r="B329" i="3"/>
  <c r="B331" i="3"/>
  <c r="B333" i="3"/>
  <c r="B335" i="3"/>
  <c r="B337" i="3"/>
  <c r="B339" i="3"/>
  <c r="B341" i="3"/>
  <c r="B343" i="3"/>
  <c r="B345" i="3"/>
  <c r="B347" i="3"/>
  <c r="B349" i="3"/>
  <c r="B351" i="3"/>
  <c r="B353" i="3"/>
  <c r="B355" i="3"/>
  <c r="B357" i="3"/>
  <c r="B359" i="3"/>
  <c r="B361" i="3"/>
  <c r="B363" i="3"/>
  <c r="B365" i="3"/>
  <c r="B328" i="3"/>
  <c r="B332" i="3"/>
  <c r="B336" i="3"/>
  <c r="B340" i="3"/>
  <c r="B344" i="3"/>
  <c r="B348" i="3"/>
  <c r="B352" i="3"/>
  <c r="B356" i="3"/>
  <c r="B360" i="3"/>
  <c r="B364" i="3"/>
  <c r="B330" i="3"/>
  <c r="B334" i="3"/>
  <c r="B338" i="3"/>
  <c r="B342" i="3"/>
  <c r="B346" i="3"/>
  <c r="B350" i="3"/>
  <c r="B354" i="3"/>
  <c r="B358" i="3"/>
  <c r="B362" i="3"/>
  <c r="B366" i="3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34" i="2"/>
  <c r="A35" i="2"/>
  <c r="A36" i="2"/>
  <c r="A37" i="2"/>
  <c r="A38" i="2"/>
  <c r="A39" i="2"/>
  <c r="A40" i="2"/>
  <c r="A41" i="2"/>
  <c r="A42" i="2"/>
  <c r="A43" i="2"/>
  <c r="A44" i="2"/>
  <c r="A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B2" i="2"/>
  <c r="A2" i="2"/>
  <c r="A6" i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C365" i="3" l="1"/>
  <c r="D365" i="3"/>
  <c r="C363" i="3"/>
  <c r="D363" i="3"/>
  <c r="C361" i="3"/>
  <c r="D361" i="3"/>
  <c r="C359" i="3"/>
  <c r="D359" i="3"/>
  <c r="C357" i="3"/>
  <c r="D357" i="3"/>
  <c r="C355" i="3"/>
  <c r="D355" i="3"/>
  <c r="C353" i="3"/>
  <c r="D353" i="3"/>
  <c r="C351" i="3"/>
  <c r="D351" i="3"/>
  <c r="C349" i="3"/>
  <c r="D349" i="3"/>
  <c r="D347" i="3"/>
  <c r="C347" i="3"/>
  <c r="D345" i="3"/>
  <c r="C345" i="3"/>
  <c r="D343" i="3"/>
  <c r="C343" i="3"/>
  <c r="D341" i="3"/>
  <c r="C341" i="3"/>
  <c r="D339" i="3"/>
  <c r="C339" i="3"/>
  <c r="D337" i="3"/>
  <c r="C337" i="3"/>
  <c r="D335" i="3"/>
  <c r="C335" i="3"/>
  <c r="D333" i="3"/>
  <c r="C333" i="3"/>
  <c r="D331" i="3"/>
  <c r="C331" i="3"/>
  <c r="D329" i="3"/>
  <c r="C329" i="3"/>
  <c r="D327" i="3"/>
  <c r="C327" i="3"/>
  <c r="D325" i="3"/>
  <c r="C325" i="3"/>
  <c r="D323" i="3"/>
  <c r="C323" i="3"/>
  <c r="D321" i="3"/>
  <c r="C321" i="3"/>
  <c r="D319" i="3"/>
  <c r="C319" i="3"/>
  <c r="D317" i="3"/>
  <c r="C317" i="3"/>
  <c r="D315" i="3"/>
  <c r="C315" i="3"/>
  <c r="D313" i="3"/>
  <c r="C313" i="3"/>
  <c r="D311" i="3"/>
  <c r="C311" i="3"/>
  <c r="D309" i="3"/>
  <c r="C309" i="3"/>
  <c r="D307" i="3"/>
  <c r="C307" i="3"/>
  <c r="D305" i="3"/>
  <c r="C305" i="3"/>
  <c r="D303" i="3"/>
  <c r="C303" i="3"/>
  <c r="D301" i="3"/>
  <c r="C301" i="3"/>
  <c r="D299" i="3"/>
  <c r="C299" i="3"/>
  <c r="D297" i="3"/>
  <c r="C297" i="3"/>
  <c r="D295" i="3"/>
  <c r="C295" i="3"/>
  <c r="D293" i="3"/>
  <c r="C293" i="3"/>
  <c r="D291" i="3"/>
  <c r="C291" i="3"/>
  <c r="D289" i="3"/>
  <c r="C289" i="3"/>
  <c r="D287" i="3"/>
  <c r="C287" i="3"/>
  <c r="D285" i="3"/>
  <c r="C285" i="3"/>
  <c r="D283" i="3"/>
  <c r="C283" i="3"/>
  <c r="D281" i="3"/>
  <c r="C281" i="3"/>
  <c r="D279" i="3"/>
  <c r="C279" i="3"/>
  <c r="D277" i="3"/>
  <c r="C277" i="3"/>
  <c r="D275" i="3"/>
  <c r="C275" i="3"/>
  <c r="D273" i="3"/>
  <c r="C273" i="3"/>
  <c r="D271" i="3"/>
  <c r="C271" i="3"/>
  <c r="D269" i="3"/>
  <c r="C269" i="3"/>
  <c r="D267" i="3"/>
  <c r="C267" i="3"/>
  <c r="D265" i="3"/>
  <c r="C265" i="3"/>
  <c r="D263" i="3"/>
  <c r="C263" i="3"/>
  <c r="D261" i="3"/>
  <c r="C261" i="3"/>
  <c r="D259" i="3"/>
  <c r="C259" i="3"/>
  <c r="D257" i="3"/>
  <c r="C257" i="3"/>
  <c r="D255" i="3"/>
  <c r="C255" i="3"/>
  <c r="D253" i="3"/>
  <c r="C253" i="3"/>
  <c r="D251" i="3"/>
  <c r="C251" i="3"/>
  <c r="D249" i="3"/>
  <c r="C249" i="3"/>
  <c r="D247" i="3"/>
  <c r="C247" i="3"/>
  <c r="D245" i="3"/>
  <c r="C245" i="3"/>
  <c r="D243" i="3"/>
  <c r="C243" i="3"/>
  <c r="D241" i="3"/>
  <c r="C241" i="3"/>
  <c r="D239" i="3"/>
  <c r="C239" i="3"/>
  <c r="D237" i="3"/>
  <c r="C237" i="3"/>
  <c r="D235" i="3"/>
  <c r="C235" i="3"/>
  <c r="D233" i="3"/>
  <c r="C233" i="3"/>
  <c r="D231" i="3"/>
  <c r="C231" i="3"/>
  <c r="D229" i="3"/>
  <c r="C229" i="3"/>
  <c r="D227" i="3"/>
  <c r="C227" i="3"/>
  <c r="D225" i="3"/>
  <c r="C225" i="3"/>
  <c r="D223" i="3"/>
  <c r="C223" i="3"/>
  <c r="D221" i="3"/>
  <c r="C221" i="3"/>
  <c r="D219" i="3"/>
  <c r="C219" i="3"/>
  <c r="D217" i="3"/>
  <c r="C217" i="3"/>
  <c r="D215" i="3"/>
  <c r="C215" i="3"/>
  <c r="D213" i="3"/>
  <c r="C213" i="3"/>
  <c r="D211" i="3"/>
  <c r="C211" i="3"/>
  <c r="D209" i="3"/>
  <c r="C209" i="3"/>
  <c r="D207" i="3"/>
  <c r="C207" i="3"/>
  <c r="D205" i="3"/>
  <c r="C205" i="3"/>
  <c r="D203" i="3"/>
  <c r="C203" i="3"/>
  <c r="D201" i="3"/>
  <c r="C201" i="3"/>
  <c r="D199" i="3"/>
  <c r="C199" i="3"/>
  <c r="D197" i="3"/>
  <c r="C197" i="3"/>
  <c r="D195" i="3"/>
  <c r="C195" i="3"/>
  <c r="D193" i="3"/>
  <c r="C193" i="3"/>
  <c r="D191" i="3"/>
  <c r="C191" i="3"/>
  <c r="D189" i="3"/>
  <c r="C189" i="3"/>
  <c r="D187" i="3"/>
  <c r="C187" i="3"/>
  <c r="D185" i="3"/>
  <c r="C185" i="3"/>
  <c r="D183" i="3"/>
  <c r="C183" i="3"/>
  <c r="D181" i="3"/>
  <c r="C181" i="3"/>
  <c r="D179" i="3"/>
  <c r="C179" i="3"/>
  <c r="D177" i="3"/>
  <c r="C177" i="3"/>
  <c r="D175" i="3"/>
  <c r="C175" i="3"/>
  <c r="D173" i="3"/>
  <c r="C173" i="3"/>
  <c r="D171" i="3"/>
  <c r="C171" i="3"/>
  <c r="D169" i="3"/>
  <c r="C169" i="3"/>
  <c r="D167" i="3"/>
  <c r="C167" i="3"/>
  <c r="D165" i="3"/>
  <c r="C165" i="3"/>
  <c r="D163" i="3"/>
  <c r="C163" i="3"/>
  <c r="D161" i="3"/>
  <c r="C161" i="3"/>
  <c r="D159" i="3"/>
  <c r="C159" i="3"/>
  <c r="D157" i="3"/>
  <c r="C157" i="3"/>
  <c r="D155" i="3"/>
  <c r="C155" i="3"/>
  <c r="D153" i="3"/>
  <c r="C153" i="3"/>
  <c r="D151" i="3"/>
  <c r="C151" i="3"/>
  <c r="D149" i="3"/>
  <c r="C149" i="3"/>
  <c r="D147" i="3"/>
  <c r="C147" i="3"/>
  <c r="D145" i="3"/>
  <c r="C145" i="3"/>
  <c r="D143" i="3"/>
  <c r="C143" i="3"/>
  <c r="D141" i="3"/>
  <c r="C141" i="3"/>
  <c r="D139" i="3"/>
  <c r="C139" i="3"/>
  <c r="C137" i="3"/>
  <c r="D137" i="3"/>
  <c r="C135" i="3"/>
  <c r="D135" i="3"/>
  <c r="C133" i="3"/>
  <c r="D133" i="3"/>
  <c r="C131" i="3"/>
  <c r="D131" i="3"/>
  <c r="C129" i="3"/>
  <c r="D129" i="3"/>
  <c r="C127" i="3"/>
  <c r="D127" i="3"/>
  <c r="C125" i="3"/>
  <c r="D125" i="3"/>
  <c r="C123" i="3"/>
  <c r="D123" i="3"/>
  <c r="C121" i="3"/>
  <c r="D121" i="3"/>
  <c r="C119" i="3"/>
  <c r="D119" i="3"/>
  <c r="C117" i="3"/>
  <c r="D117" i="3"/>
  <c r="C115" i="3"/>
  <c r="D115" i="3"/>
  <c r="C113" i="3"/>
  <c r="D113" i="3"/>
  <c r="C111" i="3"/>
  <c r="D111" i="3"/>
  <c r="C109" i="3"/>
  <c r="D109" i="3"/>
  <c r="C107" i="3"/>
  <c r="D107" i="3"/>
  <c r="C105" i="3"/>
  <c r="D105" i="3"/>
  <c r="C103" i="3"/>
  <c r="D103" i="3"/>
  <c r="C101" i="3"/>
  <c r="D101" i="3"/>
  <c r="C99" i="3"/>
  <c r="D99" i="3"/>
  <c r="C97" i="3"/>
  <c r="D97" i="3"/>
  <c r="C95" i="3"/>
  <c r="D95" i="3"/>
  <c r="C93" i="3"/>
  <c r="D93" i="3"/>
  <c r="C91" i="3"/>
  <c r="D91" i="3"/>
  <c r="C89" i="3"/>
  <c r="D89" i="3"/>
  <c r="D87" i="3"/>
  <c r="C87" i="3"/>
  <c r="D85" i="3"/>
  <c r="C85" i="3"/>
  <c r="D83" i="3"/>
  <c r="C83" i="3"/>
  <c r="D81" i="3"/>
  <c r="C81" i="3"/>
  <c r="D79" i="3"/>
  <c r="C79" i="3"/>
  <c r="D77" i="3"/>
  <c r="C77" i="3"/>
  <c r="D75" i="3"/>
  <c r="C75" i="3"/>
  <c r="D73" i="3"/>
  <c r="C73" i="3"/>
  <c r="D71" i="3"/>
  <c r="C71" i="3"/>
  <c r="D69" i="3"/>
  <c r="C69" i="3"/>
  <c r="D67" i="3"/>
  <c r="C67" i="3"/>
  <c r="D65" i="3"/>
  <c r="C65" i="3"/>
  <c r="D63" i="3"/>
  <c r="C63" i="3"/>
  <c r="D61" i="3"/>
  <c r="C61" i="3"/>
  <c r="D59" i="3"/>
  <c r="C59" i="3"/>
  <c r="D57" i="3"/>
  <c r="C57" i="3"/>
  <c r="D55" i="3"/>
  <c r="C55" i="3"/>
  <c r="D53" i="3"/>
  <c r="C53" i="3"/>
  <c r="D51" i="3"/>
  <c r="C51" i="3"/>
  <c r="D49" i="3"/>
  <c r="C49" i="3"/>
  <c r="D47" i="3"/>
  <c r="C47" i="3"/>
  <c r="D45" i="3"/>
  <c r="C45" i="3"/>
  <c r="D43" i="3"/>
  <c r="C43" i="3"/>
  <c r="D41" i="3"/>
  <c r="C41" i="3"/>
  <c r="D39" i="3"/>
  <c r="C39" i="3"/>
  <c r="D37" i="3"/>
  <c r="C37" i="3"/>
  <c r="D35" i="3"/>
  <c r="C35" i="3"/>
  <c r="D33" i="3"/>
  <c r="C33" i="3"/>
  <c r="D31" i="3"/>
  <c r="C31" i="3"/>
  <c r="D29" i="3"/>
  <c r="C29" i="3"/>
  <c r="D27" i="3"/>
  <c r="C27" i="3"/>
  <c r="D25" i="3"/>
  <c r="C25" i="3"/>
  <c r="D23" i="3"/>
  <c r="C23" i="3"/>
  <c r="D21" i="3"/>
  <c r="C21" i="3"/>
  <c r="C19" i="3"/>
  <c r="D19" i="3"/>
  <c r="C17" i="3"/>
  <c r="D17" i="3"/>
  <c r="C15" i="3"/>
  <c r="D15" i="3"/>
  <c r="C13" i="3"/>
  <c r="D13" i="3"/>
  <c r="C11" i="3"/>
  <c r="D11" i="3"/>
  <c r="C9" i="3"/>
  <c r="D9" i="3"/>
  <c r="C7" i="3"/>
  <c r="D7" i="3"/>
  <c r="C5" i="3"/>
  <c r="D5" i="3"/>
  <c r="C3" i="3"/>
  <c r="D3" i="3"/>
  <c r="C366" i="3"/>
  <c r="D366" i="3"/>
  <c r="C364" i="3"/>
  <c r="D364" i="3"/>
  <c r="C362" i="3"/>
  <c r="D362" i="3"/>
  <c r="C360" i="3"/>
  <c r="D360" i="3"/>
  <c r="C358" i="3"/>
  <c r="D358" i="3"/>
  <c r="C356" i="3"/>
  <c r="D356" i="3"/>
  <c r="C354" i="3"/>
  <c r="D354" i="3"/>
  <c r="C352" i="3"/>
  <c r="D352" i="3"/>
  <c r="C350" i="3"/>
  <c r="D350" i="3"/>
  <c r="D348" i="3"/>
  <c r="C348" i="3"/>
  <c r="D346" i="3"/>
  <c r="C346" i="3"/>
  <c r="D344" i="3"/>
  <c r="C344" i="3"/>
  <c r="D342" i="3"/>
  <c r="C342" i="3"/>
  <c r="D340" i="3"/>
  <c r="C340" i="3"/>
  <c r="D338" i="3"/>
  <c r="C338" i="3"/>
  <c r="D336" i="3"/>
  <c r="C336" i="3"/>
  <c r="D334" i="3"/>
  <c r="C334" i="3"/>
  <c r="D332" i="3"/>
  <c r="C332" i="3"/>
  <c r="D330" i="3"/>
  <c r="C330" i="3"/>
  <c r="D328" i="3"/>
  <c r="C328" i="3"/>
  <c r="D326" i="3"/>
  <c r="C326" i="3"/>
  <c r="D324" i="3"/>
  <c r="C324" i="3"/>
  <c r="D322" i="3"/>
  <c r="C322" i="3"/>
  <c r="D320" i="3"/>
  <c r="C320" i="3"/>
  <c r="D318" i="3"/>
  <c r="C318" i="3"/>
  <c r="D316" i="3"/>
  <c r="C316" i="3"/>
  <c r="D314" i="3"/>
  <c r="C314" i="3"/>
  <c r="D312" i="3"/>
  <c r="C312" i="3"/>
  <c r="D310" i="3"/>
  <c r="C310" i="3"/>
  <c r="D308" i="3"/>
  <c r="C308" i="3"/>
  <c r="D306" i="3"/>
  <c r="C306" i="3"/>
  <c r="D304" i="3"/>
  <c r="C304" i="3"/>
  <c r="D302" i="3"/>
  <c r="C302" i="3"/>
  <c r="D300" i="3"/>
  <c r="C300" i="3"/>
  <c r="D298" i="3"/>
  <c r="C298" i="3"/>
  <c r="D296" i="3"/>
  <c r="C296" i="3"/>
  <c r="D294" i="3"/>
  <c r="C294" i="3"/>
  <c r="D292" i="3"/>
  <c r="C292" i="3"/>
  <c r="D290" i="3"/>
  <c r="C290" i="3"/>
  <c r="D288" i="3"/>
  <c r="C288" i="3"/>
  <c r="D286" i="3"/>
  <c r="C286" i="3"/>
  <c r="D284" i="3"/>
  <c r="C284" i="3"/>
  <c r="D282" i="3"/>
  <c r="C282" i="3"/>
  <c r="D280" i="3"/>
  <c r="C280" i="3"/>
  <c r="D278" i="3"/>
  <c r="C278" i="3"/>
  <c r="D276" i="3"/>
  <c r="C276" i="3"/>
  <c r="D274" i="3"/>
  <c r="C274" i="3"/>
  <c r="D272" i="3"/>
  <c r="C272" i="3"/>
  <c r="D270" i="3"/>
  <c r="C270" i="3"/>
  <c r="D268" i="3"/>
  <c r="C268" i="3"/>
  <c r="D266" i="3"/>
  <c r="C266" i="3"/>
  <c r="D264" i="3"/>
  <c r="C264" i="3"/>
  <c r="D262" i="3"/>
  <c r="C262" i="3"/>
  <c r="D260" i="3"/>
  <c r="C260" i="3"/>
  <c r="D258" i="3"/>
  <c r="C258" i="3"/>
  <c r="D256" i="3"/>
  <c r="C256" i="3"/>
  <c r="D254" i="3"/>
  <c r="C254" i="3"/>
  <c r="D252" i="3"/>
  <c r="C252" i="3"/>
  <c r="D250" i="3"/>
  <c r="C250" i="3"/>
  <c r="D248" i="3"/>
  <c r="C248" i="3"/>
  <c r="D246" i="3"/>
  <c r="C246" i="3"/>
  <c r="D244" i="3"/>
  <c r="C244" i="3"/>
  <c r="D242" i="3"/>
  <c r="C242" i="3"/>
  <c r="D240" i="3"/>
  <c r="C240" i="3"/>
  <c r="D238" i="3"/>
  <c r="C238" i="3"/>
  <c r="D236" i="3"/>
  <c r="C236" i="3"/>
  <c r="D234" i="3"/>
  <c r="C234" i="3"/>
  <c r="D232" i="3"/>
  <c r="C232" i="3"/>
  <c r="D230" i="3"/>
  <c r="C230" i="3"/>
  <c r="D228" i="3"/>
  <c r="C228" i="3"/>
  <c r="D226" i="3"/>
  <c r="C226" i="3"/>
  <c r="D224" i="3"/>
  <c r="C224" i="3"/>
  <c r="D222" i="3"/>
  <c r="C222" i="3"/>
  <c r="D220" i="3"/>
  <c r="C220" i="3"/>
  <c r="D218" i="3"/>
  <c r="C218" i="3"/>
  <c r="D216" i="3"/>
  <c r="C216" i="3"/>
  <c r="D214" i="3"/>
  <c r="C214" i="3"/>
  <c r="D212" i="3"/>
  <c r="C212" i="3"/>
  <c r="D210" i="3"/>
  <c r="C210" i="3"/>
  <c r="D208" i="3"/>
  <c r="C208" i="3"/>
  <c r="D206" i="3"/>
  <c r="C206" i="3"/>
  <c r="D204" i="3"/>
  <c r="C204" i="3"/>
  <c r="D202" i="3"/>
  <c r="C202" i="3"/>
  <c r="D200" i="3"/>
  <c r="C200" i="3"/>
  <c r="D198" i="3"/>
  <c r="C198" i="3"/>
  <c r="D196" i="3"/>
  <c r="C196" i="3"/>
  <c r="D194" i="3"/>
  <c r="C194" i="3"/>
  <c r="D192" i="3"/>
  <c r="C192" i="3"/>
  <c r="D190" i="3"/>
  <c r="C190" i="3"/>
  <c r="D188" i="3"/>
  <c r="C188" i="3"/>
  <c r="D186" i="3"/>
  <c r="C186" i="3"/>
  <c r="D184" i="3"/>
  <c r="C184" i="3"/>
  <c r="D182" i="3"/>
  <c r="C182" i="3"/>
  <c r="D180" i="3"/>
  <c r="C180" i="3"/>
  <c r="D178" i="3"/>
  <c r="C178" i="3"/>
  <c r="D176" i="3"/>
  <c r="C176" i="3"/>
  <c r="D174" i="3"/>
  <c r="C174" i="3"/>
  <c r="D172" i="3"/>
  <c r="C172" i="3"/>
  <c r="D170" i="3"/>
  <c r="C170" i="3"/>
  <c r="D168" i="3"/>
  <c r="C168" i="3"/>
  <c r="D166" i="3"/>
  <c r="C166" i="3"/>
  <c r="D164" i="3"/>
  <c r="C164" i="3"/>
  <c r="D162" i="3"/>
  <c r="C162" i="3"/>
  <c r="D160" i="3"/>
  <c r="C160" i="3"/>
  <c r="D158" i="3"/>
  <c r="C158" i="3"/>
  <c r="D156" i="3"/>
  <c r="C156" i="3"/>
  <c r="D154" i="3"/>
  <c r="C154" i="3"/>
  <c r="D152" i="3"/>
  <c r="C152" i="3"/>
  <c r="D150" i="3"/>
  <c r="C150" i="3"/>
  <c r="D148" i="3"/>
  <c r="C148" i="3"/>
  <c r="D146" i="3"/>
  <c r="C146" i="3"/>
  <c r="D144" i="3"/>
  <c r="C144" i="3"/>
  <c r="D142" i="3"/>
  <c r="C142" i="3"/>
  <c r="D140" i="3"/>
  <c r="C140" i="3"/>
  <c r="C138" i="3"/>
  <c r="D138" i="3"/>
  <c r="C136" i="3"/>
  <c r="D136" i="3"/>
  <c r="C134" i="3"/>
  <c r="D134" i="3"/>
  <c r="C132" i="3"/>
  <c r="D132" i="3"/>
  <c r="C130" i="3"/>
  <c r="D130" i="3"/>
  <c r="C128" i="3"/>
  <c r="D128" i="3"/>
  <c r="C126" i="3"/>
  <c r="D126" i="3"/>
  <c r="C124" i="3"/>
  <c r="D124" i="3"/>
  <c r="C122" i="3"/>
  <c r="D122" i="3"/>
  <c r="C120" i="3"/>
  <c r="D120" i="3"/>
  <c r="C118" i="3"/>
  <c r="D118" i="3"/>
  <c r="C116" i="3"/>
  <c r="D116" i="3"/>
  <c r="C114" i="3"/>
  <c r="D114" i="3"/>
  <c r="C112" i="3"/>
  <c r="D112" i="3"/>
  <c r="C110" i="3"/>
  <c r="D110" i="3"/>
  <c r="C108" i="3"/>
  <c r="D108" i="3"/>
  <c r="C106" i="3"/>
  <c r="D106" i="3"/>
  <c r="C104" i="3"/>
  <c r="D104" i="3"/>
  <c r="C102" i="3"/>
  <c r="D102" i="3"/>
  <c r="C100" i="3"/>
  <c r="D100" i="3"/>
  <c r="C98" i="3"/>
  <c r="D98" i="3"/>
  <c r="C96" i="3"/>
  <c r="D96" i="3"/>
  <c r="C94" i="3"/>
  <c r="D94" i="3"/>
  <c r="C92" i="3"/>
  <c r="D92" i="3"/>
  <c r="C90" i="3"/>
  <c r="D90" i="3"/>
  <c r="C88" i="3"/>
  <c r="D88" i="3"/>
  <c r="D86" i="3"/>
  <c r="C86" i="3"/>
  <c r="D84" i="3"/>
  <c r="C84" i="3"/>
  <c r="D82" i="3"/>
  <c r="C82" i="3"/>
  <c r="D80" i="3"/>
  <c r="C80" i="3"/>
  <c r="D78" i="3"/>
  <c r="C78" i="3"/>
  <c r="D76" i="3"/>
  <c r="C76" i="3"/>
  <c r="D74" i="3"/>
  <c r="C74" i="3"/>
  <c r="D72" i="3"/>
  <c r="C72" i="3"/>
  <c r="D70" i="3"/>
  <c r="C70" i="3"/>
  <c r="D68" i="3"/>
  <c r="C68" i="3"/>
  <c r="D66" i="3"/>
  <c r="C66" i="3"/>
  <c r="D64" i="3"/>
  <c r="C64" i="3"/>
  <c r="D62" i="3"/>
  <c r="C62" i="3"/>
  <c r="D60" i="3"/>
  <c r="C60" i="3"/>
  <c r="D58" i="3"/>
  <c r="C58" i="3"/>
  <c r="D56" i="3"/>
  <c r="C56" i="3"/>
  <c r="D54" i="3"/>
  <c r="C54" i="3"/>
  <c r="D52" i="3"/>
  <c r="C52" i="3"/>
  <c r="D50" i="3"/>
  <c r="C50" i="3"/>
  <c r="D48" i="3"/>
  <c r="C48" i="3"/>
  <c r="D46" i="3"/>
  <c r="C46" i="3"/>
  <c r="D44" i="3"/>
  <c r="C44" i="3"/>
  <c r="D42" i="3"/>
  <c r="C42" i="3"/>
  <c r="D40" i="3"/>
  <c r="C40" i="3"/>
  <c r="D38" i="3"/>
  <c r="C38" i="3"/>
  <c r="D36" i="3"/>
  <c r="C36" i="3"/>
  <c r="D34" i="3"/>
  <c r="C34" i="3"/>
  <c r="D32" i="3"/>
  <c r="C32" i="3"/>
  <c r="D30" i="3"/>
  <c r="C30" i="3"/>
  <c r="D28" i="3"/>
  <c r="C28" i="3"/>
  <c r="D26" i="3"/>
  <c r="C26" i="3"/>
  <c r="D24" i="3"/>
  <c r="C24" i="3"/>
  <c r="D22" i="3"/>
  <c r="C22" i="3"/>
  <c r="D20" i="3"/>
  <c r="C20" i="3"/>
  <c r="C18" i="3"/>
  <c r="D18" i="3"/>
  <c r="C16" i="3"/>
  <c r="D16" i="3"/>
  <c r="C14" i="3"/>
  <c r="D14" i="3"/>
  <c r="C12" i="3"/>
  <c r="D12" i="3"/>
  <c r="C10" i="3"/>
  <c r="D10" i="3"/>
  <c r="C8" i="3"/>
  <c r="D8" i="3"/>
  <c r="C6" i="3"/>
  <c r="D6" i="3"/>
  <c r="C4" i="3"/>
  <c r="D4" i="3"/>
  <c r="C2" i="3"/>
  <c r="D2" i="3"/>
  <c r="D3" i="2"/>
  <c r="E3" i="2"/>
  <c r="E2" i="2"/>
  <c r="D2" i="2"/>
  <c r="A20" i="6" l="1"/>
  <c r="A22" i="6"/>
  <c r="A24" i="6"/>
  <c r="A26" i="6"/>
  <c r="A28" i="6"/>
  <c r="A30" i="6"/>
  <c r="A32" i="6"/>
  <c r="A34" i="6"/>
  <c r="A36" i="6"/>
  <c r="A38" i="6"/>
  <c r="A40" i="6"/>
  <c r="A42" i="6"/>
  <c r="A44" i="6"/>
  <c r="A46" i="6"/>
  <c r="A48" i="6"/>
  <c r="A50" i="6"/>
  <c r="A52" i="6"/>
  <c r="A54" i="6"/>
  <c r="A56" i="6"/>
  <c r="A58" i="6"/>
  <c r="A60" i="6"/>
  <c r="A62" i="6"/>
  <c r="A64" i="6"/>
  <c r="A66" i="6"/>
  <c r="A68" i="6"/>
  <c r="A70" i="6"/>
  <c r="A72" i="6"/>
  <c r="A74" i="6"/>
  <c r="A76" i="6"/>
  <c r="A78" i="6"/>
  <c r="A80" i="6"/>
  <c r="A82" i="6"/>
  <c r="A84" i="6"/>
  <c r="A86" i="6"/>
  <c r="A140" i="6"/>
  <c r="A142" i="6"/>
  <c r="A144" i="6"/>
  <c r="A146" i="6"/>
  <c r="A148" i="6"/>
  <c r="A150" i="6"/>
  <c r="A152" i="6"/>
  <c r="A154" i="6"/>
  <c r="A156" i="6"/>
  <c r="A158" i="6"/>
  <c r="A160" i="6"/>
  <c r="A162" i="6"/>
  <c r="A164" i="6"/>
  <c r="A166" i="6"/>
  <c r="A168" i="6"/>
  <c r="A170" i="6"/>
  <c r="A172" i="6"/>
  <c r="A174" i="6"/>
  <c r="A176" i="6"/>
  <c r="A178" i="6"/>
  <c r="A180" i="6"/>
  <c r="A182" i="6"/>
  <c r="A184" i="6"/>
  <c r="A186" i="6"/>
  <c r="A188" i="6"/>
  <c r="A190" i="6"/>
  <c r="A192" i="6"/>
  <c r="A194" i="6"/>
  <c r="A196" i="6"/>
  <c r="A198" i="6"/>
  <c r="A200" i="6"/>
  <c r="A202" i="6"/>
  <c r="A204" i="6"/>
  <c r="A206" i="6"/>
  <c r="A208" i="6"/>
  <c r="A210" i="6"/>
  <c r="A212" i="6"/>
  <c r="A214" i="6"/>
  <c r="A216" i="6"/>
  <c r="A218" i="6"/>
  <c r="A220" i="6"/>
  <c r="A222" i="6"/>
  <c r="A224" i="6"/>
  <c r="A226" i="6"/>
  <c r="A228" i="6"/>
  <c r="A230" i="6"/>
  <c r="A232" i="6"/>
  <c r="A234" i="6"/>
  <c r="A236" i="6"/>
  <c r="A238" i="6"/>
  <c r="A240" i="6"/>
  <c r="A242" i="6"/>
  <c r="A244" i="6"/>
  <c r="A246" i="6"/>
  <c r="A248" i="6"/>
  <c r="A250" i="6"/>
  <c r="A252" i="6"/>
  <c r="A254" i="6"/>
  <c r="A256" i="6"/>
  <c r="A258" i="6"/>
  <c r="A260" i="6"/>
  <c r="A262" i="6"/>
  <c r="A264" i="6"/>
  <c r="A266" i="6"/>
  <c r="A268" i="6"/>
  <c r="A270" i="6"/>
  <c r="A272" i="6"/>
  <c r="A274" i="6"/>
  <c r="A276" i="6"/>
  <c r="A278" i="6"/>
  <c r="A280" i="6"/>
  <c r="A282" i="6"/>
  <c r="A284" i="6"/>
  <c r="A286" i="6"/>
  <c r="A288" i="6"/>
  <c r="A290" i="6"/>
  <c r="A292" i="6"/>
  <c r="A294" i="6"/>
  <c r="A296" i="6"/>
  <c r="A298" i="6"/>
  <c r="A300" i="6"/>
  <c r="A302" i="6"/>
  <c r="A304" i="6"/>
  <c r="A306" i="6"/>
  <c r="A308" i="6"/>
  <c r="A310" i="6"/>
  <c r="A312" i="6"/>
  <c r="A314" i="6"/>
  <c r="A316" i="6"/>
  <c r="A318" i="6"/>
  <c r="A320" i="6"/>
  <c r="A322" i="6"/>
  <c r="A324" i="6"/>
  <c r="A326" i="6"/>
  <c r="A328" i="6"/>
  <c r="A330" i="6"/>
  <c r="A332" i="6"/>
  <c r="A334" i="6"/>
  <c r="A336" i="6"/>
  <c r="A338" i="6"/>
  <c r="A340" i="6"/>
  <c r="A342" i="6"/>
  <c r="A344" i="6"/>
  <c r="A346" i="6"/>
  <c r="A348" i="6"/>
  <c r="A21" i="6"/>
  <c r="A23" i="6"/>
  <c r="A25" i="6"/>
  <c r="A27" i="6"/>
  <c r="A29" i="6"/>
  <c r="A31" i="6"/>
  <c r="A33" i="6"/>
  <c r="A35" i="6"/>
  <c r="A37" i="6"/>
  <c r="A39" i="6"/>
  <c r="A41" i="6"/>
  <c r="A43" i="6"/>
  <c r="A45" i="6"/>
  <c r="A47" i="6"/>
  <c r="A49" i="6"/>
  <c r="A51" i="6"/>
  <c r="A53" i="6"/>
  <c r="A55" i="6"/>
  <c r="A57" i="6"/>
  <c r="A59" i="6"/>
  <c r="A61" i="6"/>
  <c r="A63" i="6"/>
  <c r="A65" i="6"/>
  <c r="A67" i="6"/>
  <c r="A69" i="6"/>
  <c r="A71" i="6"/>
  <c r="A73" i="6"/>
  <c r="A75" i="6"/>
  <c r="A77" i="6"/>
  <c r="A79" i="6"/>
  <c r="A81" i="6"/>
  <c r="A83" i="6"/>
  <c r="A85" i="6"/>
  <c r="A87" i="6"/>
  <c r="A139" i="6"/>
  <c r="A141" i="6"/>
  <c r="A143" i="6"/>
  <c r="A145" i="6"/>
  <c r="A147" i="6"/>
  <c r="A149" i="6"/>
  <c r="A151" i="6"/>
  <c r="A153" i="6"/>
  <c r="A155" i="6"/>
  <c r="A157" i="6"/>
  <c r="A159" i="6"/>
  <c r="A161" i="6"/>
  <c r="A163" i="6"/>
  <c r="A165" i="6"/>
  <c r="A167" i="6"/>
  <c r="A169" i="6"/>
  <c r="A171" i="6"/>
  <c r="A173" i="6"/>
  <c r="A175" i="6"/>
  <c r="A177" i="6"/>
  <c r="A179" i="6"/>
  <c r="A181" i="6"/>
  <c r="A183" i="6"/>
  <c r="A185" i="6"/>
  <c r="A187" i="6"/>
  <c r="A189" i="6"/>
  <c r="A191" i="6"/>
  <c r="A193" i="6"/>
  <c r="A195" i="6"/>
  <c r="A197" i="6"/>
  <c r="A199" i="6"/>
  <c r="A201" i="6"/>
  <c r="A203" i="6"/>
  <c r="A205" i="6"/>
  <c r="A207" i="6"/>
  <c r="A209" i="6"/>
  <c r="A211" i="6"/>
  <c r="A213" i="6"/>
  <c r="A215" i="6"/>
  <c r="A217" i="6"/>
  <c r="A219" i="6"/>
  <c r="A221" i="6"/>
  <c r="A223" i="6"/>
  <c r="A225" i="6"/>
  <c r="A227" i="6"/>
  <c r="A229" i="6"/>
  <c r="A231" i="6"/>
  <c r="A233" i="6"/>
  <c r="A235" i="6"/>
  <c r="A237" i="6"/>
  <c r="A239" i="6"/>
  <c r="A241" i="6"/>
  <c r="A243" i="6"/>
  <c r="A245" i="6"/>
  <c r="A247" i="6"/>
  <c r="A249" i="6"/>
  <c r="A251" i="6"/>
  <c r="A253" i="6"/>
  <c r="A255" i="6"/>
  <c r="A257" i="6"/>
  <c r="A259" i="6"/>
  <c r="A261" i="6"/>
  <c r="A263" i="6"/>
  <c r="A265" i="6"/>
  <c r="A267" i="6"/>
  <c r="A269" i="6"/>
  <c r="A271" i="6"/>
  <c r="A273" i="6"/>
  <c r="A275" i="6"/>
  <c r="A277" i="6"/>
  <c r="A279" i="6"/>
  <c r="A281" i="6"/>
  <c r="A283" i="6"/>
  <c r="A285" i="6"/>
  <c r="A287" i="6"/>
  <c r="A289" i="6"/>
  <c r="A291" i="6"/>
  <c r="A293" i="6"/>
  <c r="A295" i="6"/>
  <c r="A297" i="6"/>
  <c r="A299" i="6"/>
  <c r="A301" i="6"/>
  <c r="A303" i="6"/>
  <c r="A305" i="6"/>
  <c r="A307" i="6"/>
  <c r="A309" i="6"/>
  <c r="A311" i="6"/>
  <c r="A313" i="6"/>
  <c r="A315" i="6"/>
  <c r="A317" i="6"/>
  <c r="A319" i="6"/>
  <c r="A321" i="6"/>
  <c r="A323" i="6"/>
  <c r="A325" i="6"/>
  <c r="A327" i="6"/>
  <c r="A329" i="6"/>
  <c r="A331" i="6"/>
  <c r="A333" i="6"/>
  <c r="A335" i="6"/>
  <c r="A337" i="6"/>
  <c r="A339" i="6"/>
  <c r="A341" i="6"/>
  <c r="A343" i="6"/>
  <c r="A345" i="6"/>
  <c r="A347" i="6"/>
  <c r="A4" i="6"/>
  <c r="A6" i="6"/>
  <c r="A8" i="6"/>
  <c r="A10" i="6"/>
  <c r="A12" i="6"/>
  <c r="A14" i="6"/>
  <c r="A16" i="6"/>
  <c r="A18" i="6"/>
  <c r="A88" i="6"/>
  <c r="A90" i="6"/>
  <c r="A92" i="6"/>
  <c r="A94" i="6"/>
  <c r="A96" i="6"/>
  <c r="A98" i="6"/>
  <c r="A102" i="6"/>
  <c r="A106" i="6"/>
  <c r="A110" i="6"/>
  <c r="A114" i="6"/>
  <c r="A118" i="6"/>
  <c r="A122" i="6"/>
  <c r="A126" i="6"/>
  <c r="A130" i="6"/>
  <c r="A134" i="6"/>
  <c r="A138" i="6"/>
  <c r="A2" i="6"/>
  <c r="A100" i="6"/>
  <c r="A104" i="6"/>
  <c r="A108" i="6"/>
  <c r="A112" i="6"/>
  <c r="A116" i="6"/>
  <c r="A120" i="6"/>
  <c r="A124" i="6"/>
  <c r="A128" i="6"/>
  <c r="A132" i="6"/>
  <c r="A136" i="6"/>
  <c r="A350" i="6"/>
  <c r="A352" i="6"/>
  <c r="A354" i="6"/>
  <c r="A356" i="6"/>
  <c r="A358" i="6"/>
  <c r="A360" i="6"/>
  <c r="A362" i="6"/>
  <c r="A364" i="6"/>
  <c r="A366" i="6"/>
  <c r="A3" i="6"/>
  <c r="A5" i="6"/>
  <c r="A7" i="6"/>
  <c r="A9" i="6"/>
  <c r="A11" i="6"/>
  <c r="A13" i="6"/>
  <c r="A15" i="6"/>
  <c r="A17" i="6"/>
  <c r="A19" i="6"/>
  <c r="A89" i="6"/>
  <c r="A91" i="6"/>
  <c r="A93" i="6"/>
  <c r="A95" i="6"/>
  <c r="A97" i="6"/>
  <c r="A99" i="6"/>
  <c r="A101" i="6"/>
  <c r="A103" i="6"/>
  <c r="A105" i="6"/>
  <c r="A107" i="6"/>
  <c r="A109" i="6"/>
  <c r="A111" i="6"/>
  <c r="A113" i="6"/>
  <c r="A115" i="6"/>
  <c r="A117" i="6"/>
  <c r="A119" i="6"/>
  <c r="A121" i="6"/>
  <c r="A123" i="6"/>
  <c r="A125" i="6"/>
  <c r="A127" i="6"/>
  <c r="A129" i="6"/>
  <c r="A131" i="6"/>
  <c r="A133" i="6"/>
  <c r="A135" i="6"/>
  <c r="A137" i="6"/>
  <c r="A349" i="6"/>
  <c r="A351" i="6"/>
  <c r="A353" i="6"/>
  <c r="A355" i="6"/>
  <c r="A357" i="6"/>
  <c r="A359" i="6"/>
  <c r="A361" i="6"/>
  <c r="A363" i="6"/>
  <c r="A365" i="6"/>
  <c r="A3" i="5"/>
  <c r="E4" i="2"/>
  <c r="D4" i="2"/>
  <c r="A2" i="5"/>
  <c r="A4" i="5" l="1"/>
  <c r="E5" i="2"/>
  <c r="D5" i="2"/>
  <c r="A5" i="5" l="1"/>
  <c r="E6" i="2"/>
  <c r="D6" i="2"/>
  <c r="A6" i="5" l="1"/>
  <c r="D7" i="2"/>
  <c r="E7" i="2"/>
  <c r="A7" i="5" l="1"/>
  <c r="E10" i="2" l="1"/>
  <c r="E354" i="2"/>
  <c r="E322" i="2"/>
  <c r="E290" i="2"/>
  <c r="E258" i="2"/>
  <c r="D226" i="2"/>
  <c r="D194" i="2"/>
  <c r="E163" i="2"/>
  <c r="D131" i="2"/>
  <c r="E98" i="2"/>
  <c r="D66" i="2"/>
  <c r="E34" i="2"/>
  <c r="D44" i="2"/>
  <c r="D37" i="2"/>
  <c r="E69" i="2"/>
  <c r="E100" i="2"/>
  <c r="E132" i="2"/>
  <c r="D164" i="2"/>
  <c r="E197" i="2"/>
  <c r="E229" i="2"/>
  <c r="D261" i="2"/>
  <c r="D293" i="2"/>
  <c r="D325" i="2"/>
  <c r="D357" i="2"/>
  <c r="E39" i="2"/>
  <c r="D71" i="2"/>
  <c r="D102" i="2"/>
  <c r="D134" i="2"/>
  <c r="E166" i="2"/>
  <c r="D199" i="2"/>
  <c r="D231" i="2"/>
  <c r="E263" i="2"/>
  <c r="E295" i="2"/>
  <c r="E327" i="2"/>
  <c r="E359" i="2"/>
  <c r="D356" i="2"/>
  <c r="D324" i="2"/>
  <c r="D292" i="2"/>
  <c r="D260" i="2"/>
  <c r="E228" i="2"/>
  <c r="E196" i="2"/>
  <c r="D165" i="2"/>
  <c r="E133" i="2"/>
  <c r="E101" i="2"/>
  <c r="E68" i="2"/>
  <c r="E22" i="2"/>
  <c r="E352" i="2"/>
  <c r="E320" i="2"/>
  <c r="E288" i="2"/>
  <c r="E256" i="2"/>
  <c r="D224" i="2"/>
  <c r="D192" i="2"/>
  <c r="E161" i="2"/>
  <c r="D129" i="2"/>
  <c r="E96" i="2"/>
  <c r="D64" i="2"/>
  <c r="D32" i="2"/>
  <c r="D34" i="2"/>
  <c r="E31" i="2"/>
  <c r="E63" i="2"/>
  <c r="D95" i="2"/>
  <c r="E126" i="2"/>
  <c r="D158" i="2"/>
  <c r="E191" i="2"/>
  <c r="E223" i="2"/>
  <c r="D255" i="2"/>
  <c r="D287" i="2"/>
  <c r="D319" i="2"/>
  <c r="D351" i="2"/>
  <c r="E33" i="2"/>
  <c r="D65" i="2"/>
  <c r="E97" i="2"/>
  <c r="D128" i="2"/>
  <c r="E160" i="2"/>
  <c r="D193" i="2"/>
  <c r="D225" i="2"/>
  <c r="E257" i="2"/>
  <c r="E289" i="2"/>
  <c r="E321" i="2"/>
  <c r="E353" i="2"/>
  <c r="D346" i="2"/>
  <c r="D314" i="2"/>
  <c r="D282" i="2"/>
  <c r="D250" i="2"/>
  <c r="E218" i="2"/>
  <c r="E186" i="2"/>
  <c r="D155" i="2"/>
  <c r="E123" i="2"/>
  <c r="D90" i="2"/>
  <c r="E58" i="2"/>
  <c r="E366" i="2"/>
  <c r="E334" i="2"/>
  <c r="E302" i="2"/>
  <c r="E270" i="2"/>
  <c r="D238" i="2"/>
  <c r="D206" i="2"/>
  <c r="E175" i="2"/>
  <c r="D143" i="2"/>
  <c r="D111" i="2"/>
  <c r="D78" i="2"/>
  <c r="D46" i="2"/>
  <c r="D14" i="2"/>
  <c r="E12" i="2"/>
  <c r="E17" i="2"/>
  <c r="E49" i="2"/>
  <c r="E81" i="2"/>
  <c r="E112" i="2"/>
  <c r="E144" i="2"/>
  <c r="E177" i="2"/>
  <c r="E209" i="2"/>
  <c r="E241" i="2"/>
  <c r="D273" i="2"/>
  <c r="D305" i="2"/>
  <c r="D337" i="2"/>
  <c r="E35" i="2"/>
  <c r="D67" i="2"/>
  <c r="E99" i="2"/>
  <c r="D130" i="2"/>
  <c r="E162" i="2"/>
  <c r="D195" i="2"/>
  <c r="D227" i="2"/>
  <c r="E259" i="2"/>
  <c r="E291" i="2"/>
  <c r="E323" i="2"/>
  <c r="E355" i="2"/>
  <c r="D344" i="2"/>
  <c r="D312" i="2"/>
  <c r="D280" i="2"/>
  <c r="E248" i="2"/>
  <c r="E216" i="2"/>
  <c r="E184" i="2"/>
  <c r="D153" i="2"/>
  <c r="E121" i="2"/>
  <c r="D88" i="2"/>
  <c r="E56" i="2"/>
  <c r="E356" i="2"/>
  <c r="E324" i="2"/>
  <c r="E292" i="2"/>
  <c r="E260" i="2"/>
  <c r="D228" i="2"/>
  <c r="D196" i="2"/>
  <c r="E165" i="2"/>
  <c r="D133" i="2"/>
  <c r="D101" i="2"/>
  <c r="D68" i="2"/>
  <c r="E36" i="2"/>
  <c r="D40" i="2"/>
  <c r="E27" i="2"/>
  <c r="E59" i="2"/>
  <c r="D91" i="2"/>
  <c r="E122" i="2"/>
  <c r="D154" i="2"/>
  <c r="E187" i="2"/>
  <c r="E219" i="2"/>
  <c r="D251" i="2"/>
  <c r="D283" i="2"/>
  <c r="D315" i="2"/>
  <c r="D347" i="2"/>
  <c r="D21" i="2"/>
  <c r="D53" i="2"/>
  <c r="E85" i="2"/>
  <c r="D116" i="2"/>
  <c r="D148" i="2"/>
  <c r="D181" i="2"/>
  <c r="D213" i="2"/>
  <c r="D245" i="2"/>
  <c r="E277" i="2"/>
  <c r="E309" i="2"/>
  <c r="E341" i="2"/>
  <c r="E346" i="2"/>
  <c r="E314" i="2"/>
  <c r="E282" i="2"/>
  <c r="E250" i="2"/>
  <c r="D218" i="2"/>
  <c r="D186" i="2"/>
  <c r="E155" i="2"/>
  <c r="D123" i="2"/>
  <c r="E90" i="2"/>
  <c r="D58" i="2"/>
  <c r="D26" i="2"/>
  <c r="E30" i="2"/>
  <c r="E13" i="2"/>
  <c r="E45" i="2"/>
  <c r="E77" i="2"/>
  <c r="E108" i="2"/>
  <c r="E140" i="2"/>
  <c r="D172" i="2"/>
  <c r="E205" i="2"/>
  <c r="E237" i="2"/>
  <c r="D269" i="2"/>
  <c r="D301" i="2"/>
  <c r="D333" i="2"/>
  <c r="D365" i="2"/>
  <c r="D15" i="2"/>
  <c r="D47" i="2"/>
  <c r="D79" i="2"/>
  <c r="D110" i="2"/>
  <c r="D142" i="2"/>
  <c r="E174" i="2"/>
  <c r="D207" i="2"/>
  <c r="D239" i="2"/>
  <c r="E271" i="2"/>
  <c r="E303" i="2"/>
  <c r="E335" i="2"/>
  <c r="D348" i="2"/>
  <c r="D316" i="2"/>
  <c r="D284" i="2"/>
  <c r="D252" i="2"/>
  <c r="E220" i="2"/>
  <c r="E188" i="2"/>
  <c r="D157" i="2"/>
  <c r="E125" i="2"/>
  <c r="D92" i="2"/>
  <c r="E60" i="2"/>
  <c r="E344" i="2"/>
  <c r="E312" i="2"/>
  <c r="E280" i="2"/>
  <c r="D248" i="2"/>
  <c r="D216" i="2"/>
  <c r="D184" i="2"/>
  <c r="E153" i="2"/>
  <c r="D121" i="2"/>
  <c r="E88" i="2"/>
  <c r="D56" i="2"/>
  <c r="D24" i="2"/>
  <c r="E20" i="2"/>
  <c r="D39" i="2"/>
  <c r="A39" i="5" s="1"/>
  <c r="E71" i="2"/>
  <c r="E102" i="2"/>
  <c r="E134" i="2"/>
  <c r="D166" i="2"/>
  <c r="A166" i="5" s="1"/>
  <c r="E199" i="2"/>
  <c r="E231" i="2"/>
  <c r="D263" i="2"/>
  <c r="A263" i="5" s="1"/>
  <c r="D295" i="2"/>
  <c r="A295" i="5" s="1"/>
  <c r="D327" i="2"/>
  <c r="A327" i="5" s="1"/>
  <c r="D359" i="2"/>
  <c r="A359" i="5" s="1"/>
  <c r="D9" i="2"/>
  <c r="E41" i="2"/>
  <c r="D73" i="2"/>
  <c r="D104" i="2"/>
  <c r="D136" i="2"/>
  <c r="E168" i="2"/>
  <c r="D201" i="2"/>
  <c r="D233" i="2"/>
  <c r="E265" i="2"/>
  <c r="E297" i="2"/>
  <c r="E329" i="2"/>
  <c r="E361" i="2"/>
  <c r="D354" i="2"/>
  <c r="A354" i="5" s="1"/>
  <c r="D322" i="2"/>
  <c r="A322" i="5" s="1"/>
  <c r="D290" i="2"/>
  <c r="A290" i="5" s="1"/>
  <c r="D258" i="2"/>
  <c r="A258" i="5" s="1"/>
  <c r="E226" i="2"/>
  <c r="E194" i="2"/>
  <c r="D163" i="2"/>
  <c r="A163" i="5" s="1"/>
  <c r="E131" i="2"/>
  <c r="D98" i="2"/>
  <c r="A98" i="5" s="1"/>
  <c r="E66" i="2"/>
  <c r="E16" i="2"/>
  <c r="E342" i="2"/>
  <c r="E310" i="2"/>
  <c r="E278" i="2"/>
  <c r="D246" i="2"/>
  <c r="D214" i="2"/>
  <c r="D182" i="2"/>
  <c r="D151" i="2"/>
  <c r="D119" i="2"/>
  <c r="E86" i="2"/>
  <c r="D54" i="2"/>
  <c r="D22" i="2"/>
  <c r="E25" i="2"/>
  <c r="E57" i="2"/>
  <c r="D89" i="2"/>
  <c r="E120" i="2"/>
  <c r="E152" i="2"/>
  <c r="E185" i="2"/>
  <c r="E217" i="2"/>
  <c r="D249" i="2"/>
  <c r="D281" i="2"/>
  <c r="D313" i="2"/>
  <c r="D345" i="2"/>
  <c r="D27" i="2"/>
  <c r="D59" i="2"/>
  <c r="E91" i="2"/>
  <c r="D122" i="2"/>
  <c r="E154" i="2"/>
  <c r="D187" i="2"/>
  <c r="D219" i="2"/>
  <c r="E251" i="2"/>
  <c r="E283" i="2"/>
  <c r="E315" i="2"/>
  <c r="E347" i="2"/>
  <c r="D336" i="2"/>
  <c r="D304" i="2"/>
  <c r="D272" i="2"/>
  <c r="E240" i="2"/>
  <c r="E208" i="2"/>
  <c r="E176" i="2"/>
  <c r="E145" i="2"/>
  <c r="E113" i="2"/>
  <c r="E80" i="2"/>
  <c r="E48" i="2"/>
  <c r="E364" i="2"/>
  <c r="E332" i="2"/>
  <c r="E300" i="2"/>
  <c r="E268" i="2"/>
  <c r="D236" i="2"/>
  <c r="D204" i="2"/>
  <c r="E173" i="2"/>
  <c r="D141" i="2"/>
  <c r="D109" i="2"/>
  <c r="D76" i="2"/>
  <c r="E44" i="2"/>
  <c r="D12" i="2"/>
  <c r="A12" i="5" s="1"/>
  <c r="E19" i="2"/>
  <c r="E51" i="2"/>
  <c r="D83" i="2"/>
  <c r="E114" i="2"/>
  <c r="E146" i="2"/>
  <c r="E179" i="2"/>
  <c r="E211" i="2"/>
  <c r="E243" i="2"/>
  <c r="D275" i="2"/>
  <c r="D307" i="2"/>
  <c r="D339" i="2"/>
  <c r="D29" i="2"/>
  <c r="D61" i="2"/>
  <c r="E93" i="2"/>
  <c r="D124" i="2"/>
  <c r="E156" i="2"/>
  <c r="D189" i="2"/>
  <c r="D221" i="2"/>
  <c r="E253" i="2"/>
  <c r="E285" i="2"/>
  <c r="E317" i="2"/>
  <c r="E349" i="2"/>
  <c r="D99" i="2"/>
  <c r="D162" i="2"/>
  <c r="E227" i="2"/>
  <c r="D291" i="2"/>
  <c r="D355" i="2"/>
  <c r="D13" i="2"/>
  <c r="D77" i="2"/>
  <c r="D140" i="2"/>
  <c r="D205" i="2"/>
  <c r="E269" i="2"/>
  <c r="E333" i="2"/>
  <c r="E338" i="2"/>
  <c r="E306" i="2"/>
  <c r="E274" i="2"/>
  <c r="D242" i="2"/>
  <c r="D210" i="2"/>
  <c r="D178" i="2"/>
  <c r="D147" i="2"/>
  <c r="D115" i="2"/>
  <c r="E82" i="2"/>
  <c r="D50" i="2"/>
  <c r="D18" i="2"/>
  <c r="E18" i="2"/>
  <c r="E21" i="2"/>
  <c r="E53" i="2"/>
  <c r="D85" i="2"/>
  <c r="A85" i="5" s="1"/>
  <c r="E116" i="2"/>
  <c r="E148" i="2"/>
  <c r="E181" i="2"/>
  <c r="E213" i="2"/>
  <c r="E245" i="2"/>
  <c r="D277" i="2"/>
  <c r="D309" i="2"/>
  <c r="D341" i="2"/>
  <c r="A341" i="5" s="1"/>
  <c r="D23" i="2"/>
  <c r="D55" i="2"/>
  <c r="E87" i="2"/>
  <c r="D118" i="2"/>
  <c r="D150" i="2"/>
  <c r="D183" i="2"/>
  <c r="D215" i="2"/>
  <c r="D247" i="2"/>
  <c r="E279" i="2"/>
  <c r="E311" i="2"/>
  <c r="E343" i="2"/>
  <c r="D340" i="2"/>
  <c r="D308" i="2"/>
  <c r="D276" i="2"/>
  <c r="E244" i="2"/>
  <c r="E212" i="2"/>
  <c r="E180" i="2"/>
  <c r="E149" i="2"/>
  <c r="E117" i="2"/>
  <c r="D84" i="2"/>
  <c r="E52" i="2"/>
  <c r="E336" i="2"/>
  <c r="E304" i="2"/>
  <c r="E272" i="2"/>
  <c r="D240" i="2"/>
  <c r="D208" i="2"/>
  <c r="D176" i="2"/>
  <c r="D145" i="2"/>
  <c r="D113" i="2"/>
  <c r="D80" i="2"/>
  <c r="D48" i="2"/>
  <c r="D16" i="2"/>
  <c r="E8" i="2"/>
  <c r="E15" i="2"/>
  <c r="E47" i="2"/>
  <c r="E79" i="2"/>
  <c r="E110" i="2"/>
  <c r="E142" i="2"/>
  <c r="D174" i="2"/>
  <c r="E207" i="2"/>
  <c r="E239" i="2"/>
  <c r="D271" i="2"/>
  <c r="D303" i="2"/>
  <c r="D335" i="2"/>
  <c r="D17" i="2"/>
  <c r="D49" i="2"/>
  <c r="D81" i="2"/>
  <c r="D112" i="2"/>
  <c r="D144" i="2"/>
  <c r="D177" i="2"/>
  <c r="D209" i="2"/>
  <c r="D241" i="2"/>
  <c r="E273" i="2"/>
  <c r="E305" i="2"/>
  <c r="E337" i="2"/>
  <c r="D362" i="2"/>
  <c r="D330" i="2"/>
  <c r="D298" i="2"/>
  <c r="D266" i="2"/>
  <c r="E234" i="2"/>
  <c r="E202" i="2"/>
  <c r="D171" i="2"/>
  <c r="E139" i="2"/>
  <c r="E107" i="2"/>
  <c r="E74" i="2"/>
  <c r="D36" i="2"/>
  <c r="E350" i="2"/>
  <c r="E318" i="2"/>
  <c r="E286" i="2"/>
  <c r="E254" i="2"/>
  <c r="D222" i="2"/>
  <c r="D190" i="2"/>
  <c r="E159" i="2"/>
  <c r="D127" i="2"/>
  <c r="E94" i="2"/>
  <c r="D62" i="2"/>
  <c r="D30" i="2"/>
  <c r="D38" i="2"/>
  <c r="D33" i="2"/>
  <c r="E65" i="2"/>
  <c r="D97" i="2"/>
  <c r="E128" i="2"/>
  <c r="D160" i="2"/>
  <c r="E193" i="2"/>
  <c r="E225" i="2"/>
  <c r="D257" i="2"/>
  <c r="D289" i="2"/>
  <c r="D321" i="2"/>
  <c r="D353" i="2"/>
  <c r="D19" i="2"/>
  <c r="D51" i="2"/>
  <c r="E83" i="2"/>
  <c r="D114" i="2"/>
  <c r="D146" i="2"/>
  <c r="D179" i="2"/>
  <c r="D211" i="2"/>
  <c r="D243" i="2"/>
  <c r="E275" i="2"/>
  <c r="E307" i="2"/>
  <c r="E339" i="2"/>
  <c r="D360" i="2"/>
  <c r="D328" i="2"/>
  <c r="D296" i="2"/>
  <c r="D264" i="2"/>
  <c r="E232" i="2"/>
  <c r="E200" i="2"/>
  <c r="D169" i="2"/>
  <c r="E137" i="2"/>
  <c r="E105" i="2"/>
  <c r="E72" i="2"/>
  <c r="E32" i="2"/>
  <c r="E340" i="2"/>
  <c r="E308" i="2"/>
  <c r="E276" i="2"/>
  <c r="D244" i="2"/>
  <c r="A244" i="5" s="1"/>
  <c r="D212" i="2"/>
  <c r="A212" i="5" s="1"/>
  <c r="D180" i="2"/>
  <c r="A180" i="5" s="1"/>
  <c r="D149" i="2"/>
  <c r="A149" i="5" s="1"/>
  <c r="D117" i="2"/>
  <c r="A117" i="5" s="1"/>
  <c r="E84" i="2"/>
  <c r="D52" i="2"/>
  <c r="A52" i="5" s="1"/>
  <c r="D20" i="2"/>
  <c r="E14" i="2"/>
  <c r="E11" i="2"/>
  <c r="D43" i="2"/>
  <c r="E75" i="2"/>
  <c r="E106" i="2"/>
  <c r="E138" i="2"/>
  <c r="D170" i="2"/>
  <c r="E203" i="2"/>
  <c r="E235" i="2"/>
  <c r="D267" i="2"/>
  <c r="D299" i="2"/>
  <c r="D331" i="2"/>
  <c r="D363" i="2"/>
  <c r="E37" i="2"/>
  <c r="D69" i="2"/>
  <c r="D100" i="2"/>
  <c r="D132" i="2"/>
  <c r="E164" i="2"/>
  <c r="D197" i="2"/>
  <c r="D229" i="2"/>
  <c r="E261" i="2"/>
  <c r="E293" i="2"/>
  <c r="E325" i="2"/>
  <c r="E357" i="2"/>
  <c r="E362" i="2"/>
  <c r="E330" i="2"/>
  <c r="E298" i="2"/>
  <c r="E266" i="2"/>
  <c r="D234" i="2"/>
  <c r="D202" i="2"/>
  <c r="E171" i="2"/>
  <c r="D139" i="2"/>
  <c r="D107" i="2"/>
  <c r="D74" i="2"/>
  <c r="E42" i="2"/>
  <c r="D10" i="2"/>
  <c r="E29" i="2"/>
  <c r="E61" i="2"/>
  <c r="D93" i="2"/>
  <c r="E124" i="2"/>
  <c r="D156" i="2"/>
  <c r="E189" i="2"/>
  <c r="E221" i="2"/>
  <c r="D253" i="2"/>
  <c r="D285" i="2"/>
  <c r="D317" i="2"/>
  <c r="D349" i="2"/>
  <c r="D31" i="2"/>
  <c r="D63" i="2"/>
  <c r="E95" i="2"/>
  <c r="D126" i="2"/>
  <c r="E158" i="2"/>
  <c r="D191" i="2"/>
  <c r="D223" i="2"/>
  <c r="E255" i="2"/>
  <c r="E287" i="2"/>
  <c r="E319" i="2"/>
  <c r="E351" i="2"/>
  <c r="D364" i="2"/>
  <c r="A364" i="5" s="1"/>
  <c r="D332" i="2"/>
  <c r="A332" i="5" s="1"/>
  <c r="D300" i="2"/>
  <c r="A300" i="5" s="1"/>
  <c r="D268" i="2"/>
  <c r="A268" i="5" s="1"/>
  <c r="E236" i="2"/>
  <c r="E204" i="2"/>
  <c r="D173" i="2"/>
  <c r="A173" i="5" s="1"/>
  <c r="E141" i="2"/>
  <c r="E109" i="2"/>
  <c r="E76" i="2"/>
  <c r="D42" i="2"/>
  <c r="E360" i="2"/>
  <c r="E328" i="2"/>
  <c r="E296" i="2"/>
  <c r="E264" i="2"/>
  <c r="D232" i="2"/>
  <c r="D200" i="2"/>
  <c r="E169" i="2"/>
  <c r="D137" i="2"/>
  <c r="D105" i="2"/>
  <c r="D72" i="2"/>
  <c r="E40" i="2"/>
  <c r="D8" i="2"/>
  <c r="E23" i="2"/>
  <c r="E55" i="2"/>
  <c r="D87" i="2"/>
  <c r="E118" i="2"/>
  <c r="E150" i="2"/>
  <c r="E183" i="2"/>
  <c r="E215" i="2"/>
  <c r="E247" i="2"/>
  <c r="D279" i="2"/>
  <c r="D311" i="2"/>
  <c r="D343" i="2"/>
  <c r="D25" i="2"/>
  <c r="D57" i="2"/>
  <c r="E89" i="2"/>
  <c r="D120" i="2"/>
  <c r="D152" i="2"/>
  <c r="D185" i="2"/>
  <c r="D217" i="2"/>
  <c r="A217" i="5" s="1"/>
  <c r="E249" i="2"/>
  <c r="E281" i="2"/>
  <c r="E313" i="2"/>
  <c r="E345" i="2"/>
  <c r="D338" i="2"/>
  <c r="D306" i="2"/>
  <c r="A306" i="5" s="1"/>
  <c r="D274" i="2"/>
  <c r="E242" i="2"/>
  <c r="E210" i="2"/>
  <c r="E178" i="2"/>
  <c r="E147" i="2"/>
  <c r="E115" i="2"/>
  <c r="D82" i="2"/>
  <c r="E50" i="2"/>
  <c r="E358" i="2"/>
  <c r="E326" i="2"/>
  <c r="E294" i="2"/>
  <c r="E262" i="2"/>
  <c r="D230" i="2"/>
  <c r="D198" i="2"/>
  <c r="E167" i="2"/>
  <c r="D135" i="2"/>
  <c r="D103" i="2"/>
  <c r="D70" i="2"/>
  <c r="E38" i="2"/>
  <c r="E24" i="2"/>
  <c r="E9" i="2"/>
  <c r="D41" i="2"/>
  <c r="A41" i="5" s="1"/>
  <c r="E73" i="2"/>
  <c r="E104" i="2"/>
  <c r="E136" i="2"/>
  <c r="D168" i="2"/>
  <c r="A168" i="5" s="1"/>
  <c r="E201" i="2"/>
  <c r="E233" i="2"/>
  <c r="D265" i="2"/>
  <c r="D297" i="2"/>
  <c r="A297" i="5" s="1"/>
  <c r="D329" i="2"/>
  <c r="D361" i="2"/>
  <c r="A361" i="5" s="1"/>
  <c r="D11" i="2"/>
  <c r="E43" i="2"/>
  <c r="D75" i="2"/>
  <c r="D106" i="2"/>
  <c r="D138" i="2"/>
  <c r="E170" i="2"/>
  <c r="D203" i="2"/>
  <c r="D235" i="2"/>
  <c r="E267" i="2"/>
  <c r="E299" i="2"/>
  <c r="E331" i="2"/>
  <c r="E363" i="2"/>
  <c r="D352" i="2"/>
  <c r="A352" i="5" s="1"/>
  <c r="D320" i="2"/>
  <c r="A320" i="5" s="1"/>
  <c r="D288" i="2"/>
  <c r="A288" i="5" s="1"/>
  <c r="D256" i="2"/>
  <c r="A256" i="5" s="1"/>
  <c r="E224" i="2"/>
  <c r="E192" i="2"/>
  <c r="D161" i="2"/>
  <c r="A161" i="5" s="1"/>
  <c r="E129" i="2"/>
  <c r="D96" i="2"/>
  <c r="A96" i="5" s="1"/>
  <c r="E64" i="2"/>
  <c r="E348" i="2"/>
  <c r="E316" i="2"/>
  <c r="E284" i="2"/>
  <c r="E252" i="2"/>
  <c r="D220" i="2"/>
  <c r="D188" i="2"/>
  <c r="E157" i="2"/>
  <c r="D125" i="2"/>
  <c r="E92" i="2"/>
  <c r="D60" i="2"/>
  <c r="D28" i="2"/>
  <c r="E28" i="2"/>
  <c r="D35" i="2"/>
  <c r="E67" i="2"/>
  <c r="E130" i="2"/>
  <c r="E195" i="2"/>
  <c r="D259" i="2"/>
  <c r="D323" i="2"/>
  <c r="D45" i="2"/>
  <c r="A45" i="5" s="1"/>
  <c r="D108" i="2"/>
  <c r="E172" i="2"/>
  <c r="D237" i="2"/>
  <c r="E301" i="2"/>
  <c r="E365" i="2"/>
  <c r="E46" i="2"/>
  <c r="E111" i="2"/>
  <c r="D175" i="2"/>
  <c r="A175" i="5" s="1"/>
  <c r="E238" i="2"/>
  <c r="D318" i="2"/>
  <c r="A318" i="5" s="1"/>
  <c r="E26" i="2"/>
  <c r="E103" i="2"/>
  <c r="D167" i="2"/>
  <c r="E230" i="2"/>
  <c r="D278" i="2"/>
  <c r="A278" i="5" s="1"/>
  <c r="D334" i="2"/>
  <c r="E62" i="2"/>
  <c r="E127" i="2"/>
  <c r="E190" i="2"/>
  <c r="D262" i="2"/>
  <c r="D342" i="2"/>
  <c r="E54" i="2"/>
  <c r="E119" i="2"/>
  <c r="E182" i="2"/>
  <c r="E246" i="2"/>
  <c r="D294" i="2"/>
  <c r="D350" i="2"/>
  <c r="A350" i="5" s="1"/>
  <c r="E78" i="2"/>
  <c r="E143" i="2"/>
  <c r="E206" i="2"/>
  <c r="D286" i="2"/>
  <c r="D366" i="2"/>
  <c r="E70" i="2"/>
  <c r="E135" i="2"/>
  <c r="E198" i="2"/>
  <c r="D254" i="2"/>
  <c r="A254" i="5" s="1"/>
  <c r="D310" i="2"/>
  <c r="A310" i="5" s="1"/>
  <c r="D358" i="2"/>
  <c r="D94" i="2"/>
  <c r="D159" i="2"/>
  <c r="E222" i="2"/>
  <c r="D302" i="2"/>
  <c r="A302" i="5" s="1"/>
  <c r="D86" i="2"/>
  <c r="E151" i="2"/>
  <c r="E214" i="2"/>
  <c r="D270" i="2"/>
  <c r="D326" i="2"/>
  <c r="A326" i="5" s="1"/>
  <c r="A167" i="5" l="1"/>
  <c r="A72" i="5"/>
  <c r="A200" i="5"/>
  <c r="A121" i="5"/>
  <c r="A248" i="5"/>
  <c r="A262" i="5"/>
  <c r="A334" i="5"/>
  <c r="A259" i="5"/>
  <c r="A329" i="5"/>
  <c r="A265" i="5"/>
  <c r="A16" i="5"/>
  <c r="A80" i="5"/>
  <c r="A208" i="5"/>
  <c r="A13" i="5"/>
  <c r="A22" i="5"/>
  <c r="A94" i="5"/>
  <c r="A294" i="5"/>
  <c r="A42" i="5"/>
  <c r="A146" i="5"/>
  <c r="A19" i="5"/>
  <c r="A358" i="5"/>
  <c r="A82" i="5"/>
  <c r="A338" i="5"/>
  <c r="A185" i="5"/>
  <c r="A57" i="5"/>
  <c r="A343" i="5"/>
  <c r="A87" i="5"/>
  <c r="A105" i="5"/>
  <c r="A232" i="5"/>
  <c r="A243" i="5"/>
  <c r="A114" i="5"/>
  <c r="A113" i="5"/>
  <c r="A240" i="5"/>
  <c r="A309" i="5"/>
  <c r="A270" i="5"/>
  <c r="A237" i="5"/>
  <c r="A108" i="5"/>
  <c r="A35" i="5"/>
  <c r="A220" i="5"/>
  <c r="A223" i="5"/>
  <c r="A31" i="5"/>
  <c r="A317" i="5"/>
  <c r="A253" i="5"/>
  <c r="A10" i="5"/>
  <c r="A20" i="5"/>
  <c r="A321" i="5"/>
  <c r="A257" i="5"/>
  <c r="A177" i="5"/>
  <c r="A49" i="5"/>
  <c r="A335" i="5"/>
  <c r="A291" i="5"/>
  <c r="A162" i="5"/>
  <c r="A86" i="5"/>
  <c r="A366" i="5"/>
  <c r="A323" i="5"/>
  <c r="A60" i="5"/>
  <c r="A125" i="5"/>
  <c r="A188" i="5"/>
  <c r="A191" i="5"/>
  <c r="A126" i="5"/>
  <c r="A63" i="5"/>
  <c r="A138" i="5"/>
  <c r="A11" i="5"/>
  <c r="A349" i="5"/>
  <c r="A93" i="5"/>
  <c r="A235" i="5"/>
  <c r="A106" i="5"/>
  <c r="A219" i="5"/>
  <c r="A133" i="5"/>
  <c r="A197" i="5"/>
  <c r="A132" i="5"/>
  <c r="A69" i="5"/>
  <c r="A289" i="5"/>
  <c r="A160" i="5"/>
  <c r="A33" i="5"/>
  <c r="A30" i="5"/>
  <c r="A209" i="5"/>
  <c r="A144" i="5"/>
  <c r="A81" i="5"/>
  <c r="A17" i="5"/>
  <c r="A303" i="5"/>
  <c r="A174" i="5"/>
  <c r="A205" i="5"/>
  <c r="A77" i="5"/>
  <c r="A187" i="5"/>
  <c r="A122" i="5"/>
  <c r="A59" i="5"/>
  <c r="A218" i="5"/>
  <c r="A107" i="5"/>
  <c r="A234" i="5"/>
  <c r="A342" i="5"/>
  <c r="A120" i="5"/>
  <c r="A159" i="5"/>
  <c r="A152" i="5"/>
  <c r="A25" i="5"/>
  <c r="A311" i="5"/>
  <c r="A8" i="5"/>
  <c r="A137" i="5"/>
  <c r="A285" i="5"/>
  <c r="A156" i="5"/>
  <c r="A211" i="5"/>
  <c r="A353" i="5"/>
  <c r="A97" i="5"/>
  <c r="A145" i="5"/>
  <c r="A277" i="5"/>
  <c r="A355" i="5"/>
  <c r="A99" i="5"/>
  <c r="A56" i="5"/>
  <c r="A184" i="5"/>
  <c r="A101" i="5"/>
  <c r="A228" i="5"/>
  <c r="A286" i="5"/>
  <c r="A203" i="5"/>
  <c r="A75" i="5"/>
  <c r="A274" i="5"/>
  <c r="A279" i="5"/>
  <c r="A74" i="5"/>
  <c r="A202" i="5"/>
  <c r="A229" i="5"/>
  <c r="A100" i="5"/>
  <c r="A179" i="5"/>
  <c r="A51" i="5"/>
  <c r="A36" i="5"/>
  <c r="A241" i="5"/>
  <c r="A112" i="5"/>
  <c r="A271" i="5"/>
  <c r="A48" i="5"/>
  <c r="A176" i="5"/>
  <c r="A140" i="5"/>
  <c r="A27" i="5"/>
  <c r="A216" i="5"/>
  <c r="A139" i="5"/>
  <c r="A58" i="5"/>
  <c r="A186" i="5"/>
  <c r="A34" i="5"/>
  <c r="A68" i="5"/>
  <c r="A196" i="5"/>
  <c r="A123" i="5"/>
  <c r="A18" i="5"/>
  <c r="A70" i="5"/>
  <c r="A135" i="5"/>
  <c r="A198" i="5"/>
  <c r="A331" i="5"/>
  <c r="A267" i="5"/>
  <c r="A264" i="5"/>
  <c r="A328" i="5"/>
  <c r="A222" i="5"/>
  <c r="A266" i="5"/>
  <c r="A330" i="5"/>
  <c r="A308" i="5"/>
  <c r="A247" i="5"/>
  <c r="A183" i="5"/>
  <c r="A118" i="5"/>
  <c r="A55" i="5"/>
  <c r="A50" i="5"/>
  <c r="A115" i="5"/>
  <c r="A178" i="5"/>
  <c r="A242" i="5"/>
  <c r="A189" i="5"/>
  <c r="A124" i="5"/>
  <c r="A61" i="5"/>
  <c r="A339" i="5"/>
  <c r="A275" i="5"/>
  <c r="A83" i="5"/>
  <c r="A109" i="5"/>
  <c r="A236" i="5"/>
  <c r="A272" i="5"/>
  <c r="A336" i="5"/>
  <c r="A345" i="5"/>
  <c r="A281" i="5"/>
  <c r="A89" i="5"/>
  <c r="A54" i="5"/>
  <c r="A119" i="5"/>
  <c r="A182" i="5"/>
  <c r="A246" i="5"/>
  <c r="A201" i="5"/>
  <c r="A136" i="5"/>
  <c r="A73" i="5"/>
  <c r="A9" i="5"/>
  <c r="A92" i="5"/>
  <c r="A157" i="5"/>
  <c r="A284" i="5"/>
  <c r="A348" i="5"/>
  <c r="A207" i="5"/>
  <c r="A142" i="5"/>
  <c r="A79" i="5"/>
  <c r="A15" i="5"/>
  <c r="A365" i="5"/>
  <c r="A301" i="5"/>
  <c r="A172" i="5"/>
  <c r="A26" i="5"/>
  <c r="A213" i="5"/>
  <c r="A148" i="5"/>
  <c r="A21" i="5"/>
  <c r="A347" i="5"/>
  <c r="A283" i="5"/>
  <c r="A154" i="5"/>
  <c r="A91" i="5"/>
  <c r="A312" i="5"/>
  <c r="A227" i="5"/>
  <c r="A305" i="5"/>
  <c r="A14" i="5"/>
  <c r="A78" i="5"/>
  <c r="A143" i="5"/>
  <c r="A206" i="5"/>
  <c r="A250" i="5"/>
  <c r="A314" i="5"/>
  <c r="A193" i="5"/>
  <c r="A128" i="5"/>
  <c r="A65" i="5"/>
  <c r="A351" i="5"/>
  <c r="A287" i="5"/>
  <c r="A158" i="5"/>
  <c r="A95" i="5"/>
  <c r="A32" i="5"/>
  <c r="A224" i="5"/>
  <c r="A260" i="5"/>
  <c r="A324" i="5"/>
  <c r="A231" i="5"/>
  <c r="A102" i="5"/>
  <c r="A357" i="5"/>
  <c r="A293" i="5"/>
  <c r="A164" i="5"/>
  <c r="A37" i="5"/>
  <c r="A226" i="5"/>
  <c r="A28" i="5"/>
  <c r="A103" i="5"/>
  <c r="A230" i="5"/>
  <c r="A363" i="5"/>
  <c r="A299" i="5"/>
  <c r="A170" i="5"/>
  <c r="A43" i="5"/>
  <c r="A169" i="5"/>
  <c r="A296" i="5"/>
  <c r="A360" i="5"/>
  <c r="A38" i="5"/>
  <c r="A62" i="5"/>
  <c r="A127" i="5"/>
  <c r="A190" i="5"/>
  <c r="A171" i="5"/>
  <c r="A298" i="5"/>
  <c r="A362" i="5"/>
  <c r="A84" i="5"/>
  <c r="A276" i="5"/>
  <c r="A340" i="5"/>
  <c r="A215" i="5"/>
  <c r="A150" i="5"/>
  <c r="A23" i="5"/>
  <c r="A147" i="5"/>
  <c r="A210" i="5"/>
  <c r="A221" i="5"/>
  <c r="A29" i="5"/>
  <c r="A307" i="5"/>
  <c r="A76" i="5"/>
  <c r="A141" i="5"/>
  <c r="A204" i="5"/>
  <c r="A304" i="5"/>
  <c r="A313" i="5"/>
  <c r="A249" i="5"/>
  <c r="A151" i="5"/>
  <c r="A214" i="5"/>
  <c r="A233" i="5"/>
  <c r="A104" i="5"/>
  <c r="A24" i="5"/>
  <c r="A252" i="5"/>
  <c r="A316" i="5"/>
  <c r="A239" i="5"/>
  <c r="A110" i="5"/>
  <c r="A47" i="5"/>
  <c r="A333" i="5"/>
  <c r="A269" i="5"/>
  <c r="A245" i="5"/>
  <c r="A181" i="5"/>
  <c r="A116" i="5"/>
  <c r="A53" i="5"/>
  <c r="A315" i="5"/>
  <c r="A251" i="5"/>
  <c r="A40" i="5"/>
  <c r="A88" i="5"/>
  <c r="A153" i="5"/>
  <c r="A280" i="5"/>
  <c r="A344" i="5"/>
  <c r="A195" i="5"/>
  <c r="A130" i="5"/>
  <c r="A67" i="5"/>
  <c r="A337" i="5"/>
  <c r="A273" i="5"/>
  <c r="A46" i="5"/>
  <c r="A111" i="5"/>
  <c r="A238" i="5"/>
  <c r="A90" i="5"/>
  <c r="A155" i="5"/>
  <c r="A282" i="5"/>
  <c r="A346" i="5"/>
  <c r="A225" i="5"/>
  <c r="A319" i="5"/>
  <c r="A255" i="5"/>
  <c r="A64" i="5"/>
  <c r="A129" i="5"/>
  <c r="A192" i="5"/>
  <c r="A165" i="5"/>
  <c r="A292" i="5"/>
  <c r="A356" i="5"/>
  <c r="A199" i="5"/>
  <c r="A134" i="5"/>
  <c r="A71" i="5"/>
  <c r="A325" i="5"/>
  <c r="A261" i="5"/>
  <c r="A44" i="5"/>
  <c r="A66" i="5"/>
  <c r="A131" i="5"/>
  <c r="A194" i="5"/>
</calcChain>
</file>

<file path=xl/sharedStrings.xml><?xml version="1.0" encoding="utf-8"?>
<sst xmlns="http://schemas.openxmlformats.org/spreadsheetml/2006/main" count="46" uniqueCount="36">
  <si>
    <t>Datum</t>
  </si>
  <si>
    <t>Regenval [0,1 mm]</t>
  </si>
  <si>
    <t>Stn</t>
  </si>
  <si>
    <t>Niveau</t>
  </si>
  <si>
    <t>Rd</t>
  </si>
  <si>
    <t>qRd</t>
  </si>
  <si>
    <t>P</t>
  </si>
  <si>
    <t>qP</t>
  </si>
  <si>
    <t>T</t>
  </si>
  <si>
    <t>Stations</t>
  </si>
  <si>
    <t>No.</t>
  </si>
  <si>
    <t>Naam</t>
  </si>
  <si>
    <t>Kwaliteit</t>
  </si>
  <si>
    <t>Code</t>
  </si>
  <si>
    <t xml:space="preserve">Ok </t>
  </si>
  <si>
    <t xml:space="preserve">ME </t>
  </si>
  <si>
    <t xml:space="preserve">MS </t>
  </si>
  <si>
    <t xml:space="preserve">Est </t>
  </si>
  <si>
    <t xml:space="preserve">Lacking </t>
  </si>
  <si>
    <t>Kwaliteitscodes</t>
  </si>
  <si>
    <t>Kwaliteitskenmerken</t>
  </si>
  <si>
    <t>Parameters</t>
  </si>
  <si>
    <t>Notatie</t>
  </si>
  <si>
    <t>Barometer</t>
  </si>
  <si>
    <t>Instrument</t>
  </si>
  <si>
    <t>Thermometer</t>
  </si>
  <si>
    <t>Regenmeter</t>
  </si>
  <si>
    <t>Barometerstand</t>
  </si>
  <si>
    <t>Weerkundige waarnemingen Aruba</t>
  </si>
  <si>
    <t>Oranjestad</t>
  </si>
  <si>
    <t>Noord</t>
  </si>
  <si>
    <t>Beatrix Luchthaven</t>
  </si>
  <si>
    <t>Santa Cruz</t>
  </si>
  <si>
    <t>Balashi</t>
  </si>
  <si>
    <t>Savaneta</t>
  </si>
  <si>
    <t>Lago-terrein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</si>
</sst>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yyyy\.mm\.dd"/>
    <numFmt numFmtId="165" formatCode="000"/>
    <numFmt numFmtId="166" formatCode="0_0_0_0_("/>
    <numFmt numFmtId="167" formatCode="00_0_0_0"/>
    <numFmt numFmtId="168" formatCode="0_0_0_0;\-0_0_0_0;0_0_0_0;@_0_0_0"/>
    <numFmt numFmtId="169" formatCode="0.0_0_0;\-0.0_0_0;0.0_0_0;@_0_0_0"/>
    <numFmt numFmtId="170" formatCode="General_0_0_0_0_0_0"/>
    <numFmt numFmtId="171" formatCode="0.0_,_0_0_0_0_0"/>
    <numFmt numFmtId="172" formatCode="0_0_0_0_0_0_0_0;\-0_0_0_0_0_0_0_0;&quot;∙&quot;_,_0_0_0_0_0_0_0;@_0_0_0_0_0_0_0"/>
    <numFmt numFmtId="173" formatCode="0.0_,_0_0_0_0_0_0;\-0.0_,_0_0_0_0_0_0;&quot;∙&quot;_,_0_0_0_0_0_0_0;@_0_0_0_0_0_0_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1"/>
      <name val="Cambria"/>
      <family val="1"/>
      <scheme val="major"/>
    </font>
    <font>
      <b/>
      <sz val="11"/>
      <color indexed="8"/>
      <name val="Calibri"/>
      <family val="2"/>
    </font>
    <font>
      <sz val="10"/>
      <color indexed="8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theme="8" tint="0.59996337778862885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633777886288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37">
    <xf numFmtId="0" fontId="0" fillId="0" borderId="0" xfId="0"/>
    <xf numFmtId="164" fontId="0" fillId="2" borderId="0" xfId="0" applyNumberFormat="1" applyFill="1" applyAlignment="1">
      <alignment horizontal="left"/>
    </xf>
    <xf numFmtId="0" fontId="0" fillId="0" borderId="1" xfId="0" applyBorder="1"/>
    <xf numFmtId="0" fontId="0" fillId="0" borderId="1" xfId="0" applyBorder="1" applyAlignment="1">
      <alignment horizontal="center"/>
    </xf>
    <xf numFmtId="165" fontId="0" fillId="0" borderId="0" xfId="0" applyNumberFormat="1" applyAlignment="1">
      <alignment horizontal="center"/>
    </xf>
    <xf numFmtId="166" fontId="0" fillId="0" borderId="0" xfId="0" applyNumberFormat="1"/>
    <xf numFmtId="0" fontId="0" fillId="0" borderId="4" xfId="0" applyBorder="1"/>
    <xf numFmtId="166" fontId="0" fillId="0" borderId="4" xfId="0" applyNumberFormat="1" applyBorder="1"/>
    <xf numFmtId="165" fontId="0" fillId="0" borderId="4" xfId="0" applyNumberFormat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168" fontId="0" fillId="0" borderId="0" xfId="0" applyNumberFormat="1" applyAlignment="1">
      <alignment horizontal="right"/>
    </xf>
    <xf numFmtId="167" fontId="0" fillId="0" borderId="0" xfId="0" applyNumberFormat="1" applyAlignment="1"/>
    <xf numFmtId="0" fontId="4" fillId="0" borderId="0" xfId="0" applyFont="1"/>
    <xf numFmtId="0" fontId="1" fillId="0" borderId="5" xfId="0" applyFont="1" applyBorder="1"/>
    <xf numFmtId="0" fontId="1" fillId="0" borderId="5" xfId="0" applyFont="1" applyBorder="1" applyAlignment="1">
      <alignment horizontal="center"/>
    </xf>
    <xf numFmtId="0" fontId="0" fillId="0" borderId="0" xfId="0" applyBorder="1"/>
    <xf numFmtId="0" fontId="0" fillId="0" borderId="4" xfId="0" applyFill="1" applyBorder="1"/>
    <xf numFmtId="167" fontId="0" fillId="0" borderId="0" xfId="0" applyNumberFormat="1" applyAlignment="1">
      <alignment horizontal="right"/>
    </xf>
    <xf numFmtId="169" fontId="0" fillId="0" borderId="0" xfId="0" applyNumberFormat="1" applyAlignment="1">
      <alignment horizontal="right"/>
    </xf>
    <xf numFmtId="0" fontId="1" fillId="5" borderId="7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 vertical="center"/>
    </xf>
    <xf numFmtId="170" fontId="0" fillId="3" borderId="3" xfId="0" applyNumberFormat="1" applyFill="1" applyBorder="1" applyProtection="1">
      <protection locked="0"/>
    </xf>
    <xf numFmtId="171" fontId="0" fillId="3" borderId="3" xfId="0" applyNumberFormat="1" applyFill="1" applyBorder="1"/>
    <xf numFmtId="172" fontId="0" fillId="4" borderId="9" xfId="0" applyNumberFormat="1" applyFill="1" applyBorder="1" applyProtection="1">
      <protection locked="0"/>
    </xf>
    <xf numFmtId="172" fontId="0" fillId="4" borderId="9" xfId="0" applyNumberFormat="1" applyFill="1" applyBorder="1" applyAlignment="1" applyProtection="1">
      <protection locked="0"/>
    </xf>
    <xf numFmtId="172" fontId="0" fillId="4" borderId="9" xfId="0" applyNumberFormat="1" applyFill="1" applyBorder="1" applyAlignment="1" applyProtection="1">
      <alignment horizontal="right"/>
      <protection locked="0"/>
    </xf>
    <xf numFmtId="173" fontId="0" fillId="4" borderId="9" xfId="0" applyNumberFormat="1" applyFill="1" applyBorder="1"/>
    <xf numFmtId="0" fontId="0" fillId="0" borderId="6" xfId="0" applyBorder="1" applyAlignment="1">
      <alignment horizontal="center"/>
    </xf>
    <xf numFmtId="0" fontId="2" fillId="0" borderId="0" xfId="0" applyFont="1" applyAlignment="1"/>
    <xf numFmtId="0" fontId="1" fillId="5" borderId="2" xfId="0" applyFont="1" applyFill="1" applyBorder="1" applyAlignment="1">
      <alignment horizontal="left" vertical="center"/>
    </xf>
    <xf numFmtId="0" fontId="1" fillId="5" borderId="1" xfId="0" applyFont="1" applyFill="1" applyBorder="1" applyAlignment="1">
      <alignment horizontal="left" vertical="center"/>
    </xf>
    <xf numFmtId="0" fontId="1" fillId="5" borderId="7" xfId="0" applyFont="1" applyFill="1" applyBorder="1" applyAlignment="1">
      <alignment horizontal="center" vertical="center"/>
    </xf>
    <xf numFmtId="0" fontId="1" fillId="5" borderId="8" xfId="0" applyFont="1" applyFill="1" applyBorder="1" applyAlignment="1">
      <alignment horizontal="center" vertical="center"/>
    </xf>
    <xf numFmtId="0" fontId="0" fillId="0" borderId="6" xfId="0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6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Standaard" xfId="0" builtinId="0"/>
  </cellStyles>
  <dxfs count="1">
    <dxf>
      <font>
        <b/>
        <i val="0"/>
      </font>
      <fill>
        <patternFill>
          <bgColor theme="3" tint="0.59996337778862885"/>
        </patternFill>
      </fill>
      <border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FFCC"/>
      <color rgb="FFCCFF99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C381"/>
  <sheetViews>
    <sheetView tabSelected="1" workbookViewId="0">
      <pane xSplit="1" ySplit="4" topLeftCell="B348" activePane="bottomRight" state="frozen"/>
      <selection pane="topRight" activeCell="B1" sqref="B1"/>
      <selection pane="bottomLeft" activeCell="A5" sqref="A5"/>
      <selection pane="bottomRight" activeCell="C380" sqref="C380"/>
    </sheetView>
  </sheetViews>
  <sheetFormatPr defaultRowHeight="15" x14ac:dyDescent="0.25"/>
  <cols>
    <col min="1" max="1" width="10.140625" customWidth="1"/>
    <col min="2" max="3" width="17.7109375" customWidth="1"/>
  </cols>
  <sheetData>
    <row r="1" spans="1:3" ht="20.25" x14ac:dyDescent="0.3">
      <c r="A1" s="28" t="s">
        <v>28</v>
      </c>
      <c r="B1" s="28"/>
      <c r="C1" s="28"/>
    </row>
    <row r="3" spans="1:3" x14ac:dyDescent="0.25">
      <c r="A3" s="29" t="s">
        <v>0</v>
      </c>
      <c r="B3" s="31" t="s">
        <v>27</v>
      </c>
      <c r="C3" s="19" t="s">
        <v>1</v>
      </c>
    </row>
    <row r="4" spans="1:3" x14ac:dyDescent="0.25">
      <c r="A4" s="30"/>
      <c r="B4" s="32"/>
      <c r="C4" s="20" t="s">
        <v>29</v>
      </c>
    </row>
    <row r="5" spans="1:3" x14ac:dyDescent="0.25">
      <c r="A5" s="1">
        <f ca="1">DATE(VALUE(MID(CELL("bestandsnaam"),FIND(".",CELL("bestandsnaam"))-4,4)),1,1)</f>
        <v>9863</v>
      </c>
      <c r="B5" s="21">
        <v>7665</v>
      </c>
      <c r="C5" s="23">
        <v>0</v>
      </c>
    </row>
    <row r="6" spans="1:3" x14ac:dyDescent="0.25">
      <c r="A6" s="1">
        <f ca="1">IF(ISTEXT(A5),A4+1,IF(MONTH(A5+1)=MONTH(A5),A5+1,"Totaal"))</f>
        <v>9864</v>
      </c>
      <c r="B6" s="21">
        <v>7665</v>
      </c>
      <c r="C6" s="24">
        <v>0</v>
      </c>
    </row>
    <row r="7" spans="1:3" x14ac:dyDescent="0.25">
      <c r="A7" s="1">
        <f t="shared" ref="A7:A70" ca="1" si="0">IF(ISTEXT(A6),A5+1,IF(MONTH(A6+1)=MONTH(A6),A6+1,"Totaal"))</f>
        <v>9865</v>
      </c>
      <c r="B7" s="21">
        <v>7670</v>
      </c>
      <c r="C7" s="25">
        <v>0</v>
      </c>
    </row>
    <row r="8" spans="1:3" x14ac:dyDescent="0.25">
      <c r="A8" s="1">
        <f t="shared" ca="1" si="0"/>
        <v>9866</v>
      </c>
      <c r="B8" s="21">
        <v>7670</v>
      </c>
      <c r="C8" s="23">
        <v>0</v>
      </c>
    </row>
    <row r="9" spans="1:3" x14ac:dyDescent="0.25">
      <c r="A9" s="1">
        <f t="shared" ca="1" si="0"/>
        <v>9867</v>
      </c>
      <c r="B9" s="21">
        <v>7675</v>
      </c>
      <c r="C9" s="23">
        <v>70</v>
      </c>
    </row>
    <row r="10" spans="1:3" x14ac:dyDescent="0.25">
      <c r="A10" s="1">
        <f t="shared" ca="1" si="0"/>
        <v>9868</v>
      </c>
      <c r="B10" s="21">
        <v>7670</v>
      </c>
      <c r="C10" s="23">
        <v>0</v>
      </c>
    </row>
    <row r="11" spans="1:3" x14ac:dyDescent="0.25">
      <c r="A11" s="1">
        <f t="shared" ca="1" si="0"/>
        <v>9869</v>
      </c>
      <c r="B11" s="21">
        <v>7660</v>
      </c>
      <c r="C11" s="23">
        <v>40</v>
      </c>
    </row>
    <row r="12" spans="1:3" x14ac:dyDescent="0.25">
      <c r="A12" s="1">
        <f t="shared" ca="1" si="0"/>
        <v>9870</v>
      </c>
      <c r="B12" s="21">
        <v>7655</v>
      </c>
      <c r="C12" s="23">
        <v>100</v>
      </c>
    </row>
    <row r="13" spans="1:3" x14ac:dyDescent="0.25">
      <c r="A13" s="1">
        <f t="shared" ca="1" si="0"/>
        <v>9871</v>
      </c>
      <c r="B13" s="21">
        <v>7645</v>
      </c>
      <c r="C13" s="23">
        <v>0</v>
      </c>
    </row>
    <row r="14" spans="1:3" x14ac:dyDescent="0.25">
      <c r="A14" s="1">
        <f t="shared" ca="1" si="0"/>
        <v>9872</v>
      </c>
      <c r="B14" s="21">
        <v>7645</v>
      </c>
      <c r="C14" s="23">
        <v>0</v>
      </c>
    </row>
    <row r="15" spans="1:3" x14ac:dyDescent="0.25">
      <c r="A15" s="1">
        <f t="shared" ca="1" si="0"/>
        <v>9873</v>
      </c>
      <c r="B15" s="21">
        <v>7650</v>
      </c>
      <c r="C15" s="23">
        <v>0</v>
      </c>
    </row>
    <row r="16" spans="1:3" x14ac:dyDescent="0.25">
      <c r="A16" s="1">
        <f t="shared" ca="1" si="0"/>
        <v>9874</v>
      </c>
      <c r="B16" s="21">
        <v>7645</v>
      </c>
      <c r="C16" s="23">
        <v>0</v>
      </c>
    </row>
    <row r="17" spans="1:3" x14ac:dyDescent="0.25">
      <c r="A17" s="1">
        <f t="shared" ca="1" si="0"/>
        <v>9875</v>
      </c>
      <c r="B17" s="21">
        <v>7655</v>
      </c>
      <c r="C17" s="23">
        <v>0</v>
      </c>
    </row>
    <row r="18" spans="1:3" x14ac:dyDescent="0.25">
      <c r="A18" s="1">
        <f t="shared" ca="1" si="0"/>
        <v>9876</v>
      </c>
      <c r="B18" s="21">
        <v>7645</v>
      </c>
      <c r="C18" s="23">
        <v>0</v>
      </c>
    </row>
    <row r="19" spans="1:3" x14ac:dyDescent="0.25">
      <c r="A19" s="1">
        <f t="shared" ca="1" si="0"/>
        <v>9877</v>
      </c>
      <c r="B19" s="21">
        <v>7650</v>
      </c>
      <c r="C19" s="23">
        <v>20</v>
      </c>
    </row>
    <row r="20" spans="1:3" x14ac:dyDescent="0.25">
      <c r="A20" s="1">
        <f t="shared" ca="1" si="0"/>
        <v>9878</v>
      </c>
      <c r="B20" s="21">
        <v>7650</v>
      </c>
      <c r="C20" s="23">
        <v>0</v>
      </c>
    </row>
    <row r="21" spans="1:3" x14ac:dyDescent="0.25">
      <c r="A21" s="1">
        <f t="shared" ca="1" si="0"/>
        <v>9879</v>
      </c>
      <c r="B21" s="21">
        <v>7655</v>
      </c>
      <c r="C21" s="23">
        <v>0</v>
      </c>
    </row>
    <row r="22" spans="1:3" x14ac:dyDescent="0.25">
      <c r="A22" s="1">
        <f t="shared" ca="1" si="0"/>
        <v>9880</v>
      </c>
      <c r="B22" s="21">
        <v>7655</v>
      </c>
      <c r="C22" s="23">
        <v>0</v>
      </c>
    </row>
    <row r="23" spans="1:3" x14ac:dyDescent="0.25">
      <c r="A23" s="1">
        <f t="shared" ca="1" si="0"/>
        <v>9881</v>
      </c>
      <c r="B23" s="21">
        <v>7650</v>
      </c>
      <c r="C23" s="23">
        <v>90</v>
      </c>
    </row>
    <row r="24" spans="1:3" x14ac:dyDescent="0.25">
      <c r="A24" s="1">
        <f t="shared" ca="1" si="0"/>
        <v>9882</v>
      </c>
      <c r="B24" s="21">
        <v>7655</v>
      </c>
      <c r="C24" s="23">
        <v>0</v>
      </c>
    </row>
    <row r="25" spans="1:3" x14ac:dyDescent="0.25">
      <c r="A25" s="1">
        <f t="shared" ca="1" si="0"/>
        <v>9883</v>
      </c>
      <c r="B25" s="21">
        <v>7660</v>
      </c>
      <c r="C25" s="23">
        <v>170</v>
      </c>
    </row>
    <row r="26" spans="1:3" x14ac:dyDescent="0.25">
      <c r="A26" s="1">
        <f t="shared" ca="1" si="0"/>
        <v>9884</v>
      </c>
      <c r="B26" s="21">
        <v>7665</v>
      </c>
      <c r="C26" s="23">
        <v>0</v>
      </c>
    </row>
    <row r="27" spans="1:3" x14ac:dyDescent="0.25">
      <c r="A27" s="1">
        <f t="shared" ca="1" si="0"/>
        <v>9885</v>
      </c>
      <c r="B27" s="21">
        <v>7665</v>
      </c>
      <c r="C27" s="23">
        <v>410</v>
      </c>
    </row>
    <row r="28" spans="1:3" x14ac:dyDescent="0.25">
      <c r="A28" s="1">
        <f t="shared" ca="1" si="0"/>
        <v>9886</v>
      </c>
      <c r="B28" s="21">
        <v>7665</v>
      </c>
      <c r="C28" s="23">
        <v>0</v>
      </c>
    </row>
    <row r="29" spans="1:3" x14ac:dyDescent="0.25">
      <c r="A29" s="1">
        <f t="shared" ca="1" si="0"/>
        <v>9887</v>
      </c>
      <c r="B29" s="21">
        <v>7660</v>
      </c>
      <c r="C29" s="23">
        <v>0</v>
      </c>
    </row>
    <row r="30" spans="1:3" x14ac:dyDescent="0.25">
      <c r="A30" s="1">
        <f t="shared" ca="1" si="0"/>
        <v>9888</v>
      </c>
      <c r="B30" s="21">
        <v>7660</v>
      </c>
      <c r="C30" s="23">
        <v>0</v>
      </c>
    </row>
    <row r="31" spans="1:3" x14ac:dyDescent="0.25">
      <c r="A31" s="1">
        <f t="shared" ca="1" si="0"/>
        <v>9889</v>
      </c>
      <c r="B31" s="21">
        <v>7665</v>
      </c>
      <c r="C31" s="23">
        <v>0</v>
      </c>
    </row>
    <row r="32" spans="1:3" x14ac:dyDescent="0.25">
      <c r="A32" s="1">
        <f t="shared" ca="1" si="0"/>
        <v>9890</v>
      </c>
      <c r="B32" s="21">
        <v>7660</v>
      </c>
      <c r="C32" s="23">
        <v>60</v>
      </c>
    </row>
    <row r="33" spans="1:3" x14ac:dyDescent="0.25">
      <c r="A33" s="1">
        <f t="shared" ca="1" si="0"/>
        <v>9891</v>
      </c>
      <c r="B33" s="21">
        <v>7660</v>
      </c>
      <c r="C33" s="23">
        <v>0</v>
      </c>
    </row>
    <row r="34" spans="1:3" x14ac:dyDescent="0.25">
      <c r="A34" s="1">
        <f t="shared" ca="1" si="0"/>
        <v>9892</v>
      </c>
      <c r="B34" s="21">
        <v>7655</v>
      </c>
      <c r="C34" s="23">
        <v>50</v>
      </c>
    </row>
    <row r="35" spans="1:3" x14ac:dyDescent="0.25">
      <c r="A35" s="1">
        <f t="shared" ca="1" si="0"/>
        <v>9893</v>
      </c>
      <c r="B35" s="21">
        <v>7660</v>
      </c>
      <c r="C35" s="23">
        <v>0</v>
      </c>
    </row>
    <row r="36" spans="1:3" x14ac:dyDescent="0.25">
      <c r="A36" s="1" t="str">
        <f t="shared" ca="1" si="0"/>
        <v>Totaal</v>
      </c>
      <c r="B36" s="22">
        <f>IF(COUNT(B5:B35)&gt;0,AVERAGE(B5:B35)/10,"")</f>
        <v>765.82258064516122</v>
      </c>
      <c r="C36" s="26">
        <f>SUM(C5:C35)/10</f>
        <v>101</v>
      </c>
    </row>
    <row r="37" spans="1:3" x14ac:dyDescent="0.25">
      <c r="A37" s="1">
        <f t="shared" ca="1" si="0"/>
        <v>9894</v>
      </c>
      <c r="B37" s="21">
        <v>7665</v>
      </c>
      <c r="C37" s="23">
        <v>0</v>
      </c>
    </row>
    <row r="38" spans="1:3" x14ac:dyDescent="0.25">
      <c r="A38" s="1">
        <f t="shared" ca="1" si="0"/>
        <v>9895</v>
      </c>
      <c r="B38" s="21">
        <v>7655</v>
      </c>
      <c r="C38" s="23">
        <v>0</v>
      </c>
    </row>
    <row r="39" spans="1:3" x14ac:dyDescent="0.25">
      <c r="A39" s="1">
        <f t="shared" ca="1" si="0"/>
        <v>9896</v>
      </c>
      <c r="B39" s="21">
        <v>7660</v>
      </c>
      <c r="C39" s="23">
        <v>0</v>
      </c>
    </row>
    <row r="40" spans="1:3" x14ac:dyDescent="0.25">
      <c r="A40" s="1">
        <f t="shared" ca="1" si="0"/>
        <v>9897</v>
      </c>
      <c r="B40" s="21">
        <v>7665</v>
      </c>
      <c r="C40" s="23">
        <v>0</v>
      </c>
    </row>
    <row r="41" spans="1:3" x14ac:dyDescent="0.25">
      <c r="A41" s="1">
        <f t="shared" ca="1" si="0"/>
        <v>9898</v>
      </c>
      <c r="B41" s="21">
        <v>7670</v>
      </c>
      <c r="C41" s="23">
        <v>30</v>
      </c>
    </row>
    <row r="42" spans="1:3" x14ac:dyDescent="0.25">
      <c r="A42" s="1">
        <f t="shared" ca="1" si="0"/>
        <v>9899</v>
      </c>
      <c r="B42" s="21">
        <v>7660</v>
      </c>
      <c r="C42" s="23">
        <v>50</v>
      </c>
    </row>
    <row r="43" spans="1:3" x14ac:dyDescent="0.25">
      <c r="A43" s="1">
        <f t="shared" ca="1" si="0"/>
        <v>9900</v>
      </c>
      <c r="B43" s="21">
        <v>7670</v>
      </c>
      <c r="C43" s="23">
        <v>10</v>
      </c>
    </row>
    <row r="44" spans="1:3" x14ac:dyDescent="0.25">
      <c r="A44" s="1">
        <f t="shared" ca="1" si="0"/>
        <v>9901</v>
      </c>
      <c r="B44" s="21">
        <v>7670</v>
      </c>
      <c r="C44" s="23">
        <v>15</v>
      </c>
    </row>
    <row r="45" spans="1:3" x14ac:dyDescent="0.25">
      <c r="A45" s="1">
        <f t="shared" ca="1" si="0"/>
        <v>9902</v>
      </c>
      <c r="B45" s="21">
        <v>7675</v>
      </c>
      <c r="C45" s="23">
        <v>10</v>
      </c>
    </row>
    <row r="46" spans="1:3" x14ac:dyDescent="0.25">
      <c r="A46" s="1">
        <f t="shared" ca="1" si="0"/>
        <v>9903</v>
      </c>
      <c r="B46" s="21">
        <v>7665</v>
      </c>
      <c r="C46" s="23">
        <v>35</v>
      </c>
    </row>
    <row r="47" spans="1:3" x14ac:dyDescent="0.25">
      <c r="A47" s="1">
        <f t="shared" ca="1" si="0"/>
        <v>9904</v>
      </c>
      <c r="B47" s="21">
        <v>7665</v>
      </c>
      <c r="C47" s="23">
        <v>25</v>
      </c>
    </row>
    <row r="48" spans="1:3" x14ac:dyDescent="0.25">
      <c r="A48" s="1">
        <f t="shared" ca="1" si="0"/>
        <v>9905</v>
      </c>
      <c r="B48" s="21">
        <v>7680</v>
      </c>
      <c r="C48" s="23">
        <v>15</v>
      </c>
    </row>
    <row r="49" spans="1:3" x14ac:dyDescent="0.25">
      <c r="A49" s="1">
        <f t="shared" ca="1" si="0"/>
        <v>9906</v>
      </c>
      <c r="B49" s="21">
        <v>7680</v>
      </c>
      <c r="C49" s="23">
        <v>0</v>
      </c>
    </row>
    <row r="50" spans="1:3" x14ac:dyDescent="0.25">
      <c r="A50" s="1">
        <f t="shared" ca="1" si="0"/>
        <v>9907</v>
      </c>
      <c r="B50" s="21">
        <v>7680</v>
      </c>
      <c r="C50" s="23">
        <v>0</v>
      </c>
    </row>
    <row r="51" spans="1:3" x14ac:dyDescent="0.25">
      <c r="A51" s="1">
        <f t="shared" ca="1" si="0"/>
        <v>9908</v>
      </c>
      <c r="B51" s="21">
        <v>7670</v>
      </c>
      <c r="C51" s="23">
        <v>0</v>
      </c>
    </row>
    <row r="52" spans="1:3" x14ac:dyDescent="0.25">
      <c r="A52" s="1">
        <f t="shared" ca="1" si="0"/>
        <v>9909</v>
      </c>
      <c r="B52" s="21">
        <v>7680</v>
      </c>
      <c r="C52" s="23">
        <v>0</v>
      </c>
    </row>
    <row r="53" spans="1:3" x14ac:dyDescent="0.25">
      <c r="A53" s="1">
        <f t="shared" ca="1" si="0"/>
        <v>9910</v>
      </c>
      <c r="B53" s="21">
        <v>7670</v>
      </c>
      <c r="C53" s="23">
        <v>0</v>
      </c>
    </row>
    <row r="54" spans="1:3" x14ac:dyDescent="0.25">
      <c r="A54" s="1">
        <f t="shared" ca="1" si="0"/>
        <v>9911</v>
      </c>
      <c r="B54" s="21">
        <v>7675</v>
      </c>
      <c r="C54" s="23">
        <v>0</v>
      </c>
    </row>
    <row r="55" spans="1:3" x14ac:dyDescent="0.25">
      <c r="A55" s="1">
        <f t="shared" ca="1" si="0"/>
        <v>9912</v>
      </c>
      <c r="B55" s="21">
        <v>7675</v>
      </c>
      <c r="C55" s="23">
        <v>0</v>
      </c>
    </row>
    <row r="56" spans="1:3" x14ac:dyDescent="0.25">
      <c r="A56" s="1">
        <f t="shared" ca="1" si="0"/>
        <v>9913</v>
      </c>
      <c r="B56" s="21">
        <v>7685</v>
      </c>
      <c r="C56" s="23">
        <v>0</v>
      </c>
    </row>
    <row r="57" spans="1:3" x14ac:dyDescent="0.25">
      <c r="A57" s="1">
        <f t="shared" ca="1" si="0"/>
        <v>9914</v>
      </c>
      <c r="B57" s="21">
        <v>7680</v>
      </c>
      <c r="C57" s="23">
        <v>0</v>
      </c>
    </row>
    <row r="58" spans="1:3" x14ac:dyDescent="0.25">
      <c r="A58" s="1">
        <f t="shared" ca="1" si="0"/>
        <v>9915</v>
      </c>
      <c r="B58" s="21">
        <v>7680</v>
      </c>
      <c r="C58" s="23">
        <v>0</v>
      </c>
    </row>
    <row r="59" spans="1:3" x14ac:dyDescent="0.25">
      <c r="A59" s="1">
        <f t="shared" ca="1" si="0"/>
        <v>9916</v>
      </c>
      <c r="B59" s="21">
        <v>7680</v>
      </c>
      <c r="C59" s="23">
        <v>0</v>
      </c>
    </row>
    <row r="60" spans="1:3" x14ac:dyDescent="0.25">
      <c r="A60" s="1">
        <f t="shared" ca="1" si="0"/>
        <v>9917</v>
      </c>
      <c r="B60" s="21">
        <v>7675</v>
      </c>
      <c r="C60" s="23">
        <v>0</v>
      </c>
    </row>
    <row r="61" spans="1:3" x14ac:dyDescent="0.25">
      <c r="A61" s="1">
        <f t="shared" ca="1" si="0"/>
        <v>9918</v>
      </c>
      <c r="B61" s="21">
        <v>7670</v>
      </c>
      <c r="C61" s="23">
        <v>0</v>
      </c>
    </row>
    <row r="62" spans="1:3" x14ac:dyDescent="0.25">
      <c r="A62" s="1">
        <f t="shared" ca="1" si="0"/>
        <v>9919</v>
      </c>
      <c r="B62" s="21">
        <v>7665</v>
      </c>
      <c r="C62" s="23">
        <v>0</v>
      </c>
    </row>
    <row r="63" spans="1:3" x14ac:dyDescent="0.25">
      <c r="A63" s="1">
        <f t="shared" ca="1" si="0"/>
        <v>9920</v>
      </c>
      <c r="B63" s="21">
        <v>7670</v>
      </c>
      <c r="C63" s="23">
        <v>0</v>
      </c>
    </row>
    <row r="64" spans="1:3" x14ac:dyDescent="0.25">
      <c r="A64" s="1">
        <f t="shared" ca="1" si="0"/>
        <v>9921</v>
      </c>
      <c r="B64" s="21">
        <v>7675</v>
      </c>
      <c r="C64" s="23">
        <v>0</v>
      </c>
    </row>
    <row r="65" spans="1:3" x14ac:dyDescent="0.25">
      <c r="A65" s="1" t="str">
        <f t="shared" ca="1" si="0"/>
        <v>Totaal</v>
      </c>
      <c r="B65" s="22">
        <f>IF(COUNT(B37:B64)&gt;0,AVERAGE(B37:B64)/10,"")</f>
        <v>767.17857142857144</v>
      </c>
      <c r="C65" s="26">
        <f>SUM(C37:C64)/10</f>
        <v>19</v>
      </c>
    </row>
    <row r="66" spans="1:3" x14ac:dyDescent="0.25">
      <c r="A66" s="1">
        <f t="shared" ca="1" si="0"/>
        <v>9922</v>
      </c>
      <c r="B66" s="21">
        <v>7670</v>
      </c>
      <c r="C66" s="23">
        <v>0</v>
      </c>
    </row>
    <row r="67" spans="1:3" x14ac:dyDescent="0.25">
      <c r="A67" s="1">
        <f t="shared" ca="1" si="0"/>
        <v>9923</v>
      </c>
      <c r="B67" s="21">
        <v>7675</v>
      </c>
      <c r="C67" s="23">
        <v>0</v>
      </c>
    </row>
    <row r="68" spans="1:3" x14ac:dyDescent="0.25">
      <c r="A68" s="1">
        <f t="shared" ca="1" si="0"/>
        <v>9924</v>
      </c>
      <c r="B68" s="21">
        <v>7670</v>
      </c>
      <c r="C68" s="23">
        <v>0</v>
      </c>
    </row>
    <row r="69" spans="1:3" x14ac:dyDescent="0.25">
      <c r="A69" s="1">
        <f t="shared" ca="1" si="0"/>
        <v>9925</v>
      </c>
      <c r="B69" s="21">
        <v>7675</v>
      </c>
      <c r="C69" s="23">
        <v>0</v>
      </c>
    </row>
    <row r="70" spans="1:3" x14ac:dyDescent="0.25">
      <c r="A70" s="1">
        <f t="shared" ca="1" si="0"/>
        <v>9926</v>
      </c>
      <c r="B70" s="21">
        <v>7685</v>
      </c>
      <c r="C70" s="23">
        <v>0</v>
      </c>
    </row>
    <row r="71" spans="1:3" x14ac:dyDescent="0.25">
      <c r="A71" s="1">
        <f t="shared" ref="A71:A134" ca="1" si="1">IF(ISTEXT(A70),A69+1,IF(MONTH(A70+1)=MONTH(A70),A70+1,"Totaal"))</f>
        <v>9927</v>
      </c>
      <c r="B71" s="21">
        <v>7680</v>
      </c>
      <c r="C71" s="23">
        <v>0</v>
      </c>
    </row>
    <row r="72" spans="1:3" x14ac:dyDescent="0.25">
      <c r="A72" s="1">
        <f t="shared" ca="1" si="1"/>
        <v>9928</v>
      </c>
      <c r="B72" s="21">
        <v>7675</v>
      </c>
      <c r="C72" s="23">
        <v>40</v>
      </c>
    </row>
    <row r="73" spans="1:3" x14ac:dyDescent="0.25">
      <c r="A73" s="1">
        <f t="shared" ca="1" si="1"/>
        <v>9929</v>
      </c>
      <c r="B73" s="21">
        <v>7670</v>
      </c>
      <c r="C73" s="23">
        <v>50</v>
      </c>
    </row>
    <row r="74" spans="1:3" x14ac:dyDescent="0.25">
      <c r="A74" s="1">
        <f t="shared" ca="1" si="1"/>
        <v>9930</v>
      </c>
      <c r="B74" s="21">
        <v>7670</v>
      </c>
      <c r="C74" s="23">
        <v>0</v>
      </c>
    </row>
    <row r="75" spans="1:3" x14ac:dyDescent="0.25">
      <c r="A75" s="1">
        <f t="shared" ca="1" si="1"/>
        <v>9931</v>
      </c>
      <c r="B75" s="21">
        <v>7670</v>
      </c>
      <c r="C75" s="23">
        <v>0</v>
      </c>
    </row>
    <row r="76" spans="1:3" x14ac:dyDescent="0.25">
      <c r="A76" s="1">
        <f t="shared" ca="1" si="1"/>
        <v>9932</v>
      </c>
      <c r="B76" s="21">
        <v>7670</v>
      </c>
      <c r="C76" s="23">
        <v>0</v>
      </c>
    </row>
    <row r="77" spans="1:3" x14ac:dyDescent="0.25">
      <c r="A77" s="1">
        <f t="shared" ca="1" si="1"/>
        <v>9933</v>
      </c>
      <c r="B77" s="21">
        <v>7655</v>
      </c>
      <c r="C77" s="23">
        <v>0</v>
      </c>
    </row>
    <row r="78" spans="1:3" x14ac:dyDescent="0.25">
      <c r="A78" s="1">
        <f t="shared" ca="1" si="1"/>
        <v>9934</v>
      </c>
      <c r="B78" s="21">
        <v>7650</v>
      </c>
      <c r="C78" s="23">
        <v>0</v>
      </c>
    </row>
    <row r="79" spans="1:3" x14ac:dyDescent="0.25">
      <c r="A79" s="1">
        <f t="shared" ca="1" si="1"/>
        <v>9935</v>
      </c>
      <c r="B79" s="21">
        <v>7665</v>
      </c>
      <c r="C79" s="23">
        <v>0</v>
      </c>
    </row>
    <row r="80" spans="1:3" x14ac:dyDescent="0.25">
      <c r="A80" s="1">
        <f t="shared" ca="1" si="1"/>
        <v>9936</v>
      </c>
      <c r="B80" s="21">
        <v>7655</v>
      </c>
      <c r="C80" s="23">
        <v>0</v>
      </c>
    </row>
    <row r="81" spans="1:3" x14ac:dyDescent="0.25">
      <c r="A81" s="1">
        <f t="shared" ca="1" si="1"/>
        <v>9937</v>
      </c>
      <c r="B81" s="21">
        <v>7650</v>
      </c>
      <c r="C81" s="23">
        <v>0</v>
      </c>
    </row>
    <row r="82" spans="1:3" x14ac:dyDescent="0.25">
      <c r="A82" s="1">
        <f t="shared" ca="1" si="1"/>
        <v>9938</v>
      </c>
      <c r="B82" s="21">
        <v>7670</v>
      </c>
      <c r="C82" s="23">
        <v>0</v>
      </c>
    </row>
    <row r="83" spans="1:3" x14ac:dyDescent="0.25">
      <c r="A83" s="1">
        <f t="shared" ca="1" si="1"/>
        <v>9939</v>
      </c>
      <c r="B83" s="21">
        <v>7665</v>
      </c>
      <c r="C83" s="23">
        <v>0</v>
      </c>
    </row>
    <row r="84" spans="1:3" x14ac:dyDescent="0.25">
      <c r="A84" s="1">
        <f t="shared" ca="1" si="1"/>
        <v>9940</v>
      </c>
      <c r="B84" s="21">
        <v>7660</v>
      </c>
      <c r="C84" s="23">
        <v>0</v>
      </c>
    </row>
    <row r="85" spans="1:3" x14ac:dyDescent="0.25">
      <c r="A85" s="1">
        <f t="shared" ca="1" si="1"/>
        <v>9941</v>
      </c>
      <c r="B85" s="21">
        <v>7660</v>
      </c>
      <c r="C85" s="23">
        <v>0</v>
      </c>
    </row>
    <row r="86" spans="1:3" x14ac:dyDescent="0.25">
      <c r="A86" s="1">
        <f t="shared" ca="1" si="1"/>
        <v>9942</v>
      </c>
      <c r="B86" s="21">
        <v>7650</v>
      </c>
      <c r="C86" s="23">
        <v>0</v>
      </c>
    </row>
    <row r="87" spans="1:3" x14ac:dyDescent="0.25">
      <c r="A87" s="1">
        <f t="shared" ca="1" si="1"/>
        <v>9943</v>
      </c>
      <c r="B87" s="21">
        <v>7660</v>
      </c>
      <c r="C87" s="23">
        <v>0</v>
      </c>
    </row>
    <row r="88" spans="1:3" x14ac:dyDescent="0.25">
      <c r="A88" s="1">
        <f t="shared" ca="1" si="1"/>
        <v>9944</v>
      </c>
      <c r="B88" s="21">
        <v>7650</v>
      </c>
      <c r="C88" s="23">
        <v>0</v>
      </c>
    </row>
    <row r="89" spans="1:3" x14ac:dyDescent="0.25">
      <c r="A89" s="1">
        <f t="shared" ca="1" si="1"/>
        <v>9945</v>
      </c>
      <c r="B89" s="21">
        <v>7665</v>
      </c>
      <c r="C89" s="23">
        <v>0</v>
      </c>
    </row>
    <row r="90" spans="1:3" x14ac:dyDescent="0.25">
      <c r="A90" s="1">
        <f t="shared" ca="1" si="1"/>
        <v>9946</v>
      </c>
      <c r="B90" s="21">
        <v>7665</v>
      </c>
      <c r="C90" s="23">
        <v>0</v>
      </c>
    </row>
    <row r="91" spans="1:3" x14ac:dyDescent="0.25">
      <c r="A91" s="1">
        <f t="shared" ca="1" si="1"/>
        <v>9947</v>
      </c>
      <c r="B91" s="21">
        <v>7670</v>
      </c>
      <c r="C91" s="23">
        <v>0</v>
      </c>
    </row>
    <row r="92" spans="1:3" x14ac:dyDescent="0.25">
      <c r="A92" s="1">
        <f t="shared" ca="1" si="1"/>
        <v>9948</v>
      </c>
      <c r="B92" s="21">
        <v>7665</v>
      </c>
      <c r="C92" s="23">
        <v>0</v>
      </c>
    </row>
    <row r="93" spans="1:3" x14ac:dyDescent="0.25">
      <c r="A93" s="1">
        <f t="shared" ca="1" si="1"/>
        <v>9949</v>
      </c>
      <c r="B93" s="21">
        <v>7670</v>
      </c>
      <c r="C93" s="23">
        <v>0</v>
      </c>
    </row>
    <row r="94" spans="1:3" x14ac:dyDescent="0.25">
      <c r="A94" s="1">
        <f t="shared" ca="1" si="1"/>
        <v>9950</v>
      </c>
      <c r="B94" s="21">
        <v>7665</v>
      </c>
      <c r="C94" s="23">
        <v>0</v>
      </c>
    </row>
    <row r="95" spans="1:3" x14ac:dyDescent="0.25">
      <c r="A95" s="1">
        <f t="shared" ca="1" si="1"/>
        <v>9951</v>
      </c>
      <c r="B95" s="21">
        <v>7660</v>
      </c>
      <c r="C95" s="23">
        <v>0</v>
      </c>
    </row>
    <row r="96" spans="1:3" x14ac:dyDescent="0.25">
      <c r="A96" s="1">
        <f t="shared" ca="1" si="1"/>
        <v>9952</v>
      </c>
      <c r="B96" s="21">
        <v>7660</v>
      </c>
      <c r="C96" s="23">
        <v>0</v>
      </c>
    </row>
    <row r="97" spans="1:3" x14ac:dyDescent="0.25">
      <c r="A97" s="1" t="str">
        <f t="shared" ca="1" si="1"/>
        <v>Totaal</v>
      </c>
      <c r="B97" s="22">
        <f>IF(COUNT(B66:B96)&gt;0,AVERAGE(B66:B96)/10,"")</f>
        <v>766.51612903225805</v>
      </c>
      <c r="C97" s="26">
        <f>SUM(C66:C96)/10</f>
        <v>9</v>
      </c>
    </row>
    <row r="98" spans="1:3" x14ac:dyDescent="0.25">
      <c r="A98" s="1">
        <f t="shared" ca="1" si="1"/>
        <v>9953</v>
      </c>
      <c r="B98" s="21">
        <v>7660</v>
      </c>
      <c r="C98" s="23">
        <v>0</v>
      </c>
    </row>
    <row r="99" spans="1:3" x14ac:dyDescent="0.25">
      <c r="A99" s="1">
        <f t="shared" ca="1" si="1"/>
        <v>9954</v>
      </c>
      <c r="B99" s="21">
        <v>7660</v>
      </c>
      <c r="C99" s="23">
        <v>0</v>
      </c>
    </row>
    <row r="100" spans="1:3" x14ac:dyDescent="0.25">
      <c r="A100" s="1">
        <f t="shared" ca="1" si="1"/>
        <v>9955</v>
      </c>
      <c r="B100" s="21">
        <v>7660</v>
      </c>
      <c r="C100" s="23">
        <v>0</v>
      </c>
    </row>
    <row r="101" spans="1:3" x14ac:dyDescent="0.25">
      <c r="A101" s="1">
        <f t="shared" ca="1" si="1"/>
        <v>9956</v>
      </c>
      <c r="B101" s="21">
        <v>7655</v>
      </c>
      <c r="C101" s="23">
        <v>0</v>
      </c>
    </row>
    <row r="102" spans="1:3" x14ac:dyDescent="0.25">
      <c r="A102" s="1">
        <f t="shared" ca="1" si="1"/>
        <v>9957</v>
      </c>
      <c r="B102" s="21">
        <v>7655</v>
      </c>
      <c r="C102" s="23">
        <v>0</v>
      </c>
    </row>
    <row r="103" spans="1:3" x14ac:dyDescent="0.25">
      <c r="A103" s="1">
        <f t="shared" ca="1" si="1"/>
        <v>9958</v>
      </c>
      <c r="B103" s="21">
        <v>7650</v>
      </c>
      <c r="C103" s="23">
        <v>0</v>
      </c>
    </row>
    <row r="104" spans="1:3" x14ac:dyDescent="0.25">
      <c r="A104" s="1">
        <f t="shared" ca="1" si="1"/>
        <v>9959</v>
      </c>
      <c r="B104" s="21">
        <v>7650</v>
      </c>
      <c r="C104" s="23">
        <v>0</v>
      </c>
    </row>
    <row r="105" spans="1:3" x14ac:dyDescent="0.25">
      <c r="A105" s="1">
        <f t="shared" ca="1" si="1"/>
        <v>9960</v>
      </c>
      <c r="B105" s="21">
        <v>7650</v>
      </c>
      <c r="C105" s="23">
        <v>0</v>
      </c>
    </row>
    <row r="106" spans="1:3" x14ac:dyDescent="0.25">
      <c r="A106" s="1">
        <f t="shared" ca="1" si="1"/>
        <v>9961</v>
      </c>
      <c r="B106" s="21">
        <v>7640</v>
      </c>
      <c r="C106" s="23">
        <v>0</v>
      </c>
    </row>
    <row r="107" spans="1:3" x14ac:dyDescent="0.25">
      <c r="A107" s="1">
        <f t="shared" ca="1" si="1"/>
        <v>9962</v>
      </c>
      <c r="B107" s="21">
        <v>7635</v>
      </c>
      <c r="C107" s="23">
        <v>0</v>
      </c>
    </row>
    <row r="108" spans="1:3" x14ac:dyDescent="0.25">
      <c r="A108" s="1">
        <f t="shared" ca="1" si="1"/>
        <v>9963</v>
      </c>
      <c r="B108" s="21">
        <v>7635</v>
      </c>
      <c r="C108" s="23">
        <v>0</v>
      </c>
    </row>
    <row r="109" spans="1:3" x14ac:dyDescent="0.25">
      <c r="A109" s="1">
        <f t="shared" ca="1" si="1"/>
        <v>9964</v>
      </c>
      <c r="B109" s="21">
        <v>7645</v>
      </c>
      <c r="C109" s="23">
        <v>0</v>
      </c>
    </row>
    <row r="110" spans="1:3" x14ac:dyDescent="0.25">
      <c r="A110" s="1">
        <f t="shared" ca="1" si="1"/>
        <v>9965</v>
      </c>
      <c r="B110" s="21">
        <v>7645</v>
      </c>
      <c r="C110" s="23">
        <v>0</v>
      </c>
    </row>
    <row r="111" spans="1:3" x14ac:dyDescent="0.25">
      <c r="A111" s="1">
        <f t="shared" ca="1" si="1"/>
        <v>9966</v>
      </c>
      <c r="B111" s="21">
        <v>7655</v>
      </c>
      <c r="C111" s="23">
        <v>40</v>
      </c>
    </row>
    <row r="112" spans="1:3" x14ac:dyDescent="0.25">
      <c r="A112" s="1">
        <f t="shared" ca="1" si="1"/>
        <v>9967</v>
      </c>
      <c r="B112" s="21">
        <v>7650</v>
      </c>
      <c r="C112" s="23">
        <v>0</v>
      </c>
    </row>
    <row r="113" spans="1:3" x14ac:dyDescent="0.25">
      <c r="A113" s="1">
        <f t="shared" ca="1" si="1"/>
        <v>9968</v>
      </c>
      <c r="B113" s="21">
        <v>7650</v>
      </c>
      <c r="C113" s="23">
        <v>0</v>
      </c>
    </row>
    <row r="114" spans="1:3" x14ac:dyDescent="0.25">
      <c r="A114" s="1">
        <f t="shared" ca="1" si="1"/>
        <v>9969</v>
      </c>
      <c r="B114" s="21">
        <v>7645</v>
      </c>
      <c r="C114" s="23">
        <v>0</v>
      </c>
    </row>
    <row r="115" spans="1:3" x14ac:dyDescent="0.25">
      <c r="A115" s="1">
        <f t="shared" ca="1" si="1"/>
        <v>9970</v>
      </c>
      <c r="B115" s="21">
        <v>7645</v>
      </c>
      <c r="C115" s="23">
        <v>0</v>
      </c>
    </row>
    <row r="116" spans="1:3" x14ac:dyDescent="0.25">
      <c r="A116" s="1">
        <f t="shared" ca="1" si="1"/>
        <v>9971</v>
      </c>
      <c r="B116" s="21">
        <v>7650</v>
      </c>
      <c r="C116" s="23">
        <v>0</v>
      </c>
    </row>
    <row r="117" spans="1:3" x14ac:dyDescent="0.25">
      <c r="A117" s="1">
        <f t="shared" ca="1" si="1"/>
        <v>9972</v>
      </c>
      <c r="B117" s="21">
        <v>7645</v>
      </c>
      <c r="C117" s="23">
        <v>0</v>
      </c>
    </row>
    <row r="118" spans="1:3" x14ac:dyDescent="0.25">
      <c r="A118" s="1">
        <f t="shared" ca="1" si="1"/>
        <v>9973</v>
      </c>
      <c r="B118" s="21">
        <v>7655</v>
      </c>
      <c r="C118" s="23">
        <v>0</v>
      </c>
    </row>
    <row r="119" spans="1:3" x14ac:dyDescent="0.25">
      <c r="A119" s="1">
        <f t="shared" ca="1" si="1"/>
        <v>9974</v>
      </c>
      <c r="B119" s="21">
        <v>7655</v>
      </c>
      <c r="C119" s="23">
        <v>0</v>
      </c>
    </row>
    <row r="120" spans="1:3" x14ac:dyDescent="0.25">
      <c r="A120" s="1">
        <f t="shared" ca="1" si="1"/>
        <v>9975</v>
      </c>
      <c r="B120" s="21">
        <v>7645</v>
      </c>
      <c r="C120" s="23">
        <v>160</v>
      </c>
    </row>
    <row r="121" spans="1:3" x14ac:dyDescent="0.25">
      <c r="A121" s="1">
        <f t="shared" ca="1" si="1"/>
        <v>9976</v>
      </c>
      <c r="B121" s="21">
        <v>7655</v>
      </c>
      <c r="C121" s="23">
        <v>590</v>
      </c>
    </row>
    <row r="122" spans="1:3" x14ac:dyDescent="0.25">
      <c r="A122" s="1">
        <f t="shared" ca="1" si="1"/>
        <v>9977</v>
      </c>
      <c r="B122" s="21">
        <v>7650</v>
      </c>
      <c r="C122" s="23">
        <v>0</v>
      </c>
    </row>
    <row r="123" spans="1:3" x14ac:dyDescent="0.25">
      <c r="A123" s="1">
        <f t="shared" ca="1" si="1"/>
        <v>9978</v>
      </c>
      <c r="B123" s="21">
        <v>7650</v>
      </c>
      <c r="C123" s="23">
        <v>0</v>
      </c>
    </row>
    <row r="124" spans="1:3" x14ac:dyDescent="0.25">
      <c r="A124" s="1">
        <f t="shared" ca="1" si="1"/>
        <v>9979</v>
      </c>
      <c r="B124" s="21">
        <v>7640</v>
      </c>
      <c r="C124" s="23">
        <v>0</v>
      </c>
    </row>
    <row r="125" spans="1:3" x14ac:dyDescent="0.25">
      <c r="A125" s="1">
        <f t="shared" ca="1" si="1"/>
        <v>9980</v>
      </c>
      <c r="B125" s="21">
        <v>7640</v>
      </c>
      <c r="C125" s="23">
        <v>0</v>
      </c>
    </row>
    <row r="126" spans="1:3" x14ac:dyDescent="0.25">
      <c r="A126" s="1">
        <f t="shared" ca="1" si="1"/>
        <v>9981</v>
      </c>
      <c r="B126" s="21">
        <v>7645</v>
      </c>
      <c r="C126" s="23">
        <v>0</v>
      </c>
    </row>
    <row r="127" spans="1:3" x14ac:dyDescent="0.25">
      <c r="A127" s="1">
        <f t="shared" ca="1" si="1"/>
        <v>9982</v>
      </c>
      <c r="B127" s="21">
        <v>7650</v>
      </c>
      <c r="C127" s="23">
        <v>0</v>
      </c>
    </row>
    <row r="128" spans="1:3" x14ac:dyDescent="0.25">
      <c r="A128" s="1" t="str">
        <f t="shared" ca="1" si="1"/>
        <v>Totaal</v>
      </c>
      <c r="B128" s="22">
        <f>IF(COUNT(B98:B127)&gt;0,AVERAGE(B98:B127)/10,"")</f>
        <v>764.88333333333333</v>
      </c>
      <c r="C128" s="26">
        <f>SUM(C98:C127)/10</f>
        <v>79</v>
      </c>
    </row>
    <row r="129" spans="1:3" x14ac:dyDescent="0.25">
      <c r="A129" s="1">
        <f t="shared" ca="1" si="1"/>
        <v>9983</v>
      </c>
      <c r="B129" s="21">
        <v>7645</v>
      </c>
      <c r="C129" s="23">
        <v>0</v>
      </c>
    </row>
    <row r="130" spans="1:3" x14ac:dyDescent="0.25">
      <c r="A130" s="1">
        <f t="shared" ca="1" si="1"/>
        <v>9984</v>
      </c>
      <c r="B130" s="21">
        <v>7645</v>
      </c>
      <c r="C130" s="23">
        <v>0</v>
      </c>
    </row>
    <row r="131" spans="1:3" x14ac:dyDescent="0.25">
      <c r="A131" s="1">
        <f t="shared" ca="1" si="1"/>
        <v>9985</v>
      </c>
      <c r="B131" s="21">
        <v>7650</v>
      </c>
      <c r="C131" s="23">
        <v>0</v>
      </c>
    </row>
    <row r="132" spans="1:3" x14ac:dyDescent="0.25">
      <c r="A132" s="1">
        <f t="shared" ca="1" si="1"/>
        <v>9986</v>
      </c>
      <c r="B132" s="21">
        <v>7660</v>
      </c>
      <c r="C132" s="23">
        <v>0</v>
      </c>
    </row>
    <row r="133" spans="1:3" x14ac:dyDescent="0.25">
      <c r="A133" s="1">
        <f t="shared" ca="1" si="1"/>
        <v>9987</v>
      </c>
      <c r="B133" s="21">
        <v>7655</v>
      </c>
      <c r="C133" s="23">
        <v>0</v>
      </c>
    </row>
    <row r="134" spans="1:3" x14ac:dyDescent="0.25">
      <c r="A134" s="1">
        <f t="shared" ca="1" si="1"/>
        <v>9988</v>
      </c>
      <c r="B134" s="21">
        <v>7650</v>
      </c>
      <c r="C134" s="23">
        <v>0</v>
      </c>
    </row>
    <row r="135" spans="1:3" x14ac:dyDescent="0.25">
      <c r="A135" s="1">
        <f t="shared" ref="A135:A198" ca="1" si="2">IF(ISTEXT(A134),A133+1,IF(MONTH(A134+1)=MONTH(A134),A134+1,"Totaal"))</f>
        <v>9989</v>
      </c>
      <c r="B135" s="21">
        <v>7645</v>
      </c>
      <c r="C135" s="23">
        <v>0</v>
      </c>
    </row>
    <row r="136" spans="1:3" x14ac:dyDescent="0.25">
      <c r="A136" s="1">
        <f t="shared" ca="1" si="2"/>
        <v>9990</v>
      </c>
      <c r="B136" s="21">
        <v>7655</v>
      </c>
      <c r="C136" s="23">
        <v>0</v>
      </c>
    </row>
    <row r="137" spans="1:3" x14ac:dyDescent="0.25">
      <c r="A137" s="1">
        <f t="shared" ca="1" si="2"/>
        <v>9991</v>
      </c>
      <c r="B137" s="21">
        <v>7650</v>
      </c>
      <c r="C137" s="23">
        <v>0</v>
      </c>
    </row>
    <row r="138" spans="1:3" x14ac:dyDescent="0.25">
      <c r="A138" s="1">
        <f t="shared" ca="1" si="2"/>
        <v>9992</v>
      </c>
      <c r="B138" s="21">
        <v>7650</v>
      </c>
      <c r="C138" s="23">
        <v>0</v>
      </c>
    </row>
    <row r="139" spans="1:3" x14ac:dyDescent="0.25">
      <c r="A139" s="1">
        <f t="shared" ca="1" si="2"/>
        <v>9993</v>
      </c>
      <c r="B139" s="21">
        <v>7650</v>
      </c>
      <c r="C139" s="23">
        <v>0</v>
      </c>
    </row>
    <row r="140" spans="1:3" x14ac:dyDescent="0.25">
      <c r="A140" s="1">
        <f t="shared" ca="1" si="2"/>
        <v>9994</v>
      </c>
      <c r="B140" s="21">
        <v>7665</v>
      </c>
      <c r="C140" s="23">
        <v>0</v>
      </c>
    </row>
    <row r="141" spans="1:3" x14ac:dyDescent="0.25">
      <c r="A141" s="1">
        <f t="shared" ca="1" si="2"/>
        <v>9995</v>
      </c>
      <c r="B141" s="21">
        <v>7670</v>
      </c>
      <c r="C141" s="23">
        <v>0</v>
      </c>
    </row>
    <row r="142" spans="1:3" x14ac:dyDescent="0.25">
      <c r="A142" s="1">
        <f t="shared" ca="1" si="2"/>
        <v>9996</v>
      </c>
      <c r="B142" s="21">
        <v>7660</v>
      </c>
      <c r="C142" s="23">
        <v>0</v>
      </c>
    </row>
    <row r="143" spans="1:3" x14ac:dyDescent="0.25">
      <c r="A143" s="1">
        <f t="shared" ca="1" si="2"/>
        <v>9997</v>
      </c>
      <c r="B143" s="21">
        <v>7655</v>
      </c>
      <c r="C143" s="23">
        <v>0</v>
      </c>
    </row>
    <row r="144" spans="1:3" x14ac:dyDescent="0.25">
      <c r="A144" s="1">
        <f t="shared" ca="1" si="2"/>
        <v>9998</v>
      </c>
      <c r="B144" s="21">
        <v>7660</v>
      </c>
      <c r="C144" s="23">
        <v>0</v>
      </c>
    </row>
    <row r="145" spans="1:3" x14ac:dyDescent="0.25">
      <c r="A145" s="1">
        <f t="shared" ca="1" si="2"/>
        <v>9999</v>
      </c>
      <c r="B145" s="21">
        <v>7650</v>
      </c>
      <c r="C145" s="23">
        <v>0</v>
      </c>
    </row>
    <row r="146" spans="1:3" x14ac:dyDescent="0.25">
      <c r="A146" s="1">
        <f t="shared" ca="1" si="2"/>
        <v>10000</v>
      </c>
      <c r="B146" s="21">
        <v>7655</v>
      </c>
      <c r="C146" s="23">
        <v>0</v>
      </c>
    </row>
    <row r="147" spans="1:3" x14ac:dyDescent="0.25">
      <c r="A147" s="1">
        <f t="shared" ca="1" si="2"/>
        <v>10001</v>
      </c>
      <c r="B147" s="21">
        <v>7650</v>
      </c>
      <c r="C147" s="23">
        <v>0</v>
      </c>
    </row>
    <row r="148" spans="1:3" x14ac:dyDescent="0.25">
      <c r="A148" s="1">
        <f t="shared" ca="1" si="2"/>
        <v>10002</v>
      </c>
      <c r="B148" s="21">
        <v>7650</v>
      </c>
      <c r="C148" s="23">
        <v>0</v>
      </c>
    </row>
    <row r="149" spans="1:3" x14ac:dyDescent="0.25">
      <c r="A149" s="1">
        <f t="shared" ca="1" si="2"/>
        <v>10003</v>
      </c>
      <c r="B149" s="21">
        <v>7660</v>
      </c>
      <c r="C149" s="23">
        <v>0</v>
      </c>
    </row>
    <row r="150" spans="1:3" x14ac:dyDescent="0.25">
      <c r="A150" s="1">
        <f t="shared" ca="1" si="2"/>
        <v>10004</v>
      </c>
      <c r="B150" s="21">
        <v>7655</v>
      </c>
      <c r="C150" s="23">
        <v>0</v>
      </c>
    </row>
    <row r="151" spans="1:3" x14ac:dyDescent="0.25">
      <c r="A151" s="1">
        <f t="shared" ca="1" si="2"/>
        <v>10005</v>
      </c>
      <c r="B151" s="21">
        <v>7660</v>
      </c>
      <c r="C151" s="23">
        <v>40</v>
      </c>
    </row>
    <row r="152" spans="1:3" x14ac:dyDescent="0.25">
      <c r="A152" s="1">
        <f t="shared" ca="1" si="2"/>
        <v>10006</v>
      </c>
      <c r="B152" s="21">
        <v>7655</v>
      </c>
      <c r="C152" s="23">
        <v>0</v>
      </c>
    </row>
    <row r="153" spans="1:3" x14ac:dyDescent="0.25">
      <c r="A153" s="1">
        <f t="shared" ca="1" si="2"/>
        <v>10007</v>
      </c>
      <c r="B153" s="21">
        <v>7650</v>
      </c>
      <c r="C153" s="23">
        <v>0</v>
      </c>
    </row>
    <row r="154" spans="1:3" x14ac:dyDescent="0.25">
      <c r="A154" s="1">
        <f t="shared" ca="1" si="2"/>
        <v>10008</v>
      </c>
      <c r="B154" s="21">
        <v>7645</v>
      </c>
      <c r="C154" s="23">
        <v>0</v>
      </c>
    </row>
    <row r="155" spans="1:3" x14ac:dyDescent="0.25">
      <c r="A155" s="1">
        <f t="shared" ca="1" si="2"/>
        <v>10009</v>
      </c>
      <c r="B155" s="21">
        <v>7635</v>
      </c>
      <c r="C155" s="23">
        <v>0</v>
      </c>
    </row>
    <row r="156" spans="1:3" x14ac:dyDescent="0.25">
      <c r="A156" s="1">
        <f t="shared" ca="1" si="2"/>
        <v>10010</v>
      </c>
      <c r="B156" s="21">
        <v>7645</v>
      </c>
      <c r="C156" s="23">
        <v>0</v>
      </c>
    </row>
    <row r="157" spans="1:3" x14ac:dyDescent="0.25">
      <c r="A157" s="1">
        <f t="shared" ca="1" si="2"/>
        <v>10011</v>
      </c>
      <c r="B157" s="21">
        <v>7655</v>
      </c>
      <c r="C157" s="23">
        <v>0</v>
      </c>
    </row>
    <row r="158" spans="1:3" x14ac:dyDescent="0.25">
      <c r="A158" s="1">
        <f t="shared" ca="1" si="2"/>
        <v>10012</v>
      </c>
      <c r="B158" s="21">
        <v>7665</v>
      </c>
      <c r="C158" s="23">
        <v>0</v>
      </c>
    </row>
    <row r="159" spans="1:3" x14ac:dyDescent="0.25">
      <c r="A159" s="1">
        <f t="shared" ca="1" si="2"/>
        <v>10013</v>
      </c>
      <c r="B159" s="21">
        <v>7665</v>
      </c>
      <c r="C159" s="23">
        <v>0</v>
      </c>
    </row>
    <row r="160" spans="1:3" x14ac:dyDescent="0.25">
      <c r="A160" s="1" t="str">
        <f t="shared" ca="1" si="2"/>
        <v>Totaal</v>
      </c>
      <c r="B160" s="22">
        <f>IF(COUNT(B129:B159)&gt;0,AVERAGE(B129:B159)/10,"")</f>
        <v>765.35483870967744</v>
      </c>
      <c r="C160" s="26">
        <f>SUM(C129:C159)/10</f>
        <v>4</v>
      </c>
    </row>
    <row r="161" spans="1:3" x14ac:dyDescent="0.25">
      <c r="A161" s="1">
        <f t="shared" ca="1" si="2"/>
        <v>10014</v>
      </c>
      <c r="B161" s="21">
        <v>7650</v>
      </c>
      <c r="C161" s="23">
        <v>0</v>
      </c>
    </row>
    <row r="162" spans="1:3" x14ac:dyDescent="0.25">
      <c r="A162" s="1">
        <f t="shared" ca="1" si="2"/>
        <v>10015</v>
      </c>
      <c r="B162" s="21">
        <v>7650</v>
      </c>
      <c r="C162" s="23">
        <v>0</v>
      </c>
    </row>
    <row r="163" spans="1:3" x14ac:dyDescent="0.25">
      <c r="A163" s="1">
        <f t="shared" ca="1" si="2"/>
        <v>10016</v>
      </c>
      <c r="B163" s="21">
        <v>7655</v>
      </c>
      <c r="C163" s="23">
        <v>0</v>
      </c>
    </row>
    <row r="164" spans="1:3" x14ac:dyDescent="0.25">
      <c r="A164" s="1">
        <f t="shared" ca="1" si="2"/>
        <v>10017</v>
      </c>
      <c r="B164" s="21">
        <v>7655</v>
      </c>
      <c r="C164" s="23">
        <v>20</v>
      </c>
    </row>
    <row r="165" spans="1:3" x14ac:dyDescent="0.25">
      <c r="A165" s="1">
        <f t="shared" ca="1" si="2"/>
        <v>10018</v>
      </c>
      <c r="B165" s="21">
        <v>7655</v>
      </c>
      <c r="C165" s="23">
        <v>0</v>
      </c>
    </row>
    <row r="166" spans="1:3" x14ac:dyDescent="0.25">
      <c r="A166" s="1">
        <f t="shared" ca="1" si="2"/>
        <v>10019</v>
      </c>
      <c r="B166" s="21">
        <v>7665</v>
      </c>
      <c r="C166" s="23">
        <v>0</v>
      </c>
    </row>
    <row r="167" spans="1:3" x14ac:dyDescent="0.25">
      <c r="A167" s="1">
        <f t="shared" ca="1" si="2"/>
        <v>10020</v>
      </c>
      <c r="B167" s="21">
        <v>7660</v>
      </c>
      <c r="C167" s="23">
        <v>0</v>
      </c>
    </row>
    <row r="168" spans="1:3" x14ac:dyDescent="0.25">
      <c r="A168" s="1">
        <f t="shared" ca="1" si="2"/>
        <v>10021</v>
      </c>
      <c r="B168" s="21">
        <v>7660</v>
      </c>
      <c r="C168" s="23">
        <v>0</v>
      </c>
    </row>
    <row r="169" spans="1:3" x14ac:dyDescent="0.25">
      <c r="A169" s="1">
        <f t="shared" ca="1" si="2"/>
        <v>10022</v>
      </c>
      <c r="B169" s="21">
        <v>7655</v>
      </c>
      <c r="C169" s="23">
        <v>0</v>
      </c>
    </row>
    <row r="170" spans="1:3" x14ac:dyDescent="0.25">
      <c r="A170" s="1">
        <f t="shared" ca="1" si="2"/>
        <v>10023</v>
      </c>
      <c r="B170" s="21">
        <v>7645</v>
      </c>
      <c r="C170" s="23">
        <v>0</v>
      </c>
    </row>
    <row r="171" spans="1:3" x14ac:dyDescent="0.25">
      <c r="A171" s="1">
        <f t="shared" ca="1" si="2"/>
        <v>10024</v>
      </c>
      <c r="B171" s="21">
        <v>7650</v>
      </c>
      <c r="C171" s="23">
        <v>0</v>
      </c>
    </row>
    <row r="172" spans="1:3" x14ac:dyDescent="0.25">
      <c r="A172" s="1">
        <f t="shared" ca="1" si="2"/>
        <v>10025</v>
      </c>
      <c r="B172" s="21">
        <v>7650</v>
      </c>
      <c r="C172" s="23">
        <v>0</v>
      </c>
    </row>
    <row r="173" spans="1:3" x14ac:dyDescent="0.25">
      <c r="A173" s="1">
        <f t="shared" ca="1" si="2"/>
        <v>10026</v>
      </c>
      <c r="B173" s="21">
        <v>7660</v>
      </c>
      <c r="C173" s="23">
        <v>0</v>
      </c>
    </row>
    <row r="174" spans="1:3" x14ac:dyDescent="0.25">
      <c r="A174" s="1">
        <f t="shared" ca="1" si="2"/>
        <v>10027</v>
      </c>
      <c r="B174" s="21">
        <v>7655</v>
      </c>
      <c r="C174" s="23">
        <v>30</v>
      </c>
    </row>
    <row r="175" spans="1:3" x14ac:dyDescent="0.25">
      <c r="A175" s="1">
        <f t="shared" ca="1" si="2"/>
        <v>10028</v>
      </c>
      <c r="B175" s="21">
        <v>7650</v>
      </c>
      <c r="C175" s="23">
        <v>0</v>
      </c>
    </row>
    <row r="176" spans="1:3" x14ac:dyDescent="0.25">
      <c r="A176" s="1">
        <f t="shared" ca="1" si="2"/>
        <v>10029</v>
      </c>
      <c r="B176" s="21">
        <v>7650</v>
      </c>
      <c r="C176" s="23">
        <v>0</v>
      </c>
    </row>
    <row r="177" spans="1:3" x14ac:dyDescent="0.25">
      <c r="A177" s="1">
        <f t="shared" ca="1" si="2"/>
        <v>10030</v>
      </c>
      <c r="B177" s="21">
        <v>7655</v>
      </c>
      <c r="C177" s="23">
        <v>0</v>
      </c>
    </row>
    <row r="178" spans="1:3" x14ac:dyDescent="0.25">
      <c r="A178" s="1">
        <f t="shared" ca="1" si="2"/>
        <v>10031</v>
      </c>
      <c r="B178" s="21">
        <v>7665</v>
      </c>
      <c r="C178" s="23">
        <v>0</v>
      </c>
    </row>
    <row r="179" spans="1:3" x14ac:dyDescent="0.25">
      <c r="A179" s="1">
        <f t="shared" ca="1" si="2"/>
        <v>10032</v>
      </c>
      <c r="B179" s="21">
        <v>7665</v>
      </c>
      <c r="C179" s="23">
        <v>0</v>
      </c>
    </row>
    <row r="180" spans="1:3" x14ac:dyDescent="0.25">
      <c r="A180" s="1">
        <f t="shared" ca="1" si="2"/>
        <v>10033</v>
      </c>
      <c r="B180" s="21">
        <v>7655</v>
      </c>
      <c r="C180" s="23">
        <v>0</v>
      </c>
    </row>
    <row r="181" spans="1:3" x14ac:dyDescent="0.25">
      <c r="A181" s="1">
        <f t="shared" ca="1" si="2"/>
        <v>10034</v>
      </c>
      <c r="B181" s="21">
        <v>7655</v>
      </c>
      <c r="C181" s="23">
        <v>35</v>
      </c>
    </row>
    <row r="182" spans="1:3" x14ac:dyDescent="0.25">
      <c r="A182" s="1">
        <f t="shared" ca="1" si="2"/>
        <v>10035</v>
      </c>
      <c r="B182" s="21">
        <v>7655</v>
      </c>
      <c r="C182" s="23">
        <v>60</v>
      </c>
    </row>
    <row r="183" spans="1:3" x14ac:dyDescent="0.25">
      <c r="A183" s="1">
        <f t="shared" ca="1" si="2"/>
        <v>10036</v>
      </c>
      <c r="B183" s="21">
        <v>7665</v>
      </c>
      <c r="C183" s="23">
        <v>188</v>
      </c>
    </row>
    <row r="184" spans="1:3" x14ac:dyDescent="0.25">
      <c r="A184" s="1">
        <f t="shared" ca="1" si="2"/>
        <v>10037</v>
      </c>
      <c r="B184" s="21">
        <v>7660</v>
      </c>
      <c r="C184" s="23">
        <v>10</v>
      </c>
    </row>
    <row r="185" spans="1:3" x14ac:dyDescent="0.25">
      <c r="A185" s="1">
        <f t="shared" ca="1" si="2"/>
        <v>10038</v>
      </c>
      <c r="B185" s="21">
        <v>7665</v>
      </c>
      <c r="C185" s="23">
        <v>0</v>
      </c>
    </row>
    <row r="186" spans="1:3" x14ac:dyDescent="0.25">
      <c r="A186" s="1">
        <f t="shared" ca="1" si="2"/>
        <v>10039</v>
      </c>
      <c r="B186" s="21">
        <v>7655</v>
      </c>
      <c r="C186" s="23">
        <v>0</v>
      </c>
    </row>
    <row r="187" spans="1:3" x14ac:dyDescent="0.25">
      <c r="A187" s="1">
        <f t="shared" ca="1" si="2"/>
        <v>10040</v>
      </c>
      <c r="B187" s="21">
        <v>7660</v>
      </c>
      <c r="C187" s="23">
        <v>40</v>
      </c>
    </row>
    <row r="188" spans="1:3" x14ac:dyDescent="0.25">
      <c r="A188" s="1">
        <f t="shared" ca="1" si="2"/>
        <v>10041</v>
      </c>
      <c r="B188" s="21">
        <v>7665</v>
      </c>
      <c r="C188" s="23">
        <v>25</v>
      </c>
    </row>
    <row r="189" spans="1:3" x14ac:dyDescent="0.25">
      <c r="A189" s="1">
        <f t="shared" ca="1" si="2"/>
        <v>10042</v>
      </c>
      <c r="B189" s="21">
        <v>7650</v>
      </c>
      <c r="C189" s="23">
        <v>0</v>
      </c>
    </row>
    <row r="190" spans="1:3" x14ac:dyDescent="0.25">
      <c r="A190" s="1">
        <f t="shared" ca="1" si="2"/>
        <v>10043</v>
      </c>
      <c r="B190" s="21">
        <v>7655</v>
      </c>
      <c r="C190" s="23">
        <v>0</v>
      </c>
    </row>
    <row r="191" spans="1:3" x14ac:dyDescent="0.25">
      <c r="A191" s="1" t="str">
        <f t="shared" ca="1" si="2"/>
        <v>Totaal</v>
      </c>
      <c r="B191" s="22">
        <f>IF(COUNT(B161:B190)&gt;0,AVERAGE(B161:B190)/10,"")</f>
        <v>765.63333333333333</v>
      </c>
      <c r="C191" s="26">
        <f>SUM(C161:C190)/10</f>
        <v>40.799999999999997</v>
      </c>
    </row>
    <row r="192" spans="1:3" x14ac:dyDescent="0.25">
      <c r="A192" s="1">
        <f t="shared" ca="1" si="2"/>
        <v>10044</v>
      </c>
      <c r="B192" s="21">
        <v>7655</v>
      </c>
      <c r="C192" s="23">
        <v>0</v>
      </c>
    </row>
    <row r="193" spans="1:3" x14ac:dyDescent="0.25">
      <c r="A193" s="1">
        <f t="shared" ca="1" si="2"/>
        <v>10045</v>
      </c>
      <c r="B193" s="21">
        <v>7670</v>
      </c>
      <c r="C193" s="23">
        <v>0</v>
      </c>
    </row>
    <row r="194" spans="1:3" x14ac:dyDescent="0.25">
      <c r="A194" s="1">
        <f t="shared" ca="1" si="2"/>
        <v>10046</v>
      </c>
      <c r="B194" s="21">
        <v>7670</v>
      </c>
      <c r="C194" s="23">
        <v>0</v>
      </c>
    </row>
    <row r="195" spans="1:3" x14ac:dyDescent="0.25">
      <c r="A195" s="1">
        <f t="shared" ca="1" si="2"/>
        <v>10047</v>
      </c>
      <c r="B195" s="21">
        <v>7670</v>
      </c>
      <c r="C195" s="23">
        <v>0</v>
      </c>
    </row>
    <row r="196" spans="1:3" x14ac:dyDescent="0.25">
      <c r="A196" s="1">
        <f t="shared" ca="1" si="2"/>
        <v>10048</v>
      </c>
      <c r="B196" s="21">
        <v>7665</v>
      </c>
      <c r="C196" s="23">
        <v>0</v>
      </c>
    </row>
    <row r="197" spans="1:3" x14ac:dyDescent="0.25">
      <c r="A197" s="1">
        <f t="shared" ca="1" si="2"/>
        <v>10049</v>
      </c>
      <c r="B197" s="21">
        <v>7665</v>
      </c>
      <c r="C197" s="23">
        <v>0</v>
      </c>
    </row>
    <row r="198" spans="1:3" x14ac:dyDescent="0.25">
      <c r="A198" s="1">
        <f t="shared" ca="1" si="2"/>
        <v>10050</v>
      </c>
      <c r="B198" s="21">
        <v>7655</v>
      </c>
      <c r="C198" s="23">
        <v>0</v>
      </c>
    </row>
    <row r="199" spans="1:3" x14ac:dyDescent="0.25">
      <c r="A199" s="1">
        <f t="shared" ref="A199:A262" ca="1" si="3">IF(ISTEXT(A198),A197+1,IF(MONTH(A198+1)=MONTH(A198),A198+1,"Totaal"))</f>
        <v>10051</v>
      </c>
      <c r="B199" s="21">
        <v>7675</v>
      </c>
      <c r="C199" s="23">
        <v>0</v>
      </c>
    </row>
    <row r="200" spans="1:3" x14ac:dyDescent="0.25">
      <c r="A200" s="1">
        <f t="shared" ca="1" si="3"/>
        <v>10052</v>
      </c>
      <c r="B200" s="21">
        <v>7675</v>
      </c>
      <c r="C200" s="23">
        <v>0</v>
      </c>
    </row>
    <row r="201" spans="1:3" x14ac:dyDescent="0.25">
      <c r="A201" s="1">
        <f t="shared" ca="1" si="3"/>
        <v>10053</v>
      </c>
      <c r="B201" s="21">
        <v>7665</v>
      </c>
      <c r="C201" s="23">
        <v>0</v>
      </c>
    </row>
    <row r="202" spans="1:3" x14ac:dyDescent="0.25">
      <c r="A202" s="1">
        <f t="shared" ca="1" si="3"/>
        <v>10054</v>
      </c>
      <c r="B202" s="21">
        <v>7665</v>
      </c>
      <c r="C202" s="23">
        <v>0</v>
      </c>
    </row>
    <row r="203" spans="1:3" x14ac:dyDescent="0.25">
      <c r="A203" s="1">
        <f t="shared" ca="1" si="3"/>
        <v>10055</v>
      </c>
      <c r="B203" s="21">
        <v>7665</v>
      </c>
      <c r="C203" s="23">
        <v>0</v>
      </c>
    </row>
    <row r="204" spans="1:3" x14ac:dyDescent="0.25">
      <c r="A204" s="1">
        <f t="shared" ca="1" si="3"/>
        <v>10056</v>
      </c>
      <c r="B204" s="21">
        <v>7660</v>
      </c>
      <c r="C204" s="23">
        <v>0</v>
      </c>
    </row>
    <row r="205" spans="1:3" x14ac:dyDescent="0.25">
      <c r="A205" s="1">
        <f t="shared" ca="1" si="3"/>
        <v>10057</v>
      </c>
      <c r="B205" s="21">
        <v>7665</v>
      </c>
      <c r="C205" s="23">
        <v>0</v>
      </c>
    </row>
    <row r="206" spans="1:3" x14ac:dyDescent="0.25">
      <c r="A206" s="1">
        <f t="shared" ca="1" si="3"/>
        <v>10058</v>
      </c>
      <c r="B206" s="21">
        <v>7655</v>
      </c>
      <c r="C206" s="23">
        <v>0</v>
      </c>
    </row>
    <row r="207" spans="1:3" x14ac:dyDescent="0.25">
      <c r="A207" s="1">
        <f t="shared" ca="1" si="3"/>
        <v>10059</v>
      </c>
      <c r="B207" s="21">
        <v>7655</v>
      </c>
      <c r="C207" s="23">
        <v>0</v>
      </c>
    </row>
    <row r="208" spans="1:3" x14ac:dyDescent="0.25">
      <c r="A208" s="1">
        <f t="shared" ca="1" si="3"/>
        <v>10060</v>
      </c>
      <c r="B208" s="21">
        <v>7670</v>
      </c>
      <c r="C208" s="23">
        <v>0</v>
      </c>
    </row>
    <row r="209" spans="1:3" x14ac:dyDescent="0.25">
      <c r="A209" s="1">
        <f t="shared" ca="1" si="3"/>
        <v>10061</v>
      </c>
      <c r="B209" s="21">
        <v>7665</v>
      </c>
      <c r="C209" s="23">
        <v>0</v>
      </c>
    </row>
    <row r="210" spans="1:3" x14ac:dyDescent="0.25">
      <c r="A210" s="1">
        <f t="shared" ca="1" si="3"/>
        <v>10062</v>
      </c>
      <c r="B210" s="21">
        <v>7660</v>
      </c>
      <c r="C210" s="23">
        <v>0</v>
      </c>
    </row>
    <row r="211" spans="1:3" x14ac:dyDescent="0.25">
      <c r="A211" s="1">
        <f t="shared" ca="1" si="3"/>
        <v>10063</v>
      </c>
      <c r="B211" s="21">
        <v>7645</v>
      </c>
      <c r="C211" s="23">
        <v>0</v>
      </c>
    </row>
    <row r="212" spans="1:3" x14ac:dyDescent="0.25">
      <c r="A212" s="1">
        <f t="shared" ca="1" si="3"/>
        <v>10064</v>
      </c>
      <c r="B212" s="21">
        <v>7645</v>
      </c>
      <c r="C212" s="23">
        <v>0</v>
      </c>
    </row>
    <row r="213" spans="1:3" x14ac:dyDescent="0.25">
      <c r="A213" s="1">
        <f t="shared" ca="1" si="3"/>
        <v>10065</v>
      </c>
      <c r="B213" s="21">
        <v>7645</v>
      </c>
      <c r="C213" s="23">
        <v>0</v>
      </c>
    </row>
    <row r="214" spans="1:3" x14ac:dyDescent="0.25">
      <c r="A214" s="1">
        <f t="shared" ca="1" si="3"/>
        <v>10066</v>
      </c>
      <c r="B214" s="21">
        <v>7650</v>
      </c>
      <c r="C214" s="23">
        <v>0</v>
      </c>
    </row>
    <row r="215" spans="1:3" x14ac:dyDescent="0.25">
      <c r="A215" s="1">
        <f t="shared" ca="1" si="3"/>
        <v>10067</v>
      </c>
      <c r="B215" s="21">
        <v>7665</v>
      </c>
      <c r="C215" s="23">
        <v>0</v>
      </c>
    </row>
    <row r="216" spans="1:3" x14ac:dyDescent="0.25">
      <c r="A216" s="1">
        <f t="shared" ca="1" si="3"/>
        <v>10068</v>
      </c>
      <c r="B216" s="21">
        <v>7675</v>
      </c>
      <c r="C216" s="23">
        <v>0</v>
      </c>
    </row>
    <row r="217" spans="1:3" x14ac:dyDescent="0.25">
      <c r="A217" s="1">
        <f t="shared" ca="1" si="3"/>
        <v>10069</v>
      </c>
      <c r="B217" s="21">
        <v>7665</v>
      </c>
      <c r="C217" s="23">
        <v>0</v>
      </c>
    </row>
    <row r="218" spans="1:3" x14ac:dyDescent="0.25">
      <c r="A218" s="1">
        <f t="shared" ca="1" si="3"/>
        <v>10070</v>
      </c>
      <c r="B218" s="21">
        <v>7665</v>
      </c>
      <c r="C218" s="23">
        <v>35</v>
      </c>
    </row>
    <row r="219" spans="1:3" x14ac:dyDescent="0.25">
      <c r="A219" s="1">
        <f t="shared" ca="1" si="3"/>
        <v>10071</v>
      </c>
      <c r="B219" s="21">
        <v>7665</v>
      </c>
      <c r="C219" s="23">
        <v>0</v>
      </c>
    </row>
    <row r="220" spans="1:3" x14ac:dyDescent="0.25">
      <c r="A220" s="1">
        <f t="shared" ca="1" si="3"/>
        <v>10072</v>
      </c>
      <c r="B220" s="21">
        <v>7655</v>
      </c>
      <c r="C220" s="23">
        <v>0</v>
      </c>
    </row>
    <row r="221" spans="1:3" x14ac:dyDescent="0.25">
      <c r="A221" s="1">
        <f t="shared" ca="1" si="3"/>
        <v>10073</v>
      </c>
      <c r="B221" s="21">
        <v>7665</v>
      </c>
      <c r="C221" s="23">
        <v>0</v>
      </c>
    </row>
    <row r="222" spans="1:3" x14ac:dyDescent="0.25">
      <c r="A222" s="1">
        <f t="shared" ca="1" si="3"/>
        <v>10074</v>
      </c>
      <c r="B222" s="21">
        <v>7665</v>
      </c>
      <c r="C222" s="23">
        <v>0</v>
      </c>
    </row>
    <row r="223" spans="1:3" x14ac:dyDescent="0.25">
      <c r="A223" s="1" t="str">
        <f t="shared" ca="1" si="3"/>
        <v>Totaal</v>
      </c>
      <c r="B223" s="22">
        <f>IF(COUNT(B192:B222)&gt;0,AVERAGE(B192:B222)/10,"")</f>
        <v>766.22580645161293</v>
      </c>
      <c r="C223" s="26">
        <f>SUM(C192:C222)/10</f>
        <v>3.5</v>
      </c>
    </row>
    <row r="224" spans="1:3" x14ac:dyDescent="0.25">
      <c r="A224" s="1">
        <f t="shared" ca="1" si="3"/>
        <v>10075</v>
      </c>
      <c r="B224" s="21">
        <v>7655</v>
      </c>
      <c r="C224" s="23">
        <v>0</v>
      </c>
    </row>
    <row r="225" spans="1:3" x14ac:dyDescent="0.25">
      <c r="A225" s="1">
        <f t="shared" ca="1" si="3"/>
        <v>10076</v>
      </c>
      <c r="B225" s="21">
        <v>7655</v>
      </c>
      <c r="C225" s="23">
        <v>0</v>
      </c>
    </row>
    <row r="226" spans="1:3" x14ac:dyDescent="0.25">
      <c r="A226" s="1">
        <f t="shared" ca="1" si="3"/>
        <v>10077</v>
      </c>
      <c r="B226" s="21">
        <v>7645</v>
      </c>
      <c r="C226" s="23">
        <v>0</v>
      </c>
    </row>
    <row r="227" spans="1:3" x14ac:dyDescent="0.25">
      <c r="A227" s="1">
        <f t="shared" ca="1" si="3"/>
        <v>10078</v>
      </c>
      <c r="B227" s="21">
        <v>7640</v>
      </c>
      <c r="C227" s="23">
        <v>0</v>
      </c>
    </row>
    <row r="228" spans="1:3" x14ac:dyDescent="0.25">
      <c r="A228" s="1">
        <f t="shared" ca="1" si="3"/>
        <v>10079</v>
      </c>
      <c r="B228" s="21">
        <v>7650</v>
      </c>
      <c r="C228" s="23">
        <v>0</v>
      </c>
    </row>
    <row r="229" spans="1:3" x14ac:dyDescent="0.25">
      <c r="A229" s="1">
        <f t="shared" ca="1" si="3"/>
        <v>10080</v>
      </c>
      <c r="B229" s="21">
        <v>7645</v>
      </c>
      <c r="C229" s="23">
        <v>0</v>
      </c>
    </row>
    <row r="230" spans="1:3" x14ac:dyDescent="0.25">
      <c r="A230" s="1">
        <f t="shared" ca="1" si="3"/>
        <v>10081</v>
      </c>
      <c r="B230" s="21">
        <v>7640</v>
      </c>
      <c r="C230" s="23">
        <v>0</v>
      </c>
    </row>
    <row r="231" spans="1:3" x14ac:dyDescent="0.25">
      <c r="A231" s="1">
        <f t="shared" ca="1" si="3"/>
        <v>10082</v>
      </c>
      <c r="B231" s="21">
        <v>7650</v>
      </c>
      <c r="C231" s="23">
        <v>0</v>
      </c>
    </row>
    <row r="232" spans="1:3" x14ac:dyDescent="0.25">
      <c r="A232" s="1">
        <f t="shared" ca="1" si="3"/>
        <v>10083</v>
      </c>
      <c r="B232" s="21">
        <v>7650</v>
      </c>
      <c r="C232" s="23">
        <v>0</v>
      </c>
    </row>
    <row r="233" spans="1:3" x14ac:dyDescent="0.25">
      <c r="A233" s="1">
        <f t="shared" ca="1" si="3"/>
        <v>10084</v>
      </c>
      <c r="B233" s="21">
        <v>7650</v>
      </c>
      <c r="C233" s="23">
        <v>0</v>
      </c>
    </row>
    <row r="234" spans="1:3" x14ac:dyDescent="0.25">
      <c r="A234" s="1">
        <f t="shared" ca="1" si="3"/>
        <v>10085</v>
      </c>
      <c r="B234" s="21">
        <v>7655</v>
      </c>
      <c r="C234" s="23">
        <v>0</v>
      </c>
    </row>
    <row r="235" spans="1:3" x14ac:dyDescent="0.25">
      <c r="A235" s="1">
        <f t="shared" ca="1" si="3"/>
        <v>10086</v>
      </c>
      <c r="B235" s="21">
        <v>7665</v>
      </c>
      <c r="C235" s="23">
        <v>0</v>
      </c>
    </row>
    <row r="236" spans="1:3" x14ac:dyDescent="0.25">
      <c r="A236" s="1">
        <f t="shared" ca="1" si="3"/>
        <v>10087</v>
      </c>
      <c r="B236" s="21">
        <v>7655</v>
      </c>
      <c r="C236" s="23">
        <v>0</v>
      </c>
    </row>
    <row r="237" spans="1:3" x14ac:dyDescent="0.25">
      <c r="A237" s="1">
        <f t="shared" ca="1" si="3"/>
        <v>10088</v>
      </c>
      <c r="B237" s="21">
        <v>7650</v>
      </c>
      <c r="C237" s="23">
        <v>0</v>
      </c>
    </row>
    <row r="238" spans="1:3" x14ac:dyDescent="0.25">
      <c r="A238" s="1">
        <f t="shared" ca="1" si="3"/>
        <v>10089</v>
      </c>
      <c r="B238" s="21">
        <v>7660</v>
      </c>
      <c r="C238" s="23">
        <v>0</v>
      </c>
    </row>
    <row r="239" spans="1:3" x14ac:dyDescent="0.25">
      <c r="A239" s="1">
        <f t="shared" ca="1" si="3"/>
        <v>10090</v>
      </c>
      <c r="B239" s="21">
        <v>7650</v>
      </c>
      <c r="C239" s="23">
        <v>0</v>
      </c>
    </row>
    <row r="240" spans="1:3" x14ac:dyDescent="0.25">
      <c r="A240" s="1">
        <f t="shared" ca="1" si="3"/>
        <v>10091</v>
      </c>
      <c r="B240" s="21">
        <v>7645</v>
      </c>
      <c r="C240" s="23">
        <v>0</v>
      </c>
    </row>
    <row r="241" spans="1:3" x14ac:dyDescent="0.25">
      <c r="A241" s="1">
        <f t="shared" ca="1" si="3"/>
        <v>10092</v>
      </c>
      <c r="B241" s="21">
        <v>7650</v>
      </c>
      <c r="C241" s="23">
        <v>0</v>
      </c>
    </row>
    <row r="242" spans="1:3" x14ac:dyDescent="0.25">
      <c r="A242" s="1">
        <f t="shared" ca="1" si="3"/>
        <v>10093</v>
      </c>
      <c r="B242" s="21">
        <v>7650</v>
      </c>
      <c r="C242" s="23">
        <v>0</v>
      </c>
    </row>
    <row r="243" spans="1:3" x14ac:dyDescent="0.25">
      <c r="A243" s="1">
        <f t="shared" ca="1" si="3"/>
        <v>10094</v>
      </c>
      <c r="B243" s="21">
        <v>7650</v>
      </c>
      <c r="C243" s="23">
        <v>0</v>
      </c>
    </row>
    <row r="244" spans="1:3" x14ac:dyDescent="0.25">
      <c r="A244" s="1">
        <f t="shared" ca="1" si="3"/>
        <v>10095</v>
      </c>
      <c r="B244" s="21">
        <v>7645</v>
      </c>
      <c r="C244" s="23">
        <v>0</v>
      </c>
    </row>
    <row r="245" spans="1:3" x14ac:dyDescent="0.25">
      <c r="A245" s="1">
        <f t="shared" ca="1" si="3"/>
        <v>10096</v>
      </c>
      <c r="B245" s="21">
        <v>7645</v>
      </c>
      <c r="C245" s="23">
        <v>0</v>
      </c>
    </row>
    <row r="246" spans="1:3" x14ac:dyDescent="0.25">
      <c r="A246" s="1">
        <f t="shared" ca="1" si="3"/>
        <v>10097</v>
      </c>
      <c r="B246" s="21">
        <v>7650</v>
      </c>
      <c r="C246" s="23">
        <v>0</v>
      </c>
    </row>
    <row r="247" spans="1:3" x14ac:dyDescent="0.25">
      <c r="A247" s="1">
        <f t="shared" ca="1" si="3"/>
        <v>10098</v>
      </c>
      <c r="B247" s="21">
        <v>7650</v>
      </c>
      <c r="C247" s="23">
        <v>0</v>
      </c>
    </row>
    <row r="248" spans="1:3" x14ac:dyDescent="0.25">
      <c r="A248" s="1">
        <f t="shared" ca="1" si="3"/>
        <v>10099</v>
      </c>
      <c r="B248" s="21">
        <v>7645</v>
      </c>
      <c r="C248" s="23">
        <v>0</v>
      </c>
    </row>
    <row r="249" spans="1:3" x14ac:dyDescent="0.25">
      <c r="A249" s="1">
        <f t="shared" ca="1" si="3"/>
        <v>10100</v>
      </c>
      <c r="B249" s="21">
        <v>7655</v>
      </c>
      <c r="C249" s="23">
        <v>0</v>
      </c>
    </row>
    <row r="250" spans="1:3" x14ac:dyDescent="0.25">
      <c r="A250" s="1">
        <f t="shared" ca="1" si="3"/>
        <v>10101</v>
      </c>
      <c r="B250" s="21">
        <v>7655</v>
      </c>
      <c r="C250" s="23">
        <v>0</v>
      </c>
    </row>
    <row r="251" spans="1:3" x14ac:dyDescent="0.25">
      <c r="A251" s="1">
        <f t="shared" ca="1" si="3"/>
        <v>10102</v>
      </c>
      <c r="B251" s="21">
        <v>7655</v>
      </c>
      <c r="C251" s="23">
        <v>0</v>
      </c>
    </row>
    <row r="252" spans="1:3" x14ac:dyDescent="0.25">
      <c r="A252" s="1">
        <f t="shared" ca="1" si="3"/>
        <v>10103</v>
      </c>
      <c r="B252" s="21">
        <v>7640</v>
      </c>
      <c r="C252" s="23">
        <v>0</v>
      </c>
    </row>
    <row r="253" spans="1:3" x14ac:dyDescent="0.25">
      <c r="A253" s="1">
        <f t="shared" ca="1" si="3"/>
        <v>10104</v>
      </c>
      <c r="B253" s="21">
        <v>7640</v>
      </c>
      <c r="C253" s="23">
        <v>0</v>
      </c>
    </row>
    <row r="254" spans="1:3" x14ac:dyDescent="0.25">
      <c r="A254" s="1">
        <f t="shared" ca="1" si="3"/>
        <v>10105</v>
      </c>
      <c r="B254" s="21">
        <v>7645</v>
      </c>
      <c r="C254" s="23">
        <v>0</v>
      </c>
    </row>
    <row r="255" spans="1:3" x14ac:dyDescent="0.25">
      <c r="A255" s="1" t="str">
        <f t="shared" ca="1" si="3"/>
        <v>Totaal</v>
      </c>
      <c r="B255" s="22">
        <f>IF(COUNT(B224:B254)&gt;0,AVERAGE(B224:B254)/10,"")</f>
        <v>764.95161290322585</v>
      </c>
      <c r="C255" s="26">
        <f>SUM(C224:C254)/10</f>
        <v>0</v>
      </c>
    </row>
    <row r="256" spans="1:3" x14ac:dyDescent="0.25">
      <c r="A256" s="1">
        <f t="shared" ca="1" si="3"/>
        <v>10106</v>
      </c>
      <c r="B256" s="21">
        <v>7635</v>
      </c>
      <c r="C256" s="23">
        <v>0</v>
      </c>
    </row>
    <row r="257" spans="1:3" x14ac:dyDescent="0.25">
      <c r="A257" s="1">
        <f t="shared" ca="1" si="3"/>
        <v>10107</v>
      </c>
      <c r="B257" s="21">
        <v>7635</v>
      </c>
      <c r="C257" s="23">
        <v>75</v>
      </c>
    </row>
    <row r="258" spans="1:3" x14ac:dyDescent="0.25">
      <c r="A258" s="1">
        <f t="shared" ca="1" si="3"/>
        <v>10108</v>
      </c>
      <c r="B258" s="21">
        <v>7635</v>
      </c>
      <c r="C258" s="23">
        <v>0</v>
      </c>
    </row>
    <row r="259" spans="1:3" x14ac:dyDescent="0.25">
      <c r="A259" s="1">
        <f t="shared" ca="1" si="3"/>
        <v>10109</v>
      </c>
      <c r="B259" s="21">
        <v>7640</v>
      </c>
      <c r="C259" s="23">
        <v>0</v>
      </c>
    </row>
    <row r="260" spans="1:3" x14ac:dyDescent="0.25">
      <c r="A260" s="1">
        <f t="shared" ca="1" si="3"/>
        <v>10110</v>
      </c>
      <c r="B260" s="21">
        <v>7635</v>
      </c>
      <c r="C260" s="23">
        <v>0</v>
      </c>
    </row>
    <row r="261" spans="1:3" x14ac:dyDescent="0.25">
      <c r="A261" s="1">
        <f t="shared" ca="1" si="3"/>
        <v>10111</v>
      </c>
      <c r="B261" s="21">
        <v>7640</v>
      </c>
      <c r="C261" s="23">
        <v>0</v>
      </c>
    </row>
    <row r="262" spans="1:3" x14ac:dyDescent="0.25">
      <c r="A262" s="1">
        <f t="shared" ca="1" si="3"/>
        <v>10112</v>
      </c>
      <c r="B262" s="21">
        <v>7640</v>
      </c>
      <c r="C262" s="23">
        <v>0</v>
      </c>
    </row>
    <row r="263" spans="1:3" x14ac:dyDescent="0.25">
      <c r="A263" s="1">
        <f t="shared" ref="A263:A326" ca="1" si="4">IF(ISTEXT(A262),A261+1,IF(MONTH(A262+1)=MONTH(A262),A262+1,"Totaal"))</f>
        <v>10113</v>
      </c>
      <c r="B263" s="21">
        <v>7635</v>
      </c>
      <c r="C263" s="23">
        <v>0</v>
      </c>
    </row>
    <row r="264" spans="1:3" x14ac:dyDescent="0.25">
      <c r="A264" s="1">
        <f t="shared" ca="1" si="4"/>
        <v>10114</v>
      </c>
      <c r="B264" s="21">
        <v>7650</v>
      </c>
      <c r="C264" s="23">
        <v>0</v>
      </c>
    </row>
    <row r="265" spans="1:3" x14ac:dyDescent="0.25">
      <c r="A265" s="1">
        <f t="shared" ca="1" si="4"/>
        <v>10115</v>
      </c>
      <c r="B265" s="21">
        <v>7650</v>
      </c>
      <c r="C265" s="23">
        <v>0</v>
      </c>
    </row>
    <row r="266" spans="1:3" x14ac:dyDescent="0.25">
      <c r="A266" s="1">
        <f t="shared" ca="1" si="4"/>
        <v>10116</v>
      </c>
      <c r="B266" s="21">
        <v>7650</v>
      </c>
      <c r="C266" s="23">
        <v>0</v>
      </c>
    </row>
    <row r="267" spans="1:3" x14ac:dyDescent="0.25">
      <c r="A267" s="1">
        <f t="shared" ca="1" si="4"/>
        <v>10117</v>
      </c>
      <c r="B267" s="21">
        <v>7640</v>
      </c>
      <c r="C267" s="23">
        <v>0</v>
      </c>
    </row>
    <row r="268" spans="1:3" x14ac:dyDescent="0.25">
      <c r="A268" s="1">
        <f t="shared" ca="1" si="4"/>
        <v>10118</v>
      </c>
      <c r="B268" s="21">
        <v>7640</v>
      </c>
      <c r="C268" s="23">
        <v>0</v>
      </c>
    </row>
    <row r="269" spans="1:3" x14ac:dyDescent="0.25">
      <c r="A269" s="1">
        <f t="shared" ca="1" si="4"/>
        <v>10119</v>
      </c>
      <c r="B269" s="21">
        <v>7645</v>
      </c>
      <c r="C269" s="23">
        <v>0</v>
      </c>
    </row>
    <row r="270" spans="1:3" x14ac:dyDescent="0.25">
      <c r="A270" s="1">
        <f t="shared" ca="1" si="4"/>
        <v>10120</v>
      </c>
      <c r="B270" s="21">
        <v>7645</v>
      </c>
      <c r="C270" s="23">
        <v>0</v>
      </c>
    </row>
    <row r="271" spans="1:3" x14ac:dyDescent="0.25">
      <c r="A271" s="1">
        <f t="shared" ca="1" si="4"/>
        <v>10121</v>
      </c>
      <c r="B271" s="21">
        <v>7640</v>
      </c>
      <c r="C271" s="23">
        <v>0</v>
      </c>
    </row>
    <row r="272" spans="1:3" x14ac:dyDescent="0.25">
      <c r="A272" s="1">
        <f t="shared" ca="1" si="4"/>
        <v>10122</v>
      </c>
      <c r="B272" s="21">
        <v>7645</v>
      </c>
      <c r="C272" s="23">
        <v>0</v>
      </c>
    </row>
    <row r="273" spans="1:3" x14ac:dyDescent="0.25">
      <c r="A273" s="1">
        <f t="shared" ca="1" si="4"/>
        <v>10123</v>
      </c>
      <c r="B273" s="21">
        <v>7640</v>
      </c>
      <c r="C273" s="23">
        <v>250</v>
      </c>
    </row>
    <row r="274" spans="1:3" x14ac:dyDescent="0.25">
      <c r="A274" s="1">
        <f t="shared" ca="1" si="4"/>
        <v>10124</v>
      </c>
      <c r="B274" s="21">
        <v>7630</v>
      </c>
      <c r="C274" s="23">
        <v>0</v>
      </c>
    </row>
    <row r="275" spans="1:3" x14ac:dyDescent="0.25">
      <c r="A275" s="1">
        <f t="shared" ca="1" si="4"/>
        <v>10125</v>
      </c>
      <c r="B275" s="21">
        <v>7635</v>
      </c>
      <c r="C275" s="23">
        <v>65</v>
      </c>
    </row>
    <row r="276" spans="1:3" x14ac:dyDescent="0.25">
      <c r="A276" s="1">
        <f t="shared" ca="1" si="4"/>
        <v>10126</v>
      </c>
      <c r="B276" s="21">
        <v>7645</v>
      </c>
      <c r="C276" s="23">
        <v>0</v>
      </c>
    </row>
    <row r="277" spans="1:3" x14ac:dyDescent="0.25">
      <c r="A277" s="1">
        <f t="shared" ca="1" si="4"/>
        <v>10127</v>
      </c>
      <c r="B277" s="21">
        <v>7645</v>
      </c>
      <c r="C277" s="23">
        <v>36</v>
      </c>
    </row>
    <row r="278" spans="1:3" x14ac:dyDescent="0.25">
      <c r="A278" s="1">
        <f t="shared" ca="1" si="4"/>
        <v>10128</v>
      </c>
      <c r="B278" s="21">
        <v>7640</v>
      </c>
      <c r="C278" s="23">
        <v>0</v>
      </c>
    </row>
    <row r="279" spans="1:3" x14ac:dyDescent="0.25">
      <c r="A279" s="1">
        <f t="shared" ca="1" si="4"/>
        <v>10129</v>
      </c>
      <c r="B279" s="21">
        <v>7635</v>
      </c>
      <c r="C279" s="23">
        <v>0</v>
      </c>
    </row>
    <row r="280" spans="1:3" x14ac:dyDescent="0.25">
      <c r="A280" s="1">
        <f t="shared" ca="1" si="4"/>
        <v>10130</v>
      </c>
      <c r="B280" s="21">
        <v>7645</v>
      </c>
      <c r="C280" s="23">
        <v>315</v>
      </c>
    </row>
    <row r="281" spans="1:3" x14ac:dyDescent="0.25">
      <c r="A281" s="1">
        <f t="shared" ca="1" si="4"/>
        <v>10131</v>
      </c>
      <c r="B281" s="21">
        <v>7640</v>
      </c>
      <c r="C281" s="23">
        <v>35</v>
      </c>
    </row>
    <row r="282" spans="1:3" x14ac:dyDescent="0.25">
      <c r="A282" s="1">
        <f t="shared" ca="1" si="4"/>
        <v>10132</v>
      </c>
      <c r="B282" s="21">
        <v>7640</v>
      </c>
      <c r="C282" s="23">
        <v>45</v>
      </c>
    </row>
    <row r="283" spans="1:3" x14ac:dyDescent="0.25">
      <c r="A283" s="1">
        <f t="shared" ca="1" si="4"/>
        <v>10133</v>
      </c>
      <c r="B283" s="21">
        <v>7645</v>
      </c>
      <c r="C283" s="23">
        <v>0</v>
      </c>
    </row>
    <row r="284" spans="1:3" x14ac:dyDescent="0.25">
      <c r="A284" s="1">
        <f t="shared" ca="1" si="4"/>
        <v>10134</v>
      </c>
      <c r="B284" s="21">
        <v>7620</v>
      </c>
      <c r="C284" s="23">
        <v>0</v>
      </c>
    </row>
    <row r="285" spans="1:3" x14ac:dyDescent="0.25">
      <c r="A285" s="1">
        <f t="shared" ca="1" si="4"/>
        <v>10135</v>
      </c>
      <c r="B285" s="21">
        <v>7625</v>
      </c>
      <c r="C285" s="23">
        <v>0</v>
      </c>
    </row>
    <row r="286" spans="1:3" x14ac:dyDescent="0.25">
      <c r="A286" s="1" t="str">
        <f t="shared" ca="1" si="4"/>
        <v>Totaal</v>
      </c>
      <c r="B286" s="22">
        <f>IF(COUNT(B256:B285)&gt;0,AVERAGE(B256:B285)/10,"")</f>
        <v>763.95</v>
      </c>
      <c r="C286" s="26">
        <f>SUM(C256:C285)/10</f>
        <v>82.1</v>
      </c>
    </row>
    <row r="287" spans="1:3" x14ac:dyDescent="0.25">
      <c r="A287" s="1">
        <f t="shared" ca="1" si="4"/>
        <v>10136</v>
      </c>
      <c r="B287" s="21">
        <v>7635</v>
      </c>
      <c r="C287" s="23">
        <v>0</v>
      </c>
    </row>
    <row r="288" spans="1:3" x14ac:dyDescent="0.25">
      <c r="A288" s="1">
        <f t="shared" ca="1" si="4"/>
        <v>10137</v>
      </c>
      <c r="B288" s="21">
        <v>7640</v>
      </c>
      <c r="C288" s="23">
        <v>0</v>
      </c>
    </row>
    <row r="289" spans="1:3" x14ac:dyDescent="0.25">
      <c r="A289" s="1">
        <f t="shared" ca="1" si="4"/>
        <v>10138</v>
      </c>
      <c r="B289" s="21">
        <v>7650</v>
      </c>
      <c r="C289" s="23">
        <v>0</v>
      </c>
    </row>
    <row r="290" spans="1:3" x14ac:dyDescent="0.25">
      <c r="A290" s="1">
        <f t="shared" ca="1" si="4"/>
        <v>10139</v>
      </c>
      <c r="B290" s="21">
        <v>7640</v>
      </c>
      <c r="C290" s="23">
        <v>0</v>
      </c>
    </row>
    <row r="291" spans="1:3" x14ac:dyDescent="0.25">
      <c r="A291" s="1">
        <f t="shared" ca="1" si="4"/>
        <v>10140</v>
      </c>
      <c r="B291" s="21">
        <v>7635</v>
      </c>
      <c r="C291" s="23">
        <v>0</v>
      </c>
    </row>
    <row r="292" spans="1:3" x14ac:dyDescent="0.25">
      <c r="A292" s="1">
        <f t="shared" ca="1" si="4"/>
        <v>10141</v>
      </c>
      <c r="B292" s="21">
        <v>7645</v>
      </c>
      <c r="C292" s="23">
        <v>0</v>
      </c>
    </row>
    <row r="293" spans="1:3" x14ac:dyDescent="0.25">
      <c r="A293" s="1">
        <f t="shared" ca="1" si="4"/>
        <v>10142</v>
      </c>
      <c r="B293" s="21">
        <v>7640</v>
      </c>
      <c r="C293" s="23">
        <v>0</v>
      </c>
    </row>
    <row r="294" spans="1:3" x14ac:dyDescent="0.25">
      <c r="A294" s="1">
        <f t="shared" ca="1" si="4"/>
        <v>10143</v>
      </c>
      <c r="B294" s="21">
        <v>7625</v>
      </c>
      <c r="C294" s="23">
        <v>0</v>
      </c>
    </row>
    <row r="295" spans="1:3" x14ac:dyDescent="0.25">
      <c r="A295" s="1">
        <f t="shared" ca="1" si="4"/>
        <v>10144</v>
      </c>
      <c r="B295" s="21">
        <v>7620</v>
      </c>
      <c r="C295" s="23">
        <v>0</v>
      </c>
    </row>
    <row r="296" spans="1:3" x14ac:dyDescent="0.25">
      <c r="A296" s="1">
        <f t="shared" ca="1" si="4"/>
        <v>10145</v>
      </c>
      <c r="B296" s="21">
        <v>7625</v>
      </c>
      <c r="C296" s="23">
        <v>0</v>
      </c>
    </row>
    <row r="297" spans="1:3" x14ac:dyDescent="0.25">
      <c r="A297" s="1">
        <f t="shared" ca="1" si="4"/>
        <v>10146</v>
      </c>
      <c r="B297" s="21">
        <v>7625</v>
      </c>
      <c r="C297" s="23">
        <v>0</v>
      </c>
    </row>
    <row r="298" spans="1:3" x14ac:dyDescent="0.25">
      <c r="A298" s="1">
        <f t="shared" ca="1" si="4"/>
        <v>10147</v>
      </c>
      <c r="B298" s="21">
        <v>7630</v>
      </c>
      <c r="C298" s="23">
        <v>0</v>
      </c>
    </row>
    <row r="299" spans="1:3" x14ac:dyDescent="0.25">
      <c r="A299" s="1">
        <f t="shared" ca="1" si="4"/>
        <v>10148</v>
      </c>
      <c r="B299" s="21">
        <v>7630</v>
      </c>
      <c r="C299" s="23">
        <v>0</v>
      </c>
    </row>
    <row r="300" spans="1:3" x14ac:dyDescent="0.25">
      <c r="A300" s="1">
        <f t="shared" ca="1" si="4"/>
        <v>10149</v>
      </c>
      <c r="B300" s="21">
        <v>7615</v>
      </c>
      <c r="C300" s="23">
        <v>50</v>
      </c>
    </row>
    <row r="301" spans="1:3" x14ac:dyDescent="0.25">
      <c r="A301" s="1">
        <f t="shared" ca="1" si="4"/>
        <v>10150</v>
      </c>
      <c r="B301" s="21">
        <v>7620</v>
      </c>
      <c r="C301" s="23">
        <v>50</v>
      </c>
    </row>
    <row r="302" spans="1:3" x14ac:dyDescent="0.25">
      <c r="A302" s="1">
        <f t="shared" ca="1" si="4"/>
        <v>10151</v>
      </c>
      <c r="B302" s="21">
        <v>7625</v>
      </c>
      <c r="C302" s="23">
        <v>100</v>
      </c>
    </row>
    <row r="303" spans="1:3" x14ac:dyDescent="0.25">
      <c r="A303" s="1">
        <f t="shared" ca="1" si="4"/>
        <v>10152</v>
      </c>
      <c r="B303" s="21">
        <v>7625</v>
      </c>
      <c r="C303" s="23">
        <v>0</v>
      </c>
    </row>
    <row r="304" spans="1:3" x14ac:dyDescent="0.25">
      <c r="A304" s="1">
        <f t="shared" ca="1" si="4"/>
        <v>10153</v>
      </c>
      <c r="B304" s="21">
        <v>7635</v>
      </c>
      <c r="C304" s="23">
        <v>0</v>
      </c>
    </row>
    <row r="305" spans="1:3" x14ac:dyDescent="0.25">
      <c r="A305" s="1">
        <f t="shared" ca="1" si="4"/>
        <v>10154</v>
      </c>
      <c r="B305" s="21">
        <v>7645</v>
      </c>
      <c r="C305" s="23">
        <v>0</v>
      </c>
    </row>
    <row r="306" spans="1:3" x14ac:dyDescent="0.25">
      <c r="A306" s="1">
        <f t="shared" ca="1" si="4"/>
        <v>10155</v>
      </c>
      <c r="B306" s="21">
        <v>7650</v>
      </c>
      <c r="C306" s="23">
        <v>0</v>
      </c>
    </row>
    <row r="307" spans="1:3" x14ac:dyDescent="0.25">
      <c r="A307" s="1">
        <f t="shared" ca="1" si="4"/>
        <v>10156</v>
      </c>
      <c r="B307" s="21">
        <v>7650</v>
      </c>
      <c r="C307" s="23">
        <v>0</v>
      </c>
    </row>
    <row r="308" spans="1:3" x14ac:dyDescent="0.25">
      <c r="A308" s="1">
        <f t="shared" ca="1" si="4"/>
        <v>10157</v>
      </c>
      <c r="B308" s="21">
        <v>7645</v>
      </c>
      <c r="C308" s="23">
        <v>0</v>
      </c>
    </row>
    <row r="309" spans="1:3" x14ac:dyDescent="0.25">
      <c r="A309" s="1">
        <f t="shared" ca="1" si="4"/>
        <v>10158</v>
      </c>
      <c r="B309" s="21">
        <v>7655</v>
      </c>
      <c r="C309" s="23">
        <v>25</v>
      </c>
    </row>
    <row r="310" spans="1:3" x14ac:dyDescent="0.25">
      <c r="A310" s="1">
        <f t="shared" ca="1" si="4"/>
        <v>10159</v>
      </c>
      <c r="B310" s="21">
        <v>7650</v>
      </c>
      <c r="C310" s="23">
        <v>0</v>
      </c>
    </row>
    <row r="311" spans="1:3" x14ac:dyDescent="0.25">
      <c r="A311" s="1">
        <f t="shared" ca="1" si="4"/>
        <v>10160</v>
      </c>
      <c r="B311" s="21">
        <v>7635</v>
      </c>
      <c r="C311" s="23">
        <v>0</v>
      </c>
    </row>
    <row r="312" spans="1:3" x14ac:dyDescent="0.25">
      <c r="A312" s="1">
        <f t="shared" ca="1" si="4"/>
        <v>10161</v>
      </c>
      <c r="B312" s="21">
        <v>7640</v>
      </c>
      <c r="C312" s="23">
        <v>0</v>
      </c>
    </row>
    <row r="313" spans="1:3" x14ac:dyDescent="0.25">
      <c r="A313" s="1">
        <f t="shared" ca="1" si="4"/>
        <v>10162</v>
      </c>
      <c r="B313" s="21">
        <v>7640</v>
      </c>
      <c r="C313" s="23">
        <v>0</v>
      </c>
    </row>
    <row r="314" spans="1:3" x14ac:dyDescent="0.25">
      <c r="A314" s="1">
        <f t="shared" ca="1" si="4"/>
        <v>10163</v>
      </c>
      <c r="B314" s="21">
        <v>7640</v>
      </c>
      <c r="C314" s="23">
        <v>0</v>
      </c>
    </row>
    <row r="315" spans="1:3" x14ac:dyDescent="0.25">
      <c r="A315" s="1">
        <f t="shared" ca="1" si="4"/>
        <v>10164</v>
      </c>
      <c r="B315" s="21">
        <v>7640</v>
      </c>
      <c r="C315" s="23">
        <v>0</v>
      </c>
    </row>
    <row r="316" spans="1:3" x14ac:dyDescent="0.25">
      <c r="A316" s="1">
        <f t="shared" ca="1" si="4"/>
        <v>10165</v>
      </c>
      <c r="B316" s="21">
        <v>7635</v>
      </c>
      <c r="C316" s="23">
        <v>0</v>
      </c>
    </row>
    <row r="317" spans="1:3" x14ac:dyDescent="0.25">
      <c r="A317" s="1">
        <f t="shared" ca="1" si="4"/>
        <v>10166</v>
      </c>
      <c r="B317" s="21">
        <v>7640</v>
      </c>
      <c r="C317" s="23">
        <v>0</v>
      </c>
    </row>
    <row r="318" spans="1:3" x14ac:dyDescent="0.25">
      <c r="A318" s="1" t="str">
        <f t="shared" ca="1" si="4"/>
        <v>Totaal</v>
      </c>
      <c r="B318" s="22">
        <f>IF(COUNT(B287:B317)&gt;0,AVERAGE(B287:B317)/10,"")</f>
        <v>763.62903225806451</v>
      </c>
      <c r="C318" s="26">
        <f>SUM(C287:C317)/10</f>
        <v>22.5</v>
      </c>
    </row>
    <row r="319" spans="1:3" x14ac:dyDescent="0.25">
      <c r="A319" s="1">
        <f t="shared" ca="1" si="4"/>
        <v>10167</v>
      </c>
      <c r="B319" s="21">
        <v>7635</v>
      </c>
      <c r="C319" s="23">
        <v>0</v>
      </c>
    </row>
    <row r="320" spans="1:3" x14ac:dyDescent="0.25">
      <c r="A320" s="1">
        <f t="shared" ca="1" si="4"/>
        <v>10168</v>
      </c>
      <c r="B320" s="21">
        <v>7640</v>
      </c>
      <c r="C320" s="23">
        <v>0</v>
      </c>
    </row>
    <row r="321" spans="1:3" x14ac:dyDescent="0.25">
      <c r="A321" s="1">
        <f t="shared" ca="1" si="4"/>
        <v>10169</v>
      </c>
      <c r="B321" s="21">
        <v>7615</v>
      </c>
      <c r="C321" s="23">
        <v>0</v>
      </c>
    </row>
    <row r="322" spans="1:3" x14ac:dyDescent="0.25">
      <c r="A322" s="1">
        <f t="shared" ca="1" si="4"/>
        <v>10170</v>
      </c>
      <c r="B322" s="21">
        <v>7620</v>
      </c>
      <c r="C322" s="23">
        <v>0</v>
      </c>
    </row>
    <row r="323" spans="1:3" x14ac:dyDescent="0.25">
      <c r="A323" s="1">
        <f t="shared" ca="1" si="4"/>
        <v>10171</v>
      </c>
      <c r="B323" s="21">
        <v>7645</v>
      </c>
      <c r="C323" s="23">
        <v>0</v>
      </c>
    </row>
    <row r="324" spans="1:3" x14ac:dyDescent="0.25">
      <c r="A324" s="1">
        <f t="shared" ca="1" si="4"/>
        <v>10172</v>
      </c>
      <c r="B324" s="21">
        <v>7650</v>
      </c>
      <c r="C324" s="23">
        <v>0</v>
      </c>
    </row>
    <row r="325" spans="1:3" x14ac:dyDescent="0.25">
      <c r="A325" s="1">
        <f t="shared" ca="1" si="4"/>
        <v>10173</v>
      </c>
      <c r="B325" s="21">
        <v>7650</v>
      </c>
      <c r="C325" s="23">
        <v>70</v>
      </c>
    </row>
    <row r="326" spans="1:3" x14ac:dyDescent="0.25">
      <c r="A326" s="1">
        <f t="shared" ca="1" si="4"/>
        <v>10174</v>
      </c>
      <c r="B326" s="21">
        <v>7645</v>
      </c>
      <c r="C326" s="23">
        <v>0</v>
      </c>
    </row>
    <row r="327" spans="1:3" x14ac:dyDescent="0.25">
      <c r="A327" s="1">
        <f t="shared" ref="A327:A381" ca="1" si="5">IF(ISTEXT(A326),A325+1,IF(MONTH(A326+1)=MONTH(A326),A326+1,"Totaal"))</f>
        <v>10175</v>
      </c>
      <c r="B327" s="21">
        <v>7645</v>
      </c>
      <c r="C327" s="23">
        <v>0</v>
      </c>
    </row>
    <row r="328" spans="1:3" x14ac:dyDescent="0.25">
      <c r="A328" s="1">
        <f t="shared" ca="1" si="5"/>
        <v>10176</v>
      </c>
      <c r="B328" s="21">
        <v>7640</v>
      </c>
      <c r="C328" s="23">
        <v>0</v>
      </c>
    </row>
    <row r="329" spans="1:3" x14ac:dyDescent="0.25">
      <c r="A329" s="1">
        <f t="shared" ca="1" si="5"/>
        <v>10177</v>
      </c>
      <c r="B329" s="21">
        <v>7640</v>
      </c>
      <c r="C329" s="23">
        <v>0</v>
      </c>
    </row>
    <row r="330" spans="1:3" x14ac:dyDescent="0.25">
      <c r="A330" s="1">
        <f t="shared" ca="1" si="5"/>
        <v>10178</v>
      </c>
      <c r="B330" s="21">
        <v>7635</v>
      </c>
      <c r="C330" s="23">
        <v>0</v>
      </c>
    </row>
    <row r="331" spans="1:3" x14ac:dyDescent="0.25">
      <c r="A331" s="1">
        <f t="shared" ca="1" si="5"/>
        <v>10179</v>
      </c>
      <c r="B331" s="21">
        <v>7635</v>
      </c>
      <c r="C331" s="23">
        <v>0</v>
      </c>
    </row>
    <row r="332" spans="1:3" x14ac:dyDescent="0.25">
      <c r="A332" s="1">
        <f t="shared" ca="1" si="5"/>
        <v>10180</v>
      </c>
      <c r="B332" s="21">
        <v>7620</v>
      </c>
      <c r="C332" s="23">
        <v>0</v>
      </c>
    </row>
    <row r="333" spans="1:3" x14ac:dyDescent="0.25">
      <c r="A333" s="1">
        <f t="shared" ca="1" si="5"/>
        <v>10181</v>
      </c>
      <c r="B333" s="21">
        <v>7625</v>
      </c>
      <c r="C333" s="23">
        <v>0</v>
      </c>
    </row>
    <row r="334" spans="1:3" x14ac:dyDescent="0.25">
      <c r="A334" s="1">
        <f t="shared" ca="1" si="5"/>
        <v>10182</v>
      </c>
      <c r="B334" s="21">
        <v>7625</v>
      </c>
      <c r="C334" s="23">
        <v>0</v>
      </c>
    </row>
    <row r="335" spans="1:3" x14ac:dyDescent="0.25">
      <c r="A335" s="1">
        <f t="shared" ca="1" si="5"/>
        <v>10183</v>
      </c>
      <c r="B335" s="21">
        <v>7620</v>
      </c>
      <c r="C335" s="23">
        <v>0</v>
      </c>
    </row>
    <row r="336" spans="1:3" x14ac:dyDescent="0.25">
      <c r="A336" s="1">
        <f t="shared" ca="1" si="5"/>
        <v>10184</v>
      </c>
      <c r="B336" s="21">
        <v>7620</v>
      </c>
      <c r="C336" s="23">
        <v>0</v>
      </c>
    </row>
    <row r="337" spans="1:3" x14ac:dyDescent="0.25">
      <c r="A337" s="1">
        <f t="shared" ca="1" si="5"/>
        <v>10185</v>
      </c>
      <c r="B337" s="21">
        <v>7620</v>
      </c>
      <c r="C337" s="23">
        <v>0</v>
      </c>
    </row>
    <row r="338" spans="1:3" x14ac:dyDescent="0.25">
      <c r="A338" s="1">
        <f t="shared" ca="1" si="5"/>
        <v>10186</v>
      </c>
      <c r="B338" s="21">
        <v>7630</v>
      </c>
      <c r="C338" s="23">
        <v>0</v>
      </c>
    </row>
    <row r="339" spans="1:3" x14ac:dyDescent="0.25">
      <c r="A339" s="1">
        <f t="shared" ca="1" si="5"/>
        <v>10187</v>
      </c>
      <c r="B339" s="21">
        <v>7630</v>
      </c>
      <c r="C339" s="23">
        <v>150</v>
      </c>
    </row>
    <row r="340" spans="1:3" x14ac:dyDescent="0.25">
      <c r="A340" s="1">
        <f t="shared" ca="1" si="5"/>
        <v>10188</v>
      </c>
      <c r="B340" s="21">
        <v>7660</v>
      </c>
      <c r="C340" s="23">
        <v>200</v>
      </c>
    </row>
    <row r="341" spans="1:3" x14ac:dyDescent="0.25">
      <c r="A341" s="1">
        <f t="shared" ca="1" si="5"/>
        <v>10189</v>
      </c>
      <c r="B341" s="21">
        <v>7660</v>
      </c>
      <c r="C341" s="23">
        <v>225</v>
      </c>
    </row>
    <row r="342" spans="1:3" x14ac:dyDescent="0.25">
      <c r="A342" s="1">
        <f t="shared" ca="1" si="5"/>
        <v>10190</v>
      </c>
      <c r="B342" s="21">
        <v>7635</v>
      </c>
      <c r="C342" s="23">
        <v>0</v>
      </c>
    </row>
    <row r="343" spans="1:3" x14ac:dyDescent="0.25">
      <c r="A343" s="1">
        <f t="shared" ca="1" si="5"/>
        <v>10191</v>
      </c>
      <c r="B343" s="21">
        <v>7625</v>
      </c>
      <c r="C343" s="23">
        <v>110</v>
      </c>
    </row>
    <row r="344" spans="1:3" x14ac:dyDescent="0.25">
      <c r="A344" s="1">
        <f t="shared" ca="1" si="5"/>
        <v>10192</v>
      </c>
      <c r="B344" s="21">
        <v>7635</v>
      </c>
      <c r="C344" s="23">
        <v>0</v>
      </c>
    </row>
    <row r="345" spans="1:3" x14ac:dyDescent="0.25">
      <c r="A345" s="1">
        <f t="shared" ca="1" si="5"/>
        <v>10193</v>
      </c>
      <c r="B345" s="21">
        <v>7620</v>
      </c>
      <c r="C345" s="23">
        <v>40</v>
      </c>
    </row>
    <row r="346" spans="1:3" x14ac:dyDescent="0.25">
      <c r="A346" s="1">
        <f t="shared" ca="1" si="5"/>
        <v>10194</v>
      </c>
      <c r="B346" s="21">
        <v>7620</v>
      </c>
      <c r="C346" s="23">
        <v>165</v>
      </c>
    </row>
    <row r="347" spans="1:3" x14ac:dyDescent="0.25">
      <c r="A347" s="1">
        <f t="shared" ca="1" si="5"/>
        <v>10195</v>
      </c>
      <c r="B347" s="21">
        <v>7625</v>
      </c>
      <c r="C347" s="23">
        <v>170</v>
      </c>
    </row>
    <row r="348" spans="1:3" x14ac:dyDescent="0.25">
      <c r="A348" s="1">
        <f t="shared" ca="1" si="5"/>
        <v>10196</v>
      </c>
      <c r="B348" s="21">
        <v>7625</v>
      </c>
      <c r="C348" s="23">
        <v>0</v>
      </c>
    </row>
    <row r="349" spans="1:3" x14ac:dyDescent="0.25">
      <c r="A349" s="1" t="str">
        <f t="shared" ca="1" si="5"/>
        <v>Totaal</v>
      </c>
      <c r="B349" s="22">
        <f>IF(COUNT(B319:B348)&gt;0,AVERAGE(B319:B348)/10,"")</f>
        <v>763.3</v>
      </c>
      <c r="C349" s="26">
        <f>SUM(C319:C348)/10</f>
        <v>113</v>
      </c>
    </row>
    <row r="350" spans="1:3" x14ac:dyDescent="0.25">
      <c r="A350" s="1">
        <f t="shared" ca="1" si="5"/>
        <v>10197</v>
      </c>
      <c r="B350" s="21">
        <v>7625</v>
      </c>
      <c r="C350" s="23">
        <v>165</v>
      </c>
    </row>
    <row r="351" spans="1:3" x14ac:dyDescent="0.25">
      <c r="A351" s="1">
        <f t="shared" ca="1" si="5"/>
        <v>10198</v>
      </c>
      <c r="B351" s="21">
        <v>7625</v>
      </c>
      <c r="C351" s="23">
        <v>0</v>
      </c>
    </row>
    <row r="352" spans="1:3" x14ac:dyDescent="0.25">
      <c r="A352" s="1">
        <f t="shared" ca="1" si="5"/>
        <v>10199</v>
      </c>
      <c r="B352" s="21">
        <v>7645</v>
      </c>
      <c r="C352" s="23">
        <v>100</v>
      </c>
    </row>
    <row r="353" spans="1:3" x14ac:dyDescent="0.25">
      <c r="A353" s="1">
        <f t="shared" ca="1" si="5"/>
        <v>10200</v>
      </c>
      <c r="B353" s="21">
        <v>7660</v>
      </c>
      <c r="C353" s="23">
        <v>50</v>
      </c>
    </row>
    <row r="354" spans="1:3" x14ac:dyDescent="0.25">
      <c r="A354" s="1">
        <f t="shared" ca="1" si="5"/>
        <v>10201</v>
      </c>
      <c r="B354" s="21">
        <v>7655</v>
      </c>
      <c r="C354" s="23">
        <v>0</v>
      </c>
    </row>
    <row r="355" spans="1:3" x14ac:dyDescent="0.25">
      <c r="A355" s="1">
        <f t="shared" ca="1" si="5"/>
        <v>10202</v>
      </c>
      <c r="B355" s="21">
        <v>7655</v>
      </c>
      <c r="C355" s="23">
        <v>0</v>
      </c>
    </row>
    <row r="356" spans="1:3" x14ac:dyDescent="0.25">
      <c r="A356" s="1">
        <f t="shared" ca="1" si="5"/>
        <v>10203</v>
      </c>
      <c r="B356" s="21">
        <v>7650</v>
      </c>
      <c r="C356" s="23">
        <v>180</v>
      </c>
    </row>
    <row r="357" spans="1:3" x14ac:dyDescent="0.25">
      <c r="A357" s="1">
        <f t="shared" ca="1" si="5"/>
        <v>10204</v>
      </c>
      <c r="B357" s="21">
        <v>7650</v>
      </c>
      <c r="C357" s="23">
        <v>0</v>
      </c>
    </row>
    <row r="358" spans="1:3" x14ac:dyDescent="0.25">
      <c r="A358" s="1">
        <f t="shared" ca="1" si="5"/>
        <v>10205</v>
      </c>
      <c r="B358" s="21">
        <v>7655</v>
      </c>
      <c r="C358" s="23">
        <v>0</v>
      </c>
    </row>
    <row r="359" spans="1:3" x14ac:dyDescent="0.25">
      <c r="A359" s="1">
        <f t="shared" ca="1" si="5"/>
        <v>10206</v>
      </c>
      <c r="B359" s="21">
        <v>7660</v>
      </c>
      <c r="C359" s="23">
        <v>0</v>
      </c>
    </row>
    <row r="360" spans="1:3" x14ac:dyDescent="0.25">
      <c r="A360" s="1">
        <f t="shared" ca="1" si="5"/>
        <v>10207</v>
      </c>
      <c r="B360" s="21">
        <v>7655</v>
      </c>
      <c r="C360" s="23">
        <v>30</v>
      </c>
    </row>
    <row r="361" spans="1:3" x14ac:dyDescent="0.25">
      <c r="A361" s="1">
        <f t="shared" ca="1" si="5"/>
        <v>10208</v>
      </c>
      <c r="B361" s="21">
        <v>7650</v>
      </c>
      <c r="C361" s="23">
        <v>0</v>
      </c>
    </row>
    <row r="362" spans="1:3" x14ac:dyDescent="0.25">
      <c r="A362" s="1">
        <f t="shared" ca="1" si="5"/>
        <v>10209</v>
      </c>
      <c r="B362" s="21">
        <v>7650</v>
      </c>
      <c r="C362" s="23">
        <v>0</v>
      </c>
    </row>
    <row r="363" spans="1:3" x14ac:dyDescent="0.25">
      <c r="A363" s="1">
        <f t="shared" ca="1" si="5"/>
        <v>10210</v>
      </c>
      <c r="B363" s="21">
        <v>7660</v>
      </c>
      <c r="C363" s="23">
        <v>0</v>
      </c>
    </row>
    <row r="364" spans="1:3" x14ac:dyDescent="0.25">
      <c r="A364" s="1">
        <f t="shared" ca="1" si="5"/>
        <v>10211</v>
      </c>
      <c r="B364" s="21">
        <v>7655</v>
      </c>
      <c r="C364" s="23">
        <v>100</v>
      </c>
    </row>
    <row r="365" spans="1:3" x14ac:dyDescent="0.25">
      <c r="A365" s="1">
        <f t="shared" ca="1" si="5"/>
        <v>10212</v>
      </c>
      <c r="B365" s="21">
        <v>7660</v>
      </c>
      <c r="C365" s="23">
        <v>80</v>
      </c>
    </row>
    <row r="366" spans="1:3" x14ac:dyDescent="0.25">
      <c r="A366" s="1">
        <f t="shared" ca="1" si="5"/>
        <v>10213</v>
      </c>
      <c r="B366" s="21">
        <v>7655</v>
      </c>
      <c r="C366" s="23">
        <v>25</v>
      </c>
    </row>
    <row r="367" spans="1:3" x14ac:dyDescent="0.25">
      <c r="A367" s="1">
        <f t="shared" ca="1" si="5"/>
        <v>10214</v>
      </c>
      <c r="B367" s="21">
        <v>7650</v>
      </c>
      <c r="C367" s="23">
        <v>260</v>
      </c>
    </row>
    <row r="368" spans="1:3" x14ac:dyDescent="0.25">
      <c r="A368" s="1">
        <f t="shared" ca="1" si="5"/>
        <v>10215</v>
      </c>
      <c r="B368" s="21">
        <v>7655</v>
      </c>
      <c r="C368" s="23">
        <v>0</v>
      </c>
    </row>
    <row r="369" spans="1:3" x14ac:dyDescent="0.25">
      <c r="A369" s="1">
        <f t="shared" ca="1" si="5"/>
        <v>10216</v>
      </c>
      <c r="B369" s="21">
        <v>7660</v>
      </c>
      <c r="C369" s="23">
        <v>0</v>
      </c>
    </row>
    <row r="370" spans="1:3" x14ac:dyDescent="0.25">
      <c r="A370" s="1">
        <f t="shared" ca="1" si="5"/>
        <v>10217</v>
      </c>
      <c r="B370" s="21">
        <v>7650</v>
      </c>
      <c r="C370" s="23">
        <v>0</v>
      </c>
    </row>
    <row r="371" spans="1:3" x14ac:dyDescent="0.25">
      <c r="A371" s="1">
        <f t="shared" ca="1" si="5"/>
        <v>10218</v>
      </c>
      <c r="B371" s="21">
        <v>7650</v>
      </c>
      <c r="C371" s="23">
        <v>0</v>
      </c>
    </row>
    <row r="372" spans="1:3" x14ac:dyDescent="0.25">
      <c r="A372" s="1">
        <f t="shared" ca="1" si="5"/>
        <v>10219</v>
      </c>
      <c r="B372" s="21">
        <v>7655</v>
      </c>
      <c r="C372" s="23">
        <v>0</v>
      </c>
    </row>
    <row r="373" spans="1:3" x14ac:dyDescent="0.25">
      <c r="A373" s="1">
        <f t="shared" ca="1" si="5"/>
        <v>10220</v>
      </c>
      <c r="B373" s="21">
        <v>7655</v>
      </c>
      <c r="C373" s="23">
        <v>35</v>
      </c>
    </row>
    <row r="374" spans="1:3" x14ac:dyDescent="0.25">
      <c r="A374" s="1">
        <f t="shared" ca="1" si="5"/>
        <v>10221</v>
      </c>
      <c r="B374" s="21">
        <v>7665</v>
      </c>
      <c r="C374" s="23">
        <v>40</v>
      </c>
    </row>
    <row r="375" spans="1:3" x14ac:dyDescent="0.25">
      <c r="A375" s="1">
        <f t="shared" ca="1" si="5"/>
        <v>10222</v>
      </c>
      <c r="B375" s="21">
        <v>7650</v>
      </c>
      <c r="C375" s="23">
        <v>80</v>
      </c>
    </row>
    <row r="376" spans="1:3" x14ac:dyDescent="0.25">
      <c r="A376" s="1">
        <f t="shared" ca="1" si="5"/>
        <v>10223</v>
      </c>
      <c r="B376" s="21">
        <v>7645</v>
      </c>
      <c r="C376" s="23">
        <v>0</v>
      </c>
    </row>
    <row r="377" spans="1:3" x14ac:dyDescent="0.25">
      <c r="A377" s="1">
        <f t="shared" ca="1" si="5"/>
        <v>10224</v>
      </c>
      <c r="B377" s="21">
        <v>7645</v>
      </c>
      <c r="C377" s="23">
        <v>0</v>
      </c>
    </row>
    <row r="378" spans="1:3" x14ac:dyDescent="0.25">
      <c r="A378" s="1">
        <f t="shared" ca="1" si="5"/>
        <v>10225</v>
      </c>
      <c r="B378" s="21">
        <v>7660</v>
      </c>
      <c r="C378" s="23">
        <v>60</v>
      </c>
    </row>
    <row r="379" spans="1:3" x14ac:dyDescent="0.25">
      <c r="A379" s="1">
        <f t="shared" ca="1" si="5"/>
        <v>10226</v>
      </c>
      <c r="B379" s="21">
        <v>7655</v>
      </c>
      <c r="C379" s="23">
        <v>0</v>
      </c>
    </row>
    <row r="380" spans="1:3" x14ac:dyDescent="0.25">
      <c r="A380" s="1">
        <f t="shared" ca="1" si="5"/>
        <v>10227</v>
      </c>
      <c r="B380" s="21">
        <v>7655</v>
      </c>
      <c r="C380" s="23">
        <v>0</v>
      </c>
    </row>
    <row r="381" spans="1:3" x14ac:dyDescent="0.25">
      <c r="A381" s="1" t="str">
        <f t="shared" ca="1" si="5"/>
        <v>Totaal</v>
      </c>
      <c r="B381" s="22">
        <f>IF(COUNT(B350:B380)&gt;0,AVERAGE(B350:B380)/10,"")</f>
        <v>765.20967741935488</v>
      </c>
      <c r="C381" s="26">
        <f>SUM(C350:C380)/10</f>
        <v>120.5</v>
      </c>
    </row>
  </sheetData>
  <sheetProtection sheet="1" objects="1" scenarios="1" selectLockedCells="1"/>
  <mergeCells count="2">
    <mergeCell ref="A3:A4"/>
    <mergeCell ref="B3:B4"/>
  </mergeCells>
  <conditionalFormatting sqref="A5:C381">
    <cfRule type="expression" dxfId="0" priority="1">
      <formula>ISTEXT($A5)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L11"/>
  <sheetViews>
    <sheetView workbookViewId="0"/>
  </sheetViews>
  <sheetFormatPr defaultRowHeight="15" x14ac:dyDescent="0.25"/>
  <cols>
    <col min="2" max="2" width="14.140625" customWidth="1"/>
    <col min="5" max="5" width="13.7109375" customWidth="1"/>
    <col min="11" max="12" width="17.7109375" customWidth="1"/>
  </cols>
  <sheetData>
    <row r="1" spans="1:12" x14ac:dyDescent="0.25">
      <c r="A1" t="s">
        <v>9</v>
      </c>
      <c r="D1" t="s">
        <v>21</v>
      </c>
      <c r="G1" t="s">
        <v>19</v>
      </c>
      <c r="J1" t="s">
        <v>20</v>
      </c>
    </row>
    <row r="2" spans="1:12" ht="15.75" thickBot="1" x14ac:dyDescent="0.3"/>
    <row r="3" spans="1:12" ht="15.75" thickBot="1" x14ac:dyDescent="0.3">
      <c r="J3" s="33" t="s">
        <v>0</v>
      </c>
      <c r="K3" s="35" t="s">
        <v>27</v>
      </c>
      <c r="L3" s="27" t="s">
        <v>1</v>
      </c>
    </row>
    <row r="4" spans="1:12" x14ac:dyDescent="0.25">
      <c r="A4" s="14" t="s">
        <v>10</v>
      </c>
      <c r="B4" s="13" t="s">
        <v>11</v>
      </c>
      <c r="D4" s="13" t="s">
        <v>22</v>
      </c>
      <c r="E4" s="13" t="s">
        <v>24</v>
      </c>
      <c r="G4" s="9" t="s">
        <v>12</v>
      </c>
      <c r="H4" s="9" t="s">
        <v>13</v>
      </c>
      <c r="J4" s="34"/>
      <c r="K4" s="36"/>
      <c r="L4" s="3" t="s">
        <v>29</v>
      </c>
    </row>
    <row r="5" spans="1:12" x14ac:dyDescent="0.25">
      <c r="A5" s="4">
        <v>32</v>
      </c>
      <c r="B5" t="s">
        <v>29</v>
      </c>
      <c r="D5" t="s">
        <v>6</v>
      </c>
      <c r="E5" t="s">
        <v>23</v>
      </c>
      <c r="G5" t="s">
        <v>14</v>
      </c>
      <c r="H5" s="5">
        <v>0</v>
      </c>
    </row>
    <row r="6" spans="1:12" x14ac:dyDescent="0.25">
      <c r="A6" s="4">
        <v>31</v>
      </c>
      <c r="B6" t="s">
        <v>30</v>
      </c>
      <c r="D6" s="15" t="s">
        <v>8</v>
      </c>
      <c r="E6" s="15" t="s">
        <v>25</v>
      </c>
      <c r="G6" t="s">
        <v>15</v>
      </c>
      <c r="H6" s="5">
        <v>1</v>
      </c>
    </row>
    <row r="7" spans="1:12" ht="15.75" thickBot="1" x14ac:dyDescent="0.3">
      <c r="A7" s="4">
        <v>33</v>
      </c>
      <c r="B7" t="s">
        <v>31</v>
      </c>
      <c r="D7" s="16" t="s">
        <v>4</v>
      </c>
      <c r="E7" s="16" t="s">
        <v>26</v>
      </c>
      <c r="G7" t="s">
        <v>16</v>
      </c>
      <c r="H7" s="5">
        <v>4</v>
      </c>
    </row>
    <row r="8" spans="1:12" x14ac:dyDescent="0.25">
      <c r="A8" s="4">
        <v>34</v>
      </c>
      <c r="B8" t="s">
        <v>32</v>
      </c>
      <c r="G8" t="s">
        <v>17</v>
      </c>
      <c r="H8" s="5">
        <v>6</v>
      </c>
    </row>
    <row r="9" spans="1:12" ht="15.75" thickBot="1" x14ac:dyDescent="0.3">
      <c r="A9" s="4">
        <v>35</v>
      </c>
      <c r="B9" t="s">
        <v>33</v>
      </c>
      <c r="G9" s="6" t="s">
        <v>18</v>
      </c>
      <c r="H9" s="7">
        <v>7</v>
      </c>
    </row>
    <row r="10" spans="1:12" x14ac:dyDescent="0.25">
      <c r="A10" s="4">
        <v>36</v>
      </c>
      <c r="B10" t="s">
        <v>34</v>
      </c>
    </row>
    <row r="11" spans="1:12" ht="15.75" thickBot="1" x14ac:dyDescent="0.3">
      <c r="A11" s="8">
        <v>37</v>
      </c>
      <c r="B11" s="6" t="s">
        <v>35</v>
      </c>
    </row>
  </sheetData>
  <mergeCells count="2">
    <mergeCell ref="J3:J4"/>
    <mergeCell ref="K3:K4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E366"/>
  <sheetViews>
    <sheetView workbookViewId="0"/>
  </sheetViews>
  <sheetFormatPr defaultRowHeight="15" x14ac:dyDescent="0.25"/>
  <sheetData>
    <row r="1" spans="1:5" x14ac:dyDescent="0.25">
      <c r="A1" s="3" t="s">
        <v>2</v>
      </c>
      <c r="B1" s="2" t="s">
        <v>0</v>
      </c>
      <c r="C1" s="3" t="s">
        <v>3</v>
      </c>
      <c r="D1" s="3" t="s">
        <v>4</v>
      </c>
      <c r="E1" s="3" t="s">
        <v>5</v>
      </c>
    </row>
    <row r="2" spans="1:5" x14ac:dyDescent="0.25">
      <c r="A2" s="4">
        <f ca="1">INDEX(Stations,INT((ROWS(A$2:A2)-1)/(DATE(YEAR(Invoer!$A$5),12,31)-DATE(YEAR(Invoer!$A$5),1,1)+1))+2,1)</f>
        <v>32</v>
      </c>
      <c r="B2" t="str">
        <f ca="1">TEXT(DATE(YEAR(Invoer!$A$5),1,1)+MOD(ROWS(B$2:B2)-1,DATE(YEAR(Invoer!$A$5),12,31)-DATE(YEAR(Invoer!$A$5),1,1)+1),"jjjjmmdd")</f>
        <v>19270101</v>
      </c>
      <c r="C2" s="5">
        <v>1</v>
      </c>
      <c r="D2" s="10">
        <f t="shared" ref="D2:D65" ca="1" si="0">IF(OR(ISBLANK(VLOOKUP(DATEVALUE(LEFT(B2,4)&amp;"-"&amp;MID(B2,5,2)&amp;"-"&amp;RIGHT(B2,2)),Data,MATCH(VLOOKUP(A2,Stations,2,FALSE()),OFFSET(Data,1,0,1),0),FALSE())),ISTEXT(VLOOKUP(DATEVALUE(LEFT(B2,4)&amp;"-"&amp;MID(B2,5,2)&amp;"-"&amp;RIGHT(B2,2)),Data,MATCH(VLOOKUP(A2,Stations,2,FALSE()),OFFSET(Data,1,0,1),0),FALSE()))),"—",VLOOKUP(DATEVALUE(LEFT(B2,4)&amp;"-"&amp;MID(B2,5,2)&amp;"-"&amp;RIGHT(B2,2)),Data,MATCH(VLOOKUP(A2,Stations,2,FALSE()),OFFSET(Data,1,0,1),0),FALSE()))</f>
        <v>0</v>
      </c>
      <c r="E2" s="11">
        <f t="shared" ref="E2:E65" ca="1" si="1">IF(OR(ISBLANK(VLOOKUP(DATEVALUE(LEFT(B2,4)&amp;"-"&amp;MID(B2,5,2)&amp;"-"&amp;RIGHT(B2,2)),Data,MATCH(VLOOKUP(A2,Stations,2,FALSE()),OFFSET(Data,1,0,1),0),FALSE())),ISTEXT(VLOOKUP(DATEVALUE(LEFT(B2,4)&amp;"-"&amp;MID(B2,5,2)&amp;"-"&amp;RIGHT(B2,2)),Data,MATCH(VLOOKUP(A2,Stations,2,FALSE()),OFFSET(Data,1,0,1),0),FALSE()))),Lacking,IF(ISNA(MATCH(DATEVALUE(LEFT(B2,4)&amp;"-"&amp;MID(B2,5,2)&amp;"-"&amp;RIGHT(B2,2)),OFFSET(Catalogus,0,0,,1),0)),Ok,VLOOKUP(DATEVALUE(LEFT(B2,4)&amp;"-"&amp;MID(B2,5,2)&amp;"-"&amp;RIGHT(B2,2)),Catalogus,MATCH(VLOOKUP(A2,Stations,2,FALSE()),OFFSET(Catalogus,1,0,1),0),FALSE())))</f>
        <v>0</v>
      </c>
    </row>
    <row r="3" spans="1:5" x14ac:dyDescent="0.25">
      <c r="A3" s="4">
        <f ca="1">INDEX(Stations,INT((ROWS(A$2:A3)-1)/(DATE(YEAR(Invoer!$A$5),12,31)-DATE(YEAR(Invoer!$A$5),1,1)+1))+2,1)</f>
        <v>32</v>
      </c>
      <c r="B3" t="str">
        <f ca="1">TEXT(DATE(YEAR(Invoer!$A$5),1,1)+MOD(ROWS(B$2:B3)-1,DATE(YEAR(Invoer!$A$5),12,31)-DATE(YEAR(Invoer!$A$5),1,1)+1),"jjjjmmdd")</f>
        <v>19270102</v>
      </c>
      <c r="C3" s="5">
        <v>1</v>
      </c>
      <c r="D3" s="10">
        <f t="shared" ca="1" si="0"/>
        <v>0</v>
      </c>
      <c r="E3" s="11">
        <f t="shared" ca="1" si="1"/>
        <v>0</v>
      </c>
    </row>
    <row r="4" spans="1:5" x14ac:dyDescent="0.25">
      <c r="A4" s="4">
        <f ca="1">INDEX(Stations,INT((ROWS(A$2:A4)-1)/(DATE(YEAR(Invoer!$A$5),12,31)-DATE(YEAR(Invoer!$A$5),1,1)+1))+2,1)</f>
        <v>32</v>
      </c>
      <c r="B4" t="str">
        <f ca="1">TEXT(DATE(YEAR(Invoer!$A$5),1,1)+MOD(ROWS(B$2:B4)-1,DATE(YEAR(Invoer!$A$5),12,31)-DATE(YEAR(Invoer!$A$5),1,1)+1),"jjjjmmdd")</f>
        <v>19270103</v>
      </c>
      <c r="C4" s="5">
        <v>1</v>
      </c>
      <c r="D4" s="10">
        <f t="shared" ca="1" si="0"/>
        <v>0</v>
      </c>
      <c r="E4" s="11">
        <f t="shared" ca="1" si="1"/>
        <v>0</v>
      </c>
    </row>
    <row r="5" spans="1:5" x14ac:dyDescent="0.25">
      <c r="A5" s="4">
        <f ca="1">INDEX(Stations,INT((ROWS(A$2:A5)-1)/(DATE(YEAR(Invoer!$A$5),12,31)-DATE(YEAR(Invoer!$A$5),1,1)+1))+2,1)</f>
        <v>32</v>
      </c>
      <c r="B5" t="str">
        <f ca="1">TEXT(DATE(YEAR(Invoer!$A$5),1,1)+MOD(ROWS(B$2:B5)-1,DATE(YEAR(Invoer!$A$5),12,31)-DATE(YEAR(Invoer!$A$5),1,1)+1),"jjjjmmdd")</f>
        <v>19270104</v>
      </c>
      <c r="C5" s="5">
        <v>1</v>
      </c>
      <c r="D5" s="10">
        <f t="shared" ca="1" si="0"/>
        <v>0</v>
      </c>
      <c r="E5" s="11">
        <f t="shared" ca="1" si="1"/>
        <v>0</v>
      </c>
    </row>
    <row r="6" spans="1:5" x14ac:dyDescent="0.25">
      <c r="A6" s="4">
        <f ca="1">INDEX(Stations,INT((ROWS(A$2:A6)-1)/(DATE(YEAR(Invoer!$A$5),12,31)-DATE(YEAR(Invoer!$A$5),1,1)+1))+2,1)</f>
        <v>32</v>
      </c>
      <c r="B6" t="str">
        <f ca="1">TEXT(DATE(YEAR(Invoer!$A$5),1,1)+MOD(ROWS(B$2:B6)-1,DATE(YEAR(Invoer!$A$5),12,31)-DATE(YEAR(Invoer!$A$5),1,1)+1),"jjjjmmdd")</f>
        <v>19270105</v>
      </c>
      <c r="C6" s="5">
        <v>1</v>
      </c>
      <c r="D6" s="10">
        <f t="shared" ca="1" si="0"/>
        <v>70</v>
      </c>
      <c r="E6" s="11">
        <f t="shared" ca="1" si="1"/>
        <v>0</v>
      </c>
    </row>
    <row r="7" spans="1:5" x14ac:dyDescent="0.25">
      <c r="A7" s="4">
        <f ca="1">INDEX(Stations,INT((ROWS(A$2:A7)-1)/(DATE(YEAR(Invoer!$A$5),12,31)-DATE(YEAR(Invoer!$A$5),1,1)+1))+2,1)</f>
        <v>32</v>
      </c>
      <c r="B7" t="str">
        <f ca="1">TEXT(DATE(YEAR(Invoer!$A$5),1,1)+MOD(ROWS(B$2:B7)-1,DATE(YEAR(Invoer!$A$5),12,31)-DATE(YEAR(Invoer!$A$5),1,1)+1),"jjjjmmdd")</f>
        <v>19270106</v>
      </c>
      <c r="C7" s="5">
        <v>1</v>
      </c>
      <c r="D7" s="10">
        <f t="shared" ca="1" si="0"/>
        <v>0</v>
      </c>
      <c r="E7" s="11">
        <f t="shared" ca="1" si="1"/>
        <v>0</v>
      </c>
    </row>
    <row r="8" spans="1:5" x14ac:dyDescent="0.25">
      <c r="A8" s="4">
        <f ca="1">INDEX(Stations,INT((ROWS(A$2:A8)-1)/(DATE(YEAR(Invoer!$A$5),12,31)-DATE(YEAR(Invoer!$A$5),1,1)+1))+2,1)</f>
        <v>32</v>
      </c>
      <c r="B8" t="str">
        <f ca="1">TEXT(DATE(YEAR(Invoer!$A$5),1,1)+MOD(ROWS(B$2:B8)-1,DATE(YEAR(Invoer!$A$5),12,31)-DATE(YEAR(Invoer!$A$5),1,1)+1),"jjjjmmdd")</f>
        <v>19270107</v>
      </c>
      <c r="C8" s="5">
        <v>1</v>
      </c>
      <c r="D8" s="10">
        <f t="shared" ca="1" si="0"/>
        <v>40</v>
      </c>
      <c r="E8" s="11">
        <f t="shared" ca="1" si="1"/>
        <v>0</v>
      </c>
    </row>
    <row r="9" spans="1:5" x14ac:dyDescent="0.25">
      <c r="A9" s="4">
        <f ca="1">INDEX(Stations,INT((ROWS(A$2:A9)-1)/(DATE(YEAR(Invoer!$A$5),12,31)-DATE(YEAR(Invoer!$A$5),1,1)+1))+2,1)</f>
        <v>32</v>
      </c>
      <c r="B9" t="str">
        <f ca="1">TEXT(DATE(YEAR(Invoer!$A$5),1,1)+MOD(ROWS(B$2:B9)-1,DATE(YEAR(Invoer!$A$5),12,31)-DATE(YEAR(Invoer!$A$5),1,1)+1),"jjjjmmdd")</f>
        <v>19270108</v>
      </c>
      <c r="C9" s="5">
        <v>1</v>
      </c>
      <c r="D9" s="10">
        <f t="shared" ca="1" si="0"/>
        <v>100</v>
      </c>
      <c r="E9" s="11">
        <f t="shared" ca="1" si="1"/>
        <v>0</v>
      </c>
    </row>
    <row r="10" spans="1:5" x14ac:dyDescent="0.25">
      <c r="A10" s="4">
        <f ca="1">INDEX(Stations,INT((ROWS(A$2:A10)-1)/(DATE(YEAR(Invoer!$A$5),12,31)-DATE(YEAR(Invoer!$A$5),1,1)+1))+2,1)</f>
        <v>32</v>
      </c>
      <c r="B10" t="str">
        <f ca="1">TEXT(DATE(YEAR(Invoer!$A$5),1,1)+MOD(ROWS(B$2:B10)-1,DATE(YEAR(Invoer!$A$5),12,31)-DATE(YEAR(Invoer!$A$5),1,1)+1),"jjjjmmdd")</f>
        <v>19270109</v>
      </c>
      <c r="C10" s="5">
        <v>1</v>
      </c>
      <c r="D10" s="10">
        <f t="shared" ca="1" si="0"/>
        <v>0</v>
      </c>
      <c r="E10" s="11">
        <f t="shared" ca="1" si="1"/>
        <v>0</v>
      </c>
    </row>
    <row r="11" spans="1:5" x14ac:dyDescent="0.25">
      <c r="A11" s="4">
        <f ca="1">INDEX(Stations,INT((ROWS(A$2:A11)-1)/(DATE(YEAR(Invoer!$A$5),12,31)-DATE(YEAR(Invoer!$A$5),1,1)+1))+2,1)</f>
        <v>32</v>
      </c>
      <c r="B11" t="str">
        <f ca="1">TEXT(DATE(YEAR(Invoer!$A$5),1,1)+MOD(ROWS(B$2:B11)-1,DATE(YEAR(Invoer!$A$5),12,31)-DATE(YEAR(Invoer!$A$5),1,1)+1),"jjjjmmdd")</f>
        <v>19270110</v>
      </c>
      <c r="C11" s="5">
        <v>1</v>
      </c>
      <c r="D11" s="10">
        <f t="shared" ca="1" si="0"/>
        <v>0</v>
      </c>
      <c r="E11" s="11">
        <f t="shared" ca="1" si="1"/>
        <v>0</v>
      </c>
    </row>
    <row r="12" spans="1:5" x14ac:dyDescent="0.25">
      <c r="A12" s="4">
        <f ca="1">INDEX(Stations,INT((ROWS(A$2:A12)-1)/(DATE(YEAR(Invoer!$A$5),12,31)-DATE(YEAR(Invoer!$A$5),1,1)+1))+2,1)</f>
        <v>32</v>
      </c>
      <c r="B12" t="str">
        <f ca="1">TEXT(DATE(YEAR(Invoer!$A$5),1,1)+MOD(ROWS(B$2:B12)-1,DATE(YEAR(Invoer!$A$5),12,31)-DATE(YEAR(Invoer!$A$5),1,1)+1),"jjjjmmdd")</f>
        <v>19270111</v>
      </c>
      <c r="C12" s="5">
        <v>1</v>
      </c>
      <c r="D12" s="10">
        <f t="shared" ca="1" si="0"/>
        <v>0</v>
      </c>
      <c r="E12" s="11">
        <f t="shared" ca="1" si="1"/>
        <v>0</v>
      </c>
    </row>
    <row r="13" spans="1:5" x14ac:dyDescent="0.25">
      <c r="A13" s="4">
        <f ca="1">INDEX(Stations,INT((ROWS(A$2:A13)-1)/(DATE(YEAR(Invoer!$A$5),12,31)-DATE(YEAR(Invoer!$A$5),1,1)+1))+2,1)</f>
        <v>32</v>
      </c>
      <c r="B13" t="str">
        <f ca="1">TEXT(DATE(YEAR(Invoer!$A$5),1,1)+MOD(ROWS(B$2:B13)-1,DATE(YEAR(Invoer!$A$5),12,31)-DATE(YEAR(Invoer!$A$5),1,1)+1),"jjjjmmdd")</f>
        <v>19270112</v>
      </c>
      <c r="C13" s="5">
        <v>1</v>
      </c>
      <c r="D13" s="10">
        <f t="shared" ca="1" si="0"/>
        <v>0</v>
      </c>
      <c r="E13" s="11">
        <f t="shared" ca="1" si="1"/>
        <v>0</v>
      </c>
    </row>
    <row r="14" spans="1:5" x14ac:dyDescent="0.25">
      <c r="A14" s="4">
        <f ca="1">INDEX(Stations,INT((ROWS(A$2:A14)-1)/(DATE(YEAR(Invoer!$A$5),12,31)-DATE(YEAR(Invoer!$A$5),1,1)+1))+2,1)</f>
        <v>32</v>
      </c>
      <c r="B14" t="str">
        <f ca="1">TEXT(DATE(YEAR(Invoer!$A$5),1,1)+MOD(ROWS(B$2:B14)-1,DATE(YEAR(Invoer!$A$5),12,31)-DATE(YEAR(Invoer!$A$5),1,1)+1),"jjjjmmdd")</f>
        <v>19270113</v>
      </c>
      <c r="C14" s="5">
        <v>1</v>
      </c>
      <c r="D14" s="10">
        <f t="shared" ca="1" si="0"/>
        <v>0</v>
      </c>
      <c r="E14" s="11">
        <f t="shared" ca="1" si="1"/>
        <v>0</v>
      </c>
    </row>
    <row r="15" spans="1:5" x14ac:dyDescent="0.25">
      <c r="A15" s="4">
        <f ca="1">INDEX(Stations,INT((ROWS(A$2:A15)-1)/(DATE(YEAR(Invoer!$A$5),12,31)-DATE(YEAR(Invoer!$A$5),1,1)+1))+2,1)</f>
        <v>32</v>
      </c>
      <c r="B15" t="str">
        <f ca="1">TEXT(DATE(YEAR(Invoer!$A$5),1,1)+MOD(ROWS(B$2:B15)-1,DATE(YEAR(Invoer!$A$5),12,31)-DATE(YEAR(Invoer!$A$5),1,1)+1),"jjjjmmdd")</f>
        <v>19270114</v>
      </c>
      <c r="C15" s="5">
        <v>1</v>
      </c>
      <c r="D15" s="10">
        <f t="shared" ca="1" si="0"/>
        <v>0</v>
      </c>
      <c r="E15" s="11">
        <f t="shared" ca="1" si="1"/>
        <v>0</v>
      </c>
    </row>
    <row r="16" spans="1:5" x14ac:dyDescent="0.25">
      <c r="A16" s="4">
        <f ca="1">INDEX(Stations,INT((ROWS(A$2:A16)-1)/(DATE(YEAR(Invoer!$A$5),12,31)-DATE(YEAR(Invoer!$A$5),1,1)+1))+2,1)</f>
        <v>32</v>
      </c>
      <c r="B16" t="str">
        <f ca="1">TEXT(DATE(YEAR(Invoer!$A$5),1,1)+MOD(ROWS(B$2:B16)-1,DATE(YEAR(Invoer!$A$5),12,31)-DATE(YEAR(Invoer!$A$5),1,1)+1),"jjjjmmdd")</f>
        <v>19270115</v>
      </c>
      <c r="C16" s="5">
        <v>1</v>
      </c>
      <c r="D16" s="10">
        <f t="shared" ca="1" si="0"/>
        <v>20</v>
      </c>
      <c r="E16" s="11">
        <f t="shared" ca="1" si="1"/>
        <v>0</v>
      </c>
    </row>
    <row r="17" spans="1:5" x14ac:dyDescent="0.25">
      <c r="A17" s="4">
        <f ca="1">INDEX(Stations,INT((ROWS(A$2:A17)-1)/(DATE(YEAR(Invoer!$A$5),12,31)-DATE(YEAR(Invoer!$A$5),1,1)+1))+2,1)</f>
        <v>32</v>
      </c>
      <c r="B17" t="str">
        <f ca="1">TEXT(DATE(YEAR(Invoer!$A$5),1,1)+MOD(ROWS(B$2:B17)-1,DATE(YEAR(Invoer!$A$5),12,31)-DATE(YEAR(Invoer!$A$5),1,1)+1),"jjjjmmdd")</f>
        <v>19270116</v>
      </c>
      <c r="C17" s="5">
        <v>1</v>
      </c>
      <c r="D17" s="10">
        <f t="shared" ca="1" si="0"/>
        <v>0</v>
      </c>
      <c r="E17" s="11">
        <f t="shared" ca="1" si="1"/>
        <v>0</v>
      </c>
    </row>
    <row r="18" spans="1:5" x14ac:dyDescent="0.25">
      <c r="A18" s="4">
        <f ca="1">INDEX(Stations,INT((ROWS(A$2:A18)-1)/(DATE(YEAR(Invoer!$A$5),12,31)-DATE(YEAR(Invoer!$A$5),1,1)+1))+2,1)</f>
        <v>32</v>
      </c>
      <c r="B18" t="str">
        <f ca="1">TEXT(DATE(YEAR(Invoer!$A$5),1,1)+MOD(ROWS(B$2:B18)-1,DATE(YEAR(Invoer!$A$5),12,31)-DATE(YEAR(Invoer!$A$5),1,1)+1),"jjjjmmdd")</f>
        <v>19270117</v>
      </c>
      <c r="C18" s="5">
        <v>1</v>
      </c>
      <c r="D18" s="10">
        <f t="shared" ca="1" si="0"/>
        <v>0</v>
      </c>
      <c r="E18" s="11">
        <f t="shared" ca="1" si="1"/>
        <v>0</v>
      </c>
    </row>
    <row r="19" spans="1:5" x14ac:dyDescent="0.25">
      <c r="A19" s="4">
        <f ca="1">INDEX(Stations,INT((ROWS(A$2:A19)-1)/(DATE(YEAR(Invoer!$A$5),12,31)-DATE(YEAR(Invoer!$A$5),1,1)+1))+2,1)</f>
        <v>32</v>
      </c>
      <c r="B19" t="str">
        <f ca="1">TEXT(DATE(YEAR(Invoer!$A$5),1,1)+MOD(ROWS(B$2:B19)-1,DATE(YEAR(Invoer!$A$5),12,31)-DATE(YEAR(Invoer!$A$5),1,1)+1),"jjjjmmdd")</f>
        <v>19270118</v>
      </c>
      <c r="C19" s="5">
        <v>1</v>
      </c>
      <c r="D19" s="10">
        <f t="shared" ca="1" si="0"/>
        <v>0</v>
      </c>
      <c r="E19" s="11">
        <f t="shared" ca="1" si="1"/>
        <v>0</v>
      </c>
    </row>
    <row r="20" spans="1:5" x14ac:dyDescent="0.25">
      <c r="A20" s="4">
        <f ca="1">INDEX(Stations,INT((ROWS(A$2:A20)-1)/(DATE(YEAR(Invoer!$A$5),12,31)-DATE(YEAR(Invoer!$A$5),1,1)+1))+2,1)</f>
        <v>32</v>
      </c>
      <c r="B20" t="str">
        <f ca="1">TEXT(DATE(YEAR(Invoer!$A$5),1,1)+MOD(ROWS(B$2:B20)-1,DATE(YEAR(Invoer!$A$5),12,31)-DATE(YEAR(Invoer!$A$5),1,1)+1),"jjjjmmdd")</f>
        <v>19270119</v>
      </c>
      <c r="C20" s="5">
        <v>1</v>
      </c>
      <c r="D20" s="10">
        <f t="shared" ca="1" si="0"/>
        <v>90</v>
      </c>
      <c r="E20" s="11">
        <f t="shared" ca="1" si="1"/>
        <v>0</v>
      </c>
    </row>
    <row r="21" spans="1:5" x14ac:dyDescent="0.25">
      <c r="A21" s="4">
        <f ca="1">INDEX(Stations,INT((ROWS(A$2:A21)-1)/(DATE(YEAR(Invoer!$A$5),12,31)-DATE(YEAR(Invoer!$A$5),1,1)+1))+2,1)</f>
        <v>32</v>
      </c>
      <c r="B21" t="str">
        <f ca="1">TEXT(DATE(YEAR(Invoer!$A$5),1,1)+MOD(ROWS(B$2:B21)-1,DATE(YEAR(Invoer!$A$5),12,31)-DATE(YEAR(Invoer!$A$5),1,1)+1),"jjjjmmdd")</f>
        <v>19270120</v>
      </c>
      <c r="C21" s="5">
        <v>1</v>
      </c>
      <c r="D21" s="10">
        <f t="shared" ca="1" si="0"/>
        <v>0</v>
      </c>
      <c r="E21" s="11">
        <f t="shared" ca="1" si="1"/>
        <v>0</v>
      </c>
    </row>
    <row r="22" spans="1:5" x14ac:dyDescent="0.25">
      <c r="A22" s="4">
        <f ca="1">INDEX(Stations,INT((ROWS(A$2:A22)-1)/(DATE(YEAR(Invoer!$A$5),12,31)-DATE(YEAR(Invoer!$A$5),1,1)+1))+2,1)</f>
        <v>32</v>
      </c>
      <c r="B22" t="str">
        <f ca="1">TEXT(DATE(YEAR(Invoer!$A$5),1,1)+MOD(ROWS(B$2:B22)-1,DATE(YEAR(Invoer!$A$5),12,31)-DATE(YEAR(Invoer!$A$5),1,1)+1),"jjjjmmdd")</f>
        <v>19270121</v>
      </c>
      <c r="C22" s="5">
        <v>1</v>
      </c>
      <c r="D22" s="10">
        <f t="shared" ca="1" si="0"/>
        <v>170</v>
      </c>
      <c r="E22" s="11">
        <f t="shared" ca="1" si="1"/>
        <v>0</v>
      </c>
    </row>
    <row r="23" spans="1:5" x14ac:dyDescent="0.25">
      <c r="A23" s="4">
        <f ca="1">INDEX(Stations,INT((ROWS(A$2:A23)-1)/(DATE(YEAR(Invoer!$A$5),12,31)-DATE(YEAR(Invoer!$A$5),1,1)+1))+2,1)</f>
        <v>32</v>
      </c>
      <c r="B23" t="str">
        <f ca="1">TEXT(DATE(YEAR(Invoer!$A$5),1,1)+MOD(ROWS(B$2:B23)-1,DATE(YEAR(Invoer!$A$5),12,31)-DATE(YEAR(Invoer!$A$5),1,1)+1),"jjjjmmdd")</f>
        <v>19270122</v>
      </c>
      <c r="C23" s="5">
        <v>1</v>
      </c>
      <c r="D23" s="10">
        <f t="shared" ca="1" si="0"/>
        <v>0</v>
      </c>
      <c r="E23" s="11">
        <f t="shared" ca="1" si="1"/>
        <v>0</v>
      </c>
    </row>
    <row r="24" spans="1:5" x14ac:dyDescent="0.25">
      <c r="A24" s="4">
        <f ca="1">INDEX(Stations,INT((ROWS(A$2:A24)-1)/(DATE(YEAR(Invoer!$A$5),12,31)-DATE(YEAR(Invoer!$A$5),1,1)+1))+2,1)</f>
        <v>32</v>
      </c>
      <c r="B24" t="str">
        <f ca="1">TEXT(DATE(YEAR(Invoer!$A$5),1,1)+MOD(ROWS(B$2:B24)-1,DATE(YEAR(Invoer!$A$5),12,31)-DATE(YEAR(Invoer!$A$5),1,1)+1),"jjjjmmdd")</f>
        <v>19270123</v>
      </c>
      <c r="C24" s="5">
        <v>1</v>
      </c>
      <c r="D24" s="10">
        <f t="shared" ca="1" si="0"/>
        <v>410</v>
      </c>
      <c r="E24" s="11">
        <f t="shared" ca="1" si="1"/>
        <v>0</v>
      </c>
    </row>
    <row r="25" spans="1:5" x14ac:dyDescent="0.25">
      <c r="A25" s="4">
        <f ca="1">INDEX(Stations,INT((ROWS(A$2:A25)-1)/(DATE(YEAR(Invoer!$A$5),12,31)-DATE(YEAR(Invoer!$A$5),1,1)+1))+2,1)</f>
        <v>32</v>
      </c>
      <c r="B25" t="str">
        <f ca="1">TEXT(DATE(YEAR(Invoer!$A$5),1,1)+MOD(ROWS(B$2:B25)-1,DATE(YEAR(Invoer!$A$5),12,31)-DATE(YEAR(Invoer!$A$5),1,1)+1),"jjjjmmdd")</f>
        <v>19270124</v>
      </c>
      <c r="C25" s="5">
        <v>1</v>
      </c>
      <c r="D25" s="10">
        <f t="shared" ca="1" si="0"/>
        <v>0</v>
      </c>
      <c r="E25" s="11">
        <f t="shared" ca="1" si="1"/>
        <v>0</v>
      </c>
    </row>
    <row r="26" spans="1:5" x14ac:dyDescent="0.25">
      <c r="A26" s="4">
        <f ca="1">INDEX(Stations,INT((ROWS(A$2:A26)-1)/(DATE(YEAR(Invoer!$A$5),12,31)-DATE(YEAR(Invoer!$A$5),1,1)+1))+2,1)</f>
        <v>32</v>
      </c>
      <c r="B26" t="str">
        <f ca="1">TEXT(DATE(YEAR(Invoer!$A$5),1,1)+MOD(ROWS(B$2:B26)-1,DATE(YEAR(Invoer!$A$5),12,31)-DATE(YEAR(Invoer!$A$5),1,1)+1),"jjjjmmdd")</f>
        <v>19270125</v>
      </c>
      <c r="C26" s="5">
        <v>1</v>
      </c>
      <c r="D26" s="10">
        <f t="shared" ca="1" si="0"/>
        <v>0</v>
      </c>
      <c r="E26" s="11">
        <f t="shared" ca="1" si="1"/>
        <v>0</v>
      </c>
    </row>
    <row r="27" spans="1:5" x14ac:dyDescent="0.25">
      <c r="A27" s="4">
        <f ca="1">INDEX(Stations,INT((ROWS(A$2:A27)-1)/(DATE(YEAR(Invoer!$A$5),12,31)-DATE(YEAR(Invoer!$A$5),1,1)+1))+2,1)</f>
        <v>32</v>
      </c>
      <c r="B27" t="str">
        <f ca="1">TEXT(DATE(YEAR(Invoer!$A$5),1,1)+MOD(ROWS(B$2:B27)-1,DATE(YEAR(Invoer!$A$5),12,31)-DATE(YEAR(Invoer!$A$5),1,1)+1),"jjjjmmdd")</f>
        <v>19270126</v>
      </c>
      <c r="C27" s="5">
        <v>1</v>
      </c>
      <c r="D27" s="10">
        <f t="shared" ca="1" si="0"/>
        <v>0</v>
      </c>
      <c r="E27" s="11">
        <f t="shared" ca="1" si="1"/>
        <v>0</v>
      </c>
    </row>
    <row r="28" spans="1:5" x14ac:dyDescent="0.25">
      <c r="A28" s="4">
        <f ca="1">INDEX(Stations,INT((ROWS(A$2:A28)-1)/(DATE(YEAR(Invoer!$A$5),12,31)-DATE(YEAR(Invoer!$A$5),1,1)+1))+2,1)</f>
        <v>32</v>
      </c>
      <c r="B28" t="str">
        <f ca="1">TEXT(DATE(YEAR(Invoer!$A$5),1,1)+MOD(ROWS(B$2:B28)-1,DATE(YEAR(Invoer!$A$5),12,31)-DATE(YEAR(Invoer!$A$5),1,1)+1),"jjjjmmdd")</f>
        <v>19270127</v>
      </c>
      <c r="C28" s="5">
        <v>1</v>
      </c>
      <c r="D28" s="10">
        <f t="shared" ca="1" si="0"/>
        <v>0</v>
      </c>
      <c r="E28" s="11">
        <f t="shared" ca="1" si="1"/>
        <v>0</v>
      </c>
    </row>
    <row r="29" spans="1:5" x14ac:dyDescent="0.25">
      <c r="A29" s="4">
        <f ca="1">INDEX(Stations,INT((ROWS(A$2:A29)-1)/(DATE(YEAR(Invoer!$A$5),12,31)-DATE(YEAR(Invoer!$A$5),1,1)+1))+2,1)</f>
        <v>32</v>
      </c>
      <c r="B29" t="str">
        <f ca="1">TEXT(DATE(YEAR(Invoer!$A$5),1,1)+MOD(ROWS(B$2:B29)-1,DATE(YEAR(Invoer!$A$5),12,31)-DATE(YEAR(Invoer!$A$5),1,1)+1),"jjjjmmdd")</f>
        <v>19270128</v>
      </c>
      <c r="C29" s="5">
        <v>1</v>
      </c>
      <c r="D29" s="10">
        <f t="shared" ca="1" si="0"/>
        <v>60</v>
      </c>
      <c r="E29" s="11">
        <f t="shared" ca="1" si="1"/>
        <v>0</v>
      </c>
    </row>
    <row r="30" spans="1:5" x14ac:dyDescent="0.25">
      <c r="A30" s="4">
        <f ca="1">INDEX(Stations,INT((ROWS(A$2:A30)-1)/(DATE(YEAR(Invoer!$A$5),12,31)-DATE(YEAR(Invoer!$A$5),1,1)+1))+2,1)</f>
        <v>32</v>
      </c>
      <c r="B30" t="str">
        <f ca="1">TEXT(DATE(YEAR(Invoer!$A$5),1,1)+MOD(ROWS(B$2:B30)-1,DATE(YEAR(Invoer!$A$5),12,31)-DATE(YEAR(Invoer!$A$5),1,1)+1),"jjjjmmdd")</f>
        <v>19270129</v>
      </c>
      <c r="C30" s="5">
        <v>1</v>
      </c>
      <c r="D30" s="10">
        <f t="shared" ca="1" si="0"/>
        <v>0</v>
      </c>
      <c r="E30" s="11">
        <f t="shared" ca="1" si="1"/>
        <v>0</v>
      </c>
    </row>
    <row r="31" spans="1:5" x14ac:dyDescent="0.25">
      <c r="A31" s="4">
        <f ca="1">INDEX(Stations,INT((ROWS(A$2:A31)-1)/(DATE(YEAR(Invoer!$A$5),12,31)-DATE(YEAR(Invoer!$A$5),1,1)+1))+2,1)</f>
        <v>32</v>
      </c>
      <c r="B31" t="str">
        <f ca="1">TEXT(DATE(YEAR(Invoer!$A$5),1,1)+MOD(ROWS(B$2:B31)-1,DATE(YEAR(Invoer!$A$5),12,31)-DATE(YEAR(Invoer!$A$5),1,1)+1),"jjjjmmdd")</f>
        <v>19270130</v>
      </c>
      <c r="C31" s="5">
        <v>1</v>
      </c>
      <c r="D31" s="10">
        <f t="shared" ca="1" si="0"/>
        <v>50</v>
      </c>
      <c r="E31" s="11">
        <f t="shared" ca="1" si="1"/>
        <v>0</v>
      </c>
    </row>
    <row r="32" spans="1:5" x14ac:dyDescent="0.25">
      <c r="A32" s="4">
        <f ca="1">INDEX(Stations,INT((ROWS(A$2:A32)-1)/(DATE(YEAR(Invoer!$A$5),12,31)-DATE(YEAR(Invoer!$A$5),1,1)+1))+2,1)</f>
        <v>32</v>
      </c>
      <c r="B32" t="str">
        <f ca="1">TEXT(DATE(YEAR(Invoer!$A$5),1,1)+MOD(ROWS(B$2:B32)-1,DATE(YEAR(Invoer!$A$5),12,31)-DATE(YEAR(Invoer!$A$5),1,1)+1),"jjjjmmdd")</f>
        <v>19270131</v>
      </c>
      <c r="C32" s="5">
        <v>1</v>
      </c>
      <c r="D32" s="10">
        <f t="shared" ca="1" si="0"/>
        <v>0</v>
      </c>
      <c r="E32" s="11">
        <f t="shared" ca="1" si="1"/>
        <v>0</v>
      </c>
    </row>
    <row r="33" spans="1:5" x14ac:dyDescent="0.25">
      <c r="A33" s="4">
        <f ca="1">INDEX(Stations,INT((ROWS(A$2:A33)-1)/(DATE(YEAR(Invoer!$A$5),12,31)-DATE(YEAR(Invoer!$A$5),1,1)+1))+2,1)</f>
        <v>32</v>
      </c>
      <c r="B33" t="str">
        <f ca="1">TEXT(DATE(YEAR(Invoer!$A$5),1,1)+MOD(ROWS(B$2:B33)-1,DATE(YEAR(Invoer!$A$5),12,31)-DATE(YEAR(Invoer!$A$5),1,1)+1),"jjjjmmdd")</f>
        <v>19270201</v>
      </c>
      <c r="C33" s="5">
        <v>1</v>
      </c>
      <c r="D33" s="10">
        <f t="shared" ca="1" si="0"/>
        <v>0</v>
      </c>
      <c r="E33" s="11">
        <f t="shared" ca="1" si="1"/>
        <v>0</v>
      </c>
    </row>
    <row r="34" spans="1:5" x14ac:dyDescent="0.25">
      <c r="A34" s="4">
        <f ca="1">INDEX(Stations,INT((ROWS(A$2:A34)-1)/(DATE(YEAR(Invoer!$A$5),12,31)-DATE(YEAR(Invoer!$A$5),1,1)+1))+2,1)</f>
        <v>32</v>
      </c>
      <c r="B34" t="str">
        <f ca="1">TEXT(DATE(YEAR(Invoer!$A$5),1,1)+MOD(ROWS(B$2:B34)-1,DATE(YEAR(Invoer!$A$5),12,31)-DATE(YEAR(Invoer!$A$5),1,1)+1),"jjjjmmdd")</f>
        <v>19270202</v>
      </c>
      <c r="C34" s="5">
        <v>1</v>
      </c>
      <c r="D34" s="10">
        <f t="shared" ca="1" si="0"/>
        <v>0</v>
      </c>
      <c r="E34" s="11">
        <f t="shared" ca="1" si="1"/>
        <v>0</v>
      </c>
    </row>
    <row r="35" spans="1:5" x14ac:dyDescent="0.25">
      <c r="A35" s="4">
        <f ca="1">INDEX(Stations,INT((ROWS(A$2:A35)-1)/(DATE(YEAR(Invoer!$A$5),12,31)-DATE(YEAR(Invoer!$A$5),1,1)+1))+2,1)</f>
        <v>32</v>
      </c>
      <c r="B35" t="str">
        <f ca="1">TEXT(DATE(YEAR(Invoer!$A$5),1,1)+MOD(ROWS(B$2:B35)-1,DATE(YEAR(Invoer!$A$5),12,31)-DATE(YEAR(Invoer!$A$5),1,1)+1),"jjjjmmdd")</f>
        <v>19270203</v>
      </c>
      <c r="C35" s="5">
        <v>1</v>
      </c>
      <c r="D35" s="10">
        <f t="shared" ca="1" si="0"/>
        <v>0</v>
      </c>
      <c r="E35" s="11">
        <f t="shared" ca="1" si="1"/>
        <v>0</v>
      </c>
    </row>
    <row r="36" spans="1:5" x14ac:dyDescent="0.25">
      <c r="A36" s="4">
        <f ca="1">INDEX(Stations,INT((ROWS(A$2:A36)-1)/(DATE(YEAR(Invoer!$A$5),12,31)-DATE(YEAR(Invoer!$A$5),1,1)+1))+2,1)</f>
        <v>32</v>
      </c>
      <c r="B36" t="str">
        <f ca="1">TEXT(DATE(YEAR(Invoer!$A$5),1,1)+MOD(ROWS(B$2:B36)-1,DATE(YEAR(Invoer!$A$5),12,31)-DATE(YEAR(Invoer!$A$5),1,1)+1),"jjjjmmdd")</f>
        <v>19270204</v>
      </c>
      <c r="C36" s="5">
        <v>1</v>
      </c>
      <c r="D36" s="10">
        <f t="shared" ca="1" si="0"/>
        <v>0</v>
      </c>
      <c r="E36" s="11">
        <f t="shared" ca="1" si="1"/>
        <v>0</v>
      </c>
    </row>
    <row r="37" spans="1:5" x14ac:dyDescent="0.25">
      <c r="A37" s="4">
        <f ca="1">INDEX(Stations,INT((ROWS(A$2:A37)-1)/(DATE(YEAR(Invoer!$A$5),12,31)-DATE(YEAR(Invoer!$A$5),1,1)+1))+2,1)</f>
        <v>32</v>
      </c>
      <c r="B37" t="str">
        <f ca="1">TEXT(DATE(YEAR(Invoer!$A$5),1,1)+MOD(ROWS(B$2:B37)-1,DATE(YEAR(Invoer!$A$5),12,31)-DATE(YEAR(Invoer!$A$5),1,1)+1),"jjjjmmdd")</f>
        <v>19270205</v>
      </c>
      <c r="C37" s="5">
        <v>1</v>
      </c>
      <c r="D37" s="10">
        <f t="shared" ca="1" si="0"/>
        <v>30</v>
      </c>
      <c r="E37" s="11">
        <f t="shared" ca="1" si="1"/>
        <v>0</v>
      </c>
    </row>
    <row r="38" spans="1:5" x14ac:dyDescent="0.25">
      <c r="A38" s="4">
        <f ca="1">INDEX(Stations,INT((ROWS(A$2:A38)-1)/(DATE(YEAR(Invoer!$A$5),12,31)-DATE(YEAR(Invoer!$A$5),1,1)+1))+2,1)</f>
        <v>32</v>
      </c>
      <c r="B38" t="str">
        <f ca="1">TEXT(DATE(YEAR(Invoer!$A$5),1,1)+MOD(ROWS(B$2:B38)-1,DATE(YEAR(Invoer!$A$5),12,31)-DATE(YEAR(Invoer!$A$5),1,1)+1),"jjjjmmdd")</f>
        <v>19270206</v>
      </c>
      <c r="C38" s="5">
        <v>1</v>
      </c>
      <c r="D38" s="10">
        <f t="shared" ca="1" si="0"/>
        <v>50</v>
      </c>
      <c r="E38" s="11">
        <f t="shared" ca="1" si="1"/>
        <v>0</v>
      </c>
    </row>
    <row r="39" spans="1:5" x14ac:dyDescent="0.25">
      <c r="A39" s="4">
        <f ca="1">INDEX(Stations,INT((ROWS(A$2:A39)-1)/(DATE(YEAR(Invoer!$A$5),12,31)-DATE(YEAR(Invoer!$A$5),1,1)+1))+2,1)</f>
        <v>32</v>
      </c>
      <c r="B39" t="str">
        <f ca="1">TEXT(DATE(YEAR(Invoer!$A$5),1,1)+MOD(ROWS(B$2:B39)-1,DATE(YEAR(Invoer!$A$5),12,31)-DATE(YEAR(Invoer!$A$5),1,1)+1),"jjjjmmdd")</f>
        <v>19270207</v>
      </c>
      <c r="C39" s="5">
        <v>1</v>
      </c>
      <c r="D39" s="10">
        <f t="shared" ca="1" si="0"/>
        <v>10</v>
      </c>
      <c r="E39" s="11">
        <f t="shared" ca="1" si="1"/>
        <v>0</v>
      </c>
    </row>
    <row r="40" spans="1:5" x14ac:dyDescent="0.25">
      <c r="A40" s="4">
        <f ca="1">INDEX(Stations,INT((ROWS(A$2:A40)-1)/(DATE(YEAR(Invoer!$A$5),12,31)-DATE(YEAR(Invoer!$A$5),1,1)+1))+2,1)</f>
        <v>32</v>
      </c>
      <c r="B40" t="str">
        <f ca="1">TEXT(DATE(YEAR(Invoer!$A$5),1,1)+MOD(ROWS(B$2:B40)-1,DATE(YEAR(Invoer!$A$5),12,31)-DATE(YEAR(Invoer!$A$5),1,1)+1),"jjjjmmdd")</f>
        <v>19270208</v>
      </c>
      <c r="C40" s="5">
        <v>1</v>
      </c>
      <c r="D40" s="10">
        <f t="shared" ca="1" si="0"/>
        <v>15</v>
      </c>
      <c r="E40" s="11">
        <f t="shared" ca="1" si="1"/>
        <v>0</v>
      </c>
    </row>
    <row r="41" spans="1:5" x14ac:dyDescent="0.25">
      <c r="A41" s="4">
        <f ca="1">INDEX(Stations,INT((ROWS(A$2:A41)-1)/(DATE(YEAR(Invoer!$A$5),12,31)-DATE(YEAR(Invoer!$A$5),1,1)+1))+2,1)</f>
        <v>32</v>
      </c>
      <c r="B41" t="str">
        <f ca="1">TEXT(DATE(YEAR(Invoer!$A$5),1,1)+MOD(ROWS(B$2:B41)-1,DATE(YEAR(Invoer!$A$5),12,31)-DATE(YEAR(Invoer!$A$5),1,1)+1),"jjjjmmdd")</f>
        <v>19270209</v>
      </c>
      <c r="C41" s="5">
        <v>1</v>
      </c>
      <c r="D41" s="10">
        <f t="shared" ca="1" si="0"/>
        <v>10</v>
      </c>
      <c r="E41" s="11">
        <f t="shared" ca="1" si="1"/>
        <v>0</v>
      </c>
    </row>
    <row r="42" spans="1:5" x14ac:dyDescent="0.25">
      <c r="A42" s="4">
        <f ca="1">INDEX(Stations,INT((ROWS(A$2:A42)-1)/(DATE(YEAR(Invoer!$A$5),12,31)-DATE(YEAR(Invoer!$A$5),1,1)+1))+2,1)</f>
        <v>32</v>
      </c>
      <c r="B42" t="str">
        <f ca="1">TEXT(DATE(YEAR(Invoer!$A$5),1,1)+MOD(ROWS(B$2:B42)-1,DATE(YEAR(Invoer!$A$5),12,31)-DATE(YEAR(Invoer!$A$5),1,1)+1),"jjjjmmdd")</f>
        <v>19270210</v>
      </c>
      <c r="C42" s="5">
        <v>1</v>
      </c>
      <c r="D42" s="10">
        <f t="shared" ca="1" si="0"/>
        <v>35</v>
      </c>
      <c r="E42" s="11">
        <f t="shared" ca="1" si="1"/>
        <v>0</v>
      </c>
    </row>
    <row r="43" spans="1:5" x14ac:dyDescent="0.25">
      <c r="A43" s="4">
        <f ca="1">INDEX(Stations,INT((ROWS(A$2:A43)-1)/(DATE(YEAR(Invoer!$A$5),12,31)-DATE(YEAR(Invoer!$A$5),1,1)+1))+2,1)</f>
        <v>32</v>
      </c>
      <c r="B43" t="str">
        <f ca="1">TEXT(DATE(YEAR(Invoer!$A$5),1,1)+MOD(ROWS(B$2:B43)-1,DATE(YEAR(Invoer!$A$5),12,31)-DATE(YEAR(Invoer!$A$5),1,1)+1),"jjjjmmdd")</f>
        <v>19270211</v>
      </c>
      <c r="C43" s="5">
        <v>1</v>
      </c>
      <c r="D43" s="10">
        <f t="shared" ca="1" si="0"/>
        <v>25</v>
      </c>
      <c r="E43" s="11">
        <f t="shared" ca="1" si="1"/>
        <v>0</v>
      </c>
    </row>
    <row r="44" spans="1:5" x14ac:dyDescent="0.25">
      <c r="A44" s="4">
        <f ca="1">INDEX(Stations,INT((ROWS(A$2:A44)-1)/(DATE(YEAR(Invoer!$A$5),12,31)-DATE(YEAR(Invoer!$A$5),1,1)+1))+2,1)</f>
        <v>32</v>
      </c>
      <c r="B44" t="str">
        <f ca="1">TEXT(DATE(YEAR(Invoer!$A$5),1,1)+MOD(ROWS(B$2:B44)-1,DATE(YEAR(Invoer!$A$5),12,31)-DATE(YEAR(Invoer!$A$5),1,1)+1),"jjjjmmdd")</f>
        <v>19270212</v>
      </c>
      <c r="C44" s="5">
        <v>1</v>
      </c>
      <c r="D44" s="10">
        <f t="shared" ca="1" si="0"/>
        <v>15</v>
      </c>
      <c r="E44" s="11">
        <f t="shared" ca="1" si="1"/>
        <v>0</v>
      </c>
    </row>
    <row r="45" spans="1:5" x14ac:dyDescent="0.25">
      <c r="A45" s="4">
        <f ca="1">INDEX(Stations,INT((ROWS(A$2:A45)-1)/(DATE(YEAR(Invoer!$A$5),12,31)-DATE(YEAR(Invoer!$A$5),1,1)+1))+2,1)</f>
        <v>32</v>
      </c>
      <c r="B45" t="str">
        <f ca="1">TEXT(DATE(YEAR(Invoer!$A$5),1,1)+MOD(ROWS(B$2:B45)-1,DATE(YEAR(Invoer!$A$5),12,31)-DATE(YEAR(Invoer!$A$5),1,1)+1),"jjjjmmdd")</f>
        <v>19270213</v>
      </c>
      <c r="C45" s="5">
        <v>1</v>
      </c>
      <c r="D45" s="10">
        <f t="shared" ca="1" si="0"/>
        <v>0</v>
      </c>
      <c r="E45" s="11">
        <f t="shared" ca="1" si="1"/>
        <v>0</v>
      </c>
    </row>
    <row r="46" spans="1:5" x14ac:dyDescent="0.25">
      <c r="A46" s="4">
        <f ca="1">INDEX(Stations,INT((ROWS(A$2:A46)-1)/(DATE(YEAR(Invoer!$A$5),12,31)-DATE(YEAR(Invoer!$A$5),1,1)+1))+2,1)</f>
        <v>32</v>
      </c>
      <c r="B46" t="str">
        <f ca="1">TEXT(DATE(YEAR(Invoer!$A$5),1,1)+MOD(ROWS(B$2:B46)-1,DATE(YEAR(Invoer!$A$5),12,31)-DATE(YEAR(Invoer!$A$5),1,1)+1),"jjjjmmdd")</f>
        <v>19270214</v>
      </c>
      <c r="C46" s="5">
        <v>1</v>
      </c>
      <c r="D46" s="10">
        <f t="shared" ca="1" si="0"/>
        <v>0</v>
      </c>
      <c r="E46" s="11">
        <f t="shared" ca="1" si="1"/>
        <v>0</v>
      </c>
    </row>
    <row r="47" spans="1:5" x14ac:dyDescent="0.25">
      <c r="A47" s="4">
        <f ca="1">INDEX(Stations,INT((ROWS(A$2:A47)-1)/(DATE(YEAR(Invoer!$A$5),12,31)-DATE(YEAR(Invoer!$A$5),1,1)+1))+2,1)</f>
        <v>32</v>
      </c>
      <c r="B47" t="str">
        <f ca="1">TEXT(DATE(YEAR(Invoer!$A$5),1,1)+MOD(ROWS(B$2:B47)-1,DATE(YEAR(Invoer!$A$5),12,31)-DATE(YEAR(Invoer!$A$5),1,1)+1),"jjjjmmdd")</f>
        <v>19270215</v>
      </c>
      <c r="C47" s="5">
        <v>1</v>
      </c>
      <c r="D47" s="10">
        <f t="shared" ca="1" si="0"/>
        <v>0</v>
      </c>
      <c r="E47" s="11">
        <f t="shared" ca="1" si="1"/>
        <v>0</v>
      </c>
    </row>
    <row r="48" spans="1:5" x14ac:dyDescent="0.25">
      <c r="A48" s="4">
        <f ca="1">INDEX(Stations,INT((ROWS(A$2:A48)-1)/(DATE(YEAR(Invoer!$A$5),12,31)-DATE(YEAR(Invoer!$A$5),1,1)+1))+2,1)</f>
        <v>32</v>
      </c>
      <c r="B48" t="str">
        <f ca="1">TEXT(DATE(YEAR(Invoer!$A$5),1,1)+MOD(ROWS(B$2:B48)-1,DATE(YEAR(Invoer!$A$5),12,31)-DATE(YEAR(Invoer!$A$5),1,1)+1),"jjjjmmdd")</f>
        <v>19270216</v>
      </c>
      <c r="C48" s="5">
        <v>1</v>
      </c>
      <c r="D48" s="10">
        <f t="shared" ca="1" si="0"/>
        <v>0</v>
      </c>
      <c r="E48" s="11">
        <f t="shared" ca="1" si="1"/>
        <v>0</v>
      </c>
    </row>
    <row r="49" spans="1:5" x14ac:dyDescent="0.25">
      <c r="A49" s="4">
        <f ca="1">INDEX(Stations,INT((ROWS(A$2:A49)-1)/(DATE(YEAR(Invoer!$A$5),12,31)-DATE(YEAR(Invoer!$A$5),1,1)+1))+2,1)</f>
        <v>32</v>
      </c>
      <c r="B49" t="str">
        <f ca="1">TEXT(DATE(YEAR(Invoer!$A$5),1,1)+MOD(ROWS(B$2:B49)-1,DATE(YEAR(Invoer!$A$5),12,31)-DATE(YEAR(Invoer!$A$5),1,1)+1),"jjjjmmdd")</f>
        <v>19270217</v>
      </c>
      <c r="C49" s="5">
        <v>1</v>
      </c>
      <c r="D49" s="10">
        <f t="shared" ca="1" si="0"/>
        <v>0</v>
      </c>
      <c r="E49" s="11">
        <f t="shared" ca="1" si="1"/>
        <v>0</v>
      </c>
    </row>
    <row r="50" spans="1:5" x14ac:dyDescent="0.25">
      <c r="A50" s="4">
        <f ca="1">INDEX(Stations,INT((ROWS(A$2:A50)-1)/(DATE(YEAR(Invoer!$A$5),12,31)-DATE(YEAR(Invoer!$A$5),1,1)+1))+2,1)</f>
        <v>32</v>
      </c>
      <c r="B50" t="str">
        <f ca="1">TEXT(DATE(YEAR(Invoer!$A$5),1,1)+MOD(ROWS(B$2:B50)-1,DATE(YEAR(Invoer!$A$5),12,31)-DATE(YEAR(Invoer!$A$5),1,1)+1),"jjjjmmdd")</f>
        <v>19270218</v>
      </c>
      <c r="C50" s="5">
        <v>1</v>
      </c>
      <c r="D50" s="10">
        <f t="shared" ca="1" si="0"/>
        <v>0</v>
      </c>
      <c r="E50" s="11">
        <f t="shared" ca="1" si="1"/>
        <v>0</v>
      </c>
    </row>
    <row r="51" spans="1:5" x14ac:dyDescent="0.25">
      <c r="A51" s="4">
        <f ca="1">INDEX(Stations,INT((ROWS(A$2:A51)-1)/(DATE(YEAR(Invoer!$A$5),12,31)-DATE(YEAR(Invoer!$A$5),1,1)+1))+2,1)</f>
        <v>32</v>
      </c>
      <c r="B51" t="str">
        <f ca="1">TEXT(DATE(YEAR(Invoer!$A$5),1,1)+MOD(ROWS(B$2:B51)-1,DATE(YEAR(Invoer!$A$5),12,31)-DATE(YEAR(Invoer!$A$5),1,1)+1),"jjjjmmdd")</f>
        <v>19270219</v>
      </c>
      <c r="C51" s="5">
        <v>1</v>
      </c>
      <c r="D51" s="10">
        <f t="shared" ca="1" si="0"/>
        <v>0</v>
      </c>
      <c r="E51" s="11">
        <f t="shared" ca="1" si="1"/>
        <v>0</v>
      </c>
    </row>
    <row r="52" spans="1:5" x14ac:dyDescent="0.25">
      <c r="A52" s="4">
        <f ca="1">INDEX(Stations,INT((ROWS(A$2:A52)-1)/(DATE(YEAR(Invoer!$A$5),12,31)-DATE(YEAR(Invoer!$A$5),1,1)+1))+2,1)</f>
        <v>32</v>
      </c>
      <c r="B52" t="str">
        <f ca="1">TEXT(DATE(YEAR(Invoer!$A$5),1,1)+MOD(ROWS(B$2:B52)-1,DATE(YEAR(Invoer!$A$5),12,31)-DATE(YEAR(Invoer!$A$5),1,1)+1),"jjjjmmdd")</f>
        <v>19270220</v>
      </c>
      <c r="C52" s="5">
        <v>1</v>
      </c>
      <c r="D52" s="10">
        <f t="shared" ca="1" si="0"/>
        <v>0</v>
      </c>
      <c r="E52" s="11">
        <f t="shared" ca="1" si="1"/>
        <v>0</v>
      </c>
    </row>
    <row r="53" spans="1:5" x14ac:dyDescent="0.25">
      <c r="A53" s="4">
        <f ca="1">INDEX(Stations,INT((ROWS(A$2:A53)-1)/(DATE(YEAR(Invoer!$A$5),12,31)-DATE(YEAR(Invoer!$A$5),1,1)+1))+2,1)</f>
        <v>32</v>
      </c>
      <c r="B53" t="str">
        <f ca="1">TEXT(DATE(YEAR(Invoer!$A$5),1,1)+MOD(ROWS(B$2:B53)-1,DATE(YEAR(Invoer!$A$5),12,31)-DATE(YEAR(Invoer!$A$5),1,1)+1),"jjjjmmdd")</f>
        <v>19270221</v>
      </c>
      <c r="C53" s="5">
        <v>1</v>
      </c>
      <c r="D53" s="10">
        <f t="shared" ca="1" si="0"/>
        <v>0</v>
      </c>
      <c r="E53" s="11">
        <f t="shared" ca="1" si="1"/>
        <v>0</v>
      </c>
    </row>
    <row r="54" spans="1:5" x14ac:dyDescent="0.25">
      <c r="A54" s="4">
        <f ca="1">INDEX(Stations,INT((ROWS(A$2:A54)-1)/(DATE(YEAR(Invoer!$A$5),12,31)-DATE(YEAR(Invoer!$A$5),1,1)+1))+2,1)</f>
        <v>32</v>
      </c>
      <c r="B54" t="str">
        <f ca="1">TEXT(DATE(YEAR(Invoer!$A$5),1,1)+MOD(ROWS(B$2:B54)-1,DATE(YEAR(Invoer!$A$5),12,31)-DATE(YEAR(Invoer!$A$5),1,1)+1),"jjjjmmdd")</f>
        <v>19270222</v>
      </c>
      <c r="C54" s="5">
        <v>1</v>
      </c>
      <c r="D54" s="10">
        <f t="shared" ca="1" si="0"/>
        <v>0</v>
      </c>
      <c r="E54" s="11">
        <f t="shared" ca="1" si="1"/>
        <v>0</v>
      </c>
    </row>
    <row r="55" spans="1:5" x14ac:dyDescent="0.25">
      <c r="A55" s="4">
        <f ca="1">INDEX(Stations,INT((ROWS(A$2:A55)-1)/(DATE(YEAR(Invoer!$A$5),12,31)-DATE(YEAR(Invoer!$A$5),1,1)+1))+2,1)</f>
        <v>32</v>
      </c>
      <c r="B55" t="str">
        <f ca="1">TEXT(DATE(YEAR(Invoer!$A$5),1,1)+MOD(ROWS(B$2:B55)-1,DATE(YEAR(Invoer!$A$5),12,31)-DATE(YEAR(Invoer!$A$5),1,1)+1),"jjjjmmdd")</f>
        <v>19270223</v>
      </c>
      <c r="C55" s="5">
        <v>1</v>
      </c>
      <c r="D55" s="10">
        <f t="shared" ca="1" si="0"/>
        <v>0</v>
      </c>
      <c r="E55" s="11">
        <f t="shared" ca="1" si="1"/>
        <v>0</v>
      </c>
    </row>
    <row r="56" spans="1:5" x14ac:dyDescent="0.25">
      <c r="A56" s="4">
        <f ca="1">INDEX(Stations,INT((ROWS(A$2:A56)-1)/(DATE(YEAR(Invoer!$A$5),12,31)-DATE(YEAR(Invoer!$A$5),1,1)+1))+2,1)</f>
        <v>32</v>
      </c>
      <c r="B56" t="str">
        <f ca="1">TEXT(DATE(YEAR(Invoer!$A$5),1,1)+MOD(ROWS(B$2:B56)-1,DATE(YEAR(Invoer!$A$5),12,31)-DATE(YEAR(Invoer!$A$5),1,1)+1),"jjjjmmdd")</f>
        <v>19270224</v>
      </c>
      <c r="C56" s="5">
        <v>1</v>
      </c>
      <c r="D56" s="10">
        <f t="shared" ca="1" si="0"/>
        <v>0</v>
      </c>
      <c r="E56" s="11">
        <f t="shared" ca="1" si="1"/>
        <v>0</v>
      </c>
    </row>
    <row r="57" spans="1:5" x14ac:dyDescent="0.25">
      <c r="A57" s="4">
        <f ca="1">INDEX(Stations,INT((ROWS(A$2:A57)-1)/(DATE(YEAR(Invoer!$A$5),12,31)-DATE(YEAR(Invoer!$A$5),1,1)+1))+2,1)</f>
        <v>32</v>
      </c>
      <c r="B57" t="str">
        <f ca="1">TEXT(DATE(YEAR(Invoer!$A$5),1,1)+MOD(ROWS(B$2:B57)-1,DATE(YEAR(Invoer!$A$5),12,31)-DATE(YEAR(Invoer!$A$5),1,1)+1),"jjjjmmdd")</f>
        <v>19270225</v>
      </c>
      <c r="C57" s="5">
        <v>1</v>
      </c>
      <c r="D57" s="10">
        <f t="shared" ca="1" si="0"/>
        <v>0</v>
      </c>
      <c r="E57" s="11">
        <f t="shared" ca="1" si="1"/>
        <v>0</v>
      </c>
    </row>
    <row r="58" spans="1:5" x14ac:dyDescent="0.25">
      <c r="A58" s="4">
        <f ca="1">INDEX(Stations,INT((ROWS(A$2:A58)-1)/(DATE(YEAR(Invoer!$A$5),12,31)-DATE(YEAR(Invoer!$A$5),1,1)+1))+2,1)</f>
        <v>32</v>
      </c>
      <c r="B58" t="str">
        <f ca="1">TEXT(DATE(YEAR(Invoer!$A$5),1,1)+MOD(ROWS(B$2:B58)-1,DATE(YEAR(Invoer!$A$5),12,31)-DATE(YEAR(Invoer!$A$5),1,1)+1),"jjjjmmdd")</f>
        <v>19270226</v>
      </c>
      <c r="C58" s="5">
        <v>1</v>
      </c>
      <c r="D58" s="10">
        <f t="shared" ca="1" si="0"/>
        <v>0</v>
      </c>
      <c r="E58" s="11">
        <f t="shared" ca="1" si="1"/>
        <v>0</v>
      </c>
    </row>
    <row r="59" spans="1:5" x14ac:dyDescent="0.25">
      <c r="A59" s="4">
        <f ca="1">INDEX(Stations,INT((ROWS(A$2:A59)-1)/(DATE(YEAR(Invoer!$A$5),12,31)-DATE(YEAR(Invoer!$A$5),1,1)+1))+2,1)</f>
        <v>32</v>
      </c>
      <c r="B59" t="str">
        <f ca="1">TEXT(DATE(YEAR(Invoer!$A$5),1,1)+MOD(ROWS(B$2:B59)-1,DATE(YEAR(Invoer!$A$5),12,31)-DATE(YEAR(Invoer!$A$5),1,1)+1),"jjjjmmdd")</f>
        <v>19270227</v>
      </c>
      <c r="C59" s="5">
        <v>1</v>
      </c>
      <c r="D59" s="10">
        <f t="shared" ca="1" si="0"/>
        <v>0</v>
      </c>
      <c r="E59" s="11">
        <f t="shared" ca="1" si="1"/>
        <v>0</v>
      </c>
    </row>
    <row r="60" spans="1:5" x14ac:dyDescent="0.25">
      <c r="A60" s="4">
        <f ca="1">INDEX(Stations,INT((ROWS(A$2:A60)-1)/(DATE(YEAR(Invoer!$A$5),12,31)-DATE(YEAR(Invoer!$A$5),1,1)+1))+2,1)</f>
        <v>32</v>
      </c>
      <c r="B60" t="str">
        <f ca="1">TEXT(DATE(YEAR(Invoer!$A$5),1,1)+MOD(ROWS(B$2:B60)-1,DATE(YEAR(Invoer!$A$5),12,31)-DATE(YEAR(Invoer!$A$5),1,1)+1),"jjjjmmdd")</f>
        <v>19270228</v>
      </c>
      <c r="C60" s="5">
        <v>1</v>
      </c>
      <c r="D60" s="10">
        <f t="shared" ca="1" si="0"/>
        <v>0</v>
      </c>
      <c r="E60" s="11">
        <f t="shared" ca="1" si="1"/>
        <v>0</v>
      </c>
    </row>
    <row r="61" spans="1:5" x14ac:dyDescent="0.25">
      <c r="A61" s="4">
        <f ca="1">INDEX(Stations,INT((ROWS(A$2:A61)-1)/(DATE(YEAR(Invoer!$A$5),12,31)-DATE(YEAR(Invoer!$A$5),1,1)+1))+2,1)</f>
        <v>32</v>
      </c>
      <c r="B61" t="str">
        <f ca="1">TEXT(DATE(YEAR(Invoer!$A$5),1,1)+MOD(ROWS(B$2:B61)-1,DATE(YEAR(Invoer!$A$5),12,31)-DATE(YEAR(Invoer!$A$5),1,1)+1),"jjjjmmdd")</f>
        <v>19270301</v>
      </c>
      <c r="C61" s="5">
        <v>1</v>
      </c>
      <c r="D61" s="10">
        <f t="shared" ca="1" si="0"/>
        <v>0</v>
      </c>
      <c r="E61" s="11">
        <f t="shared" ca="1" si="1"/>
        <v>0</v>
      </c>
    </row>
    <row r="62" spans="1:5" x14ac:dyDescent="0.25">
      <c r="A62" s="4">
        <f ca="1">INDEX(Stations,INT((ROWS(A$2:A62)-1)/(DATE(YEAR(Invoer!$A$5),12,31)-DATE(YEAR(Invoer!$A$5),1,1)+1))+2,1)</f>
        <v>32</v>
      </c>
      <c r="B62" t="str">
        <f ca="1">TEXT(DATE(YEAR(Invoer!$A$5),1,1)+MOD(ROWS(B$2:B62)-1,DATE(YEAR(Invoer!$A$5),12,31)-DATE(YEAR(Invoer!$A$5),1,1)+1),"jjjjmmdd")</f>
        <v>19270302</v>
      </c>
      <c r="C62" s="5">
        <v>1</v>
      </c>
      <c r="D62" s="10">
        <f t="shared" ca="1" si="0"/>
        <v>0</v>
      </c>
      <c r="E62" s="11">
        <f t="shared" ca="1" si="1"/>
        <v>0</v>
      </c>
    </row>
    <row r="63" spans="1:5" x14ac:dyDescent="0.25">
      <c r="A63" s="4">
        <f ca="1">INDEX(Stations,INT((ROWS(A$2:A63)-1)/(DATE(YEAR(Invoer!$A$5),12,31)-DATE(YEAR(Invoer!$A$5),1,1)+1))+2,1)</f>
        <v>32</v>
      </c>
      <c r="B63" t="str">
        <f ca="1">TEXT(DATE(YEAR(Invoer!$A$5),1,1)+MOD(ROWS(B$2:B63)-1,DATE(YEAR(Invoer!$A$5),12,31)-DATE(YEAR(Invoer!$A$5),1,1)+1),"jjjjmmdd")</f>
        <v>19270303</v>
      </c>
      <c r="C63" s="5">
        <v>1</v>
      </c>
      <c r="D63" s="10">
        <f t="shared" ca="1" si="0"/>
        <v>0</v>
      </c>
      <c r="E63" s="11">
        <f t="shared" ca="1" si="1"/>
        <v>0</v>
      </c>
    </row>
    <row r="64" spans="1:5" x14ac:dyDescent="0.25">
      <c r="A64" s="4">
        <f ca="1">INDEX(Stations,INT((ROWS(A$2:A64)-1)/(DATE(YEAR(Invoer!$A$5),12,31)-DATE(YEAR(Invoer!$A$5),1,1)+1))+2,1)</f>
        <v>32</v>
      </c>
      <c r="B64" t="str">
        <f ca="1">TEXT(DATE(YEAR(Invoer!$A$5),1,1)+MOD(ROWS(B$2:B64)-1,DATE(YEAR(Invoer!$A$5),12,31)-DATE(YEAR(Invoer!$A$5),1,1)+1),"jjjjmmdd")</f>
        <v>19270304</v>
      </c>
      <c r="C64" s="5">
        <v>1</v>
      </c>
      <c r="D64" s="10">
        <f t="shared" ca="1" si="0"/>
        <v>0</v>
      </c>
      <c r="E64" s="11">
        <f t="shared" ca="1" si="1"/>
        <v>0</v>
      </c>
    </row>
    <row r="65" spans="1:5" x14ac:dyDescent="0.25">
      <c r="A65" s="4">
        <f ca="1">INDEX(Stations,INT((ROWS(A$2:A65)-1)/(DATE(YEAR(Invoer!$A$5),12,31)-DATE(YEAR(Invoer!$A$5),1,1)+1))+2,1)</f>
        <v>32</v>
      </c>
      <c r="B65" t="str">
        <f ca="1">TEXT(DATE(YEAR(Invoer!$A$5),1,1)+MOD(ROWS(B$2:B65)-1,DATE(YEAR(Invoer!$A$5),12,31)-DATE(YEAR(Invoer!$A$5),1,1)+1),"jjjjmmdd")</f>
        <v>19270305</v>
      </c>
      <c r="C65" s="5">
        <v>1</v>
      </c>
      <c r="D65" s="10">
        <f t="shared" ca="1" si="0"/>
        <v>0</v>
      </c>
      <c r="E65" s="11">
        <f t="shared" ca="1" si="1"/>
        <v>0</v>
      </c>
    </row>
    <row r="66" spans="1:5" x14ac:dyDescent="0.25">
      <c r="A66" s="4">
        <f ca="1">INDEX(Stations,INT((ROWS(A$2:A66)-1)/(DATE(YEAR(Invoer!$A$5),12,31)-DATE(YEAR(Invoer!$A$5),1,1)+1))+2,1)</f>
        <v>32</v>
      </c>
      <c r="B66" t="str">
        <f ca="1">TEXT(DATE(YEAR(Invoer!$A$5),1,1)+MOD(ROWS(B$2:B66)-1,DATE(YEAR(Invoer!$A$5),12,31)-DATE(YEAR(Invoer!$A$5),1,1)+1),"jjjjmmdd")</f>
        <v>19270306</v>
      </c>
      <c r="C66" s="5">
        <v>1</v>
      </c>
      <c r="D66" s="10">
        <f t="shared" ref="D66:D129" ca="1" si="2">IF(OR(ISBLANK(VLOOKUP(DATEVALUE(LEFT(B66,4)&amp;"-"&amp;MID(B66,5,2)&amp;"-"&amp;RIGHT(B66,2)),Data,MATCH(VLOOKUP(A66,Stations,2,FALSE()),OFFSET(Data,1,0,1),0),FALSE())),ISTEXT(VLOOKUP(DATEVALUE(LEFT(B66,4)&amp;"-"&amp;MID(B66,5,2)&amp;"-"&amp;RIGHT(B66,2)),Data,MATCH(VLOOKUP(A66,Stations,2,FALSE()),OFFSET(Data,1,0,1),0),FALSE()))),"—",VLOOKUP(DATEVALUE(LEFT(B66,4)&amp;"-"&amp;MID(B66,5,2)&amp;"-"&amp;RIGHT(B66,2)),Data,MATCH(VLOOKUP(A66,Stations,2,FALSE()),OFFSET(Data,1,0,1),0),FALSE()))</f>
        <v>0</v>
      </c>
      <c r="E66" s="11">
        <f t="shared" ref="E66:E129" ca="1" si="3">IF(OR(ISBLANK(VLOOKUP(DATEVALUE(LEFT(B66,4)&amp;"-"&amp;MID(B66,5,2)&amp;"-"&amp;RIGHT(B66,2)),Data,MATCH(VLOOKUP(A66,Stations,2,FALSE()),OFFSET(Data,1,0,1),0),FALSE())),ISTEXT(VLOOKUP(DATEVALUE(LEFT(B66,4)&amp;"-"&amp;MID(B66,5,2)&amp;"-"&amp;RIGHT(B66,2)),Data,MATCH(VLOOKUP(A66,Stations,2,FALSE()),OFFSET(Data,1,0,1),0),FALSE()))),Lacking,IF(ISNA(MATCH(DATEVALUE(LEFT(B66,4)&amp;"-"&amp;MID(B66,5,2)&amp;"-"&amp;RIGHT(B66,2)),OFFSET(Catalogus,0,0,,1),0)),Ok,VLOOKUP(DATEVALUE(LEFT(B66,4)&amp;"-"&amp;MID(B66,5,2)&amp;"-"&amp;RIGHT(B66,2)),Catalogus,MATCH(VLOOKUP(A66,Stations,2,FALSE()),OFFSET(Catalogus,1,0,1),0),FALSE())))</f>
        <v>0</v>
      </c>
    </row>
    <row r="67" spans="1:5" x14ac:dyDescent="0.25">
      <c r="A67" s="4">
        <f ca="1">INDEX(Stations,INT((ROWS(A$2:A67)-1)/(DATE(YEAR(Invoer!$A$5),12,31)-DATE(YEAR(Invoer!$A$5),1,1)+1))+2,1)</f>
        <v>32</v>
      </c>
      <c r="B67" t="str">
        <f ca="1">TEXT(DATE(YEAR(Invoer!$A$5),1,1)+MOD(ROWS(B$2:B67)-1,DATE(YEAR(Invoer!$A$5),12,31)-DATE(YEAR(Invoer!$A$5),1,1)+1),"jjjjmmdd")</f>
        <v>19270307</v>
      </c>
      <c r="C67" s="5">
        <v>1</v>
      </c>
      <c r="D67" s="10">
        <f t="shared" ca="1" si="2"/>
        <v>40</v>
      </c>
      <c r="E67" s="11">
        <f t="shared" ca="1" si="3"/>
        <v>0</v>
      </c>
    </row>
    <row r="68" spans="1:5" x14ac:dyDescent="0.25">
      <c r="A68" s="4">
        <f ca="1">INDEX(Stations,INT((ROWS(A$2:A68)-1)/(DATE(YEAR(Invoer!$A$5),12,31)-DATE(YEAR(Invoer!$A$5),1,1)+1))+2,1)</f>
        <v>32</v>
      </c>
      <c r="B68" t="str">
        <f ca="1">TEXT(DATE(YEAR(Invoer!$A$5),1,1)+MOD(ROWS(B$2:B68)-1,DATE(YEAR(Invoer!$A$5),12,31)-DATE(YEAR(Invoer!$A$5),1,1)+1),"jjjjmmdd")</f>
        <v>19270308</v>
      </c>
      <c r="C68" s="5">
        <v>1</v>
      </c>
      <c r="D68" s="10">
        <f t="shared" ca="1" si="2"/>
        <v>50</v>
      </c>
      <c r="E68" s="11">
        <f t="shared" ca="1" si="3"/>
        <v>0</v>
      </c>
    </row>
    <row r="69" spans="1:5" x14ac:dyDescent="0.25">
      <c r="A69" s="4">
        <f ca="1">INDEX(Stations,INT((ROWS(A$2:A69)-1)/(DATE(YEAR(Invoer!$A$5),12,31)-DATE(YEAR(Invoer!$A$5),1,1)+1))+2,1)</f>
        <v>32</v>
      </c>
      <c r="B69" t="str">
        <f ca="1">TEXT(DATE(YEAR(Invoer!$A$5),1,1)+MOD(ROWS(B$2:B69)-1,DATE(YEAR(Invoer!$A$5),12,31)-DATE(YEAR(Invoer!$A$5),1,1)+1),"jjjjmmdd")</f>
        <v>19270309</v>
      </c>
      <c r="C69" s="5">
        <v>1</v>
      </c>
      <c r="D69" s="10">
        <f t="shared" ca="1" si="2"/>
        <v>0</v>
      </c>
      <c r="E69" s="11">
        <f t="shared" ca="1" si="3"/>
        <v>0</v>
      </c>
    </row>
    <row r="70" spans="1:5" x14ac:dyDescent="0.25">
      <c r="A70" s="4">
        <f ca="1">INDEX(Stations,INT((ROWS(A$2:A70)-1)/(DATE(YEAR(Invoer!$A$5),12,31)-DATE(YEAR(Invoer!$A$5),1,1)+1))+2,1)</f>
        <v>32</v>
      </c>
      <c r="B70" t="str">
        <f ca="1">TEXT(DATE(YEAR(Invoer!$A$5),1,1)+MOD(ROWS(B$2:B70)-1,DATE(YEAR(Invoer!$A$5),12,31)-DATE(YEAR(Invoer!$A$5),1,1)+1),"jjjjmmdd")</f>
        <v>19270310</v>
      </c>
      <c r="C70" s="5">
        <v>1</v>
      </c>
      <c r="D70" s="10">
        <f t="shared" ca="1" si="2"/>
        <v>0</v>
      </c>
      <c r="E70" s="11">
        <f t="shared" ca="1" si="3"/>
        <v>0</v>
      </c>
    </row>
    <row r="71" spans="1:5" x14ac:dyDescent="0.25">
      <c r="A71" s="4">
        <f ca="1">INDEX(Stations,INT((ROWS(A$2:A71)-1)/(DATE(YEAR(Invoer!$A$5),12,31)-DATE(YEAR(Invoer!$A$5),1,1)+1))+2,1)</f>
        <v>32</v>
      </c>
      <c r="B71" t="str">
        <f ca="1">TEXT(DATE(YEAR(Invoer!$A$5),1,1)+MOD(ROWS(B$2:B71)-1,DATE(YEAR(Invoer!$A$5),12,31)-DATE(YEAR(Invoer!$A$5),1,1)+1),"jjjjmmdd")</f>
        <v>19270311</v>
      </c>
      <c r="C71" s="5">
        <v>1</v>
      </c>
      <c r="D71" s="10">
        <f t="shared" ca="1" si="2"/>
        <v>0</v>
      </c>
      <c r="E71" s="11">
        <f t="shared" ca="1" si="3"/>
        <v>0</v>
      </c>
    </row>
    <row r="72" spans="1:5" x14ac:dyDescent="0.25">
      <c r="A72" s="4">
        <f ca="1">INDEX(Stations,INT((ROWS(A$2:A72)-1)/(DATE(YEAR(Invoer!$A$5),12,31)-DATE(YEAR(Invoer!$A$5),1,1)+1))+2,1)</f>
        <v>32</v>
      </c>
      <c r="B72" t="str">
        <f ca="1">TEXT(DATE(YEAR(Invoer!$A$5),1,1)+MOD(ROWS(B$2:B72)-1,DATE(YEAR(Invoer!$A$5),12,31)-DATE(YEAR(Invoer!$A$5),1,1)+1),"jjjjmmdd")</f>
        <v>19270312</v>
      </c>
      <c r="C72" s="5">
        <v>1</v>
      </c>
      <c r="D72" s="10">
        <f t="shared" ca="1" si="2"/>
        <v>0</v>
      </c>
      <c r="E72" s="11">
        <f t="shared" ca="1" si="3"/>
        <v>0</v>
      </c>
    </row>
    <row r="73" spans="1:5" x14ac:dyDescent="0.25">
      <c r="A73" s="4">
        <f ca="1">INDEX(Stations,INT((ROWS(A$2:A73)-1)/(DATE(YEAR(Invoer!$A$5),12,31)-DATE(YEAR(Invoer!$A$5),1,1)+1))+2,1)</f>
        <v>32</v>
      </c>
      <c r="B73" t="str">
        <f ca="1">TEXT(DATE(YEAR(Invoer!$A$5),1,1)+MOD(ROWS(B$2:B73)-1,DATE(YEAR(Invoer!$A$5),12,31)-DATE(YEAR(Invoer!$A$5),1,1)+1),"jjjjmmdd")</f>
        <v>19270313</v>
      </c>
      <c r="C73" s="5">
        <v>1</v>
      </c>
      <c r="D73" s="10">
        <f t="shared" ca="1" si="2"/>
        <v>0</v>
      </c>
      <c r="E73" s="11">
        <f t="shared" ca="1" si="3"/>
        <v>0</v>
      </c>
    </row>
    <row r="74" spans="1:5" x14ac:dyDescent="0.25">
      <c r="A74" s="4">
        <f ca="1">INDEX(Stations,INT((ROWS(A$2:A74)-1)/(DATE(YEAR(Invoer!$A$5),12,31)-DATE(YEAR(Invoer!$A$5),1,1)+1))+2,1)</f>
        <v>32</v>
      </c>
      <c r="B74" t="str">
        <f ca="1">TEXT(DATE(YEAR(Invoer!$A$5),1,1)+MOD(ROWS(B$2:B74)-1,DATE(YEAR(Invoer!$A$5),12,31)-DATE(YEAR(Invoer!$A$5),1,1)+1),"jjjjmmdd")</f>
        <v>19270314</v>
      </c>
      <c r="C74" s="5">
        <v>1</v>
      </c>
      <c r="D74" s="10">
        <f t="shared" ca="1" si="2"/>
        <v>0</v>
      </c>
      <c r="E74" s="11">
        <f t="shared" ca="1" si="3"/>
        <v>0</v>
      </c>
    </row>
    <row r="75" spans="1:5" x14ac:dyDescent="0.25">
      <c r="A75" s="4">
        <f ca="1">INDEX(Stations,INT((ROWS(A$2:A75)-1)/(DATE(YEAR(Invoer!$A$5),12,31)-DATE(YEAR(Invoer!$A$5),1,1)+1))+2,1)</f>
        <v>32</v>
      </c>
      <c r="B75" t="str">
        <f ca="1">TEXT(DATE(YEAR(Invoer!$A$5),1,1)+MOD(ROWS(B$2:B75)-1,DATE(YEAR(Invoer!$A$5),12,31)-DATE(YEAR(Invoer!$A$5),1,1)+1),"jjjjmmdd")</f>
        <v>19270315</v>
      </c>
      <c r="C75" s="5">
        <v>1</v>
      </c>
      <c r="D75" s="10">
        <f t="shared" ca="1" si="2"/>
        <v>0</v>
      </c>
      <c r="E75" s="11">
        <f t="shared" ca="1" si="3"/>
        <v>0</v>
      </c>
    </row>
    <row r="76" spans="1:5" x14ac:dyDescent="0.25">
      <c r="A76" s="4">
        <f ca="1">INDEX(Stations,INT((ROWS(A$2:A76)-1)/(DATE(YEAR(Invoer!$A$5),12,31)-DATE(YEAR(Invoer!$A$5),1,1)+1))+2,1)</f>
        <v>32</v>
      </c>
      <c r="B76" t="str">
        <f ca="1">TEXT(DATE(YEAR(Invoer!$A$5),1,1)+MOD(ROWS(B$2:B76)-1,DATE(YEAR(Invoer!$A$5),12,31)-DATE(YEAR(Invoer!$A$5),1,1)+1),"jjjjmmdd")</f>
        <v>19270316</v>
      </c>
      <c r="C76" s="5">
        <v>1</v>
      </c>
      <c r="D76" s="10">
        <f t="shared" ca="1" si="2"/>
        <v>0</v>
      </c>
      <c r="E76" s="11">
        <f t="shared" ca="1" si="3"/>
        <v>0</v>
      </c>
    </row>
    <row r="77" spans="1:5" x14ac:dyDescent="0.25">
      <c r="A77" s="4">
        <f ca="1">INDEX(Stations,INT((ROWS(A$2:A77)-1)/(DATE(YEAR(Invoer!$A$5),12,31)-DATE(YEAR(Invoer!$A$5),1,1)+1))+2,1)</f>
        <v>32</v>
      </c>
      <c r="B77" t="str">
        <f ca="1">TEXT(DATE(YEAR(Invoer!$A$5),1,1)+MOD(ROWS(B$2:B77)-1,DATE(YEAR(Invoer!$A$5),12,31)-DATE(YEAR(Invoer!$A$5),1,1)+1),"jjjjmmdd")</f>
        <v>19270317</v>
      </c>
      <c r="C77" s="5">
        <v>1</v>
      </c>
      <c r="D77" s="10">
        <f t="shared" ca="1" si="2"/>
        <v>0</v>
      </c>
      <c r="E77" s="11">
        <f t="shared" ca="1" si="3"/>
        <v>0</v>
      </c>
    </row>
    <row r="78" spans="1:5" x14ac:dyDescent="0.25">
      <c r="A78" s="4">
        <f ca="1">INDEX(Stations,INT((ROWS(A$2:A78)-1)/(DATE(YEAR(Invoer!$A$5),12,31)-DATE(YEAR(Invoer!$A$5),1,1)+1))+2,1)</f>
        <v>32</v>
      </c>
      <c r="B78" t="str">
        <f ca="1">TEXT(DATE(YEAR(Invoer!$A$5),1,1)+MOD(ROWS(B$2:B78)-1,DATE(YEAR(Invoer!$A$5),12,31)-DATE(YEAR(Invoer!$A$5),1,1)+1),"jjjjmmdd")</f>
        <v>19270318</v>
      </c>
      <c r="C78" s="5">
        <v>1</v>
      </c>
      <c r="D78" s="10">
        <f t="shared" ca="1" si="2"/>
        <v>0</v>
      </c>
      <c r="E78" s="11">
        <f t="shared" ca="1" si="3"/>
        <v>0</v>
      </c>
    </row>
    <row r="79" spans="1:5" x14ac:dyDescent="0.25">
      <c r="A79" s="4">
        <f ca="1">INDEX(Stations,INT((ROWS(A$2:A79)-1)/(DATE(YEAR(Invoer!$A$5),12,31)-DATE(YEAR(Invoer!$A$5),1,1)+1))+2,1)</f>
        <v>32</v>
      </c>
      <c r="B79" t="str">
        <f ca="1">TEXT(DATE(YEAR(Invoer!$A$5),1,1)+MOD(ROWS(B$2:B79)-1,DATE(YEAR(Invoer!$A$5),12,31)-DATE(YEAR(Invoer!$A$5),1,1)+1),"jjjjmmdd")</f>
        <v>19270319</v>
      </c>
      <c r="C79" s="5">
        <v>1</v>
      </c>
      <c r="D79" s="10">
        <f t="shared" ca="1" si="2"/>
        <v>0</v>
      </c>
      <c r="E79" s="11">
        <f t="shared" ca="1" si="3"/>
        <v>0</v>
      </c>
    </row>
    <row r="80" spans="1:5" x14ac:dyDescent="0.25">
      <c r="A80" s="4">
        <f ca="1">INDEX(Stations,INT((ROWS(A$2:A80)-1)/(DATE(YEAR(Invoer!$A$5),12,31)-DATE(YEAR(Invoer!$A$5),1,1)+1))+2,1)</f>
        <v>32</v>
      </c>
      <c r="B80" t="str">
        <f ca="1">TEXT(DATE(YEAR(Invoer!$A$5),1,1)+MOD(ROWS(B$2:B80)-1,DATE(YEAR(Invoer!$A$5),12,31)-DATE(YEAR(Invoer!$A$5),1,1)+1),"jjjjmmdd")</f>
        <v>19270320</v>
      </c>
      <c r="C80" s="5">
        <v>1</v>
      </c>
      <c r="D80" s="10">
        <f t="shared" ca="1" si="2"/>
        <v>0</v>
      </c>
      <c r="E80" s="11">
        <f t="shared" ca="1" si="3"/>
        <v>0</v>
      </c>
    </row>
    <row r="81" spans="1:5" x14ac:dyDescent="0.25">
      <c r="A81" s="4">
        <f ca="1">INDEX(Stations,INT((ROWS(A$2:A81)-1)/(DATE(YEAR(Invoer!$A$5),12,31)-DATE(YEAR(Invoer!$A$5),1,1)+1))+2,1)</f>
        <v>32</v>
      </c>
      <c r="B81" t="str">
        <f ca="1">TEXT(DATE(YEAR(Invoer!$A$5),1,1)+MOD(ROWS(B$2:B81)-1,DATE(YEAR(Invoer!$A$5),12,31)-DATE(YEAR(Invoer!$A$5),1,1)+1),"jjjjmmdd")</f>
        <v>19270321</v>
      </c>
      <c r="C81" s="5">
        <v>1</v>
      </c>
      <c r="D81" s="10">
        <f t="shared" ca="1" si="2"/>
        <v>0</v>
      </c>
      <c r="E81" s="11">
        <f t="shared" ca="1" si="3"/>
        <v>0</v>
      </c>
    </row>
    <row r="82" spans="1:5" x14ac:dyDescent="0.25">
      <c r="A82" s="4">
        <f ca="1">INDEX(Stations,INT((ROWS(A$2:A82)-1)/(DATE(YEAR(Invoer!$A$5),12,31)-DATE(YEAR(Invoer!$A$5),1,1)+1))+2,1)</f>
        <v>32</v>
      </c>
      <c r="B82" t="str">
        <f ca="1">TEXT(DATE(YEAR(Invoer!$A$5),1,1)+MOD(ROWS(B$2:B82)-1,DATE(YEAR(Invoer!$A$5),12,31)-DATE(YEAR(Invoer!$A$5),1,1)+1),"jjjjmmdd")</f>
        <v>19270322</v>
      </c>
      <c r="C82" s="5">
        <v>1</v>
      </c>
      <c r="D82" s="10">
        <f t="shared" ca="1" si="2"/>
        <v>0</v>
      </c>
      <c r="E82" s="11">
        <f t="shared" ca="1" si="3"/>
        <v>0</v>
      </c>
    </row>
    <row r="83" spans="1:5" x14ac:dyDescent="0.25">
      <c r="A83" s="4">
        <f ca="1">INDEX(Stations,INT((ROWS(A$2:A83)-1)/(DATE(YEAR(Invoer!$A$5),12,31)-DATE(YEAR(Invoer!$A$5),1,1)+1))+2,1)</f>
        <v>32</v>
      </c>
      <c r="B83" t="str">
        <f ca="1">TEXT(DATE(YEAR(Invoer!$A$5),1,1)+MOD(ROWS(B$2:B83)-1,DATE(YEAR(Invoer!$A$5),12,31)-DATE(YEAR(Invoer!$A$5),1,1)+1),"jjjjmmdd")</f>
        <v>19270323</v>
      </c>
      <c r="C83" s="5">
        <v>1</v>
      </c>
      <c r="D83" s="10">
        <f t="shared" ca="1" si="2"/>
        <v>0</v>
      </c>
      <c r="E83" s="11">
        <f t="shared" ca="1" si="3"/>
        <v>0</v>
      </c>
    </row>
    <row r="84" spans="1:5" x14ac:dyDescent="0.25">
      <c r="A84" s="4">
        <f ca="1">INDEX(Stations,INT((ROWS(A$2:A84)-1)/(DATE(YEAR(Invoer!$A$5),12,31)-DATE(YEAR(Invoer!$A$5),1,1)+1))+2,1)</f>
        <v>32</v>
      </c>
      <c r="B84" t="str">
        <f ca="1">TEXT(DATE(YEAR(Invoer!$A$5),1,1)+MOD(ROWS(B$2:B84)-1,DATE(YEAR(Invoer!$A$5),12,31)-DATE(YEAR(Invoer!$A$5),1,1)+1),"jjjjmmdd")</f>
        <v>19270324</v>
      </c>
      <c r="C84" s="5">
        <v>1</v>
      </c>
      <c r="D84" s="10">
        <f t="shared" ca="1" si="2"/>
        <v>0</v>
      </c>
      <c r="E84" s="11">
        <f t="shared" ca="1" si="3"/>
        <v>0</v>
      </c>
    </row>
    <row r="85" spans="1:5" x14ac:dyDescent="0.25">
      <c r="A85" s="4">
        <f ca="1">INDEX(Stations,INT((ROWS(A$2:A85)-1)/(DATE(YEAR(Invoer!$A$5),12,31)-DATE(YEAR(Invoer!$A$5),1,1)+1))+2,1)</f>
        <v>32</v>
      </c>
      <c r="B85" t="str">
        <f ca="1">TEXT(DATE(YEAR(Invoer!$A$5),1,1)+MOD(ROWS(B$2:B85)-1,DATE(YEAR(Invoer!$A$5),12,31)-DATE(YEAR(Invoer!$A$5),1,1)+1),"jjjjmmdd")</f>
        <v>19270325</v>
      </c>
      <c r="C85" s="5">
        <v>1</v>
      </c>
      <c r="D85" s="10">
        <f t="shared" ca="1" si="2"/>
        <v>0</v>
      </c>
      <c r="E85" s="11">
        <f t="shared" ca="1" si="3"/>
        <v>0</v>
      </c>
    </row>
    <row r="86" spans="1:5" x14ac:dyDescent="0.25">
      <c r="A86" s="4">
        <f ca="1">INDEX(Stations,INT((ROWS(A$2:A86)-1)/(DATE(YEAR(Invoer!$A$5),12,31)-DATE(YEAR(Invoer!$A$5),1,1)+1))+2,1)</f>
        <v>32</v>
      </c>
      <c r="B86" t="str">
        <f ca="1">TEXT(DATE(YEAR(Invoer!$A$5),1,1)+MOD(ROWS(B$2:B86)-1,DATE(YEAR(Invoer!$A$5),12,31)-DATE(YEAR(Invoer!$A$5),1,1)+1),"jjjjmmdd")</f>
        <v>19270326</v>
      </c>
      <c r="C86" s="5">
        <v>1</v>
      </c>
      <c r="D86" s="10">
        <f t="shared" ca="1" si="2"/>
        <v>0</v>
      </c>
      <c r="E86" s="11">
        <f t="shared" ca="1" si="3"/>
        <v>0</v>
      </c>
    </row>
    <row r="87" spans="1:5" x14ac:dyDescent="0.25">
      <c r="A87" s="4">
        <f ca="1">INDEX(Stations,INT((ROWS(A$2:A87)-1)/(DATE(YEAR(Invoer!$A$5),12,31)-DATE(YEAR(Invoer!$A$5),1,1)+1))+2,1)</f>
        <v>32</v>
      </c>
      <c r="B87" t="str">
        <f ca="1">TEXT(DATE(YEAR(Invoer!$A$5),1,1)+MOD(ROWS(B$2:B87)-1,DATE(YEAR(Invoer!$A$5),12,31)-DATE(YEAR(Invoer!$A$5),1,1)+1),"jjjjmmdd")</f>
        <v>19270327</v>
      </c>
      <c r="C87" s="5">
        <v>1</v>
      </c>
      <c r="D87" s="10">
        <f t="shared" ca="1" si="2"/>
        <v>0</v>
      </c>
      <c r="E87" s="11">
        <f t="shared" ca="1" si="3"/>
        <v>0</v>
      </c>
    </row>
    <row r="88" spans="1:5" x14ac:dyDescent="0.25">
      <c r="A88" s="4">
        <f ca="1">INDEX(Stations,INT((ROWS(A$2:A88)-1)/(DATE(YEAR(Invoer!$A$5),12,31)-DATE(YEAR(Invoer!$A$5),1,1)+1))+2,1)</f>
        <v>32</v>
      </c>
      <c r="B88" t="str">
        <f ca="1">TEXT(DATE(YEAR(Invoer!$A$5),1,1)+MOD(ROWS(B$2:B88)-1,DATE(YEAR(Invoer!$A$5),12,31)-DATE(YEAR(Invoer!$A$5),1,1)+1),"jjjjmmdd")</f>
        <v>19270328</v>
      </c>
      <c r="C88" s="5">
        <v>1</v>
      </c>
      <c r="D88" s="10">
        <f t="shared" ca="1" si="2"/>
        <v>0</v>
      </c>
      <c r="E88" s="11">
        <f t="shared" ca="1" si="3"/>
        <v>0</v>
      </c>
    </row>
    <row r="89" spans="1:5" x14ac:dyDescent="0.25">
      <c r="A89" s="4">
        <f ca="1">INDEX(Stations,INT((ROWS(A$2:A89)-1)/(DATE(YEAR(Invoer!$A$5),12,31)-DATE(YEAR(Invoer!$A$5),1,1)+1))+2,1)</f>
        <v>32</v>
      </c>
      <c r="B89" t="str">
        <f ca="1">TEXT(DATE(YEAR(Invoer!$A$5),1,1)+MOD(ROWS(B$2:B89)-1,DATE(YEAR(Invoer!$A$5),12,31)-DATE(YEAR(Invoer!$A$5),1,1)+1),"jjjjmmdd")</f>
        <v>19270329</v>
      </c>
      <c r="C89" s="5">
        <v>1</v>
      </c>
      <c r="D89" s="10">
        <f t="shared" ca="1" si="2"/>
        <v>0</v>
      </c>
      <c r="E89" s="11">
        <f t="shared" ca="1" si="3"/>
        <v>0</v>
      </c>
    </row>
    <row r="90" spans="1:5" x14ac:dyDescent="0.25">
      <c r="A90" s="4">
        <f ca="1">INDEX(Stations,INT((ROWS(A$2:A90)-1)/(DATE(YEAR(Invoer!$A$5),12,31)-DATE(YEAR(Invoer!$A$5),1,1)+1))+2,1)</f>
        <v>32</v>
      </c>
      <c r="B90" t="str">
        <f ca="1">TEXT(DATE(YEAR(Invoer!$A$5),1,1)+MOD(ROWS(B$2:B90)-1,DATE(YEAR(Invoer!$A$5),12,31)-DATE(YEAR(Invoer!$A$5),1,1)+1),"jjjjmmdd")</f>
        <v>19270330</v>
      </c>
      <c r="C90" s="5">
        <v>1</v>
      </c>
      <c r="D90" s="10">
        <f t="shared" ca="1" si="2"/>
        <v>0</v>
      </c>
      <c r="E90" s="11">
        <f t="shared" ca="1" si="3"/>
        <v>0</v>
      </c>
    </row>
    <row r="91" spans="1:5" x14ac:dyDescent="0.25">
      <c r="A91" s="4">
        <f ca="1">INDEX(Stations,INT((ROWS(A$2:A91)-1)/(DATE(YEAR(Invoer!$A$5),12,31)-DATE(YEAR(Invoer!$A$5),1,1)+1))+2,1)</f>
        <v>32</v>
      </c>
      <c r="B91" t="str">
        <f ca="1">TEXT(DATE(YEAR(Invoer!$A$5),1,1)+MOD(ROWS(B$2:B91)-1,DATE(YEAR(Invoer!$A$5),12,31)-DATE(YEAR(Invoer!$A$5),1,1)+1),"jjjjmmdd")</f>
        <v>19270331</v>
      </c>
      <c r="C91" s="5">
        <v>1</v>
      </c>
      <c r="D91" s="10">
        <f t="shared" ca="1" si="2"/>
        <v>0</v>
      </c>
      <c r="E91" s="11">
        <f t="shared" ca="1" si="3"/>
        <v>0</v>
      </c>
    </row>
    <row r="92" spans="1:5" x14ac:dyDescent="0.25">
      <c r="A92" s="4">
        <f ca="1">INDEX(Stations,INT((ROWS(A$2:A92)-1)/(DATE(YEAR(Invoer!$A$5),12,31)-DATE(YEAR(Invoer!$A$5),1,1)+1))+2,1)</f>
        <v>32</v>
      </c>
      <c r="B92" t="str">
        <f ca="1">TEXT(DATE(YEAR(Invoer!$A$5),1,1)+MOD(ROWS(B$2:B92)-1,DATE(YEAR(Invoer!$A$5),12,31)-DATE(YEAR(Invoer!$A$5),1,1)+1),"jjjjmmdd")</f>
        <v>19270401</v>
      </c>
      <c r="C92" s="5">
        <v>1</v>
      </c>
      <c r="D92" s="10">
        <f t="shared" ca="1" si="2"/>
        <v>0</v>
      </c>
      <c r="E92" s="11">
        <f t="shared" ca="1" si="3"/>
        <v>0</v>
      </c>
    </row>
    <row r="93" spans="1:5" x14ac:dyDescent="0.25">
      <c r="A93" s="4">
        <f ca="1">INDEX(Stations,INT((ROWS(A$2:A93)-1)/(DATE(YEAR(Invoer!$A$5),12,31)-DATE(YEAR(Invoer!$A$5),1,1)+1))+2,1)</f>
        <v>32</v>
      </c>
      <c r="B93" t="str">
        <f ca="1">TEXT(DATE(YEAR(Invoer!$A$5),1,1)+MOD(ROWS(B$2:B93)-1,DATE(YEAR(Invoer!$A$5),12,31)-DATE(YEAR(Invoer!$A$5),1,1)+1),"jjjjmmdd")</f>
        <v>19270402</v>
      </c>
      <c r="C93" s="5">
        <v>1</v>
      </c>
      <c r="D93" s="10">
        <f t="shared" ca="1" si="2"/>
        <v>0</v>
      </c>
      <c r="E93" s="11">
        <f t="shared" ca="1" si="3"/>
        <v>0</v>
      </c>
    </row>
    <row r="94" spans="1:5" x14ac:dyDescent="0.25">
      <c r="A94" s="4">
        <f ca="1">INDEX(Stations,INT((ROWS(A$2:A94)-1)/(DATE(YEAR(Invoer!$A$5),12,31)-DATE(YEAR(Invoer!$A$5),1,1)+1))+2,1)</f>
        <v>32</v>
      </c>
      <c r="B94" t="str">
        <f ca="1">TEXT(DATE(YEAR(Invoer!$A$5),1,1)+MOD(ROWS(B$2:B94)-1,DATE(YEAR(Invoer!$A$5),12,31)-DATE(YEAR(Invoer!$A$5),1,1)+1),"jjjjmmdd")</f>
        <v>19270403</v>
      </c>
      <c r="C94" s="5">
        <v>1</v>
      </c>
      <c r="D94" s="10">
        <f t="shared" ca="1" si="2"/>
        <v>0</v>
      </c>
      <c r="E94" s="11">
        <f t="shared" ca="1" si="3"/>
        <v>0</v>
      </c>
    </row>
    <row r="95" spans="1:5" x14ac:dyDescent="0.25">
      <c r="A95" s="4">
        <f ca="1">INDEX(Stations,INT((ROWS(A$2:A95)-1)/(DATE(YEAR(Invoer!$A$5),12,31)-DATE(YEAR(Invoer!$A$5),1,1)+1))+2,1)</f>
        <v>32</v>
      </c>
      <c r="B95" t="str">
        <f ca="1">TEXT(DATE(YEAR(Invoer!$A$5),1,1)+MOD(ROWS(B$2:B95)-1,DATE(YEAR(Invoer!$A$5),12,31)-DATE(YEAR(Invoer!$A$5),1,1)+1),"jjjjmmdd")</f>
        <v>19270404</v>
      </c>
      <c r="C95" s="5">
        <v>1</v>
      </c>
      <c r="D95" s="10">
        <f t="shared" ca="1" si="2"/>
        <v>0</v>
      </c>
      <c r="E95" s="11">
        <f t="shared" ca="1" si="3"/>
        <v>0</v>
      </c>
    </row>
    <row r="96" spans="1:5" x14ac:dyDescent="0.25">
      <c r="A96" s="4">
        <f ca="1">INDEX(Stations,INT((ROWS(A$2:A96)-1)/(DATE(YEAR(Invoer!$A$5),12,31)-DATE(YEAR(Invoer!$A$5),1,1)+1))+2,1)</f>
        <v>32</v>
      </c>
      <c r="B96" t="str">
        <f ca="1">TEXT(DATE(YEAR(Invoer!$A$5),1,1)+MOD(ROWS(B$2:B96)-1,DATE(YEAR(Invoer!$A$5),12,31)-DATE(YEAR(Invoer!$A$5),1,1)+1),"jjjjmmdd")</f>
        <v>19270405</v>
      </c>
      <c r="C96" s="5">
        <v>1</v>
      </c>
      <c r="D96" s="10">
        <f t="shared" ca="1" si="2"/>
        <v>0</v>
      </c>
      <c r="E96" s="11">
        <f t="shared" ca="1" si="3"/>
        <v>0</v>
      </c>
    </row>
    <row r="97" spans="1:5" x14ac:dyDescent="0.25">
      <c r="A97" s="4">
        <f ca="1">INDEX(Stations,INT((ROWS(A$2:A97)-1)/(DATE(YEAR(Invoer!$A$5),12,31)-DATE(YEAR(Invoer!$A$5),1,1)+1))+2,1)</f>
        <v>32</v>
      </c>
      <c r="B97" t="str">
        <f ca="1">TEXT(DATE(YEAR(Invoer!$A$5),1,1)+MOD(ROWS(B$2:B97)-1,DATE(YEAR(Invoer!$A$5),12,31)-DATE(YEAR(Invoer!$A$5),1,1)+1),"jjjjmmdd")</f>
        <v>19270406</v>
      </c>
      <c r="C97" s="5">
        <v>1</v>
      </c>
      <c r="D97" s="10">
        <f t="shared" ca="1" si="2"/>
        <v>0</v>
      </c>
      <c r="E97" s="11">
        <f t="shared" ca="1" si="3"/>
        <v>0</v>
      </c>
    </row>
    <row r="98" spans="1:5" x14ac:dyDescent="0.25">
      <c r="A98" s="4">
        <f ca="1">INDEX(Stations,INT((ROWS(A$2:A98)-1)/(DATE(YEAR(Invoer!$A$5),12,31)-DATE(YEAR(Invoer!$A$5),1,1)+1))+2,1)</f>
        <v>32</v>
      </c>
      <c r="B98" t="str">
        <f ca="1">TEXT(DATE(YEAR(Invoer!$A$5),1,1)+MOD(ROWS(B$2:B98)-1,DATE(YEAR(Invoer!$A$5),12,31)-DATE(YEAR(Invoer!$A$5),1,1)+1),"jjjjmmdd")</f>
        <v>19270407</v>
      </c>
      <c r="C98" s="5">
        <v>1</v>
      </c>
      <c r="D98" s="10">
        <f t="shared" ca="1" si="2"/>
        <v>0</v>
      </c>
      <c r="E98" s="11">
        <f t="shared" ca="1" si="3"/>
        <v>0</v>
      </c>
    </row>
    <row r="99" spans="1:5" x14ac:dyDescent="0.25">
      <c r="A99" s="4">
        <f ca="1">INDEX(Stations,INT((ROWS(A$2:A99)-1)/(DATE(YEAR(Invoer!$A$5),12,31)-DATE(YEAR(Invoer!$A$5),1,1)+1))+2,1)</f>
        <v>32</v>
      </c>
      <c r="B99" t="str">
        <f ca="1">TEXT(DATE(YEAR(Invoer!$A$5),1,1)+MOD(ROWS(B$2:B99)-1,DATE(YEAR(Invoer!$A$5),12,31)-DATE(YEAR(Invoer!$A$5),1,1)+1),"jjjjmmdd")</f>
        <v>19270408</v>
      </c>
      <c r="C99" s="5">
        <v>1</v>
      </c>
      <c r="D99" s="10">
        <f t="shared" ca="1" si="2"/>
        <v>0</v>
      </c>
      <c r="E99" s="11">
        <f t="shared" ca="1" si="3"/>
        <v>0</v>
      </c>
    </row>
    <row r="100" spans="1:5" x14ac:dyDescent="0.25">
      <c r="A100" s="4">
        <f ca="1">INDEX(Stations,INT((ROWS(A$2:A100)-1)/(DATE(YEAR(Invoer!$A$5),12,31)-DATE(YEAR(Invoer!$A$5),1,1)+1))+2,1)</f>
        <v>32</v>
      </c>
      <c r="B100" t="str">
        <f ca="1">TEXT(DATE(YEAR(Invoer!$A$5),1,1)+MOD(ROWS(B$2:B100)-1,DATE(YEAR(Invoer!$A$5),12,31)-DATE(YEAR(Invoer!$A$5),1,1)+1),"jjjjmmdd")</f>
        <v>19270409</v>
      </c>
      <c r="C100" s="5">
        <v>1</v>
      </c>
      <c r="D100" s="10">
        <f t="shared" ca="1" si="2"/>
        <v>0</v>
      </c>
      <c r="E100" s="11">
        <f t="shared" ca="1" si="3"/>
        <v>0</v>
      </c>
    </row>
    <row r="101" spans="1:5" x14ac:dyDescent="0.25">
      <c r="A101" s="4">
        <f ca="1">INDEX(Stations,INT((ROWS(A$2:A101)-1)/(DATE(YEAR(Invoer!$A$5),12,31)-DATE(YEAR(Invoer!$A$5),1,1)+1))+2,1)</f>
        <v>32</v>
      </c>
      <c r="B101" t="str">
        <f ca="1">TEXT(DATE(YEAR(Invoer!$A$5),1,1)+MOD(ROWS(B$2:B101)-1,DATE(YEAR(Invoer!$A$5),12,31)-DATE(YEAR(Invoer!$A$5),1,1)+1),"jjjjmmdd")</f>
        <v>19270410</v>
      </c>
      <c r="C101" s="5">
        <v>1</v>
      </c>
      <c r="D101" s="10">
        <f t="shared" ca="1" si="2"/>
        <v>0</v>
      </c>
      <c r="E101" s="11">
        <f t="shared" ca="1" si="3"/>
        <v>0</v>
      </c>
    </row>
    <row r="102" spans="1:5" x14ac:dyDescent="0.25">
      <c r="A102" s="4">
        <f ca="1">INDEX(Stations,INT((ROWS(A$2:A102)-1)/(DATE(YEAR(Invoer!$A$5),12,31)-DATE(YEAR(Invoer!$A$5),1,1)+1))+2,1)</f>
        <v>32</v>
      </c>
      <c r="B102" t="str">
        <f ca="1">TEXT(DATE(YEAR(Invoer!$A$5),1,1)+MOD(ROWS(B$2:B102)-1,DATE(YEAR(Invoer!$A$5),12,31)-DATE(YEAR(Invoer!$A$5),1,1)+1),"jjjjmmdd")</f>
        <v>19270411</v>
      </c>
      <c r="C102" s="5">
        <v>1</v>
      </c>
      <c r="D102" s="10">
        <f t="shared" ca="1" si="2"/>
        <v>0</v>
      </c>
      <c r="E102" s="11">
        <f t="shared" ca="1" si="3"/>
        <v>0</v>
      </c>
    </row>
    <row r="103" spans="1:5" x14ac:dyDescent="0.25">
      <c r="A103" s="4">
        <f ca="1">INDEX(Stations,INT((ROWS(A$2:A103)-1)/(DATE(YEAR(Invoer!$A$5),12,31)-DATE(YEAR(Invoer!$A$5),1,1)+1))+2,1)</f>
        <v>32</v>
      </c>
      <c r="B103" t="str">
        <f ca="1">TEXT(DATE(YEAR(Invoer!$A$5),1,1)+MOD(ROWS(B$2:B103)-1,DATE(YEAR(Invoer!$A$5),12,31)-DATE(YEAR(Invoer!$A$5),1,1)+1),"jjjjmmdd")</f>
        <v>19270412</v>
      </c>
      <c r="C103" s="5">
        <v>1</v>
      </c>
      <c r="D103" s="10">
        <f t="shared" ca="1" si="2"/>
        <v>0</v>
      </c>
      <c r="E103" s="11">
        <f t="shared" ca="1" si="3"/>
        <v>0</v>
      </c>
    </row>
    <row r="104" spans="1:5" x14ac:dyDescent="0.25">
      <c r="A104" s="4">
        <f ca="1">INDEX(Stations,INT((ROWS(A$2:A104)-1)/(DATE(YEAR(Invoer!$A$5),12,31)-DATE(YEAR(Invoer!$A$5),1,1)+1))+2,1)</f>
        <v>32</v>
      </c>
      <c r="B104" t="str">
        <f ca="1">TEXT(DATE(YEAR(Invoer!$A$5),1,1)+MOD(ROWS(B$2:B104)-1,DATE(YEAR(Invoer!$A$5),12,31)-DATE(YEAR(Invoer!$A$5),1,1)+1),"jjjjmmdd")</f>
        <v>19270413</v>
      </c>
      <c r="C104" s="5">
        <v>1</v>
      </c>
      <c r="D104" s="10">
        <f t="shared" ca="1" si="2"/>
        <v>0</v>
      </c>
      <c r="E104" s="11">
        <f t="shared" ca="1" si="3"/>
        <v>0</v>
      </c>
    </row>
    <row r="105" spans="1:5" x14ac:dyDescent="0.25">
      <c r="A105" s="4">
        <f ca="1">INDEX(Stations,INT((ROWS(A$2:A105)-1)/(DATE(YEAR(Invoer!$A$5),12,31)-DATE(YEAR(Invoer!$A$5),1,1)+1))+2,1)</f>
        <v>32</v>
      </c>
      <c r="B105" t="str">
        <f ca="1">TEXT(DATE(YEAR(Invoer!$A$5),1,1)+MOD(ROWS(B$2:B105)-1,DATE(YEAR(Invoer!$A$5),12,31)-DATE(YEAR(Invoer!$A$5),1,1)+1),"jjjjmmdd")</f>
        <v>19270414</v>
      </c>
      <c r="C105" s="5">
        <v>1</v>
      </c>
      <c r="D105" s="10">
        <f t="shared" ca="1" si="2"/>
        <v>40</v>
      </c>
      <c r="E105" s="11">
        <f t="shared" ca="1" si="3"/>
        <v>0</v>
      </c>
    </row>
    <row r="106" spans="1:5" x14ac:dyDescent="0.25">
      <c r="A106" s="4">
        <f ca="1">INDEX(Stations,INT((ROWS(A$2:A106)-1)/(DATE(YEAR(Invoer!$A$5),12,31)-DATE(YEAR(Invoer!$A$5),1,1)+1))+2,1)</f>
        <v>32</v>
      </c>
      <c r="B106" t="str">
        <f ca="1">TEXT(DATE(YEAR(Invoer!$A$5),1,1)+MOD(ROWS(B$2:B106)-1,DATE(YEAR(Invoer!$A$5),12,31)-DATE(YEAR(Invoer!$A$5),1,1)+1),"jjjjmmdd")</f>
        <v>19270415</v>
      </c>
      <c r="C106" s="5">
        <v>1</v>
      </c>
      <c r="D106" s="10">
        <f t="shared" ca="1" si="2"/>
        <v>0</v>
      </c>
      <c r="E106" s="11">
        <f t="shared" ca="1" si="3"/>
        <v>0</v>
      </c>
    </row>
    <row r="107" spans="1:5" x14ac:dyDescent="0.25">
      <c r="A107" s="4">
        <f ca="1">INDEX(Stations,INT((ROWS(A$2:A107)-1)/(DATE(YEAR(Invoer!$A$5),12,31)-DATE(YEAR(Invoer!$A$5),1,1)+1))+2,1)</f>
        <v>32</v>
      </c>
      <c r="B107" t="str">
        <f ca="1">TEXT(DATE(YEAR(Invoer!$A$5),1,1)+MOD(ROWS(B$2:B107)-1,DATE(YEAR(Invoer!$A$5),12,31)-DATE(YEAR(Invoer!$A$5),1,1)+1),"jjjjmmdd")</f>
        <v>19270416</v>
      </c>
      <c r="C107" s="5">
        <v>1</v>
      </c>
      <c r="D107" s="10">
        <f t="shared" ca="1" si="2"/>
        <v>0</v>
      </c>
      <c r="E107" s="11">
        <f t="shared" ca="1" si="3"/>
        <v>0</v>
      </c>
    </row>
    <row r="108" spans="1:5" x14ac:dyDescent="0.25">
      <c r="A108" s="4">
        <f ca="1">INDEX(Stations,INT((ROWS(A$2:A108)-1)/(DATE(YEAR(Invoer!$A$5),12,31)-DATE(YEAR(Invoer!$A$5),1,1)+1))+2,1)</f>
        <v>32</v>
      </c>
      <c r="B108" t="str">
        <f ca="1">TEXT(DATE(YEAR(Invoer!$A$5),1,1)+MOD(ROWS(B$2:B108)-1,DATE(YEAR(Invoer!$A$5),12,31)-DATE(YEAR(Invoer!$A$5),1,1)+1),"jjjjmmdd")</f>
        <v>19270417</v>
      </c>
      <c r="C108" s="5">
        <v>1</v>
      </c>
      <c r="D108" s="10">
        <f t="shared" ca="1" si="2"/>
        <v>0</v>
      </c>
      <c r="E108" s="11">
        <f t="shared" ca="1" si="3"/>
        <v>0</v>
      </c>
    </row>
    <row r="109" spans="1:5" x14ac:dyDescent="0.25">
      <c r="A109" s="4">
        <f ca="1">INDEX(Stations,INT((ROWS(A$2:A109)-1)/(DATE(YEAR(Invoer!$A$5),12,31)-DATE(YEAR(Invoer!$A$5),1,1)+1))+2,1)</f>
        <v>32</v>
      </c>
      <c r="B109" t="str">
        <f ca="1">TEXT(DATE(YEAR(Invoer!$A$5),1,1)+MOD(ROWS(B$2:B109)-1,DATE(YEAR(Invoer!$A$5),12,31)-DATE(YEAR(Invoer!$A$5),1,1)+1),"jjjjmmdd")</f>
        <v>19270418</v>
      </c>
      <c r="C109" s="5">
        <v>1</v>
      </c>
      <c r="D109" s="10">
        <f t="shared" ca="1" si="2"/>
        <v>0</v>
      </c>
      <c r="E109" s="11">
        <f t="shared" ca="1" si="3"/>
        <v>0</v>
      </c>
    </row>
    <row r="110" spans="1:5" x14ac:dyDescent="0.25">
      <c r="A110" s="4">
        <f ca="1">INDEX(Stations,INT((ROWS(A$2:A110)-1)/(DATE(YEAR(Invoer!$A$5),12,31)-DATE(YEAR(Invoer!$A$5),1,1)+1))+2,1)</f>
        <v>32</v>
      </c>
      <c r="B110" t="str">
        <f ca="1">TEXT(DATE(YEAR(Invoer!$A$5),1,1)+MOD(ROWS(B$2:B110)-1,DATE(YEAR(Invoer!$A$5),12,31)-DATE(YEAR(Invoer!$A$5),1,1)+1),"jjjjmmdd")</f>
        <v>19270419</v>
      </c>
      <c r="C110" s="5">
        <v>1</v>
      </c>
      <c r="D110" s="10">
        <f t="shared" ca="1" si="2"/>
        <v>0</v>
      </c>
      <c r="E110" s="11">
        <f t="shared" ca="1" si="3"/>
        <v>0</v>
      </c>
    </row>
    <row r="111" spans="1:5" x14ac:dyDescent="0.25">
      <c r="A111" s="4">
        <f ca="1">INDEX(Stations,INT((ROWS(A$2:A111)-1)/(DATE(YEAR(Invoer!$A$5),12,31)-DATE(YEAR(Invoer!$A$5),1,1)+1))+2,1)</f>
        <v>32</v>
      </c>
      <c r="B111" t="str">
        <f ca="1">TEXT(DATE(YEAR(Invoer!$A$5),1,1)+MOD(ROWS(B$2:B111)-1,DATE(YEAR(Invoer!$A$5),12,31)-DATE(YEAR(Invoer!$A$5),1,1)+1),"jjjjmmdd")</f>
        <v>19270420</v>
      </c>
      <c r="C111" s="5">
        <v>1</v>
      </c>
      <c r="D111" s="10">
        <f t="shared" ca="1" si="2"/>
        <v>0</v>
      </c>
      <c r="E111" s="11">
        <f t="shared" ca="1" si="3"/>
        <v>0</v>
      </c>
    </row>
    <row r="112" spans="1:5" x14ac:dyDescent="0.25">
      <c r="A112" s="4">
        <f ca="1">INDEX(Stations,INT((ROWS(A$2:A112)-1)/(DATE(YEAR(Invoer!$A$5),12,31)-DATE(YEAR(Invoer!$A$5),1,1)+1))+2,1)</f>
        <v>32</v>
      </c>
      <c r="B112" t="str">
        <f ca="1">TEXT(DATE(YEAR(Invoer!$A$5),1,1)+MOD(ROWS(B$2:B112)-1,DATE(YEAR(Invoer!$A$5),12,31)-DATE(YEAR(Invoer!$A$5),1,1)+1),"jjjjmmdd")</f>
        <v>19270421</v>
      </c>
      <c r="C112" s="5">
        <v>1</v>
      </c>
      <c r="D112" s="10">
        <f t="shared" ca="1" si="2"/>
        <v>0</v>
      </c>
      <c r="E112" s="11">
        <f t="shared" ca="1" si="3"/>
        <v>0</v>
      </c>
    </row>
    <row r="113" spans="1:5" x14ac:dyDescent="0.25">
      <c r="A113" s="4">
        <f ca="1">INDEX(Stations,INT((ROWS(A$2:A113)-1)/(DATE(YEAR(Invoer!$A$5),12,31)-DATE(YEAR(Invoer!$A$5),1,1)+1))+2,1)</f>
        <v>32</v>
      </c>
      <c r="B113" t="str">
        <f ca="1">TEXT(DATE(YEAR(Invoer!$A$5),1,1)+MOD(ROWS(B$2:B113)-1,DATE(YEAR(Invoer!$A$5),12,31)-DATE(YEAR(Invoer!$A$5),1,1)+1),"jjjjmmdd")</f>
        <v>19270422</v>
      </c>
      <c r="C113" s="5">
        <v>1</v>
      </c>
      <c r="D113" s="10">
        <f t="shared" ca="1" si="2"/>
        <v>0</v>
      </c>
      <c r="E113" s="11">
        <f t="shared" ca="1" si="3"/>
        <v>0</v>
      </c>
    </row>
    <row r="114" spans="1:5" x14ac:dyDescent="0.25">
      <c r="A114" s="4">
        <f ca="1">INDEX(Stations,INT((ROWS(A$2:A114)-1)/(DATE(YEAR(Invoer!$A$5),12,31)-DATE(YEAR(Invoer!$A$5),1,1)+1))+2,1)</f>
        <v>32</v>
      </c>
      <c r="B114" t="str">
        <f ca="1">TEXT(DATE(YEAR(Invoer!$A$5),1,1)+MOD(ROWS(B$2:B114)-1,DATE(YEAR(Invoer!$A$5),12,31)-DATE(YEAR(Invoer!$A$5),1,1)+1),"jjjjmmdd")</f>
        <v>19270423</v>
      </c>
      <c r="C114" s="5">
        <v>1</v>
      </c>
      <c r="D114" s="10">
        <f t="shared" ca="1" si="2"/>
        <v>160</v>
      </c>
      <c r="E114" s="11">
        <f t="shared" ca="1" si="3"/>
        <v>0</v>
      </c>
    </row>
    <row r="115" spans="1:5" x14ac:dyDescent="0.25">
      <c r="A115" s="4">
        <f ca="1">INDEX(Stations,INT((ROWS(A$2:A115)-1)/(DATE(YEAR(Invoer!$A$5),12,31)-DATE(YEAR(Invoer!$A$5),1,1)+1))+2,1)</f>
        <v>32</v>
      </c>
      <c r="B115" t="str">
        <f ca="1">TEXT(DATE(YEAR(Invoer!$A$5),1,1)+MOD(ROWS(B$2:B115)-1,DATE(YEAR(Invoer!$A$5),12,31)-DATE(YEAR(Invoer!$A$5),1,1)+1),"jjjjmmdd")</f>
        <v>19270424</v>
      </c>
      <c r="C115" s="5">
        <v>1</v>
      </c>
      <c r="D115" s="10">
        <f t="shared" ca="1" si="2"/>
        <v>590</v>
      </c>
      <c r="E115" s="11">
        <f t="shared" ca="1" si="3"/>
        <v>0</v>
      </c>
    </row>
    <row r="116" spans="1:5" x14ac:dyDescent="0.25">
      <c r="A116" s="4">
        <f ca="1">INDEX(Stations,INT((ROWS(A$2:A116)-1)/(DATE(YEAR(Invoer!$A$5),12,31)-DATE(YEAR(Invoer!$A$5),1,1)+1))+2,1)</f>
        <v>32</v>
      </c>
      <c r="B116" t="str">
        <f ca="1">TEXT(DATE(YEAR(Invoer!$A$5),1,1)+MOD(ROWS(B$2:B116)-1,DATE(YEAR(Invoer!$A$5),12,31)-DATE(YEAR(Invoer!$A$5),1,1)+1),"jjjjmmdd")</f>
        <v>19270425</v>
      </c>
      <c r="C116" s="5">
        <v>1</v>
      </c>
      <c r="D116" s="10">
        <f t="shared" ca="1" si="2"/>
        <v>0</v>
      </c>
      <c r="E116" s="11">
        <f t="shared" ca="1" si="3"/>
        <v>0</v>
      </c>
    </row>
    <row r="117" spans="1:5" x14ac:dyDescent="0.25">
      <c r="A117" s="4">
        <f ca="1">INDEX(Stations,INT((ROWS(A$2:A117)-1)/(DATE(YEAR(Invoer!$A$5),12,31)-DATE(YEAR(Invoer!$A$5),1,1)+1))+2,1)</f>
        <v>32</v>
      </c>
      <c r="B117" t="str">
        <f ca="1">TEXT(DATE(YEAR(Invoer!$A$5),1,1)+MOD(ROWS(B$2:B117)-1,DATE(YEAR(Invoer!$A$5),12,31)-DATE(YEAR(Invoer!$A$5),1,1)+1),"jjjjmmdd")</f>
        <v>19270426</v>
      </c>
      <c r="C117" s="5">
        <v>1</v>
      </c>
      <c r="D117" s="10">
        <f t="shared" ca="1" si="2"/>
        <v>0</v>
      </c>
      <c r="E117" s="11">
        <f t="shared" ca="1" si="3"/>
        <v>0</v>
      </c>
    </row>
    <row r="118" spans="1:5" x14ac:dyDescent="0.25">
      <c r="A118" s="4">
        <f ca="1">INDEX(Stations,INT((ROWS(A$2:A118)-1)/(DATE(YEAR(Invoer!$A$5),12,31)-DATE(YEAR(Invoer!$A$5),1,1)+1))+2,1)</f>
        <v>32</v>
      </c>
      <c r="B118" t="str">
        <f ca="1">TEXT(DATE(YEAR(Invoer!$A$5),1,1)+MOD(ROWS(B$2:B118)-1,DATE(YEAR(Invoer!$A$5),12,31)-DATE(YEAR(Invoer!$A$5),1,1)+1),"jjjjmmdd")</f>
        <v>19270427</v>
      </c>
      <c r="C118" s="5">
        <v>1</v>
      </c>
      <c r="D118" s="10">
        <f t="shared" ca="1" si="2"/>
        <v>0</v>
      </c>
      <c r="E118" s="11">
        <f t="shared" ca="1" si="3"/>
        <v>0</v>
      </c>
    </row>
    <row r="119" spans="1:5" x14ac:dyDescent="0.25">
      <c r="A119" s="4">
        <f ca="1">INDEX(Stations,INT((ROWS(A$2:A119)-1)/(DATE(YEAR(Invoer!$A$5),12,31)-DATE(YEAR(Invoer!$A$5),1,1)+1))+2,1)</f>
        <v>32</v>
      </c>
      <c r="B119" t="str">
        <f ca="1">TEXT(DATE(YEAR(Invoer!$A$5),1,1)+MOD(ROWS(B$2:B119)-1,DATE(YEAR(Invoer!$A$5),12,31)-DATE(YEAR(Invoer!$A$5),1,1)+1),"jjjjmmdd")</f>
        <v>19270428</v>
      </c>
      <c r="C119" s="5">
        <v>1</v>
      </c>
      <c r="D119" s="10">
        <f t="shared" ca="1" si="2"/>
        <v>0</v>
      </c>
      <c r="E119" s="11">
        <f t="shared" ca="1" si="3"/>
        <v>0</v>
      </c>
    </row>
    <row r="120" spans="1:5" x14ac:dyDescent="0.25">
      <c r="A120" s="4">
        <f ca="1">INDEX(Stations,INT((ROWS(A$2:A120)-1)/(DATE(YEAR(Invoer!$A$5),12,31)-DATE(YEAR(Invoer!$A$5),1,1)+1))+2,1)</f>
        <v>32</v>
      </c>
      <c r="B120" t="str">
        <f ca="1">TEXT(DATE(YEAR(Invoer!$A$5),1,1)+MOD(ROWS(B$2:B120)-1,DATE(YEAR(Invoer!$A$5),12,31)-DATE(YEAR(Invoer!$A$5),1,1)+1),"jjjjmmdd")</f>
        <v>19270429</v>
      </c>
      <c r="C120" s="5">
        <v>1</v>
      </c>
      <c r="D120" s="10">
        <f t="shared" ca="1" si="2"/>
        <v>0</v>
      </c>
      <c r="E120" s="11">
        <f t="shared" ca="1" si="3"/>
        <v>0</v>
      </c>
    </row>
    <row r="121" spans="1:5" x14ac:dyDescent="0.25">
      <c r="A121" s="4">
        <f ca="1">INDEX(Stations,INT((ROWS(A$2:A121)-1)/(DATE(YEAR(Invoer!$A$5),12,31)-DATE(YEAR(Invoer!$A$5),1,1)+1))+2,1)</f>
        <v>32</v>
      </c>
      <c r="B121" t="str">
        <f ca="1">TEXT(DATE(YEAR(Invoer!$A$5),1,1)+MOD(ROWS(B$2:B121)-1,DATE(YEAR(Invoer!$A$5),12,31)-DATE(YEAR(Invoer!$A$5),1,1)+1),"jjjjmmdd")</f>
        <v>19270430</v>
      </c>
      <c r="C121" s="5">
        <v>1</v>
      </c>
      <c r="D121" s="10">
        <f t="shared" ca="1" si="2"/>
        <v>0</v>
      </c>
      <c r="E121" s="11">
        <f t="shared" ca="1" si="3"/>
        <v>0</v>
      </c>
    </row>
    <row r="122" spans="1:5" x14ac:dyDescent="0.25">
      <c r="A122" s="4">
        <f ca="1">INDEX(Stations,INT((ROWS(A$2:A122)-1)/(DATE(YEAR(Invoer!$A$5),12,31)-DATE(YEAR(Invoer!$A$5),1,1)+1))+2,1)</f>
        <v>32</v>
      </c>
      <c r="B122" t="str">
        <f ca="1">TEXT(DATE(YEAR(Invoer!$A$5),1,1)+MOD(ROWS(B$2:B122)-1,DATE(YEAR(Invoer!$A$5),12,31)-DATE(YEAR(Invoer!$A$5),1,1)+1),"jjjjmmdd")</f>
        <v>19270501</v>
      </c>
      <c r="C122" s="5">
        <v>1</v>
      </c>
      <c r="D122" s="10">
        <f t="shared" ca="1" si="2"/>
        <v>0</v>
      </c>
      <c r="E122" s="11">
        <f t="shared" ca="1" si="3"/>
        <v>0</v>
      </c>
    </row>
    <row r="123" spans="1:5" x14ac:dyDescent="0.25">
      <c r="A123" s="4">
        <f ca="1">INDEX(Stations,INT((ROWS(A$2:A123)-1)/(DATE(YEAR(Invoer!$A$5),12,31)-DATE(YEAR(Invoer!$A$5),1,1)+1))+2,1)</f>
        <v>32</v>
      </c>
      <c r="B123" t="str">
        <f ca="1">TEXT(DATE(YEAR(Invoer!$A$5),1,1)+MOD(ROWS(B$2:B123)-1,DATE(YEAR(Invoer!$A$5),12,31)-DATE(YEAR(Invoer!$A$5),1,1)+1),"jjjjmmdd")</f>
        <v>19270502</v>
      </c>
      <c r="C123" s="5">
        <v>1</v>
      </c>
      <c r="D123" s="10">
        <f t="shared" ca="1" si="2"/>
        <v>0</v>
      </c>
      <c r="E123" s="11">
        <f t="shared" ca="1" si="3"/>
        <v>0</v>
      </c>
    </row>
    <row r="124" spans="1:5" x14ac:dyDescent="0.25">
      <c r="A124" s="4">
        <f ca="1">INDEX(Stations,INT((ROWS(A$2:A124)-1)/(DATE(YEAR(Invoer!$A$5),12,31)-DATE(YEAR(Invoer!$A$5),1,1)+1))+2,1)</f>
        <v>32</v>
      </c>
      <c r="B124" t="str">
        <f ca="1">TEXT(DATE(YEAR(Invoer!$A$5),1,1)+MOD(ROWS(B$2:B124)-1,DATE(YEAR(Invoer!$A$5),12,31)-DATE(YEAR(Invoer!$A$5),1,1)+1),"jjjjmmdd")</f>
        <v>19270503</v>
      </c>
      <c r="C124" s="5">
        <v>1</v>
      </c>
      <c r="D124" s="10">
        <f t="shared" ca="1" si="2"/>
        <v>0</v>
      </c>
      <c r="E124" s="11">
        <f t="shared" ca="1" si="3"/>
        <v>0</v>
      </c>
    </row>
    <row r="125" spans="1:5" x14ac:dyDescent="0.25">
      <c r="A125" s="4">
        <f ca="1">INDEX(Stations,INT((ROWS(A$2:A125)-1)/(DATE(YEAR(Invoer!$A$5),12,31)-DATE(YEAR(Invoer!$A$5),1,1)+1))+2,1)</f>
        <v>32</v>
      </c>
      <c r="B125" t="str">
        <f ca="1">TEXT(DATE(YEAR(Invoer!$A$5),1,1)+MOD(ROWS(B$2:B125)-1,DATE(YEAR(Invoer!$A$5),12,31)-DATE(YEAR(Invoer!$A$5),1,1)+1),"jjjjmmdd")</f>
        <v>19270504</v>
      </c>
      <c r="C125" s="5">
        <v>1</v>
      </c>
      <c r="D125" s="10">
        <f t="shared" ca="1" si="2"/>
        <v>0</v>
      </c>
      <c r="E125" s="11">
        <f t="shared" ca="1" si="3"/>
        <v>0</v>
      </c>
    </row>
    <row r="126" spans="1:5" x14ac:dyDescent="0.25">
      <c r="A126" s="4">
        <f ca="1">INDEX(Stations,INT((ROWS(A$2:A126)-1)/(DATE(YEAR(Invoer!$A$5),12,31)-DATE(YEAR(Invoer!$A$5),1,1)+1))+2,1)</f>
        <v>32</v>
      </c>
      <c r="B126" t="str">
        <f ca="1">TEXT(DATE(YEAR(Invoer!$A$5),1,1)+MOD(ROWS(B$2:B126)-1,DATE(YEAR(Invoer!$A$5),12,31)-DATE(YEAR(Invoer!$A$5),1,1)+1),"jjjjmmdd")</f>
        <v>19270505</v>
      </c>
      <c r="C126" s="5">
        <v>1</v>
      </c>
      <c r="D126" s="10">
        <f t="shared" ca="1" si="2"/>
        <v>0</v>
      </c>
      <c r="E126" s="11">
        <f t="shared" ca="1" si="3"/>
        <v>0</v>
      </c>
    </row>
    <row r="127" spans="1:5" x14ac:dyDescent="0.25">
      <c r="A127" s="4">
        <f ca="1">INDEX(Stations,INT((ROWS(A$2:A127)-1)/(DATE(YEAR(Invoer!$A$5),12,31)-DATE(YEAR(Invoer!$A$5),1,1)+1))+2,1)</f>
        <v>32</v>
      </c>
      <c r="B127" t="str">
        <f ca="1">TEXT(DATE(YEAR(Invoer!$A$5),1,1)+MOD(ROWS(B$2:B127)-1,DATE(YEAR(Invoer!$A$5),12,31)-DATE(YEAR(Invoer!$A$5),1,1)+1),"jjjjmmdd")</f>
        <v>19270506</v>
      </c>
      <c r="C127" s="5">
        <v>1</v>
      </c>
      <c r="D127" s="10">
        <f t="shared" ca="1" si="2"/>
        <v>0</v>
      </c>
      <c r="E127" s="11">
        <f t="shared" ca="1" si="3"/>
        <v>0</v>
      </c>
    </row>
    <row r="128" spans="1:5" x14ac:dyDescent="0.25">
      <c r="A128" s="4">
        <f ca="1">INDEX(Stations,INT((ROWS(A$2:A128)-1)/(DATE(YEAR(Invoer!$A$5),12,31)-DATE(YEAR(Invoer!$A$5),1,1)+1))+2,1)</f>
        <v>32</v>
      </c>
      <c r="B128" t="str">
        <f ca="1">TEXT(DATE(YEAR(Invoer!$A$5),1,1)+MOD(ROWS(B$2:B128)-1,DATE(YEAR(Invoer!$A$5),12,31)-DATE(YEAR(Invoer!$A$5),1,1)+1),"jjjjmmdd")</f>
        <v>19270507</v>
      </c>
      <c r="C128" s="5">
        <v>1</v>
      </c>
      <c r="D128" s="10">
        <f t="shared" ca="1" si="2"/>
        <v>0</v>
      </c>
      <c r="E128" s="11">
        <f t="shared" ca="1" si="3"/>
        <v>0</v>
      </c>
    </row>
    <row r="129" spans="1:5" x14ac:dyDescent="0.25">
      <c r="A129" s="4">
        <f ca="1">INDEX(Stations,INT((ROWS(A$2:A129)-1)/(DATE(YEAR(Invoer!$A$5),12,31)-DATE(YEAR(Invoer!$A$5),1,1)+1))+2,1)</f>
        <v>32</v>
      </c>
      <c r="B129" t="str">
        <f ca="1">TEXT(DATE(YEAR(Invoer!$A$5),1,1)+MOD(ROWS(B$2:B129)-1,DATE(YEAR(Invoer!$A$5),12,31)-DATE(YEAR(Invoer!$A$5),1,1)+1),"jjjjmmdd")</f>
        <v>19270508</v>
      </c>
      <c r="C129" s="5">
        <v>1</v>
      </c>
      <c r="D129" s="10">
        <f t="shared" ca="1" si="2"/>
        <v>0</v>
      </c>
      <c r="E129" s="11">
        <f t="shared" ca="1" si="3"/>
        <v>0</v>
      </c>
    </row>
    <row r="130" spans="1:5" x14ac:dyDescent="0.25">
      <c r="A130" s="4">
        <f ca="1">INDEX(Stations,INT((ROWS(A$2:A130)-1)/(DATE(YEAR(Invoer!$A$5),12,31)-DATE(YEAR(Invoer!$A$5),1,1)+1))+2,1)</f>
        <v>32</v>
      </c>
      <c r="B130" t="str">
        <f ca="1">TEXT(DATE(YEAR(Invoer!$A$5),1,1)+MOD(ROWS(B$2:B130)-1,DATE(YEAR(Invoer!$A$5),12,31)-DATE(YEAR(Invoer!$A$5),1,1)+1),"jjjjmmdd")</f>
        <v>19270509</v>
      </c>
      <c r="C130" s="5">
        <v>1</v>
      </c>
      <c r="D130" s="10">
        <f t="shared" ref="D130:D193" ca="1" si="4">IF(OR(ISBLANK(VLOOKUP(DATEVALUE(LEFT(B130,4)&amp;"-"&amp;MID(B130,5,2)&amp;"-"&amp;RIGHT(B130,2)),Data,MATCH(VLOOKUP(A130,Stations,2,FALSE()),OFFSET(Data,1,0,1),0),FALSE())),ISTEXT(VLOOKUP(DATEVALUE(LEFT(B130,4)&amp;"-"&amp;MID(B130,5,2)&amp;"-"&amp;RIGHT(B130,2)),Data,MATCH(VLOOKUP(A130,Stations,2,FALSE()),OFFSET(Data,1,0,1),0),FALSE()))),"—",VLOOKUP(DATEVALUE(LEFT(B130,4)&amp;"-"&amp;MID(B130,5,2)&amp;"-"&amp;RIGHT(B130,2)),Data,MATCH(VLOOKUP(A130,Stations,2,FALSE()),OFFSET(Data,1,0,1),0),FALSE()))</f>
        <v>0</v>
      </c>
      <c r="E130" s="11">
        <f t="shared" ref="E130:E193" ca="1" si="5">IF(OR(ISBLANK(VLOOKUP(DATEVALUE(LEFT(B130,4)&amp;"-"&amp;MID(B130,5,2)&amp;"-"&amp;RIGHT(B130,2)),Data,MATCH(VLOOKUP(A130,Stations,2,FALSE()),OFFSET(Data,1,0,1),0),FALSE())),ISTEXT(VLOOKUP(DATEVALUE(LEFT(B130,4)&amp;"-"&amp;MID(B130,5,2)&amp;"-"&amp;RIGHT(B130,2)),Data,MATCH(VLOOKUP(A130,Stations,2,FALSE()),OFFSET(Data,1,0,1),0),FALSE()))),Lacking,IF(ISNA(MATCH(DATEVALUE(LEFT(B130,4)&amp;"-"&amp;MID(B130,5,2)&amp;"-"&amp;RIGHT(B130,2)),OFFSET(Catalogus,0,0,,1),0)),Ok,VLOOKUP(DATEVALUE(LEFT(B130,4)&amp;"-"&amp;MID(B130,5,2)&amp;"-"&amp;RIGHT(B130,2)),Catalogus,MATCH(VLOOKUP(A130,Stations,2,FALSE()),OFFSET(Catalogus,1,0,1),0),FALSE())))</f>
        <v>0</v>
      </c>
    </row>
    <row r="131" spans="1:5" x14ac:dyDescent="0.25">
      <c r="A131" s="4">
        <f ca="1">INDEX(Stations,INT((ROWS(A$2:A131)-1)/(DATE(YEAR(Invoer!$A$5),12,31)-DATE(YEAR(Invoer!$A$5),1,1)+1))+2,1)</f>
        <v>32</v>
      </c>
      <c r="B131" t="str">
        <f ca="1">TEXT(DATE(YEAR(Invoer!$A$5),1,1)+MOD(ROWS(B$2:B131)-1,DATE(YEAR(Invoer!$A$5),12,31)-DATE(YEAR(Invoer!$A$5),1,1)+1),"jjjjmmdd")</f>
        <v>19270510</v>
      </c>
      <c r="C131" s="5">
        <v>1</v>
      </c>
      <c r="D131" s="10">
        <f t="shared" ca="1" si="4"/>
        <v>0</v>
      </c>
      <c r="E131" s="11">
        <f t="shared" ca="1" si="5"/>
        <v>0</v>
      </c>
    </row>
    <row r="132" spans="1:5" x14ac:dyDescent="0.25">
      <c r="A132" s="4">
        <f ca="1">INDEX(Stations,INT((ROWS(A$2:A132)-1)/(DATE(YEAR(Invoer!$A$5),12,31)-DATE(YEAR(Invoer!$A$5),1,1)+1))+2,1)</f>
        <v>32</v>
      </c>
      <c r="B132" t="str">
        <f ca="1">TEXT(DATE(YEAR(Invoer!$A$5),1,1)+MOD(ROWS(B$2:B132)-1,DATE(YEAR(Invoer!$A$5),12,31)-DATE(YEAR(Invoer!$A$5),1,1)+1),"jjjjmmdd")</f>
        <v>19270511</v>
      </c>
      <c r="C132" s="5">
        <v>1</v>
      </c>
      <c r="D132" s="10">
        <f t="shared" ca="1" si="4"/>
        <v>0</v>
      </c>
      <c r="E132" s="11">
        <f t="shared" ca="1" si="5"/>
        <v>0</v>
      </c>
    </row>
    <row r="133" spans="1:5" x14ac:dyDescent="0.25">
      <c r="A133" s="4">
        <f ca="1">INDEX(Stations,INT((ROWS(A$2:A133)-1)/(DATE(YEAR(Invoer!$A$5),12,31)-DATE(YEAR(Invoer!$A$5),1,1)+1))+2,1)</f>
        <v>32</v>
      </c>
      <c r="B133" t="str">
        <f ca="1">TEXT(DATE(YEAR(Invoer!$A$5),1,1)+MOD(ROWS(B$2:B133)-1,DATE(YEAR(Invoer!$A$5),12,31)-DATE(YEAR(Invoer!$A$5),1,1)+1),"jjjjmmdd")</f>
        <v>19270512</v>
      </c>
      <c r="C133" s="5">
        <v>1</v>
      </c>
      <c r="D133" s="10">
        <f t="shared" ca="1" si="4"/>
        <v>0</v>
      </c>
      <c r="E133" s="11">
        <f t="shared" ca="1" si="5"/>
        <v>0</v>
      </c>
    </row>
    <row r="134" spans="1:5" x14ac:dyDescent="0.25">
      <c r="A134" s="4">
        <f ca="1">INDEX(Stations,INT((ROWS(A$2:A134)-1)/(DATE(YEAR(Invoer!$A$5),12,31)-DATE(YEAR(Invoer!$A$5),1,1)+1))+2,1)</f>
        <v>32</v>
      </c>
      <c r="B134" t="str">
        <f ca="1">TEXT(DATE(YEAR(Invoer!$A$5),1,1)+MOD(ROWS(B$2:B134)-1,DATE(YEAR(Invoer!$A$5),12,31)-DATE(YEAR(Invoer!$A$5),1,1)+1),"jjjjmmdd")</f>
        <v>19270513</v>
      </c>
      <c r="C134" s="5">
        <v>1</v>
      </c>
      <c r="D134" s="10">
        <f t="shared" ca="1" si="4"/>
        <v>0</v>
      </c>
      <c r="E134" s="11">
        <f t="shared" ca="1" si="5"/>
        <v>0</v>
      </c>
    </row>
    <row r="135" spans="1:5" x14ac:dyDescent="0.25">
      <c r="A135" s="4">
        <f ca="1">INDEX(Stations,INT((ROWS(A$2:A135)-1)/(DATE(YEAR(Invoer!$A$5),12,31)-DATE(YEAR(Invoer!$A$5),1,1)+1))+2,1)</f>
        <v>32</v>
      </c>
      <c r="B135" t="str">
        <f ca="1">TEXT(DATE(YEAR(Invoer!$A$5),1,1)+MOD(ROWS(B$2:B135)-1,DATE(YEAR(Invoer!$A$5),12,31)-DATE(YEAR(Invoer!$A$5),1,1)+1),"jjjjmmdd")</f>
        <v>19270514</v>
      </c>
      <c r="C135" s="5">
        <v>1</v>
      </c>
      <c r="D135" s="10">
        <f t="shared" ca="1" si="4"/>
        <v>0</v>
      </c>
      <c r="E135" s="11">
        <f t="shared" ca="1" si="5"/>
        <v>0</v>
      </c>
    </row>
    <row r="136" spans="1:5" x14ac:dyDescent="0.25">
      <c r="A136" s="4">
        <f ca="1">INDEX(Stations,INT((ROWS(A$2:A136)-1)/(DATE(YEAR(Invoer!$A$5),12,31)-DATE(YEAR(Invoer!$A$5),1,1)+1))+2,1)</f>
        <v>32</v>
      </c>
      <c r="B136" t="str">
        <f ca="1">TEXT(DATE(YEAR(Invoer!$A$5),1,1)+MOD(ROWS(B$2:B136)-1,DATE(YEAR(Invoer!$A$5),12,31)-DATE(YEAR(Invoer!$A$5),1,1)+1),"jjjjmmdd")</f>
        <v>19270515</v>
      </c>
      <c r="C136" s="5">
        <v>1</v>
      </c>
      <c r="D136" s="10">
        <f t="shared" ca="1" si="4"/>
        <v>0</v>
      </c>
      <c r="E136" s="11">
        <f t="shared" ca="1" si="5"/>
        <v>0</v>
      </c>
    </row>
    <row r="137" spans="1:5" x14ac:dyDescent="0.25">
      <c r="A137" s="4">
        <f ca="1">INDEX(Stations,INT((ROWS(A$2:A137)-1)/(DATE(YEAR(Invoer!$A$5),12,31)-DATE(YEAR(Invoer!$A$5),1,1)+1))+2,1)</f>
        <v>32</v>
      </c>
      <c r="B137" t="str">
        <f ca="1">TEXT(DATE(YEAR(Invoer!$A$5),1,1)+MOD(ROWS(B$2:B137)-1,DATE(YEAR(Invoer!$A$5),12,31)-DATE(YEAR(Invoer!$A$5),1,1)+1),"jjjjmmdd")</f>
        <v>19270516</v>
      </c>
      <c r="C137" s="5">
        <v>1</v>
      </c>
      <c r="D137" s="10">
        <f t="shared" ca="1" si="4"/>
        <v>0</v>
      </c>
      <c r="E137" s="11">
        <f t="shared" ca="1" si="5"/>
        <v>0</v>
      </c>
    </row>
    <row r="138" spans="1:5" x14ac:dyDescent="0.25">
      <c r="A138" s="4">
        <f ca="1">INDEX(Stations,INT((ROWS(A$2:A138)-1)/(DATE(YEAR(Invoer!$A$5),12,31)-DATE(YEAR(Invoer!$A$5),1,1)+1))+2,1)</f>
        <v>32</v>
      </c>
      <c r="B138" t="str">
        <f ca="1">TEXT(DATE(YEAR(Invoer!$A$5),1,1)+MOD(ROWS(B$2:B138)-1,DATE(YEAR(Invoer!$A$5),12,31)-DATE(YEAR(Invoer!$A$5),1,1)+1),"jjjjmmdd")</f>
        <v>19270517</v>
      </c>
      <c r="C138" s="5">
        <v>1</v>
      </c>
      <c r="D138" s="10">
        <f t="shared" ca="1" si="4"/>
        <v>0</v>
      </c>
      <c r="E138" s="11">
        <f t="shared" ca="1" si="5"/>
        <v>0</v>
      </c>
    </row>
    <row r="139" spans="1:5" x14ac:dyDescent="0.25">
      <c r="A139" s="4">
        <f ca="1">INDEX(Stations,INT((ROWS(A$2:A139)-1)/(DATE(YEAR(Invoer!$A$5),12,31)-DATE(YEAR(Invoer!$A$5),1,1)+1))+2,1)</f>
        <v>32</v>
      </c>
      <c r="B139" t="str">
        <f ca="1">TEXT(DATE(YEAR(Invoer!$A$5),1,1)+MOD(ROWS(B$2:B139)-1,DATE(YEAR(Invoer!$A$5),12,31)-DATE(YEAR(Invoer!$A$5),1,1)+1),"jjjjmmdd")</f>
        <v>19270518</v>
      </c>
      <c r="C139" s="5">
        <v>1</v>
      </c>
      <c r="D139" s="10">
        <f t="shared" ca="1" si="4"/>
        <v>0</v>
      </c>
      <c r="E139" s="11">
        <f t="shared" ca="1" si="5"/>
        <v>0</v>
      </c>
    </row>
    <row r="140" spans="1:5" x14ac:dyDescent="0.25">
      <c r="A140" s="4">
        <f ca="1">INDEX(Stations,INT((ROWS(A$2:A140)-1)/(DATE(YEAR(Invoer!$A$5),12,31)-DATE(YEAR(Invoer!$A$5),1,1)+1))+2,1)</f>
        <v>32</v>
      </c>
      <c r="B140" t="str">
        <f ca="1">TEXT(DATE(YEAR(Invoer!$A$5),1,1)+MOD(ROWS(B$2:B140)-1,DATE(YEAR(Invoer!$A$5),12,31)-DATE(YEAR(Invoer!$A$5),1,1)+1),"jjjjmmdd")</f>
        <v>19270519</v>
      </c>
      <c r="C140" s="5">
        <v>1</v>
      </c>
      <c r="D140" s="10">
        <f t="shared" ca="1" si="4"/>
        <v>0</v>
      </c>
      <c r="E140" s="11">
        <f t="shared" ca="1" si="5"/>
        <v>0</v>
      </c>
    </row>
    <row r="141" spans="1:5" x14ac:dyDescent="0.25">
      <c r="A141" s="4">
        <f ca="1">INDEX(Stations,INT((ROWS(A$2:A141)-1)/(DATE(YEAR(Invoer!$A$5),12,31)-DATE(YEAR(Invoer!$A$5),1,1)+1))+2,1)</f>
        <v>32</v>
      </c>
      <c r="B141" t="str">
        <f ca="1">TEXT(DATE(YEAR(Invoer!$A$5),1,1)+MOD(ROWS(B$2:B141)-1,DATE(YEAR(Invoer!$A$5),12,31)-DATE(YEAR(Invoer!$A$5),1,1)+1),"jjjjmmdd")</f>
        <v>19270520</v>
      </c>
      <c r="C141" s="5">
        <v>1</v>
      </c>
      <c r="D141" s="10">
        <f t="shared" ca="1" si="4"/>
        <v>0</v>
      </c>
      <c r="E141" s="11">
        <f t="shared" ca="1" si="5"/>
        <v>0</v>
      </c>
    </row>
    <row r="142" spans="1:5" x14ac:dyDescent="0.25">
      <c r="A142" s="4">
        <f ca="1">INDEX(Stations,INT((ROWS(A$2:A142)-1)/(DATE(YEAR(Invoer!$A$5),12,31)-DATE(YEAR(Invoer!$A$5),1,1)+1))+2,1)</f>
        <v>32</v>
      </c>
      <c r="B142" t="str">
        <f ca="1">TEXT(DATE(YEAR(Invoer!$A$5),1,1)+MOD(ROWS(B$2:B142)-1,DATE(YEAR(Invoer!$A$5),12,31)-DATE(YEAR(Invoer!$A$5),1,1)+1),"jjjjmmdd")</f>
        <v>19270521</v>
      </c>
      <c r="C142" s="5">
        <v>1</v>
      </c>
      <c r="D142" s="10">
        <f t="shared" ca="1" si="4"/>
        <v>0</v>
      </c>
      <c r="E142" s="11">
        <f t="shared" ca="1" si="5"/>
        <v>0</v>
      </c>
    </row>
    <row r="143" spans="1:5" x14ac:dyDescent="0.25">
      <c r="A143" s="4">
        <f ca="1">INDEX(Stations,INT((ROWS(A$2:A143)-1)/(DATE(YEAR(Invoer!$A$5),12,31)-DATE(YEAR(Invoer!$A$5),1,1)+1))+2,1)</f>
        <v>32</v>
      </c>
      <c r="B143" t="str">
        <f ca="1">TEXT(DATE(YEAR(Invoer!$A$5),1,1)+MOD(ROWS(B$2:B143)-1,DATE(YEAR(Invoer!$A$5),12,31)-DATE(YEAR(Invoer!$A$5),1,1)+1),"jjjjmmdd")</f>
        <v>19270522</v>
      </c>
      <c r="C143" s="5">
        <v>1</v>
      </c>
      <c r="D143" s="10">
        <f t="shared" ca="1" si="4"/>
        <v>0</v>
      </c>
      <c r="E143" s="11">
        <f t="shared" ca="1" si="5"/>
        <v>0</v>
      </c>
    </row>
    <row r="144" spans="1:5" x14ac:dyDescent="0.25">
      <c r="A144" s="4">
        <f ca="1">INDEX(Stations,INT((ROWS(A$2:A144)-1)/(DATE(YEAR(Invoer!$A$5),12,31)-DATE(YEAR(Invoer!$A$5),1,1)+1))+2,1)</f>
        <v>32</v>
      </c>
      <c r="B144" t="str">
        <f ca="1">TEXT(DATE(YEAR(Invoer!$A$5),1,1)+MOD(ROWS(B$2:B144)-1,DATE(YEAR(Invoer!$A$5),12,31)-DATE(YEAR(Invoer!$A$5),1,1)+1),"jjjjmmdd")</f>
        <v>19270523</v>
      </c>
      <c r="C144" s="5">
        <v>1</v>
      </c>
      <c r="D144" s="10">
        <f t="shared" ca="1" si="4"/>
        <v>40</v>
      </c>
      <c r="E144" s="11">
        <f t="shared" ca="1" si="5"/>
        <v>0</v>
      </c>
    </row>
    <row r="145" spans="1:5" x14ac:dyDescent="0.25">
      <c r="A145" s="4">
        <f ca="1">INDEX(Stations,INT((ROWS(A$2:A145)-1)/(DATE(YEAR(Invoer!$A$5),12,31)-DATE(YEAR(Invoer!$A$5),1,1)+1))+2,1)</f>
        <v>32</v>
      </c>
      <c r="B145" t="str">
        <f ca="1">TEXT(DATE(YEAR(Invoer!$A$5),1,1)+MOD(ROWS(B$2:B145)-1,DATE(YEAR(Invoer!$A$5),12,31)-DATE(YEAR(Invoer!$A$5),1,1)+1),"jjjjmmdd")</f>
        <v>19270524</v>
      </c>
      <c r="C145" s="5">
        <v>1</v>
      </c>
      <c r="D145" s="10">
        <f t="shared" ca="1" si="4"/>
        <v>0</v>
      </c>
      <c r="E145" s="11">
        <f t="shared" ca="1" si="5"/>
        <v>0</v>
      </c>
    </row>
    <row r="146" spans="1:5" x14ac:dyDescent="0.25">
      <c r="A146" s="4">
        <f ca="1">INDEX(Stations,INT((ROWS(A$2:A146)-1)/(DATE(YEAR(Invoer!$A$5),12,31)-DATE(YEAR(Invoer!$A$5),1,1)+1))+2,1)</f>
        <v>32</v>
      </c>
      <c r="B146" t="str">
        <f ca="1">TEXT(DATE(YEAR(Invoer!$A$5),1,1)+MOD(ROWS(B$2:B146)-1,DATE(YEAR(Invoer!$A$5),12,31)-DATE(YEAR(Invoer!$A$5),1,1)+1),"jjjjmmdd")</f>
        <v>19270525</v>
      </c>
      <c r="C146" s="5">
        <v>1</v>
      </c>
      <c r="D146" s="10">
        <f t="shared" ca="1" si="4"/>
        <v>0</v>
      </c>
      <c r="E146" s="11">
        <f t="shared" ca="1" si="5"/>
        <v>0</v>
      </c>
    </row>
    <row r="147" spans="1:5" x14ac:dyDescent="0.25">
      <c r="A147" s="4">
        <f ca="1">INDEX(Stations,INT((ROWS(A$2:A147)-1)/(DATE(YEAR(Invoer!$A$5),12,31)-DATE(YEAR(Invoer!$A$5),1,1)+1))+2,1)</f>
        <v>32</v>
      </c>
      <c r="B147" t="str">
        <f ca="1">TEXT(DATE(YEAR(Invoer!$A$5),1,1)+MOD(ROWS(B$2:B147)-1,DATE(YEAR(Invoer!$A$5),12,31)-DATE(YEAR(Invoer!$A$5),1,1)+1),"jjjjmmdd")</f>
        <v>19270526</v>
      </c>
      <c r="C147" s="5">
        <v>1</v>
      </c>
      <c r="D147" s="10">
        <f t="shared" ca="1" si="4"/>
        <v>0</v>
      </c>
      <c r="E147" s="11">
        <f t="shared" ca="1" si="5"/>
        <v>0</v>
      </c>
    </row>
    <row r="148" spans="1:5" x14ac:dyDescent="0.25">
      <c r="A148" s="4">
        <f ca="1">INDEX(Stations,INT((ROWS(A$2:A148)-1)/(DATE(YEAR(Invoer!$A$5),12,31)-DATE(YEAR(Invoer!$A$5),1,1)+1))+2,1)</f>
        <v>32</v>
      </c>
      <c r="B148" t="str">
        <f ca="1">TEXT(DATE(YEAR(Invoer!$A$5),1,1)+MOD(ROWS(B$2:B148)-1,DATE(YEAR(Invoer!$A$5),12,31)-DATE(YEAR(Invoer!$A$5),1,1)+1),"jjjjmmdd")</f>
        <v>19270527</v>
      </c>
      <c r="C148" s="5">
        <v>1</v>
      </c>
      <c r="D148" s="10">
        <f t="shared" ca="1" si="4"/>
        <v>0</v>
      </c>
      <c r="E148" s="11">
        <f t="shared" ca="1" si="5"/>
        <v>0</v>
      </c>
    </row>
    <row r="149" spans="1:5" x14ac:dyDescent="0.25">
      <c r="A149" s="4">
        <f ca="1">INDEX(Stations,INT((ROWS(A$2:A149)-1)/(DATE(YEAR(Invoer!$A$5),12,31)-DATE(YEAR(Invoer!$A$5),1,1)+1))+2,1)</f>
        <v>32</v>
      </c>
      <c r="B149" t="str">
        <f ca="1">TEXT(DATE(YEAR(Invoer!$A$5),1,1)+MOD(ROWS(B$2:B149)-1,DATE(YEAR(Invoer!$A$5),12,31)-DATE(YEAR(Invoer!$A$5),1,1)+1),"jjjjmmdd")</f>
        <v>19270528</v>
      </c>
      <c r="C149" s="5">
        <v>1</v>
      </c>
      <c r="D149" s="10">
        <f t="shared" ca="1" si="4"/>
        <v>0</v>
      </c>
      <c r="E149" s="11">
        <f t="shared" ca="1" si="5"/>
        <v>0</v>
      </c>
    </row>
    <row r="150" spans="1:5" x14ac:dyDescent="0.25">
      <c r="A150" s="4">
        <f ca="1">INDEX(Stations,INT((ROWS(A$2:A150)-1)/(DATE(YEAR(Invoer!$A$5),12,31)-DATE(YEAR(Invoer!$A$5),1,1)+1))+2,1)</f>
        <v>32</v>
      </c>
      <c r="B150" t="str">
        <f ca="1">TEXT(DATE(YEAR(Invoer!$A$5),1,1)+MOD(ROWS(B$2:B150)-1,DATE(YEAR(Invoer!$A$5),12,31)-DATE(YEAR(Invoer!$A$5),1,1)+1),"jjjjmmdd")</f>
        <v>19270529</v>
      </c>
      <c r="C150" s="5">
        <v>1</v>
      </c>
      <c r="D150" s="10">
        <f t="shared" ca="1" si="4"/>
        <v>0</v>
      </c>
      <c r="E150" s="11">
        <f t="shared" ca="1" si="5"/>
        <v>0</v>
      </c>
    </row>
    <row r="151" spans="1:5" x14ac:dyDescent="0.25">
      <c r="A151" s="4">
        <f ca="1">INDEX(Stations,INT((ROWS(A$2:A151)-1)/(DATE(YEAR(Invoer!$A$5),12,31)-DATE(YEAR(Invoer!$A$5),1,1)+1))+2,1)</f>
        <v>32</v>
      </c>
      <c r="B151" t="str">
        <f ca="1">TEXT(DATE(YEAR(Invoer!$A$5),1,1)+MOD(ROWS(B$2:B151)-1,DATE(YEAR(Invoer!$A$5),12,31)-DATE(YEAR(Invoer!$A$5),1,1)+1),"jjjjmmdd")</f>
        <v>19270530</v>
      </c>
      <c r="C151" s="5">
        <v>1</v>
      </c>
      <c r="D151" s="10">
        <f t="shared" ca="1" si="4"/>
        <v>0</v>
      </c>
      <c r="E151" s="11">
        <f t="shared" ca="1" si="5"/>
        <v>0</v>
      </c>
    </row>
    <row r="152" spans="1:5" x14ac:dyDescent="0.25">
      <c r="A152" s="4">
        <f ca="1">INDEX(Stations,INT((ROWS(A$2:A152)-1)/(DATE(YEAR(Invoer!$A$5),12,31)-DATE(YEAR(Invoer!$A$5),1,1)+1))+2,1)</f>
        <v>32</v>
      </c>
      <c r="B152" t="str">
        <f ca="1">TEXT(DATE(YEAR(Invoer!$A$5),1,1)+MOD(ROWS(B$2:B152)-1,DATE(YEAR(Invoer!$A$5),12,31)-DATE(YEAR(Invoer!$A$5),1,1)+1),"jjjjmmdd")</f>
        <v>19270531</v>
      </c>
      <c r="C152" s="5">
        <v>1</v>
      </c>
      <c r="D152" s="10">
        <f t="shared" ca="1" si="4"/>
        <v>0</v>
      </c>
      <c r="E152" s="11">
        <f t="shared" ca="1" si="5"/>
        <v>0</v>
      </c>
    </row>
    <row r="153" spans="1:5" x14ac:dyDescent="0.25">
      <c r="A153" s="4">
        <f ca="1">INDEX(Stations,INT((ROWS(A$2:A153)-1)/(DATE(YEAR(Invoer!$A$5),12,31)-DATE(YEAR(Invoer!$A$5),1,1)+1))+2,1)</f>
        <v>32</v>
      </c>
      <c r="B153" t="str">
        <f ca="1">TEXT(DATE(YEAR(Invoer!$A$5),1,1)+MOD(ROWS(B$2:B153)-1,DATE(YEAR(Invoer!$A$5),12,31)-DATE(YEAR(Invoer!$A$5),1,1)+1),"jjjjmmdd")</f>
        <v>19270601</v>
      </c>
      <c r="C153" s="5">
        <v>1</v>
      </c>
      <c r="D153" s="10">
        <f t="shared" ca="1" si="4"/>
        <v>0</v>
      </c>
      <c r="E153" s="11">
        <f t="shared" ca="1" si="5"/>
        <v>0</v>
      </c>
    </row>
    <row r="154" spans="1:5" x14ac:dyDescent="0.25">
      <c r="A154" s="4">
        <f ca="1">INDEX(Stations,INT((ROWS(A$2:A154)-1)/(DATE(YEAR(Invoer!$A$5),12,31)-DATE(YEAR(Invoer!$A$5),1,1)+1))+2,1)</f>
        <v>32</v>
      </c>
      <c r="B154" t="str">
        <f ca="1">TEXT(DATE(YEAR(Invoer!$A$5),1,1)+MOD(ROWS(B$2:B154)-1,DATE(YEAR(Invoer!$A$5),12,31)-DATE(YEAR(Invoer!$A$5),1,1)+1),"jjjjmmdd")</f>
        <v>19270602</v>
      </c>
      <c r="C154" s="5">
        <v>1</v>
      </c>
      <c r="D154" s="10">
        <f t="shared" ca="1" si="4"/>
        <v>0</v>
      </c>
      <c r="E154" s="11">
        <f t="shared" ca="1" si="5"/>
        <v>0</v>
      </c>
    </row>
    <row r="155" spans="1:5" x14ac:dyDescent="0.25">
      <c r="A155" s="4">
        <f ca="1">INDEX(Stations,INT((ROWS(A$2:A155)-1)/(DATE(YEAR(Invoer!$A$5),12,31)-DATE(YEAR(Invoer!$A$5),1,1)+1))+2,1)</f>
        <v>32</v>
      </c>
      <c r="B155" t="str">
        <f ca="1">TEXT(DATE(YEAR(Invoer!$A$5),1,1)+MOD(ROWS(B$2:B155)-1,DATE(YEAR(Invoer!$A$5),12,31)-DATE(YEAR(Invoer!$A$5),1,1)+1),"jjjjmmdd")</f>
        <v>19270603</v>
      </c>
      <c r="C155" s="5">
        <v>1</v>
      </c>
      <c r="D155" s="10">
        <f t="shared" ca="1" si="4"/>
        <v>0</v>
      </c>
      <c r="E155" s="11">
        <f t="shared" ca="1" si="5"/>
        <v>0</v>
      </c>
    </row>
    <row r="156" spans="1:5" x14ac:dyDescent="0.25">
      <c r="A156" s="4">
        <f ca="1">INDEX(Stations,INT((ROWS(A$2:A156)-1)/(DATE(YEAR(Invoer!$A$5),12,31)-DATE(YEAR(Invoer!$A$5),1,1)+1))+2,1)</f>
        <v>32</v>
      </c>
      <c r="B156" t="str">
        <f ca="1">TEXT(DATE(YEAR(Invoer!$A$5),1,1)+MOD(ROWS(B$2:B156)-1,DATE(YEAR(Invoer!$A$5),12,31)-DATE(YEAR(Invoer!$A$5),1,1)+1),"jjjjmmdd")</f>
        <v>19270604</v>
      </c>
      <c r="C156" s="5">
        <v>1</v>
      </c>
      <c r="D156" s="10">
        <f t="shared" ca="1" si="4"/>
        <v>20</v>
      </c>
      <c r="E156" s="11">
        <f t="shared" ca="1" si="5"/>
        <v>0</v>
      </c>
    </row>
    <row r="157" spans="1:5" x14ac:dyDescent="0.25">
      <c r="A157" s="4">
        <f ca="1">INDEX(Stations,INT((ROWS(A$2:A157)-1)/(DATE(YEAR(Invoer!$A$5),12,31)-DATE(YEAR(Invoer!$A$5),1,1)+1))+2,1)</f>
        <v>32</v>
      </c>
      <c r="B157" t="str">
        <f ca="1">TEXT(DATE(YEAR(Invoer!$A$5),1,1)+MOD(ROWS(B$2:B157)-1,DATE(YEAR(Invoer!$A$5),12,31)-DATE(YEAR(Invoer!$A$5),1,1)+1),"jjjjmmdd")</f>
        <v>19270605</v>
      </c>
      <c r="C157" s="5">
        <v>1</v>
      </c>
      <c r="D157" s="10">
        <f t="shared" ca="1" si="4"/>
        <v>0</v>
      </c>
      <c r="E157" s="11">
        <f t="shared" ca="1" si="5"/>
        <v>0</v>
      </c>
    </row>
    <row r="158" spans="1:5" x14ac:dyDescent="0.25">
      <c r="A158" s="4">
        <f ca="1">INDEX(Stations,INT((ROWS(A$2:A158)-1)/(DATE(YEAR(Invoer!$A$5),12,31)-DATE(YEAR(Invoer!$A$5),1,1)+1))+2,1)</f>
        <v>32</v>
      </c>
      <c r="B158" t="str">
        <f ca="1">TEXT(DATE(YEAR(Invoer!$A$5),1,1)+MOD(ROWS(B$2:B158)-1,DATE(YEAR(Invoer!$A$5),12,31)-DATE(YEAR(Invoer!$A$5),1,1)+1),"jjjjmmdd")</f>
        <v>19270606</v>
      </c>
      <c r="C158" s="5">
        <v>1</v>
      </c>
      <c r="D158" s="10">
        <f t="shared" ca="1" si="4"/>
        <v>0</v>
      </c>
      <c r="E158" s="11">
        <f t="shared" ca="1" si="5"/>
        <v>0</v>
      </c>
    </row>
    <row r="159" spans="1:5" x14ac:dyDescent="0.25">
      <c r="A159" s="4">
        <f ca="1">INDEX(Stations,INT((ROWS(A$2:A159)-1)/(DATE(YEAR(Invoer!$A$5),12,31)-DATE(YEAR(Invoer!$A$5),1,1)+1))+2,1)</f>
        <v>32</v>
      </c>
      <c r="B159" t="str">
        <f ca="1">TEXT(DATE(YEAR(Invoer!$A$5),1,1)+MOD(ROWS(B$2:B159)-1,DATE(YEAR(Invoer!$A$5),12,31)-DATE(YEAR(Invoer!$A$5),1,1)+1),"jjjjmmdd")</f>
        <v>19270607</v>
      </c>
      <c r="C159" s="5">
        <v>1</v>
      </c>
      <c r="D159" s="10">
        <f t="shared" ca="1" si="4"/>
        <v>0</v>
      </c>
      <c r="E159" s="11">
        <f t="shared" ca="1" si="5"/>
        <v>0</v>
      </c>
    </row>
    <row r="160" spans="1:5" x14ac:dyDescent="0.25">
      <c r="A160" s="4">
        <f ca="1">INDEX(Stations,INT((ROWS(A$2:A160)-1)/(DATE(YEAR(Invoer!$A$5),12,31)-DATE(YEAR(Invoer!$A$5),1,1)+1))+2,1)</f>
        <v>32</v>
      </c>
      <c r="B160" t="str">
        <f ca="1">TEXT(DATE(YEAR(Invoer!$A$5),1,1)+MOD(ROWS(B$2:B160)-1,DATE(YEAR(Invoer!$A$5),12,31)-DATE(YEAR(Invoer!$A$5),1,1)+1),"jjjjmmdd")</f>
        <v>19270608</v>
      </c>
      <c r="C160" s="5">
        <v>1</v>
      </c>
      <c r="D160" s="10">
        <f t="shared" ca="1" si="4"/>
        <v>0</v>
      </c>
      <c r="E160" s="11">
        <f t="shared" ca="1" si="5"/>
        <v>0</v>
      </c>
    </row>
    <row r="161" spans="1:5" x14ac:dyDescent="0.25">
      <c r="A161" s="4">
        <f ca="1">INDEX(Stations,INT((ROWS(A$2:A161)-1)/(DATE(YEAR(Invoer!$A$5),12,31)-DATE(YEAR(Invoer!$A$5),1,1)+1))+2,1)</f>
        <v>32</v>
      </c>
      <c r="B161" t="str">
        <f ca="1">TEXT(DATE(YEAR(Invoer!$A$5),1,1)+MOD(ROWS(B$2:B161)-1,DATE(YEAR(Invoer!$A$5),12,31)-DATE(YEAR(Invoer!$A$5),1,1)+1),"jjjjmmdd")</f>
        <v>19270609</v>
      </c>
      <c r="C161" s="5">
        <v>1</v>
      </c>
      <c r="D161" s="10">
        <f t="shared" ca="1" si="4"/>
        <v>0</v>
      </c>
      <c r="E161" s="11">
        <f t="shared" ca="1" si="5"/>
        <v>0</v>
      </c>
    </row>
    <row r="162" spans="1:5" x14ac:dyDescent="0.25">
      <c r="A162" s="4">
        <f ca="1">INDEX(Stations,INT((ROWS(A$2:A162)-1)/(DATE(YEAR(Invoer!$A$5),12,31)-DATE(YEAR(Invoer!$A$5),1,1)+1))+2,1)</f>
        <v>32</v>
      </c>
      <c r="B162" t="str">
        <f ca="1">TEXT(DATE(YEAR(Invoer!$A$5),1,1)+MOD(ROWS(B$2:B162)-1,DATE(YEAR(Invoer!$A$5),12,31)-DATE(YEAR(Invoer!$A$5),1,1)+1),"jjjjmmdd")</f>
        <v>19270610</v>
      </c>
      <c r="C162" s="5">
        <v>1</v>
      </c>
      <c r="D162" s="10">
        <f t="shared" ca="1" si="4"/>
        <v>0</v>
      </c>
      <c r="E162" s="11">
        <f t="shared" ca="1" si="5"/>
        <v>0</v>
      </c>
    </row>
    <row r="163" spans="1:5" x14ac:dyDescent="0.25">
      <c r="A163" s="4">
        <f ca="1">INDEX(Stations,INT((ROWS(A$2:A163)-1)/(DATE(YEAR(Invoer!$A$5),12,31)-DATE(YEAR(Invoer!$A$5),1,1)+1))+2,1)</f>
        <v>32</v>
      </c>
      <c r="B163" t="str">
        <f ca="1">TEXT(DATE(YEAR(Invoer!$A$5),1,1)+MOD(ROWS(B$2:B163)-1,DATE(YEAR(Invoer!$A$5),12,31)-DATE(YEAR(Invoer!$A$5),1,1)+1),"jjjjmmdd")</f>
        <v>19270611</v>
      </c>
      <c r="C163" s="5">
        <v>1</v>
      </c>
      <c r="D163" s="10">
        <f t="shared" ca="1" si="4"/>
        <v>0</v>
      </c>
      <c r="E163" s="11">
        <f t="shared" ca="1" si="5"/>
        <v>0</v>
      </c>
    </row>
    <row r="164" spans="1:5" x14ac:dyDescent="0.25">
      <c r="A164" s="4">
        <f ca="1">INDEX(Stations,INT((ROWS(A$2:A164)-1)/(DATE(YEAR(Invoer!$A$5),12,31)-DATE(YEAR(Invoer!$A$5),1,1)+1))+2,1)</f>
        <v>32</v>
      </c>
      <c r="B164" t="str">
        <f ca="1">TEXT(DATE(YEAR(Invoer!$A$5),1,1)+MOD(ROWS(B$2:B164)-1,DATE(YEAR(Invoer!$A$5),12,31)-DATE(YEAR(Invoer!$A$5),1,1)+1),"jjjjmmdd")</f>
        <v>19270612</v>
      </c>
      <c r="C164" s="5">
        <v>1</v>
      </c>
      <c r="D164" s="10">
        <f t="shared" ca="1" si="4"/>
        <v>0</v>
      </c>
      <c r="E164" s="11">
        <f t="shared" ca="1" si="5"/>
        <v>0</v>
      </c>
    </row>
    <row r="165" spans="1:5" x14ac:dyDescent="0.25">
      <c r="A165" s="4">
        <f ca="1">INDEX(Stations,INT((ROWS(A$2:A165)-1)/(DATE(YEAR(Invoer!$A$5),12,31)-DATE(YEAR(Invoer!$A$5),1,1)+1))+2,1)</f>
        <v>32</v>
      </c>
      <c r="B165" t="str">
        <f ca="1">TEXT(DATE(YEAR(Invoer!$A$5),1,1)+MOD(ROWS(B$2:B165)-1,DATE(YEAR(Invoer!$A$5),12,31)-DATE(YEAR(Invoer!$A$5),1,1)+1),"jjjjmmdd")</f>
        <v>19270613</v>
      </c>
      <c r="C165" s="5">
        <v>1</v>
      </c>
      <c r="D165" s="10">
        <f t="shared" ca="1" si="4"/>
        <v>0</v>
      </c>
      <c r="E165" s="11">
        <f t="shared" ca="1" si="5"/>
        <v>0</v>
      </c>
    </row>
    <row r="166" spans="1:5" x14ac:dyDescent="0.25">
      <c r="A166" s="4">
        <f ca="1">INDEX(Stations,INT((ROWS(A$2:A166)-1)/(DATE(YEAR(Invoer!$A$5),12,31)-DATE(YEAR(Invoer!$A$5),1,1)+1))+2,1)</f>
        <v>32</v>
      </c>
      <c r="B166" t="str">
        <f ca="1">TEXT(DATE(YEAR(Invoer!$A$5),1,1)+MOD(ROWS(B$2:B166)-1,DATE(YEAR(Invoer!$A$5),12,31)-DATE(YEAR(Invoer!$A$5),1,1)+1),"jjjjmmdd")</f>
        <v>19270614</v>
      </c>
      <c r="C166" s="5">
        <v>1</v>
      </c>
      <c r="D166" s="10">
        <f t="shared" ca="1" si="4"/>
        <v>30</v>
      </c>
      <c r="E166" s="11">
        <f t="shared" ca="1" si="5"/>
        <v>0</v>
      </c>
    </row>
    <row r="167" spans="1:5" x14ac:dyDescent="0.25">
      <c r="A167" s="4">
        <f ca="1">INDEX(Stations,INT((ROWS(A$2:A167)-1)/(DATE(YEAR(Invoer!$A$5),12,31)-DATE(YEAR(Invoer!$A$5),1,1)+1))+2,1)</f>
        <v>32</v>
      </c>
      <c r="B167" t="str">
        <f ca="1">TEXT(DATE(YEAR(Invoer!$A$5),1,1)+MOD(ROWS(B$2:B167)-1,DATE(YEAR(Invoer!$A$5),12,31)-DATE(YEAR(Invoer!$A$5),1,1)+1),"jjjjmmdd")</f>
        <v>19270615</v>
      </c>
      <c r="C167" s="5">
        <v>1</v>
      </c>
      <c r="D167" s="10">
        <f t="shared" ca="1" si="4"/>
        <v>0</v>
      </c>
      <c r="E167" s="11">
        <f t="shared" ca="1" si="5"/>
        <v>0</v>
      </c>
    </row>
    <row r="168" spans="1:5" x14ac:dyDescent="0.25">
      <c r="A168" s="4">
        <f ca="1">INDEX(Stations,INT((ROWS(A$2:A168)-1)/(DATE(YEAR(Invoer!$A$5),12,31)-DATE(YEAR(Invoer!$A$5),1,1)+1))+2,1)</f>
        <v>32</v>
      </c>
      <c r="B168" t="str">
        <f ca="1">TEXT(DATE(YEAR(Invoer!$A$5),1,1)+MOD(ROWS(B$2:B168)-1,DATE(YEAR(Invoer!$A$5),12,31)-DATE(YEAR(Invoer!$A$5),1,1)+1),"jjjjmmdd")</f>
        <v>19270616</v>
      </c>
      <c r="C168" s="5">
        <v>1</v>
      </c>
      <c r="D168" s="10">
        <f t="shared" ca="1" si="4"/>
        <v>0</v>
      </c>
      <c r="E168" s="11">
        <f t="shared" ca="1" si="5"/>
        <v>0</v>
      </c>
    </row>
    <row r="169" spans="1:5" x14ac:dyDescent="0.25">
      <c r="A169" s="4">
        <f ca="1">INDEX(Stations,INT((ROWS(A$2:A169)-1)/(DATE(YEAR(Invoer!$A$5),12,31)-DATE(YEAR(Invoer!$A$5),1,1)+1))+2,1)</f>
        <v>32</v>
      </c>
      <c r="B169" t="str">
        <f ca="1">TEXT(DATE(YEAR(Invoer!$A$5),1,1)+MOD(ROWS(B$2:B169)-1,DATE(YEAR(Invoer!$A$5),12,31)-DATE(YEAR(Invoer!$A$5),1,1)+1),"jjjjmmdd")</f>
        <v>19270617</v>
      </c>
      <c r="C169" s="5">
        <v>1</v>
      </c>
      <c r="D169" s="10">
        <f t="shared" ca="1" si="4"/>
        <v>0</v>
      </c>
      <c r="E169" s="11">
        <f t="shared" ca="1" si="5"/>
        <v>0</v>
      </c>
    </row>
    <row r="170" spans="1:5" x14ac:dyDescent="0.25">
      <c r="A170" s="4">
        <f ca="1">INDEX(Stations,INT((ROWS(A$2:A170)-1)/(DATE(YEAR(Invoer!$A$5),12,31)-DATE(YEAR(Invoer!$A$5),1,1)+1))+2,1)</f>
        <v>32</v>
      </c>
      <c r="B170" t="str">
        <f ca="1">TEXT(DATE(YEAR(Invoer!$A$5),1,1)+MOD(ROWS(B$2:B170)-1,DATE(YEAR(Invoer!$A$5),12,31)-DATE(YEAR(Invoer!$A$5),1,1)+1),"jjjjmmdd")</f>
        <v>19270618</v>
      </c>
      <c r="C170" s="5">
        <v>1</v>
      </c>
      <c r="D170" s="10">
        <f t="shared" ca="1" si="4"/>
        <v>0</v>
      </c>
      <c r="E170" s="11">
        <f t="shared" ca="1" si="5"/>
        <v>0</v>
      </c>
    </row>
    <row r="171" spans="1:5" x14ac:dyDescent="0.25">
      <c r="A171" s="4">
        <f ca="1">INDEX(Stations,INT((ROWS(A$2:A171)-1)/(DATE(YEAR(Invoer!$A$5),12,31)-DATE(YEAR(Invoer!$A$5),1,1)+1))+2,1)</f>
        <v>32</v>
      </c>
      <c r="B171" t="str">
        <f ca="1">TEXT(DATE(YEAR(Invoer!$A$5),1,1)+MOD(ROWS(B$2:B171)-1,DATE(YEAR(Invoer!$A$5),12,31)-DATE(YEAR(Invoer!$A$5),1,1)+1),"jjjjmmdd")</f>
        <v>19270619</v>
      </c>
      <c r="C171" s="5">
        <v>1</v>
      </c>
      <c r="D171" s="10">
        <f t="shared" ca="1" si="4"/>
        <v>0</v>
      </c>
      <c r="E171" s="11">
        <f t="shared" ca="1" si="5"/>
        <v>0</v>
      </c>
    </row>
    <row r="172" spans="1:5" x14ac:dyDescent="0.25">
      <c r="A172" s="4">
        <f ca="1">INDEX(Stations,INT((ROWS(A$2:A172)-1)/(DATE(YEAR(Invoer!$A$5),12,31)-DATE(YEAR(Invoer!$A$5),1,1)+1))+2,1)</f>
        <v>32</v>
      </c>
      <c r="B172" t="str">
        <f ca="1">TEXT(DATE(YEAR(Invoer!$A$5),1,1)+MOD(ROWS(B$2:B172)-1,DATE(YEAR(Invoer!$A$5),12,31)-DATE(YEAR(Invoer!$A$5),1,1)+1),"jjjjmmdd")</f>
        <v>19270620</v>
      </c>
      <c r="C172" s="5">
        <v>1</v>
      </c>
      <c r="D172" s="10">
        <f t="shared" ca="1" si="4"/>
        <v>0</v>
      </c>
      <c r="E172" s="11">
        <f t="shared" ca="1" si="5"/>
        <v>0</v>
      </c>
    </row>
    <row r="173" spans="1:5" x14ac:dyDescent="0.25">
      <c r="A173" s="4">
        <f ca="1">INDEX(Stations,INT((ROWS(A$2:A173)-1)/(DATE(YEAR(Invoer!$A$5),12,31)-DATE(YEAR(Invoer!$A$5),1,1)+1))+2,1)</f>
        <v>32</v>
      </c>
      <c r="B173" t="str">
        <f ca="1">TEXT(DATE(YEAR(Invoer!$A$5),1,1)+MOD(ROWS(B$2:B173)-1,DATE(YEAR(Invoer!$A$5),12,31)-DATE(YEAR(Invoer!$A$5),1,1)+1),"jjjjmmdd")</f>
        <v>19270621</v>
      </c>
      <c r="C173" s="5">
        <v>1</v>
      </c>
      <c r="D173" s="10">
        <f t="shared" ca="1" si="4"/>
        <v>35</v>
      </c>
      <c r="E173" s="11">
        <f t="shared" ca="1" si="5"/>
        <v>0</v>
      </c>
    </row>
    <row r="174" spans="1:5" x14ac:dyDescent="0.25">
      <c r="A174" s="4">
        <f ca="1">INDEX(Stations,INT((ROWS(A$2:A174)-1)/(DATE(YEAR(Invoer!$A$5),12,31)-DATE(YEAR(Invoer!$A$5),1,1)+1))+2,1)</f>
        <v>32</v>
      </c>
      <c r="B174" t="str">
        <f ca="1">TEXT(DATE(YEAR(Invoer!$A$5),1,1)+MOD(ROWS(B$2:B174)-1,DATE(YEAR(Invoer!$A$5),12,31)-DATE(YEAR(Invoer!$A$5),1,1)+1),"jjjjmmdd")</f>
        <v>19270622</v>
      </c>
      <c r="C174" s="5">
        <v>1</v>
      </c>
      <c r="D174" s="10">
        <f t="shared" ca="1" si="4"/>
        <v>60</v>
      </c>
      <c r="E174" s="11">
        <f t="shared" ca="1" si="5"/>
        <v>0</v>
      </c>
    </row>
    <row r="175" spans="1:5" x14ac:dyDescent="0.25">
      <c r="A175" s="4">
        <f ca="1">INDEX(Stations,INT((ROWS(A$2:A175)-1)/(DATE(YEAR(Invoer!$A$5),12,31)-DATE(YEAR(Invoer!$A$5),1,1)+1))+2,1)</f>
        <v>32</v>
      </c>
      <c r="B175" t="str">
        <f ca="1">TEXT(DATE(YEAR(Invoer!$A$5),1,1)+MOD(ROWS(B$2:B175)-1,DATE(YEAR(Invoer!$A$5),12,31)-DATE(YEAR(Invoer!$A$5),1,1)+1),"jjjjmmdd")</f>
        <v>19270623</v>
      </c>
      <c r="C175" s="5">
        <v>1</v>
      </c>
      <c r="D175" s="10">
        <f t="shared" ca="1" si="4"/>
        <v>188</v>
      </c>
      <c r="E175" s="11">
        <f t="shared" ca="1" si="5"/>
        <v>0</v>
      </c>
    </row>
    <row r="176" spans="1:5" x14ac:dyDescent="0.25">
      <c r="A176" s="4">
        <f ca="1">INDEX(Stations,INT((ROWS(A$2:A176)-1)/(DATE(YEAR(Invoer!$A$5),12,31)-DATE(YEAR(Invoer!$A$5),1,1)+1))+2,1)</f>
        <v>32</v>
      </c>
      <c r="B176" t="str">
        <f ca="1">TEXT(DATE(YEAR(Invoer!$A$5),1,1)+MOD(ROWS(B$2:B176)-1,DATE(YEAR(Invoer!$A$5),12,31)-DATE(YEAR(Invoer!$A$5),1,1)+1),"jjjjmmdd")</f>
        <v>19270624</v>
      </c>
      <c r="C176" s="5">
        <v>1</v>
      </c>
      <c r="D176" s="10">
        <f t="shared" ca="1" si="4"/>
        <v>10</v>
      </c>
      <c r="E176" s="11">
        <f t="shared" ca="1" si="5"/>
        <v>0</v>
      </c>
    </row>
    <row r="177" spans="1:5" x14ac:dyDescent="0.25">
      <c r="A177" s="4">
        <f ca="1">INDEX(Stations,INT((ROWS(A$2:A177)-1)/(DATE(YEAR(Invoer!$A$5),12,31)-DATE(YEAR(Invoer!$A$5),1,1)+1))+2,1)</f>
        <v>32</v>
      </c>
      <c r="B177" t="str">
        <f ca="1">TEXT(DATE(YEAR(Invoer!$A$5),1,1)+MOD(ROWS(B$2:B177)-1,DATE(YEAR(Invoer!$A$5),12,31)-DATE(YEAR(Invoer!$A$5),1,1)+1),"jjjjmmdd")</f>
        <v>19270625</v>
      </c>
      <c r="C177" s="5">
        <v>1</v>
      </c>
      <c r="D177" s="10">
        <f t="shared" ca="1" si="4"/>
        <v>0</v>
      </c>
      <c r="E177" s="11">
        <f t="shared" ca="1" si="5"/>
        <v>0</v>
      </c>
    </row>
    <row r="178" spans="1:5" x14ac:dyDescent="0.25">
      <c r="A178" s="4">
        <f ca="1">INDEX(Stations,INT((ROWS(A$2:A178)-1)/(DATE(YEAR(Invoer!$A$5),12,31)-DATE(YEAR(Invoer!$A$5),1,1)+1))+2,1)</f>
        <v>32</v>
      </c>
      <c r="B178" t="str">
        <f ca="1">TEXT(DATE(YEAR(Invoer!$A$5),1,1)+MOD(ROWS(B$2:B178)-1,DATE(YEAR(Invoer!$A$5),12,31)-DATE(YEAR(Invoer!$A$5),1,1)+1),"jjjjmmdd")</f>
        <v>19270626</v>
      </c>
      <c r="C178" s="5">
        <v>1</v>
      </c>
      <c r="D178" s="10">
        <f t="shared" ca="1" si="4"/>
        <v>0</v>
      </c>
      <c r="E178" s="11">
        <f t="shared" ca="1" si="5"/>
        <v>0</v>
      </c>
    </row>
    <row r="179" spans="1:5" x14ac:dyDescent="0.25">
      <c r="A179" s="4">
        <f ca="1">INDEX(Stations,INT((ROWS(A$2:A179)-1)/(DATE(YEAR(Invoer!$A$5),12,31)-DATE(YEAR(Invoer!$A$5),1,1)+1))+2,1)</f>
        <v>32</v>
      </c>
      <c r="B179" t="str">
        <f ca="1">TEXT(DATE(YEAR(Invoer!$A$5),1,1)+MOD(ROWS(B$2:B179)-1,DATE(YEAR(Invoer!$A$5),12,31)-DATE(YEAR(Invoer!$A$5),1,1)+1),"jjjjmmdd")</f>
        <v>19270627</v>
      </c>
      <c r="C179" s="5">
        <v>1</v>
      </c>
      <c r="D179" s="10">
        <f t="shared" ca="1" si="4"/>
        <v>40</v>
      </c>
      <c r="E179" s="11">
        <f t="shared" ca="1" si="5"/>
        <v>0</v>
      </c>
    </row>
    <row r="180" spans="1:5" x14ac:dyDescent="0.25">
      <c r="A180" s="4">
        <f ca="1">INDEX(Stations,INT((ROWS(A$2:A180)-1)/(DATE(YEAR(Invoer!$A$5),12,31)-DATE(YEAR(Invoer!$A$5),1,1)+1))+2,1)</f>
        <v>32</v>
      </c>
      <c r="B180" t="str">
        <f ca="1">TEXT(DATE(YEAR(Invoer!$A$5),1,1)+MOD(ROWS(B$2:B180)-1,DATE(YEAR(Invoer!$A$5),12,31)-DATE(YEAR(Invoer!$A$5),1,1)+1),"jjjjmmdd")</f>
        <v>19270628</v>
      </c>
      <c r="C180" s="5">
        <v>1</v>
      </c>
      <c r="D180" s="10">
        <f t="shared" ca="1" si="4"/>
        <v>25</v>
      </c>
      <c r="E180" s="11">
        <f t="shared" ca="1" si="5"/>
        <v>0</v>
      </c>
    </row>
    <row r="181" spans="1:5" x14ac:dyDescent="0.25">
      <c r="A181" s="4">
        <f ca="1">INDEX(Stations,INT((ROWS(A$2:A181)-1)/(DATE(YEAR(Invoer!$A$5),12,31)-DATE(YEAR(Invoer!$A$5),1,1)+1))+2,1)</f>
        <v>32</v>
      </c>
      <c r="B181" t="str">
        <f ca="1">TEXT(DATE(YEAR(Invoer!$A$5),1,1)+MOD(ROWS(B$2:B181)-1,DATE(YEAR(Invoer!$A$5),12,31)-DATE(YEAR(Invoer!$A$5),1,1)+1),"jjjjmmdd")</f>
        <v>19270629</v>
      </c>
      <c r="C181" s="5">
        <v>1</v>
      </c>
      <c r="D181" s="10">
        <f t="shared" ca="1" si="4"/>
        <v>0</v>
      </c>
      <c r="E181" s="11">
        <f t="shared" ca="1" si="5"/>
        <v>0</v>
      </c>
    </row>
    <row r="182" spans="1:5" x14ac:dyDescent="0.25">
      <c r="A182" s="4">
        <f ca="1">INDEX(Stations,INT((ROWS(A$2:A182)-1)/(DATE(YEAR(Invoer!$A$5),12,31)-DATE(YEAR(Invoer!$A$5),1,1)+1))+2,1)</f>
        <v>32</v>
      </c>
      <c r="B182" t="str">
        <f ca="1">TEXT(DATE(YEAR(Invoer!$A$5),1,1)+MOD(ROWS(B$2:B182)-1,DATE(YEAR(Invoer!$A$5),12,31)-DATE(YEAR(Invoer!$A$5),1,1)+1),"jjjjmmdd")</f>
        <v>19270630</v>
      </c>
      <c r="C182" s="5">
        <v>1</v>
      </c>
      <c r="D182" s="10">
        <f t="shared" ca="1" si="4"/>
        <v>0</v>
      </c>
      <c r="E182" s="11">
        <f t="shared" ca="1" si="5"/>
        <v>0</v>
      </c>
    </row>
    <row r="183" spans="1:5" x14ac:dyDescent="0.25">
      <c r="A183" s="4">
        <f ca="1">INDEX(Stations,INT((ROWS(A$2:A183)-1)/(DATE(YEAR(Invoer!$A$5),12,31)-DATE(YEAR(Invoer!$A$5),1,1)+1))+2,1)</f>
        <v>32</v>
      </c>
      <c r="B183" t="str">
        <f ca="1">TEXT(DATE(YEAR(Invoer!$A$5),1,1)+MOD(ROWS(B$2:B183)-1,DATE(YEAR(Invoer!$A$5),12,31)-DATE(YEAR(Invoer!$A$5),1,1)+1),"jjjjmmdd")</f>
        <v>19270701</v>
      </c>
      <c r="C183" s="5">
        <v>1</v>
      </c>
      <c r="D183" s="10">
        <f t="shared" ca="1" si="4"/>
        <v>0</v>
      </c>
      <c r="E183" s="11">
        <f t="shared" ca="1" si="5"/>
        <v>0</v>
      </c>
    </row>
    <row r="184" spans="1:5" x14ac:dyDescent="0.25">
      <c r="A184" s="4">
        <f ca="1">INDEX(Stations,INT((ROWS(A$2:A184)-1)/(DATE(YEAR(Invoer!$A$5),12,31)-DATE(YEAR(Invoer!$A$5),1,1)+1))+2,1)</f>
        <v>32</v>
      </c>
      <c r="B184" t="str">
        <f ca="1">TEXT(DATE(YEAR(Invoer!$A$5),1,1)+MOD(ROWS(B$2:B184)-1,DATE(YEAR(Invoer!$A$5),12,31)-DATE(YEAR(Invoer!$A$5),1,1)+1),"jjjjmmdd")</f>
        <v>19270702</v>
      </c>
      <c r="C184" s="5">
        <v>1</v>
      </c>
      <c r="D184" s="10">
        <f t="shared" ca="1" si="4"/>
        <v>0</v>
      </c>
      <c r="E184" s="11">
        <f t="shared" ca="1" si="5"/>
        <v>0</v>
      </c>
    </row>
    <row r="185" spans="1:5" x14ac:dyDescent="0.25">
      <c r="A185" s="4">
        <f ca="1">INDEX(Stations,INT((ROWS(A$2:A185)-1)/(DATE(YEAR(Invoer!$A$5),12,31)-DATE(YEAR(Invoer!$A$5),1,1)+1))+2,1)</f>
        <v>32</v>
      </c>
      <c r="B185" t="str">
        <f ca="1">TEXT(DATE(YEAR(Invoer!$A$5),1,1)+MOD(ROWS(B$2:B185)-1,DATE(YEAR(Invoer!$A$5),12,31)-DATE(YEAR(Invoer!$A$5),1,1)+1),"jjjjmmdd")</f>
        <v>19270703</v>
      </c>
      <c r="C185" s="5">
        <v>1</v>
      </c>
      <c r="D185" s="10">
        <f t="shared" ca="1" si="4"/>
        <v>0</v>
      </c>
      <c r="E185" s="11">
        <f t="shared" ca="1" si="5"/>
        <v>0</v>
      </c>
    </row>
    <row r="186" spans="1:5" x14ac:dyDescent="0.25">
      <c r="A186" s="4">
        <f ca="1">INDEX(Stations,INT((ROWS(A$2:A186)-1)/(DATE(YEAR(Invoer!$A$5),12,31)-DATE(YEAR(Invoer!$A$5),1,1)+1))+2,1)</f>
        <v>32</v>
      </c>
      <c r="B186" t="str">
        <f ca="1">TEXT(DATE(YEAR(Invoer!$A$5),1,1)+MOD(ROWS(B$2:B186)-1,DATE(YEAR(Invoer!$A$5),12,31)-DATE(YEAR(Invoer!$A$5),1,1)+1),"jjjjmmdd")</f>
        <v>19270704</v>
      </c>
      <c r="C186" s="5">
        <v>1</v>
      </c>
      <c r="D186" s="10">
        <f t="shared" ca="1" si="4"/>
        <v>0</v>
      </c>
      <c r="E186" s="11">
        <f t="shared" ca="1" si="5"/>
        <v>0</v>
      </c>
    </row>
    <row r="187" spans="1:5" x14ac:dyDescent="0.25">
      <c r="A187" s="4">
        <f ca="1">INDEX(Stations,INT((ROWS(A$2:A187)-1)/(DATE(YEAR(Invoer!$A$5),12,31)-DATE(YEAR(Invoer!$A$5),1,1)+1))+2,1)</f>
        <v>32</v>
      </c>
      <c r="B187" t="str">
        <f ca="1">TEXT(DATE(YEAR(Invoer!$A$5),1,1)+MOD(ROWS(B$2:B187)-1,DATE(YEAR(Invoer!$A$5),12,31)-DATE(YEAR(Invoer!$A$5),1,1)+1),"jjjjmmdd")</f>
        <v>19270705</v>
      </c>
      <c r="C187" s="5">
        <v>1</v>
      </c>
      <c r="D187" s="10">
        <f t="shared" ca="1" si="4"/>
        <v>0</v>
      </c>
      <c r="E187" s="11">
        <f t="shared" ca="1" si="5"/>
        <v>0</v>
      </c>
    </row>
    <row r="188" spans="1:5" x14ac:dyDescent="0.25">
      <c r="A188" s="4">
        <f ca="1">INDEX(Stations,INT((ROWS(A$2:A188)-1)/(DATE(YEAR(Invoer!$A$5),12,31)-DATE(YEAR(Invoer!$A$5),1,1)+1))+2,1)</f>
        <v>32</v>
      </c>
      <c r="B188" t="str">
        <f ca="1">TEXT(DATE(YEAR(Invoer!$A$5),1,1)+MOD(ROWS(B$2:B188)-1,DATE(YEAR(Invoer!$A$5),12,31)-DATE(YEAR(Invoer!$A$5),1,1)+1),"jjjjmmdd")</f>
        <v>19270706</v>
      </c>
      <c r="C188" s="5">
        <v>1</v>
      </c>
      <c r="D188" s="10">
        <f t="shared" ca="1" si="4"/>
        <v>0</v>
      </c>
      <c r="E188" s="11">
        <f t="shared" ca="1" si="5"/>
        <v>0</v>
      </c>
    </row>
    <row r="189" spans="1:5" x14ac:dyDescent="0.25">
      <c r="A189" s="4">
        <f ca="1">INDEX(Stations,INT((ROWS(A$2:A189)-1)/(DATE(YEAR(Invoer!$A$5),12,31)-DATE(YEAR(Invoer!$A$5),1,1)+1))+2,1)</f>
        <v>32</v>
      </c>
      <c r="B189" t="str">
        <f ca="1">TEXT(DATE(YEAR(Invoer!$A$5),1,1)+MOD(ROWS(B$2:B189)-1,DATE(YEAR(Invoer!$A$5),12,31)-DATE(YEAR(Invoer!$A$5),1,1)+1),"jjjjmmdd")</f>
        <v>19270707</v>
      </c>
      <c r="C189" s="5">
        <v>1</v>
      </c>
      <c r="D189" s="10">
        <f t="shared" ca="1" si="4"/>
        <v>0</v>
      </c>
      <c r="E189" s="11">
        <f t="shared" ca="1" si="5"/>
        <v>0</v>
      </c>
    </row>
    <row r="190" spans="1:5" x14ac:dyDescent="0.25">
      <c r="A190" s="4">
        <f ca="1">INDEX(Stations,INT((ROWS(A$2:A190)-1)/(DATE(YEAR(Invoer!$A$5),12,31)-DATE(YEAR(Invoer!$A$5),1,1)+1))+2,1)</f>
        <v>32</v>
      </c>
      <c r="B190" t="str">
        <f ca="1">TEXT(DATE(YEAR(Invoer!$A$5),1,1)+MOD(ROWS(B$2:B190)-1,DATE(YEAR(Invoer!$A$5),12,31)-DATE(YEAR(Invoer!$A$5),1,1)+1),"jjjjmmdd")</f>
        <v>19270708</v>
      </c>
      <c r="C190" s="5">
        <v>1</v>
      </c>
      <c r="D190" s="10">
        <f t="shared" ca="1" si="4"/>
        <v>0</v>
      </c>
      <c r="E190" s="11">
        <f t="shared" ca="1" si="5"/>
        <v>0</v>
      </c>
    </row>
    <row r="191" spans="1:5" x14ac:dyDescent="0.25">
      <c r="A191" s="4">
        <f ca="1">INDEX(Stations,INT((ROWS(A$2:A191)-1)/(DATE(YEAR(Invoer!$A$5),12,31)-DATE(YEAR(Invoer!$A$5),1,1)+1))+2,1)</f>
        <v>32</v>
      </c>
      <c r="B191" t="str">
        <f ca="1">TEXT(DATE(YEAR(Invoer!$A$5),1,1)+MOD(ROWS(B$2:B191)-1,DATE(YEAR(Invoer!$A$5),12,31)-DATE(YEAR(Invoer!$A$5),1,1)+1),"jjjjmmdd")</f>
        <v>19270709</v>
      </c>
      <c r="C191" s="5">
        <v>1</v>
      </c>
      <c r="D191" s="10">
        <f t="shared" ca="1" si="4"/>
        <v>0</v>
      </c>
      <c r="E191" s="11">
        <f t="shared" ca="1" si="5"/>
        <v>0</v>
      </c>
    </row>
    <row r="192" spans="1:5" x14ac:dyDescent="0.25">
      <c r="A192" s="4">
        <f ca="1">INDEX(Stations,INT((ROWS(A$2:A192)-1)/(DATE(YEAR(Invoer!$A$5),12,31)-DATE(YEAR(Invoer!$A$5),1,1)+1))+2,1)</f>
        <v>32</v>
      </c>
      <c r="B192" t="str">
        <f ca="1">TEXT(DATE(YEAR(Invoer!$A$5),1,1)+MOD(ROWS(B$2:B192)-1,DATE(YEAR(Invoer!$A$5),12,31)-DATE(YEAR(Invoer!$A$5),1,1)+1),"jjjjmmdd")</f>
        <v>19270710</v>
      </c>
      <c r="C192" s="5">
        <v>1</v>
      </c>
      <c r="D192" s="10">
        <f t="shared" ca="1" si="4"/>
        <v>0</v>
      </c>
      <c r="E192" s="11">
        <f t="shared" ca="1" si="5"/>
        <v>0</v>
      </c>
    </row>
    <row r="193" spans="1:5" x14ac:dyDescent="0.25">
      <c r="A193" s="4">
        <f ca="1">INDEX(Stations,INT((ROWS(A$2:A193)-1)/(DATE(YEAR(Invoer!$A$5),12,31)-DATE(YEAR(Invoer!$A$5),1,1)+1))+2,1)</f>
        <v>32</v>
      </c>
      <c r="B193" t="str">
        <f ca="1">TEXT(DATE(YEAR(Invoer!$A$5),1,1)+MOD(ROWS(B$2:B193)-1,DATE(YEAR(Invoer!$A$5),12,31)-DATE(YEAR(Invoer!$A$5),1,1)+1),"jjjjmmdd")</f>
        <v>19270711</v>
      </c>
      <c r="C193" s="5">
        <v>1</v>
      </c>
      <c r="D193" s="10">
        <f t="shared" ca="1" si="4"/>
        <v>0</v>
      </c>
      <c r="E193" s="11">
        <f t="shared" ca="1" si="5"/>
        <v>0</v>
      </c>
    </row>
    <row r="194" spans="1:5" x14ac:dyDescent="0.25">
      <c r="A194" s="4">
        <f ca="1">INDEX(Stations,INT((ROWS(A$2:A194)-1)/(DATE(YEAR(Invoer!$A$5),12,31)-DATE(YEAR(Invoer!$A$5),1,1)+1))+2,1)</f>
        <v>32</v>
      </c>
      <c r="B194" t="str">
        <f ca="1">TEXT(DATE(YEAR(Invoer!$A$5),1,1)+MOD(ROWS(B$2:B194)-1,DATE(YEAR(Invoer!$A$5),12,31)-DATE(YEAR(Invoer!$A$5),1,1)+1),"jjjjmmdd")</f>
        <v>19270712</v>
      </c>
      <c r="C194" s="5">
        <v>1</v>
      </c>
      <c r="D194" s="10">
        <f t="shared" ref="D194:D257" ca="1" si="6">IF(OR(ISBLANK(VLOOKUP(DATEVALUE(LEFT(B194,4)&amp;"-"&amp;MID(B194,5,2)&amp;"-"&amp;RIGHT(B194,2)),Data,MATCH(VLOOKUP(A194,Stations,2,FALSE()),OFFSET(Data,1,0,1),0),FALSE())),ISTEXT(VLOOKUP(DATEVALUE(LEFT(B194,4)&amp;"-"&amp;MID(B194,5,2)&amp;"-"&amp;RIGHT(B194,2)),Data,MATCH(VLOOKUP(A194,Stations,2,FALSE()),OFFSET(Data,1,0,1),0),FALSE()))),"—",VLOOKUP(DATEVALUE(LEFT(B194,4)&amp;"-"&amp;MID(B194,5,2)&amp;"-"&amp;RIGHT(B194,2)),Data,MATCH(VLOOKUP(A194,Stations,2,FALSE()),OFFSET(Data,1,0,1),0),FALSE()))</f>
        <v>0</v>
      </c>
      <c r="E194" s="11">
        <f t="shared" ref="E194:E257" ca="1" si="7">IF(OR(ISBLANK(VLOOKUP(DATEVALUE(LEFT(B194,4)&amp;"-"&amp;MID(B194,5,2)&amp;"-"&amp;RIGHT(B194,2)),Data,MATCH(VLOOKUP(A194,Stations,2,FALSE()),OFFSET(Data,1,0,1),0),FALSE())),ISTEXT(VLOOKUP(DATEVALUE(LEFT(B194,4)&amp;"-"&amp;MID(B194,5,2)&amp;"-"&amp;RIGHT(B194,2)),Data,MATCH(VLOOKUP(A194,Stations,2,FALSE()),OFFSET(Data,1,0,1),0),FALSE()))),Lacking,IF(ISNA(MATCH(DATEVALUE(LEFT(B194,4)&amp;"-"&amp;MID(B194,5,2)&amp;"-"&amp;RIGHT(B194,2)),OFFSET(Catalogus,0,0,,1),0)),Ok,VLOOKUP(DATEVALUE(LEFT(B194,4)&amp;"-"&amp;MID(B194,5,2)&amp;"-"&amp;RIGHT(B194,2)),Catalogus,MATCH(VLOOKUP(A194,Stations,2,FALSE()),OFFSET(Catalogus,1,0,1),0),FALSE())))</f>
        <v>0</v>
      </c>
    </row>
    <row r="195" spans="1:5" x14ac:dyDescent="0.25">
      <c r="A195" s="4">
        <f ca="1">INDEX(Stations,INT((ROWS(A$2:A195)-1)/(DATE(YEAR(Invoer!$A$5),12,31)-DATE(YEAR(Invoer!$A$5),1,1)+1))+2,1)</f>
        <v>32</v>
      </c>
      <c r="B195" t="str">
        <f ca="1">TEXT(DATE(YEAR(Invoer!$A$5),1,1)+MOD(ROWS(B$2:B195)-1,DATE(YEAR(Invoer!$A$5),12,31)-DATE(YEAR(Invoer!$A$5),1,1)+1),"jjjjmmdd")</f>
        <v>19270713</v>
      </c>
      <c r="C195" s="5">
        <v>1</v>
      </c>
      <c r="D195" s="10">
        <f t="shared" ca="1" si="6"/>
        <v>0</v>
      </c>
      <c r="E195" s="11">
        <f t="shared" ca="1" si="7"/>
        <v>0</v>
      </c>
    </row>
    <row r="196" spans="1:5" x14ac:dyDescent="0.25">
      <c r="A196" s="4">
        <f ca="1">INDEX(Stations,INT((ROWS(A$2:A196)-1)/(DATE(YEAR(Invoer!$A$5),12,31)-DATE(YEAR(Invoer!$A$5),1,1)+1))+2,1)</f>
        <v>32</v>
      </c>
      <c r="B196" t="str">
        <f ca="1">TEXT(DATE(YEAR(Invoer!$A$5),1,1)+MOD(ROWS(B$2:B196)-1,DATE(YEAR(Invoer!$A$5),12,31)-DATE(YEAR(Invoer!$A$5),1,1)+1),"jjjjmmdd")</f>
        <v>19270714</v>
      </c>
      <c r="C196" s="5">
        <v>1</v>
      </c>
      <c r="D196" s="10">
        <f t="shared" ca="1" si="6"/>
        <v>0</v>
      </c>
      <c r="E196" s="11">
        <f t="shared" ca="1" si="7"/>
        <v>0</v>
      </c>
    </row>
    <row r="197" spans="1:5" x14ac:dyDescent="0.25">
      <c r="A197" s="4">
        <f ca="1">INDEX(Stations,INT((ROWS(A$2:A197)-1)/(DATE(YEAR(Invoer!$A$5),12,31)-DATE(YEAR(Invoer!$A$5),1,1)+1))+2,1)</f>
        <v>32</v>
      </c>
      <c r="B197" t="str">
        <f ca="1">TEXT(DATE(YEAR(Invoer!$A$5),1,1)+MOD(ROWS(B$2:B197)-1,DATE(YEAR(Invoer!$A$5),12,31)-DATE(YEAR(Invoer!$A$5),1,1)+1),"jjjjmmdd")</f>
        <v>19270715</v>
      </c>
      <c r="C197" s="5">
        <v>1</v>
      </c>
      <c r="D197" s="10">
        <f t="shared" ca="1" si="6"/>
        <v>0</v>
      </c>
      <c r="E197" s="11">
        <f t="shared" ca="1" si="7"/>
        <v>0</v>
      </c>
    </row>
    <row r="198" spans="1:5" x14ac:dyDescent="0.25">
      <c r="A198" s="4">
        <f ca="1">INDEX(Stations,INT((ROWS(A$2:A198)-1)/(DATE(YEAR(Invoer!$A$5),12,31)-DATE(YEAR(Invoer!$A$5),1,1)+1))+2,1)</f>
        <v>32</v>
      </c>
      <c r="B198" t="str">
        <f ca="1">TEXT(DATE(YEAR(Invoer!$A$5),1,1)+MOD(ROWS(B$2:B198)-1,DATE(YEAR(Invoer!$A$5),12,31)-DATE(YEAR(Invoer!$A$5),1,1)+1),"jjjjmmdd")</f>
        <v>19270716</v>
      </c>
      <c r="C198" s="5">
        <v>1</v>
      </c>
      <c r="D198" s="10">
        <f t="shared" ca="1" si="6"/>
        <v>0</v>
      </c>
      <c r="E198" s="11">
        <f t="shared" ca="1" si="7"/>
        <v>0</v>
      </c>
    </row>
    <row r="199" spans="1:5" x14ac:dyDescent="0.25">
      <c r="A199" s="4">
        <f ca="1">INDEX(Stations,INT((ROWS(A$2:A199)-1)/(DATE(YEAR(Invoer!$A$5),12,31)-DATE(YEAR(Invoer!$A$5),1,1)+1))+2,1)</f>
        <v>32</v>
      </c>
      <c r="B199" t="str">
        <f ca="1">TEXT(DATE(YEAR(Invoer!$A$5),1,1)+MOD(ROWS(B$2:B199)-1,DATE(YEAR(Invoer!$A$5),12,31)-DATE(YEAR(Invoer!$A$5),1,1)+1),"jjjjmmdd")</f>
        <v>19270717</v>
      </c>
      <c r="C199" s="5">
        <v>1</v>
      </c>
      <c r="D199" s="10">
        <f t="shared" ca="1" si="6"/>
        <v>0</v>
      </c>
      <c r="E199" s="11">
        <f t="shared" ca="1" si="7"/>
        <v>0</v>
      </c>
    </row>
    <row r="200" spans="1:5" x14ac:dyDescent="0.25">
      <c r="A200" s="4">
        <f ca="1">INDEX(Stations,INT((ROWS(A$2:A200)-1)/(DATE(YEAR(Invoer!$A$5),12,31)-DATE(YEAR(Invoer!$A$5),1,1)+1))+2,1)</f>
        <v>32</v>
      </c>
      <c r="B200" t="str">
        <f ca="1">TEXT(DATE(YEAR(Invoer!$A$5),1,1)+MOD(ROWS(B$2:B200)-1,DATE(YEAR(Invoer!$A$5),12,31)-DATE(YEAR(Invoer!$A$5),1,1)+1),"jjjjmmdd")</f>
        <v>19270718</v>
      </c>
      <c r="C200" s="5">
        <v>1</v>
      </c>
      <c r="D200" s="10">
        <f t="shared" ca="1" si="6"/>
        <v>0</v>
      </c>
      <c r="E200" s="11">
        <f t="shared" ca="1" si="7"/>
        <v>0</v>
      </c>
    </row>
    <row r="201" spans="1:5" x14ac:dyDescent="0.25">
      <c r="A201" s="4">
        <f ca="1">INDEX(Stations,INT((ROWS(A$2:A201)-1)/(DATE(YEAR(Invoer!$A$5),12,31)-DATE(YEAR(Invoer!$A$5),1,1)+1))+2,1)</f>
        <v>32</v>
      </c>
      <c r="B201" t="str">
        <f ca="1">TEXT(DATE(YEAR(Invoer!$A$5),1,1)+MOD(ROWS(B$2:B201)-1,DATE(YEAR(Invoer!$A$5),12,31)-DATE(YEAR(Invoer!$A$5),1,1)+1),"jjjjmmdd")</f>
        <v>19270719</v>
      </c>
      <c r="C201" s="5">
        <v>1</v>
      </c>
      <c r="D201" s="10">
        <f t="shared" ca="1" si="6"/>
        <v>0</v>
      </c>
      <c r="E201" s="11">
        <f t="shared" ca="1" si="7"/>
        <v>0</v>
      </c>
    </row>
    <row r="202" spans="1:5" x14ac:dyDescent="0.25">
      <c r="A202" s="4">
        <f ca="1">INDEX(Stations,INT((ROWS(A$2:A202)-1)/(DATE(YEAR(Invoer!$A$5),12,31)-DATE(YEAR(Invoer!$A$5),1,1)+1))+2,1)</f>
        <v>32</v>
      </c>
      <c r="B202" t="str">
        <f ca="1">TEXT(DATE(YEAR(Invoer!$A$5),1,1)+MOD(ROWS(B$2:B202)-1,DATE(YEAR(Invoer!$A$5),12,31)-DATE(YEAR(Invoer!$A$5),1,1)+1),"jjjjmmdd")</f>
        <v>19270720</v>
      </c>
      <c r="C202" s="5">
        <v>1</v>
      </c>
      <c r="D202" s="10">
        <f t="shared" ca="1" si="6"/>
        <v>0</v>
      </c>
      <c r="E202" s="11">
        <f t="shared" ca="1" si="7"/>
        <v>0</v>
      </c>
    </row>
    <row r="203" spans="1:5" x14ac:dyDescent="0.25">
      <c r="A203" s="4">
        <f ca="1">INDEX(Stations,INT((ROWS(A$2:A203)-1)/(DATE(YEAR(Invoer!$A$5),12,31)-DATE(YEAR(Invoer!$A$5),1,1)+1))+2,1)</f>
        <v>32</v>
      </c>
      <c r="B203" t="str">
        <f ca="1">TEXT(DATE(YEAR(Invoer!$A$5),1,1)+MOD(ROWS(B$2:B203)-1,DATE(YEAR(Invoer!$A$5),12,31)-DATE(YEAR(Invoer!$A$5),1,1)+1),"jjjjmmdd")</f>
        <v>19270721</v>
      </c>
      <c r="C203" s="5">
        <v>1</v>
      </c>
      <c r="D203" s="10">
        <f t="shared" ca="1" si="6"/>
        <v>0</v>
      </c>
      <c r="E203" s="11">
        <f t="shared" ca="1" si="7"/>
        <v>0</v>
      </c>
    </row>
    <row r="204" spans="1:5" x14ac:dyDescent="0.25">
      <c r="A204" s="4">
        <f ca="1">INDEX(Stations,INT((ROWS(A$2:A204)-1)/(DATE(YEAR(Invoer!$A$5),12,31)-DATE(YEAR(Invoer!$A$5),1,1)+1))+2,1)</f>
        <v>32</v>
      </c>
      <c r="B204" t="str">
        <f ca="1">TEXT(DATE(YEAR(Invoer!$A$5),1,1)+MOD(ROWS(B$2:B204)-1,DATE(YEAR(Invoer!$A$5),12,31)-DATE(YEAR(Invoer!$A$5),1,1)+1),"jjjjmmdd")</f>
        <v>19270722</v>
      </c>
      <c r="C204" s="5">
        <v>1</v>
      </c>
      <c r="D204" s="10">
        <f t="shared" ca="1" si="6"/>
        <v>0</v>
      </c>
      <c r="E204" s="11">
        <f t="shared" ca="1" si="7"/>
        <v>0</v>
      </c>
    </row>
    <row r="205" spans="1:5" x14ac:dyDescent="0.25">
      <c r="A205" s="4">
        <f ca="1">INDEX(Stations,INT((ROWS(A$2:A205)-1)/(DATE(YEAR(Invoer!$A$5),12,31)-DATE(YEAR(Invoer!$A$5),1,1)+1))+2,1)</f>
        <v>32</v>
      </c>
      <c r="B205" t="str">
        <f ca="1">TEXT(DATE(YEAR(Invoer!$A$5),1,1)+MOD(ROWS(B$2:B205)-1,DATE(YEAR(Invoer!$A$5),12,31)-DATE(YEAR(Invoer!$A$5),1,1)+1),"jjjjmmdd")</f>
        <v>19270723</v>
      </c>
      <c r="C205" s="5">
        <v>1</v>
      </c>
      <c r="D205" s="10">
        <f t="shared" ca="1" si="6"/>
        <v>0</v>
      </c>
      <c r="E205" s="11">
        <f t="shared" ca="1" si="7"/>
        <v>0</v>
      </c>
    </row>
    <row r="206" spans="1:5" x14ac:dyDescent="0.25">
      <c r="A206" s="4">
        <f ca="1">INDEX(Stations,INT((ROWS(A$2:A206)-1)/(DATE(YEAR(Invoer!$A$5),12,31)-DATE(YEAR(Invoer!$A$5),1,1)+1))+2,1)</f>
        <v>32</v>
      </c>
      <c r="B206" t="str">
        <f ca="1">TEXT(DATE(YEAR(Invoer!$A$5),1,1)+MOD(ROWS(B$2:B206)-1,DATE(YEAR(Invoer!$A$5),12,31)-DATE(YEAR(Invoer!$A$5),1,1)+1),"jjjjmmdd")</f>
        <v>19270724</v>
      </c>
      <c r="C206" s="5">
        <v>1</v>
      </c>
      <c r="D206" s="10">
        <f t="shared" ca="1" si="6"/>
        <v>0</v>
      </c>
      <c r="E206" s="11">
        <f t="shared" ca="1" si="7"/>
        <v>0</v>
      </c>
    </row>
    <row r="207" spans="1:5" x14ac:dyDescent="0.25">
      <c r="A207" s="4">
        <f ca="1">INDEX(Stations,INT((ROWS(A$2:A207)-1)/(DATE(YEAR(Invoer!$A$5),12,31)-DATE(YEAR(Invoer!$A$5),1,1)+1))+2,1)</f>
        <v>32</v>
      </c>
      <c r="B207" t="str">
        <f ca="1">TEXT(DATE(YEAR(Invoer!$A$5),1,1)+MOD(ROWS(B$2:B207)-1,DATE(YEAR(Invoer!$A$5),12,31)-DATE(YEAR(Invoer!$A$5),1,1)+1),"jjjjmmdd")</f>
        <v>19270725</v>
      </c>
      <c r="C207" s="5">
        <v>1</v>
      </c>
      <c r="D207" s="10">
        <f t="shared" ca="1" si="6"/>
        <v>0</v>
      </c>
      <c r="E207" s="11">
        <f t="shared" ca="1" si="7"/>
        <v>0</v>
      </c>
    </row>
    <row r="208" spans="1:5" x14ac:dyDescent="0.25">
      <c r="A208" s="4">
        <f ca="1">INDEX(Stations,INT((ROWS(A$2:A208)-1)/(DATE(YEAR(Invoer!$A$5),12,31)-DATE(YEAR(Invoer!$A$5),1,1)+1))+2,1)</f>
        <v>32</v>
      </c>
      <c r="B208" t="str">
        <f ca="1">TEXT(DATE(YEAR(Invoer!$A$5),1,1)+MOD(ROWS(B$2:B208)-1,DATE(YEAR(Invoer!$A$5),12,31)-DATE(YEAR(Invoer!$A$5),1,1)+1),"jjjjmmdd")</f>
        <v>19270726</v>
      </c>
      <c r="C208" s="5">
        <v>1</v>
      </c>
      <c r="D208" s="10">
        <f t="shared" ca="1" si="6"/>
        <v>0</v>
      </c>
      <c r="E208" s="11">
        <f t="shared" ca="1" si="7"/>
        <v>0</v>
      </c>
    </row>
    <row r="209" spans="1:5" x14ac:dyDescent="0.25">
      <c r="A209" s="4">
        <f ca="1">INDEX(Stations,INT((ROWS(A$2:A209)-1)/(DATE(YEAR(Invoer!$A$5),12,31)-DATE(YEAR(Invoer!$A$5),1,1)+1))+2,1)</f>
        <v>32</v>
      </c>
      <c r="B209" t="str">
        <f ca="1">TEXT(DATE(YEAR(Invoer!$A$5),1,1)+MOD(ROWS(B$2:B209)-1,DATE(YEAR(Invoer!$A$5),12,31)-DATE(YEAR(Invoer!$A$5),1,1)+1),"jjjjmmdd")</f>
        <v>19270727</v>
      </c>
      <c r="C209" s="5">
        <v>1</v>
      </c>
      <c r="D209" s="10">
        <f t="shared" ca="1" si="6"/>
        <v>35</v>
      </c>
      <c r="E209" s="11">
        <f t="shared" ca="1" si="7"/>
        <v>0</v>
      </c>
    </row>
    <row r="210" spans="1:5" x14ac:dyDescent="0.25">
      <c r="A210" s="4">
        <f ca="1">INDEX(Stations,INT((ROWS(A$2:A210)-1)/(DATE(YEAR(Invoer!$A$5),12,31)-DATE(YEAR(Invoer!$A$5),1,1)+1))+2,1)</f>
        <v>32</v>
      </c>
      <c r="B210" t="str">
        <f ca="1">TEXT(DATE(YEAR(Invoer!$A$5),1,1)+MOD(ROWS(B$2:B210)-1,DATE(YEAR(Invoer!$A$5),12,31)-DATE(YEAR(Invoer!$A$5),1,1)+1),"jjjjmmdd")</f>
        <v>19270728</v>
      </c>
      <c r="C210" s="5">
        <v>1</v>
      </c>
      <c r="D210" s="10">
        <f t="shared" ca="1" si="6"/>
        <v>0</v>
      </c>
      <c r="E210" s="11">
        <f t="shared" ca="1" si="7"/>
        <v>0</v>
      </c>
    </row>
    <row r="211" spans="1:5" x14ac:dyDescent="0.25">
      <c r="A211" s="4">
        <f ca="1">INDEX(Stations,INT((ROWS(A$2:A211)-1)/(DATE(YEAR(Invoer!$A$5),12,31)-DATE(YEAR(Invoer!$A$5),1,1)+1))+2,1)</f>
        <v>32</v>
      </c>
      <c r="B211" t="str">
        <f ca="1">TEXT(DATE(YEAR(Invoer!$A$5),1,1)+MOD(ROWS(B$2:B211)-1,DATE(YEAR(Invoer!$A$5),12,31)-DATE(YEAR(Invoer!$A$5),1,1)+1),"jjjjmmdd")</f>
        <v>19270729</v>
      </c>
      <c r="C211" s="5">
        <v>1</v>
      </c>
      <c r="D211" s="10">
        <f t="shared" ca="1" si="6"/>
        <v>0</v>
      </c>
      <c r="E211" s="11">
        <f t="shared" ca="1" si="7"/>
        <v>0</v>
      </c>
    </row>
    <row r="212" spans="1:5" x14ac:dyDescent="0.25">
      <c r="A212" s="4">
        <f ca="1">INDEX(Stations,INT((ROWS(A$2:A212)-1)/(DATE(YEAR(Invoer!$A$5),12,31)-DATE(YEAR(Invoer!$A$5),1,1)+1))+2,1)</f>
        <v>32</v>
      </c>
      <c r="B212" t="str">
        <f ca="1">TEXT(DATE(YEAR(Invoer!$A$5),1,1)+MOD(ROWS(B$2:B212)-1,DATE(YEAR(Invoer!$A$5),12,31)-DATE(YEAR(Invoer!$A$5),1,1)+1),"jjjjmmdd")</f>
        <v>19270730</v>
      </c>
      <c r="C212" s="5">
        <v>1</v>
      </c>
      <c r="D212" s="10">
        <f t="shared" ca="1" si="6"/>
        <v>0</v>
      </c>
      <c r="E212" s="11">
        <f t="shared" ca="1" si="7"/>
        <v>0</v>
      </c>
    </row>
    <row r="213" spans="1:5" x14ac:dyDescent="0.25">
      <c r="A213" s="4">
        <f ca="1">INDEX(Stations,INT((ROWS(A$2:A213)-1)/(DATE(YEAR(Invoer!$A$5),12,31)-DATE(YEAR(Invoer!$A$5),1,1)+1))+2,1)</f>
        <v>32</v>
      </c>
      <c r="B213" t="str">
        <f ca="1">TEXT(DATE(YEAR(Invoer!$A$5),1,1)+MOD(ROWS(B$2:B213)-1,DATE(YEAR(Invoer!$A$5),12,31)-DATE(YEAR(Invoer!$A$5),1,1)+1),"jjjjmmdd")</f>
        <v>19270731</v>
      </c>
      <c r="C213" s="5">
        <v>1</v>
      </c>
      <c r="D213" s="10">
        <f t="shared" ca="1" si="6"/>
        <v>0</v>
      </c>
      <c r="E213" s="11">
        <f t="shared" ca="1" si="7"/>
        <v>0</v>
      </c>
    </row>
    <row r="214" spans="1:5" x14ac:dyDescent="0.25">
      <c r="A214" s="4">
        <f ca="1">INDEX(Stations,INT((ROWS(A$2:A214)-1)/(DATE(YEAR(Invoer!$A$5),12,31)-DATE(YEAR(Invoer!$A$5),1,1)+1))+2,1)</f>
        <v>32</v>
      </c>
      <c r="B214" t="str">
        <f ca="1">TEXT(DATE(YEAR(Invoer!$A$5),1,1)+MOD(ROWS(B$2:B214)-1,DATE(YEAR(Invoer!$A$5),12,31)-DATE(YEAR(Invoer!$A$5),1,1)+1),"jjjjmmdd")</f>
        <v>19270801</v>
      </c>
      <c r="C214" s="5">
        <v>1</v>
      </c>
      <c r="D214" s="10">
        <f t="shared" ca="1" si="6"/>
        <v>0</v>
      </c>
      <c r="E214" s="11">
        <f t="shared" ca="1" si="7"/>
        <v>0</v>
      </c>
    </row>
    <row r="215" spans="1:5" x14ac:dyDescent="0.25">
      <c r="A215" s="4">
        <f ca="1">INDEX(Stations,INT((ROWS(A$2:A215)-1)/(DATE(YEAR(Invoer!$A$5),12,31)-DATE(YEAR(Invoer!$A$5),1,1)+1))+2,1)</f>
        <v>32</v>
      </c>
      <c r="B215" t="str">
        <f ca="1">TEXT(DATE(YEAR(Invoer!$A$5),1,1)+MOD(ROWS(B$2:B215)-1,DATE(YEAR(Invoer!$A$5),12,31)-DATE(YEAR(Invoer!$A$5),1,1)+1),"jjjjmmdd")</f>
        <v>19270802</v>
      </c>
      <c r="C215" s="5">
        <v>1</v>
      </c>
      <c r="D215" s="10">
        <f t="shared" ca="1" si="6"/>
        <v>0</v>
      </c>
      <c r="E215" s="11">
        <f t="shared" ca="1" si="7"/>
        <v>0</v>
      </c>
    </row>
    <row r="216" spans="1:5" x14ac:dyDescent="0.25">
      <c r="A216" s="4">
        <f ca="1">INDEX(Stations,INT((ROWS(A$2:A216)-1)/(DATE(YEAR(Invoer!$A$5),12,31)-DATE(YEAR(Invoer!$A$5),1,1)+1))+2,1)</f>
        <v>32</v>
      </c>
      <c r="B216" t="str">
        <f ca="1">TEXT(DATE(YEAR(Invoer!$A$5),1,1)+MOD(ROWS(B$2:B216)-1,DATE(YEAR(Invoer!$A$5),12,31)-DATE(YEAR(Invoer!$A$5),1,1)+1),"jjjjmmdd")</f>
        <v>19270803</v>
      </c>
      <c r="C216" s="5">
        <v>1</v>
      </c>
      <c r="D216" s="10">
        <f t="shared" ca="1" si="6"/>
        <v>0</v>
      </c>
      <c r="E216" s="11">
        <f t="shared" ca="1" si="7"/>
        <v>0</v>
      </c>
    </row>
    <row r="217" spans="1:5" x14ac:dyDescent="0.25">
      <c r="A217" s="4">
        <f ca="1">INDEX(Stations,INT((ROWS(A$2:A217)-1)/(DATE(YEAR(Invoer!$A$5),12,31)-DATE(YEAR(Invoer!$A$5),1,1)+1))+2,1)</f>
        <v>32</v>
      </c>
      <c r="B217" t="str">
        <f ca="1">TEXT(DATE(YEAR(Invoer!$A$5),1,1)+MOD(ROWS(B$2:B217)-1,DATE(YEAR(Invoer!$A$5),12,31)-DATE(YEAR(Invoer!$A$5),1,1)+1),"jjjjmmdd")</f>
        <v>19270804</v>
      </c>
      <c r="C217" s="5">
        <v>1</v>
      </c>
      <c r="D217" s="10">
        <f t="shared" ca="1" si="6"/>
        <v>0</v>
      </c>
      <c r="E217" s="11">
        <f t="shared" ca="1" si="7"/>
        <v>0</v>
      </c>
    </row>
    <row r="218" spans="1:5" x14ac:dyDescent="0.25">
      <c r="A218" s="4">
        <f ca="1">INDEX(Stations,INT((ROWS(A$2:A218)-1)/(DATE(YEAR(Invoer!$A$5),12,31)-DATE(YEAR(Invoer!$A$5),1,1)+1))+2,1)</f>
        <v>32</v>
      </c>
      <c r="B218" t="str">
        <f ca="1">TEXT(DATE(YEAR(Invoer!$A$5),1,1)+MOD(ROWS(B$2:B218)-1,DATE(YEAR(Invoer!$A$5),12,31)-DATE(YEAR(Invoer!$A$5),1,1)+1),"jjjjmmdd")</f>
        <v>19270805</v>
      </c>
      <c r="C218" s="5">
        <v>1</v>
      </c>
      <c r="D218" s="10">
        <f t="shared" ca="1" si="6"/>
        <v>0</v>
      </c>
      <c r="E218" s="11">
        <f t="shared" ca="1" si="7"/>
        <v>0</v>
      </c>
    </row>
    <row r="219" spans="1:5" x14ac:dyDescent="0.25">
      <c r="A219" s="4">
        <f ca="1">INDEX(Stations,INT((ROWS(A$2:A219)-1)/(DATE(YEAR(Invoer!$A$5),12,31)-DATE(YEAR(Invoer!$A$5),1,1)+1))+2,1)</f>
        <v>32</v>
      </c>
      <c r="B219" t="str">
        <f ca="1">TEXT(DATE(YEAR(Invoer!$A$5),1,1)+MOD(ROWS(B$2:B219)-1,DATE(YEAR(Invoer!$A$5),12,31)-DATE(YEAR(Invoer!$A$5),1,1)+1),"jjjjmmdd")</f>
        <v>19270806</v>
      </c>
      <c r="C219" s="5">
        <v>1</v>
      </c>
      <c r="D219" s="10">
        <f t="shared" ca="1" si="6"/>
        <v>0</v>
      </c>
      <c r="E219" s="11">
        <f t="shared" ca="1" si="7"/>
        <v>0</v>
      </c>
    </row>
    <row r="220" spans="1:5" x14ac:dyDescent="0.25">
      <c r="A220" s="4">
        <f ca="1">INDEX(Stations,INT((ROWS(A$2:A220)-1)/(DATE(YEAR(Invoer!$A$5),12,31)-DATE(YEAR(Invoer!$A$5),1,1)+1))+2,1)</f>
        <v>32</v>
      </c>
      <c r="B220" t="str">
        <f ca="1">TEXT(DATE(YEAR(Invoer!$A$5),1,1)+MOD(ROWS(B$2:B220)-1,DATE(YEAR(Invoer!$A$5),12,31)-DATE(YEAR(Invoer!$A$5),1,1)+1),"jjjjmmdd")</f>
        <v>19270807</v>
      </c>
      <c r="C220" s="5">
        <v>1</v>
      </c>
      <c r="D220" s="10">
        <f t="shared" ca="1" si="6"/>
        <v>0</v>
      </c>
      <c r="E220" s="11">
        <f t="shared" ca="1" si="7"/>
        <v>0</v>
      </c>
    </row>
    <row r="221" spans="1:5" x14ac:dyDescent="0.25">
      <c r="A221" s="4">
        <f ca="1">INDEX(Stations,INT((ROWS(A$2:A221)-1)/(DATE(YEAR(Invoer!$A$5),12,31)-DATE(YEAR(Invoer!$A$5),1,1)+1))+2,1)</f>
        <v>32</v>
      </c>
      <c r="B221" t="str">
        <f ca="1">TEXT(DATE(YEAR(Invoer!$A$5),1,1)+MOD(ROWS(B$2:B221)-1,DATE(YEAR(Invoer!$A$5),12,31)-DATE(YEAR(Invoer!$A$5),1,1)+1),"jjjjmmdd")</f>
        <v>19270808</v>
      </c>
      <c r="C221" s="5">
        <v>1</v>
      </c>
      <c r="D221" s="10">
        <f t="shared" ca="1" si="6"/>
        <v>0</v>
      </c>
      <c r="E221" s="11">
        <f t="shared" ca="1" si="7"/>
        <v>0</v>
      </c>
    </row>
    <row r="222" spans="1:5" x14ac:dyDescent="0.25">
      <c r="A222" s="4">
        <f ca="1">INDEX(Stations,INT((ROWS(A$2:A222)-1)/(DATE(YEAR(Invoer!$A$5),12,31)-DATE(YEAR(Invoer!$A$5),1,1)+1))+2,1)</f>
        <v>32</v>
      </c>
      <c r="B222" t="str">
        <f ca="1">TEXT(DATE(YEAR(Invoer!$A$5),1,1)+MOD(ROWS(B$2:B222)-1,DATE(YEAR(Invoer!$A$5),12,31)-DATE(YEAR(Invoer!$A$5),1,1)+1),"jjjjmmdd")</f>
        <v>19270809</v>
      </c>
      <c r="C222" s="5">
        <v>1</v>
      </c>
      <c r="D222" s="10">
        <f t="shared" ca="1" si="6"/>
        <v>0</v>
      </c>
      <c r="E222" s="11">
        <f t="shared" ca="1" si="7"/>
        <v>0</v>
      </c>
    </row>
    <row r="223" spans="1:5" x14ac:dyDescent="0.25">
      <c r="A223" s="4">
        <f ca="1">INDEX(Stations,INT((ROWS(A$2:A223)-1)/(DATE(YEAR(Invoer!$A$5),12,31)-DATE(YEAR(Invoer!$A$5),1,1)+1))+2,1)</f>
        <v>32</v>
      </c>
      <c r="B223" t="str">
        <f ca="1">TEXT(DATE(YEAR(Invoer!$A$5),1,1)+MOD(ROWS(B$2:B223)-1,DATE(YEAR(Invoer!$A$5),12,31)-DATE(YEAR(Invoer!$A$5),1,1)+1),"jjjjmmdd")</f>
        <v>19270810</v>
      </c>
      <c r="C223" s="5">
        <v>1</v>
      </c>
      <c r="D223" s="10">
        <f t="shared" ca="1" si="6"/>
        <v>0</v>
      </c>
      <c r="E223" s="11">
        <f t="shared" ca="1" si="7"/>
        <v>0</v>
      </c>
    </row>
    <row r="224" spans="1:5" x14ac:dyDescent="0.25">
      <c r="A224" s="4">
        <f ca="1">INDEX(Stations,INT((ROWS(A$2:A224)-1)/(DATE(YEAR(Invoer!$A$5),12,31)-DATE(YEAR(Invoer!$A$5),1,1)+1))+2,1)</f>
        <v>32</v>
      </c>
      <c r="B224" t="str">
        <f ca="1">TEXT(DATE(YEAR(Invoer!$A$5),1,1)+MOD(ROWS(B$2:B224)-1,DATE(YEAR(Invoer!$A$5),12,31)-DATE(YEAR(Invoer!$A$5),1,1)+1),"jjjjmmdd")</f>
        <v>19270811</v>
      </c>
      <c r="C224" s="5">
        <v>1</v>
      </c>
      <c r="D224" s="10">
        <f t="shared" ca="1" si="6"/>
        <v>0</v>
      </c>
      <c r="E224" s="11">
        <f t="shared" ca="1" si="7"/>
        <v>0</v>
      </c>
    </row>
    <row r="225" spans="1:5" x14ac:dyDescent="0.25">
      <c r="A225" s="4">
        <f ca="1">INDEX(Stations,INT((ROWS(A$2:A225)-1)/(DATE(YEAR(Invoer!$A$5),12,31)-DATE(YEAR(Invoer!$A$5),1,1)+1))+2,1)</f>
        <v>32</v>
      </c>
      <c r="B225" t="str">
        <f ca="1">TEXT(DATE(YEAR(Invoer!$A$5),1,1)+MOD(ROWS(B$2:B225)-1,DATE(YEAR(Invoer!$A$5),12,31)-DATE(YEAR(Invoer!$A$5),1,1)+1),"jjjjmmdd")</f>
        <v>19270812</v>
      </c>
      <c r="C225" s="5">
        <v>1</v>
      </c>
      <c r="D225" s="10">
        <f t="shared" ca="1" si="6"/>
        <v>0</v>
      </c>
      <c r="E225" s="11">
        <f t="shared" ca="1" si="7"/>
        <v>0</v>
      </c>
    </row>
    <row r="226" spans="1:5" x14ac:dyDescent="0.25">
      <c r="A226" s="4">
        <f ca="1">INDEX(Stations,INT((ROWS(A$2:A226)-1)/(DATE(YEAR(Invoer!$A$5),12,31)-DATE(YEAR(Invoer!$A$5),1,1)+1))+2,1)</f>
        <v>32</v>
      </c>
      <c r="B226" t="str">
        <f ca="1">TEXT(DATE(YEAR(Invoer!$A$5),1,1)+MOD(ROWS(B$2:B226)-1,DATE(YEAR(Invoer!$A$5),12,31)-DATE(YEAR(Invoer!$A$5),1,1)+1),"jjjjmmdd")</f>
        <v>19270813</v>
      </c>
      <c r="C226" s="5">
        <v>1</v>
      </c>
      <c r="D226" s="10">
        <f t="shared" ca="1" si="6"/>
        <v>0</v>
      </c>
      <c r="E226" s="11">
        <f t="shared" ca="1" si="7"/>
        <v>0</v>
      </c>
    </row>
    <row r="227" spans="1:5" x14ac:dyDescent="0.25">
      <c r="A227" s="4">
        <f ca="1">INDEX(Stations,INT((ROWS(A$2:A227)-1)/(DATE(YEAR(Invoer!$A$5),12,31)-DATE(YEAR(Invoer!$A$5),1,1)+1))+2,1)</f>
        <v>32</v>
      </c>
      <c r="B227" t="str">
        <f ca="1">TEXT(DATE(YEAR(Invoer!$A$5),1,1)+MOD(ROWS(B$2:B227)-1,DATE(YEAR(Invoer!$A$5),12,31)-DATE(YEAR(Invoer!$A$5),1,1)+1),"jjjjmmdd")</f>
        <v>19270814</v>
      </c>
      <c r="C227" s="5">
        <v>1</v>
      </c>
      <c r="D227" s="10">
        <f t="shared" ca="1" si="6"/>
        <v>0</v>
      </c>
      <c r="E227" s="11">
        <f t="shared" ca="1" si="7"/>
        <v>0</v>
      </c>
    </row>
    <row r="228" spans="1:5" x14ac:dyDescent="0.25">
      <c r="A228" s="4">
        <f ca="1">INDEX(Stations,INT((ROWS(A$2:A228)-1)/(DATE(YEAR(Invoer!$A$5),12,31)-DATE(YEAR(Invoer!$A$5),1,1)+1))+2,1)</f>
        <v>32</v>
      </c>
      <c r="B228" t="str">
        <f ca="1">TEXT(DATE(YEAR(Invoer!$A$5),1,1)+MOD(ROWS(B$2:B228)-1,DATE(YEAR(Invoer!$A$5),12,31)-DATE(YEAR(Invoer!$A$5),1,1)+1),"jjjjmmdd")</f>
        <v>19270815</v>
      </c>
      <c r="C228" s="5">
        <v>1</v>
      </c>
      <c r="D228" s="10">
        <f t="shared" ca="1" si="6"/>
        <v>0</v>
      </c>
      <c r="E228" s="11">
        <f t="shared" ca="1" si="7"/>
        <v>0</v>
      </c>
    </row>
    <row r="229" spans="1:5" x14ac:dyDescent="0.25">
      <c r="A229" s="4">
        <f ca="1">INDEX(Stations,INT((ROWS(A$2:A229)-1)/(DATE(YEAR(Invoer!$A$5),12,31)-DATE(YEAR(Invoer!$A$5),1,1)+1))+2,1)</f>
        <v>32</v>
      </c>
      <c r="B229" t="str">
        <f ca="1">TEXT(DATE(YEAR(Invoer!$A$5),1,1)+MOD(ROWS(B$2:B229)-1,DATE(YEAR(Invoer!$A$5),12,31)-DATE(YEAR(Invoer!$A$5),1,1)+1),"jjjjmmdd")</f>
        <v>19270816</v>
      </c>
      <c r="C229" s="5">
        <v>1</v>
      </c>
      <c r="D229" s="10">
        <f t="shared" ca="1" si="6"/>
        <v>0</v>
      </c>
      <c r="E229" s="11">
        <f t="shared" ca="1" si="7"/>
        <v>0</v>
      </c>
    </row>
    <row r="230" spans="1:5" x14ac:dyDescent="0.25">
      <c r="A230" s="4">
        <f ca="1">INDEX(Stations,INT((ROWS(A$2:A230)-1)/(DATE(YEAR(Invoer!$A$5),12,31)-DATE(YEAR(Invoer!$A$5),1,1)+1))+2,1)</f>
        <v>32</v>
      </c>
      <c r="B230" t="str">
        <f ca="1">TEXT(DATE(YEAR(Invoer!$A$5),1,1)+MOD(ROWS(B$2:B230)-1,DATE(YEAR(Invoer!$A$5),12,31)-DATE(YEAR(Invoer!$A$5),1,1)+1),"jjjjmmdd")</f>
        <v>19270817</v>
      </c>
      <c r="C230" s="5">
        <v>1</v>
      </c>
      <c r="D230" s="10">
        <f t="shared" ca="1" si="6"/>
        <v>0</v>
      </c>
      <c r="E230" s="11">
        <f t="shared" ca="1" si="7"/>
        <v>0</v>
      </c>
    </row>
    <row r="231" spans="1:5" x14ac:dyDescent="0.25">
      <c r="A231" s="4">
        <f ca="1">INDEX(Stations,INT((ROWS(A$2:A231)-1)/(DATE(YEAR(Invoer!$A$5),12,31)-DATE(YEAR(Invoer!$A$5),1,1)+1))+2,1)</f>
        <v>32</v>
      </c>
      <c r="B231" t="str">
        <f ca="1">TEXT(DATE(YEAR(Invoer!$A$5),1,1)+MOD(ROWS(B$2:B231)-1,DATE(YEAR(Invoer!$A$5),12,31)-DATE(YEAR(Invoer!$A$5),1,1)+1),"jjjjmmdd")</f>
        <v>19270818</v>
      </c>
      <c r="C231" s="5">
        <v>1</v>
      </c>
      <c r="D231" s="10">
        <f t="shared" ca="1" si="6"/>
        <v>0</v>
      </c>
      <c r="E231" s="11">
        <f t="shared" ca="1" si="7"/>
        <v>0</v>
      </c>
    </row>
    <row r="232" spans="1:5" x14ac:dyDescent="0.25">
      <c r="A232" s="4">
        <f ca="1">INDEX(Stations,INT((ROWS(A$2:A232)-1)/(DATE(YEAR(Invoer!$A$5),12,31)-DATE(YEAR(Invoer!$A$5),1,1)+1))+2,1)</f>
        <v>32</v>
      </c>
      <c r="B232" t="str">
        <f ca="1">TEXT(DATE(YEAR(Invoer!$A$5),1,1)+MOD(ROWS(B$2:B232)-1,DATE(YEAR(Invoer!$A$5),12,31)-DATE(YEAR(Invoer!$A$5),1,1)+1),"jjjjmmdd")</f>
        <v>19270819</v>
      </c>
      <c r="C232" s="5">
        <v>1</v>
      </c>
      <c r="D232" s="10">
        <f t="shared" ca="1" si="6"/>
        <v>0</v>
      </c>
      <c r="E232" s="11">
        <f t="shared" ca="1" si="7"/>
        <v>0</v>
      </c>
    </row>
    <row r="233" spans="1:5" x14ac:dyDescent="0.25">
      <c r="A233" s="4">
        <f ca="1">INDEX(Stations,INT((ROWS(A$2:A233)-1)/(DATE(YEAR(Invoer!$A$5),12,31)-DATE(YEAR(Invoer!$A$5),1,1)+1))+2,1)</f>
        <v>32</v>
      </c>
      <c r="B233" t="str">
        <f ca="1">TEXT(DATE(YEAR(Invoer!$A$5),1,1)+MOD(ROWS(B$2:B233)-1,DATE(YEAR(Invoer!$A$5),12,31)-DATE(YEAR(Invoer!$A$5),1,1)+1),"jjjjmmdd")</f>
        <v>19270820</v>
      </c>
      <c r="C233" s="5">
        <v>1</v>
      </c>
      <c r="D233" s="10">
        <f t="shared" ca="1" si="6"/>
        <v>0</v>
      </c>
      <c r="E233" s="11">
        <f t="shared" ca="1" si="7"/>
        <v>0</v>
      </c>
    </row>
    <row r="234" spans="1:5" x14ac:dyDescent="0.25">
      <c r="A234" s="4">
        <f ca="1">INDEX(Stations,INT((ROWS(A$2:A234)-1)/(DATE(YEAR(Invoer!$A$5),12,31)-DATE(YEAR(Invoer!$A$5),1,1)+1))+2,1)</f>
        <v>32</v>
      </c>
      <c r="B234" t="str">
        <f ca="1">TEXT(DATE(YEAR(Invoer!$A$5),1,1)+MOD(ROWS(B$2:B234)-1,DATE(YEAR(Invoer!$A$5),12,31)-DATE(YEAR(Invoer!$A$5),1,1)+1),"jjjjmmdd")</f>
        <v>19270821</v>
      </c>
      <c r="C234" s="5">
        <v>1</v>
      </c>
      <c r="D234" s="10">
        <f t="shared" ca="1" si="6"/>
        <v>0</v>
      </c>
      <c r="E234" s="11">
        <f t="shared" ca="1" si="7"/>
        <v>0</v>
      </c>
    </row>
    <row r="235" spans="1:5" x14ac:dyDescent="0.25">
      <c r="A235" s="4">
        <f ca="1">INDEX(Stations,INT((ROWS(A$2:A235)-1)/(DATE(YEAR(Invoer!$A$5),12,31)-DATE(YEAR(Invoer!$A$5),1,1)+1))+2,1)</f>
        <v>32</v>
      </c>
      <c r="B235" t="str">
        <f ca="1">TEXT(DATE(YEAR(Invoer!$A$5),1,1)+MOD(ROWS(B$2:B235)-1,DATE(YEAR(Invoer!$A$5),12,31)-DATE(YEAR(Invoer!$A$5),1,1)+1),"jjjjmmdd")</f>
        <v>19270822</v>
      </c>
      <c r="C235" s="5">
        <v>1</v>
      </c>
      <c r="D235" s="10">
        <f t="shared" ca="1" si="6"/>
        <v>0</v>
      </c>
      <c r="E235" s="11">
        <f t="shared" ca="1" si="7"/>
        <v>0</v>
      </c>
    </row>
    <row r="236" spans="1:5" x14ac:dyDescent="0.25">
      <c r="A236" s="4">
        <f ca="1">INDEX(Stations,INT((ROWS(A$2:A236)-1)/(DATE(YEAR(Invoer!$A$5),12,31)-DATE(YEAR(Invoer!$A$5),1,1)+1))+2,1)</f>
        <v>32</v>
      </c>
      <c r="B236" t="str">
        <f ca="1">TEXT(DATE(YEAR(Invoer!$A$5),1,1)+MOD(ROWS(B$2:B236)-1,DATE(YEAR(Invoer!$A$5),12,31)-DATE(YEAR(Invoer!$A$5),1,1)+1),"jjjjmmdd")</f>
        <v>19270823</v>
      </c>
      <c r="C236" s="5">
        <v>1</v>
      </c>
      <c r="D236" s="10">
        <f t="shared" ca="1" si="6"/>
        <v>0</v>
      </c>
      <c r="E236" s="11">
        <f t="shared" ca="1" si="7"/>
        <v>0</v>
      </c>
    </row>
    <row r="237" spans="1:5" x14ac:dyDescent="0.25">
      <c r="A237" s="4">
        <f ca="1">INDEX(Stations,INT((ROWS(A$2:A237)-1)/(DATE(YEAR(Invoer!$A$5),12,31)-DATE(YEAR(Invoer!$A$5),1,1)+1))+2,1)</f>
        <v>32</v>
      </c>
      <c r="B237" t="str">
        <f ca="1">TEXT(DATE(YEAR(Invoer!$A$5),1,1)+MOD(ROWS(B$2:B237)-1,DATE(YEAR(Invoer!$A$5),12,31)-DATE(YEAR(Invoer!$A$5),1,1)+1),"jjjjmmdd")</f>
        <v>19270824</v>
      </c>
      <c r="C237" s="5">
        <v>1</v>
      </c>
      <c r="D237" s="10">
        <f t="shared" ca="1" si="6"/>
        <v>0</v>
      </c>
      <c r="E237" s="11">
        <f t="shared" ca="1" si="7"/>
        <v>0</v>
      </c>
    </row>
    <row r="238" spans="1:5" x14ac:dyDescent="0.25">
      <c r="A238" s="4">
        <f ca="1">INDEX(Stations,INT((ROWS(A$2:A238)-1)/(DATE(YEAR(Invoer!$A$5),12,31)-DATE(YEAR(Invoer!$A$5),1,1)+1))+2,1)</f>
        <v>32</v>
      </c>
      <c r="B238" t="str">
        <f ca="1">TEXT(DATE(YEAR(Invoer!$A$5),1,1)+MOD(ROWS(B$2:B238)-1,DATE(YEAR(Invoer!$A$5),12,31)-DATE(YEAR(Invoer!$A$5),1,1)+1),"jjjjmmdd")</f>
        <v>19270825</v>
      </c>
      <c r="C238" s="5">
        <v>1</v>
      </c>
      <c r="D238" s="10">
        <f t="shared" ca="1" si="6"/>
        <v>0</v>
      </c>
      <c r="E238" s="11">
        <f t="shared" ca="1" si="7"/>
        <v>0</v>
      </c>
    </row>
    <row r="239" spans="1:5" x14ac:dyDescent="0.25">
      <c r="A239" s="4">
        <f ca="1">INDEX(Stations,INT((ROWS(A$2:A239)-1)/(DATE(YEAR(Invoer!$A$5),12,31)-DATE(YEAR(Invoer!$A$5),1,1)+1))+2,1)</f>
        <v>32</v>
      </c>
      <c r="B239" t="str">
        <f ca="1">TEXT(DATE(YEAR(Invoer!$A$5),1,1)+MOD(ROWS(B$2:B239)-1,DATE(YEAR(Invoer!$A$5),12,31)-DATE(YEAR(Invoer!$A$5),1,1)+1),"jjjjmmdd")</f>
        <v>19270826</v>
      </c>
      <c r="C239" s="5">
        <v>1</v>
      </c>
      <c r="D239" s="10">
        <f t="shared" ca="1" si="6"/>
        <v>0</v>
      </c>
      <c r="E239" s="11">
        <f t="shared" ca="1" si="7"/>
        <v>0</v>
      </c>
    </row>
    <row r="240" spans="1:5" x14ac:dyDescent="0.25">
      <c r="A240" s="4">
        <f ca="1">INDEX(Stations,INT((ROWS(A$2:A240)-1)/(DATE(YEAR(Invoer!$A$5),12,31)-DATE(YEAR(Invoer!$A$5),1,1)+1))+2,1)</f>
        <v>32</v>
      </c>
      <c r="B240" t="str">
        <f ca="1">TEXT(DATE(YEAR(Invoer!$A$5),1,1)+MOD(ROWS(B$2:B240)-1,DATE(YEAR(Invoer!$A$5),12,31)-DATE(YEAR(Invoer!$A$5),1,1)+1),"jjjjmmdd")</f>
        <v>19270827</v>
      </c>
      <c r="C240" s="5">
        <v>1</v>
      </c>
      <c r="D240" s="10">
        <f t="shared" ca="1" si="6"/>
        <v>0</v>
      </c>
      <c r="E240" s="11">
        <f t="shared" ca="1" si="7"/>
        <v>0</v>
      </c>
    </row>
    <row r="241" spans="1:5" x14ac:dyDescent="0.25">
      <c r="A241" s="4">
        <f ca="1">INDEX(Stations,INT((ROWS(A$2:A241)-1)/(DATE(YEAR(Invoer!$A$5),12,31)-DATE(YEAR(Invoer!$A$5),1,1)+1))+2,1)</f>
        <v>32</v>
      </c>
      <c r="B241" t="str">
        <f ca="1">TEXT(DATE(YEAR(Invoer!$A$5),1,1)+MOD(ROWS(B$2:B241)-1,DATE(YEAR(Invoer!$A$5),12,31)-DATE(YEAR(Invoer!$A$5),1,1)+1),"jjjjmmdd")</f>
        <v>19270828</v>
      </c>
      <c r="C241" s="5">
        <v>1</v>
      </c>
      <c r="D241" s="10">
        <f t="shared" ca="1" si="6"/>
        <v>0</v>
      </c>
      <c r="E241" s="11">
        <f t="shared" ca="1" si="7"/>
        <v>0</v>
      </c>
    </row>
    <row r="242" spans="1:5" x14ac:dyDescent="0.25">
      <c r="A242" s="4">
        <f ca="1">INDEX(Stations,INT((ROWS(A$2:A242)-1)/(DATE(YEAR(Invoer!$A$5),12,31)-DATE(YEAR(Invoer!$A$5),1,1)+1))+2,1)</f>
        <v>32</v>
      </c>
      <c r="B242" t="str">
        <f ca="1">TEXT(DATE(YEAR(Invoer!$A$5),1,1)+MOD(ROWS(B$2:B242)-1,DATE(YEAR(Invoer!$A$5),12,31)-DATE(YEAR(Invoer!$A$5),1,1)+1),"jjjjmmdd")</f>
        <v>19270829</v>
      </c>
      <c r="C242" s="5">
        <v>1</v>
      </c>
      <c r="D242" s="10">
        <f t="shared" ca="1" si="6"/>
        <v>0</v>
      </c>
      <c r="E242" s="11">
        <f t="shared" ca="1" si="7"/>
        <v>0</v>
      </c>
    </row>
    <row r="243" spans="1:5" x14ac:dyDescent="0.25">
      <c r="A243" s="4">
        <f ca="1">INDEX(Stations,INT((ROWS(A$2:A243)-1)/(DATE(YEAR(Invoer!$A$5),12,31)-DATE(YEAR(Invoer!$A$5),1,1)+1))+2,1)</f>
        <v>32</v>
      </c>
      <c r="B243" t="str">
        <f ca="1">TEXT(DATE(YEAR(Invoer!$A$5),1,1)+MOD(ROWS(B$2:B243)-1,DATE(YEAR(Invoer!$A$5),12,31)-DATE(YEAR(Invoer!$A$5),1,1)+1),"jjjjmmdd")</f>
        <v>19270830</v>
      </c>
      <c r="C243" s="5">
        <v>1</v>
      </c>
      <c r="D243" s="10">
        <f t="shared" ca="1" si="6"/>
        <v>0</v>
      </c>
      <c r="E243" s="11">
        <f t="shared" ca="1" si="7"/>
        <v>0</v>
      </c>
    </row>
    <row r="244" spans="1:5" x14ac:dyDescent="0.25">
      <c r="A244" s="4">
        <f ca="1">INDEX(Stations,INT((ROWS(A$2:A244)-1)/(DATE(YEAR(Invoer!$A$5),12,31)-DATE(YEAR(Invoer!$A$5),1,1)+1))+2,1)</f>
        <v>32</v>
      </c>
      <c r="B244" t="str">
        <f ca="1">TEXT(DATE(YEAR(Invoer!$A$5),1,1)+MOD(ROWS(B$2:B244)-1,DATE(YEAR(Invoer!$A$5),12,31)-DATE(YEAR(Invoer!$A$5),1,1)+1),"jjjjmmdd")</f>
        <v>19270831</v>
      </c>
      <c r="C244" s="5">
        <v>1</v>
      </c>
      <c r="D244" s="10">
        <f t="shared" ca="1" si="6"/>
        <v>0</v>
      </c>
      <c r="E244" s="11">
        <f t="shared" ca="1" si="7"/>
        <v>0</v>
      </c>
    </row>
    <row r="245" spans="1:5" x14ac:dyDescent="0.25">
      <c r="A245" s="4">
        <f ca="1">INDEX(Stations,INT((ROWS(A$2:A245)-1)/(DATE(YEAR(Invoer!$A$5),12,31)-DATE(YEAR(Invoer!$A$5),1,1)+1))+2,1)</f>
        <v>32</v>
      </c>
      <c r="B245" t="str">
        <f ca="1">TEXT(DATE(YEAR(Invoer!$A$5),1,1)+MOD(ROWS(B$2:B245)-1,DATE(YEAR(Invoer!$A$5),12,31)-DATE(YEAR(Invoer!$A$5),1,1)+1),"jjjjmmdd")</f>
        <v>19270901</v>
      </c>
      <c r="C245" s="5">
        <v>1</v>
      </c>
      <c r="D245" s="10">
        <f t="shared" ca="1" si="6"/>
        <v>0</v>
      </c>
      <c r="E245" s="11">
        <f t="shared" ca="1" si="7"/>
        <v>0</v>
      </c>
    </row>
    <row r="246" spans="1:5" x14ac:dyDescent="0.25">
      <c r="A246" s="4">
        <f ca="1">INDEX(Stations,INT((ROWS(A$2:A246)-1)/(DATE(YEAR(Invoer!$A$5),12,31)-DATE(YEAR(Invoer!$A$5),1,1)+1))+2,1)</f>
        <v>32</v>
      </c>
      <c r="B246" t="str">
        <f ca="1">TEXT(DATE(YEAR(Invoer!$A$5),1,1)+MOD(ROWS(B$2:B246)-1,DATE(YEAR(Invoer!$A$5),12,31)-DATE(YEAR(Invoer!$A$5),1,1)+1),"jjjjmmdd")</f>
        <v>19270902</v>
      </c>
      <c r="C246" s="5">
        <v>1</v>
      </c>
      <c r="D246" s="10">
        <f t="shared" ca="1" si="6"/>
        <v>75</v>
      </c>
      <c r="E246" s="11">
        <f t="shared" ca="1" si="7"/>
        <v>0</v>
      </c>
    </row>
    <row r="247" spans="1:5" x14ac:dyDescent="0.25">
      <c r="A247" s="4">
        <f ca="1">INDEX(Stations,INT((ROWS(A$2:A247)-1)/(DATE(YEAR(Invoer!$A$5),12,31)-DATE(YEAR(Invoer!$A$5),1,1)+1))+2,1)</f>
        <v>32</v>
      </c>
      <c r="B247" t="str">
        <f ca="1">TEXT(DATE(YEAR(Invoer!$A$5),1,1)+MOD(ROWS(B$2:B247)-1,DATE(YEAR(Invoer!$A$5),12,31)-DATE(YEAR(Invoer!$A$5),1,1)+1),"jjjjmmdd")</f>
        <v>19270903</v>
      </c>
      <c r="C247" s="5">
        <v>1</v>
      </c>
      <c r="D247" s="10">
        <f t="shared" ca="1" si="6"/>
        <v>0</v>
      </c>
      <c r="E247" s="11">
        <f t="shared" ca="1" si="7"/>
        <v>0</v>
      </c>
    </row>
    <row r="248" spans="1:5" x14ac:dyDescent="0.25">
      <c r="A248" s="4">
        <f ca="1">INDEX(Stations,INT((ROWS(A$2:A248)-1)/(DATE(YEAR(Invoer!$A$5),12,31)-DATE(YEAR(Invoer!$A$5),1,1)+1))+2,1)</f>
        <v>32</v>
      </c>
      <c r="B248" t="str">
        <f ca="1">TEXT(DATE(YEAR(Invoer!$A$5),1,1)+MOD(ROWS(B$2:B248)-1,DATE(YEAR(Invoer!$A$5),12,31)-DATE(YEAR(Invoer!$A$5),1,1)+1),"jjjjmmdd")</f>
        <v>19270904</v>
      </c>
      <c r="C248" s="5">
        <v>1</v>
      </c>
      <c r="D248" s="10">
        <f t="shared" ca="1" si="6"/>
        <v>0</v>
      </c>
      <c r="E248" s="11">
        <f t="shared" ca="1" si="7"/>
        <v>0</v>
      </c>
    </row>
    <row r="249" spans="1:5" x14ac:dyDescent="0.25">
      <c r="A249" s="4">
        <f ca="1">INDEX(Stations,INT((ROWS(A$2:A249)-1)/(DATE(YEAR(Invoer!$A$5),12,31)-DATE(YEAR(Invoer!$A$5),1,1)+1))+2,1)</f>
        <v>32</v>
      </c>
      <c r="B249" t="str">
        <f ca="1">TEXT(DATE(YEAR(Invoer!$A$5),1,1)+MOD(ROWS(B$2:B249)-1,DATE(YEAR(Invoer!$A$5),12,31)-DATE(YEAR(Invoer!$A$5),1,1)+1),"jjjjmmdd")</f>
        <v>19270905</v>
      </c>
      <c r="C249" s="5">
        <v>1</v>
      </c>
      <c r="D249" s="10">
        <f t="shared" ca="1" si="6"/>
        <v>0</v>
      </c>
      <c r="E249" s="11">
        <f t="shared" ca="1" si="7"/>
        <v>0</v>
      </c>
    </row>
    <row r="250" spans="1:5" x14ac:dyDescent="0.25">
      <c r="A250" s="4">
        <f ca="1">INDEX(Stations,INT((ROWS(A$2:A250)-1)/(DATE(YEAR(Invoer!$A$5),12,31)-DATE(YEAR(Invoer!$A$5),1,1)+1))+2,1)</f>
        <v>32</v>
      </c>
      <c r="B250" t="str">
        <f ca="1">TEXT(DATE(YEAR(Invoer!$A$5),1,1)+MOD(ROWS(B$2:B250)-1,DATE(YEAR(Invoer!$A$5),12,31)-DATE(YEAR(Invoer!$A$5),1,1)+1),"jjjjmmdd")</f>
        <v>19270906</v>
      </c>
      <c r="C250" s="5">
        <v>1</v>
      </c>
      <c r="D250" s="10">
        <f t="shared" ca="1" si="6"/>
        <v>0</v>
      </c>
      <c r="E250" s="11">
        <f t="shared" ca="1" si="7"/>
        <v>0</v>
      </c>
    </row>
    <row r="251" spans="1:5" x14ac:dyDescent="0.25">
      <c r="A251" s="4">
        <f ca="1">INDEX(Stations,INT((ROWS(A$2:A251)-1)/(DATE(YEAR(Invoer!$A$5),12,31)-DATE(YEAR(Invoer!$A$5),1,1)+1))+2,1)</f>
        <v>32</v>
      </c>
      <c r="B251" t="str">
        <f ca="1">TEXT(DATE(YEAR(Invoer!$A$5),1,1)+MOD(ROWS(B$2:B251)-1,DATE(YEAR(Invoer!$A$5),12,31)-DATE(YEAR(Invoer!$A$5),1,1)+1),"jjjjmmdd")</f>
        <v>19270907</v>
      </c>
      <c r="C251" s="5">
        <v>1</v>
      </c>
      <c r="D251" s="10">
        <f t="shared" ca="1" si="6"/>
        <v>0</v>
      </c>
      <c r="E251" s="11">
        <f t="shared" ca="1" si="7"/>
        <v>0</v>
      </c>
    </row>
    <row r="252" spans="1:5" x14ac:dyDescent="0.25">
      <c r="A252" s="4">
        <f ca="1">INDEX(Stations,INT((ROWS(A$2:A252)-1)/(DATE(YEAR(Invoer!$A$5),12,31)-DATE(YEAR(Invoer!$A$5),1,1)+1))+2,1)</f>
        <v>32</v>
      </c>
      <c r="B252" t="str">
        <f ca="1">TEXT(DATE(YEAR(Invoer!$A$5),1,1)+MOD(ROWS(B$2:B252)-1,DATE(YEAR(Invoer!$A$5),12,31)-DATE(YEAR(Invoer!$A$5),1,1)+1),"jjjjmmdd")</f>
        <v>19270908</v>
      </c>
      <c r="C252" s="5">
        <v>1</v>
      </c>
      <c r="D252" s="10">
        <f t="shared" ca="1" si="6"/>
        <v>0</v>
      </c>
      <c r="E252" s="11">
        <f t="shared" ca="1" si="7"/>
        <v>0</v>
      </c>
    </row>
    <row r="253" spans="1:5" x14ac:dyDescent="0.25">
      <c r="A253" s="4">
        <f ca="1">INDEX(Stations,INT((ROWS(A$2:A253)-1)/(DATE(YEAR(Invoer!$A$5),12,31)-DATE(YEAR(Invoer!$A$5),1,1)+1))+2,1)</f>
        <v>32</v>
      </c>
      <c r="B253" t="str">
        <f ca="1">TEXT(DATE(YEAR(Invoer!$A$5),1,1)+MOD(ROWS(B$2:B253)-1,DATE(YEAR(Invoer!$A$5),12,31)-DATE(YEAR(Invoer!$A$5),1,1)+1),"jjjjmmdd")</f>
        <v>19270909</v>
      </c>
      <c r="C253" s="5">
        <v>1</v>
      </c>
      <c r="D253" s="10">
        <f t="shared" ca="1" si="6"/>
        <v>0</v>
      </c>
      <c r="E253" s="11">
        <f t="shared" ca="1" si="7"/>
        <v>0</v>
      </c>
    </row>
    <row r="254" spans="1:5" x14ac:dyDescent="0.25">
      <c r="A254" s="4">
        <f ca="1">INDEX(Stations,INT((ROWS(A$2:A254)-1)/(DATE(YEAR(Invoer!$A$5),12,31)-DATE(YEAR(Invoer!$A$5),1,1)+1))+2,1)</f>
        <v>32</v>
      </c>
      <c r="B254" t="str">
        <f ca="1">TEXT(DATE(YEAR(Invoer!$A$5),1,1)+MOD(ROWS(B$2:B254)-1,DATE(YEAR(Invoer!$A$5),12,31)-DATE(YEAR(Invoer!$A$5),1,1)+1),"jjjjmmdd")</f>
        <v>19270910</v>
      </c>
      <c r="C254" s="5">
        <v>1</v>
      </c>
      <c r="D254" s="10">
        <f t="shared" ca="1" si="6"/>
        <v>0</v>
      </c>
      <c r="E254" s="11">
        <f t="shared" ca="1" si="7"/>
        <v>0</v>
      </c>
    </row>
    <row r="255" spans="1:5" x14ac:dyDescent="0.25">
      <c r="A255" s="4">
        <f ca="1">INDEX(Stations,INT((ROWS(A$2:A255)-1)/(DATE(YEAR(Invoer!$A$5),12,31)-DATE(YEAR(Invoer!$A$5),1,1)+1))+2,1)</f>
        <v>32</v>
      </c>
      <c r="B255" t="str">
        <f ca="1">TEXT(DATE(YEAR(Invoer!$A$5),1,1)+MOD(ROWS(B$2:B255)-1,DATE(YEAR(Invoer!$A$5),12,31)-DATE(YEAR(Invoer!$A$5),1,1)+1),"jjjjmmdd")</f>
        <v>19270911</v>
      </c>
      <c r="C255" s="5">
        <v>1</v>
      </c>
      <c r="D255" s="10">
        <f t="shared" ca="1" si="6"/>
        <v>0</v>
      </c>
      <c r="E255" s="11">
        <f t="shared" ca="1" si="7"/>
        <v>0</v>
      </c>
    </row>
    <row r="256" spans="1:5" x14ac:dyDescent="0.25">
      <c r="A256" s="4">
        <f ca="1">INDEX(Stations,INT((ROWS(A$2:A256)-1)/(DATE(YEAR(Invoer!$A$5),12,31)-DATE(YEAR(Invoer!$A$5),1,1)+1))+2,1)</f>
        <v>32</v>
      </c>
      <c r="B256" t="str">
        <f ca="1">TEXT(DATE(YEAR(Invoer!$A$5),1,1)+MOD(ROWS(B$2:B256)-1,DATE(YEAR(Invoer!$A$5),12,31)-DATE(YEAR(Invoer!$A$5),1,1)+1),"jjjjmmdd")</f>
        <v>19270912</v>
      </c>
      <c r="C256" s="5">
        <v>1</v>
      </c>
      <c r="D256" s="10">
        <f t="shared" ca="1" si="6"/>
        <v>0</v>
      </c>
      <c r="E256" s="11">
        <f t="shared" ca="1" si="7"/>
        <v>0</v>
      </c>
    </row>
    <row r="257" spans="1:5" x14ac:dyDescent="0.25">
      <c r="A257" s="4">
        <f ca="1">INDEX(Stations,INT((ROWS(A$2:A257)-1)/(DATE(YEAR(Invoer!$A$5),12,31)-DATE(YEAR(Invoer!$A$5),1,1)+1))+2,1)</f>
        <v>32</v>
      </c>
      <c r="B257" t="str">
        <f ca="1">TEXT(DATE(YEAR(Invoer!$A$5),1,1)+MOD(ROWS(B$2:B257)-1,DATE(YEAR(Invoer!$A$5),12,31)-DATE(YEAR(Invoer!$A$5),1,1)+1),"jjjjmmdd")</f>
        <v>19270913</v>
      </c>
      <c r="C257" s="5">
        <v>1</v>
      </c>
      <c r="D257" s="10">
        <f t="shared" ca="1" si="6"/>
        <v>0</v>
      </c>
      <c r="E257" s="11">
        <f t="shared" ca="1" si="7"/>
        <v>0</v>
      </c>
    </row>
    <row r="258" spans="1:5" x14ac:dyDescent="0.25">
      <c r="A258" s="4">
        <f ca="1">INDEX(Stations,INT((ROWS(A$2:A258)-1)/(DATE(YEAR(Invoer!$A$5),12,31)-DATE(YEAR(Invoer!$A$5),1,1)+1))+2,1)</f>
        <v>32</v>
      </c>
      <c r="B258" t="str">
        <f ca="1">TEXT(DATE(YEAR(Invoer!$A$5),1,1)+MOD(ROWS(B$2:B258)-1,DATE(YEAR(Invoer!$A$5),12,31)-DATE(YEAR(Invoer!$A$5),1,1)+1),"jjjjmmdd")</f>
        <v>19270914</v>
      </c>
      <c r="C258" s="5">
        <v>1</v>
      </c>
      <c r="D258" s="10">
        <f t="shared" ref="D258:D321" ca="1" si="8">IF(OR(ISBLANK(VLOOKUP(DATEVALUE(LEFT(B258,4)&amp;"-"&amp;MID(B258,5,2)&amp;"-"&amp;RIGHT(B258,2)),Data,MATCH(VLOOKUP(A258,Stations,2,FALSE()),OFFSET(Data,1,0,1),0),FALSE())),ISTEXT(VLOOKUP(DATEVALUE(LEFT(B258,4)&amp;"-"&amp;MID(B258,5,2)&amp;"-"&amp;RIGHT(B258,2)),Data,MATCH(VLOOKUP(A258,Stations,2,FALSE()),OFFSET(Data,1,0,1),0),FALSE()))),"—",VLOOKUP(DATEVALUE(LEFT(B258,4)&amp;"-"&amp;MID(B258,5,2)&amp;"-"&amp;RIGHT(B258,2)),Data,MATCH(VLOOKUP(A258,Stations,2,FALSE()),OFFSET(Data,1,0,1),0),FALSE()))</f>
        <v>0</v>
      </c>
      <c r="E258" s="11">
        <f t="shared" ref="E258:E321" ca="1" si="9">IF(OR(ISBLANK(VLOOKUP(DATEVALUE(LEFT(B258,4)&amp;"-"&amp;MID(B258,5,2)&amp;"-"&amp;RIGHT(B258,2)),Data,MATCH(VLOOKUP(A258,Stations,2,FALSE()),OFFSET(Data,1,0,1),0),FALSE())),ISTEXT(VLOOKUP(DATEVALUE(LEFT(B258,4)&amp;"-"&amp;MID(B258,5,2)&amp;"-"&amp;RIGHT(B258,2)),Data,MATCH(VLOOKUP(A258,Stations,2,FALSE()),OFFSET(Data,1,0,1),0),FALSE()))),Lacking,IF(ISNA(MATCH(DATEVALUE(LEFT(B258,4)&amp;"-"&amp;MID(B258,5,2)&amp;"-"&amp;RIGHT(B258,2)),OFFSET(Catalogus,0,0,,1),0)),Ok,VLOOKUP(DATEVALUE(LEFT(B258,4)&amp;"-"&amp;MID(B258,5,2)&amp;"-"&amp;RIGHT(B258,2)),Catalogus,MATCH(VLOOKUP(A258,Stations,2,FALSE()),OFFSET(Catalogus,1,0,1),0),FALSE())))</f>
        <v>0</v>
      </c>
    </row>
    <row r="259" spans="1:5" x14ac:dyDescent="0.25">
      <c r="A259" s="4">
        <f ca="1">INDEX(Stations,INT((ROWS(A$2:A259)-1)/(DATE(YEAR(Invoer!$A$5),12,31)-DATE(YEAR(Invoer!$A$5),1,1)+1))+2,1)</f>
        <v>32</v>
      </c>
      <c r="B259" t="str">
        <f ca="1">TEXT(DATE(YEAR(Invoer!$A$5),1,1)+MOD(ROWS(B$2:B259)-1,DATE(YEAR(Invoer!$A$5),12,31)-DATE(YEAR(Invoer!$A$5),1,1)+1),"jjjjmmdd")</f>
        <v>19270915</v>
      </c>
      <c r="C259" s="5">
        <v>1</v>
      </c>
      <c r="D259" s="10">
        <f t="shared" ca="1" si="8"/>
        <v>0</v>
      </c>
      <c r="E259" s="11">
        <f t="shared" ca="1" si="9"/>
        <v>0</v>
      </c>
    </row>
    <row r="260" spans="1:5" x14ac:dyDescent="0.25">
      <c r="A260" s="4">
        <f ca="1">INDEX(Stations,INT((ROWS(A$2:A260)-1)/(DATE(YEAR(Invoer!$A$5),12,31)-DATE(YEAR(Invoer!$A$5),1,1)+1))+2,1)</f>
        <v>32</v>
      </c>
      <c r="B260" t="str">
        <f ca="1">TEXT(DATE(YEAR(Invoer!$A$5),1,1)+MOD(ROWS(B$2:B260)-1,DATE(YEAR(Invoer!$A$5),12,31)-DATE(YEAR(Invoer!$A$5),1,1)+1),"jjjjmmdd")</f>
        <v>19270916</v>
      </c>
      <c r="C260" s="5">
        <v>1</v>
      </c>
      <c r="D260" s="10">
        <f t="shared" ca="1" si="8"/>
        <v>0</v>
      </c>
      <c r="E260" s="11">
        <f t="shared" ca="1" si="9"/>
        <v>0</v>
      </c>
    </row>
    <row r="261" spans="1:5" x14ac:dyDescent="0.25">
      <c r="A261" s="4">
        <f ca="1">INDEX(Stations,INT((ROWS(A$2:A261)-1)/(DATE(YEAR(Invoer!$A$5),12,31)-DATE(YEAR(Invoer!$A$5),1,1)+1))+2,1)</f>
        <v>32</v>
      </c>
      <c r="B261" t="str">
        <f ca="1">TEXT(DATE(YEAR(Invoer!$A$5),1,1)+MOD(ROWS(B$2:B261)-1,DATE(YEAR(Invoer!$A$5),12,31)-DATE(YEAR(Invoer!$A$5),1,1)+1),"jjjjmmdd")</f>
        <v>19270917</v>
      </c>
      <c r="C261" s="5">
        <v>1</v>
      </c>
      <c r="D261" s="10">
        <f t="shared" ca="1" si="8"/>
        <v>0</v>
      </c>
      <c r="E261" s="11">
        <f t="shared" ca="1" si="9"/>
        <v>0</v>
      </c>
    </row>
    <row r="262" spans="1:5" x14ac:dyDescent="0.25">
      <c r="A262" s="4">
        <f ca="1">INDEX(Stations,INT((ROWS(A$2:A262)-1)/(DATE(YEAR(Invoer!$A$5),12,31)-DATE(YEAR(Invoer!$A$5),1,1)+1))+2,1)</f>
        <v>32</v>
      </c>
      <c r="B262" t="str">
        <f ca="1">TEXT(DATE(YEAR(Invoer!$A$5),1,1)+MOD(ROWS(B$2:B262)-1,DATE(YEAR(Invoer!$A$5),12,31)-DATE(YEAR(Invoer!$A$5),1,1)+1),"jjjjmmdd")</f>
        <v>19270918</v>
      </c>
      <c r="C262" s="5">
        <v>1</v>
      </c>
      <c r="D262" s="10">
        <f t="shared" ca="1" si="8"/>
        <v>250</v>
      </c>
      <c r="E262" s="11">
        <f t="shared" ca="1" si="9"/>
        <v>0</v>
      </c>
    </row>
    <row r="263" spans="1:5" x14ac:dyDescent="0.25">
      <c r="A263" s="4">
        <f ca="1">INDEX(Stations,INT((ROWS(A$2:A263)-1)/(DATE(YEAR(Invoer!$A$5),12,31)-DATE(YEAR(Invoer!$A$5),1,1)+1))+2,1)</f>
        <v>32</v>
      </c>
      <c r="B263" t="str">
        <f ca="1">TEXT(DATE(YEAR(Invoer!$A$5),1,1)+MOD(ROWS(B$2:B263)-1,DATE(YEAR(Invoer!$A$5),12,31)-DATE(YEAR(Invoer!$A$5),1,1)+1),"jjjjmmdd")</f>
        <v>19270919</v>
      </c>
      <c r="C263" s="5">
        <v>1</v>
      </c>
      <c r="D263" s="10">
        <f t="shared" ca="1" si="8"/>
        <v>0</v>
      </c>
      <c r="E263" s="11">
        <f t="shared" ca="1" si="9"/>
        <v>0</v>
      </c>
    </row>
    <row r="264" spans="1:5" x14ac:dyDescent="0.25">
      <c r="A264" s="4">
        <f ca="1">INDEX(Stations,INT((ROWS(A$2:A264)-1)/(DATE(YEAR(Invoer!$A$5),12,31)-DATE(YEAR(Invoer!$A$5),1,1)+1))+2,1)</f>
        <v>32</v>
      </c>
      <c r="B264" t="str">
        <f ca="1">TEXT(DATE(YEAR(Invoer!$A$5),1,1)+MOD(ROWS(B$2:B264)-1,DATE(YEAR(Invoer!$A$5),12,31)-DATE(YEAR(Invoer!$A$5),1,1)+1),"jjjjmmdd")</f>
        <v>19270920</v>
      </c>
      <c r="C264" s="5">
        <v>1</v>
      </c>
      <c r="D264" s="10">
        <f t="shared" ca="1" si="8"/>
        <v>65</v>
      </c>
      <c r="E264" s="11">
        <f t="shared" ca="1" si="9"/>
        <v>0</v>
      </c>
    </row>
    <row r="265" spans="1:5" x14ac:dyDescent="0.25">
      <c r="A265" s="4">
        <f ca="1">INDEX(Stations,INT((ROWS(A$2:A265)-1)/(DATE(YEAR(Invoer!$A$5),12,31)-DATE(YEAR(Invoer!$A$5),1,1)+1))+2,1)</f>
        <v>32</v>
      </c>
      <c r="B265" t="str">
        <f ca="1">TEXT(DATE(YEAR(Invoer!$A$5),1,1)+MOD(ROWS(B$2:B265)-1,DATE(YEAR(Invoer!$A$5),12,31)-DATE(YEAR(Invoer!$A$5),1,1)+1),"jjjjmmdd")</f>
        <v>19270921</v>
      </c>
      <c r="C265" s="5">
        <v>1</v>
      </c>
      <c r="D265" s="10">
        <f t="shared" ca="1" si="8"/>
        <v>0</v>
      </c>
      <c r="E265" s="11">
        <f t="shared" ca="1" si="9"/>
        <v>0</v>
      </c>
    </row>
    <row r="266" spans="1:5" x14ac:dyDescent="0.25">
      <c r="A266" s="4">
        <f ca="1">INDEX(Stations,INT((ROWS(A$2:A266)-1)/(DATE(YEAR(Invoer!$A$5),12,31)-DATE(YEAR(Invoer!$A$5),1,1)+1))+2,1)</f>
        <v>32</v>
      </c>
      <c r="B266" t="str">
        <f ca="1">TEXT(DATE(YEAR(Invoer!$A$5),1,1)+MOD(ROWS(B$2:B266)-1,DATE(YEAR(Invoer!$A$5),12,31)-DATE(YEAR(Invoer!$A$5),1,1)+1),"jjjjmmdd")</f>
        <v>19270922</v>
      </c>
      <c r="C266" s="5">
        <v>1</v>
      </c>
      <c r="D266" s="10">
        <f t="shared" ca="1" si="8"/>
        <v>36</v>
      </c>
      <c r="E266" s="11">
        <f t="shared" ca="1" si="9"/>
        <v>0</v>
      </c>
    </row>
    <row r="267" spans="1:5" x14ac:dyDescent="0.25">
      <c r="A267" s="4">
        <f ca="1">INDEX(Stations,INT((ROWS(A$2:A267)-1)/(DATE(YEAR(Invoer!$A$5),12,31)-DATE(YEAR(Invoer!$A$5),1,1)+1))+2,1)</f>
        <v>32</v>
      </c>
      <c r="B267" t="str">
        <f ca="1">TEXT(DATE(YEAR(Invoer!$A$5),1,1)+MOD(ROWS(B$2:B267)-1,DATE(YEAR(Invoer!$A$5),12,31)-DATE(YEAR(Invoer!$A$5),1,1)+1),"jjjjmmdd")</f>
        <v>19270923</v>
      </c>
      <c r="C267" s="5">
        <v>1</v>
      </c>
      <c r="D267" s="10">
        <f t="shared" ca="1" si="8"/>
        <v>0</v>
      </c>
      <c r="E267" s="11">
        <f t="shared" ca="1" si="9"/>
        <v>0</v>
      </c>
    </row>
    <row r="268" spans="1:5" x14ac:dyDescent="0.25">
      <c r="A268" s="4">
        <f ca="1">INDEX(Stations,INT((ROWS(A$2:A268)-1)/(DATE(YEAR(Invoer!$A$5),12,31)-DATE(YEAR(Invoer!$A$5),1,1)+1))+2,1)</f>
        <v>32</v>
      </c>
      <c r="B268" t="str">
        <f ca="1">TEXT(DATE(YEAR(Invoer!$A$5),1,1)+MOD(ROWS(B$2:B268)-1,DATE(YEAR(Invoer!$A$5),12,31)-DATE(YEAR(Invoer!$A$5),1,1)+1),"jjjjmmdd")</f>
        <v>19270924</v>
      </c>
      <c r="C268" s="5">
        <v>1</v>
      </c>
      <c r="D268" s="10">
        <f t="shared" ca="1" si="8"/>
        <v>0</v>
      </c>
      <c r="E268" s="11">
        <f t="shared" ca="1" si="9"/>
        <v>0</v>
      </c>
    </row>
    <row r="269" spans="1:5" x14ac:dyDescent="0.25">
      <c r="A269" s="4">
        <f ca="1">INDEX(Stations,INT((ROWS(A$2:A269)-1)/(DATE(YEAR(Invoer!$A$5),12,31)-DATE(YEAR(Invoer!$A$5),1,1)+1))+2,1)</f>
        <v>32</v>
      </c>
      <c r="B269" t="str">
        <f ca="1">TEXT(DATE(YEAR(Invoer!$A$5),1,1)+MOD(ROWS(B$2:B269)-1,DATE(YEAR(Invoer!$A$5),12,31)-DATE(YEAR(Invoer!$A$5),1,1)+1),"jjjjmmdd")</f>
        <v>19270925</v>
      </c>
      <c r="C269" s="5">
        <v>1</v>
      </c>
      <c r="D269" s="10">
        <f t="shared" ca="1" si="8"/>
        <v>315</v>
      </c>
      <c r="E269" s="11">
        <f t="shared" ca="1" si="9"/>
        <v>0</v>
      </c>
    </row>
    <row r="270" spans="1:5" x14ac:dyDescent="0.25">
      <c r="A270" s="4">
        <f ca="1">INDEX(Stations,INT((ROWS(A$2:A270)-1)/(DATE(YEAR(Invoer!$A$5),12,31)-DATE(YEAR(Invoer!$A$5),1,1)+1))+2,1)</f>
        <v>32</v>
      </c>
      <c r="B270" t="str">
        <f ca="1">TEXT(DATE(YEAR(Invoer!$A$5),1,1)+MOD(ROWS(B$2:B270)-1,DATE(YEAR(Invoer!$A$5),12,31)-DATE(YEAR(Invoer!$A$5),1,1)+1),"jjjjmmdd")</f>
        <v>19270926</v>
      </c>
      <c r="C270" s="5">
        <v>1</v>
      </c>
      <c r="D270" s="10">
        <f t="shared" ca="1" si="8"/>
        <v>35</v>
      </c>
      <c r="E270" s="11">
        <f t="shared" ca="1" si="9"/>
        <v>0</v>
      </c>
    </row>
    <row r="271" spans="1:5" x14ac:dyDescent="0.25">
      <c r="A271" s="4">
        <f ca="1">INDEX(Stations,INT((ROWS(A$2:A271)-1)/(DATE(YEAR(Invoer!$A$5),12,31)-DATE(YEAR(Invoer!$A$5),1,1)+1))+2,1)</f>
        <v>32</v>
      </c>
      <c r="B271" t="str">
        <f ca="1">TEXT(DATE(YEAR(Invoer!$A$5),1,1)+MOD(ROWS(B$2:B271)-1,DATE(YEAR(Invoer!$A$5),12,31)-DATE(YEAR(Invoer!$A$5),1,1)+1),"jjjjmmdd")</f>
        <v>19270927</v>
      </c>
      <c r="C271" s="5">
        <v>1</v>
      </c>
      <c r="D271" s="10">
        <f t="shared" ca="1" si="8"/>
        <v>45</v>
      </c>
      <c r="E271" s="11">
        <f t="shared" ca="1" si="9"/>
        <v>0</v>
      </c>
    </row>
    <row r="272" spans="1:5" x14ac:dyDescent="0.25">
      <c r="A272" s="4">
        <f ca="1">INDEX(Stations,INT((ROWS(A$2:A272)-1)/(DATE(YEAR(Invoer!$A$5),12,31)-DATE(YEAR(Invoer!$A$5),1,1)+1))+2,1)</f>
        <v>32</v>
      </c>
      <c r="B272" t="str">
        <f ca="1">TEXT(DATE(YEAR(Invoer!$A$5),1,1)+MOD(ROWS(B$2:B272)-1,DATE(YEAR(Invoer!$A$5),12,31)-DATE(YEAR(Invoer!$A$5),1,1)+1),"jjjjmmdd")</f>
        <v>19270928</v>
      </c>
      <c r="C272" s="5">
        <v>1</v>
      </c>
      <c r="D272" s="10">
        <f t="shared" ca="1" si="8"/>
        <v>0</v>
      </c>
      <c r="E272" s="11">
        <f t="shared" ca="1" si="9"/>
        <v>0</v>
      </c>
    </row>
    <row r="273" spans="1:5" x14ac:dyDescent="0.25">
      <c r="A273" s="4">
        <f ca="1">INDEX(Stations,INT((ROWS(A$2:A273)-1)/(DATE(YEAR(Invoer!$A$5),12,31)-DATE(YEAR(Invoer!$A$5),1,1)+1))+2,1)</f>
        <v>32</v>
      </c>
      <c r="B273" t="str">
        <f ca="1">TEXT(DATE(YEAR(Invoer!$A$5),1,1)+MOD(ROWS(B$2:B273)-1,DATE(YEAR(Invoer!$A$5),12,31)-DATE(YEAR(Invoer!$A$5),1,1)+1),"jjjjmmdd")</f>
        <v>19270929</v>
      </c>
      <c r="C273" s="5">
        <v>1</v>
      </c>
      <c r="D273" s="10">
        <f t="shared" ca="1" si="8"/>
        <v>0</v>
      </c>
      <c r="E273" s="11">
        <f t="shared" ca="1" si="9"/>
        <v>0</v>
      </c>
    </row>
    <row r="274" spans="1:5" x14ac:dyDescent="0.25">
      <c r="A274" s="4">
        <f ca="1">INDEX(Stations,INT((ROWS(A$2:A274)-1)/(DATE(YEAR(Invoer!$A$5),12,31)-DATE(YEAR(Invoer!$A$5),1,1)+1))+2,1)</f>
        <v>32</v>
      </c>
      <c r="B274" t="str">
        <f ca="1">TEXT(DATE(YEAR(Invoer!$A$5),1,1)+MOD(ROWS(B$2:B274)-1,DATE(YEAR(Invoer!$A$5),12,31)-DATE(YEAR(Invoer!$A$5),1,1)+1),"jjjjmmdd")</f>
        <v>19270930</v>
      </c>
      <c r="C274" s="5">
        <v>1</v>
      </c>
      <c r="D274" s="10">
        <f t="shared" ca="1" si="8"/>
        <v>0</v>
      </c>
      <c r="E274" s="11">
        <f t="shared" ca="1" si="9"/>
        <v>0</v>
      </c>
    </row>
    <row r="275" spans="1:5" x14ac:dyDescent="0.25">
      <c r="A275" s="4">
        <f ca="1">INDEX(Stations,INT((ROWS(A$2:A275)-1)/(DATE(YEAR(Invoer!$A$5),12,31)-DATE(YEAR(Invoer!$A$5),1,1)+1))+2,1)</f>
        <v>32</v>
      </c>
      <c r="B275" t="str">
        <f ca="1">TEXT(DATE(YEAR(Invoer!$A$5),1,1)+MOD(ROWS(B$2:B275)-1,DATE(YEAR(Invoer!$A$5),12,31)-DATE(YEAR(Invoer!$A$5),1,1)+1),"jjjjmmdd")</f>
        <v>19271001</v>
      </c>
      <c r="C275" s="5">
        <v>1</v>
      </c>
      <c r="D275" s="10">
        <f t="shared" ca="1" si="8"/>
        <v>0</v>
      </c>
      <c r="E275" s="11">
        <f t="shared" ca="1" si="9"/>
        <v>0</v>
      </c>
    </row>
    <row r="276" spans="1:5" x14ac:dyDescent="0.25">
      <c r="A276" s="4">
        <f ca="1">INDEX(Stations,INT((ROWS(A$2:A276)-1)/(DATE(YEAR(Invoer!$A$5),12,31)-DATE(YEAR(Invoer!$A$5),1,1)+1))+2,1)</f>
        <v>32</v>
      </c>
      <c r="B276" t="str">
        <f ca="1">TEXT(DATE(YEAR(Invoer!$A$5),1,1)+MOD(ROWS(B$2:B276)-1,DATE(YEAR(Invoer!$A$5),12,31)-DATE(YEAR(Invoer!$A$5),1,1)+1),"jjjjmmdd")</f>
        <v>19271002</v>
      </c>
      <c r="C276" s="5">
        <v>1</v>
      </c>
      <c r="D276" s="10">
        <f t="shared" ca="1" si="8"/>
        <v>0</v>
      </c>
      <c r="E276" s="11">
        <f t="shared" ca="1" si="9"/>
        <v>0</v>
      </c>
    </row>
    <row r="277" spans="1:5" x14ac:dyDescent="0.25">
      <c r="A277" s="4">
        <f ca="1">INDEX(Stations,INT((ROWS(A$2:A277)-1)/(DATE(YEAR(Invoer!$A$5),12,31)-DATE(YEAR(Invoer!$A$5),1,1)+1))+2,1)</f>
        <v>32</v>
      </c>
      <c r="B277" t="str">
        <f ca="1">TEXT(DATE(YEAR(Invoer!$A$5),1,1)+MOD(ROWS(B$2:B277)-1,DATE(YEAR(Invoer!$A$5),12,31)-DATE(YEAR(Invoer!$A$5),1,1)+1),"jjjjmmdd")</f>
        <v>19271003</v>
      </c>
      <c r="C277" s="5">
        <v>1</v>
      </c>
      <c r="D277" s="10">
        <f t="shared" ca="1" si="8"/>
        <v>0</v>
      </c>
      <c r="E277" s="11">
        <f t="shared" ca="1" si="9"/>
        <v>0</v>
      </c>
    </row>
    <row r="278" spans="1:5" x14ac:dyDescent="0.25">
      <c r="A278" s="4">
        <f ca="1">INDEX(Stations,INT((ROWS(A$2:A278)-1)/(DATE(YEAR(Invoer!$A$5),12,31)-DATE(YEAR(Invoer!$A$5),1,1)+1))+2,1)</f>
        <v>32</v>
      </c>
      <c r="B278" t="str">
        <f ca="1">TEXT(DATE(YEAR(Invoer!$A$5),1,1)+MOD(ROWS(B$2:B278)-1,DATE(YEAR(Invoer!$A$5),12,31)-DATE(YEAR(Invoer!$A$5),1,1)+1),"jjjjmmdd")</f>
        <v>19271004</v>
      </c>
      <c r="C278" s="5">
        <v>1</v>
      </c>
      <c r="D278" s="10">
        <f t="shared" ca="1" si="8"/>
        <v>0</v>
      </c>
      <c r="E278" s="11">
        <f t="shared" ca="1" si="9"/>
        <v>0</v>
      </c>
    </row>
    <row r="279" spans="1:5" x14ac:dyDescent="0.25">
      <c r="A279" s="4">
        <f ca="1">INDEX(Stations,INT((ROWS(A$2:A279)-1)/(DATE(YEAR(Invoer!$A$5),12,31)-DATE(YEAR(Invoer!$A$5),1,1)+1))+2,1)</f>
        <v>32</v>
      </c>
      <c r="B279" t="str">
        <f ca="1">TEXT(DATE(YEAR(Invoer!$A$5),1,1)+MOD(ROWS(B$2:B279)-1,DATE(YEAR(Invoer!$A$5),12,31)-DATE(YEAR(Invoer!$A$5),1,1)+1),"jjjjmmdd")</f>
        <v>19271005</v>
      </c>
      <c r="C279" s="5">
        <v>1</v>
      </c>
      <c r="D279" s="10">
        <f t="shared" ca="1" si="8"/>
        <v>0</v>
      </c>
      <c r="E279" s="11">
        <f t="shared" ca="1" si="9"/>
        <v>0</v>
      </c>
    </row>
    <row r="280" spans="1:5" x14ac:dyDescent="0.25">
      <c r="A280" s="4">
        <f ca="1">INDEX(Stations,INT((ROWS(A$2:A280)-1)/(DATE(YEAR(Invoer!$A$5),12,31)-DATE(YEAR(Invoer!$A$5),1,1)+1))+2,1)</f>
        <v>32</v>
      </c>
      <c r="B280" t="str">
        <f ca="1">TEXT(DATE(YEAR(Invoer!$A$5),1,1)+MOD(ROWS(B$2:B280)-1,DATE(YEAR(Invoer!$A$5),12,31)-DATE(YEAR(Invoer!$A$5),1,1)+1),"jjjjmmdd")</f>
        <v>19271006</v>
      </c>
      <c r="C280" s="5">
        <v>1</v>
      </c>
      <c r="D280" s="10">
        <f t="shared" ca="1" si="8"/>
        <v>0</v>
      </c>
      <c r="E280" s="11">
        <f t="shared" ca="1" si="9"/>
        <v>0</v>
      </c>
    </row>
    <row r="281" spans="1:5" x14ac:dyDescent="0.25">
      <c r="A281" s="4">
        <f ca="1">INDEX(Stations,INT((ROWS(A$2:A281)-1)/(DATE(YEAR(Invoer!$A$5),12,31)-DATE(YEAR(Invoer!$A$5),1,1)+1))+2,1)</f>
        <v>32</v>
      </c>
      <c r="B281" t="str">
        <f ca="1">TEXT(DATE(YEAR(Invoer!$A$5),1,1)+MOD(ROWS(B$2:B281)-1,DATE(YEAR(Invoer!$A$5),12,31)-DATE(YEAR(Invoer!$A$5),1,1)+1),"jjjjmmdd")</f>
        <v>19271007</v>
      </c>
      <c r="C281" s="5">
        <v>1</v>
      </c>
      <c r="D281" s="10">
        <f t="shared" ca="1" si="8"/>
        <v>0</v>
      </c>
      <c r="E281" s="11">
        <f t="shared" ca="1" si="9"/>
        <v>0</v>
      </c>
    </row>
    <row r="282" spans="1:5" x14ac:dyDescent="0.25">
      <c r="A282" s="4">
        <f ca="1">INDEX(Stations,INT((ROWS(A$2:A282)-1)/(DATE(YEAR(Invoer!$A$5),12,31)-DATE(YEAR(Invoer!$A$5),1,1)+1))+2,1)</f>
        <v>32</v>
      </c>
      <c r="B282" t="str">
        <f ca="1">TEXT(DATE(YEAR(Invoer!$A$5),1,1)+MOD(ROWS(B$2:B282)-1,DATE(YEAR(Invoer!$A$5),12,31)-DATE(YEAR(Invoer!$A$5),1,1)+1),"jjjjmmdd")</f>
        <v>19271008</v>
      </c>
      <c r="C282" s="5">
        <v>1</v>
      </c>
      <c r="D282" s="10">
        <f t="shared" ca="1" si="8"/>
        <v>0</v>
      </c>
      <c r="E282" s="11">
        <f t="shared" ca="1" si="9"/>
        <v>0</v>
      </c>
    </row>
    <row r="283" spans="1:5" x14ac:dyDescent="0.25">
      <c r="A283" s="4">
        <f ca="1">INDEX(Stations,INT((ROWS(A$2:A283)-1)/(DATE(YEAR(Invoer!$A$5),12,31)-DATE(YEAR(Invoer!$A$5),1,1)+1))+2,1)</f>
        <v>32</v>
      </c>
      <c r="B283" t="str">
        <f ca="1">TEXT(DATE(YEAR(Invoer!$A$5),1,1)+MOD(ROWS(B$2:B283)-1,DATE(YEAR(Invoer!$A$5),12,31)-DATE(YEAR(Invoer!$A$5),1,1)+1),"jjjjmmdd")</f>
        <v>19271009</v>
      </c>
      <c r="C283" s="5">
        <v>1</v>
      </c>
      <c r="D283" s="10">
        <f t="shared" ca="1" si="8"/>
        <v>0</v>
      </c>
      <c r="E283" s="11">
        <f t="shared" ca="1" si="9"/>
        <v>0</v>
      </c>
    </row>
    <row r="284" spans="1:5" x14ac:dyDescent="0.25">
      <c r="A284" s="4">
        <f ca="1">INDEX(Stations,INT((ROWS(A$2:A284)-1)/(DATE(YEAR(Invoer!$A$5),12,31)-DATE(YEAR(Invoer!$A$5),1,1)+1))+2,1)</f>
        <v>32</v>
      </c>
      <c r="B284" t="str">
        <f ca="1">TEXT(DATE(YEAR(Invoer!$A$5),1,1)+MOD(ROWS(B$2:B284)-1,DATE(YEAR(Invoer!$A$5),12,31)-DATE(YEAR(Invoer!$A$5),1,1)+1),"jjjjmmdd")</f>
        <v>19271010</v>
      </c>
      <c r="C284" s="5">
        <v>1</v>
      </c>
      <c r="D284" s="10">
        <f t="shared" ca="1" si="8"/>
        <v>0</v>
      </c>
      <c r="E284" s="11">
        <f t="shared" ca="1" si="9"/>
        <v>0</v>
      </c>
    </row>
    <row r="285" spans="1:5" x14ac:dyDescent="0.25">
      <c r="A285" s="4">
        <f ca="1">INDEX(Stations,INT((ROWS(A$2:A285)-1)/(DATE(YEAR(Invoer!$A$5),12,31)-DATE(YEAR(Invoer!$A$5),1,1)+1))+2,1)</f>
        <v>32</v>
      </c>
      <c r="B285" t="str">
        <f ca="1">TEXT(DATE(YEAR(Invoer!$A$5),1,1)+MOD(ROWS(B$2:B285)-1,DATE(YEAR(Invoer!$A$5),12,31)-DATE(YEAR(Invoer!$A$5),1,1)+1),"jjjjmmdd")</f>
        <v>19271011</v>
      </c>
      <c r="C285" s="5">
        <v>1</v>
      </c>
      <c r="D285" s="10">
        <f t="shared" ca="1" si="8"/>
        <v>0</v>
      </c>
      <c r="E285" s="11">
        <f t="shared" ca="1" si="9"/>
        <v>0</v>
      </c>
    </row>
    <row r="286" spans="1:5" x14ac:dyDescent="0.25">
      <c r="A286" s="4">
        <f ca="1">INDEX(Stations,INT((ROWS(A$2:A286)-1)/(DATE(YEAR(Invoer!$A$5),12,31)-DATE(YEAR(Invoer!$A$5),1,1)+1))+2,1)</f>
        <v>32</v>
      </c>
      <c r="B286" t="str">
        <f ca="1">TEXT(DATE(YEAR(Invoer!$A$5),1,1)+MOD(ROWS(B$2:B286)-1,DATE(YEAR(Invoer!$A$5),12,31)-DATE(YEAR(Invoer!$A$5),1,1)+1),"jjjjmmdd")</f>
        <v>19271012</v>
      </c>
      <c r="C286" s="5">
        <v>1</v>
      </c>
      <c r="D286" s="10">
        <f t="shared" ca="1" si="8"/>
        <v>0</v>
      </c>
      <c r="E286" s="11">
        <f t="shared" ca="1" si="9"/>
        <v>0</v>
      </c>
    </row>
    <row r="287" spans="1:5" x14ac:dyDescent="0.25">
      <c r="A287" s="4">
        <f ca="1">INDEX(Stations,INT((ROWS(A$2:A287)-1)/(DATE(YEAR(Invoer!$A$5),12,31)-DATE(YEAR(Invoer!$A$5),1,1)+1))+2,1)</f>
        <v>32</v>
      </c>
      <c r="B287" t="str">
        <f ca="1">TEXT(DATE(YEAR(Invoer!$A$5),1,1)+MOD(ROWS(B$2:B287)-1,DATE(YEAR(Invoer!$A$5),12,31)-DATE(YEAR(Invoer!$A$5),1,1)+1),"jjjjmmdd")</f>
        <v>19271013</v>
      </c>
      <c r="C287" s="5">
        <v>1</v>
      </c>
      <c r="D287" s="10">
        <f t="shared" ca="1" si="8"/>
        <v>0</v>
      </c>
      <c r="E287" s="11">
        <f t="shared" ca="1" si="9"/>
        <v>0</v>
      </c>
    </row>
    <row r="288" spans="1:5" x14ac:dyDescent="0.25">
      <c r="A288" s="4">
        <f ca="1">INDEX(Stations,INT((ROWS(A$2:A288)-1)/(DATE(YEAR(Invoer!$A$5),12,31)-DATE(YEAR(Invoer!$A$5),1,1)+1))+2,1)</f>
        <v>32</v>
      </c>
      <c r="B288" t="str">
        <f ca="1">TEXT(DATE(YEAR(Invoer!$A$5),1,1)+MOD(ROWS(B$2:B288)-1,DATE(YEAR(Invoer!$A$5),12,31)-DATE(YEAR(Invoer!$A$5),1,1)+1),"jjjjmmdd")</f>
        <v>19271014</v>
      </c>
      <c r="C288" s="5">
        <v>1</v>
      </c>
      <c r="D288" s="10">
        <f t="shared" ca="1" si="8"/>
        <v>50</v>
      </c>
      <c r="E288" s="11">
        <f t="shared" ca="1" si="9"/>
        <v>0</v>
      </c>
    </row>
    <row r="289" spans="1:5" x14ac:dyDescent="0.25">
      <c r="A289" s="4">
        <f ca="1">INDEX(Stations,INT((ROWS(A$2:A289)-1)/(DATE(YEAR(Invoer!$A$5),12,31)-DATE(YEAR(Invoer!$A$5),1,1)+1))+2,1)</f>
        <v>32</v>
      </c>
      <c r="B289" t="str">
        <f ca="1">TEXT(DATE(YEAR(Invoer!$A$5),1,1)+MOD(ROWS(B$2:B289)-1,DATE(YEAR(Invoer!$A$5),12,31)-DATE(YEAR(Invoer!$A$5),1,1)+1),"jjjjmmdd")</f>
        <v>19271015</v>
      </c>
      <c r="C289" s="5">
        <v>1</v>
      </c>
      <c r="D289" s="10">
        <f t="shared" ca="1" si="8"/>
        <v>50</v>
      </c>
      <c r="E289" s="11">
        <f t="shared" ca="1" si="9"/>
        <v>0</v>
      </c>
    </row>
    <row r="290" spans="1:5" x14ac:dyDescent="0.25">
      <c r="A290" s="4">
        <f ca="1">INDEX(Stations,INT((ROWS(A$2:A290)-1)/(DATE(YEAR(Invoer!$A$5),12,31)-DATE(YEAR(Invoer!$A$5),1,1)+1))+2,1)</f>
        <v>32</v>
      </c>
      <c r="B290" t="str">
        <f ca="1">TEXT(DATE(YEAR(Invoer!$A$5),1,1)+MOD(ROWS(B$2:B290)-1,DATE(YEAR(Invoer!$A$5),12,31)-DATE(YEAR(Invoer!$A$5),1,1)+1),"jjjjmmdd")</f>
        <v>19271016</v>
      </c>
      <c r="C290" s="5">
        <v>1</v>
      </c>
      <c r="D290" s="10">
        <f t="shared" ca="1" si="8"/>
        <v>100</v>
      </c>
      <c r="E290" s="11">
        <f t="shared" ca="1" si="9"/>
        <v>0</v>
      </c>
    </row>
    <row r="291" spans="1:5" x14ac:dyDescent="0.25">
      <c r="A291" s="4">
        <f ca="1">INDEX(Stations,INT((ROWS(A$2:A291)-1)/(DATE(YEAR(Invoer!$A$5),12,31)-DATE(YEAR(Invoer!$A$5),1,1)+1))+2,1)</f>
        <v>32</v>
      </c>
      <c r="B291" t="str">
        <f ca="1">TEXT(DATE(YEAR(Invoer!$A$5),1,1)+MOD(ROWS(B$2:B291)-1,DATE(YEAR(Invoer!$A$5),12,31)-DATE(YEAR(Invoer!$A$5),1,1)+1),"jjjjmmdd")</f>
        <v>19271017</v>
      </c>
      <c r="C291" s="5">
        <v>1</v>
      </c>
      <c r="D291" s="10">
        <f t="shared" ca="1" si="8"/>
        <v>0</v>
      </c>
      <c r="E291" s="11">
        <f t="shared" ca="1" si="9"/>
        <v>0</v>
      </c>
    </row>
    <row r="292" spans="1:5" x14ac:dyDescent="0.25">
      <c r="A292" s="4">
        <f ca="1">INDEX(Stations,INT((ROWS(A$2:A292)-1)/(DATE(YEAR(Invoer!$A$5),12,31)-DATE(YEAR(Invoer!$A$5),1,1)+1))+2,1)</f>
        <v>32</v>
      </c>
      <c r="B292" t="str">
        <f ca="1">TEXT(DATE(YEAR(Invoer!$A$5),1,1)+MOD(ROWS(B$2:B292)-1,DATE(YEAR(Invoer!$A$5),12,31)-DATE(YEAR(Invoer!$A$5),1,1)+1),"jjjjmmdd")</f>
        <v>19271018</v>
      </c>
      <c r="C292" s="5">
        <v>1</v>
      </c>
      <c r="D292" s="10">
        <f t="shared" ca="1" si="8"/>
        <v>0</v>
      </c>
      <c r="E292" s="11">
        <f t="shared" ca="1" si="9"/>
        <v>0</v>
      </c>
    </row>
    <row r="293" spans="1:5" x14ac:dyDescent="0.25">
      <c r="A293" s="4">
        <f ca="1">INDEX(Stations,INT((ROWS(A$2:A293)-1)/(DATE(YEAR(Invoer!$A$5),12,31)-DATE(YEAR(Invoer!$A$5),1,1)+1))+2,1)</f>
        <v>32</v>
      </c>
      <c r="B293" t="str">
        <f ca="1">TEXT(DATE(YEAR(Invoer!$A$5),1,1)+MOD(ROWS(B$2:B293)-1,DATE(YEAR(Invoer!$A$5),12,31)-DATE(YEAR(Invoer!$A$5),1,1)+1),"jjjjmmdd")</f>
        <v>19271019</v>
      </c>
      <c r="C293" s="5">
        <v>1</v>
      </c>
      <c r="D293" s="10">
        <f t="shared" ca="1" si="8"/>
        <v>0</v>
      </c>
      <c r="E293" s="11">
        <f t="shared" ca="1" si="9"/>
        <v>0</v>
      </c>
    </row>
    <row r="294" spans="1:5" x14ac:dyDescent="0.25">
      <c r="A294" s="4">
        <f ca="1">INDEX(Stations,INT((ROWS(A$2:A294)-1)/(DATE(YEAR(Invoer!$A$5),12,31)-DATE(YEAR(Invoer!$A$5),1,1)+1))+2,1)</f>
        <v>32</v>
      </c>
      <c r="B294" t="str">
        <f ca="1">TEXT(DATE(YEAR(Invoer!$A$5),1,1)+MOD(ROWS(B$2:B294)-1,DATE(YEAR(Invoer!$A$5),12,31)-DATE(YEAR(Invoer!$A$5),1,1)+1),"jjjjmmdd")</f>
        <v>19271020</v>
      </c>
      <c r="C294" s="5">
        <v>1</v>
      </c>
      <c r="D294" s="10">
        <f t="shared" ca="1" si="8"/>
        <v>0</v>
      </c>
      <c r="E294" s="11">
        <f t="shared" ca="1" si="9"/>
        <v>0</v>
      </c>
    </row>
    <row r="295" spans="1:5" x14ac:dyDescent="0.25">
      <c r="A295" s="4">
        <f ca="1">INDEX(Stations,INT((ROWS(A$2:A295)-1)/(DATE(YEAR(Invoer!$A$5),12,31)-DATE(YEAR(Invoer!$A$5),1,1)+1))+2,1)</f>
        <v>32</v>
      </c>
      <c r="B295" t="str">
        <f ca="1">TEXT(DATE(YEAR(Invoer!$A$5),1,1)+MOD(ROWS(B$2:B295)-1,DATE(YEAR(Invoer!$A$5),12,31)-DATE(YEAR(Invoer!$A$5),1,1)+1),"jjjjmmdd")</f>
        <v>19271021</v>
      </c>
      <c r="C295" s="5">
        <v>1</v>
      </c>
      <c r="D295" s="10">
        <f t="shared" ca="1" si="8"/>
        <v>0</v>
      </c>
      <c r="E295" s="11">
        <f t="shared" ca="1" si="9"/>
        <v>0</v>
      </c>
    </row>
    <row r="296" spans="1:5" x14ac:dyDescent="0.25">
      <c r="A296" s="4">
        <f ca="1">INDEX(Stations,INT((ROWS(A$2:A296)-1)/(DATE(YEAR(Invoer!$A$5),12,31)-DATE(YEAR(Invoer!$A$5),1,1)+1))+2,1)</f>
        <v>32</v>
      </c>
      <c r="B296" t="str">
        <f ca="1">TEXT(DATE(YEAR(Invoer!$A$5),1,1)+MOD(ROWS(B$2:B296)-1,DATE(YEAR(Invoer!$A$5),12,31)-DATE(YEAR(Invoer!$A$5),1,1)+1),"jjjjmmdd")</f>
        <v>19271022</v>
      </c>
      <c r="C296" s="5">
        <v>1</v>
      </c>
      <c r="D296" s="10">
        <f t="shared" ca="1" si="8"/>
        <v>0</v>
      </c>
      <c r="E296" s="11">
        <f t="shared" ca="1" si="9"/>
        <v>0</v>
      </c>
    </row>
    <row r="297" spans="1:5" x14ac:dyDescent="0.25">
      <c r="A297" s="4">
        <f ca="1">INDEX(Stations,INT((ROWS(A$2:A297)-1)/(DATE(YEAR(Invoer!$A$5),12,31)-DATE(YEAR(Invoer!$A$5),1,1)+1))+2,1)</f>
        <v>32</v>
      </c>
      <c r="B297" t="str">
        <f ca="1">TEXT(DATE(YEAR(Invoer!$A$5),1,1)+MOD(ROWS(B$2:B297)-1,DATE(YEAR(Invoer!$A$5),12,31)-DATE(YEAR(Invoer!$A$5),1,1)+1),"jjjjmmdd")</f>
        <v>19271023</v>
      </c>
      <c r="C297" s="5">
        <v>1</v>
      </c>
      <c r="D297" s="10">
        <f t="shared" ca="1" si="8"/>
        <v>25</v>
      </c>
      <c r="E297" s="11">
        <f t="shared" ca="1" si="9"/>
        <v>0</v>
      </c>
    </row>
    <row r="298" spans="1:5" x14ac:dyDescent="0.25">
      <c r="A298" s="4">
        <f ca="1">INDEX(Stations,INT((ROWS(A$2:A298)-1)/(DATE(YEAR(Invoer!$A$5),12,31)-DATE(YEAR(Invoer!$A$5),1,1)+1))+2,1)</f>
        <v>32</v>
      </c>
      <c r="B298" t="str">
        <f ca="1">TEXT(DATE(YEAR(Invoer!$A$5),1,1)+MOD(ROWS(B$2:B298)-1,DATE(YEAR(Invoer!$A$5),12,31)-DATE(YEAR(Invoer!$A$5),1,1)+1),"jjjjmmdd")</f>
        <v>19271024</v>
      </c>
      <c r="C298" s="5">
        <v>1</v>
      </c>
      <c r="D298" s="10">
        <f t="shared" ca="1" si="8"/>
        <v>0</v>
      </c>
      <c r="E298" s="11">
        <f t="shared" ca="1" si="9"/>
        <v>0</v>
      </c>
    </row>
    <row r="299" spans="1:5" x14ac:dyDescent="0.25">
      <c r="A299" s="4">
        <f ca="1">INDEX(Stations,INT((ROWS(A$2:A299)-1)/(DATE(YEAR(Invoer!$A$5),12,31)-DATE(YEAR(Invoer!$A$5),1,1)+1))+2,1)</f>
        <v>32</v>
      </c>
      <c r="B299" t="str">
        <f ca="1">TEXT(DATE(YEAR(Invoer!$A$5),1,1)+MOD(ROWS(B$2:B299)-1,DATE(YEAR(Invoer!$A$5),12,31)-DATE(YEAR(Invoer!$A$5),1,1)+1),"jjjjmmdd")</f>
        <v>19271025</v>
      </c>
      <c r="C299" s="5">
        <v>1</v>
      </c>
      <c r="D299" s="10">
        <f t="shared" ca="1" si="8"/>
        <v>0</v>
      </c>
      <c r="E299" s="11">
        <f t="shared" ca="1" si="9"/>
        <v>0</v>
      </c>
    </row>
    <row r="300" spans="1:5" x14ac:dyDescent="0.25">
      <c r="A300" s="4">
        <f ca="1">INDEX(Stations,INT((ROWS(A$2:A300)-1)/(DATE(YEAR(Invoer!$A$5),12,31)-DATE(YEAR(Invoer!$A$5),1,1)+1))+2,1)</f>
        <v>32</v>
      </c>
      <c r="B300" t="str">
        <f ca="1">TEXT(DATE(YEAR(Invoer!$A$5),1,1)+MOD(ROWS(B$2:B300)-1,DATE(YEAR(Invoer!$A$5),12,31)-DATE(YEAR(Invoer!$A$5),1,1)+1),"jjjjmmdd")</f>
        <v>19271026</v>
      </c>
      <c r="C300" s="5">
        <v>1</v>
      </c>
      <c r="D300" s="10">
        <f t="shared" ca="1" si="8"/>
        <v>0</v>
      </c>
      <c r="E300" s="11">
        <f t="shared" ca="1" si="9"/>
        <v>0</v>
      </c>
    </row>
    <row r="301" spans="1:5" x14ac:dyDescent="0.25">
      <c r="A301" s="4">
        <f ca="1">INDEX(Stations,INT((ROWS(A$2:A301)-1)/(DATE(YEAR(Invoer!$A$5),12,31)-DATE(YEAR(Invoer!$A$5),1,1)+1))+2,1)</f>
        <v>32</v>
      </c>
      <c r="B301" t="str">
        <f ca="1">TEXT(DATE(YEAR(Invoer!$A$5),1,1)+MOD(ROWS(B$2:B301)-1,DATE(YEAR(Invoer!$A$5),12,31)-DATE(YEAR(Invoer!$A$5),1,1)+1),"jjjjmmdd")</f>
        <v>19271027</v>
      </c>
      <c r="C301" s="5">
        <v>1</v>
      </c>
      <c r="D301" s="10">
        <f t="shared" ca="1" si="8"/>
        <v>0</v>
      </c>
      <c r="E301" s="11">
        <f t="shared" ca="1" si="9"/>
        <v>0</v>
      </c>
    </row>
    <row r="302" spans="1:5" x14ac:dyDescent="0.25">
      <c r="A302" s="4">
        <f ca="1">INDEX(Stations,INT((ROWS(A$2:A302)-1)/(DATE(YEAR(Invoer!$A$5),12,31)-DATE(YEAR(Invoer!$A$5),1,1)+1))+2,1)</f>
        <v>32</v>
      </c>
      <c r="B302" t="str">
        <f ca="1">TEXT(DATE(YEAR(Invoer!$A$5),1,1)+MOD(ROWS(B$2:B302)-1,DATE(YEAR(Invoer!$A$5),12,31)-DATE(YEAR(Invoer!$A$5),1,1)+1),"jjjjmmdd")</f>
        <v>19271028</v>
      </c>
      <c r="C302" s="5">
        <v>1</v>
      </c>
      <c r="D302" s="10">
        <f t="shared" ca="1" si="8"/>
        <v>0</v>
      </c>
      <c r="E302" s="11">
        <f t="shared" ca="1" si="9"/>
        <v>0</v>
      </c>
    </row>
    <row r="303" spans="1:5" x14ac:dyDescent="0.25">
      <c r="A303" s="4">
        <f ca="1">INDEX(Stations,INT((ROWS(A$2:A303)-1)/(DATE(YEAR(Invoer!$A$5),12,31)-DATE(YEAR(Invoer!$A$5),1,1)+1))+2,1)</f>
        <v>32</v>
      </c>
      <c r="B303" t="str">
        <f ca="1">TEXT(DATE(YEAR(Invoer!$A$5),1,1)+MOD(ROWS(B$2:B303)-1,DATE(YEAR(Invoer!$A$5),12,31)-DATE(YEAR(Invoer!$A$5),1,1)+1),"jjjjmmdd")</f>
        <v>19271029</v>
      </c>
      <c r="C303" s="5">
        <v>1</v>
      </c>
      <c r="D303" s="10">
        <f t="shared" ca="1" si="8"/>
        <v>0</v>
      </c>
      <c r="E303" s="11">
        <f t="shared" ca="1" si="9"/>
        <v>0</v>
      </c>
    </row>
    <row r="304" spans="1:5" x14ac:dyDescent="0.25">
      <c r="A304" s="4">
        <f ca="1">INDEX(Stations,INT((ROWS(A$2:A304)-1)/(DATE(YEAR(Invoer!$A$5),12,31)-DATE(YEAR(Invoer!$A$5),1,1)+1))+2,1)</f>
        <v>32</v>
      </c>
      <c r="B304" t="str">
        <f ca="1">TEXT(DATE(YEAR(Invoer!$A$5),1,1)+MOD(ROWS(B$2:B304)-1,DATE(YEAR(Invoer!$A$5),12,31)-DATE(YEAR(Invoer!$A$5),1,1)+1),"jjjjmmdd")</f>
        <v>19271030</v>
      </c>
      <c r="C304" s="5">
        <v>1</v>
      </c>
      <c r="D304" s="10">
        <f t="shared" ca="1" si="8"/>
        <v>0</v>
      </c>
      <c r="E304" s="11">
        <f t="shared" ca="1" si="9"/>
        <v>0</v>
      </c>
    </row>
    <row r="305" spans="1:5" x14ac:dyDescent="0.25">
      <c r="A305" s="4">
        <f ca="1">INDEX(Stations,INT((ROWS(A$2:A305)-1)/(DATE(YEAR(Invoer!$A$5),12,31)-DATE(YEAR(Invoer!$A$5),1,1)+1))+2,1)</f>
        <v>32</v>
      </c>
      <c r="B305" t="str">
        <f ca="1">TEXT(DATE(YEAR(Invoer!$A$5),1,1)+MOD(ROWS(B$2:B305)-1,DATE(YEAR(Invoer!$A$5),12,31)-DATE(YEAR(Invoer!$A$5),1,1)+1),"jjjjmmdd")</f>
        <v>19271031</v>
      </c>
      <c r="C305" s="5">
        <v>1</v>
      </c>
      <c r="D305" s="10">
        <f t="shared" ca="1" si="8"/>
        <v>0</v>
      </c>
      <c r="E305" s="11">
        <f t="shared" ca="1" si="9"/>
        <v>0</v>
      </c>
    </row>
    <row r="306" spans="1:5" x14ac:dyDescent="0.25">
      <c r="A306" s="4">
        <f ca="1">INDEX(Stations,INT((ROWS(A$2:A306)-1)/(DATE(YEAR(Invoer!$A$5),12,31)-DATE(YEAR(Invoer!$A$5),1,1)+1))+2,1)</f>
        <v>32</v>
      </c>
      <c r="B306" t="str">
        <f ca="1">TEXT(DATE(YEAR(Invoer!$A$5),1,1)+MOD(ROWS(B$2:B306)-1,DATE(YEAR(Invoer!$A$5),12,31)-DATE(YEAR(Invoer!$A$5),1,1)+1),"jjjjmmdd")</f>
        <v>19271101</v>
      </c>
      <c r="C306" s="5">
        <v>1</v>
      </c>
      <c r="D306" s="10">
        <f t="shared" ca="1" si="8"/>
        <v>0</v>
      </c>
      <c r="E306" s="11">
        <f t="shared" ca="1" si="9"/>
        <v>0</v>
      </c>
    </row>
    <row r="307" spans="1:5" x14ac:dyDescent="0.25">
      <c r="A307" s="4">
        <f ca="1">INDEX(Stations,INT((ROWS(A$2:A307)-1)/(DATE(YEAR(Invoer!$A$5),12,31)-DATE(YEAR(Invoer!$A$5),1,1)+1))+2,1)</f>
        <v>32</v>
      </c>
      <c r="B307" t="str">
        <f ca="1">TEXT(DATE(YEAR(Invoer!$A$5),1,1)+MOD(ROWS(B$2:B307)-1,DATE(YEAR(Invoer!$A$5),12,31)-DATE(YEAR(Invoer!$A$5),1,1)+1),"jjjjmmdd")</f>
        <v>19271102</v>
      </c>
      <c r="C307" s="5">
        <v>1</v>
      </c>
      <c r="D307" s="10">
        <f t="shared" ca="1" si="8"/>
        <v>0</v>
      </c>
      <c r="E307" s="11">
        <f t="shared" ca="1" si="9"/>
        <v>0</v>
      </c>
    </row>
    <row r="308" spans="1:5" x14ac:dyDescent="0.25">
      <c r="A308" s="4">
        <f ca="1">INDEX(Stations,INT((ROWS(A$2:A308)-1)/(DATE(YEAR(Invoer!$A$5),12,31)-DATE(YEAR(Invoer!$A$5),1,1)+1))+2,1)</f>
        <v>32</v>
      </c>
      <c r="B308" t="str">
        <f ca="1">TEXT(DATE(YEAR(Invoer!$A$5),1,1)+MOD(ROWS(B$2:B308)-1,DATE(YEAR(Invoer!$A$5),12,31)-DATE(YEAR(Invoer!$A$5),1,1)+1),"jjjjmmdd")</f>
        <v>19271103</v>
      </c>
      <c r="C308" s="5">
        <v>1</v>
      </c>
      <c r="D308" s="10">
        <f t="shared" ca="1" si="8"/>
        <v>0</v>
      </c>
      <c r="E308" s="11">
        <f t="shared" ca="1" si="9"/>
        <v>0</v>
      </c>
    </row>
    <row r="309" spans="1:5" x14ac:dyDescent="0.25">
      <c r="A309" s="4">
        <f ca="1">INDEX(Stations,INT((ROWS(A$2:A309)-1)/(DATE(YEAR(Invoer!$A$5),12,31)-DATE(YEAR(Invoer!$A$5),1,1)+1))+2,1)</f>
        <v>32</v>
      </c>
      <c r="B309" t="str">
        <f ca="1">TEXT(DATE(YEAR(Invoer!$A$5),1,1)+MOD(ROWS(B$2:B309)-1,DATE(YEAR(Invoer!$A$5),12,31)-DATE(YEAR(Invoer!$A$5),1,1)+1),"jjjjmmdd")</f>
        <v>19271104</v>
      </c>
      <c r="C309" s="5">
        <v>1</v>
      </c>
      <c r="D309" s="10">
        <f t="shared" ca="1" si="8"/>
        <v>0</v>
      </c>
      <c r="E309" s="11">
        <f t="shared" ca="1" si="9"/>
        <v>0</v>
      </c>
    </row>
    <row r="310" spans="1:5" x14ac:dyDescent="0.25">
      <c r="A310" s="4">
        <f ca="1">INDEX(Stations,INT((ROWS(A$2:A310)-1)/(DATE(YEAR(Invoer!$A$5),12,31)-DATE(YEAR(Invoer!$A$5),1,1)+1))+2,1)</f>
        <v>32</v>
      </c>
      <c r="B310" t="str">
        <f ca="1">TEXT(DATE(YEAR(Invoer!$A$5),1,1)+MOD(ROWS(B$2:B310)-1,DATE(YEAR(Invoer!$A$5),12,31)-DATE(YEAR(Invoer!$A$5),1,1)+1),"jjjjmmdd")</f>
        <v>19271105</v>
      </c>
      <c r="C310" s="5">
        <v>1</v>
      </c>
      <c r="D310" s="10">
        <f t="shared" ca="1" si="8"/>
        <v>0</v>
      </c>
      <c r="E310" s="11">
        <f t="shared" ca="1" si="9"/>
        <v>0</v>
      </c>
    </row>
    <row r="311" spans="1:5" x14ac:dyDescent="0.25">
      <c r="A311" s="4">
        <f ca="1">INDEX(Stations,INT((ROWS(A$2:A311)-1)/(DATE(YEAR(Invoer!$A$5),12,31)-DATE(YEAR(Invoer!$A$5),1,1)+1))+2,1)</f>
        <v>32</v>
      </c>
      <c r="B311" t="str">
        <f ca="1">TEXT(DATE(YEAR(Invoer!$A$5),1,1)+MOD(ROWS(B$2:B311)-1,DATE(YEAR(Invoer!$A$5),12,31)-DATE(YEAR(Invoer!$A$5),1,1)+1),"jjjjmmdd")</f>
        <v>19271106</v>
      </c>
      <c r="C311" s="5">
        <v>1</v>
      </c>
      <c r="D311" s="10">
        <f t="shared" ca="1" si="8"/>
        <v>0</v>
      </c>
      <c r="E311" s="11">
        <f t="shared" ca="1" si="9"/>
        <v>0</v>
      </c>
    </row>
    <row r="312" spans="1:5" x14ac:dyDescent="0.25">
      <c r="A312" s="4">
        <f ca="1">INDEX(Stations,INT((ROWS(A$2:A312)-1)/(DATE(YEAR(Invoer!$A$5),12,31)-DATE(YEAR(Invoer!$A$5),1,1)+1))+2,1)</f>
        <v>32</v>
      </c>
      <c r="B312" t="str">
        <f ca="1">TEXT(DATE(YEAR(Invoer!$A$5),1,1)+MOD(ROWS(B$2:B312)-1,DATE(YEAR(Invoer!$A$5),12,31)-DATE(YEAR(Invoer!$A$5),1,1)+1),"jjjjmmdd")</f>
        <v>19271107</v>
      </c>
      <c r="C312" s="5">
        <v>1</v>
      </c>
      <c r="D312" s="10">
        <f t="shared" ca="1" si="8"/>
        <v>70</v>
      </c>
      <c r="E312" s="11">
        <f t="shared" ca="1" si="9"/>
        <v>0</v>
      </c>
    </row>
    <row r="313" spans="1:5" x14ac:dyDescent="0.25">
      <c r="A313" s="4">
        <f ca="1">INDEX(Stations,INT((ROWS(A$2:A313)-1)/(DATE(YEAR(Invoer!$A$5),12,31)-DATE(YEAR(Invoer!$A$5),1,1)+1))+2,1)</f>
        <v>32</v>
      </c>
      <c r="B313" t="str">
        <f ca="1">TEXT(DATE(YEAR(Invoer!$A$5),1,1)+MOD(ROWS(B$2:B313)-1,DATE(YEAR(Invoer!$A$5),12,31)-DATE(YEAR(Invoer!$A$5),1,1)+1),"jjjjmmdd")</f>
        <v>19271108</v>
      </c>
      <c r="C313" s="5">
        <v>1</v>
      </c>
      <c r="D313" s="10">
        <f t="shared" ca="1" si="8"/>
        <v>0</v>
      </c>
      <c r="E313" s="11">
        <f t="shared" ca="1" si="9"/>
        <v>0</v>
      </c>
    </row>
    <row r="314" spans="1:5" x14ac:dyDescent="0.25">
      <c r="A314" s="4">
        <f ca="1">INDEX(Stations,INT((ROWS(A$2:A314)-1)/(DATE(YEAR(Invoer!$A$5),12,31)-DATE(YEAR(Invoer!$A$5),1,1)+1))+2,1)</f>
        <v>32</v>
      </c>
      <c r="B314" t="str">
        <f ca="1">TEXT(DATE(YEAR(Invoer!$A$5),1,1)+MOD(ROWS(B$2:B314)-1,DATE(YEAR(Invoer!$A$5),12,31)-DATE(YEAR(Invoer!$A$5),1,1)+1),"jjjjmmdd")</f>
        <v>19271109</v>
      </c>
      <c r="C314" s="5">
        <v>1</v>
      </c>
      <c r="D314" s="10">
        <f t="shared" ca="1" si="8"/>
        <v>0</v>
      </c>
      <c r="E314" s="11">
        <f t="shared" ca="1" si="9"/>
        <v>0</v>
      </c>
    </row>
    <row r="315" spans="1:5" x14ac:dyDescent="0.25">
      <c r="A315" s="4">
        <f ca="1">INDEX(Stations,INT((ROWS(A$2:A315)-1)/(DATE(YEAR(Invoer!$A$5),12,31)-DATE(YEAR(Invoer!$A$5),1,1)+1))+2,1)</f>
        <v>32</v>
      </c>
      <c r="B315" t="str">
        <f ca="1">TEXT(DATE(YEAR(Invoer!$A$5),1,1)+MOD(ROWS(B$2:B315)-1,DATE(YEAR(Invoer!$A$5),12,31)-DATE(YEAR(Invoer!$A$5),1,1)+1),"jjjjmmdd")</f>
        <v>19271110</v>
      </c>
      <c r="C315" s="5">
        <v>1</v>
      </c>
      <c r="D315" s="10">
        <f t="shared" ca="1" si="8"/>
        <v>0</v>
      </c>
      <c r="E315" s="11">
        <f t="shared" ca="1" si="9"/>
        <v>0</v>
      </c>
    </row>
    <row r="316" spans="1:5" x14ac:dyDescent="0.25">
      <c r="A316" s="4">
        <f ca="1">INDEX(Stations,INT((ROWS(A$2:A316)-1)/(DATE(YEAR(Invoer!$A$5),12,31)-DATE(YEAR(Invoer!$A$5),1,1)+1))+2,1)</f>
        <v>32</v>
      </c>
      <c r="B316" t="str">
        <f ca="1">TEXT(DATE(YEAR(Invoer!$A$5),1,1)+MOD(ROWS(B$2:B316)-1,DATE(YEAR(Invoer!$A$5),12,31)-DATE(YEAR(Invoer!$A$5),1,1)+1),"jjjjmmdd")</f>
        <v>19271111</v>
      </c>
      <c r="C316" s="5">
        <v>1</v>
      </c>
      <c r="D316" s="10">
        <f t="shared" ca="1" si="8"/>
        <v>0</v>
      </c>
      <c r="E316" s="11">
        <f t="shared" ca="1" si="9"/>
        <v>0</v>
      </c>
    </row>
    <row r="317" spans="1:5" x14ac:dyDescent="0.25">
      <c r="A317" s="4">
        <f ca="1">INDEX(Stations,INT((ROWS(A$2:A317)-1)/(DATE(YEAR(Invoer!$A$5),12,31)-DATE(YEAR(Invoer!$A$5),1,1)+1))+2,1)</f>
        <v>32</v>
      </c>
      <c r="B317" t="str">
        <f ca="1">TEXT(DATE(YEAR(Invoer!$A$5),1,1)+MOD(ROWS(B$2:B317)-1,DATE(YEAR(Invoer!$A$5),12,31)-DATE(YEAR(Invoer!$A$5),1,1)+1),"jjjjmmdd")</f>
        <v>19271112</v>
      </c>
      <c r="C317" s="5">
        <v>1</v>
      </c>
      <c r="D317" s="10">
        <f t="shared" ca="1" si="8"/>
        <v>0</v>
      </c>
      <c r="E317" s="11">
        <f t="shared" ca="1" si="9"/>
        <v>0</v>
      </c>
    </row>
    <row r="318" spans="1:5" x14ac:dyDescent="0.25">
      <c r="A318" s="4">
        <f ca="1">INDEX(Stations,INT((ROWS(A$2:A318)-1)/(DATE(YEAR(Invoer!$A$5),12,31)-DATE(YEAR(Invoer!$A$5),1,1)+1))+2,1)</f>
        <v>32</v>
      </c>
      <c r="B318" t="str">
        <f ca="1">TEXT(DATE(YEAR(Invoer!$A$5),1,1)+MOD(ROWS(B$2:B318)-1,DATE(YEAR(Invoer!$A$5),12,31)-DATE(YEAR(Invoer!$A$5),1,1)+1),"jjjjmmdd")</f>
        <v>19271113</v>
      </c>
      <c r="C318" s="5">
        <v>1</v>
      </c>
      <c r="D318" s="10">
        <f t="shared" ca="1" si="8"/>
        <v>0</v>
      </c>
      <c r="E318" s="11">
        <f t="shared" ca="1" si="9"/>
        <v>0</v>
      </c>
    </row>
    <row r="319" spans="1:5" x14ac:dyDescent="0.25">
      <c r="A319" s="4">
        <f ca="1">INDEX(Stations,INT((ROWS(A$2:A319)-1)/(DATE(YEAR(Invoer!$A$5),12,31)-DATE(YEAR(Invoer!$A$5),1,1)+1))+2,1)</f>
        <v>32</v>
      </c>
      <c r="B319" t="str">
        <f ca="1">TEXT(DATE(YEAR(Invoer!$A$5),1,1)+MOD(ROWS(B$2:B319)-1,DATE(YEAR(Invoer!$A$5),12,31)-DATE(YEAR(Invoer!$A$5),1,1)+1),"jjjjmmdd")</f>
        <v>19271114</v>
      </c>
      <c r="C319" s="5">
        <v>1</v>
      </c>
      <c r="D319" s="10">
        <f t="shared" ca="1" si="8"/>
        <v>0</v>
      </c>
      <c r="E319" s="11">
        <f t="shared" ca="1" si="9"/>
        <v>0</v>
      </c>
    </row>
    <row r="320" spans="1:5" x14ac:dyDescent="0.25">
      <c r="A320" s="4">
        <f ca="1">INDEX(Stations,INT((ROWS(A$2:A320)-1)/(DATE(YEAR(Invoer!$A$5),12,31)-DATE(YEAR(Invoer!$A$5),1,1)+1))+2,1)</f>
        <v>32</v>
      </c>
      <c r="B320" t="str">
        <f ca="1">TEXT(DATE(YEAR(Invoer!$A$5),1,1)+MOD(ROWS(B$2:B320)-1,DATE(YEAR(Invoer!$A$5),12,31)-DATE(YEAR(Invoer!$A$5),1,1)+1),"jjjjmmdd")</f>
        <v>19271115</v>
      </c>
      <c r="C320" s="5">
        <v>1</v>
      </c>
      <c r="D320" s="10">
        <f t="shared" ca="1" si="8"/>
        <v>0</v>
      </c>
      <c r="E320" s="11">
        <f t="shared" ca="1" si="9"/>
        <v>0</v>
      </c>
    </row>
    <row r="321" spans="1:5" x14ac:dyDescent="0.25">
      <c r="A321" s="4">
        <f ca="1">INDEX(Stations,INT((ROWS(A$2:A321)-1)/(DATE(YEAR(Invoer!$A$5),12,31)-DATE(YEAR(Invoer!$A$5),1,1)+1))+2,1)</f>
        <v>32</v>
      </c>
      <c r="B321" t="str">
        <f ca="1">TEXT(DATE(YEAR(Invoer!$A$5),1,1)+MOD(ROWS(B$2:B321)-1,DATE(YEAR(Invoer!$A$5),12,31)-DATE(YEAR(Invoer!$A$5),1,1)+1),"jjjjmmdd")</f>
        <v>19271116</v>
      </c>
      <c r="C321" s="5">
        <v>1</v>
      </c>
      <c r="D321" s="10">
        <f t="shared" ca="1" si="8"/>
        <v>0</v>
      </c>
      <c r="E321" s="11">
        <f t="shared" ca="1" si="9"/>
        <v>0</v>
      </c>
    </row>
    <row r="322" spans="1:5" x14ac:dyDescent="0.25">
      <c r="A322" s="4">
        <f ca="1">INDEX(Stations,INT((ROWS(A$2:A322)-1)/(DATE(YEAR(Invoer!$A$5),12,31)-DATE(YEAR(Invoer!$A$5),1,1)+1))+2,1)</f>
        <v>32</v>
      </c>
      <c r="B322" t="str">
        <f ca="1">TEXT(DATE(YEAR(Invoer!$A$5),1,1)+MOD(ROWS(B$2:B322)-1,DATE(YEAR(Invoer!$A$5),12,31)-DATE(YEAR(Invoer!$A$5),1,1)+1),"jjjjmmdd")</f>
        <v>19271117</v>
      </c>
      <c r="C322" s="5">
        <v>1</v>
      </c>
      <c r="D322" s="10">
        <f t="shared" ref="D322:D366" ca="1" si="10">IF(OR(ISBLANK(VLOOKUP(DATEVALUE(LEFT(B322,4)&amp;"-"&amp;MID(B322,5,2)&amp;"-"&amp;RIGHT(B322,2)),Data,MATCH(VLOOKUP(A322,Stations,2,FALSE()),OFFSET(Data,1,0,1),0),FALSE())),ISTEXT(VLOOKUP(DATEVALUE(LEFT(B322,4)&amp;"-"&amp;MID(B322,5,2)&amp;"-"&amp;RIGHT(B322,2)),Data,MATCH(VLOOKUP(A322,Stations,2,FALSE()),OFFSET(Data,1,0,1),0),FALSE()))),"—",VLOOKUP(DATEVALUE(LEFT(B322,4)&amp;"-"&amp;MID(B322,5,2)&amp;"-"&amp;RIGHT(B322,2)),Data,MATCH(VLOOKUP(A322,Stations,2,FALSE()),OFFSET(Data,1,0,1),0),FALSE()))</f>
        <v>0</v>
      </c>
      <c r="E322" s="11">
        <f t="shared" ref="E322:E366" ca="1" si="11">IF(OR(ISBLANK(VLOOKUP(DATEVALUE(LEFT(B322,4)&amp;"-"&amp;MID(B322,5,2)&amp;"-"&amp;RIGHT(B322,2)),Data,MATCH(VLOOKUP(A322,Stations,2,FALSE()),OFFSET(Data,1,0,1),0),FALSE())),ISTEXT(VLOOKUP(DATEVALUE(LEFT(B322,4)&amp;"-"&amp;MID(B322,5,2)&amp;"-"&amp;RIGHT(B322,2)),Data,MATCH(VLOOKUP(A322,Stations,2,FALSE()),OFFSET(Data,1,0,1),0),FALSE()))),Lacking,IF(ISNA(MATCH(DATEVALUE(LEFT(B322,4)&amp;"-"&amp;MID(B322,5,2)&amp;"-"&amp;RIGHT(B322,2)),OFFSET(Catalogus,0,0,,1),0)),Ok,VLOOKUP(DATEVALUE(LEFT(B322,4)&amp;"-"&amp;MID(B322,5,2)&amp;"-"&amp;RIGHT(B322,2)),Catalogus,MATCH(VLOOKUP(A322,Stations,2,FALSE()),OFFSET(Catalogus,1,0,1),0),FALSE())))</f>
        <v>0</v>
      </c>
    </row>
    <row r="323" spans="1:5" x14ac:dyDescent="0.25">
      <c r="A323" s="4">
        <f ca="1">INDEX(Stations,INT((ROWS(A$2:A323)-1)/(DATE(YEAR(Invoer!$A$5),12,31)-DATE(YEAR(Invoer!$A$5),1,1)+1))+2,1)</f>
        <v>32</v>
      </c>
      <c r="B323" t="str">
        <f ca="1">TEXT(DATE(YEAR(Invoer!$A$5),1,1)+MOD(ROWS(B$2:B323)-1,DATE(YEAR(Invoer!$A$5),12,31)-DATE(YEAR(Invoer!$A$5),1,1)+1),"jjjjmmdd")</f>
        <v>19271118</v>
      </c>
      <c r="C323" s="5">
        <v>1</v>
      </c>
      <c r="D323" s="10">
        <f t="shared" ca="1" si="10"/>
        <v>0</v>
      </c>
      <c r="E323" s="11">
        <f t="shared" ca="1" si="11"/>
        <v>0</v>
      </c>
    </row>
    <row r="324" spans="1:5" x14ac:dyDescent="0.25">
      <c r="A324" s="4">
        <f ca="1">INDEX(Stations,INT((ROWS(A$2:A324)-1)/(DATE(YEAR(Invoer!$A$5),12,31)-DATE(YEAR(Invoer!$A$5),1,1)+1))+2,1)</f>
        <v>32</v>
      </c>
      <c r="B324" t="str">
        <f ca="1">TEXT(DATE(YEAR(Invoer!$A$5),1,1)+MOD(ROWS(B$2:B324)-1,DATE(YEAR(Invoer!$A$5),12,31)-DATE(YEAR(Invoer!$A$5),1,1)+1),"jjjjmmdd")</f>
        <v>19271119</v>
      </c>
      <c r="C324" s="5">
        <v>1</v>
      </c>
      <c r="D324" s="10">
        <f t="shared" ca="1" si="10"/>
        <v>0</v>
      </c>
      <c r="E324" s="11">
        <f t="shared" ca="1" si="11"/>
        <v>0</v>
      </c>
    </row>
    <row r="325" spans="1:5" x14ac:dyDescent="0.25">
      <c r="A325" s="4">
        <f ca="1">INDEX(Stations,INT((ROWS(A$2:A325)-1)/(DATE(YEAR(Invoer!$A$5),12,31)-DATE(YEAR(Invoer!$A$5),1,1)+1))+2,1)</f>
        <v>32</v>
      </c>
      <c r="B325" t="str">
        <f ca="1">TEXT(DATE(YEAR(Invoer!$A$5),1,1)+MOD(ROWS(B$2:B325)-1,DATE(YEAR(Invoer!$A$5),12,31)-DATE(YEAR(Invoer!$A$5),1,1)+1),"jjjjmmdd")</f>
        <v>19271120</v>
      </c>
      <c r="C325" s="5">
        <v>1</v>
      </c>
      <c r="D325" s="10">
        <f t="shared" ca="1" si="10"/>
        <v>0</v>
      </c>
      <c r="E325" s="11">
        <f t="shared" ca="1" si="11"/>
        <v>0</v>
      </c>
    </row>
    <row r="326" spans="1:5" x14ac:dyDescent="0.25">
      <c r="A326" s="4">
        <f ca="1">INDEX(Stations,INT((ROWS(A$2:A326)-1)/(DATE(YEAR(Invoer!$A$5),12,31)-DATE(YEAR(Invoer!$A$5),1,1)+1))+2,1)</f>
        <v>32</v>
      </c>
      <c r="B326" t="str">
        <f ca="1">TEXT(DATE(YEAR(Invoer!$A$5),1,1)+MOD(ROWS(B$2:B326)-1,DATE(YEAR(Invoer!$A$5),12,31)-DATE(YEAR(Invoer!$A$5),1,1)+1),"jjjjmmdd")</f>
        <v>19271121</v>
      </c>
      <c r="C326" s="5">
        <v>1</v>
      </c>
      <c r="D326" s="10">
        <f t="shared" ca="1" si="10"/>
        <v>150</v>
      </c>
      <c r="E326" s="11">
        <f t="shared" ca="1" si="11"/>
        <v>0</v>
      </c>
    </row>
    <row r="327" spans="1:5" x14ac:dyDescent="0.25">
      <c r="A327" s="4">
        <f ca="1">INDEX(Stations,INT((ROWS(A$2:A327)-1)/(DATE(YEAR(Invoer!$A$5),12,31)-DATE(YEAR(Invoer!$A$5),1,1)+1))+2,1)</f>
        <v>32</v>
      </c>
      <c r="B327" t="str">
        <f ca="1">TEXT(DATE(YEAR(Invoer!$A$5),1,1)+MOD(ROWS(B$2:B327)-1,DATE(YEAR(Invoer!$A$5),12,31)-DATE(YEAR(Invoer!$A$5),1,1)+1),"jjjjmmdd")</f>
        <v>19271122</v>
      </c>
      <c r="C327" s="5">
        <v>1</v>
      </c>
      <c r="D327" s="10">
        <f t="shared" ca="1" si="10"/>
        <v>200</v>
      </c>
      <c r="E327" s="11">
        <f t="shared" ca="1" si="11"/>
        <v>0</v>
      </c>
    </row>
    <row r="328" spans="1:5" x14ac:dyDescent="0.25">
      <c r="A328" s="4">
        <f ca="1">INDEX(Stations,INT((ROWS(A$2:A328)-1)/(DATE(YEAR(Invoer!$A$5),12,31)-DATE(YEAR(Invoer!$A$5),1,1)+1))+2,1)</f>
        <v>32</v>
      </c>
      <c r="B328" t="str">
        <f ca="1">TEXT(DATE(YEAR(Invoer!$A$5),1,1)+MOD(ROWS(B$2:B328)-1,DATE(YEAR(Invoer!$A$5),12,31)-DATE(YEAR(Invoer!$A$5),1,1)+1),"jjjjmmdd")</f>
        <v>19271123</v>
      </c>
      <c r="C328" s="5">
        <v>1</v>
      </c>
      <c r="D328" s="10">
        <f t="shared" ca="1" si="10"/>
        <v>225</v>
      </c>
      <c r="E328" s="11">
        <f t="shared" ca="1" si="11"/>
        <v>0</v>
      </c>
    </row>
    <row r="329" spans="1:5" x14ac:dyDescent="0.25">
      <c r="A329" s="4">
        <f ca="1">INDEX(Stations,INT((ROWS(A$2:A329)-1)/(DATE(YEAR(Invoer!$A$5),12,31)-DATE(YEAR(Invoer!$A$5),1,1)+1))+2,1)</f>
        <v>32</v>
      </c>
      <c r="B329" t="str">
        <f ca="1">TEXT(DATE(YEAR(Invoer!$A$5),1,1)+MOD(ROWS(B$2:B329)-1,DATE(YEAR(Invoer!$A$5),12,31)-DATE(YEAR(Invoer!$A$5),1,1)+1),"jjjjmmdd")</f>
        <v>19271124</v>
      </c>
      <c r="C329" s="5">
        <v>1</v>
      </c>
      <c r="D329" s="10">
        <f t="shared" ca="1" si="10"/>
        <v>0</v>
      </c>
      <c r="E329" s="11">
        <f t="shared" ca="1" si="11"/>
        <v>0</v>
      </c>
    </row>
    <row r="330" spans="1:5" x14ac:dyDescent="0.25">
      <c r="A330" s="4">
        <f ca="1">INDEX(Stations,INT((ROWS(A$2:A330)-1)/(DATE(YEAR(Invoer!$A$5),12,31)-DATE(YEAR(Invoer!$A$5),1,1)+1))+2,1)</f>
        <v>32</v>
      </c>
      <c r="B330" t="str">
        <f ca="1">TEXT(DATE(YEAR(Invoer!$A$5),1,1)+MOD(ROWS(B$2:B330)-1,DATE(YEAR(Invoer!$A$5),12,31)-DATE(YEAR(Invoer!$A$5),1,1)+1),"jjjjmmdd")</f>
        <v>19271125</v>
      </c>
      <c r="C330" s="5">
        <v>1</v>
      </c>
      <c r="D330" s="10">
        <f t="shared" ca="1" si="10"/>
        <v>110</v>
      </c>
      <c r="E330" s="11">
        <f t="shared" ca="1" si="11"/>
        <v>0</v>
      </c>
    </row>
    <row r="331" spans="1:5" x14ac:dyDescent="0.25">
      <c r="A331" s="4">
        <f ca="1">INDEX(Stations,INT((ROWS(A$2:A331)-1)/(DATE(YEAR(Invoer!$A$5),12,31)-DATE(YEAR(Invoer!$A$5),1,1)+1))+2,1)</f>
        <v>32</v>
      </c>
      <c r="B331" t="str">
        <f ca="1">TEXT(DATE(YEAR(Invoer!$A$5),1,1)+MOD(ROWS(B$2:B331)-1,DATE(YEAR(Invoer!$A$5),12,31)-DATE(YEAR(Invoer!$A$5),1,1)+1),"jjjjmmdd")</f>
        <v>19271126</v>
      </c>
      <c r="C331" s="5">
        <v>1</v>
      </c>
      <c r="D331" s="10">
        <f t="shared" ca="1" si="10"/>
        <v>0</v>
      </c>
      <c r="E331" s="11">
        <f t="shared" ca="1" si="11"/>
        <v>0</v>
      </c>
    </row>
    <row r="332" spans="1:5" x14ac:dyDescent="0.25">
      <c r="A332" s="4">
        <f ca="1">INDEX(Stations,INT((ROWS(A$2:A332)-1)/(DATE(YEAR(Invoer!$A$5),12,31)-DATE(YEAR(Invoer!$A$5),1,1)+1))+2,1)</f>
        <v>32</v>
      </c>
      <c r="B332" t="str">
        <f ca="1">TEXT(DATE(YEAR(Invoer!$A$5),1,1)+MOD(ROWS(B$2:B332)-1,DATE(YEAR(Invoer!$A$5),12,31)-DATE(YEAR(Invoer!$A$5),1,1)+1),"jjjjmmdd")</f>
        <v>19271127</v>
      </c>
      <c r="C332" s="5">
        <v>1</v>
      </c>
      <c r="D332" s="10">
        <f t="shared" ca="1" si="10"/>
        <v>40</v>
      </c>
      <c r="E332" s="11">
        <f t="shared" ca="1" si="11"/>
        <v>0</v>
      </c>
    </row>
    <row r="333" spans="1:5" x14ac:dyDescent="0.25">
      <c r="A333" s="4">
        <f ca="1">INDEX(Stations,INT((ROWS(A$2:A333)-1)/(DATE(YEAR(Invoer!$A$5),12,31)-DATE(YEAR(Invoer!$A$5),1,1)+1))+2,1)</f>
        <v>32</v>
      </c>
      <c r="B333" t="str">
        <f ca="1">TEXT(DATE(YEAR(Invoer!$A$5),1,1)+MOD(ROWS(B$2:B333)-1,DATE(YEAR(Invoer!$A$5),12,31)-DATE(YEAR(Invoer!$A$5),1,1)+1),"jjjjmmdd")</f>
        <v>19271128</v>
      </c>
      <c r="C333" s="5">
        <v>1</v>
      </c>
      <c r="D333" s="10">
        <f t="shared" ca="1" si="10"/>
        <v>165</v>
      </c>
      <c r="E333" s="11">
        <f t="shared" ca="1" si="11"/>
        <v>0</v>
      </c>
    </row>
    <row r="334" spans="1:5" x14ac:dyDescent="0.25">
      <c r="A334" s="4">
        <f ca="1">INDEX(Stations,INT((ROWS(A$2:A334)-1)/(DATE(YEAR(Invoer!$A$5),12,31)-DATE(YEAR(Invoer!$A$5),1,1)+1))+2,1)</f>
        <v>32</v>
      </c>
      <c r="B334" t="str">
        <f ca="1">TEXT(DATE(YEAR(Invoer!$A$5),1,1)+MOD(ROWS(B$2:B334)-1,DATE(YEAR(Invoer!$A$5),12,31)-DATE(YEAR(Invoer!$A$5),1,1)+1),"jjjjmmdd")</f>
        <v>19271129</v>
      </c>
      <c r="C334" s="5">
        <v>1</v>
      </c>
      <c r="D334" s="10">
        <f t="shared" ca="1" si="10"/>
        <v>170</v>
      </c>
      <c r="E334" s="11">
        <f t="shared" ca="1" si="11"/>
        <v>0</v>
      </c>
    </row>
    <row r="335" spans="1:5" x14ac:dyDescent="0.25">
      <c r="A335" s="4">
        <f ca="1">INDEX(Stations,INT((ROWS(A$2:A335)-1)/(DATE(YEAR(Invoer!$A$5),12,31)-DATE(YEAR(Invoer!$A$5),1,1)+1))+2,1)</f>
        <v>32</v>
      </c>
      <c r="B335" t="str">
        <f ca="1">TEXT(DATE(YEAR(Invoer!$A$5),1,1)+MOD(ROWS(B$2:B335)-1,DATE(YEAR(Invoer!$A$5),12,31)-DATE(YEAR(Invoer!$A$5),1,1)+1),"jjjjmmdd")</f>
        <v>19271130</v>
      </c>
      <c r="C335" s="5">
        <v>1</v>
      </c>
      <c r="D335" s="10">
        <f t="shared" ca="1" si="10"/>
        <v>0</v>
      </c>
      <c r="E335" s="11">
        <f t="shared" ca="1" si="11"/>
        <v>0</v>
      </c>
    </row>
    <row r="336" spans="1:5" x14ac:dyDescent="0.25">
      <c r="A336" s="4">
        <f ca="1">INDEX(Stations,INT((ROWS(A$2:A336)-1)/(DATE(YEAR(Invoer!$A$5),12,31)-DATE(YEAR(Invoer!$A$5),1,1)+1))+2,1)</f>
        <v>32</v>
      </c>
      <c r="B336" t="str">
        <f ca="1">TEXT(DATE(YEAR(Invoer!$A$5),1,1)+MOD(ROWS(B$2:B336)-1,DATE(YEAR(Invoer!$A$5),12,31)-DATE(YEAR(Invoer!$A$5),1,1)+1),"jjjjmmdd")</f>
        <v>19271201</v>
      </c>
      <c r="C336" s="5">
        <v>1</v>
      </c>
      <c r="D336" s="10">
        <f t="shared" ca="1" si="10"/>
        <v>165</v>
      </c>
      <c r="E336" s="11">
        <f t="shared" ca="1" si="11"/>
        <v>0</v>
      </c>
    </row>
    <row r="337" spans="1:5" x14ac:dyDescent="0.25">
      <c r="A337" s="4">
        <f ca="1">INDEX(Stations,INT((ROWS(A$2:A337)-1)/(DATE(YEAR(Invoer!$A$5),12,31)-DATE(YEAR(Invoer!$A$5),1,1)+1))+2,1)</f>
        <v>32</v>
      </c>
      <c r="B337" t="str">
        <f ca="1">TEXT(DATE(YEAR(Invoer!$A$5),1,1)+MOD(ROWS(B$2:B337)-1,DATE(YEAR(Invoer!$A$5),12,31)-DATE(YEAR(Invoer!$A$5),1,1)+1),"jjjjmmdd")</f>
        <v>19271202</v>
      </c>
      <c r="C337" s="5">
        <v>1</v>
      </c>
      <c r="D337" s="10">
        <f t="shared" ca="1" si="10"/>
        <v>0</v>
      </c>
      <c r="E337" s="11">
        <f t="shared" ca="1" si="11"/>
        <v>0</v>
      </c>
    </row>
    <row r="338" spans="1:5" x14ac:dyDescent="0.25">
      <c r="A338" s="4">
        <f ca="1">INDEX(Stations,INT((ROWS(A$2:A338)-1)/(DATE(YEAR(Invoer!$A$5),12,31)-DATE(YEAR(Invoer!$A$5),1,1)+1))+2,1)</f>
        <v>32</v>
      </c>
      <c r="B338" t="str">
        <f ca="1">TEXT(DATE(YEAR(Invoer!$A$5),1,1)+MOD(ROWS(B$2:B338)-1,DATE(YEAR(Invoer!$A$5),12,31)-DATE(YEAR(Invoer!$A$5),1,1)+1),"jjjjmmdd")</f>
        <v>19271203</v>
      </c>
      <c r="C338" s="5">
        <v>1</v>
      </c>
      <c r="D338" s="10">
        <f t="shared" ca="1" si="10"/>
        <v>100</v>
      </c>
      <c r="E338" s="11">
        <f t="shared" ca="1" si="11"/>
        <v>0</v>
      </c>
    </row>
    <row r="339" spans="1:5" x14ac:dyDescent="0.25">
      <c r="A339" s="4">
        <f ca="1">INDEX(Stations,INT((ROWS(A$2:A339)-1)/(DATE(YEAR(Invoer!$A$5),12,31)-DATE(YEAR(Invoer!$A$5),1,1)+1))+2,1)</f>
        <v>32</v>
      </c>
      <c r="B339" t="str">
        <f ca="1">TEXT(DATE(YEAR(Invoer!$A$5),1,1)+MOD(ROWS(B$2:B339)-1,DATE(YEAR(Invoer!$A$5),12,31)-DATE(YEAR(Invoer!$A$5),1,1)+1),"jjjjmmdd")</f>
        <v>19271204</v>
      </c>
      <c r="C339" s="5">
        <v>1</v>
      </c>
      <c r="D339" s="10">
        <f t="shared" ca="1" si="10"/>
        <v>50</v>
      </c>
      <c r="E339" s="11">
        <f t="shared" ca="1" si="11"/>
        <v>0</v>
      </c>
    </row>
    <row r="340" spans="1:5" x14ac:dyDescent="0.25">
      <c r="A340" s="4">
        <f ca="1">INDEX(Stations,INT((ROWS(A$2:A340)-1)/(DATE(YEAR(Invoer!$A$5),12,31)-DATE(YEAR(Invoer!$A$5),1,1)+1))+2,1)</f>
        <v>32</v>
      </c>
      <c r="B340" t="str">
        <f ca="1">TEXT(DATE(YEAR(Invoer!$A$5),1,1)+MOD(ROWS(B$2:B340)-1,DATE(YEAR(Invoer!$A$5),12,31)-DATE(YEAR(Invoer!$A$5),1,1)+1),"jjjjmmdd")</f>
        <v>19271205</v>
      </c>
      <c r="C340" s="5">
        <v>1</v>
      </c>
      <c r="D340" s="10">
        <f t="shared" ca="1" si="10"/>
        <v>0</v>
      </c>
      <c r="E340" s="11">
        <f t="shared" ca="1" si="11"/>
        <v>0</v>
      </c>
    </row>
    <row r="341" spans="1:5" x14ac:dyDescent="0.25">
      <c r="A341" s="4">
        <f ca="1">INDEX(Stations,INT((ROWS(A$2:A341)-1)/(DATE(YEAR(Invoer!$A$5),12,31)-DATE(YEAR(Invoer!$A$5),1,1)+1))+2,1)</f>
        <v>32</v>
      </c>
      <c r="B341" t="str">
        <f ca="1">TEXT(DATE(YEAR(Invoer!$A$5),1,1)+MOD(ROWS(B$2:B341)-1,DATE(YEAR(Invoer!$A$5),12,31)-DATE(YEAR(Invoer!$A$5),1,1)+1),"jjjjmmdd")</f>
        <v>19271206</v>
      </c>
      <c r="C341" s="5">
        <v>1</v>
      </c>
      <c r="D341" s="10">
        <f t="shared" ca="1" si="10"/>
        <v>0</v>
      </c>
      <c r="E341" s="11">
        <f t="shared" ca="1" si="11"/>
        <v>0</v>
      </c>
    </row>
    <row r="342" spans="1:5" x14ac:dyDescent="0.25">
      <c r="A342" s="4">
        <f ca="1">INDEX(Stations,INT((ROWS(A$2:A342)-1)/(DATE(YEAR(Invoer!$A$5),12,31)-DATE(YEAR(Invoer!$A$5),1,1)+1))+2,1)</f>
        <v>32</v>
      </c>
      <c r="B342" t="str">
        <f ca="1">TEXT(DATE(YEAR(Invoer!$A$5),1,1)+MOD(ROWS(B$2:B342)-1,DATE(YEAR(Invoer!$A$5),12,31)-DATE(YEAR(Invoer!$A$5),1,1)+1),"jjjjmmdd")</f>
        <v>19271207</v>
      </c>
      <c r="C342" s="5">
        <v>1</v>
      </c>
      <c r="D342" s="10">
        <f t="shared" ca="1" si="10"/>
        <v>180</v>
      </c>
      <c r="E342" s="11">
        <f t="shared" ca="1" si="11"/>
        <v>0</v>
      </c>
    </row>
    <row r="343" spans="1:5" x14ac:dyDescent="0.25">
      <c r="A343" s="4">
        <f ca="1">INDEX(Stations,INT((ROWS(A$2:A343)-1)/(DATE(YEAR(Invoer!$A$5),12,31)-DATE(YEAR(Invoer!$A$5),1,1)+1))+2,1)</f>
        <v>32</v>
      </c>
      <c r="B343" t="str">
        <f ca="1">TEXT(DATE(YEAR(Invoer!$A$5),1,1)+MOD(ROWS(B$2:B343)-1,DATE(YEAR(Invoer!$A$5),12,31)-DATE(YEAR(Invoer!$A$5),1,1)+1),"jjjjmmdd")</f>
        <v>19271208</v>
      </c>
      <c r="C343" s="5">
        <v>1</v>
      </c>
      <c r="D343" s="10">
        <f t="shared" ca="1" si="10"/>
        <v>0</v>
      </c>
      <c r="E343" s="11">
        <f t="shared" ca="1" si="11"/>
        <v>0</v>
      </c>
    </row>
    <row r="344" spans="1:5" x14ac:dyDescent="0.25">
      <c r="A344" s="4">
        <f ca="1">INDEX(Stations,INT((ROWS(A$2:A344)-1)/(DATE(YEAR(Invoer!$A$5),12,31)-DATE(YEAR(Invoer!$A$5),1,1)+1))+2,1)</f>
        <v>32</v>
      </c>
      <c r="B344" t="str">
        <f ca="1">TEXT(DATE(YEAR(Invoer!$A$5),1,1)+MOD(ROWS(B$2:B344)-1,DATE(YEAR(Invoer!$A$5),12,31)-DATE(YEAR(Invoer!$A$5),1,1)+1),"jjjjmmdd")</f>
        <v>19271209</v>
      </c>
      <c r="C344" s="5">
        <v>1</v>
      </c>
      <c r="D344" s="10">
        <f t="shared" ca="1" si="10"/>
        <v>0</v>
      </c>
      <c r="E344" s="11">
        <f t="shared" ca="1" si="11"/>
        <v>0</v>
      </c>
    </row>
    <row r="345" spans="1:5" x14ac:dyDescent="0.25">
      <c r="A345" s="4">
        <f ca="1">INDEX(Stations,INT((ROWS(A$2:A345)-1)/(DATE(YEAR(Invoer!$A$5),12,31)-DATE(YEAR(Invoer!$A$5),1,1)+1))+2,1)</f>
        <v>32</v>
      </c>
      <c r="B345" t="str">
        <f ca="1">TEXT(DATE(YEAR(Invoer!$A$5),1,1)+MOD(ROWS(B$2:B345)-1,DATE(YEAR(Invoer!$A$5),12,31)-DATE(YEAR(Invoer!$A$5),1,1)+1),"jjjjmmdd")</f>
        <v>19271210</v>
      </c>
      <c r="C345" s="5">
        <v>1</v>
      </c>
      <c r="D345" s="10">
        <f t="shared" ca="1" si="10"/>
        <v>0</v>
      </c>
      <c r="E345" s="11">
        <f t="shared" ca="1" si="11"/>
        <v>0</v>
      </c>
    </row>
    <row r="346" spans="1:5" x14ac:dyDescent="0.25">
      <c r="A346" s="4">
        <f ca="1">INDEX(Stations,INT((ROWS(A$2:A346)-1)/(DATE(YEAR(Invoer!$A$5),12,31)-DATE(YEAR(Invoer!$A$5),1,1)+1))+2,1)</f>
        <v>32</v>
      </c>
      <c r="B346" t="str">
        <f ca="1">TEXT(DATE(YEAR(Invoer!$A$5),1,1)+MOD(ROWS(B$2:B346)-1,DATE(YEAR(Invoer!$A$5),12,31)-DATE(YEAR(Invoer!$A$5),1,1)+1),"jjjjmmdd")</f>
        <v>19271211</v>
      </c>
      <c r="C346" s="5">
        <v>1</v>
      </c>
      <c r="D346" s="10">
        <f t="shared" ca="1" si="10"/>
        <v>30</v>
      </c>
      <c r="E346" s="11">
        <f t="shared" ca="1" si="11"/>
        <v>0</v>
      </c>
    </row>
    <row r="347" spans="1:5" x14ac:dyDescent="0.25">
      <c r="A347" s="4">
        <f ca="1">INDEX(Stations,INT((ROWS(A$2:A347)-1)/(DATE(YEAR(Invoer!$A$5),12,31)-DATE(YEAR(Invoer!$A$5),1,1)+1))+2,1)</f>
        <v>32</v>
      </c>
      <c r="B347" t="str">
        <f ca="1">TEXT(DATE(YEAR(Invoer!$A$5),1,1)+MOD(ROWS(B$2:B347)-1,DATE(YEAR(Invoer!$A$5),12,31)-DATE(YEAR(Invoer!$A$5),1,1)+1),"jjjjmmdd")</f>
        <v>19271212</v>
      </c>
      <c r="C347" s="5">
        <v>1</v>
      </c>
      <c r="D347" s="10">
        <f t="shared" ca="1" si="10"/>
        <v>0</v>
      </c>
      <c r="E347" s="11">
        <f t="shared" ca="1" si="11"/>
        <v>0</v>
      </c>
    </row>
    <row r="348" spans="1:5" x14ac:dyDescent="0.25">
      <c r="A348" s="4">
        <f ca="1">INDEX(Stations,INT((ROWS(A$2:A348)-1)/(DATE(YEAR(Invoer!$A$5),12,31)-DATE(YEAR(Invoer!$A$5),1,1)+1))+2,1)</f>
        <v>32</v>
      </c>
      <c r="B348" t="str">
        <f ca="1">TEXT(DATE(YEAR(Invoer!$A$5),1,1)+MOD(ROWS(B$2:B348)-1,DATE(YEAR(Invoer!$A$5),12,31)-DATE(YEAR(Invoer!$A$5),1,1)+1),"jjjjmmdd")</f>
        <v>19271213</v>
      </c>
      <c r="C348" s="5">
        <v>1</v>
      </c>
      <c r="D348" s="10">
        <f t="shared" ca="1" si="10"/>
        <v>0</v>
      </c>
      <c r="E348" s="11">
        <f t="shared" ca="1" si="11"/>
        <v>0</v>
      </c>
    </row>
    <row r="349" spans="1:5" x14ac:dyDescent="0.25">
      <c r="A349" s="4">
        <f ca="1">INDEX(Stations,INT((ROWS(A$2:A349)-1)/(DATE(YEAR(Invoer!$A$5),12,31)-DATE(YEAR(Invoer!$A$5),1,1)+1))+2,1)</f>
        <v>32</v>
      </c>
      <c r="B349" t="str">
        <f ca="1">TEXT(DATE(YEAR(Invoer!$A$5),1,1)+MOD(ROWS(B$2:B349)-1,DATE(YEAR(Invoer!$A$5),12,31)-DATE(YEAR(Invoer!$A$5),1,1)+1),"jjjjmmdd")</f>
        <v>19271214</v>
      </c>
      <c r="C349" s="5">
        <v>1</v>
      </c>
      <c r="D349" s="10">
        <f t="shared" ca="1" si="10"/>
        <v>0</v>
      </c>
      <c r="E349" s="11">
        <f t="shared" ca="1" si="11"/>
        <v>0</v>
      </c>
    </row>
    <row r="350" spans="1:5" x14ac:dyDescent="0.25">
      <c r="A350" s="4">
        <f ca="1">INDEX(Stations,INT((ROWS(A$2:A350)-1)/(DATE(YEAR(Invoer!$A$5),12,31)-DATE(YEAR(Invoer!$A$5),1,1)+1))+2,1)</f>
        <v>32</v>
      </c>
      <c r="B350" t="str">
        <f ca="1">TEXT(DATE(YEAR(Invoer!$A$5),1,1)+MOD(ROWS(B$2:B350)-1,DATE(YEAR(Invoer!$A$5),12,31)-DATE(YEAR(Invoer!$A$5),1,1)+1),"jjjjmmdd")</f>
        <v>19271215</v>
      </c>
      <c r="C350" s="5">
        <v>1</v>
      </c>
      <c r="D350" s="10">
        <f t="shared" ca="1" si="10"/>
        <v>100</v>
      </c>
      <c r="E350" s="11">
        <f t="shared" ca="1" si="11"/>
        <v>0</v>
      </c>
    </row>
    <row r="351" spans="1:5" x14ac:dyDescent="0.25">
      <c r="A351" s="4">
        <f ca="1">INDEX(Stations,INT((ROWS(A$2:A351)-1)/(DATE(YEAR(Invoer!$A$5),12,31)-DATE(YEAR(Invoer!$A$5),1,1)+1))+2,1)</f>
        <v>32</v>
      </c>
      <c r="B351" t="str">
        <f ca="1">TEXT(DATE(YEAR(Invoer!$A$5),1,1)+MOD(ROWS(B$2:B351)-1,DATE(YEAR(Invoer!$A$5),12,31)-DATE(YEAR(Invoer!$A$5),1,1)+1),"jjjjmmdd")</f>
        <v>19271216</v>
      </c>
      <c r="C351" s="5">
        <v>1</v>
      </c>
      <c r="D351" s="10">
        <f t="shared" ca="1" si="10"/>
        <v>80</v>
      </c>
      <c r="E351" s="11">
        <f t="shared" ca="1" si="11"/>
        <v>0</v>
      </c>
    </row>
    <row r="352" spans="1:5" x14ac:dyDescent="0.25">
      <c r="A352" s="4">
        <f ca="1">INDEX(Stations,INT((ROWS(A$2:A352)-1)/(DATE(YEAR(Invoer!$A$5),12,31)-DATE(YEAR(Invoer!$A$5),1,1)+1))+2,1)</f>
        <v>32</v>
      </c>
      <c r="B352" t="str">
        <f ca="1">TEXT(DATE(YEAR(Invoer!$A$5),1,1)+MOD(ROWS(B$2:B352)-1,DATE(YEAR(Invoer!$A$5),12,31)-DATE(YEAR(Invoer!$A$5),1,1)+1),"jjjjmmdd")</f>
        <v>19271217</v>
      </c>
      <c r="C352" s="5">
        <v>1</v>
      </c>
      <c r="D352" s="10">
        <f t="shared" ca="1" si="10"/>
        <v>25</v>
      </c>
      <c r="E352" s="11">
        <f t="shared" ca="1" si="11"/>
        <v>0</v>
      </c>
    </row>
    <row r="353" spans="1:5" x14ac:dyDescent="0.25">
      <c r="A353" s="4">
        <f ca="1">INDEX(Stations,INT((ROWS(A$2:A353)-1)/(DATE(YEAR(Invoer!$A$5),12,31)-DATE(YEAR(Invoer!$A$5),1,1)+1))+2,1)</f>
        <v>32</v>
      </c>
      <c r="B353" t="str">
        <f ca="1">TEXT(DATE(YEAR(Invoer!$A$5),1,1)+MOD(ROWS(B$2:B353)-1,DATE(YEAR(Invoer!$A$5),12,31)-DATE(YEAR(Invoer!$A$5),1,1)+1),"jjjjmmdd")</f>
        <v>19271218</v>
      </c>
      <c r="C353" s="5">
        <v>1</v>
      </c>
      <c r="D353" s="10">
        <f t="shared" ca="1" si="10"/>
        <v>260</v>
      </c>
      <c r="E353" s="11">
        <f t="shared" ca="1" si="11"/>
        <v>0</v>
      </c>
    </row>
    <row r="354" spans="1:5" x14ac:dyDescent="0.25">
      <c r="A354" s="4">
        <f ca="1">INDEX(Stations,INT((ROWS(A$2:A354)-1)/(DATE(YEAR(Invoer!$A$5),12,31)-DATE(YEAR(Invoer!$A$5),1,1)+1))+2,1)</f>
        <v>32</v>
      </c>
      <c r="B354" t="str">
        <f ca="1">TEXT(DATE(YEAR(Invoer!$A$5),1,1)+MOD(ROWS(B$2:B354)-1,DATE(YEAR(Invoer!$A$5),12,31)-DATE(YEAR(Invoer!$A$5),1,1)+1),"jjjjmmdd")</f>
        <v>19271219</v>
      </c>
      <c r="C354" s="5">
        <v>1</v>
      </c>
      <c r="D354" s="10">
        <f t="shared" ca="1" si="10"/>
        <v>0</v>
      </c>
      <c r="E354" s="11">
        <f t="shared" ca="1" si="11"/>
        <v>0</v>
      </c>
    </row>
    <row r="355" spans="1:5" x14ac:dyDescent="0.25">
      <c r="A355" s="4">
        <f ca="1">INDEX(Stations,INT((ROWS(A$2:A355)-1)/(DATE(YEAR(Invoer!$A$5),12,31)-DATE(YEAR(Invoer!$A$5),1,1)+1))+2,1)</f>
        <v>32</v>
      </c>
      <c r="B355" t="str">
        <f ca="1">TEXT(DATE(YEAR(Invoer!$A$5),1,1)+MOD(ROWS(B$2:B355)-1,DATE(YEAR(Invoer!$A$5),12,31)-DATE(YEAR(Invoer!$A$5),1,1)+1),"jjjjmmdd")</f>
        <v>19271220</v>
      </c>
      <c r="C355" s="5">
        <v>1</v>
      </c>
      <c r="D355" s="10">
        <f t="shared" ca="1" si="10"/>
        <v>0</v>
      </c>
      <c r="E355" s="11">
        <f t="shared" ca="1" si="11"/>
        <v>0</v>
      </c>
    </row>
    <row r="356" spans="1:5" x14ac:dyDescent="0.25">
      <c r="A356" s="4">
        <f ca="1">INDEX(Stations,INT((ROWS(A$2:A356)-1)/(DATE(YEAR(Invoer!$A$5),12,31)-DATE(YEAR(Invoer!$A$5),1,1)+1))+2,1)</f>
        <v>32</v>
      </c>
      <c r="B356" t="str">
        <f ca="1">TEXT(DATE(YEAR(Invoer!$A$5),1,1)+MOD(ROWS(B$2:B356)-1,DATE(YEAR(Invoer!$A$5),12,31)-DATE(YEAR(Invoer!$A$5),1,1)+1),"jjjjmmdd")</f>
        <v>19271221</v>
      </c>
      <c r="C356" s="5">
        <v>1</v>
      </c>
      <c r="D356" s="10">
        <f t="shared" ca="1" si="10"/>
        <v>0</v>
      </c>
      <c r="E356" s="11">
        <f t="shared" ca="1" si="11"/>
        <v>0</v>
      </c>
    </row>
    <row r="357" spans="1:5" x14ac:dyDescent="0.25">
      <c r="A357" s="4">
        <f ca="1">INDEX(Stations,INT((ROWS(A$2:A357)-1)/(DATE(YEAR(Invoer!$A$5),12,31)-DATE(YEAR(Invoer!$A$5),1,1)+1))+2,1)</f>
        <v>32</v>
      </c>
      <c r="B357" t="str">
        <f ca="1">TEXT(DATE(YEAR(Invoer!$A$5),1,1)+MOD(ROWS(B$2:B357)-1,DATE(YEAR(Invoer!$A$5),12,31)-DATE(YEAR(Invoer!$A$5),1,1)+1),"jjjjmmdd")</f>
        <v>19271222</v>
      </c>
      <c r="C357" s="5">
        <v>1</v>
      </c>
      <c r="D357" s="10">
        <f t="shared" ca="1" si="10"/>
        <v>0</v>
      </c>
      <c r="E357" s="11">
        <f t="shared" ca="1" si="11"/>
        <v>0</v>
      </c>
    </row>
    <row r="358" spans="1:5" x14ac:dyDescent="0.25">
      <c r="A358" s="4">
        <f ca="1">INDEX(Stations,INT((ROWS(A$2:A358)-1)/(DATE(YEAR(Invoer!$A$5),12,31)-DATE(YEAR(Invoer!$A$5),1,1)+1))+2,1)</f>
        <v>32</v>
      </c>
      <c r="B358" t="str">
        <f ca="1">TEXT(DATE(YEAR(Invoer!$A$5),1,1)+MOD(ROWS(B$2:B358)-1,DATE(YEAR(Invoer!$A$5),12,31)-DATE(YEAR(Invoer!$A$5),1,1)+1),"jjjjmmdd")</f>
        <v>19271223</v>
      </c>
      <c r="C358" s="5">
        <v>1</v>
      </c>
      <c r="D358" s="10">
        <f t="shared" ca="1" si="10"/>
        <v>0</v>
      </c>
      <c r="E358" s="11">
        <f t="shared" ca="1" si="11"/>
        <v>0</v>
      </c>
    </row>
    <row r="359" spans="1:5" x14ac:dyDescent="0.25">
      <c r="A359" s="4">
        <f ca="1">INDEX(Stations,INT((ROWS(A$2:A359)-1)/(DATE(YEAR(Invoer!$A$5),12,31)-DATE(YEAR(Invoer!$A$5),1,1)+1))+2,1)</f>
        <v>32</v>
      </c>
      <c r="B359" t="str">
        <f ca="1">TEXT(DATE(YEAR(Invoer!$A$5),1,1)+MOD(ROWS(B$2:B359)-1,DATE(YEAR(Invoer!$A$5),12,31)-DATE(YEAR(Invoer!$A$5),1,1)+1),"jjjjmmdd")</f>
        <v>19271224</v>
      </c>
      <c r="C359" s="5">
        <v>1</v>
      </c>
      <c r="D359" s="10">
        <f t="shared" ca="1" si="10"/>
        <v>35</v>
      </c>
      <c r="E359" s="11">
        <f t="shared" ca="1" si="11"/>
        <v>0</v>
      </c>
    </row>
    <row r="360" spans="1:5" x14ac:dyDescent="0.25">
      <c r="A360" s="4">
        <f ca="1">INDEX(Stations,INT((ROWS(A$2:A360)-1)/(DATE(YEAR(Invoer!$A$5),12,31)-DATE(YEAR(Invoer!$A$5),1,1)+1))+2,1)</f>
        <v>32</v>
      </c>
      <c r="B360" t="str">
        <f ca="1">TEXT(DATE(YEAR(Invoer!$A$5),1,1)+MOD(ROWS(B$2:B360)-1,DATE(YEAR(Invoer!$A$5),12,31)-DATE(YEAR(Invoer!$A$5),1,1)+1),"jjjjmmdd")</f>
        <v>19271225</v>
      </c>
      <c r="C360" s="5">
        <v>1</v>
      </c>
      <c r="D360" s="10">
        <f t="shared" ca="1" si="10"/>
        <v>40</v>
      </c>
      <c r="E360" s="11">
        <f t="shared" ca="1" si="11"/>
        <v>0</v>
      </c>
    </row>
    <row r="361" spans="1:5" x14ac:dyDescent="0.25">
      <c r="A361" s="4">
        <f ca="1">INDEX(Stations,INT((ROWS(A$2:A361)-1)/(DATE(YEAR(Invoer!$A$5),12,31)-DATE(YEAR(Invoer!$A$5),1,1)+1))+2,1)</f>
        <v>32</v>
      </c>
      <c r="B361" t="str">
        <f ca="1">TEXT(DATE(YEAR(Invoer!$A$5),1,1)+MOD(ROWS(B$2:B361)-1,DATE(YEAR(Invoer!$A$5),12,31)-DATE(YEAR(Invoer!$A$5),1,1)+1),"jjjjmmdd")</f>
        <v>19271226</v>
      </c>
      <c r="C361" s="5">
        <v>1</v>
      </c>
      <c r="D361" s="10">
        <f t="shared" ca="1" si="10"/>
        <v>80</v>
      </c>
      <c r="E361" s="11">
        <f t="shared" ca="1" si="11"/>
        <v>0</v>
      </c>
    </row>
    <row r="362" spans="1:5" x14ac:dyDescent="0.25">
      <c r="A362" s="4">
        <f ca="1">INDEX(Stations,INT((ROWS(A$2:A362)-1)/(DATE(YEAR(Invoer!$A$5),12,31)-DATE(YEAR(Invoer!$A$5),1,1)+1))+2,1)</f>
        <v>32</v>
      </c>
      <c r="B362" t="str">
        <f ca="1">TEXT(DATE(YEAR(Invoer!$A$5),1,1)+MOD(ROWS(B$2:B362)-1,DATE(YEAR(Invoer!$A$5),12,31)-DATE(YEAR(Invoer!$A$5),1,1)+1),"jjjjmmdd")</f>
        <v>19271227</v>
      </c>
      <c r="C362" s="5">
        <v>1</v>
      </c>
      <c r="D362" s="10">
        <f t="shared" ca="1" si="10"/>
        <v>0</v>
      </c>
      <c r="E362" s="11">
        <f t="shared" ca="1" si="11"/>
        <v>0</v>
      </c>
    </row>
    <row r="363" spans="1:5" x14ac:dyDescent="0.25">
      <c r="A363" s="4">
        <f ca="1">INDEX(Stations,INT((ROWS(A$2:A363)-1)/(DATE(YEAR(Invoer!$A$5),12,31)-DATE(YEAR(Invoer!$A$5),1,1)+1))+2,1)</f>
        <v>32</v>
      </c>
      <c r="B363" t="str">
        <f ca="1">TEXT(DATE(YEAR(Invoer!$A$5),1,1)+MOD(ROWS(B$2:B363)-1,DATE(YEAR(Invoer!$A$5),12,31)-DATE(YEAR(Invoer!$A$5),1,1)+1),"jjjjmmdd")</f>
        <v>19271228</v>
      </c>
      <c r="C363" s="5">
        <v>1</v>
      </c>
      <c r="D363" s="10">
        <f t="shared" ca="1" si="10"/>
        <v>0</v>
      </c>
      <c r="E363" s="11">
        <f t="shared" ca="1" si="11"/>
        <v>0</v>
      </c>
    </row>
    <row r="364" spans="1:5" x14ac:dyDescent="0.25">
      <c r="A364" s="4">
        <f ca="1">INDEX(Stations,INT((ROWS(A$2:A364)-1)/(DATE(YEAR(Invoer!$A$5),12,31)-DATE(YEAR(Invoer!$A$5),1,1)+1))+2,1)</f>
        <v>32</v>
      </c>
      <c r="B364" t="str">
        <f ca="1">TEXT(DATE(YEAR(Invoer!$A$5),1,1)+MOD(ROWS(B$2:B364)-1,DATE(YEAR(Invoer!$A$5),12,31)-DATE(YEAR(Invoer!$A$5),1,1)+1),"jjjjmmdd")</f>
        <v>19271229</v>
      </c>
      <c r="C364" s="5">
        <v>1</v>
      </c>
      <c r="D364" s="10">
        <f t="shared" ca="1" si="10"/>
        <v>60</v>
      </c>
      <c r="E364" s="11">
        <f t="shared" ca="1" si="11"/>
        <v>0</v>
      </c>
    </row>
    <row r="365" spans="1:5" x14ac:dyDescent="0.25">
      <c r="A365" s="4">
        <f ca="1">INDEX(Stations,INT((ROWS(A$2:A365)-1)/(DATE(YEAR(Invoer!$A$5),12,31)-DATE(YEAR(Invoer!$A$5),1,1)+1))+2,1)</f>
        <v>32</v>
      </c>
      <c r="B365" t="str">
        <f ca="1">TEXT(DATE(YEAR(Invoer!$A$5),1,1)+MOD(ROWS(B$2:B365)-1,DATE(YEAR(Invoer!$A$5),12,31)-DATE(YEAR(Invoer!$A$5),1,1)+1),"jjjjmmdd")</f>
        <v>19271230</v>
      </c>
      <c r="C365" s="5">
        <v>1</v>
      </c>
      <c r="D365" s="10">
        <f t="shared" ca="1" si="10"/>
        <v>0</v>
      </c>
      <c r="E365" s="11">
        <f t="shared" ca="1" si="11"/>
        <v>0</v>
      </c>
    </row>
    <row r="366" spans="1:5" x14ac:dyDescent="0.25">
      <c r="A366" s="4">
        <f ca="1">INDEX(Stations,INT((ROWS(A$2:A366)-1)/(DATE(YEAR(Invoer!$A$5),12,31)-DATE(YEAR(Invoer!$A$5),1,1)+1))+2,1)</f>
        <v>32</v>
      </c>
      <c r="B366" t="str">
        <f ca="1">TEXT(DATE(YEAR(Invoer!$A$5),1,1)+MOD(ROWS(B$2:B366)-1,DATE(YEAR(Invoer!$A$5),12,31)-DATE(YEAR(Invoer!$A$5),1,1)+1),"jjjjmmdd")</f>
        <v>19271231</v>
      </c>
      <c r="C366" s="5">
        <v>1</v>
      </c>
      <c r="D366" s="10">
        <f t="shared" ca="1" si="10"/>
        <v>0</v>
      </c>
      <c r="E366" s="11">
        <f t="shared" ca="1" si="11"/>
        <v>0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D366"/>
  <sheetViews>
    <sheetView workbookViewId="0"/>
  </sheetViews>
  <sheetFormatPr defaultRowHeight="15" x14ac:dyDescent="0.25"/>
  <sheetData>
    <row r="1" spans="1:4" x14ac:dyDescent="0.25">
      <c r="A1" s="3" t="s">
        <v>2</v>
      </c>
      <c r="B1" s="2" t="s">
        <v>0</v>
      </c>
      <c r="C1" s="3" t="s">
        <v>6</v>
      </c>
      <c r="D1" s="3" t="s">
        <v>7</v>
      </c>
    </row>
    <row r="2" spans="1:4" x14ac:dyDescent="0.25">
      <c r="A2" s="4">
        <f t="shared" ref="A2:A65" si="0">INDEX(Stations,2,1)</f>
        <v>32</v>
      </c>
      <c r="B2" t="str">
        <f ca="1">TEXT(DATE(YEAR(Invoer!$A$5),1,1)+ROWS(B$2:B2)-1,"jjjjmmdd")</f>
        <v>19270101</v>
      </c>
      <c r="C2" s="18">
        <f t="shared" ref="C2:C65" ca="1" si="1">IF(OR(ISBLANK(VLOOKUP(DATEVALUE(LEFT($B2,4)&amp;"-"&amp;MID($B2,5,2)&amp;"-"&amp;RIGHT($B2,2)),Data,MATCH(LEFT(VLOOKUP(C$1,Parameters,2,FALSE()),4)&amp;"*",OFFSET(Data,0,0,1),0),FALSE())),ISTEXT(VLOOKUP(DATEVALUE(LEFT($B2,4)&amp;"-"&amp;MID($B2,5,2)&amp;"-"&amp;RIGHT($B2,2)),Data,MATCH(LEFT(VLOOKUP(C$1,Parameters,2,FALSE()),4)&amp;"*",OFFSET(Data,0,0,1),0),FALSE()))),"—",VLOOKUP(DATEVALUE(LEFT($B2,4)&amp;"-"&amp;MID($B2,5,2)&amp;"-"&amp;RIGHT($B2,2)),Data,MATCH(LEFT(VLOOKUP(C$1,Parameters,2,FALSE()),4)&amp;"*",OFFSET(Data,0,0,1),0),FALSE())/10)</f>
        <v>766.5</v>
      </c>
      <c r="D2" s="17">
        <f t="shared" ref="D2:D65" ca="1" si="2">IF(OR(ISBLANK(VLOOKUP(DATEVALUE(LEFT($B2,4)&amp;"-"&amp;MID($B2,5,2)&amp;"-"&amp;RIGHT($B2,2)),Data,MATCH(LEFT(VLOOKUP(MID(D$1,2,LEN(D$1)-1),Parameters,2,FALSE()),4)&amp;"*",OFFSET(Data,0,0,1),0),FALSE())),ISTEXT(VLOOKUP(DATEVALUE(LEFT($B2,4)&amp;"-"&amp;MID($B2,5,2)&amp;"-"&amp;RIGHT($B2,2)),Data,MATCH(LEFT(VLOOKUP(MID(D$1,2,LEN(D$1)-1),Parameters,2,FALSE()),4)&amp;"*",OFFSET(Data,0,0,1),0),FALSE()))),Lacking,IF(ISNA(MATCH(DATEVALUE(LEFT($B2,4)&amp;"-"&amp;MID($B2,5,2)&amp;"-"&amp;RIGHT($B2,2)),OFFSET(Catalogus,0,0,,1),0)),Ok,VLOOKUP(DATEVALUE(LEFT($B2,4)&amp;"-"&amp;MID($B2,5,2)&amp;"-"&amp;RIGHT($B2,2)),Catalogus,MATCH(LEFT(VLOOKUP(MID(D$1,2,LEN(D$1)-1),Parameters,2,FALSE()),4)&amp;"*",OFFSET(Catalogus,0,0,1),0),FALSE())))</f>
        <v>0</v>
      </c>
    </row>
    <row r="3" spans="1:4" x14ac:dyDescent="0.25">
      <c r="A3" s="4">
        <f t="shared" si="0"/>
        <v>32</v>
      </c>
      <c r="B3" t="str">
        <f ca="1">TEXT(DATE(YEAR(Invoer!$A$5),1,1)+ROWS(B$2:B3)-1,"jjjjmmdd")</f>
        <v>19270102</v>
      </c>
      <c r="C3" s="18">
        <f t="shared" ca="1" si="1"/>
        <v>766.5</v>
      </c>
      <c r="D3" s="17">
        <f t="shared" ca="1" si="2"/>
        <v>0</v>
      </c>
    </row>
    <row r="4" spans="1:4" x14ac:dyDescent="0.25">
      <c r="A4" s="4">
        <f t="shared" si="0"/>
        <v>32</v>
      </c>
      <c r="B4" t="str">
        <f ca="1">TEXT(DATE(YEAR(Invoer!$A$5),1,1)+ROWS(B$2:B4)-1,"jjjjmmdd")</f>
        <v>19270103</v>
      </c>
      <c r="C4" s="18">
        <f t="shared" ca="1" si="1"/>
        <v>767</v>
      </c>
      <c r="D4" s="17">
        <f t="shared" ca="1" si="2"/>
        <v>0</v>
      </c>
    </row>
    <row r="5" spans="1:4" x14ac:dyDescent="0.25">
      <c r="A5" s="4">
        <f t="shared" si="0"/>
        <v>32</v>
      </c>
      <c r="B5" t="str">
        <f ca="1">TEXT(DATE(YEAR(Invoer!$A$5),1,1)+ROWS(B$2:B5)-1,"jjjjmmdd")</f>
        <v>19270104</v>
      </c>
      <c r="C5" s="18">
        <f t="shared" ca="1" si="1"/>
        <v>767</v>
      </c>
      <c r="D5" s="17">
        <f t="shared" ca="1" si="2"/>
        <v>0</v>
      </c>
    </row>
    <row r="6" spans="1:4" x14ac:dyDescent="0.25">
      <c r="A6" s="4">
        <f t="shared" si="0"/>
        <v>32</v>
      </c>
      <c r="B6" t="str">
        <f ca="1">TEXT(DATE(YEAR(Invoer!$A$5),1,1)+ROWS(B$2:B6)-1,"jjjjmmdd")</f>
        <v>19270105</v>
      </c>
      <c r="C6" s="18">
        <f t="shared" ca="1" si="1"/>
        <v>767.5</v>
      </c>
      <c r="D6" s="17">
        <f t="shared" ca="1" si="2"/>
        <v>0</v>
      </c>
    </row>
    <row r="7" spans="1:4" x14ac:dyDescent="0.25">
      <c r="A7" s="4">
        <f t="shared" si="0"/>
        <v>32</v>
      </c>
      <c r="B7" t="str">
        <f ca="1">TEXT(DATE(YEAR(Invoer!$A$5),1,1)+ROWS(B$2:B7)-1,"jjjjmmdd")</f>
        <v>19270106</v>
      </c>
      <c r="C7" s="18">
        <f t="shared" ca="1" si="1"/>
        <v>767</v>
      </c>
      <c r="D7" s="17">
        <f t="shared" ca="1" si="2"/>
        <v>0</v>
      </c>
    </row>
    <row r="8" spans="1:4" x14ac:dyDescent="0.25">
      <c r="A8" s="4">
        <f t="shared" si="0"/>
        <v>32</v>
      </c>
      <c r="B8" t="str">
        <f ca="1">TEXT(DATE(YEAR(Invoer!$A$5),1,1)+ROWS(B$2:B8)-1,"jjjjmmdd")</f>
        <v>19270107</v>
      </c>
      <c r="C8" s="18">
        <f t="shared" ca="1" si="1"/>
        <v>766</v>
      </c>
      <c r="D8" s="17">
        <f t="shared" ca="1" si="2"/>
        <v>0</v>
      </c>
    </row>
    <row r="9" spans="1:4" x14ac:dyDescent="0.25">
      <c r="A9" s="4">
        <f t="shared" si="0"/>
        <v>32</v>
      </c>
      <c r="B9" t="str">
        <f ca="1">TEXT(DATE(YEAR(Invoer!$A$5),1,1)+ROWS(B$2:B9)-1,"jjjjmmdd")</f>
        <v>19270108</v>
      </c>
      <c r="C9" s="18">
        <f t="shared" ca="1" si="1"/>
        <v>765.5</v>
      </c>
      <c r="D9" s="17">
        <f t="shared" ca="1" si="2"/>
        <v>0</v>
      </c>
    </row>
    <row r="10" spans="1:4" x14ac:dyDescent="0.25">
      <c r="A10" s="4">
        <f t="shared" si="0"/>
        <v>32</v>
      </c>
      <c r="B10" t="str">
        <f ca="1">TEXT(DATE(YEAR(Invoer!$A$5),1,1)+ROWS(B$2:B10)-1,"jjjjmmdd")</f>
        <v>19270109</v>
      </c>
      <c r="C10" s="18">
        <f t="shared" ca="1" si="1"/>
        <v>764.5</v>
      </c>
      <c r="D10" s="17">
        <f t="shared" ca="1" si="2"/>
        <v>0</v>
      </c>
    </row>
    <row r="11" spans="1:4" x14ac:dyDescent="0.25">
      <c r="A11" s="4">
        <f t="shared" si="0"/>
        <v>32</v>
      </c>
      <c r="B11" t="str">
        <f ca="1">TEXT(DATE(YEAR(Invoer!$A$5),1,1)+ROWS(B$2:B11)-1,"jjjjmmdd")</f>
        <v>19270110</v>
      </c>
      <c r="C11" s="18">
        <f t="shared" ca="1" si="1"/>
        <v>764.5</v>
      </c>
      <c r="D11" s="17">
        <f t="shared" ca="1" si="2"/>
        <v>0</v>
      </c>
    </row>
    <row r="12" spans="1:4" x14ac:dyDescent="0.25">
      <c r="A12" s="4">
        <f t="shared" si="0"/>
        <v>32</v>
      </c>
      <c r="B12" t="str">
        <f ca="1">TEXT(DATE(YEAR(Invoer!$A$5),1,1)+ROWS(B$2:B12)-1,"jjjjmmdd")</f>
        <v>19270111</v>
      </c>
      <c r="C12" s="18">
        <f t="shared" ca="1" si="1"/>
        <v>765</v>
      </c>
      <c r="D12" s="17">
        <f t="shared" ca="1" si="2"/>
        <v>0</v>
      </c>
    </row>
    <row r="13" spans="1:4" x14ac:dyDescent="0.25">
      <c r="A13" s="4">
        <f t="shared" si="0"/>
        <v>32</v>
      </c>
      <c r="B13" t="str">
        <f ca="1">TEXT(DATE(YEAR(Invoer!$A$5),1,1)+ROWS(B$2:B13)-1,"jjjjmmdd")</f>
        <v>19270112</v>
      </c>
      <c r="C13" s="18">
        <f t="shared" ca="1" si="1"/>
        <v>764.5</v>
      </c>
      <c r="D13" s="17">
        <f t="shared" ca="1" si="2"/>
        <v>0</v>
      </c>
    </row>
    <row r="14" spans="1:4" x14ac:dyDescent="0.25">
      <c r="A14" s="4">
        <f t="shared" si="0"/>
        <v>32</v>
      </c>
      <c r="B14" t="str">
        <f ca="1">TEXT(DATE(YEAR(Invoer!$A$5),1,1)+ROWS(B$2:B14)-1,"jjjjmmdd")</f>
        <v>19270113</v>
      </c>
      <c r="C14" s="18">
        <f t="shared" ca="1" si="1"/>
        <v>765.5</v>
      </c>
      <c r="D14" s="17">
        <f t="shared" ca="1" si="2"/>
        <v>0</v>
      </c>
    </row>
    <row r="15" spans="1:4" x14ac:dyDescent="0.25">
      <c r="A15" s="4">
        <f t="shared" si="0"/>
        <v>32</v>
      </c>
      <c r="B15" t="str">
        <f ca="1">TEXT(DATE(YEAR(Invoer!$A$5),1,1)+ROWS(B$2:B15)-1,"jjjjmmdd")</f>
        <v>19270114</v>
      </c>
      <c r="C15" s="18">
        <f t="shared" ca="1" si="1"/>
        <v>764.5</v>
      </c>
      <c r="D15" s="17">
        <f t="shared" ca="1" si="2"/>
        <v>0</v>
      </c>
    </row>
    <row r="16" spans="1:4" x14ac:dyDescent="0.25">
      <c r="A16" s="4">
        <f t="shared" si="0"/>
        <v>32</v>
      </c>
      <c r="B16" t="str">
        <f ca="1">TEXT(DATE(YEAR(Invoer!$A$5),1,1)+ROWS(B$2:B16)-1,"jjjjmmdd")</f>
        <v>19270115</v>
      </c>
      <c r="C16" s="18">
        <f t="shared" ca="1" si="1"/>
        <v>765</v>
      </c>
      <c r="D16" s="17">
        <f t="shared" ca="1" si="2"/>
        <v>0</v>
      </c>
    </row>
    <row r="17" spans="1:4" x14ac:dyDescent="0.25">
      <c r="A17" s="4">
        <f t="shared" si="0"/>
        <v>32</v>
      </c>
      <c r="B17" t="str">
        <f ca="1">TEXT(DATE(YEAR(Invoer!$A$5),1,1)+ROWS(B$2:B17)-1,"jjjjmmdd")</f>
        <v>19270116</v>
      </c>
      <c r="C17" s="18">
        <f t="shared" ca="1" si="1"/>
        <v>765</v>
      </c>
      <c r="D17" s="17">
        <f t="shared" ca="1" si="2"/>
        <v>0</v>
      </c>
    </row>
    <row r="18" spans="1:4" x14ac:dyDescent="0.25">
      <c r="A18" s="4">
        <f t="shared" si="0"/>
        <v>32</v>
      </c>
      <c r="B18" t="str">
        <f ca="1">TEXT(DATE(YEAR(Invoer!$A$5),1,1)+ROWS(B$2:B18)-1,"jjjjmmdd")</f>
        <v>19270117</v>
      </c>
      <c r="C18" s="18">
        <f t="shared" ca="1" si="1"/>
        <v>765.5</v>
      </c>
      <c r="D18" s="17">
        <f t="shared" ca="1" si="2"/>
        <v>0</v>
      </c>
    </row>
    <row r="19" spans="1:4" x14ac:dyDescent="0.25">
      <c r="A19" s="4">
        <f t="shared" si="0"/>
        <v>32</v>
      </c>
      <c r="B19" t="str">
        <f ca="1">TEXT(DATE(YEAR(Invoer!$A$5),1,1)+ROWS(B$2:B19)-1,"jjjjmmdd")</f>
        <v>19270118</v>
      </c>
      <c r="C19" s="18">
        <f t="shared" ca="1" si="1"/>
        <v>765.5</v>
      </c>
      <c r="D19" s="17">
        <f t="shared" ca="1" si="2"/>
        <v>0</v>
      </c>
    </row>
    <row r="20" spans="1:4" x14ac:dyDescent="0.25">
      <c r="A20" s="4">
        <f t="shared" si="0"/>
        <v>32</v>
      </c>
      <c r="B20" t="str">
        <f ca="1">TEXT(DATE(YEAR(Invoer!$A$5),1,1)+ROWS(B$2:B20)-1,"jjjjmmdd")</f>
        <v>19270119</v>
      </c>
      <c r="C20" s="18">
        <f t="shared" ca="1" si="1"/>
        <v>765</v>
      </c>
      <c r="D20" s="17">
        <f t="shared" ca="1" si="2"/>
        <v>0</v>
      </c>
    </row>
    <row r="21" spans="1:4" x14ac:dyDescent="0.25">
      <c r="A21" s="4">
        <f t="shared" si="0"/>
        <v>32</v>
      </c>
      <c r="B21" t="str">
        <f ca="1">TEXT(DATE(YEAR(Invoer!$A$5),1,1)+ROWS(B$2:B21)-1,"jjjjmmdd")</f>
        <v>19270120</v>
      </c>
      <c r="C21" s="18">
        <f t="shared" ca="1" si="1"/>
        <v>765.5</v>
      </c>
      <c r="D21" s="17">
        <f t="shared" ca="1" si="2"/>
        <v>0</v>
      </c>
    </row>
    <row r="22" spans="1:4" x14ac:dyDescent="0.25">
      <c r="A22" s="4">
        <f t="shared" si="0"/>
        <v>32</v>
      </c>
      <c r="B22" t="str">
        <f ca="1">TEXT(DATE(YEAR(Invoer!$A$5),1,1)+ROWS(B$2:B22)-1,"jjjjmmdd")</f>
        <v>19270121</v>
      </c>
      <c r="C22" s="18">
        <f t="shared" ca="1" si="1"/>
        <v>766</v>
      </c>
      <c r="D22" s="17">
        <f t="shared" ca="1" si="2"/>
        <v>0</v>
      </c>
    </row>
    <row r="23" spans="1:4" x14ac:dyDescent="0.25">
      <c r="A23" s="4">
        <f t="shared" si="0"/>
        <v>32</v>
      </c>
      <c r="B23" t="str">
        <f ca="1">TEXT(DATE(YEAR(Invoer!$A$5),1,1)+ROWS(B$2:B23)-1,"jjjjmmdd")</f>
        <v>19270122</v>
      </c>
      <c r="C23" s="18">
        <f t="shared" ca="1" si="1"/>
        <v>766.5</v>
      </c>
      <c r="D23" s="17">
        <f t="shared" ca="1" si="2"/>
        <v>0</v>
      </c>
    </row>
    <row r="24" spans="1:4" x14ac:dyDescent="0.25">
      <c r="A24" s="4">
        <f t="shared" si="0"/>
        <v>32</v>
      </c>
      <c r="B24" t="str">
        <f ca="1">TEXT(DATE(YEAR(Invoer!$A$5),1,1)+ROWS(B$2:B24)-1,"jjjjmmdd")</f>
        <v>19270123</v>
      </c>
      <c r="C24" s="18">
        <f t="shared" ca="1" si="1"/>
        <v>766.5</v>
      </c>
      <c r="D24" s="17">
        <f t="shared" ca="1" si="2"/>
        <v>0</v>
      </c>
    </row>
    <row r="25" spans="1:4" x14ac:dyDescent="0.25">
      <c r="A25" s="4">
        <f t="shared" si="0"/>
        <v>32</v>
      </c>
      <c r="B25" t="str">
        <f ca="1">TEXT(DATE(YEAR(Invoer!$A$5),1,1)+ROWS(B$2:B25)-1,"jjjjmmdd")</f>
        <v>19270124</v>
      </c>
      <c r="C25" s="18">
        <f t="shared" ca="1" si="1"/>
        <v>766.5</v>
      </c>
      <c r="D25" s="17">
        <f t="shared" ca="1" si="2"/>
        <v>0</v>
      </c>
    </row>
    <row r="26" spans="1:4" x14ac:dyDescent="0.25">
      <c r="A26" s="4">
        <f t="shared" si="0"/>
        <v>32</v>
      </c>
      <c r="B26" t="str">
        <f ca="1">TEXT(DATE(YEAR(Invoer!$A$5),1,1)+ROWS(B$2:B26)-1,"jjjjmmdd")</f>
        <v>19270125</v>
      </c>
      <c r="C26" s="18">
        <f t="shared" ca="1" si="1"/>
        <v>766</v>
      </c>
      <c r="D26" s="17">
        <f t="shared" ca="1" si="2"/>
        <v>0</v>
      </c>
    </row>
    <row r="27" spans="1:4" x14ac:dyDescent="0.25">
      <c r="A27" s="4">
        <f t="shared" si="0"/>
        <v>32</v>
      </c>
      <c r="B27" t="str">
        <f ca="1">TEXT(DATE(YEAR(Invoer!$A$5),1,1)+ROWS(B$2:B27)-1,"jjjjmmdd")</f>
        <v>19270126</v>
      </c>
      <c r="C27" s="18">
        <f t="shared" ca="1" si="1"/>
        <v>766</v>
      </c>
      <c r="D27" s="17">
        <f t="shared" ca="1" si="2"/>
        <v>0</v>
      </c>
    </row>
    <row r="28" spans="1:4" x14ac:dyDescent="0.25">
      <c r="A28" s="4">
        <f t="shared" si="0"/>
        <v>32</v>
      </c>
      <c r="B28" t="str">
        <f ca="1">TEXT(DATE(YEAR(Invoer!$A$5),1,1)+ROWS(B$2:B28)-1,"jjjjmmdd")</f>
        <v>19270127</v>
      </c>
      <c r="C28" s="18">
        <f t="shared" ca="1" si="1"/>
        <v>766.5</v>
      </c>
      <c r="D28" s="17">
        <f t="shared" ca="1" si="2"/>
        <v>0</v>
      </c>
    </row>
    <row r="29" spans="1:4" x14ac:dyDescent="0.25">
      <c r="A29" s="4">
        <f t="shared" si="0"/>
        <v>32</v>
      </c>
      <c r="B29" t="str">
        <f ca="1">TEXT(DATE(YEAR(Invoer!$A$5),1,1)+ROWS(B$2:B29)-1,"jjjjmmdd")</f>
        <v>19270128</v>
      </c>
      <c r="C29" s="18">
        <f t="shared" ca="1" si="1"/>
        <v>766</v>
      </c>
      <c r="D29" s="17">
        <f t="shared" ca="1" si="2"/>
        <v>0</v>
      </c>
    </row>
    <row r="30" spans="1:4" x14ac:dyDescent="0.25">
      <c r="A30" s="4">
        <f t="shared" si="0"/>
        <v>32</v>
      </c>
      <c r="B30" t="str">
        <f ca="1">TEXT(DATE(YEAR(Invoer!$A$5),1,1)+ROWS(B$2:B30)-1,"jjjjmmdd")</f>
        <v>19270129</v>
      </c>
      <c r="C30" s="18">
        <f t="shared" ca="1" si="1"/>
        <v>766</v>
      </c>
      <c r="D30" s="17">
        <f t="shared" ca="1" si="2"/>
        <v>0</v>
      </c>
    </row>
    <row r="31" spans="1:4" x14ac:dyDescent="0.25">
      <c r="A31" s="4">
        <f t="shared" si="0"/>
        <v>32</v>
      </c>
      <c r="B31" t="str">
        <f ca="1">TEXT(DATE(YEAR(Invoer!$A$5),1,1)+ROWS(B$2:B31)-1,"jjjjmmdd")</f>
        <v>19270130</v>
      </c>
      <c r="C31" s="18">
        <f t="shared" ca="1" si="1"/>
        <v>765.5</v>
      </c>
      <c r="D31" s="17">
        <f t="shared" ca="1" si="2"/>
        <v>0</v>
      </c>
    </row>
    <row r="32" spans="1:4" x14ac:dyDescent="0.25">
      <c r="A32" s="4">
        <f t="shared" si="0"/>
        <v>32</v>
      </c>
      <c r="B32" t="str">
        <f ca="1">TEXT(DATE(YEAR(Invoer!$A$5),1,1)+ROWS(B$2:B32)-1,"jjjjmmdd")</f>
        <v>19270131</v>
      </c>
      <c r="C32" s="18">
        <f t="shared" ca="1" si="1"/>
        <v>766</v>
      </c>
      <c r="D32" s="17">
        <f t="shared" ca="1" si="2"/>
        <v>0</v>
      </c>
    </row>
    <row r="33" spans="1:4" x14ac:dyDescent="0.25">
      <c r="A33" s="4">
        <f t="shared" si="0"/>
        <v>32</v>
      </c>
      <c r="B33" t="str">
        <f ca="1">TEXT(DATE(YEAR(Invoer!$A$5),1,1)+ROWS(B$2:B33)-1,"jjjjmmdd")</f>
        <v>19270201</v>
      </c>
      <c r="C33" s="18">
        <f t="shared" ca="1" si="1"/>
        <v>766.5</v>
      </c>
      <c r="D33" s="17">
        <f t="shared" ca="1" si="2"/>
        <v>0</v>
      </c>
    </row>
    <row r="34" spans="1:4" x14ac:dyDescent="0.25">
      <c r="A34" s="4">
        <f t="shared" si="0"/>
        <v>32</v>
      </c>
      <c r="B34" t="str">
        <f ca="1">TEXT(DATE(YEAR(Invoer!$A$5),1,1)+ROWS(B$2:B34)-1,"jjjjmmdd")</f>
        <v>19270202</v>
      </c>
      <c r="C34" s="18">
        <f t="shared" ca="1" si="1"/>
        <v>765.5</v>
      </c>
      <c r="D34" s="17">
        <f t="shared" ca="1" si="2"/>
        <v>0</v>
      </c>
    </row>
    <row r="35" spans="1:4" x14ac:dyDescent="0.25">
      <c r="A35" s="4">
        <f t="shared" si="0"/>
        <v>32</v>
      </c>
      <c r="B35" t="str">
        <f ca="1">TEXT(DATE(YEAR(Invoer!$A$5),1,1)+ROWS(B$2:B35)-1,"jjjjmmdd")</f>
        <v>19270203</v>
      </c>
      <c r="C35" s="18">
        <f t="shared" ca="1" si="1"/>
        <v>766</v>
      </c>
      <c r="D35" s="17">
        <f t="shared" ca="1" si="2"/>
        <v>0</v>
      </c>
    </row>
    <row r="36" spans="1:4" x14ac:dyDescent="0.25">
      <c r="A36" s="4">
        <f t="shared" si="0"/>
        <v>32</v>
      </c>
      <c r="B36" t="str">
        <f ca="1">TEXT(DATE(YEAR(Invoer!$A$5),1,1)+ROWS(B$2:B36)-1,"jjjjmmdd")</f>
        <v>19270204</v>
      </c>
      <c r="C36" s="18">
        <f t="shared" ca="1" si="1"/>
        <v>766.5</v>
      </c>
      <c r="D36" s="17">
        <f t="shared" ca="1" si="2"/>
        <v>0</v>
      </c>
    </row>
    <row r="37" spans="1:4" x14ac:dyDescent="0.25">
      <c r="A37" s="4">
        <f t="shared" si="0"/>
        <v>32</v>
      </c>
      <c r="B37" t="str">
        <f ca="1">TEXT(DATE(YEAR(Invoer!$A$5),1,1)+ROWS(B$2:B37)-1,"jjjjmmdd")</f>
        <v>19270205</v>
      </c>
      <c r="C37" s="18">
        <f t="shared" ca="1" si="1"/>
        <v>767</v>
      </c>
      <c r="D37" s="17">
        <f t="shared" ca="1" si="2"/>
        <v>0</v>
      </c>
    </row>
    <row r="38" spans="1:4" x14ac:dyDescent="0.25">
      <c r="A38" s="4">
        <f t="shared" si="0"/>
        <v>32</v>
      </c>
      <c r="B38" t="str">
        <f ca="1">TEXT(DATE(YEAR(Invoer!$A$5),1,1)+ROWS(B$2:B38)-1,"jjjjmmdd")</f>
        <v>19270206</v>
      </c>
      <c r="C38" s="18">
        <f t="shared" ca="1" si="1"/>
        <v>766</v>
      </c>
      <c r="D38" s="17">
        <f t="shared" ca="1" si="2"/>
        <v>0</v>
      </c>
    </row>
    <row r="39" spans="1:4" x14ac:dyDescent="0.25">
      <c r="A39" s="4">
        <f t="shared" si="0"/>
        <v>32</v>
      </c>
      <c r="B39" t="str">
        <f ca="1">TEXT(DATE(YEAR(Invoer!$A$5),1,1)+ROWS(B$2:B39)-1,"jjjjmmdd")</f>
        <v>19270207</v>
      </c>
      <c r="C39" s="18">
        <f t="shared" ca="1" si="1"/>
        <v>767</v>
      </c>
      <c r="D39" s="17">
        <f t="shared" ca="1" si="2"/>
        <v>0</v>
      </c>
    </row>
    <row r="40" spans="1:4" x14ac:dyDescent="0.25">
      <c r="A40" s="4">
        <f t="shared" si="0"/>
        <v>32</v>
      </c>
      <c r="B40" t="str">
        <f ca="1">TEXT(DATE(YEAR(Invoer!$A$5),1,1)+ROWS(B$2:B40)-1,"jjjjmmdd")</f>
        <v>19270208</v>
      </c>
      <c r="C40" s="18">
        <f t="shared" ca="1" si="1"/>
        <v>767</v>
      </c>
      <c r="D40" s="17">
        <f t="shared" ca="1" si="2"/>
        <v>0</v>
      </c>
    </row>
    <row r="41" spans="1:4" x14ac:dyDescent="0.25">
      <c r="A41" s="4">
        <f t="shared" si="0"/>
        <v>32</v>
      </c>
      <c r="B41" t="str">
        <f ca="1">TEXT(DATE(YEAR(Invoer!$A$5),1,1)+ROWS(B$2:B41)-1,"jjjjmmdd")</f>
        <v>19270209</v>
      </c>
      <c r="C41" s="18">
        <f t="shared" ca="1" si="1"/>
        <v>767.5</v>
      </c>
      <c r="D41" s="17">
        <f t="shared" ca="1" si="2"/>
        <v>0</v>
      </c>
    </row>
    <row r="42" spans="1:4" x14ac:dyDescent="0.25">
      <c r="A42" s="4">
        <f t="shared" si="0"/>
        <v>32</v>
      </c>
      <c r="B42" t="str">
        <f ca="1">TEXT(DATE(YEAR(Invoer!$A$5),1,1)+ROWS(B$2:B42)-1,"jjjjmmdd")</f>
        <v>19270210</v>
      </c>
      <c r="C42" s="18">
        <f t="shared" ca="1" si="1"/>
        <v>766.5</v>
      </c>
      <c r="D42" s="17">
        <f t="shared" ca="1" si="2"/>
        <v>0</v>
      </c>
    </row>
    <row r="43" spans="1:4" x14ac:dyDescent="0.25">
      <c r="A43" s="4">
        <f t="shared" si="0"/>
        <v>32</v>
      </c>
      <c r="B43" t="str">
        <f ca="1">TEXT(DATE(YEAR(Invoer!$A$5),1,1)+ROWS(B$2:B43)-1,"jjjjmmdd")</f>
        <v>19270211</v>
      </c>
      <c r="C43" s="18">
        <f t="shared" ca="1" si="1"/>
        <v>766.5</v>
      </c>
      <c r="D43" s="17">
        <f t="shared" ca="1" si="2"/>
        <v>0</v>
      </c>
    </row>
    <row r="44" spans="1:4" x14ac:dyDescent="0.25">
      <c r="A44" s="4">
        <f t="shared" si="0"/>
        <v>32</v>
      </c>
      <c r="B44" t="str">
        <f ca="1">TEXT(DATE(YEAR(Invoer!$A$5),1,1)+ROWS(B$2:B44)-1,"jjjjmmdd")</f>
        <v>19270212</v>
      </c>
      <c r="C44" s="18">
        <f t="shared" ca="1" si="1"/>
        <v>768</v>
      </c>
      <c r="D44" s="17">
        <f t="shared" ca="1" si="2"/>
        <v>0</v>
      </c>
    </row>
    <row r="45" spans="1:4" x14ac:dyDescent="0.25">
      <c r="A45" s="4">
        <f t="shared" si="0"/>
        <v>32</v>
      </c>
      <c r="B45" t="str">
        <f ca="1">TEXT(DATE(YEAR(Invoer!$A$5),1,1)+ROWS(B$2:B45)-1,"jjjjmmdd")</f>
        <v>19270213</v>
      </c>
      <c r="C45" s="18">
        <f t="shared" ca="1" si="1"/>
        <v>768</v>
      </c>
      <c r="D45" s="17">
        <f t="shared" ca="1" si="2"/>
        <v>0</v>
      </c>
    </row>
    <row r="46" spans="1:4" x14ac:dyDescent="0.25">
      <c r="A46" s="4">
        <f t="shared" si="0"/>
        <v>32</v>
      </c>
      <c r="B46" t="str">
        <f ca="1">TEXT(DATE(YEAR(Invoer!$A$5),1,1)+ROWS(B$2:B46)-1,"jjjjmmdd")</f>
        <v>19270214</v>
      </c>
      <c r="C46" s="18">
        <f t="shared" ca="1" si="1"/>
        <v>768</v>
      </c>
      <c r="D46" s="17">
        <f t="shared" ca="1" si="2"/>
        <v>0</v>
      </c>
    </row>
    <row r="47" spans="1:4" x14ac:dyDescent="0.25">
      <c r="A47" s="4">
        <f t="shared" si="0"/>
        <v>32</v>
      </c>
      <c r="B47" t="str">
        <f ca="1">TEXT(DATE(YEAR(Invoer!$A$5),1,1)+ROWS(B$2:B47)-1,"jjjjmmdd")</f>
        <v>19270215</v>
      </c>
      <c r="C47" s="18">
        <f t="shared" ca="1" si="1"/>
        <v>767</v>
      </c>
      <c r="D47" s="17">
        <f t="shared" ca="1" si="2"/>
        <v>0</v>
      </c>
    </row>
    <row r="48" spans="1:4" x14ac:dyDescent="0.25">
      <c r="A48" s="4">
        <f t="shared" si="0"/>
        <v>32</v>
      </c>
      <c r="B48" t="str">
        <f ca="1">TEXT(DATE(YEAR(Invoer!$A$5),1,1)+ROWS(B$2:B48)-1,"jjjjmmdd")</f>
        <v>19270216</v>
      </c>
      <c r="C48" s="18">
        <f t="shared" ca="1" si="1"/>
        <v>768</v>
      </c>
      <c r="D48" s="17">
        <f t="shared" ca="1" si="2"/>
        <v>0</v>
      </c>
    </row>
    <row r="49" spans="1:4" x14ac:dyDescent="0.25">
      <c r="A49" s="4">
        <f t="shared" si="0"/>
        <v>32</v>
      </c>
      <c r="B49" t="str">
        <f ca="1">TEXT(DATE(YEAR(Invoer!$A$5),1,1)+ROWS(B$2:B49)-1,"jjjjmmdd")</f>
        <v>19270217</v>
      </c>
      <c r="C49" s="18">
        <f t="shared" ca="1" si="1"/>
        <v>767</v>
      </c>
      <c r="D49" s="17">
        <f t="shared" ca="1" si="2"/>
        <v>0</v>
      </c>
    </row>
    <row r="50" spans="1:4" x14ac:dyDescent="0.25">
      <c r="A50" s="4">
        <f t="shared" si="0"/>
        <v>32</v>
      </c>
      <c r="B50" t="str">
        <f ca="1">TEXT(DATE(YEAR(Invoer!$A$5),1,1)+ROWS(B$2:B50)-1,"jjjjmmdd")</f>
        <v>19270218</v>
      </c>
      <c r="C50" s="18">
        <f t="shared" ca="1" si="1"/>
        <v>767.5</v>
      </c>
      <c r="D50" s="17">
        <f t="shared" ca="1" si="2"/>
        <v>0</v>
      </c>
    </row>
    <row r="51" spans="1:4" x14ac:dyDescent="0.25">
      <c r="A51" s="4">
        <f t="shared" si="0"/>
        <v>32</v>
      </c>
      <c r="B51" t="str">
        <f ca="1">TEXT(DATE(YEAR(Invoer!$A$5),1,1)+ROWS(B$2:B51)-1,"jjjjmmdd")</f>
        <v>19270219</v>
      </c>
      <c r="C51" s="18">
        <f t="shared" ca="1" si="1"/>
        <v>767.5</v>
      </c>
      <c r="D51" s="17">
        <f t="shared" ca="1" si="2"/>
        <v>0</v>
      </c>
    </row>
    <row r="52" spans="1:4" x14ac:dyDescent="0.25">
      <c r="A52" s="4">
        <f t="shared" si="0"/>
        <v>32</v>
      </c>
      <c r="B52" t="str">
        <f ca="1">TEXT(DATE(YEAR(Invoer!$A$5),1,1)+ROWS(B$2:B52)-1,"jjjjmmdd")</f>
        <v>19270220</v>
      </c>
      <c r="C52" s="18">
        <f t="shared" ca="1" si="1"/>
        <v>768.5</v>
      </c>
      <c r="D52" s="17">
        <f t="shared" ca="1" si="2"/>
        <v>0</v>
      </c>
    </row>
    <row r="53" spans="1:4" x14ac:dyDescent="0.25">
      <c r="A53" s="4">
        <f t="shared" si="0"/>
        <v>32</v>
      </c>
      <c r="B53" t="str">
        <f ca="1">TEXT(DATE(YEAR(Invoer!$A$5),1,1)+ROWS(B$2:B53)-1,"jjjjmmdd")</f>
        <v>19270221</v>
      </c>
      <c r="C53" s="18">
        <f t="shared" ca="1" si="1"/>
        <v>768</v>
      </c>
      <c r="D53" s="17">
        <f t="shared" ca="1" si="2"/>
        <v>0</v>
      </c>
    </row>
    <row r="54" spans="1:4" x14ac:dyDescent="0.25">
      <c r="A54" s="4">
        <f t="shared" si="0"/>
        <v>32</v>
      </c>
      <c r="B54" t="str">
        <f ca="1">TEXT(DATE(YEAR(Invoer!$A$5),1,1)+ROWS(B$2:B54)-1,"jjjjmmdd")</f>
        <v>19270222</v>
      </c>
      <c r="C54" s="18">
        <f t="shared" ca="1" si="1"/>
        <v>768</v>
      </c>
      <c r="D54" s="17">
        <f t="shared" ca="1" si="2"/>
        <v>0</v>
      </c>
    </row>
    <row r="55" spans="1:4" x14ac:dyDescent="0.25">
      <c r="A55" s="4">
        <f t="shared" si="0"/>
        <v>32</v>
      </c>
      <c r="B55" t="str">
        <f ca="1">TEXT(DATE(YEAR(Invoer!$A$5),1,1)+ROWS(B$2:B55)-1,"jjjjmmdd")</f>
        <v>19270223</v>
      </c>
      <c r="C55" s="18">
        <f t="shared" ca="1" si="1"/>
        <v>768</v>
      </c>
      <c r="D55" s="17">
        <f t="shared" ca="1" si="2"/>
        <v>0</v>
      </c>
    </row>
    <row r="56" spans="1:4" x14ac:dyDescent="0.25">
      <c r="A56" s="4">
        <f t="shared" si="0"/>
        <v>32</v>
      </c>
      <c r="B56" t="str">
        <f ca="1">TEXT(DATE(YEAR(Invoer!$A$5),1,1)+ROWS(B$2:B56)-1,"jjjjmmdd")</f>
        <v>19270224</v>
      </c>
      <c r="C56" s="18">
        <f t="shared" ca="1" si="1"/>
        <v>767.5</v>
      </c>
      <c r="D56" s="17">
        <f t="shared" ca="1" si="2"/>
        <v>0</v>
      </c>
    </row>
    <row r="57" spans="1:4" x14ac:dyDescent="0.25">
      <c r="A57" s="4">
        <f t="shared" si="0"/>
        <v>32</v>
      </c>
      <c r="B57" t="str">
        <f ca="1">TEXT(DATE(YEAR(Invoer!$A$5),1,1)+ROWS(B$2:B57)-1,"jjjjmmdd")</f>
        <v>19270225</v>
      </c>
      <c r="C57" s="18">
        <f t="shared" ca="1" si="1"/>
        <v>767</v>
      </c>
      <c r="D57" s="17">
        <f t="shared" ca="1" si="2"/>
        <v>0</v>
      </c>
    </row>
    <row r="58" spans="1:4" x14ac:dyDescent="0.25">
      <c r="A58" s="4">
        <f t="shared" si="0"/>
        <v>32</v>
      </c>
      <c r="B58" t="str">
        <f ca="1">TEXT(DATE(YEAR(Invoer!$A$5),1,1)+ROWS(B$2:B58)-1,"jjjjmmdd")</f>
        <v>19270226</v>
      </c>
      <c r="C58" s="18">
        <f t="shared" ca="1" si="1"/>
        <v>766.5</v>
      </c>
      <c r="D58" s="17">
        <f t="shared" ca="1" si="2"/>
        <v>0</v>
      </c>
    </row>
    <row r="59" spans="1:4" x14ac:dyDescent="0.25">
      <c r="A59" s="4">
        <f t="shared" si="0"/>
        <v>32</v>
      </c>
      <c r="B59" t="str">
        <f ca="1">TEXT(DATE(YEAR(Invoer!$A$5),1,1)+ROWS(B$2:B59)-1,"jjjjmmdd")</f>
        <v>19270227</v>
      </c>
      <c r="C59" s="18">
        <f t="shared" ca="1" si="1"/>
        <v>767</v>
      </c>
      <c r="D59" s="17">
        <f t="shared" ca="1" si="2"/>
        <v>0</v>
      </c>
    </row>
    <row r="60" spans="1:4" x14ac:dyDescent="0.25">
      <c r="A60" s="4">
        <f t="shared" si="0"/>
        <v>32</v>
      </c>
      <c r="B60" t="str">
        <f ca="1">TEXT(DATE(YEAR(Invoer!$A$5),1,1)+ROWS(B$2:B60)-1,"jjjjmmdd")</f>
        <v>19270228</v>
      </c>
      <c r="C60" s="18">
        <f t="shared" ca="1" si="1"/>
        <v>767.5</v>
      </c>
      <c r="D60" s="17">
        <f t="shared" ca="1" si="2"/>
        <v>0</v>
      </c>
    </row>
    <row r="61" spans="1:4" x14ac:dyDescent="0.25">
      <c r="A61" s="4">
        <f t="shared" si="0"/>
        <v>32</v>
      </c>
      <c r="B61" t="str">
        <f ca="1">TEXT(DATE(YEAR(Invoer!$A$5),1,1)+ROWS(B$2:B61)-1,"jjjjmmdd")</f>
        <v>19270301</v>
      </c>
      <c r="C61" s="18">
        <f t="shared" ca="1" si="1"/>
        <v>767</v>
      </c>
      <c r="D61" s="17">
        <f t="shared" ca="1" si="2"/>
        <v>0</v>
      </c>
    </row>
    <row r="62" spans="1:4" x14ac:dyDescent="0.25">
      <c r="A62" s="4">
        <f t="shared" si="0"/>
        <v>32</v>
      </c>
      <c r="B62" t="str">
        <f ca="1">TEXT(DATE(YEAR(Invoer!$A$5),1,1)+ROWS(B$2:B62)-1,"jjjjmmdd")</f>
        <v>19270302</v>
      </c>
      <c r="C62" s="18">
        <f t="shared" ca="1" si="1"/>
        <v>767.5</v>
      </c>
      <c r="D62" s="17">
        <f t="shared" ca="1" si="2"/>
        <v>0</v>
      </c>
    </row>
    <row r="63" spans="1:4" x14ac:dyDescent="0.25">
      <c r="A63" s="4">
        <f t="shared" si="0"/>
        <v>32</v>
      </c>
      <c r="B63" t="str">
        <f ca="1">TEXT(DATE(YEAR(Invoer!$A$5),1,1)+ROWS(B$2:B63)-1,"jjjjmmdd")</f>
        <v>19270303</v>
      </c>
      <c r="C63" s="18">
        <f t="shared" ca="1" si="1"/>
        <v>767</v>
      </c>
      <c r="D63" s="17">
        <f t="shared" ca="1" si="2"/>
        <v>0</v>
      </c>
    </row>
    <row r="64" spans="1:4" x14ac:dyDescent="0.25">
      <c r="A64" s="4">
        <f t="shared" si="0"/>
        <v>32</v>
      </c>
      <c r="B64" t="str">
        <f ca="1">TEXT(DATE(YEAR(Invoer!$A$5),1,1)+ROWS(B$2:B64)-1,"jjjjmmdd")</f>
        <v>19270304</v>
      </c>
      <c r="C64" s="18">
        <f t="shared" ca="1" si="1"/>
        <v>767.5</v>
      </c>
      <c r="D64" s="17">
        <f t="shared" ca="1" si="2"/>
        <v>0</v>
      </c>
    </row>
    <row r="65" spans="1:4" x14ac:dyDescent="0.25">
      <c r="A65" s="4">
        <f t="shared" si="0"/>
        <v>32</v>
      </c>
      <c r="B65" t="str">
        <f ca="1">TEXT(DATE(YEAR(Invoer!$A$5),1,1)+ROWS(B$2:B65)-1,"jjjjmmdd")</f>
        <v>19270305</v>
      </c>
      <c r="C65" s="18">
        <f t="shared" ca="1" si="1"/>
        <v>768.5</v>
      </c>
      <c r="D65" s="17">
        <f t="shared" ca="1" si="2"/>
        <v>0</v>
      </c>
    </row>
    <row r="66" spans="1:4" x14ac:dyDescent="0.25">
      <c r="A66" s="4">
        <f t="shared" ref="A66:A129" si="3">INDEX(Stations,2,1)</f>
        <v>32</v>
      </c>
      <c r="B66" t="str">
        <f ca="1">TEXT(DATE(YEAR(Invoer!$A$5),1,1)+ROWS(B$2:B66)-1,"jjjjmmdd")</f>
        <v>19270306</v>
      </c>
      <c r="C66" s="18">
        <f t="shared" ref="C66:C129" ca="1" si="4">IF(OR(ISBLANK(VLOOKUP(DATEVALUE(LEFT($B66,4)&amp;"-"&amp;MID($B66,5,2)&amp;"-"&amp;RIGHT($B66,2)),Data,MATCH(LEFT(VLOOKUP(C$1,Parameters,2,FALSE()),4)&amp;"*",OFFSET(Data,0,0,1),0),FALSE())),ISTEXT(VLOOKUP(DATEVALUE(LEFT($B66,4)&amp;"-"&amp;MID($B66,5,2)&amp;"-"&amp;RIGHT($B66,2)),Data,MATCH(LEFT(VLOOKUP(C$1,Parameters,2,FALSE()),4)&amp;"*",OFFSET(Data,0,0,1),0),FALSE()))),"—",VLOOKUP(DATEVALUE(LEFT($B66,4)&amp;"-"&amp;MID($B66,5,2)&amp;"-"&amp;RIGHT($B66,2)),Data,MATCH(LEFT(VLOOKUP(C$1,Parameters,2,FALSE()),4)&amp;"*",OFFSET(Data,0,0,1),0),FALSE())/10)</f>
        <v>768</v>
      </c>
      <c r="D66" s="17">
        <f t="shared" ref="D66:D129" ca="1" si="5">IF(OR(ISBLANK(VLOOKUP(DATEVALUE(LEFT($B66,4)&amp;"-"&amp;MID($B66,5,2)&amp;"-"&amp;RIGHT($B66,2)),Data,MATCH(LEFT(VLOOKUP(MID(D$1,2,LEN(D$1)-1),Parameters,2,FALSE()),4)&amp;"*",OFFSET(Data,0,0,1),0),FALSE())),ISTEXT(VLOOKUP(DATEVALUE(LEFT($B66,4)&amp;"-"&amp;MID($B66,5,2)&amp;"-"&amp;RIGHT($B66,2)),Data,MATCH(LEFT(VLOOKUP(MID(D$1,2,LEN(D$1)-1),Parameters,2,FALSE()),4)&amp;"*",OFFSET(Data,0,0,1),0),FALSE()))),Lacking,IF(ISNA(MATCH(DATEVALUE(LEFT($B66,4)&amp;"-"&amp;MID($B66,5,2)&amp;"-"&amp;RIGHT($B66,2)),OFFSET(Catalogus,0,0,,1),0)),Ok,VLOOKUP(DATEVALUE(LEFT($B66,4)&amp;"-"&amp;MID($B66,5,2)&amp;"-"&amp;RIGHT($B66,2)),Catalogus,MATCH(LEFT(VLOOKUP(MID(D$1,2,LEN(D$1)-1),Parameters,2,FALSE()),4)&amp;"*",OFFSET(Catalogus,0,0,1),0),FALSE())))</f>
        <v>0</v>
      </c>
    </row>
    <row r="67" spans="1:4" x14ac:dyDescent="0.25">
      <c r="A67" s="4">
        <f t="shared" si="3"/>
        <v>32</v>
      </c>
      <c r="B67" t="str">
        <f ca="1">TEXT(DATE(YEAR(Invoer!$A$5),1,1)+ROWS(B$2:B67)-1,"jjjjmmdd")</f>
        <v>19270307</v>
      </c>
      <c r="C67" s="18">
        <f t="shared" ca="1" si="4"/>
        <v>767.5</v>
      </c>
      <c r="D67" s="17">
        <f t="shared" ca="1" si="5"/>
        <v>0</v>
      </c>
    </row>
    <row r="68" spans="1:4" x14ac:dyDescent="0.25">
      <c r="A68" s="4">
        <f t="shared" si="3"/>
        <v>32</v>
      </c>
      <c r="B68" t="str">
        <f ca="1">TEXT(DATE(YEAR(Invoer!$A$5),1,1)+ROWS(B$2:B68)-1,"jjjjmmdd")</f>
        <v>19270308</v>
      </c>
      <c r="C68" s="18">
        <f t="shared" ca="1" si="4"/>
        <v>767</v>
      </c>
      <c r="D68" s="17">
        <f t="shared" ca="1" si="5"/>
        <v>0</v>
      </c>
    </row>
    <row r="69" spans="1:4" x14ac:dyDescent="0.25">
      <c r="A69" s="4">
        <f t="shared" si="3"/>
        <v>32</v>
      </c>
      <c r="B69" t="str">
        <f ca="1">TEXT(DATE(YEAR(Invoer!$A$5),1,1)+ROWS(B$2:B69)-1,"jjjjmmdd")</f>
        <v>19270309</v>
      </c>
      <c r="C69" s="18">
        <f t="shared" ca="1" si="4"/>
        <v>767</v>
      </c>
      <c r="D69" s="17">
        <f t="shared" ca="1" si="5"/>
        <v>0</v>
      </c>
    </row>
    <row r="70" spans="1:4" x14ac:dyDescent="0.25">
      <c r="A70" s="4">
        <f t="shared" si="3"/>
        <v>32</v>
      </c>
      <c r="B70" t="str">
        <f ca="1">TEXT(DATE(YEAR(Invoer!$A$5),1,1)+ROWS(B$2:B70)-1,"jjjjmmdd")</f>
        <v>19270310</v>
      </c>
      <c r="C70" s="18">
        <f t="shared" ca="1" si="4"/>
        <v>767</v>
      </c>
      <c r="D70" s="17">
        <f t="shared" ca="1" si="5"/>
        <v>0</v>
      </c>
    </row>
    <row r="71" spans="1:4" x14ac:dyDescent="0.25">
      <c r="A71" s="4">
        <f t="shared" si="3"/>
        <v>32</v>
      </c>
      <c r="B71" t="str">
        <f ca="1">TEXT(DATE(YEAR(Invoer!$A$5),1,1)+ROWS(B$2:B71)-1,"jjjjmmdd")</f>
        <v>19270311</v>
      </c>
      <c r="C71" s="18">
        <f t="shared" ca="1" si="4"/>
        <v>767</v>
      </c>
      <c r="D71" s="17">
        <f t="shared" ca="1" si="5"/>
        <v>0</v>
      </c>
    </row>
    <row r="72" spans="1:4" x14ac:dyDescent="0.25">
      <c r="A72" s="4">
        <f t="shared" si="3"/>
        <v>32</v>
      </c>
      <c r="B72" t="str">
        <f ca="1">TEXT(DATE(YEAR(Invoer!$A$5),1,1)+ROWS(B$2:B72)-1,"jjjjmmdd")</f>
        <v>19270312</v>
      </c>
      <c r="C72" s="18">
        <f t="shared" ca="1" si="4"/>
        <v>765.5</v>
      </c>
      <c r="D72" s="17">
        <f t="shared" ca="1" si="5"/>
        <v>0</v>
      </c>
    </row>
    <row r="73" spans="1:4" x14ac:dyDescent="0.25">
      <c r="A73" s="4">
        <f t="shared" si="3"/>
        <v>32</v>
      </c>
      <c r="B73" t="str">
        <f ca="1">TEXT(DATE(YEAR(Invoer!$A$5),1,1)+ROWS(B$2:B73)-1,"jjjjmmdd")</f>
        <v>19270313</v>
      </c>
      <c r="C73" s="18">
        <f t="shared" ca="1" si="4"/>
        <v>765</v>
      </c>
      <c r="D73" s="17">
        <f t="shared" ca="1" si="5"/>
        <v>0</v>
      </c>
    </row>
    <row r="74" spans="1:4" x14ac:dyDescent="0.25">
      <c r="A74" s="4">
        <f t="shared" si="3"/>
        <v>32</v>
      </c>
      <c r="B74" t="str">
        <f ca="1">TEXT(DATE(YEAR(Invoer!$A$5),1,1)+ROWS(B$2:B74)-1,"jjjjmmdd")</f>
        <v>19270314</v>
      </c>
      <c r="C74" s="18">
        <f t="shared" ca="1" si="4"/>
        <v>766.5</v>
      </c>
      <c r="D74" s="17">
        <f t="shared" ca="1" si="5"/>
        <v>0</v>
      </c>
    </row>
    <row r="75" spans="1:4" x14ac:dyDescent="0.25">
      <c r="A75" s="4">
        <f t="shared" si="3"/>
        <v>32</v>
      </c>
      <c r="B75" t="str">
        <f ca="1">TEXT(DATE(YEAR(Invoer!$A$5),1,1)+ROWS(B$2:B75)-1,"jjjjmmdd")</f>
        <v>19270315</v>
      </c>
      <c r="C75" s="18">
        <f t="shared" ca="1" si="4"/>
        <v>765.5</v>
      </c>
      <c r="D75" s="17">
        <f t="shared" ca="1" si="5"/>
        <v>0</v>
      </c>
    </row>
    <row r="76" spans="1:4" x14ac:dyDescent="0.25">
      <c r="A76" s="4">
        <f t="shared" si="3"/>
        <v>32</v>
      </c>
      <c r="B76" t="str">
        <f ca="1">TEXT(DATE(YEAR(Invoer!$A$5),1,1)+ROWS(B$2:B76)-1,"jjjjmmdd")</f>
        <v>19270316</v>
      </c>
      <c r="C76" s="18">
        <f t="shared" ca="1" si="4"/>
        <v>765</v>
      </c>
      <c r="D76" s="17">
        <f t="shared" ca="1" si="5"/>
        <v>0</v>
      </c>
    </row>
    <row r="77" spans="1:4" x14ac:dyDescent="0.25">
      <c r="A77" s="4">
        <f t="shared" si="3"/>
        <v>32</v>
      </c>
      <c r="B77" t="str">
        <f ca="1">TEXT(DATE(YEAR(Invoer!$A$5),1,1)+ROWS(B$2:B77)-1,"jjjjmmdd")</f>
        <v>19270317</v>
      </c>
      <c r="C77" s="18">
        <f t="shared" ca="1" si="4"/>
        <v>767</v>
      </c>
      <c r="D77" s="17">
        <f t="shared" ca="1" si="5"/>
        <v>0</v>
      </c>
    </row>
    <row r="78" spans="1:4" x14ac:dyDescent="0.25">
      <c r="A78" s="4">
        <f t="shared" si="3"/>
        <v>32</v>
      </c>
      <c r="B78" t="str">
        <f ca="1">TEXT(DATE(YEAR(Invoer!$A$5),1,1)+ROWS(B$2:B78)-1,"jjjjmmdd")</f>
        <v>19270318</v>
      </c>
      <c r="C78" s="18">
        <f t="shared" ca="1" si="4"/>
        <v>766.5</v>
      </c>
      <c r="D78" s="17">
        <f t="shared" ca="1" si="5"/>
        <v>0</v>
      </c>
    </row>
    <row r="79" spans="1:4" x14ac:dyDescent="0.25">
      <c r="A79" s="4">
        <f t="shared" si="3"/>
        <v>32</v>
      </c>
      <c r="B79" t="str">
        <f ca="1">TEXT(DATE(YEAR(Invoer!$A$5),1,1)+ROWS(B$2:B79)-1,"jjjjmmdd")</f>
        <v>19270319</v>
      </c>
      <c r="C79" s="18">
        <f t="shared" ca="1" si="4"/>
        <v>766</v>
      </c>
      <c r="D79" s="17">
        <f t="shared" ca="1" si="5"/>
        <v>0</v>
      </c>
    </row>
    <row r="80" spans="1:4" x14ac:dyDescent="0.25">
      <c r="A80" s="4">
        <f t="shared" si="3"/>
        <v>32</v>
      </c>
      <c r="B80" t="str">
        <f ca="1">TEXT(DATE(YEAR(Invoer!$A$5),1,1)+ROWS(B$2:B80)-1,"jjjjmmdd")</f>
        <v>19270320</v>
      </c>
      <c r="C80" s="18">
        <f t="shared" ca="1" si="4"/>
        <v>766</v>
      </c>
      <c r="D80" s="17">
        <f t="shared" ca="1" si="5"/>
        <v>0</v>
      </c>
    </row>
    <row r="81" spans="1:4" x14ac:dyDescent="0.25">
      <c r="A81" s="4">
        <f t="shared" si="3"/>
        <v>32</v>
      </c>
      <c r="B81" t="str">
        <f ca="1">TEXT(DATE(YEAR(Invoer!$A$5),1,1)+ROWS(B$2:B81)-1,"jjjjmmdd")</f>
        <v>19270321</v>
      </c>
      <c r="C81" s="18">
        <f t="shared" ca="1" si="4"/>
        <v>765</v>
      </c>
      <c r="D81" s="17">
        <f t="shared" ca="1" si="5"/>
        <v>0</v>
      </c>
    </row>
    <row r="82" spans="1:4" x14ac:dyDescent="0.25">
      <c r="A82" s="4">
        <f t="shared" si="3"/>
        <v>32</v>
      </c>
      <c r="B82" t="str">
        <f ca="1">TEXT(DATE(YEAR(Invoer!$A$5),1,1)+ROWS(B$2:B82)-1,"jjjjmmdd")</f>
        <v>19270322</v>
      </c>
      <c r="C82" s="18">
        <f t="shared" ca="1" si="4"/>
        <v>766</v>
      </c>
      <c r="D82" s="17">
        <f t="shared" ca="1" si="5"/>
        <v>0</v>
      </c>
    </row>
    <row r="83" spans="1:4" x14ac:dyDescent="0.25">
      <c r="A83" s="4">
        <f t="shared" si="3"/>
        <v>32</v>
      </c>
      <c r="B83" t="str">
        <f ca="1">TEXT(DATE(YEAR(Invoer!$A$5),1,1)+ROWS(B$2:B83)-1,"jjjjmmdd")</f>
        <v>19270323</v>
      </c>
      <c r="C83" s="18">
        <f t="shared" ca="1" si="4"/>
        <v>765</v>
      </c>
      <c r="D83" s="17">
        <f t="shared" ca="1" si="5"/>
        <v>0</v>
      </c>
    </row>
    <row r="84" spans="1:4" x14ac:dyDescent="0.25">
      <c r="A84" s="4">
        <f t="shared" si="3"/>
        <v>32</v>
      </c>
      <c r="B84" t="str">
        <f ca="1">TEXT(DATE(YEAR(Invoer!$A$5),1,1)+ROWS(B$2:B84)-1,"jjjjmmdd")</f>
        <v>19270324</v>
      </c>
      <c r="C84" s="18">
        <f t="shared" ca="1" si="4"/>
        <v>766.5</v>
      </c>
      <c r="D84" s="17">
        <f t="shared" ca="1" si="5"/>
        <v>0</v>
      </c>
    </row>
    <row r="85" spans="1:4" x14ac:dyDescent="0.25">
      <c r="A85" s="4">
        <f t="shared" si="3"/>
        <v>32</v>
      </c>
      <c r="B85" t="str">
        <f ca="1">TEXT(DATE(YEAR(Invoer!$A$5),1,1)+ROWS(B$2:B85)-1,"jjjjmmdd")</f>
        <v>19270325</v>
      </c>
      <c r="C85" s="18">
        <f t="shared" ca="1" si="4"/>
        <v>766.5</v>
      </c>
      <c r="D85" s="17">
        <f t="shared" ca="1" si="5"/>
        <v>0</v>
      </c>
    </row>
    <row r="86" spans="1:4" x14ac:dyDescent="0.25">
      <c r="A86" s="4">
        <f t="shared" si="3"/>
        <v>32</v>
      </c>
      <c r="B86" t="str">
        <f ca="1">TEXT(DATE(YEAR(Invoer!$A$5),1,1)+ROWS(B$2:B86)-1,"jjjjmmdd")</f>
        <v>19270326</v>
      </c>
      <c r="C86" s="18">
        <f t="shared" ca="1" si="4"/>
        <v>767</v>
      </c>
      <c r="D86" s="17">
        <f t="shared" ca="1" si="5"/>
        <v>0</v>
      </c>
    </row>
    <row r="87" spans="1:4" x14ac:dyDescent="0.25">
      <c r="A87" s="4">
        <f t="shared" si="3"/>
        <v>32</v>
      </c>
      <c r="B87" t="str">
        <f ca="1">TEXT(DATE(YEAR(Invoer!$A$5),1,1)+ROWS(B$2:B87)-1,"jjjjmmdd")</f>
        <v>19270327</v>
      </c>
      <c r="C87" s="18">
        <f t="shared" ca="1" si="4"/>
        <v>766.5</v>
      </c>
      <c r="D87" s="17">
        <f t="shared" ca="1" si="5"/>
        <v>0</v>
      </c>
    </row>
    <row r="88" spans="1:4" x14ac:dyDescent="0.25">
      <c r="A88" s="4">
        <f t="shared" si="3"/>
        <v>32</v>
      </c>
      <c r="B88" t="str">
        <f ca="1">TEXT(DATE(YEAR(Invoer!$A$5),1,1)+ROWS(B$2:B88)-1,"jjjjmmdd")</f>
        <v>19270328</v>
      </c>
      <c r="C88" s="18">
        <f t="shared" ca="1" si="4"/>
        <v>767</v>
      </c>
      <c r="D88" s="17">
        <f t="shared" ca="1" si="5"/>
        <v>0</v>
      </c>
    </row>
    <row r="89" spans="1:4" x14ac:dyDescent="0.25">
      <c r="A89" s="4">
        <f t="shared" si="3"/>
        <v>32</v>
      </c>
      <c r="B89" t="str">
        <f ca="1">TEXT(DATE(YEAR(Invoer!$A$5),1,1)+ROWS(B$2:B89)-1,"jjjjmmdd")</f>
        <v>19270329</v>
      </c>
      <c r="C89" s="18">
        <f t="shared" ca="1" si="4"/>
        <v>766.5</v>
      </c>
      <c r="D89" s="17">
        <f t="shared" ca="1" si="5"/>
        <v>0</v>
      </c>
    </row>
    <row r="90" spans="1:4" x14ac:dyDescent="0.25">
      <c r="A90" s="4">
        <f t="shared" si="3"/>
        <v>32</v>
      </c>
      <c r="B90" t="str">
        <f ca="1">TEXT(DATE(YEAR(Invoer!$A$5),1,1)+ROWS(B$2:B90)-1,"jjjjmmdd")</f>
        <v>19270330</v>
      </c>
      <c r="C90" s="18">
        <f t="shared" ca="1" si="4"/>
        <v>766</v>
      </c>
      <c r="D90" s="17">
        <f t="shared" ca="1" si="5"/>
        <v>0</v>
      </c>
    </row>
    <row r="91" spans="1:4" x14ac:dyDescent="0.25">
      <c r="A91" s="4">
        <f t="shared" si="3"/>
        <v>32</v>
      </c>
      <c r="B91" t="str">
        <f ca="1">TEXT(DATE(YEAR(Invoer!$A$5),1,1)+ROWS(B$2:B91)-1,"jjjjmmdd")</f>
        <v>19270331</v>
      </c>
      <c r="C91" s="18">
        <f t="shared" ca="1" si="4"/>
        <v>766</v>
      </c>
      <c r="D91" s="17">
        <f t="shared" ca="1" si="5"/>
        <v>0</v>
      </c>
    </row>
    <row r="92" spans="1:4" x14ac:dyDescent="0.25">
      <c r="A92" s="4">
        <f t="shared" si="3"/>
        <v>32</v>
      </c>
      <c r="B92" t="str">
        <f ca="1">TEXT(DATE(YEAR(Invoer!$A$5),1,1)+ROWS(B$2:B92)-1,"jjjjmmdd")</f>
        <v>19270401</v>
      </c>
      <c r="C92" s="18">
        <f t="shared" ca="1" si="4"/>
        <v>766</v>
      </c>
      <c r="D92" s="17">
        <f t="shared" ca="1" si="5"/>
        <v>0</v>
      </c>
    </row>
    <row r="93" spans="1:4" x14ac:dyDescent="0.25">
      <c r="A93" s="4">
        <f t="shared" si="3"/>
        <v>32</v>
      </c>
      <c r="B93" t="str">
        <f ca="1">TEXT(DATE(YEAR(Invoer!$A$5),1,1)+ROWS(B$2:B93)-1,"jjjjmmdd")</f>
        <v>19270402</v>
      </c>
      <c r="C93" s="18">
        <f t="shared" ca="1" si="4"/>
        <v>766</v>
      </c>
      <c r="D93" s="17">
        <f t="shared" ca="1" si="5"/>
        <v>0</v>
      </c>
    </row>
    <row r="94" spans="1:4" x14ac:dyDescent="0.25">
      <c r="A94" s="4">
        <f t="shared" si="3"/>
        <v>32</v>
      </c>
      <c r="B94" t="str">
        <f ca="1">TEXT(DATE(YEAR(Invoer!$A$5),1,1)+ROWS(B$2:B94)-1,"jjjjmmdd")</f>
        <v>19270403</v>
      </c>
      <c r="C94" s="18">
        <f t="shared" ca="1" si="4"/>
        <v>766</v>
      </c>
      <c r="D94" s="17">
        <f t="shared" ca="1" si="5"/>
        <v>0</v>
      </c>
    </row>
    <row r="95" spans="1:4" x14ac:dyDescent="0.25">
      <c r="A95" s="4">
        <f t="shared" si="3"/>
        <v>32</v>
      </c>
      <c r="B95" t="str">
        <f ca="1">TEXT(DATE(YEAR(Invoer!$A$5),1,1)+ROWS(B$2:B95)-1,"jjjjmmdd")</f>
        <v>19270404</v>
      </c>
      <c r="C95" s="18">
        <f t="shared" ca="1" si="4"/>
        <v>765.5</v>
      </c>
      <c r="D95" s="17">
        <f t="shared" ca="1" si="5"/>
        <v>0</v>
      </c>
    </row>
    <row r="96" spans="1:4" x14ac:dyDescent="0.25">
      <c r="A96" s="4">
        <f t="shared" si="3"/>
        <v>32</v>
      </c>
      <c r="B96" t="str">
        <f ca="1">TEXT(DATE(YEAR(Invoer!$A$5),1,1)+ROWS(B$2:B96)-1,"jjjjmmdd")</f>
        <v>19270405</v>
      </c>
      <c r="C96" s="18">
        <f t="shared" ca="1" si="4"/>
        <v>765.5</v>
      </c>
      <c r="D96" s="17">
        <f t="shared" ca="1" si="5"/>
        <v>0</v>
      </c>
    </row>
    <row r="97" spans="1:4" x14ac:dyDescent="0.25">
      <c r="A97" s="4">
        <f t="shared" si="3"/>
        <v>32</v>
      </c>
      <c r="B97" t="str">
        <f ca="1">TEXT(DATE(YEAR(Invoer!$A$5),1,1)+ROWS(B$2:B97)-1,"jjjjmmdd")</f>
        <v>19270406</v>
      </c>
      <c r="C97" s="18">
        <f t="shared" ca="1" si="4"/>
        <v>765</v>
      </c>
      <c r="D97" s="17">
        <f t="shared" ca="1" si="5"/>
        <v>0</v>
      </c>
    </row>
    <row r="98" spans="1:4" x14ac:dyDescent="0.25">
      <c r="A98" s="4">
        <f t="shared" si="3"/>
        <v>32</v>
      </c>
      <c r="B98" t="str">
        <f ca="1">TEXT(DATE(YEAR(Invoer!$A$5),1,1)+ROWS(B$2:B98)-1,"jjjjmmdd")</f>
        <v>19270407</v>
      </c>
      <c r="C98" s="18">
        <f t="shared" ca="1" si="4"/>
        <v>765</v>
      </c>
      <c r="D98" s="17">
        <f t="shared" ca="1" si="5"/>
        <v>0</v>
      </c>
    </row>
    <row r="99" spans="1:4" x14ac:dyDescent="0.25">
      <c r="A99" s="4">
        <f t="shared" si="3"/>
        <v>32</v>
      </c>
      <c r="B99" t="str">
        <f ca="1">TEXT(DATE(YEAR(Invoer!$A$5),1,1)+ROWS(B$2:B99)-1,"jjjjmmdd")</f>
        <v>19270408</v>
      </c>
      <c r="C99" s="18">
        <f t="shared" ca="1" si="4"/>
        <v>765</v>
      </c>
      <c r="D99" s="17">
        <f t="shared" ca="1" si="5"/>
        <v>0</v>
      </c>
    </row>
    <row r="100" spans="1:4" x14ac:dyDescent="0.25">
      <c r="A100" s="4">
        <f t="shared" si="3"/>
        <v>32</v>
      </c>
      <c r="B100" t="str">
        <f ca="1">TEXT(DATE(YEAR(Invoer!$A$5),1,1)+ROWS(B$2:B100)-1,"jjjjmmdd")</f>
        <v>19270409</v>
      </c>
      <c r="C100" s="18">
        <f t="shared" ca="1" si="4"/>
        <v>764</v>
      </c>
      <c r="D100" s="17">
        <f t="shared" ca="1" si="5"/>
        <v>0</v>
      </c>
    </row>
    <row r="101" spans="1:4" x14ac:dyDescent="0.25">
      <c r="A101" s="4">
        <f t="shared" si="3"/>
        <v>32</v>
      </c>
      <c r="B101" t="str">
        <f ca="1">TEXT(DATE(YEAR(Invoer!$A$5),1,1)+ROWS(B$2:B101)-1,"jjjjmmdd")</f>
        <v>19270410</v>
      </c>
      <c r="C101" s="18">
        <f t="shared" ca="1" si="4"/>
        <v>763.5</v>
      </c>
      <c r="D101" s="17">
        <f t="shared" ca="1" si="5"/>
        <v>0</v>
      </c>
    </row>
    <row r="102" spans="1:4" x14ac:dyDescent="0.25">
      <c r="A102" s="4">
        <f t="shared" si="3"/>
        <v>32</v>
      </c>
      <c r="B102" t="str">
        <f ca="1">TEXT(DATE(YEAR(Invoer!$A$5),1,1)+ROWS(B$2:B102)-1,"jjjjmmdd")</f>
        <v>19270411</v>
      </c>
      <c r="C102" s="18">
        <f t="shared" ca="1" si="4"/>
        <v>763.5</v>
      </c>
      <c r="D102" s="17">
        <f t="shared" ca="1" si="5"/>
        <v>0</v>
      </c>
    </row>
    <row r="103" spans="1:4" x14ac:dyDescent="0.25">
      <c r="A103" s="4">
        <f t="shared" si="3"/>
        <v>32</v>
      </c>
      <c r="B103" t="str">
        <f ca="1">TEXT(DATE(YEAR(Invoer!$A$5),1,1)+ROWS(B$2:B103)-1,"jjjjmmdd")</f>
        <v>19270412</v>
      </c>
      <c r="C103" s="18">
        <f t="shared" ca="1" si="4"/>
        <v>764.5</v>
      </c>
      <c r="D103" s="17">
        <f t="shared" ca="1" si="5"/>
        <v>0</v>
      </c>
    </row>
    <row r="104" spans="1:4" x14ac:dyDescent="0.25">
      <c r="A104" s="4">
        <f t="shared" si="3"/>
        <v>32</v>
      </c>
      <c r="B104" t="str">
        <f ca="1">TEXT(DATE(YEAR(Invoer!$A$5),1,1)+ROWS(B$2:B104)-1,"jjjjmmdd")</f>
        <v>19270413</v>
      </c>
      <c r="C104" s="18">
        <f t="shared" ca="1" si="4"/>
        <v>764.5</v>
      </c>
      <c r="D104" s="17">
        <f t="shared" ca="1" si="5"/>
        <v>0</v>
      </c>
    </row>
    <row r="105" spans="1:4" x14ac:dyDescent="0.25">
      <c r="A105" s="4">
        <f t="shared" si="3"/>
        <v>32</v>
      </c>
      <c r="B105" t="str">
        <f ca="1">TEXT(DATE(YEAR(Invoer!$A$5),1,1)+ROWS(B$2:B105)-1,"jjjjmmdd")</f>
        <v>19270414</v>
      </c>
      <c r="C105" s="18">
        <f t="shared" ca="1" si="4"/>
        <v>765.5</v>
      </c>
      <c r="D105" s="17">
        <f t="shared" ca="1" si="5"/>
        <v>0</v>
      </c>
    </row>
    <row r="106" spans="1:4" x14ac:dyDescent="0.25">
      <c r="A106" s="4">
        <f t="shared" si="3"/>
        <v>32</v>
      </c>
      <c r="B106" t="str">
        <f ca="1">TEXT(DATE(YEAR(Invoer!$A$5),1,1)+ROWS(B$2:B106)-1,"jjjjmmdd")</f>
        <v>19270415</v>
      </c>
      <c r="C106" s="18">
        <f t="shared" ca="1" si="4"/>
        <v>765</v>
      </c>
      <c r="D106" s="17">
        <f t="shared" ca="1" si="5"/>
        <v>0</v>
      </c>
    </row>
    <row r="107" spans="1:4" x14ac:dyDescent="0.25">
      <c r="A107" s="4">
        <f t="shared" si="3"/>
        <v>32</v>
      </c>
      <c r="B107" t="str">
        <f ca="1">TEXT(DATE(YEAR(Invoer!$A$5),1,1)+ROWS(B$2:B107)-1,"jjjjmmdd")</f>
        <v>19270416</v>
      </c>
      <c r="C107" s="18">
        <f t="shared" ca="1" si="4"/>
        <v>765</v>
      </c>
      <c r="D107" s="17">
        <f t="shared" ca="1" si="5"/>
        <v>0</v>
      </c>
    </row>
    <row r="108" spans="1:4" x14ac:dyDescent="0.25">
      <c r="A108" s="4">
        <f t="shared" si="3"/>
        <v>32</v>
      </c>
      <c r="B108" t="str">
        <f ca="1">TEXT(DATE(YEAR(Invoer!$A$5),1,1)+ROWS(B$2:B108)-1,"jjjjmmdd")</f>
        <v>19270417</v>
      </c>
      <c r="C108" s="18">
        <f t="shared" ca="1" si="4"/>
        <v>764.5</v>
      </c>
      <c r="D108" s="17">
        <f t="shared" ca="1" si="5"/>
        <v>0</v>
      </c>
    </row>
    <row r="109" spans="1:4" x14ac:dyDescent="0.25">
      <c r="A109" s="4">
        <f t="shared" si="3"/>
        <v>32</v>
      </c>
      <c r="B109" t="str">
        <f ca="1">TEXT(DATE(YEAR(Invoer!$A$5),1,1)+ROWS(B$2:B109)-1,"jjjjmmdd")</f>
        <v>19270418</v>
      </c>
      <c r="C109" s="18">
        <f t="shared" ca="1" si="4"/>
        <v>764.5</v>
      </c>
      <c r="D109" s="17">
        <f t="shared" ca="1" si="5"/>
        <v>0</v>
      </c>
    </row>
    <row r="110" spans="1:4" x14ac:dyDescent="0.25">
      <c r="A110" s="4">
        <f t="shared" si="3"/>
        <v>32</v>
      </c>
      <c r="B110" t="str">
        <f ca="1">TEXT(DATE(YEAR(Invoer!$A$5),1,1)+ROWS(B$2:B110)-1,"jjjjmmdd")</f>
        <v>19270419</v>
      </c>
      <c r="C110" s="18">
        <f t="shared" ca="1" si="4"/>
        <v>765</v>
      </c>
      <c r="D110" s="17">
        <f t="shared" ca="1" si="5"/>
        <v>0</v>
      </c>
    </row>
    <row r="111" spans="1:4" x14ac:dyDescent="0.25">
      <c r="A111" s="4">
        <f t="shared" si="3"/>
        <v>32</v>
      </c>
      <c r="B111" t="str">
        <f ca="1">TEXT(DATE(YEAR(Invoer!$A$5),1,1)+ROWS(B$2:B111)-1,"jjjjmmdd")</f>
        <v>19270420</v>
      </c>
      <c r="C111" s="18">
        <f t="shared" ca="1" si="4"/>
        <v>764.5</v>
      </c>
      <c r="D111" s="17">
        <f t="shared" ca="1" si="5"/>
        <v>0</v>
      </c>
    </row>
    <row r="112" spans="1:4" x14ac:dyDescent="0.25">
      <c r="A112" s="4">
        <f t="shared" si="3"/>
        <v>32</v>
      </c>
      <c r="B112" t="str">
        <f ca="1">TEXT(DATE(YEAR(Invoer!$A$5),1,1)+ROWS(B$2:B112)-1,"jjjjmmdd")</f>
        <v>19270421</v>
      </c>
      <c r="C112" s="18">
        <f t="shared" ca="1" si="4"/>
        <v>765.5</v>
      </c>
      <c r="D112" s="17">
        <f t="shared" ca="1" si="5"/>
        <v>0</v>
      </c>
    </row>
    <row r="113" spans="1:4" x14ac:dyDescent="0.25">
      <c r="A113" s="4">
        <f t="shared" si="3"/>
        <v>32</v>
      </c>
      <c r="B113" t="str">
        <f ca="1">TEXT(DATE(YEAR(Invoer!$A$5),1,1)+ROWS(B$2:B113)-1,"jjjjmmdd")</f>
        <v>19270422</v>
      </c>
      <c r="C113" s="18">
        <f t="shared" ca="1" si="4"/>
        <v>765.5</v>
      </c>
      <c r="D113" s="17">
        <f t="shared" ca="1" si="5"/>
        <v>0</v>
      </c>
    </row>
    <row r="114" spans="1:4" x14ac:dyDescent="0.25">
      <c r="A114" s="4">
        <f t="shared" si="3"/>
        <v>32</v>
      </c>
      <c r="B114" t="str">
        <f ca="1">TEXT(DATE(YEAR(Invoer!$A$5),1,1)+ROWS(B$2:B114)-1,"jjjjmmdd")</f>
        <v>19270423</v>
      </c>
      <c r="C114" s="18">
        <f t="shared" ca="1" si="4"/>
        <v>764.5</v>
      </c>
      <c r="D114" s="17">
        <f t="shared" ca="1" si="5"/>
        <v>0</v>
      </c>
    </row>
    <row r="115" spans="1:4" x14ac:dyDescent="0.25">
      <c r="A115" s="4">
        <f t="shared" si="3"/>
        <v>32</v>
      </c>
      <c r="B115" t="str">
        <f ca="1">TEXT(DATE(YEAR(Invoer!$A$5),1,1)+ROWS(B$2:B115)-1,"jjjjmmdd")</f>
        <v>19270424</v>
      </c>
      <c r="C115" s="18">
        <f t="shared" ca="1" si="4"/>
        <v>765.5</v>
      </c>
      <c r="D115" s="17">
        <f t="shared" ca="1" si="5"/>
        <v>0</v>
      </c>
    </row>
    <row r="116" spans="1:4" x14ac:dyDescent="0.25">
      <c r="A116" s="4">
        <f t="shared" si="3"/>
        <v>32</v>
      </c>
      <c r="B116" t="str">
        <f ca="1">TEXT(DATE(YEAR(Invoer!$A$5),1,1)+ROWS(B$2:B116)-1,"jjjjmmdd")</f>
        <v>19270425</v>
      </c>
      <c r="C116" s="18">
        <f t="shared" ca="1" si="4"/>
        <v>765</v>
      </c>
      <c r="D116" s="17">
        <f t="shared" ca="1" si="5"/>
        <v>0</v>
      </c>
    </row>
    <row r="117" spans="1:4" x14ac:dyDescent="0.25">
      <c r="A117" s="4">
        <f t="shared" si="3"/>
        <v>32</v>
      </c>
      <c r="B117" t="str">
        <f ca="1">TEXT(DATE(YEAR(Invoer!$A$5),1,1)+ROWS(B$2:B117)-1,"jjjjmmdd")</f>
        <v>19270426</v>
      </c>
      <c r="C117" s="18">
        <f t="shared" ca="1" si="4"/>
        <v>765</v>
      </c>
      <c r="D117" s="17">
        <f t="shared" ca="1" si="5"/>
        <v>0</v>
      </c>
    </row>
    <row r="118" spans="1:4" x14ac:dyDescent="0.25">
      <c r="A118" s="4">
        <f t="shared" si="3"/>
        <v>32</v>
      </c>
      <c r="B118" t="str">
        <f ca="1">TEXT(DATE(YEAR(Invoer!$A$5),1,1)+ROWS(B$2:B118)-1,"jjjjmmdd")</f>
        <v>19270427</v>
      </c>
      <c r="C118" s="18">
        <f t="shared" ca="1" si="4"/>
        <v>764</v>
      </c>
      <c r="D118" s="17">
        <f t="shared" ca="1" si="5"/>
        <v>0</v>
      </c>
    </row>
    <row r="119" spans="1:4" x14ac:dyDescent="0.25">
      <c r="A119" s="4">
        <f t="shared" si="3"/>
        <v>32</v>
      </c>
      <c r="B119" t="str">
        <f ca="1">TEXT(DATE(YEAR(Invoer!$A$5),1,1)+ROWS(B$2:B119)-1,"jjjjmmdd")</f>
        <v>19270428</v>
      </c>
      <c r="C119" s="18">
        <f t="shared" ca="1" si="4"/>
        <v>764</v>
      </c>
      <c r="D119" s="17">
        <f t="shared" ca="1" si="5"/>
        <v>0</v>
      </c>
    </row>
    <row r="120" spans="1:4" x14ac:dyDescent="0.25">
      <c r="A120" s="4">
        <f t="shared" si="3"/>
        <v>32</v>
      </c>
      <c r="B120" t="str">
        <f ca="1">TEXT(DATE(YEAR(Invoer!$A$5),1,1)+ROWS(B$2:B120)-1,"jjjjmmdd")</f>
        <v>19270429</v>
      </c>
      <c r="C120" s="18">
        <f t="shared" ca="1" si="4"/>
        <v>764.5</v>
      </c>
      <c r="D120" s="17">
        <f t="shared" ca="1" si="5"/>
        <v>0</v>
      </c>
    </row>
    <row r="121" spans="1:4" x14ac:dyDescent="0.25">
      <c r="A121" s="4">
        <f t="shared" si="3"/>
        <v>32</v>
      </c>
      <c r="B121" t="str">
        <f ca="1">TEXT(DATE(YEAR(Invoer!$A$5),1,1)+ROWS(B$2:B121)-1,"jjjjmmdd")</f>
        <v>19270430</v>
      </c>
      <c r="C121" s="18">
        <f t="shared" ca="1" si="4"/>
        <v>765</v>
      </c>
      <c r="D121" s="17">
        <f t="shared" ca="1" si="5"/>
        <v>0</v>
      </c>
    </row>
    <row r="122" spans="1:4" x14ac:dyDescent="0.25">
      <c r="A122" s="4">
        <f t="shared" si="3"/>
        <v>32</v>
      </c>
      <c r="B122" t="str">
        <f ca="1">TEXT(DATE(YEAR(Invoer!$A$5),1,1)+ROWS(B$2:B122)-1,"jjjjmmdd")</f>
        <v>19270501</v>
      </c>
      <c r="C122" s="18">
        <f t="shared" ca="1" si="4"/>
        <v>764.5</v>
      </c>
      <c r="D122" s="17">
        <f t="shared" ca="1" si="5"/>
        <v>0</v>
      </c>
    </row>
    <row r="123" spans="1:4" x14ac:dyDescent="0.25">
      <c r="A123" s="4">
        <f t="shared" si="3"/>
        <v>32</v>
      </c>
      <c r="B123" t="str">
        <f ca="1">TEXT(DATE(YEAR(Invoer!$A$5),1,1)+ROWS(B$2:B123)-1,"jjjjmmdd")</f>
        <v>19270502</v>
      </c>
      <c r="C123" s="18">
        <f t="shared" ca="1" si="4"/>
        <v>764.5</v>
      </c>
      <c r="D123" s="17">
        <f t="shared" ca="1" si="5"/>
        <v>0</v>
      </c>
    </row>
    <row r="124" spans="1:4" x14ac:dyDescent="0.25">
      <c r="A124" s="4">
        <f t="shared" si="3"/>
        <v>32</v>
      </c>
      <c r="B124" t="str">
        <f ca="1">TEXT(DATE(YEAR(Invoer!$A$5),1,1)+ROWS(B$2:B124)-1,"jjjjmmdd")</f>
        <v>19270503</v>
      </c>
      <c r="C124" s="18">
        <f t="shared" ca="1" si="4"/>
        <v>765</v>
      </c>
      <c r="D124" s="17">
        <f t="shared" ca="1" si="5"/>
        <v>0</v>
      </c>
    </row>
    <row r="125" spans="1:4" x14ac:dyDescent="0.25">
      <c r="A125" s="4">
        <f t="shared" si="3"/>
        <v>32</v>
      </c>
      <c r="B125" t="str">
        <f ca="1">TEXT(DATE(YEAR(Invoer!$A$5),1,1)+ROWS(B$2:B125)-1,"jjjjmmdd")</f>
        <v>19270504</v>
      </c>
      <c r="C125" s="18">
        <f t="shared" ca="1" si="4"/>
        <v>766</v>
      </c>
      <c r="D125" s="17">
        <f t="shared" ca="1" si="5"/>
        <v>0</v>
      </c>
    </row>
    <row r="126" spans="1:4" x14ac:dyDescent="0.25">
      <c r="A126" s="4">
        <f t="shared" si="3"/>
        <v>32</v>
      </c>
      <c r="B126" t="str">
        <f ca="1">TEXT(DATE(YEAR(Invoer!$A$5),1,1)+ROWS(B$2:B126)-1,"jjjjmmdd")</f>
        <v>19270505</v>
      </c>
      <c r="C126" s="18">
        <f t="shared" ca="1" si="4"/>
        <v>765.5</v>
      </c>
      <c r="D126" s="17">
        <f t="shared" ca="1" si="5"/>
        <v>0</v>
      </c>
    </row>
    <row r="127" spans="1:4" x14ac:dyDescent="0.25">
      <c r="A127" s="4">
        <f t="shared" si="3"/>
        <v>32</v>
      </c>
      <c r="B127" t="str">
        <f ca="1">TEXT(DATE(YEAR(Invoer!$A$5),1,1)+ROWS(B$2:B127)-1,"jjjjmmdd")</f>
        <v>19270506</v>
      </c>
      <c r="C127" s="18">
        <f t="shared" ca="1" si="4"/>
        <v>765</v>
      </c>
      <c r="D127" s="17">
        <f t="shared" ca="1" si="5"/>
        <v>0</v>
      </c>
    </row>
    <row r="128" spans="1:4" x14ac:dyDescent="0.25">
      <c r="A128" s="4">
        <f t="shared" si="3"/>
        <v>32</v>
      </c>
      <c r="B128" t="str">
        <f ca="1">TEXT(DATE(YEAR(Invoer!$A$5),1,1)+ROWS(B$2:B128)-1,"jjjjmmdd")</f>
        <v>19270507</v>
      </c>
      <c r="C128" s="18">
        <f t="shared" ca="1" si="4"/>
        <v>764.5</v>
      </c>
      <c r="D128" s="17">
        <f t="shared" ca="1" si="5"/>
        <v>0</v>
      </c>
    </row>
    <row r="129" spans="1:4" x14ac:dyDescent="0.25">
      <c r="A129" s="4">
        <f t="shared" si="3"/>
        <v>32</v>
      </c>
      <c r="B129" t="str">
        <f ca="1">TEXT(DATE(YEAR(Invoer!$A$5),1,1)+ROWS(B$2:B129)-1,"jjjjmmdd")</f>
        <v>19270508</v>
      </c>
      <c r="C129" s="18">
        <f t="shared" ca="1" si="4"/>
        <v>765.5</v>
      </c>
      <c r="D129" s="17">
        <f t="shared" ca="1" si="5"/>
        <v>0</v>
      </c>
    </row>
    <row r="130" spans="1:4" x14ac:dyDescent="0.25">
      <c r="A130" s="4">
        <f t="shared" ref="A130:A193" si="6">INDEX(Stations,2,1)</f>
        <v>32</v>
      </c>
      <c r="B130" t="str">
        <f ca="1">TEXT(DATE(YEAR(Invoer!$A$5),1,1)+ROWS(B$2:B130)-1,"jjjjmmdd")</f>
        <v>19270509</v>
      </c>
      <c r="C130" s="18">
        <f t="shared" ref="C130:C193" ca="1" si="7">IF(OR(ISBLANK(VLOOKUP(DATEVALUE(LEFT($B130,4)&amp;"-"&amp;MID($B130,5,2)&amp;"-"&amp;RIGHT($B130,2)),Data,MATCH(LEFT(VLOOKUP(C$1,Parameters,2,FALSE()),4)&amp;"*",OFFSET(Data,0,0,1),0),FALSE())),ISTEXT(VLOOKUP(DATEVALUE(LEFT($B130,4)&amp;"-"&amp;MID($B130,5,2)&amp;"-"&amp;RIGHT($B130,2)),Data,MATCH(LEFT(VLOOKUP(C$1,Parameters,2,FALSE()),4)&amp;"*",OFFSET(Data,0,0,1),0),FALSE()))),"—",VLOOKUP(DATEVALUE(LEFT($B130,4)&amp;"-"&amp;MID($B130,5,2)&amp;"-"&amp;RIGHT($B130,2)),Data,MATCH(LEFT(VLOOKUP(C$1,Parameters,2,FALSE()),4)&amp;"*",OFFSET(Data,0,0,1),0),FALSE())/10)</f>
        <v>765</v>
      </c>
      <c r="D130" s="17">
        <f t="shared" ref="D130:D193" ca="1" si="8">IF(OR(ISBLANK(VLOOKUP(DATEVALUE(LEFT($B130,4)&amp;"-"&amp;MID($B130,5,2)&amp;"-"&amp;RIGHT($B130,2)),Data,MATCH(LEFT(VLOOKUP(MID(D$1,2,LEN(D$1)-1),Parameters,2,FALSE()),4)&amp;"*",OFFSET(Data,0,0,1),0),FALSE())),ISTEXT(VLOOKUP(DATEVALUE(LEFT($B130,4)&amp;"-"&amp;MID($B130,5,2)&amp;"-"&amp;RIGHT($B130,2)),Data,MATCH(LEFT(VLOOKUP(MID(D$1,2,LEN(D$1)-1),Parameters,2,FALSE()),4)&amp;"*",OFFSET(Data,0,0,1),0),FALSE()))),Lacking,IF(ISNA(MATCH(DATEVALUE(LEFT($B130,4)&amp;"-"&amp;MID($B130,5,2)&amp;"-"&amp;RIGHT($B130,2)),OFFSET(Catalogus,0,0,,1),0)),Ok,VLOOKUP(DATEVALUE(LEFT($B130,4)&amp;"-"&amp;MID($B130,5,2)&amp;"-"&amp;RIGHT($B130,2)),Catalogus,MATCH(LEFT(VLOOKUP(MID(D$1,2,LEN(D$1)-1),Parameters,2,FALSE()),4)&amp;"*",OFFSET(Catalogus,0,0,1),0),FALSE())))</f>
        <v>0</v>
      </c>
    </row>
    <row r="131" spans="1:4" x14ac:dyDescent="0.25">
      <c r="A131" s="4">
        <f t="shared" si="6"/>
        <v>32</v>
      </c>
      <c r="B131" t="str">
        <f ca="1">TEXT(DATE(YEAR(Invoer!$A$5),1,1)+ROWS(B$2:B131)-1,"jjjjmmdd")</f>
        <v>19270510</v>
      </c>
      <c r="C131" s="18">
        <f t="shared" ca="1" si="7"/>
        <v>765</v>
      </c>
      <c r="D131" s="17">
        <f t="shared" ca="1" si="8"/>
        <v>0</v>
      </c>
    </row>
    <row r="132" spans="1:4" x14ac:dyDescent="0.25">
      <c r="A132" s="4">
        <f t="shared" si="6"/>
        <v>32</v>
      </c>
      <c r="B132" t="str">
        <f ca="1">TEXT(DATE(YEAR(Invoer!$A$5),1,1)+ROWS(B$2:B132)-1,"jjjjmmdd")</f>
        <v>19270511</v>
      </c>
      <c r="C132" s="18">
        <f t="shared" ca="1" si="7"/>
        <v>765</v>
      </c>
      <c r="D132" s="17">
        <f t="shared" ca="1" si="8"/>
        <v>0</v>
      </c>
    </row>
    <row r="133" spans="1:4" x14ac:dyDescent="0.25">
      <c r="A133" s="4">
        <f t="shared" si="6"/>
        <v>32</v>
      </c>
      <c r="B133" t="str">
        <f ca="1">TEXT(DATE(YEAR(Invoer!$A$5),1,1)+ROWS(B$2:B133)-1,"jjjjmmdd")</f>
        <v>19270512</v>
      </c>
      <c r="C133" s="18">
        <f t="shared" ca="1" si="7"/>
        <v>766.5</v>
      </c>
      <c r="D133" s="17">
        <f t="shared" ca="1" si="8"/>
        <v>0</v>
      </c>
    </row>
    <row r="134" spans="1:4" x14ac:dyDescent="0.25">
      <c r="A134" s="4">
        <f t="shared" si="6"/>
        <v>32</v>
      </c>
      <c r="B134" t="str">
        <f ca="1">TEXT(DATE(YEAR(Invoer!$A$5),1,1)+ROWS(B$2:B134)-1,"jjjjmmdd")</f>
        <v>19270513</v>
      </c>
      <c r="C134" s="18">
        <f t="shared" ca="1" si="7"/>
        <v>767</v>
      </c>
      <c r="D134" s="17">
        <f t="shared" ca="1" si="8"/>
        <v>0</v>
      </c>
    </row>
    <row r="135" spans="1:4" x14ac:dyDescent="0.25">
      <c r="A135" s="4">
        <f t="shared" si="6"/>
        <v>32</v>
      </c>
      <c r="B135" t="str">
        <f ca="1">TEXT(DATE(YEAR(Invoer!$A$5),1,1)+ROWS(B$2:B135)-1,"jjjjmmdd")</f>
        <v>19270514</v>
      </c>
      <c r="C135" s="18">
        <f t="shared" ca="1" si="7"/>
        <v>766</v>
      </c>
      <c r="D135" s="17">
        <f t="shared" ca="1" si="8"/>
        <v>0</v>
      </c>
    </row>
    <row r="136" spans="1:4" x14ac:dyDescent="0.25">
      <c r="A136" s="4">
        <f t="shared" si="6"/>
        <v>32</v>
      </c>
      <c r="B136" t="str">
        <f ca="1">TEXT(DATE(YEAR(Invoer!$A$5),1,1)+ROWS(B$2:B136)-1,"jjjjmmdd")</f>
        <v>19270515</v>
      </c>
      <c r="C136" s="18">
        <f t="shared" ca="1" si="7"/>
        <v>765.5</v>
      </c>
      <c r="D136" s="17">
        <f t="shared" ca="1" si="8"/>
        <v>0</v>
      </c>
    </row>
    <row r="137" spans="1:4" x14ac:dyDescent="0.25">
      <c r="A137" s="4">
        <f t="shared" si="6"/>
        <v>32</v>
      </c>
      <c r="B137" t="str">
        <f ca="1">TEXT(DATE(YEAR(Invoer!$A$5),1,1)+ROWS(B$2:B137)-1,"jjjjmmdd")</f>
        <v>19270516</v>
      </c>
      <c r="C137" s="18">
        <f t="shared" ca="1" si="7"/>
        <v>766</v>
      </c>
      <c r="D137" s="17">
        <f t="shared" ca="1" si="8"/>
        <v>0</v>
      </c>
    </row>
    <row r="138" spans="1:4" x14ac:dyDescent="0.25">
      <c r="A138" s="4">
        <f t="shared" si="6"/>
        <v>32</v>
      </c>
      <c r="B138" t="str">
        <f ca="1">TEXT(DATE(YEAR(Invoer!$A$5),1,1)+ROWS(B$2:B138)-1,"jjjjmmdd")</f>
        <v>19270517</v>
      </c>
      <c r="C138" s="18">
        <f t="shared" ca="1" si="7"/>
        <v>765</v>
      </c>
      <c r="D138" s="17">
        <f t="shared" ca="1" si="8"/>
        <v>0</v>
      </c>
    </row>
    <row r="139" spans="1:4" x14ac:dyDescent="0.25">
      <c r="A139" s="4">
        <f t="shared" si="6"/>
        <v>32</v>
      </c>
      <c r="B139" t="str">
        <f ca="1">TEXT(DATE(YEAR(Invoer!$A$5),1,1)+ROWS(B$2:B139)-1,"jjjjmmdd")</f>
        <v>19270518</v>
      </c>
      <c r="C139" s="18">
        <f t="shared" ca="1" si="7"/>
        <v>765.5</v>
      </c>
      <c r="D139" s="17">
        <f t="shared" ca="1" si="8"/>
        <v>0</v>
      </c>
    </row>
    <row r="140" spans="1:4" x14ac:dyDescent="0.25">
      <c r="A140" s="4">
        <f t="shared" si="6"/>
        <v>32</v>
      </c>
      <c r="B140" t="str">
        <f ca="1">TEXT(DATE(YEAR(Invoer!$A$5),1,1)+ROWS(B$2:B140)-1,"jjjjmmdd")</f>
        <v>19270519</v>
      </c>
      <c r="C140" s="18">
        <f t="shared" ca="1" si="7"/>
        <v>765</v>
      </c>
      <c r="D140" s="17">
        <f t="shared" ca="1" si="8"/>
        <v>0</v>
      </c>
    </row>
    <row r="141" spans="1:4" x14ac:dyDescent="0.25">
      <c r="A141" s="4">
        <f t="shared" si="6"/>
        <v>32</v>
      </c>
      <c r="B141" t="str">
        <f ca="1">TEXT(DATE(YEAR(Invoer!$A$5),1,1)+ROWS(B$2:B141)-1,"jjjjmmdd")</f>
        <v>19270520</v>
      </c>
      <c r="C141" s="18">
        <f t="shared" ca="1" si="7"/>
        <v>765</v>
      </c>
      <c r="D141" s="17">
        <f t="shared" ca="1" si="8"/>
        <v>0</v>
      </c>
    </row>
    <row r="142" spans="1:4" x14ac:dyDescent="0.25">
      <c r="A142" s="4">
        <f t="shared" si="6"/>
        <v>32</v>
      </c>
      <c r="B142" t="str">
        <f ca="1">TEXT(DATE(YEAR(Invoer!$A$5),1,1)+ROWS(B$2:B142)-1,"jjjjmmdd")</f>
        <v>19270521</v>
      </c>
      <c r="C142" s="18">
        <f t="shared" ca="1" si="7"/>
        <v>766</v>
      </c>
      <c r="D142" s="17">
        <f t="shared" ca="1" si="8"/>
        <v>0</v>
      </c>
    </row>
    <row r="143" spans="1:4" x14ac:dyDescent="0.25">
      <c r="A143" s="4">
        <f t="shared" si="6"/>
        <v>32</v>
      </c>
      <c r="B143" t="str">
        <f ca="1">TEXT(DATE(YEAR(Invoer!$A$5),1,1)+ROWS(B$2:B143)-1,"jjjjmmdd")</f>
        <v>19270522</v>
      </c>
      <c r="C143" s="18">
        <f t="shared" ca="1" si="7"/>
        <v>765.5</v>
      </c>
      <c r="D143" s="17">
        <f t="shared" ca="1" si="8"/>
        <v>0</v>
      </c>
    </row>
    <row r="144" spans="1:4" x14ac:dyDescent="0.25">
      <c r="A144" s="4">
        <f t="shared" si="6"/>
        <v>32</v>
      </c>
      <c r="B144" t="str">
        <f ca="1">TEXT(DATE(YEAR(Invoer!$A$5),1,1)+ROWS(B$2:B144)-1,"jjjjmmdd")</f>
        <v>19270523</v>
      </c>
      <c r="C144" s="18">
        <f t="shared" ca="1" si="7"/>
        <v>766</v>
      </c>
      <c r="D144" s="17">
        <f t="shared" ca="1" si="8"/>
        <v>0</v>
      </c>
    </row>
    <row r="145" spans="1:4" x14ac:dyDescent="0.25">
      <c r="A145" s="4">
        <f t="shared" si="6"/>
        <v>32</v>
      </c>
      <c r="B145" t="str">
        <f ca="1">TEXT(DATE(YEAR(Invoer!$A$5),1,1)+ROWS(B$2:B145)-1,"jjjjmmdd")</f>
        <v>19270524</v>
      </c>
      <c r="C145" s="18">
        <f t="shared" ca="1" si="7"/>
        <v>765.5</v>
      </c>
      <c r="D145" s="17">
        <f t="shared" ca="1" si="8"/>
        <v>0</v>
      </c>
    </row>
    <row r="146" spans="1:4" x14ac:dyDescent="0.25">
      <c r="A146" s="4">
        <f t="shared" si="6"/>
        <v>32</v>
      </c>
      <c r="B146" t="str">
        <f ca="1">TEXT(DATE(YEAR(Invoer!$A$5),1,1)+ROWS(B$2:B146)-1,"jjjjmmdd")</f>
        <v>19270525</v>
      </c>
      <c r="C146" s="18">
        <f t="shared" ca="1" si="7"/>
        <v>765</v>
      </c>
      <c r="D146" s="17">
        <f t="shared" ca="1" si="8"/>
        <v>0</v>
      </c>
    </row>
    <row r="147" spans="1:4" x14ac:dyDescent="0.25">
      <c r="A147" s="4">
        <f t="shared" si="6"/>
        <v>32</v>
      </c>
      <c r="B147" t="str">
        <f ca="1">TEXT(DATE(YEAR(Invoer!$A$5),1,1)+ROWS(B$2:B147)-1,"jjjjmmdd")</f>
        <v>19270526</v>
      </c>
      <c r="C147" s="18">
        <f t="shared" ca="1" si="7"/>
        <v>764.5</v>
      </c>
      <c r="D147" s="17">
        <f t="shared" ca="1" si="8"/>
        <v>0</v>
      </c>
    </row>
    <row r="148" spans="1:4" x14ac:dyDescent="0.25">
      <c r="A148" s="4">
        <f t="shared" si="6"/>
        <v>32</v>
      </c>
      <c r="B148" t="str">
        <f ca="1">TEXT(DATE(YEAR(Invoer!$A$5),1,1)+ROWS(B$2:B148)-1,"jjjjmmdd")</f>
        <v>19270527</v>
      </c>
      <c r="C148" s="18">
        <f t="shared" ca="1" si="7"/>
        <v>763.5</v>
      </c>
      <c r="D148" s="17">
        <f t="shared" ca="1" si="8"/>
        <v>0</v>
      </c>
    </row>
    <row r="149" spans="1:4" x14ac:dyDescent="0.25">
      <c r="A149" s="4">
        <f t="shared" si="6"/>
        <v>32</v>
      </c>
      <c r="B149" t="str">
        <f ca="1">TEXT(DATE(YEAR(Invoer!$A$5),1,1)+ROWS(B$2:B149)-1,"jjjjmmdd")</f>
        <v>19270528</v>
      </c>
      <c r="C149" s="18">
        <f t="shared" ca="1" si="7"/>
        <v>764.5</v>
      </c>
      <c r="D149" s="17">
        <f t="shared" ca="1" si="8"/>
        <v>0</v>
      </c>
    </row>
    <row r="150" spans="1:4" x14ac:dyDescent="0.25">
      <c r="A150" s="4">
        <f t="shared" si="6"/>
        <v>32</v>
      </c>
      <c r="B150" t="str">
        <f ca="1">TEXT(DATE(YEAR(Invoer!$A$5),1,1)+ROWS(B$2:B150)-1,"jjjjmmdd")</f>
        <v>19270529</v>
      </c>
      <c r="C150" s="18">
        <f t="shared" ca="1" si="7"/>
        <v>765.5</v>
      </c>
      <c r="D150" s="17">
        <f t="shared" ca="1" si="8"/>
        <v>0</v>
      </c>
    </row>
    <row r="151" spans="1:4" x14ac:dyDescent="0.25">
      <c r="A151" s="4">
        <f t="shared" si="6"/>
        <v>32</v>
      </c>
      <c r="B151" t="str">
        <f ca="1">TEXT(DATE(YEAR(Invoer!$A$5),1,1)+ROWS(B$2:B151)-1,"jjjjmmdd")</f>
        <v>19270530</v>
      </c>
      <c r="C151" s="18">
        <f t="shared" ca="1" si="7"/>
        <v>766.5</v>
      </c>
      <c r="D151" s="17">
        <f t="shared" ca="1" si="8"/>
        <v>0</v>
      </c>
    </row>
    <row r="152" spans="1:4" x14ac:dyDescent="0.25">
      <c r="A152" s="4">
        <f t="shared" si="6"/>
        <v>32</v>
      </c>
      <c r="B152" t="str">
        <f ca="1">TEXT(DATE(YEAR(Invoer!$A$5),1,1)+ROWS(B$2:B152)-1,"jjjjmmdd")</f>
        <v>19270531</v>
      </c>
      <c r="C152" s="18">
        <f t="shared" ca="1" si="7"/>
        <v>766.5</v>
      </c>
      <c r="D152" s="17">
        <f t="shared" ca="1" si="8"/>
        <v>0</v>
      </c>
    </row>
    <row r="153" spans="1:4" x14ac:dyDescent="0.25">
      <c r="A153" s="4">
        <f t="shared" si="6"/>
        <v>32</v>
      </c>
      <c r="B153" t="str">
        <f ca="1">TEXT(DATE(YEAR(Invoer!$A$5),1,1)+ROWS(B$2:B153)-1,"jjjjmmdd")</f>
        <v>19270601</v>
      </c>
      <c r="C153" s="18">
        <f t="shared" ca="1" si="7"/>
        <v>765</v>
      </c>
      <c r="D153" s="17">
        <f t="shared" ca="1" si="8"/>
        <v>0</v>
      </c>
    </row>
    <row r="154" spans="1:4" x14ac:dyDescent="0.25">
      <c r="A154" s="4">
        <f t="shared" si="6"/>
        <v>32</v>
      </c>
      <c r="B154" t="str">
        <f ca="1">TEXT(DATE(YEAR(Invoer!$A$5),1,1)+ROWS(B$2:B154)-1,"jjjjmmdd")</f>
        <v>19270602</v>
      </c>
      <c r="C154" s="18">
        <f t="shared" ca="1" si="7"/>
        <v>765</v>
      </c>
      <c r="D154" s="17">
        <f t="shared" ca="1" si="8"/>
        <v>0</v>
      </c>
    </row>
    <row r="155" spans="1:4" x14ac:dyDescent="0.25">
      <c r="A155" s="4">
        <f t="shared" si="6"/>
        <v>32</v>
      </c>
      <c r="B155" t="str">
        <f ca="1">TEXT(DATE(YEAR(Invoer!$A$5),1,1)+ROWS(B$2:B155)-1,"jjjjmmdd")</f>
        <v>19270603</v>
      </c>
      <c r="C155" s="18">
        <f t="shared" ca="1" si="7"/>
        <v>765.5</v>
      </c>
      <c r="D155" s="17">
        <f t="shared" ca="1" si="8"/>
        <v>0</v>
      </c>
    </row>
    <row r="156" spans="1:4" x14ac:dyDescent="0.25">
      <c r="A156" s="4">
        <f t="shared" si="6"/>
        <v>32</v>
      </c>
      <c r="B156" t="str">
        <f ca="1">TEXT(DATE(YEAR(Invoer!$A$5),1,1)+ROWS(B$2:B156)-1,"jjjjmmdd")</f>
        <v>19270604</v>
      </c>
      <c r="C156" s="18">
        <f t="shared" ca="1" si="7"/>
        <v>765.5</v>
      </c>
      <c r="D156" s="17">
        <f t="shared" ca="1" si="8"/>
        <v>0</v>
      </c>
    </row>
    <row r="157" spans="1:4" x14ac:dyDescent="0.25">
      <c r="A157" s="4">
        <f t="shared" si="6"/>
        <v>32</v>
      </c>
      <c r="B157" t="str">
        <f ca="1">TEXT(DATE(YEAR(Invoer!$A$5),1,1)+ROWS(B$2:B157)-1,"jjjjmmdd")</f>
        <v>19270605</v>
      </c>
      <c r="C157" s="18">
        <f t="shared" ca="1" si="7"/>
        <v>765.5</v>
      </c>
      <c r="D157" s="17">
        <f t="shared" ca="1" si="8"/>
        <v>0</v>
      </c>
    </row>
    <row r="158" spans="1:4" x14ac:dyDescent="0.25">
      <c r="A158" s="4">
        <f t="shared" si="6"/>
        <v>32</v>
      </c>
      <c r="B158" t="str">
        <f ca="1">TEXT(DATE(YEAR(Invoer!$A$5),1,1)+ROWS(B$2:B158)-1,"jjjjmmdd")</f>
        <v>19270606</v>
      </c>
      <c r="C158" s="18">
        <f t="shared" ca="1" si="7"/>
        <v>766.5</v>
      </c>
      <c r="D158" s="17">
        <f t="shared" ca="1" si="8"/>
        <v>0</v>
      </c>
    </row>
    <row r="159" spans="1:4" x14ac:dyDescent="0.25">
      <c r="A159" s="4">
        <f t="shared" si="6"/>
        <v>32</v>
      </c>
      <c r="B159" t="str">
        <f ca="1">TEXT(DATE(YEAR(Invoer!$A$5),1,1)+ROWS(B$2:B159)-1,"jjjjmmdd")</f>
        <v>19270607</v>
      </c>
      <c r="C159" s="18">
        <f t="shared" ca="1" si="7"/>
        <v>766</v>
      </c>
      <c r="D159" s="17">
        <f t="shared" ca="1" si="8"/>
        <v>0</v>
      </c>
    </row>
    <row r="160" spans="1:4" x14ac:dyDescent="0.25">
      <c r="A160" s="4">
        <f t="shared" si="6"/>
        <v>32</v>
      </c>
      <c r="B160" t="str">
        <f ca="1">TEXT(DATE(YEAR(Invoer!$A$5),1,1)+ROWS(B$2:B160)-1,"jjjjmmdd")</f>
        <v>19270608</v>
      </c>
      <c r="C160" s="18">
        <f t="shared" ca="1" si="7"/>
        <v>766</v>
      </c>
      <c r="D160" s="17">
        <f t="shared" ca="1" si="8"/>
        <v>0</v>
      </c>
    </row>
    <row r="161" spans="1:4" x14ac:dyDescent="0.25">
      <c r="A161" s="4">
        <f t="shared" si="6"/>
        <v>32</v>
      </c>
      <c r="B161" t="str">
        <f ca="1">TEXT(DATE(YEAR(Invoer!$A$5),1,1)+ROWS(B$2:B161)-1,"jjjjmmdd")</f>
        <v>19270609</v>
      </c>
      <c r="C161" s="18">
        <f t="shared" ca="1" si="7"/>
        <v>765.5</v>
      </c>
      <c r="D161" s="17">
        <f t="shared" ca="1" si="8"/>
        <v>0</v>
      </c>
    </row>
    <row r="162" spans="1:4" x14ac:dyDescent="0.25">
      <c r="A162" s="4">
        <f t="shared" si="6"/>
        <v>32</v>
      </c>
      <c r="B162" t="str">
        <f ca="1">TEXT(DATE(YEAR(Invoer!$A$5),1,1)+ROWS(B$2:B162)-1,"jjjjmmdd")</f>
        <v>19270610</v>
      </c>
      <c r="C162" s="18">
        <f t="shared" ca="1" si="7"/>
        <v>764.5</v>
      </c>
      <c r="D162" s="17">
        <f t="shared" ca="1" si="8"/>
        <v>0</v>
      </c>
    </row>
    <row r="163" spans="1:4" x14ac:dyDescent="0.25">
      <c r="A163" s="4">
        <f t="shared" si="6"/>
        <v>32</v>
      </c>
      <c r="B163" t="str">
        <f ca="1">TEXT(DATE(YEAR(Invoer!$A$5),1,1)+ROWS(B$2:B163)-1,"jjjjmmdd")</f>
        <v>19270611</v>
      </c>
      <c r="C163" s="18">
        <f t="shared" ca="1" si="7"/>
        <v>765</v>
      </c>
      <c r="D163" s="17">
        <f t="shared" ca="1" si="8"/>
        <v>0</v>
      </c>
    </row>
    <row r="164" spans="1:4" x14ac:dyDescent="0.25">
      <c r="A164" s="4">
        <f t="shared" si="6"/>
        <v>32</v>
      </c>
      <c r="B164" t="str">
        <f ca="1">TEXT(DATE(YEAR(Invoer!$A$5),1,1)+ROWS(B$2:B164)-1,"jjjjmmdd")</f>
        <v>19270612</v>
      </c>
      <c r="C164" s="18">
        <f t="shared" ca="1" si="7"/>
        <v>765</v>
      </c>
      <c r="D164" s="17">
        <f t="shared" ca="1" si="8"/>
        <v>0</v>
      </c>
    </row>
    <row r="165" spans="1:4" x14ac:dyDescent="0.25">
      <c r="A165" s="4">
        <f t="shared" si="6"/>
        <v>32</v>
      </c>
      <c r="B165" t="str">
        <f ca="1">TEXT(DATE(YEAR(Invoer!$A$5),1,1)+ROWS(B$2:B165)-1,"jjjjmmdd")</f>
        <v>19270613</v>
      </c>
      <c r="C165" s="18">
        <f t="shared" ca="1" si="7"/>
        <v>766</v>
      </c>
      <c r="D165" s="17">
        <f t="shared" ca="1" si="8"/>
        <v>0</v>
      </c>
    </row>
    <row r="166" spans="1:4" x14ac:dyDescent="0.25">
      <c r="A166" s="4">
        <f t="shared" si="6"/>
        <v>32</v>
      </c>
      <c r="B166" t="str">
        <f ca="1">TEXT(DATE(YEAR(Invoer!$A$5),1,1)+ROWS(B$2:B166)-1,"jjjjmmdd")</f>
        <v>19270614</v>
      </c>
      <c r="C166" s="18">
        <f t="shared" ca="1" si="7"/>
        <v>765.5</v>
      </c>
      <c r="D166" s="17">
        <f t="shared" ca="1" si="8"/>
        <v>0</v>
      </c>
    </row>
    <row r="167" spans="1:4" x14ac:dyDescent="0.25">
      <c r="A167" s="4">
        <f t="shared" si="6"/>
        <v>32</v>
      </c>
      <c r="B167" t="str">
        <f ca="1">TEXT(DATE(YEAR(Invoer!$A$5),1,1)+ROWS(B$2:B167)-1,"jjjjmmdd")</f>
        <v>19270615</v>
      </c>
      <c r="C167" s="18">
        <f t="shared" ca="1" si="7"/>
        <v>765</v>
      </c>
      <c r="D167" s="17">
        <f t="shared" ca="1" si="8"/>
        <v>0</v>
      </c>
    </row>
    <row r="168" spans="1:4" x14ac:dyDescent="0.25">
      <c r="A168" s="4">
        <f t="shared" si="6"/>
        <v>32</v>
      </c>
      <c r="B168" t="str">
        <f ca="1">TEXT(DATE(YEAR(Invoer!$A$5),1,1)+ROWS(B$2:B168)-1,"jjjjmmdd")</f>
        <v>19270616</v>
      </c>
      <c r="C168" s="18">
        <f t="shared" ca="1" si="7"/>
        <v>765</v>
      </c>
      <c r="D168" s="17">
        <f t="shared" ca="1" si="8"/>
        <v>0</v>
      </c>
    </row>
    <row r="169" spans="1:4" x14ac:dyDescent="0.25">
      <c r="A169" s="4">
        <f t="shared" si="6"/>
        <v>32</v>
      </c>
      <c r="B169" t="str">
        <f ca="1">TEXT(DATE(YEAR(Invoer!$A$5),1,1)+ROWS(B$2:B169)-1,"jjjjmmdd")</f>
        <v>19270617</v>
      </c>
      <c r="C169" s="18">
        <f t="shared" ca="1" si="7"/>
        <v>765.5</v>
      </c>
      <c r="D169" s="17">
        <f t="shared" ca="1" si="8"/>
        <v>0</v>
      </c>
    </row>
    <row r="170" spans="1:4" x14ac:dyDescent="0.25">
      <c r="A170" s="4">
        <f t="shared" si="6"/>
        <v>32</v>
      </c>
      <c r="B170" t="str">
        <f ca="1">TEXT(DATE(YEAR(Invoer!$A$5),1,1)+ROWS(B$2:B170)-1,"jjjjmmdd")</f>
        <v>19270618</v>
      </c>
      <c r="C170" s="18">
        <f t="shared" ca="1" si="7"/>
        <v>766.5</v>
      </c>
      <c r="D170" s="17">
        <f t="shared" ca="1" si="8"/>
        <v>0</v>
      </c>
    </row>
    <row r="171" spans="1:4" x14ac:dyDescent="0.25">
      <c r="A171" s="4">
        <f t="shared" si="6"/>
        <v>32</v>
      </c>
      <c r="B171" t="str">
        <f ca="1">TEXT(DATE(YEAR(Invoer!$A$5),1,1)+ROWS(B$2:B171)-1,"jjjjmmdd")</f>
        <v>19270619</v>
      </c>
      <c r="C171" s="18">
        <f t="shared" ca="1" si="7"/>
        <v>766.5</v>
      </c>
      <c r="D171" s="17">
        <f t="shared" ca="1" si="8"/>
        <v>0</v>
      </c>
    </row>
    <row r="172" spans="1:4" x14ac:dyDescent="0.25">
      <c r="A172" s="4">
        <f t="shared" si="6"/>
        <v>32</v>
      </c>
      <c r="B172" t="str">
        <f ca="1">TEXT(DATE(YEAR(Invoer!$A$5),1,1)+ROWS(B$2:B172)-1,"jjjjmmdd")</f>
        <v>19270620</v>
      </c>
      <c r="C172" s="18">
        <f t="shared" ca="1" si="7"/>
        <v>765.5</v>
      </c>
      <c r="D172" s="17">
        <f t="shared" ca="1" si="8"/>
        <v>0</v>
      </c>
    </row>
    <row r="173" spans="1:4" x14ac:dyDescent="0.25">
      <c r="A173" s="4">
        <f t="shared" si="6"/>
        <v>32</v>
      </c>
      <c r="B173" t="str">
        <f ca="1">TEXT(DATE(YEAR(Invoer!$A$5),1,1)+ROWS(B$2:B173)-1,"jjjjmmdd")</f>
        <v>19270621</v>
      </c>
      <c r="C173" s="18">
        <f t="shared" ca="1" si="7"/>
        <v>765.5</v>
      </c>
      <c r="D173" s="17">
        <f t="shared" ca="1" si="8"/>
        <v>0</v>
      </c>
    </row>
    <row r="174" spans="1:4" x14ac:dyDescent="0.25">
      <c r="A174" s="4">
        <f t="shared" si="6"/>
        <v>32</v>
      </c>
      <c r="B174" t="str">
        <f ca="1">TEXT(DATE(YEAR(Invoer!$A$5),1,1)+ROWS(B$2:B174)-1,"jjjjmmdd")</f>
        <v>19270622</v>
      </c>
      <c r="C174" s="18">
        <f t="shared" ca="1" si="7"/>
        <v>765.5</v>
      </c>
      <c r="D174" s="17">
        <f t="shared" ca="1" si="8"/>
        <v>0</v>
      </c>
    </row>
    <row r="175" spans="1:4" x14ac:dyDescent="0.25">
      <c r="A175" s="4">
        <f t="shared" si="6"/>
        <v>32</v>
      </c>
      <c r="B175" t="str">
        <f ca="1">TEXT(DATE(YEAR(Invoer!$A$5),1,1)+ROWS(B$2:B175)-1,"jjjjmmdd")</f>
        <v>19270623</v>
      </c>
      <c r="C175" s="18">
        <f t="shared" ca="1" si="7"/>
        <v>766.5</v>
      </c>
      <c r="D175" s="17">
        <f t="shared" ca="1" si="8"/>
        <v>0</v>
      </c>
    </row>
    <row r="176" spans="1:4" x14ac:dyDescent="0.25">
      <c r="A176" s="4">
        <f t="shared" si="6"/>
        <v>32</v>
      </c>
      <c r="B176" t="str">
        <f ca="1">TEXT(DATE(YEAR(Invoer!$A$5),1,1)+ROWS(B$2:B176)-1,"jjjjmmdd")</f>
        <v>19270624</v>
      </c>
      <c r="C176" s="18">
        <f t="shared" ca="1" si="7"/>
        <v>766</v>
      </c>
      <c r="D176" s="17">
        <f t="shared" ca="1" si="8"/>
        <v>0</v>
      </c>
    </row>
    <row r="177" spans="1:4" x14ac:dyDescent="0.25">
      <c r="A177" s="4">
        <f t="shared" si="6"/>
        <v>32</v>
      </c>
      <c r="B177" t="str">
        <f ca="1">TEXT(DATE(YEAR(Invoer!$A$5),1,1)+ROWS(B$2:B177)-1,"jjjjmmdd")</f>
        <v>19270625</v>
      </c>
      <c r="C177" s="18">
        <f t="shared" ca="1" si="7"/>
        <v>766.5</v>
      </c>
      <c r="D177" s="17">
        <f t="shared" ca="1" si="8"/>
        <v>0</v>
      </c>
    </row>
    <row r="178" spans="1:4" x14ac:dyDescent="0.25">
      <c r="A178" s="4">
        <f t="shared" si="6"/>
        <v>32</v>
      </c>
      <c r="B178" t="str">
        <f ca="1">TEXT(DATE(YEAR(Invoer!$A$5),1,1)+ROWS(B$2:B178)-1,"jjjjmmdd")</f>
        <v>19270626</v>
      </c>
      <c r="C178" s="18">
        <f t="shared" ca="1" si="7"/>
        <v>765.5</v>
      </c>
      <c r="D178" s="17">
        <f t="shared" ca="1" si="8"/>
        <v>0</v>
      </c>
    </row>
    <row r="179" spans="1:4" x14ac:dyDescent="0.25">
      <c r="A179" s="4">
        <f t="shared" si="6"/>
        <v>32</v>
      </c>
      <c r="B179" t="str">
        <f ca="1">TEXT(DATE(YEAR(Invoer!$A$5),1,1)+ROWS(B$2:B179)-1,"jjjjmmdd")</f>
        <v>19270627</v>
      </c>
      <c r="C179" s="18">
        <f t="shared" ca="1" si="7"/>
        <v>766</v>
      </c>
      <c r="D179" s="17">
        <f t="shared" ca="1" si="8"/>
        <v>0</v>
      </c>
    </row>
    <row r="180" spans="1:4" x14ac:dyDescent="0.25">
      <c r="A180" s="4">
        <f t="shared" si="6"/>
        <v>32</v>
      </c>
      <c r="B180" t="str">
        <f ca="1">TEXT(DATE(YEAR(Invoer!$A$5),1,1)+ROWS(B$2:B180)-1,"jjjjmmdd")</f>
        <v>19270628</v>
      </c>
      <c r="C180" s="18">
        <f t="shared" ca="1" si="7"/>
        <v>766.5</v>
      </c>
      <c r="D180" s="17">
        <f t="shared" ca="1" si="8"/>
        <v>0</v>
      </c>
    </row>
    <row r="181" spans="1:4" x14ac:dyDescent="0.25">
      <c r="A181" s="4">
        <f t="shared" si="6"/>
        <v>32</v>
      </c>
      <c r="B181" t="str">
        <f ca="1">TEXT(DATE(YEAR(Invoer!$A$5),1,1)+ROWS(B$2:B181)-1,"jjjjmmdd")</f>
        <v>19270629</v>
      </c>
      <c r="C181" s="18">
        <f t="shared" ca="1" si="7"/>
        <v>765</v>
      </c>
      <c r="D181" s="17">
        <f t="shared" ca="1" si="8"/>
        <v>0</v>
      </c>
    </row>
    <row r="182" spans="1:4" x14ac:dyDescent="0.25">
      <c r="A182" s="4">
        <f t="shared" si="6"/>
        <v>32</v>
      </c>
      <c r="B182" t="str">
        <f ca="1">TEXT(DATE(YEAR(Invoer!$A$5),1,1)+ROWS(B$2:B182)-1,"jjjjmmdd")</f>
        <v>19270630</v>
      </c>
      <c r="C182" s="18">
        <f t="shared" ca="1" si="7"/>
        <v>765.5</v>
      </c>
      <c r="D182" s="17">
        <f t="shared" ca="1" si="8"/>
        <v>0</v>
      </c>
    </row>
    <row r="183" spans="1:4" x14ac:dyDescent="0.25">
      <c r="A183" s="4">
        <f t="shared" si="6"/>
        <v>32</v>
      </c>
      <c r="B183" t="str">
        <f ca="1">TEXT(DATE(YEAR(Invoer!$A$5),1,1)+ROWS(B$2:B183)-1,"jjjjmmdd")</f>
        <v>19270701</v>
      </c>
      <c r="C183" s="18">
        <f t="shared" ca="1" si="7"/>
        <v>765.5</v>
      </c>
      <c r="D183" s="17">
        <f t="shared" ca="1" si="8"/>
        <v>0</v>
      </c>
    </row>
    <row r="184" spans="1:4" x14ac:dyDescent="0.25">
      <c r="A184" s="4">
        <f t="shared" si="6"/>
        <v>32</v>
      </c>
      <c r="B184" t="str">
        <f ca="1">TEXT(DATE(YEAR(Invoer!$A$5),1,1)+ROWS(B$2:B184)-1,"jjjjmmdd")</f>
        <v>19270702</v>
      </c>
      <c r="C184" s="18">
        <f t="shared" ca="1" si="7"/>
        <v>767</v>
      </c>
      <c r="D184" s="17">
        <f t="shared" ca="1" si="8"/>
        <v>0</v>
      </c>
    </row>
    <row r="185" spans="1:4" x14ac:dyDescent="0.25">
      <c r="A185" s="4">
        <f t="shared" si="6"/>
        <v>32</v>
      </c>
      <c r="B185" t="str">
        <f ca="1">TEXT(DATE(YEAR(Invoer!$A$5),1,1)+ROWS(B$2:B185)-1,"jjjjmmdd")</f>
        <v>19270703</v>
      </c>
      <c r="C185" s="18">
        <f t="shared" ca="1" si="7"/>
        <v>767</v>
      </c>
      <c r="D185" s="17">
        <f t="shared" ca="1" si="8"/>
        <v>0</v>
      </c>
    </row>
    <row r="186" spans="1:4" x14ac:dyDescent="0.25">
      <c r="A186" s="4">
        <f t="shared" si="6"/>
        <v>32</v>
      </c>
      <c r="B186" t="str">
        <f ca="1">TEXT(DATE(YEAR(Invoer!$A$5),1,1)+ROWS(B$2:B186)-1,"jjjjmmdd")</f>
        <v>19270704</v>
      </c>
      <c r="C186" s="18">
        <f t="shared" ca="1" si="7"/>
        <v>767</v>
      </c>
      <c r="D186" s="17">
        <f t="shared" ca="1" si="8"/>
        <v>0</v>
      </c>
    </row>
    <row r="187" spans="1:4" x14ac:dyDescent="0.25">
      <c r="A187" s="4">
        <f t="shared" si="6"/>
        <v>32</v>
      </c>
      <c r="B187" t="str">
        <f ca="1">TEXT(DATE(YEAR(Invoer!$A$5),1,1)+ROWS(B$2:B187)-1,"jjjjmmdd")</f>
        <v>19270705</v>
      </c>
      <c r="C187" s="18">
        <f t="shared" ca="1" si="7"/>
        <v>766.5</v>
      </c>
      <c r="D187" s="17">
        <f t="shared" ca="1" si="8"/>
        <v>0</v>
      </c>
    </row>
    <row r="188" spans="1:4" x14ac:dyDescent="0.25">
      <c r="A188" s="4">
        <f t="shared" si="6"/>
        <v>32</v>
      </c>
      <c r="B188" t="str">
        <f ca="1">TEXT(DATE(YEAR(Invoer!$A$5),1,1)+ROWS(B$2:B188)-1,"jjjjmmdd")</f>
        <v>19270706</v>
      </c>
      <c r="C188" s="18">
        <f t="shared" ca="1" si="7"/>
        <v>766.5</v>
      </c>
      <c r="D188" s="17">
        <f t="shared" ca="1" si="8"/>
        <v>0</v>
      </c>
    </row>
    <row r="189" spans="1:4" x14ac:dyDescent="0.25">
      <c r="A189" s="4">
        <f t="shared" si="6"/>
        <v>32</v>
      </c>
      <c r="B189" t="str">
        <f ca="1">TEXT(DATE(YEAR(Invoer!$A$5),1,1)+ROWS(B$2:B189)-1,"jjjjmmdd")</f>
        <v>19270707</v>
      </c>
      <c r="C189" s="18">
        <f t="shared" ca="1" si="7"/>
        <v>765.5</v>
      </c>
      <c r="D189" s="17">
        <f t="shared" ca="1" si="8"/>
        <v>0</v>
      </c>
    </row>
    <row r="190" spans="1:4" x14ac:dyDescent="0.25">
      <c r="A190" s="4">
        <f t="shared" si="6"/>
        <v>32</v>
      </c>
      <c r="B190" t="str">
        <f ca="1">TEXT(DATE(YEAR(Invoer!$A$5),1,1)+ROWS(B$2:B190)-1,"jjjjmmdd")</f>
        <v>19270708</v>
      </c>
      <c r="C190" s="18">
        <f t="shared" ca="1" si="7"/>
        <v>767.5</v>
      </c>
      <c r="D190" s="17">
        <f t="shared" ca="1" si="8"/>
        <v>0</v>
      </c>
    </row>
    <row r="191" spans="1:4" x14ac:dyDescent="0.25">
      <c r="A191" s="4">
        <f t="shared" si="6"/>
        <v>32</v>
      </c>
      <c r="B191" t="str">
        <f ca="1">TEXT(DATE(YEAR(Invoer!$A$5),1,1)+ROWS(B$2:B191)-1,"jjjjmmdd")</f>
        <v>19270709</v>
      </c>
      <c r="C191" s="18">
        <f t="shared" ca="1" si="7"/>
        <v>767.5</v>
      </c>
      <c r="D191" s="17">
        <f t="shared" ca="1" si="8"/>
        <v>0</v>
      </c>
    </row>
    <row r="192" spans="1:4" x14ac:dyDescent="0.25">
      <c r="A192" s="4">
        <f t="shared" si="6"/>
        <v>32</v>
      </c>
      <c r="B192" t="str">
        <f ca="1">TEXT(DATE(YEAR(Invoer!$A$5),1,1)+ROWS(B$2:B192)-1,"jjjjmmdd")</f>
        <v>19270710</v>
      </c>
      <c r="C192" s="18">
        <f t="shared" ca="1" si="7"/>
        <v>766.5</v>
      </c>
      <c r="D192" s="17">
        <f t="shared" ca="1" si="8"/>
        <v>0</v>
      </c>
    </row>
    <row r="193" spans="1:4" x14ac:dyDescent="0.25">
      <c r="A193" s="4">
        <f t="shared" si="6"/>
        <v>32</v>
      </c>
      <c r="B193" t="str">
        <f ca="1">TEXT(DATE(YEAR(Invoer!$A$5),1,1)+ROWS(B$2:B193)-1,"jjjjmmdd")</f>
        <v>19270711</v>
      </c>
      <c r="C193" s="18">
        <f t="shared" ca="1" si="7"/>
        <v>766.5</v>
      </c>
      <c r="D193" s="17">
        <f t="shared" ca="1" si="8"/>
        <v>0</v>
      </c>
    </row>
    <row r="194" spans="1:4" x14ac:dyDescent="0.25">
      <c r="A194" s="4">
        <f t="shared" ref="A194:A257" si="9">INDEX(Stations,2,1)</f>
        <v>32</v>
      </c>
      <c r="B194" t="str">
        <f ca="1">TEXT(DATE(YEAR(Invoer!$A$5),1,1)+ROWS(B$2:B194)-1,"jjjjmmdd")</f>
        <v>19270712</v>
      </c>
      <c r="C194" s="18">
        <f t="shared" ref="C194:C257" ca="1" si="10">IF(OR(ISBLANK(VLOOKUP(DATEVALUE(LEFT($B194,4)&amp;"-"&amp;MID($B194,5,2)&amp;"-"&amp;RIGHT($B194,2)),Data,MATCH(LEFT(VLOOKUP(C$1,Parameters,2,FALSE()),4)&amp;"*",OFFSET(Data,0,0,1),0),FALSE())),ISTEXT(VLOOKUP(DATEVALUE(LEFT($B194,4)&amp;"-"&amp;MID($B194,5,2)&amp;"-"&amp;RIGHT($B194,2)),Data,MATCH(LEFT(VLOOKUP(C$1,Parameters,2,FALSE()),4)&amp;"*",OFFSET(Data,0,0,1),0),FALSE()))),"—",VLOOKUP(DATEVALUE(LEFT($B194,4)&amp;"-"&amp;MID($B194,5,2)&amp;"-"&amp;RIGHT($B194,2)),Data,MATCH(LEFT(VLOOKUP(C$1,Parameters,2,FALSE()),4)&amp;"*",OFFSET(Data,0,0,1),0),FALSE())/10)</f>
        <v>766.5</v>
      </c>
      <c r="D194" s="17">
        <f t="shared" ref="D194:D257" ca="1" si="11">IF(OR(ISBLANK(VLOOKUP(DATEVALUE(LEFT($B194,4)&amp;"-"&amp;MID($B194,5,2)&amp;"-"&amp;RIGHT($B194,2)),Data,MATCH(LEFT(VLOOKUP(MID(D$1,2,LEN(D$1)-1),Parameters,2,FALSE()),4)&amp;"*",OFFSET(Data,0,0,1),0),FALSE())),ISTEXT(VLOOKUP(DATEVALUE(LEFT($B194,4)&amp;"-"&amp;MID($B194,5,2)&amp;"-"&amp;RIGHT($B194,2)),Data,MATCH(LEFT(VLOOKUP(MID(D$1,2,LEN(D$1)-1),Parameters,2,FALSE()),4)&amp;"*",OFFSET(Data,0,0,1),0),FALSE()))),Lacking,IF(ISNA(MATCH(DATEVALUE(LEFT($B194,4)&amp;"-"&amp;MID($B194,5,2)&amp;"-"&amp;RIGHT($B194,2)),OFFSET(Catalogus,0,0,,1),0)),Ok,VLOOKUP(DATEVALUE(LEFT($B194,4)&amp;"-"&amp;MID($B194,5,2)&amp;"-"&amp;RIGHT($B194,2)),Catalogus,MATCH(LEFT(VLOOKUP(MID(D$1,2,LEN(D$1)-1),Parameters,2,FALSE()),4)&amp;"*",OFFSET(Catalogus,0,0,1),0),FALSE())))</f>
        <v>0</v>
      </c>
    </row>
    <row r="195" spans="1:4" x14ac:dyDescent="0.25">
      <c r="A195" s="4">
        <f t="shared" si="9"/>
        <v>32</v>
      </c>
      <c r="B195" t="str">
        <f ca="1">TEXT(DATE(YEAR(Invoer!$A$5),1,1)+ROWS(B$2:B195)-1,"jjjjmmdd")</f>
        <v>19270713</v>
      </c>
      <c r="C195" s="18">
        <f t="shared" ca="1" si="10"/>
        <v>766</v>
      </c>
      <c r="D195" s="17">
        <f t="shared" ca="1" si="11"/>
        <v>0</v>
      </c>
    </row>
    <row r="196" spans="1:4" x14ac:dyDescent="0.25">
      <c r="A196" s="4">
        <f t="shared" si="9"/>
        <v>32</v>
      </c>
      <c r="B196" t="str">
        <f ca="1">TEXT(DATE(YEAR(Invoer!$A$5),1,1)+ROWS(B$2:B196)-1,"jjjjmmdd")</f>
        <v>19270714</v>
      </c>
      <c r="C196" s="18">
        <f t="shared" ca="1" si="10"/>
        <v>766.5</v>
      </c>
      <c r="D196" s="17">
        <f t="shared" ca="1" si="11"/>
        <v>0</v>
      </c>
    </row>
    <row r="197" spans="1:4" x14ac:dyDescent="0.25">
      <c r="A197" s="4">
        <f t="shared" si="9"/>
        <v>32</v>
      </c>
      <c r="B197" t="str">
        <f ca="1">TEXT(DATE(YEAR(Invoer!$A$5),1,1)+ROWS(B$2:B197)-1,"jjjjmmdd")</f>
        <v>19270715</v>
      </c>
      <c r="C197" s="18">
        <f t="shared" ca="1" si="10"/>
        <v>765.5</v>
      </c>
      <c r="D197" s="17">
        <f t="shared" ca="1" si="11"/>
        <v>0</v>
      </c>
    </row>
    <row r="198" spans="1:4" x14ac:dyDescent="0.25">
      <c r="A198" s="4">
        <f t="shared" si="9"/>
        <v>32</v>
      </c>
      <c r="B198" t="str">
        <f ca="1">TEXT(DATE(YEAR(Invoer!$A$5),1,1)+ROWS(B$2:B198)-1,"jjjjmmdd")</f>
        <v>19270716</v>
      </c>
      <c r="C198" s="18">
        <f t="shared" ca="1" si="10"/>
        <v>765.5</v>
      </c>
      <c r="D198" s="17">
        <f t="shared" ca="1" si="11"/>
        <v>0</v>
      </c>
    </row>
    <row r="199" spans="1:4" x14ac:dyDescent="0.25">
      <c r="A199" s="4">
        <f t="shared" si="9"/>
        <v>32</v>
      </c>
      <c r="B199" t="str">
        <f ca="1">TEXT(DATE(YEAR(Invoer!$A$5),1,1)+ROWS(B$2:B199)-1,"jjjjmmdd")</f>
        <v>19270717</v>
      </c>
      <c r="C199" s="18">
        <f t="shared" ca="1" si="10"/>
        <v>767</v>
      </c>
      <c r="D199" s="17">
        <f t="shared" ca="1" si="11"/>
        <v>0</v>
      </c>
    </row>
    <row r="200" spans="1:4" x14ac:dyDescent="0.25">
      <c r="A200" s="4">
        <f t="shared" si="9"/>
        <v>32</v>
      </c>
      <c r="B200" t="str">
        <f ca="1">TEXT(DATE(YEAR(Invoer!$A$5),1,1)+ROWS(B$2:B200)-1,"jjjjmmdd")</f>
        <v>19270718</v>
      </c>
      <c r="C200" s="18">
        <f t="shared" ca="1" si="10"/>
        <v>766.5</v>
      </c>
      <c r="D200" s="17">
        <f t="shared" ca="1" si="11"/>
        <v>0</v>
      </c>
    </row>
    <row r="201" spans="1:4" x14ac:dyDescent="0.25">
      <c r="A201" s="4">
        <f t="shared" si="9"/>
        <v>32</v>
      </c>
      <c r="B201" t="str">
        <f ca="1">TEXT(DATE(YEAR(Invoer!$A$5),1,1)+ROWS(B$2:B201)-1,"jjjjmmdd")</f>
        <v>19270719</v>
      </c>
      <c r="C201" s="18">
        <f t="shared" ca="1" si="10"/>
        <v>766</v>
      </c>
      <c r="D201" s="17">
        <f t="shared" ca="1" si="11"/>
        <v>0</v>
      </c>
    </row>
    <row r="202" spans="1:4" x14ac:dyDescent="0.25">
      <c r="A202" s="4">
        <f t="shared" si="9"/>
        <v>32</v>
      </c>
      <c r="B202" t="str">
        <f ca="1">TEXT(DATE(YEAR(Invoer!$A$5),1,1)+ROWS(B$2:B202)-1,"jjjjmmdd")</f>
        <v>19270720</v>
      </c>
      <c r="C202" s="18">
        <f t="shared" ca="1" si="10"/>
        <v>764.5</v>
      </c>
      <c r="D202" s="17">
        <f t="shared" ca="1" si="11"/>
        <v>0</v>
      </c>
    </row>
    <row r="203" spans="1:4" x14ac:dyDescent="0.25">
      <c r="A203" s="4">
        <f t="shared" si="9"/>
        <v>32</v>
      </c>
      <c r="B203" t="str">
        <f ca="1">TEXT(DATE(YEAR(Invoer!$A$5),1,1)+ROWS(B$2:B203)-1,"jjjjmmdd")</f>
        <v>19270721</v>
      </c>
      <c r="C203" s="18">
        <f t="shared" ca="1" si="10"/>
        <v>764.5</v>
      </c>
      <c r="D203" s="17">
        <f t="shared" ca="1" si="11"/>
        <v>0</v>
      </c>
    </row>
    <row r="204" spans="1:4" x14ac:dyDescent="0.25">
      <c r="A204" s="4">
        <f t="shared" si="9"/>
        <v>32</v>
      </c>
      <c r="B204" t="str">
        <f ca="1">TEXT(DATE(YEAR(Invoer!$A$5),1,1)+ROWS(B$2:B204)-1,"jjjjmmdd")</f>
        <v>19270722</v>
      </c>
      <c r="C204" s="18">
        <f t="shared" ca="1" si="10"/>
        <v>764.5</v>
      </c>
      <c r="D204" s="17">
        <f t="shared" ca="1" si="11"/>
        <v>0</v>
      </c>
    </row>
    <row r="205" spans="1:4" x14ac:dyDescent="0.25">
      <c r="A205" s="4">
        <f t="shared" si="9"/>
        <v>32</v>
      </c>
      <c r="B205" t="str">
        <f ca="1">TEXT(DATE(YEAR(Invoer!$A$5),1,1)+ROWS(B$2:B205)-1,"jjjjmmdd")</f>
        <v>19270723</v>
      </c>
      <c r="C205" s="18">
        <f t="shared" ca="1" si="10"/>
        <v>765</v>
      </c>
      <c r="D205" s="17">
        <f t="shared" ca="1" si="11"/>
        <v>0</v>
      </c>
    </row>
    <row r="206" spans="1:4" x14ac:dyDescent="0.25">
      <c r="A206" s="4">
        <f t="shared" si="9"/>
        <v>32</v>
      </c>
      <c r="B206" t="str">
        <f ca="1">TEXT(DATE(YEAR(Invoer!$A$5),1,1)+ROWS(B$2:B206)-1,"jjjjmmdd")</f>
        <v>19270724</v>
      </c>
      <c r="C206" s="18">
        <f t="shared" ca="1" si="10"/>
        <v>766.5</v>
      </c>
      <c r="D206" s="17">
        <f t="shared" ca="1" si="11"/>
        <v>0</v>
      </c>
    </row>
    <row r="207" spans="1:4" x14ac:dyDescent="0.25">
      <c r="A207" s="4">
        <f t="shared" si="9"/>
        <v>32</v>
      </c>
      <c r="B207" t="str">
        <f ca="1">TEXT(DATE(YEAR(Invoer!$A$5),1,1)+ROWS(B$2:B207)-1,"jjjjmmdd")</f>
        <v>19270725</v>
      </c>
      <c r="C207" s="18">
        <f t="shared" ca="1" si="10"/>
        <v>767.5</v>
      </c>
      <c r="D207" s="17">
        <f t="shared" ca="1" si="11"/>
        <v>0</v>
      </c>
    </row>
    <row r="208" spans="1:4" x14ac:dyDescent="0.25">
      <c r="A208" s="4">
        <f t="shared" si="9"/>
        <v>32</v>
      </c>
      <c r="B208" t="str">
        <f ca="1">TEXT(DATE(YEAR(Invoer!$A$5),1,1)+ROWS(B$2:B208)-1,"jjjjmmdd")</f>
        <v>19270726</v>
      </c>
      <c r="C208" s="18">
        <f t="shared" ca="1" si="10"/>
        <v>766.5</v>
      </c>
      <c r="D208" s="17">
        <f t="shared" ca="1" si="11"/>
        <v>0</v>
      </c>
    </row>
    <row r="209" spans="1:4" x14ac:dyDescent="0.25">
      <c r="A209" s="4">
        <f t="shared" si="9"/>
        <v>32</v>
      </c>
      <c r="B209" t="str">
        <f ca="1">TEXT(DATE(YEAR(Invoer!$A$5),1,1)+ROWS(B$2:B209)-1,"jjjjmmdd")</f>
        <v>19270727</v>
      </c>
      <c r="C209" s="18">
        <f t="shared" ca="1" si="10"/>
        <v>766.5</v>
      </c>
      <c r="D209" s="17">
        <f t="shared" ca="1" si="11"/>
        <v>0</v>
      </c>
    </row>
    <row r="210" spans="1:4" x14ac:dyDescent="0.25">
      <c r="A210" s="4">
        <f t="shared" si="9"/>
        <v>32</v>
      </c>
      <c r="B210" t="str">
        <f ca="1">TEXT(DATE(YEAR(Invoer!$A$5),1,1)+ROWS(B$2:B210)-1,"jjjjmmdd")</f>
        <v>19270728</v>
      </c>
      <c r="C210" s="18">
        <f t="shared" ca="1" si="10"/>
        <v>766.5</v>
      </c>
      <c r="D210" s="17">
        <f t="shared" ca="1" si="11"/>
        <v>0</v>
      </c>
    </row>
    <row r="211" spans="1:4" x14ac:dyDescent="0.25">
      <c r="A211" s="4">
        <f t="shared" si="9"/>
        <v>32</v>
      </c>
      <c r="B211" t="str">
        <f ca="1">TEXT(DATE(YEAR(Invoer!$A$5),1,1)+ROWS(B$2:B211)-1,"jjjjmmdd")</f>
        <v>19270729</v>
      </c>
      <c r="C211" s="18">
        <f t="shared" ca="1" si="10"/>
        <v>765.5</v>
      </c>
      <c r="D211" s="17">
        <f t="shared" ca="1" si="11"/>
        <v>0</v>
      </c>
    </row>
    <row r="212" spans="1:4" x14ac:dyDescent="0.25">
      <c r="A212" s="4">
        <f t="shared" si="9"/>
        <v>32</v>
      </c>
      <c r="B212" t="str">
        <f ca="1">TEXT(DATE(YEAR(Invoer!$A$5),1,1)+ROWS(B$2:B212)-1,"jjjjmmdd")</f>
        <v>19270730</v>
      </c>
      <c r="C212" s="18">
        <f t="shared" ca="1" si="10"/>
        <v>766.5</v>
      </c>
      <c r="D212" s="17">
        <f t="shared" ca="1" si="11"/>
        <v>0</v>
      </c>
    </row>
    <row r="213" spans="1:4" x14ac:dyDescent="0.25">
      <c r="A213" s="4">
        <f t="shared" si="9"/>
        <v>32</v>
      </c>
      <c r="B213" t="str">
        <f ca="1">TEXT(DATE(YEAR(Invoer!$A$5),1,1)+ROWS(B$2:B213)-1,"jjjjmmdd")</f>
        <v>19270731</v>
      </c>
      <c r="C213" s="18">
        <f t="shared" ca="1" si="10"/>
        <v>766.5</v>
      </c>
      <c r="D213" s="17">
        <f t="shared" ca="1" si="11"/>
        <v>0</v>
      </c>
    </row>
    <row r="214" spans="1:4" x14ac:dyDescent="0.25">
      <c r="A214" s="4">
        <f t="shared" si="9"/>
        <v>32</v>
      </c>
      <c r="B214" t="str">
        <f ca="1">TEXT(DATE(YEAR(Invoer!$A$5),1,1)+ROWS(B$2:B214)-1,"jjjjmmdd")</f>
        <v>19270801</v>
      </c>
      <c r="C214" s="18">
        <f t="shared" ca="1" si="10"/>
        <v>765.5</v>
      </c>
      <c r="D214" s="17">
        <f t="shared" ca="1" si="11"/>
        <v>0</v>
      </c>
    </row>
    <row r="215" spans="1:4" x14ac:dyDescent="0.25">
      <c r="A215" s="4">
        <f t="shared" si="9"/>
        <v>32</v>
      </c>
      <c r="B215" t="str">
        <f ca="1">TEXT(DATE(YEAR(Invoer!$A$5),1,1)+ROWS(B$2:B215)-1,"jjjjmmdd")</f>
        <v>19270802</v>
      </c>
      <c r="C215" s="18">
        <f t="shared" ca="1" si="10"/>
        <v>765.5</v>
      </c>
      <c r="D215" s="17">
        <f t="shared" ca="1" si="11"/>
        <v>0</v>
      </c>
    </row>
    <row r="216" spans="1:4" x14ac:dyDescent="0.25">
      <c r="A216" s="4">
        <f t="shared" si="9"/>
        <v>32</v>
      </c>
      <c r="B216" t="str">
        <f ca="1">TEXT(DATE(YEAR(Invoer!$A$5),1,1)+ROWS(B$2:B216)-1,"jjjjmmdd")</f>
        <v>19270803</v>
      </c>
      <c r="C216" s="18">
        <f t="shared" ca="1" si="10"/>
        <v>764.5</v>
      </c>
      <c r="D216" s="17">
        <f t="shared" ca="1" si="11"/>
        <v>0</v>
      </c>
    </row>
    <row r="217" spans="1:4" x14ac:dyDescent="0.25">
      <c r="A217" s="4">
        <f t="shared" si="9"/>
        <v>32</v>
      </c>
      <c r="B217" t="str">
        <f ca="1">TEXT(DATE(YEAR(Invoer!$A$5),1,1)+ROWS(B$2:B217)-1,"jjjjmmdd")</f>
        <v>19270804</v>
      </c>
      <c r="C217" s="18">
        <f t="shared" ca="1" si="10"/>
        <v>764</v>
      </c>
      <c r="D217" s="17">
        <f t="shared" ca="1" si="11"/>
        <v>0</v>
      </c>
    </row>
    <row r="218" spans="1:4" x14ac:dyDescent="0.25">
      <c r="A218" s="4">
        <f t="shared" si="9"/>
        <v>32</v>
      </c>
      <c r="B218" t="str">
        <f ca="1">TEXT(DATE(YEAR(Invoer!$A$5),1,1)+ROWS(B$2:B218)-1,"jjjjmmdd")</f>
        <v>19270805</v>
      </c>
      <c r="C218" s="18">
        <f t="shared" ca="1" si="10"/>
        <v>765</v>
      </c>
      <c r="D218" s="17">
        <f t="shared" ca="1" si="11"/>
        <v>0</v>
      </c>
    </row>
    <row r="219" spans="1:4" x14ac:dyDescent="0.25">
      <c r="A219" s="4">
        <f t="shared" si="9"/>
        <v>32</v>
      </c>
      <c r="B219" t="str">
        <f ca="1">TEXT(DATE(YEAR(Invoer!$A$5),1,1)+ROWS(B$2:B219)-1,"jjjjmmdd")</f>
        <v>19270806</v>
      </c>
      <c r="C219" s="18">
        <f t="shared" ca="1" si="10"/>
        <v>764.5</v>
      </c>
      <c r="D219" s="17">
        <f t="shared" ca="1" si="11"/>
        <v>0</v>
      </c>
    </row>
    <row r="220" spans="1:4" x14ac:dyDescent="0.25">
      <c r="A220" s="4">
        <f t="shared" si="9"/>
        <v>32</v>
      </c>
      <c r="B220" t="str">
        <f ca="1">TEXT(DATE(YEAR(Invoer!$A$5),1,1)+ROWS(B$2:B220)-1,"jjjjmmdd")</f>
        <v>19270807</v>
      </c>
      <c r="C220" s="18">
        <f t="shared" ca="1" si="10"/>
        <v>764</v>
      </c>
      <c r="D220" s="17">
        <f t="shared" ca="1" si="11"/>
        <v>0</v>
      </c>
    </row>
    <row r="221" spans="1:4" x14ac:dyDescent="0.25">
      <c r="A221" s="4">
        <f t="shared" si="9"/>
        <v>32</v>
      </c>
      <c r="B221" t="str">
        <f ca="1">TEXT(DATE(YEAR(Invoer!$A$5),1,1)+ROWS(B$2:B221)-1,"jjjjmmdd")</f>
        <v>19270808</v>
      </c>
      <c r="C221" s="18">
        <f t="shared" ca="1" si="10"/>
        <v>765</v>
      </c>
      <c r="D221" s="17">
        <f t="shared" ca="1" si="11"/>
        <v>0</v>
      </c>
    </row>
    <row r="222" spans="1:4" x14ac:dyDescent="0.25">
      <c r="A222" s="4">
        <f t="shared" si="9"/>
        <v>32</v>
      </c>
      <c r="B222" t="str">
        <f ca="1">TEXT(DATE(YEAR(Invoer!$A$5),1,1)+ROWS(B$2:B222)-1,"jjjjmmdd")</f>
        <v>19270809</v>
      </c>
      <c r="C222" s="18">
        <f t="shared" ca="1" si="10"/>
        <v>765</v>
      </c>
      <c r="D222" s="17">
        <f t="shared" ca="1" si="11"/>
        <v>0</v>
      </c>
    </row>
    <row r="223" spans="1:4" x14ac:dyDescent="0.25">
      <c r="A223" s="4">
        <f t="shared" si="9"/>
        <v>32</v>
      </c>
      <c r="B223" t="str">
        <f ca="1">TEXT(DATE(YEAR(Invoer!$A$5),1,1)+ROWS(B$2:B223)-1,"jjjjmmdd")</f>
        <v>19270810</v>
      </c>
      <c r="C223" s="18">
        <f t="shared" ca="1" si="10"/>
        <v>765</v>
      </c>
      <c r="D223" s="17">
        <f t="shared" ca="1" si="11"/>
        <v>0</v>
      </c>
    </row>
    <row r="224" spans="1:4" x14ac:dyDescent="0.25">
      <c r="A224" s="4">
        <f t="shared" si="9"/>
        <v>32</v>
      </c>
      <c r="B224" t="str">
        <f ca="1">TEXT(DATE(YEAR(Invoer!$A$5),1,1)+ROWS(B$2:B224)-1,"jjjjmmdd")</f>
        <v>19270811</v>
      </c>
      <c r="C224" s="18">
        <f t="shared" ca="1" si="10"/>
        <v>765.5</v>
      </c>
      <c r="D224" s="17">
        <f t="shared" ca="1" si="11"/>
        <v>0</v>
      </c>
    </row>
    <row r="225" spans="1:4" x14ac:dyDescent="0.25">
      <c r="A225" s="4">
        <f t="shared" si="9"/>
        <v>32</v>
      </c>
      <c r="B225" t="str">
        <f ca="1">TEXT(DATE(YEAR(Invoer!$A$5),1,1)+ROWS(B$2:B225)-1,"jjjjmmdd")</f>
        <v>19270812</v>
      </c>
      <c r="C225" s="18">
        <f t="shared" ca="1" si="10"/>
        <v>766.5</v>
      </c>
      <c r="D225" s="17">
        <f t="shared" ca="1" si="11"/>
        <v>0</v>
      </c>
    </row>
    <row r="226" spans="1:4" x14ac:dyDescent="0.25">
      <c r="A226" s="4">
        <f t="shared" si="9"/>
        <v>32</v>
      </c>
      <c r="B226" t="str">
        <f ca="1">TEXT(DATE(YEAR(Invoer!$A$5),1,1)+ROWS(B$2:B226)-1,"jjjjmmdd")</f>
        <v>19270813</v>
      </c>
      <c r="C226" s="18">
        <f t="shared" ca="1" si="10"/>
        <v>765.5</v>
      </c>
      <c r="D226" s="17">
        <f t="shared" ca="1" si="11"/>
        <v>0</v>
      </c>
    </row>
    <row r="227" spans="1:4" x14ac:dyDescent="0.25">
      <c r="A227" s="4">
        <f t="shared" si="9"/>
        <v>32</v>
      </c>
      <c r="B227" t="str">
        <f ca="1">TEXT(DATE(YEAR(Invoer!$A$5),1,1)+ROWS(B$2:B227)-1,"jjjjmmdd")</f>
        <v>19270814</v>
      </c>
      <c r="C227" s="18">
        <f t="shared" ca="1" si="10"/>
        <v>765</v>
      </c>
      <c r="D227" s="17">
        <f t="shared" ca="1" si="11"/>
        <v>0</v>
      </c>
    </row>
    <row r="228" spans="1:4" x14ac:dyDescent="0.25">
      <c r="A228" s="4">
        <f t="shared" si="9"/>
        <v>32</v>
      </c>
      <c r="B228" t="str">
        <f ca="1">TEXT(DATE(YEAR(Invoer!$A$5),1,1)+ROWS(B$2:B228)-1,"jjjjmmdd")</f>
        <v>19270815</v>
      </c>
      <c r="C228" s="18">
        <f t="shared" ca="1" si="10"/>
        <v>766</v>
      </c>
      <c r="D228" s="17">
        <f t="shared" ca="1" si="11"/>
        <v>0</v>
      </c>
    </row>
    <row r="229" spans="1:4" x14ac:dyDescent="0.25">
      <c r="A229" s="4">
        <f t="shared" si="9"/>
        <v>32</v>
      </c>
      <c r="B229" t="str">
        <f ca="1">TEXT(DATE(YEAR(Invoer!$A$5),1,1)+ROWS(B$2:B229)-1,"jjjjmmdd")</f>
        <v>19270816</v>
      </c>
      <c r="C229" s="18">
        <f t="shared" ca="1" si="10"/>
        <v>765</v>
      </c>
      <c r="D229" s="17">
        <f t="shared" ca="1" si="11"/>
        <v>0</v>
      </c>
    </row>
    <row r="230" spans="1:4" x14ac:dyDescent="0.25">
      <c r="A230" s="4">
        <f t="shared" si="9"/>
        <v>32</v>
      </c>
      <c r="B230" t="str">
        <f ca="1">TEXT(DATE(YEAR(Invoer!$A$5),1,1)+ROWS(B$2:B230)-1,"jjjjmmdd")</f>
        <v>19270817</v>
      </c>
      <c r="C230" s="18">
        <f t="shared" ca="1" si="10"/>
        <v>764.5</v>
      </c>
      <c r="D230" s="17">
        <f t="shared" ca="1" si="11"/>
        <v>0</v>
      </c>
    </row>
    <row r="231" spans="1:4" x14ac:dyDescent="0.25">
      <c r="A231" s="4">
        <f t="shared" si="9"/>
        <v>32</v>
      </c>
      <c r="B231" t="str">
        <f ca="1">TEXT(DATE(YEAR(Invoer!$A$5),1,1)+ROWS(B$2:B231)-1,"jjjjmmdd")</f>
        <v>19270818</v>
      </c>
      <c r="C231" s="18">
        <f t="shared" ca="1" si="10"/>
        <v>765</v>
      </c>
      <c r="D231" s="17">
        <f t="shared" ca="1" si="11"/>
        <v>0</v>
      </c>
    </row>
    <row r="232" spans="1:4" x14ac:dyDescent="0.25">
      <c r="A232" s="4">
        <f t="shared" si="9"/>
        <v>32</v>
      </c>
      <c r="B232" t="str">
        <f ca="1">TEXT(DATE(YEAR(Invoer!$A$5),1,1)+ROWS(B$2:B232)-1,"jjjjmmdd")</f>
        <v>19270819</v>
      </c>
      <c r="C232" s="18">
        <f t="shared" ca="1" si="10"/>
        <v>765</v>
      </c>
      <c r="D232" s="17">
        <f t="shared" ca="1" si="11"/>
        <v>0</v>
      </c>
    </row>
    <row r="233" spans="1:4" x14ac:dyDescent="0.25">
      <c r="A233" s="4">
        <f t="shared" si="9"/>
        <v>32</v>
      </c>
      <c r="B233" t="str">
        <f ca="1">TEXT(DATE(YEAR(Invoer!$A$5),1,1)+ROWS(B$2:B233)-1,"jjjjmmdd")</f>
        <v>19270820</v>
      </c>
      <c r="C233" s="18">
        <f t="shared" ca="1" si="10"/>
        <v>765</v>
      </c>
      <c r="D233" s="17">
        <f t="shared" ca="1" si="11"/>
        <v>0</v>
      </c>
    </row>
    <row r="234" spans="1:4" x14ac:dyDescent="0.25">
      <c r="A234" s="4">
        <f t="shared" si="9"/>
        <v>32</v>
      </c>
      <c r="B234" t="str">
        <f ca="1">TEXT(DATE(YEAR(Invoer!$A$5),1,1)+ROWS(B$2:B234)-1,"jjjjmmdd")</f>
        <v>19270821</v>
      </c>
      <c r="C234" s="18">
        <f t="shared" ca="1" si="10"/>
        <v>764.5</v>
      </c>
      <c r="D234" s="17">
        <f t="shared" ca="1" si="11"/>
        <v>0</v>
      </c>
    </row>
    <row r="235" spans="1:4" x14ac:dyDescent="0.25">
      <c r="A235" s="4">
        <f t="shared" si="9"/>
        <v>32</v>
      </c>
      <c r="B235" t="str">
        <f ca="1">TEXT(DATE(YEAR(Invoer!$A$5),1,1)+ROWS(B$2:B235)-1,"jjjjmmdd")</f>
        <v>19270822</v>
      </c>
      <c r="C235" s="18">
        <f t="shared" ca="1" si="10"/>
        <v>764.5</v>
      </c>
      <c r="D235" s="17">
        <f t="shared" ca="1" si="11"/>
        <v>0</v>
      </c>
    </row>
    <row r="236" spans="1:4" x14ac:dyDescent="0.25">
      <c r="A236" s="4">
        <f t="shared" si="9"/>
        <v>32</v>
      </c>
      <c r="B236" t="str">
        <f ca="1">TEXT(DATE(YEAR(Invoer!$A$5),1,1)+ROWS(B$2:B236)-1,"jjjjmmdd")</f>
        <v>19270823</v>
      </c>
      <c r="C236" s="18">
        <f t="shared" ca="1" si="10"/>
        <v>765</v>
      </c>
      <c r="D236" s="17">
        <f t="shared" ca="1" si="11"/>
        <v>0</v>
      </c>
    </row>
    <row r="237" spans="1:4" x14ac:dyDescent="0.25">
      <c r="A237" s="4">
        <f t="shared" si="9"/>
        <v>32</v>
      </c>
      <c r="B237" t="str">
        <f ca="1">TEXT(DATE(YEAR(Invoer!$A$5),1,1)+ROWS(B$2:B237)-1,"jjjjmmdd")</f>
        <v>19270824</v>
      </c>
      <c r="C237" s="18">
        <f t="shared" ca="1" si="10"/>
        <v>765</v>
      </c>
      <c r="D237" s="17">
        <f t="shared" ca="1" si="11"/>
        <v>0</v>
      </c>
    </row>
    <row r="238" spans="1:4" x14ac:dyDescent="0.25">
      <c r="A238" s="4">
        <f t="shared" si="9"/>
        <v>32</v>
      </c>
      <c r="B238" t="str">
        <f ca="1">TEXT(DATE(YEAR(Invoer!$A$5),1,1)+ROWS(B$2:B238)-1,"jjjjmmdd")</f>
        <v>19270825</v>
      </c>
      <c r="C238" s="18">
        <f t="shared" ca="1" si="10"/>
        <v>764.5</v>
      </c>
      <c r="D238" s="17">
        <f t="shared" ca="1" si="11"/>
        <v>0</v>
      </c>
    </row>
    <row r="239" spans="1:4" x14ac:dyDescent="0.25">
      <c r="A239" s="4">
        <f t="shared" si="9"/>
        <v>32</v>
      </c>
      <c r="B239" t="str">
        <f ca="1">TEXT(DATE(YEAR(Invoer!$A$5),1,1)+ROWS(B$2:B239)-1,"jjjjmmdd")</f>
        <v>19270826</v>
      </c>
      <c r="C239" s="18">
        <f t="shared" ca="1" si="10"/>
        <v>765.5</v>
      </c>
      <c r="D239" s="17">
        <f t="shared" ca="1" si="11"/>
        <v>0</v>
      </c>
    </row>
    <row r="240" spans="1:4" x14ac:dyDescent="0.25">
      <c r="A240" s="4">
        <f t="shared" si="9"/>
        <v>32</v>
      </c>
      <c r="B240" t="str">
        <f ca="1">TEXT(DATE(YEAR(Invoer!$A$5),1,1)+ROWS(B$2:B240)-1,"jjjjmmdd")</f>
        <v>19270827</v>
      </c>
      <c r="C240" s="18">
        <f t="shared" ca="1" si="10"/>
        <v>765.5</v>
      </c>
      <c r="D240" s="17">
        <f t="shared" ca="1" si="11"/>
        <v>0</v>
      </c>
    </row>
    <row r="241" spans="1:4" x14ac:dyDescent="0.25">
      <c r="A241" s="4">
        <f t="shared" si="9"/>
        <v>32</v>
      </c>
      <c r="B241" t="str">
        <f ca="1">TEXT(DATE(YEAR(Invoer!$A$5),1,1)+ROWS(B$2:B241)-1,"jjjjmmdd")</f>
        <v>19270828</v>
      </c>
      <c r="C241" s="18">
        <f t="shared" ca="1" si="10"/>
        <v>765.5</v>
      </c>
      <c r="D241" s="17">
        <f t="shared" ca="1" si="11"/>
        <v>0</v>
      </c>
    </row>
    <row r="242" spans="1:4" x14ac:dyDescent="0.25">
      <c r="A242" s="4">
        <f t="shared" si="9"/>
        <v>32</v>
      </c>
      <c r="B242" t="str">
        <f ca="1">TEXT(DATE(YEAR(Invoer!$A$5),1,1)+ROWS(B$2:B242)-1,"jjjjmmdd")</f>
        <v>19270829</v>
      </c>
      <c r="C242" s="18">
        <f t="shared" ca="1" si="10"/>
        <v>764</v>
      </c>
      <c r="D242" s="17">
        <f t="shared" ca="1" si="11"/>
        <v>0</v>
      </c>
    </row>
    <row r="243" spans="1:4" x14ac:dyDescent="0.25">
      <c r="A243" s="4">
        <f t="shared" si="9"/>
        <v>32</v>
      </c>
      <c r="B243" t="str">
        <f ca="1">TEXT(DATE(YEAR(Invoer!$A$5),1,1)+ROWS(B$2:B243)-1,"jjjjmmdd")</f>
        <v>19270830</v>
      </c>
      <c r="C243" s="18">
        <f t="shared" ca="1" si="10"/>
        <v>764</v>
      </c>
      <c r="D243" s="17">
        <f t="shared" ca="1" si="11"/>
        <v>0</v>
      </c>
    </row>
    <row r="244" spans="1:4" x14ac:dyDescent="0.25">
      <c r="A244" s="4">
        <f t="shared" si="9"/>
        <v>32</v>
      </c>
      <c r="B244" t="str">
        <f ca="1">TEXT(DATE(YEAR(Invoer!$A$5),1,1)+ROWS(B$2:B244)-1,"jjjjmmdd")</f>
        <v>19270831</v>
      </c>
      <c r="C244" s="18">
        <f t="shared" ca="1" si="10"/>
        <v>764.5</v>
      </c>
      <c r="D244" s="17">
        <f t="shared" ca="1" si="11"/>
        <v>0</v>
      </c>
    </row>
    <row r="245" spans="1:4" x14ac:dyDescent="0.25">
      <c r="A245" s="4">
        <f t="shared" si="9"/>
        <v>32</v>
      </c>
      <c r="B245" t="str">
        <f ca="1">TEXT(DATE(YEAR(Invoer!$A$5),1,1)+ROWS(B$2:B245)-1,"jjjjmmdd")</f>
        <v>19270901</v>
      </c>
      <c r="C245" s="18">
        <f t="shared" ca="1" si="10"/>
        <v>763.5</v>
      </c>
      <c r="D245" s="17">
        <f t="shared" ca="1" si="11"/>
        <v>0</v>
      </c>
    </row>
    <row r="246" spans="1:4" x14ac:dyDescent="0.25">
      <c r="A246" s="4">
        <f t="shared" si="9"/>
        <v>32</v>
      </c>
      <c r="B246" t="str">
        <f ca="1">TEXT(DATE(YEAR(Invoer!$A$5),1,1)+ROWS(B$2:B246)-1,"jjjjmmdd")</f>
        <v>19270902</v>
      </c>
      <c r="C246" s="18">
        <f t="shared" ca="1" si="10"/>
        <v>763.5</v>
      </c>
      <c r="D246" s="17">
        <f t="shared" ca="1" si="11"/>
        <v>0</v>
      </c>
    </row>
    <row r="247" spans="1:4" x14ac:dyDescent="0.25">
      <c r="A247" s="4">
        <f t="shared" si="9"/>
        <v>32</v>
      </c>
      <c r="B247" t="str">
        <f ca="1">TEXT(DATE(YEAR(Invoer!$A$5),1,1)+ROWS(B$2:B247)-1,"jjjjmmdd")</f>
        <v>19270903</v>
      </c>
      <c r="C247" s="18">
        <f t="shared" ca="1" si="10"/>
        <v>763.5</v>
      </c>
      <c r="D247" s="17">
        <f t="shared" ca="1" si="11"/>
        <v>0</v>
      </c>
    </row>
    <row r="248" spans="1:4" x14ac:dyDescent="0.25">
      <c r="A248" s="4">
        <f t="shared" si="9"/>
        <v>32</v>
      </c>
      <c r="B248" t="str">
        <f ca="1">TEXT(DATE(YEAR(Invoer!$A$5),1,1)+ROWS(B$2:B248)-1,"jjjjmmdd")</f>
        <v>19270904</v>
      </c>
      <c r="C248" s="18">
        <f t="shared" ca="1" si="10"/>
        <v>764</v>
      </c>
      <c r="D248" s="17">
        <f t="shared" ca="1" si="11"/>
        <v>0</v>
      </c>
    </row>
    <row r="249" spans="1:4" x14ac:dyDescent="0.25">
      <c r="A249" s="4">
        <f t="shared" si="9"/>
        <v>32</v>
      </c>
      <c r="B249" t="str">
        <f ca="1">TEXT(DATE(YEAR(Invoer!$A$5),1,1)+ROWS(B$2:B249)-1,"jjjjmmdd")</f>
        <v>19270905</v>
      </c>
      <c r="C249" s="18">
        <f t="shared" ca="1" si="10"/>
        <v>763.5</v>
      </c>
      <c r="D249" s="17">
        <f t="shared" ca="1" si="11"/>
        <v>0</v>
      </c>
    </row>
    <row r="250" spans="1:4" x14ac:dyDescent="0.25">
      <c r="A250" s="4">
        <f t="shared" si="9"/>
        <v>32</v>
      </c>
      <c r="B250" t="str">
        <f ca="1">TEXT(DATE(YEAR(Invoer!$A$5),1,1)+ROWS(B$2:B250)-1,"jjjjmmdd")</f>
        <v>19270906</v>
      </c>
      <c r="C250" s="18">
        <f t="shared" ca="1" si="10"/>
        <v>764</v>
      </c>
      <c r="D250" s="17">
        <f t="shared" ca="1" si="11"/>
        <v>0</v>
      </c>
    </row>
    <row r="251" spans="1:4" x14ac:dyDescent="0.25">
      <c r="A251" s="4">
        <f t="shared" si="9"/>
        <v>32</v>
      </c>
      <c r="B251" t="str">
        <f ca="1">TEXT(DATE(YEAR(Invoer!$A$5),1,1)+ROWS(B$2:B251)-1,"jjjjmmdd")</f>
        <v>19270907</v>
      </c>
      <c r="C251" s="18">
        <f t="shared" ca="1" si="10"/>
        <v>764</v>
      </c>
      <c r="D251" s="17">
        <f t="shared" ca="1" si="11"/>
        <v>0</v>
      </c>
    </row>
    <row r="252" spans="1:4" x14ac:dyDescent="0.25">
      <c r="A252" s="4">
        <f t="shared" si="9"/>
        <v>32</v>
      </c>
      <c r="B252" t="str">
        <f ca="1">TEXT(DATE(YEAR(Invoer!$A$5),1,1)+ROWS(B$2:B252)-1,"jjjjmmdd")</f>
        <v>19270908</v>
      </c>
      <c r="C252" s="18">
        <f t="shared" ca="1" si="10"/>
        <v>763.5</v>
      </c>
      <c r="D252" s="17">
        <f t="shared" ca="1" si="11"/>
        <v>0</v>
      </c>
    </row>
    <row r="253" spans="1:4" x14ac:dyDescent="0.25">
      <c r="A253" s="4">
        <f t="shared" si="9"/>
        <v>32</v>
      </c>
      <c r="B253" t="str">
        <f ca="1">TEXT(DATE(YEAR(Invoer!$A$5),1,1)+ROWS(B$2:B253)-1,"jjjjmmdd")</f>
        <v>19270909</v>
      </c>
      <c r="C253" s="18">
        <f t="shared" ca="1" si="10"/>
        <v>765</v>
      </c>
      <c r="D253" s="17">
        <f t="shared" ca="1" si="11"/>
        <v>0</v>
      </c>
    </row>
    <row r="254" spans="1:4" x14ac:dyDescent="0.25">
      <c r="A254" s="4">
        <f t="shared" si="9"/>
        <v>32</v>
      </c>
      <c r="B254" t="str">
        <f ca="1">TEXT(DATE(YEAR(Invoer!$A$5),1,1)+ROWS(B$2:B254)-1,"jjjjmmdd")</f>
        <v>19270910</v>
      </c>
      <c r="C254" s="18">
        <f t="shared" ca="1" si="10"/>
        <v>765</v>
      </c>
      <c r="D254" s="17">
        <f t="shared" ca="1" si="11"/>
        <v>0</v>
      </c>
    </row>
    <row r="255" spans="1:4" x14ac:dyDescent="0.25">
      <c r="A255" s="4">
        <f t="shared" si="9"/>
        <v>32</v>
      </c>
      <c r="B255" t="str">
        <f ca="1">TEXT(DATE(YEAR(Invoer!$A$5),1,1)+ROWS(B$2:B255)-1,"jjjjmmdd")</f>
        <v>19270911</v>
      </c>
      <c r="C255" s="18">
        <f t="shared" ca="1" si="10"/>
        <v>765</v>
      </c>
      <c r="D255" s="17">
        <f t="shared" ca="1" si="11"/>
        <v>0</v>
      </c>
    </row>
    <row r="256" spans="1:4" x14ac:dyDescent="0.25">
      <c r="A256" s="4">
        <f t="shared" si="9"/>
        <v>32</v>
      </c>
      <c r="B256" t="str">
        <f ca="1">TEXT(DATE(YEAR(Invoer!$A$5),1,1)+ROWS(B$2:B256)-1,"jjjjmmdd")</f>
        <v>19270912</v>
      </c>
      <c r="C256" s="18">
        <f t="shared" ca="1" si="10"/>
        <v>764</v>
      </c>
      <c r="D256" s="17">
        <f t="shared" ca="1" si="11"/>
        <v>0</v>
      </c>
    </row>
    <row r="257" spans="1:4" x14ac:dyDescent="0.25">
      <c r="A257" s="4">
        <f t="shared" si="9"/>
        <v>32</v>
      </c>
      <c r="B257" t="str">
        <f ca="1">TEXT(DATE(YEAR(Invoer!$A$5),1,1)+ROWS(B$2:B257)-1,"jjjjmmdd")</f>
        <v>19270913</v>
      </c>
      <c r="C257" s="18">
        <f t="shared" ca="1" si="10"/>
        <v>764</v>
      </c>
      <c r="D257" s="17">
        <f t="shared" ca="1" si="11"/>
        <v>0</v>
      </c>
    </row>
    <row r="258" spans="1:4" x14ac:dyDescent="0.25">
      <c r="A258" s="4">
        <f t="shared" ref="A258:A321" si="12">INDEX(Stations,2,1)</f>
        <v>32</v>
      </c>
      <c r="B258" t="str">
        <f ca="1">TEXT(DATE(YEAR(Invoer!$A$5),1,1)+ROWS(B$2:B258)-1,"jjjjmmdd")</f>
        <v>19270914</v>
      </c>
      <c r="C258" s="18">
        <f t="shared" ref="C258:C321" ca="1" si="13">IF(OR(ISBLANK(VLOOKUP(DATEVALUE(LEFT($B258,4)&amp;"-"&amp;MID($B258,5,2)&amp;"-"&amp;RIGHT($B258,2)),Data,MATCH(LEFT(VLOOKUP(C$1,Parameters,2,FALSE()),4)&amp;"*",OFFSET(Data,0,0,1),0),FALSE())),ISTEXT(VLOOKUP(DATEVALUE(LEFT($B258,4)&amp;"-"&amp;MID($B258,5,2)&amp;"-"&amp;RIGHT($B258,2)),Data,MATCH(LEFT(VLOOKUP(C$1,Parameters,2,FALSE()),4)&amp;"*",OFFSET(Data,0,0,1),0),FALSE()))),"—",VLOOKUP(DATEVALUE(LEFT($B258,4)&amp;"-"&amp;MID($B258,5,2)&amp;"-"&amp;RIGHT($B258,2)),Data,MATCH(LEFT(VLOOKUP(C$1,Parameters,2,FALSE()),4)&amp;"*",OFFSET(Data,0,0,1),0),FALSE())/10)</f>
        <v>764.5</v>
      </c>
      <c r="D258" s="17">
        <f t="shared" ref="D258:D321" ca="1" si="14">IF(OR(ISBLANK(VLOOKUP(DATEVALUE(LEFT($B258,4)&amp;"-"&amp;MID($B258,5,2)&amp;"-"&amp;RIGHT($B258,2)),Data,MATCH(LEFT(VLOOKUP(MID(D$1,2,LEN(D$1)-1),Parameters,2,FALSE()),4)&amp;"*",OFFSET(Data,0,0,1),0),FALSE())),ISTEXT(VLOOKUP(DATEVALUE(LEFT($B258,4)&amp;"-"&amp;MID($B258,5,2)&amp;"-"&amp;RIGHT($B258,2)),Data,MATCH(LEFT(VLOOKUP(MID(D$1,2,LEN(D$1)-1),Parameters,2,FALSE()),4)&amp;"*",OFFSET(Data,0,0,1),0),FALSE()))),Lacking,IF(ISNA(MATCH(DATEVALUE(LEFT($B258,4)&amp;"-"&amp;MID($B258,5,2)&amp;"-"&amp;RIGHT($B258,2)),OFFSET(Catalogus,0,0,,1),0)),Ok,VLOOKUP(DATEVALUE(LEFT($B258,4)&amp;"-"&amp;MID($B258,5,2)&amp;"-"&amp;RIGHT($B258,2)),Catalogus,MATCH(LEFT(VLOOKUP(MID(D$1,2,LEN(D$1)-1),Parameters,2,FALSE()),4)&amp;"*",OFFSET(Catalogus,0,0,1),0),FALSE())))</f>
        <v>0</v>
      </c>
    </row>
    <row r="259" spans="1:4" x14ac:dyDescent="0.25">
      <c r="A259" s="4">
        <f t="shared" si="12"/>
        <v>32</v>
      </c>
      <c r="B259" t="str">
        <f ca="1">TEXT(DATE(YEAR(Invoer!$A$5),1,1)+ROWS(B$2:B259)-1,"jjjjmmdd")</f>
        <v>19270915</v>
      </c>
      <c r="C259" s="18">
        <f t="shared" ca="1" si="13"/>
        <v>764.5</v>
      </c>
      <c r="D259" s="17">
        <f t="shared" ca="1" si="14"/>
        <v>0</v>
      </c>
    </row>
    <row r="260" spans="1:4" x14ac:dyDescent="0.25">
      <c r="A260" s="4">
        <f t="shared" si="12"/>
        <v>32</v>
      </c>
      <c r="B260" t="str">
        <f ca="1">TEXT(DATE(YEAR(Invoer!$A$5),1,1)+ROWS(B$2:B260)-1,"jjjjmmdd")</f>
        <v>19270916</v>
      </c>
      <c r="C260" s="18">
        <f t="shared" ca="1" si="13"/>
        <v>764</v>
      </c>
      <c r="D260" s="17">
        <f t="shared" ca="1" si="14"/>
        <v>0</v>
      </c>
    </row>
    <row r="261" spans="1:4" x14ac:dyDescent="0.25">
      <c r="A261" s="4">
        <f t="shared" si="12"/>
        <v>32</v>
      </c>
      <c r="B261" t="str">
        <f ca="1">TEXT(DATE(YEAR(Invoer!$A$5),1,1)+ROWS(B$2:B261)-1,"jjjjmmdd")</f>
        <v>19270917</v>
      </c>
      <c r="C261" s="18">
        <f t="shared" ca="1" si="13"/>
        <v>764.5</v>
      </c>
      <c r="D261" s="17">
        <f t="shared" ca="1" si="14"/>
        <v>0</v>
      </c>
    </row>
    <row r="262" spans="1:4" x14ac:dyDescent="0.25">
      <c r="A262" s="4">
        <f t="shared" si="12"/>
        <v>32</v>
      </c>
      <c r="B262" t="str">
        <f ca="1">TEXT(DATE(YEAR(Invoer!$A$5),1,1)+ROWS(B$2:B262)-1,"jjjjmmdd")</f>
        <v>19270918</v>
      </c>
      <c r="C262" s="18">
        <f t="shared" ca="1" si="13"/>
        <v>764</v>
      </c>
      <c r="D262" s="17">
        <f t="shared" ca="1" si="14"/>
        <v>0</v>
      </c>
    </row>
    <row r="263" spans="1:4" x14ac:dyDescent="0.25">
      <c r="A263" s="4">
        <f t="shared" si="12"/>
        <v>32</v>
      </c>
      <c r="B263" t="str">
        <f ca="1">TEXT(DATE(YEAR(Invoer!$A$5),1,1)+ROWS(B$2:B263)-1,"jjjjmmdd")</f>
        <v>19270919</v>
      </c>
      <c r="C263" s="18">
        <f t="shared" ca="1" si="13"/>
        <v>763</v>
      </c>
      <c r="D263" s="17">
        <f t="shared" ca="1" si="14"/>
        <v>0</v>
      </c>
    </row>
    <row r="264" spans="1:4" x14ac:dyDescent="0.25">
      <c r="A264" s="4">
        <f t="shared" si="12"/>
        <v>32</v>
      </c>
      <c r="B264" t="str">
        <f ca="1">TEXT(DATE(YEAR(Invoer!$A$5),1,1)+ROWS(B$2:B264)-1,"jjjjmmdd")</f>
        <v>19270920</v>
      </c>
      <c r="C264" s="18">
        <f t="shared" ca="1" si="13"/>
        <v>763.5</v>
      </c>
      <c r="D264" s="17">
        <f t="shared" ca="1" si="14"/>
        <v>0</v>
      </c>
    </row>
    <row r="265" spans="1:4" x14ac:dyDescent="0.25">
      <c r="A265" s="4">
        <f t="shared" si="12"/>
        <v>32</v>
      </c>
      <c r="B265" t="str">
        <f ca="1">TEXT(DATE(YEAR(Invoer!$A$5),1,1)+ROWS(B$2:B265)-1,"jjjjmmdd")</f>
        <v>19270921</v>
      </c>
      <c r="C265" s="18">
        <f t="shared" ca="1" si="13"/>
        <v>764.5</v>
      </c>
      <c r="D265" s="17">
        <f t="shared" ca="1" si="14"/>
        <v>0</v>
      </c>
    </row>
    <row r="266" spans="1:4" x14ac:dyDescent="0.25">
      <c r="A266" s="4">
        <f t="shared" si="12"/>
        <v>32</v>
      </c>
      <c r="B266" t="str">
        <f ca="1">TEXT(DATE(YEAR(Invoer!$A$5),1,1)+ROWS(B$2:B266)-1,"jjjjmmdd")</f>
        <v>19270922</v>
      </c>
      <c r="C266" s="18">
        <f t="shared" ca="1" si="13"/>
        <v>764.5</v>
      </c>
      <c r="D266" s="17">
        <f t="shared" ca="1" si="14"/>
        <v>0</v>
      </c>
    </row>
    <row r="267" spans="1:4" x14ac:dyDescent="0.25">
      <c r="A267" s="4">
        <f t="shared" si="12"/>
        <v>32</v>
      </c>
      <c r="B267" t="str">
        <f ca="1">TEXT(DATE(YEAR(Invoer!$A$5),1,1)+ROWS(B$2:B267)-1,"jjjjmmdd")</f>
        <v>19270923</v>
      </c>
      <c r="C267" s="18">
        <f t="shared" ca="1" si="13"/>
        <v>764</v>
      </c>
      <c r="D267" s="17">
        <f t="shared" ca="1" si="14"/>
        <v>0</v>
      </c>
    </row>
    <row r="268" spans="1:4" x14ac:dyDescent="0.25">
      <c r="A268" s="4">
        <f t="shared" si="12"/>
        <v>32</v>
      </c>
      <c r="B268" t="str">
        <f ca="1">TEXT(DATE(YEAR(Invoer!$A$5),1,1)+ROWS(B$2:B268)-1,"jjjjmmdd")</f>
        <v>19270924</v>
      </c>
      <c r="C268" s="18">
        <f t="shared" ca="1" si="13"/>
        <v>763.5</v>
      </c>
      <c r="D268" s="17">
        <f t="shared" ca="1" si="14"/>
        <v>0</v>
      </c>
    </row>
    <row r="269" spans="1:4" x14ac:dyDescent="0.25">
      <c r="A269" s="4">
        <f t="shared" si="12"/>
        <v>32</v>
      </c>
      <c r="B269" t="str">
        <f ca="1">TEXT(DATE(YEAR(Invoer!$A$5),1,1)+ROWS(B$2:B269)-1,"jjjjmmdd")</f>
        <v>19270925</v>
      </c>
      <c r="C269" s="18">
        <f t="shared" ca="1" si="13"/>
        <v>764.5</v>
      </c>
      <c r="D269" s="17">
        <f t="shared" ca="1" si="14"/>
        <v>0</v>
      </c>
    </row>
    <row r="270" spans="1:4" x14ac:dyDescent="0.25">
      <c r="A270" s="4">
        <f t="shared" si="12"/>
        <v>32</v>
      </c>
      <c r="B270" t="str">
        <f ca="1">TEXT(DATE(YEAR(Invoer!$A$5),1,1)+ROWS(B$2:B270)-1,"jjjjmmdd")</f>
        <v>19270926</v>
      </c>
      <c r="C270" s="18">
        <f t="shared" ca="1" si="13"/>
        <v>764</v>
      </c>
      <c r="D270" s="17">
        <f t="shared" ca="1" si="14"/>
        <v>0</v>
      </c>
    </row>
    <row r="271" spans="1:4" x14ac:dyDescent="0.25">
      <c r="A271" s="4">
        <f t="shared" si="12"/>
        <v>32</v>
      </c>
      <c r="B271" t="str">
        <f ca="1">TEXT(DATE(YEAR(Invoer!$A$5),1,1)+ROWS(B$2:B271)-1,"jjjjmmdd")</f>
        <v>19270927</v>
      </c>
      <c r="C271" s="18">
        <f t="shared" ca="1" si="13"/>
        <v>764</v>
      </c>
      <c r="D271" s="17">
        <f t="shared" ca="1" si="14"/>
        <v>0</v>
      </c>
    </row>
    <row r="272" spans="1:4" x14ac:dyDescent="0.25">
      <c r="A272" s="4">
        <f t="shared" si="12"/>
        <v>32</v>
      </c>
      <c r="B272" t="str">
        <f ca="1">TEXT(DATE(YEAR(Invoer!$A$5),1,1)+ROWS(B$2:B272)-1,"jjjjmmdd")</f>
        <v>19270928</v>
      </c>
      <c r="C272" s="18">
        <f t="shared" ca="1" si="13"/>
        <v>764.5</v>
      </c>
      <c r="D272" s="17">
        <f t="shared" ca="1" si="14"/>
        <v>0</v>
      </c>
    </row>
    <row r="273" spans="1:4" x14ac:dyDescent="0.25">
      <c r="A273" s="4">
        <f t="shared" si="12"/>
        <v>32</v>
      </c>
      <c r="B273" t="str">
        <f ca="1">TEXT(DATE(YEAR(Invoer!$A$5),1,1)+ROWS(B$2:B273)-1,"jjjjmmdd")</f>
        <v>19270929</v>
      </c>
      <c r="C273" s="18">
        <f t="shared" ca="1" si="13"/>
        <v>762</v>
      </c>
      <c r="D273" s="17">
        <f t="shared" ca="1" si="14"/>
        <v>0</v>
      </c>
    </row>
    <row r="274" spans="1:4" x14ac:dyDescent="0.25">
      <c r="A274" s="4">
        <f t="shared" si="12"/>
        <v>32</v>
      </c>
      <c r="B274" t="str">
        <f ca="1">TEXT(DATE(YEAR(Invoer!$A$5),1,1)+ROWS(B$2:B274)-1,"jjjjmmdd")</f>
        <v>19270930</v>
      </c>
      <c r="C274" s="18">
        <f t="shared" ca="1" si="13"/>
        <v>762.5</v>
      </c>
      <c r="D274" s="17">
        <f t="shared" ca="1" si="14"/>
        <v>0</v>
      </c>
    </row>
    <row r="275" spans="1:4" x14ac:dyDescent="0.25">
      <c r="A275" s="4">
        <f t="shared" si="12"/>
        <v>32</v>
      </c>
      <c r="B275" t="str">
        <f ca="1">TEXT(DATE(YEAR(Invoer!$A$5),1,1)+ROWS(B$2:B275)-1,"jjjjmmdd")</f>
        <v>19271001</v>
      </c>
      <c r="C275" s="18">
        <f t="shared" ca="1" si="13"/>
        <v>763.5</v>
      </c>
      <c r="D275" s="17">
        <f t="shared" ca="1" si="14"/>
        <v>0</v>
      </c>
    </row>
    <row r="276" spans="1:4" x14ac:dyDescent="0.25">
      <c r="A276" s="4">
        <f t="shared" si="12"/>
        <v>32</v>
      </c>
      <c r="B276" t="str">
        <f ca="1">TEXT(DATE(YEAR(Invoer!$A$5),1,1)+ROWS(B$2:B276)-1,"jjjjmmdd")</f>
        <v>19271002</v>
      </c>
      <c r="C276" s="18">
        <f t="shared" ca="1" si="13"/>
        <v>764</v>
      </c>
      <c r="D276" s="17">
        <f t="shared" ca="1" si="14"/>
        <v>0</v>
      </c>
    </row>
    <row r="277" spans="1:4" x14ac:dyDescent="0.25">
      <c r="A277" s="4">
        <f t="shared" si="12"/>
        <v>32</v>
      </c>
      <c r="B277" t="str">
        <f ca="1">TEXT(DATE(YEAR(Invoer!$A$5),1,1)+ROWS(B$2:B277)-1,"jjjjmmdd")</f>
        <v>19271003</v>
      </c>
      <c r="C277" s="18">
        <f t="shared" ca="1" si="13"/>
        <v>765</v>
      </c>
      <c r="D277" s="17">
        <f t="shared" ca="1" si="14"/>
        <v>0</v>
      </c>
    </row>
    <row r="278" spans="1:4" x14ac:dyDescent="0.25">
      <c r="A278" s="4">
        <f t="shared" si="12"/>
        <v>32</v>
      </c>
      <c r="B278" t="str">
        <f ca="1">TEXT(DATE(YEAR(Invoer!$A$5),1,1)+ROWS(B$2:B278)-1,"jjjjmmdd")</f>
        <v>19271004</v>
      </c>
      <c r="C278" s="18">
        <f t="shared" ca="1" si="13"/>
        <v>764</v>
      </c>
      <c r="D278" s="17">
        <f t="shared" ca="1" si="14"/>
        <v>0</v>
      </c>
    </row>
    <row r="279" spans="1:4" x14ac:dyDescent="0.25">
      <c r="A279" s="4">
        <f t="shared" si="12"/>
        <v>32</v>
      </c>
      <c r="B279" t="str">
        <f ca="1">TEXT(DATE(YEAR(Invoer!$A$5),1,1)+ROWS(B$2:B279)-1,"jjjjmmdd")</f>
        <v>19271005</v>
      </c>
      <c r="C279" s="18">
        <f t="shared" ca="1" si="13"/>
        <v>763.5</v>
      </c>
      <c r="D279" s="17">
        <f t="shared" ca="1" si="14"/>
        <v>0</v>
      </c>
    </row>
    <row r="280" spans="1:4" x14ac:dyDescent="0.25">
      <c r="A280" s="4">
        <f t="shared" si="12"/>
        <v>32</v>
      </c>
      <c r="B280" t="str">
        <f ca="1">TEXT(DATE(YEAR(Invoer!$A$5),1,1)+ROWS(B$2:B280)-1,"jjjjmmdd")</f>
        <v>19271006</v>
      </c>
      <c r="C280" s="18">
        <f t="shared" ca="1" si="13"/>
        <v>764.5</v>
      </c>
      <c r="D280" s="17">
        <f t="shared" ca="1" si="14"/>
        <v>0</v>
      </c>
    </row>
    <row r="281" spans="1:4" x14ac:dyDescent="0.25">
      <c r="A281" s="4">
        <f t="shared" si="12"/>
        <v>32</v>
      </c>
      <c r="B281" t="str">
        <f ca="1">TEXT(DATE(YEAR(Invoer!$A$5),1,1)+ROWS(B$2:B281)-1,"jjjjmmdd")</f>
        <v>19271007</v>
      </c>
      <c r="C281" s="18">
        <f t="shared" ca="1" si="13"/>
        <v>764</v>
      </c>
      <c r="D281" s="17">
        <f t="shared" ca="1" si="14"/>
        <v>0</v>
      </c>
    </row>
    <row r="282" spans="1:4" x14ac:dyDescent="0.25">
      <c r="A282" s="4">
        <f t="shared" si="12"/>
        <v>32</v>
      </c>
      <c r="B282" t="str">
        <f ca="1">TEXT(DATE(YEAR(Invoer!$A$5),1,1)+ROWS(B$2:B282)-1,"jjjjmmdd")</f>
        <v>19271008</v>
      </c>
      <c r="C282" s="18">
        <f t="shared" ca="1" si="13"/>
        <v>762.5</v>
      </c>
      <c r="D282" s="17">
        <f t="shared" ca="1" si="14"/>
        <v>0</v>
      </c>
    </row>
    <row r="283" spans="1:4" x14ac:dyDescent="0.25">
      <c r="A283" s="4">
        <f t="shared" si="12"/>
        <v>32</v>
      </c>
      <c r="B283" t="str">
        <f ca="1">TEXT(DATE(YEAR(Invoer!$A$5),1,1)+ROWS(B$2:B283)-1,"jjjjmmdd")</f>
        <v>19271009</v>
      </c>
      <c r="C283" s="18">
        <f t="shared" ca="1" si="13"/>
        <v>762</v>
      </c>
      <c r="D283" s="17">
        <f t="shared" ca="1" si="14"/>
        <v>0</v>
      </c>
    </row>
    <row r="284" spans="1:4" x14ac:dyDescent="0.25">
      <c r="A284" s="4">
        <f t="shared" si="12"/>
        <v>32</v>
      </c>
      <c r="B284" t="str">
        <f ca="1">TEXT(DATE(YEAR(Invoer!$A$5),1,1)+ROWS(B$2:B284)-1,"jjjjmmdd")</f>
        <v>19271010</v>
      </c>
      <c r="C284" s="18">
        <f t="shared" ca="1" si="13"/>
        <v>762.5</v>
      </c>
      <c r="D284" s="17">
        <f t="shared" ca="1" si="14"/>
        <v>0</v>
      </c>
    </row>
    <row r="285" spans="1:4" x14ac:dyDescent="0.25">
      <c r="A285" s="4">
        <f t="shared" si="12"/>
        <v>32</v>
      </c>
      <c r="B285" t="str">
        <f ca="1">TEXT(DATE(YEAR(Invoer!$A$5),1,1)+ROWS(B$2:B285)-1,"jjjjmmdd")</f>
        <v>19271011</v>
      </c>
      <c r="C285" s="18">
        <f t="shared" ca="1" si="13"/>
        <v>762.5</v>
      </c>
      <c r="D285" s="17">
        <f t="shared" ca="1" si="14"/>
        <v>0</v>
      </c>
    </row>
    <row r="286" spans="1:4" x14ac:dyDescent="0.25">
      <c r="A286" s="4">
        <f t="shared" si="12"/>
        <v>32</v>
      </c>
      <c r="B286" t="str">
        <f ca="1">TEXT(DATE(YEAR(Invoer!$A$5),1,1)+ROWS(B$2:B286)-1,"jjjjmmdd")</f>
        <v>19271012</v>
      </c>
      <c r="C286" s="18">
        <f t="shared" ca="1" si="13"/>
        <v>763</v>
      </c>
      <c r="D286" s="17">
        <f t="shared" ca="1" si="14"/>
        <v>0</v>
      </c>
    </row>
    <row r="287" spans="1:4" x14ac:dyDescent="0.25">
      <c r="A287" s="4">
        <f t="shared" si="12"/>
        <v>32</v>
      </c>
      <c r="B287" t="str">
        <f ca="1">TEXT(DATE(YEAR(Invoer!$A$5),1,1)+ROWS(B$2:B287)-1,"jjjjmmdd")</f>
        <v>19271013</v>
      </c>
      <c r="C287" s="18">
        <f t="shared" ca="1" si="13"/>
        <v>763</v>
      </c>
      <c r="D287" s="17">
        <f t="shared" ca="1" si="14"/>
        <v>0</v>
      </c>
    </row>
    <row r="288" spans="1:4" x14ac:dyDescent="0.25">
      <c r="A288" s="4">
        <f t="shared" si="12"/>
        <v>32</v>
      </c>
      <c r="B288" t="str">
        <f ca="1">TEXT(DATE(YEAR(Invoer!$A$5),1,1)+ROWS(B$2:B288)-1,"jjjjmmdd")</f>
        <v>19271014</v>
      </c>
      <c r="C288" s="18">
        <f t="shared" ca="1" si="13"/>
        <v>761.5</v>
      </c>
      <c r="D288" s="17">
        <f t="shared" ca="1" si="14"/>
        <v>0</v>
      </c>
    </row>
    <row r="289" spans="1:4" x14ac:dyDescent="0.25">
      <c r="A289" s="4">
        <f t="shared" si="12"/>
        <v>32</v>
      </c>
      <c r="B289" t="str">
        <f ca="1">TEXT(DATE(YEAR(Invoer!$A$5),1,1)+ROWS(B$2:B289)-1,"jjjjmmdd")</f>
        <v>19271015</v>
      </c>
      <c r="C289" s="18">
        <f t="shared" ca="1" si="13"/>
        <v>762</v>
      </c>
      <c r="D289" s="17">
        <f t="shared" ca="1" si="14"/>
        <v>0</v>
      </c>
    </row>
    <row r="290" spans="1:4" x14ac:dyDescent="0.25">
      <c r="A290" s="4">
        <f t="shared" si="12"/>
        <v>32</v>
      </c>
      <c r="B290" t="str">
        <f ca="1">TEXT(DATE(YEAR(Invoer!$A$5),1,1)+ROWS(B$2:B290)-1,"jjjjmmdd")</f>
        <v>19271016</v>
      </c>
      <c r="C290" s="18">
        <f t="shared" ca="1" si="13"/>
        <v>762.5</v>
      </c>
      <c r="D290" s="17">
        <f t="shared" ca="1" si="14"/>
        <v>0</v>
      </c>
    </row>
    <row r="291" spans="1:4" x14ac:dyDescent="0.25">
      <c r="A291" s="4">
        <f t="shared" si="12"/>
        <v>32</v>
      </c>
      <c r="B291" t="str">
        <f ca="1">TEXT(DATE(YEAR(Invoer!$A$5),1,1)+ROWS(B$2:B291)-1,"jjjjmmdd")</f>
        <v>19271017</v>
      </c>
      <c r="C291" s="18">
        <f t="shared" ca="1" si="13"/>
        <v>762.5</v>
      </c>
      <c r="D291" s="17">
        <f t="shared" ca="1" si="14"/>
        <v>0</v>
      </c>
    </row>
    <row r="292" spans="1:4" x14ac:dyDescent="0.25">
      <c r="A292" s="4">
        <f t="shared" si="12"/>
        <v>32</v>
      </c>
      <c r="B292" t="str">
        <f ca="1">TEXT(DATE(YEAR(Invoer!$A$5),1,1)+ROWS(B$2:B292)-1,"jjjjmmdd")</f>
        <v>19271018</v>
      </c>
      <c r="C292" s="18">
        <f t="shared" ca="1" si="13"/>
        <v>763.5</v>
      </c>
      <c r="D292" s="17">
        <f t="shared" ca="1" si="14"/>
        <v>0</v>
      </c>
    </row>
    <row r="293" spans="1:4" x14ac:dyDescent="0.25">
      <c r="A293" s="4">
        <f t="shared" si="12"/>
        <v>32</v>
      </c>
      <c r="B293" t="str">
        <f ca="1">TEXT(DATE(YEAR(Invoer!$A$5),1,1)+ROWS(B$2:B293)-1,"jjjjmmdd")</f>
        <v>19271019</v>
      </c>
      <c r="C293" s="18">
        <f t="shared" ca="1" si="13"/>
        <v>764.5</v>
      </c>
      <c r="D293" s="17">
        <f t="shared" ca="1" si="14"/>
        <v>0</v>
      </c>
    </row>
    <row r="294" spans="1:4" x14ac:dyDescent="0.25">
      <c r="A294" s="4">
        <f t="shared" si="12"/>
        <v>32</v>
      </c>
      <c r="B294" t="str">
        <f ca="1">TEXT(DATE(YEAR(Invoer!$A$5),1,1)+ROWS(B$2:B294)-1,"jjjjmmdd")</f>
        <v>19271020</v>
      </c>
      <c r="C294" s="18">
        <f t="shared" ca="1" si="13"/>
        <v>765</v>
      </c>
      <c r="D294" s="17">
        <f t="shared" ca="1" si="14"/>
        <v>0</v>
      </c>
    </row>
    <row r="295" spans="1:4" x14ac:dyDescent="0.25">
      <c r="A295" s="4">
        <f t="shared" si="12"/>
        <v>32</v>
      </c>
      <c r="B295" t="str">
        <f ca="1">TEXT(DATE(YEAR(Invoer!$A$5),1,1)+ROWS(B$2:B295)-1,"jjjjmmdd")</f>
        <v>19271021</v>
      </c>
      <c r="C295" s="18">
        <f t="shared" ca="1" si="13"/>
        <v>765</v>
      </c>
      <c r="D295" s="17">
        <f t="shared" ca="1" si="14"/>
        <v>0</v>
      </c>
    </row>
    <row r="296" spans="1:4" x14ac:dyDescent="0.25">
      <c r="A296" s="4">
        <f t="shared" si="12"/>
        <v>32</v>
      </c>
      <c r="B296" t="str">
        <f ca="1">TEXT(DATE(YEAR(Invoer!$A$5),1,1)+ROWS(B$2:B296)-1,"jjjjmmdd")</f>
        <v>19271022</v>
      </c>
      <c r="C296" s="18">
        <f t="shared" ca="1" si="13"/>
        <v>764.5</v>
      </c>
      <c r="D296" s="17">
        <f t="shared" ca="1" si="14"/>
        <v>0</v>
      </c>
    </row>
    <row r="297" spans="1:4" x14ac:dyDescent="0.25">
      <c r="A297" s="4">
        <f t="shared" si="12"/>
        <v>32</v>
      </c>
      <c r="B297" t="str">
        <f ca="1">TEXT(DATE(YEAR(Invoer!$A$5),1,1)+ROWS(B$2:B297)-1,"jjjjmmdd")</f>
        <v>19271023</v>
      </c>
      <c r="C297" s="18">
        <f t="shared" ca="1" si="13"/>
        <v>765.5</v>
      </c>
      <c r="D297" s="17">
        <f t="shared" ca="1" si="14"/>
        <v>0</v>
      </c>
    </row>
    <row r="298" spans="1:4" x14ac:dyDescent="0.25">
      <c r="A298" s="4">
        <f t="shared" si="12"/>
        <v>32</v>
      </c>
      <c r="B298" t="str">
        <f ca="1">TEXT(DATE(YEAR(Invoer!$A$5),1,1)+ROWS(B$2:B298)-1,"jjjjmmdd")</f>
        <v>19271024</v>
      </c>
      <c r="C298" s="18">
        <f t="shared" ca="1" si="13"/>
        <v>765</v>
      </c>
      <c r="D298" s="17">
        <f t="shared" ca="1" si="14"/>
        <v>0</v>
      </c>
    </row>
    <row r="299" spans="1:4" x14ac:dyDescent="0.25">
      <c r="A299" s="4">
        <f t="shared" si="12"/>
        <v>32</v>
      </c>
      <c r="B299" t="str">
        <f ca="1">TEXT(DATE(YEAR(Invoer!$A$5),1,1)+ROWS(B$2:B299)-1,"jjjjmmdd")</f>
        <v>19271025</v>
      </c>
      <c r="C299" s="18">
        <f t="shared" ca="1" si="13"/>
        <v>763.5</v>
      </c>
      <c r="D299" s="17">
        <f t="shared" ca="1" si="14"/>
        <v>0</v>
      </c>
    </row>
    <row r="300" spans="1:4" x14ac:dyDescent="0.25">
      <c r="A300" s="4">
        <f t="shared" si="12"/>
        <v>32</v>
      </c>
      <c r="B300" t="str">
        <f ca="1">TEXT(DATE(YEAR(Invoer!$A$5),1,1)+ROWS(B$2:B300)-1,"jjjjmmdd")</f>
        <v>19271026</v>
      </c>
      <c r="C300" s="18">
        <f t="shared" ca="1" si="13"/>
        <v>764</v>
      </c>
      <c r="D300" s="17">
        <f t="shared" ca="1" si="14"/>
        <v>0</v>
      </c>
    </row>
    <row r="301" spans="1:4" x14ac:dyDescent="0.25">
      <c r="A301" s="4">
        <f t="shared" si="12"/>
        <v>32</v>
      </c>
      <c r="B301" t="str">
        <f ca="1">TEXT(DATE(YEAR(Invoer!$A$5),1,1)+ROWS(B$2:B301)-1,"jjjjmmdd")</f>
        <v>19271027</v>
      </c>
      <c r="C301" s="18">
        <f t="shared" ca="1" si="13"/>
        <v>764</v>
      </c>
      <c r="D301" s="17">
        <f t="shared" ca="1" si="14"/>
        <v>0</v>
      </c>
    </row>
    <row r="302" spans="1:4" x14ac:dyDescent="0.25">
      <c r="A302" s="4">
        <f t="shared" si="12"/>
        <v>32</v>
      </c>
      <c r="B302" t="str">
        <f ca="1">TEXT(DATE(YEAR(Invoer!$A$5),1,1)+ROWS(B$2:B302)-1,"jjjjmmdd")</f>
        <v>19271028</v>
      </c>
      <c r="C302" s="18">
        <f t="shared" ca="1" si="13"/>
        <v>764</v>
      </c>
      <c r="D302" s="17">
        <f t="shared" ca="1" si="14"/>
        <v>0</v>
      </c>
    </row>
    <row r="303" spans="1:4" x14ac:dyDescent="0.25">
      <c r="A303" s="4">
        <f t="shared" si="12"/>
        <v>32</v>
      </c>
      <c r="B303" t="str">
        <f ca="1">TEXT(DATE(YEAR(Invoer!$A$5),1,1)+ROWS(B$2:B303)-1,"jjjjmmdd")</f>
        <v>19271029</v>
      </c>
      <c r="C303" s="18">
        <f t="shared" ca="1" si="13"/>
        <v>764</v>
      </c>
      <c r="D303" s="17">
        <f t="shared" ca="1" si="14"/>
        <v>0</v>
      </c>
    </row>
    <row r="304" spans="1:4" x14ac:dyDescent="0.25">
      <c r="A304" s="4">
        <f t="shared" si="12"/>
        <v>32</v>
      </c>
      <c r="B304" t="str">
        <f ca="1">TEXT(DATE(YEAR(Invoer!$A$5),1,1)+ROWS(B$2:B304)-1,"jjjjmmdd")</f>
        <v>19271030</v>
      </c>
      <c r="C304" s="18">
        <f t="shared" ca="1" si="13"/>
        <v>763.5</v>
      </c>
      <c r="D304" s="17">
        <f t="shared" ca="1" si="14"/>
        <v>0</v>
      </c>
    </row>
    <row r="305" spans="1:4" x14ac:dyDescent="0.25">
      <c r="A305" s="4">
        <f t="shared" si="12"/>
        <v>32</v>
      </c>
      <c r="B305" t="str">
        <f ca="1">TEXT(DATE(YEAR(Invoer!$A$5),1,1)+ROWS(B$2:B305)-1,"jjjjmmdd")</f>
        <v>19271031</v>
      </c>
      <c r="C305" s="18">
        <f t="shared" ca="1" si="13"/>
        <v>764</v>
      </c>
      <c r="D305" s="17">
        <f t="shared" ca="1" si="14"/>
        <v>0</v>
      </c>
    </row>
    <row r="306" spans="1:4" x14ac:dyDescent="0.25">
      <c r="A306" s="4">
        <f t="shared" si="12"/>
        <v>32</v>
      </c>
      <c r="B306" t="str">
        <f ca="1">TEXT(DATE(YEAR(Invoer!$A$5),1,1)+ROWS(B$2:B306)-1,"jjjjmmdd")</f>
        <v>19271101</v>
      </c>
      <c r="C306" s="18">
        <f t="shared" ca="1" si="13"/>
        <v>763.5</v>
      </c>
      <c r="D306" s="17">
        <f t="shared" ca="1" si="14"/>
        <v>0</v>
      </c>
    </row>
    <row r="307" spans="1:4" x14ac:dyDescent="0.25">
      <c r="A307" s="4">
        <f t="shared" si="12"/>
        <v>32</v>
      </c>
      <c r="B307" t="str">
        <f ca="1">TEXT(DATE(YEAR(Invoer!$A$5),1,1)+ROWS(B$2:B307)-1,"jjjjmmdd")</f>
        <v>19271102</v>
      </c>
      <c r="C307" s="18">
        <f t="shared" ca="1" si="13"/>
        <v>764</v>
      </c>
      <c r="D307" s="17">
        <f t="shared" ca="1" si="14"/>
        <v>0</v>
      </c>
    </row>
    <row r="308" spans="1:4" x14ac:dyDescent="0.25">
      <c r="A308" s="4">
        <f t="shared" si="12"/>
        <v>32</v>
      </c>
      <c r="B308" t="str">
        <f ca="1">TEXT(DATE(YEAR(Invoer!$A$5),1,1)+ROWS(B$2:B308)-1,"jjjjmmdd")</f>
        <v>19271103</v>
      </c>
      <c r="C308" s="18">
        <f t="shared" ca="1" si="13"/>
        <v>761.5</v>
      </c>
      <c r="D308" s="17">
        <f t="shared" ca="1" si="14"/>
        <v>0</v>
      </c>
    </row>
    <row r="309" spans="1:4" x14ac:dyDescent="0.25">
      <c r="A309" s="4">
        <f t="shared" si="12"/>
        <v>32</v>
      </c>
      <c r="B309" t="str">
        <f ca="1">TEXT(DATE(YEAR(Invoer!$A$5),1,1)+ROWS(B$2:B309)-1,"jjjjmmdd")</f>
        <v>19271104</v>
      </c>
      <c r="C309" s="18">
        <f t="shared" ca="1" si="13"/>
        <v>762</v>
      </c>
      <c r="D309" s="17">
        <f t="shared" ca="1" si="14"/>
        <v>0</v>
      </c>
    </row>
    <row r="310" spans="1:4" x14ac:dyDescent="0.25">
      <c r="A310" s="4">
        <f t="shared" si="12"/>
        <v>32</v>
      </c>
      <c r="B310" t="str">
        <f ca="1">TEXT(DATE(YEAR(Invoer!$A$5),1,1)+ROWS(B$2:B310)-1,"jjjjmmdd")</f>
        <v>19271105</v>
      </c>
      <c r="C310" s="18">
        <f t="shared" ca="1" si="13"/>
        <v>764.5</v>
      </c>
      <c r="D310" s="17">
        <f t="shared" ca="1" si="14"/>
        <v>0</v>
      </c>
    </row>
    <row r="311" spans="1:4" x14ac:dyDescent="0.25">
      <c r="A311" s="4">
        <f t="shared" si="12"/>
        <v>32</v>
      </c>
      <c r="B311" t="str">
        <f ca="1">TEXT(DATE(YEAR(Invoer!$A$5),1,1)+ROWS(B$2:B311)-1,"jjjjmmdd")</f>
        <v>19271106</v>
      </c>
      <c r="C311" s="18">
        <f t="shared" ca="1" si="13"/>
        <v>765</v>
      </c>
      <c r="D311" s="17">
        <f t="shared" ca="1" si="14"/>
        <v>0</v>
      </c>
    </row>
    <row r="312" spans="1:4" x14ac:dyDescent="0.25">
      <c r="A312" s="4">
        <f t="shared" si="12"/>
        <v>32</v>
      </c>
      <c r="B312" t="str">
        <f ca="1">TEXT(DATE(YEAR(Invoer!$A$5),1,1)+ROWS(B$2:B312)-1,"jjjjmmdd")</f>
        <v>19271107</v>
      </c>
      <c r="C312" s="18">
        <f t="shared" ca="1" si="13"/>
        <v>765</v>
      </c>
      <c r="D312" s="17">
        <f t="shared" ca="1" si="14"/>
        <v>0</v>
      </c>
    </row>
    <row r="313" spans="1:4" x14ac:dyDescent="0.25">
      <c r="A313" s="4">
        <f t="shared" si="12"/>
        <v>32</v>
      </c>
      <c r="B313" t="str">
        <f ca="1">TEXT(DATE(YEAR(Invoer!$A$5),1,1)+ROWS(B$2:B313)-1,"jjjjmmdd")</f>
        <v>19271108</v>
      </c>
      <c r="C313" s="18">
        <f t="shared" ca="1" si="13"/>
        <v>764.5</v>
      </c>
      <c r="D313" s="17">
        <f t="shared" ca="1" si="14"/>
        <v>0</v>
      </c>
    </row>
    <row r="314" spans="1:4" x14ac:dyDescent="0.25">
      <c r="A314" s="4">
        <f t="shared" si="12"/>
        <v>32</v>
      </c>
      <c r="B314" t="str">
        <f ca="1">TEXT(DATE(YEAR(Invoer!$A$5),1,1)+ROWS(B$2:B314)-1,"jjjjmmdd")</f>
        <v>19271109</v>
      </c>
      <c r="C314" s="18">
        <f t="shared" ca="1" si="13"/>
        <v>764.5</v>
      </c>
      <c r="D314" s="17">
        <f t="shared" ca="1" si="14"/>
        <v>0</v>
      </c>
    </row>
    <row r="315" spans="1:4" x14ac:dyDescent="0.25">
      <c r="A315" s="4">
        <f t="shared" si="12"/>
        <v>32</v>
      </c>
      <c r="B315" t="str">
        <f ca="1">TEXT(DATE(YEAR(Invoer!$A$5),1,1)+ROWS(B$2:B315)-1,"jjjjmmdd")</f>
        <v>19271110</v>
      </c>
      <c r="C315" s="18">
        <f t="shared" ca="1" si="13"/>
        <v>764</v>
      </c>
      <c r="D315" s="17">
        <f t="shared" ca="1" si="14"/>
        <v>0</v>
      </c>
    </row>
    <row r="316" spans="1:4" x14ac:dyDescent="0.25">
      <c r="A316" s="4">
        <f t="shared" si="12"/>
        <v>32</v>
      </c>
      <c r="B316" t="str">
        <f ca="1">TEXT(DATE(YEAR(Invoer!$A$5),1,1)+ROWS(B$2:B316)-1,"jjjjmmdd")</f>
        <v>19271111</v>
      </c>
      <c r="C316" s="18">
        <f t="shared" ca="1" si="13"/>
        <v>764</v>
      </c>
      <c r="D316" s="17">
        <f t="shared" ca="1" si="14"/>
        <v>0</v>
      </c>
    </row>
    <row r="317" spans="1:4" x14ac:dyDescent="0.25">
      <c r="A317" s="4">
        <f t="shared" si="12"/>
        <v>32</v>
      </c>
      <c r="B317" t="str">
        <f ca="1">TEXT(DATE(YEAR(Invoer!$A$5),1,1)+ROWS(B$2:B317)-1,"jjjjmmdd")</f>
        <v>19271112</v>
      </c>
      <c r="C317" s="18">
        <f t="shared" ca="1" si="13"/>
        <v>763.5</v>
      </c>
      <c r="D317" s="17">
        <f t="shared" ca="1" si="14"/>
        <v>0</v>
      </c>
    </row>
    <row r="318" spans="1:4" x14ac:dyDescent="0.25">
      <c r="A318" s="4">
        <f t="shared" si="12"/>
        <v>32</v>
      </c>
      <c r="B318" t="str">
        <f ca="1">TEXT(DATE(YEAR(Invoer!$A$5),1,1)+ROWS(B$2:B318)-1,"jjjjmmdd")</f>
        <v>19271113</v>
      </c>
      <c r="C318" s="18">
        <f t="shared" ca="1" si="13"/>
        <v>763.5</v>
      </c>
      <c r="D318" s="17">
        <f t="shared" ca="1" si="14"/>
        <v>0</v>
      </c>
    </row>
    <row r="319" spans="1:4" x14ac:dyDescent="0.25">
      <c r="A319" s="4">
        <f t="shared" si="12"/>
        <v>32</v>
      </c>
      <c r="B319" t="str">
        <f ca="1">TEXT(DATE(YEAR(Invoer!$A$5),1,1)+ROWS(B$2:B319)-1,"jjjjmmdd")</f>
        <v>19271114</v>
      </c>
      <c r="C319" s="18">
        <f t="shared" ca="1" si="13"/>
        <v>762</v>
      </c>
      <c r="D319" s="17">
        <f t="shared" ca="1" si="14"/>
        <v>0</v>
      </c>
    </row>
    <row r="320" spans="1:4" x14ac:dyDescent="0.25">
      <c r="A320" s="4">
        <f t="shared" si="12"/>
        <v>32</v>
      </c>
      <c r="B320" t="str">
        <f ca="1">TEXT(DATE(YEAR(Invoer!$A$5),1,1)+ROWS(B$2:B320)-1,"jjjjmmdd")</f>
        <v>19271115</v>
      </c>
      <c r="C320" s="18">
        <f t="shared" ca="1" si="13"/>
        <v>762.5</v>
      </c>
      <c r="D320" s="17">
        <f t="shared" ca="1" si="14"/>
        <v>0</v>
      </c>
    </row>
    <row r="321" spans="1:4" x14ac:dyDescent="0.25">
      <c r="A321" s="4">
        <f t="shared" si="12"/>
        <v>32</v>
      </c>
      <c r="B321" t="str">
        <f ca="1">TEXT(DATE(YEAR(Invoer!$A$5),1,1)+ROWS(B$2:B321)-1,"jjjjmmdd")</f>
        <v>19271116</v>
      </c>
      <c r="C321" s="18">
        <f t="shared" ca="1" si="13"/>
        <v>762.5</v>
      </c>
      <c r="D321" s="17">
        <f t="shared" ca="1" si="14"/>
        <v>0</v>
      </c>
    </row>
    <row r="322" spans="1:4" x14ac:dyDescent="0.25">
      <c r="A322" s="4">
        <f t="shared" ref="A322:A366" si="15">INDEX(Stations,2,1)</f>
        <v>32</v>
      </c>
      <c r="B322" t="str">
        <f ca="1">TEXT(DATE(YEAR(Invoer!$A$5),1,1)+ROWS(B$2:B322)-1,"jjjjmmdd")</f>
        <v>19271117</v>
      </c>
      <c r="C322" s="18">
        <f t="shared" ref="C322:C366" ca="1" si="16">IF(OR(ISBLANK(VLOOKUP(DATEVALUE(LEFT($B322,4)&amp;"-"&amp;MID($B322,5,2)&amp;"-"&amp;RIGHT($B322,2)),Data,MATCH(LEFT(VLOOKUP(C$1,Parameters,2,FALSE()),4)&amp;"*",OFFSET(Data,0,0,1),0),FALSE())),ISTEXT(VLOOKUP(DATEVALUE(LEFT($B322,4)&amp;"-"&amp;MID($B322,5,2)&amp;"-"&amp;RIGHT($B322,2)),Data,MATCH(LEFT(VLOOKUP(C$1,Parameters,2,FALSE()),4)&amp;"*",OFFSET(Data,0,0,1),0),FALSE()))),"—",VLOOKUP(DATEVALUE(LEFT($B322,4)&amp;"-"&amp;MID($B322,5,2)&amp;"-"&amp;RIGHT($B322,2)),Data,MATCH(LEFT(VLOOKUP(C$1,Parameters,2,FALSE()),4)&amp;"*",OFFSET(Data,0,0,1),0),FALSE())/10)</f>
        <v>762</v>
      </c>
      <c r="D322" s="17">
        <f t="shared" ref="D322:D366" ca="1" si="17">IF(OR(ISBLANK(VLOOKUP(DATEVALUE(LEFT($B322,4)&amp;"-"&amp;MID($B322,5,2)&amp;"-"&amp;RIGHT($B322,2)),Data,MATCH(LEFT(VLOOKUP(MID(D$1,2,LEN(D$1)-1),Parameters,2,FALSE()),4)&amp;"*",OFFSET(Data,0,0,1),0),FALSE())),ISTEXT(VLOOKUP(DATEVALUE(LEFT($B322,4)&amp;"-"&amp;MID($B322,5,2)&amp;"-"&amp;RIGHT($B322,2)),Data,MATCH(LEFT(VLOOKUP(MID(D$1,2,LEN(D$1)-1),Parameters,2,FALSE()),4)&amp;"*",OFFSET(Data,0,0,1),0),FALSE()))),Lacking,IF(ISNA(MATCH(DATEVALUE(LEFT($B322,4)&amp;"-"&amp;MID($B322,5,2)&amp;"-"&amp;RIGHT($B322,2)),OFFSET(Catalogus,0,0,,1),0)),Ok,VLOOKUP(DATEVALUE(LEFT($B322,4)&amp;"-"&amp;MID($B322,5,2)&amp;"-"&amp;RIGHT($B322,2)),Catalogus,MATCH(LEFT(VLOOKUP(MID(D$1,2,LEN(D$1)-1),Parameters,2,FALSE()),4)&amp;"*",OFFSET(Catalogus,0,0,1),0),FALSE())))</f>
        <v>0</v>
      </c>
    </row>
    <row r="323" spans="1:4" x14ac:dyDescent="0.25">
      <c r="A323" s="4">
        <f t="shared" si="15"/>
        <v>32</v>
      </c>
      <c r="B323" t="str">
        <f ca="1">TEXT(DATE(YEAR(Invoer!$A$5),1,1)+ROWS(B$2:B323)-1,"jjjjmmdd")</f>
        <v>19271118</v>
      </c>
      <c r="C323" s="18">
        <f t="shared" ca="1" si="16"/>
        <v>762</v>
      </c>
      <c r="D323" s="17">
        <f t="shared" ca="1" si="17"/>
        <v>0</v>
      </c>
    </row>
    <row r="324" spans="1:4" x14ac:dyDescent="0.25">
      <c r="A324" s="4">
        <f t="shared" si="15"/>
        <v>32</v>
      </c>
      <c r="B324" t="str">
        <f ca="1">TEXT(DATE(YEAR(Invoer!$A$5),1,1)+ROWS(B$2:B324)-1,"jjjjmmdd")</f>
        <v>19271119</v>
      </c>
      <c r="C324" s="18">
        <f t="shared" ca="1" si="16"/>
        <v>762</v>
      </c>
      <c r="D324" s="17">
        <f t="shared" ca="1" si="17"/>
        <v>0</v>
      </c>
    </row>
    <row r="325" spans="1:4" x14ac:dyDescent="0.25">
      <c r="A325" s="4">
        <f t="shared" si="15"/>
        <v>32</v>
      </c>
      <c r="B325" t="str">
        <f ca="1">TEXT(DATE(YEAR(Invoer!$A$5),1,1)+ROWS(B$2:B325)-1,"jjjjmmdd")</f>
        <v>19271120</v>
      </c>
      <c r="C325" s="18">
        <f t="shared" ca="1" si="16"/>
        <v>763</v>
      </c>
      <c r="D325" s="17">
        <f t="shared" ca="1" si="17"/>
        <v>0</v>
      </c>
    </row>
    <row r="326" spans="1:4" x14ac:dyDescent="0.25">
      <c r="A326" s="4">
        <f t="shared" si="15"/>
        <v>32</v>
      </c>
      <c r="B326" t="str">
        <f ca="1">TEXT(DATE(YEAR(Invoer!$A$5),1,1)+ROWS(B$2:B326)-1,"jjjjmmdd")</f>
        <v>19271121</v>
      </c>
      <c r="C326" s="18">
        <f t="shared" ca="1" si="16"/>
        <v>763</v>
      </c>
      <c r="D326" s="17">
        <f t="shared" ca="1" si="17"/>
        <v>0</v>
      </c>
    </row>
    <row r="327" spans="1:4" x14ac:dyDescent="0.25">
      <c r="A327" s="4">
        <f t="shared" si="15"/>
        <v>32</v>
      </c>
      <c r="B327" t="str">
        <f ca="1">TEXT(DATE(YEAR(Invoer!$A$5),1,1)+ROWS(B$2:B327)-1,"jjjjmmdd")</f>
        <v>19271122</v>
      </c>
      <c r="C327" s="18">
        <f t="shared" ca="1" si="16"/>
        <v>766</v>
      </c>
      <c r="D327" s="17">
        <f t="shared" ca="1" si="17"/>
        <v>0</v>
      </c>
    </row>
    <row r="328" spans="1:4" x14ac:dyDescent="0.25">
      <c r="A328" s="4">
        <f t="shared" si="15"/>
        <v>32</v>
      </c>
      <c r="B328" t="str">
        <f ca="1">TEXT(DATE(YEAR(Invoer!$A$5),1,1)+ROWS(B$2:B328)-1,"jjjjmmdd")</f>
        <v>19271123</v>
      </c>
      <c r="C328" s="18">
        <f t="shared" ca="1" si="16"/>
        <v>766</v>
      </c>
      <c r="D328" s="17">
        <f t="shared" ca="1" si="17"/>
        <v>0</v>
      </c>
    </row>
    <row r="329" spans="1:4" x14ac:dyDescent="0.25">
      <c r="A329" s="4">
        <f t="shared" si="15"/>
        <v>32</v>
      </c>
      <c r="B329" t="str">
        <f ca="1">TEXT(DATE(YEAR(Invoer!$A$5),1,1)+ROWS(B$2:B329)-1,"jjjjmmdd")</f>
        <v>19271124</v>
      </c>
      <c r="C329" s="18">
        <f t="shared" ca="1" si="16"/>
        <v>763.5</v>
      </c>
      <c r="D329" s="17">
        <f t="shared" ca="1" si="17"/>
        <v>0</v>
      </c>
    </row>
    <row r="330" spans="1:4" x14ac:dyDescent="0.25">
      <c r="A330" s="4">
        <f t="shared" si="15"/>
        <v>32</v>
      </c>
      <c r="B330" t="str">
        <f ca="1">TEXT(DATE(YEAR(Invoer!$A$5),1,1)+ROWS(B$2:B330)-1,"jjjjmmdd")</f>
        <v>19271125</v>
      </c>
      <c r="C330" s="18">
        <f t="shared" ca="1" si="16"/>
        <v>762.5</v>
      </c>
      <c r="D330" s="17">
        <f t="shared" ca="1" si="17"/>
        <v>0</v>
      </c>
    </row>
    <row r="331" spans="1:4" x14ac:dyDescent="0.25">
      <c r="A331" s="4">
        <f t="shared" si="15"/>
        <v>32</v>
      </c>
      <c r="B331" t="str">
        <f ca="1">TEXT(DATE(YEAR(Invoer!$A$5),1,1)+ROWS(B$2:B331)-1,"jjjjmmdd")</f>
        <v>19271126</v>
      </c>
      <c r="C331" s="18">
        <f t="shared" ca="1" si="16"/>
        <v>763.5</v>
      </c>
      <c r="D331" s="17">
        <f t="shared" ca="1" si="17"/>
        <v>0</v>
      </c>
    </row>
    <row r="332" spans="1:4" x14ac:dyDescent="0.25">
      <c r="A332" s="4">
        <f t="shared" si="15"/>
        <v>32</v>
      </c>
      <c r="B332" t="str">
        <f ca="1">TEXT(DATE(YEAR(Invoer!$A$5),1,1)+ROWS(B$2:B332)-1,"jjjjmmdd")</f>
        <v>19271127</v>
      </c>
      <c r="C332" s="18">
        <f t="shared" ca="1" si="16"/>
        <v>762</v>
      </c>
      <c r="D332" s="17">
        <f t="shared" ca="1" si="17"/>
        <v>0</v>
      </c>
    </row>
    <row r="333" spans="1:4" x14ac:dyDescent="0.25">
      <c r="A333" s="4">
        <f t="shared" si="15"/>
        <v>32</v>
      </c>
      <c r="B333" t="str">
        <f ca="1">TEXT(DATE(YEAR(Invoer!$A$5),1,1)+ROWS(B$2:B333)-1,"jjjjmmdd")</f>
        <v>19271128</v>
      </c>
      <c r="C333" s="18">
        <f t="shared" ca="1" si="16"/>
        <v>762</v>
      </c>
      <c r="D333" s="17">
        <f t="shared" ca="1" si="17"/>
        <v>0</v>
      </c>
    </row>
    <row r="334" spans="1:4" x14ac:dyDescent="0.25">
      <c r="A334" s="4">
        <f t="shared" si="15"/>
        <v>32</v>
      </c>
      <c r="B334" t="str">
        <f ca="1">TEXT(DATE(YEAR(Invoer!$A$5),1,1)+ROWS(B$2:B334)-1,"jjjjmmdd")</f>
        <v>19271129</v>
      </c>
      <c r="C334" s="18">
        <f t="shared" ca="1" si="16"/>
        <v>762.5</v>
      </c>
      <c r="D334" s="17">
        <f t="shared" ca="1" si="17"/>
        <v>0</v>
      </c>
    </row>
    <row r="335" spans="1:4" x14ac:dyDescent="0.25">
      <c r="A335" s="4">
        <f t="shared" si="15"/>
        <v>32</v>
      </c>
      <c r="B335" t="str">
        <f ca="1">TEXT(DATE(YEAR(Invoer!$A$5),1,1)+ROWS(B$2:B335)-1,"jjjjmmdd")</f>
        <v>19271130</v>
      </c>
      <c r="C335" s="18">
        <f t="shared" ca="1" si="16"/>
        <v>762.5</v>
      </c>
      <c r="D335" s="17">
        <f t="shared" ca="1" si="17"/>
        <v>0</v>
      </c>
    </row>
    <row r="336" spans="1:4" x14ac:dyDescent="0.25">
      <c r="A336" s="4">
        <f t="shared" si="15"/>
        <v>32</v>
      </c>
      <c r="B336" t="str">
        <f ca="1">TEXT(DATE(YEAR(Invoer!$A$5),1,1)+ROWS(B$2:B336)-1,"jjjjmmdd")</f>
        <v>19271201</v>
      </c>
      <c r="C336" s="18">
        <f t="shared" ca="1" si="16"/>
        <v>762.5</v>
      </c>
      <c r="D336" s="17">
        <f t="shared" ca="1" si="17"/>
        <v>0</v>
      </c>
    </row>
    <row r="337" spans="1:4" x14ac:dyDescent="0.25">
      <c r="A337" s="4">
        <f t="shared" si="15"/>
        <v>32</v>
      </c>
      <c r="B337" t="str">
        <f ca="1">TEXT(DATE(YEAR(Invoer!$A$5),1,1)+ROWS(B$2:B337)-1,"jjjjmmdd")</f>
        <v>19271202</v>
      </c>
      <c r="C337" s="18">
        <f t="shared" ca="1" si="16"/>
        <v>762.5</v>
      </c>
      <c r="D337" s="17">
        <f t="shared" ca="1" si="17"/>
        <v>0</v>
      </c>
    </row>
    <row r="338" spans="1:4" x14ac:dyDescent="0.25">
      <c r="A338" s="4">
        <f t="shared" si="15"/>
        <v>32</v>
      </c>
      <c r="B338" t="str">
        <f ca="1">TEXT(DATE(YEAR(Invoer!$A$5),1,1)+ROWS(B$2:B338)-1,"jjjjmmdd")</f>
        <v>19271203</v>
      </c>
      <c r="C338" s="18">
        <f t="shared" ca="1" si="16"/>
        <v>764.5</v>
      </c>
      <c r="D338" s="17">
        <f t="shared" ca="1" si="17"/>
        <v>0</v>
      </c>
    </row>
    <row r="339" spans="1:4" x14ac:dyDescent="0.25">
      <c r="A339" s="4">
        <f t="shared" si="15"/>
        <v>32</v>
      </c>
      <c r="B339" t="str">
        <f ca="1">TEXT(DATE(YEAR(Invoer!$A$5),1,1)+ROWS(B$2:B339)-1,"jjjjmmdd")</f>
        <v>19271204</v>
      </c>
      <c r="C339" s="18">
        <f t="shared" ca="1" si="16"/>
        <v>766</v>
      </c>
      <c r="D339" s="17">
        <f t="shared" ca="1" si="17"/>
        <v>0</v>
      </c>
    </row>
    <row r="340" spans="1:4" x14ac:dyDescent="0.25">
      <c r="A340" s="4">
        <f t="shared" si="15"/>
        <v>32</v>
      </c>
      <c r="B340" t="str">
        <f ca="1">TEXT(DATE(YEAR(Invoer!$A$5),1,1)+ROWS(B$2:B340)-1,"jjjjmmdd")</f>
        <v>19271205</v>
      </c>
      <c r="C340" s="18">
        <f t="shared" ca="1" si="16"/>
        <v>765.5</v>
      </c>
      <c r="D340" s="17">
        <f t="shared" ca="1" si="17"/>
        <v>0</v>
      </c>
    </row>
    <row r="341" spans="1:4" x14ac:dyDescent="0.25">
      <c r="A341" s="4">
        <f t="shared" si="15"/>
        <v>32</v>
      </c>
      <c r="B341" t="str">
        <f ca="1">TEXT(DATE(YEAR(Invoer!$A$5),1,1)+ROWS(B$2:B341)-1,"jjjjmmdd")</f>
        <v>19271206</v>
      </c>
      <c r="C341" s="18">
        <f t="shared" ca="1" si="16"/>
        <v>765.5</v>
      </c>
      <c r="D341" s="17">
        <f t="shared" ca="1" si="17"/>
        <v>0</v>
      </c>
    </row>
    <row r="342" spans="1:4" x14ac:dyDescent="0.25">
      <c r="A342" s="4">
        <f t="shared" si="15"/>
        <v>32</v>
      </c>
      <c r="B342" t="str">
        <f ca="1">TEXT(DATE(YEAR(Invoer!$A$5),1,1)+ROWS(B$2:B342)-1,"jjjjmmdd")</f>
        <v>19271207</v>
      </c>
      <c r="C342" s="18">
        <f t="shared" ca="1" si="16"/>
        <v>765</v>
      </c>
      <c r="D342" s="17">
        <f t="shared" ca="1" si="17"/>
        <v>0</v>
      </c>
    </row>
    <row r="343" spans="1:4" x14ac:dyDescent="0.25">
      <c r="A343" s="4">
        <f t="shared" si="15"/>
        <v>32</v>
      </c>
      <c r="B343" t="str">
        <f ca="1">TEXT(DATE(YEAR(Invoer!$A$5),1,1)+ROWS(B$2:B343)-1,"jjjjmmdd")</f>
        <v>19271208</v>
      </c>
      <c r="C343" s="18">
        <f t="shared" ca="1" si="16"/>
        <v>765</v>
      </c>
      <c r="D343" s="17">
        <f t="shared" ca="1" si="17"/>
        <v>0</v>
      </c>
    </row>
    <row r="344" spans="1:4" x14ac:dyDescent="0.25">
      <c r="A344" s="4">
        <f t="shared" si="15"/>
        <v>32</v>
      </c>
      <c r="B344" t="str">
        <f ca="1">TEXT(DATE(YEAR(Invoer!$A$5),1,1)+ROWS(B$2:B344)-1,"jjjjmmdd")</f>
        <v>19271209</v>
      </c>
      <c r="C344" s="18">
        <f t="shared" ca="1" si="16"/>
        <v>765.5</v>
      </c>
      <c r="D344" s="17">
        <f t="shared" ca="1" si="17"/>
        <v>0</v>
      </c>
    </row>
    <row r="345" spans="1:4" x14ac:dyDescent="0.25">
      <c r="A345" s="4">
        <f t="shared" si="15"/>
        <v>32</v>
      </c>
      <c r="B345" t="str">
        <f ca="1">TEXT(DATE(YEAR(Invoer!$A$5),1,1)+ROWS(B$2:B345)-1,"jjjjmmdd")</f>
        <v>19271210</v>
      </c>
      <c r="C345" s="18">
        <f t="shared" ca="1" si="16"/>
        <v>766</v>
      </c>
      <c r="D345" s="17">
        <f t="shared" ca="1" si="17"/>
        <v>0</v>
      </c>
    </row>
    <row r="346" spans="1:4" x14ac:dyDescent="0.25">
      <c r="A346" s="4">
        <f t="shared" si="15"/>
        <v>32</v>
      </c>
      <c r="B346" t="str">
        <f ca="1">TEXT(DATE(YEAR(Invoer!$A$5),1,1)+ROWS(B$2:B346)-1,"jjjjmmdd")</f>
        <v>19271211</v>
      </c>
      <c r="C346" s="18">
        <f t="shared" ca="1" si="16"/>
        <v>765.5</v>
      </c>
      <c r="D346" s="17">
        <f t="shared" ca="1" si="17"/>
        <v>0</v>
      </c>
    </row>
    <row r="347" spans="1:4" x14ac:dyDescent="0.25">
      <c r="A347" s="4">
        <f t="shared" si="15"/>
        <v>32</v>
      </c>
      <c r="B347" t="str">
        <f ca="1">TEXT(DATE(YEAR(Invoer!$A$5),1,1)+ROWS(B$2:B347)-1,"jjjjmmdd")</f>
        <v>19271212</v>
      </c>
      <c r="C347" s="18">
        <f t="shared" ca="1" si="16"/>
        <v>765</v>
      </c>
      <c r="D347" s="17">
        <f t="shared" ca="1" si="17"/>
        <v>0</v>
      </c>
    </row>
    <row r="348" spans="1:4" x14ac:dyDescent="0.25">
      <c r="A348" s="4">
        <f t="shared" si="15"/>
        <v>32</v>
      </c>
      <c r="B348" t="str">
        <f ca="1">TEXT(DATE(YEAR(Invoer!$A$5),1,1)+ROWS(B$2:B348)-1,"jjjjmmdd")</f>
        <v>19271213</v>
      </c>
      <c r="C348" s="18">
        <f t="shared" ca="1" si="16"/>
        <v>765</v>
      </c>
      <c r="D348" s="17">
        <f t="shared" ca="1" si="17"/>
        <v>0</v>
      </c>
    </row>
    <row r="349" spans="1:4" x14ac:dyDescent="0.25">
      <c r="A349" s="4">
        <f t="shared" si="15"/>
        <v>32</v>
      </c>
      <c r="B349" t="str">
        <f ca="1">TEXT(DATE(YEAR(Invoer!$A$5),1,1)+ROWS(B$2:B349)-1,"jjjjmmdd")</f>
        <v>19271214</v>
      </c>
      <c r="C349" s="18">
        <f t="shared" ca="1" si="16"/>
        <v>766</v>
      </c>
      <c r="D349" s="17">
        <f t="shared" ca="1" si="17"/>
        <v>0</v>
      </c>
    </row>
    <row r="350" spans="1:4" x14ac:dyDescent="0.25">
      <c r="A350" s="4">
        <f t="shared" si="15"/>
        <v>32</v>
      </c>
      <c r="B350" t="str">
        <f ca="1">TEXT(DATE(YEAR(Invoer!$A$5),1,1)+ROWS(B$2:B350)-1,"jjjjmmdd")</f>
        <v>19271215</v>
      </c>
      <c r="C350" s="18">
        <f t="shared" ca="1" si="16"/>
        <v>765.5</v>
      </c>
      <c r="D350" s="17">
        <f t="shared" ca="1" si="17"/>
        <v>0</v>
      </c>
    </row>
    <row r="351" spans="1:4" x14ac:dyDescent="0.25">
      <c r="A351" s="4">
        <f t="shared" si="15"/>
        <v>32</v>
      </c>
      <c r="B351" t="str">
        <f ca="1">TEXT(DATE(YEAR(Invoer!$A$5),1,1)+ROWS(B$2:B351)-1,"jjjjmmdd")</f>
        <v>19271216</v>
      </c>
      <c r="C351" s="18">
        <f t="shared" ca="1" si="16"/>
        <v>766</v>
      </c>
      <c r="D351" s="17">
        <f t="shared" ca="1" si="17"/>
        <v>0</v>
      </c>
    </row>
    <row r="352" spans="1:4" x14ac:dyDescent="0.25">
      <c r="A352" s="4">
        <f t="shared" si="15"/>
        <v>32</v>
      </c>
      <c r="B352" t="str">
        <f ca="1">TEXT(DATE(YEAR(Invoer!$A$5),1,1)+ROWS(B$2:B352)-1,"jjjjmmdd")</f>
        <v>19271217</v>
      </c>
      <c r="C352" s="18">
        <f t="shared" ca="1" si="16"/>
        <v>765.5</v>
      </c>
      <c r="D352" s="17">
        <f t="shared" ca="1" si="17"/>
        <v>0</v>
      </c>
    </row>
    <row r="353" spans="1:4" x14ac:dyDescent="0.25">
      <c r="A353" s="4">
        <f t="shared" si="15"/>
        <v>32</v>
      </c>
      <c r="B353" t="str">
        <f ca="1">TEXT(DATE(YEAR(Invoer!$A$5),1,1)+ROWS(B$2:B353)-1,"jjjjmmdd")</f>
        <v>19271218</v>
      </c>
      <c r="C353" s="18">
        <f t="shared" ca="1" si="16"/>
        <v>765</v>
      </c>
      <c r="D353" s="17">
        <f t="shared" ca="1" si="17"/>
        <v>0</v>
      </c>
    </row>
    <row r="354" spans="1:4" x14ac:dyDescent="0.25">
      <c r="A354" s="4">
        <f t="shared" si="15"/>
        <v>32</v>
      </c>
      <c r="B354" t="str">
        <f ca="1">TEXT(DATE(YEAR(Invoer!$A$5),1,1)+ROWS(B$2:B354)-1,"jjjjmmdd")</f>
        <v>19271219</v>
      </c>
      <c r="C354" s="18">
        <f t="shared" ca="1" si="16"/>
        <v>765.5</v>
      </c>
      <c r="D354" s="17">
        <f t="shared" ca="1" si="17"/>
        <v>0</v>
      </c>
    </row>
    <row r="355" spans="1:4" x14ac:dyDescent="0.25">
      <c r="A355" s="4">
        <f t="shared" si="15"/>
        <v>32</v>
      </c>
      <c r="B355" t="str">
        <f ca="1">TEXT(DATE(YEAR(Invoer!$A$5),1,1)+ROWS(B$2:B355)-1,"jjjjmmdd")</f>
        <v>19271220</v>
      </c>
      <c r="C355" s="18">
        <f t="shared" ca="1" si="16"/>
        <v>766</v>
      </c>
      <c r="D355" s="17">
        <f t="shared" ca="1" si="17"/>
        <v>0</v>
      </c>
    </row>
    <row r="356" spans="1:4" x14ac:dyDescent="0.25">
      <c r="A356" s="4">
        <f t="shared" si="15"/>
        <v>32</v>
      </c>
      <c r="B356" t="str">
        <f ca="1">TEXT(DATE(YEAR(Invoer!$A$5),1,1)+ROWS(B$2:B356)-1,"jjjjmmdd")</f>
        <v>19271221</v>
      </c>
      <c r="C356" s="18">
        <f t="shared" ca="1" si="16"/>
        <v>765</v>
      </c>
      <c r="D356" s="17">
        <f t="shared" ca="1" si="17"/>
        <v>0</v>
      </c>
    </row>
    <row r="357" spans="1:4" x14ac:dyDescent="0.25">
      <c r="A357" s="4">
        <f t="shared" si="15"/>
        <v>32</v>
      </c>
      <c r="B357" t="str">
        <f ca="1">TEXT(DATE(YEAR(Invoer!$A$5),1,1)+ROWS(B$2:B357)-1,"jjjjmmdd")</f>
        <v>19271222</v>
      </c>
      <c r="C357" s="18">
        <f t="shared" ca="1" si="16"/>
        <v>765</v>
      </c>
      <c r="D357" s="17">
        <f t="shared" ca="1" si="17"/>
        <v>0</v>
      </c>
    </row>
    <row r="358" spans="1:4" x14ac:dyDescent="0.25">
      <c r="A358" s="4">
        <f t="shared" si="15"/>
        <v>32</v>
      </c>
      <c r="B358" t="str">
        <f ca="1">TEXT(DATE(YEAR(Invoer!$A$5),1,1)+ROWS(B$2:B358)-1,"jjjjmmdd")</f>
        <v>19271223</v>
      </c>
      <c r="C358" s="18">
        <f t="shared" ca="1" si="16"/>
        <v>765.5</v>
      </c>
      <c r="D358" s="17">
        <f t="shared" ca="1" si="17"/>
        <v>0</v>
      </c>
    </row>
    <row r="359" spans="1:4" x14ac:dyDescent="0.25">
      <c r="A359" s="4">
        <f t="shared" si="15"/>
        <v>32</v>
      </c>
      <c r="B359" t="str">
        <f ca="1">TEXT(DATE(YEAR(Invoer!$A$5),1,1)+ROWS(B$2:B359)-1,"jjjjmmdd")</f>
        <v>19271224</v>
      </c>
      <c r="C359" s="18">
        <f t="shared" ca="1" si="16"/>
        <v>765.5</v>
      </c>
      <c r="D359" s="17">
        <f t="shared" ca="1" si="17"/>
        <v>0</v>
      </c>
    </row>
    <row r="360" spans="1:4" x14ac:dyDescent="0.25">
      <c r="A360" s="4">
        <f t="shared" si="15"/>
        <v>32</v>
      </c>
      <c r="B360" t="str">
        <f ca="1">TEXT(DATE(YEAR(Invoer!$A$5),1,1)+ROWS(B$2:B360)-1,"jjjjmmdd")</f>
        <v>19271225</v>
      </c>
      <c r="C360" s="18">
        <f t="shared" ca="1" si="16"/>
        <v>766.5</v>
      </c>
      <c r="D360" s="17">
        <f t="shared" ca="1" si="17"/>
        <v>0</v>
      </c>
    </row>
    <row r="361" spans="1:4" x14ac:dyDescent="0.25">
      <c r="A361" s="4">
        <f t="shared" si="15"/>
        <v>32</v>
      </c>
      <c r="B361" t="str">
        <f ca="1">TEXT(DATE(YEAR(Invoer!$A$5),1,1)+ROWS(B$2:B361)-1,"jjjjmmdd")</f>
        <v>19271226</v>
      </c>
      <c r="C361" s="18">
        <f t="shared" ca="1" si="16"/>
        <v>765</v>
      </c>
      <c r="D361" s="17">
        <f t="shared" ca="1" si="17"/>
        <v>0</v>
      </c>
    </row>
    <row r="362" spans="1:4" x14ac:dyDescent="0.25">
      <c r="A362" s="4">
        <f t="shared" si="15"/>
        <v>32</v>
      </c>
      <c r="B362" t="str">
        <f ca="1">TEXT(DATE(YEAR(Invoer!$A$5),1,1)+ROWS(B$2:B362)-1,"jjjjmmdd")</f>
        <v>19271227</v>
      </c>
      <c r="C362" s="18">
        <f t="shared" ca="1" si="16"/>
        <v>764.5</v>
      </c>
      <c r="D362" s="17">
        <f t="shared" ca="1" si="17"/>
        <v>0</v>
      </c>
    </row>
    <row r="363" spans="1:4" x14ac:dyDescent="0.25">
      <c r="A363" s="4">
        <f t="shared" si="15"/>
        <v>32</v>
      </c>
      <c r="B363" t="str">
        <f ca="1">TEXT(DATE(YEAR(Invoer!$A$5),1,1)+ROWS(B$2:B363)-1,"jjjjmmdd")</f>
        <v>19271228</v>
      </c>
      <c r="C363" s="18">
        <f t="shared" ca="1" si="16"/>
        <v>764.5</v>
      </c>
      <c r="D363" s="17">
        <f t="shared" ca="1" si="17"/>
        <v>0</v>
      </c>
    </row>
    <row r="364" spans="1:4" x14ac:dyDescent="0.25">
      <c r="A364" s="4">
        <f t="shared" si="15"/>
        <v>32</v>
      </c>
      <c r="B364" t="str">
        <f ca="1">TEXT(DATE(YEAR(Invoer!$A$5),1,1)+ROWS(B$2:B364)-1,"jjjjmmdd")</f>
        <v>19271229</v>
      </c>
      <c r="C364" s="18">
        <f t="shared" ca="1" si="16"/>
        <v>766</v>
      </c>
      <c r="D364" s="17">
        <f t="shared" ca="1" si="17"/>
        <v>0</v>
      </c>
    </row>
    <row r="365" spans="1:4" x14ac:dyDescent="0.25">
      <c r="A365" s="4">
        <f t="shared" si="15"/>
        <v>32</v>
      </c>
      <c r="B365" t="str">
        <f ca="1">TEXT(DATE(YEAR(Invoer!$A$5),1,1)+ROWS(B$2:B365)-1,"jjjjmmdd")</f>
        <v>19271230</v>
      </c>
      <c r="C365" s="18">
        <f t="shared" ca="1" si="16"/>
        <v>765.5</v>
      </c>
      <c r="D365" s="17">
        <f t="shared" ca="1" si="17"/>
        <v>0</v>
      </c>
    </row>
    <row r="366" spans="1:4" x14ac:dyDescent="0.25">
      <c r="A366" s="4">
        <f t="shared" si="15"/>
        <v>32</v>
      </c>
      <c r="B366" t="str">
        <f ca="1">TEXT(DATE(YEAR(Invoer!$A$5),1,1)+ROWS(B$2:B366)-1,"jjjjmmdd")</f>
        <v>19271231</v>
      </c>
      <c r="C366" s="18">
        <f t="shared" ca="1" si="16"/>
        <v>765.5</v>
      </c>
      <c r="D366" s="17">
        <f t="shared" ca="1" si="17"/>
        <v>0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A366"/>
  <sheetViews>
    <sheetView workbookViewId="0"/>
  </sheetViews>
  <sheetFormatPr defaultRowHeight="15" x14ac:dyDescent="0.25"/>
  <cols>
    <col min="1" max="1" width="44.42578125" bestFit="1" customWidth="1"/>
  </cols>
  <sheetData>
    <row r="1" spans="1:1" x14ac:dyDescent="0.25">
      <c r="A1" s="12" t="str">
        <f>""""&amp;Regen!A1&amp;""", """&amp;Regen!B1&amp;""", """&amp;Regen!C1&amp;""", """&amp;Regen!D1&amp;""", """&amp;Regen!E1&amp;""""</f>
        <v>"Stn", "Datum", "Niveau", "Rd", "qRd"</v>
      </c>
    </row>
    <row r="2" spans="1:1" x14ac:dyDescent="0.25">
      <c r="A2" s="12" t="str">
        <f ca="1">TEXT(Regen!A2,"000\,")&amp;TEXT(Regen!B2,"?00000000")&amp;TEXT(Regen!C2,""",""?0")&amp;SUBSTITUTE(TEXT(Regen!D2,""",""????0;"",""???-0;"",""????0;"", ////"""),"'","""")&amp;SUBSTITUTE(TEXT(Regen!E2,""",""?00;"",""?-00;"",""?00;"", //"""),"'","""")</f>
        <v>032, 19270101, 1,    0, 00</v>
      </c>
    </row>
    <row r="3" spans="1:1" x14ac:dyDescent="0.25">
      <c r="A3" s="12" t="str">
        <f ca="1">TEXT(Regen!A3,"000\,")&amp;TEXT(Regen!B3,"?00000000")&amp;TEXT(Regen!C3,""",""?0")&amp;SUBSTITUTE(TEXT(Regen!D3,""",""????0;"",""???-0;"",""????0;"", ////"""),"'","""")&amp;SUBSTITUTE(TEXT(Regen!E3,""",""?00;"",""?-00;"",""?00;"", //"""),"'","""")</f>
        <v>032, 19270102, 1,    0, 00</v>
      </c>
    </row>
    <row r="4" spans="1:1" x14ac:dyDescent="0.25">
      <c r="A4" s="12" t="str">
        <f ca="1">TEXT(Regen!A4,"000\,")&amp;TEXT(Regen!B4,"?00000000")&amp;TEXT(Regen!C4,""",""?0")&amp;SUBSTITUTE(TEXT(Regen!D4,""",""????0;"",""???-0;"",""????0;"", ////"""),"'","""")&amp;SUBSTITUTE(TEXT(Regen!E4,""",""?00;"",""?-00;"",""?00;"", //"""),"'","""")</f>
        <v>032, 19270103, 1,    0, 00</v>
      </c>
    </row>
    <row r="5" spans="1:1" x14ac:dyDescent="0.25">
      <c r="A5" s="12" t="str">
        <f ca="1">TEXT(Regen!A5,"000\,")&amp;TEXT(Regen!B5,"?00000000")&amp;TEXT(Regen!C5,""",""?0")&amp;SUBSTITUTE(TEXT(Regen!D5,""",""????0;"",""???-0;"",""????0;"", ////"""),"'","""")&amp;SUBSTITUTE(TEXT(Regen!E5,""",""?00;"",""?-00;"",""?00;"", //"""),"'","""")</f>
        <v>032, 19270104, 1,    0, 00</v>
      </c>
    </row>
    <row r="6" spans="1:1" x14ac:dyDescent="0.25">
      <c r="A6" s="12" t="str">
        <f ca="1">TEXT(Regen!A6,"000\,")&amp;TEXT(Regen!B6,"?00000000")&amp;TEXT(Regen!C6,""",""?0")&amp;SUBSTITUTE(TEXT(Regen!D6,""",""????0;"",""???-0;"",""????0;"", ////"""),"'","""")&amp;SUBSTITUTE(TEXT(Regen!E6,""",""?00;"",""?-00;"",""?00;"", //"""),"'","""")</f>
        <v>032, 19270105, 1,   70, 00</v>
      </c>
    </row>
    <row r="7" spans="1:1" x14ac:dyDescent="0.25">
      <c r="A7" s="12" t="str">
        <f ca="1">TEXT(Regen!A7,"000\,")&amp;TEXT(Regen!B7,"?00000000")&amp;TEXT(Regen!C7,""",""?0")&amp;SUBSTITUTE(TEXT(Regen!D7,""",""????0;"",""???-0;"",""????0;"", ////"""),"'","""")&amp;SUBSTITUTE(TEXT(Regen!E7,""",""?00;"",""?-00;"",""?00;"", //"""),"'","""")</f>
        <v>032, 19270106, 1,    0, 00</v>
      </c>
    </row>
    <row r="8" spans="1:1" x14ac:dyDescent="0.25">
      <c r="A8" s="12" t="str">
        <f ca="1">TEXT(Regen!A8,"000\,")&amp;TEXT(Regen!B8,"?00000000")&amp;TEXT(Regen!C8,""",""?0")&amp;SUBSTITUTE(TEXT(Regen!D8,""",""????0;"",""???-0;"",""????0;"", ////"""),"'","""")&amp;SUBSTITUTE(TEXT(Regen!E8,""",""?00;"",""?-00;"",""?00;"", //"""),"'","""")</f>
        <v>032, 19270107, 1,   40, 00</v>
      </c>
    </row>
    <row r="9" spans="1:1" x14ac:dyDescent="0.25">
      <c r="A9" s="12" t="str">
        <f ca="1">TEXT(Regen!A9,"000\,")&amp;TEXT(Regen!B9,"?00000000")&amp;TEXT(Regen!C9,""",""?0")&amp;SUBSTITUTE(TEXT(Regen!D9,""",""????0;"",""???-0;"",""????0;"", ////"""),"'","""")&amp;SUBSTITUTE(TEXT(Regen!E9,""",""?00;"",""?-00;"",""?00;"", //"""),"'","""")</f>
        <v>032, 19270108, 1,  100, 00</v>
      </c>
    </row>
    <row r="10" spans="1:1" x14ac:dyDescent="0.25">
      <c r="A10" s="12" t="str">
        <f ca="1">TEXT(Regen!A10,"000\,")&amp;TEXT(Regen!B10,"?00000000")&amp;TEXT(Regen!C10,""",""?0")&amp;SUBSTITUTE(TEXT(Regen!D10,""",""????0;"",""???-0;"",""????0;"", ////"""),"'","""")&amp;SUBSTITUTE(TEXT(Regen!E10,""",""?00;"",""?-00;"",""?00;"", //"""),"'","""")</f>
        <v>032, 19270109, 1,    0, 00</v>
      </c>
    </row>
    <row r="11" spans="1:1" x14ac:dyDescent="0.25">
      <c r="A11" s="12" t="str">
        <f ca="1">TEXT(Regen!A11,"000\,")&amp;TEXT(Regen!B11,"?00000000")&amp;TEXT(Regen!C11,""",""?0")&amp;SUBSTITUTE(TEXT(Regen!D11,""",""????0;"",""???-0;"",""????0;"", ////"""),"'","""")&amp;SUBSTITUTE(TEXT(Regen!E11,""",""?00;"",""?-00;"",""?00;"", //"""),"'","""")</f>
        <v>032, 19270110, 1,    0, 00</v>
      </c>
    </row>
    <row r="12" spans="1:1" x14ac:dyDescent="0.25">
      <c r="A12" s="12" t="str">
        <f ca="1">TEXT(Regen!A12,"000\,")&amp;TEXT(Regen!B12,"?00000000")&amp;TEXT(Regen!C12,""",""?0")&amp;SUBSTITUTE(TEXT(Regen!D12,""",""????0;"",""???-0;"",""????0;"", ////"""),"'","""")&amp;SUBSTITUTE(TEXT(Regen!E12,""",""?00;"",""?-00;"",""?00;"", //"""),"'","""")</f>
        <v>032, 19270111, 1,    0, 00</v>
      </c>
    </row>
    <row r="13" spans="1:1" x14ac:dyDescent="0.25">
      <c r="A13" s="12" t="str">
        <f ca="1">TEXT(Regen!A13,"000\,")&amp;TEXT(Regen!B13,"?00000000")&amp;TEXT(Regen!C13,""",""?0")&amp;SUBSTITUTE(TEXT(Regen!D13,""",""????0;"",""???-0;"",""????0;"", ////"""),"'","""")&amp;SUBSTITUTE(TEXT(Regen!E13,""",""?00;"",""?-00;"",""?00;"", //"""),"'","""")</f>
        <v>032, 19270112, 1,    0, 00</v>
      </c>
    </row>
    <row r="14" spans="1:1" x14ac:dyDescent="0.25">
      <c r="A14" s="12" t="str">
        <f ca="1">TEXT(Regen!A14,"000\,")&amp;TEXT(Regen!B14,"?00000000")&amp;TEXT(Regen!C14,""",""?0")&amp;SUBSTITUTE(TEXT(Regen!D14,""",""????0;"",""???-0;"",""????0;"", ////"""),"'","""")&amp;SUBSTITUTE(TEXT(Regen!E14,""",""?00;"",""?-00;"",""?00;"", //"""),"'","""")</f>
        <v>032, 19270113, 1,    0, 00</v>
      </c>
    </row>
    <row r="15" spans="1:1" x14ac:dyDescent="0.25">
      <c r="A15" s="12" t="str">
        <f ca="1">TEXT(Regen!A15,"000\,")&amp;TEXT(Regen!B15,"?00000000")&amp;TEXT(Regen!C15,""",""?0")&amp;SUBSTITUTE(TEXT(Regen!D15,""",""????0;"",""???-0;"",""????0;"", ////"""),"'","""")&amp;SUBSTITUTE(TEXT(Regen!E15,""",""?00;"",""?-00;"",""?00;"", //"""),"'","""")</f>
        <v>032, 19270114, 1,    0, 00</v>
      </c>
    </row>
    <row r="16" spans="1:1" x14ac:dyDescent="0.25">
      <c r="A16" s="12" t="str">
        <f ca="1">TEXT(Regen!A16,"000\,")&amp;TEXT(Regen!B16,"?00000000")&amp;TEXT(Regen!C16,""",""?0")&amp;SUBSTITUTE(TEXT(Regen!D16,""",""????0;"",""???-0;"",""????0;"", ////"""),"'","""")&amp;SUBSTITUTE(TEXT(Regen!E16,""",""?00;"",""?-00;"",""?00;"", //"""),"'","""")</f>
        <v>032, 19270115, 1,   20, 00</v>
      </c>
    </row>
    <row r="17" spans="1:1" x14ac:dyDescent="0.25">
      <c r="A17" s="12" t="str">
        <f ca="1">TEXT(Regen!A17,"000\,")&amp;TEXT(Regen!B17,"?00000000")&amp;TEXT(Regen!C17,""",""?0")&amp;SUBSTITUTE(TEXT(Regen!D17,""",""????0;"",""???-0;"",""????0;"", ////"""),"'","""")&amp;SUBSTITUTE(TEXT(Regen!E17,""",""?00;"",""?-00;"",""?00;"", //"""),"'","""")</f>
        <v>032, 19270116, 1,    0, 00</v>
      </c>
    </row>
    <row r="18" spans="1:1" x14ac:dyDescent="0.25">
      <c r="A18" s="12" t="str">
        <f ca="1">TEXT(Regen!A18,"000\,")&amp;TEXT(Regen!B18,"?00000000")&amp;TEXT(Regen!C18,""",""?0")&amp;SUBSTITUTE(TEXT(Regen!D18,""",""????0;"",""???-0;"",""????0;"", ////"""),"'","""")&amp;SUBSTITUTE(TEXT(Regen!E18,""",""?00;"",""?-00;"",""?00;"", //"""),"'","""")</f>
        <v>032, 19270117, 1,    0, 00</v>
      </c>
    </row>
    <row r="19" spans="1:1" x14ac:dyDescent="0.25">
      <c r="A19" s="12" t="str">
        <f ca="1">TEXT(Regen!A19,"000\,")&amp;TEXT(Regen!B19,"?00000000")&amp;TEXT(Regen!C19,""",""?0")&amp;SUBSTITUTE(TEXT(Regen!D19,""",""????0;"",""???-0;"",""????0;"", ////"""),"'","""")&amp;SUBSTITUTE(TEXT(Regen!E19,""",""?00;"",""?-00;"",""?00;"", //"""),"'","""")</f>
        <v>032, 19270118, 1,    0, 00</v>
      </c>
    </row>
    <row r="20" spans="1:1" x14ac:dyDescent="0.25">
      <c r="A20" s="12" t="str">
        <f ca="1">TEXT(Regen!A20,"000\,")&amp;TEXT(Regen!B20,"?00000000")&amp;TEXT(Regen!C20,""",""?0")&amp;SUBSTITUTE(TEXT(Regen!D20,""",""????0;"",""???-0;"",""????0;"", ////"""),"'","""")&amp;SUBSTITUTE(TEXT(Regen!E20,""",""?00;"",""?-00;"",""?00;"", //"""),"'","""")</f>
        <v>032, 19270119, 1,   90, 00</v>
      </c>
    </row>
    <row r="21" spans="1:1" x14ac:dyDescent="0.25">
      <c r="A21" s="12" t="str">
        <f ca="1">TEXT(Regen!A21,"000\,")&amp;TEXT(Regen!B21,"?00000000")&amp;TEXT(Regen!C21,""",""?0")&amp;SUBSTITUTE(TEXT(Regen!D21,""",""????0;"",""???-0;"",""????0;"", ////"""),"'","""")&amp;SUBSTITUTE(TEXT(Regen!E21,""",""?00;"",""?-00;"",""?00;"", //"""),"'","""")</f>
        <v>032, 19270120, 1,    0, 00</v>
      </c>
    </row>
    <row r="22" spans="1:1" x14ac:dyDescent="0.25">
      <c r="A22" s="12" t="str">
        <f ca="1">TEXT(Regen!A22,"000\,")&amp;TEXT(Regen!B22,"?00000000")&amp;TEXT(Regen!C22,""",""?0")&amp;SUBSTITUTE(TEXT(Regen!D22,""",""????0;"",""???-0;"",""????0;"", ////"""),"'","""")&amp;SUBSTITUTE(TEXT(Regen!E22,""",""?00;"",""?-00;"",""?00;"", //"""),"'","""")</f>
        <v>032, 19270121, 1,  170, 00</v>
      </c>
    </row>
    <row r="23" spans="1:1" x14ac:dyDescent="0.25">
      <c r="A23" s="12" t="str">
        <f ca="1">TEXT(Regen!A23,"000\,")&amp;TEXT(Regen!B23,"?00000000")&amp;TEXT(Regen!C23,""",""?0")&amp;SUBSTITUTE(TEXT(Regen!D23,""",""????0;"",""???-0;"",""????0;"", ////"""),"'","""")&amp;SUBSTITUTE(TEXT(Regen!E23,""",""?00;"",""?-00;"",""?00;"", //"""),"'","""")</f>
        <v>032, 19270122, 1,    0, 00</v>
      </c>
    </row>
    <row r="24" spans="1:1" x14ac:dyDescent="0.25">
      <c r="A24" s="12" t="str">
        <f ca="1">TEXT(Regen!A24,"000\,")&amp;TEXT(Regen!B24,"?00000000")&amp;TEXT(Regen!C24,""",""?0")&amp;SUBSTITUTE(TEXT(Regen!D24,""",""????0;"",""???-0;"",""????0;"", ////"""),"'","""")&amp;SUBSTITUTE(TEXT(Regen!E24,""",""?00;"",""?-00;"",""?00;"", //"""),"'","""")</f>
        <v>032, 19270123, 1,  410, 00</v>
      </c>
    </row>
    <row r="25" spans="1:1" x14ac:dyDescent="0.25">
      <c r="A25" s="12" t="str">
        <f ca="1">TEXT(Regen!A25,"000\,")&amp;TEXT(Regen!B25,"?00000000")&amp;TEXT(Regen!C25,""",""?0")&amp;SUBSTITUTE(TEXT(Regen!D25,""",""????0;"",""???-0;"",""????0;"", ////"""),"'","""")&amp;SUBSTITUTE(TEXT(Regen!E25,""",""?00;"",""?-00;"",""?00;"", //"""),"'","""")</f>
        <v>032, 19270124, 1,    0, 00</v>
      </c>
    </row>
    <row r="26" spans="1:1" x14ac:dyDescent="0.25">
      <c r="A26" s="12" t="str">
        <f ca="1">TEXT(Regen!A26,"000\,")&amp;TEXT(Regen!B26,"?00000000")&amp;TEXT(Regen!C26,""",""?0")&amp;SUBSTITUTE(TEXT(Regen!D26,""",""????0;"",""???-0;"",""????0;"", ////"""),"'","""")&amp;SUBSTITUTE(TEXT(Regen!E26,""",""?00;"",""?-00;"",""?00;"", //"""),"'","""")</f>
        <v>032, 19270125, 1,    0, 00</v>
      </c>
    </row>
    <row r="27" spans="1:1" x14ac:dyDescent="0.25">
      <c r="A27" s="12" t="str">
        <f ca="1">TEXT(Regen!A27,"000\,")&amp;TEXT(Regen!B27,"?00000000")&amp;TEXT(Regen!C27,""",""?0")&amp;SUBSTITUTE(TEXT(Regen!D27,""",""????0;"",""???-0;"",""????0;"", ////"""),"'","""")&amp;SUBSTITUTE(TEXT(Regen!E27,""",""?00;"",""?-00;"",""?00;"", //"""),"'","""")</f>
        <v>032, 19270126, 1,    0, 00</v>
      </c>
    </row>
    <row r="28" spans="1:1" x14ac:dyDescent="0.25">
      <c r="A28" s="12" t="str">
        <f ca="1">TEXT(Regen!A28,"000\,")&amp;TEXT(Regen!B28,"?00000000")&amp;TEXT(Regen!C28,""",""?0")&amp;SUBSTITUTE(TEXT(Regen!D28,""",""????0;"",""???-0;"",""????0;"", ////"""),"'","""")&amp;SUBSTITUTE(TEXT(Regen!E28,""",""?00;"",""?-00;"",""?00;"", //"""),"'","""")</f>
        <v>032, 19270127, 1,    0, 00</v>
      </c>
    </row>
    <row r="29" spans="1:1" x14ac:dyDescent="0.25">
      <c r="A29" s="12" t="str">
        <f ca="1">TEXT(Regen!A29,"000\,")&amp;TEXT(Regen!B29,"?00000000")&amp;TEXT(Regen!C29,""",""?0")&amp;SUBSTITUTE(TEXT(Regen!D29,""",""????0;"",""???-0;"",""????0;"", ////"""),"'","""")&amp;SUBSTITUTE(TEXT(Regen!E29,""",""?00;"",""?-00;"",""?00;"", //"""),"'","""")</f>
        <v>032, 19270128, 1,   60, 00</v>
      </c>
    </row>
    <row r="30" spans="1:1" x14ac:dyDescent="0.25">
      <c r="A30" s="12" t="str">
        <f ca="1">TEXT(Regen!A30,"000\,")&amp;TEXT(Regen!B30,"?00000000")&amp;TEXT(Regen!C30,""",""?0")&amp;SUBSTITUTE(TEXT(Regen!D30,""",""????0;"",""???-0;"",""????0;"", ////"""),"'","""")&amp;SUBSTITUTE(TEXT(Regen!E30,""",""?00;"",""?-00;"",""?00;"", //"""),"'","""")</f>
        <v>032, 19270129, 1,    0, 00</v>
      </c>
    </row>
    <row r="31" spans="1:1" x14ac:dyDescent="0.25">
      <c r="A31" s="12" t="str">
        <f ca="1">TEXT(Regen!A31,"000\,")&amp;TEXT(Regen!B31,"?00000000")&amp;TEXT(Regen!C31,""",""?0")&amp;SUBSTITUTE(TEXT(Regen!D31,""",""????0;"",""???-0;"",""????0;"", ////"""),"'","""")&amp;SUBSTITUTE(TEXT(Regen!E31,""",""?00;"",""?-00;"",""?00;"", //"""),"'","""")</f>
        <v>032, 19270130, 1,   50, 00</v>
      </c>
    </row>
    <row r="32" spans="1:1" x14ac:dyDescent="0.25">
      <c r="A32" s="12" t="str">
        <f ca="1">TEXT(Regen!A32,"000\,")&amp;TEXT(Regen!B32,"?00000000")&amp;TEXT(Regen!C32,""",""?0")&amp;SUBSTITUTE(TEXT(Regen!D32,""",""????0;"",""???-0;"",""????0;"", ////"""),"'","""")&amp;SUBSTITUTE(TEXT(Regen!E32,""",""?00;"",""?-00;"",""?00;"", //"""),"'","""")</f>
        <v>032, 19270131, 1,    0, 00</v>
      </c>
    </row>
    <row r="33" spans="1:1" x14ac:dyDescent="0.25">
      <c r="A33" s="12" t="str">
        <f ca="1">TEXT(Regen!A33,"000\,")&amp;TEXT(Regen!B33,"?00000000")&amp;TEXT(Regen!C33,""",""?0")&amp;SUBSTITUTE(TEXT(Regen!D33,""",""????0;"",""???-0;"",""????0;"", ////"""),"'","""")&amp;SUBSTITUTE(TEXT(Regen!E33,""",""?00;"",""?-00;"",""?00;"", //"""),"'","""")</f>
        <v>032, 19270201, 1,    0, 00</v>
      </c>
    </row>
    <row r="34" spans="1:1" x14ac:dyDescent="0.25">
      <c r="A34" s="12" t="str">
        <f ca="1">TEXT(Regen!A34,"000\,")&amp;TEXT(Regen!B34,"?00000000")&amp;TEXT(Regen!C34,""",""?0")&amp;SUBSTITUTE(TEXT(Regen!D34,""",""????0;"",""???-0;"",""????0;"", ////"""),"'","""")&amp;SUBSTITUTE(TEXT(Regen!E34,""",""?00;"",""?-00;"",""?00;"", //"""),"'","""")</f>
        <v>032, 19270202, 1,    0, 00</v>
      </c>
    </row>
    <row r="35" spans="1:1" x14ac:dyDescent="0.25">
      <c r="A35" s="12" t="str">
        <f ca="1">TEXT(Regen!A35,"000\,")&amp;TEXT(Regen!B35,"?00000000")&amp;TEXT(Regen!C35,""",""?0")&amp;SUBSTITUTE(TEXT(Regen!D35,""",""????0;"",""???-0;"",""????0;"", ////"""),"'","""")&amp;SUBSTITUTE(TEXT(Regen!E35,""",""?00;"",""?-00;"",""?00;"", //"""),"'","""")</f>
        <v>032, 19270203, 1,    0, 00</v>
      </c>
    </row>
    <row r="36" spans="1:1" x14ac:dyDescent="0.25">
      <c r="A36" s="12" t="str">
        <f ca="1">TEXT(Regen!A36,"000\,")&amp;TEXT(Regen!B36,"?00000000")&amp;TEXT(Regen!C36,""",""?0")&amp;SUBSTITUTE(TEXT(Regen!D36,""",""????0;"",""???-0;"",""????0;"", ////"""),"'","""")&amp;SUBSTITUTE(TEXT(Regen!E36,""",""?00;"",""?-00;"",""?00;"", //"""),"'","""")</f>
        <v>032, 19270204, 1,    0, 00</v>
      </c>
    </row>
    <row r="37" spans="1:1" x14ac:dyDescent="0.25">
      <c r="A37" s="12" t="str">
        <f ca="1">TEXT(Regen!A37,"000\,")&amp;TEXT(Regen!B37,"?00000000")&amp;TEXT(Regen!C37,""",""?0")&amp;SUBSTITUTE(TEXT(Regen!D37,""",""????0;"",""???-0;"",""????0;"", ////"""),"'","""")&amp;SUBSTITUTE(TEXT(Regen!E37,""",""?00;"",""?-00;"",""?00;"", //"""),"'","""")</f>
        <v>032, 19270205, 1,   30, 00</v>
      </c>
    </row>
    <row r="38" spans="1:1" x14ac:dyDescent="0.25">
      <c r="A38" s="12" t="str">
        <f ca="1">TEXT(Regen!A38,"000\,")&amp;TEXT(Regen!B38,"?00000000")&amp;TEXT(Regen!C38,""",""?0")&amp;SUBSTITUTE(TEXT(Regen!D38,""",""????0;"",""???-0;"",""????0;"", ////"""),"'","""")&amp;SUBSTITUTE(TEXT(Regen!E38,""",""?00;"",""?-00;"",""?00;"", //"""),"'","""")</f>
        <v>032, 19270206, 1,   50, 00</v>
      </c>
    </row>
    <row r="39" spans="1:1" x14ac:dyDescent="0.25">
      <c r="A39" s="12" t="str">
        <f ca="1">TEXT(Regen!A39,"000\,")&amp;TEXT(Regen!B39,"?00000000")&amp;TEXT(Regen!C39,""",""?0")&amp;SUBSTITUTE(TEXT(Regen!D39,""",""????0;"",""???-0;"",""????0;"", ////"""),"'","""")&amp;SUBSTITUTE(TEXT(Regen!E39,""",""?00;"",""?-00;"",""?00;"", //"""),"'","""")</f>
        <v>032, 19270207, 1,   10, 00</v>
      </c>
    </row>
    <row r="40" spans="1:1" x14ac:dyDescent="0.25">
      <c r="A40" s="12" t="str">
        <f ca="1">TEXT(Regen!A40,"000\,")&amp;TEXT(Regen!B40,"?00000000")&amp;TEXT(Regen!C40,""",""?0")&amp;SUBSTITUTE(TEXT(Regen!D40,""",""????0;"",""???-0;"",""????0;"", ////"""),"'","""")&amp;SUBSTITUTE(TEXT(Regen!E40,""",""?00;"",""?-00;"",""?00;"", //"""),"'","""")</f>
        <v>032, 19270208, 1,   15, 00</v>
      </c>
    </row>
    <row r="41" spans="1:1" x14ac:dyDescent="0.25">
      <c r="A41" s="12" t="str">
        <f ca="1">TEXT(Regen!A41,"000\,")&amp;TEXT(Regen!B41,"?00000000")&amp;TEXT(Regen!C41,""",""?0")&amp;SUBSTITUTE(TEXT(Regen!D41,""",""????0;"",""???-0;"",""????0;"", ////"""),"'","""")&amp;SUBSTITUTE(TEXT(Regen!E41,""",""?00;"",""?-00;"",""?00;"", //"""),"'","""")</f>
        <v>032, 19270209, 1,   10, 00</v>
      </c>
    </row>
    <row r="42" spans="1:1" x14ac:dyDescent="0.25">
      <c r="A42" s="12" t="str">
        <f ca="1">TEXT(Regen!A42,"000\,")&amp;TEXT(Regen!B42,"?00000000")&amp;TEXT(Regen!C42,""",""?0")&amp;SUBSTITUTE(TEXT(Regen!D42,""",""????0;"",""???-0;"",""????0;"", ////"""),"'","""")&amp;SUBSTITUTE(TEXT(Regen!E42,""",""?00;"",""?-00;"",""?00;"", //"""),"'","""")</f>
        <v>032, 19270210, 1,   35, 00</v>
      </c>
    </row>
    <row r="43" spans="1:1" x14ac:dyDescent="0.25">
      <c r="A43" s="12" t="str">
        <f ca="1">TEXT(Regen!A43,"000\,")&amp;TEXT(Regen!B43,"?00000000")&amp;TEXT(Regen!C43,""",""?0")&amp;SUBSTITUTE(TEXT(Regen!D43,""",""????0;"",""???-0;"",""????0;"", ////"""),"'","""")&amp;SUBSTITUTE(TEXT(Regen!E43,""",""?00;"",""?-00;"",""?00;"", //"""),"'","""")</f>
        <v>032, 19270211, 1,   25, 00</v>
      </c>
    </row>
    <row r="44" spans="1:1" x14ac:dyDescent="0.25">
      <c r="A44" s="12" t="str">
        <f ca="1">TEXT(Regen!A44,"000\,")&amp;TEXT(Regen!B44,"?00000000")&amp;TEXT(Regen!C44,""",""?0")&amp;SUBSTITUTE(TEXT(Regen!D44,""",""????0;"",""???-0;"",""????0;"", ////"""),"'","""")&amp;SUBSTITUTE(TEXT(Regen!E44,""",""?00;"",""?-00;"",""?00;"", //"""),"'","""")</f>
        <v>032, 19270212, 1,   15, 00</v>
      </c>
    </row>
    <row r="45" spans="1:1" x14ac:dyDescent="0.25">
      <c r="A45" s="12" t="str">
        <f ca="1">TEXT(Regen!A45,"000\,")&amp;TEXT(Regen!B45,"?00000000")&amp;TEXT(Regen!C45,""",""?0")&amp;SUBSTITUTE(TEXT(Regen!D45,""",""????0;"",""???-0;"",""????0;"", ////"""),"'","""")&amp;SUBSTITUTE(TEXT(Regen!E45,""",""?00;"",""?-00;"",""?00;"", //"""),"'","""")</f>
        <v>032, 19270213, 1,    0, 00</v>
      </c>
    </row>
    <row r="46" spans="1:1" x14ac:dyDescent="0.25">
      <c r="A46" s="12" t="str">
        <f ca="1">TEXT(Regen!A46,"000\,")&amp;TEXT(Regen!B46,"?00000000")&amp;TEXT(Regen!C46,""",""?0")&amp;SUBSTITUTE(TEXT(Regen!D46,""",""????0;"",""???-0;"",""????0;"", ////"""),"'","""")&amp;SUBSTITUTE(TEXT(Regen!E46,""",""?00;"",""?-00;"",""?00;"", //"""),"'","""")</f>
        <v>032, 19270214, 1,    0, 00</v>
      </c>
    </row>
    <row r="47" spans="1:1" x14ac:dyDescent="0.25">
      <c r="A47" s="12" t="str">
        <f ca="1">TEXT(Regen!A47,"000\,")&amp;TEXT(Regen!B47,"?00000000")&amp;TEXT(Regen!C47,""",""?0")&amp;SUBSTITUTE(TEXT(Regen!D47,""",""????0;"",""???-0;"",""????0;"", ////"""),"'","""")&amp;SUBSTITUTE(TEXT(Regen!E47,""",""?00;"",""?-00;"",""?00;"", //"""),"'","""")</f>
        <v>032, 19270215, 1,    0, 00</v>
      </c>
    </row>
    <row r="48" spans="1:1" x14ac:dyDescent="0.25">
      <c r="A48" s="12" t="str">
        <f ca="1">TEXT(Regen!A48,"000\,")&amp;TEXT(Regen!B48,"?00000000")&amp;TEXT(Regen!C48,""",""?0")&amp;SUBSTITUTE(TEXT(Regen!D48,""",""????0;"",""???-0;"",""????0;"", ////"""),"'","""")&amp;SUBSTITUTE(TEXT(Regen!E48,""",""?00;"",""?-00;"",""?00;"", //"""),"'","""")</f>
        <v>032, 19270216, 1,    0, 00</v>
      </c>
    </row>
    <row r="49" spans="1:1" x14ac:dyDescent="0.25">
      <c r="A49" s="12" t="str">
        <f ca="1">TEXT(Regen!A49,"000\,")&amp;TEXT(Regen!B49,"?00000000")&amp;TEXT(Regen!C49,""",""?0")&amp;SUBSTITUTE(TEXT(Regen!D49,""",""????0;"",""???-0;"",""????0;"", ////"""),"'","""")&amp;SUBSTITUTE(TEXT(Regen!E49,""",""?00;"",""?-00;"",""?00;"", //"""),"'","""")</f>
        <v>032, 19270217, 1,    0, 00</v>
      </c>
    </row>
    <row r="50" spans="1:1" x14ac:dyDescent="0.25">
      <c r="A50" s="12" t="str">
        <f ca="1">TEXT(Regen!A50,"000\,")&amp;TEXT(Regen!B50,"?00000000")&amp;TEXT(Regen!C50,""",""?0")&amp;SUBSTITUTE(TEXT(Regen!D50,""",""????0;"",""???-0;"",""????0;"", ////"""),"'","""")&amp;SUBSTITUTE(TEXT(Regen!E50,""",""?00;"",""?-00;"",""?00;"", //"""),"'","""")</f>
        <v>032, 19270218, 1,    0, 00</v>
      </c>
    </row>
    <row r="51" spans="1:1" x14ac:dyDescent="0.25">
      <c r="A51" s="12" t="str">
        <f ca="1">TEXT(Regen!A51,"000\,")&amp;TEXT(Regen!B51,"?00000000")&amp;TEXT(Regen!C51,""",""?0")&amp;SUBSTITUTE(TEXT(Regen!D51,""",""????0;"",""???-0;"",""????0;"", ////"""),"'","""")&amp;SUBSTITUTE(TEXT(Regen!E51,""",""?00;"",""?-00;"",""?00;"", //"""),"'","""")</f>
        <v>032, 19270219, 1,    0, 00</v>
      </c>
    </row>
    <row r="52" spans="1:1" x14ac:dyDescent="0.25">
      <c r="A52" s="12" t="str">
        <f ca="1">TEXT(Regen!A52,"000\,")&amp;TEXT(Regen!B52,"?00000000")&amp;TEXT(Regen!C52,""",""?0")&amp;SUBSTITUTE(TEXT(Regen!D52,""",""????0;"",""???-0;"",""????0;"", ////"""),"'","""")&amp;SUBSTITUTE(TEXT(Regen!E52,""",""?00;"",""?-00;"",""?00;"", //"""),"'","""")</f>
        <v>032, 19270220, 1,    0, 00</v>
      </c>
    </row>
    <row r="53" spans="1:1" x14ac:dyDescent="0.25">
      <c r="A53" s="12" t="str">
        <f ca="1">TEXT(Regen!A53,"000\,")&amp;TEXT(Regen!B53,"?00000000")&amp;TEXT(Regen!C53,""",""?0")&amp;SUBSTITUTE(TEXT(Regen!D53,""",""????0;"",""???-0;"",""????0;"", ////"""),"'","""")&amp;SUBSTITUTE(TEXT(Regen!E53,""",""?00;"",""?-00;"",""?00;"", //"""),"'","""")</f>
        <v>032, 19270221, 1,    0, 00</v>
      </c>
    </row>
    <row r="54" spans="1:1" x14ac:dyDescent="0.25">
      <c r="A54" s="12" t="str">
        <f ca="1">TEXT(Regen!A54,"000\,")&amp;TEXT(Regen!B54,"?00000000")&amp;TEXT(Regen!C54,""",""?0")&amp;SUBSTITUTE(TEXT(Regen!D54,""",""????0;"",""???-0;"",""????0;"", ////"""),"'","""")&amp;SUBSTITUTE(TEXT(Regen!E54,""",""?00;"",""?-00;"",""?00;"", //"""),"'","""")</f>
        <v>032, 19270222, 1,    0, 00</v>
      </c>
    </row>
    <row r="55" spans="1:1" x14ac:dyDescent="0.25">
      <c r="A55" s="12" t="str">
        <f ca="1">TEXT(Regen!A55,"000\,")&amp;TEXT(Regen!B55,"?00000000")&amp;TEXT(Regen!C55,""",""?0")&amp;SUBSTITUTE(TEXT(Regen!D55,""",""????0;"",""???-0;"",""????0;"", ////"""),"'","""")&amp;SUBSTITUTE(TEXT(Regen!E55,""",""?00;"",""?-00;"",""?00;"", //"""),"'","""")</f>
        <v>032, 19270223, 1,    0, 00</v>
      </c>
    </row>
    <row r="56" spans="1:1" x14ac:dyDescent="0.25">
      <c r="A56" s="12" t="str">
        <f ca="1">TEXT(Regen!A56,"000\,")&amp;TEXT(Regen!B56,"?00000000")&amp;TEXT(Regen!C56,""",""?0")&amp;SUBSTITUTE(TEXT(Regen!D56,""",""????0;"",""???-0;"",""????0;"", ////"""),"'","""")&amp;SUBSTITUTE(TEXT(Regen!E56,""",""?00;"",""?-00;"",""?00;"", //"""),"'","""")</f>
        <v>032, 19270224, 1,    0, 00</v>
      </c>
    </row>
    <row r="57" spans="1:1" x14ac:dyDescent="0.25">
      <c r="A57" s="12" t="str">
        <f ca="1">TEXT(Regen!A57,"000\,")&amp;TEXT(Regen!B57,"?00000000")&amp;TEXT(Regen!C57,""",""?0")&amp;SUBSTITUTE(TEXT(Regen!D57,""",""????0;"",""???-0;"",""????0;"", ////"""),"'","""")&amp;SUBSTITUTE(TEXT(Regen!E57,""",""?00;"",""?-00;"",""?00;"", //"""),"'","""")</f>
        <v>032, 19270225, 1,    0, 00</v>
      </c>
    </row>
    <row r="58" spans="1:1" x14ac:dyDescent="0.25">
      <c r="A58" s="12" t="str">
        <f ca="1">TEXT(Regen!A58,"000\,")&amp;TEXT(Regen!B58,"?00000000")&amp;TEXT(Regen!C58,""",""?0")&amp;SUBSTITUTE(TEXT(Regen!D58,""",""????0;"",""???-0;"",""????0;"", ////"""),"'","""")&amp;SUBSTITUTE(TEXT(Regen!E58,""",""?00;"",""?-00;"",""?00;"", //"""),"'","""")</f>
        <v>032, 19270226, 1,    0, 00</v>
      </c>
    </row>
    <row r="59" spans="1:1" x14ac:dyDescent="0.25">
      <c r="A59" s="12" t="str">
        <f ca="1">TEXT(Regen!A59,"000\,")&amp;TEXT(Regen!B59,"?00000000")&amp;TEXT(Regen!C59,""",""?0")&amp;SUBSTITUTE(TEXT(Regen!D59,""",""????0;"",""???-0;"",""????0;"", ////"""),"'","""")&amp;SUBSTITUTE(TEXT(Regen!E59,""",""?00;"",""?-00;"",""?00;"", //"""),"'","""")</f>
        <v>032, 19270227, 1,    0, 00</v>
      </c>
    </row>
    <row r="60" spans="1:1" x14ac:dyDescent="0.25">
      <c r="A60" s="12" t="str">
        <f ca="1">TEXT(Regen!A60,"000\,")&amp;TEXT(Regen!B60,"?00000000")&amp;TEXT(Regen!C60,""",""?0")&amp;SUBSTITUTE(TEXT(Regen!D60,""",""????0;"",""???-0;"",""????0;"", ////"""),"'","""")&amp;SUBSTITUTE(TEXT(Regen!E60,""",""?00;"",""?-00;"",""?00;"", //"""),"'","""")</f>
        <v>032, 19270228, 1,    0, 00</v>
      </c>
    </row>
    <row r="61" spans="1:1" x14ac:dyDescent="0.25">
      <c r="A61" s="12" t="str">
        <f ca="1">TEXT(Regen!A61,"000\,")&amp;TEXT(Regen!B61,"?00000000")&amp;TEXT(Regen!C61,""",""?0")&amp;SUBSTITUTE(TEXT(Regen!D61,""",""????0;"",""???-0;"",""????0;"", ////"""),"'","""")&amp;SUBSTITUTE(TEXT(Regen!E61,""",""?00;"",""?-00;"",""?00;"", //"""),"'","""")</f>
        <v>032, 19270301, 1,    0, 00</v>
      </c>
    </row>
    <row r="62" spans="1:1" x14ac:dyDescent="0.25">
      <c r="A62" s="12" t="str">
        <f ca="1">TEXT(Regen!A62,"000\,")&amp;TEXT(Regen!B62,"?00000000")&amp;TEXT(Regen!C62,""",""?0")&amp;SUBSTITUTE(TEXT(Regen!D62,""",""????0;"",""???-0;"",""????0;"", ////"""),"'","""")&amp;SUBSTITUTE(TEXT(Regen!E62,""",""?00;"",""?-00;"",""?00;"", //"""),"'","""")</f>
        <v>032, 19270302, 1,    0, 00</v>
      </c>
    </row>
    <row r="63" spans="1:1" x14ac:dyDescent="0.25">
      <c r="A63" s="12" t="str">
        <f ca="1">TEXT(Regen!A63,"000\,")&amp;TEXT(Regen!B63,"?00000000")&amp;TEXT(Regen!C63,""",""?0")&amp;SUBSTITUTE(TEXT(Regen!D63,""",""????0;"",""???-0;"",""????0;"", ////"""),"'","""")&amp;SUBSTITUTE(TEXT(Regen!E63,""",""?00;"",""?-00;"",""?00;"", //"""),"'","""")</f>
        <v>032, 19270303, 1,    0, 00</v>
      </c>
    </row>
    <row r="64" spans="1:1" x14ac:dyDescent="0.25">
      <c r="A64" s="12" t="str">
        <f ca="1">TEXT(Regen!A64,"000\,")&amp;TEXT(Regen!B64,"?00000000")&amp;TEXT(Regen!C64,""",""?0")&amp;SUBSTITUTE(TEXT(Regen!D64,""",""????0;"",""???-0;"",""????0;"", ////"""),"'","""")&amp;SUBSTITUTE(TEXT(Regen!E64,""",""?00;"",""?-00;"",""?00;"", //"""),"'","""")</f>
        <v>032, 19270304, 1,    0, 00</v>
      </c>
    </row>
    <row r="65" spans="1:1" x14ac:dyDescent="0.25">
      <c r="A65" s="12" t="str">
        <f ca="1">TEXT(Regen!A65,"000\,")&amp;TEXT(Regen!B65,"?00000000")&amp;TEXT(Regen!C65,""",""?0")&amp;SUBSTITUTE(TEXT(Regen!D65,""",""????0;"",""???-0;"",""????0;"", ////"""),"'","""")&amp;SUBSTITUTE(TEXT(Regen!E65,""",""?00;"",""?-00;"",""?00;"", //"""),"'","""")</f>
        <v>032, 19270305, 1,    0, 00</v>
      </c>
    </row>
    <row r="66" spans="1:1" x14ac:dyDescent="0.25">
      <c r="A66" s="12" t="str">
        <f ca="1">TEXT(Regen!A66,"000\,")&amp;TEXT(Regen!B66,"?00000000")&amp;TEXT(Regen!C66,""",""?0")&amp;SUBSTITUTE(TEXT(Regen!D66,""",""????0;"",""???-0;"",""????0;"", ////"""),"'","""")&amp;SUBSTITUTE(TEXT(Regen!E66,""",""?00;"",""?-00;"",""?00;"", //"""),"'","""")</f>
        <v>032, 19270306, 1,    0, 00</v>
      </c>
    </row>
    <row r="67" spans="1:1" x14ac:dyDescent="0.25">
      <c r="A67" s="12" t="str">
        <f ca="1">TEXT(Regen!A67,"000\,")&amp;TEXT(Regen!B67,"?00000000")&amp;TEXT(Regen!C67,""",""?0")&amp;SUBSTITUTE(TEXT(Regen!D67,""",""????0;"",""???-0;"",""????0;"", ////"""),"'","""")&amp;SUBSTITUTE(TEXT(Regen!E67,""",""?00;"",""?-00;"",""?00;"", //"""),"'","""")</f>
        <v>032, 19270307, 1,   40, 00</v>
      </c>
    </row>
    <row r="68" spans="1:1" x14ac:dyDescent="0.25">
      <c r="A68" s="12" t="str">
        <f ca="1">TEXT(Regen!A68,"000\,")&amp;TEXT(Regen!B68,"?00000000")&amp;TEXT(Regen!C68,""",""?0")&amp;SUBSTITUTE(TEXT(Regen!D68,""",""????0;"",""???-0;"",""????0;"", ////"""),"'","""")&amp;SUBSTITUTE(TEXT(Regen!E68,""",""?00;"",""?-00;"",""?00;"", //"""),"'","""")</f>
        <v>032, 19270308, 1,   50, 00</v>
      </c>
    </row>
    <row r="69" spans="1:1" x14ac:dyDescent="0.25">
      <c r="A69" s="12" t="str">
        <f ca="1">TEXT(Regen!A69,"000\,")&amp;TEXT(Regen!B69,"?00000000")&amp;TEXT(Regen!C69,""",""?0")&amp;SUBSTITUTE(TEXT(Regen!D69,""",""????0;"",""???-0;"",""????0;"", ////"""),"'","""")&amp;SUBSTITUTE(TEXT(Regen!E69,""",""?00;"",""?-00;"",""?00;"", //"""),"'","""")</f>
        <v>032, 19270309, 1,    0, 00</v>
      </c>
    </row>
    <row r="70" spans="1:1" x14ac:dyDescent="0.25">
      <c r="A70" s="12" t="str">
        <f ca="1">TEXT(Regen!A70,"000\,")&amp;TEXT(Regen!B70,"?00000000")&amp;TEXT(Regen!C70,""",""?0")&amp;SUBSTITUTE(TEXT(Regen!D70,""",""????0;"",""???-0;"",""????0;"", ////"""),"'","""")&amp;SUBSTITUTE(TEXT(Regen!E70,""",""?00;"",""?-00;"",""?00;"", //"""),"'","""")</f>
        <v>032, 19270310, 1,    0, 00</v>
      </c>
    </row>
    <row r="71" spans="1:1" x14ac:dyDescent="0.25">
      <c r="A71" s="12" t="str">
        <f ca="1">TEXT(Regen!A71,"000\,")&amp;TEXT(Regen!B71,"?00000000")&amp;TEXT(Regen!C71,""",""?0")&amp;SUBSTITUTE(TEXT(Regen!D71,""",""????0;"",""???-0;"",""????0;"", ////"""),"'","""")&amp;SUBSTITUTE(TEXT(Regen!E71,""",""?00;"",""?-00;"",""?00;"", //"""),"'","""")</f>
        <v>032, 19270311, 1,    0, 00</v>
      </c>
    </row>
    <row r="72" spans="1:1" x14ac:dyDescent="0.25">
      <c r="A72" s="12" t="str">
        <f ca="1">TEXT(Regen!A72,"000\,")&amp;TEXT(Regen!B72,"?00000000")&amp;TEXT(Regen!C72,""",""?0")&amp;SUBSTITUTE(TEXT(Regen!D72,""",""????0;"",""???-0;"",""????0;"", ////"""),"'","""")&amp;SUBSTITUTE(TEXT(Regen!E72,""",""?00;"",""?-00;"",""?00;"", //"""),"'","""")</f>
        <v>032, 19270312, 1,    0, 00</v>
      </c>
    </row>
    <row r="73" spans="1:1" x14ac:dyDescent="0.25">
      <c r="A73" s="12" t="str">
        <f ca="1">TEXT(Regen!A73,"000\,")&amp;TEXT(Regen!B73,"?00000000")&amp;TEXT(Regen!C73,""",""?0")&amp;SUBSTITUTE(TEXT(Regen!D73,""",""????0;"",""???-0;"",""????0;"", ////"""),"'","""")&amp;SUBSTITUTE(TEXT(Regen!E73,""",""?00;"",""?-00;"",""?00;"", //"""),"'","""")</f>
        <v>032, 19270313, 1,    0, 00</v>
      </c>
    </row>
    <row r="74" spans="1:1" x14ac:dyDescent="0.25">
      <c r="A74" s="12" t="str">
        <f ca="1">TEXT(Regen!A74,"000\,")&amp;TEXT(Regen!B74,"?00000000")&amp;TEXT(Regen!C74,""",""?0")&amp;SUBSTITUTE(TEXT(Regen!D74,""",""????0;"",""???-0;"",""????0;"", ////"""),"'","""")&amp;SUBSTITUTE(TEXT(Regen!E74,""",""?00;"",""?-00;"",""?00;"", //"""),"'","""")</f>
        <v>032, 19270314, 1,    0, 00</v>
      </c>
    </row>
    <row r="75" spans="1:1" x14ac:dyDescent="0.25">
      <c r="A75" s="12" t="str">
        <f ca="1">TEXT(Regen!A75,"000\,")&amp;TEXT(Regen!B75,"?00000000")&amp;TEXT(Regen!C75,""",""?0")&amp;SUBSTITUTE(TEXT(Regen!D75,""",""????0;"",""???-0;"",""????0;"", ////"""),"'","""")&amp;SUBSTITUTE(TEXT(Regen!E75,""",""?00;"",""?-00;"",""?00;"", //"""),"'","""")</f>
        <v>032, 19270315, 1,    0, 00</v>
      </c>
    </row>
    <row r="76" spans="1:1" x14ac:dyDescent="0.25">
      <c r="A76" s="12" t="str">
        <f ca="1">TEXT(Regen!A76,"000\,")&amp;TEXT(Regen!B76,"?00000000")&amp;TEXT(Regen!C76,""",""?0")&amp;SUBSTITUTE(TEXT(Regen!D76,""",""????0;"",""???-0;"",""????0;"", ////"""),"'","""")&amp;SUBSTITUTE(TEXT(Regen!E76,""",""?00;"",""?-00;"",""?00;"", //"""),"'","""")</f>
        <v>032, 19270316, 1,    0, 00</v>
      </c>
    </row>
    <row r="77" spans="1:1" x14ac:dyDescent="0.25">
      <c r="A77" s="12" t="str">
        <f ca="1">TEXT(Regen!A77,"000\,")&amp;TEXT(Regen!B77,"?00000000")&amp;TEXT(Regen!C77,""",""?0")&amp;SUBSTITUTE(TEXT(Regen!D77,""",""????0;"",""???-0;"",""????0;"", ////"""),"'","""")&amp;SUBSTITUTE(TEXT(Regen!E77,""",""?00;"",""?-00;"",""?00;"", //"""),"'","""")</f>
        <v>032, 19270317, 1,    0, 00</v>
      </c>
    </row>
    <row r="78" spans="1:1" x14ac:dyDescent="0.25">
      <c r="A78" s="12" t="str">
        <f ca="1">TEXT(Regen!A78,"000\,")&amp;TEXT(Regen!B78,"?00000000")&amp;TEXT(Regen!C78,""",""?0")&amp;SUBSTITUTE(TEXT(Regen!D78,""",""????0;"",""???-0;"",""????0;"", ////"""),"'","""")&amp;SUBSTITUTE(TEXT(Regen!E78,""",""?00;"",""?-00;"",""?00;"", //"""),"'","""")</f>
        <v>032, 19270318, 1,    0, 00</v>
      </c>
    </row>
    <row r="79" spans="1:1" x14ac:dyDescent="0.25">
      <c r="A79" s="12" t="str">
        <f ca="1">TEXT(Regen!A79,"000\,")&amp;TEXT(Regen!B79,"?00000000")&amp;TEXT(Regen!C79,""",""?0")&amp;SUBSTITUTE(TEXT(Regen!D79,""",""????0;"",""???-0;"",""????0;"", ////"""),"'","""")&amp;SUBSTITUTE(TEXT(Regen!E79,""",""?00;"",""?-00;"",""?00;"", //"""),"'","""")</f>
        <v>032, 19270319, 1,    0, 00</v>
      </c>
    </row>
    <row r="80" spans="1:1" x14ac:dyDescent="0.25">
      <c r="A80" s="12" t="str">
        <f ca="1">TEXT(Regen!A80,"000\,")&amp;TEXT(Regen!B80,"?00000000")&amp;TEXT(Regen!C80,""",""?0")&amp;SUBSTITUTE(TEXT(Regen!D80,""",""????0;"",""???-0;"",""????0;"", ////"""),"'","""")&amp;SUBSTITUTE(TEXT(Regen!E80,""",""?00;"",""?-00;"",""?00;"", //"""),"'","""")</f>
        <v>032, 19270320, 1,    0, 00</v>
      </c>
    </row>
    <row r="81" spans="1:1" x14ac:dyDescent="0.25">
      <c r="A81" s="12" t="str">
        <f ca="1">TEXT(Regen!A81,"000\,")&amp;TEXT(Regen!B81,"?00000000")&amp;TEXT(Regen!C81,""",""?0")&amp;SUBSTITUTE(TEXT(Regen!D81,""",""????0;"",""???-0;"",""????0;"", ////"""),"'","""")&amp;SUBSTITUTE(TEXT(Regen!E81,""",""?00;"",""?-00;"",""?00;"", //"""),"'","""")</f>
        <v>032, 19270321, 1,    0, 00</v>
      </c>
    </row>
    <row r="82" spans="1:1" x14ac:dyDescent="0.25">
      <c r="A82" s="12" t="str">
        <f ca="1">TEXT(Regen!A82,"000\,")&amp;TEXT(Regen!B82,"?00000000")&amp;TEXT(Regen!C82,""",""?0")&amp;SUBSTITUTE(TEXT(Regen!D82,""",""????0;"",""???-0;"",""????0;"", ////"""),"'","""")&amp;SUBSTITUTE(TEXT(Regen!E82,""",""?00;"",""?-00;"",""?00;"", //"""),"'","""")</f>
        <v>032, 19270322, 1,    0, 00</v>
      </c>
    </row>
    <row r="83" spans="1:1" x14ac:dyDescent="0.25">
      <c r="A83" s="12" t="str">
        <f ca="1">TEXT(Regen!A83,"000\,")&amp;TEXT(Regen!B83,"?00000000")&amp;TEXT(Regen!C83,""",""?0")&amp;SUBSTITUTE(TEXT(Regen!D83,""",""????0;"",""???-0;"",""????0;"", ////"""),"'","""")&amp;SUBSTITUTE(TEXT(Regen!E83,""",""?00;"",""?-00;"",""?00;"", //"""),"'","""")</f>
        <v>032, 19270323, 1,    0, 00</v>
      </c>
    </row>
    <row r="84" spans="1:1" x14ac:dyDescent="0.25">
      <c r="A84" s="12" t="str">
        <f ca="1">TEXT(Regen!A84,"000\,")&amp;TEXT(Regen!B84,"?00000000")&amp;TEXT(Regen!C84,""",""?0")&amp;SUBSTITUTE(TEXT(Regen!D84,""",""????0;"",""???-0;"",""????0;"", ////"""),"'","""")&amp;SUBSTITUTE(TEXT(Regen!E84,""",""?00;"",""?-00;"",""?00;"", //"""),"'","""")</f>
        <v>032, 19270324, 1,    0, 00</v>
      </c>
    </row>
    <row r="85" spans="1:1" x14ac:dyDescent="0.25">
      <c r="A85" s="12" t="str">
        <f ca="1">TEXT(Regen!A85,"000\,")&amp;TEXT(Regen!B85,"?00000000")&amp;TEXT(Regen!C85,""",""?0")&amp;SUBSTITUTE(TEXT(Regen!D85,""",""????0;"",""???-0;"",""????0;"", ////"""),"'","""")&amp;SUBSTITUTE(TEXT(Regen!E85,""",""?00;"",""?-00;"",""?00;"", //"""),"'","""")</f>
        <v>032, 19270325, 1,    0, 00</v>
      </c>
    </row>
    <row r="86" spans="1:1" x14ac:dyDescent="0.25">
      <c r="A86" s="12" t="str">
        <f ca="1">TEXT(Regen!A86,"000\,")&amp;TEXT(Regen!B86,"?00000000")&amp;TEXT(Regen!C86,""",""?0")&amp;SUBSTITUTE(TEXT(Regen!D86,""",""????0;"",""???-0;"",""????0;"", ////"""),"'","""")&amp;SUBSTITUTE(TEXT(Regen!E86,""",""?00;"",""?-00;"",""?00;"", //"""),"'","""")</f>
        <v>032, 19270326, 1,    0, 00</v>
      </c>
    </row>
    <row r="87" spans="1:1" x14ac:dyDescent="0.25">
      <c r="A87" s="12" t="str">
        <f ca="1">TEXT(Regen!A87,"000\,")&amp;TEXT(Regen!B87,"?00000000")&amp;TEXT(Regen!C87,""",""?0")&amp;SUBSTITUTE(TEXT(Regen!D87,""",""????0;"",""???-0;"",""????0;"", ////"""),"'","""")&amp;SUBSTITUTE(TEXT(Regen!E87,""",""?00;"",""?-00;"",""?00;"", //"""),"'","""")</f>
        <v>032, 19270327, 1,    0, 00</v>
      </c>
    </row>
    <row r="88" spans="1:1" x14ac:dyDescent="0.25">
      <c r="A88" s="12" t="str">
        <f ca="1">TEXT(Regen!A88,"000\,")&amp;TEXT(Regen!B88,"?00000000")&amp;TEXT(Regen!C88,""",""?0")&amp;SUBSTITUTE(TEXT(Regen!D88,""",""????0;"",""???-0;"",""????0;"", ////"""),"'","""")&amp;SUBSTITUTE(TEXT(Regen!E88,""",""?00;"",""?-00;"",""?00;"", //"""),"'","""")</f>
        <v>032, 19270328, 1,    0, 00</v>
      </c>
    </row>
    <row r="89" spans="1:1" x14ac:dyDescent="0.25">
      <c r="A89" s="12" t="str">
        <f ca="1">TEXT(Regen!A89,"000\,")&amp;TEXT(Regen!B89,"?00000000")&amp;TEXT(Regen!C89,""",""?0")&amp;SUBSTITUTE(TEXT(Regen!D89,""",""????0;"",""???-0;"",""????0;"", ////"""),"'","""")&amp;SUBSTITUTE(TEXT(Regen!E89,""",""?00;"",""?-00;"",""?00;"", //"""),"'","""")</f>
        <v>032, 19270329, 1,    0, 00</v>
      </c>
    </row>
    <row r="90" spans="1:1" x14ac:dyDescent="0.25">
      <c r="A90" s="12" t="str">
        <f ca="1">TEXT(Regen!A90,"000\,")&amp;TEXT(Regen!B90,"?00000000")&amp;TEXT(Regen!C90,""",""?0")&amp;SUBSTITUTE(TEXT(Regen!D90,""",""????0;"",""???-0;"",""????0;"", ////"""),"'","""")&amp;SUBSTITUTE(TEXT(Regen!E90,""",""?00;"",""?-00;"",""?00;"", //"""),"'","""")</f>
        <v>032, 19270330, 1,    0, 00</v>
      </c>
    </row>
    <row r="91" spans="1:1" x14ac:dyDescent="0.25">
      <c r="A91" s="12" t="str">
        <f ca="1">TEXT(Regen!A91,"000\,")&amp;TEXT(Regen!B91,"?00000000")&amp;TEXT(Regen!C91,""",""?0")&amp;SUBSTITUTE(TEXT(Regen!D91,""",""????0;"",""???-0;"",""????0;"", ////"""),"'","""")&amp;SUBSTITUTE(TEXT(Regen!E91,""",""?00;"",""?-00;"",""?00;"", //"""),"'","""")</f>
        <v>032, 19270331, 1,    0, 00</v>
      </c>
    </row>
    <row r="92" spans="1:1" x14ac:dyDescent="0.25">
      <c r="A92" s="12" t="str">
        <f ca="1">TEXT(Regen!A92,"000\,")&amp;TEXT(Regen!B92,"?00000000")&amp;TEXT(Regen!C92,""",""?0")&amp;SUBSTITUTE(TEXT(Regen!D92,""",""????0;"",""???-0;"",""????0;"", ////"""),"'","""")&amp;SUBSTITUTE(TEXT(Regen!E92,""",""?00;"",""?-00;"",""?00;"", //"""),"'","""")</f>
        <v>032, 19270401, 1,    0, 00</v>
      </c>
    </row>
    <row r="93" spans="1:1" x14ac:dyDescent="0.25">
      <c r="A93" s="12" t="str">
        <f ca="1">TEXT(Regen!A93,"000\,")&amp;TEXT(Regen!B93,"?00000000")&amp;TEXT(Regen!C93,""",""?0")&amp;SUBSTITUTE(TEXT(Regen!D93,""",""????0;"",""???-0;"",""????0;"", ////"""),"'","""")&amp;SUBSTITUTE(TEXT(Regen!E93,""",""?00;"",""?-00;"",""?00;"", //"""),"'","""")</f>
        <v>032, 19270402, 1,    0, 00</v>
      </c>
    </row>
    <row r="94" spans="1:1" x14ac:dyDescent="0.25">
      <c r="A94" s="12" t="str">
        <f ca="1">TEXT(Regen!A94,"000\,")&amp;TEXT(Regen!B94,"?00000000")&amp;TEXT(Regen!C94,""",""?0")&amp;SUBSTITUTE(TEXT(Regen!D94,""",""????0;"",""???-0;"",""????0;"", ////"""),"'","""")&amp;SUBSTITUTE(TEXT(Regen!E94,""",""?00;"",""?-00;"",""?00;"", //"""),"'","""")</f>
        <v>032, 19270403, 1,    0, 00</v>
      </c>
    </row>
    <row r="95" spans="1:1" x14ac:dyDescent="0.25">
      <c r="A95" s="12" t="str">
        <f ca="1">TEXT(Regen!A95,"000\,")&amp;TEXT(Regen!B95,"?00000000")&amp;TEXT(Regen!C95,""",""?0")&amp;SUBSTITUTE(TEXT(Regen!D95,""",""????0;"",""???-0;"",""????0;"", ////"""),"'","""")&amp;SUBSTITUTE(TEXT(Regen!E95,""",""?00;"",""?-00;"",""?00;"", //"""),"'","""")</f>
        <v>032, 19270404, 1,    0, 00</v>
      </c>
    </row>
    <row r="96" spans="1:1" x14ac:dyDescent="0.25">
      <c r="A96" s="12" t="str">
        <f ca="1">TEXT(Regen!A96,"000\,")&amp;TEXT(Regen!B96,"?00000000")&amp;TEXT(Regen!C96,""",""?0")&amp;SUBSTITUTE(TEXT(Regen!D96,""",""????0;"",""???-0;"",""????0;"", ////"""),"'","""")&amp;SUBSTITUTE(TEXT(Regen!E96,""",""?00;"",""?-00;"",""?00;"", //"""),"'","""")</f>
        <v>032, 19270405, 1,    0, 00</v>
      </c>
    </row>
    <row r="97" spans="1:1" x14ac:dyDescent="0.25">
      <c r="A97" s="12" t="str">
        <f ca="1">TEXT(Regen!A97,"000\,")&amp;TEXT(Regen!B97,"?00000000")&amp;TEXT(Regen!C97,""",""?0")&amp;SUBSTITUTE(TEXT(Regen!D97,""",""????0;"",""???-0;"",""????0;"", ////"""),"'","""")&amp;SUBSTITUTE(TEXT(Regen!E97,""",""?00;"",""?-00;"",""?00;"", //"""),"'","""")</f>
        <v>032, 19270406, 1,    0, 00</v>
      </c>
    </row>
    <row r="98" spans="1:1" x14ac:dyDescent="0.25">
      <c r="A98" s="12" t="str">
        <f ca="1">TEXT(Regen!A98,"000\,")&amp;TEXT(Regen!B98,"?00000000")&amp;TEXT(Regen!C98,""",""?0")&amp;SUBSTITUTE(TEXT(Regen!D98,""",""????0;"",""???-0;"",""????0;"", ////"""),"'","""")&amp;SUBSTITUTE(TEXT(Regen!E98,""",""?00;"",""?-00;"",""?00;"", //"""),"'","""")</f>
        <v>032, 19270407, 1,    0, 00</v>
      </c>
    </row>
    <row r="99" spans="1:1" x14ac:dyDescent="0.25">
      <c r="A99" s="12" t="str">
        <f ca="1">TEXT(Regen!A99,"000\,")&amp;TEXT(Regen!B99,"?00000000")&amp;TEXT(Regen!C99,""",""?0")&amp;SUBSTITUTE(TEXT(Regen!D99,""",""????0;"",""???-0;"",""????0;"", ////"""),"'","""")&amp;SUBSTITUTE(TEXT(Regen!E99,""",""?00;"",""?-00;"",""?00;"", //"""),"'","""")</f>
        <v>032, 19270408, 1,    0, 00</v>
      </c>
    </row>
    <row r="100" spans="1:1" x14ac:dyDescent="0.25">
      <c r="A100" s="12" t="str">
        <f ca="1">TEXT(Regen!A100,"000\,")&amp;TEXT(Regen!B100,"?00000000")&amp;TEXT(Regen!C100,""",""?0")&amp;SUBSTITUTE(TEXT(Regen!D100,""",""????0;"",""???-0;"",""????0;"", ////"""),"'","""")&amp;SUBSTITUTE(TEXT(Regen!E100,""",""?00;"",""?-00;"",""?00;"", //"""),"'","""")</f>
        <v>032, 19270409, 1,    0, 00</v>
      </c>
    </row>
    <row r="101" spans="1:1" x14ac:dyDescent="0.25">
      <c r="A101" s="12" t="str">
        <f ca="1">TEXT(Regen!A101,"000\,")&amp;TEXT(Regen!B101,"?00000000")&amp;TEXT(Regen!C101,""",""?0")&amp;SUBSTITUTE(TEXT(Regen!D101,""",""????0;"",""???-0;"",""????0;"", ////"""),"'","""")&amp;SUBSTITUTE(TEXT(Regen!E101,""",""?00;"",""?-00;"",""?00;"", //"""),"'","""")</f>
        <v>032, 19270410, 1,    0, 00</v>
      </c>
    </row>
    <row r="102" spans="1:1" x14ac:dyDescent="0.25">
      <c r="A102" s="12" t="str">
        <f ca="1">TEXT(Regen!A102,"000\,")&amp;TEXT(Regen!B102,"?00000000")&amp;TEXT(Regen!C102,""",""?0")&amp;SUBSTITUTE(TEXT(Regen!D102,""",""????0;"",""???-0;"",""????0;"", ////"""),"'","""")&amp;SUBSTITUTE(TEXT(Regen!E102,""",""?00;"",""?-00;"",""?00;"", //"""),"'","""")</f>
        <v>032, 19270411, 1,    0, 00</v>
      </c>
    </row>
    <row r="103" spans="1:1" x14ac:dyDescent="0.25">
      <c r="A103" s="12" t="str">
        <f ca="1">TEXT(Regen!A103,"000\,")&amp;TEXT(Regen!B103,"?00000000")&amp;TEXT(Regen!C103,""",""?0")&amp;SUBSTITUTE(TEXT(Regen!D103,""",""????0;"",""???-0;"",""????0;"", ////"""),"'","""")&amp;SUBSTITUTE(TEXT(Regen!E103,""",""?00;"",""?-00;"",""?00;"", //"""),"'","""")</f>
        <v>032, 19270412, 1,    0, 00</v>
      </c>
    </row>
    <row r="104" spans="1:1" x14ac:dyDescent="0.25">
      <c r="A104" s="12" t="str">
        <f ca="1">TEXT(Regen!A104,"000\,")&amp;TEXT(Regen!B104,"?00000000")&amp;TEXT(Regen!C104,""",""?0")&amp;SUBSTITUTE(TEXT(Regen!D104,""",""????0;"",""???-0;"",""????0;"", ////"""),"'","""")&amp;SUBSTITUTE(TEXT(Regen!E104,""",""?00;"",""?-00;"",""?00;"", //"""),"'","""")</f>
        <v>032, 19270413, 1,    0, 00</v>
      </c>
    </row>
    <row r="105" spans="1:1" x14ac:dyDescent="0.25">
      <c r="A105" s="12" t="str">
        <f ca="1">TEXT(Regen!A105,"000\,")&amp;TEXT(Regen!B105,"?00000000")&amp;TEXT(Regen!C105,""",""?0")&amp;SUBSTITUTE(TEXT(Regen!D105,""",""????0;"",""???-0;"",""????0;"", ////"""),"'","""")&amp;SUBSTITUTE(TEXT(Regen!E105,""",""?00;"",""?-00;"",""?00;"", //"""),"'","""")</f>
        <v>032, 19270414, 1,   40, 00</v>
      </c>
    </row>
    <row r="106" spans="1:1" x14ac:dyDescent="0.25">
      <c r="A106" s="12" t="str">
        <f ca="1">TEXT(Regen!A106,"000\,")&amp;TEXT(Regen!B106,"?00000000")&amp;TEXT(Regen!C106,""",""?0")&amp;SUBSTITUTE(TEXT(Regen!D106,""",""????0;"",""???-0;"",""????0;"", ////"""),"'","""")&amp;SUBSTITUTE(TEXT(Regen!E106,""",""?00;"",""?-00;"",""?00;"", //"""),"'","""")</f>
        <v>032, 19270415, 1,    0, 00</v>
      </c>
    </row>
    <row r="107" spans="1:1" x14ac:dyDescent="0.25">
      <c r="A107" s="12" t="str">
        <f ca="1">TEXT(Regen!A107,"000\,")&amp;TEXT(Regen!B107,"?00000000")&amp;TEXT(Regen!C107,""",""?0")&amp;SUBSTITUTE(TEXT(Regen!D107,""",""????0;"",""???-0;"",""????0;"", ////"""),"'","""")&amp;SUBSTITUTE(TEXT(Regen!E107,""",""?00;"",""?-00;"",""?00;"", //"""),"'","""")</f>
        <v>032, 19270416, 1,    0, 00</v>
      </c>
    </row>
    <row r="108" spans="1:1" x14ac:dyDescent="0.25">
      <c r="A108" s="12" t="str">
        <f ca="1">TEXT(Regen!A108,"000\,")&amp;TEXT(Regen!B108,"?00000000")&amp;TEXT(Regen!C108,""",""?0")&amp;SUBSTITUTE(TEXT(Regen!D108,""",""????0;"",""???-0;"",""????0;"", ////"""),"'","""")&amp;SUBSTITUTE(TEXT(Regen!E108,""",""?00;"",""?-00;"",""?00;"", //"""),"'","""")</f>
        <v>032, 19270417, 1,    0, 00</v>
      </c>
    </row>
    <row r="109" spans="1:1" x14ac:dyDescent="0.25">
      <c r="A109" s="12" t="str">
        <f ca="1">TEXT(Regen!A109,"000\,")&amp;TEXT(Regen!B109,"?00000000")&amp;TEXT(Regen!C109,""",""?0")&amp;SUBSTITUTE(TEXT(Regen!D109,""",""????0;"",""???-0;"",""????0;"", ////"""),"'","""")&amp;SUBSTITUTE(TEXT(Regen!E109,""",""?00;"",""?-00;"",""?00;"", //"""),"'","""")</f>
        <v>032, 19270418, 1,    0, 00</v>
      </c>
    </row>
    <row r="110" spans="1:1" x14ac:dyDescent="0.25">
      <c r="A110" s="12" t="str">
        <f ca="1">TEXT(Regen!A110,"000\,")&amp;TEXT(Regen!B110,"?00000000")&amp;TEXT(Regen!C110,""",""?0")&amp;SUBSTITUTE(TEXT(Regen!D110,""",""????0;"",""???-0;"",""????0;"", ////"""),"'","""")&amp;SUBSTITUTE(TEXT(Regen!E110,""",""?00;"",""?-00;"",""?00;"", //"""),"'","""")</f>
        <v>032, 19270419, 1,    0, 00</v>
      </c>
    </row>
    <row r="111" spans="1:1" x14ac:dyDescent="0.25">
      <c r="A111" s="12" t="str">
        <f ca="1">TEXT(Regen!A111,"000\,")&amp;TEXT(Regen!B111,"?00000000")&amp;TEXT(Regen!C111,""",""?0")&amp;SUBSTITUTE(TEXT(Regen!D111,""",""????0;"",""???-0;"",""????0;"", ////"""),"'","""")&amp;SUBSTITUTE(TEXT(Regen!E111,""",""?00;"",""?-00;"",""?00;"", //"""),"'","""")</f>
        <v>032, 19270420, 1,    0, 00</v>
      </c>
    </row>
    <row r="112" spans="1:1" x14ac:dyDescent="0.25">
      <c r="A112" s="12" t="str">
        <f ca="1">TEXT(Regen!A112,"000\,")&amp;TEXT(Regen!B112,"?00000000")&amp;TEXT(Regen!C112,""",""?0")&amp;SUBSTITUTE(TEXT(Regen!D112,""",""????0;"",""???-0;"",""????0;"", ////"""),"'","""")&amp;SUBSTITUTE(TEXT(Regen!E112,""",""?00;"",""?-00;"",""?00;"", //"""),"'","""")</f>
        <v>032, 19270421, 1,    0, 00</v>
      </c>
    </row>
    <row r="113" spans="1:1" x14ac:dyDescent="0.25">
      <c r="A113" s="12" t="str">
        <f ca="1">TEXT(Regen!A113,"000\,")&amp;TEXT(Regen!B113,"?00000000")&amp;TEXT(Regen!C113,""",""?0")&amp;SUBSTITUTE(TEXT(Regen!D113,""",""????0;"",""???-0;"",""????0;"", ////"""),"'","""")&amp;SUBSTITUTE(TEXT(Regen!E113,""",""?00;"",""?-00;"",""?00;"", //"""),"'","""")</f>
        <v>032, 19270422, 1,    0, 00</v>
      </c>
    </row>
    <row r="114" spans="1:1" x14ac:dyDescent="0.25">
      <c r="A114" s="12" t="str">
        <f ca="1">TEXT(Regen!A114,"000\,")&amp;TEXT(Regen!B114,"?00000000")&amp;TEXT(Regen!C114,""",""?0")&amp;SUBSTITUTE(TEXT(Regen!D114,""",""????0;"",""???-0;"",""????0;"", ////"""),"'","""")&amp;SUBSTITUTE(TEXT(Regen!E114,""",""?00;"",""?-00;"",""?00;"", //"""),"'","""")</f>
        <v>032, 19270423, 1,  160, 00</v>
      </c>
    </row>
    <row r="115" spans="1:1" x14ac:dyDescent="0.25">
      <c r="A115" s="12" t="str">
        <f ca="1">TEXT(Regen!A115,"000\,")&amp;TEXT(Regen!B115,"?00000000")&amp;TEXT(Regen!C115,""",""?0")&amp;SUBSTITUTE(TEXT(Regen!D115,""",""????0;"",""???-0;"",""????0;"", ////"""),"'","""")&amp;SUBSTITUTE(TEXT(Regen!E115,""",""?00;"",""?-00;"",""?00;"", //"""),"'","""")</f>
        <v>032, 19270424, 1,  590, 00</v>
      </c>
    </row>
    <row r="116" spans="1:1" x14ac:dyDescent="0.25">
      <c r="A116" s="12" t="str">
        <f ca="1">TEXT(Regen!A116,"000\,")&amp;TEXT(Regen!B116,"?00000000")&amp;TEXT(Regen!C116,""",""?0")&amp;SUBSTITUTE(TEXT(Regen!D116,""",""????0;"",""???-0;"",""????0;"", ////"""),"'","""")&amp;SUBSTITUTE(TEXT(Regen!E116,""",""?00;"",""?-00;"",""?00;"", //"""),"'","""")</f>
        <v>032, 19270425, 1,    0, 00</v>
      </c>
    </row>
    <row r="117" spans="1:1" x14ac:dyDescent="0.25">
      <c r="A117" s="12" t="str">
        <f ca="1">TEXT(Regen!A117,"000\,")&amp;TEXT(Regen!B117,"?00000000")&amp;TEXT(Regen!C117,""",""?0")&amp;SUBSTITUTE(TEXT(Regen!D117,""",""????0;"",""???-0;"",""????0;"", ////"""),"'","""")&amp;SUBSTITUTE(TEXT(Regen!E117,""",""?00;"",""?-00;"",""?00;"", //"""),"'","""")</f>
        <v>032, 19270426, 1,    0, 00</v>
      </c>
    </row>
    <row r="118" spans="1:1" x14ac:dyDescent="0.25">
      <c r="A118" s="12" t="str">
        <f ca="1">TEXT(Regen!A118,"000\,")&amp;TEXT(Regen!B118,"?00000000")&amp;TEXT(Regen!C118,""",""?0")&amp;SUBSTITUTE(TEXT(Regen!D118,""",""????0;"",""???-0;"",""????0;"", ////"""),"'","""")&amp;SUBSTITUTE(TEXT(Regen!E118,""",""?00;"",""?-00;"",""?00;"", //"""),"'","""")</f>
        <v>032, 19270427, 1,    0, 00</v>
      </c>
    </row>
    <row r="119" spans="1:1" x14ac:dyDescent="0.25">
      <c r="A119" s="12" t="str">
        <f ca="1">TEXT(Regen!A119,"000\,")&amp;TEXT(Regen!B119,"?00000000")&amp;TEXT(Regen!C119,""",""?0")&amp;SUBSTITUTE(TEXT(Regen!D119,""",""????0;"",""???-0;"",""????0;"", ////"""),"'","""")&amp;SUBSTITUTE(TEXT(Regen!E119,""",""?00;"",""?-00;"",""?00;"", //"""),"'","""")</f>
        <v>032, 19270428, 1,    0, 00</v>
      </c>
    </row>
    <row r="120" spans="1:1" x14ac:dyDescent="0.25">
      <c r="A120" s="12" t="str">
        <f ca="1">TEXT(Regen!A120,"000\,")&amp;TEXT(Regen!B120,"?00000000")&amp;TEXT(Regen!C120,""",""?0")&amp;SUBSTITUTE(TEXT(Regen!D120,""",""????0;"",""???-0;"",""????0;"", ////"""),"'","""")&amp;SUBSTITUTE(TEXT(Regen!E120,""",""?00;"",""?-00;"",""?00;"", //"""),"'","""")</f>
        <v>032, 19270429, 1,    0, 00</v>
      </c>
    </row>
    <row r="121" spans="1:1" x14ac:dyDescent="0.25">
      <c r="A121" s="12" t="str">
        <f ca="1">TEXT(Regen!A121,"000\,")&amp;TEXT(Regen!B121,"?00000000")&amp;TEXT(Regen!C121,""",""?0")&amp;SUBSTITUTE(TEXT(Regen!D121,""",""????0;"",""???-0;"",""????0;"", ////"""),"'","""")&amp;SUBSTITUTE(TEXT(Regen!E121,""",""?00;"",""?-00;"",""?00;"", //"""),"'","""")</f>
        <v>032, 19270430, 1,    0, 00</v>
      </c>
    </row>
    <row r="122" spans="1:1" x14ac:dyDescent="0.25">
      <c r="A122" s="12" t="str">
        <f ca="1">TEXT(Regen!A122,"000\,")&amp;TEXT(Regen!B122,"?00000000")&amp;TEXT(Regen!C122,""",""?0")&amp;SUBSTITUTE(TEXT(Regen!D122,""",""????0;"",""???-0;"",""????0;"", ////"""),"'","""")&amp;SUBSTITUTE(TEXT(Regen!E122,""",""?00;"",""?-00;"",""?00;"", //"""),"'","""")</f>
        <v>032, 19270501, 1,    0, 00</v>
      </c>
    </row>
    <row r="123" spans="1:1" x14ac:dyDescent="0.25">
      <c r="A123" s="12" t="str">
        <f ca="1">TEXT(Regen!A123,"000\,")&amp;TEXT(Regen!B123,"?00000000")&amp;TEXT(Regen!C123,""",""?0")&amp;SUBSTITUTE(TEXT(Regen!D123,""",""????0;"",""???-0;"",""????0;"", ////"""),"'","""")&amp;SUBSTITUTE(TEXT(Regen!E123,""",""?00;"",""?-00;"",""?00;"", //"""),"'","""")</f>
        <v>032, 19270502, 1,    0, 00</v>
      </c>
    </row>
    <row r="124" spans="1:1" x14ac:dyDescent="0.25">
      <c r="A124" s="12" t="str">
        <f ca="1">TEXT(Regen!A124,"000\,")&amp;TEXT(Regen!B124,"?00000000")&amp;TEXT(Regen!C124,""",""?0")&amp;SUBSTITUTE(TEXT(Regen!D124,""",""????0;"",""???-0;"",""????0;"", ////"""),"'","""")&amp;SUBSTITUTE(TEXT(Regen!E124,""",""?00;"",""?-00;"",""?00;"", //"""),"'","""")</f>
        <v>032, 19270503, 1,    0, 00</v>
      </c>
    </row>
    <row r="125" spans="1:1" x14ac:dyDescent="0.25">
      <c r="A125" s="12" t="str">
        <f ca="1">TEXT(Regen!A125,"000\,")&amp;TEXT(Regen!B125,"?00000000")&amp;TEXT(Regen!C125,""",""?0")&amp;SUBSTITUTE(TEXT(Regen!D125,""",""????0;"",""???-0;"",""????0;"", ////"""),"'","""")&amp;SUBSTITUTE(TEXT(Regen!E125,""",""?00;"",""?-00;"",""?00;"", //"""),"'","""")</f>
        <v>032, 19270504, 1,    0, 00</v>
      </c>
    </row>
    <row r="126" spans="1:1" x14ac:dyDescent="0.25">
      <c r="A126" s="12" t="str">
        <f ca="1">TEXT(Regen!A126,"000\,")&amp;TEXT(Regen!B126,"?00000000")&amp;TEXT(Regen!C126,""",""?0")&amp;SUBSTITUTE(TEXT(Regen!D126,""",""????0;"",""???-0;"",""????0;"", ////"""),"'","""")&amp;SUBSTITUTE(TEXT(Regen!E126,""",""?00;"",""?-00;"",""?00;"", //"""),"'","""")</f>
        <v>032, 19270505, 1,    0, 00</v>
      </c>
    </row>
    <row r="127" spans="1:1" x14ac:dyDescent="0.25">
      <c r="A127" s="12" t="str">
        <f ca="1">TEXT(Regen!A127,"000\,")&amp;TEXT(Regen!B127,"?00000000")&amp;TEXT(Regen!C127,""",""?0")&amp;SUBSTITUTE(TEXT(Regen!D127,""",""????0;"",""???-0;"",""????0;"", ////"""),"'","""")&amp;SUBSTITUTE(TEXT(Regen!E127,""",""?00;"",""?-00;"",""?00;"", //"""),"'","""")</f>
        <v>032, 19270506, 1,    0, 00</v>
      </c>
    </row>
    <row r="128" spans="1:1" x14ac:dyDescent="0.25">
      <c r="A128" s="12" t="str">
        <f ca="1">TEXT(Regen!A128,"000\,")&amp;TEXT(Regen!B128,"?00000000")&amp;TEXT(Regen!C128,""",""?0")&amp;SUBSTITUTE(TEXT(Regen!D128,""",""????0;"",""???-0;"",""????0;"", ////"""),"'","""")&amp;SUBSTITUTE(TEXT(Regen!E128,""",""?00;"",""?-00;"",""?00;"", //"""),"'","""")</f>
        <v>032, 19270507, 1,    0, 00</v>
      </c>
    </row>
    <row r="129" spans="1:1" x14ac:dyDescent="0.25">
      <c r="A129" s="12" t="str">
        <f ca="1">TEXT(Regen!A129,"000\,")&amp;TEXT(Regen!B129,"?00000000")&amp;TEXT(Regen!C129,""",""?0")&amp;SUBSTITUTE(TEXT(Regen!D129,""",""????0;"",""???-0;"",""????0;"", ////"""),"'","""")&amp;SUBSTITUTE(TEXT(Regen!E129,""",""?00;"",""?-00;"",""?00;"", //"""),"'","""")</f>
        <v>032, 19270508, 1,    0, 00</v>
      </c>
    </row>
    <row r="130" spans="1:1" x14ac:dyDescent="0.25">
      <c r="A130" s="12" t="str">
        <f ca="1">TEXT(Regen!A130,"000\,")&amp;TEXT(Regen!B130,"?00000000")&amp;TEXT(Regen!C130,""",""?0")&amp;SUBSTITUTE(TEXT(Regen!D130,""",""????0;"",""???-0;"",""????0;"", ////"""),"'","""")&amp;SUBSTITUTE(TEXT(Regen!E130,""",""?00;"",""?-00;"",""?00;"", //"""),"'","""")</f>
        <v>032, 19270509, 1,    0, 00</v>
      </c>
    </row>
    <row r="131" spans="1:1" x14ac:dyDescent="0.25">
      <c r="A131" s="12" t="str">
        <f ca="1">TEXT(Regen!A131,"000\,")&amp;TEXT(Regen!B131,"?00000000")&amp;TEXT(Regen!C131,""",""?0")&amp;SUBSTITUTE(TEXT(Regen!D131,""",""????0;"",""???-0;"",""????0;"", ////"""),"'","""")&amp;SUBSTITUTE(TEXT(Regen!E131,""",""?00;"",""?-00;"",""?00;"", //"""),"'","""")</f>
        <v>032, 19270510, 1,    0, 00</v>
      </c>
    </row>
    <row r="132" spans="1:1" x14ac:dyDescent="0.25">
      <c r="A132" s="12" t="str">
        <f ca="1">TEXT(Regen!A132,"000\,")&amp;TEXT(Regen!B132,"?00000000")&amp;TEXT(Regen!C132,""",""?0")&amp;SUBSTITUTE(TEXT(Regen!D132,""",""????0;"",""???-0;"",""????0;"", ////"""),"'","""")&amp;SUBSTITUTE(TEXT(Regen!E132,""",""?00;"",""?-00;"",""?00;"", //"""),"'","""")</f>
        <v>032, 19270511, 1,    0, 00</v>
      </c>
    </row>
    <row r="133" spans="1:1" x14ac:dyDescent="0.25">
      <c r="A133" s="12" t="str">
        <f ca="1">TEXT(Regen!A133,"000\,")&amp;TEXT(Regen!B133,"?00000000")&amp;TEXT(Regen!C133,""",""?0")&amp;SUBSTITUTE(TEXT(Regen!D133,""",""????0;"",""???-0;"",""????0;"", ////"""),"'","""")&amp;SUBSTITUTE(TEXT(Regen!E133,""",""?00;"",""?-00;"",""?00;"", //"""),"'","""")</f>
        <v>032, 19270512, 1,    0, 00</v>
      </c>
    </row>
    <row r="134" spans="1:1" x14ac:dyDescent="0.25">
      <c r="A134" s="12" t="str">
        <f ca="1">TEXT(Regen!A134,"000\,")&amp;TEXT(Regen!B134,"?00000000")&amp;TEXT(Regen!C134,""",""?0")&amp;SUBSTITUTE(TEXT(Regen!D134,""",""????0;"",""???-0;"",""????0;"", ////"""),"'","""")&amp;SUBSTITUTE(TEXT(Regen!E134,""",""?00;"",""?-00;"",""?00;"", //"""),"'","""")</f>
        <v>032, 19270513, 1,    0, 00</v>
      </c>
    </row>
    <row r="135" spans="1:1" x14ac:dyDescent="0.25">
      <c r="A135" s="12" t="str">
        <f ca="1">TEXT(Regen!A135,"000\,")&amp;TEXT(Regen!B135,"?00000000")&amp;TEXT(Regen!C135,""",""?0")&amp;SUBSTITUTE(TEXT(Regen!D135,""",""????0;"",""???-0;"",""????0;"", ////"""),"'","""")&amp;SUBSTITUTE(TEXT(Regen!E135,""",""?00;"",""?-00;"",""?00;"", //"""),"'","""")</f>
        <v>032, 19270514, 1,    0, 00</v>
      </c>
    </row>
    <row r="136" spans="1:1" x14ac:dyDescent="0.25">
      <c r="A136" s="12" t="str">
        <f ca="1">TEXT(Regen!A136,"000\,")&amp;TEXT(Regen!B136,"?00000000")&amp;TEXT(Regen!C136,""",""?0")&amp;SUBSTITUTE(TEXT(Regen!D136,""",""????0;"",""???-0;"",""????0;"", ////"""),"'","""")&amp;SUBSTITUTE(TEXT(Regen!E136,""",""?00;"",""?-00;"",""?00;"", //"""),"'","""")</f>
        <v>032, 19270515, 1,    0, 00</v>
      </c>
    </row>
    <row r="137" spans="1:1" x14ac:dyDescent="0.25">
      <c r="A137" s="12" t="str">
        <f ca="1">TEXT(Regen!A137,"000\,")&amp;TEXT(Regen!B137,"?00000000")&amp;TEXT(Regen!C137,""",""?0")&amp;SUBSTITUTE(TEXT(Regen!D137,""",""????0;"",""???-0;"",""????0;"", ////"""),"'","""")&amp;SUBSTITUTE(TEXT(Regen!E137,""",""?00;"",""?-00;"",""?00;"", //"""),"'","""")</f>
        <v>032, 19270516, 1,    0, 00</v>
      </c>
    </row>
    <row r="138" spans="1:1" x14ac:dyDescent="0.25">
      <c r="A138" s="12" t="str">
        <f ca="1">TEXT(Regen!A138,"000\,")&amp;TEXT(Regen!B138,"?00000000")&amp;TEXT(Regen!C138,""",""?0")&amp;SUBSTITUTE(TEXT(Regen!D138,""",""????0;"",""???-0;"",""????0;"", ////"""),"'","""")&amp;SUBSTITUTE(TEXT(Regen!E138,""",""?00;"",""?-00;"",""?00;"", //"""),"'","""")</f>
        <v>032, 19270517, 1,    0, 00</v>
      </c>
    </row>
    <row r="139" spans="1:1" x14ac:dyDescent="0.25">
      <c r="A139" s="12" t="str">
        <f ca="1">TEXT(Regen!A139,"000\,")&amp;TEXT(Regen!B139,"?00000000")&amp;TEXT(Regen!C139,""",""?0")&amp;SUBSTITUTE(TEXT(Regen!D139,""",""????0;"",""???-0;"",""????0;"", ////"""),"'","""")&amp;SUBSTITUTE(TEXT(Regen!E139,""",""?00;"",""?-00;"",""?00;"", //"""),"'","""")</f>
        <v>032, 19270518, 1,    0, 00</v>
      </c>
    </row>
    <row r="140" spans="1:1" x14ac:dyDescent="0.25">
      <c r="A140" s="12" t="str">
        <f ca="1">TEXT(Regen!A140,"000\,")&amp;TEXT(Regen!B140,"?00000000")&amp;TEXT(Regen!C140,""",""?0")&amp;SUBSTITUTE(TEXT(Regen!D140,""",""????0;"",""???-0;"",""????0;"", ////"""),"'","""")&amp;SUBSTITUTE(TEXT(Regen!E140,""",""?00;"",""?-00;"",""?00;"", //"""),"'","""")</f>
        <v>032, 19270519, 1,    0, 00</v>
      </c>
    </row>
    <row r="141" spans="1:1" x14ac:dyDescent="0.25">
      <c r="A141" s="12" t="str">
        <f ca="1">TEXT(Regen!A141,"000\,")&amp;TEXT(Regen!B141,"?00000000")&amp;TEXT(Regen!C141,""",""?0")&amp;SUBSTITUTE(TEXT(Regen!D141,""",""????0;"",""???-0;"",""????0;"", ////"""),"'","""")&amp;SUBSTITUTE(TEXT(Regen!E141,""",""?00;"",""?-00;"",""?00;"", //"""),"'","""")</f>
        <v>032, 19270520, 1,    0, 00</v>
      </c>
    </row>
    <row r="142" spans="1:1" x14ac:dyDescent="0.25">
      <c r="A142" s="12" t="str">
        <f ca="1">TEXT(Regen!A142,"000\,")&amp;TEXT(Regen!B142,"?00000000")&amp;TEXT(Regen!C142,""",""?0")&amp;SUBSTITUTE(TEXT(Regen!D142,""",""????0;"",""???-0;"",""????0;"", ////"""),"'","""")&amp;SUBSTITUTE(TEXT(Regen!E142,""",""?00;"",""?-00;"",""?00;"", //"""),"'","""")</f>
        <v>032, 19270521, 1,    0, 00</v>
      </c>
    </row>
    <row r="143" spans="1:1" x14ac:dyDescent="0.25">
      <c r="A143" s="12" t="str">
        <f ca="1">TEXT(Regen!A143,"000\,")&amp;TEXT(Regen!B143,"?00000000")&amp;TEXT(Regen!C143,""",""?0")&amp;SUBSTITUTE(TEXT(Regen!D143,""",""????0;"",""???-0;"",""????0;"", ////"""),"'","""")&amp;SUBSTITUTE(TEXT(Regen!E143,""",""?00;"",""?-00;"",""?00;"", //"""),"'","""")</f>
        <v>032, 19270522, 1,    0, 00</v>
      </c>
    </row>
    <row r="144" spans="1:1" x14ac:dyDescent="0.25">
      <c r="A144" s="12" t="str">
        <f ca="1">TEXT(Regen!A144,"000\,")&amp;TEXT(Regen!B144,"?00000000")&amp;TEXT(Regen!C144,""",""?0")&amp;SUBSTITUTE(TEXT(Regen!D144,""",""????0;"",""???-0;"",""????0;"", ////"""),"'","""")&amp;SUBSTITUTE(TEXT(Regen!E144,""",""?00;"",""?-00;"",""?00;"", //"""),"'","""")</f>
        <v>032, 19270523, 1,   40, 00</v>
      </c>
    </row>
    <row r="145" spans="1:1" x14ac:dyDescent="0.25">
      <c r="A145" s="12" t="str">
        <f ca="1">TEXT(Regen!A145,"000\,")&amp;TEXT(Regen!B145,"?00000000")&amp;TEXT(Regen!C145,""",""?0")&amp;SUBSTITUTE(TEXT(Regen!D145,""",""????0;"",""???-0;"",""????0;"", ////"""),"'","""")&amp;SUBSTITUTE(TEXT(Regen!E145,""",""?00;"",""?-00;"",""?00;"", //"""),"'","""")</f>
        <v>032, 19270524, 1,    0, 00</v>
      </c>
    </row>
    <row r="146" spans="1:1" x14ac:dyDescent="0.25">
      <c r="A146" s="12" t="str">
        <f ca="1">TEXT(Regen!A146,"000\,")&amp;TEXT(Regen!B146,"?00000000")&amp;TEXT(Regen!C146,""",""?0")&amp;SUBSTITUTE(TEXT(Regen!D146,""",""????0;"",""???-0;"",""????0;"", ////"""),"'","""")&amp;SUBSTITUTE(TEXT(Regen!E146,""",""?00;"",""?-00;"",""?00;"", //"""),"'","""")</f>
        <v>032, 19270525, 1,    0, 00</v>
      </c>
    </row>
    <row r="147" spans="1:1" x14ac:dyDescent="0.25">
      <c r="A147" s="12" t="str">
        <f ca="1">TEXT(Regen!A147,"000\,")&amp;TEXT(Regen!B147,"?00000000")&amp;TEXT(Regen!C147,""",""?0")&amp;SUBSTITUTE(TEXT(Regen!D147,""",""????0;"",""???-0;"",""????0;"", ////"""),"'","""")&amp;SUBSTITUTE(TEXT(Regen!E147,""",""?00;"",""?-00;"",""?00;"", //"""),"'","""")</f>
        <v>032, 19270526, 1,    0, 00</v>
      </c>
    </row>
    <row r="148" spans="1:1" x14ac:dyDescent="0.25">
      <c r="A148" s="12" t="str">
        <f ca="1">TEXT(Regen!A148,"000\,")&amp;TEXT(Regen!B148,"?00000000")&amp;TEXT(Regen!C148,""",""?0")&amp;SUBSTITUTE(TEXT(Regen!D148,""",""????0;"",""???-0;"",""????0;"", ////"""),"'","""")&amp;SUBSTITUTE(TEXT(Regen!E148,""",""?00;"",""?-00;"",""?00;"", //"""),"'","""")</f>
        <v>032, 19270527, 1,    0, 00</v>
      </c>
    </row>
    <row r="149" spans="1:1" x14ac:dyDescent="0.25">
      <c r="A149" s="12" t="str">
        <f ca="1">TEXT(Regen!A149,"000\,")&amp;TEXT(Regen!B149,"?00000000")&amp;TEXT(Regen!C149,""",""?0")&amp;SUBSTITUTE(TEXT(Regen!D149,""",""????0;"",""???-0;"",""????0;"", ////"""),"'","""")&amp;SUBSTITUTE(TEXT(Regen!E149,""",""?00;"",""?-00;"",""?00;"", //"""),"'","""")</f>
        <v>032, 19270528, 1,    0, 00</v>
      </c>
    </row>
    <row r="150" spans="1:1" x14ac:dyDescent="0.25">
      <c r="A150" s="12" t="str">
        <f ca="1">TEXT(Regen!A150,"000\,")&amp;TEXT(Regen!B150,"?00000000")&amp;TEXT(Regen!C150,""",""?0")&amp;SUBSTITUTE(TEXT(Regen!D150,""",""????0;"",""???-0;"",""????0;"", ////"""),"'","""")&amp;SUBSTITUTE(TEXT(Regen!E150,""",""?00;"",""?-00;"",""?00;"", //"""),"'","""")</f>
        <v>032, 19270529, 1,    0, 00</v>
      </c>
    </row>
    <row r="151" spans="1:1" x14ac:dyDescent="0.25">
      <c r="A151" s="12" t="str">
        <f ca="1">TEXT(Regen!A151,"000\,")&amp;TEXT(Regen!B151,"?00000000")&amp;TEXT(Regen!C151,""",""?0")&amp;SUBSTITUTE(TEXT(Regen!D151,""",""????0;"",""???-0;"",""????0;"", ////"""),"'","""")&amp;SUBSTITUTE(TEXT(Regen!E151,""",""?00;"",""?-00;"",""?00;"", //"""),"'","""")</f>
        <v>032, 19270530, 1,    0, 00</v>
      </c>
    </row>
    <row r="152" spans="1:1" x14ac:dyDescent="0.25">
      <c r="A152" s="12" t="str">
        <f ca="1">TEXT(Regen!A152,"000\,")&amp;TEXT(Regen!B152,"?00000000")&amp;TEXT(Regen!C152,""",""?0")&amp;SUBSTITUTE(TEXT(Regen!D152,""",""????0;"",""???-0;"",""????0;"", ////"""),"'","""")&amp;SUBSTITUTE(TEXT(Regen!E152,""",""?00;"",""?-00;"",""?00;"", //"""),"'","""")</f>
        <v>032, 19270531, 1,    0, 00</v>
      </c>
    </row>
    <row r="153" spans="1:1" x14ac:dyDescent="0.25">
      <c r="A153" s="12" t="str">
        <f ca="1">TEXT(Regen!A153,"000\,")&amp;TEXT(Regen!B153,"?00000000")&amp;TEXT(Regen!C153,""",""?0")&amp;SUBSTITUTE(TEXT(Regen!D153,""",""????0;"",""???-0;"",""????0;"", ////"""),"'","""")&amp;SUBSTITUTE(TEXT(Regen!E153,""",""?00;"",""?-00;"",""?00;"", //"""),"'","""")</f>
        <v>032, 19270601, 1,    0, 00</v>
      </c>
    </row>
    <row r="154" spans="1:1" x14ac:dyDescent="0.25">
      <c r="A154" s="12" t="str">
        <f ca="1">TEXT(Regen!A154,"000\,")&amp;TEXT(Regen!B154,"?00000000")&amp;TEXT(Regen!C154,""",""?0")&amp;SUBSTITUTE(TEXT(Regen!D154,""",""????0;"",""???-0;"",""????0;"", ////"""),"'","""")&amp;SUBSTITUTE(TEXT(Regen!E154,""",""?00;"",""?-00;"",""?00;"", //"""),"'","""")</f>
        <v>032, 19270602, 1,    0, 00</v>
      </c>
    </row>
    <row r="155" spans="1:1" x14ac:dyDescent="0.25">
      <c r="A155" s="12" t="str">
        <f ca="1">TEXT(Regen!A155,"000\,")&amp;TEXT(Regen!B155,"?00000000")&amp;TEXT(Regen!C155,""",""?0")&amp;SUBSTITUTE(TEXT(Regen!D155,""",""????0;"",""???-0;"",""????0;"", ////"""),"'","""")&amp;SUBSTITUTE(TEXT(Regen!E155,""",""?00;"",""?-00;"",""?00;"", //"""),"'","""")</f>
        <v>032, 19270603, 1,    0, 00</v>
      </c>
    </row>
    <row r="156" spans="1:1" x14ac:dyDescent="0.25">
      <c r="A156" s="12" t="str">
        <f ca="1">TEXT(Regen!A156,"000\,")&amp;TEXT(Regen!B156,"?00000000")&amp;TEXT(Regen!C156,""",""?0")&amp;SUBSTITUTE(TEXT(Regen!D156,""",""????0;"",""???-0;"",""????0;"", ////"""),"'","""")&amp;SUBSTITUTE(TEXT(Regen!E156,""",""?00;"",""?-00;"",""?00;"", //"""),"'","""")</f>
        <v>032, 19270604, 1,   20, 00</v>
      </c>
    </row>
    <row r="157" spans="1:1" x14ac:dyDescent="0.25">
      <c r="A157" s="12" t="str">
        <f ca="1">TEXT(Regen!A157,"000\,")&amp;TEXT(Regen!B157,"?00000000")&amp;TEXT(Regen!C157,""",""?0")&amp;SUBSTITUTE(TEXT(Regen!D157,""",""????0;"",""???-0;"",""????0;"", ////"""),"'","""")&amp;SUBSTITUTE(TEXT(Regen!E157,""",""?00;"",""?-00;"",""?00;"", //"""),"'","""")</f>
        <v>032, 19270605, 1,    0, 00</v>
      </c>
    </row>
    <row r="158" spans="1:1" x14ac:dyDescent="0.25">
      <c r="A158" s="12" t="str">
        <f ca="1">TEXT(Regen!A158,"000\,")&amp;TEXT(Regen!B158,"?00000000")&amp;TEXT(Regen!C158,""",""?0")&amp;SUBSTITUTE(TEXT(Regen!D158,""",""????0;"",""???-0;"",""????0;"", ////"""),"'","""")&amp;SUBSTITUTE(TEXT(Regen!E158,""",""?00;"",""?-00;"",""?00;"", //"""),"'","""")</f>
        <v>032, 19270606, 1,    0, 00</v>
      </c>
    </row>
    <row r="159" spans="1:1" x14ac:dyDescent="0.25">
      <c r="A159" s="12" t="str">
        <f ca="1">TEXT(Regen!A159,"000\,")&amp;TEXT(Regen!B159,"?00000000")&amp;TEXT(Regen!C159,""",""?0")&amp;SUBSTITUTE(TEXT(Regen!D159,""",""????0;"",""???-0;"",""????0;"", ////"""),"'","""")&amp;SUBSTITUTE(TEXT(Regen!E159,""",""?00;"",""?-00;"",""?00;"", //"""),"'","""")</f>
        <v>032, 19270607, 1,    0, 00</v>
      </c>
    </row>
    <row r="160" spans="1:1" x14ac:dyDescent="0.25">
      <c r="A160" s="12" t="str">
        <f ca="1">TEXT(Regen!A160,"000\,")&amp;TEXT(Regen!B160,"?00000000")&amp;TEXT(Regen!C160,""",""?0")&amp;SUBSTITUTE(TEXT(Regen!D160,""",""????0;"",""???-0;"",""????0;"", ////"""),"'","""")&amp;SUBSTITUTE(TEXT(Regen!E160,""",""?00;"",""?-00;"",""?00;"", //"""),"'","""")</f>
        <v>032, 19270608, 1,    0, 00</v>
      </c>
    </row>
    <row r="161" spans="1:1" x14ac:dyDescent="0.25">
      <c r="A161" s="12" t="str">
        <f ca="1">TEXT(Regen!A161,"000\,")&amp;TEXT(Regen!B161,"?00000000")&amp;TEXT(Regen!C161,""",""?0")&amp;SUBSTITUTE(TEXT(Regen!D161,""",""????0;"",""???-0;"",""????0;"", ////"""),"'","""")&amp;SUBSTITUTE(TEXT(Regen!E161,""",""?00;"",""?-00;"",""?00;"", //"""),"'","""")</f>
        <v>032, 19270609, 1,    0, 00</v>
      </c>
    </row>
    <row r="162" spans="1:1" x14ac:dyDescent="0.25">
      <c r="A162" s="12" t="str">
        <f ca="1">TEXT(Regen!A162,"000\,")&amp;TEXT(Regen!B162,"?00000000")&amp;TEXT(Regen!C162,""",""?0")&amp;SUBSTITUTE(TEXT(Regen!D162,""",""????0;"",""???-0;"",""????0;"", ////"""),"'","""")&amp;SUBSTITUTE(TEXT(Regen!E162,""",""?00;"",""?-00;"",""?00;"", //"""),"'","""")</f>
        <v>032, 19270610, 1,    0, 00</v>
      </c>
    </row>
    <row r="163" spans="1:1" x14ac:dyDescent="0.25">
      <c r="A163" s="12" t="str">
        <f ca="1">TEXT(Regen!A163,"000\,")&amp;TEXT(Regen!B163,"?00000000")&amp;TEXT(Regen!C163,""",""?0")&amp;SUBSTITUTE(TEXT(Regen!D163,""",""????0;"",""???-0;"",""????0;"", ////"""),"'","""")&amp;SUBSTITUTE(TEXT(Regen!E163,""",""?00;"",""?-00;"",""?00;"", //"""),"'","""")</f>
        <v>032, 19270611, 1,    0, 00</v>
      </c>
    </row>
    <row r="164" spans="1:1" x14ac:dyDescent="0.25">
      <c r="A164" s="12" t="str">
        <f ca="1">TEXT(Regen!A164,"000\,")&amp;TEXT(Regen!B164,"?00000000")&amp;TEXT(Regen!C164,""",""?0")&amp;SUBSTITUTE(TEXT(Regen!D164,""",""????0;"",""???-0;"",""????0;"", ////"""),"'","""")&amp;SUBSTITUTE(TEXT(Regen!E164,""",""?00;"",""?-00;"",""?00;"", //"""),"'","""")</f>
        <v>032, 19270612, 1,    0, 00</v>
      </c>
    </row>
    <row r="165" spans="1:1" x14ac:dyDescent="0.25">
      <c r="A165" s="12" t="str">
        <f ca="1">TEXT(Regen!A165,"000\,")&amp;TEXT(Regen!B165,"?00000000")&amp;TEXT(Regen!C165,""",""?0")&amp;SUBSTITUTE(TEXT(Regen!D165,""",""????0;"",""???-0;"",""????0;"", ////"""),"'","""")&amp;SUBSTITUTE(TEXT(Regen!E165,""",""?00;"",""?-00;"",""?00;"", //"""),"'","""")</f>
        <v>032, 19270613, 1,    0, 00</v>
      </c>
    </row>
    <row r="166" spans="1:1" x14ac:dyDescent="0.25">
      <c r="A166" s="12" t="str">
        <f ca="1">TEXT(Regen!A166,"000\,")&amp;TEXT(Regen!B166,"?00000000")&amp;TEXT(Regen!C166,""",""?0")&amp;SUBSTITUTE(TEXT(Regen!D166,""",""????0;"",""???-0;"",""????0;"", ////"""),"'","""")&amp;SUBSTITUTE(TEXT(Regen!E166,""",""?00;"",""?-00;"",""?00;"", //"""),"'","""")</f>
        <v>032, 19270614, 1,   30, 00</v>
      </c>
    </row>
    <row r="167" spans="1:1" x14ac:dyDescent="0.25">
      <c r="A167" s="12" t="str">
        <f ca="1">TEXT(Regen!A167,"000\,")&amp;TEXT(Regen!B167,"?00000000")&amp;TEXT(Regen!C167,""",""?0")&amp;SUBSTITUTE(TEXT(Regen!D167,""",""????0;"",""???-0;"",""????0;"", ////"""),"'","""")&amp;SUBSTITUTE(TEXT(Regen!E167,""",""?00;"",""?-00;"",""?00;"", //"""),"'","""")</f>
        <v>032, 19270615, 1,    0, 00</v>
      </c>
    </row>
    <row r="168" spans="1:1" x14ac:dyDescent="0.25">
      <c r="A168" s="12" t="str">
        <f ca="1">TEXT(Regen!A168,"000\,")&amp;TEXT(Regen!B168,"?00000000")&amp;TEXT(Regen!C168,""",""?0")&amp;SUBSTITUTE(TEXT(Regen!D168,""",""????0;"",""???-0;"",""????0;"", ////"""),"'","""")&amp;SUBSTITUTE(TEXT(Regen!E168,""",""?00;"",""?-00;"",""?00;"", //"""),"'","""")</f>
        <v>032, 19270616, 1,    0, 00</v>
      </c>
    </row>
    <row r="169" spans="1:1" x14ac:dyDescent="0.25">
      <c r="A169" s="12" t="str">
        <f ca="1">TEXT(Regen!A169,"000\,")&amp;TEXT(Regen!B169,"?00000000")&amp;TEXT(Regen!C169,""",""?0")&amp;SUBSTITUTE(TEXT(Regen!D169,""",""????0;"",""???-0;"",""????0;"", ////"""),"'","""")&amp;SUBSTITUTE(TEXT(Regen!E169,""",""?00;"",""?-00;"",""?00;"", //"""),"'","""")</f>
        <v>032, 19270617, 1,    0, 00</v>
      </c>
    </row>
    <row r="170" spans="1:1" x14ac:dyDescent="0.25">
      <c r="A170" s="12" t="str">
        <f ca="1">TEXT(Regen!A170,"000\,")&amp;TEXT(Regen!B170,"?00000000")&amp;TEXT(Regen!C170,""",""?0")&amp;SUBSTITUTE(TEXT(Regen!D170,""",""????0;"",""???-0;"",""????0;"", ////"""),"'","""")&amp;SUBSTITUTE(TEXT(Regen!E170,""",""?00;"",""?-00;"",""?00;"", //"""),"'","""")</f>
        <v>032, 19270618, 1,    0, 00</v>
      </c>
    </row>
    <row r="171" spans="1:1" x14ac:dyDescent="0.25">
      <c r="A171" s="12" t="str">
        <f ca="1">TEXT(Regen!A171,"000\,")&amp;TEXT(Regen!B171,"?00000000")&amp;TEXT(Regen!C171,""",""?0")&amp;SUBSTITUTE(TEXT(Regen!D171,""",""????0;"",""???-0;"",""????0;"", ////"""),"'","""")&amp;SUBSTITUTE(TEXT(Regen!E171,""",""?00;"",""?-00;"",""?00;"", //"""),"'","""")</f>
        <v>032, 19270619, 1,    0, 00</v>
      </c>
    </row>
    <row r="172" spans="1:1" x14ac:dyDescent="0.25">
      <c r="A172" s="12" t="str">
        <f ca="1">TEXT(Regen!A172,"000\,")&amp;TEXT(Regen!B172,"?00000000")&amp;TEXT(Regen!C172,""",""?0")&amp;SUBSTITUTE(TEXT(Regen!D172,""",""????0;"",""???-0;"",""????0;"", ////"""),"'","""")&amp;SUBSTITUTE(TEXT(Regen!E172,""",""?00;"",""?-00;"",""?00;"", //"""),"'","""")</f>
        <v>032, 19270620, 1,    0, 00</v>
      </c>
    </row>
    <row r="173" spans="1:1" x14ac:dyDescent="0.25">
      <c r="A173" s="12" t="str">
        <f ca="1">TEXT(Regen!A173,"000\,")&amp;TEXT(Regen!B173,"?00000000")&amp;TEXT(Regen!C173,""",""?0")&amp;SUBSTITUTE(TEXT(Regen!D173,""",""????0;"",""???-0;"",""????0;"", ////"""),"'","""")&amp;SUBSTITUTE(TEXT(Regen!E173,""",""?00;"",""?-00;"",""?00;"", //"""),"'","""")</f>
        <v>032, 19270621, 1,   35, 00</v>
      </c>
    </row>
    <row r="174" spans="1:1" x14ac:dyDescent="0.25">
      <c r="A174" s="12" t="str">
        <f ca="1">TEXT(Regen!A174,"000\,")&amp;TEXT(Regen!B174,"?00000000")&amp;TEXT(Regen!C174,""",""?0")&amp;SUBSTITUTE(TEXT(Regen!D174,""",""????0;"",""???-0;"",""????0;"", ////"""),"'","""")&amp;SUBSTITUTE(TEXT(Regen!E174,""",""?00;"",""?-00;"",""?00;"", //"""),"'","""")</f>
        <v>032, 19270622, 1,   60, 00</v>
      </c>
    </row>
    <row r="175" spans="1:1" x14ac:dyDescent="0.25">
      <c r="A175" s="12" t="str">
        <f ca="1">TEXT(Regen!A175,"000\,")&amp;TEXT(Regen!B175,"?00000000")&amp;TEXT(Regen!C175,""",""?0")&amp;SUBSTITUTE(TEXT(Regen!D175,""",""????0;"",""???-0;"",""????0;"", ////"""),"'","""")&amp;SUBSTITUTE(TEXT(Regen!E175,""",""?00;"",""?-00;"",""?00;"", //"""),"'","""")</f>
        <v>032, 19270623, 1,  188, 00</v>
      </c>
    </row>
    <row r="176" spans="1:1" x14ac:dyDescent="0.25">
      <c r="A176" s="12" t="str">
        <f ca="1">TEXT(Regen!A176,"000\,")&amp;TEXT(Regen!B176,"?00000000")&amp;TEXT(Regen!C176,""",""?0")&amp;SUBSTITUTE(TEXT(Regen!D176,""",""????0;"",""???-0;"",""????0;"", ////"""),"'","""")&amp;SUBSTITUTE(TEXT(Regen!E176,""",""?00;"",""?-00;"",""?00;"", //"""),"'","""")</f>
        <v>032, 19270624, 1,   10, 00</v>
      </c>
    </row>
    <row r="177" spans="1:1" x14ac:dyDescent="0.25">
      <c r="A177" s="12" t="str">
        <f ca="1">TEXT(Regen!A177,"000\,")&amp;TEXT(Regen!B177,"?00000000")&amp;TEXT(Regen!C177,""",""?0")&amp;SUBSTITUTE(TEXT(Regen!D177,""",""????0;"",""???-0;"",""????0;"", ////"""),"'","""")&amp;SUBSTITUTE(TEXT(Regen!E177,""",""?00;"",""?-00;"",""?00;"", //"""),"'","""")</f>
        <v>032, 19270625, 1,    0, 00</v>
      </c>
    </row>
    <row r="178" spans="1:1" x14ac:dyDescent="0.25">
      <c r="A178" s="12" t="str">
        <f ca="1">TEXT(Regen!A178,"000\,")&amp;TEXT(Regen!B178,"?00000000")&amp;TEXT(Regen!C178,""",""?0")&amp;SUBSTITUTE(TEXT(Regen!D178,""",""????0;"",""???-0;"",""????0;"", ////"""),"'","""")&amp;SUBSTITUTE(TEXT(Regen!E178,""",""?00;"",""?-00;"",""?00;"", //"""),"'","""")</f>
        <v>032, 19270626, 1,    0, 00</v>
      </c>
    </row>
    <row r="179" spans="1:1" x14ac:dyDescent="0.25">
      <c r="A179" s="12" t="str">
        <f ca="1">TEXT(Regen!A179,"000\,")&amp;TEXT(Regen!B179,"?00000000")&amp;TEXT(Regen!C179,""",""?0")&amp;SUBSTITUTE(TEXT(Regen!D179,""",""????0;"",""???-0;"",""????0;"", ////"""),"'","""")&amp;SUBSTITUTE(TEXT(Regen!E179,""",""?00;"",""?-00;"",""?00;"", //"""),"'","""")</f>
        <v>032, 19270627, 1,   40, 00</v>
      </c>
    </row>
    <row r="180" spans="1:1" x14ac:dyDescent="0.25">
      <c r="A180" s="12" t="str">
        <f ca="1">TEXT(Regen!A180,"000\,")&amp;TEXT(Regen!B180,"?00000000")&amp;TEXT(Regen!C180,""",""?0")&amp;SUBSTITUTE(TEXT(Regen!D180,""",""????0;"",""???-0;"",""????0;"", ////"""),"'","""")&amp;SUBSTITUTE(TEXT(Regen!E180,""",""?00;"",""?-00;"",""?00;"", //"""),"'","""")</f>
        <v>032, 19270628, 1,   25, 00</v>
      </c>
    </row>
    <row r="181" spans="1:1" x14ac:dyDescent="0.25">
      <c r="A181" s="12" t="str">
        <f ca="1">TEXT(Regen!A181,"000\,")&amp;TEXT(Regen!B181,"?00000000")&amp;TEXT(Regen!C181,""",""?0")&amp;SUBSTITUTE(TEXT(Regen!D181,""",""????0;"",""???-0;"",""????0;"", ////"""),"'","""")&amp;SUBSTITUTE(TEXT(Regen!E181,""",""?00;"",""?-00;"",""?00;"", //"""),"'","""")</f>
        <v>032, 19270629, 1,    0, 00</v>
      </c>
    </row>
    <row r="182" spans="1:1" x14ac:dyDescent="0.25">
      <c r="A182" s="12" t="str">
        <f ca="1">TEXT(Regen!A182,"000\,")&amp;TEXT(Regen!B182,"?00000000")&amp;TEXT(Regen!C182,""",""?0")&amp;SUBSTITUTE(TEXT(Regen!D182,""",""????0;"",""???-0;"",""????0;"", ////"""),"'","""")&amp;SUBSTITUTE(TEXT(Regen!E182,""",""?00;"",""?-00;"",""?00;"", //"""),"'","""")</f>
        <v>032, 19270630, 1,    0, 00</v>
      </c>
    </row>
    <row r="183" spans="1:1" x14ac:dyDescent="0.25">
      <c r="A183" s="12" t="str">
        <f ca="1">TEXT(Regen!A183,"000\,")&amp;TEXT(Regen!B183,"?00000000")&amp;TEXT(Regen!C183,""",""?0")&amp;SUBSTITUTE(TEXT(Regen!D183,""",""????0;"",""???-0;"",""????0;"", ////"""),"'","""")&amp;SUBSTITUTE(TEXT(Regen!E183,""",""?00;"",""?-00;"",""?00;"", //"""),"'","""")</f>
        <v>032, 19270701, 1,    0, 00</v>
      </c>
    </row>
    <row r="184" spans="1:1" x14ac:dyDescent="0.25">
      <c r="A184" s="12" t="str">
        <f ca="1">TEXT(Regen!A184,"000\,")&amp;TEXT(Regen!B184,"?00000000")&amp;TEXT(Regen!C184,""",""?0")&amp;SUBSTITUTE(TEXT(Regen!D184,""",""????0;"",""???-0;"",""????0;"", ////"""),"'","""")&amp;SUBSTITUTE(TEXT(Regen!E184,""",""?00;"",""?-00;"",""?00;"", //"""),"'","""")</f>
        <v>032, 19270702, 1,    0, 00</v>
      </c>
    </row>
    <row r="185" spans="1:1" x14ac:dyDescent="0.25">
      <c r="A185" s="12" t="str">
        <f ca="1">TEXT(Regen!A185,"000\,")&amp;TEXT(Regen!B185,"?00000000")&amp;TEXT(Regen!C185,""",""?0")&amp;SUBSTITUTE(TEXT(Regen!D185,""",""????0;"",""???-0;"",""????0;"", ////"""),"'","""")&amp;SUBSTITUTE(TEXT(Regen!E185,""",""?00;"",""?-00;"",""?00;"", //"""),"'","""")</f>
        <v>032, 19270703, 1,    0, 00</v>
      </c>
    </row>
    <row r="186" spans="1:1" x14ac:dyDescent="0.25">
      <c r="A186" s="12" t="str">
        <f ca="1">TEXT(Regen!A186,"000\,")&amp;TEXT(Regen!B186,"?00000000")&amp;TEXT(Regen!C186,""",""?0")&amp;SUBSTITUTE(TEXT(Regen!D186,""",""????0;"",""???-0;"",""????0;"", ////"""),"'","""")&amp;SUBSTITUTE(TEXT(Regen!E186,""",""?00;"",""?-00;"",""?00;"", //"""),"'","""")</f>
        <v>032, 19270704, 1,    0, 00</v>
      </c>
    </row>
    <row r="187" spans="1:1" x14ac:dyDescent="0.25">
      <c r="A187" s="12" t="str">
        <f ca="1">TEXT(Regen!A187,"000\,")&amp;TEXT(Regen!B187,"?00000000")&amp;TEXT(Regen!C187,""",""?0")&amp;SUBSTITUTE(TEXT(Regen!D187,""",""????0;"",""???-0;"",""????0;"", ////"""),"'","""")&amp;SUBSTITUTE(TEXT(Regen!E187,""",""?00;"",""?-00;"",""?00;"", //"""),"'","""")</f>
        <v>032, 19270705, 1,    0, 00</v>
      </c>
    </row>
    <row r="188" spans="1:1" x14ac:dyDescent="0.25">
      <c r="A188" s="12" t="str">
        <f ca="1">TEXT(Regen!A188,"000\,")&amp;TEXT(Regen!B188,"?00000000")&amp;TEXT(Regen!C188,""",""?0")&amp;SUBSTITUTE(TEXT(Regen!D188,""",""????0;"",""???-0;"",""????0;"", ////"""),"'","""")&amp;SUBSTITUTE(TEXT(Regen!E188,""",""?00;"",""?-00;"",""?00;"", //"""),"'","""")</f>
        <v>032, 19270706, 1,    0, 00</v>
      </c>
    </row>
    <row r="189" spans="1:1" x14ac:dyDescent="0.25">
      <c r="A189" s="12" t="str">
        <f ca="1">TEXT(Regen!A189,"000\,")&amp;TEXT(Regen!B189,"?00000000")&amp;TEXT(Regen!C189,""",""?0")&amp;SUBSTITUTE(TEXT(Regen!D189,""",""????0;"",""???-0;"",""????0;"", ////"""),"'","""")&amp;SUBSTITUTE(TEXT(Regen!E189,""",""?00;"",""?-00;"",""?00;"", //"""),"'","""")</f>
        <v>032, 19270707, 1,    0, 00</v>
      </c>
    </row>
    <row r="190" spans="1:1" x14ac:dyDescent="0.25">
      <c r="A190" s="12" t="str">
        <f ca="1">TEXT(Regen!A190,"000\,")&amp;TEXT(Regen!B190,"?00000000")&amp;TEXT(Regen!C190,""",""?0")&amp;SUBSTITUTE(TEXT(Regen!D190,""",""????0;"",""???-0;"",""????0;"", ////"""),"'","""")&amp;SUBSTITUTE(TEXT(Regen!E190,""",""?00;"",""?-00;"",""?00;"", //"""),"'","""")</f>
        <v>032, 19270708, 1,    0, 00</v>
      </c>
    </row>
    <row r="191" spans="1:1" x14ac:dyDescent="0.25">
      <c r="A191" s="12" t="str">
        <f ca="1">TEXT(Regen!A191,"000\,")&amp;TEXT(Regen!B191,"?00000000")&amp;TEXT(Regen!C191,""",""?0")&amp;SUBSTITUTE(TEXT(Regen!D191,""",""????0;"",""???-0;"",""????0;"", ////"""),"'","""")&amp;SUBSTITUTE(TEXT(Regen!E191,""",""?00;"",""?-00;"",""?00;"", //"""),"'","""")</f>
        <v>032, 19270709, 1,    0, 00</v>
      </c>
    </row>
    <row r="192" spans="1:1" x14ac:dyDescent="0.25">
      <c r="A192" s="12" t="str">
        <f ca="1">TEXT(Regen!A192,"000\,")&amp;TEXT(Regen!B192,"?00000000")&amp;TEXT(Regen!C192,""",""?0")&amp;SUBSTITUTE(TEXT(Regen!D192,""",""????0;"",""???-0;"",""????0;"", ////"""),"'","""")&amp;SUBSTITUTE(TEXT(Regen!E192,""",""?00;"",""?-00;"",""?00;"", //"""),"'","""")</f>
        <v>032, 19270710, 1,    0, 00</v>
      </c>
    </row>
    <row r="193" spans="1:1" x14ac:dyDescent="0.25">
      <c r="A193" s="12" t="str">
        <f ca="1">TEXT(Regen!A193,"000\,")&amp;TEXT(Regen!B193,"?00000000")&amp;TEXT(Regen!C193,""",""?0")&amp;SUBSTITUTE(TEXT(Regen!D193,""",""????0;"",""???-0;"",""????0;"", ////"""),"'","""")&amp;SUBSTITUTE(TEXT(Regen!E193,""",""?00;"",""?-00;"",""?00;"", //"""),"'","""")</f>
        <v>032, 19270711, 1,    0, 00</v>
      </c>
    </row>
    <row r="194" spans="1:1" x14ac:dyDescent="0.25">
      <c r="A194" s="12" t="str">
        <f ca="1">TEXT(Regen!A194,"000\,")&amp;TEXT(Regen!B194,"?00000000")&amp;TEXT(Regen!C194,""",""?0")&amp;SUBSTITUTE(TEXT(Regen!D194,""",""????0;"",""???-0;"",""????0;"", ////"""),"'","""")&amp;SUBSTITUTE(TEXT(Regen!E194,""",""?00;"",""?-00;"",""?00;"", //"""),"'","""")</f>
        <v>032, 19270712, 1,    0, 00</v>
      </c>
    </row>
    <row r="195" spans="1:1" x14ac:dyDescent="0.25">
      <c r="A195" s="12" t="str">
        <f ca="1">TEXT(Regen!A195,"000\,")&amp;TEXT(Regen!B195,"?00000000")&amp;TEXT(Regen!C195,""",""?0")&amp;SUBSTITUTE(TEXT(Regen!D195,""",""????0;"",""???-0;"",""????0;"", ////"""),"'","""")&amp;SUBSTITUTE(TEXT(Regen!E195,""",""?00;"",""?-00;"",""?00;"", //"""),"'","""")</f>
        <v>032, 19270713, 1,    0, 00</v>
      </c>
    </row>
    <row r="196" spans="1:1" x14ac:dyDescent="0.25">
      <c r="A196" s="12" t="str">
        <f ca="1">TEXT(Regen!A196,"000\,")&amp;TEXT(Regen!B196,"?00000000")&amp;TEXT(Regen!C196,""",""?0")&amp;SUBSTITUTE(TEXT(Regen!D196,""",""????0;"",""???-0;"",""????0;"", ////"""),"'","""")&amp;SUBSTITUTE(TEXT(Regen!E196,""",""?00;"",""?-00;"",""?00;"", //"""),"'","""")</f>
        <v>032, 19270714, 1,    0, 00</v>
      </c>
    </row>
    <row r="197" spans="1:1" x14ac:dyDescent="0.25">
      <c r="A197" s="12" t="str">
        <f ca="1">TEXT(Regen!A197,"000\,")&amp;TEXT(Regen!B197,"?00000000")&amp;TEXT(Regen!C197,""",""?0")&amp;SUBSTITUTE(TEXT(Regen!D197,""",""????0;"",""???-0;"",""????0;"", ////"""),"'","""")&amp;SUBSTITUTE(TEXT(Regen!E197,""",""?00;"",""?-00;"",""?00;"", //"""),"'","""")</f>
        <v>032, 19270715, 1,    0, 00</v>
      </c>
    </row>
    <row r="198" spans="1:1" x14ac:dyDescent="0.25">
      <c r="A198" s="12" t="str">
        <f ca="1">TEXT(Regen!A198,"000\,")&amp;TEXT(Regen!B198,"?00000000")&amp;TEXT(Regen!C198,""",""?0")&amp;SUBSTITUTE(TEXT(Regen!D198,""",""????0;"",""???-0;"",""????0;"", ////"""),"'","""")&amp;SUBSTITUTE(TEXT(Regen!E198,""",""?00;"",""?-00;"",""?00;"", //"""),"'","""")</f>
        <v>032, 19270716, 1,    0, 00</v>
      </c>
    </row>
    <row r="199" spans="1:1" x14ac:dyDescent="0.25">
      <c r="A199" s="12" t="str">
        <f ca="1">TEXT(Regen!A199,"000\,")&amp;TEXT(Regen!B199,"?00000000")&amp;TEXT(Regen!C199,""",""?0")&amp;SUBSTITUTE(TEXT(Regen!D199,""",""????0;"",""???-0;"",""????0;"", ////"""),"'","""")&amp;SUBSTITUTE(TEXT(Regen!E199,""",""?00;"",""?-00;"",""?00;"", //"""),"'","""")</f>
        <v>032, 19270717, 1,    0, 00</v>
      </c>
    </row>
    <row r="200" spans="1:1" x14ac:dyDescent="0.25">
      <c r="A200" s="12" t="str">
        <f ca="1">TEXT(Regen!A200,"000\,")&amp;TEXT(Regen!B200,"?00000000")&amp;TEXT(Regen!C200,""",""?0")&amp;SUBSTITUTE(TEXT(Regen!D200,""",""????0;"",""???-0;"",""????0;"", ////"""),"'","""")&amp;SUBSTITUTE(TEXT(Regen!E200,""",""?00;"",""?-00;"",""?00;"", //"""),"'","""")</f>
        <v>032, 19270718, 1,    0, 00</v>
      </c>
    </row>
    <row r="201" spans="1:1" x14ac:dyDescent="0.25">
      <c r="A201" s="12" t="str">
        <f ca="1">TEXT(Regen!A201,"000\,")&amp;TEXT(Regen!B201,"?00000000")&amp;TEXT(Regen!C201,""",""?0")&amp;SUBSTITUTE(TEXT(Regen!D201,""",""????0;"",""???-0;"",""????0;"", ////"""),"'","""")&amp;SUBSTITUTE(TEXT(Regen!E201,""",""?00;"",""?-00;"",""?00;"", //"""),"'","""")</f>
        <v>032, 19270719, 1,    0, 00</v>
      </c>
    </row>
    <row r="202" spans="1:1" x14ac:dyDescent="0.25">
      <c r="A202" s="12" t="str">
        <f ca="1">TEXT(Regen!A202,"000\,")&amp;TEXT(Regen!B202,"?00000000")&amp;TEXT(Regen!C202,""",""?0")&amp;SUBSTITUTE(TEXT(Regen!D202,""",""????0;"",""???-0;"",""????0;"", ////"""),"'","""")&amp;SUBSTITUTE(TEXT(Regen!E202,""",""?00;"",""?-00;"",""?00;"", //"""),"'","""")</f>
        <v>032, 19270720, 1,    0, 00</v>
      </c>
    </row>
    <row r="203" spans="1:1" x14ac:dyDescent="0.25">
      <c r="A203" s="12" t="str">
        <f ca="1">TEXT(Regen!A203,"000\,")&amp;TEXT(Regen!B203,"?00000000")&amp;TEXT(Regen!C203,""",""?0")&amp;SUBSTITUTE(TEXT(Regen!D203,""",""????0;"",""???-0;"",""????0;"", ////"""),"'","""")&amp;SUBSTITUTE(TEXT(Regen!E203,""",""?00;"",""?-00;"",""?00;"", //"""),"'","""")</f>
        <v>032, 19270721, 1,    0, 00</v>
      </c>
    </row>
    <row r="204" spans="1:1" x14ac:dyDescent="0.25">
      <c r="A204" s="12" t="str">
        <f ca="1">TEXT(Regen!A204,"000\,")&amp;TEXT(Regen!B204,"?00000000")&amp;TEXT(Regen!C204,""",""?0")&amp;SUBSTITUTE(TEXT(Regen!D204,""",""????0;"",""???-0;"",""????0;"", ////"""),"'","""")&amp;SUBSTITUTE(TEXT(Regen!E204,""",""?00;"",""?-00;"",""?00;"", //"""),"'","""")</f>
        <v>032, 19270722, 1,    0, 00</v>
      </c>
    </row>
    <row r="205" spans="1:1" x14ac:dyDescent="0.25">
      <c r="A205" s="12" t="str">
        <f ca="1">TEXT(Regen!A205,"000\,")&amp;TEXT(Regen!B205,"?00000000")&amp;TEXT(Regen!C205,""",""?0")&amp;SUBSTITUTE(TEXT(Regen!D205,""",""????0;"",""???-0;"",""????0;"", ////"""),"'","""")&amp;SUBSTITUTE(TEXT(Regen!E205,""",""?00;"",""?-00;"",""?00;"", //"""),"'","""")</f>
        <v>032, 19270723, 1,    0, 00</v>
      </c>
    </row>
    <row r="206" spans="1:1" x14ac:dyDescent="0.25">
      <c r="A206" s="12" t="str">
        <f ca="1">TEXT(Regen!A206,"000\,")&amp;TEXT(Regen!B206,"?00000000")&amp;TEXT(Regen!C206,""",""?0")&amp;SUBSTITUTE(TEXT(Regen!D206,""",""????0;"",""???-0;"",""????0;"", ////"""),"'","""")&amp;SUBSTITUTE(TEXT(Regen!E206,""",""?00;"",""?-00;"",""?00;"", //"""),"'","""")</f>
        <v>032, 19270724, 1,    0, 00</v>
      </c>
    </row>
    <row r="207" spans="1:1" x14ac:dyDescent="0.25">
      <c r="A207" s="12" t="str">
        <f ca="1">TEXT(Regen!A207,"000\,")&amp;TEXT(Regen!B207,"?00000000")&amp;TEXT(Regen!C207,""",""?0")&amp;SUBSTITUTE(TEXT(Regen!D207,""",""????0;"",""???-0;"",""????0;"", ////"""),"'","""")&amp;SUBSTITUTE(TEXT(Regen!E207,""",""?00;"",""?-00;"",""?00;"", //"""),"'","""")</f>
        <v>032, 19270725, 1,    0, 00</v>
      </c>
    </row>
    <row r="208" spans="1:1" x14ac:dyDescent="0.25">
      <c r="A208" s="12" t="str">
        <f ca="1">TEXT(Regen!A208,"000\,")&amp;TEXT(Regen!B208,"?00000000")&amp;TEXT(Regen!C208,""",""?0")&amp;SUBSTITUTE(TEXT(Regen!D208,""",""????0;"",""???-0;"",""????0;"", ////"""),"'","""")&amp;SUBSTITUTE(TEXT(Regen!E208,""",""?00;"",""?-00;"",""?00;"", //"""),"'","""")</f>
        <v>032, 19270726, 1,    0, 00</v>
      </c>
    </row>
    <row r="209" spans="1:1" x14ac:dyDescent="0.25">
      <c r="A209" s="12" t="str">
        <f ca="1">TEXT(Regen!A209,"000\,")&amp;TEXT(Regen!B209,"?00000000")&amp;TEXT(Regen!C209,""",""?0")&amp;SUBSTITUTE(TEXT(Regen!D209,""",""????0;"",""???-0;"",""????0;"", ////"""),"'","""")&amp;SUBSTITUTE(TEXT(Regen!E209,""",""?00;"",""?-00;"",""?00;"", //"""),"'","""")</f>
        <v>032, 19270727, 1,   35, 00</v>
      </c>
    </row>
    <row r="210" spans="1:1" x14ac:dyDescent="0.25">
      <c r="A210" s="12" t="str">
        <f ca="1">TEXT(Regen!A210,"000\,")&amp;TEXT(Regen!B210,"?00000000")&amp;TEXT(Regen!C210,""",""?0")&amp;SUBSTITUTE(TEXT(Regen!D210,""",""????0;"",""???-0;"",""????0;"", ////"""),"'","""")&amp;SUBSTITUTE(TEXT(Regen!E210,""",""?00;"",""?-00;"",""?00;"", //"""),"'","""")</f>
        <v>032, 19270728, 1,    0, 00</v>
      </c>
    </row>
    <row r="211" spans="1:1" x14ac:dyDescent="0.25">
      <c r="A211" s="12" t="str">
        <f ca="1">TEXT(Regen!A211,"000\,")&amp;TEXT(Regen!B211,"?00000000")&amp;TEXT(Regen!C211,""",""?0")&amp;SUBSTITUTE(TEXT(Regen!D211,""",""????0;"",""???-0;"",""????0;"", ////"""),"'","""")&amp;SUBSTITUTE(TEXT(Regen!E211,""",""?00;"",""?-00;"",""?00;"", //"""),"'","""")</f>
        <v>032, 19270729, 1,    0, 00</v>
      </c>
    </row>
    <row r="212" spans="1:1" x14ac:dyDescent="0.25">
      <c r="A212" s="12" t="str">
        <f ca="1">TEXT(Regen!A212,"000\,")&amp;TEXT(Regen!B212,"?00000000")&amp;TEXT(Regen!C212,""",""?0")&amp;SUBSTITUTE(TEXT(Regen!D212,""",""????0;"",""???-0;"",""????0;"", ////"""),"'","""")&amp;SUBSTITUTE(TEXT(Regen!E212,""",""?00;"",""?-00;"",""?00;"", //"""),"'","""")</f>
        <v>032, 19270730, 1,    0, 00</v>
      </c>
    </row>
    <row r="213" spans="1:1" x14ac:dyDescent="0.25">
      <c r="A213" s="12" t="str">
        <f ca="1">TEXT(Regen!A213,"000\,")&amp;TEXT(Regen!B213,"?00000000")&amp;TEXT(Regen!C213,""",""?0")&amp;SUBSTITUTE(TEXT(Regen!D213,""",""????0;"",""???-0;"",""????0;"", ////"""),"'","""")&amp;SUBSTITUTE(TEXT(Regen!E213,""",""?00;"",""?-00;"",""?00;"", //"""),"'","""")</f>
        <v>032, 19270731, 1,    0, 00</v>
      </c>
    </row>
    <row r="214" spans="1:1" x14ac:dyDescent="0.25">
      <c r="A214" s="12" t="str">
        <f ca="1">TEXT(Regen!A214,"000\,")&amp;TEXT(Regen!B214,"?00000000")&amp;TEXT(Regen!C214,""",""?0")&amp;SUBSTITUTE(TEXT(Regen!D214,""",""????0;"",""???-0;"",""????0;"", ////"""),"'","""")&amp;SUBSTITUTE(TEXT(Regen!E214,""",""?00;"",""?-00;"",""?00;"", //"""),"'","""")</f>
        <v>032, 19270801, 1,    0, 00</v>
      </c>
    </row>
    <row r="215" spans="1:1" x14ac:dyDescent="0.25">
      <c r="A215" s="12" t="str">
        <f ca="1">TEXT(Regen!A215,"000\,")&amp;TEXT(Regen!B215,"?00000000")&amp;TEXT(Regen!C215,""",""?0")&amp;SUBSTITUTE(TEXT(Regen!D215,""",""????0;"",""???-0;"",""????0;"", ////"""),"'","""")&amp;SUBSTITUTE(TEXT(Regen!E215,""",""?00;"",""?-00;"",""?00;"", //"""),"'","""")</f>
        <v>032, 19270802, 1,    0, 00</v>
      </c>
    </row>
    <row r="216" spans="1:1" x14ac:dyDescent="0.25">
      <c r="A216" s="12" t="str">
        <f ca="1">TEXT(Regen!A216,"000\,")&amp;TEXT(Regen!B216,"?00000000")&amp;TEXT(Regen!C216,""",""?0")&amp;SUBSTITUTE(TEXT(Regen!D216,""",""????0;"",""???-0;"",""????0;"", ////"""),"'","""")&amp;SUBSTITUTE(TEXT(Regen!E216,""",""?00;"",""?-00;"",""?00;"", //"""),"'","""")</f>
        <v>032, 19270803, 1,    0, 00</v>
      </c>
    </row>
    <row r="217" spans="1:1" x14ac:dyDescent="0.25">
      <c r="A217" s="12" t="str">
        <f ca="1">TEXT(Regen!A217,"000\,")&amp;TEXT(Regen!B217,"?00000000")&amp;TEXT(Regen!C217,""",""?0")&amp;SUBSTITUTE(TEXT(Regen!D217,""",""????0;"",""???-0;"",""????0;"", ////"""),"'","""")&amp;SUBSTITUTE(TEXT(Regen!E217,""",""?00;"",""?-00;"",""?00;"", //"""),"'","""")</f>
        <v>032, 19270804, 1,    0, 00</v>
      </c>
    </row>
    <row r="218" spans="1:1" x14ac:dyDescent="0.25">
      <c r="A218" s="12" t="str">
        <f ca="1">TEXT(Regen!A218,"000\,")&amp;TEXT(Regen!B218,"?00000000")&amp;TEXT(Regen!C218,""",""?0")&amp;SUBSTITUTE(TEXT(Regen!D218,""",""????0;"",""???-0;"",""????0;"", ////"""),"'","""")&amp;SUBSTITUTE(TEXT(Regen!E218,""",""?00;"",""?-00;"",""?00;"", //"""),"'","""")</f>
        <v>032, 19270805, 1,    0, 00</v>
      </c>
    </row>
    <row r="219" spans="1:1" x14ac:dyDescent="0.25">
      <c r="A219" s="12" t="str">
        <f ca="1">TEXT(Regen!A219,"000\,")&amp;TEXT(Regen!B219,"?00000000")&amp;TEXT(Regen!C219,""",""?0")&amp;SUBSTITUTE(TEXT(Regen!D219,""",""????0;"",""???-0;"",""????0;"", ////"""),"'","""")&amp;SUBSTITUTE(TEXT(Regen!E219,""",""?00;"",""?-00;"",""?00;"", //"""),"'","""")</f>
        <v>032, 19270806, 1,    0, 00</v>
      </c>
    </row>
    <row r="220" spans="1:1" x14ac:dyDescent="0.25">
      <c r="A220" s="12" t="str">
        <f ca="1">TEXT(Regen!A220,"000\,")&amp;TEXT(Regen!B220,"?00000000")&amp;TEXT(Regen!C220,""",""?0")&amp;SUBSTITUTE(TEXT(Regen!D220,""",""????0;"",""???-0;"",""????0;"", ////"""),"'","""")&amp;SUBSTITUTE(TEXT(Regen!E220,""",""?00;"",""?-00;"",""?00;"", //"""),"'","""")</f>
        <v>032, 19270807, 1,    0, 00</v>
      </c>
    </row>
    <row r="221" spans="1:1" x14ac:dyDescent="0.25">
      <c r="A221" s="12" t="str">
        <f ca="1">TEXT(Regen!A221,"000\,")&amp;TEXT(Regen!B221,"?00000000")&amp;TEXT(Regen!C221,""",""?0")&amp;SUBSTITUTE(TEXT(Regen!D221,""",""????0;"",""???-0;"",""????0;"", ////"""),"'","""")&amp;SUBSTITUTE(TEXT(Regen!E221,""",""?00;"",""?-00;"",""?00;"", //"""),"'","""")</f>
        <v>032, 19270808, 1,    0, 00</v>
      </c>
    </row>
    <row r="222" spans="1:1" x14ac:dyDescent="0.25">
      <c r="A222" s="12" t="str">
        <f ca="1">TEXT(Regen!A222,"000\,")&amp;TEXT(Regen!B222,"?00000000")&amp;TEXT(Regen!C222,""",""?0")&amp;SUBSTITUTE(TEXT(Regen!D222,""",""????0;"",""???-0;"",""????0;"", ////"""),"'","""")&amp;SUBSTITUTE(TEXT(Regen!E222,""",""?00;"",""?-00;"",""?00;"", //"""),"'","""")</f>
        <v>032, 19270809, 1,    0, 00</v>
      </c>
    </row>
    <row r="223" spans="1:1" x14ac:dyDescent="0.25">
      <c r="A223" s="12" t="str">
        <f ca="1">TEXT(Regen!A223,"000\,")&amp;TEXT(Regen!B223,"?00000000")&amp;TEXT(Regen!C223,""",""?0")&amp;SUBSTITUTE(TEXT(Regen!D223,""",""????0;"",""???-0;"",""????0;"", ////"""),"'","""")&amp;SUBSTITUTE(TEXT(Regen!E223,""",""?00;"",""?-00;"",""?00;"", //"""),"'","""")</f>
        <v>032, 19270810, 1,    0, 00</v>
      </c>
    </row>
    <row r="224" spans="1:1" x14ac:dyDescent="0.25">
      <c r="A224" s="12" t="str">
        <f ca="1">TEXT(Regen!A224,"000\,")&amp;TEXT(Regen!B224,"?00000000")&amp;TEXT(Regen!C224,""",""?0")&amp;SUBSTITUTE(TEXT(Regen!D224,""",""????0;"",""???-0;"",""????0;"", ////"""),"'","""")&amp;SUBSTITUTE(TEXT(Regen!E224,""",""?00;"",""?-00;"",""?00;"", //"""),"'","""")</f>
        <v>032, 19270811, 1,    0, 00</v>
      </c>
    </row>
    <row r="225" spans="1:1" x14ac:dyDescent="0.25">
      <c r="A225" s="12" t="str">
        <f ca="1">TEXT(Regen!A225,"000\,")&amp;TEXT(Regen!B225,"?00000000")&amp;TEXT(Regen!C225,""",""?0")&amp;SUBSTITUTE(TEXT(Regen!D225,""",""????0;"",""???-0;"",""????0;"", ////"""),"'","""")&amp;SUBSTITUTE(TEXT(Regen!E225,""",""?00;"",""?-00;"",""?00;"", //"""),"'","""")</f>
        <v>032, 19270812, 1,    0, 00</v>
      </c>
    </row>
    <row r="226" spans="1:1" x14ac:dyDescent="0.25">
      <c r="A226" s="12" t="str">
        <f ca="1">TEXT(Regen!A226,"000\,")&amp;TEXT(Regen!B226,"?00000000")&amp;TEXT(Regen!C226,""",""?0")&amp;SUBSTITUTE(TEXT(Regen!D226,""",""????0;"",""???-0;"",""????0;"", ////"""),"'","""")&amp;SUBSTITUTE(TEXT(Regen!E226,""",""?00;"",""?-00;"",""?00;"", //"""),"'","""")</f>
        <v>032, 19270813, 1,    0, 00</v>
      </c>
    </row>
    <row r="227" spans="1:1" x14ac:dyDescent="0.25">
      <c r="A227" s="12" t="str">
        <f ca="1">TEXT(Regen!A227,"000\,")&amp;TEXT(Regen!B227,"?00000000")&amp;TEXT(Regen!C227,""",""?0")&amp;SUBSTITUTE(TEXT(Regen!D227,""",""????0;"",""???-0;"",""????0;"", ////"""),"'","""")&amp;SUBSTITUTE(TEXT(Regen!E227,""",""?00;"",""?-00;"",""?00;"", //"""),"'","""")</f>
        <v>032, 19270814, 1,    0, 00</v>
      </c>
    </row>
    <row r="228" spans="1:1" x14ac:dyDescent="0.25">
      <c r="A228" s="12" t="str">
        <f ca="1">TEXT(Regen!A228,"000\,")&amp;TEXT(Regen!B228,"?00000000")&amp;TEXT(Regen!C228,""",""?0")&amp;SUBSTITUTE(TEXT(Regen!D228,""",""????0;"",""???-0;"",""????0;"", ////"""),"'","""")&amp;SUBSTITUTE(TEXT(Regen!E228,""",""?00;"",""?-00;"",""?00;"", //"""),"'","""")</f>
        <v>032, 19270815, 1,    0, 00</v>
      </c>
    </row>
    <row r="229" spans="1:1" x14ac:dyDescent="0.25">
      <c r="A229" s="12" t="str">
        <f ca="1">TEXT(Regen!A229,"000\,")&amp;TEXT(Regen!B229,"?00000000")&amp;TEXT(Regen!C229,""",""?0")&amp;SUBSTITUTE(TEXT(Regen!D229,""",""????0;"",""???-0;"",""????0;"", ////"""),"'","""")&amp;SUBSTITUTE(TEXT(Regen!E229,""",""?00;"",""?-00;"",""?00;"", //"""),"'","""")</f>
        <v>032, 19270816, 1,    0, 00</v>
      </c>
    </row>
    <row r="230" spans="1:1" x14ac:dyDescent="0.25">
      <c r="A230" s="12" t="str">
        <f ca="1">TEXT(Regen!A230,"000\,")&amp;TEXT(Regen!B230,"?00000000")&amp;TEXT(Regen!C230,""",""?0")&amp;SUBSTITUTE(TEXT(Regen!D230,""",""????0;"",""???-0;"",""????0;"", ////"""),"'","""")&amp;SUBSTITUTE(TEXT(Regen!E230,""",""?00;"",""?-00;"",""?00;"", //"""),"'","""")</f>
        <v>032, 19270817, 1,    0, 00</v>
      </c>
    </row>
    <row r="231" spans="1:1" x14ac:dyDescent="0.25">
      <c r="A231" s="12" t="str">
        <f ca="1">TEXT(Regen!A231,"000\,")&amp;TEXT(Regen!B231,"?00000000")&amp;TEXT(Regen!C231,""",""?0")&amp;SUBSTITUTE(TEXT(Regen!D231,""",""????0;"",""???-0;"",""????0;"", ////"""),"'","""")&amp;SUBSTITUTE(TEXT(Regen!E231,""",""?00;"",""?-00;"",""?00;"", //"""),"'","""")</f>
        <v>032, 19270818, 1,    0, 00</v>
      </c>
    </row>
    <row r="232" spans="1:1" x14ac:dyDescent="0.25">
      <c r="A232" s="12" t="str">
        <f ca="1">TEXT(Regen!A232,"000\,")&amp;TEXT(Regen!B232,"?00000000")&amp;TEXT(Regen!C232,""",""?0")&amp;SUBSTITUTE(TEXT(Regen!D232,""",""????0;"",""???-0;"",""????0;"", ////"""),"'","""")&amp;SUBSTITUTE(TEXT(Regen!E232,""",""?00;"",""?-00;"",""?00;"", //"""),"'","""")</f>
        <v>032, 19270819, 1,    0, 00</v>
      </c>
    </row>
    <row r="233" spans="1:1" x14ac:dyDescent="0.25">
      <c r="A233" s="12" t="str">
        <f ca="1">TEXT(Regen!A233,"000\,")&amp;TEXT(Regen!B233,"?00000000")&amp;TEXT(Regen!C233,""",""?0")&amp;SUBSTITUTE(TEXT(Regen!D233,""",""????0;"",""???-0;"",""????0;"", ////"""),"'","""")&amp;SUBSTITUTE(TEXT(Regen!E233,""",""?00;"",""?-00;"",""?00;"", //"""),"'","""")</f>
        <v>032, 19270820, 1,    0, 00</v>
      </c>
    </row>
    <row r="234" spans="1:1" x14ac:dyDescent="0.25">
      <c r="A234" s="12" t="str">
        <f ca="1">TEXT(Regen!A234,"000\,")&amp;TEXT(Regen!B234,"?00000000")&amp;TEXT(Regen!C234,""",""?0")&amp;SUBSTITUTE(TEXT(Regen!D234,""",""????0;"",""???-0;"",""????0;"", ////"""),"'","""")&amp;SUBSTITUTE(TEXT(Regen!E234,""",""?00;"",""?-00;"",""?00;"", //"""),"'","""")</f>
        <v>032, 19270821, 1,    0, 00</v>
      </c>
    </row>
    <row r="235" spans="1:1" x14ac:dyDescent="0.25">
      <c r="A235" s="12" t="str">
        <f ca="1">TEXT(Regen!A235,"000\,")&amp;TEXT(Regen!B235,"?00000000")&amp;TEXT(Regen!C235,""",""?0")&amp;SUBSTITUTE(TEXT(Regen!D235,""",""????0;"",""???-0;"",""????0;"", ////"""),"'","""")&amp;SUBSTITUTE(TEXT(Regen!E235,""",""?00;"",""?-00;"",""?00;"", //"""),"'","""")</f>
        <v>032, 19270822, 1,    0, 00</v>
      </c>
    </row>
    <row r="236" spans="1:1" x14ac:dyDescent="0.25">
      <c r="A236" s="12" t="str">
        <f ca="1">TEXT(Regen!A236,"000\,")&amp;TEXT(Regen!B236,"?00000000")&amp;TEXT(Regen!C236,""",""?0")&amp;SUBSTITUTE(TEXT(Regen!D236,""",""????0;"",""???-0;"",""????0;"", ////"""),"'","""")&amp;SUBSTITUTE(TEXT(Regen!E236,""",""?00;"",""?-00;"",""?00;"", //"""),"'","""")</f>
        <v>032, 19270823, 1,    0, 00</v>
      </c>
    </row>
    <row r="237" spans="1:1" x14ac:dyDescent="0.25">
      <c r="A237" s="12" t="str">
        <f ca="1">TEXT(Regen!A237,"000\,")&amp;TEXT(Regen!B237,"?00000000")&amp;TEXT(Regen!C237,""",""?0")&amp;SUBSTITUTE(TEXT(Regen!D237,""",""????0;"",""???-0;"",""????0;"", ////"""),"'","""")&amp;SUBSTITUTE(TEXT(Regen!E237,""",""?00;"",""?-00;"",""?00;"", //"""),"'","""")</f>
        <v>032, 19270824, 1,    0, 00</v>
      </c>
    </row>
    <row r="238" spans="1:1" x14ac:dyDescent="0.25">
      <c r="A238" s="12" t="str">
        <f ca="1">TEXT(Regen!A238,"000\,")&amp;TEXT(Regen!B238,"?00000000")&amp;TEXT(Regen!C238,""",""?0")&amp;SUBSTITUTE(TEXT(Regen!D238,""",""????0;"",""???-0;"",""????0;"", ////"""),"'","""")&amp;SUBSTITUTE(TEXT(Regen!E238,""",""?00;"",""?-00;"",""?00;"", //"""),"'","""")</f>
        <v>032, 19270825, 1,    0, 00</v>
      </c>
    </row>
    <row r="239" spans="1:1" x14ac:dyDescent="0.25">
      <c r="A239" s="12" t="str">
        <f ca="1">TEXT(Regen!A239,"000\,")&amp;TEXT(Regen!B239,"?00000000")&amp;TEXT(Regen!C239,""",""?0")&amp;SUBSTITUTE(TEXT(Regen!D239,""",""????0;"",""???-0;"",""????0;"", ////"""),"'","""")&amp;SUBSTITUTE(TEXT(Regen!E239,""",""?00;"",""?-00;"",""?00;"", //"""),"'","""")</f>
        <v>032, 19270826, 1,    0, 00</v>
      </c>
    </row>
    <row r="240" spans="1:1" x14ac:dyDescent="0.25">
      <c r="A240" s="12" t="str">
        <f ca="1">TEXT(Regen!A240,"000\,")&amp;TEXT(Regen!B240,"?00000000")&amp;TEXT(Regen!C240,""",""?0")&amp;SUBSTITUTE(TEXT(Regen!D240,""",""????0;"",""???-0;"",""????0;"", ////"""),"'","""")&amp;SUBSTITUTE(TEXT(Regen!E240,""",""?00;"",""?-00;"",""?00;"", //"""),"'","""")</f>
        <v>032, 19270827, 1,    0, 00</v>
      </c>
    </row>
    <row r="241" spans="1:1" x14ac:dyDescent="0.25">
      <c r="A241" s="12" t="str">
        <f ca="1">TEXT(Regen!A241,"000\,")&amp;TEXT(Regen!B241,"?00000000")&amp;TEXT(Regen!C241,""",""?0")&amp;SUBSTITUTE(TEXT(Regen!D241,""",""????0;"",""???-0;"",""????0;"", ////"""),"'","""")&amp;SUBSTITUTE(TEXT(Regen!E241,""",""?00;"",""?-00;"",""?00;"", //"""),"'","""")</f>
        <v>032, 19270828, 1,    0, 00</v>
      </c>
    </row>
    <row r="242" spans="1:1" x14ac:dyDescent="0.25">
      <c r="A242" s="12" t="str">
        <f ca="1">TEXT(Regen!A242,"000\,")&amp;TEXT(Regen!B242,"?00000000")&amp;TEXT(Regen!C242,""",""?0")&amp;SUBSTITUTE(TEXT(Regen!D242,""",""????0;"",""???-0;"",""????0;"", ////"""),"'","""")&amp;SUBSTITUTE(TEXT(Regen!E242,""",""?00;"",""?-00;"",""?00;"", //"""),"'","""")</f>
        <v>032, 19270829, 1,    0, 00</v>
      </c>
    </row>
    <row r="243" spans="1:1" x14ac:dyDescent="0.25">
      <c r="A243" s="12" t="str">
        <f ca="1">TEXT(Regen!A243,"000\,")&amp;TEXT(Regen!B243,"?00000000")&amp;TEXT(Regen!C243,""",""?0")&amp;SUBSTITUTE(TEXT(Regen!D243,""",""????0;"",""???-0;"",""????0;"", ////"""),"'","""")&amp;SUBSTITUTE(TEXT(Regen!E243,""",""?00;"",""?-00;"",""?00;"", //"""),"'","""")</f>
        <v>032, 19270830, 1,    0, 00</v>
      </c>
    </row>
    <row r="244" spans="1:1" x14ac:dyDescent="0.25">
      <c r="A244" s="12" t="str">
        <f ca="1">TEXT(Regen!A244,"000\,")&amp;TEXT(Regen!B244,"?00000000")&amp;TEXT(Regen!C244,""",""?0")&amp;SUBSTITUTE(TEXT(Regen!D244,""",""????0;"",""???-0;"",""????0;"", ////"""),"'","""")&amp;SUBSTITUTE(TEXT(Regen!E244,""",""?00;"",""?-00;"",""?00;"", //"""),"'","""")</f>
        <v>032, 19270831, 1,    0, 00</v>
      </c>
    </row>
    <row r="245" spans="1:1" x14ac:dyDescent="0.25">
      <c r="A245" s="12" t="str">
        <f ca="1">TEXT(Regen!A245,"000\,")&amp;TEXT(Regen!B245,"?00000000")&amp;TEXT(Regen!C245,""",""?0")&amp;SUBSTITUTE(TEXT(Regen!D245,""",""????0;"",""???-0;"",""????0;"", ////"""),"'","""")&amp;SUBSTITUTE(TEXT(Regen!E245,""",""?00;"",""?-00;"",""?00;"", //"""),"'","""")</f>
        <v>032, 19270901, 1,    0, 00</v>
      </c>
    </row>
    <row r="246" spans="1:1" x14ac:dyDescent="0.25">
      <c r="A246" s="12" t="str">
        <f ca="1">TEXT(Regen!A246,"000\,")&amp;TEXT(Regen!B246,"?00000000")&amp;TEXT(Regen!C246,""",""?0")&amp;SUBSTITUTE(TEXT(Regen!D246,""",""????0;"",""???-0;"",""????0;"", ////"""),"'","""")&amp;SUBSTITUTE(TEXT(Regen!E246,""",""?00;"",""?-00;"",""?00;"", //"""),"'","""")</f>
        <v>032, 19270902, 1,   75, 00</v>
      </c>
    </row>
    <row r="247" spans="1:1" x14ac:dyDescent="0.25">
      <c r="A247" s="12" t="str">
        <f ca="1">TEXT(Regen!A247,"000\,")&amp;TEXT(Regen!B247,"?00000000")&amp;TEXT(Regen!C247,""",""?0")&amp;SUBSTITUTE(TEXT(Regen!D247,""",""????0;"",""???-0;"",""????0;"", ////"""),"'","""")&amp;SUBSTITUTE(TEXT(Regen!E247,""",""?00;"",""?-00;"",""?00;"", //"""),"'","""")</f>
        <v>032, 19270903, 1,    0, 00</v>
      </c>
    </row>
    <row r="248" spans="1:1" x14ac:dyDescent="0.25">
      <c r="A248" s="12" t="str">
        <f ca="1">TEXT(Regen!A248,"000\,")&amp;TEXT(Regen!B248,"?00000000")&amp;TEXT(Regen!C248,""",""?0")&amp;SUBSTITUTE(TEXT(Regen!D248,""",""????0;"",""???-0;"",""????0;"", ////"""),"'","""")&amp;SUBSTITUTE(TEXT(Regen!E248,""",""?00;"",""?-00;"",""?00;"", //"""),"'","""")</f>
        <v>032, 19270904, 1,    0, 00</v>
      </c>
    </row>
    <row r="249" spans="1:1" x14ac:dyDescent="0.25">
      <c r="A249" s="12" t="str">
        <f ca="1">TEXT(Regen!A249,"000\,")&amp;TEXT(Regen!B249,"?00000000")&amp;TEXT(Regen!C249,""",""?0")&amp;SUBSTITUTE(TEXT(Regen!D249,""",""????0;"",""???-0;"",""????0;"", ////"""),"'","""")&amp;SUBSTITUTE(TEXT(Regen!E249,""",""?00;"",""?-00;"",""?00;"", //"""),"'","""")</f>
        <v>032, 19270905, 1,    0, 00</v>
      </c>
    </row>
    <row r="250" spans="1:1" x14ac:dyDescent="0.25">
      <c r="A250" s="12" t="str">
        <f ca="1">TEXT(Regen!A250,"000\,")&amp;TEXT(Regen!B250,"?00000000")&amp;TEXT(Regen!C250,""",""?0")&amp;SUBSTITUTE(TEXT(Regen!D250,""",""????0;"",""???-0;"",""????0;"", ////"""),"'","""")&amp;SUBSTITUTE(TEXT(Regen!E250,""",""?00;"",""?-00;"",""?00;"", //"""),"'","""")</f>
        <v>032, 19270906, 1,    0, 00</v>
      </c>
    </row>
    <row r="251" spans="1:1" x14ac:dyDescent="0.25">
      <c r="A251" s="12" t="str">
        <f ca="1">TEXT(Regen!A251,"000\,")&amp;TEXT(Regen!B251,"?00000000")&amp;TEXT(Regen!C251,""",""?0")&amp;SUBSTITUTE(TEXT(Regen!D251,""",""????0;"",""???-0;"",""????0;"", ////"""),"'","""")&amp;SUBSTITUTE(TEXT(Regen!E251,""",""?00;"",""?-00;"",""?00;"", //"""),"'","""")</f>
        <v>032, 19270907, 1,    0, 00</v>
      </c>
    </row>
    <row r="252" spans="1:1" x14ac:dyDescent="0.25">
      <c r="A252" s="12" t="str">
        <f ca="1">TEXT(Regen!A252,"000\,")&amp;TEXT(Regen!B252,"?00000000")&amp;TEXT(Regen!C252,""",""?0")&amp;SUBSTITUTE(TEXT(Regen!D252,""",""????0;"",""???-0;"",""????0;"", ////"""),"'","""")&amp;SUBSTITUTE(TEXT(Regen!E252,""",""?00;"",""?-00;"",""?00;"", //"""),"'","""")</f>
        <v>032, 19270908, 1,    0, 00</v>
      </c>
    </row>
    <row r="253" spans="1:1" x14ac:dyDescent="0.25">
      <c r="A253" s="12" t="str">
        <f ca="1">TEXT(Regen!A253,"000\,")&amp;TEXT(Regen!B253,"?00000000")&amp;TEXT(Regen!C253,""",""?0")&amp;SUBSTITUTE(TEXT(Regen!D253,""",""????0;"",""???-0;"",""????0;"", ////"""),"'","""")&amp;SUBSTITUTE(TEXT(Regen!E253,""",""?00;"",""?-00;"",""?00;"", //"""),"'","""")</f>
        <v>032, 19270909, 1,    0, 00</v>
      </c>
    </row>
    <row r="254" spans="1:1" x14ac:dyDescent="0.25">
      <c r="A254" s="12" t="str">
        <f ca="1">TEXT(Regen!A254,"000\,")&amp;TEXT(Regen!B254,"?00000000")&amp;TEXT(Regen!C254,""",""?0")&amp;SUBSTITUTE(TEXT(Regen!D254,""",""????0;"",""???-0;"",""????0;"", ////"""),"'","""")&amp;SUBSTITUTE(TEXT(Regen!E254,""",""?00;"",""?-00;"",""?00;"", //"""),"'","""")</f>
        <v>032, 19270910, 1,    0, 00</v>
      </c>
    </row>
    <row r="255" spans="1:1" x14ac:dyDescent="0.25">
      <c r="A255" s="12" t="str">
        <f ca="1">TEXT(Regen!A255,"000\,")&amp;TEXT(Regen!B255,"?00000000")&amp;TEXT(Regen!C255,""",""?0")&amp;SUBSTITUTE(TEXT(Regen!D255,""",""????0;"",""???-0;"",""????0;"", ////"""),"'","""")&amp;SUBSTITUTE(TEXT(Regen!E255,""",""?00;"",""?-00;"",""?00;"", //"""),"'","""")</f>
        <v>032, 19270911, 1,    0, 00</v>
      </c>
    </row>
    <row r="256" spans="1:1" x14ac:dyDescent="0.25">
      <c r="A256" s="12" t="str">
        <f ca="1">TEXT(Regen!A256,"000\,")&amp;TEXT(Regen!B256,"?00000000")&amp;TEXT(Regen!C256,""",""?0")&amp;SUBSTITUTE(TEXT(Regen!D256,""",""????0;"",""???-0;"",""????0;"", ////"""),"'","""")&amp;SUBSTITUTE(TEXT(Regen!E256,""",""?00;"",""?-00;"",""?00;"", //"""),"'","""")</f>
        <v>032, 19270912, 1,    0, 00</v>
      </c>
    </row>
    <row r="257" spans="1:1" x14ac:dyDescent="0.25">
      <c r="A257" s="12" t="str">
        <f ca="1">TEXT(Regen!A257,"000\,")&amp;TEXT(Regen!B257,"?00000000")&amp;TEXT(Regen!C257,""",""?0")&amp;SUBSTITUTE(TEXT(Regen!D257,""",""????0;"",""???-0;"",""????0;"", ////"""),"'","""")&amp;SUBSTITUTE(TEXT(Regen!E257,""",""?00;"",""?-00;"",""?00;"", //"""),"'","""")</f>
        <v>032, 19270913, 1,    0, 00</v>
      </c>
    </row>
    <row r="258" spans="1:1" x14ac:dyDescent="0.25">
      <c r="A258" s="12" t="str">
        <f ca="1">TEXT(Regen!A258,"000\,")&amp;TEXT(Regen!B258,"?00000000")&amp;TEXT(Regen!C258,""",""?0")&amp;SUBSTITUTE(TEXT(Regen!D258,""",""????0;"",""???-0;"",""????0;"", ////"""),"'","""")&amp;SUBSTITUTE(TEXT(Regen!E258,""",""?00;"",""?-00;"",""?00;"", //"""),"'","""")</f>
        <v>032, 19270914, 1,    0, 00</v>
      </c>
    </row>
    <row r="259" spans="1:1" x14ac:dyDescent="0.25">
      <c r="A259" s="12" t="str">
        <f ca="1">TEXT(Regen!A259,"000\,")&amp;TEXT(Regen!B259,"?00000000")&amp;TEXT(Regen!C259,""",""?0")&amp;SUBSTITUTE(TEXT(Regen!D259,""",""????0;"",""???-0;"",""????0;"", ////"""),"'","""")&amp;SUBSTITUTE(TEXT(Regen!E259,""",""?00;"",""?-00;"",""?00;"", //"""),"'","""")</f>
        <v>032, 19270915, 1,    0, 00</v>
      </c>
    </row>
    <row r="260" spans="1:1" x14ac:dyDescent="0.25">
      <c r="A260" s="12" t="str">
        <f ca="1">TEXT(Regen!A260,"000\,")&amp;TEXT(Regen!B260,"?00000000")&amp;TEXT(Regen!C260,""",""?0")&amp;SUBSTITUTE(TEXT(Regen!D260,""",""????0;"",""???-0;"",""????0;"", ////"""),"'","""")&amp;SUBSTITUTE(TEXT(Regen!E260,""",""?00;"",""?-00;"",""?00;"", //"""),"'","""")</f>
        <v>032, 19270916, 1,    0, 00</v>
      </c>
    </row>
    <row r="261" spans="1:1" x14ac:dyDescent="0.25">
      <c r="A261" s="12" t="str">
        <f ca="1">TEXT(Regen!A261,"000\,")&amp;TEXT(Regen!B261,"?00000000")&amp;TEXT(Regen!C261,""",""?0")&amp;SUBSTITUTE(TEXT(Regen!D261,""",""????0;"",""???-0;"",""????0;"", ////"""),"'","""")&amp;SUBSTITUTE(TEXT(Regen!E261,""",""?00;"",""?-00;"",""?00;"", //"""),"'","""")</f>
        <v>032, 19270917, 1,    0, 00</v>
      </c>
    </row>
    <row r="262" spans="1:1" x14ac:dyDescent="0.25">
      <c r="A262" s="12" t="str">
        <f ca="1">TEXT(Regen!A262,"000\,")&amp;TEXT(Regen!B262,"?00000000")&amp;TEXT(Regen!C262,""",""?0")&amp;SUBSTITUTE(TEXT(Regen!D262,""",""????0;"",""???-0;"",""????0;"", ////"""),"'","""")&amp;SUBSTITUTE(TEXT(Regen!E262,""",""?00;"",""?-00;"",""?00;"", //"""),"'","""")</f>
        <v>032, 19270918, 1,  250, 00</v>
      </c>
    </row>
    <row r="263" spans="1:1" x14ac:dyDescent="0.25">
      <c r="A263" s="12" t="str">
        <f ca="1">TEXT(Regen!A263,"000\,")&amp;TEXT(Regen!B263,"?00000000")&amp;TEXT(Regen!C263,""",""?0")&amp;SUBSTITUTE(TEXT(Regen!D263,""",""????0;"",""???-0;"",""????0;"", ////"""),"'","""")&amp;SUBSTITUTE(TEXT(Regen!E263,""",""?00;"",""?-00;"",""?00;"", //"""),"'","""")</f>
        <v>032, 19270919, 1,    0, 00</v>
      </c>
    </row>
    <row r="264" spans="1:1" x14ac:dyDescent="0.25">
      <c r="A264" s="12" t="str">
        <f ca="1">TEXT(Regen!A264,"000\,")&amp;TEXT(Regen!B264,"?00000000")&amp;TEXT(Regen!C264,""",""?0")&amp;SUBSTITUTE(TEXT(Regen!D264,""",""????0;"",""???-0;"",""????0;"", ////"""),"'","""")&amp;SUBSTITUTE(TEXT(Regen!E264,""",""?00;"",""?-00;"",""?00;"", //"""),"'","""")</f>
        <v>032, 19270920, 1,   65, 00</v>
      </c>
    </row>
    <row r="265" spans="1:1" x14ac:dyDescent="0.25">
      <c r="A265" s="12" t="str">
        <f ca="1">TEXT(Regen!A265,"000\,")&amp;TEXT(Regen!B265,"?00000000")&amp;TEXT(Regen!C265,""",""?0")&amp;SUBSTITUTE(TEXT(Regen!D265,""",""????0;"",""???-0;"",""????0;"", ////"""),"'","""")&amp;SUBSTITUTE(TEXT(Regen!E265,""",""?00;"",""?-00;"",""?00;"", //"""),"'","""")</f>
        <v>032, 19270921, 1,    0, 00</v>
      </c>
    </row>
    <row r="266" spans="1:1" x14ac:dyDescent="0.25">
      <c r="A266" s="12" t="str">
        <f ca="1">TEXT(Regen!A266,"000\,")&amp;TEXT(Regen!B266,"?00000000")&amp;TEXT(Regen!C266,""",""?0")&amp;SUBSTITUTE(TEXT(Regen!D266,""",""????0;"",""???-0;"",""????0;"", ////"""),"'","""")&amp;SUBSTITUTE(TEXT(Regen!E266,""",""?00;"",""?-00;"",""?00;"", //"""),"'","""")</f>
        <v>032, 19270922, 1,   36, 00</v>
      </c>
    </row>
    <row r="267" spans="1:1" x14ac:dyDescent="0.25">
      <c r="A267" s="12" t="str">
        <f ca="1">TEXT(Regen!A267,"000\,")&amp;TEXT(Regen!B267,"?00000000")&amp;TEXT(Regen!C267,""",""?0")&amp;SUBSTITUTE(TEXT(Regen!D267,""",""????0;"",""???-0;"",""????0;"", ////"""),"'","""")&amp;SUBSTITUTE(TEXT(Regen!E267,""",""?00;"",""?-00;"",""?00;"", //"""),"'","""")</f>
        <v>032, 19270923, 1,    0, 00</v>
      </c>
    </row>
    <row r="268" spans="1:1" x14ac:dyDescent="0.25">
      <c r="A268" s="12" t="str">
        <f ca="1">TEXT(Regen!A268,"000\,")&amp;TEXT(Regen!B268,"?00000000")&amp;TEXT(Regen!C268,""",""?0")&amp;SUBSTITUTE(TEXT(Regen!D268,""",""????0;"",""???-0;"",""????0;"", ////"""),"'","""")&amp;SUBSTITUTE(TEXT(Regen!E268,""",""?00;"",""?-00;"",""?00;"", //"""),"'","""")</f>
        <v>032, 19270924, 1,    0, 00</v>
      </c>
    </row>
    <row r="269" spans="1:1" x14ac:dyDescent="0.25">
      <c r="A269" s="12" t="str">
        <f ca="1">TEXT(Regen!A269,"000\,")&amp;TEXT(Regen!B269,"?00000000")&amp;TEXT(Regen!C269,""",""?0")&amp;SUBSTITUTE(TEXT(Regen!D269,""",""????0;"",""???-0;"",""????0;"", ////"""),"'","""")&amp;SUBSTITUTE(TEXT(Regen!E269,""",""?00;"",""?-00;"",""?00;"", //"""),"'","""")</f>
        <v>032, 19270925, 1,  315, 00</v>
      </c>
    </row>
    <row r="270" spans="1:1" x14ac:dyDescent="0.25">
      <c r="A270" s="12" t="str">
        <f ca="1">TEXT(Regen!A270,"000\,")&amp;TEXT(Regen!B270,"?00000000")&amp;TEXT(Regen!C270,""",""?0")&amp;SUBSTITUTE(TEXT(Regen!D270,""",""????0;"",""???-0;"",""????0;"", ////"""),"'","""")&amp;SUBSTITUTE(TEXT(Regen!E270,""",""?00;"",""?-00;"",""?00;"", //"""),"'","""")</f>
        <v>032, 19270926, 1,   35, 00</v>
      </c>
    </row>
    <row r="271" spans="1:1" x14ac:dyDescent="0.25">
      <c r="A271" s="12" t="str">
        <f ca="1">TEXT(Regen!A271,"000\,")&amp;TEXT(Regen!B271,"?00000000")&amp;TEXT(Regen!C271,""",""?0")&amp;SUBSTITUTE(TEXT(Regen!D271,""",""????0;"",""???-0;"",""????0;"", ////"""),"'","""")&amp;SUBSTITUTE(TEXT(Regen!E271,""",""?00;"",""?-00;"",""?00;"", //"""),"'","""")</f>
        <v>032, 19270927, 1,   45, 00</v>
      </c>
    </row>
    <row r="272" spans="1:1" x14ac:dyDescent="0.25">
      <c r="A272" s="12" t="str">
        <f ca="1">TEXT(Regen!A272,"000\,")&amp;TEXT(Regen!B272,"?00000000")&amp;TEXT(Regen!C272,""",""?0")&amp;SUBSTITUTE(TEXT(Regen!D272,""",""????0;"",""???-0;"",""????0;"", ////"""),"'","""")&amp;SUBSTITUTE(TEXT(Regen!E272,""",""?00;"",""?-00;"",""?00;"", //"""),"'","""")</f>
        <v>032, 19270928, 1,    0, 00</v>
      </c>
    </row>
    <row r="273" spans="1:1" x14ac:dyDescent="0.25">
      <c r="A273" s="12" t="str">
        <f ca="1">TEXT(Regen!A273,"000\,")&amp;TEXT(Regen!B273,"?00000000")&amp;TEXT(Regen!C273,""",""?0")&amp;SUBSTITUTE(TEXT(Regen!D273,""",""????0;"",""???-0;"",""????0;"", ////"""),"'","""")&amp;SUBSTITUTE(TEXT(Regen!E273,""",""?00;"",""?-00;"",""?00;"", //"""),"'","""")</f>
        <v>032, 19270929, 1,    0, 00</v>
      </c>
    </row>
    <row r="274" spans="1:1" x14ac:dyDescent="0.25">
      <c r="A274" s="12" t="str">
        <f ca="1">TEXT(Regen!A274,"000\,")&amp;TEXT(Regen!B274,"?00000000")&amp;TEXT(Regen!C274,""",""?0")&amp;SUBSTITUTE(TEXT(Regen!D274,""",""????0;"",""???-0;"",""????0;"", ////"""),"'","""")&amp;SUBSTITUTE(TEXT(Regen!E274,""",""?00;"",""?-00;"",""?00;"", //"""),"'","""")</f>
        <v>032, 19270930, 1,    0, 00</v>
      </c>
    </row>
    <row r="275" spans="1:1" x14ac:dyDescent="0.25">
      <c r="A275" s="12" t="str">
        <f ca="1">TEXT(Regen!A275,"000\,")&amp;TEXT(Regen!B275,"?00000000")&amp;TEXT(Regen!C275,""",""?0")&amp;SUBSTITUTE(TEXT(Regen!D275,""",""????0;"",""???-0;"",""????0;"", ////"""),"'","""")&amp;SUBSTITUTE(TEXT(Regen!E275,""",""?00;"",""?-00;"",""?00;"", //"""),"'","""")</f>
        <v>032, 19271001, 1,    0, 00</v>
      </c>
    </row>
    <row r="276" spans="1:1" x14ac:dyDescent="0.25">
      <c r="A276" s="12" t="str">
        <f ca="1">TEXT(Regen!A276,"000\,")&amp;TEXT(Regen!B276,"?00000000")&amp;TEXT(Regen!C276,""",""?0")&amp;SUBSTITUTE(TEXT(Regen!D276,""",""????0;"",""???-0;"",""????0;"", ////"""),"'","""")&amp;SUBSTITUTE(TEXT(Regen!E276,""",""?00;"",""?-00;"",""?00;"", //"""),"'","""")</f>
        <v>032, 19271002, 1,    0, 00</v>
      </c>
    </row>
    <row r="277" spans="1:1" x14ac:dyDescent="0.25">
      <c r="A277" s="12" t="str">
        <f ca="1">TEXT(Regen!A277,"000\,")&amp;TEXT(Regen!B277,"?00000000")&amp;TEXT(Regen!C277,""",""?0")&amp;SUBSTITUTE(TEXT(Regen!D277,""",""????0;"",""???-0;"",""????0;"", ////"""),"'","""")&amp;SUBSTITUTE(TEXT(Regen!E277,""",""?00;"",""?-00;"",""?00;"", //"""),"'","""")</f>
        <v>032, 19271003, 1,    0, 00</v>
      </c>
    </row>
    <row r="278" spans="1:1" x14ac:dyDescent="0.25">
      <c r="A278" s="12" t="str">
        <f ca="1">TEXT(Regen!A278,"000\,")&amp;TEXT(Regen!B278,"?00000000")&amp;TEXT(Regen!C278,""",""?0")&amp;SUBSTITUTE(TEXT(Regen!D278,""",""????0;"",""???-0;"",""????0;"", ////"""),"'","""")&amp;SUBSTITUTE(TEXT(Regen!E278,""",""?00;"",""?-00;"",""?00;"", //"""),"'","""")</f>
        <v>032, 19271004, 1,    0, 00</v>
      </c>
    </row>
    <row r="279" spans="1:1" x14ac:dyDescent="0.25">
      <c r="A279" s="12" t="str">
        <f ca="1">TEXT(Regen!A279,"000\,")&amp;TEXT(Regen!B279,"?00000000")&amp;TEXT(Regen!C279,""",""?0")&amp;SUBSTITUTE(TEXT(Regen!D279,""",""????0;"",""???-0;"",""????0;"", ////"""),"'","""")&amp;SUBSTITUTE(TEXT(Regen!E279,""",""?00;"",""?-00;"",""?00;"", //"""),"'","""")</f>
        <v>032, 19271005, 1,    0, 00</v>
      </c>
    </row>
    <row r="280" spans="1:1" x14ac:dyDescent="0.25">
      <c r="A280" s="12" t="str">
        <f ca="1">TEXT(Regen!A280,"000\,")&amp;TEXT(Regen!B280,"?00000000")&amp;TEXT(Regen!C280,""",""?0")&amp;SUBSTITUTE(TEXT(Regen!D280,""",""????0;"",""???-0;"",""????0;"", ////"""),"'","""")&amp;SUBSTITUTE(TEXT(Regen!E280,""",""?00;"",""?-00;"",""?00;"", //"""),"'","""")</f>
        <v>032, 19271006, 1,    0, 00</v>
      </c>
    </row>
    <row r="281" spans="1:1" x14ac:dyDescent="0.25">
      <c r="A281" s="12" t="str">
        <f ca="1">TEXT(Regen!A281,"000\,")&amp;TEXT(Regen!B281,"?00000000")&amp;TEXT(Regen!C281,""",""?0")&amp;SUBSTITUTE(TEXT(Regen!D281,""",""????0;"",""???-0;"",""????0;"", ////"""),"'","""")&amp;SUBSTITUTE(TEXT(Regen!E281,""",""?00;"",""?-00;"",""?00;"", //"""),"'","""")</f>
        <v>032, 19271007, 1,    0, 00</v>
      </c>
    </row>
    <row r="282" spans="1:1" x14ac:dyDescent="0.25">
      <c r="A282" s="12" t="str">
        <f ca="1">TEXT(Regen!A282,"000\,")&amp;TEXT(Regen!B282,"?00000000")&amp;TEXT(Regen!C282,""",""?0")&amp;SUBSTITUTE(TEXT(Regen!D282,""",""????0;"",""???-0;"",""????0;"", ////"""),"'","""")&amp;SUBSTITUTE(TEXT(Regen!E282,""",""?00;"",""?-00;"",""?00;"", //"""),"'","""")</f>
        <v>032, 19271008, 1,    0, 00</v>
      </c>
    </row>
    <row r="283" spans="1:1" x14ac:dyDescent="0.25">
      <c r="A283" s="12" t="str">
        <f ca="1">TEXT(Regen!A283,"000\,")&amp;TEXT(Regen!B283,"?00000000")&amp;TEXT(Regen!C283,""",""?0")&amp;SUBSTITUTE(TEXT(Regen!D283,""",""????0;"",""???-0;"",""????0;"", ////"""),"'","""")&amp;SUBSTITUTE(TEXT(Regen!E283,""",""?00;"",""?-00;"",""?00;"", //"""),"'","""")</f>
        <v>032, 19271009, 1,    0, 00</v>
      </c>
    </row>
    <row r="284" spans="1:1" x14ac:dyDescent="0.25">
      <c r="A284" s="12" t="str">
        <f ca="1">TEXT(Regen!A284,"000\,")&amp;TEXT(Regen!B284,"?00000000")&amp;TEXT(Regen!C284,""",""?0")&amp;SUBSTITUTE(TEXT(Regen!D284,""",""????0;"",""???-0;"",""????0;"", ////"""),"'","""")&amp;SUBSTITUTE(TEXT(Regen!E284,""",""?00;"",""?-00;"",""?00;"", //"""),"'","""")</f>
        <v>032, 19271010, 1,    0, 00</v>
      </c>
    </row>
    <row r="285" spans="1:1" x14ac:dyDescent="0.25">
      <c r="A285" s="12" t="str">
        <f ca="1">TEXT(Regen!A285,"000\,")&amp;TEXT(Regen!B285,"?00000000")&amp;TEXT(Regen!C285,""",""?0")&amp;SUBSTITUTE(TEXT(Regen!D285,""",""????0;"",""???-0;"",""????0;"", ////"""),"'","""")&amp;SUBSTITUTE(TEXT(Regen!E285,""",""?00;"",""?-00;"",""?00;"", //"""),"'","""")</f>
        <v>032, 19271011, 1,    0, 00</v>
      </c>
    </row>
    <row r="286" spans="1:1" x14ac:dyDescent="0.25">
      <c r="A286" s="12" t="str">
        <f ca="1">TEXT(Regen!A286,"000\,")&amp;TEXT(Regen!B286,"?00000000")&amp;TEXT(Regen!C286,""",""?0")&amp;SUBSTITUTE(TEXT(Regen!D286,""",""????0;"",""???-0;"",""????0;"", ////"""),"'","""")&amp;SUBSTITUTE(TEXT(Regen!E286,""",""?00;"",""?-00;"",""?00;"", //"""),"'","""")</f>
        <v>032, 19271012, 1,    0, 00</v>
      </c>
    </row>
    <row r="287" spans="1:1" x14ac:dyDescent="0.25">
      <c r="A287" s="12" t="str">
        <f ca="1">TEXT(Regen!A287,"000\,")&amp;TEXT(Regen!B287,"?00000000")&amp;TEXT(Regen!C287,""",""?0")&amp;SUBSTITUTE(TEXT(Regen!D287,""",""????0;"",""???-0;"",""????0;"", ////"""),"'","""")&amp;SUBSTITUTE(TEXT(Regen!E287,""",""?00;"",""?-00;"",""?00;"", //"""),"'","""")</f>
        <v>032, 19271013, 1,    0, 00</v>
      </c>
    </row>
    <row r="288" spans="1:1" x14ac:dyDescent="0.25">
      <c r="A288" s="12" t="str">
        <f ca="1">TEXT(Regen!A288,"000\,")&amp;TEXT(Regen!B288,"?00000000")&amp;TEXT(Regen!C288,""",""?0")&amp;SUBSTITUTE(TEXT(Regen!D288,""",""????0;"",""???-0;"",""????0;"", ////"""),"'","""")&amp;SUBSTITUTE(TEXT(Regen!E288,""",""?00;"",""?-00;"",""?00;"", //"""),"'","""")</f>
        <v>032, 19271014, 1,   50, 00</v>
      </c>
    </row>
    <row r="289" spans="1:1" x14ac:dyDescent="0.25">
      <c r="A289" s="12" t="str">
        <f ca="1">TEXT(Regen!A289,"000\,")&amp;TEXT(Regen!B289,"?00000000")&amp;TEXT(Regen!C289,""",""?0")&amp;SUBSTITUTE(TEXT(Regen!D289,""",""????0;"",""???-0;"",""????0;"", ////"""),"'","""")&amp;SUBSTITUTE(TEXT(Regen!E289,""",""?00;"",""?-00;"",""?00;"", //"""),"'","""")</f>
        <v>032, 19271015, 1,   50, 00</v>
      </c>
    </row>
    <row r="290" spans="1:1" x14ac:dyDescent="0.25">
      <c r="A290" s="12" t="str">
        <f ca="1">TEXT(Regen!A290,"000\,")&amp;TEXT(Regen!B290,"?00000000")&amp;TEXT(Regen!C290,""",""?0")&amp;SUBSTITUTE(TEXT(Regen!D290,""",""????0;"",""???-0;"",""????0;"", ////"""),"'","""")&amp;SUBSTITUTE(TEXT(Regen!E290,""",""?00;"",""?-00;"",""?00;"", //"""),"'","""")</f>
        <v>032, 19271016, 1,  100, 00</v>
      </c>
    </row>
    <row r="291" spans="1:1" x14ac:dyDescent="0.25">
      <c r="A291" s="12" t="str">
        <f ca="1">TEXT(Regen!A291,"000\,")&amp;TEXT(Regen!B291,"?00000000")&amp;TEXT(Regen!C291,""",""?0")&amp;SUBSTITUTE(TEXT(Regen!D291,""",""????0;"",""???-0;"",""????0;"", ////"""),"'","""")&amp;SUBSTITUTE(TEXT(Regen!E291,""",""?00;"",""?-00;"",""?00;"", //"""),"'","""")</f>
        <v>032, 19271017, 1,    0, 00</v>
      </c>
    </row>
    <row r="292" spans="1:1" x14ac:dyDescent="0.25">
      <c r="A292" s="12" t="str">
        <f ca="1">TEXT(Regen!A292,"000\,")&amp;TEXT(Regen!B292,"?00000000")&amp;TEXT(Regen!C292,""",""?0")&amp;SUBSTITUTE(TEXT(Regen!D292,""",""????0;"",""???-0;"",""????0;"", ////"""),"'","""")&amp;SUBSTITUTE(TEXT(Regen!E292,""",""?00;"",""?-00;"",""?00;"", //"""),"'","""")</f>
        <v>032, 19271018, 1,    0, 00</v>
      </c>
    </row>
    <row r="293" spans="1:1" x14ac:dyDescent="0.25">
      <c r="A293" s="12" t="str">
        <f ca="1">TEXT(Regen!A293,"000\,")&amp;TEXT(Regen!B293,"?00000000")&amp;TEXT(Regen!C293,""",""?0")&amp;SUBSTITUTE(TEXT(Regen!D293,""",""????0;"",""???-0;"",""????0;"", ////"""),"'","""")&amp;SUBSTITUTE(TEXT(Regen!E293,""",""?00;"",""?-00;"",""?00;"", //"""),"'","""")</f>
        <v>032, 19271019, 1,    0, 00</v>
      </c>
    </row>
    <row r="294" spans="1:1" x14ac:dyDescent="0.25">
      <c r="A294" s="12" t="str">
        <f ca="1">TEXT(Regen!A294,"000\,")&amp;TEXT(Regen!B294,"?00000000")&amp;TEXT(Regen!C294,""",""?0")&amp;SUBSTITUTE(TEXT(Regen!D294,""",""????0;"",""???-0;"",""????0;"", ////"""),"'","""")&amp;SUBSTITUTE(TEXT(Regen!E294,""",""?00;"",""?-00;"",""?00;"", //"""),"'","""")</f>
        <v>032, 19271020, 1,    0, 00</v>
      </c>
    </row>
    <row r="295" spans="1:1" x14ac:dyDescent="0.25">
      <c r="A295" s="12" t="str">
        <f ca="1">TEXT(Regen!A295,"000\,")&amp;TEXT(Regen!B295,"?00000000")&amp;TEXT(Regen!C295,""",""?0")&amp;SUBSTITUTE(TEXT(Regen!D295,""",""????0;"",""???-0;"",""????0;"", ////"""),"'","""")&amp;SUBSTITUTE(TEXT(Regen!E295,""",""?00;"",""?-00;"",""?00;"", //"""),"'","""")</f>
        <v>032, 19271021, 1,    0, 00</v>
      </c>
    </row>
    <row r="296" spans="1:1" x14ac:dyDescent="0.25">
      <c r="A296" s="12" t="str">
        <f ca="1">TEXT(Regen!A296,"000\,")&amp;TEXT(Regen!B296,"?00000000")&amp;TEXT(Regen!C296,""",""?0")&amp;SUBSTITUTE(TEXT(Regen!D296,""",""????0;"",""???-0;"",""????0;"", ////"""),"'","""")&amp;SUBSTITUTE(TEXT(Regen!E296,""",""?00;"",""?-00;"",""?00;"", //"""),"'","""")</f>
        <v>032, 19271022, 1,    0, 00</v>
      </c>
    </row>
    <row r="297" spans="1:1" x14ac:dyDescent="0.25">
      <c r="A297" s="12" t="str">
        <f ca="1">TEXT(Regen!A297,"000\,")&amp;TEXT(Regen!B297,"?00000000")&amp;TEXT(Regen!C297,""",""?0")&amp;SUBSTITUTE(TEXT(Regen!D297,""",""????0;"",""???-0;"",""????0;"", ////"""),"'","""")&amp;SUBSTITUTE(TEXT(Regen!E297,""",""?00;"",""?-00;"",""?00;"", //"""),"'","""")</f>
        <v>032, 19271023, 1,   25, 00</v>
      </c>
    </row>
    <row r="298" spans="1:1" x14ac:dyDescent="0.25">
      <c r="A298" s="12" t="str">
        <f ca="1">TEXT(Regen!A298,"000\,")&amp;TEXT(Regen!B298,"?00000000")&amp;TEXT(Regen!C298,""",""?0")&amp;SUBSTITUTE(TEXT(Regen!D298,""",""????0;"",""???-0;"",""????0;"", ////"""),"'","""")&amp;SUBSTITUTE(TEXT(Regen!E298,""",""?00;"",""?-00;"",""?00;"", //"""),"'","""")</f>
        <v>032, 19271024, 1,    0, 00</v>
      </c>
    </row>
    <row r="299" spans="1:1" x14ac:dyDescent="0.25">
      <c r="A299" s="12" t="str">
        <f ca="1">TEXT(Regen!A299,"000\,")&amp;TEXT(Regen!B299,"?00000000")&amp;TEXT(Regen!C299,""",""?0")&amp;SUBSTITUTE(TEXT(Regen!D299,""",""????0;"",""???-0;"",""????0;"", ////"""),"'","""")&amp;SUBSTITUTE(TEXT(Regen!E299,""",""?00;"",""?-00;"",""?00;"", //"""),"'","""")</f>
        <v>032, 19271025, 1,    0, 00</v>
      </c>
    </row>
    <row r="300" spans="1:1" x14ac:dyDescent="0.25">
      <c r="A300" s="12" t="str">
        <f ca="1">TEXT(Regen!A300,"000\,")&amp;TEXT(Regen!B300,"?00000000")&amp;TEXT(Regen!C300,""",""?0")&amp;SUBSTITUTE(TEXT(Regen!D300,""",""????0;"",""???-0;"",""????0;"", ////"""),"'","""")&amp;SUBSTITUTE(TEXT(Regen!E300,""",""?00;"",""?-00;"",""?00;"", //"""),"'","""")</f>
        <v>032, 19271026, 1,    0, 00</v>
      </c>
    </row>
    <row r="301" spans="1:1" x14ac:dyDescent="0.25">
      <c r="A301" s="12" t="str">
        <f ca="1">TEXT(Regen!A301,"000\,")&amp;TEXT(Regen!B301,"?00000000")&amp;TEXT(Regen!C301,""",""?0")&amp;SUBSTITUTE(TEXT(Regen!D301,""",""????0;"",""???-0;"",""????0;"", ////"""),"'","""")&amp;SUBSTITUTE(TEXT(Regen!E301,""",""?00;"",""?-00;"",""?00;"", //"""),"'","""")</f>
        <v>032, 19271027, 1,    0, 00</v>
      </c>
    </row>
    <row r="302" spans="1:1" x14ac:dyDescent="0.25">
      <c r="A302" s="12" t="str">
        <f ca="1">TEXT(Regen!A302,"000\,")&amp;TEXT(Regen!B302,"?00000000")&amp;TEXT(Regen!C302,""",""?0")&amp;SUBSTITUTE(TEXT(Regen!D302,""",""????0;"",""???-0;"",""????0;"", ////"""),"'","""")&amp;SUBSTITUTE(TEXT(Regen!E302,""",""?00;"",""?-00;"",""?00;"", //"""),"'","""")</f>
        <v>032, 19271028, 1,    0, 00</v>
      </c>
    </row>
    <row r="303" spans="1:1" x14ac:dyDescent="0.25">
      <c r="A303" s="12" t="str">
        <f ca="1">TEXT(Regen!A303,"000\,")&amp;TEXT(Regen!B303,"?00000000")&amp;TEXT(Regen!C303,""",""?0")&amp;SUBSTITUTE(TEXT(Regen!D303,""",""????0;"",""???-0;"",""????0;"", ////"""),"'","""")&amp;SUBSTITUTE(TEXT(Regen!E303,""",""?00;"",""?-00;"",""?00;"", //"""),"'","""")</f>
        <v>032, 19271029, 1,    0, 00</v>
      </c>
    </row>
    <row r="304" spans="1:1" x14ac:dyDescent="0.25">
      <c r="A304" s="12" t="str">
        <f ca="1">TEXT(Regen!A304,"000\,")&amp;TEXT(Regen!B304,"?00000000")&amp;TEXT(Regen!C304,""",""?0")&amp;SUBSTITUTE(TEXT(Regen!D304,""",""????0;"",""???-0;"",""????0;"", ////"""),"'","""")&amp;SUBSTITUTE(TEXT(Regen!E304,""",""?00;"",""?-00;"",""?00;"", //"""),"'","""")</f>
        <v>032, 19271030, 1,    0, 00</v>
      </c>
    </row>
    <row r="305" spans="1:1" x14ac:dyDescent="0.25">
      <c r="A305" s="12" t="str">
        <f ca="1">TEXT(Regen!A305,"000\,")&amp;TEXT(Regen!B305,"?00000000")&amp;TEXT(Regen!C305,""",""?0")&amp;SUBSTITUTE(TEXT(Regen!D305,""",""????0;"",""???-0;"",""????0;"", ////"""),"'","""")&amp;SUBSTITUTE(TEXT(Regen!E305,""",""?00;"",""?-00;"",""?00;"", //"""),"'","""")</f>
        <v>032, 19271031, 1,    0, 00</v>
      </c>
    </row>
    <row r="306" spans="1:1" x14ac:dyDescent="0.25">
      <c r="A306" s="12" t="str">
        <f ca="1">TEXT(Regen!A306,"000\,")&amp;TEXT(Regen!B306,"?00000000")&amp;TEXT(Regen!C306,""",""?0")&amp;SUBSTITUTE(TEXT(Regen!D306,""",""????0;"",""???-0;"",""????0;"", ////"""),"'","""")&amp;SUBSTITUTE(TEXT(Regen!E306,""",""?00;"",""?-00;"",""?00;"", //"""),"'","""")</f>
        <v>032, 19271101, 1,    0, 00</v>
      </c>
    </row>
    <row r="307" spans="1:1" x14ac:dyDescent="0.25">
      <c r="A307" s="12" t="str">
        <f ca="1">TEXT(Regen!A307,"000\,")&amp;TEXT(Regen!B307,"?00000000")&amp;TEXT(Regen!C307,""",""?0")&amp;SUBSTITUTE(TEXT(Regen!D307,""",""????0;"",""???-0;"",""????0;"", ////"""),"'","""")&amp;SUBSTITUTE(TEXT(Regen!E307,""",""?00;"",""?-00;"",""?00;"", //"""),"'","""")</f>
        <v>032, 19271102, 1,    0, 00</v>
      </c>
    </row>
    <row r="308" spans="1:1" x14ac:dyDescent="0.25">
      <c r="A308" s="12" t="str">
        <f ca="1">TEXT(Regen!A308,"000\,")&amp;TEXT(Regen!B308,"?00000000")&amp;TEXT(Regen!C308,""",""?0")&amp;SUBSTITUTE(TEXT(Regen!D308,""",""????0;"",""???-0;"",""????0;"", ////"""),"'","""")&amp;SUBSTITUTE(TEXT(Regen!E308,""",""?00;"",""?-00;"",""?00;"", //"""),"'","""")</f>
        <v>032, 19271103, 1,    0, 00</v>
      </c>
    </row>
    <row r="309" spans="1:1" x14ac:dyDescent="0.25">
      <c r="A309" s="12" t="str">
        <f ca="1">TEXT(Regen!A309,"000\,")&amp;TEXT(Regen!B309,"?00000000")&amp;TEXT(Regen!C309,""",""?0")&amp;SUBSTITUTE(TEXT(Regen!D309,""",""????0;"",""???-0;"",""????0;"", ////"""),"'","""")&amp;SUBSTITUTE(TEXT(Regen!E309,""",""?00;"",""?-00;"",""?00;"", //"""),"'","""")</f>
        <v>032, 19271104, 1,    0, 00</v>
      </c>
    </row>
    <row r="310" spans="1:1" x14ac:dyDescent="0.25">
      <c r="A310" s="12" t="str">
        <f ca="1">TEXT(Regen!A310,"000\,")&amp;TEXT(Regen!B310,"?00000000")&amp;TEXT(Regen!C310,""",""?0")&amp;SUBSTITUTE(TEXT(Regen!D310,""",""????0;"",""???-0;"",""????0;"", ////"""),"'","""")&amp;SUBSTITUTE(TEXT(Regen!E310,""",""?00;"",""?-00;"",""?00;"", //"""),"'","""")</f>
        <v>032, 19271105, 1,    0, 00</v>
      </c>
    </row>
    <row r="311" spans="1:1" x14ac:dyDescent="0.25">
      <c r="A311" s="12" t="str">
        <f ca="1">TEXT(Regen!A311,"000\,")&amp;TEXT(Regen!B311,"?00000000")&amp;TEXT(Regen!C311,""",""?0")&amp;SUBSTITUTE(TEXT(Regen!D311,""",""????0;"",""???-0;"",""????0;"", ////"""),"'","""")&amp;SUBSTITUTE(TEXT(Regen!E311,""",""?00;"",""?-00;"",""?00;"", //"""),"'","""")</f>
        <v>032, 19271106, 1,    0, 00</v>
      </c>
    </row>
    <row r="312" spans="1:1" x14ac:dyDescent="0.25">
      <c r="A312" s="12" t="str">
        <f ca="1">TEXT(Regen!A312,"000\,")&amp;TEXT(Regen!B312,"?00000000")&amp;TEXT(Regen!C312,""",""?0")&amp;SUBSTITUTE(TEXT(Regen!D312,""",""????0;"",""???-0;"",""????0;"", ////"""),"'","""")&amp;SUBSTITUTE(TEXT(Regen!E312,""",""?00;"",""?-00;"",""?00;"", //"""),"'","""")</f>
        <v>032, 19271107, 1,   70, 00</v>
      </c>
    </row>
    <row r="313" spans="1:1" x14ac:dyDescent="0.25">
      <c r="A313" s="12" t="str">
        <f ca="1">TEXT(Regen!A313,"000\,")&amp;TEXT(Regen!B313,"?00000000")&amp;TEXT(Regen!C313,""",""?0")&amp;SUBSTITUTE(TEXT(Regen!D313,""",""????0;"",""???-0;"",""????0;"", ////"""),"'","""")&amp;SUBSTITUTE(TEXT(Regen!E313,""",""?00;"",""?-00;"",""?00;"", //"""),"'","""")</f>
        <v>032, 19271108, 1,    0, 00</v>
      </c>
    </row>
    <row r="314" spans="1:1" x14ac:dyDescent="0.25">
      <c r="A314" s="12" t="str">
        <f ca="1">TEXT(Regen!A314,"000\,")&amp;TEXT(Regen!B314,"?00000000")&amp;TEXT(Regen!C314,""",""?0")&amp;SUBSTITUTE(TEXT(Regen!D314,""",""????0;"",""???-0;"",""????0;"", ////"""),"'","""")&amp;SUBSTITUTE(TEXT(Regen!E314,""",""?00;"",""?-00;"",""?00;"", //"""),"'","""")</f>
        <v>032, 19271109, 1,    0, 00</v>
      </c>
    </row>
    <row r="315" spans="1:1" x14ac:dyDescent="0.25">
      <c r="A315" s="12" t="str">
        <f ca="1">TEXT(Regen!A315,"000\,")&amp;TEXT(Regen!B315,"?00000000")&amp;TEXT(Regen!C315,""",""?0")&amp;SUBSTITUTE(TEXT(Regen!D315,""",""????0;"",""???-0;"",""????0;"", ////"""),"'","""")&amp;SUBSTITUTE(TEXT(Regen!E315,""",""?00;"",""?-00;"",""?00;"", //"""),"'","""")</f>
        <v>032, 19271110, 1,    0, 00</v>
      </c>
    </row>
    <row r="316" spans="1:1" x14ac:dyDescent="0.25">
      <c r="A316" s="12" t="str">
        <f ca="1">TEXT(Regen!A316,"000\,")&amp;TEXT(Regen!B316,"?00000000")&amp;TEXT(Regen!C316,""",""?0")&amp;SUBSTITUTE(TEXT(Regen!D316,""",""????0;"",""???-0;"",""????0;"", ////"""),"'","""")&amp;SUBSTITUTE(TEXT(Regen!E316,""",""?00;"",""?-00;"",""?00;"", //"""),"'","""")</f>
        <v>032, 19271111, 1,    0, 00</v>
      </c>
    </row>
    <row r="317" spans="1:1" x14ac:dyDescent="0.25">
      <c r="A317" s="12" t="str">
        <f ca="1">TEXT(Regen!A317,"000\,")&amp;TEXT(Regen!B317,"?00000000")&amp;TEXT(Regen!C317,""",""?0")&amp;SUBSTITUTE(TEXT(Regen!D317,""",""????0;"",""???-0;"",""????0;"", ////"""),"'","""")&amp;SUBSTITUTE(TEXT(Regen!E317,""",""?00;"",""?-00;"",""?00;"", //"""),"'","""")</f>
        <v>032, 19271112, 1,    0, 00</v>
      </c>
    </row>
    <row r="318" spans="1:1" x14ac:dyDescent="0.25">
      <c r="A318" s="12" t="str">
        <f ca="1">TEXT(Regen!A318,"000\,")&amp;TEXT(Regen!B318,"?00000000")&amp;TEXT(Regen!C318,""",""?0")&amp;SUBSTITUTE(TEXT(Regen!D318,""",""????0;"",""???-0;"",""????0;"", ////"""),"'","""")&amp;SUBSTITUTE(TEXT(Regen!E318,""",""?00;"",""?-00;"",""?00;"", //"""),"'","""")</f>
        <v>032, 19271113, 1,    0, 00</v>
      </c>
    </row>
    <row r="319" spans="1:1" x14ac:dyDescent="0.25">
      <c r="A319" s="12" t="str">
        <f ca="1">TEXT(Regen!A319,"000\,")&amp;TEXT(Regen!B319,"?00000000")&amp;TEXT(Regen!C319,""",""?0")&amp;SUBSTITUTE(TEXT(Regen!D319,""",""????0;"",""???-0;"",""????0;"", ////"""),"'","""")&amp;SUBSTITUTE(TEXT(Regen!E319,""",""?00;"",""?-00;"",""?00;"", //"""),"'","""")</f>
        <v>032, 19271114, 1,    0, 00</v>
      </c>
    </row>
    <row r="320" spans="1:1" x14ac:dyDescent="0.25">
      <c r="A320" s="12" t="str">
        <f ca="1">TEXT(Regen!A320,"000\,")&amp;TEXT(Regen!B320,"?00000000")&amp;TEXT(Regen!C320,""",""?0")&amp;SUBSTITUTE(TEXT(Regen!D320,""",""????0;"",""???-0;"",""????0;"", ////"""),"'","""")&amp;SUBSTITUTE(TEXT(Regen!E320,""",""?00;"",""?-00;"",""?00;"", //"""),"'","""")</f>
        <v>032, 19271115, 1,    0, 00</v>
      </c>
    </row>
    <row r="321" spans="1:1" x14ac:dyDescent="0.25">
      <c r="A321" s="12" t="str">
        <f ca="1">TEXT(Regen!A321,"000\,")&amp;TEXT(Regen!B321,"?00000000")&amp;TEXT(Regen!C321,""",""?0")&amp;SUBSTITUTE(TEXT(Regen!D321,""",""????0;"",""???-0;"",""????0;"", ////"""),"'","""")&amp;SUBSTITUTE(TEXT(Regen!E321,""",""?00;"",""?-00;"",""?00;"", //"""),"'","""")</f>
        <v>032, 19271116, 1,    0, 00</v>
      </c>
    </row>
    <row r="322" spans="1:1" x14ac:dyDescent="0.25">
      <c r="A322" s="12" t="str">
        <f ca="1">TEXT(Regen!A322,"000\,")&amp;TEXT(Regen!B322,"?00000000")&amp;TEXT(Regen!C322,""",""?0")&amp;SUBSTITUTE(TEXT(Regen!D322,""",""????0;"",""???-0;"",""????0;"", ////"""),"'","""")&amp;SUBSTITUTE(TEXT(Regen!E322,""",""?00;"",""?-00;"",""?00;"", //"""),"'","""")</f>
        <v>032, 19271117, 1,    0, 00</v>
      </c>
    </row>
    <row r="323" spans="1:1" x14ac:dyDescent="0.25">
      <c r="A323" s="12" t="str">
        <f ca="1">TEXT(Regen!A323,"000\,")&amp;TEXT(Regen!B323,"?00000000")&amp;TEXT(Regen!C323,""",""?0")&amp;SUBSTITUTE(TEXT(Regen!D323,""",""????0;"",""???-0;"",""????0;"", ////"""),"'","""")&amp;SUBSTITUTE(TEXT(Regen!E323,""",""?00;"",""?-00;"",""?00;"", //"""),"'","""")</f>
        <v>032, 19271118, 1,    0, 00</v>
      </c>
    </row>
    <row r="324" spans="1:1" x14ac:dyDescent="0.25">
      <c r="A324" s="12" t="str">
        <f ca="1">TEXT(Regen!A324,"000\,")&amp;TEXT(Regen!B324,"?00000000")&amp;TEXT(Regen!C324,""",""?0")&amp;SUBSTITUTE(TEXT(Regen!D324,""",""????0;"",""???-0;"",""????0;"", ////"""),"'","""")&amp;SUBSTITUTE(TEXT(Regen!E324,""",""?00;"",""?-00;"",""?00;"", //"""),"'","""")</f>
        <v>032, 19271119, 1,    0, 00</v>
      </c>
    </row>
    <row r="325" spans="1:1" x14ac:dyDescent="0.25">
      <c r="A325" s="12" t="str">
        <f ca="1">TEXT(Regen!A325,"000\,")&amp;TEXT(Regen!B325,"?00000000")&amp;TEXT(Regen!C325,""",""?0")&amp;SUBSTITUTE(TEXT(Regen!D325,""",""????0;"",""???-0;"",""????0;"", ////"""),"'","""")&amp;SUBSTITUTE(TEXT(Regen!E325,""",""?00;"",""?-00;"",""?00;"", //"""),"'","""")</f>
        <v>032, 19271120, 1,    0, 00</v>
      </c>
    </row>
    <row r="326" spans="1:1" x14ac:dyDescent="0.25">
      <c r="A326" s="12" t="str">
        <f ca="1">TEXT(Regen!A326,"000\,")&amp;TEXT(Regen!B326,"?00000000")&amp;TEXT(Regen!C326,""",""?0")&amp;SUBSTITUTE(TEXT(Regen!D326,""",""????0;"",""???-0;"",""????0;"", ////"""),"'","""")&amp;SUBSTITUTE(TEXT(Regen!E326,""",""?00;"",""?-00;"",""?00;"", //"""),"'","""")</f>
        <v>032, 19271121, 1,  150, 00</v>
      </c>
    </row>
    <row r="327" spans="1:1" x14ac:dyDescent="0.25">
      <c r="A327" s="12" t="str">
        <f ca="1">TEXT(Regen!A327,"000\,")&amp;TEXT(Regen!B327,"?00000000")&amp;TEXT(Regen!C327,""",""?0")&amp;SUBSTITUTE(TEXT(Regen!D327,""",""????0;"",""???-0;"",""????0;"", ////"""),"'","""")&amp;SUBSTITUTE(TEXT(Regen!E327,""",""?00;"",""?-00;"",""?00;"", //"""),"'","""")</f>
        <v>032, 19271122, 1,  200, 00</v>
      </c>
    </row>
    <row r="328" spans="1:1" x14ac:dyDescent="0.25">
      <c r="A328" s="12" t="str">
        <f ca="1">TEXT(Regen!A328,"000\,")&amp;TEXT(Regen!B328,"?00000000")&amp;TEXT(Regen!C328,""",""?0")&amp;SUBSTITUTE(TEXT(Regen!D328,""",""????0;"",""???-0;"",""????0;"", ////"""),"'","""")&amp;SUBSTITUTE(TEXT(Regen!E328,""",""?00;"",""?-00;"",""?00;"", //"""),"'","""")</f>
        <v>032, 19271123, 1,  225, 00</v>
      </c>
    </row>
    <row r="329" spans="1:1" x14ac:dyDescent="0.25">
      <c r="A329" s="12" t="str">
        <f ca="1">TEXT(Regen!A329,"000\,")&amp;TEXT(Regen!B329,"?00000000")&amp;TEXT(Regen!C329,""",""?0")&amp;SUBSTITUTE(TEXT(Regen!D329,""",""????0;"",""???-0;"",""????0;"", ////"""),"'","""")&amp;SUBSTITUTE(TEXT(Regen!E329,""",""?00;"",""?-00;"",""?00;"", //"""),"'","""")</f>
        <v>032, 19271124, 1,    0, 00</v>
      </c>
    </row>
    <row r="330" spans="1:1" x14ac:dyDescent="0.25">
      <c r="A330" s="12" t="str">
        <f ca="1">TEXT(Regen!A330,"000\,")&amp;TEXT(Regen!B330,"?00000000")&amp;TEXT(Regen!C330,""",""?0")&amp;SUBSTITUTE(TEXT(Regen!D330,""",""????0;"",""???-0;"",""????0;"", ////"""),"'","""")&amp;SUBSTITUTE(TEXT(Regen!E330,""",""?00;"",""?-00;"",""?00;"", //"""),"'","""")</f>
        <v>032, 19271125, 1,  110, 00</v>
      </c>
    </row>
    <row r="331" spans="1:1" x14ac:dyDescent="0.25">
      <c r="A331" s="12" t="str">
        <f ca="1">TEXT(Regen!A331,"000\,")&amp;TEXT(Regen!B331,"?00000000")&amp;TEXT(Regen!C331,""",""?0")&amp;SUBSTITUTE(TEXT(Regen!D331,""",""????0;"",""???-0;"",""????0;"", ////"""),"'","""")&amp;SUBSTITUTE(TEXT(Regen!E331,""",""?00;"",""?-00;"",""?00;"", //"""),"'","""")</f>
        <v>032, 19271126, 1,    0, 00</v>
      </c>
    </row>
    <row r="332" spans="1:1" x14ac:dyDescent="0.25">
      <c r="A332" s="12" t="str">
        <f ca="1">TEXT(Regen!A332,"000\,")&amp;TEXT(Regen!B332,"?00000000")&amp;TEXT(Regen!C332,""",""?0")&amp;SUBSTITUTE(TEXT(Regen!D332,""",""????0;"",""???-0;"",""????0;"", ////"""),"'","""")&amp;SUBSTITUTE(TEXT(Regen!E332,""",""?00;"",""?-00;"",""?00;"", //"""),"'","""")</f>
        <v>032, 19271127, 1,   40, 00</v>
      </c>
    </row>
    <row r="333" spans="1:1" x14ac:dyDescent="0.25">
      <c r="A333" s="12" t="str">
        <f ca="1">TEXT(Regen!A333,"000\,")&amp;TEXT(Regen!B333,"?00000000")&amp;TEXT(Regen!C333,""",""?0")&amp;SUBSTITUTE(TEXT(Regen!D333,""",""????0;"",""???-0;"",""????0;"", ////"""),"'","""")&amp;SUBSTITUTE(TEXT(Regen!E333,""",""?00;"",""?-00;"",""?00;"", //"""),"'","""")</f>
        <v>032, 19271128, 1,  165, 00</v>
      </c>
    </row>
    <row r="334" spans="1:1" x14ac:dyDescent="0.25">
      <c r="A334" s="12" t="str">
        <f ca="1">TEXT(Regen!A334,"000\,")&amp;TEXT(Regen!B334,"?00000000")&amp;TEXT(Regen!C334,""",""?0")&amp;SUBSTITUTE(TEXT(Regen!D334,""",""????0;"",""???-0;"",""????0;"", ////"""),"'","""")&amp;SUBSTITUTE(TEXT(Regen!E334,""",""?00;"",""?-00;"",""?00;"", //"""),"'","""")</f>
        <v>032, 19271129, 1,  170, 00</v>
      </c>
    </row>
    <row r="335" spans="1:1" x14ac:dyDescent="0.25">
      <c r="A335" s="12" t="str">
        <f ca="1">TEXT(Regen!A335,"000\,")&amp;TEXT(Regen!B335,"?00000000")&amp;TEXT(Regen!C335,""",""?0")&amp;SUBSTITUTE(TEXT(Regen!D335,""",""????0;"",""???-0;"",""????0;"", ////"""),"'","""")&amp;SUBSTITUTE(TEXT(Regen!E335,""",""?00;"",""?-00;"",""?00;"", //"""),"'","""")</f>
        <v>032, 19271130, 1,    0, 00</v>
      </c>
    </row>
    <row r="336" spans="1:1" x14ac:dyDescent="0.25">
      <c r="A336" s="12" t="str">
        <f ca="1">TEXT(Regen!A336,"000\,")&amp;TEXT(Regen!B336,"?00000000")&amp;TEXT(Regen!C336,""",""?0")&amp;SUBSTITUTE(TEXT(Regen!D336,""",""????0;"",""???-0;"",""????0;"", ////"""),"'","""")&amp;SUBSTITUTE(TEXT(Regen!E336,""",""?00;"",""?-00;"",""?00;"", //"""),"'","""")</f>
        <v>032, 19271201, 1,  165, 00</v>
      </c>
    </row>
    <row r="337" spans="1:1" x14ac:dyDescent="0.25">
      <c r="A337" s="12" t="str">
        <f ca="1">TEXT(Regen!A337,"000\,")&amp;TEXT(Regen!B337,"?00000000")&amp;TEXT(Regen!C337,""",""?0")&amp;SUBSTITUTE(TEXT(Regen!D337,""",""????0;"",""???-0;"",""????0;"", ////"""),"'","""")&amp;SUBSTITUTE(TEXT(Regen!E337,""",""?00;"",""?-00;"",""?00;"", //"""),"'","""")</f>
        <v>032, 19271202, 1,    0, 00</v>
      </c>
    </row>
    <row r="338" spans="1:1" x14ac:dyDescent="0.25">
      <c r="A338" s="12" t="str">
        <f ca="1">TEXT(Regen!A338,"000\,")&amp;TEXT(Regen!B338,"?00000000")&amp;TEXT(Regen!C338,""",""?0")&amp;SUBSTITUTE(TEXT(Regen!D338,""",""????0;"",""???-0;"",""????0;"", ////"""),"'","""")&amp;SUBSTITUTE(TEXT(Regen!E338,""",""?00;"",""?-00;"",""?00;"", //"""),"'","""")</f>
        <v>032, 19271203, 1,  100, 00</v>
      </c>
    </row>
    <row r="339" spans="1:1" x14ac:dyDescent="0.25">
      <c r="A339" s="12" t="str">
        <f ca="1">TEXT(Regen!A339,"000\,")&amp;TEXT(Regen!B339,"?00000000")&amp;TEXT(Regen!C339,""",""?0")&amp;SUBSTITUTE(TEXT(Regen!D339,""",""????0;"",""???-0;"",""????0;"", ////"""),"'","""")&amp;SUBSTITUTE(TEXT(Regen!E339,""",""?00;"",""?-00;"",""?00;"", //"""),"'","""")</f>
        <v>032, 19271204, 1,   50, 00</v>
      </c>
    </row>
    <row r="340" spans="1:1" x14ac:dyDescent="0.25">
      <c r="A340" s="12" t="str">
        <f ca="1">TEXT(Regen!A340,"000\,")&amp;TEXT(Regen!B340,"?00000000")&amp;TEXT(Regen!C340,""",""?0")&amp;SUBSTITUTE(TEXT(Regen!D340,""",""????0;"",""???-0;"",""????0;"", ////"""),"'","""")&amp;SUBSTITUTE(TEXT(Regen!E340,""",""?00;"",""?-00;"",""?00;"", //"""),"'","""")</f>
        <v>032, 19271205, 1,    0, 00</v>
      </c>
    </row>
    <row r="341" spans="1:1" x14ac:dyDescent="0.25">
      <c r="A341" s="12" t="str">
        <f ca="1">TEXT(Regen!A341,"000\,")&amp;TEXT(Regen!B341,"?00000000")&amp;TEXT(Regen!C341,""",""?0")&amp;SUBSTITUTE(TEXT(Regen!D341,""",""????0;"",""???-0;"",""????0;"", ////"""),"'","""")&amp;SUBSTITUTE(TEXT(Regen!E341,""",""?00;"",""?-00;"",""?00;"", //"""),"'","""")</f>
        <v>032, 19271206, 1,    0, 00</v>
      </c>
    </row>
    <row r="342" spans="1:1" x14ac:dyDescent="0.25">
      <c r="A342" s="12" t="str">
        <f ca="1">TEXT(Regen!A342,"000\,")&amp;TEXT(Regen!B342,"?00000000")&amp;TEXT(Regen!C342,""",""?0")&amp;SUBSTITUTE(TEXT(Regen!D342,""",""????0;"",""???-0;"",""????0;"", ////"""),"'","""")&amp;SUBSTITUTE(TEXT(Regen!E342,""",""?00;"",""?-00;"",""?00;"", //"""),"'","""")</f>
        <v>032, 19271207, 1,  180, 00</v>
      </c>
    </row>
    <row r="343" spans="1:1" x14ac:dyDescent="0.25">
      <c r="A343" s="12" t="str">
        <f ca="1">TEXT(Regen!A343,"000\,")&amp;TEXT(Regen!B343,"?00000000")&amp;TEXT(Regen!C343,""",""?0")&amp;SUBSTITUTE(TEXT(Regen!D343,""",""????0;"",""???-0;"",""????0;"", ////"""),"'","""")&amp;SUBSTITUTE(TEXT(Regen!E343,""",""?00;"",""?-00;"",""?00;"", //"""),"'","""")</f>
        <v>032, 19271208, 1,    0, 00</v>
      </c>
    </row>
    <row r="344" spans="1:1" x14ac:dyDescent="0.25">
      <c r="A344" s="12" t="str">
        <f ca="1">TEXT(Regen!A344,"000\,")&amp;TEXT(Regen!B344,"?00000000")&amp;TEXT(Regen!C344,""",""?0")&amp;SUBSTITUTE(TEXT(Regen!D344,""",""????0;"",""???-0;"",""????0;"", ////"""),"'","""")&amp;SUBSTITUTE(TEXT(Regen!E344,""",""?00;"",""?-00;"",""?00;"", //"""),"'","""")</f>
        <v>032, 19271209, 1,    0, 00</v>
      </c>
    </row>
    <row r="345" spans="1:1" x14ac:dyDescent="0.25">
      <c r="A345" s="12" t="str">
        <f ca="1">TEXT(Regen!A345,"000\,")&amp;TEXT(Regen!B345,"?00000000")&amp;TEXT(Regen!C345,""",""?0")&amp;SUBSTITUTE(TEXT(Regen!D345,""",""????0;"",""???-0;"",""????0;"", ////"""),"'","""")&amp;SUBSTITUTE(TEXT(Regen!E345,""",""?00;"",""?-00;"",""?00;"", //"""),"'","""")</f>
        <v>032, 19271210, 1,    0, 00</v>
      </c>
    </row>
    <row r="346" spans="1:1" x14ac:dyDescent="0.25">
      <c r="A346" s="12" t="str">
        <f ca="1">TEXT(Regen!A346,"000\,")&amp;TEXT(Regen!B346,"?00000000")&amp;TEXT(Regen!C346,""",""?0")&amp;SUBSTITUTE(TEXT(Regen!D346,""",""????0;"",""???-0;"",""????0;"", ////"""),"'","""")&amp;SUBSTITUTE(TEXT(Regen!E346,""",""?00;"",""?-00;"",""?00;"", //"""),"'","""")</f>
        <v>032, 19271211, 1,   30, 00</v>
      </c>
    </row>
    <row r="347" spans="1:1" x14ac:dyDescent="0.25">
      <c r="A347" s="12" t="str">
        <f ca="1">TEXT(Regen!A347,"000\,")&amp;TEXT(Regen!B347,"?00000000")&amp;TEXT(Regen!C347,""",""?0")&amp;SUBSTITUTE(TEXT(Regen!D347,""",""????0;"",""???-0;"",""????0;"", ////"""),"'","""")&amp;SUBSTITUTE(TEXT(Regen!E347,""",""?00;"",""?-00;"",""?00;"", //"""),"'","""")</f>
        <v>032, 19271212, 1,    0, 00</v>
      </c>
    </row>
    <row r="348" spans="1:1" x14ac:dyDescent="0.25">
      <c r="A348" s="12" t="str">
        <f ca="1">TEXT(Regen!A348,"000\,")&amp;TEXT(Regen!B348,"?00000000")&amp;TEXT(Regen!C348,""",""?0")&amp;SUBSTITUTE(TEXT(Regen!D348,""",""????0;"",""???-0;"",""????0;"", ////"""),"'","""")&amp;SUBSTITUTE(TEXT(Regen!E348,""",""?00;"",""?-00;"",""?00;"", //"""),"'","""")</f>
        <v>032, 19271213, 1,    0, 00</v>
      </c>
    </row>
    <row r="349" spans="1:1" x14ac:dyDescent="0.25">
      <c r="A349" s="12" t="str">
        <f ca="1">TEXT(Regen!A349,"000\,")&amp;TEXT(Regen!B349,"?00000000")&amp;TEXT(Regen!C349,""",""?0")&amp;SUBSTITUTE(TEXT(Regen!D349,""",""????0;"",""???-0;"",""????0;"", ////"""),"'","""")&amp;SUBSTITUTE(TEXT(Regen!E349,""",""?00;"",""?-00;"",""?00;"", //"""),"'","""")</f>
        <v>032, 19271214, 1,    0, 00</v>
      </c>
    </row>
    <row r="350" spans="1:1" x14ac:dyDescent="0.25">
      <c r="A350" s="12" t="str">
        <f ca="1">TEXT(Regen!A350,"000\,")&amp;TEXT(Regen!B350,"?00000000")&amp;TEXT(Regen!C350,""",""?0")&amp;SUBSTITUTE(TEXT(Regen!D350,""",""????0;"",""???-0;"",""????0;"", ////"""),"'","""")&amp;SUBSTITUTE(TEXT(Regen!E350,""",""?00;"",""?-00;"",""?00;"", //"""),"'","""")</f>
        <v>032, 19271215, 1,  100, 00</v>
      </c>
    </row>
    <row r="351" spans="1:1" x14ac:dyDescent="0.25">
      <c r="A351" s="12" t="str">
        <f ca="1">TEXT(Regen!A351,"000\,")&amp;TEXT(Regen!B351,"?00000000")&amp;TEXT(Regen!C351,""",""?0")&amp;SUBSTITUTE(TEXT(Regen!D351,""",""????0;"",""???-0;"",""????0;"", ////"""),"'","""")&amp;SUBSTITUTE(TEXT(Regen!E351,""",""?00;"",""?-00;"",""?00;"", //"""),"'","""")</f>
        <v>032, 19271216, 1,   80, 00</v>
      </c>
    </row>
    <row r="352" spans="1:1" x14ac:dyDescent="0.25">
      <c r="A352" s="12" t="str">
        <f ca="1">TEXT(Regen!A352,"000\,")&amp;TEXT(Regen!B352,"?00000000")&amp;TEXT(Regen!C352,""",""?0")&amp;SUBSTITUTE(TEXT(Regen!D352,""",""????0;"",""???-0;"",""????0;"", ////"""),"'","""")&amp;SUBSTITUTE(TEXT(Regen!E352,""",""?00;"",""?-00;"",""?00;"", //"""),"'","""")</f>
        <v>032, 19271217, 1,   25, 00</v>
      </c>
    </row>
    <row r="353" spans="1:1" x14ac:dyDescent="0.25">
      <c r="A353" s="12" t="str">
        <f ca="1">TEXT(Regen!A353,"000\,")&amp;TEXT(Regen!B353,"?00000000")&amp;TEXT(Regen!C353,""",""?0")&amp;SUBSTITUTE(TEXT(Regen!D353,""",""????0;"",""???-0;"",""????0;"", ////"""),"'","""")&amp;SUBSTITUTE(TEXT(Regen!E353,""",""?00;"",""?-00;"",""?00;"", //"""),"'","""")</f>
        <v>032, 19271218, 1,  260, 00</v>
      </c>
    </row>
    <row r="354" spans="1:1" x14ac:dyDescent="0.25">
      <c r="A354" s="12" t="str">
        <f ca="1">TEXT(Regen!A354,"000\,")&amp;TEXT(Regen!B354,"?00000000")&amp;TEXT(Regen!C354,""",""?0")&amp;SUBSTITUTE(TEXT(Regen!D354,""",""????0;"",""???-0;"",""????0;"", ////"""),"'","""")&amp;SUBSTITUTE(TEXT(Regen!E354,""",""?00;"",""?-00;"",""?00;"", //"""),"'","""")</f>
        <v>032, 19271219, 1,    0, 00</v>
      </c>
    </row>
    <row r="355" spans="1:1" x14ac:dyDescent="0.25">
      <c r="A355" s="12" t="str">
        <f ca="1">TEXT(Regen!A355,"000\,")&amp;TEXT(Regen!B355,"?00000000")&amp;TEXT(Regen!C355,""",""?0")&amp;SUBSTITUTE(TEXT(Regen!D355,""",""????0;"",""???-0;"",""????0;"", ////"""),"'","""")&amp;SUBSTITUTE(TEXT(Regen!E355,""",""?00;"",""?-00;"",""?00;"", //"""),"'","""")</f>
        <v>032, 19271220, 1,    0, 00</v>
      </c>
    </row>
    <row r="356" spans="1:1" x14ac:dyDescent="0.25">
      <c r="A356" s="12" t="str">
        <f ca="1">TEXT(Regen!A356,"000\,")&amp;TEXT(Regen!B356,"?00000000")&amp;TEXT(Regen!C356,""",""?0")&amp;SUBSTITUTE(TEXT(Regen!D356,""",""????0;"",""???-0;"",""????0;"", ////"""),"'","""")&amp;SUBSTITUTE(TEXT(Regen!E356,""",""?00;"",""?-00;"",""?00;"", //"""),"'","""")</f>
        <v>032, 19271221, 1,    0, 00</v>
      </c>
    </row>
    <row r="357" spans="1:1" x14ac:dyDescent="0.25">
      <c r="A357" s="12" t="str">
        <f ca="1">TEXT(Regen!A357,"000\,")&amp;TEXT(Regen!B357,"?00000000")&amp;TEXT(Regen!C357,""",""?0")&amp;SUBSTITUTE(TEXT(Regen!D357,""",""????0;"",""???-0;"",""????0;"", ////"""),"'","""")&amp;SUBSTITUTE(TEXT(Regen!E357,""",""?00;"",""?-00;"",""?00;"", //"""),"'","""")</f>
        <v>032, 19271222, 1,    0, 00</v>
      </c>
    </row>
    <row r="358" spans="1:1" x14ac:dyDescent="0.25">
      <c r="A358" s="12" t="str">
        <f ca="1">TEXT(Regen!A358,"000\,")&amp;TEXT(Regen!B358,"?00000000")&amp;TEXT(Regen!C358,""",""?0")&amp;SUBSTITUTE(TEXT(Regen!D358,""",""????0;"",""???-0;"",""????0;"", ////"""),"'","""")&amp;SUBSTITUTE(TEXT(Regen!E358,""",""?00;"",""?-00;"",""?00;"", //"""),"'","""")</f>
        <v>032, 19271223, 1,    0, 00</v>
      </c>
    </row>
    <row r="359" spans="1:1" x14ac:dyDescent="0.25">
      <c r="A359" s="12" t="str">
        <f ca="1">TEXT(Regen!A359,"000\,")&amp;TEXT(Regen!B359,"?00000000")&amp;TEXT(Regen!C359,""",""?0")&amp;SUBSTITUTE(TEXT(Regen!D359,""",""????0;"",""???-0;"",""????0;"", ////"""),"'","""")&amp;SUBSTITUTE(TEXT(Regen!E359,""",""?00;"",""?-00;"",""?00;"", //"""),"'","""")</f>
        <v>032, 19271224, 1,   35, 00</v>
      </c>
    </row>
    <row r="360" spans="1:1" x14ac:dyDescent="0.25">
      <c r="A360" s="12" t="str">
        <f ca="1">TEXT(Regen!A360,"000\,")&amp;TEXT(Regen!B360,"?00000000")&amp;TEXT(Regen!C360,""",""?0")&amp;SUBSTITUTE(TEXT(Regen!D360,""",""????0;"",""???-0;"",""????0;"", ////"""),"'","""")&amp;SUBSTITUTE(TEXT(Regen!E360,""",""?00;"",""?-00;"",""?00;"", //"""),"'","""")</f>
        <v>032, 19271225, 1,   40, 00</v>
      </c>
    </row>
    <row r="361" spans="1:1" x14ac:dyDescent="0.25">
      <c r="A361" s="12" t="str">
        <f ca="1">TEXT(Regen!A361,"000\,")&amp;TEXT(Regen!B361,"?00000000")&amp;TEXT(Regen!C361,""",""?0")&amp;SUBSTITUTE(TEXT(Regen!D361,""",""????0;"",""???-0;"",""????0;"", ////"""),"'","""")&amp;SUBSTITUTE(TEXT(Regen!E361,""",""?00;"",""?-00;"",""?00;"", //"""),"'","""")</f>
        <v>032, 19271226, 1,   80, 00</v>
      </c>
    </row>
    <row r="362" spans="1:1" x14ac:dyDescent="0.25">
      <c r="A362" s="12" t="str">
        <f ca="1">TEXT(Regen!A362,"000\,")&amp;TEXT(Regen!B362,"?00000000")&amp;TEXT(Regen!C362,""",""?0")&amp;SUBSTITUTE(TEXT(Regen!D362,""",""????0;"",""???-0;"",""????0;"", ////"""),"'","""")&amp;SUBSTITUTE(TEXT(Regen!E362,""",""?00;"",""?-00;"",""?00;"", //"""),"'","""")</f>
        <v>032, 19271227, 1,    0, 00</v>
      </c>
    </row>
    <row r="363" spans="1:1" x14ac:dyDescent="0.25">
      <c r="A363" s="12" t="str">
        <f ca="1">TEXT(Regen!A363,"000\,")&amp;TEXT(Regen!B363,"?00000000")&amp;TEXT(Regen!C363,""",""?0")&amp;SUBSTITUTE(TEXT(Regen!D363,""",""????0;"",""???-0;"",""????0;"", ////"""),"'","""")&amp;SUBSTITUTE(TEXT(Regen!E363,""",""?00;"",""?-00;"",""?00;"", //"""),"'","""")</f>
        <v>032, 19271228, 1,    0, 00</v>
      </c>
    </row>
    <row r="364" spans="1:1" x14ac:dyDescent="0.25">
      <c r="A364" s="12" t="str">
        <f ca="1">TEXT(Regen!A364,"000\,")&amp;TEXT(Regen!B364,"?00000000")&amp;TEXT(Regen!C364,""",""?0")&amp;SUBSTITUTE(TEXT(Regen!D364,""",""????0;"",""???-0;"",""????0;"", ////"""),"'","""")&amp;SUBSTITUTE(TEXT(Regen!E364,""",""?00;"",""?-00;"",""?00;"", //"""),"'","""")</f>
        <v>032, 19271229, 1,   60, 00</v>
      </c>
    </row>
    <row r="365" spans="1:1" x14ac:dyDescent="0.25">
      <c r="A365" s="12" t="str">
        <f ca="1">TEXT(Regen!A365,"000\,")&amp;TEXT(Regen!B365,"?00000000")&amp;TEXT(Regen!C365,""",""?0")&amp;SUBSTITUTE(TEXT(Regen!D365,""",""????0;"",""???-0;"",""????0;"", ////"""),"'","""")&amp;SUBSTITUTE(TEXT(Regen!E365,""",""?00;"",""?-00;"",""?00;"", //"""),"'","""")</f>
        <v>032, 19271230, 1,    0, 00</v>
      </c>
    </row>
    <row r="366" spans="1:1" x14ac:dyDescent="0.25">
      <c r="A366" s="12" t="str">
        <f ca="1">TEXT(Regen!A366,"000\,")&amp;TEXT(Regen!B366,"?00000000")&amp;TEXT(Regen!C366,""",""?0")&amp;SUBSTITUTE(TEXT(Regen!D366,""",""????0;"",""???-0;"",""????0;"", ////"""),"'","""")&amp;SUBSTITUTE(TEXT(Regen!E366,""",""?00;"",""?-00;"",""?00;"", //"""),"'","""")</f>
        <v>032, 19271231, 1,    0, 00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A366"/>
  <sheetViews>
    <sheetView workbookViewId="0"/>
  </sheetViews>
  <sheetFormatPr defaultRowHeight="15" x14ac:dyDescent="0.25"/>
  <cols>
    <col min="1" max="1" width="30.7109375" customWidth="1"/>
  </cols>
  <sheetData>
    <row r="1" spans="1:1" x14ac:dyDescent="0.25">
      <c r="A1" s="12" t="str">
        <f>""""&amp;Overig!A1&amp;""", """&amp;Overig!B1&amp;""", """&amp;Overig!C1&amp;""", """&amp;Overig!D1&amp;""""</f>
        <v>"Stn", "Datum", "P", "qP"</v>
      </c>
    </row>
    <row r="2" spans="1:1" x14ac:dyDescent="0.25">
      <c r="A2" s="12" t="str">
        <f ca="1">TEXT(Overig!A2,"000\,")&amp;TEXT(Overig!B2,"?00000000")&amp;SUBSTITUTE(TEXT(IF(ISTEXT(Overig!C2),Overig!C2,10*Overig!C2),""",""????0;"",""???-0;"",""????0;"", ////"""),"'","""")&amp;SUBSTITUTE(TEXT(Overig!D2,""",""?00;"",""?-00;"",""?00;"", //"""),"'","""")</f>
        <v>032, 19270101, 7665, 00</v>
      </c>
    </row>
    <row r="3" spans="1:1" x14ac:dyDescent="0.25">
      <c r="A3" s="12" t="str">
        <f ca="1">TEXT(Overig!A3,"000\,")&amp;TEXT(Overig!B3,"?00000000")&amp;SUBSTITUTE(TEXT(IF(ISTEXT(Overig!C3),Overig!C3,10*Overig!C3),""",""????0;"",""???-0;"",""????0;"", ////"""),"'","""")&amp;SUBSTITUTE(TEXT(Overig!D3,""",""?00;"",""?-00;"",""?00;"", //"""),"'","""")</f>
        <v>032, 19270102, 7665, 00</v>
      </c>
    </row>
    <row r="4" spans="1:1" x14ac:dyDescent="0.25">
      <c r="A4" s="12" t="str">
        <f ca="1">TEXT(Overig!A4,"000\,")&amp;TEXT(Overig!B4,"?00000000")&amp;SUBSTITUTE(TEXT(IF(ISTEXT(Overig!C4),Overig!C4,10*Overig!C4),""",""????0;"",""???-0;"",""????0;"", ////"""),"'","""")&amp;SUBSTITUTE(TEXT(Overig!D4,""",""?00;"",""?-00;"",""?00;"", //"""),"'","""")</f>
        <v>032, 19270103, 7670, 00</v>
      </c>
    </row>
    <row r="5" spans="1:1" x14ac:dyDescent="0.25">
      <c r="A5" s="12" t="str">
        <f ca="1">TEXT(Overig!A5,"000\,")&amp;TEXT(Overig!B5,"?00000000")&amp;SUBSTITUTE(TEXT(IF(ISTEXT(Overig!C5),Overig!C5,10*Overig!C5),""",""????0;"",""???-0;"",""????0;"", ////"""),"'","""")&amp;SUBSTITUTE(TEXT(Overig!D5,""",""?00;"",""?-00;"",""?00;"", //"""),"'","""")</f>
        <v>032, 19270104, 7670, 00</v>
      </c>
    </row>
    <row r="6" spans="1:1" x14ac:dyDescent="0.25">
      <c r="A6" s="12" t="str">
        <f ca="1">TEXT(Overig!A6,"000\,")&amp;TEXT(Overig!B6,"?00000000")&amp;SUBSTITUTE(TEXT(IF(ISTEXT(Overig!C6),Overig!C6,10*Overig!C6),""",""????0;"",""???-0;"",""????0;"", ////"""),"'","""")&amp;SUBSTITUTE(TEXT(Overig!D6,""",""?00;"",""?-00;"",""?00;"", //"""),"'","""")</f>
        <v>032, 19270105, 7675, 00</v>
      </c>
    </row>
    <row r="7" spans="1:1" x14ac:dyDescent="0.25">
      <c r="A7" s="12" t="str">
        <f ca="1">TEXT(Overig!A7,"000\,")&amp;TEXT(Overig!B7,"?00000000")&amp;SUBSTITUTE(TEXT(IF(ISTEXT(Overig!C7),Overig!C7,10*Overig!C7),""",""????0;"",""???-0;"",""????0;"", ////"""),"'","""")&amp;SUBSTITUTE(TEXT(Overig!D7,""",""?00;"",""?-00;"",""?00;"", //"""),"'","""")</f>
        <v>032, 19270106, 7670, 00</v>
      </c>
    </row>
    <row r="8" spans="1:1" x14ac:dyDescent="0.25">
      <c r="A8" s="12" t="str">
        <f ca="1">TEXT(Overig!A8,"000\,")&amp;TEXT(Overig!B8,"?00000000")&amp;SUBSTITUTE(TEXT(IF(ISTEXT(Overig!C8),Overig!C8,10*Overig!C8),""",""????0;"",""???-0;"",""????0;"", ////"""),"'","""")&amp;SUBSTITUTE(TEXT(Overig!D8,""",""?00;"",""?-00;"",""?00;"", //"""),"'","""")</f>
        <v>032, 19270107, 7660, 00</v>
      </c>
    </row>
    <row r="9" spans="1:1" x14ac:dyDescent="0.25">
      <c r="A9" s="12" t="str">
        <f ca="1">TEXT(Overig!A9,"000\,")&amp;TEXT(Overig!B9,"?00000000")&amp;SUBSTITUTE(TEXT(IF(ISTEXT(Overig!C9),Overig!C9,10*Overig!C9),""",""????0;"",""???-0;"",""????0;"", ////"""),"'","""")&amp;SUBSTITUTE(TEXT(Overig!D9,""",""?00;"",""?-00;"",""?00;"", //"""),"'","""")</f>
        <v>032, 19270108, 7655, 00</v>
      </c>
    </row>
    <row r="10" spans="1:1" x14ac:dyDescent="0.25">
      <c r="A10" s="12" t="str">
        <f ca="1">TEXT(Overig!A10,"000\,")&amp;TEXT(Overig!B10,"?00000000")&amp;SUBSTITUTE(TEXT(IF(ISTEXT(Overig!C10),Overig!C10,10*Overig!C10),""",""????0;"",""???-0;"",""????0;"", ////"""),"'","""")&amp;SUBSTITUTE(TEXT(Overig!D10,""",""?00;"",""?-00;"",""?00;"", //"""),"'","""")</f>
        <v>032, 19270109, 7645, 00</v>
      </c>
    </row>
    <row r="11" spans="1:1" x14ac:dyDescent="0.25">
      <c r="A11" s="12" t="str">
        <f ca="1">TEXT(Overig!A11,"000\,")&amp;TEXT(Overig!B11,"?00000000")&amp;SUBSTITUTE(TEXT(IF(ISTEXT(Overig!C11),Overig!C11,10*Overig!C11),""",""????0;"",""???-0;"",""????0;"", ////"""),"'","""")&amp;SUBSTITUTE(TEXT(Overig!D11,""",""?00;"",""?-00;"",""?00;"", //"""),"'","""")</f>
        <v>032, 19270110, 7645, 00</v>
      </c>
    </row>
    <row r="12" spans="1:1" x14ac:dyDescent="0.25">
      <c r="A12" s="12" t="str">
        <f ca="1">TEXT(Overig!A12,"000\,")&amp;TEXT(Overig!B12,"?00000000")&amp;SUBSTITUTE(TEXT(IF(ISTEXT(Overig!C12),Overig!C12,10*Overig!C12),""",""????0;"",""???-0;"",""????0;"", ////"""),"'","""")&amp;SUBSTITUTE(TEXT(Overig!D12,""",""?00;"",""?-00;"",""?00;"", //"""),"'","""")</f>
        <v>032, 19270111, 7650, 00</v>
      </c>
    </row>
    <row r="13" spans="1:1" x14ac:dyDescent="0.25">
      <c r="A13" s="12" t="str">
        <f ca="1">TEXT(Overig!A13,"000\,")&amp;TEXT(Overig!B13,"?00000000")&amp;SUBSTITUTE(TEXT(IF(ISTEXT(Overig!C13),Overig!C13,10*Overig!C13),""",""????0;"",""???-0;"",""????0;"", ////"""),"'","""")&amp;SUBSTITUTE(TEXT(Overig!D13,""",""?00;"",""?-00;"",""?00;"", //"""),"'","""")</f>
        <v>032, 19270112, 7645, 00</v>
      </c>
    </row>
    <row r="14" spans="1:1" x14ac:dyDescent="0.25">
      <c r="A14" s="12" t="str">
        <f ca="1">TEXT(Overig!A14,"000\,")&amp;TEXT(Overig!B14,"?00000000")&amp;SUBSTITUTE(TEXT(IF(ISTEXT(Overig!C14),Overig!C14,10*Overig!C14),""",""????0;"",""???-0;"",""????0;"", ////"""),"'","""")&amp;SUBSTITUTE(TEXT(Overig!D14,""",""?00;"",""?-00;"",""?00;"", //"""),"'","""")</f>
        <v>032, 19270113, 7655, 00</v>
      </c>
    </row>
    <row r="15" spans="1:1" x14ac:dyDescent="0.25">
      <c r="A15" s="12" t="str">
        <f ca="1">TEXT(Overig!A15,"000\,")&amp;TEXT(Overig!B15,"?00000000")&amp;SUBSTITUTE(TEXT(IF(ISTEXT(Overig!C15),Overig!C15,10*Overig!C15),""",""????0;"",""???-0;"",""????0;"", ////"""),"'","""")&amp;SUBSTITUTE(TEXT(Overig!D15,""",""?00;"",""?-00;"",""?00;"", //"""),"'","""")</f>
        <v>032, 19270114, 7645, 00</v>
      </c>
    </row>
    <row r="16" spans="1:1" x14ac:dyDescent="0.25">
      <c r="A16" s="12" t="str">
        <f ca="1">TEXT(Overig!A16,"000\,")&amp;TEXT(Overig!B16,"?00000000")&amp;SUBSTITUTE(TEXT(IF(ISTEXT(Overig!C16),Overig!C16,10*Overig!C16),""",""????0;"",""???-0;"",""????0;"", ////"""),"'","""")&amp;SUBSTITUTE(TEXT(Overig!D16,""",""?00;"",""?-00;"",""?00;"", //"""),"'","""")</f>
        <v>032, 19270115, 7650, 00</v>
      </c>
    </row>
    <row r="17" spans="1:1" x14ac:dyDescent="0.25">
      <c r="A17" s="12" t="str">
        <f ca="1">TEXT(Overig!A17,"000\,")&amp;TEXT(Overig!B17,"?00000000")&amp;SUBSTITUTE(TEXT(IF(ISTEXT(Overig!C17),Overig!C17,10*Overig!C17),""",""????0;"",""???-0;"",""????0;"", ////"""),"'","""")&amp;SUBSTITUTE(TEXT(Overig!D17,""",""?00;"",""?-00;"",""?00;"", //"""),"'","""")</f>
        <v>032, 19270116, 7650, 00</v>
      </c>
    </row>
    <row r="18" spans="1:1" x14ac:dyDescent="0.25">
      <c r="A18" s="12" t="str">
        <f ca="1">TEXT(Overig!A18,"000\,")&amp;TEXT(Overig!B18,"?00000000")&amp;SUBSTITUTE(TEXT(IF(ISTEXT(Overig!C18),Overig!C18,10*Overig!C18),""",""????0;"",""???-0;"",""????0;"", ////"""),"'","""")&amp;SUBSTITUTE(TEXT(Overig!D18,""",""?00;"",""?-00;"",""?00;"", //"""),"'","""")</f>
        <v>032, 19270117, 7655, 00</v>
      </c>
    </row>
    <row r="19" spans="1:1" x14ac:dyDescent="0.25">
      <c r="A19" s="12" t="str">
        <f ca="1">TEXT(Overig!A19,"000\,")&amp;TEXT(Overig!B19,"?00000000")&amp;SUBSTITUTE(TEXT(IF(ISTEXT(Overig!C19),Overig!C19,10*Overig!C19),""",""????0;"",""???-0;"",""????0;"", ////"""),"'","""")&amp;SUBSTITUTE(TEXT(Overig!D19,""",""?00;"",""?-00;"",""?00;"", //"""),"'","""")</f>
        <v>032, 19270118, 7655, 00</v>
      </c>
    </row>
    <row r="20" spans="1:1" x14ac:dyDescent="0.25">
      <c r="A20" s="12" t="str">
        <f ca="1">TEXT(Overig!A20,"000\,")&amp;TEXT(Overig!B20,"?00000000")&amp;SUBSTITUTE(TEXT(IF(ISTEXT(Overig!C20),Overig!C20,10*Overig!C20),""",""????0;"",""???-0;"",""????0;"", ////"""),"'","""")&amp;SUBSTITUTE(TEXT(Overig!D20,""",""?00;"",""?-00;"",""?00;"", //"""),"'","""")</f>
        <v>032, 19270119, 7650, 00</v>
      </c>
    </row>
    <row r="21" spans="1:1" x14ac:dyDescent="0.25">
      <c r="A21" s="12" t="str">
        <f ca="1">TEXT(Overig!A21,"000\,")&amp;TEXT(Overig!B21,"?00000000")&amp;SUBSTITUTE(TEXT(IF(ISTEXT(Overig!C21),Overig!C21,10*Overig!C21),""",""????0;"",""???-0;"",""????0;"", ////"""),"'","""")&amp;SUBSTITUTE(TEXT(Overig!D21,""",""?00;"",""?-00;"",""?00;"", //"""),"'","""")</f>
        <v>032, 19270120, 7655, 00</v>
      </c>
    </row>
    <row r="22" spans="1:1" x14ac:dyDescent="0.25">
      <c r="A22" s="12" t="str">
        <f ca="1">TEXT(Overig!A22,"000\,")&amp;TEXT(Overig!B22,"?00000000")&amp;SUBSTITUTE(TEXT(IF(ISTEXT(Overig!C22),Overig!C22,10*Overig!C22),""",""????0;"",""???-0;"",""????0;"", ////"""),"'","""")&amp;SUBSTITUTE(TEXT(Overig!D22,""",""?00;"",""?-00;"",""?00;"", //"""),"'","""")</f>
        <v>032, 19270121, 7660, 00</v>
      </c>
    </row>
    <row r="23" spans="1:1" x14ac:dyDescent="0.25">
      <c r="A23" s="12" t="str">
        <f ca="1">TEXT(Overig!A23,"000\,")&amp;TEXT(Overig!B23,"?00000000")&amp;SUBSTITUTE(TEXT(IF(ISTEXT(Overig!C23),Overig!C23,10*Overig!C23),""",""????0;"",""???-0;"",""????0;"", ////"""),"'","""")&amp;SUBSTITUTE(TEXT(Overig!D23,""",""?00;"",""?-00;"",""?00;"", //"""),"'","""")</f>
        <v>032, 19270122, 7665, 00</v>
      </c>
    </row>
    <row r="24" spans="1:1" x14ac:dyDescent="0.25">
      <c r="A24" s="12" t="str">
        <f ca="1">TEXT(Overig!A24,"000\,")&amp;TEXT(Overig!B24,"?00000000")&amp;SUBSTITUTE(TEXT(IF(ISTEXT(Overig!C24),Overig!C24,10*Overig!C24),""",""????0;"",""???-0;"",""????0;"", ////"""),"'","""")&amp;SUBSTITUTE(TEXT(Overig!D24,""",""?00;"",""?-00;"",""?00;"", //"""),"'","""")</f>
        <v>032, 19270123, 7665, 00</v>
      </c>
    </row>
    <row r="25" spans="1:1" x14ac:dyDescent="0.25">
      <c r="A25" s="12" t="str">
        <f ca="1">TEXT(Overig!A25,"000\,")&amp;TEXT(Overig!B25,"?00000000")&amp;SUBSTITUTE(TEXT(IF(ISTEXT(Overig!C25),Overig!C25,10*Overig!C25),""",""????0;"",""???-0;"",""????0;"", ////"""),"'","""")&amp;SUBSTITUTE(TEXT(Overig!D25,""",""?00;"",""?-00;"",""?00;"", //"""),"'","""")</f>
        <v>032, 19270124, 7665, 00</v>
      </c>
    </row>
    <row r="26" spans="1:1" x14ac:dyDescent="0.25">
      <c r="A26" s="12" t="str">
        <f ca="1">TEXT(Overig!A26,"000\,")&amp;TEXT(Overig!B26,"?00000000")&amp;SUBSTITUTE(TEXT(IF(ISTEXT(Overig!C26),Overig!C26,10*Overig!C26),""",""????0;"",""???-0;"",""????0;"", ////"""),"'","""")&amp;SUBSTITUTE(TEXT(Overig!D26,""",""?00;"",""?-00;"",""?00;"", //"""),"'","""")</f>
        <v>032, 19270125, 7660, 00</v>
      </c>
    </row>
    <row r="27" spans="1:1" x14ac:dyDescent="0.25">
      <c r="A27" s="12" t="str">
        <f ca="1">TEXT(Overig!A27,"000\,")&amp;TEXT(Overig!B27,"?00000000")&amp;SUBSTITUTE(TEXT(IF(ISTEXT(Overig!C27),Overig!C27,10*Overig!C27),""",""????0;"",""???-0;"",""????0;"", ////"""),"'","""")&amp;SUBSTITUTE(TEXT(Overig!D27,""",""?00;"",""?-00;"",""?00;"", //"""),"'","""")</f>
        <v>032, 19270126, 7660, 00</v>
      </c>
    </row>
    <row r="28" spans="1:1" x14ac:dyDescent="0.25">
      <c r="A28" s="12" t="str">
        <f ca="1">TEXT(Overig!A28,"000\,")&amp;TEXT(Overig!B28,"?00000000")&amp;SUBSTITUTE(TEXT(IF(ISTEXT(Overig!C28),Overig!C28,10*Overig!C28),""",""????0;"",""???-0;"",""????0;"", ////"""),"'","""")&amp;SUBSTITUTE(TEXT(Overig!D28,""",""?00;"",""?-00;"",""?00;"", //"""),"'","""")</f>
        <v>032, 19270127, 7665, 00</v>
      </c>
    </row>
    <row r="29" spans="1:1" x14ac:dyDescent="0.25">
      <c r="A29" s="12" t="str">
        <f ca="1">TEXT(Overig!A29,"000\,")&amp;TEXT(Overig!B29,"?00000000")&amp;SUBSTITUTE(TEXT(IF(ISTEXT(Overig!C29),Overig!C29,10*Overig!C29),""",""????0;"",""???-0;"",""????0;"", ////"""),"'","""")&amp;SUBSTITUTE(TEXT(Overig!D29,""",""?00;"",""?-00;"",""?00;"", //"""),"'","""")</f>
        <v>032, 19270128, 7660, 00</v>
      </c>
    </row>
    <row r="30" spans="1:1" x14ac:dyDescent="0.25">
      <c r="A30" s="12" t="str">
        <f ca="1">TEXT(Overig!A30,"000\,")&amp;TEXT(Overig!B30,"?00000000")&amp;SUBSTITUTE(TEXT(IF(ISTEXT(Overig!C30),Overig!C30,10*Overig!C30),""",""????0;"",""???-0;"",""????0;"", ////"""),"'","""")&amp;SUBSTITUTE(TEXT(Overig!D30,""",""?00;"",""?-00;"",""?00;"", //"""),"'","""")</f>
        <v>032, 19270129, 7660, 00</v>
      </c>
    </row>
    <row r="31" spans="1:1" x14ac:dyDescent="0.25">
      <c r="A31" s="12" t="str">
        <f ca="1">TEXT(Overig!A31,"000\,")&amp;TEXT(Overig!B31,"?00000000")&amp;SUBSTITUTE(TEXT(IF(ISTEXT(Overig!C31),Overig!C31,10*Overig!C31),""",""????0;"",""???-0;"",""????0;"", ////"""),"'","""")&amp;SUBSTITUTE(TEXT(Overig!D31,""",""?00;"",""?-00;"",""?00;"", //"""),"'","""")</f>
        <v>032, 19270130, 7655, 00</v>
      </c>
    </row>
    <row r="32" spans="1:1" x14ac:dyDescent="0.25">
      <c r="A32" s="12" t="str">
        <f ca="1">TEXT(Overig!A32,"000\,")&amp;TEXT(Overig!B32,"?00000000")&amp;SUBSTITUTE(TEXT(IF(ISTEXT(Overig!C32),Overig!C32,10*Overig!C32),""",""????0;"",""???-0;"",""????0;"", ////"""),"'","""")&amp;SUBSTITUTE(TEXT(Overig!D32,""",""?00;"",""?-00;"",""?00;"", //"""),"'","""")</f>
        <v>032, 19270131, 7660, 00</v>
      </c>
    </row>
    <row r="33" spans="1:1" x14ac:dyDescent="0.25">
      <c r="A33" s="12" t="str">
        <f ca="1">TEXT(Overig!A33,"000\,")&amp;TEXT(Overig!B33,"?00000000")&amp;SUBSTITUTE(TEXT(IF(ISTEXT(Overig!C33),Overig!C33,10*Overig!C33),""",""????0;"",""???-0;"",""????0;"", ////"""),"'","""")&amp;SUBSTITUTE(TEXT(Overig!D33,""",""?00;"",""?-00;"",""?00;"", //"""),"'","""")</f>
        <v>032, 19270201, 7665, 00</v>
      </c>
    </row>
    <row r="34" spans="1:1" x14ac:dyDescent="0.25">
      <c r="A34" s="12" t="str">
        <f ca="1">TEXT(Overig!A34,"000\,")&amp;TEXT(Overig!B34,"?00000000")&amp;SUBSTITUTE(TEXT(IF(ISTEXT(Overig!C34),Overig!C34,10*Overig!C34),""",""????0;"",""???-0;"",""????0;"", ////"""),"'","""")&amp;SUBSTITUTE(TEXT(Overig!D34,""",""?00;"",""?-00;"",""?00;"", //"""),"'","""")</f>
        <v>032, 19270202, 7655, 00</v>
      </c>
    </row>
    <row r="35" spans="1:1" x14ac:dyDescent="0.25">
      <c r="A35" s="12" t="str">
        <f ca="1">TEXT(Overig!A35,"000\,")&amp;TEXT(Overig!B35,"?00000000")&amp;SUBSTITUTE(TEXT(IF(ISTEXT(Overig!C35),Overig!C35,10*Overig!C35),""",""????0;"",""???-0;"",""????0;"", ////"""),"'","""")&amp;SUBSTITUTE(TEXT(Overig!D35,""",""?00;"",""?-00;"",""?00;"", //"""),"'","""")</f>
        <v>032, 19270203, 7660, 00</v>
      </c>
    </row>
    <row r="36" spans="1:1" x14ac:dyDescent="0.25">
      <c r="A36" s="12" t="str">
        <f ca="1">TEXT(Overig!A36,"000\,")&amp;TEXT(Overig!B36,"?00000000")&amp;SUBSTITUTE(TEXT(IF(ISTEXT(Overig!C36),Overig!C36,10*Overig!C36),""",""????0;"",""???-0;"",""????0;"", ////"""),"'","""")&amp;SUBSTITUTE(TEXT(Overig!D36,""",""?00;"",""?-00;"",""?00;"", //"""),"'","""")</f>
        <v>032, 19270204, 7665, 00</v>
      </c>
    </row>
    <row r="37" spans="1:1" x14ac:dyDescent="0.25">
      <c r="A37" s="12" t="str">
        <f ca="1">TEXT(Overig!A37,"000\,")&amp;TEXT(Overig!B37,"?00000000")&amp;SUBSTITUTE(TEXT(IF(ISTEXT(Overig!C37),Overig!C37,10*Overig!C37),""",""????0;"",""???-0;"",""????0;"", ////"""),"'","""")&amp;SUBSTITUTE(TEXT(Overig!D37,""",""?00;"",""?-00;"",""?00;"", //"""),"'","""")</f>
        <v>032, 19270205, 7670, 00</v>
      </c>
    </row>
    <row r="38" spans="1:1" x14ac:dyDescent="0.25">
      <c r="A38" s="12" t="str">
        <f ca="1">TEXT(Overig!A38,"000\,")&amp;TEXT(Overig!B38,"?00000000")&amp;SUBSTITUTE(TEXT(IF(ISTEXT(Overig!C38),Overig!C38,10*Overig!C38),""",""????0;"",""???-0;"",""????0;"", ////"""),"'","""")&amp;SUBSTITUTE(TEXT(Overig!D38,""",""?00;"",""?-00;"",""?00;"", //"""),"'","""")</f>
        <v>032, 19270206, 7660, 00</v>
      </c>
    </row>
    <row r="39" spans="1:1" x14ac:dyDescent="0.25">
      <c r="A39" s="12" t="str">
        <f ca="1">TEXT(Overig!A39,"000\,")&amp;TEXT(Overig!B39,"?00000000")&amp;SUBSTITUTE(TEXT(IF(ISTEXT(Overig!C39),Overig!C39,10*Overig!C39),""",""????0;"",""???-0;"",""????0;"", ////"""),"'","""")&amp;SUBSTITUTE(TEXT(Overig!D39,""",""?00;"",""?-00;"",""?00;"", //"""),"'","""")</f>
        <v>032, 19270207, 7670, 00</v>
      </c>
    </row>
    <row r="40" spans="1:1" x14ac:dyDescent="0.25">
      <c r="A40" s="12" t="str">
        <f ca="1">TEXT(Overig!A40,"000\,")&amp;TEXT(Overig!B40,"?00000000")&amp;SUBSTITUTE(TEXT(IF(ISTEXT(Overig!C40),Overig!C40,10*Overig!C40),""",""????0;"",""???-0;"",""????0;"", ////"""),"'","""")&amp;SUBSTITUTE(TEXT(Overig!D40,""",""?00;"",""?-00;"",""?00;"", //"""),"'","""")</f>
        <v>032, 19270208, 7670, 00</v>
      </c>
    </row>
    <row r="41" spans="1:1" x14ac:dyDescent="0.25">
      <c r="A41" s="12" t="str">
        <f ca="1">TEXT(Overig!A41,"000\,")&amp;TEXT(Overig!B41,"?00000000")&amp;SUBSTITUTE(TEXT(IF(ISTEXT(Overig!C41),Overig!C41,10*Overig!C41),""",""????0;"",""???-0;"",""????0;"", ////"""),"'","""")&amp;SUBSTITUTE(TEXT(Overig!D41,""",""?00;"",""?-00;"",""?00;"", //"""),"'","""")</f>
        <v>032, 19270209, 7675, 00</v>
      </c>
    </row>
    <row r="42" spans="1:1" x14ac:dyDescent="0.25">
      <c r="A42" s="12" t="str">
        <f ca="1">TEXT(Overig!A42,"000\,")&amp;TEXT(Overig!B42,"?00000000")&amp;SUBSTITUTE(TEXT(IF(ISTEXT(Overig!C42),Overig!C42,10*Overig!C42),""",""????0;"",""???-0;"",""????0;"", ////"""),"'","""")&amp;SUBSTITUTE(TEXT(Overig!D42,""",""?00;"",""?-00;"",""?00;"", //"""),"'","""")</f>
        <v>032, 19270210, 7665, 00</v>
      </c>
    </row>
    <row r="43" spans="1:1" x14ac:dyDescent="0.25">
      <c r="A43" s="12" t="str">
        <f ca="1">TEXT(Overig!A43,"000\,")&amp;TEXT(Overig!B43,"?00000000")&amp;SUBSTITUTE(TEXT(IF(ISTEXT(Overig!C43),Overig!C43,10*Overig!C43),""",""????0;"",""???-0;"",""????0;"", ////"""),"'","""")&amp;SUBSTITUTE(TEXT(Overig!D43,""",""?00;"",""?-00;"",""?00;"", //"""),"'","""")</f>
        <v>032, 19270211, 7665, 00</v>
      </c>
    </row>
    <row r="44" spans="1:1" x14ac:dyDescent="0.25">
      <c r="A44" s="12" t="str">
        <f ca="1">TEXT(Overig!A44,"000\,")&amp;TEXT(Overig!B44,"?00000000")&amp;SUBSTITUTE(TEXT(IF(ISTEXT(Overig!C44),Overig!C44,10*Overig!C44),""",""????0;"",""???-0;"",""????0;"", ////"""),"'","""")&amp;SUBSTITUTE(TEXT(Overig!D44,""",""?00;"",""?-00;"",""?00;"", //"""),"'","""")</f>
        <v>032, 19270212, 7680, 00</v>
      </c>
    </row>
    <row r="45" spans="1:1" x14ac:dyDescent="0.25">
      <c r="A45" s="12" t="str">
        <f ca="1">TEXT(Overig!A45,"000\,")&amp;TEXT(Overig!B45,"?00000000")&amp;SUBSTITUTE(TEXT(IF(ISTEXT(Overig!C45),Overig!C45,10*Overig!C45),""",""????0;"",""???-0;"",""????0;"", ////"""),"'","""")&amp;SUBSTITUTE(TEXT(Overig!D45,""",""?00;"",""?-00;"",""?00;"", //"""),"'","""")</f>
        <v>032, 19270213, 7680, 00</v>
      </c>
    </row>
    <row r="46" spans="1:1" x14ac:dyDescent="0.25">
      <c r="A46" s="12" t="str">
        <f ca="1">TEXT(Overig!A46,"000\,")&amp;TEXT(Overig!B46,"?00000000")&amp;SUBSTITUTE(TEXT(IF(ISTEXT(Overig!C46),Overig!C46,10*Overig!C46),""",""????0;"",""???-0;"",""????0;"", ////"""),"'","""")&amp;SUBSTITUTE(TEXT(Overig!D46,""",""?00;"",""?-00;"",""?00;"", //"""),"'","""")</f>
        <v>032, 19270214, 7680, 00</v>
      </c>
    </row>
    <row r="47" spans="1:1" x14ac:dyDescent="0.25">
      <c r="A47" s="12" t="str">
        <f ca="1">TEXT(Overig!A47,"000\,")&amp;TEXT(Overig!B47,"?00000000")&amp;SUBSTITUTE(TEXT(IF(ISTEXT(Overig!C47),Overig!C47,10*Overig!C47),""",""????0;"",""???-0;"",""????0;"", ////"""),"'","""")&amp;SUBSTITUTE(TEXT(Overig!D47,""",""?00;"",""?-00;"",""?00;"", //"""),"'","""")</f>
        <v>032, 19270215, 7670, 00</v>
      </c>
    </row>
    <row r="48" spans="1:1" x14ac:dyDescent="0.25">
      <c r="A48" s="12" t="str">
        <f ca="1">TEXT(Overig!A48,"000\,")&amp;TEXT(Overig!B48,"?00000000")&amp;SUBSTITUTE(TEXT(IF(ISTEXT(Overig!C48),Overig!C48,10*Overig!C48),""",""????0;"",""???-0;"",""????0;"", ////"""),"'","""")&amp;SUBSTITUTE(TEXT(Overig!D48,""",""?00;"",""?-00;"",""?00;"", //"""),"'","""")</f>
        <v>032, 19270216, 7680, 00</v>
      </c>
    </row>
    <row r="49" spans="1:1" x14ac:dyDescent="0.25">
      <c r="A49" s="12" t="str">
        <f ca="1">TEXT(Overig!A49,"000\,")&amp;TEXT(Overig!B49,"?00000000")&amp;SUBSTITUTE(TEXT(IF(ISTEXT(Overig!C49),Overig!C49,10*Overig!C49),""",""????0;"",""???-0;"",""????0;"", ////"""),"'","""")&amp;SUBSTITUTE(TEXT(Overig!D49,""",""?00;"",""?-00;"",""?00;"", //"""),"'","""")</f>
        <v>032, 19270217, 7670, 00</v>
      </c>
    </row>
    <row r="50" spans="1:1" x14ac:dyDescent="0.25">
      <c r="A50" s="12" t="str">
        <f ca="1">TEXT(Overig!A50,"000\,")&amp;TEXT(Overig!B50,"?00000000")&amp;SUBSTITUTE(TEXT(IF(ISTEXT(Overig!C50),Overig!C50,10*Overig!C50),""",""????0;"",""???-0;"",""????0;"", ////"""),"'","""")&amp;SUBSTITUTE(TEXT(Overig!D50,""",""?00;"",""?-00;"",""?00;"", //"""),"'","""")</f>
        <v>032, 19270218, 7675, 00</v>
      </c>
    </row>
    <row r="51" spans="1:1" x14ac:dyDescent="0.25">
      <c r="A51" s="12" t="str">
        <f ca="1">TEXT(Overig!A51,"000\,")&amp;TEXT(Overig!B51,"?00000000")&amp;SUBSTITUTE(TEXT(IF(ISTEXT(Overig!C51),Overig!C51,10*Overig!C51),""",""????0;"",""???-0;"",""????0;"", ////"""),"'","""")&amp;SUBSTITUTE(TEXT(Overig!D51,""",""?00;"",""?-00;"",""?00;"", //"""),"'","""")</f>
        <v>032, 19270219, 7675, 00</v>
      </c>
    </row>
    <row r="52" spans="1:1" x14ac:dyDescent="0.25">
      <c r="A52" s="12" t="str">
        <f ca="1">TEXT(Overig!A52,"000\,")&amp;TEXT(Overig!B52,"?00000000")&amp;SUBSTITUTE(TEXT(IF(ISTEXT(Overig!C52),Overig!C52,10*Overig!C52),""",""????0;"",""???-0;"",""????0;"", ////"""),"'","""")&amp;SUBSTITUTE(TEXT(Overig!D52,""",""?00;"",""?-00;"",""?00;"", //"""),"'","""")</f>
        <v>032, 19270220, 7685, 00</v>
      </c>
    </row>
    <row r="53" spans="1:1" x14ac:dyDescent="0.25">
      <c r="A53" s="12" t="str">
        <f ca="1">TEXT(Overig!A53,"000\,")&amp;TEXT(Overig!B53,"?00000000")&amp;SUBSTITUTE(TEXT(IF(ISTEXT(Overig!C53),Overig!C53,10*Overig!C53),""",""????0;"",""???-0;"",""????0;"", ////"""),"'","""")&amp;SUBSTITUTE(TEXT(Overig!D53,""",""?00;"",""?-00;"",""?00;"", //"""),"'","""")</f>
        <v>032, 19270221, 7680, 00</v>
      </c>
    </row>
    <row r="54" spans="1:1" x14ac:dyDescent="0.25">
      <c r="A54" s="12" t="str">
        <f ca="1">TEXT(Overig!A54,"000\,")&amp;TEXT(Overig!B54,"?00000000")&amp;SUBSTITUTE(TEXT(IF(ISTEXT(Overig!C54),Overig!C54,10*Overig!C54),""",""????0;"",""???-0;"",""????0;"", ////"""),"'","""")&amp;SUBSTITUTE(TEXT(Overig!D54,""",""?00;"",""?-00;"",""?00;"", //"""),"'","""")</f>
        <v>032, 19270222, 7680, 00</v>
      </c>
    </row>
    <row r="55" spans="1:1" x14ac:dyDescent="0.25">
      <c r="A55" s="12" t="str">
        <f ca="1">TEXT(Overig!A55,"000\,")&amp;TEXT(Overig!B55,"?00000000")&amp;SUBSTITUTE(TEXT(IF(ISTEXT(Overig!C55),Overig!C55,10*Overig!C55),""",""????0;"",""???-0;"",""????0;"", ////"""),"'","""")&amp;SUBSTITUTE(TEXT(Overig!D55,""",""?00;"",""?-00;"",""?00;"", //"""),"'","""")</f>
        <v>032, 19270223, 7680, 00</v>
      </c>
    </row>
    <row r="56" spans="1:1" x14ac:dyDescent="0.25">
      <c r="A56" s="12" t="str">
        <f ca="1">TEXT(Overig!A56,"000\,")&amp;TEXT(Overig!B56,"?00000000")&amp;SUBSTITUTE(TEXT(IF(ISTEXT(Overig!C56),Overig!C56,10*Overig!C56),""",""????0;"",""???-0;"",""????0;"", ////"""),"'","""")&amp;SUBSTITUTE(TEXT(Overig!D56,""",""?00;"",""?-00;"",""?00;"", //"""),"'","""")</f>
        <v>032, 19270224, 7675, 00</v>
      </c>
    </row>
    <row r="57" spans="1:1" x14ac:dyDescent="0.25">
      <c r="A57" s="12" t="str">
        <f ca="1">TEXT(Overig!A57,"000\,")&amp;TEXT(Overig!B57,"?00000000")&amp;SUBSTITUTE(TEXT(IF(ISTEXT(Overig!C57),Overig!C57,10*Overig!C57),""",""????0;"",""???-0;"",""????0;"", ////"""),"'","""")&amp;SUBSTITUTE(TEXT(Overig!D57,""",""?00;"",""?-00;"",""?00;"", //"""),"'","""")</f>
        <v>032, 19270225, 7670, 00</v>
      </c>
    </row>
    <row r="58" spans="1:1" x14ac:dyDescent="0.25">
      <c r="A58" s="12" t="str">
        <f ca="1">TEXT(Overig!A58,"000\,")&amp;TEXT(Overig!B58,"?00000000")&amp;SUBSTITUTE(TEXT(IF(ISTEXT(Overig!C58),Overig!C58,10*Overig!C58),""",""????0;"",""???-0;"",""????0;"", ////"""),"'","""")&amp;SUBSTITUTE(TEXT(Overig!D58,""",""?00;"",""?-00;"",""?00;"", //"""),"'","""")</f>
        <v>032, 19270226, 7665, 00</v>
      </c>
    </row>
    <row r="59" spans="1:1" x14ac:dyDescent="0.25">
      <c r="A59" s="12" t="str">
        <f ca="1">TEXT(Overig!A59,"000\,")&amp;TEXT(Overig!B59,"?00000000")&amp;SUBSTITUTE(TEXT(IF(ISTEXT(Overig!C59),Overig!C59,10*Overig!C59),""",""????0;"",""???-0;"",""????0;"", ////"""),"'","""")&amp;SUBSTITUTE(TEXT(Overig!D59,""",""?00;"",""?-00;"",""?00;"", //"""),"'","""")</f>
        <v>032, 19270227, 7670, 00</v>
      </c>
    </row>
    <row r="60" spans="1:1" x14ac:dyDescent="0.25">
      <c r="A60" s="12" t="str">
        <f ca="1">TEXT(Overig!A60,"000\,")&amp;TEXT(Overig!B60,"?00000000")&amp;SUBSTITUTE(TEXT(IF(ISTEXT(Overig!C60),Overig!C60,10*Overig!C60),""",""????0;"",""???-0;"",""????0;"", ////"""),"'","""")&amp;SUBSTITUTE(TEXT(Overig!D60,""",""?00;"",""?-00;"",""?00;"", //"""),"'","""")</f>
        <v>032, 19270228, 7675, 00</v>
      </c>
    </row>
    <row r="61" spans="1:1" x14ac:dyDescent="0.25">
      <c r="A61" s="12" t="str">
        <f ca="1">TEXT(Overig!A61,"000\,")&amp;TEXT(Overig!B61,"?00000000")&amp;SUBSTITUTE(TEXT(IF(ISTEXT(Overig!C61),Overig!C61,10*Overig!C61),""",""????0;"",""???-0;"",""????0;"", ////"""),"'","""")&amp;SUBSTITUTE(TEXT(Overig!D61,""",""?00;"",""?-00;"",""?00;"", //"""),"'","""")</f>
        <v>032, 19270301, 7670, 00</v>
      </c>
    </row>
    <row r="62" spans="1:1" x14ac:dyDescent="0.25">
      <c r="A62" s="12" t="str">
        <f ca="1">TEXT(Overig!A62,"000\,")&amp;TEXT(Overig!B62,"?00000000")&amp;SUBSTITUTE(TEXT(IF(ISTEXT(Overig!C62),Overig!C62,10*Overig!C62),""",""????0;"",""???-0;"",""????0;"", ////"""),"'","""")&amp;SUBSTITUTE(TEXT(Overig!D62,""",""?00;"",""?-00;"",""?00;"", //"""),"'","""")</f>
        <v>032, 19270302, 7675, 00</v>
      </c>
    </row>
    <row r="63" spans="1:1" x14ac:dyDescent="0.25">
      <c r="A63" s="12" t="str">
        <f ca="1">TEXT(Overig!A63,"000\,")&amp;TEXT(Overig!B63,"?00000000")&amp;SUBSTITUTE(TEXT(IF(ISTEXT(Overig!C63),Overig!C63,10*Overig!C63),""",""????0;"",""???-0;"",""????0;"", ////"""),"'","""")&amp;SUBSTITUTE(TEXT(Overig!D63,""",""?00;"",""?-00;"",""?00;"", //"""),"'","""")</f>
        <v>032, 19270303, 7670, 00</v>
      </c>
    </row>
    <row r="64" spans="1:1" x14ac:dyDescent="0.25">
      <c r="A64" s="12" t="str">
        <f ca="1">TEXT(Overig!A64,"000\,")&amp;TEXT(Overig!B64,"?00000000")&amp;SUBSTITUTE(TEXT(IF(ISTEXT(Overig!C64),Overig!C64,10*Overig!C64),""",""????0;"",""???-0;"",""????0;"", ////"""),"'","""")&amp;SUBSTITUTE(TEXT(Overig!D64,""",""?00;"",""?-00;"",""?00;"", //"""),"'","""")</f>
        <v>032, 19270304, 7675, 00</v>
      </c>
    </row>
    <row r="65" spans="1:1" x14ac:dyDescent="0.25">
      <c r="A65" s="12" t="str">
        <f ca="1">TEXT(Overig!A65,"000\,")&amp;TEXT(Overig!B65,"?00000000")&amp;SUBSTITUTE(TEXT(IF(ISTEXT(Overig!C65),Overig!C65,10*Overig!C65),""",""????0;"",""???-0;"",""????0;"", ////"""),"'","""")&amp;SUBSTITUTE(TEXT(Overig!D65,""",""?00;"",""?-00;"",""?00;"", //"""),"'","""")</f>
        <v>032, 19270305, 7685, 00</v>
      </c>
    </row>
    <row r="66" spans="1:1" x14ac:dyDescent="0.25">
      <c r="A66" s="12" t="str">
        <f ca="1">TEXT(Overig!A66,"000\,")&amp;TEXT(Overig!B66,"?00000000")&amp;SUBSTITUTE(TEXT(IF(ISTEXT(Overig!C66),Overig!C66,10*Overig!C66),""",""????0;"",""???-0;"",""????0;"", ////"""),"'","""")&amp;SUBSTITUTE(TEXT(Overig!D66,""",""?00;"",""?-00;"",""?00;"", //"""),"'","""")</f>
        <v>032, 19270306, 7680, 00</v>
      </c>
    </row>
    <row r="67" spans="1:1" x14ac:dyDescent="0.25">
      <c r="A67" s="12" t="str">
        <f ca="1">TEXT(Overig!A67,"000\,")&amp;TEXT(Overig!B67,"?00000000")&amp;SUBSTITUTE(TEXT(IF(ISTEXT(Overig!C67),Overig!C67,10*Overig!C67),""",""????0;"",""???-0;"",""????0;"", ////"""),"'","""")&amp;SUBSTITUTE(TEXT(Overig!D67,""",""?00;"",""?-00;"",""?00;"", //"""),"'","""")</f>
        <v>032, 19270307, 7675, 00</v>
      </c>
    </row>
    <row r="68" spans="1:1" x14ac:dyDescent="0.25">
      <c r="A68" s="12" t="str">
        <f ca="1">TEXT(Overig!A68,"000\,")&amp;TEXT(Overig!B68,"?00000000")&amp;SUBSTITUTE(TEXT(IF(ISTEXT(Overig!C68),Overig!C68,10*Overig!C68),""",""????0;"",""???-0;"",""????0;"", ////"""),"'","""")&amp;SUBSTITUTE(TEXT(Overig!D68,""",""?00;"",""?-00;"",""?00;"", //"""),"'","""")</f>
        <v>032, 19270308, 7670, 00</v>
      </c>
    </row>
    <row r="69" spans="1:1" x14ac:dyDescent="0.25">
      <c r="A69" s="12" t="str">
        <f ca="1">TEXT(Overig!A69,"000\,")&amp;TEXT(Overig!B69,"?00000000")&amp;SUBSTITUTE(TEXT(IF(ISTEXT(Overig!C69),Overig!C69,10*Overig!C69),""",""????0;"",""???-0;"",""????0;"", ////"""),"'","""")&amp;SUBSTITUTE(TEXT(Overig!D69,""",""?00;"",""?-00;"",""?00;"", //"""),"'","""")</f>
        <v>032, 19270309, 7670, 00</v>
      </c>
    </row>
    <row r="70" spans="1:1" x14ac:dyDescent="0.25">
      <c r="A70" s="12" t="str">
        <f ca="1">TEXT(Overig!A70,"000\,")&amp;TEXT(Overig!B70,"?00000000")&amp;SUBSTITUTE(TEXT(IF(ISTEXT(Overig!C70),Overig!C70,10*Overig!C70),""",""????0;"",""???-0;"",""????0;"", ////"""),"'","""")&amp;SUBSTITUTE(TEXT(Overig!D70,""",""?00;"",""?-00;"",""?00;"", //"""),"'","""")</f>
        <v>032, 19270310, 7670, 00</v>
      </c>
    </row>
    <row r="71" spans="1:1" x14ac:dyDescent="0.25">
      <c r="A71" s="12" t="str">
        <f ca="1">TEXT(Overig!A71,"000\,")&amp;TEXT(Overig!B71,"?00000000")&amp;SUBSTITUTE(TEXT(IF(ISTEXT(Overig!C71),Overig!C71,10*Overig!C71),""",""????0;"",""???-0;"",""????0;"", ////"""),"'","""")&amp;SUBSTITUTE(TEXT(Overig!D71,""",""?00;"",""?-00;"",""?00;"", //"""),"'","""")</f>
        <v>032, 19270311, 7670, 00</v>
      </c>
    </row>
    <row r="72" spans="1:1" x14ac:dyDescent="0.25">
      <c r="A72" s="12" t="str">
        <f ca="1">TEXT(Overig!A72,"000\,")&amp;TEXT(Overig!B72,"?00000000")&amp;SUBSTITUTE(TEXT(IF(ISTEXT(Overig!C72),Overig!C72,10*Overig!C72),""",""????0;"",""???-0;"",""????0;"", ////"""),"'","""")&amp;SUBSTITUTE(TEXT(Overig!D72,""",""?00;"",""?-00;"",""?00;"", //"""),"'","""")</f>
        <v>032, 19270312, 7655, 00</v>
      </c>
    </row>
    <row r="73" spans="1:1" x14ac:dyDescent="0.25">
      <c r="A73" s="12" t="str">
        <f ca="1">TEXT(Overig!A73,"000\,")&amp;TEXT(Overig!B73,"?00000000")&amp;SUBSTITUTE(TEXT(IF(ISTEXT(Overig!C73),Overig!C73,10*Overig!C73),""",""????0;"",""???-0;"",""????0;"", ////"""),"'","""")&amp;SUBSTITUTE(TEXT(Overig!D73,""",""?00;"",""?-00;"",""?00;"", //"""),"'","""")</f>
        <v>032, 19270313, 7650, 00</v>
      </c>
    </row>
    <row r="74" spans="1:1" x14ac:dyDescent="0.25">
      <c r="A74" s="12" t="str">
        <f ca="1">TEXT(Overig!A74,"000\,")&amp;TEXT(Overig!B74,"?00000000")&amp;SUBSTITUTE(TEXT(IF(ISTEXT(Overig!C74),Overig!C74,10*Overig!C74),""",""????0;"",""???-0;"",""????0;"", ////"""),"'","""")&amp;SUBSTITUTE(TEXT(Overig!D74,""",""?00;"",""?-00;"",""?00;"", //"""),"'","""")</f>
        <v>032, 19270314, 7665, 00</v>
      </c>
    </row>
    <row r="75" spans="1:1" x14ac:dyDescent="0.25">
      <c r="A75" s="12" t="str">
        <f ca="1">TEXT(Overig!A75,"000\,")&amp;TEXT(Overig!B75,"?00000000")&amp;SUBSTITUTE(TEXT(IF(ISTEXT(Overig!C75),Overig!C75,10*Overig!C75),""",""????0;"",""???-0;"",""????0;"", ////"""),"'","""")&amp;SUBSTITUTE(TEXT(Overig!D75,""",""?00;"",""?-00;"",""?00;"", //"""),"'","""")</f>
        <v>032, 19270315, 7655, 00</v>
      </c>
    </row>
    <row r="76" spans="1:1" x14ac:dyDescent="0.25">
      <c r="A76" s="12" t="str">
        <f ca="1">TEXT(Overig!A76,"000\,")&amp;TEXT(Overig!B76,"?00000000")&amp;SUBSTITUTE(TEXT(IF(ISTEXT(Overig!C76),Overig!C76,10*Overig!C76),""",""????0;"",""???-0;"",""????0;"", ////"""),"'","""")&amp;SUBSTITUTE(TEXT(Overig!D76,""",""?00;"",""?-00;"",""?00;"", //"""),"'","""")</f>
        <v>032, 19270316, 7650, 00</v>
      </c>
    </row>
    <row r="77" spans="1:1" x14ac:dyDescent="0.25">
      <c r="A77" s="12" t="str">
        <f ca="1">TEXT(Overig!A77,"000\,")&amp;TEXT(Overig!B77,"?00000000")&amp;SUBSTITUTE(TEXT(IF(ISTEXT(Overig!C77),Overig!C77,10*Overig!C77),""",""????0;"",""???-0;"",""????0;"", ////"""),"'","""")&amp;SUBSTITUTE(TEXT(Overig!D77,""",""?00;"",""?-00;"",""?00;"", //"""),"'","""")</f>
        <v>032, 19270317, 7670, 00</v>
      </c>
    </row>
    <row r="78" spans="1:1" x14ac:dyDescent="0.25">
      <c r="A78" s="12" t="str">
        <f ca="1">TEXT(Overig!A78,"000\,")&amp;TEXT(Overig!B78,"?00000000")&amp;SUBSTITUTE(TEXT(IF(ISTEXT(Overig!C78),Overig!C78,10*Overig!C78),""",""????0;"",""???-0;"",""????0;"", ////"""),"'","""")&amp;SUBSTITUTE(TEXT(Overig!D78,""",""?00;"",""?-00;"",""?00;"", //"""),"'","""")</f>
        <v>032, 19270318, 7665, 00</v>
      </c>
    </row>
    <row r="79" spans="1:1" x14ac:dyDescent="0.25">
      <c r="A79" s="12" t="str">
        <f ca="1">TEXT(Overig!A79,"000\,")&amp;TEXT(Overig!B79,"?00000000")&amp;SUBSTITUTE(TEXT(IF(ISTEXT(Overig!C79),Overig!C79,10*Overig!C79),""",""????0;"",""???-0;"",""????0;"", ////"""),"'","""")&amp;SUBSTITUTE(TEXT(Overig!D79,""",""?00;"",""?-00;"",""?00;"", //"""),"'","""")</f>
        <v>032, 19270319, 7660, 00</v>
      </c>
    </row>
    <row r="80" spans="1:1" x14ac:dyDescent="0.25">
      <c r="A80" s="12" t="str">
        <f ca="1">TEXT(Overig!A80,"000\,")&amp;TEXT(Overig!B80,"?00000000")&amp;SUBSTITUTE(TEXT(IF(ISTEXT(Overig!C80),Overig!C80,10*Overig!C80),""",""????0;"",""???-0;"",""????0;"", ////"""),"'","""")&amp;SUBSTITUTE(TEXT(Overig!D80,""",""?00;"",""?-00;"",""?00;"", //"""),"'","""")</f>
        <v>032, 19270320, 7660, 00</v>
      </c>
    </row>
    <row r="81" spans="1:1" x14ac:dyDescent="0.25">
      <c r="A81" s="12" t="str">
        <f ca="1">TEXT(Overig!A81,"000\,")&amp;TEXT(Overig!B81,"?00000000")&amp;SUBSTITUTE(TEXT(IF(ISTEXT(Overig!C81),Overig!C81,10*Overig!C81),""",""????0;"",""???-0;"",""????0;"", ////"""),"'","""")&amp;SUBSTITUTE(TEXT(Overig!D81,""",""?00;"",""?-00;"",""?00;"", //"""),"'","""")</f>
        <v>032, 19270321, 7650, 00</v>
      </c>
    </row>
    <row r="82" spans="1:1" x14ac:dyDescent="0.25">
      <c r="A82" s="12" t="str">
        <f ca="1">TEXT(Overig!A82,"000\,")&amp;TEXT(Overig!B82,"?00000000")&amp;SUBSTITUTE(TEXT(IF(ISTEXT(Overig!C82),Overig!C82,10*Overig!C82),""",""????0;"",""???-0;"",""????0;"", ////"""),"'","""")&amp;SUBSTITUTE(TEXT(Overig!D82,""",""?00;"",""?-00;"",""?00;"", //"""),"'","""")</f>
        <v>032, 19270322, 7660, 00</v>
      </c>
    </row>
    <row r="83" spans="1:1" x14ac:dyDescent="0.25">
      <c r="A83" s="12" t="str">
        <f ca="1">TEXT(Overig!A83,"000\,")&amp;TEXT(Overig!B83,"?00000000")&amp;SUBSTITUTE(TEXT(IF(ISTEXT(Overig!C83),Overig!C83,10*Overig!C83),""",""????0;"",""???-0;"",""????0;"", ////"""),"'","""")&amp;SUBSTITUTE(TEXT(Overig!D83,""",""?00;"",""?-00;"",""?00;"", //"""),"'","""")</f>
        <v>032, 19270323, 7650, 00</v>
      </c>
    </row>
    <row r="84" spans="1:1" x14ac:dyDescent="0.25">
      <c r="A84" s="12" t="str">
        <f ca="1">TEXT(Overig!A84,"000\,")&amp;TEXT(Overig!B84,"?00000000")&amp;SUBSTITUTE(TEXT(IF(ISTEXT(Overig!C84),Overig!C84,10*Overig!C84),""",""????0;"",""???-0;"",""????0;"", ////"""),"'","""")&amp;SUBSTITUTE(TEXT(Overig!D84,""",""?00;"",""?-00;"",""?00;"", //"""),"'","""")</f>
        <v>032, 19270324, 7665, 00</v>
      </c>
    </row>
    <row r="85" spans="1:1" x14ac:dyDescent="0.25">
      <c r="A85" s="12" t="str">
        <f ca="1">TEXT(Overig!A85,"000\,")&amp;TEXT(Overig!B85,"?00000000")&amp;SUBSTITUTE(TEXT(IF(ISTEXT(Overig!C85),Overig!C85,10*Overig!C85),""",""????0;"",""???-0;"",""????0;"", ////"""),"'","""")&amp;SUBSTITUTE(TEXT(Overig!D85,""",""?00;"",""?-00;"",""?00;"", //"""),"'","""")</f>
        <v>032, 19270325, 7665, 00</v>
      </c>
    </row>
    <row r="86" spans="1:1" x14ac:dyDescent="0.25">
      <c r="A86" s="12" t="str">
        <f ca="1">TEXT(Overig!A86,"000\,")&amp;TEXT(Overig!B86,"?00000000")&amp;SUBSTITUTE(TEXT(IF(ISTEXT(Overig!C86),Overig!C86,10*Overig!C86),""",""????0;"",""???-0;"",""????0;"", ////"""),"'","""")&amp;SUBSTITUTE(TEXT(Overig!D86,""",""?00;"",""?-00;"",""?00;"", //"""),"'","""")</f>
        <v>032, 19270326, 7670, 00</v>
      </c>
    </row>
    <row r="87" spans="1:1" x14ac:dyDescent="0.25">
      <c r="A87" s="12" t="str">
        <f ca="1">TEXT(Overig!A87,"000\,")&amp;TEXT(Overig!B87,"?00000000")&amp;SUBSTITUTE(TEXT(IF(ISTEXT(Overig!C87),Overig!C87,10*Overig!C87),""",""????0;"",""???-0;"",""????0;"", ////"""),"'","""")&amp;SUBSTITUTE(TEXT(Overig!D87,""",""?00;"",""?-00;"",""?00;"", //"""),"'","""")</f>
        <v>032, 19270327, 7665, 00</v>
      </c>
    </row>
    <row r="88" spans="1:1" x14ac:dyDescent="0.25">
      <c r="A88" s="12" t="str">
        <f ca="1">TEXT(Overig!A88,"000\,")&amp;TEXT(Overig!B88,"?00000000")&amp;SUBSTITUTE(TEXT(IF(ISTEXT(Overig!C88),Overig!C88,10*Overig!C88),""",""????0;"",""???-0;"",""????0;"", ////"""),"'","""")&amp;SUBSTITUTE(TEXT(Overig!D88,""",""?00;"",""?-00;"",""?00;"", //"""),"'","""")</f>
        <v>032, 19270328, 7670, 00</v>
      </c>
    </row>
    <row r="89" spans="1:1" x14ac:dyDescent="0.25">
      <c r="A89" s="12" t="str">
        <f ca="1">TEXT(Overig!A89,"000\,")&amp;TEXT(Overig!B89,"?00000000")&amp;SUBSTITUTE(TEXT(IF(ISTEXT(Overig!C89),Overig!C89,10*Overig!C89),""",""????0;"",""???-0;"",""????0;"", ////"""),"'","""")&amp;SUBSTITUTE(TEXT(Overig!D89,""",""?00;"",""?-00;"",""?00;"", //"""),"'","""")</f>
        <v>032, 19270329, 7665, 00</v>
      </c>
    </row>
    <row r="90" spans="1:1" x14ac:dyDescent="0.25">
      <c r="A90" s="12" t="str">
        <f ca="1">TEXT(Overig!A90,"000\,")&amp;TEXT(Overig!B90,"?00000000")&amp;SUBSTITUTE(TEXT(IF(ISTEXT(Overig!C90),Overig!C90,10*Overig!C90),""",""????0;"",""???-0;"",""????0;"", ////"""),"'","""")&amp;SUBSTITUTE(TEXT(Overig!D90,""",""?00;"",""?-00;"",""?00;"", //"""),"'","""")</f>
        <v>032, 19270330, 7660, 00</v>
      </c>
    </row>
    <row r="91" spans="1:1" x14ac:dyDescent="0.25">
      <c r="A91" s="12" t="str">
        <f ca="1">TEXT(Overig!A91,"000\,")&amp;TEXT(Overig!B91,"?00000000")&amp;SUBSTITUTE(TEXT(IF(ISTEXT(Overig!C91),Overig!C91,10*Overig!C91),""",""????0;"",""???-0;"",""????0;"", ////"""),"'","""")&amp;SUBSTITUTE(TEXT(Overig!D91,""",""?00;"",""?-00;"",""?00;"", //"""),"'","""")</f>
        <v>032, 19270331, 7660, 00</v>
      </c>
    </row>
    <row r="92" spans="1:1" x14ac:dyDescent="0.25">
      <c r="A92" s="12" t="str">
        <f ca="1">TEXT(Overig!A92,"000\,")&amp;TEXT(Overig!B92,"?00000000")&amp;SUBSTITUTE(TEXT(IF(ISTEXT(Overig!C92),Overig!C92,10*Overig!C92),""",""????0;"",""???-0;"",""????0;"", ////"""),"'","""")&amp;SUBSTITUTE(TEXT(Overig!D92,""",""?00;"",""?-00;"",""?00;"", //"""),"'","""")</f>
        <v>032, 19270401, 7660, 00</v>
      </c>
    </row>
    <row r="93" spans="1:1" x14ac:dyDescent="0.25">
      <c r="A93" s="12" t="str">
        <f ca="1">TEXT(Overig!A93,"000\,")&amp;TEXT(Overig!B93,"?00000000")&amp;SUBSTITUTE(TEXT(IF(ISTEXT(Overig!C93),Overig!C93,10*Overig!C93),""",""????0;"",""???-0;"",""????0;"", ////"""),"'","""")&amp;SUBSTITUTE(TEXT(Overig!D93,""",""?00;"",""?-00;"",""?00;"", //"""),"'","""")</f>
        <v>032, 19270402, 7660, 00</v>
      </c>
    </row>
    <row r="94" spans="1:1" x14ac:dyDescent="0.25">
      <c r="A94" s="12" t="str">
        <f ca="1">TEXT(Overig!A94,"000\,")&amp;TEXT(Overig!B94,"?00000000")&amp;SUBSTITUTE(TEXT(IF(ISTEXT(Overig!C94),Overig!C94,10*Overig!C94),""",""????0;"",""???-0;"",""????0;"", ////"""),"'","""")&amp;SUBSTITUTE(TEXT(Overig!D94,""",""?00;"",""?-00;"",""?00;"", //"""),"'","""")</f>
        <v>032, 19270403, 7660, 00</v>
      </c>
    </row>
    <row r="95" spans="1:1" x14ac:dyDescent="0.25">
      <c r="A95" s="12" t="str">
        <f ca="1">TEXT(Overig!A95,"000\,")&amp;TEXT(Overig!B95,"?00000000")&amp;SUBSTITUTE(TEXT(IF(ISTEXT(Overig!C95),Overig!C95,10*Overig!C95),""",""????0;"",""???-0;"",""????0;"", ////"""),"'","""")&amp;SUBSTITUTE(TEXT(Overig!D95,""",""?00;"",""?-00;"",""?00;"", //"""),"'","""")</f>
        <v>032, 19270404, 7655, 00</v>
      </c>
    </row>
    <row r="96" spans="1:1" x14ac:dyDescent="0.25">
      <c r="A96" s="12" t="str">
        <f ca="1">TEXT(Overig!A96,"000\,")&amp;TEXT(Overig!B96,"?00000000")&amp;SUBSTITUTE(TEXT(IF(ISTEXT(Overig!C96),Overig!C96,10*Overig!C96),""",""????0;"",""???-0;"",""????0;"", ////"""),"'","""")&amp;SUBSTITUTE(TEXT(Overig!D96,""",""?00;"",""?-00;"",""?00;"", //"""),"'","""")</f>
        <v>032, 19270405, 7655, 00</v>
      </c>
    </row>
    <row r="97" spans="1:1" x14ac:dyDescent="0.25">
      <c r="A97" s="12" t="str">
        <f ca="1">TEXT(Overig!A97,"000\,")&amp;TEXT(Overig!B97,"?00000000")&amp;SUBSTITUTE(TEXT(IF(ISTEXT(Overig!C97),Overig!C97,10*Overig!C97),""",""????0;"",""???-0;"",""????0;"", ////"""),"'","""")&amp;SUBSTITUTE(TEXT(Overig!D97,""",""?00;"",""?-00;"",""?00;"", //"""),"'","""")</f>
        <v>032, 19270406, 7650, 00</v>
      </c>
    </row>
    <row r="98" spans="1:1" x14ac:dyDescent="0.25">
      <c r="A98" s="12" t="str">
        <f ca="1">TEXT(Overig!A98,"000\,")&amp;TEXT(Overig!B98,"?00000000")&amp;SUBSTITUTE(TEXT(IF(ISTEXT(Overig!C98),Overig!C98,10*Overig!C98),""",""????0;"",""???-0;"",""????0;"", ////"""),"'","""")&amp;SUBSTITUTE(TEXT(Overig!D98,""",""?00;"",""?-00;"",""?00;"", //"""),"'","""")</f>
        <v>032, 19270407, 7650, 00</v>
      </c>
    </row>
    <row r="99" spans="1:1" x14ac:dyDescent="0.25">
      <c r="A99" s="12" t="str">
        <f ca="1">TEXT(Overig!A99,"000\,")&amp;TEXT(Overig!B99,"?00000000")&amp;SUBSTITUTE(TEXT(IF(ISTEXT(Overig!C99),Overig!C99,10*Overig!C99),""",""????0;"",""???-0;"",""????0;"", ////"""),"'","""")&amp;SUBSTITUTE(TEXT(Overig!D99,""",""?00;"",""?-00;"",""?00;"", //"""),"'","""")</f>
        <v>032, 19270408, 7650, 00</v>
      </c>
    </row>
    <row r="100" spans="1:1" x14ac:dyDescent="0.25">
      <c r="A100" s="12" t="str">
        <f ca="1">TEXT(Overig!A100,"000\,")&amp;TEXT(Overig!B100,"?00000000")&amp;SUBSTITUTE(TEXT(IF(ISTEXT(Overig!C100),Overig!C100,10*Overig!C100),""",""????0;"",""???-0;"",""????0;"", ////"""),"'","""")&amp;SUBSTITUTE(TEXT(Overig!D100,""",""?00;"",""?-00;"",""?00;"", //"""),"'","""")</f>
        <v>032, 19270409, 7640, 00</v>
      </c>
    </row>
    <row r="101" spans="1:1" x14ac:dyDescent="0.25">
      <c r="A101" s="12" t="str">
        <f ca="1">TEXT(Overig!A101,"000\,")&amp;TEXT(Overig!B101,"?00000000")&amp;SUBSTITUTE(TEXT(IF(ISTEXT(Overig!C101),Overig!C101,10*Overig!C101),""",""????0;"",""???-0;"",""????0;"", ////"""),"'","""")&amp;SUBSTITUTE(TEXT(Overig!D101,""",""?00;"",""?-00;"",""?00;"", //"""),"'","""")</f>
        <v>032, 19270410, 7635, 00</v>
      </c>
    </row>
    <row r="102" spans="1:1" x14ac:dyDescent="0.25">
      <c r="A102" s="12" t="str">
        <f ca="1">TEXT(Overig!A102,"000\,")&amp;TEXT(Overig!B102,"?00000000")&amp;SUBSTITUTE(TEXT(IF(ISTEXT(Overig!C102),Overig!C102,10*Overig!C102),""",""????0;"",""???-0;"",""????0;"", ////"""),"'","""")&amp;SUBSTITUTE(TEXT(Overig!D102,""",""?00;"",""?-00;"",""?00;"", //"""),"'","""")</f>
        <v>032, 19270411, 7635, 00</v>
      </c>
    </row>
    <row r="103" spans="1:1" x14ac:dyDescent="0.25">
      <c r="A103" s="12" t="str">
        <f ca="1">TEXT(Overig!A103,"000\,")&amp;TEXT(Overig!B103,"?00000000")&amp;SUBSTITUTE(TEXT(IF(ISTEXT(Overig!C103),Overig!C103,10*Overig!C103),""",""????0;"",""???-0;"",""????0;"", ////"""),"'","""")&amp;SUBSTITUTE(TEXT(Overig!D103,""",""?00;"",""?-00;"",""?00;"", //"""),"'","""")</f>
        <v>032, 19270412, 7645, 00</v>
      </c>
    </row>
    <row r="104" spans="1:1" x14ac:dyDescent="0.25">
      <c r="A104" s="12" t="str">
        <f ca="1">TEXT(Overig!A104,"000\,")&amp;TEXT(Overig!B104,"?00000000")&amp;SUBSTITUTE(TEXT(IF(ISTEXT(Overig!C104),Overig!C104,10*Overig!C104),""",""????0;"",""???-0;"",""????0;"", ////"""),"'","""")&amp;SUBSTITUTE(TEXT(Overig!D104,""",""?00;"",""?-00;"",""?00;"", //"""),"'","""")</f>
        <v>032, 19270413, 7645, 00</v>
      </c>
    </row>
    <row r="105" spans="1:1" x14ac:dyDescent="0.25">
      <c r="A105" s="12" t="str">
        <f ca="1">TEXT(Overig!A105,"000\,")&amp;TEXT(Overig!B105,"?00000000")&amp;SUBSTITUTE(TEXT(IF(ISTEXT(Overig!C105),Overig!C105,10*Overig!C105),""",""????0;"",""???-0;"",""????0;"", ////"""),"'","""")&amp;SUBSTITUTE(TEXT(Overig!D105,""",""?00;"",""?-00;"",""?00;"", //"""),"'","""")</f>
        <v>032, 19270414, 7655, 00</v>
      </c>
    </row>
    <row r="106" spans="1:1" x14ac:dyDescent="0.25">
      <c r="A106" s="12" t="str">
        <f ca="1">TEXT(Overig!A106,"000\,")&amp;TEXT(Overig!B106,"?00000000")&amp;SUBSTITUTE(TEXT(IF(ISTEXT(Overig!C106),Overig!C106,10*Overig!C106),""",""????0;"",""???-0;"",""????0;"", ////"""),"'","""")&amp;SUBSTITUTE(TEXT(Overig!D106,""",""?00;"",""?-00;"",""?00;"", //"""),"'","""")</f>
        <v>032, 19270415, 7650, 00</v>
      </c>
    </row>
    <row r="107" spans="1:1" x14ac:dyDescent="0.25">
      <c r="A107" s="12" t="str">
        <f ca="1">TEXT(Overig!A107,"000\,")&amp;TEXT(Overig!B107,"?00000000")&amp;SUBSTITUTE(TEXT(IF(ISTEXT(Overig!C107),Overig!C107,10*Overig!C107),""",""????0;"",""???-0;"",""????0;"", ////"""),"'","""")&amp;SUBSTITUTE(TEXT(Overig!D107,""",""?00;"",""?-00;"",""?00;"", //"""),"'","""")</f>
        <v>032, 19270416, 7650, 00</v>
      </c>
    </row>
    <row r="108" spans="1:1" x14ac:dyDescent="0.25">
      <c r="A108" s="12" t="str">
        <f ca="1">TEXT(Overig!A108,"000\,")&amp;TEXT(Overig!B108,"?00000000")&amp;SUBSTITUTE(TEXT(IF(ISTEXT(Overig!C108),Overig!C108,10*Overig!C108),""",""????0;"",""???-0;"",""????0;"", ////"""),"'","""")&amp;SUBSTITUTE(TEXT(Overig!D108,""",""?00;"",""?-00;"",""?00;"", //"""),"'","""")</f>
        <v>032, 19270417, 7645, 00</v>
      </c>
    </row>
    <row r="109" spans="1:1" x14ac:dyDescent="0.25">
      <c r="A109" s="12" t="str">
        <f ca="1">TEXT(Overig!A109,"000\,")&amp;TEXT(Overig!B109,"?00000000")&amp;SUBSTITUTE(TEXT(IF(ISTEXT(Overig!C109),Overig!C109,10*Overig!C109),""",""????0;"",""???-0;"",""????0;"", ////"""),"'","""")&amp;SUBSTITUTE(TEXT(Overig!D109,""",""?00;"",""?-00;"",""?00;"", //"""),"'","""")</f>
        <v>032, 19270418, 7645, 00</v>
      </c>
    </row>
    <row r="110" spans="1:1" x14ac:dyDescent="0.25">
      <c r="A110" s="12" t="str">
        <f ca="1">TEXT(Overig!A110,"000\,")&amp;TEXT(Overig!B110,"?00000000")&amp;SUBSTITUTE(TEXT(IF(ISTEXT(Overig!C110),Overig!C110,10*Overig!C110),""",""????0;"",""???-0;"",""????0;"", ////"""),"'","""")&amp;SUBSTITUTE(TEXT(Overig!D110,""",""?00;"",""?-00;"",""?00;"", //"""),"'","""")</f>
        <v>032, 19270419, 7650, 00</v>
      </c>
    </row>
    <row r="111" spans="1:1" x14ac:dyDescent="0.25">
      <c r="A111" s="12" t="str">
        <f ca="1">TEXT(Overig!A111,"000\,")&amp;TEXT(Overig!B111,"?00000000")&amp;SUBSTITUTE(TEXT(IF(ISTEXT(Overig!C111),Overig!C111,10*Overig!C111),""",""????0;"",""???-0;"",""????0;"", ////"""),"'","""")&amp;SUBSTITUTE(TEXT(Overig!D111,""",""?00;"",""?-00;"",""?00;"", //"""),"'","""")</f>
        <v>032, 19270420, 7645, 00</v>
      </c>
    </row>
    <row r="112" spans="1:1" x14ac:dyDescent="0.25">
      <c r="A112" s="12" t="str">
        <f ca="1">TEXT(Overig!A112,"000\,")&amp;TEXT(Overig!B112,"?00000000")&amp;SUBSTITUTE(TEXT(IF(ISTEXT(Overig!C112),Overig!C112,10*Overig!C112),""",""????0;"",""???-0;"",""????0;"", ////"""),"'","""")&amp;SUBSTITUTE(TEXT(Overig!D112,""",""?00;"",""?-00;"",""?00;"", //"""),"'","""")</f>
        <v>032, 19270421, 7655, 00</v>
      </c>
    </row>
    <row r="113" spans="1:1" x14ac:dyDescent="0.25">
      <c r="A113" s="12" t="str">
        <f ca="1">TEXT(Overig!A113,"000\,")&amp;TEXT(Overig!B113,"?00000000")&amp;SUBSTITUTE(TEXT(IF(ISTEXT(Overig!C113),Overig!C113,10*Overig!C113),""",""????0;"",""???-0;"",""????0;"", ////"""),"'","""")&amp;SUBSTITUTE(TEXT(Overig!D113,""",""?00;"",""?-00;"",""?00;"", //"""),"'","""")</f>
        <v>032, 19270422, 7655, 00</v>
      </c>
    </row>
    <row r="114" spans="1:1" x14ac:dyDescent="0.25">
      <c r="A114" s="12" t="str">
        <f ca="1">TEXT(Overig!A114,"000\,")&amp;TEXT(Overig!B114,"?00000000")&amp;SUBSTITUTE(TEXT(IF(ISTEXT(Overig!C114),Overig!C114,10*Overig!C114),""",""????0;"",""???-0;"",""????0;"", ////"""),"'","""")&amp;SUBSTITUTE(TEXT(Overig!D114,""",""?00;"",""?-00;"",""?00;"", //"""),"'","""")</f>
        <v>032, 19270423, 7645, 00</v>
      </c>
    </row>
    <row r="115" spans="1:1" x14ac:dyDescent="0.25">
      <c r="A115" s="12" t="str">
        <f ca="1">TEXT(Overig!A115,"000\,")&amp;TEXT(Overig!B115,"?00000000")&amp;SUBSTITUTE(TEXT(IF(ISTEXT(Overig!C115),Overig!C115,10*Overig!C115),""",""????0;"",""???-0;"",""????0;"", ////"""),"'","""")&amp;SUBSTITUTE(TEXT(Overig!D115,""",""?00;"",""?-00;"",""?00;"", //"""),"'","""")</f>
        <v>032, 19270424, 7655, 00</v>
      </c>
    </row>
    <row r="116" spans="1:1" x14ac:dyDescent="0.25">
      <c r="A116" s="12" t="str">
        <f ca="1">TEXT(Overig!A116,"000\,")&amp;TEXT(Overig!B116,"?00000000")&amp;SUBSTITUTE(TEXT(IF(ISTEXT(Overig!C116),Overig!C116,10*Overig!C116),""",""????0;"",""???-0;"",""????0;"", ////"""),"'","""")&amp;SUBSTITUTE(TEXT(Overig!D116,""",""?00;"",""?-00;"",""?00;"", //"""),"'","""")</f>
        <v>032, 19270425, 7650, 00</v>
      </c>
    </row>
    <row r="117" spans="1:1" x14ac:dyDescent="0.25">
      <c r="A117" s="12" t="str">
        <f ca="1">TEXT(Overig!A117,"000\,")&amp;TEXT(Overig!B117,"?00000000")&amp;SUBSTITUTE(TEXT(IF(ISTEXT(Overig!C117),Overig!C117,10*Overig!C117),""",""????0;"",""???-0;"",""????0;"", ////"""),"'","""")&amp;SUBSTITUTE(TEXT(Overig!D117,""",""?00;"",""?-00;"",""?00;"", //"""),"'","""")</f>
        <v>032, 19270426, 7650, 00</v>
      </c>
    </row>
    <row r="118" spans="1:1" x14ac:dyDescent="0.25">
      <c r="A118" s="12" t="str">
        <f ca="1">TEXT(Overig!A118,"000\,")&amp;TEXT(Overig!B118,"?00000000")&amp;SUBSTITUTE(TEXT(IF(ISTEXT(Overig!C118),Overig!C118,10*Overig!C118),""",""????0;"",""???-0;"",""????0;"", ////"""),"'","""")&amp;SUBSTITUTE(TEXT(Overig!D118,""",""?00;"",""?-00;"",""?00;"", //"""),"'","""")</f>
        <v>032, 19270427, 7640, 00</v>
      </c>
    </row>
    <row r="119" spans="1:1" x14ac:dyDescent="0.25">
      <c r="A119" s="12" t="str">
        <f ca="1">TEXT(Overig!A119,"000\,")&amp;TEXT(Overig!B119,"?00000000")&amp;SUBSTITUTE(TEXT(IF(ISTEXT(Overig!C119),Overig!C119,10*Overig!C119),""",""????0;"",""???-0;"",""????0;"", ////"""),"'","""")&amp;SUBSTITUTE(TEXT(Overig!D119,""",""?00;"",""?-00;"",""?00;"", //"""),"'","""")</f>
        <v>032, 19270428, 7640, 00</v>
      </c>
    </row>
    <row r="120" spans="1:1" x14ac:dyDescent="0.25">
      <c r="A120" s="12" t="str">
        <f ca="1">TEXT(Overig!A120,"000\,")&amp;TEXT(Overig!B120,"?00000000")&amp;SUBSTITUTE(TEXT(IF(ISTEXT(Overig!C120),Overig!C120,10*Overig!C120),""",""????0;"",""???-0;"",""????0;"", ////"""),"'","""")&amp;SUBSTITUTE(TEXT(Overig!D120,""",""?00;"",""?-00;"",""?00;"", //"""),"'","""")</f>
        <v>032, 19270429, 7645, 00</v>
      </c>
    </row>
    <row r="121" spans="1:1" x14ac:dyDescent="0.25">
      <c r="A121" s="12" t="str">
        <f ca="1">TEXT(Overig!A121,"000\,")&amp;TEXT(Overig!B121,"?00000000")&amp;SUBSTITUTE(TEXT(IF(ISTEXT(Overig!C121),Overig!C121,10*Overig!C121),""",""????0;"",""???-0;"",""????0;"", ////"""),"'","""")&amp;SUBSTITUTE(TEXT(Overig!D121,""",""?00;"",""?-00;"",""?00;"", //"""),"'","""")</f>
        <v>032, 19270430, 7650, 00</v>
      </c>
    </row>
    <row r="122" spans="1:1" x14ac:dyDescent="0.25">
      <c r="A122" s="12" t="str">
        <f ca="1">TEXT(Overig!A122,"000\,")&amp;TEXT(Overig!B122,"?00000000")&amp;SUBSTITUTE(TEXT(IF(ISTEXT(Overig!C122),Overig!C122,10*Overig!C122),""",""????0;"",""???-0;"",""????0;"", ////"""),"'","""")&amp;SUBSTITUTE(TEXT(Overig!D122,""",""?00;"",""?-00;"",""?00;"", //"""),"'","""")</f>
        <v>032, 19270501, 7645, 00</v>
      </c>
    </row>
    <row r="123" spans="1:1" x14ac:dyDescent="0.25">
      <c r="A123" s="12" t="str">
        <f ca="1">TEXT(Overig!A123,"000\,")&amp;TEXT(Overig!B123,"?00000000")&amp;SUBSTITUTE(TEXT(IF(ISTEXT(Overig!C123),Overig!C123,10*Overig!C123),""",""????0;"",""???-0;"",""????0;"", ////"""),"'","""")&amp;SUBSTITUTE(TEXT(Overig!D123,""",""?00;"",""?-00;"",""?00;"", //"""),"'","""")</f>
        <v>032, 19270502, 7645, 00</v>
      </c>
    </row>
    <row r="124" spans="1:1" x14ac:dyDescent="0.25">
      <c r="A124" s="12" t="str">
        <f ca="1">TEXT(Overig!A124,"000\,")&amp;TEXT(Overig!B124,"?00000000")&amp;SUBSTITUTE(TEXT(IF(ISTEXT(Overig!C124),Overig!C124,10*Overig!C124),""",""????0;"",""???-0;"",""????0;"", ////"""),"'","""")&amp;SUBSTITUTE(TEXT(Overig!D124,""",""?00;"",""?-00;"",""?00;"", //"""),"'","""")</f>
        <v>032, 19270503, 7650, 00</v>
      </c>
    </row>
    <row r="125" spans="1:1" x14ac:dyDescent="0.25">
      <c r="A125" s="12" t="str">
        <f ca="1">TEXT(Overig!A125,"000\,")&amp;TEXT(Overig!B125,"?00000000")&amp;SUBSTITUTE(TEXT(IF(ISTEXT(Overig!C125),Overig!C125,10*Overig!C125),""",""????0;"",""???-0;"",""????0;"", ////"""),"'","""")&amp;SUBSTITUTE(TEXT(Overig!D125,""",""?00;"",""?-00;"",""?00;"", //"""),"'","""")</f>
        <v>032, 19270504, 7660, 00</v>
      </c>
    </row>
    <row r="126" spans="1:1" x14ac:dyDescent="0.25">
      <c r="A126" s="12" t="str">
        <f ca="1">TEXT(Overig!A126,"000\,")&amp;TEXT(Overig!B126,"?00000000")&amp;SUBSTITUTE(TEXT(IF(ISTEXT(Overig!C126),Overig!C126,10*Overig!C126),""",""????0;"",""???-0;"",""????0;"", ////"""),"'","""")&amp;SUBSTITUTE(TEXT(Overig!D126,""",""?00;"",""?-00;"",""?00;"", //"""),"'","""")</f>
        <v>032, 19270505, 7655, 00</v>
      </c>
    </row>
    <row r="127" spans="1:1" x14ac:dyDescent="0.25">
      <c r="A127" s="12" t="str">
        <f ca="1">TEXT(Overig!A127,"000\,")&amp;TEXT(Overig!B127,"?00000000")&amp;SUBSTITUTE(TEXT(IF(ISTEXT(Overig!C127),Overig!C127,10*Overig!C127),""",""????0;"",""???-0;"",""????0;"", ////"""),"'","""")&amp;SUBSTITUTE(TEXT(Overig!D127,""",""?00;"",""?-00;"",""?00;"", //"""),"'","""")</f>
        <v>032, 19270506, 7650, 00</v>
      </c>
    </row>
    <row r="128" spans="1:1" x14ac:dyDescent="0.25">
      <c r="A128" s="12" t="str">
        <f ca="1">TEXT(Overig!A128,"000\,")&amp;TEXT(Overig!B128,"?00000000")&amp;SUBSTITUTE(TEXT(IF(ISTEXT(Overig!C128),Overig!C128,10*Overig!C128),""",""????0;"",""???-0;"",""????0;"", ////"""),"'","""")&amp;SUBSTITUTE(TEXT(Overig!D128,""",""?00;"",""?-00;"",""?00;"", //"""),"'","""")</f>
        <v>032, 19270507, 7645, 00</v>
      </c>
    </row>
    <row r="129" spans="1:1" x14ac:dyDescent="0.25">
      <c r="A129" s="12" t="str">
        <f ca="1">TEXT(Overig!A129,"000\,")&amp;TEXT(Overig!B129,"?00000000")&amp;SUBSTITUTE(TEXT(IF(ISTEXT(Overig!C129),Overig!C129,10*Overig!C129),""",""????0;"",""???-0;"",""????0;"", ////"""),"'","""")&amp;SUBSTITUTE(TEXT(Overig!D129,""",""?00;"",""?-00;"",""?00;"", //"""),"'","""")</f>
        <v>032, 19270508, 7655, 00</v>
      </c>
    </row>
    <row r="130" spans="1:1" x14ac:dyDescent="0.25">
      <c r="A130" s="12" t="str">
        <f ca="1">TEXT(Overig!A130,"000\,")&amp;TEXT(Overig!B130,"?00000000")&amp;SUBSTITUTE(TEXT(IF(ISTEXT(Overig!C130),Overig!C130,10*Overig!C130),""",""????0;"",""???-0;"",""????0;"", ////"""),"'","""")&amp;SUBSTITUTE(TEXT(Overig!D130,""",""?00;"",""?-00;"",""?00;"", //"""),"'","""")</f>
        <v>032, 19270509, 7650, 00</v>
      </c>
    </row>
    <row r="131" spans="1:1" x14ac:dyDescent="0.25">
      <c r="A131" s="12" t="str">
        <f ca="1">TEXT(Overig!A131,"000\,")&amp;TEXT(Overig!B131,"?00000000")&amp;SUBSTITUTE(TEXT(IF(ISTEXT(Overig!C131),Overig!C131,10*Overig!C131),""",""????0;"",""???-0;"",""????0;"", ////"""),"'","""")&amp;SUBSTITUTE(TEXT(Overig!D131,""",""?00;"",""?-00;"",""?00;"", //"""),"'","""")</f>
        <v>032, 19270510, 7650, 00</v>
      </c>
    </row>
    <row r="132" spans="1:1" x14ac:dyDescent="0.25">
      <c r="A132" s="12" t="str">
        <f ca="1">TEXT(Overig!A132,"000\,")&amp;TEXT(Overig!B132,"?00000000")&amp;SUBSTITUTE(TEXT(IF(ISTEXT(Overig!C132),Overig!C132,10*Overig!C132),""",""????0;"",""???-0;"",""????0;"", ////"""),"'","""")&amp;SUBSTITUTE(TEXT(Overig!D132,""",""?00;"",""?-00;"",""?00;"", //"""),"'","""")</f>
        <v>032, 19270511, 7650, 00</v>
      </c>
    </row>
    <row r="133" spans="1:1" x14ac:dyDescent="0.25">
      <c r="A133" s="12" t="str">
        <f ca="1">TEXT(Overig!A133,"000\,")&amp;TEXT(Overig!B133,"?00000000")&amp;SUBSTITUTE(TEXT(IF(ISTEXT(Overig!C133),Overig!C133,10*Overig!C133),""",""????0;"",""???-0;"",""????0;"", ////"""),"'","""")&amp;SUBSTITUTE(TEXT(Overig!D133,""",""?00;"",""?-00;"",""?00;"", //"""),"'","""")</f>
        <v>032, 19270512, 7665, 00</v>
      </c>
    </row>
    <row r="134" spans="1:1" x14ac:dyDescent="0.25">
      <c r="A134" s="12" t="str">
        <f ca="1">TEXT(Overig!A134,"000\,")&amp;TEXT(Overig!B134,"?00000000")&amp;SUBSTITUTE(TEXT(IF(ISTEXT(Overig!C134),Overig!C134,10*Overig!C134),""",""????0;"",""???-0;"",""????0;"", ////"""),"'","""")&amp;SUBSTITUTE(TEXT(Overig!D134,""",""?00;"",""?-00;"",""?00;"", //"""),"'","""")</f>
        <v>032, 19270513, 7670, 00</v>
      </c>
    </row>
    <row r="135" spans="1:1" x14ac:dyDescent="0.25">
      <c r="A135" s="12" t="str">
        <f ca="1">TEXT(Overig!A135,"000\,")&amp;TEXT(Overig!B135,"?00000000")&amp;SUBSTITUTE(TEXT(IF(ISTEXT(Overig!C135),Overig!C135,10*Overig!C135),""",""????0;"",""???-0;"",""????0;"", ////"""),"'","""")&amp;SUBSTITUTE(TEXT(Overig!D135,""",""?00;"",""?-00;"",""?00;"", //"""),"'","""")</f>
        <v>032, 19270514, 7660, 00</v>
      </c>
    </row>
    <row r="136" spans="1:1" x14ac:dyDescent="0.25">
      <c r="A136" s="12" t="str">
        <f ca="1">TEXT(Overig!A136,"000\,")&amp;TEXT(Overig!B136,"?00000000")&amp;SUBSTITUTE(TEXT(IF(ISTEXT(Overig!C136),Overig!C136,10*Overig!C136),""",""????0;"",""???-0;"",""????0;"", ////"""),"'","""")&amp;SUBSTITUTE(TEXT(Overig!D136,""",""?00;"",""?-00;"",""?00;"", //"""),"'","""")</f>
        <v>032, 19270515, 7655, 00</v>
      </c>
    </row>
    <row r="137" spans="1:1" x14ac:dyDescent="0.25">
      <c r="A137" s="12" t="str">
        <f ca="1">TEXT(Overig!A137,"000\,")&amp;TEXT(Overig!B137,"?00000000")&amp;SUBSTITUTE(TEXT(IF(ISTEXT(Overig!C137),Overig!C137,10*Overig!C137),""",""????0;"",""???-0;"",""????0;"", ////"""),"'","""")&amp;SUBSTITUTE(TEXT(Overig!D137,""",""?00;"",""?-00;"",""?00;"", //"""),"'","""")</f>
        <v>032, 19270516, 7660, 00</v>
      </c>
    </row>
    <row r="138" spans="1:1" x14ac:dyDescent="0.25">
      <c r="A138" s="12" t="str">
        <f ca="1">TEXT(Overig!A138,"000\,")&amp;TEXT(Overig!B138,"?00000000")&amp;SUBSTITUTE(TEXT(IF(ISTEXT(Overig!C138),Overig!C138,10*Overig!C138),""",""????0;"",""???-0;"",""????0;"", ////"""),"'","""")&amp;SUBSTITUTE(TEXT(Overig!D138,""",""?00;"",""?-00;"",""?00;"", //"""),"'","""")</f>
        <v>032, 19270517, 7650, 00</v>
      </c>
    </row>
    <row r="139" spans="1:1" x14ac:dyDescent="0.25">
      <c r="A139" s="12" t="str">
        <f ca="1">TEXT(Overig!A139,"000\,")&amp;TEXT(Overig!B139,"?00000000")&amp;SUBSTITUTE(TEXT(IF(ISTEXT(Overig!C139),Overig!C139,10*Overig!C139),""",""????0;"",""???-0;"",""????0;"", ////"""),"'","""")&amp;SUBSTITUTE(TEXT(Overig!D139,""",""?00;"",""?-00;"",""?00;"", //"""),"'","""")</f>
        <v>032, 19270518, 7655, 00</v>
      </c>
    </row>
    <row r="140" spans="1:1" x14ac:dyDescent="0.25">
      <c r="A140" s="12" t="str">
        <f ca="1">TEXT(Overig!A140,"000\,")&amp;TEXT(Overig!B140,"?00000000")&amp;SUBSTITUTE(TEXT(IF(ISTEXT(Overig!C140),Overig!C140,10*Overig!C140),""",""????0;"",""???-0;"",""????0;"", ////"""),"'","""")&amp;SUBSTITUTE(TEXT(Overig!D140,""",""?00;"",""?-00;"",""?00;"", //"""),"'","""")</f>
        <v>032, 19270519, 7650, 00</v>
      </c>
    </row>
    <row r="141" spans="1:1" x14ac:dyDescent="0.25">
      <c r="A141" s="12" t="str">
        <f ca="1">TEXT(Overig!A141,"000\,")&amp;TEXT(Overig!B141,"?00000000")&amp;SUBSTITUTE(TEXT(IF(ISTEXT(Overig!C141),Overig!C141,10*Overig!C141),""",""????0;"",""???-0;"",""????0;"", ////"""),"'","""")&amp;SUBSTITUTE(TEXT(Overig!D141,""",""?00;"",""?-00;"",""?00;"", //"""),"'","""")</f>
        <v>032, 19270520, 7650, 00</v>
      </c>
    </row>
    <row r="142" spans="1:1" x14ac:dyDescent="0.25">
      <c r="A142" s="12" t="str">
        <f ca="1">TEXT(Overig!A142,"000\,")&amp;TEXT(Overig!B142,"?00000000")&amp;SUBSTITUTE(TEXT(IF(ISTEXT(Overig!C142),Overig!C142,10*Overig!C142),""",""????0;"",""???-0;"",""????0;"", ////"""),"'","""")&amp;SUBSTITUTE(TEXT(Overig!D142,""",""?00;"",""?-00;"",""?00;"", //"""),"'","""")</f>
        <v>032, 19270521, 7660, 00</v>
      </c>
    </row>
    <row r="143" spans="1:1" x14ac:dyDescent="0.25">
      <c r="A143" s="12" t="str">
        <f ca="1">TEXT(Overig!A143,"000\,")&amp;TEXT(Overig!B143,"?00000000")&amp;SUBSTITUTE(TEXT(IF(ISTEXT(Overig!C143),Overig!C143,10*Overig!C143),""",""????0;"",""???-0;"",""????0;"", ////"""),"'","""")&amp;SUBSTITUTE(TEXT(Overig!D143,""",""?00;"",""?-00;"",""?00;"", //"""),"'","""")</f>
        <v>032, 19270522, 7655, 00</v>
      </c>
    </row>
    <row r="144" spans="1:1" x14ac:dyDescent="0.25">
      <c r="A144" s="12" t="str">
        <f ca="1">TEXT(Overig!A144,"000\,")&amp;TEXT(Overig!B144,"?00000000")&amp;SUBSTITUTE(TEXT(IF(ISTEXT(Overig!C144),Overig!C144,10*Overig!C144),""",""????0;"",""???-0;"",""????0;"", ////"""),"'","""")&amp;SUBSTITUTE(TEXT(Overig!D144,""",""?00;"",""?-00;"",""?00;"", //"""),"'","""")</f>
        <v>032, 19270523, 7660, 00</v>
      </c>
    </row>
    <row r="145" spans="1:1" x14ac:dyDescent="0.25">
      <c r="A145" s="12" t="str">
        <f ca="1">TEXT(Overig!A145,"000\,")&amp;TEXT(Overig!B145,"?00000000")&amp;SUBSTITUTE(TEXT(IF(ISTEXT(Overig!C145),Overig!C145,10*Overig!C145),""",""????0;"",""???-0;"",""????0;"", ////"""),"'","""")&amp;SUBSTITUTE(TEXT(Overig!D145,""",""?00;"",""?-00;"",""?00;"", //"""),"'","""")</f>
        <v>032, 19270524, 7655, 00</v>
      </c>
    </row>
    <row r="146" spans="1:1" x14ac:dyDescent="0.25">
      <c r="A146" s="12" t="str">
        <f ca="1">TEXT(Overig!A146,"000\,")&amp;TEXT(Overig!B146,"?00000000")&amp;SUBSTITUTE(TEXT(IF(ISTEXT(Overig!C146),Overig!C146,10*Overig!C146),""",""????0;"",""???-0;"",""????0;"", ////"""),"'","""")&amp;SUBSTITUTE(TEXT(Overig!D146,""",""?00;"",""?-00;"",""?00;"", //"""),"'","""")</f>
        <v>032, 19270525, 7650, 00</v>
      </c>
    </row>
    <row r="147" spans="1:1" x14ac:dyDescent="0.25">
      <c r="A147" s="12" t="str">
        <f ca="1">TEXT(Overig!A147,"000\,")&amp;TEXT(Overig!B147,"?00000000")&amp;SUBSTITUTE(TEXT(IF(ISTEXT(Overig!C147),Overig!C147,10*Overig!C147),""",""????0;"",""???-0;"",""????0;"", ////"""),"'","""")&amp;SUBSTITUTE(TEXT(Overig!D147,""",""?00;"",""?-00;"",""?00;"", //"""),"'","""")</f>
        <v>032, 19270526, 7645, 00</v>
      </c>
    </row>
    <row r="148" spans="1:1" x14ac:dyDescent="0.25">
      <c r="A148" s="12" t="str">
        <f ca="1">TEXT(Overig!A148,"000\,")&amp;TEXT(Overig!B148,"?00000000")&amp;SUBSTITUTE(TEXT(IF(ISTEXT(Overig!C148),Overig!C148,10*Overig!C148),""",""????0;"",""???-0;"",""????0;"", ////"""),"'","""")&amp;SUBSTITUTE(TEXT(Overig!D148,""",""?00;"",""?-00;"",""?00;"", //"""),"'","""")</f>
        <v>032, 19270527, 7635, 00</v>
      </c>
    </row>
    <row r="149" spans="1:1" x14ac:dyDescent="0.25">
      <c r="A149" s="12" t="str">
        <f ca="1">TEXT(Overig!A149,"000\,")&amp;TEXT(Overig!B149,"?00000000")&amp;SUBSTITUTE(TEXT(IF(ISTEXT(Overig!C149),Overig!C149,10*Overig!C149),""",""????0;"",""???-0;"",""????0;"", ////"""),"'","""")&amp;SUBSTITUTE(TEXT(Overig!D149,""",""?00;"",""?-00;"",""?00;"", //"""),"'","""")</f>
        <v>032, 19270528, 7645, 00</v>
      </c>
    </row>
    <row r="150" spans="1:1" x14ac:dyDescent="0.25">
      <c r="A150" s="12" t="str">
        <f ca="1">TEXT(Overig!A150,"000\,")&amp;TEXT(Overig!B150,"?00000000")&amp;SUBSTITUTE(TEXT(IF(ISTEXT(Overig!C150),Overig!C150,10*Overig!C150),""",""????0;"",""???-0;"",""????0;"", ////"""),"'","""")&amp;SUBSTITUTE(TEXT(Overig!D150,""",""?00;"",""?-00;"",""?00;"", //"""),"'","""")</f>
        <v>032, 19270529, 7655, 00</v>
      </c>
    </row>
    <row r="151" spans="1:1" x14ac:dyDescent="0.25">
      <c r="A151" s="12" t="str">
        <f ca="1">TEXT(Overig!A151,"000\,")&amp;TEXT(Overig!B151,"?00000000")&amp;SUBSTITUTE(TEXT(IF(ISTEXT(Overig!C151),Overig!C151,10*Overig!C151),""",""????0;"",""???-0;"",""????0;"", ////"""),"'","""")&amp;SUBSTITUTE(TEXT(Overig!D151,""",""?00;"",""?-00;"",""?00;"", //"""),"'","""")</f>
        <v>032, 19270530, 7665, 00</v>
      </c>
    </row>
    <row r="152" spans="1:1" x14ac:dyDescent="0.25">
      <c r="A152" s="12" t="str">
        <f ca="1">TEXT(Overig!A152,"000\,")&amp;TEXT(Overig!B152,"?00000000")&amp;SUBSTITUTE(TEXT(IF(ISTEXT(Overig!C152),Overig!C152,10*Overig!C152),""",""????0;"",""???-0;"",""????0;"", ////"""),"'","""")&amp;SUBSTITUTE(TEXT(Overig!D152,""",""?00;"",""?-00;"",""?00;"", //"""),"'","""")</f>
        <v>032, 19270531, 7665, 00</v>
      </c>
    </row>
    <row r="153" spans="1:1" x14ac:dyDescent="0.25">
      <c r="A153" s="12" t="str">
        <f ca="1">TEXT(Overig!A153,"000\,")&amp;TEXT(Overig!B153,"?00000000")&amp;SUBSTITUTE(TEXT(IF(ISTEXT(Overig!C153),Overig!C153,10*Overig!C153),""",""????0;"",""???-0;"",""????0;"", ////"""),"'","""")&amp;SUBSTITUTE(TEXT(Overig!D153,""",""?00;"",""?-00;"",""?00;"", //"""),"'","""")</f>
        <v>032, 19270601, 7650, 00</v>
      </c>
    </row>
    <row r="154" spans="1:1" x14ac:dyDescent="0.25">
      <c r="A154" s="12" t="str">
        <f ca="1">TEXT(Overig!A154,"000\,")&amp;TEXT(Overig!B154,"?00000000")&amp;SUBSTITUTE(TEXT(IF(ISTEXT(Overig!C154),Overig!C154,10*Overig!C154),""",""????0;"",""???-0;"",""????0;"", ////"""),"'","""")&amp;SUBSTITUTE(TEXT(Overig!D154,""",""?00;"",""?-00;"",""?00;"", //"""),"'","""")</f>
        <v>032, 19270602, 7650, 00</v>
      </c>
    </row>
    <row r="155" spans="1:1" x14ac:dyDescent="0.25">
      <c r="A155" s="12" t="str">
        <f ca="1">TEXT(Overig!A155,"000\,")&amp;TEXT(Overig!B155,"?00000000")&amp;SUBSTITUTE(TEXT(IF(ISTEXT(Overig!C155),Overig!C155,10*Overig!C155),""",""????0;"",""???-0;"",""????0;"", ////"""),"'","""")&amp;SUBSTITUTE(TEXT(Overig!D155,""",""?00;"",""?-00;"",""?00;"", //"""),"'","""")</f>
        <v>032, 19270603, 7655, 00</v>
      </c>
    </row>
    <row r="156" spans="1:1" x14ac:dyDescent="0.25">
      <c r="A156" s="12" t="str">
        <f ca="1">TEXT(Overig!A156,"000\,")&amp;TEXT(Overig!B156,"?00000000")&amp;SUBSTITUTE(TEXT(IF(ISTEXT(Overig!C156),Overig!C156,10*Overig!C156),""",""????0;"",""???-0;"",""????0;"", ////"""),"'","""")&amp;SUBSTITUTE(TEXT(Overig!D156,""",""?00;"",""?-00;"",""?00;"", //"""),"'","""")</f>
        <v>032, 19270604, 7655, 00</v>
      </c>
    </row>
    <row r="157" spans="1:1" x14ac:dyDescent="0.25">
      <c r="A157" s="12" t="str">
        <f ca="1">TEXT(Overig!A157,"000\,")&amp;TEXT(Overig!B157,"?00000000")&amp;SUBSTITUTE(TEXT(IF(ISTEXT(Overig!C157),Overig!C157,10*Overig!C157),""",""????0;"",""???-0;"",""????0;"", ////"""),"'","""")&amp;SUBSTITUTE(TEXT(Overig!D157,""",""?00;"",""?-00;"",""?00;"", //"""),"'","""")</f>
        <v>032, 19270605, 7655, 00</v>
      </c>
    </row>
    <row r="158" spans="1:1" x14ac:dyDescent="0.25">
      <c r="A158" s="12" t="str">
        <f ca="1">TEXT(Overig!A158,"000\,")&amp;TEXT(Overig!B158,"?00000000")&amp;SUBSTITUTE(TEXT(IF(ISTEXT(Overig!C158),Overig!C158,10*Overig!C158),""",""????0;"",""???-0;"",""????0;"", ////"""),"'","""")&amp;SUBSTITUTE(TEXT(Overig!D158,""",""?00;"",""?-00;"",""?00;"", //"""),"'","""")</f>
        <v>032, 19270606, 7665, 00</v>
      </c>
    </row>
    <row r="159" spans="1:1" x14ac:dyDescent="0.25">
      <c r="A159" s="12" t="str">
        <f ca="1">TEXT(Overig!A159,"000\,")&amp;TEXT(Overig!B159,"?00000000")&amp;SUBSTITUTE(TEXT(IF(ISTEXT(Overig!C159),Overig!C159,10*Overig!C159),""",""????0;"",""???-0;"",""????0;"", ////"""),"'","""")&amp;SUBSTITUTE(TEXT(Overig!D159,""",""?00;"",""?-00;"",""?00;"", //"""),"'","""")</f>
        <v>032, 19270607, 7660, 00</v>
      </c>
    </row>
    <row r="160" spans="1:1" x14ac:dyDescent="0.25">
      <c r="A160" s="12" t="str">
        <f ca="1">TEXT(Overig!A160,"000\,")&amp;TEXT(Overig!B160,"?00000000")&amp;SUBSTITUTE(TEXT(IF(ISTEXT(Overig!C160),Overig!C160,10*Overig!C160),""",""????0;"",""???-0;"",""????0;"", ////"""),"'","""")&amp;SUBSTITUTE(TEXT(Overig!D160,""",""?00;"",""?-00;"",""?00;"", //"""),"'","""")</f>
        <v>032, 19270608, 7660, 00</v>
      </c>
    </row>
    <row r="161" spans="1:1" x14ac:dyDescent="0.25">
      <c r="A161" s="12" t="str">
        <f ca="1">TEXT(Overig!A161,"000\,")&amp;TEXT(Overig!B161,"?00000000")&amp;SUBSTITUTE(TEXT(IF(ISTEXT(Overig!C161),Overig!C161,10*Overig!C161),""",""????0;"",""???-0;"",""????0;"", ////"""),"'","""")&amp;SUBSTITUTE(TEXT(Overig!D161,""",""?00;"",""?-00;"",""?00;"", //"""),"'","""")</f>
        <v>032, 19270609, 7655, 00</v>
      </c>
    </row>
    <row r="162" spans="1:1" x14ac:dyDescent="0.25">
      <c r="A162" s="12" t="str">
        <f ca="1">TEXT(Overig!A162,"000\,")&amp;TEXT(Overig!B162,"?00000000")&amp;SUBSTITUTE(TEXT(IF(ISTEXT(Overig!C162),Overig!C162,10*Overig!C162),""",""????0;"",""???-0;"",""????0;"", ////"""),"'","""")&amp;SUBSTITUTE(TEXT(Overig!D162,""",""?00;"",""?-00;"",""?00;"", //"""),"'","""")</f>
        <v>032, 19270610, 7645, 00</v>
      </c>
    </row>
    <row r="163" spans="1:1" x14ac:dyDescent="0.25">
      <c r="A163" s="12" t="str">
        <f ca="1">TEXT(Overig!A163,"000\,")&amp;TEXT(Overig!B163,"?00000000")&amp;SUBSTITUTE(TEXT(IF(ISTEXT(Overig!C163),Overig!C163,10*Overig!C163),""",""????0;"",""???-0;"",""????0;"", ////"""),"'","""")&amp;SUBSTITUTE(TEXT(Overig!D163,""",""?00;"",""?-00;"",""?00;"", //"""),"'","""")</f>
        <v>032, 19270611, 7650, 00</v>
      </c>
    </row>
    <row r="164" spans="1:1" x14ac:dyDescent="0.25">
      <c r="A164" s="12" t="str">
        <f ca="1">TEXT(Overig!A164,"000\,")&amp;TEXT(Overig!B164,"?00000000")&amp;SUBSTITUTE(TEXT(IF(ISTEXT(Overig!C164),Overig!C164,10*Overig!C164),""",""????0;"",""???-0;"",""????0;"", ////"""),"'","""")&amp;SUBSTITUTE(TEXT(Overig!D164,""",""?00;"",""?-00;"",""?00;"", //"""),"'","""")</f>
        <v>032, 19270612, 7650, 00</v>
      </c>
    </row>
    <row r="165" spans="1:1" x14ac:dyDescent="0.25">
      <c r="A165" s="12" t="str">
        <f ca="1">TEXT(Overig!A165,"000\,")&amp;TEXT(Overig!B165,"?00000000")&amp;SUBSTITUTE(TEXT(IF(ISTEXT(Overig!C165),Overig!C165,10*Overig!C165),""",""????0;"",""???-0;"",""????0;"", ////"""),"'","""")&amp;SUBSTITUTE(TEXT(Overig!D165,""",""?00;"",""?-00;"",""?00;"", //"""),"'","""")</f>
        <v>032, 19270613, 7660, 00</v>
      </c>
    </row>
    <row r="166" spans="1:1" x14ac:dyDescent="0.25">
      <c r="A166" s="12" t="str">
        <f ca="1">TEXT(Overig!A166,"000\,")&amp;TEXT(Overig!B166,"?00000000")&amp;SUBSTITUTE(TEXT(IF(ISTEXT(Overig!C166),Overig!C166,10*Overig!C166),""",""????0;"",""???-0;"",""????0;"", ////"""),"'","""")&amp;SUBSTITUTE(TEXT(Overig!D166,""",""?00;"",""?-00;"",""?00;"", //"""),"'","""")</f>
        <v>032, 19270614, 7655, 00</v>
      </c>
    </row>
    <row r="167" spans="1:1" x14ac:dyDescent="0.25">
      <c r="A167" s="12" t="str">
        <f ca="1">TEXT(Overig!A167,"000\,")&amp;TEXT(Overig!B167,"?00000000")&amp;SUBSTITUTE(TEXT(IF(ISTEXT(Overig!C167),Overig!C167,10*Overig!C167),""",""????0;"",""???-0;"",""????0;"", ////"""),"'","""")&amp;SUBSTITUTE(TEXT(Overig!D167,""",""?00;"",""?-00;"",""?00;"", //"""),"'","""")</f>
        <v>032, 19270615, 7650, 00</v>
      </c>
    </row>
    <row r="168" spans="1:1" x14ac:dyDescent="0.25">
      <c r="A168" s="12" t="str">
        <f ca="1">TEXT(Overig!A168,"000\,")&amp;TEXT(Overig!B168,"?00000000")&amp;SUBSTITUTE(TEXT(IF(ISTEXT(Overig!C168),Overig!C168,10*Overig!C168),""",""????0;"",""???-0;"",""????0;"", ////"""),"'","""")&amp;SUBSTITUTE(TEXT(Overig!D168,""",""?00;"",""?-00;"",""?00;"", //"""),"'","""")</f>
        <v>032, 19270616, 7650, 00</v>
      </c>
    </row>
    <row r="169" spans="1:1" x14ac:dyDescent="0.25">
      <c r="A169" s="12" t="str">
        <f ca="1">TEXT(Overig!A169,"000\,")&amp;TEXT(Overig!B169,"?00000000")&amp;SUBSTITUTE(TEXT(IF(ISTEXT(Overig!C169),Overig!C169,10*Overig!C169),""",""????0;"",""???-0;"",""????0;"", ////"""),"'","""")&amp;SUBSTITUTE(TEXT(Overig!D169,""",""?00;"",""?-00;"",""?00;"", //"""),"'","""")</f>
        <v>032, 19270617, 7655, 00</v>
      </c>
    </row>
    <row r="170" spans="1:1" x14ac:dyDescent="0.25">
      <c r="A170" s="12" t="str">
        <f ca="1">TEXT(Overig!A170,"000\,")&amp;TEXT(Overig!B170,"?00000000")&amp;SUBSTITUTE(TEXT(IF(ISTEXT(Overig!C170),Overig!C170,10*Overig!C170),""",""????0;"",""???-0;"",""????0;"", ////"""),"'","""")&amp;SUBSTITUTE(TEXT(Overig!D170,""",""?00;"",""?-00;"",""?00;"", //"""),"'","""")</f>
        <v>032, 19270618, 7665, 00</v>
      </c>
    </row>
    <row r="171" spans="1:1" x14ac:dyDescent="0.25">
      <c r="A171" s="12" t="str">
        <f ca="1">TEXT(Overig!A171,"000\,")&amp;TEXT(Overig!B171,"?00000000")&amp;SUBSTITUTE(TEXT(IF(ISTEXT(Overig!C171),Overig!C171,10*Overig!C171),""",""????0;"",""???-0;"",""????0;"", ////"""),"'","""")&amp;SUBSTITUTE(TEXT(Overig!D171,""",""?00;"",""?-00;"",""?00;"", //"""),"'","""")</f>
        <v>032, 19270619, 7665, 00</v>
      </c>
    </row>
    <row r="172" spans="1:1" x14ac:dyDescent="0.25">
      <c r="A172" s="12" t="str">
        <f ca="1">TEXT(Overig!A172,"000\,")&amp;TEXT(Overig!B172,"?00000000")&amp;SUBSTITUTE(TEXT(IF(ISTEXT(Overig!C172),Overig!C172,10*Overig!C172),""",""????0;"",""???-0;"",""????0;"", ////"""),"'","""")&amp;SUBSTITUTE(TEXT(Overig!D172,""",""?00;"",""?-00;"",""?00;"", //"""),"'","""")</f>
        <v>032, 19270620, 7655, 00</v>
      </c>
    </row>
    <row r="173" spans="1:1" x14ac:dyDescent="0.25">
      <c r="A173" s="12" t="str">
        <f ca="1">TEXT(Overig!A173,"000\,")&amp;TEXT(Overig!B173,"?00000000")&amp;SUBSTITUTE(TEXT(IF(ISTEXT(Overig!C173),Overig!C173,10*Overig!C173),""",""????0;"",""???-0;"",""????0;"", ////"""),"'","""")&amp;SUBSTITUTE(TEXT(Overig!D173,""",""?00;"",""?-00;"",""?00;"", //"""),"'","""")</f>
        <v>032, 19270621, 7655, 00</v>
      </c>
    </row>
    <row r="174" spans="1:1" x14ac:dyDescent="0.25">
      <c r="A174" s="12" t="str">
        <f ca="1">TEXT(Overig!A174,"000\,")&amp;TEXT(Overig!B174,"?00000000")&amp;SUBSTITUTE(TEXT(IF(ISTEXT(Overig!C174),Overig!C174,10*Overig!C174),""",""????0;"",""???-0;"",""????0;"", ////"""),"'","""")&amp;SUBSTITUTE(TEXT(Overig!D174,""",""?00;"",""?-00;"",""?00;"", //"""),"'","""")</f>
        <v>032, 19270622, 7655, 00</v>
      </c>
    </row>
    <row r="175" spans="1:1" x14ac:dyDescent="0.25">
      <c r="A175" s="12" t="str">
        <f ca="1">TEXT(Overig!A175,"000\,")&amp;TEXT(Overig!B175,"?00000000")&amp;SUBSTITUTE(TEXT(IF(ISTEXT(Overig!C175),Overig!C175,10*Overig!C175),""",""????0;"",""???-0;"",""????0;"", ////"""),"'","""")&amp;SUBSTITUTE(TEXT(Overig!D175,""",""?00;"",""?-00;"",""?00;"", //"""),"'","""")</f>
        <v>032, 19270623, 7665, 00</v>
      </c>
    </row>
    <row r="176" spans="1:1" x14ac:dyDescent="0.25">
      <c r="A176" s="12" t="str">
        <f ca="1">TEXT(Overig!A176,"000\,")&amp;TEXT(Overig!B176,"?00000000")&amp;SUBSTITUTE(TEXT(IF(ISTEXT(Overig!C176),Overig!C176,10*Overig!C176),""",""????0;"",""???-0;"",""????0;"", ////"""),"'","""")&amp;SUBSTITUTE(TEXT(Overig!D176,""",""?00;"",""?-00;"",""?00;"", //"""),"'","""")</f>
        <v>032, 19270624, 7660, 00</v>
      </c>
    </row>
    <row r="177" spans="1:1" x14ac:dyDescent="0.25">
      <c r="A177" s="12" t="str">
        <f ca="1">TEXT(Overig!A177,"000\,")&amp;TEXT(Overig!B177,"?00000000")&amp;SUBSTITUTE(TEXT(IF(ISTEXT(Overig!C177),Overig!C177,10*Overig!C177),""",""????0;"",""???-0;"",""????0;"", ////"""),"'","""")&amp;SUBSTITUTE(TEXT(Overig!D177,""",""?00;"",""?-00;"",""?00;"", //"""),"'","""")</f>
        <v>032, 19270625, 7665, 00</v>
      </c>
    </row>
    <row r="178" spans="1:1" x14ac:dyDescent="0.25">
      <c r="A178" s="12" t="str">
        <f ca="1">TEXT(Overig!A178,"000\,")&amp;TEXT(Overig!B178,"?00000000")&amp;SUBSTITUTE(TEXT(IF(ISTEXT(Overig!C178),Overig!C178,10*Overig!C178),""",""????0;"",""???-0;"",""????0;"", ////"""),"'","""")&amp;SUBSTITUTE(TEXT(Overig!D178,""",""?00;"",""?-00;"",""?00;"", //"""),"'","""")</f>
        <v>032, 19270626, 7655, 00</v>
      </c>
    </row>
    <row r="179" spans="1:1" x14ac:dyDescent="0.25">
      <c r="A179" s="12" t="str">
        <f ca="1">TEXT(Overig!A179,"000\,")&amp;TEXT(Overig!B179,"?00000000")&amp;SUBSTITUTE(TEXT(IF(ISTEXT(Overig!C179),Overig!C179,10*Overig!C179),""",""????0;"",""???-0;"",""????0;"", ////"""),"'","""")&amp;SUBSTITUTE(TEXT(Overig!D179,""",""?00;"",""?-00;"",""?00;"", //"""),"'","""")</f>
        <v>032, 19270627, 7660, 00</v>
      </c>
    </row>
    <row r="180" spans="1:1" x14ac:dyDescent="0.25">
      <c r="A180" s="12" t="str">
        <f ca="1">TEXT(Overig!A180,"000\,")&amp;TEXT(Overig!B180,"?00000000")&amp;SUBSTITUTE(TEXT(IF(ISTEXT(Overig!C180),Overig!C180,10*Overig!C180),""",""????0;"",""???-0;"",""????0;"", ////"""),"'","""")&amp;SUBSTITUTE(TEXT(Overig!D180,""",""?00;"",""?-00;"",""?00;"", //"""),"'","""")</f>
        <v>032, 19270628, 7665, 00</v>
      </c>
    </row>
    <row r="181" spans="1:1" x14ac:dyDescent="0.25">
      <c r="A181" s="12" t="str">
        <f ca="1">TEXT(Overig!A181,"000\,")&amp;TEXT(Overig!B181,"?00000000")&amp;SUBSTITUTE(TEXT(IF(ISTEXT(Overig!C181),Overig!C181,10*Overig!C181),""",""????0;"",""???-0;"",""????0;"", ////"""),"'","""")&amp;SUBSTITUTE(TEXT(Overig!D181,""",""?00;"",""?-00;"",""?00;"", //"""),"'","""")</f>
        <v>032, 19270629, 7650, 00</v>
      </c>
    </row>
    <row r="182" spans="1:1" x14ac:dyDescent="0.25">
      <c r="A182" s="12" t="str">
        <f ca="1">TEXT(Overig!A182,"000\,")&amp;TEXT(Overig!B182,"?00000000")&amp;SUBSTITUTE(TEXT(IF(ISTEXT(Overig!C182),Overig!C182,10*Overig!C182),""",""????0;"",""???-0;"",""????0;"", ////"""),"'","""")&amp;SUBSTITUTE(TEXT(Overig!D182,""",""?00;"",""?-00;"",""?00;"", //"""),"'","""")</f>
        <v>032, 19270630, 7655, 00</v>
      </c>
    </row>
    <row r="183" spans="1:1" x14ac:dyDescent="0.25">
      <c r="A183" s="12" t="str">
        <f ca="1">TEXT(Overig!A183,"000\,")&amp;TEXT(Overig!B183,"?00000000")&amp;SUBSTITUTE(TEXT(IF(ISTEXT(Overig!C183),Overig!C183,10*Overig!C183),""",""????0;"",""???-0;"",""????0;"", ////"""),"'","""")&amp;SUBSTITUTE(TEXT(Overig!D183,""",""?00;"",""?-00;"",""?00;"", //"""),"'","""")</f>
        <v>032, 19270701, 7655, 00</v>
      </c>
    </row>
    <row r="184" spans="1:1" x14ac:dyDescent="0.25">
      <c r="A184" s="12" t="str">
        <f ca="1">TEXT(Overig!A184,"000\,")&amp;TEXT(Overig!B184,"?00000000")&amp;SUBSTITUTE(TEXT(IF(ISTEXT(Overig!C184),Overig!C184,10*Overig!C184),""",""????0;"",""???-0;"",""????0;"", ////"""),"'","""")&amp;SUBSTITUTE(TEXT(Overig!D184,""",""?00;"",""?-00;"",""?00;"", //"""),"'","""")</f>
        <v>032, 19270702, 7670, 00</v>
      </c>
    </row>
    <row r="185" spans="1:1" x14ac:dyDescent="0.25">
      <c r="A185" s="12" t="str">
        <f ca="1">TEXT(Overig!A185,"000\,")&amp;TEXT(Overig!B185,"?00000000")&amp;SUBSTITUTE(TEXT(IF(ISTEXT(Overig!C185),Overig!C185,10*Overig!C185),""",""????0;"",""???-0;"",""????0;"", ////"""),"'","""")&amp;SUBSTITUTE(TEXT(Overig!D185,""",""?00;"",""?-00;"",""?00;"", //"""),"'","""")</f>
        <v>032, 19270703, 7670, 00</v>
      </c>
    </row>
    <row r="186" spans="1:1" x14ac:dyDescent="0.25">
      <c r="A186" s="12" t="str">
        <f ca="1">TEXT(Overig!A186,"000\,")&amp;TEXT(Overig!B186,"?00000000")&amp;SUBSTITUTE(TEXT(IF(ISTEXT(Overig!C186),Overig!C186,10*Overig!C186),""",""????0;"",""???-0;"",""????0;"", ////"""),"'","""")&amp;SUBSTITUTE(TEXT(Overig!D186,""",""?00;"",""?-00;"",""?00;"", //"""),"'","""")</f>
        <v>032, 19270704, 7670, 00</v>
      </c>
    </row>
    <row r="187" spans="1:1" x14ac:dyDescent="0.25">
      <c r="A187" s="12" t="str">
        <f ca="1">TEXT(Overig!A187,"000\,")&amp;TEXT(Overig!B187,"?00000000")&amp;SUBSTITUTE(TEXT(IF(ISTEXT(Overig!C187),Overig!C187,10*Overig!C187),""",""????0;"",""???-0;"",""????0;"", ////"""),"'","""")&amp;SUBSTITUTE(TEXT(Overig!D187,""",""?00;"",""?-00;"",""?00;"", //"""),"'","""")</f>
        <v>032, 19270705, 7665, 00</v>
      </c>
    </row>
    <row r="188" spans="1:1" x14ac:dyDescent="0.25">
      <c r="A188" s="12" t="str">
        <f ca="1">TEXT(Overig!A188,"000\,")&amp;TEXT(Overig!B188,"?00000000")&amp;SUBSTITUTE(TEXT(IF(ISTEXT(Overig!C188),Overig!C188,10*Overig!C188),""",""????0;"",""???-0;"",""????0;"", ////"""),"'","""")&amp;SUBSTITUTE(TEXT(Overig!D188,""",""?00;"",""?-00;"",""?00;"", //"""),"'","""")</f>
        <v>032, 19270706, 7665, 00</v>
      </c>
    </row>
    <row r="189" spans="1:1" x14ac:dyDescent="0.25">
      <c r="A189" s="12" t="str">
        <f ca="1">TEXT(Overig!A189,"000\,")&amp;TEXT(Overig!B189,"?00000000")&amp;SUBSTITUTE(TEXT(IF(ISTEXT(Overig!C189),Overig!C189,10*Overig!C189),""",""????0;"",""???-0;"",""????0;"", ////"""),"'","""")&amp;SUBSTITUTE(TEXT(Overig!D189,""",""?00;"",""?-00;"",""?00;"", //"""),"'","""")</f>
        <v>032, 19270707, 7655, 00</v>
      </c>
    </row>
    <row r="190" spans="1:1" x14ac:dyDescent="0.25">
      <c r="A190" s="12" t="str">
        <f ca="1">TEXT(Overig!A190,"000\,")&amp;TEXT(Overig!B190,"?00000000")&amp;SUBSTITUTE(TEXT(IF(ISTEXT(Overig!C190),Overig!C190,10*Overig!C190),""",""????0;"",""???-0;"",""????0;"", ////"""),"'","""")&amp;SUBSTITUTE(TEXT(Overig!D190,""",""?00;"",""?-00;"",""?00;"", //"""),"'","""")</f>
        <v>032, 19270708, 7675, 00</v>
      </c>
    </row>
    <row r="191" spans="1:1" x14ac:dyDescent="0.25">
      <c r="A191" s="12" t="str">
        <f ca="1">TEXT(Overig!A191,"000\,")&amp;TEXT(Overig!B191,"?00000000")&amp;SUBSTITUTE(TEXT(IF(ISTEXT(Overig!C191),Overig!C191,10*Overig!C191),""",""????0;"",""???-0;"",""????0;"", ////"""),"'","""")&amp;SUBSTITUTE(TEXT(Overig!D191,""",""?00;"",""?-00;"",""?00;"", //"""),"'","""")</f>
        <v>032, 19270709, 7675, 00</v>
      </c>
    </row>
    <row r="192" spans="1:1" x14ac:dyDescent="0.25">
      <c r="A192" s="12" t="str">
        <f ca="1">TEXT(Overig!A192,"000\,")&amp;TEXT(Overig!B192,"?00000000")&amp;SUBSTITUTE(TEXT(IF(ISTEXT(Overig!C192),Overig!C192,10*Overig!C192),""",""????0;"",""???-0;"",""????0;"", ////"""),"'","""")&amp;SUBSTITUTE(TEXT(Overig!D192,""",""?00;"",""?-00;"",""?00;"", //"""),"'","""")</f>
        <v>032, 19270710, 7665, 00</v>
      </c>
    </row>
    <row r="193" spans="1:1" x14ac:dyDescent="0.25">
      <c r="A193" s="12" t="str">
        <f ca="1">TEXT(Overig!A193,"000\,")&amp;TEXT(Overig!B193,"?00000000")&amp;SUBSTITUTE(TEXT(IF(ISTEXT(Overig!C193),Overig!C193,10*Overig!C193),""",""????0;"",""???-0;"",""????0;"", ////"""),"'","""")&amp;SUBSTITUTE(TEXT(Overig!D193,""",""?00;"",""?-00;"",""?00;"", //"""),"'","""")</f>
        <v>032, 19270711, 7665, 00</v>
      </c>
    </row>
    <row r="194" spans="1:1" x14ac:dyDescent="0.25">
      <c r="A194" s="12" t="str">
        <f ca="1">TEXT(Overig!A194,"000\,")&amp;TEXT(Overig!B194,"?00000000")&amp;SUBSTITUTE(TEXT(IF(ISTEXT(Overig!C194),Overig!C194,10*Overig!C194),""",""????0;"",""???-0;"",""????0;"", ////"""),"'","""")&amp;SUBSTITUTE(TEXT(Overig!D194,""",""?00;"",""?-00;"",""?00;"", //"""),"'","""")</f>
        <v>032, 19270712, 7665, 00</v>
      </c>
    </row>
    <row r="195" spans="1:1" x14ac:dyDescent="0.25">
      <c r="A195" s="12" t="str">
        <f ca="1">TEXT(Overig!A195,"000\,")&amp;TEXT(Overig!B195,"?00000000")&amp;SUBSTITUTE(TEXT(IF(ISTEXT(Overig!C195),Overig!C195,10*Overig!C195),""",""????0;"",""???-0;"",""????0;"", ////"""),"'","""")&amp;SUBSTITUTE(TEXT(Overig!D195,""",""?00;"",""?-00;"",""?00;"", //"""),"'","""")</f>
        <v>032, 19270713, 7660, 00</v>
      </c>
    </row>
    <row r="196" spans="1:1" x14ac:dyDescent="0.25">
      <c r="A196" s="12" t="str">
        <f ca="1">TEXT(Overig!A196,"000\,")&amp;TEXT(Overig!B196,"?00000000")&amp;SUBSTITUTE(TEXT(IF(ISTEXT(Overig!C196),Overig!C196,10*Overig!C196),""",""????0;"",""???-0;"",""????0;"", ////"""),"'","""")&amp;SUBSTITUTE(TEXT(Overig!D196,""",""?00;"",""?-00;"",""?00;"", //"""),"'","""")</f>
        <v>032, 19270714, 7665, 00</v>
      </c>
    </row>
    <row r="197" spans="1:1" x14ac:dyDescent="0.25">
      <c r="A197" s="12" t="str">
        <f ca="1">TEXT(Overig!A197,"000\,")&amp;TEXT(Overig!B197,"?00000000")&amp;SUBSTITUTE(TEXT(IF(ISTEXT(Overig!C197),Overig!C197,10*Overig!C197),""",""????0;"",""???-0;"",""????0;"", ////"""),"'","""")&amp;SUBSTITUTE(TEXT(Overig!D197,""",""?00;"",""?-00;"",""?00;"", //"""),"'","""")</f>
        <v>032, 19270715, 7655, 00</v>
      </c>
    </row>
    <row r="198" spans="1:1" x14ac:dyDescent="0.25">
      <c r="A198" s="12" t="str">
        <f ca="1">TEXT(Overig!A198,"000\,")&amp;TEXT(Overig!B198,"?00000000")&amp;SUBSTITUTE(TEXT(IF(ISTEXT(Overig!C198),Overig!C198,10*Overig!C198),""",""????0;"",""???-0;"",""????0;"", ////"""),"'","""")&amp;SUBSTITUTE(TEXT(Overig!D198,""",""?00;"",""?-00;"",""?00;"", //"""),"'","""")</f>
        <v>032, 19270716, 7655, 00</v>
      </c>
    </row>
    <row r="199" spans="1:1" x14ac:dyDescent="0.25">
      <c r="A199" s="12" t="str">
        <f ca="1">TEXT(Overig!A199,"000\,")&amp;TEXT(Overig!B199,"?00000000")&amp;SUBSTITUTE(TEXT(IF(ISTEXT(Overig!C199),Overig!C199,10*Overig!C199),""",""????0;"",""???-0;"",""????0;"", ////"""),"'","""")&amp;SUBSTITUTE(TEXT(Overig!D199,""",""?00;"",""?-00;"",""?00;"", //"""),"'","""")</f>
        <v>032, 19270717, 7670, 00</v>
      </c>
    </row>
    <row r="200" spans="1:1" x14ac:dyDescent="0.25">
      <c r="A200" s="12" t="str">
        <f ca="1">TEXT(Overig!A200,"000\,")&amp;TEXT(Overig!B200,"?00000000")&amp;SUBSTITUTE(TEXT(IF(ISTEXT(Overig!C200),Overig!C200,10*Overig!C200),""",""????0;"",""???-0;"",""????0;"", ////"""),"'","""")&amp;SUBSTITUTE(TEXT(Overig!D200,""",""?00;"",""?-00;"",""?00;"", //"""),"'","""")</f>
        <v>032, 19270718, 7665, 00</v>
      </c>
    </row>
    <row r="201" spans="1:1" x14ac:dyDescent="0.25">
      <c r="A201" s="12" t="str">
        <f ca="1">TEXT(Overig!A201,"000\,")&amp;TEXT(Overig!B201,"?00000000")&amp;SUBSTITUTE(TEXT(IF(ISTEXT(Overig!C201),Overig!C201,10*Overig!C201),""",""????0;"",""???-0;"",""????0;"", ////"""),"'","""")&amp;SUBSTITUTE(TEXT(Overig!D201,""",""?00;"",""?-00;"",""?00;"", //"""),"'","""")</f>
        <v>032, 19270719, 7660, 00</v>
      </c>
    </row>
    <row r="202" spans="1:1" x14ac:dyDescent="0.25">
      <c r="A202" s="12" t="str">
        <f ca="1">TEXT(Overig!A202,"000\,")&amp;TEXT(Overig!B202,"?00000000")&amp;SUBSTITUTE(TEXT(IF(ISTEXT(Overig!C202),Overig!C202,10*Overig!C202),""",""????0;"",""???-0;"",""????0;"", ////"""),"'","""")&amp;SUBSTITUTE(TEXT(Overig!D202,""",""?00;"",""?-00;"",""?00;"", //"""),"'","""")</f>
        <v>032, 19270720, 7645, 00</v>
      </c>
    </row>
    <row r="203" spans="1:1" x14ac:dyDescent="0.25">
      <c r="A203" s="12" t="str">
        <f ca="1">TEXT(Overig!A203,"000\,")&amp;TEXT(Overig!B203,"?00000000")&amp;SUBSTITUTE(TEXT(IF(ISTEXT(Overig!C203),Overig!C203,10*Overig!C203),""",""????0;"",""???-0;"",""????0;"", ////"""),"'","""")&amp;SUBSTITUTE(TEXT(Overig!D203,""",""?00;"",""?-00;"",""?00;"", //"""),"'","""")</f>
        <v>032, 19270721, 7645, 00</v>
      </c>
    </row>
    <row r="204" spans="1:1" x14ac:dyDescent="0.25">
      <c r="A204" s="12" t="str">
        <f ca="1">TEXT(Overig!A204,"000\,")&amp;TEXT(Overig!B204,"?00000000")&amp;SUBSTITUTE(TEXT(IF(ISTEXT(Overig!C204),Overig!C204,10*Overig!C204),""",""????0;"",""???-0;"",""????0;"", ////"""),"'","""")&amp;SUBSTITUTE(TEXT(Overig!D204,""",""?00;"",""?-00;"",""?00;"", //"""),"'","""")</f>
        <v>032, 19270722, 7645, 00</v>
      </c>
    </row>
    <row r="205" spans="1:1" x14ac:dyDescent="0.25">
      <c r="A205" s="12" t="str">
        <f ca="1">TEXT(Overig!A205,"000\,")&amp;TEXT(Overig!B205,"?00000000")&amp;SUBSTITUTE(TEXT(IF(ISTEXT(Overig!C205),Overig!C205,10*Overig!C205),""",""????0;"",""???-0;"",""????0;"", ////"""),"'","""")&amp;SUBSTITUTE(TEXT(Overig!D205,""",""?00;"",""?-00;"",""?00;"", //"""),"'","""")</f>
        <v>032, 19270723, 7650, 00</v>
      </c>
    </row>
    <row r="206" spans="1:1" x14ac:dyDescent="0.25">
      <c r="A206" s="12" t="str">
        <f ca="1">TEXT(Overig!A206,"000\,")&amp;TEXT(Overig!B206,"?00000000")&amp;SUBSTITUTE(TEXT(IF(ISTEXT(Overig!C206),Overig!C206,10*Overig!C206),""",""????0;"",""???-0;"",""????0;"", ////"""),"'","""")&amp;SUBSTITUTE(TEXT(Overig!D206,""",""?00;"",""?-00;"",""?00;"", //"""),"'","""")</f>
        <v>032, 19270724, 7665, 00</v>
      </c>
    </row>
    <row r="207" spans="1:1" x14ac:dyDescent="0.25">
      <c r="A207" s="12" t="str">
        <f ca="1">TEXT(Overig!A207,"000\,")&amp;TEXT(Overig!B207,"?00000000")&amp;SUBSTITUTE(TEXT(IF(ISTEXT(Overig!C207),Overig!C207,10*Overig!C207),""",""????0;"",""???-0;"",""????0;"", ////"""),"'","""")&amp;SUBSTITUTE(TEXT(Overig!D207,""",""?00;"",""?-00;"",""?00;"", //"""),"'","""")</f>
        <v>032, 19270725, 7675, 00</v>
      </c>
    </row>
    <row r="208" spans="1:1" x14ac:dyDescent="0.25">
      <c r="A208" s="12" t="str">
        <f ca="1">TEXT(Overig!A208,"000\,")&amp;TEXT(Overig!B208,"?00000000")&amp;SUBSTITUTE(TEXT(IF(ISTEXT(Overig!C208),Overig!C208,10*Overig!C208),""",""????0;"",""???-0;"",""????0;"", ////"""),"'","""")&amp;SUBSTITUTE(TEXT(Overig!D208,""",""?00;"",""?-00;"",""?00;"", //"""),"'","""")</f>
        <v>032, 19270726, 7665, 00</v>
      </c>
    </row>
    <row r="209" spans="1:1" x14ac:dyDescent="0.25">
      <c r="A209" s="12" t="str">
        <f ca="1">TEXT(Overig!A209,"000\,")&amp;TEXT(Overig!B209,"?00000000")&amp;SUBSTITUTE(TEXT(IF(ISTEXT(Overig!C209),Overig!C209,10*Overig!C209),""",""????0;"",""???-0;"",""????0;"", ////"""),"'","""")&amp;SUBSTITUTE(TEXT(Overig!D209,""",""?00;"",""?-00;"",""?00;"", //"""),"'","""")</f>
        <v>032, 19270727, 7665, 00</v>
      </c>
    </row>
    <row r="210" spans="1:1" x14ac:dyDescent="0.25">
      <c r="A210" s="12" t="str">
        <f ca="1">TEXT(Overig!A210,"000\,")&amp;TEXT(Overig!B210,"?00000000")&amp;SUBSTITUTE(TEXT(IF(ISTEXT(Overig!C210),Overig!C210,10*Overig!C210),""",""????0;"",""???-0;"",""????0;"", ////"""),"'","""")&amp;SUBSTITUTE(TEXT(Overig!D210,""",""?00;"",""?-00;"",""?00;"", //"""),"'","""")</f>
        <v>032, 19270728, 7665, 00</v>
      </c>
    </row>
    <row r="211" spans="1:1" x14ac:dyDescent="0.25">
      <c r="A211" s="12" t="str">
        <f ca="1">TEXT(Overig!A211,"000\,")&amp;TEXT(Overig!B211,"?00000000")&amp;SUBSTITUTE(TEXT(IF(ISTEXT(Overig!C211),Overig!C211,10*Overig!C211),""",""????0;"",""???-0;"",""????0;"", ////"""),"'","""")&amp;SUBSTITUTE(TEXT(Overig!D211,""",""?00;"",""?-00;"",""?00;"", //"""),"'","""")</f>
        <v>032, 19270729, 7655, 00</v>
      </c>
    </row>
    <row r="212" spans="1:1" x14ac:dyDescent="0.25">
      <c r="A212" s="12" t="str">
        <f ca="1">TEXT(Overig!A212,"000\,")&amp;TEXT(Overig!B212,"?00000000")&amp;SUBSTITUTE(TEXT(IF(ISTEXT(Overig!C212),Overig!C212,10*Overig!C212),""",""????0;"",""???-0;"",""????0;"", ////"""),"'","""")&amp;SUBSTITUTE(TEXT(Overig!D212,""",""?00;"",""?-00;"",""?00;"", //"""),"'","""")</f>
        <v>032, 19270730, 7665, 00</v>
      </c>
    </row>
    <row r="213" spans="1:1" x14ac:dyDescent="0.25">
      <c r="A213" s="12" t="str">
        <f ca="1">TEXT(Overig!A213,"000\,")&amp;TEXT(Overig!B213,"?00000000")&amp;SUBSTITUTE(TEXT(IF(ISTEXT(Overig!C213),Overig!C213,10*Overig!C213),""",""????0;"",""???-0;"",""????0;"", ////"""),"'","""")&amp;SUBSTITUTE(TEXT(Overig!D213,""",""?00;"",""?-00;"",""?00;"", //"""),"'","""")</f>
        <v>032, 19270731, 7665, 00</v>
      </c>
    </row>
    <row r="214" spans="1:1" x14ac:dyDescent="0.25">
      <c r="A214" s="12" t="str">
        <f ca="1">TEXT(Overig!A214,"000\,")&amp;TEXT(Overig!B214,"?00000000")&amp;SUBSTITUTE(TEXT(IF(ISTEXT(Overig!C214),Overig!C214,10*Overig!C214),""",""????0;"",""???-0;"",""????0;"", ////"""),"'","""")&amp;SUBSTITUTE(TEXT(Overig!D214,""",""?00;"",""?-00;"",""?00;"", //"""),"'","""")</f>
        <v>032, 19270801, 7655, 00</v>
      </c>
    </row>
    <row r="215" spans="1:1" x14ac:dyDescent="0.25">
      <c r="A215" s="12" t="str">
        <f ca="1">TEXT(Overig!A215,"000\,")&amp;TEXT(Overig!B215,"?00000000")&amp;SUBSTITUTE(TEXT(IF(ISTEXT(Overig!C215),Overig!C215,10*Overig!C215),""",""????0;"",""???-0;"",""????0;"", ////"""),"'","""")&amp;SUBSTITUTE(TEXT(Overig!D215,""",""?00;"",""?-00;"",""?00;"", //"""),"'","""")</f>
        <v>032, 19270802, 7655, 00</v>
      </c>
    </row>
    <row r="216" spans="1:1" x14ac:dyDescent="0.25">
      <c r="A216" s="12" t="str">
        <f ca="1">TEXT(Overig!A216,"000\,")&amp;TEXT(Overig!B216,"?00000000")&amp;SUBSTITUTE(TEXT(IF(ISTEXT(Overig!C216),Overig!C216,10*Overig!C216),""",""????0;"",""???-0;"",""????0;"", ////"""),"'","""")&amp;SUBSTITUTE(TEXT(Overig!D216,""",""?00;"",""?-00;"",""?00;"", //"""),"'","""")</f>
        <v>032, 19270803, 7645, 00</v>
      </c>
    </row>
    <row r="217" spans="1:1" x14ac:dyDescent="0.25">
      <c r="A217" s="12" t="str">
        <f ca="1">TEXT(Overig!A217,"000\,")&amp;TEXT(Overig!B217,"?00000000")&amp;SUBSTITUTE(TEXT(IF(ISTEXT(Overig!C217),Overig!C217,10*Overig!C217),""",""????0;"",""???-0;"",""????0;"", ////"""),"'","""")&amp;SUBSTITUTE(TEXT(Overig!D217,""",""?00;"",""?-00;"",""?00;"", //"""),"'","""")</f>
        <v>032, 19270804, 7640, 00</v>
      </c>
    </row>
    <row r="218" spans="1:1" x14ac:dyDescent="0.25">
      <c r="A218" s="12" t="str">
        <f ca="1">TEXT(Overig!A218,"000\,")&amp;TEXT(Overig!B218,"?00000000")&amp;SUBSTITUTE(TEXT(IF(ISTEXT(Overig!C218),Overig!C218,10*Overig!C218),""",""????0;"",""???-0;"",""????0;"", ////"""),"'","""")&amp;SUBSTITUTE(TEXT(Overig!D218,""",""?00;"",""?-00;"",""?00;"", //"""),"'","""")</f>
        <v>032, 19270805, 7650, 00</v>
      </c>
    </row>
    <row r="219" spans="1:1" x14ac:dyDescent="0.25">
      <c r="A219" s="12" t="str">
        <f ca="1">TEXT(Overig!A219,"000\,")&amp;TEXT(Overig!B219,"?00000000")&amp;SUBSTITUTE(TEXT(IF(ISTEXT(Overig!C219),Overig!C219,10*Overig!C219),""",""????0;"",""???-0;"",""????0;"", ////"""),"'","""")&amp;SUBSTITUTE(TEXT(Overig!D219,""",""?00;"",""?-00;"",""?00;"", //"""),"'","""")</f>
        <v>032, 19270806, 7645, 00</v>
      </c>
    </row>
    <row r="220" spans="1:1" x14ac:dyDescent="0.25">
      <c r="A220" s="12" t="str">
        <f ca="1">TEXT(Overig!A220,"000\,")&amp;TEXT(Overig!B220,"?00000000")&amp;SUBSTITUTE(TEXT(IF(ISTEXT(Overig!C220),Overig!C220,10*Overig!C220),""",""????0;"",""???-0;"",""????0;"", ////"""),"'","""")&amp;SUBSTITUTE(TEXT(Overig!D220,""",""?00;"",""?-00;"",""?00;"", //"""),"'","""")</f>
        <v>032, 19270807, 7640, 00</v>
      </c>
    </row>
    <row r="221" spans="1:1" x14ac:dyDescent="0.25">
      <c r="A221" s="12" t="str">
        <f ca="1">TEXT(Overig!A221,"000\,")&amp;TEXT(Overig!B221,"?00000000")&amp;SUBSTITUTE(TEXT(IF(ISTEXT(Overig!C221),Overig!C221,10*Overig!C221),""",""????0;"",""???-0;"",""????0;"", ////"""),"'","""")&amp;SUBSTITUTE(TEXT(Overig!D221,""",""?00;"",""?-00;"",""?00;"", //"""),"'","""")</f>
        <v>032, 19270808, 7650, 00</v>
      </c>
    </row>
    <row r="222" spans="1:1" x14ac:dyDescent="0.25">
      <c r="A222" s="12" t="str">
        <f ca="1">TEXT(Overig!A222,"000\,")&amp;TEXT(Overig!B222,"?00000000")&amp;SUBSTITUTE(TEXT(IF(ISTEXT(Overig!C222),Overig!C222,10*Overig!C222),""",""????0;"",""???-0;"",""????0;"", ////"""),"'","""")&amp;SUBSTITUTE(TEXT(Overig!D222,""",""?00;"",""?-00;"",""?00;"", //"""),"'","""")</f>
        <v>032, 19270809, 7650, 00</v>
      </c>
    </row>
    <row r="223" spans="1:1" x14ac:dyDescent="0.25">
      <c r="A223" s="12" t="str">
        <f ca="1">TEXT(Overig!A223,"000\,")&amp;TEXT(Overig!B223,"?00000000")&amp;SUBSTITUTE(TEXT(IF(ISTEXT(Overig!C223),Overig!C223,10*Overig!C223),""",""????0;"",""???-0;"",""????0;"", ////"""),"'","""")&amp;SUBSTITUTE(TEXT(Overig!D223,""",""?00;"",""?-00;"",""?00;"", //"""),"'","""")</f>
        <v>032, 19270810, 7650, 00</v>
      </c>
    </row>
    <row r="224" spans="1:1" x14ac:dyDescent="0.25">
      <c r="A224" s="12" t="str">
        <f ca="1">TEXT(Overig!A224,"000\,")&amp;TEXT(Overig!B224,"?00000000")&amp;SUBSTITUTE(TEXT(IF(ISTEXT(Overig!C224),Overig!C224,10*Overig!C224),""",""????0;"",""???-0;"",""????0;"", ////"""),"'","""")&amp;SUBSTITUTE(TEXT(Overig!D224,""",""?00;"",""?-00;"",""?00;"", //"""),"'","""")</f>
        <v>032, 19270811, 7655, 00</v>
      </c>
    </row>
    <row r="225" spans="1:1" x14ac:dyDescent="0.25">
      <c r="A225" s="12" t="str">
        <f ca="1">TEXT(Overig!A225,"000\,")&amp;TEXT(Overig!B225,"?00000000")&amp;SUBSTITUTE(TEXT(IF(ISTEXT(Overig!C225),Overig!C225,10*Overig!C225),""",""????0;"",""???-0;"",""????0;"", ////"""),"'","""")&amp;SUBSTITUTE(TEXT(Overig!D225,""",""?00;"",""?-00;"",""?00;"", //"""),"'","""")</f>
        <v>032, 19270812, 7665, 00</v>
      </c>
    </row>
    <row r="226" spans="1:1" x14ac:dyDescent="0.25">
      <c r="A226" s="12" t="str">
        <f ca="1">TEXT(Overig!A226,"000\,")&amp;TEXT(Overig!B226,"?00000000")&amp;SUBSTITUTE(TEXT(IF(ISTEXT(Overig!C226),Overig!C226,10*Overig!C226),""",""????0;"",""???-0;"",""????0;"", ////"""),"'","""")&amp;SUBSTITUTE(TEXT(Overig!D226,""",""?00;"",""?-00;"",""?00;"", //"""),"'","""")</f>
        <v>032, 19270813, 7655, 00</v>
      </c>
    </row>
    <row r="227" spans="1:1" x14ac:dyDescent="0.25">
      <c r="A227" s="12" t="str">
        <f ca="1">TEXT(Overig!A227,"000\,")&amp;TEXT(Overig!B227,"?00000000")&amp;SUBSTITUTE(TEXT(IF(ISTEXT(Overig!C227),Overig!C227,10*Overig!C227),""",""????0;"",""???-0;"",""????0;"", ////"""),"'","""")&amp;SUBSTITUTE(TEXT(Overig!D227,""",""?00;"",""?-00;"",""?00;"", //"""),"'","""")</f>
        <v>032, 19270814, 7650, 00</v>
      </c>
    </row>
    <row r="228" spans="1:1" x14ac:dyDescent="0.25">
      <c r="A228" s="12" t="str">
        <f ca="1">TEXT(Overig!A228,"000\,")&amp;TEXT(Overig!B228,"?00000000")&amp;SUBSTITUTE(TEXT(IF(ISTEXT(Overig!C228),Overig!C228,10*Overig!C228),""",""????0;"",""???-0;"",""????0;"", ////"""),"'","""")&amp;SUBSTITUTE(TEXT(Overig!D228,""",""?00;"",""?-00;"",""?00;"", //"""),"'","""")</f>
        <v>032, 19270815, 7660, 00</v>
      </c>
    </row>
    <row r="229" spans="1:1" x14ac:dyDescent="0.25">
      <c r="A229" s="12" t="str">
        <f ca="1">TEXT(Overig!A229,"000\,")&amp;TEXT(Overig!B229,"?00000000")&amp;SUBSTITUTE(TEXT(IF(ISTEXT(Overig!C229),Overig!C229,10*Overig!C229),""",""????0;"",""???-0;"",""????0;"", ////"""),"'","""")&amp;SUBSTITUTE(TEXT(Overig!D229,""",""?00;"",""?-00;"",""?00;"", //"""),"'","""")</f>
        <v>032, 19270816, 7650, 00</v>
      </c>
    </row>
    <row r="230" spans="1:1" x14ac:dyDescent="0.25">
      <c r="A230" s="12" t="str">
        <f ca="1">TEXT(Overig!A230,"000\,")&amp;TEXT(Overig!B230,"?00000000")&amp;SUBSTITUTE(TEXT(IF(ISTEXT(Overig!C230),Overig!C230,10*Overig!C230),""",""????0;"",""???-0;"",""????0;"", ////"""),"'","""")&amp;SUBSTITUTE(TEXT(Overig!D230,""",""?00;"",""?-00;"",""?00;"", //"""),"'","""")</f>
        <v>032, 19270817, 7645, 00</v>
      </c>
    </row>
    <row r="231" spans="1:1" x14ac:dyDescent="0.25">
      <c r="A231" s="12" t="str">
        <f ca="1">TEXT(Overig!A231,"000\,")&amp;TEXT(Overig!B231,"?00000000")&amp;SUBSTITUTE(TEXT(IF(ISTEXT(Overig!C231),Overig!C231,10*Overig!C231),""",""????0;"",""???-0;"",""????0;"", ////"""),"'","""")&amp;SUBSTITUTE(TEXT(Overig!D231,""",""?00;"",""?-00;"",""?00;"", //"""),"'","""")</f>
        <v>032, 19270818, 7650, 00</v>
      </c>
    </row>
    <row r="232" spans="1:1" x14ac:dyDescent="0.25">
      <c r="A232" s="12" t="str">
        <f ca="1">TEXT(Overig!A232,"000\,")&amp;TEXT(Overig!B232,"?00000000")&amp;SUBSTITUTE(TEXT(IF(ISTEXT(Overig!C232),Overig!C232,10*Overig!C232),""",""????0;"",""???-0;"",""????0;"", ////"""),"'","""")&amp;SUBSTITUTE(TEXT(Overig!D232,""",""?00;"",""?-00;"",""?00;"", //"""),"'","""")</f>
        <v>032, 19270819, 7650, 00</v>
      </c>
    </row>
    <row r="233" spans="1:1" x14ac:dyDescent="0.25">
      <c r="A233" s="12" t="str">
        <f ca="1">TEXT(Overig!A233,"000\,")&amp;TEXT(Overig!B233,"?00000000")&amp;SUBSTITUTE(TEXT(IF(ISTEXT(Overig!C233),Overig!C233,10*Overig!C233),""",""????0;"",""???-0;"",""????0;"", ////"""),"'","""")&amp;SUBSTITUTE(TEXT(Overig!D233,""",""?00;"",""?-00;"",""?00;"", //"""),"'","""")</f>
        <v>032, 19270820, 7650, 00</v>
      </c>
    </row>
    <row r="234" spans="1:1" x14ac:dyDescent="0.25">
      <c r="A234" s="12" t="str">
        <f ca="1">TEXT(Overig!A234,"000\,")&amp;TEXT(Overig!B234,"?00000000")&amp;SUBSTITUTE(TEXT(IF(ISTEXT(Overig!C234),Overig!C234,10*Overig!C234),""",""????0;"",""???-0;"",""????0;"", ////"""),"'","""")&amp;SUBSTITUTE(TEXT(Overig!D234,""",""?00;"",""?-00;"",""?00;"", //"""),"'","""")</f>
        <v>032, 19270821, 7645, 00</v>
      </c>
    </row>
    <row r="235" spans="1:1" x14ac:dyDescent="0.25">
      <c r="A235" s="12" t="str">
        <f ca="1">TEXT(Overig!A235,"000\,")&amp;TEXT(Overig!B235,"?00000000")&amp;SUBSTITUTE(TEXT(IF(ISTEXT(Overig!C235),Overig!C235,10*Overig!C235),""",""????0;"",""???-0;"",""????0;"", ////"""),"'","""")&amp;SUBSTITUTE(TEXT(Overig!D235,""",""?00;"",""?-00;"",""?00;"", //"""),"'","""")</f>
        <v>032, 19270822, 7645, 00</v>
      </c>
    </row>
    <row r="236" spans="1:1" x14ac:dyDescent="0.25">
      <c r="A236" s="12" t="str">
        <f ca="1">TEXT(Overig!A236,"000\,")&amp;TEXT(Overig!B236,"?00000000")&amp;SUBSTITUTE(TEXT(IF(ISTEXT(Overig!C236),Overig!C236,10*Overig!C236),""",""????0;"",""???-0;"",""????0;"", ////"""),"'","""")&amp;SUBSTITUTE(TEXT(Overig!D236,""",""?00;"",""?-00;"",""?00;"", //"""),"'","""")</f>
        <v>032, 19270823, 7650, 00</v>
      </c>
    </row>
    <row r="237" spans="1:1" x14ac:dyDescent="0.25">
      <c r="A237" s="12" t="str">
        <f ca="1">TEXT(Overig!A237,"000\,")&amp;TEXT(Overig!B237,"?00000000")&amp;SUBSTITUTE(TEXT(IF(ISTEXT(Overig!C237),Overig!C237,10*Overig!C237),""",""????0;"",""???-0;"",""????0;"", ////"""),"'","""")&amp;SUBSTITUTE(TEXT(Overig!D237,""",""?00;"",""?-00;"",""?00;"", //"""),"'","""")</f>
        <v>032, 19270824, 7650, 00</v>
      </c>
    </row>
    <row r="238" spans="1:1" x14ac:dyDescent="0.25">
      <c r="A238" s="12" t="str">
        <f ca="1">TEXT(Overig!A238,"000\,")&amp;TEXT(Overig!B238,"?00000000")&amp;SUBSTITUTE(TEXT(IF(ISTEXT(Overig!C238),Overig!C238,10*Overig!C238),""",""????0;"",""???-0;"",""????0;"", ////"""),"'","""")&amp;SUBSTITUTE(TEXT(Overig!D238,""",""?00;"",""?-00;"",""?00;"", //"""),"'","""")</f>
        <v>032, 19270825, 7645, 00</v>
      </c>
    </row>
    <row r="239" spans="1:1" x14ac:dyDescent="0.25">
      <c r="A239" s="12" t="str">
        <f ca="1">TEXT(Overig!A239,"000\,")&amp;TEXT(Overig!B239,"?00000000")&amp;SUBSTITUTE(TEXT(IF(ISTEXT(Overig!C239),Overig!C239,10*Overig!C239),""",""????0;"",""???-0;"",""????0;"", ////"""),"'","""")&amp;SUBSTITUTE(TEXT(Overig!D239,""",""?00;"",""?-00;"",""?00;"", //"""),"'","""")</f>
        <v>032, 19270826, 7655, 00</v>
      </c>
    </row>
    <row r="240" spans="1:1" x14ac:dyDescent="0.25">
      <c r="A240" s="12" t="str">
        <f ca="1">TEXT(Overig!A240,"000\,")&amp;TEXT(Overig!B240,"?00000000")&amp;SUBSTITUTE(TEXT(IF(ISTEXT(Overig!C240),Overig!C240,10*Overig!C240),""",""????0;"",""???-0;"",""????0;"", ////"""),"'","""")&amp;SUBSTITUTE(TEXT(Overig!D240,""",""?00;"",""?-00;"",""?00;"", //"""),"'","""")</f>
        <v>032, 19270827, 7655, 00</v>
      </c>
    </row>
    <row r="241" spans="1:1" x14ac:dyDescent="0.25">
      <c r="A241" s="12" t="str">
        <f ca="1">TEXT(Overig!A241,"000\,")&amp;TEXT(Overig!B241,"?00000000")&amp;SUBSTITUTE(TEXT(IF(ISTEXT(Overig!C241),Overig!C241,10*Overig!C241),""",""????0;"",""???-0;"",""????0;"", ////"""),"'","""")&amp;SUBSTITUTE(TEXT(Overig!D241,""",""?00;"",""?-00;"",""?00;"", //"""),"'","""")</f>
        <v>032, 19270828, 7655, 00</v>
      </c>
    </row>
    <row r="242" spans="1:1" x14ac:dyDescent="0.25">
      <c r="A242" s="12" t="str">
        <f ca="1">TEXT(Overig!A242,"000\,")&amp;TEXT(Overig!B242,"?00000000")&amp;SUBSTITUTE(TEXT(IF(ISTEXT(Overig!C242),Overig!C242,10*Overig!C242),""",""????0;"",""???-0;"",""????0;"", ////"""),"'","""")&amp;SUBSTITUTE(TEXT(Overig!D242,""",""?00;"",""?-00;"",""?00;"", //"""),"'","""")</f>
        <v>032, 19270829, 7640, 00</v>
      </c>
    </row>
    <row r="243" spans="1:1" x14ac:dyDescent="0.25">
      <c r="A243" s="12" t="str">
        <f ca="1">TEXT(Overig!A243,"000\,")&amp;TEXT(Overig!B243,"?00000000")&amp;SUBSTITUTE(TEXT(IF(ISTEXT(Overig!C243),Overig!C243,10*Overig!C243),""",""????0;"",""???-0;"",""????0;"", ////"""),"'","""")&amp;SUBSTITUTE(TEXT(Overig!D243,""",""?00;"",""?-00;"",""?00;"", //"""),"'","""")</f>
        <v>032, 19270830, 7640, 00</v>
      </c>
    </row>
    <row r="244" spans="1:1" x14ac:dyDescent="0.25">
      <c r="A244" s="12" t="str">
        <f ca="1">TEXT(Overig!A244,"000\,")&amp;TEXT(Overig!B244,"?00000000")&amp;SUBSTITUTE(TEXT(IF(ISTEXT(Overig!C244),Overig!C244,10*Overig!C244),""",""????0;"",""???-0;"",""????0;"", ////"""),"'","""")&amp;SUBSTITUTE(TEXT(Overig!D244,""",""?00;"",""?-00;"",""?00;"", //"""),"'","""")</f>
        <v>032, 19270831, 7645, 00</v>
      </c>
    </row>
    <row r="245" spans="1:1" x14ac:dyDescent="0.25">
      <c r="A245" s="12" t="str">
        <f ca="1">TEXT(Overig!A245,"000\,")&amp;TEXT(Overig!B245,"?00000000")&amp;SUBSTITUTE(TEXT(IF(ISTEXT(Overig!C245),Overig!C245,10*Overig!C245),""",""????0;"",""???-0;"",""????0;"", ////"""),"'","""")&amp;SUBSTITUTE(TEXT(Overig!D245,""",""?00;"",""?-00;"",""?00;"", //"""),"'","""")</f>
        <v>032, 19270901, 7635, 00</v>
      </c>
    </row>
    <row r="246" spans="1:1" x14ac:dyDescent="0.25">
      <c r="A246" s="12" t="str">
        <f ca="1">TEXT(Overig!A246,"000\,")&amp;TEXT(Overig!B246,"?00000000")&amp;SUBSTITUTE(TEXT(IF(ISTEXT(Overig!C246),Overig!C246,10*Overig!C246),""",""????0;"",""???-0;"",""????0;"", ////"""),"'","""")&amp;SUBSTITUTE(TEXT(Overig!D246,""",""?00;"",""?-00;"",""?00;"", //"""),"'","""")</f>
        <v>032, 19270902, 7635, 00</v>
      </c>
    </row>
    <row r="247" spans="1:1" x14ac:dyDescent="0.25">
      <c r="A247" s="12" t="str">
        <f ca="1">TEXT(Overig!A247,"000\,")&amp;TEXT(Overig!B247,"?00000000")&amp;SUBSTITUTE(TEXT(IF(ISTEXT(Overig!C247),Overig!C247,10*Overig!C247),""",""????0;"",""???-0;"",""????0;"", ////"""),"'","""")&amp;SUBSTITUTE(TEXT(Overig!D247,""",""?00;"",""?-00;"",""?00;"", //"""),"'","""")</f>
        <v>032, 19270903, 7635, 00</v>
      </c>
    </row>
    <row r="248" spans="1:1" x14ac:dyDescent="0.25">
      <c r="A248" s="12" t="str">
        <f ca="1">TEXT(Overig!A248,"000\,")&amp;TEXT(Overig!B248,"?00000000")&amp;SUBSTITUTE(TEXT(IF(ISTEXT(Overig!C248),Overig!C248,10*Overig!C248),""",""????0;"",""???-0;"",""????0;"", ////"""),"'","""")&amp;SUBSTITUTE(TEXT(Overig!D248,""",""?00;"",""?-00;"",""?00;"", //"""),"'","""")</f>
        <v>032, 19270904, 7640, 00</v>
      </c>
    </row>
    <row r="249" spans="1:1" x14ac:dyDescent="0.25">
      <c r="A249" s="12" t="str">
        <f ca="1">TEXT(Overig!A249,"000\,")&amp;TEXT(Overig!B249,"?00000000")&amp;SUBSTITUTE(TEXT(IF(ISTEXT(Overig!C249),Overig!C249,10*Overig!C249),""",""????0;"",""???-0;"",""????0;"", ////"""),"'","""")&amp;SUBSTITUTE(TEXT(Overig!D249,""",""?00;"",""?-00;"",""?00;"", //"""),"'","""")</f>
        <v>032, 19270905, 7635, 00</v>
      </c>
    </row>
    <row r="250" spans="1:1" x14ac:dyDescent="0.25">
      <c r="A250" s="12" t="str">
        <f ca="1">TEXT(Overig!A250,"000\,")&amp;TEXT(Overig!B250,"?00000000")&amp;SUBSTITUTE(TEXT(IF(ISTEXT(Overig!C250),Overig!C250,10*Overig!C250),""",""????0;"",""???-0;"",""????0;"", ////"""),"'","""")&amp;SUBSTITUTE(TEXT(Overig!D250,""",""?00;"",""?-00;"",""?00;"", //"""),"'","""")</f>
        <v>032, 19270906, 7640, 00</v>
      </c>
    </row>
    <row r="251" spans="1:1" x14ac:dyDescent="0.25">
      <c r="A251" s="12" t="str">
        <f ca="1">TEXT(Overig!A251,"000\,")&amp;TEXT(Overig!B251,"?00000000")&amp;SUBSTITUTE(TEXT(IF(ISTEXT(Overig!C251),Overig!C251,10*Overig!C251),""",""????0;"",""???-0;"",""????0;"", ////"""),"'","""")&amp;SUBSTITUTE(TEXT(Overig!D251,""",""?00;"",""?-00;"",""?00;"", //"""),"'","""")</f>
        <v>032, 19270907, 7640, 00</v>
      </c>
    </row>
    <row r="252" spans="1:1" x14ac:dyDescent="0.25">
      <c r="A252" s="12" t="str">
        <f ca="1">TEXT(Overig!A252,"000\,")&amp;TEXT(Overig!B252,"?00000000")&amp;SUBSTITUTE(TEXT(IF(ISTEXT(Overig!C252),Overig!C252,10*Overig!C252),""",""????0;"",""???-0;"",""????0;"", ////"""),"'","""")&amp;SUBSTITUTE(TEXT(Overig!D252,""",""?00;"",""?-00;"",""?00;"", //"""),"'","""")</f>
        <v>032, 19270908, 7635, 00</v>
      </c>
    </row>
    <row r="253" spans="1:1" x14ac:dyDescent="0.25">
      <c r="A253" s="12" t="str">
        <f ca="1">TEXT(Overig!A253,"000\,")&amp;TEXT(Overig!B253,"?00000000")&amp;SUBSTITUTE(TEXT(IF(ISTEXT(Overig!C253),Overig!C253,10*Overig!C253),""",""????0;"",""???-0;"",""????0;"", ////"""),"'","""")&amp;SUBSTITUTE(TEXT(Overig!D253,""",""?00;"",""?-00;"",""?00;"", //"""),"'","""")</f>
        <v>032, 19270909, 7650, 00</v>
      </c>
    </row>
    <row r="254" spans="1:1" x14ac:dyDescent="0.25">
      <c r="A254" s="12" t="str">
        <f ca="1">TEXT(Overig!A254,"000\,")&amp;TEXT(Overig!B254,"?00000000")&amp;SUBSTITUTE(TEXT(IF(ISTEXT(Overig!C254),Overig!C254,10*Overig!C254),""",""????0;"",""???-0;"",""????0;"", ////"""),"'","""")&amp;SUBSTITUTE(TEXT(Overig!D254,""",""?00;"",""?-00;"",""?00;"", //"""),"'","""")</f>
        <v>032, 19270910, 7650, 00</v>
      </c>
    </row>
    <row r="255" spans="1:1" x14ac:dyDescent="0.25">
      <c r="A255" s="12" t="str">
        <f ca="1">TEXT(Overig!A255,"000\,")&amp;TEXT(Overig!B255,"?00000000")&amp;SUBSTITUTE(TEXT(IF(ISTEXT(Overig!C255),Overig!C255,10*Overig!C255),""",""????0;"",""???-0;"",""????0;"", ////"""),"'","""")&amp;SUBSTITUTE(TEXT(Overig!D255,""",""?00;"",""?-00;"",""?00;"", //"""),"'","""")</f>
        <v>032, 19270911, 7650, 00</v>
      </c>
    </row>
    <row r="256" spans="1:1" x14ac:dyDescent="0.25">
      <c r="A256" s="12" t="str">
        <f ca="1">TEXT(Overig!A256,"000\,")&amp;TEXT(Overig!B256,"?00000000")&amp;SUBSTITUTE(TEXT(IF(ISTEXT(Overig!C256),Overig!C256,10*Overig!C256),""",""????0;"",""???-0;"",""????0;"", ////"""),"'","""")&amp;SUBSTITUTE(TEXT(Overig!D256,""",""?00;"",""?-00;"",""?00;"", //"""),"'","""")</f>
        <v>032, 19270912, 7640, 00</v>
      </c>
    </row>
    <row r="257" spans="1:1" x14ac:dyDescent="0.25">
      <c r="A257" s="12" t="str">
        <f ca="1">TEXT(Overig!A257,"000\,")&amp;TEXT(Overig!B257,"?00000000")&amp;SUBSTITUTE(TEXT(IF(ISTEXT(Overig!C257),Overig!C257,10*Overig!C257),""",""????0;"",""???-0;"",""????0;"", ////"""),"'","""")&amp;SUBSTITUTE(TEXT(Overig!D257,""",""?00;"",""?-00;"",""?00;"", //"""),"'","""")</f>
        <v>032, 19270913, 7640, 00</v>
      </c>
    </row>
    <row r="258" spans="1:1" x14ac:dyDescent="0.25">
      <c r="A258" s="12" t="str">
        <f ca="1">TEXT(Overig!A258,"000\,")&amp;TEXT(Overig!B258,"?00000000")&amp;SUBSTITUTE(TEXT(IF(ISTEXT(Overig!C258),Overig!C258,10*Overig!C258),""",""????0;"",""???-0;"",""????0;"", ////"""),"'","""")&amp;SUBSTITUTE(TEXT(Overig!D258,""",""?00;"",""?-00;"",""?00;"", //"""),"'","""")</f>
        <v>032, 19270914, 7645, 00</v>
      </c>
    </row>
    <row r="259" spans="1:1" x14ac:dyDescent="0.25">
      <c r="A259" s="12" t="str">
        <f ca="1">TEXT(Overig!A259,"000\,")&amp;TEXT(Overig!B259,"?00000000")&amp;SUBSTITUTE(TEXT(IF(ISTEXT(Overig!C259),Overig!C259,10*Overig!C259),""",""????0;"",""???-0;"",""????0;"", ////"""),"'","""")&amp;SUBSTITUTE(TEXT(Overig!D259,""",""?00;"",""?-00;"",""?00;"", //"""),"'","""")</f>
        <v>032, 19270915, 7645, 00</v>
      </c>
    </row>
    <row r="260" spans="1:1" x14ac:dyDescent="0.25">
      <c r="A260" s="12" t="str">
        <f ca="1">TEXT(Overig!A260,"000\,")&amp;TEXT(Overig!B260,"?00000000")&amp;SUBSTITUTE(TEXT(IF(ISTEXT(Overig!C260),Overig!C260,10*Overig!C260),""",""????0;"",""???-0;"",""????0;"", ////"""),"'","""")&amp;SUBSTITUTE(TEXT(Overig!D260,""",""?00;"",""?-00;"",""?00;"", //"""),"'","""")</f>
        <v>032, 19270916, 7640, 00</v>
      </c>
    </row>
    <row r="261" spans="1:1" x14ac:dyDescent="0.25">
      <c r="A261" s="12" t="str">
        <f ca="1">TEXT(Overig!A261,"000\,")&amp;TEXT(Overig!B261,"?00000000")&amp;SUBSTITUTE(TEXT(IF(ISTEXT(Overig!C261),Overig!C261,10*Overig!C261),""",""????0;"",""???-0;"",""????0;"", ////"""),"'","""")&amp;SUBSTITUTE(TEXT(Overig!D261,""",""?00;"",""?-00;"",""?00;"", //"""),"'","""")</f>
        <v>032, 19270917, 7645, 00</v>
      </c>
    </row>
    <row r="262" spans="1:1" x14ac:dyDescent="0.25">
      <c r="A262" s="12" t="str">
        <f ca="1">TEXT(Overig!A262,"000\,")&amp;TEXT(Overig!B262,"?00000000")&amp;SUBSTITUTE(TEXT(IF(ISTEXT(Overig!C262),Overig!C262,10*Overig!C262),""",""????0;"",""???-0;"",""????0;"", ////"""),"'","""")&amp;SUBSTITUTE(TEXT(Overig!D262,""",""?00;"",""?-00;"",""?00;"", //"""),"'","""")</f>
        <v>032, 19270918, 7640, 00</v>
      </c>
    </row>
    <row r="263" spans="1:1" x14ac:dyDescent="0.25">
      <c r="A263" s="12" t="str">
        <f ca="1">TEXT(Overig!A263,"000\,")&amp;TEXT(Overig!B263,"?00000000")&amp;SUBSTITUTE(TEXT(IF(ISTEXT(Overig!C263),Overig!C263,10*Overig!C263),""",""????0;"",""???-0;"",""????0;"", ////"""),"'","""")&amp;SUBSTITUTE(TEXT(Overig!D263,""",""?00;"",""?-00;"",""?00;"", //"""),"'","""")</f>
        <v>032, 19270919, 7630, 00</v>
      </c>
    </row>
    <row r="264" spans="1:1" x14ac:dyDescent="0.25">
      <c r="A264" s="12" t="str">
        <f ca="1">TEXT(Overig!A264,"000\,")&amp;TEXT(Overig!B264,"?00000000")&amp;SUBSTITUTE(TEXT(IF(ISTEXT(Overig!C264),Overig!C264,10*Overig!C264),""",""????0;"",""???-0;"",""????0;"", ////"""),"'","""")&amp;SUBSTITUTE(TEXT(Overig!D264,""",""?00;"",""?-00;"",""?00;"", //"""),"'","""")</f>
        <v>032, 19270920, 7635, 00</v>
      </c>
    </row>
    <row r="265" spans="1:1" x14ac:dyDescent="0.25">
      <c r="A265" s="12" t="str">
        <f ca="1">TEXT(Overig!A265,"000\,")&amp;TEXT(Overig!B265,"?00000000")&amp;SUBSTITUTE(TEXT(IF(ISTEXT(Overig!C265),Overig!C265,10*Overig!C265),""",""????0;"",""???-0;"",""????0;"", ////"""),"'","""")&amp;SUBSTITUTE(TEXT(Overig!D265,""",""?00;"",""?-00;"",""?00;"", //"""),"'","""")</f>
        <v>032, 19270921, 7645, 00</v>
      </c>
    </row>
    <row r="266" spans="1:1" x14ac:dyDescent="0.25">
      <c r="A266" s="12" t="str">
        <f ca="1">TEXT(Overig!A266,"000\,")&amp;TEXT(Overig!B266,"?00000000")&amp;SUBSTITUTE(TEXT(IF(ISTEXT(Overig!C266),Overig!C266,10*Overig!C266),""",""????0;"",""???-0;"",""????0;"", ////"""),"'","""")&amp;SUBSTITUTE(TEXT(Overig!D266,""",""?00;"",""?-00;"",""?00;"", //"""),"'","""")</f>
        <v>032, 19270922, 7645, 00</v>
      </c>
    </row>
    <row r="267" spans="1:1" x14ac:dyDescent="0.25">
      <c r="A267" s="12" t="str">
        <f ca="1">TEXT(Overig!A267,"000\,")&amp;TEXT(Overig!B267,"?00000000")&amp;SUBSTITUTE(TEXT(IF(ISTEXT(Overig!C267),Overig!C267,10*Overig!C267),""",""????0;"",""???-0;"",""????0;"", ////"""),"'","""")&amp;SUBSTITUTE(TEXT(Overig!D267,""",""?00;"",""?-00;"",""?00;"", //"""),"'","""")</f>
        <v>032, 19270923, 7640, 00</v>
      </c>
    </row>
    <row r="268" spans="1:1" x14ac:dyDescent="0.25">
      <c r="A268" s="12" t="str">
        <f ca="1">TEXT(Overig!A268,"000\,")&amp;TEXT(Overig!B268,"?00000000")&amp;SUBSTITUTE(TEXT(IF(ISTEXT(Overig!C268),Overig!C268,10*Overig!C268),""",""????0;"",""???-0;"",""????0;"", ////"""),"'","""")&amp;SUBSTITUTE(TEXT(Overig!D268,""",""?00;"",""?-00;"",""?00;"", //"""),"'","""")</f>
        <v>032, 19270924, 7635, 00</v>
      </c>
    </row>
    <row r="269" spans="1:1" x14ac:dyDescent="0.25">
      <c r="A269" s="12" t="str">
        <f ca="1">TEXT(Overig!A269,"000\,")&amp;TEXT(Overig!B269,"?00000000")&amp;SUBSTITUTE(TEXT(IF(ISTEXT(Overig!C269),Overig!C269,10*Overig!C269),""",""????0;"",""???-0;"",""????0;"", ////"""),"'","""")&amp;SUBSTITUTE(TEXT(Overig!D269,""",""?00;"",""?-00;"",""?00;"", //"""),"'","""")</f>
        <v>032, 19270925, 7645, 00</v>
      </c>
    </row>
    <row r="270" spans="1:1" x14ac:dyDescent="0.25">
      <c r="A270" s="12" t="str">
        <f ca="1">TEXT(Overig!A270,"000\,")&amp;TEXT(Overig!B270,"?00000000")&amp;SUBSTITUTE(TEXT(IF(ISTEXT(Overig!C270),Overig!C270,10*Overig!C270),""",""????0;"",""???-0;"",""????0;"", ////"""),"'","""")&amp;SUBSTITUTE(TEXT(Overig!D270,""",""?00;"",""?-00;"",""?00;"", //"""),"'","""")</f>
        <v>032, 19270926, 7640, 00</v>
      </c>
    </row>
    <row r="271" spans="1:1" x14ac:dyDescent="0.25">
      <c r="A271" s="12" t="str">
        <f ca="1">TEXT(Overig!A271,"000\,")&amp;TEXT(Overig!B271,"?00000000")&amp;SUBSTITUTE(TEXT(IF(ISTEXT(Overig!C271),Overig!C271,10*Overig!C271),""",""????0;"",""???-0;"",""????0;"", ////"""),"'","""")&amp;SUBSTITUTE(TEXT(Overig!D271,""",""?00;"",""?-00;"",""?00;"", //"""),"'","""")</f>
        <v>032, 19270927, 7640, 00</v>
      </c>
    </row>
    <row r="272" spans="1:1" x14ac:dyDescent="0.25">
      <c r="A272" s="12" t="str">
        <f ca="1">TEXT(Overig!A272,"000\,")&amp;TEXT(Overig!B272,"?00000000")&amp;SUBSTITUTE(TEXT(IF(ISTEXT(Overig!C272),Overig!C272,10*Overig!C272),""",""????0;"",""???-0;"",""????0;"", ////"""),"'","""")&amp;SUBSTITUTE(TEXT(Overig!D272,""",""?00;"",""?-00;"",""?00;"", //"""),"'","""")</f>
        <v>032, 19270928, 7645, 00</v>
      </c>
    </row>
    <row r="273" spans="1:1" x14ac:dyDescent="0.25">
      <c r="A273" s="12" t="str">
        <f ca="1">TEXT(Overig!A273,"000\,")&amp;TEXT(Overig!B273,"?00000000")&amp;SUBSTITUTE(TEXT(IF(ISTEXT(Overig!C273),Overig!C273,10*Overig!C273),""",""????0;"",""???-0;"",""????0;"", ////"""),"'","""")&amp;SUBSTITUTE(TEXT(Overig!D273,""",""?00;"",""?-00;"",""?00;"", //"""),"'","""")</f>
        <v>032, 19270929, 7620, 00</v>
      </c>
    </row>
    <row r="274" spans="1:1" x14ac:dyDescent="0.25">
      <c r="A274" s="12" t="str">
        <f ca="1">TEXT(Overig!A274,"000\,")&amp;TEXT(Overig!B274,"?00000000")&amp;SUBSTITUTE(TEXT(IF(ISTEXT(Overig!C274),Overig!C274,10*Overig!C274),""",""????0;"",""???-0;"",""????0;"", ////"""),"'","""")&amp;SUBSTITUTE(TEXT(Overig!D274,""",""?00;"",""?-00;"",""?00;"", //"""),"'","""")</f>
        <v>032, 19270930, 7625, 00</v>
      </c>
    </row>
    <row r="275" spans="1:1" x14ac:dyDescent="0.25">
      <c r="A275" s="12" t="str">
        <f ca="1">TEXT(Overig!A275,"000\,")&amp;TEXT(Overig!B275,"?00000000")&amp;SUBSTITUTE(TEXT(IF(ISTEXT(Overig!C275),Overig!C275,10*Overig!C275),""",""????0;"",""???-0;"",""????0;"", ////"""),"'","""")&amp;SUBSTITUTE(TEXT(Overig!D275,""",""?00;"",""?-00;"",""?00;"", //"""),"'","""")</f>
        <v>032, 19271001, 7635, 00</v>
      </c>
    </row>
    <row r="276" spans="1:1" x14ac:dyDescent="0.25">
      <c r="A276" s="12" t="str">
        <f ca="1">TEXT(Overig!A276,"000\,")&amp;TEXT(Overig!B276,"?00000000")&amp;SUBSTITUTE(TEXT(IF(ISTEXT(Overig!C276),Overig!C276,10*Overig!C276),""",""????0;"",""???-0;"",""????0;"", ////"""),"'","""")&amp;SUBSTITUTE(TEXT(Overig!D276,""",""?00;"",""?-00;"",""?00;"", //"""),"'","""")</f>
        <v>032, 19271002, 7640, 00</v>
      </c>
    </row>
    <row r="277" spans="1:1" x14ac:dyDescent="0.25">
      <c r="A277" s="12" t="str">
        <f ca="1">TEXT(Overig!A277,"000\,")&amp;TEXT(Overig!B277,"?00000000")&amp;SUBSTITUTE(TEXT(IF(ISTEXT(Overig!C277),Overig!C277,10*Overig!C277),""",""????0;"",""???-0;"",""????0;"", ////"""),"'","""")&amp;SUBSTITUTE(TEXT(Overig!D277,""",""?00;"",""?-00;"",""?00;"", //"""),"'","""")</f>
        <v>032, 19271003, 7650, 00</v>
      </c>
    </row>
    <row r="278" spans="1:1" x14ac:dyDescent="0.25">
      <c r="A278" s="12" t="str">
        <f ca="1">TEXT(Overig!A278,"000\,")&amp;TEXT(Overig!B278,"?00000000")&amp;SUBSTITUTE(TEXT(IF(ISTEXT(Overig!C278),Overig!C278,10*Overig!C278),""",""????0;"",""???-0;"",""????0;"", ////"""),"'","""")&amp;SUBSTITUTE(TEXT(Overig!D278,""",""?00;"",""?-00;"",""?00;"", //"""),"'","""")</f>
        <v>032, 19271004, 7640, 00</v>
      </c>
    </row>
    <row r="279" spans="1:1" x14ac:dyDescent="0.25">
      <c r="A279" s="12" t="str">
        <f ca="1">TEXT(Overig!A279,"000\,")&amp;TEXT(Overig!B279,"?00000000")&amp;SUBSTITUTE(TEXT(IF(ISTEXT(Overig!C279),Overig!C279,10*Overig!C279),""",""????0;"",""???-0;"",""????0;"", ////"""),"'","""")&amp;SUBSTITUTE(TEXT(Overig!D279,""",""?00;"",""?-00;"",""?00;"", //"""),"'","""")</f>
        <v>032, 19271005, 7635, 00</v>
      </c>
    </row>
    <row r="280" spans="1:1" x14ac:dyDescent="0.25">
      <c r="A280" s="12" t="str">
        <f ca="1">TEXT(Overig!A280,"000\,")&amp;TEXT(Overig!B280,"?00000000")&amp;SUBSTITUTE(TEXT(IF(ISTEXT(Overig!C280),Overig!C280,10*Overig!C280),""",""????0;"",""???-0;"",""????0;"", ////"""),"'","""")&amp;SUBSTITUTE(TEXT(Overig!D280,""",""?00;"",""?-00;"",""?00;"", //"""),"'","""")</f>
        <v>032, 19271006, 7645, 00</v>
      </c>
    </row>
    <row r="281" spans="1:1" x14ac:dyDescent="0.25">
      <c r="A281" s="12" t="str">
        <f ca="1">TEXT(Overig!A281,"000\,")&amp;TEXT(Overig!B281,"?00000000")&amp;SUBSTITUTE(TEXT(IF(ISTEXT(Overig!C281),Overig!C281,10*Overig!C281),""",""????0;"",""???-0;"",""????0;"", ////"""),"'","""")&amp;SUBSTITUTE(TEXT(Overig!D281,""",""?00;"",""?-00;"",""?00;"", //"""),"'","""")</f>
        <v>032, 19271007, 7640, 00</v>
      </c>
    </row>
    <row r="282" spans="1:1" x14ac:dyDescent="0.25">
      <c r="A282" s="12" t="str">
        <f ca="1">TEXT(Overig!A282,"000\,")&amp;TEXT(Overig!B282,"?00000000")&amp;SUBSTITUTE(TEXT(IF(ISTEXT(Overig!C282),Overig!C282,10*Overig!C282),""",""????0;"",""???-0;"",""????0;"", ////"""),"'","""")&amp;SUBSTITUTE(TEXT(Overig!D282,""",""?00;"",""?-00;"",""?00;"", //"""),"'","""")</f>
        <v>032, 19271008, 7625, 00</v>
      </c>
    </row>
    <row r="283" spans="1:1" x14ac:dyDescent="0.25">
      <c r="A283" s="12" t="str">
        <f ca="1">TEXT(Overig!A283,"000\,")&amp;TEXT(Overig!B283,"?00000000")&amp;SUBSTITUTE(TEXT(IF(ISTEXT(Overig!C283),Overig!C283,10*Overig!C283),""",""????0;"",""???-0;"",""????0;"", ////"""),"'","""")&amp;SUBSTITUTE(TEXT(Overig!D283,""",""?00;"",""?-00;"",""?00;"", //"""),"'","""")</f>
        <v>032, 19271009, 7620, 00</v>
      </c>
    </row>
    <row r="284" spans="1:1" x14ac:dyDescent="0.25">
      <c r="A284" s="12" t="str">
        <f ca="1">TEXT(Overig!A284,"000\,")&amp;TEXT(Overig!B284,"?00000000")&amp;SUBSTITUTE(TEXT(IF(ISTEXT(Overig!C284),Overig!C284,10*Overig!C284),""",""????0;"",""???-0;"",""????0;"", ////"""),"'","""")&amp;SUBSTITUTE(TEXT(Overig!D284,""",""?00;"",""?-00;"",""?00;"", //"""),"'","""")</f>
        <v>032, 19271010, 7625, 00</v>
      </c>
    </row>
    <row r="285" spans="1:1" x14ac:dyDescent="0.25">
      <c r="A285" s="12" t="str">
        <f ca="1">TEXT(Overig!A285,"000\,")&amp;TEXT(Overig!B285,"?00000000")&amp;SUBSTITUTE(TEXT(IF(ISTEXT(Overig!C285),Overig!C285,10*Overig!C285),""",""????0;"",""???-0;"",""????0;"", ////"""),"'","""")&amp;SUBSTITUTE(TEXT(Overig!D285,""",""?00;"",""?-00;"",""?00;"", //"""),"'","""")</f>
        <v>032, 19271011, 7625, 00</v>
      </c>
    </row>
    <row r="286" spans="1:1" x14ac:dyDescent="0.25">
      <c r="A286" s="12" t="str">
        <f ca="1">TEXT(Overig!A286,"000\,")&amp;TEXT(Overig!B286,"?00000000")&amp;SUBSTITUTE(TEXT(IF(ISTEXT(Overig!C286),Overig!C286,10*Overig!C286),""",""????0;"",""???-0;"",""????0;"", ////"""),"'","""")&amp;SUBSTITUTE(TEXT(Overig!D286,""",""?00;"",""?-00;"",""?00;"", //"""),"'","""")</f>
        <v>032, 19271012, 7630, 00</v>
      </c>
    </row>
    <row r="287" spans="1:1" x14ac:dyDescent="0.25">
      <c r="A287" s="12" t="str">
        <f ca="1">TEXT(Overig!A287,"000\,")&amp;TEXT(Overig!B287,"?00000000")&amp;SUBSTITUTE(TEXT(IF(ISTEXT(Overig!C287),Overig!C287,10*Overig!C287),""",""????0;"",""???-0;"",""????0;"", ////"""),"'","""")&amp;SUBSTITUTE(TEXT(Overig!D287,""",""?00;"",""?-00;"",""?00;"", //"""),"'","""")</f>
        <v>032, 19271013, 7630, 00</v>
      </c>
    </row>
    <row r="288" spans="1:1" x14ac:dyDescent="0.25">
      <c r="A288" s="12" t="str">
        <f ca="1">TEXT(Overig!A288,"000\,")&amp;TEXT(Overig!B288,"?00000000")&amp;SUBSTITUTE(TEXT(IF(ISTEXT(Overig!C288),Overig!C288,10*Overig!C288),""",""????0;"",""???-0;"",""????0;"", ////"""),"'","""")&amp;SUBSTITUTE(TEXT(Overig!D288,""",""?00;"",""?-00;"",""?00;"", //"""),"'","""")</f>
        <v>032, 19271014, 7615, 00</v>
      </c>
    </row>
    <row r="289" spans="1:1" x14ac:dyDescent="0.25">
      <c r="A289" s="12" t="str">
        <f ca="1">TEXT(Overig!A289,"000\,")&amp;TEXT(Overig!B289,"?00000000")&amp;SUBSTITUTE(TEXT(IF(ISTEXT(Overig!C289),Overig!C289,10*Overig!C289),""",""????0;"",""???-0;"",""????0;"", ////"""),"'","""")&amp;SUBSTITUTE(TEXT(Overig!D289,""",""?00;"",""?-00;"",""?00;"", //"""),"'","""")</f>
        <v>032, 19271015, 7620, 00</v>
      </c>
    </row>
    <row r="290" spans="1:1" x14ac:dyDescent="0.25">
      <c r="A290" s="12" t="str">
        <f ca="1">TEXT(Overig!A290,"000\,")&amp;TEXT(Overig!B290,"?00000000")&amp;SUBSTITUTE(TEXT(IF(ISTEXT(Overig!C290),Overig!C290,10*Overig!C290),""",""????0;"",""???-0;"",""????0;"", ////"""),"'","""")&amp;SUBSTITUTE(TEXT(Overig!D290,""",""?00;"",""?-00;"",""?00;"", //"""),"'","""")</f>
        <v>032, 19271016, 7625, 00</v>
      </c>
    </row>
    <row r="291" spans="1:1" x14ac:dyDescent="0.25">
      <c r="A291" s="12" t="str">
        <f ca="1">TEXT(Overig!A291,"000\,")&amp;TEXT(Overig!B291,"?00000000")&amp;SUBSTITUTE(TEXT(IF(ISTEXT(Overig!C291),Overig!C291,10*Overig!C291),""",""????0;"",""???-0;"",""????0;"", ////"""),"'","""")&amp;SUBSTITUTE(TEXT(Overig!D291,""",""?00;"",""?-00;"",""?00;"", //"""),"'","""")</f>
        <v>032, 19271017, 7625, 00</v>
      </c>
    </row>
    <row r="292" spans="1:1" x14ac:dyDescent="0.25">
      <c r="A292" s="12" t="str">
        <f ca="1">TEXT(Overig!A292,"000\,")&amp;TEXT(Overig!B292,"?00000000")&amp;SUBSTITUTE(TEXT(IF(ISTEXT(Overig!C292),Overig!C292,10*Overig!C292),""",""????0;"",""???-0;"",""????0;"", ////"""),"'","""")&amp;SUBSTITUTE(TEXT(Overig!D292,""",""?00;"",""?-00;"",""?00;"", //"""),"'","""")</f>
        <v>032, 19271018, 7635, 00</v>
      </c>
    </row>
    <row r="293" spans="1:1" x14ac:dyDescent="0.25">
      <c r="A293" s="12" t="str">
        <f ca="1">TEXT(Overig!A293,"000\,")&amp;TEXT(Overig!B293,"?00000000")&amp;SUBSTITUTE(TEXT(IF(ISTEXT(Overig!C293),Overig!C293,10*Overig!C293),""",""????0;"",""???-0;"",""????0;"", ////"""),"'","""")&amp;SUBSTITUTE(TEXT(Overig!D293,""",""?00;"",""?-00;"",""?00;"", //"""),"'","""")</f>
        <v>032, 19271019, 7645, 00</v>
      </c>
    </row>
    <row r="294" spans="1:1" x14ac:dyDescent="0.25">
      <c r="A294" s="12" t="str">
        <f ca="1">TEXT(Overig!A294,"000\,")&amp;TEXT(Overig!B294,"?00000000")&amp;SUBSTITUTE(TEXT(IF(ISTEXT(Overig!C294),Overig!C294,10*Overig!C294),""",""????0;"",""???-0;"",""????0;"", ////"""),"'","""")&amp;SUBSTITUTE(TEXT(Overig!D294,""",""?00;"",""?-00;"",""?00;"", //"""),"'","""")</f>
        <v>032, 19271020, 7650, 00</v>
      </c>
    </row>
    <row r="295" spans="1:1" x14ac:dyDescent="0.25">
      <c r="A295" s="12" t="str">
        <f ca="1">TEXT(Overig!A295,"000\,")&amp;TEXT(Overig!B295,"?00000000")&amp;SUBSTITUTE(TEXT(IF(ISTEXT(Overig!C295),Overig!C295,10*Overig!C295),""",""????0;"",""???-0;"",""????0;"", ////"""),"'","""")&amp;SUBSTITUTE(TEXT(Overig!D295,""",""?00;"",""?-00;"",""?00;"", //"""),"'","""")</f>
        <v>032, 19271021, 7650, 00</v>
      </c>
    </row>
    <row r="296" spans="1:1" x14ac:dyDescent="0.25">
      <c r="A296" s="12" t="str">
        <f ca="1">TEXT(Overig!A296,"000\,")&amp;TEXT(Overig!B296,"?00000000")&amp;SUBSTITUTE(TEXT(IF(ISTEXT(Overig!C296),Overig!C296,10*Overig!C296),""",""????0;"",""???-0;"",""????0;"", ////"""),"'","""")&amp;SUBSTITUTE(TEXT(Overig!D296,""",""?00;"",""?-00;"",""?00;"", //"""),"'","""")</f>
        <v>032, 19271022, 7645, 00</v>
      </c>
    </row>
    <row r="297" spans="1:1" x14ac:dyDescent="0.25">
      <c r="A297" s="12" t="str">
        <f ca="1">TEXT(Overig!A297,"000\,")&amp;TEXT(Overig!B297,"?00000000")&amp;SUBSTITUTE(TEXT(IF(ISTEXT(Overig!C297),Overig!C297,10*Overig!C297),""",""????0;"",""???-0;"",""????0;"", ////"""),"'","""")&amp;SUBSTITUTE(TEXT(Overig!D297,""",""?00;"",""?-00;"",""?00;"", //"""),"'","""")</f>
        <v>032, 19271023, 7655, 00</v>
      </c>
    </row>
    <row r="298" spans="1:1" x14ac:dyDescent="0.25">
      <c r="A298" s="12" t="str">
        <f ca="1">TEXT(Overig!A298,"000\,")&amp;TEXT(Overig!B298,"?00000000")&amp;SUBSTITUTE(TEXT(IF(ISTEXT(Overig!C298),Overig!C298,10*Overig!C298),""",""????0;"",""???-0;"",""????0;"", ////"""),"'","""")&amp;SUBSTITUTE(TEXT(Overig!D298,""",""?00;"",""?-00;"",""?00;"", //"""),"'","""")</f>
        <v>032, 19271024, 7650, 00</v>
      </c>
    </row>
    <row r="299" spans="1:1" x14ac:dyDescent="0.25">
      <c r="A299" s="12" t="str">
        <f ca="1">TEXT(Overig!A299,"000\,")&amp;TEXT(Overig!B299,"?00000000")&amp;SUBSTITUTE(TEXT(IF(ISTEXT(Overig!C299),Overig!C299,10*Overig!C299),""",""????0;"",""???-0;"",""????0;"", ////"""),"'","""")&amp;SUBSTITUTE(TEXT(Overig!D299,""",""?00;"",""?-00;"",""?00;"", //"""),"'","""")</f>
        <v>032, 19271025, 7635, 00</v>
      </c>
    </row>
    <row r="300" spans="1:1" x14ac:dyDescent="0.25">
      <c r="A300" s="12" t="str">
        <f ca="1">TEXT(Overig!A300,"000\,")&amp;TEXT(Overig!B300,"?00000000")&amp;SUBSTITUTE(TEXT(IF(ISTEXT(Overig!C300),Overig!C300,10*Overig!C300),""",""????0;"",""???-0;"",""????0;"", ////"""),"'","""")&amp;SUBSTITUTE(TEXT(Overig!D300,""",""?00;"",""?-00;"",""?00;"", //"""),"'","""")</f>
        <v>032, 19271026, 7640, 00</v>
      </c>
    </row>
    <row r="301" spans="1:1" x14ac:dyDescent="0.25">
      <c r="A301" s="12" t="str">
        <f ca="1">TEXT(Overig!A301,"000\,")&amp;TEXT(Overig!B301,"?00000000")&amp;SUBSTITUTE(TEXT(IF(ISTEXT(Overig!C301),Overig!C301,10*Overig!C301),""",""????0;"",""???-0;"",""????0;"", ////"""),"'","""")&amp;SUBSTITUTE(TEXT(Overig!D301,""",""?00;"",""?-00;"",""?00;"", //"""),"'","""")</f>
        <v>032, 19271027, 7640, 00</v>
      </c>
    </row>
    <row r="302" spans="1:1" x14ac:dyDescent="0.25">
      <c r="A302" s="12" t="str">
        <f ca="1">TEXT(Overig!A302,"000\,")&amp;TEXT(Overig!B302,"?00000000")&amp;SUBSTITUTE(TEXT(IF(ISTEXT(Overig!C302),Overig!C302,10*Overig!C302),""",""????0;"",""???-0;"",""????0;"", ////"""),"'","""")&amp;SUBSTITUTE(TEXT(Overig!D302,""",""?00;"",""?-00;"",""?00;"", //"""),"'","""")</f>
        <v>032, 19271028, 7640, 00</v>
      </c>
    </row>
    <row r="303" spans="1:1" x14ac:dyDescent="0.25">
      <c r="A303" s="12" t="str">
        <f ca="1">TEXT(Overig!A303,"000\,")&amp;TEXT(Overig!B303,"?00000000")&amp;SUBSTITUTE(TEXT(IF(ISTEXT(Overig!C303),Overig!C303,10*Overig!C303),""",""????0;"",""???-0;"",""????0;"", ////"""),"'","""")&amp;SUBSTITUTE(TEXT(Overig!D303,""",""?00;"",""?-00;"",""?00;"", //"""),"'","""")</f>
        <v>032, 19271029, 7640, 00</v>
      </c>
    </row>
    <row r="304" spans="1:1" x14ac:dyDescent="0.25">
      <c r="A304" s="12" t="str">
        <f ca="1">TEXT(Overig!A304,"000\,")&amp;TEXT(Overig!B304,"?00000000")&amp;SUBSTITUTE(TEXT(IF(ISTEXT(Overig!C304),Overig!C304,10*Overig!C304),""",""????0;"",""???-0;"",""????0;"", ////"""),"'","""")&amp;SUBSTITUTE(TEXT(Overig!D304,""",""?00;"",""?-00;"",""?00;"", //"""),"'","""")</f>
        <v>032, 19271030, 7635, 00</v>
      </c>
    </row>
    <row r="305" spans="1:1" x14ac:dyDescent="0.25">
      <c r="A305" s="12" t="str">
        <f ca="1">TEXT(Overig!A305,"000\,")&amp;TEXT(Overig!B305,"?00000000")&amp;SUBSTITUTE(TEXT(IF(ISTEXT(Overig!C305),Overig!C305,10*Overig!C305),""",""????0;"",""???-0;"",""????0;"", ////"""),"'","""")&amp;SUBSTITUTE(TEXT(Overig!D305,""",""?00;"",""?-00;"",""?00;"", //"""),"'","""")</f>
        <v>032, 19271031, 7640, 00</v>
      </c>
    </row>
    <row r="306" spans="1:1" x14ac:dyDescent="0.25">
      <c r="A306" s="12" t="str">
        <f ca="1">TEXT(Overig!A306,"000\,")&amp;TEXT(Overig!B306,"?00000000")&amp;SUBSTITUTE(TEXT(IF(ISTEXT(Overig!C306),Overig!C306,10*Overig!C306),""",""????0;"",""???-0;"",""????0;"", ////"""),"'","""")&amp;SUBSTITUTE(TEXT(Overig!D306,""",""?00;"",""?-00;"",""?00;"", //"""),"'","""")</f>
        <v>032, 19271101, 7635, 00</v>
      </c>
    </row>
    <row r="307" spans="1:1" x14ac:dyDescent="0.25">
      <c r="A307" s="12" t="str">
        <f ca="1">TEXT(Overig!A307,"000\,")&amp;TEXT(Overig!B307,"?00000000")&amp;SUBSTITUTE(TEXT(IF(ISTEXT(Overig!C307),Overig!C307,10*Overig!C307),""",""????0;"",""???-0;"",""????0;"", ////"""),"'","""")&amp;SUBSTITUTE(TEXT(Overig!D307,""",""?00;"",""?-00;"",""?00;"", //"""),"'","""")</f>
        <v>032, 19271102, 7640, 00</v>
      </c>
    </row>
    <row r="308" spans="1:1" x14ac:dyDescent="0.25">
      <c r="A308" s="12" t="str">
        <f ca="1">TEXT(Overig!A308,"000\,")&amp;TEXT(Overig!B308,"?00000000")&amp;SUBSTITUTE(TEXT(IF(ISTEXT(Overig!C308),Overig!C308,10*Overig!C308),""",""????0;"",""???-0;"",""????0;"", ////"""),"'","""")&amp;SUBSTITUTE(TEXT(Overig!D308,""",""?00;"",""?-00;"",""?00;"", //"""),"'","""")</f>
        <v>032, 19271103, 7615, 00</v>
      </c>
    </row>
    <row r="309" spans="1:1" x14ac:dyDescent="0.25">
      <c r="A309" s="12" t="str">
        <f ca="1">TEXT(Overig!A309,"000\,")&amp;TEXT(Overig!B309,"?00000000")&amp;SUBSTITUTE(TEXT(IF(ISTEXT(Overig!C309),Overig!C309,10*Overig!C309),""",""????0;"",""???-0;"",""????0;"", ////"""),"'","""")&amp;SUBSTITUTE(TEXT(Overig!D309,""",""?00;"",""?-00;"",""?00;"", //"""),"'","""")</f>
        <v>032, 19271104, 7620, 00</v>
      </c>
    </row>
    <row r="310" spans="1:1" x14ac:dyDescent="0.25">
      <c r="A310" s="12" t="str">
        <f ca="1">TEXT(Overig!A310,"000\,")&amp;TEXT(Overig!B310,"?00000000")&amp;SUBSTITUTE(TEXT(IF(ISTEXT(Overig!C310),Overig!C310,10*Overig!C310),""",""????0;"",""???-0;"",""????0;"", ////"""),"'","""")&amp;SUBSTITUTE(TEXT(Overig!D310,""",""?00;"",""?-00;"",""?00;"", //"""),"'","""")</f>
        <v>032, 19271105, 7645, 00</v>
      </c>
    </row>
    <row r="311" spans="1:1" x14ac:dyDescent="0.25">
      <c r="A311" s="12" t="str">
        <f ca="1">TEXT(Overig!A311,"000\,")&amp;TEXT(Overig!B311,"?00000000")&amp;SUBSTITUTE(TEXT(IF(ISTEXT(Overig!C311),Overig!C311,10*Overig!C311),""",""????0;"",""???-0;"",""????0;"", ////"""),"'","""")&amp;SUBSTITUTE(TEXT(Overig!D311,""",""?00;"",""?-00;"",""?00;"", //"""),"'","""")</f>
        <v>032, 19271106, 7650, 00</v>
      </c>
    </row>
    <row r="312" spans="1:1" x14ac:dyDescent="0.25">
      <c r="A312" s="12" t="str">
        <f ca="1">TEXT(Overig!A312,"000\,")&amp;TEXT(Overig!B312,"?00000000")&amp;SUBSTITUTE(TEXT(IF(ISTEXT(Overig!C312),Overig!C312,10*Overig!C312),""",""????0;"",""???-0;"",""????0;"", ////"""),"'","""")&amp;SUBSTITUTE(TEXT(Overig!D312,""",""?00;"",""?-00;"",""?00;"", //"""),"'","""")</f>
        <v>032, 19271107, 7650, 00</v>
      </c>
    </row>
    <row r="313" spans="1:1" x14ac:dyDescent="0.25">
      <c r="A313" s="12" t="str">
        <f ca="1">TEXT(Overig!A313,"000\,")&amp;TEXT(Overig!B313,"?00000000")&amp;SUBSTITUTE(TEXT(IF(ISTEXT(Overig!C313),Overig!C313,10*Overig!C313),""",""????0;"",""???-0;"",""????0;"", ////"""),"'","""")&amp;SUBSTITUTE(TEXT(Overig!D313,""",""?00;"",""?-00;"",""?00;"", //"""),"'","""")</f>
        <v>032, 19271108, 7645, 00</v>
      </c>
    </row>
    <row r="314" spans="1:1" x14ac:dyDescent="0.25">
      <c r="A314" s="12" t="str">
        <f ca="1">TEXT(Overig!A314,"000\,")&amp;TEXT(Overig!B314,"?00000000")&amp;SUBSTITUTE(TEXT(IF(ISTEXT(Overig!C314),Overig!C314,10*Overig!C314),""",""????0;"",""???-0;"",""????0;"", ////"""),"'","""")&amp;SUBSTITUTE(TEXT(Overig!D314,""",""?00;"",""?-00;"",""?00;"", //"""),"'","""")</f>
        <v>032, 19271109, 7645, 00</v>
      </c>
    </row>
    <row r="315" spans="1:1" x14ac:dyDescent="0.25">
      <c r="A315" s="12" t="str">
        <f ca="1">TEXT(Overig!A315,"000\,")&amp;TEXT(Overig!B315,"?00000000")&amp;SUBSTITUTE(TEXT(IF(ISTEXT(Overig!C315),Overig!C315,10*Overig!C315),""",""????0;"",""???-0;"",""????0;"", ////"""),"'","""")&amp;SUBSTITUTE(TEXT(Overig!D315,""",""?00;"",""?-00;"",""?00;"", //"""),"'","""")</f>
        <v>032, 19271110, 7640, 00</v>
      </c>
    </row>
    <row r="316" spans="1:1" x14ac:dyDescent="0.25">
      <c r="A316" s="12" t="str">
        <f ca="1">TEXT(Overig!A316,"000\,")&amp;TEXT(Overig!B316,"?00000000")&amp;SUBSTITUTE(TEXT(IF(ISTEXT(Overig!C316),Overig!C316,10*Overig!C316),""",""????0;"",""???-0;"",""????0;"", ////"""),"'","""")&amp;SUBSTITUTE(TEXT(Overig!D316,""",""?00;"",""?-00;"",""?00;"", //"""),"'","""")</f>
        <v>032, 19271111, 7640, 00</v>
      </c>
    </row>
    <row r="317" spans="1:1" x14ac:dyDescent="0.25">
      <c r="A317" s="12" t="str">
        <f ca="1">TEXT(Overig!A317,"000\,")&amp;TEXT(Overig!B317,"?00000000")&amp;SUBSTITUTE(TEXT(IF(ISTEXT(Overig!C317),Overig!C317,10*Overig!C317),""",""????0;"",""???-0;"",""????0;"", ////"""),"'","""")&amp;SUBSTITUTE(TEXT(Overig!D317,""",""?00;"",""?-00;"",""?00;"", //"""),"'","""")</f>
        <v>032, 19271112, 7635, 00</v>
      </c>
    </row>
    <row r="318" spans="1:1" x14ac:dyDescent="0.25">
      <c r="A318" s="12" t="str">
        <f ca="1">TEXT(Overig!A318,"000\,")&amp;TEXT(Overig!B318,"?00000000")&amp;SUBSTITUTE(TEXT(IF(ISTEXT(Overig!C318),Overig!C318,10*Overig!C318),""",""????0;"",""???-0;"",""????0;"", ////"""),"'","""")&amp;SUBSTITUTE(TEXT(Overig!D318,""",""?00;"",""?-00;"",""?00;"", //"""),"'","""")</f>
        <v>032, 19271113, 7635, 00</v>
      </c>
    </row>
    <row r="319" spans="1:1" x14ac:dyDescent="0.25">
      <c r="A319" s="12" t="str">
        <f ca="1">TEXT(Overig!A319,"000\,")&amp;TEXT(Overig!B319,"?00000000")&amp;SUBSTITUTE(TEXT(IF(ISTEXT(Overig!C319),Overig!C319,10*Overig!C319),""",""????0;"",""???-0;"",""????0;"", ////"""),"'","""")&amp;SUBSTITUTE(TEXT(Overig!D319,""",""?00;"",""?-00;"",""?00;"", //"""),"'","""")</f>
        <v>032, 19271114, 7620, 00</v>
      </c>
    </row>
    <row r="320" spans="1:1" x14ac:dyDescent="0.25">
      <c r="A320" s="12" t="str">
        <f ca="1">TEXT(Overig!A320,"000\,")&amp;TEXT(Overig!B320,"?00000000")&amp;SUBSTITUTE(TEXT(IF(ISTEXT(Overig!C320),Overig!C320,10*Overig!C320),""",""????0;"",""???-0;"",""????0;"", ////"""),"'","""")&amp;SUBSTITUTE(TEXT(Overig!D320,""",""?00;"",""?-00;"",""?00;"", //"""),"'","""")</f>
        <v>032, 19271115, 7625, 00</v>
      </c>
    </row>
    <row r="321" spans="1:1" x14ac:dyDescent="0.25">
      <c r="A321" s="12" t="str">
        <f ca="1">TEXT(Overig!A321,"000\,")&amp;TEXT(Overig!B321,"?00000000")&amp;SUBSTITUTE(TEXT(IF(ISTEXT(Overig!C321),Overig!C321,10*Overig!C321),""",""????0;"",""???-0;"",""????0;"", ////"""),"'","""")&amp;SUBSTITUTE(TEXT(Overig!D321,""",""?00;"",""?-00;"",""?00;"", //"""),"'","""")</f>
        <v>032, 19271116, 7625, 00</v>
      </c>
    </row>
    <row r="322" spans="1:1" x14ac:dyDescent="0.25">
      <c r="A322" s="12" t="str">
        <f ca="1">TEXT(Overig!A322,"000\,")&amp;TEXT(Overig!B322,"?00000000")&amp;SUBSTITUTE(TEXT(IF(ISTEXT(Overig!C322),Overig!C322,10*Overig!C322),""",""????0;"",""???-0;"",""????0;"", ////"""),"'","""")&amp;SUBSTITUTE(TEXT(Overig!D322,""",""?00;"",""?-00;"",""?00;"", //"""),"'","""")</f>
        <v>032, 19271117, 7620, 00</v>
      </c>
    </row>
    <row r="323" spans="1:1" x14ac:dyDescent="0.25">
      <c r="A323" s="12" t="str">
        <f ca="1">TEXT(Overig!A323,"000\,")&amp;TEXT(Overig!B323,"?00000000")&amp;SUBSTITUTE(TEXT(IF(ISTEXT(Overig!C323),Overig!C323,10*Overig!C323),""",""????0;"",""???-0;"",""????0;"", ////"""),"'","""")&amp;SUBSTITUTE(TEXT(Overig!D323,""",""?00;"",""?-00;"",""?00;"", //"""),"'","""")</f>
        <v>032, 19271118, 7620, 00</v>
      </c>
    </row>
    <row r="324" spans="1:1" x14ac:dyDescent="0.25">
      <c r="A324" s="12" t="str">
        <f ca="1">TEXT(Overig!A324,"000\,")&amp;TEXT(Overig!B324,"?00000000")&amp;SUBSTITUTE(TEXT(IF(ISTEXT(Overig!C324),Overig!C324,10*Overig!C324),""",""????0;"",""???-0;"",""????0;"", ////"""),"'","""")&amp;SUBSTITUTE(TEXT(Overig!D324,""",""?00;"",""?-00;"",""?00;"", //"""),"'","""")</f>
        <v>032, 19271119, 7620, 00</v>
      </c>
    </row>
    <row r="325" spans="1:1" x14ac:dyDescent="0.25">
      <c r="A325" s="12" t="str">
        <f ca="1">TEXT(Overig!A325,"000\,")&amp;TEXT(Overig!B325,"?00000000")&amp;SUBSTITUTE(TEXT(IF(ISTEXT(Overig!C325),Overig!C325,10*Overig!C325),""",""????0;"",""???-0;"",""????0;"", ////"""),"'","""")&amp;SUBSTITUTE(TEXT(Overig!D325,""",""?00;"",""?-00;"",""?00;"", //"""),"'","""")</f>
        <v>032, 19271120, 7630, 00</v>
      </c>
    </row>
    <row r="326" spans="1:1" x14ac:dyDescent="0.25">
      <c r="A326" s="12" t="str">
        <f ca="1">TEXT(Overig!A326,"000\,")&amp;TEXT(Overig!B326,"?00000000")&amp;SUBSTITUTE(TEXT(IF(ISTEXT(Overig!C326),Overig!C326,10*Overig!C326),""",""????0;"",""???-0;"",""????0;"", ////"""),"'","""")&amp;SUBSTITUTE(TEXT(Overig!D326,""",""?00;"",""?-00;"",""?00;"", //"""),"'","""")</f>
        <v>032, 19271121, 7630, 00</v>
      </c>
    </row>
    <row r="327" spans="1:1" x14ac:dyDescent="0.25">
      <c r="A327" s="12" t="str">
        <f ca="1">TEXT(Overig!A327,"000\,")&amp;TEXT(Overig!B327,"?00000000")&amp;SUBSTITUTE(TEXT(IF(ISTEXT(Overig!C327),Overig!C327,10*Overig!C327),""",""????0;"",""???-0;"",""????0;"", ////"""),"'","""")&amp;SUBSTITUTE(TEXT(Overig!D327,""",""?00;"",""?-00;"",""?00;"", //"""),"'","""")</f>
        <v>032, 19271122, 7660, 00</v>
      </c>
    </row>
    <row r="328" spans="1:1" x14ac:dyDescent="0.25">
      <c r="A328" s="12" t="str">
        <f ca="1">TEXT(Overig!A328,"000\,")&amp;TEXT(Overig!B328,"?00000000")&amp;SUBSTITUTE(TEXT(IF(ISTEXT(Overig!C328),Overig!C328,10*Overig!C328),""",""????0;"",""???-0;"",""????0;"", ////"""),"'","""")&amp;SUBSTITUTE(TEXT(Overig!D328,""",""?00;"",""?-00;"",""?00;"", //"""),"'","""")</f>
        <v>032, 19271123, 7660, 00</v>
      </c>
    </row>
    <row r="329" spans="1:1" x14ac:dyDescent="0.25">
      <c r="A329" s="12" t="str">
        <f ca="1">TEXT(Overig!A329,"000\,")&amp;TEXT(Overig!B329,"?00000000")&amp;SUBSTITUTE(TEXT(IF(ISTEXT(Overig!C329),Overig!C329,10*Overig!C329),""",""????0;"",""???-0;"",""????0;"", ////"""),"'","""")&amp;SUBSTITUTE(TEXT(Overig!D329,""",""?00;"",""?-00;"",""?00;"", //"""),"'","""")</f>
        <v>032, 19271124, 7635, 00</v>
      </c>
    </row>
    <row r="330" spans="1:1" x14ac:dyDescent="0.25">
      <c r="A330" s="12" t="str">
        <f ca="1">TEXT(Overig!A330,"000\,")&amp;TEXT(Overig!B330,"?00000000")&amp;SUBSTITUTE(TEXT(IF(ISTEXT(Overig!C330),Overig!C330,10*Overig!C330),""",""????0;"",""???-0;"",""????0;"", ////"""),"'","""")&amp;SUBSTITUTE(TEXT(Overig!D330,""",""?00;"",""?-00;"",""?00;"", //"""),"'","""")</f>
        <v>032, 19271125, 7625, 00</v>
      </c>
    </row>
    <row r="331" spans="1:1" x14ac:dyDescent="0.25">
      <c r="A331" s="12" t="str">
        <f ca="1">TEXT(Overig!A331,"000\,")&amp;TEXT(Overig!B331,"?00000000")&amp;SUBSTITUTE(TEXT(IF(ISTEXT(Overig!C331),Overig!C331,10*Overig!C331),""",""????0;"",""???-0;"",""????0;"", ////"""),"'","""")&amp;SUBSTITUTE(TEXT(Overig!D331,""",""?00;"",""?-00;"",""?00;"", //"""),"'","""")</f>
        <v>032, 19271126, 7635, 00</v>
      </c>
    </row>
    <row r="332" spans="1:1" x14ac:dyDescent="0.25">
      <c r="A332" s="12" t="str">
        <f ca="1">TEXT(Overig!A332,"000\,")&amp;TEXT(Overig!B332,"?00000000")&amp;SUBSTITUTE(TEXT(IF(ISTEXT(Overig!C332),Overig!C332,10*Overig!C332),""",""????0;"",""???-0;"",""????0;"", ////"""),"'","""")&amp;SUBSTITUTE(TEXT(Overig!D332,""",""?00;"",""?-00;"",""?00;"", //"""),"'","""")</f>
        <v>032, 19271127, 7620, 00</v>
      </c>
    </row>
    <row r="333" spans="1:1" x14ac:dyDescent="0.25">
      <c r="A333" s="12" t="str">
        <f ca="1">TEXT(Overig!A333,"000\,")&amp;TEXT(Overig!B333,"?00000000")&amp;SUBSTITUTE(TEXT(IF(ISTEXT(Overig!C333),Overig!C333,10*Overig!C333),""",""????0;"",""???-0;"",""????0;"", ////"""),"'","""")&amp;SUBSTITUTE(TEXT(Overig!D333,""",""?00;"",""?-00;"",""?00;"", //"""),"'","""")</f>
        <v>032, 19271128, 7620, 00</v>
      </c>
    </row>
    <row r="334" spans="1:1" x14ac:dyDescent="0.25">
      <c r="A334" s="12" t="str">
        <f ca="1">TEXT(Overig!A334,"000\,")&amp;TEXT(Overig!B334,"?00000000")&amp;SUBSTITUTE(TEXT(IF(ISTEXT(Overig!C334),Overig!C334,10*Overig!C334),""",""????0;"",""???-0;"",""????0;"", ////"""),"'","""")&amp;SUBSTITUTE(TEXT(Overig!D334,""",""?00;"",""?-00;"",""?00;"", //"""),"'","""")</f>
        <v>032, 19271129, 7625, 00</v>
      </c>
    </row>
    <row r="335" spans="1:1" x14ac:dyDescent="0.25">
      <c r="A335" s="12" t="str">
        <f ca="1">TEXT(Overig!A335,"000\,")&amp;TEXT(Overig!B335,"?00000000")&amp;SUBSTITUTE(TEXT(IF(ISTEXT(Overig!C335),Overig!C335,10*Overig!C335),""",""????0;"",""???-0;"",""????0;"", ////"""),"'","""")&amp;SUBSTITUTE(TEXT(Overig!D335,""",""?00;"",""?-00;"",""?00;"", //"""),"'","""")</f>
        <v>032, 19271130, 7625, 00</v>
      </c>
    </row>
    <row r="336" spans="1:1" x14ac:dyDescent="0.25">
      <c r="A336" s="12" t="str">
        <f ca="1">TEXT(Overig!A336,"000\,")&amp;TEXT(Overig!B336,"?00000000")&amp;SUBSTITUTE(TEXT(IF(ISTEXT(Overig!C336),Overig!C336,10*Overig!C336),""",""????0;"",""???-0;"",""????0;"", ////"""),"'","""")&amp;SUBSTITUTE(TEXT(Overig!D336,""",""?00;"",""?-00;"",""?00;"", //"""),"'","""")</f>
        <v>032, 19271201, 7625, 00</v>
      </c>
    </row>
    <row r="337" spans="1:1" x14ac:dyDescent="0.25">
      <c r="A337" s="12" t="str">
        <f ca="1">TEXT(Overig!A337,"000\,")&amp;TEXT(Overig!B337,"?00000000")&amp;SUBSTITUTE(TEXT(IF(ISTEXT(Overig!C337),Overig!C337,10*Overig!C337),""",""????0;"",""???-0;"",""????0;"", ////"""),"'","""")&amp;SUBSTITUTE(TEXT(Overig!D337,""",""?00;"",""?-00;"",""?00;"", //"""),"'","""")</f>
        <v>032, 19271202, 7625, 00</v>
      </c>
    </row>
    <row r="338" spans="1:1" x14ac:dyDescent="0.25">
      <c r="A338" s="12" t="str">
        <f ca="1">TEXT(Overig!A338,"000\,")&amp;TEXT(Overig!B338,"?00000000")&amp;SUBSTITUTE(TEXT(IF(ISTEXT(Overig!C338),Overig!C338,10*Overig!C338),""",""????0;"",""???-0;"",""????0;"", ////"""),"'","""")&amp;SUBSTITUTE(TEXT(Overig!D338,""",""?00;"",""?-00;"",""?00;"", //"""),"'","""")</f>
        <v>032, 19271203, 7645, 00</v>
      </c>
    </row>
    <row r="339" spans="1:1" x14ac:dyDescent="0.25">
      <c r="A339" s="12" t="str">
        <f ca="1">TEXT(Overig!A339,"000\,")&amp;TEXT(Overig!B339,"?00000000")&amp;SUBSTITUTE(TEXT(IF(ISTEXT(Overig!C339),Overig!C339,10*Overig!C339),""",""????0;"",""???-0;"",""????0;"", ////"""),"'","""")&amp;SUBSTITUTE(TEXT(Overig!D339,""",""?00;"",""?-00;"",""?00;"", //"""),"'","""")</f>
        <v>032, 19271204, 7660, 00</v>
      </c>
    </row>
    <row r="340" spans="1:1" x14ac:dyDescent="0.25">
      <c r="A340" s="12" t="str">
        <f ca="1">TEXT(Overig!A340,"000\,")&amp;TEXT(Overig!B340,"?00000000")&amp;SUBSTITUTE(TEXT(IF(ISTEXT(Overig!C340),Overig!C340,10*Overig!C340),""",""????0;"",""???-0;"",""????0;"", ////"""),"'","""")&amp;SUBSTITUTE(TEXT(Overig!D340,""",""?00;"",""?-00;"",""?00;"", //"""),"'","""")</f>
        <v>032, 19271205, 7655, 00</v>
      </c>
    </row>
    <row r="341" spans="1:1" x14ac:dyDescent="0.25">
      <c r="A341" s="12" t="str">
        <f ca="1">TEXT(Overig!A341,"000\,")&amp;TEXT(Overig!B341,"?00000000")&amp;SUBSTITUTE(TEXT(IF(ISTEXT(Overig!C341),Overig!C341,10*Overig!C341),""",""????0;"",""???-0;"",""????0;"", ////"""),"'","""")&amp;SUBSTITUTE(TEXT(Overig!D341,""",""?00;"",""?-00;"",""?00;"", //"""),"'","""")</f>
        <v>032, 19271206, 7655, 00</v>
      </c>
    </row>
    <row r="342" spans="1:1" x14ac:dyDescent="0.25">
      <c r="A342" s="12" t="str">
        <f ca="1">TEXT(Overig!A342,"000\,")&amp;TEXT(Overig!B342,"?00000000")&amp;SUBSTITUTE(TEXT(IF(ISTEXT(Overig!C342),Overig!C342,10*Overig!C342),""",""????0;"",""???-0;"",""????0;"", ////"""),"'","""")&amp;SUBSTITUTE(TEXT(Overig!D342,""",""?00;"",""?-00;"",""?00;"", //"""),"'","""")</f>
        <v>032, 19271207, 7650, 00</v>
      </c>
    </row>
    <row r="343" spans="1:1" x14ac:dyDescent="0.25">
      <c r="A343" s="12" t="str">
        <f ca="1">TEXT(Overig!A343,"000\,")&amp;TEXT(Overig!B343,"?00000000")&amp;SUBSTITUTE(TEXT(IF(ISTEXT(Overig!C343),Overig!C343,10*Overig!C343),""",""????0;"",""???-0;"",""????0;"", ////"""),"'","""")&amp;SUBSTITUTE(TEXT(Overig!D343,""",""?00;"",""?-00;"",""?00;"", //"""),"'","""")</f>
        <v>032, 19271208, 7650, 00</v>
      </c>
    </row>
    <row r="344" spans="1:1" x14ac:dyDescent="0.25">
      <c r="A344" s="12" t="str">
        <f ca="1">TEXT(Overig!A344,"000\,")&amp;TEXT(Overig!B344,"?00000000")&amp;SUBSTITUTE(TEXT(IF(ISTEXT(Overig!C344),Overig!C344,10*Overig!C344),""",""????0;"",""???-0;"",""????0;"", ////"""),"'","""")&amp;SUBSTITUTE(TEXT(Overig!D344,""",""?00;"",""?-00;"",""?00;"", //"""),"'","""")</f>
        <v>032, 19271209, 7655, 00</v>
      </c>
    </row>
    <row r="345" spans="1:1" x14ac:dyDescent="0.25">
      <c r="A345" s="12" t="str">
        <f ca="1">TEXT(Overig!A345,"000\,")&amp;TEXT(Overig!B345,"?00000000")&amp;SUBSTITUTE(TEXT(IF(ISTEXT(Overig!C345),Overig!C345,10*Overig!C345),""",""????0;"",""???-0;"",""????0;"", ////"""),"'","""")&amp;SUBSTITUTE(TEXT(Overig!D345,""",""?00;"",""?-00;"",""?00;"", //"""),"'","""")</f>
        <v>032, 19271210, 7660, 00</v>
      </c>
    </row>
    <row r="346" spans="1:1" x14ac:dyDescent="0.25">
      <c r="A346" s="12" t="str">
        <f ca="1">TEXT(Overig!A346,"000\,")&amp;TEXT(Overig!B346,"?00000000")&amp;SUBSTITUTE(TEXT(IF(ISTEXT(Overig!C346),Overig!C346,10*Overig!C346),""",""????0;"",""???-0;"",""????0;"", ////"""),"'","""")&amp;SUBSTITUTE(TEXT(Overig!D346,""",""?00;"",""?-00;"",""?00;"", //"""),"'","""")</f>
        <v>032, 19271211, 7655, 00</v>
      </c>
    </row>
    <row r="347" spans="1:1" x14ac:dyDescent="0.25">
      <c r="A347" s="12" t="str">
        <f ca="1">TEXT(Overig!A347,"000\,")&amp;TEXT(Overig!B347,"?00000000")&amp;SUBSTITUTE(TEXT(IF(ISTEXT(Overig!C347),Overig!C347,10*Overig!C347),""",""????0;"",""???-0;"",""????0;"", ////"""),"'","""")&amp;SUBSTITUTE(TEXT(Overig!D347,""",""?00;"",""?-00;"",""?00;"", //"""),"'","""")</f>
        <v>032, 19271212, 7650, 00</v>
      </c>
    </row>
    <row r="348" spans="1:1" x14ac:dyDescent="0.25">
      <c r="A348" s="12" t="str">
        <f ca="1">TEXT(Overig!A348,"000\,")&amp;TEXT(Overig!B348,"?00000000")&amp;SUBSTITUTE(TEXT(IF(ISTEXT(Overig!C348),Overig!C348,10*Overig!C348),""",""????0;"",""???-0;"",""????0;"", ////"""),"'","""")&amp;SUBSTITUTE(TEXT(Overig!D348,""",""?00;"",""?-00;"",""?00;"", //"""),"'","""")</f>
        <v>032, 19271213, 7650, 00</v>
      </c>
    </row>
    <row r="349" spans="1:1" x14ac:dyDescent="0.25">
      <c r="A349" s="12" t="str">
        <f ca="1">TEXT(Overig!A349,"000\,")&amp;TEXT(Overig!B349,"?00000000")&amp;SUBSTITUTE(TEXT(IF(ISTEXT(Overig!C349),Overig!C349,10*Overig!C349),""",""????0;"",""???-0;"",""????0;"", ////"""),"'","""")&amp;SUBSTITUTE(TEXT(Overig!D349,""",""?00;"",""?-00;"",""?00;"", //"""),"'","""")</f>
        <v>032, 19271214, 7660, 00</v>
      </c>
    </row>
    <row r="350" spans="1:1" x14ac:dyDescent="0.25">
      <c r="A350" s="12" t="str">
        <f ca="1">TEXT(Overig!A350,"000\,")&amp;TEXT(Overig!B350,"?00000000")&amp;SUBSTITUTE(TEXT(IF(ISTEXT(Overig!C350),Overig!C350,10*Overig!C350),""",""????0;"",""???-0;"",""????0;"", ////"""),"'","""")&amp;SUBSTITUTE(TEXT(Overig!D350,""",""?00;"",""?-00;"",""?00;"", //"""),"'","""")</f>
        <v>032, 19271215, 7655, 00</v>
      </c>
    </row>
    <row r="351" spans="1:1" x14ac:dyDescent="0.25">
      <c r="A351" s="12" t="str">
        <f ca="1">TEXT(Overig!A351,"000\,")&amp;TEXT(Overig!B351,"?00000000")&amp;SUBSTITUTE(TEXT(IF(ISTEXT(Overig!C351),Overig!C351,10*Overig!C351),""",""????0;"",""???-0;"",""????0;"", ////"""),"'","""")&amp;SUBSTITUTE(TEXT(Overig!D351,""",""?00;"",""?-00;"",""?00;"", //"""),"'","""")</f>
        <v>032, 19271216, 7660, 00</v>
      </c>
    </row>
    <row r="352" spans="1:1" x14ac:dyDescent="0.25">
      <c r="A352" s="12" t="str">
        <f ca="1">TEXT(Overig!A352,"000\,")&amp;TEXT(Overig!B352,"?00000000")&amp;SUBSTITUTE(TEXT(IF(ISTEXT(Overig!C352),Overig!C352,10*Overig!C352),""",""????0;"",""???-0;"",""????0;"", ////"""),"'","""")&amp;SUBSTITUTE(TEXT(Overig!D352,""",""?00;"",""?-00;"",""?00;"", //"""),"'","""")</f>
        <v>032, 19271217, 7655, 00</v>
      </c>
    </row>
    <row r="353" spans="1:1" x14ac:dyDescent="0.25">
      <c r="A353" s="12" t="str">
        <f ca="1">TEXT(Overig!A353,"000\,")&amp;TEXT(Overig!B353,"?00000000")&amp;SUBSTITUTE(TEXT(IF(ISTEXT(Overig!C353),Overig!C353,10*Overig!C353),""",""????0;"",""???-0;"",""????0;"", ////"""),"'","""")&amp;SUBSTITUTE(TEXT(Overig!D353,""",""?00;"",""?-00;"",""?00;"", //"""),"'","""")</f>
        <v>032, 19271218, 7650, 00</v>
      </c>
    </row>
    <row r="354" spans="1:1" x14ac:dyDescent="0.25">
      <c r="A354" s="12" t="str">
        <f ca="1">TEXT(Overig!A354,"000\,")&amp;TEXT(Overig!B354,"?00000000")&amp;SUBSTITUTE(TEXT(IF(ISTEXT(Overig!C354),Overig!C354,10*Overig!C354),""",""????0;"",""???-0;"",""????0;"", ////"""),"'","""")&amp;SUBSTITUTE(TEXT(Overig!D354,""",""?00;"",""?-00;"",""?00;"", //"""),"'","""")</f>
        <v>032, 19271219, 7655, 00</v>
      </c>
    </row>
    <row r="355" spans="1:1" x14ac:dyDescent="0.25">
      <c r="A355" s="12" t="str">
        <f ca="1">TEXT(Overig!A355,"000\,")&amp;TEXT(Overig!B355,"?00000000")&amp;SUBSTITUTE(TEXT(IF(ISTEXT(Overig!C355),Overig!C355,10*Overig!C355),""",""????0;"",""???-0;"",""????0;"", ////"""),"'","""")&amp;SUBSTITUTE(TEXT(Overig!D355,""",""?00;"",""?-00;"",""?00;"", //"""),"'","""")</f>
        <v>032, 19271220, 7660, 00</v>
      </c>
    </row>
    <row r="356" spans="1:1" x14ac:dyDescent="0.25">
      <c r="A356" s="12" t="str">
        <f ca="1">TEXT(Overig!A356,"000\,")&amp;TEXT(Overig!B356,"?00000000")&amp;SUBSTITUTE(TEXT(IF(ISTEXT(Overig!C356),Overig!C356,10*Overig!C356),""",""????0;"",""???-0;"",""????0;"", ////"""),"'","""")&amp;SUBSTITUTE(TEXT(Overig!D356,""",""?00;"",""?-00;"",""?00;"", //"""),"'","""")</f>
        <v>032, 19271221, 7650, 00</v>
      </c>
    </row>
    <row r="357" spans="1:1" x14ac:dyDescent="0.25">
      <c r="A357" s="12" t="str">
        <f ca="1">TEXT(Overig!A357,"000\,")&amp;TEXT(Overig!B357,"?00000000")&amp;SUBSTITUTE(TEXT(IF(ISTEXT(Overig!C357),Overig!C357,10*Overig!C357),""",""????0;"",""???-0;"",""????0;"", ////"""),"'","""")&amp;SUBSTITUTE(TEXT(Overig!D357,""",""?00;"",""?-00;"",""?00;"", //"""),"'","""")</f>
        <v>032, 19271222, 7650, 00</v>
      </c>
    </row>
    <row r="358" spans="1:1" x14ac:dyDescent="0.25">
      <c r="A358" s="12" t="str">
        <f ca="1">TEXT(Overig!A358,"000\,")&amp;TEXT(Overig!B358,"?00000000")&amp;SUBSTITUTE(TEXT(IF(ISTEXT(Overig!C358),Overig!C358,10*Overig!C358),""",""????0;"",""???-0;"",""????0;"", ////"""),"'","""")&amp;SUBSTITUTE(TEXT(Overig!D358,""",""?00;"",""?-00;"",""?00;"", //"""),"'","""")</f>
        <v>032, 19271223, 7655, 00</v>
      </c>
    </row>
    <row r="359" spans="1:1" x14ac:dyDescent="0.25">
      <c r="A359" s="12" t="str">
        <f ca="1">TEXT(Overig!A359,"000\,")&amp;TEXT(Overig!B359,"?00000000")&amp;SUBSTITUTE(TEXT(IF(ISTEXT(Overig!C359),Overig!C359,10*Overig!C359),""",""????0;"",""???-0;"",""????0;"", ////"""),"'","""")&amp;SUBSTITUTE(TEXT(Overig!D359,""",""?00;"",""?-00;"",""?00;"", //"""),"'","""")</f>
        <v>032, 19271224, 7655, 00</v>
      </c>
    </row>
    <row r="360" spans="1:1" x14ac:dyDescent="0.25">
      <c r="A360" s="12" t="str">
        <f ca="1">TEXT(Overig!A360,"000\,")&amp;TEXT(Overig!B360,"?00000000")&amp;SUBSTITUTE(TEXT(IF(ISTEXT(Overig!C360),Overig!C360,10*Overig!C360),""",""????0;"",""???-0;"",""????0;"", ////"""),"'","""")&amp;SUBSTITUTE(TEXT(Overig!D360,""",""?00;"",""?-00;"",""?00;"", //"""),"'","""")</f>
        <v>032, 19271225, 7665, 00</v>
      </c>
    </row>
    <row r="361" spans="1:1" x14ac:dyDescent="0.25">
      <c r="A361" s="12" t="str">
        <f ca="1">TEXT(Overig!A361,"000\,")&amp;TEXT(Overig!B361,"?00000000")&amp;SUBSTITUTE(TEXT(IF(ISTEXT(Overig!C361),Overig!C361,10*Overig!C361),""",""????0;"",""???-0;"",""????0;"", ////"""),"'","""")&amp;SUBSTITUTE(TEXT(Overig!D361,""",""?00;"",""?-00;"",""?00;"", //"""),"'","""")</f>
        <v>032, 19271226, 7650, 00</v>
      </c>
    </row>
    <row r="362" spans="1:1" x14ac:dyDescent="0.25">
      <c r="A362" s="12" t="str">
        <f ca="1">TEXT(Overig!A362,"000\,")&amp;TEXT(Overig!B362,"?00000000")&amp;SUBSTITUTE(TEXT(IF(ISTEXT(Overig!C362),Overig!C362,10*Overig!C362),""",""????0;"",""???-0;"",""????0;"", ////"""),"'","""")&amp;SUBSTITUTE(TEXT(Overig!D362,""",""?00;"",""?-00;"",""?00;"", //"""),"'","""")</f>
        <v>032, 19271227, 7645, 00</v>
      </c>
    </row>
    <row r="363" spans="1:1" x14ac:dyDescent="0.25">
      <c r="A363" s="12" t="str">
        <f ca="1">TEXT(Overig!A363,"000\,")&amp;TEXT(Overig!B363,"?00000000")&amp;SUBSTITUTE(TEXT(IF(ISTEXT(Overig!C363),Overig!C363,10*Overig!C363),""",""????0;"",""???-0;"",""????0;"", ////"""),"'","""")&amp;SUBSTITUTE(TEXT(Overig!D363,""",""?00;"",""?-00;"",""?00;"", //"""),"'","""")</f>
        <v>032, 19271228, 7645, 00</v>
      </c>
    </row>
    <row r="364" spans="1:1" x14ac:dyDescent="0.25">
      <c r="A364" s="12" t="str">
        <f ca="1">TEXT(Overig!A364,"000\,")&amp;TEXT(Overig!B364,"?00000000")&amp;SUBSTITUTE(TEXT(IF(ISTEXT(Overig!C364),Overig!C364,10*Overig!C364),""",""????0;"",""???-0;"",""????0;"", ////"""),"'","""")&amp;SUBSTITUTE(TEXT(Overig!D364,""",""?00;"",""?-00;"",""?00;"", //"""),"'","""")</f>
        <v>032, 19271229, 7660, 00</v>
      </c>
    </row>
    <row r="365" spans="1:1" x14ac:dyDescent="0.25">
      <c r="A365" s="12" t="str">
        <f ca="1">TEXT(Overig!A365,"000\,")&amp;TEXT(Overig!B365,"?00000000")&amp;SUBSTITUTE(TEXT(IF(ISTEXT(Overig!C365),Overig!C365,10*Overig!C365),""",""????0;"",""???-0;"",""????0;"", ////"""),"'","""")&amp;SUBSTITUTE(TEXT(Overig!D365,""",""?00;"",""?-00;"",""?00;"", //"""),"'","""")</f>
        <v>032, 19271230, 7655, 00</v>
      </c>
    </row>
    <row r="366" spans="1:1" x14ac:dyDescent="0.25">
      <c r="A366" s="12" t="str">
        <f ca="1">TEXT(Overig!A366,"000\,")&amp;TEXT(Overig!B366,"?00000000")&amp;SUBSTITUTE(TEXT(IF(ISTEXT(Overig!C366),Overig!C366,10*Overig!C366),""",""????0;"",""???-0;"",""????0;"", ////"""),"'","""")&amp;SUBSTITUTE(TEXT(Overig!D366,""",""?00;"",""?-00;"",""?00;"", //"""),"'","""")</f>
        <v>032, 19271231, 7655, 00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</vt:i4>
      </vt:variant>
      <vt:variant>
        <vt:lpstr>Benoemde bereiken</vt:lpstr>
      </vt:variant>
      <vt:variant>
        <vt:i4>9</vt:i4>
      </vt:variant>
    </vt:vector>
  </HeadingPairs>
  <TitlesOfParts>
    <vt:vector size="15" baseType="lpstr">
      <vt:lpstr>Invoer</vt:lpstr>
      <vt:lpstr>Info</vt:lpstr>
      <vt:lpstr>Regen</vt:lpstr>
      <vt:lpstr>Overig</vt:lpstr>
      <vt:lpstr>RegenASCII</vt:lpstr>
      <vt:lpstr>OverigASCII</vt:lpstr>
      <vt:lpstr>Catalogus</vt:lpstr>
      <vt:lpstr>Data</vt:lpstr>
      <vt:lpstr>Est</vt:lpstr>
      <vt:lpstr>Lacking</vt:lpstr>
      <vt:lpstr>ME</vt:lpstr>
      <vt:lpstr>MS</vt:lpstr>
      <vt:lpstr>Ok</vt:lpstr>
      <vt:lpstr>Parameters</vt:lpstr>
      <vt:lpstr>Stations</vt:lpstr>
    </vt:vector>
  </TitlesOfParts>
  <Company>SSC-Campus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Jilderda, Rudmer (KNMI)</dc:creator>
  <cp:lastModifiedBy>Schiks, Connie (KNMI)</cp:lastModifiedBy>
  <dcterms:created xsi:type="dcterms:W3CDTF">2015-09-16T12:27:42Z</dcterms:created>
  <dcterms:modified xsi:type="dcterms:W3CDTF">2015-10-21T09:48:30Z</dcterms:modified>
</cp:coreProperties>
</file>