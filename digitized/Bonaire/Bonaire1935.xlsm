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Invoer!$A$2:$H$381</definedName>
    <definedName name="Catalogus">Info!$J$3:$Q$4</definedName>
    <definedName name="Data">Invoer!$A$3:$H$381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1" i="1" l="1"/>
  <c r="G381" i="1"/>
  <c r="F381" i="1"/>
  <c r="H349" i="1"/>
  <c r="G349" i="1"/>
  <c r="F349" i="1"/>
  <c r="H318" i="1"/>
  <c r="G318" i="1"/>
  <c r="F318" i="1"/>
  <c r="H286" i="1"/>
  <c r="G286" i="1"/>
  <c r="F286" i="1"/>
  <c r="H255" i="1"/>
  <c r="G255" i="1"/>
  <c r="F255" i="1"/>
  <c r="H223" i="1"/>
  <c r="G223" i="1"/>
  <c r="F223" i="1"/>
  <c r="H191" i="1"/>
  <c r="G191" i="1"/>
  <c r="F191" i="1"/>
  <c r="H160" i="1"/>
  <c r="G160" i="1"/>
  <c r="F160" i="1"/>
  <c r="H128" i="1"/>
  <c r="G128" i="1"/>
  <c r="F128" i="1"/>
  <c r="H97" i="1"/>
  <c r="G97" i="1"/>
  <c r="F97" i="1"/>
  <c r="H65" i="1"/>
  <c r="G65" i="1"/>
  <c r="F65" i="1"/>
  <c r="H36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A10" i="1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D737" i="2"/>
  <c r="A11" i="1"/>
  <c r="A372" i="5" l="1"/>
  <c r="E14" i="3"/>
  <c r="G14" i="3"/>
  <c r="G15" i="3"/>
  <c r="E15" i="3"/>
  <c r="A737" i="5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A676" i="5" s="1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A915" i="5" s="1"/>
  <c r="D947" i="2"/>
  <c r="A947" i="5" s="1"/>
  <c r="D979" i="2"/>
  <c r="D1011" i="2"/>
  <c r="D1043" i="2"/>
  <c r="A1043" i="5" s="1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A636" i="5" s="1"/>
  <c r="D604" i="2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D176" i="2"/>
  <c r="D145" i="2"/>
  <c r="D113" i="2"/>
  <c r="A113" i="5" s="1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A1064" i="5" s="1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D760" i="2"/>
  <c r="A760" i="5" s="1"/>
  <c r="D792" i="2"/>
  <c r="A792" i="5" s="1"/>
  <c r="D824" i="2"/>
  <c r="D856" i="2"/>
  <c r="D888" i="2"/>
  <c r="A888" i="5" s="1"/>
  <c r="D920" i="2"/>
  <c r="A920" i="5" s="1"/>
  <c r="D952" i="2"/>
  <c r="D984" i="2"/>
  <c r="D1016" i="2"/>
  <c r="A1016" i="5" s="1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D829" i="2"/>
  <c r="A829" i="5" s="1"/>
  <c r="D861" i="2"/>
  <c r="A861" i="5" s="1"/>
  <c r="D893" i="2"/>
  <c r="D925" i="2"/>
  <c r="D957" i="2"/>
  <c r="A957" i="5" s="1"/>
  <c r="D989" i="2"/>
  <c r="A989" i="5" s="1"/>
  <c r="D1021" i="2"/>
  <c r="D1053" i="2"/>
  <c r="D1085" i="2"/>
  <c r="A1085" i="5" s="1"/>
  <c r="E1072" i="2"/>
  <c r="E23" i="2"/>
  <c r="E55" i="2"/>
  <c r="D87" i="2"/>
  <c r="A87" i="5" s="1"/>
  <c r="E118" i="2"/>
  <c r="E150" i="2"/>
  <c r="E183" i="2"/>
  <c r="E215" i="2"/>
  <c r="E247" i="2"/>
  <c r="D279" i="2"/>
  <c r="D311" i="2"/>
  <c r="D343" i="2"/>
  <c r="A343" i="5" s="1"/>
  <c r="D381" i="2"/>
  <c r="A381" i="5" s="1"/>
  <c r="D413" i="2"/>
  <c r="D444" i="2"/>
  <c r="D476" i="2"/>
  <c r="A476" i="5" s="1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A696" i="5" s="1"/>
  <c r="D728" i="2"/>
  <c r="A728" i="5" s="1"/>
  <c r="D766" i="2"/>
  <c r="D798" i="2"/>
  <c r="D830" i="2"/>
  <c r="A830" i="5" s="1"/>
  <c r="D862" i="2"/>
  <c r="A862" i="5" s="1"/>
  <c r="D894" i="2"/>
  <c r="D926" i="2"/>
  <c r="D958" i="2"/>
  <c r="A958" i="5" s="1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A501" i="5" s="1"/>
  <c r="D469" i="2"/>
  <c r="A469" i="5" s="1"/>
  <c r="D437" i="2"/>
  <c r="D404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D555" i="2"/>
  <c r="A555" i="5" s="1"/>
  <c r="D523" i="2"/>
  <c r="A523" i="5" s="1"/>
  <c r="D491" i="2"/>
  <c r="A491" i="5" s="1"/>
  <c r="D459" i="2"/>
  <c r="D426" i="2"/>
  <c r="A426" i="5" s="1"/>
  <c r="D394" i="2"/>
  <c r="A394" i="5" s="1"/>
  <c r="D352" i="2"/>
  <c r="A352" i="5" s="1"/>
  <c r="D320" i="2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A358" i="5" s="1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680" i="6" l="1"/>
  <c r="A317" i="6"/>
  <c r="A538" i="6"/>
  <c r="A475" i="6"/>
  <c r="A234" i="6"/>
  <c r="A12" i="6"/>
  <c r="A53" i="6"/>
  <c r="A194" i="6"/>
  <c r="A450" i="6"/>
  <c r="A523" i="6"/>
  <c r="A670" i="5"/>
  <c r="A320" i="5"/>
  <c r="A459" i="5"/>
  <c r="A587" i="5"/>
  <c r="A121" i="6"/>
  <c r="A80" i="5"/>
  <c r="A208" i="5"/>
  <c r="A604" i="5"/>
  <c r="A743" i="5"/>
  <c r="A121" i="5"/>
  <c r="A248" i="5"/>
  <c r="A644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<sst xmlns="http://schemas.openxmlformats.org/spreadsheetml/2006/main" count="65" uniqueCount="43">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</sst>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1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H379" sqref="H379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12785</v>
      </c>
      <c r="B5" s="35">
        <v>30011</v>
      </c>
      <c r="C5" s="36">
        <v>29935</v>
      </c>
      <c r="D5" s="2">
        <v>795</v>
      </c>
      <c r="E5" s="3">
        <v>820</v>
      </c>
      <c r="F5" s="4">
        <v>84</v>
      </c>
      <c r="G5" s="5">
        <v>53</v>
      </c>
      <c r="H5" s="6"/>
    </row>
    <row r="6" spans="1:8" x14ac:dyDescent="0.25">
      <c r="A6" s="1">
        <f ca="1">IF(ISTEXT(A5),A4+1,IF(MONTH(A5+1)=MONTH(A5),A5+1,"Totaal"))</f>
        <v>12786</v>
      </c>
      <c r="B6" s="35">
        <v>30000</v>
      </c>
      <c r="C6" s="36">
        <v>29925</v>
      </c>
      <c r="D6" s="2">
        <v>800</v>
      </c>
      <c r="E6" s="3">
        <v>820</v>
      </c>
      <c r="F6" s="7">
        <v>0</v>
      </c>
      <c r="G6" s="5">
        <v>0</v>
      </c>
      <c r="H6" s="6">
        <v>0</v>
      </c>
    </row>
    <row r="7" spans="1:8" x14ac:dyDescent="0.25">
      <c r="A7" s="1">
        <f t="shared" ref="A7:A70" ca="1" si="0">IF(ISTEXT(A6),A5+1,IF(MONTH(A6+1)=MONTH(A6),A6+1,"Totaal"))</f>
        <v>12787</v>
      </c>
      <c r="B7" s="35">
        <v>29991</v>
      </c>
      <c r="C7" s="36">
        <v>29915</v>
      </c>
      <c r="D7" s="8">
        <v>795</v>
      </c>
      <c r="E7" s="3">
        <v>820</v>
      </c>
      <c r="F7" s="9">
        <v>34</v>
      </c>
      <c r="G7" s="5">
        <v>0</v>
      </c>
      <c r="H7" s="6">
        <v>0</v>
      </c>
    </row>
    <row r="8" spans="1:8" x14ac:dyDescent="0.25">
      <c r="A8" s="1">
        <f t="shared" ca="1" si="0"/>
        <v>12788</v>
      </c>
      <c r="B8" s="35">
        <v>30001</v>
      </c>
      <c r="C8" s="36">
        <v>29945</v>
      </c>
      <c r="D8" s="2">
        <v>795</v>
      </c>
      <c r="E8" s="3">
        <v>820</v>
      </c>
      <c r="F8" s="4">
        <v>0</v>
      </c>
      <c r="G8" s="5">
        <v>0</v>
      </c>
      <c r="H8" s="6">
        <v>0</v>
      </c>
    </row>
    <row r="9" spans="1:8" x14ac:dyDescent="0.25">
      <c r="A9" s="1">
        <f t="shared" ca="1" si="0"/>
        <v>12789</v>
      </c>
      <c r="B9" s="35">
        <v>30031</v>
      </c>
      <c r="C9" s="36">
        <v>29935</v>
      </c>
      <c r="D9" s="2">
        <v>795</v>
      </c>
      <c r="E9" s="3">
        <v>820</v>
      </c>
      <c r="F9" s="4">
        <v>0</v>
      </c>
      <c r="G9" s="5">
        <v>0</v>
      </c>
      <c r="H9" s="6">
        <v>0</v>
      </c>
    </row>
    <row r="10" spans="1:8" x14ac:dyDescent="0.25">
      <c r="A10" s="1">
        <f t="shared" ca="1" si="0"/>
        <v>12790</v>
      </c>
      <c r="B10" s="35">
        <v>30001</v>
      </c>
      <c r="C10" s="36">
        <v>29907</v>
      </c>
      <c r="D10" s="2">
        <v>795</v>
      </c>
      <c r="E10" s="3">
        <v>815</v>
      </c>
      <c r="F10" s="4">
        <v>0</v>
      </c>
      <c r="G10" s="5">
        <v>0</v>
      </c>
      <c r="H10" s="6">
        <v>0</v>
      </c>
    </row>
    <row r="11" spans="1:8" x14ac:dyDescent="0.25">
      <c r="A11" s="1">
        <f t="shared" ca="1" si="0"/>
        <v>12791</v>
      </c>
      <c r="B11" s="35">
        <v>29932</v>
      </c>
      <c r="C11" s="36">
        <v>29857</v>
      </c>
      <c r="D11" s="2">
        <v>795</v>
      </c>
      <c r="E11" s="3">
        <v>815</v>
      </c>
      <c r="F11" s="4">
        <v>0</v>
      </c>
      <c r="G11" s="5">
        <v>0</v>
      </c>
      <c r="H11" s="6">
        <v>0</v>
      </c>
    </row>
    <row r="12" spans="1:8" x14ac:dyDescent="0.25">
      <c r="A12" s="1">
        <f t="shared" ca="1" si="0"/>
        <v>12792</v>
      </c>
      <c r="B12" s="35">
        <v>29933</v>
      </c>
      <c r="C12" s="36">
        <v>29835</v>
      </c>
      <c r="D12" s="2">
        <v>790</v>
      </c>
      <c r="E12" s="3">
        <v>820</v>
      </c>
      <c r="F12" s="4">
        <v>0</v>
      </c>
      <c r="G12" s="5">
        <v>0</v>
      </c>
      <c r="H12" s="6">
        <v>0</v>
      </c>
    </row>
    <row r="13" spans="1:8" x14ac:dyDescent="0.25">
      <c r="A13" s="1">
        <f t="shared" ca="1" si="0"/>
        <v>12793</v>
      </c>
      <c r="B13" s="35">
        <v>29943</v>
      </c>
      <c r="C13" s="36">
        <v>29855</v>
      </c>
      <c r="D13" s="2">
        <v>790</v>
      </c>
      <c r="E13" s="3">
        <v>820</v>
      </c>
      <c r="F13" s="4">
        <v>0</v>
      </c>
      <c r="G13" s="5">
        <v>50</v>
      </c>
      <c r="H13" s="6">
        <v>0</v>
      </c>
    </row>
    <row r="14" spans="1:8" x14ac:dyDescent="0.25">
      <c r="A14" s="1">
        <f t="shared" ca="1" si="0"/>
        <v>12794</v>
      </c>
      <c r="B14" s="35">
        <v>29945</v>
      </c>
      <c r="C14" s="36">
        <v>29855</v>
      </c>
      <c r="D14" s="2">
        <v>785</v>
      </c>
      <c r="E14" s="3">
        <v>820</v>
      </c>
      <c r="F14" s="4">
        <v>0</v>
      </c>
      <c r="G14" s="5">
        <v>0</v>
      </c>
      <c r="H14" s="6">
        <v>0</v>
      </c>
    </row>
    <row r="15" spans="1:8" x14ac:dyDescent="0.25">
      <c r="A15" s="1">
        <f t="shared" ca="1" si="0"/>
        <v>12795</v>
      </c>
      <c r="B15" s="35">
        <v>29963</v>
      </c>
      <c r="C15" s="36">
        <v>29855</v>
      </c>
      <c r="D15" s="2">
        <v>790</v>
      </c>
      <c r="E15" s="3">
        <v>820</v>
      </c>
      <c r="F15" s="4">
        <v>0</v>
      </c>
      <c r="G15" s="5">
        <v>0</v>
      </c>
      <c r="H15" s="6">
        <v>0</v>
      </c>
    </row>
    <row r="16" spans="1:8" x14ac:dyDescent="0.25">
      <c r="A16" s="1">
        <f t="shared" ca="1" si="0"/>
        <v>12796</v>
      </c>
      <c r="B16" s="35">
        <v>29970</v>
      </c>
      <c r="C16" s="36">
        <v>29871</v>
      </c>
      <c r="D16" s="2">
        <v>800</v>
      </c>
      <c r="E16" s="3">
        <v>835</v>
      </c>
      <c r="F16" s="4">
        <v>0</v>
      </c>
      <c r="G16" s="5">
        <v>27</v>
      </c>
      <c r="H16" s="6">
        <v>0</v>
      </c>
    </row>
    <row r="17" spans="1:8" x14ac:dyDescent="0.25">
      <c r="A17" s="1">
        <f t="shared" ca="1" si="0"/>
        <v>12797</v>
      </c>
      <c r="B17" s="35">
        <v>29980</v>
      </c>
      <c r="C17" s="36">
        <v>29907</v>
      </c>
      <c r="D17" s="2">
        <v>800</v>
      </c>
      <c r="E17" s="3">
        <v>815</v>
      </c>
      <c r="F17" s="4">
        <v>0</v>
      </c>
      <c r="G17" s="5">
        <v>0</v>
      </c>
      <c r="H17" s="6">
        <v>0</v>
      </c>
    </row>
    <row r="18" spans="1:8" x14ac:dyDescent="0.25">
      <c r="A18" s="1">
        <f t="shared" ca="1" si="0"/>
        <v>12798</v>
      </c>
      <c r="B18" s="35">
        <v>29991</v>
      </c>
      <c r="C18" s="36">
        <v>29895</v>
      </c>
      <c r="D18" s="2">
        <v>795</v>
      </c>
      <c r="E18" s="3">
        <v>820</v>
      </c>
      <c r="F18" s="4">
        <v>0</v>
      </c>
      <c r="G18" s="5">
        <v>0</v>
      </c>
      <c r="H18" s="6">
        <v>0</v>
      </c>
    </row>
    <row r="19" spans="1:8" x14ac:dyDescent="0.25">
      <c r="A19" s="1">
        <f t="shared" ca="1" si="0"/>
        <v>12799</v>
      </c>
      <c r="B19" s="35">
        <v>29980</v>
      </c>
      <c r="C19" s="36">
        <v>29924</v>
      </c>
      <c r="D19" s="2">
        <v>800</v>
      </c>
      <c r="E19" s="3">
        <v>825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12800</v>
      </c>
      <c r="B20" s="35">
        <v>30010</v>
      </c>
      <c r="C20" s="36">
        <v>29961</v>
      </c>
      <c r="D20" s="2">
        <v>800</v>
      </c>
      <c r="E20" s="3">
        <v>820</v>
      </c>
      <c r="F20" s="4">
        <v>0</v>
      </c>
      <c r="G20" s="5">
        <v>0</v>
      </c>
      <c r="H20" s="6">
        <v>0</v>
      </c>
    </row>
    <row r="21" spans="1:8" x14ac:dyDescent="0.25">
      <c r="A21" s="1">
        <f t="shared" ca="1" si="0"/>
        <v>12801</v>
      </c>
      <c r="B21" s="35">
        <v>30028</v>
      </c>
      <c r="C21" s="36">
        <v>29943</v>
      </c>
      <c r="D21" s="2">
        <v>805</v>
      </c>
      <c r="E21" s="3">
        <v>830</v>
      </c>
      <c r="F21" s="4">
        <v>0</v>
      </c>
      <c r="G21" s="5">
        <v>0</v>
      </c>
      <c r="H21" s="6">
        <v>0</v>
      </c>
    </row>
    <row r="22" spans="1:8" x14ac:dyDescent="0.25">
      <c r="A22" s="1">
        <f t="shared" ca="1" si="0"/>
        <v>12802</v>
      </c>
      <c r="B22" s="35">
        <v>30008</v>
      </c>
      <c r="C22" s="36">
        <v>29925</v>
      </c>
      <c r="D22" s="2">
        <v>805</v>
      </c>
      <c r="E22" s="3">
        <v>820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12803</v>
      </c>
      <c r="B23" s="35">
        <v>30010</v>
      </c>
      <c r="C23" s="36">
        <v>29935</v>
      </c>
      <c r="D23" s="2">
        <v>800</v>
      </c>
      <c r="E23" s="3">
        <v>820</v>
      </c>
      <c r="F23" s="4">
        <v>0</v>
      </c>
      <c r="G23" s="5">
        <v>0</v>
      </c>
      <c r="H23" s="6">
        <v>0</v>
      </c>
    </row>
    <row r="24" spans="1:8" x14ac:dyDescent="0.25">
      <c r="A24" s="1">
        <f t="shared" ca="1" si="0"/>
        <v>12804</v>
      </c>
      <c r="B24" s="35">
        <v>30001</v>
      </c>
      <c r="C24" s="36">
        <v>29907</v>
      </c>
      <c r="D24" s="2">
        <v>795</v>
      </c>
      <c r="E24" s="3">
        <v>815</v>
      </c>
      <c r="F24" s="4">
        <v>0</v>
      </c>
      <c r="G24" s="5">
        <v>24</v>
      </c>
      <c r="H24" s="6">
        <v>0</v>
      </c>
    </row>
    <row r="25" spans="1:8" x14ac:dyDescent="0.25">
      <c r="A25" s="1">
        <f t="shared" ca="1" si="0"/>
        <v>12805</v>
      </c>
      <c r="B25" s="35">
        <v>30005</v>
      </c>
      <c r="C25" s="36">
        <v>29938</v>
      </c>
      <c r="D25" s="2">
        <v>780</v>
      </c>
      <c r="E25" s="3">
        <v>810</v>
      </c>
      <c r="F25" s="4">
        <v>81</v>
      </c>
      <c r="G25" s="5">
        <v>167</v>
      </c>
      <c r="H25" s="6">
        <v>40</v>
      </c>
    </row>
    <row r="26" spans="1:8" x14ac:dyDescent="0.25">
      <c r="A26" s="1">
        <f t="shared" ca="1" si="0"/>
        <v>12806</v>
      </c>
      <c r="B26" s="35">
        <v>29984</v>
      </c>
      <c r="C26" s="36">
        <v>29902</v>
      </c>
      <c r="D26" s="2">
        <v>785</v>
      </c>
      <c r="E26" s="3">
        <v>795</v>
      </c>
      <c r="F26" s="4">
        <v>0</v>
      </c>
      <c r="G26" s="5">
        <v>55</v>
      </c>
      <c r="H26" s="6">
        <v>0</v>
      </c>
    </row>
    <row r="27" spans="1:8" x14ac:dyDescent="0.25">
      <c r="A27" s="1">
        <f t="shared" ca="1" si="0"/>
        <v>12807</v>
      </c>
      <c r="B27" s="35">
        <v>29956</v>
      </c>
      <c r="C27" s="36">
        <v>29901</v>
      </c>
      <c r="D27" s="2">
        <v>780</v>
      </c>
      <c r="E27" s="3">
        <v>800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12808</v>
      </c>
      <c r="B28" s="35">
        <v>29967</v>
      </c>
      <c r="C28" s="36">
        <v>29909</v>
      </c>
      <c r="D28" s="2">
        <v>775</v>
      </c>
      <c r="E28" s="3">
        <v>805</v>
      </c>
      <c r="F28" s="4">
        <v>0</v>
      </c>
      <c r="G28" s="5">
        <v>0</v>
      </c>
      <c r="H28" s="6">
        <v>0</v>
      </c>
    </row>
    <row r="29" spans="1:8" x14ac:dyDescent="0.25">
      <c r="A29" s="1">
        <f t="shared" ca="1" si="0"/>
        <v>12809</v>
      </c>
      <c r="B29" s="35">
        <v>30003</v>
      </c>
      <c r="C29" s="36">
        <v>29921</v>
      </c>
      <c r="D29" s="2">
        <v>750</v>
      </c>
      <c r="E29" s="3">
        <v>800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12810</v>
      </c>
      <c r="B30" s="35">
        <v>30041</v>
      </c>
      <c r="C30" s="36">
        <v>29958</v>
      </c>
      <c r="D30" s="2">
        <v>760</v>
      </c>
      <c r="E30" s="3">
        <v>810</v>
      </c>
      <c r="F30" s="4">
        <v>0</v>
      </c>
      <c r="G30" s="5">
        <v>0</v>
      </c>
      <c r="H30" s="6">
        <v>0</v>
      </c>
    </row>
    <row r="31" spans="1:8" x14ac:dyDescent="0.25">
      <c r="A31" s="1">
        <f t="shared" ca="1" si="0"/>
        <v>12811</v>
      </c>
      <c r="B31" s="35">
        <v>30028</v>
      </c>
      <c r="C31" s="36">
        <v>29938</v>
      </c>
      <c r="D31" s="2">
        <v>770</v>
      </c>
      <c r="E31" s="3">
        <v>810</v>
      </c>
      <c r="F31" s="4">
        <v>0</v>
      </c>
      <c r="G31" s="5">
        <v>0</v>
      </c>
      <c r="H31" s="6">
        <v>0</v>
      </c>
    </row>
    <row r="32" spans="1:8" x14ac:dyDescent="0.25">
      <c r="A32" s="1">
        <f t="shared" ca="1" si="0"/>
        <v>12812</v>
      </c>
      <c r="B32" s="35">
        <v>30051</v>
      </c>
      <c r="C32" s="36">
        <v>29955</v>
      </c>
      <c r="D32" s="2">
        <v>760</v>
      </c>
      <c r="E32" s="3">
        <v>820</v>
      </c>
      <c r="F32" s="4">
        <v>0</v>
      </c>
      <c r="G32" s="5">
        <v>0</v>
      </c>
      <c r="H32" s="6">
        <v>0</v>
      </c>
    </row>
    <row r="33" spans="1:8" x14ac:dyDescent="0.25">
      <c r="A33" s="1">
        <f t="shared" ca="1" si="0"/>
        <v>12813</v>
      </c>
      <c r="B33" s="35">
        <v>30071</v>
      </c>
      <c r="C33" s="36">
        <v>29977</v>
      </c>
      <c r="D33" s="2">
        <v>760</v>
      </c>
      <c r="E33" s="3">
        <v>810</v>
      </c>
      <c r="F33" s="4">
        <v>0</v>
      </c>
      <c r="G33" s="5">
        <v>0</v>
      </c>
      <c r="H33" s="6">
        <v>0</v>
      </c>
    </row>
    <row r="34" spans="1:8" x14ac:dyDescent="0.25">
      <c r="A34" s="1">
        <f t="shared" ca="1" si="0"/>
        <v>12814</v>
      </c>
      <c r="B34" s="35">
        <v>30045</v>
      </c>
      <c r="C34" s="36">
        <v>29966</v>
      </c>
      <c r="D34" s="2">
        <v>780</v>
      </c>
      <c r="E34" s="3">
        <v>815</v>
      </c>
      <c r="F34" s="4">
        <v>0</v>
      </c>
      <c r="G34" s="5">
        <v>62</v>
      </c>
      <c r="H34" s="6">
        <v>0</v>
      </c>
    </row>
    <row r="35" spans="1:8" x14ac:dyDescent="0.25">
      <c r="A35" s="1">
        <f t="shared" ca="1" si="0"/>
        <v>12815</v>
      </c>
      <c r="B35" s="35">
        <v>30043</v>
      </c>
      <c r="C35" s="36">
        <v>29964</v>
      </c>
      <c r="D35" s="2">
        <v>790</v>
      </c>
      <c r="E35" s="3">
        <v>820</v>
      </c>
      <c r="F35" s="4">
        <v>0</v>
      </c>
      <c r="G35" s="5">
        <v>8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29.997516129032256</v>
      </c>
      <c r="C36" s="38">
        <f>IF(COUNT(C5:C35)&gt;0,AVERAGE(C5:C35)/1000,"")</f>
        <v>29.916645161290322</v>
      </c>
      <c r="D36" s="39">
        <f>IF(COUNT(D5:D35)&gt;0,AVERAGE(D5:D35)/10,"")</f>
        <v>78.758064516129039</v>
      </c>
      <c r="E36" s="40">
        <f>IF(COUNT(E5:E35)&gt;0,AVERAGE(E5:E35)/10,"")</f>
        <v>81.629032258064512</v>
      </c>
      <c r="F36" s="23">
        <f>SUM(F5:F35)/10</f>
        <v>19.899999999999999</v>
      </c>
      <c r="G36" s="24">
        <f>SUM(G5:G35)/10</f>
        <v>44.6</v>
      </c>
      <c r="H36" s="25">
        <f>SUM(H5:H35)/10</f>
        <v>4</v>
      </c>
    </row>
    <row r="37" spans="1:8" x14ac:dyDescent="0.25">
      <c r="A37" s="1">
        <f t="shared" ca="1" si="0"/>
        <v>12816</v>
      </c>
      <c r="B37" s="35">
        <v>30021</v>
      </c>
      <c r="C37" s="36">
        <v>29944</v>
      </c>
      <c r="D37" s="2">
        <v>795</v>
      </c>
      <c r="E37" s="3">
        <v>825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12817</v>
      </c>
      <c r="B38" s="35">
        <v>30003</v>
      </c>
      <c r="C38" s="36">
        <v>29915</v>
      </c>
      <c r="D38" s="2">
        <v>790</v>
      </c>
      <c r="E38" s="3">
        <v>820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12818</v>
      </c>
      <c r="B39" s="35">
        <v>29980</v>
      </c>
      <c r="C39" s="36">
        <v>29907</v>
      </c>
      <c r="D39" s="2">
        <v>800</v>
      </c>
      <c r="E39" s="3">
        <v>815</v>
      </c>
      <c r="F39" s="4">
        <v>0</v>
      </c>
      <c r="G39" s="5">
        <v>0</v>
      </c>
      <c r="H39" s="6">
        <v>0</v>
      </c>
    </row>
    <row r="40" spans="1:8" x14ac:dyDescent="0.25">
      <c r="A40" s="1">
        <f t="shared" ca="1" si="0"/>
        <v>12819</v>
      </c>
      <c r="B40" s="35">
        <v>29987</v>
      </c>
      <c r="C40" s="36">
        <v>29930</v>
      </c>
      <c r="D40" s="2">
        <v>810</v>
      </c>
      <c r="E40" s="3">
        <v>840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12820</v>
      </c>
      <c r="B41" s="35">
        <v>30050</v>
      </c>
      <c r="C41" s="36">
        <v>29992</v>
      </c>
      <c r="D41" s="2">
        <v>800</v>
      </c>
      <c r="E41" s="3">
        <v>830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12821</v>
      </c>
      <c r="B42" s="35">
        <v>30033</v>
      </c>
      <c r="C42" s="36">
        <v>29954</v>
      </c>
      <c r="D42" s="2">
        <v>790</v>
      </c>
      <c r="E42" s="3">
        <v>825</v>
      </c>
      <c r="F42" s="4">
        <v>0</v>
      </c>
      <c r="G42" s="5">
        <v>0</v>
      </c>
      <c r="H42" s="6">
        <v>0</v>
      </c>
    </row>
    <row r="43" spans="1:8" x14ac:dyDescent="0.25">
      <c r="A43" s="1">
        <f t="shared" ca="1" si="0"/>
        <v>12822</v>
      </c>
      <c r="B43" s="35">
        <v>30045</v>
      </c>
      <c r="C43" s="36">
        <v>29976</v>
      </c>
      <c r="D43" s="2">
        <v>780</v>
      </c>
      <c r="E43" s="3">
        <v>815</v>
      </c>
      <c r="F43" s="4">
        <v>29</v>
      </c>
      <c r="G43" s="5">
        <v>32</v>
      </c>
      <c r="H43" s="6">
        <v>0</v>
      </c>
    </row>
    <row r="44" spans="1:8" x14ac:dyDescent="0.25">
      <c r="A44" s="1">
        <f t="shared" ca="1" si="0"/>
        <v>12823</v>
      </c>
      <c r="B44" s="35">
        <v>30015</v>
      </c>
      <c r="C44" s="36">
        <v>29955</v>
      </c>
      <c r="D44" s="2">
        <v>780</v>
      </c>
      <c r="E44" s="3">
        <v>820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12824</v>
      </c>
      <c r="B45" s="35">
        <v>30005</v>
      </c>
      <c r="C45" s="36">
        <v>29917</v>
      </c>
      <c r="D45" s="2">
        <v>780</v>
      </c>
      <c r="E45" s="3">
        <v>815</v>
      </c>
      <c r="F45" s="4">
        <v>16</v>
      </c>
      <c r="G45" s="5">
        <v>0</v>
      </c>
      <c r="H45" s="6">
        <v>0</v>
      </c>
    </row>
    <row r="46" spans="1:8" x14ac:dyDescent="0.25">
      <c r="A46" s="1">
        <f t="shared" ca="1" si="0"/>
        <v>12825</v>
      </c>
      <c r="B46" s="35">
        <v>30001</v>
      </c>
      <c r="C46" s="36">
        <v>29907</v>
      </c>
      <c r="D46" s="2">
        <v>795</v>
      </c>
      <c r="E46" s="3">
        <v>815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12826</v>
      </c>
      <c r="B47" s="35">
        <v>29984</v>
      </c>
      <c r="C47" s="36">
        <v>29915</v>
      </c>
      <c r="D47" s="2">
        <v>785</v>
      </c>
      <c r="E47" s="3">
        <v>820</v>
      </c>
      <c r="F47" s="4">
        <v>0</v>
      </c>
      <c r="G47" s="5">
        <v>0</v>
      </c>
      <c r="H47" s="6">
        <v>40</v>
      </c>
    </row>
    <row r="48" spans="1:8" x14ac:dyDescent="0.25">
      <c r="A48" s="1">
        <f t="shared" ca="1" si="0"/>
        <v>12827</v>
      </c>
      <c r="B48" s="35">
        <v>30021</v>
      </c>
      <c r="C48" s="36">
        <v>29982</v>
      </c>
      <c r="D48" s="2">
        <v>795</v>
      </c>
      <c r="E48" s="3">
        <v>830</v>
      </c>
      <c r="F48" s="4">
        <v>2</v>
      </c>
      <c r="G48" s="5">
        <v>23</v>
      </c>
      <c r="H48" s="6">
        <v>0</v>
      </c>
    </row>
    <row r="49" spans="1:8" x14ac:dyDescent="0.25">
      <c r="A49" s="1">
        <f t="shared" ca="1" si="0"/>
        <v>12828</v>
      </c>
      <c r="B49" s="35">
        <v>30063</v>
      </c>
      <c r="C49" s="36">
        <v>29984</v>
      </c>
      <c r="D49" s="2">
        <v>790</v>
      </c>
      <c r="E49" s="3">
        <v>820</v>
      </c>
      <c r="F49" s="4">
        <v>0</v>
      </c>
      <c r="G49" s="5">
        <v>0</v>
      </c>
      <c r="H49" s="6">
        <v>0</v>
      </c>
    </row>
    <row r="50" spans="1:8" x14ac:dyDescent="0.25">
      <c r="A50" s="1">
        <f t="shared" ca="1" si="0"/>
        <v>12829</v>
      </c>
      <c r="B50" s="35">
        <v>30053</v>
      </c>
      <c r="C50" s="36">
        <v>29974</v>
      </c>
      <c r="D50" s="2">
        <v>790</v>
      </c>
      <c r="E50" s="3">
        <v>820</v>
      </c>
      <c r="F50" s="4">
        <v>0</v>
      </c>
      <c r="G50" s="5">
        <v>0</v>
      </c>
      <c r="H50" s="6">
        <v>0</v>
      </c>
    </row>
    <row r="51" spans="1:8" x14ac:dyDescent="0.25">
      <c r="A51" s="1">
        <f t="shared" ca="1" si="0"/>
        <v>12830</v>
      </c>
      <c r="B51" s="35">
        <v>30043</v>
      </c>
      <c r="C51" s="36">
        <v>29964</v>
      </c>
      <c r="D51" s="2">
        <v>790</v>
      </c>
      <c r="E51" s="3">
        <v>820</v>
      </c>
      <c r="F51" s="4">
        <v>0</v>
      </c>
      <c r="G51" s="5">
        <v>0</v>
      </c>
      <c r="H51" s="6">
        <v>0</v>
      </c>
    </row>
    <row r="52" spans="1:8" x14ac:dyDescent="0.25">
      <c r="A52" s="1">
        <f t="shared" ca="1" si="0"/>
        <v>12831</v>
      </c>
      <c r="B52" s="35">
        <v>30023</v>
      </c>
      <c r="C52" s="36">
        <v>29943</v>
      </c>
      <c r="D52" s="2">
        <v>790</v>
      </c>
      <c r="E52" s="3">
        <v>830</v>
      </c>
      <c r="F52" s="4">
        <v>0</v>
      </c>
      <c r="G52" s="5">
        <v>0</v>
      </c>
      <c r="H52" s="6">
        <v>0</v>
      </c>
    </row>
    <row r="53" spans="1:8" x14ac:dyDescent="0.25">
      <c r="A53" s="1">
        <f t="shared" ca="1" si="0"/>
        <v>12832</v>
      </c>
      <c r="B53" s="35">
        <v>30021</v>
      </c>
      <c r="C53" s="36">
        <v>29945</v>
      </c>
      <c r="D53" s="2">
        <v>795</v>
      </c>
      <c r="E53" s="3">
        <v>820</v>
      </c>
      <c r="F53" s="4">
        <v>0</v>
      </c>
      <c r="G53" s="5">
        <v>0</v>
      </c>
      <c r="H53" s="6">
        <v>0</v>
      </c>
    </row>
    <row r="54" spans="1:8" x14ac:dyDescent="0.25">
      <c r="A54" s="1">
        <f t="shared" ca="1" si="0"/>
        <v>12833</v>
      </c>
      <c r="B54" s="35">
        <v>30031</v>
      </c>
      <c r="C54" s="36">
        <v>29970</v>
      </c>
      <c r="D54" s="2">
        <v>795</v>
      </c>
      <c r="E54" s="3">
        <v>800</v>
      </c>
      <c r="F54" s="4">
        <v>156</v>
      </c>
      <c r="G54" s="5">
        <v>0</v>
      </c>
      <c r="H54" s="6">
        <v>0</v>
      </c>
    </row>
    <row r="55" spans="1:8" x14ac:dyDescent="0.25">
      <c r="A55" s="1">
        <f t="shared" ca="1" si="0"/>
        <v>12834</v>
      </c>
      <c r="B55" s="35">
        <v>30065</v>
      </c>
      <c r="C55" s="36">
        <v>29976</v>
      </c>
      <c r="D55" s="2">
        <v>780</v>
      </c>
      <c r="E55" s="3">
        <v>815</v>
      </c>
      <c r="F55" s="4">
        <v>0</v>
      </c>
      <c r="G55" s="5">
        <v>27</v>
      </c>
      <c r="H55" s="6">
        <v>0</v>
      </c>
    </row>
    <row r="56" spans="1:8" x14ac:dyDescent="0.25">
      <c r="A56" s="1">
        <f t="shared" ca="1" si="0"/>
        <v>12835</v>
      </c>
      <c r="B56" s="35">
        <v>30054</v>
      </c>
      <c r="C56" s="36">
        <v>29996</v>
      </c>
      <c r="D56" s="2">
        <v>785</v>
      </c>
      <c r="E56" s="3">
        <v>815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12836</v>
      </c>
      <c r="B57" s="35">
        <v>30055</v>
      </c>
      <c r="C57" s="36">
        <v>29974</v>
      </c>
      <c r="D57" s="2">
        <v>780</v>
      </c>
      <c r="E57" s="3">
        <v>820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12837</v>
      </c>
      <c r="B58" s="35">
        <v>30014</v>
      </c>
      <c r="C58" s="36">
        <v>29943</v>
      </c>
      <c r="D58" s="2">
        <v>785</v>
      </c>
      <c r="E58" s="3">
        <v>830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12838</v>
      </c>
      <c r="B59" s="35">
        <v>30031</v>
      </c>
      <c r="C59" s="36">
        <v>29974</v>
      </c>
      <c r="D59" s="2">
        <v>795</v>
      </c>
      <c r="E59" s="3">
        <v>820</v>
      </c>
      <c r="F59" s="4">
        <v>0</v>
      </c>
      <c r="G59" s="5">
        <v>0</v>
      </c>
      <c r="H59" s="6">
        <v>0</v>
      </c>
    </row>
    <row r="60" spans="1:8" x14ac:dyDescent="0.25">
      <c r="A60" s="1">
        <f t="shared" ca="1" si="0"/>
        <v>12839</v>
      </c>
      <c r="B60" s="35">
        <v>30001</v>
      </c>
      <c r="C60" s="36">
        <v>29915</v>
      </c>
      <c r="D60" s="2">
        <v>795</v>
      </c>
      <c r="E60" s="3">
        <v>820</v>
      </c>
      <c r="F60" s="4">
        <v>0</v>
      </c>
      <c r="G60" s="5">
        <v>0</v>
      </c>
      <c r="H60" s="6">
        <v>0</v>
      </c>
    </row>
    <row r="61" spans="1:8" x14ac:dyDescent="0.25">
      <c r="A61" s="1">
        <f t="shared" ca="1" si="0"/>
        <v>12840</v>
      </c>
      <c r="B61" s="35">
        <v>29990</v>
      </c>
      <c r="C61" s="36">
        <v>29891</v>
      </c>
      <c r="D61" s="2">
        <v>800</v>
      </c>
      <c r="E61" s="3">
        <v>835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12841</v>
      </c>
      <c r="B62" s="35">
        <v>29980</v>
      </c>
      <c r="C62" s="36">
        <v>29911</v>
      </c>
      <c r="D62" s="2">
        <v>800</v>
      </c>
      <c r="E62" s="3">
        <v>835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12842</v>
      </c>
      <c r="B63" s="35">
        <v>30010</v>
      </c>
      <c r="C63" s="36">
        <v>29930</v>
      </c>
      <c r="D63" s="2">
        <v>800</v>
      </c>
      <c r="E63" s="3">
        <v>840</v>
      </c>
      <c r="F63" s="4">
        <v>0</v>
      </c>
      <c r="G63" s="5">
        <v>0</v>
      </c>
      <c r="H63" s="6">
        <v>0</v>
      </c>
    </row>
    <row r="64" spans="1:8" x14ac:dyDescent="0.25">
      <c r="A64" s="1">
        <f t="shared" ca="1" si="0"/>
        <v>12843</v>
      </c>
      <c r="B64" s="35">
        <v>30031</v>
      </c>
      <c r="C64" s="36">
        <v>29944</v>
      </c>
      <c r="D64" s="2">
        <v>795</v>
      </c>
      <c r="E64" s="3">
        <v>825</v>
      </c>
      <c r="F64" s="4">
        <v>68</v>
      </c>
      <c r="G64" s="5">
        <v>77</v>
      </c>
      <c r="H64" s="6">
        <v>0</v>
      </c>
    </row>
    <row r="65" spans="1:8" x14ac:dyDescent="0.25">
      <c r="A65" s="1" t="str">
        <f t="shared" ca="1" si="0"/>
        <v>Totaal</v>
      </c>
      <c r="B65" s="37">
        <f>IF(COUNT(B37:B64)&gt;0,AVERAGE(B37:B64)/1000,"")</f>
        <v>30.021785714285713</v>
      </c>
      <c r="C65" s="38">
        <f>IF(COUNT(C37:C64)&gt;0,AVERAGE(C37:C64)/1000,"")</f>
        <v>29.947428571428574</v>
      </c>
      <c r="D65" s="39">
        <f>IF(COUNT(D37:D64)&gt;0,AVERAGE(D37:D64)/10,"")</f>
        <v>79.160714285714292</v>
      </c>
      <c r="E65" s="40">
        <f>IF(COUNT(E37:E64)&gt;0,AVERAGE(E37:E64)/10,"")</f>
        <v>82.267857142857139</v>
      </c>
      <c r="F65" s="23">
        <f>SUM(F37:F64)/10</f>
        <v>27.1</v>
      </c>
      <c r="G65" s="24">
        <f>SUM(G37:G64)/10</f>
        <v>15.9</v>
      </c>
      <c r="H65" s="25">
        <f>SUM(H37:H64)/10</f>
        <v>4</v>
      </c>
    </row>
    <row r="66" spans="1:8" x14ac:dyDescent="0.25">
      <c r="A66" s="1">
        <f t="shared" ca="1" si="0"/>
        <v>12844</v>
      </c>
      <c r="B66" s="35">
        <v>30031</v>
      </c>
      <c r="C66" s="36">
        <v>29964</v>
      </c>
      <c r="D66" s="2">
        <v>795</v>
      </c>
      <c r="E66" s="3">
        <v>820</v>
      </c>
      <c r="F66" s="4">
        <v>0</v>
      </c>
      <c r="G66" s="5">
        <v>10</v>
      </c>
      <c r="H66" s="6">
        <v>0</v>
      </c>
    </row>
    <row r="67" spans="1:8" x14ac:dyDescent="0.25">
      <c r="A67" s="1">
        <f t="shared" ca="1" si="0"/>
        <v>12845</v>
      </c>
      <c r="B67" s="35">
        <v>30041</v>
      </c>
      <c r="C67" s="36">
        <v>29970</v>
      </c>
      <c r="D67" s="2">
        <v>795</v>
      </c>
      <c r="E67" s="3">
        <v>800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12846</v>
      </c>
      <c r="B68" s="35">
        <v>30023</v>
      </c>
      <c r="C68" s="36">
        <v>29943</v>
      </c>
      <c r="D68" s="2">
        <v>790</v>
      </c>
      <c r="E68" s="3">
        <v>830</v>
      </c>
      <c r="F68" s="4">
        <v>0</v>
      </c>
      <c r="G68" s="5">
        <v>0</v>
      </c>
      <c r="H68" s="6">
        <v>30</v>
      </c>
    </row>
    <row r="69" spans="1:8" x14ac:dyDescent="0.25">
      <c r="A69" s="1">
        <f t="shared" ca="1" si="0"/>
        <v>12847</v>
      </c>
      <c r="B69" s="35">
        <v>29998</v>
      </c>
      <c r="C69" s="36">
        <v>29930</v>
      </c>
      <c r="D69" s="2">
        <v>805</v>
      </c>
      <c r="E69" s="3">
        <v>840</v>
      </c>
      <c r="F69" s="4">
        <v>0</v>
      </c>
      <c r="G69" s="5">
        <v>0</v>
      </c>
      <c r="H69" s="6">
        <v>0</v>
      </c>
    </row>
    <row r="70" spans="1:8" x14ac:dyDescent="0.25">
      <c r="A70" s="1">
        <f t="shared" ca="1" si="0"/>
        <v>12848</v>
      </c>
      <c r="B70" s="35">
        <v>30020</v>
      </c>
      <c r="C70" s="36">
        <v>29953</v>
      </c>
      <c r="D70" s="2">
        <v>800</v>
      </c>
      <c r="E70" s="3">
        <v>830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12849</v>
      </c>
      <c r="B71" s="35">
        <v>30011</v>
      </c>
      <c r="C71" s="36">
        <v>29962</v>
      </c>
      <c r="D71" s="2">
        <v>795</v>
      </c>
      <c r="E71" s="3">
        <v>830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12850</v>
      </c>
      <c r="B72" s="35">
        <v>30023</v>
      </c>
      <c r="C72" s="36">
        <v>29943</v>
      </c>
      <c r="D72" s="2">
        <v>790</v>
      </c>
      <c r="E72" s="3">
        <v>830</v>
      </c>
      <c r="F72" s="4">
        <v>0</v>
      </c>
      <c r="G72" s="5">
        <v>50</v>
      </c>
      <c r="H72" s="6">
        <v>0</v>
      </c>
    </row>
    <row r="73" spans="1:8" x14ac:dyDescent="0.25">
      <c r="A73" s="1">
        <f t="shared" ca="1" si="1"/>
        <v>12851</v>
      </c>
      <c r="B73" s="35">
        <v>29991</v>
      </c>
      <c r="C73" s="36">
        <v>29894</v>
      </c>
      <c r="D73" s="2">
        <v>795</v>
      </c>
      <c r="E73" s="3">
        <v>825</v>
      </c>
      <c r="F73" s="4">
        <v>0</v>
      </c>
      <c r="G73" s="5">
        <v>65</v>
      </c>
      <c r="H73" s="6">
        <v>0</v>
      </c>
    </row>
    <row r="74" spans="1:8" x14ac:dyDescent="0.25">
      <c r="A74" s="1">
        <f t="shared" ca="1" si="1"/>
        <v>12852</v>
      </c>
      <c r="B74" s="35">
        <v>29981</v>
      </c>
      <c r="C74" s="36">
        <v>29943</v>
      </c>
      <c r="D74" s="2">
        <v>795</v>
      </c>
      <c r="E74" s="3">
        <v>830</v>
      </c>
      <c r="F74" s="4">
        <v>0</v>
      </c>
      <c r="G74" s="5">
        <v>0</v>
      </c>
      <c r="H74" s="6">
        <v>0</v>
      </c>
    </row>
    <row r="75" spans="1:8" x14ac:dyDescent="0.25">
      <c r="A75" s="1">
        <f t="shared" ca="1" si="1"/>
        <v>12853</v>
      </c>
      <c r="B75" s="35">
        <v>30031</v>
      </c>
      <c r="C75" s="36">
        <v>29962</v>
      </c>
      <c r="D75" s="2">
        <v>795</v>
      </c>
      <c r="E75" s="3">
        <v>830</v>
      </c>
      <c r="F75" s="4">
        <v>0</v>
      </c>
      <c r="G75" s="5">
        <v>0</v>
      </c>
      <c r="H75" s="6">
        <v>0</v>
      </c>
    </row>
    <row r="76" spans="1:8" x14ac:dyDescent="0.25">
      <c r="A76" s="1">
        <f t="shared" ca="1" si="1"/>
        <v>12854</v>
      </c>
      <c r="B76" s="35">
        <v>30053</v>
      </c>
      <c r="C76" s="36">
        <v>29972</v>
      </c>
      <c r="D76" s="2">
        <v>790</v>
      </c>
      <c r="E76" s="3">
        <v>830</v>
      </c>
      <c r="F76" s="4">
        <v>0</v>
      </c>
      <c r="G76" s="5">
        <v>0</v>
      </c>
      <c r="H76" s="6">
        <v>0</v>
      </c>
    </row>
    <row r="77" spans="1:8" x14ac:dyDescent="0.25">
      <c r="A77" s="1">
        <f t="shared" ca="1" si="1"/>
        <v>12855</v>
      </c>
      <c r="B77" s="35">
        <v>30053</v>
      </c>
      <c r="C77" s="36">
        <v>29980</v>
      </c>
      <c r="D77" s="2">
        <v>790</v>
      </c>
      <c r="E77" s="3">
        <v>835</v>
      </c>
      <c r="F77" s="4">
        <v>0</v>
      </c>
      <c r="G77" s="5">
        <v>34</v>
      </c>
      <c r="H77" s="6">
        <v>0</v>
      </c>
    </row>
    <row r="78" spans="1:8" x14ac:dyDescent="0.25">
      <c r="A78" s="1">
        <f t="shared" ca="1" si="1"/>
        <v>12856</v>
      </c>
      <c r="B78" s="35">
        <v>30083</v>
      </c>
      <c r="C78" s="36">
        <v>30012</v>
      </c>
      <c r="D78" s="2">
        <v>790</v>
      </c>
      <c r="E78" s="3">
        <v>830</v>
      </c>
      <c r="F78" s="4">
        <v>0</v>
      </c>
      <c r="G78" s="5">
        <v>0</v>
      </c>
      <c r="H78" s="6">
        <v>0</v>
      </c>
    </row>
    <row r="79" spans="1:8" x14ac:dyDescent="0.25">
      <c r="A79" s="1">
        <f t="shared" ca="1" si="1"/>
        <v>12857</v>
      </c>
      <c r="B79" s="35">
        <v>30085</v>
      </c>
      <c r="C79" s="36">
        <v>30004</v>
      </c>
      <c r="D79" s="2">
        <v>780</v>
      </c>
      <c r="E79" s="3">
        <v>820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12858</v>
      </c>
      <c r="B80" s="35">
        <v>30053</v>
      </c>
      <c r="C80" s="36">
        <v>29957</v>
      </c>
      <c r="D80" s="2">
        <v>790</v>
      </c>
      <c r="E80" s="3">
        <v>815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12859</v>
      </c>
      <c r="B81" s="35">
        <v>30057</v>
      </c>
      <c r="C81" s="36">
        <v>29945</v>
      </c>
      <c r="D81" s="2">
        <v>775</v>
      </c>
      <c r="E81" s="3">
        <v>820</v>
      </c>
      <c r="F81" s="4">
        <v>101</v>
      </c>
      <c r="G81" s="5">
        <v>180</v>
      </c>
      <c r="H81" s="6">
        <v>90</v>
      </c>
    </row>
    <row r="82" spans="1:8" x14ac:dyDescent="0.25">
      <c r="A82" s="1">
        <f t="shared" ca="1" si="1"/>
        <v>12860</v>
      </c>
      <c r="B82" s="35">
        <v>30055</v>
      </c>
      <c r="C82" s="36">
        <v>29953</v>
      </c>
      <c r="D82" s="2">
        <v>780</v>
      </c>
      <c r="E82" s="3">
        <v>830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12861</v>
      </c>
      <c r="B83" s="35">
        <v>30043</v>
      </c>
      <c r="C83" s="36">
        <v>29964</v>
      </c>
      <c r="D83" s="2">
        <v>790</v>
      </c>
      <c r="E83" s="3">
        <v>820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12862</v>
      </c>
      <c r="B84" s="35">
        <v>30024</v>
      </c>
      <c r="C84" s="36">
        <v>29964</v>
      </c>
      <c r="D84" s="2">
        <v>785</v>
      </c>
      <c r="E84" s="3">
        <v>820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12863</v>
      </c>
      <c r="B85" s="35">
        <v>30014</v>
      </c>
      <c r="C85" s="36">
        <v>29934</v>
      </c>
      <c r="D85" s="2">
        <v>785</v>
      </c>
      <c r="E85" s="3">
        <v>825</v>
      </c>
      <c r="F85" s="4">
        <v>26</v>
      </c>
      <c r="G85" s="5">
        <v>0</v>
      </c>
      <c r="H85" s="6">
        <v>0</v>
      </c>
    </row>
    <row r="86" spans="1:8" x14ac:dyDescent="0.25">
      <c r="A86" s="1">
        <f t="shared" ca="1" si="1"/>
        <v>12864</v>
      </c>
      <c r="B86" s="35">
        <v>30044</v>
      </c>
      <c r="C86" s="36">
        <v>29963</v>
      </c>
      <c r="D86" s="2">
        <v>785</v>
      </c>
      <c r="E86" s="3">
        <v>825</v>
      </c>
      <c r="F86" s="4">
        <v>0</v>
      </c>
      <c r="G86" s="5">
        <v>42</v>
      </c>
      <c r="H86" s="6">
        <v>0</v>
      </c>
    </row>
    <row r="87" spans="1:8" x14ac:dyDescent="0.25">
      <c r="A87" s="1">
        <f t="shared" ca="1" si="1"/>
        <v>12865</v>
      </c>
      <c r="B87" s="35">
        <v>30033</v>
      </c>
      <c r="C87" s="36">
        <v>29963</v>
      </c>
      <c r="D87" s="2">
        <v>790</v>
      </c>
      <c r="E87" s="3">
        <v>825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12866</v>
      </c>
      <c r="B88" s="35">
        <v>30054</v>
      </c>
      <c r="C88" s="36">
        <v>29972</v>
      </c>
      <c r="D88" s="2">
        <v>785</v>
      </c>
      <c r="E88" s="3">
        <v>830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12867</v>
      </c>
      <c r="B89" s="35">
        <v>30024</v>
      </c>
      <c r="C89" s="36">
        <v>29955</v>
      </c>
      <c r="D89" s="2">
        <v>785</v>
      </c>
      <c r="E89" s="3">
        <v>820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12868</v>
      </c>
      <c r="B90" s="35">
        <v>30003</v>
      </c>
      <c r="C90" s="36">
        <v>29915</v>
      </c>
      <c r="D90" s="2">
        <v>790</v>
      </c>
      <c r="E90" s="3">
        <v>820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12869</v>
      </c>
      <c r="B91" s="35">
        <v>29941</v>
      </c>
      <c r="C91" s="36">
        <v>29853</v>
      </c>
      <c r="D91" s="2">
        <v>800</v>
      </c>
      <c r="E91" s="3">
        <v>830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12870</v>
      </c>
      <c r="B92" s="35">
        <v>29959</v>
      </c>
      <c r="C92" s="36">
        <v>29889</v>
      </c>
      <c r="D92" s="2">
        <v>805</v>
      </c>
      <c r="E92" s="3">
        <v>845</v>
      </c>
      <c r="F92" s="4">
        <v>0</v>
      </c>
      <c r="G92" s="5">
        <v>0</v>
      </c>
      <c r="H92" s="6">
        <v>0</v>
      </c>
    </row>
    <row r="93" spans="1:8" x14ac:dyDescent="0.25">
      <c r="A93" s="1">
        <f t="shared" ca="1" si="1"/>
        <v>12871</v>
      </c>
      <c r="B93" s="35">
        <v>30000</v>
      </c>
      <c r="C93" s="36">
        <v>29925</v>
      </c>
      <c r="D93" s="2">
        <v>800</v>
      </c>
      <c r="E93" s="3">
        <v>820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12872</v>
      </c>
      <c r="B94" s="35">
        <v>30028</v>
      </c>
      <c r="C94" s="36">
        <v>29960</v>
      </c>
      <c r="D94" s="2">
        <v>805</v>
      </c>
      <c r="E94" s="3">
        <v>835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12873</v>
      </c>
      <c r="B95" s="35">
        <v>30014</v>
      </c>
      <c r="C95" s="36">
        <v>29945</v>
      </c>
      <c r="D95" s="2">
        <v>785</v>
      </c>
      <c r="E95" s="3">
        <v>820</v>
      </c>
      <c r="F95" s="4">
        <v>0</v>
      </c>
      <c r="G95" s="5">
        <v>70</v>
      </c>
      <c r="H95" s="6">
        <v>0</v>
      </c>
    </row>
    <row r="96" spans="1:8" x14ac:dyDescent="0.25">
      <c r="A96" s="1">
        <f t="shared" ca="1" si="1"/>
        <v>12874</v>
      </c>
      <c r="B96" s="35">
        <v>30001</v>
      </c>
      <c r="C96" s="36">
        <v>29934</v>
      </c>
      <c r="D96" s="2">
        <v>795</v>
      </c>
      <c r="E96" s="3">
        <v>825</v>
      </c>
      <c r="F96" s="4">
        <v>0</v>
      </c>
      <c r="G96" s="5">
        <v>0</v>
      </c>
      <c r="H96" s="6">
        <v>0</v>
      </c>
    </row>
    <row r="97" spans="1:8" x14ac:dyDescent="0.25">
      <c r="A97" s="1" t="str">
        <f t="shared" ca="1" si="1"/>
        <v>Totaal</v>
      </c>
      <c r="B97" s="37">
        <f>IF(COUNT(B66:B96)&gt;0,AVERAGE(B66:B96)/1000,"")</f>
        <v>30.024870967741936</v>
      </c>
      <c r="C97" s="38">
        <f>IF(COUNT(C66:C96)&gt;0,AVERAGE(C66:C96)/1000,"")</f>
        <v>29.949129032258064</v>
      </c>
      <c r="D97" s="39">
        <f>IF(COUNT(D66:D96)&gt;0,AVERAGE(D66:D96)/10,"")</f>
        <v>79.145161290322591</v>
      </c>
      <c r="E97" s="40">
        <f>IF(COUNT(E66:E96)&gt;0,AVERAGE(E66:E96)/10,"")</f>
        <v>82.596774193548384</v>
      </c>
      <c r="F97" s="23">
        <f>SUM(F66:F96)/10</f>
        <v>12.7</v>
      </c>
      <c r="G97" s="24">
        <f>SUM(G66:G96)/10</f>
        <v>45.1</v>
      </c>
      <c r="H97" s="25">
        <f>SUM(H66:H96)/10</f>
        <v>12</v>
      </c>
    </row>
    <row r="98" spans="1:8" x14ac:dyDescent="0.25">
      <c r="A98" s="1">
        <f t="shared" ca="1" si="1"/>
        <v>12875</v>
      </c>
      <c r="B98" s="35">
        <v>30011</v>
      </c>
      <c r="C98" s="36">
        <v>29950</v>
      </c>
      <c r="D98" s="2">
        <v>795</v>
      </c>
      <c r="E98" s="3">
        <v>840</v>
      </c>
      <c r="F98" s="4">
        <v>0</v>
      </c>
      <c r="G98" s="5">
        <v>0</v>
      </c>
      <c r="H98" s="6">
        <v>0</v>
      </c>
    </row>
    <row r="99" spans="1:8" x14ac:dyDescent="0.25">
      <c r="A99" s="1">
        <f t="shared" ca="1" si="1"/>
        <v>12876</v>
      </c>
      <c r="B99" s="35">
        <v>30030</v>
      </c>
      <c r="C99" s="36">
        <v>29943</v>
      </c>
      <c r="D99" s="2">
        <v>800</v>
      </c>
      <c r="E99" s="3">
        <v>830</v>
      </c>
      <c r="F99" s="4">
        <v>0</v>
      </c>
      <c r="G99" s="5">
        <v>37</v>
      </c>
      <c r="H99" s="6">
        <v>65</v>
      </c>
    </row>
    <row r="100" spans="1:8" x14ac:dyDescent="0.25">
      <c r="A100" s="1">
        <f t="shared" ca="1" si="1"/>
        <v>12877</v>
      </c>
      <c r="B100" s="35">
        <v>30031</v>
      </c>
      <c r="C100" s="36">
        <v>29945</v>
      </c>
      <c r="D100" s="2">
        <v>795</v>
      </c>
      <c r="E100" s="3">
        <v>820</v>
      </c>
      <c r="F100" s="4">
        <v>60</v>
      </c>
      <c r="G100" s="5">
        <v>0</v>
      </c>
      <c r="H100" s="6">
        <v>0</v>
      </c>
    </row>
    <row r="101" spans="1:8" x14ac:dyDescent="0.25">
      <c r="A101" s="1">
        <f t="shared" ca="1" si="1"/>
        <v>12878</v>
      </c>
      <c r="B101" s="35">
        <v>30031</v>
      </c>
      <c r="C101" s="36">
        <v>29951</v>
      </c>
      <c r="D101" s="2">
        <v>795</v>
      </c>
      <c r="E101" s="3">
        <v>835</v>
      </c>
      <c r="F101" s="4">
        <v>0</v>
      </c>
      <c r="G101" s="5">
        <v>0</v>
      </c>
      <c r="H101" s="6">
        <v>0</v>
      </c>
    </row>
    <row r="102" spans="1:8" x14ac:dyDescent="0.25">
      <c r="A102" s="1">
        <f t="shared" ca="1" si="1"/>
        <v>12879</v>
      </c>
      <c r="B102" s="35">
        <v>30011</v>
      </c>
      <c r="C102" s="36">
        <v>29931</v>
      </c>
      <c r="D102" s="2">
        <v>795</v>
      </c>
      <c r="E102" s="3">
        <v>835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12880</v>
      </c>
      <c r="B103" s="35">
        <v>29980</v>
      </c>
      <c r="C103" s="36">
        <v>29944</v>
      </c>
      <c r="D103" s="2">
        <v>800</v>
      </c>
      <c r="E103" s="3">
        <v>825</v>
      </c>
      <c r="F103" s="4">
        <v>0</v>
      </c>
      <c r="G103" s="5">
        <v>0</v>
      </c>
      <c r="H103" s="6">
        <v>0</v>
      </c>
    </row>
    <row r="104" spans="1:8" x14ac:dyDescent="0.25">
      <c r="A104" s="1">
        <f t="shared" ca="1" si="1"/>
        <v>12881</v>
      </c>
      <c r="B104" s="35">
        <v>29991</v>
      </c>
      <c r="C104" s="36">
        <v>29930</v>
      </c>
      <c r="D104" s="2">
        <v>795</v>
      </c>
      <c r="E104" s="3">
        <v>840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12882</v>
      </c>
      <c r="B105" s="35">
        <v>29961</v>
      </c>
      <c r="C105" s="36">
        <v>29890</v>
      </c>
      <c r="D105" s="2">
        <v>800</v>
      </c>
      <c r="E105" s="3">
        <v>840</v>
      </c>
      <c r="F105" s="4">
        <v>0</v>
      </c>
      <c r="G105" s="5">
        <v>0</v>
      </c>
      <c r="H105" s="6">
        <v>0</v>
      </c>
    </row>
    <row r="106" spans="1:8" x14ac:dyDescent="0.25">
      <c r="A106" s="1">
        <f t="shared" ca="1" si="1"/>
        <v>12883</v>
      </c>
      <c r="B106" s="35">
        <v>29959</v>
      </c>
      <c r="C106" s="36">
        <v>29889</v>
      </c>
      <c r="D106" s="2">
        <v>805</v>
      </c>
      <c r="E106" s="3">
        <v>845</v>
      </c>
      <c r="F106" s="4">
        <v>0</v>
      </c>
      <c r="G106" s="5">
        <v>0</v>
      </c>
      <c r="H106" s="6">
        <v>0</v>
      </c>
    </row>
    <row r="107" spans="1:8" x14ac:dyDescent="0.25">
      <c r="A107" s="1">
        <f t="shared" ca="1" si="1"/>
        <v>12884</v>
      </c>
      <c r="B107" s="35">
        <v>29980</v>
      </c>
      <c r="C107" s="36">
        <v>29914</v>
      </c>
      <c r="D107" s="2">
        <v>800</v>
      </c>
      <c r="E107" s="3">
        <v>825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12885</v>
      </c>
      <c r="B108" s="35">
        <v>29981</v>
      </c>
      <c r="C108" s="36">
        <v>29901</v>
      </c>
      <c r="D108" s="2">
        <v>795</v>
      </c>
      <c r="E108" s="3">
        <v>835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12886</v>
      </c>
      <c r="B109" s="35">
        <v>29978</v>
      </c>
      <c r="C109" s="36">
        <v>29910</v>
      </c>
      <c r="D109" s="2">
        <v>805</v>
      </c>
      <c r="E109" s="3">
        <v>840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12887</v>
      </c>
      <c r="B110" s="35">
        <v>29987</v>
      </c>
      <c r="C110" s="36">
        <v>29890</v>
      </c>
      <c r="D110" s="2">
        <v>810</v>
      </c>
      <c r="E110" s="3">
        <v>840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12888</v>
      </c>
      <c r="B111" s="35">
        <v>29991</v>
      </c>
      <c r="C111" s="36">
        <v>29911</v>
      </c>
      <c r="D111" s="2">
        <v>795</v>
      </c>
      <c r="E111" s="3">
        <v>835</v>
      </c>
      <c r="F111" s="4">
        <v>0</v>
      </c>
      <c r="G111" s="5">
        <v>0</v>
      </c>
      <c r="H111" s="6">
        <v>0</v>
      </c>
    </row>
    <row r="112" spans="1:8" x14ac:dyDescent="0.25">
      <c r="A112" s="1">
        <f t="shared" ca="1" si="1"/>
        <v>12889</v>
      </c>
      <c r="B112" s="35">
        <v>30007</v>
      </c>
      <c r="C112" s="36">
        <v>29907</v>
      </c>
      <c r="D112" s="2">
        <v>810</v>
      </c>
      <c r="E112" s="3">
        <v>850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12890</v>
      </c>
      <c r="B113" s="35">
        <v>29987</v>
      </c>
      <c r="C113" s="36">
        <v>29889</v>
      </c>
      <c r="D113" s="2">
        <v>810</v>
      </c>
      <c r="E113" s="3">
        <v>845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12891</v>
      </c>
      <c r="B114" s="35">
        <v>29959</v>
      </c>
      <c r="C114" s="36">
        <v>29893</v>
      </c>
      <c r="D114" s="2">
        <v>805</v>
      </c>
      <c r="E114" s="3">
        <v>830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12892</v>
      </c>
      <c r="B115" s="35">
        <v>29951</v>
      </c>
      <c r="C115" s="36">
        <v>29893</v>
      </c>
      <c r="D115" s="2">
        <v>800</v>
      </c>
      <c r="E115" s="3">
        <v>830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12893</v>
      </c>
      <c r="B116" s="35">
        <v>29963</v>
      </c>
      <c r="C116" s="36">
        <v>29871</v>
      </c>
      <c r="D116" s="2">
        <v>790</v>
      </c>
      <c r="E116" s="3">
        <v>835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12894</v>
      </c>
      <c r="B117" s="35">
        <v>29952</v>
      </c>
      <c r="C117" s="36">
        <v>29853</v>
      </c>
      <c r="D117" s="2">
        <v>795</v>
      </c>
      <c r="E117" s="3">
        <v>830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12895</v>
      </c>
      <c r="B118" s="35">
        <v>29959</v>
      </c>
      <c r="C118" s="36">
        <v>29890</v>
      </c>
      <c r="D118" s="2">
        <v>805</v>
      </c>
      <c r="E118" s="3">
        <v>840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12896</v>
      </c>
      <c r="B119" s="35">
        <v>29961</v>
      </c>
      <c r="C119" s="36">
        <v>29889</v>
      </c>
      <c r="D119" s="2">
        <v>800</v>
      </c>
      <c r="E119" s="3">
        <v>845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12897</v>
      </c>
      <c r="B120" s="35">
        <v>29941</v>
      </c>
      <c r="C120" s="36">
        <v>29860</v>
      </c>
      <c r="D120" s="2">
        <v>800</v>
      </c>
      <c r="E120" s="3">
        <v>840</v>
      </c>
      <c r="F120" s="4">
        <v>0</v>
      </c>
      <c r="G120" s="5">
        <v>0</v>
      </c>
      <c r="H120" s="6">
        <v>0</v>
      </c>
    </row>
    <row r="121" spans="1:8" x14ac:dyDescent="0.25">
      <c r="A121" s="1">
        <f t="shared" ca="1" si="1"/>
        <v>12898</v>
      </c>
      <c r="B121" s="35">
        <v>29949</v>
      </c>
      <c r="C121" s="36">
        <v>29821</v>
      </c>
      <c r="D121" s="2">
        <v>805</v>
      </c>
      <c r="E121" s="3">
        <v>835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12899</v>
      </c>
      <c r="B122" s="35">
        <v>29908</v>
      </c>
      <c r="C122" s="36">
        <v>29821</v>
      </c>
      <c r="D122" s="2">
        <v>810</v>
      </c>
      <c r="E122" s="3">
        <v>835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12900</v>
      </c>
      <c r="B123" s="35">
        <v>29907</v>
      </c>
      <c r="C123" s="36">
        <v>29809</v>
      </c>
      <c r="D123" s="2">
        <v>815</v>
      </c>
      <c r="E123" s="3">
        <v>845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12901</v>
      </c>
      <c r="B124" s="35">
        <v>29955</v>
      </c>
      <c r="C124" s="36">
        <v>29853</v>
      </c>
      <c r="D124" s="2">
        <v>820</v>
      </c>
      <c r="E124" s="3">
        <v>830</v>
      </c>
      <c r="F124" s="4">
        <v>0</v>
      </c>
      <c r="G124" s="5">
        <v>0</v>
      </c>
      <c r="H124" s="6">
        <v>0</v>
      </c>
    </row>
    <row r="125" spans="1:8" x14ac:dyDescent="0.25">
      <c r="A125" s="1">
        <f t="shared" ca="1" si="1"/>
        <v>12902</v>
      </c>
      <c r="B125" s="35">
        <v>29963</v>
      </c>
      <c r="C125" s="36">
        <v>29860</v>
      </c>
      <c r="D125" s="2">
        <v>790</v>
      </c>
      <c r="E125" s="3">
        <v>840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12903</v>
      </c>
      <c r="B126" s="35">
        <v>29958</v>
      </c>
      <c r="C126" s="36">
        <v>29860</v>
      </c>
      <c r="D126" s="2">
        <v>810</v>
      </c>
      <c r="E126" s="3">
        <v>840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12904</v>
      </c>
      <c r="B127" s="35">
        <v>29958</v>
      </c>
      <c r="C127" s="36">
        <v>29853</v>
      </c>
      <c r="D127" s="2">
        <v>810</v>
      </c>
      <c r="E127" s="3">
        <v>830</v>
      </c>
      <c r="F127" s="4">
        <v>0</v>
      </c>
      <c r="G127" s="5">
        <v>0</v>
      </c>
      <c r="H127" s="6">
        <v>0</v>
      </c>
    </row>
    <row r="128" spans="1:8" x14ac:dyDescent="0.25">
      <c r="A128" s="1" t="str">
        <f t="shared" ca="1" si="1"/>
        <v>Totaal</v>
      </c>
      <c r="B128" s="37">
        <f>IF(COUNT(B98:B127)&gt;0,AVERAGE(B98:B127)/1000,"")</f>
        <v>29.973333333333333</v>
      </c>
      <c r="C128" s="38">
        <f>IF(COUNT(C98:C127)&gt;0,AVERAGE(C98:C127)/1000,"")</f>
        <v>29.890700000000002</v>
      </c>
      <c r="D128" s="39">
        <f>IF(COUNT(D98:D127)&gt;0,AVERAGE(D98:D127)/10,"")</f>
        <v>80.2</v>
      </c>
      <c r="E128" s="40">
        <f>IF(COUNT(E98:E127)&gt;0,AVERAGE(E98:E127)/10,"")</f>
        <v>83.61666666666666</v>
      </c>
      <c r="F128" s="23">
        <f>SUM(F98:F127)/10</f>
        <v>6</v>
      </c>
      <c r="G128" s="24">
        <f>SUM(G98:G127)/10</f>
        <v>3.7</v>
      </c>
      <c r="H128" s="25">
        <f>SUM(H98:H127)/10</f>
        <v>6.5</v>
      </c>
    </row>
    <row r="129" spans="1:8" x14ac:dyDescent="0.25">
      <c r="A129" s="1">
        <f t="shared" ca="1" si="1"/>
        <v>12905</v>
      </c>
      <c r="B129" s="35">
        <v>29957</v>
      </c>
      <c r="C129" s="36">
        <v>29877</v>
      </c>
      <c r="D129" s="2">
        <v>815</v>
      </c>
      <c r="E129" s="3">
        <v>850</v>
      </c>
      <c r="F129" s="4">
        <v>0</v>
      </c>
      <c r="G129" s="5"/>
      <c r="H129" s="6"/>
    </row>
    <row r="130" spans="1:8" x14ac:dyDescent="0.25">
      <c r="A130" s="1">
        <f t="shared" ca="1" si="1"/>
        <v>12906</v>
      </c>
      <c r="B130" s="35">
        <v>29955</v>
      </c>
      <c r="C130" s="36">
        <v>29890</v>
      </c>
      <c r="D130" s="2">
        <v>820</v>
      </c>
      <c r="E130" s="3">
        <v>840</v>
      </c>
      <c r="F130" s="4">
        <v>0</v>
      </c>
      <c r="G130" s="5">
        <v>0</v>
      </c>
      <c r="H130" s="6">
        <v>0</v>
      </c>
    </row>
    <row r="131" spans="1:8" x14ac:dyDescent="0.25">
      <c r="A131" s="1">
        <f t="shared" ca="1" si="1"/>
        <v>12907</v>
      </c>
      <c r="B131" s="35">
        <v>29974</v>
      </c>
      <c r="C131" s="36">
        <v>29899</v>
      </c>
      <c r="D131" s="2">
        <v>820</v>
      </c>
      <c r="E131" s="3">
        <v>845</v>
      </c>
      <c r="F131" s="4">
        <v>0</v>
      </c>
      <c r="G131" s="5">
        <v>0</v>
      </c>
      <c r="H131" s="6">
        <v>0</v>
      </c>
    </row>
    <row r="132" spans="1:8" x14ac:dyDescent="0.25">
      <c r="A132" s="1">
        <f t="shared" ca="1" si="1"/>
        <v>12908</v>
      </c>
      <c r="B132" s="35">
        <v>30000</v>
      </c>
      <c r="C132" s="36">
        <v>29925</v>
      </c>
      <c r="D132" s="2">
        <v>800</v>
      </c>
      <c r="E132" s="3">
        <v>820</v>
      </c>
      <c r="F132" s="4">
        <v>0</v>
      </c>
      <c r="G132" s="5">
        <v>0</v>
      </c>
      <c r="H132" s="6">
        <v>0</v>
      </c>
    </row>
    <row r="133" spans="1:8" x14ac:dyDescent="0.25">
      <c r="A133" s="1">
        <f t="shared" ca="1" si="1"/>
        <v>12909</v>
      </c>
      <c r="B133" s="35">
        <v>29991</v>
      </c>
      <c r="C133" s="36">
        <v>29930</v>
      </c>
      <c r="D133" s="2">
        <v>795</v>
      </c>
      <c r="E133" s="3">
        <v>840</v>
      </c>
      <c r="F133" s="4">
        <v>0</v>
      </c>
      <c r="G133" s="5">
        <v>0</v>
      </c>
      <c r="H133" s="6">
        <v>0</v>
      </c>
    </row>
    <row r="134" spans="1:8" x14ac:dyDescent="0.25">
      <c r="A134" s="1">
        <f t="shared" ca="1" si="1"/>
        <v>12910</v>
      </c>
      <c r="B134" s="35">
        <v>30001</v>
      </c>
      <c r="C134" s="36">
        <v>29938</v>
      </c>
      <c r="D134" s="2">
        <v>795</v>
      </c>
      <c r="E134" s="3">
        <v>810</v>
      </c>
      <c r="F134" s="4">
        <v>55</v>
      </c>
      <c r="G134" s="5">
        <v>0</v>
      </c>
      <c r="H134" s="6">
        <v>0</v>
      </c>
    </row>
    <row r="135" spans="1:8" x14ac:dyDescent="0.25">
      <c r="A135" s="1">
        <f t="shared" ref="A135:A198" ca="1" si="2">IF(ISTEXT(A134),A133+1,IF(MONTH(A134+1)=MONTH(A134),A134+1,"Totaal"))</f>
        <v>12911</v>
      </c>
      <c r="B135" s="35">
        <v>30016</v>
      </c>
      <c r="C135" s="36">
        <v>29962</v>
      </c>
      <c r="D135" s="2">
        <v>815</v>
      </c>
      <c r="E135" s="3">
        <v>830</v>
      </c>
      <c r="F135" s="4">
        <v>0</v>
      </c>
      <c r="G135" s="5">
        <v>0</v>
      </c>
      <c r="H135" s="6">
        <v>0</v>
      </c>
    </row>
    <row r="136" spans="1:8" x14ac:dyDescent="0.25">
      <c r="A136" s="1">
        <f t="shared" ca="1" si="2"/>
        <v>12912</v>
      </c>
      <c r="B136" s="35">
        <v>30018</v>
      </c>
      <c r="C136" s="36">
        <v>29954</v>
      </c>
      <c r="D136" s="2">
        <v>805</v>
      </c>
      <c r="E136" s="3">
        <v>825</v>
      </c>
      <c r="F136" s="4">
        <v>0</v>
      </c>
      <c r="G136" s="5">
        <v>0</v>
      </c>
      <c r="H136" s="6">
        <v>0</v>
      </c>
    </row>
    <row r="137" spans="1:8" x14ac:dyDescent="0.25">
      <c r="A137" s="1">
        <f t="shared" ca="1" si="2"/>
        <v>12913</v>
      </c>
      <c r="B137" s="35">
        <v>29998</v>
      </c>
      <c r="C137" s="36">
        <v>29914</v>
      </c>
      <c r="D137" s="2">
        <v>805</v>
      </c>
      <c r="E137" s="3">
        <v>825</v>
      </c>
      <c r="F137" s="4">
        <v>100</v>
      </c>
      <c r="G137" s="5">
        <v>0</v>
      </c>
      <c r="H137" s="6">
        <v>0</v>
      </c>
    </row>
    <row r="138" spans="1:8" x14ac:dyDescent="0.25">
      <c r="A138" s="1">
        <f t="shared" ca="1" si="2"/>
        <v>12914</v>
      </c>
      <c r="B138" s="35">
        <v>30000</v>
      </c>
      <c r="C138" s="36">
        <v>29911</v>
      </c>
      <c r="D138" s="2">
        <v>800</v>
      </c>
      <c r="E138" s="3">
        <v>835</v>
      </c>
      <c r="F138" s="4">
        <v>0</v>
      </c>
      <c r="G138" s="5">
        <v>0</v>
      </c>
      <c r="H138" s="6">
        <v>0</v>
      </c>
    </row>
    <row r="139" spans="1:8" x14ac:dyDescent="0.25">
      <c r="A139" s="1">
        <f t="shared" ca="1" si="2"/>
        <v>12915</v>
      </c>
      <c r="B139" s="35">
        <v>29996</v>
      </c>
      <c r="C139" s="36">
        <v>29893</v>
      </c>
      <c r="D139" s="2">
        <v>815</v>
      </c>
      <c r="E139" s="3">
        <v>830</v>
      </c>
      <c r="F139" s="4">
        <v>0</v>
      </c>
      <c r="G139" s="5">
        <v>0</v>
      </c>
      <c r="H139" s="6">
        <v>0</v>
      </c>
    </row>
    <row r="140" spans="1:8" x14ac:dyDescent="0.25">
      <c r="A140" s="1">
        <f t="shared" ca="1" si="2"/>
        <v>12916</v>
      </c>
      <c r="B140" s="35">
        <v>29987</v>
      </c>
      <c r="C140" s="36">
        <v>29901</v>
      </c>
      <c r="D140" s="2">
        <v>810</v>
      </c>
      <c r="E140" s="3">
        <v>835</v>
      </c>
      <c r="F140" s="4">
        <v>0</v>
      </c>
      <c r="G140" s="5">
        <v>0</v>
      </c>
      <c r="H140" s="6">
        <v>0</v>
      </c>
    </row>
    <row r="141" spans="1:8" x14ac:dyDescent="0.25">
      <c r="A141" s="1">
        <f t="shared" ca="1" si="2"/>
        <v>12917</v>
      </c>
      <c r="B141" s="35">
        <v>29978</v>
      </c>
      <c r="C141" s="36">
        <v>29799</v>
      </c>
      <c r="D141" s="2">
        <v>805</v>
      </c>
      <c r="E141" s="3">
        <v>845</v>
      </c>
      <c r="F141" s="4">
        <v>0</v>
      </c>
      <c r="G141" s="5">
        <v>0</v>
      </c>
      <c r="H141" s="6">
        <v>0</v>
      </c>
    </row>
    <row r="142" spans="1:8" x14ac:dyDescent="0.25">
      <c r="A142" s="1">
        <f t="shared" ca="1" si="2"/>
        <v>12918</v>
      </c>
      <c r="B142" s="35">
        <v>29884</v>
      </c>
      <c r="C142" s="36">
        <v>29805</v>
      </c>
      <c r="D142" s="2">
        <v>825</v>
      </c>
      <c r="E142" s="3">
        <v>860</v>
      </c>
      <c r="F142" s="4">
        <v>0</v>
      </c>
      <c r="G142" s="5">
        <v>0</v>
      </c>
      <c r="H142" s="6">
        <v>0</v>
      </c>
    </row>
    <row r="143" spans="1:8" x14ac:dyDescent="0.25">
      <c r="A143" s="1">
        <f t="shared" ca="1" si="2"/>
        <v>12919</v>
      </c>
      <c r="B143" s="35">
        <v>29913</v>
      </c>
      <c r="C143" s="36">
        <v>29819</v>
      </c>
      <c r="D143" s="2">
        <v>830</v>
      </c>
      <c r="E143" s="3">
        <v>880</v>
      </c>
      <c r="F143" s="4">
        <v>0</v>
      </c>
      <c r="G143" s="5">
        <v>0</v>
      </c>
      <c r="H143" s="6">
        <v>0</v>
      </c>
    </row>
    <row r="144" spans="1:8" x14ac:dyDescent="0.25">
      <c r="A144" s="1">
        <f t="shared" ca="1" si="2"/>
        <v>12920</v>
      </c>
      <c r="B144" s="35">
        <v>29953</v>
      </c>
      <c r="C144" s="36">
        <v>29821</v>
      </c>
      <c r="D144" s="2">
        <v>830</v>
      </c>
      <c r="E144" s="3">
        <v>835</v>
      </c>
      <c r="F144" s="4">
        <v>0</v>
      </c>
      <c r="G144" s="5">
        <v>0</v>
      </c>
      <c r="H144" s="6">
        <v>0</v>
      </c>
    </row>
    <row r="145" spans="1:8" x14ac:dyDescent="0.25">
      <c r="A145" s="1">
        <f t="shared" ca="1" si="2"/>
        <v>12921</v>
      </c>
      <c r="B145" s="35">
        <v>29914</v>
      </c>
      <c r="C145" s="36">
        <v>29830</v>
      </c>
      <c r="D145" s="2">
        <v>825</v>
      </c>
      <c r="E145" s="3">
        <v>840</v>
      </c>
      <c r="F145" s="4">
        <v>0</v>
      </c>
      <c r="G145" s="5">
        <v>0</v>
      </c>
      <c r="H145" s="6">
        <v>0</v>
      </c>
    </row>
    <row r="146" spans="1:8" x14ac:dyDescent="0.25">
      <c r="A146" s="1">
        <f t="shared" ca="1" si="2"/>
        <v>12922</v>
      </c>
      <c r="B146" s="35">
        <v>29925</v>
      </c>
      <c r="C146" s="36">
        <v>29853</v>
      </c>
      <c r="D146" s="2">
        <v>820</v>
      </c>
      <c r="E146" s="3">
        <v>830</v>
      </c>
      <c r="F146" s="4">
        <v>0</v>
      </c>
      <c r="G146" s="5">
        <v>0</v>
      </c>
      <c r="H146" s="6">
        <v>0</v>
      </c>
    </row>
    <row r="147" spans="1:8" x14ac:dyDescent="0.25">
      <c r="A147" s="1">
        <f t="shared" ca="1" si="2"/>
        <v>12923</v>
      </c>
      <c r="B147" s="35">
        <v>29949</v>
      </c>
      <c r="C147" s="36">
        <v>29860</v>
      </c>
      <c r="D147" s="2">
        <v>805</v>
      </c>
      <c r="E147" s="3">
        <v>840</v>
      </c>
      <c r="F147" s="4">
        <v>0</v>
      </c>
      <c r="G147" s="5">
        <v>0</v>
      </c>
      <c r="H147" s="6">
        <v>0</v>
      </c>
    </row>
    <row r="148" spans="1:8" x14ac:dyDescent="0.25">
      <c r="A148" s="1">
        <f t="shared" ca="1" si="2"/>
        <v>12924</v>
      </c>
      <c r="B148" s="35">
        <v>29955</v>
      </c>
      <c r="C148" s="36">
        <v>29899</v>
      </c>
      <c r="D148" s="2">
        <v>820</v>
      </c>
      <c r="E148" s="3">
        <v>845</v>
      </c>
      <c r="F148" s="4">
        <v>0</v>
      </c>
      <c r="G148" s="5">
        <v>0</v>
      </c>
      <c r="H148" s="6">
        <v>0</v>
      </c>
    </row>
    <row r="149" spans="1:8" x14ac:dyDescent="0.25">
      <c r="A149" s="1">
        <f t="shared" ca="1" si="2"/>
        <v>12925</v>
      </c>
      <c r="B149" s="35">
        <v>29963</v>
      </c>
      <c r="C149" s="36">
        <v>29890</v>
      </c>
      <c r="D149" s="2">
        <v>790</v>
      </c>
      <c r="E149" s="3">
        <v>840</v>
      </c>
      <c r="F149" s="4">
        <v>0</v>
      </c>
      <c r="G149" s="5">
        <v>0</v>
      </c>
      <c r="H149" s="6">
        <v>0</v>
      </c>
    </row>
    <row r="150" spans="1:8" x14ac:dyDescent="0.25">
      <c r="A150" s="1">
        <f t="shared" ca="1" si="2"/>
        <v>12926</v>
      </c>
      <c r="B150" s="35">
        <v>29973</v>
      </c>
      <c r="C150" s="36">
        <v>29929</v>
      </c>
      <c r="D150" s="2">
        <v>825</v>
      </c>
      <c r="E150" s="3">
        <v>845</v>
      </c>
      <c r="F150" s="4">
        <v>0</v>
      </c>
      <c r="G150" s="5">
        <v>0</v>
      </c>
      <c r="H150" s="6">
        <v>0</v>
      </c>
    </row>
    <row r="151" spans="1:8" x14ac:dyDescent="0.25">
      <c r="A151" s="1">
        <f t="shared" ca="1" si="2"/>
        <v>12927</v>
      </c>
      <c r="B151" s="35">
        <v>30003</v>
      </c>
      <c r="C151" s="36">
        <v>29917</v>
      </c>
      <c r="D151" s="2">
        <v>825</v>
      </c>
      <c r="E151" s="3">
        <v>850</v>
      </c>
      <c r="F151" s="4">
        <v>0</v>
      </c>
      <c r="G151" s="5">
        <v>0</v>
      </c>
      <c r="H151" s="6">
        <v>0</v>
      </c>
    </row>
    <row r="152" spans="1:8" x14ac:dyDescent="0.25">
      <c r="A152" s="1">
        <f t="shared" ca="1" si="2"/>
        <v>12928</v>
      </c>
      <c r="B152" s="35">
        <v>29987</v>
      </c>
      <c r="C152" s="36">
        <v>29906</v>
      </c>
      <c r="D152" s="2">
        <v>810</v>
      </c>
      <c r="E152" s="3">
        <v>855</v>
      </c>
      <c r="F152" s="4">
        <v>0</v>
      </c>
      <c r="G152" s="5">
        <v>0</v>
      </c>
      <c r="H152" s="6">
        <v>0</v>
      </c>
    </row>
    <row r="153" spans="1:8" x14ac:dyDescent="0.25">
      <c r="A153" s="1">
        <f t="shared" ca="1" si="2"/>
        <v>12929</v>
      </c>
      <c r="B153" s="35">
        <v>29983</v>
      </c>
      <c r="C153" s="36">
        <v>29907</v>
      </c>
      <c r="D153" s="2">
        <v>825</v>
      </c>
      <c r="E153" s="3">
        <v>850</v>
      </c>
      <c r="F153" s="4">
        <v>0</v>
      </c>
      <c r="G153" s="5">
        <v>0</v>
      </c>
      <c r="H153" s="6">
        <v>0</v>
      </c>
    </row>
    <row r="154" spans="1:8" x14ac:dyDescent="0.25">
      <c r="A154" s="1">
        <f t="shared" ca="1" si="2"/>
        <v>12930</v>
      </c>
      <c r="B154" s="35">
        <v>29978</v>
      </c>
      <c r="C154" s="36">
        <v>29889</v>
      </c>
      <c r="D154" s="2">
        <v>805</v>
      </c>
      <c r="E154" s="3">
        <v>845</v>
      </c>
      <c r="F154" s="4">
        <v>0</v>
      </c>
      <c r="G154" s="5">
        <v>0</v>
      </c>
      <c r="H154" s="6">
        <v>0</v>
      </c>
    </row>
    <row r="155" spans="1:8" x14ac:dyDescent="0.25">
      <c r="A155" s="1">
        <f t="shared" ca="1" si="2"/>
        <v>12931</v>
      </c>
      <c r="B155" s="35">
        <v>29991</v>
      </c>
      <c r="C155" s="36">
        <v>29866</v>
      </c>
      <c r="D155" s="2">
        <v>795</v>
      </c>
      <c r="E155" s="3">
        <v>855</v>
      </c>
      <c r="F155" s="4">
        <v>0</v>
      </c>
      <c r="G155" s="5">
        <v>0</v>
      </c>
      <c r="H155" s="6">
        <v>0</v>
      </c>
    </row>
    <row r="156" spans="1:8" x14ac:dyDescent="0.25">
      <c r="A156" s="1">
        <f t="shared" ca="1" si="2"/>
        <v>12932</v>
      </c>
      <c r="B156" s="35">
        <v>29974</v>
      </c>
      <c r="C156" s="36">
        <v>29906</v>
      </c>
      <c r="D156" s="2">
        <v>820</v>
      </c>
      <c r="E156" s="3">
        <v>855</v>
      </c>
      <c r="F156" s="4">
        <v>0</v>
      </c>
      <c r="G156" s="5">
        <v>0</v>
      </c>
      <c r="H156" s="6">
        <v>0</v>
      </c>
    </row>
    <row r="157" spans="1:8" x14ac:dyDescent="0.25">
      <c r="A157" s="1">
        <f t="shared" ca="1" si="2"/>
        <v>12933</v>
      </c>
      <c r="B157" s="35">
        <v>29972</v>
      </c>
      <c r="C157" s="36">
        <v>29907</v>
      </c>
      <c r="D157" s="2">
        <v>830</v>
      </c>
      <c r="E157" s="3">
        <v>850</v>
      </c>
      <c r="F157" s="4">
        <v>0</v>
      </c>
      <c r="G157" s="5">
        <v>0</v>
      </c>
      <c r="H157" s="6">
        <v>0</v>
      </c>
    </row>
    <row r="158" spans="1:8" x14ac:dyDescent="0.25">
      <c r="A158" s="1">
        <f t="shared" ca="1" si="2"/>
        <v>12934</v>
      </c>
      <c r="B158" s="35">
        <v>29955</v>
      </c>
      <c r="C158" s="36">
        <v>29890</v>
      </c>
      <c r="D158" s="2">
        <v>820</v>
      </c>
      <c r="E158" s="3">
        <v>840</v>
      </c>
      <c r="F158" s="4">
        <v>0</v>
      </c>
      <c r="G158" s="5">
        <v>0</v>
      </c>
      <c r="H158" s="6">
        <v>0</v>
      </c>
    </row>
    <row r="159" spans="1:8" x14ac:dyDescent="0.25">
      <c r="A159" s="1">
        <f t="shared" ca="1" si="2"/>
        <v>12935</v>
      </c>
      <c r="B159" s="35">
        <v>29935</v>
      </c>
      <c r="C159" s="36">
        <v>29853</v>
      </c>
      <c r="D159" s="2">
        <v>820</v>
      </c>
      <c r="E159" s="3">
        <v>830</v>
      </c>
      <c r="F159" s="4">
        <v>21</v>
      </c>
      <c r="G159" s="5">
        <v>0</v>
      </c>
      <c r="H159" s="6">
        <v>0</v>
      </c>
    </row>
    <row r="160" spans="1:8" x14ac:dyDescent="0.25">
      <c r="A160" s="1" t="str">
        <f t="shared" ca="1" si="2"/>
        <v>Totaal</v>
      </c>
      <c r="B160" s="37">
        <f>IF(COUNT(B129:B159)&gt;0,AVERAGE(B129:B159)/1000,"")</f>
        <v>29.970258064516131</v>
      </c>
      <c r="C160" s="38">
        <f>IF(COUNT(C129:C159)&gt;0,AVERAGE(C129:C159)/1000,"")</f>
        <v>29.888387096774192</v>
      </c>
      <c r="D160" s="39">
        <f>IF(COUNT(D129:D159)&gt;0,AVERAGE(D129:D159)/10,"")</f>
        <v>81.354838709677409</v>
      </c>
      <c r="E160" s="40">
        <f>IF(COUNT(E129:E159)&gt;0,AVERAGE(E129:E159)/10,"")</f>
        <v>84.112903225806448</v>
      </c>
      <c r="F160" s="23">
        <f>SUM(F129:F159)/10</f>
        <v>17.600000000000001</v>
      </c>
      <c r="G160" s="24">
        <f>SUM(G129:G159)/10</f>
        <v>0</v>
      </c>
      <c r="H160" s="25">
        <f>SUM(H129:H159)/10</f>
        <v>0</v>
      </c>
    </row>
    <row r="161" spans="1:8" x14ac:dyDescent="0.25">
      <c r="A161" s="1">
        <f t="shared" ca="1" si="2"/>
        <v>12936</v>
      </c>
      <c r="B161" s="35">
        <v>29994</v>
      </c>
      <c r="C161" s="36">
        <v>29906</v>
      </c>
      <c r="D161" s="2">
        <v>820</v>
      </c>
      <c r="E161" s="3">
        <v>855</v>
      </c>
      <c r="F161" s="4">
        <v>0</v>
      </c>
      <c r="G161" s="5">
        <v>0</v>
      </c>
      <c r="H161" s="6"/>
    </row>
    <row r="162" spans="1:8" x14ac:dyDescent="0.25">
      <c r="A162" s="1">
        <f t="shared" ca="1" si="2"/>
        <v>12937</v>
      </c>
      <c r="B162" s="35">
        <v>29983</v>
      </c>
      <c r="C162" s="36">
        <v>29890</v>
      </c>
      <c r="D162" s="2">
        <v>825</v>
      </c>
      <c r="E162" s="3">
        <v>840</v>
      </c>
      <c r="F162" s="4">
        <v>46</v>
      </c>
      <c r="G162" s="5">
        <v>80</v>
      </c>
      <c r="H162" s="6"/>
    </row>
    <row r="163" spans="1:8" x14ac:dyDescent="0.25">
      <c r="A163" s="1">
        <f t="shared" ca="1" si="2"/>
        <v>12938</v>
      </c>
      <c r="B163" s="35">
        <v>29994</v>
      </c>
      <c r="C163" s="36">
        <v>29931</v>
      </c>
      <c r="D163" s="2">
        <v>820</v>
      </c>
      <c r="E163" s="3">
        <v>835</v>
      </c>
      <c r="F163" s="4">
        <v>0</v>
      </c>
      <c r="G163" s="5">
        <v>0</v>
      </c>
      <c r="H163" s="6"/>
    </row>
    <row r="164" spans="1:8" x14ac:dyDescent="0.25">
      <c r="A164" s="1">
        <f t="shared" ca="1" si="2"/>
        <v>12939</v>
      </c>
      <c r="B164" s="35">
        <v>29964</v>
      </c>
      <c r="C164" s="36">
        <v>29919</v>
      </c>
      <c r="D164" s="2">
        <v>820</v>
      </c>
      <c r="E164" s="3">
        <v>845</v>
      </c>
      <c r="F164" s="4">
        <v>0</v>
      </c>
      <c r="G164" s="5">
        <v>0</v>
      </c>
      <c r="H164" s="6"/>
    </row>
    <row r="165" spans="1:8" x14ac:dyDescent="0.25">
      <c r="A165" s="1">
        <f t="shared" ca="1" si="2"/>
        <v>12940</v>
      </c>
      <c r="B165" s="35">
        <v>29964</v>
      </c>
      <c r="C165" s="36">
        <v>29917</v>
      </c>
      <c r="D165" s="2">
        <v>820</v>
      </c>
      <c r="E165" s="3">
        <v>850</v>
      </c>
      <c r="F165" s="4">
        <v>0</v>
      </c>
      <c r="G165" s="5">
        <v>0</v>
      </c>
      <c r="H165" s="6"/>
    </row>
    <row r="166" spans="1:8" x14ac:dyDescent="0.25">
      <c r="A166" s="1">
        <f t="shared" ca="1" si="2"/>
        <v>12941</v>
      </c>
      <c r="B166" s="35">
        <v>29974</v>
      </c>
      <c r="C166" s="36">
        <v>29926</v>
      </c>
      <c r="D166" s="2">
        <v>820</v>
      </c>
      <c r="E166" s="3">
        <v>855</v>
      </c>
      <c r="F166" s="4">
        <v>0</v>
      </c>
      <c r="G166" s="5">
        <v>0</v>
      </c>
      <c r="H166" s="6"/>
    </row>
    <row r="167" spans="1:8" x14ac:dyDescent="0.25">
      <c r="A167" s="1">
        <f t="shared" ca="1" si="2"/>
        <v>12942</v>
      </c>
      <c r="B167" s="35">
        <v>29992</v>
      </c>
      <c r="C167" s="36">
        <v>29925</v>
      </c>
      <c r="D167" s="2">
        <v>830</v>
      </c>
      <c r="E167" s="3">
        <v>860</v>
      </c>
      <c r="F167" s="4">
        <v>0</v>
      </c>
      <c r="G167" s="5">
        <v>0</v>
      </c>
      <c r="H167" s="6"/>
    </row>
    <row r="168" spans="1:8" x14ac:dyDescent="0.25">
      <c r="A168" s="1">
        <f t="shared" ca="1" si="2"/>
        <v>12943</v>
      </c>
      <c r="B168" s="35">
        <v>29992</v>
      </c>
      <c r="C168" s="36">
        <v>29917</v>
      </c>
      <c r="D168" s="2">
        <v>830</v>
      </c>
      <c r="E168" s="3">
        <v>850</v>
      </c>
      <c r="F168" s="4">
        <v>0</v>
      </c>
      <c r="G168" s="5">
        <v>0</v>
      </c>
      <c r="H168" s="6"/>
    </row>
    <row r="169" spans="1:8" x14ac:dyDescent="0.25">
      <c r="A169" s="1">
        <f t="shared" ca="1" si="2"/>
        <v>12944</v>
      </c>
      <c r="B169" s="35">
        <v>29987</v>
      </c>
      <c r="C169" s="36">
        <v>29906</v>
      </c>
      <c r="D169" s="2">
        <v>810</v>
      </c>
      <c r="E169" s="3">
        <v>855</v>
      </c>
      <c r="F169" s="4">
        <v>0</v>
      </c>
      <c r="G169" s="5">
        <v>0</v>
      </c>
      <c r="H169" s="6"/>
    </row>
    <row r="170" spans="1:8" x14ac:dyDescent="0.25">
      <c r="A170" s="1">
        <f t="shared" ca="1" si="2"/>
        <v>12945</v>
      </c>
      <c r="B170" s="35">
        <v>29973</v>
      </c>
      <c r="C170" s="36">
        <v>29907</v>
      </c>
      <c r="D170" s="2">
        <v>825</v>
      </c>
      <c r="E170" s="3">
        <v>850</v>
      </c>
      <c r="F170" s="4">
        <v>0</v>
      </c>
      <c r="G170" s="5">
        <v>0</v>
      </c>
      <c r="H170" s="6"/>
    </row>
    <row r="171" spans="1:8" x14ac:dyDescent="0.25">
      <c r="A171" s="1">
        <f t="shared" ca="1" si="2"/>
        <v>12946</v>
      </c>
      <c r="B171" s="35">
        <v>29954</v>
      </c>
      <c r="C171" s="36">
        <v>29895</v>
      </c>
      <c r="D171" s="2">
        <v>825</v>
      </c>
      <c r="E171" s="3">
        <v>860</v>
      </c>
      <c r="F171" s="4">
        <v>0</v>
      </c>
      <c r="G171" s="5">
        <v>0</v>
      </c>
      <c r="H171" s="6"/>
    </row>
    <row r="172" spans="1:8" x14ac:dyDescent="0.25">
      <c r="A172" s="1">
        <f t="shared" ca="1" si="2"/>
        <v>12947</v>
      </c>
      <c r="B172" s="35">
        <v>29972</v>
      </c>
      <c r="C172" s="36">
        <v>29915</v>
      </c>
      <c r="D172" s="2">
        <v>830</v>
      </c>
      <c r="E172" s="3">
        <v>860</v>
      </c>
      <c r="F172" s="4">
        <v>0</v>
      </c>
      <c r="G172" s="5">
        <v>0</v>
      </c>
      <c r="H172" s="6"/>
    </row>
    <row r="173" spans="1:8" x14ac:dyDescent="0.25">
      <c r="A173" s="1">
        <f t="shared" ca="1" si="2"/>
        <v>12948</v>
      </c>
      <c r="B173" s="35">
        <v>29972</v>
      </c>
      <c r="C173" s="36">
        <v>29915</v>
      </c>
      <c r="D173" s="2">
        <v>830</v>
      </c>
      <c r="E173" s="3">
        <v>860</v>
      </c>
      <c r="F173" s="4">
        <v>0</v>
      </c>
      <c r="G173" s="5">
        <v>0</v>
      </c>
      <c r="H173" s="6"/>
    </row>
    <row r="174" spans="1:8" x14ac:dyDescent="0.25">
      <c r="A174" s="1">
        <f t="shared" ca="1" si="2"/>
        <v>12949</v>
      </c>
      <c r="B174" s="35">
        <v>29973</v>
      </c>
      <c r="C174" s="36">
        <v>29926</v>
      </c>
      <c r="D174" s="2">
        <v>825</v>
      </c>
      <c r="E174" s="3">
        <v>855</v>
      </c>
      <c r="F174" s="4">
        <v>0</v>
      </c>
      <c r="G174" s="5">
        <v>0</v>
      </c>
      <c r="H174" s="6"/>
    </row>
    <row r="175" spans="1:8" x14ac:dyDescent="0.25">
      <c r="A175" s="1">
        <f t="shared" ca="1" si="2"/>
        <v>12950</v>
      </c>
      <c r="B175" s="35">
        <v>29961</v>
      </c>
      <c r="C175" s="36">
        <v>29899</v>
      </c>
      <c r="D175" s="2">
        <v>800</v>
      </c>
      <c r="E175" s="3">
        <v>845</v>
      </c>
      <c r="F175" s="4">
        <v>0</v>
      </c>
      <c r="G175" s="5">
        <v>120</v>
      </c>
      <c r="H175" s="6"/>
    </row>
    <row r="176" spans="1:8" x14ac:dyDescent="0.25">
      <c r="A176" s="1">
        <f t="shared" ca="1" si="2"/>
        <v>12951</v>
      </c>
      <c r="B176" s="35">
        <v>29992</v>
      </c>
      <c r="C176" s="36">
        <v>29917</v>
      </c>
      <c r="D176" s="2">
        <v>830</v>
      </c>
      <c r="E176" s="3">
        <v>850</v>
      </c>
      <c r="F176" s="4">
        <v>0</v>
      </c>
      <c r="G176" s="5">
        <v>0</v>
      </c>
      <c r="H176" s="6"/>
    </row>
    <row r="177" spans="1:8" x14ac:dyDescent="0.25">
      <c r="A177" s="1">
        <f t="shared" ca="1" si="2"/>
        <v>12952</v>
      </c>
      <c r="B177" s="35">
        <v>29974</v>
      </c>
      <c r="C177" s="36">
        <v>29925</v>
      </c>
      <c r="D177" s="2">
        <v>820</v>
      </c>
      <c r="E177" s="3">
        <v>860</v>
      </c>
      <c r="F177" s="4">
        <v>0</v>
      </c>
      <c r="G177" s="5">
        <v>0</v>
      </c>
      <c r="H177" s="6"/>
    </row>
    <row r="178" spans="1:8" x14ac:dyDescent="0.25">
      <c r="A178" s="1">
        <f t="shared" ca="1" si="2"/>
        <v>12953</v>
      </c>
      <c r="B178" s="35">
        <v>29959</v>
      </c>
      <c r="C178" s="36">
        <v>29905</v>
      </c>
      <c r="D178" s="2">
        <v>805</v>
      </c>
      <c r="E178" s="3">
        <v>860</v>
      </c>
      <c r="F178" s="4">
        <v>0</v>
      </c>
      <c r="G178" s="5">
        <v>0</v>
      </c>
      <c r="H178" s="6"/>
    </row>
    <row r="179" spans="1:8" x14ac:dyDescent="0.25">
      <c r="A179" s="1">
        <f t="shared" ca="1" si="2"/>
        <v>12954</v>
      </c>
      <c r="B179" s="35">
        <v>29983</v>
      </c>
      <c r="C179" s="36">
        <v>29927</v>
      </c>
      <c r="D179" s="2">
        <v>825</v>
      </c>
      <c r="E179" s="3">
        <v>850</v>
      </c>
      <c r="F179" s="4">
        <v>0</v>
      </c>
      <c r="G179" s="5">
        <v>17</v>
      </c>
      <c r="H179" s="6"/>
    </row>
    <row r="180" spans="1:8" x14ac:dyDescent="0.25">
      <c r="A180" s="1">
        <f t="shared" ca="1" si="2"/>
        <v>12955</v>
      </c>
      <c r="B180" s="35">
        <v>29986</v>
      </c>
      <c r="C180" s="36">
        <v>29906</v>
      </c>
      <c r="D180" s="2">
        <v>815</v>
      </c>
      <c r="E180" s="3">
        <v>855</v>
      </c>
      <c r="F180" s="4">
        <v>0</v>
      </c>
      <c r="G180" s="5">
        <v>0</v>
      </c>
      <c r="H180" s="6"/>
    </row>
    <row r="181" spans="1:8" x14ac:dyDescent="0.25">
      <c r="A181" s="1">
        <f t="shared" ca="1" si="2"/>
        <v>12956</v>
      </c>
      <c r="B181" s="35">
        <v>29984</v>
      </c>
      <c r="C181" s="36">
        <v>29916</v>
      </c>
      <c r="D181" s="2">
        <v>820</v>
      </c>
      <c r="E181" s="3">
        <v>850</v>
      </c>
      <c r="F181" s="4">
        <v>35</v>
      </c>
      <c r="G181" s="5">
        <v>0</v>
      </c>
      <c r="H181" s="6"/>
    </row>
    <row r="182" spans="1:8" x14ac:dyDescent="0.25">
      <c r="A182" s="1">
        <f t="shared" ca="1" si="2"/>
        <v>12957</v>
      </c>
      <c r="B182" s="35">
        <v>29972</v>
      </c>
      <c r="C182" s="36">
        <v>29889</v>
      </c>
      <c r="D182" s="2">
        <v>830</v>
      </c>
      <c r="E182" s="3">
        <v>845</v>
      </c>
      <c r="F182" s="4">
        <v>0</v>
      </c>
      <c r="G182" s="5">
        <v>0</v>
      </c>
      <c r="H182" s="6"/>
    </row>
    <row r="183" spans="1:8" x14ac:dyDescent="0.25">
      <c r="A183" s="1">
        <f t="shared" ca="1" si="2"/>
        <v>12958</v>
      </c>
      <c r="B183" s="35">
        <v>29964</v>
      </c>
      <c r="C183" s="36">
        <v>29919</v>
      </c>
      <c r="D183" s="2">
        <v>820</v>
      </c>
      <c r="E183" s="3">
        <v>845</v>
      </c>
      <c r="F183" s="4">
        <v>0</v>
      </c>
      <c r="G183" s="5">
        <v>0</v>
      </c>
      <c r="H183" s="6"/>
    </row>
    <row r="184" spans="1:8" x14ac:dyDescent="0.25">
      <c r="A184" s="1">
        <f t="shared" ca="1" si="2"/>
        <v>12959</v>
      </c>
      <c r="B184" s="35">
        <v>29992</v>
      </c>
      <c r="C184" s="36">
        <v>29925</v>
      </c>
      <c r="D184" s="2">
        <v>830</v>
      </c>
      <c r="E184" s="3">
        <v>860</v>
      </c>
      <c r="F184" s="4">
        <v>0</v>
      </c>
      <c r="G184" s="5">
        <v>0</v>
      </c>
      <c r="H184" s="6"/>
    </row>
    <row r="185" spans="1:8" x14ac:dyDescent="0.25">
      <c r="A185" s="1">
        <f t="shared" ca="1" si="2"/>
        <v>12960</v>
      </c>
      <c r="B185" s="35">
        <v>29983</v>
      </c>
      <c r="C185" s="36">
        <v>29890</v>
      </c>
      <c r="D185" s="2">
        <v>825</v>
      </c>
      <c r="E185" s="3">
        <v>840</v>
      </c>
      <c r="F185" s="4">
        <v>0</v>
      </c>
      <c r="G185" s="5">
        <v>15</v>
      </c>
      <c r="H185" s="6"/>
    </row>
    <row r="186" spans="1:8" x14ac:dyDescent="0.25">
      <c r="A186" s="1">
        <f t="shared" ca="1" si="2"/>
        <v>12961</v>
      </c>
      <c r="B186" s="35">
        <v>29973</v>
      </c>
      <c r="C186" s="36">
        <v>29897</v>
      </c>
      <c r="D186" s="2">
        <v>825</v>
      </c>
      <c r="E186" s="3">
        <v>850</v>
      </c>
      <c r="F186" s="4">
        <v>0</v>
      </c>
      <c r="G186" s="5">
        <v>0</v>
      </c>
      <c r="H186" s="6"/>
    </row>
    <row r="187" spans="1:8" x14ac:dyDescent="0.25">
      <c r="A187" s="1">
        <f t="shared" ca="1" si="2"/>
        <v>12962</v>
      </c>
      <c r="B187" s="35">
        <v>29955</v>
      </c>
      <c r="C187" s="36">
        <v>29935</v>
      </c>
      <c r="D187" s="2">
        <v>820</v>
      </c>
      <c r="E187" s="3">
        <v>860</v>
      </c>
      <c r="F187" s="4">
        <v>0</v>
      </c>
      <c r="G187" s="5">
        <v>0</v>
      </c>
      <c r="H187" s="6"/>
    </row>
    <row r="188" spans="1:8" x14ac:dyDescent="0.25">
      <c r="A188" s="1">
        <f t="shared" ca="1" si="2"/>
        <v>12963</v>
      </c>
      <c r="B188" s="35">
        <v>29958</v>
      </c>
      <c r="C188" s="36">
        <v>29922</v>
      </c>
      <c r="D188" s="2">
        <v>810</v>
      </c>
      <c r="E188" s="3">
        <v>870</v>
      </c>
      <c r="F188" s="4">
        <v>0</v>
      </c>
      <c r="G188" s="5">
        <v>0</v>
      </c>
      <c r="H188" s="6"/>
    </row>
    <row r="189" spans="1:8" x14ac:dyDescent="0.25">
      <c r="A189" s="1">
        <f t="shared" ca="1" si="2"/>
        <v>12964</v>
      </c>
      <c r="B189" s="35">
        <v>29993</v>
      </c>
      <c r="C189" s="36">
        <v>29933</v>
      </c>
      <c r="D189" s="2">
        <v>825</v>
      </c>
      <c r="E189" s="3">
        <v>865</v>
      </c>
      <c r="F189" s="4">
        <v>0</v>
      </c>
      <c r="G189" s="5">
        <v>16</v>
      </c>
      <c r="H189" s="6"/>
    </row>
    <row r="190" spans="1:8" x14ac:dyDescent="0.25">
      <c r="A190" s="1">
        <f t="shared" ca="1" si="2"/>
        <v>12965</v>
      </c>
      <c r="B190" s="35">
        <v>29987</v>
      </c>
      <c r="C190" s="36">
        <v>29890</v>
      </c>
      <c r="D190" s="2">
        <v>810</v>
      </c>
      <c r="E190" s="3">
        <v>840</v>
      </c>
      <c r="F190" s="4">
        <v>0</v>
      </c>
      <c r="G190" s="5">
        <v>0</v>
      </c>
      <c r="H190" s="6"/>
    </row>
    <row r="191" spans="1:8" x14ac:dyDescent="0.25">
      <c r="A191" s="1" t="str">
        <f t="shared" ca="1" si="2"/>
        <v>Totaal</v>
      </c>
      <c r="B191" s="37">
        <f>IF(COUNT(B161:B190)&gt;0,AVERAGE(B161:B190)/1000,"")</f>
        <v>29.976800000000001</v>
      </c>
      <c r="C191" s="38">
        <f>IF(COUNT(C161:C190)&gt;0,AVERAGE(C161:C190)/1000,"")</f>
        <v>29.913</v>
      </c>
      <c r="D191" s="39">
        <f>IF(COUNT(D161:D190)&gt;0,AVERAGE(D161:D190)/10,"")</f>
        <v>82.13333333333334</v>
      </c>
      <c r="E191" s="40">
        <f>IF(COUNT(E161:E190)&gt;0,AVERAGE(E161:E190)/10,"")</f>
        <v>85.25</v>
      </c>
      <c r="F191" s="23">
        <f>SUM(F161:F190)/10</f>
        <v>8.1</v>
      </c>
      <c r="G191" s="24">
        <f>SUM(G161:G190)/10</f>
        <v>24.8</v>
      </c>
      <c r="H191" s="25">
        <f>SUM(H161:H190)/10</f>
        <v>0</v>
      </c>
    </row>
    <row r="192" spans="1:8" x14ac:dyDescent="0.25">
      <c r="A192" s="1">
        <f t="shared" ca="1" si="2"/>
        <v>12966</v>
      </c>
      <c r="B192" s="35">
        <v>29993</v>
      </c>
      <c r="C192" s="36">
        <v>29933</v>
      </c>
      <c r="D192" s="2">
        <v>825</v>
      </c>
      <c r="E192" s="3">
        <v>865</v>
      </c>
      <c r="F192" s="4">
        <v>0</v>
      </c>
      <c r="G192" s="5">
        <v>0</v>
      </c>
      <c r="H192" s="6">
        <v>0</v>
      </c>
    </row>
    <row r="193" spans="1:8" x14ac:dyDescent="0.25">
      <c r="A193" s="1">
        <f t="shared" ca="1" si="2"/>
        <v>12967</v>
      </c>
      <c r="B193" s="35">
        <v>29963</v>
      </c>
      <c r="C193" s="36">
        <v>29919</v>
      </c>
      <c r="D193" s="2">
        <v>825</v>
      </c>
      <c r="E193" s="3">
        <v>845</v>
      </c>
      <c r="F193" s="4">
        <v>20</v>
      </c>
      <c r="G193" s="5">
        <v>0</v>
      </c>
      <c r="H193" s="6">
        <v>0</v>
      </c>
    </row>
    <row r="194" spans="1:8" x14ac:dyDescent="0.25">
      <c r="A194" s="1">
        <f t="shared" ca="1" si="2"/>
        <v>12968</v>
      </c>
      <c r="B194" s="35">
        <v>30003</v>
      </c>
      <c r="C194" s="36">
        <v>29964</v>
      </c>
      <c r="D194" s="2">
        <v>825</v>
      </c>
      <c r="E194" s="3">
        <v>860</v>
      </c>
      <c r="F194" s="4">
        <v>0</v>
      </c>
      <c r="G194" s="5">
        <v>0</v>
      </c>
      <c r="H194" s="6">
        <v>0</v>
      </c>
    </row>
    <row r="195" spans="1:8" x14ac:dyDescent="0.25">
      <c r="A195" s="1">
        <f t="shared" ca="1" si="2"/>
        <v>12969</v>
      </c>
      <c r="B195" s="35">
        <v>29982</v>
      </c>
      <c r="C195" s="36">
        <v>29936</v>
      </c>
      <c r="D195" s="2">
        <v>830</v>
      </c>
      <c r="E195" s="3">
        <v>855</v>
      </c>
      <c r="F195" s="4">
        <v>0</v>
      </c>
      <c r="G195" s="5">
        <v>20</v>
      </c>
      <c r="H195" s="6">
        <v>0</v>
      </c>
    </row>
    <row r="196" spans="1:8" x14ac:dyDescent="0.25">
      <c r="A196" s="1">
        <f t="shared" ca="1" si="2"/>
        <v>12970</v>
      </c>
      <c r="B196" s="35">
        <v>29941</v>
      </c>
      <c r="C196" s="36">
        <v>29985</v>
      </c>
      <c r="D196" s="2">
        <v>835</v>
      </c>
      <c r="E196" s="3">
        <v>860</v>
      </c>
      <c r="F196" s="4">
        <v>0</v>
      </c>
      <c r="G196" s="5">
        <v>0</v>
      </c>
      <c r="H196" s="6">
        <v>110</v>
      </c>
    </row>
    <row r="197" spans="1:8" x14ac:dyDescent="0.25">
      <c r="A197" s="1">
        <f t="shared" ca="1" si="2"/>
        <v>12971</v>
      </c>
      <c r="B197" s="35">
        <v>29923</v>
      </c>
      <c r="C197" s="36">
        <v>29869</v>
      </c>
      <c r="D197" s="2">
        <v>830</v>
      </c>
      <c r="E197" s="3">
        <v>845</v>
      </c>
      <c r="F197" s="4">
        <v>0</v>
      </c>
      <c r="G197" s="5">
        <v>10</v>
      </c>
      <c r="H197" s="6">
        <v>0</v>
      </c>
    </row>
    <row r="198" spans="1:8" x14ac:dyDescent="0.25">
      <c r="A198" s="1">
        <f t="shared" ca="1" si="2"/>
        <v>12972</v>
      </c>
      <c r="B198" s="35">
        <v>29962</v>
      </c>
      <c r="C198" s="36">
        <v>29926</v>
      </c>
      <c r="D198" s="2">
        <v>830</v>
      </c>
      <c r="E198" s="3">
        <v>855</v>
      </c>
      <c r="F198" s="4">
        <v>0</v>
      </c>
      <c r="G198" s="5">
        <v>0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12973</v>
      </c>
      <c r="B199" s="35">
        <v>29984</v>
      </c>
      <c r="C199" s="36">
        <v>29945</v>
      </c>
      <c r="D199" s="2">
        <v>820</v>
      </c>
      <c r="E199" s="3">
        <v>860</v>
      </c>
      <c r="F199" s="4">
        <v>0</v>
      </c>
      <c r="G199" s="5">
        <v>0</v>
      </c>
      <c r="H199" s="6">
        <v>0</v>
      </c>
    </row>
    <row r="200" spans="1:8" x14ac:dyDescent="0.25">
      <c r="A200" s="1">
        <f t="shared" ca="1" si="3"/>
        <v>12974</v>
      </c>
      <c r="B200" s="35">
        <v>30002</v>
      </c>
      <c r="C200" s="36">
        <v>29944</v>
      </c>
      <c r="D200" s="2">
        <v>830</v>
      </c>
      <c r="E200" s="3">
        <v>825</v>
      </c>
      <c r="F200" s="4">
        <v>95</v>
      </c>
      <c r="G200" s="5">
        <v>58</v>
      </c>
      <c r="H200" s="6">
        <v>0</v>
      </c>
    </row>
    <row r="201" spans="1:8" x14ac:dyDescent="0.25">
      <c r="A201" s="1">
        <f t="shared" ca="1" si="3"/>
        <v>12975</v>
      </c>
      <c r="B201" s="35">
        <v>30004</v>
      </c>
      <c r="C201" s="36">
        <v>29956</v>
      </c>
      <c r="D201" s="2">
        <v>820</v>
      </c>
      <c r="E201" s="3">
        <v>850</v>
      </c>
      <c r="F201" s="4">
        <v>0</v>
      </c>
      <c r="G201" s="5">
        <v>0</v>
      </c>
      <c r="H201" s="6">
        <v>0</v>
      </c>
    </row>
    <row r="202" spans="1:8" x14ac:dyDescent="0.25">
      <c r="A202" s="1">
        <f t="shared" ca="1" si="3"/>
        <v>12976</v>
      </c>
      <c r="B202" s="35">
        <v>30024</v>
      </c>
      <c r="C202" s="36">
        <v>29954</v>
      </c>
      <c r="D202" s="2">
        <v>820</v>
      </c>
      <c r="E202" s="3">
        <v>860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12977</v>
      </c>
      <c r="B203" s="35">
        <v>30023</v>
      </c>
      <c r="C203" s="36">
        <v>29965</v>
      </c>
      <c r="D203" s="2">
        <v>825</v>
      </c>
      <c r="E203" s="3">
        <v>855</v>
      </c>
      <c r="F203" s="4">
        <v>0</v>
      </c>
      <c r="G203" s="5">
        <v>0</v>
      </c>
      <c r="H203" s="6">
        <v>0</v>
      </c>
    </row>
    <row r="204" spans="1:8" x14ac:dyDescent="0.25">
      <c r="A204" s="1">
        <f t="shared" ca="1" si="3"/>
        <v>12978</v>
      </c>
      <c r="B204" s="35">
        <v>30012</v>
      </c>
      <c r="C204" s="36">
        <v>29947</v>
      </c>
      <c r="D204" s="2">
        <v>830</v>
      </c>
      <c r="E204" s="3">
        <v>850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12979</v>
      </c>
      <c r="B205" s="35">
        <v>29994</v>
      </c>
      <c r="C205" s="36">
        <v>29935</v>
      </c>
      <c r="D205" s="2">
        <v>820</v>
      </c>
      <c r="E205" s="3">
        <v>860</v>
      </c>
      <c r="F205" s="4">
        <v>0</v>
      </c>
      <c r="G205" s="5">
        <v>0</v>
      </c>
      <c r="H205" s="6">
        <v>0</v>
      </c>
    </row>
    <row r="206" spans="1:8" x14ac:dyDescent="0.25">
      <c r="A206" s="1">
        <f t="shared" ca="1" si="3"/>
        <v>12980</v>
      </c>
      <c r="B206" s="35">
        <v>29966</v>
      </c>
      <c r="C206" s="36">
        <v>29863</v>
      </c>
      <c r="D206" s="2">
        <v>815</v>
      </c>
      <c r="E206" s="3">
        <v>865</v>
      </c>
      <c r="F206" s="4">
        <v>30</v>
      </c>
      <c r="G206" s="5">
        <v>67</v>
      </c>
      <c r="H206" s="6">
        <v>0</v>
      </c>
    </row>
    <row r="207" spans="1:8" x14ac:dyDescent="0.25">
      <c r="A207" s="1">
        <f t="shared" ca="1" si="3"/>
        <v>12981</v>
      </c>
      <c r="B207" s="35">
        <v>29913</v>
      </c>
      <c r="C207" s="36">
        <v>29833</v>
      </c>
      <c r="D207" s="2">
        <v>830</v>
      </c>
      <c r="E207" s="3">
        <v>865</v>
      </c>
      <c r="F207" s="4">
        <v>0</v>
      </c>
      <c r="G207" s="5">
        <v>0</v>
      </c>
      <c r="H207" s="6">
        <v>0</v>
      </c>
    </row>
    <row r="208" spans="1:8" x14ac:dyDescent="0.25">
      <c r="A208" s="1">
        <f t="shared" ca="1" si="3"/>
        <v>12982</v>
      </c>
      <c r="B208" s="35">
        <v>29914</v>
      </c>
      <c r="C208" s="36">
        <v>29863</v>
      </c>
      <c r="D208" s="2">
        <v>825</v>
      </c>
      <c r="E208" s="3">
        <v>865</v>
      </c>
      <c r="F208" s="4">
        <v>0</v>
      </c>
      <c r="G208" s="5">
        <v>0</v>
      </c>
      <c r="H208" s="6">
        <v>0</v>
      </c>
    </row>
    <row r="209" spans="1:8" x14ac:dyDescent="0.25">
      <c r="A209" s="1">
        <f t="shared" ca="1" si="3"/>
        <v>12983</v>
      </c>
      <c r="B209" s="35">
        <v>29960</v>
      </c>
      <c r="C209" s="36">
        <v>29905</v>
      </c>
      <c r="D209" s="2">
        <v>835</v>
      </c>
      <c r="E209" s="3">
        <v>860</v>
      </c>
      <c r="F209" s="4">
        <v>14</v>
      </c>
      <c r="G209" s="5">
        <v>0</v>
      </c>
      <c r="H209" s="6">
        <v>0</v>
      </c>
    </row>
    <row r="210" spans="1:8" x14ac:dyDescent="0.25">
      <c r="A210" s="1">
        <f t="shared" ca="1" si="3"/>
        <v>12984</v>
      </c>
      <c r="B210" s="35">
        <v>29996</v>
      </c>
      <c r="C210" s="36">
        <v>29934</v>
      </c>
      <c r="D210" s="2">
        <v>815</v>
      </c>
      <c r="E210" s="3">
        <v>825</v>
      </c>
      <c r="F210" s="4">
        <v>47</v>
      </c>
      <c r="G210" s="5">
        <v>55</v>
      </c>
      <c r="H210" s="6">
        <v>0</v>
      </c>
    </row>
    <row r="211" spans="1:8" x14ac:dyDescent="0.25">
      <c r="A211" s="1">
        <f t="shared" ca="1" si="3"/>
        <v>12985</v>
      </c>
      <c r="B211" s="35">
        <v>29964</v>
      </c>
      <c r="C211" s="36">
        <v>29925</v>
      </c>
      <c r="D211" s="2">
        <v>820</v>
      </c>
      <c r="E211" s="3">
        <v>860</v>
      </c>
      <c r="F211" s="4">
        <v>0</v>
      </c>
      <c r="G211" s="5">
        <v>0</v>
      </c>
      <c r="H211" s="6">
        <v>0</v>
      </c>
    </row>
    <row r="212" spans="1:8" x14ac:dyDescent="0.25">
      <c r="A212" s="1">
        <f t="shared" ca="1" si="3"/>
        <v>12986</v>
      </c>
      <c r="B212" s="35">
        <v>29992</v>
      </c>
      <c r="C212" s="36">
        <v>29936</v>
      </c>
      <c r="D212" s="2">
        <v>830</v>
      </c>
      <c r="E212" s="3">
        <v>855</v>
      </c>
      <c r="F212" s="4">
        <v>0</v>
      </c>
      <c r="G212" s="5">
        <v>0</v>
      </c>
      <c r="H212" s="6">
        <v>0</v>
      </c>
    </row>
    <row r="213" spans="1:8" x14ac:dyDescent="0.25">
      <c r="A213" s="1">
        <f t="shared" ca="1" si="3"/>
        <v>12987</v>
      </c>
      <c r="B213" s="35">
        <v>29980</v>
      </c>
      <c r="C213" s="36">
        <v>29923</v>
      </c>
      <c r="D213" s="2">
        <v>835</v>
      </c>
      <c r="E213" s="3">
        <v>865</v>
      </c>
      <c r="F213" s="4">
        <v>0</v>
      </c>
      <c r="G213" s="5">
        <v>0</v>
      </c>
      <c r="H213" s="6">
        <v>0</v>
      </c>
    </row>
    <row r="214" spans="1:8" x14ac:dyDescent="0.25">
      <c r="A214" s="1">
        <f t="shared" ca="1" si="3"/>
        <v>12988</v>
      </c>
      <c r="B214" s="35">
        <v>29980</v>
      </c>
      <c r="C214" s="36">
        <v>29912</v>
      </c>
      <c r="D214" s="2">
        <v>835</v>
      </c>
      <c r="E214" s="3">
        <v>870</v>
      </c>
      <c r="F214" s="4">
        <v>0</v>
      </c>
      <c r="G214" s="5">
        <v>57</v>
      </c>
      <c r="H214" s="6">
        <v>0</v>
      </c>
    </row>
    <row r="215" spans="1:8" x14ac:dyDescent="0.25">
      <c r="A215" s="1">
        <f t="shared" ca="1" si="3"/>
        <v>12989</v>
      </c>
      <c r="B215" s="35">
        <v>29960</v>
      </c>
      <c r="C215" s="36">
        <v>29915</v>
      </c>
      <c r="D215" s="2">
        <v>835</v>
      </c>
      <c r="E215" s="3">
        <v>860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12990</v>
      </c>
      <c r="B216" s="35">
        <v>29992</v>
      </c>
      <c r="C216" s="36">
        <v>29933</v>
      </c>
      <c r="D216" s="2">
        <v>830</v>
      </c>
      <c r="E216" s="3">
        <v>865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12991</v>
      </c>
      <c r="B217" s="35">
        <v>29990</v>
      </c>
      <c r="C217" s="36">
        <v>29922</v>
      </c>
      <c r="D217" s="2">
        <v>835</v>
      </c>
      <c r="E217" s="3">
        <v>870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12992</v>
      </c>
      <c r="B218" s="35">
        <v>29923</v>
      </c>
      <c r="C218" s="36">
        <v>29885</v>
      </c>
      <c r="D218" s="2">
        <v>835</v>
      </c>
      <c r="E218" s="3">
        <v>860</v>
      </c>
      <c r="F218" s="4">
        <v>46</v>
      </c>
      <c r="G218" s="5">
        <v>49</v>
      </c>
      <c r="H218" s="6">
        <v>0</v>
      </c>
    </row>
    <row r="219" spans="1:8" x14ac:dyDescent="0.25">
      <c r="A219" s="1">
        <f t="shared" ca="1" si="3"/>
        <v>12993</v>
      </c>
      <c r="B219" s="35">
        <v>29994</v>
      </c>
      <c r="C219" s="36">
        <v>29936</v>
      </c>
      <c r="D219" s="2">
        <v>820</v>
      </c>
      <c r="E219" s="3">
        <v>855</v>
      </c>
      <c r="F219" s="4">
        <v>0</v>
      </c>
      <c r="G219" s="5">
        <v>0</v>
      </c>
      <c r="H219" s="6">
        <v>0</v>
      </c>
    </row>
    <row r="220" spans="1:8" x14ac:dyDescent="0.25">
      <c r="A220" s="1">
        <f t="shared" ca="1" si="3"/>
        <v>12994</v>
      </c>
      <c r="B220" s="35">
        <v>29992</v>
      </c>
      <c r="C220" s="36">
        <v>29922</v>
      </c>
      <c r="D220" s="2">
        <v>830</v>
      </c>
      <c r="E220" s="3">
        <v>870</v>
      </c>
      <c r="F220" s="4">
        <v>0</v>
      </c>
      <c r="G220" s="5">
        <v>0</v>
      </c>
      <c r="H220" s="6">
        <v>0</v>
      </c>
    </row>
    <row r="221" spans="1:8" x14ac:dyDescent="0.25">
      <c r="A221" s="1">
        <f t="shared" ca="1" si="3"/>
        <v>12995</v>
      </c>
      <c r="B221" s="35">
        <v>29990</v>
      </c>
      <c r="C221" s="36">
        <v>29923</v>
      </c>
      <c r="D221" s="2">
        <v>835</v>
      </c>
      <c r="E221" s="3">
        <v>865</v>
      </c>
      <c r="F221" s="4">
        <v>0</v>
      </c>
      <c r="G221" s="5">
        <v>0</v>
      </c>
      <c r="H221" s="6">
        <v>0</v>
      </c>
    </row>
    <row r="222" spans="1:8" x14ac:dyDescent="0.25">
      <c r="A222" s="1">
        <f t="shared" ca="1" si="3"/>
        <v>12996</v>
      </c>
      <c r="B222" s="35">
        <v>29960</v>
      </c>
      <c r="C222" s="36">
        <v>29903</v>
      </c>
      <c r="D222" s="2">
        <v>835</v>
      </c>
      <c r="E222" s="3">
        <v>865</v>
      </c>
      <c r="F222" s="4">
        <v>0</v>
      </c>
      <c r="G222" s="5">
        <v>0</v>
      </c>
      <c r="H222" s="6">
        <v>0</v>
      </c>
    </row>
    <row r="223" spans="1:8" x14ac:dyDescent="0.25">
      <c r="A223" s="1" t="str">
        <f t="shared" ca="1" si="3"/>
        <v>Totaal</v>
      </c>
      <c r="B223" s="37">
        <f>IF(COUNT(B192:B222)&gt;0,AVERAGE(B192:B222)/1000,"")</f>
        <v>29.976645161290321</v>
      </c>
      <c r="C223" s="38">
        <f>IF(COUNT(C192:C222)&gt;0,AVERAGE(C192:C222)/1000,"")</f>
        <v>29.922935483870965</v>
      </c>
      <c r="D223" s="39">
        <f>IF(COUNT(D192:D222)&gt;0,AVERAGE(D192:D222)/10,"")</f>
        <v>82.774193548387103</v>
      </c>
      <c r="E223" s="40">
        <f>IF(COUNT(E192:E222)&gt;0,AVERAGE(E192:E222)/10,"")</f>
        <v>85.758064516129039</v>
      </c>
      <c r="F223" s="23">
        <f>SUM(F192:F222)/10</f>
        <v>25.2</v>
      </c>
      <c r="G223" s="24">
        <f>SUM(G192:G222)/10</f>
        <v>31.6</v>
      </c>
      <c r="H223" s="25">
        <f>SUM(H192:H222)/10</f>
        <v>11</v>
      </c>
    </row>
    <row r="224" spans="1:8" x14ac:dyDescent="0.25">
      <c r="A224" s="1">
        <f t="shared" ca="1" si="3"/>
        <v>12997</v>
      </c>
      <c r="B224" s="35">
        <v>29979</v>
      </c>
      <c r="C224" s="36">
        <v>29946</v>
      </c>
      <c r="D224" s="2">
        <v>840</v>
      </c>
      <c r="E224" s="3">
        <v>855</v>
      </c>
      <c r="F224" s="4">
        <v>58</v>
      </c>
      <c r="G224" s="5">
        <v>30</v>
      </c>
      <c r="H224" s="6">
        <v>0</v>
      </c>
    </row>
    <row r="225" spans="1:8" x14ac:dyDescent="0.25">
      <c r="A225" s="1">
        <f t="shared" ca="1" si="3"/>
        <v>12998</v>
      </c>
      <c r="B225" s="35">
        <v>30022</v>
      </c>
      <c r="C225" s="36">
        <v>29943</v>
      </c>
      <c r="D225" s="2">
        <v>830</v>
      </c>
      <c r="E225" s="3">
        <v>865</v>
      </c>
      <c r="F225" s="4">
        <v>0</v>
      </c>
      <c r="G225" s="5">
        <v>0</v>
      </c>
      <c r="H225" s="6">
        <v>0</v>
      </c>
    </row>
    <row r="226" spans="1:8" x14ac:dyDescent="0.25">
      <c r="A226" s="1">
        <f t="shared" ca="1" si="3"/>
        <v>12999</v>
      </c>
      <c r="B226" s="35">
        <v>30006</v>
      </c>
      <c r="C226" s="36">
        <v>29922</v>
      </c>
      <c r="D226" s="2">
        <v>815</v>
      </c>
      <c r="E226" s="3">
        <v>870</v>
      </c>
      <c r="F226" s="4">
        <v>0</v>
      </c>
      <c r="G226" s="5">
        <v>0</v>
      </c>
      <c r="H226" s="6">
        <v>0</v>
      </c>
    </row>
    <row r="227" spans="1:8" x14ac:dyDescent="0.25">
      <c r="A227" s="1">
        <f t="shared" ca="1" si="3"/>
        <v>13000</v>
      </c>
      <c r="B227" s="35">
        <v>29992</v>
      </c>
      <c r="C227" s="36">
        <v>29903</v>
      </c>
      <c r="D227" s="2">
        <v>830</v>
      </c>
      <c r="E227" s="3">
        <v>865</v>
      </c>
      <c r="F227" s="4">
        <v>0</v>
      </c>
      <c r="G227" s="5">
        <v>63</v>
      </c>
      <c r="H227" s="6">
        <v>0</v>
      </c>
    </row>
    <row r="228" spans="1:8" x14ac:dyDescent="0.25">
      <c r="A228" s="1">
        <f t="shared" ca="1" si="3"/>
        <v>13001</v>
      </c>
      <c r="B228" s="35">
        <v>29972</v>
      </c>
      <c r="C228" s="36">
        <v>29893</v>
      </c>
      <c r="D228" s="2">
        <v>830</v>
      </c>
      <c r="E228" s="3">
        <v>865</v>
      </c>
      <c r="F228" s="4">
        <v>0</v>
      </c>
      <c r="G228" s="5">
        <v>0</v>
      </c>
      <c r="H228" s="6">
        <v>0</v>
      </c>
    </row>
    <row r="229" spans="1:8" x14ac:dyDescent="0.25">
      <c r="A229" s="1">
        <f t="shared" ca="1" si="3"/>
        <v>13002</v>
      </c>
      <c r="B229" s="35">
        <v>29943</v>
      </c>
      <c r="C229" s="36">
        <v>29856</v>
      </c>
      <c r="D229" s="2">
        <v>830</v>
      </c>
      <c r="E229" s="3">
        <v>855</v>
      </c>
      <c r="F229" s="4">
        <v>0</v>
      </c>
      <c r="G229" s="5">
        <v>0</v>
      </c>
      <c r="H229" s="6">
        <v>0</v>
      </c>
    </row>
    <row r="230" spans="1:8" x14ac:dyDescent="0.25">
      <c r="A230" s="1">
        <f t="shared" ca="1" si="3"/>
        <v>13003</v>
      </c>
      <c r="B230" s="35">
        <v>29921</v>
      </c>
      <c r="C230" s="36">
        <v>29852</v>
      </c>
      <c r="D230" s="2">
        <v>835</v>
      </c>
      <c r="E230" s="3">
        <v>870</v>
      </c>
      <c r="F230" s="4">
        <v>0</v>
      </c>
      <c r="G230" s="5">
        <v>0</v>
      </c>
      <c r="H230" s="6">
        <v>0</v>
      </c>
    </row>
    <row r="231" spans="1:8" x14ac:dyDescent="0.25">
      <c r="A231" s="1">
        <f t="shared" ca="1" si="3"/>
        <v>13004</v>
      </c>
      <c r="B231" s="35">
        <v>29969</v>
      </c>
      <c r="C231" s="36">
        <v>29922</v>
      </c>
      <c r="D231" s="2">
        <v>840</v>
      </c>
      <c r="E231" s="3">
        <v>870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13005</v>
      </c>
      <c r="B232" s="35">
        <v>29980</v>
      </c>
      <c r="C232" s="36">
        <v>29922</v>
      </c>
      <c r="D232" s="2">
        <v>835</v>
      </c>
      <c r="E232" s="3">
        <v>870</v>
      </c>
      <c r="F232" s="4">
        <v>0</v>
      </c>
      <c r="G232" s="5">
        <v>0</v>
      </c>
      <c r="H232" s="6">
        <v>0</v>
      </c>
    </row>
    <row r="233" spans="1:8" x14ac:dyDescent="0.25">
      <c r="A233" s="1">
        <f t="shared" ca="1" si="3"/>
        <v>13006</v>
      </c>
      <c r="B233" s="35">
        <v>29951</v>
      </c>
      <c r="C233" s="36">
        <v>29897</v>
      </c>
      <c r="D233" s="2">
        <v>835</v>
      </c>
      <c r="E233" s="3">
        <v>850</v>
      </c>
      <c r="F233" s="4">
        <v>0</v>
      </c>
      <c r="G233" s="5">
        <v>0</v>
      </c>
      <c r="H233" s="6">
        <v>0</v>
      </c>
    </row>
    <row r="234" spans="1:8" x14ac:dyDescent="0.25">
      <c r="A234" s="1">
        <f t="shared" ca="1" si="3"/>
        <v>13007</v>
      </c>
      <c r="B234" s="35">
        <v>29960</v>
      </c>
      <c r="C234" s="36">
        <v>29903</v>
      </c>
      <c r="D234" s="2">
        <v>835</v>
      </c>
      <c r="E234" s="3">
        <v>865</v>
      </c>
      <c r="F234" s="4">
        <v>0</v>
      </c>
      <c r="G234" s="5">
        <v>96</v>
      </c>
      <c r="H234" s="6">
        <v>110</v>
      </c>
    </row>
    <row r="235" spans="1:8" x14ac:dyDescent="0.25">
      <c r="A235" s="1">
        <f t="shared" ca="1" si="3"/>
        <v>13008</v>
      </c>
      <c r="B235" s="35">
        <v>29988</v>
      </c>
      <c r="C235" s="36">
        <v>29909</v>
      </c>
      <c r="D235" s="2">
        <v>805</v>
      </c>
      <c r="E235" s="3">
        <v>845</v>
      </c>
      <c r="F235" s="4">
        <v>208</v>
      </c>
      <c r="G235" s="5">
        <v>38</v>
      </c>
      <c r="H235" s="6">
        <v>49</v>
      </c>
    </row>
    <row r="236" spans="1:8" x14ac:dyDescent="0.25">
      <c r="A236" s="1">
        <f t="shared" ca="1" si="3"/>
        <v>13009</v>
      </c>
      <c r="B236" s="35">
        <v>29944</v>
      </c>
      <c r="C236" s="36">
        <v>29885</v>
      </c>
      <c r="D236" s="2">
        <v>825</v>
      </c>
      <c r="E236" s="3">
        <v>860</v>
      </c>
      <c r="F236" s="4">
        <v>0</v>
      </c>
      <c r="G236" s="5">
        <v>0</v>
      </c>
      <c r="H236" s="6">
        <v>0</v>
      </c>
    </row>
    <row r="237" spans="1:8" x14ac:dyDescent="0.25">
      <c r="A237" s="1">
        <f t="shared" ca="1" si="3"/>
        <v>13010</v>
      </c>
      <c r="B237" s="35">
        <v>29970</v>
      </c>
      <c r="C237" s="36">
        <v>29902</v>
      </c>
      <c r="D237" s="2">
        <v>835</v>
      </c>
      <c r="E237" s="3">
        <v>870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13011</v>
      </c>
      <c r="B238" s="35">
        <v>29951</v>
      </c>
      <c r="C238" s="36">
        <v>29895</v>
      </c>
      <c r="D238" s="2">
        <v>835</v>
      </c>
      <c r="E238" s="3">
        <v>860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13012</v>
      </c>
      <c r="B239" s="35">
        <v>29940</v>
      </c>
      <c r="C239" s="36">
        <v>29872</v>
      </c>
      <c r="D239" s="2">
        <v>840</v>
      </c>
      <c r="E239" s="3">
        <v>870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13013</v>
      </c>
      <c r="B240" s="35">
        <v>29911</v>
      </c>
      <c r="C240" s="36">
        <v>29863</v>
      </c>
      <c r="D240" s="2">
        <v>835</v>
      </c>
      <c r="E240" s="3">
        <v>865</v>
      </c>
      <c r="F240" s="4">
        <v>0</v>
      </c>
      <c r="G240" s="5">
        <v>0</v>
      </c>
      <c r="H240" s="6">
        <v>0</v>
      </c>
    </row>
    <row r="241" spans="1:8" x14ac:dyDescent="0.25">
      <c r="A241" s="1">
        <f t="shared" ca="1" si="3"/>
        <v>13014</v>
      </c>
      <c r="B241" s="35">
        <v>29921</v>
      </c>
      <c r="C241" s="36">
        <v>29895</v>
      </c>
      <c r="D241" s="2">
        <v>835</v>
      </c>
      <c r="E241" s="3">
        <v>860</v>
      </c>
      <c r="F241" s="4">
        <v>0</v>
      </c>
      <c r="G241" s="5">
        <v>0</v>
      </c>
      <c r="H241" s="6">
        <v>0</v>
      </c>
    </row>
    <row r="242" spans="1:8" x14ac:dyDescent="0.25">
      <c r="A242" s="1">
        <f t="shared" ca="1" si="3"/>
        <v>13015</v>
      </c>
      <c r="B242" s="35">
        <v>29899</v>
      </c>
      <c r="C242" s="36">
        <v>29821</v>
      </c>
      <c r="D242" s="2">
        <v>845</v>
      </c>
      <c r="E242" s="3">
        <v>875</v>
      </c>
      <c r="F242" s="4">
        <v>0</v>
      </c>
      <c r="G242" s="5">
        <v>0</v>
      </c>
      <c r="H242" s="6">
        <v>0</v>
      </c>
    </row>
    <row r="243" spans="1:8" x14ac:dyDescent="0.25">
      <c r="A243" s="1">
        <f t="shared" ca="1" si="3"/>
        <v>13016</v>
      </c>
      <c r="B243" s="35">
        <v>29919</v>
      </c>
      <c r="C243" s="36">
        <v>29851</v>
      </c>
      <c r="D243" s="2">
        <v>845</v>
      </c>
      <c r="E243" s="3">
        <v>875</v>
      </c>
      <c r="F243" s="4">
        <v>0</v>
      </c>
      <c r="G243" s="5">
        <v>0</v>
      </c>
      <c r="H243" s="6">
        <v>0</v>
      </c>
    </row>
    <row r="244" spans="1:8" x14ac:dyDescent="0.25">
      <c r="A244" s="1">
        <f t="shared" ca="1" si="3"/>
        <v>13017</v>
      </c>
      <c r="B244" s="35">
        <v>29949</v>
      </c>
      <c r="C244" s="36">
        <v>29859</v>
      </c>
      <c r="D244" s="2">
        <v>845</v>
      </c>
      <c r="E244" s="3">
        <v>880</v>
      </c>
      <c r="F244" s="4">
        <v>0</v>
      </c>
      <c r="G244" s="5">
        <v>0</v>
      </c>
      <c r="H244" s="6">
        <v>0</v>
      </c>
    </row>
    <row r="245" spans="1:8" x14ac:dyDescent="0.25">
      <c r="A245" s="1">
        <f t="shared" ca="1" si="3"/>
        <v>13018</v>
      </c>
      <c r="B245" s="35">
        <v>29947</v>
      </c>
      <c r="C245" s="36">
        <v>29879</v>
      </c>
      <c r="D245" s="2">
        <v>850</v>
      </c>
      <c r="E245" s="3">
        <v>880</v>
      </c>
      <c r="F245" s="4">
        <v>0</v>
      </c>
      <c r="G245" s="5">
        <v>0</v>
      </c>
      <c r="H245" s="6">
        <v>0</v>
      </c>
    </row>
    <row r="246" spans="1:8" x14ac:dyDescent="0.25">
      <c r="A246" s="1">
        <f t="shared" ca="1" si="3"/>
        <v>13019</v>
      </c>
      <c r="B246" s="35">
        <v>29949</v>
      </c>
      <c r="C246" s="36">
        <v>29862</v>
      </c>
      <c r="D246" s="2">
        <v>845</v>
      </c>
      <c r="E246" s="3">
        <v>870</v>
      </c>
      <c r="F246" s="4">
        <v>0</v>
      </c>
      <c r="G246" s="5">
        <v>0</v>
      </c>
      <c r="H246" s="6">
        <v>0</v>
      </c>
    </row>
    <row r="247" spans="1:8" x14ac:dyDescent="0.25">
      <c r="A247" s="1">
        <f t="shared" ca="1" si="3"/>
        <v>13020</v>
      </c>
      <c r="B247" s="35">
        <v>29919</v>
      </c>
      <c r="C247" s="36">
        <v>29833</v>
      </c>
      <c r="D247" s="2">
        <v>845</v>
      </c>
      <c r="E247" s="3">
        <v>865</v>
      </c>
      <c r="F247" s="4">
        <v>0</v>
      </c>
      <c r="G247" s="5">
        <v>0</v>
      </c>
      <c r="H247" s="6">
        <v>0</v>
      </c>
    </row>
    <row r="248" spans="1:8" x14ac:dyDescent="0.25">
      <c r="A248" s="1">
        <f t="shared" ca="1" si="3"/>
        <v>13021</v>
      </c>
      <c r="B248" s="35">
        <v>29923</v>
      </c>
      <c r="C248" s="36">
        <v>29853</v>
      </c>
      <c r="D248" s="2">
        <v>830</v>
      </c>
      <c r="E248" s="3">
        <v>830</v>
      </c>
      <c r="F248" s="4">
        <v>854</v>
      </c>
      <c r="G248" s="5">
        <v>220</v>
      </c>
      <c r="H248" s="6">
        <v>442</v>
      </c>
    </row>
    <row r="249" spans="1:8" x14ac:dyDescent="0.25">
      <c r="A249" s="1">
        <f t="shared" ca="1" si="3"/>
        <v>13022</v>
      </c>
      <c r="B249" s="35">
        <v>29963</v>
      </c>
      <c r="C249" s="36">
        <v>29893</v>
      </c>
      <c r="D249" s="2">
        <v>790</v>
      </c>
      <c r="E249" s="3">
        <v>830</v>
      </c>
      <c r="F249" s="4">
        <v>0</v>
      </c>
      <c r="G249" s="5">
        <v>874</v>
      </c>
      <c r="H249" s="6">
        <v>549</v>
      </c>
    </row>
    <row r="250" spans="1:8" x14ac:dyDescent="0.25">
      <c r="A250" s="1">
        <f t="shared" ca="1" si="3"/>
        <v>13023</v>
      </c>
      <c r="B250" s="35">
        <v>29947</v>
      </c>
      <c r="C250" s="36">
        <v>29879</v>
      </c>
      <c r="D250" s="2">
        <v>815</v>
      </c>
      <c r="E250" s="3">
        <v>845</v>
      </c>
      <c r="F250" s="4">
        <v>46</v>
      </c>
      <c r="G250" s="5">
        <v>0</v>
      </c>
      <c r="H250" s="6">
        <v>0</v>
      </c>
    </row>
    <row r="251" spans="1:8" x14ac:dyDescent="0.25">
      <c r="A251" s="1">
        <f t="shared" ca="1" si="3"/>
        <v>13024</v>
      </c>
      <c r="B251" s="35">
        <v>29973</v>
      </c>
      <c r="C251" s="36">
        <v>29876</v>
      </c>
      <c r="D251" s="2">
        <v>825</v>
      </c>
      <c r="E251" s="3">
        <v>855</v>
      </c>
      <c r="F251" s="4">
        <v>0</v>
      </c>
      <c r="G251" s="5">
        <v>0</v>
      </c>
      <c r="H251" s="6">
        <v>0</v>
      </c>
    </row>
    <row r="252" spans="1:8" x14ac:dyDescent="0.25">
      <c r="A252" s="1">
        <f t="shared" ca="1" si="3"/>
        <v>13025</v>
      </c>
      <c r="B252" s="35">
        <v>29970</v>
      </c>
      <c r="C252" s="36">
        <v>29905</v>
      </c>
      <c r="D252" s="2">
        <v>835</v>
      </c>
      <c r="E252" s="3">
        <v>860</v>
      </c>
      <c r="F252" s="4">
        <v>0</v>
      </c>
      <c r="G252" s="5">
        <v>0</v>
      </c>
      <c r="H252" s="6">
        <v>0</v>
      </c>
    </row>
    <row r="253" spans="1:8" x14ac:dyDescent="0.25">
      <c r="A253" s="1">
        <f t="shared" ca="1" si="3"/>
        <v>13026</v>
      </c>
      <c r="B253" s="35">
        <v>29970</v>
      </c>
      <c r="C253" s="36">
        <v>29893</v>
      </c>
      <c r="D253" s="2">
        <v>835</v>
      </c>
      <c r="E253" s="3">
        <v>865</v>
      </c>
      <c r="F253" s="4">
        <v>0</v>
      </c>
      <c r="G253" s="5">
        <v>0</v>
      </c>
      <c r="H253" s="6">
        <v>0</v>
      </c>
    </row>
    <row r="254" spans="1:8" x14ac:dyDescent="0.25">
      <c r="A254" s="1">
        <f t="shared" ca="1" si="3"/>
        <v>13027</v>
      </c>
      <c r="B254" s="35">
        <v>29964</v>
      </c>
      <c r="C254" s="36">
        <v>29897</v>
      </c>
      <c r="D254" s="2">
        <v>820</v>
      </c>
      <c r="E254" s="3">
        <v>850</v>
      </c>
      <c r="F254" s="4">
        <v>0</v>
      </c>
      <c r="G254" s="5">
        <v>0</v>
      </c>
      <c r="H254" s="6">
        <v>0</v>
      </c>
    </row>
    <row r="255" spans="1:8" x14ac:dyDescent="0.25">
      <c r="A255" s="1" t="str">
        <f t="shared" ca="1" si="3"/>
        <v>Totaal</v>
      </c>
      <c r="B255" s="37">
        <f>IF(COUNT(B224:B254)&gt;0,AVERAGE(B224:B254)/1000,"")</f>
        <v>29.955225806451615</v>
      </c>
      <c r="C255" s="38">
        <f>IF(COUNT(C224:C254)&gt;0,AVERAGE(C224:C254)/1000,"")</f>
        <v>29.886483870967741</v>
      </c>
      <c r="D255" s="39">
        <f>IF(COUNT(D224:D254)&gt;0,AVERAGE(D224:D254)/10,"")</f>
        <v>83.193548387096769</v>
      </c>
      <c r="E255" s="40">
        <f>IF(COUNT(E224:E254)&gt;0,AVERAGE(E224:E254)/10,"")</f>
        <v>86.161290322580641</v>
      </c>
      <c r="F255" s="23">
        <f>SUM(F224:F254)/10</f>
        <v>116.6</v>
      </c>
      <c r="G255" s="24">
        <f>SUM(G224:G254)/10</f>
        <v>132.1</v>
      </c>
      <c r="H255" s="25">
        <f>SUM(H224:H254)/10</f>
        <v>115</v>
      </c>
    </row>
    <row r="256" spans="1:8" x14ac:dyDescent="0.25">
      <c r="A256" s="1">
        <f t="shared" ca="1" si="3"/>
        <v>13028</v>
      </c>
      <c r="B256" s="35">
        <v>29970</v>
      </c>
      <c r="C256" s="36">
        <v>29893</v>
      </c>
      <c r="D256" s="2">
        <v>835</v>
      </c>
      <c r="E256" s="3">
        <v>865</v>
      </c>
      <c r="F256" s="4">
        <v>0</v>
      </c>
      <c r="G256" s="5">
        <v>0</v>
      </c>
      <c r="H256" s="6">
        <v>0</v>
      </c>
    </row>
    <row r="257" spans="1:8" x14ac:dyDescent="0.25">
      <c r="A257" s="1">
        <f t="shared" ca="1" si="3"/>
        <v>13029</v>
      </c>
      <c r="B257" s="35">
        <v>29968</v>
      </c>
      <c r="C257" s="36">
        <v>29881</v>
      </c>
      <c r="D257" s="2">
        <v>845</v>
      </c>
      <c r="E257" s="3">
        <v>875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13030</v>
      </c>
      <c r="B258" s="35">
        <v>29949</v>
      </c>
      <c r="C258" s="36">
        <v>29861</v>
      </c>
      <c r="D258" s="2">
        <v>845</v>
      </c>
      <c r="E258" s="3">
        <v>875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13031</v>
      </c>
      <c r="B259" s="35">
        <v>29940</v>
      </c>
      <c r="C259" s="36">
        <v>29856</v>
      </c>
      <c r="D259" s="2">
        <v>840</v>
      </c>
      <c r="E259" s="3">
        <v>850</v>
      </c>
      <c r="F259" s="4">
        <v>0</v>
      </c>
      <c r="G259" s="5">
        <v>95</v>
      </c>
      <c r="H259" s="6">
        <v>0</v>
      </c>
    </row>
    <row r="260" spans="1:8" x14ac:dyDescent="0.25">
      <c r="A260" s="1">
        <f t="shared" ca="1" si="3"/>
        <v>13032</v>
      </c>
      <c r="B260" s="35">
        <v>29930</v>
      </c>
      <c r="C260" s="36">
        <v>29865</v>
      </c>
      <c r="D260" s="2">
        <v>840</v>
      </c>
      <c r="E260" s="3">
        <v>860</v>
      </c>
      <c r="F260" s="4">
        <v>0</v>
      </c>
      <c r="G260" s="5">
        <v>17</v>
      </c>
      <c r="H260" s="6">
        <v>0</v>
      </c>
    </row>
    <row r="261" spans="1:8" x14ac:dyDescent="0.25">
      <c r="A261" s="1">
        <f t="shared" ca="1" si="3"/>
        <v>13033</v>
      </c>
      <c r="B261" s="35">
        <v>29930</v>
      </c>
      <c r="C261" s="36">
        <v>29842</v>
      </c>
      <c r="D261" s="2">
        <v>840</v>
      </c>
      <c r="E261" s="3">
        <v>870</v>
      </c>
      <c r="F261" s="4">
        <v>0</v>
      </c>
      <c r="G261" s="5">
        <v>0</v>
      </c>
      <c r="H261" s="6">
        <v>0</v>
      </c>
    </row>
    <row r="262" spans="1:8" x14ac:dyDescent="0.25">
      <c r="A262" s="1">
        <f t="shared" ca="1" si="3"/>
        <v>13034</v>
      </c>
      <c r="B262" s="35">
        <v>29929</v>
      </c>
      <c r="C262" s="36">
        <v>29833</v>
      </c>
      <c r="D262" s="2">
        <v>845</v>
      </c>
      <c r="E262" s="3">
        <v>865</v>
      </c>
      <c r="F262" s="4">
        <v>0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13035</v>
      </c>
      <c r="B263" s="35">
        <v>29951</v>
      </c>
      <c r="C263" s="36">
        <v>29862</v>
      </c>
      <c r="D263" s="2">
        <v>835</v>
      </c>
      <c r="E263" s="3">
        <v>870</v>
      </c>
      <c r="F263" s="4">
        <v>0</v>
      </c>
      <c r="G263" s="5">
        <v>0</v>
      </c>
      <c r="H263" s="6">
        <v>0</v>
      </c>
    </row>
    <row r="264" spans="1:8" x14ac:dyDescent="0.25">
      <c r="A264" s="1">
        <f t="shared" ca="1" si="4"/>
        <v>13036</v>
      </c>
      <c r="B264" s="35">
        <v>29979</v>
      </c>
      <c r="C264" s="36">
        <v>29892</v>
      </c>
      <c r="D264" s="2">
        <v>840</v>
      </c>
      <c r="E264" s="3">
        <v>870</v>
      </c>
      <c r="F264" s="4">
        <v>0</v>
      </c>
      <c r="G264" s="5">
        <v>0</v>
      </c>
      <c r="H264" s="6">
        <v>0</v>
      </c>
    </row>
    <row r="265" spans="1:8" x14ac:dyDescent="0.25">
      <c r="A265" s="1">
        <f t="shared" ca="1" si="4"/>
        <v>13037</v>
      </c>
      <c r="B265" s="35">
        <v>29968</v>
      </c>
      <c r="C265" s="36">
        <v>29902</v>
      </c>
      <c r="D265" s="2">
        <v>845</v>
      </c>
      <c r="E265" s="3">
        <v>870</v>
      </c>
      <c r="F265" s="4">
        <v>24</v>
      </c>
      <c r="G265" s="5">
        <v>0</v>
      </c>
      <c r="H265" s="6">
        <v>0</v>
      </c>
    </row>
    <row r="266" spans="1:8" x14ac:dyDescent="0.25">
      <c r="A266" s="1">
        <f t="shared" ca="1" si="4"/>
        <v>13038</v>
      </c>
      <c r="B266" s="35">
        <v>29999</v>
      </c>
      <c r="C266" s="36">
        <v>29922</v>
      </c>
      <c r="D266" s="2">
        <v>840</v>
      </c>
      <c r="E266" s="3">
        <v>870</v>
      </c>
      <c r="F266" s="4">
        <v>0</v>
      </c>
      <c r="G266" s="5">
        <v>0</v>
      </c>
      <c r="H266" s="6">
        <v>0</v>
      </c>
    </row>
    <row r="267" spans="1:8" x14ac:dyDescent="0.25">
      <c r="A267" s="1">
        <f t="shared" ca="1" si="4"/>
        <v>13039</v>
      </c>
      <c r="B267" s="35">
        <v>29970</v>
      </c>
      <c r="C267" s="36">
        <v>29873</v>
      </c>
      <c r="D267" s="2">
        <v>835</v>
      </c>
      <c r="E267" s="3">
        <v>865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13040</v>
      </c>
      <c r="B268" s="35">
        <v>29941</v>
      </c>
      <c r="C268" s="36">
        <v>29852</v>
      </c>
      <c r="D268" s="2">
        <v>835</v>
      </c>
      <c r="E268" s="3">
        <v>870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13041</v>
      </c>
      <c r="B269" s="35">
        <v>29930</v>
      </c>
      <c r="C269" s="36">
        <v>29842</v>
      </c>
      <c r="D269" s="2">
        <v>840</v>
      </c>
      <c r="E269" s="3">
        <v>870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13042</v>
      </c>
      <c r="B270" s="35">
        <v>29947</v>
      </c>
      <c r="C270" s="36">
        <v>29851</v>
      </c>
      <c r="D270" s="2">
        <v>850</v>
      </c>
      <c r="E270" s="3">
        <v>875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13043</v>
      </c>
      <c r="B271" s="35">
        <v>29930</v>
      </c>
      <c r="C271" s="36">
        <v>29833</v>
      </c>
      <c r="D271" s="2">
        <v>840</v>
      </c>
      <c r="E271" s="3">
        <v>865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13044</v>
      </c>
      <c r="B272" s="35">
        <v>29911</v>
      </c>
      <c r="C272" s="36">
        <v>29845</v>
      </c>
      <c r="D272" s="2">
        <v>835</v>
      </c>
      <c r="E272" s="3">
        <v>860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13045</v>
      </c>
      <c r="B273" s="35">
        <v>29950</v>
      </c>
      <c r="C273" s="36">
        <v>29875</v>
      </c>
      <c r="D273" s="2">
        <v>840</v>
      </c>
      <c r="E273" s="3">
        <v>860</v>
      </c>
      <c r="F273" s="4">
        <v>0</v>
      </c>
      <c r="G273" s="5">
        <v>0</v>
      </c>
      <c r="H273" s="6">
        <v>0</v>
      </c>
    </row>
    <row r="274" spans="1:8" x14ac:dyDescent="0.25">
      <c r="A274" s="1">
        <f t="shared" ca="1" si="4"/>
        <v>13046</v>
      </c>
      <c r="B274" s="35">
        <v>29990</v>
      </c>
      <c r="C274" s="36">
        <v>29875</v>
      </c>
      <c r="D274" s="2">
        <v>835</v>
      </c>
      <c r="E274" s="3">
        <v>860</v>
      </c>
      <c r="F274" s="4">
        <v>0</v>
      </c>
      <c r="G274" s="5">
        <v>0</v>
      </c>
      <c r="H274" s="6">
        <v>0</v>
      </c>
    </row>
    <row r="275" spans="1:8" x14ac:dyDescent="0.25">
      <c r="A275" s="1">
        <f t="shared" ca="1" si="4"/>
        <v>13047</v>
      </c>
      <c r="B275" s="35">
        <v>29979</v>
      </c>
      <c r="C275" s="36">
        <v>29883</v>
      </c>
      <c r="D275" s="2">
        <v>840</v>
      </c>
      <c r="E275" s="3">
        <v>865</v>
      </c>
      <c r="F275" s="4">
        <v>0</v>
      </c>
      <c r="G275" s="5">
        <v>0</v>
      </c>
      <c r="H275" s="6">
        <v>0</v>
      </c>
    </row>
    <row r="276" spans="1:8" x14ac:dyDescent="0.25">
      <c r="A276" s="1">
        <f t="shared" ca="1" si="4"/>
        <v>13048</v>
      </c>
      <c r="B276" s="35">
        <v>29930</v>
      </c>
      <c r="C276" s="36">
        <v>29821</v>
      </c>
      <c r="D276" s="2">
        <v>840</v>
      </c>
      <c r="E276" s="3">
        <v>875</v>
      </c>
      <c r="F276" s="4">
        <v>0</v>
      </c>
      <c r="G276" s="5">
        <v>0</v>
      </c>
      <c r="H276" s="6">
        <v>0</v>
      </c>
    </row>
    <row r="277" spans="1:8" x14ac:dyDescent="0.25">
      <c r="A277" s="1">
        <f t="shared" ca="1" si="4"/>
        <v>13049</v>
      </c>
      <c r="B277" s="35">
        <v>29929</v>
      </c>
      <c r="C277" s="36">
        <v>29833</v>
      </c>
      <c r="D277" s="2">
        <v>840</v>
      </c>
      <c r="E277" s="3">
        <v>865</v>
      </c>
      <c r="F277" s="4">
        <v>167</v>
      </c>
      <c r="G277" s="5">
        <v>0</v>
      </c>
      <c r="H277" s="6">
        <v>0</v>
      </c>
    </row>
    <row r="278" spans="1:8" x14ac:dyDescent="0.25">
      <c r="A278" s="1">
        <f t="shared" ca="1" si="4"/>
        <v>13050</v>
      </c>
      <c r="B278" s="35">
        <v>29934</v>
      </c>
      <c r="C278" s="36">
        <v>29845</v>
      </c>
      <c r="D278" s="2">
        <v>825</v>
      </c>
      <c r="E278" s="3">
        <v>860</v>
      </c>
      <c r="F278" s="4">
        <v>0</v>
      </c>
      <c r="G278" s="5">
        <v>134</v>
      </c>
      <c r="H278" s="6">
        <v>69</v>
      </c>
    </row>
    <row r="279" spans="1:8" x14ac:dyDescent="0.25">
      <c r="A279" s="1">
        <f t="shared" ca="1" si="4"/>
        <v>13051</v>
      </c>
      <c r="B279" s="35">
        <v>29941</v>
      </c>
      <c r="C279" s="36">
        <v>29837</v>
      </c>
      <c r="D279" s="2">
        <v>835</v>
      </c>
      <c r="E279" s="3">
        <v>850</v>
      </c>
      <c r="F279" s="4">
        <v>26</v>
      </c>
      <c r="G279" s="5">
        <v>0</v>
      </c>
      <c r="H279" s="6">
        <v>0</v>
      </c>
    </row>
    <row r="280" spans="1:8" x14ac:dyDescent="0.25">
      <c r="A280" s="1">
        <f t="shared" ca="1" si="4"/>
        <v>13052</v>
      </c>
      <c r="B280" s="35">
        <v>29954</v>
      </c>
      <c r="C280" s="36">
        <v>29807</v>
      </c>
      <c r="D280" s="2">
        <v>825</v>
      </c>
      <c r="E280" s="3">
        <v>850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13053</v>
      </c>
      <c r="B281" s="35">
        <v>29913</v>
      </c>
      <c r="C281" s="36">
        <v>29806</v>
      </c>
      <c r="D281" s="2">
        <v>830</v>
      </c>
      <c r="E281" s="3">
        <v>855</v>
      </c>
      <c r="F281" s="4">
        <v>0</v>
      </c>
      <c r="G281" s="5">
        <v>0</v>
      </c>
      <c r="H281" s="6">
        <v>0</v>
      </c>
    </row>
    <row r="282" spans="1:8" x14ac:dyDescent="0.25">
      <c r="A282" s="1">
        <f t="shared" ca="1" si="4"/>
        <v>13054</v>
      </c>
      <c r="B282" s="35">
        <v>29953</v>
      </c>
      <c r="C282" s="36">
        <v>29866</v>
      </c>
      <c r="D282" s="2">
        <v>830</v>
      </c>
      <c r="E282" s="3">
        <v>855</v>
      </c>
      <c r="F282" s="4">
        <v>0</v>
      </c>
      <c r="G282" s="5">
        <v>0</v>
      </c>
      <c r="H282" s="6">
        <v>0</v>
      </c>
    </row>
    <row r="283" spans="1:8" x14ac:dyDescent="0.25">
      <c r="A283" s="1">
        <f t="shared" ca="1" si="4"/>
        <v>13055</v>
      </c>
      <c r="B283" s="35">
        <v>29954</v>
      </c>
      <c r="C283" s="36">
        <v>29856</v>
      </c>
      <c r="D283" s="2">
        <v>825</v>
      </c>
      <c r="E283" s="3">
        <v>855</v>
      </c>
      <c r="F283" s="4">
        <v>0</v>
      </c>
      <c r="G283" s="5">
        <v>167</v>
      </c>
      <c r="H283" s="6">
        <v>63</v>
      </c>
    </row>
    <row r="284" spans="1:8" x14ac:dyDescent="0.25">
      <c r="A284" s="1">
        <f t="shared" ca="1" si="4"/>
        <v>13056</v>
      </c>
      <c r="B284" s="35">
        <v>29944</v>
      </c>
      <c r="C284" s="36">
        <v>29845</v>
      </c>
      <c r="D284" s="2">
        <v>825</v>
      </c>
      <c r="E284" s="3">
        <v>860</v>
      </c>
      <c r="F284" s="4">
        <v>0</v>
      </c>
      <c r="G284" s="5">
        <v>0</v>
      </c>
      <c r="H284" s="6">
        <v>0</v>
      </c>
    </row>
    <row r="285" spans="1:8" x14ac:dyDescent="0.25">
      <c r="A285" s="1">
        <f t="shared" ca="1" si="4"/>
        <v>13057</v>
      </c>
      <c r="B285" s="35">
        <v>29934</v>
      </c>
      <c r="C285" s="36">
        <v>29866</v>
      </c>
      <c r="D285" s="2">
        <v>825</v>
      </c>
      <c r="E285" s="3">
        <v>855</v>
      </c>
      <c r="F285" s="4">
        <v>90</v>
      </c>
      <c r="G285" s="5">
        <v>20</v>
      </c>
      <c r="H285" s="6">
        <v>0</v>
      </c>
    </row>
    <row r="286" spans="1:8" x14ac:dyDescent="0.25">
      <c r="A286" s="1" t="str">
        <f t="shared" ca="1" si="4"/>
        <v>Totaal</v>
      </c>
      <c r="B286" s="37">
        <f>IF(COUNT(B256:B285)&gt;0,AVERAGE(B256:B285)/1000,"")</f>
        <v>29.948233333333334</v>
      </c>
      <c r="C286" s="38">
        <f>IF(COUNT(C256:C285)&gt;0,AVERAGE(C256:C285)/1000,"")</f>
        <v>29.857333333333333</v>
      </c>
      <c r="D286" s="39">
        <f>IF(COUNT(D256:D285)&gt;0,AVERAGE(D256:D285)/10,"")</f>
        <v>83.666666666666657</v>
      </c>
      <c r="E286" s="40">
        <f>IF(COUNT(E256:E285)&gt;0,AVERAGE(E256:E285)/10,"")</f>
        <v>86.36666666666666</v>
      </c>
      <c r="F286" s="23">
        <f>SUM(F256:F285)/10</f>
        <v>30.7</v>
      </c>
      <c r="G286" s="24">
        <f>SUM(G256:G285)/10</f>
        <v>43.3</v>
      </c>
      <c r="H286" s="25">
        <f>SUM(H256:H285)/10</f>
        <v>13.2</v>
      </c>
    </row>
    <row r="287" spans="1:8" x14ac:dyDescent="0.25">
      <c r="A287" s="1">
        <f t="shared" ca="1" si="4"/>
        <v>13058</v>
      </c>
      <c r="B287" s="35">
        <v>29924</v>
      </c>
      <c r="C287" s="36">
        <v>29845</v>
      </c>
      <c r="D287" s="2">
        <v>825</v>
      </c>
      <c r="E287" s="3">
        <v>860</v>
      </c>
      <c r="F287" s="4">
        <v>0</v>
      </c>
      <c r="G287" s="5">
        <v>40</v>
      </c>
      <c r="H287" s="6">
        <v>0</v>
      </c>
    </row>
    <row r="288" spans="1:8" x14ac:dyDescent="0.25">
      <c r="A288" s="1">
        <f t="shared" ca="1" si="4"/>
        <v>13059</v>
      </c>
      <c r="B288" s="35">
        <v>29933</v>
      </c>
      <c r="C288" s="36">
        <v>29836</v>
      </c>
      <c r="D288" s="2">
        <v>830</v>
      </c>
      <c r="E288" s="3">
        <v>855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13060</v>
      </c>
      <c r="B289" s="35">
        <v>29881</v>
      </c>
      <c r="C289" s="36">
        <v>29816</v>
      </c>
      <c r="D289" s="2">
        <v>835</v>
      </c>
      <c r="E289" s="3">
        <v>855</v>
      </c>
      <c r="F289" s="4">
        <v>0</v>
      </c>
      <c r="G289" s="5">
        <v>0</v>
      </c>
      <c r="H289" s="6">
        <v>0</v>
      </c>
    </row>
    <row r="290" spans="1:8" x14ac:dyDescent="0.25">
      <c r="A290" s="1">
        <f t="shared" ca="1" si="4"/>
        <v>13061</v>
      </c>
      <c r="B290" s="35">
        <v>29933</v>
      </c>
      <c r="C290" s="36">
        <v>29845</v>
      </c>
      <c r="D290" s="2">
        <v>830</v>
      </c>
      <c r="E290" s="3">
        <v>860</v>
      </c>
      <c r="F290" s="4">
        <v>0</v>
      </c>
      <c r="G290" s="5">
        <v>0</v>
      </c>
      <c r="H290" s="6">
        <v>0</v>
      </c>
    </row>
    <row r="291" spans="1:8" x14ac:dyDescent="0.25">
      <c r="A291" s="1">
        <f t="shared" ca="1" si="4"/>
        <v>13062</v>
      </c>
      <c r="B291" s="35">
        <v>29941</v>
      </c>
      <c r="C291" s="36">
        <v>29856</v>
      </c>
      <c r="D291" s="2">
        <v>835</v>
      </c>
      <c r="E291" s="3">
        <v>855</v>
      </c>
      <c r="F291" s="4">
        <v>0</v>
      </c>
      <c r="G291" s="5">
        <v>0</v>
      </c>
      <c r="H291" s="6">
        <v>29</v>
      </c>
    </row>
    <row r="292" spans="1:8" x14ac:dyDescent="0.25">
      <c r="A292" s="1">
        <f t="shared" ca="1" si="4"/>
        <v>13063</v>
      </c>
      <c r="B292" s="35">
        <v>29913</v>
      </c>
      <c r="C292" s="36">
        <v>29837</v>
      </c>
      <c r="D292" s="2">
        <v>830</v>
      </c>
      <c r="E292" s="3">
        <v>850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13064</v>
      </c>
      <c r="B293" s="35">
        <v>29883</v>
      </c>
      <c r="C293" s="36">
        <v>29751</v>
      </c>
      <c r="D293" s="2">
        <v>830</v>
      </c>
      <c r="E293" s="3">
        <v>840</v>
      </c>
      <c r="F293" s="4">
        <v>181</v>
      </c>
      <c r="G293" s="5">
        <v>124</v>
      </c>
      <c r="H293" s="6">
        <v>0</v>
      </c>
    </row>
    <row r="294" spans="1:8" x14ac:dyDescent="0.25">
      <c r="A294" s="1">
        <f t="shared" ca="1" si="4"/>
        <v>13065</v>
      </c>
      <c r="B294" s="35">
        <v>29863</v>
      </c>
      <c r="C294" s="36">
        <v>29755</v>
      </c>
      <c r="D294" s="2">
        <v>830</v>
      </c>
      <c r="E294" s="3">
        <v>860</v>
      </c>
      <c r="F294" s="4">
        <v>0</v>
      </c>
      <c r="G294" s="5">
        <v>0</v>
      </c>
      <c r="H294" s="6">
        <v>0</v>
      </c>
    </row>
    <row r="295" spans="1:8" x14ac:dyDescent="0.25">
      <c r="A295" s="1">
        <f t="shared" ca="1" si="4"/>
        <v>13066</v>
      </c>
      <c r="B295" s="35">
        <v>29921</v>
      </c>
      <c r="C295" s="36">
        <v>29867</v>
      </c>
      <c r="D295" s="2">
        <v>835</v>
      </c>
      <c r="E295" s="3">
        <v>850</v>
      </c>
      <c r="F295" s="4">
        <v>75</v>
      </c>
      <c r="G295" s="5">
        <v>0</v>
      </c>
      <c r="H295" s="6">
        <v>0</v>
      </c>
    </row>
    <row r="296" spans="1:8" x14ac:dyDescent="0.25">
      <c r="A296" s="1">
        <f t="shared" ca="1" si="4"/>
        <v>13067</v>
      </c>
      <c r="B296" s="35">
        <v>29980</v>
      </c>
      <c r="C296" s="36">
        <v>29926</v>
      </c>
      <c r="D296" s="2">
        <v>835</v>
      </c>
      <c r="E296" s="3">
        <v>855</v>
      </c>
      <c r="F296" s="4">
        <v>0</v>
      </c>
      <c r="G296" s="5">
        <v>0</v>
      </c>
      <c r="H296" s="6">
        <v>0</v>
      </c>
    </row>
    <row r="297" spans="1:8" x14ac:dyDescent="0.25">
      <c r="A297" s="1">
        <f t="shared" ca="1" si="4"/>
        <v>13068</v>
      </c>
      <c r="B297" s="35">
        <v>30009</v>
      </c>
      <c r="C297" s="36">
        <v>29895</v>
      </c>
      <c r="D297" s="2">
        <v>840</v>
      </c>
      <c r="E297" s="3">
        <v>860</v>
      </c>
      <c r="F297" s="4">
        <v>0</v>
      </c>
      <c r="G297" s="5">
        <v>0</v>
      </c>
      <c r="H297" s="6">
        <v>0</v>
      </c>
    </row>
    <row r="298" spans="1:8" x14ac:dyDescent="0.25">
      <c r="A298" s="1">
        <f t="shared" ca="1" si="4"/>
        <v>13069</v>
      </c>
      <c r="B298" s="35">
        <v>29960</v>
      </c>
      <c r="C298" s="36">
        <v>29856</v>
      </c>
      <c r="D298" s="2">
        <v>835</v>
      </c>
      <c r="E298" s="3">
        <v>855</v>
      </c>
      <c r="F298" s="4">
        <v>0</v>
      </c>
      <c r="G298" s="5">
        <v>0</v>
      </c>
      <c r="H298" s="6">
        <v>0</v>
      </c>
    </row>
    <row r="299" spans="1:8" x14ac:dyDescent="0.25">
      <c r="A299" s="1">
        <f t="shared" ca="1" si="4"/>
        <v>13070</v>
      </c>
      <c r="B299" s="35">
        <v>29921</v>
      </c>
      <c r="C299" s="36">
        <v>29845</v>
      </c>
      <c r="D299" s="2">
        <v>835</v>
      </c>
      <c r="E299" s="3">
        <v>860</v>
      </c>
      <c r="F299" s="4">
        <v>0</v>
      </c>
      <c r="G299" s="5">
        <v>0</v>
      </c>
      <c r="H299" s="6">
        <v>0</v>
      </c>
    </row>
    <row r="300" spans="1:8" x14ac:dyDescent="0.25">
      <c r="A300" s="1">
        <f t="shared" ca="1" si="4"/>
        <v>13071</v>
      </c>
      <c r="B300" s="35">
        <v>29913</v>
      </c>
      <c r="C300" s="36">
        <v>29805</v>
      </c>
      <c r="D300" s="2">
        <v>830</v>
      </c>
      <c r="E300" s="3">
        <v>860</v>
      </c>
      <c r="F300" s="4">
        <v>0</v>
      </c>
      <c r="G300" s="5">
        <v>0</v>
      </c>
      <c r="H300" s="6">
        <v>0</v>
      </c>
    </row>
    <row r="301" spans="1:8" x14ac:dyDescent="0.25">
      <c r="A301" s="1">
        <f t="shared" ca="1" si="4"/>
        <v>13072</v>
      </c>
      <c r="B301" s="35">
        <v>29914</v>
      </c>
      <c r="C301" s="36">
        <v>29803</v>
      </c>
      <c r="D301" s="2">
        <v>825</v>
      </c>
      <c r="E301" s="3">
        <v>830</v>
      </c>
      <c r="F301" s="4">
        <v>335</v>
      </c>
      <c r="G301" s="5">
        <v>0</v>
      </c>
      <c r="H301" s="6">
        <v>96</v>
      </c>
    </row>
    <row r="302" spans="1:8" x14ac:dyDescent="0.25">
      <c r="A302" s="1">
        <f t="shared" ca="1" si="4"/>
        <v>13073</v>
      </c>
      <c r="B302" s="35">
        <v>29894</v>
      </c>
      <c r="C302" s="36">
        <v>29776</v>
      </c>
      <c r="D302" s="2">
        <v>825</v>
      </c>
      <c r="E302" s="3">
        <v>855</v>
      </c>
      <c r="F302" s="4">
        <v>0</v>
      </c>
      <c r="G302" s="5">
        <v>127</v>
      </c>
      <c r="H302" s="6">
        <v>0</v>
      </c>
    </row>
    <row r="303" spans="1:8" x14ac:dyDescent="0.25">
      <c r="A303" s="1">
        <f t="shared" ca="1" si="4"/>
        <v>13074</v>
      </c>
      <c r="B303" s="35">
        <v>29873</v>
      </c>
      <c r="C303" s="36">
        <v>29776</v>
      </c>
      <c r="D303" s="2">
        <v>830</v>
      </c>
      <c r="E303" s="3">
        <v>855</v>
      </c>
      <c r="F303" s="4">
        <v>0</v>
      </c>
      <c r="G303" s="5">
        <v>0</v>
      </c>
      <c r="H303" s="6">
        <v>0</v>
      </c>
    </row>
    <row r="304" spans="1:8" x14ac:dyDescent="0.25">
      <c r="A304" s="1">
        <f t="shared" ca="1" si="4"/>
        <v>13075</v>
      </c>
      <c r="B304" s="35">
        <v>29895</v>
      </c>
      <c r="C304" s="36">
        <v>29790</v>
      </c>
      <c r="D304" s="2">
        <v>820</v>
      </c>
      <c r="E304" s="3">
        <v>840</v>
      </c>
      <c r="F304" s="4">
        <v>0</v>
      </c>
      <c r="G304" s="5">
        <v>0</v>
      </c>
      <c r="H304" s="6">
        <v>0</v>
      </c>
    </row>
    <row r="305" spans="1:8" x14ac:dyDescent="0.25">
      <c r="A305" s="1">
        <f t="shared" ca="1" si="4"/>
        <v>13076</v>
      </c>
      <c r="B305" s="35">
        <v>29913</v>
      </c>
      <c r="C305" s="36">
        <v>29806</v>
      </c>
      <c r="D305" s="2">
        <v>830</v>
      </c>
      <c r="E305" s="3">
        <v>855</v>
      </c>
      <c r="F305" s="4">
        <v>0</v>
      </c>
      <c r="G305" s="5">
        <v>0</v>
      </c>
      <c r="H305" s="6">
        <v>121</v>
      </c>
    </row>
    <row r="306" spans="1:8" x14ac:dyDescent="0.25">
      <c r="A306" s="1">
        <f t="shared" ca="1" si="4"/>
        <v>13077</v>
      </c>
      <c r="B306" s="35">
        <v>29944</v>
      </c>
      <c r="C306" s="36">
        <v>29845</v>
      </c>
      <c r="D306" s="2">
        <v>825</v>
      </c>
      <c r="E306" s="3">
        <v>860</v>
      </c>
      <c r="F306" s="4">
        <v>12</v>
      </c>
      <c r="G306" s="5">
        <v>75</v>
      </c>
      <c r="H306" s="6">
        <v>0</v>
      </c>
    </row>
    <row r="307" spans="1:8" x14ac:dyDescent="0.25">
      <c r="A307" s="1">
        <f t="shared" ca="1" si="4"/>
        <v>13078</v>
      </c>
      <c r="B307" s="35">
        <v>29962</v>
      </c>
      <c r="C307" s="36">
        <v>29866</v>
      </c>
      <c r="D307" s="2">
        <v>830</v>
      </c>
      <c r="E307" s="3">
        <v>855</v>
      </c>
      <c r="F307" s="4">
        <v>0</v>
      </c>
      <c r="G307" s="5">
        <v>0</v>
      </c>
      <c r="H307" s="6">
        <v>0</v>
      </c>
    </row>
    <row r="308" spans="1:8" x14ac:dyDescent="0.25">
      <c r="A308" s="1">
        <f t="shared" ca="1" si="4"/>
        <v>13079</v>
      </c>
      <c r="B308" s="35">
        <v>29924</v>
      </c>
      <c r="C308" s="36">
        <v>29797</v>
      </c>
      <c r="D308" s="2">
        <v>825</v>
      </c>
      <c r="E308" s="3">
        <v>850</v>
      </c>
      <c r="F308" s="4">
        <v>0</v>
      </c>
      <c r="G308" s="5">
        <v>0</v>
      </c>
      <c r="H308" s="6">
        <v>0</v>
      </c>
    </row>
    <row r="309" spans="1:8" x14ac:dyDescent="0.25">
      <c r="A309" s="1">
        <f t="shared" ca="1" si="4"/>
        <v>13080</v>
      </c>
      <c r="B309" s="35">
        <v>29893</v>
      </c>
      <c r="C309" s="36">
        <v>29787</v>
      </c>
      <c r="D309" s="2">
        <v>830</v>
      </c>
      <c r="E309" s="3">
        <v>850</v>
      </c>
      <c r="F309" s="4">
        <v>0</v>
      </c>
      <c r="G309" s="5">
        <v>0</v>
      </c>
      <c r="H309" s="6">
        <v>0</v>
      </c>
    </row>
    <row r="310" spans="1:8" x14ac:dyDescent="0.25">
      <c r="A310" s="1">
        <f t="shared" ca="1" si="4"/>
        <v>13081</v>
      </c>
      <c r="B310" s="35">
        <v>29893</v>
      </c>
      <c r="C310" s="36">
        <v>29785</v>
      </c>
      <c r="D310" s="2">
        <v>830</v>
      </c>
      <c r="E310" s="3">
        <v>860</v>
      </c>
      <c r="F310" s="4">
        <v>0</v>
      </c>
      <c r="G310" s="5">
        <v>0</v>
      </c>
      <c r="H310" s="6">
        <v>0</v>
      </c>
    </row>
    <row r="311" spans="1:8" x14ac:dyDescent="0.25">
      <c r="A311" s="1">
        <f t="shared" ca="1" si="4"/>
        <v>13082</v>
      </c>
      <c r="B311" s="35">
        <v>29890</v>
      </c>
      <c r="C311" s="36">
        <v>29815</v>
      </c>
      <c r="D311" s="2">
        <v>840</v>
      </c>
      <c r="E311" s="3">
        <v>860</v>
      </c>
      <c r="F311" s="4">
        <v>0</v>
      </c>
      <c r="G311" s="5">
        <v>0</v>
      </c>
      <c r="H311" s="6">
        <v>0</v>
      </c>
    </row>
    <row r="312" spans="1:8" x14ac:dyDescent="0.25">
      <c r="A312" s="1">
        <f t="shared" ca="1" si="4"/>
        <v>13083</v>
      </c>
      <c r="B312" s="35">
        <v>29931</v>
      </c>
      <c r="C312" s="36">
        <v>29833</v>
      </c>
      <c r="D312" s="2">
        <v>835</v>
      </c>
      <c r="E312" s="3">
        <v>865</v>
      </c>
      <c r="F312" s="4">
        <v>0</v>
      </c>
      <c r="G312" s="5">
        <v>0</v>
      </c>
      <c r="H312" s="6">
        <v>0</v>
      </c>
    </row>
    <row r="313" spans="1:8" x14ac:dyDescent="0.25">
      <c r="A313" s="1">
        <f t="shared" ca="1" si="4"/>
        <v>13084</v>
      </c>
      <c r="B313" s="35">
        <v>29933</v>
      </c>
      <c r="C313" s="36">
        <v>29845</v>
      </c>
      <c r="D313" s="2">
        <v>830</v>
      </c>
      <c r="E313" s="3">
        <v>860</v>
      </c>
      <c r="F313" s="4">
        <v>0</v>
      </c>
      <c r="G313" s="5">
        <v>0</v>
      </c>
      <c r="H313" s="6">
        <v>0</v>
      </c>
    </row>
    <row r="314" spans="1:8" x14ac:dyDescent="0.25">
      <c r="A314" s="1">
        <f t="shared" ca="1" si="4"/>
        <v>13085</v>
      </c>
      <c r="B314" s="35">
        <v>29921</v>
      </c>
      <c r="C314" s="36">
        <v>29849</v>
      </c>
      <c r="D314" s="2">
        <v>835</v>
      </c>
      <c r="E314" s="3">
        <v>845</v>
      </c>
      <c r="F314" s="4">
        <v>0</v>
      </c>
      <c r="G314" s="5">
        <v>64</v>
      </c>
      <c r="H314" s="6">
        <v>0</v>
      </c>
    </row>
    <row r="315" spans="1:8" x14ac:dyDescent="0.25">
      <c r="A315" s="1">
        <f t="shared" ca="1" si="4"/>
        <v>13086</v>
      </c>
      <c r="B315" s="35">
        <v>29970</v>
      </c>
      <c r="C315" s="36">
        <v>29856</v>
      </c>
      <c r="D315" s="2">
        <v>835</v>
      </c>
      <c r="E315" s="3">
        <v>855</v>
      </c>
      <c r="F315" s="4">
        <v>0</v>
      </c>
      <c r="G315" s="5">
        <v>0</v>
      </c>
      <c r="H315" s="6">
        <v>0</v>
      </c>
    </row>
    <row r="316" spans="1:8" x14ac:dyDescent="0.25">
      <c r="A316" s="1">
        <f t="shared" ca="1" si="4"/>
        <v>13087</v>
      </c>
      <c r="B316" s="35">
        <v>29957</v>
      </c>
      <c r="C316" s="36">
        <v>29863</v>
      </c>
      <c r="D316" s="2">
        <v>815</v>
      </c>
      <c r="E316" s="3">
        <v>830</v>
      </c>
      <c r="F316" s="4">
        <v>89</v>
      </c>
      <c r="G316" s="5">
        <v>56</v>
      </c>
      <c r="H316" s="6">
        <v>129</v>
      </c>
    </row>
    <row r="317" spans="1:8" x14ac:dyDescent="0.25">
      <c r="A317" s="1">
        <f t="shared" ca="1" si="4"/>
        <v>13088</v>
      </c>
      <c r="B317" s="35">
        <v>29928</v>
      </c>
      <c r="C317" s="36">
        <v>29831</v>
      </c>
      <c r="D317" s="2">
        <v>810</v>
      </c>
      <c r="E317" s="3">
        <v>800</v>
      </c>
      <c r="F317" s="4">
        <v>660</v>
      </c>
      <c r="G317" s="5">
        <v>687</v>
      </c>
      <c r="H317" s="6">
        <v>375</v>
      </c>
    </row>
    <row r="318" spans="1:8" x14ac:dyDescent="0.25">
      <c r="A318" s="1" t="str">
        <f t="shared" ca="1" si="4"/>
        <v>Totaal</v>
      </c>
      <c r="B318" s="37">
        <f>IF(COUNT(B287:B317)&gt;0,AVERAGE(B287:B317)/1000,"")</f>
        <v>29.922903225806451</v>
      </c>
      <c r="C318" s="38">
        <f>IF(COUNT(C287:C317)&gt;0,AVERAGE(C287:C317)/1000,"")</f>
        <v>29.827677419354838</v>
      </c>
      <c r="D318" s="39">
        <f>IF(COUNT(D287:D317)&gt;0,AVERAGE(D287:D317)/10,"")</f>
        <v>82.983870967741936</v>
      </c>
      <c r="E318" s="40">
        <f>IF(COUNT(E287:E317)&gt;0,AVERAGE(E287:E317)/10,"")</f>
        <v>85.161290322580641</v>
      </c>
      <c r="F318" s="23">
        <f>SUM(F287:F317)/10</f>
        <v>135.19999999999999</v>
      </c>
      <c r="G318" s="24">
        <f>SUM(G287:G317)/10</f>
        <v>117.3</v>
      </c>
      <c r="H318" s="25">
        <f>SUM(H287:H317)/10</f>
        <v>75</v>
      </c>
    </row>
    <row r="319" spans="1:8" x14ac:dyDescent="0.25">
      <c r="A319" s="1">
        <f t="shared" ca="1" si="4"/>
        <v>13089</v>
      </c>
      <c r="B319" s="35">
        <v>29919</v>
      </c>
      <c r="C319" s="36">
        <v>29848</v>
      </c>
      <c r="D319" s="2">
        <v>805</v>
      </c>
      <c r="E319" s="3">
        <v>810</v>
      </c>
      <c r="F319" s="4">
        <v>195</v>
      </c>
      <c r="G319" s="5">
        <v>70</v>
      </c>
      <c r="H319" s="6">
        <v>251</v>
      </c>
    </row>
    <row r="320" spans="1:8" x14ac:dyDescent="0.25">
      <c r="A320" s="1">
        <f t="shared" ca="1" si="4"/>
        <v>13090</v>
      </c>
      <c r="B320" s="35">
        <v>29921</v>
      </c>
      <c r="C320" s="36">
        <v>29856</v>
      </c>
      <c r="D320" s="2">
        <v>800</v>
      </c>
      <c r="E320" s="3">
        <v>855</v>
      </c>
      <c r="F320" s="4">
        <v>16</v>
      </c>
      <c r="G320" s="5">
        <v>0</v>
      </c>
      <c r="H320" s="6">
        <v>0</v>
      </c>
    </row>
    <row r="321" spans="1:8" x14ac:dyDescent="0.25">
      <c r="A321" s="1">
        <f t="shared" ca="1" si="4"/>
        <v>13091</v>
      </c>
      <c r="B321" s="35">
        <v>29913</v>
      </c>
      <c r="C321" s="36">
        <v>29837</v>
      </c>
      <c r="D321" s="2">
        <v>830</v>
      </c>
      <c r="E321" s="3">
        <v>850</v>
      </c>
      <c r="F321" s="4">
        <v>0</v>
      </c>
      <c r="G321" s="5">
        <v>0</v>
      </c>
      <c r="H321" s="6">
        <v>0</v>
      </c>
    </row>
    <row r="322" spans="1:8" x14ac:dyDescent="0.25">
      <c r="A322" s="1">
        <f t="shared" ca="1" si="4"/>
        <v>13092</v>
      </c>
      <c r="B322" s="35">
        <v>29905</v>
      </c>
      <c r="C322" s="36">
        <v>29809</v>
      </c>
      <c r="D322" s="2">
        <v>820</v>
      </c>
      <c r="E322" s="3">
        <v>845</v>
      </c>
      <c r="F322" s="4">
        <v>0</v>
      </c>
      <c r="G322" s="5">
        <v>0</v>
      </c>
      <c r="H322" s="6">
        <v>0</v>
      </c>
    </row>
    <row r="323" spans="1:8" x14ac:dyDescent="0.25">
      <c r="A323" s="1">
        <f t="shared" ca="1" si="4"/>
        <v>13093</v>
      </c>
      <c r="B323" s="35">
        <v>29915</v>
      </c>
      <c r="C323" s="36">
        <v>29795</v>
      </c>
      <c r="D323" s="2">
        <v>820</v>
      </c>
      <c r="E323" s="3">
        <v>820</v>
      </c>
      <c r="F323" s="4">
        <v>0</v>
      </c>
      <c r="G323" s="5">
        <v>122</v>
      </c>
      <c r="H323" s="6">
        <v>0</v>
      </c>
    </row>
    <row r="324" spans="1:8" x14ac:dyDescent="0.25">
      <c r="A324" s="1">
        <f t="shared" ca="1" si="4"/>
        <v>13094</v>
      </c>
      <c r="B324" s="35">
        <v>29935</v>
      </c>
      <c r="C324" s="36">
        <v>29830</v>
      </c>
      <c r="D324" s="2">
        <v>820</v>
      </c>
      <c r="E324" s="3">
        <v>840</v>
      </c>
      <c r="F324" s="4">
        <v>0</v>
      </c>
      <c r="G324" s="5">
        <v>0</v>
      </c>
      <c r="H324" s="6">
        <v>0</v>
      </c>
    </row>
    <row r="325" spans="1:8" x14ac:dyDescent="0.25">
      <c r="A325" s="1">
        <f t="shared" ca="1" si="4"/>
        <v>13095</v>
      </c>
      <c r="B325" s="35">
        <v>29935</v>
      </c>
      <c r="C325" s="36">
        <v>29853</v>
      </c>
      <c r="D325" s="2">
        <v>820</v>
      </c>
      <c r="E325" s="3">
        <v>830</v>
      </c>
      <c r="F325" s="4">
        <v>19</v>
      </c>
      <c r="G325" s="5">
        <v>0</v>
      </c>
      <c r="H325" s="6">
        <v>89</v>
      </c>
    </row>
    <row r="326" spans="1:8" x14ac:dyDescent="0.25">
      <c r="A326" s="1">
        <f t="shared" ca="1" si="4"/>
        <v>13096</v>
      </c>
      <c r="B326" s="35">
        <v>29935</v>
      </c>
      <c r="C326" s="36">
        <v>29810</v>
      </c>
      <c r="D326" s="2">
        <v>820</v>
      </c>
      <c r="E326" s="3">
        <v>840</v>
      </c>
      <c r="F326" s="4">
        <v>0</v>
      </c>
      <c r="G326" s="5">
        <v>133</v>
      </c>
      <c r="H326" s="6">
        <v>136</v>
      </c>
    </row>
    <row r="327" spans="1:8" x14ac:dyDescent="0.25">
      <c r="A327" s="1">
        <f t="shared" ref="A327:A381" ca="1" si="5">IF(ISTEXT(A326),A325+1,IF(MONTH(A326+1)=MONTH(A326),A326+1,"Totaal"))</f>
        <v>13097</v>
      </c>
      <c r="B327" s="35">
        <v>29927</v>
      </c>
      <c r="C327" s="36">
        <v>29831</v>
      </c>
      <c r="D327" s="2">
        <v>815</v>
      </c>
      <c r="E327" s="3">
        <v>800</v>
      </c>
      <c r="F327" s="4">
        <v>255</v>
      </c>
      <c r="G327" s="5">
        <v>218</v>
      </c>
      <c r="H327" s="6">
        <v>443</v>
      </c>
    </row>
    <row r="328" spans="1:8" x14ac:dyDescent="0.25">
      <c r="A328" s="1">
        <f t="shared" ca="1" si="5"/>
        <v>13098</v>
      </c>
      <c r="B328" s="35">
        <v>29921</v>
      </c>
      <c r="C328" s="36">
        <v>29803</v>
      </c>
      <c r="D328" s="2">
        <v>835</v>
      </c>
      <c r="E328" s="3">
        <v>830</v>
      </c>
      <c r="F328" s="4">
        <v>0</v>
      </c>
      <c r="G328" s="5">
        <v>0</v>
      </c>
      <c r="H328" s="6">
        <v>0</v>
      </c>
    </row>
    <row r="329" spans="1:8" x14ac:dyDescent="0.25">
      <c r="A329" s="1">
        <f t="shared" ca="1" si="5"/>
        <v>13099</v>
      </c>
      <c r="B329" s="35">
        <v>29938</v>
      </c>
      <c r="C329" s="36">
        <v>29824</v>
      </c>
      <c r="D329" s="2">
        <v>810</v>
      </c>
      <c r="E329" s="3">
        <v>825</v>
      </c>
      <c r="F329" s="4">
        <v>57</v>
      </c>
      <c r="G329" s="5">
        <v>47</v>
      </c>
      <c r="H329" s="6">
        <v>0</v>
      </c>
    </row>
    <row r="330" spans="1:8" x14ac:dyDescent="0.25">
      <c r="A330" s="1">
        <f t="shared" ca="1" si="5"/>
        <v>13100</v>
      </c>
      <c r="B330" s="35">
        <v>29899</v>
      </c>
      <c r="C330" s="36">
        <v>29814</v>
      </c>
      <c r="D330" s="2">
        <v>805</v>
      </c>
      <c r="E330" s="3">
        <v>825</v>
      </c>
      <c r="F330" s="4">
        <v>0</v>
      </c>
      <c r="G330" s="5">
        <v>0</v>
      </c>
      <c r="H330" s="6">
        <v>0</v>
      </c>
    </row>
    <row r="331" spans="1:8" x14ac:dyDescent="0.25">
      <c r="A331" s="1">
        <f t="shared" ca="1" si="5"/>
        <v>13101</v>
      </c>
      <c r="B331" s="35">
        <v>29918</v>
      </c>
      <c r="C331" s="36">
        <v>29834</v>
      </c>
      <c r="D331" s="2">
        <v>810</v>
      </c>
      <c r="E331" s="3">
        <v>825</v>
      </c>
      <c r="F331" s="4">
        <v>57</v>
      </c>
      <c r="G331" s="5">
        <v>0</v>
      </c>
      <c r="H331" s="6">
        <v>0</v>
      </c>
    </row>
    <row r="332" spans="1:8" x14ac:dyDescent="0.25">
      <c r="A332" s="1">
        <f t="shared" ca="1" si="5"/>
        <v>13102</v>
      </c>
      <c r="B332" s="35">
        <v>29917</v>
      </c>
      <c r="C332" s="36">
        <v>29831</v>
      </c>
      <c r="D332" s="2">
        <v>815</v>
      </c>
      <c r="E332" s="3">
        <v>835</v>
      </c>
      <c r="F332" s="4">
        <v>8</v>
      </c>
      <c r="G332" s="5">
        <v>0</v>
      </c>
      <c r="H332" s="6">
        <v>0</v>
      </c>
    </row>
    <row r="333" spans="1:8" x14ac:dyDescent="0.25">
      <c r="A333" s="1">
        <f t="shared" ca="1" si="5"/>
        <v>13103</v>
      </c>
      <c r="B333" s="35">
        <v>29915</v>
      </c>
      <c r="C333" s="36">
        <v>29819</v>
      </c>
      <c r="D333" s="2">
        <v>820</v>
      </c>
      <c r="E333" s="3">
        <v>845</v>
      </c>
      <c r="F333" s="4">
        <v>0</v>
      </c>
      <c r="G333" s="5">
        <v>0</v>
      </c>
      <c r="H333" s="6">
        <v>0</v>
      </c>
    </row>
    <row r="334" spans="1:8" x14ac:dyDescent="0.25">
      <c r="A334" s="1">
        <f t="shared" ca="1" si="5"/>
        <v>13104</v>
      </c>
      <c r="B334" s="35">
        <v>29915</v>
      </c>
      <c r="C334" s="36">
        <v>29835</v>
      </c>
      <c r="D334" s="2">
        <v>820</v>
      </c>
      <c r="E334" s="3">
        <v>820</v>
      </c>
      <c r="F334" s="4">
        <v>0</v>
      </c>
      <c r="G334" s="5">
        <v>0</v>
      </c>
      <c r="H334" s="6">
        <v>0</v>
      </c>
    </row>
    <row r="335" spans="1:8" x14ac:dyDescent="0.25">
      <c r="A335" s="1">
        <f t="shared" ca="1" si="5"/>
        <v>13105</v>
      </c>
      <c r="B335" s="35">
        <v>29919</v>
      </c>
      <c r="C335" s="36">
        <v>29816</v>
      </c>
      <c r="D335" s="2">
        <v>805</v>
      </c>
      <c r="E335" s="3">
        <v>855</v>
      </c>
      <c r="F335" s="4">
        <v>0</v>
      </c>
      <c r="G335" s="5">
        <v>71</v>
      </c>
      <c r="H335" s="6">
        <v>0</v>
      </c>
    </row>
    <row r="336" spans="1:8" x14ac:dyDescent="0.25">
      <c r="A336" s="1">
        <f t="shared" ca="1" si="5"/>
        <v>13106</v>
      </c>
      <c r="B336" s="35">
        <v>29924</v>
      </c>
      <c r="C336" s="36">
        <v>29820</v>
      </c>
      <c r="D336" s="2">
        <v>820</v>
      </c>
      <c r="E336" s="3">
        <v>840</v>
      </c>
      <c r="F336" s="4">
        <v>0</v>
      </c>
      <c r="G336" s="5">
        <v>0</v>
      </c>
      <c r="H336" s="6">
        <v>0</v>
      </c>
    </row>
    <row r="337" spans="1:8" x14ac:dyDescent="0.25">
      <c r="A337" s="1">
        <f t="shared" ca="1" si="5"/>
        <v>13107</v>
      </c>
      <c r="B337" s="35">
        <v>29944</v>
      </c>
      <c r="C337" s="36">
        <v>29863</v>
      </c>
      <c r="D337" s="2">
        <v>825</v>
      </c>
      <c r="E337" s="3">
        <v>830</v>
      </c>
      <c r="F337" s="4">
        <v>0</v>
      </c>
      <c r="G337" s="5">
        <v>0</v>
      </c>
      <c r="H337" s="6">
        <v>0</v>
      </c>
    </row>
    <row r="338" spans="1:8" x14ac:dyDescent="0.25">
      <c r="A338" s="1">
        <f t="shared" ca="1" si="5"/>
        <v>13108</v>
      </c>
      <c r="B338" s="35">
        <v>29925</v>
      </c>
      <c r="C338" s="36">
        <v>29841</v>
      </c>
      <c r="D338" s="2">
        <v>820</v>
      </c>
      <c r="E338" s="3">
        <v>835</v>
      </c>
      <c r="F338" s="4">
        <v>9</v>
      </c>
      <c r="G338" s="5">
        <v>45</v>
      </c>
      <c r="H338" s="6">
        <v>0</v>
      </c>
    </row>
    <row r="339" spans="1:8" x14ac:dyDescent="0.25">
      <c r="A339" s="1">
        <f t="shared" ca="1" si="5"/>
        <v>13109</v>
      </c>
      <c r="B339" s="35">
        <v>29925</v>
      </c>
      <c r="C339" s="36">
        <v>29820</v>
      </c>
      <c r="D339" s="2">
        <v>820</v>
      </c>
      <c r="E339" s="3">
        <v>840</v>
      </c>
      <c r="F339" s="4">
        <v>22</v>
      </c>
      <c r="G339" s="5">
        <v>0</v>
      </c>
      <c r="H339" s="6">
        <v>122</v>
      </c>
    </row>
    <row r="340" spans="1:8" x14ac:dyDescent="0.25">
      <c r="A340" s="1">
        <f t="shared" ca="1" si="5"/>
        <v>13110</v>
      </c>
      <c r="B340" s="35">
        <v>29945</v>
      </c>
      <c r="C340" s="36">
        <v>29860</v>
      </c>
      <c r="D340" s="2">
        <v>820</v>
      </c>
      <c r="E340" s="3">
        <v>840</v>
      </c>
      <c r="F340" s="4">
        <v>0</v>
      </c>
      <c r="G340" s="5">
        <v>0</v>
      </c>
      <c r="H340" s="6">
        <v>0</v>
      </c>
    </row>
    <row r="341" spans="1:8" x14ac:dyDescent="0.25">
      <c r="A341" s="1">
        <f t="shared" ca="1" si="5"/>
        <v>13111</v>
      </c>
      <c r="B341" s="35">
        <v>29954</v>
      </c>
      <c r="C341" s="36">
        <v>29871</v>
      </c>
      <c r="D341" s="2">
        <v>825</v>
      </c>
      <c r="E341" s="3">
        <v>835</v>
      </c>
      <c r="F341" s="4">
        <v>0</v>
      </c>
      <c r="G341" s="5">
        <v>0</v>
      </c>
      <c r="H341" s="6">
        <v>0</v>
      </c>
    </row>
    <row r="342" spans="1:8" x14ac:dyDescent="0.25">
      <c r="A342" s="1">
        <f t="shared" ca="1" si="5"/>
        <v>13112</v>
      </c>
      <c r="B342" s="35">
        <v>29987</v>
      </c>
      <c r="C342" s="36">
        <v>29889</v>
      </c>
      <c r="D342" s="2">
        <v>810</v>
      </c>
      <c r="E342" s="3">
        <v>845</v>
      </c>
      <c r="F342" s="4">
        <v>40</v>
      </c>
      <c r="G342" s="5">
        <v>0</v>
      </c>
      <c r="H342" s="6">
        <v>38</v>
      </c>
    </row>
    <row r="343" spans="1:8" x14ac:dyDescent="0.25">
      <c r="A343" s="1">
        <f t="shared" ca="1" si="5"/>
        <v>13113</v>
      </c>
      <c r="B343" s="35">
        <v>30007</v>
      </c>
      <c r="C343" s="36">
        <v>29905</v>
      </c>
      <c r="D343" s="2">
        <v>810</v>
      </c>
      <c r="E343" s="3">
        <v>840</v>
      </c>
      <c r="F343" s="4">
        <v>0</v>
      </c>
      <c r="G343" s="5">
        <v>140</v>
      </c>
      <c r="H343" s="6">
        <v>0</v>
      </c>
    </row>
    <row r="344" spans="1:8" x14ac:dyDescent="0.25">
      <c r="A344" s="1">
        <f t="shared" ca="1" si="5"/>
        <v>13114</v>
      </c>
      <c r="B344" s="35">
        <v>29968</v>
      </c>
      <c r="C344" s="36">
        <v>29885</v>
      </c>
      <c r="D344" s="2">
        <v>805</v>
      </c>
      <c r="E344" s="3">
        <v>820</v>
      </c>
      <c r="F344" s="4">
        <v>0</v>
      </c>
      <c r="G344" s="5">
        <v>0</v>
      </c>
      <c r="H344" s="6">
        <v>0</v>
      </c>
    </row>
    <row r="345" spans="1:8" x14ac:dyDescent="0.25">
      <c r="A345" s="1">
        <f t="shared" ca="1" si="5"/>
        <v>13115</v>
      </c>
      <c r="B345" s="35">
        <v>30008</v>
      </c>
      <c r="C345" s="36">
        <v>29933</v>
      </c>
      <c r="D345" s="2">
        <v>805</v>
      </c>
      <c r="E345" s="3">
        <v>830</v>
      </c>
      <c r="F345" s="4">
        <v>53</v>
      </c>
      <c r="G345" s="5">
        <v>0</v>
      </c>
      <c r="H345" s="6">
        <v>0</v>
      </c>
    </row>
    <row r="346" spans="1:8" x14ac:dyDescent="0.25">
      <c r="A346" s="1">
        <f t="shared" ca="1" si="5"/>
        <v>13116</v>
      </c>
      <c r="B346" s="35">
        <v>29987</v>
      </c>
      <c r="C346" s="36">
        <v>29901</v>
      </c>
      <c r="D346" s="2">
        <v>810</v>
      </c>
      <c r="E346" s="3">
        <v>835</v>
      </c>
      <c r="F346" s="4">
        <v>0</v>
      </c>
      <c r="G346" s="5">
        <v>51</v>
      </c>
      <c r="H346" s="6">
        <v>60</v>
      </c>
    </row>
    <row r="347" spans="1:8" x14ac:dyDescent="0.25">
      <c r="A347" s="1">
        <f t="shared" ca="1" si="5"/>
        <v>13117</v>
      </c>
      <c r="B347" s="35">
        <v>29958</v>
      </c>
      <c r="C347" s="36">
        <v>29874</v>
      </c>
      <c r="D347" s="2">
        <v>810</v>
      </c>
      <c r="E347" s="3">
        <v>825</v>
      </c>
      <c r="F347" s="4">
        <v>0</v>
      </c>
      <c r="G347" s="5">
        <v>30</v>
      </c>
      <c r="H347" s="6">
        <v>0</v>
      </c>
    </row>
    <row r="348" spans="1:8" x14ac:dyDescent="0.25">
      <c r="A348" s="1">
        <f t="shared" ca="1" si="5"/>
        <v>13118</v>
      </c>
      <c r="B348" s="35">
        <v>29937</v>
      </c>
      <c r="C348" s="36">
        <v>29853</v>
      </c>
      <c r="D348" s="2">
        <v>815</v>
      </c>
      <c r="E348" s="3">
        <v>830</v>
      </c>
      <c r="F348" s="4">
        <v>0</v>
      </c>
      <c r="G348" s="5">
        <v>165</v>
      </c>
      <c r="H348" s="6">
        <v>0</v>
      </c>
    </row>
    <row r="349" spans="1:8" x14ac:dyDescent="0.25">
      <c r="A349" s="1" t="str">
        <f t="shared" ca="1" si="5"/>
        <v>Totaal</v>
      </c>
      <c r="B349" s="37">
        <f>IF(COUNT(B319:B348)&gt;0,AVERAGE(B319:B348)/1000,"")</f>
        <v>29.937200000000001</v>
      </c>
      <c r="C349" s="38">
        <f>IF(COUNT(C319:C348)&gt;0,AVERAGE(C319:C348)/1000,"")</f>
        <v>29.845333333333333</v>
      </c>
      <c r="D349" s="39">
        <f>IF(COUNT(D319:D348)&gt;0,AVERAGE(D319:D348)/10,"")</f>
        <v>81.55</v>
      </c>
      <c r="E349" s="40">
        <f>IF(COUNT(E319:E348)&gt;0,AVERAGE(E319:E348)/10,"")</f>
        <v>83.316666666666663</v>
      </c>
      <c r="F349" s="23">
        <f>SUM(F319:F348)/10</f>
        <v>73.099999999999994</v>
      </c>
      <c r="G349" s="24">
        <f>SUM(G319:G348)/10</f>
        <v>109.2</v>
      </c>
      <c r="H349" s="25">
        <f>SUM(H319:H348)/10</f>
        <v>113.9</v>
      </c>
    </row>
    <row r="350" spans="1:8" x14ac:dyDescent="0.25">
      <c r="A350" s="1">
        <f t="shared" ca="1" si="5"/>
        <v>13119</v>
      </c>
      <c r="B350" s="35">
        <v>29968</v>
      </c>
      <c r="C350" s="36">
        <v>29871</v>
      </c>
      <c r="D350" s="2">
        <v>805</v>
      </c>
      <c r="E350" s="3">
        <v>835</v>
      </c>
      <c r="F350" s="4">
        <v>0</v>
      </c>
      <c r="G350" s="5">
        <v>34</v>
      </c>
      <c r="H350" s="6">
        <v>0</v>
      </c>
    </row>
    <row r="351" spans="1:8" x14ac:dyDescent="0.25">
      <c r="A351" s="1">
        <f t="shared" ca="1" si="5"/>
        <v>13120</v>
      </c>
      <c r="B351" s="35">
        <v>29976</v>
      </c>
      <c r="C351" s="36">
        <v>29880</v>
      </c>
      <c r="D351" s="2">
        <v>815</v>
      </c>
      <c r="E351" s="3">
        <v>840</v>
      </c>
      <c r="F351" s="4">
        <v>0</v>
      </c>
      <c r="G351" s="5">
        <v>0</v>
      </c>
      <c r="H351" s="6">
        <v>0</v>
      </c>
    </row>
    <row r="352" spans="1:8" x14ac:dyDescent="0.25">
      <c r="A352" s="1">
        <f t="shared" ca="1" si="5"/>
        <v>13121</v>
      </c>
      <c r="B352" s="35">
        <v>29966</v>
      </c>
      <c r="C352" s="36">
        <v>29873</v>
      </c>
      <c r="D352" s="2">
        <v>815</v>
      </c>
      <c r="E352" s="3">
        <v>830</v>
      </c>
      <c r="F352" s="4">
        <v>64</v>
      </c>
      <c r="G352" s="5">
        <v>55</v>
      </c>
      <c r="H352" s="6">
        <v>0</v>
      </c>
    </row>
    <row r="353" spans="1:8" x14ac:dyDescent="0.25">
      <c r="A353" s="1">
        <f t="shared" ca="1" si="5"/>
        <v>13122</v>
      </c>
      <c r="B353" s="35">
        <v>29947</v>
      </c>
      <c r="C353" s="36">
        <v>29860</v>
      </c>
      <c r="D353" s="2">
        <v>815</v>
      </c>
      <c r="E353" s="3">
        <v>840</v>
      </c>
      <c r="F353" s="4">
        <v>0</v>
      </c>
      <c r="G353" s="5">
        <v>0</v>
      </c>
      <c r="H353" s="6">
        <v>0</v>
      </c>
    </row>
    <row r="354" spans="1:8" x14ac:dyDescent="0.25">
      <c r="A354" s="1">
        <f t="shared" ca="1" si="5"/>
        <v>13123</v>
      </c>
      <c r="B354" s="35">
        <v>29976</v>
      </c>
      <c r="C354" s="36">
        <v>29891</v>
      </c>
      <c r="D354" s="2">
        <v>815</v>
      </c>
      <c r="E354" s="3">
        <v>835</v>
      </c>
      <c r="F354" s="4">
        <v>7</v>
      </c>
      <c r="G354" s="5">
        <v>63</v>
      </c>
      <c r="H354" s="6">
        <v>0</v>
      </c>
    </row>
    <row r="355" spans="1:8" x14ac:dyDescent="0.25">
      <c r="A355" s="1">
        <f t="shared" ca="1" si="5"/>
        <v>13124</v>
      </c>
      <c r="B355" s="35">
        <v>29986</v>
      </c>
      <c r="C355" s="36">
        <v>29898</v>
      </c>
      <c r="D355" s="2">
        <v>815</v>
      </c>
      <c r="E355" s="3">
        <v>810</v>
      </c>
      <c r="F355" s="4">
        <v>0</v>
      </c>
      <c r="G355" s="5">
        <v>0</v>
      </c>
      <c r="H355" s="6">
        <v>219</v>
      </c>
    </row>
    <row r="356" spans="1:8" x14ac:dyDescent="0.25">
      <c r="A356" s="1">
        <f t="shared" ca="1" si="5"/>
        <v>13125</v>
      </c>
      <c r="B356" s="35">
        <v>30008</v>
      </c>
      <c r="C356" s="36">
        <v>29933</v>
      </c>
      <c r="D356" s="2">
        <v>805</v>
      </c>
      <c r="E356" s="3">
        <v>830</v>
      </c>
      <c r="F356" s="4">
        <v>1027</v>
      </c>
      <c r="G356" s="5">
        <v>585</v>
      </c>
      <c r="H356" s="6">
        <v>522</v>
      </c>
    </row>
    <row r="357" spans="1:8" x14ac:dyDescent="0.25">
      <c r="A357" s="1">
        <f t="shared" ca="1" si="5"/>
        <v>13126</v>
      </c>
      <c r="B357" s="35">
        <v>29987</v>
      </c>
      <c r="C357" s="36">
        <v>29885</v>
      </c>
      <c r="D357" s="2">
        <v>810</v>
      </c>
      <c r="E357" s="3">
        <v>820</v>
      </c>
      <c r="F357" s="4">
        <v>0</v>
      </c>
      <c r="G357" s="5">
        <v>42</v>
      </c>
      <c r="H357" s="6">
        <v>177</v>
      </c>
    </row>
    <row r="358" spans="1:8" x14ac:dyDescent="0.25">
      <c r="A358" s="1">
        <f t="shared" ca="1" si="5"/>
        <v>13127</v>
      </c>
      <c r="B358" s="35">
        <v>29962</v>
      </c>
      <c r="C358" s="36">
        <v>29894</v>
      </c>
      <c r="D358" s="2">
        <v>795</v>
      </c>
      <c r="E358" s="3">
        <v>825</v>
      </c>
      <c r="F358" s="4">
        <v>0</v>
      </c>
      <c r="G358" s="5">
        <v>0</v>
      </c>
      <c r="H358" s="6">
        <v>0</v>
      </c>
    </row>
    <row r="359" spans="1:8" x14ac:dyDescent="0.25">
      <c r="A359" s="1">
        <f t="shared" ca="1" si="5"/>
        <v>13128</v>
      </c>
      <c r="B359" s="35">
        <v>29981</v>
      </c>
      <c r="C359" s="36">
        <v>29885</v>
      </c>
      <c r="D359" s="2">
        <v>795</v>
      </c>
      <c r="E359" s="3">
        <v>820</v>
      </c>
      <c r="F359" s="4">
        <v>0</v>
      </c>
      <c r="G359" s="5">
        <v>34</v>
      </c>
      <c r="H359" s="6">
        <v>0</v>
      </c>
    </row>
    <row r="360" spans="1:8" x14ac:dyDescent="0.25">
      <c r="A360" s="1">
        <f t="shared" ca="1" si="5"/>
        <v>13129</v>
      </c>
      <c r="B360" s="35">
        <v>29949</v>
      </c>
      <c r="C360" s="36">
        <v>29843</v>
      </c>
      <c r="D360" s="2">
        <v>805</v>
      </c>
      <c r="E360" s="3">
        <v>830</v>
      </c>
      <c r="F360" s="4">
        <v>0</v>
      </c>
      <c r="G360" s="5">
        <v>0</v>
      </c>
      <c r="H360" s="6">
        <v>0</v>
      </c>
    </row>
    <row r="361" spans="1:8" x14ac:dyDescent="0.25">
      <c r="A361" s="1">
        <f t="shared" ca="1" si="5"/>
        <v>13130</v>
      </c>
      <c r="B361" s="35">
        <v>29909</v>
      </c>
      <c r="C361" s="36">
        <v>29813</v>
      </c>
      <c r="D361" s="2">
        <v>805</v>
      </c>
      <c r="E361" s="3">
        <v>830</v>
      </c>
      <c r="F361" s="4">
        <v>0</v>
      </c>
      <c r="G361" s="5">
        <v>0</v>
      </c>
      <c r="H361" s="6">
        <v>0</v>
      </c>
    </row>
    <row r="362" spans="1:8" x14ac:dyDescent="0.25">
      <c r="A362" s="1">
        <f t="shared" ca="1" si="5"/>
        <v>13131</v>
      </c>
      <c r="B362" s="35">
        <v>29941</v>
      </c>
      <c r="C362" s="36">
        <v>29834</v>
      </c>
      <c r="D362" s="2">
        <v>800</v>
      </c>
      <c r="E362" s="3">
        <v>825</v>
      </c>
      <c r="F362" s="4">
        <v>0</v>
      </c>
      <c r="G362" s="5">
        <v>0</v>
      </c>
      <c r="H362" s="6">
        <v>0</v>
      </c>
    </row>
    <row r="363" spans="1:8" x14ac:dyDescent="0.25">
      <c r="A363" s="1">
        <f t="shared" ca="1" si="5"/>
        <v>13132</v>
      </c>
      <c r="B363" s="35">
        <v>29922</v>
      </c>
      <c r="C363" s="36">
        <v>29803</v>
      </c>
      <c r="D363" s="2">
        <v>795</v>
      </c>
      <c r="E363" s="3">
        <v>830</v>
      </c>
      <c r="F363" s="4">
        <v>0</v>
      </c>
      <c r="G363" s="5">
        <v>0</v>
      </c>
      <c r="H363" s="6">
        <v>0</v>
      </c>
    </row>
    <row r="364" spans="1:8" x14ac:dyDescent="0.25">
      <c r="A364" s="1">
        <f t="shared" ca="1" si="5"/>
        <v>13133</v>
      </c>
      <c r="B364" s="35">
        <v>29921</v>
      </c>
      <c r="C364" s="36">
        <v>29824</v>
      </c>
      <c r="D364" s="2">
        <v>800</v>
      </c>
      <c r="E364" s="3">
        <v>825</v>
      </c>
      <c r="F364" s="4">
        <v>0</v>
      </c>
      <c r="G364" s="5">
        <v>0</v>
      </c>
      <c r="H364" s="6">
        <v>0</v>
      </c>
    </row>
    <row r="365" spans="1:8" x14ac:dyDescent="0.25">
      <c r="A365" s="1">
        <f t="shared" ca="1" si="5"/>
        <v>13134</v>
      </c>
      <c r="B365" s="35">
        <v>29941</v>
      </c>
      <c r="C365" s="36">
        <v>29845</v>
      </c>
      <c r="D365" s="2">
        <v>800</v>
      </c>
      <c r="E365" s="3">
        <v>820</v>
      </c>
      <c r="F365" s="4">
        <v>33</v>
      </c>
      <c r="G365" s="5">
        <v>0</v>
      </c>
      <c r="H365" s="6">
        <v>0</v>
      </c>
    </row>
    <row r="366" spans="1:8" x14ac:dyDescent="0.25">
      <c r="A366" s="1">
        <f t="shared" ca="1" si="5"/>
        <v>13135</v>
      </c>
      <c r="B366" s="35">
        <v>29941</v>
      </c>
      <c r="C366" s="36">
        <v>29874</v>
      </c>
      <c r="D366" s="2">
        <v>800</v>
      </c>
      <c r="E366" s="3">
        <v>825</v>
      </c>
      <c r="F366" s="4">
        <v>0</v>
      </c>
      <c r="G366" s="5">
        <v>0</v>
      </c>
      <c r="H366" s="6">
        <v>75</v>
      </c>
    </row>
    <row r="367" spans="1:8" x14ac:dyDescent="0.25">
      <c r="A367" s="1">
        <f t="shared" ca="1" si="5"/>
        <v>13136</v>
      </c>
      <c r="B367" s="35">
        <v>30010</v>
      </c>
      <c r="C367" s="36">
        <v>29935</v>
      </c>
      <c r="D367" s="2">
        <v>800</v>
      </c>
      <c r="E367" s="3">
        <v>820</v>
      </c>
      <c r="F367" s="4">
        <v>0</v>
      </c>
      <c r="G367" s="5">
        <v>0</v>
      </c>
      <c r="H367" s="6">
        <v>0</v>
      </c>
    </row>
    <row r="368" spans="1:8" x14ac:dyDescent="0.25">
      <c r="A368" s="1">
        <f t="shared" ca="1" si="5"/>
        <v>13137</v>
      </c>
      <c r="B368" s="35">
        <v>30030</v>
      </c>
      <c r="C368" s="36">
        <v>29945</v>
      </c>
      <c r="D368" s="2">
        <v>800</v>
      </c>
      <c r="E368" s="3">
        <v>820</v>
      </c>
      <c r="F368" s="4">
        <v>26</v>
      </c>
      <c r="G368" s="5">
        <v>152</v>
      </c>
      <c r="H368" s="6">
        <v>248</v>
      </c>
    </row>
    <row r="369" spans="1:8" x14ac:dyDescent="0.25">
      <c r="A369" s="1">
        <f t="shared" ca="1" si="5"/>
        <v>13138</v>
      </c>
      <c r="B369" s="35">
        <v>30000</v>
      </c>
      <c r="C369" s="36">
        <v>29925</v>
      </c>
      <c r="D369" s="2">
        <v>800</v>
      </c>
      <c r="E369" s="3">
        <v>820</v>
      </c>
      <c r="F369" s="4">
        <v>0</v>
      </c>
      <c r="G369" s="5">
        <v>40</v>
      </c>
      <c r="H369" s="6">
        <v>0</v>
      </c>
    </row>
    <row r="370" spans="1:8" x14ac:dyDescent="0.25">
      <c r="A370" s="1">
        <f t="shared" ca="1" si="5"/>
        <v>13139</v>
      </c>
      <c r="B370" s="35">
        <v>30000</v>
      </c>
      <c r="C370" s="36">
        <v>29924</v>
      </c>
      <c r="D370" s="2">
        <v>800</v>
      </c>
      <c r="E370" s="3">
        <v>825</v>
      </c>
      <c r="F370" s="4">
        <v>0</v>
      </c>
      <c r="G370" s="5">
        <v>0</v>
      </c>
      <c r="H370" s="6">
        <v>0</v>
      </c>
    </row>
    <row r="371" spans="1:8" x14ac:dyDescent="0.25">
      <c r="A371" s="1">
        <f t="shared" ca="1" si="5"/>
        <v>13140</v>
      </c>
      <c r="B371" s="35">
        <v>30011</v>
      </c>
      <c r="C371" s="36">
        <v>29934</v>
      </c>
      <c r="D371" s="2">
        <v>795</v>
      </c>
      <c r="E371" s="3">
        <v>825</v>
      </c>
      <c r="F371" s="4">
        <v>0</v>
      </c>
      <c r="G371" s="5">
        <v>0</v>
      </c>
      <c r="H371" s="6">
        <v>0</v>
      </c>
    </row>
    <row r="372" spans="1:8" x14ac:dyDescent="0.25">
      <c r="A372" s="1">
        <f t="shared" ca="1" si="5"/>
        <v>13141</v>
      </c>
      <c r="B372" s="35">
        <v>30020</v>
      </c>
      <c r="C372" s="36">
        <v>29954</v>
      </c>
      <c r="D372" s="2">
        <v>800</v>
      </c>
      <c r="E372" s="3">
        <v>825</v>
      </c>
      <c r="F372" s="4">
        <v>0</v>
      </c>
      <c r="G372" s="5">
        <v>0</v>
      </c>
      <c r="H372" s="6">
        <v>23</v>
      </c>
    </row>
    <row r="373" spans="1:8" x14ac:dyDescent="0.25">
      <c r="A373" s="1">
        <f t="shared" ca="1" si="5"/>
        <v>13142</v>
      </c>
      <c r="B373" s="35">
        <v>30017</v>
      </c>
      <c r="C373" s="36">
        <v>29953</v>
      </c>
      <c r="D373" s="2">
        <v>810</v>
      </c>
      <c r="E373" s="3">
        <v>830</v>
      </c>
      <c r="F373" s="4">
        <v>0</v>
      </c>
      <c r="G373" s="5">
        <v>0</v>
      </c>
      <c r="H373" s="6">
        <v>0</v>
      </c>
    </row>
    <row r="374" spans="1:8" x14ac:dyDescent="0.25">
      <c r="A374" s="1">
        <f t="shared" ca="1" si="5"/>
        <v>13143</v>
      </c>
      <c r="B374" s="35">
        <v>30001</v>
      </c>
      <c r="C374" s="36">
        <v>29943</v>
      </c>
      <c r="D374" s="2">
        <v>795</v>
      </c>
      <c r="E374" s="3">
        <v>830</v>
      </c>
      <c r="F374" s="4">
        <v>0</v>
      </c>
      <c r="G374" s="5">
        <v>0</v>
      </c>
      <c r="H374" s="6">
        <v>0</v>
      </c>
    </row>
    <row r="375" spans="1:8" x14ac:dyDescent="0.25">
      <c r="A375" s="1">
        <f t="shared" ca="1" si="5"/>
        <v>13144</v>
      </c>
      <c r="B375" s="35">
        <v>29998</v>
      </c>
      <c r="C375" s="36">
        <v>29924</v>
      </c>
      <c r="D375" s="2">
        <v>805</v>
      </c>
      <c r="E375" s="3">
        <v>825</v>
      </c>
      <c r="F375" s="4">
        <v>0</v>
      </c>
      <c r="G375" s="5">
        <v>0</v>
      </c>
      <c r="H375" s="6">
        <v>0</v>
      </c>
    </row>
    <row r="376" spans="1:8" x14ac:dyDescent="0.25">
      <c r="A376" s="1">
        <f t="shared" ca="1" si="5"/>
        <v>13145</v>
      </c>
      <c r="B376" s="35">
        <v>29980</v>
      </c>
      <c r="C376" s="36">
        <v>29903</v>
      </c>
      <c r="D376" s="2">
        <v>800</v>
      </c>
      <c r="E376" s="3">
        <v>830</v>
      </c>
      <c r="F376" s="4">
        <v>0</v>
      </c>
      <c r="G376" s="5">
        <v>0</v>
      </c>
      <c r="H376" s="6">
        <v>0</v>
      </c>
    </row>
    <row r="377" spans="1:8" x14ac:dyDescent="0.25">
      <c r="A377" s="1">
        <f t="shared" ca="1" si="5"/>
        <v>13146</v>
      </c>
      <c r="B377" s="35">
        <v>29961</v>
      </c>
      <c r="C377" s="36">
        <v>29895</v>
      </c>
      <c r="D377" s="2">
        <v>800</v>
      </c>
      <c r="E377" s="3">
        <v>820</v>
      </c>
      <c r="F377" s="4">
        <v>0</v>
      </c>
      <c r="G377" s="5">
        <v>0</v>
      </c>
      <c r="H377" s="6">
        <v>0</v>
      </c>
    </row>
    <row r="378" spans="1:8" x14ac:dyDescent="0.25">
      <c r="A378" s="1">
        <f t="shared" ca="1" si="5"/>
        <v>13147</v>
      </c>
      <c r="B378" s="35">
        <v>30008</v>
      </c>
      <c r="C378" s="36">
        <v>29914</v>
      </c>
      <c r="D378" s="2">
        <v>805</v>
      </c>
      <c r="E378" s="3">
        <v>825</v>
      </c>
      <c r="F378" s="4">
        <v>0</v>
      </c>
      <c r="G378" s="5">
        <v>0</v>
      </c>
      <c r="H378" s="6">
        <v>0</v>
      </c>
    </row>
    <row r="379" spans="1:8" x14ac:dyDescent="0.25">
      <c r="A379" s="1">
        <f t="shared" ca="1" si="5"/>
        <v>13148</v>
      </c>
      <c r="B379" s="35">
        <v>30010</v>
      </c>
      <c r="C379" s="36">
        <v>29934</v>
      </c>
      <c r="D379" s="2">
        <v>800</v>
      </c>
      <c r="E379" s="3">
        <v>825</v>
      </c>
      <c r="F379" s="4">
        <v>0</v>
      </c>
      <c r="G379" s="5">
        <v>0</v>
      </c>
      <c r="H379" s="6">
        <v>0</v>
      </c>
    </row>
    <row r="380" spans="1:8" x14ac:dyDescent="0.25">
      <c r="A380" s="1">
        <f t="shared" ca="1" si="5"/>
        <v>13149</v>
      </c>
      <c r="B380" s="35">
        <v>30030</v>
      </c>
      <c r="C380" s="36">
        <v>29943</v>
      </c>
      <c r="D380" s="2">
        <v>800</v>
      </c>
      <c r="E380" s="3">
        <v>830</v>
      </c>
      <c r="F380" s="4">
        <v>0</v>
      </c>
      <c r="G380" s="5">
        <v>0</v>
      </c>
      <c r="H380" s="6">
        <v>0</v>
      </c>
    </row>
    <row r="381" spans="1:8" x14ac:dyDescent="0.25">
      <c r="A381" s="1" t="str">
        <f t="shared" ca="1" si="5"/>
        <v>Totaal</v>
      </c>
      <c r="B381" s="37">
        <f>IF(COUNT(B350:B380)&gt;0,AVERAGE(B350:B380)/1000,"")</f>
        <v>29.979258064516127</v>
      </c>
      <c r="C381" s="38">
        <f>IF(COUNT(C350:C380)&gt;0,AVERAGE(C350:C380)/1000,"")</f>
        <v>29.894580645161291</v>
      </c>
      <c r="D381" s="39">
        <f>IF(COUNT(D350:D380)&gt;0,AVERAGE(D350:D380)/10,"")</f>
        <v>80.322580645161295</v>
      </c>
      <c r="E381" s="40">
        <f>IF(COUNT(E350:E380)&gt;0,AVERAGE(E350:E380)/10,"")</f>
        <v>82.645161290322591</v>
      </c>
      <c r="F381" s="23">
        <f>SUM(F350:F380)/10</f>
        <v>115.7</v>
      </c>
      <c r="G381" s="24">
        <f>SUM(G350:G380)/10</f>
        <v>100.5</v>
      </c>
      <c r="H381" s="25">
        <f>SUM(H350:H380)/10</f>
        <v>126.4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19350101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84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19350102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19350103</v>
      </c>
      <c r="C4" s="13">
        <v>1</v>
      </c>
      <c r="D4" s="18">
        <f t="shared" ca="1" si="0"/>
        <v>34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19350104</v>
      </c>
      <c r="C5" s="13">
        <v>1</v>
      </c>
      <c r="D5" s="18">
        <f t="shared" ca="1" si="0"/>
        <v>0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19350105</v>
      </c>
      <c r="C6" s="13">
        <v>1</v>
      </c>
      <c r="D6" s="18">
        <f t="shared" ca="1" si="0"/>
        <v>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19350106</v>
      </c>
      <c r="C7" s="13">
        <v>1</v>
      </c>
      <c r="D7" s="18">
        <f t="shared" ca="1" si="0"/>
        <v>0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19350107</v>
      </c>
      <c r="C8" s="13">
        <v>1</v>
      </c>
      <c r="D8" s="18">
        <f t="shared" ca="1" si="0"/>
        <v>0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19350108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19350109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19350110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19350111</v>
      </c>
      <c r="C12" s="13">
        <v>1</v>
      </c>
      <c r="D12" s="18">
        <f t="shared" ca="1" si="0"/>
        <v>0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19350112</v>
      </c>
      <c r="C13" s="13">
        <v>1</v>
      </c>
      <c r="D13" s="18">
        <f t="shared" ca="1" si="0"/>
        <v>0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19350113</v>
      </c>
      <c r="C14" s="13">
        <v>1</v>
      </c>
      <c r="D14" s="18">
        <f t="shared" ca="1" si="0"/>
        <v>0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19350114</v>
      </c>
      <c r="C15" s="13">
        <v>1</v>
      </c>
      <c r="D15" s="18">
        <f t="shared" ca="1" si="0"/>
        <v>0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19350115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19350116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19350117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19350118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19350119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19350120</v>
      </c>
      <c r="C21" s="13">
        <v>1</v>
      </c>
      <c r="D21" s="18">
        <f t="shared" ca="1" si="0"/>
        <v>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19350121</v>
      </c>
      <c r="C22" s="13">
        <v>1</v>
      </c>
      <c r="D22" s="18">
        <f t="shared" ca="1" si="0"/>
        <v>81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19350122</v>
      </c>
      <c r="C23" s="13">
        <v>1</v>
      </c>
      <c r="D23" s="18">
        <f t="shared" ca="1" si="0"/>
        <v>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19350123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19350124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19350125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19350126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19350127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19350128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19350129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19350130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19350131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19350201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19350202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19350203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19350204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19350205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19350206</v>
      </c>
      <c r="C38" s="13">
        <v>1</v>
      </c>
      <c r="D38" s="18">
        <f t="shared" ca="1" si="0"/>
        <v>0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19350207</v>
      </c>
      <c r="C39" s="13">
        <v>1</v>
      </c>
      <c r="D39" s="18">
        <f t="shared" ca="1" si="0"/>
        <v>29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19350208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19350209</v>
      </c>
      <c r="C41" s="13">
        <v>1</v>
      </c>
      <c r="D41" s="18">
        <f t="shared" ca="1" si="0"/>
        <v>16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19350210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19350211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19350212</v>
      </c>
      <c r="C44" s="13">
        <v>1</v>
      </c>
      <c r="D44" s="18">
        <f t="shared" ca="1" si="0"/>
        <v>2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19350213</v>
      </c>
      <c r="C45" s="13">
        <v>1</v>
      </c>
      <c r="D45" s="18">
        <f t="shared" ca="1" si="0"/>
        <v>0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19350214</v>
      </c>
      <c r="C46" s="13">
        <v>1</v>
      </c>
      <c r="D46" s="18">
        <f t="shared" ca="1" si="0"/>
        <v>0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19350215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19350216</v>
      </c>
      <c r="C48" s="13">
        <v>1</v>
      </c>
      <c r="D48" s="18">
        <f t="shared" ca="1" si="0"/>
        <v>0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19350217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19350218</v>
      </c>
      <c r="C50" s="13">
        <v>1</v>
      </c>
      <c r="D50" s="18">
        <f t="shared" ca="1" si="0"/>
        <v>156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19350219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19350220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19350221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19350222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19350223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19350224</v>
      </c>
      <c r="C56" s="13">
        <v>1</v>
      </c>
      <c r="D56" s="18">
        <f t="shared" ca="1" si="0"/>
        <v>0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19350225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19350226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19350227</v>
      </c>
      <c r="C59" s="13">
        <v>1</v>
      </c>
      <c r="D59" s="18">
        <f t="shared" ca="1" si="0"/>
        <v>0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19350228</v>
      </c>
      <c r="C60" s="13">
        <v>1</v>
      </c>
      <c r="D60" s="18">
        <f t="shared" ca="1" si="0"/>
        <v>68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19350301</v>
      </c>
      <c r="C61" s="13">
        <v>1</v>
      </c>
      <c r="D61" s="18">
        <f t="shared" ca="1" si="0"/>
        <v>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19350302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19350303</v>
      </c>
      <c r="C63" s="13">
        <v>1</v>
      </c>
      <c r="D63" s="18">
        <f t="shared" ca="1" si="0"/>
        <v>0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19350304</v>
      </c>
      <c r="C64" s="13">
        <v>1</v>
      </c>
      <c r="D64" s="18">
        <f t="shared" ca="1" si="0"/>
        <v>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19350305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19350306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19350307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19350308</v>
      </c>
      <c r="C68" s="13">
        <v>1</v>
      </c>
      <c r="D68" s="18">
        <f t="shared" ca="1" si="2"/>
        <v>0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19350309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19350310</v>
      </c>
      <c r="C70" s="13">
        <v>1</v>
      </c>
      <c r="D70" s="18">
        <f t="shared" ca="1" si="2"/>
        <v>0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19350311</v>
      </c>
      <c r="C71" s="13">
        <v>1</v>
      </c>
      <c r="D71" s="18">
        <f t="shared" ca="1" si="2"/>
        <v>0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19350312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19350313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19350314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19350315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19350316</v>
      </c>
      <c r="C76" s="13">
        <v>1</v>
      </c>
      <c r="D76" s="18">
        <f t="shared" ca="1" si="2"/>
        <v>101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19350317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19350318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19350319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19350320</v>
      </c>
      <c r="C80" s="13">
        <v>1</v>
      </c>
      <c r="D80" s="18">
        <f t="shared" ca="1" si="2"/>
        <v>26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19350321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19350322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19350323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19350324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19350325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19350326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19350327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19350328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19350329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19350330</v>
      </c>
      <c r="C90" s="13">
        <v>1</v>
      </c>
      <c r="D90" s="18">
        <f t="shared" ca="1" si="2"/>
        <v>0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19350331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19350401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19350402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19350403</v>
      </c>
      <c r="C94" s="13">
        <v>1</v>
      </c>
      <c r="D94" s="18">
        <f t="shared" ca="1" si="2"/>
        <v>60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19350404</v>
      </c>
      <c r="C95" s="13">
        <v>1</v>
      </c>
      <c r="D95" s="18">
        <f t="shared" ca="1" si="2"/>
        <v>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19350405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19350406</v>
      </c>
      <c r="C97" s="13">
        <v>1</v>
      </c>
      <c r="D97" s="18">
        <f t="shared" ca="1" si="2"/>
        <v>0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19350407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19350408</v>
      </c>
      <c r="C99" s="13">
        <v>1</v>
      </c>
      <c r="D99" s="18">
        <f t="shared" ca="1" si="2"/>
        <v>0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19350409</v>
      </c>
      <c r="C100" s="13">
        <v>1</v>
      </c>
      <c r="D100" s="18">
        <f t="shared" ca="1" si="2"/>
        <v>0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19350410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19350411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19350412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19350413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19350414</v>
      </c>
      <c r="C105" s="13">
        <v>1</v>
      </c>
      <c r="D105" s="18">
        <f t="shared" ca="1" si="2"/>
        <v>0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19350415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19350416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19350417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19350418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19350419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19350420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19350421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19350422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19350423</v>
      </c>
      <c r="C114" s="13">
        <v>1</v>
      </c>
      <c r="D114" s="18">
        <f t="shared" ca="1" si="2"/>
        <v>0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19350424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19350425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19350426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19350427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19350428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19350429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19350430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19350501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19350502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19350503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19350504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19350505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19350506</v>
      </c>
      <c r="C127" s="13">
        <v>1</v>
      </c>
      <c r="D127" s="18">
        <f t="shared" ca="1" si="2"/>
        <v>55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19350507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19350508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19350509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100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19350510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19350511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19350512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19350513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19350514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19350515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19350516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19350517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19350518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19350519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19350520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19350521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19350522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19350523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19350524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19350525</v>
      </c>
      <c r="C146" s="13">
        <v>1</v>
      </c>
      <c r="D146" s="18">
        <f t="shared" ca="1" si="4"/>
        <v>0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19350526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19350527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19350528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19350529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19350530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19350531</v>
      </c>
      <c r="C152" s="13">
        <v>1</v>
      </c>
      <c r="D152" s="18">
        <f t="shared" ca="1" si="4"/>
        <v>21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19350601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19350602</v>
      </c>
      <c r="C154" s="13">
        <v>1</v>
      </c>
      <c r="D154" s="18">
        <f t="shared" ca="1" si="4"/>
        <v>46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19350603</v>
      </c>
      <c r="C155" s="13">
        <v>1</v>
      </c>
      <c r="D155" s="18">
        <f t="shared" ca="1" si="4"/>
        <v>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19350604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19350605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19350606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19350607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19350608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19350609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19350610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19350611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19350612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19350613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19350614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19350615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19350616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19350617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19350618</v>
      </c>
      <c r="C170" s="13">
        <v>1</v>
      </c>
      <c r="D170" s="18">
        <f t="shared" ca="1" si="4"/>
        <v>0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19350619</v>
      </c>
      <c r="C171" s="13">
        <v>1</v>
      </c>
      <c r="D171" s="18">
        <f t="shared" ca="1" si="4"/>
        <v>0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19350620</v>
      </c>
      <c r="C172" s="13">
        <v>1</v>
      </c>
      <c r="D172" s="18">
        <f t="shared" ca="1" si="4"/>
        <v>0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19350621</v>
      </c>
      <c r="C173" s="13">
        <v>1</v>
      </c>
      <c r="D173" s="18">
        <f t="shared" ca="1" si="4"/>
        <v>35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19350622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19350623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19350624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19350625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19350626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19350627</v>
      </c>
      <c r="C179" s="13">
        <v>1</v>
      </c>
      <c r="D179" s="18">
        <f t="shared" ca="1" si="4"/>
        <v>0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19350628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19350629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19350630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19350701</v>
      </c>
      <c r="C183" s="13">
        <v>1</v>
      </c>
      <c r="D183" s="18">
        <f t="shared" ca="1" si="4"/>
        <v>0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19350702</v>
      </c>
      <c r="C184" s="13">
        <v>1</v>
      </c>
      <c r="D184" s="18">
        <f t="shared" ca="1" si="4"/>
        <v>20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19350703</v>
      </c>
      <c r="C185" s="13">
        <v>1</v>
      </c>
      <c r="D185" s="18">
        <f t="shared" ca="1" si="4"/>
        <v>0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19350704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19350705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19350706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19350707</v>
      </c>
      <c r="C189" s="13">
        <v>1</v>
      </c>
      <c r="D189" s="18">
        <f t="shared" ca="1" si="4"/>
        <v>0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19350708</v>
      </c>
      <c r="C190" s="13">
        <v>1</v>
      </c>
      <c r="D190" s="18">
        <f t="shared" ca="1" si="4"/>
        <v>0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19350709</v>
      </c>
      <c r="C191" s="13">
        <v>1</v>
      </c>
      <c r="D191" s="18">
        <f t="shared" ca="1" si="4"/>
        <v>95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19350710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19350711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19350712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19350713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19350714</v>
      </c>
      <c r="C196" s="13">
        <v>1</v>
      </c>
      <c r="D196" s="18">
        <f t="shared" ca="1" si="6"/>
        <v>0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19350715</v>
      </c>
      <c r="C197" s="13">
        <v>1</v>
      </c>
      <c r="D197" s="18">
        <f t="shared" ca="1" si="6"/>
        <v>30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19350716</v>
      </c>
      <c r="C198" s="13">
        <v>1</v>
      </c>
      <c r="D198" s="18">
        <f t="shared" ca="1" si="6"/>
        <v>0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19350717</v>
      </c>
      <c r="C199" s="13">
        <v>1</v>
      </c>
      <c r="D199" s="18">
        <f t="shared" ca="1" si="6"/>
        <v>0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19350718</v>
      </c>
      <c r="C200" s="13">
        <v>1</v>
      </c>
      <c r="D200" s="18">
        <f t="shared" ca="1" si="6"/>
        <v>14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19350719</v>
      </c>
      <c r="C201" s="13">
        <v>1</v>
      </c>
      <c r="D201" s="18">
        <f t="shared" ca="1" si="6"/>
        <v>47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19350720</v>
      </c>
      <c r="C202" s="13">
        <v>1</v>
      </c>
      <c r="D202" s="18">
        <f t="shared" ca="1" si="6"/>
        <v>0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19350721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19350722</v>
      </c>
      <c r="C204" s="13">
        <v>1</v>
      </c>
      <c r="D204" s="18">
        <f t="shared" ca="1" si="6"/>
        <v>0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19350723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19350724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19350725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19350726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19350727</v>
      </c>
      <c r="C209" s="13">
        <v>1</v>
      </c>
      <c r="D209" s="18">
        <f t="shared" ca="1" si="6"/>
        <v>46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19350728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19350729</v>
      </c>
      <c r="C211" s="13">
        <v>1</v>
      </c>
      <c r="D211" s="18">
        <f t="shared" ca="1" si="6"/>
        <v>0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19350730</v>
      </c>
      <c r="C212" s="13">
        <v>1</v>
      </c>
      <c r="D212" s="18">
        <f t="shared" ca="1" si="6"/>
        <v>0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19350731</v>
      </c>
      <c r="C213" s="13">
        <v>1</v>
      </c>
      <c r="D213" s="18">
        <f t="shared" ca="1" si="6"/>
        <v>0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19350801</v>
      </c>
      <c r="C214" s="13">
        <v>1</v>
      </c>
      <c r="D214" s="18">
        <f t="shared" ca="1" si="6"/>
        <v>58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19350802</v>
      </c>
      <c r="C215" s="13">
        <v>1</v>
      </c>
      <c r="D215" s="18">
        <f t="shared" ca="1" si="6"/>
        <v>0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19350803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19350804</v>
      </c>
      <c r="C217" s="13">
        <v>1</v>
      </c>
      <c r="D217" s="18">
        <f t="shared" ca="1" si="6"/>
        <v>0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19350805</v>
      </c>
      <c r="C218" s="13">
        <v>1</v>
      </c>
      <c r="D218" s="18">
        <f t="shared" ca="1" si="6"/>
        <v>0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19350806</v>
      </c>
      <c r="C219" s="13">
        <v>1</v>
      </c>
      <c r="D219" s="18">
        <f t="shared" ca="1" si="6"/>
        <v>0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19350807</v>
      </c>
      <c r="C220" s="13">
        <v>1</v>
      </c>
      <c r="D220" s="18">
        <f t="shared" ca="1" si="6"/>
        <v>0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19350808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19350809</v>
      </c>
      <c r="C222" s="13">
        <v>1</v>
      </c>
      <c r="D222" s="18">
        <f t="shared" ca="1" si="6"/>
        <v>0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19350810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19350811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19350812</v>
      </c>
      <c r="C225" s="13">
        <v>1</v>
      </c>
      <c r="D225" s="18">
        <f t="shared" ca="1" si="6"/>
        <v>208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19350813</v>
      </c>
      <c r="C226" s="13">
        <v>1</v>
      </c>
      <c r="D226" s="18">
        <f t="shared" ca="1" si="6"/>
        <v>0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19350814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19350815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19350816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19350817</v>
      </c>
      <c r="C230" s="13">
        <v>1</v>
      </c>
      <c r="D230" s="18">
        <f t="shared" ca="1" si="6"/>
        <v>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19350818</v>
      </c>
      <c r="C231" s="13">
        <v>1</v>
      </c>
      <c r="D231" s="18">
        <f t="shared" ca="1" si="6"/>
        <v>0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19350819</v>
      </c>
      <c r="C232" s="13">
        <v>1</v>
      </c>
      <c r="D232" s="18">
        <f t="shared" ca="1" si="6"/>
        <v>0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19350820</v>
      </c>
      <c r="C233" s="13">
        <v>1</v>
      </c>
      <c r="D233" s="18">
        <f t="shared" ca="1" si="6"/>
        <v>0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19350821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19350822</v>
      </c>
      <c r="C235" s="13">
        <v>1</v>
      </c>
      <c r="D235" s="18">
        <f t="shared" ca="1" si="6"/>
        <v>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19350823</v>
      </c>
      <c r="C236" s="13">
        <v>1</v>
      </c>
      <c r="D236" s="18">
        <f t="shared" ca="1" si="6"/>
        <v>0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19350824</v>
      </c>
      <c r="C237" s="13">
        <v>1</v>
      </c>
      <c r="D237" s="18">
        <f t="shared" ca="1" si="6"/>
        <v>0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19350825</v>
      </c>
      <c r="C238" s="13">
        <v>1</v>
      </c>
      <c r="D238" s="18">
        <f t="shared" ca="1" si="6"/>
        <v>854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19350826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19350827</v>
      </c>
      <c r="C240" s="13">
        <v>1</v>
      </c>
      <c r="D240" s="18">
        <f t="shared" ca="1" si="6"/>
        <v>46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19350828</v>
      </c>
      <c r="C241" s="13">
        <v>1</v>
      </c>
      <c r="D241" s="18">
        <f t="shared" ca="1" si="6"/>
        <v>0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19350829</v>
      </c>
      <c r="C242" s="13">
        <v>1</v>
      </c>
      <c r="D242" s="18">
        <f t="shared" ca="1" si="6"/>
        <v>0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19350830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19350831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19350901</v>
      </c>
      <c r="C245" s="13">
        <v>1</v>
      </c>
      <c r="D245" s="18">
        <f t="shared" ca="1" si="6"/>
        <v>0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19350902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19350903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19350904</v>
      </c>
      <c r="C248" s="13">
        <v>1</v>
      </c>
      <c r="D248" s="18">
        <f t="shared" ca="1" si="6"/>
        <v>0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19350905</v>
      </c>
      <c r="C249" s="13">
        <v>1</v>
      </c>
      <c r="D249" s="18">
        <f t="shared" ca="1" si="6"/>
        <v>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19350906</v>
      </c>
      <c r="C250" s="13">
        <v>1</v>
      </c>
      <c r="D250" s="18">
        <f t="shared" ca="1" si="6"/>
        <v>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19350907</v>
      </c>
      <c r="C251" s="13">
        <v>1</v>
      </c>
      <c r="D251" s="18">
        <f t="shared" ca="1" si="6"/>
        <v>0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19350908</v>
      </c>
      <c r="C252" s="13">
        <v>1</v>
      </c>
      <c r="D252" s="18">
        <f t="shared" ca="1" si="6"/>
        <v>0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19350909</v>
      </c>
      <c r="C253" s="13">
        <v>1</v>
      </c>
      <c r="D253" s="18">
        <f t="shared" ca="1" si="6"/>
        <v>0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19350910</v>
      </c>
      <c r="C254" s="13">
        <v>1</v>
      </c>
      <c r="D254" s="18">
        <f t="shared" ca="1" si="6"/>
        <v>24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19350911</v>
      </c>
      <c r="C255" s="13">
        <v>1</v>
      </c>
      <c r="D255" s="18">
        <f t="shared" ca="1" si="6"/>
        <v>0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19350912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19350913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19350914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19350915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19350916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19350917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19350918</v>
      </c>
      <c r="C262" s="13">
        <v>1</v>
      </c>
      <c r="D262" s="18">
        <f t="shared" ca="1" si="8"/>
        <v>0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19350919</v>
      </c>
      <c r="C263" s="13">
        <v>1</v>
      </c>
      <c r="D263" s="18">
        <f t="shared" ca="1" si="8"/>
        <v>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19350920</v>
      </c>
      <c r="C264" s="13">
        <v>1</v>
      </c>
      <c r="D264" s="18">
        <f t="shared" ca="1" si="8"/>
        <v>0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19350921</v>
      </c>
      <c r="C265" s="13">
        <v>1</v>
      </c>
      <c r="D265" s="18">
        <f t="shared" ca="1" si="8"/>
        <v>0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19350922</v>
      </c>
      <c r="C266" s="13">
        <v>1</v>
      </c>
      <c r="D266" s="18">
        <f t="shared" ca="1" si="8"/>
        <v>167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19350923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19350924</v>
      </c>
      <c r="C268" s="13">
        <v>1</v>
      </c>
      <c r="D268" s="18">
        <f t="shared" ca="1" si="8"/>
        <v>26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19350925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19350926</v>
      </c>
      <c r="C270" s="13">
        <v>1</v>
      </c>
      <c r="D270" s="18">
        <f t="shared" ca="1" si="8"/>
        <v>0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19350927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19350928</v>
      </c>
      <c r="C272" s="13">
        <v>1</v>
      </c>
      <c r="D272" s="18">
        <f t="shared" ca="1" si="8"/>
        <v>0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19350929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19350930</v>
      </c>
      <c r="C274" s="13">
        <v>1</v>
      </c>
      <c r="D274" s="18">
        <f t="shared" ca="1" si="8"/>
        <v>90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19351001</v>
      </c>
      <c r="C275" s="13">
        <v>1</v>
      </c>
      <c r="D275" s="18">
        <f t="shared" ca="1" si="8"/>
        <v>0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19351002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19351003</v>
      </c>
      <c r="C277" s="13">
        <v>1</v>
      </c>
      <c r="D277" s="18">
        <f t="shared" ca="1" si="8"/>
        <v>0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19351004</v>
      </c>
      <c r="C278" s="13">
        <v>1</v>
      </c>
      <c r="D278" s="18">
        <f t="shared" ca="1" si="8"/>
        <v>0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19351005</v>
      </c>
      <c r="C279" s="13">
        <v>1</v>
      </c>
      <c r="D279" s="18">
        <f t="shared" ca="1" si="8"/>
        <v>0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19351006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19351007</v>
      </c>
      <c r="C281" s="13">
        <v>1</v>
      </c>
      <c r="D281" s="18">
        <f t="shared" ca="1" si="8"/>
        <v>181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19351008</v>
      </c>
      <c r="C282" s="13">
        <v>1</v>
      </c>
      <c r="D282" s="18">
        <f t="shared" ca="1" si="8"/>
        <v>0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19351009</v>
      </c>
      <c r="C283" s="13">
        <v>1</v>
      </c>
      <c r="D283" s="18">
        <f t="shared" ca="1" si="8"/>
        <v>75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19351010</v>
      </c>
      <c r="C284" s="13">
        <v>1</v>
      </c>
      <c r="D284" s="18">
        <f t="shared" ca="1" si="8"/>
        <v>0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19351011</v>
      </c>
      <c r="C285" s="13">
        <v>1</v>
      </c>
      <c r="D285" s="18">
        <f t="shared" ca="1" si="8"/>
        <v>0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19351012</v>
      </c>
      <c r="C286" s="13">
        <v>1</v>
      </c>
      <c r="D286" s="18">
        <f t="shared" ca="1" si="8"/>
        <v>0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19351013</v>
      </c>
      <c r="C287" s="13">
        <v>1</v>
      </c>
      <c r="D287" s="18">
        <f t="shared" ca="1" si="8"/>
        <v>0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19351014</v>
      </c>
      <c r="C288" s="13">
        <v>1</v>
      </c>
      <c r="D288" s="18">
        <f t="shared" ca="1" si="8"/>
        <v>0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19351015</v>
      </c>
      <c r="C289" s="13">
        <v>1</v>
      </c>
      <c r="D289" s="18">
        <f t="shared" ca="1" si="8"/>
        <v>335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19351016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19351017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19351018</v>
      </c>
      <c r="C292" s="13">
        <v>1</v>
      </c>
      <c r="D292" s="18">
        <f t="shared" ca="1" si="8"/>
        <v>0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19351019</v>
      </c>
      <c r="C293" s="13">
        <v>1</v>
      </c>
      <c r="D293" s="18">
        <f t="shared" ca="1" si="8"/>
        <v>0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19351020</v>
      </c>
      <c r="C294" s="13">
        <v>1</v>
      </c>
      <c r="D294" s="18">
        <f t="shared" ca="1" si="8"/>
        <v>12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19351021</v>
      </c>
      <c r="C295" s="13">
        <v>1</v>
      </c>
      <c r="D295" s="18">
        <f t="shared" ca="1" si="8"/>
        <v>0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19351022</v>
      </c>
      <c r="C296" s="13">
        <v>1</v>
      </c>
      <c r="D296" s="18">
        <f t="shared" ca="1" si="8"/>
        <v>0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19351023</v>
      </c>
      <c r="C297" s="13">
        <v>1</v>
      </c>
      <c r="D297" s="18">
        <f t="shared" ca="1" si="8"/>
        <v>0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19351024</v>
      </c>
      <c r="C298" s="13">
        <v>1</v>
      </c>
      <c r="D298" s="18">
        <f t="shared" ca="1" si="8"/>
        <v>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19351025</v>
      </c>
      <c r="C299" s="13">
        <v>1</v>
      </c>
      <c r="D299" s="18">
        <f t="shared" ca="1" si="8"/>
        <v>0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19351026</v>
      </c>
      <c r="C300" s="13">
        <v>1</v>
      </c>
      <c r="D300" s="18">
        <f t="shared" ca="1" si="8"/>
        <v>0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19351027</v>
      </c>
      <c r="C301" s="13">
        <v>1</v>
      </c>
      <c r="D301" s="18">
        <f t="shared" ca="1" si="8"/>
        <v>0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19351028</v>
      </c>
      <c r="C302" s="13">
        <v>1</v>
      </c>
      <c r="D302" s="18">
        <f t="shared" ca="1" si="8"/>
        <v>0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19351029</v>
      </c>
      <c r="C303" s="13">
        <v>1</v>
      </c>
      <c r="D303" s="18">
        <f t="shared" ca="1" si="8"/>
        <v>0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19351030</v>
      </c>
      <c r="C304" s="13">
        <v>1</v>
      </c>
      <c r="D304" s="18">
        <f t="shared" ca="1" si="8"/>
        <v>89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19351031</v>
      </c>
      <c r="C305" s="13">
        <v>1</v>
      </c>
      <c r="D305" s="18">
        <f t="shared" ca="1" si="8"/>
        <v>660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19351101</v>
      </c>
      <c r="C306" s="13">
        <v>1</v>
      </c>
      <c r="D306" s="18">
        <f t="shared" ca="1" si="8"/>
        <v>195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19351102</v>
      </c>
      <c r="C307" s="13">
        <v>1</v>
      </c>
      <c r="D307" s="18">
        <f t="shared" ca="1" si="8"/>
        <v>16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19351103</v>
      </c>
      <c r="C308" s="13">
        <v>1</v>
      </c>
      <c r="D308" s="18">
        <f t="shared" ca="1" si="8"/>
        <v>0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19351104</v>
      </c>
      <c r="C309" s="13">
        <v>1</v>
      </c>
      <c r="D309" s="18">
        <f t="shared" ca="1" si="8"/>
        <v>0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19351105</v>
      </c>
      <c r="C310" s="13">
        <v>1</v>
      </c>
      <c r="D310" s="18">
        <f t="shared" ca="1" si="8"/>
        <v>0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19351106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19351107</v>
      </c>
      <c r="C312" s="13">
        <v>1</v>
      </c>
      <c r="D312" s="18">
        <f t="shared" ca="1" si="8"/>
        <v>19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19351108</v>
      </c>
      <c r="C313" s="13">
        <v>1</v>
      </c>
      <c r="D313" s="18">
        <f t="shared" ca="1" si="8"/>
        <v>0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19351109</v>
      </c>
      <c r="C314" s="13">
        <v>1</v>
      </c>
      <c r="D314" s="18">
        <f t="shared" ca="1" si="8"/>
        <v>255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19351110</v>
      </c>
      <c r="C315" s="13">
        <v>1</v>
      </c>
      <c r="D315" s="18">
        <f t="shared" ca="1" si="8"/>
        <v>0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19351111</v>
      </c>
      <c r="C316" s="13">
        <v>1</v>
      </c>
      <c r="D316" s="18">
        <f t="shared" ca="1" si="8"/>
        <v>57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19351112</v>
      </c>
      <c r="C317" s="13">
        <v>1</v>
      </c>
      <c r="D317" s="18">
        <f t="shared" ca="1" si="8"/>
        <v>0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19351113</v>
      </c>
      <c r="C318" s="13">
        <v>1</v>
      </c>
      <c r="D318" s="18">
        <f t="shared" ca="1" si="8"/>
        <v>57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19351114</v>
      </c>
      <c r="C319" s="13">
        <v>1</v>
      </c>
      <c r="D319" s="18">
        <f t="shared" ca="1" si="8"/>
        <v>8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19351115</v>
      </c>
      <c r="C320" s="13">
        <v>1</v>
      </c>
      <c r="D320" s="18">
        <f t="shared" ca="1" si="8"/>
        <v>0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19351116</v>
      </c>
      <c r="C321" s="13">
        <v>1</v>
      </c>
      <c r="D321" s="18">
        <f t="shared" ca="1" si="8"/>
        <v>0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19351117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19351118</v>
      </c>
      <c r="C323" s="13">
        <v>1</v>
      </c>
      <c r="D323" s="18">
        <f t="shared" ca="1" si="10"/>
        <v>0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19351119</v>
      </c>
      <c r="C324" s="13">
        <v>1</v>
      </c>
      <c r="D324" s="18">
        <f t="shared" ca="1" si="10"/>
        <v>0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19351120</v>
      </c>
      <c r="C325" s="13">
        <v>1</v>
      </c>
      <c r="D325" s="18">
        <f t="shared" ca="1" si="10"/>
        <v>9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19351121</v>
      </c>
      <c r="C326" s="13">
        <v>1</v>
      </c>
      <c r="D326" s="18">
        <f t="shared" ca="1" si="10"/>
        <v>22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19351122</v>
      </c>
      <c r="C327" s="13">
        <v>1</v>
      </c>
      <c r="D327" s="18">
        <f t="shared" ca="1" si="10"/>
        <v>0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19351123</v>
      </c>
      <c r="C328" s="13">
        <v>1</v>
      </c>
      <c r="D328" s="18">
        <f t="shared" ca="1" si="10"/>
        <v>0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19351124</v>
      </c>
      <c r="C329" s="13">
        <v>1</v>
      </c>
      <c r="D329" s="18">
        <f t="shared" ca="1" si="10"/>
        <v>40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19351125</v>
      </c>
      <c r="C330" s="13">
        <v>1</v>
      </c>
      <c r="D330" s="18">
        <f t="shared" ca="1" si="10"/>
        <v>0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19351126</v>
      </c>
      <c r="C331" s="13">
        <v>1</v>
      </c>
      <c r="D331" s="18">
        <f t="shared" ca="1" si="10"/>
        <v>0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19351127</v>
      </c>
      <c r="C332" s="13">
        <v>1</v>
      </c>
      <c r="D332" s="18">
        <f t="shared" ca="1" si="10"/>
        <v>53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19351128</v>
      </c>
      <c r="C333" s="13">
        <v>1</v>
      </c>
      <c r="D333" s="18">
        <f t="shared" ca="1" si="10"/>
        <v>0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19351129</v>
      </c>
      <c r="C334" s="13">
        <v>1</v>
      </c>
      <c r="D334" s="18">
        <f t="shared" ca="1" si="10"/>
        <v>0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19351130</v>
      </c>
      <c r="C335" s="13">
        <v>1</v>
      </c>
      <c r="D335" s="18">
        <f t="shared" ca="1" si="10"/>
        <v>0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19351201</v>
      </c>
      <c r="C336" s="13">
        <v>1</v>
      </c>
      <c r="D336" s="18">
        <f t="shared" ca="1" si="10"/>
        <v>0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19351202</v>
      </c>
      <c r="C337" s="13">
        <v>1</v>
      </c>
      <c r="D337" s="18">
        <f t="shared" ca="1" si="10"/>
        <v>0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19351203</v>
      </c>
      <c r="C338" s="13">
        <v>1</v>
      </c>
      <c r="D338" s="18">
        <f t="shared" ca="1" si="10"/>
        <v>64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19351204</v>
      </c>
      <c r="C339" s="13">
        <v>1</v>
      </c>
      <c r="D339" s="18">
        <f t="shared" ca="1" si="10"/>
        <v>0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19351205</v>
      </c>
      <c r="C340" s="13">
        <v>1</v>
      </c>
      <c r="D340" s="18">
        <f t="shared" ca="1" si="10"/>
        <v>7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19351206</v>
      </c>
      <c r="C341" s="13">
        <v>1</v>
      </c>
      <c r="D341" s="18">
        <f t="shared" ca="1" si="10"/>
        <v>0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19351207</v>
      </c>
      <c r="C342" s="13">
        <v>1</v>
      </c>
      <c r="D342" s="18">
        <f t="shared" ca="1" si="10"/>
        <v>1027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19351208</v>
      </c>
      <c r="C343" s="13">
        <v>1</v>
      </c>
      <c r="D343" s="18">
        <f t="shared" ca="1" si="10"/>
        <v>0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19351209</v>
      </c>
      <c r="C344" s="13">
        <v>1</v>
      </c>
      <c r="D344" s="18">
        <f t="shared" ca="1" si="10"/>
        <v>0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19351210</v>
      </c>
      <c r="C345" s="13">
        <v>1</v>
      </c>
      <c r="D345" s="18">
        <f t="shared" ca="1" si="10"/>
        <v>0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19351211</v>
      </c>
      <c r="C346" s="13">
        <v>1</v>
      </c>
      <c r="D346" s="18">
        <f t="shared" ca="1" si="10"/>
        <v>0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19351212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19351213</v>
      </c>
      <c r="C348" s="13">
        <v>1</v>
      </c>
      <c r="D348" s="18">
        <f t="shared" ca="1" si="10"/>
        <v>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19351214</v>
      </c>
      <c r="C349" s="13">
        <v>1</v>
      </c>
      <c r="D349" s="18">
        <f t="shared" ca="1" si="10"/>
        <v>0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19351215</v>
      </c>
      <c r="C350" s="13">
        <v>1</v>
      </c>
      <c r="D350" s="18">
        <f t="shared" ca="1" si="10"/>
        <v>0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19351216</v>
      </c>
      <c r="C351" s="13">
        <v>1</v>
      </c>
      <c r="D351" s="18">
        <f t="shared" ca="1" si="10"/>
        <v>33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19351217</v>
      </c>
      <c r="C352" s="13">
        <v>1</v>
      </c>
      <c r="D352" s="18">
        <f t="shared" ca="1" si="10"/>
        <v>0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19351218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19351219</v>
      </c>
      <c r="C354" s="13">
        <v>1</v>
      </c>
      <c r="D354" s="18">
        <f t="shared" ca="1" si="10"/>
        <v>26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19351220</v>
      </c>
      <c r="C355" s="13">
        <v>1</v>
      </c>
      <c r="D355" s="18">
        <f t="shared" ca="1" si="10"/>
        <v>0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19351221</v>
      </c>
      <c r="C356" s="13">
        <v>1</v>
      </c>
      <c r="D356" s="18">
        <f t="shared" ca="1" si="10"/>
        <v>0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19351222</v>
      </c>
      <c r="C357" s="13">
        <v>1</v>
      </c>
      <c r="D357" s="18">
        <f t="shared" ca="1" si="10"/>
        <v>0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19351223</v>
      </c>
      <c r="C358" s="13">
        <v>1</v>
      </c>
      <c r="D358" s="18">
        <f t="shared" ca="1" si="10"/>
        <v>0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19351224</v>
      </c>
      <c r="C359" s="13">
        <v>1</v>
      </c>
      <c r="D359" s="18">
        <f t="shared" ca="1" si="10"/>
        <v>0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19351225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19351226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19351227</v>
      </c>
      <c r="C362" s="13">
        <v>1</v>
      </c>
      <c r="D362" s="18">
        <f t="shared" ca="1" si="10"/>
        <v>0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19351228</v>
      </c>
      <c r="C363" s="13">
        <v>1</v>
      </c>
      <c r="D363" s="18">
        <f t="shared" ca="1" si="10"/>
        <v>0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19351229</v>
      </c>
      <c r="C364" s="13">
        <v>1</v>
      </c>
      <c r="D364" s="18">
        <f t="shared" ca="1" si="10"/>
        <v>0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19351230</v>
      </c>
      <c r="C365" s="13">
        <v>1</v>
      </c>
      <c r="D365" s="18">
        <f t="shared" ca="1" si="10"/>
        <v>0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19351231</v>
      </c>
      <c r="C366" s="13">
        <v>1</v>
      </c>
      <c r="D366" s="18">
        <f t="shared" ca="1" si="10"/>
        <v>0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19350101</v>
      </c>
      <c r="C367" s="13">
        <v>1</v>
      </c>
      <c r="D367" s="18">
        <f t="shared" ca="1" si="10"/>
        <v>53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19350102</v>
      </c>
      <c r="C368" s="13">
        <v>1</v>
      </c>
      <c r="D368" s="18">
        <f t="shared" ca="1" si="10"/>
        <v>0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19350103</v>
      </c>
      <c r="C369" s="13">
        <v>1</v>
      </c>
      <c r="D369" s="18">
        <f t="shared" ca="1" si="10"/>
        <v>0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19350104</v>
      </c>
      <c r="C370" s="13">
        <v>1</v>
      </c>
      <c r="D370" s="18">
        <f t="shared" ca="1" si="10"/>
        <v>0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19350105</v>
      </c>
      <c r="C371" s="13">
        <v>1</v>
      </c>
      <c r="D371" s="18">
        <f t="shared" ca="1" si="10"/>
        <v>0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19350106</v>
      </c>
      <c r="C372" s="13">
        <v>1</v>
      </c>
      <c r="D372" s="18">
        <f t="shared" ca="1" si="10"/>
        <v>0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19350107</v>
      </c>
      <c r="C373" s="13">
        <v>1</v>
      </c>
      <c r="D373" s="18">
        <f t="shared" ca="1" si="10"/>
        <v>0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19350108</v>
      </c>
      <c r="C374" s="13">
        <v>1</v>
      </c>
      <c r="D374" s="18">
        <f t="shared" ca="1" si="10"/>
        <v>0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19350109</v>
      </c>
      <c r="C375" s="13">
        <v>1</v>
      </c>
      <c r="D375" s="18">
        <f t="shared" ca="1" si="10"/>
        <v>50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19350110</v>
      </c>
      <c r="C376" s="13">
        <v>1</v>
      </c>
      <c r="D376" s="18">
        <f t="shared" ca="1" si="10"/>
        <v>0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19350111</v>
      </c>
      <c r="C377" s="13">
        <v>1</v>
      </c>
      <c r="D377" s="18">
        <f t="shared" ca="1" si="10"/>
        <v>0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19350112</v>
      </c>
      <c r="C378" s="13">
        <v>1</v>
      </c>
      <c r="D378" s="18">
        <f t="shared" ca="1" si="10"/>
        <v>27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19350113</v>
      </c>
      <c r="C379" s="13">
        <v>1</v>
      </c>
      <c r="D379" s="18">
        <f t="shared" ca="1" si="10"/>
        <v>0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19350114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19350115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19350116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19350117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19350118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19350119</v>
      </c>
      <c r="C385" s="13">
        <v>1</v>
      </c>
      <c r="D385" s="18">
        <f t="shared" ca="1" si="10"/>
        <v>0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19350120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24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19350121</v>
      </c>
      <c r="C387" s="13">
        <v>1</v>
      </c>
      <c r="D387" s="18">
        <f t="shared" ca="1" si="12"/>
        <v>167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19350122</v>
      </c>
      <c r="C388" s="13">
        <v>1</v>
      </c>
      <c r="D388" s="18">
        <f t="shared" ca="1" si="12"/>
        <v>55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19350123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19350124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19350125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19350126</v>
      </c>
      <c r="C392" s="13">
        <v>1</v>
      </c>
      <c r="D392" s="18">
        <f t="shared" ca="1" si="12"/>
        <v>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19350127</v>
      </c>
      <c r="C393" s="13">
        <v>1</v>
      </c>
      <c r="D393" s="18">
        <f t="shared" ca="1" si="12"/>
        <v>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19350128</v>
      </c>
      <c r="C394" s="13">
        <v>1</v>
      </c>
      <c r="D394" s="18">
        <f t="shared" ca="1" si="12"/>
        <v>0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19350129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19350130</v>
      </c>
      <c r="C396" s="13">
        <v>1</v>
      </c>
      <c r="D396" s="18">
        <f t="shared" ca="1" si="12"/>
        <v>62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19350131</v>
      </c>
      <c r="C397" s="13">
        <v>1</v>
      </c>
      <c r="D397" s="18">
        <f t="shared" ca="1" si="12"/>
        <v>8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19350201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19350202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19350203</v>
      </c>
      <c r="C400" s="13">
        <v>1</v>
      </c>
      <c r="D400" s="18">
        <f t="shared" ca="1" si="12"/>
        <v>0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19350204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19350205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19350206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19350207</v>
      </c>
      <c r="C404" s="13">
        <v>1</v>
      </c>
      <c r="D404" s="18">
        <f t="shared" ca="1" si="12"/>
        <v>32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19350208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19350209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19350210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19350211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19350212</v>
      </c>
      <c r="C409" s="13">
        <v>1</v>
      </c>
      <c r="D409" s="18">
        <f t="shared" ca="1" si="12"/>
        <v>23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19350213</v>
      </c>
      <c r="C410" s="13">
        <v>1</v>
      </c>
      <c r="D410" s="18">
        <f t="shared" ca="1" si="12"/>
        <v>0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19350214</v>
      </c>
      <c r="C411" s="13">
        <v>1</v>
      </c>
      <c r="D411" s="18">
        <f t="shared" ca="1" si="12"/>
        <v>0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19350215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19350216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19350217</v>
      </c>
      <c r="C414" s="13">
        <v>1</v>
      </c>
      <c r="D414" s="18">
        <f t="shared" ca="1" si="12"/>
        <v>0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19350218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19350219</v>
      </c>
      <c r="C416" s="13">
        <v>1</v>
      </c>
      <c r="D416" s="18">
        <f t="shared" ca="1" si="12"/>
        <v>27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19350220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19350221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19350222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19350223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19350224</v>
      </c>
      <c r="C421" s="13">
        <v>1</v>
      </c>
      <c r="D421" s="18">
        <f t="shared" ca="1" si="12"/>
        <v>0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19350225</v>
      </c>
      <c r="C422" s="13">
        <v>1</v>
      </c>
      <c r="D422" s="18">
        <f t="shared" ca="1" si="12"/>
        <v>0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19350226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19350227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19350228</v>
      </c>
      <c r="C425" s="13">
        <v>1</v>
      </c>
      <c r="D425" s="18">
        <f t="shared" ca="1" si="12"/>
        <v>77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19350301</v>
      </c>
      <c r="C426" s="13">
        <v>1</v>
      </c>
      <c r="D426" s="18">
        <f t="shared" ca="1" si="12"/>
        <v>10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19350302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19350303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19350304</v>
      </c>
      <c r="C429" s="13">
        <v>1</v>
      </c>
      <c r="D429" s="18">
        <f t="shared" ca="1" si="12"/>
        <v>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19350305</v>
      </c>
      <c r="C430" s="13">
        <v>1</v>
      </c>
      <c r="D430" s="18">
        <f t="shared" ca="1" si="12"/>
        <v>0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19350306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19350307</v>
      </c>
      <c r="C432" s="13">
        <v>1</v>
      </c>
      <c r="D432" s="18">
        <f t="shared" ca="1" si="12"/>
        <v>50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19350308</v>
      </c>
      <c r="C433" s="13">
        <v>1</v>
      </c>
      <c r="D433" s="18">
        <f t="shared" ca="1" si="12"/>
        <v>65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19350309</v>
      </c>
      <c r="C434" s="13">
        <v>1</v>
      </c>
      <c r="D434" s="18">
        <f t="shared" ca="1" si="12"/>
        <v>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19350310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19350311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19350312</v>
      </c>
      <c r="C437" s="13">
        <v>1</v>
      </c>
      <c r="D437" s="18">
        <f t="shared" ca="1" si="12"/>
        <v>34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19350313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19350314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19350315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19350316</v>
      </c>
      <c r="C441" s="13">
        <v>1</v>
      </c>
      <c r="D441" s="18">
        <f t="shared" ca="1" si="12"/>
        <v>180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19350317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19350318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19350319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19350320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19350321</v>
      </c>
      <c r="C446" s="13">
        <v>1</v>
      </c>
      <c r="D446" s="18">
        <f t="shared" ca="1" si="12"/>
        <v>42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19350322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19350323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19350324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19350325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19350326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19350327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19350328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19350329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19350330</v>
      </c>
      <c r="C455" s="13">
        <v>1</v>
      </c>
      <c r="D455" s="18">
        <f t="shared" ca="1" si="14"/>
        <v>70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19350331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19350401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19350402</v>
      </c>
      <c r="C458" s="13">
        <v>1</v>
      </c>
      <c r="D458" s="18">
        <f t="shared" ca="1" si="14"/>
        <v>37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19350403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19350404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19350405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19350406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19350407</v>
      </c>
      <c r="C463" s="13">
        <v>1</v>
      </c>
      <c r="D463" s="18">
        <f t="shared" ca="1" si="14"/>
        <v>0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19350408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19350409</v>
      </c>
      <c r="C465" s="13">
        <v>1</v>
      </c>
      <c r="D465" s="18">
        <f t="shared" ca="1" si="14"/>
        <v>0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19350410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19350411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19350412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19350413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19350414</v>
      </c>
      <c r="C470" s="13">
        <v>1</v>
      </c>
      <c r="D470" s="18">
        <f t="shared" ca="1" si="14"/>
        <v>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19350415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19350416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19350417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19350418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19350419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19350420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19350421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19350422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19350423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19350424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19350425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19350426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19350427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19350428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19350429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19350430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19350501</v>
      </c>
      <c r="C487" s="13">
        <v>1</v>
      </c>
      <c r="D487" s="18" t="str">
        <f t="shared" ca="1" si="14"/>
        <v>—</v>
      </c>
      <c r="E487" s="19">
        <f t="shared" ca="1" si="15"/>
        <v>7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19350502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19350503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19350504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19350505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19350506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19350507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19350508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19350509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19350510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19350511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19350512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19350513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19350514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19350515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19350516</v>
      </c>
      <c r="C502" s="13">
        <v>1</v>
      </c>
      <c r="D502" s="18">
        <f t="shared" ca="1" si="14"/>
        <v>0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19350517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19350518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19350519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19350520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19350521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19350522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19350523</v>
      </c>
      <c r="C509" s="13">
        <v>1</v>
      </c>
      <c r="D509" s="18">
        <f t="shared" ca="1" si="14"/>
        <v>0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19350524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19350525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19350526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19350527</v>
      </c>
      <c r="C513" s="13">
        <v>1</v>
      </c>
      <c r="D513" s="18">
        <f t="shared" ca="1" si="14"/>
        <v>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19350528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19350529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19350530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19350531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19350601</v>
      </c>
      <c r="C518" s="13">
        <v>1</v>
      </c>
      <c r="D518" s="18">
        <f t="shared" ca="1" si="16"/>
        <v>0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19350602</v>
      </c>
      <c r="C519" s="13">
        <v>1</v>
      </c>
      <c r="D519" s="18">
        <f t="shared" ca="1" si="16"/>
        <v>80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19350603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19350604</v>
      </c>
      <c r="C521" s="13">
        <v>1</v>
      </c>
      <c r="D521" s="18">
        <f t="shared" ca="1" si="16"/>
        <v>0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19350605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19350606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19350607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19350608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19350609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19350610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19350611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19350612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19350613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19350614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19350615</v>
      </c>
      <c r="C532" s="13">
        <v>1</v>
      </c>
      <c r="D532" s="18">
        <f t="shared" ca="1" si="16"/>
        <v>120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19350616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19350617</v>
      </c>
      <c r="C534" s="13">
        <v>1</v>
      </c>
      <c r="D534" s="18">
        <f t="shared" ca="1" si="16"/>
        <v>0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19350618</v>
      </c>
      <c r="C535" s="13">
        <v>1</v>
      </c>
      <c r="D535" s="18">
        <f t="shared" ca="1" si="16"/>
        <v>0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19350619</v>
      </c>
      <c r="C536" s="13">
        <v>1</v>
      </c>
      <c r="D536" s="18">
        <f t="shared" ca="1" si="16"/>
        <v>17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19350620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19350621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19350622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19350623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19350624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19350625</v>
      </c>
      <c r="C542" s="13">
        <v>1</v>
      </c>
      <c r="D542" s="18">
        <f t="shared" ca="1" si="16"/>
        <v>15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19350626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19350627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19350628</v>
      </c>
      <c r="C545" s="13">
        <v>1</v>
      </c>
      <c r="D545" s="18">
        <f t="shared" ca="1" si="16"/>
        <v>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19350629</v>
      </c>
      <c r="C546" s="13">
        <v>1</v>
      </c>
      <c r="D546" s="18">
        <f t="shared" ca="1" si="16"/>
        <v>16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19350630</v>
      </c>
      <c r="C547" s="13">
        <v>1</v>
      </c>
      <c r="D547" s="18">
        <f t="shared" ca="1" si="16"/>
        <v>0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19350701</v>
      </c>
      <c r="C548" s="13">
        <v>1</v>
      </c>
      <c r="D548" s="18">
        <f t="shared" ca="1" si="16"/>
        <v>0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19350702</v>
      </c>
      <c r="C549" s="13">
        <v>1</v>
      </c>
      <c r="D549" s="18">
        <f t="shared" ca="1" si="16"/>
        <v>0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19350703</v>
      </c>
      <c r="C550" s="13">
        <v>1</v>
      </c>
      <c r="D550" s="18">
        <f t="shared" ca="1" si="16"/>
        <v>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19350704</v>
      </c>
      <c r="C551" s="13">
        <v>1</v>
      </c>
      <c r="D551" s="18">
        <f t="shared" ca="1" si="16"/>
        <v>20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19350705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19350706</v>
      </c>
      <c r="C553" s="13">
        <v>1</v>
      </c>
      <c r="D553" s="18">
        <f t="shared" ca="1" si="16"/>
        <v>10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19350707</v>
      </c>
      <c r="C554" s="13">
        <v>1</v>
      </c>
      <c r="D554" s="18">
        <f t="shared" ca="1" si="16"/>
        <v>0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19350708</v>
      </c>
      <c r="C555" s="13">
        <v>1</v>
      </c>
      <c r="D555" s="18">
        <f t="shared" ca="1" si="16"/>
        <v>0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19350709</v>
      </c>
      <c r="C556" s="13">
        <v>1</v>
      </c>
      <c r="D556" s="18">
        <f t="shared" ca="1" si="16"/>
        <v>58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19350710</v>
      </c>
      <c r="C557" s="13">
        <v>1</v>
      </c>
      <c r="D557" s="18">
        <f t="shared" ca="1" si="16"/>
        <v>0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19350711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19350712</v>
      </c>
      <c r="C559" s="13">
        <v>1</v>
      </c>
      <c r="D559" s="18">
        <f t="shared" ca="1" si="16"/>
        <v>0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19350713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19350714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19350715</v>
      </c>
      <c r="C562" s="13">
        <v>1</v>
      </c>
      <c r="D562" s="18">
        <f t="shared" ca="1" si="16"/>
        <v>67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19350716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19350717</v>
      </c>
      <c r="C564" s="13">
        <v>1</v>
      </c>
      <c r="D564" s="18">
        <f t="shared" ca="1" si="16"/>
        <v>0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19350718</v>
      </c>
      <c r="C565" s="13">
        <v>1</v>
      </c>
      <c r="D565" s="18">
        <f t="shared" ca="1" si="16"/>
        <v>0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19350719</v>
      </c>
      <c r="C566" s="13">
        <v>1</v>
      </c>
      <c r="D566" s="18">
        <f t="shared" ca="1" si="16"/>
        <v>55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19350720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19350721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19350722</v>
      </c>
      <c r="C569" s="13">
        <v>1</v>
      </c>
      <c r="D569" s="18">
        <f t="shared" ca="1" si="16"/>
        <v>0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19350723</v>
      </c>
      <c r="C570" s="13">
        <v>1</v>
      </c>
      <c r="D570" s="18">
        <f t="shared" ca="1" si="16"/>
        <v>57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19350724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19350725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19350726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19350727</v>
      </c>
      <c r="C574" s="13">
        <v>1</v>
      </c>
      <c r="D574" s="18">
        <f t="shared" ca="1" si="16"/>
        <v>49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19350728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19350729</v>
      </c>
      <c r="C576" s="13">
        <v>1</v>
      </c>
      <c r="D576" s="18">
        <f t="shared" ca="1" si="16"/>
        <v>0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19350730</v>
      </c>
      <c r="C577" s="13">
        <v>1</v>
      </c>
      <c r="D577" s="18">
        <f t="shared" ca="1" si="16"/>
        <v>0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19350731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19350801</v>
      </c>
      <c r="C579" s="13">
        <v>1</v>
      </c>
      <c r="D579" s="18">
        <f t="shared" ca="1" si="18"/>
        <v>30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19350802</v>
      </c>
      <c r="C580" s="13">
        <v>1</v>
      </c>
      <c r="D580" s="18">
        <f t="shared" ca="1" si="18"/>
        <v>0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19350803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19350804</v>
      </c>
      <c r="C582" s="13">
        <v>1</v>
      </c>
      <c r="D582" s="18">
        <f t="shared" ca="1" si="18"/>
        <v>63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19350805</v>
      </c>
      <c r="C583" s="13">
        <v>1</v>
      </c>
      <c r="D583" s="18">
        <f t="shared" ca="1" si="18"/>
        <v>0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19350806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19350807</v>
      </c>
      <c r="C585" s="13">
        <v>1</v>
      </c>
      <c r="D585" s="18">
        <f t="shared" ca="1" si="18"/>
        <v>0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19350808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19350809</v>
      </c>
      <c r="C587" s="13">
        <v>1</v>
      </c>
      <c r="D587" s="18">
        <f t="shared" ca="1" si="18"/>
        <v>0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19350810</v>
      </c>
      <c r="C588" s="13">
        <v>1</v>
      </c>
      <c r="D588" s="18">
        <f t="shared" ca="1" si="18"/>
        <v>0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19350811</v>
      </c>
      <c r="C589" s="13">
        <v>1</v>
      </c>
      <c r="D589" s="18">
        <f t="shared" ca="1" si="18"/>
        <v>96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19350812</v>
      </c>
      <c r="C590" s="13">
        <v>1</v>
      </c>
      <c r="D590" s="18">
        <f t="shared" ca="1" si="18"/>
        <v>38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19350813</v>
      </c>
      <c r="C591" s="13">
        <v>1</v>
      </c>
      <c r="D591" s="18">
        <f t="shared" ca="1" si="18"/>
        <v>0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19350814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19350815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19350816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19350817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19350818</v>
      </c>
      <c r="C596" s="13">
        <v>1</v>
      </c>
      <c r="D596" s="18">
        <f t="shared" ca="1" si="18"/>
        <v>0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19350819</v>
      </c>
      <c r="C597" s="13">
        <v>1</v>
      </c>
      <c r="D597" s="18">
        <f t="shared" ca="1" si="18"/>
        <v>0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19350820</v>
      </c>
      <c r="C598" s="13">
        <v>1</v>
      </c>
      <c r="D598" s="18">
        <f t="shared" ca="1" si="18"/>
        <v>0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19350821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19350822</v>
      </c>
      <c r="C600" s="13">
        <v>1</v>
      </c>
      <c r="D600" s="18">
        <f t="shared" ca="1" si="18"/>
        <v>0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19350823</v>
      </c>
      <c r="C601" s="13">
        <v>1</v>
      </c>
      <c r="D601" s="18">
        <f t="shared" ca="1" si="18"/>
        <v>0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19350824</v>
      </c>
      <c r="C602" s="13">
        <v>1</v>
      </c>
      <c r="D602" s="18">
        <f t="shared" ca="1" si="18"/>
        <v>0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19350825</v>
      </c>
      <c r="C603" s="13">
        <v>1</v>
      </c>
      <c r="D603" s="18">
        <f t="shared" ca="1" si="18"/>
        <v>220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19350826</v>
      </c>
      <c r="C604" s="13">
        <v>1</v>
      </c>
      <c r="D604" s="18">
        <f t="shared" ca="1" si="18"/>
        <v>874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19350827</v>
      </c>
      <c r="C605" s="13">
        <v>1</v>
      </c>
      <c r="D605" s="18">
        <f t="shared" ca="1" si="18"/>
        <v>0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19350828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19350829</v>
      </c>
      <c r="C607" s="13">
        <v>1</v>
      </c>
      <c r="D607" s="18">
        <f t="shared" ca="1" si="18"/>
        <v>0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19350830</v>
      </c>
      <c r="C608" s="13">
        <v>1</v>
      </c>
      <c r="D608" s="18">
        <f t="shared" ca="1" si="18"/>
        <v>0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19350831</v>
      </c>
      <c r="C609" s="13">
        <v>1</v>
      </c>
      <c r="D609" s="18">
        <f t="shared" ca="1" si="18"/>
        <v>0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19350901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19350902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19350903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19350904</v>
      </c>
      <c r="C613" s="13">
        <v>1</v>
      </c>
      <c r="D613" s="18">
        <f t="shared" ca="1" si="18"/>
        <v>95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19350905</v>
      </c>
      <c r="C614" s="13">
        <v>1</v>
      </c>
      <c r="D614" s="18">
        <f t="shared" ca="1" si="18"/>
        <v>17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19350906</v>
      </c>
      <c r="C615" s="13">
        <v>1</v>
      </c>
      <c r="D615" s="18">
        <f t="shared" ca="1" si="18"/>
        <v>0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19350907</v>
      </c>
      <c r="C616" s="13">
        <v>1</v>
      </c>
      <c r="D616" s="18">
        <f t="shared" ca="1" si="18"/>
        <v>0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19350908</v>
      </c>
      <c r="C617" s="13">
        <v>1</v>
      </c>
      <c r="D617" s="18">
        <f t="shared" ca="1" si="18"/>
        <v>0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19350909</v>
      </c>
      <c r="C618" s="13">
        <v>1</v>
      </c>
      <c r="D618" s="18">
        <f t="shared" ca="1" si="18"/>
        <v>0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19350910</v>
      </c>
      <c r="C619" s="13">
        <v>1</v>
      </c>
      <c r="D619" s="18">
        <f t="shared" ca="1" si="18"/>
        <v>0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19350911</v>
      </c>
      <c r="C620" s="13">
        <v>1</v>
      </c>
      <c r="D620" s="18">
        <f t="shared" ca="1" si="18"/>
        <v>0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19350912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19350913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19350914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19350915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19350916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19350917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19350918</v>
      </c>
      <c r="C627" s="13">
        <v>1</v>
      </c>
      <c r="D627" s="18">
        <f t="shared" ca="1" si="18"/>
        <v>0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19350919</v>
      </c>
      <c r="C628" s="13">
        <v>1</v>
      </c>
      <c r="D628" s="18">
        <f t="shared" ca="1" si="18"/>
        <v>0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19350920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19350921</v>
      </c>
      <c r="C630" s="13">
        <v>1</v>
      </c>
      <c r="D630" s="18">
        <f t="shared" ca="1" si="18"/>
        <v>0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19350922</v>
      </c>
      <c r="C631" s="13">
        <v>1</v>
      </c>
      <c r="D631" s="18">
        <f t="shared" ca="1" si="18"/>
        <v>0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19350923</v>
      </c>
      <c r="C632" s="13">
        <v>1</v>
      </c>
      <c r="D632" s="18">
        <f t="shared" ca="1" si="18"/>
        <v>134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19350924</v>
      </c>
      <c r="C633" s="13">
        <v>1</v>
      </c>
      <c r="D633" s="18">
        <f t="shared" ca="1" si="18"/>
        <v>0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19350925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19350926</v>
      </c>
      <c r="C635" s="13">
        <v>1</v>
      </c>
      <c r="D635" s="18">
        <f t="shared" ca="1" si="18"/>
        <v>0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19350927</v>
      </c>
      <c r="C636" s="13">
        <v>1</v>
      </c>
      <c r="D636" s="18">
        <f t="shared" ca="1" si="18"/>
        <v>0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19350928</v>
      </c>
      <c r="C637" s="13">
        <v>1</v>
      </c>
      <c r="D637" s="18">
        <f t="shared" ca="1" si="18"/>
        <v>167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19350929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19350930</v>
      </c>
      <c r="C639" s="13">
        <v>1</v>
      </c>
      <c r="D639" s="18">
        <f t="shared" ca="1" si="18"/>
        <v>20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19351001</v>
      </c>
      <c r="C640" s="13">
        <v>1</v>
      </c>
      <c r="D640" s="18">
        <f t="shared" ca="1" si="18"/>
        <v>40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19351002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19351003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19351004</v>
      </c>
      <c r="C643" s="13">
        <v>1</v>
      </c>
      <c r="D643" s="18">
        <f t="shared" ca="1" si="20"/>
        <v>0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19351005</v>
      </c>
      <c r="C644" s="13">
        <v>1</v>
      </c>
      <c r="D644" s="18">
        <f t="shared" ca="1" si="20"/>
        <v>0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19351006</v>
      </c>
      <c r="C645" s="13">
        <v>1</v>
      </c>
      <c r="D645" s="18">
        <f t="shared" ca="1" si="20"/>
        <v>0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19351007</v>
      </c>
      <c r="C646" s="13">
        <v>1</v>
      </c>
      <c r="D646" s="18">
        <f t="shared" ca="1" si="20"/>
        <v>124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19351008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19351009</v>
      </c>
      <c r="C648" s="13">
        <v>1</v>
      </c>
      <c r="D648" s="18">
        <f t="shared" ca="1" si="20"/>
        <v>0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19351010</v>
      </c>
      <c r="C649" s="13">
        <v>1</v>
      </c>
      <c r="D649" s="18">
        <f t="shared" ca="1" si="20"/>
        <v>0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19351011</v>
      </c>
      <c r="C650" s="13">
        <v>1</v>
      </c>
      <c r="D650" s="18">
        <f t="shared" ca="1" si="20"/>
        <v>0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19351012</v>
      </c>
      <c r="C651" s="13">
        <v>1</v>
      </c>
      <c r="D651" s="18">
        <f t="shared" ca="1" si="20"/>
        <v>0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19351013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19351014</v>
      </c>
      <c r="C653" s="13">
        <v>1</v>
      </c>
      <c r="D653" s="18">
        <f t="shared" ca="1" si="20"/>
        <v>0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19351015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19351016</v>
      </c>
      <c r="C655" s="13">
        <v>1</v>
      </c>
      <c r="D655" s="18">
        <f t="shared" ca="1" si="20"/>
        <v>127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19351017</v>
      </c>
      <c r="C656" s="13">
        <v>1</v>
      </c>
      <c r="D656" s="18">
        <f t="shared" ca="1" si="20"/>
        <v>0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19351018</v>
      </c>
      <c r="C657" s="13">
        <v>1</v>
      </c>
      <c r="D657" s="18">
        <f t="shared" ca="1" si="20"/>
        <v>0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19351019</v>
      </c>
      <c r="C658" s="13">
        <v>1</v>
      </c>
      <c r="D658" s="18">
        <f t="shared" ca="1" si="20"/>
        <v>0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19351020</v>
      </c>
      <c r="C659" s="13">
        <v>1</v>
      </c>
      <c r="D659" s="18">
        <f t="shared" ca="1" si="20"/>
        <v>75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19351021</v>
      </c>
      <c r="C660" s="13">
        <v>1</v>
      </c>
      <c r="D660" s="18">
        <f t="shared" ca="1" si="20"/>
        <v>0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19351022</v>
      </c>
      <c r="C661" s="13">
        <v>1</v>
      </c>
      <c r="D661" s="18">
        <f t="shared" ca="1" si="20"/>
        <v>0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19351023</v>
      </c>
      <c r="C662" s="13">
        <v>1</v>
      </c>
      <c r="D662" s="18">
        <f t="shared" ca="1" si="20"/>
        <v>0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19351024</v>
      </c>
      <c r="C663" s="13">
        <v>1</v>
      </c>
      <c r="D663" s="18">
        <f t="shared" ca="1" si="20"/>
        <v>0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19351025</v>
      </c>
      <c r="C664" s="13">
        <v>1</v>
      </c>
      <c r="D664" s="18">
        <f t="shared" ca="1" si="20"/>
        <v>0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19351026</v>
      </c>
      <c r="C665" s="13">
        <v>1</v>
      </c>
      <c r="D665" s="18">
        <f t="shared" ca="1" si="20"/>
        <v>0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19351027</v>
      </c>
      <c r="C666" s="13">
        <v>1</v>
      </c>
      <c r="D666" s="18">
        <f t="shared" ca="1" si="20"/>
        <v>0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19351028</v>
      </c>
      <c r="C667" s="13">
        <v>1</v>
      </c>
      <c r="D667" s="18">
        <f t="shared" ca="1" si="20"/>
        <v>64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19351029</v>
      </c>
      <c r="C668" s="13">
        <v>1</v>
      </c>
      <c r="D668" s="18">
        <f t="shared" ca="1" si="20"/>
        <v>0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19351030</v>
      </c>
      <c r="C669" s="13">
        <v>1</v>
      </c>
      <c r="D669" s="18">
        <f t="shared" ca="1" si="20"/>
        <v>56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19351031</v>
      </c>
      <c r="C670" s="13">
        <v>1</v>
      </c>
      <c r="D670" s="18">
        <f t="shared" ca="1" si="20"/>
        <v>687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19351101</v>
      </c>
      <c r="C671" s="13">
        <v>1</v>
      </c>
      <c r="D671" s="18">
        <f t="shared" ca="1" si="20"/>
        <v>70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19351102</v>
      </c>
      <c r="C672" s="13">
        <v>1</v>
      </c>
      <c r="D672" s="18">
        <f t="shared" ca="1" si="20"/>
        <v>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19351103</v>
      </c>
      <c r="C673" s="13">
        <v>1</v>
      </c>
      <c r="D673" s="18">
        <f t="shared" ca="1" si="20"/>
        <v>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19351104</v>
      </c>
      <c r="C674" s="13">
        <v>1</v>
      </c>
      <c r="D674" s="18">
        <f t="shared" ca="1" si="20"/>
        <v>0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19351105</v>
      </c>
      <c r="C675" s="13">
        <v>1</v>
      </c>
      <c r="D675" s="18">
        <f t="shared" ca="1" si="20"/>
        <v>122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19351106</v>
      </c>
      <c r="C676" s="13">
        <v>1</v>
      </c>
      <c r="D676" s="18">
        <f t="shared" ca="1" si="20"/>
        <v>0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19351107</v>
      </c>
      <c r="C677" s="13">
        <v>1</v>
      </c>
      <c r="D677" s="18">
        <f t="shared" ca="1" si="20"/>
        <v>0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19351108</v>
      </c>
      <c r="C678" s="13">
        <v>1</v>
      </c>
      <c r="D678" s="18">
        <f t="shared" ca="1" si="20"/>
        <v>133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19351109</v>
      </c>
      <c r="C679" s="13">
        <v>1</v>
      </c>
      <c r="D679" s="18">
        <f t="shared" ca="1" si="20"/>
        <v>218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19351110</v>
      </c>
      <c r="C680" s="13">
        <v>1</v>
      </c>
      <c r="D680" s="18">
        <f t="shared" ca="1" si="20"/>
        <v>0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19351111</v>
      </c>
      <c r="C681" s="13">
        <v>1</v>
      </c>
      <c r="D681" s="18">
        <f t="shared" ca="1" si="20"/>
        <v>47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19351112</v>
      </c>
      <c r="C682" s="13">
        <v>1</v>
      </c>
      <c r="D682" s="18">
        <f t="shared" ca="1" si="20"/>
        <v>0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19351113</v>
      </c>
      <c r="C683" s="13">
        <v>1</v>
      </c>
      <c r="D683" s="18">
        <f t="shared" ca="1" si="20"/>
        <v>0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19351114</v>
      </c>
      <c r="C684" s="13">
        <v>1</v>
      </c>
      <c r="D684" s="18">
        <f t="shared" ca="1" si="20"/>
        <v>0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19351115</v>
      </c>
      <c r="C685" s="13">
        <v>1</v>
      </c>
      <c r="D685" s="18">
        <f t="shared" ca="1" si="20"/>
        <v>0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19351116</v>
      </c>
      <c r="C686" s="13">
        <v>1</v>
      </c>
      <c r="D686" s="18">
        <f t="shared" ca="1" si="20"/>
        <v>0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19351117</v>
      </c>
      <c r="C687" s="13">
        <v>1</v>
      </c>
      <c r="D687" s="18">
        <f t="shared" ca="1" si="20"/>
        <v>71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19351118</v>
      </c>
      <c r="C688" s="13">
        <v>1</v>
      </c>
      <c r="D688" s="18">
        <f t="shared" ca="1" si="20"/>
        <v>0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19351119</v>
      </c>
      <c r="C689" s="13">
        <v>1</v>
      </c>
      <c r="D689" s="18">
        <f t="shared" ca="1" si="20"/>
        <v>0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19351120</v>
      </c>
      <c r="C690" s="13">
        <v>1</v>
      </c>
      <c r="D690" s="18">
        <f t="shared" ca="1" si="20"/>
        <v>45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19351121</v>
      </c>
      <c r="C691" s="13">
        <v>1</v>
      </c>
      <c r="D691" s="18">
        <f t="shared" ca="1" si="20"/>
        <v>0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19351122</v>
      </c>
      <c r="C692" s="13">
        <v>1</v>
      </c>
      <c r="D692" s="18">
        <f t="shared" ca="1" si="20"/>
        <v>0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19351123</v>
      </c>
      <c r="C693" s="13">
        <v>1</v>
      </c>
      <c r="D693" s="18">
        <f t="shared" ca="1" si="20"/>
        <v>0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19351124</v>
      </c>
      <c r="C694" s="13">
        <v>1</v>
      </c>
      <c r="D694" s="18">
        <f t="shared" ca="1" si="20"/>
        <v>0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19351125</v>
      </c>
      <c r="C695" s="13">
        <v>1</v>
      </c>
      <c r="D695" s="18">
        <f t="shared" ca="1" si="20"/>
        <v>140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19351126</v>
      </c>
      <c r="C696" s="13">
        <v>1</v>
      </c>
      <c r="D696" s="18">
        <f t="shared" ca="1" si="20"/>
        <v>0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19351127</v>
      </c>
      <c r="C697" s="13">
        <v>1</v>
      </c>
      <c r="D697" s="18">
        <f t="shared" ca="1" si="20"/>
        <v>0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19351128</v>
      </c>
      <c r="C698" s="13">
        <v>1</v>
      </c>
      <c r="D698" s="18">
        <f t="shared" ca="1" si="20"/>
        <v>51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19351129</v>
      </c>
      <c r="C699" s="13">
        <v>1</v>
      </c>
      <c r="D699" s="18">
        <f t="shared" ca="1" si="20"/>
        <v>30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19351130</v>
      </c>
      <c r="C700" s="13">
        <v>1</v>
      </c>
      <c r="D700" s="18">
        <f t="shared" ca="1" si="20"/>
        <v>165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19351201</v>
      </c>
      <c r="C701" s="13">
        <v>1</v>
      </c>
      <c r="D701" s="18">
        <f t="shared" ca="1" si="20"/>
        <v>34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19351202</v>
      </c>
      <c r="C702" s="13">
        <v>1</v>
      </c>
      <c r="D702" s="18">
        <f t="shared" ca="1" si="20"/>
        <v>0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19351203</v>
      </c>
      <c r="C703" s="13">
        <v>1</v>
      </c>
      <c r="D703" s="18">
        <f t="shared" ca="1" si="20"/>
        <v>55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19351204</v>
      </c>
      <c r="C704" s="13">
        <v>1</v>
      </c>
      <c r="D704" s="18">
        <f t="shared" ca="1" si="20"/>
        <v>0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19351205</v>
      </c>
      <c r="C705" s="13">
        <v>1</v>
      </c>
      <c r="D705" s="18">
        <f t="shared" ca="1" si="20"/>
        <v>63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19351206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19351207</v>
      </c>
      <c r="C707" s="13">
        <v>1</v>
      </c>
      <c r="D707" s="18">
        <f t="shared" ca="1" si="22"/>
        <v>585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19351208</v>
      </c>
      <c r="C708" s="13">
        <v>1</v>
      </c>
      <c r="D708" s="18">
        <f t="shared" ca="1" si="22"/>
        <v>42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19351209</v>
      </c>
      <c r="C709" s="13">
        <v>1</v>
      </c>
      <c r="D709" s="18">
        <f t="shared" ca="1" si="22"/>
        <v>0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19351210</v>
      </c>
      <c r="C710" s="13">
        <v>1</v>
      </c>
      <c r="D710" s="18">
        <f t="shared" ca="1" si="22"/>
        <v>34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19351211</v>
      </c>
      <c r="C711" s="13">
        <v>1</v>
      </c>
      <c r="D711" s="18">
        <f t="shared" ca="1" si="22"/>
        <v>0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19351212</v>
      </c>
      <c r="C712" s="13">
        <v>1</v>
      </c>
      <c r="D712" s="18">
        <f t="shared" ca="1" si="22"/>
        <v>0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19351213</v>
      </c>
      <c r="C713" s="13">
        <v>1</v>
      </c>
      <c r="D713" s="18">
        <f t="shared" ca="1" si="22"/>
        <v>0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19351214</v>
      </c>
      <c r="C714" s="13">
        <v>1</v>
      </c>
      <c r="D714" s="18">
        <f t="shared" ca="1" si="22"/>
        <v>0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19351215</v>
      </c>
      <c r="C715" s="13">
        <v>1</v>
      </c>
      <c r="D715" s="18">
        <f t="shared" ca="1" si="22"/>
        <v>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19351216</v>
      </c>
      <c r="C716" s="13">
        <v>1</v>
      </c>
      <c r="D716" s="18">
        <f t="shared" ca="1" si="22"/>
        <v>0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19351217</v>
      </c>
      <c r="C717" s="13">
        <v>1</v>
      </c>
      <c r="D717" s="18">
        <f t="shared" ca="1" si="22"/>
        <v>0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19351218</v>
      </c>
      <c r="C718" s="13">
        <v>1</v>
      </c>
      <c r="D718" s="18">
        <f t="shared" ca="1" si="22"/>
        <v>0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19351219</v>
      </c>
      <c r="C719" s="13">
        <v>1</v>
      </c>
      <c r="D719" s="18">
        <f t="shared" ca="1" si="22"/>
        <v>152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19351220</v>
      </c>
      <c r="C720" s="13">
        <v>1</v>
      </c>
      <c r="D720" s="18">
        <f t="shared" ca="1" si="22"/>
        <v>40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19351221</v>
      </c>
      <c r="C721" s="13">
        <v>1</v>
      </c>
      <c r="D721" s="18">
        <f t="shared" ca="1" si="22"/>
        <v>0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19351222</v>
      </c>
      <c r="C722" s="13">
        <v>1</v>
      </c>
      <c r="D722" s="18">
        <f t="shared" ca="1" si="22"/>
        <v>0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19351223</v>
      </c>
      <c r="C723" s="13">
        <v>1</v>
      </c>
      <c r="D723" s="18">
        <f t="shared" ca="1" si="22"/>
        <v>0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19351224</v>
      </c>
      <c r="C724" s="13">
        <v>1</v>
      </c>
      <c r="D724" s="18">
        <f t="shared" ca="1" si="22"/>
        <v>0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19351225</v>
      </c>
      <c r="C725" s="13">
        <v>1</v>
      </c>
      <c r="D725" s="18">
        <f t="shared" ca="1" si="22"/>
        <v>0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19351226</v>
      </c>
      <c r="C726" s="13">
        <v>1</v>
      </c>
      <c r="D726" s="18">
        <f t="shared" ca="1" si="22"/>
        <v>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19351227</v>
      </c>
      <c r="C727" s="13">
        <v>1</v>
      </c>
      <c r="D727" s="18">
        <f t="shared" ca="1" si="22"/>
        <v>0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19351228</v>
      </c>
      <c r="C728" s="13">
        <v>1</v>
      </c>
      <c r="D728" s="18">
        <f t="shared" ca="1" si="22"/>
        <v>0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19351229</v>
      </c>
      <c r="C729" s="13">
        <v>1</v>
      </c>
      <c r="D729" s="18">
        <f t="shared" ca="1" si="22"/>
        <v>0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19351230</v>
      </c>
      <c r="C730" s="13">
        <v>1</v>
      </c>
      <c r="D730" s="18">
        <f t="shared" ca="1" si="22"/>
        <v>0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19351231</v>
      </c>
      <c r="C731" s="13">
        <v>1</v>
      </c>
      <c r="D731" s="18">
        <f t="shared" ca="1" si="22"/>
        <v>0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49</v>
      </c>
      <c r="B732" t="str">
        <f ca="1">TEXT(DATE(YEAR(Invoer!$A$5),1,1)+MOD(ROWS(B$2:B732)-1,DATE(YEAR(Invoer!$A$5),12,31)-DATE(YEAR(Invoer!$A$5),1,1)+1),"jjjjmmdd")</f>
        <v>19350101</v>
      </c>
      <c r="C732" s="13">
        <v>1</v>
      </c>
      <c r="D732" s="18" t="str">
        <f t="shared" ca="1" si="22"/>
        <v>—</v>
      </c>
      <c r="E732" s="19">
        <f t="shared" ca="1" si="23"/>
        <v>7</v>
      </c>
    </row>
    <row r="733" spans="1:5" x14ac:dyDescent="0.25">
      <c r="A733" s="12">
        <f ca="1">INDEX(Stations,INT((ROWS(A$2:A733)-1)/(DATE(YEAR(Invoer!$A$5),12,31)-DATE(YEAR(Invoer!$A$5),1,1)+1))+2,1)</f>
        <v>49</v>
      </c>
      <c r="B733" t="str">
        <f ca="1">TEXT(DATE(YEAR(Invoer!$A$5),1,1)+MOD(ROWS(B$2:B733)-1,DATE(YEAR(Invoer!$A$5),12,31)-DATE(YEAR(Invoer!$A$5),1,1)+1),"jjjjmmdd")</f>
        <v>19350102</v>
      </c>
      <c r="C733" s="13">
        <v>1</v>
      </c>
      <c r="D733" s="18">
        <f t="shared" ca="1" si="22"/>
        <v>0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19350103</v>
      </c>
      <c r="C734" s="13">
        <v>1</v>
      </c>
      <c r="D734" s="18">
        <f t="shared" ca="1" si="22"/>
        <v>0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19350104</v>
      </c>
      <c r="C735" s="13">
        <v>1</v>
      </c>
      <c r="D735" s="18">
        <f t="shared" ca="1" si="22"/>
        <v>0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19350105</v>
      </c>
      <c r="C736" s="13">
        <v>1</v>
      </c>
      <c r="D736" s="18">
        <f t="shared" ca="1" si="22"/>
        <v>0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19350106</v>
      </c>
      <c r="C737" s="13">
        <v>1</v>
      </c>
      <c r="D737" s="18">
        <f t="shared" ca="1" si="22"/>
        <v>0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19350107</v>
      </c>
      <c r="C738" s="13">
        <v>1</v>
      </c>
      <c r="D738" s="18">
        <f t="shared" ca="1" si="22"/>
        <v>0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19350108</v>
      </c>
      <c r="C739" s="13">
        <v>1</v>
      </c>
      <c r="D739" s="18">
        <f t="shared" ca="1" si="22"/>
        <v>0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19350109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19350110</v>
      </c>
      <c r="C741" s="13">
        <v>1</v>
      </c>
      <c r="D741" s="18">
        <f t="shared" ca="1" si="22"/>
        <v>0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19350111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19350112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19350113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19350114</v>
      </c>
      <c r="C745" s="13">
        <v>1</v>
      </c>
      <c r="D745" s="18">
        <f t="shared" ca="1" si="22"/>
        <v>0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19350115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19350116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19350117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19350118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19350119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19350120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19350121</v>
      </c>
      <c r="C752" s="13">
        <v>1</v>
      </c>
      <c r="D752" s="18">
        <f t="shared" ca="1" si="22"/>
        <v>40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19350122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19350123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19350124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19350125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19350126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19350127</v>
      </c>
      <c r="C758" s="13">
        <v>1</v>
      </c>
      <c r="D758" s="18">
        <f t="shared" ca="1" si="22"/>
        <v>0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19350128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19350129</v>
      </c>
      <c r="C760" s="13">
        <v>1</v>
      </c>
      <c r="D760" s="18">
        <f t="shared" ca="1" si="22"/>
        <v>0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19350130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19350131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19350201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19350202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19350203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19350204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19350205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19350206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19350207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19350208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19350209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19350210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19350211</v>
      </c>
      <c r="C773" s="13">
        <v>1</v>
      </c>
      <c r="D773" s="18">
        <f t="shared" ca="1" si="24"/>
        <v>40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19350212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19350213</v>
      </c>
      <c r="C775" s="13">
        <v>1</v>
      </c>
      <c r="D775" s="18">
        <f t="shared" ca="1" si="24"/>
        <v>0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19350214</v>
      </c>
      <c r="C776" s="13">
        <v>1</v>
      </c>
      <c r="D776" s="18">
        <f t="shared" ca="1" si="24"/>
        <v>0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19350215</v>
      </c>
      <c r="C777" s="13">
        <v>1</v>
      </c>
      <c r="D777" s="18">
        <f t="shared" ca="1" si="24"/>
        <v>0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19350216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19350217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19350218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19350219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19350220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19350221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19350222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19350223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19350224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19350225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19350226</v>
      </c>
      <c r="C788" s="13">
        <v>1</v>
      </c>
      <c r="D788" s="18">
        <f t="shared" ca="1" si="24"/>
        <v>0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19350227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19350228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19350301</v>
      </c>
      <c r="C791" s="13">
        <v>1</v>
      </c>
      <c r="D791" s="18">
        <f t="shared" ca="1" si="24"/>
        <v>0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19350302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19350303</v>
      </c>
      <c r="C793" s="13">
        <v>1</v>
      </c>
      <c r="D793" s="18">
        <f t="shared" ca="1" si="24"/>
        <v>30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19350304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19350305</v>
      </c>
      <c r="C795" s="13">
        <v>1</v>
      </c>
      <c r="D795" s="18">
        <f t="shared" ca="1" si="24"/>
        <v>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19350306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19350307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19350308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19350309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19350310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19350311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19350312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19350313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19350314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19350315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19350316</v>
      </c>
      <c r="C806" s="13">
        <v>1</v>
      </c>
      <c r="D806" s="18">
        <f t="shared" ca="1" si="24"/>
        <v>90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19350317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19350318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19350319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19350320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19350321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19350322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19350323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19350324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19350325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19350326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19350327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19350328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19350329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19350330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19350331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19350401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19350402</v>
      </c>
      <c r="C823" s="13">
        <v>1</v>
      </c>
      <c r="D823" s="18">
        <f t="shared" ca="1" si="24"/>
        <v>65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19350403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19350404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19350405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19350406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19350407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19350408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19350409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19350410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19350411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19350412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19350413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19350414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19350415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19350416</v>
      </c>
      <c r="C837" s="13">
        <v>1</v>
      </c>
      <c r="D837" s="18">
        <f t="shared" ca="1" si="26"/>
        <v>0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19350417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19350418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19350419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19350420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19350421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19350422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19350423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19350424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19350425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19350426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19350427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19350428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19350429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19350430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19350501</v>
      </c>
      <c r="C852" s="13">
        <v>1</v>
      </c>
      <c r="D852" s="18" t="str">
        <f t="shared" ca="1" si="26"/>
        <v>—</v>
      </c>
      <c r="E852" s="19">
        <f t="shared" ca="1" si="27"/>
        <v>7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19350502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19350503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19350504</v>
      </c>
      <c r="C855" s="13">
        <v>1</v>
      </c>
      <c r="D855" s="18">
        <f t="shared" ca="1" si="26"/>
        <v>0</v>
      </c>
      <c r="E855" s="19">
        <f t="shared" ca="1" si="27"/>
        <v>0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19350505</v>
      </c>
      <c r="C856" s="13">
        <v>1</v>
      </c>
      <c r="D856" s="18">
        <f t="shared" ca="1" si="26"/>
        <v>0</v>
      </c>
      <c r="E856" s="19">
        <f t="shared" ca="1" si="27"/>
        <v>0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19350506</v>
      </c>
      <c r="C857" s="13">
        <v>1</v>
      </c>
      <c r="D857" s="18">
        <f t="shared" ca="1" si="26"/>
        <v>0</v>
      </c>
      <c r="E857" s="19">
        <f t="shared" ca="1" si="27"/>
        <v>0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19350507</v>
      </c>
      <c r="C858" s="13">
        <v>1</v>
      </c>
      <c r="D858" s="18">
        <f t="shared" ca="1" si="26"/>
        <v>0</v>
      </c>
      <c r="E858" s="19">
        <f t="shared" ca="1" si="27"/>
        <v>0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19350508</v>
      </c>
      <c r="C859" s="13">
        <v>1</v>
      </c>
      <c r="D859" s="18">
        <f t="shared" ca="1" si="26"/>
        <v>0</v>
      </c>
      <c r="E859" s="19">
        <f t="shared" ca="1" si="27"/>
        <v>0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19350509</v>
      </c>
      <c r="C860" s="13">
        <v>1</v>
      </c>
      <c r="D860" s="18">
        <f t="shared" ca="1" si="26"/>
        <v>0</v>
      </c>
      <c r="E860" s="19">
        <f t="shared" ca="1" si="27"/>
        <v>0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19350510</v>
      </c>
      <c r="C861" s="13">
        <v>1</v>
      </c>
      <c r="D861" s="18">
        <f t="shared" ca="1" si="26"/>
        <v>0</v>
      </c>
      <c r="E861" s="19">
        <f t="shared" ca="1" si="27"/>
        <v>0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19350511</v>
      </c>
      <c r="C862" s="13">
        <v>1</v>
      </c>
      <c r="D862" s="18">
        <f t="shared" ca="1" si="26"/>
        <v>0</v>
      </c>
      <c r="E862" s="19">
        <f t="shared" ca="1" si="27"/>
        <v>0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19350512</v>
      </c>
      <c r="C863" s="13">
        <v>1</v>
      </c>
      <c r="D863" s="18">
        <f t="shared" ca="1" si="26"/>
        <v>0</v>
      </c>
      <c r="E863" s="19">
        <f t="shared" ca="1" si="27"/>
        <v>0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19350513</v>
      </c>
      <c r="C864" s="13">
        <v>1</v>
      </c>
      <c r="D864" s="18">
        <f t="shared" ca="1" si="26"/>
        <v>0</v>
      </c>
      <c r="E864" s="19">
        <f t="shared" ca="1" si="27"/>
        <v>0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19350514</v>
      </c>
      <c r="C865" s="13">
        <v>1</v>
      </c>
      <c r="D865" s="18">
        <f t="shared" ca="1" si="26"/>
        <v>0</v>
      </c>
      <c r="E865" s="19">
        <f t="shared" ca="1" si="27"/>
        <v>0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19350515</v>
      </c>
      <c r="C866" s="13">
        <v>1</v>
      </c>
      <c r="D866" s="18">
        <f t="shared" ca="1" si="26"/>
        <v>0</v>
      </c>
      <c r="E866" s="19">
        <f t="shared" ca="1" si="27"/>
        <v>0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19350516</v>
      </c>
      <c r="C867" s="13">
        <v>1</v>
      </c>
      <c r="D867" s="18">
        <f t="shared" ca="1" si="26"/>
        <v>0</v>
      </c>
      <c r="E867" s="19">
        <f t="shared" ca="1" si="27"/>
        <v>0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19350517</v>
      </c>
      <c r="C868" s="13">
        <v>1</v>
      </c>
      <c r="D868" s="18">
        <f t="shared" ca="1" si="26"/>
        <v>0</v>
      </c>
      <c r="E868" s="19">
        <f t="shared" ca="1" si="27"/>
        <v>0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19350518</v>
      </c>
      <c r="C869" s="13">
        <v>1</v>
      </c>
      <c r="D869" s="18">
        <f t="shared" ca="1" si="26"/>
        <v>0</v>
      </c>
      <c r="E869" s="19">
        <f t="shared" ca="1" si="27"/>
        <v>0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19350519</v>
      </c>
      <c r="C870" s="13">
        <v>1</v>
      </c>
      <c r="D870" s="18">
        <f t="shared" ca="1" si="26"/>
        <v>0</v>
      </c>
      <c r="E870" s="19">
        <f t="shared" ca="1" si="27"/>
        <v>0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19350520</v>
      </c>
      <c r="C871" s="13">
        <v>1</v>
      </c>
      <c r="D871" s="18">
        <f t="shared" ca="1" si="26"/>
        <v>0</v>
      </c>
      <c r="E871" s="19">
        <f t="shared" ca="1" si="27"/>
        <v>0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19350521</v>
      </c>
      <c r="C872" s="13">
        <v>1</v>
      </c>
      <c r="D872" s="18">
        <f t="shared" ca="1" si="26"/>
        <v>0</v>
      </c>
      <c r="E872" s="19">
        <f t="shared" ca="1" si="27"/>
        <v>0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19350522</v>
      </c>
      <c r="C873" s="13">
        <v>1</v>
      </c>
      <c r="D873" s="18">
        <f t="shared" ca="1" si="26"/>
        <v>0</v>
      </c>
      <c r="E873" s="19">
        <f t="shared" ca="1" si="27"/>
        <v>0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19350523</v>
      </c>
      <c r="C874" s="13">
        <v>1</v>
      </c>
      <c r="D874" s="18">
        <f t="shared" ca="1" si="26"/>
        <v>0</v>
      </c>
      <c r="E874" s="19">
        <f t="shared" ca="1" si="27"/>
        <v>0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19350524</v>
      </c>
      <c r="C875" s="13">
        <v>1</v>
      </c>
      <c r="D875" s="18">
        <f t="shared" ca="1" si="26"/>
        <v>0</v>
      </c>
      <c r="E875" s="19">
        <f t="shared" ca="1" si="27"/>
        <v>0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19350525</v>
      </c>
      <c r="C876" s="13">
        <v>1</v>
      </c>
      <c r="D876" s="18">
        <f t="shared" ca="1" si="26"/>
        <v>0</v>
      </c>
      <c r="E876" s="19">
        <f t="shared" ca="1" si="27"/>
        <v>0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19350526</v>
      </c>
      <c r="C877" s="13">
        <v>1</v>
      </c>
      <c r="D877" s="18">
        <f t="shared" ca="1" si="26"/>
        <v>0</v>
      </c>
      <c r="E877" s="19">
        <f t="shared" ca="1" si="27"/>
        <v>0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19350527</v>
      </c>
      <c r="C878" s="13">
        <v>1</v>
      </c>
      <c r="D878" s="18">
        <f t="shared" ca="1" si="26"/>
        <v>0</v>
      </c>
      <c r="E878" s="19">
        <f t="shared" ca="1" si="27"/>
        <v>0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19350528</v>
      </c>
      <c r="C879" s="13">
        <v>1</v>
      </c>
      <c r="D879" s="18">
        <f t="shared" ca="1" si="26"/>
        <v>0</v>
      </c>
      <c r="E879" s="19">
        <f t="shared" ca="1" si="27"/>
        <v>0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19350529</v>
      </c>
      <c r="C880" s="13">
        <v>1</v>
      </c>
      <c r="D880" s="18">
        <f t="shared" ca="1" si="26"/>
        <v>0</v>
      </c>
      <c r="E880" s="19">
        <f t="shared" ca="1" si="27"/>
        <v>0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19350530</v>
      </c>
      <c r="C881" s="13">
        <v>1</v>
      </c>
      <c r="D881" s="18">
        <f t="shared" ca="1" si="26"/>
        <v>0</v>
      </c>
      <c r="E881" s="19">
        <f t="shared" ca="1" si="27"/>
        <v>0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19350531</v>
      </c>
      <c r="C882" s="13">
        <v>1</v>
      </c>
      <c r="D882" s="18">
        <f t="shared" ca="1" si="26"/>
        <v>0</v>
      </c>
      <c r="E882" s="19">
        <f t="shared" ca="1" si="27"/>
        <v>0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19350601</v>
      </c>
      <c r="C883" s="13">
        <v>1</v>
      </c>
      <c r="D883" s="18" t="str">
        <f t="shared" ca="1" si="26"/>
        <v>—</v>
      </c>
      <c r="E883" s="19">
        <f t="shared" ca="1" si="27"/>
        <v>7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19350602</v>
      </c>
      <c r="C884" s="13">
        <v>1</v>
      </c>
      <c r="D884" s="18" t="str">
        <f t="shared" ca="1" si="26"/>
        <v>—</v>
      </c>
      <c r="E884" s="19">
        <f t="shared" ca="1" si="27"/>
        <v>7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19350603</v>
      </c>
      <c r="C885" s="13">
        <v>1</v>
      </c>
      <c r="D885" s="18" t="str">
        <f t="shared" ca="1" si="26"/>
        <v>—</v>
      </c>
      <c r="E885" s="19">
        <f t="shared" ca="1" si="27"/>
        <v>7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19350604</v>
      </c>
      <c r="C886" s="13">
        <v>1</v>
      </c>
      <c r="D886" s="18" t="str">
        <f t="shared" ca="1" si="26"/>
        <v>—</v>
      </c>
      <c r="E886" s="19">
        <f t="shared" ca="1" si="27"/>
        <v>7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19350605</v>
      </c>
      <c r="C887" s="13">
        <v>1</v>
      </c>
      <c r="D887" s="18" t="str">
        <f t="shared" ca="1" si="26"/>
        <v>—</v>
      </c>
      <c r="E887" s="19">
        <f t="shared" ca="1" si="27"/>
        <v>7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19350606</v>
      </c>
      <c r="C888" s="13">
        <v>1</v>
      </c>
      <c r="D888" s="18" t="str">
        <f t="shared" ca="1" si="26"/>
        <v>—</v>
      </c>
      <c r="E888" s="19">
        <f t="shared" ca="1" si="27"/>
        <v>7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19350607</v>
      </c>
      <c r="C889" s="13">
        <v>1</v>
      </c>
      <c r="D889" s="18" t="str">
        <f t="shared" ca="1" si="26"/>
        <v>—</v>
      </c>
      <c r="E889" s="19">
        <f t="shared" ca="1" si="27"/>
        <v>7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19350608</v>
      </c>
      <c r="C890" s="13">
        <v>1</v>
      </c>
      <c r="D890" s="18" t="str">
        <f t="shared" ca="1" si="26"/>
        <v>—</v>
      </c>
      <c r="E890" s="19">
        <f t="shared" ca="1" si="27"/>
        <v>7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19350609</v>
      </c>
      <c r="C891" s="13">
        <v>1</v>
      </c>
      <c r="D891" s="18" t="str">
        <f t="shared" ca="1" si="26"/>
        <v>—</v>
      </c>
      <c r="E891" s="19">
        <f t="shared" ca="1" si="27"/>
        <v>7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19350610</v>
      </c>
      <c r="C892" s="13">
        <v>1</v>
      </c>
      <c r="D892" s="18" t="str">
        <f t="shared" ca="1" si="26"/>
        <v>—</v>
      </c>
      <c r="E892" s="19">
        <f t="shared" ca="1" si="27"/>
        <v>7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19350611</v>
      </c>
      <c r="C893" s="13">
        <v>1</v>
      </c>
      <c r="D893" s="18" t="str">
        <f t="shared" ca="1" si="26"/>
        <v>—</v>
      </c>
      <c r="E893" s="19">
        <f t="shared" ca="1" si="27"/>
        <v>7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19350612</v>
      </c>
      <c r="C894" s="13">
        <v>1</v>
      </c>
      <c r="D894" s="18" t="str">
        <f t="shared" ca="1" si="26"/>
        <v>—</v>
      </c>
      <c r="E894" s="19">
        <f t="shared" ca="1" si="27"/>
        <v>7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19350613</v>
      </c>
      <c r="C895" s="13">
        <v>1</v>
      </c>
      <c r="D895" s="18" t="str">
        <f t="shared" ca="1" si="26"/>
        <v>—</v>
      </c>
      <c r="E895" s="19">
        <f t="shared" ca="1" si="27"/>
        <v>7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19350614</v>
      </c>
      <c r="C896" s="13">
        <v>1</v>
      </c>
      <c r="D896" s="18" t="str">
        <f t="shared" ca="1" si="26"/>
        <v>—</v>
      </c>
      <c r="E896" s="19">
        <f t="shared" ca="1" si="27"/>
        <v>7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19350615</v>
      </c>
      <c r="C897" s="13">
        <v>1</v>
      </c>
      <c r="D897" s="18" t="str">
        <f t="shared" ca="1" si="26"/>
        <v>—</v>
      </c>
      <c r="E897" s="19">
        <f t="shared" ca="1" si="27"/>
        <v>7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19350616</v>
      </c>
      <c r="C898" s="13">
        <v>1</v>
      </c>
      <c r="D898" s="18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19350617</v>
      </c>
      <c r="C899" s="13">
        <v>1</v>
      </c>
      <c r="D899" s="18" t="str">
        <f t="shared" ca="1" si="28"/>
        <v>—</v>
      </c>
      <c r="E899" s="19">
        <f t="shared" ca="1" si="29"/>
        <v>7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19350618</v>
      </c>
      <c r="C900" s="13">
        <v>1</v>
      </c>
      <c r="D900" s="18" t="str">
        <f t="shared" ca="1" si="28"/>
        <v>—</v>
      </c>
      <c r="E900" s="19">
        <f t="shared" ca="1" si="29"/>
        <v>7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19350619</v>
      </c>
      <c r="C901" s="13">
        <v>1</v>
      </c>
      <c r="D901" s="18" t="str">
        <f t="shared" ca="1" si="28"/>
        <v>—</v>
      </c>
      <c r="E901" s="19">
        <f t="shared" ca="1" si="29"/>
        <v>7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19350620</v>
      </c>
      <c r="C902" s="13">
        <v>1</v>
      </c>
      <c r="D902" s="18" t="str">
        <f t="shared" ca="1" si="28"/>
        <v>—</v>
      </c>
      <c r="E902" s="19">
        <f t="shared" ca="1" si="29"/>
        <v>7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19350621</v>
      </c>
      <c r="C903" s="13">
        <v>1</v>
      </c>
      <c r="D903" s="18" t="str">
        <f t="shared" ca="1" si="28"/>
        <v>—</v>
      </c>
      <c r="E903" s="19">
        <f t="shared" ca="1" si="29"/>
        <v>7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19350622</v>
      </c>
      <c r="C904" s="13">
        <v>1</v>
      </c>
      <c r="D904" s="18" t="str">
        <f t="shared" ca="1" si="28"/>
        <v>—</v>
      </c>
      <c r="E904" s="19">
        <f t="shared" ca="1" si="29"/>
        <v>7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19350623</v>
      </c>
      <c r="C905" s="13">
        <v>1</v>
      </c>
      <c r="D905" s="18" t="str">
        <f t="shared" ca="1" si="28"/>
        <v>—</v>
      </c>
      <c r="E905" s="19">
        <f t="shared" ca="1" si="29"/>
        <v>7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19350624</v>
      </c>
      <c r="C906" s="13">
        <v>1</v>
      </c>
      <c r="D906" s="18" t="str">
        <f t="shared" ca="1" si="28"/>
        <v>—</v>
      </c>
      <c r="E906" s="19">
        <f t="shared" ca="1" si="29"/>
        <v>7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19350625</v>
      </c>
      <c r="C907" s="13">
        <v>1</v>
      </c>
      <c r="D907" s="18" t="str">
        <f t="shared" ca="1" si="28"/>
        <v>—</v>
      </c>
      <c r="E907" s="19">
        <f t="shared" ca="1" si="29"/>
        <v>7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19350626</v>
      </c>
      <c r="C908" s="13">
        <v>1</v>
      </c>
      <c r="D908" s="18" t="str">
        <f t="shared" ca="1" si="28"/>
        <v>—</v>
      </c>
      <c r="E908" s="19">
        <f t="shared" ca="1" si="29"/>
        <v>7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19350627</v>
      </c>
      <c r="C909" s="13">
        <v>1</v>
      </c>
      <c r="D909" s="18" t="str">
        <f t="shared" ca="1" si="28"/>
        <v>—</v>
      </c>
      <c r="E909" s="19">
        <f t="shared" ca="1" si="29"/>
        <v>7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19350628</v>
      </c>
      <c r="C910" s="13">
        <v>1</v>
      </c>
      <c r="D910" s="18" t="str">
        <f t="shared" ca="1" si="28"/>
        <v>—</v>
      </c>
      <c r="E910" s="19">
        <f t="shared" ca="1" si="29"/>
        <v>7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19350629</v>
      </c>
      <c r="C911" s="13">
        <v>1</v>
      </c>
      <c r="D911" s="18" t="str">
        <f t="shared" ca="1" si="28"/>
        <v>—</v>
      </c>
      <c r="E911" s="19">
        <f t="shared" ca="1" si="29"/>
        <v>7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19350630</v>
      </c>
      <c r="C912" s="13">
        <v>1</v>
      </c>
      <c r="D912" s="18" t="str">
        <f t="shared" ca="1" si="28"/>
        <v>—</v>
      </c>
      <c r="E912" s="19">
        <f t="shared" ca="1" si="29"/>
        <v>7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19350701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19350702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19350703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19350704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19350705</v>
      </c>
      <c r="C917" s="13">
        <v>1</v>
      </c>
      <c r="D917" s="18">
        <f t="shared" ca="1" si="28"/>
        <v>110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19350706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19350707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19350708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19350709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19350710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19350711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19350712</v>
      </c>
      <c r="C924" s="13">
        <v>1</v>
      </c>
      <c r="D924" s="18">
        <f t="shared" ca="1" si="28"/>
        <v>0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19350713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19350714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19350715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19350716</v>
      </c>
      <c r="C928" s="13">
        <v>1</v>
      </c>
      <c r="D928" s="18">
        <f t="shared" ca="1" si="28"/>
        <v>0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19350717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19350718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19350719</v>
      </c>
      <c r="C931" s="13">
        <v>1</v>
      </c>
      <c r="D931" s="18">
        <f t="shared" ca="1" si="28"/>
        <v>0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19350720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19350721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19350722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19350723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19350724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19350725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19350726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19350727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19350728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19350729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19350730</v>
      </c>
      <c r="C942" s="13">
        <v>1</v>
      </c>
      <c r="D942" s="18">
        <f t="shared" ca="1" si="28"/>
        <v>0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19350731</v>
      </c>
      <c r="C943" s="13">
        <v>1</v>
      </c>
      <c r="D943" s="18">
        <f t="shared" ca="1" si="28"/>
        <v>0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19350801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19350802</v>
      </c>
      <c r="C945" s="13">
        <v>1</v>
      </c>
      <c r="D945" s="18">
        <f t="shared" ca="1" si="28"/>
        <v>0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19350803</v>
      </c>
      <c r="C946" s="13">
        <v>1</v>
      </c>
      <c r="D946" s="18">
        <f t="shared" ca="1" si="28"/>
        <v>0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19350804</v>
      </c>
      <c r="C947" s="13">
        <v>1</v>
      </c>
      <c r="D947" s="18">
        <f t="shared" ca="1" si="28"/>
        <v>0</v>
      </c>
      <c r="E947" s="19">
        <f t="shared" ca="1" si="29"/>
        <v>0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19350805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19350806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19350807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19350808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19350809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19350810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19350811</v>
      </c>
      <c r="C954" s="13">
        <v>1</v>
      </c>
      <c r="D954" s="18">
        <f t="shared" ca="1" si="28"/>
        <v>110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19350812</v>
      </c>
      <c r="C955" s="13">
        <v>1</v>
      </c>
      <c r="D955" s="18">
        <f t="shared" ca="1" si="28"/>
        <v>49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19350813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19350814</v>
      </c>
      <c r="C957" s="13">
        <v>1</v>
      </c>
      <c r="D957" s="18">
        <f t="shared" ca="1" si="28"/>
        <v>0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19350815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19350816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19350817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19350818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19350819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19350820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19350821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19350822</v>
      </c>
      <c r="C965" s="13">
        <v>1</v>
      </c>
      <c r="D965" s="18">
        <f t="shared" ca="1" si="30"/>
        <v>0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19350823</v>
      </c>
      <c r="C966" s="13">
        <v>1</v>
      </c>
      <c r="D966" s="18">
        <f t="shared" ca="1" si="30"/>
        <v>0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19350824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19350825</v>
      </c>
      <c r="C968" s="13">
        <v>1</v>
      </c>
      <c r="D968" s="18">
        <f t="shared" ca="1" si="30"/>
        <v>442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19350826</v>
      </c>
      <c r="C969" s="13">
        <v>1</v>
      </c>
      <c r="D969" s="18">
        <f t="shared" ca="1" si="30"/>
        <v>549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19350827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19350828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19350829</v>
      </c>
      <c r="C972" s="13">
        <v>1</v>
      </c>
      <c r="D972" s="18">
        <f t="shared" ca="1" si="30"/>
        <v>0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19350830</v>
      </c>
      <c r="C973" s="13">
        <v>1</v>
      </c>
      <c r="D973" s="18">
        <f t="shared" ca="1" si="30"/>
        <v>0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19350831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19350901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19350902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19350903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19350904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19350905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19350906</v>
      </c>
      <c r="C980" s="13">
        <v>1</v>
      </c>
      <c r="D980" s="18">
        <f t="shared" ca="1" si="30"/>
        <v>0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19350907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19350908</v>
      </c>
      <c r="C982" s="13">
        <v>1</v>
      </c>
      <c r="D982" s="18">
        <f t="shared" ca="1" si="30"/>
        <v>0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19350909</v>
      </c>
      <c r="C983" s="13">
        <v>1</v>
      </c>
      <c r="D983" s="18">
        <f t="shared" ca="1" si="30"/>
        <v>0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19350910</v>
      </c>
      <c r="C984" s="13">
        <v>1</v>
      </c>
      <c r="D984" s="18">
        <f t="shared" ca="1" si="30"/>
        <v>0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19350911</v>
      </c>
      <c r="C985" s="13">
        <v>1</v>
      </c>
      <c r="D985" s="18">
        <f t="shared" ca="1" si="30"/>
        <v>0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19350912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19350913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19350914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19350915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19350916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19350917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19350918</v>
      </c>
      <c r="C992" s="13">
        <v>1</v>
      </c>
      <c r="D992" s="18">
        <f t="shared" ca="1" si="30"/>
        <v>0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19350919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19350920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19350921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19350922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19350923</v>
      </c>
      <c r="C997" s="13">
        <v>1</v>
      </c>
      <c r="D997" s="18">
        <f t="shared" ca="1" si="30"/>
        <v>69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19350924</v>
      </c>
      <c r="C998" s="13">
        <v>1</v>
      </c>
      <c r="D998" s="18">
        <f t="shared" ca="1" si="30"/>
        <v>0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19350925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19350926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19350927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19350928</v>
      </c>
      <c r="C1002" s="13">
        <v>1</v>
      </c>
      <c r="D1002" s="18">
        <f t="shared" ca="1" si="30"/>
        <v>63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19350929</v>
      </c>
      <c r="C1003" s="13">
        <v>1</v>
      </c>
      <c r="D1003" s="18">
        <f t="shared" ca="1" si="30"/>
        <v>0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19350930</v>
      </c>
      <c r="C1004" s="13">
        <v>1</v>
      </c>
      <c r="D1004" s="18">
        <f t="shared" ca="1" si="30"/>
        <v>0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19351001</v>
      </c>
      <c r="C1005" s="13">
        <v>1</v>
      </c>
      <c r="D1005" s="18">
        <f t="shared" ca="1" si="30"/>
        <v>0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19351002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19351003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19351004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19351005</v>
      </c>
      <c r="C1009" s="13">
        <v>1</v>
      </c>
      <c r="D1009" s="18">
        <f t="shared" ca="1" si="30"/>
        <v>29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19351006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19351007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19351008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19351009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19351010</v>
      </c>
      <c r="C1014" s="13">
        <v>1</v>
      </c>
      <c r="D1014" s="18">
        <f t="shared" ca="1" si="30"/>
        <v>0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19351011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19351012</v>
      </c>
      <c r="C1016" s="13">
        <v>1</v>
      </c>
      <c r="D1016" s="18">
        <f t="shared" ca="1" si="30"/>
        <v>0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19351013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19351014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19351015</v>
      </c>
      <c r="C1019" s="13">
        <v>1</v>
      </c>
      <c r="D1019" s="18">
        <f t="shared" ca="1" si="30"/>
        <v>96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19351016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19351017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19351018</v>
      </c>
      <c r="C1022" s="13">
        <v>1</v>
      </c>
      <c r="D1022" s="18">
        <f t="shared" ca="1" si="30"/>
        <v>0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19351019</v>
      </c>
      <c r="C1023" s="13">
        <v>1</v>
      </c>
      <c r="D1023" s="18">
        <f t="shared" ca="1" si="30"/>
        <v>121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19351020</v>
      </c>
      <c r="C1024" s="13">
        <v>1</v>
      </c>
      <c r="D1024" s="18">
        <f t="shared" ca="1" si="30"/>
        <v>0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19351021</v>
      </c>
      <c r="C1025" s="13">
        <v>1</v>
      </c>
      <c r="D1025" s="18">
        <f t="shared" ca="1" si="30"/>
        <v>0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19351022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19351023</v>
      </c>
      <c r="C1027" s="13">
        <v>1</v>
      </c>
      <c r="D1027" s="18">
        <f t="shared" ca="1" si="32"/>
        <v>0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19351024</v>
      </c>
      <c r="C1028" s="13">
        <v>1</v>
      </c>
      <c r="D1028" s="18">
        <f t="shared" ca="1" si="32"/>
        <v>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19351025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19351026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19351027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19351028</v>
      </c>
      <c r="C1032" s="13">
        <v>1</v>
      </c>
      <c r="D1032" s="18">
        <f t="shared" ca="1" si="32"/>
        <v>0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19351029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19351030</v>
      </c>
      <c r="C1034" s="13">
        <v>1</v>
      </c>
      <c r="D1034" s="18">
        <f t="shared" ca="1" si="32"/>
        <v>129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19351031</v>
      </c>
      <c r="C1035" s="13">
        <v>1</v>
      </c>
      <c r="D1035" s="18">
        <f t="shared" ca="1" si="32"/>
        <v>375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19351101</v>
      </c>
      <c r="C1036" s="13">
        <v>1</v>
      </c>
      <c r="D1036" s="18">
        <f t="shared" ca="1" si="32"/>
        <v>251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19351102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19351103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19351104</v>
      </c>
      <c r="C1039" s="13">
        <v>1</v>
      </c>
      <c r="D1039" s="18">
        <f t="shared" ca="1" si="32"/>
        <v>0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19351105</v>
      </c>
      <c r="C1040" s="13">
        <v>1</v>
      </c>
      <c r="D1040" s="18">
        <f t="shared" ca="1" si="32"/>
        <v>0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19351106</v>
      </c>
      <c r="C1041" s="13">
        <v>1</v>
      </c>
      <c r="D1041" s="18">
        <f t="shared" ca="1" si="32"/>
        <v>0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19351107</v>
      </c>
      <c r="C1042" s="13">
        <v>1</v>
      </c>
      <c r="D1042" s="18">
        <f t="shared" ca="1" si="32"/>
        <v>89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19351108</v>
      </c>
      <c r="C1043" s="13">
        <v>1</v>
      </c>
      <c r="D1043" s="18">
        <f t="shared" ca="1" si="32"/>
        <v>136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19351109</v>
      </c>
      <c r="C1044" s="13">
        <v>1</v>
      </c>
      <c r="D1044" s="18">
        <f t="shared" ca="1" si="32"/>
        <v>443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19351110</v>
      </c>
      <c r="C1045" s="13">
        <v>1</v>
      </c>
      <c r="D1045" s="18">
        <f t="shared" ca="1" si="32"/>
        <v>0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19351111</v>
      </c>
      <c r="C1046" s="13">
        <v>1</v>
      </c>
      <c r="D1046" s="18">
        <f t="shared" ca="1" si="32"/>
        <v>0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19351112</v>
      </c>
      <c r="C1047" s="13">
        <v>1</v>
      </c>
      <c r="D1047" s="18">
        <f t="shared" ca="1" si="32"/>
        <v>0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19351113</v>
      </c>
      <c r="C1048" s="13">
        <v>1</v>
      </c>
      <c r="D1048" s="18">
        <f t="shared" ca="1" si="32"/>
        <v>0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19351114</v>
      </c>
      <c r="C1049" s="13">
        <v>1</v>
      </c>
      <c r="D1049" s="18">
        <f t="shared" ca="1" si="32"/>
        <v>0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19351115</v>
      </c>
      <c r="C1050" s="13">
        <v>1</v>
      </c>
      <c r="D1050" s="18">
        <f t="shared" ca="1" si="32"/>
        <v>0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19351116</v>
      </c>
      <c r="C1051" s="13">
        <v>1</v>
      </c>
      <c r="D1051" s="18">
        <f t="shared" ca="1" si="32"/>
        <v>0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19351117</v>
      </c>
      <c r="C1052" s="13">
        <v>1</v>
      </c>
      <c r="D1052" s="18">
        <f t="shared" ca="1" si="32"/>
        <v>0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19351118</v>
      </c>
      <c r="C1053" s="13">
        <v>1</v>
      </c>
      <c r="D1053" s="18">
        <f t="shared" ca="1" si="32"/>
        <v>0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19351119</v>
      </c>
      <c r="C1054" s="13">
        <v>1</v>
      </c>
      <c r="D1054" s="18">
        <f t="shared" ca="1" si="32"/>
        <v>0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19351120</v>
      </c>
      <c r="C1055" s="13">
        <v>1</v>
      </c>
      <c r="D1055" s="18">
        <f t="shared" ca="1" si="32"/>
        <v>0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19351121</v>
      </c>
      <c r="C1056" s="13">
        <v>1</v>
      </c>
      <c r="D1056" s="18">
        <f t="shared" ca="1" si="32"/>
        <v>122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19351122</v>
      </c>
      <c r="C1057" s="13">
        <v>1</v>
      </c>
      <c r="D1057" s="18">
        <f t="shared" ca="1" si="32"/>
        <v>0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19351123</v>
      </c>
      <c r="C1058" s="13">
        <v>1</v>
      </c>
      <c r="D1058" s="18">
        <f t="shared" ca="1" si="32"/>
        <v>0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19351124</v>
      </c>
      <c r="C1059" s="13">
        <v>1</v>
      </c>
      <c r="D1059" s="18">
        <f t="shared" ca="1" si="32"/>
        <v>38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19351125</v>
      </c>
      <c r="C1060" s="13">
        <v>1</v>
      </c>
      <c r="D1060" s="18">
        <f t="shared" ca="1" si="32"/>
        <v>0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19351126</v>
      </c>
      <c r="C1061" s="13">
        <v>1</v>
      </c>
      <c r="D1061" s="18">
        <f t="shared" ca="1" si="32"/>
        <v>0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19351127</v>
      </c>
      <c r="C1062" s="13">
        <v>1</v>
      </c>
      <c r="D1062" s="18">
        <f t="shared" ca="1" si="32"/>
        <v>0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19351128</v>
      </c>
      <c r="C1063" s="13">
        <v>1</v>
      </c>
      <c r="D1063" s="18">
        <f t="shared" ca="1" si="32"/>
        <v>60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19351129</v>
      </c>
      <c r="C1064" s="13">
        <v>1</v>
      </c>
      <c r="D1064" s="18">
        <f t="shared" ca="1" si="32"/>
        <v>0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19351130</v>
      </c>
      <c r="C1065" s="13">
        <v>1</v>
      </c>
      <c r="D1065" s="18">
        <f t="shared" ca="1" si="32"/>
        <v>0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19351201</v>
      </c>
      <c r="C1066" s="13">
        <v>1</v>
      </c>
      <c r="D1066" s="18">
        <f t="shared" ca="1" si="32"/>
        <v>0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19351202</v>
      </c>
      <c r="C1067" s="13">
        <v>1</v>
      </c>
      <c r="D1067" s="18">
        <f t="shared" ca="1" si="32"/>
        <v>0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19351203</v>
      </c>
      <c r="C1068" s="13">
        <v>1</v>
      </c>
      <c r="D1068" s="18">
        <f t="shared" ca="1" si="32"/>
        <v>0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19351204</v>
      </c>
      <c r="C1069" s="13">
        <v>1</v>
      </c>
      <c r="D1069" s="18">
        <f t="shared" ca="1" si="32"/>
        <v>0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19351205</v>
      </c>
      <c r="C1070" s="13">
        <v>1</v>
      </c>
      <c r="D1070" s="18">
        <f t="shared" ca="1" si="32"/>
        <v>0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19351206</v>
      </c>
      <c r="C1071" s="13">
        <v>1</v>
      </c>
      <c r="D1071" s="18">
        <f t="shared" ca="1" si="32"/>
        <v>219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19351207</v>
      </c>
      <c r="C1072" s="13">
        <v>1</v>
      </c>
      <c r="D1072" s="18">
        <f t="shared" ca="1" si="32"/>
        <v>522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19351208</v>
      </c>
      <c r="C1073" s="13">
        <v>1</v>
      </c>
      <c r="D1073" s="18">
        <f t="shared" ca="1" si="32"/>
        <v>177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19351209</v>
      </c>
      <c r="C1074" s="13">
        <v>1</v>
      </c>
      <c r="D1074" s="18">
        <f t="shared" ca="1" si="32"/>
        <v>0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19351210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19351211</v>
      </c>
      <c r="C1076" s="13">
        <v>1</v>
      </c>
      <c r="D1076" s="18">
        <f t="shared" ca="1" si="32"/>
        <v>0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19351212</v>
      </c>
      <c r="C1077" s="13">
        <v>1</v>
      </c>
      <c r="D1077" s="18">
        <f t="shared" ca="1" si="32"/>
        <v>0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19351213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19351214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19351215</v>
      </c>
      <c r="C1080" s="13">
        <v>1</v>
      </c>
      <c r="D1080" s="18">
        <f t="shared" ca="1" si="32"/>
        <v>0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19351216</v>
      </c>
      <c r="C1081" s="13">
        <v>1</v>
      </c>
      <c r="D1081" s="18">
        <f t="shared" ca="1" si="32"/>
        <v>0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19351217</v>
      </c>
      <c r="C1082" s="13">
        <v>1</v>
      </c>
      <c r="D1082" s="18">
        <f t="shared" ca="1" si="32"/>
        <v>75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19351218</v>
      </c>
      <c r="C1083" s="13">
        <v>1</v>
      </c>
      <c r="D1083" s="18">
        <f t="shared" ca="1" si="32"/>
        <v>0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19351219</v>
      </c>
      <c r="C1084" s="13">
        <v>1</v>
      </c>
      <c r="D1084" s="18">
        <f t="shared" ca="1" si="32"/>
        <v>248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19351220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19351221</v>
      </c>
      <c r="C1086" s="13">
        <v>1</v>
      </c>
      <c r="D1086" s="18">
        <f t="shared" ca="1" si="32"/>
        <v>0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19351222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19351223</v>
      </c>
      <c r="C1088" s="13">
        <v>1</v>
      </c>
      <c r="D1088" s="18">
        <f t="shared" ca="1" si="32"/>
        <v>23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19351224</v>
      </c>
      <c r="C1089" s="13">
        <v>1</v>
      </c>
      <c r="D1089" s="18">
        <f t="shared" ca="1" si="32"/>
        <v>0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19351225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19351226</v>
      </c>
      <c r="C1091" s="13">
        <v>1</v>
      </c>
      <c r="D1091" s="18">
        <f t="shared" ca="1" si="34"/>
        <v>0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19351227</v>
      </c>
      <c r="C1092" s="13">
        <v>1</v>
      </c>
      <c r="D1092" s="18">
        <f t="shared" ca="1" si="34"/>
        <v>0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19351228</v>
      </c>
      <c r="C1093" s="13">
        <v>1</v>
      </c>
      <c r="D1093" s="18">
        <f t="shared" ca="1" si="34"/>
        <v>0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19351229</v>
      </c>
      <c r="C1094" s="13">
        <v>1</v>
      </c>
      <c r="D1094" s="18">
        <f t="shared" ca="1" si="34"/>
        <v>0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19351230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19351231</v>
      </c>
      <c r="C1096" s="13">
        <v>1</v>
      </c>
      <c r="D1096" s="18">
        <f t="shared" ca="1" si="34"/>
        <v>0</v>
      </c>
      <c r="E1096" s="19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19350101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762.27940000000001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26.388888888888889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19350101</v>
      </c>
      <c r="C3" s="26" t="str">
        <f>INDEX(Data,2,2+MOD(ROWS(C$2:C3)-1,2))</f>
        <v>15.00</v>
      </c>
      <c r="D3" s="41">
        <f t="shared" ca="1" si="1"/>
        <v>760.34899999999993</v>
      </c>
      <c r="E3" s="31">
        <f t="shared" ca="1" si="2"/>
        <v>0</v>
      </c>
      <c r="F3" s="42">
        <f t="shared" ca="1" si="3"/>
        <v>27.777777777777779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19350102</v>
      </c>
      <c r="C4" s="26" t="str">
        <f>INDEX(Data,2,2+MOD(ROWS(C$2:C4)-1,2))</f>
        <v>08.00</v>
      </c>
      <c r="D4" s="41">
        <f t="shared" ca="1" si="1"/>
        <v>762</v>
      </c>
      <c r="E4" s="31">
        <f t="shared" ca="1" si="2"/>
        <v>0</v>
      </c>
      <c r="F4" s="42">
        <f t="shared" ca="1" si="3"/>
        <v>26.666666666666668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19350102</v>
      </c>
      <c r="C5" s="26" t="str">
        <f>INDEX(Data,2,2+MOD(ROWS(C$2:C5)-1,2))</f>
        <v>15.00</v>
      </c>
      <c r="D5" s="41">
        <f t="shared" ca="1" si="1"/>
        <v>760.09499999999991</v>
      </c>
      <c r="E5" s="31">
        <f t="shared" ca="1" si="2"/>
        <v>0</v>
      </c>
      <c r="F5" s="42">
        <f t="shared" ca="1" si="3"/>
        <v>27.777777777777779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19350103</v>
      </c>
      <c r="C6" s="26" t="str">
        <f>INDEX(Data,2,2+MOD(ROWS(C$2:C6)-1,2))</f>
        <v>08.00</v>
      </c>
      <c r="D6" s="41">
        <f t="shared" ca="1" si="1"/>
        <v>761.77139999999997</v>
      </c>
      <c r="E6" s="31">
        <f t="shared" ca="1" si="2"/>
        <v>0</v>
      </c>
      <c r="F6" s="42">
        <f t="shared" ca="1" si="3"/>
        <v>26.388888888888889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19350103</v>
      </c>
      <c r="C7" s="26" t="str">
        <f>INDEX(Data,2,2+MOD(ROWS(C$2:C7)-1,2))</f>
        <v>15.00</v>
      </c>
      <c r="D7" s="41">
        <f t="shared" ca="1" si="1"/>
        <v>759.84100000000001</v>
      </c>
      <c r="E7" s="31">
        <f t="shared" ca="1" si="2"/>
        <v>0</v>
      </c>
      <c r="F7" s="42">
        <f t="shared" ca="1" si="3"/>
        <v>27.777777777777779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19350104</v>
      </c>
      <c r="C8" s="26" t="str">
        <f>INDEX(Data,2,2+MOD(ROWS(C$2:C8)-1,2))</f>
        <v>08.00</v>
      </c>
      <c r="D8" s="41">
        <f t="shared" ca="1" si="1"/>
        <v>762.02539999999999</v>
      </c>
      <c r="E8" s="31">
        <f t="shared" ca="1" si="2"/>
        <v>0</v>
      </c>
      <c r="F8" s="42">
        <f t="shared" ca="1" si="3"/>
        <v>26.388888888888889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19350104</v>
      </c>
      <c r="C9" s="26" t="str">
        <f>INDEX(Data,2,2+MOD(ROWS(C$2:C9)-1,2))</f>
        <v>15.00</v>
      </c>
      <c r="D9" s="41">
        <f t="shared" ca="1" si="1"/>
        <v>760.60299999999995</v>
      </c>
      <c r="E9" s="31">
        <f t="shared" ca="1" si="2"/>
        <v>0</v>
      </c>
      <c r="F9" s="42">
        <f t="shared" ca="1" si="3"/>
        <v>27.777777777777779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19350105</v>
      </c>
      <c r="C10" s="26" t="str">
        <f>INDEX(Data,2,2+MOD(ROWS(C$2:C10)-1,2))</f>
        <v>08.00</v>
      </c>
      <c r="D10" s="41">
        <f t="shared" ca="1" si="1"/>
        <v>762.78739999999993</v>
      </c>
      <c r="E10" s="31">
        <f t="shared" ca="1" si="2"/>
        <v>0</v>
      </c>
      <c r="F10" s="42">
        <f t="shared" ca="1" si="3"/>
        <v>26.388888888888889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19350105</v>
      </c>
      <c r="C11" s="26" t="str">
        <f>INDEX(Data,2,2+MOD(ROWS(C$2:C11)-1,2))</f>
        <v>15.00</v>
      </c>
      <c r="D11" s="41">
        <f t="shared" ca="1" si="1"/>
        <v>760.34899999999993</v>
      </c>
      <c r="E11" s="31">
        <f t="shared" ca="1" si="2"/>
        <v>0</v>
      </c>
      <c r="F11" s="42">
        <f t="shared" ca="1" si="3"/>
        <v>27.777777777777779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19350106</v>
      </c>
      <c r="C12" s="26" t="str">
        <f>INDEX(Data,2,2+MOD(ROWS(C$2:C12)-1,2))</f>
        <v>08.00</v>
      </c>
      <c r="D12" s="41">
        <f t="shared" ca="1" si="1"/>
        <v>762.02539999999999</v>
      </c>
      <c r="E12" s="31">
        <f t="shared" ca="1" si="2"/>
        <v>0</v>
      </c>
      <c r="F12" s="42">
        <f t="shared" ca="1" si="3"/>
        <v>26.388888888888889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19350106</v>
      </c>
      <c r="C13" s="26" t="str">
        <f>INDEX(Data,2,2+MOD(ROWS(C$2:C13)-1,2))</f>
        <v>15.00</v>
      </c>
      <c r="D13" s="41">
        <f t="shared" ca="1" si="1"/>
        <v>759.63779999999997</v>
      </c>
      <c r="E13" s="31">
        <f t="shared" ca="1" si="2"/>
        <v>0</v>
      </c>
      <c r="F13" s="42">
        <f t="shared" ca="1" si="3"/>
        <v>27.5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19350107</v>
      </c>
      <c r="C14" s="26" t="str">
        <f>INDEX(Data,2,2+MOD(ROWS(C$2:C14)-1,2))</f>
        <v>08.00</v>
      </c>
      <c r="D14" s="41">
        <f t="shared" ca="1" si="1"/>
        <v>760.27279999999996</v>
      </c>
      <c r="E14" s="31">
        <f t="shared" ca="1" si="2"/>
        <v>0</v>
      </c>
      <c r="F14" s="42">
        <f t="shared" ca="1" si="3"/>
        <v>26.388888888888889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19350107</v>
      </c>
      <c r="C15" s="26" t="str">
        <f>INDEX(Data,2,2+MOD(ROWS(C$2:C15)-1,2))</f>
        <v>15.00</v>
      </c>
      <c r="D15" s="41">
        <f t="shared" ca="1" si="1"/>
        <v>758.36779999999999</v>
      </c>
      <c r="E15" s="31">
        <f t="shared" ca="1" si="2"/>
        <v>0</v>
      </c>
      <c r="F15" s="42">
        <f t="shared" ca="1" si="3"/>
        <v>27.5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19350108</v>
      </c>
      <c r="C16" s="26" t="str">
        <f>INDEX(Data,2,2+MOD(ROWS(C$2:C16)-1,2))</f>
        <v>08.00</v>
      </c>
      <c r="D16" s="41">
        <f t="shared" ca="1" si="1"/>
        <v>760.29819999999995</v>
      </c>
      <c r="E16" s="31">
        <f t="shared" ca="1" si="2"/>
        <v>0</v>
      </c>
      <c r="F16" s="42">
        <f t="shared" ca="1" si="3"/>
        <v>26.111111111111111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19350108</v>
      </c>
      <c r="C17" s="26" t="str">
        <f>INDEX(Data,2,2+MOD(ROWS(C$2:C17)-1,2))</f>
        <v>15.00</v>
      </c>
      <c r="D17" s="41">
        <f t="shared" ca="1" si="1"/>
        <v>757.80899999999997</v>
      </c>
      <c r="E17" s="31">
        <f t="shared" ca="1" si="2"/>
        <v>0</v>
      </c>
      <c r="F17" s="42">
        <f t="shared" ca="1" si="3"/>
        <v>27.777777777777779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19350109</v>
      </c>
      <c r="C18" s="26" t="str">
        <f>INDEX(Data,2,2+MOD(ROWS(C$2:C18)-1,2))</f>
        <v>08.00</v>
      </c>
      <c r="D18" s="41">
        <f t="shared" ca="1" si="1"/>
        <v>760.55219999999997</v>
      </c>
      <c r="E18" s="31">
        <f t="shared" ca="1" si="2"/>
        <v>0</v>
      </c>
      <c r="F18" s="42">
        <f t="shared" ca="1" si="3"/>
        <v>26.111111111111111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19350109</v>
      </c>
      <c r="C19" s="26" t="str">
        <f>INDEX(Data,2,2+MOD(ROWS(C$2:C19)-1,2))</f>
        <v>15.00</v>
      </c>
      <c r="D19" s="41">
        <f t="shared" ca="1" si="1"/>
        <v>758.31700000000001</v>
      </c>
      <c r="E19" s="31">
        <f t="shared" ca="1" si="2"/>
        <v>0</v>
      </c>
      <c r="F19" s="42">
        <f t="shared" ca="1" si="3"/>
        <v>27.777777777777779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19350110</v>
      </c>
      <c r="C20" s="26" t="str">
        <f>INDEX(Data,2,2+MOD(ROWS(C$2:C20)-1,2))</f>
        <v>08.00</v>
      </c>
      <c r="D20" s="41">
        <f t="shared" ca="1" si="1"/>
        <v>760.60299999999995</v>
      </c>
      <c r="E20" s="31">
        <f t="shared" ca="1" si="2"/>
        <v>0</v>
      </c>
      <c r="F20" s="42">
        <f t="shared" ca="1" si="3"/>
        <v>25.833333333333332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19350110</v>
      </c>
      <c r="C21" s="26" t="str">
        <f>INDEX(Data,2,2+MOD(ROWS(C$2:C21)-1,2))</f>
        <v>15.00</v>
      </c>
      <c r="D21" s="41">
        <f t="shared" ca="1" si="1"/>
        <v>758.31700000000001</v>
      </c>
      <c r="E21" s="31">
        <f t="shared" ca="1" si="2"/>
        <v>0</v>
      </c>
      <c r="F21" s="42">
        <f t="shared" ca="1" si="3"/>
        <v>27.777777777777779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19350111</v>
      </c>
      <c r="C22" s="26" t="str">
        <f>INDEX(Data,2,2+MOD(ROWS(C$2:C22)-1,2))</f>
        <v>08.00</v>
      </c>
      <c r="D22" s="41">
        <f t="shared" ca="1" si="1"/>
        <v>761.06020000000001</v>
      </c>
      <c r="E22" s="31">
        <f t="shared" ca="1" si="2"/>
        <v>0</v>
      </c>
      <c r="F22" s="42">
        <f t="shared" ca="1" si="3"/>
        <v>26.111111111111111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19350111</v>
      </c>
      <c r="C23" s="26" t="str">
        <f>INDEX(Data,2,2+MOD(ROWS(C$2:C23)-1,2))</f>
        <v>15.00</v>
      </c>
      <c r="D23" s="41">
        <f t="shared" ca="1" si="1"/>
        <v>758.31700000000001</v>
      </c>
      <c r="E23" s="31">
        <f t="shared" ca="1" si="2"/>
        <v>0</v>
      </c>
      <c r="F23" s="42">
        <f t="shared" ca="1" si="3"/>
        <v>27.777777777777779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19350112</v>
      </c>
      <c r="C24" s="26" t="str">
        <f>INDEX(Data,2,2+MOD(ROWS(C$2:C24)-1,2))</f>
        <v>08.00</v>
      </c>
      <c r="D24" s="41">
        <f t="shared" ca="1" si="1"/>
        <v>761.23799999999994</v>
      </c>
      <c r="E24" s="31">
        <f t="shared" ca="1" si="2"/>
        <v>0</v>
      </c>
      <c r="F24" s="42">
        <f t="shared" ca="1" si="3"/>
        <v>26.666666666666668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19350112</v>
      </c>
      <c r="C25" s="26" t="str">
        <f>INDEX(Data,2,2+MOD(ROWS(C$2:C25)-1,2))</f>
        <v>15.00</v>
      </c>
      <c r="D25" s="41">
        <f t="shared" ca="1" si="1"/>
        <v>758.72339999999997</v>
      </c>
      <c r="E25" s="31">
        <f t="shared" ca="1" si="2"/>
        <v>0</v>
      </c>
      <c r="F25" s="42">
        <f t="shared" ca="1" si="3"/>
        <v>28.611111111111111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19350113</v>
      </c>
      <c r="C26" s="26" t="str">
        <f>INDEX(Data,2,2+MOD(ROWS(C$2:C26)-1,2))</f>
        <v>08.00</v>
      </c>
      <c r="D26" s="41">
        <f t="shared" ca="1" si="1"/>
        <v>761.49199999999996</v>
      </c>
      <c r="E26" s="31">
        <f t="shared" ca="1" si="2"/>
        <v>0</v>
      </c>
      <c r="F26" s="42">
        <f t="shared" ca="1" si="3"/>
        <v>26.666666666666668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19350113</v>
      </c>
      <c r="C27" s="26" t="str">
        <f>INDEX(Data,2,2+MOD(ROWS(C$2:C27)-1,2))</f>
        <v>15.00</v>
      </c>
      <c r="D27" s="41">
        <f t="shared" ca="1" si="1"/>
        <v>759.63779999999997</v>
      </c>
      <c r="E27" s="31">
        <f t="shared" ca="1" si="2"/>
        <v>0</v>
      </c>
      <c r="F27" s="42">
        <f t="shared" ca="1" si="3"/>
        <v>27.5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19350114</v>
      </c>
      <c r="C28" s="26" t="str">
        <f>INDEX(Data,2,2+MOD(ROWS(C$2:C28)-1,2))</f>
        <v>08.00</v>
      </c>
      <c r="D28" s="41">
        <f t="shared" ca="1" si="1"/>
        <v>761.77139999999997</v>
      </c>
      <c r="E28" s="31">
        <f t="shared" ca="1" si="2"/>
        <v>0</v>
      </c>
      <c r="F28" s="42">
        <f t="shared" ca="1" si="3"/>
        <v>26.388888888888889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19350114</v>
      </c>
      <c r="C29" s="26" t="str">
        <f>INDEX(Data,2,2+MOD(ROWS(C$2:C29)-1,2))</f>
        <v>15.00</v>
      </c>
      <c r="D29" s="41">
        <f t="shared" ca="1" si="1"/>
        <v>759.33299999999997</v>
      </c>
      <c r="E29" s="31">
        <f t="shared" ca="1" si="2"/>
        <v>0</v>
      </c>
      <c r="F29" s="42">
        <f t="shared" ca="1" si="3"/>
        <v>27.777777777777779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19350115</v>
      </c>
      <c r="C30" s="26" t="str">
        <f>INDEX(Data,2,2+MOD(ROWS(C$2:C30)-1,2))</f>
        <v>08.00</v>
      </c>
      <c r="D30" s="41">
        <f t="shared" ca="1" si="1"/>
        <v>761.49199999999996</v>
      </c>
      <c r="E30" s="31">
        <f t="shared" ca="1" si="2"/>
        <v>0</v>
      </c>
      <c r="F30" s="42">
        <f t="shared" ca="1" si="3"/>
        <v>26.666666666666668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19350115</v>
      </c>
      <c r="C31" s="26" t="str">
        <f>INDEX(Data,2,2+MOD(ROWS(C$2:C31)-1,2))</f>
        <v>15.00</v>
      </c>
      <c r="D31" s="41">
        <f t="shared" ca="1" si="1"/>
        <v>760.06959999999992</v>
      </c>
      <c r="E31" s="31">
        <f t="shared" ca="1" si="2"/>
        <v>0</v>
      </c>
      <c r="F31" s="42">
        <f t="shared" ca="1" si="3"/>
        <v>28.055555555555557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19350116</v>
      </c>
      <c r="C32" s="26" t="str">
        <f>INDEX(Data,2,2+MOD(ROWS(C$2:C32)-1,2))</f>
        <v>08.00</v>
      </c>
      <c r="D32" s="41">
        <f t="shared" ca="1" si="1"/>
        <v>762.25400000000002</v>
      </c>
      <c r="E32" s="31">
        <f t="shared" ca="1" si="2"/>
        <v>0</v>
      </c>
      <c r="F32" s="42">
        <f t="shared" ca="1" si="3"/>
        <v>26.666666666666668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19350116</v>
      </c>
      <c r="C33" s="26" t="str">
        <f>INDEX(Data,2,2+MOD(ROWS(C$2:C33)-1,2))</f>
        <v>15.00</v>
      </c>
      <c r="D33" s="41">
        <f t="shared" ca="1" si="1"/>
        <v>761.00939999999991</v>
      </c>
      <c r="E33" s="31">
        <f t="shared" ca="1" si="2"/>
        <v>0</v>
      </c>
      <c r="F33" s="42">
        <f t="shared" ca="1" si="3"/>
        <v>27.777777777777779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19350117</v>
      </c>
      <c r="C34" s="26" t="str">
        <f>INDEX(Data,2,2+MOD(ROWS(C$2:C34)-1,2))</f>
        <v>08.00</v>
      </c>
      <c r="D34" s="41">
        <f t="shared" ca="1" si="1"/>
        <v>762.71119999999996</v>
      </c>
      <c r="E34" s="31">
        <f t="shared" ca="1" si="2"/>
        <v>0</v>
      </c>
      <c r="F34" s="42">
        <f t="shared" ca="1" si="3"/>
        <v>26.944444444444443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19350117</v>
      </c>
      <c r="C35" s="26" t="str">
        <f>INDEX(Data,2,2+MOD(ROWS(C$2:C35)-1,2))</f>
        <v>15.00</v>
      </c>
      <c r="D35" s="41">
        <f t="shared" ca="1" si="1"/>
        <v>760.55219999999997</v>
      </c>
      <c r="E35" s="31">
        <f t="shared" ca="1" si="2"/>
        <v>0</v>
      </c>
      <c r="F35" s="42">
        <f t="shared" ca="1" si="3"/>
        <v>28.333333333333332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19350118</v>
      </c>
      <c r="C36" s="26" t="str">
        <f>INDEX(Data,2,2+MOD(ROWS(C$2:C36)-1,2))</f>
        <v>08.00</v>
      </c>
      <c r="D36" s="41">
        <f t="shared" ca="1" si="1"/>
        <v>762.20319999999992</v>
      </c>
      <c r="E36" s="31">
        <f t="shared" ca="1" si="2"/>
        <v>0</v>
      </c>
      <c r="F36" s="42">
        <f t="shared" ca="1" si="3"/>
        <v>26.944444444444443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19350118</v>
      </c>
      <c r="C37" s="26" t="str">
        <f>INDEX(Data,2,2+MOD(ROWS(C$2:C37)-1,2))</f>
        <v>15.00</v>
      </c>
      <c r="D37" s="41">
        <f t="shared" ca="1" si="1"/>
        <v>760.09499999999991</v>
      </c>
      <c r="E37" s="31">
        <f t="shared" ca="1" si="2"/>
        <v>0</v>
      </c>
      <c r="F37" s="42">
        <f t="shared" ca="1" si="3"/>
        <v>27.777777777777779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19350119</v>
      </c>
      <c r="C38" s="26" t="str">
        <f>INDEX(Data,2,2+MOD(ROWS(C$2:C38)-1,2))</f>
        <v>08.00</v>
      </c>
      <c r="D38" s="41">
        <f t="shared" ca="1" si="1"/>
        <v>762.25400000000002</v>
      </c>
      <c r="E38" s="31">
        <f t="shared" ca="1" si="2"/>
        <v>0</v>
      </c>
      <c r="F38" s="42">
        <f t="shared" ca="1" si="3"/>
        <v>26.666666666666668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19350119</v>
      </c>
      <c r="C39" s="26" t="str">
        <f>INDEX(Data,2,2+MOD(ROWS(C$2:C39)-1,2))</f>
        <v>15.00</v>
      </c>
      <c r="D39" s="41">
        <f t="shared" ca="1" si="1"/>
        <v>760.34899999999993</v>
      </c>
      <c r="E39" s="31">
        <f t="shared" ca="1" si="2"/>
        <v>0</v>
      </c>
      <c r="F39" s="42">
        <f t="shared" ca="1" si="3"/>
        <v>27.777777777777779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19350120</v>
      </c>
      <c r="C40" s="26" t="str">
        <f>INDEX(Data,2,2+MOD(ROWS(C$2:C40)-1,2))</f>
        <v>08.00</v>
      </c>
      <c r="D40" s="41">
        <f t="shared" ca="1" si="1"/>
        <v>762.02539999999999</v>
      </c>
      <c r="E40" s="31">
        <f t="shared" ca="1" si="2"/>
        <v>0</v>
      </c>
      <c r="F40" s="42">
        <f t="shared" ca="1" si="3"/>
        <v>26.388888888888889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19350120</v>
      </c>
      <c r="C41" s="26" t="str">
        <f>INDEX(Data,2,2+MOD(ROWS(C$2:C41)-1,2))</f>
        <v>15.00</v>
      </c>
      <c r="D41" s="41">
        <f t="shared" ca="1" si="1"/>
        <v>759.63779999999997</v>
      </c>
      <c r="E41" s="31">
        <f t="shared" ca="1" si="2"/>
        <v>0</v>
      </c>
      <c r="F41" s="42">
        <f t="shared" ca="1" si="3"/>
        <v>27.5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19350121</v>
      </c>
      <c r="C42" s="26" t="str">
        <f>INDEX(Data,2,2+MOD(ROWS(C$2:C42)-1,2))</f>
        <v>08.00</v>
      </c>
      <c r="D42" s="41">
        <f t="shared" ca="1" si="1"/>
        <v>762.12699999999995</v>
      </c>
      <c r="E42" s="31">
        <f t="shared" ca="1" si="2"/>
        <v>0</v>
      </c>
      <c r="F42" s="42">
        <f t="shared" ca="1" si="3"/>
        <v>25.555555555555557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19350121</v>
      </c>
      <c r="C43" s="26" t="str">
        <f>INDEX(Data,2,2+MOD(ROWS(C$2:C43)-1,2))</f>
        <v>15.00</v>
      </c>
      <c r="D43" s="41">
        <f t="shared" ca="1" si="1"/>
        <v>760.42520000000002</v>
      </c>
      <c r="E43" s="31">
        <f t="shared" ca="1" si="2"/>
        <v>0</v>
      </c>
      <c r="F43" s="42">
        <f t="shared" ca="1" si="3"/>
        <v>27.222222222222221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19350122</v>
      </c>
      <c r="C44" s="26" t="str">
        <f>INDEX(Data,2,2+MOD(ROWS(C$2:C44)-1,2))</f>
        <v>08.00</v>
      </c>
      <c r="D44" s="41">
        <f t="shared" ca="1" si="1"/>
        <v>761.59359999999992</v>
      </c>
      <c r="E44" s="31">
        <f t="shared" ca="1" si="2"/>
        <v>0</v>
      </c>
      <c r="F44" s="42">
        <f t="shared" ca="1" si="3"/>
        <v>25.833333333333332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19350122</v>
      </c>
      <c r="C45" s="26" t="str">
        <f>INDEX(Data,2,2+MOD(ROWS(C$2:C45)-1,2))</f>
        <v>15.00</v>
      </c>
      <c r="D45" s="41">
        <f t="shared" ca="1" si="1"/>
        <v>759.51080000000002</v>
      </c>
      <c r="E45" s="31">
        <f t="shared" ca="1" si="2"/>
        <v>0</v>
      </c>
      <c r="F45" s="42">
        <f t="shared" ca="1" si="3"/>
        <v>26.388888888888889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19350123</v>
      </c>
      <c r="C46" s="26" t="str">
        <f>INDEX(Data,2,2+MOD(ROWS(C$2:C46)-1,2))</f>
        <v>08.00</v>
      </c>
      <c r="D46" s="41">
        <f t="shared" ca="1" si="1"/>
        <v>760.88239999999996</v>
      </c>
      <c r="E46" s="31">
        <f t="shared" ca="1" si="2"/>
        <v>0</v>
      </c>
      <c r="F46" s="42">
        <f t="shared" ca="1" si="3"/>
        <v>25.555555555555557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19350123</v>
      </c>
      <c r="C47" s="26" t="str">
        <f>INDEX(Data,2,2+MOD(ROWS(C$2:C47)-1,2))</f>
        <v>15.00</v>
      </c>
      <c r="D47" s="41">
        <f t="shared" ca="1" si="1"/>
        <v>759.48539999999991</v>
      </c>
      <c r="E47" s="31">
        <f t="shared" ca="1" si="2"/>
        <v>0</v>
      </c>
      <c r="F47" s="42">
        <f t="shared" ca="1" si="3"/>
        <v>26.666666666666668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19350124</v>
      </c>
      <c r="C48" s="26" t="str">
        <f>INDEX(Data,2,2+MOD(ROWS(C$2:C48)-1,2))</f>
        <v>08.00</v>
      </c>
      <c r="D48" s="41">
        <f t="shared" ca="1" si="1"/>
        <v>761.16179999999997</v>
      </c>
      <c r="E48" s="31">
        <f t="shared" ca="1" si="2"/>
        <v>0</v>
      </c>
      <c r="F48" s="42">
        <f t="shared" ca="1" si="3"/>
        <v>25.277777777777779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19350124</v>
      </c>
      <c r="C49" s="26" t="str">
        <f>INDEX(Data,2,2+MOD(ROWS(C$2:C49)-1,2))</f>
        <v>15.00</v>
      </c>
      <c r="D49" s="41">
        <f t="shared" ca="1" si="1"/>
        <v>759.68859999999995</v>
      </c>
      <c r="E49" s="31">
        <f t="shared" ca="1" si="2"/>
        <v>0</v>
      </c>
      <c r="F49" s="42">
        <f t="shared" ca="1" si="3"/>
        <v>26.944444444444443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19350125</v>
      </c>
      <c r="C50" s="26" t="str">
        <f>INDEX(Data,2,2+MOD(ROWS(C$2:C50)-1,2))</f>
        <v>08.00</v>
      </c>
      <c r="D50" s="41">
        <f t="shared" ca="1" si="1"/>
        <v>762.07619999999997</v>
      </c>
      <c r="E50" s="31">
        <f t="shared" ca="1" si="2"/>
        <v>0</v>
      </c>
      <c r="F50" s="42">
        <f t="shared" ca="1" si="3"/>
        <v>23.888888888888889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19350125</v>
      </c>
      <c r="C51" s="26" t="str">
        <f>INDEX(Data,2,2+MOD(ROWS(C$2:C51)-1,2))</f>
        <v>15.00</v>
      </c>
      <c r="D51" s="41">
        <f t="shared" ca="1" si="1"/>
        <v>759.99339999999995</v>
      </c>
      <c r="E51" s="31">
        <f t="shared" ca="1" si="2"/>
        <v>0</v>
      </c>
      <c r="F51" s="42">
        <f t="shared" ca="1" si="3"/>
        <v>26.666666666666668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19350126</v>
      </c>
      <c r="C52" s="26" t="str">
        <f>INDEX(Data,2,2+MOD(ROWS(C$2:C52)-1,2))</f>
        <v>08.00</v>
      </c>
      <c r="D52" s="41">
        <f t="shared" ca="1" si="1"/>
        <v>763.04139999999995</v>
      </c>
      <c r="E52" s="31">
        <f t="shared" ca="1" si="2"/>
        <v>0</v>
      </c>
      <c r="F52" s="42">
        <f t="shared" ca="1" si="3"/>
        <v>24.444444444444443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19350126</v>
      </c>
      <c r="C53" s="26" t="str">
        <f>INDEX(Data,2,2+MOD(ROWS(C$2:C53)-1,2))</f>
        <v>15.00</v>
      </c>
      <c r="D53" s="41">
        <f t="shared" ca="1" si="1"/>
        <v>760.93319999999994</v>
      </c>
      <c r="E53" s="31">
        <f t="shared" ca="1" si="2"/>
        <v>0</v>
      </c>
      <c r="F53" s="42">
        <f t="shared" ca="1" si="3"/>
        <v>27.222222222222221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19350127</v>
      </c>
      <c r="C54" s="26" t="str">
        <f>INDEX(Data,2,2+MOD(ROWS(C$2:C54)-1,2))</f>
        <v>08.00</v>
      </c>
      <c r="D54" s="41">
        <f t="shared" ca="1" si="1"/>
        <v>762.71119999999996</v>
      </c>
      <c r="E54" s="31">
        <f t="shared" ca="1" si="2"/>
        <v>0</v>
      </c>
      <c r="F54" s="42">
        <f t="shared" ca="1" si="3"/>
        <v>25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19350127</v>
      </c>
      <c r="C55" s="26" t="str">
        <f>INDEX(Data,2,2+MOD(ROWS(C$2:C55)-1,2))</f>
        <v>15.00</v>
      </c>
      <c r="D55" s="41">
        <f t="shared" ca="1" si="1"/>
        <v>760.42520000000002</v>
      </c>
      <c r="E55" s="31">
        <f t="shared" ca="1" si="2"/>
        <v>0</v>
      </c>
      <c r="F55" s="42">
        <f t="shared" ca="1" si="3"/>
        <v>27.222222222222221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19350128</v>
      </c>
      <c r="C56" s="26" t="str">
        <f>INDEX(Data,2,2+MOD(ROWS(C$2:C56)-1,2))</f>
        <v>08.00</v>
      </c>
      <c r="D56" s="41">
        <f t="shared" ca="1" si="1"/>
        <v>763.29539999999997</v>
      </c>
      <c r="E56" s="31">
        <f t="shared" ca="1" si="2"/>
        <v>0</v>
      </c>
      <c r="F56" s="42">
        <f t="shared" ca="1" si="3"/>
        <v>24.444444444444443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19350128</v>
      </c>
      <c r="C57" s="26" t="str">
        <f>INDEX(Data,2,2+MOD(ROWS(C$2:C57)-1,2))</f>
        <v>15.00</v>
      </c>
      <c r="D57" s="41">
        <f t="shared" ca="1" si="1"/>
        <v>760.85699999999997</v>
      </c>
      <c r="E57" s="31">
        <f t="shared" ca="1" si="2"/>
        <v>0</v>
      </c>
      <c r="F57" s="42">
        <f t="shared" ca="1" si="3"/>
        <v>27.777777777777779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19350129</v>
      </c>
      <c r="C58" s="26" t="str">
        <f>INDEX(Data,2,2+MOD(ROWS(C$2:C58)-1,2))</f>
        <v>08.00</v>
      </c>
      <c r="D58" s="41">
        <f t="shared" ca="1" si="1"/>
        <v>763.80340000000001</v>
      </c>
      <c r="E58" s="31">
        <f t="shared" ca="1" si="2"/>
        <v>0</v>
      </c>
      <c r="F58" s="42">
        <f t="shared" ca="1" si="3"/>
        <v>24.444444444444443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19350129</v>
      </c>
      <c r="C59" s="26" t="str">
        <f>INDEX(Data,2,2+MOD(ROWS(C$2:C59)-1,2))</f>
        <v>15.00</v>
      </c>
      <c r="D59" s="41">
        <f t="shared" ca="1" si="1"/>
        <v>761.41579999999999</v>
      </c>
      <c r="E59" s="31">
        <f t="shared" ca="1" si="2"/>
        <v>0</v>
      </c>
      <c r="F59" s="42">
        <f t="shared" ca="1" si="3"/>
        <v>27.222222222222221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19350130</v>
      </c>
      <c r="C60" s="26" t="str">
        <f>INDEX(Data,2,2+MOD(ROWS(C$2:C60)-1,2))</f>
        <v>08.00</v>
      </c>
      <c r="D60" s="41">
        <f t="shared" ca="1" si="1"/>
        <v>763.14299999999992</v>
      </c>
      <c r="E60" s="31">
        <f t="shared" ca="1" si="2"/>
        <v>0</v>
      </c>
      <c r="F60" s="42">
        <f t="shared" ca="1" si="3"/>
        <v>25.555555555555557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19350130</v>
      </c>
      <c r="C61" s="26" t="str">
        <f>INDEX(Data,2,2+MOD(ROWS(C$2:C61)-1,2))</f>
        <v>15.00</v>
      </c>
      <c r="D61" s="41">
        <f t="shared" ca="1" si="1"/>
        <v>761.13639999999998</v>
      </c>
      <c r="E61" s="31">
        <f t="shared" ca="1" si="2"/>
        <v>0</v>
      </c>
      <c r="F61" s="42">
        <f t="shared" ca="1" si="3"/>
        <v>27.5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19350131</v>
      </c>
      <c r="C62" s="26" t="str">
        <f>INDEX(Data,2,2+MOD(ROWS(C$2:C62)-1,2))</f>
        <v>08.00</v>
      </c>
      <c r="D62" s="41">
        <f t="shared" ca="1" si="1"/>
        <v>763.09219999999993</v>
      </c>
      <c r="E62" s="31">
        <f t="shared" ca="1" si="2"/>
        <v>0</v>
      </c>
      <c r="F62" s="42">
        <f t="shared" ca="1" si="3"/>
        <v>26.111111111111111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19350131</v>
      </c>
      <c r="C63" s="26" t="str">
        <f>INDEX(Data,2,2+MOD(ROWS(C$2:C63)-1,2))</f>
        <v>15.00</v>
      </c>
      <c r="D63" s="41">
        <f t="shared" ca="1" si="1"/>
        <v>761.0856</v>
      </c>
      <c r="E63" s="31">
        <f t="shared" ca="1" si="2"/>
        <v>0</v>
      </c>
      <c r="F63" s="42">
        <f t="shared" ca="1" si="3"/>
        <v>27.777777777777779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19350201</v>
      </c>
      <c r="C64" s="26" t="str">
        <f>INDEX(Data,2,2+MOD(ROWS(C$2:C64)-1,2))</f>
        <v>08.00</v>
      </c>
      <c r="D64" s="41">
        <f t="shared" ca="1" si="1"/>
        <v>762.53339999999992</v>
      </c>
      <c r="E64" s="31">
        <f t="shared" ca="1" si="2"/>
        <v>0</v>
      </c>
      <c r="F64" s="42">
        <f t="shared" ca="1" si="3"/>
        <v>26.388888888888889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19350201</v>
      </c>
      <c r="C65" s="26" t="str">
        <f>INDEX(Data,2,2+MOD(ROWS(C$2:C65)-1,2))</f>
        <v>15.00</v>
      </c>
      <c r="D65" s="41">
        <f t="shared" ca="1" si="1"/>
        <v>760.57759999999996</v>
      </c>
      <c r="E65" s="31">
        <f t="shared" ca="1" si="2"/>
        <v>0</v>
      </c>
      <c r="F65" s="42">
        <f t="shared" ca="1" si="3"/>
        <v>28.055555555555557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19350202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762.07619999999997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26.111111111111111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19350202</v>
      </c>
      <c r="C67" s="26" t="str">
        <f>INDEX(Data,2,2+MOD(ROWS(C$2:C67)-1,2))</f>
        <v>15.00</v>
      </c>
      <c r="D67" s="41">
        <f t="shared" ca="1" si="6"/>
        <v>759.84100000000001</v>
      </c>
      <c r="E67" s="31">
        <f t="shared" ca="1" si="7"/>
        <v>0</v>
      </c>
      <c r="F67" s="42">
        <f t="shared" ca="1" si="8"/>
        <v>27.777777777777779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19350203</v>
      </c>
      <c r="C68" s="26" t="str">
        <f>INDEX(Data,2,2+MOD(ROWS(C$2:C68)-1,2))</f>
        <v>08.00</v>
      </c>
      <c r="D68" s="41">
        <f t="shared" ca="1" si="6"/>
        <v>761.49199999999996</v>
      </c>
      <c r="E68" s="31">
        <f t="shared" ca="1" si="7"/>
        <v>0</v>
      </c>
      <c r="F68" s="42">
        <f t="shared" ca="1" si="8"/>
        <v>26.666666666666668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19350203</v>
      </c>
      <c r="C69" s="26" t="str">
        <f>INDEX(Data,2,2+MOD(ROWS(C$2:C69)-1,2))</f>
        <v>15.00</v>
      </c>
      <c r="D69" s="41">
        <f t="shared" ca="1" si="6"/>
        <v>759.63779999999997</v>
      </c>
      <c r="E69" s="31">
        <f t="shared" ca="1" si="7"/>
        <v>0</v>
      </c>
      <c r="F69" s="42">
        <f t="shared" ca="1" si="8"/>
        <v>27.5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19350204</v>
      </c>
      <c r="C70" s="26" t="str">
        <f>INDEX(Data,2,2+MOD(ROWS(C$2:C70)-1,2))</f>
        <v>08.00</v>
      </c>
      <c r="D70" s="41">
        <f t="shared" ca="1" si="6"/>
        <v>761.66980000000001</v>
      </c>
      <c r="E70" s="31">
        <f t="shared" ca="1" si="7"/>
        <v>0</v>
      </c>
      <c r="F70" s="42">
        <f t="shared" ca="1" si="8"/>
        <v>27.222222222222221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19350204</v>
      </c>
      <c r="C71" s="26" t="str">
        <f>INDEX(Data,2,2+MOD(ROWS(C$2:C71)-1,2))</f>
        <v>15.00</v>
      </c>
      <c r="D71" s="41">
        <f t="shared" ca="1" si="6"/>
        <v>760.22199999999998</v>
      </c>
      <c r="E71" s="31">
        <f t="shared" ca="1" si="7"/>
        <v>0</v>
      </c>
      <c r="F71" s="42">
        <f t="shared" ca="1" si="8"/>
        <v>28.888888888888889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19350205</v>
      </c>
      <c r="C72" s="26" t="str">
        <f>INDEX(Data,2,2+MOD(ROWS(C$2:C72)-1,2))</f>
        <v>08.00</v>
      </c>
      <c r="D72" s="41">
        <f t="shared" ca="1" si="6"/>
        <v>763.27</v>
      </c>
      <c r="E72" s="31">
        <f t="shared" ca="1" si="7"/>
        <v>0</v>
      </c>
      <c r="F72" s="42">
        <f t="shared" ca="1" si="8"/>
        <v>26.666666666666668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19350205</v>
      </c>
      <c r="C73" s="26" t="str">
        <f>INDEX(Data,2,2+MOD(ROWS(C$2:C73)-1,2))</f>
        <v>15.00</v>
      </c>
      <c r="D73" s="41">
        <f t="shared" ca="1" si="6"/>
        <v>761.79679999999996</v>
      </c>
      <c r="E73" s="31">
        <f t="shared" ca="1" si="7"/>
        <v>0</v>
      </c>
      <c r="F73" s="42">
        <f t="shared" ca="1" si="8"/>
        <v>28.333333333333332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19350206</v>
      </c>
      <c r="C74" s="26" t="str">
        <f>INDEX(Data,2,2+MOD(ROWS(C$2:C74)-1,2))</f>
        <v>08.00</v>
      </c>
      <c r="D74" s="41">
        <f t="shared" ca="1" si="6"/>
        <v>762.83819999999992</v>
      </c>
      <c r="E74" s="31">
        <f t="shared" ca="1" si="7"/>
        <v>0</v>
      </c>
      <c r="F74" s="42">
        <f t="shared" ca="1" si="8"/>
        <v>26.111111111111111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19350206</v>
      </c>
      <c r="C75" s="26" t="str">
        <f>INDEX(Data,2,2+MOD(ROWS(C$2:C75)-1,2))</f>
        <v>15.00</v>
      </c>
      <c r="D75" s="41">
        <f t="shared" ca="1" si="6"/>
        <v>760.83159999999998</v>
      </c>
      <c r="E75" s="31">
        <f t="shared" ca="1" si="7"/>
        <v>0</v>
      </c>
      <c r="F75" s="42">
        <f t="shared" ca="1" si="8"/>
        <v>28.055555555555557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19350207</v>
      </c>
      <c r="C76" s="26" t="str">
        <f>INDEX(Data,2,2+MOD(ROWS(C$2:C76)-1,2))</f>
        <v>08.00</v>
      </c>
      <c r="D76" s="41">
        <f t="shared" ca="1" si="6"/>
        <v>763.14299999999992</v>
      </c>
      <c r="E76" s="31">
        <f t="shared" ca="1" si="7"/>
        <v>0</v>
      </c>
      <c r="F76" s="42">
        <f t="shared" ca="1" si="8"/>
        <v>25.555555555555557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19350207</v>
      </c>
      <c r="C77" s="26" t="str">
        <f>INDEX(Data,2,2+MOD(ROWS(C$2:C77)-1,2))</f>
        <v>15.00</v>
      </c>
      <c r="D77" s="41">
        <f t="shared" ca="1" si="6"/>
        <v>761.3904</v>
      </c>
      <c r="E77" s="31">
        <f t="shared" ca="1" si="7"/>
        <v>0</v>
      </c>
      <c r="F77" s="42">
        <f t="shared" ca="1" si="8"/>
        <v>27.5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19350208</v>
      </c>
      <c r="C78" s="26" t="str">
        <f>INDEX(Data,2,2+MOD(ROWS(C$2:C78)-1,2))</f>
        <v>08.00</v>
      </c>
      <c r="D78" s="41">
        <f t="shared" ca="1" si="6"/>
        <v>762.38099999999997</v>
      </c>
      <c r="E78" s="31">
        <f t="shared" ca="1" si="7"/>
        <v>0</v>
      </c>
      <c r="F78" s="42">
        <f t="shared" ca="1" si="8"/>
        <v>25.555555555555557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19350208</v>
      </c>
      <c r="C79" s="26" t="str">
        <f>INDEX(Data,2,2+MOD(ROWS(C$2:C79)-1,2))</f>
        <v>15.00</v>
      </c>
      <c r="D79" s="41">
        <f t="shared" ca="1" si="6"/>
        <v>760.85699999999997</v>
      </c>
      <c r="E79" s="31">
        <f t="shared" ca="1" si="7"/>
        <v>0</v>
      </c>
      <c r="F79" s="42">
        <f t="shared" ca="1" si="8"/>
        <v>27.777777777777779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19350209</v>
      </c>
      <c r="C80" s="26" t="str">
        <f>INDEX(Data,2,2+MOD(ROWS(C$2:C80)-1,2))</f>
        <v>08.00</v>
      </c>
      <c r="D80" s="41">
        <f t="shared" ca="1" si="6"/>
        <v>762.12699999999995</v>
      </c>
      <c r="E80" s="31">
        <f t="shared" ca="1" si="7"/>
        <v>0</v>
      </c>
      <c r="F80" s="42">
        <f t="shared" ca="1" si="8"/>
        <v>25.555555555555557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19350209</v>
      </c>
      <c r="C81" s="26" t="str">
        <f>INDEX(Data,2,2+MOD(ROWS(C$2:C81)-1,2))</f>
        <v>15.00</v>
      </c>
      <c r="D81" s="41">
        <f t="shared" ca="1" si="6"/>
        <v>759.89179999999999</v>
      </c>
      <c r="E81" s="31">
        <f t="shared" ca="1" si="7"/>
        <v>0</v>
      </c>
      <c r="F81" s="42">
        <f t="shared" ca="1" si="8"/>
        <v>27.5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19350210</v>
      </c>
      <c r="C82" s="26" t="str">
        <f>INDEX(Data,2,2+MOD(ROWS(C$2:C82)-1,2))</f>
        <v>08.00</v>
      </c>
      <c r="D82" s="41">
        <f t="shared" ca="1" si="6"/>
        <v>762.02539999999999</v>
      </c>
      <c r="E82" s="31">
        <f t="shared" ca="1" si="7"/>
        <v>0</v>
      </c>
      <c r="F82" s="42">
        <f t="shared" ca="1" si="8"/>
        <v>26.388888888888889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19350210</v>
      </c>
      <c r="C83" s="26" t="str">
        <f>INDEX(Data,2,2+MOD(ROWS(C$2:C83)-1,2))</f>
        <v>15.00</v>
      </c>
      <c r="D83" s="41">
        <f t="shared" ca="1" si="6"/>
        <v>759.63779999999997</v>
      </c>
      <c r="E83" s="31">
        <f t="shared" ca="1" si="7"/>
        <v>0</v>
      </c>
      <c r="F83" s="42">
        <f t="shared" ca="1" si="8"/>
        <v>27.5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19350211</v>
      </c>
      <c r="C84" s="26" t="str">
        <f>INDEX(Data,2,2+MOD(ROWS(C$2:C84)-1,2))</f>
        <v>08.00</v>
      </c>
      <c r="D84" s="41">
        <f t="shared" ca="1" si="6"/>
        <v>761.59359999999992</v>
      </c>
      <c r="E84" s="31">
        <f t="shared" ca="1" si="7"/>
        <v>0</v>
      </c>
      <c r="F84" s="42">
        <f t="shared" ca="1" si="8"/>
        <v>25.833333333333332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19350211</v>
      </c>
      <c r="C85" s="26" t="str">
        <f>INDEX(Data,2,2+MOD(ROWS(C$2:C85)-1,2))</f>
        <v>15.00</v>
      </c>
      <c r="D85" s="41">
        <f t="shared" ca="1" si="6"/>
        <v>759.84100000000001</v>
      </c>
      <c r="E85" s="31">
        <f t="shared" ca="1" si="7"/>
        <v>0</v>
      </c>
      <c r="F85" s="42">
        <f t="shared" ca="1" si="8"/>
        <v>27.777777777777779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19350212</v>
      </c>
      <c r="C86" s="26" t="str">
        <f>INDEX(Data,2,2+MOD(ROWS(C$2:C86)-1,2))</f>
        <v>08.00</v>
      </c>
      <c r="D86" s="41">
        <f t="shared" ca="1" si="6"/>
        <v>762.53339999999992</v>
      </c>
      <c r="E86" s="31">
        <f t="shared" ca="1" si="7"/>
        <v>0</v>
      </c>
      <c r="F86" s="42">
        <f t="shared" ca="1" si="8"/>
        <v>26.388888888888889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19350212</v>
      </c>
      <c r="C87" s="26" t="str">
        <f>INDEX(Data,2,2+MOD(ROWS(C$2:C87)-1,2))</f>
        <v>15.00</v>
      </c>
      <c r="D87" s="41">
        <f t="shared" ca="1" si="6"/>
        <v>761.54279999999994</v>
      </c>
      <c r="E87" s="31">
        <f t="shared" ca="1" si="7"/>
        <v>0</v>
      </c>
      <c r="F87" s="42">
        <f t="shared" ca="1" si="8"/>
        <v>28.333333333333332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19350213</v>
      </c>
      <c r="C88" s="26" t="str">
        <f>INDEX(Data,2,2+MOD(ROWS(C$2:C88)-1,2))</f>
        <v>08.00</v>
      </c>
      <c r="D88" s="41">
        <f t="shared" ca="1" si="6"/>
        <v>763.60019999999997</v>
      </c>
      <c r="E88" s="31">
        <f t="shared" ca="1" si="7"/>
        <v>0</v>
      </c>
      <c r="F88" s="42">
        <f t="shared" ca="1" si="8"/>
        <v>26.111111111111111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19350213</v>
      </c>
      <c r="C89" s="26" t="str">
        <f>INDEX(Data,2,2+MOD(ROWS(C$2:C89)-1,2))</f>
        <v>15.00</v>
      </c>
      <c r="D89" s="41">
        <f t="shared" ca="1" si="6"/>
        <v>761.59359999999992</v>
      </c>
      <c r="E89" s="31">
        <f t="shared" ca="1" si="7"/>
        <v>0</v>
      </c>
      <c r="F89" s="42">
        <f t="shared" ca="1" si="8"/>
        <v>27.777777777777779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19350214</v>
      </c>
      <c r="C90" s="26" t="str">
        <f>INDEX(Data,2,2+MOD(ROWS(C$2:C90)-1,2))</f>
        <v>08.00</v>
      </c>
      <c r="D90" s="41">
        <f t="shared" ca="1" si="6"/>
        <v>763.34619999999995</v>
      </c>
      <c r="E90" s="31">
        <f t="shared" ca="1" si="7"/>
        <v>0</v>
      </c>
      <c r="F90" s="42">
        <f t="shared" ca="1" si="8"/>
        <v>26.111111111111111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19350214</v>
      </c>
      <c r="C91" s="26" t="str">
        <f>INDEX(Data,2,2+MOD(ROWS(C$2:C91)-1,2))</f>
        <v>15.00</v>
      </c>
      <c r="D91" s="41">
        <f t="shared" ca="1" si="6"/>
        <v>761.33960000000002</v>
      </c>
      <c r="E91" s="31">
        <f t="shared" ca="1" si="7"/>
        <v>0</v>
      </c>
      <c r="F91" s="42">
        <f t="shared" ca="1" si="8"/>
        <v>27.777777777777779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19350215</v>
      </c>
      <c r="C92" s="26" t="str">
        <f>INDEX(Data,2,2+MOD(ROWS(C$2:C92)-1,2))</f>
        <v>08.00</v>
      </c>
      <c r="D92" s="41">
        <f t="shared" ca="1" si="6"/>
        <v>763.09219999999993</v>
      </c>
      <c r="E92" s="31">
        <f t="shared" ca="1" si="7"/>
        <v>0</v>
      </c>
      <c r="F92" s="42">
        <f t="shared" ca="1" si="8"/>
        <v>26.111111111111111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19350215</v>
      </c>
      <c r="C93" s="26" t="str">
        <f>INDEX(Data,2,2+MOD(ROWS(C$2:C93)-1,2))</f>
        <v>15.00</v>
      </c>
      <c r="D93" s="41">
        <f t="shared" ca="1" si="6"/>
        <v>761.0856</v>
      </c>
      <c r="E93" s="31">
        <f t="shared" ca="1" si="7"/>
        <v>0</v>
      </c>
      <c r="F93" s="42">
        <f t="shared" ca="1" si="8"/>
        <v>27.777777777777779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19350216</v>
      </c>
      <c r="C94" s="26" t="str">
        <f>INDEX(Data,2,2+MOD(ROWS(C$2:C94)-1,2))</f>
        <v>08.00</v>
      </c>
      <c r="D94" s="41">
        <f t="shared" ca="1" si="6"/>
        <v>762.58420000000001</v>
      </c>
      <c r="E94" s="31">
        <f t="shared" ca="1" si="7"/>
        <v>0</v>
      </c>
      <c r="F94" s="42">
        <f t="shared" ca="1" si="8"/>
        <v>26.111111111111111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19350216</v>
      </c>
      <c r="C95" s="26" t="str">
        <f>INDEX(Data,2,2+MOD(ROWS(C$2:C95)-1,2))</f>
        <v>15.00</v>
      </c>
      <c r="D95" s="41">
        <f t="shared" ca="1" si="6"/>
        <v>760.55219999999997</v>
      </c>
      <c r="E95" s="31">
        <f t="shared" ca="1" si="7"/>
        <v>0</v>
      </c>
      <c r="F95" s="42">
        <f t="shared" ca="1" si="8"/>
        <v>28.333333333333332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19350217</v>
      </c>
      <c r="C96" s="26" t="str">
        <f>INDEX(Data,2,2+MOD(ROWS(C$2:C96)-1,2))</f>
        <v>08.00</v>
      </c>
      <c r="D96" s="41">
        <f t="shared" ca="1" si="6"/>
        <v>762.53339999999992</v>
      </c>
      <c r="E96" s="31">
        <f t="shared" ca="1" si="7"/>
        <v>0</v>
      </c>
      <c r="F96" s="42">
        <f t="shared" ca="1" si="8"/>
        <v>26.388888888888889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19350217</v>
      </c>
      <c r="C97" s="26" t="str">
        <f>INDEX(Data,2,2+MOD(ROWS(C$2:C97)-1,2))</f>
        <v>15.00</v>
      </c>
      <c r="D97" s="41">
        <f t="shared" ca="1" si="6"/>
        <v>760.60299999999995</v>
      </c>
      <c r="E97" s="31">
        <f t="shared" ca="1" si="7"/>
        <v>0</v>
      </c>
      <c r="F97" s="42">
        <f t="shared" ca="1" si="8"/>
        <v>27.777777777777779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19350218</v>
      </c>
      <c r="C98" s="26" t="str">
        <f>INDEX(Data,2,2+MOD(ROWS(C$2:C98)-1,2))</f>
        <v>08.00</v>
      </c>
      <c r="D98" s="41">
        <f t="shared" ca="1" si="6"/>
        <v>762.78739999999993</v>
      </c>
      <c r="E98" s="31">
        <f t="shared" ca="1" si="7"/>
        <v>0</v>
      </c>
      <c r="F98" s="42">
        <f t="shared" ca="1" si="8"/>
        <v>26.388888888888889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19350218</v>
      </c>
      <c r="C99" s="26" t="str">
        <f>INDEX(Data,2,2+MOD(ROWS(C$2:C99)-1,2))</f>
        <v>15.00</v>
      </c>
      <c r="D99" s="41">
        <f t="shared" ca="1" si="6"/>
        <v>761.23799999999994</v>
      </c>
      <c r="E99" s="31">
        <f t="shared" ca="1" si="7"/>
        <v>0</v>
      </c>
      <c r="F99" s="42">
        <f t="shared" ca="1" si="8"/>
        <v>26.666666666666668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19350219</v>
      </c>
      <c r="C100" s="26" t="str">
        <f>INDEX(Data,2,2+MOD(ROWS(C$2:C100)-1,2))</f>
        <v>08.00</v>
      </c>
      <c r="D100" s="41">
        <f t="shared" ca="1" si="6"/>
        <v>763.65099999999995</v>
      </c>
      <c r="E100" s="31">
        <f t="shared" ca="1" si="7"/>
        <v>0</v>
      </c>
      <c r="F100" s="42">
        <f t="shared" ca="1" si="8"/>
        <v>25.555555555555557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19350219</v>
      </c>
      <c r="C101" s="26" t="str">
        <f>INDEX(Data,2,2+MOD(ROWS(C$2:C101)-1,2))</f>
        <v>15.00</v>
      </c>
      <c r="D101" s="41">
        <f t="shared" ca="1" si="6"/>
        <v>761.3904</v>
      </c>
      <c r="E101" s="31">
        <f t="shared" ca="1" si="7"/>
        <v>0</v>
      </c>
      <c r="F101" s="42">
        <f t="shared" ca="1" si="8"/>
        <v>27.5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19350220</v>
      </c>
      <c r="C102" s="26" t="str">
        <f>INDEX(Data,2,2+MOD(ROWS(C$2:C102)-1,2))</f>
        <v>08.00</v>
      </c>
      <c r="D102" s="41">
        <f t="shared" ca="1" si="6"/>
        <v>763.37159999999994</v>
      </c>
      <c r="E102" s="31">
        <f t="shared" ca="1" si="7"/>
        <v>0</v>
      </c>
      <c r="F102" s="42">
        <f t="shared" ca="1" si="8"/>
        <v>25.833333333333332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19350220</v>
      </c>
      <c r="C103" s="26" t="str">
        <f>INDEX(Data,2,2+MOD(ROWS(C$2:C103)-1,2))</f>
        <v>15.00</v>
      </c>
      <c r="D103" s="41">
        <f t="shared" ca="1" si="6"/>
        <v>761.89839999999992</v>
      </c>
      <c r="E103" s="31">
        <f t="shared" ca="1" si="7"/>
        <v>0</v>
      </c>
      <c r="F103" s="42">
        <f t="shared" ca="1" si="8"/>
        <v>27.5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19350221</v>
      </c>
      <c r="C104" s="26" t="str">
        <f>INDEX(Data,2,2+MOD(ROWS(C$2:C104)-1,2))</f>
        <v>08.00</v>
      </c>
      <c r="D104" s="41">
        <f t="shared" ca="1" si="6"/>
        <v>763.39699999999993</v>
      </c>
      <c r="E104" s="31">
        <f t="shared" ca="1" si="7"/>
        <v>0</v>
      </c>
      <c r="F104" s="42">
        <f t="shared" ca="1" si="8"/>
        <v>25.555555555555557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19350221</v>
      </c>
      <c r="C105" s="26" t="str">
        <f>INDEX(Data,2,2+MOD(ROWS(C$2:C105)-1,2))</f>
        <v>15.00</v>
      </c>
      <c r="D105" s="41">
        <f t="shared" ca="1" si="6"/>
        <v>761.33960000000002</v>
      </c>
      <c r="E105" s="31">
        <f t="shared" ca="1" si="7"/>
        <v>0</v>
      </c>
      <c r="F105" s="42">
        <f t="shared" ca="1" si="8"/>
        <v>27.777777777777779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19350222</v>
      </c>
      <c r="C106" s="26" t="str">
        <f>INDEX(Data,2,2+MOD(ROWS(C$2:C106)-1,2))</f>
        <v>08.00</v>
      </c>
      <c r="D106" s="41">
        <f t="shared" ca="1" si="6"/>
        <v>762.35559999999998</v>
      </c>
      <c r="E106" s="31">
        <f t="shared" ca="1" si="7"/>
        <v>0</v>
      </c>
      <c r="F106" s="42">
        <f t="shared" ca="1" si="8"/>
        <v>25.833333333333332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19350222</v>
      </c>
      <c r="C107" s="26" t="str">
        <f>INDEX(Data,2,2+MOD(ROWS(C$2:C107)-1,2))</f>
        <v>15.00</v>
      </c>
      <c r="D107" s="41">
        <f t="shared" ca="1" si="6"/>
        <v>760.55219999999997</v>
      </c>
      <c r="E107" s="31">
        <f t="shared" ca="1" si="7"/>
        <v>0</v>
      </c>
      <c r="F107" s="42">
        <f t="shared" ca="1" si="8"/>
        <v>28.333333333333332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19350223</v>
      </c>
      <c r="C108" s="26" t="str">
        <f>INDEX(Data,2,2+MOD(ROWS(C$2:C108)-1,2))</f>
        <v>08.00</v>
      </c>
      <c r="D108" s="41">
        <f t="shared" ca="1" si="6"/>
        <v>762.78739999999993</v>
      </c>
      <c r="E108" s="31">
        <f t="shared" ca="1" si="7"/>
        <v>0</v>
      </c>
      <c r="F108" s="42">
        <f t="shared" ca="1" si="8"/>
        <v>26.388888888888889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19350223</v>
      </c>
      <c r="C109" s="26" t="str">
        <f>INDEX(Data,2,2+MOD(ROWS(C$2:C109)-1,2))</f>
        <v>15.00</v>
      </c>
      <c r="D109" s="41">
        <f t="shared" ca="1" si="6"/>
        <v>761.33960000000002</v>
      </c>
      <c r="E109" s="31">
        <f t="shared" ca="1" si="7"/>
        <v>0</v>
      </c>
      <c r="F109" s="42">
        <f t="shared" ca="1" si="8"/>
        <v>27.777777777777779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19350224</v>
      </c>
      <c r="C110" s="26" t="str">
        <f>INDEX(Data,2,2+MOD(ROWS(C$2:C110)-1,2))</f>
        <v>08.00</v>
      </c>
      <c r="D110" s="41">
        <f t="shared" ca="1" si="6"/>
        <v>762.02539999999999</v>
      </c>
      <c r="E110" s="31">
        <f t="shared" ca="1" si="7"/>
        <v>0</v>
      </c>
      <c r="F110" s="42">
        <f t="shared" ca="1" si="8"/>
        <v>26.388888888888889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19350224</v>
      </c>
      <c r="C111" s="26" t="str">
        <f>INDEX(Data,2,2+MOD(ROWS(C$2:C111)-1,2))</f>
        <v>15.00</v>
      </c>
      <c r="D111" s="41">
        <f t="shared" ca="1" si="6"/>
        <v>759.84100000000001</v>
      </c>
      <c r="E111" s="31">
        <f t="shared" ca="1" si="7"/>
        <v>0</v>
      </c>
      <c r="F111" s="42">
        <f t="shared" ca="1" si="8"/>
        <v>27.777777777777779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19350225</v>
      </c>
      <c r="C112" s="26" t="str">
        <f>INDEX(Data,2,2+MOD(ROWS(C$2:C112)-1,2))</f>
        <v>08.00</v>
      </c>
      <c r="D112" s="41">
        <f t="shared" ca="1" si="6"/>
        <v>761.74599999999998</v>
      </c>
      <c r="E112" s="31">
        <f t="shared" ca="1" si="7"/>
        <v>0</v>
      </c>
      <c r="F112" s="42">
        <f t="shared" ca="1" si="8"/>
        <v>26.666666666666668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19350225</v>
      </c>
      <c r="C113" s="26" t="str">
        <f>INDEX(Data,2,2+MOD(ROWS(C$2:C113)-1,2))</f>
        <v>15.00</v>
      </c>
      <c r="D113" s="41">
        <f t="shared" ca="1" si="6"/>
        <v>759.23140000000001</v>
      </c>
      <c r="E113" s="31">
        <f t="shared" ca="1" si="7"/>
        <v>0</v>
      </c>
      <c r="F113" s="42">
        <f t="shared" ca="1" si="8"/>
        <v>28.611111111111111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19350226</v>
      </c>
      <c r="C114" s="26" t="str">
        <f>INDEX(Data,2,2+MOD(ROWS(C$2:C114)-1,2))</f>
        <v>08.00</v>
      </c>
      <c r="D114" s="41">
        <f t="shared" ca="1" si="6"/>
        <v>761.49199999999996</v>
      </c>
      <c r="E114" s="31">
        <f t="shared" ca="1" si="7"/>
        <v>0</v>
      </c>
      <c r="F114" s="42">
        <f t="shared" ca="1" si="8"/>
        <v>26.666666666666668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19350226</v>
      </c>
      <c r="C115" s="26" t="str">
        <f>INDEX(Data,2,2+MOD(ROWS(C$2:C115)-1,2))</f>
        <v>15.00</v>
      </c>
      <c r="D115" s="41">
        <f t="shared" ca="1" si="6"/>
        <v>759.73939999999993</v>
      </c>
      <c r="E115" s="31">
        <f t="shared" ca="1" si="7"/>
        <v>0</v>
      </c>
      <c r="F115" s="42">
        <f t="shared" ca="1" si="8"/>
        <v>28.611111111111111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19350227</v>
      </c>
      <c r="C116" s="26" t="str">
        <f>INDEX(Data,2,2+MOD(ROWS(C$2:C116)-1,2))</f>
        <v>08.00</v>
      </c>
      <c r="D116" s="41">
        <f t="shared" ca="1" si="6"/>
        <v>762.25400000000002</v>
      </c>
      <c r="E116" s="31">
        <f t="shared" ca="1" si="7"/>
        <v>0</v>
      </c>
      <c r="F116" s="42">
        <f t="shared" ca="1" si="8"/>
        <v>26.666666666666668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19350227</v>
      </c>
      <c r="C117" s="26" t="str">
        <f>INDEX(Data,2,2+MOD(ROWS(C$2:C117)-1,2))</f>
        <v>15.00</v>
      </c>
      <c r="D117" s="41">
        <f t="shared" ca="1" si="6"/>
        <v>760.22199999999998</v>
      </c>
      <c r="E117" s="31">
        <f t="shared" ca="1" si="7"/>
        <v>0</v>
      </c>
      <c r="F117" s="42">
        <f t="shared" ca="1" si="8"/>
        <v>28.888888888888889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19350228</v>
      </c>
      <c r="C118" s="26" t="str">
        <f>INDEX(Data,2,2+MOD(ROWS(C$2:C118)-1,2))</f>
        <v>08.00</v>
      </c>
      <c r="D118" s="41">
        <f t="shared" ca="1" si="6"/>
        <v>762.78739999999993</v>
      </c>
      <c r="E118" s="31">
        <f t="shared" ca="1" si="7"/>
        <v>0</v>
      </c>
      <c r="F118" s="42">
        <f t="shared" ca="1" si="8"/>
        <v>26.388888888888889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19350228</v>
      </c>
      <c r="C119" s="26" t="str">
        <f>INDEX(Data,2,2+MOD(ROWS(C$2:C119)-1,2))</f>
        <v>15.00</v>
      </c>
      <c r="D119" s="41">
        <f t="shared" ca="1" si="6"/>
        <v>760.57759999999996</v>
      </c>
      <c r="E119" s="31">
        <f t="shared" ca="1" si="7"/>
        <v>0</v>
      </c>
      <c r="F119" s="42">
        <f t="shared" ca="1" si="8"/>
        <v>28.055555555555557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19350301</v>
      </c>
      <c r="C120" s="26" t="str">
        <f>INDEX(Data,2,2+MOD(ROWS(C$2:C120)-1,2))</f>
        <v>08.00</v>
      </c>
      <c r="D120" s="41">
        <f t="shared" ca="1" si="6"/>
        <v>762.78739999999993</v>
      </c>
      <c r="E120" s="31">
        <f t="shared" ca="1" si="7"/>
        <v>0</v>
      </c>
      <c r="F120" s="42">
        <f t="shared" ca="1" si="8"/>
        <v>26.388888888888889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19350301</v>
      </c>
      <c r="C121" s="26" t="str">
        <f>INDEX(Data,2,2+MOD(ROWS(C$2:C121)-1,2))</f>
        <v>15.00</v>
      </c>
      <c r="D121" s="41">
        <f t="shared" ca="1" si="6"/>
        <v>761.0856</v>
      </c>
      <c r="E121" s="31">
        <f t="shared" ca="1" si="7"/>
        <v>0</v>
      </c>
      <c r="F121" s="42">
        <f t="shared" ca="1" si="8"/>
        <v>27.777777777777779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19350302</v>
      </c>
      <c r="C122" s="26" t="str">
        <f>INDEX(Data,2,2+MOD(ROWS(C$2:C122)-1,2))</f>
        <v>08.00</v>
      </c>
      <c r="D122" s="41">
        <f t="shared" ca="1" si="6"/>
        <v>763.04139999999995</v>
      </c>
      <c r="E122" s="31">
        <f t="shared" ca="1" si="7"/>
        <v>0</v>
      </c>
      <c r="F122" s="42">
        <f t="shared" ca="1" si="8"/>
        <v>26.388888888888889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19350302</v>
      </c>
      <c r="C123" s="26" t="str">
        <f>INDEX(Data,2,2+MOD(ROWS(C$2:C123)-1,2))</f>
        <v>15.00</v>
      </c>
      <c r="D123" s="41">
        <f t="shared" ca="1" si="6"/>
        <v>761.23799999999994</v>
      </c>
      <c r="E123" s="31">
        <f t="shared" ca="1" si="7"/>
        <v>0</v>
      </c>
      <c r="F123" s="42">
        <f t="shared" ca="1" si="8"/>
        <v>26.666666666666668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19350303</v>
      </c>
      <c r="C124" s="26" t="str">
        <f>INDEX(Data,2,2+MOD(ROWS(C$2:C124)-1,2))</f>
        <v>08.00</v>
      </c>
      <c r="D124" s="41">
        <f t="shared" ca="1" si="6"/>
        <v>762.58420000000001</v>
      </c>
      <c r="E124" s="31">
        <f t="shared" ca="1" si="7"/>
        <v>0</v>
      </c>
      <c r="F124" s="42">
        <f t="shared" ca="1" si="8"/>
        <v>26.111111111111111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19350303</v>
      </c>
      <c r="C125" s="26" t="str">
        <f>INDEX(Data,2,2+MOD(ROWS(C$2:C125)-1,2))</f>
        <v>15.00</v>
      </c>
      <c r="D125" s="41">
        <f t="shared" ca="1" si="6"/>
        <v>760.55219999999997</v>
      </c>
      <c r="E125" s="31">
        <f t="shared" ca="1" si="7"/>
        <v>0</v>
      </c>
      <c r="F125" s="42">
        <f t="shared" ca="1" si="8"/>
        <v>28.333333333333332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19350304</v>
      </c>
      <c r="C126" s="26" t="str">
        <f>INDEX(Data,2,2+MOD(ROWS(C$2:C126)-1,2))</f>
        <v>08.00</v>
      </c>
      <c r="D126" s="41">
        <f t="shared" ca="1" si="6"/>
        <v>761.94920000000002</v>
      </c>
      <c r="E126" s="31">
        <f t="shared" ca="1" si="7"/>
        <v>0</v>
      </c>
      <c r="F126" s="42">
        <f t="shared" ca="1" si="8"/>
        <v>26.944444444444443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19350304</v>
      </c>
      <c r="C127" s="26" t="str">
        <f>INDEX(Data,2,2+MOD(ROWS(C$2:C127)-1,2))</f>
        <v>15.00</v>
      </c>
      <c r="D127" s="41">
        <f t="shared" ca="1" si="6"/>
        <v>760.22199999999998</v>
      </c>
      <c r="E127" s="31">
        <f t="shared" ca="1" si="7"/>
        <v>0</v>
      </c>
      <c r="F127" s="42">
        <f t="shared" ca="1" si="8"/>
        <v>28.888888888888889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19350305</v>
      </c>
      <c r="C128" s="26" t="str">
        <f>INDEX(Data,2,2+MOD(ROWS(C$2:C128)-1,2))</f>
        <v>08.00</v>
      </c>
      <c r="D128" s="41">
        <f t="shared" ca="1" si="6"/>
        <v>762.50799999999992</v>
      </c>
      <c r="E128" s="31">
        <f t="shared" ca="1" si="7"/>
        <v>0</v>
      </c>
      <c r="F128" s="42">
        <f t="shared" ca="1" si="8"/>
        <v>26.666666666666668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19350305</v>
      </c>
      <c r="C129" s="26" t="str">
        <f>INDEX(Data,2,2+MOD(ROWS(C$2:C129)-1,2))</f>
        <v>15.00</v>
      </c>
      <c r="D129" s="41">
        <f t="shared" ca="1" si="6"/>
        <v>760.80619999999999</v>
      </c>
      <c r="E129" s="31">
        <f t="shared" ca="1" si="7"/>
        <v>0</v>
      </c>
      <c r="F129" s="42">
        <f t="shared" ca="1" si="8"/>
        <v>28.333333333333332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19350306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762.27940000000001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26.388888888888889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19350306</v>
      </c>
      <c r="C131" s="26" t="str">
        <f>INDEX(Data,2,2+MOD(ROWS(C$2:C131)-1,2))</f>
        <v>15.00</v>
      </c>
      <c r="D131" s="41">
        <f t="shared" ca="1" si="11"/>
        <v>761.03480000000002</v>
      </c>
      <c r="E131" s="31">
        <f t="shared" ca="1" si="12"/>
        <v>0</v>
      </c>
      <c r="F131" s="42">
        <f t="shared" ca="1" si="13"/>
        <v>28.333333333333332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19350307</v>
      </c>
      <c r="C132" s="26" t="str">
        <f>INDEX(Data,2,2+MOD(ROWS(C$2:C132)-1,2))</f>
        <v>08.00</v>
      </c>
      <c r="D132" s="41">
        <f t="shared" ca="1" si="11"/>
        <v>762.58420000000001</v>
      </c>
      <c r="E132" s="31">
        <f t="shared" ca="1" si="12"/>
        <v>0</v>
      </c>
      <c r="F132" s="42">
        <f t="shared" ca="1" si="13"/>
        <v>26.111111111111111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19350307</v>
      </c>
      <c r="C133" s="26" t="str">
        <f>INDEX(Data,2,2+MOD(ROWS(C$2:C133)-1,2))</f>
        <v>15.00</v>
      </c>
      <c r="D133" s="41">
        <f t="shared" ca="1" si="11"/>
        <v>760.55219999999997</v>
      </c>
      <c r="E133" s="31">
        <f t="shared" ca="1" si="12"/>
        <v>0</v>
      </c>
      <c r="F133" s="42">
        <f t="shared" ca="1" si="13"/>
        <v>28.333333333333332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19350308</v>
      </c>
      <c r="C134" s="26" t="str">
        <f>INDEX(Data,2,2+MOD(ROWS(C$2:C134)-1,2))</f>
        <v>08.00</v>
      </c>
      <c r="D134" s="41">
        <f t="shared" ca="1" si="11"/>
        <v>761.77139999999997</v>
      </c>
      <c r="E134" s="31">
        <f t="shared" ca="1" si="12"/>
        <v>0</v>
      </c>
      <c r="F134" s="42">
        <f t="shared" ca="1" si="13"/>
        <v>26.388888888888889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19350308</v>
      </c>
      <c r="C135" s="26" t="str">
        <f>INDEX(Data,2,2+MOD(ROWS(C$2:C135)-1,2))</f>
        <v>15.00</v>
      </c>
      <c r="D135" s="41">
        <f t="shared" ca="1" si="11"/>
        <v>759.30759999999998</v>
      </c>
      <c r="E135" s="31">
        <f t="shared" ca="1" si="12"/>
        <v>0</v>
      </c>
      <c r="F135" s="42">
        <f t="shared" ca="1" si="13"/>
        <v>28.055555555555557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19350309</v>
      </c>
      <c r="C136" s="26" t="str">
        <f>INDEX(Data,2,2+MOD(ROWS(C$2:C136)-1,2))</f>
        <v>08.00</v>
      </c>
      <c r="D136" s="41">
        <f t="shared" ca="1" si="11"/>
        <v>761.51739999999995</v>
      </c>
      <c r="E136" s="31">
        <f t="shared" ca="1" si="12"/>
        <v>0</v>
      </c>
      <c r="F136" s="42">
        <f t="shared" ca="1" si="13"/>
        <v>26.388888888888889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19350309</v>
      </c>
      <c r="C137" s="26" t="str">
        <f>INDEX(Data,2,2+MOD(ROWS(C$2:C137)-1,2))</f>
        <v>15.00</v>
      </c>
      <c r="D137" s="41">
        <f t="shared" ca="1" si="11"/>
        <v>760.55219999999997</v>
      </c>
      <c r="E137" s="31">
        <f t="shared" ca="1" si="12"/>
        <v>0</v>
      </c>
      <c r="F137" s="42">
        <f t="shared" ca="1" si="13"/>
        <v>28.333333333333332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19350310</v>
      </c>
      <c r="C138" s="26" t="str">
        <f>INDEX(Data,2,2+MOD(ROWS(C$2:C138)-1,2))</f>
        <v>08.00</v>
      </c>
      <c r="D138" s="41">
        <f t="shared" ca="1" si="11"/>
        <v>762.78739999999993</v>
      </c>
      <c r="E138" s="31">
        <f t="shared" ca="1" si="12"/>
        <v>0</v>
      </c>
      <c r="F138" s="42">
        <f t="shared" ca="1" si="13"/>
        <v>26.388888888888889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19350310</v>
      </c>
      <c r="C139" s="26" t="str">
        <f>INDEX(Data,2,2+MOD(ROWS(C$2:C139)-1,2))</f>
        <v>15.00</v>
      </c>
      <c r="D139" s="41">
        <f t="shared" ca="1" si="11"/>
        <v>761.03480000000002</v>
      </c>
      <c r="E139" s="31">
        <f t="shared" ca="1" si="12"/>
        <v>0</v>
      </c>
      <c r="F139" s="42">
        <f t="shared" ca="1" si="13"/>
        <v>28.333333333333332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19350311</v>
      </c>
      <c r="C140" s="26" t="str">
        <f>INDEX(Data,2,2+MOD(ROWS(C$2:C140)-1,2))</f>
        <v>08.00</v>
      </c>
      <c r="D140" s="41">
        <f t="shared" ca="1" si="11"/>
        <v>763.34619999999995</v>
      </c>
      <c r="E140" s="31">
        <f t="shared" ca="1" si="12"/>
        <v>0</v>
      </c>
      <c r="F140" s="42">
        <f t="shared" ca="1" si="13"/>
        <v>26.111111111111111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19350311</v>
      </c>
      <c r="C141" s="26" t="str">
        <f>INDEX(Data,2,2+MOD(ROWS(C$2:C141)-1,2))</f>
        <v>15.00</v>
      </c>
      <c r="D141" s="41">
        <f t="shared" ca="1" si="11"/>
        <v>761.28879999999992</v>
      </c>
      <c r="E141" s="31">
        <f t="shared" ca="1" si="12"/>
        <v>0</v>
      </c>
      <c r="F141" s="42">
        <f t="shared" ca="1" si="13"/>
        <v>28.333333333333332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19350312</v>
      </c>
      <c r="C142" s="26" t="str">
        <f>INDEX(Data,2,2+MOD(ROWS(C$2:C142)-1,2))</f>
        <v>08.00</v>
      </c>
      <c r="D142" s="41">
        <f t="shared" ca="1" si="11"/>
        <v>763.34619999999995</v>
      </c>
      <c r="E142" s="31">
        <f t="shared" ca="1" si="12"/>
        <v>0</v>
      </c>
      <c r="F142" s="42">
        <f t="shared" ca="1" si="13"/>
        <v>26.111111111111111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19350312</v>
      </c>
      <c r="C143" s="26" t="str">
        <f>INDEX(Data,2,2+MOD(ROWS(C$2:C143)-1,2))</f>
        <v>15.00</v>
      </c>
      <c r="D143" s="41">
        <f t="shared" ca="1" si="11"/>
        <v>761.49199999999996</v>
      </c>
      <c r="E143" s="31">
        <f t="shared" ca="1" si="12"/>
        <v>0</v>
      </c>
      <c r="F143" s="42">
        <f t="shared" ca="1" si="13"/>
        <v>28.611111111111111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19350313</v>
      </c>
      <c r="C144" s="26" t="str">
        <f>INDEX(Data,2,2+MOD(ROWS(C$2:C144)-1,2))</f>
        <v>08.00</v>
      </c>
      <c r="D144" s="41">
        <f t="shared" ca="1" si="11"/>
        <v>764.10820000000001</v>
      </c>
      <c r="E144" s="31">
        <f t="shared" ca="1" si="12"/>
        <v>0</v>
      </c>
      <c r="F144" s="42">
        <f t="shared" ca="1" si="13"/>
        <v>26.111111111111111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19350313</v>
      </c>
      <c r="C145" s="26" t="str">
        <f>INDEX(Data,2,2+MOD(ROWS(C$2:C145)-1,2))</f>
        <v>15.00</v>
      </c>
      <c r="D145" s="41">
        <f t="shared" ca="1" si="11"/>
        <v>762.3048</v>
      </c>
      <c r="E145" s="31">
        <f t="shared" ca="1" si="12"/>
        <v>0</v>
      </c>
      <c r="F145" s="42">
        <f t="shared" ca="1" si="13"/>
        <v>28.333333333333332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19350314</v>
      </c>
      <c r="C146" s="26" t="str">
        <f>INDEX(Data,2,2+MOD(ROWS(C$2:C146)-1,2))</f>
        <v>08.00</v>
      </c>
      <c r="D146" s="41">
        <f t="shared" ca="1" si="11"/>
        <v>764.15899999999999</v>
      </c>
      <c r="E146" s="31">
        <f t="shared" ca="1" si="12"/>
        <v>0</v>
      </c>
      <c r="F146" s="42">
        <f t="shared" ca="1" si="13"/>
        <v>25.555555555555557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19350314</v>
      </c>
      <c r="C147" s="26" t="str">
        <f>INDEX(Data,2,2+MOD(ROWS(C$2:C147)-1,2))</f>
        <v>15.00</v>
      </c>
      <c r="D147" s="41">
        <f t="shared" ca="1" si="11"/>
        <v>762.10159999999996</v>
      </c>
      <c r="E147" s="31">
        <f t="shared" ca="1" si="12"/>
        <v>0</v>
      </c>
      <c r="F147" s="42">
        <f t="shared" ca="1" si="13"/>
        <v>27.777777777777779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19350315</v>
      </c>
      <c r="C148" s="26" t="str">
        <f>INDEX(Data,2,2+MOD(ROWS(C$2:C148)-1,2))</f>
        <v>08.00</v>
      </c>
      <c r="D148" s="41">
        <f t="shared" ca="1" si="11"/>
        <v>763.34619999999995</v>
      </c>
      <c r="E148" s="31">
        <f t="shared" ca="1" si="12"/>
        <v>0</v>
      </c>
      <c r="F148" s="42">
        <f t="shared" ca="1" si="13"/>
        <v>26.111111111111111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19350315</v>
      </c>
      <c r="C149" s="26" t="str">
        <f>INDEX(Data,2,2+MOD(ROWS(C$2:C149)-1,2))</f>
        <v>15.00</v>
      </c>
      <c r="D149" s="41">
        <f t="shared" ca="1" si="11"/>
        <v>760.90779999999995</v>
      </c>
      <c r="E149" s="31">
        <f t="shared" ca="1" si="12"/>
        <v>0</v>
      </c>
      <c r="F149" s="42">
        <f t="shared" ca="1" si="13"/>
        <v>27.5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19350316</v>
      </c>
      <c r="C150" s="26" t="str">
        <f>INDEX(Data,2,2+MOD(ROWS(C$2:C150)-1,2))</f>
        <v>08.00</v>
      </c>
      <c r="D150" s="41">
        <f t="shared" ca="1" si="11"/>
        <v>763.44779999999992</v>
      </c>
      <c r="E150" s="31">
        <f t="shared" ca="1" si="12"/>
        <v>0</v>
      </c>
      <c r="F150" s="42">
        <f t="shared" ca="1" si="13"/>
        <v>25.277777777777779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19350316</v>
      </c>
      <c r="C151" s="26" t="str">
        <f>INDEX(Data,2,2+MOD(ROWS(C$2:C151)-1,2))</f>
        <v>15.00</v>
      </c>
      <c r="D151" s="41">
        <f t="shared" ca="1" si="11"/>
        <v>760.60299999999995</v>
      </c>
      <c r="E151" s="31">
        <f t="shared" ca="1" si="12"/>
        <v>0</v>
      </c>
      <c r="F151" s="42">
        <f t="shared" ca="1" si="13"/>
        <v>27.777777777777779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19350317</v>
      </c>
      <c r="C152" s="26" t="str">
        <f>INDEX(Data,2,2+MOD(ROWS(C$2:C152)-1,2))</f>
        <v>08.00</v>
      </c>
      <c r="D152" s="41">
        <f t="shared" ca="1" si="11"/>
        <v>763.39699999999993</v>
      </c>
      <c r="E152" s="31">
        <f t="shared" ca="1" si="12"/>
        <v>0</v>
      </c>
      <c r="F152" s="42">
        <f t="shared" ca="1" si="13"/>
        <v>25.555555555555557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19350317</v>
      </c>
      <c r="C153" s="26" t="str">
        <f>INDEX(Data,2,2+MOD(ROWS(C$2:C153)-1,2))</f>
        <v>15.00</v>
      </c>
      <c r="D153" s="41">
        <f t="shared" ca="1" si="11"/>
        <v>760.80619999999999</v>
      </c>
      <c r="E153" s="31">
        <f t="shared" ca="1" si="12"/>
        <v>0</v>
      </c>
      <c r="F153" s="42">
        <f t="shared" ca="1" si="13"/>
        <v>28.333333333333332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19350318</v>
      </c>
      <c r="C154" s="26" t="str">
        <f>INDEX(Data,2,2+MOD(ROWS(C$2:C154)-1,2))</f>
        <v>08.00</v>
      </c>
      <c r="D154" s="41">
        <f t="shared" ca="1" si="11"/>
        <v>763.09219999999993</v>
      </c>
      <c r="E154" s="31">
        <f t="shared" ca="1" si="12"/>
        <v>0</v>
      </c>
      <c r="F154" s="42">
        <f t="shared" ca="1" si="13"/>
        <v>26.111111111111111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19350318</v>
      </c>
      <c r="C155" s="26" t="str">
        <f>INDEX(Data,2,2+MOD(ROWS(C$2:C155)-1,2))</f>
        <v>15.00</v>
      </c>
      <c r="D155" s="41">
        <f t="shared" ca="1" si="11"/>
        <v>761.0856</v>
      </c>
      <c r="E155" s="31">
        <f t="shared" ca="1" si="12"/>
        <v>0</v>
      </c>
      <c r="F155" s="42">
        <f t="shared" ca="1" si="13"/>
        <v>27.777777777777779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19350319</v>
      </c>
      <c r="C156" s="26" t="str">
        <f>INDEX(Data,2,2+MOD(ROWS(C$2:C156)-1,2))</f>
        <v>08.00</v>
      </c>
      <c r="D156" s="41">
        <f t="shared" ca="1" si="11"/>
        <v>762.6096</v>
      </c>
      <c r="E156" s="31">
        <f t="shared" ca="1" si="12"/>
        <v>0</v>
      </c>
      <c r="F156" s="42">
        <f t="shared" ca="1" si="13"/>
        <v>25.833333333333332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19350319</v>
      </c>
      <c r="C157" s="26" t="str">
        <f>INDEX(Data,2,2+MOD(ROWS(C$2:C157)-1,2))</f>
        <v>15.00</v>
      </c>
      <c r="D157" s="41">
        <f t="shared" ca="1" si="11"/>
        <v>761.0856</v>
      </c>
      <c r="E157" s="31">
        <f t="shared" ca="1" si="12"/>
        <v>0</v>
      </c>
      <c r="F157" s="42">
        <f t="shared" ca="1" si="13"/>
        <v>27.777777777777779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19350320</v>
      </c>
      <c r="C158" s="26" t="str">
        <f>INDEX(Data,2,2+MOD(ROWS(C$2:C158)-1,2))</f>
        <v>08.00</v>
      </c>
      <c r="D158" s="41">
        <f t="shared" ca="1" si="11"/>
        <v>762.35559999999998</v>
      </c>
      <c r="E158" s="31">
        <f t="shared" ca="1" si="12"/>
        <v>0</v>
      </c>
      <c r="F158" s="42">
        <f t="shared" ca="1" si="13"/>
        <v>25.833333333333332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19350320</v>
      </c>
      <c r="C159" s="26" t="str">
        <f>INDEX(Data,2,2+MOD(ROWS(C$2:C159)-1,2))</f>
        <v>15.00</v>
      </c>
      <c r="D159" s="41">
        <f t="shared" ca="1" si="11"/>
        <v>760.32359999999994</v>
      </c>
      <c r="E159" s="31">
        <f t="shared" ca="1" si="12"/>
        <v>0</v>
      </c>
      <c r="F159" s="42">
        <f t="shared" ca="1" si="13"/>
        <v>28.055555555555557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19350321</v>
      </c>
      <c r="C160" s="26" t="str">
        <f>INDEX(Data,2,2+MOD(ROWS(C$2:C160)-1,2))</f>
        <v>08.00</v>
      </c>
      <c r="D160" s="41">
        <f t="shared" ca="1" si="11"/>
        <v>763.11759999999992</v>
      </c>
      <c r="E160" s="31">
        <f t="shared" ca="1" si="12"/>
        <v>0</v>
      </c>
      <c r="F160" s="42">
        <f t="shared" ca="1" si="13"/>
        <v>25.833333333333332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19350321</v>
      </c>
      <c r="C161" s="26" t="str">
        <f>INDEX(Data,2,2+MOD(ROWS(C$2:C161)-1,2))</f>
        <v>15.00</v>
      </c>
      <c r="D161" s="41">
        <f t="shared" ca="1" si="11"/>
        <v>761.06020000000001</v>
      </c>
      <c r="E161" s="31">
        <f t="shared" ca="1" si="12"/>
        <v>0</v>
      </c>
      <c r="F161" s="42">
        <f t="shared" ca="1" si="13"/>
        <v>28.055555555555557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19350322</v>
      </c>
      <c r="C162" s="26" t="str">
        <f>INDEX(Data,2,2+MOD(ROWS(C$2:C162)-1,2))</f>
        <v>08.00</v>
      </c>
      <c r="D162" s="41">
        <f t="shared" ca="1" si="11"/>
        <v>762.83819999999992</v>
      </c>
      <c r="E162" s="31">
        <f t="shared" ca="1" si="12"/>
        <v>0</v>
      </c>
      <c r="F162" s="42">
        <f t="shared" ca="1" si="13"/>
        <v>26.111111111111111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19350322</v>
      </c>
      <c r="C163" s="26" t="str">
        <f>INDEX(Data,2,2+MOD(ROWS(C$2:C163)-1,2))</f>
        <v>15.00</v>
      </c>
      <c r="D163" s="41">
        <f t="shared" ca="1" si="11"/>
        <v>761.06020000000001</v>
      </c>
      <c r="E163" s="31">
        <f t="shared" ca="1" si="12"/>
        <v>0</v>
      </c>
      <c r="F163" s="42">
        <f t="shared" ca="1" si="13"/>
        <v>28.055555555555557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19350323</v>
      </c>
      <c r="C164" s="26" t="str">
        <f>INDEX(Data,2,2+MOD(ROWS(C$2:C164)-1,2))</f>
        <v>08.00</v>
      </c>
      <c r="D164" s="41">
        <f t="shared" ca="1" si="11"/>
        <v>763.37159999999994</v>
      </c>
      <c r="E164" s="31">
        <f t="shared" ca="1" si="12"/>
        <v>0</v>
      </c>
      <c r="F164" s="42">
        <f t="shared" ca="1" si="13"/>
        <v>25.833333333333332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19350323</v>
      </c>
      <c r="C165" s="26" t="str">
        <f>INDEX(Data,2,2+MOD(ROWS(C$2:C165)-1,2))</f>
        <v>15.00</v>
      </c>
      <c r="D165" s="41">
        <f t="shared" ca="1" si="11"/>
        <v>761.28879999999992</v>
      </c>
      <c r="E165" s="31">
        <f t="shared" ca="1" si="12"/>
        <v>0</v>
      </c>
      <c r="F165" s="42">
        <f t="shared" ca="1" si="13"/>
        <v>28.333333333333332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19350324</v>
      </c>
      <c r="C166" s="26" t="str">
        <f>INDEX(Data,2,2+MOD(ROWS(C$2:C166)-1,2))</f>
        <v>08.00</v>
      </c>
      <c r="D166" s="41">
        <f t="shared" ca="1" si="11"/>
        <v>762.6096</v>
      </c>
      <c r="E166" s="31">
        <f t="shared" ca="1" si="12"/>
        <v>0</v>
      </c>
      <c r="F166" s="42">
        <f t="shared" ca="1" si="13"/>
        <v>25.833333333333332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19350324</v>
      </c>
      <c r="C167" s="26" t="str">
        <f>INDEX(Data,2,2+MOD(ROWS(C$2:C167)-1,2))</f>
        <v>15.00</v>
      </c>
      <c r="D167" s="41">
        <f t="shared" ca="1" si="11"/>
        <v>760.85699999999997</v>
      </c>
      <c r="E167" s="31">
        <f t="shared" ca="1" si="12"/>
        <v>0</v>
      </c>
      <c r="F167" s="42">
        <f t="shared" ca="1" si="13"/>
        <v>27.777777777777779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19350325</v>
      </c>
      <c r="C168" s="26" t="str">
        <f>INDEX(Data,2,2+MOD(ROWS(C$2:C168)-1,2))</f>
        <v>08.00</v>
      </c>
      <c r="D168" s="41">
        <f t="shared" ca="1" si="11"/>
        <v>762.07619999999997</v>
      </c>
      <c r="E168" s="31">
        <f t="shared" ca="1" si="12"/>
        <v>0</v>
      </c>
      <c r="F168" s="42">
        <f t="shared" ca="1" si="13"/>
        <v>26.111111111111111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19350325</v>
      </c>
      <c r="C169" s="26" t="str">
        <f>INDEX(Data,2,2+MOD(ROWS(C$2:C169)-1,2))</f>
        <v>15.00</v>
      </c>
      <c r="D169" s="41">
        <f t="shared" ca="1" si="11"/>
        <v>759.84100000000001</v>
      </c>
      <c r="E169" s="31">
        <f t="shared" ca="1" si="12"/>
        <v>0</v>
      </c>
      <c r="F169" s="42">
        <f t="shared" ca="1" si="13"/>
        <v>27.777777777777779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19350326</v>
      </c>
      <c r="C170" s="26" t="str">
        <f>INDEX(Data,2,2+MOD(ROWS(C$2:C170)-1,2))</f>
        <v>08.00</v>
      </c>
      <c r="D170" s="41">
        <f t="shared" ca="1" si="11"/>
        <v>760.50139999999999</v>
      </c>
      <c r="E170" s="31">
        <f t="shared" ca="1" si="12"/>
        <v>0</v>
      </c>
      <c r="F170" s="42">
        <f t="shared" ca="1" si="13"/>
        <v>26.666666666666668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19350326</v>
      </c>
      <c r="C171" s="26" t="str">
        <f>INDEX(Data,2,2+MOD(ROWS(C$2:C171)-1,2))</f>
        <v>15.00</v>
      </c>
      <c r="D171" s="41">
        <f t="shared" ca="1" si="11"/>
        <v>758.26619999999991</v>
      </c>
      <c r="E171" s="31">
        <f t="shared" ca="1" si="12"/>
        <v>0</v>
      </c>
      <c r="F171" s="42">
        <f t="shared" ca="1" si="13"/>
        <v>28.333333333333332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19350327</v>
      </c>
      <c r="C172" s="26" t="str">
        <f>INDEX(Data,2,2+MOD(ROWS(C$2:C172)-1,2))</f>
        <v>08.00</v>
      </c>
      <c r="D172" s="41">
        <f t="shared" ca="1" si="11"/>
        <v>760.95859999999993</v>
      </c>
      <c r="E172" s="31">
        <f t="shared" ca="1" si="12"/>
        <v>0</v>
      </c>
      <c r="F172" s="42">
        <f t="shared" ca="1" si="13"/>
        <v>26.944444444444443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19350327</v>
      </c>
      <c r="C173" s="26" t="str">
        <f>INDEX(Data,2,2+MOD(ROWS(C$2:C173)-1,2))</f>
        <v>15.00</v>
      </c>
      <c r="D173" s="41">
        <f t="shared" ca="1" si="11"/>
        <v>759.18059999999991</v>
      </c>
      <c r="E173" s="31">
        <f t="shared" ca="1" si="12"/>
        <v>0</v>
      </c>
      <c r="F173" s="42">
        <f t="shared" ca="1" si="13"/>
        <v>29.166666666666668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19350328</v>
      </c>
      <c r="C174" s="26" t="str">
        <f>INDEX(Data,2,2+MOD(ROWS(C$2:C174)-1,2))</f>
        <v>08.00</v>
      </c>
      <c r="D174" s="41">
        <f t="shared" ca="1" si="11"/>
        <v>762</v>
      </c>
      <c r="E174" s="31">
        <f t="shared" ca="1" si="12"/>
        <v>0</v>
      </c>
      <c r="F174" s="42">
        <f t="shared" ca="1" si="13"/>
        <v>26.666666666666668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19350328</v>
      </c>
      <c r="C175" s="26" t="str">
        <f>INDEX(Data,2,2+MOD(ROWS(C$2:C175)-1,2))</f>
        <v>15.00</v>
      </c>
      <c r="D175" s="41">
        <f t="shared" ca="1" si="11"/>
        <v>760.09499999999991</v>
      </c>
      <c r="E175" s="31">
        <f t="shared" ca="1" si="12"/>
        <v>0</v>
      </c>
      <c r="F175" s="42">
        <f t="shared" ca="1" si="13"/>
        <v>27.777777777777779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19350329</v>
      </c>
      <c r="C176" s="26" t="str">
        <f>INDEX(Data,2,2+MOD(ROWS(C$2:C176)-1,2))</f>
        <v>08.00</v>
      </c>
      <c r="D176" s="41">
        <f t="shared" ca="1" si="11"/>
        <v>762.71119999999996</v>
      </c>
      <c r="E176" s="31">
        <f t="shared" ca="1" si="12"/>
        <v>0</v>
      </c>
      <c r="F176" s="42">
        <f t="shared" ca="1" si="13"/>
        <v>26.944444444444443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19350329</v>
      </c>
      <c r="C177" s="26" t="str">
        <f>INDEX(Data,2,2+MOD(ROWS(C$2:C177)-1,2))</f>
        <v>15.00</v>
      </c>
      <c r="D177" s="41">
        <f t="shared" ca="1" si="11"/>
        <v>760.98399999999992</v>
      </c>
      <c r="E177" s="31">
        <f t="shared" ca="1" si="12"/>
        <v>0</v>
      </c>
      <c r="F177" s="42">
        <f t="shared" ca="1" si="13"/>
        <v>28.611111111111111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19350330</v>
      </c>
      <c r="C178" s="26" t="str">
        <f>INDEX(Data,2,2+MOD(ROWS(C$2:C178)-1,2))</f>
        <v>08.00</v>
      </c>
      <c r="D178" s="41">
        <f t="shared" ca="1" si="11"/>
        <v>762.35559999999998</v>
      </c>
      <c r="E178" s="31">
        <f t="shared" ca="1" si="12"/>
        <v>0</v>
      </c>
      <c r="F178" s="42">
        <f t="shared" ca="1" si="13"/>
        <v>25.833333333333332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19350330</v>
      </c>
      <c r="C179" s="26" t="str">
        <f>INDEX(Data,2,2+MOD(ROWS(C$2:C179)-1,2))</f>
        <v>15.00</v>
      </c>
      <c r="D179" s="41">
        <f t="shared" ca="1" si="11"/>
        <v>760.60299999999995</v>
      </c>
      <c r="E179" s="31">
        <f t="shared" ca="1" si="12"/>
        <v>0</v>
      </c>
      <c r="F179" s="42">
        <f t="shared" ca="1" si="13"/>
        <v>27.777777777777779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19350331</v>
      </c>
      <c r="C180" s="26" t="str">
        <f>INDEX(Data,2,2+MOD(ROWS(C$2:C180)-1,2))</f>
        <v>08.00</v>
      </c>
      <c r="D180" s="41">
        <f t="shared" ca="1" si="11"/>
        <v>762.02539999999999</v>
      </c>
      <c r="E180" s="31">
        <f t="shared" ca="1" si="12"/>
        <v>0</v>
      </c>
      <c r="F180" s="42">
        <f t="shared" ca="1" si="13"/>
        <v>26.388888888888889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19350331</v>
      </c>
      <c r="C181" s="26" t="str">
        <f>INDEX(Data,2,2+MOD(ROWS(C$2:C181)-1,2))</f>
        <v>15.00</v>
      </c>
      <c r="D181" s="41">
        <f t="shared" ca="1" si="11"/>
        <v>760.32359999999994</v>
      </c>
      <c r="E181" s="31">
        <f t="shared" ca="1" si="12"/>
        <v>0</v>
      </c>
      <c r="F181" s="42">
        <f t="shared" ca="1" si="13"/>
        <v>28.055555555555557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19350401</v>
      </c>
      <c r="C182" s="26" t="str">
        <f>INDEX(Data,2,2+MOD(ROWS(C$2:C182)-1,2))</f>
        <v>08.00</v>
      </c>
      <c r="D182" s="41">
        <f t="shared" ca="1" si="11"/>
        <v>762.27940000000001</v>
      </c>
      <c r="E182" s="31">
        <f t="shared" ca="1" si="12"/>
        <v>0</v>
      </c>
      <c r="F182" s="42">
        <f t="shared" ca="1" si="13"/>
        <v>26.388888888888889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19350401</v>
      </c>
      <c r="C183" s="26" t="str">
        <f>INDEX(Data,2,2+MOD(ROWS(C$2:C183)-1,2))</f>
        <v>15.00</v>
      </c>
      <c r="D183" s="41">
        <f t="shared" ca="1" si="11"/>
        <v>760.73</v>
      </c>
      <c r="E183" s="31">
        <f t="shared" ca="1" si="12"/>
        <v>0</v>
      </c>
      <c r="F183" s="42">
        <f t="shared" ca="1" si="13"/>
        <v>28.888888888888889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19350402</v>
      </c>
      <c r="C184" s="26" t="str">
        <f>INDEX(Data,2,2+MOD(ROWS(C$2:C184)-1,2))</f>
        <v>08.00</v>
      </c>
      <c r="D184" s="41">
        <f t="shared" ca="1" si="11"/>
        <v>762.76199999999994</v>
      </c>
      <c r="E184" s="31">
        <f t="shared" ca="1" si="12"/>
        <v>0</v>
      </c>
      <c r="F184" s="42">
        <f t="shared" ca="1" si="13"/>
        <v>26.666666666666668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19350402</v>
      </c>
      <c r="C185" s="26" t="str">
        <f>INDEX(Data,2,2+MOD(ROWS(C$2:C185)-1,2))</f>
        <v>15.00</v>
      </c>
      <c r="D185" s="41">
        <f t="shared" ca="1" si="11"/>
        <v>760.55219999999997</v>
      </c>
      <c r="E185" s="31">
        <f t="shared" ca="1" si="12"/>
        <v>0</v>
      </c>
      <c r="F185" s="42">
        <f t="shared" ca="1" si="13"/>
        <v>28.333333333333332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19350403</v>
      </c>
      <c r="C186" s="26" t="str">
        <f>INDEX(Data,2,2+MOD(ROWS(C$2:C186)-1,2))</f>
        <v>08.00</v>
      </c>
      <c r="D186" s="41">
        <f t="shared" ca="1" si="11"/>
        <v>762.78739999999993</v>
      </c>
      <c r="E186" s="31">
        <f t="shared" ca="1" si="12"/>
        <v>0</v>
      </c>
      <c r="F186" s="42">
        <f t="shared" ca="1" si="13"/>
        <v>26.388888888888889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19350403</v>
      </c>
      <c r="C187" s="26" t="str">
        <f>INDEX(Data,2,2+MOD(ROWS(C$2:C187)-1,2))</f>
        <v>15.00</v>
      </c>
      <c r="D187" s="41">
        <f t="shared" ca="1" si="11"/>
        <v>760.60299999999995</v>
      </c>
      <c r="E187" s="31">
        <f t="shared" ca="1" si="12"/>
        <v>0</v>
      </c>
      <c r="F187" s="42">
        <f t="shared" ca="1" si="13"/>
        <v>27.777777777777779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19350404</v>
      </c>
      <c r="C188" s="26" t="str">
        <f>INDEX(Data,2,2+MOD(ROWS(C$2:C188)-1,2))</f>
        <v>08.00</v>
      </c>
      <c r="D188" s="41">
        <f t="shared" ca="1" si="11"/>
        <v>762.78739999999993</v>
      </c>
      <c r="E188" s="31">
        <f t="shared" ca="1" si="12"/>
        <v>0</v>
      </c>
      <c r="F188" s="42">
        <f t="shared" ca="1" si="13"/>
        <v>26.388888888888889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19350404</v>
      </c>
      <c r="C189" s="26" t="str">
        <f>INDEX(Data,2,2+MOD(ROWS(C$2:C189)-1,2))</f>
        <v>15.00</v>
      </c>
      <c r="D189" s="41">
        <f t="shared" ca="1" si="11"/>
        <v>760.75540000000001</v>
      </c>
      <c r="E189" s="31">
        <f t="shared" ca="1" si="12"/>
        <v>0</v>
      </c>
      <c r="F189" s="42">
        <f t="shared" ca="1" si="13"/>
        <v>28.611111111111111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19350405</v>
      </c>
      <c r="C190" s="26" t="str">
        <f>INDEX(Data,2,2+MOD(ROWS(C$2:C190)-1,2))</f>
        <v>08.00</v>
      </c>
      <c r="D190" s="41">
        <f t="shared" ca="1" si="11"/>
        <v>762.27940000000001</v>
      </c>
      <c r="E190" s="31">
        <f t="shared" ca="1" si="12"/>
        <v>0</v>
      </c>
      <c r="F190" s="42">
        <f t="shared" ca="1" si="13"/>
        <v>26.388888888888889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19350405</v>
      </c>
      <c r="C191" s="26" t="str">
        <f>INDEX(Data,2,2+MOD(ROWS(C$2:C191)-1,2))</f>
        <v>15.00</v>
      </c>
      <c r="D191" s="41">
        <f t="shared" ca="1" si="11"/>
        <v>760.24739999999997</v>
      </c>
      <c r="E191" s="31">
        <f t="shared" ca="1" si="12"/>
        <v>0</v>
      </c>
      <c r="F191" s="42">
        <f t="shared" ca="1" si="13"/>
        <v>28.611111111111111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19350406</v>
      </c>
      <c r="C192" s="26" t="str">
        <f>INDEX(Data,2,2+MOD(ROWS(C$2:C192)-1,2))</f>
        <v>08.00</v>
      </c>
      <c r="D192" s="41">
        <f t="shared" ca="1" si="11"/>
        <v>761.49199999999996</v>
      </c>
      <c r="E192" s="31">
        <f t="shared" ca="1" si="12"/>
        <v>0</v>
      </c>
      <c r="F192" s="42">
        <f t="shared" ca="1" si="13"/>
        <v>26.666666666666668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19350406</v>
      </c>
      <c r="C193" s="26" t="str">
        <f>INDEX(Data,2,2+MOD(ROWS(C$2:C193)-1,2))</f>
        <v>15.00</v>
      </c>
      <c r="D193" s="41">
        <f t="shared" ca="1" si="11"/>
        <v>760.57759999999996</v>
      </c>
      <c r="E193" s="31">
        <f t="shared" ca="1" si="12"/>
        <v>0</v>
      </c>
      <c r="F193" s="42">
        <f t="shared" ca="1" si="13"/>
        <v>28.055555555555557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19350407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761.77139999999997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26.388888888888889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19350407</v>
      </c>
      <c r="C195" s="26" t="str">
        <f>INDEX(Data,2,2+MOD(ROWS(C$2:C195)-1,2))</f>
        <v>15.00</v>
      </c>
      <c r="D195" s="41">
        <f t="shared" ca="1" si="16"/>
        <v>760.22199999999998</v>
      </c>
      <c r="E195" s="31">
        <f t="shared" ca="1" si="17"/>
        <v>0</v>
      </c>
      <c r="F195" s="42">
        <f t="shared" ca="1" si="18"/>
        <v>28.888888888888889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19350408</v>
      </c>
      <c r="C196" s="26" t="str">
        <f>INDEX(Data,2,2+MOD(ROWS(C$2:C196)-1,2))</f>
        <v>08.00</v>
      </c>
      <c r="D196" s="41">
        <f t="shared" ca="1" si="16"/>
        <v>761.00939999999991</v>
      </c>
      <c r="E196" s="31">
        <f t="shared" ca="1" si="17"/>
        <v>0</v>
      </c>
      <c r="F196" s="42">
        <f t="shared" ca="1" si="18"/>
        <v>26.666666666666668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19350408</v>
      </c>
      <c r="C197" s="26" t="str">
        <f>INDEX(Data,2,2+MOD(ROWS(C$2:C197)-1,2))</f>
        <v>15.00</v>
      </c>
      <c r="D197" s="41">
        <f t="shared" ca="1" si="16"/>
        <v>759.20600000000002</v>
      </c>
      <c r="E197" s="31">
        <f t="shared" ca="1" si="17"/>
        <v>0</v>
      </c>
      <c r="F197" s="42">
        <f t="shared" ca="1" si="18"/>
        <v>28.888888888888889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19350409</v>
      </c>
      <c r="C198" s="26" t="str">
        <f>INDEX(Data,2,2+MOD(ROWS(C$2:C198)-1,2))</f>
        <v>08.00</v>
      </c>
      <c r="D198" s="41">
        <f t="shared" ca="1" si="16"/>
        <v>760.95859999999993</v>
      </c>
      <c r="E198" s="31">
        <f t="shared" ca="1" si="17"/>
        <v>0</v>
      </c>
      <c r="F198" s="42">
        <f t="shared" ca="1" si="18"/>
        <v>26.944444444444443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19350409</v>
      </c>
      <c r="C199" s="26" t="str">
        <f>INDEX(Data,2,2+MOD(ROWS(C$2:C199)-1,2))</f>
        <v>15.00</v>
      </c>
      <c r="D199" s="41">
        <f t="shared" ca="1" si="16"/>
        <v>759.18059999999991</v>
      </c>
      <c r="E199" s="31">
        <f t="shared" ca="1" si="17"/>
        <v>0</v>
      </c>
      <c r="F199" s="42">
        <f t="shared" ca="1" si="18"/>
        <v>29.166666666666668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19350410</v>
      </c>
      <c r="C200" s="26" t="str">
        <f>INDEX(Data,2,2+MOD(ROWS(C$2:C200)-1,2))</f>
        <v>08.00</v>
      </c>
      <c r="D200" s="41">
        <f t="shared" ca="1" si="16"/>
        <v>761.49199999999996</v>
      </c>
      <c r="E200" s="31">
        <f t="shared" ca="1" si="17"/>
        <v>0</v>
      </c>
      <c r="F200" s="42">
        <f t="shared" ca="1" si="18"/>
        <v>26.666666666666668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19350410</v>
      </c>
      <c r="C201" s="26" t="str">
        <f>INDEX(Data,2,2+MOD(ROWS(C$2:C201)-1,2))</f>
        <v>15.00</v>
      </c>
      <c r="D201" s="41">
        <f t="shared" ca="1" si="16"/>
        <v>759.81560000000002</v>
      </c>
      <c r="E201" s="31">
        <f t="shared" ca="1" si="17"/>
        <v>0</v>
      </c>
      <c r="F201" s="42">
        <f t="shared" ca="1" si="18"/>
        <v>28.055555555555557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19350411</v>
      </c>
      <c r="C202" s="26" t="str">
        <f>INDEX(Data,2,2+MOD(ROWS(C$2:C202)-1,2))</f>
        <v>08.00</v>
      </c>
      <c r="D202" s="41">
        <f t="shared" ca="1" si="16"/>
        <v>761.51739999999995</v>
      </c>
      <c r="E202" s="31">
        <f t="shared" ca="1" si="17"/>
        <v>0</v>
      </c>
      <c r="F202" s="42">
        <f t="shared" ca="1" si="18"/>
        <v>26.388888888888889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19350411</v>
      </c>
      <c r="C203" s="26" t="str">
        <f>INDEX(Data,2,2+MOD(ROWS(C$2:C203)-1,2))</f>
        <v>15.00</v>
      </c>
      <c r="D203" s="41">
        <f t="shared" ca="1" si="16"/>
        <v>759.48539999999991</v>
      </c>
      <c r="E203" s="31">
        <f t="shared" ca="1" si="17"/>
        <v>0</v>
      </c>
      <c r="F203" s="42">
        <f t="shared" ca="1" si="18"/>
        <v>28.611111111111111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19350412</v>
      </c>
      <c r="C204" s="26" t="str">
        <f>INDEX(Data,2,2+MOD(ROWS(C$2:C204)-1,2))</f>
        <v>08.00</v>
      </c>
      <c r="D204" s="41">
        <f t="shared" ca="1" si="16"/>
        <v>761.44119999999998</v>
      </c>
      <c r="E204" s="31">
        <f t="shared" ca="1" si="17"/>
        <v>0</v>
      </c>
      <c r="F204" s="42">
        <f t="shared" ca="1" si="18"/>
        <v>26.944444444444443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19350412</v>
      </c>
      <c r="C205" s="26" t="str">
        <f>INDEX(Data,2,2+MOD(ROWS(C$2:C205)-1,2))</f>
        <v>15.00</v>
      </c>
      <c r="D205" s="41">
        <f t="shared" ca="1" si="16"/>
        <v>759.71399999999994</v>
      </c>
      <c r="E205" s="31">
        <f t="shared" ca="1" si="17"/>
        <v>0</v>
      </c>
      <c r="F205" s="42">
        <f t="shared" ca="1" si="18"/>
        <v>28.888888888888889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19350413</v>
      </c>
      <c r="C206" s="26" t="str">
        <f>INDEX(Data,2,2+MOD(ROWS(C$2:C206)-1,2))</f>
        <v>08.00</v>
      </c>
      <c r="D206" s="41">
        <f t="shared" ca="1" si="16"/>
        <v>761.66980000000001</v>
      </c>
      <c r="E206" s="31">
        <f t="shared" ca="1" si="17"/>
        <v>0</v>
      </c>
      <c r="F206" s="42">
        <f t="shared" ca="1" si="18"/>
        <v>27.222222222222221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19350413</v>
      </c>
      <c r="C207" s="26" t="str">
        <f>INDEX(Data,2,2+MOD(ROWS(C$2:C207)-1,2))</f>
        <v>15.00</v>
      </c>
      <c r="D207" s="41">
        <f t="shared" ca="1" si="16"/>
        <v>759.20600000000002</v>
      </c>
      <c r="E207" s="31">
        <f t="shared" ca="1" si="17"/>
        <v>0</v>
      </c>
      <c r="F207" s="42">
        <f t="shared" ca="1" si="18"/>
        <v>28.888888888888889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19350414</v>
      </c>
      <c r="C208" s="26" t="str">
        <f>INDEX(Data,2,2+MOD(ROWS(C$2:C208)-1,2))</f>
        <v>08.00</v>
      </c>
      <c r="D208" s="41">
        <f t="shared" ca="1" si="16"/>
        <v>761.77139999999997</v>
      </c>
      <c r="E208" s="31">
        <f t="shared" ca="1" si="17"/>
        <v>0</v>
      </c>
      <c r="F208" s="42">
        <f t="shared" ca="1" si="18"/>
        <v>26.388888888888889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19350414</v>
      </c>
      <c r="C209" s="26" t="str">
        <f>INDEX(Data,2,2+MOD(ROWS(C$2:C209)-1,2))</f>
        <v>15.00</v>
      </c>
      <c r="D209" s="41">
        <f t="shared" ca="1" si="16"/>
        <v>759.73939999999993</v>
      </c>
      <c r="E209" s="31">
        <f t="shared" ca="1" si="17"/>
        <v>0</v>
      </c>
      <c r="F209" s="42">
        <f t="shared" ca="1" si="18"/>
        <v>28.611111111111111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19350415</v>
      </c>
      <c r="C210" s="26" t="str">
        <f>INDEX(Data,2,2+MOD(ROWS(C$2:C210)-1,2))</f>
        <v>08.00</v>
      </c>
      <c r="D210" s="41">
        <f t="shared" ca="1" si="16"/>
        <v>762.17779999999993</v>
      </c>
      <c r="E210" s="31">
        <f t="shared" ca="1" si="17"/>
        <v>0</v>
      </c>
      <c r="F210" s="42">
        <f t="shared" ca="1" si="18"/>
        <v>27.222222222222221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19350415</v>
      </c>
      <c r="C211" s="26" t="str">
        <f>INDEX(Data,2,2+MOD(ROWS(C$2:C211)-1,2))</f>
        <v>15.00</v>
      </c>
      <c r="D211" s="41">
        <f t="shared" ca="1" si="16"/>
        <v>759.63779999999997</v>
      </c>
      <c r="E211" s="31">
        <f t="shared" ca="1" si="17"/>
        <v>0</v>
      </c>
      <c r="F211" s="42">
        <f t="shared" ca="1" si="18"/>
        <v>29.444444444444443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19350416</v>
      </c>
      <c r="C212" s="26" t="str">
        <f>INDEX(Data,2,2+MOD(ROWS(C$2:C212)-1,2))</f>
        <v>08.00</v>
      </c>
      <c r="D212" s="41">
        <f t="shared" ca="1" si="16"/>
        <v>761.66980000000001</v>
      </c>
      <c r="E212" s="31">
        <f t="shared" ca="1" si="17"/>
        <v>0</v>
      </c>
      <c r="F212" s="42">
        <f t="shared" ca="1" si="18"/>
        <v>27.222222222222221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19350416</v>
      </c>
      <c r="C213" s="26" t="str">
        <f>INDEX(Data,2,2+MOD(ROWS(C$2:C213)-1,2))</f>
        <v>15.00</v>
      </c>
      <c r="D213" s="41">
        <f t="shared" ca="1" si="16"/>
        <v>759.18059999999991</v>
      </c>
      <c r="E213" s="31">
        <f t="shared" ca="1" si="17"/>
        <v>0</v>
      </c>
      <c r="F213" s="42">
        <f t="shared" ca="1" si="18"/>
        <v>29.166666666666668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19350417</v>
      </c>
      <c r="C214" s="26" t="str">
        <f>INDEX(Data,2,2+MOD(ROWS(C$2:C214)-1,2))</f>
        <v>08.00</v>
      </c>
      <c r="D214" s="41">
        <f t="shared" ca="1" si="16"/>
        <v>760.95859999999993</v>
      </c>
      <c r="E214" s="31">
        <f t="shared" ca="1" si="17"/>
        <v>0</v>
      </c>
      <c r="F214" s="42">
        <f t="shared" ca="1" si="18"/>
        <v>26.944444444444443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19350417</v>
      </c>
      <c r="C215" s="26" t="str">
        <f>INDEX(Data,2,2+MOD(ROWS(C$2:C215)-1,2))</f>
        <v>15.00</v>
      </c>
      <c r="D215" s="41">
        <f t="shared" ca="1" si="16"/>
        <v>759.28219999999999</v>
      </c>
      <c r="E215" s="31">
        <f t="shared" ca="1" si="17"/>
        <v>0</v>
      </c>
      <c r="F215" s="42">
        <f t="shared" ca="1" si="18"/>
        <v>28.333333333333332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19350418</v>
      </c>
      <c r="C216" s="26" t="str">
        <f>INDEX(Data,2,2+MOD(ROWS(C$2:C216)-1,2))</f>
        <v>08.00</v>
      </c>
      <c r="D216" s="41">
        <f t="shared" ca="1" si="16"/>
        <v>760.75540000000001</v>
      </c>
      <c r="E216" s="31">
        <f t="shared" ca="1" si="17"/>
        <v>0</v>
      </c>
      <c r="F216" s="42">
        <f t="shared" ca="1" si="18"/>
        <v>26.666666666666668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19350418</v>
      </c>
      <c r="C217" s="26" t="str">
        <f>INDEX(Data,2,2+MOD(ROWS(C$2:C217)-1,2))</f>
        <v>15.00</v>
      </c>
      <c r="D217" s="41">
        <f t="shared" ca="1" si="16"/>
        <v>759.28219999999999</v>
      </c>
      <c r="E217" s="31">
        <f t="shared" ca="1" si="17"/>
        <v>0</v>
      </c>
      <c r="F217" s="42">
        <f t="shared" ca="1" si="18"/>
        <v>28.333333333333332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19350419</v>
      </c>
      <c r="C218" s="26" t="str">
        <f>INDEX(Data,2,2+MOD(ROWS(C$2:C218)-1,2))</f>
        <v>08.00</v>
      </c>
      <c r="D218" s="41">
        <f t="shared" ca="1" si="16"/>
        <v>761.06020000000001</v>
      </c>
      <c r="E218" s="31">
        <f t="shared" ca="1" si="17"/>
        <v>0</v>
      </c>
      <c r="F218" s="42">
        <f t="shared" ca="1" si="18"/>
        <v>26.111111111111111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19350419</v>
      </c>
      <c r="C219" s="26" t="str">
        <f>INDEX(Data,2,2+MOD(ROWS(C$2:C219)-1,2))</f>
        <v>15.00</v>
      </c>
      <c r="D219" s="41">
        <f t="shared" ca="1" si="16"/>
        <v>758.72339999999997</v>
      </c>
      <c r="E219" s="31">
        <f t="shared" ca="1" si="17"/>
        <v>0</v>
      </c>
      <c r="F219" s="42">
        <f t="shared" ca="1" si="18"/>
        <v>28.611111111111111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19350420</v>
      </c>
      <c r="C220" s="26" t="str">
        <f>INDEX(Data,2,2+MOD(ROWS(C$2:C220)-1,2))</f>
        <v>08.00</v>
      </c>
      <c r="D220" s="41">
        <f t="shared" ca="1" si="16"/>
        <v>760.7808</v>
      </c>
      <c r="E220" s="31">
        <f t="shared" ca="1" si="17"/>
        <v>0</v>
      </c>
      <c r="F220" s="42">
        <f t="shared" ca="1" si="18"/>
        <v>26.388888888888889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19350420</v>
      </c>
      <c r="C221" s="26" t="str">
        <f>INDEX(Data,2,2+MOD(ROWS(C$2:C221)-1,2))</f>
        <v>15.00</v>
      </c>
      <c r="D221" s="41">
        <f t="shared" ca="1" si="16"/>
        <v>758.26619999999991</v>
      </c>
      <c r="E221" s="31">
        <f t="shared" ca="1" si="17"/>
        <v>0</v>
      </c>
      <c r="F221" s="42">
        <f t="shared" ca="1" si="18"/>
        <v>28.333333333333332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19350421</v>
      </c>
      <c r="C222" s="26" t="str">
        <f>INDEX(Data,2,2+MOD(ROWS(C$2:C222)-1,2))</f>
        <v>08.00</v>
      </c>
      <c r="D222" s="41">
        <f t="shared" ca="1" si="16"/>
        <v>760.95859999999993</v>
      </c>
      <c r="E222" s="31">
        <f t="shared" ca="1" si="17"/>
        <v>0</v>
      </c>
      <c r="F222" s="42">
        <f t="shared" ca="1" si="18"/>
        <v>26.944444444444443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19350421</v>
      </c>
      <c r="C223" s="26" t="str">
        <f>INDEX(Data,2,2+MOD(ROWS(C$2:C223)-1,2))</f>
        <v>15.00</v>
      </c>
      <c r="D223" s="41">
        <f t="shared" ca="1" si="16"/>
        <v>759.20600000000002</v>
      </c>
      <c r="E223" s="31">
        <f t="shared" ca="1" si="17"/>
        <v>0</v>
      </c>
      <c r="F223" s="42">
        <f t="shared" ca="1" si="18"/>
        <v>28.888888888888889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19350422</v>
      </c>
      <c r="C224" s="26" t="str">
        <f>INDEX(Data,2,2+MOD(ROWS(C$2:C224)-1,2))</f>
        <v>08.00</v>
      </c>
      <c r="D224" s="41">
        <f t="shared" ca="1" si="16"/>
        <v>761.00939999999991</v>
      </c>
      <c r="E224" s="31">
        <f t="shared" ca="1" si="17"/>
        <v>0</v>
      </c>
      <c r="F224" s="42">
        <f t="shared" ca="1" si="18"/>
        <v>26.666666666666668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19350422</v>
      </c>
      <c r="C225" s="26" t="str">
        <f>INDEX(Data,2,2+MOD(ROWS(C$2:C225)-1,2))</f>
        <v>15.00</v>
      </c>
      <c r="D225" s="41">
        <f t="shared" ca="1" si="16"/>
        <v>759.18059999999991</v>
      </c>
      <c r="E225" s="31">
        <f t="shared" ca="1" si="17"/>
        <v>0</v>
      </c>
      <c r="F225" s="42">
        <f t="shared" ca="1" si="18"/>
        <v>29.166666666666668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19350423</v>
      </c>
      <c r="C226" s="26" t="str">
        <f>INDEX(Data,2,2+MOD(ROWS(C$2:C226)-1,2))</f>
        <v>08.00</v>
      </c>
      <c r="D226" s="41">
        <f t="shared" ca="1" si="16"/>
        <v>760.50139999999999</v>
      </c>
      <c r="E226" s="31">
        <f t="shared" ca="1" si="17"/>
        <v>0</v>
      </c>
      <c r="F226" s="42">
        <f t="shared" ca="1" si="18"/>
        <v>26.666666666666668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19350423</v>
      </c>
      <c r="C227" s="26" t="str">
        <f>INDEX(Data,2,2+MOD(ROWS(C$2:C227)-1,2))</f>
        <v>15.00</v>
      </c>
      <c r="D227" s="41">
        <f t="shared" ca="1" si="16"/>
        <v>758.44399999999996</v>
      </c>
      <c r="E227" s="31">
        <f t="shared" ca="1" si="17"/>
        <v>0</v>
      </c>
      <c r="F227" s="42">
        <f t="shared" ca="1" si="18"/>
        <v>28.888888888888889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19350424</v>
      </c>
      <c r="C228" s="26" t="str">
        <f>INDEX(Data,2,2+MOD(ROWS(C$2:C228)-1,2))</f>
        <v>08.00</v>
      </c>
      <c r="D228" s="41">
        <f t="shared" ca="1" si="16"/>
        <v>760.70459999999991</v>
      </c>
      <c r="E228" s="31">
        <f t="shared" ca="1" si="17"/>
        <v>0</v>
      </c>
      <c r="F228" s="42">
        <f t="shared" ca="1" si="18"/>
        <v>26.944444444444443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19350424</v>
      </c>
      <c r="C229" s="26" t="str">
        <f>INDEX(Data,2,2+MOD(ROWS(C$2:C229)-1,2))</f>
        <v>15.00</v>
      </c>
      <c r="D229" s="41">
        <f t="shared" ca="1" si="16"/>
        <v>757.45339999999999</v>
      </c>
      <c r="E229" s="31">
        <f t="shared" ca="1" si="17"/>
        <v>0</v>
      </c>
      <c r="F229" s="42">
        <f t="shared" ca="1" si="18"/>
        <v>28.611111111111111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19350425</v>
      </c>
      <c r="C230" s="26" t="str">
        <f>INDEX(Data,2,2+MOD(ROWS(C$2:C230)-1,2))</f>
        <v>08.00</v>
      </c>
      <c r="D230" s="41">
        <f t="shared" ca="1" si="16"/>
        <v>759.66319999999996</v>
      </c>
      <c r="E230" s="31">
        <f t="shared" ca="1" si="17"/>
        <v>0</v>
      </c>
      <c r="F230" s="42">
        <f t="shared" ca="1" si="18"/>
        <v>27.222222222222221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19350425</v>
      </c>
      <c r="C231" s="26" t="str">
        <f>INDEX(Data,2,2+MOD(ROWS(C$2:C231)-1,2))</f>
        <v>15.00</v>
      </c>
      <c r="D231" s="41">
        <f t="shared" ca="1" si="16"/>
        <v>757.45339999999999</v>
      </c>
      <c r="E231" s="31">
        <f t="shared" ca="1" si="17"/>
        <v>0</v>
      </c>
      <c r="F231" s="42">
        <f t="shared" ca="1" si="18"/>
        <v>28.611111111111111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19350426</v>
      </c>
      <c r="C232" s="26" t="str">
        <f>INDEX(Data,2,2+MOD(ROWS(C$2:C232)-1,2))</f>
        <v>08.00</v>
      </c>
      <c r="D232" s="41">
        <f t="shared" ca="1" si="16"/>
        <v>759.63779999999997</v>
      </c>
      <c r="E232" s="31">
        <f t="shared" ca="1" si="17"/>
        <v>0</v>
      </c>
      <c r="F232" s="42">
        <f t="shared" ca="1" si="18"/>
        <v>27.5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19350426</v>
      </c>
      <c r="C233" s="26" t="str">
        <f>INDEX(Data,2,2+MOD(ROWS(C$2:C233)-1,2))</f>
        <v>15.00</v>
      </c>
      <c r="D233" s="41">
        <f t="shared" ca="1" si="16"/>
        <v>757.14859999999999</v>
      </c>
      <c r="E233" s="31">
        <f t="shared" ca="1" si="17"/>
        <v>0</v>
      </c>
      <c r="F233" s="42">
        <f t="shared" ca="1" si="18"/>
        <v>29.166666666666668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19350427</v>
      </c>
      <c r="C234" s="26" t="str">
        <f>INDEX(Data,2,2+MOD(ROWS(C$2:C234)-1,2))</f>
        <v>08.00</v>
      </c>
      <c r="D234" s="41">
        <f t="shared" ca="1" si="16"/>
        <v>760.85699999999997</v>
      </c>
      <c r="E234" s="31">
        <f t="shared" ca="1" si="17"/>
        <v>0</v>
      </c>
      <c r="F234" s="42">
        <f t="shared" ca="1" si="18"/>
        <v>27.777777777777779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19350427</v>
      </c>
      <c r="C235" s="26" t="str">
        <f>INDEX(Data,2,2+MOD(ROWS(C$2:C235)-1,2))</f>
        <v>15.00</v>
      </c>
      <c r="D235" s="41">
        <f t="shared" ca="1" si="16"/>
        <v>758.26619999999991</v>
      </c>
      <c r="E235" s="31">
        <f t="shared" ca="1" si="17"/>
        <v>0</v>
      </c>
      <c r="F235" s="42">
        <f t="shared" ca="1" si="18"/>
        <v>28.333333333333332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19350428</v>
      </c>
      <c r="C236" s="26" t="str">
        <f>INDEX(Data,2,2+MOD(ROWS(C$2:C236)-1,2))</f>
        <v>08.00</v>
      </c>
      <c r="D236" s="41">
        <f t="shared" ca="1" si="16"/>
        <v>761.06020000000001</v>
      </c>
      <c r="E236" s="31">
        <f t="shared" ca="1" si="17"/>
        <v>0</v>
      </c>
      <c r="F236" s="42">
        <f t="shared" ca="1" si="18"/>
        <v>26.111111111111111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19350428</v>
      </c>
      <c r="C237" s="26" t="str">
        <f>INDEX(Data,2,2+MOD(ROWS(C$2:C237)-1,2))</f>
        <v>15.00</v>
      </c>
      <c r="D237" s="41">
        <f t="shared" ca="1" si="16"/>
        <v>758.44399999999996</v>
      </c>
      <c r="E237" s="31">
        <f t="shared" ca="1" si="17"/>
        <v>0</v>
      </c>
      <c r="F237" s="42">
        <f t="shared" ca="1" si="18"/>
        <v>28.888888888888889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19350429</v>
      </c>
      <c r="C238" s="26" t="str">
        <f>INDEX(Data,2,2+MOD(ROWS(C$2:C238)-1,2))</f>
        <v>08.00</v>
      </c>
      <c r="D238" s="41">
        <f t="shared" ca="1" si="16"/>
        <v>760.93319999999994</v>
      </c>
      <c r="E238" s="31">
        <f t="shared" ca="1" si="17"/>
        <v>0</v>
      </c>
      <c r="F238" s="42">
        <f t="shared" ca="1" si="18"/>
        <v>27.222222222222221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19350429</v>
      </c>
      <c r="C239" s="26" t="str">
        <f>INDEX(Data,2,2+MOD(ROWS(C$2:C239)-1,2))</f>
        <v>15.00</v>
      </c>
      <c r="D239" s="41">
        <f t="shared" ca="1" si="16"/>
        <v>758.44399999999996</v>
      </c>
      <c r="E239" s="31">
        <f t="shared" ca="1" si="17"/>
        <v>0</v>
      </c>
      <c r="F239" s="42">
        <f t="shared" ca="1" si="18"/>
        <v>28.888888888888889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19350430</v>
      </c>
      <c r="C240" s="26" t="str">
        <f>INDEX(Data,2,2+MOD(ROWS(C$2:C240)-1,2))</f>
        <v>08.00</v>
      </c>
      <c r="D240" s="41">
        <f t="shared" ca="1" si="16"/>
        <v>760.93319999999994</v>
      </c>
      <c r="E240" s="31">
        <f t="shared" ca="1" si="17"/>
        <v>0</v>
      </c>
      <c r="F240" s="42">
        <f t="shared" ca="1" si="18"/>
        <v>27.222222222222221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19350430</v>
      </c>
      <c r="C241" s="26" t="str">
        <f>INDEX(Data,2,2+MOD(ROWS(C$2:C241)-1,2))</f>
        <v>15.00</v>
      </c>
      <c r="D241" s="41">
        <f t="shared" ca="1" si="16"/>
        <v>758.26619999999991</v>
      </c>
      <c r="E241" s="31">
        <f t="shared" ca="1" si="17"/>
        <v>0</v>
      </c>
      <c r="F241" s="42">
        <f t="shared" ca="1" si="18"/>
        <v>28.333333333333332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19350501</v>
      </c>
      <c r="C242" s="26" t="str">
        <f>INDEX(Data,2,2+MOD(ROWS(C$2:C242)-1,2))</f>
        <v>08.00</v>
      </c>
      <c r="D242" s="41">
        <f t="shared" ca="1" si="16"/>
        <v>760.90779999999995</v>
      </c>
      <c r="E242" s="31">
        <f t="shared" ca="1" si="17"/>
        <v>0</v>
      </c>
      <c r="F242" s="42">
        <f t="shared" ca="1" si="18"/>
        <v>27.5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19350501</v>
      </c>
      <c r="C243" s="26" t="str">
        <f>INDEX(Data,2,2+MOD(ROWS(C$2:C243)-1,2))</f>
        <v>15.00</v>
      </c>
      <c r="D243" s="41">
        <f t="shared" ca="1" si="16"/>
        <v>758.87579999999991</v>
      </c>
      <c r="E243" s="31">
        <f t="shared" ca="1" si="17"/>
        <v>0</v>
      </c>
      <c r="F243" s="42">
        <f t="shared" ca="1" si="18"/>
        <v>29.444444444444443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19350502</v>
      </c>
      <c r="C244" s="26" t="str">
        <f>INDEX(Data,2,2+MOD(ROWS(C$2:C244)-1,2))</f>
        <v>08.00</v>
      </c>
      <c r="D244" s="41">
        <f t="shared" ca="1" si="16"/>
        <v>760.85699999999997</v>
      </c>
      <c r="E244" s="31">
        <f t="shared" ca="1" si="17"/>
        <v>0</v>
      </c>
      <c r="F244" s="42">
        <f t="shared" ca="1" si="18"/>
        <v>27.777777777777779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19350502</v>
      </c>
      <c r="C245" s="26" t="str">
        <f>INDEX(Data,2,2+MOD(ROWS(C$2:C245)-1,2))</f>
        <v>15.00</v>
      </c>
      <c r="D245" s="41">
        <f t="shared" ca="1" si="16"/>
        <v>759.20600000000002</v>
      </c>
      <c r="E245" s="31">
        <f t="shared" ca="1" si="17"/>
        <v>0</v>
      </c>
      <c r="F245" s="42">
        <f t="shared" ca="1" si="18"/>
        <v>28.888888888888889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19350503</v>
      </c>
      <c r="C246" s="26" t="str">
        <f>INDEX(Data,2,2+MOD(ROWS(C$2:C246)-1,2))</f>
        <v>08.00</v>
      </c>
      <c r="D246" s="41">
        <f t="shared" ca="1" si="16"/>
        <v>761.33960000000002</v>
      </c>
      <c r="E246" s="31">
        <f t="shared" ca="1" si="17"/>
        <v>0</v>
      </c>
      <c r="F246" s="42">
        <f t="shared" ca="1" si="18"/>
        <v>27.777777777777779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19350503</v>
      </c>
      <c r="C247" s="26" t="str">
        <f>INDEX(Data,2,2+MOD(ROWS(C$2:C247)-1,2))</f>
        <v>15.00</v>
      </c>
      <c r="D247" s="41">
        <f t="shared" ca="1" si="16"/>
        <v>759.43459999999993</v>
      </c>
      <c r="E247" s="31">
        <f t="shared" ca="1" si="17"/>
        <v>0</v>
      </c>
      <c r="F247" s="42">
        <f t="shared" ca="1" si="18"/>
        <v>29.166666666666668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19350504</v>
      </c>
      <c r="C248" s="26" t="str">
        <f>INDEX(Data,2,2+MOD(ROWS(C$2:C248)-1,2))</f>
        <v>08.00</v>
      </c>
      <c r="D248" s="41">
        <f t="shared" ca="1" si="16"/>
        <v>762</v>
      </c>
      <c r="E248" s="31">
        <f t="shared" ca="1" si="17"/>
        <v>0</v>
      </c>
      <c r="F248" s="42">
        <f t="shared" ca="1" si="18"/>
        <v>26.666666666666668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19350504</v>
      </c>
      <c r="C249" s="26" t="str">
        <f>INDEX(Data,2,2+MOD(ROWS(C$2:C249)-1,2))</f>
        <v>15.00</v>
      </c>
      <c r="D249" s="41">
        <f t="shared" ca="1" si="16"/>
        <v>760.09499999999991</v>
      </c>
      <c r="E249" s="31">
        <f t="shared" ca="1" si="17"/>
        <v>0</v>
      </c>
      <c r="F249" s="42">
        <f t="shared" ca="1" si="18"/>
        <v>27.777777777777779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19350505</v>
      </c>
      <c r="C250" s="26" t="str">
        <f>INDEX(Data,2,2+MOD(ROWS(C$2:C250)-1,2))</f>
        <v>08.00</v>
      </c>
      <c r="D250" s="41">
        <f t="shared" ca="1" si="16"/>
        <v>761.77139999999997</v>
      </c>
      <c r="E250" s="31">
        <f t="shared" ca="1" si="17"/>
        <v>0</v>
      </c>
      <c r="F250" s="42">
        <f t="shared" ca="1" si="18"/>
        <v>26.388888888888889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19350505</v>
      </c>
      <c r="C251" s="26" t="str">
        <f>INDEX(Data,2,2+MOD(ROWS(C$2:C251)-1,2))</f>
        <v>15.00</v>
      </c>
      <c r="D251" s="41">
        <f t="shared" ca="1" si="16"/>
        <v>760.22199999999998</v>
      </c>
      <c r="E251" s="31">
        <f t="shared" ca="1" si="17"/>
        <v>0</v>
      </c>
      <c r="F251" s="42">
        <f t="shared" ca="1" si="18"/>
        <v>28.888888888888889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19350506</v>
      </c>
      <c r="C252" s="26" t="str">
        <f>INDEX(Data,2,2+MOD(ROWS(C$2:C252)-1,2))</f>
        <v>08.00</v>
      </c>
      <c r="D252" s="41">
        <f t="shared" ca="1" si="16"/>
        <v>762.02539999999999</v>
      </c>
      <c r="E252" s="31">
        <f t="shared" ca="1" si="17"/>
        <v>0</v>
      </c>
      <c r="F252" s="42">
        <f t="shared" ca="1" si="18"/>
        <v>26.388888888888889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19350506</v>
      </c>
      <c r="C253" s="26" t="str">
        <f>INDEX(Data,2,2+MOD(ROWS(C$2:C253)-1,2))</f>
        <v>15.00</v>
      </c>
      <c r="D253" s="41">
        <f t="shared" ca="1" si="16"/>
        <v>760.42520000000002</v>
      </c>
      <c r="E253" s="31">
        <f t="shared" ca="1" si="17"/>
        <v>0</v>
      </c>
      <c r="F253" s="42">
        <f t="shared" ca="1" si="18"/>
        <v>27.222222222222221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19350507</v>
      </c>
      <c r="C254" s="26" t="str">
        <f>INDEX(Data,2,2+MOD(ROWS(C$2:C254)-1,2))</f>
        <v>08.00</v>
      </c>
      <c r="D254" s="41">
        <f t="shared" ca="1" si="16"/>
        <v>762.40639999999996</v>
      </c>
      <c r="E254" s="31">
        <f t="shared" ca="1" si="17"/>
        <v>0</v>
      </c>
      <c r="F254" s="42">
        <f t="shared" ca="1" si="18"/>
        <v>27.5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19350507</v>
      </c>
      <c r="C255" s="26" t="str">
        <f>INDEX(Data,2,2+MOD(ROWS(C$2:C255)-1,2))</f>
        <v>15.00</v>
      </c>
      <c r="D255" s="41">
        <f t="shared" ca="1" si="16"/>
        <v>761.03480000000002</v>
      </c>
      <c r="E255" s="31">
        <f t="shared" ca="1" si="17"/>
        <v>0</v>
      </c>
      <c r="F255" s="42">
        <f t="shared" ca="1" si="18"/>
        <v>28.333333333333332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19350508</v>
      </c>
      <c r="C256" s="26" t="str">
        <f>INDEX(Data,2,2+MOD(ROWS(C$2:C256)-1,2))</f>
        <v>08.00</v>
      </c>
      <c r="D256" s="41">
        <f t="shared" ca="1" si="16"/>
        <v>762.45719999999994</v>
      </c>
      <c r="E256" s="31">
        <f t="shared" ca="1" si="17"/>
        <v>0</v>
      </c>
      <c r="F256" s="42">
        <f t="shared" ca="1" si="18"/>
        <v>26.944444444444443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19350508</v>
      </c>
      <c r="C257" s="26" t="str">
        <f>INDEX(Data,2,2+MOD(ROWS(C$2:C257)-1,2))</f>
        <v>15.00</v>
      </c>
      <c r="D257" s="41">
        <f t="shared" ca="1" si="16"/>
        <v>760.83159999999998</v>
      </c>
      <c r="E257" s="31">
        <f t="shared" ca="1" si="17"/>
        <v>0</v>
      </c>
      <c r="F257" s="42">
        <f t="shared" ca="1" si="18"/>
        <v>28.055555555555557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19350509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761.94920000000002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26.944444444444443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19350509</v>
      </c>
      <c r="C259" s="26" t="str">
        <f>INDEX(Data,2,2+MOD(ROWS(C$2:C259)-1,2))</f>
        <v>15.00</v>
      </c>
      <c r="D259" s="41">
        <f t="shared" ca="1" si="21"/>
        <v>759.81560000000002</v>
      </c>
      <c r="E259" s="31">
        <f t="shared" ca="1" si="22"/>
        <v>0</v>
      </c>
      <c r="F259" s="42">
        <f t="shared" ca="1" si="23"/>
        <v>28.055555555555557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19350510</v>
      </c>
      <c r="C260" s="26" t="str">
        <f>INDEX(Data,2,2+MOD(ROWS(C$2:C260)-1,2))</f>
        <v>08.00</v>
      </c>
      <c r="D260" s="41">
        <f t="shared" ca="1" si="21"/>
        <v>762</v>
      </c>
      <c r="E260" s="31">
        <f t="shared" ca="1" si="22"/>
        <v>0</v>
      </c>
      <c r="F260" s="42">
        <f t="shared" ca="1" si="23"/>
        <v>26.666666666666668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19350510</v>
      </c>
      <c r="C261" s="26" t="str">
        <f>INDEX(Data,2,2+MOD(ROWS(C$2:C261)-1,2))</f>
        <v>15.00</v>
      </c>
      <c r="D261" s="41">
        <f t="shared" ca="1" si="21"/>
        <v>759.73939999999993</v>
      </c>
      <c r="E261" s="31">
        <f t="shared" ca="1" si="22"/>
        <v>0</v>
      </c>
      <c r="F261" s="42">
        <f t="shared" ca="1" si="23"/>
        <v>28.611111111111111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19350511</v>
      </c>
      <c r="C262" s="26" t="str">
        <f>INDEX(Data,2,2+MOD(ROWS(C$2:C262)-1,2))</f>
        <v>08.00</v>
      </c>
      <c r="D262" s="41">
        <f t="shared" ca="1" si="21"/>
        <v>761.89839999999992</v>
      </c>
      <c r="E262" s="31">
        <f t="shared" ca="1" si="22"/>
        <v>0</v>
      </c>
      <c r="F262" s="42">
        <f t="shared" ca="1" si="23"/>
        <v>27.5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19350511</v>
      </c>
      <c r="C263" s="26" t="str">
        <f>INDEX(Data,2,2+MOD(ROWS(C$2:C263)-1,2))</f>
        <v>15.00</v>
      </c>
      <c r="D263" s="41">
        <f t="shared" ca="1" si="21"/>
        <v>759.28219999999999</v>
      </c>
      <c r="E263" s="31">
        <f t="shared" ca="1" si="22"/>
        <v>0</v>
      </c>
      <c r="F263" s="42">
        <f t="shared" ca="1" si="23"/>
        <v>28.333333333333332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19350512</v>
      </c>
      <c r="C264" s="26" t="str">
        <f>INDEX(Data,2,2+MOD(ROWS(C$2:C264)-1,2))</f>
        <v>08.00</v>
      </c>
      <c r="D264" s="41">
        <f t="shared" ca="1" si="21"/>
        <v>761.66980000000001</v>
      </c>
      <c r="E264" s="31">
        <f t="shared" ca="1" si="22"/>
        <v>0</v>
      </c>
      <c r="F264" s="42">
        <f t="shared" ca="1" si="23"/>
        <v>27.222222222222221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19350512</v>
      </c>
      <c r="C265" s="26" t="str">
        <f>INDEX(Data,2,2+MOD(ROWS(C$2:C265)-1,2))</f>
        <v>15.00</v>
      </c>
      <c r="D265" s="41">
        <f t="shared" ca="1" si="21"/>
        <v>759.48539999999991</v>
      </c>
      <c r="E265" s="31">
        <f t="shared" ca="1" si="22"/>
        <v>0</v>
      </c>
      <c r="F265" s="42">
        <f t="shared" ca="1" si="23"/>
        <v>28.611111111111111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19350513</v>
      </c>
      <c r="C266" s="26" t="str">
        <f>INDEX(Data,2,2+MOD(ROWS(C$2:C266)-1,2))</f>
        <v>08.00</v>
      </c>
      <c r="D266" s="41">
        <f t="shared" ca="1" si="21"/>
        <v>761.44119999999998</v>
      </c>
      <c r="E266" s="31">
        <f t="shared" ca="1" si="22"/>
        <v>0</v>
      </c>
      <c r="F266" s="42">
        <f t="shared" ca="1" si="23"/>
        <v>26.944444444444443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19350513</v>
      </c>
      <c r="C267" s="26" t="str">
        <f>INDEX(Data,2,2+MOD(ROWS(C$2:C267)-1,2))</f>
        <v>15.00</v>
      </c>
      <c r="D267" s="41">
        <f t="shared" ca="1" si="21"/>
        <v>756.89459999999997</v>
      </c>
      <c r="E267" s="31">
        <f t="shared" ca="1" si="22"/>
        <v>0</v>
      </c>
      <c r="F267" s="42">
        <f t="shared" ca="1" si="23"/>
        <v>29.166666666666668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19350514</v>
      </c>
      <c r="C268" s="26" t="str">
        <f>INDEX(Data,2,2+MOD(ROWS(C$2:C268)-1,2))</f>
        <v>08.00</v>
      </c>
      <c r="D268" s="41">
        <f t="shared" ca="1" si="21"/>
        <v>759.05359999999996</v>
      </c>
      <c r="E268" s="31">
        <f t="shared" ca="1" si="22"/>
        <v>0</v>
      </c>
      <c r="F268" s="42">
        <f t="shared" ca="1" si="23"/>
        <v>28.055555555555557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19350514</v>
      </c>
      <c r="C269" s="26" t="str">
        <f>INDEX(Data,2,2+MOD(ROWS(C$2:C269)-1,2))</f>
        <v>15.00</v>
      </c>
      <c r="D269" s="41">
        <f t="shared" ca="1" si="21"/>
        <v>757.04700000000003</v>
      </c>
      <c r="E269" s="31">
        <f t="shared" ca="1" si="22"/>
        <v>0</v>
      </c>
      <c r="F269" s="42">
        <f t="shared" ca="1" si="23"/>
        <v>30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19350515</v>
      </c>
      <c r="C270" s="26" t="str">
        <f>INDEX(Data,2,2+MOD(ROWS(C$2:C270)-1,2))</f>
        <v>08.00</v>
      </c>
      <c r="D270" s="41">
        <f t="shared" ca="1" si="21"/>
        <v>759.79019999999991</v>
      </c>
      <c r="E270" s="31">
        <f t="shared" ca="1" si="22"/>
        <v>0</v>
      </c>
      <c r="F270" s="42">
        <f t="shared" ca="1" si="23"/>
        <v>28.333333333333332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19350515</v>
      </c>
      <c r="C271" s="26" t="str">
        <f>INDEX(Data,2,2+MOD(ROWS(C$2:C271)-1,2))</f>
        <v>15.00</v>
      </c>
      <c r="D271" s="41">
        <f t="shared" ca="1" si="21"/>
        <v>757.40260000000001</v>
      </c>
      <c r="E271" s="31">
        <f t="shared" ca="1" si="22"/>
        <v>0</v>
      </c>
      <c r="F271" s="42">
        <f t="shared" ca="1" si="23"/>
        <v>31.111111111111111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19350516</v>
      </c>
      <c r="C272" s="26" t="str">
        <f>INDEX(Data,2,2+MOD(ROWS(C$2:C272)-1,2))</f>
        <v>08.00</v>
      </c>
      <c r="D272" s="41">
        <f t="shared" ca="1" si="21"/>
        <v>760.80619999999999</v>
      </c>
      <c r="E272" s="31">
        <f t="shared" ca="1" si="22"/>
        <v>0</v>
      </c>
      <c r="F272" s="42">
        <f t="shared" ca="1" si="23"/>
        <v>28.333333333333332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19350516</v>
      </c>
      <c r="C273" s="26" t="str">
        <f>INDEX(Data,2,2+MOD(ROWS(C$2:C273)-1,2))</f>
        <v>15.00</v>
      </c>
      <c r="D273" s="41">
        <f t="shared" ca="1" si="21"/>
        <v>757.45339999999999</v>
      </c>
      <c r="E273" s="31">
        <f t="shared" ca="1" si="22"/>
        <v>0</v>
      </c>
      <c r="F273" s="42">
        <f t="shared" ca="1" si="23"/>
        <v>28.611111111111111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19350517</v>
      </c>
      <c r="C274" s="26" t="str">
        <f>INDEX(Data,2,2+MOD(ROWS(C$2:C274)-1,2))</f>
        <v>08.00</v>
      </c>
      <c r="D274" s="41">
        <f t="shared" ca="1" si="21"/>
        <v>759.81560000000002</v>
      </c>
      <c r="E274" s="31">
        <f t="shared" ca="1" si="22"/>
        <v>0</v>
      </c>
      <c r="F274" s="42">
        <f t="shared" ca="1" si="23"/>
        <v>28.055555555555557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19350517</v>
      </c>
      <c r="C275" s="26" t="str">
        <f>INDEX(Data,2,2+MOD(ROWS(C$2:C275)-1,2))</f>
        <v>15.00</v>
      </c>
      <c r="D275" s="41">
        <f t="shared" ca="1" si="21"/>
        <v>757.68200000000002</v>
      </c>
      <c r="E275" s="31">
        <f t="shared" ca="1" si="22"/>
        <v>0</v>
      </c>
      <c r="F275" s="42">
        <f t="shared" ca="1" si="23"/>
        <v>28.888888888888889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19350518</v>
      </c>
      <c r="C276" s="26" t="str">
        <f>INDEX(Data,2,2+MOD(ROWS(C$2:C276)-1,2))</f>
        <v>08.00</v>
      </c>
      <c r="D276" s="41">
        <f t="shared" ca="1" si="21"/>
        <v>760.09499999999991</v>
      </c>
      <c r="E276" s="31">
        <f t="shared" ca="1" si="22"/>
        <v>0</v>
      </c>
      <c r="F276" s="42">
        <f t="shared" ca="1" si="23"/>
        <v>27.777777777777779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19350518</v>
      </c>
      <c r="C277" s="26" t="str">
        <f>INDEX(Data,2,2+MOD(ROWS(C$2:C277)-1,2))</f>
        <v>15.00</v>
      </c>
      <c r="D277" s="41">
        <f t="shared" ca="1" si="21"/>
        <v>758.26619999999991</v>
      </c>
      <c r="E277" s="31">
        <f t="shared" ca="1" si="22"/>
        <v>0</v>
      </c>
      <c r="F277" s="42">
        <f t="shared" ca="1" si="23"/>
        <v>28.333333333333332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19350519</v>
      </c>
      <c r="C278" s="26" t="str">
        <f>INDEX(Data,2,2+MOD(ROWS(C$2:C278)-1,2))</f>
        <v>08.00</v>
      </c>
      <c r="D278" s="41">
        <f t="shared" ca="1" si="21"/>
        <v>760.70459999999991</v>
      </c>
      <c r="E278" s="31">
        <f t="shared" ca="1" si="22"/>
        <v>0</v>
      </c>
      <c r="F278" s="42">
        <f t="shared" ca="1" si="23"/>
        <v>26.944444444444443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19350519</v>
      </c>
      <c r="C279" s="26" t="str">
        <f>INDEX(Data,2,2+MOD(ROWS(C$2:C279)-1,2))</f>
        <v>15.00</v>
      </c>
      <c r="D279" s="41">
        <f t="shared" ca="1" si="21"/>
        <v>758.44399999999996</v>
      </c>
      <c r="E279" s="31">
        <f t="shared" ca="1" si="22"/>
        <v>0</v>
      </c>
      <c r="F279" s="42">
        <f t="shared" ca="1" si="23"/>
        <v>28.888888888888889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19350520</v>
      </c>
      <c r="C280" s="26" t="str">
        <f>INDEX(Data,2,2+MOD(ROWS(C$2:C280)-1,2))</f>
        <v>08.00</v>
      </c>
      <c r="D280" s="41">
        <f t="shared" ca="1" si="21"/>
        <v>760.85699999999997</v>
      </c>
      <c r="E280" s="31">
        <f t="shared" ca="1" si="22"/>
        <v>0</v>
      </c>
      <c r="F280" s="42">
        <f t="shared" ca="1" si="23"/>
        <v>27.777777777777779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19350520</v>
      </c>
      <c r="C281" s="26" t="str">
        <f>INDEX(Data,2,2+MOD(ROWS(C$2:C281)-1,2))</f>
        <v>15.00</v>
      </c>
      <c r="D281" s="41">
        <f t="shared" ca="1" si="21"/>
        <v>759.43459999999993</v>
      </c>
      <c r="E281" s="31">
        <f t="shared" ca="1" si="22"/>
        <v>0</v>
      </c>
      <c r="F281" s="42">
        <f t="shared" ca="1" si="23"/>
        <v>29.166666666666668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19350521</v>
      </c>
      <c r="C282" s="26" t="str">
        <f>INDEX(Data,2,2+MOD(ROWS(C$2:C282)-1,2))</f>
        <v>08.00</v>
      </c>
      <c r="D282" s="41">
        <f t="shared" ca="1" si="21"/>
        <v>761.06020000000001</v>
      </c>
      <c r="E282" s="31">
        <f t="shared" ca="1" si="22"/>
        <v>0</v>
      </c>
      <c r="F282" s="42">
        <f t="shared" ca="1" si="23"/>
        <v>26.111111111111111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19350521</v>
      </c>
      <c r="C283" s="26" t="str">
        <f>INDEX(Data,2,2+MOD(ROWS(C$2:C283)-1,2))</f>
        <v>15.00</v>
      </c>
      <c r="D283" s="41">
        <f t="shared" ca="1" si="21"/>
        <v>759.20600000000002</v>
      </c>
      <c r="E283" s="31">
        <f t="shared" ca="1" si="22"/>
        <v>0</v>
      </c>
      <c r="F283" s="42">
        <f t="shared" ca="1" si="23"/>
        <v>28.888888888888889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19350522</v>
      </c>
      <c r="C284" s="26" t="str">
        <f>INDEX(Data,2,2+MOD(ROWS(C$2:C284)-1,2))</f>
        <v>08.00</v>
      </c>
      <c r="D284" s="41">
        <f t="shared" ca="1" si="21"/>
        <v>761.31419999999991</v>
      </c>
      <c r="E284" s="31">
        <f t="shared" ca="1" si="22"/>
        <v>0</v>
      </c>
      <c r="F284" s="42">
        <f t="shared" ca="1" si="23"/>
        <v>28.055555555555557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19350522</v>
      </c>
      <c r="C285" s="26" t="str">
        <f>INDEX(Data,2,2+MOD(ROWS(C$2:C285)-1,2))</f>
        <v>15.00</v>
      </c>
      <c r="D285" s="41">
        <f t="shared" ca="1" si="21"/>
        <v>760.19659999999999</v>
      </c>
      <c r="E285" s="31">
        <f t="shared" ca="1" si="22"/>
        <v>0</v>
      </c>
      <c r="F285" s="42">
        <f t="shared" ca="1" si="23"/>
        <v>29.166666666666668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19350523</v>
      </c>
      <c r="C286" s="26" t="str">
        <f>INDEX(Data,2,2+MOD(ROWS(C$2:C286)-1,2))</f>
        <v>08.00</v>
      </c>
      <c r="D286" s="41">
        <f t="shared" ca="1" si="21"/>
        <v>762.07619999999997</v>
      </c>
      <c r="E286" s="31">
        <f t="shared" ca="1" si="22"/>
        <v>0</v>
      </c>
      <c r="F286" s="42">
        <f t="shared" ca="1" si="23"/>
        <v>28.055555555555557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19350523</v>
      </c>
      <c r="C287" s="26" t="str">
        <f>INDEX(Data,2,2+MOD(ROWS(C$2:C287)-1,2))</f>
        <v>15.00</v>
      </c>
      <c r="D287" s="41">
        <f t="shared" ca="1" si="21"/>
        <v>759.89179999999999</v>
      </c>
      <c r="E287" s="31">
        <f t="shared" ca="1" si="22"/>
        <v>0</v>
      </c>
      <c r="F287" s="42">
        <f t="shared" ca="1" si="23"/>
        <v>29.444444444444443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19350524</v>
      </c>
      <c r="C288" s="26" t="str">
        <f>INDEX(Data,2,2+MOD(ROWS(C$2:C288)-1,2))</f>
        <v>08.00</v>
      </c>
      <c r="D288" s="41">
        <f t="shared" ca="1" si="21"/>
        <v>761.66980000000001</v>
      </c>
      <c r="E288" s="31">
        <f t="shared" ca="1" si="22"/>
        <v>0</v>
      </c>
      <c r="F288" s="42">
        <f t="shared" ca="1" si="23"/>
        <v>27.222222222222221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19350524</v>
      </c>
      <c r="C289" s="26" t="str">
        <f>INDEX(Data,2,2+MOD(ROWS(C$2:C289)-1,2))</f>
        <v>15.00</v>
      </c>
      <c r="D289" s="41">
        <f t="shared" ca="1" si="21"/>
        <v>759.61239999999998</v>
      </c>
      <c r="E289" s="31">
        <f t="shared" ca="1" si="22"/>
        <v>0</v>
      </c>
      <c r="F289" s="42">
        <f t="shared" ca="1" si="23"/>
        <v>29.722222222222221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19350525</v>
      </c>
      <c r="C290" s="26" t="str">
        <f>INDEX(Data,2,2+MOD(ROWS(C$2:C290)-1,2))</f>
        <v>08.00</v>
      </c>
      <c r="D290" s="41">
        <f t="shared" ca="1" si="21"/>
        <v>761.56819999999993</v>
      </c>
      <c r="E290" s="31">
        <f t="shared" ca="1" si="22"/>
        <v>0</v>
      </c>
      <c r="F290" s="42">
        <f t="shared" ca="1" si="23"/>
        <v>28.055555555555557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19350525</v>
      </c>
      <c r="C291" s="26" t="str">
        <f>INDEX(Data,2,2+MOD(ROWS(C$2:C291)-1,2))</f>
        <v>15.00</v>
      </c>
      <c r="D291" s="41">
        <f t="shared" ca="1" si="21"/>
        <v>759.63779999999997</v>
      </c>
      <c r="E291" s="31">
        <f t="shared" ca="1" si="22"/>
        <v>0</v>
      </c>
      <c r="F291" s="42">
        <f t="shared" ca="1" si="23"/>
        <v>29.444444444444443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19350526</v>
      </c>
      <c r="C292" s="26" t="str">
        <f>INDEX(Data,2,2+MOD(ROWS(C$2:C292)-1,2))</f>
        <v>08.00</v>
      </c>
      <c r="D292" s="41">
        <f t="shared" ca="1" si="21"/>
        <v>761.44119999999998</v>
      </c>
      <c r="E292" s="31">
        <f t="shared" ca="1" si="22"/>
        <v>0</v>
      </c>
      <c r="F292" s="42">
        <f t="shared" ca="1" si="23"/>
        <v>26.944444444444443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19350526</v>
      </c>
      <c r="C293" s="26" t="str">
        <f>INDEX(Data,2,2+MOD(ROWS(C$2:C293)-1,2))</f>
        <v>15.00</v>
      </c>
      <c r="D293" s="41">
        <f t="shared" ca="1" si="21"/>
        <v>759.18059999999991</v>
      </c>
      <c r="E293" s="31">
        <f t="shared" ca="1" si="22"/>
        <v>0</v>
      </c>
      <c r="F293" s="42">
        <f t="shared" ca="1" si="23"/>
        <v>29.166666666666668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19350527</v>
      </c>
      <c r="C294" s="26" t="str">
        <f>INDEX(Data,2,2+MOD(ROWS(C$2:C294)-1,2))</f>
        <v>08.00</v>
      </c>
      <c r="D294" s="41">
        <f t="shared" ca="1" si="21"/>
        <v>761.77139999999997</v>
      </c>
      <c r="E294" s="31">
        <f t="shared" ca="1" si="22"/>
        <v>0</v>
      </c>
      <c r="F294" s="42">
        <f t="shared" ca="1" si="23"/>
        <v>26.388888888888889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19350527</v>
      </c>
      <c r="C295" s="26" t="str">
        <f>INDEX(Data,2,2+MOD(ROWS(C$2:C295)-1,2))</f>
        <v>15.00</v>
      </c>
      <c r="D295" s="41">
        <f t="shared" ca="1" si="21"/>
        <v>758.59640000000002</v>
      </c>
      <c r="E295" s="31">
        <f t="shared" ca="1" si="22"/>
        <v>0</v>
      </c>
      <c r="F295" s="42">
        <f t="shared" ca="1" si="23"/>
        <v>29.722222222222221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19350528</v>
      </c>
      <c r="C296" s="26" t="str">
        <f>INDEX(Data,2,2+MOD(ROWS(C$2:C296)-1,2))</f>
        <v>08.00</v>
      </c>
      <c r="D296" s="41">
        <f t="shared" ca="1" si="21"/>
        <v>761.33960000000002</v>
      </c>
      <c r="E296" s="31">
        <f t="shared" ca="1" si="22"/>
        <v>0</v>
      </c>
      <c r="F296" s="42">
        <f t="shared" ca="1" si="23"/>
        <v>27.777777777777779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19350528</v>
      </c>
      <c r="C297" s="26" t="str">
        <f>INDEX(Data,2,2+MOD(ROWS(C$2:C297)-1,2))</f>
        <v>15.00</v>
      </c>
      <c r="D297" s="41">
        <f t="shared" ca="1" si="21"/>
        <v>759.61239999999998</v>
      </c>
      <c r="E297" s="31">
        <f t="shared" ca="1" si="22"/>
        <v>0</v>
      </c>
      <c r="F297" s="42">
        <f t="shared" ca="1" si="23"/>
        <v>29.722222222222221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19350529</v>
      </c>
      <c r="C298" s="26" t="str">
        <f>INDEX(Data,2,2+MOD(ROWS(C$2:C298)-1,2))</f>
        <v>08.00</v>
      </c>
      <c r="D298" s="41">
        <f t="shared" ca="1" si="21"/>
        <v>761.28879999999992</v>
      </c>
      <c r="E298" s="31">
        <f t="shared" ca="1" si="22"/>
        <v>0</v>
      </c>
      <c r="F298" s="42">
        <f t="shared" ca="1" si="23"/>
        <v>28.333333333333332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19350529</v>
      </c>
      <c r="C299" s="26" t="str">
        <f>INDEX(Data,2,2+MOD(ROWS(C$2:C299)-1,2))</f>
        <v>15.00</v>
      </c>
      <c r="D299" s="41">
        <f t="shared" ca="1" si="21"/>
        <v>759.63779999999997</v>
      </c>
      <c r="E299" s="31">
        <f t="shared" ca="1" si="22"/>
        <v>0</v>
      </c>
      <c r="F299" s="42">
        <f t="shared" ca="1" si="23"/>
        <v>29.444444444444443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19350530</v>
      </c>
      <c r="C300" s="26" t="str">
        <f>INDEX(Data,2,2+MOD(ROWS(C$2:C300)-1,2))</f>
        <v>08.00</v>
      </c>
      <c r="D300" s="41">
        <f t="shared" ca="1" si="21"/>
        <v>760.85699999999997</v>
      </c>
      <c r="E300" s="31">
        <f t="shared" ca="1" si="22"/>
        <v>0</v>
      </c>
      <c r="F300" s="42">
        <f t="shared" ca="1" si="23"/>
        <v>27.777777777777779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19350530</v>
      </c>
      <c r="C301" s="26" t="str">
        <f>INDEX(Data,2,2+MOD(ROWS(C$2:C301)-1,2))</f>
        <v>15.00</v>
      </c>
      <c r="D301" s="41">
        <f t="shared" ca="1" si="21"/>
        <v>759.20600000000002</v>
      </c>
      <c r="E301" s="31">
        <f t="shared" ca="1" si="22"/>
        <v>0</v>
      </c>
      <c r="F301" s="42">
        <f t="shared" ca="1" si="23"/>
        <v>28.888888888888889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19350531</v>
      </c>
      <c r="C302" s="26" t="str">
        <f>INDEX(Data,2,2+MOD(ROWS(C$2:C302)-1,2))</f>
        <v>08.00</v>
      </c>
      <c r="D302" s="41">
        <f t="shared" ca="1" si="21"/>
        <v>760.34899999999993</v>
      </c>
      <c r="E302" s="31">
        <f t="shared" ca="1" si="22"/>
        <v>0</v>
      </c>
      <c r="F302" s="42">
        <f t="shared" ca="1" si="23"/>
        <v>27.777777777777779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19350531</v>
      </c>
      <c r="C303" s="26" t="str">
        <f>INDEX(Data,2,2+MOD(ROWS(C$2:C303)-1,2))</f>
        <v>15.00</v>
      </c>
      <c r="D303" s="41">
        <f t="shared" ca="1" si="21"/>
        <v>758.26619999999991</v>
      </c>
      <c r="E303" s="31">
        <f t="shared" ca="1" si="22"/>
        <v>0</v>
      </c>
      <c r="F303" s="42">
        <f t="shared" ca="1" si="23"/>
        <v>28.333333333333332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19350601</v>
      </c>
      <c r="C304" s="26" t="str">
        <f>INDEX(Data,2,2+MOD(ROWS(C$2:C304)-1,2))</f>
        <v>08.00</v>
      </c>
      <c r="D304" s="41">
        <f t="shared" ca="1" si="21"/>
        <v>761.84759999999994</v>
      </c>
      <c r="E304" s="31">
        <f t="shared" ca="1" si="22"/>
        <v>0</v>
      </c>
      <c r="F304" s="42">
        <f t="shared" ca="1" si="23"/>
        <v>27.777777777777779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19350601</v>
      </c>
      <c r="C305" s="26" t="str">
        <f>INDEX(Data,2,2+MOD(ROWS(C$2:C305)-1,2))</f>
        <v>15.00</v>
      </c>
      <c r="D305" s="41">
        <f t="shared" ca="1" si="21"/>
        <v>759.61239999999998</v>
      </c>
      <c r="E305" s="31">
        <f t="shared" ca="1" si="22"/>
        <v>0</v>
      </c>
      <c r="F305" s="42">
        <f t="shared" ca="1" si="23"/>
        <v>29.722222222222221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19350602</v>
      </c>
      <c r="C306" s="26" t="str">
        <f>INDEX(Data,2,2+MOD(ROWS(C$2:C306)-1,2))</f>
        <v>08.00</v>
      </c>
      <c r="D306" s="41">
        <f t="shared" ca="1" si="21"/>
        <v>761.56819999999993</v>
      </c>
      <c r="E306" s="31">
        <f t="shared" ca="1" si="22"/>
        <v>0</v>
      </c>
      <c r="F306" s="42">
        <f t="shared" ca="1" si="23"/>
        <v>28.055555555555557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19350602</v>
      </c>
      <c r="C307" s="26" t="str">
        <f>INDEX(Data,2,2+MOD(ROWS(C$2:C307)-1,2))</f>
        <v>15.00</v>
      </c>
      <c r="D307" s="41">
        <f t="shared" ca="1" si="21"/>
        <v>759.20600000000002</v>
      </c>
      <c r="E307" s="31">
        <f t="shared" ca="1" si="22"/>
        <v>0</v>
      </c>
      <c r="F307" s="42">
        <f t="shared" ca="1" si="23"/>
        <v>28.888888888888889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19350603</v>
      </c>
      <c r="C308" s="26" t="str">
        <f>INDEX(Data,2,2+MOD(ROWS(C$2:C308)-1,2))</f>
        <v>08.00</v>
      </c>
      <c r="D308" s="41">
        <f t="shared" ca="1" si="21"/>
        <v>761.84759999999994</v>
      </c>
      <c r="E308" s="31">
        <f t="shared" ca="1" si="22"/>
        <v>0</v>
      </c>
      <c r="F308" s="42">
        <f t="shared" ca="1" si="23"/>
        <v>27.777777777777779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19350603</v>
      </c>
      <c r="C309" s="26" t="str">
        <f>INDEX(Data,2,2+MOD(ROWS(C$2:C309)-1,2))</f>
        <v>15.00</v>
      </c>
      <c r="D309" s="41">
        <f t="shared" ca="1" si="21"/>
        <v>760.24739999999997</v>
      </c>
      <c r="E309" s="31">
        <f t="shared" ca="1" si="22"/>
        <v>0</v>
      </c>
      <c r="F309" s="42">
        <f t="shared" ca="1" si="23"/>
        <v>28.611111111111111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19350604</v>
      </c>
      <c r="C310" s="26" t="str">
        <f>INDEX(Data,2,2+MOD(ROWS(C$2:C310)-1,2))</f>
        <v>08.00</v>
      </c>
      <c r="D310" s="41">
        <f t="shared" ca="1" si="21"/>
        <v>761.0856</v>
      </c>
      <c r="E310" s="31">
        <f t="shared" ca="1" si="22"/>
        <v>0</v>
      </c>
      <c r="F310" s="42">
        <f t="shared" ca="1" si="23"/>
        <v>27.777777777777779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19350604</v>
      </c>
      <c r="C311" s="26" t="str">
        <f>INDEX(Data,2,2+MOD(ROWS(C$2:C311)-1,2))</f>
        <v>15.00</v>
      </c>
      <c r="D311" s="41">
        <f t="shared" ca="1" si="21"/>
        <v>759.94259999999997</v>
      </c>
      <c r="E311" s="31">
        <f t="shared" ca="1" si="22"/>
        <v>0</v>
      </c>
      <c r="F311" s="42">
        <f t="shared" ca="1" si="23"/>
        <v>29.166666666666668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19350605</v>
      </c>
      <c r="C312" s="26" t="str">
        <f>INDEX(Data,2,2+MOD(ROWS(C$2:C312)-1,2))</f>
        <v>08.00</v>
      </c>
      <c r="D312" s="41">
        <f t="shared" ca="1" si="21"/>
        <v>761.0856</v>
      </c>
      <c r="E312" s="31">
        <f t="shared" ca="1" si="22"/>
        <v>0</v>
      </c>
      <c r="F312" s="42">
        <f t="shared" ca="1" si="23"/>
        <v>27.777777777777779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19350605</v>
      </c>
      <c r="C313" s="26" t="str">
        <f>INDEX(Data,2,2+MOD(ROWS(C$2:C313)-1,2))</f>
        <v>15.00</v>
      </c>
      <c r="D313" s="41">
        <f t="shared" ca="1" si="21"/>
        <v>759.89179999999999</v>
      </c>
      <c r="E313" s="31">
        <f t="shared" ca="1" si="22"/>
        <v>0</v>
      </c>
      <c r="F313" s="42">
        <f t="shared" ca="1" si="23"/>
        <v>29.444444444444443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19350606</v>
      </c>
      <c r="C314" s="26" t="str">
        <f>INDEX(Data,2,2+MOD(ROWS(C$2:C314)-1,2))</f>
        <v>08.00</v>
      </c>
      <c r="D314" s="41">
        <f t="shared" ca="1" si="21"/>
        <v>761.33960000000002</v>
      </c>
      <c r="E314" s="31">
        <f t="shared" ca="1" si="22"/>
        <v>0</v>
      </c>
      <c r="F314" s="42">
        <f t="shared" ca="1" si="23"/>
        <v>27.777777777777779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19350606</v>
      </c>
      <c r="C315" s="26" t="str">
        <f>INDEX(Data,2,2+MOD(ROWS(C$2:C315)-1,2))</f>
        <v>15.00</v>
      </c>
      <c r="D315" s="41">
        <f t="shared" ca="1" si="21"/>
        <v>760.12040000000002</v>
      </c>
      <c r="E315" s="31">
        <f t="shared" ca="1" si="22"/>
        <v>0</v>
      </c>
      <c r="F315" s="42">
        <f t="shared" ca="1" si="23"/>
        <v>29.722222222222221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19350607</v>
      </c>
      <c r="C316" s="26" t="str">
        <f>INDEX(Data,2,2+MOD(ROWS(C$2:C316)-1,2))</f>
        <v>08.00</v>
      </c>
      <c r="D316" s="41">
        <f t="shared" ca="1" si="21"/>
        <v>761.79679999999996</v>
      </c>
      <c r="E316" s="31">
        <f t="shared" ca="1" si="22"/>
        <v>0</v>
      </c>
      <c r="F316" s="42">
        <f t="shared" ca="1" si="23"/>
        <v>28.333333333333332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19350607</v>
      </c>
      <c r="C317" s="26" t="str">
        <f>INDEX(Data,2,2+MOD(ROWS(C$2:C317)-1,2))</f>
        <v>15.00</v>
      </c>
      <c r="D317" s="41">
        <f t="shared" ca="1" si="21"/>
        <v>760.09499999999991</v>
      </c>
      <c r="E317" s="31">
        <f t="shared" ca="1" si="22"/>
        <v>0</v>
      </c>
      <c r="F317" s="42">
        <f t="shared" ca="1" si="23"/>
        <v>30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19350608</v>
      </c>
      <c r="C318" s="26" t="str">
        <f>INDEX(Data,2,2+MOD(ROWS(C$2:C318)-1,2))</f>
        <v>08.00</v>
      </c>
      <c r="D318" s="41">
        <f t="shared" ca="1" si="21"/>
        <v>761.79679999999996</v>
      </c>
      <c r="E318" s="31">
        <f t="shared" ca="1" si="22"/>
        <v>0</v>
      </c>
      <c r="F318" s="42">
        <f t="shared" ca="1" si="23"/>
        <v>28.333333333333332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19350608</v>
      </c>
      <c r="C319" s="26" t="str">
        <f>INDEX(Data,2,2+MOD(ROWS(C$2:C319)-1,2))</f>
        <v>15.00</v>
      </c>
      <c r="D319" s="41">
        <f t="shared" ca="1" si="21"/>
        <v>759.89179999999999</v>
      </c>
      <c r="E319" s="31">
        <f t="shared" ca="1" si="22"/>
        <v>0</v>
      </c>
      <c r="F319" s="42">
        <f t="shared" ca="1" si="23"/>
        <v>29.444444444444443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19350609</v>
      </c>
      <c r="C320" s="26" t="str">
        <f>INDEX(Data,2,2+MOD(ROWS(C$2:C320)-1,2))</f>
        <v>08.00</v>
      </c>
      <c r="D320" s="41">
        <f t="shared" ca="1" si="21"/>
        <v>761.66980000000001</v>
      </c>
      <c r="E320" s="31">
        <f t="shared" ca="1" si="22"/>
        <v>0</v>
      </c>
      <c r="F320" s="42">
        <f t="shared" ca="1" si="23"/>
        <v>27.222222222222221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19350609</v>
      </c>
      <c r="C321" s="26" t="str">
        <f>INDEX(Data,2,2+MOD(ROWS(C$2:C321)-1,2))</f>
        <v>15.00</v>
      </c>
      <c r="D321" s="41">
        <f t="shared" ca="1" si="21"/>
        <v>759.61239999999998</v>
      </c>
      <c r="E321" s="31">
        <f t="shared" ca="1" si="22"/>
        <v>0</v>
      </c>
      <c r="F321" s="42">
        <f t="shared" ca="1" si="23"/>
        <v>29.722222222222221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19350610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761.31419999999991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28.055555555555557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19350610</v>
      </c>
      <c r="C323" s="26" t="str">
        <f>INDEX(Data,2,2+MOD(ROWS(C$2:C323)-1,2))</f>
        <v>15.00</v>
      </c>
      <c r="D323" s="41">
        <f t="shared" ca="1" si="26"/>
        <v>759.63779999999997</v>
      </c>
      <c r="E323" s="31">
        <f t="shared" ca="1" si="27"/>
        <v>0</v>
      </c>
      <c r="F323" s="42">
        <f t="shared" ca="1" si="28"/>
        <v>29.444444444444443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19350611</v>
      </c>
      <c r="C324" s="26" t="str">
        <f>INDEX(Data,2,2+MOD(ROWS(C$2:C324)-1,2))</f>
        <v>08.00</v>
      </c>
      <c r="D324" s="41">
        <f t="shared" ca="1" si="26"/>
        <v>760.83159999999998</v>
      </c>
      <c r="E324" s="31">
        <f t="shared" ca="1" si="27"/>
        <v>0</v>
      </c>
      <c r="F324" s="42">
        <f t="shared" ca="1" si="28"/>
        <v>28.055555555555557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19350611</v>
      </c>
      <c r="C325" s="26" t="str">
        <f>INDEX(Data,2,2+MOD(ROWS(C$2:C325)-1,2))</f>
        <v>15.00</v>
      </c>
      <c r="D325" s="41">
        <f t="shared" ca="1" si="26"/>
        <v>759.33299999999997</v>
      </c>
      <c r="E325" s="31">
        <f t="shared" ca="1" si="27"/>
        <v>0</v>
      </c>
      <c r="F325" s="42">
        <f t="shared" ca="1" si="28"/>
        <v>30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19350612</v>
      </c>
      <c r="C326" s="26" t="str">
        <f>INDEX(Data,2,2+MOD(ROWS(C$2:C326)-1,2))</f>
        <v>08.00</v>
      </c>
      <c r="D326" s="41">
        <f t="shared" ca="1" si="26"/>
        <v>761.28879999999992</v>
      </c>
      <c r="E326" s="31">
        <f t="shared" ca="1" si="27"/>
        <v>0</v>
      </c>
      <c r="F326" s="42">
        <f t="shared" ca="1" si="28"/>
        <v>28.333333333333332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19350612</v>
      </c>
      <c r="C327" s="26" t="str">
        <f>INDEX(Data,2,2+MOD(ROWS(C$2:C327)-1,2))</f>
        <v>15.00</v>
      </c>
      <c r="D327" s="41">
        <f t="shared" ca="1" si="26"/>
        <v>759.84100000000001</v>
      </c>
      <c r="E327" s="31">
        <f t="shared" ca="1" si="27"/>
        <v>0</v>
      </c>
      <c r="F327" s="42">
        <f t="shared" ca="1" si="28"/>
        <v>30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19350613</v>
      </c>
      <c r="C328" s="26" t="str">
        <f>INDEX(Data,2,2+MOD(ROWS(C$2:C328)-1,2))</f>
        <v>08.00</v>
      </c>
      <c r="D328" s="41">
        <f t="shared" ca="1" si="26"/>
        <v>761.28879999999992</v>
      </c>
      <c r="E328" s="31">
        <f t="shared" ca="1" si="27"/>
        <v>0</v>
      </c>
      <c r="F328" s="42">
        <f t="shared" ca="1" si="28"/>
        <v>28.333333333333332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19350613</v>
      </c>
      <c r="C329" s="26" t="str">
        <f>INDEX(Data,2,2+MOD(ROWS(C$2:C329)-1,2))</f>
        <v>15.00</v>
      </c>
      <c r="D329" s="41">
        <f t="shared" ca="1" si="26"/>
        <v>759.84100000000001</v>
      </c>
      <c r="E329" s="31">
        <f t="shared" ca="1" si="27"/>
        <v>0</v>
      </c>
      <c r="F329" s="42">
        <f t="shared" ca="1" si="28"/>
        <v>30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19350614</v>
      </c>
      <c r="C330" s="26" t="str">
        <f>INDEX(Data,2,2+MOD(ROWS(C$2:C330)-1,2))</f>
        <v>08.00</v>
      </c>
      <c r="D330" s="41">
        <f t="shared" ca="1" si="26"/>
        <v>761.31419999999991</v>
      </c>
      <c r="E330" s="31">
        <f t="shared" ca="1" si="27"/>
        <v>0</v>
      </c>
      <c r="F330" s="42">
        <f t="shared" ca="1" si="28"/>
        <v>28.055555555555557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19350614</v>
      </c>
      <c r="C331" s="26" t="str">
        <f>INDEX(Data,2,2+MOD(ROWS(C$2:C331)-1,2))</f>
        <v>15.00</v>
      </c>
      <c r="D331" s="41">
        <f t="shared" ca="1" si="26"/>
        <v>760.12040000000002</v>
      </c>
      <c r="E331" s="31">
        <f t="shared" ca="1" si="27"/>
        <v>0</v>
      </c>
      <c r="F331" s="42">
        <f t="shared" ca="1" si="28"/>
        <v>29.722222222222221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19350615</v>
      </c>
      <c r="C332" s="26" t="str">
        <f>INDEX(Data,2,2+MOD(ROWS(C$2:C332)-1,2))</f>
        <v>08.00</v>
      </c>
      <c r="D332" s="41">
        <f t="shared" ca="1" si="26"/>
        <v>761.00939999999991</v>
      </c>
      <c r="E332" s="31">
        <f t="shared" ca="1" si="27"/>
        <v>0</v>
      </c>
      <c r="F332" s="42">
        <f t="shared" ca="1" si="28"/>
        <v>26.666666666666668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19350615</v>
      </c>
      <c r="C333" s="26" t="str">
        <f>INDEX(Data,2,2+MOD(ROWS(C$2:C333)-1,2))</f>
        <v>15.00</v>
      </c>
      <c r="D333" s="41">
        <f t="shared" ca="1" si="26"/>
        <v>759.43459999999993</v>
      </c>
      <c r="E333" s="31">
        <f t="shared" ca="1" si="27"/>
        <v>0</v>
      </c>
      <c r="F333" s="42">
        <f t="shared" ca="1" si="28"/>
        <v>29.166666666666668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19350616</v>
      </c>
      <c r="C334" s="26" t="str">
        <f>INDEX(Data,2,2+MOD(ROWS(C$2:C334)-1,2))</f>
        <v>08.00</v>
      </c>
      <c r="D334" s="41">
        <f t="shared" ca="1" si="26"/>
        <v>761.79679999999996</v>
      </c>
      <c r="E334" s="31">
        <f t="shared" ca="1" si="27"/>
        <v>0</v>
      </c>
      <c r="F334" s="42">
        <f t="shared" ca="1" si="28"/>
        <v>28.333333333333332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19350616</v>
      </c>
      <c r="C335" s="26" t="str">
        <f>INDEX(Data,2,2+MOD(ROWS(C$2:C335)-1,2))</f>
        <v>15.00</v>
      </c>
      <c r="D335" s="41">
        <f t="shared" ca="1" si="26"/>
        <v>759.89179999999999</v>
      </c>
      <c r="E335" s="31">
        <f t="shared" ca="1" si="27"/>
        <v>0</v>
      </c>
      <c r="F335" s="42">
        <f t="shared" ca="1" si="28"/>
        <v>29.444444444444443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19350617</v>
      </c>
      <c r="C336" s="26" t="str">
        <f>INDEX(Data,2,2+MOD(ROWS(C$2:C336)-1,2))</f>
        <v>08.00</v>
      </c>
      <c r="D336" s="41">
        <f t="shared" ca="1" si="26"/>
        <v>761.33960000000002</v>
      </c>
      <c r="E336" s="31">
        <f t="shared" ca="1" si="27"/>
        <v>0</v>
      </c>
      <c r="F336" s="42">
        <f t="shared" ca="1" si="28"/>
        <v>27.777777777777779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19350617</v>
      </c>
      <c r="C337" s="26" t="str">
        <f>INDEX(Data,2,2+MOD(ROWS(C$2:C337)-1,2))</f>
        <v>15.00</v>
      </c>
      <c r="D337" s="41">
        <f t="shared" ca="1" si="26"/>
        <v>760.09499999999991</v>
      </c>
      <c r="E337" s="31">
        <f t="shared" ca="1" si="27"/>
        <v>0</v>
      </c>
      <c r="F337" s="42">
        <f t="shared" ca="1" si="28"/>
        <v>30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19350618</v>
      </c>
      <c r="C338" s="26" t="str">
        <f>INDEX(Data,2,2+MOD(ROWS(C$2:C338)-1,2))</f>
        <v>08.00</v>
      </c>
      <c r="D338" s="41">
        <f t="shared" ca="1" si="26"/>
        <v>760.95859999999993</v>
      </c>
      <c r="E338" s="31">
        <f t="shared" ca="1" si="27"/>
        <v>0</v>
      </c>
      <c r="F338" s="42">
        <f t="shared" ca="1" si="28"/>
        <v>26.944444444444443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19350618</v>
      </c>
      <c r="C339" s="26" t="str">
        <f>INDEX(Data,2,2+MOD(ROWS(C$2:C339)-1,2))</f>
        <v>15.00</v>
      </c>
      <c r="D339" s="41">
        <f t="shared" ca="1" si="26"/>
        <v>759.58699999999999</v>
      </c>
      <c r="E339" s="31">
        <f t="shared" ca="1" si="27"/>
        <v>0</v>
      </c>
      <c r="F339" s="42">
        <f t="shared" ca="1" si="28"/>
        <v>30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19350619</v>
      </c>
      <c r="C340" s="26" t="str">
        <f>INDEX(Data,2,2+MOD(ROWS(C$2:C340)-1,2))</f>
        <v>08.00</v>
      </c>
      <c r="D340" s="41">
        <f t="shared" ca="1" si="26"/>
        <v>761.56819999999993</v>
      </c>
      <c r="E340" s="31">
        <f t="shared" ca="1" si="27"/>
        <v>0</v>
      </c>
      <c r="F340" s="42">
        <f t="shared" ca="1" si="28"/>
        <v>28.055555555555557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19350619</v>
      </c>
      <c r="C341" s="26" t="str">
        <f>INDEX(Data,2,2+MOD(ROWS(C$2:C341)-1,2))</f>
        <v>15.00</v>
      </c>
      <c r="D341" s="41">
        <f t="shared" ca="1" si="26"/>
        <v>760.14580000000001</v>
      </c>
      <c r="E341" s="31">
        <f t="shared" ca="1" si="27"/>
        <v>0</v>
      </c>
      <c r="F341" s="42">
        <f t="shared" ca="1" si="28"/>
        <v>29.444444444444443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19350620</v>
      </c>
      <c r="C342" s="26" t="str">
        <f>INDEX(Data,2,2+MOD(ROWS(C$2:C342)-1,2))</f>
        <v>08.00</v>
      </c>
      <c r="D342" s="41">
        <f t="shared" ca="1" si="26"/>
        <v>761.64440000000002</v>
      </c>
      <c r="E342" s="31">
        <f t="shared" ca="1" si="27"/>
        <v>0</v>
      </c>
      <c r="F342" s="42">
        <f t="shared" ca="1" si="28"/>
        <v>27.5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19350620</v>
      </c>
      <c r="C343" s="26" t="str">
        <f>INDEX(Data,2,2+MOD(ROWS(C$2:C343)-1,2))</f>
        <v>15.00</v>
      </c>
      <c r="D343" s="41">
        <f t="shared" ca="1" si="26"/>
        <v>759.61239999999998</v>
      </c>
      <c r="E343" s="31">
        <f t="shared" ca="1" si="27"/>
        <v>0</v>
      </c>
      <c r="F343" s="42">
        <f t="shared" ca="1" si="28"/>
        <v>29.722222222222221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19350621</v>
      </c>
      <c r="C344" s="26" t="str">
        <f>INDEX(Data,2,2+MOD(ROWS(C$2:C344)-1,2))</f>
        <v>08.00</v>
      </c>
      <c r="D344" s="41">
        <f t="shared" ca="1" si="26"/>
        <v>761.59359999999992</v>
      </c>
      <c r="E344" s="31">
        <f t="shared" ca="1" si="27"/>
        <v>0</v>
      </c>
      <c r="F344" s="42">
        <f t="shared" ca="1" si="28"/>
        <v>27.777777777777779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19350621</v>
      </c>
      <c r="C345" s="26" t="str">
        <f>INDEX(Data,2,2+MOD(ROWS(C$2:C345)-1,2))</f>
        <v>15.00</v>
      </c>
      <c r="D345" s="41">
        <f t="shared" ca="1" si="26"/>
        <v>759.8664</v>
      </c>
      <c r="E345" s="31">
        <f t="shared" ca="1" si="27"/>
        <v>0</v>
      </c>
      <c r="F345" s="42">
        <f t="shared" ca="1" si="28"/>
        <v>29.444444444444443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19350622</v>
      </c>
      <c r="C346" s="26" t="str">
        <f>INDEX(Data,2,2+MOD(ROWS(C$2:C346)-1,2))</f>
        <v>08.00</v>
      </c>
      <c r="D346" s="41">
        <f t="shared" ca="1" si="26"/>
        <v>761.28879999999992</v>
      </c>
      <c r="E346" s="31">
        <f t="shared" ca="1" si="27"/>
        <v>0</v>
      </c>
      <c r="F346" s="42">
        <f t="shared" ca="1" si="28"/>
        <v>28.333333333333332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19350622</v>
      </c>
      <c r="C347" s="26" t="str">
        <f>INDEX(Data,2,2+MOD(ROWS(C$2:C347)-1,2))</f>
        <v>15.00</v>
      </c>
      <c r="D347" s="41">
        <f t="shared" ca="1" si="26"/>
        <v>759.18059999999991</v>
      </c>
      <c r="E347" s="31">
        <f t="shared" ca="1" si="27"/>
        <v>0</v>
      </c>
      <c r="F347" s="42">
        <f t="shared" ca="1" si="28"/>
        <v>29.166666666666668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19350623</v>
      </c>
      <c r="C348" s="26" t="str">
        <f>INDEX(Data,2,2+MOD(ROWS(C$2:C348)-1,2))</f>
        <v>08.00</v>
      </c>
      <c r="D348" s="41">
        <f t="shared" ca="1" si="26"/>
        <v>761.0856</v>
      </c>
      <c r="E348" s="31">
        <f t="shared" ca="1" si="27"/>
        <v>0</v>
      </c>
      <c r="F348" s="42">
        <f t="shared" ca="1" si="28"/>
        <v>27.777777777777779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19350623</v>
      </c>
      <c r="C349" s="26" t="str">
        <f>INDEX(Data,2,2+MOD(ROWS(C$2:C349)-1,2))</f>
        <v>15.00</v>
      </c>
      <c r="D349" s="41">
        <f t="shared" ca="1" si="26"/>
        <v>759.94259999999997</v>
      </c>
      <c r="E349" s="31">
        <f t="shared" ca="1" si="27"/>
        <v>0</v>
      </c>
      <c r="F349" s="42">
        <f t="shared" ca="1" si="28"/>
        <v>29.166666666666668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19350624</v>
      </c>
      <c r="C350" s="26" t="str">
        <f>INDEX(Data,2,2+MOD(ROWS(C$2:C350)-1,2))</f>
        <v>08.00</v>
      </c>
      <c r="D350" s="41">
        <f t="shared" ca="1" si="26"/>
        <v>761.79679999999996</v>
      </c>
      <c r="E350" s="31">
        <f t="shared" ca="1" si="27"/>
        <v>0</v>
      </c>
      <c r="F350" s="42">
        <f t="shared" ca="1" si="28"/>
        <v>28.333333333333332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19350624</v>
      </c>
      <c r="C351" s="26" t="str">
        <f>INDEX(Data,2,2+MOD(ROWS(C$2:C351)-1,2))</f>
        <v>15.00</v>
      </c>
      <c r="D351" s="41">
        <f t="shared" ca="1" si="26"/>
        <v>760.09499999999991</v>
      </c>
      <c r="E351" s="31">
        <f t="shared" ca="1" si="27"/>
        <v>0</v>
      </c>
      <c r="F351" s="42">
        <f t="shared" ca="1" si="28"/>
        <v>30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19350625</v>
      </c>
      <c r="C352" s="26" t="str">
        <f>INDEX(Data,2,2+MOD(ROWS(C$2:C352)-1,2))</f>
        <v>08.00</v>
      </c>
      <c r="D352" s="41">
        <f t="shared" ca="1" si="26"/>
        <v>761.56819999999993</v>
      </c>
      <c r="E352" s="31">
        <f t="shared" ca="1" si="27"/>
        <v>0</v>
      </c>
      <c r="F352" s="42">
        <f t="shared" ca="1" si="28"/>
        <v>28.055555555555557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19350625</v>
      </c>
      <c r="C353" s="26" t="str">
        <f>INDEX(Data,2,2+MOD(ROWS(C$2:C353)-1,2))</f>
        <v>15.00</v>
      </c>
      <c r="D353" s="41">
        <f t="shared" ca="1" si="26"/>
        <v>759.20600000000002</v>
      </c>
      <c r="E353" s="31">
        <f t="shared" ca="1" si="27"/>
        <v>0</v>
      </c>
      <c r="F353" s="42">
        <f t="shared" ca="1" si="28"/>
        <v>28.888888888888889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19350626</v>
      </c>
      <c r="C354" s="26" t="str">
        <f>INDEX(Data,2,2+MOD(ROWS(C$2:C354)-1,2))</f>
        <v>08.00</v>
      </c>
      <c r="D354" s="41">
        <f t="shared" ca="1" si="26"/>
        <v>761.31419999999991</v>
      </c>
      <c r="E354" s="31">
        <f t="shared" ca="1" si="27"/>
        <v>0</v>
      </c>
      <c r="F354" s="42">
        <f t="shared" ca="1" si="28"/>
        <v>28.055555555555557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19350626</v>
      </c>
      <c r="C355" s="26" t="str">
        <f>INDEX(Data,2,2+MOD(ROWS(C$2:C355)-1,2))</f>
        <v>15.00</v>
      </c>
      <c r="D355" s="41">
        <f t="shared" ca="1" si="26"/>
        <v>759.38379999999995</v>
      </c>
      <c r="E355" s="31">
        <f t="shared" ca="1" si="27"/>
        <v>0</v>
      </c>
      <c r="F355" s="42">
        <f t="shared" ca="1" si="28"/>
        <v>29.444444444444443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19350627</v>
      </c>
      <c r="C356" s="26" t="str">
        <f>INDEX(Data,2,2+MOD(ROWS(C$2:C356)-1,2))</f>
        <v>08.00</v>
      </c>
      <c r="D356" s="41">
        <f t="shared" ca="1" si="26"/>
        <v>760.85699999999997</v>
      </c>
      <c r="E356" s="31">
        <f t="shared" ca="1" si="27"/>
        <v>0</v>
      </c>
      <c r="F356" s="42">
        <f t="shared" ca="1" si="28"/>
        <v>27.777777777777779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19350627</v>
      </c>
      <c r="C357" s="26" t="str">
        <f>INDEX(Data,2,2+MOD(ROWS(C$2:C357)-1,2))</f>
        <v>15.00</v>
      </c>
      <c r="D357" s="41">
        <f t="shared" ca="1" si="26"/>
        <v>760.34899999999993</v>
      </c>
      <c r="E357" s="31">
        <f t="shared" ca="1" si="27"/>
        <v>0</v>
      </c>
      <c r="F357" s="42">
        <f t="shared" ca="1" si="28"/>
        <v>30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19350628</v>
      </c>
      <c r="C358" s="26" t="str">
        <f>INDEX(Data,2,2+MOD(ROWS(C$2:C358)-1,2))</f>
        <v>08.00</v>
      </c>
      <c r="D358" s="41">
        <f t="shared" ca="1" si="26"/>
        <v>760.93319999999994</v>
      </c>
      <c r="E358" s="31">
        <f t="shared" ca="1" si="27"/>
        <v>0</v>
      </c>
      <c r="F358" s="42">
        <f t="shared" ca="1" si="28"/>
        <v>27.222222222222221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19350628</v>
      </c>
      <c r="C359" s="26" t="str">
        <f>INDEX(Data,2,2+MOD(ROWS(C$2:C359)-1,2))</f>
        <v>15.00</v>
      </c>
      <c r="D359" s="41">
        <f t="shared" ca="1" si="26"/>
        <v>760.01879999999994</v>
      </c>
      <c r="E359" s="31">
        <f t="shared" ca="1" si="27"/>
        <v>0</v>
      </c>
      <c r="F359" s="42">
        <f t="shared" ca="1" si="28"/>
        <v>30.555555555555557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19350629</v>
      </c>
      <c r="C360" s="26" t="str">
        <f>INDEX(Data,2,2+MOD(ROWS(C$2:C360)-1,2))</f>
        <v>08.00</v>
      </c>
      <c r="D360" s="41">
        <f t="shared" ca="1" si="26"/>
        <v>761.82219999999995</v>
      </c>
      <c r="E360" s="31">
        <f t="shared" ca="1" si="27"/>
        <v>0</v>
      </c>
      <c r="F360" s="42">
        <f t="shared" ca="1" si="28"/>
        <v>28.055555555555557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19350629</v>
      </c>
      <c r="C361" s="26" t="str">
        <f>INDEX(Data,2,2+MOD(ROWS(C$2:C361)-1,2))</f>
        <v>15.00</v>
      </c>
      <c r="D361" s="41">
        <f t="shared" ca="1" si="26"/>
        <v>760.29819999999995</v>
      </c>
      <c r="E361" s="31">
        <f t="shared" ca="1" si="27"/>
        <v>0</v>
      </c>
      <c r="F361" s="42">
        <f t="shared" ca="1" si="28"/>
        <v>30.277777777777779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19350630</v>
      </c>
      <c r="C362" s="26" t="str">
        <f>INDEX(Data,2,2+MOD(ROWS(C$2:C362)-1,2))</f>
        <v>08.00</v>
      </c>
      <c r="D362" s="41">
        <f t="shared" ca="1" si="26"/>
        <v>761.66980000000001</v>
      </c>
      <c r="E362" s="31">
        <f t="shared" ca="1" si="27"/>
        <v>0</v>
      </c>
      <c r="F362" s="42">
        <f t="shared" ca="1" si="28"/>
        <v>27.222222222222221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19350630</v>
      </c>
      <c r="C363" s="26" t="str">
        <f>INDEX(Data,2,2+MOD(ROWS(C$2:C363)-1,2))</f>
        <v>15.00</v>
      </c>
      <c r="D363" s="41">
        <f t="shared" ca="1" si="26"/>
        <v>759.20600000000002</v>
      </c>
      <c r="E363" s="31">
        <f t="shared" ca="1" si="27"/>
        <v>0</v>
      </c>
      <c r="F363" s="42">
        <f t="shared" ca="1" si="28"/>
        <v>28.888888888888889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19350701</v>
      </c>
      <c r="C364" s="26" t="str">
        <f>INDEX(Data,2,2+MOD(ROWS(C$2:C364)-1,2))</f>
        <v>08.00</v>
      </c>
      <c r="D364" s="41">
        <f t="shared" ca="1" si="26"/>
        <v>761.82219999999995</v>
      </c>
      <c r="E364" s="31">
        <f t="shared" ca="1" si="27"/>
        <v>0</v>
      </c>
      <c r="F364" s="42">
        <f t="shared" ca="1" si="28"/>
        <v>28.055555555555557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19350701</v>
      </c>
      <c r="C365" s="26" t="str">
        <f>INDEX(Data,2,2+MOD(ROWS(C$2:C365)-1,2))</f>
        <v>15.00</v>
      </c>
      <c r="D365" s="41">
        <f t="shared" ca="1" si="26"/>
        <v>760.29819999999995</v>
      </c>
      <c r="E365" s="31">
        <f t="shared" ca="1" si="27"/>
        <v>0</v>
      </c>
      <c r="F365" s="42">
        <f t="shared" ca="1" si="28"/>
        <v>30.277777777777779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19350702</v>
      </c>
      <c r="C366" s="26" t="str">
        <f>INDEX(Data,2,2+MOD(ROWS(C$2:C366)-1,2))</f>
        <v>08.00</v>
      </c>
      <c r="D366" s="41">
        <f t="shared" ca="1" si="26"/>
        <v>761.06020000000001</v>
      </c>
      <c r="E366" s="31">
        <f t="shared" ca="1" si="27"/>
        <v>0</v>
      </c>
      <c r="F366" s="42">
        <f t="shared" ca="1" si="28"/>
        <v>28.055555555555557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19350702</v>
      </c>
      <c r="C367" s="26" t="str">
        <f>INDEX(Data,2,2+MOD(ROWS(C$2:C367)-1,2))</f>
        <v>15.00</v>
      </c>
      <c r="D367" s="41">
        <f t="shared" ca="1" si="26"/>
        <v>759.94259999999997</v>
      </c>
      <c r="E367" s="31">
        <f t="shared" ca="1" si="27"/>
        <v>0</v>
      </c>
      <c r="F367" s="42">
        <f t="shared" ca="1" si="28"/>
        <v>29.166666666666668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19350703</v>
      </c>
      <c r="C368" s="26" t="str">
        <f>INDEX(Data,2,2+MOD(ROWS(C$2:C368)-1,2))</f>
        <v>08.00</v>
      </c>
      <c r="D368" s="41">
        <f t="shared" ca="1" si="26"/>
        <v>762.07619999999997</v>
      </c>
      <c r="E368" s="31">
        <f t="shared" ca="1" si="27"/>
        <v>0</v>
      </c>
      <c r="F368" s="42">
        <f t="shared" ca="1" si="28"/>
        <v>28.055555555555557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19350703</v>
      </c>
      <c r="C369" s="26" t="str">
        <f>INDEX(Data,2,2+MOD(ROWS(C$2:C369)-1,2))</f>
        <v>15.00</v>
      </c>
      <c r="D369" s="41">
        <f t="shared" ca="1" si="26"/>
        <v>761.0856</v>
      </c>
      <c r="E369" s="31">
        <f t="shared" ca="1" si="27"/>
        <v>0</v>
      </c>
      <c r="F369" s="42">
        <f t="shared" ca="1" si="28"/>
        <v>30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19350704</v>
      </c>
      <c r="C370" s="26" t="str">
        <f>INDEX(Data,2,2+MOD(ROWS(C$2:C370)-1,2))</f>
        <v>08.00</v>
      </c>
      <c r="D370" s="41">
        <f t="shared" ca="1" si="26"/>
        <v>761.54279999999994</v>
      </c>
      <c r="E370" s="31">
        <f t="shared" ca="1" si="27"/>
        <v>0</v>
      </c>
      <c r="F370" s="42">
        <f t="shared" ca="1" si="28"/>
        <v>28.333333333333332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19350704</v>
      </c>
      <c r="C371" s="26" t="str">
        <f>INDEX(Data,2,2+MOD(ROWS(C$2:C371)-1,2))</f>
        <v>15.00</v>
      </c>
      <c r="D371" s="41">
        <f t="shared" ca="1" si="26"/>
        <v>760.37439999999992</v>
      </c>
      <c r="E371" s="31">
        <f t="shared" ca="1" si="27"/>
        <v>0</v>
      </c>
      <c r="F371" s="42">
        <f t="shared" ca="1" si="28"/>
        <v>29.722222222222221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19350705</v>
      </c>
      <c r="C372" s="26" t="str">
        <f>INDEX(Data,2,2+MOD(ROWS(C$2:C372)-1,2))</f>
        <v>08.00</v>
      </c>
      <c r="D372" s="41">
        <f t="shared" ca="1" si="26"/>
        <v>760.50139999999999</v>
      </c>
      <c r="E372" s="31">
        <f t="shared" ca="1" si="27"/>
        <v>0</v>
      </c>
      <c r="F372" s="42">
        <f t="shared" ca="1" si="28"/>
        <v>28.611111111111111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19350705</v>
      </c>
      <c r="C373" s="26" t="str">
        <f>INDEX(Data,2,2+MOD(ROWS(C$2:C373)-1,2))</f>
        <v>15.00</v>
      </c>
      <c r="D373" s="41">
        <f t="shared" ca="1" si="26"/>
        <v>761.61899999999991</v>
      </c>
      <c r="E373" s="31">
        <f t="shared" ca="1" si="27"/>
        <v>0</v>
      </c>
      <c r="F373" s="42">
        <f t="shared" ca="1" si="28"/>
        <v>30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19350706</v>
      </c>
      <c r="C374" s="26" t="str">
        <f>INDEX(Data,2,2+MOD(ROWS(C$2:C374)-1,2))</f>
        <v>08.00</v>
      </c>
      <c r="D374" s="41">
        <f t="shared" ca="1" si="26"/>
        <v>760.04419999999993</v>
      </c>
      <c r="E374" s="31">
        <f t="shared" ca="1" si="27"/>
        <v>0</v>
      </c>
      <c r="F374" s="42">
        <f t="shared" ca="1" si="28"/>
        <v>28.333333333333332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19350706</v>
      </c>
      <c r="C375" s="26" t="str">
        <f>INDEX(Data,2,2+MOD(ROWS(C$2:C375)-1,2))</f>
        <v>15.00</v>
      </c>
      <c r="D375" s="41">
        <f t="shared" ca="1" si="26"/>
        <v>758.67259999999999</v>
      </c>
      <c r="E375" s="31">
        <f t="shared" ca="1" si="27"/>
        <v>0</v>
      </c>
      <c r="F375" s="42">
        <f t="shared" ca="1" si="28"/>
        <v>29.166666666666668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19350707</v>
      </c>
      <c r="C376" s="26" t="str">
        <f>INDEX(Data,2,2+MOD(ROWS(C$2:C376)-1,2))</f>
        <v>08.00</v>
      </c>
      <c r="D376" s="41">
        <f t="shared" ca="1" si="26"/>
        <v>761.03480000000002</v>
      </c>
      <c r="E376" s="31">
        <f t="shared" ca="1" si="27"/>
        <v>0</v>
      </c>
      <c r="F376" s="42">
        <f t="shared" ca="1" si="28"/>
        <v>28.333333333333332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19350707</v>
      </c>
      <c r="C377" s="26" t="str">
        <f>INDEX(Data,2,2+MOD(ROWS(C$2:C377)-1,2))</f>
        <v>15.00</v>
      </c>
      <c r="D377" s="41">
        <f t="shared" ca="1" si="26"/>
        <v>760.12040000000002</v>
      </c>
      <c r="E377" s="31">
        <f t="shared" ca="1" si="27"/>
        <v>0</v>
      </c>
      <c r="F377" s="42">
        <f t="shared" ca="1" si="28"/>
        <v>29.722222222222221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19350708</v>
      </c>
      <c r="C378" s="26" t="str">
        <f>INDEX(Data,2,2+MOD(ROWS(C$2:C378)-1,2))</f>
        <v>08.00</v>
      </c>
      <c r="D378" s="41">
        <f t="shared" ca="1" si="26"/>
        <v>761.59359999999992</v>
      </c>
      <c r="E378" s="31">
        <f t="shared" ca="1" si="27"/>
        <v>0</v>
      </c>
      <c r="F378" s="42">
        <f t="shared" ca="1" si="28"/>
        <v>27.777777777777779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19350708</v>
      </c>
      <c r="C379" s="26" t="str">
        <f>INDEX(Data,2,2+MOD(ROWS(C$2:C379)-1,2))</f>
        <v>15.00</v>
      </c>
      <c r="D379" s="41">
        <f t="shared" ca="1" si="26"/>
        <v>760.60299999999995</v>
      </c>
      <c r="E379" s="31">
        <f t="shared" ca="1" si="27"/>
        <v>0</v>
      </c>
      <c r="F379" s="42">
        <f t="shared" ca="1" si="28"/>
        <v>30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19350709</v>
      </c>
      <c r="C380" s="26" t="str">
        <f>INDEX(Data,2,2+MOD(ROWS(C$2:C380)-1,2))</f>
        <v>08.00</v>
      </c>
      <c r="D380" s="41">
        <f t="shared" ca="1" si="26"/>
        <v>762.05079999999998</v>
      </c>
      <c r="E380" s="31">
        <f t="shared" ca="1" si="27"/>
        <v>0</v>
      </c>
      <c r="F380" s="42">
        <f t="shared" ca="1" si="28"/>
        <v>28.333333333333332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19350709</v>
      </c>
      <c r="C381" s="26" t="str">
        <f>INDEX(Data,2,2+MOD(ROWS(C$2:C381)-1,2))</f>
        <v>15.00</v>
      </c>
      <c r="D381" s="41">
        <f t="shared" ca="1" si="26"/>
        <v>760.57759999999996</v>
      </c>
      <c r="E381" s="31">
        <f t="shared" ca="1" si="27"/>
        <v>0</v>
      </c>
      <c r="F381" s="42">
        <f t="shared" ca="1" si="28"/>
        <v>28.055555555555557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19350710</v>
      </c>
      <c r="C382" s="26" t="str">
        <f>INDEX(Data,2,2+MOD(ROWS(C$2:C382)-1,2))</f>
        <v>08.00</v>
      </c>
      <c r="D382" s="41">
        <f t="shared" ca="1" si="26"/>
        <v>762.10159999999996</v>
      </c>
      <c r="E382" s="31">
        <f t="shared" ca="1" si="27"/>
        <v>0</v>
      </c>
      <c r="F382" s="42">
        <f t="shared" ca="1" si="28"/>
        <v>27.777777777777779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19350710</v>
      </c>
      <c r="C383" s="26" t="str">
        <f>INDEX(Data,2,2+MOD(ROWS(C$2:C383)-1,2))</f>
        <v>15.00</v>
      </c>
      <c r="D383" s="41">
        <f t="shared" ca="1" si="26"/>
        <v>760.88239999999996</v>
      </c>
      <c r="E383" s="31">
        <f t="shared" ca="1" si="27"/>
        <v>0</v>
      </c>
      <c r="F383" s="42">
        <f t="shared" ca="1" si="28"/>
        <v>29.444444444444443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19350711</v>
      </c>
      <c r="C384" s="26" t="str">
        <f>INDEX(Data,2,2+MOD(ROWS(C$2:C384)-1,2))</f>
        <v>08.00</v>
      </c>
      <c r="D384" s="41">
        <f t="shared" ca="1" si="26"/>
        <v>762.6096</v>
      </c>
      <c r="E384" s="31">
        <f t="shared" ca="1" si="27"/>
        <v>0</v>
      </c>
      <c r="F384" s="42">
        <f t="shared" ca="1" si="28"/>
        <v>27.777777777777779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19350711</v>
      </c>
      <c r="C385" s="26" t="str">
        <f>INDEX(Data,2,2+MOD(ROWS(C$2:C385)-1,2))</f>
        <v>15.00</v>
      </c>
      <c r="D385" s="41">
        <f t="shared" ca="1" si="26"/>
        <v>760.83159999999998</v>
      </c>
      <c r="E385" s="31">
        <f t="shared" ca="1" si="27"/>
        <v>0</v>
      </c>
      <c r="F385" s="42">
        <f t="shared" ca="1" si="28"/>
        <v>30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19350712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762.58420000000001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28.055555555555557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19350712</v>
      </c>
      <c r="C387" s="26" t="str">
        <f>INDEX(Data,2,2+MOD(ROWS(C$2:C387)-1,2))</f>
        <v>15.00</v>
      </c>
      <c r="D387" s="41">
        <f t="shared" ca="1" si="31"/>
        <v>761.11099999999999</v>
      </c>
      <c r="E387" s="31">
        <f t="shared" ca="1" si="32"/>
        <v>0</v>
      </c>
      <c r="F387" s="42">
        <f t="shared" ca="1" si="33"/>
        <v>29.722222222222221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19350713</v>
      </c>
      <c r="C388" s="26" t="str">
        <f>INDEX(Data,2,2+MOD(ROWS(C$2:C388)-1,2))</f>
        <v>08.00</v>
      </c>
      <c r="D388" s="41">
        <f t="shared" ca="1" si="31"/>
        <v>762.3048</v>
      </c>
      <c r="E388" s="31">
        <f t="shared" ca="1" si="32"/>
        <v>0</v>
      </c>
      <c r="F388" s="42">
        <f t="shared" ca="1" si="33"/>
        <v>28.333333333333332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19350713</v>
      </c>
      <c r="C389" s="26" t="str">
        <f>INDEX(Data,2,2+MOD(ROWS(C$2:C389)-1,2))</f>
        <v>15.00</v>
      </c>
      <c r="D389" s="41">
        <f t="shared" ca="1" si="31"/>
        <v>760.65379999999993</v>
      </c>
      <c r="E389" s="31">
        <f t="shared" ca="1" si="32"/>
        <v>0</v>
      </c>
      <c r="F389" s="42">
        <f t="shared" ca="1" si="33"/>
        <v>29.444444444444443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19350714</v>
      </c>
      <c r="C390" s="26" t="str">
        <f>INDEX(Data,2,2+MOD(ROWS(C$2:C390)-1,2))</f>
        <v>08.00</v>
      </c>
      <c r="D390" s="41">
        <f t="shared" ca="1" si="31"/>
        <v>761.84759999999994</v>
      </c>
      <c r="E390" s="31">
        <f t="shared" ca="1" si="32"/>
        <v>0</v>
      </c>
      <c r="F390" s="42">
        <f t="shared" ca="1" si="33"/>
        <v>27.777777777777779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19350714</v>
      </c>
      <c r="C391" s="26" t="str">
        <f>INDEX(Data,2,2+MOD(ROWS(C$2:C391)-1,2))</f>
        <v>15.00</v>
      </c>
      <c r="D391" s="41">
        <f t="shared" ca="1" si="31"/>
        <v>760.34899999999993</v>
      </c>
      <c r="E391" s="31">
        <f t="shared" ca="1" si="32"/>
        <v>0</v>
      </c>
      <c r="F391" s="42">
        <f t="shared" ca="1" si="33"/>
        <v>30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19350715</v>
      </c>
      <c r="C392" s="26" t="str">
        <f>INDEX(Data,2,2+MOD(ROWS(C$2:C392)-1,2))</f>
        <v>08.00</v>
      </c>
      <c r="D392" s="41">
        <f t="shared" ca="1" si="31"/>
        <v>761.13639999999998</v>
      </c>
      <c r="E392" s="31">
        <f t="shared" ca="1" si="32"/>
        <v>0</v>
      </c>
      <c r="F392" s="42">
        <f t="shared" ca="1" si="33"/>
        <v>27.5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19350715</v>
      </c>
      <c r="C393" s="26" t="str">
        <f>INDEX(Data,2,2+MOD(ROWS(C$2:C393)-1,2))</f>
        <v>15.00</v>
      </c>
      <c r="D393" s="41">
        <f t="shared" ca="1" si="31"/>
        <v>758.52019999999993</v>
      </c>
      <c r="E393" s="31">
        <f t="shared" ca="1" si="32"/>
        <v>0</v>
      </c>
      <c r="F393" s="42">
        <f t="shared" ca="1" si="33"/>
        <v>30.277777777777779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19350716</v>
      </c>
      <c r="C394" s="26" t="str">
        <f>INDEX(Data,2,2+MOD(ROWS(C$2:C394)-1,2))</f>
        <v>08.00</v>
      </c>
      <c r="D394" s="41">
        <f t="shared" ca="1" si="31"/>
        <v>759.79019999999991</v>
      </c>
      <c r="E394" s="31">
        <f t="shared" ca="1" si="32"/>
        <v>0</v>
      </c>
      <c r="F394" s="42">
        <f t="shared" ca="1" si="33"/>
        <v>28.333333333333332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19350716</v>
      </c>
      <c r="C395" s="26" t="str">
        <f>INDEX(Data,2,2+MOD(ROWS(C$2:C395)-1,2))</f>
        <v>15.00</v>
      </c>
      <c r="D395" s="41">
        <f t="shared" ca="1" si="31"/>
        <v>757.75819999999999</v>
      </c>
      <c r="E395" s="31">
        <f t="shared" ca="1" si="32"/>
        <v>0</v>
      </c>
      <c r="F395" s="42">
        <f t="shared" ca="1" si="33"/>
        <v>30.277777777777779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19350717</v>
      </c>
      <c r="C396" s="26" t="str">
        <f>INDEX(Data,2,2+MOD(ROWS(C$2:C396)-1,2))</f>
        <v>08.00</v>
      </c>
      <c r="D396" s="41">
        <f t="shared" ca="1" si="31"/>
        <v>759.81560000000002</v>
      </c>
      <c r="E396" s="31">
        <f t="shared" ca="1" si="32"/>
        <v>0</v>
      </c>
      <c r="F396" s="42">
        <f t="shared" ca="1" si="33"/>
        <v>28.055555555555557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19350717</v>
      </c>
      <c r="C397" s="26" t="str">
        <f>INDEX(Data,2,2+MOD(ROWS(C$2:C397)-1,2))</f>
        <v>15.00</v>
      </c>
      <c r="D397" s="41">
        <f t="shared" ca="1" si="31"/>
        <v>758.52019999999993</v>
      </c>
      <c r="E397" s="31">
        <f t="shared" ca="1" si="32"/>
        <v>0</v>
      </c>
      <c r="F397" s="42">
        <f t="shared" ca="1" si="33"/>
        <v>30.277777777777779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19350718</v>
      </c>
      <c r="C398" s="26" t="str">
        <f>INDEX(Data,2,2+MOD(ROWS(C$2:C398)-1,2))</f>
        <v>08.00</v>
      </c>
      <c r="D398" s="41">
        <f t="shared" ca="1" si="31"/>
        <v>760.98399999999992</v>
      </c>
      <c r="E398" s="31">
        <f t="shared" ca="1" si="32"/>
        <v>0</v>
      </c>
      <c r="F398" s="42">
        <f t="shared" ca="1" si="33"/>
        <v>28.611111111111111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19350718</v>
      </c>
      <c r="C399" s="26" t="str">
        <f>INDEX(Data,2,2+MOD(ROWS(C$2:C399)-1,2))</f>
        <v>15.00</v>
      </c>
      <c r="D399" s="41">
        <f t="shared" ca="1" si="31"/>
        <v>759.58699999999999</v>
      </c>
      <c r="E399" s="31">
        <f t="shared" ca="1" si="32"/>
        <v>0</v>
      </c>
      <c r="F399" s="42">
        <f t="shared" ca="1" si="33"/>
        <v>30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19350719</v>
      </c>
      <c r="C400" s="26" t="str">
        <f>INDEX(Data,2,2+MOD(ROWS(C$2:C400)-1,2))</f>
        <v>08.00</v>
      </c>
      <c r="D400" s="41">
        <f t="shared" ca="1" si="31"/>
        <v>761.89839999999992</v>
      </c>
      <c r="E400" s="31">
        <f t="shared" ca="1" si="32"/>
        <v>0</v>
      </c>
      <c r="F400" s="42">
        <f t="shared" ca="1" si="33"/>
        <v>27.5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19350719</v>
      </c>
      <c r="C401" s="26" t="str">
        <f>INDEX(Data,2,2+MOD(ROWS(C$2:C401)-1,2))</f>
        <v>15.00</v>
      </c>
      <c r="D401" s="41">
        <f t="shared" ca="1" si="31"/>
        <v>760.32359999999994</v>
      </c>
      <c r="E401" s="31">
        <f t="shared" ca="1" si="32"/>
        <v>0</v>
      </c>
      <c r="F401" s="42">
        <f t="shared" ca="1" si="33"/>
        <v>28.055555555555557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19350720</v>
      </c>
      <c r="C402" s="26" t="str">
        <f>INDEX(Data,2,2+MOD(ROWS(C$2:C402)-1,2))</f>
        <v>08.00</v>
      </c>
      <c r="D402" s="41">
        <f t="shared" ca="1" si="31"/>
        <v>761.0856</v>
      </c>
      <c r="E402" s="31">
        <f t="shared" ca="1" si="32"/>
        <v>0</v>
      </c>
      <c r="F402" s="42">
        <f t="shared" ca="1" si="33"/>
        <v>27.777777777777779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19350720</v>
      </c>
      <c r="C403" s="26" t="str">
        <f>INDEX(Data,2,2+MOD(ROWS(C$2:C403)-1,2))</f>
        <v>15.00</v>
      </c>
      <c r="D403" s="41">
        <f t="shared" ca="1" si="31"/>
        <v>760.09499999999991</v>
      </c>
      <c r="E403" s="31">
        <f t="shared" ca="1" si="32"/>
        <v>0</v>
      </c>
      <c r="F403" s="42">
        <f t="shared" ca="1" si="33"/>
        <v>30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19350721</v>
      </c>
      <c r="C404" s="26" t="str">
        <f>INDEX(Data,2,2+MOD(ROWS(C$2:C404)-1,2))</f>
        <v>08.00</v>
      </c>
      <c r="D404" s="41">
        <f t="shared" ca="1" si="31"/>
        <v>761.79679999999996</v>
      </c>
      <c r="E404" s="31">
        <f t="shared" ca="1" si="32"/>
        <v>0</v>
      </c>
      <c r="F404" s="42">
        <f t="shared" ca="1" si="33"/>
        <v>28.333333333333332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19350721</v>
      </c>
      <c r="C405" s="26" t="str">
        <f>INDEX(Data,2,2+MOD(ROWS(C$2:C405)-1,2))</f>
        <v>15.00</v>
      </c>
      <c r="D405" s="41">
        <f t="shared" ca="1" si="31"/>
        <v>760.37439999999992</v>
      </c>
      <c r="E405" s="31">
        <f t="shared" ca="1" si="32"/>
        <v>0</v>
      </c>
      <c r="F405" s="42">
        <f t="shared" ca="1" si="33"/>
        <v>29.722222222222221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19350722</v>
      </c>
      <c r="C406" s="26" t="str">
        <f>INDEX(Data,2,2+MOD(ROWS(C$2:C406)-1,2))</f>
        <v>08.00</v>
      </c>
      <c r="D406" s="41">
        <f t="shared" ca="1" si="31"/>
        <v>761.49199999999996</v>
      </c>
      <c r="E406" s="31">
        <f t="shared" ca="1" si="32"/>
        <v>0</v>
      </c>
      <c r="F406" s="42">
        <f t="shared" ca="1" si="33"/>
        <v>28.611111111111111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19350722</v>
      </c>
      <c r="C407" s="26" t="str">
        <f>INDEX(Data,2,2+MOD(ROWS(C$2:C407)-1,2))</f>
        <v>15.00</v>
      </c>
      <c r="D407" s="41">
        <f t="shared" ca="1" si="31"/>
        <v>760.04419999999993</v>
      </c>
      <c r="E407" s="31">
        <f t="shared" ca="1" si="32"/>
        <v>0</v>
      </c>
      <c r="F407" s="42">
        <f t="shared" ca="1" si="33"/>
        <v>30.277777777777779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19350723</v>
      </c>
      <c r="C408" s="26" t="str">
        <f>INDEX(Data,2,2+MOD(ROWS(C$2:C408)-1,2))</f>
        <v>08.00</v>
      </c>
      <c r="D408" s="41">
        <f t="shared" ca="1" si="31"/>
        <v>761.49199999999996</v>
      </c>
      <c r="E408" s="31">
        <f t="shared" ca="1" si="32"/>
        <v>0</v>
      </c>
      <c r="F408" s="42">
        <f t="shared" ca="1" si="33"/>
        <v>28.611111111111111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19350723</v>
      </c>
      <c r="C409" s="26" t="str">
        <f>INDEX(Data,2,2+MOD(ROWS(C$2:C409)-1,2))</f>
        <v>15.00</v>
      </c>
      <c r="D409" s="41">
        <f t="shared" ca="1" si="31"/>
        <v>759.76479999999992</v>
      </c>
      <c r="E409" s="31">
        <f t="shared" ca="1" si="32"/>
        <v>0</v>
      </c>
      <c r="F409" s="42">
        <f t="shared" ca="1" si="33"/>
        <v>30.555555555555557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19350724</v>
      </c>
      <c r="C410" s="26" t="str">
        <f>INDEX(Data,2,2+MOD(ROWS(C$2:C410)-1,2))</f>
        <v>08.00</v>
      </c>
      <c r="D410" s="41">
        <f t="shared" ca="1" si="31"/>
        <v>760.98399999999992</v>
      </c>
      <c r="E410" s="31">
        <f t="shared" ca="1" si="32"/>
        <v>0</v>
      </c>
      <c r="F410" s="42">
        <f t="shared" ca="1" si="33"/>
        <v>28.611111111111111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19350724</v>
      </c>
      <c r="C411" s="26" t="str">
        <f>INDEX(Data,2,2+MOD(ROWS(C$2:C411)-1,2))</f>
        <v>15.00</v>
      </c>
      <c r="D411" s="41">
        <f t="shared" ca="1" si="31"/>
        <v>759.84100000000001</v>
      </c>
      <c r="E411" s="31">
        <f t="shared" ca="1" si="32"/>
        <v>0</v>
      </c>
      <c r="F411" s="42">
        <f t="shared" ca="1" si="33"/>
        <v>30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19350725</v>
      </c>
      <c r="C412" s="26" t="str">
        <f>INDEX(Data,2,2+MOD(ROWS(C$2:C412)-1,2))</f>
        <v>08.00</v>
      </c>
      <c r="D412" s="41">
        <f t="shared" ca="1" si="31"/>
        <v>761.79679999999996</v>
      </c>
      <c r="E412" s="31">
        <f t="shared" ca="1" si="32"/>
        <v>0</v>
      </c>
      <c r="F412" s="42">
        <f t="shared" ca="1" si="33"/>
        <v>28.333333333333332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19350725</v>
      </c>
      <c r="C413" s="26" t="str">
        <f>INDEX(Data,2,2+MOD(ROWS(C$2:C413)-1,2))</f>
        <v>15.00</v>
      </c>
      <c r="D413" s="41">
        <f t="shared" ca="1" si="31"/>
        <v>760.29819999999995</v>
      </c>
      <c r="E413" s="31">
        <f t="shared" ca="1" si="32"/>
        <v>0</v>
      </c>
      <c r="F413" s="42">
        <f t="shared" ca="1" si="33"/>
        <v>30.277777777777779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19350726</v>
      </c>
      <c r="C414" s="26" t="str">
        <f>INDEX(Data,2,2+MOD(ROWS(C$2:C414)-1,2))</f>
        <v>08.00</v>
      </c>
      <c r="D414" s="41">
        <f t="shared" ca="1" si="31"/>
        <v>761.74599999999998</v>
      </c>
      <c r="E414" s="31">
        <f t="shared" ca="1" si="32"/>
        <v>0</v>
      </c>
      <c r="F414" s="42">
        <f t="shared" ca="1" si="33"/>
        <v>28.611111111111111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19350726</v>
      </c>
      <c r="C415" s="26" t="str">
        <f>INDEX(Data,2,2+MOD(ROWS(C$2:C415)-1,2))</f>
        <v>15.00</v>
      </c>
      <c r="D415" s="41">
        <f t="shared" ca="1" si="31"/>
        <v>760.01879999999994</v>
      </c>
      <c r="E415" s="31">
        <f t="shared" ca="1" si="32"/>
        <v>0</v>
      </c>
      <c r="F415" s="42">
        <f t="shared" ca="1" si="33"/>
        <v>30.555555555555557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19350727</v>
      </c>
      <c r="C416" s="26" t="str">
        <f>INDEX(Data,2,2+MOD(ROWS(C$2:C416)-1,2))</f>
        <v>08.00</v>
      </c>
      <c r="D416" s="41">
        <f t="shared" ca="1" si="31"/>
        <v>760.04419999999993</v>
      </c>
      <c r="E416" s="31">
        <f t="shared" ca="1" si="32"/>
        <v>0</v>
      </c>
      <c r="F416" s="42">
        <f t="shared" ca="1" si="33"/>
        <v>28.611111111111111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19350727</v>
      </c>
      <c r="C417" s="26" t="str">
        <f>INDEX(Data,2,2+MOD(ROWS(C$2:C417)-1,2))</f>
        <v>15.00</v>
      </c>
      <c r="D417" s="41">
        <f t="shared" ca="1" si="31"/>
        <v>759.07899999999995</v>
      </c>
      <c r="E417" s="31">
        <f t="shared" ca="1" si="32"/>
        <v>0</v>
      </c>
      <c r="F417" s="42">
        <f t="shared" ca="1" si="33"/>
        <v>30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19350728</v>
      </c>
      <c r="C418" s="26" t="str">
        <f>INDEX(Data,2,2+MOD(ROWS(C$2:C418)-1,2))</f>
        <v>08.00</v>
      </c>
      <c r="D418" s="41">
        <f t="shared" ca="1" si="31"/>
        <v>761.84759999999994</v>
      </c>
      <c r="E418" s="31">
        <f t="shared" ca="1" si="32"/>
        <v>0</v>
      </c>
      <c r="F418" s="42">
        <f t="shared" ca="1" si="33"/>
        <v>27.777777777777779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19350728</v>
      </c>
      <c r="C419" s="26" t="str">
        <f>INDEX(Data,2,2+MOD(ROWS(C$2:C419)-1,2))</f>
        <v>15.00</v>
      </c>
      <c r="D419" s="41">
        <f t="shared" ca="1" si="31"/>
        <v>760.37439999999992</v>
      </c>
      <c r="E419" s="31">
        <f t="shared" ca="1" si="32"/>
        <v>0</v>
      </c>
      <c r="F419" s="42">
        <f t="shared" ca="1" si="33"/>
        <v>29.722222222222221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19350729</v>
      </c>
      <c r="C420" s="26" t="str">
        <f>INDEX(Data,2,2+MOD(ROWS(C$2:C420)-1,2))</f>
        <v>08.00</v>
      </c>
      <c r="D420" s="41">
        <f t="shared" ca="1" si="31"/>
        <v>761.79679999999996</v>
      </c>
      <c r="E420" s="31">
        <f t="shared" ca="1" si="32"/>
        <v>0</v>
      </c>
      <c r="F420" s="42">
        <f t="shared" ca="1" si="33"/>
        <v>28.333333333333332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19350729</v>
      </c>
      <c r="C421" s="26" t="str">
        <f>INDEX(Data,2,2+MOD(ROWS(C$2:C421)-1,2))</f>
        <v>15.00</v>
      </c>
      <c r="D421" s="41">
        <f t="shared" ca="1" si="31"/>
        <v>760.01879999999994</v>
      </c>
      <c r="E421" s="31">
        <f t="shared" ca="1" si="32"/>
        <v>0</v>
      </c>
      <c r="F421" s="42">
        <f t="shared" ca="1" si="33"/>
        <v>30.555555555555557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19350730</v>
      </c>
      <c r="C422" s="26" t="str">
        <f>INDEX(Data,2,2+MOD(ROWS(C$2:C422)-1,2))</f>
        <v>08.00</v>
      </c>
      <c r="D422" s="41">
        <f t="shared" ca="1" si="31"/>
        <v>761.74599999999998</v>
      </c>
      <c r="E422" s="31">
        <f t="shared" ca="1" si="32"/>
        <v>0</v>
      </c>
      <c r="F422" s="42">
        <f t="shared" ca="1" si="33"/>
        <v>28.611111111111111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19350730</v>
      </c>
      <c r="C423" s="26" t="str">
        <f>INDEX(Data,2,2+MOD(ROWS(C$2:C423)-1,2))</f>
        <v>15.00</v>
      </c>
      <c r="D423" s="41">
        <f t="shared" ca="1" si="31"/>
        <v>760.04419999999993</v>
      </c>
      <c r="E423" s="31">
        <f t="shared" ca="1" si="32"/>
        <v>0</v>
      </c>
      <c r="F423" s="42">
        <f t="shared" ca="1" si="33"/>
        <v>30.277777777777779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19350731</v>
      </c>
      <c r="C424" s="26" t="str">
        <f>INDEX(Data,2,2+MOD(ROWS(C$2:C424)-1,2))</f>
        <v>08.00</v>
      </c>
      <c r="D424" s="41">
        <f t="shared" ca="1" si="31"/>
        <v>760.98399999999992</v>
      </c>
      <c r="E424" s="31">
        <f t="shared" ca="1" si="32"/>
        <v>0</v>
      </c>
      <c r="F424" s="42">
        <f t="shared" ca="1" si="33"/>
        <v>28.611111111111111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19350731</v>
      </c>
      <c r="C425" s="26" t="str">
        <f>INDEX(Data,2,2+MOD(ROWS(C$2:C425)-1,2))</f>
        <v>15.00</v>
      </c>
      <c r="D425" s="41">
        <f t="shared" ca="1" si="31"/>
        <v>759.53620000000001</v>
      </c>
      <c r="E425" s="31">
        <f t="shared" ca="1" si="32"/>
        <v>0</v>
      </c>
      <c r="F425" s="42">
        <f t="shared" ca="1" si="33"/>
        <v>30.277777777777779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19350801</v>
      </c>
      <c r="C426" s="26" t="str">
        <f>INDEX(Data,2,2+MOD(ROWS(C$2:C426)-1,2))</f>
        <v>08.00</v>
      </c>
      <c r="D426" s="41">
        <f t="shared" ca="1" si="31"/>
        <v>761.46659999999997</v>
      </c>
      <c r="E426" s="31">
        <f t="shared" ca="1" si="32"/>
        <v>0</v>
      </c>
      <c r="F426" s="42">
        <f t="shared" ca="1" si="33"/>
        <v>28.888888888888889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19350801</v>
      </c>
      <c r="C427" s="26" t="str">
        <f>INDEX(Data,2,2+MOD(ROWS(C$2:C427)-1,2))</f>
        <v>15.00</v>
      </c>
      <c r="D427" s="41">
        <f t="shared" ca="1" si="31"/>
        <v>760.62839999999994</v>
      </c>
      <c r="E427" s="31">
        <f t="shared" ca="1" si="32"/>
        <v>0</v>
      </c>
      <c r="F427" s="42">
        <f t="shared" ca="1" si="33"/>
        <v>29.722222222222221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19350802</v>
      </c>
      <c r="C428" s="26" t="str">
        <f>INDEX(Data,2,2+MOD(ROWS(C$2:C428)-1,2))</f>
        <v>08.00</v>
      </c>
      <c r="D428" s="41">
        <f t="shared" ca="1" si="31"/>
        <v>762.55880000000002</v>
      </c>
      <c r="E428" s="31">
        <f t="shared" ca="1" si="32"/>
        <v>0</v>
      </c>
      <c r="F428" s="42">
        <f t="shared" ca="1" si="33"/>
        <v>28.333333333333332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19350802</v>
      </c>
      <c r="C429" s="26" t="str">
        <f>INDEX(Data,2,2+MOD(ROWS(C$2:C429)-1,2))</f>
        <v>15.00</v>
      </c>
      <c r="D429" s="41">
        <f t="shared" ca="1" si="31"/>
        <v>760.55219999999997</v>
      </c>
      <c r="E429" s="31">
        <f t="shared" ca="1" si="32"/>
        <v>0</v>
      </c>
      <c r="F429" s="42">
        <f t="shared" ca="1" si="33"/>
        <v>30.277777777777779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19350803</v>
      </c>
      <c r="C430" s="26" t="str">
        <f>INDEX(Data,2,2+MOD(ROWS(C$2:C430)-1,2))</f>
        <v>08.00</v>
      </c>
      <c r="D430" s="41">
        <f t="shared" ca="1" si="31"/>
        <v>762.15239999999994</v>
      </c>
      <c r="E430" s="31">
        <f t="shared" ca="1" si="32"/>
        <v>0</v>
      </c>
      <c r="F430" s="42">
        <f t="shared" ca="1" si="33"/>
        <v>27.5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19350803</v>
      </c>
      <c r="C431" s="26" t="str">
        <f>INDEX(Data,2,2+MOD(ROWS(C$2:C431)-1,2))</f>
        <v>15.00</v>
      </c>
      <c r="D431" s="41">
        <f t="shared" ca="1" si="31"/>
        <v>760.01879999999994</v>
      </c>
      <c r="E431" s="31">
        <f t="shared" ca="1" si="32"/>
        <v>0</v>
      </c>
      <c r="F431" s="42">
        <f t="shared" ca="1" si="33"/>
        <v>30.555555555555557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19350804</v>
      </c>
      <c r="C432" s="26" t="str">
        <f>INDEX(Data,2,2+MOD(ROWS(C$2:C432)-1,2))</f>
        <v>08.00</v>
      </c>
      <c r="D432" s="41">
        <f t="shared" ca="1" si="31"/>
        <v>761.79679999999996</v>
      </c>
      <c r="E432" s="31">
        <f t="shared" ca="1" si="32"/>
        <v>0</v>
      </c>
      <c r="F432" s="42">
        <f t="shared" ca="1" si="33"/>
        <v>28.333333333333332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19350804</v>
      </c>
      <c r="C433" s="26" t="str">
        <f>INDEX(Data,2,2+MOD(ROWS(C$2:C433)-1,2))</f>
        <v>15.00</v>
      </c>
      <c r="D433" s="41">
        <f t="shared" ca="1" si="31"/>
        <v>759.53620000000001</v>
      </c>
      <c r="E433" s="31">
        <f t="shared" ca="1" si="32"/>
        <v>0</v>
      </c>
      <c r="F433" s="42">
        <f t="shared" ca="1" si="33"/>
        <v>30.277777777777779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19350805</v>
      </c>
      <c r="C434" s="26" t="str">
        <f>INDEX(Data,2,2+MOD(ROWS(C$2:C434)-1,2))</f>
        <v>08.00</v>
      </c>
      <c r="D434" s="41">
        <f t="shared" ca="1" si="31"/>
        <v>761.28879999999992</v>
      </c>
      <c r="E434" s="31">
        <f t="shared" ca="1" si="32"/>
        <v>0</v>
      </c>
      <c r="F434" s="42">
        <f t="shared" ca="1" si="33"/>
        <v>28.333333333333332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19350805</v>
      </c>
      <c r="C435" s="26" t="str">
        <f>INDEX(Data,2,2+MOD(ROWS(C$2:C435)-1,2))</f>
        <v>15.00</v>
      </c>
      <c r="D435" s="41">
        <f t="shared" ca="1" si="31"/>
        <v>759.28219999999999</v>
      </c>
      <c r="E435" s="31">
        <f t="shared" ca="1" si="32"/>
        <v>0</v>
      </c>
      <c r="F435" s="42">
        <f t="shared" ca="1" si="33"/>
        <v>30.277777777777779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19350806</v>
      </c>
      <c r="C436" s="26" t="str">
        <f>INDEX(Data,2,2+MOD(ROWS(C$2:C436)-1,2))</f>
        <v>08.00</v>
      </c>
      <c r="D436" s="41">
        <f t="shared" ca="1" si="31"/>
        <v>760.55219999999997</v>
      </c>
      <c r="E436" s="31">
        <f t="shared" ca="1" si="32"/>
        <v>0</v>
      </c>
      <c r="F436" s="42">
        <f t="shared" ca="1" si="33"/>
        <v>28.333333333333332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19350806</v>
      </c>
      <c r="C437" s="26" t="str">
        <f>INDEX(Data,2,2+MOD(ROWS(C$2:C437)-1,2))</f>
        <v>15.00</v>
      </c>
      <c r="D437" s="41">
        <f t="shared" ca="1" si="31"/>
        <v>758.3424</v>
      </c>
      <c r="E437" s="31">
        <f t="shared" ca="1" si="32"/>
        <v>0</v>
      </c>
      <c r="F437" s="42">
        <f t="shared" ca="1" si="33"/>
        <v>29.722222222222221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19350807</v>
      </c>
      <c r="C438" s="26" t="str">
        <f>INDEX(Data,2,2+MOD(ROWS(C$2:C438)-1,2))</f>
        <v>08.00</v>
      </c>
      <c r="D438" s="41">
        <f t="shared" ca="1" si="31"/>
        <v>759.99339999999995</v>
      </c>
      <c r="E438" s="31">
        <f t="shared" ca="1" si="32"/>
        <v>0</v>
      </c>
      <c r="F438" s="42">
        <f t="shared" ca="1" si="33"/>
        <v>28.611111111111111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19350807</v>
      </c>
      <c r="C439" s="26" t="str">
        <f>INDEX(Data,2,2+MOD(ROWS(C$2:C439)-1,2))</f>
        <v>15.00</v>
      </c>
      <c r="D439" s="41">
        <f t="shared" ca="1" si="31"/>
        <v>758.24079999999992</v>
      </c>
      <c r="E439" s="31">
        <f t="shared" ca="1" si="32"/>
        <v>0</v>
      </c>
      <c r="F439" s="42">
        <f t="shared" ca="1" si="33"/>
        <v>30.555555555555557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19350808</v>
      </c>
      <c r="C440" s="26" t="str">
        <f>INDEX(Data,2,2+MOD(ROWS(C$2:C440)-1,2))</f>
        <v>08.00</v>
      </c>
      <c r="D440" s="41">
        <f t="shared" ca="1" si="31"/>
        <v>761.21259999999995</v>
      </c>
      <c r="E440" s="31">
        <f t="shared" ca="1" si="32"/>
        <v>0</v>
      </c>
      <c r="F440" s="42">
        <f t="shared" ca="1" si="33"/>
        <v>28.888888888888889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19350808</v>
      </c>
      <c r="C441" s="26" t="str">
        <f>INDEX(Data,2,2+MOD(ROWS(C$2:C441)-1,2))</f>
        <v>15.00</v>
      </c>
      <c r="D441" s="41">
        <f t="shared" ca="1" si="31"/>
        <v>760.01879999999994</v>
      </c>
      <c r="E441" s="31">
        <f t="shared" ca="1" si="32"/>
        <v>0</v>
      </c>
      <c r="F441" s="42">
        <f t="shared" ca="1" si="33"/>
        <v>30.555555555555557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19350809</v>
      </c>
      <c r="C442" s="26" t="str">
        <f>INDEX(Data,2,2+MOD(ROWS(C$2:C442)-1,2))</f>
        <v>08.00</v>
      </c>
      <c r="D442" s="41">
        <f t="shared" ca="1" si="31"/>
        <v>761.49199999999996</v>
      </c>
      <c r="E442" s="31">
        <f t="shared" ca="1" si="32"/>
        <v>0</v>
      </c>
      <c r="F442" s="42">
        <f t="shared" ca="1" si="33"/>
        <v>28.611111111111111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19350809</v>
      </c>
      <c r="C443" s="26" t="str">
        <f>INDEX(Data,2,2+MOD(ROWS(C$2:C443)-1,2))</f>
        <v>15.00</v>
      </c>
      <c r="D443" s="41">
        <f t="shared" ca="1" si="31"/>
        <v>760.01879999999994</v>
      </c>
      <c r="E443" s="31">
        <f t="shared" ca="1" si="32"/>
        <v>0</v>
      </c>
      <c r="F443" s="42">
        <f t="shared" ca="1" si="33"/>
        <v>30.555555555555557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19350810</v>
      </c>
      <c r="C444" s="26" t="str">
        <f>INDEX(Data,2,2+MOD(ROWS(C$2:C444)-1,2))</f>
        <v>08.00</v>
      </c>
      <c r="D444" s="41">
        <f t="shared" ca="1" si="31"/>
        <v>760.75540000000001</v>
      </c>
      <c r="E444" s="31">
        <f t="shared" ca="1" si="32"/>
        <v>0</v>
      </c>
      <c r="F444" s="42">
        <f t="shared" ca="1" si="33"/>
        <v>28.611111111111111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19350810</v>
      </c>
      <c r="C445" s="26" t="str">
        <f>INDEX(Data,2,2+MOD(ROWS(C$2:C445)-1,2))</f>
        <v>15.00</v>
      </c>
      <c r="D445" s="41">
        <f t="shared" ca="1" si="31"/>
        <v>759.38379999999995</v>
      </c>
      <c r="E445" s="31">
        <f t="shared" ca="1" si="32"/>
        <v>0</v>
      </c>
      <c r="F445" s="42">
        <f t="shared" ca="1" si="33"/>
        <v>29.444444444444443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19350811</v>
      </c>
      <c r="C446" s="26" t="str">
        <f>INDEX(Data,2,2+MOD(ROWS(C$2:C446)-1,2))</f>
        <v>08.00</v>
      </c>
      <c r="D446" s="41">
        <f t="shared" ca="1" si="31"/>
        <v>760.98399999999992</v>
      </c>
      <c r="E446" s="31">
        <f t="shared" ca="1" si="32"/>
        <v>0</v>
      </c>
      <c r="F446" s="42">
        <f t="shared" ca="1" si="33"/>
        <v>28.611111111111111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19350811</v>
      </c>
      <c r="C447" s="26" t="str">
        <f>INDEX(Data,2,2+MOD(ROWS(C$2:C447)-1,2))</f>
        <v>15.00</v>
      </c>
      <c r="D447" s="41">
        <f t="shared" ca="1" si="31"/>
        <v>759.53620000000001</v>
      </c>
      <c r="E447" s="31">
        <f t="shared" ca="1" si="32"/>
        <v>0</v>
      </c>
      <c r="F447" s="42">
        <f t="shared" ca="1" si="33"/>
        <v>30.277777777777779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19350812</v>
      </c>
      <c r="C448" s="26" t="str">
        <f>INDEX(Data,2,2+MOD(ROWS(C$2:C448)-1,2))</f>
        <v>08.00</v>
      </c>
      <c r="D448" s="41">
        <f t="shared" ca="1" si="31"/>
        <v>761.6952</v>
      </c>
      <c r="E448" s="31">
        <f t="shared" ca="1" si="32"/>
        <v>0</v>
      </c>
      <c r="F448" s="42">
        <f t="shared" ca="1" si="33"/>
        <v>26.944444444444443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19350812</v>
      </c>
      <c r="C449" s="26" t="str">
        <f>INDEX(Data,2,2+MOD(ROWS(C$2:C449)-1,2))</f>
        <v>15.00</v>
      </c>
      <c r="D449" s="41">
        <f t="shared" ca="1" si="31"/>
        <v>759.68859999999995</v>
      </c>
      <c r="E449" s="31">
        <f t="shared" ca="1" si="32"/>
        <v>0</v>
      </c>
      <c r="F449" s="42">
        <f t="shared" ca="1" si="33"/>
        <v>29.166666666666668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19350813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760.57759999999996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28.055555555555557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19350813</v>
      </c>
      <c r="C451" s="26" t="str">
        <f>INDEX(Data,2,2+MOD(ROWS(C$2:C451)-1,2))</f>
        <v>15.00</v>
      </c>
      <c r="D451" s="41">
        <f t="shared" ca="1" si="36"/>
        <v>759.07899999999995</v>
      </c>
      <c r="E451" s="31">
        <f t="shared" ca="1" si="37"/>
        <v>0</v>
      </c>
      <c r="F451" s="42">
        <f t="shared" ca="1" si="38"/>
        <v>30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19350814</v>
      </c>
      <c r="C452" s="26" t="str">
        <f>INDEX(Data,2,2+MOD(ROWS(C$2:C452)-1,2))</f>
        <v>08.00</v>
      </c>
      <c r="D452" s="41">
        <f t="shared" ca="1" si="36"/>
        <v>761.23799999999994</v>
      </c>
      <c r="E452" s="31">
        <f t="shared" ca="1" si="37"/>
        <v>0</v>
      </c>
      <c r="F452" s="42">
        <f t="shared" ca="1" si="38"/>
        <v>28.611111111111111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19350814</v>
      </c>
      <c r="C453" s="26" t="str">
        <f>INDEX(Data,2,2+MOD(ROWS(C$2:C453)-1,2))</f>
        <v>15.00</v>
      </c>
      <c r="D453" s="41">
        <f t="shared" ca="1" si="36"/>
        <v>759.51080000000002</v>
      </c>
      <c r="E453" s="31">
        <f t="shared" ca="1" si="37"/>
        <v>0</v>
      </c>
      <c r="F453" s="42">
        <f t="shared" ca="1" si="38"/>
        <v>30.555555555555557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19350815</v>
      </c>
      <c r="C454" s="26" t="str">
        <f>INDEX(Data,2,2+MOD(ROWS(C$2:C454)-1,2))</f>
        <v>08.00</v>
      </c>
      <c r="D454" s="41">
        <f t="shared" ca="1" si="36"/>
        <v>760.75540000000001</v>
      </c>
      <c r="E454" s="31">
        <f t="shared" ca="1" si="37"/>
        <v>0</v>
      </c>
      <c r="F454" s="42">
        <f t="shared" ca="1" si="38"/>
        <v>28.611111111111111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19350815</v>
      </c>
      <c r="C455" s="26" t="str">
        <f>INDEX(Data,2,2+MOD(ROWS(C$2:C455)-1,2))</f>
        <v>15.00</v>
      </c>
      <c r="D455" s="41">
        <f t="shared" ca="1" si="36"/>
        <v>759.33299999999997</v>
      </c>
      <c r="E455" s="31">
        <f t="shared" ca="1" si="37"/>
        <v>0</v>
      </c>
      <c r="F455" s="42">
        <f t="shared" ca="1" si="38"/>
        <v>30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19350816</v>
      </c>
      <c r="C456" s="26" t="str">
        <f>INDEX(Data,2,2+MOD(ROWS(C$2:C456)-1,2))</f>
        <v>08.00</v>
      </c>
      <c r="D456" s="41">
        <f t="shared" ca="1" si="36"/>
        <v>760.476</v>
      </c>
      <c r="E456" s="31">
        <f t="shared" ca="1" si="37"/>
        <v>0</v>
      </c>
      <c r="F456" s="42">
        <f t="shared" ca="1" si="38"/>
        <v>28.888888888888889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19350816</v>
      </c>
      <c r="C457" s="26" t="str">
        <f>INDEX(Data,2,2+MOD(ROWS(C$2:C457)-1,2))</f>
        <v>15.00</v>
      </c>
      <c r="D457" s="41">
        <f t="shared" ca="1" si="36"/>
        <v>758.74879999999996</v>
      </c>
      <c r="E457" s="31">
        <f t="shared" ca="1" si="37"/>
        <v>0</v>
      </c>
      <c r="F457" s="42">
        <f t="shared" ca="1" si="38"/>
        <v>30.555555555555557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19350817</v>
      </c>
      <c r="C458" s="26" t="str">
        <f>INDEX(Data,2,2+MOD(ROWS(C$2:C458)-1,2))</f>
        <v>08.00</v>
      </c>
      <c r="D458" s="41">
        <f t="shared" ca="1" si="36"/>
        <v>759.73939999999993</v>
      </c>
      <c r="E458" s="31">
        <f t="shared" ca="1" si="37"/>
        <v>0</v>
      </c>
      <c r="F458" s="42">
        <f t="shared" ca="1" si="38"/>
        <v>28.611111111111111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19350817</v>
      </c>
      <c r="C459" s="26" t="str">
        <f>INDEX(Data,2,2+MOD(ROWS(C$2:C459)-1,2))</f>
        <v>15.00</v>
      </c>
      <c r="D459" s="41">
        <f t="shared" ca="1" si="36"/>
        <v>758.52019999999993</v>
      </c>
      <c r="E459" s="31">
        <f t="shared" ca="1" si="37"/>
        <v>0</v>
      </c>
      <c r="F459" s="42">
        <f t="shared" ca="1" si="38"/>
        <v>30.277777777777779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19350818</v>
      </c>
      <c r="C460" s="26" t="str">
        <f>INDEX(Data,2,2+MOD(ROWS(C$2:C460)-1,2))</f>
        <v>08.00</v>
      </c>
      <c r="D460" s="41">
        <f t="shared" ca="1" si="36"/>
        <v>759.99339999999995</v>
      </c>
      <c r="E460" s="31">
        <f t="shared" ca="1" si="37"/>
        <v>0</v>
      </c>
      <c r="F460" s="42">
        <f t="shared" ca="1" si="38"/>
        <v>28.611111111111111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19350818</v>
      </c>
      <c r="C461" s="26" t="str">
        <f>INDEX(Data,2,2+MOD(ROWS(C$2:C461)-1,2))</f>
        <v>15.00</v>
      </c>
      <c r="D461" s="41">
        <f t="shared" ca="1" si="36"/>
        <v>759.33299999999997</v>
      </c>
      <c r="E461" s="31">
        <f t="shared" ca="1" si="37"/>
        <v>0</v>
      </c>
      <c r="F461" s="42">
        <f t="shared" ca="1" si="38"/>
        <v>30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19350819</v>
      </c>
      <c r="C462" s="26" t="str">
        <f>INDEX(Data,2,2+MOD(ROWS(C$2:C462)-1,2))</f>
        <v>08.00</v>
      </c>
      <c r="D462" s="41">
        <f t="shared" ca="1" si="36"/>
        <v>759.43459999999993</v>
      </c>
      <c r="E462" s="31">
        <f t="shared" ca="1" si="37"/>
        <v>0</v>
      </c>
      <c r="F462" s="42">
        <f t="shared" ca="1" si="38"/>
        <v>29.166666666666668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19350819</v>
      </c>
      <c r="C463" s="26" t="str">
        <f>INDEX(Data,2,2+MOD(ROWS(C$2:C463)-1,2))</f>
        <v>15.00</v>
      </c>
      <c r="D463" s="41">
        <f t="shared" ca="1" si="36"/>
        <v>757.45339999999999</v>
      </c>
      <c r="E463" s="31">
        <f t="shared" ca="1" si="37"/>
        <v>0</v>
      </c>
      <c r="F463" s="42">
        <f t="shared" ca="1" si="38"/>
        <v>30.833333333333332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19350820</v>
      </c>
      <c r="C464" s="26" t="str">
        <f>INDEX(Data,2,2+MOD(ROWS(C$2:C464)-1,2))</f>
        <v>08.00</v>
      </c>
      <c r="D464" s="41">
        <f t="shared" ca="1" si="36"/>
        <v>759.94259999999997</v>
      </c>
      <c r="E464" s="31">
        <f t="shared" ca="1" si="37"/>
        <v>0</v>
      </c>
      <c r="F464" s="42">
        <f t="shared" ca="1" si="38"/>
        <v>29.166666666666668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19350820</v>
      </c>
      <c r="C465" s="26" t="str">
        <f>INDEX(Data,2,2+MOD(ROWS(C$2:C465)-1,2))</f>
        <v>15.00</v>
      </c>
      <c r="D465" s="41">
        <f t="shared" ca="1" si="36"/>
        <v>758.21539999999993</v>
      </c>
      <c r="E465" s="31">
        <f t="shared" ca="1" si="37"/>
        <v>0</v>
      </c>
      <c r="F465" s="42">
        <f t="shared" ca="1" si="38"/>
        <v>30.833333333333332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19350821</v>
      </c>
      <c r="C466" s="26" t="str">
        <f>INDEX(Data,2,2+MOD(ROWS(C$2:C466)-1,2))</f>
        <v>08.00</v>
      </c>
      <c r="D466" s="41">
        <f t="shared" ca="1" si="36"/>
        <v>760.70459999999991</v>
      </c>
      <c r="E466" s="31">
        <f t="shared" ca="1" si="37"/>
        <v>0</v>
      </c>
      <c r="F466" s="42">
        <f t="shared" ca="1" si="38"/>
        <v>29.166666666666668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19350821</v>
      </c>
      <c r="C467" s="26" t="str">
        <f>INDEX(Data,2,2+MOD(ROWS(C$2:C467)-1,2))</f>
        <v>15.00</v>
      </c>
      <c r="D467" s="41">
        <f t="shared" ca="1" si="36"/>
        <v>758.41859999999997</v>
      </c>
      <c r="E467" s="31">
        <f t="shared" ca="1" si="37"/>
        <v>0</v>
      </c>
      <c r="F467" s="42">
        <f t="shared" ca="1" si="38"/>
        <v>31.111111111111111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19350822</v>
      </c>
      <c r="C468" s="26" t="str">
        <f>INDEX(Data,2,2+MOD(ROWS(C$2:C468)-1,2))</f>
        <v>08.00</v>
      </c>
      <c r="D468" s="41">
        <f t="shared" ca="1" si="36"/>
        <v>760.65379999999993</v>
      </c>
      <c r="E468" s="31">
        <f t="shared" ca="1" si="37"/>
        <v>0</v>
      </c>
      <c r="F468" s="42">
        <f t="shared" ca="1" si="38"/>
        <v>29.444444444444443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19350822</v>
      </c>
      <c r="C469" s="26" t="str">
        <f>INDEX(Data,2,2+MOD(ROWS(C$2:C469)-1,2))</f>
        <v>15.00</v>
      </c>
      <c r="D469" s="41">
        <f t="shared" ca="1" si="36"/>
        <v>758.92660000000001</v>
      </c>
      <c r="E469" s="31">
        <f t="shared" ca="1" si="37"/>
        <v>0</v>
      </c>
      <c r="F469" s="42">
        <f t="shared" ca="1" si="38"/>
        <v>31.111111111111111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19350823</v>
      </c>
      <c r="C470" s="26" t="str">
        <f>INDEX(Data,2,2+MOD(ROWS(C$2:C470)-1,2))</f>
        <v>08.00</v>
      </c>
      <c r="D470" s="41">
        <f t="shared" ca="1" si="36"/>
        <v>760.70459999999991</v>
      </c>
      <c r="E470" s="31">
        <f t="shared" ca="1" si="37"/>
        <v>0</v>
      </c>
      <c r="F470" s="42">
        <f t="shared" ca="1" si="38"/>
        <v>29.166666666666668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19350823</v>
      </c>
      <c r="C471" s="26" t="str">
        <f>INDEX(Data,2,2+MOD(ROWS(C$2:C471)-1,2))</f>
        <v>15.00</v>
      </c>
      <c r="D471" s="41">
        <f t="shared" ca="1" si="36"/>
        <v>758.49479999999994</v>
      </c>
      <c r="E471" s="31">
        <f t="shared" ca="1" si="37"/>
        <v>0</v>
      </c>
      <c r="F471" s="42">
        <f t="shared" ca="1" si="38"/>
        <v>30.555555555555557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19350824</v>
      </c>
      <c r="C472" s="26" t="str">
        <f>INDEX(Data,2,2+MOD(ROWS(C$2:C472)-1,2))</f>
        <v>08.00</v>
      </c>
      <c r="D472" s="41">
        <f t="shared" ca="1" si="36"/>
        <v>759.94259999999997</v>
      </c>
      <c r="E472" s="31">
        <f t="shared" ca="1" si="37"/>
        <v>0</v>
      </c>
      <c r="F472" s="42">
        <f t="shared" ca="1" si="38"/>
        <v>29.166666666666668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19350824</v>
      </c>
      <c r="C473" s="26" t="str">
        <f>INDEX(Data,2,2+MOD(ROWS(C$2:C473)-1,2))</f>
        <v>15.00</v>
      </c>
      <c r="D473" s="41">
        <f t="shared" ca="1" si="36"/>
        <v>757.75819999999999</v>
      </c>
      <c r="E473" s="31">
        <f t="shared" ca="1" si="37"/>
        <v>0</v>
      </c>
      <c r="F473" s="42">
        <f t="shared" ca="1" si="38"/>
        <v>30.277777777777779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19350825</v>
      </c>
      <c r="C474" s="26" t="str">
        <f>INDEX(Data,2,2+MOD(ROWS(C$2:C474)-1,2))</f>
        <v>08.00</v>
      </c>
      <c r="D474" s="41">
        <f t="shared" ca="1" si="36"/>
        <v>760.04419999999993</v>
      </c>
      <c r="E474" s="31">
        <f t="shared" ca="1" si="37"/>
        <v>0</v>
      </c>
      <c r="F474" s="42">
        <f t="shared" ca="1" si="38"/>
        <v>28.333333333333332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19350825</v>
      </c>
      <c r="C475" s="26" t="str">
        <f>INDEX(Data,2,2+MOD(ROWS(C$2:C475)-1,2))</f>
        <v>15.00</v>
      </c>
      <c r="D475" s="41">
        <f t="shared" ca="1" si="36"/>
        <v>758.26619999999991</v>
      </c>
      <c r="E475" s="31">
        <f t="shared" ca="1" si="37"/>
        <v>0</v>
      </c>
      <c r="F475" s="42">
        <f t="shared" ca="1" si="38"/>
        <v>28.333333333333332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19350826</v>
      </c>
      <c r="C476" s="26" t="str">
        <f>INDEX(Data,2,2+MOD(ROWS(C$2:C476)-1,2))</f>
        <v>08.00</v>
      </c>
      <c r="D476" s="41">
        <f t="shared" ca="1" si="36"/>
        <v>761.06020000000001</v>
      </c>
      <c r="E476" s="31">
        <f t="shared" ca="1" si="37"/>
        <v>0</v>
      </c>
      <c r="F476" s="42">
        <f t="shared" ca="1" si="38"/>
        <v>26.111111111111111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19350826</v>
      </c>
      <c r="C477" s="26" t="str">
        <f>INDEX(Data,2,2+MOD(ROWS(C$2:C477)-1,2))</f>
        <v>15.00</v>
      </c>
      <c r="D477" s="41">
        <f t="shared" ca="1" si="36"/>
        <v>759.28219999999999</v>
      </c>
      <c r="E477" s="31">
        <f t="shared" ca="1" si="37"/>
        <v>0</v>
      </c>
      <c r="F477" s="42">
        <f t="shared" ca="1" si="38"/>
        <v>28.333333333333332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19350827</v>
      </c>
      <c r="C478" s="26" t="str">
        <f>INDEX(Data,2,2+MOD(ROWS(C$2:C478)-1,2))</f>
        <v>08.00</v>
      </c>
      <c r="D478" s="41">
        <f t="shared" ca="1" si="36"/>
        <v>760.65379999999993</v>
      </c>
      <c r="E478" s="31">
        <f t="shared" ca="1" si="37"/>
        <v>0</v>
      </c>
      <c r="F478" s="42">
        <f t="shared" ca="1" si="38"/>
        <v>27.5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19350827</v>
      </c>
      <c r="C479" s="26" t="str">
        <f>INDEX(Data,2,2+MOD(ROWS(C$2:C479)-1,2))</f>
        <v>15.00</v>
      </c>
      <c r="D479" s="41">
        <f t="shared" ca="1" si="36"/>
        <v>758.92660000000001</v>
      </c>
      <c r="E479" s="31">
        <f t="shared" ca="1" si="37"/>
        <v>0</v>
      </c>
      <c r="F479" s="42">
        <f t="shared" ca="1" si="38"/>
        <v>29.166666666666668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19350828</v>
      </c>
      <c r="C480" s="26" t="str">
        <f>INDEX(Data,2,2+MOD(ROWS(C$2:C480)-1,2))</f>
        <v>08.00</v>
      </c>
      <c r="D480" s="41">
        <f t="shared" ca="1" si="36"/>
        <v>761.31419999999991</v>
      </c>
      <c r="E480" s="31">
        <f t="shared" ca="1" si="37"/>
        <v>0</v>
      </c>
      <c r="F480" s="42">
        <f t="shared" ca="1" si="38"/>
        <v>28.055555555555557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19350828</v>
      </c>
      <c r="C481" s="26" t="str">
        <f>INDEX(Data,2,2+MOD(ROWS(C$2:C481)-1,2))</f>
        <v>15.00</v>
      </c>
      <c r="D481" s="41">
        <f t="shared" ca="1" si="36"/>
        <v>758.85039999999992</v>
      </c>
      <c r="E481" s="31">
        <f t="shared" ca="1" si="37"/>
        <v>0</v>
      </c>
      <c r="F481" s="42">
        <f t="shared" ca="1" si="38"/>
        <v>29.722222222222221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19350829</v>
      </c>
      <c r="C482" s="26" t="str">
        <f>INDEX(Data,2,2+MOD(ROWS(C$2:C482)-1,2))</f>
        <v>08.00</v>
      </c>
      <c r="D482" s="41">
        <f t="shared" ca="1" si="36"/>
        <v>761.23799999999994</v>
      </c>
      <c r="E482" s="31">
        <f t="shared" ca="1" si="37"/>
        <v>0</v>
      </c>
      <c r="F482" s="42">
        <f t="shared" ca="1" si="38"/>
        <v>28.611111111111111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19350829</v>
      </c>
      <c r="C483" s="26" t="str">
        <f>INDEX(Data,2,2+MOD(ROWS(C$2:C483)-1,2))</f>
        <v>15.00</v>
      </c>
      <c r="D483" s="41">
        <f t="shared" ca="1" si="36"/>
        <v>759.58699999999999</v>
      </c>
      <c r="E483" s="31">
        <f t="shared" ca="1" si="37"/>
        <v>0</v>
      </c>
      <c r="F483" s="42">
        <f t="shared" ca="1" si="38"/>
        <v>30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19350830</v>
      </c>
      <c r="C484" s="26" t="str">
        <f>INDEX(Data,2,2+MOD(ROWS(C$2:C484)-1,2))</f>
        <v>08.00</v>
      </c>
      <c r="D484" s="41">
        <f t="shared" ca="1" si="36"/>
        <v>761.23799999999994</v>
      </c>
      <c r="E484" s="31">
        <f t="shared" ca="1" si="37"/>
        <v>0</v>
      </c>
      <c r="F484" s="42">
        <f t="shared" ca="1" si="38"/>
        <v>28.611111111111111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19350830</v>
      </c>
      <c r="C485" s="26" t="str">
        <f>INDEX(Data,2,2+MOD(ROWS(C$2:C485)-1,2))</f>
        <v>15.00</v>
      </c>
      <c r="D485" s="41">
        <f t="shared" ca="1" si="36"/>
        <v>759.28219999999999</v>
      </c>
      <c r="E485" s="31">
        <f t="shared" ca="1" si="37"/>
        <v>0</v>
      </c>
      <c r="F485" s="42">
        <f t="shared" ca="1" si="38"/>
        <v>30.277777777777779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19350831</v>
      </c>
      <c r="C486" s="26" t="str">
        <f>INDEX(Data,2,2+MOD(ROWS(C$2:C486)-1,2))</f>
        <v>08.00</v>
      </c>
      <c r="D486" s="41">
        <f t="shared" ca="1" si="36"/>
        <v>761.0856</v>
      </c>
      <c r="E486" s="31">
        <f t="shared" ca="1" si="37"/>
        <v>0</v>
      </c>
      <c r="F486" s="42">
        <f t="shared" ca="1" si="38"/>
        <v>27.777777777777779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19350831</v>
      </c>
      <c r="C487" s="26" t="str">
        <f>INDEX(Data,2,2+MOD(ROWS(C$2:C487)-1,2))</f>
        <v>15.00</v>
      </c>
      <c r="D487" s="41">
        <f t="shared" ca="1" si="36"/>
        <v>759.38379999999995</v>
      </c>
      <c r="E487" s="31">
        <f t="shared" ca="1" si="37"/>
        <v>0</v>
      </c>
      <c r="F487" s="42">
        <f t="shared" ca="1" si="38"/>
        <v>29.444444444444443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19350901</v>
      </c>
      <c r="C488" s="26" t="str">
        <f>INDEX(Data,2,2+MOD(ROWS(C$2:C488)-1,2))</f>
        <v>08.00</v>
      </c>
      <c r="D488" s="41">
        <f t="shared" ca="1" si="36"/>
        <v>761.23799999999994</v>
      </c>
      <c r="E488" s="31">
        <f t="shared" ca="1" si="37"/>
        <v>0</v>
      </c>
      <c r="F488" s="42">
        <f t="shared" ca="1" si="38"/>
        <v>28.611111111111111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19350901</v>
      </c>
      <c r="C489" s="26" t="str">
        <f>INDEX(Data,2,2+MOD(ROWS(C$2:C489)-1,2))</f>
        <v>15.00</v>
      </c>
      <c r="D489" s="41">
        <f t="shared" ca="1" si="36"/>
        <v>759.28219999999999</v>
      </c>
      <c r="E489" s="31">
        <f t="shared" ca="1" si="37"/>
        <v>0</v>
      </c>
      <c r="F489" s="42">
        <f t="shared" ca="1" si="38"/>
        <v>30.277777777777779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19350902</v>
      </c>
      <c r="C490" s="26" t="str">
        <f>INDEX(Data,2,2+MOD(ROWS(C$2:C490)-1,2))</f>
        <v>08.00</v>
      </c>
      <c r="D490" s="41">
        <f t="shared" ca="1" si="36"/>
        <v>761.18719999999996</v>
      </c>
      <c r="E490" s="31">
        <f t="shared" ca="1" si="37"/>
        <v>0</v>
      </c>
      <c r="F490" s="42">
        <f t="shared" ca="1" si="38"/>
        <v>29.166666666666668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19350902</v>
      </c>
      <c r="C491" s="26" t="str">
        <f>INDEX(Data,2,2+MOD(ROWS(C$2:C491)-1,2))</f>
        <v>15.00</v>
      </c>
      <c r="D491" s="41">
        <f t="shared" ca="1" si="36"/>
        <v>758.97739999999999</v>
      </c>
      <c r="E491" s="31">
        <f t="shared" ca="1" si="37"/>
        <v>0</v>
      </c>
      <c r="F491" s="42">
        <f t="shared" ca="1" si="38"/>
        <v>30.833333333333332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19350903</v>
      </c>
      <c r="C492" s="26" t="str">
        <f>INDEX(Data,2,2+MOD(ROWS(C$2:C492)-1,2))</f>
        <v>08.00</v>
      </c>
      <c r="D492" s="41">
        <f t="shared" ca="1" si="36"/>
        <v>760.70459999999991</v>
      </c>
      <c r="E492" s="31">
        <f t="shared" ca="1" si="37"/>
        <v>0</v>
      </c>
      <c r="F492" s="42">
        <f t="shared" ca="1" si="38"/>
        <v>29.166666666666668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19350903</v>
      </c>
      <c r="C493" s="26" t="str">
        <f>INDEX(Data,2,2+MOD(ROWS(C$2:C493)-1,2))</f>
        <v>15.00</v>
      </c>
      <c r="D493" s="41">
        <f t="shared" ca="1" si="36"/>
        <v>758.46939999999995</v>
      </c>
      <c r="E493" s="31">
        <f t="shared" ca="1" si="37"/>
        <v>0</v>
      </c>
      <c r="F493" s="42">
        <f t="shared" ca="1" si="38"/>
        <v>30.833333333333332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19350904</v>
      </c>
      <c r="C494" s="26" t="str">
        <f>INDEX(Data,2,2+MOD(ROWS(C$2:C494)-1,2))</f>
        <v>08.00</v>
      </c>
      <c r="D494" s="41">
        <f t="shared" ca="1" si="36"/>
        <v>760.476</v>
      </c>
      <c r="E494" s="31">
        <f t="shared" ca="1" si="37"/>
        <v>0</v>
      </c>
      <c r="F494" s="42">
        <f t="shared" ca="1" si="38"/>
        <v>28.888888888888889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19350904</v>
      </c>
      <c r="C495" s="26" t="str">
        <f>INDEX(Data,2,2+MOD(ROWS(C$2:C495)-1,2))</f>
        <v>15.00</v>
      </c>
      <c r="D495" s="41">
        <f t="shared" ca="1" si="36"/>
        <v>758.3424</v>
      </c>
      <c r="E495" s="31">
        <f t="shared" ca="1" si="37"/>
        <v>0</v>
      </c>
      <c r="F495" s="42">
        <f t="shared" ca="1" si="38"/>
        <v>29.444444444444443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19350905</v>
      </c>
      <c r="C496" s="26" t="str">
        <f>INDEX(Data,2,2+MOD(ROWS(C$2:C496)-1,2))</f>
        <v>08.00</v>
      </c>
      <c r="D496" s="41">
        <f t="shared" ca="1" si="36"/>
        <v>760.22199999999998</v>
      </c>
      <c r="E496" s="31">
        <f t="shared" ca="1" si="37"/>
        <v>0</v>
      </c>
      <c r="F496" s="42">
        <f t="shared" ca="1" si="38"/>
        <v>28.888888888888889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19350905</v>
      </c>
      <c r="C497" s="26" t="str">
        <f>INDEX(Data,2,2+MOD(ROWS(C$2:C497)-1,2))</f>
        <v>15.00</v>
      </c>
      <c r="D497" s="41">
        <f t="shared" ca="1" si="36"/>
        <v>758.57099999999991</v>
      </c>
      <c r="E497" s="31">
        <f t="shared" ca="1" si="37"/>
        <v>0</v>
      </c>
      <c r="F497" s="42">
        <f t="shared" ca="1" si="38"/>
        <v>30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19350906</v>
      </c>
      <c r="C498" s="26" t="str">
        <f>INDEX(Data,2,2+MOD(ROWS(C$2:C498)-1,2))</f>
        <v>08.00</v>
      </c>
      <c r="D498" s="41">
        <f t="shared" ca="1" si="36"/>
        <v>760.22199999999998</v>
      </c>
      <c r="E498" s="31">
        <f t="shared" ca="1" si="37"/>
        <v>0</v>
      </c>
      <c r="F498" s="42">
        <f t="shared" ca="1" si="38"/>
        <v>28.888888888888889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19350906</v>
      </c>
      <c r="C499" s="26" t="str">
        <f>INDEX(Data,2,2+MOD(ROWS(C$2:C499)-1,2))</f>
        <v>15.00</v>
      </c>
      <c r="D499" s="41">
        <f t="shared" ca="1" si="36"/>
        <v>757.98680000000002</v>
      </c>
      <c r="E499" s="31">
        <f t="shared" ca="1" si="37"/>
        <v>0</v>
      </c>
      <c r="F499" s="42">
        <f t="shared" ca="1" si="38"/>
        <v>30.555555555555557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19350907</v>
      </c>
      <c r="C500" s="26" t="str">
        <f>INDEX(Data,2,2+MOD(ROWS(C$2:C500)-1,2))</f>
        <v>08.00</v>
      </c>
      <c r="D500" s="41">
        <f t="shared" ca="1" si="36"/>
        <v>760.19659999999999</v>
      </c>
      <c r="E500" s="31">
        <f t="shared" ca="1" si="37"/>
        <v>0</v>
      </c>
      <c r="F500" s="42">
        <f t="shared" ca="1" si="38"/>
        <v>29.166666666666668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19350907</v>
      </c>
      <c r="C501" s="26" t="str">
        <f>INDEX(Data,2,2+MOD(ROWS(C$2:C501)-1,2))</f>
        <v>15.00</v>
      </c>
      <c r="D501" s="41">
        <f t="shared" ca="1" si="36"/>
        <v>757.75819999999999</v>
      </c>
      <c r="E501" s="31">
        <f t="shared" ca="1" si="37"/>
        <v>0</v>
      </c>
      <c r="F501" s="42">
        <f t="shared" ca="1" si="38"/>
        <v>30.277777777777779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19350908</v>
      </c>
      <c r="C502" s="26" t="str">
        <f>INDEX(Data,2,2+MOD(ROWS(C$2:C502)-1,2))</f>
        <v>08.00</v>
      </c>
      <c r="D502" s="41">
        <f t="shared" ca="1" si="36"/>
        <v>760.75540000000001</v>
      </c>
      <c r="E502" s="31">
        <f t="shared" ca="1" si="37"/>
        <v>0</v>
      </c>
      <c r="F502" s="42">
        <f t="shared" ca="1" si="38"/>
        <v>28.611111111111111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19350908</v>
      </c>
      <c r="C503" s="26" t="str">
        <f>INDEX(Data,2,2+MOD(ROWS(C$2:C503)-1,2))</f>
        <v>15.00</v>
      </c>
      <c r="D503" s="41">
        <f t="shared" ca="1" si="36"/>
        <v>758.49479999999994</v>
      </c>
      <c r="E503" s="31">
        <f t="shared" ca="1" si="37"/>
        <v>0</v>
      </c>
      <c r="F503" s="42">
        <f t="shared" ca="1" si="38"/>
        <v>30.555555555555557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19350909</v>
      </c>
      <c r="C504" s="26" t="str">
        <f>INDEX(Data,2,2+MOD(ROWS(C$2:C504)-1,2))</f>
        <v>08.00</v>
      </c>
      <c r="D504" s="41">
        <f t="shared" ca="1" si="36"/>
        <v>761.46659999999997</v>
      </c>
      <c r="E504" s="31">
        <f t="shared" ca="1" si="37"/>
        <v>0</v>
      </c>
      <c r="F504" s="42">
        <f t="shared" ca="1" si="38"/>
        <v>28.888888888888889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19350909</v>
      </c>
      <c r="C505" s="26" t="str">
        <f>INDEX(Data,2,2+MOD(ROWS(C$2:C505)-1,2))</f>
        <v>15.00</v>
      </c>
      <c r="D505" s="41">
        <f t="shared" ca="1" si="36"/>
        <v>759.2568</v>
      </c>
      <c r="E505" s="31">
        <f t="shared" ca="1" si="37"/>
        <v>0</v>
      </c>
      <c r="F505" s="42">
        <f t="shared" ca="1" si="38"/>
        <v>30.555555555555557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19350910</v>
      </c>
      <c r="C506" s="26" t="str">
        <f>INDEX(Data,2,2+MOD(ROWS(C$2:C506)-1,2))</f>
        <v>08.00</v>
      </c>
      <c r="D506" s="41">
        <f t="shared" ca="1" si="36"/>
        <v>761.18719999999996</v>
      </c>
      <c r="E506" s="31">
        <f t="shared" ca="1" si="37"/>
        <v>0</v>
      </c>
      <c r="F506" s="42">
        <f t="shared" ca="1" si="38"/>
        <v>29.166666666666668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19350910</v>
      </c>
      <c r="C507" s="26" t="str">
        <f>INDEX(Data,2,2+MOD(ROWS(C$2:C507)-1,2))</f>
        <v>15.00</v>
      </c>
      <c r="D507" s="41">
        <f t="shared" ca="1" si="36"/>
        <v>759.51080000000002</v>
      </c>
      <c r="E507" s="31">
        <f t="shared" ca="1" si="37"/>
        <v>0</v>
      </c>
      <c r="F507" s="42">
        <f t="shared" ca="1" si="38"/>
        <v>30.555555555555557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19350911</v>
      </c>
      <c r="C508" s="26" t="str">
        <f>INDEX(Data,2,2+MOD(ROWS(C$2:C508)-1,2))</f>
        <v>08.00</v>
      </c>
      <c r="D508" s="41">
        <f t="shared" ca="1" si="36"/>
        <v>761.97460000000001</v>
      </c>
      <c r="E508" s="31">
        <f t="shared" ca="1" si="37"/>
        <v>0</v>
      </c>
      <c r="F508" s="42">
        <f t="shared" ca="1" si="38"/>
        <v>28.888888888888889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19350911</v>
      </c>
      <c r="C509" s="26" t="str">
        <f>INDEX(Data,2,2+MOD(ROWS(C$2:C509)-1,2))</f>
        <v>15.00</v>
      </c>
      <c r="D509" s="41">
        <f t="shared" ca="1" si="36"/>
        <v>760.01879999999994</v>
      </c>
      <c r="E509" s="31">
        <f t="shared" ca="1" si="37"/>
        <v>0</v>
      </c>
      <c r="F509" s="42">
        <f t="shared" ca="1" si="38"/>
        <v>30.555555555555557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19350912</v>
      </c>
      <c r="C510" s="26" t="str">
        <f>INDEX(Data,2,2+MOD(ROWS(C$2:C510)-1,2))</f>
        <v>08.00</v>
      </c>
      <c r="D510" s="41">
        <f t="shared" ca="1" si="36"/>
        <v>761.23799999999994</v>
      </c>
      <c r="E510" s="31">
        <f t="shared" ca="1" si="37"/>
        <v>0</v>
      </c>
      <c r="F510" s="42">
        <f t="shared" ca="1" si="38"/>
        <v>28.611111111111111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19350912</v>
      </c>
      <c r="C511" s="26" t="str">
        <f>INDEX(Data,2,2+MOD(ROWS(C$2:C511)-1,2))</f>
        <v>15.00</v>
      </c>
      <c r="D511" s="41">
        <f t="shared" ca="1" si="36"/>
        <v>758.77419999999995</v>
      </c>
      <c r="E511" s="31">
        <f t="shared" ca="1" si="37"/>
        <v>0</v>
      </c>
      <c r="F511" s="42">
        <f t="shared" ca="1" si="38"/>
        <v>30.277777777777779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19350913</v>
      </c>
      <c r="C512" s="26" t="str">
        <f>INDEX(Data,2,2+MOD(ROWS(C$2:C512)-1,2))</f>
        <v>08.00</v>
      </c>
      <c r="D512" s="41">
        <f t="shared" ca="1" si="36"/>
        <v>760.50139999999999</v>
      </c>
      <c r="E512" s="31">
        <f t="shared" ca="1" si="37"/>
        <v>0</v>
      </c>
      <c r="F512" s="42">
        <f t="shared" ca="1" si="38"/>
        <v>28.611111111111111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19350913</v>
      </c>
      <c r="C513" s="26" t="str">
        <f>INDEX(Data,2,2+MOD(ROWS(C$2:C513)-1,2))</f>
        <v>15.00</v>
      </c>
      <c r="D513" s="41">
        <f t="shared" ca="1" si="36"/>
        <v>758.24079999999992</v>
      </c>
      <c r="E513" s="31">
        <f t="shared" ca="1" si="37"/>
        <v>0</v>
      </c>
      <c r="F513" s="42">
        <f t="shared" ca="1" si="38"/>
        <v>30.555555555555557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19350914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760.22199999999998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28.888888888888889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19350914</v>
      </c>
      <c r="C515" s="26" t="str">
        <f>INDEX(Data,2,2+MOD(ROWS(C$2:C515)-1,2))</f>
        <v>15.00</v>
      </c>
      <c r="D515" s="41">
        <f t="shared" ca="1" si="41"/>
        <v>757.98680000000002</v>
      </c>
      <c r="E515" s="31">
        <f t="shared" ca="1" si="42"/>
        <v>0</v>
      </c>
      <c r="F515" s="42">
        <f t="shared" ca="1" si="43"/>
        <v>30.555555555555557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19350915</v>
      </c>
      <c r="C516" s="26" t="str">
        <f>INDEX(Data,2,2+MOD(ROWS(C$2:C516)-1,2))</f>
        <v>08.00</v>
      </c>
      <c r="D516" s="41">
        <f t="shared" ca="1" si="41"/>
        <v>760.65379999999993</v>
      </c>
      <c r="E516" s="31">
        <f t="shared" ca="1" si="42"/>
        <v>0</v>
      </c>
      <c r="F516" s="42">
        <f t="shared" ca="1" si="43"/>
        <v>29.444444444444443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19350915</v>
      </c>
      <c r="C517" s="26" t="str">
        <f>INDEX(Data,2,2+MOD(ROWS(C$2:C517)-1,2))</f>
        <v>15.00</v>
      </c>
      <c r="D517" s="41">
        <f t="shared" ca="1" si="41"/>
        <v>758.21539999999993</v>
      </c>
      <c r="E517" s="31">
        <f t="shared" ca="1" si="42"/>
        <v>0</v>
      </c>
      <c r="F517" s="42">
        <f t="shared" ca="1" si="43"/>
        <v>30.833333333333332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19350916</v>
      </c>
      <c r="C518" s="26" t="str">
        <f>INDEX(Data,2,2+MOD(ROWS(C$2:C518)-1,2))</f>
        <v>08.00</v>
      </c>
      <c r="D518" s="41">
        <f t="shared" ca="1" si="41"/>
        <v>760.22199999999998</v>
      </c>
      <c r="E518" s="31">
        <f t="shared" ca="1" si="42"/>
        <v>0</v>
      </c>
      <c r="F518" s="42">
        <f t="shared" ca="1" si="43"/>
        <v>28.888888888888889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19350916</v>
      </c>
      <c r="C519" s="26" t="str">
        <f>INDEX(Data,2,2+MOD(ROWS(C$2:C519)-1,2))</f>
        <v>15.00</v>
      </c>
      <c r="D519" s="41">
        <f t="shared" ca="1" si="41"/>
        <v>757.75819999999999</v>
      </c>
      <c r="E519" s="31">
        <f t="shared" ca="1" si="42"/>
        <v>0</v>
      </c>
      <c r="F519" s="42">
        <f t="shared" ca="1" si="43"/>
        <v>30.277777777777779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19350917</v>
      </c>
      <c r="C520" s="26" t="str">
        <f>INDEX(Data,2,2+MOD(ROWS(C$2:C520)-1,2))</f>
        <v>08.00</v>
      </c>
      <c r="D520" s="41">
        <f t="shared" ca="1" si="41"/>
        <v>759.73939999999993</v>
      </c>
      <c r="E520" s="31">
        <f t="shared" ca="1" si="42"/>
        <v>0</v>
      </c>
      <c r="F520" s="42">
        <f t="shared" ca="1" si="43"/>
        <v>28.611111111111111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19350917</v>
      </c>
      <c r="C521" s="26" t="str">
        <f>INDEX(Data,2,2+MOD(ROWS(C$2:C521)-1,2))</f>
        <v>15.00</v>
      </c>
      <c r="D521" s="41">
        <f t="shared" ca="1" si="41"/>
        <v>758.06299999999999</v>
      </c>
      <c r="E521" s="31">
        <f t="shared" ca="1" si="42"/>
        <v>0</v>
      </c>
      <c r="F521" s="42">
        <f t="shared" ca="1" si="43"/>
        <v>30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19350918</v>
      </c>
      <c r="C522" s="26" t="str">
        <f>INDEX(Data,2,2+MOD(ROWS(C$2:C522)-1,2))</f>
        <v>08.00</v>
      </c>
      <c r="D522" s="41">
        <f t="shared" ca="1" si="41"/>
        <v>760.73</v>
      </c>
      <c r="E522" s="31">
        <f t="shared" ca="1" si="42"/>
        <v>0</v>
      </c>
      <c r="F522" s="42">
        <f t="shared" ca="1" si="43"/>
        <v>28.888888888888889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19350918</v>
      </c>
      <c r="C523" s="26" t="str">
        <f>INDEX(Data,2,2+MOD(ROWS(C$2:C523)-1,2))</f>
        <v>15.00</v>
      </c>
      <c r="D523" s="41">
        <f t="shared" ca="1" si="41"/>
        <v>758.82499999999993</v>
      </c>
      <c r="E523" s="31">
        <f t="shared" ca="1" si="42"/>
        <v>0</v>
      </c>
      <c r="F523" s="42">
        <f t="shared" ca="1" si="43"/>
        <v>30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19350919</v>
      </c>
      <c r="C524" s="26" t="str">
        <f>INDEX(Data,2,2+MOD(ROWS(C$2:C524)-1,2))</f>
        <v>08.00</v>
      </c>
      <c r="D524" s="41">
        <f t="shared" ca="1" si="41"/>
        <v>761.74599999999998</v>
      </c>
      <c r="E524" s="31">
        <f t="shared" ca="1" si="42"/>
        <v>0</v>
      </c>
      <c r="F524" s="42">
        <f t="shared" ca="1" si="43"/>
        <v>28.611111111111111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19350919</v>
      </c>
      <c r="C525" s="26" t="str">
        <f>INDEX(Data,2,2+MOD(ROWS(C$2:C525)-1,2))</f>
        <v>15.00</v>
      </c>
      <c r="D525" s="41">
        <f t="shared" ca="1" si="41"/>
        <v>758.82499999999993</v>
      </c>
      <c r="E525" s="31">
        <f t="shared" ca="1" si="42"/>
        <v>0</v>
      </c>
      <c r="F525" s="42">
        <f t="shared" ca="1" si="43"/>
        <v>30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19350920</v>
      </c>
      <c r="C526" s="26" t="str">
        <f>INDEX(Data,2,2+MOD(ROWS(C$2:C526)-1,2))</f>
        <v>08.00</v>
      </c>
      <c r="D526" s="41">
        <f t="shared" ca="1" si="41"/>
        <v>761.46659999999997</v>
      </c>
      <c r="E526" s="31">
        <f t="shared" ca="1" si="42"/>
        <v>0</v>
      </c>
      <c r="F526" s="42">
        <f t="shared" ca="1" si="43"/>
        <v>28.888888888888889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19350920</v>
      </c>
      <c r="C527" s="26" t="str">
        <f>INDEX(Data,2,2+MOD(ROWS(C$2:C527)-1,2))</f>
        <v>15.00</v>
      </c>
      <c r="D527" s="41">
        <f t="shared" ca="1" si="41"/>
        <v>759.02819999999997</v>
      </c>
      <c r="E527" s="31">
        <f t="shared" ca="1" si="42"/>
        <v>0</v>
      </c>
      <c r="F527" s="42">
        <f t="shared" ca="1" si="43"/>
        <v>30.277777777777779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19350921</v>
      </c>
      <c r="C528" s="26" t="str">
        <f>INDEX(Data,2,2+MOD(ROWS(C$2:C528)-1,2))</f>
        <v>08.00</v>
      </c>
      <c r="D528" s="41">
        <f t="shared" ca="1" si="41"/>
        <v>760.22199999999998</v>
      </c>
      <c r="E528" s="31">
        <f t="shared" ca="1" si="42"/>
        <v>0</v>
      </c>
      <c r="F528" s="42">
        <f t="shared" ca="1" si="43"/>
        <v>28.888888888888889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19350921</v>
      </c>
      <c r="C529" s="26" t="str">
        <f>INDEX(Data,2,2+MOD(ROWS(C$2:C529)-1,2))</f>
        <v>15.00</v>
      </c>
      <c r="D529" s="41">
        <f t="shared" ca="1" si="41"/>
        <v>757.45339999999999</v>
      </c>
      <c r="E529" s="31">
        <f t="shared" ca="1" si="42"/>
        <v>0</v>
      </c>
      <c r="F529" s="42">
        <f t="shared" ca="1" si="43"/>
        <v>30.833333333333332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19350922</v>
      </c>
      <c r="C530" s="26" t="str">
        <f>INDEX(Data,2,2+MOD(ROWS(C$2:C530)-1,2))</f>
        <v>08.00</v>
      </c>
      <c r="D530" s="41">
        <f t="shared" ca="1" si="41"/>
        <v>760.19659999999999</v>
      </c>
      <c r="E530" s="31">
        <f t="shared" ca="1" si="42"/>
        <v>0</v>
      </c>
      <c r="F530" s="42">
        <f t="shared" ca="1" si="43"/>
        <v>28.888888888888889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19350922</v>
      </c>
      <c r="C531" s="26" t="str">
        <f>INDEX(Data,2,2+MOD(ROWS(C$2:C531)-1,2))</f>
        <v>15.00</v>
      </c>
      <c r="D531" s="41">
        <f t="shared" ca="1" si="41"/>
        <v>757.75819999999999</v>
      </c>
      <c r="E531" s="31">
        <f t="shared" ca="1" si="42"/>
        <v>0</v>
      </c>
      <c r="F531" s="42">
        <f t="shared" ca="1" si="43"/>
        <v>30.277777777777779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19350923</v>
      </c>
      <c r="C532" s="26" t="str">
        <f>INDEX(Data,2,2+MOD(ROWS(C$2:C532)-1,2))</f>
        <v>08.00</v>
      </c>
      <c r="D532" s="41">
        <f t="shared" ca="1" si="41"/>
        <v>760.32359999999994</v>
      </c>
      <c r="E532" s="31">
        <f t="shared" ca="1" si="42"/>
        <v>0</v>
      </c>
      <c r="F532" s="42">
        <f t="shared" ca="1" si="43"/>
        <v>28.055555555555557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19350923</v>
      </c>
      <c r="C533" s="26" t="str">
        <f>INDEX(Data,2,2+MOD(ROWS(C$2:C533)-1,2))</f>
        <v>15.00</v>
      </c>
      <c r="D533" s="41">
        <f t="shared" ca="1" si="41"/>
        <v>758.06299999999999</v>
      </c>
      <c r="E533" s="31">
        <f t="shared" ca="1" si="42"/>
        <v>0</v>
      </c>
      <c r="F533" s="42">
        <f t="shared" ca="1" si="43"/>
        <v>30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19350924</v>
      </c>
      <c r="C534" s="26" t="str">
        <f>INDEX(Data,2,2+MOD(ROWS(C$2:C534)-1,2))</f>
        <v>08.00</v>
      </c>
      <c r="D534" s="41">
        <f t="shared" ca="1" si="41"/>
        <v>760.50139999999999</v>
      </c>
      <c r="E534" s="31">
        <f t="shared" ca="1" si="42"/>
        <v>0</v>
      </c>
      <c r="F534" s="42">
        <f t="shared" ca="1" si="43"/>
        <v>28.611111111111111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19350924</v>
      </c>
      <c r="C535" s="26" t="str">
        <f>INDEX(Data,2,2+MOD(ROWS(C$2:C535)-1,2))</f>
        <v>15.00</v>
      </c>
      <c r="D535" s="41">
        <f t="shared" ca="1" si="41"/>
        <v>757.85979999999995</v>
      </c>
      <c r="E535" s="31">
        <f t="shared" ca="1" si="42"/>
        <v>0</v>
      </c>
      <c r="F535" s="42">
        <f t="shared" ca="1" si="43"/>
        <v>29.444444444444443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19350925</v>
      </c>
      <c r="C536" s="26" t="str">
        <f>INDEX(Data,2,2+MOD(ROWS(C$2:C536)-1,2))</f>
        <v>08.00</v>
      </c>
      <c r="D536" s="41">
        <f t="shared" ca="1" si="41"/>
        <v>760.83159999999998</v>
      </c>
      <c r="E536" s="31">
        <f t="shared" ca="1" si="42"/>
        <v>0</v>
      </c>
      <c r="F536" s="42">
        <f t="shared" ca="1" si="43"/>
        <v>28.055555555555557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19350925</v>
      </c>
      <c r="C537" s="26" t="str">
        <f>INDEX(Data,2,2+MOD(ROWS(C$2:C537)-1,2))</f>
        <v>15.00</v>
      </c>
      <c r="D537" s="41">
        <f t="shared" ca="1" si="41"/>
        <v>757.09780000000001</v>
      </c>
      <c r="E537" s="31">
        <f t="shared" ca="1" si="42"/>
        <v>0</v>
      </c>
      <c r="F537" s="42">
        <f t="shared" ca="1" si="43"/>
        <v>29.444444444444443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19350926</v>
      </c>
      <c r="C538" s="26" t="str">
        <f>INDEX(Data,2,2+MOD(ROWS(C$2:C538)-1,2))</f>
        <v>08.00</v>
      </c>
      <c r="D538" s="41">
        <f t="shared" ca="1" si="41"/>
        <v>759.79019999999991</v>
      </c>
      <c r="E538" s="31">
        <f t="shared" ca="1" si="42"/>
        <v>0</v>
      </c>
      <c r="F538" s="42">
        <f t="shared" ca="1" si="43"/>
        <v>28.333333333333332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19350926</v>
      </c>
      <c r="C539" s="26" t="str">
        <f>INDEX(Data,2,2+MOD(ROWS(C$2:C539)-1,2))</f>
        <v>15.00</v>
      </c>
      <c r="D539" s="41">
        <f t="shared" ca="1" si="41"/>
        <v>757.07240000000002</v>
      </c>
      <c r="E539" s="31">
        <f t="shared" ca="1" si="42"/>
        <v>0</v>
      </c>
      <c r="F539" s="42">
        <f t="shared" ca="1" si="43"/>
        <v>29.722222222222221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19350927</v>
      </c>
      <c r="C540" s="26" t="str">
        <f>INDEX(Data,2,2+MOD(ROWS(C$2:C540)-1,2))</f>
        <v>08.00</v>
      </c>
      <c r="D540" s="41">
        <f t="shared" ca="1" si="41"/>
        <v>760.80619999999999</v>
      </c>
      <c r="E540" s="31">
        <f t="shared" ca="1" si="42"/>
        <v>0</v>
      </c>
      <c r="F540" s="42">
        <f t="shared" ca="1" si="43"/>
        <v>28.333333333333332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19350927</v>
      </c>
      <c r="C541" s="26" t="str">
        <f>INDEX(Data,2,2+MOD(ROWS(C$2:C541)-1,2))</f>
        <v>15.00</v>
      </c>
      <c r="D541" s="41">
        <f t="shared" ca="1" si="41"/>
        <v>758.59640000000002</v>
      </c>
      <c r="E541" s="31">
        <f t="shared" ca="1" si="42"/>
        <v>0</v>
      </c>
      <c r="F541" s="42">
        <f t="shared" ca="1" si="43"/>
        <v>29.722222222222221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19350928</v>
      </c>
      <c r="C542" s="26" t="str">
        <f>INDEX(Data,2,2+MOD(ROWS(C$2:C542)-1,2))</f>
        <v>08.00</v>
      </c>
      <c r="D542" s="41">
        <f t="shared" ca="1" si="41"/>
        <v>760.83159999999998</v>
      </c>
      <c r="E542" s="31">
        <f t="shared" ca="1" si="42"/>
        <v>0</v>
      </c>
      <c r="F542" s="42">
        <f t="shared" ca="1" si="43"/>
        <v>28.055555555555557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19350928</v>
      </c>
      <c r="C543" s="26" t="str">
        <f>INDEX(Data,2,2+MOD(ROWS(C$2:C543)-1,2))</f>
        <v>15.00</v>
      </c>
      <c r="D543" s="41">
        <f t="shared" ca="1" si="41"/>
        <v>758.3424</v>
      </c>
      <c r="E543" s="31">
        <f t="shared" ca="1" si="42"/>
        <v>0</v>
      </c>
      <c r="F543" s="42">
        <f t="shared" ca="1" si="43"/>
        <v>29.722222222222221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19350929</v>
      </c>
      <c r="C544" s="26" t="str">
        <f>INDEX(Data,2,2+MOD(ROWS(C$2:C544)-1,2))</f>
        <v>08.00</v>
      </c>
      <c r="D544" s="41">
        <f t="shared" ca="1" si="41"/>
        <v>760.57759999999996</v>
      </c>
      <c r="E544" s="31">
        <f t="shared" ca="1" si="42"/>
        <v>0</v>
      </c>
      <c r="F544" s="42">
        <f t="shared" ca="1" si="43"/>
        <v>28.055555555555557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19350929</v>
      </c>
      <c r="C545" s="26" t="str">
        <f>INDEX(Data,2,2+MOD(ROWS(C$2:C545)-1,2))</f>
        <v>15.00</v>
      </c>
      <c r="D545" s="41">
        <f t="shared" ca="1" si="41"/>
        <v>758.06299999999999</v>
      </c>
      <c r="E545" s="31">
        <f t="shared" ca="1" si="42"/>
        <v>0</v>
      </c>
      <c r="F545" s="42">
        <f t="shared" ca="1" si="43"/>
        <v>30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19350930</v>
      </c>
      <c r="C546" s="26" t="str">
        <f>INDEX(Data,2,2+MOD(ROWS(C$2:C546)-1,2))</f>
        <v>08.00</v>
      </c>
      <c r="D546" s="41">
        <f t="shared" ca="1" si="41"/>
        <v>760.32359999999994</v>
      </c>
      <c r="E546" s="31">
        <f t="shared" ca="1" si="42"/>
        <v>0</v>
      </c>
      <c r="F546" s="42">
        <f t="shared" ca="1" si="43"/>
        <v>28.055555555555557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19350930</v>
      </c>
      <c r="C547" s="26" t="str">
        <f>INDEX(Data,2,2+MOD(ROWS(C$2:C547)-1,2))</f>
        <v>15.00</v>
      </c>
      <c r="D547" s="41">
        <f t="shared" ca="1" si="41"/>
        <v>758.59640000000002</v>
      </c>
      <c r="E547" s="31">
        <f t="shared" ca="1" si="42"/>
        <v>0</v>
      </c>
      <c r="F547" s="42">
        <f t="shared" ca="1" si="43"/>
        <v>29.722222222222221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19351001</v>
      </c>
      <c r="C548" s="26" t="str">
        <f>INDEX(Data,2,2+MOD(ROWS(C$2:C548)-1,2))</f>
        <v>08.00</v>
      </c>
      <c r="D548" s="41">
        <f t="shared" ca="1" si="41"/>
        <v>760.06959999999992</v>
      </c>
      <c r="E548" s="31">
        <f t="shared" ca="1" si="42"/>
        <v>0</v>
      </c>
      <c r="F548" s="42">
        <f t="shared" ca="1" si="43"/>
        <v>28.055555555555557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19351001</v>
      </c>
      <c r="C549" s="26" t="str">
        <f>INDEX(Data,2,2+MOD(ROWS(C$2:C549)-1,2))</f>
        <v>15.00</v>
      </c>
      <c r="D549" s="41">
        <f t="shared" ca="1" si="41"/>
        <v>758.06299999999999</v>
      </c>
      <c r="E549" s="31">
        <f t="shared" ca="1" si="42"/>
        <v>0</v>
      </c>
      <c r="F549" s="42">
        <f t="shared" ca="1" si="43"/>
        <v>30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19351002</v>
      </c>
      <c r="C550" s="26" t="str">
        <f>INDEX(Data,2,2+MOD(ROWS(C$2:C550)-1,2))</f>
        <v>08.00</v>
      </c>
      <c r="D550" s="41">
        <f t="shared" ca="1" si="41"/>
        <v>760.29819999999995</v>
      </c>
      <c r="E550" s="31">
        <f t="shared" ca="1" si="42"/>
        <v>0</v>
      </c>
      <c r="F550" s="42">
        <f t="shared" ca="1" si="43"/>
        <v>28.333333333333332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19351002</v>
      </c>
      <c r="C551" s="26" t="str">
        <f>INDEX(Data,2,2+MOD(ROWS(C$2:C551)-1,2))</f>
        <v>15.00</v>
      </c>
      <c r="D551" s="41">
        <f t="shared" ca="1" si="41"/>
        <v>757.83439999999996</v>
      </c>
      <c r="E551" s="31">
        <f t="shared" ca="1" si="42"/>
        <v>0</v>
      </c>
      <c r="F551" s="42">
        <f t="shared" ca="1" si="43"/>
        <v>29.722222222222221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19351003</v>
      </c>
      <c r="C552" s="26" t="str">
        <f>INDEX(Data,2,2+MOD(ROWS(C$2:C552)-1,2))</f>
        <v>08.00</v>
      </c>
      <c r="D552" s="41">
        <f t="shared" ca="1" si="41"/>
        <v>758.97739999999999</v>
      </c>
      <c r="E552" s="31">
        <f t="shared" ca="1" si="42"/>
        <v>0</v>
      </c>
      <c r="F552" s="42">
        <f t="shared" ca="1" si="43"/>
        <v>28.611111111111111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19351003</v>
      </c>
      <c r="C553" s="26" t="str">
        <f>INDEX(Data,2,2+MOD(ROWS(C$2:C553)-1,2))</f>
        <v>15.00</v>
      </c>
      <c r="D553" s="41">
        <f t="shared" ca="1" si="41"/>
        <v>757.32639999999992</v>
      </c>
      <c r="E553" s="31">
        <f t="shared" ca="1" si="42"/>
        <v>0</v>
      </c>
      <c r="F553" s="42">
        <f t="shared" ca="1" si="43"/>
        <v>29.722222222222221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19351004</v>
      </c>
      <c r="C554" s="26" t="str">
        <f>INDEX(Data,2,2+MOD(ROWS(C$2:C554)-1,2))</f>
        <v>08.00</v>
      </c>
      <c r="D554" s="41">
        <f t="shared" ca="1" si="41"/>
        <v>760.29819999999995</v>
      </c>
      <c r="E554" s="31">
        <f t="shared" ca="1" si="42"/>
        <v>0</v>
      </c>
      <c r="F554" s="42">
        <f t="shared" ca="1" si="43"/>
        <v>28.333333333333332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19351004</v>
      </c>
      <c r="C555" s="26" t="str">
        <f>INDEX(Data,2,2+MOD(ROWS(C$2:C555)-1,2))</f>
        <v>15.00</v>
      </c>
      <c r="D555" s="41">
        <f t="shared" ca="1" si="41"/>
        <v>758.06299999999999</v>
      </c>
      <c r="E555" s="31">
        <f t="shared" ca="1" si="42"/>
        <v>0</v>
      </c>
      <c r="F555" s="42">
        <f t="shared" ca="1" si="43"/>
        <v>30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19351005</v>
      </c>
      <c r="C556" s="26" t="str">
        <f>INDEX(Data,2,2+MOD(ROWS(C$2:C556)-1,2))</f>
        <v>08.00</v>
      </c>
      <c r="D556" s="41">
        <f t="shared" ca="1" si="41"/>
        <v>760.50139999999999</v>
      </c>
      <c r="E556" s="31">
        <f t="shared" ca="1" si="42"/>
        <v>0</v>
      </c>
      <c r="F556" s="42">
        <f t="shared" ca="1" si="43"/>
        <v>28.611111111111111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19351005</v>
      </c>
      <c r="C557" s="26" t="str">
        <f>INDEX(Data,2,2+MOD(ROWS(C$2:C557)-1,2))</f>
        <v>15.00</v>
      </c>
      <c r="D557" s="41">
        <f t="shared" ca="1" si="41"/>
        <v>758.3424</v>
      </c>
      <c r="E557" s="31">
        <f t="shared" ca="1" si="42"/>
        <v>0</v>
      </c>
      <c r="F557" s="42">
        <f t="shared" ca="1" si="43"/>
        <v>29.722222222222221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19351006</v>
      </c>
      <c r="C558" s="26" t="str">
        <f>INDEX(Data,2,2+MOD(ROWS(C$2:C558)-1,2))</f>
        <v>08.00</v>
      </c>
      <c r="D558" s="41">
        <f t="shared" ca="1" si="41"/>
        <v>759.79019999999991</v>
      </c>
      <c r="E558" s="31">
        <f t="shared" ca="1" si="42"/>
        <v>0</v>
      </c>
      <c r="F558" s="42">
        <f t="shared" ca="1" si="43"/>
        <v>28.333333333333332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19351006</v>
      </c>
      <c r="C559" s="26" t="str">
        <f>INDEX(Data,2,2+MOD(ROWS(C$2:C559)-1,2))</f>
        <v>15.00</v>
      </c>
      <c r="D559" s="41">
        <f t="shared" ca="1" si="41"/>
        <v>757.85979999999995</v>
      </c>
      <c r="E559" s="31">
        <f t="shared" ca="1" si="42"/>
        <v>0</v>
      </c>
      <c r="F559" s="42">
        <f t="shared" ca="1" si="43"/>
        <v>29.444444444444443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19351007</v>
      </c>
      <c r="C560" s="26" t="str">
        <f>INDEX(Data,2,2+MOD(ROWS(C$2:C560)-1,2))</f>
        <v>08.00</v>
      </c>
      <c r="D560" s="41">
        <f t="shared" ca="1" si="41"/>
        <v>759.02819999999997</v>
      </c>
      <c r="E560" s="31">
        <f t="shared" ca="1" si="42"/>
        <v>0</v>
      </c>
      <c r="F560" s="42">
        <f t="shared" ca="1" si="43"/>
        <v>28.333333333333332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19351007</v>
      </c>
      <c r="C561" s="26" t="str">
        <f>INDEX(Data,2,2+MOD(ROWS(C$2:C561)-1,2))</f>
        <v>15.00</v>
      </c>
      <c r="D561" s="41">
        <f t="shared" ca="1" si="41"/>
        <v>755.67539999999997</v>
      </c>
      <c r="E561" s="31">
        <f t="shared" ca="1" si="42"/>
        <v>0</v>
      </c>
      <c r="F561" s="42">
        <f t="shared" ca="1" si="43"/>
        <v>28.888888888888889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19351008</v>
      </c>
      <c r="C562" s="26" t="str">
        <f>INDEX(Data,2,2+MOD(ROWS(C$2:C562)-1,2))</f>
        <v>08.00</v>
      </c>
      <c r="D562" s="41">
        <f t="shared" ca="1" si="41"/>
        <v>758.52019999999993</v>
      </c>
      <c r="E562" s="31">
        <f t="shared" ca="1" si="42"/>
        <v>0</v>
      </c>
      <c r="F562" s="42">
        <f t="shared" ca="1" si="43"/>
        <v>28.333333333333332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19351008</v>
      </c>
      <c r="C563" s="26" t="str">
        <f>INDEX(Data,2,2+MOD(ROWS(C$2:C563)-1,2))</f>
        <v>15.00</v>
      </c>
      <c r="D563" s="41">
        <f t="shared" ca="1" si="41"/>
        <v>755.77699999999993</v>
      </c>
      <c r="E563" s="31">
        <f t="shared" ca="1" si="42"/>
        <v>0</v>
      </c>
      <c r="F563" s="42">
        <f t="shared" ca="1" si="43"/>
        <v>30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19351009</v>
      </c>
      <c r="C564" s="26" t="str">
        <f>INDEX(Data,2,2+MOD(ROWS(C$2:C564)-1,2))</f>
        <v>08.00</v>
      </c>
      <c r="D564" s="41">
        <f t="shared" ca="1" si="41"/>
        <v>759.99339999999995</v>
      </c>
      <c r="E564" s="31">
        <f t="shared" ca="1" si="42"/>
        <v>0</v>
      </c>
      <c r="F564" s="42">
        <f t="shared" ca="1" si="43"/>
        <v>28.611111111111111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19351009</v>
      </c>
      <c r="C565" s="26" t="str">
        <f>INDEX(Data,2,2+MOD(ROWS(C$2:C565)-1,2))</f>
        <v>15.00</v>
      </c>
      <c r="D565" s="41">
        <f t="shared" ca="1" si="41"/>
        <v>758.62180000000001</v>
      </c>
      <c r="E565" s="31">
        <f t="shared" ca="1" si="42"/>
        <v>0</v>
      </c>
      <c r="F565" s="42">
        <f t="shared" ca="1" si="43"/>
        <v>29.444444444444443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19351010</v>
      </c>
      <c r="C566" s="26" t="str">
        <f>INDEX(Data,2,2+MOD(ROWS(C$2:C566)-1,2))</f>
        <v>08.00</v>
      </c>
      <c r="D566" s="41">
        <f t="shared" ca="1" si="41"/>
        <v>761.49199999999996</v>
      </c>
      <c r="E566" s="31">
        <f t="shared" ca="1" si="42"/>
        <v>0</v>
      </c>
      <c r="F566" s="42">
        <f t="shared" ca="1" si="43"/>
        <v>28.611111111111111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19351010</v>
      </c>
      <c r="C567" s="26" t="str">
        <f>INDEX(Data,2,2+MOD(ROWS(C$2:C567)-1,2))</f>
        <v>15.00</v>
      </c>
      <c r="D567" s="41">
        <f t="shared" ca="1" si="41"/>
        <v>760.12040000000002</v>
      </c>
      <c r="E567" s="31">
        <f t="shared" ca="1" si="42"/>
        <v>0</v>
      </c>
      <c r="F567" s="42">
        <f t="shared" ca="1" si="43"/>
        <v>29.722222222222221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19351011</v>
      </c>
      <c r="C568" s="26" t="str">
        <f>INDEX(Data,2,2+MOD(ROWS(C$2:C568)-1,2))</f>
        <v>08.00</v>
      </c>
      <c r="D568" s="41">
        <f t="shared" ca="1" si="41"/>
        <v>762.22859999999991</v>
      </c>
      <c r="E568" s="31">
        <f t="shared" ca="1" si="42"/>
        <v>0</v>
      </c>
      <c r="F568" s="42">
        <f t="shared" ca="1" si="43"/>
        <v>28.888888888888889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19351011</v>
      </c>
      <c r="C569" s="26" t="str">
        <f>INDEX(Data,2,2+MOD(ROWS(C$2:C569)-1,2))</f>
        <v>15.00</v>
      </c>
      <c r="D569" s="41">
        <f t="shared" ca="1" si="41"/>
        <v>759.33299999999997</v>
      </c>
      <c r="E569" s="31">
        <f t="shared" ca="1" si="42"/>
        <v>0</v>
      </c>
      <c r="F569" s="42">
        <f t="shared" ca="1" si="43"/>
        <v>30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19351012</v>
      </c>
      <c r="C570" s="26" t="str">
        <f>INDEX(Data,2,2+MOD(ROWS(C$2:C570)-1,2))</f>
        <v>08.00</v>
      </c>
      <c r="D570" s="41">
        <f t="shared" ca="1" si="41"/>
        <v>760.98399999999992</v>
      </c>
      <c r="E570" s="31">
        <f t="shared" ca="1" si="42"/>
        <v>0</v>
      </c>
      <c r="F570" s="42">
        <f t="shared" ca="1" si="43"/>
        <v>28.611111111111111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19351012</v>
      </c>
      <c r="C571" s="26" t="str">
        <f>INDEX(Data,2,2+MOD(ROWS(C$2:C571)-1,2))</f>
        <v>15.00</v>
      </c>
      <c r="D571" s="41">
        <f t="shared" ca="1" si="41"/>
        <v>758.3424</v>
      </c>
      <c r="E571" s="31">
        <f t="shared" ca="1" si="42"/>
        <v>0</v>
      </c>
      <c r="F571" s="42">
        <f t="shared" ca="1" si="43"/>
        <v>29.722222222222221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19351013</v>
      </c>
      <c r="C572" s="26" t="str">
        <f>INDEX(Data,2,2+MOD(ROWS(C$2:C572)-1,2))</f>
        <v>08.00</v>
      </c>
      <c r="D572" s="41">
        <f t="shared" ca="1" si="41"/>
        <v>759.99339999999995</v>
      </c>
      <c r="E572" s="31">
        <f t="shared" ca="1" si="42"/>
        <v>0</v>
      </c>
      <c r="F572" s="42">
        <f t="shared" ca="1" si="43"/>
        <v>28.611111111111111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19351013</v>
      </c>
      <c r="C573" s="26" t="str">
        <f>INDEX(Data,2,2+MOD(ROWS(C$2:C573)-1,2))</f>
        <v>15.00</v>
      </c>
      <c r="D573" s="41">
        <f t="shared" ca="1" si="41"/>
        <v>758.06299999999999</v>
      </c>
      <c r="E573" s="31">
        <f t="shared" ca="1" si="42"/>
        <v>0</v>
      </c>
      <c r="F573" s="42">
        <f t="shared" ca="1" si="43"/>
        <v>30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19351014</v>
      </c>
      <c r="C574" s="26" t="str">
        <f>INDEX(Data,2,2+MOD(ROWS(C$2:C574)-1,2))</f>
        <v>08.00</v>
      </c>
      <c r="D574" s="41">
        <f t="shared" ca="1" si="41"/>
        <v>759.79019999999991</v>
      </c>
      <c r="E574" s="31">
        <f t="shared" ca="1" si="42"/>
        <v>0</v>
      </c>
      <c r="F574" s="42">
        <f t="shared" ca="1" si="43"/>
        <v>28.333333333333332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19351014</v>
      </c>
      <c r="C575" s="26" t="str">
        <f>INDEX(Data,2,2+MOD(ROWS(C$2:C575)-1,2))</f>
        <v>15.00</v>
      </c>
      <c r="D575" s="41">
        <f t="shared" ca="1" si="41"/>
        <v>757.04700000000003</v>
      </c>
      <c r="E575" s="31">
        <f t="shared" ca="1" si="42"/>
        <v>0</v>
      </c>
      <c r="F575" s="42">
        <f t="shared" ca="1" si="43"/>
        <v>30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19351015</v>
      </c>
      <c r="C576" s="26" t="str">
        <f>INDEX(Data,2,2+MOD(ROWS(C$2:C576)-1,2))</f>
        <v>08.00</v>
      </c>
      <c r="D576" s="41">
        <f t="shared" ca="1" si="41"/>
        <v>759.81560000000002</v>
      </c>
      <c r="E576" s="31">
        <f t="shared" ca="1" si="42"/>
        <v>0</v>
      </c>
      <c r="F576" s="42">
        <f t="shared" ca="1" si="43"/>
        <v>28.055555555555557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19351015</v>
      </c>
      <c r="C577" s="26" t="str">
        <f>INDEX(Data,2,2+MOD(ROWS(C$2:C577)-1,2))</f>
        <v>15.00</v>
      </c>
      <c r="D577" s="41">
        <f t="shared" ca="1" si="41"/>
        <v>756.99619999999993</v>
      </c>
      <c r="E577" s="31">
        <f t="shared" ca="1" si="42"/>
        <v>0</v>
      </c>
      <c r="F577" s="42">
        <f t="shared" ca="1" si="43"/>
        <v>28.333333333333332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19351016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759.30759999999998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28.055555555555557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19351016</v>
      </c>
      <c r="C579" s="26" t="str">
        <f>INDEX(Data,2,2+MOD(ROWS(C$2:C579)-1,2))</f>
        <v>15.00</v>
      </c>
      <c r="D579" s="41">
        <f t="shared" ca="1" si="46"/>
        <v>756.31039999999996</v>
      </c>
      <c r="E579" s="31">
        <f t="shared" ca="1" si="47"/>
        <v>0</v>
      </c>
      <c r="F579" s="42">
        <f t="shared" ca="1" si="48"/>
        <v>29.722222222222221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19351017</v>
      </c>
      <c r="C580" s="26" t="str">
        <f>INDEX(Data,2,2+MOD(ROWS(C$2:C580)-1,2))</f>
        <v>08.00</v>
      </c>
      <c r="D580" s="41">
        <f t="shared" ca="1" si="46"/>
        <v>758.77419999999995</v>
      </c>
      <c r="E580" s="31">
        <f t="shared" ca="1" si="47"/>
        <v>0</v>
      </c>
      <c r="F580" s="42">
        <f t="shared" ca="1" si="48"/>
        <v>28.333333333333332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19351017</v>
      </c>
      <c r="C581" s="26" t="str">
        <f>INDEX(Data,2,2+MOD(ROWS(C$2:C581)-1,2))</f>
        <v>15.00</v>
      </c>
      <c r="D581" s="41">
        <f t="shared" ca="1" si="46"/>
        <v>756.31039999999996</v>
      </c>
      <c r="E581" s="31">
        <f t="shared" ca="1" si="47"/>
        <v>0</v>
      </c>
      <c r="F581" s="42">
        <f t="shared" ca="1" si="48"/>
        <v>29.722222222222221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19351018</v>
      </c>
      <c r="C582" s="26" t="str">
        <f>INDEX(Data,2,2+MOD(ROWS(C$2:C582)-1,2))</f>
        <v>08.00</v>
      </c>
      <c r="D582" s="41">
        <f t="shared" ca="1" si="46"/>
        <v>759.33299999999997</v>
      </c>
      <c r="E582" s="31">
        <f t="shared" ca="1" si="47"/>
        <v>0</v>
      </c>
      <c r="F582" s="42">
        <f t="shared" ca="1" si="48"/>
        <v>27.777777777777779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19351018</v>
      </c>
      <c r="C583" s="26" t="str">
        <f>INDEX(Data,2,2+MOD(ROWS(C$2:C583)-1,2))</f>
        <v>15.00</v>
      </c>
      <c r="D583" s="41">
        <f t="shared" ca="1" si="46"/>
        <v>756.66599999999994</v>
      </c>
      <c r="E583" s="31">
        <f t="shared" ca="1" si="47"/>
        <v>0</v>
      </c>
      <c r="F583" s="42">
        <f t="shared" ca="1" si="48"/>
        <v>28.888888888888889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19351019</v>
      </c>
      <c r="C584" s="26" t="str">
        <f>INDEX(Data,2,2+MOD(ROWS(C$2:C584)-1,2))</f>
        <v>08.00</v>
      </c>
      <c r="D584" s="41">
        <f t="shared" ca="1" si="46"/>
        <v>759.79019999999991</v>
      </c>
      <c r="E584" s="31">
        <f t="shared" ca="1" si="47"/>
        <v>0</v>
      </c>
      <c r="F584" s="42">
        <f t="shared" ca="1" si="48"/>
        <v>28.333333333333332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19351019</v>
      </c>
      <c r="C585" s="26" t="str">
        <f>INDEX(Data,2,2+MOD(ROWS(C$2:C585)-1,2))</f>
        <v>15.00</v>
      </c>
      <c r="D585" s="41">
        <f t="shared" ca="1" si="46"/>
        <v>757.07240000000002</v>
      </c>
      <c r="E585" s="31">
        <f t="shared" ca="1" si="47"/>
        <v>0</v>
      </c>
      <c r="F585" s="42">
        <f t="shared" ca="1" si="48"/>
        <v>29.722222222222221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19351020</v>
      </c>
      <c r="C586" s="26" t="str">
        <f>INDEX(Data,2,2+MOD(ROWS(C$2:C586)-1,2))</f>
        <v>08.00</v>
      </c>
      <c r="D586" s="41">
        <f t="shared" ca="1" si="46"/>
        <v>760.57759999999996</v>
      </c>
      <c r="E586" s="31">
        <f t="shared" ca="1" si="47"/>
        <v>0</v>
      </c>
      <c r="F586" s="42">
        <f t="shared" ca="1" si="48"/>
        <v>28.055555555555557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19351020</v>
      </c>
      <c r="C587" s="26" t="str">
        <f>INDEX(Data,2,2+MOD(ROWS(C$2:C587)-1,2))</f>
        <v>15.00</v>
      </c>
      <c r="D587" s="41">
        <f t="shared" ca="1" si="46"/>
        <v>758.06299999999999</v>
      </c>
      <c r="E587" s="31">
        <f t="shared" ca="1" si="47"/>
        <v>0</v>
      </c>
      <c r="F587" s="42">
        <f t="shared" ca="1" si="48"/>
        <v>30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19351021</v>
      </c>
      <c r="C588" s="26" t="str">
        <f>INDEX(Data,2,2+MOD(ROWS(C$2:C588)-1,2))</f>
        <v>08.00</v>
      </c>
      <c r="D588" s="41">
        <f t="shared" ca="1" si="46"/>
        <v>761.03480000000002</v>
      </c>
      <c r="E588" s="31">
        <f t="shared" ca="1" si="47"/>
        <v>0</v>
      </c>
      <c r="F588" s="42">
        <f t="shared" ca="1" si="48"/>
        <v>28.333333333333332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19351021</v>
      </c>
      <c r="C589" s="26" t="str">
        <f>INDEX(Data,2,2+MOD(ROWS(C$2:C589)-1,2))</f>
        <v>15.00</v>
      </c>
      <c r="D589" s="41">
        <f t="shared" ca="1" si="46"/>
        <v>758.59640000000002</v>
      </c>
      <c r="E589" s="31">
        <f t="shared" ca="1" si="47"/>
        <v>0</v>
      </c>
      <c r="F589" s="42">
        <f t="shared" ca="1" si="48"/>
        <v>29.722222222222221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19351022</v>
      </c>
      <c r="C590" s="26" t="str">
        <f>INDEX(Data,2,2+MOD(ROWS(C$2:C590)-1,2))</f>
        <v>08.00</v>
      </c>
      <c r="D590" s="41">
        <f t="shared" ca="1" si="46"/>
        <v>760.06959999999992</v>
      </c>
      <c r="E590" s="31">
        <f t="shared" ca="1" si="47"/>
        <v>0</v>
      </c>
      <c r="F590" s="42">
        <f t="shared" ca="1" si="48"/>
        <v>28.055555555555557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19351022</v>
      </c>
      <c r="C591" s="26" t="str">
        <f>INDEX(Data,2,2+MOD(ROWS(C$2:C591)-1,2))</f>
        <v>15.00</v>
      </c>
      <c r="D591" s="41">
        <f t="shared" ca="1" si="46"/>
        <v>756.84379999999999</v>
      </c>
      <c r="E591" s="31">
        <f t="shared" ca="1" si="47"/>
        <v>0</v>
      </c>
      <c r="F591" s="42">
        <f t="shared" ca="1" si="48"/>
        <v>29.444444444444443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19351023</v>
      </c>
      <c r="C592" s="26" t="str">
        <f>INDEX(Data,2,2+MOD(ROWS(C$2:C592)-1,2))</f>
        <v>08.00</v>
      </c>
      <c r="D592" s="41">
        <f t="shared" ca="1" si="46"/>
        <v>759.28219999999999</v>
      </c>
      <c r="E592" s="31">
        <f t="shared" ca="1" si="47"/>
        <v>0</v>
      </c>
      <c r="F592" s="42">
        <f t="shared" ca="1" si="48"/>
        <v>28.333333333333332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19351023</v>
      </c>
      <c r="C593" s="26" t="str">
        <f>INDEX(Data,2,2+MOD(ROWS(C$2:C593)-1,2))</f>
        <v>15.00</v>
      </c>
      <c r="D593" s="41">
        <f t="shared" ca="1" si="46"/>
        <v>756.58979999999997</v>
      </c>
      <c r="E593" s="31">
        <f t="shared" ca="1" si="47"/>
        <v>0</v>
      </c>
      <c r="F593" s="42">
        <f t="shared" ca="1" si="48"/>
        <v>29.444444444444443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19351024</v>
      </c>
      <c r="C594" s="26" t="str">
        <f>INDEX(Data,2,2+MOD(ROWS(C$2:C594)-1,2))</f>
        <v>08.00</v>
      </c>
      <c r="D594" s="41">
        <f t="shared" ca="1" si="46"/>
        <v>759.28219999999999</v>
      </c>
      <c r="E594" s="31">
        <f t="shared" ca="1" si="47"/>
        <v>0</v>
      </c>
      <c r="F594" s="42">
        <f t="shared" ca="1" si="48"/>
        <v>28.333333333333332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19351024</v>
      </c>
      <c r="C595" s="26" t="str">
        <f>INDEX(Data,2,2+MOD(ROWS(C$2:C595)-1,2))</f>
        <v>15.00</v>
      </c>
      <c r="D595" s="41">
        <f t="shared" ca="1" si="46"/>
        <v>756.53899999999999</v>
      </c>
      <c r="E595" s="31">
        <f t="shared" ca="1" si="47"/>
        <v>0</v>
      </c>
      <c r="F595" s="42">
        <f t="shared" ca="1" si="48"/>
        <v>30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19351025</v>
      </c>
      <c r="C596" s="26" t="str">
        <f>INDEX(Data,2,2+MOD(ROWS(C$2:C596)-1,2))</f>
        <v>08.00</v>
      </c>
      <c r="D596" s="41">
        <f t="shared" ca="1" si="46"/>
        <v>759.20600000000002</v>
      </c>
      <c r="E596" s="31">
        <f t="shared" ca="1" si="47"/>
        <v>0</v>
      </c>
      <c r="F596" s="42">
        <f t="shared" ca="1" si="48"/>
        <v>28.888888888888889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19351025</v>
      </c>
      <c r="C597" s="26" t="str">
        <f>INDEX(Data,2,2+MOD(ROWS(C$2:C597)-1,2))</f>
        <v>15.00</v>
      </c>
      <c r="D597" s="41">
        <f t="shared" ca="1" si="46"/>
        <v>757.30099999999993</v>
      </c>
      <c r="E597" s="31">
        <f t="shared" ca="1" si="47"/>
        <v>0</v>
      </c>
      <c r="F597" s="42">
        <f t="shared" ca="1" si="48"/>
        <v>30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19351026</v>
      </c>
      <c r="C598" s="26" t="str">
        <f>INDEX(Data,2,2+MOD(ROWS(C$2:C598)-1,2))</f>
        <v>08.00</v>
      </c>
      <c r="D598" s="41">
        <f t="shared" ca="1" si="46"/>
        <v>760.24739999999997</v>
      </c>
      <c r="E598" s="31">
        <f t="shared" ca="1" si="47"/>
        <v>0</v>
      </c>
      <c r="F598" s="42">
        <f t="shared" ca="1" si="48"/>
        <v>28.611111111111111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19351026</v>
      </c>
      <c r="C599" s="26" t="str">
        <f>INDEX(Data,2,2+MOD(ROWS(C$2:C599)-1,2))</f>
        <v>15.00</v>
      </c>
      <c r="D599" s="41">
        <f t="shared" ca="1" si="46"/>
        <v>757.75819999999999</v>
      </c>
      <c r="E599" s="31">
        <f t="shared" ca="1" si="47"/>
        <v>0</v>
      </c>
      <c r="F599" s="42">
        <f t="shared" ca="1" si="48"/>
        <v>30.277777777777779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19351027</v>
      </c>
      <c r="C600" s="26" t="str">
        <f>INDEX(Data,2,2+MOD(ROWS(C$2:C600)-1,2))</f>
        <v>08.00</v>
      </c>
      <c r="D600" s="41">
        <f t="shared" ca="1" si="46"/>
        <v>760.29819999999995</v>
      </c>
      <c r="E600" s="31">
        <f t="shared" ca="1" si="47"/>
        <v>0</v>
      </c>
      <c r="F600" s="42">
        <f t="shared" ca="1" si="48"/>
        <v>28.333333333333332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19351027</v>
      </c>
      <c r="C601" s="26" t="str">
        <f>INDEX(Data,2,2+MOD(ROWS(C$2:C601)-1,2))</f>
        <v>15.00</v>
      </c>
      <c r="D601" s="41">
        <f t="shared" ca="1" si="46"/>
        <v>758.06299999999999</v>
      </c>
      <c r="E601" s="31">
        <f t="shared" ca="1" si="47"/>
        <v>0</v>
      </c>
      <c r="F601" s="42">
        <f t="shared" ca="1" si="48"/>
        <v>30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19351028</v>
      </c>
      <c r="C602" s="26" t="str">
        <f>INDEX(Data,2,2+MOD(ROWS(C$2:C602)-1,2))</f>
        <v>08.00</v>
      </c>
      <c r="D602" s="41">
        <f t="shared" ca="1" si="46"/>
        <v>759.99339999999995</v>
      </c>
      <c r="E602" s="31">
        <f t="shared" ca="1" si="47"/>
        <v>0</v>
      </c>
      <c r="F602" s="42">
        <f t="shared" ca="1" si="48"/>
        <v>28.611111111111111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19351028</v>
      </c>
      <c r="C603" s="26" t="str">
        <f>INDEX(Data,2,2+MOD(ROWS(C$2:C603)-1,2))</f>
        <v>15.00</v>
      </c>
      <c r="D603" s="41">
        <f t="shared" ca="1" si="46"/>
        <v>758.16459999999995</v>
      </c>
      <c r="E603" s="31">
        <f t="shared" ca="1" si="47"/>
        <v>0</v>
      </c>
      <c r="F603" s="42">
        <f t="shared" ca="1" si="48"/>
        <v>29.166666666666668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19351029</v>
      </c>
      <c r="C604" s="26" t="str">
        <f>INDEX(Data,2,2+MOD(ROWS(C$2:C604)-1,2))</f>
        <v>08.00</v>
      </c>
      <c r="D604" s="41">
        <f t="shared" ca="1" si="46"/>
        <v>761.23799999999994</v>
      </c>
      <c r="E604" s="31">
        <f t="shared" ca="1" si="47"/>
        <v>0</v>
      </c>
      <c r="F604" s="42">
        <f t="shared" ca="1" si="48"/>
        <v>28.611111111111111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19351029</v>
      </c>
      <c r="C605" s="26" t="str">
        <f>INDEX(Data,2,2+MOD(ROWS(C$2:C605)-1,2))</f>
        <v>15.00</v>
      </c>
      <c r="D605" s="41">
        <f t="shared" ca="1" si="46"/>
        <v>758.3424</v>
      </c>
      <c r="E605" s="31">
        <f t="shared" ca="1" si="47"/>
        <v>0</v>
      </c>
      <c r="F605" s="42">
        <f t="shared" ca="1" si="48"/>
        <v>29.722222222222221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19351030</v>
      </c>
      <c r="C606" s="26" t="str">
        <f>INDEX(Data,2,2+MOD(ROWS(C$2:C606)-1,2))</f>
        <v>08.00</v>
      </c>
      <c r="D606" s="41">
        <f t="shared" ca="1" si="46"/>
        <v>760.90779999999995</v>
      </c>
      <c r="E606" s="31">
        <f t="shared" ca="1" si="47"/>
        <v>0</v>
      </c>
      <c r="F606" s="42">
        <f t="shared" ca="1" si="48"/>
        <v>27.5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19351030</v>
      </c>
      <c r="C607" s="26" t="str">
        <f>INDEX(Data,2,2+MOD(ROWS(C$2:C607)-1,2))</f>
        <v>15.00</v>
      </c>
      <c r="D607" s="41">
        <f t="shared" ca="1" si="46"/>
        <v>758.52019999999993</v>
      </c>
      <c r="E607" s="31">
        <f t="shared" ca="1" si="47"/>
        <v>0</v>
      </c>
      <c r="F607" s="42">
        <f t="shared" ca="1" si="48"/>
        <v>28.333333333333332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19351031</v>
      </c>
      <c r="C608" s="26" t="str">
        <f>INDEX(Data,2,2+MOD(ROWS(C$2:C608)-1,2))</f>
        <v>08.00</v>
      </c>
      <c r="D608" s="41">
        <f t="shared" ca="1" si="46"/>
        <v>760.1712</v>
      </c>
      <c r="E608" s="31">
        <f t="shared" ca="1" si="47"/>
        <v>0</v>
      </c>
      <c r="F608" s="42">
        <f t="shared" ca="1" si="48"/>
        <v>27.222222222222221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19351031</v>
      </c>
      <c r="C609" s="26" t="str">
        <f>INDEX(Data,2,2+MOD(ROWS(C$2:C609)-1,2))</f>
        <v>15.00</v>
      </c>
      <c r="D609" s="41">
        <f t="shared" ca="1" si="46"/>
        <v>757.70740000000001</v>
      </c>
      <c r="E609" s="31">
        <f t="shared" ca="1" si="47"/>
        <v>0</v>
      </c>
      <c r="F609" s="42">
        <f t="shared" ca="1" si="48"/>
        <v>26.666666666666668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19351101</v>
      </c>
      <c r="C610" s="26" t="str">
        <f>INDEX(Data,2,2+MOD(ROWS(C$2:C610)-1,2))</f>
        <v>08.00</v>
      </c>
      <c r="D610" s="41">
        <f t="shared" ca="1" si="46"/>
        <v>759.94259999999997</v>
      </c>
      <c r="E610" s="31">
        <f t="shared" ca="1" si="47"/>
        <v>0</v>
      </c>
      <c r="F610" s="42">
        <f t="shared" ca="1" si="48"/>
        <v>26.944444444444443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19351101</v>
      </c>
      <c r="C611" s="26" t="str">
        <f>INDEX(Data,2,2+MOD(ROWS(C$2:C611)-1,2))</f>
        <v>15.00</v>
      </c>
      <c r="D611" s="41">
        <f t="shared" ca="1" si="46"/>
        <v>758.13919999999996</v>
      </c>
      <c r="E611" s="31">
        <f t="shared" ca="1" si="47"/>
        <v>0</v>
      </c>
      <c r="F611" s="42">
        <f t="shared" ca="1" si="48"/>
        <v>27.222222222222221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19351102</v>
      </c>
      <c r="C612" s="26" t="str">
        <f>INDEX(Data,2,2+MOD(ROWS(C$2:C612)-1,2))</f>
        <v>08.00</v>
      </c>
      <c r="D612" s="41">
        <f t="shared" ca="1" si="46"/>
        <v>759.99339999999995</v>
      </c>
      <c r="E612" s="31">
        <f t="shared" ca="1" si="47"/>
        <v>0</v>
      </c>
      <c r="F612" s="42">
        <f t="shared" ca="1" si="48"/>
        <v>26.666666666666668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19351102</v>
      </c>
      <c r="C613" s="26" t="str">
        <f>INDEX(Data,2,2+MOD(ROWS(C$2:C613)-1,2))</f>
        <v>15.00</v>
      </c>
      <c r="D613" s="41">
        <f t="shared" ca="1" si="46"/>
        <v>758.3424</v>
      </c>
      <c r="E613" s="31">
        <f t="shared" ca="1" si="47"/>
        <v>0</v>
      </c>
      <c r="F613" s="42">
        <f t="shared" ca="1" si="48"/>
        <v>29.722222222222221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19351103</v>
      </c>
      <c r="C614" s="26" t="str">
        <f>INDEX(Data,2,2+MOD(ROWS(C$2:C614)-1,2))</f>
        <v>08.00</v>
      </c>
      <c r="D614" s="41">
        <f t="shared" ca="1" si="46"/>
        <v>759.79019999999991</v>
      </c>
      <c r="E614" s="31">
        <f t="shared" ca="1" si="47"/>
        <v>0</v>
      </c>
      <c r="F614" s="42">
        <f t="shared" ca="1" si="48"/>
        <v>28.333333333333332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19351103</v>
      </c>
      <c r="C615" s="26" t="str">
        <f>INDEX(Data,2,2+MOD(ROWS(C$2:C615)-1,2))</f>
        <v>15.00</v>
      </c>
      <c r="D615" s="41">
        <f t="shared" ca="1" si="46"/>
        <v>757.85979999999995</v>
      </c>
      <c r="E615" s="31">
        <f t="shared" ca="1" si="47"/>
        <v>0</v>
      </c>
      <c r="F615" s="42">
        <f t="shared" ca="1" si="48"/>
        <v>29.444444444444443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19351104</v>
      </c>
      <c r="C616" s="26" t="str">
        <f>INDEX(Data,2,2+MOD(ROWS(C$2:C616)-1,2))</f>
        <v>08.00</v>
      </c>
      <c r="D616" s="41">
        <f t="shared" ca="1" si="46"/>
        <v>759.58699999999999</v>
      </c>
      <c r="E616" s="31">
        <f t="shared" ca="1" si="47"/>
        <v>0</v>
      </c>
      <c r="F616" s="42">
        <f t="shared" ca="1" si="48"/>
        <v>27.777777777777779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19351104</v>
      </c>
      <c r="C617" s="26" t="str">
        <f>INDEX(Data,2,2+MOD(ROWS(C$2:C617)-1,2))</f>
        <v>15.00</v>
      </c>
      <c r="D617" s="41">
        <f t="shared" ca="1" si="46"/>
        <v>757.14859999999999</v>
      </c>
      <c r="E617" s="31">
        <f t="shared" ca="1" si="47"/>
        <v>0</v>
      </c>
      <c r="F617" s="42">
        <f t="shared" ca="1" si="48"/>
        <v>29.166666666666668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19351105</v>
      </c>
      <c r="C618" s="26" t="str">
        <f>INDEX(Data,2,2+MOD(ROWS(C$2:C618)-1,2))</f>
        <v>08.00</v>
      </c>
      <c r="D618" s="41">
        <f t="shared" ca="1" si="46"/>
        <v>759.84100000000001</v>
      </c>
      <c r="E618" s="31">
        <f t="shared" ca="1" si="47"/>
        <v>0</v>
      </c>
      <c r="F618" s="42">
        <f t="shared" ca="1" si="48"/>
        <v>27.777777777777779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19351105</v>
      </c>
      <c r="C619" s="26" t="str">
        <f>INDEX(Data,2,2+MOD(ROWS(C$2:C619)-1,2))</f>
        <v>15.00</v>
      </c>
      <c r="D619" s="41">
        <f t="shared" ca="1" si="46"/>
        <v>756.79300000000001</v>
      </c>
      <c r="E619" s="31">
        <f t="shared" ca="1" si="47"/>
        <v>0</v>
      </c>
      <c r="F619" s="42">
        <f t="shared" ca="1" si="48"/>
        <v>27.777777777777779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19351106</v>
      </c>
      <c r="C620" s="26" t="str">
        <f>INDEX(Data,2,2+MOD(ROWS(C$2:C620)-1,2))</f>
        <v>08.00</v>
      </c>
      <c r="D620" s="41">
        <f t="shared" ca="1" si="46"/>
        <v>760.34899999999993</v>
      </c>
      <c r="E620" s="31">
        <f t="shared" ca="1" si="47"/>
        <v>0</v>
      </c>
      <c r="F620" s="42">
        <f t="shared" ca="1" si="48"/>
        <v>27.777777777777779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19351106</v>
      </c>
      <c r="C621" s="26" t="str">
        <f>INDEX(Data,2,2+MOD(ROWS(C$2:C621)-1,2))</f>
        <v>15.00</v>
      </c>
      <c r="D621" s="41">
        <f t="shared" ca="1" si="46"/>
        <v>757.68200000000002</v>
      </c>
      <c r="E621" s="31">
        <f t="shared" ca="1" si="47"/>
        <v>0</v>
      </c>
      <c r="F621" s="42">
        <f t="shared" ca="1" si="48"/>
        <v>28.888888888888889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19351107</v>
      </c>
      <c r="C622" s="26" t="str">
        <f>INDEX(Data,2,2+MOD(ROWS(C$2:C622)-1,2))</f>
        <v>08.00</v>
      </c>
      <c r="D622" s="41">
        <f t="shared" ca="1" si="46"/>
        <v>760.34899999999993</v>
      </c>
      <c r="E622" s="31">
        <f t="shared" ca="1" si="47"/>
        <v>0</v>
      </c>
      <c r="F622" s="42">
        <f t="shared" ca="1" si="48"/>
        <v>27.777777777777779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19351107</v>
      </c>
      <c r="C623" s="26" t="str">
        <f>INDEX(Data,2,2+MOD(ROWS(C$2:C623)-1,2))</f>
        <v>15.00</v>
      </c>
      <c r="D623" s="41">
        <f t="shared" ca="1" si="46"/>
        <v>758.26619999999991</v>
      </c>
      <c r="E623" s="31">
        <f t="shared" ca="1" si="47"/>
        <v>0</v>
      </c>
      <c r="F623" s="42">
        <f t="shared" ca="1" si="48"/>
        <v>28.333333333333332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19351108</v>
      </c>
      <c r="C624" s="26" t="str">
        <f>INDEX(Data,2,2+MOD(ROWS(C$2:C624)-1,2))</f>
        <v>08.00</v>
      </c>
      <c r="D624" s="41">
        <f t="shared" ca="1" si="46"/>
        <v>760.34899999999993</v>
      </c>
      <c r="E624" s="31">
        <f t="shared" ca="1" si="47"/>
        <v>0</v>
      </c>
      <c r="F624" s="42">
        <f t="shared" ca="1" si="48"/>
        <v>27.777777777777779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19351108</v>
      </c>
      <c r="C625" s="26" t="str">
        <f>INDEX(Data,2,2+MOD(ROWS(C$2:C625)-1,2))</f>
        <v>15.00</v>
      </c>
      <c r="D625" s="41">
        <f t="shared" ca="1" si="46"/>
        <v>757.17399999999998</v>
      </c>
      <c r="E625" s="31">
        <f t="shared" ca="1" si="47"/>
        <v>0</v>
      </c>
      <c r="F625" s="42">
        <f t="shared" ca="1" si="48"/>
        <v>28.888888888888889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19351109</v>
      </c>
      <c r="C626" s="26" t="str">
        <f>INDEX(Data,2,2+MOD(ROWS(C$2:C626)-1,2))</f>
        <v>08.00</v>
      </c>
      <c r="D626" s="41">
        <f t="shared" ca="1" si="46"/>
        <v>760.14580000000001</v>
      </c>
      <c r="E626" s="31">
        <f t="shared" ca="1" si="47"/>
        <v>0</v>
      </c>
      <c r="F626" s="42">
        <f t="shared" ca="1" si="48"/>
        <v>27.5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19351109</v>
      </c>
      <c r="C627" s="26" t="str">
        <f>INDEX(Data,2,2+MOD(ROWS(C$2:C627)-1,2))</f>
        <v>15.00</v>
      </c>
      <c r="D627" s="41">
        <f t="shared" ca="1" si="46"/>
        <v>757.70740000000001</v>
      </c>
      <c r="E627" s="31">
        <f t="shared" ca="1" si="47"/>
        <v>0</v>
      </c>
      <c r="F627" s="42">
        <f t="shared" ca="1" si="48"/>
        <v>26.666666666666668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19351110</v>
      </c>
      <c r="C628" s="26" t="str">
        <f>INDEX(Data,2,2+MOD(ROWS(C$2:C628)-1,2))</f>
        <v>08.00</v>
      </c>
      <c r="D628" s="41">
        <f t="shared" ca="1" si="46"/>
        <v>759.99339999999995</v>
      </c>
      <c r="E628" s="31">
        <f t="shared" ca="1" si="47"/>
        <v>0</v>
      </c>
      <c r="F628" s="42">
        <f t="shared" ca="1" si="48"/>
        <v>28.611111111111111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19351110</v>
      </c>
      <c r="C629" s="26" t="str">
        <f>INDEX(Data,2,2+MOD(ROWS(C$2:C629)-1,2))</f>
        <v>15.00</v>
      </c>
      <c r="D629" s="41">
        <f t="shared" ca="1" si="46"/>
        <v>756.99619999999993</v>
      </c>
      <c r="E629" s="31">
        <f t="shared" ca="1" si="47"/>
        <v>0</v>
      </c>
      <c r="F629" s="42">
        <f t="shared" ca="1" si="48"/>
        <v>28.333333333333332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19351111</v>
      </c>
      <c r="C630" s="26" t="str">
        <f>INDEX(Data,2,2+MOD(ROWS(C$2:C630)-1,2))</f>
        <v>08.00</v>
      </c>
      <c r="D630" s="41">
        <f t="shared" ca="1" si="46"/>
        <v>760.42520000000002</v>
      </c>
      <c r="E630" s="31">
        <f t="shared" ca="1" si="47"/>
        <v>0</v>
      </c>
      <c r="F630" s="42">
        <f t="shared" ca="1" si="48"/>
        <v>27.222222222222221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19351111</v>
      </c>
      <c r="C631" s="26" t="str">
        <f>INDEX(Data,2,2+MOD(ROWS(C$2:C631)-1,2))</f>
        <v>15.00</v>
      </c>
      <c r="D631" s="41">
        <f t="shared" ca="1" si="46"/>
        <v>757.52959999999996</v>
      </c>
      <c r="E631" s="31">
        <f t="shared" ca="1" si="47"/>
        <v>0</v>
      </c>
      <c r="F631" s="42">
        <f t="shared" ca="1" si="48"/>
        <v>28.055555555555557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19351112</v>
      </c>
      <c r="C632" s="26" t="str">
        <f>INDEX(Data,2,2+MOD(ROWS(C$2:C632)-1,2))</f>
        <v>08.00</v>
      </c>
      <c r="D632" s="41">
        <f t="shared" ca="1" si="46"/>
        <v>759.43459999999993</v>
      </c>
      <c r="E632" s="31">
        <f t="shared" ca="1" si="47"/>
        <v>0</v>
      </c>
      <c r="F632" s="42">
        <f t="shared" ca="1" si="48"/>
        <v>26.944444444444443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19351112</v>
      </c>
      <c r="C633" s="26" t="str">
        <f>INDEX(Data,2,2+MOD(ROWS(C$2:C633)-1,2))</f>
        <v>15.00</v>
      </c>
      <c r="D633" s="41">
        <f t="shared" ca="1" si="46"/>
        <v>757.27559999999994</v>
      </c>
      <c r="E633" s="31">
        <f t="shared" ca="1" si="47"/>
        <v>0</v>
      </c>
      <c r="F633" s="42">
        <f t="shared" ca="1" si="48"/>
        <v>28.055555555555557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19351113</v>
      </c>
      <c r="C634" s="26" t="str">
        <f>INDEX(Data,2,2+MOD(ROWS(C$2:C634)-1,2))</f>
        <v>08.00</v>
      </c>
      <c r="D634" s="41">
        <f t="shared" ca="1" si="46"/>
        <v>759.91719999999998</v>
      </c>
      <c r="E634" s="31">
        <f t="shared" ca="1" si="47"/>
        <v>0</v>
      </c>
      <c r="F634" s="42">
        <f t="shared" ca="1" si="48"/>
        <v>27.222222222222221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19351113</v>
      </c>
      <c r="C635" s="26" t="str">
        <f>INDEX(Data,2,2+MOD(ROWS(C$2:C635)-1,2))</f>
        <v>15.00</v>
      </c>
      <c r="D635" s="41">
        <f t="shared" ca="1" si="46"/>
        <v>757.78359999999998</v>
      </c>
      <c r="E635" s="31">
        <f t="shared" ca="1" si="47"/>
        <v>0</v>
      </c>
      <c r="F635" s="42">
        <f t="shared" ca="1" si="48"/>
        <v>28.055555555555557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19351114</v>
      </c>
      <c r="C636" s="26" t="str">
        <f>INDEX(Data,2,2+MOD(ROWS(C$2:C636)-1,2))</f>
        <v>08.00</v>
      </c>
      <c r="D636" s="41">
        <f t="shared" ca="1" si="46"/>
        <v>759.89179999999999</v>
      </c>
      <c r="E636" s="31">
        <f t="shared" ca="1" si="47"/>
        <v>0</v>
      </c>
      <c r="F636" s="42">
        <f t="shared" ca="1" si="48"/>
        <v>27.5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19351114</v>
      </c>
      <c r="C637" s="26" t="str">
        <f>INDEX(Data,2,2+MOD(ROWS(C$2:C637)-1,2))</f>
        <v>15.00</v>
      </c>
      <c r="D637" s="41">
        <f t="shared" ca="1" si="46"/>
        <v>757.70740000000001</v>
      </c>
      <c r="E637" s="31">
        <f t="shared" ca="1" si="47"/>
        <v>0</v>
      </c>
      <c r="F637" s="42">
        <f t="shared" ca="1" si="48"/>
        <v>28.611111111111111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19351115</v>
      </c>
      <c r="C638" s="26" t="str">
        <f>INDEX(Data,2,2+MOD(ROWS(C$2:C638)-1,2))</f>
        <v>08.00</v>
      </c>
      <c r="D638" s="41">
        <f t="shared" ca="1" si="46"/>
        <v>759.84100000000001</v>
      </c>
      <c r="E638" s="31">
        <f t="shared" ca="1" si="47"/>
        <v>0</v>
      </c>
      <c r="F638" s="42">
        <f t="shared" ca="1" si="48"/>
        <v>27.777777777777779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19351115</v>
      </c>
      <c r="C639" s="26" t="str">
        <f>INDEX(Data,2,2+MOD(ROWS(C$2:C639)-1,2))</f>
        <v>15.00</v>
      </c>
      <c r="D639" s="41">
        <f t="shared" ca="1" si="46"/>
        <v>757.40260000000001</v>
      </c>
      <c r="E639" s="31">
        <f t="shared" ca="1" si="47"/>
        <v>0</v>
      </c>
      <c r="F639" s="42">
        <f t="shared" ca="1" si="48"/>
        <v>29.166666666666668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19351116</v>
      </c>
      <c r="C640" s="26" t="str">
        <f>INDEX(Data,2,2+MOD(ROWS(C$2:C640)-1,2))</f>
        <v>08.00</v>
      </c>
      <c r="D640" s="41">
        <f t="shared" ca="1" si="46"/>
        <v>759.84100000000001</v>
      </c>
      <c r="E640" s="31">
        <f t="shared" ca="1" si="47"/>
        <v>0</v>
      </c>
      <c r="F640" s="42">
        <f t="shared" ca="1" si="48"/>
        <v>27.777777777777779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19351116</v>
      </c>
      <c r="C641" s="26" t="str">
        <f>INDEX(Data,2,2+MOD(ROWS(C$2:C641)-1,2))</f>
        <v>15.00</v>
      </c>
      <c r="D641" s="41">
        <f t="shared" ca="1" si="46"/>
        <v>757.80899999999997</v>
      </c>
      <c r="E641" s="31">
        <f t="shared" ca="1" si="47"/>
        <v>0</v>
      </c>
      <c r="F641" s="42">
        <f t="shared" ca="1" si="48"/>
        <v>27.777777777777779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19351117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759.94259999999997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26.944444444444443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19351117</v>
      </c>
      <c r="C643" s="26" t="str">
        <f>INDEX(Data,2,2+MOD(ROWS(C$2:C643)-1,2))</f>
        <v>15.00</v>
      </c>
      <c r="D643" s="41">
        <f t="shared" ca="1" si="51"/>
        <v>757.32639999999992</v>
      </c>
      <c r="E643" s="31">
        <f t="shared" ca="1" si="52"/>
        <v>0</v>
      </c>
      <c r="F643" s="42">
        <f t="shared" ca="1" si="53"/>
        <v>29.722222222222221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19351118</v>
      </c>
      <c r="C644" s="26" t="str">
        <f>INDEX(Data,2,2+MOD(ROWS(C$2:C644)-1,2))</f>
        <v>08.00</v>
      </c>
      <c r="D644" s="41">
        <f t="shared" ca="1" si="51"/>
        <v>760.06959999999992</v>
      </c>
      <c r="E644" s="31">
        <f t="shared" ca="1" si="52"/>
        <v>0</v>
      </c>
      <c r="F644" s="42">
        <f t="shared" ca="1" si="53"/>
        <v>27.777777777777779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19351118</v>
      </c>
      <c r="C645" s="26" t="str">
        <f>INDEX(Data,2,2+MOD(ROWS(C$2:C645)-1,2))</f>
        <v>15.00</v>
      </c>
      <c r="D645" s="41">
        <f t="shared" ca="1" si="51"/>
        <v>757.428</v>
      </c>
      <c r="E645" s="31">
        <f t="shared" ca="1" si="52"/>
        <v>0</v>
      </c>
      <c r="F645" s="42">
        <f t="shared" ca="1" si="53"/>
        <v>28.888888888888889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19351119</v>
      </c>
      <c r="C646" s="26" t="str">
        <f>INDEX(Data,2,2+MOD(ROWS(C$2:C646)-1,2))</f>
        <v>08.00</v>
      </c>
      <c r="D646" s="41">
        <f t="shared" ca="1" si="51"/>
        <v>760.57759999999996</v>
      </c>
      <c r="E646" s="31">
        <f t="shared" ca="1" si="52"/>
        <v>0</v>
      </c>
      <c r="F646" s="42">
        <f t="shared" ca="1" si="53"/>
        <v>28.055555555555557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19351119</v>
      </c>
      <c r="C647" s="26" t="str">
        <f>INDEX(Data,2,2+MOD(ROWS(C$2:C647)-1,2))</f>
        <v>15.00</v>
      </c>
      <c r="D647" s="41">
        <f t="shared" ca="1" si="51"/>
        <v>758.52019999999993</v>
      </c>
      <c r="E647" s="31">
        <f t="shared" ca="1" si="52"/>
        <v>0</v>
      </c>
      <c r="F647" s="42">
        <f t="shared" ca="1" si="53"/>
        <v>28.333333333333332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19351120</v>
      </c>
      <c r="C648" s="26" t="str">
        <f>INDEX(Data,2,2+MOD(ROWS(C$2:C648)-1,2))</f>
        <v>08.00</v>
      </c>
      <c r="D648" s="41">
        <f t="shared" ca="1" si="51"/>
        <v>760.09499999999991</v>
      </c>
      <c r="E648" s="31">
        <f t="shared" ca="1" si="52"/>
        <v>0</v>
      </c>
      <c r="F648" s="42">
        <f t="shared" ca="1" si="53"/>
        <v>27.777777777777779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19351120</v>
      </c>
      <c r="C649" s="26" t="str">
        <f>INDEX(Data,2,2+MOD(ROWS(C$2:C649)-1,2))</f>
        <v>15.00</v>
      </c>
      <c r="D649" s="41">
        <f t="shared" ca="1" si="51"/>
        <v>757.96139999999991</v>
      </c>
      <c r="E649" s="31">
        <f t="shared" ca="1" si="52"/>
        <v>0</v>
      </c>
      <c r="F649" s="42">
        <f t="shared" ca="1" si="53"/>
        <v>28.611111111111111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19351121</v>
      </c>
      <c r="C650" s="26" t="str">
        <f>INDEX(Data,2,2+MOD(ROWS(C$2:C650)-1,2))</f>
        <v>08.00</v>
      </c>
      <c r="D650" s="41">
        <f t="shared" ca="1" si="51"/>
        <v>760.09499999999991</v>
      </c>
      <c r="E650" s="31">
        <f t="shared" ca="1" si="52"/>
        <v>0</v>
      </c>
      <c r="F650" s="42">
        <f t="shared" ca="1" si="53"/>
        <v>27.777777777777779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19351121</v>
      </c>
      <c r="C651" s="26" t="str">
        <f>INDEX(Data,2,2+MOD(ROWS(C$2:C651)-1,2))</f>
        <v>15.00</v>
      </c>
      <c r="D651" s="41">
        <f t="shared" ca="1" si="51"/>
        <v>757.428</v>
      </c>
      <c r="E651" s="31">
        <f t="shared" ca="1" si="52"/>
        <v>0</v>
      </c>
      <c r="F651" s="42">
        <f t="shared" ca="1" si="53"/>
        <v>28.888888888888889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19351122</v>
      </c>
      <c r="C652" s="26" t="str">
        <f>INDEX(Data,2,2+MOD(ROWS(C$2:C652)-1,2))</f>
        <v>08.00</v>
      </c>
      <c r="D652" s="41">
        <f t="shared" ca="1" si="51"/>
        <v>760.60299999999995</v>
      </c>
      <c r="E652" s="31">
        <f t="shared" ca="1" si="52"/>
        <v>0</v>
      </c>
      <c r="F652" s="42">
        <f t="shared" ca="1" si="53"/>
        <v>27.777777777777779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19351122</v>
      </c>
      <c r="C653" s="26" t="str">
        <f>INDEX(Data,2,2+MOD(ROWS(C$2:C653)-1,2))</f>
        <v>15.00</v>
      </c>
      <c r="D653" s="41">
        <f t="shared" ca="1" si="51"/>
        <v>758.44399999999996</v>
      </c>
      <c r="E653" s="31">
        <f t="shared" ca="1" si="52"/>
        <v>0</v>
      </c>
      <c r="F653" s="42">
        <f t="shared" ca="1" si="53"/>
        <v>28.888888888888889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19351123</v>
      </c>
      <c r="C654" s="26" t="str">
        <f>INDEX(Data,2,2+MOD(ROWS(C$2:C654)-1,2))</f>
        <v>08.00</v>
      </c>
      <c r="D654" s="41">
        <f t="shared" ca="1" si="51"/>
        <v>760.83159999999998</v>
      </c>
      <c r="E654" s="31">
        <f t="shared" ca="1" si="52"/>
        <v>0</v>
      </c>
      <c r="F654" s="42">
        <f t="shared" ca="1" si="53"/>
        <v>28.055555555555557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19351123</v>
      </c>
      <c r="C655" s="26" t="str">
        <f>INDEX(Data,2,2+MOD(ROWS(C$2:C655)-1,2))</f>
        <v>15.00</v>
      </c>
      <c r="D655" s="41">
        <f t="shared" ca="1" si="51"/>
        <v>758.72339999999997</v>
      </c>
      <c r="E655" s="31">
        <f t="shared" ca="1" si="52"/>
        <v>0</v>
      </c>
      <c r="F655" s="42">
        <f t="shared" ca="1" si="53"/>
        <v>28.611111111111111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19351124</v>
      </c>
      <c r="C656" s="26" t="str">
        <f>INDEX(Data,2,2+MOD(ROWS(C$2:C656)-1,2))</f>
        <v>08.00</v>
      </c>
      <c r="D656" s="41">
        <f t="shared" ca="1" si="51"/>
        <v>761.66980000000001</v>
      </c>
      <c r="E656" s="31">
        <f t="shared" ca="1" si="52"/>
        <v>0</v>
      </c>
      <c r="F656" s="42">
        <f t="shared" ca="1" si="53"/>
        <v>27.222222222222221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19351124</v>
      </c>
      <c r="C657" s="26" t="str">
        <f>INDEX(Data,2,2+MOD(ROWS(C$2:C657)-1,2))</f>
        <v>15.00</v>
      </c>
      <c r="D657" s="41">
        <f t="shared" ca="1" si="51"/>
        <v>759.18059999999991</v>
      </c>
      <c r="E657" s="31">
        <f t="shared" ca="1" si="52"/>
        <v>0</v>
      </c>
      <c r="F657" s="42">
        <f t="shared" ca="1" si="53"/>
        <v>29.166666666666668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19351125</v>
      </c>
      <c r="C658" s="26" t="str">
        <f>INDEX(Data,2,2+MOD(ROWS(C$2:C658)-1,2))</f>
        <v>08.00</v>
      </c>
      <c r="D658" s="41">
        <f t="shared" ca="1" si="51"/>
        <v>762.17779999999993</v>
      </c>
      <c r="E658" s="31">
        <f t="shared" ca="1" si="52"/>
        <v>0</v>
      </c>
      <c r="F658" s="42">
        <f t="shared" ca="1" si="53"/>
        <v>27.222222222222221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19351125</v>
      </c>
      <c r="C659" s="26" t="str">
        <f>INDEX(Data,2,2+MOD(ROWS(C$2:C659)-1,2))</f>
        <v>15.00</v>
      </c>
      <c r="D659" s="41">
        <f t="shared" ca="1" si="51"/>
        <v>759.58699999999999</v>
      </c>
      <c r="E659" s="31">
        <f t="shared" ca="1" si="52"/>
        <v>0</v>
      </c>
      <c r="F659" s="42">
        <f t="shared" ca="1" si="53"/>
        <v>28.888888888888889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19351126</v>
      </c>
      <c r="C660" s="26" t="str">
        <f>INDEX(Data,2,2+MOD(ROWS(C$2:C660)-1,2))</f>
        <v>08.00</v>
      </c>
      <c r="D660" s="41">
        <f t="shared" ca="1" si="51"/>
        <v>761.18719999999996</v>
      </c>
      <c r="E660" s="31">
        <f t="shared" ca="1" si="52"/>
        <v>0</v>
      </c>
      <c r="F660" s="42">
        <f t="shared" ca="1" si="53"/>
        <v>26.944444444444443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19351126</v>
      </c>
      <c r="C661" s="26" t="str">
        <f>INDEX(Data,2,2+MOD(ROWS(C$2:C661)-1,2))</f>
        <v>15.00</v>
      </c>
      <c r="D661" s="41">
        <f t="shared" ca="1" si="51"/>
        <v>759.07899999999995</v>
      </c>
      <c r="E661" s="31">
        <f t="shared" ca="1" si="52"/>
        <v>0</v>
      </c>
      <c r="F661" s="42">
        <f t="shared" ca="1" si="53"/>
        <v>27.777777777777779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19351127</v>
      </c>
      <c r="C662" s="26" t="str">
        <f>INDEX(Data,2,2+MOD(ROWS(C$2:C662)-1,2))</f>
        <v>08.00</v>
      </c>
      <c r="D662" s="41">
        <f t="shared" ca="1" si="51"/>
        <v>762.20319999999992</v>
      </c>
      <c r="E662" s="31">
        <f t="shared" ca="1" si="52"/>
        <v>0</v>
      </c>
      <c r="F662" s="42">
        <f t="shared" ca="1" si="53"/>
        <v>26.944444444444443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19351127</v>
      </c>
      <c r="C663" s="26" t="str">
        <f>INDEX(Data,2,2+MOD(ROWS(C$2:C663)-1,2))</f>
        <v>15.00</v>
      </c>
      <c r="D663" s="41">
        <f t="shared" ca="1" si="51"/>
        <v>760.29819999999995</v>
      </c>
      <c r="E663" s="31">
        <f t="shared" ca="1" si="52"/>
        <v>0</v>
      </c>
      <c r="F663" s="42">
        <f t="shared" ca="1" si="53"/>
        <v>28.333333333333332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19351128</v>
      </c>
      <c r="C664" s="26" t="str">
        <f>INDEX(Data,2,2+MOD(ROWS(C$2:C664)-1,2))</f>
        <v>08.00</v>
      </c>
      <c r="D664" s="41">
        <f t="shared" ca="1" si="51"/>
        <v>761.66980000000001</v>
      </c>
      <c r="E664" s="31">
        <f t="shared" ca="1" si="52"/>
        <v>0</v>
      </c>
      <c r="F664" s="42">
        <f t="shared" ca="1" si="53"/>
        <v>27.222222222222221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19351128</v>
      </c>
      <c r="C665" s="26" t="str">
        <f>INDEX(Data,2,2+MOD(ROWS(C$2:C665)-1,2))</f>
        <v>15.00</v>
      </c>
      <c r="D665" s="41">
        <f t="shared" ca="1" si="51"/>
        <v>759.48539999999991</v>
      </c>
      <c r="E665" s="31">
        <f t="shared" ca="1" si="52"/>
        <v>0</v>
      </c>
      <c r="F665" s="42">
        <f t="shared" ca="1" si="53"/>
        <v>28.611111111111111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19351129</v>
      </c>
      <c r="C666" s="26" t="str">
        <f>INDEX(Data,2,2+MOD(ROWS(C$2:C666)-1,2))</f>
        <v>08.00</v>
      </c>
      <c r="D666" s="41">
        <f t="shared" ca="1" si="51"/>
        <v>760.93319999999994</v>
      </c>
      <c r="E666" s="31">
        <f t="shared" ca="1" si="52"/>
        <v>0</v>
      </c>
      <c r="F666" s="42">
        <f t="shared" ca="1" si="53"/>
        <v>27.222222222222221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19351129</v>
      </c>
      <c r="C667" s="26" t="str">
        <f>INDEX(Data,2,2+MOD(ROWS(C$2:C667)-1,2))</f>
        <v>15.00</v>
      </c>
      <c r="D667" s="41">
        <f t="shared" ca="1" si="51"/>
        <v>758.79959999999994</v>
      </c>
      <c r="E667" s="31">
        <f t="shared" ca="1" si="52"/>
        <v>0</v>
      </c>
      <c r="F667" s="42">
        <f t="shared" ca="1" si="53"/>
        <v>28.055555555555557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19351130</v>
      </c>
      <c r="C668" s="26" t="str">
        <f>INDEX(Data,2,2+MOD(ROWS(C$2:C668)-1,2))</f>
        <v>08.00</v>
      </c>
      <c r="D668" s="41">
        <f t="shared" ca="1" si="51"/>
        <v>760.39979999999991</v>
      </c>
      <c r="E668" s="31">
        <f t="shared" ca="1" si="52"/>
        <v>0</v>
      </c>
      <c r="F668" s="42">
        <f t="shared" ca="1" si="53"/>
        <v>27.5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19351130</v>
      </c>
      <c r="C669" s="26" t="str">
        <f>INDEX(Data,2,2+MOD(ROWS(C$2:C669)-1,2))</f>
        <v>15.00</v>
      </c>
      <c r="D669" s="41">
        <f t="shared" ca="1" si="51"/>
        <v>758.26619999999991</v>
      </c>
      <c r="E669" s="31">
        <f t="shared" ca="1" si="52"/>
        <v>0</v>
      </c>
      <c r="F669" s="42">
        <f t="shared" ca="1" si="53"/>
        <v>28.333333333333332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19351201</v>
      </c>
      <c r="C670" s="26" t="str">
        <f>INDEX(Data,2,2+MOD(ROWS(C$2:C670)-1,2))</f>
        <v>08.00</v>
      </c>
      <c r="D670" s="41">
        <f t="shared" ca="1" si="51"/>
        <v>761.18719999999996</v>
      </c>
      <c r="E670" s="31">
        <f t="shared" ca="1" si="52"/>
        <v>0</v>
      </c>
      <c r="F670" s="42">
        <f t="shared" ca="1" si="53"/>
        <v>26.944444444444443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19351201</v>
      </c>
      <c r="C671" s="26" t="str">
        <f>INDEX(Data,2,2+MOD(ROWS(C$2:C671)-1,2))</f>
        <v>15.00</v>
      </c>
      <c r="D671" s="41">
        <f t="shared" ca="1" si="51"/>
        <v>758.72339999999997</v>
      </c>
      <c r="E671" s="31">
        <f t="shared" ca="1" si="52"/>
        <v>0</v>
      </c>
      <c r="F671" s="42">
        <f t="shared" ca="1" si="53"/>
        <v>28.611111111111111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19351202</v>
      </c>
      <c r="C672" s="26" t="str">
        <f>INDEX(Data,2,2+MOD(ROWS(C$2:C672)-1,2))</f>
        <v>08.00</v>
      </c>
      <c r="D672" s="41">
        <f t="shared" ca="1" si="51"/>
        <v>761.3904</v>
      </c>
      <c r="E672" s="31">
        <f t="shared" ca="1" si="52"/>
        <v>0</v>
      </c>
      <c r="F672" s="42">
        <f t="shared" ca="1" si="53"/>
        <v>27.5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19351202</v>
      </c>
      <c r="C673" s="26" t="str">
        <f>INDEX(Data,2,2+MOD(ROWS(C$2:C673)-1,2))</f>
        <v>15.00</v>
      </c>
      <c r="D673" s="41">
        <f t="shared" ca="1" si="51"/>
        <v>758.952</v>
      </c>
      <c r="E673" s="31">
        <f t="shared" ca="1" si="52"/>
        <v>0</v>
      </c>
      <c r="F673" s="42">
        <f t="shared" ca="1" si="53"/>
        <v>28.888888888888889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19351203</v>
      </c>
      <c r="C674" s="26" t="str">
        <f>INDEX(Data,2,2+MOD(ROWS(C$2:C674)-1,2))</f>
        <v>08.00</v>
      </c>
      <c r="D674" s="41">
        <f t="shared" ca="1" si="51"/>
        <v>761.13639999999998</v>
      </c>
      <c r="E674" s="31">
        <f t="shared" ca="1" si="52"/>
        <v>0</v>
      </c>
      <c r="F674" s="42">
        <f t="shared" ca="1" si="53"/>
        <v>27.5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19351203</v>
      </c>
      <c r="C675" s="26" t="str">
        <f>INDEX(Data,2,2+MOD(ROWS(C$2:C675)-1,2))</f>
        <v>15.00</v>
      </c>
      <c r="D675" s="41">
        <f t="shared" ca="1" si="51"/>
        <v>758.77419999999995</v>
      </c>
      <c r="E675" s="31">
        <f t="shared" ca="1" si="52"/>
        <v>0</v>
      </c>
      <c r="F675" s="42">
        <f t="shared" ca="1" si="53"/>
        <v>28.333333333333332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19351204</v>
      </c>
      <c r="C676" s="26" t="str">
        <f>INDEX(Data,2,2+MOD(ROWS(C$2:C676)-1,2))</f>
        <v>08.00</v>
      </c>
      <c r="D676" s="41">
        <f t="shared" ca="1" si="51"/>
        <v>760.65379999999993</v>
      </c>
      <c r="E676" s="31">
        <f t="shared" ca="1" si="52"/>
        <v>0</v>
      </c>
      <c r="F676" s="42">
        <f t="shared" ca="1" si="53"/>
        <v>27.5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19351204</v>
      </c>
      <c r="C677" s="26" t="str">
        <f>INDEX(Data,2,2+MOD(ROWS(C$2:C677)-1,2))</f>
        <v>15.00</v>
      </c>
      <c r="D677" s="41">
        <f t="shared" ca="1" si="51"/>
        <v>758.44399999999996</v>
      </c>
      <c r="E677" s="31">
        <f t="shared" ca="1" si="52"/>
        <v>0</v>
      </c>
      <c r="F677" s="42">
        <f t="shared" ca="1" si="53"/>
        <v>28.888888888888889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19351205</v>
      </c>
      <c r="C678" s="26" t="str">
        <f>INDEX(Data,2,2+MOD(ROWS(C$2:C678)-1,2))</f>
        <v>08.00</v>
      </c>
      <c r="D678" s="41">
        <f t="shared" ca="1" si="51"/>
        <v>761.3904</v>
      </c>
      <c r="E678" s="31">
        <f t="shared" ca="1" si="52"/>
        <v>0</v>
      </c>
      <c r="F678" s="42">
        <f t="shared" ca="1" si="53"/>
        <v>27.5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19351205</v>
      </c>
      <c r="C679" s="26" t="str">
        <f>INDEX(Data,2,2+MOD(ROWS(C$2:C679)-1,2))</f>
        <v>15.00</v>
      </c>
      <c r="D679" s="41">
        <f t="shared" ca="1" si="51"/>
        <v>759.23140000000001</v>
      </c>
      <c r="E679" s="31">
        <f t="shared" ca="1" si="52"/>
        <v>0</v>
      </c>
      <c r="F679" s="42">
        <f t="shared" ca="1" si="53"/>
        <v>28.611111111111111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19351206</v>
      </c>
      <c r="C680" s="26" t="str">
        <f>INDEX(Data,2,2+MOD(ROWS(C$2:C680)-1,2))</f>
        <v>08.00</v>
      </c>
      <c r="D680" s="41">
        <f t="shared" ca="1" si="51"/>
        <v>761.64440000000002</v>
      </c>
      <c r="E680" s="31">
        <f t="shared" ca="1" si="52"/>
        <v>0</v>
      </c>
      <c r="F680" s="42">
        <f t="shared" ca="1" si="53"/>
        <v>27.5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19351206</v>
      </c>
      <c r="C681" s="26" t="str">
        <f>INDEX(Data,2,2+MOD(ROWS(C$2:C681)-1,2))</f>
        <v>15.00</v>
      </c>
      <c r="D681" s="41">
        <f t="shared" ca="1" si="51"/>
        <v>759.40919999999994</v>
      </c>
      <c r="E681" s="31">
        <f t="shared" ca="1" si="52"/>
        <v>0</v>
      </c>
      <c r="F681" s="42">
        <f t="shared" ca="1" si="53"/>
        <v>27.222222222222221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19351207</v>
      </c>
      <c r="C682" s="26" t="str">
        <f>INDEX(Data,2,2+MOD(ROWS(C$2:C682)-1,2))</f>
        <v>08.00</v>
      </c>
      <c r="D682" s="41">
        <f t="shared" ca="1" si="51"/>
        <v>762.20319999999992</v>
      </c>
      <c r="E682" s="31">
        <f t="shared" ca="1" si="52"/>
        <v>0</v>
      </c>
      <c r="F682" s="42">
        <f t="shared" ca="1" si="53"/>
        <v>26.944444444444443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19351207</v>
      </c>
      <c r="C683" s="26" t="str">
        <f>INDEX(Data,2,2+MOD(ROWS(C$2:C683)-1,2))</f>
        <v>15.00</v>
      </c>
      <c r="D683" s="41">
        <f t="shared" ca="1" si="51"/>
        <v>760.29819999999995</v>
      </c>
      <c r="E683" s="31">
        <f t="shared" ca="1" si="52"/>
        <v>0</v>
      </c>
      <c r="F683" s="42">
        <f t="shared" ca="1" si="53"/>
        <v>28.333333333333332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19351208</v>
      </c>
      <c r="C684" s="26" t="str">
        <f>INDEX(Data,2,2+MOD(ROWS(C$2:C684)-1,2))</f>
        <v>08.00</v>
      </c>
      <c r="D684" s="41">
        <f t="shared" ca="1" si="51"/>
        <v>761.66980000000001</v>
      </c>
      <c r="E684" s="31">
        <f t="shared" ca="1" si="52"/>
        <v>0</v>
      </c>
      <c r="F684" s="42">
        <f t="shared" ca="1" si="53"/>
        <v>27.222222222222221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19351208</v>
      </c>
      <c r="C685" s="26" t="str">
        <f>INDEX(Data,2,2+MOD(ROWS(C$2:C685)-1,2))</f>
        <v>15.00</v>
      </c>
      <c r="D685" s="41">
        <f t="shared" ca="1" si="51"/>
        <v>759.07899999999995</v>
      </c>
      <c r="E685" s="31">
        <f t="shared" ca="1" si="52"/>
        <v>0</v>
      </c>
      <c r="F685" s="42">
        <f t="shared" ca="1" si="53"/>
        <v>27.777777777777779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19351209</v>
      </c>
      <c r="C686" s="26" t="str">
        <f>INDEX(Data,2,2+MOD(ROWS(C$2:C686)-1,2))</f>
        <v>08.00</v>
      </c>
      <c r="D686" s="41">
        <f t="shared" ca="1" si="51"/>
        <v>761.03480000000002</v>
      </c>
      <c r="E686" s="31">
        <f t="shared" ca="1" si="52"/>
        <v>0</v>
      </c>
      <c r="F686" s="42">
        <f t="shared" ca="1" si="53"/>
        <v>26.388888888888889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19351209</v>
      </c>
      <c r="C687" s="26" t="str">
        <f>INDEX(Data,2,2+MOD(ROWS(C$2:C687)-1,2))</f>
        <v>15.00</v>
      </c>
      <c r="D687" s="41">
        <f t="shared" ca="1" si="51"/>
        <v>759.30759999999998</v>
      </c>
      <c r="E687" s="31">
        <f t="shared" ca="1" si="52"/>
        <v>0</v>
      </c>
      <c r="F687" s="42">
        <f t="shared" ca="1" si="53"/>
        <v>28.055555555555557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19351210</v>
      </c>
      <c r="C688" s="26" t="str">
        <f>INDEX(Data,2,2+MOD(ROWS(C$2:C688)-1,2))</f>
        <v>08.00</v>
      </c>
      <c r="D688" s="41">
        <f t="shared" ca="1" si="51"/>
        <v>761.51739999999995</v>
      </c>
      <c r="E688" s="31">
        <f t="shared" ca="1" si="52"/>
        <v>0</v>
      </c>
      <c r="F688" s="42">
        <f t="shared" ca="1" si="53"/>
        <v>26.388888888888889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19351210</v>
      </c>
      <c r="C689" s="26" t="str">
        <f>INDEX(Data,2,2+MOD(ROWS(C$2:C689)-1,2))</f>
        <v>15.00</v>
      </c>
      <c r="D689" s="41">
        <f t="shared" ca="1" si="51"/>
        <v>759.07899999999995</v>
      </c>
      <c r="E689" s="31">
        <f t="shared" ca="1" si="52"/>
        <v>0</v>
      </c>
      <c r="F689" s="42">
        <f t="shared" ca="1" si="53"/>
        <v>27.777777777777779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19351211</v>
      </c>
      <c r="C690" s="26" t="str">
        <f>INDEX(Data,2,2+MOD(ROWS(C$2:C690)-1,2))</f>
        <v>08.00</v>
      </c>
      <c r="D690" s="41">
        <f t="shared" ca="1" si="51"/>
        <v>760.70459999999991</v>
      </c>
      <c r="E690" s="31">
        <f t="shared" ca="1" si="52"/>
        <v>0</v>
      </c>
      <c r="F690" s="42">
        <f t="shared" ca="1" si="53"/>
        <v>26.944444444444443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19351211</v>
      </c>
      <c r="C691" s="26" t="str">
        <f>INDEX(Data,2,2+MOD(ROWS(C$2:C691)-1,2))</f>
        <v>15.00</v>
      </c>
      <c r="D691" s="41">
        <f t="shared" ca="1" si="51"/>
        <v>758.01220000000001</v>
      </c>
      <c r="E691" s="31">
        <f t="shared" ca="1" si="52"/>
        <v>0</v>
      </c>
      <c r="F691" s="42">
        <f t="shared" ca="1" si="53"/>
        <v>28.333333333333332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19351212</v>
      </c>
      <c r="C692" s="26" t="str">
        <f>INDEX(Data,2,2+MOD(ROWS(C$2:C692)-1,2))</f>
        <v>08.00</v>
      </c>
      <c r="D692" s="41">
        <f t="shared" ca="1" si="51"/>
        <v>759.68859999999995</v>
      </c>
      <c r="E692" s="31">
        <f t="shared" ca="1" si="52"/>
        <v>0</v>
      </c>
      <c r="F692" s="42">
        <f t="shared" ca="1" si="53"/>
        <v>26.944444444444443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19351212</v>
      </c>
      <c r="C693" s="26" t="str">
        <f>INDEX(Data,2,2+MOD(ROWS(C$2:C693)-1,2))</f>
        <v>15.00</v>
      </c>
      <c r="D693" s="41">
        <f t="shared" ca="1" si="51"/>
        <v>757.25019999999995</v>
      </c>
      <c r="E693" s="31">
        <f t="shared" ca="1" si="52"/>
        <v>0</v>
      </c>
      <c r="F693" s="42">
        <f t="shared" ca="1" si="53"/>
        <v>28.333333333333332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19351213</v>
      </c>
      <c r="C694" s="26" t="str">
        <f>INDEX(Data,2,2+MOD(ROWS(C$2:C694)-1,2))</f>
        <v>08.00</v>
      </c>
      <c r="D694" s="41">
        <f t="shared" ca="1" si="51"/>
        <v>760.50139999999999</v>
      </c>
      <c r="E694" s="31">
        <f t="shared" ca="1" si="52"/>
        <v>0</v>
      </c>
      <c r="F694" s="42">
        <f t="shared" ca="1" si="53"/>
        <v>26.666666666666668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19351213</v>
      </c>
      <c r="C695" s="26" t="str">
        <f>INDEX(Data,2,2+MOD(ROWS(C$2:C695)-1,2))</f>
        <v>15.00</v>
      </c>
      <c r="D695" s="41">
        <f t="shared" ca="1" si="51"/>
        <v>757.78359999999998</v>
      </c>
      <c r="E695" s="31">
        <f t="shared" ca="1" si="52"/>
        <v>0</v>
      </c>
      <c r="F695" s="42">
        <f t="shared" ca="1" si="53"/>
        <v>28.055555555555557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19351214</v>
      </c>
      <c r="C696" s="26" t="str">
        <f>INDEX(Data,2,2+MOD(ROWS(C$2:C696)-1,2))</f>
        <v>08.00</v>
      </c>
      <c r="D696" s="41">
        <f t="shared" ca="1" si="51"/>
        <v>760.01879999999994</v>
      </c>
      <c r="E696" s="31">
        <f t="shared" ca="1" si="52"/>
        <v>0</v>
      </c>
      <c r="F696" s="42">
        <f t="shared" ca="1" si="53"/>
        <v>26.388888888888889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19351214</v>
      </c>
      <c r="C697" s="26" t="str">
        <f>INDEX(Data,2,2+MOD(ROWS(C$2:C697)-1,2))</f>
        <v>15.00</v>
      </c>
      <c r="D697" s="41">
        <f t="shared" ca="1" si="51"/>
        <v>756.99619999999993</v>
      </c>
      <c r="E697" s="31">
        <f t="shared" ca="1" si="52"/>
        <v>0</v>
      </c>
      <c r="F697" s="42">
        <f t="shared" ca="1" si="53"/>
        <v>28.333333333333332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19351215</v>
      </c>
      <c r="C698" s="26" t="str">
        <f>INDEX(Data,2,2+MOD(ROWS(C$2:C698)-1,2))</f>
        <v>08.00</v>
      </c>
      <c r="D698" s="41">
        <f t="shared" ca="1" si="51"/>
        <v>759.99339999999995</v>
      </c>
      <c r="E698" s="31">
        <f t="shared" ca="1" si="52"/>
        <v>0</v>
      </c>
      <c r="F698" s="42">
        <f t="shared" ca="1" si="53"/>
        <v>26.666666666666668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19351215</v>
      </c>
      <c r="C699" s="26" t="str">
        <f>INDEX(Data,2,2+MOD(ROWS(C$2:C699)-1,2))</f>
        <v>15.00</v>
      </c>
      <c r="D699" s="41">
        <f t="shared" ca="1" si="51"/>
        <v>757.52959999999996</v>
      </c>
      <c r="E699" s="31">
        <f t="shared" ca="1" si="52"/>
        <v>0</v>
      </c>
      <c r="F699" s="42">
        <f t="shared" ca="1" si="53"/>
        <v>28.055555555555557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19351216</v>
      </c>
      <c r="C700" s="26" t="str">
        <f>INDEX(Data,2,2+MOD(ROWS(C$2:C700)-1,2))</f>
        <v>08.00</v>
      </c>
      <c r="D700" s="41">
        <f t="shared" ca="1" si="51"/>
        <v>760.50139999999999</v>
      </c>
      <c r="E700" s="31">
        <f t="shared" ca="1" si="52"/>
        <v>0</v>
      </c>
      <c r="F700" s="42">
        <f t="shared" ca="1" si="53"/>
        <v>26.666666666666668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19351216</v>
      </c>
      <c r="C701" s="26" t="str">
        <f>INDEX(Data,2,2+MOD(ROWS(C$2:C701)-1,2))</f>
        <v>15.00</v>
      </c>
      <c r="D701" s="41">
        <f t="shared" ca="1" si="51"/>
        <v>758.06299999999999</v>
      </c>
      <c r="E701" s="31">
        <f t="shared" ca="1" si="52"/>
        <v>0</v>
      </c>
      <c r="F701" s="42">
        <f t="shared" ca="1" si="53"/>
        <v>27.777777777777779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19351217</v>
      </c>
      <c r="C702" s="26" t="str">
        <f>INDEX(Data,2,2+MOD(ROWS(C$2:C702)-1,2))</f>
        <v>08.00</v>
      </c>
      <c r="D702" s="41">
        <f t="shared" ca="1" si="51"/>
        <v>760.50139999999999</v>
      </c>
      <c r="E702" s="31">
        <f t="shared" ca="1" si="52"/>
        <v>0</v>
      </c>
      <c r="F702" s="42">
        <f t="shared" ca="1" si="53"/>
        <v>26.666666666666668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19351217</v>
      </c>
      <c r="C703" s="26" t="str">
        <f>INDEX(Data,2,2+MOD(ROWS(C$2:C703)-1,2))</f>
        <v>15.00</v>
      </c>
      <c r="D703" s="41">
        <f t="shared" ca="1" si="51"/>
        <v>758.79959999999994</v>
      </c>
      <c r="E703" s="31">
        <f t="shared" ca="1" si="52"/>
        <v>0</v>
      </c>
      <c r="F703" s="42">
        <f t="shared" ca="1" si="53"/>
        <v>28.055555555555557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19351218</v>
      </c>
      <c r="C704" s="26" t="str">
        <f>INDEX(Data,2,2+MOD(ROWS(C$2:C704)-1,2))</f>
        <v>08.00</v>
      </c>
      <c r="D704" s="41">
        <f t="shared" ca="1" si="51"/>
        <v>762.25400000000002</v>
      </c>
      <c r="E704" s="31">
        <f t="shared" ca="1" si="52"/>
        <v>0</v>
      </c>
      <c r="F704" s="42">
        <f t="shared" ca="1" si="53"/>
        <v>26.666666666666668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19351218</v>
      </c>
      <c r="C705" s="26" t="str">
        <f>INDEX(Data,2,2+MOD(ROWS(C$2:C705)-1,2))</f>
        <v>15.00</v>
      </c>
      <c r="D705" s="41">
        <f t="shared" ca="1" si="51"/>
        <v>760.34899999999993</v>
      </c>
      <c r="E705" s="31">
        <f t="shared" ca="1" si="52"/>
        <v>0</v>
      </c>
      <c r="F705" s="42">
        <f t="shared" ca="1" si="53"/>
        <v>27.777777777777779</v>
      </c>
      <c r="G705" s="31">
        <f t="shared" ca="1" si="54"/>
        <v>0</v>
      </c>
    </row>
    <row r="706" spans="1:7" x14ac:dyDescent="0.25">
      <c r="A706" s="12">
        <f t="shared" ref="A706:A731" si="55">INDEX(Stations,2,1)</f>
        <v>44</v>
      </c>
      <c r="B706" t="str">
        <f ca="1">TEXT(DATE(YEAR(Invoer!$A$5),1,1)+INT((ROWS(B$2:B706)-1)/2),"jjjjmmdd")</f>
        <v>19351219</v>
      </c>
      <c r="C706" s="26" t="str">
        <f>INDEX(Data,2,2+MOD(ROWS(C$2:C706)-1,2))</f>
        <v>08.00</v>
      </c>
      <c r="D706" s="41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762.76199999999994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26.666666666666668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19351219</v>
      </c>
      <c r="C707" s="26" t="str">
        <f>INDEX(Data,2,2+MOD(ROWS(C$2:C707)-1,2))</f>
        <v>15.00</v>
      </c>
      <c r="D707" s="41">
        <f t="shared" ca="1" si="56"/>
        <v>760.60299999999995</v>
      </c>
      <c r="E707" s="31">
        <f t="shared" ca="1" si="57"/>
        <v>0</v>
      </c>
      <c r="F707" s="42">
        <f t="shared" ca="1" si="58"/>
        <v>27.777777777777779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19351220</v>
      </c>
      <c r="C708" s="26" t="str">
        <f>INDEX(Data,2,2+MOD(ROWS(C$2:C708)-1,2))</f>
        <v>08.00</v>
      </c>
      <c r="D708" s="41">
        <f t="shared" ca="1" si="56"/>
        <v>762</v>
      </c>
      <c r="E708" s="31">
        <f t="shared" ca="1" si="57"/>
        <v>0</v>
      </c>
      <c r="F708" s="42">
        <f t="shared" ca="1" si="58"/>
        <v>26.666666666666668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19351220</v>
      </c>
      <c r="C709" s="26" t="str">
        <f>INDEX(Data,2,2+MOD(ROWS(C$2:C709)-1,2))</f>
        <v>15.00</v>
      </c>
      <c r="D709" s="41">
        <f t="shared" ca="1" si="56"/>
        <v>760.09499999999991</v>
      </c>
      <c r="E709" s="31">
        <f t="shared" ca="1" si="57"/>
        <v>0</v>
      </c>
      <c r="F709" s="42">
        <f t="shared" ca="1" si="58"/>
        <v>27.777777777777779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19351221</v>
      </c>
      <c r="C710" s="26" t="str">
        <f>INDEX(Data,2,2+MOD(ROWS(C$2:C710)-1,2))</f>
        <v>08.00</v>
      </c>
      <c r="D710" s="41">
        <f t="shared" ca="1" si="56"/>
        <v>762</v>
      </c>
      <c r="E710" s="31">
        <f t="shared" ca="1" si="57"/>
        <v>0</v>
      </c>
      <c r="F710" s="42">
        <f t="shared" ca="1" si="58"/>
        <v>26.666666666666668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19351221</v>
      </c>
      <c r="C711" s="26" t="str">
        <f>INDEX(Data,2,2+MOD(ROWS(C$2:C711)-1,2))</f>
        <v>15.00</v>
      </c>
      <c r="D711" s="41">
        <f t="shared" ca="1" si="56"/>
        <v>760.06959999999992</v>
      </c>
      <c r="E711" s="31">
        <f t="shared" ca="1" si="57"/>
        <v>0</v>
      </c>
      <c r="F711" s="42">
        <f t="shared" ca="1" si="58"/>
        <v>28.055555555555557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19351222</v>
      </c>
      <c r="C712" s="26" t="str">
        <f>INDEX(Data,2,2+MOD(ROWS(C$2:C712)-1,2))</f>
        <v>08.00</v>
      </c>
      <c r="D712" s="41">
        <f t="shared" ca="1" si="56"/>
        <v>762.27940000000001</v>
      </c>
      <c r="E712" s="31">
        <f t="shared" ca="1" si="57"/>
        <v>0</v>
      </c>
      <c r="F712" s="42">
        <f t="shared" ca="1" si="58"/>
        <v>26.388888888888889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19351222</v>
      </c>
      <c r="C713" s="26" t="str">
        <f>INDEX(Data,2,2+MOD(ROWS(C$2:C713)-1,2))</f>
        <v>15.00</v>
      </c>
      <c r="D713" s="41">
        <f t="shared" ca="1" si="56"/>
        <v>760.32359999999994</v>
      </c>
      <c r="E713" s="31">
        <f t="shared" ca="1" si="57"/>
        <v>0</v>
      </c>
      <c r="F713" s="42">
        <f t="shared" ca="1" si="58"/>
        <v>28.055555555555557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19351223</v>
      </c>
      <c r="C714" s="26" t="str">
        <f>INDEX(Data,2,2+MOD(ROWS(C$2:C714)-1,2))</f>
        <v>08.00</v>
      </c>
      <c r="D714" s="41">
        <f t="shared" ca="1" si="56"/>
        <v>762.50799999999992</v>
      </c>
      <c r="E714" s="31">
        <f t="shared" ca="1" si="57"/>
        <v>0</v>
      </c>
      <c r="F714" s="42">
        <f t="shared" ca="1" si="58"/>
        <v>26.666666666666668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19351223</v>
      </c>
      <c r="C715" s="26" t="str">
        <f>INDEX(Data,2,2+MOD(ROWS(C$2:C715)-1,2))</f>
        <v>15.00</v>
      </c>
      <c r="D715" s="41">
        <f t="shared" ca="1" si="56"/>
        <v>760.83159999999998</v>
      </c>
      <c r="E715" s="31">
        <f t="shared" ca="1" si="57"/>
        <v>0</v>
      </c>
      <c r="F715" s="42">
        <f t="shared" ca="1" si="58"/>
        <v>28.055555555555557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19351224</v>
      </c>
      <c r="C716" s="26" t="str">
        <f>INDEX(Data,2,2+MOD(ROWS(C$2:C716)-1,2))</f>
        <v>08.00</v>
      </c>
      <c r="D716" s="41">
        <f t="shared" ca="1" si="56"/>
        <v>762.43179999999995</v>
      </c>
      <c r="E716" s="31">
        <f t="shared" ca="1" si="57"/>
        <v>0</v>
      </c>
      <c r="F716" s="42">
        <f t="shared" ca="1" si="58"/>
        <v>27.222222222222221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19351224</v>
      </c>
      <c r="C717" s="26" t="str">
        <f>INDEX(Data,2,2+MOD(ROWS(C$2:C717)-1,2))</f>
        <v>15.00</v>
      </c>
      <c r="D717" s="41">
        <f t="shared" ca="1" si="56"/>
        <v>760.80619999999999</v>
      </c>
      <c r="E717" s="31">
        <f t="shared" ca="1" si="57"/>
        <v>0</v>
      </c>
      <c r="F717" s="42">
        <f t="shared" ca="1" si="58"/>
        <v>28.333333333333332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19351225</v>
      </c>
      <c r="C718" s="26" t="str">
        <f>INDEX(Data,2,2+MOD(ROWS(C$2:C718)-1,2))</f>
        <v>08.00</v>
      </c>
      <c r="D718" s="41">
        <f t="shared" ca="1" si="56"/>
        <v>762.02539999999999</v>
      </c>
      <c r="E718" s="31">
        <f t="shared" ca="1" si="57"/>
        <v>0</v>
      </c>
      <c r="F718" s="42">
        <f t="shared" ca="1" si="58"/>
        <v>26.388888888888889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19351225</v>
      </c>
      <c r="C719" s="26" t="str">
        <f>INDEX(Data,2,2+MOD(ROWS(C$2:C719)-1,2))</f>
        <v>15.00</v>
      </c>
      <c r="D719" s="41">
        <f t="shared" ca="1" si="56"/>
        <v>760.55219999999997</v>
      </c>
      <c r="E719" s="31">
        <f t="shared" ca="1" si="57"/>
        <v>0</v>
      </c>
      <c r="F719" s="42">
        <f t="shared" ca="1" si="58"/>
        <v>28.333333333333332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19351226</v>
      </c>
      <c r="C720" s="26" t="str">
        <f>INDEX(Data,2,2+MOD(ROWS(C$2:C720)-1,2))</f>
        <v>08.00</v>
      </c>
      <c r="D720" s="41">
        <f t="shared" ca="1" si="56"/>
        <v>761.94920000000002</v>
      </c>
      <c r="E720" s="31">
        <f t="shared" ca="1" si="57"/>
        <v>0</v>
      </c>
      <c r="F720" s="42">
        <f t="shared" ca="1" si="58"/>
        <v>26.944444444444443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19351226</v>
      </c>
      <c r="C721" s="26" t="str">
        <f>INDEX(Data,2,2+MOD(ROWS(C$2:C721)-1,2))</f>
        <v>15.00</v>
      </c>
      <c r="D721" s="41">
        <f t="shared" ca="1" si="56"/>
        <v>760.06959999999992</v>
      </c>
      <c r="E721" s="31">
        <f t="shared" ca="1" si="57"/>
        <v>0</v>
      </c>
      <c r="F721" s="42">
        <f t="shared" ca="1" si="58"/>
        <v>28.055555555555557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19351227</v>
      </c>
      <c r="C722" s="26" t="str">
        <f>INDEX(Data,2,2+MOD(ROWS(C$2:C722)-1,2))</f>
        <v>08.00</v>
      </c>
      <c r="D722" s="41">
        <f t="shared" ca="1" si="56"/>
        <v>761.49199999999996</v>
      </c>
      <c r="E722" s="31">
        <f t="shared" ca="1" si="57"/>
        <v>0</v>
      </c>
      <c r="F722" s="42">
        <f t="shared" ca="1" si="58"/>
        <v>26.666666666666668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19351227</v>
      </c>
      <c r="C723" s="26" t="str">
        <f>INDEX(Data,2,2+MOD(ROWS(C$2:C723)-1,2))</f>
        <v>15.00</v>
      </c>
      <c r="D723" s="41">
        <f t="shared" ca="1" si="56"/>
        <v>759.53620000000001</v>
      </c>
      <c r="E723" s="31">
        <f t="shared" ca="1" si="57"/>
        <v>0</v>
      </c>
      <c r="F723" s="42">
        <f t="shared" ca="1" si="58"/>
        <v>28.333333333333332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19351228</v>
      </c>
      <c r="C724" s="26" t="str">
        <f>INDEX(Data,2,2+MOD(ROWS(C$2:C724)-1,2))</f>
        <v>08.00</v>
      </c>
      <c r="D724" s="41">
        <f t="shared" ca="1" si="56"/>
        <v>761.00939999999991</v>
      </c>
      <c r="E724" s="31">
        <f t="shared" ca="1" si="57"/>
        <v>0</v>
      </c>
      <c r="F724" s="42">
        <f t="shared" ca="1" si="58"/>
        <v>26.666666666666668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19351228</v>
      </c>
      <c r="C725" s="26" t="str">
        <f>INDEX(Data,2,2+MOD(ROWS(C$2:C725)-1,2))</f>
        <v>15.00</v>
      </c>
      <c r="D725" s="41">
        <f t="shared" ca="1" si="56"/>
        <v>759.33299999999997</v>
      </c>
      <c r="E725" s="31">
        <f t="shared" ca="1" si="57"/>
        <v>0</v>
      </c>
      <c r="F725" s="42">
        <f t="shared" ca="1" si="58"/>
        <v>27.777777777777779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19351229</v>
      </c>
      <c r="C726" s="26" t="str">
        <f>INDEX(Data,2,2+MOD(ROWS(C$2:C726)-1,2))</f>
        <v>08.00</v>
      </c>
      <c r="D726" s="41">
        <f t="shared" ca="1" si="56"/>
        <v>762.20319999999992</v>
      </c>
      <c r="E726" s="31">
        <f t="shared" ca="1" si="57"/>
        <v>0</v>
      </c>
      <c r="F726" s="42">
        <f t="shared" ca="1" si="58"/>
        <v>26.944444444444443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19351229</v>
      </c>
      <c r="C727" s="26" t="str">
        <f>INDEX(Data,2,2+MOD(ROWS(C$2:C727)-1,2))</f>
        <v>15.00</v>
      </c>
      <c r="D727" s="41">
        <f t="shared" ca="1" si="56"/>
        <v>759.81560000000002</v>
      </c>
      <c r="E727" s="31">
        <f t="shared" ca="1" si="57"/>
        <v>0</v>
      </c>
      <c r="F727" s="42">
        <f t="shared" ca="1" si="58"/>
        <v>28.055555555555557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19351230</v>
      </c>
      <c r="C728" s="26" t="str">
        <f>INDEX(Data,2,2+MOD(ROWS(C$2:C728)-1,2))</f>
        <v>08.00</v>
      </c>
      <c r="D728" s="41">
        <f t="shared" ca="1" si="56"/>
        <v>762.25400000000002</v>
      </c>
      <c r="E728" s="31">
        <f t="shared" ca="1" si="57"/>
        <v>0</v>
      </c>
      <c r="F728" s="42">
        <f t="shared" ca="1" si="58"/>
        <v>26.666666666666668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19351230</v>
      </c>
      <c r="C729" s="26" t="str">
        <f>INDEX(Data,2,2+MOD(ROWS(C$2:C729)-1,2))</f>
        <v>15.00</v>
      </c>
      <c r="D729" s="41">
        <f t="shared" ca="1" si="56"/>
        <v>760.32359999999994</v>
      </c>
      <c r="E729" s="31">
        <f t="shared" ca="1" si="57"/>
        <v>0</v>
      </c>
      <c r="F729" s="42">
        <f t="shared" ca="1" si="58"/>
        <v>28.055555555555557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19351231</v>
      </c>
      <c r="C730" s="26" t="str">
        <f>INDEX(Data,2,2+MOD(ROWS(C$2:C730)-1,2))</f>
        <v>08.00</v>
      </c>
      <c r="D730" s="41">
        <f t="shared" ca="1" si="56"/>
        <v>762.76199999999994</v>
      </c>
      <c r="E730" s="31">
        <f t="shared" ca="1" si="57"/>
        <v>0</v>
      </c>
      <c r="F730" s="42">
        <f t="shared" ca="1" si="58"/>
        <v>26.666666666666668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19351231</v>
      </c>
      <c r="C731" s="26" t="str">
        <f>INDEX(Data,2,2+MOD(ROWS(C$2:C731)-1,2))</f>
        <v>15.00</v>
      </c>
      <c r="D731" s="41">
        <f t="shared" ca="1" si="56"/>
        <v>760.55219999999997</v>
      </c>
      <c r="E731" s="31">
        <f t="shared" ca="1" si="57"/>
        <v>0</v>
      </c>
      <c r="F731" s="42">
        <f t="shared" ca="1" si="58"/>
        <v>28.333333333333332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044, 19350101, 1,   84, 00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044, 19350102, 1,    0, 00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044, 19350103, 1,   34, 00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044, 19350104, 1,    0, 00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044, 19350105, 1,    0, 00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044, 19350106, 1,    0, 00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044, 19350107, 1,    0, 00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044, 19350108, 1,    0, 00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044, 19350109, 1,    0, 00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044, 19350110, 1,    0, 00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044, 19350111, 1,    0, 00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044, 19350112, 1,    0, 00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044, 19350113, 1,    0, 00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044, 19350114, 1,    0, 00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044, 19350115, 1,    0, 00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044, 19350116, 1,    0, 00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044, 19350117, 1,    0, 00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044, 19350118, 1,    0, 00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044, 19350119, 1,    0, 00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044, 19350120, 1,    0, 00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044, 19350121, 1,   81, 00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044, 19350122, 1,    0, 00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044, 19350123, 1,    0, 00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044, 19350124, 1,    0, 00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044, 19350125, 1,    0, 00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044, 19350126, 1,    0, 00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044, 19350127, 1,    0, 00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044, 19350128, 1,    0, 00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044, 19350129, 1,    0, 00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044, 19350130, 1,    0, 00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044, 19350131, 1,    0, 00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044, 19350201, 1,    0, 00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044, 19350202, 1,    0, 00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044, 19350203, 1,    0, 00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044, 19350204, 1,    0, 00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044, 19350205, 1,    0, 00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044, 19350206, 1,    0, 00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044, 19350207, 1,   29, 00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044, 19350208, 1,    0, 00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044, 19350209, 1,   16, 00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044, 19350210, 1,    0, 00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044, 19350211, 1,    0, 00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044, 19350212, 1,    2, 00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044, 19350213, 1,    0, 00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044, 19350214, 1,    0, 00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044, 19350215, 1,    0, 00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044, 19350216, 1,    0, 00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044, 19350217, 1,    0, 00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044, 19350218, 1,  156, 00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044, 19350219, 1,    0, 00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044, 19350220, 1,    0, 00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044, 19350221, 1,    0, 00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044, 19350222, 1,    0, 00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044, 19350223, 1,    0, 00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044, 19350224, 1,    0, 00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044, 19350225, 1,    0, 00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044, 19350226, 1,    0, 00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044, 19350227, 1,    0, 00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044, 19350228, 1,   68, 00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044, 19350301, 1,    0, 00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044, 19350302, 1,    0, 00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044, 19350303, 1,    0, 00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044, 19350304, 1,    0, 00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044, 19350305, 1,    0, 00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044, 19350306, 1,    0, 00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044, 19350307, 1,    0, 00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044, 19350308, 1,    0, 00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044, 19350309, 1,    0, 00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044, 19350310, 1,    0, 00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044, 19350311, 1,    0, 00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044, 19350312, 1,    0, 00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044, 19350313, 1,    0, 00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044, 19350314, 1,    0, 00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044, 19350315, 1,    0, 00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044, 19350316, 1,  101, 00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044, 19350317, 1,    0, 00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044, 19350318, 1,    0, 00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044, 19350319, 1,    0, 00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044, 19350320, 1,   26, 00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044, 19350321, 1,    0, 00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044, 19350322, 1,    0, 00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044, 19350323, 1,    0, 00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044, 19350324, 1,    0, 00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044, 19350325, 1,    0, 00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044, 19350326, 1,    0, 00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044, 19350327, 1,    0, 00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044, 19350328, 1,    0, 00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044, 19350329, 1,    0, 00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044, 19350330, 1,    0, 00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044, 19350331, 1,    0, 00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044, 19350401, 1,    0, 00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044, 19350402, 1,    0, 00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044, 19350403, 1,   60, 00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044, 19350404, 1,    0, 00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044, 19350405, 1,    0, 00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044, 19350406, 1,    0, 00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044, 19350407, 1,    0, 00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044, 19350408, 1,    0, 00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044, 19350409, 1,    0, 00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044, 19350410, 1,    0, 00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044, 19350411, 1,    0, 00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044, 19350412, 1,    0, 00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044, 19350413, 1,    0, 00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044, 19350414, 1,    0, 00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044, 19350415, 1,    0, 00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044, 19350416, 1,    0, 00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044, 19350417, 1,    0, 00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044, 19350418, 1,    0, 00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044, 19350419, 1,    0, 00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044, 19350420, 1,    0, 00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044, 19350421, 1,    0, 00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044, 19350422, 1,    0, 00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044, 19350423, 1,    0, 00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044, 19350424, 1,    0, 00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044, 19350425, 1,    0, 00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044, 19350426, 1,    0, 00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044, 19350427, 1,    0, 00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044, 19350428, 1,    0, 00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044, 19350429, 1,    0, 00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044, 19350430, 1,    0, 00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044, 19350501, 1,    0, 00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044, 19350502, 1,    0, 00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044, 19350503, 1,    0, 00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044, 19350504, 1,    0, 00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044, 19350505, 1,    0, 00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044, 19350506, 1,   55, 00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044, 19350507, 1,    0, 00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044, 19350508, 1,    0, 00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044, 19350509, 1,  100, 00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044, 19350510, 1,    0, 00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044, 19350511, 1,    0, 00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044, 19350512, 1,    0, 00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044, 19350513, 1,    0, 00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044, 19350514, 1,    0, 00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044, 19350515, 1,    0, 00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044, 19350516, 1,    0, 00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044, 19350517, 1,    0, 00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044, 19350518, 1,    0, 00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044, 19350519, 1,    0, 00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044, 19350520, 1,    0, 00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044, 19350521, 1,    0, 00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044, 19350522, 1,    0, 00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044, 19350523, 1,    0, 00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044, 19350524, 1,    0, 00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044, 19350525, 1,    0, 00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044, 19350526, 1,    0, 00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044, 19350527, 1,    0, 00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044, 19350528, 1,    0, 00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044, 19350529, 1,    0, 00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044, 19350530, 1,    0, 00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044, 19350531, 1,   21, 00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044, 19350601, 1,    0, 00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044, 19350602, 1,   46, 00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044, 19350603, 1,    0, 00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044, 19350604, 1,    0, 00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044, 19350605, 1,    0, 00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044, 19350606, 1,    0, 00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044, 19350607, 1,    0, 00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044, 19350608, 1,    0, 00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044, 19350609, 1,    0, 00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044, 19350610, 1,    0, 00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044, 19350611, 1,    0, 00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044, 19350612, 1,    0, 00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044, 19350613, 1,    0, 00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044, 19350614, 1,    0, 00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044, 19350615, 1,    0, 00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044, 19350616, 1,    0, 00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044, 19350617, 1,    0, 00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044, 19350618, 1,    0, 00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044, 19350619, 1,    0, 00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044, 19350620, 1,    0, 00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044, 19350621, 1,   35, 00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044, 19350622, 1,    0, 00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044, 19350623, 1,    0, 00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044, 19350624, 1,    0, 00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044, 19350625, 1,    0, 00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044, 19350626, 1,    0, 00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044, 19350627, 1,    0, 00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044, 19350628, 1,    0, 00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044, 19350629, 1,    0, 00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044, 19350630, 1,    0, 00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044, 19350701, 1,    0, 00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044, 19350702, 1,   20, 00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044, 19350703, 1,    0, 00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044, 19350704, 1,    0, 00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044, 19350705, 1,    0, 00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044, 19350706, 1,    0, 00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044, 19350707, 1,    0, 00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044, 19350708, 1,    0, 00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044, 19350709, 1,   95, 00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044, 19350710, 1,    0, 00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044, 19350711, 1,    0, 00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044, 19350712, 1,    0, 00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044, 19350713, 1,    0, 00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044, 19350714, 1,    0, 00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044, 19350715, 1,   30, 00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044, 19350716, 1,    0, 00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044, 19350717, 1,    0, 00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044, 19350718, 1,   14, 00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044, 19350719, 1,   47, 00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044, 19350720, 1,    0, 00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044, 19350721, 1,    0, 00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044, 19350722, 1,    0, 00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044, 19350723, 1,    0, 00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044, 19350724, 1,    0, 00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044, 19350725, 1,    0, 00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044, 19350726, 1,    0, 00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044, 19350727, 1,   46, 00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044, 19350728, 1,    0, 00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044, 19350729, 1,    0, 00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044, 19350730, 1,    0, 00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044, 19350731, 1,    0, 00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044, 19350801, 1,   58, 00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044, 19350802, 1,    0, 00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044, 19350803, 1,    0, 00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044, 19350804, 1,    0, 00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044, 19350805, 1,    0, 00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044, 19350806, 1,    0, 00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044, 19350807, 1,    0, 00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044, 19350808, 1,    0, 00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044, 19350809, 1,    0, 00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044, 19350810, 1,    0, 00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044, 19350811, 1,    0, 00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044, 19350812, 1,  208, 00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044, 19350813, 1,    0, 00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044, 19350814, 1,    0, 00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044, 19350815, 1,    0, 00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044, 19350816, 1,    0, 00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044, 19350817, 1,    0, 00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044, 19350818, 1,    0, 00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044, 19350819, 1,    0, 00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044, 19350820, 1,    0, 00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044, 19350821, 1,    0, 00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044, 19350822, 1,    0, 00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044, 19350823, 1,    0, 00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044, 19350824, 1,    0, 00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044, 19350825, 1,  854, 00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044, 19350826, 1,    0, 00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044, 19350827, 1,   46, 00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044, 19350828, 1,    0, 00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044, 19350829, 1,    0, 00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044, 19350830, 1,    0, 00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044, 19350831, 1,    0, 00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044, 19350901, 1,    0, 00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044, 19350902, 1,    0, 00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044, 19350903, 1,    0, 00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044, 19350904, 1,    0, 00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044, 19350905, 1,    0, 00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044, 19350906, 1,    0, 00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044, 19350907, 1,    0, 00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044, 19350908, 1,    0, 00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044, 19350909, 1,    0, 00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044, 19350910, 1,   24, 00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044, 19350911, 1,    0, 00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044, 19350912, 1,    0, 00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044, 19350913, 1,    0, 00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044, 19350914, 1,    0, 00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044, 19350915, 1,    0, 00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044, 19350916, 1,    0, 00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044, 19350917, 1,    0, 00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044, 19350918, 1,    0, 00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044, 19350919, 1,    0, 00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044, 19350920, 1,    0, 00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044, 19350921, 1,    0, 00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044, 19350922, 1,  167, 00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044, 19350923, 1,    0, 00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044, 19350924, 1,   26, 00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044, 19350925, 1,    0, 00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044, 19350926, 1,    0, 00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044, 19350927, 1,    0, 00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044, 19350928, 1,    0, 00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044, 19350929, 1,    0, 00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044, 19350930, 1,   90, 00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044, 19351001, 1,    0, 00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044, 19351002, 1,    0, 00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044, 19351003, 1,    0, 00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044, 19351004, 1,    0, 00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044, 19351005, 1,    0, 00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044, 19351006, 1,    0, 00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044, 19351007, 1,  181, 00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044, 19351008, 1,    0, 00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044, 19351009, 1,   75, 00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044, 19351010, 1,    0, 00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044, 19351011, 1,    0, 00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044, 19351012, 1,    0, 00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044, 19351013, 1,    0, 00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044, 19351014, 1,    0, 00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044, 19351015, 1,  335, 00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044, 19351016, 1,    0, 00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044, 19351017, 1,    0, 00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044, 19351018, 1,    0, 00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044, 19351019, 1,    0, 00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044, 19351020, 1,   12, 00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044, 19351021, 1,    0, 00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044, 19351022, 1,    0, 00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044, 19351023, 1,    0, 00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044, 19351024, 1,    0, 00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044, 19351025, 1,    0, 00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044, 19351026, 1,    0, 00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044, 19351027, 1,    0, 00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044, 19351028, 1,    0, 00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044, 19351029, 1,    0, 00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044, 19351030, 1,   89, 00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044, 19351031, 1,  660, 00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044, 19351101, 1,  195, 00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044, 19351102, 1,   16, 00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044, 19351103, 1,    0, 00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044, 19351104, 1,    0, 00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044, 19351105, 1,    0, 00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044, 19351106, 1,    0, 00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044, 19351107, 1,   19, 00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044, 19351108, 1,    0, 00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044, 19351109, 1,  255, 00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044, 19351110, 1,    0, 00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044, 19351111, 1,   57, 00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044, 19351112, 1,    0, 00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044, 19351113, 1,   57, 00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044, 19351114, 1,    8, 00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044, 19351115, 1,    0, 00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044, 19351116, 1,    0, 00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044, 19351117, 1,    0, 00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044, 19351118, 1,    0, 00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044, 19351119, 1,    0, 00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044, 19351120, 1,    9, 00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044, 19351121, 1,   22, 00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044, 19351122, 1,    0, 00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044, 19351123, 1,    0, 00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044, 19351124, 1,   40, 00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044, 19351125, 1,    0, 00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044, 19351126, 1,    0, 00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044, 19351127, 1,   53, 00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044, 19351128, 1,    0, 00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044, 19351129, 1,    0, 00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044, 19351130, 1,    0, 00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044, 19351201, 1,    0, 00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044, 19351202, 1,    0, 00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044, 19351203, 1,   64, 00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044, 19351204, 1,    0, 00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044, 19351205, 1,    7, 00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044, 19351206, 1,    0, 00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044, 19351207, 1, 1027, 00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044, 19351208, 1,    0, 00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044, 19351209, 1,    0, 00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044, 19351210, 1,    0, 00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044, 19351211, 1,    0, 00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044, 19351212, 1,    0, 00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044, 19351213, 1,    0, 00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044, 19351214, 1,    0, 00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044, 19351215, 1,    0, 00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044, 19351216, 1,   33, 00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044, 19351217, 1,    0, 00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044, 19351218, 1,    0, 00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044, 19351219, 1,   26, 00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044, 19351220, 1,    0, 00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044, 19351221, 1,    0, 00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044, 19351222, 1,    0, 00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044, 19351223, 1,    0, 00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044, 19351224, 1,    0, 00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044, 19351225, 1,    0, 00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044, 19351226, 1,    0, 00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044, 19351227, 1,    0, 00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044, 19351228, 1,    0, 00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044, 19351229, 1,    0, 00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044, 19351230, 1,    0, 00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044, 19351231, 1,    0, 00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042, 19350101, 1,   53, 00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042, 19350102, 1,    0, 00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042, 19350103, 1,    0, 00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042, 19350104, 1,    0, 00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042, 19350105, 1,    0, 00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042, 19350106, 1,    0, 00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042, 19350107, 1,    0, 00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042, 19350108, 1,    0, 00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042, 19350109, 1,   50, 00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042, 19350110, 1,    0, 00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042, 19350111, 1,    0, 00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042, 19350112, 1,   27, 00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042, 19350113, 1,    0, 00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042, 19350114, 1,    0, 00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042, 19350115, 1,    0, 00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042, 19350116, 1,    0, 00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042, 19350117, 1,    0, 00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042, 19350118, 1,    0, 00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042, 19350119, 1,    0, 00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042, 19350120, 1,   24, 00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042, 19350121, 1,  167, 00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042, 19350122, 1,   55, 00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042, 19350123, 1,    0, 00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042, 19350124, 1,    0, 00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042, 19350125, 1,    0, 00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042, 19350126, 1,    0, 00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042, 19350127, 1,    0, 00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042, 19350128, 1,    0, 00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042, 19350129, 1,    0, 00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042, 19350130, 1,   62, 00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042, 19350131, 1,    8, 00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042, 19350201, 1,    0, 00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042, 19350202, 1,    0, 00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042, 19350203, 1,    0, 00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042, 19350204, 1,    0, 00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042, 19350205, 1,    0, 00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042, 19350206, 1,    0, 00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042, 19350207, 1,   32, 00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042, 19350208, 1,    0, 00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042, 19350209, 1,    0, 00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042, 19350210, 1,    0, 00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042, 19350211, 1,    0, 00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042, 19350212, 1,   23, 00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042, 19350213, 1,    0, 00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042, 19350214, 1,    0, 00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042, 19350215, 1,    0, 00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042, 19350216, 1,    0, 00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042, 19350217, 1,    0, 00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042, 19350218, 1,    0, 00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042, 19350219, 1,   27, 00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042, 19350220, 1,    0, 00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042, 19350221, 1,    0, 00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042, 19350222, 1,    0, 00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042, 19350223, 1,    0, 00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042, 19350224, 1,    0, 00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042, 19350225, 1,    0, 00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042, 19350226, 1,    0, 00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042, 19350227, 1,    0, 00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042, 19350228, 1,   77, 00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042, 19350301, 1,   10, 00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042, 19350302, 1,    0, 00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042, 19350303, 1,    0, 00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042, 19350304, 1,    0, 00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042, 19350305, 1,    0, 00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042, 19350306, 1,    0, 00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042, 19350307, 1,   50, 00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042, 19350308, 1,   65, 00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042, 19350309, 1,    0, 00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042, 19350310, 1,    0, 00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042, 19350311, 1,    0, 00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042, 19350312, 1,   34, 00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042, 19350313, 1,    0, 00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042, 19350314, 1,    0, 00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042, 19350315, 1,    0, 00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042, 19350316, 1,  180, 00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042, 19350317, 1,    0, 00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042, 19350318, 1,    0, 00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042, 19350319, 1,    0, 00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042, 19350320, 1,    0, 00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042, 19350321, 1,   42, 00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042, 19350322, 1,    0, 00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042, 19350323, 1,    0, 00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042, 19350324, 1,    0, 00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042, 19350325, 1,    0, 00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042, 19350326, 1,    0, 00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042, 19350327, 1,    0, 00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042, 19350328, 1,    0, 00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042, 19350329, 1,    0, 00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042, 19350330, 1,   70, 00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042, 19350331, 1,    0, 00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042, 19350401, 1,    0, 00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042, 19350402, 1,   37, 00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042, 19350403, 1,    0, 00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042, 19350404, 1,    0, 00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042, 19350405, 1,    0, 00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042, 19350406, 1,    0, 00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042, 19350407, 1,    0, 00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042, 19350408, 1,    0, 00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042, 19350409, 1,    0, 00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042, 19350410, 1,    0, 00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042, 19350411, 1,    0, 00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042, 19350412, 1,    0, 00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042, 19350413, 1,    0, 00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042, 19350414, 1,    0, 00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042, 19350415, 1,    0, 00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042, 19350416, 1,    0, 00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042, 19350417, 1,    0, 00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042, 19350418, 1,    0, 00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042, 19350419, 1,    0, 00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042, 19350420, 1,    0, 00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042, 19350421, 1,    0, 00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042, 19350422, 1,    0, 00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042, 19350423, 1,    0, 00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042, 19350424, 1,    0, 00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042, 19350425, 1,    0, 00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042, 19350426, 1,    0, 00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042, 19350427, 1,    0, 00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042, 19350428, 1,    0, 00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042, 19350429, 1,    0, 00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042, 19350430, 1,    0, 00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19350501, 1, ////, 07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042, 19350502, 1,    0, 00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042, 19350503, 1,    0, 00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042, 19350504, 1,    0, 00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042, 19350505, 1,    0, 00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042, 19350506, 1,    0, 00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042, 19350507, 1,    0, 00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042, 19350508, 1,    0, 00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042, 19350509, 1,    0, 00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042, 19350510, 1,    0, 00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042, 19350511, 1,    0, 00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042, 19350512, 1,    0, 00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042, 19350513, 1,    0, 00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042, 19350514, 1,    0, 00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042, 19350515, 1,    0, 00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042, 19350516, 1,    0, 00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042, 19350517, 1,    0, 00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042, 19350518, 1,    0, 00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042, 19350519, 1,    0, 00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042, 19350520, 1,    0, 00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042, 19350521, 1,    0, 00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042, 19350522, 1,    0, 00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042, 19350523, 1,    0, 00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042, 19350524, 1,    0, 00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042, 19350525, 1,    0, 00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042, 19350526, 1,    0, 00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042, 19350527, 1,    0, 00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042, 19350528, 1,    0, 00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042, 19350529, 1,    0, 00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042, 19350530, 1,    0, 00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042, 19350531, 1,    0, 00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042, 19350601, 1,    0, 00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042, 19350602, 1,   80, 00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042, 19350603, 1,    0, 00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042, 19350604, 1,    0, 00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042, 19350605, 1,    0, 00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042, 19350606, 1,    0, 00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042, 19350607, 1,    0, 00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042, 19350608, 1,    0, 00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042, 19350609, 1,    0, 00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042, 19350610, 1,    0, 00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042, 19350611, 1,    0, 00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042, 19350612, 1,    0, 00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042, 19350613, 1,    0, 00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042, 19350614, 1,    0, 00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042, 19350615, 1,  120, 00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042, 19350616, 1,    0, 00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042, 19350617, 1,    0, 00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042, 19350618, 1,    0, 00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042, 19350619, 1,   17, 00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042, 19350620, 1,    0, 00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042, 19350621, 1,    0, 00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042, 19350622, 1,    0, 00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042, 19350623, 1,    0, 00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042, 19350624, 1,    0, 00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042, 19350625, 1,   15, 00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042, 19350626, 1,    0, 00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042, 19350627, 1,    0, 00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042, 19350628, 1,    0, 00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042, 19350629, 1,   16, 00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042, 19350630, 1,    0, 00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042, 19350701, 1,    0, 00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042, 19350702, 1,    0, 00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042, 19350703, 1,    0, 00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042, 19350704, 1,   20, 00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042, 19350705, 1,    0, 00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042, 19350706, 1,   10, 00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042, 19350707, 1,    0, 00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042, 19350708, 1,    0, 00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042, 19350709, 1,   58, 00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042, 19350710, 1,    0, 00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042, 19350711, 1,    0, 00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042, 19350712, 1,    0, 00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042, 19350713, 1,    0, 00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042, 19350714, 1,    0, 00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042, 19350715, 1,   67, 00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042, 19350716, 1,    0, 00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042, 19350717, 1,    0, 00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042, 19350718, 1,    0, 00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042, 19350719, 1,   55, 00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042, 19350720, 1,    0, 00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042, 19350721, 1,    0, 00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042, 19350722, 1,    0, 00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042, 19350723, 1,   57, 00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042, 19350724, 1,    0, 00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042, 19350725, 1,    0, 00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042, 19350726, 1,    0, 00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042, 19350727, 1,   49, 00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042, 19350728, 1,    0, 00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042, 19350729, 1,    0, 00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042, 19350730, 1,    0, 00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042, 19350731, 1,    0, 00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042, 19350801, 1,   30, 00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042, 19350802, 1,    0, 00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042, 19350803, 1,    0, 00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042, 19350804, 1,   63, 00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042, 19350805, 1,    0, 00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042, 19350806, 1,    0, 00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042, 19350807, 1,    0, 00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042, 19350808, 1,    0, 00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042, 19350809, 1,    0, 00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042, 19350810, 1,    0, 00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042, 19350811, 1,   96, 00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042, 19350812, 1,   38, 00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042, 19350813, 1,    0, 00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042, 19350814, 1,    0, 00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042, 19350815, 1,    0, 00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042, 19350816, 1,    0, 00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042, 19350817, 1,    0, 00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042, 19350818, 1,    0, 00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042, 19350819, 1,    0, 00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042, 19350820, 1,    0, 00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042, 19350821, 1,    0, 00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042, 19350822, 1,    0, 00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042, 19350823, 1,    0, 00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042, 19350824, 1,    0, 00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042, 19350825, 1,  220, 00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042, 19350826, 1,  874, 00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042, 19350827, 1,    0, 00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042, 19350828, 1,    0, 00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042, 19350829, 1,    0, 00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042, 19350830, 1,    0, 00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042, 19350831, 1,    0, 00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042, 19350901, 1,    0, 00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042, 19350902, 1,    0, 00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042, 19350903, 1,    0, 00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042, 19350904, 1,   95, 00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042, 19350905, 1,   17, 00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042, 19350906, 1,    0, 00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042, 19350907, 1,    0, 00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042, 19350908, 1,    0, 00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042, 19350909, 1,    0, 00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042, 19350910, 1,    0, 00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042, 19350911, 1,    0, 00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042, 19350912, 1,    0, 00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042, 19350913, 1,    0, 00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042, 19350914, 1,    0, 00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042, 19350915, 1,    0, 00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042, 19350916, 1,    0, 00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042, 19350917, 1,    0, 00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042, 19350918, 1,    0, 00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042, 19350919, 1,    0, 00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042, 19350920, 1,    0, 00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042, 19350921, 1,    0, 00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042, 19350922, 1,    0, 00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042, 19350923, 1,  134, 00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042, 19350924, 1,    0, 00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042, 19350925, 1,    0, 00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042, 19350926, 1,    0, 00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042, 19350927, 1,    0, 00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042, 19350928, 1,  167, 00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042, 19350929, 1,    0, 00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042, 19350930, 1,   20, 00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042, 19351001, 1,   40, 00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042, 19351002, 1,    0, 00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042, 19351003, 1,    0, 00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042, 19351004, 1,    0, 00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042, 19351005, 1,    0, 00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042, 19351006, 1,    0, 00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042, 19351007, 1,  124, 00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042, 19351008, 1,    0, 00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042, 19351009, 1,    0, 00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042, 19351010, 1,    0, 00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042, 19351011, 1,    0, 00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042, 19351012, 1,    0, 00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042, 19351013, 1,    0, 00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042, 19351014, 1,    0, 00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042, 19351015, 1,    0, 00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042, 19351016, 1,  127, 00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042, 19351017, 1,    0, 00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042, 19351018, 1,    0, 00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042, 19351019, 1,    0, 00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042, 19351020, 1,   75, 00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042, 19351021, 1,    0, 00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042, 19351022, 1,    0, 00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042, 19351023, 1,    0, 00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042, 19351024, 1,    0, 00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042, 19351025, 1,    0, 00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042, 19351026, 1,    0, 00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042, 19351027, 1,    0, 00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042, 19351028, 1,   64, 00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042, 19351029, 1,    0, 00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042, 19351030, 1,   56, 00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042, 19351031, 1,  687, 00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042, 19351101, 1,   70, 00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042, 19351102, 1,    0, 00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042, 19351103, 1,    0, 00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042, 19351104, 1,    0, 00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042, 19351105, 1,  122, 00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042, 19351106, 1,    0, 00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042, 19351107, 1,    0, 00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042, 19351108, 1,  133, 00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042, 19351109, 1,  218, 00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042, 19351110, 1,    0, 00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042, 19351111, 1,   47, 00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042, 19351112, 1,    0, 00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042, 19351113, 1,    0, 00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042, 19351114, 1,    0, 00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042, 19351115, 1,    0, 00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042, 19351116, 1,    0, 00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042, 19351117, 1,   71, 00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042, 19351118, 1,    0, 00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042, 19351119, 1,    0, 00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042, 19351120, 1,   45, 00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042, 19351121, 1,    0, 00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042, 19351122, 1,    0, 00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042, 19351123, 1,    0, 00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042, 19351124, 1,    0, 00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042, 19351125, 1,  140, 00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042, 19351126, 1,    0, 00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042, 19351127, 1,    0, 00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042, 19351128, 1,   51, 00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042, 19351129, 1,   30, 00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042, 19351130, 1,  165, 00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042, 19351201, 1,   34, 00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042, 19351202, 1,    0, 00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042, 19351203, 1,   55, 00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042, 19351204, 1,    0, 00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042, 19351205, 1,   63, 00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042, 19351206, 1,    0, 00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042, 19351207, 1,  585, 00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042, 19351208, 1,   42, 00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042, 19351209, 1,    0, 00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042, 19351210, 1,   34, 00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042, 19351211, 1,    0, 00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042, 19351212, 1,    0, 00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042, 19351213, 1,    0, 00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042, 19351214, 1,    0, 00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042, 19351215, 1,    0, 00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042, 19351216, 1,    0, 00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042, 19351217, 1,    0, 00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042, 19351218, 1,    0, 00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042, 19351219, 1,  152, 00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042, 19351220, 1,   40, 00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042, 19351221, 1,    0, 00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042, 19351222, 1,    0, 00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042, 19351223, 1,    0, 00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042, 19351224, 1,    0, 00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042, 19351225, 1,    0, 00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042, 19351226, 1,    0, 00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042, 19351227, 1,    0, 00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042, 19351228, 1,    0, 00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042, 19351229, 1,    0, 00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042, 19351230, 1,    0, 00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042, 19351231, 1,    0, 00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049, 19350101, 1, ////, 07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049, 19350102, 1,    0, 00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049, 19350103, 1,    0, 00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049, 19350104, 1,    0, 00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049, 19350105, 1,    0, 00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049, 19350106, 1,    0, 00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049, 19350107, 1,    0, 00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049, 19350108, 1,    0, 00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049, 19350109, 1,    0, 00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049, 19350110, 1,    0, 00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049, 19350111, 1,    0, 00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049, 19350112, 1,    0, 00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049, 19350113, 1,    0, 00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049, 19350114, 1,    0, 00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049, 19350115, 1,    0, 00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049, 19350116, 1,    0, 00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049, 19350117, 1,    0, 00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049, 19350118, 1,    0, 00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049, 19350119, 1,    0, 00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049, 19350120, 1,    0, 00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049, 19350121, 1,   40, 00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049, 19350122, 1,    0, 00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049, 19350123, 1,    0, 00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049, 19350124, 1,    0, 00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049, 19350125, 1,    0, 00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049, 19350126, 1,    0, 00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049, 19350127, 1,    0, 00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049, 19350128, 1,    0, 00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049, 19350129, 1,    0, 00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049, 19350130, 1,    0, 00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049, 19350131, 1,    0, 00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049, 19350201, 1,    0, 00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049, 19350202, 1,    0, 00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049, 19350203, 1,    0, 00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049, 19350204, 1,    0, 00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049, 19350205, 1,    0, 00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049, 19350206, 1,    0, 00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049, 19350207, 1,    0, 00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049, 19350208, 1,    0, 00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049, 19350209, 1,    0, 00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049, 19350210, 1,    0, 00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049, 19350211, 1,   40, 00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049, 19350212, 1,    0, 00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049, 19350213, 1,    0, 00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049, 19350214, 1,    0, 00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049, 19350215, 1,    0, 00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049, 19350216, 1,    0, 00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049, 19350217, 1,    0, 00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049, 19350218, 1,    0, 00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049, 19350219, 1,    0, 00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049, 19350220, 1,    0, 00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049, 19350221, 1,    0, 00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049, 19350222, 1,    0, 00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049, 19350223, 1,    0, 00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049, 19350224, 1,    0, 00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049, 19350225, 1,    0, 00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049, 19350226, 1,    0, 00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049, 19350227, 1,    0, 00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049, 19350228, 1,    0, 00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049, 19350301, 1,    0, 00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049, 19350302, 1,    0, 00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049, 19350303, 1,   30, 00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049, 19350304, 1,    0, 00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049, 19350305, 1,    0, 00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049, 19350306, 1,    0, 00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049, 19350307, 1,    0, 00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049, 19350308, 1,    0, 00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049, 19350309, 1,    0, 00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049, 19350310, 1,    0, 00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049, 19350311, 1,    0, 00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049, 19350312, 1,    0, 00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049, 19350313, 1,    0, 00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049, 19350314, 1,    0, 00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049, 19350315, 1,    0, 00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049, 19350316, 1,   90, 00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049, 19350317, 1,    0, 00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049, 19350318, 1,    0, 00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049, 19350319, 1,    0, 00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049, 19350320, 1,    0, 00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049, 19350321, 1,    0, 00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049, 19350322, 1,    0, 00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049, 19350323, 1,    0, 00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049, 19350324, 1,    0, 00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049, 19350325, 1,    0, 00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049, 19350326, 1,    0, 00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049, 19350327, 1,    0, 00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049, 19350328, 1,    0, 00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049, 19350329, 1,    0, 00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049, 19350330, 1,    0, 00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049, 19350331, 1,    0, 00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049, 19350401, 1,    0, 00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049, 19350402, 1,   65, 00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049, 19350403, 1,    0, 00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049, 19350404, 1,    0, 00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049, 19350405, 1,    0, 00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049, 19350406, 1,    0, 00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049, 19350407, 1,    0, 00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049, 19350408, 1,    0, 00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049, 19350409, 1,    0, 00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049, 19350410, 1,    0, 00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049, 19350411, 1,    0, 00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049, 19350412, 1,    0, 00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049, 19350413, 1,    0, 00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049, 19350414, 1,    0, 00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049, 19350415, 1,    0, 00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049, 19350416, 1,    0, 00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049, 19350417, 1,    0, 00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049, 19350418, 1,    0, 00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049, 19350419, 1,    0, 00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049, 19350420, 1,    0, 00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049, 19350421, 1,    0, 00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049, 19350422, 1,    0, 00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049, 19350423, 1,    0, 00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049, 19350424, 1,    0, 00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049, 19350425, 1,    0, 00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049, 19350426, 1,    0, 00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049, 19350427, 1,    0, 00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049, 19350428, 1,    0, 00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049, 19350429, 1,    0, 00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049, 19350430, 1,    0, 00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19350501, 1, ////, 07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049, 19350502, 1,    0, 00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049, 19350503, 1,    0, 00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049, 19350504, 1,    0, 00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049, 19350505, 1,    0, 00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049, 19350506, 1,    0, 00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049, 19350507, 1,    0, 00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049, 19350508, 1,    0, 00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049, 19350509, 1,    0, 00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049, 19350510, 1,    0, 00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049, 19350511, 1,    0, 00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049, 19350512, 1,    0, 00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049, 19350513, 1,    0, 00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049, 19350514, 1,    0, 00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049, 19350515, 1,    0, 00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049, 19350516, 1,    0, 00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049, 19350517, 1,    0, 00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049, 19350518, 1,    0, 00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049, 19350519, 1,    0, 00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049, 19350520, 1,    0, 00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049, 19350521, 1,    0, 00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049, 19350522, 1,    0, 00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049, 19350523, 1,    0, 00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049, 19350524, 1,    0, 00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049, 19350525, 1,    0, 00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049, 19350526, 1,    0, 00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049, 19350527, 1,    0, 00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049, 19350528, 1,    0, 00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049, 19350529, 1,    0, 00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049, 19350530, 1,    0, 00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049, 19350531, 1,    0, 00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19350601, 1, ////, 07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19350602, 1, ////, 07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19350603, 1, ////, 07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19350604, 1, ////, 07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19350605, 1, ////, 07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19350606, 1, ////, 07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19350607, 1, ////, 07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19350608, 1, ////, 07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19350609, 1, ////, 07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19350610, 1, ////, 07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19350611, 1, ////, 07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19350612, 1, ////, 07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19350613, 1, ////, 07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19350614, 1, ////, 07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19350615, 1, ////, 07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19350616, 1, ////, 07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19350617, 1, ////, 07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19350618, 1, ////, 07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19350619, 1, ////, 07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19350620, 1, ////, 07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19350621, 1, ////, 07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19350622, 1, ////, 07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19350623, 1, ////, 07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19350624, 1, ////, 07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19350625, 1, ////, 07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19350626, 1, ////, 07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19350627, 1, ////, 07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19350628, 1, ////, 07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19350629, 1, ////, 07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19350630, 1, ////, 07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049, 19350701, 1,    0, 00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049, 19350702, 1,    0, 00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049, 19350703, 1,    0, 00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049, 19350704, 1,    0, 00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049, 19350705, 1,  110, 00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049, 19350706, 1,    0, 00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049, 19350707, 1,    0, 00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049, 19350708, 1,    0, 00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049, 19350709, 1,    0, 00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049, 19350710, 1,    0, 00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049, 19350711, 1,    0, 00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049, 19350712, 1,    0, 00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049, 19350713, 1,    0, 00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049, 19350714, 1,    0, 00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049, 19350715, 1,    0, 00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049, 19350716, 1,    0, 00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049, 19350717, 1,    0, 00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049, 19350718, 1,    0, 00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049, 19350719, 1,    0, 00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049, 19350720, 1,    0, 00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049, 19350721, 1,    0, 00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049, 19350722, 1,    0, 00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049, 19350723, 1,    0, 00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049, 19350724, 1,    0, 00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049, 19350725, 1,    0, 00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049, 19350726, 1,    0, 00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049, 19350727, 1,    0, 00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049, 19350728, 1,    0, 00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049, 19350729, 1,    0, 00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049, 19350730, 1,    0, 00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049, 19350731, 1,    0, 00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049, 19350801, 1,    0, 00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049, 19350802, 1,    0, 00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049, 19350803, 1,    0, 00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049, 19350804, 1,    0, 00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049, 19350805, 1,    0, 00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049, 19350806, 1,    0, 00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049, 19350807, 1,    0, 00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049, 19350808, 1,    0, 00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049, 19350809, 1,    0, 00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049, 19350810, 1,    0, 00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049, 19350811, 1,  110, 00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049, 19350812, 1,   49, 00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049, 19350813, 1,    0, 00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049, 19350814, 1,    0, 00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049, 19350815, 1,    0, 00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049, 19350816, 1,    0, 00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049, 19350817, 1,    0, 00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049, 19350818, 1,    0, 00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049, 19350819, 1,    0, 00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049, 19350820, 1,    0, 00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049, 19350821, 1,    0, 00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049, 19350822, 1,    0, 00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049, 19350823, 1,    0, 00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049, 19350824, 1,    0, 00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049, 19350825, 1,  442, 00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049, 19350826, 1,  549, 00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049, 19350827, 1,    0, 00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049, 19350828, 1,    0, 00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049, 19350829, 1,    0, 00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049, 19350830, 1,    0, 00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049, 19350831, 1,    0, 00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049, 19350901, 1,    0, 00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049, 19350902, 1,    0, 00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049, 19350903, 1,    0, 00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049, 19350904, 1,    0, 00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049, 19350905, 1,    0, 00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049, 19350906, 1,    0, 00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049, 19350907, 1,    0, 00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049, 19350908, 1,    0, 00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049, 19350909, 1,    0, 00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049, 19350910, 1,    0, 00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049, 19350911, 1,    0, 00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049, 19350912, 1,    0, 00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049, 19350913, 1,    0, 00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049, 19350914, 1,    0, 00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049, 19350915, 1,    0, 00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049, 19350916, 1,    0, 00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049, 19350917, 1,    0, 00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049, 19350918, 1,    0, 00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049, 19350919, 1,    0, 00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049, 19350920, 1,    0, 00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049, 19350921, 1,    0, 00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049, 19350922, 1,    0, 00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049, 19350923, 1,   69, 00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049, 19350924, 1,    0, 00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049, 19350925, 1,    0, 00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049, 19350926, 1,    0, 00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049, 19350927, 1,    0, 00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049, 19350928, 1,   63, 00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049, 19350929, 1,    0, 00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049, 19350930, 1,    0, 00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049, 19351001, 1,    0, 00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049, 19351002, 1,    0, 00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049, 19351003, 1,    0, 00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049, 19351004, 1,    0, 00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049, 19351005, 1,   29, 00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049, 19351006, 1,    0, 00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049, 19351007, 1,    0, 00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049, 19351008, 1,    0, 00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049, 19351009, 1,    0, 00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049, 19351010, 1,    0, 00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049, 19351011, 1,    0, 00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049, 19351012, 1,    0, 00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049, 19351013, 1,    0, 00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049, 19351014, 1,    0, 00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049, 19351015, 1,   96, 00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049, 19351016, 1,    0, 00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049, 19351017, 1,    0, 00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049, 19351018, 1,    0, 00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049, 19351019, 1,  121, 00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049, 19351020, 1,    0, 00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049, 19351021, 1,    0, 00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049, 19351022, 1,    0, 00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049, 19351023, 1,    0, 00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049, 19351024, 1,    0, 00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049, 19351025, 1,    0, 00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049, 19351026, 1,    0, 00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049, 19351027, 1,    0, 00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049, 19351028, 1,    0, 00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049, 19351029, 1,    0, 00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049, 19351030, 1,  129, 00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049, 19351031, 1,  375, 00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049, 19351101, 1,  251, 00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049, 19351102, 1,    0, 00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049, 19351103, 1,    0, 00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049, 19351104, 1,    0, 00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049, 19351105, 1,    0, 00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049, 19351106, 1,    0, 00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049, 19351107, 1,   89, 00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049, 19351108, 1,  136, 00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049, 19351109, 1,  443, 00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049, 19351110, 1,    0, 00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049, 19351111, 1,    0, 00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049, 19351112, 1,    0, 00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049, 19351113, 1,    0, 00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049, 19351114, 1,    0, 00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049, 19351115, 1,    0, 00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049, 19351116, 1,    0, 00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049, 19351117, 1,    0, 00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049, 19351118, 1,    0, 00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049, 19351119, 1,    0, 00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049, 19351120, 1,    0, 00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049, 19351121, 1,  122, 00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049, 19351122, 1,    0, 00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049, 19351123, 1,    0, 00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049, 19351124, 1,   38, 00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049, 19351125, 1,    0, 00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049, 19351126, 1,    0, 00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049, 19351127, 1,    0, 00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049, 19351128, 1,   60, 00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049, 19351129, 1,    0, 00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049, 19351130, 1,    0, 00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049, 19351201, 1,    0, 00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049, 19351202, 1,    0, 00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049, 19351203, 1,    0, 00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049, 19351204, 1,    0, 00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049, 19351205, 1,    0, 00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049, 19351206, 1,  219, 00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049, 19351207, 1,  522, 00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049, 19351208, 1,  177, 00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049, 19351209, 1,    0, 00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049, 19351210, 1,    0, 00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049, 19351211, 1,    0, 00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049, 19351212, 1,    0, 00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049, 19351213, 1,    0, 00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049, 19351214, 1,    0, 00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049, 19351215, 1,    0, 00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049, 19351216, 1,    0, 00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049, 19351217, 1,   75, 00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049, 19351218, 1,    0, 00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049, 19351219, 1,  248, 00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049, 19351220, 1,    0, 00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049, 19351221, 1,    0, 00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049, 19351222, 1,    0, 00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049, 19351223, 1,   23, 00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049, 19351224, 1,    0, 00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049, 19351225, 1,    0, 00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049, 19351226, 1,    0, 00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049, 19351227, 1,    0, 00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049, 19351228, 1,    0, 00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049, 19351229, 1,    0, 00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049, 19351230, 1,    0, 00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049, 19351231, 1,    0, 00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044, 19350101, 08.00, 7623, 00,  264, 00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044, 19350101, 15.00, 7603, 00,  278, 00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044, 19350102, 08.00, 7620, 00,  267, 00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044, 19350102, 15.00, 7601, 00,  278, 00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044, 19350103, 08.00, 7618, 00,  264, 00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044, 19350103, 15.00, 7598, 00,  278, 00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044, 19350104, 08.00, 7620, 00,  264, 00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044, 19350104, 15.00, 7606, 00,  278, 00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044, 19350105, 08.00, 7628, 00,  264, 00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044, 19350105, 15.00, 7603, 00,  278, 00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044, 19350106, 08.00, 7620, 00,  264, 00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044, 19350106, 15.00, 7596, 00,  275, 00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044, 19350107, 08.00, 7603, 00,  264, 00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044, 19350107, 15.00, 7584, 00,  275, 00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044, 19350108, 08.00, 7603, 00,  261, 00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044, 19350108, 15.00, 7578, 00,  278, 00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044, 19350109, 08.00, 7606, 00,  261, 00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044, 19350109, 15.00, 7583, 00,  278, 00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044, 19350110, 08.00, 7606, 00,  258, 00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044, 19350110, 15.00, 7583, 00,  278, 00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044, 19350111, 08.00, 7611, 00,  261, 00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044, 19350111, 15.00, 7583, 00,  278, 00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044, 19350112, 08.00, 7612, 00,  267, 00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044, 19350112, 15.00, 7587, 00,  286, 00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044, 19350113, 08.00, 7615, 00,  267, 00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044, 19350113, 15.00, 7596, 00,  275, 00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044, 19350114, 08.00, 7618, 00,  264, 00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044, 19350114, 15.00, 7593, 00,  278, 00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044, 19350115, 08.00, 7615, 00,  267, 00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044, 19350115, 15.00, 7601, 00,  281, 00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044, 19350116, 08.00, 7623, 00,  267, 00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044, 19350116, 15.00, 7610, 00,  278, 00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044, 19350117, 08.00, 7627, 00,  269, 00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044, 19350117, 15.00, 7606, 00,  283, 00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044, 19350118, 08.00, 7622, 00,  269, 00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044, 19350118, 15.00, 7601, 00,  278, 00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044, 19350119, 08.00, 7623, 00,  267, 00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044, 19350119, 15.00, 7603, 00,  278, 00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044, 19350120, 08.00, 7620, 00,  264, 00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044, 19350120, 15.00, 7596, 00,  275, 00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044, 19350121, 08.00, 7621, 00,  256, 00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044, 19350121, 15.00, 7604, 00,  272, 00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044, 19350122, 08.00, 7616, 00,  258, 00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044, 19350122, 15.00, 7595, 00,  264, 00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044, 19350123, 08.00, 7609, 00,  256, 00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044, 19350123, 15.00, 7595, 00,  267, 00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044, 19350124, 08.00, 7612, 00,  253, 00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044, 19350124, 15.00, 7597, 00,  269, 00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044, 19350125, 08.00, 7621, 00,  239, 00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044, 19350125, 15.00, 7600, 00,  267, 00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044, 19350126, 08.00, 7630, 00,  244, 00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044, 19350126, 15.00, 7609, 00,  272, 00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044, 19350127, 08.00, 7627, 00,  250, 00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044, 19350127, 15.00, 7604, 00,  272, 00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044, 19350128, 08.00, 7633, 00,  244, 00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044, 19350128, 15.00, 7609, 00,  278, 00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044, 19350129, 08.00, 7638, 00,  244, 00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044, 19350129, 15.00, 7614, 00,  272, 00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044, 19350130, 08.00, 7631, 00,  256, 00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044, 19350130, 15.00, 7611, 00,  275, 00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044, 19350131, 08.00, 7631, 00,  261, 00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044, 19350131, 15.00, 7611, 00,  278, 00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044, 19350201, 08.00, 7625, 00,  264, 00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044, 19350201, 15.00, 7606, 00,  281, 00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044, 19350202, 08.00, 7621, 00,  261, 00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044, 19350202, 15.00, 7598, 00,  278, 00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044, 19350203, 08.00, 7615, 00,  267, 00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044, 19350203, 15.00, 7596, 00,  275, 00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044, 19350204, 08.00, 7617, 00,  272, 00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044, 19350204, 15.00, 7602, 00,  289, 00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044, 19350205, 08.00, 7633, 00,  267, 00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044, 19350205, 15.00, 7618, 00,  283, 00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044, 19350206, 08.00, 7628, 00,  261, 00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044, 19350206, 15.00, 7608, 00,  281, 00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044, 19350207, 08.00, 7631, 00,  256, 00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044, 19350207, 15.00, 7614, 00,  275, 00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044, 19350208, 08.00, 7624, 00,  256, 00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044, 19350208, 15.00, 7609, 00,  278, 00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044, 19350209, 08.00, 7621, 00,  256, 00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044, 19350209, 15.00, 7599, 00,  275, 00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044, 19350210, 08.00, 7620, 00,  264, 00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044, 19350210, 15.00, 7596, 00,  275, 00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044, 19350211, 08.00, 7616, 00,  258, 00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044, 19350211, 15.00, 7598, 00,  278, 00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044, 19350212, 08.00, 7625, 00,  264, 00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044, 19350212, 15.00, 7615, 00,  283, 00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044, 19350213, 08.00, 7636, 00,  261, 00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044, 19350213, 15.00, 7616, 00,  278, 00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044, 19350214, 08.00, 7633, 00,  261, 00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044, 19350214, 15.00, 7613, 00,  278, 00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044, 19350215, 08.00, 7631, 00,  261, 00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044, 19350215, 15.00, 7611, 00,  278, 00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044, 19350216, 08.00, 7626, 00,  261, 00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044, 19350216, 15.00, 7606, 00,  283, 00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044, 19350217, 08.00, 7625, 00,  264, 00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044, 19350217, 15.00, 7606, 00,  278, 00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044, 19350218, 08.00, 7628, 00,  264, 00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044, 19350218, 15.00, 7612, 00,  267, 00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044, 19350219, 08.00, 7637, 00,  256, 00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044, 19350219, 15.00, 7614, 00,  275, 00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044, 19350220, 08.00, 7634, 00,  258, 00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044, 19350220, 15.00, 7619, 00,  275, 00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044, 19350221, 08.00, 7634, 00,  256, 00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044, 19350221, 15.00, 7613, 00,  278, 00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044, 19350222, 08.00, 7624, 00,  258, 00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044, 19350222, 15.00, 7606, 00,  283, 00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044, 19350223, 08.00, 7628, 00,  264, 00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044, 19350223, 15.00, 7613, 00,  278, 00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044, 19350224, 08.00, 7620, 00,  264, 00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044, 19350224, 15.00, 7598, 00,  278, 00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044, 19350225, 08.00, 7617, 00,  267, 00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044, 19350225, 15.00, 7592, 00,  286, 00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044, 19350226, 08.00, 7615, 00,  267, 00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044, 19350226, 15.00, 7597, 00,  286, 00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044, 19350227, 08.00, 7623, 00,  267, 00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044, 19350227, 15.00, 7602, 00,  289, 00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044, 19350228, 08.00, 7628, 00,  264, 00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044, 19350228, 15.00, 7606, 00,  281, 00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044, 19350301, 08.00, 7628, 00,  264, 00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044, 19350301, 15.00, 7611, 00,  278, 00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044, 19350302, 08.00, 7630, 00,  264, 00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044, 19350302, 15.00, 7612, 00,  267, 00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044, 19350303, 08.00, 7626, 00,  261, 00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044, 19350303, 15.00, 7606, 00,  283, 00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044, 19350304, 08.00, 7619, 00,  269, 00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044, 19350304, 15.00, 7602, 00,  289, 00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044, 19350305, 08.00, 7625, 00,  267, 00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044, 19350305, 15.00, 7608, 00,  283, 00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044, 19350306, 08.00, 7623, 00,  264, 00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044, 19350306, 15.00, 7610, 00,  283, 00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044, 19350307, 08.00, 7626, 00,  261, 00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044, 19350307, 15.00, 7606, 00,  283, 00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044, 19350308, 08.00, 7618, 00,  264, 00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044, 19350308, 15.00, 7593, 00,  281, 00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044, 19350309, 08.00, 7615, 00,  264, 00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044, 19350309, 15.00, 7606, 00,  283, 00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044, 19350310, 08.00, 7628, 00,  264, 00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044, 19350310, 15.00, 7610, 00,  283, 00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044, 19350311, 08.00, 7633, 00,  261, 00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044, 19350311, 15.00, 7613, 00,  283, 00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044, 19350312, 08.00, 7633, 00,  261, 00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044, 19350312, 15.00, 7615, 00,  286, 00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044, 19350313, 08.00, 7641, 00,  261, 00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044, 19350313, 15.00, 7623, 00,  283, 00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044, 19350314, 08.00, 7642, 00,  256, 00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044, 19350314, 15.00, 7621, 00,  278, 00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044, 19350315, 08.00, 7633, 00,  261, 00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044, 19350315, 15.00, 7609, 00,  275, 00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044, 19350316, 08.00, 7634, 00,  253, 00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044, 19350316, 15.00, 7606, 00,  278, 00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044, 19350317, 08.00, 7634, 00,  256, 00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044, 19350317, 15.00, 7608, 00,  283, 00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044, 19350318, 08.00, 7631, 00,  261, 00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044, 19350318, 15.00, 7611, 00,  278, 00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044, 19350319, 08.00, 7626, 00,  258, 00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044, 19350319, 15.00, 7611, 00,  278, 00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044, 19350320, 08.00, 7624, 00,  258, 00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044, 19350320, 15.00, 7603, 00,  281, 00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044, 19350321, 08.00, 7631, 00,  258, 00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044, 19350321, 15.00, 7611, 00,  281, 00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044, 19350322, 08.00, 7628, 00,  261, 00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044, 19350322, 15.00, 7611, 00,  281, 00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044, 19350323, 08.00, 7634, 00,  258, 00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044, 19350323, 15.00, 7613, 00,  283, 00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044, 19350324, 08.00, 7626, 00,  258, 00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044, 19350324, 15.00, 7609, 00,  278, 00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044, 19350325, 08.00, 7621, 00,  261, 00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044, 19350325, 15.00, 7598, 00,  278, 00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044, 19350326, 08.00, 7605, 00,  267, 00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044, 19350326, 15.00, 7583, 00,  283, 00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044, 19350327, 08.00, 7610, 00,  269, 00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044, 19350327, 15.00, 7592, 00,  292, 00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044, 19350328, 08.00, 7620, 00,  267, 00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044, 19350328, 15.00, 7601, 00,  278, 00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044, 19350329, 08.00, 7627, 00,  269, 00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044, 19350329, 15.00, 7610, 00,  286, 00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044, 19350330, 08.00, 7624, 00,  258, 00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044, 19350330, 15.00, 7606, 00,  278, 00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044, 19350331, 08.00, 7620, 00,  264, 00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044, 19350331, 15.00, 7603, 00,  281, 00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044, 19350401, 08.00, 7623, 00,  264, 00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044, 19350401, 15.00, 7607, 00,  289, 00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044, 19350402, 08.00, 7628, 00,  267, 00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044, 19350402, 15.00, 7606, 00,  283, 00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044, 19350403, 08.00, 7628, 00,  264, 00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044, 19350403, 15.00, 7606, 00,  278, 00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044, 19350404, 08.00, 7628, 00,  264, 00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044, 19350404, 15.00, 7608, 00,  286, 00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044, 19350405, 08.00, 7623, 00,  264, 00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044, 19350405, 15.00, 7602, 00,  286, 00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044, 19350406, 08.00, 7615, 00,  267, 00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044, 19350406, 15.00, 7606, 00,  281, 00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044, 19350407, 08.00, 7618, 00,  264, 00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044, 19350407, 15.00, 7602, 00,  289, 00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044, 19350408, 08.00, 7610, 00,  267, 00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044, 19350408, 15.00, 7592, 00,  289, 00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044, 19350409, 08.00, 7610, 00,  269, 00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044, 19350409, 15.00, 7592, 00,  292, 00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044, 19350410, 08.00, 7615, 00,  267, 00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044, 19350410, 15.00, 7598, 00,  281, 00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044, 19350411, 08.00, 7615, 00,  264, 00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044, 19350411, 15.00, 7595, 00,  286, 00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044, 19350412, 08.00, 7614, 00,  269, 00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044, 19350412, 15.00, 7597, 00,  289, 00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044, 19350413, 08.00, 7617, 00,  272, 00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044, 19350413, 15.00, 7592, 00,  289, 00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044, 19350414, 08.00, 7618, 00,  264, 00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044, 19350414, 15.00, 7597, 00,  286, 00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044, 19350415, 08.00, 7622, 00,  272, 00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044, 19350415, 15.00, 7596, 00,  294, 00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044, 19350416, 08.00, 7617, 00,  272, 00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044, 19350416, 15.00, 7592, 00,  292, 00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044, 19350417, 08.00, 7610, 00,  269, 00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044, 19350417, 15.00, 7593, 00,  283, 00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044, 19350418, 08.00, 7608, 00,  267, 00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044, 19350418, 15.00, 7593, 00,  283, 00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044, 19350419, 08.00, 7611, 00,  261, 00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044, 19350419, 15.00, 7587, 00,  286, 00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044, 19350420, 08.00, 7608, 00,  264, 00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044, 19350420, 15.00, 7583, 00,  283, 00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044, 19350421, 08.00, 7610, 00,  269, 00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044, 19350421, 15.00, 7592, 00,  289, 00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044, 19350422, 08.00, 7610, 00,  267, 00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044, 19350422, 15.00, 7592, 00,  292, 00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044, 19350423, 08.00, 7605, 00,  267, 00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044, 19350423, 15.00, 7584, 00,  289, 00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044, 19350424, 08.00, 7607, 00,  269, 00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044, 19350424, 15.00, 7575, 00,  286, 00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044, 19350425, 08.00, 7597, 00,  272, 00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044, 19350425, 15.00, 7575, 00,  286, 00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044, 19350426, 08.00, 7596, 00,  275, 00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044, 19350426, 15.00, 7571, 00,  292, 00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044, 19350427, 08.00, 7609, 00,  278, 00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044, 19350427, 15.00, 7583, 00,  283, 00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044, 19350428, 08.00, 7611, 00,  261, 00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044, 19350428, 15.00, 7584, 00,  289, 00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044, 19350429, 08.00, 7609, 00,  272, 00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044, 19350429, 15.00, 7584, 00,  289, 00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044, 19350430, 08.00, 7609, 00,  272, 00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044, 19350430, 15.00, 7583, 00,  283, 00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044, 19350501, 08.00, 7609, 00,  275, 00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044, 19350501, 15.00, 7589, 00,  294, 00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044, 19350502, 08.00, 7609, 00,  278, 00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044, 19350502, 15.00, 7592, 00,  289, 00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044, 19350503, 08.00, 7613, 00,  278, 00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044, 19350503, 15.00, 7594, 00,  292, 00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044, 19350504, 08.00, 7620, 00,  267, 00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044, 19350504, 15.00, 7601, 00,  278, 00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044, 19350505, 08.00, 7618, 00,  264, 00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044, 19350505, 15.00, 7602, 00,  289, 00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044, 19350506, 08.00, 7620, 00,  264, 00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044, 19350506, 15.00, 7604, 00,  272, 00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044, 19350507, 08.00, 7624, 00,  275, 00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044, 19350507, 15.00, 7610, 00,  283, 00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044, 19350508, 08.00, 7625, 00,  269, 00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044, 19350508, 15.00, 7608, 00,  281, 00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044, 19350509, 08.00, 7619, 00,  269, 00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044, 19350509, 15.00, 7598, 00,  281, 00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044, 19350510, 08.00, 7620, 00,  267, 00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044, 19350510, 15.00, 7597, 00,  286, 00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044, 19350511, 08.00, 7619, 00,  275, 00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044, 19350511, 15.00, 7593, 00,  283, 00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044, 19350512, 08.00, 7617, 00,  272, 00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044, 19350512, 15.00, 7595, 00,  286, 00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044, 19350513, 08.00, 7614, 00,  269, 00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044, 19350513, 15.00, 7569, 00,  292, 00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044, 19350514, 08.00, 7591, 00,  281, 00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044, 19350514, 15.00, 7570, 00,  300, 00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044, 19350515, 08.00, 7598, 00,  283, 00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044, 19350515, 15.00, 7574, 00,  311, 00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044, 19350516, 08.00, 7608, 00,  283, 00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044, 19350516, 15.00, 7575, 00,  286, 00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044, 19350517, 08.00, 7598, 00,  281, 00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044, 19350517, 15.00, 7577, 00,  289, 00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044, 19350518, 08.00, 7601, 00,  278, 00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044, 19350518, 15.00, 7583, 00,  283, 00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044, 19350519, 08.00, 7607, 00,  269, 00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044, 19350519, 15.00, 7584, 00,  289, 00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044, 19350520, 08.00, 7609, 00,  278, 00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044, 19350520, 15.00, 7594, 00,  292, 00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044, 19350521, 08.00, 7611, 00,  261, 00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044, 19350521, 15.00, 7592, 00,  289, 00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044, 19350522, 08.00, 7613, 00,  281, 00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044, 19350522, 15.00, 7602, 00,  292, 00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044, 19350523, 08.00, 7621, 00,  281, 00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044, 19350523, 15.00, 7599, 00,  294, 00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044, 19350524, 08.00, 7617, 00,  272, 00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044, 19350524, 15.00, 7596, 00,  297, 00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044, 19350525, 08.00, 7616, 00,  281, 00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044, 19350525, 15.00, 7596, 00,  294, 00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044, 19350526, 08.00, 7614, 00,  269, 00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044, 19350526, 15.00, 7592, 00,  292, 00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044, 19350527, 08.00, 7618, 00,  264, 00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044, 19350527, 15.00, 7586, 00,  297, 00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044, 19350528, 08.00, 7613, 00,  278, 00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044, 19350528, 15.00, 7596, 00,  297, 00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044, 19350529, 08.00, 7613, 00,  283, 00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044, 19350529, 15.00, 7596, 00,  294, 00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044, 19350530, 08.00, 7609, 00,  278, 00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044, 19350530, 15.00, 7592, 00,  289, 00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044, 19350531, 08.00, 7603, 00,  278, 00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044, 19350531, 15.00, 7583, 00,  283, 00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044, 19350601, 08.00, 7618, 00,  278, 00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044, 19350601, 15.00, 7596, 00,  297, 00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044, 19350602, 08.00, 7616, 00,  281, 00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044, 19350602, 15.00, 7592, 00,  289, 00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044, 19350603, 08.00, 7618, 00,  278, 00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044, 19350603, 15.00, 7602, 00,  286, 00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044, 19350604, 08.00, 7611, 00,  278, 00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044, 19350604, 15.00, 7599, 00,  292, 00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044, 19350605, 08.00, 7611, 00,  278, 00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044, 19350605, 15.00, 7599, 00,  294, 00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044, 19350606, 08.00, 7613, 00,  278, 00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044, 19350606, 15.00, 7601, 00,  297, 00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044, 19350607, 08.00, 7618, 00,  283, 00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044, 19350607, 15.00, 7601, 00,  300, 00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044, 19350608, 08.00, 7618, 00,  283, 00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044, 19350608, 15.00, 7599, 00,  294, 00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044, 19350609, 08.00, 7617, 00,  272, 00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044, 19350609, 15.00, 7596, 00,  297, 00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044, 19350610, 08.00, 7613, 00,  281, 00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044, 19350610, 15.00, 7596, 00,  294, 00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044, 19350611, 08.00, 7608, 00,  281, 00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044, 19350611, 15.00, 7593, 00,  300, 00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044, 19350612, 08.00, 7613, 00,  283, 00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044, 19350612, 15.00, 7598, 00,  300, 00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044, 19350613, 08.00, 7613, 00,  283, 00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044, 19350613, 15.00, 7598, 00,  300, 00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044, 19350614, 08.00, 7613, 00,  281, 00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044, 19350614, 15.00, 7601, 00,  297, 00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044, 19350615, 08.00, 7610, 00,  267, 00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044, 19350615, 15.00, 7594, 00,  292, 00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044, 19350616, 08.00, 7618, 00,  283, 00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044, 19350616, 15.00, 7599, 00,  294, 00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044, 19350617, 08.00, 7613, 00,  278, 00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044, 19350617, 15.00, 7601, 00,  300, 00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044, 19350618, 08.00, 7610, 00,  269, 00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044, 19350618, 15.00, 7596, 00,  300, 00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044, 19350619, 08.00, 7616, 00,  281, 00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044, 19350619, 15.00, 7601, 00,  294, 00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044, 19350620, 08.00, 7616, 00,  275, 00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044, 19350620, 15.00, 7596, 00,  297, 00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044, 19350621, 08.00, 7616, 00,  278, 00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044, 19350621, 15.00, 7599, 00,  294, 00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044, 19350622, 08.00, 7613, 00,  283, 00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044, 19350622, 15.00, 7592, 00,  292, 00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044, 19350623, 08.00, 7611, 00,  278, 00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044, 19350623, 15.00, 7599, 00,  292, 00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044, 19350624, 08.00, 7618, 00,  283, 00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044, 19350624, 15.00, 7601, 00,  300, 00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044, 19350625, 08.00, 7616, 00,  281, 00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044, 19350625, 15.00, 7592, 00,  289, 00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044, 19350626, 08.00, 7613, 00,  281, 00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044, 19350626, 15.00, 7594, 00,  294, 00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044, 19350627, 08.00, 7609, 00,  278, 00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044, 19350627, 15.00, 7603, 00,  300, 00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044, 19350628, 08.00, 7609, 00,  272, 00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044, 19350628, 15.00, 7600, 00,  306, 00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044, 19350629, 08.00, 7618, 00,  281, 00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044, 19350629, 15.00, 7603, 00,  303, 00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044, 19350630, 08.00, 7617, 00,  272, 00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044, 19350630, 15.00, 7592, 00,  289, 00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044, 19350701, 08.00, 7618, 00,  281, 00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044, 19350701, 15.00, 7603, 00,  303, 00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044, 19350702, 08.00, 7611, 00,  281, 00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044, 19350702, 15.00, 7599, 00,  292, 00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044, 19350703, 08.00, 7621, 00,  281, 00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044, 19350703, 15.00, 7611, 00,  300, 00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044, 19350704, 08.00, 7615, 00,  283, 00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044, 19350704, 15.00, 7604, 00,  297, 00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044, 19350705, 08.00, 7605, 00,  286, 00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044, 19350705, 15.00, 7616, 00,  300, 00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044, 19350706, 08.00, 7600, 00,  283, 00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044, 19350706, 15.00, 7587, 00,  292, 00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044, 19350707, 08.00, 7610, 00,  283, 00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044, 19350707, 15.00, 7601, 00,  297, 00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044, 19350708, 08.00, 7616, 00,  278, 00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044, 19350708, 15.00, 7606, 00,  300, 00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044, 19350709, 08.00, 7621, 00,  283, 00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044, 19350709, 15.00, 7606, 00,  281, 00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044, 19350710, 08.00, 7621, 00,  278, 00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044, 19350710, 15.00, 7609, 00,  294, 00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044, 19350711, 08.00, 7626, 00,  278, 00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044, 19350711, 15.00, 7608, 00,  300, 00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044, 19350712, 08.00, 7626, 00,  281, 00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044, 19350712, 15.00, 7611, 00,  297, 00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044, 19350713, 08.00, 7623, 00,  283, 00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044, 19350713, 15.00, 7607, 00,  294, 00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044, 19350714, 08.00, 7618, 00,  278, 00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044, 19350714, 15.00, 7603, 00,  300, 00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044, 19350715, 08.00, 7611, 00,  275, 00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044, 19350715, 15.00, 7585, 00,  303, 00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044, 19350716, 08.00, 7598, 00,  283, 00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044, 19350716, 15.00, 7578, 00,  303, 00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044, 19350717, 08.00, 7598, 00,  281, 00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044, 19350717, 15.00, 7585, 00,  303, 00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044, 19350718, 08.00, 7610, 00,  286, 00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044, 19350718, 15.00, 7596, 00,  300, 00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044, 19350719, 08.00, 7619, 00,  275, 00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044, 19350719, 15.00, 7603, 00,  281, 00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044, 19350720, 08.00, 7611, 00,  278, 00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044, 19350720, 15.00, 7601, 00,  300, 00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044, 19350721, 08.00, 7618, 00,  283, 00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044, 19350721, 15.00, 7604, 00,  297, 00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044, 19350722, 08.00, 7615, 00,  286, 00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044, 19350722, 15.00, 7600, 00,  303, 00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044, 19350723, 08.00, 7615, 00,  286, 00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044, 19350723, 15.00, 7598, 00,  306, 00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044, 19350724, 08.00, 7610, 00,  286, 00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044, 19350724, 15.00, 7598, 00,  300, 00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044, 19350725, 08.00, 7618, 00,  283, 00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044, 19350725, 15.00, 7603, 00,  303, 00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044, 19350726, 08.00, 7617, 00,  286, 00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044, 19350726, 15.00, 7600, 00,  306, 00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044, 19350727, 08.00, 7600, 00,  286, 00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044, 19350727, 15.00, 7591, 00,  300, 00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044, 19350728, 08.00, 7618, 00,  278, 00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044, 19350728, 15.00, 7604, 00,  297, 00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044, 19350729, 08.00, 7618, 00,  283, 00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044, 19350729, 15.00, 7600, 00,  306, 00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044, 19350730, 08.00, 7617, 00,  286, 00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044, 19350730, 15.00, 7600, 00,  303, 00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044, 19350731, 08.00, 7610, 00,  286, 00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044, 19350731, 15.00, 7595, 00,  303, 00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044, 19350801, 08.00, 7615, 00,  289, 00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044, 19350801, 15.00, 7606, 00,  297, 00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044, 19350802, 08.00, 7626, 00,  283, 00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044, 19350802, 15.00, 7606, 00,  303, 00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044, 19350803, 08.00, 7622, 00,  275, 00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044, 19350803, 15.00, 7600, 00,  306, 00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044, 19350804, 08.00, 7618, 00,  283, 00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044, 19350804, 15.00, 7595, 00,  303, 00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044, 19350805, 08.00, 7613, 00,  283, 00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044, 19350805, 15.00, 7593, 00,  303, 00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044, 19350806, 08.00, 7606, 00,  283, 00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044, 19350806, 15.00, 7583, 00,  297, 00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044, 19350807, 08.00, 7600, 00,  286, 00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044, 19350807, 15.00, 7582, 00,  306, 00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044, 19350808, 08.00, 7612, 00,  289, 00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044, 19350808, 15.00, 7600, 00,  306, 00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044, 19350809, 08.00, 7615, 00,  286, 00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044, 19350809, 15.00, 7600, 00,  306, 00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044, 19350810, 08.00, 7608, 00,  286, 00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044, 19350810, 15.00, 7594, 00,  294, 00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044, 19350811, 08.00, 7610, 00,  286, 00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044, 19350811, 15.00, 7595, 00,  303, 00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044, 19350812, 08.00, 7617, 00,  269, 00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044, 19350812, 15.00, 7597, 00,  292, 00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044, 19350813, 08.00, 7606, 00,  281, 00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044, 19350813, 15.00, 7591, 00,  300, 00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044, 19350814, 08.00, 7612, 00,  286, 00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044, 19350814, 15.00, 7595, 00,  306, 00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044, 19350815, 08.00, 7608, 00,  286, 00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044, 19350815, 15.00, 7593, 00,  300, 00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044, 19350816, 08.00, 7605, 00,  289, 00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044, 19350816, 15.00, 7587, 00,  306, 00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044, 19350817, 08.00, 7597, 00,  286, 00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044, 19350817, 15.00, 7585, 00,  303, 00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044, 19350818, 08.00, 7600, 00,  286, 00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044, 19350818, 15.00, 7593, 00,  300, 00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044, 19350819, 08.00, 7594, 00,  292, 00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044, 19350819, 15.00, 7575, 00,  308, 00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044, 19350820, 08.00, 7599, 00,  292, 00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044, 19350820, 15.00, 7582, 00,  308, 00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044, 19350821, 08.00, 7607, 00,  292, 00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044, 19350821, 15.00, 7584, 00,  311, 00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044, 19350822, 08.00, 7607, 00,  294, 00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044, 19350822, 15.00, 7589, 00,  311, 00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044, 19350823, 08.00, 7607, 00,  292, 00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044, 19350823, 15.00, 7585, 00,  306, 00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044, 19350824, 08.00, 7599, 00,  292, 00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044, 19350824, 15.00, 7578, 00,  303, 00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044, 19350825, 08.00, 7600, 00,  283, 00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044, 19350825, 15.00, 7583, 00,  283, 00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044, 19350826, 08.00, 7611, 00,  261, 00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044, 19350826, 15.00, 7593, 00,  283, 00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044, 19350827, 08.00, 7607, 00,  275, 00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044, 19350827, 15.00, 7589, 00,  292, 00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044, 19350828, 08.00, 7613, 00,  281, 00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044, 19350828, 15.00, 7589, 00,  297, 00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044, 19350829, 08.00, 7612, 00,  286, 00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044, 19350829, 15.00, 7596, 00,  300, 00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044, 19350830, 08.00, 7612, 00,  286, 00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044, 19350830, 15.00, 7593, 00,  303, 00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044, 19350831, 08.00, 7611, 00,  278, 00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044, 19350831, 15.00, 7594, 00,  294, 00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044, 19350901, 08.00, 7612, 00,  286, 00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044, 19350901, 15.00, 7593, 00,  303, 00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044, 19350902, 08.00, 7612, 00,  292, 00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044, 19350902, 15.00, 7590, 00,  308, 00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044, 19350903, 08.00, 7607, 00,  292, 00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044, 19350903, 15.00, 7585, 00,  308, 00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044, 19350904, 08.00, 7605, 00,  289, 00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044, 19350904, 15.00, 7583, 00,  294, 00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044, 19350905, 08.00, 7602, 00,  289, 00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044, 19350905, 15.00, 7586, 00,  300, 00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044, 19350906, 08.00, 7602, 00,  289, 00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044, 19350906, 15.00, 7580, 00,  306, 00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044, 19350907, 08.00, 7602, 00,  292, 00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044, 19350907, 15.00, 7578, 00,  303, 00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044, 19350908, 08.00, 7608, 00,  286, 00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044, 19350908, 15.00, 7585, 00,  306, 00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044, 19350909, 08.00, 7615, 00,  289, 00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044, 19350909, 15.00, 7593, 00,  306, 00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044, 19350910, 08.00, 7612, 00,  292, 00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044, 19350910, 15.00, 7595, 00,  306, 00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044, 19350911, 08.00, 7620, 00,  289, 00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044, 19350911, 15.00, 7600, 00,  306, 00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044, 19350912, 08.00, 7612, 00,  286, 00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044, 19350912, 15.00, 7588, 00,  303, 00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044, 19350913, 08.00, 7605, 00,  286, 00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044, 19350913, 15.00, 7582, 00,  306, 00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044, 19350914, 08.00, 7602, 00,  289, 00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044, 19350914, 15.00, 7580, 00,  306, 00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044, 19350915, 08.00, 7607, 00,  294, 00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044, 19350915, 15.00, 7582, 00,  308, 00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044, 19350916, 08.00, 7602, 00,  289, 00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044, 19350916, 15.00, 7578, 00,  303, 00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044, 19350917, 08.00, 7597, 00,  286, 00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044, 19350917, 15.00, 7581, 00,  300, 00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044, 19350918, 08.00, 7607, 00,  289, 00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044, 19350918, 15.00, 7588, 00,  300, 00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044, 19350919, 08.00, 7617, 00,  286, 00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044, 19350919, 15.00, 7588, 00,  300, 00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044, 19350920, 08.00, 7615, 00,  289, 00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044, 19350920, 15.00, 7590, 00,  303, 00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044, 19350921, 08.00, 7602, 00,  289, 00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044, 19350921, 15.00, 7575, 00,  308, 00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044, 19350922, 08.00, 7602, 00,  289, 00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044, 19350922, 15.00, 7578, 00,  303, 00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044, 19350923, 08.00, 7603, 00,  281, 00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044, 19350923, 15.00, 7581, 00,  300, 00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044, 19350924, 08.00, 7605, 00,  286, 00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044, 19350924, 15.00, 7579, 00,  294, 00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044, 19350925, 08.00, 7608, 00,  281, 00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044, 19350925, 15.00, 7571, 00,  294, 00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044, 19350926, 08.00, 7598, 00,  283, 00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044, 19350926, 15.00, 7571, 00,  297, 00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044, 19350927, 08.00, 7608, 00,  283, 00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044, 19350927, 15.00, 7586, 00,  297, 00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044, 19350928, 08.00, 7608, 00,  281, 00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044, 19350928, 15.00, 7583, 00,  297, 00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044, 19350929, 08.00, 7606, 00,  281, 00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044, 19350929, 15.00, 7581, 00,  300, 00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044, 19350930, 08.00, 7603, 00,  281, 00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044, 19350930, 15.00, 7586, 00,  297, 00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044, 19351001, 08.00, 7601, 00,  281, 00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044, 19351001, 15.00, 7581, 00,  300, 00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044, 19351002, 08.00, 7603, 00,  283, 00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044, 19351002, 15.00, 7578, 00,  297, 00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044, 19351003, 08.00, 7590, 00,  286, 00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044, 19351003, 15.00, 7573, 00,  297, 00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044, 19351004, 08.00, 7603, 00,  283, 00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044, 19351004, 15.00, 7581, 00,  300, 00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044, 19351005, 08.00, 7605, 00,  286, 00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044, 19351005, 15.00, 7583, 00,  297, 00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044, 19351006, 08.00, 7598, 00,  283, 00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044, 19351006, 15.00, 7579, 00,  294, 00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044, 19351007, 08.00, 7590, 00,  283, 00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044, 19351007, 15.00, 7557, 00,  289, 00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044, 19351008, 08.00, 7585, 00,  283, 00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044, 19351008, 15.00, 7558, 00,  300, 00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044, 19351009, 08.00, 7600, 00,  286, 00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044, 19351009, 15.00, 7586, 00,  294, 00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044, 19351010, 08.00, 7615, 00,  286, 00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044, 19351010, 15.00, 7601, 00,  297, 00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044, 19351011, 08.00, 7622, 00,  289, 00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044, 19351011, 15.00, 7593, 00,  300, 00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044, 19351012, 08.00, 7610, 00,  286, 00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044, 19351012, 15.00, 7583, 00,  297, 00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044, 19351013, 08.00, 7600, 00,  286, 00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044, 19351013, 15.00, 7581, 00,  300, 00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044, 19351014, 08.00, 7598, 00,  283, 00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044, 19351014, 15.00, 7570, 00,  300, 00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044, 19351015, 08.00, 7598, 00,  281, 00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044, 19351015, 15.00, 7570, 00,  283, 00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044, 19351016, 08.00, 7593, 00,  281, 00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044, 19351016, 15.00, 7563, 00,  297, 00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044, 19351017, 08.00, 7588, 00,  283, 00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044, 19351017, 15.00, 7563, 00,  297, 00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044, 19351018, 08.00, 7593, 00,  278, 00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044, 19351018, 15.00, 7567, 00,  289, 00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044, 19351019, 08.00, 7598, 00,  283, 00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044, 19351019, 15.00, 7571, 00,  297, 00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044, 19351020, 08.00, 7606, 00,  281, 00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044, 19351020, 15.00, 7581, 00,  300, 00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044, 19351021, 08.00, 7610, 00,  283, 00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044, 19351021, 15.00, 7586, 00,  297, 00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044, 19351022, 08.00, 7601, 00,  281, 00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044, 19351022, 15.00, 7568, 00,  294, 00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044, 19351023, 08.00, 7593, 00,  283, 00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044, 19351023, 15.00, 7566, 00,  294, 00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044, 19351024, 08.00, 7593, 00,  283, 00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044, 19351024, 15.00, 7565, 00,  300, 00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044, 19351025, 08.00, 7592, 00,  289, 00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044, 19351025, 15.00, 7573, 00,  300, 00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044, 19351026, 08.00, 7602, 00,  286, 00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044, 19351026, 15.00, 7578, 00,  303, 00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044, 19351027, 08.00, 7603, 00,  283, 00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044, 19351027, 15.00, 7581, 00,  300, 00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044, 19351028, 08.00, 7600, 00,  286, 00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044, 19351028, 15.00, 7582, 00,  292, 00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044, 19351029, 08.00, 7612, 00,  286, 00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044, 19351029, 15.00, 7583, 00,  297, 00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044, 19351030, 08.00, 7609, 00,  275, 00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044, 19351030, 15.00, 7585, 00,  283, 00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044, 19351031, 08.00, 7602, 00,  272, 00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044, 19351031, 15.00, 7577, 00,  267, 00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044, 19351101, 08.00, 7599, 00,  269, 00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044, 19351101, 15.00, 7581, 00,  272, 00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044, 19351102, 08.00, 7600, 00,  267, 00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044, 19351102, 15.00, 7583, 00,  297, 00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044, 19351103, 08.00, 7598, 00,  283, 00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044, 19351103, 15.00, 7579, 00,  294, 00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044, 19351104, 08.00, 7596, 00,  278, 00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044, 19351104, 15.00, 7571, 00,  292, 00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044, 19351105, 08.00, 7598, 00,  278, 00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044, 19351105, 15.00, 7568, 00,  278, 00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044, 19351106, 08.00, 7603, 00,  278, 00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044, 19351106, 15.00, 7577, 00,  289, 00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044, 19351107, 08.00, 7603, 00,  278, 00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044, 19351107, 15.00, 7583, 00,  283, 00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044, 19351108, 08.00, 7603, 00,  278, 00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044, 19351108, 15.00, 7572, 00,  289, 00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044, 19351109, 08.00, 7601, 00,  275, 00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044, 19351109, 15.00, 7577, 00,  267, 00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044, 19351110, 08.00, 7600, 00,  286, 00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044, 19351110, 15.00, 7570, 00,  283, 00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044, 19351111, 08.00, 7604, 00,  272, 00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044, 19351111, 15.00, 7575, 00,  281, 00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044, 19351112, 08.00, 7594, 00,  269, 00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044, 19351112, 15.00, 7573, 00,  281, 00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044, 19351113, 08.00, 7599, 00,  272, 00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044, 19351113, 15.00, 7578, 00,  281, 00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044, 19351114, 08.00, 7599, 00,  275, 00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044, 19351114, 15.00, 7577, 00,  286, 00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044, 19351115, 08.00, 7598, 00,  278, 00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044, 19351115, 15.00, 7574, 00,  292, 00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044, 19351116, 08.00, 7598, 00,  278, 00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044, 19351116, 15.00, 7578, 00,  278, 00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044, 19351117, 08.00, 7599, 00,  269, 00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044, 19351117, 15.00, 7573, 00,  297, 00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044, 19351118, 08.00, 7601, 00,  278, 00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044, 19351118, 15.00, 7574, 00,  289, 00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044, 19351119, 08.00, 7606, 00,  281, 00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044, 19351119, 15.00, 7585, 00,  283, 00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044, 19351120, 08.00, 7601, 00,  278, 00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044, 19351120, 15.00, 7580, 00,  286, 00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044, 19351121, 08.00, 7601, 00,  278, 00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044, 19351121, 15.00, 7574, 00,  289, 00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044, 19351122, 08.00, 7606, 00,  278, 00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044, 19351122, 15.00, 7584, 00,  289, 00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044, 19351123, 08.00, 7608, 00,  281, 00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044, 19351123, 15.00, 7587, 00,  286, 00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044, 19351124, 08.00, 7617, 00,  272, 00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044, 19351124, 15.00, 7592, 00,  292, 00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044, 19351125, 08.00, 7622, 00,  272, 00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044, 19351125, 15.00, 7596, 00,  289, 00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044, 19351126, 08.00, 7612, 00,  269, 00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044, 19351126, 15.00, 7591, 00,  278, 00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044, 19351127, 08.00, 7622, 00,  269, 00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044, 19351127, 15.00, 7603, 00,  283, 00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044, 19351128, 08.00, 7617, 00,  272, 00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044, 19351128, 15.00, 7595, 00,  286, 00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044, 19351129, 08.00, 7609, 00,  272, 00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044, 19351129, 15.00, 7588, 00,  281, 00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044, 19351130, 08.00, 7604, 00,  275, 00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044, 19351130, 15.00, 7583, 00,  283, 00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044, 19351201, 08.00, 7612, 00,  269, 00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044, 19351201, 15.00, 7587, 00,  286, 00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044, 19351202, 08.00, 7614, 00,  275, 00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044, 19351202, 15.00, 7590, 00,  289, 00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044, 19351203, 08.00, 7611, 00,  275, 00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044, 19351203, 15.00, 7588, 00,  283, 00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044, 19351204, 08.00, 7607, 00,  275, 00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044, 19351204, 15.00, 7584, 00,  289, 00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044, 19351205, 08.00, 7614, 00,  275, 00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044, 19351205, 15.00, 7592, 00,  286, 00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044, 19351206, 08.00, 7616, 00,  275, 00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044, 19351206, 15.00, 7594, 00,  272, 00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044, 19351207, 08.00, 7622, 00,  269, 00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044, 19351207, 15.00, 7603, 00,  283, 00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044, 19351208, 08.00, 7617, 00,  272, 00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044, 19351208, 15.00, 7591, 00,  278, 00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044, 19351209, 08.00, 7610, 00,  264, 00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044, 19351209, 15.00, 7593, 00,  281, 00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044, 19351210, 08.00, 7615, 00,  264, 00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044, 19351210, 15.00, 7591, 00,  278, 00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044, 19351211, 08.00, 7607, 00,  269, 00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044, 19351211, 15.00, 7580, 00,  283, 00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044, 19351212, 08.00, 7597, 00,  269, 00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044, 19351212, 15.00, 7573, 00,  283, 00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044, 19351213, 08.00, 7605, 00,  267, 00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044, 19351213, 15.00, 7578, 00,  281, 00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044, 19351214, 08.00, 7600, 00,  264, 00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044, 19351214, 15.00, 7570, 00,  283, 00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044, 19351215, 08.00, 7600, 00,  267, 00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044, 19351215, 15.00, 7575, 00,  281, 00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044, 19351216, 08.00, 7605, 00,  267, 00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044, 19351216, 15.00, 7581, 00,  278, 00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044, 19351217, 08.00, 7605, 00,  267, 00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044, 19351217, 15.00, 7588, 00,  281, 00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044, 19351218, 08.00, 7623, 00,  267, 00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044, 19351218, 15.00, 7603, 00,  278, 00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044, 19351219, 08.00, 7628, 00,  267, 00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044, 19351219, 15.00, 7606, 00,  278, 00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044, 19351220, 08.00, 7620, 00,  267, 00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044, 19351220, 15.00, 7601, 00,  278, 00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044, 19351221, 08.00, 7620, 00,  267, 00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044, 19351221, 15.00, 7601, 00,  281, 00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044, 19351222, 08.00, 7623, 00,  264, 00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044, 19351222, 15.00, 7603, 00,  281, 00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044, 19351223, 08.00, 7625, 00,  267, 00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044, 19351223, 15.00, 7608, 00,  281, 00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044, 19351224, 08.00, 7624, 00,  272, 00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044, 19351224, 15.00, 7608, 00,  283, 00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044, 19351225, 08.00, 7620, 00,  264, 00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044, 19351225, 15.00, 7606, 00,  283, 00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044, 19351226, 08.00, 7619, 00,  269, 00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044, 19351226, 15.00, 7601, 00,  281, 00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044, 19351227, 08.00, 7615, 00,  267, 00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044, 19351227, 15.00, 7595, 00,  283, 00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044, 19351228, 08.00, 7610, 00,  267, 00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044, 19351228, 15.00, 7593, 00,  278, 00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044, 19351229, 08.00, 7622, 00,  269, 00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044, 19351229, 15.00, 7598, 00,  281, 00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044, 19351230, 08.00, 7623, 00,  267, 00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044, 19351230, 15.00, 7603, 00,  281, 00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044, 19351231, 08.00, 7628, 00,  267, 00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044, 19351231, 15.00, 7606, 00,  283, 00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2015-10-14T13:21:53Z</dcterms:modified>
</cp:coreProperties>
</file>